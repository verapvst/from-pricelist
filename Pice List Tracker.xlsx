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comments2.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whitestarservicing-my.sharepoint.com/personal/vpteixeira_from_pt/Documents/Desktop/Price List/"/>
    </mc:Choice>
  </mc:AlternateContent>
  <xr:revisionPtr revIDLastSave="546" documentId="8_{B0867900-BB65-40B2-B85D-2B2871B545E9}" xr6:coauthVersionLast="47" xr6:coauthVersionMax="47" xr10:uidLastSave="{E67E801C-84F9-43AA-BE73-97AF80C9BFCD}"/>
  <bookViews>
    <workbookView xWindow="28680" yWindow="-120" windowWidth="29040" windowHeight="15720" tabRatio="854" firstSheet="2" activeTab="4" xr2:uid="{8F4FC7C8-A70C-437B-8705-F06E4142BDB6}"/>
  </bookViews>
  <sheets>
    <sheet name="🏠 HOME" sheetId="27" r:id="rId1"/>
    <sheet name="Overview" sheetId="31" r:id="rId2"/>
    <sheet name="Project Information" sheetId="33" r:id="rId3"/>
    <sheet name="Data Quality Check" sheetId="34" r:id="rId4"/>
    <sheet name="DATABASE" sheetId="30" r:id="rId5"/>
    <sheet name="Botanica" sheetId="35" r:id="rId6"/>
    <sheet name="Est. Ceg." sheetId="36" r:id="rId7"/>
    <sheet name="Fairways" sheetId="37" r:id="rId8"/>
    <sheet name="Nobilus" sheetId="5" r:id="rId9"/>
    <sheet name="Natura Village" sheetId="38" r:id="rId10"/>
    <sheet name="Rivus" sheetId="47" r:id="rId11"/>
    <sheet name="Springs - At the Els" sheetId="49" r:id="rId12"/>
    <sheet name="Terracota" sheetId="48" r:id="rId13"/>
    <sheet name="The NIne" sheetId="50" r:id="rId14"/>
    <sheet name="The Uncommon" sheetId="39" r:id="rId15"/>
    <sheet name="Zestia" sheetId="40" r:id="rId16"/>
    <sheet name="Azuya" sheetId="41" r:id="rId17"/>
    <sheet name="Sutaya" sheetId="42" r:id="rId18"/>
    <sheet name="Palmares" sheetId="43" r:id="rId19"/>
    <sheet name="Monte Rei" sheetId="44" r:id="rId20"/>
    <sheet name="Aroeira" sheetId="45" r:id="rId21"/>
    <sheet name="Vale Pisão" sheetId="46" r:id="rId22"/>
  </sheets>
  <externalReferences>
    <externalReference r:id="rId23"/>
  </externalReferences>
  <definedNames>
    <definedName name="_xlnm._FilterDatabase" localSheetId="20" hidden="1">Aroeira!$A$2:$AL$2</definedName>
    <definedName name="_xlnm._FilterDatabase" localSheetId="16" hidden="1">Azuya!$A$2:$AL$2</definedName>
    <definedName name="_xlnm._FilterDatabase" localSheetId="5" hidden="1">Botanica!$A$2:$AL$2</definedName>
    <definedName name="_xlnm._FilterDatabase" localSheetId="3" hidden="1">'Data Quality Check'!$A$40:$J$1181</definedName>
    <definedName name="_xlnm._FilterDatabase" localSheetId="4" hidden="1">DATABASE!$A$1:$A$1142</definedName>
    <definedName name="_xlnm._FilterDatabase" localSheetId="6" hidden="1">'Est. Ceg.'!$A$2:$AL$2</definedName>
    <definedName name="_xlnm._FilterDatabase" localSheetId="7" hidden="1">Fairways!$A$2:$AL$2</definedName>
    <definedName name="_xlnm._FilterDatabase" localSheetId="19" hidden="1">'Monte Rei'!$A$2:$AL$2</definedName>
    <definedName name="_xlnm._FilterDatabase" localSheetId="9" hidden="1">'Natura Village'!$A$2:$AL$2</definedName>
    <definedName name="_xlnm._FilterDatabase" localSheetId="8" hidden="1">Nobilus!$A$2:$AL$2</definedName>
    <definedName name="_xlnm._FilterDatabase" localSheetId="18" hidden="1">Palmares!$A$2:$AL$2</definedName>
    <definedName name="_xlnm._FilterDatabase" localSheetId="10" hidden="1">Rivus!$A$2:$AL$2</definedName>
    <definedName name="_xlnm._FilterDatabase" localSheetId="11" hidden="1">'Springs - At the Els'!$A$2:$AL$2</definedName>
    <definedName name="_xlnm._FilterDatabase" localSheetId="17" hidden="1">Sutaya!$A$2:$AL$2</definedName>
    <definedName name="_xlnm._FilterDatabase" localSheetId="12" hidden="1">Terracota!$A$2:$AL$2</definedName>
    <definedName name="_xlnm._FilterDatabase" localSheetId="13" hidden="1">'The NIne'!$A$2:$AL$2</definedName>
    <definedName name="_xlnm._FilterDatabase" localSheetId="14" hidden="1">'The Uncommon'!$A$2:$AL$2</definedName>
    <definedName name="_xlnm._FilterDatabase" localSheetId="21" hidden="1">'Vale Pisão'!$A$2:$AL$2</definedName>
    <definedName name="_xlnm._FilterDatabase" localSheetId="15" hidden="1">Zestia!$A$2:$AL$2</definedName>
    <definedName name="_xlnm.Database">DATABASE!$B$1:$AE$1142</definedName>
    <definedName name="ExternalData_1" localSheetId="2" hidden="1">'Project Information'!$A$1:$P$25</definedName>
    <definedName name="lstLocation">#REF!</definedName>
    <definedName name="lstOwnerAM">#REF!</definedName>
    <definedName name="lstOwnerComm">#REF!</definedName>
    <definedName name="lstStatus">#REF!</definedName>
    <definedName name="lstType">#REF!</definedName>
    <definedName name="_xlnm.Print_Area" localSheetId="20">Aroeira!$A$2:$N$48</definedName>
    <definedName name="_xlnm.Print_Area" localSheetId="16">Azuya!$A$2:$N$48</definedName>
    <definedName name="_xlnm.Print_Area" localSheetId="5">Botanica!$A$2:$N$48</definedName>
    <definedName name="_xlnm.Print_Area" localSheetId="6">'Est. Ceg.'!$A$2:$N$48</definedName>
    <definedName name="_xlnm.Print_Area" localSheetId="7">Fairways!$A$2:$N$48</definedName>
    <definedName name="_xlnm.Print_Area" localSheetId="19">'Monte Rei'!$A$2:$N$48</definedName>
    <definedName name="_xlnm.Print_Area" localSheetId="9">'Natura Village'!$A$2:$N$48</definedName>
    <definedName name="_xlnm.Print_Area" localSheetId="8">Nobilus!$A$2:$N$48</definedName>
    <definedName name="_xlnm.Print_Area" localSheetId="18">Palmares!$A$2:$N$48</definedName>
    <definedName name="_xlnm.Print_Area" localSheetId="10">Rivus!$A$2:$N$48</definedName>
    <definedName name="_xlnm.Print_Area" localSheetId="11">'Springs - At the Els'!$A$2:$N$48</definedName>
    <definedName name="_xlnm.Print_Area" localSheetId="17">Sutaya!$A$2:$N$48</definedName>
    <definedName name="_xlnm.Print_Area" localSheetId="12">Terracota!$A$2:$N$48</definedName>
    <definedName name="_xlnm.Print_Area" localSheetId="13">'The NIne'!$A$2:$N$48</definedName>
    <definedName name="_xlnm.Print_Area" localSheetId="14">'The Uncommon'!$A$2:$N$48</definedName>
    <definedName name="_xlnm.Print_Area" localSheetId="21">'Vale Pisão'!$A$2:$N$48</definedName>
    <definedName name="_xlnm.Print_Area" localSheetId="15">Zestia!$A$2:$N$48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37" l="1" a="1"/>
  <c r="A3" i="36" a="1"/>
  <c r="J1181" i="34"/>
  <c r="I1181" i="34"/>
  <c r="G1181" i="34"/>
  <c r="F1181" i="34"/>
  <c r="E1181" i="34"/>
  <c r="D1181" i="34"/>
  <c r="C1181" i="34"/>
  <c r="B1181" i="34"/>
  <c r="A1181" i="34"/>
  <c r="J1180" i="34"/>
  <c r="I1180" i="34"/>
  <c r="G1180" i="34"/>
  <c r="F1180" i="34"/>
  <c r="E1180" i="34"/>
  <c r="D1180" i="34"/>
  <c r="C1180" i="34"/>
  <c r="B1180" i="34"/>
  <c r="A1180" i="34"/>
  <c r="J1179" i="34"/>
  <c r="I1179" i="34"/>
  <c r="G1179" i="34"/>
  <c r="F1179" i="34"/>
  <c r="E1179" i="34"/>
  <c r="D1179" i="34"/>
  <c r="C1179" i="34"/>
  <c r="B1179" i="34"/>
  <c r="A1179" i="34"/>
  <c r="J1178" i="34"/>
  <c r="I1178" i="34"/>
  <c r="G1178" i="34"/>
  <c r="F1178" i="34"/>
  <c r="E1178" i="34"/>
  <c r="D1178" i="34"/>
  <c r="C1178" i="34"/>
  <c r="B1178" i="34"/>
  <c r="A1178" i="34"/>
  <c r="J1177" i="34"/>
  <c r="I1177" i="34"/>
  <c r="G1177" i="34"/>
  <c r="F1177" i="34"/>
  <c r="E1177" i="34"/>
  <c r="D1177" i="34"/>
  <c r="C1177" i="34"/>
  <c r="B1177" i="34"/>
  <c r="A1177" i="34"/>
  <c r="J1176" i="34"/>
  <c r="I1176" i="34"/>
  <c r="G1176" i="34"/>
  <c r="F1176" i="34"/>
  <c r="E1176" i="34"/>
  <c r="D1176" i="34"/>
  <c r="C1176" i="34"/>
  <c r="B1176" i="34"/>
  <c r="A1176" i="34"/>
  <c r="J1175" i="34"/>
  <c r="I1175" i="34"/>
  <c r="G1175" i="34"/>
  <c r="F1175" i="34"/>
  <c r="E1175" i="34"/>
  <c r="D1175" i="34"/>
  <c r="C1175" i="34"/>
  <c r="B1175" i="34"/>
  <c r="A1175" i="34"/>
  <c r="J1174" i="34"/>
  <c r="I1174" i="34"/>
  <c r="G1174" i="34"/>
  <c r="F1174" i="34"/>
  <c r="E1174" i="34"/>
  <c r="D1174" i="34"/>
  <c r="C1174" i="34"/>
  <c r="B1174" i="34"/>
  <c r="A1174" i="34"/>
  <c r="J1173" i="34"/>
  <c r="I1173" i="34"/>
  <c r="G1173" i="34"/>
  <c r="F1173" i="34"/>
  <c r="E1173" i="34"/>
  <c r="D1173" i="34"/>
  <c r="C1173" i="34"/>
  <c r="B1173" i="34"/>
  <c r="A1173" i="34"/>
  <c r="J1172" i="34"/>
  <c r="I1172" i="34"/>
  <c r="G1172" i="34"/>
  <c r="F1172" i="34"/>
  <c r="E1172" i="34"/>
  <c r="D1172" i="34"/>
  <c r="C1172" i="34"/>
  <c r="B1172" i="34"/>
  <c r="A1172" i="34"/>
  <c r="J1171" i="34"/>
  <c r="I1171" i="34"/>
  <c r="G1171" i="34"/>
  <c r="F1171" i="34"/>
  <c r="E1171" i="34"/>
  <c r="D1171" i="34"/>
  <c r="C1171" i="34"/>
  <c r="B1171" i="34"/>
  <c r="A1171" i="34"/>
  <c r="J1170" i="34"/>
  <c r="I1170" i="34"/>
  <c r="G1170" i="34"/>
  <c r="F1170" i="34"/>
  <c r="E1170" i="34"/>
  <c r="D1170" i="34"/>
  <c r="C1170" i="34"/>
  <c r="B1170" i="34"/>
  <c r="A1170" i="34"/>
  <c r="J1169" i="34"/>
  <c r="I1169" i="34"/>
  <c r="G1169" i="34"/>
  <c r="F1169" i="34"/>
  <c r="E1169" i="34"/>
  <c r="D1169" i="34"/>
  <c r="C1169" i="34"/>
  <c r="B1169" i="34"/>
  <c r="A1169" i="34"/>
  <c r="J1168" i="34"/>
  <c r="I1168" i="34"/>
  <c r="G1168" i="34"/>
  <c r="F1168" i="34"/>
  <c r="E1168" i="34"/>
  <c r="D1168" i="34"/>
  <c r="C1168" i="34"/>
  <c r="B1168" i="34"/>
  <c r="A1168" i="34"/>
  <c r="J1167" i="34"/>
  <c r="I1167" i="34"/>
  <c r="G1167" i="34"/>
  <c r="F1167" i="34"/>
  <c r="E1167" i="34"/>
  <c r="D1167" i="34"/>
  <c r="C1167" i="34"/>
  <c r="B1167" i="34"/>
  <c r="A1167" i="34"/>
  <c r="J1166" i="34"/>
  <c r="I1166" i="34"/>
  <c r="G1166" i="34"/>
  <c r="F1166" i="34"/>
  <c r="E1166" i="34"/>
  <c r="D1166" i="34"/>
  <c r="C1166" i="34"/>
  <c r="B1166" i="34"/>
  <c r="A1166" i="34"/>
  <c r="J1165" i="34"/>
  <c r="I1165" i="34"/>
  <c r="G1165" i="34"/>
  <c r="F1165" i="34"/>
  <c r="E1165" i="34"/>
  <c r="D1165" i="34"/>
  <c r="C1165" i="34"/>
  <c r="B1165" i="34"/>
  <c r="A1165" i="34"/>
  <c r="J1164" i="34"/>
  <c r="I1164" i="34"/>
  <c r="G1164" i="34"/>
  <c r="F1164" i="34"/>
  <c r="E1164" i="34"/>
  <c r="D1164" i="34"/>
  <c r="C1164" i="34"/>
  <c r="B1164" i="34"/>
  <c r="A1164" i="34"/>
  <c r="J1163" i="34"/>
  <c r="I1163" i="34"/>
  <c r="G1163" i="34"/>
  <c r="F1163" i="34"/>
  <c r="E1163" i="34"/>
  <c r="D1163" i="34"/>
  <c r="C1163" i="34"/>
  <c r="B1163" i="34"/>
  <c r="A1163" i="34"/>
  <c r="J1162" i="34"/>
  <c r="I1162" i="34"/>
  <c r="G1162" i="34"/>
  <c r="F1162" i="34"/>
  <c r="E1162" i="34"/>
  <c r="D1162" i="34"/>
  <c r="C1162" i="34"/>
  <c r="B1162" i="34"/>
  <c r="A1162" i="34"/>
  <c r="J1161" i="34"/>
  <c r="I1161" i="34"/>
  <c r="G1161" i="34"/>
  <c r="F1161" i="34"/>
  <c r="E1161" i="34"/>
  <c r="D1161" i="34"/>
  <c r="C1161" i="34"/>
  <c r="B1161" i="34"/>
  <c r="A1161" i="34"/>
  <c r="J1160" i="34"/>
  <c r="I1160" i="34"/>
  <c r="G1160" i="34"/>
  <c r="F1160" i="34"/>
  <c r="E1160" i="34"/>
  <c r="D1160" i="34"/>
  <c r="C1160" i="34"/>
  <c r="B1160" i="34"/>
  <c r="A1160" i="34"/>
  <c r="J1159" i="34"/>
  <c r="I1159" i="34"/>
  <c r="G1159" i="34"/>
  <c r="F1159" i="34"/>
  <c r="E1159" i="34"/>
  <c r="D1159" i="34"/>
  <c r="C1159" i="34"/>
  <c r="B1159" i="34"/>
  <c r="A1159" i="34"/>
  <c r="J1158" i="34"/>
  <c r="I1158" i="34"/>
  <c r="G1158" i="34"/>
  <c r="F1158" i="34"/>
  <c r="E1158" i="34"/>
  <c r="D1158" i="34"/>
  <c r="C1158" i="34"/>
  <c r="B1158" i="34"/>
  <c r="A1158" i="34"/>
  <c r="J1157" i="34"/>
  <c r="I1157" i="34"/>
  <c r="G1157" i="34"/>
  <c r="F1157" i="34"/>
  <c r="E1157" i="34"/>
  <c r="D1157" i="34"/>
  <c r="C1157" i="34"/>
  <c r="B1157" i="34"/>
  <c r="A1157" i="34"/>
  <c r="J1156" i="34"/>
  <c r="I1156" i="34"/>
  <c r="G1156" i="34"/>
  <c r="F1156" i="34"/>
  <c r="E1156" i="34"/>
  <c r="D1156" i="34"/>
  <c r="C1156" i="34"/>
  <c r="B1156" i="34"/>
  <c r="A1156" i="34"/>
  <c r="J1155" i="34"/>
  <c r="I1155" i="34"/>
  <c r="G1155" i="34"/>
  <c r="F1155" i="34"/>
  <c r="E1155" i="34"/>
  <c r="D1155" i="34"/>
  <c r="C1155" i="34"/>
  <c r="B1155" i="34"/>
  <c r="A1155" i="34"/>
  <c r="J1154" i="34"/>
  <c r="I1154" i="34"/>
  <c r="G1154" i="34"/>
  <c r="F1154" i="34"/>
  <c r="E1154" i="34"/>
  <c r="D1154" i="34"/>
  <c r="C1154" i="34"/>
  <c r="B1154" i="34"/>
  <c r="A1154" i="34"/>
  <c r="J1153" i="34"/>
  <c r="I1153" i="34"/>
  <c r="G1153" i="34"/>
  <c r="F1153" i="34"/>
  <c r="E1153" i="34"/>
  <c r="D1153" i="34"/>
  <c r="C1153" i="34"/>
  <c r="B1153" i="34"/>
  <c r="A1153" i="34"/>
  <c r="J1152" i="34"/>
  <c r="I1152" i="34"/>
  <c r="G1152" i="34"/>
  <c r="F1152" i="34"/>
  <c r="E1152" i="34"/>
  <c r="D1152" i="34"/>
  <c r="C1152" i="34"/>
  <c r="B1152" i="34"/>
  <c r="A1152" i="34"/>
  <c r="J1151" i="34"/>
  <c r="I1151" i="34"/>
  <c r="G1151" i="34"/>
  <c r="F1151" i="34"/>
  <c r="E1151" i="34"/>
  <c r="D1151" i="34"/>
  <c r="C1151" i="34"/>
  <c r="B1151" i="34"/>
  <c r="A1151" i="34"/>
  <c r="J1150" i="34"/>
  <c r="I1150" i="34"/>
  <c r="G1150" i="34"/>
  <c r="F1150" i="34"/>
  <c r="E1150" i="34"/>
  <c r="D1150" i="34"/>
  <c r="C1150" i="34"/>
  <c r="B1150" i="34"/>
  <c r="A1150" i="34"/>
  <c r="J1149" i="34"/>
  <c r="I1149" i="34"/>
  <c r="G1149" i="34"/>
  <c r="F1149" i="34"/>
  <c r="E1149" i="34"/>
  <c r="D1149" i="34"/>
  <c r="C1149" i="34"/>
  <c r="B1149" i="34"/>
  <c r="A1149" i="34"/>
  <c r="J1148" i="34"/>
  <c r="I1148" i="34"/>
  <c r="G1148" i="34"/>
  <c r="F1148" i="34"/>
  <c r="E1148" i="34"/>
  <c r="D1148" i="34"/>
  <c r="C1148" i="34"/>
  <c r="B1148" i="34"/>
  <c r="A1148" i="34"/>
  <c r="J1147" i="34"/>
  <c r="I1147" i="34"/>
  <c r="G1147" i="34"/>
  <c r="F1147" i="34"/>
  <c r="E1147" i="34"/>
  <c r="D1147" i="34"/>
  <c r="C1147" i="34"/>
  <c r="B1147" i="34"/>
  <c r="A1147" i="34"/>
  <c r="J1146" i="34"/>
  <c r="I1146" i="34"/>
  <c r="G1146" i="34"/>
  <c r="F1146" i="34"/>
  <c r="E1146" i="34"/>
  <c r="D1146" i="34"/>
  <c r="C1146" i="34"/>
  <c r="B1146" i="34"/>
  <c r="A1146" i="34"/>
  <c r="J1145" i="34"/>
  <c r="I1145" i="34"/>
  <c r="G1145" i="34"/>
  <c r="F1145" i="34"/>
  <c r="E1145" i="34"/>
  <c r="D1145" i="34"/>
  <c r="C1145" i="34"/>
  <c r="B1145" i="34"/>
  <c r="A1145" i="34"/>
  <c r="J1144" i="34"/>
  <c r="I1144" i="34"/>
  <c r="G1144" i="34"/>
  <c r="F1144" i="34"/>
  <c r="E1144" i="34"/>
  <c r="D1144" i="34"/>
  <c r="C1144" i="34"/>
  <c r="B1144" i="34"/>
  <c r="A1144" i="34"/>
  <c r="J1143" i="34"/>
  <c r="I1143" i="34"/>
  <c r="G1143" i="34"/>
  <c r="F1143" i="34"/>
  <c r="E1143" i="34"/>
  <c r="D1143" i="34"/>
  <c r="C1143" i="34"/>
  <c r="B1143" i="34"/>
  <c r="A1143" i="34"/>
  <c r="J1142" i="34"/>
  <c r="I1142" i="34"/>
  <c r="G1142" i="34"/>
  <c r="F1142" i="34"/>
  <c r="E1142" i="34"/>
  <c r="D1142" i="34"/>
  <c r="C1142" i="34"/>
  <c r="B1142" i="34"/>
  <c r="A1142" i="34"/>
  <c r="J1141" i="34"/>
  <c r="I1141" i="34"/>
  <c r="G1141" i="34"/>
  <c r="F1141" i="34"/>
  <c r="E1141" i="34"/>
  <c r="D1141" i="34"/>
  <c r="C1141" i="34"/>
  <c r="B1141" i="34"/>
  <c r="A1141" i="34"/>
  <c r="J1140" i="34"/>
  <c r="I1140" i="34"/>
  <c r="G1140" i="34"/>
  <c r="F1140" i="34"/>
  <c r="E1140" i="34"/>
  <c r="D1140" i="34"/>
  <c r="C1140" i="34"/>
  <c r="B1140" i="34"/>
  <c r="A1140" i="34"/>
  <c r="J1139" i="34"/>
  <c r="I1139" i="34"/>
  <c r="G1139" i="34"/>
  <c r="F1139" i="34"/>
  <c r="E1139" i="34"/>
  <c r="D1139" i="34"/>
  <c r="C1139" i="34"/>
  <c r="B1139" i="34"/>
  <c r="A1139" i="34"/>
  <c r="J1138" i="34"/>
  <c r="I1138" i="34"/>
  <c r="G1138" i="34"/>
  <c r="F1138" i="34"/>
  <c r="E1138" i="34"/>
  <c r="D1138" i="34"/>
  <c r="C1138" i="34"/>
  <c r="B1138" i="34"/>
  <c r="A1138" i="34"/>
  <c r="J1137" i="34"/>
  <c r="I1137" i="34"/>
  <c r="G1137" i="34"/>
  <c r="F1137" i="34"/>
  <c r="E1137" i="34"/>
  <c r="D1137" i="34"/>
  <c r="C1137" i="34"/>
  <c r="B1137" i="34"/>
  <c r="A1137" i="34"/>
  <c r="J1136" i="34"/>
  <c r="I1136" i="34"/>
  <c r="G1136" i="34"/>
  <c r="F1136" i="34"/>
  <c r="E1136" i="34"/>
  <c r="D1136" i="34"/>
  <c r="C1136" i="34"/>
  <c r="B1136" i="34"/>
  <c r="A1136" i="34"/>
  <c r="J1135" i="34"/>
  <c r="I1135" i="34"/>
  <c r="G1135" i="34"/>
  <c r="F1135" i="34"/>
  <c r="E1135" i="34"/>
  <c r="D1135" i="34"/>
  <c r="C1135" i="34"/>
  <c r="B1135" i="34"/>
  <c r="A1135" i="34"/>
  <c r="J1134" i="34"/>
  <c r="I1134" i="34"/>
  <c r="G1134" i="34"/>
  <c r="F1134" i="34"/>
  <c r="E1134" i="34"/>
  <c r="D1134" i="34"/>
  <c r="C1134" i="34"/>
  <c r="B1134" i="34"/>
  <c r="A1134" i="34"/>
  <c r="J1133" i="34"/>
  <c r="I1133" i="34"/>
  <c r="G1133" i="34"/>
  <c r="F1133" i="34"/>
  <c r="E1133" i="34"/>
  <c r="D1133" i="34"/>
  <c r="C1133" i="34"/>
  <c r="B1133" i="34"/>
  <c r="A1133" i="34"/>
  <c r="J1132" i="34"/>
  <c r="I1132" i="34"/>
  <c r="G1132" i="34"/>
  <c r="F1132" i="34"/>
  <c r="E1132" i="34"/>
  <c r="D1132" i="34"/>
  <c r="C1132" i="34"/>
  <c r="B1132" i="34"/>
  <c r="A1132" i="34"/>
  <c r="J1131" i="34"/>
  <c r="I1131" i="34"/>
  <c r="G1131" i="34"/>
  <c r="F1131" i="34"/>
  <c r="E1131" i="34"/>
  <c r="D1131" i="34"/>
  <c r="C1131" i="34"/>
  <c r="B1131" i="34"/>
  <c r="A1131" i="34"/>
  <c r="J1130" i="34"/>
  <c r="I1130" i="34"/>
  <c r="G1130" i="34"/>
  <c r="F1130" i="34"/>
  <c r="E1130" i="34"/>
  <c r="D1130" i="34"/>
  <c r="C1130" i="34"/>
  <c r="B1130" i="34"/>
  <c r="A1130" i="34"/>
  <c r="J1129" i="34"/>
  <c r="I1129" i="34"/>
  <c r="G1129" i="34"/>
  <c r="F1129" i="34"/>
  <c r="E1129" i="34"/>
  <c r="D1129" i="34"/>
  <c r="C1129" i="34"/>
  <c r="B1129" i="34"/>
  <c r="A1129" i="34"/>
  <c r="J1128" i="34"/>
  <c r="I1128" i="34"/>
  <c r="G1128" i="34"/>
  <c r="F1128" i="34"/>
  <c r="E1128" i="34"/>
  <c r="D1128" i="34"/>
  <c r="C1128" i="34"/>
  <c r="B1128" i="34"/>
  <c r="A1128" i="34"/>
  <c r="J1127" i="34"/>
  <c r="I1127" i="34"/>
  <c r="G1127" i="34"/>
  <c r="F1127" i="34"/>
  <c r="E1127" i="34"/>
  <c r="D1127" i="34"/>
  <c r="C1127" i="34"/>
  <c r="B1127" i="34"/>
  <c r="A1127" i="34"/>
  <c r="J1126" i="34"/>
  <c r="I1126" i="34"/>
  <c r="G1126" i="34"/>
  <c r="F1126" i="34"/>
  <c r="E1126" i="34"/>
  <c r="D1126" i="34"/>
  <c r="C1126" i="34"/>
  <c r="B1126" i="34"/>
  <c r="A1126" i="34"/>
  <c r="J1125" i="34"/>
  <c r="I1125" i="34"/>
  <c r="G1125" i="34"/>
  <c r="F1125" i="34"/>
  <c r="E1125" i="34"/>
  <c r="D1125" i="34"/>
  <c r="C1125" i="34"/>
  <c r="B1125" i="34"/>
  <c r="A1125" i="34"/>
  <c r="J1124" i="34"/>
  <c r="I1124" i="34"/>
  <c r="G1124" i="34"/>
  <c r="F1124" i="34"/>
  <c r="E1124" i="34"/>
  <c r="D1124" i="34"/>
  <c r="C1124" i="34"/>
  <c r="B1124" i="34"/>
  <c r="A1124" i="34"/>
  <c r="J1123" i="34"/>
  <c r="I1123" i="34"/>
  <c r="G1123" i="34"/>
  <c r="F1123" i="34"/>
  <c r="E1123" i="34"/>
  <c r="D1123" i="34"/>
  <c r="C1123" i="34"/>
  <c r="B1123" i="34"/>
  <c r="A1123" i="34"/>
  <c r="J1122" i="34"/>
  <c r="I1122" i="34"/>
  <c r="G1122" i="34"/>
  <c r="F1122" i="34"/>
  <c r="E1122" i="34"/>
  <c r="D1122" i="34"/>
  <c r="C1122" i="34"/>
  <c r="B1122" i="34"/>
  <c r="A1122" i="34"/>
  <c r="J1121" i="34"/>
  <c r="I1121" i="34"/>
  <c r="G1121" i="34"/>
  <c r="F1121" i="34"/>
  <c r="E1121" i="34"/>
  <c r="D1121" i="34"/>
  <c r="C1121" i="34"/>
  <c r="B1121" i="34"/>
  <c r="A1121" i="34"/>
  <c r="J1120" i="34"/>
  <c r="I1120" i="34"/>
  <c r="G1120" i="34"/>
  <c r="F1120" i="34"/>
  <c r="E1120" i="34"/>
  <c r="D1120" i="34"/>
  <c r="C1120" i="34"/>
  <c r="B1120" i="34"/>
  <c r="A1120" i="34"/>
  <c r="J1119" i="34"/>
  <c r="I1119" i="34"/>
  <c r="G1119" i="34"/>
  <c r="F1119" i="34"/>
  <c r="E1119" i="34"/>
  <c r="D1119" i="34"/>
  <c r="C1119" i="34"/>
  <c r="B1119" i="34"/>
  <c r="A1119" i="34"/>
  <c r="J1118" i="34"/>
  <c r="I1118" i="34"/>
  <c r="G1118" i="34"/>
  <c r="F1118" i="34"/>
  <c r="E1118" i="34"/>
  <c r="D1118" i="34"/>
  <c r="C1118" i="34"/>
  <c r="B1118" i="34"/>
  <c r="A1118" i="34"/>
  <c r="J1117" i="34"/>
  <c r="I1117" i="34"/>
  <c r="G1117" i="34"/>
  <c r="F1117" i="34"/>
  <c r="E1117" i="34"/>
  <c r="D1117" i="34"/>
  <c r="C1117" i="34"/>
  <c r="B1117" i="34"/>
  <c r="A1117" i="34"/>
  <c r="J1116" i="34"/>
  <c r="I1116" i="34"/>
  <c r="G1116" i="34"/>
  <c r="F1116" i="34"/>
  <c r="E1116" i="34"/>
  <c r="D1116" i="34"/>
  <c r="C1116" i="34"/>
  <c r="B1116" i="34"/>
  <c r="A1116" i="34"/>
  <c r="J1115" i="34"/>
  <c r="I1115" i="34"/>
  <c r="G1115" i="34"/>
  <c r="F1115" i="34"/>
  <c r="E1115" i="34"/>
  <c r="D1115" i="34"/>
  <c r="C1115" i="34"/>
  <c r="B1115" i="34"/>
  <c r="A1115" i="34"/>
  <c r="J1114" i="34"/>
  <c r="I1114" i="34"/>
  <c r="G1114" i="34"/>
  <c r="F1114" i="34"/>
  <c r="E1114" i="34"/>
  <c r="D1114" i="34"/>
  <c r="C1114" i="34"/>
  <c r="B1114" i="34"/>
  <c r="A1114" i="34"/>
  <c r="J1113" i="34"/>
  <c r="I1113" i="34"/>
  <c r="G1113" i="34"/>
  <c r="F1113" i="34"/>
  <c r="E1113" i="34"/>
  <c r="D1113" i="34"/>
  <c r="C1113" i="34"/>
  <c r="B1113" i="34"/>
  <c r="A1113" i="34"/>
  <c r="J1112" i="34"/>
  <c r="I1112" i="34"/>
  <c r="G1112" i="34"/>
  <c r="F1112" i="34"/>
  <c r="E1112" i="34"/>
  <c r="D1112" i="34"/>
  <c r="C1112" i="34"/>
  <c r="B1112" i="34"/>
  <c r="A1112" i="34"/>
  <c r="J1111" i="34"/>
  <c r="I1111" i="34"/>
  <c r="G1111" i="34"/>
  <c r="F1111" i="34"/>
  <c r="E1111" i="34"/>
  <c r="D1111" i="34"/>
  <c r="C1111" i="34"/>
  <c r="B1111" i="34"/>
  <c r="A1111" i="34"/>
  <c r="J1110" i="34"/>
  <c r="I1110" i="34"/>
  <c r="G1110" i="34"/>
  <c r="F1110" i="34"/>
  <c r="E1110" i="34"/>
  <c r="D1110" i="34"/>
  <c r="C1110" i="34"/>
  <c r="B1110" i="34"/>
  <c r="A1110" i="34"/>
  <c r="J1109" i="34"/>
  <c r="I1109" i="34"/>
  <c r="G1109" i="34"/>
  <c r="F1109" i="34"/>
  <c r="E1109" i="34"/>
  <c r="D1109" i="34"/>
  <c r="C1109" i="34"/>
  <c r="B1109" i="34"/>
  <c r="A1109" i="34"/>
  <c r="J1108" i="34"/>
  <c r="I1108" i="34"/>
  <c r="G1108" i="34"/>
  <c r="F1108" i="34"/>
  <c r="E1108" i="34"/>
  <c r="D1108" i="34"/>
  <c r="C1108" i="34"/>
  <c r="B1108" i="34"/>
  <c r="A1108" i="34"/>
  <c r="J1107" i="34"/>
  <c r="I1107" i="34"/>
  <c r="G1107" i="34"/>
  <c r="F1107" i="34"/>
  <c r="E1107" i="34"/>
  <c r="D1107" i="34"/>
  <c r="C1107" i="34"/>
  <c r="B1107" i="34"/>
  <c r="A1107" i="34"/>
  <c r="J1106" i="34"/>
  <c r="I1106" i="34"/>
  <c r="G1106" i="34"/>
  <c r="F1106" i="34"/>
  <c r="E1106" i="34"/>
  <c r="D1106" i="34"/>
  <c r="C1106" i="34"/>
  <c r="B1106" i="34"/>
  <c r="A1106" i="34"/>
  <c r="J1105" i="34"/>
  <c r="I1105" i="34"/>
  <c r="G1105" i="34"/>
  <c r="F1105" i="34"/>
  <c r="E1105" i="34"/>
  <c r="D1105" i="34"/>
  <c r="C1105" i="34"/>
  <c r="B1105" i="34"/>
  <c r="A1105" i="34"/>
  <c r="J1104" i="34"/>
  <c r="I1104" i="34"/>
  <c r="G1104" i="34"/>
  <c r="F1104" i="34"/>
  <c r="E1104" i="34"/>
  <c r="D1104" i="34"/>
  <c r="C1104" i="34"/>
  <c r="B1104" i="34"/>
  <c r="A1104" i="34"/>
  <c r="J1103" i="34"/>
  <c r="I1103" i="34"/>
  <c r="G1103" i="34"/>
  <c r="F1103" i="34"/>
  <c r="E1103" i="34"/>
  <c r="D1103" i="34"/>
  <c r="C1103" i="34"/>
  <c r="B1103" i="34"/>
  <c r="A1103" i="34"/>
  <c r="J1102" i="34"/>
  <c r="I1102" i="34"/>
  <c r="G1102" i="34"/>
  <c r="F1102" i="34"/>
  <c r="E1102" i="34"/>
  <c r="D1102" i="34"/>
  <c r="C1102" i="34"/>
  <c r="B1102" i="34"/>
  <c r="A1102" i="34"/>
  <c r="J1101" i="34"/>
  <c r="I1101" i="34"/>
  <c r="G1101" i="34"/>
  <c r="F1101" i="34"/>
  <c r="E1101" i="34"/>
  <c r="D1101" i="34"/>
  <c r="C1101" i="34"/>
  <c r="B1101" i="34"/>
  <c r="A1101" i="34"/>
  <c r="J1100" i="34"/>
  <c r="I1100" i="34"/>
  <c r="G1100" i="34"/>
  <c r="F1100" i="34"/>
  <c r="E1100" i="34"/>
  <c r="D1100" i="34"/>
  <c r="C1100" i="34"/>
  <c r="B1100" i="34"/>
  <c r="A1100" i="34"/>
  <c r="J1099" i="34"/>
  <c r="I1099" i="34"/>
  <c r="G1099" i="34"/>
  <c r="F1099" i="34"/>
  <c r="E1099" i="34"/>
  <c r="D1099" i="34"/>
  <c r="C1099" i="34"/>
  <c r="B1099" i="34"/>
  <c r="A1099" i="34"/>
  <c r="J1098" i="34"/>
  <c r="I1098" i="34"/>
  <c r="G1098" i="34"/>
  <c r="F1098" i="34"/>
  <c r="E1098" i="34"/>
  <c r="D1098" i="34"/>
  <c r="C1098" i="34"/>
  <c r="B1098" i="34"/>
  <c r="A1098" i="34"/>
  <c r="J1097" i="34"/>
  <c r="I1097" i="34"/>
  <c r="G1097" i="34"/>
  <c r="F1097" i="34"/>
  <c r="E1097" i="34"/>
  <c r="D1097" i="34"/>
  <c r="C1097" i="34"/>
  <c r="B1097" i="34"/>
  <c r="A1097" i="34"/>
  <c r="J1096" i="34"/>
  <c r="I1096" i="34"/>
  <c r="G1096" i="34"/>
  <c r="F1096" i="34"/>
  <c r="E1096" i="34"/>
  <c r="D1096" i="34"/>
  <c r="C1096" i="34"/>
  <c r="B1096" i="34"/>
  <c r="A1096" i="34"/>
  <c r="J1095" i="34"/>
  <c r="I1095" i="34"/>
  <c r="G1095" i="34"/>
  <c r="F1095" i="34"/>
  <c r="E1095" i="34"/>
  <c r="D1095" i="34"/>
  <c r="C1095" i="34"/>
  <c r="B1095" i="34"/>
  <c r="A1095" i="34"/>
  <c r="J1094" i="34"/>
  <c r="I1094" i="34"/>
  <c r="G1094" i="34"/>
  <c r="F1094" i="34"/>
  <c r="E1094" i="34"/>
  <c r="D1094" i="34"/>
  <c r="C1094" i="34"/>
  <c r="B1094" i="34"/>
  <c r="A1094" i="34"/>
  <c r="J1093" i="34"/>
  <c r="I1093" i="34"/>
  <c r="G1093" i="34"/>
  <c r="F1093" i="34"/>
  <c r="E1093" i="34"/>
  <c r="D1093" i="34"/>
  <c r="C1093" i="34"/>
  <c r="B1093" i="34"/>
  <c r="A1093" i="34"/>
  <c r="J1092" i="34"/>
  <c r="I1092" i="34"/>
  <c r="G1092" i="34"/>
  <c r="F1092" i="34"/>
  <c r="E1092" i="34"/>
  <c r="D1092" i="34"/>
  <c r="C1092" i="34"/>
  <c r="B1092" i="34"/>
  <c r="A1092" i="34"/>
  <c r="J1091" i="34"/>
  <c r="I1091" i="34"/>
  <c r="G1091" i="34"/>
  <c r="F1091" i="34"/>
  <c r="E1091" i="34"/>
  <c r="D1091" i="34"/>
  <c r="C1091" i="34"/>
  <c r="B1091" i="34"/>
  <c r="A1091" i="34"/>
  <c r="J1090" i="34"/>
  <c r="I1090" i="34"/>
  <c r="G1090" i="34"/>
  <c r="F1090" i="34"/>
  <c r="E1090" i="34"/>
  <c r="D1090" i="34"/>
  <c r="C1090" i="34"/>
  <c r="B1090" i="34"/>
  <c r="A1090" i="34"/>
  <c r="J1089" i="34"/>
  <c r="I1089" i="34"/>
  <c r="G1089" i="34"/>
  <c r="F1089" i="34"/>
  <c r="E1089" i="34"/>
  <c r="D1089" i="34"/>
  <c r="C1089" i="34"/>
  <c r="B1089" i="34"/>
  <c r="A1089" i="34"/>
  <c r="J1088" i="34"/>
  <c r="I1088" i="34"/>
  <c r="G1088" i="34"/>
  <c r="F1088" i="34"/>
  <c r="E1088" i="34"/>
  <c r="D1088" i="34"/>
  <c r="C1088" i="34"/>
  <c r="B1088" i="34"/>
  <c r="A1088" i="34"/>
  <c r="J1087" i="34"/>
  <c r="I1087" i="34"/>
  <c r="G1087" i="34"/>
  <c r="F1087" i="34"/>
  <c r="E1087" i="34"/>
  <c r="D1087" i="34"/>
  <c r="C1087" i="34"/>
  <c r="B1087" i="34"/>
  <c r="A1087" i="34"/>
  <c r="J1086" i="34"/>
  <c r="I1086" i="34"/>
  <c r="G1086" i="34"/>
  <c r="F1086" i="34"/>
  <c r="E1086" i="34"/>
  <c r="D1086" i="34"/>
  <c r="C1086" i="34"/>
  <c r="B1086" i="34"/>
  <c r="A1086" i="34"/>
  <c r="J1085" i="34"/>
  <c r="I1085" i="34"/>
  <c r="G1085" i="34"/>
  <c r="F1085" i="34"/>
  <c r="E1085" i="34"/>
  <c r="D1085" i="34"/>
  <c r="C1085" i="34"/>
  <c r="B1085" i="34"/>
  <c r="A1085" i="34"/>
  <c r="J1084" i="34"/>
  <c r="I1084" i="34"/>
  <c r="G1084" i="34"/>
  <c r="F1084" i="34"/>
  <c r="E1084" i="34"/>
  <c r="D1084" i="34"/>
  <c r="C1084" i="34"/>
  <c r="B1084" i="34"/>
  <c r="A1084" i="34"/>
  <c r="J1083" i="34"/>
  <c r="I1083" i="34"/>
  <c r="G1083" i="34"/>
  <c r="F1083" i="34"/>
  <c r="E1083" i="34"/>
  <c r="D1083" i="34"/>
  <c r="C1083" i="34"/>
  <c r="B1083" i="34"/>
  <c r="A1083" i="34"/>
  <c r="J1082" i="34"/>
  <c r="I1082" i="34"/>
  <c r="G1082" i="34"/>
  <c r="F1082" i="34"/>
  <c r="E1082" i="34"/>
  <c r="D1082" i="34"/>
  <c r="C1082" i="34"/>
  <c r="B1082" i="34"/>
  <c r="A1082" i="34"/>
  <c r="J1081" i="34"/>
  <c r="I1081" i="34"/>
  <c r="G1081" i="34"/>
  <c r="F1081" i="34"/>
  <c r="E1081" i="34"/>
  <c r="D1081" i="34"/>
  <c r="C1081" i="34"/>
  <c r="B1081" i="34"/>
  <c r="A1081" i="34"/>
  <c r="J1080" i="34"/>
  <c r="I1080" i="34"/>
  <c r="G1080" i="34"/>
  <c r="F1080" i="34"/>
  <c r="E1080" i="34"/>
  <c r="D1080" i="34"/>
  <c r="C1080" i="34"/>
  <c r="B1080" i="34"/>
  <c r="A1080" i="34"/>
  <c r="J1079" i="34"/>
  <c r="I1079" i="34"/>
  <c r="G1079" i="34"/>
  <c r="F1079" i="34"/>
  <c r="E1079" i="34"/>
  <c r="D1079" i="34"/>
  <c r="C1079" i="34"/>
  <c r="B1079" i="34"/>
  <c r="A1079" i="34"/>
  <c r="J1078" i="34"/>
  <c r="I1078" i="34"/>
  <c r="G1078" i="34"/>
  <c r="F1078" i="34"/>
  <c r="E1078" i="34"/>
  <c r="D1078" i="34"/>
  <c r="C1078" i="34"/>
  <c r="B1078" i="34"/>
  <c r="A1078" i="34"/>
  <c r="J1077" i="34"/>
  <c r="I1077" i="34"/>
  <c r="G1077" i="34"/>
  <c r="F1077" i="34"/>
  <c r="E1077" i="34"/>
  <c r="D1077" i="34"/>
  <c r="C1077" i="34"/>
  <c r="B1077" i="34"/>
  <c r="A1077" i="34"/>
  <c r="J1076" i="34"/>
  <c r="I1076" i="34"/>
  <c r="G1076" i="34"/>
  <c r="F1076" i="34"/>
  <c r="E1076" i="34"/>
  <c r="D1076" i="34"/>
  <c r="C1076" i="34"/>
  <c r="B1076" i="34"/>
  <c r="A1076" i="34"/>
  <c r="J1075" i="34"/>
  <c r="I1075" i="34"/>
  <c r="G1075" i="34"/>
  <c r="F1075" i="34"/>
  <c r="E1075" i="34"/>
  <c r="D1075" i="34"/>
  <c r="C1075" i="34"/>
  <c r="B1075" i="34"/>
  <c r="A1075" i="34"/>
  <c r="J1074" i="34"/>
  <c r="I1074" i="34"/>
  <c r="G1074" i="34"/>
  <c r="F1074" i="34"/>
  <c r="E1074" i="34"/>
  <c r="D1074" i="34"/>
  <c r="C1074" i="34"/>
  <c r="B1074" i="34"/>
  <c r="A1074" i="34"/>
  <c r="J1073" i="34"/>
  <c r="I1073" i="34"/>
  <c r="G1073" i="34"/>
  <c r="F1073" i="34"/>
  <c r="E1073" i="34"/>
  <c r="D1073" i="34"/>
  <c r="C1073" i="34"/>
  <c r="B1073" i="34"/>
  <c r="A1073" i="34"/>
  <c r="J1072" i="34"/>
  <c r="I1072" i="34"/>
  <c r="G1072" i="34"/>
  <c r="F1072" i="34"/>
  <c r="E1072" i="34"/>
  <c r="D1072" i="34"/>
  <c r="C1072" i="34"/>
  <c r="B1072" i="34"/>
  <c r="A1072" i="34"/>
  <c r="J1071" i="34"/>
  <c r="I1071" i="34"/>
  <c r="G1071" i="34"/>
  <c r="F1071" i="34"/>
  <c r="E1071" i="34"/>
  <c r="D1071" i="34"/>
  <c r="C1071" i="34"/>
  <c r="B1071" i="34"/>
  <c r="A1071" i="34"/>
  <c r="J1070" i="34"/>
  <c r="I1070" i="34"/>
  <c r="G1070" i="34"/>
  <c r="F1070" i="34"/>
  <c r="E1070" i="34"/>
  <c r="D1070" i="34"/>
  <c r="C1070" i="34"/>
  <c r="B1070" i="34"/>
  <c r="A1070" i="34"/>
  <c r="J1069" i="34"/>
  <c r="I1069" i="34"/>
  <c r="G1069" i="34"/>
  <c r="F1069" i="34"/>
  <c r="E1069" i="34"/>
  <c r="D1069" i="34"/>
  <c r="C1069" i="34"/>
  <c r="B1069" i="34"/>
  <c r="A1069" i="34"/>
  <c r="J1068" i="34"/>
  <c r="I1068" i="34"/>
  <c r="G1068" i="34"/>
  <c r="F1068" i="34"/>
  <c r="E1068" i="34"/>
  <c r="D1068" i="34"/>
  <c r="C1068" i="34"/>
  <c r="B1068" i="34"/>
  <c r="A1068" i="34"/>
  <c r="J1067" i="34"/>
  <c r="I1067" i="34"/>
  <c r="G1067" i="34"/>
  <c r="F1067" i="34"/>
  <c r="E1067" i="34"/>
  <c r="D1067" i="34"/>
  <c r="C1067" i="34"/>
  <c r="B1067" i="34"/>
  <c r="A1067" i="34"/>
  <c r="J1066" i="34"/>
  <c r="I1066" i="34"/>
  <c r="G1066" i="34"/>
  <c r="F1066" i="34"/>
  <c r="E1066" i="34"/>
  <c r="D1066" i="34"/>
  <c r="C1066" i="34"/>
  <c r="B1066" i="34"/>
  <c r="A1066" i="34"/>
  <c r="J1065" i="34"/>
  <c r="I1065" i="34"/>
  <c r="G1065" i="34"/>
  <c r="F1065" i="34"/>
  <c r="E1065" i="34"/>
  <c r="D1065" i="34"/>
  <c r="C1065" i="34"/>
  <c r="B1065" i="34"/>
  <c r="A1065" i="34"/>
  <c r="J1064" i="34"/>
  <c r="I1064" i="34"/>
  <c r="G1064" i="34"/>
  <c r="F1064" i="34"/>
  <c r="E1064" i="34"/>
  <c r="D1064" i="34"/>
  <c r="C1064" i="34"/>
  <c r="B1064" i="34"/>
  <c r="A1064" i="34"/>
  <c r="J1063" i="34"/>
  <c r="I1063" i="34"/>
  <c r="G1063" i="34"/>
  <c r="F1063" i="34"/>
  <c r="E1063" i="34"/>
  <c r="D1063" i="34"/>
  <c r="C1063" i="34"/>
  <c r="B1063" i="34"/>
  <c r="A1063" i="34"/>
  <c r="J1062" i="34"/>
  <c r="I1062" i="34"/>
  <c r="G1062" i="34"/>
  <c r="F1062" i="34"/>
  <c r="E1062" i="34"/>
  <c r="D1062" i="34"/>
  <c r="C1062" i="34"/>
  <c r="B1062" i="34"/>
  <c r="A1062" i="34"/>
  <c r="J1061" i="34"/>
  <c r="I1061" i="34"/>
  <c r="G1061" i="34"/>
  <c r="F1061" i="34"/>
  <c r="E1061" i="34"/>
  <c r="D1061" i="34"/>
  <c r="C1061" i="34"/>
  <c r="B1061" i="34"/>
  <c r="A1061" i="34"/>
  <c r="J1060" i="34"/>
  <c r="I1060" i="34"/>
  <c r="G1060" i="34"/>
  <c r="F1060" i="34"/>
  <c r="E1060" i="34"/>
  <c r="D1060" i="34"/>
  <c r="C1060" i="34"/>
  <c r="B1060" i="34"/>
  <c r="A1060" i="34"/>
  <c r="J1059" i="34"/>
  <c r="I1059" i="34"/>
  <c r="G1059" i="34"/>
  <c r="F1059" i="34"/>
  <c r="E1059" i="34"/>
  <c r="D1059" i="34"/>
  <c r="C1059" i="34"/>
  <c r="B1059" i="34"/>
  <c r="A1059" i="34"/>
  <c r="J1058" i="34"/>
  <c r="I1058" i="34"/>
  <c r="G1058" i="34"/>
  <c r="F1058" i="34"/>
  <c r="E1058" i="34"/>
  <c r="D1058" i="34"/>
  <c r="C1058" i="34"/>
  <c r="B1058" i="34"/>
  <c r="A1058" i="34"/>
  <c r="J1057" i="34"/>
  <c r="I1057" i="34"/>
  <c r="G1057" i="34"/>
  <c r="F1057" i="34"/>
  <c r="E1057" i="34"/>
  <c r="D1057" i="34"/>
  <c r="C1057" i="34"/>
  <c r="B1057" i="34"/>
  <c r="A1057" i="34"/>
  <c r="J1056" i="34"/>
  <c r="I1056" i="34"/>
  <c r="G1056" i="34"/>
  <c r="F1056" i="34"/>
  <c r="E1056" i="34"/>
  <c r="D1056" i="34"/>
  <c r="C1056" i="34"/>
  <c r="B1056" i="34"/>
  <c r="A1056" i="34"/>
  <c r="J1055" i="34"/>
  <c r="I1055" i="34"/>
  <c r="G1055" i="34"/>
  <c r="F1055" i="34"/>
  <c r="E1055" i="34"/>
  <c r="D1055" i="34"/>
  <c r="C1055" i="34"/>
  <c r="B1055" i="34"/>
  <c r="A1055" i="34"/>
  <c r="J1054" i="34"/>
  <c r="I1054" i="34"/>
  <c r="G1054" i="34"/>
  <c r="F1054" i="34"/>
  <c r="E1054" i="34"/>
  <c r="D1054" i="34"/>
  <c r="C1054" i="34"/>
  <c r="B1054" i="34"/>
  <c r="A1054" i="34"/>
  <c r="J1053" i="34"/>
  <c r="I1053" i="34"/>
  <c r="G1053" i="34"/>
  <c r="F1053" i="34"/>
  <c r="E1053" i="34"/>
  <c r="D1053" i="34"/>
  <c r="C1053" i="34"/>
  <c r="B1053" i="34"/>
  <c r="A1053" i="34"/>
  <c r="J1052" i="34"/>
  <c r="I1052" i="34"/>
  <c r="G1052" i="34"/>
  <c r="F1052" i="34"/>
  <c r="E1052" i="34"/>
  <c r="D1052" i="34"/>
  <c r="C1052" i="34"/>
  <c r="B1052" i="34"/>
  <c r="A1052" i="34"/>
  <c r="J1051" i="34"/>
  <c r="I1051" i="34"/>
  <c r="G1051" i="34"/>
  <c r="F1051" i="34"/>
  <c r="E1051" i="34"/>
  <c r="D1051" i="34"/>
  <c r="C1051" i="34"/>
  <c r="B1051" i="34"/>
  <c r="A1051" i="34"/>
  <c r="J1050" i="34"/>
  <c r="I1050" i="34"/>
  <c r="G1050" i="34"/>
  <c r="F1050" i="34"/>
  <c r="E1050" i="34"/>
  <c r="D1050" i="34"/>
  <c r="C1050" i="34"/>
  <c r="B1050" i="34"/>
  <c r="A1050" i="34"/>
  <c r="J1049" i="34"/>
  <c r="I1049" i="34"/>
  <c r="G1049" i="34"/>
  <c r="F1049" i="34"/>
  <c r="E1049" i="34"/>
  <c r="D1049" i="34"/>
  <c r="C1049" i="34"/>
  <c r="B1049" i="34"/>
  <c r="A1049" i="34"/>
  <c r="J1048" i="34"/>
  <c r="I1048" i="34"/>
  <c r="G1048" i="34"/>
  <c r="F1048" i="34"/>
  <c r="E1048" i="34"/>
  <c r="D1048" i="34"/>
  <c r="C1048" i="34"/>
  <c r="B1048" i="34"/>
  <c r="A1048" i="34"/>
  <c r="J1047" i="34"/>
  <c r="I1047" i="34"/>
  <c r="G1047" i="34"/>
  <c r="F1047" i="34"/>
  <c r="E1047" i="34"/>
  <c r="D1047" i="34"/>
  <c r="C1047" i="34"/>
  <c r="B1047" i="34"/>
  <c r="A1047" i="34"/>
  <c r="J1046" i="34"/>
  <c r="I1046" i="34"/>
  <c r="G1046" i="34"/>
  <c r="F1046" i="34"/>
  <c r="E1046" i="34"/>
  <c r="D1046" i="34"/>
  <c r="C1046" i="34"/>
  <c r="B1046" i="34"/>
  <c r="A1046" i="34"/>
  <c r="J1045" i="34"/>
  <c r="I1045" i="34"/>
  <c r="G1045" i="34"/>
  <c r="F1045" i="34"/>
  <c r="E1045" i="34"/>
  <c r="D1045" i="34"/>
  <c r="C1045" i="34"/>
  <c r="B1045" i="34"/>
  <c r="A1045" i="34"/>
  <c r="J1044" i="34"/>
  <c r="I1044" i="34"/>
  <c r="G1044" i="34"/>
  <c r="F1044" i="34"/>
  <c r="E1044" i="34"/>
  <c r="D1044" i="34"/>
  <c r="C1044" i="34"/>
  <c r="B1044" i="34"/>
  <c r="A1044" i="34"/>
  <c r="J1043" i="34"/>
  <c r="I1043" i="34"/>
  <c r="G1043" i="34"/>
  <c r="F1043" i="34"/>
  <c r="E1043" i="34"/>
  <c r="D1043" i="34"/>
  <c r="C1043" i="34"/>
  <c r="B1043" i="34"/>
  <c r="A1043" i="34"/>
  <c r="J1042" i="34"/>
  <c r="I1042" i="34"/>
  <c r="G1042" i="34"/>
  <c r="F1042" i="34"/>
  <c r="E1042" i="34"/>
  <c r="D1042" i="34"/>
  <c r="C1042" i="34"/>
  <c r="B1042" i="34"/>
  <c r="A1042" i="34"/>
  <c r="J1041" i="34"/>
  <c r="I1041" i="34"/>
  <c r="G1041" i="34"/>
  <c r="F1041" i="34"/>
  <c r="E1041" i="34"/>
  <c r="D1041" i="34"/>
  <c r="C1041" i="34"/>
  <c r="B1041" i="34"/>
  <c r="A1041" i="34"/>
  <c r="J1040" i="34"/>
  <c r="I1040" i="34"/>
  <c r="G1040" i="34"/>
  <c r="F1040" i="34"/>
  <c r="E1040" i="34"/>
  <c r="D1040" i="34"/>
  <c r="C1040" i="34"/>
  <c r="B1040" i="34"/>
  <c r="A1040" i="34"/>
  <c r="J1039" i="34"/>
  <c r="I1039" i="34"/>
  <c r="G1039" i="34"/>
  <c r="F1039" i="34"/>
  <c r="E1039" i="34"/>
  <c r="D1039" i="34"/>
  <c r="C1039" i="34"/>
  <c r="B1039" i="34"/>
  <c r="A1039" i="34"/>
  <c r="J1038" i="34"/>
  <c r="I1038" i="34"/>
  <c r="G1038" i="34"/>
  <c r="F1038" i="34"/>
  <c r="E1038" i="34"/>
  <c r="D1038" i="34"/>
  <c r="C1038" i="34"/>
  <c r="B1038" i="34"/>
  <c r="A1038" i="34"/>
  <c r="J1037" i="34"/>
  <c r="I1037" i="34"/>
  <c r="G1037" i="34"/>
  <c r="F1037" i="34"/>
  <c r="E1037" i="34"/>
  <c r="D1037" i="34"/>
  <c r="C1037" i="34"/>
  <c r="B1037" i="34"/>
  <c r="A1037" i="34"/>
  <c r="J1036" i="34"/>
  <c r="I1036" i="34"/>
  <c r="G1036" i="34"/>
  <c r="F1036" i="34"/>
  <c r="E1036" i="34"/>
  <c r="D1036" i="34"/>
  <c r="C1036" i="34"/>
  <c r="B1036" i="34"/>
  <c r="A1036" i="34"/>
  <c r="J1035" i="34"/>
  <c r="I1035" i="34"/>
  <c r="G1035" i="34"/>
  <c r="F1035" i="34"/>
  <c r="E1035" i="34"/>
  <c r="D1035" i="34"/>
  <c r="C1035" i="34"/>
  <c r="B1035" i="34"/>
  <c r="A1035" i="34"/>
  <c r="J1034" i="34"/>
  <c r="I1034" i="34"/>
  <c r="G1034" i="34"/>
  <c r="F1034" i="34"/>
  <c r="E1034" i="34"/>
  <c r="D1034" i="34"/>
  <c r="C1034" i="34"/>
  <c r="B1034" i="34"/>
  <c r="A1034" i="34"/>
  <c r="J1033" i="34"/>
  <c r="I1033" i="34"/>
  <c r="G1033" i="34"/>
  <c r="F1033" i="34"/>
  <c r="E1033" i="34"/>
  <c r="D1033" i="34"/>
  <c r="C1033" i="34"/>
  <c r="B1033" i="34"/>
  <c r="A1033" i="34"/>
  <c r="J1032" i="34"/>
  <c r="I1032" i="34"/>
  <c r="G1032" i="34"/>
  <c r="F1032" i="34"/>
  <c r="E1032" i="34"/>
  <c r="D1032" i="34"/>
  <c r="C1032" i="34"/>
  <c r="B1032" i="34"/>
  <c r="A1032" i="34"/>
  <c r="J1031" i="34"/>
  <c r="I1031" i="34"/>
  <c r="G1031" i="34"/>
  <c r="F1031" i="34"/>
  <c r="E1031" i="34"/>
  <c r="D1031" i="34"/>
  <c r="C1031" i="34"/>
  <c r="B1031" i="34"/>
  <c r="A1031" i="34"/>
  <c r="J1030" i="34"/>
  <c r="I1030" i="34"/>
  <c r="G1030" i="34"/>
  <c r="F1030" i="34"/>
  <c r="E1030" i="34"/>
  <c r="D1030" i="34"/>
  <c r="C1030" i="34"/>
  <c r="B1030" i="34"/>
  <c r="A1030" i="34"/>
  <c r="J1029" i="34"/>
  <c r="I1029" i="34"/>
  <c r="G1029" i="34"/>
  <c r="F1029" i="34"/>
  <c r="E1029" i="34"/>
  <c r="D1029" i="34"/>
  <c r="C1029" i="34"/>
  <c r="B1029" i="34"/>
  <c r="A1029" i="34"/>
  <c r="J1028" i="34"/>
  <c r="I1028" i="34"/>
  <c r="G1028" i="34"/>
  <c r="F1028" i="34"/>
  <c r="E1028" i="34"/>
  <c r="D1028" i="34"/>
  <c r="C1028" i="34"/>
  <c r="B1028" i="34"/>
  <c r="A1028" i="34"/>
  <c r="J1027" i="34"/>
  <c r="I1027" i="34"/>
  <c r="G1027" i="34"/>
  <c r="F1027" i="34"/>
  <c r="E1027" i="34"/>
  <c r="D1027" i="34"/>
  <c r="C1027" i="34"/>
  <c r="B1027" i="34"/>
  <c r="A1027" i="34"/>
  <c r="J1026" i="34"/>
  <c r="I1026" i="34"/>
  <c r="G1026" i="34"/>
  <c r="F1026" i="34"/>
  <c r="E1026" i="34"/>
  <c r="D1026" i="34"/>
  <c r="C1026" i="34"/>
  <c r="B1026" i="34"/>
  <c r="A1026" i="34"/>
  <c r="J1025" i="34"/>
  <c r="I1025" i="34"/>
  <c r="G1025" i="34"/>
  <c r="F1025" i="34"/>
  <c r="E1025" i="34"/>
  <c r="D1025" i="34"/>
  <c r="C1025" i="34"/>
  <c r="B1025" i="34"/>
  <c r="A1025" i="34"/>
  <c r="J1024" i="34"/>
  <c r="I1024" i="34"/>
  <c r="G1024" i="34"/>
  <c r="F1024" i="34"/>
  <c r="E1024" i="34"/>
  <c r="D1024" i="34"/>
  <c r="C1024" i="34"/>
  <c r="B1024" i="34"/>
  <c r="A1024" i="34"/>
  <c r="J1023" i="34"/>
  <c r="I1023" i="34"/>
  <c r="G1023" i="34"/>
  <c r="F1023" i="34"/>
  <c r="E1023" i="34"/>
  <c r="D1023" i="34"/>
  <c r="C1023" i="34"/>
  <c r="B1023" i="34"/>
  <c r="A1023" i="34"/>
  <c r="J1022" i="34"/>
  <c r="I1022" i="34"/>
  <c r="G1022" i="34"/>
  <c r="F1022" i="34"/>
  <c r="E1022" i="34"/>
  <c r="D1022" i="34"/>
  <c r="C1022" i="34"/>
  <c r="B1022" i="34"/>
  <c r="A1022" i="34"/>
  <c r="J1021" i="34"/>
  <c r="I1021" i="34"/>
  <c r="G1021" i="34"/>
  <c r="F1021" i="34"/>
  <c r="E1021" i="34"/>
  <c r="D1021" i="34"/>
  <c r="C1021" i="34"/>
  <c r="B1021" i="34"/>
  <c r="A1021" i="34"/>
  <c r="J1020" i="34"/>
  <c r="I1020" i="34"/>
  <c r="G1020" i="34"/>
  <c r="F1020" i="34"/>
  <c r="E1020" i="34"/>
  <c r="D1020" i="34"/>
  <c r="C1020" i="34"/>
  <c r="B1020" i="34"/>
  <c r="A1020" i="34"/>
  <c r="J1019" i="34"/>
  <c r="I1019" i="34"/>
  <c r="G1019" i="34"/>
  <c r="F1019" i="34"/>
  <c r="E1019" i="34"/>
  <c r="D1019" i="34"/>
  <c r="C1019" i="34"/>
  <c r="B1019" i="34"/>
  <c r="A1019" i="34"/>
  <c r="J1018" i="34"/>
  <c r="I1018" i="34"/>
  <c r="G1018" i="34"/>
  <c r="F1018" i="34"/>
  <c r="E1018" i="34"/>
  <c r="D1018" i="34"/>
  <c r="C1018" i="34"/>
  <c r="B1018" i="34"/>
  <c r="A1018" i="34"/>
  <c r="J1017" i="34"/>
  <c r="I1017" i="34"/>
  <c r="G1017" i="34"/>
  <c r="F1017" i="34"/>
  <c r="E1017" i="34"/>
  <c r="D1017" i="34"/>
  <c r="C1017" i="34"/>
  <c r="B1017" i="34"/>
  <c r="A1017" i="34"/>
  <c r="J1016" i="34"/>
  <c r="I1016" i="34"/>
  <c r="G1016" i="34"/>
  <c r="F1016" i="34"/>
  <c r="E1016" i="34"/>
  <c r="D1016" i="34"/>
  <c r="C1016" i="34"/>
  <c r="B1016" i="34"/>
  <c r="A1016" i="34"/>
  <c r="J1015" i="34"/>
  <c r="I1015" i="34"/>
  <c r="G1015" i="34"/>
  <c r="F1015" i="34"/>
  <c r="E1015" i="34"/>
  <c r="D1015" i="34"/>
  <c r="C1015" i="34"/>
  <c r="B1015" i="34"/>
  <c r="A1015" i="34"/>
  <c r="J1014" i="34"/>
  <c r="I1014" i="34"/>
  <c r="G1014" i="34"/>
  <c r="F1014" i="34"/>
  <c r="E1014" i="34"/>
  <c r="D1014" i="34"/>
  <c r="C1014" i="34"/>
  <c r="B1014" i="34"/>
  <c r="A1014" i="34"/>
  <c r="J1013" i="34"/>
  <c r="I1013" i="34"/>
  <c r="G1013" i="34"/>
  <c r="F1013" i="34"/>
  <c r="E1013" i="34"/>
  <c r="D1013" i="34"/>
  <c r="C1013" i="34"/>
  <c r="B1013" i="34"/>
  <c r="A1013" i="34"/>
  <c r="J1012" i="34"/>
  <c r="I1012" i="34"/>
  <c r="G1012" i="34"/>
  <c r="F1012" i="34"/>
  <c r="E1012" i="34"/>
  <c r="D1012" i="34"/>
  <c r="C1012" i="34"/>
  <c r="B1012" i="34"/>
  <c r="A1012" i="34"/>
  <c r="J1011" i="34"/>
  <c r="I1011" i="34"/>
  <c r="G1011" i="34"/>
  <c r="F1011" i="34"/>
  <c r="E1011" i="34"/>
  <c r="D1011" i="34"/>
  <c r="C1011" i="34"/>
  <c r="B1011" i="34"/>
  <c r="A1011" i="34"/>
  <c r="J1010" i="34"/>
  <c r="I1010" i="34"/>
  <c r="G1010" i="34"/>
  <c r="F1010" i="34"/>
  <c r="E1010" i="34"/>
  <c r="D1010" i="34"/>
  <c r="C1010" i="34"/>
  <c r="B1010" i="34"/>
  <c r="A1010" i="34"/>
  <c r="J1009" i="34"/>
  <c r="I1009" i="34"/>
  <c r="G1009" i="34"/>
  <c r="F1009" i="34"/>
  <c r="E1009" i="34"/>
  <c r="D1009" i="34"/>
  <c r="C1009" i="34"/>
  <c r="B1009" i="34"/>
  <c r="A1009" i="34"/>
  <c r="J1008" i="34"/>
  <c r="I1008" i="34"/>
  <c r="G1008" i="34"/>
  <c r="F1008" i="34"/>
  <c r="E1008" i="34"/>
  <c r="D1008" i="34"/>
  <c r="C1008" i="34"/>
  <c r="B1008" i="34"/>
  <c r="A1008" i="34"/>
  <c r="J1007" i="34"/>
  <c r="I1007" i="34"/>
  <c r="G1007" i="34"/>
  <c r="F1007" i="34"/>
  <c r="E1007" i="34"/>
  <c r="D1007" i="34"/>
  <c r="C1007" i="34"/>
  <c r="B1007" i="34"/>
  <c r="A1007" i="34"/>
  <c r="J1006" i="34"/>
  <c r="I1006" i="34"/>
  <c r="G1006" i="34"/>
  <c r="F1006" i="34"/>
  <c r="E1006" i="34"/>
  <c r="D1006" i="34"/>
  <c r="C1006" i="34"/>
  <c r="B1006" i="34"/>
  <c r="A1006" i="34"/>
  <c r="J1005" i="34"/>
  <c r="I1005" i="34"/>
  <c r="G1005" i="34"/>
  <c r="F1005" i="34"/>
  <c r="E1005" i="34"/>
  <c r="D1005" i="34"/>
  <c r="C1005" i="34"/>
  <c r="B1005" i="34"/>
  <c r="A1005" i="34"/>
  <c r="J1004" i="34"/>
  <c r="I1004" i="34"/>
  <c r="G1004" i="34"/>
  <c r="F1004" i="34"/>
  <c r="E1004" i="34"/>
  <c r="D1004" i="34"/>
  <c r="C1004" i="34"/>
  <c r="B1004" i="34"/>
  <c r="A1004" i="34"/>
  <c r="J1003" i="34"/>
  <c r="I1003" i="34"/>
  <c r="G1003" i="34"/>
  <c r="F1003" i="34"/>
  <c r="E1003" i="34"/>
  <c r="D1003" i="34"/>
  <c r="C1003" i="34"/>
  <c r="B1003" i="34"/>
  <c r="A1003" i="34"/>
  <c r="J1002" i="34"/>
  <c r="I1002" i="34"/>
  <c r="G1002" i="34"/>
  <c r="F1002" i="34"/>
  <c r="E1002" i="34"/>
  <c r="D1002" i="34"/>
  <c r="C1002" i="34"/>
  <c r="B1002" i="34"/>
  <c r="A1002" i="34"/>
  <c r="J1001" i="34"/>
  <c r="I1001" i="34"/>
  <c r="G1001" i="34"/>
  <c r="F1001" i="34"/>
  <c r="E1001" i="34"/>
  <c r="D1001" i="34"/>
  <c r="C1001" i="34"/>
  <c r="B1001" i="34"/>
  <c r="A1001" i="34"/>
  <c r="J1000" i="34"/>
  <c r="I1000" i="34"/>
  <c r="G1000" i="34"/>
  <c r="F1000" i="34"/>
  <c r="E1000" i="34"/>
  <c r="D1000" i="34"/>
  <c r="C1000" i="34"/>
  <c r="B1000" i="34"/>
  <c r="A1000" i="34"/>
  <c r="J999" i="34"/>
  <c r="I999" i="34"/>
  <c r="G999" i="34"/>
  <c r="F999" i="34"/>
  <c r="E999" i="34"/>
  <c r="D999" i="34"/>
  <c r="C999" i="34"/>
  <c r="B999" i="34"/>
  <c r="A999" i="34"/>
  <c r="J998" i="34"/>
  <c r="I998" i="34"/>
  <c r="G998" i="34"/>
  <c r="F998" i="34"/>
  <c r="E998" i="34"/>
  <c r="D998" i="34"/>
  <c r="C998" i="34"/>
  <c r="B998" i="34"/>
  <c r="A998" i="34"/>
  <c r="J997" i="34"/>
  <c r="I997" i="34"/>
  <c r="G997" i="34"/>
  <c r="F997" i="34"/>
  <c r="E997" i="34"/>
  <c r="D997" i="34"/>
  <c r="C997" i="34"/>
  <c r="B997" i="34"/>
  <c r="A997" i="34"/>
  <c r="J996" i="34"/>
  <c r="I996" i="34"/>
  <c r="G996" i="34"/>
  <c r="F996" i="34"/>
  <c r="E996" i="34"/>
  <c r="D996" i="34"/>
  <c r="C996" i="34"/>
  <c r="B996" i="34"/>
  <c r="A996" i="34"/>
  <c r="J995" i="34"/>
  <c r="I995" i="34"/>
  <c r="G995" i="34"/>
  <c r="F995" i="34"/>
  <c r="E995" i="34"/>
  <c r="D995" i="34"/>
  <c r="C995" i="34"/>
  <c r="B995" i="34"/>
  <c r="A995" i="34"/>
  <c r="J994" i="34"/>
  <c r="I994" i="34"/>
  <c r="G994" i="34"/>
  <c r="F994" i="34"/>
  <c r="E994" i="34"/>
  <c r="D994" i="34"/>
  <c r="C994" i="34"/>
  <c r="B994" i="34"/>
  <c r="A994" i="34"/>
  <c r="J993" i="34"/>
  <c r="I993" i="34"/>
  <c r="G993" i="34"/>
  <c r="F993" i="34"/>
  <c r="E993" i="34"/>
  <c r="D993" i="34"/>
  <c r="C993" i="34"/>
  <c r="B993" i="34"/>
  <c r="A993" i="34"/>
  <c r="J992" i="34"/>
  <c r="I992" i="34"/>
  <c r="G992" i="34"/>
  <c r="F992" i="34"/>
  <c r="E992" i="34"/>
  <c r="D992" i="34"/>
  <c r="C992" i="34"/>
  <c r="B992" i="34"/>
  <c r="A992" i="34"/>
  <c r="J991" i="34"/>
  <c r="I991" i="34"/>
  <c r="G991" i="34"/>
  <c r="F991" i="34"/>
  <c r="E991" i="34"/>
  <c r="D991" i="34"/>
  <c r="C991" i="34"/>
  <c r="B991" i="34"/>
  <c r="A991" i="34"/>
  <c r="J990" i="34"/>
  <c r="I990" i="34"/>
  <c r="G990" i="34"/>
  <c r="F990" i="34"/>
  <c r="E990" i="34"/>
  <c r="D990" i="34"/>
  <c r="C990" i="34"/>
  <c r="B990" i="34"/>
  <c r="A990" i="34"/>
  <c r="J989" i="34"/>
  <c r="I989" i="34"/>
  <c r="G989" i="34"/>
  <c r="F989" i="34"/>
  <c r="E989" i="34"/>
  <c r="D989" i="34"/>
  <c r="C989" i="34"/>
  <c r="B989" i="34"/>
  <c r="A989" i="34"/>
  <c r="J988" i="34"/>
  <c r="I988" i="34"/>
  <c r="G988" i="34"/>
  <c r="F988" i="34"/>
  <c r="E988" i="34"/>
  <c r="D988" i="34"/>
  <c r="C988" i="34"/>
  <c r="B988" i="34"/>
  <c r="A988" i="34"/>
  <c r="J987" i="34"/>
  <c r="I987" i="34"/>
  <c r="G987" i="34"/>
  <c r="F987" i="34"/>
  <c r="E987" i="34"/>
  <c r="D987" i="34"/>
  <c r="C987" i="34"/>
  <c r="B987" i="34"/>
  <c r="A987" i="34"/>
  <c r="J986" i="34"/>
  <c r="I986" i="34"/>
  <c r="G986" i="34"/>
  <c r="F986" i="34"/>
  <c r="E986" i="34"/>
  <c r="D986" i="34"/>
  <c r="C986" i="34"/>
  <c r="B986" i="34"/>
  <c r="A986" i="34"/>
  <c r="J985" i="34"/>
  <c r="I985" i="34"/>
  <c r="G985" i="34"/>
  <c r="F985" i="34"/>
  <c r="E985" i="34"/>
  <c r="D985" i="34"/>
  <c r="C985" i="34"/>
  <c r="B985" i="34"/>
  <c r="A985" i="34"/>
  <c r="J984" i="34"/>
  <c r="I984" i="34"/>
  <c r="G984" i="34"/>
  <c r="F984" i="34"/>
  <c r="E984" i="34"/>
  <c r="D984" i="34"/>
  <c r="C984" i="34"/>
  <c r="B984" i="34"/>
  <c r="A984" i="34"/>
  <c r="J983" i="34"/>
  <c r="I983" i="34"/>
  <c r="G983" i="34"/>
  <c r="F983" i="34"/>
  <c r="E983" i="34"/>
  <c r="D983" i="34"/>
  <c r="C983" i="34"/>
  <c r="B983" i="34"/>
  <c r="A983" i="34"/>
  <c r="J982" i="34"/>
  <c r="I982" i="34"/>
  <c r="G982" i="34"/>
  <c r="F982" i="34"/>
  <c r="E982" i="34"/>
  <c r="D982" i="34"/>
  <c r="C982" i="34"/>
  <c r="B982" i="34"/>
  <c r="A982" i="34"/>
  <c r="J981" i="34"/>
  <c r="I981" i="34"/>
  <c r="G981" i="34"/>
  <c r="F981" i="34"/>
  <c r="E981" i="34"/>
  <c r="D981" i="34"/>
  <c r="C981" i="34"/>
  <c r="B981" i="34"/>
  <c r="A981" i="34"/>
  <c r="J980" i="34"/>
  <c r="I980" i="34"/>
  <c r="G980" i="34"/>
  <c r="F980" i="34"/>
  <c r="E980" i="34"/>
  <c r="D980" i="34"/>
  <c r="C980" i="34"/>
  <c r="B980" i="34"/>
  <c r="A980" i="34"/>
  <c r="J979" i="34"/>
  <c r="I979" i="34"/>
  <c r="G979" i="34"/>
  <c r="F979" i="34"/>
  <c r="E979" i="34"/>
  <c r="D979" i="34"/>
  <c r="C979" i="34"/>
  <c r="B979" i="34"/>
  <c r="A979" i="34"/>
  <c r="J978" i="34"/>
  <c r="I978" i="34"/>
  <c r="G978" i="34"/>
  <c r="F978" i="34"/>
  <c r="E978" i="34"/>
  <c r="D978" i="34"/>
  <c r="C978" i="34"/>
  <c r="B978" i="34"/>
  <c r="A978" i="34"/>
  <c r="J977" i="34"/>
  <c r="I977" i="34"/>
  <c r="G977" i="34"/>
  <c r="F977" i="34"/>
  <c r="E977" i="34"/>
  <c r="D977" i="34"/>
  <c r="C977" i="34"/>
  <c r="B977" i="34"/>
  <c r="A977" i="34"/>
  <c r="J976" i="34"/>
  <c r="I976" i="34"/>
  <c r="G976" i="34"/>
  <c r="F976" i="34"/>
  <c r="E976" i="34"/>
  <c r="D976" i="34"/>
  <c r="C976" i="34"/>
  <c r="B976" i="34"/>
  <c r="A976" i="34"/>
  <c r="J975" i="34"/>
  <c r="I975" i="34"/>
  <c r="G975" i="34"/>
  <c r="F975" i="34"/>
  <c r="E975" i="34"/>
  <c r="D975" i="34"/>
  <c r="C975" i="34"/>
  <c r="B975" i="34"/>
  <c r="A975" i="34"/>
  <c r="J974" i="34"/>
  <c r="I974" i="34"/>
  <c r="G974" i="34"/>
  <c r="F974" i="34"/>
  <c r="E974" i="34"/>
  <c r="D974" i="34"/>
  <c r="C974" i="34"/>
  <c r="B974" i="34"/>
  <c r="A974" i="34"/>
  <c r="J973" i="34"/>
  <c r="I973" i="34"/>
  <c r="G973" i="34"/>
  <c r="F973" i="34"/>
  <c r="E973" i="34"/>
  <c r="D973" i="34"/>
  <c r="C973" i="34"/>
  <c r="B973" i="34"/>
  <c r="A973" i="34"/>
  <c r="J972" i="34"/>
  <c r="I972" i="34"/>
  <c r="G972" i="34"/>
  <c r="F972" i="34"/>
  <c r="E972" i="34"/>
  <c r="D972" i="34"/>
  <c r="C972" i="34"/>
  <c r="B972" i="34"/>
  <c r="A972" i="34"/>
  <c r="J971" i="34"/>
  <c r="I971" i="34"/>
  <c r="G971" i="34"/>
  <c r="F971" i="34"/>
  <c r="E971" i="34"/>
  <c r="D971" i="34"/>
  <c r="C971" i="34"/>
  <c r="B971" i="34"/>
  <c r="A971" i="34"/>
  <c r="J970" i="34"/>
  <c r="I970" i="34"/>
  <c r="G970" i="34"/>
  <c r="F970" i="34"/>
  <c r="E970" i="34"/>
  <c r="D970" i="34"/>
  <c r="C970" i="34"/>
  <c r="B970" i="34"/>
  <c r="A970" i="34"/>
  <c r="J969" i="34"/>
  <c r="I969" i="34"/>
  <c r="G969" i="34"/>
  <c r="F969" i="34"/>
  <c r="E969" i="34"/>
  <c r="D969" i="34"/>
  <c r="C969" i="34"/>
  <c r="B969" i="34"/>
  <c r="A969" i="34"/>
  <c r="J968" i="34"/>
  <c r="I968" i="34"/>
  <c r="G968" i="34"/>
  <c r="F968" i="34"/>
  <c r="E968" i="34"/>
  <c r="D968" i="34"/>
  <c r="C968" i="34"/>
  <c r="B968" i="34"/>
  <c r="A968" i="34"/>
  <c r="J967" i="34"/>
  <c r="I967" i="34"/>
  <c r="G967" i="34"/>
  <c r="F967" i="34"/>
  <c r="E967" i="34"/>
  <c r="D967" i="34"/>
  <c r="C967" i="34"/>
  <c r="B967" i="34"/>
  <c r="A967" i="34"/>
  <c r="J966" i="34"/>
  <c r="I966" i="34"/>
  <c r="G966" i="34"/>
  <c r="F966" i="34"/>
  <c r="E966" i="34"/>
  <c r="D966" i="34"/>
  <c r="C966" i="34"/>
  <c r="B966" i="34"/>
  <c r="A966" i="34"/>
  <c r="J965" i="34"/>
  <c r="I965" i="34"/>
  <c r="G965" i="34"/>
  <c r="F965" i="34"/>
  <c r="E965" i="34"/>
  <c r="D965" i="34"/>
  <c r="C965" i="34"/>
  <c r="B965" i="34"/>
  <c r="A965" i="34"/>
  <c r="J964" i="34"/>
  <c r="I964" i="34"/>
  <c r="G964" i="34"/>
  <c r="F964" i="34"/>
  <c r="E964" i="34"/>
  <c r="D964" i="34"/>
  <c r="C964" i="34"/>
  <c r="B964" i="34"/>
  <c r="A964" i="34"/>
  <c r="J963" i="34"/>
  <c r="I963" i="34"/>
  <c r="G963" i="34"/>
  <c r="F963" i="34"/>
  <c r="E963" i="34"/>
  <c r="D963" i="34"/>
  <c r="C963" i="34"/>
  <c r="B963" i="34"/>
  <c r="A963" i="34"/>
  <c r="J962" i="34"/>
  <c r="I962" i="34"/>
  <c r="G962" i="34"/>
  <c r="F962" i="34"/>
  <c r="E962" i="34"/>
  <c r="D962" i="34"/>
  <c r="C962" i="34"/>
  <c r="B962" i="34"/>
  <c r="A962" i="34"/>
  <c r="J961" i="34"/>
  <c r="I961" i="34"/>
  <c r="G961" i="34"/>
  <c r="F961" i="34"/>
  <c r="E961" i="34"/>
  <c r="D961" i="34"/>
  <c r="C961" i="34"/>
  <c r="B961" i="34"/>
  <c r="A961" i="34"/>
  <c r="J960" i="34"/>
  <c r="I960" i="34"/>
  <c r="G960" i="34"/>
  <c r="F960" i="34"/>
  <c r="E960" i="34"/>
  <c r="D960" i="34"/>
  <c r="C960" i="34"/>
  <c r="B960" i="34"/>
  <c r="A960" i="34"/>
  <c r="J959" i="34"/>
  <c r="I959" i="34"/>
  <c r="G959" i="34"/>
  <c r="F959" i="34"/>
  <c r="E959" i="34"/>
  <c r="D959" i="34"/>
  <c r="C959" i="34"/>
  <c r="B959" i="34"/>
  <c r="A959" i="34"/>
  <c r="J958" i="34"/>
  <c r="I958" i="34"/>
  <c r="G958" i="34"/>
  <c r="F958" i="34"/>
  <c r="E958" i="34"/>
  <c r="D958" i="34"/>
  <c r="C958" i="34"/>
  <c r="B958" i="34"/>
  <c r="A958" i="34"/>
  <c r="J957" i="34"/>
  <c r="I957" i="34"/>
  <c r="G957" i="34"/>
  <c r="F957" i="34"/>
  <c r="E957" i="34"/>
  <c r="D957" i="34"/>
  <c r="C957" i="34"/>
  <c r="B957" i="34"/>
  <c r="A957" i="34"/>
  <c r="J956" i="34"/>
  <c r="I956" i="34"/>
  <c r="G956" i="34"/>
  <c r="F956" i="34"/>
  <c r="E956" i="34"/>
  <c r="D956" i="34"/>
  <c r="C956" i="34"/>
  <c r="B956" i="34"/>
  <c r="A956" i="34"/>
  <c r="J955" i="34"/>
  <c r="I955" i="34"/>
  <c r="G955" i="34"/>
  <c r="F955" i="34"/>
  <c r="E955" i="34"/>
  <c r="D955" i="34"/>
  <c r="C955" i="34"/>
  <c r="B955" i="34"/>
  <c r="A955" i="34"/>
  <c r="J954" i="34"/>
  <c r="I954" i="34"/>
  <c r="G954" i="34"/>
  <c r="F954" i="34"/>
  <c r="E954" i="34"/>
  <c r="D954" i="34"/>
  <c r="C954" i="34"/>
  <c r="B954" i="34"/>
  <c r="A954" i="34"/>
  <c r="J953" i="34"/>
  <c r="I953" i="34"/>
  <c r="G953" i="34"/>
  <c r="F953" i="34"/>
  <c r="E953" i="34"/>
  <c r="D953" i="34"/>
  <c r="C953" i="34"/>
  <c r="B953" i="34"/>
  <c r="A953" i="34"/>
  <c r="J952" i="34"/>
  <c r="I952" i="34"/>
  <c r="G952" i="34"/>
  <c r="F952" i="34"/>
  <c r="E952" i="34"/>
  <c r="D952" i="34"/>
  <c r="C952" i="34"/>
  <c r="B952" i="34"/>
  <c r="A952" i="34"/>
  <c r="J951" i="34"/>
  <c r="I951" i="34"/>
  <c r="G951" i="34"/>
  <c r="F951" i="34"/>
  <c r="E951" i="34"/>
  <c r="D951" i="34"/>
  <c r="C951" i="34"/>
  <c r="B951" i="34"/>
  <c r="A951" i="34"/>
  <c r="J950" i="34"/>
  <c r="I950" i="34"/>
  <c r="G950" i="34"/>
  <c r="F950" i="34"/>
  <c r="E950" i="34"/>
  <c r="D950" i="34"/>
  <c r="C950" i="34"/>
  <c r="B950" i="34"/>
  <c r="A950" i="34"/>
  <c r="J949" i="34"/>
  <c r="I949" i="34"/>
  <c r="G949" i="34"/>
  <c r="F949" i="34"/>
  <c r="E949" i="34"/>
  <c r="D949" i="34"/>
  <c r="C949" i="34"/>
  <c r="B949" i="34"/>
  <c r="A949" i="34"/>
  <c r="J948" i="34"/>
  <c r="I948" i="34"/>
  <c r="G948" i="34"/>
  <c r="F948" i="34"/>
  <c r="E948" i="34"/>
  <c r="D948" i="34"/>
  <c r="C948" i="34"/>
  <c r="B948" i="34"/>
  <c r="A948" i="34"/>
  <c r="J947" i="34"/>
  <c r="I947" i="34"/>
  <c r="G947" i="34"/>
  <c r="F947" i="34"/>
  <c r="E947" i="34"/>
  <c r="D947" i="34"/>
  <c r="C947" i="34"/>
  <c r="B947" i="34"/>
  <c r="A947" i="34"/>
  <c r="J946" i="34"/>
  <c r="I946" i="34"/>
  <c r="G946" i="34"/>
  <c r="F946" i="34"/>
  <c r="E946" i="34"/>
  <c r="D946" i="34"/>
  <c r="C946" i="34"/>
  <c r="B946" i="34"/>
  <c r="A946" i="34"/>
  <c r="J945" i="34"/>
  <c r="I945" i="34"/>
  <c r="G945" i="34"/>
  <c r="F945" i="34"/>
  <c r="E945" i="34"/>
  <c r="D945" i="34"/>
  <c r="C945" i="34"/>
  <c r="B945" i="34"/>
  <c r="A945" i="34"/>
  <c r="J944" i="34"/>
  <c r="I944" i="34"/>
  <c r="G944" i="34"/>
  <c r="F944" i="34"/>
  <c r="E944" i="34"/>
  <c r="D944" i="34"/>
  <c r="C944" i="34"/>
  <c r="B944" i="34"/>
  <c r="A944" i="34"/>
  <c r="J943" i="34"/>
  <c r="I943" i="34"/>
  <c r="G943" i="34"/>
  <c r="F943" i="34"/>
  <c r="E943" i="34"/>
  <c r="D943" i="34"/>
  <c r="C943" i="34"/>
  <c r="B943" i="34"/>
  <c r="A943" i="34"/>
  <c r="J942" i="34"/>
  <c r="I942" i="34"/>
  <c r="G942" i="34"/>
  <c r="F942" i="34"/>
  <c r="E942" i="34"/>
  <c r="D942" i="34"/>
  <c r="C942" i="34"/>
  <c r="B942" i="34"/>
  <c r="A942" i="34"/>
  <c r="J941" i="34"/>
  <c r="I941" i="34"/>
  <c r="G941" i="34"/>
  <c r="F941" i="34"/>
  <c r="E941" i="34"/>
  <c r="D941" i="34"/>
  <c r="C941" i="34"/>
  <c r="B941" i="34"/>
  <c r="A941" i="34"/>
  <c r="J940" i="34"/>
  <c r="I940" i="34"/>
  <c r="G940" i="34"/>
  <c r="F940" i="34"/>
  <c r="E940" i="34"/>
  <c r="D940" i="34"/>
  <c r="C940" i="34"/>
  <c r="B940" i="34"/>
  <c r="A940" i="34"/>
  <c r="J939" i="34"/>
  <c r="I939" i="34"/>
  <c r="G939" i="34"/>
  <c r="F939" i="34"/>
  <c r="E939" i="34"/>
  <c r="D939" i="34"/>
  <c r="C939" i="34"/>
  <c r="B939" i="34"/>
  <c r="A939" i="34"/>
  <c r="J938" i="34"/>
  <c r="I938" i="34"/>
  <c r="G938" i="34"/>
  <c r="F938" i="34"/>
  <c r="E938" i="34"/>
  <c r="D938" i="34"/>
  <c r="C938" i="34"/>
  <c r="B938" i="34"/>
  <c r="A938" i="34"/>
  <c r="J937" i="34"/>
  <c r="I937" i="34"/>
  <c r="G937" i="34"/>
  <c r="F937" i="34"/>
  <c r="E937" i="34"/>
  <c r="D937" i="34"/>
  <c r="C937" i="34"/>
  <c r="B937" i="34"/>
  <c r="A937" i="34"/>
  <c r="J936" i="34"/>
  <c r="I936" i="34"/>
  <c r="G936" i="34"/>
  <c r="F936" i="34"/>
  <c r="E936" i="34"/>
  <c r="D936" i="34"/>
  <c r="C936" i="34"/>
  <c r="B936" i="34"/>
  <c r="A936" i="34"/>
  <c r="J935" i="34"/>
  <c r="I935" i="34"/>
  <c r="G935" i="34"/>
  <c r="F935" i="34"/>
  <c r="E935" i="34"/>
  <c r="D935" i="34"/>
  <c r="C935" i="34"/>
  <c r="B935" i="34"/>
  <c r="A935" i="34"/>
  <c r="J934" i="34"/>
  <c r="I934" i="34"/>
  <c r="G934" i="34"/>
  <c r="F934" i="34"/>
  <c r="E934" i="34"/>
  <c r="D934" i="34"/>
  <c r="C934" i="34"/>
  <c r="B934" i="34"/>
  <c r="A934" i="34"/>
  <c r="J933" i="34"/>
  <c r="I933" i="34"/>
  <c r="G933" i="34"/>
  <c r="F933" i="34"/>
  <c r="E933" i="34"/>
  <c r="D933" i="34"/>
  <c r="C933" i="34"/>
  <c r="B933" i="34"/>
  <c r="A933" i="34"/>
  <c r="J932" i="34"/>
  <c r="I932" i="34"/>
  <c r="G932" i="34"/>
  <c r="F932" i="34"/>
  <c r="E932" i="34"/>
  <c r="D932" i="34"/>
  <c r="C932" i="34"/>
  <c r="B932" i="34"/>
  <c r="A932" i="34"/>
  <c r="J931" i="34"/>
  <c r="I931" i="34"/>
  <c r="G931" i="34"/>
  <c r="F931" i="34"/>
  <c r="E931" i="34"/>
  <c r="D931" i="34"/>
  <c r="C931" i="34"/>
  <c r="B931" i="34"/>
  <c r="A931" i="34"/>
  <c r="J930" i="34"/>
  <c r="I930" i="34"/>
  <c r="G930" i="34"/>
  <c r="F930" i="34"/>
  <c r="E930" i="34"/>
  <c r="D930" i="34"/>
  <c r="C930" i="34"/>
  <c r="B930" i="34"/>
  <c r="A930" i="34"/>
  <c r="J929" i="34"/>
  <c r="I929" i="34"/>
  <c r="G929" i="34"/>
  <c r="F929" i="34"/>
  <c r="E929" i="34"/>
  <c r="D929" i="34"/>
  <c r="C929" i="34"/>
  <c r="B929" i="34"/>
  <c r="A929" i="34"/>
  <c r="J928" i="34"/>
  <c r="I928" i="34"/>
  <c r="G928" i="34"/>
  <c r="F928" i="34"/>
  <c r="E928" i="34"/>
  <c r="D928" i="34"/>
  <c r="C928" i="34"/>
  <c r="B928" i="34"/>
  <c r="A928" i="34"/>
  <c r="J927" i="34"/>
  <c r="I927" i="34"/>
  <c r="G927" i="34"/>
  <c r="F927" i="34"/>
  <c r="E927" i="34"/>
  <c r="D927" i="34"/>
  <c r="C927" i="34"/>
  <c r="B927" i="34"/>
  <c r="A927" i="34"/>
  <c r="J926" i="34"/>
  <c r="I926" i="34"/>
  <c r="G926" i="34"/>
  <c r="F926" i="34"/>
  <c r="E926" i="34"/>
  <c r="D926" i="34"/>
  <c r="C926" i="34"/>
  <c r="B926" i="34"/>
  <c r="A926" i="34"/>
  <c r="J925" i="34"/>
  <c r="I925" i="34"/>
  <c r="G925" i="34"/>
  <c r="F925" i="34"/>
  <c r="E925" i="34"/>
  <c r="D925" i="34"/>
  <c r="C925" i="34"/>
  <c r="B925" i="34"/>
  <c r="A925" i="34"/>
  <c r="J924" i="34"/>
  <c r="I924" i="34"/>
  <c r="G924" i="34"/>
  <c r="F924" i="34"/>
  <c r="E924" i="34"/>
  <c r="D924" i="34"/>
  <c r="C924" i="34"/>
  <c r="B924" i="34"/>
  <c r="A924" i="34"/>
  <c r="J923" i="34"/>
  <c r="I923" i="34"/>
  <c r="G923" i="34"/>
  <c r="F923" i="34"/>
  <c r="E923" i="34"/>
  <c r="D923" i="34"/>
  <c r="C923" i="34"/>
  <c r="B923" i="34"/>
  <c r="A923" i="34"/>
  <c r="J922" i="34"/>
  <c r="I922" i="34"/>
  <c r="G922" i="34"/>
  <c r="F922" i="34"/>
  <c r="E922" i="34"/>
  <c r="D922" i="34"/>
  <c r="C922" i="34"/>
  <c r="B922" i="34"/>
  <c r="A922" i="34"/>
  <c r="J921" i="34"/>
  <c r="I921" i="34"/>
  <c r="G921" i="34"/>
  <c r="F921" i="34"/>
  <c r="E921" i="34"/>
  <c r="D921" i="34"/>
  <c r="C921" i="34"/>
  <c r="B921" i="34"/>
  <c r="A921" i="34"/>
  <c r="J920" i="34"/>
  <c r="I920" i="34"/>
  <c r="G920" i="34"/>
  <c r="F920" i="34"/>
  <c r="E920" i="34"/>
  <c r="D920" i="34"/>
  <c r="C920" i="34"/>
  <c r="B920" i="34"/>
  <c r="A920" i="34"/>
  <c r="J919" i="34"/>
  <c r="I919" i="34"/>
  <c r="G919" i="34"/>
  <c r="F919" i="34"/>
  <c r="E919" i="34"/>
  <c r="D919" i="34"/>
  <c r="C919" i="34"/>
  <c r="B919" i="34"/>
  <c r="A919" i="34"/>
  <c r="J918" i="34"/>
  <c r="I918" i="34"/>
  <c r="G918" i="34"/>
  <c r="F918" i="34"/>
  <c r="E918" i="34"/>
  <c r="D918" i="34"/>
  <c r="C918" i="34"/>
  <c r="B918" i="34"/>
  <c r="A918" i="34"/>
  <c r="J917" i="34"/>
  <c r="I917" i="34"/>
  <c r="G917" i="34"/>
  <c r="F917" i="34"/>
  <c r="E917" i="34"/>
  <c r="D917" i="34"/>
  <c r="C917" i="34"/>
  <c r="B917" i="34"/>
  <c r="A917" i="34"/>
  <c r="J916" i="34"/>
  <c r="I916" i="34"/>
  <c r="G916" i="34"/>
  <c r="F916" i="34"/>
  <c r="E916" i="34"/>
  <c r="D916" i="34"/>
  <c r="C916" i="34"/>
  <c r="B916" i="34"/>
  <c r="A916" i="34"/>
  <c r="J915" i="34"/>
  <c r="I915" i="34"/>
  <c r="G915" i="34"/>
  <c r="F915" i="34"/>
  <c r="E915" i="34"/>
  <c r="D915" i="34"/>
  <c r="C915" i="34"/>
  <c r="B915" i="34"/>
  <c r="A915" i="34"/>
  <c r="J914" i="34"/>
  <c r="I914" i="34"/>
  <c r="G914" i="34"/>
  <c r="F914" i="34"/>
  <c r="E914" i="34"/>
  <c r="D914" i="34"/>
  <c r="C914" i="34"/>
  <c r="B914" i="34"/>
  <c r="A914" i="34"/>
  <c r="J913" i="34"/>
  <c r="I913" i="34"/>
  <c r="G913" i="34"/>
  <c r="F913" i="34"/>
  <c r="E913" i="34"/>
  <c r="D913" i="34"/>
  <c r="C913" i="34"/>
  <c r="B913" i="34"/>
  <c r="A913" i="34"/>
  <c r="J912" i="34"/>
  <c r="I912" i="34"/>
  <c r="G912" i="34"/>
  <c r="F912" i="34"/>
  <c r="E912" i="34"/>
  <c r="D912" i="34"/>
  <c r="C912" i="34"/>
  <c r="B912" i="34"/>
  <c r="A912" i="34"/>
  <c r="J911" i="34"/>
  <c r="I911" i="34"/>
  <c r="G911" i="34"/>
  <c r="F911" i="34"/>
  <c r="E911" i="34"/>
  <c r="D911" i="34"/>
  <c r="C911" i="34"/>
  <c r="B911" i="34"/>
  <c r="A911" i="34"/>
  <c r="J910" i="34"/>
  <c r="I910" i="34"/>
  <c r="G910" i="34"/>
  <c r="F910" i="34"/>
  <c r="E910" i="34"/>
  <c r="D910" i="34"/>
  <c r="C910" i="34"/>
  <c r="B910" i="34"/>
  <c r="A910" i="34"/>
  <c r="J909" i="34"/>
  <c r="I909" i="34"/>
  <c r="G909" i="34"/>
  <c r="F909" i="34"/>
  <c r="E909" i="34"/>
  <c r="D909" i="34"/>
  <c r="C909" i="34"/>
  <c r="B909" i="34"/>
  <c r="A909" i="34"/>
  <c r="J908" i="34"/>
  <c r="I908" i="34"/>
  <c r="G908" i="34"/>
  <c r="F908" i="34"/>
  <c r="E908" i="34"/>
  <c r="D908" i="34"/>
  <c r="C908" i="34"/>
  <c r="B908" i="34"/>
  <c r="A908" i="34"/>
  <c r="J907" i="34"/>
  <c r="I907" i="34"/>
  <c r="G907" i="34"/>
  <c r="F907" i="34"/>
  <c r="E907" i="34"/>
  <c r="D907" i="34"/>
  <c r="C907" i="34"/>
  <c r="B907" i="34"/>
  <c r="A907" i="34"/>
  <c r="J906" i="34"/>
  <c r="I906" i="34"/>
  <c r="G906" i="34"/>
  <c r="F906" i="34"/>
  <c r="E906" i="34"/>
  <c r="D906" i="34"/>
  <c r="C906" i="34"/>
  <c r="B906" i="34"/>
  <c r="A906" i="34"/>
  <c r="J905" i="34"/>
  <c r="I905" i="34"/>
  <c r="G905" i="34"/>
  <c r="F905" i="34"/>
  <c r="E905" i="34"/>
  <c r="D905" i="34"/>
  <c r="C905" i="34"/>
  <c r="B905" i="34"/>
  <c r="A905" i="34"/>
  <c r="J904" i="34"/>
  <c r="I904" i="34"/>
  <c r="G904" i="34"/>
  <c r="F904" i="34"/>
  <c r="E904" i="34"/>
  <c r="D904" i="34"/>
  <c r="C904" i="34"/>
  <c r="B904" i="34"/>
  <c r="A904" i="34"/>
  <c r="J903" i="34"/>
  <c r="I903" i="34"/>
  <c r="G903" i="34"/>
  <c r="F903" i="34"/>
  <c r="E903" i="34"/>
  <c r="D903" i="34"/>
  <c r="C903" i="34"/>
  <c r="B903" i="34"/>
  <c r="A903" i="34"/>
  <c r="J902" i="34"/>
  <c r="I902" i="34"/>
  <c r="G902" i="34"/>
  <c r="F902" i="34"/>
  <c r="E902" i="34"/>
  <c r="H902" i="34" s="1"/>
  <c r="D902" i="34"/>
  <c r="C902" i="34"/>
  <c r="B902" i="34"/>
  <c r="A902" i="34"/>
  <c r="J901" i="34"/>
  <c r="I901" i="34"/>
  <c r="G901" i="34"/>
  <c r="F901" i="34"/>
  <c r="E901" i="34"/>
  <c r="H901" i="34" s="1"/>
  <c r="D901" i="34"/>
  <c r="C901" i="34"/>
  <c r="B901" i="34"/>
  <c r="A901" i="34"/>
  <c r="J900" i="34"/>
  <c r="I900" i="34"/>
  <c r="G900" i="34"/>
  <c r="F900" i="34"/>
  <c r="E900" i="34"/>
  <c r="H900" i="34" s="1"/>
  <c r="D900" i="34"/>
  <c r="C900" i="34"/>
  <c r="B900" i="34"/>
  <c r="A900" i="34"/>
  <c r="J899" i="34"/>
  <c r="I899" i="34"/>
  <c r="G899" i="34"/>
  <c r="F899" i="34"/>
  <c r="E899" i="34"/>
  <c r="H899" i="34" s="1"/>
  <c r="D899" i="34"/>
  <c r="C899" i="34"/>
  <c r="B899" i="34"/>
  <c r="A899" i="34"/>
  <c r="J898" i="34"/>
  <c r="I898" i="34"/>
  <c r="G898" i="34"/>
  <c r="F898" i="34"/>
  <c r="E898" i="34"/>
  <c r="H898" i="34" s="1"/>
  <c r="D898" i="34"/>
  <c r="C898" i="34"/>
  <c r="B898" i="34"/>
  <c r="A898" i="34"/>
  <c r="J897" i="34"/>
  <c r="I897" i="34"/>
  <c r="G897" i="34"/>
  <c r="F897" i="34"/>
  <c r="E897" i="34"/>
  <c r="H897" i="34" s="1"/>
  <c r="D897" i="34"/>
  <c r="C897" i="34"/>
  <c r="B897" i="34"/>
  <c r="A897" i="34"/>
  <c r="J896" i="34"/>
  <c r="I896" i="34"/>
  <c r="G896" i="34"/>
  <c r="F896" i="34"/>
  <c r="E896" i="34"/>
  <c r="H896" i="34" s="1"/>
  <c r="D896" i="34"/>
  <c r="C896" i="34"/>
  <c r="B896" i="34"/>
  <c r="A896" i="34"/>
  <c r="J895" i="34"/>
  <c r="I895" i="34"/>
  <c r="G895" i="34"/>
  <c r="F895" i="34"/>
  <c r="E895" i="34"/>
  <c r="H895" i="34" s="1"/>
  <c r="D895" i="34"/>
  <c r="C895" i="34"/>
  <c r="B895" i="34"/>
  <c r="A895" i="34"/>
  <c r="J894" i="34"/>
  <c r="I894" i="34"/>
  <c r="G894" i="34"/>
  <c r="F894" i="34"/>
  <c r="E894" i="34"/>
  <c r="H894" i="34" s="1"/>
  <c r="D894" i="34"/>
  <c r="C894" i="34"/>
  <c r="B894" i="34"/>
  <c r="A894" i="34"/>
  <c r="J893" i="34"/>
  <c r="I893" i="34"/>
  <c r="G893" i="34"/>
  <c r="F893" i="34"/>
  <c r="E893" i="34"/>
  <c r="H893" i="34" s="1"/>
  <c r="D893" i="34"/>
  <c r="C893" i="34"/>
  <c r="B893" i="34"/>
  <c r="A893" i="34"/>
  <c r="J892" i="34"/>
  <c r="I892" i="34"/>
  <c r="G892" i="34"/>
  <c r="F892" i="34"/>
  <c r="E892" i="34"/>
  <c r="H892" i="34" s="1"/>
  <c r="D892" i="34"/>
  <c r="C892" i="34"/>
  <c r="B892" i="34"/>
  <c r="A892" i="34"/>
  <c r="J891" i="34"/>
  <c r="I891" i="34"/>
  <c r="G891" i="34"/>
  <c r="F891" i="34"/>
  <c r="E891" i="34"/>
  <c r="H891" i="34" s="1"/>
  <c r="D891" i="34"/>
  <c r="C891" i="34"/>
  <c r="B891" i="34"/>
  <c r="A891" i="34"/>
  <c r="J890" i="34"/>
  <c r="I890" i="34"/>
  <c r="G890" i="34"/>
  <c r="F890" i="34"/>
  <c r="E890" i="34"/>
  <c r="H890" i="34" s="1"/>
  <c r="D890" i="34"/>
  <c r="C890" i="34"/>
  <c r="B890" i="34"/>
  <c r="A890" i="34"/>
  <c r="J889" i="34"/>
  <c r="I889" i="34"/>
  <c r="G889" i="34"/>
  <c r="F889" i="34"/>
  <c r="E889" i="34"/>
  <c r="H889" i="34" s="1"/>
  <c r="D889" i="34"/>
  <c r="C889" i="34"/>
  <c r="B889" i="34"/>
  <c r="A889" i="34"/>
  <c r="J888" i="34"/>
  <c r="I888" i="34"/>
  <c r="G888" i="34"/>
  <c r="F888" i="34"/>
  <c r="E888" i="34"/>
  <c r="H888" i="34" s="1"/>
  <c r="D888" i="34"/>
  <c r="C888" i="34"/>
  <c r="B888" i="34"/>
  <c r="A888" i="34"/>
  <c r="J887" i="34"/>
  <c r="I887" i="34"/>
  <c r="G887" i="34"/>
  <c r="F887" i="34"/>
  <c r="E887" i="34"/>
  <c r="H887" i="34" s="1"/>
  <c r="D887" i="34"/>
  <c r="C887" i="34"/>
  <c r="B887" i="34"/>
  <c r="A887" i="34"/>
  <c r="J886" i="34"/>
  <c r="I886" i="34"/>
  <c r="G886" i="34"/>
  <c r="F886" i="34"/>
  <c r="E886" i="34"/>
  <c r="H886" i="34" s="1"/>
  <c r="D886" i="34"/>
  <c r="C886" i="34"/>
  <c r="B886" i="34"/>
  <c r="A886" i="34"/>
  <c r="J885" i="34"/>
  <c r="I885" i="34"/>
  <c r="G885" i="34"/>
  <c r="F885" i="34"/>
  <c r="E885" i="34"/>
  <c r="D885" i="34"/>
  <c r="C885" i="34"/>
  <c r="B885" i="34"/>
  <c r="A885" i="34"/>
  <c r="J884" i="34"/>
  <c r="I884" i="34"/>
  <c r="G884" i="34"/>
  <c r="F884" i="34"/>
  <c r="E884" i="34"/>
  <c r="D884" i="34"/>
  <c r="C884" i="34"/>
  <c r="B884" i="34"/>
  <c r="A884" i="34"/>
  <c r="J883" i="34"/>
  <c r="I883" i="34"/>
  <c r="G883" i="34"/>
  <c r="F883" i="34"/>
  <c r="E883" i="34"/>
  <c r="D883" i="34"/>
  <c r="C883" i="34"/>
  <c r="B883" i="34"/>
  <c r="A883" i="34"/>
  <c r="J882" i="34"/>
  <c r="I882" i="34"/>
  <c r="G882" i="34"/>
  <c r="F882" i="34"/>
  <c r="E882" i="34"/>
  <c r="D882" i="34"/>
  <c r="C882" i="34"/>
  <c r="B882" i="34"/>
  <c r="A882" i="34"/>
  <c r="J881" i="34"/>
  <c r="I881" i="34"/>
  <c r="G881" i="34"/>
  <c r="F881" i="34"/>
  <c r="E881" i="34"/>
  <c r="D881" i="34"/>
  <c r="C881" i="34"/>
  <c r="B881" i="34"/>
  <c r="A881" i="34"/>
  <c r="J880" i="34"/>
  <c r="I880" i="34"/>
  <c r="G880" i="34"/>
  <c r="F880" i="34"/>
  <c r="E880" i="34"/>
  <c r="D880" i="34"/>
  <c r="C880" i="34"/>
  <c r="B880" i="34"/>
  <c r="A880" i="34"/>
  <c r="J879" i="34"/>
  <c r="I879" i="34"/>
  <c r="G879" i="34"/>
  <c r="F879" i="34"/>
  <c r="E879" i="34"/>
  <c r="D879" i="34"/>
  <c r="C879" i="34"/>
  <c r="B879" i="34"/>
  <c r="A879" i="34"/>
  <c r="J878" i="34"/>
  <c r="I878" i="34"/>
  <c r="G878" i="34"/>
  <c r="F878" i="34"/>
  <c r="E878" i="34"/>
  <c r="D878" i="34"/>
  <c r="C878" i="34"/>
  <c r="B878" i="34"/>
  <c r="A878" i="34"/>
  <c r="J877" i="34"/>
  <c r="I877" i="34"/>
  <c r="G877" i="34"/>
  <c r="F877" i="34"/>
  <c r="E877" i="34"/>
  <c r="D877" i="34"/>
  <c r="C877" i="34"/>
  <c r="B877" i="34"/>
  <c r="A877" i="34"/>
  <c r="J876" i="34"/>
  <c r="I876" i="34"/>
  <c r="G876" i="34"/>
  <c r="F876" i="34"/>
  <c r="E876" i="34"/>
  <c r="D876" i="34"/>
  <c r="C876" i="34"/>
  <c r="B876" i="34"/>
  <c r="A876" i="34"/>
  <c r="J875" i="34"/>
  <c r="I875" i="34"/>
  <c r="G875" i="34"/>
  <c r="F875" i="34"/>
  <c r="E875" i="34"/>
  <c r="D875" i="34"/>
  <c r="C875" i="34"/>
  <c r="B875" i="34"/>
  <c r="A875" i="34"/>
  <c r="J874" i="34"/>
  <c r="I874" i="34"/>
  <c r="G874" i="34"/>
  <c r="F874" i="34"/>
  <c r="E874" i="34"/>
  <c r="D874" i="34"/>
  <c r="C874" i="34"/>
  <c r="B874" i="34"/>
  <c r="A874" i="34"/>
  <c r="J873" i="34"/>
  <c r="I873" i="34"/>
  <c r="G873" i="34"/>
  <c r="F873" i="34"/>
  <c r="E873" i="34"/>
  <c r="D873" i="34"/>
  <c r="C873" i="34"/>
  <c r="B873" i="34"/>
  <c r="A873" i="34"/>
  <c r="J872" i="34"/>
  <c r="I872" i="34"/>
  <c r="G872" i="34"/>
  <c r="F872" i="34"/>
  <c r="E872" i="34"/>
  <c r="D872" i="34"/>
  <c r="C872" i="34"/>
  <c r="B872" i="34"/>
  <c r="A872" i="34"/>
  <c r="J871" i="34"/>
  <c r="I871" i="34"/>
  <c r="G871" i="34"/>
  <c r="F871" i="34"/>
  <c r="E871" i="34"/>
  <c r="D871" i="34"/>
  <c r="C871" i="34"/>
  <c r="B871" i="34"/>
  <c r="A871" i="34"/>
  <c r="J870" i="34"/>
  <c r="I870" i="34"/>
  <c r="G870" i="34"/>
  <c r="F870" i="34"/>
  <c r="E870" i="34"/>
  <c r="D870" i="34"/>
  <c r="C870" i="34"/>
  <c r="B870" i="34"/>
  <c r="A870" i="34"/>
  <c r="J869" i="34"/>
  <c r="I869" i="34"/>
  <c r="G869" i="34"/>
  <c r="F869" i="34"/>
  <c r="E869" i="34"/>
  <c r="D869" i="34"/>
  <c r="C869" i="34"/>
  <c r="B869" i="34"/>
  <c r="A869" i="34"/>
  <c r="J868" i="34"/>
  <c r="I868" i="34"/>
  <c r="G868" i="34"/>
  <c r="F868" i="34"/>
  <c r="E868" i="34"/>
  <c r="D868" i="34"/>
  <c r="C868" i="34"/>
  <c r="B868" i="34"/>
  <c r="A868" i="34"/>
  <c r="J867" i="34"/>
  <c r="I867" i="34"/>
  <c r="G867" i="34"/>
  <c r="F867" i="34"/>
  <c r="E867" i="34"/>
  <c r="D867" i="34"/>
  <c r="C867" i="34"/>
  <c r="B867" i="34"/>
  <c r="A867" i="34"/>
  <c r="J866" i="34"/>
  <c r="I866" i="34"/>
  <c r="G866" i="34"/>
  <c r="F866" i="34"/>
  <c r="E866" i="34"/>
  <c r="D866" i="34"/>
  <c r="C866" i="34"/>
  <c r="B866" i="34"/>
  <c r="A866" i="34"/>
  <c r="J865" i="34"/>
  <c r="I865" i="34"/>
  <c r="G865" i="34"/>
  <c r="F865" i="34"/>
  <c r="E865" i="34"/>
  <c r="D865" i="34"/>
  <c r="C865" i="34"/>
  <c r="B865" i="34"/>
  <c r="A865" i="34"/>
  <c r="J864" i="34"/>
  <c r="I864" i="34"/>
  <c r="G864" i="34"/>
  <c r="F864" i="34"/>
  <c r="E864" i="34"/>
  <c r="D864" i="34"/>
  <c r="C864" i="34"/>
  <c r="B864" i="34"/>
  <c r="A864" i="34"/>
  <c r="J863" i="34"/>
  <c r="I863" i="34"/>
  <c r="G863" i="34"/>
  <c r="F863" i="34"/>
  <c r="E863" i="34"/>
  <c r="D863" i="34"/>
  <c r="C863" i="34"/>
  <c r="B863" i="34"/>
  <c r="A863" i="34"/>
  <c r="J862" i="34"/>
  <c r="I862" i="34"/>
  <c r="G862" i="34"/>
  <c r="F862" i="34"/>
  <c r="E862" i="34"/>
  <c r="D862" i="34"/>
  <c r="C862" i="34"/>
  <c r="B862" i="34"/>
  <c r="A862" i="34"/>
  <c r="J861" i="34"/>
  <c r="I861" i="34"/>
  <c r="G861" i="34"/>
  <c r="F861" i="34"/>
  <c r="E861" i="34"/>
  <c r="D861" i="34"/>
  <c r="C861" i="34"/>
  <c r="B861" i="34"/>
  <c r="A861" i="34"/>
  <c r="J860" i="34"/>
  <c r="I860" i="34"/>
  <c r="G860" i="34"/>
  <c r="F860" i="34"/>
  <c r="E860" i="34"/>
  <c r="D860" i="34"/>
  <c r="C860" i="34"/>
  <c r="B860" i="34"/>
  <c r="A860" i="34"/>
  <c r="J859" i="34"/>
  <c r="I859" i="34"/>
  <c r="G859" i="34"/>
  <c r="F859" i="34"/>
  <c r="E859" i="34"/>
  <c r="D859" i="34"/>
  <c r="C859" i="34"/>
  <c r="B859" i="34"/>
  <c r="A859" i="34"/>
  <c r="J858" i="34"/>
  <c r="I858" i="34"/>
  <c r="G858" i="34"/>
  <c r="F858" i="34"/>
  <c r="E858" i="34"/>
  <c r="D858" i="34"/>
  <c r="C858" i="34"/>
  <c r="B858" i="34"/>
  <c r="A858" i="34"/>
  <c r="J857" i="34"/>
  <c r="I857" i="34"/>
  <c r="G857" i="34"/>
  <c r="F857" i="34"/>
  <c r="E857" i="34"/>
  <c r="D857" i="34"/>
  <c r="C857" i="34"/>
  <c r="B857" i="34"/>
  <c r="A857" i="34"/>
  <c r="J856" i="34"/>
  <c r="I856" i="34"/>
  <c r="G856" i="34"/>
  <c r="F856" i="34"/>
  <c r="E856" i="34"/>
  <c r="D856" i="34"/>
  <c r="C856" i="34"/>
  <c r="B856" i="34"/>
  <c r="A856" i="34"/>
  <c r="J855" i="34"/>
  <c r="I855" i="34"/>
  <c r="G855" i="34"/>
  <c r="F855" i="34"/>
  <c r="E855" i="34"/>
  <c r="D855" i="34"/>
  <c r="C855" i="34"/>
  <c r="B855" i="34"/>
  <c r="A855" i="34"/>
  <c r="J854" i="34"/>
  <c r="I854" i="34"/>
  <c r="G854" i="34"/>
  <c r="F854" i="34"/>
  <c r="E854" i="34"/>
  <c r="D854" i="34"/>
  <c r="C854" i="34"/>
  <c r="B854" i="34"/>
  <c r="A854" i="34"/>
  <c r="J853" i="34"/>
  <c r="I853" i="34"/>
  <c r="G853" i="34"/>
  <c r="F853" i="34"/>
  <c r="E853" i="34"/>
  <c r="D853" i="34"/>
  <c r="C853" i="34"/>
  <c r="B853" i="34"/>
  <c r="A853" i="34"/>
  <c r="J852" i="34"/>
  <c r="I852" i="34"/>
  <c r="G852" i="34"/>
  <c r="F852" i="34"/>
  <c r="E852" i="34"/>
  <c r="D852" i="34"/>
  <c r="C852" i="34"/>
  <c r="B852" i="34"/>
  <c r="A852" i="34"/>
  <c r="J851" i="34"/>
  <c r="I851" i="34"/>
  <c r="G851" i="34"/>
  <c r="F851" i="34"/>
  <c r="E851" i="34"/>
  <c r="D851" i="34"/>
  <c r="C851" i="34"/>
  <c r="B851" i="34"/>
  <c r="A851" i="34"/>
  <c r="J850" i="34"/>
  <c r="I850" i="34"/>
  <c r="G850" i="34"/>
  <c r="F850" i="34"/>
  <c r="E850" i="34"/>
  <c r="D850" i="34"/>
  <c r="C850" i="34"/>
  <c r="B850" i="34"/>
  <c r="A850" i="34"/>
  <c r="J849" i="34"/>
  <c r="I849" i="34"/>
  <c r="G849" i="34"/>
  <c r="F849" i="34"/>
  <c r="E849" i="34"/>
  <c r="D849" i="34"/>
  <c r="C849" i="34"/>
  <c r="B849" i="34"/>
  <c r="A849" i="34"/>
  <c r="J848" i="34"/>
  <c r="I848" i="34"/>
  <c r="G848" i="34"/>
  <c r="F848" i="34"/>
  <c r="E848" i="34"/>
  <c r="D848" i="34"/>
  <c r="C848" i="34"/>
  <c r="B848" i="34"/>
  <c r="A848" i="34"/>
  <c r="J847" i="34"/>
  <c r="I847" i="34"/>
  <c r="G847" i="34"/>
  <c r="F847" i="34"/>
  <c r="E847" i="34"/>
  <c r="D847" i="34"/>
  <c r="C847" i="34"/>
  <c r="B847" i="34"/>
  <c r="A847" i="34"/>
  <c r="J846" i="34"/>
  <c r="I846" i="34"/>
  <c r="G846" i="34"/>
  <c r="F846" i="34"/>
  <c r="E846" i="34"/>
  <c r="D846" i="34"/>
  <c r="C846" i="34"/>
  <c r="B846" i="34"/>
  <c r="A846" i="34"/>
  <c r="J845" i="34"/>
  <c r="I845" i="34"/>
  <c r="G845" i="34"/>
  <c r="F845" i="34"/>
  <c r="E845" i="34"/>
  <c r="D845" i="34"/>
  <c r="C845" i="34"/>
  <c r="B845" i="34"/>
  <c r="A845" i="34"/>
  <c r="J844" i="34"/>
  <c r="I844" i="34"/>
  <c r="G844" i="34"/>
  <c r="F844" i="34"/>
  <c r="E844" i="34"/>
  <c r="D844" i="34"/>
  <c r="C844" i="34"/>
  <c r="B844" i="34"/>
  <c r="A844" i="34"/>
  <c r="J843" i="34"/>
  <c r="I843" i="34"/>
  <c r="G843" i="34"/>
  <c r="F843" i="34"/>
  <c r="E843" i="34"/>
  <c r="D843" i="34"/>
  <c r="C843" i="34"/>
  <c r="B843" i="34"/>
  <c r="A843" i="34"/>
  <c r="J842" i="34"/>
  <c r="I842" i="34"/>
  <c r="G842" i="34"/>
  <c r="F842" i="34"/>
  <c r="E842" i="34"/>
  <c r="D842" i="34"/>
  <c r="C842" i="34"/>
  <c r="B842" i="34"/>
  <c r="A842" i="34"/>
  <c r="J841" i="34"/>
  <c r="I841" i="34"/>
  <c r="G841" i="34"/>
  <c r="F841" i="34"/>
  <c r="E841" i="34"/>
  <c r="D841" i="34"/>
  <c r="C841" i="34"/>
  <c r="B841" i="34"/>
  <c r="A841" i="34"/>
  <c r="J840" i="34"/>
  <c r="I840" i="34"/>
  <c r="G840" i="34"/>
  <c r="F840" i="34"/>
  <c r="E840" i="34"/>
  <c r="D840" i="34"/>
  <c r="C840" i="34"/>
  <c r="B840" i="34"/>
  <c r="A840" i="34"/>
  <c r="J839" i="34"/>
  <c r="I839" i="34"/>
  <c r="G839" i="34"/>
  <c r="F839" i="34"/>
  <c r="E839" i="34"/>
  <c r="D839" i="34"/>
  <c r="C839" i="34"/>
  <c r="B839" i="34"/>
  <c r="A839" i="34"/>
  <c r="J838" i="34"/>
  <c r="I838" i="34"/>
  <c r="G838" i="34"/>
  <c r="F838" i="34"/>
  <c r="E838" i="34"/>
  <c r="D838" i="34"/>
  <c r="C838" i="34"/>
  <c r="B838" i="34"/>
  <c r="A838" i="34"/>
  <c r="J837" i="34"/>
  <c r="I837" i="34"/>
  <c r="G837" i="34"/>
  <c r="F837" i="34"/>
  <c r="E837" i="34"/>
  <c r="D837" i="34"/>
  <c r="C837" i="34"/>
  <c r="B837" i="34"/>
  <c r="A837" i="34"/>
  <c r="J836" i="34"/>
  <c r="I836" i="34"/>
  <c r="G836" i="34"/>
  <c r="F836" i="34"/>
  <c r="E836" i="34"/>
  <c r="D836" i="34"/>
  <c r="C836" i="34"/>
  <c r="B836" i="34"/>
  <c r="A836" i="34"/>
  <c r="J835" i="34"/>
  <c r="I835" i="34"/>
  <c r="G835" i="34"/>
  <c r="F835" i="34"/>
  <c r="E835" i="34"/>
  <c r="D835" i="34"/>
  <c r="C835" i="34"/>
  <c r="B835" i="34"/>
  <c r="A835" i="34"/>
  <c r="J834" i="34"/>
  <c r="I834" i="34"/>
  <c r="G834" i="34"/>
  <c r="F834" i="34"/>
  <c r="E834" i="34"/>
  <c r="D834" i="34"/>
  <c r="C834" i="34"/>
  <c r="B834" i="34"/>
  <c r="A834" i="34"/>
  <c r="J833" i="34"/>
  <c r="I833" i="34"/>
  <c r="G833" i="34"/>
  <c r="F833" i="34"/>
  <c r="E833" i="34"/>
  <c r="D833" i="34"/>
  <c r="C833" i="34"/>
  <c r="B833" i="34"/>
  <c r="A833" i="34"/>
  <c r="J832" i="34"/>
  <c r="I832" i="34"/>
  <c r="G832" i="34"/>
  <c r="F832" i="34"/>
  <c r="E832" i="34"/>
  <c r="D832" i="34"/>
  <c r="C832" i="34"/>
  <c r="B832" i="34"/>
  <c r="A832" i="34"/>
  <c r="J831" i="34"/>
  <c r="I831" i="34"/>
  <c r="G831" i="34"/>
  <c r="F831" i="34"/>
  <c r="E831" i="34"/>
  <c r="D831" i="34"/>
  <c r="C831" i="34"/>
  <c r="B831" i="34"/>
  <c r="A831" i="34"/>
  <c r="J830" i="34"/>
  <c r="I830" i="34"/>
  <c r="G830" i="34"/>
  <c r="F830" i="34"/>
  <c r="E830" i="34"/>
  <c r="D830" i="34"/>
  <c r="C830" i="34"/>
  <c r="B830" i="34"/>
  <c r="A830" i="34"/>
  <c r="J829" i="34"/>
  <c r="I829" i="34"/>
  <c r="G829" i="34"/>
  <c r="F829" i="34"/>
  <c r="E829" i="34"/>
  <c r="D829" i="34"/>
  <c r="C829" i="34"/>
  <c r="B829" i="34"/>
  <c r="A829" i="34"/>
  <c r="J828" i="34"/>
  <c r="I828" i="34"/>
  <c r="G828" i="34"/>
  <c r="F828" i="34"/>
  <c r="E828" i="34"/>
  <c r="D828" i="34"/>
  <c r="C828" i="34"/>
  <c r="B828" i="34"/>
  <c r="A828" i="34"/>
  <c r="J827" i="34"/>
  <c r="I827" i="34"/>
  <c r="G827" i="34"/>
  <c r="F827" i="34"/>
  <c r="E827" i="34"/>
  <c r="D827" i="34"/>
  <c r="C827" i="34"/>
  <c r="B827" i="34"/>
  <c r="A827" i="34"/>
  <c r="J826" i="34"/>
  <c r="I826" i="34"/>
  <c r="G826" i="34"/>
  <c r="F826" i="34"/>
  <c r="E826" i="34"/>
  <c r="D826" i="34"/>
  <c r="C826" i="34"/>
  <c r="B826" i="34"/>
  <c r="A826" i="34"/>
  <c r="J825" i="34"/>
  <c r="I825" i="34"/>
  <c r="G825" i="34"/>
  <c r="F825" i="34"/>
  <c r="E825" i="34"/>
  <c r="D825" i="34"/>
  <c r="C825" i="34"/>
  <c r="B825" i="34"/>
  <c r="A825" i="34"/>
  <c r="J824" i="34"/>
  <c r="I824" i="34"/>
  <c r="G824" i="34"/>
  <c r="F824" i="34"/>
  <c r="E824" i="34"/>
  <c r="D824" i="34"/>
  <c r="C824" i="34"/>
  <c r="B824" i="34"/>
  <c r="A824" i="34"/>
  <c r="J823" i="34"/>
  <c r="I823" i="34"/>
  <c r="G823" i="34"/>
  <c r="F823" i="34"/>
  <c r="E823" i="34"/>
  <c r="D823" i="34"/>
  <c r="C823" i="34"/>
  <c r="B823" i="34"/>
  <c r="A823" i="34"/>
  <c r="J822" i="34"/>
  <c r="I822" i="34"/>
  <c r="G822" i="34"/>
  <c r="F822" i="34"/>
  <c r="E822" i="34"/>
  <c r="D822" i="34"/>
  <c r="C822" i="34"/>
  <c r="B822" i="34"/>
  <c r="A822" i="34"/>
  <c r="J821" i="34"/>
  <c r="I821" i="34"/>
  <c r="G821" i="34"/>
  <c r="F821" i="34"/>
  <c r="E821" i="34"/>
  <c r="D821" i="34"/>
  <c r="C821" i="34"/>
  <c r="B821" i="34"/>
  <c r="A821" i="34"/>
  <c r="J820" i="34"/>
  <c r="I820" i="34"/>
  <c r="G820" i="34"/>
  <c r="F820" i="34"/>
  <c r="E820" i="34"/>
  <c r="D820" i="34"/>
  <c r="C820" i="34"/>
  <c r="B820" i="34"/>
  <c r="A820" i="34"/>
  <c r="J819" i="34"/>
  <c r="I819" i="34"/>
  <c r="G819" i="34"/>
  <c r="F819" i="34"/>
  <c r="E819" i="34"/>
  <c r="D819" i="34"/>
  <c r="C819" i="34"/>
  <c r="B819" i="34"/>
  <c r="A819" i="34"/>
  <c r="J818" i="34"/>
  <c r="I818" i="34"/>
  <c r="G818" i="34"/>
  <c r="F818" i="34"/>
  <c r="E818" i="34"/>
  <c r="D818" i="34"/>
  <c r="C818" i="34"/>
  <c r="B818" i="34"/>
  <c r="A818" i="34"/>
  <c r="J817" i="34"/>
  <c r="I817" i="34"/>
  <c r="G817" i="34"/>
  <c r="F817" i="34"/>
  <c r="E817" i="34"/>
  <c r="D817" i="34"/>
  <c r="C817" i="34"/>
  <c r="B817" i="34"/>
  <c r="A817" i="34"/>
  <c r="J816" i="34"/>
  <c r="I816" i="34"/>
  <c r="G816" i="34"/>
  <c r="F816" i="34"/>
  <c r="E816" i="34"/>
  <c r="D816" i="34"/>
  <c r="C816" i="34"/>
  <c r="B816" i="34"/>
  <c r="A816" i="34"/>
  <c r="J815" i="34"/>
  <c r="I815" i="34"/>
  <c r="G815" i="34"/>
  <c r="F815" i="34"/>
  <c r="E815" i="34"/>
  <c r="D815" i="34"/>
  <c r="C815" i="34"/>
  <c r="B815" i="34"/>
  <c r="A815" i="34"/>
  <c r="J814" i="34"/>
  <c r="I814" i="34"/>
  <c r="G814" i="34"/>
  <c r="F814" i="34"/>
  <c r="E814" i="34"/>
  <c r="D814" i="34"/>
  <c r="C814" i="34"/>
  <c r="B814" i="34"/>
  <c r="A814" i="34"/>
  <c r="J813" i="34"/>
  <c r="I813" i="34"/>
  <c r="G813" i="34"/>
  <c r="F813" i="34"/>
  <c r="E813" i="34"/>
  <c r="D813" i="34"/>
  <c r="C813" i="34"/>
  <c r="B813" i="34"/>
  <c r="A813" i="34"/>
  <c r="J812" i="34"/>
  <c r="I812" i="34"/>
  <c r="G812" i="34"/>
  <c r="F812" i="34"/>
  <c r="E812" i="34"/>
  <c r="D812" i="34"/>
  <c r="C812" i="34"/>
  <c r="B812" i="34"/>
  <c r="A812" i="34"/>
  <c r="J811" i="34"/>
  <c r="I811" i="34"/>
  <c r="G811" i="34"/>
  <c r="F811" i="34"/>
  <c r="E811" i="34"/>
  <c r="D811" i="34"/>
  <c r="C811" i="34"/>
  <c r="B811" i="34"/>
  <c r="A811" i="34"/>
  <c r="J810" i="34"/>
  <c r="I810" i="34"/>
  <c r="G810" i="34"/>
  <c r="F810" i="34"/>
  <c r="E810" i="34"/>
  <c r="D810" i="34"/>
  <c r="C810" i="34"/>
  <c r="B810" i="34"/>
  <c r="A810" i="34"/>
  <c r="J809" i="34"/>
  <c r="I809" i="34"/>
  <c r="G809" i="34"/>
  <c r="F809" i="34"/>
  <c r="E809" i="34"/>
  <c r="D809" i="34"/>
  <c r="C809" i="34"/>
  <c r="B809" i="34"/>
  <c r="A809" i="34"/>
  <c r="J808" i="34"/>
  <c r="I808" i="34"/>
  <c r="G808" i="34"/>
  <c r="F808" i="34"/>
  <c r="E808" i="34"/>
  <c r="D808" i="34"/>
  <c r="C808" i="34"/>
  <c r="B808" i="34"/>
  <c r="A808" i="34"/>
  <c r="J807" i="34"/>
  <c r="I807" i="34"/>
  <c r="G807" i="34"/>
  <c r="F807" i="34"/>
  <c r="E807" i="34"/>
  <c r="D807" i="34"/>
  <c r="C807" i="34"/>
  <c r="B807" i="34"/>
  <c r="A807" i="34"/>
  <c r="J806" i="34"/>
  <c r="I806" i="34"/>
  <c r="G806" i="34"/>
  <c r="F806" i="34"/>
  <c r="E806" i="34"/>
  <c r="D806" i="34"/>
  <c r="C806" i="34"/>
  <c r="B806" i="34"/>
  <c r="A806" i="34"/>
  <c r="J805" i="34"/>
  <c r="I805" i="34"/>
  <c r="G805" i="34"/>
  <c r="F805" i="34"/>
  <c r="E805" i="34"/>
  <c r="D805" i="34"/>
  <c r="C805" i="34"/>
  <c r="B805" i="34"/>
  <c r="A805" i="34"/>
  <c r="J804" i="34"/>
  <c r="I804" i="34"/>
  <c r="G804" i="34"/>
  <c r="F804" i="34"/>
  <c r="E804" i="34"/>
  <c r="D804" i="34"/>
  <c r="C804" i="34"/>
  <c r="B804" i="34"/>
  <c r="A804" i="34"/>
  <c r="J803" i="34"/>
  <c r="I803" i="34"/>
  <c r="G803" i="34"/>
  <c r="F803" i="34"/>
  <c r="E803" i="34"/>
  <c r="D803" i="34"/>
  <c r="C803" i="34"/>
  <c r="B803" i="34"/>
  <c r="A803" i="34"/>
  <c r="J802" i="34"/>
  <c r="I802" i="34"/>
  <c r="G802" i="34"/>
  <c r="F802" i="34"/>
  <c r="E802" i="34"/>
  <c r="D802" i="34"/>
  <c r="C802" i="34"/>
  <c r="B802" i="34"/>
  <c r="A802" i="34"/>
  <c r="J801" i="34"/>
  <c r="I801" i="34"/>
  <c r="G801" i="34"/>
  <c r="F801" i="34"/>
  <c r="E801" i="34"/>
  <c r="D801" i="34"/>
  <c r="C801" i="34"/>
  <c r="B801" i="34"/>
  <c r="A801" i="34"/>
  <c r="J800" i="34"/>
  <c r="I800" i="34"/>
  <c r="G800" i="34"/>
  <c r="F800" i="34"/>
  <c r="E800" i="34"/>
  <c r="D800" i="34"/>
  <c r="C800" i="34"/>
  <c r="B800" i="34"/>
  <c r="A800" i="34"/>
  <c r="J799" i="34"/>
  <c r="I799" i="34"/>
  <c r="G799" i="34"/>
  <c r="F799" i="34"/>
  <c r="E799" i="34"/>
  <c r="D799" i="34"/>
  <c r="C799" i="34"/>
  <c r="B799" i="34"/>
  <c r="A799" i="34"/>
  <c r="J798" i="34"/>
  <c r="I798" i="34"/>
  <c r="G798" i="34"/>
  <c r="F798" i="34"/>
  <c r="E798" i="34"/>
  <c r="D798" i="34"/>
  <c r="C798" i="34"/>
  <c r="B798" i="34"/>
  <c r="A798" i="34"/>
  <c r="J797" i="34"/>
  <c r="I797" i="34"/>
  <c r="G797" i="34"/>
  <c r="F797" i="34"/>
  <c r="E797" i="34"/>
  <c r="D797" i="34"/>
  <c r="C797" i="34"/>
  <c r="B797" i="34"/>
  <c r="A797" i="34"/>
  <c r="J796" i="34"/>
  <c r="I796" i="34"/>
  <c r="G796" i="34"/>
  <c r="F796" i="34"/>
  <c r="E796" i="34"/>
  <c r="D796" i="34"/>
  <c r="C796" i="34"/>
  <c r="B796" i="34"/>
  <c r="A796" i="34"/>
  <c r="J795" i="34"/>
  <c r="I795" i="34"/>
  <c r="G795" i="34"/>
  <c r="F795" i="34"/>
  <c r="E795" i="34"/>
  <c r="D795" i="34"/>
  <c r="C795" i="34"/>
  <c r="B795" i="34"/>
  <c r="A795" i="34"/>
  <c r="J794" i="34"/>
  <c r="I794" i="34"/>
  <c r="G794" i="34"/>
  <c r="F794" i="34"/>
  <c r="E794" i="34"/>
  <c r="D794" i="34"/>
  <c r="C794" i="34"/>
  <c r="B794" i="34"/>
  <c r="A794" i="34"/>
  <c r="J793" i="34"/>
  <c r="I793" i="34"/>
  <c r="G793" i="34"/>
  <c r="F793" i="34"/>
  <c r="E793" i="34"/>
  <c r="D793" i="34"/>
  <c r="C793" i="34"/>
  <c r="B793" i="34"/>
  <c r="A793" i="34"/>
  <c r="J792" i="34"/>
  <c r="I792" i="34"/>
  <c r="G792" i="34"/>
  <c r="F792" i="34"/>
  <c r="E792" i="34"/>
  <c r="D792" i="34"/>
  <c r="C792" i="34"/>
  <c r="B792" i="34"/>
  <c r="A792" i="34"/>
  <c r="J791" i="34"/>
  <c r="I791" i="34"/>
  <c r="G791" i="34"/>
  <c r="F791" i="34"/>
  <c r="E791" i="34"/>
  <c r="D791" i="34"/>
  <c r="C791" i="34"/>
  <c r="B791" i="34"/>
  <c r="A791" i="34"/>
  <c r="J790" i="34"/>
  <c r="I790" i="34"/>
  <c r="G790" i="34"/>
  <c r="F790" i="34"/>
  <c r="E790" i="34"/>
  <c r="D790" i="34"/>
  <c r="C790" i="34"/>
  <c r="B790" i="34"/>
  <c r="A790" i="34"/>
  <c r="J789" i="34"/>
  <c r="I789" i="34"/>
  <c r="G789" i="34"/>
  <c r="F789" i="34"/>
  <c r="E789" i="34"/>
  <c r="D789" i="34"/>
  <c r="C789" i="34"/>
  <c r="B789" i="34"/>
  <c r="A789" i="34"/>
  <c r="J788" i="34"/>
  <c r="I788" i="34"/>
  <c r="G788" i="34"/>
  <c r="F788" i="34"/>
  <c r="E788" i="34"/>
  <c r="D788" i="34"/>
  <c r="C788" i="34"/>
  <c r="B788" i="34"/>
  <c r="A788" i="34"/>
  <c r="J787" i="34"/>
  <c r="I787" i="34"/>
  <c r="G787" i="34"/>
  <c r="F787" i="34"/>
  <c r="E787" i="34"/>
  <c r="D787" i="34"/>
  <c r="C787" i="34"/>
  <c r="B787" i="34"/>
  <c r="A787" i="34"/>
  <c r="J786" i="34"/>
  <c r="I786" i="34"/>
  <c r="G786" i="34"/>
  <c r="F786" i="34"/>
  <c r="E786" i="34"/>
  <c r="D786" i="34"/>
  <c r="C786" i="34"/>
  <c r="B786" i="34"/>
  <c r="A786" i="34"/>
  <c r="J785" i="34"/>
  <c r="I785" i="34"/>
  <c r="G785" i="34"/>
  <c r="F785" i="34"/>
  <c r="E785" i="34"/>
  <c r="D785" i="34"/>
  <c r="C785" i="34"/>
  <c r="B785" i="34"/>
  <c r="A785" i="34"/>
  <c r="J784" i="34"/>
  <c r="I784" i="34"/>
  <c r="G784" i="34"/>
  <c r="F784" i="34"/>
  <c r="E784" i="34"/>
  <c r="D784" i="34"/>
  <c r="C784" i="34"/>
  <c r="B784" i="34"/>
  <c r="A784" i="34"/>
  <c r="J783" i="34"/>
  <c r="I783" i="34"/>
  <c r="G783" i="34"/>
  <c r="F783" i="34"/>
  <c r="E783" i="34"/>
  <c r="D783" i="34"/>
  <c r="C783" i="34"/>
  <c r="B783" i="34"/>
  <c r="A783" i="34"/>
  <c r="J782" i="34"/>
  <c r="I782" i="34"/>
  <c r="G782" i="34"/>
  <c r="F782" i="34"/>
  <c r="E782" i="34"/>
  <c r="D782" i="34"/>
  <c r="C782" i="34"/>
  <c r="B782" i="34"/>
  <c r="A782" i="34"/>
  <c r="J781" i="34"/>
  <c r="I781" i="34"/>
  <c r="G781" i="34"/>
  <c r="F781" i="34"/>
  <c r="E781" i="34"/>
  <c r="D781" i="34"/>
  <c r="C781" i="34"/>
  <c r="B781" i="34"/>
  <c r="A781" i="34"/>
  <c r="J780" i="34"/>
  <c r="I780" i="34"/>
  <c r="G780" i="34"/>
  <c r="F780" i="34"/>
  <c r="E780" i="34"/>
  <c r="D780" i="34"/>
  <c r="C780" i="34"/>
  <c r="B780" i="34"/>
  <c r="A780" i="34"/>
  <c r="J779" i="34"/>
  <c r="I779" i="34"/>
  <c r="G779" i="34"/>
  <c r="F779" i="34"/>
  <c r="E779" i="34"/>
  <c r="D779" i="34"/>
  <c r="C779" i="34"/>
  <c r="B779" i="34"/>
  <c r="A779" i="34"/>
  <c r="J778" i="34"/>
  <c r="I778" i="34"/>
  <c r="G778" i="34"/>
  <c r="F778" i="34"/>
  <c r="E778" i="34"/>
  <c r="D778" i="34"/>
  <c r="C778" i="34"/>
  <c r="B778" i="34"/>
  <c r="A778" i="34"/>
  <c r="J777" i="34"/>
  <c r="I777" i="34"/>
  <c r="G777" i="34"/>
  <c r="F777" i="34"/>
  <c r="E777" i="34"/>
  <c r="D777" i="34"/>
  <c r="C777" i="34"/>
  <c r="B777" i="34"/>
  <c r="A777" i="34"/>
  <c r="J776" i="34"/>
  <c r="I776" i="34"/>
  <c r="G776" i="34"/>
  <c r="F776" i="34"/>
  <c r="E776" i="34"/>
  <c r="D776" i="34"/>
  <c r="C776" i="34"/>
  <c r="B776" i="34"/>
  <c r="A776" i="34"/>
  <c r="J775" i="34"/>
  <c r="I775" i="34"/>
  <c r="G775" i="34"/>
  <c r="F775" i="34"/>
  <c r="E775" i="34"/>
  <c r="D775" i="34"/>
  <c r="C775" i="34"/>
  <c r="B775" i="34"/>
  <c r="A775" i="34"/>
  <c r="J774" i="34"/>
  <c r="I774" i="34"/>
  <c r="G774" i="34"/>
  <c r="F774" i="34"/>
  <c r="E774" i="34"/>
  <c r="D774" i="34"/>
  <c r="C774" i="34"/>
  <c r="B774" i="34"/>
  <c r="A774" i="34"/>
  <c r="J773" i="34"/>
  <c r="I773" i="34"/>
  <c r="G773" i="34"/>
  <c r="F773" i="34"/>
  <c r="E773" i="34"/>
  <c r="D773" i="34"/>
  <c r="C773" i="34"/>
  <c r="B773" i="34"/>
  <c r="A773" i="34"/>
  <c r="J772" i="34"/>
  <c r="I772" i="34"/>
  <c r="G772" i="34"/>
  <c r="F772" i="34"/>
  <c r="E772" i="34"/>
  <c r="D772" i="34"/>
  <c r="C772" i="34"/>
  <c r="B772" i="34"/>
  <c r="A772" i="34"/>
  <c r="J771" i="34"/>
  <c r="I771" i="34"/>
  <c r="G771" i="34"/>
  <c r="F771" i="34"/>
  <c r="E771" i="34"/>
  <c r="D771" i="34"/>
  <c r="C771" i="34"/>
  <c r="B771" i="34"/>
  <c r="A771" i="34"/>
  <c r="J770" i="34"/>
  <c r="I770" i="34"/>
  <c r="G770" i="34"/>
  <c r="F770" i="34"/>
  <c r="E770" i="34"/>
  <c r="D770" i="34"/>
  <c r="C770" i="34"/>
  <c r="B770" i="34"/>
  <c r="A770" i="34"/>
  <c r="J769" i="34"/>
  <c r="I769" i="34"/>
  <c r="G769" i="34"/>
  <c r="F769" i="34"/>
  <c r="E769" i="34"/>
  <c r="D769" i="34"/>
  <c r="C769" i="34"/>
  <c r="B769" i="34"/>
  <c r="A769" i="34"/>
  <c r="J768" i="34"/>
  <c r="I768" i="34"/>
  <c r="G768" i="34"/>
  <c r="F768" i="34"/>
  <c r="E768" i="34"/>
  <c r="D768" i="34"/>
  <c r="C768" i="34"/>
  <c r="B768" i="34"/>
  <c r="A768" i="34"/>
  <c r="J767" i="34"/>
  <c r="I767" i="34"/>
  <c r="G767" i="34"/>
  <c r="F767" i="34"/>
  <c r="E767" i="34"/>
  <c r="D767" i="34"/>
  <c r="C767" i="34"/>
  <c r="B767" i="34"/>
  <c r="A767" i="34"/>
  <c r="J766" i="34"/>
  <c r="I766" i="34"/>
  <c r="G766" i="34"/>
  <c r="F766" i="34"/>
  <c r="E766" i="34"/>
  <c r="D766" i="34"/>
  <c r="C766" i="34"/>
  <c r="B766" i="34"/>
  <c r="A766" i="34"/>
  <c r="J765" i="34"/>
  <c r="I765" i="34"/>
  <c r="G765" i="34"/>
  <c r="F765" i="34"/>
  <c r="E765" i="34"/>
  <c r="D765" i="34"/>
  <c r="C765" i="34"/>
  <c r="B765" i="34"/>
  <c r="A765" i="34"/>
  <c r="J764" i="34"/>
  <c r="I764" i="34"/>
  <c r="G764" i="34"/>
  <c r="F764" i="34"/>
  <c r="E764" i="34"/>
  <c r="D764" i="34"/>
  <c r="C764" i="34"/>
  <c r="B764" i="34"/>
  <c r="A764" i="34"/>
  <c r="J763" i="34"/>
  <c r="I763" i="34"/>
  <c r="G763" i="34"/>
  <c r="F763" i="34"/>
  <c r="E763" i="34"/>
  <c r="D763" i="34"/>
  <c r="C763" i="34"/>
  <c r="B763" i="34"/>
  <c r="A763" i="34"/>
  <c r="J762" i="34"/>
  <c r="I762" i="34"/>
  <c r="G762" i="34"/>
  <c r="F762" i="34"/>
  <c r="E762" i="34"/>
  <c r="D762" i="34"/>
  <c r="C762" i="34"/>
  <c r="B762" i="34"/>
  <c r="A762" i="34"/>
  <c r="J761" i="34"/>
  <c r="I761" i="34"/>
  <c r="G761" i="34"/>
  <c r="F761" i="34"/>
  <c r="E761" i="34"/>
  <c r="D761" i="34"/>
  <c r="C761" i="34"/>
  <c r="B761" i="34"/>
  <c r="A761" i="34"/>
  <c r="J760" i="34"/>
  <c r="I760" i="34"/>
  <c r="G760" i="34"/>
  <c r="F760" i="34"/>
  <c r="E760" i="34"/>
  <c r="D760" i="34"/>
  <c r="C760" i="34"/>
  <c r="B760" i="34"/>
  <c r="A760" i="34"/>
  <c r="J759" i="34"/>
  <c r="I759" i="34"/>
  <c r="G759" i="34"/>
  <c r="F759" i="34"/>
  <c r="E759" i="34"/>
  <c r="D759" i="34"/>
  <c r="C759" i="34"/>
  <c r="B759" i="34"/>
  <c r="A759" i="34"/>
  <c r="J758" i="34"/>
  <c r="I758" i="34"/>
  <c r="G758" i="34"/>
  <c r="F758" i="34"/>
  <c r="E758" i="34"/>
  <c r="D758" i="34"/>
  <c r="C758" i="34"/>
  <c r="B758" i="34"/>
  <c r="A758" i="34"/>
  <c r="J757" i="34"/>
  <c r="I757" i="34"/>
  <c r="G757" i="34"/>
  <c r="F757" i="34"/>
  <c r="E757" i="34"/>
  <c r="D757" i="34"/>
  <c r="C757" i="34"/>
  <c r="B757" i="34"/>
  <c r="A757" i="34"/>
  <c r="J756" i="34"/>
  <c r="I756" i="34"/>
  <c r="G756" i="34"/>
  <c r="F756" i="34"/>
  <c r="E756" i="34"/>
  <c r="D756" i="34"/>
  <c r="C756" i="34"/>
  <c r="B756" i="34"/>
  <c r="A756" i="34"/>
  <c r="J755" i="34"/>
  <c r="I755" i="34"/>
  <c r="G755" i="34"/>
  <c r="F755" i="34"/>
  <c r="E755" i="34"/>
  <c r="D755" i="34"/>
  <c r="C755" i="34"/>
  <c r="B755" i="34"/>
  <c r="A755" i="34"/>
  <c r="J754" i="34"/>
  <c r="I754" i="34"/>
  <c r="G754" i="34"/>
  <c r="F754" i="34"/>
  <c r="E754" i="34"/>
  <c r="D754" i="34"/>
  <c r="C754" i="34"/>
  <c r="B754" i="34"/>
  <c r="A754" i="34"/>
  <c r="J753" i="34"/>
  <c r="I753" i="34"/>
  <c r="G753" i="34"/>
  <c r="F753" i="34"/>
  <c r="E753" i="34"/>
  <c r="D753" i="34"/>
  <c r="C753" i="34"/>
  <c r="B753" i="34"/>
  <c r="A753" i="34"/>
  <c r="J752" i="34"/>
  <c r="I752" i="34"/>
  <c r="G752" i="34"/>
  <c r="F752" i="34"/>
  <c r="E752" i="34"/>
  <c r="D752" i="34"/>
  <c r="C752" i="34"/>
  <c r="B752" i="34"/>
  <c r="A752" i="34"/>
  <c r="J751" i="34"/>
  <c r="I751" i="34"/>
  <c r="G751" i="34"/>
  <c r="F751" i="34"/>
  <c r="E751" i="34"/>
  <c r="D751" i="34"/>
  <c r="C751" i="34"/>
  <c r="B751" i="34"/>
  <c r="A751" i="34"/>
  <c r="J750" i="34"/>
  <c r="I750" i="34"/>
  <c r="G750" i="34"/>
  <c r="F750" i="34"/>
  <c r="E750" i="34"/>
  <c r="D750" i="34"/>
  <c r="C750" i="34"/>
  <c r="B750" i="34"/>
  <c r="A750" i="34"/>
  <c r="J749" i="34"/>
  <c r="I749" i="34"/>
  <c r="G749" i="34"/>
  <c r="F749" i="34"/>
  <c r="E749" i="34"/>
  <c r="D749" i="34"/>
  <c r="C749" i="34"/>
  <c r="B749" i="34"/>
  <c r="A749" i="34"/>
  <c r="J748" i="34"/>
  <c r="I748" i="34"/>
  <c r="G748" i="34"/>
  <c r="F748" i="34"/>
  <c r="E748" i="34"/>
  <c r="D748" i="34"/>
  <c r="C748" i="34"/>
  <c r="B748" i="34"/>
  <c r="A748" i="34"/>
  <c r="J747" i="34"/>
  <c r="I747" i="34"/>
  <c r="G747" i="34"/>
  <c r="F747" i="34"/>
  <c r="E747" i="34"/>
  <c r="D747" i="34"/>
  <c r="C747" i="34"/>
  <c r="B747" i="34"/>
  <c r="A747" i="34"/>
  <c r="J746" i="34"/>
  <c r="I746" i="34"/>
  <c r="G746" i="34"/>
  <c r="F746" i="34"/>
  <c r="E746" i="34"/>
  <c r="D746" i="34"/>
  <c r="C746" i="34"/>
  <c r="B746" i="34"/>
  <c r="A746" i="34"/>
  <c r="J745" i="34"/>
  <c r="I745" i="34"/>
  <c r="G745" i="34"/>
  <c r="F745" i="34"/>
  <c r="E745" i="34"/>
  <c r="D745" i="34"/>
  <c r="C745" i="34"/>
  <c r="B745" i="34"/>
  <c r="A745" i="34"/>
  <c r="J744" i="34"/>
  <c r="I744" i="34"/>
  <c r="G744" i="34"/>
  <c r="F744" i="34"/>
  <c r="E744" i="34"/>
  <c r="D744" i="34"/>
  <c r="C744" i="34"/>
  <c r="B744" i="34"/>
  <c r="A744" i="34"/>
  <c r="J743" i="34"/>
  <c r="I743" i="34"/>
  <c r="G743" i="34"/>
  <c r="F743" i="34"/>
  <c r="E743" i="34"/>
  <c r="D743" i="34"/>
  <c r="C743" i="34"/>
  <c r="B743" i="34"/>
  <c r="A743" i="34"/>
  <c r="J742" i="34"/>
  <c r="I742" i="34"/>
  <c r="G742" i="34"/>
  <c r="F742" i="34"/>
  <c r="E742" i="34"/>
  <c r="D742" i="34"/>
  <c r="C742" i="34"/>
  <c r="B742" i="34"/>
  <c r="A742" i="34"/>
  <c r="J741" i="34"/>
  <c r="I741" i="34"/>
  <c r="G741" i="34"/>
  <c r="F741" i="34"/>
  <c r="E741" i="34"/>
  <c r="D741" i="34"/>
  <c r="C741" i="34"/>
  <c r="B741" i="34"/>
  <c r="A741" i="34"/>
  <c r="J740" i="34"/>
  <c r="I740" i="34"/>
  <c r="G740" i="34"/>
  <c r="F740" i="34"/>
  <c r="E740" i="34"/>
  <c r="D740" i="34"/>
  <c r="C740" i="34"/>
  <c r="B740" i="34"/>
  <c r="A740" i="34"/>
  <c r="J739" i="34"/>
  <c r="I739" i="34"/>
  <c r="G739" i="34"/>
  <c r="F739" i="34"/>
  <c r="E739" i="34"/>
  <c r="D739" i="34"/>
  <c r="C739" i="34"/>
  <c r="B739" i="34"/>
  <c r="A739" i="34"/>
  <c r="J738" i="34"/>
  <c r="I738" i="34"/>
  <c r="G738" i="34"/>
  <c r="F738" i="34"/>
  <c r="E738" i="34"/>
  <c r="D738" i="34"/>
  <c r="C738" i="34"/>
  <c r="B738" i="34"/>
  <c r="A738" i="34"/>
  <c r="J737" i="34"/>
  <c r="I737" i="34"/>
  <c r="G737" i="34"/>
  <c r="F737" i="34"/>
  <c r="E737" i="34"/>
  <c r="D737" i="34"/>
  <c r="C737" i="34"/>
  <c r="B737" i="34"/>
  <c r="A737" i="34"/>
  <c r="J736" i="34"/>
  <c r="I736" i="34"/>
  <c r="G736" i="34"/>
  <c r="F736" i="34"/>
  <c r="E736" i="34"/>
  <c r="D736" i="34"/>
  <c r="C736" i="34"/>
  <c r="B736" i="34"/>
  <c r="A736" i="34"/>
  <c r="J735" i="34"/>
  <c r="I735" i="34"/>
  <c r="G735" i="34"/>
  <c r="F735" i="34"/>
  <c r="E735" i="34"/>
  <c r="D735" i="34"/>
  <c r="C735" i="34"/>
  <c r="B735" i="34"/>
  <c r="A735" i="34"/>
  <c r="J734" i="34"/>
  <c r="I734" i="34"/>
  <c r="G734" i="34"/>
  <c r="F734" i="34"/>
  <c r="E734" i="34"/>
  <c r="D734" i="34"/>
  <c r="C734" i="34"/>
  <c r="B734" i="34"/>
  <c r="A734" i="34"/>
  <c r="J733" i="34"/>
  <c r="I733" i="34"/>
  <c r="G733" i="34"/>
  <c r="F733" i="34"/>
  <c r="E733" i="34"/>
  <c r="D733" i="34"/>
  <c r="C733" i="34"/>
  <c r="B733" i="34"/>
  <c r="A733" i="34"/>
  <c r="J732" i="34"/>
  <c r="I732" i="34"/>
  <c r="G732" i="34"/>
  <c r="F732" i="34"/>
  <c r="E732" i="34"/>
  <c r="D732" i="34"/>
  <c r="C732" i="34"/>
  <c r="B732" i="34"/>
  <c r="A732" i="34"/>
  <c r="J731" i="34"/>
  <c r="I731" i="34"/>
  <c r="G731" i="34"/>
  <c r="F731" i="34"/>
  <c r="E731" i="34"/>
  <c r="D731" i="34"/>
  <c r="C731" i="34"/>
  <c r="B731" i="34"/>
  <c r="A731" i="34"/>
  <c r="J730" i="34"/>
  <c r="I730" i="34"/>
  <c r="G730" i="34"/>
  <c r="F730" i="34"/>
  <c r="E730" i="34"/>
  <c r="D730" i="34"/>
  <c r="C730" i="34"/>
  <c r="B730" i="34"/>
  <c r="A730" i="34"/>
  <c r="J729" i="34"/>
  <c r="I729" i="34"/>
  <c r="G729" i="34"/>
  <c r="F729" i="34"/>
  <c r="E729" i="34"/>
  <c r="D729" i="34"/>
  <c r="C729" i="34"/>
  <c r="B729" i="34"/>
  <c r="A729" i="34"/>
  <c r="J728" i="34"/>
  <c r="I728" i="34"/>
  <c r="G728" i="34"/>
  <c r="F728" i="34"/>
  <c r="E728" i="34"/>
  <c r="D728" i="34"/>
  <c r="C728" i="34"/>
  <c r="B728" i="34"/>
  <c r="A728" i="34"/>
  <c r="J727" i="34"/>
  <c r="I727" i="34"/>
  <c r="G727" i="34"/>
  <c r="F727" i="34"/>
  <c r="E727" i="34"/>
  <c r="D727" i="34"/>
  <c r="C727" i="34"/>
  <c r="B727" i="34"/>
  <c r="A727" i="34"/>
  <c r="J726" i="34"/>
  <c r="I726" i="34"/>
  <c r="G726" i="34"/>
  <c r="F726" i="34"/>
  <c r="E726" i="34"/>
  <c r="D726" i="34"/>
  <c r="C726" i="34"/>
  <c r="B726" i="34"/>
  <c r="A726" i="34"/>
  <c r="J725" i="34"/>
  <c r="I725" i="34"/>
  <c r="G725" i="34"/>
  <c r="F725" i="34"/>
  <c r="E725" i="34"/>
  <c r="D725" i="34"/>
  <c r="C725" i="34"/>
  <c r="B725" i="34"/>
  <c r="A725" i="34"/>
  <c r="J724" i="34"/>
  <c r="I724" i="34"/>
  <c r="G724" i="34"/>
  <c r="F724" i="34"/>
  <c r="E724" i="34"/>
  <c r="D724" i="34"/>
  <c r="C724" i="34"/>
  <c r="B724" i="34"/>
  <c r="A724" i="34"/>
  <c r="J723" i="34"/>
  <c r="I723" i="34"/>
  <c r="G723" i="34"/>
  <c r="F723" i="34"/>
  <c r="E723" i="34"/>
  <c r="D723" i="34"/>
  <c r="C723" i="34"/>
  <c r="B723" i="34"/>
  <c r="A723" i="34"/>
  <c r="J722" i="34"/>
  <c r="I722" i="34"/>
  <c r="G722" i="34"/>
  <c r="F722" i="34"/>
  <c r="E722" i="34"/>
  <c r="D722" i="34"/>
  <c r="C722" i="34"/>
  <c r="B722" i="34"/>
  <c r="A722" i="34"/>
  <c r="J721" i="34"/>
  <c r="I721" i="34"/>
  <c r="G721" i="34"/>
  <c r="F721" i="34"/>
  <c r="E721" i="34"/>
  <c r="D721" i="34"/>
  <c r="C721" i="34"/>
  <c r="B721" i="34"/>
  <c r="A721" i="34"/>
  <c r="J720" i="34"/>
  <c r="I720" i="34"/>
  <c r="G720" i="34"/>
  <c r="F720" i="34"/>
  <c r="E720" i="34"/>
  <c r="D720" i="34"/>
  <c r="C720" i="34"/>
  <c r="B720" i="34"/>
  <c r="A720" i="34"/>
  <c r="J719" i="34"/>
  <c r="I719" i="34"/>
  <c r="G719" i="34"/>
  <c r="F719" i="34"/>
  <c r="E719" i="34"/>
  <c r="D719" i="34"/>
  <c r="C719" i="34"/>
  <c r="B719" i="34"/>
  <c r="A719" i="34"/>
  <c r="J718" i="34"/>
  <c r="I718" i="34"/>
  <c r="G718" i="34"/>
  <c r="F718" i="34"/>
  <c r="E718" i="34"/>
  <c r="D718" i="34"/>
  <c r="C718" i="34"/>
  <c r="B718" i="34"/>
  <c r="A718" i="34"/>
  <c r="J717" i="34"/>
  <c r="I717" i="34"/>
  <c r="G717" i="34"/>
  <c r="F717" i="34"/>
  <c r="E717" i="34"/>
  <c r="D717" i="34"/>
  <c r="C717" i="34"/>
  <c r="B717" i="34"/>
  <c r="A717" i="34"/>
  <c r="J716" i="34"/>
  <c r="I716" i="34"/>
  <c r="G716" i="34"/>
  <c r="F716" i="34"/>
  <c r="E716" i="34"/>
  <c r="D716" i="34"/>
  <c r="C716" i="34"/>
  <c r="B716" i="34"/>
  <c r="A716" i="34"/>
  <c r="J715" i="34"/>
  <c r="I715" i="34"/>
  <c r="G715" i="34"/>
  <c r="F715" i="34"/>
  <c r="E715" i="34"/>
  <c r="D715" i="34"/>
  <c r="C715" i="34"/>
  <c r="B715" i="34"/>
  <c r="A715" i="34"/>
  <c r="J714" i="34"/>
  <c r="I714" i="34"/>
  <c r="G714" i="34"/>
  <c r="F714" i="34"/>
  <c r="E714" i="34"/>
  <c r="D714" i="34"/>
  <c r="C714" i="34"/>
  <c r="B714" i="34"/>
  <c r="A714" i="34"/>
  <c r="J713" i="34"/>
  <c r="I713" i="34"/>
  <c r="G713" i="34"/>
  <c r="F713" i="34"/>
  <c r="E713" i="34"/>
  <c r="D713" i="34"/>
  <c r="C713" i="34"/>
  <c r="B713" i="34"/>
  <c r="A713" i="34"/>
  <c r="J712" i="34"/>
  <c r="I712" i="34"/>
  <c r="G712" i="34"/>
  <c r="F712" i="34"/>
  <c r="E712" i="34"/>
  <c r="D712" i="34"/>
  <c r="C712" i="34"/>
  <c r="B712" i="34"/>
  <c r="A712" i="34"/>
  <c r="J711" i="34"/>
  <c r="I711" i="34"/>
  <c r="G711" i="34"/>
  <c r="F711" i="34"/>
  <c r="E711" i="34"/>
  <c r="D711" i="34"/>
  <c r="C711" i="34"/>
  <c r="B711" i="34"/>
  <c r="A711" i="34"/>
  <c r="J710" i="34"/>
  <c r="I710" i="34"/>
  <c r="G710" i="34"/>
  <c r="F710" i="34"/>
  <c r="E710" i="34"/>
  <c r="D710" i="34"/>
  <c r="C710" i="34"/>
  <c r="B710" i="34"/>
  <c r="A710" i="34"/>
  <c r="J709" i="34"/>
  <c r="I709" i="34"/>
  <c r="G709" i="34"/>
  <c r="F709" i="34"/>
  <c r="E709" i="34"/>
  <c r="D709" i="34"/>
  <c r="C709" i="34"/>
  <c r="B709" i="34"/>
  <c r="A709" i="34"/>
  <c r="J708" i="34"/>
  <c r="I708" i="34"/>
  <c r="G708" i="34"/>
  <c r="F708" i="34"/>
  <c r="E708" i="34"/>
  <c r="D708" i="34"/>
  <c r="C708" i="34"/>
  <c r="B708" i="34"/>
  <c r="A708" i="34"/>
  <c r="J707" i="34"/>
  <c r="I707" i="34"/>
  <c r="G707" i="34"/>
  <c r="F707" i="34"/>
  <c r="E707" i="34"/>
  <c r="D707" i="34"/>
  <c r="C707" i="34"/>
  <c r="B707" i="34"/>
  <c r="A707" i="34"/>
  <c r="J706" i="34"/>
  <c r="I706" i="34"/>
  <c r="G706" i="34"/>
  <c r="F706" i="34"/>
  <c r="E706" i="34"/>
  <c r="D706" i="34"/>
  <c r="C706" i="34"/>
  <c r="B706" i="34"/>
  <c r="A706" i="34"/>
  <c r="J705" i="34"/>
  <c r="I705" i="34"/>
  <c r="G705" i="34"/>
  <c r="F705" i="34"/>
  <c r="E705" i="34"/>
  <c r="D705" i="34"/>
  <c r="C705" i="34"/>
  <c r="B705" i="34"/>
  <c r="A705" i="34"/>
  <c r="J704" i="34"/>
  <c r="I704" i="34"/>
  <c r="G704" i="34"/>
  <c r="F704" i="34"/>
  <c r="E704" i="34"/>
  <c r="D704" i="34"/>
  <c r="C704" i="34"/>
  <c r="B704" i="34"/>
  <c r="A704" i="34"/>
  <c r="J703" i="34"/>
  <c r="I703" i="34"/>
  <c r="G703" i="34"/>
  <c r="F703" i="34"/>
  <c r="E703" i="34"/>
  <c r="D703" i="34"/>
  <c r="C703" i="34"/>
  <c r="B703" i="34"/>
  <c r="A703" i="34"/>
  <c r="J702" i="34"/>
  <c r="I702" i="34"/>
  <c r="G702" i="34"/>
  <c r="F702" i="34"/>
  <c r="E702" i="34"/>
  <c r="D702" i="34"/>
  <c r="C702" i="34"/>
  <c r="B702" i="34"/>
  <c r="A702" i="34"/>
  <c r="J701" i="34"/>
  <c r="I701" i="34"/>
  <c r="G701" i="34"/>
  <c r="F701" i="34"/>
  <c r="E701" i="34"/>
  <c r="D701" i="34"/>
  <c r="C701" i="34"/>
  <c r="B701" i="34"/>
  <c r="A701" i="34"/>
  <c r="J700" i="34"/>
  <c r="I700" i="34"/>
  <c r="G700" i="34"/>
  <c r="F700" i="34"/>
  <c r="E700" i="34"/>
  <c r="D700" i="34"/>
  <c r="C700" i="34"/>
  <c r="B700" i="34"/>
  <c r="A700" i="34"/>
  <c r="J699" i="34"/>
  <c r="I699" i="34"/>
  <c r="G699" i="34"/>
  <c r="F699" i="34"/>
  <c r="E699" i="34"/>
  <c r="D699" i="34"/>
  <c r="C699" i="34"/>
  <c r="B699" i="34"/>
  <c r="A699" i="34"/>
  <c r="J698" i="34"/>
  <c r="I698" i="34"/>
  <c r="G698" i="34"/>
  <c r="F698" i="34"/>
  <c r="E698" i="34"/>
  <c r="D698" i="34"/>
  <c r="C698" i="34"/>
  <c r="B698" i="34"/>
  <c r="A698" i="34"/>
  <c r="J697" i="34"/>
  <c r="I697" i="34"/>
  <c r="G697" i="34"/>
  <c r="F697" i="34"/>
  <c r="E697" i="34"/>
  <c r="D697" i="34"/>
  <c r="C697" i="34"/>
  <c r="B697" i="34"/>
  <c r="A697" i="34"/>
  <c r="J696" i="34"/>
  <c r="I696" i="34"/>
  <c r="G696" i="34"/>
  <c r="F696" i="34"/>
  <c r="E696" i="34"/>
  <c r="D696" i="34"/>
  <c r="C696" i="34"/>
  <c r="B696" i="34"/>
  <c r="A696" i="34"/>
  <c r="J695" i="34"/>
  <c r="I695" i="34"/>
  <c r="G695" i="34"/>
  <c r="F695" i="34"/>
  <c r="E695" i="34"/>
  <c r="D695" i="34"/>
  <c r="C695" i="34"/>
  <c r="B695" i="34"/>
  <c r="A695" i="34"/>
  <c r="J694" i="34"/>
  <c r="I694" i="34"/>
  <c r="G694" i="34"/>
  <c r="F694" i="34"/>
  <c r="E694" i="34"/>
  <c r="D694" i="34"/>
  <c r="C694" i="34"/>
  <c r="B694" i="34"/>
  <c r="A694" i="34"/>
  <c r="J693" i="34"/>
  <c r="I693" i="34"/>
  <c r="G693" i="34"/>
  <c r="F693" i="34"/>
  <c r="E693" i="34"/>
  <c r="D693" i="34"/>
  <c r="C693" i="34"/>
  <c r="B693" i="34"/>
  <c r="A693" i="34"/>
  <c r="J692" i="34"/>
  <c r="I692" i="34"/>
  <c r="G692" i="34"/>
  <c r="F692" i="34"/>
  <c r="E692" i="34"/>
  <c r="D692" i="34"/>
  <c r="C692" i="34"/>
  <c r="B692" i="34"/>
  <c r="A692" i="34"/>
  <c r="J691" i="34"/>
  <c r="I691" i="34"/>
  <c r="G691" i="34"/>
  <c r="F691" i="34"/>
  <c r="E691" i="34"/>
  <c r="D691" i="34"/>
  <c r="C691" i="34"/>
  <c r="B691" i="34"/>
  <c r="A691" i="34"/>
  <c r="J690" i="34"/>
  <c r="I690" i="34"/>
  <c r="G690" i="34"/>
  <c r="F690" i="34"/>
  <c r="E690" i="34"/>
  <c r="D690" i="34"/>
  <c r="C690" i="34"/>
  <c r="B690" i="34"/>
  <c r="A690" i="34"/>
  <c r="J689" i="34"/>
  <c r="I689" i="34"/>
  <c r="G689" i="34"/>
  <c r="F689" i="34"/>
  <c r="E689" i="34"/>
  <c r="D689" i="34"/>
  <c r="C689" i="34"/>
  <c r="B689" i="34"/>
  <c r="A689" i="34"/>
  <c r="J688" i="34"/>
  <c r="I688" i="34"/>
  <c r="G688" i="34"/>
  <c r="F688" i="34"/>
  <c r="E688" i="34"/>
  <c r="D688" i="34"/>
  <c r="C688" i="34"/>
  <c r="B688" i="34"/>
  <c r="A688" i="34"/>
  <c r="J687" i="34"/>
  <c r="I687" i="34"/>
  <c r="G687" i="34"/>
  <c r="F687" i="34"/>
  <c r="E687" i="34"/>
  <c r="D687" i="34"/>
  <c r="C687" i="34"/>
  <c r="B687" i="34"/>
  <c r="A687" i="34"/>
  <c r="J686" i="34"/>
  <c r="I686" i="34"/>
  <c r="G686" i="34"/>
  <c r="F686" i="34"/>
  <c r="E686" i="34"/>
  <c r="D686" i="34"/>
  <c r="C686" i="34"/>
  <c r="B686" i="34"/>
  <c r="A686" i="34"/>
  <c r="J685" i="34"/>
  <c r="I685" i="34"/>
  <c r="G685" i="34"/>
  <c r="F685" i="34"/>
  <c r="E685" i="34"/>
  <c r="D685" i="34"/>
  <c r="C685" i="34"/>
  <c r="B685" i="34"/>
  <c r="A685" i="34"/>
  <c r="J684" i="34"/>
  <c r="I684" i="34"/>
  <c r="G684" i="34"/>
  <c r="F684" i="34"/>
  <c r="E684" i="34"/>
  <c r="D684" i="34"/>
  <c r="C684" i="34"/>
  <c r="B684" i="34"/>
  <c r="A684" i="34"/>
  <c r="J683" i="34"/>
  <c r="I683" i="34"/>
  <c r="G683" i="34"/>
  <c r="F683" i="34"/>
  <c r="E683" i="34"/>
  <c r="D683" i="34"/>
  <c r="C683" i="34"/>
  <c r="B683" i="34"/>
  <c r="A683" i="34"/>
  <c r="J682" i="34"/>
  <c r="I682" i="34"/>
  <c r="G682" i="34"/>
  <c r="F682" i="34"/>
  <c r="E682" i="34"/>
  <c r="D682" i="34"/>
  <c r="C682" i="34"/>
  <c r="B682" i="34"/>
  <c r="A682" i="34"/>
  <c r="J681" i="34"/>
  <c r="I681" i="34"/>
  <c r="G681" i="34"/>
  <c r="F681" i="34"/>
  <c r="E681" i="34"/>
  <c r="D681" i="34"/>
  <c r="C681" i="34"/>
  <c r="B681" i="34"/>
  <c r="A681" i="34"/>
  <c r="J680" i="34"/>
  <c r="I680" i="34"/>
  <c r="G680" i="34"/>
  <c r="F680" i="34"/>
  <c r="E680" i="34"/>
  <c r="D680" i="34"/>
  <c r="C680" i="34"/>
  <c r="B680" i="34"/>
  <c r="A680" i="34"/>
  <c r="J679" i="34"/>
  <c r="I679" i="34"/>
  <c r="G679" i="34"/>
  <c r="F679" i="34"/>
  <c r="E679" i="34"/>
  <c r="D679" i="34"/>
  <c r="C679" i="34"/>
  <c r="B679" i="34"/>
  <c r="A679" i="34"/>
  <c r="J678" i="34"/>
  <c r="I678" i="34"/>
  <c r="G678" i="34"/>
  <c r="F678" i="34"/>
  <c r="E678" i="34"/>
  <c r="D678" i="34"/>
  <c r="C678" i="34"/>
  <c r="B678" i="34"/>
  <c r="A678" i="34"/>
  <c r="J677" i="34"/>
  <c r="I677" i="34"/>
  <c r="G677" i="34"/>
  <c r="F677" i="34"/>
  <c r="E677" i="34"/>
  <c r="D677" i="34"/>
  <c r="C677" i="34"/>
  <c r="B677" i="34"/>
  <c r="A677" i="34"/>
  <c r="J676" i="34"/>
  <c r="I676" i="34"/>
  <c r="G676" i="34"/>
  <c r="F676" i="34"/>
  <c r="E676" i="34"/>
  <c r="D676" i="34"/>
  <c r="C676" i="34"/>
  <c r="B676" i="34"/>
  <c r="A676" i="34"/>
  <c r="J675" i="34"/>
  <c r="I675" i="34"/>
  <c r="G675" i="34"/>
  <c r="F675" i="34"/>
  <c r="E675" i="34"/>
  <c r="D675" i="34"/>
  <c r="C675" i="34"/>
  <c r="B675" i="34"/>
  <c r="A675" i="34"/>
  <c r="J674" i="34"/>
  <c r="I674" i="34"/>
  <c r="G674" i="34"/>
  <c r="F674" i="34"/>
  <c r="E674" i="34"/>
  <c r="D674" i="34"/>
  <c r="C674" i="34"/>
  <c r="B674" i="34"/>
  <c r="A674" i="34"/>
  <c r="J673" i="34"/>
  <c r="I673" i="34"/>
  <c r="G673" i="34"/>
  <c r="F673" i="34"/>
  <c r="E673" i="34"/>
  <c r="D673" i="34"/>
  <c r="C673" i="34"/>
  <c r="B673" i="34"/>
  <c r="A673" i="34"/>
  <c r="J672" i="34"/>
  <c r="I672" i="34"/>
  <c r="G672" i="34"/>
  <c r="F672" i="34"/>
  <c r="E672" i="34"/>
  <c r="D672" i="34"/>
  <c r="C672" i="34"/>
  <c r="B672" i="34"/>
  <c r="A672" i="34"/>
  <c r="J671" i="34"/>
  <c r="I671" i="34"/>
  <c r="G671" i="34"/>
  <c r="F671" i="34"/>
  <c r="E671" i="34"/>
  <c r="D671" i="34"/>
  <c r="C671" i="34"/>
  <c r="B671" i="34"/>
  <c r="A671" i="34"/>
  <c r="J670" i="34"/>
  <c r="I670" i="34"/>
  <c r="G670" i="34"/>
  <c r="F670" i="34"/>
  <c r="E670" i="34"/>
  <c r="D670" i="34"/>
  <c r="C670" i="34"/>
  <c r="B670" i="34"/>
  <c r="A670" i="34"/>
  <c r="J669" i="34"/>
  <c r="I669" i="34"/>
  <c r="G669" i="34"/>
  <c r="F669" i="34"/>
  <c r="E669" i="34"/>
  <c r="D669" i="34"/>
  <c r="C669" i="34"/>
  <c r="B669" i="34"/>
  <c r="A669" i="34"/>
  <c r="J668" i="34"/>
  <c r="I668" i="34"/>
  <c r="G668" i="34"/>
  <c r="F668" i="34"/>
  <c r="E668" i="34"/>
  <c r="D668" i="34"/>
  <c r="C668" i="34"/>
  <c r="B668" i="34"/>
  <c r="A668" i="34"/>
  <c r="J667" i="34"/>
  <c r="I667" i="34"/>
  <c r="G667" i="34"/>
  <c r="F667" i="34"/>
  <c r="E667" i="34"/>
  <c r="D667" i="34"/>
  <c r="C667" i="34"/>
  <c r="B667" i="34"/>
  <c r="A667" i="34"/>
  <c r="J666" i="34"/>
  <c r="I666" i="34"/>
  <c r="G666" i="34"/>
  <c r="F666" i="34"/>
  <c r="E666" i="34"/>
  <c r="D666" i="34"/>
  <c r="C666" i="34"/>
  <c r="B666" i="34"/>
  <c r="A666" i="34"/>
  <c r="J665" i="34"/>
  <c r="I665" i="34"/>
  <c r="G665" i="34"/>
  <c r="F665" i="34"/>
  <c r="E665" i="34"/>
  <c r="D665" i="34"/>
  <c r="C665" i="34"/>
  <c r="B665" i="34"/>
  <c r="A665" i="34"/>
  <c r="J664" i="34"/>
  <c r="I664" i="34"/>
  <c r="G664" i="34"/>
  <c r="F664" i="34"/>
  <c r="E664" i="34"/>
  <c r="D664" i="34"/>
  <c r="C664" i="34"/>
  <c r="B664" i="34"/>
  <c r="A664" i="34"/>
  <c r="J663" i="34"/>
  <c r="I663" i="34"/>
  <c r="G663" i="34"/>
  <c r="F663" i="34"/>
  <c r="E663" i="34"/>
  <c r="D663" i="34"/>
  <c r="C663" i="34"/>
  <c r="B663" i="34"/>
  <c r="A663" i="34"/>
  <c r="J662" i="34"/>
  <c r="I662" i="34"/>
  <c r="G662" i="34"/>
  <c r="F662" i="34"/>
  <c r="E662" i="34"/>
  <c r="D662" i="34"/>
  <c r="C662" i="34"/>
  <c r="B662" i="34"/>
  <c r="A662" i="34"/>
  <c r="J661" i="34"/>
  <c r="I661" i="34"/>
  <c r="G661" i="34"/>
  <c r="F661" i="34"/>
  <c r="E661" i="34"/>
  <c r="D661" i="34"/>
  <c r="C661" i="34"/>
  <c r="B661" i="34"/>
  <c r="A661" i="34"/>
  <c r="J660" i="34"/>
  <c r="I660" i="34"/>
  <c r="G660" i="34"/>
  <c r="F660" i="34"/>
  <c r="E660" i="34"/>
  <c r="D660" i="34"/>
  <c r="C660" i="34"/>
  <c r="B660" i="34"/>
  <c r="A660" i="34"/>
  <c r="J659" i="34"/>
  <c r="I659" i="34"/>
  <c r="G659" i="34"/>
  <c r="F659" i="34"/>
  <c r="E659" i="34"/>
  <c r="D659" i="34"/>
  <c r="C659" i="34"/>
  <c r="B659" i="34"/>
  <c r="A659" i="34"/>
  <c r="J658" i="34"/>
  <c r="I658" i="34"/>
  <c r="G658" i="34"/>
  <c r="F658" i="34"/>
  <c r="E658" i="34"/>
  <c r="D658" i="34"/>
  <c r="C658" i="34"/>
  <c r="B658" i="34"/>
  <c r="A658" i="34"/>
  <c r="J657" i="34"/>
  <c r="I657" i="34"/>
  <c r="G657" i="34"/>
  <c r="F657" i="34"/>
  <c r="E657" i="34"/>
  <c r="D657" i="34"/>
  <c r="C657" i="34"/>
  <c r="B657" i="34"/>
  <c r="A657" i="34"/>
  <c r="J656" i="34"/>
  <c r="I656" i="34"/>
  <c r="G656" i="34"/>
  <c r="F656" i="34"/>
  <c r="E656" i="34"/>
  <c r="D656" i="34"/>
  <c r="C656" i="34"/>
  <c r="B656" i="34"/>
  <c r="A656" i="34"/>
  <c r="J655" i="34"/>
  <c r="I655" i="34"/>
  <c r="G655" i="34"/>
  <c r="F655" i="34"/>
  <c r="E655" i="34"/>
  <c r="D655" i="34"/>
  <c r="C655" i="34"/>
  <c r="B655" i="34"/>
  <c r="A655" i="34"/>
  <c r="J654" i="34"/>
  <c r="I654" i="34"/>
  <c r="G654" i="34"/>
  <c r="F654" i="34"/>
  <c r="E654" i="34"/>
  <c r="D654" i="34"/>
  <c r="C654" i="34"/>
  <c r="B654" i="34"/>
  <c r="A654" i="34"/>
  <c r="J653" i="34"/>
  <c r="I653" i="34"/>
  <c r="G653" i="34"/>
  <c r="F653" i="34"/>
  <c r="E653" i="34"/>
  <c r="D653" i="34"/>
  <c r="C653" i="34"/>
  <c r="B653" i="34"/>
  <c r="A653" i="34"/>
  <c r="J652" i="34"/>
  <c r="I652" i="34"/>
  <c r="G652" i="34"/>
  <c r="F652" i="34"/>
  <c r="E652" i="34"/>
  <c r="D652" i="34"/>
  <c r="C652" i="34"/>
  <c r="B652" i="34"/>
  <c r="A652" i="34"/>
  <c r="J651" i="34"/>
  <c r="I651" i="34"/>
  <c r="G651" i="34"/>
  <c r="F651" i="34"/>
  <c r="E651" i="34"/>
  <c r="D651" i="34"/>
  <c r="C651" i="34"/>
  <c r="B651" i="34"/>
  <c r="A651" i="34"/>
  <c r="J650" i="34"/>
  <c r="I650" i="34"/>
  <c r="G650" i="34"/>
  <c r="F650" i="34"/>
  <c r="E650" i="34"/>
  <c r="D650" i="34"/>
  <c r="C650" i="34"/>
  <c r="B650" i="34"/>
  <c r="A650" i="34"/>
  <c r="J649" i="34"/>
  <c r="I649" i="34"/>
  <c r="G649" i="34"/>
  <c r="F649" i="34"/>
  <c r="E649" i="34"/>
  <c r="D649" i="34"/>
  <c r="C649" i="34"/>
  <c r="B649" i="34"/>
  <c r="A649" i="34"/>
  <c r="J648" i="34"/>
  <c r="I648" i="34"/>
  <c r="G648" i="34"/>
  <c r="F648" i="34"/>
  <c r="E648" i="34"/>
  <c r="D648" i="34"/>
  <c r="C648" i="34"/>
  <c r="B648" i="34"/>
  <c r="A648" i="34"/>
  <c r="J647" i="34"/>
  <c r="I647" i="34"/>
  <c r="G647" i="34"/>
  <c r="F647" i="34"/>
  <c r="E647" i="34"/>
  <c r="D647" i="34"/>
  <c r="C647" i="34"/>
  <c r="B647" i="34"/>
  <c r="A647" i="34"/>
  <c r="J646" i="34"/>
  <c r="I646" i="34"/>
  <c r="G646" i="34"/>
  <c r="F646" i="34"/>
  <c r="E646" i="34"/>
  <c r="D646" i="34"/>
  <c r="C646" i="34"/>
  <c r="B646" i="34"/>
  <c r="A646" i="34"/>
  <c r="J645" i="34"/>
  <c r="I645" i="34"/>
  <c r="G645" i="34"/>
  <c r="F645" i="34"/>
  <c r="E645" i="34"/>
  <c r="D645" i="34"/>
  <c r="C645" i="34"/>
  <c r="B645" i="34"/>
  <c r="A645" i="34"/>
  <c r="J644" i="34"/>
  <c r="I644" i="34"/>
  <c r="G644" i="34"/>
  <c r="F644" i="34"/>
  <c r="E644" i="34"/>
  <c r="D644" i="34"/>
  <c r="C644" i="34"/>
  <c r="B644" i="34"/>
  <c r="A644" i="34"/>
  <c r="J643" i="34"/>
  <c r="I643" i="34"/>
  <c r="G643" i="34"/>
  <c r="F643" i="34"/>
  <c r="E643" i="34"/>
  <c r="D643" i="34"/>
  <c r="C643" i="34"/>
  <c r="B643" i="34"/>
  <c r="A643" i="34"/>
  <c r="J642" i="34"/>
  <c r="I642" i="34"/>
  <c r="G642" i="34"/>
  <c r="F642" i="34"/>
  <c r="E642" i="34"/>
  <c r="D642" i="34"/>
  <c r="C642" i="34"/>
  <c r="B642" i="34"/>
  <c r="A642" i="34"/>
  <c r="J641" i="34"/>
  <c r="I641" i="34"/>
  <c r="G641" i="34"/>
  <c r="F641" i="34"/>
  <c r="E641" i="34"/>
  <c r="D641" i="34"/>
  <c r="C641" i="34"/>
  <c r="B641" i="34"/>
  <c r="A641" i="34"/>
  <c r="J640" i="34"/>
  <c r="I640" i="34"/>
  <c r="G640" i="34"/>
  <c r="F640" i="34"/>
  <c r="E640" i="34"/>
  <c r="D640" i="34"/>
  <c r="C640" i="34"/>
  <c r="B640" i="34"/>
  <c r="A640" i="34"/>
  <c r="J639" i="34"/>
  <c r="I639" i="34"/>
  <c r="G639" i="34"/>
  <c r="F639" i="34"/>
  <c r="E639" i="34"/>
  <c r="D639" i="34"/>
  <c r="C639" i="34"/>
  <c r="B639" i="34"/>
  <c r="A639" i="34"/>
  <c r="J638" i="34"/>
  <c r="I638" i="34"/>
  <c r="G638" i="34"/>
  <c r="F638" i="34"/>
  <c r="E638" i="34"/>
  <c r="D638" i="34"/>
  <c r="C638" i="34"/>
  <c r="B638" i="34"/>
  <c r="A638" i="34"/>
  <c r="J637" i="34"/>
  <c r="I637" i="34"/>
  <c r="G637" i="34"/>
  <c r="F637" i="34"/>
  <c r="E637" i="34"/>
  <c r="D637" i="34"/>
  <c r="C637" i="34"/>
  <c r="B637" i="34"/>
  <c r="A637" i="34"/>
  <c r="J636" i="34"/>
  <c r="I636" i="34"/>
  <c r="G636" i="34"/>
  <c r="F636" i="34"/>
  <c r="E636" i="34"/>
  <c r="D636" i="34"/>
  <c r="C636" i="34"/>
  <c r="B636" i="34"/>
  <c r="A636" i="34"/>
  <c r="J635" i="34"/>
  <c r="I635" i="34"/>
  <c r="G635" i="34"/>
  <c r="F635" i="34"/>
  <c r="E635" i="34"/>
  <c r="D635" i="34"/>
  <c r="C635" i="34"/>
  <c r="B635" i="34"/>
  <c r="A635" i="34"/>
  <c r="J634" i="34"/>
  <c r="I634" i="34"/>
  <c r="G634" i="34"/>
  <c r="F634" i="34"/>
  <c r="E634" i="34"/>
  <c r="D634" i="34"/>
  <c r="C634" i="34"/>
  <c r="B634" i="34"/>
  <c r="A634" i="34"/>
  <c r="J633" i="34"/>
  <c r="I633" i="34"/>
  <c r="G633" i="34"/>
  <c r="F633" i="34"/>
  <c r="E633" i="34"/>
  <c r="D633" i="34"/>
  <c r="C633" i="34"/>
  <c r="B633" i="34"/>
  <c r="A633" i="34"/>
  <c r="J632" i="34"/>
  <c r="I632" i="34"/>
  <c r="G632" i="34"/>
  <c r="F632" i="34"/>
  <c r="E632" i="34"/>
  <c r="D632" i="34"/>
  <c r="C632" i="34"/>
  <c r="B632" i="34"/>
  <c r="A632" i="34"/>
  <c r="J631" i="34"/>
  <c r="I631" i="34"/>
  <c r="G631" i="34"/>
  <c r="F631" i="34"/>
  <c r="E631" i="34"/>
  <c r="D631" i="34"/>
  <c r="C631" i="34"/>
  <c r="B631" i="34"/>
  <c r="A631" i="34"/>
  <c r="J630" i="34"/>
  <c r="I630" i="34"/>
  <c r="G630" i="34"/>
  <c r="F630" i="34"/>
  <c r="E630" i="34"/>
  <c r="D630" i="34"/>
  <c r="C630" i="34"/>
  <c r="B630" i="34"/>
  <c r="A630" i="34"/>
  <c r="J629" i="34"/>
  <c r="I629" i="34"/>
  <c r="G629" i="34"/>
  <c r="F629" i="34"/>
  <c r="E629" i="34"/>
  <c r="D629" i="34"/>
  <c r="C629" i="34"/>
  <c r="B629" i="34"/>
  <c r="A629" i="34"/>
  <c r="J628" i="34"/>
  <c r="I628" i="34"/>
  <c r="G628" i="34"/>
  <c r="F628" i="34"/>
  <c r="E628" i="34"/>
  <c r="D628" i="34"/>
  <c r="C628" i="34"/>
  <c r="B628" i="34"/>
  <c r="A628" i="34"/>
  <c r="J627" i="34"/>
  <c r="I627" i="34"/>
  <c r="G627" i="34"/>
  <c r="F627" i="34"/>
  <c r="E627" i="34"/>
  <c r="D627" i="34"/>
  <c r="C627" i="34"/>
  <c r="B627" i="34"/>
  <c r="A627" i="34"/>
  <c r="J626" i="34"/>
  <c r="I626" i="34"/>
  <c r="G626" i="34"/>
  <c r="F626" i="34"/>
  <c r="E626" i="34"/>
  <c r="D626" i="34"/>
  <c r="C626" i="34"/>
  <c r="B626" i="34"/>
  <c r="A626" i="34"/>
  <c r="J625" i="34"/>
  <c r="I625" i="34"/>
  <c r="G625" i="34"/>
  <c r="F625" i="34"/>
  <c r="E625" i="34"/>
  <c r="D625" i="34"/>
  <c r="C625" i="34"/>
  <c r="B625" i="34"/>
  <c r="A625" i="34"/>
  <c r="J624" i="34"/>
  <c r="I624" i="34"/>
  <c r="G624" i="34"/>
  <c r="F624" i="34"/>
  <c r="E624" i="34"/>
  <c r="D624" i="34"/>
  <c r="C624" i="34"/>
  <c r="B624" i="34"/>
  <c r="A624" i="34"/>
  <c r="J623" i="34"/>
  <c r="I623" i="34"/>
  <c r="G623" i="34"/>
  <c r="F623" i="34"/>
  <c r="E623" i="34"/>
  <c r="D623" i="34"/>
  <c r="C623" i="34"/>
  <c r="B623" i="34"/>
  <c r="A623" i="34"/>
  <c r="J622" i="34"/>
  <c r="I622" i="34"/>
  <c r="G622" i="34"/>
  <c r="F622" i="34"/>
  <c r="E622" i="34"/>
  <c r="D622" i="34"/>
  <c r="C622" i="34"/>
  <c r="B622" i="34"/>
  <c r="A622" i="34"/>
  <c r="J621" i="34"/>
  <c r="I621" i="34"/>
  <c r="G621" i="34"/>
  <c r="F621" i="34"/>
  <c r="E621" i="34"/>
  <c r="D621" i="34"/>
  <c r="C621" i="34"/>
  <c r="B621" i="34"/>
  <c r="A621" i="34"/>
  <c r="J620" i="34"/>
  <c r="I620" i="34"/>
  <c r="G620" i="34"/>
  <c r="F620" i="34"/>
  <c r="E620" i="34"/>
  <c r="D620" i="34"/>
  <c r="C620" i="34"/>
  <c r="B620" i="34"/>
  <c r="A620" i="34"/>
  <c r="J619" i="34"/>
  <c r="I619" i="34"/>
  <c r="G619" i="34"/>
  <c r="F619" i="34"/>
  <c r="E619" i="34"/>
  <c r="D619" i="34"/>
  <c r="C619" i="34"/>
  <c r="B619" i="34"/>
  <c r="A619" i="34"/>
  <c r="J618" i="34"/>
  <c r="I618" i="34"/>
  <c r="G618" i="34"/>
  <c r="F618" i="34"/>
  <c r="E618" i="34"/>
  <c r="D618" i="34"/>
  <c r="C618" i="34"/>
  <c r="B618" i="34"/>
  <c r="A618" i="34"/>
  <c r="J617" i="34"/>
  <c r="I617" i="34"/>
  <c r="G617" i="34"/>
  <c r="F617" i="34"/>
  <c r="E617" i="34"/>
  <c r="D617" i="34"/>
  <c r="C617" i="34"/>
  <c r="B617" i="34"/>
  <c r="A617" i="34"/>
  <c r="J616" i="34"/>
  <c r="I616" i="34"/>
  <c r="G616" i="34"/>
  <c r="F616" i="34"/>
  <c r="E616" i="34"/>
  <c r="D616" i="34"/>
  <c r="C616" i="34"/>
  <c r="B616" i="34"/>
  <c r="A616" i="34"/>
  <c r="J615" i="34"/>
  <c r="I615" i="34"/>
  <c r="G615" i="34"/>
  <c r="F615" i="34"/>
  <c r="E615" i="34"/>
  <c r="D615" i="34"/>
  <c r="C615" i="34"/>
  <c r="B615" i="34"/>
  <c r="A615" i="34"/>
  <c r="J614" i="34"/>
  <c r="I614" i="34"/>
  <c r="G614" i="34"/>
  <c r="F614" i="34"/>
  <c r="E614" i="34"/>
  <c r="D614" i="34"/>
  <c r="C614" i="34"/>
  <c r="B614" i="34"/>
  <c r="A614" i="34"/>
  <c r="J613" i="34"/>
  <c r="I613" i="34"/>
  <c r="G613" i="34"/>
  <c r="F613" i="34"/>
  <c r="E613" i="34"/>
  <c r="D613" i="34"/>
  <c r="C613" i="34"/>
  <c r="B613" i="34"/>
  <c r="A613" i="34"/>
  <c r="J612" i="34"/>
  <c r="I612" i="34"/>
  <c r="G612" i="34"/>
  <c r="F612" i="34"/>
  <c r="E612" i="34"/>
  <c r="D612" i="34"/>
  <c r="C612" i="34"/>
  <c r="B612" i="34"/>
  <c r="A612" i="34"/>
  <c r="J611" i="34"/>
  <c r="I611" i="34"/>
  <c r="G611" i="34"/>
  <c r="F611" i="34"/>
  <c r="E611" i="34"/>
  <c r="D611" i="34"/>
  <c r="C611" i="34"/>
  <c r="B611" i="34"/>
  <c r="A611" i="34"/>
  <c r="J610" i="34"/>
  <c r="I610" i="34"/>
  <c r="G610" i="34"/>
  <c r="F610" i="34"/>
  <c r="E610" i="34"/>
  <c r="D610" i="34"/>
  <c r="C610" i="34"/>
  <c r="B610" i="34"/>
  <c r="A610" i="34"/>
  <c r="J609" i="34"/>
  <c r="I609" i="34"/>
  <c r="G609" i="34"/>
  <c r="F609" i="34"/>
  <c r="E609" i="34"/>
  <c r="D609" i="34"/>
  <c r="C609" i="34"/>
  <c r="B609" i="34"/>
  <c r="A609" i="34"/>
  <c r="J608" i="34"/>
  <c r="I608" i="34"/>
  <c r="G608" i="34"/>
  <c r="F608" i="34"/>
  <c r="E608" i="34"/>
  <c r="D608" i="34"/>
  <c r="C608" i="34"/>
  <c r="B608" i="34"/>
  <c r="A608" i="34"/>
  <c r="J607" i="34"/>
  <c r="I607" i="34"/>
  <c r="G607" i="34"/>
  <c r="F607" i="34"/>
  <c r="E607" i="34"/>
  <c r="D607" i="34"/>
  <c r="C607" i="34"/>
  <c r="B607" i="34"/>
  <c r="A607" i="34"/>
  <c r="J606" i="34"/>
  <c r="I606" i="34"/>
  <c r="G606" i="34"/>
  <c r="F606" i="34"/>
  <c r="E606" i="34"/>
  <c r="D606" i="34"/>
  <c r="C606" i="34"/>
  <c r="B606" i="34"/>
  <c r="A606" i="34"/>
  <c r="J605" i="34"/>
  <c r="I605" i="34"/>
  <c r="G605" i="34"/>
  <c r="F605" i="34"/>
  <c r="E605" i="34"/>
  <c r="D605" i="34"/>
  <c r="C605" i="34"/>
  <c r="B605" i="34"/>
  <c r="A605" i="34"/>
  <c r="J604" i="34"/>
  <c r="I604" i="34"/>
  <c r="G604" i="34"/>
  <c r="F604" i="34"/>
  <c r="E604" i="34"/>
  <c r="D604" i="34"/>
  <c r="C604" i="34"/>
  <c r="B604" i="34"/>
  <c r="A604" i="34"/>
  <c r="J603" i="34"/>
  <c r="I603" i="34"/>
  <c r="G603" i="34"/>
  <c r="F603" i="34"/>
  <c r="E603" i="34"/>
  <c r="D603" i="34"/>
  <c r="C603" i="34"/>
  <c r="B603" i="34"/>
  <c r="A603" i="34"/>
  <c r="J602" i="34"/>
  <c r="I602" i="34"/>
  <c r="G602" i="34"/>
  <c r="F602" i="34"/>
  <c r="E602" i="34"/>
  <c r="D602" i="34"/>
  <c r="C602" i="34"/>
  <c r="B602" i="34"/>
  <c r="A602" i="34"/>
  <c r="J601" i="34"/>
  <c r="I601" i="34"/>
  <c r="G601" i="34"/>
  <c r="F601" i="34"/>
  <c r="E601" i="34"/>
  <c r="D601" i="34"/>
  <c r="C601" i="34"/>
  <c r="B601" i="34"/>
  <c r="A601" i="34"/>
  <c r="J600" i="34"/>
  <c r="I600" i="34"/>
  <c r="G600" i="34"/>
  <c r="F600" i="34"/>
  <c r="E600" i="34"/>
  <c r="D600" i="34"/>
  <c r="C600" i="34"/>
  <c r="B600" i="34"/>
  <c r="A600" i="34"/>
  <c r="J599" i="34"/>
  <c r="I599" i="34"/>
  <c r="G599" i="34"/>
  <c r="F599" i="34"/>
  <c r="E599" i="34"/>
  <c r="D599" i="34"/>
  <c r="C599" i="34"/>
  <c r="B599" i="34"/>
  <c r="A599" i="34"/>
  <c r="J598" i="34"/>
  <c r="I598" i="34"/>
  <c r="G598" i="34"/>
  <c r="F598" i="34"/>
  <c r="E598" i="34"/>
  <c r="D598" i="34"/>
  <c r="C598" i="34"/>
  <c r="B598" i="34"/>
  <c r="A598" i="34"/>
  <c r="J597" i="34"/>
  <c r="I597" i="34"/>
  <c r="G597" i="34"/>
  <c r="F597" i="34"/>
  <c r="E597" i="34"/>
  <c r="D597" i="34"/>
  <c r="C597" i="34"/>
  <c r="B597" i="34"/>
  <c r="A597" i="34"/>
  <c r="J596" i="34"/>
  <c r="I596" i="34"/>
  <c r="G596" i="34"/>
  <c r="F596" i="34"/>
  <c r="E596" i="34"/>
  <c r="D596" i="34"/>
  <c r="C596" i="34"/>
  <c r="B596" i="34"/>
  <c r="A596" i="34"/>
  <c r="J595" i="34"/>
  <c r="I595" i="34"/>
  <c r="G595" i="34"/>
  <c r="F595" i="34"/>
  <c r="E595" i="34"/>
  <c r="D595" i="34"/>
  <c r="C595" i="34"/>
  <c r="B595" i="34"/>
  <c r="A595" i="34"/>
  <c r="J594" i="34"/>
  <c r="I594" i="34"/>
  <c r="G594" i="34"/>
  <c r="F594" i="34"/>
  <c r="E594" i="34"/>
  <c r="D594" i="34"/>
  <c r="C594" i="34"/>
  <c r="B594" i="34"/>
  <c r="A594" i="34"/>
  <c r="J593" i="34"/>
  <c r="I593" i="34"/>
  <c r="G593" i="34"/>
  <c r="F593" i="34"/>
  <c r="E593" i="34"/>
  <c r="D593" i="34"/>
  <c r="C593" i="34"/>
  <c r="B593" i="34"/>
  <c r="A593" i="34"/>
  <c r="J592" i="34"/>
  <c r="I592" i="34"/>
  <c r="G592" i="34"/>
  <c r="F592" i="34"/>
  <c r="E592" i="34"/>
  <c r="D592" i="34"/>
  <c r="C592" i="34"/>
  <c r="B592" i="34"/>
  <c r="A592" i="34"/>
  <c r="J591" i="34"/>
  <c r="I591" i="34"/>
  <c r="G591" i="34"/>
  <c r="F591" i="34"/>
  <c r="E591" i="34"/>
  <c r="D591" i="34"/>
  <c r="C591" i="34"/>
  <c r="B591" i="34"/>
  <c r="A591" i="34"/>
  <c r="J590" i="34"/>
  <c r="I590" i="34"/>
  <c r="G590" i="34"/>
  <c r="F590" i="34"/>
  <c r="E590" i="34"/>
  <c r="D590" i="34"/>
  <c r="C590" i="34"/>
  <c r="B590" i="34"/>
  <c r="A590" i="34"/>
  <c r="J589" i="34"/>
  <c r="I589" i="34"/>
  <c r="G589" i="34"/>
  <c r="F589" i="34"/>
  <c r="E589" i="34"/>
  <c r="D589" i="34"/>
  <c r="C589" i="34"/>
  <c r="B589" i="34"/>
  <c r="A589" i="34"/>
  <c r="J588" i="34"/>
  <c r="I588" i="34"/>
  <c r="G588" i="34"/>
  <c r="F588" i="34"/>
  <c r="E588" i="34"/>
  <c r="D588" i="34"/>
  <c r="C588" i="34"/>
  <c r="B588" i="34"/>
  <c r="A588" i="34"/>
  <c r="J587" i="34"/>
  <c r="I587" i="34"/>
  <c r="G587" i="34"/>
  <c r="F587" i="34"/>
  <c r="E587" i="34"/>
  <c r="D587" i="34"/>
  <c r="C587" i="34"/>
  <c r="B587" i="34"/>
  <c r="A587" i="34"/>
  <c r="J586" i="34"/>
  <c r="I586" i="34"/>
  <c r="G586" i="34"/>
  <c r="F586" i="34"/>
  <c r="E586" i="34"/>
  <c r="D586" i="34"/>
  <c r="C586" i="34"/>
  <c r="B586" i="34"/>
  <c r="A586" i="34"/>
  <c r="J585" i="34"/>
  <c r="I585" i="34"/>
  <c r="G585" i="34"/>
  <c r="F585" i="34"/>
  <c r="E585" i="34"/>
  <c r="D585" i="34"/>
  <c r="C585" i="34"/>
  <c r="B585" i="34"/>
  <c r="A585" i="34"/>
  <c r="J584" i="34"/>
  <c r="I584" i="34"/>
  <c r="G584" i="34"/>
  <c r="F584" i="34"/>
  <c r="E584" i="34"/>
  <c r="D584" i="34"/>
  <c r="C584" i="34"/>
  <c r="B584" i="34"/>
  <c r="A584" i="34"/>
  <c r="J583" i="34"/>
  <c r="I583" i="34"/>
  <c r="G583" i="34"/>
  <c r="F583" i="34"/>
  <c r="E583" i="34"/>
  <c r="D583" i="34"/>
  <c r="C583" i="34"/>
  <c r="B583" i="34"/>
  <c r="A583" i="34"/>
  <c r="J582" i="34"/>
  <c r="I582" i="34"/>
  <c r="G582" i="34"/>
  <c r="F582" i="34"/>
  <c r="E582" i="34"/>
  <c r="D582" i="34"/>
  <c r="C582" i="34"/>
  <c r="B582" i="34"/>
  <c r="A582" i="34"/>
  <c r="J581" i="34"/>
  <c r="I581" i="34"/>
  <c r="G581" i="34"/>
  <c r="F581" i="34"/>
  <c r="E581" i="34"/>
  <c r="D581" i="34"/>
  <c r="C581" i="34"/>
  <c r="B581" i="34"/>
  <c r="A581" i="34"/>
  <c r="J580" i="34"/>
  <c r="I580" i="34"/>
  <c r="G580" i="34"/>
  <c r="F580" i="34"/>
  <c r="E580" i="34"/>
  <c r="D580" i="34"/>
  <c r="C580" i="34"/>
  <c r="B580" i="34"/>
  <c r="A580" i="34"/>
  <c r="J579" i="34"/>
  <c r="I579" i="34"/>
  <c r="G579" i="34"/>
  <c r="F579" i="34"/>
  <c r="E579" i="34"/>
  <c r="D579" i="34"/>
  <c r="C579" i="34"/>
  <c r="B579" i="34"/>
  <c r="A579" i="34"/>
  <c r="J578" i="34"/>
  <c r="I578" i="34"/>
  <c r="G578" i="34"/>
  <c r="F578" i="34"/>
  <c r="E578" i="34"/>
  <c r="D578" i="34"/>
  <c r="C578" i="34"/>
  <c r="B578" i="34"/>
  <c r="A578" i="34"/>
  <c r="J577" i="34"/>
  <c r="I577" i="34"/>
  <c r="G577" i="34"/>
  <c r="F577" i="34"/>
  <c r="E577" i="34"/>
  <c r="D577" i="34"/>
  <c r="C577" i="34"/>
  <c r="B577" i="34"/>
  <c r="A577" i="34"/>
  <c r="J576" i="34"/>
  <c r="I576" i="34"/>
  <c r="G576" i="34"/>
  <c r="F576" i="34"/>
  <c r="E576" i="34"/>
  <c r="D576" i="34"/>
  <c r="C576" i="34"/>
  <c r="B576" i="34"/>
  <c r="A576" i="34"/>
  <c r="J575" i="34"/>
  <c r="I575" i="34"/>
  <c r="G575" i="34"/>
  <c r="F575" i="34"/>
  <c r="E575" i="34"/>
  <c r="D575" i="34"/>
  <c r="C575" i="34"/>
  <c r="B575" i="34"/>
  <c r="A575" i="34"/>
  <c r="J574" i="34"/>
  <c r="I574" i="34"/>
  <c r="G574" i="34"/>
  <c r="F574" i="34"/>
  <c r="E574" i="34"/>
  <c r="D574" i="34"/>
  <c r="C574" i="34"/>
  <c r="B574" i="34"/>
  <c r="A574" i="34"/>
  <c r="J573" i="34"/>
  <c r="I573" i="34"/>
  <c r="G573" i="34"/>
  <c r="F573" i="34"/>
  <c r="E573" i="34"/>
  <c r="D573" i="34"/>
  <c r="C573" i="34"/>
  <c r="B573" i="34"/>
  <c r="A573" i="34"/>
  <c r="J572" i="34"/>
  <c r="I572" i="34"/>
  <c r="G572" i="34"/>
  <c r="F572" i="34"/>
  <c r="E572" i="34"/>
  <c r="D572" i="34"/>
  <c r="C572" i="34"/>
  <c r="B572" i="34"/>
  <c r="A572" i="34"/>
  <c r="J571" i="34"/>
  <c r="I571" i="34"/>
  <c r="G571" i="34"/>
  <c r="F571" i="34"/>
  <c r="E571" i="34"/>
  <c r="D571" i="34"/>
  <c r="C571" i="34"/>
  <c r="B571" i="34"/>
  <c r="A571" i="34"/>
  <c r="J570" i="34"/>
  <c r="I570" i="34"/>
  <c r="G570" i="34"/>
  <c r="F570" i="34"/>
  <c r="E570" i="34"/>
  <c r="D570" i="34"/>
  <c r="C570" i="34"/>
  <c r="B570" i="34"/>
  <c r="A570" i="34"/>
  <c r="J569" i="34"/>
  <c r="I569" i="34"/>
  <c r="G569" i="34"/>
  <c r="F569" i="34"/>
  <c r="E569" i="34"/>
  <c r="D569" i="34"/>
  <c r="C569" i="34"/>
  <c r="B569" i="34"/>
  <c r="A569" i="34"/>
  <c r="J568" i="34"/>
  <c r="I568" i="34"/>
  <c r="G568" i="34"/>
  <c r="F568" i="34"/>
  <c r="E568" i="34"/>
  <c r="D568" i="34"/>
  <c r="C568" i="34"/>
  <c r="B568" i="34"/>
  <c r="A568" i="34"/>
  <c r="J567" i="34"/>
  <c r="I567" i="34"/>
  <c r="G567" i="34"/>
  <c r="F567" i="34"/>
  <c r="E567" i="34"/>
  <c r="D567" i="34"/>
  <c r="C567" i="34"/>
  <c r="B567" i="34"/>
  <c r="A567" i="34"/>
  <c r="J566" i="34"/>
  <c r="I566" i="34"/>
  <c r="G566" i="34"/>
  <c r="F566" i="34"/>
  <c r="E566" i="34"/>
  <c r="D566" i="34"/>
  <c r="C566" i="34"/>
  <c r="B566" i="34"/>
  <c r="A566" i="34"/>
  <c r="J565" i="34"/>
  <c r="I565" i="34"/>
  <c r="G565" i="34"/>
  <c r="F565" i="34"/>
  <c r="E565" i="34"/>
  <c r="D565" i="34"/>
  <c r="C565" i="34"/>
  <c r="B565" i="34"/>
  <c r="A565" i="34"/>
  <c r="J564" i="34"/>
  <c r="I564" i="34"/>
  <c r="G564" i="34"/>
  <c r="F564" i="34"/>
  <c r="E564" i="34"/>
  <c r="D564" i="34"/>
  <c r="C564" i="34"/>
  <c r="B564" i="34"/>
  <c r="A564" i="34"/>
  <c r="J563" i="34"/>
  <c r="I563" i="34"/>
  <c r="G563" i="34"/>
  <c r="F563" i="34"/>
  <c r="E563" i="34"/>
  <c r="D563" i="34"/>
  <c r="C563" i="34"/>
  <c r="B563" i="34"/>
  <c r="A563" i="34"/>
  <c r="J562" i="34"/>
  <c r="I562" i="34"/>
  <c r="G562" i="34"/>
  <c r="F562" i="34"/>
  <c r="E562" i="34"/>
  <c r="D562" i="34"/>
  <c r="C562" i="34"/>
  <c r="B562" i="34"/>
  <c r="A562" i="34"/>
  <c r="J561" i="34"/>
  <c r="I561" i="34"/>
  <c r="G561" i="34"/>
  <c r="F561" i="34"/>
  <c r="E561" i="34"/>
  <c r="D561" i="34"/>
  <c r="C561" i="34"/>
  <c r="B561" i="34"/>
  <c r="A561" i="34"/>
  <c r="J560" i="34"/>
  <c r="I560" i="34"/>
  <c r="G560" i="34"/>
  <c r="F560" i="34"/>
  <c r="E560" i="34"/>
  <c r="D560" i="34"/>
  <c r="C560" i="34"/>
  <c r="B560" i="34"/>
  <c r="A560" i="34"/>
  <c r="J559" i="34"/>
  <c r="I559" i="34"/>
  <c r="G559" i="34"/>
  <c r="F559" i="34"/>
  <c r="E559" i="34"/>
  <c r="D559" i="34"/>
  <c r="C559" i="34"/>
  <c r="B559" i="34"/>
  <c r="A559" i="34"/>
  <c r="J558" i="34"/>
  <c r="I558" i="34"/>
  <c r="G558" i="34"/>
  <c r="F558" i="34"/>
  <c r="E558" i="34"/>
  <c r="D558" i="34"/>
  <c r="C558" i="34"/>
  <c r="B558" i="34"/>
  <c r="A558" i="34"/>
  <c r="J557" i="34"/>
  <c r="I557" i="34"/>
  <c r="G557" i="34"/>
  <c r="F557" i="34"/>
  <c r="E557" i="34"/>
  <c r="D557" i="34"/>
  <c r="C557" i="34"/>
  <c r="B557" i="34"/>
  <c r="A557" i="34"/>
  <c r="J556" i="34"/>
  <c r="I556" i="34"/>
  <c r="G556" i="34"/>
  <c r="F556" i="34"/>
  <c r="E556" i="34"/>
  <c r="D556" i="34"/>
  <c r="C556" i="34"/>
  <c r="B556" i="34"/>
  <c r="A556" i="34"/>
  <c r="J555" i="34"/>
  <c r="I555" i="34"/>
  <c r="G555" i="34"/>
  <c r="F555" i="34"/>
  <c r="E555" i="34"/>
  <c r="D555" i="34"/>
  <c r="C555" i="34"/>
  <c r="B555" i="34"/>
  <c r="A555" i="34"/>
  <c r="J554" i="34"/>
  <c r="I554" i="34"/>
  <c r="G554" i="34"/>
  <c r="F554" i="34"/>
  <c r="E554" i="34"/>
  <c r="D554" i="34"/>
  <c r="C554" i="34"/>
  <c r="B554" i="34"/>
  <c r="A554" i="34"/>
  <c r="J553" i="34"/>
  <c r="I553" i="34"/>
  <c r="G553" i="34"/>
  <c r="F553" i="34"/>
  <c r="E553" i="34"/>
  <c r="D553" i="34"/>
  <c r="C553" i="34"/>
  <c r="B553" i="34"/>
  <c r="A553" i="34"/>
  <c r="J552" i="34"/>
  <c r="I552" i="34"/>
  <c r="G552" i="34"/>
  <c r="F552" i="34"/>
  <c r="E552" i="34"/>
  <c r="D552" i="34"/>
  <c r="C552" i="34"/>
  <c r="B552" i="34"/>
  <c r="A552" i="34"/>
  <c r="J551" i="34"/>
  <c r="I551" i="34"/>
  <c r="G551" i="34"/>
  <c r="F551" i="34"/>
  <c r="E551" i="34"/>
  <c r="D551" i="34"/>
  <c r="C551" i="34"/>
  <c r="B551" i="34"/>
  <c r="A551" i="34"/>
  <c r="J550" i="34"/>
  <c r="I550" i="34"/>
  <c r="G550" i="34"/>
  <c r="F550" i="34"/>
  <c r="E550" i="34"/>
  <c r="D550" i="34"/>
  <c r="C550" i="34"/>
  <c r="B550" i="34"/>
  <c r="A550" i="34"/>
  <c r="J549" i="34"/>
  <c r="I549" i="34"/>
  <c r="G549" i="34"/>
  <c r="F549" i="34"/>
  <c r="E549" i="34"/>
  <c r="D549" i="34"/>
  <c r="C549" i="34"/>
  <c r="B549" i="34"/>
  <c r="A549" i="34"/>
  <c r="J548" i="34"/>
  <c r="I548" i="34"/>
  <c r="G548" i="34"/>
  <c r="F548" i="34"/>
  <c r="E548" i="34"/>
  <c r="D548" i="34"/>
  <c r="C548" i="34"/>
  <c r="B548" i="34"/>
  <c r="A548" i="34"/>
  <c r="J547" i="34"/>
  <c r="I547" i="34"/>
  <c r="G547" i="34"/>
  <c r="F547" i="34"/>
  <c r="E547" i="34"/>
  <c r="D547" i="34"/>
  <c r="C547" i="34"/>
  <c r="B547" i="34"/>
  <c r="A547" i="34"/>
  <c r="J546" i="34"/>
  <c r="I546" i="34"/>
  <c r="G546" i="34"/>
  <c r="F546" i="34"/>
  <c r="E546" i="34"/>
  <c r="D546" i="34"/>
  <c r="C546" i="34"/>
  <c r="B546" i="34"/>
  <c r="A546" i="34"/>
  <c r="J545" i="34"/>
  <c r="I545" i="34"/>
  <c r="G545" i="34"/>
  <c r="F545" i="34"/>
  <c r="E545" i="34"/>
  <c r="D545" i="34"/>
  <c r="C545" i="34"/>
  <c r="B545" i="34"/>
  <c r="A545" i="34"/>
  <c r="J544" i="34"/>
  <c r="I544" i="34"/>
  <c r="G544" i="34"/>
  <c r="F544" i="34"/>
  <c r="E544" i="34"/>
  <c r="D544" i="34"/>
  <c r="C544" i="34"/>
  <c r="B544" i="34"/>
  <c r="A544" i="34"/>
  <c r="J543" i="34"/>
  <c r="I543" i="34"/>
  <c r="G543" i="34"/>
  <c r="F543" i="34"/>
  <c r="E543" i="34"/>
  <c r="D543" i="34"/>
  <c r="C543" i="34"/>
  <c r="B543" i="34"/>
  <c r="A543" i="34"/>
  <c r="J542" i="34"/>
  <c r="I542" i="34"/>
  <c r="G542" i="34"/>
  <c r="F542" i="34"/>
  <c r="E542" i="34"/>
  <c r="D542" i="34"/>
  <c r="C542" i="34"/>
  <c r="B542" i="34"/>
  <c r="A542" i="34"/>
  <c r="J541" i="34"/>
  <c r="I541" i="34"/>
  <c r="G541" i="34"/>
  <c r="F541" i="34"/>
  <c r="E541" i="34"/>
  <c r="D541" i="34"/>
  <c r="C541" i="34"/>
  <c r="B541" i="34"/>
  <c r="A541" i="34"/>
  <c r="J540" i="34"/>
  <c r="I540" i="34"/>
  <c r="G540" i="34"/>
  <c r="F540" i="34"/>
  <c r="E540" i="34"/>
  <c r="D540" i="34"/>
  <c r="C540" i="34"/>
  <c r="B540" i="34"/>
  <c r="A540" i="34"/>
  <c r="J539" i="34"/>
  <c r="I539" i="34"/>
  <c r="G539" i="34"/>
  <c r="F539" i="34"/>
  <c r="E539" i="34"/>
  <c r="D539" i="34"/>
  <c r="C539" i="34"/>
  <c r="B539" i="34"/>
  <c r="A539" i="34"/>
  <c r="J538" i="34"/>
  <c r="I538" i="34"/>
  <c r="G538" i="34"/>
  <c r="F538" i="34"/>
  <c r="E538" i="34"/>
  <c r="D538" i="34"/>
  <c r="C538" i="34"/>
  <c r="B538" i="34"/>
  <c r="A538" i="34"/>
  <c r="J537" i="34"/>
  <c r="I537" i="34"/>
  <c r="G537" i="34"/>
  <c r="F537" i="34"/>
  <c r="E537" i="34"/>
  <c r="D537" i="34"/>
  <c r="C537" i="34"/>
  <c r="B537" i="34"/>
  <c r="A537" i="34"/>
  <c r="J536" i="34"/>
  <c r="I536" i="34"/>
  <c r="G536" i="34"/>
  <c r="F536" i="34"/>
  <c r="E536" i="34"/>
  <c r="D536" i="34"/>
  <c r="C536" i="34"/>
  <c r="B536" i="34"/>
  <c r="A536" i="34"/>
  <c r="J535" i="34"/>
  <c r="I535" i="34"/>
  <c r="G535" i="34"/>
  <c r="F535" i="34"/>
  <c r="E535" i="34"/>
  <c r="D535" i="34"/>
  <c r="C535" i="34"/>
  <c r="B535" i="34"/>
  <c r="A535" i="34"/>
  <c r="J534" i="34"/>
  <c r="I534" i="34"/>
  <c r="G534" i="34"/>
  <c r="F534" i="34"/>
  <c r="E534" i="34"/>
  <c r="D534" i="34"/>
  <c r="C534" i="34"/>
  <c r="B534" i="34"/>
  <c r="A534" i="34"/>
  <c r="J533" i="34"/>
  <c r="I533" i="34"/>
  <c r="G533" i="34"/>
  <c r="F533" i="34"/>
  <c r="E533" i="34"/>
  <c r="D533" i="34"/>
  <c r="C533" i="34"/>
  <c r="B533" i="34"/>
  <c r="A533" i="34"/>
  <c r="J532" i="34"/>
  <c r="I532" i="34"/>
  <c r="G532" i="34"/>
  <c r="F532" i="34"/>
  <c r="E532" i="34"/>
  <c r="D532" i="34"/>
  <c r="C532" i="34"/>
  <c r="B532" i="34"/>
  <c r="A532" i="34"/>
  <c r="J531" i="34"/>
  <c r="I531" i="34"/>
  <c r="G531" i="34"/>
  <c r="F531" i="34"/>
  <c r="E531" i="34"/>
  <c r="D531" i="34"/>
  <c r="C531" i="34"/>
  <c r="B531" i="34"/>
  <c r="A531" i="34"/>
  <c r="J530" i="34"/>
  <c r="I530" i="34"/>
  <c r="G530" i="34"/>
  <c r="F530" i="34"/>
  <c r="E530" i="34"/>
  <c r="D530" i="34"/>
  <c r="C530" i="34"/>
  <c r="B530" i="34"/>
  <c r="A530" i="34"/>
  <c r="J529" i="34"/>
  <c r="I529" i="34"/>
  <c r="G529" i="34"/>
  <c r="F529" i="34"/>
  <c r="E529" i="34"/>
  <c r="D529" i="34"/>
  <c r="C529" i="34"/>
  <c r="B529" i="34"/>
  <c r="A529" i="34"/>
  <c r="J528" i="34"/>
  <c r="I528" i="34"/>
  <c r="G528" i="34"/>
  <c r="F528" i="34"/>
  <c r="E528" i="34"/>
  <c r="D528" i="34"/>
  <c r="C528" i="34"/>
  <c r="B528" i="34"/>
  <c r="A528" i="34"/>
  <c r="J527" i="34"/>
  <c r="I527" i="34"/>
  <c r="G527" i="34"/>
  <c r="F527" i="34"/>
  <c r="E527" i="34"/>
  <c r="D527" i="34"/>
  <c r="C527" i="34"/>
  <c r="B527" i="34"/>
  <c r="A527" i="34"/>
  <c r="J526" i="34"/>
  <c r="I526" i="34"/>
  <c r="G526" i="34"/>
  <c r="F526" i="34"/>
  <c r="E526" i="34"/>
  <c r="D526" i="34"/>
  <c r="C526" i="34"/>
  <c r="B526" i="34"/>
  <c r="A526" i="34"/>
  <c r="J525" i="34"/>
  <c r="I525" i="34"/>
  <c r="G525" i="34"/>
  <c r="F525" i="34"/>
  <c r="E525" i="34"/>
  <c r="D525" i="34"/>
  <c r="C525" i="34"/>
  <c r="B525" i="34"/>
  <c r="A525" i="34"/>
  <c r="J524" i="34"/>
  <c r="I524" i="34"/>
  <c r="G524" i="34"/>
  <c r="F524" i="34"/>
  <c r="E524" i="34"/>
  <c r="D524" i="34"/>
  <c r="C524" i="34"/>
  <c r="B524" i="34"/>
  <c r="A524" i="34"/>
  <c r="J523" i="34"/>
  <c r="I523" i="34"/>
  <c r="G523" i="34"/>
  <c r="F523" i="34"/>
  <c r="E523" i="34"/>
  <c r="D523" i="34"/>
  <c r="C523" i="34"/>
  <c r="B523" i="34"/>
  <c r="A523" i="34"/>
  <c r="J522" i="34"/>
  <c r="I522" i="34"/>
  <c r="G522" i="34"/>
  <c r="F522" i="34"/>
  <c r="E522" i="34"/>
  <c r="D522" i="34"/>
  <c r="C522" i="34"/>
  <c r="B522" i="34"/>
  <c r="A522" i="34"/>
  <c r="J521" i="34"/>
  <c r="I521" i="34"/>
  <c r="G521" i="34"/>
  <c r="F521" i="34"/>
  <c r="E521" i="34"/>
  <c r="D521" i="34"/>
  <c r="C521" i="34"/>
  <c r="B521" i="34"/>
  <c r="A521" i="34"/>
  <c r="J520" i="34"/>
  <c r="I520" i="34"/>
  <c r="G520" i="34"/>
  <c r="F520" i="34"/>
  <c r="E520" i="34"/>
  <c r="D520" i="34"/>
  <c r="C520" i="34"/>
  <c r="B520" i="34"/>
  <c r="A520" i="34"/>
  <c r="J519" i="34"/>
  <c r="I519" i="34"/>
  <c r="G519" i="34"/>
  <c r="F519" i="34"/>
  <c r="E519" i="34"/>
  <c r="D519" i="34"/>
  <c r="C519" i="34"/>
  <c r="B519" i="34"/>
  <c r="A519" i="34"/>
  <c r="J518" i="34"/>
  <c r="I518" i="34"/>
  <c r="G518" i="34"/>
  <c r="F518" i="34"/>
  <c r="E518" i="34"/>
  <c r="D518" i="34"/>
  <c r="C518" i="34"/>
  <c r="B518" i="34"/>
  <c r="A518" i="34"/>
  <c r="J517" i="34"/>
  <c r="I517" i="34"/>
  <c r="G517" i="34"/>
  <c r="F517" i="34"/>
  <c r="E517" i="34"/>
  <c r="D517" i="34"/>
  <c r="C517" i="34"/>
  <c r="B517" i="34"/>
  <c r="A517" i="34"/>
  <c r="J516" i="34"/>
  <c r="I516" i="34"/>
  <c r="G516" i="34"/>
  <c r="F516" i="34"/>
  <c r="E516" i="34"/>
  <c r="D516" i="34"/>
  <c r="C516" i="34"/>
  <c r="B516" i="34"/>
  <c r="A516" i="34"/>
  <c r="J515" i="34"/>
  <c r="I515" i="34"/>
  <c r="G515" i="34"/>
  <c r="F515" i="34"/>
  <c r="E515" i="34"/>
  <c r="D515" i="34"/>
  <c r="C515" i="34"/>
  <c r="B515" i="34"/>
  <c r="A515" i="34"/>
  <c r="J514" i="34"/>
  <c r="I514" i="34"/>
  <c r="G514" i="34"/>
  <c r="F514" i="34"/>
  <c r="E514" i="34"/>
  <c r="D514" i="34"/>
  <c r="C514" i="34"/>
  <c r="B514" i="34"/>
  <c r="A514" i="34"/>
  <c r="J513" i="34"/>
  <c r="I513" i="34"/>
  <c r="G513" i="34"/>
  <c r="F513" i="34"/>
  <c r="E513" i="34"/>
  <c r="D513" i="34"/>
  <c r="C513" i="34"/>
  <c r="B513" i="34"/>
  <c r="A513" i="34"/>
  <c r="J512" i="34"/>
  <c r="I512" i="34"/>
  <c r="G512" i="34"/>
  <c r="F512" i="34"/>
  <c r="E512" i="34"/>
  <c r="D512" i="34"/>
  <c r="C512" i="34"/>
  <c r="B512" i="34"/>
  <c r="A512" i="34"/>
  <c r="J511" i="34"/>
  <c r="I511" i="34"/>
  <c r="G511" i="34"/>
  <c r="F511" i="34"/>
  <c r="E511" i="34"/>
  <c r="D511" i="34"/>
  <c r="C511" i="34"/>
  <c r="B511" i="34"/>
  <c r="A511" i="34"/>
  <c r="J510" i="34"/>
  <c r="I510" i="34"/>
  <c r="G510" i="34"/>
  <c r="F510" i="34"/>
  <c r="E510" i="34"/>
  <c r="D510" i="34"/>
  <c r="C510" i="34"/>
  <c r="B510" i="34"/>
  <c r="A510" i="34"/>
  <c r="J509" i="34"/>
  <c r="I509" i="34"/>
  <c r="G509" i="34"/>
  <c r="F509" i="34"/>
  <c r="E509" i="34"/>
  <c r="D509" i="34"/>
  <c r="C509" i="34"/>
  <c r="B509" i="34"/>
  <c r="A509" i="34"/>
  <c r="J508" i="34"/>
  <c r="I508" i="34"/>
  <c r="G508" i="34"/>
  <c r="F508" i="34"/>
  <c r="E508" i="34"/>
  <c r="D508" i="34"/>
  <c r="C508" i="34"/>
  <c r="B508" i="34"/>
  <c r="A508" i="34"/>
  <c r="J507" i="34"/>
  <c r="I507" i="34"/>
  <c r="G507" i="34"/>
  <c r="F507" i="34"/>
  <c r="E507" i="34"/>
  <c r="D507" i="34"/>
  <c r="C507" i="34"/>
  <c r="B507" i="34"/>
  <c r="A507" i="34"/>
  <c r="J506" i="34"/>
  <c r="I506" i="34"/>
  <c r="G506" i="34"/>
  <c r="F506" i="34"/>
  <c r="E506" i="34"/>
  <c r="D506" i="34"/>
  <c r="C506" i="34"/>
  <c r="B506" i="34"/>
  <c r="A506" i="34"/>
  <c r="J505" i="34"/>
  <c r="I505" i="34"/>
  <c r="G505" i="34"/>
  <c r="F505" i="34"/>
  <c r="E505" i="34"/>
  <c r="D505" i="34"/>
  <c r="C505" i="34"/>
  <c r="B505" i="34"/>
  <c r="A505" i="34"/>
  <c r="J504" i="34"/>
  <c r="I504" i="34"/>
  <c r="G504" i="34"/>
  <c r="F504" i="34"/>
  <c r="E504" i="34"/>
  <c r="D504" i="34"/>
  <c r="C504" i="34"/>
  <c r="B504" i="34"/>
  <c r="A504" i="34"/>
  <c r="J503" i="34"/>
  <c r="I503" i="34"/>
  <c r="G503" i="34"/>
  <c r="F503" i="34"/>
  <c r="E503" i="34"/>
  <c r="D503" i="34"/>
  <c r="C503" i="34"/>
  <c r="B503" i="34"/>
  <c r="A503" i="34"/>
  <c r="J502" i="34"/>
  <c r="I502" i="34"/>
  <c r="G502" i="34"/>
  <c r="F502" i="34"/>
  <c r="E502" i="34"/>
  <c r="D502" i="34"/>
  <c r="C502" i="34"/>
  <c r="B502" i="34"/>
  <c r="A502" i="34"/>
  <c r="J501" i="34"/>
  <c r="I501" i="34"/>
  <c r="G501" i="34"/>
  <c r="F501" i="34"/>
  <c r="E501" i="34"/>
  <c r="D501" i="34"/>
  <c r="C501" i="34"/>
  <c r="B501" i="34"/>
  <c r="A501" i="34"/>
  <c r="J500" i="34"/>
  <c r="I500" i="34"/>
  <c r="G500" i="34"/>
  <c r="F500" i="34"/>
  <c r="E500" i="34"/>
  <c r="D500" i="34"/>
  <c r="C500" i="34"/>
  <c r="B500" i="34"/>
  <c r="A500" i="34"/>
  <c r="J499" i="34"/>
  <c r="I499" i="34"/>
  <c r="G499" i="34"/>
  <c r="F499" i="34"/>
  <c r="E499" i="34"/>
  <c r="D499" i="34"/>
  <c r="C499" i="34"/>
  <c r="B499" i="34"/>
  <c r="A499" i="34"/>
  <c r="J498" i="34"/>
  <c r="I498" i="34"/>
  <c r="G498" i="34"/>
  <c r="F498" i="34"/>
  <c r="E498" i="34"/>
  <c r="D498" i="34"/>
  <c r="C498" i="34"/>
  <c r="B498" i="34"/>
  <c r="A498" i="34"/>
  <c r="J497" i="34"/>
  <c r="I497" i="34"/>
  <c r="G497" i="34"/>
  <c r="F497" i="34"/>
  <c r="E497" i="34"/>
  <c r="D497" i="34"/>
  <c r="C497" i="34"/>
  <c r="B497" i="34"/>
  <c r="A497" i="34"/>
  <c r="J496" i="34"/>
  <c r="I496" i="34"/>
  <c r="G496" i="34"/>
  <c r="F496" i="34"/>
  <c r="E496" i="34"/>
  <c r="D496" i="34"/>
  <c r="C496" i="34"/>
  <c r="B496" i="34"/>
  <c r="A496" i="34"/>
  <c r="J495" i="34"/>
  <c r="I495" i="34"/>
  <c r="G495" i="34"/>
  <c r="F495" i="34"/>
  <c r="E495" i="34"/>
  <c r="D495" i="34"/>
  <c r="C495" i="34"/>
  <c r="B495" i="34"/>
  <c r="A495" i="34"/>
  <c r="J494" i="34"/>
  <c r="I494" i="34"/>
  <c r="G494" i="34"/>
  <c r="F494" i="34"/>
  <c r="E494" i="34"/>
  <c r="D494" i="34"/>
  <c r="C494" i="34"/>
  <c r="B494" i="34"/>
  <c r="A494" i="34"/>
  <c r="J493" i="34"/>
  <c r="I493" i="34"/>
  <c r="G493" i="34"/>
  <c r="F493" i="34"/>
  <c r="E493" i="34"/>
  <c r="D493" i="34"/>
  <c r="C493" i="34"/>
  <c r="B493" i="34"/>
  <c r="A493" i="34"/>
  <c r="J492" i="34"/>
  <c r="I492" i="34"/>
  <c r="G492" i="34"/>
  <c r="F492" i="34"/>
  <c r="E492" i="34"/>
  <c r="D492" i="34"/>
  <c r="C492" i="34"/>
  <c r="B492" i="34"/>
  <c r="A492" i="34"/>
  <c r="J491" i="34"/>
  <c r="I491" i="34"/>
  <c r="G491" i="34"/>
  <c r="F491" i="34"/>
  <c r="E491" i="34"/>
  <c r="D491" i="34"/>
  <c r="C491" i="34"/>
  <c r="B491" i="34"/>
  <c r="A491" i="34"/>
  <c r="J490" i="34"/>
  <c r="I490" i="34"/>
  <c r="G490" i="34"/>
  <c r="F490" i="34"/>
  <c r="E490" i="34"/>
  <c r="D490" i="34"/>
  <c r="C490" i="34"/>
  <c r="B490" i="34"/>
  <c r="A490" i="34"/>
  <c r="J489" i="34"/>
  <c r="I489" i="34"/>
  <c r="G489" i="34"/>
  <c r="F489" i="34"/>
  <c r="E489" i="34"/>
  <c r="D489" i="34"/>
  <c r="C489" i="34"/>
  <c r="B489" i="34"/>
  <c r="A489" i="34"/>
  <c r="J488" i="34"/>
  <c r="I488" i="34"/>
  <c r="G488" i="34"/>
  <c r="F488" i="34"/>
  <c r="E488" i="34"/>
  <c r="D488" i="34"/>
  <c r="C488" i="34"/>
  <c r="B488" i="34"/>
  <c r="A488" i="34"/>
  <c r="J487" i="34"/>
  <c r="I487" i="34"/>
  <c r="G487" i="34"/>
  <c r="F487" i="34"/>
  <c r="E487" i="34"/>
  <c r="D487" i="34"/>
  <c r="C487" i="34"/>
  <c r="B487" i="34"/>
  <c r="A487" i="34"/>
  <c r="J486" i="34"/>
  <c r="I486" i="34"/>
  <c r="G486" i="34"/>
  <c r="F486" i="34"/>
  <c r="E486" i="34"/>
  <c r="D486" i="34"/>
  <c r="C486" i="34"/>
  <c r="B486" i="34"/>
  <c r="A486" i="34"/>
  <c r="J485" i="34"/>
  <c r="I485" i="34"/>
  <c r="G485" i="34"/>
  <c r="F485" i="34"/>
  <c r="E485" i="34"/>
  <c r="D485" i="34"/>
  <c r="C485" i="34"/>
  <c r="B485" i="34"/>
  <c r="A485" i="34"/>
  <c r="J484" i="34"/>
  <c r="I484" i="34"/>
  <c r="G484" i="34"/>
  <c r="F484" i="34"/>
  <c r="E484" i="34"/>
  <c r="D484" i="34"/>
  <c r="C484" i="34"/>
  <c r="B484" i="34"/>
  <c r="A484" i="34"/>
  <c r="J483" i="34"/>
  <c r="I483" i="34"/>
  <c r="G483" i="34"/>
  <c r="F483" i="34"/>
  <c r="E483" i="34"/>
  <c r="D483" i="34"/>
  <c r="C483" i="34"/>
  <c r="B483" i="34"/>
  <c r="A483" i="34"/>
  <c r="J482" i="34"/>
  <c r="I482" i="34"/>
  <c r="G482" i="34"/>
  <c r="F482" i="34"/>
  <c r="E482" i="34"/>
  <c r="D482" i="34"/>
  <c r="C482" i="34"/>
  <c r="B482" i="34"/>
  <c r="A482" i="34"/>
  <c r="J481" i="34"/>
  <c r="I481" i="34"/>
  <c r="G481" i="34"/>
  <c r="F481" i="34"/>
  <c r="E481" i="34"/>
  <c r="D481" i="34"/>
  <c r="C481" i="34"/>
  <c r="B481" i="34"/>
  <c r="A481" i="34"/>
  <c r="J480" i="34"/>
  <c r="I480" i="34"/>
  <c r="G480" i="34"/>
  <c r="F480" i="34"/>
  <c r="E480" i="34"/>
  <c r="D480" i="34"/>
  <c r="C480" i="34"/>
  <c r="B480" i="34"/>
  <c r="A480" i="34"/>
  <c r="J479" i="34"/>
  <c r="I479" i="34"/>
  <c r="G479" i="34"/>
  <c r="F479" i="34"/>
  <c r="E479" i="34"/>
  <c r="D479" i="34"/>
  <c r="C479" i="34"/>
  <c r="B479" i="34"/>
  <c r="A479" i="34"/>
  <c r="J478" i="34"/>
  <c r="I478" i="34"/>
  <c r="G478" i="34"/>
  <c r="F478" i="34"/>
  <c r="E478" i="34"/>
  <c r="D478" i="34"/>
  <c r="C478" i="34"/>
  <c r="B478" i="34"/>
  <c r="A478" i="34"/>
  <c r="J477" i="34"/>
  <c r="I477" i="34"/>
  <c r="G477" i="34"/>
  <c r="F477" i="34"/>
  <c r="E477" i="34"/>
  <c r="D477" i="34"/>
  <c r="C477" i="34"/>
  <c r="B477" i="34"/>
  <c r="A477" i="34"/>
  <c r="J476" i="34"/>
  <c r="I476" i="34"/>
  <c r="G476" i="34"/>
  <c r="F476" i="34"/>
  <c r="E476" i="34"/>
  <c r="D476" i="34"/>
  <c r="C476" i="34"/>
  <c r="B476" i="34"/>
  <c r="A476" i="34"/>
  <c r="J475" i="34"/>
  <c r="I475" i="34"/>
  <c r="G475" i="34"/>
  <c r="F475" i="34"/>
  <c r="E475" i="34"/>
  <c r="D475" i="34"/>
  <c r="C475" i="34"/>
  <c r="B475" i="34"/>
  <c r="A475" i="34"/>
  <c r="J474" i="34"/>
  <c r="I474" i="34"/>
  <c r="G474" i="34"/>
  <c r="F474" i="34"/>
  <c r="E474" i="34"/>
  <c r="D474" i="34"/>
  <c r="C474" i="34"/>
  <c r="B474" i="34"/>
  <c r="A474" i="34"/>
  <c r="J473" i="34"/>
  <c r="I473" i="34"/>
  <c r="G473" i="34"/>
  <c r="F473" i="34"/>
  <c r="E473" i="34"/>
  <c r="D473" i="34"/>
  <c r="C473" i="34"/>
  <c r="B473" i="34"/>
  <c r="A473" i="34"/>
  <c r="J472" i="34"/>
  <c r="I472" i="34"/>
  <c r="G472" i="34"/>
  <c r="F472" i="34"/>
  <c r="E472" i="34"/>
  <c r="D472" i="34"/>
  <c r="C472" i="34"/>
  <c r="B472" i="34"/>
  <c r="A472" i="34"/>
  <c r="J471" i="34"/>
  <c r="I471" i="34"/>
  <c r="G471" i="34"/>
  <c r="F471" i="34"/>
  <c r="E471" i="34"/>
  <c r="D471" i="34"/>
  <c r="C471" i="34"/>
  <c r="B471" i="34"/>
  <c r="A471" i="34"/>
  <c r="J470" i="34"/>
  <c r="I470" i="34"/>
  <c r="G470" i="34"/>
  <c r="F470" i="34"/>
  <c r="E470" i="34"/>
  <c r="D470" i="34"/>
  <c r="C470" i="34"/>
  <c r="B470" i="34"/>
  <c r="A470" i="34"/>
  <c r="J469" i="34"/>
  <c r="I469" i="34"/>
  <c r="G469" i="34"/>
  <c r="F469" i="34"/>
  <c r="E469" i="34"/>
  <c r="D469" i="34"/>
  <c r="C469" i="34"/>
  <c r="B469" i="34"/>
  <c r="A469" i="34"/>
  <c r="J468" i="34"/>
  <c r="I468" i="34"/>
  <c r="G468" i="34"/>
  <c r="F468" i="34"/>
  <c r="E468" i="34"/>
  <c r="D468" i="34"/>
  <c r="C468" i="34"/>
  <c r="B468" i="34"/>
  <c r="A468" i="34"/>
  <c r="J467" i="34"/>
  <c r="I467" i="34"/>
  <c r="G467" i="34"/>
  <c r="F467" i="34"/>
  <c r="E467" i="34"/>
  <c r="D467" i="34"/>
  <c r="C467" i="34"/>
  <c r="B467" i="34"/>
  <c r="A467" i="34"/>
  <c r="J466" i="34"/>
  <c r="I466" i="34"/>
  <c r="G466" i="34"/>
  <c r="F466" i="34"/>
  <c r="E466" i="34"/>
  <c r="D466" i="34"/>
  <c r="C466" i="34"/>
  <c r="B466" i="34"/>
  <c r="A466" i="34"/>
  <c r="J465" i="34"/>
  <c r="I465" i="34"/>
  <c r="G465" i="34"/>
  <c r="F465" i="34"/>
  <c r="E465" i="34"/>
  <c r="D465" i="34"/>
  <c r="C465" i="34"/>
  <c r="B465" i="34"/>
  <c r="A465" i="34"/>
  <c r="J464" i="34"/>
  <c r="I464" i="34"/>
  <c r="G464" i="34"/>
  <c r="F464" i="34"/>
  <c r="E464" i="34"/>
  <c r="D464" i="34"/>
  <c r="C464" i="34"/>
  <c r="B464" i="34"/>
  <c r="A464" i="34"/>
  <c r="J463" i="34"/>
  <c r="I463" i="34"/>
  <c r="G463" i="34"/>
  <c r="F463" i="34"/>
  <c r="E463" i="34"/>
  <c r="D463" i="34"/>
  <c r="C463" i="34"/>
  <c r="B463" i="34"/>
  <c r="A463" i="34"/>
  <c r="J462" i="34"/>
  <c r="I462" i="34"/>
  <c r="G462" i="34"/>
  <c r="F462" i="34"/>
  <c r="E462" i="34"/>
  <c r="D462" i="34"/>
  <c r="C462" i="34"/>
  <c r="B462" i="34"/>
  <c r="A462" i="34"/>
  <c r="J461" i="34"/>
  <c r="I461" i="34"/>
  <c r="G461" i="34"/>
  <c r="F461" i="34"/>
  <c r="E461" i="34"/>
  <c r="D461" i="34"/>
  <c r="C461" i="34"/>
  <c r="B461" i="34"/>
  <c r="A461" i="34"/>
  <c r="J460" i="34"/>
  <c r="I460" i="34"/>
  <c r="G460" i="34"/>
  <c r="F460" i="34"/>
  <c r="E460" i="34"/>
  <c r="D460" i="34"/>
  <c r="C460" i="34"/>
  <c r="B460" i="34"/>
  <c r="A460" i="34"/>
  <c r="J459" i="34"/>
  <c r="I459" i="34"/>
  <c r="G459" i="34"/>
  <c r="F459" i="34"/>
  <c r="E459" i="34"/>
  <c r="D459" i="34"/>
  <c r="C459" i="34"/>
  <c r="B459" i="34"/>
  <c r="A459" i="34"/>
  <c r="J458" i="34"/>
  <c r="I458" i="34"/>
  <c r="G458" i="34"/>
  <c r="F458" i="34"/>
  <c r="E458" i="34"/>
  <c r="D458" i="34"/>
  <c r="C458" i="34"/>
  <c r="B458" i="34"/>
  <c r="A458" i="34"/>
  <c r="J457" i="34"/>
  <c r="I457" i="34"/>
  <c r="G457" i="34"/>
  <c r="F457" i="34"/>
  <c r="E457" i="34"/>
  <c r="D457" i="34"/>
  <c r="C457" i="34"/>
  <c r="B457" i="34"/>
  <c r="A457" i="34"/>
  <c r="J456" i="34"/>
  <c r="I456" i="34"/>
  <c r="G456" i="34"/>
  <c r="F456" i="34"/>
  <c r="E456" i="34"/>
  <c r="D456" i="34"/>
  <c r="C456" i="34"/>
  <c r="B456" i="34"/>
  <c r="A456" i="34"/>
  <c r="J455" i="34"/>
  <c r="I455" i="34"/>
  <c r="G455" i="34"/>
  <c r="F455" i="34"/>
  <c r="E455" i="34"/>
  <c r="D455" i="34"/>
  <c r="C455" i="34"/>
  <c r="B455" i="34"/>
  <c r="A455" i="34"/>
  <c r="J454" i="34"/>
  <c r="I454" i="34"/>
  <c r="G454" i="34"/>
  <c r="F454" i="34"/>
  <c r="E454" i="34"/>
  <c r="D454" i="34"/>
  <c r="C454" i="34"/>
  <c r="B454" i="34"/>
  <c r="A454" i="34"/>
  <c r="J453" i="34"/>
  <c r="I453" i="34"/>
  <c r="G453" i="34"/>
  <c r="F453" i="34"/>
  <c r="E453" i="34"/>
  <c r="D453" i="34"/>
  <c r="C453" i="34"/>
  <c r="B453" i="34"/>
  <c r="A453" i="34"/>
  <c r="J452" i="34"/>
  <c r="I452" i="34"/>
  <c r="G452" i="34"/>
  <c r="F452" i="34"/>
  <c r="E452" i="34"/>
  <c r="D452" i="34"/>
  <c r="C452" i="34"/>
  <c r="B452" i="34"/>
  <c r="A452" i="34"/>
  <c r="J451" i="34"/>
  <c r="I451" i="34"/>
  <c r="G451" i="34"/>
  <c r="F451" i="34"/>
  <c r="E451" i="34"/>
  <c r="D451" i="34"/>
  <c r="C451" i="34"/>
  <c r="B451" i="34"/>
  <c r="A451" i="34"/>
  <c r="J450" i="34"/>
  <c r="I450" i="34"/>
  <c r="G450" i="34"/>
  <c r="F450" i="34"/>
  <c r="E450" i="34"/>
  <c r="D450" i="34"/>
  <c r="C450" i="34"/>
  <c r="B450" i="34"/>
  <c r="A450" i="34"/>
  <c r="J449" i="34"/>
  <c r="I449" i="34"/>
  <c r="G449" i="34"/>
  <c r="F449" i="34"/>
  <c r="E449" i="34"/>
  <c r="D449" i="34"/>
  <c r="C449" i="34"/>
  <c r="B449" i="34"/>
  <c r="A449" i="34"/>
  <c r="J448" i="34"/>
  <c r="I448" i="34"/>
  <c r="G448" i="34"/>
  <c r="F448" i="34"/>
  <c r="E448" i="34"/>
  <c r="D448" i="34"/>
  <c r="C448" i="34"/>
  <c r="B448" i="34"/>
  <c r="A448" i="34"/>
  <c r="J447" i="34"/>
  <c r="I447" i="34"/>
  <c r="G447" i="34"/>
  <c r="F447" i="34"/>
  <c r="E447" i="34"/>
  <c r="D447" i="34"/>
  <c r="C447" i="34"/>
  <c r="B447" i="34"/>
  <c r="A447" i="34"/>
  <c r="J446" i="34"/>
  <c r="I446" i="34"/>
  <c r="G446" i="34"/>
  <c r="F446" i="34"/>
  <c r="E446" i="34"/>
  <c r="D446" i="34"/>
  <c r="C446" i="34"/>
  <c r="B446" i="34"/>
  <c r="A446" i="34"/>
  <c r="J445" i="34"/>
  <c r="I445" i="34"/>
  <c r="G445" i="34"/>
  <c r="F445" i="34"/>
  <c r="E445" i="34"/>
  <c r="D445" i="34"/>
  <c r="C445" i="34"/>
  <c r="B445" i="34"/>
  <c r="A445" i="34"/>
  <c r="J444" i="34"/>
  <c r="I444" i="34"/>
  <c r="G444" i="34"/>
  <c r="F444" i="34"/>
  <c r="E444" i="34"/>
  <c r="D444" i="34"/>
  <c r="C444" i="34"/>
  <c r="B444" i="34"/>
  <c r="A444" i="34"/>
  <c r="J443" i="34"/>
  <c r="I443" i="34"/>
  <c r="G443" i="34"/>
  <c r="F443" i="34"/>
  <c r="E443" i="34"/>
  <c r="D443" i="34"/>
  <c r="C443" i="34"/>
  <c r="B443" i="34"/>
  <c r="A443" i="34"/>
  <c r="J442" i="34"/>
  <c r="I442" i="34"/>
  <c r="G442" i="34"/>
  <c r="F442" i="34"/>
  <c r="E442" i="34"/>
  <c r="D442" i="34"/>
  <c r="C442" i="34"/>
  <c r="B442" i="34"/>
  <c r="A442" i="34"/>
  <c r="J441" i="34"/>
  <c r="I441" i="34"/>
  <c r="G441" i="34"/>
  <c r="F441" i="34"/>
  <c r="E441" i="34"/>
  <c r="D441" i="34"/>
  <c r="C441" i="34"/>
  <c r="B441" i="34"/>
  <c r="A441" i="34"/>
  <c r="J440" i="34"/>
  <c r="I440" i="34"/>
  <c r="G440" i="34"/>
  <c r="F440" i="34"/>
  <c r="E440" i="34"/>
  <c r="D440" i="34"/>
  <c r="C440" i="34"/>
  <c r="B440" i="34"/>
  <c r="A440" i="34"/>
  <c r="J439" i="34"/>
  <c r="I439" i="34"/>
  <c r="G439" i="34"/>
  <c r="F439" i="34"/>
  <c r="E439" i="34"/>
  <c r="D439" i="34"/>
  <c r="C439" i="34"/>
  <c r="B439" i="34"/>
  <c r="A439" i="34"/>
  <c r="J438" i="34"/>
  <c r="I438" i="34"/>
  <c r="G438" i="34"/>
  <c r="F438" i="34"/>
  <c r="E438" i="34"/>
  <c r="D438" i="34"/>
  <c r="C438" i="34"/>
  <c r="B438" i="34"/>
  <c r="A438" i="34"/>
  <c r="J437" i="34"/>
  <c r="I437" i="34"/>
  <c r="G437" i="34"/>
  <c r="F437" i="34"/>
  <c r="E437" i="34"/>
  <c r="D437" i="34"/>
  <c r="C437" i="34"/>
  <c r="B437" i="34"/>
  <c r="A437" i="34"/>
  <c r="J436" i="34"/>
  <c r="I436" i="34"/>
  <c r="G436" i="34"/>
  <c r="F436" i="34"/>
  <c r="E436" i="34"/>
  <c r="D436" i="34"/>
  <c r="C436" i="34"/>
  <c r="B436" i="34"/>
  <c r="A436" i="34"/>
  <c r="J435" i="34"/>
  <c r="I435" i="34"/>
  <c r="G435" i="34"/>
  <c r="F435" i="34"/>
  <c r="E435" i="34"/>
  <c r="D435" i="34"/>
  <c r="C435" i="34"/>
  <c r="B435" i="34"/>
  <c r="A435" i="34"/>
  <c r="J434" i="34"/>
  <c r="I434" i="34"/>
  <c r="G434" i="34"/>
  <c r="F434" i="34"/>
  <c r="E434" i="34"/>
  <c r="D434" i="34"/>
  <c r="C434" i="34"/>
  <c r="B434" i="34"/>
  <c r="A434" i="34"/>
  <c r="J433" i="34"/>
  <c r="I433" i="34"/>
  <c r="G433" i="34"/>
  <c r="F433" i="34"/>
  <c r="E433" i="34"/>
  <c r="D433" i="34"/>
  <c r="C433" i="34"/>
  <c r="B433" i="34"/>
  <c r="A433" i="34"/>
  <c r="J432" i="34"/>
  <c r="I432" i="34"/>
  <c r="G432" i="34"/>
  <c r="F432" i="34"/>
  <c r="E432" i="34"/>
  <c r="D432" i="34"/>
  <c r="C432" i="34"/>
  <c r="B432" i="34"/>
  <c r="A432" i="34"/>
  <c r="J431" i="34"/>
  <c r="I431" i="34"/>
  <c r="G431" i="34"/>
  <c r="F431" i="34"/>
  <c r="E431" i="34"/>
  <c r="D431" i="34"/>
  <c r="C431" i="34"/>
  <c r="B431" i="34"/>
  <c r="A431" i="34"/>
  <c r="J430" i="34"/>
  <c r="I430" i="34"/>
  <c r="G430" i="34"/>
  <c r="F430" i="34"/>
  <c r="E430" i="34"/>
  <c r="D430" i="34"/>
  <c r="C430" i="34"/>
  <c r="B430" i="34"/>
  <c r="A430" i="34"/>
  <c r="J429" i="34"/>
  <c r="I429" i="34"/>
  <c r="G429" i="34"/>
  <c r="F429" i="34"/>
  <c r="E429" i="34"/>
  <c r="D429" i="34"/>
  <c r="C429" i="34"/>
  <c r="B429" i="34"/>
  <c r="A429" i="34"/>
  <c r="J428" i="34"/>
  <c r="I428" i="34"/>
  <c r="G428" i="34"/>
  <c r="F428" i="34"/>
  <c r="E428" i="34"/>
  <c r="D428" i="34"/>
  <c r="C428" i="34"/>
  <c r="B428" i="34"/>
  <c r="A428" i="34"/>
  <c r="J427" i="34"/>
  <c r="I427" i="34"/>
  <c r="G427" i="34"/>
  <c r="F427" i="34"/>
  <c r="E427" i="34"/>
  <c r="D427" i="34"/>
  <c r="C427" i="34"/>
  <c r="B427" i="34"/>
  <c r="A427" i="34"/>
  <c r="J426" i="34"/>
  <c r="I426" i="34"/>
  <c r="G426" i="34"/>
  <c r="F426" i="34"/>
  <c r="E426" i="34"/>
  <c r="D426" i="34"/>
  <c r="C426" i="34"/>
  <c r="B426" i="34"/>
  <c r="A426" i="34"/>
  <c r="J425" i="34"/>
  <c r="I425" i="34"/>
  <c r="G425" i="34"/>
  <c r="F425" i="34"/>
  <c r="E425" i="34"/>
  <c r="D425" i="34"/>
  <c r="C425" i="34"/>
  <c r="B425" i="34"/>
  <c r="A425" i="34"/>
  <c r="J424" i="34"/>
  <c r="I424" i="34"/>
  <c r="G424" i="34"/>
  <c r="F424" i="34"/>
  <c r="E424" i="34"/>
  <c r="D424" i="34"/>
  <c r="C424" i="34"/>
  <c r="B424" i="34"/>
  <c r="A424" i="34"/>
  <c r="J423" i="34"/>
  <c r="I423" i="34"/>
  <c r="G423" i="34"/>
  <c r="F423" i="34"/>
  <c r="E423" i="34"/>
  <c r="D423" i="34"/>
  <c r="C423" i="34"/>
  <c r="B423" i="34"/>
  <c r="A423" i="34"/>
  <c r="J422" i="34"/>
  <c r="I422" i="34"/>
  <c r="G422" i="34"/>
  <c r="F422" i="34"/>
  <c r="E422" i="34"/>
  <c r="D422" i="34"/>
  <c r="C422" i="34"/>
  <c r="B422" i="34"/>
  <c r="A422" i="34"/>
  <c r="J421" i="34"/>
  <c r="I421" i="34"/>
  <c r="G421" i="34"/>
  <c r="F421" i="34"/>
  <c r="E421" i="34"/>
  <c r="D421" i="34"/>
  <c r="C421" i="34"/>
  <c r="B421" i="34"/>
  <c r="A421" i="34"/>
  <c r="J420" i="34"/>
  <c r="I420" i="34"/>
  <c r="G420" i="34"/>
  <c r="F420" i="34"/>
  <c r="E420" i="34"/>
  <c r="D420" i="34"/>
  <c r="C420" i="34"/>
  <c r="B420" i="34"/>
  <c r="A420" i="34"/>
  <c r="J419" i="34"/>
  <c r="I419" i="34"/>
  <c r="G419" i="34"/>
  <c r="F419" i="34"/>
  <c r="E419" i="34"/>
  <c r="D419" i="34"/>
  <c r="C419" i="34"/>
  <c r="B419" i="34"/>
  <c r="A419" i="34"/>
  <c r="J418" i="34"/>
  <c r="I418" i="34"/>
  <c r="G418" i="34"/>
  <c r="F418" i="34"/>
  <c r="E418" i="34"/>
  <c r="D418" i="34"/>
  <c r="C418" i="34"/>
  <c r="B418" i="34"/>
  <c r="A418" i="34"/>
  <c r="J417" i="34"/>
  <c r="I417" i="34"/>
  <c r="G417" i="34"/>
  <c r="F417" i="34"/>
  <c r="E417" i="34"/>
  <c r="D417" i="34"/>
  <c r="C417" i="34"/>
  <c r="B417" i="34"/>
  <c r="A417" i="34"/>
  <c r="J416" i="34"/>
  <c r="I416" i="34"/>
  <c r="G416" i="34"/>
  <c r="F416" i="34"/>
  <c r="E416" i="34"/>
  <c r="D416" i="34"/>
  <c r="C416" i="34"/>
  <c r="B416" i="34"/>
  <c r="A416" i="34"/>
  <c r="J415" i="34"/>
  <c r="I415" i="34"/>
  <c r="G415" i="34"/>
  <c r="F415" i="34"/>
  <c r="E415" i="34"/>
  <c r="D415" i="34"/>
  <c r="C415" i="34"/>
  <c r="B415" i="34"/>
  <c r="A415" i="34"/>
  <c r="J414" i="34"/>
  <c r="I414" i="34"/>
  <c r="G414" i="34"/>
  <c r="F414" i="34"/>
  <c r="E414" i="34"/>
  <c r="D414" i="34"/>
  <c r="C414" i="34"/>
  <c r="B414" i="34"/>
  <c r="A414" i="34"/>
  <c r="J413" i="34"/>
  <c r="I413" i="34"/>
  <c r="G413" i="34"/>
  <c r="F413" i="34"/>
  <c r="E413" i="34"/>
  <c r="D413" i="34"/>
  <c r="C413" i="34"/>
  <c r="B413" i="34"/>
  <c r="A413" i="34"/>
  <c r="J412" i="34"/>
  <c r="I412" i="34"/>
  <c r="G412" i="34"/>
  <c r="F412" i="34"/>
  <c r="E412" i="34"/>
  <c r="D412" i="34"/>
  <c r="C412" i="34"/>
  <c r="B412" i="34"/>
  <c r="A412" i="34"/>
  <c r="J411" i="34"/>
  <c r="I411" i="34"/>
  <c r="G411" i="34"/>
  <c r="F411" i="34"/>
  <c r="E411" i="34"/>
  <c r="D411" i="34"/>
  <c r="C411" i="34"/>
  <c r="B411" i="34"/>
  <c r="A411" i="34"/>
  <c r="J410" i="34"/>
  <c r="I410" i="34"/>
  <c r="G410" i="34"/>
  <c r="F410" i="34"/>
  <c r="E410" i="34"/>
  <c r="D410" i="34"/>
  <c r="C410" i="34"/>
  <c r="B410" i="34"/>
  <c r="A410" i="34"/>
  <c r="J409" i="34"/>
  <c r="I409" i="34"/>
  <c r="G409" i="34"/>
  <c r="F409" i="34"/>
  <c r="E409" i="34"/>
  <c r="D409" i="34"/>
  <c r="C409" i="34"/>
  <c r="B409" i="34"/>
  <c r="A409" i="34"/>
  <c r="J408" i="34"/>
  <c r="I408" i="34"/>
  <c r="G408" i="34"/>
  <c r="F408" i="34"/>
  <c r="E408" i="34"/>
  <c r="D408" i="34"/>
  <c r="C408" i="34"/>
  <c r="B408" i="34"/>
  <c r="A408" i="34"/>
  <c r="J407" i="34"/>
  <c r="I407" i="34"/>
  <c r="G407" i="34"/>
  <c r="F407" i="34"/>
  <c r="E407" i="34"/>
  <c r="D407" i="34"/>
  <c r="C407" i="34"/>
  <c r="B407" i="34"/>
  <c r="A407" i="34"/>
  <c r="J406" i="34"/>
  <c r="I406" i="34"/>
  <c r="G406" i="34"/>
  <c r="F406" i="34"/>
  <c r="E406" i="34"/>
  <c r="D406" i="34"/>
  <c r="C406" i="34"/>
  <c r="B406" i="34"/>
  <c r="A406" i="34"/>
  <c r="J405" i="34"/>
  <c r="I405" i="34"/>
  <c r="G405" i="34"/>
  <c r="F405" i="34"/>
  <c r="E405" i="34"/>
  <c r="D405" i="34"/>
  <c r="C405" i="34"/>
  <c r="B405" i="34"/>
  <c r="A405" i="34"/>
  <c r="J404" i="34"/>
  <c r="I404" i="34"/>
  <c r="G404" i="34"/>
  <c r="F404" i="34"/>
  <c r="E404" i="34"/>
  <c r="D404" i="34"/>
  <c r="C404" i="34"/>
  <c r="B404" i="34"/>
  <c r="A404" i="34"/>
  <c r="J403" i="34"/>
  <c r="I403" i="34"/>
  <c r="G403" i="34"/>
  <c r="F403" i="34"/>
  <c r="E403" i="34"/>
  <c r="D403" i="34"/>
  <c r="C403" i="34"/>
  <c r="B403" i="34"/>
  <c r="A403" i="34"/>
  <c r="J402" i="34"/>
  <c r="I402" i="34"/>
  <c r="G402" i="34"/>
  <c r="F402" i="34"/>
  <c r="E402" i="34"/>
  <c r="D402" i="34"/>
  <c r="C402" i="34"/>
  <c r="B402" i="34"/>
  <c r="A402" i="34"/>
  <c r="J401" i="34"/>
  <c r="I401" i="34"/>
  <c r="G401" i="34"/>
  <c r="F401" i="34"/>
  <c r="E401" i="34"/>
  <c r="D401" i="34"/>
  <c r="C401" i="34"/>
  <c r="B401" i="34"/>
  <c r="A401" i="34"/>
  <c r="J400" i="34"/>
  <c r="I400" i="34"/>
  <c r="G400" i="34"/>
  <c r="F400" i="34"/>
  <c r="E400" i="34"/>
  <c r="D400" i="34"/>
  <c r="C400" i="34"/>
  <c r="B400" i="34"/>
  <c r="A400" i="34"/>
  <c r="J399" i="34"/>
  <c r="I399" i="34"/>
  <c r="G399" i="34"/>
  <c r="F399" i="34"/>
  <c r="E399" i="34"/>
  <c r="D399" i="34"/>
  <c r="C399" i="34"/>
  <c r="B399" i="34"/>
  <c r="A399" i="34"/>
  <c r="J398" i="34"/>
  <c r="I398" i="34"/>
  <c r="G398" i="34"/>
  <c r="F398" i="34"/>
  <c r="E398" i="34"/>
  <c r="D398" i="34"/>
  <c r="C398" i="34"/>
  <c r="B398" i="34"/>
  <c r="A398" i="34"/>
  <c r="J397" i="34"/>
  <c r="I397" i="34"/>
  <c r="G397" i="34"/>
  <c r="F397" i="34"/>
  <c r="E397" i="34"/>
  <c r="D397" i="34"/>
  <c r="C397" i="34"/>
  <c r="B397" i="34"/>
  <c r="A397" i="34"/>
  <c r="J396" i="34"/>
  <c r="I396" i="34"/>
  <c r="G396" i="34"/>
  <c r="F396" i="34"/>
  <c r="E396" i="34"/>
  <c r="D396" i="34"/>
  <c r="C396" i="34"/>
  <c r="B396" i="34"/>
  <c r="A396" i="34"/>
  <c r="J395" i="34"/>
  <c r="I395" i="34"/>
  <c r="G395" i="34"/>
  <c r="F395" i="34"/>
  <c r="E395" i="34"/>
  <c r="D395" i="34"/>
  <c r="C395" i="34"/>
  <c r="B395" i="34"/>
  <c r="A395" i="34"/>
  <c r="J394" i="34"/>
  <c r="I394" i="34"/>
  <c r="G394" i="34"/>
  <c r="F394" i="34"/>
  <c r="E394" i="34"/>
  <c r="D394" i="34"/>
  <c r="C394" i="34"/>
  <c r="B394" i="34"/>
  <c r="A394" i="34"/>
  <c r="J393" i="34"/>
  <c r="I393" i="34"/>
  <c r="G393" i="34"/>
  <c r="F393" i="34"/>
  <c r="E393" i="34"/>
  <c r="D393" i="34"/>
  <c r="C393" i="34"/>
  <c r="B393" i="34"/>
  <c r="A393" i="34"/>
  <c r="J392" i="34"/>
  <c r="I392" i="34"/>
  <c r="G392" i="34"/>
  <c r="F392" i="34"/>
  <c r="E392" i="34"/>
  <c r="D392" i="34"/>
  <c r="C392" i="34"/>
  <c r="B392" i="34"/>
  <c r="A392" i="34"/>
  <c r="J391" i="34"/>
  <c r="I391" i="34"/>
  <c r="G391" i="34"/>
  <c r="F391" i="34"/>
  <c r="E391" i="34"/>
  <c r="D391" i="34"/>
  <c r="C391" i="34"/>
  <c r="B391" i="34"/>
  <c r="A391" i="34"/>
  <c r="J390" i="34"/>
  <c r="I390" i="34"/>
  <c r="G390" i="34"/>
  <c r="F390" i="34"/>
  <c r="E390" i="34"/>
  <c r="D390" i="34"/>
  <c r="C390" i="34"/>
  <c r="B390" i="34"/>
  <c r="A390" i="34"/>
  <c r="J389" i="34"/>
  <c r="I389" i="34"/>
  <c r="G389" i="34"/>
  <c r="F389" i="34"/>
  <c r="E389" i="34"/>
  <c r="D389" i="34"/>
  <c r="C389" i="34"/>
  <c r="B389" i="34"/>
  <c r="A389" i="34"/>
  <c r="J388" i="34"/>
  <c r="I388" i="34"/>
  <c r="G388" i="34"/>
  <c r="F388" i="34"/>
  <c r="E388" i="34"/>
  <c r="D388" i="34"/>
  <c r="C388" i="34"/>
  <c r="B388" i="34"/>
  <c r="A388" i="34"/>
  <c r="J387" i="34"/>
  <c r="I387" i="34"/>
  <c r="G387" i="34"/>
  <c r="F387" i="34"/>
  <c r="E387" i="34"/>
  <c r="D387" i="34"/>
  <c r="C387" i="34"/>
  <c r="B387" i="34"/>
  <c r="A387" i="34"/>
  <c r="J386" i="34"/>
  <c r="I386" i="34"/>
  <c r="G386" i="34"/>
  <c r="F386" i="34"/>
  <c r="E386" i="34"/>
  <c r="D386" i="34"/>
  <c r="C386" i="34"/>
  <c r="B386" i="34"/>
  <c r="A386" i="34"/>
  <c r="J385" i="34"/>
  <c r="I385" i="34"/>
  <c r="G385" i="34"/>
  <c r="F385" i="34"/>
  <c r="E385" i="34"/>
  <c r="D385" i="34"/>
  <c r="C385" i="34"/>
  <c r="B385" i="34"/>
  <c r="A385" i="34"/>
  <c r="J384" i="34"/>
  <c r="I384" i="34"/>
  <c r="G384" i="34"/>
  <c r="F384" i="34"/>
  <c r="E384" i="34"/>
  <c r="D384" i="34"/>
  <c r="C384" i="34"/>
  <c r="B384" i="34"/>
  <c r="A384" i="34"/>
  <c r="J383" i="34"/>
  <c r="I383" i="34"/>
  <c r="G383" i="34"/>
  <c r="F383" i="34"/>
  <c r="E383" i="34"/>
  <c r="D383" i="34"/>
  <c r="C383" i="34"/>
  <c r="B383" i="34"/>
  <c r="A383" i="34"/>
  <c r="J382" i="34"/>
  <c r="I382" i="34"/>
  <c r="G382" i="34"/>
  <c r="F382" i="34"/>
  <c r="E382" i="34"/>
  <c r="D382" i="34"/>
  <c r="C382" i="34"/>
  <c r="B382" i="34"/>
  <c r="A382" i="34"/>
  <c r="J381" i="34"/>
  <c r="I381" i="34"/>
  <c r="G381" i="34"/>
  <c r="F381" i="34"/>
  <c r="E381" i="34"/>
  <c r="D381" i="34"/>
  <c r="C381" i="34"/>
  <c r="B381" i="34"/>
  <c r="A381" i="34"/>
  <c r="J380" i="34"/>
  <c r="I380" i="34"/>
  <c r="G380" i="34"/>
  <c r="F380" i="34"/>
  <c r="E380" i="34"/>
  <c r="D380" i="34"/>
  <c r="C380" i="34"/>
  <c r="B380" i="34"/>
  <c r="A380" i="34"/>
  <c r="J379" i="34"/>
  <c r="I379" i="34"/>
  <c r="G379" i="34"/>
  <c r="F379" i="34"/>
  <c r="E379" i="34"/>
  <c r="D379" i="34"/>
  <c r="C379" i="34"/>
  <c r="B379" i="34"/>
  <c r="A379" i="34"/>
  <c r="J378" i="34"/>
  <c r="I378" i="34"/>
  <c r="G378" i="34"/>
  <c r="F378" i="34"/>
  <c r="E378" i="34"/>
  <c r="D378" i="34"/>
  <c r="C378" i="34"/>
  <c r="B378" i="34"/>
  <c r="A378" i="34"/>
  <c r="J377" i="34"/>
  <c r="I377" i="34"/>
  <c r="G377" i="34"/>
  <c r="F377" i="34"/>
  <c r="E377" i="34"/>
  <c r="D377" i="34"/>
  <c r="C377" i="34"/>
  <c r="B377" i="34"/>
  <c r="A377" i="34"/>
  <c r="J376" i="34"/>
  <c r="I376" i="34"/>
  <c r="G376" i="34"/>
  <c r="F376" i="34"/>
  <c r="E376" i="34"/>
  <c r="D376" i="34"/>
  <c r="C376" i="34"/>
  <c r="B376" i="34"/>
  <c r="A376" i="34"/>
  <c r="J375" i="34"/>
  <c r="I375" i="34"/>
  <c r="G375" i="34"/>
  <c r="F375" i="34"/>
  <c r="E375" i="34"/>
  <c r="D375" i="34"/>
  <c r="C375" i="34"/>
  <c r="B375" i="34"/>
  <c r="A375" i="34"/>
  <c r="J374" i="34"/>
  <c r="I374" i="34"/>
  <c r="G374" i="34"/>
  <c r="F374" i="34"/>
  <c r="E374" i="34"/>
  <c r="D374" i="34"/>
  <c r="C374" i="34"/>
  <c r="B374" i="34"/>
  <c r="A374" i="34"/>
  <c r="J373" i="34"/>
  <c r="I373" i="34"/>
  <c r="G373" i="34"/>
  <c r="F373" i="34"/>
  <c r="E373" i="34"/>
  <c r="D373" i="34"/>
  <c r="C373" i="34"/>
  <c r="B373" i="34"/>
  <c r="A373" i="34"/>
  <c r="J372" i="34"/>
  <c r="I372" i="34"/>
  <c r="G372" i="34"/>
  <c r="F372" i="34"/>
  <c r="E372" i="34"/>
  <c r="D372" i="34"/>
  <c r="C372" i="34"/>
  <c r="B372" i="34"/>
  <c r="A372" i="34"/>
  <c r="J371" i="34"/>
  <c r="I371" i="34"/>
  <c r="G371" i="34"/>
  <c r="F371" i="34"/>
  <c r="E371" i="34"/>
  <c r="D371" i="34"/>
  <c r="C371" i="34"/>
  <c r="B371" i="34"/>
  <c r="A371" i="34"/>
  <c r="J370" i="34"/>
  <c r="I370" i="34"/>
  <c r="G370" i="34"/>
  <c r="F370" i="34"/>
  <c r="E370" i="34"/>
  <c r="D370" i="34"/>
  <c r="C370" i="34"/>
  <c r="B370" i="34"/>
  <c r="A370" i="34"/>
  <c r="J369" i="34"/>
  <c r="I369" i="34"/>
  <c r="G369" i="34"/>
  <c r="F369" i="34"/>
  <c r="E369" i="34"/>
  <c r="D369" i="34"/>
  <c r="C369" i="34"/>
  <c r="B369" i="34"/>
  <c r="A369" i="34"/>
  <c r="J368" i="34"/>
  <c r="I368" i="34"/>
  <c r="G368" i="34"/>
  <c r="F368" i="34"/>
  <c r="E368" i="34"/>
  <c r="D368" i="34"/>
  <c r="C368" i="34"/>
  <c r="B368" i="34"/>
  <c r="A368" i="34"/>
  <c r="J367" i="34"/>
  <c r="I367" i="34"/>
  <c r="G367" i="34"/>
  <c r="F367" i="34"/>
  <c r="E367" i="34"/>
  <c r="D367" i="34"/>
  <c r="C367" i="34"/>
  <c r="B367" i="34"/>
  <c r="A367" i="34"/>
  <c r="J366" i="34"/>
  <c r="I366" i="34"/>
  <c r="G366" i="34"/>
  <c r="F366" i="34"/>
  <c r="E366" i="34"/>
  <c r="D366" i="34"/>
  <c r="C366" i="34"/>
  <c r="B366" i="34"/>
  <c r="A366" i="34"/>
  <c r="J365" i="34"/>
  <c r="I365" i="34"/>
  <c r="G365" i="34"/>
  <c r="F365" i="34"/>
  <c r="E365" i="34"/>
  <c r="D365" i="34"/>
  <c r="C365" i="34"/>
  <c r="B365" i="34"/>
  <c r="A365" i="34"/>
  <c r="J364" i="34"/>
  <c r="I364" i="34"/>
  <c r="G364" i="34"/>
  <c r="F364" i="34"/>
  <c r="E364" i="34"/>
  <c r="D364" i="34"/>
  <c r="C364" i="34"/>
  <c r="B364" i="34"/>
  <c r="A364" i="34"/>
  <c r="J363" i="34"/>
  <c r="I363" i="34"/>
  <c r="G363" i="34"/>
  <c r="F363" i="34"/>
  <c r="E363" i="34"/>
  <c r="D363" i="34"/>
  <c r="C363" i="34"/>
  <c r="B363" i="34"/>
  <c r="A363" i="34"/>
  <c r="J362" i="34"/>
  <c r="I362" i="34"/>
  <c r="G362" i="34"/>
  <c r="F362" i="34"/>
  <c r="E362" i="34"/>
  <c r="D362" i="34"/>
  <c r="C362" i="34"/>
  <c r="B362" i="34"/>
  <c r="A362" i="34"/>
  <c r="J361" i="34"/>
  <c r="I361" i="34"/>
  <c r="G361" i="34"/>
  <c r="F361" i="34"/>
  <c r="E361" i="34"/>
  <c r="D361" i="34"/>
  <c r="C361" i="34"/>
  <c r="B361" i="34"/>
  <c r="A361" i="34"/>
  <c r="J360" i="34"/>
  <c r="I360" i="34"/>
  <c r="G360" i="34"/>
  <c r="F360" i="34"/>
  <c r="E360" i="34"/>
  <c r="D360" i="34"/>
  <c r="C360" i="34"/>
  <c r="B360" i="34"/>
  <c r="A360" i="34"/>
  <c r="J359" i="34"/>
  <c r="I359" i="34"/>
  <c r="G359" i="34"/>
  <c r="F359" i="34"/>
  <c r="E359" i="34"/>
  <c r="D359" i="34"/>
  <c r="C359" i="34"/>
  <c r="B359" i="34"/>
  <c r="A359" i="34"/>
  <c r="J358" i="34"/>
  <c r="I358" i="34"/>
  <c r="G358" i="34"/>
  <c r="F358" i="34"/>
  <c r="E358" i="34"/>
  <c r="D358" i="34"/>
  <c r="C358" i="34"/>
  <c r="B358" i="34"/>
  <c r="A358" i="34"/>
  <c r="J357" i="34"/>
  <c r="I357" i="34"/>
  <c r="G357" i="34"/>
  <c r="F357" i="34"/>
  <c r="E357" i="34"/>
  <c r="D357" i="34"/>
  <c r="C357" i="34"/>
  <c r="B357" i="34"/>
  <c r="A357" i="34"/>
  <c r="J356" i="34"/>
  <c r="I356" i="34"/>
  <c r="G356" i="34"/>
  <c r="F356" i="34"/>
  <c r="E356" i="34"/>
  <c r="D356" i="34"/>
  <c r="C356" i="34"/>
  <c r="B356" i="34"/>
  <c r="A356" i="34"/>
  <c r="J355" i="34"/>
  <c r="I355" i="34"/>
  <c r="G355" i="34"/>
  <c r="F355" i="34"/>
  <c r="E355" i="34"/>
  <c r="D355" i="34"/>
  <c r="C355" i="34"/>
  <c r="B355" i="34"/>
  <c r="A355" i="34"/>
  <c r="J354" i="34"/>
  <c r="I354" i="34"/>
  <c r="G354" i="34"/>
  <c r="F354" i="34"/>
  <c r="E354" i="34"/>
  <c r="D354" i="34"/>
  <c r="C354" i="34"/>
  <c r="B354" i="34"/>
  <c r="A354" i="34"/>
  <c r="J353" i="34"/>
  <c r="I353" i="34"/>
  <c r="G353" i="34"/>
  <c r="F353" i="34"/>
  <c r="E353" i="34"/>
  <c r="D353" i="34"/>
  <c r="C353" i="34"/>
  <c r="B353" i="34"/>
  <c r="A353" i="34"/>
  <c r="J352" i="34"/>
  <c r="I352" i="34"/>
  <c r="G352" i="34"/>
  <c r="F352" i="34"/>
  <c r="E352" i="34"/>
  <c r="D352" i="34"/>
  <c r="C352" i="34"/>
  <c r="B352" i="34"/>
  <c r="A352" i="34"/>
  <c r="J351" i="34"/>
  <c r="I351" i="34"/>
  <c r="G351" i="34"/>
  <c r="F351" i="34"/>
  <c r="E351" i="34"/>
  <c r="D351" i="34"/>
  <c r="C351" i="34"/>
  <c r="B351" i="34"/>
  <c r="A351" i="34"/>
  <c r="J350" i="34"/>
  <c r="I350" i="34"/>
  <c r="G350" i="34"/>
  <c r="F350" i="34"/>
  <c r="E350" i="34"/>
  <c r="D350" i="34"/>
  <c r="C350" i="34"/>
  <c r="B350" i="34"/>
  <c r="A350" i="34"/>
  <c r="J349" i="34"/>
  <c r="I349" i="34"/>
  <c r="G349" i="34"/>
  <c r="F349" i="34"/>
  <c r="E349" i="34"/>
  <c r="D349" i="34"/>
  <c r="C349" i="34"/>
  <c r="B349" i="34"/>
  <c r="A349" i="34"/>
  <c r="J348" i="34"/>
  <c r="I348" i="34"/>
  <c r="G348" i="34"/>
  <c r="F348" i="34"/>
  <c r="E348" i="34"/>
  <c r="D348" i="34"/>
  <c r="C348" i="34"/>
  <c r="B348" i="34"/>
  <c r="A348" i="34"/>
  <c r="J347" i="34"/>
  <c r="I347" i="34"/>
  <c r="G347" i="34"/>
  <c r="F347" i="34"/>
  <c r="E347" i="34"/>
  <c r="D347" i="34"/>
  <c r="C347" i="34"/>
  <c r="B347" i="34"/>
  <c r="A347" i="34"/>
  <c r="J346" i="34"/>
  <c r="I346" i="34"/>
  <c r="G346" i="34"/>
  <c r="F346" i="34"/>
  <c r="E346" i="34"/>
  <c r="D346" i="34"/>
  <c r="C346" i="34"/>
  <c r="B346" i="34"/>
  <c r="A346" i="34"/>
  <c r="J345" i="34"/>
  <c r="I345" i="34"/>
  <c r="G345" i="34"/>
  <c r="F345" i="34"/>
  <c r="E345" i="34"/>
  <c r="D345" i="34"/>
  <c r="C345" i="34"/>
  <c r="B345" i="34"/>
  <c r="A345" i="34"/>
  <c r="J344" i="34"/>
  <c r="I344" i="34"/>
  <c r="G344" i="34"/>
  <c r="F344" i="34"/>
  <c r="E344" i="34"/>
  <c r="D344" i="34"/>
  <c r="C344" i="34"/>
  <c r="B344" i="34"/>
  <c r="A344" i="34"/>
  <c r="J343" i="34"/>
  <c r="I343" i="34"/>
  <c r="G343" i="34"/>
  <c r="F343" i="34"/>
  <c r="E343" i="34"/>
  <c r="D343" i="34"/>
  <c r="C343" i="34"/>
  <c r="B343" i="34"/>
  <c r="A343" i="34"/>
  <c r="J342" i="34"/>
  <c r="I342" i="34"/>
  <c r="G342" i="34"/>
  <c r="F342" i="34"/>
  <c r="E342" i="34"/>
  <c r="D342" i="34"/>
  <c r="C342" i="34"/>
  <c r="B342" i="34"/>
  <c r="A342" i="34"/>
  <c r="J341" i="34"/>
  <c r="I341" i="34"/>
  <c r="G341" i="34"/>
  <c r="F341" i="34"/>
  <c r="E341" i="34"/>
  <c r="D341" i="34"/>
  <c r="C341" i="34"/>
  <c r="B341" i="34"/>
  <c r="A341" i="34"/>
  <c r="J340" i="34"/>
  <c r="I340" i="34"/>
  <c r="G340" i="34"/>
  <c r="F340" i="34"/>
  <c r="E340" i="34"/>
  <c r="D340" i="34"/>
  <c r="C340" i="34"/>
  <c r="B340" i="34"/>
  <c r="A340" i="34"/>
  <c r="J339" i="34"/>
  <c r="I339" i="34"/>
  <c r="G339" i="34"/>
  <c r="F339" i="34"/>
  <c r="E339" i="34"/>
  <c r="D339" i="34"/>
  <c r="C339" i="34"/>
  <c r="B339" i="34"/>
  <c r="A339" i="34"/>
  <c r="J338" i="34"/>
  <c r="I338" i="34"/>
  <c r="G338" i="34"/>
  <c r="F338" i="34"/>
  <c r="E338" i="34"/>
  <c r="D338" i="34"/>
  <c r="C338" i="34"/>
  <c r="B338" i="34"/>
  <c r="A338" i="34"/>
  <c r="J337" i="34"/>
  <c r="I337" i="34"/>
  <c r="G337" i="34"/>
  <c r="F337" i="34"/>
  <c r="E337" i="34"/>
  <c r="D337" i="34"/>
  <c r="C337" i="34"/>
  <c r="B337" i="34"/>
  <c r="A337" i="34"/>
  <c r="J336" i="34"/>
  <c r="I336" i="34"/>
  <c r="G336" i="34"/>
  <c r="F336" i="34"/>
  <c r="E336" i="34"/>
  <c r="D336" i="34"/>
  <c r="C336" i="34"/>
  <c r="B336" i="34"/>
  <c r="A336" i="34"/>
  <c r="J335" i="34"/>
  <c r="I335" i="34"/>
  <c r="G335" i="34"/>
  <c r="F335" i="34"/>
  <c r="E335" i="34"/>
  <c r="D335" i="34"/>
  <c r="C335" i="34"/>
  <c r="B335" i="34"/>
  <c r="A335" i="34"/>
  <c r="J334" i="34"/>
  <c r="I334" i="34"/>
  <c r="G334" i="34"/>
  <c r="F334" i="34"/>
  <c r="E334" i="34"/>
  <c r="D334" i="34"/>
  <c r="C334" i="34"/>
  <c r="B334" i="34"/>
  <c r="A334" i="34"/>
  <c r="J333" i="34"/>
  <c r="I333" i="34"/>
  <c r="G333" i="34"/>
  <c r="F333" i="34"/>
  <c r="E333" i="34"/>
  <c r="D333" i="34"/>
  <c r="C333" i="34"/>
  <c r="B333" i="34"/>
  <c r="A333" i="34"/>
  <c r="J332" i="34"/>
  <c r="I332" i="34"/>
  <c r="G332" i="34"/>
  <c r="F332" i="34"/>
  <c r="E332" i="34"/>
  <c r="D332" i="34"/>
  <c r="C332" i="34"/>
  <c r="B332" i="34"/>
  <c r="A332" i="34"/>
  <c r="J331" i="34"/>
  <c r="I331" i="34"/>
  <c r="G331" i="34"/>
  <c r="F331" i="34"/>
  <c r="E331" i="34"/>
  <c r="D331" i="34"/>
  <c r="C331" i="34"/>
  <c r="B331" i="34"/>
  <c r="A331" i="34"/>
  <c r="J330" i="34"/>
  <c r="I330" i="34"/>
  <c r="G330" i="34"/>
  <c r="F330" i="34"/>
  <c r="E330" i="34"/>
  <c r="D330" i="34"/>
  <c r="C330" i="34"/>
  <c r="B330" i="34"/>
  <c r="A330" i="34"/>
  <c r="J329" i="34"/>
  <c r="I329" i="34"/>
  <c r="G329" i="34"/>
  <c r="F329" i="34"/>
  <c r="E329" i="34"/>
  <c r="D329" i="34"/>
  <c r="C329" i="34"/>
  <c r="B329" i="34"/>
  <c r="A329" i="34"/>
  <c r="J328" i="34"/>
  <c r="I328" i="34"/>
  <c r="G328" i="34"/>
  <c r="F328" i="34"/>
  <c r="E328" i="34"/>
  <c r="D328" i="34"/>
  <c r="C328" i="34"/>
  <c r="B328" i="34"/>
  <c r="A328" i="34"/>
  <c r="J327" i="34"/>
  <c r="I327" i="34"/>
  <c r="G327" i="34"/>
  <c r="F327" i="34"/>
  <c r="E327" i="34"/>
  <c r="D327" i="34"/>
  <c r="C327" i="34"/>
  <c r="B327" i="34"/>
  <c r="A327" i="34"/>
  <c r="J326" i="34"/>
  <c r="I326" i="34"/>
  <c r="G326" i="34"/>
  <c r="F326" i="34"/>
  <c r="E326" i="34"/>
  <c r="D326" i="34"/>
  <c r="C326" i="34"/>
  <c r="B326" i="34"/>
  <c r="A326" i="34"/>
  <c r="J325" i="34"/>
  <c r="I325" i="34"/>
  <c r="G325" i="34"/>
  <c r="F325" i="34"/>
  <c r="E325" i="34"/>
  <c r="D325" i="34"/>
  <c r="C325" i="34"/>
  <c r="B325" i="34"/>
  <c r="A325" i="34"/>
  <c r="J324" i="34"/>
  <c r="I324" i="34"/>
  <c r="G324" i="34"/>
  <c r="F324" i="34"/>
  <c r="E324" i="34"/>
  <c r="D324" i="34"/>
  <c r="C324" i="34"/>
  <c r="B324" i="34"/>
  <c r="A324" i="34"/>
  <c r="J323" i="34"/>
  <c r="I323" i="34"/>
  <c r="G323" i="34"/>
  <c r="F323" i="34"/>
  <c r="E323" i="34"/>
  <c r="D323" i="34"/>
  <c r="C323" i="34"/>
  <c r="B323" i="34"/>
  <c r="A323" i="34"/>
  <c r="J322" i="34"/>
  <c r="I322" i="34"/>
  <c r="G322" i="34"/>
  <c r="F322" i="34"/>
  <c r="E322" i="34"/>
  <c r="D322" i="34"/>
  <c r="C322" i="34"/>
  <c r="B322" i="34"/>
  <c r="A322" i="34"/>
  <c r="J321" i="34"/>
  <c r="I321" i="34"/>
  <c r="G321" i="34"/>
  <c r="F321" i="34"/>
  <c r="E321" i="34"/>
  <c r="D321" i="34"/>
  <c r="C321" i="34"/>
  <c r="B321" i="34"/>
  <c r="A321" i="34"/>
  <c r="J320" i="34"/>
  <c r="I320" i="34"/>
  <c r="G320" i="34"/>
  <c r="F320" i="34"/>
  <c r="E320" i="34"/>
  <c r="D320" i="34"/>
  <c r="C320" i="34"/>
  <c r="B320" i="34"/>
  <c r="A320" i="34"/>
  <c r="J319" i="34"/>
  <c r="I319" i="34"/>
  <c r="G319" i="34"/>
  <c r="F319" i="34"/>
  <c r="E319" i="34"/>
  <c r="D319" i="34"/>
  <c r="C319" i="34"/>
  <c r="B319" i="34"/>
  <c r="A319" i="34"/>
  <c r="J318" i="34"/>
  <c r="I318" i="34"/>
  <c r="G318" i="34"/>
  <c r="F318" i="34"/>
  <c r="E318" i="34"/>
  <c r="D318" i="34"/>
  <c r="C318" i="34"/>
  <c r="B318" i="34"/>
  <c r="A318" i="34"/>
  <c r="J317" i="34"/>
  <c r="I317" i="34"/>
  <c r="G317" i="34"/>
  <c r="F317" i="34"/>
  <c r="E317" i="34"/>
  <c r="D317" i="34"/>
  <c r="C317" i="34"/>
  <c r="B317" i="34"/>
  <c r="A317" i="34"/>
  <c r="J316" i="34"/>
  <c r="I316" i="34"/>
  <c r="G316" i="34"/>
  <c r="F316" i="34"/>
  <c r="E316" i="34"/>
  <c r="D316" i="34"/>
  <c r="C316" i="34"/>
  <c r="B316" i="34"/>
  <c r="A316" i="34"/>
  <c r="J315" i="34"/>
  <c r="I315" i="34"/>
  <c r="G315" i="34"/>
  <c r="F315" i="34"/>
  <c r="E315" i="34"/>
  <c r="D315" i="34"/>
  <c r="C315" i="34"/>
  <c r="B315" i="34"/>
  <c r="A315" i="34"/>
  <c r="J314" i="34"/>
  <c r="I314" i="34"/>
  <c r="G314" i="34"/>
  <c r="F314" i="34"/>
  <c r="E314" i="34"/>
  <c r="D314" i="34"/>
  <c r="C314" i="34"/>
  <c r="B314" i="34"/>
  <c r="A314" i="34"/>
  <c r="J313" i="34"/>
  <c r="I313" i="34"/>
  <c r="G313" i="34"/>
  <c r="F313" i="34"/>
  <c r="E313" i="34"/>
  <c r="D313" i="34"/>
  <c r="C313" i="34"/>
  <c r="B313" i="34"/>
  <c r="A313" i="34"/>
  <c r="J312" i="34"/>
  <c r="I312" i="34"/>
  <c r="G312" i="34"/>
  <c r="F312" i="34"/>
  <c r="E312" i="34"/>
  <c r="D312" i="34"/>
  <c r="C312" i="34"/>
  <c r="B312" i="34"/>
  <c r="A312" i="34"/>
  <c r="J311" i="34"/>
  <c r="I311" i="34"/>
  <c r="G311" i="34"/>
  <c r="F311" i="34"/>
  <c r="E311" i="34"/>
  <c r="D311" i="34"/>
  <c r="C311" i="34"/>
  <c r="B311" i="34"/>
  <c r="A311" i="34"/>
  <c r="J310" i="34"/>
  <c r="I310" i="34"/>
  <c r="G310" i="34"/>
  <c r="F310" i="34"/>
  <c r="E310" i="34"/>
  <c r="D310" i="34"/>
  <c r="C310" i="34"/>
  <c r="B310" i="34"/>
  <c r="A310" i="34"/>
  <c r="J309" i="34"/>
  <c r="I309" i="34"/>
  <c r="G309" i="34"/>
  <c r="F309" i="34"/>
  <c r="E309" i="34"/>
  <c r="D309" i="34"/>
  <c r="C309" i="34"/>
  <c r="B309" i="34"/>
  <c r="A309" i="34"/>
  <c r="J308" i="34"/>
  <c r="I308" i="34"/>
  <c r="G308" i="34"/>
  <c r="F308" i="34"/>
  <c r="E308" i="34"/>
  <c r="D308" i="34"/>
  <c r="C308" i="34"/>
  <c r="B308" i="34"/>
  <c r="A308" i="34"/>
  <c r="J307" i="34"/>
  <c r="I307" i="34"/>
  <c r="G307" i="34"/>
  <c r="F307" i="34"/>
  <c r="E307" i="34"/>
  <c r="D307" i="34"/>
  <c r="C307" i="34"/>
  <c r="B307" i="34"/>
  <c r="A307" i="34"/>
  <c r="J306" i="34"/>
  <c r="I306" i="34"/>
  <c r="G306" i="34"/>
  <c r="F306" i="34"/>
  <c r="E306" i="34"/>
  <c r="D306" i="34"/>
  <c r="C306" i="34"/>
  <c r="B306" i="34"/>
  <c r="A306" i="34"/>
  <c r="J305" i="34"/>
  <c r="I305" i="34"/>
  <c r="G305" i="34"/>
  <c r="F305" i="34"/>
  <c r="E305" i="34"/>
  <c r="D305" i="34"/>
  <c r="C305" i="34"/>
  <c r="B305" i="34"/>
  <c r="A305" i="34"/>
  <c r="J304" i="34"/>
  <c r="I304" i="34"/>
  <c r="G304" i="34"/>
  <c r="F304" i="34"/>
  <c r="E304" i="34"/>
  <c r="D304" i="34"/>
  <c r="C304" i="34"/>
  <c r="B304" i="34"/>
  <c r="A304" i="34"/>
  <c r="J303" i="34"/>
  <c r="I303" i="34"/>
  <c r="G303" i="34"/>
  <c r="F303" i="34"/>
  <c r="E303" i="34"/>
  <c r="D303" i="34"/>
  <c r="C303" i="34"/>
  <c r="B303" i="34"/>
  <c r="A303" i="34"/>
  <c r="J302" i="34"/>
  <c r="I302" i="34"/>
  <c r="G302" i="34"/>
  <c r="F302" i="34"/>
  <c r="E302" i="34"/>
  <c r="D302" i="34"/>
  <c r="C302" i="34"/>
  <c r="B302" i="34"/>
  <c r="A302" i="34"/>
  <c r="J301" i="34"/>
  <c r="I301" i="34"/>
  <c r="G301" i="34"/>
  <c r="F301" i="34"/>
  <c r="E301" i="34"/>
  <c r="D301" i="34"/>
  <c r="C301" i="34"/>
  <c r="B301" i="34"/>
  <c r="A301" i="34"/>
  <c r="J300" i="34"/>
  <c r="I300" i="34"/>
  <c r="G300" i="34"/>
  <c r="F300" i="34"/>
  <c r="E300" i="34"/>
  <c r="D300" i="34"/>
  <c r="C300" i="34"/>
  <c r="B300" i="34"/>
  <c r="A300" i="34"/>
  <c r="J299" i="34"/>
  <c r="I299" i="34"/>
  <c r="G299" i="34"/>
  <c r="F299" i="34"/>
  <c r="E299" i="34"/>
  <c r="D299" i="34"/>
  <c r="C299" i="34"/>
  <c r="B299" i="34"/>
  <c r="A299" i="34"/>
  <c r="J298" i="34"/>
  <c r="I298" i="34"/>
  <c r="G298" i="34"/>
  <c r="F298" i="34"/>
  <c r="E298" i="34"/>
  <c r="D298" i="34"/>
  <c r="C298" i="34"/>
  <c r="B298" i="34"/>
  <c r="A298" i="34"/>
  <c r="J297" i="34"/>
  <c r="I297" i="34"/>
  <c r="G297" i="34"/>
  <c r="F297" i="34"/>
  <c r="E297" i="34"/>
  <c r="D297" i="34"/>
  <c r="C297" i="34"/>
  <c r="B297" i="34"/>
  <c r="A297" i="34"/>
  <c r="J296" i="34"/>
  <c r="I296" i="34"/>
  <c r="G296" i="34"/>
  <c r="F296" i="34"/>
  <c r="E296" i="34"/>
  <c r="D296" i="34"/>
  <c r="C296" i="34"/>
  <c r="B296" i="34"/>
  <c r="A296" i="34"/>
  <c r="J295" i="34"/>
  <c r="I295" i="34"/>
  <c r="G295" i="34"/>
  <c r="F295" i="34"/>
  <c r="E295" i="34"/>
  <c r="D295" i="34"/>
  <c r="C295" i="34"/>
  <c r="B295" i="34"/>
  <c r="A295" i="34"/>
  <c r="J294" i="34"/>
  <c r="I294" i="34"/>
  <c r="G294" i="34"/>
  <c r="F294" i="34"/>
  <c r="E294" i="34"/>
  <c r="D294" i="34"/>
  <c r="C294" i="34"/>
  <c r="B294" i="34"/>
  <c r="A294" i="34"/>
  <c r="J293" i="34"/>
  <c r="I293" i="34"/>
  <c r="G293" i="34"/>
  <c r="F293" i="34"/>
  <c r="E293" i="34"/>
  <c r="D293" i="34"/>
  <c r="C293" i="34"/>
  <c r="B293" i="34"/>
  <c r="A293" i="34"/>
  <c r="J292" i="34"/>
  <c r="I292" i="34"/>
  <c r="G292" i="34"/>
  <c r="F292" i="34"/>
  <c r="E292" i="34"/>
  <c r="D292" i="34"/>
  <c r="C292" i="34"/>
  <c r="B292" i="34"/>
  <c r="A292" i="34"/>
  <c r="J291" i="34"/>
  <c r="I291" i="34"/>
  <c r="G291" i="34"/>
  <c r="F291" i="34"/>
  <c r="E291" i="34"/>
  <c r="D291" i="34"/>
  <c r="C291" i="34"/>
  <c r="B291" i="34"/>
  <c r="A291" i="34"/>
  <c r="J290" i="34"/>
  <c r="I290" i="34"/>
  <c r="G290" i="34"/>
  <c r="F290" i="34"/>
  <c r="E290" i="34"/>
  <c r="D290" i="34"/>
  <c r="C290" i="34"/>
  <c r="B290" i="34"/>
  <c r="A290" i="34"/>
  <c r="J289" i="34"/>
  <c r="I289" i="34"/>
  <c r="G289" i="34"/>
  <c r="F289" i="34"/>
  <c r="E289" i="34"/>
  <c r="D289" i="34"/>
  <c r="C289" i="34"/>
  <c r="B289" i="34"/>
  <c r="A289" i="34"/>
  <c r="J288" i="34"/>
  <c r="I288" i="34"/>
  <c r="G288" i="34"/>
  <c r="F288" i="34"/>
  <c r="E288" i="34"/>
  <c r="D288" i="34"/>
  <c r="C288" i="34"/>
  <c r="B288" i="34"/>
  <c r="A288" i="34"/>
  <c r="J287" i="34"/>
  <c r="I287" i="34"/>
  <c r="G287" i="34"/>
  <c r="F287" i="34"/>
  <c r="E287" i="34"/>
  <c r="D287" i="34"/>
  <c r="C287" i="34"/>
  <c r="B287" i="34"/>
  <c r="A287" i="34"/>
  <c r="J286" i="34"/>
  <c r="I286" i="34"/>
  <c r="G286" i="34"/>
  <c r="F286" i="34"/>
  <c r="E286" i="34"/>
  <c r="D286" i="34"/>
  <c r="C286" i="34"/>
  <c r="B286" i="34"/>
  <c r="A286" i="34"/>
  <c r="J285" i="34"/>
  <c r="I285" i="34"/>
  <c r="G285" i="34"/>
  <c r="F285" i="34"/>
  <c r="E285" i="34"/>
  <c r="D285" i="34"/>
  <c r="C285" i="34"/>
  <c r="B285" i="34"/>
  <c r="A285" i="34"/>
  <c r="J284" i="34"/>
  <c r="I284" i="34"/>
  <c r="G284" i="34"/>
  <c r="F284" i="34"/>
  <c r="E284" i="34"/>
  <c r="D284" i="34"/>
  <c r="C284" i="34"/>
  <c r="B284" i="34"/>
  <c r="A284" i="34"/>
  <c r="J283" i="34"/>
  <c r="I283" i="34"/>
  <c r="G283" i="34"/>
  <c r="F283" i="34"/>
  <c r="E283" i="34"/>
  <c r="D283" i="34"/>
  <c r="C283" i="34"/>
  <c r="B283" i="34"/>
  <c r="A283" i="34"/>
  <c r="J282" i="34"/>
  <c r="I282" i="34"/>
  <c r="G282" i="34"/>
  <c r="F282" i="34"/>
  <c r="E282" i="34"/>
  <c r="D282" i="34"/>
  <c r="C282" i="34"/>
  <c r="B282" i="34"/>
  <c r="A282" i="34"/>
  <c r="J281" i="34"/>
  <c r="I281" i="34"/>
  <c r="G281" i="34"/>
  <c r="F281" i="34"/>
  <c r="E281" i="34"/>
  <c r="D281" i="34"/>
  <c r="C281" i="34"/>
  <c r="B281" i="34"/>
  <c r="A281" i="34"/>
  <c r="J280" i="34"/>
  <c r="I280" i="34"/>
  <c r="G280" i="34"/>
  <c r="F280" i="34"/>
  <c r="E280" i="34"/>
  <c r="D280" i="34"/>
  <c r="C280" i="34"/>
  <c r="B280" i="34"/>
  <c r="A280" i="34"/>
  <c r="J279" i="34"/>
  <c r="I279" i="34"/>
  <c r="G279" i="34"/>
  <c r="F279" i="34"/>
  <c r="E279" i="34"/>
  <c r="D279" i="34"/>
  <c r="C279" i="34"/>
  <c r="B279" i="34"/>
  <c r="A279" i="34"/>
  <c r="J278" i="34"/>
  <c r="I278" i="34"/>
  <c r="G278" i="34"/>
  <c r="F278" i="34"/>
  <c r="E278" i="34"/>
  <c r="D278" i="34"/>
  <c r="C278" i="34"/>
  <c r="B278" i="34"/>
  <c r="A278" i="34"/>
  <c r="J277" i="34"/>
  <c r="I277" i="34"/>
  <c r="G277" i="34"/>
  <c r="F277" i="34"/>
  <c r="E277" i="34"/>
  <c r="D277" i="34"/>
  <c r="C277" i="34"/>
  <c r="B277" i="34"/>
  <c r="A277" i="34"/>
  <c r="J276" i="34"/>
  <c r="I276" i="34"/>
  <c r="G276" i="34"/>
  <c r="F276" i="34"/>
  <c r="E276" i="34"/>
  <c r="D276" i="34"/>
  <c r="C276" i="34"/>
  <c r="B276" i="34"/>
  <c r="A276" i="34"/>
  <c r="J275" i="34"/>
  <c r="I275" i="34"/>
  <c r="G275" i="34"/>
  <c r="F275" i="34"/>
  <c r="E275" i="34"/>
  <c r="D275" i="34"/>
  <c r="C275" i="34"/>
  <c r="B275" i="34"/>
  <c r="A275" i="34"/>
  <c r="J274" i="34"/>
  <c r="I274" i="34"/>
  <c r="G274" i="34"/>
  <c r="F274" i="34"/>
  <c r="E274" i="34"/>
  <c r="D274" i="34"/>
  <c r="C274" i="34"/>
  <c r="B274" i="34"/>
  <c r="A274" i="34"/>
  <c r="J273" i="34"/>
  <c r="I273" i="34"/>
  <c r="G273" i="34"/>
  <c r="F273" i="34"/>
  <c r="E273" i="34"/>
  <c r="D273" i="34"/>
  <c r="C273" i="34"/>
  <c r="B273" i="34"/>
  <c r="A273" i="34"/>
  <c r="J272" i="34"/>
  <c r="I272" i="34"/>
  <c r="G272" i="34"/>
  <c r="F272" i="34"/>
  <c r="E272" i="34"/>
  <c r="D272" i="34"/>
  <c r="C272" i="34"/>
  <c r="B272" i="34"/>
  <c r="A272" i="34"/>
  <c r="J271" i="34"/>
  <c r="I271" i="34"/>
  <c r="G271" i="34"/>
  <c r="F271" i="34"/>
  <c r="E271" i="34"/>
  <c r="D271" i="34"/>
  <c r="C271" i="34"/>
  <c r="B271" i="34"/>
  <c r="A271" i="34"/>
  <c r="J270" i="34"/>
  <c r="I270" i="34"/>
  <c r="G270" i="34"/>
  <c r="F270" i="34"/>
  <c r="E270" i="34"/>
  <c r="D270" i="34"/>
  <c r="C270" i="34"/>
  <c r="B270" i="34"/>
  <c r="A270" i="34"/>
  <c r="J269" i="34"/>
  <c r="I269" i="34"/>
  <c r="G269" i="34"/>
  <c r="F269" i="34"/>
  <c r="E269" i="34"/>
  <c r="D269" i="34"/>
  <c r="C269" i="34"/>
  <c r="B269" i="34"/>
  <c r="A269" i="34"/>
  <c r="J268" i="34"/>
  <c r="I268" i="34"/>
  <c r="G268" i="34"/>
  <c r="F268" i="34"/>
  <c r="E268" i="34"/>
  <c r="D268" i="34"/>
  <c r="C268" i="34"/>
  <c r="B268" i="34"/>
  <c r="A268" i="34"/>
  <c r="J267" i="34"/>
  <c r="I267" i="34"/>
  <c r="G267" i="34"/>
  <c r="F267" i="34"/>
  <c r="E267" i="34"/>
  <c r="D267" i="34"/>
  <c r="C267" i="34"/>
  <c r="B267" i="34"/>
  <c r="A267" i="34"/>
  <c r="J266" i="34"/>
  <c r="I266" i="34"/>
  <c r="G266" i="34"/>
  <c r="F266" i="34"/>
  <c r="E266" i="34"/>
  <c r="D266" i="34"/>
  <c r="C266" i="34"/>
  <c r="B266" i="34"/>
  <c r="A266" i="34"/>
  <c r="J265" i="34"/>
  <c r="I265" i="34"/>
  <c r="G265" i="34"/>
  <c r="F265" i="34"/>
  <c r="E265" i="34"/>
  <c r="D265" i="34"/>
  <c r="C265" i="34"/>
  <c r="B265" i="34"/>
  <c r="A265" i="34"/>
  <c r="J264" i="34"/>
  <c r="I264" i="34"/>
  <c r="G264" i="34"/>
  <c r="F264" i="34"/>
  <c r="E264" i="34"/>
  <c r="D264" i="34"/>
  <c r="C264" i="34"/>
  <c r="B264" i="34"/>
  <c r="A264" i="34"/>
  <c r="J263" i="34"/>
  <c r="I263" i="34"/>
  <c r="G263" i="34"/>
  <c r="F263" i="34"/>
  <c r="E263" i="34"/>
  <c r="D263" i="34"/>
  <c r="C263" i="34"/>
  <c r="B263" i="34"/>
  <c r="A263" i="34"/>
  <c r="J262" i="34"/>
  <c r="I262" i="34"/>
  <c r="G262" i="34"/>
  <c r="F262" i="34"/>
  <c r="E262" i="34"/>
  <c r="D262" i="34"/>
  <c r="C262" i="34"/>
  <c r="B262" i="34"/>
  <c r="A262" i="34"/>
  <c r="J261" i="34"/>
  <c r="I261" i="34"/>
  <c r="G261" i="34"/>
  <c r="F261" i="34"/>
  <c r="E261" i="34"/>
  <c r="D261" i="34"/>
  <c r="C261" i="34"/>
  <c r="B261" i="34"/>
  <c r="A261" i="34"/>
  <c r="J260" i="34"/>
  <c r="I260" i="34"/>
  <c r="G260" i="34"/>
  <c r="F260" i="34"/>
  <c r="E260" i="34"/>
  <c r="D260" i="34"/>
  <c r="C260" i="34"/>
  <c r="B260" i="34"/>
  <c r="A260" i="34"/>
  <c r="J259" i="34"/>
  <c r="I259" i="34"/>
  <c r="G259" i="34"/>
  <c r="F259" i="34"/>
  <c r="E259" i="34"/>
  <c r="D259" i="34"/>
  <c r="C259" i="34"/>
  <c r="B259" i="34"/>
  <c r="A259" i="34"/>
  <c r="J258" i="34"/>
  <c r="I258" i="34"/>
  <c r="G258" i="34"/>
  <c r="F258" i="34"/>
  <c r="E258" i="34"/>
  <c r="D258" i="34"/>
  <c r="C258" i="34"/>
  <c r="B258" i="34"/>
  <c r="A258" i="34"/>
  <c r="J257" i="34"/>
  <c r="I257" i="34"/>
  <c r="G257" i="34"/>
  <c r="F257" i="34"/>
  <c r="E257" i="34"/>
  <c r="D257" i="34"/>
  <c r="C257" i="34"/>
  <c r="B257" i="34"/>
  <c r="A257" i="34"/>
  <c r="J256" i="34"/>
  <c r="I256" i="34"/>
  <c r="G256" i="34"/>
  <c r="F256" i="34"/>
  <c r="E256" i="34"/>
  <c r="D256" i="34"/>
  <c r="C256" i="34"/>
  <c r="B256" i="34"/>
  <c r="A256" i="34"/>
  <c r="J255" i="34"/>
  <c r="I255" i="34"/>
  <c r="G255" i="34"/>
  <c r="F255" i="34"/>
  <c r="E255" i="34"/>
  <c r="D255" i="34"/>
  <c r="C255" i="34"/>
  <c r="B255" i="34"/>
  <c r="A255" i="34"/>
  <c r="J254" i="34"/>
  <c r="I254" i="34"/>
  <c r="G254" i="34"/>
  <c r="F254" i="34"/>
  <c r="E254" i="34"/>
  <c r="D254" i="34"/>
  <c r="C254" i="34"/>
  <c r="B254" i="34"/>
  <c r="A254" i="34"/>
  <c r="J253" i="34"/>
  <c r="I253" i="34"/>
  <c r="G253" i="34"/>
  <c r="F253" i="34"/>
  <c r="E253" i="34"/>
  <c r="D253" i="34"/>
  <c r="C253" i="34"/>
  <c r="B253" i="34"/>
  <c r="A253" i="34"/>
  <c r="J252" i="34"/>
  <c r="I252" i="34"/>
  <c r="G252" i="34"/>
  <c r="F252" i="34"/>
  <c r="E252" i="34"/>
  <c r="D252" i="34"/>
  <c r="C252" i="34"/>
  <c r="B252" i="34"/>
  <c r="A252" i="34"/>
  <c r="J251" i="34"/>
  <c r="I251" i="34"/>
  <c r="G251" i="34"/>
  <c r="F251" i="34"/>
  <c r="E251" i="34"/>
  <c r="D251" i="34"/>
  <c r="C251" i="34"/>
  <c r="B251" i="34"/>
  <c r="A251" i="34"/>
  <c r="J250" i="34"/>
  <c r="I250" i="34"/>
  <c r="G250" i="34"/>
  <c r="F250" i="34"/>
  <c r="E250" i="34"/>
  <c r="D250" i="34"/>
  <c r="C250" i="34"/>
  <c r="B250" i="34"/>
  <c r="A250" i="34"/>
  <c r="J249" i="34"/>
  <c r="I249" i="34"/>
  <c r="G249" i="34"/>
  <c r="F249" i="34"/>
  <c r="E249" i="34"/>
  <c r="D249" i="34"/>
  <c r="C249" i="34"/>
  <c r="B249" i="34"/>
  <c r="A249" i="34"/>
  <c r="J248" i="34"/>
  <c r="I248" i="34"/>
  <c r="G248" i="34"/>
  <c r="F248" i="34"/>
  <c r="E248" i="34"/>
  <c r="D248" i="34"/>
  <c r="C248" i="34"/>
  <c r="B248" i="34"/>
  <c r="A248" i="34"/>
  <c r="J247" i="34"/>
  <c r="I247" i="34"/>
  <c r="G247" i="34"/>
  <c r="F247" i="34"/>
  <c r="E247" i="34"/>
  <c r="D247" i="34"/>
  <c r="C247" i="34"/>
  <c r="B247" i="34"/>
  <c r="A247" i="34"/>
  <c r="J246" i="34"/>
  <c r="I246" i="34"/>
  <c r="G246" i="34"/>
  <c r="F246" i="34"/>
  <c r="E246" i="34"/>
  <c r="D246" i="34"/>
  <c r="C246" i="34"/>
  <c r="B246" i="34"/>
  <c r="A246" i="34"/>
  <c r="J245" i="34"/>
  <c r="I245" i="34"/>
  <c r="G245" i="34"/>
  <c r="F245" i="34"/>
  <c r="E245" i="34"/>
  <c r="D245" i="34"/>
  <c r="C245" i="34"/>
  <c r="B245" i="34"/>
  <c r="A245" i="34"/>
  <c r="J244" i="34"/>
  <c r="I244" i="34"/>
  <c r="G244" i="34"/>
  <c r="F244" i="34"/>
  <c r="E244" i="34"/>
  <c r="D244" i="34"/>
  <c r="C244" i="34"/>
  <c r="B244" i="34"/>
  <c r="A244" i="34"/>
  <c r="J243" i="34"/>
  <c r="I243" i="34"/>
  <c r="G243" i="34"/>
  <c r="F243" i="34"/>
  <c r="E243" i="34"/>
  <c r="D243" i="34"/>
  <c r="C243" i="34"/>
  <c r="B243" i="34"/>
  <c r="A243" i="34"/>
  <c r="J242" i="34"/>
  <c r="I242" i="34"/>
  <c r="G242" i="34"/>
  <c r="F242" i="34"/>
  <c r="E242" i="34"/>
  <c r="D242" i="34"/>
  <c r="C242" i="34"/>
  <c r="B242" i="34"/>
  <c r="A242" i="34"/>
  <c r="J241" i="34"/>
  <c r="I241" i="34"/>
  <c r="G241" i="34"/>
  <c r="F241" i="34"/>
  <c r="E241" i="34"/>
  <c r="D241" i="34"/>
  <c r="C241" i="34"/>
  <c r="B241" i="34"/>
  <c r="A241" i="34"/>
  <c r="J240" i="34"/>
  <c r="I240" i="34"/>
  <c r="G240" i="34"/>
  <c r="F240" i="34"/>
  <c r="E240" i="34"/>
  <c r="D240" i="34"/>
  <c r="C240" i="34"/>
  <c r="B240" i="34"/>
  <c r="A240" i="34"/>
  <c r="J239" i="34"/>
  <c r="I239" i="34"/>
  <c r="G239" i="34"/>
  <c r="F239" i="34"/>
  <c r="E239" i="34"/>
  <c r="D239" i="34"/>
  <c r="C239" i="34"/>
  <c r="B239" i="34"/>
  <c r="A239" i="34"/>
  <c r="J238" i="34"/>
  <c r="I238" i="34"/>
  <c r="G238" i="34"/>
  <c r="F238" i="34"/>
  <c r="E238" i="34"/>
  <c r="D238" i="34"/>
  <c r="C238" i="34"/>
  <c r="B238" i="34"/>
  <c r="A238" i="34"/>
  <c r="J237" i="34"/>
  <c r="I237" i="34"/>
  <c r="G237" i="34"/>
  <c r="F237" i="34"/>
  <c r="E237" i="34"/>
  <c r="D237" i="34"/>
  <c r="C237" i="34"/>
  <c r="B237" i="34"/>
  <c r="A237" i="34"/>
  <c r="J236" i="34"/>
  <c r="I236" i="34"/>
  <c r="G236" i="34"/>
  <c r="F236" i="34"/>
  <c r="E236" i="34"/>
  <c r="D236" i="34"/>
  <c r="C236" i="34"/>
  <c r="B236" i="34"/>
  <c r="A236" i="34"/>
  <c r="J235" i="34"/>
  <c r="I235" i="34"/>
  <c r="G235" i="34"/>
  <c r="F235" i="34"/>
  <c r="E235" i="34"/>
  <c r="D235" i="34"/>
  <c r="C235" i="34"/>
  <c r="B235" i="34"/>
  <c r="A235" i="34"/>
  <c r="J234" i="34"/>
  <c r="I234" i="34"/>
  <c r="G234" i="34"/>
  <c r="F234" i="34"/>
  <c r="E234" i="34"/>
  <c r="D234" i="34"/>
  <c r="C234" i="34"/>
  <c r="B234" i="34"/>
  <c r="A234" i="34"/>
  <c r="J233" i="34"/>
  <c r="I233" i="34"/>
  <c r="G233" i="34"/>
  <c r="F233" i="34"/>
  <c r="E233" i="34"/>
  <c r="D233" i="34"/>
  <c r="C233" i="34"/>
  <c r="B233" i="34"/>
  <c r="A233" i="34"/>
  <c r="J232" i="34"/>
  <c r="I232" i="34"/>
  <c r="G232" i="34"/>
  <c r="F232" i="34"/>
  <c r="E232" i="34"/>
  <c r="D232" i="34"/>
  <c r="C232" i="34"/>
  <c r="B232" i="34"/>
  <c r="A232" i="34"/>
  <c r="J231" i="34"/>
  <c r="I231" i="34"/>
  <c r="G231" i="34"/>
  <c r="F231" i="34"/>
  <c r="E231" i="34"/>
  <c r="D231" i="34"/>
  <c r="C231" i="34"/>
  <c r="B231" i="34"/>
  <c r="A231" i="34"/>
  <c r="J230" i="34"/>
  <c r="I230" i="34"/>
  <c r="G230" i="34"/>
  <c r="F230" i="34"/>
  <c r="E230" i="34"/>
  <c r="D230" i="34"/>
  <c r="C230" i="34"/>
  <c r="B230" i="34"/>
  <c r="A230" i="34"/>
  <c r="J229" i="34"/>
  <c r="I229" i="34"/>
  <c r="G229" i="34"/>
  <c r="F229" i="34"/>
  <c r="E229" i="34"/>
  <c r="D229" i="34"/>
  <c r="C229" i="34"/>
  <c r="B229" i="34"/>
  <c r="A229" i="34"/>
  <c r="J228" i="34"/>
  <c r="I228" i="34"/>
  <c r="G228" i="34"/>
  <c r="F228" i="34"/>
  <c r="E228" i="34"/>
  <c r="D228" i="34"/>
  <c r="C228" i="34"/>
  <c r="B228" i="34"/>
  <c r="A228" i="34"/>
  <c r="J227" i="34"/>
  <c r="I227" i="34"/>
  <c r="G227" i="34"/>
  <c r="F227" i="34"/>
  <c r="E227" i="34"/>
  <c r="D227" i="34"/>
  <c r="C227" i="34"/>
  <c r="B227" i="34"/>
  <c r="A227" i="34"/>
  <c r="J226" i="34"/>
  <c r="I226" i="34"/>
  <c r="G226" i="34"/>
  <c r="F226" i="34"/>
  <c r="E226" i="34"/>
  <c r="D226" i="34"/>
  <c r="C226" i="34"/>
  <c r="B226" i="34"/>
  <c r="A226" i="34"/>
  <c r="J225" i="34"/>
  <c r="I225" i="34"/>
  <c r="G225" i="34"/>
  <c r="F225" i="34"/>
  <c r="E225" i="34"/>
  <c r="D225" i="34"/>
  <c r="C225" i="34"/>
  <c r="B225" i="34"/>
  <c r="A225" i="34"/>
  <c r="J224" i="34"/>
  <c r="I224" i="34"/>
  <c r="G224" i="34"/>
  <c r="F224" i="34"/>
  <c r="E224" i="34"/>
  <c r="D224" i="34"/>
  <c r="C224" i="34"/>
  <c r="B224" i="34"/>
  <c r="A224" i="34"/>
  <c r="J223" i="34"/>
  <c r="I223" i="34"/>
  <c r="G223" i="34"/>
  <c r="F223" i="34"/>
  <c r="E223" i="34"/>
  <c r="D223" i="34"/>
  <c r="C223" i="34"/>
  <c r="B223" i="34"/>
  <c r="A223" i="34"/>
  <c r="J222" i="34"/>
  <c r="I222" i="34"/>
  <c r="G222" i="34"/>
  <c r="F222" i="34"/>
  <c r="E222" i="34"/>
  <c r="D222" i="34"/>
  <c r="C222" i="34"/>
  <c r="B222" i="34"/>
  <c r="A222" i="34"/>
  <c r="J221" i="34"/>
  <c r="I221" i="34"/>
  <c r="G221" i="34"/>
  <c r="F221" i="34"/>
  <c r="E221" i="34"/>
  <c r="D221" i="34"/>
  <c r="C221" i="34"/>
  <c r="B221" i="34"/>
  <c r="A221" i="34"/>
  <c r="J220" i="34"/>
  <c r="I220" i="34"/>
  <c r="G220" i="34"/>
  <c r="F220" i="34"/>
  <c r="E220" i="34"/>
  <c r="D220" i="34"/>
  <c r="C220" i="34"/>
  <c r="B220" i="34"/>
  <c r="A220" i="34"/>
  <c r="J219" i="34"/>
  <c r="I219" i="34"/>
  <c r="G219" i="34"/>
  <c r="F219" i="34"/>
  <c r="E219" i="34"/>
  <c r="D219" i="34"/>
  <c r="C219" i="34"/>
  <c r="B219" i="34"/>
  <c r="A219" i="34"/>
  <c r="J218" i="34"/>
  <c r="I218" i="34"/>
  <c r="G218" i="34"/>
  <c r="F218" i="34"/>
  <c r="E218" i="34"/>
  <c r="D218" i="34"/>
  <c r="C218" i="34"/>
  <c r="B218" i="34"/>
  <c r="A218" i="34"/>
  <c r="J217" i="34"/>
  <c r="I217" i="34"/>
  <c r="G217" i="34"/>
  <c r="F217" i="34"/>
  <c r="E217" i="34"/>
  <c r="D217" i="34"/>
  <c r="C217" i="34"/>
  <c r="B217" i="34"/>
  <c r="A217" i="34"/>
  <c r="J216" i="34"/>
  <c r="I216" i="34"/>
  <c r="G216" i="34"/>
  <c r="F216" i="34"/>
  <c r="E216" i="34"/>
  <c r="D216" i="34"/>
  <c r="C216" i="34"/>
  <c r="B216" i="34"/>
  <c r="A216" i="34"/>
  <c r="J215" i="34"/>
  <c r="I215" i="34"/>
  <c r="G215" i="34"/>
  <c r="F215" i="34"/>
  <c r="E215" i="34"/>
  <c r="D215" i="34"/>
  <c r="C215" i="34"/>
  <c r="B215" i="34"/>
  <c r="A215" i="34"/>
  <c r="J214" i="34"/>
  <c r="I214" i="34"/>
  <c r="G214" i="34"/>
  <c r="F214" i="34"/>
  <c r="E214" i="34"/>
  <c r="D214" i="34"/>
  <c r="C214" i="34"/>
  <c r="B214" i="34"/>
  <c r="A214" i="34"/>
  <c r="J213" i="34"/>
  <c r="I213" i="34"/>
  <c r="G213" i="34"/>
  <c r="F213" i="34"/>
  <c r="E213" i="34"/>
  <c r="D213" i="34"/>
  <c r="C213" i="34"/>
  <c r="B213" i="34"/>
  <c r="A213" i="34"/>
  <c r="J212" i="34"/>
  <c r="I212" i="34"/>
  <c r="G212" i="34"/>
  <c r="F212" i="34"/>
  <c r="E212" i="34"/>
  <c r="D212" i="34"/>
  <c r="C212" i="34"/>
  <c r="B212" i="34"/>
  <c r="A212" i="34"/>
  <c r="J211" i="34"/>
  <c r="I211" i="34"/>
  <c r="G211" i="34"/>
  <c r="F211" i="34"/>
  <c r="E211" i="34"/>
  <c r="D211" i="34"/>
  <c r="C211" i="34"/>
  <c r="B211" i="34"/>
  <c r="A211" i="34"/>
  <c r="J210" i="34"/>
  <c r="I210" i="34"/>
  <c r="G210" i="34"/>
  <c r="F210" i="34"/>
  <c r="E210" i="34"/>
  <c r="D210" i="34"/>
  <c r="C210" i="34"/>
  <c r="B210" i="34"/>
  <c r="A210" i="34"/>
  <c r="J209" i="34"/>
  <c r="I209" i="34"/>
  <c r="G209" i="34"/>
  <c r="F209" i="34"/>
  <c r="E209" i="34"/>
  <c r="D209" i="34"/>
  <c r="C209" i="34"/>
  <c r="B209" i="34"/>
  <c r="A209" i="34"/>
  <c r="J208" i="34"/>
  <c r="I208" i="34"/>
  <c r="G208" i="34"/>
  <c r="F208" i="34"/>
  <c r="E208" i="34"/>
  <c r="D208" i="34"/>
  <c r="C208" i="34"/>
  <c r="B208" i="34"/>
  <c r="A208" i="34"/>
  <c r="J207" i="34"/>
  <c r="I207" i="34"/>
  <c r="G207" i="34"/>
  <c r="F207" i="34"/>
  <c r="E207" i="34"/>
  <c r="D207" i="34"/>
  <c r="C207" i="34"/>
  <c r="B207" i="34"/>
  <c r="A207" i="34"/>
  <c r="J206" i="34"/>
  <c r="I206" i="34"/>
  <c r="G206" i="34"/>
  <c r="F206" i="34"/>
  <c r="E206" i="34"/>
  <c r="D206" i="34"/>
  <c r="C206" i="34"/>
  <c r="B206" i="34"/>
  <c r="A206" i="34"/>
  <c r="J205" i="34"/>
  <c r="I205" i="34"/>
  <c r="G205" i="34"/>
  <c r="F205" i="34"/>
  <c r="E205" i="34"/>
  <c r="D205" i="34"/>
  <c r="C205" i="34"/>
  <c r="B205" i="34"/>
  <c r="A205" i="34"/>
  <c r="J204" i="34"/>
  <c r="I204" i="34"/>
  <c r="G204" i="34"/>
  <c r="F204" i="34"/>
  <c r="E204" i="34"/>
  <c r="D204" i="34"/>
  <c r="C204" i="34"/>
  <c r="B204" i="34"/>
  <c r="A204" i="34"/>
  <c r="J203" i="34"/>
  <c r="I203" i="34"/>
  <c r="G203" i="34"/>
  <c r="F203" i="34"/>
  <c r="E203" i="34"/>
  <c r="D203" i="34"/>
  <c r="C203" i="34"/>
  <c r="B203" i="34"/>
  <c r="A203" i="34"/>
  <c r="J202" i="34"/>
  <c r="I202" i="34"/>
  <c r="G202" i="34"/>
  <c r="F202" i="34"/>
  <c r="E202" i="34"/>
  <c r="D202" i="34"/>
  <c r="C202" i="34"/>
  <c r="B202" i="34"/>
  <c r="A202" i="34"/>
  <c r="J201" i="34"/>
  <c r="I201" i="34"/>
  <c r="G201" i="34"/>
  <c r="F201" i="34"/>
  <c r="E201" i="34"/>
  <c r="D201" i="34"/>
  <c r="C201" i="34"/>
  <c r="B201" i="34"/>
  <c r="A201" i="34"/>
  <c r="J200" i="34"/>
  <c r="I200" i="34"/>
  <c r="G200" i="34"/>
  <c r="F200" i="34"/>
  <c r="E200" i="34"/>
  <c r="D200" i="34"/>
  <c r="C200" i="34"/>
  <c r="B200" i="34"/>
  <c r="A200" i="34"/>
  <c r="J199" i="34"/>
  <c r="I199" i="34"/>
  <c r="G199" i="34"/>
  <c r="F199" i="34"/>
  <c r="E199" i="34"/>
  <c r="D199" i="34"/>
  <c r="C199" i="34"/>
  <c r="B199" i="34"/>
  <c r="A199" i="34"/>
  <c r="J198" i="34"/>
  <c r="I198" i="34"/>
  <c r="G198" i="34"/>
  <c r="F198" i="34"/>
  <c r="E198" i="34"/>
  <c r="D198" i="34"/>
  <c r="C198" i="34"/>
  <c r="B198" i="34"/>
  <c r="A198" i="34"/>
  <c r="J197" i="34"/>
  <c r="I197" i="34"/>
  <c r="G197" i="34"/>
  <c r="F197" i="34"/>
  <c r="E197" i="34"/>
  <c r="D197" i="34"/>
  <c r="C197" i="34"/>
  <c r="B197" i="34"/>
  <c r="A197" i="34"/>
  <c r="J196" i="34"/>
  <c r="I196" i="34"/>
  <c r="G196" i="34"/>
  <c r="F196" i="34"/>
  <c r="E196" i="34"/>
  <c r="D196" i="34"/>
  <c r="C196" i="34"/>
  <c r="B196" i="34"/>
  <c r="A196" i="34"/>
  <c r="J195" i="34"/>
  <c r="I195" i="34"/>
  <c r="G195" i="34"/>
  <c r="F195" i="34"/>
  <c r="E195" i="34"/>
  <c r="D195" i="34"/>
  <c r="C195" i="34"/>
  <c r="B195" i="34"/>
  <c r="A195" i="34"/>
  <c r="J194" i="34"/>
  <c r="I194" i="34"/>
  <c r="G194" i="34"/>
  <c r="F194" i="34"/>
  <c r="E194" i="34"/>
  <c r="D194" i="34"/>
  <c r="C194" i="34"/>
  <c r="B194" i="34"/>
  <c r="A194" i="34"/>
  <c r="J193" i="34"/>
  <c r="I193" i="34"/>
  <c r="G193" i="34"/>
  <c r="F193" i="34"/>
  <c r="E193" i="34"/>
  <c r="D193" i="34"/>
  <c r="C193" i="34"/>
  <c r="B193" i="34"/>
  <c r="A193" i="34"/>
  <c r="J192" i="34"/>
  <c r="I192" i="34"/>
  <c r="G192" i="34"/>
  <c r="F192" i="34"/>
  <c r="E192" i="34"/>
  <c r="D192" i="34"/>
  <c r="C192" i="34"/>
  <c r="B192" i="34"/>
  <c r="A192" i="34"/>
  <c r="J191" i="34"/>
  <c r="I191" i="34"/>
  <c r="G191" i="34"/>
  <c r="F191" i="34"/>
  <c r="E191" i="34"/>
  <c r="D191" i="34"/>
  <c r="C191" i="34"/>
  <c r="B191" i="34"/>
  <c r="A191" i="34"/>
  <c r="J190" i="34"/>
  <c r="I190" i="34"/>
  <c r="G190" i="34"/>
  <c r="F190" i="34"/>
  <c r="E190" i="34"/>
  <c r="D190" i="34"/>
  <c r="C190" i="34"/>
  <c r="B190" i="34"/>
  <c r="A190" i="34"/>
  <c r="J189" i="34"/>
  <c r="I189" i="34"/>
  <c r="G189" i="34"/>
  <c r="F189" i="34"/>
  <c r="E189" i="34"/>
  <c r="D189" i="34"/>
  <c r="C189" i="34"/>
  <c r="B189" i="34"/>
  <c r="A189" i="34"/>
  <c r="J188" i="34"/>
  <c r="I188" i="34"/>
  <c r="G188" i="34"/>
  <c r="F188" i="34"/>
  <c r="E188" i="34"/>
  <c r="D188" i="34"/>
  <c r="C188" i="34"/>
  <c r="B188" i="34"/>
  <c r="A188" i="34"/>
  <c r="J187" i="34"/>
  <c r="I187" i="34"/>
  <c r="G187" i="34"/>
  <c r="F187" i="34"/>
  <c r="E187" i="34"/>
  <c r="D187" i="34"/>
  <c r="C187" i="34"/>
  <c r="B187" i="34"/>
  <c r="A187" i="34"/>
  <c r="J186" i="34"/>
  <c r="I186" i="34"/>
  <c r="G186" i="34"/>
  <c r="F186" i="34"/>
  <c r="E186" i="34"/>
  <c r="D186" i="34"/>
  <c r="C186" i="34"/>
  <c r="B186" i="34"/>
  <c r="A186" i="34"/>
  <c r="J185" i="34"/>
  <c r="I185" i="34"/>
  <c r="G185" i="34"/>
  <c r="F185" i="34"/>
  <c r="E185" i="34"/>
  <c r="D185" i="34"/>
  <c r="C185" i="34"/>
  <c r="B185" i="34"/>
  <c r="A185" i="34"/>
  <c r="J184" i="34"/>
  <c r="I184" i="34"/>
  <c r="G184" i="34"/>
  <c r="F184" i="34"/>
  <c r="E184" i="34"/>
  <c r="D184" i="34"/>
  <c r="C184" i="34"/>
  <c r="B184" i="34"/>
  <c r="A184" i="34"/>
  <c r="J183" i="34"/>
  <c r="I183" i="34"/>
  <c r="G183" i="34"/>
  <c r="F183" i="34"/>
  <c r="E183" i="34"/>
  <c r="D183" i="34"/>
  <c r="C183" i="34"/>
  <c r="B183" i="34"/>
  <c r="A183" i="34"/>
  <c r="J182" i="34"/>
  <c r="I182" i="34"/>
  <c r="G182" i="34"/>
  <c r="F182" i="34"/>
  <c r="E182" i="34"/>
  <c r="D182" i="34"/>
  <c r="C182" i="34"/>
  <c r="B182" i="34"/>
  <c r="A182" i="34"/>
  <c r="J181" i="34"/>
  <c r="I181" i="34"/>
  <c r="G181" i="34"/>
  <c r="F181" i="34"/>
  <c r="E181" i="34"/>
  <c r="D181" i="34"/>
  <c r="C181" i="34"/>
  <c r="B181" i="34"/>
  <c r="A181" i="34"/>
  <c r="J180" i="34"/>
  <c r="I180" i="34"/>
  <c r="G180" i="34"/>
  <c r="F180" i="34"/>
  <c r="E180" i="34"/>
  <c r="D180" i="34"/>
  <c r="C180" i="34"/>
  <c r="B180" i="34"/>
  <c r="A180" i="34"/>
  <c r="J179" i="34"/>
  <c r="I179" i="34"/>
  <c r="G179" i="34"/>
  <c r="F179" i="34"/>
  <c r="E179" i="34"/>
  <c r="D179" i="34"/>
  <c r="C179" i="34"/>
  <c r="B179" i="34"/>
  <c r="A179" i="34"/>
  <c r="J178" i="34"/>
  <c r="I178" i="34"/>
  <c r="G178" i="34"/>
  <c r="F178" i="34"/>
  <c r="E178" i="34"/>
  <c r="D178" i="34"/>
  <c r="C178" i="34"/>
  <c r="B178" i="34"/>
  <c r="A178" i="34"/>
  <c r="J177" i="34"/>
  <c r="I177" i="34"/>
  <c r="G177" i="34"/>
  <c r="F177" i="34"/>
  <c r="E177" i="34"/>
  <c r="D177" i="34"/>
  <c r="C177" i="34"/>
  <c r="B177" i="34"/>
  <c r="A177" i="34"/>
  <c r="J176" i="34"/>
  <c r="I176" i="34"/>
  <c r="G176" i="34"/>
  <c r="F176" i="34"/>
  <c r="E176" i="34"/>
  <c r="D176" i="34"/>
  <c r="C176" i="34"/>
  <c r="B176" i="34"/>
  <c r="A176" i="34"/>
  <c r="J175" i="34"/>
  <c r="I175" i="34"/>
  <c r="G175" i="34"/>
  <c r="F175" i="34"/>
  <c r="E175" i="34"/>
  <c r="D175" i="34"/>
  <c r="C175" i="34"/>
  <c r="B175" i="34"/>
  <c r="A175" i="34"/>
  <c r="J174" i="34"/>
  <c r="I174" i="34"/>
  <c r="G174" i="34"/>
  <c r="F174" i="34"/>
  <c r="E174" i="34"/>
  <c r="D174" i="34"/>
  <c r="C174" i="34"/>
  <c r="B174" i="34"/>
  <c r="A174" i="34"/>
  <c r="J173" i="34"/>
  <c r="I173" i="34"/>
  <c r="G173" i="34"/>
  <c r="F173" i="34"/>
  <c r="E173" i="34"/>
  <c r="D173" i="34"/>
  <c r="C173" i="34"/>
  <c r="B173" i="34"/>
  <c r="A173" i="34"/>
  <c r="J172" i="34"/>
  <c r="I172" i="34"/>
  <c r="G172" i="34"/>
  <c r="F172" i="34"/>
  <c r="E172" i="34"/>
  <c r="D172" i="34"/>
  <c r="C172" i="34"/>
  <c r="B172" i="34"/>
  <c r="A172" i="34"/>
  <c r="J171" i="34"/>
  <c r="I171" i="34"/>
  <c r="G171" i="34"/>
  <c r="F171" i="34"/>
  <c r="E171" i="34"/>
  <c r="D171" i="34"/>
  <c r="C171" i="34"/>
  <c r="B171" i="34"/>
  <c r="A171" i="34"/>
  <c r="J170" i="34"/>
  <c r="I170" i="34"/>
  <c r="G170" i="34"/>
  <c r="F170" i="34"/>
  <c r="E170" i="34"/>
  <c r="D170" i="34"/>
  <c r="C170" i="34"/>
  <c r="B170" i="34"/>
  <c r="A170" i="34"/>
  <c r="J169" i="34"/>
  <c r="I169" i="34"/>
  <c r="G169" i="34"/>
  <c r="F169" i="34"/>
  <c r="E169" i="34"/>
  <c r="D169" i="34"/>
  <c r="C169" i="34"/>
  <c r="B169" i="34"/>
  <c r="A169" i="34"/>
  <c r="J168" i="34"/>
  <c r="I168" i="34"/>
  <c r="G168" i="34"/>
  <c r="F168" i="34"/>
  <c r="E168" i="34"/>
  <c r="D168" i="34"/>
  <c r="C168" i="34"/>
  <c r="B168" i="34"/>
  <c r="A168" i="34"/>
  <c r="J167" i="34"/>
  <c r="I167" i="34"/>
  <c r="G167" i="34"/>
  <c r="F167" i="34"/>
  <c r="E167" i="34"/>
  <c r="D167" i="34"/>
  <c r="C167" i="34"/>
  <c r="B167" i="34"/>
  <c r="A167" i="34"/>
  <c r="J166" i="34"/>
  <c r="I166" i="34"/>
  <c r="G166" i="34"/>
  <c r="F166" i="34"/>
  <c r="E166" i="34"/>
  <c r="D166" i="34"/>
  <c r="C166" i="34"/>
  <c r="B166" i="34"/>
  <c r="A166" i="34"/>
  <c r="J165" i="34"/>
  <c r="I165" i="34"/>
  <c r="G165" i="34"/>
  <c r="F165" i="34"/>
  <c r="E165" i="34"/>
  <c r="D165" i="34"/>
  <c r="C165" i="34"/>
  <c r="B165" i="34"/>
  <c r="A165" i="34"/>
  <c r="J164" i="34"/>
  <c r="I164" i="34"/>
  <c r="G164" i="34"/>
  <c r="F164" i="34"/>
  <c r="E164" i="34"/>
  <c r="D164" i="34"/>
  <c r="C164" i="34"/>
  <c r="B164" i="34"/>
  <c r="A164" i="34"/>
  <c r="J163" i="34"/>
  <c r="I163" i="34"/>
  <c r="G163" i="34"/>
  <c r="F163" i="34"/>
  <c r="E163" i="34"/>
  <c r="D163" i="34"/>
  <c r="C163" i="34"/>
  <c r="B163" i="34"/>
  <c r="A163" i="34"/>
  <c r="J162" i="34"/>
  <c r="I162" i="34"/>
  <c r="G162" i="34"/>
  <c r="F162" i="34"/>
  <c r="E162" i="34"/>
  <c r="D162" i="34"/>
  <c r="C162" i="34"/>
  <c r="B162" i="34"/>
  <c r="A162" i="34"/>
  <c r="J161" i="34"/>
  <c r="I161" i="34"/>
  <c r="G161" i="34"/>
  <c r="F161" i="34"/>
  <c r="E161" i="34"/>
  <c r="D161" i="34"/>
  <c r="C161" i="34"/>
  <c r="B161" i="34"/>
  <c r="A161" i="34"/>
  <c r="J160" i="34"/>
  <c r="I160" i="34"/>
  <c r="G160" i="34"/>
  <c r="F160" i="34"/>
  <c r="E160" i="34"/>
  <c r="D160" i="34"/>
  <c r="C160" i="34"/>
  <c r="B160" i="34"/>
  <c r="A160" i="34"/>
  <c r="J159" i="34"/>
  <c r="I159" i="34"/>
  <c r="G159" i="34"/>
  <c r="F159" i="34"/>
  <c r="E159" i="34"/>
  <c r="D159" i="34"/>
  <c r="C159" i="34"/>
  <c r="B159" i="34"/>
  <c r="A159" i="34"/>
  <c r="J158" i="34"/>
  <c r="I158" i="34"/>
  <c r="G158" i="34"/>
  <c r="F158" i="34"/>
  <c r="E158" i="34"/>
  <c r="D158" i="34"/>
  <c r="C158" i="34"/>
  <c r="B158" i="34"/>
  <c r="A158" i="34"/>
  <c r="J157" i="34"/>
  <c r="I157" i="34"/>
  <c r="G157" i="34"/>
  <c r="F157" i="34"/>
  <c r="E157" i="34"/>
  <c r="D157" i="34"/>
  <c r="C157" i="34"/>
  <c r="B157" i="34"/>
  <c r="A157" i="34"/>
  <c r="J156" i="34"/>
  <c r="I156" i="34"/>
  <c r="G156" i="34"/>
  <c r="F156" i="34"/>
  <c r="E156" i="34"/>
  <c r="D156" i="34"/>
  <c r="C156" i="34"/>
  <c r="B156" i="34"/>
  <c r="A156" i="34"/>
  <c r="J155" i="34"/>
  <c r="I155" i="34"/>
  <c r="G155" i="34"/>
  <c r="F155" i="34"/>
  <c r="E155" i="34"/>
  <c r="D155" i="34"/>
  <c r="C155" i="34"/>
  <c r="B155" i="34"/>
  <c r="A155" i="34"/>
  <c r="J154" i="34"/>
  <c r="I154" i="34"/>
  <c r="G154" i="34"/>
  <c r="F154" i="34"/>
  <c r="E154" i="34"/>
  <c r="D154" i="34"/>
  <c r="C154" i="34"/>
  <c r="B154" i="34"/>
  <c r="A154" i="34"/>
  <c r="J153" i="34"/>
  <c r="I153" i="34"/>
  <c r="G153" i="34"/>
  <c r="F153" i="34"/>
  <c r="E153" i="34"/>
  <c r="D153" i="34"/>
  <c r="C153" i="34"/>
  <c r="B153" i="34"/>
  <c r="A153" i="34"/>
  <c r="J152" i="34"/>
  <c r="I152" i="34"/>
  <c r="G152" i="34"/>
  <c r="F152" i="34"/>
  <c r="E152" i="34"/>
  <c r="D152" i="34"/>
  <c r="C152" i="34"/>
  <c r="B152" i="34"/>
  <c r="A152" i="34"/>
  <c r="J151" i="34"/>
  <c r="I151" i="34"/>
  <c r="G151" i="34"/>
  <c r="F151" i="34"/>
  <c r="E151" i="34"/>
  <c r="D151" i="34"/>
  <c r="C151" i="34"/>
  <c r="B151" i="34"/>
  <c r="A151" i="34"/>
  <c r="J150" i="34"/>
  <c r="I150" i="34"/>
  <c r="G150" i="34"/>
  <c r="F150" i="34"/>
  <c r="E150" i="34"/>
  <c r="D150" i="34"/>
  <c r="C150" i="34"/>
  <c r="B150" i="34"/>
  <c r="A150" i="34"/>
  <c r="J149" i="34"/>
  <c r="I149" i="34"/>
  <c r="G149" i="34"/>
  <c r="F149" i="34"/>
  <c r="E149" i="34"/>
  <c r="D149" i="34"/>
  <c r="C149" i="34"/>
  <c r="B149" i="34"/>
  <c r="A149" i="34"/>
  <c r="J148" i="34"/>
  <c r="I148" i="34"/>
  <c r="G148" i="34"/>
  <c r="F148" i="34"/>
  <c r="E148" i="34"/>
  <c r="D148" i="34"/>
  <c r="C148" i="34"/>
  <c r="B148" i="34"/>
  <c r="A148" i="34"/>
  <c r="J147" i="34"/>
  <c r="I147" i="34"/>
  <c r="G147" i="34"/>
  <c r="F147" i="34"/>
  <c r="E147" i="34"/>
  <c r="D147" i="34"/>
  <c r="C147" i="34"/>
  <c r="B147" i="34"/>
  <c r="A147" i="34"/>
  <c r="J146" i="34"/>
  <c r="I146" i="34"/>
  <c r="G146" i="34"/>
  <c r="F146" i="34"/>
  <c r="E146" i="34"/>
  <c r="D146" i="34"/>
  <c r="C146" i="34"/>
  <c r="B146" i="34"/>
  <c r="A146" i="34"/>
  <c r="J145" i="34"/>
  <c r="I145" i="34"/>
  <c r="G145" i="34"/>
  <c r="F145" i="34"/>
  <c r="E145" i="34"/>
  <c r="D145" i="34"/>
  <c r="C145" i="34"/>
  <c r="B145" i="34"/>
  <c r="A145" i="34"/>
  <c r="J144" i="34"/>
  <c r="I144" i="34"/>
  <c r="G144" i="34"/>
  <c r="F144" i="34"/>
  <c r="E144" i="34"/>
  <c r="D144" i="34"/>
  <c r="C144" i="34"/>
  <c r="B144" i="34"/>
  <c r="A144" i="34"/>
  <c r="J143" i="34"/>
  <c r="I143" i="34"/>
  <c r="G143" i="34"/>
  <c r="F143" i="34"/>
  <c r="E143" i="34"/>
  <c r="D143" i="34"/>
  <c r="C143" i="34"/>
  <c r="B143" i="34"/>
  <c r="A143" i="34"/>
  <c r="J142" i="34"/>
  <c r="I142" i="34"/>
  <c r="G142" i="34"/>
  <c r="F142" i="34"/>
  <c r="E142" i="34"/>
  <c r="D142" i="34"/>
  <c r="C142" i="34"/>
  <c r="B142" i="34"/>
  <c r="A142" i="34"/>
  <c r="J141" i="34"/>
  <c r="I141" i="34"/>
  <c r="G141" i="34"/>
  <c r="F141" i="34"/>
  <c r="E141" i="34"/>
  <c r="D141" i="34"/>
  <c r="C141" i="34"/>
  <c r="B141" i="34"/>
  <c r="A141" i="34"/>
  <c r="J140" i="34"/>
  <c r="I140" i="34"/>
  <c r="G140" i="34"/>
  <c r="F140" i="34"/>
  <c r="E140" i="34"/>
  <c r="D140" i="34"/>
  <c r="C140" i="34"/>
  <c r="B140" i="34"/>
  <c r="A140" i="34"/>
  <c r="J139" i="34"/>
  <c r="I139" i="34"/>
  <c r="G139" i="34"/>
  <c r="F139" i="34"/>
  <c r="E139" i="34"/>
  <c r="D139" i="34"/>
  <c r="C139" i="34"/>
  <c r="B139" i="34"/>
  <c r="A139" i="34"/>
  <c r="J138" i="34"/>
  <c r="I138" i="34"/>
  <c r="G138" i="34"/>
  <c r="F138" i="34"/>
  <c r="E138" i="34"/>
  <c r="D138" i="34"/>
  <c r="C138" i="34"/>
  <c r="B138" i="34"/>
  <c r="A138" i="34"/>
  <c r="J137" i="34"/>
  <c r="I137" i="34"/>
  <c r="G137" i="34"/>
  <c r="F137" i="34"/>
  <c r="E137" i="34"/>
  <c r="D137" i="34"/>
  <c r="C137" i="34"/>
  <c r="B137" i="34"/>
  <c r="A137" i="34"/>
  <c r="J136" i="34"/>
  <c r="I136" i="34"/>
  <c r="G136" i="34"/>
  <c r="F136" i="34"/>
  <c r="E136" i="34"/>
  <c r="D136" i="34"/>
  <c r="C136" i="34"/>
  <c r="B136" i="34"/>
  <c r="A136" i="34"/>
  <c r="J135" i="34"/>
  <c r="I135" i="34"/>
  <c r="G135" i="34"/>
  <c r="F135" i="34"/>
  <c r="E135" i="34"/>
  <c r="D135" i="34"/>
  <c r="C135" i="34"/>
  <c r="B135" i="34"/>
  <c r="A135" i="34"/>
  <c r="J134" i="34"/>
  <c r="I134" i="34"/>
  <c r="G134" i="34"/>
  <c r="F134" i="34"/>
  <c r="E134" i="34"/>
  <c r="D134" i="34"/>
  <c r="C134" i="34"/>
  <c r="B134" i="34"/>
  <c r="A134" i="34"/>
  <c r="J133" i="34"/>
  <c r="I133" i="34"/>
  <c r="G133" i="34"/>
  <c r="F133" i="34"/>
  <c r="E133" i="34"/>
  <c r="D133" i="34"/>
  <c r="C133" i="34"/>
  <c r="B133" i="34"/>
  <c r="A133" i="34"/>
  <c r="J132" i="34"/>
  <c r="I132" i="34"/>
  <c r="G132" i="34"/>
  <c r="F132" i="34"/>
  <c r="E132" i="34"/>
  <c r="D132" i="34"/>
  <c r="C132" i="34"/>
  <c r="B132" i="34"/>
  <c r="A132" i="34"/>
  <c r="J131" i="34"/>
  <c r="I131" i="34"/>
  <c r="G131" i="34"/>
  <c r="F131" i="34"/>
  <c r="E131" i="34"/>
  <c r="D131" i="34"/>
  <c r="C131" i="34"/>
  <c r="B131" i="34"/>
  <c r="A131" i="34"/>
  <c r="J130" i="34"/>
  <c r="I130" i="34"/>
  <c r="G130" i="34"/>
  <c r="F130" i="34"/>
  <c r="E130" i="34"/>
  <c r="D130" i="34"/>
  <c r="C130" i="34"/>
  <c r="B130" i="34"/>
  <c r="A130" i="34"/>
  <c r="J129" i="34"/>
  <c r="I129" i="34"/>
  <c r="G129" i="34"/>
  <c r="F129" i="34"/>
  <c r="E129" i="34"/>
  <c r="D129" i="34"/>
  <c r="C129" i="34"/>
  <c r="B129" i="34"/>
  <c r="A129" i="34"/>
  <c r="J128" i="34"/>
  <c r="I128" i="34"/>
  <c r="G128" i="34"/>
  <c r="F128" i="34"/>
  <c r="E128" i="34"/>
  <c r="D128" i="34"/>
  <c r="C128" i="34"/>
  <c r="B128" i="34"/>
  <c r="A128" i="34"/>
  <c r="J127" i="34"/>
  <c r="I127" i="34"/>
  <c r="G127" i="34"/>
  <c r="F127" i="34"/>
  <c r="E127" i="34"/>
  <c r="D127" i="34"/>
  <c r="C127" i="34"/>
  <c r="B127" i="34"/>
  <c r="A127" i="34"/>
  <c r="J126" i="34"/>
  <c r="I126" i="34"/>
  <c r="G126" i="34"/>
  <c r="F126" i="34"/>
  <c r="E126" i="34"/>
  <c r="D126" i="34"/>
  <c r="C126" i="34"/>
  <c r="B126" i="34"/>
  <c r="A126" i="34"/>
  <c r="J125" i="34"/>
  <c r="I125" i="34"/>
  <c r="G125" i="34"/>
  <c r="F125" i="34"/>
  <c r="E125" i="34"/>
  <c r="D125" i="34"/>
  <c r="C125" i="34"/>
  <c r="B125" i="34"/>
  <c r="A125" i="34"/>
  <c r="J124" i="34"/>
  <c r="I124" i="34"/>
  <c r="G124" i="34"/>
  <c r="F124" i="34"/>
  <c r="E124" i="34"/>
  <c r="D124" i="34"/>
  <c r="C124" i="34"/>
  <c r="B124" i="34"/>
  <c r="A124" i="34"/>
  <c r="J123" i="34"/>
  <c r="I123" i="34"/>
  <c r="G123" i="34"/>
  <c r="F123" i="34"/>
  <c r="E123" i="34"/>
  <c r="D123" i="34"/>
  <c r="C123" i="34"/>
  <c r="B123" i="34"/>
  <c r="A123" i="34"/>
  <c r="J122" i="34"/>
  <c r="I122" i="34"/>
  <c r="G122" i="34"/>
  <c r="F122" i="34"/>
  <c r="E122" i="34"/>
  <c r="D122" i="34"/>
  <c r="C122" i="34"/>
  <c r="B122" i="34"/>
  <c r="A122" i="34"/>
  <c r="J121" i="34"/>
  <c r="I121" i="34"/>
  <c r="G121" i="34"/>
  <c r="F121" i="34"/>
  <c r="E121" i="34"/>
  <c r="D121" i="34"/>
  <c r="C121" i="34"/>
  <c r="B121" i="34"/>
  <c r="A121" i="34"/>
  <c r="J120" i="34"/>
  <c r="I120" i="34"/>
  <c r="G120" i="34"/>
  <c r="F120" i="34"/>
  <c r="E120" i="34"/>
  <c r="D120" i="34"/>
  <c r="C120" i="34"/>
  <c r="B120" i="34"/>
  <c r="A120" i="34"/>
  <c r="J119" i="34"/>
  <c r="I119" i="34"/>
  <c r="G119" i="34"/>
  <c r="F119" i="34"/>
  <c r="E119" i="34"/>
  <c r="D119" i="34"/>
  <c r="C119" i="34"/>
  <c r="B119" i="34"/>
  <c r="A119" i="34"/>
  <c r="J118" i="34"/>
  <c r="I118" i="34"/>
  <c r="G118" i="34"/>
  <c r="F118" i="34"/>
  <c r="E118" i="34"/>
  <c r="D118" i="34"/>
  <c r="C118" i="34"/>
  <c r="B118" i="34"/>
  <c r="A118" i="34"/>
  <c r="J117" i="34"/>
  <c r="I117" i="34"/>
  <c r="G117" i="34"/>
  <c r="F117" i="34"/>
  <c r="E117" i="34"/>
  <c r="D117" i="34"/>
  <c r="C117" i="34"/>
  <c r="B117" i="34"/>
  <c r="A117" i="34"/>
  <c r="J116" i="34"/>
  <c r="I116" i="34"/>
  <c r="G116" i="34"/>
  <c r="F116" i="34"/>
  <c r="E116" i="34"/>
  <c r="D116" i="34"/>
  <c r="C116" i="34"/>
  <c r="B116" i="34"/>
  <c r="A116" i="34"/>
  <c r="J115" i="34"/>
  <c r="I115" i="34"/>
  <c r="G115" i="34"/>
  <c r="F115" i="34"/>
  <c r="E115" i="34"/>
  <c r="D115" i="34"/>
  <c r="C115" i="34"/>
  <c r="B115" i="34"/>
  <c r="A115" i="34"/>
  <c r="J114" i="34"/>
  <c r="I114" i="34"/>
  <c r="G114" i="34"/>
  <c r="F114" i="34"/>
  <c r="E114" i="34"/>
  <c r="D114" i="34"/>
  <c r="C114" i="34"/>
  <c r="B114" i="34"/>
  <c r="A114" i="34"/>
  <c r="J113" i="34"/>
  <c r="I113" i="34"/>
  <c r="G113" i="34"/>
  <c r="F113" i="34"/>
  <c r="E113" i="34"/>
  <c r="D113" i="34"/>
  <c r="C113" i="34"/>
  <c r="B113" i="34"/>
  <c r="A113" i="34"/>
  <c r="J112" i="34"/>
  <c r="I112" i="34"/>
  <c r="G112" i="34"/>
  <c r="F112" i="34"/>
  <c r="E112" i="34"/>
  <c r="D112" i="34"/>
  <c r="C112" i="34"/>
  <c r="B112" i="34"/>
  <c r="A112" i="34"/>
  <c r="J111" i="34"/>
  <c r="I111" i="34"/>
  <c r="G111" i="34"/>
  <c r="F111" i="34"/>
  <c r="E111" i="34"/>
  <c r="D111" i="34"/>
  <c r="C111" i="34"/>
  <c r="B111" i="34"/>
  <c r="A111" i="34"/>
  <c r="J110" i="34"/>
  <c r="I110" i="34"/>
  <c r="G110" i="34"/>
  <c r="F110" i="34"/>
  <c r="E110" i="34"/>
  <c r="D110" i="34"/>
  <c r="C110" i="34"/>
  <c r="B110" i="34"/>
  <c r="A110" i="34"/>
  <c r="J109" i="34"/>
  <c r="I109" i="34"/>
  <c r="G109" i="34"/>
  <c r="F109" i="34"/>
  <c r="E109" i="34"/>
  <c r="D109" i="34"/>
  <c r="C109" i="34"/>
  <c r="B109" i="34"/>
  <c r="A109" i="34"/>
  <c r="J108" i="34"/>
  <c r="I108" i="34"/>
  <c r="G108" i="34"/>
  <c r="F108" i="34"/>
  <c r="E108" i="34"/>
  <c r="D108" i="34"/>
  <c r="C108" i="34"/>
  <c r="B108" i="34"/>
  <c r="A108" i="34"/>
  <c r="J107" i="34"/>
  <c r="I107" i="34"/>
  <c r="G107" i="34"/>
  <c r="F107" i="34"/>
  <c r="E107" i="34"/>
  <c r="D107" i="34"/>
  <c r="C107" i="34"/>
  <c r="B107" i="34"/>
  <c r="A107" i="34"/>
  <c r="J106" i="34"/>
  <c r="I106" i="34"/>
  <c r="G106" i="34"/>
  <c r="F106" i="34"/>
  <c r="E106" i="34"/>
  <c r="D106" i="34"/>
  <c r="C106" i="34"/>
  <c r="B106" i="34"/>
  <c r="A106" i="34"/>
  <c r="J105" i="34"/>
  <c r="I105" i="34"/>
  <c r="G105" i="34"/>
  <c r="F105" i="34"/>
  <c r="E105" i="34"/>
  <c r="D105" i="34"/>
  <c r="C105" i="34"/>
  <c r="B105" i="34"/>
  <c r="A105" i="34"/>
  <c r="J104" i="34"/>
  <c r="I104" i="34"/>
  <c r="G104" i="34"/>
  <c r="F104" i="34"/>
  <c r="E104" i="34"/>
  <c r="D104" i="34"/>
  <c r="C104" i="34"/>
  <c r="B104" i="34"/>
  <c r="A104" i="34"/>
  <c r="J103" i="34"/>
  <c r="I103" i="34"/>
  <c r="G103" i="34"/>
  <c r="F103" i="34"/>
  <c r="E103" i="34"/>
  <c r="D103" i="34"/>
  <c r="C103" i="34"/>
  <c r="B103" i="34"/>
  <c r="A103" i="34"/>
  <c r="J102" i="34"/>
  <c r="I102" i="34"/>
  <c r="G102" i="34"/>
  <c r="F102" i="34"/>
  <c r="E102" i="34"/>
  <c r="D102" i="34"/>
  <c r="C102" i="34"/>
  <c r="B102" i="34"/>
  <c r="A102" i="34"/>
  <c r="J101" i="34"/>
  <c r="I101" i="34"/>
  <c r="G101" i="34"/>
  <c r="F101" i="34"/>
  <c r="E101" i="34"/>
  <c r="D101" i="34"/>
  <c r="C101" i="34"/>
  <c r="B101" i="34"/>
  <c r="A101" i="34"/>
  <c r="J100" i="34"/>
  <c r="I100" i="34"/>
  <c r="G100" i="34"/>
  <c r="F100" i="34"/>
  <c r="E100" i="34"/>
  <c r="D100" i="34"/>
  <c r="C100" i="34"/>
  <c r="B100" i="34"/>
  <c r="A100" i="34"/>
  <c r="J99" i="34"/>
  <c r="I99" i="34"/>
  <c r="G99" i="34"/>
  <c r="F99" i="34"/>
  <c r="E99" i="34"/>
  <c r="D99" i="34"/>
  <c r="C99" i="34"/>
  <c r="B99" i="34"/>
  <c r="A99" i="34"/>
  <c r="J98" i="34"/>
  <c r="I98" i="34"/>
  <c r="G98" i="34"/>
  <c r="F98" i="34"/>
  <c r="E98" i="34"/>
  <c r="D98" i="34"/>
  <c r="C98" i="34"/>
  <c r="B98" i="34"/>
  <c r="A98" i="34"/>
  <c r="J97" i="34"/>
  <c r="I97" i="34"/>
  <c r="G97" i="34"/>
  <c r="F97" i="34"/>
  <c r="E97" i="34"/>
  <c r="D97" i="34"/>
  <c r="C97" i="34"/>
  <c r="B97" i="34"/>
  <c r="A97" i="34"/>
  <c r="J96" i="34"/>
  <c r="I96" i="34"/>
  <c r="G96" i="34"/>
  <c r="F96" i="34"/>
  <c r="E96" i="34"/>
  <c r="D96" i="34"/>
  <c r="C96" i="34"/>
  <c r="B96" i="34"/>
  <c r="A96" i="34"/>
  <c r="J95" i="34"/>
  <c r="I95" i="34"/>
  <c r="G95" i="34"/>
  <c r="F95" i="34"/>
  <c r="E95" i="34"/>
  <c r="D95" i="34"/>
  <c r="C95" i="34"/>
  <c r="B95" i="34"/>
  <c r="A95" i="34"/>
  <c r="J94" i="34"/>
  <c r="I94" i="34"/>
  <c r="G94" i="34"/>
  <c r="F94" i="34"/>
  <c r="E94" i="34"/>
  <c r="D94" i="34"/>
  <c r="C94" i="34"/>
  <c r="B94" i="34"/>
  <c r="A94" i="34"/>
  <c r="J93" i="34"/>
  <c r="I93" i="34"/>
  <c r="G93" i="34"/>
  <c r="F93" i="34"/>
  <c r="E93" i="34"/>
  <c r="D93" i="34"/>
  <c r="C93" i="34"/>
  <c r="B93" i="34"/>
  <c r="A93" i="34"/>
  <c r="J92" i="34"/>
  <c r="I92" i="34"/>
  <c r="G92" i="34"/>
  <c r="F92" i="34"/>
  <c r="E92" i="34"/>
  <c r="D92" i="34"/>
  <c r="C92" i="34"/>
  <c r="B92" i="34"/>
  <c r="A92" i="34"/>
  <c r="J91" i="34"/>
  <c r="I91" i="34"/>
  <c r="G91" i="34"/>
  <c r="F91" i="34"/>
  <c r="E91" i="34"/>
  <c r="D91" i="34"/>
  <c r="C91" i="34"/>
  <c r="B91" i="34"/>
  <c r="A91" i="34"/>
  <c r="J90" i="34"/>
  <c r="I90" i="34"/>
  <c r="G90" i="34"/>
  <c r="F90" i="34"/>
  <c r="E90" i="34"/>
  <c r="D90" i="34"/>
  <c r="C90" i="34"/>
  <c r="B90" i="34"/>
  <c r="A90" i="34"/>
  <c r="J89" i="34"/>
  <c r="I89" i="34"/>
  <c r="G89" i="34"/>
  <c r="F89" i="34"/>
  <c r="E89" i="34"/>
  <c r="D89" i="34"/>
  <c r="C89" i="34"/>
  <c r="B89" i="34"/>
  <c r="A89" i="34"/>
  <c r="J88" i="34"/>
  <c r="I88" i="34"/>
  <c r="G88" i="34"/>
  <c r="F88" i="34"/>
  <c r="E88" i="34"/>
  <c r="D88" i="34"/>
  <c r="C88" i="34"/>
  <c r="B88" i="34"/>
  <c r="A88" i="34"/>
  <c r="J87" i="34"/>
  <c r="I87" i="34"/>
  <c r="G87" i="34"/>
  <c r="F87" i="34"/>
  <c r="E87" i="34"/>
  <c r="D87" i="34"/>
  <c r="C87" i="34"/>
  <c r="B87" i="34"/>
  <c r="A87" i="34"/>
  <c r="J86" i="34"/>
  <c r="I86" i="34"/>
  <c r="G86" i="34"/>
  <c r="F86" i="34"/>
  <c r="E86" i="34"/>
  <c r="D86" i="34"/>
  <c r="C86" i="34"/>
  <c r="B86" i="34"/>
  <c r="A86" i="34"/>
  <c r="J85" i="34"/>
  <c r="I85" i="34"/>
  <c r="G85" i="34"/>
  <c r="F85" i="34"/>
  <c r="E85" i="34"/>
  <c r="D85" i="34"/>
  <c r="C85" i="34"/>
  <c r="B85" i="34"/>
  <c r="A85" i="34"/>
  <c r="J84" i="34"/>
  <c r="I84" i="34"/>
  <c r="G84" i="34"/>
  <c r="F84" i="34"/>
  <c r="E84" i="34"/>
  <c r="D84" i="34"/>
  <c r="C84" i="34"/>
  <c r="B84" i="34"/>
  <c r="A84" i="34"/>
  <c r="J83" i="34"/>
  <c r="I83" i="34"/>
  <c r="G83" i="34"/>
  <c r="F83" i="34"/>
  <c r="E83" i="34"/>
  <c r="D83" i="34"/>
  <c r="C83" i="34"/>
  <c r="B83" i="34"/>
  <c r="A83" i="34"/>
  <c r="J82" i="34"/>
  <c r="I82" i="34"/>
  <c r="G82" i="34"/>
  <c r="F82" i="34"/>
  <c r="E82" i="34"/>
  <c r="D82" i="34"/>
  <c r="C82" i="34"/>
  <c r="B82" i="34"/>
  <c r="A82" i="34"/>
  <c r="J81" i="34"/>
  <c r="I81" i="34"/>
  <c r="G81" i="34"/>
  <c r="F81" i="34"/>
  <c r="E81" i="34"/>
  <c r="D81" i="34"/>
  <c r="C81" i="34"/>
  <c r="B81" i="34"/>
  <c r="A81" i="34"/>
  <c r="J80" i="34"/>
  <c r="I80" i="34"/>
  <c r="G80" i="34"/>
  <c r="F80" i="34"/>
  <c r="E80" i="34"/>
  <c r="D80" i="34"/>
  <c r="C80" i="34"/>
  <c r="B80" i="34"/>
  <c r="A80" i="34"/>
  <c r="J79" i="34"/>
  <c r="I79" i="34"/>
  <c r="G79" i="34"/>
  <c r="F79" i="34"/>
  <c r="E79" i="34"/>
  <c r="D79" i="34"/>
  <c r="C79" i="34"/>
  <c r="B79" i="34"/>
  <c r="A79" i="34"/>
  <c r="J78" i="34"/>
  <c r="I78" i="34"/>
  <c r="G78" i="34"/>
  <c r="F78" i="34"/>
  <c r="E78" i="34"/>
  <c r="D78" i="34"/>
  <c r="C78" i="34"/>
  <c r="B78" i="34"/>
  <c r="A78" i="34"/>
  <c r="J77" i="34"/>
  <c r="I77" i="34"/>
  <c r="G77" i="34"/>
  <c r="F77" i="34"/>
  <c r="E77" i="34"/>
  <c r="D77" i="34"/>
  <c r="C77" i="34"/>
  <c r="B77" i="34"/>
  <c r="A77" i="34"/>
  <c r="J76" i="34"/>
  <c r="I76" i="34"/>
  <c r="G76" i="34"/>
  <c r="F76" i="34"/>
  <c r="E76" i="34"/>
  <c r="D76" i="34"/>
  <c r="C76" i="34"/>
  <c r="B76" i="34"/>
  <c r="A76" i="34"/>
  <c r="J75" i="34"/>
  <c r="I75" i="34"/>
  <c r="G75" i="34"/>
  <c r="F75" i="34"/>
  <c r="E75" i="34"/>
  <c r="D75" i="34"/>
  <c r="C75" i="34"/>
  <c r="B75" i="34"/>
  <c r="A75" i="34"/>
  <c r="J74" i="34"/>
  <c r="I74" i="34"/>
  <c r="G74" i="34"/>
  <c r="F74" i="34"/>
  <c r="E74" i="34"/>
  <c r="D74" i="34"/>
  <c r="C74" i="34"/>
  <c r="B74" i="34"/>
  <c r="A74" i="34"/>
  <c r="J73" i="34"/>
  <c r="I73" i="34"/>
  <c r="G73" i="34"/>
  <c r="F73" i="34"/>
  <c r="E73" i="34"/>
  <c r="D73" i="34"/>
  <c r="C73" i="34"/>
  <c r="B73" i="34"/>
  <c r="A73" i="34"/>
  <c r="J72" i="34"/>
  <c r="I72" i="34"/>
  <c r="G72" i="34"/>
  <c r="F72" i="34"/>
  <c r="E72" i="34"/>
  <c r="D72" i="34"/>
  <c r="C72" i="34"/>
  <c r="B72" i="34"/>
  <c r="A72" i="34"/>
  <c r="J71" i="34"/>
  <c r="I71" i="34"/>
  <c r="G71" i="34"/>
  <c r="F71" i="34"/>
  <c r="E71" i="34"/>
  <c r="D71" i="34"/>
  <c r="C71" i="34"/>
  <c r="B71" i="34"/>
  <c r="A71" i="34"/>
  <c r="J70" i="34"/>
  <c r="I70" i="34"/>
  <c r="G70" i="34"/>
  <c r="F70" i="34"/>
  <c r="E70" i="34"/>
  <c r="D70" i="34"/>
  <c r="C70" i="34"/>
  <c r="B70" i="34"/>
  <c r="A70" i="34"/>
  <c r="J69" i="34"/>
  <c r="I69" i="34"/>
  <c r="G69" i="34"/>
  <c r="F69" i="34"/>
  <c r="E69" i="34"/>
  <c r="D69" i="34"/>
  <c r="C69" i="34"/>
  <c r="B69" i="34"/>
  <c r="A69" i="34"/>
  <c r="J68" i="34"/>
  <c r="I68" i="34"/>
  <c r="G68" i="34"/>
  <c r="F68" i="34"/>
  <c r="E68" i="34"/>
  <c r="D68" i="34"/>
  <c r="C68" i="34"/>
  <c r="B68" i="34"/>
  <c r="A68" i="34"/>
  <c r="J67" i="34"/>
  <c r="I67" i="34"/>
  <c r="G67" i="34"/>
  <c r="F67" i="34"/>
  <c r="E67" i="34"/>
  <c r="D67" i="34"/>
  <c r="C67" i="34"/>
  <c r="B67" i="34"/>
  <c r="A67" i="34"/>
  <c r="J66" i="34"/>
  <c r="I66" i="34"/>
  <c r="G66" i="34"/>
  <c r="F66" i="34"/>
  <c r="E66" i="34"/>
  <c r="D66" i="34"/>
  <c r="C66" i="34"/>
  <c r="B66" i="34"/>
  <c r="A66" i="34"/>
  <c r="J65" i="34"/>
  <c r="I65" i="34"/>
  <c r="G65" i="34"/>
  <c r="F65" i="34"/>
  <c r="E65" i="34"/>
  <c r="D65" i="34"/>
  <c r="C65" i="34"/>
  <c r="B65" i="34"/>
  <c r="A65" i="34"/>
  <c r="J64" i="34"/>
  <c r="I64" i="34"/>
  <c r="G64" i="34"/>
  <c r="F64" i="34"/>
  <c r="E64" i="34"/>
  <c r="D64" i="34"/>
  <c r="C64" i="34"/>
  <c r="B64" i="34"/>
  <c r="A64" i="34"/>
  <c r="J63" i="34"/>
  <c r="I63" i="34"/>
  <c r="G63" i="34"/>
  <c r="F63" i="34"/>
  <c r="E63" i="34"/>
  <c r="D63" i="34"/>
  <c r="C63" i="34"/>
  <c r="B63" i="34"/>
  <c r="A63" i="34"/>
  <c r="J62" i="34"/>
  <c r="I62" i="34"/>
  <c r="G62" i="34"/>
  <c r="F62" i="34"/>
  <c r="E62" i="34"/>
  <c r="D62" i="34"/>
  <c r="C62" i="34"/>
  <c r="B62" i="34"/>
  <c r="A62" i="34"/>
  <c r="J61" i="34"/>
  <c r="I61" i="34"/>
  <c r="G61" i="34"/>
  <c r="F61" i="34"/>
  <c r="E61" i="34"/>
  <c r="D61" i="34"/>
  <c r="C61" i="34"/>
  <c r="B61" i="34"/>
  <c r="A61" i="34"/>
  <c r="J60" i="34"/>
  <c r="I60" i="34"/>
  <c r="G60" i="34"/>
  <c r="F60" i="34"/>
  <c r="E60" i="34"/>
  <c r="D60" i="34"/>
  <c r="C60" i="34"/>
  <c r="B60" i="34"/>
  <c r="A60" i="34"/>
  <c r="J59" i="34"/>
  <c r="I59" i="34"/>
  <c r="G59" i="34"/>
  <c r="F59" i="34"/>
  <c r="E59" i="34"/>
  <c r="D59" i="34"/>
  <c r="C59" i="34"/>
  <c r="B59" i="34"/>
  <c r="A59" i="34"/>
  <c r="J58" i="34"/>
  <c r="I58" i="34"/>
  <c r="G58" i="34"/>
  <c r="F58" i="34"/>
  <c r="E58" i="34"/>
  <c r="D58" i="34"/>
  <c r="C58" i="34"/>
  <c r="B58" i="34"/>
  <c r="A58" i="34"/>
  <c r="J57" i="34"/>
  <c r="I57" i="34"/>
  <c r="G57" i="34"/>
  <c r="F57" i="34"/>
  <c r="E57" i="34"/>
  <c r="D57" i="34"/>
  <c r="C57" i="34"/>
  <c r="B57" i="34"/>
  <c r="A57" i="34"/>
  <c r="J56" i="34"/>
  <c r="I56" i="34"/>
  <c r="G56" i="34"/>
  <c r="F56" i="34"/>
  <c r="E56" i="34"/>
  <c r="D56" i="34"/>
  <c r="C56" i="34"/>
  <c r="B56" i="34"/>
  <c r="A56" i="34"/>
  <c r="J55" i="34"/>
  <c r="I55" i="34"/>
  <c r="G55" i="34"/>
  <c r="F55" i="34"/>
  <c r="E55" i="34"/>
  <c r="D55" i="34"/>
  <c r="C55" i="34"/>
  <c r="B55" i="34"/>
  <c r="A55" i="34"/>
  <c r="J54" i="34"/>
  <c r="I54" i="34"/>
  <c r="G54" i="34"/>
  <c r="F54" i="34"/>
  <c r="E54" i="34"/>
  <c r="D54" i="34"/>
  <c r="C54" i="34"/>
  <c r="B54" i="34"/>
  <c r="A54" i="34"/>
  <c r="J53" i="34"/>
  <c r="I53" i="34"/>
  <c r="G53" i="34"/>
  <c r="F53" i="34"/>
  <c r="E53" i="34"/>
  <c r="D53" i="34"/>
  <c r="C53" i="34"/>
  <c r="B53" i="34"/>
  <c r="A53" i="34"/>
  <c r="J52" i="34"/>
  <c r="I52" i="34"/>
  <c r="G52" i="34"/>
  <c r="F52" i="34"/>
  <c r="E52" i="34"/>
  <c r="D52" i="34"/>
  <c r="C52" i="34"/>
  <c r="B52" i="34"/>
  <c r="A52" i="34"/>
  <c r="J51" i="34"/>
  <c r="I51" i="34"/>
  <c r="G51" i="34"/>
  <c r="F51" i="34"/>
  <c r="E51" i="34"/>
  <c r="D51" i="34"/>
  <c r="C51" i="34"/>
  <c r="B51" i="34"/>
  <c r="A51" i="34"/>
  <c r="J50" i="34"/>
  <c r="I50" i="34"/>
  <c r="G50" i="34"/>
  <c r="F50" i="34"/>
  <c r="E50" i="34"/>
  <c r="D50" i="34"/>
  <c r="C50" i="34"/>
  <c r="B50" i="34"/>
  <c r="A50" i="34"/>
  <c r="J49" i="34"/>
  <c r="I49" i="34"/>
  <c r="G49" i="34"/>
  <c r="F49" i="34"/>
  <c r="E49" i="34"/>
  <c r="D49" i="34"/>
  <c r="C49" i="34"/>
  <c r="B49" i="34"/>
  <c r="A49" i="34"/>
  <c r="J48" i="34"/>
  <c r="I48" i="34"/>
  <c r="G48" i="34"/>
  <c r="F48" i="34"/>
  <c r="E48" i="34"/>
  <c r="H48" i="34" s="1"/>
  <c r="D48" i="34"/>
  <c r="C48" i="34"/>
  <c r="B48" i="34"/>
  <c r="A48" i="34"/>
  <c r="J47" i="34"/>
  <c r="I47" i="34"/>
  <c r="G47" i="34"/>
  <c r="F47" i="34"/>
  <c r="E47" i="34"/>
  <c r="D47" i="34"/>
  <c r="C47" i="34"/>
  <c r="B47" i="34"/>
  <c r="A47" i="34"/>
  <c r="J46" i="34"/>
  <c r="I46" i="34"/>
  <c r="G46" i="34"/>
  <c r="F46" i="34"/>
  <c r="E46" i="34"/>
  <c r="D46" i="34"/>
  <c r="C46" i="34"/>
  <c r="B46" i="34"/>
  <c r="A46" i="34"/>
  <c r="J45" i="34"/>
  <c r="I45" i="34"/>
  <c r="G45" i="34"/>
  <c r="F45" i="34"/>
  <c r="E45" i="34"/>
  <c r="D45" i="34"/>
  <c r="C45" i="34"/>
  <c r="B45" i="34"/>
  <c r="A45" i="34"/>
  <c r="J44" i="34"/>
  <c r="I44" i="34"/>
  <c r="G44" i="34"/>
  <c r="F44" i="34"/>
  <c r="E44" i="34"/>
  <c r="D44" i="34"/>
  <c r="C44" i="34"/>
  <c r="B44" i="34"/>
  <c r="A44" i="34"/>
  <c r="J43" i="34"/>
  <c r="I43" i="34"/>
  <c r="G43" i="34"/>
  <c r="F43" i="34"/>
  <c r="E43" i="34"/>
  <c r="D43" i="34"/>
  <c r="C43" i="34"/>
  <c r="B43" i="34"/>
  <c r="A43" i="34"/>
  <c r="J42" i="34"/>
  <c r="I42" i="34"/>
  <c r="G42" i="34"/>
  <c r="F42" i="34"/>
  <c r="E42" i="34"/>
  <c r="D42" i="34"/>
  <c r="C42" i="34"/>
  <c r="B42" i="34"/>
  <c r="A42" i="34"/>
  <c r="J41" i="34"/>
  <c r="I41" i="34"/>
  <c r="G41" i="34"/>
  <c r="F41" i="34"/>
  <c r="E41" i="34"/>
  <c r="D41" i="34"/>
  <c r="C41" i="34"/>
  <c r="B41" i="34"/>
  <c r="A41" i="34"/>
  <c r="G19" i="34"/>
  <c r="F19" i="34"/>
  <c r="G18" i="34"/>
  <c r="F18" i="34"/>
  <c r="G17" i="34"/>
  <c r="F17" i="34"/>
  <c r="E17" i="34" s="1"/>
  <c r="H17" i="34" s="1"/>
  <c r="G16" i="34"/>
  <c r="F16" i="34"/>
  <c r="G15" i="34"/>
  <c r="F15" i="34"/>
  <c r="G14" i="34"/>
  <c r="F14" i="34" a="1"/>
  <c r="G13" i="34"/>
  <c r="F13" i="34"/>
  <c r="G12" i="34"/>
  <c r="F12" i="34"/>
  <c r="E12" i="34" s="1"/>
  <c r="H12" i="34" s="1"/>
  <c r="B4" i="34"/>
  <c r="D7" i="31" a="1"/>
  <c r="AC2" i="30"/>
  <c r="AC3" i="30"/>
  <c r="AC4" i="30"/>
  <c r="AC5" i="30"/>
  <c r="AC6" i="30"/>
  <c r="AC7" i="30"/>
  <c r="AC8" i="30"/>
  <c r="AC9" i="30"/>
  <c r="AC10" i="30"/>
  <c r="AC11" i="30"/>
  <c r="AC12" i="30"/>
  <c r="AC13" i="30"/>
  <c r="AC14" i="30"/>
  <c r="AC15" i="30"/>
  <c r="AC16" i="30"/>
  <c r="AC17" i="30"/>
  <c r="AC18" i="30"/>
  <c r="AC19" i="30"/>
  <c r="AC20" i="30"/>
  <c r="AC21" i="30"/>
  <c r="AC22" i="30"/>
  <c r="AC23" i="30"/>
  <c r="AC24" i="30"/>
  <c r="AC25" i="30"/>
  <c r="AC26" i="30"/>
  <c r="AC27" i="30"/>
  <c r="AC28" i="30"/>
  <c r="AC29" i="30"/>
  <c r="AC30" i="30"/>
  <c r="AC31" i="30"/>
  <c r="AC32" i="30"/>
  <c r="AC33" i="30"/>
  <c r="AC34" i="30"/>
  <c r="AC35" i="30"/>
  <c r="AC36" i="30"/>
  <c r="AC37" i="30"/>
  <c r="AC38" i="30"/>
  <c r="AC39" i="30"/>
  <c r="AC40" i="30"/>
  <c r="AC41" i="30"/>
  <c r="AC42" i="30"/>
  <c r="AC43" i="30"/>
  <c r="AC44" i="30"/>
  <c r="AC45" i="30"/>
  <c r="AC46" i="30"/>
  <c r="AC47" i="30"/>
  <c r="AC48" i="30"/>
  <c r="AC49" i="30"/>
  <c r="AC50" i="30"/>
  <c r="AC51" i="30"/>
  <c r="AC52" i="30"/>
  <c r="AC53" i="30"/>
  <c r="AC54" i="30"/>
  <c r="AC55" i="30"/>
  <c r="AC56" i="30"/>
  <c r="AC57" i="30"/>
  <c r="AC58" i="30"/>
  <c r="AC59" i="30"/>
  <c r="AC60" i="30"/>
  <c r="AC61" i="30"/>
  <c r="AC62" i="30"/>
  <c r="AC63" i="30"/>
  <c r="AC64" i="30"/>
  <c r="AC65" i="30"/>
  <c r="AC66" i="30"/>
  <c r="AC67" i="30"/>
  <c r="AC68" i="30"/>
  <c r="AC69" i="30"/>
  <c r="AC70" i="30"/>
  <c r="AC71" i="30"/>
  <c r="AC72" i="30"/>
  <c r="AC73" i="30"/>
  <c r="AC74" i="30"/>
  <c r="AC75" i="30"/>
  <c r="AC76" i="30"/>
  <c r="AC77" i="30"/>
  <c r="AC78" i="30"/>
  <c r="AC79" i="30"/>
  <c r="AC80" i="30"/>
  <c r="AC81" i="30"/>
  <c r="AC82" i="30"/>
  <c r="AC83" i="30"/>
  <c r="AC84" i="30"/>
  <c r="AC85" i="30"/>
  <c r="AC86" i="30"/>
  <c r="AC87" i="30"/>
  <c r="AC88" i="30"/>
  <c r="AC89" i="30"/>
  <c r="AC90" i="30"/>
  <c r="AC91" i="30"/>
  <c r="AC92" i="30"/>
  <c r="AC93" i="30"/>
  <c r="AC94" i="30"/>
  <c r="AC95" i="30"/>
  <c r="AC96" i="30"/>
  <c r="AC97" i="30"/>
  <c r="AC98" i="30"/>
  <c r="AC99" i="30"/>
  <c r="AC100" i="30"/>
  <c r="AC101" i="30"/>
  <c r="AC102" i="30"/>
  <c r="AC103" i="30"/>
  <c r="AC104" i="30"/>
  <c r="AC105" i="30"/>
  <c r="AC106" i="30"/>
  <c r="AC107" i="30"/>
  <c r="AC108" i="30"/>
  <c r="AC109" i="30"/>
  <c r="AC110" i="30"/>
  <c r="AC111" i="30"/>
  <c r="AC112" i="30"/>
  <c r="AC113" i="30"/>
  <c r="AC114" i="30"/>
  <c r="AC115" i="30"/>
  <c r="AC116" i="30"/>
  <c r="AC117" i="30"/>
  <c r="AC118" i="30"/>
  <c r="AC119" i="30"/>
  <c r="AC120" i="30"/>
  <c r="AC121" i="30"/>
  <c r="AC122" i="30"/>
  <c r="AC123" i="30"/>
  <c r="AC124" i="30"/>
  <c r="AC125" i="30"/>
  <c r="AC126" i="30"/>
  <c r="AC127" i="30"/>
  <c r="AC128" i="30"/>
  <c r="AC129" i="30"/>
  <c r="AC130" i="30"/>
  <c r="AC131" i="30"/>
  <c r="AC132" i="30"/>
  <c r="AC133" i="30"/>
  <c r="AC134" i="30"/>
  <c r="AC135" i="30"/>
  <c r="AC136" i="30"/>
  <c r="AC137" i="30"/>
  <c r="AC138" i="30"/>
  <c r="AC139" i="30"/>
  <c r="AC140" i="30"/>
  <c r="AC141" i="30"/>
  <c r="AC142" i="30"/>
  <c r="AC143" i="30"/>
  <c r="AC144" i="30"/>
  <c r="AC145" i="30"/>
  <c r="AC146" i="30"/>
  <c r="AC147" i="30"/>
  <c r="AC148" i="30"/>
  <c r="AC149" i="30"/>
  <c r="AC150" i="30"/>
  <c r="AC151" i="30"/>
  <c r="AC152" i="30"/>
  <c r="AC153" i="30"/>
  <c r="AC154" i="30"/>
  <c r="AC155" i="30"/>
  <c r="AC156" i="30"/>
  <c r="AC157" i="30"/>
  <c r="AC158" i="30"/>
  <c r="AC159" i="30"/>
  <c r="AC160" i="30"/>
  <c r="AC161" i="30"/>
  <c r="AC162" i="30"/>
  <c r="AC163" i="30"/>
  <c r="AC164" i="30"/>
  <c r="AC165" i="30"/>
  <c r="AC166" i="30"/>
  <c r="AC167" i="30"/>
  <c r="AC168" i="30"/>
  <c r="AC169" i="30"/>
  <c r="AC170" i="30"/>
  <c r="AC171" i="30"/>
  <c r="AC172" i="30"/>
  <c r="AC173" i="30"/>
  <c r="AC174" i="30"/>
  <c r="AC175" i="30"/>
  <c r="AC176" i="30"/>
  <c r="AC177" i="30"/>
  <c r="AC178" i="30"/>
  <c r="AC179" i="30"/>
  <c r="AC180" i="30"/>
  <c r="AC181" i="30"/>
  <c r="AC182" i="30"/>
  <c r="AC183" i="30"/>
  <c r="AC184" i="30"/>
  <c r="AC185" i="30"/>
  <c r="AC186" i="30"/>
  <c r="AC187" i="30"/>
  <c r="AC188" i="30"/>
  <c r="AC189" i="30"/>
  <c r="AC190" i="30"/>
  <c r="AC191" i="30"/>
  <c r="AC192" i="30"/>
  <c r="AC193" i="30"/>
  <c r="AC194" i="30"/>
  <c r="AC195" i="30"/>
  <c r="AC196" i="30"/>
  <c r="AC197" i="30"/>
  <c r="AC198" i="30"/>
  <c r="AC199" i="30"/>
  <c r="AC200" i="30"/>
  <c r="AC201" i="30"/>
  <c r="AC202" i="30"/>
  <c r="AC203" i="30"/>
  <c r="AC204" i="30"/>
  <c r="AC205" i="30"/>
  <c r="AC206" i="30"/>
  <c r="AC207" i="30"/>
  <c r="AC208" i="30"/>
  <c r="AC209" i="30"/>
  <c r="AC210" i="30"/>
  <c r="AC211" i="30"/>
  <c r="AC212" i="30"/>
  <c r="AC213" i="30"/>
  <c r="AC214" i="30"/>
  <c r="AC215" i="30"/>
  <c r="AC216" i="30"/>
  <c r="AC217" i="30"/>
  <c r="AC218" i="30"/>
  <c r="AC219" i="30"/>
  <c r="AC220" i="30"/>
  <c r="AC221" i="30"/>
  <c r="AC222" i="30"/>
  <c r="AC223" i="30"/>
  <c r="AC224" i="30"/>
  <c r="AC225" i="30"/>
  <c r="AC226" i="30"/>
  <c r="AC227" i="30"/>
  <c r="AC228" i="30"/>
  <c r="AC229" i="30"/>
  <c r="AC230" i="30"/>
  <c r="AC231" i="30"/>
  <c r="AC232" i="30"/>
  <c r="AC233" i="30"/>
  <c r="AC234" i="30"/>
  <c r="AC235" i="30"/>
  <c r="AC236" i="30"/>
  <c r="AC237" i="30"/>
  <c r="AC238" i="30"/>
  <c r="AC239" i="30"/>
  <c r="AC240" i="30"/>
  <c r="AC241" i="30"/>
  <c r="AC242" i="30"/>
  <c r="AC243" i="30"/>
  <c r="AC244" i="30"/>
  <c r="AC245" i="30"/>
  <c r="AC246" i="30"/>
  <c r="AC247" i="30"/>
  <c r="AC248" i="30"/>
  <c r="AC249" i="30"/>
  <c r="AC250" i="30"/>
  <c r="AC251" i="30"/>
  <c r="AC252" i="30"/>
  <c r="AC253" i="30"/>
  <c r="AC254" i="30"/>
  <c r="AC255" i="30"/>
  <c r="AC256" i="30"/>
  <c r="AC257" i="30"/>
  <c r="AC258" i="30"/>
  <c r="AC259" i="30"/>
  <c r="AC260" i="30"/>
  <c r="AC261" i="30"/>
  <c r="AC262" i="30"/>
  <c r="AC263" i="30"/>
  <c r="AC264" i="30"/>
  <c r="AC265" i="30"/>
  <c r="AC266" i="30"/>
  <c r="AC267" i="30"/>
  <c r="AC268" i="30"/>
  <c r="AC269" i="30"/>
  <c r="AC270" i="30"/>
  <c r="AC271" i="30"/>
  <c r="AC272" i="30"/>
  <c r="AC273" i="30"/>
  <c r="AC274" i="30"/>
  <c r="AC275" i="30"/>
  <c r="AC276" i="30"/>
  <c r="AC277" i="30"/>
  <c r="AC278" i="30"/>
  <c r="AC279" i="30"/>
  <c r="AC280" i="30"/>
  <c r="AC281" i="30"/>
  <c r="AC282" i="30"/>
  <c r="AC283" i="30"/>
  <c r="AC284" i="30"/>
  <c r="AC285" i="30"/>
  <c r="AC286" i="30"/>
  <c r="AC287" i="30"/>
  <c r="AC288" i="30"/>
  <c r="AC289" i="30"/>
  <c r="AC290" i="30"/>
  <c r="AC291" i="30"/>
  <c r="AC292" i="30"/>
  <c r="AC293" i="30"/>
  <c r="AC294" i="30"/>
  <c r="AC295" i="30"/>
  <c r="AC296" i="30"/>
  <c r="AC297" i="30"/>
  <c r="AC298" i="30"/>
  <c r="AC299" i="30"/>
  <c r="AC300" i="30"/>
  <c r="AC301" i="30"/>
  <c r="AC302" i="30"/>
  <c r="AC303" i="30"/>
  <c r="AC304" i="30"/>
  <c r="AC305" i="30"/>
  <c r="AC306" i="30"/>
  <c r="AC307" i="30"/>
  <c r="AC308" i="30"/>
  <c r="AC309" i="30"/>
  <c r="AC310" i="30"/>
  <c r="AC311" i="30"/>
  <c r="AC312" i="30"/>
  <c r="AC313" i="30"/>
  <c r="AC314" i="30"/>
  <c r="AC315" i="30"/>
  <c r="AC316" i="30"/>
  <c r="AC317" i="30"/>
  <c r="AC318" i="30"/>
  <c r="AC319" i="30"/>
  <c r="AC320" i="30"/>
  <c r="AC321" i="30"/>
  <c r="AC322" i="30"/>
  <c r="AC323" i="30"/>
  <c r="AC324" i="30"/>
  <c r="AC325" i="30"/>
  <c r="AC326" i="30"/>
  <c r="AC327" i="30"/>
  <c r="AC328" i="30"/>
  <c r="AC329" i="30"/>
  <c r="AC330" i="30"/>
  <c r="AC331" i="30"/>
  <c r="AC332" i="30"/>
  <c r="AC333" i="30"/>
  <c r="AC334" i="30"/>
  <c r="AC335" i="30"/>
  <c r="AC336" i="30"/>
  <c r="AC337" i="30"/>
  <c r="AC338" i="30"/>
  <c r="AC339" i="30"/>
  <c r="AC340" i="30"/>
  <c r="AC341" i="30"/>
  <c r="AC342" i="30"/>
  <c r="AC343" i="30"/>
  <c r="AC344" i="30"/>
  <c r="AC345" i="30"/>
  <c r="AC346" i="30"/>
  <c r="AC347" i="30"/>
  <c r="AC348" i="30"/>
  <c r="AC349" i="30"/>
  <c r="AC350" i="30"/>
  <c r="AC351" i="30"/>
  <c r="AC352" i="30"/>
  <c r="AC353" i="30"/>
  <c r="AC354" i="30"/>
  <c r="AC355" i="30"/>
  <c r="AC356" i="30"/>
  <c r="AC357" i="30"/>
  <c r="AC358" i="30"/>
  <c r="AC359" i="30"/>
  <c r="AC360" i="30"/>
  <c r="AC361" i="30"/>
  <c r="AC362" i="30"/>
  <c r="AC363" i="30"/>
  <c r="AC364" i="30"/>
  <c r="AC365" i="30"/>
  <c r="AC366" i="30"/>
  <c r="AC367" i="30"/>
  <c r="AC368" i="30"/>
  <c r="AC369" i="30"/>
  <c r="AC370" i="30"/>
  <c r="AC371" i="30"/>
  <c r="AC372" i="30"/>
  <c r="AC373" i="30"/>
  <c r="AC374" i="30"/>
  <c r="AC375" i="30"/>
  <c r="AC376" i="30"/>
  <c r="AC377" i="30"/>
  <c r="AC378" i="30"/>
  <c r="AC379" i="30"/>
  <c r="AC380" i="30"/>
  <c r="AC381" i="30"/>
  <c r="AC382" i="30"/>
  <c r="AC383" i="30"/>
  <c r="AC384" i="30"/>
  <c r="AC385" i="30"/>
  <c r="AC386" i="30"/>
  <c r="AC387" i="30"/>
  <c r="AC388" i="30"/>
  <c r="AC389" i="30"/>
  <c r="AC390" i="30"/>
  <c r="AC391" i="30"/>
  <c r="AC392" i="30"/>
  <c r="AC393" i="30"/>
  <c r="AC394" i="30"/>
  <c r="AC395" i="30"/>
  <c r="AC396" i="30"/>
  <c r="AC397" i="30"/>
  <c r="AC398" i="30"/>
  <c r="AC399" i="30"/>
  <c r="AC400" i="30"/>
  <c r="AC401" i="30"/>
  <c r="AC402" i="30"/>
  <c r="AC403" i="30"/>
  <c r="AC404" i="30"/>
  <c r="AC405" i="30"/>
  <c r="AC406" i="30"/>
  <c r="AC407" i="30"/>
  <c r="AC408" i="30"/>
  <c r="AC409" i="30"/>
  <c r="AC410" i="30"/>
  <c r="AC411" i="30"/>
  <c r="AC412" i="30"/>
  <c r="AC413" i="30"/>
  <c r="AC414" i="30"/>
  <c r="AC415" i="30"/>
  <c r="AC416" i="30"/>
  <c r="AC417" i="30"/>
  <c r="AC418" i="30"/>
  <c r="AC419" i="30"/>
  <c r="AC420" i="30"/>
  <c r="AC421" i="30"/>
  <c r="AC422" i="30"/>
  <c r="AC423" i="30"/>
  <c r="AC424" i="30"/>
  <c r="AC425" i="30"/>
  <c r="AC426" i="30"/>
  <c r="AC427" i="30"/>
  <c r="AC428" i="30"/>
  <c r="AC429" i="30"/>
  <c r="AC430" i="30"/>
  <c r="AC431" i="30"/>
  <c r="AC432" i="30"/>
  <c r="AC433" i="30"/>
  <c r="AC434" i="30"/>
  <c r="AC435" i="30"/>
  <c r="AC436" i="30"/>
  <c r="AC437" i="30"/>
  <c r="AC438" i="30"/>
  <c r="AC439" i="30"/>
  <c r="AC440" i="30"/>
  <c r="AC441" i="30"/>
  <c r="AC442" i="30"/>
  <c r="AC443" i="30"/>
  <c r="AC444" i="30"/>
  <c r="AC445" i="30"/>
  <c r="AC446" i="30"/>
  <c r="AC447" i="30"/>
  <c r="AC448" i="30"/>
  <c r="AC449" i="30"/>
  <c r="AC450" i="30"/>
  <c r="AC451" i="30"/>
  <c r="AC452" i="30"/>
  <c r="AC453" i="30"/>
  <c r="AC454" i="30"/>
  <c r="AC455" i="30"/>
  <c r="AC456" i="30"/>
  <c r="AC457" i="30"/>
  <c r="AC458" i="30"/>
  <c r="AC459" i="30"/>
  <c r="AC460" i="30"/>
  <c r="AC461" i="30"/>
  <c r="AC462" i="30"/>
  <c r="AC463" i="30"/>
  <c r="AC464" i="30"/>
  <c r="AC465" i="30"/>
  <c r="AC466" i="30"/>
  <c r="AC467" i="30"/>
  <c r="AC468" i="30"/>
  <c r="AC469" i="30"/>
  <c r="AC470" i="30"/>
  <c r="AC471" i="30"/>
  <c r="AC472" i="30"/>
  <c r="AC473" i="30"/>
  <c r="AC474" i="30"/>
  <c r="AC475" i="30"/>
  <c r="AC476" i="30"/>
  <c r="AC477" i="30"/>
  <c r="AC478" i="30"/>
  <c r="AC479" i="30"/>
  <c r="AC480" i="30"/>
  <c r="AC481" i="30"/>
  <c r="AC482" i="30"/>
  <c r="AC483" i="30"/>
  <c r="AC484" i="30"/>
  <c r="AC485" i="30"/>
  <c r="AC486" i="30"/>
  <c r="AC487" i="30"/>
  <c r="AC488" i="30"/>
  <c r="AC489" i="30"/>
  <c r="AC490" i="30"/>
  <c r="AC491" i="30"/>
  <c r="AC492" i="30"/>
  <c r="AC493" i="30"/>
  <c r="AC494" i="30"/>
  <c r="AC495" i="30"/>
  <c r="AC496" i="30"/>
  <c r="AC497" i="30"/>
  <c r="AC498" i="30"/>
  <c r="AC499" i="30"/>
  <c r="AC500" i="30"/>
  <c r="AC501" i="30"/>
  <c r="AC502" i="30"/>
  <c r="AC503" i="30"/>
  <c r="AC504" i="30"/>
  <c r="AC505" i="30"/>
  <c r="AC506" i="30"/>
  <c r="AC507" i="30"/>
  <c r="AC508" i="30"/>
  <c r="AC509" i="30"/>
  <c r="AC510" i="30"/>
  <c r="AC511" i="30"/>
  <c r="AC512" i="30"/>
  <c r="AC513" i="30"/>
  <c r="AC514" i="30"/>
  <c r="AC515" i="30"/>
  <c r="AC516" i="30"/>
  <c r="AC517" i="30"/>
  <c r="AC518" i="30"/>
  <c r="AC519" i="30"/>
  <c r="AC520" i="30"/>
  <c r="AC521" i="30"/>
  <c r="AC522" i="30"/>
  <c r="AC523" i="30"/>
  <c r="AC524" i="30"/>
  <c r="AC525" i="30"/>
  <c r="AC526" i="30"/>
  <c r="AC527" i="30"/>
  <c r="AC528" i="30"/>
  <c r="AC529" i="30"/>
  <c r="AC530" i="30"/>
  <c r="AC531" i="30"/>
  <c r="AC532" i="30"/>
  <c r="AC533" i="30"/>
  <c r="AC534" i="30"/>
  <c r="AC535" i="30"/>
  <c r="AC536" i="30"/>
  <c r="AC537" i="30"/>
  <c r="AC538" i="30"/>
  <c r="AC539" i="30"/>
  <c r="AC540" i="30"/>
  <c r="AC541" i="30"/>
  <c r="AC542" i="30"/>
  <c r="AC543" i="30"/>
  <c r="AC544" i="30"/>
  <c r="AC545" i="30"/>
  <c r="AC546" i="30"/>
  <c r="AC547" i="30"/>
  <c r="AC548" i="30"/>
  <c r="AC549" i="30"/>
  <c r="AC550" i="30"/>
  <c r="AC551" i="30"/>
  <c r="AC552" i="30"/>
  <c r="AC553" i="30"/>
  <c r="AC554" i="30"/>
  <c r="AC555" i="30"/>
  <c r="AC556" i="30"/>
  <c r="AC557" i="30"/>
  <c r="AC558" i="30"/>
  <c r="AC559" i="30"/>
  <c r="AC560" i="30"/>
  <c r="AC561" i="30"/>
  <c r="AC562" i="30"/>
  <c r="AC563" i="30"/>
  <c r="AC564" i="30"/>
  <c r="AC565" i="30"/>
  <c r="AC566" i="30"/>
  <c r="AC567" i="30"/>
  <c r="AC568" i="30"/>
  <c r="AC569" i="30"/>
  <c r="AC570" i="30"/>
  <c r="AC571" i="30"/>
  <c r="AC572" i="30"/>
  <c r="AC573" i="30"/>
  <c r="AC574" i="30"/>
  <c r="AC575" i="30"/>
  <c r="AC576" i="30"/>
  <c r="AC577" i="30"/>
  <c r="AC578" i="30"/>
  <c r="AC579" i="30"/>
  <c r="AC580" i="30"/>
  <c r="AC581" i="30"/>
  <c r="AC582" i="30"/>
  <c r="AC583" i="30"/>
  <c r="AC584" i="30"/>
  <c r="AC585" i="30"/>
  <c r="AC586" i="30"/>
  <c r="AC587" i="30"/>
  <c r="AC588" i="30"/>
  <c r="AC589" i="30"/>
  <c r="AC590" i="30"/>
  <c r="AC591" i="30"/>
  <c r="AC592" i="30"/>
  <c r="AC593" i="30"/>
  <c r="AC594" i="30"/>
  <c r="AC595" i="30"/>
  <c r="AC596" i="30"/>
  <c r="AC597" i="30"/>
  <c r="AC598" i="30"/>
  <c r="AC599" i="30"/>
  <c r="AC600" i="30"/>
  <c r="AC601" i="30"/>
  <c r="AC602" i="30"/>
  <c r="AC603" i="30"/>
  <c r="AC604" i="30"/>
  <c r="AC605" i="30"/>
  <c r="AC606" i="30"/>
  <c r="AC607" i="30"/>
  <c r="AC608" i="30"/>
  <c r="AC609" i="30"/>
  <c r="AC610" i="30"/>
  <c r="AC611" i="30"/>
  <c r="AC612" i="30"/>
  <c r="AC613" i="30"/>
  <c r="AC614" i="30"/>
  <c r="AC615" i="30"/>
  <c r="AC616" i="30"/>
  <c r="AC617" i="30"/>
  <c r="AC618" i="30"/>
  <c r="AC619" i="30"/>
  <c r="AC620" i="30"/>
  <c r="AC621" i="30"/>
  <c r="AC622" i="30"/>
  <c r="AC623" i="30"/>
  <c r="AC624" i="30"/>
  <c r="AC625" i="30"/>
  <c r="AC626" i="30"/>
  <c r="AC627" i="30"/>
  <c r="AC628" i="30"/>
  <c r="AC629" i="30"/>
  <c r="AC630" i="30"/>
  <c r="AC631" i="30"/>
  <c r="AC632" i="30"/>
  <c r="AC633" i="30"/>
  <c r="AC634" i="30"/>
  <c r="AC635" i="30"/>
  <c r="AC636" i="30"/>
  <c r="AC637" i="30"/>
  <c r="AC638" i="30"/>
  <c r="AC639" i="30"/>
  <c r="AC640" i="30"/>
  <c r="AC641" i="30"/>
  <c r="AC642" i="30"/>
  <c r="AC643" i="30"/>
  <c r="AC644" i="30"/>
  <c r="AC645" i="30"/>
  <c r="AC646" i="30"/>
  <c r="AC647" i="30"/>
  <c r="AC648" i="30"/>
  <c r="AC649" i="30"/>
  <c r="AC650" i="30"/>
  <c r="AC651" i="30"/>
  <c r="AC652" i="30"/>
  <c r="AC653" i="30"/>
  <c r="AC654" i="30"/>
  <c r="AC655" i="30"/>
  <c r="AC656" i="30"/>
  <c r="AC657" i="30"/>
  <c r="AC658" i="30"/>
  <c r="AC659" i="30"/>
  <c r="AC660" i="30"/>
  <c r="AC661" i="30"/>
  <c r="AC662" i="30"/>
  <c r="AC663" i="30"/>
  <c r="AC664" i="30"/>
  <c r="AC665" i="30"/>
  <c r="AC666" i="30"/>
  <c r="AC667" i="30"/>
  <c r="AC668" i="30"/>
  <c r="AC669" i="30"/>
  <c r="AC670" i="30"/>
  <c r="AC671" i="30"/>
  <c r="AC672" i="30"/>
  <c r="AC673" i="30"/>
  <c r="AC674" i="30"/>
  <c r="AC675" i="30"/>
  <c r="AC676" i="30"/>
  <c r="AC677" i="30"/>
  <c r="AC678" i="30"/>
  <c r="AC679" i="30"/>
  <c r="AC680" i="30"/>
  <c r="AC681" i="30"/>
  <c r="AC682" i="30"/>
  <c r="AC683" i="30"/>
  <c r="AC684" i="30"/>
  <c r="AC685" i="30"/>
  <c r="AC686" i="30"/>
  <c r="AC687" i="30"/>
  <c r="AC688" i="30"/>
  <c r="AC689" i="30"/>
  <c r="AC690" i="30"/>
  <c r="AC691" i="30"/>
  <c r="AC692" i="30"/>
  <c r="AC693" i="30"/>
  <c r="AC694" i="30"/>
  <c r="AC695" i="30"/>
  <c r="AC696" i="30"/>
  <c r="AC697" i="30"/>
  <c r="AC698" i="30"/>
  <c r="AC699" i="30"/>
  <c r="AC700" i="30"/>
  <c r="AC701" i="30"/>
  <c r="AC702" i="30"/>
  <c r="AC703" i="30"/>
  <c r="AC704" i="30"/>
  <c r="AC705" i="30"/>
  <c r="AC706" i="30"/>
  <c r="AC707" i="30"/>
  <c r="AC708" i="30"/>
  <c r="AC709" i="30"/>
  <c r="AC710" i="30"/>
  <c r="AC711" i="30"/>
  <c r="AC712" i="30"/>
  <c r="AC713" i="30"/>
  <c r="AC714" i="30"/>
  <c r="AC715" i="30"/>
  <c r="AC716" i="30"/>
  <c r="AC717" i="30"/>
  <c r="AC718" i="30"/>
  <c r="AC719" i="30"/>
  <c r="AC720" i="30"/>
  <c r="AC721" i="30"/>
  <c r="AC722" i="30"/>
  <c r="AC723" i="30"/>
  <c r="AC724" i="30"/>
  <c r="AC725" i="30"/>
  <c r="AC726" i="30"/>
  <c r="AC727" i="30"/>
  <c r="AC728" i="30"/>
  <c r="AC729" i="30"/>
  <c r="AC730" i="30"/>
  <c r="AC731" i="30"/>
  <c r="AC732" i="30"/>
  <c r="AC733" i="30"/>
  <c r="AC734" i="30"/>
  <c r="AC735" i="30"/>
  <c r="AC736" i="30"/>
  <c r="AC737" i="30"/>
  <c r="AC738" i="30"/>
  <c r="AC739" i="30"/>
  <c r="AC740" i="30"/>
  <c r="AC741" i="30"/>
  <c r="AC742" i="30"/>
  <c r="AC743" i="30"/>
  <c r="AC744" i="30"/>
  <c r="AC745" i="30"/>
  <c r="AC746" i="30"/>
  <c r="AC747" i="30"/>
  <c r="AC748" i="30"/>
  <c r="AC749" i="30"/>
  <c r="AC750" i="30"/>
  <c r="AC751" i="30"/>
  <c r="AC752" i="30"/>
  <c r="AC753" i="30"/>
  <c r="AC754" i="30"/>
  <c r="AC755" i="30"/>
  <c r="AC756" i="30"/>
  <c r="AC757" i="30"/>
  <c r="AC758" i="30"/>
  <c r="AC759" i="30"/>
  <c r="AC760" i="30"/>
  <c r="AC761" i="30"/>
  <c r="AC762" i="30"/>
  <c r="AC763" i="30"/>
  <c r="AC764" i="30"/>
  <c r="AC765" i="30"/>
  <c r="AC766" i="30"/>
  <c r="AC767" i="30"/>
  <c r="AC768" i="30"/>
  <c r="AC769" i="30"/>
  <c r="AC770" i="30"/>
  <c r="AC771" i="30"/>
  <c r="AC772" i="30"/>
  <c r="AC773" i="30"/>
  <c r="AC774" i="30"/>
  <c r="AC775" i="30"/>
  <c r="AC776" i="30"/>
  <c r="AC777" i="30"/>
  <c r="AC778" i="30"/>
  <c r="AC779" i="30"/>
  <c r="AC780" i="30"/>
  <c r="AC781" i="30"/>
  <c r="AC782" i="30"/>
  <c r="AC783" i="30"/>
  <c r="AC784" i="30"/>
  <c r="AC785" i="30"/>
  <c r="AC786" i="30"/>
  <c r="AC787" i="30"/>
  <c r="AC788" i="30"/>
  <c r="AC789" i="30"/>
  <c r="AC790" i="30"/>
  <c r="AC791" i="30"/>
  <c r="AC792" i="30"/>
  <c r="AC793" i="30"/>
  <c r="AC794" i="30"/>
  <c r="AC795" i="30"/>
  <c r="AC796" i="30"/>
  <c r="AC797" i="30"/>
  <c r="AC798" i="30"/>
  <c r="AC799" i="30"/>
  <c r="AC800" i="30"/>
  <c r="AC801" i="30"/>
  <c r="AC802" i="30"/>
  <c r="AC803" i="30"/>
  <c r="AC804" i="30"/>
  <c r="AC805" i="30"/>
  <c r="AC806" i="30"/>
  <c r="AC807" i="30"/>
  <c r="AC808" i="30"/>
  <c r="AC809" i="30"/>
  <c r="AC810" i="30"/>
  <c r="AC811" i="30"/>
  <c r="AC812" i="30"/>
  <c r="AC813" i="30"/>
  <c r="AC814" i="30"/>
  <c r="AC815" i="30"/>
  <c r="AC816" i="30"/>
  <c r="AC817" i="30"/>
  <c r="AC818" i="30"/>
  <c r="AC819" i="30"/>
  <c r="AC820" i="30"/>
  <c r="AC821" i="30"/>
  <c r="AC822" i="30"/>
  <c r="AC823" i="30"/>
  <c r="AC824" i="30"/>
  <c r="AC825" i="30"/>
  <c r="AC826" i="30"/>
  <c r="AC827" i="30"/>
  <c r="AC828" i="30"/>
  <c r="AC829" i="30"/>
  <c r="AC830" i="30"/>
  <c r="AC831" i="30"/>
  <c r="AC832" i="30"/>
  <c r="AC833" i="30"/>
  <c r="AC834" i="30"/>
  <c r="AC835" i="30"/>
  <c r="AC836" i="30"/>
  <c r="AC837" i="30"/>
  <c r="AC838" i="30"/>
  <c r="AC839" i="30"/>
  <c r="AC840" i="30"/>
  <c r="AC841" i="30"/>
  <c r="AC842" i="30"/>
  <c r="AC843" i="30"/>
  <c r="AC844" i="30"/>
  <c r="AC845" i="30"/>
  <c r="AC846" i="30"/>
  <c r="AC847" i="30"/>
  <c r="AC848" i="30"/>
  <c r="AC849" i="30"/>
  <c r="AC850" i="30"/>
  <c r="AC851" i="30"/>
  <c r="AC852" i="30"/>
  <c r="AC853" i="30"/>
  <c r="AC854" i="30"/>
  <c r="AC855" i="30"/>
  <c r="AC856" i="30"/>
  <c r="AC857" i="30"/>
  <c r="AC858" i="30"/>
  <c r="AC859" i="30"/>
  <c r="AC860" i="30"/>
  <c r="AC861" i="30"/>
  <c r="AC862" i="30"/>
  <c r="AC863" i="30"/>
  <c r="AC864" i="30"/>
  <c r="AC865" i="30"/>
  <c r="AC866" i="30"/>
  <c r="AC867" i="30"/>
  <c r="AC868" i="30"/>
  <c r="AC869" i="30"/>
  <c r="AC870" i="30"/>
  <c r="AC871" i="30"/>
  <c r="AC872" i="30"/>
  <c r="AC873" i="30"/>
  <c r="AC874" i="30"/>
  <c r="AC875" i="30"/>
  <c r="AC876" i="30"/>
  <c r="AC877" i="30"/>
  <c r="AC878" i="30"/>
  <c r="AC879" i="30"/>
  <c r="AC880" i="30"/>
  <c r="AC881" i="30"/>
  <c r="AC882" i="30"/>
  <c r="AC883" i="30"/>
  <c r="AC884" i="30"/>
  <c r="AC885" i="30"/>
  <c r="AC886" i="30"/>
  <c r="AC887" i="30"/>
  <c r="AC888" i="30"/>
  <c r="AC889" i="30"/>
  <c r="AC890" i="30"/>
  <c r="AC891" i="30"/>
  <c r="AC892" i="30"/>
  <c r="AC893" i="30"/>
  <c r="AC894" i="30"/>
  <c r="AC895" i="30"/>
  <c r="AC896" i="30"/>
  <c r="AC897" i="30"/>
  <c r="AC898" i="30"/>
  <c r="AC899" i="30"/>
  <c r="AC900" i="30"/>
  <c r="AC901" i="30"/>
  <c r="AC902" i="30"/>
  <c r="AC903" i="30"/>
  <c r="AC904" i="30"/>
  <c r="AC905" i="30"/>
  <c r="AC906" i="30"/>
  <c r="AC907" i="30"/>
  <c r="AC908" i="30"/>
  <c r="AC909" i="30"/>
  <c r="AC910" i="30"/>
  <c r="AC911" i="30"/>
  <c r="AC912" i="30"/>
  <c r="AC913" i="30"/>
  <c r="AC914" i="30"/>
  <c r="AC915" i="30"/>
  <c r="AC916" i="30"/>
  <c r="AC917" i="30"/>
  <c r="AC918" i="30"/>
  <c r="AC919" i="30"/>
  <c r="AC920" i="30"/>
  <c r="AC921" i="30"/>
  <c r="AC922" i="30"/>
  <c r="AC923" i="30"/>
  <c r="AC924" i="30"/>
  <c r="AC925" i="30"/>
  <c r="AC926" i="30"/>
  <c r="AC927" i="30"/>
  <c r="AC928" i="30"/>
  <c r="AC929" i="30"/>
  <c r="AC930" i="30"/>
  <c r="AC931" i="30"/>
  <c r="AC932" i="30"/>
  <c r="AC933" i="30"/>
  <c r="AC934" i="30"/>
  <c r="AC935" i="30"/>
  <c r="AC936" i="30"/>
  <c r="AC937" i="30"/>
  <c r="AC938" i="30"/>
  <c r="AC939" i="30"/>
  <c r="AC940" i="30"/>
  <c r="AC941" i="30"/>
  <c r="AC942" i="30"/>
  <c r="AC943" i="30"/>
  <c r="AC944" i="30"/>
  <c r="AC945" i="30"/>
  <c r="AC946" i="30"/>
  <c r="AC947" i="30"/>
  <c r="AC948" i="30"/>
  <c r="AC949" i="30"/>
  <c r="AC950" i="30"/>
  <c r="AC951" i="30"/>
  <c r="AC952" i="30"/>
  <c r="AC953" i="30"/>
  <c r="AC954" i="30"/>
  <c r="AC955" i="30"/>
  <c r="AC956" i="30"/>
  <c r="AC957" i="30"/>
  <c r="AC958" i="30"/>
  <c r="AC959" i="30"/>
  <c r="AC960" i="30"/>
  <c r="AC961" i="30"/>
  <c r="AC962" i="30"/>
  <c r="AC963" i="30"/>
  <c r="AC964" i="30"/>
  <c r="AC965" i="30"/>
  <c r="AC966" i="30"/>
  <c r="AC967" i="30"/>
  <c r="AC968" i="30"/>
  <c r="AC969" i="30"/>
  <c r="AC970" i="30"/>
  <c r="AC971" i="30"/>
  <c r="AC972" i="30"/>
  <c r="AC973" i="30"/>
  <c r="AC974" i="30"/>
  <c r="AC975" i="30"/>
  <c r="AC976" i="30"/>
  <c r="AC977" i="30"/>
  <c r="AC978" i="30"/>
  <c r="AC979" i="30"/>
  <c r="AC980" i="30"/>
  <c r="AC981" i="30"/>
  <c r="AC982" i="30"/>
  <c r="AC983" i="30"/>
  <c r="AC984" i="30"/>
  <c r="AC985" i="30"/>
  <c r="AC986" i="30"/>
  <c r="AC987" i="30"/>
  <c r="AC988" i="30"/>
  <c r="AC989" i="30"/>
  <c r="AC990" i="30"/>
  <c r="AC991" i="30"/>
  <c r="AC992" i="30"/>
  <c r="AC993" i="30"/>
  <c r="AC994" i="30"/>
  <c r="AC995" i="30"/>
  <c r="AC996" i="30"/>
  <c r="AC997" i="30"/>
  <c r="AC998" i="30"/>
  <c r="AC999" i="30"/>
  <c r="AC1000" i="30"/>
  <c r="AC1001" i="30"/>
  <c r="AC1002" i="30"/>
  <c r="AC1003" i="30"/>
  <c r="AC1004" i="30"/>
  <c r="AC1005" i="30"/>
  <c r="AC1006" i="30"/>
  <c r="AC1007" i="30"/>
  <c r="AC1008" i="30"/>
  <c r="AC1009" i="30"/>
  <c r="AC1010" i="30"/>
  <c r="AC1011" i="30"/>
  <c r="AC1012" i="30"/>
  <c r="AC1013" i="30"/>
  <c r="AC1014" i="30"/>
  <c r="AC1015" i="30"/>
  <c r="AC1016" i="30"/>
  <c r="AC1017" i="30"/>
  <c r="AC1018" i="30"/>
  <c r="AC1019" i="30"/>
  <c r="AC1020" i="30"/>
  <c r="AC1021" i="30"/>
  <c r="AC1022" i="30"/>
  <c r="AC1023" i="30"/>
  <c r="AC1024" i="30"/>
  <c r="AC1025" i="30"/>
  <c r="AC1026" i="30"/>
  <c r="AC1027" i="30"/>
  <c r="AC1028" i="30"/>
  <c r="AC1029" i="30"/>
  <c r="AC1030" i="30"/>
  <c r="AC1031" i="30"/>
  <c r="AC1032" i="30"/>
  <c r="AC1033" i="30"/>
  <c r="AC1034" i="30"/>
  <c r="AC1035" i="30"/>
  <c r="AC1036" i="30"/>
  <c r="AC1037" i="30"/>
  <c r="AC1038" i="30"/>
  <c r="AC1039" i="30"/>
  <c r="AC1040" i="30"/>
  <c r="AC1041" i="30"/>
  <c r="AC1042" i="30"/>
  <c r="AC1043" i="30"/>
  <c r="AC1044" i="30"/>
  <c r="AC1045" i="30"/>
  <c r="AC1046" i="30"/>
  <c r="AC1047" i="30"/>
  <c r="AC1048" i="30"/>
  <c r="AC1049" i="30"/>
  <c r="AC1050" i="30"/>
  <c r="AC1051" i="30"/>
  <c r="AC1052" i="30"/>
  <c r="AC1053" i="30"/>
  <c r="AC1054" i="30"/>
  <c r="AC1055" i="30"/>
  <c r="AC1056" i="30"/>
  <c r="AC1057" i="30"/>
  <c r="AC1058" i="30"/>
  <c r="AC1059" i="30"/>
  <c r="AC1060" i="30"/>
  <c r="AC1061" i="30"/>
  <c r="AC1062" i="30"/>
  <c r="AC1063" i="30"/>
  <c r="AC1064" i="30"/>
  <c r="AC1065" i="30"/>
  <c r="AC1066" i="30"/>
  <c r="AC1067" i="30"/>
  <c r="AC1068" i="30"/>
  <c r="AC1069" i="30"/>
  <c r="AC1070" i="30"/>
  <c r="AC1071" i="30"/>
  <c r="AC1072" i="30"/>
  <c r="AC1073" i="30"/>
  <c r="AC1074" i="30"/>
  <c r="AC1075" i="30"/>
  <c r="AC1076" i="30"/>
  <c r="AC1077" i="30"/>
  <c r="AC1078" i="30"/>
  <c r="AC1079" i="30"/>
  <c r="AC1080" i="30"/>
  <c r="AC1081" i="30"/>
  <c r="AC1082" i="30"/>
  <c r="AC1083" i="30"/>
  <c r="AC1084" i="30"/>
  <c r="AC1085" i="30"/>
  <c r="AC1086" i="30"/>
  <c r="AC1087" i="30"/>
  <c r="AC1088" i="30"/>
  <c r="AC1089" i="30"/>
  <c r="AC1090" i="30"/>
  <c r="AC1091" i="30"/>
  <c r="AC1092" i="30"/>
  <c r="AC1093" i="30"/>
  <c r="AC1094" i="30"/>
  <c r="AC1095" i="30"/>
  <c r="AC1096" i="30"/>
  <c r="AC1097" i="30"/>
  <c r="AC1098" i="30"/>
  <c r="AC1099" i="30"/>
  <c r="AC1100" i="30"/>
  <c r="AC1101" i="30"/>
  <c r="AC1102" i="30"/>
  <c r="AC1103" i="30"/>
  <c r="AC1104" i="30"/>
  <c r="AC1105" i="30"/>
  <c r="AC1106" i="30"/>
  <c r="AC1107" i="30"/>
  <c r="AC1108" i="30"/>
  <c r="AC1109" i="30"/>
  <c r="AC1110" i="30"/>
  <c r="AC1111" i="30"/>
  <c r="AC1112" i="30"/>
  <c r="AC1113" i="30"/>
  <c r="AC1114" i="30"/>
  <c r="AC1115" i="30"/>
  <c r="AC1116" i="30"/>
  <c r="AC1117" i="30"/>
  <c r="AC1118" i="30"/>
  <c r="AC1119" i="30"/>
  <c r="AC1120" i="30"/>
  <c r="AC1121" i="30"/>
  <c r="AC1122" i="30"/>
  <c r="AC1123" i="30"/>
  <c r="AC1124" i="30"/>
  <c r="AC1125" i="30"/>
  <c r="AC1126" i="30"/>
  <c r="AC1127" i="30"/>
  <c r="AC1128" i="30"/>
  <c r="AC1129" i="30"/>
  <c r="AC1130" i="30"/>
  <c r="AC1131" i="30"/>
  <c r="AC1132" i="30"/>
  <c r="AC1133" i="30"/>
  <c r="AC1134" i="30"/>
  <c r="AC1135" i="30"/>
  <c r="AC1136" i="30"/>
  <c r="AC1137" i="30"/>
  <c r="AC1138" i="30"/>
  <c r="AC1139" i="30"/>
  <c r="AC1140" i="30"/>
  <c r="AC1141" i="30"/>
  <c r="AC1142" i="30"/>
  <c r="L7" i="31" a="1"/>
  <c r="L8" i="31" a="1"/>
  <c r="L9" i="31" a="1"/>
  <c r="L10" i="31" a="1"/>
  <c r="L11" i="31" a="1"/>
  <c r="L12" i="31" a="1"/>
  <c r="L13" i="31" a="1"/>
  <c r="L14" i="31" a="1"/>
  <c r="L15" i="31" a="1"/>
  <c r="L16" i="31" a="1"/>
  <c r="L17" i="31" a="1"/>
  <c r="L18" i="31" a="1"/>
  <c r="L19" i="31" a="1"/>
  <c r="L20" i="31" a="1"/>
  <c r="L21" i="31" a="1"/>
  <c r="L22" i="31" a="1"/>
  <c r="L23" i="31" a="1"/>
  <c r="K8" i="31" a="1"/>
  <c r="K9" i="31" a="1"/>
  <c r="K10" i="31" a="1"/>
  <c r="K11" i="31" a="1"/>
  <c r="K12" i="31" a="1"/>
  <c r="K13" i="31" a="1"/>
  <c r="K14" i="31" a="1"/>
  <c r="K15" i="31" a="1"/>
  <c r="K16" i="31" a="1"/>
  <c r="K17" i="31" a="1"/>
  <c r="K18" i="31" a="1"/>
  <c r="K19" i="31" a="1"/>
  <c r="K20" i="31" a="1"/>
  <c r="K21" i="31" a="1"/>
  <c r="K22" i="31" a="1"/>
  <c r="K23" i="31" a="1"/>
  <c r="K7" i="31" a="1"/>
  <c r="U12" i="31"/>
  <c r="Q12" i="31"/>
  <c r="X7" i="31" a="1"/>
  <c r="X8" i="31" a="1"/>
  <c r="X9" i="31" a="1"/>
  <c r="X10" i="31" a="1"/>
  <c r="X11" i="31" a="1"/>
  <c r="X12" i="31" a="1"/>
  <c r="X13" i="31" a="1"/>
  <c r="X14" i="31" a="1"/>
  <c r="X15" i="31" a="1"/>
  <c r="X16" i="31" a="1"/>
  <c r="X17" i="31" a="1"/>
  <c r="X18" i="31" a="1"/>
  <c r="X19" i="31" a="1"/>
  <c r="X20" i="31" a="1"/>
  <c r="X21" i="31" a="1"/>
  <c r="X22" i="31" a="1"/>
  <c r="X23" i="31" a="1"/>
  <c r="C7" i="31"/>
  <c r="E7" i="31" a="1"/>
  <c r="C8" i="31"/>
  <c r="D8" i="31" a="1"/>
  <c r="E8" i="31" a="1"/>
  <c r="C9" i="31"/>
  <c r="D9" i="31" a="1"/>
  <c r="E9" i="31" a="1"/>
  <c r="C10" i="31"/>
  <c r="D10" i="31" a="1"/>
  <c r="E10" i="31" a="1"/>
  <c r="C11" i="31"/>
  <c r="D11" i="31" a="1"/>
  <c r="E11" i="31" a="1"/>
  <c r="C12" i="31"/>
  <c r="D12" i="31" a="1"/>
  <c r="E12" i="31" a="1"/>
  <c r="C13" i="31"/>
  <c r="D13" i="31" a="1"/>
  <c r="E13" i="31" a="1"/>
  <c r="C14" i="31"/>
  <c r="D14" i="31" a="1"/>
  <c r="E14" i="31" a="1"/>
  <c r="C15" i="31"/>
  <c r="D15" i="31" a="1"/>
  <c r="E15" i="31" a="1"/>
  <c r="C16" i="31"/>
  <c r="D16" i="31" a="1"/>
  <c r="E16" i="31" a="1"/>
  <c r="C17" i="31"/>
  <c r="D17" i="31" a="1"/>
  <c r="E17" i="31" a="1"/>
  <c r="C18" i="31"/>
  <c r="D18" i="31" a="1"/>
  <c r="E18" i="31" a="1"/>
  <c r="C19" i="31"/>
  <c r="D19" i="31" a="1"/>
  <c r="E19" i="31" a="1"/>
  <c r="C20" i="31"/>
  <c r="D20" i="31" a="1"/>
  <c r="E20" i="31" a="1"/>
  <c r="C21" i="31"/>
  <c r="D21" i="31" a="1"/>
  <c r="E21" i="31" a="1"/>
  <c r="C22" i="31"/>
  <c r="D22" i="31" a="1"/>
  <c r="E22" i="31" a="1"/>
  <c r="C23" i="31"/>
  <c r="D23" i="31" a="1"/>
  <c r="E23" i="31" a="1"/>
  <c r="B4" i="31"/>
  <c r="G7" i="31"/>
  <c r="H7" i="31" a="1"/>
  <c r="I7" i="31" a="1"/>
  <c r="J7" i="31" a="1"/>
  <c r="N7" i="31"/>
  <c r="G8" i="31"/>
  <c r="H8" i="31" a="1"/>
  <c r="I8" i="31" a="1"/>
  <c r="J8" i="31" a="1"/>
  <c r="N8" i="31"/>
  <c r="G9" i="31"/>
  <c r="H9" i="31" a="1"/>
  <c r="I9" i="31" a="1"/>
  <c r="J9" i="31" a="1"/>
  <c r="N9" i="31"/>
  <c r="G10" i="31"/>
  <c r="H10" i="31" a="1"/>
  <c r="I10" i="31" a="1"/>
  <c r="J10" i="31" a="1"/>
  <c r="N10" i="31"/>
  <c r="G11" i="31"/>
  <c r="H11" i="31" a="1"/>
  <c r="I11" i="31" a="1"/>
  <c r="J11" i="31" a="1"/>
  <c r="N11" i="31"/>
  <c r="G12" i="31"/>
  <c r="H12" i="31" a="1"/>
  <c r="I12" i="31" a="1"/>
  <c r="J12" i="31" a="1"/>
  <c r="N12" i="31"/>
  <c r="G13" i="31"/>
  <c r="H13" i="31" a="1"/>
  <c r="I13" i="31" a="1"/>
  <c r="J13" i="31" a="1"/>
  <c r="N13" i="31"/>
  <c r="G14" i="31"/>
  <c r="H14" i="31" a="1"/>
  <c r="I14" i="31" a="1"/>
  <c r="J14" i="31" a="1"/>
  <c r="N14" i="31"/>
  <c r="G15" i="31"/>
  <c r="H15" i="31" a="1"/>
  <c r="I15" i="31" a="1"/>
  <c r="J15" i="31" a="1"/>
  <c r="N15" i="31"/>
  <c r="G16" i="31"/>
  <c r="H16" i="31" a="1"/>
  <c r="I16" i="31" a="1"/>
  <c r="J16" i="31" a="1"/>
  <c r="N16" i="31"/>
  <c r="G17" i="31"/>
  <c r="H17" i="31" a="1"/>
  <c r="I17" i="31" a="1"/>
  <c r="J17" i="31" a="1"/>
  <c r="N17" i="31"/>
  <c r="G18" i="31"/>
  <c r="H18" i="31" a="1"/>
  <c r="I18" i="31" a="1"/>
  <c r="J18" i="31" a="1"/>
  <c r="N18" i="31"/>
  <c r="G19" i="31"/>
  <c r="H19" i="31" a="1"/>
  <c r="I19" i="31" a="1"/>
  <c r="J19" i="31" a="1"/>
  <c r="N19" i="31"/>
  <c r="G20" i="31"/>
  <c r="H20" i="31" a="1"/>
  <c r="I20" i="31" a="1"/>
  <c r="J20" i="31" a="1"/>
  <c r="N20" i="31"/>
  <c r="G21" i="31"/>
  <c r="H21" i="31" a="1"/>
  <c r="I21" i="31" a="1"/>
  <c r="J21" i="31" a="1"/>
  <c r="N21" i="31"/>
  <c r="G22" i="31"/>
  <c r="H22" i="31" a="1"/>
  <c r="I22" i="31" a="1"/>
  <c r="J22" i="31" a="1"/>
  <c r="N22" i="31"/>
  <c r="G23" i="31"/>
  <c r="H23" i="31" a="1"/>
  <c r="I23" i="31" a="1"/>
  <c r="J23" i="31" a="1"/>
  <c r="N23" i="31"/>
  <c r="AA438" i="30"/>
  <c r="AA439" i="30"/>
  <c r="AA440" i="30"/>
  <c r="AA441" i="30"/>
  <c r="AA442" i="30"/>
  <c r="AA443" i="30"/>
  <c r="AA448" i="30"/>
  <c r="AA447" i="30"/>
  <c r="AA449" i="30"/>
  <c r="AA444" i="30"/>
  <c r="AA445" i="30"/>
  <c r="AA446" i="30"/>
  <c r="AA450" i="30"/>
  <c r="AA451" i="30"/>
  <c r="AA452" i="30"/>
  <c r="AA453" i="30"/>
  <c r="AA462" i="30"/>
  <c r="AA454" i="30"/>
  <c r="AA455" i="30"/>
  <c r="AA463" i="30"/>
  <c r="AA461" i="30"/>
  <c r="AA456" i="30"/>
  <c r="AA457" i="30"/>
  <c r="AA458" i="30"/>
  <c r="AA459" i="30"/>
  <c r="AA460" i="30"/>
  <c r="AA469" i="30"/>
  <c r="AA470" i="30"/>
  <c r="AA467" i="30"/>
  <c r="AA471" i="30"/>
  <c r="AA464" i="30"/>
  <c r="AA465" i="30"/>
  <c r="AA472" i="30"/>
  <c r="AA473" i="30"/>
  <c r="AA468" i="30"/>
  <c r="AA466" i="30"/>
  <c r="AA474" i="30"/>
  <c r="AA475" i="30"/>
  <c r="AA856" i="30"/>
  <c r="AA873" i="30"/>
  <c r="AA874" i="30"/>
  <c r="AA875" i="30"/>
  <c r="AA876" i="30"/>
  <c r="AA877" i="30"/>
  <c r="AA878" i="30"/>
  <c r="AA879" i="30"/>
  <c r="AA899" i="30"/>
  <c r="AA880" i="30"/>
  <c r="AA881" i="30"/>
  <c r="AA882" i="30"/>
  <c r="AA883" i="30"/>
  <c r="AA884" i="30"/>
  <c r="AA885" i="30"/>
  <c r="AA886" i="30"/>
  <c r="AA887" i="30"/>
  <c r="AA888" i="30"/>
  <c r="AA889" i="30"/>
  <c r="AA890" i="30"/>
  <c r="AA891" i="30"/>
  <c r="AA892" i="30"/>
  <c r="AA900" i="30"/>
  <c r="AA901" i="30"/>
  <c r="AA893" i="30"/>
  <c r="AA894" i="30"/>
  <c r="AA857" i="30"/>
  <c r="AA858" i="30"/>
  <c r="AA859" i="30"/>
  <c r="AA860" i="30"/>
  <c r="AA896" i="30"/>
  <c r="AA897" i="30"/>
  <c r="AA861" i="30"/>
  <c r="AA898" i="30"/>
  <c r="AA862" i="30"/>
  <c r="AA863" i="30"/>
  <c r="AA902" i="30"/>
  <c r="AA903" i="30"/>
  <c r="AA864" i="30"/>
  <c r="AA865" i="30"/>
  <c r="AA866" i="30"/>
  <c r="AA867" i="30"/>
  <c r="AA868" i="30"/>
  <c r="AA869" i="30"/>
  <c r="AA895" i="30"/>
  <c r="AA870" i="30"/>
  <c r="AA871" i="30"/>
  <c r="AA872" i="30"/>
  <c r="AA326" i="30"/>
  <c r="AA327" i="30"/>
  <c r="AA328" i="30"/>
  <c r="AA329" i="30"/>
  <c r="AA330" i="30"/>
  <c r="AA331" i="30"/>
  <c r="AA332" i="30"/>
  <c r="AA333" i="30"/>
  <c r="AA334" i="30"/>
  <c r="AA335" i="30"/>
  <c r="AA337" i="30"/>
  <c r="AA338" i="30"/>
  <c r="AA336" i="30"/>
  <c r="AA815" i="30"/>
  <c r="AA816" i="30"/>
  <c r="AA817" i="30"/>
  <c r="AA818" i="30"/>
  <c r="AA819" i="30"/>
  <c r="AA820" i="30"/>
  <c r="AA822" i="30"/>
  <c r="AA769" i="30"/>
  <c r="AA823" i="30"/>
  <c r="AA824" i="30"/>
  <c r="AA825" i="30"/>
  <c r="AA826" i="30"/>
  <c r="AA827" i="30"/>
  <c r="AA841" i="30"/>
  <c r="AA828" i="30"/>
  <c r="AA829" i="30"/>
  <c r="AA830" i="30"/>
  <c r="AA831" i="30"/>
  <c r="AA832" i="30"/>
  <c r="AA833" i="30"/>
  <c r="AA834" i="30"/>
  <c r="AA835" i="30"/>
  <c r="AA836" i="30"/>
  <c r="AA770" i="30"/>
  <c r="AA771" i="30"/>
  <c r="AA772" i="30"/>
  <c r="AA773" i="30"/>
  <c r="AA774" i="30"/>
  <c r="AA775" i="30"/>
  <c r="AA840" i="30"/>
  <c r="AA776" i="30"/>
  <c r="AA777" i="30"/>
  <c r="AA778" i="30"/>
  <c r="AA779" i="30"/>
  <c r="AA780" i="30"/>
  <c r="AA781" i="30"/>
  <c r="AA839" i="30"/>
  <c r="AA782" i="30"/>
  <c r="AA783" i="30"/>
  <c r="AA784" i="30"/>
  <c r="AA785" i="30"/>
  <c r="AA786" i="30"/>
  <c r="AA787" i="30"/>
  <c r="AA844" i="30"/>
  <c r="AA821" i="30"/>
  <c r="AA788" i="30"/>
  <c r="AA789" i="30"/>
  <c r="AA842" i="30"/>
  <c r="AA790" i="30"/>
  <c r="AA791" i="30"/>
  <c r="AA792" i="30"/>
  <c r="AA793" i="30"/>
  <c r="AA794" i="30"/>
  <c r="AA845" i="30"/>
  <c r="AA795" i="30"/>
  <c r="AA846" i="30"/>
  <c r="AA847" i="30"/>
  <c r="AA837" i="30"/>
  <c r="AA848" i="30"/>
  <c r="AA849" i="30"/>
  <c r="AA796" i="30"/>
  <c r="AA797" i="30"/>
  <c r="AA798" i="30"/>
  <c r="AA799" i="30"/>
  <c r="AA800" i="30"/>
  <c r="AA801" i="30"/>
  <c r="AA850" i="30"/>
  <c r="AA802" i="30"/>
  <c r="AA851" i="30"/>
  <c r="AA852" i="30"/>
  <c r="AA803" i="30"/>
  <c r="AA804" i="30"/>
  <c r="AA805" i="30"/>
  <c r="AA806" i="30"/>
  <c r="AA838" i="30"/>
  <c r="AA807" i="30"/>
  <c r="AA853" i="30"/>
  <c r="AA854" i="30"/>
  <c r="AA808" i="30"/>
  <c r="AA855" i="30"/>
  <c r="AA809" i="30"/>
  <c r="AA810" i="30"/>
  <c r="AA811" i="30"/>
  <c r="AA812" i="30"/>
  <c r="AA813" i="30"/>
  <c r="AA814" i="30"/>
  <c r="AA843" i="30"/>
  <c r="AA477" i="30"/>
  <c r="AA487" i="30"/>
  <c r="AA505" i="30"/>
  <c r="AA482" i="30"/>
  <c r="AA506" i="30"/>
  <c r="AA483" i="30"/>
  <c r="AA507" i="30"/>
  <c r="AA489" i="30"/>
  <c r="AA488" i="30"/>
  <c r="AA484" i="30"/>
  <c r="AA508" i="30"/>
  <c r="AA509" i="30"/>
  <c r="AA510" i="30"/>
  <c r="AA511" i="30"/>
  <c r="AA512" i="30"/>
  <c r="AA513" i="30"/>
  <c r="AA514" i="30"/>
  <c r="AA515" i="30"/>
  <c r="AA516" i="30"/>
  <c r="AA517" i="30"/>
  <c r="AA518" i="30"/>
  <c r="AA519" i="30"/>
  <c r="AA520" i="30"/>
  <c r="AA521" i="30"/>
  <c r="AA485" i="30"/>
  <c r="AA522" i="30"/>
  <c r="AA490" i="30"/>
  <c r="AA478" i="30"/>
  <c r="AA491" i="30"/>
  <c r="AA492" i="30"/>
  <c r="AA479" i="30"/>
  <c r="AA493" i="30"/>
  <c r="AA494" i="30"/>
  <c r="AA495" i="30"/>
  <c r="AA496" i="30"/>
  <c r="AA497" i="30"/>
  <c r="AA476" i="30"/>
  <c r="AA480" i="30"/>
  <c r="AA498" i="30"/>
  <c r="AA499" i="30"/>
  <c r="AA486" i="30"/>
  <c r="AA500" i="30"/>
  <c r="AA481" i="30"/>
  <c r="AA501" i="30"/>
  <c r="AA502" i="30"/>
  <c r="AA503" i="30"/>
  <c r="AA504" i="30"/>
  <c r="AA1088" i="30"/>
  <c r="AA1089" i="30"/>
  <c r="AA1086" i="30"/>
  <c r="AA1090" i="30"/>
  <c r="AA1091" i="30"/>
  <c r="AA1092" i="30"/>
  <c r="AA1093" i="30"/>
  <c r="AA1094" i="30"/>
  <c r="AA1095" i="30"/>
  <c r="AA1096" i="30"/>
  <c r="AA1097" i="30"/>
  <c r="AA1098" i="30"/>
  <c r="AA1099" i="30"/>
  <c r="AA1100" i="30"/>
  <c r="AA1101" i="30"/>
  <c r="AA1102" i="30"/>
  <c r="AA1103" i="30"/>
  <c r="AA1085" i="30"/>
  <c r="AA1104" i="30"/>
  <c r="AA1105" i="30"/>
  <c r="AA1106" i="30"/>
  <c r="AA1107" i="30"/>
  <c r="AA1108" i="30"/>
  <c r="AA1109" i="30"/>
  <c r="AA1110" i="30"/>
  <c r="AA1111" i="30"/>
  <c r="AA1081" i="30"/>
  <c r="AA1112" i="30"/>
  <c r="AA1113" i="30"/>
  <c r="AA1114" i="30"/>
  <c r="AA1082" i="30"/>
  <c r="AA1115" i="30"/>
  <c r="AA1116" i="30"/>
  <c r="AA1117" i="30"/>
  <c r="AA1118" i="30"/>
  <c r="AA1119" i="30"/>
  <c r="AA1120" i="30"/>
  <c r="AA1121" i="30"/>
  <c r="AA1122" i="30"/>
  <c r="AA1123" i="30"/>
  <c r="AA1124" i="30"/>
  <c r="AA1125" i="30"/>
  <c r="AA1126" i="30"/>
  <c r="AA1127" i="30"/>
  <c r="AA1128" i="30"/>
  <c r="AA1129" i="30"/>
  <c r="AA1130" i="30"/>
  <c r="AA1131" i="30"/>
  <c r="AA1132" i="30"/>
  <c r="AA1133" i="30"/>
  <c r="AA1083" i="30"/>
  <c r="AA1087" i="30"/>
  <c r="AA1134" i="30"/>
  <c r="AA1084" i="30"/>
  <c r="AA1135" i="30"/>
  <c r="AA1136" i="30"/>
  <c r="AA1137" i="30"/>
  <c r="AA1138" i="30"/>
  <c r="AA1139" i="30"/>
  <c r="AA1140" i="30"/>
  <c r="AA1141" i="30"/>
  <c r="AA1142" i="30"/>
  <c r="AA998" i="30"/>
  <c r="AA1010" i="30"/>
  <c r="AA1011" i="30"/>
  <c r="AA1012" i="30"/>
  <c r="AA1013" i="30"/>
  <c r="AA1014" i="30"/>
  <c r="AA1015" i="30"/>
  <c r="AA1016" i="30"/>
  <c r="AA1017" i="30"/>
  <c r="AA1018" i="30"/>
  <c r="AA1019" i="30"/>
  <c r="AA1020" i="30"/>
  <c r="AA1021" i="30"/>
  <c r="AA1022" i="30"/>
  <c r="AA1023" i="30"/>
  <c r="AA1024" i="30"/>
  <c r="AA1034" i="30"/>
  <c r="AA1025" i="30"/>
  <c r="AA1026" i="30"/>
  <c r="AA1027" i="30"/>
  <c r="AA1028" i="30"/>
  <c r="AA1029" i="30"/>
  <c r="AA1030" i="30"/>
  <c r="AA1031" i="30"/>
  <c r="AA1032" i="30"/>
  <c r="AA1033" i="30"/>
  <c r="AA996" i="30"/>
  <c r="AA997" i="30"/>
  <c r="AA999" i="30"/>
  <c r="AA1000" i="30"/>
  <c r="AA1035" i="30"/>
  <c r="AA1001" i="30"/>
  <c r="AA1002" i="30"/>
  <c r="AA1003" i="30"/>
  <c r="AA1004" i="30"/>
  <c r="AA1005" i="30"/>
  <c r="AA1006" i="30"/>
  <c r="AA1007" i="30"/>
  <c r="AA1008" i="30"/>
  <c r="AA1009" i="30"/>
  <c r="AA306" i="30"/>
  <c r="AA315" i="30"/>
  <c r="AA319" i="30"/>
  <c r="AA320" i="30"/>
  <c r="AA321" i="30"/>
  <c r="AA322" i="30"/>
  <c r="AA323" i="30"/>
  <c r="AA324" i="30"/>
  <c r="AA325" i="30"/>
  <c r="AA307" i="30"/>
  <c r="AA305" i="30"/>
  <c r="AA308" i="30"/>
  <c r="AA309" i="30"/>
  <c r="AA310" i="30"/>
  <c r="AA303" i="30"/>
  <c r="AA311" i="30"/>
  <c r="AA312" i="30"/>
  <c r="AA313" i="30"/>
  <c r="AA314" i="30"/>
  <c r="AA316" i="30"/>
  <c r="AA317" i="30"/>
  <c r="AA318" i="30"/>
  <c r="AA304" i="30"/>
  <c r="AA678" i="30"/>
  <c r="AA707" i="30"/>
  <c r="AA733" i="30"/>
  <c r="AA734" i="30"/>
  <c r="AA735" i="30"/>
  <c r="AA736" i="30"/>
  <c r="AA737" i="30"/>
  <c r="AA738" i="30"/>
  <c r="AA739" i="30"/>
  <c r="AA740" i="30"/>
  <c r="AA741" i="30"/>
  <c r="AA680" i="30"/>
  <c r="AA742" i="30"/>
  <c r="AA743" i="30"/>
  <c r="AA744" i="30"/>
  <c r="AA745" i="30"/>
  <c r="AA746" i="30"/>
  <c r="AA747" i="30"/>
  <c r="AA748" i="30"/>
  <c r="AA749" i="30"/>
  <c r="AA750" i="30"/>
  <c r="AA675" i="30"/>
  <c r="AA676" i="30"/>
  <c r="AA677" i="30"/>
  <c r="AA751" i="30"/>
  <c r="AA752" i="30"/>
  <c r="AA681" i="30"/>
  <c r="AA682" i="30"/>
  <c r="AA683" i="30"/>
  <c r="AA684" i="30"/>
  <c r="AA685" i="30"/>
  <c r="AA686" i="30"/>
  <c r="AA687" i="30"/>
  <c r="AA688" i="30"/>
  <c r="AA689" i="30"/>
  <c r="AA690" i="30"/>
  <c r="AA691" i="30"/>
  <c r="AA692" i="30"/>
  <c r="AA693" i="30"/>
  <c r="AA694" i="30"/>
  <c r="AA695" i="30"/>
  <c r="AA696" i="30"/>
  <c r="AA697" i="30"/>
  <c r="AA698" i="30"/>
  <c r="AA699" i="30"/>
  <c r="AA700" i="30"/>
  <c r="AA701" i="30"/>
  <c r="AA702" i="30"/>
  <c r="AA703" i="30"/>
  <c r="AA704" i="30"/>
  <c r="AA705" i="30"/>
  <c r="AA706" i="30"/>
  <c r="AA708" i="30"/>
  <c r="AA709" i="30"/>
  <c r="AA710" i="30"/>
  <c r="AA711" i="30"/>
  <c r="AA712" i="30"/>
  <c r="AA713" i="30"/>
  <c r="AA714" i="30"/>
  <c r="AA715" i="30"/>
  <c r="AA716" i="30"/>
  <c r="AA717" i="30"/>
  <c r="AA718" i="30"/>
  <c r="AA719" i="30"/>
  <c r="AA720" i="30"/>
  <c r="AA721" i="30"/>
  <c r="AA679" i="30"/>
  <c r="AA722" i="30"/>
  <c r="AA723" i="30"/>
  <c r="AA724" i="30"/>
  <c r="AA725" i="30"/>
  <c r="AA726" i="30"/>
  <c r="AA727" i="30"/>
  <c r="AA728" i="30"/>
  <c r="AA729" i="30"/>
  <c r="AA730" i="30"/>
  <c r="AA731" i="30"/>
  <c r="AA732" i="30"/>
  <c r="AA253" i="30"/>
  <c r="AA262" i="30"/>
  <c r="AA263" i="30"/>
  <c r="AA288" i="30"/>
  <c r="AA249" i="30"/>
  <c r="AA255" i="30"/>
  <c r="AA289" i="30"/>
  <c r="AA290" i="30"/>
  <c r="AA291" i="30"/>
  <c r="AA292" i="30"/>
  <c r="AA293" i="30"/>
  <c r="AA294" i="30"/>
  <c r="AA295" i="30"/>
  <c r="AA256" i="30"/>
  <c r="AA296" i="30"/>
  <c r="AA297" i="30"/>
  <c r="AA298" i="30"/>
  <c r="AA299" i="30"/>
  <c r="AA300" i="30"/>
  <c r="AA301" i="30"/>
  <c r="AA302" i="30"/>
  <c r="AA267" i="30"/>
  <c r="AA270" i="30"/>
  <c r="AA258" i="30"/>
  <c r="AA259" i="30"/>
  <c r="AA271" i="30"/>
  <c r="AA261" i="30"/>
  <c r="AA250" i="30"/>
  <c r="AA272" i="30"/>
  <c r="AA273" i="30"/>
  <c r="AA274" i="30"/>
  <c r="AA268" i="30"/>
  <c r="AA275" i="30"/>
  <c r="AA248" i="30"/>
  <c r="AA276" i="30"/>
  <c r="AA277" i="30"/>
  <c r="AA278" i="30"/>
  <c r="AA279" i="30"/>
  <c r="AA280" i="30"/>
  <c r="AA281" i="30"/>
  <c r="AA282" i="30"/>
  <c r="AA283" i="30"/>
  <c r="AA264" i="30"/>
  <c r="AA265" i="30"/>
  <c r="AA254" i="30"/>
  <c r="AA284" i="30"/>
  <c r="AA257" i="30"/>
  <c r="AA285" i="30"/>
  <c r="AA269" i="30"/>
  <c r="AA260" i="30"/>
  <c r="AA286" i="30"/>
  <c r="AA287" i="30"/>
  <c r="AA266" i="30"/>
  <c r="AA251" i="30"/>
  <c r="AA252" i="30"/>
  <c r="AA907" i="30"/>
  <c r="AA931" i="30"/>
  <c r="AA947" i="30"/>
  <c r="AA962" i="30"/>
  <c r="AA979" i="30"/>
  <c r="AA992" i="30"/>
  <c r="AA993" i="30"/>
  <c r="AA994" i="30"/>
  <c r="AA995" i="30"/>
  <c r="AA908" i="30"/>
  <c r="AA918" i="30"/>
  <c r="AA926" i="30"/>
  <c r="AA927" i="30"/>
  <c r="AA928" i="30"/>
  <c r="AA929" i="30"/>
  <c r="AA930" i="30"/>
  <c r="AA909" i="30"/>
  <c r="AA910" i="30"/>
  <c r="AA911" i="30"/>
  <c r="AA912" i="30"/>
  <c r="AA913" i="30"/>
  <c r="AA914" i="30"/>
  <c r="AA915" i="30"/>
  <c r="AA916" i="30"/>
  <c r="AA917" i="30"/>
  <c r="AA919" i="30"/>
  <c r="AA920" i="30"/>
  <c r="AA921" i="30"/>
  <c r="AA922" i="30"/>
  <c r="AA923" i="30"/>
  <c r="AA924" i="30"/>
  <c r="AA925" i="30"/>
  <c r="AA932" i="30"/>
  <c r="AA905" i="30"/>
  <c r="AA933" i="30"/>
  <c r="AA934" i="30"/>
  <c r="AA935" i="30"/>
  <c r="AA936" i="30"/>
  <c r="AA937" i="30"/>
  <c r="AA938" i="30"/>
  <c r="AA939" i="30"/>
  <c r="AA940" i="30"/>
  <c r="AA941" i="30"/>
  <c r="AA942" i="30"/>
  <c r="AA943" i="30"/>
  <c r="AA944" i="30"/>
  <c r="AA945" i="30"/>
  <c r="AA946" i="30"/>
  <c r="AA948" i="30"/>
  <c r="AA949" i="30"/>
  <c r="AA950" i="30"/>
  <c r="AA951" i="30"/>
  <c r="AA952" i="30"/>
  <c r="AA953" i="30"/>
  <c r="AA954" i="30"/>
  <c r="AA955" i="30"/>
  <c r="AA956" i="30"/>
  <c r="AA957" i="30"/>
  <c r="AA958" i="30"/>
  <c r="AA959" i="30"/>
  <c r="AA960" i="30"/>
  <c r="AA961" i="30"/>
  <c r="AA963" i="30"/>
  <c r="AA964" i="30"/>
  <c r="AA965" i="30"/>
  <c r="AA966" i="30"/>
  <c r="AA967" i="30"/>
  <c r="AA968" i="30"/>
  <c r="AA969" i="30"/>
  <c r="AA970" i="30"/>
  <c r="AA971" i="30"/>
  <c r="AA972" i="30"/>
  <c r="AA973" i="30"/>
  <c r="AA974" i="30"/>
  <c r="AA975" i="30"/>
  <c r="AA976" i="30"/>
  <c r="AA977" i="30"/>
  <c r="AA978" i="30"/>
  <c r="AA980" i="30"/>
  <c r="AA906" i="30"/>
  <c r="AA904" i="30"/>
  <c r="AA981" i="30"/>
  <c r="AA982" i="30"/>
  <c r="AA983" i="30"/>
  <c r="AA984" i="30"/>
  <c r="AA985" i="30"/>
  <c r="AA986" i="30"/>
  <c r="AA987" i="30"/>
  <c r="AA988" i="30"/>
  <c r="AA989" i="30"/>
  <c r="AA990" i="30"/>
  <c r="AA991" i="30"/>
  <c r="AA659" i="30"/>
  <c r="AA664" i="30"/>
  <c r="AA665" i="30"/>
  <c r="AA651" i="30"/>
  <c r="AA648" i="30"/>
  <c r="AA649" i="30"/>
  <c r="AA666" i="30"/>
  <c r="AA667" i="30"/>
  <c r="AA668" i="30"/>
  <c r="AA669" i="30"/>
  <c r="AA640" i="30"/>
  <c r="AA647" i="30"/>
  <c r="AA670" i="30"/>
  <c r="AA671" i="30"/>
  <c r="AA672" i="30"/>
  <c r="AA654" i="30"/>
  <c r="AA642" i="30"/>
  <c r="AA643" i="30"/>
  <c r="AA655" i="30"/>
  <c r="AA644" i="30"/>
  <c r="AA673" i="30"/>
  <c r="AA650" i="30"/>
  <c r="AA645" i="30"/>
  <c r="AA641" i="30"/>
  <c r="AA674" i="30"/>
  <c r="AA646" i="30"/>
  <c r="AA660" i="30"/>
  <c r="AA636" i="30"/>
  <c r="AA658" i="30"/>
  <c r="AA652" i="30"/>
  <c r="AA656" i="30"/>
  <c r="AA638" i="30"/>
  <c r="AA661" i="30"/>
  <c r="AA657" i="30"/>
  <c r="AA653" i="30"/>
  <c r="AA637" i="30"/>
  <c r="AA639" i="30"/>
  <c r="AA662" i="30"/>
  <c r="AA663" i="30"/>
  <c r="AA754" i="30"/>
  <c r="AA755" i="30"/>
  <c r="AA756" i="30"/>
  <c r="AA757" i="30"/>
  <c r="AA760" i="30"/>
  <c r="AA767" i="30"/>
  <c r="AA766" i="30"/>
  <c r="AA765" i="30"/>
  <c r="AA753" i="30"/>
  <c r="AA758" i="30"/>
  <c r="AA759" i="30"/>
  <c r="AA768" i="30"/>
  <c r="AA763" i="30"/>
  <c r="AA764" i="30"/>
  <c r="AA762" i="30"/>
  <c r="AA761" i="30"/>
  <c r="AA247" i="30"/>
  <c r="AA246" i="30"/>
  <c r="AA232" i="30"/>
  <c r="AA233" i="30"/>
  <c r="AA234" i="30"/>
  <c r="AA235" i="30"/>
  <c r="AA236" i="30"/>
  <c r="AA237" i="30"/>
  <c r="AA238" i="30"/>
  <c r="AA239" i="30"/>
  <c r="AA240" i="30"/>
  <c r="AA241" i="30"/>
  <c r="AA242" i="30"/>
  <c r="AA243" i="30"/>
  <c r="AA244" i="30"/>
  <c r="AA245" i="30"/>
  <c r="AA564" i="30"/>
  <c r="AA565" i="30"/>
  <c r="AA596" i="30"/>
  <c r="AA566" i="30"/>
  <c r="AA597" i="30"/>
  <c r="AA567" i="30"/>
  <c r="AA568" i="30"/>
  <c r="AA569" i="30"/>
  <c r="AA598" i="30"/>
  <c r="AA599" i="30"/>
  <c r="AA570" i="30"/>
  <c r="AA600" i="30"/>
  <c r="AA571" i="30"/>
  <c r="AA572" i="30"/>
  <c r="AA573" i="30"/>
  <c r="AA574" i="30"/>
  <c r="AA601" i="30"/>
  <c r="AA575" i="30"/>
  <c r="AA576" i="30"/>
  <c r="AA577" i="30"/>
  <c r="AA578" i="30"/>
  <c r="AA579" i="30"/>
  <c r="AA580" i="30"/>
  <c r="AA581" i="30"/>
  <c r="AA582" i="30"/>
  <c r="AA583" i="30"/>
  <c r="AA584" i="30"/>
  <c r="AA585" i="30"/>
  <c r="AA586" i="30"/>
  <c r="AA587" i="30"/>
  <c r="AA588" i="30"/>
  <c r="AA593" i="30"/>
  <c r="AA589" i="30"/>
  <c r="AA590" i="30"/>
  <c r="AA594" i="30"/>
  <c r="AA595" i="30"/>
  <c r="AA602" i="30"/>
  <c r="AA603" i="30"/>
  <c r="AA604" i="30"/>
  <c r="AA605" i="30"/>
  <c r="AA606" i="30"/>
  <c r="AA591" i="30"/>
  <c r="AA563" i="30"/>
  <c r="AA592" i="30"/>
  <c r="AA608" i="30"/>
  <c r="AA628" i="30"/>
  <c r="AA629" i="30"/>
  <c r="AA630" i="30"/>
  <c r="AA631" i="30"/>
  <c r="AA632" i="30"/>
  <c r="AA633" i="30"/>
  <c r="AA609" i="30"/>
  <c r="AA635" i="30"/>
  <c r="AA610" i="30"/>
  <c r="AA611" i="30"/>
  <c r="AA612" i="30"/>
  <c r="AA613" i="30"/>
  <c r="AA614" i="30"/>
  <c r="AA634" i="30"/>
  <c r="AA607" i="30"/>
  <c r="AA615" i="30"/>
  <c r="AA616" i="30"/>
  <c r="AA617" i="30"/>
  <c r="AA618" i="30"/>
  <c r="AA619" i="30"/>
  <c r="AA620" i="30"/>
  <c r="AA621" i="30"/>
  <c r="AA622" i="30"/>
  <c r="AA623" i="30"/>
  <c r="AA624" i="30"/>
  <c r="AA625" i="30"/>
  <c r="AA626" i="30"/>
  <c r="AA627" i="30"/>
  <c r="AA525" i="30"/>
  <c r="AA527" i="30"/>
  <c r="AA550" i="30"/>
  <c r="AA554" i="30"/>
  <c r="AA557" i="30"/>
  <c r="AA551" i="30"/>
  <c r="AA549" i="30"/>
  <c r="AA558" i="30"/>
  <c r="AA559" i="30"/>
  <c r="AA526" i="30"/>
  <c r="AA560" i="30"/>
  <c r="AA555" i="30"/>
  <c r="AA524" i="30"/>
  <c r="AA523" i="30"/>
  <c r="AA552" i="30"/>
  <c r="AA553" i="30"/>
  <c r="AA556" i="30"/>
  <c r="AA562" i="30"/>
  <c r="AA537" i="30"/>
  <c r="AA538" i="30"/>
  <c r="AA541" i="30"/>
  <c r="AA542" i="30"/>
  <c r="AA543" i="30"/>
  <c r="AA544" i="30"/>
  <c r="AA545" i="30"/>
  <c r="AA548" i="30"/>
  <c r="AA535" i="30"/>
  <c r="AA532" i="30"/>
  <c r="AA533" i="30"/>
  <c r="AA534" i="30"/>
  <c r="AA536" i="30"/>
  <c r="AA539" i="30"/>
  <c r="AA540" i="30"/>
  <c r="AA546" i="30"/>
  <c r="AA547" i="30"/>
  <c r="AA561" i="30"/>
  <c r="AA531" i="30"/>
  <c r="AA528" i="30"/>
  <c r="AA529" i="30"/>
  <c r="AA530" i="30"/>
  <c r="AA345" i="30"/>
  <c r="AA349" i="30"/>
  <c r="AA339" i="30"/>
  <c r="AA346" i="30"/>
  <c r="AA340" i="30"/>
  <c r="AA347" i="30"/>
  <c r="AA348" i="30"/>
  <c r="AA344" i="30"/>
  <c r="AA343" i="30"/>
  <c r="AA341" i="30"/>
  <c r="AA342" i="30"/>
  <c r="AA353" i="30"/>
  <c r="AA361" i="30"/>
  <c r="AA354" i="30"/>
  <c r="AA362" i="30"/>
  <c r="AA363" i="30"/>
  <c r="AA364" i="30"/>
  <c r="AA365" i="30"/>
  <c r="AA366" i="30"/>
  <c r="AA367" i="30"/>
  <c r="AA368" i="30"/>
  <c r="AA355" i="30"/>
  <c r="AA369" i="30"/>
  <c r="AA356" i="30"/>
  <c r="AA370" i="30"/>
  <c r="AA371" i="30"/>
  <c r="AA357" i="30"/>
  <c r="AA372" i="30"/>
  <c r="AA373" i="30"/>
  <c r="AA358" i="30"/>
  <c r="AA352" i="30"/>
  <c r="AA377" i="30"/>
  <c r="AA374" i="30"/>
  <c r="AA359" i="30"/>
  <c r="AA360" i="30"/>
  <c r="AA378" i="30"/>
  <c r="AA351" i="30"/>
  <c r="AA350" i="30"/>
  <c r="AA375" i="30"/>
  <c r="AA376" i="30"/>
  <c r="AA394" i="30"/>
  <c r="AA387" i="30"/>
  <c r="AA382" i="30"/>
  <c r="AA384" i="30"/>
  <c r="AA397" i="30"/>
  <c r="AA380" i="30"/>
  <c r="AA386" i="30"/>
  <c r="AA383" i="30"/>
  <c r="AA385" i="30"/>
  <c r="AA388" i="30"/>
  <c r="AA396" i="30"/>
  <c r="AA390" i="30"/>
  <c r="AA389" i="30"/>
  <c r="AA392" i="30"/>
  <c r="AA398" i="30"/>
  <c r="AA393" i="30"/>
  <c r="AA395" i="30"/>
  <c r="AA381" i="30"/>
  <c r="AA379" i="30"/>
  <c r="AA391" i="30"/>
  <c r="AA432" i="30"/>
  <c r="AA433" i="30"/>
  <c r="AA434" i="30"/>
  <c r="AA435" i="30"/>
  <c r="AA436" i="30"/>
  <c r="AA437" i="30"/>
  <c r="AA406" i="30"/>
  <c r="AA407" i="30"/>
  <c r="AA408" i="30"/>
  <c r="AA409" i="30"/>
  <c r="AA410" i="30"/>
  <c r="AA411" i="30"/>
  <c r="AA412" i="30"/>
  <c r="AA413" i="30"/>
  <c r="AA414" i="30"/>
  <c r="AA415" i="30"/>
  <c r="AA416" i="30"/>
  <c r="AA400" i="30"/>
  <c r="AA403" i="30"/>
  <c r="AA404" i="30"/>
  <c r="AA405" i="30"/>
  <c r="AA417" i="30"/>
  <c r="AA418" i="30"/>
  <c r="AA401" i="30"/>
  <c r="AA402" i="30"/>
  <c r="AA419" i="30"/>
  <c r="AA420" i="30"/>
  <c r="AA421" i="30"/>
  <c r="AA422" i="30"/>
  <c r="AA423" i="30"/>
  <c r="AA424" i="30"/>
  <c r="AA425" i="30"/>
  <c r="AA426" i="30"/>
  <c r="AA430" i="30"/>
  <c r="AA399" i="30"/>
  <c r="AA427" i="30"/>
  <c r="AA428" i="30"/>
  <c r="AA429" i="30"/>
  <c r="AA431" i="30"/>
  <c r="AA72" i="30"/>
  <c r="AA73" i="30"/>
  <c r="AA42" i="30"/>
  <c r="AA74" i="30"/>
  <c r="AA75" i="30"/>
  <c r="AA76" i="30"/>
  <c r="AA77" i="30"/>
  <c r="AA78" i="30"/>
  <c r="AA79" i="30"/>
  <c r="AA80" i="30"/>
  <c r="AA81" i="30"/>
  <c r="AA82" i="30"/>
  <c r="AA83" i="30"/>
  <c r="AA84" i="30"/>
  <c r="AA85" i="30"/>
  <c r="AA43" i="30"/>
  <c r="AA86" i="30"/>
  <c r="AA87" i="30"/>
  <c r="AA44" i="30"/>
  <c r="AA88" i="30"/>
  <c r="AA52" i="30"/>
  <c r="AA89" i="30"/>
  <c r="AA90" i="30"/>
  <c r="AA91" i="30"/>
  <c r="AA92" i="30"/>
  <c r="AA93" i="30"/>
  <c r="AA94" i="30"/>
  <c r="AA95" i="30"/>
  <c r="AA96" i="30"/>
  <c r="AA53" i="30"/>
  <c r="AA54" i="30"/>
  <c r="AA55" i="30"/>
  <c r="AA56" i="30"/>
  <c r="AA69" i="30"/>
  <c r="AA45" i="30"/>
  <c r="AA46" i="30"/>
  <c r="AA70" i="30"/>
  <c r="AA97" i="30"/>
  <c r="AA57" i="30"/>
  <c r="AA58" i="30"/>
  <c r="AA59" i="30"/>
  <c r="AA60" i="30"/>
  <c r="AA61" i="30"/>
  <c r="AA62" i="30"/>
  <c r="AA47" i="30"/>
  <c r="AA48" i="30"/>
  <c r="AA98" i="30"/>
  <c r="AA99" i="30"/>
  <c r="AA100" i="30"/>
  <c r="AA101" i="30"/>
  <c r="AA102" i="30"/>
  <c r="AA103" i="30"/>
  <c r="AA104" i="30"/>
  <c r="AA105" i="30"/>
  <c r="AA63" i="30"/>
  <c r="AA49" i="30"/>
  <c r="AA106" i="30"/>
  <c r="AA107" i="30"/>
  <c r="AA108" i="30"/>
  <c r="AA109" i="30"/>
  <c r="AA64" i="30"/>
  <c r="AA110" i="30"/>
  <c r="AA50" i="30"/>
  <c r="AA111" i="30"/>
  <c r="AA112" i="30"/>
  <c r="AA113" i="30"/>
  <c r="AA114" i="30"/>
  <c r="AA115" i="30"/>
  <c r="AA116" i="30"/>
  <c r="AA117" i="30"/>
  <c r="AA71" i="30"/>
  <c r="AA118" i="30"/>
  <c r="AA119" i="30"/>
  <c r="AA120" i="30"/>
  <c r="AA121" i="30"/>
  <c r="AA122" i="30"/>
  <c r="AA123" i="30"/>
  <c r="AA124" i="30"/>
  <c r="AA125" i="30"/>
  <c r="AA126" i="30"/>
  <c r="AA65" i="30"/>
  <c r="AA66" i="30"/>
  <c r="AA127" i="30"/>
  <c r="AA128" i="30"/>
  <c r="AA129" i="30"/>
  <c r="AA130" i="30"/>
  <c r="AA131" i="30"/>
  <c r="AA132" i="30"/>
  <c r="AA133" i="30"/>
  <c r="AA134" i="30"/>
  <c r="AA135" i="30"/>
  <c r="AA136" i="30"/>
  <c r="AA67" i="30"/>
  <c r="AA137" i="30"/>
  <c r="AA138" i="30"/>
  <c r="AA139" i="30"/>
  <c r="AA140" i="30"/>
  <c r="AA141" i="30"/>
  <c r="AA142" i="30"/>
  <c r="AA143" i="30"/>
  <c r="AA144" i="30"/>
  <c r="AA145" i="30"/>
  <c r="AA146" i="30"/>
  <c r="AA147" i="30"/>
  <c r="AA148" i="30"/>
  <c r="AA149" i="30"/>
  <c r="AA150" i="30"/>
  <c r="AA151" i="30"/>
  <c r="AA152" i="30"/>
  <c r="AA153" i="30"/>
  <c r="AA154" i="30"/>
  <c r="AA155" i="30"/>
  <c r="AA156" i="30"/>
  <c r="AA157" i="30"/>
  <c r="AA158" i="30"/>
  <c r="AA51" i="30"/>
  <c r="AA159" i="30"/>
  <c r="AA160" i="30"/>
  <c r="AA161" i="30"/>
  <c r="AA162" i="30"/>
  <c r="AA163" i="30"/>
  <c r="AA164" i="30"/>
  <c r="AA165" i="30"/>
  <c r="AA166" i="30"/>
  <c r="AA167" i="30"/>
  <c r="AA68" i="30"/>
  <c r="AA168" i="30"/>
  <c r="AA169" i="30"/>
  <c r="AA170" i="30"/>
  <c r="AA171" i="30"/>
  <c r="AA172" i="30"/>
  <c r="AA173" i="30"/>
  <c r="AA174" i="30"/>
  <c r="AA175" i="30"/>
  <c r="AA176" i="30"/>
  <c r="AA177" i="30"/>
  <c r="AA178" i="30"/>
  <c r="AA179" i="30"/>
  <c r="AA11" i="30"/>
  <c r="AA12" i="30"/>
  <c r="AA13" i="30"/>
  <c r="AA14" i="30"/>
  <c r="AA4" i="30"/>
  <c r="AA5" i="30"/>
  <c r="AA15" i="30"/>
  <c r="AA16" i="30"/>
  <c r="AA3" i="30"/>
  <c r="AA6" i="30"/>
  <c r="AA17" i="30"/>
  <c r="AA7" i="30"/>
  <c r="AA18" i="30"/>
  <c r="AA19" i="30"/>
  <c r="AA20" i="30"/>
  <c r="AA21" i="30"/>
  <c r="AA22" i="30"/>
  <c r="AA23" i="30"/>
  <c r="AA24" i="30"/>
  <c r="AA8" i="30"/>
  <c r="AA25" i="30"/>
  <c r="AA26" i="30"/>
  <c r="AA27" i="30"/>
  <c r="AA2" i="30"/>
  <c r="AA28" i="30"/>
  <c r="AA29" i="30"/>
  <c r="AA30" i="30"/>
  <c r="AA31" i="30"/>
  <c r="AA32" i="30"/>
  <c r="AA33" i="30"/>
  <c r="AA34" i="30"/>
  <c r="AA35" i="30"/>
  <c r="AA36" i="30"/>
  <c r="AA37" i="30"/>
  <c r="AA38" i="30"/>
  <c r="AA10" i="30"/>
  <c r="AA9" i="30"/>
  <c r="AA39" i="30"/>
  <c r="AA40" i="30"/>
  <c r="AA41" i="30"/>
  <c r="AA180" i="30"/>
  <c r="AA181" i="30"/>
  <c r="AA183" i="30"/>
  <c r="AA184" i="30"/>
  <c r="AA182" i="30"/>
  <c r="AA185" i="30"/>
  <c r="AA186" i="30"/>
  <c r="AA194" i="30"/>
  <c r="AA191" i="30"/>
  <c r="AA192" i="30"/>
  <c r="AA195" i="30"/>
  <c r="AA196" i="30"/>
  <c r="AA197" i="30"/>
  <c r="AA198" i="30"/>
  <c r="AA187" i="30"/>
  <c r="AA193" i="30"/>
  <c r="AA199" i="30"/>
  <c r="AA200" i="30"/>
  <c r="AA188" i="30"/>
  <c r="AA201" i="30"/>
  <c r="AA202" i="30"/>
  <c r="AA189" i="30"/>
  <c r="AA203" i="30"/>
  <c r="AA190" i="30"/>
  <c r="AA204" i="30"/>
  <c r="AA205" i="30"/>
  <c r="AA208" i="30"/>
  <c r="AA206" i="30"/>
  <c r="AA207" i="30"/>
  <c r="AA209" i="30"/>
  <c r="AA210" i="30"/>
  <c r="AA211" i="30"/>
  <c r="AA212" i="30"/>
  <c r="AA213" i="30"/>
  <c r="AA214" i="30"/>
  <c r="AA215" i="30"/>
  <c r="AA216" i="30"/>
  <c r="AA217" i="30"/>
  <c r="AA218" i="30"/>
  <c r="AA219" i="30"/>
  <c r="AA220" i="30"/>
  <c r="AA221" i="30"/>
  <c r="AA222" i="30"/>
  <c r="AA223" i="30"/>
  <c r="AA224" i="30"/>
  <c r="AA225" i="30"/>
  <c r="AA226" i="30"/>
  <c r="AA227" i="30"/>
  <c r="AA228" i="30"/>
  <c r="AA229" i="30"/>
  <c r="AA230" i="30"/>
  <c r="AA231" i="30"/>
  <c r="AA1043" i="30"/>
  <c r="AA1050" i="30"/>
  <c r="AA1044" i="30"/>
  <c r="AA1042" i="30"/>
  <c r="AA1046" i="30"/>
  <c r="AA1049" i="30"/>
  <c r="AA1051" i="30"/>
  <c r="AA1052" i="30"/>
  <c r="AA1053" i="30"/>
  <c r="AA1037" i="30"/>
  <c r="AA1047" i="30"/>
  <c r="AA1045" i="30"/>
  <c r="AA1036" i="30"/>
  <c r="AA1041" i="30"/>
  <c r="AA1048" i="30"/>
  <c r="AA1056" i="30"/>
  <c r="AA1054" i="30"/>
  <c r="AA1055" i="30"/>
  <c r="AA1038" i="30"/>
  <c r="AA1057" i="30"/>
  <c r="AA1065" i="30"/>
  <c r="AA1058" i="30"/>
  <c r="AA1061" i="30"/>
  <c r="AA1062" i="30"/>
  <c r="AA1063" i="30"/>
  <c r="AA1059" i="30"/>
  <c r="AA1060" i="30"/>
  <c r="AA1064" i="30"/>
  <c r="AA1039" i="30"/>
  <c r="AA1068" i="30"/>
  <c r="AA1066" i="30"/>
  <c r="AA1067" i="30"/>
  <c r="AA1069" i="30"/>
  <c r="AA1040" i="30"/>
  <c r="AA1073" i="30"/>
  <c r="AA1074" i="30"/>
  <c r="AA1075" i="30"/>
  <c r="AA1070" i="30"/>
  <c r="AA1076" i="30"/>
  <c r="AA1077" i="30"/>
  <c r="AA1071" i="30"/>
  <c r="AA1072" i="30"/>
  <c r="AA1078" i="30"/>
  <c r="AA1079" i="30"/>
  <c r="AA1080" i="30"/>
  <c r="X438" i="30"/>
  <c r="X439" i="30"/>
  <c r="X440" i="30"/>
  <c r="X441" i="30"/>
  <c r="X442" i="30"/>
  <c r="X443" i="30"/>
  <c r="X448" i="30"/>
  <c r="X447" i="30"/>
  <c r="X449" i="30"/>
  <c r="X444" i="30"/>
  <c r="X445" i="30"/>
  <c r="X446" i="30"/>
  <c r="X450" i="30"/>
  <c r="X451" i="30"/>
  <c r="X452" i="30"/>
  <c r="X453" i="30"/>
  <c r="X462" i="30"/>
  <c r="X454" i="30"/>
  <c r="X455" i="30"/>
  <c r="X463" i="30"/>
  <c r="X461" i="30"/>
  <c r="X456" i="30"/>
  <c r="X457" i="30"/>
  <c r="X458" i="30"/>
  <c r="X459" i="30"/>
  <c r="X460" i="30"/>
  <c r="X469" i="30"/>
  <c r="X470" i="30"/>
  <c r="X467" i="30"/>
  <c r="X471" i="30"/>
  <c r="X464" i="30"/>
  <c r="X465" i="30"/>
  <c r="X472" i="30"/>
  <c r="X473" i="30"/>
  <c r="X468" i="30"/>
  <c r="X466" i="30"/>
  <c r="X474" i="30"/>
  <c r="X475" i="30"/>
  <c r="X856" i="30"/>
  <c r="X873" i="30"/>
  <c r="X874" i="30"/>
  <c r="X875" i="30"/>
  <c r="X876" i="30"/>
  <c r="X877" i="30"/>
  <c r="X878" i="30"/>
  <c r="X879" i="30"/>
  <c r="X899" i="30"/>
  <c r="X880" i="30"/>
  <c r="X881" i="30"/>
  <c r="X882" i="30"/>
  <c r="X883" i="30"/>
  <c r="X884" i="30"/>
  <c r="X885" i="30"/>
  <c r="X886" i="30"/>
  <c r="X887" i="30"/>
  <c r="X888" i="30"/>
  <c r="X889" i="30"/>
  <c r="X890" i="30"/>
  <c r="X891" i="30"/>
  <c r="X892" i="30"/>
  <c r="X900" i="30"/>
  <c r="X901" i="30"/>
  <c r="X893" i="30"/>
  <c r="X894" i="30"/>
  <c r="X857" i="30"/>
  <c r="X858" i="30"/>
  <c r="X859" i="30"/>
  <c r="X860" i="30"/>
  <c r="X896" i="30"/>
  <c r="X897" i="30"/>
  <c r="X861" i="30"/>
  <c r="X898" i="30"/>
  <c r="X862" i="30"/>
  <c r="X863" i="30"/>
  <c r="X902" i="30"/>
  <c r="X903" i="30"/>
  <c r="X864" i="30"/>
  <c r="X865" i="30"/>
  <c r="X866" i="30"/>
  <c r="X867" i="30"/>
  <c r="X868" i="30"/>
  <c r="X869" i="30"/>
  <c r="X895" i="30"/>
  <c r="X870" i="30"/>
  <c r="X871" i="30"/>
  <c r="X872" i="30"/>
  <c r="X326" i="30"/>
  <c r="X327" i="30"/>
  <c r="X328" i="30"/>
  <c r="X329" i="30"/>
  <c r="X330" i="30"/>
  <c r="X331" i="30"/>
  <c r="X332" i="30"/>
  <c r="X333" i="30"/>
  <c r="X334" i="30"/>
  <c r="X335" i="30"/>
  <c r="X337" i="30"/>
  <c r="X338" i="30"/>
  <c r="X336" i="30"/>
  <c r="X815" i="30"/>
  <c r="X816" i="30"/>
  <c r="X817" i="30"/>
  <c r="X818" i="30"/>
  <c r="X819" i="30"/>
  <c r="X820" i="30"/>
  <c r="X822" i="30"/>
  <c r="X769" i="30"/>
  <c r="X823" i="30"/>
  <c r="X824" i="30"/>
  <c r="X825" i="30"/>
  <c r="X826" i="30"/>
  <c r="X827" i="30"/>
  <c r="X841" i="30"/>
  <c r="X828" i="30"/>
  <c r="X829" i="30"/>
  <c r="X830" i="30"/>
  <c r="X831" i="30"/>
  <c r="X832" i="30"/>
  <c r="X833" i="30"/>
  <c r="X834" i="30"/>
  <c r="X835" i="30"/>
  <c r="X836" i="30"/>
  <c r="X770" i="30"/>
  <c r="X771" i="30"/>
  <c r="X772" i="30"/>
  <c r="X773" i="30"/>
  <c r="X774" i="30"/>
  <c r="X775" i="30"/>
  <c r="X840" i="30"/>
  <c r="X776" i="30"/>
  <c r="X777" i="30"/>
  <c r="X778" i="30"/>
  <c r="X779" i="30"/>
  <c r="X780" i="30"/>
  <c r="X781" i="30"/>
  <c r="X839" i="30"/>
  <c r="X782" i="30"/>
  <c r="X783" i="30"/>
  <c r="X784" i="30"/>
  <c r="X785" i="30"/>
  <c r="X786" i="30"/>
  <c r="X787" i="30"/>
  <c r="X844" i="30"/>
  <c r="X821" i="30"/>
  <c r="X788" i="30"/>
  <c r="X789" i="30"/>
  <c r="X842" i="30"/>
  <c r="X790" i="30"/>
  <c r="X791" i="30"/>
  <c r="X792" i="30"/>
  <c r="X793" i="30"/>
  <c r="X794" i="30"/>
  <c r="X845" i="30"/>
  <c r="X795" i="30"/>
  <c r="X846" i="30"/>
  <c r="X847" i="30"/>
  <c r="X837" i="30"/>
  <c r="X848" i="30"/>
  <c r="X849" i="30"/>
  <c r="X796" i="30"/>
  <c r="X797" i="30"/>
  <c r="X798" i="30"/>
  <c r="X799" i="30"/>
  <c r="X800" i="30"/>
  <c r="X801" i="30"/>
  <c r="X850" i="30"/>
  <c r="X802" i="30"/>
  <c r="X851" i="30"/>
  <c r="X852" i="30"/>
  <c r="X803" i="30"/>
  <c r="X804" i="30"/>
  <c r="X805" i="30"/>
  <c r="X806" i="30"/>
  <c r="X838" i="30"/>
  <c r="X807" i="30"/>
  <c r="X853" i="30"/>
  <c r="X854" i="30"/>
  <c r="X808" i="30"/>
  <c r="X855" i="30"/>
  <c r="X809" i="30"/>
  <c r="X810" i="30"/>
  <c r="X811" i="30"/>
  <c r="X812" i="30"/>
  <c r="X813" i="30"/>
  <c r="X814" i="30"/>
  <c r="X843" i="30"/>
  <c r="X477" i="30"/>
  <c r="X487" i="30"/>
  <c r="X505" i="30"/>
  <c r="X482" i="30"/>
  <c r="X506" i="30"/>
  <c r="X483" i="30"/>
  <c r="X507" i="30"/>
  <c r="X489" i="30"/>
  <c r="X488" i="30"/>
  <c r="X484" i="30"/>
  <c r="X508" i="30"/>
  <c r="X509" i="30"/>
  <c r="X510" i="30"/>
  <c r="X511" i="30"/>
  <c r="X512" i="30"/>
  <c r="X513" i="30"/>
  <c r="X514" i="30"/>
  <c r="X515" i="30"/>
  <c r="X516" i="30"/>
  <c r="X517" i="30"/>
  <c r="X518" i="30"/>
  <c r="X519" i="30"/>
  <c r="X520" i="30"/>
  <c r="X521" i="30"/>
  <c r="X485" i="30"/>
  <c r="X522" i="30"/>
  <c r="X490" i="30"/>
  <c r="X478" i="30"/>
  <c r="X491" i="30"/>
  <c r="X492" i="30"/>
  <c r="X479" i="30"/>
  <c r="X493" i="30"/>
  <c r="X494" i="30"/>
  <c r="X495" i="30"/>
  <c r="X496" i="30"/>
  <c r="X497" i="30"/>
  <c r="X476" i="30"/>
  <c r="X480" i="30"/>
  <c r="X498" i="30"/>
  <c r="X499" i="30"/>
  <c r="X486" i="30"/>
  <c r="X500" i="30"/>
  <c r="X481" i="30"/>
  <c r="X501" i="30"/>
  <c r="X502" i="30"/>
  <c r="X503" i="30"/>
  <c r="X504" i="30"/>
  <c r="X1088" i="30"/>
  <c r="X1089" i="30"/>
  <c r="X1086" i="30"/>
  <c r="X1090" i="30"/>
  <c r="X1091" i="30"/>
  <c r="X1092" i="30"/>
  <c r="X1093" i="30"/>
  <c r="X1094" i="30"/>
  <c r="X1095" i="30"/>
  <c r="X1096" i="30"/>
  <c r="X1097" i="30"/>
  <c r="X1098" i="30"/>
  <c r="X1099" i="30"/>
  <c r="X1100" i="30"/>
  <c r="X1101" i="30"/>
  <c r="X1102" i="30"/>
  <c r="X1103" i="30"/>
  <c r="X1085" i="30"/>
  <c r="X1104" i="30"/>
  <c r="X1105" i="30"/>
  <c r="X1106" i="30"/>
  <c r="X1107" i="30"/>
  <c r="X1108" i="30"/>
  <c r="X1109" i="30"/>
  <c r="X1110" i="30"/>
  <c r="X1111" i="30"/>
  <c r="X1081" i="30"/>
  <c r="X1112" i="30"/>
  <c r="X1113" i="30"/>
  <c r="X1114" i="30"/>
  <c r="X1082" i="30"/>
  <c r="X1115" i="30"/>
  <c r="X1116" i="30"/>
  <c r="X1117" i="30"/>
  <c r="X1118" i="30"/>
  <c r="X1119" i="30"/>
  <c r="X1120" i="30"/>
  <c r="X1121" i="30"/>
  <c r="X1122" i="30"/>
  <c r="X1123" i="30"/>
  <c r="X1124" i="30"/>
  <c r="X1125" i="30"/>
  <c r="X1126" i="30"/>
  <c r="X1127" i="30"/>
  <c r="X1128" i="30"/>
  <c r="X1129" i="30"/>
  <c r="X1130" i="30"/>
  <c r="X1131" i="30"/>
  <c r="X1132" i="30"/>
  <c r="X1133" i="30"/>
  <c r="X1083" i="30"/>
  <c r="X1087" i="30"/>
  <c r="X1134" i="30"/>
  <c r="X1084" i="30"/>
  <c r="X1135" i="30"/>
  <c r="X1136" i="30"/>
  <c r="X1137" i="30"/>
  <c r="X1138" i="30"/>
  <c r="X1139" i="30"/>
  <c r="X1140" i="30"/>
  <c r="X1141" i="30"/>
  <c r="X1142" i="30"/>
  <c r="X998" i="30"/>
  <c r="X1010" i="30"/>
  <c r="X1011" i="30"/>
  <c r="X1012" i="30"/>
  <c r="X1013" i="30"/>
  <c r="X1014" i="30"/>
  <c r="X1015" i="30"/>
  <c r="X1016" i="30"/>
  <c r="X1017" i="30"/>
  <c r="X1018" i="30"/>
  <c r="X1019" i="30"/>
  <c r="X1020" i="30"/>
  <c r="X1021" i="30"/>
  <c r="X1022" i="30"/>
  <c r="X1023" i="30"/>
  <c r="X1024" i="30"/>
  <c r="X1034" i="30"/>
  <c r="X1025" i="30"/>
  <c r="X1026" i="30"/>
  <c r="X1027" i="30"/>
  <c r="X1028" i="30"/>
  <c r="X1029" i="30"/>
  <c r="X1030" i="30"/>
  <c r="X1031" i="30"/>
  <c r="X1032" i="30"/>
  <c r="X1033" i="30"/>
  <c r="X996" i="30"/>
  <c r="X997" i="30"/>
  <c r="X999" i="30"/>
  <c r="X1000" i="30"/>
  <c r="X1035" i="30"/>
  <c r="X1001" i="30"/>
  <c r="X1002" i="30"/>
  <c r="X1003" i="30"/>
  <c r="X1004" i="30"/>
  <c r="X1005" i="30"/>
  <c r="X1006" i="30"/>
  <c r="X1007" i="30"/>
  <c r="X1008" i="30"/>
  <c r="X1009" i="30"/>
  <c r="X306" i="30"/>
  <c r="X315" i="30"/>
  <c r="X319" i="30"/>
  <c r="X320" i="30"/>
  <c r="X321" i="30"/>
  <c r="X322" i="30"/>
  <c r="X323" i="30"/>
  <c r="X324" i="30"/>
  <c r="X325" i="30"/>
  <c r="X307" i="30"/>
  <c r="X305" i="30"/>
  <c r="X308" i="30"/>
  <c r="X309" i="30"/>
  <c r="X310" i="30"/>
  <c r="X303" i="30"/>
  <c r="X311" i="30"/>
  <c r="X312" i="30"/>
  <c r="X313" i="30"/>
  <c r="X314" i="30"/>
  <c r="X316" i="30"/>
  <c r="X317" i="30"/>
  <c r="X318" i="30"/>
  <c r="X304" i="30"/>
  <c r="X678" i="30"/>
  <c r="X707" i="30"/>
  <c r="X733" i="30"/>
  <c r="X734" i="30"/>
  <c r="X735" i="30"/>
  <c r="X736" i="30"/>
  <c r="X737" i="30"/>
  <c r="X738" i="30"/>
  <c r="X739" i="30"/>
  <c r="X740" i="30"/>
  <c r="X741" i="30"/>
  <c r="X680" i="30"/>
  <c r="X742" i="30"/>
  <c r="X743" i="30"/>
  <c r="X744" i="30"/>
  <c r="X745" i="30"/>
  <c r="X746" i="30"/>
  <c r="X747" i="30"/>
  <c r="X748" i="30"/>
  <c r="X749" i="30"/>
  <c r="X750" i="30"/>
  <c r="X675" i="30"/>
  <c r="X676" i="30"/>
  <c r="X677" i="30"/>
  <c r="X751" i="30"/>
  <c r="X752" i="30"/>
  <c r="X681" i="30"/>
  <c r="X682" i="30"/>
  <c r="X683" i="30"/>
  <c r="X684" i="30"/>
  <c r="X685" i="30"/>
  <c r="X686" i="30"/>
  <c r="X687" i="30"/>
  <c r="X688" i="30"/>
  <c r="X689" i="30"/>
  <c r="X690" i="30"/>
  <c r="X691" i="30"/>
  <c r="X692" i="30"/>
  <c r="X693" i="30"/>
  <c r="X694" i="30"/>
  <c r="X695" i="30"/>
  <c r="X696" i="30"/>
  <c r="X697" i="30"/>
  <c r="X698" i="30"/>
  <c r="X699" i="30"/>
  <c r="X700" i="30"/>
  <c r="X701" i="30"/>
  <c r="X702" i="30"/>
  <c r="X703" i="30"/>
  <c r="X704" i="30"/>
  <c r="X705" i="30"/>
  <c r="X706" i="30"/>
  <c r="X708" i="30"/>
  <c r="X709" i="30"/>
  <c r="X710" i="30"/>
  <c r="X711" i="30"/>
  <c r="X712" i="30"/>
  <c r="X713" i="30"/>
  <c r="X714" i="30"/>
  <c r="X715" i="30"/>
  <c r="X716" i="30"/>
  <c r="X717" i="30"/>
  <c r="X718" i="30"/>
  <c r="X719" i="30"/>
  <c r="X720" i="30"/>
  <c r="X721" i="30"/>
  <c r="X679" i="30"/>
  <c r="X722" i="30"/>
  <c r="X723" i="30"/>
  <c r="X724" i="30"/>
  <c r="X725" i="30"/>
  <c r="X726" i="30"/>
  <c r="X727" i="30"/>
  <c r="X728" i="30"/>
  <c r="X729" i="30"/>
  <c r="X730" i="30"/>
  <c r="X731" i="30"/>
  <c r="X732" i="30"/>
  <c r="X253" i="30"/>
  <c r="X262" i="30"/>
  <c r="X263" i="30"/>
  <c r="X288" i="30"/>
  <c r="X249" i="30"/>
  <c r="X255" i="30"/>
  <c r="X289" i="30"/>
  <c r="X290" i="30"/>
  <c r="X291" i="30"/>
  <c r="X292" i="30"/>
  <c r="X293" i="30"/>
  <c r="X294" i="30"/>
  <c r="X295" i="30"/>
  <c r="X256" i="30"/>
  <c r="X296" i="30"/>
  <c r="X297" i="30"/>
  <c r="X298" i="30"/>
  <c r="X299" i="30"/>
  <c r="X300" i="30"/>
  <c r="X301" i="30"/>
  <c r="X302" i="30"/>
  <c r="X267" i="30"/>
  <c r="X270" i="30"/>
  <c r="X258" i="30"/>
  <c r="X259" i="30"/>
  <c r="X271" i="30"/>
  <c r="X261" i="30"/>
  <c r="X250" i="30"/>
  <c r="X272" i="30"/>
  <c r="X273" i="30"/>
  <c r="X274" i="30"/>
  <c r="X268" i="30"/>
  <c r="X275" i="30"/>
  <c r="X248" i="30"/>
  <c r="X276" i="30"/>
  <c r="X277" i="30"/>
  <c r="X278" i="30"/>
  <c r="X279" i="30"/>
  <c r="X280" i="30"/>
  <c r="X281" i="30"/>
  <c r="X282" i="30"/>
  <c r="X283" i="30"/>
  <c r="X264" i="30"/>
  <c r="X265" i="30"/>
  <c r="X254" i="30"/>
  <c r="X284" i="30"/>
  <c r="X257" i="30"/>
  <c r="X285" i="30"/>
  <c r="X269" i="30"/>
  <c r="X260" i="30"/>
  <c r="X286" i="30"/>
  <c r="X287" i="30"/>
  <c r="X266" i="30"/>
  <c r="X251" i="30"/>
  <c r="X252" i="30"/>
  <c r="X907" i="30"/>
  <c r="X931" i="30"/>
  <c r="X947" i="30"/>
  <c r="X962" i="30"/>
  <c r="X979" i="30"/>
  <c r="X992" i="30"/>
  <c r="X993" i="30"/>
  <c r="X994" i="30"/>
  <c r="X995" i="30"/>
  <c r="X908" i="30"/>
  <c r="X918" i="30"/>
  <c r="X926" i="30"/>
  <c r="X927" i="30"/>
  <c r="X928" i="30"/>
  <c r="X929" i="30"/>
  <c r="X930" i="30"/>
  <c r="X909" i="30"/>
  <c r="X910" i="30"/>
  <c r="X911" i="30"/>
  <c r="X912" i="30"/>
  <c r="X913" i="30"/>
  <c r="X914" i="30"/>
  <c r="X915" i="30"/>
  <c r="X916" i="30"/>
  <c r="X917" i="30"/>
  <c r="X919" i="30"/>
  <c r="X920" i="30"/>
  <c r="X921" i="30"/>
  <c r="X922" i="30"/>
  <c r="X923" i="30"/>
  <c r="X924" i="30"/>
  <c r="X925" i="30"/>
  <c r="X932" i="30"/>
  <c r="X905" i="30"/>
  <c r="X933" i="30"/>
  <c r="X934" i="30"/>
  <c r="X935" i="30"/>
  <c r="X936" i="30"/>
  <c r="X937" i="30"/>
  <c r="X938" i="30"/>
  <c r="X939" i="30"/>
  <c r="X940" i="30"/>
  <c r="X941" i="30"/>
  <c r="X942" i="30"/>
  <c r="X943" i="30"/>
  <c r="X944" i="30"/>
  <c r="X945" i="30"/>
  <c r="X946" i="30"/>
  <c r="X948" i="30"/>
  <c r="X949" i="30"/>
  <c r="X950" i="30"/>
  <c r="X951" i="30"/>
  <c r="X952" i="30"/>
  <c r="X953" i="30"/>
  <c r="X954" i="30"/>
  <c r="X955" i="30"/>
  <c r="X956" i="30"/>
  <c r="X957" i="30"/>
  <c r="X958" i="30"/>
  <c r="X959" i="30"/>
  <c r="X960" i="30"/>
  <c r="X961" i="30"/>
  <c r="X963" i="30"/>
  <c r="X964" i="30"/>
  <c r="X965" i="30"/>
  <c r="X966" i="30"/>
  <c r="X967" i="30"/>
  <c r="X968" i="30"/>
  <c r="X969" i="30"/>
  <c r="X970" i="30"/>
  <c r="X971" i="30"/>
  <c r="X972" i="30"/>
  <c r="X973" i="30"/>
  <c r="X974" i="30"/>
  <c r="X975" i="30"/>
  <c r="X976" i="30"/>
  <c r="X977" i="30"/>
  <c r="X978" i="30"/>
  <c r="X980" i="30"/>
  <c r="X906" i="30"/>
  <c r="X904" i="30"/>
  <c r="X981" i="30"/>
  <c r="X982" i="30"/>
  <c r="X983" i="30"/>
  <c r="X984" i="30"/>
  <c r="X985" i="30"/>
  <c r="X986" i="30"/>
  <c r="X987" i="30"/>
  <c r="X988" i="30"/>
  <c r="X989" i="30"/>
  <c r="X990" i="30"/>
  <c r="X991" i="30"/>
  <c r="X659" i="30"/>
  <c r="X664" i="30"/>
  <c r="X665" i="30"/>
  <c r="X651" i="30"/>
  <c r="X648" i="30"/>
  <c r="X649" i="30"/>
  <c r="X666" i="30"/>
  <c r="X667" i="30"/>
  <c r="X668" i="30"/>
  <c r="X669" i="30"/>
  <c r="X640" i="30"/>
  <c r="X647" i="30"/>
  <c r="X670" i="30"/>
  <c r="X671" i="30"/>
  <c r="X672" i="30"/>
  <c r="X654" i="30"/>
  <c r="X642" i="30"/>
  <c r="X643" i="30"/>
  <c r="X655" i="30"/>
  <c r="X644" i="30"/>
  <c r="X673" i="30"/>
  <c r="X650" i="30"/>
  <c r="X645" i="30"/>
  <c r="X641" i="30"/>
  <c r="X674" i="30"/>
  <c r="X646" i="30"/>
  <c r="X660" i="30"/>
  <c r="X636" i="30"/>
  <c r="X658" i="30"/>
  <c r="X652" i="30"/>
  <c r="X656" i="30"/>
  <c r="X638" i="30"/>
  <c r="X661" i="30"/>
  <c r="X657" i="30"/>
  <c r="X653" i="30"/>
  <c r="X637" i="30"/>
  <c r="X639" i="30"/>
  <c r="X662" i="30"/>
  <c r="X663" i="30"/>
  <c r="X754" i="30"/>
  <c r="X755" i="30"/>
  <c r="X756" i="30"/>
  <c r="X757" i="30"/>
  <c r="X760" i="30"/>
  <c r="X767" i="30"/>
  <c r="X766" i="30"/>
  <c r="X765" i="30"/>
  <c r="X753" i="30"/>
  <c r="X758" i="30"/>
  <c r="X759" i="30"/>
  <c r="X768" i="30"/>
  <c r="X763" i="30"/>
  <c r="X764" i="30"/>
  <c r="X762" i="30"/>
  <c r="X761" i="30"/>
  <c r="X247" i="30"/>
  <c r="X246" i="30"/>
  <c r="X232" i="30"/>
  <c r="X233" i="30"/>
  <c r="X234" i="30"/>
  <c r="X235" i="30"/>
  <c r="X236" i="30"/>
  <c r="X237" i="30"/>
  <c r="X238" i="30"/>
  <c r="X239" i="30"/>
  <c r="X240" i="30"/>
  <c r="X241" i="30"/>
  <c r="X242" i="30"/>
  <c r="X243" i="30"/>
  <c r="X244" i="30"/>
  <c r="X245" i="30"/>
  <c r="X564" i="30"/>
  <c r="X565" i="30"/>
  <c r="X596" i="30"/>
  <c r="X566" i="30"/>
  <c r="X597" i="30"/>
  <c r="X567" i="30"/>
  <c r="X568" i="30"/>
  <c r="X569" i="30"/>
  <c r="X598" i="30"/>
  <c r="X599" i="30"/>
  <c r="X570" i="30"/>
  <c r="X600" i="30"/>
  <c r="X571" i="30"/>
  <c r="X572" i="30"/>
  <c r="X573" i="30"/>
  <c r="X574" i="30"/>
  <c r="X601" i="30"/>
  <c r="X575" i="30"/>
  <c r="X576" i="30"/>
  <c r="X577" i="30"/>
  <c r="X578" i="30"/>
  <c r="X579" i="30"/>
  <c r="X580" i="30"/>
  <c r="X581" i="30"/>
  <c r="X582" i="30"/>
  <c r="X583" i="30"/>
  <c r="X584" i="30"/>
  <c r="X585" i="30"/>
  <c r="X586" i="30"/>
  <c r="X587" i="30"/>
  <c r="X588" i="30"/>
  <c r="X593" i="30"/>
  <c r="X589" i="30"/>
  <c r="X590" i="30"/>
  <c r="X594" i="30"/>
  <c r="X595" i="30"/>
  <c r="X602" i="30"/>
  <c r="X603" i="30"/>
  <c r="X604" i="30"/>
  <c r="X605" i="30"/>
  <c r="X606" i="30"/>
  <c r="X591" i="30"/>
  <c r="X563" i="30"/>
  <c r="X592" i="30"/>
  <c r="X608" i="30"/>
  <c r="X628" i="30"/>
  <c r="X629" i="30"/>
  <c r="X630" i="30"/>
  <c r="X631" i="30"/>
  <c r="X632" i="30"/>
  <c r="X633" i="30"/>
  <c r="X609" i="30"/>
  <c r="X635" i="30"/>
  <c r="X610" i="30"/>
  <c r="X611" i="30"/>
  <c r="X612" i="30"/>
  <c r="X613" i="30"/>
  <c r="X614" i="30"/>
  <c r="X634" i="30"/>
  <c r="X607" i="30"/>
  <c r="X615" i="30"/>
  <c r="X616" i="30"/>
  <c r="X617" i="30"/>
  <c r="X618" i="30"/>
  <c r="X619" i="30"/>
  <c r="X620" i="30"/>
  <c r="X621" i="30"/>
  <c r="X622" i="30"/>
  <c r="X623" i="30"/>
  <c r="X624" i="30"/>
  <c r="X625" i="30"/>
  <c r="X626" i="30"/>
  <c r="X627" i="30"/>
  <c r="X525" i="30"/>
  <c r="X527" i="30"/>
  <c r="X550" i="30"/>
  <c r="X554" i="30"/>
  <c r="X557" i="30"/>
  <c r="X551" i="30"/>
  <c r="X549" i="30"/>
  <c r="X558" i="30"/>
  <c r="X559" i="30"/>
  <c r="X526" i="30"/>
  <c r="X560" i="30"/>
  <c r="X555" i="30"/>
  <c r="X524" i="30"/>
  <c r="X523" i="30"/>
  <c r="X552" i="30"/>
  <c r="X553" i="30"/>
  <c r="X556" i="30"/>
  <c r="X562" i="30"/>
  <c r="X537" i="30"/>
  <c r="X538" i="30"/>
  <c r="X541" i="30"/>
  <c r="X542" i="30"/>
  <c r="X543" i="30"/>
  <c r="X544" i="30"/>
  <c r="X545" i="30"/>
  <c r="X548" i="30"/>
  <c r="X535" i="30"/>
  <c r="X532" i="30"/>
  <c r="X533" i="30"/>
  <c r="X534" i="30"/>
  <c r="X536" i="30"/>
  <c r="X539" i="30"/>
  <c r="X540" i="30"/>
  <c r="X546" i="30"/>
  <c r="X547" i="30"/>
  <c r="X561" i="30"/>
  <c r="X531" i="30"/>
  <c r="X528" i="30"/>
  <c r="X529" i="30"/>
  <c r="X530" i="30"/>
  <c r="X345" i="30"/>
  <c r="X349" i="30"/>
  <c r="X339" i="30"/>
  <c r="X346" i="30"/>
  <c r="X340" i="30"/>
  <c r="X347" i="30"/>
  <c r="X348" i="30"/>
  <c r="X344" i="30"/>
  <c r="X343" i="30"/>
  <c r="X341" i="30"/>
  <c r="X342" i="30"/>
  <c r="X353" i="30"/>
  <c r="X361" i="30"/>
  <c r="X354" i="30"/>
  <c r="X362" i="30"/>
  <c r="X363" i="30"/>
  <c r="X364" i="30"/>
  <c r="X365" i="30"/>
  <c r="X366" i="30"/>
  <c r="X367" i="30"/>
  <c r="X368" i="30"/>
  <c r="X355" i="30"/>
  <c r="X369" i="30"/>
  <c r="X356" i="30"/>
  <c r="X370" i="30"/>
  <c r="X371" i="30"/>
  <c r="X357" i="30"/>
  <c r="X372" i="30"/>
  <c r="X373" i="30"/>
  <c r="X358" i="30"/>
  <c r="X352" i="30"/>
  <c r="X377" i="30"/>
  <c r="X374" i="30"/>
  <c r="X359" i="30"/>
  <c r="X360" i="30"/>
  <c r="X378" i="30"/>
  <c r="X351" i="30"/>
  <c r="X350" i="30"/>
  <c r="X375" i="30"/>
  <c r="X376" i="30"/>
  <c r="X394" i="30"/>
  <c r="X387" i="30"/>
  <c r="X382" i="30"/>
  <c r="X384" i="30"/>
  <c r="X397" i="30"/>
  <c r="X380" i="30"/>
  <c r="X386" i="30"/>
  <c r="X383" i="30"/>
  <c r="X385" i="30"/>
  <c r="X388" i="30"/>
  <c r="X396" i="30"/>
  <c r="X390" i="30"/>
  <c r="X389" i="30"/>
  <c r="X392" i="30"/>
  <c r="X398" i="30"/>
  <c r="X393" i="30"/>
  <c r="X395" i="30"/>
  <c r="X381" i="30"/>
  <c r="X379" i="30"/>
  <c r="X391" i="30"/>
  <c r="X432" i="30"/>
  <c r="X433" i="30"/>
  <c r="X434" i="30"/>
  <c r="X435" i="30"/>
  <c r="X436" i="30"/>
  <c r="X437" i="30"/>
  <c r="X406" i="30"/>
  <c r="X407" i="30"/>
  <c r="X408" i="30"/>
  <c r="X409" i="30"/>
  <c r="X410" i="30"/>
  <c r="X411" i="30"/>
  <c r="X412" i="30"/>
  <c r="X413" i="30"/>
  <c r="X414" i="30"/>
  <c r="X415" i="30"/>
  <c r="X416" i="30"/>
  <c r="X400" i="30"/>
  <c r="X403" i="30"/>
  <c r="X404" i="30"/>
  <c r="X405" i="30"/>
  <c r="X417" i="30"/>
  <c r="X418" i="30"/>
  <c r="X401" i="30"/>
  <c r="X402" i="30"/>
  <c r="X419" i="30"/>
  <c r="X420" i="30"/>
  <c r="X421" i="30"/>
  <c r="X422" i="30"/>
  <c r="X423" i="30"/>
  <c r="X424" i="30"/>
  <c r="X425" i="30"/>
  <c r="X426" i="30"/>
  <c r="X430" i="30"/>
  <c r="X399" i="30"/>
  <c r="X427" i="30"/>
  <c r="X428" i="30"/>
  <c r="X429" i="30"/>
  <c r="X431" i="30"/>
  <c r="X72" i="30"/>
  <c r="X73" i="30"/>
  <c r="X42" i="30"/>
  <c r="X74" i="30"/>
  <c r="X75" i="30"/>
  <c r="X76" i="30"/>
  <c r="X77" i="30"/>
  <c r="X78" i="30"/>
  <c r="X79" i="30"/>
  <c r="X80" i="30"/>
  <c r="X81" i="30"/>
  <c r="X82" i="30"/>
  <c r="X83" i="30"/>
  <c r="X84" i="30"/>
  <c r="X85" i="30"/>
  <c r="X43" i="30"/>
  <c r="X86" i="30"/>
  <c r="X87" i="30"/>
  <c r="X44" i="30"/>
  <c r="X88" i="30"/>
  <c r="X52" i="30"/>
  <c r="X89" i="30"/>
  <c r="X90" i="30"/>
  <c r="X91" i="30"/>
  <c r="X92" i="30"/>
  <c r="X93" i="30"/>
  <c r="X94" i="30"/>
  <c r="X95" i="30"/>
  <c r="X96" i="30"/>
  <c r="X53" i="30"/>
  <c r="X54" i="30"/>
  <c r="X55" i="30"/>
  <c r="X56" i="30"/>
  <c r="X69" i="30"/>
  <c r="X45" i="30"/>
  <c r="X46" i="30"/>
  <c r="X70" i="30"/>
  <c r="X97" i="30"/>
  <c r="X57" i="30"/>
  <c r="X58" i="30"/>
  <c r="X59" i="30"/>
  <c r="X60" i="30"/>
  <c r="X61" i="30"/>
  <c r="X62" i="30"/>
  <c r="X47" i="30"/>
  <c r="X48" i="30"/>
  <c r="X98" i="30"/>
  <c r="X99" i="30"/>
  <c r="X100" i="30"/>
  <c r="X101" i="30"/>
  <c r="X102" i="30"/>
  <c r="X103" i="30"/>
  <c r="X104" i="30"/>
  <c r="X105" i="30"/>
  <c r="X63" i="30"/>
  <c r="X49" i="30"/>
  <c r="X106" i="30"/>
  <c r="X107" i="30"/>
  <c r="X108" i="30"/>
  <c r="X109" i="30"/>
  <c r="X64" i="30"/>
  <c r="X110" i="30"/>
  <c r="X50" i="30"/>
  <c r="X111" i="30"/>
  <c r="X112" i="30"/>
  <c r="X113" i="30"/>
  <c r="X114" i="30"/>
  <c r="X115" i="30"/>
  <c r="X116" i="30"/>
  <c r="X117" i="30"/>
  <c r="X71" i="30"/>
  <c r="X118" i="30"/>
  <c r="X119" i="30"/>
  <c r="X120" i="30"/>
  <c r="X121" i="30"/>
  <c r="X122" i="30"/>
  <c r="X123" i="30"/>
  <c r="X124" i="30"/>
  <c r="X125" i="30"/>
  <c r="X126" i="30"/>
  <c r="X65" i="30"/>
  <c r="X66" i="30"/>
  <c r="X127" i="30"/>
  <c r="X128" i="30"/>
  <c r="X129" i="30"/>
  <c r="X130" i="30"/>
  <c r="X131" i="30"/>
  <c r="X132" i="30"/>
  <c r="X133" i="30"/>
  <c r="X134" i="30"/>
  <c r="X135" i="30"/>
  <c r="X136" i="30"/>
  <c r="X67" i="30"/>
  <c r="X137" i="30"/>
  <c r="X138" i="30"/>
  <c r="X139" i="30"/>
  <c r="X140" i="30"/>
  <c r="X141" i="30"/>
  <c r="X142" i="30"/>
  <c r="X143" i="30"/>
  <c r="X144" i="30"/>
  <c r="X145" i="30"/>
  <c r="X146" i="30"/>
  <c r="X147" i="30"/>
  <c r="X148" i="30"/>
  <c r="X149" i="30"/>
  <c r="X150" i="30"/>
  <c r="X151" i="30"/>
  <c r="X152" i="30"/>
  <c r="X153" i="30"/>
  <c r="X154" i="30"/>
  <c r="X155" i="30"/>
  <c r="X156" i="30"/>
  <c r="X157" i="30"/>
  <c r="X158" i="30"/>
  <c r="X51" i="30"/>
  <c r="X159" i="30"/>
  <c r="X160" i="30"/>
  <c r="X161" i="30"/>
  <c r="X162" i="30"/>
  <c r="X163" i="30"/>
  <c r="X164" i="30"/>
  <c r="X165" i="30"/>
  <c r="X166" i="30"/>
  <c r="X167" i="30"/>
  <c r="X68" i="30"/>
  <c r="X168" i="30"/>
  <c r="X169" i="30"/>
  <c r="X170" i="30"/>
  <c r="X171" i="30"/>
  <c r="X172" i="30"/>
  <c r="X173" i="30"/>
  <c r="X174" i="30"/>
  <c r="X175" i="30"/>
  <c r="X176" i="30"/>
  <c r="X177" i="30"/>
  <c r="X178" i="30"/>
  <c r="X179" i="30"/>
  <c r="X11" i="30"/>
  <c r="X12" i="30"/>
  <c r="X13" i="30"/>
  <c r="X14" i="30"/>
  <c r="X4" i="30"/>
  <c r="X5" i="30"/>
  <c r="X15" i="30"/>
  <c r="X16" i="30"/>
  <c r="X3" i="30"/>
  <c r="X6" i="30"/>
  <c r="X17" i="30"/>
  <c r="X7" i="30"/>
  <c r="X18" i="30"/>
  <c r="X19" i="30"/>
  <c r="X20" i="30"/>
  <c r="X21" i="30"/>
  <c r="X22" i="30"/>
  <c r="X23" i="30"/>
  <c r="X24" i="30"/>
  <c r="X8" i="30"/>
  <c r="X25" i="30"/>
  <c r="X26" i="30"/>
  <c r="X27" i="30"/>
  <c r="X2" i="30"/>
  <c r="X28" i="30"/>
  <c r="X29" i="30"/>
  <c r="X30" i="30"/>
  <c r="X31" i="30"/>
  <c r="X32" i="30"/>
  <c r="X33" i="30"/>
  <c r="X34" i="30"/>
  <c r="X35" i="30"/>
  <c r="X36" i="30"/>
  <c r="X37" i="30"/>
  <c r="X38" i="30"/>
  <c r="X10" i="30"/>
  <c r="X9" i="30"/>
  <c r="X39" i="30"/>
  <c r="X40" i="30"/>
  <c r="X41" i="30"/>
  <c r="X180" i="30"/>
  <c r="X181" i="30"/>
  <c r="X183" i="30"/>
  <c r="X184" i="30"/>
  <c r="X182" i="30"/>
  <c r="X185" i="30"/>
  <c r="X186" i="30"/>
  <c r="X194" i="30"/>
  <c r="X191" i="30"/>
  <c r="X192" i="30"/>
  <c r="X195" i="30"/>
  <c r="X196" i="30"/>
  <c r="X197" i="30"/>
  <c r="X198" i="30"/>
  <c r="X187" i="30"/>
  <c r="X193" i="30"/>
  <c r="X199" i="30"/>
  <c r="X200" i="30"/>
  <c r="X188" i="30"/>
  <c r="X201" i="30"/>
  <c r="X202" i="30"/>
  <c r="X189" i="30"/>
  <c r="X203" i="30"/>
  <c r="X190" i="30"/>
  <c r="X204" i="30"/>
  <c r="X205" i="30"/>
  <c r="X208" i="30"/>
  <c r="X206" i="30"/>
  <c r="X207" i="30"/>
  <c r="X209" i="30"/>
  <c r="X210" i="30"/>
  <c r="X211" i="30"/>
  <c r="X212" i="30"/>
  <c r="X213" i="30"/>
  <c r="X214" i="30"/>
  <c r="X215" i="30"/>
  <c r="X216" i="30"/>
  <c r="X217" i="30"/>
  <c r="X218" i="30"/>
  <c r="X219" i="30"/>
  <c r="X220" i="30"/>
  <c r="X221" i="30"/>
  <c r="X222" i="30"/>
  <c r="X223" i="30"/>
  <c r="X224" i="30"/>
  <c r="X225" i="30"/>
  <c r="X226" i="30"/>
  <c r="X227" i="30"/>
  <c r="X228" i="30"/>
  <c r="X229" i="30"/>
  <c r="X230" i="30"/>
  <c r="X231" i="30"/>
  <c r="X1043" i="30"/>
  <c r="X1050" i="30"/>
  <c r="X1044" i="30"/>
  <c r="X1042" i="30"/>
  <c r="X1046" i="30"/>
  <c r="X1049" i="30"/>
  <c r="X1051" i="30"/>
  <c r="X1052" i="30"/>
  <c r="X1053" i="30"/>
  <c r="X1037" i="30"/>
  <c r="X1047" i="30"/>
  <c r="X1045" i="30"/>
  <c r="X1036" i="30"/>
  <c r="X1041" i="30"/>
  <c r="X1048" i="30"/>
  <c r="X1056" i="30"/>
  <c r="X1054" i="30"/>
  <c r="X1055" i="30"/>
  <c r="X1038" i="30"/>
  <c r="X1057" i="30"/>
  <c r="X1065" i="30"/>
  <c r="X1058" i="30"/>
  <c r="X1061" i="30"/>
  <c r="X1062" i="30"/>
  <c r="X1063" i="30"/>
  <c r="X1059" i="30"/>
  <c r="X1060" i="30"/>
  <c r="X1064" i="30"/>
  <c r="X1039" i="30"/>
  <c r="X1068" i="30"/>
  <c r="X1066" i="30"/>
  <c r="X1067" i="30"/>
  <c r="X1069" i="30"/>
  <c r="X1040" i="30"/>
  <c r="X1073" i="30"/>
  <c r="X1074" i="30"/>
  <c r="X1075" i="30"/>
  <c r="X1070" i="30"/>
  <c r="X1076" i="30"/>
  <c r="X1077" i="30"/>
  <c r="X1071" i="30"/>
  <c r="X1072" i="30"/>
  <c r="X1078" i="30"/>
  <c r="X1079" i="30"/>
  <c r="X1080" i="30"/>
  <c r="S438" i="30"/>
  <c r="A3" i="38" s="1" a="1"/>
  <c r="S439" i="30"/>
  <c r="S440" i="30"/>
  <c r="S441" i="30"/>
  <c r="S442" i="30"/>
  <c r="S443" i="30"/>
  <c r="S448" i="30"/>
  <c r="S447" i="30"/>
  <c r="S449" i="30"/>
  <c r="S444" i="30"/>
  <c r="S445" i="30"/>
  <c r="S446" i="30"/>
  <c r="S450" i="30"/>
  <c r="S451" i="30"/>
  <c r="S452" i="30"/>
  <c r="S453" i="30"/>
  <c r="S462" i="30"/>
  <c r="S454" i="30"/>
  <c r="S455" i="30"/>
  <c r="S463" i="30"/>
  <c r="S461" i="30"/>
  <c r="S456" i="30"/>
  <c r="S457" i="30"/>
  <c r="S458" i="30"/>
  <c r="S459" i="30"/>
  <c r="S460" i="30"/>
  <c r="S469" i="30"/>
  <c r="S470" i="30"/>
  <c r="S467" i="30"/>
  <c r="S471" i="30"/>
  <c r="S464" i="30"/>
  <c r="S465" i="30"/>
  <c r="S472" i="30"/>
  <c r="S473" i="30"/>
  <c r="S468" i="30"/>
  <c r="S466" i="30"/>
  <c r="S474" i="30"/>
  <c r="S475" i="30"/>
  <c r="S856" i="30"/>
  <c r="S873" i="30"/>
  <c r="S874" i="30"/>
  <c r="S875" i="30"/>
  <c r="S876" i="30"/>
  <c r="S877" i="30"/>
  <c r="S878" i="30"/>
  <c r="S879" i="30"/>
  <c r="S899" i="30"/>
  <c r="S880" i="30"/>
  <c r="S881" i="30"/>
  <c r="S882" i="30"/>
  <c r="S883" i="30"/>
  <c r="S884" i="30"/>
  <c r="S885" i="30"/>
  <c r="S886" i="30"/>
  <c r="S887" i="30"/>
  <c r="S888" i="30"/>
  <c r="S889" i="30"/>
  <c r="S890" i="30"/>
  <c r="S891" i="30"/>
  <c r="S892" i="30"/>
  <c r="S900" i="30"/>
  <c r="S901" i="30"/>
  <c r="S893" i="30"/>
  <c r="S894" i="30"/>
  <c r="S857" i="30"/>
  <c r="S858" i="30"/>
  <c r="S859" i="30"/>
  <c r="S860" i="30"/>
  <c r="S896" i="30"/>
  <c r="S897" i="30"/>
  <c r="S861" i="30"/>
  <c r="S898" i="30"/>
  <c r="S862" i="30"/>
  <c r="S863" i="30"/>
  <c r="S902" i="30"/>
  <c r="S903" i="30"/>
  <c r="S864" i="30"/>
  <c r="S865" i="30"/>
  <c r="S866" i="30"/>
  <c r="S867" i="30"/>
  <c r="S868" i="30"/>
  <c r="S869" i="30"/>
  <c r="S895" i="30"/>
  <c r="S870" i="30"/>
  <c r="S871" i="30"/>
  <c r="S872" i="30"/>
  <c r="S326" i="30"/>
  <c r="S327" i="30"/>
  <c r="S328" i="30"/>
  <c r="S329" i="30"/>
  <c r="S330" i="30"/>
  <c r="S331" i="30"/>
  <c r="S332" i="30"/>
  <c r="S333" i="30"/>
  <c r="S334" i="30"/>
  <c r="S335" i="30"/>
  <c r="S337" i="30"/>
  <c r="S338" i="30"/>
  <c r="S336" i="30"/>
  <c r="S815" i="30"/>
  <c r="S816" i="30"/>
  <c r="S817" i="30"/>
  <c r="S818" i="30"/>
  <c r="S819" i="30"/>
  <c r="S820" i="30"/>
  <c r="S822" i="30"/>
  <c r="S769" i="30"/>
  <c r="A3" i="48" s="1" a="1"/>
  <c r="S823" i="30"/>
  <c r="S824" i="30"/>
  <c r="S825" i="30"/>
  <c r="S826" i="30"/>
  <c r="S827" i="30"/>
  <c r="S841" i="30"/>
  <c r="S828" i="30"/>
  <c r="S829" i="30"/>
  <c r="S830" i="30"/>
  <c r="S831" i="30"/>
  <c r="S832" i="30"/>
  <c r="S833" i="30"/>
  <c r="S834" i="30"/>
  <c r="S835" i="30"/>
  <c r="S836" i="30"/>
  <c r="S770" i="30"/>
  <c r="S771" i="30"/>
  <c r="S772" i="30"/>
  <c r="S773" i="30"/>
  <c r="S774" i="30"/>
  <c r="S775" i="30"/>
  <c r="S840" i="30"/>
  <c r="S776" i="30"/>
  <c r="S777" i="30"/>
  <c r="S778" i="30"/>
  <c r="S779" i="30"/>
  <c r="S780" i="30"/>
  <c r="S781" i="30"/>
  <c r="S839" i="30"/>
  <c r="S782" i="30"/>
  <c r="S783" i="30"/>
  <c r="S784" i="30"/>
  <c r="S785" i="30"/>
  <c r="S786" i="30"/>
  <c r="S787" i="30"/>
  <c r="S844" i="30"/>
  <c r="S821" i="30"/>
  <c r="S788" i="30"/>
  <c r="S789" i="30"/>
  <c r="S842" i="30"/>
  <c r="S790" i="30"/>
  <c r="S791" i="30"/>
  <c r="S792" i="30"/>
  <c r="S793" i="30"/>
  <c r="S794" i="30"/>
  <c r="S845" i="30"/>
  <c r="S795" i="30"/>
  <c r="S846" i="30"/>
  <c r="S847" i="30"/>
  <c r="S837" i="30"/>
  <c r="S848" i="30"/>
  <c r="S849" i="30"/>
  <c r="S796" i="30"/>
  <c r="S797" i="30"/>
  <c r="S798" i="30"/>
  <c r="S799" i="30"/>
  <c r="S800" i="30"/>
  <c r="S801" i="30"/>
  <c r="S850" i="30"/>
  <c r="S802" i="30"/>
  <c r="S851" i="30"/>
  <c r="S852" i="30"/>
  <c r="S803" i="30"/>
  <c r="S804" i="30"/>
  <c r="S805" i="30"/>
  <c r="S806" i="30"/>
  <c r="S838" i="30"/>
  <c r="S807" i="30"/>
  <c r="S853" i="30"/>
  <c r="S854" i="30"/>
  <c r="S808" i="30"/>
  <c r="S855" i="30"/>
  <c r="S809" i="30"/>
  <c r="S810" i="30"/>
  <c r="S811" i="30"/>
  <c r="S812" i="30"/>
  <c r="S813" i="30"/>
  <c r="S814" i="30"/>
  <c r="S843" i="30"/>
  <c r="S477" i="30"/>
  <c r="S487" i="30"/>
  <c r="S505" i="30"/>
  <c r="S482" i="30"/>
  <c r="S506" i="30"/>
  <c r="S483" i="30"/>
  <c r="S507" i="30"/>
  <c r="S489" i="30"/>
  <c r="S488" i="30"/>
  <c r="S484" i="30"/>
  <c r="S508" i="30"/>
  <c r="S509" i="30"/>
  <c r="S510" i="30"/>
  <c r="S511" i="30"/>
  <c r="S512" i="30"/>
  <c r="S513" i="30"/>
  <c r="S514" i="30"/>
  <c r="S515" i="30"/>
  <c r="S516" i="30"/>
  <c r="S517" i="30"/>
  <c r="S518" i="30"/>
  <c r="S519" i="30"/>
  <c r="S520" i="30"/>
  <c r="S521" i="30"/>
  <c r="S485" i="30"/>
  <c r="S522" i="30"/>
  <c r="S490" i="30"/>
  <c r="S478" i="30"/>
  <c r="S491" i="30"/>
  <c r="S492" i="30"/>
  <c r="S479" i="30"/>
  <c r="S493" i="30"/>
  <c r="S494" i="30"/>
  <c r="S495" i="30"/>
  <c r="S496" i="30"/>
  <c r="S497" i="30"/>
  <c r="S476" i="30"/>
  <c r="A3" i="5" s="1" a="1"/>
  <c r="S480" i="30"/>
  <c r="S498" i="30"/>
  <c r="S499" i="30"/>
  <c r="S486" i="30"/>
  <c r="S500" i="30"/>
  <c r="S481" i="30"/>
  <c r="S501" i="30"/>
  <c r="S502" i="30"/>
  <c r="S503" i="30"/>
  <c r="S504" i="30"/>
  <c r="S1088" i="30"/>
  <c r="S1089" i="30"/>
  <c r="S1086" i="30"/>
  <c r="S1090" i="30"/>
  <c r="S1091" i="30"/>
  <c r="S1092" i="30"/>
  <c r="S1093" i="30"/>
  <c r="S1094" i="30"/>
  <c r="S1095" i="30"/>
  <c r="S1096" i="30"/>
  <c r="S1097" i="30"/>
  <c r="S1098" i="30"/>
  <c r="S1099" i="30"/>
  <c r="S1100" i="30"/>
  <c r="S1101" i="30"/>
  <c r="S1102" i="30"/>
  <c r="S1103" i="30"/>
  <c r="S1085" i="30"/>
  <c r="S1104" i="30"/>
  <c r="S1105" i="30"/>
  <c r="S1106" i="30"/>
  <c r="S1107" i="30"/>
  <c r="S1108" i="30"/>
  <c r="S1109" i="30"/>
  <c r="S1110" i="30"/>
  <c r="S1111" i="30"/>
  <c r="S1081" i="30"/>
  <c r="S1112" i="30"/>
  <c r="S1113" i="30"/>
  <c r="S1114" i="30"/>
  <c r="S1082" i="30"/>
  <c r="S1115" i="30"/>
  <c r="S1116" i="30"/>
  <c r="S1117" i="30"/>
  <c r="S1118" i="30"/>
  <c r="S1119" i="30"/>
  <c r="S1120" i="30"/>
  <c r="S1121" i="30"/>
  <c r="S1122" i="30"/>
  <c r="S1123" i="30"/>
  <c r="S1124" i="30"/>
  <c r="S1125" i="30"/>
  <c r="S1126" i="30"/>
  <c r="S1127" i="30"/>
  <c r="S1128" i="30"/>
  <c r="S1129" i="30"/>
  <c r="S1130" i="30"/>
  <c r="S1131" i="30"/>
  <c r="S1132" i="30"/>
  <c r="S1133" i="30"/>
  <c r="S1083" i="30"/>
  <c r="S1087" i="30"/>
  <c r="S1134" i="30"/>
  <c r="S1084" i="30"/>
  <c r="S1135" i="30"/>
  <c r="S1136" i="30"/>
  <c r="S1137" i="30"/>
  <c r="S1138" i="30"/>
  <c r="S1139" i="30"/>
  <c r="S1140" i="30"/>
  <c r="S1141" i="30"/>
  <c r="S1142" i="30"/>
  <c r="S998" i="30"/>
  <c r="S1010" i="30"/>
  <c r="S1011" i="30"/>
  <c r="S1012" i="30"/>
  <c r="S1013" i="30"/>
  <c r="S1014" i="30"/>
  <c r="S1015" i="30"/>
  <c r="S1016" i="30"/>
  <c r="S1017" i="30"/>
  <c r="S1018" i="30"/>
  <c r="S1019" i="30"/>
  <c r="S1020" i="30"/>
  <c r="S1021" i="30"/>
  <c r="S1022" i="30"/>
  <c r="S1023" i="30"/>
  <c r="S1024" i="30"/>
  <c r="S1034" i="30"/>
  <c r="S1025" i="30"/>
  <c r="S1026" i="30"/>
  <c r="S1027" i="30"/>
  <c r="S1028" i="30"/>
  <c r="S1029" i="30"/>
  <c r="S1030" i="30"/>
  <c r="S1031" i="30"/>
  <c r="S1032" i="30"/>
  <c r="S1033" i="30"/>
  <c r="S996" i="30"/>
  <c r="S997" i="30"/>
  <c r="S999" i="30"/>
  <c r="S1000" i="30"/>
  <c r="S1035" i="30"/>
  <c r="S1001" i="30"/>
  <c r="S1002" i="30"/>
  <c r="S1003" i="30"/>
  <c r="S1004" i="30"/>
  <c r="S1005" i="30"/>
  <c r="S1006" i="30"/>
  <c r="S1007" i="30"/>
  <c r="S1008" i="30"/>
  <c r="S1009" i="30"/>
  <c r="S306" i="30"/>
  <c r="S315" i="30"/>
  <c r="S319" i="30"/>
  <c r="S320" i="30"/>
  <c r="S321" i="30"/>
  <c r="S322" i="30"/>
  <c r="S323" i="30"/>
  <c r="S324" i="30"/>
  <c r="S325" i="30"/>
  <c r="S307" i="30"/>
  <c r="S305" i="30"/>
  <c r="S308" i="30"/>
  <c r="S309" i="30"/>
  <c r="S310" i="30"/>
  <c r="S303" i="30"/>
  <c r="S311" i="30"/>
  <c r="S312" i="30"/>
  <c r="S313" i="30"/>
  <c r="S314" i="30"/>
  <c r="S316" i="30"/>
  <c r="S317" i="30"/>
  <c r="S318" i="30"/>
  <c r="S304" i="30"/>
  <c r="S678" i="30"/>
  <c r="S707" i="30"/>
  <c r="S733" i="30"/>
  <c r="S734" i="30"/>
  <c r="S735" i="30"/>
  <c r="S736" i="30"/>
  <c r="S737" i="30"/>
  <c r="S738" i="30"/>
  <c r="S739" i="30"/>
  <c r="S740" i="30"/>
  <c r="S741" i="30"/>
  <c r="S680" i="30"/>
  <c r="S742" i="30"/>
  <c r="S743" i="30"/>
  <c r="S744" i="30"/>
  <c r="S745" i="30"/>
  <c r="S746" i="30"/>
  <c r="S747" i="30"/>
  <c r="S748" i="30"/>
  <c r="S749" i="30"/>
  <c r="S750" i="30"/>
  <c r="S675" i="30"/>
  <c r="S676" i="30"/>
  <c r="S677" i="30"/>
  <c r="S751" i="30"/>
  <c r="S752" i="30"/>
  <c r="S681" i="30"/>
  <c r="S682" i="30"/>
  <c r="S683" i="30"/>
  <c r="S684" i="30"/>
  <c r="S685" i="30"/>
  <c r="S686" i="30"/>
  <c r="S687" i="30"/>
  <c r="S688" i="30"/>
  <c r="S689" i="30"/>
  <c r="S690" i="30"/>
  <c r="S691" i="30"/>
  <c r="S692" i="30"/>
  <c r="S693" i="30"/>
  <c r="S694" i="30"/>
  <c r="S695" i="30"/>
  <c r="S696" i="30"/>
  <c r="S697" i="30"/>
  <c r="S698" i="30"/>
  <c r="S699" i="30"/>
  <c r="S700" i="30"/>
  <c r="S701" i="30"/>
  <c r="S702" i="30"/>
  <c r="S703" i="30"/>
  <c r="S704" i="30"/>
  <c r="S705" i="30"/>
  <c r="S706" i="30"/>
  <c r="S708" i="30"/>
  <c r="S709" i="30"/>
  <c r="S710" i="30"/>
  <c r="S711" i="30"/>
  <c r="S712" i="30"/>
  <c r="S713" i="30"/>
  <c r="S714" i="30"/>
  <c r="S715" i="30"/>
  <c r="S716" i="30"/>
  <c r="S717" i="30"/>
  <c r="S718" i="30"/>
  <c r="S719" i="30"/>
  <c r="S720" i="30"/>
  <c r="S721" i="30"/>
  <c r="S679" i="30"/>
  <c r="S722" i="30"/>
  <c r="S723" i="30"/>
  <c r="S724" i="30"/>
  <c r="S725" i="30"/>
  <c r="S726" i="30"/>
  <c r="S727" i="30"/>
  <c r="S728" i="30"/>
  <c r="S729" i="30"/>
  <c r="S730" i="30"/>
  <c r="S731" i="30"/>
  <c r="S732" i="30"/>
  <c r="S253" i="30"/>
  <c r="S262" i="30"/>
  <c r="S263" i="30"/>
  <c r="S288" i="30"/>
  <c r="S249" i="30"/>
  <c r="S255" i="30"/>
  <c r="S289" i="30"/>
  <c r="S290" i="30"/>
  <c r="S291" i="30"/>
  <c r="S292" i="30"/>
  <c r="S293" i="30"/>
  <c r="S294" i="30"/>
  <c r="S295" i="30"/>
  <c r="S256" i="30"/>
  <c r="S296" i="30"/>
  <c r="S297" i="30"/>
  <c r="S298" i="30"/>
  <c r="S299" i="30"/>
  <c r="S300" i="30"/>
  <c r="S301" i="30"/>
  <c r="S302" i="30"/>
  <c r="S267" i="30"/>
  <c r="S270" i="30"/>
  <c r="S258" i="30"/>
  <c r="S259" i="30"/>
  <c r="S271" i="30"/>
  <c r="S261" i="30"/>
  <c r="S250" i="30"/>
  <c r="S272" i="30"/>
  <c r="S273" i="30"/>
  <c r="S274" i="30"/>
  <c r="S268" i="30"/>
  <c r="S275" i="30"/>
  <c r="S248" i="30"/>
  <c r="S276" i="30"/>
  <c r="S277" i="30"/>
  <c r="S278" i="30"/>
  <c r="S279" i="30"/>
  <c r="S280" i="30"/>
  <c r="S281" i="30"/>
  <c r="S282" i="30"/>
  <c r="S283" i="30"/>
  <c r="S264" i="30"/>
  <c r="S265" i="30"/>
  <c r="S254" i="30"/>
  <c r="S284" i="30"/>
  <c r="S257" i="30"/>
  <c r="S285" i="30"/>
  <c r="S269" i="30"/>
  <c r="S260" i="30"/>
  <c r="S286" i="30"/>
  <c r="S287" i="30"/>
  <c r="S266" i="30"/>
  <c r="S251" i="30"/>
  <c r="S252" i="30"/>
  <c r="S907" i="30"/>
  <c r="S931" i="30"/>
  <c r="S947" i="30"/>
  <c r="S962" i="30"/>
  <c r="S979" i="30"/>
  <c r="S992" i="30"/>
  <c r="S993" i="30"/>
  <c r="S994" i="30"/>
  <c r="S995" i="30"/>
  <c r="S908" i="30"/>
  <c r="S918" i="30"/>
  <c r="S926" i="30"/>
  <c r="S927" i="30"/>
  <c r="S928" i="30"/>
  <c r="S929" i="30"/>
  <c r="S930" i="30"/>
  <c r="S909" i="30"/>
  <c r="S910" i="30"/>
  <c r="S911" i="30"/>
  <c r="S912" i="30"/>
  <c r="S913" i="30"/>
  <c r="S914" i="30"/>
  <c r="S915" i="30"/>
  <c r="S916" i="30"/>
  <c r="S917" i="30"/>
  <c r="S919" i="30"/>
  <c r="S920" i="30"/>
  <c r="S921" i="30"/>
  <c r="S922" i="30"/>
  <c r="S923" i="30"/>
  <c r="S924" i="30"/>
  <c r="S925" i="30"/>
  <c r="S932" i="30"/>
  <c r="S905" i="30"/>
  <c r="S933" i="30"/>
  <c r="S934" i="30"/>
  <c r="S935" i="30"/>
  <c r="S936" i="30"/>
  <c r="S937" i="30"/>
  <c r="S938" i="30"/>
  <c r="S939" i="30"/>
  <c r="S940" i="30"/>
  <c r="S941" i="30"/>
  <c r="S942" i="30"/>
  <c r="S943" i="30"/>
  <c r="S944" i="30"/>
  <c r="S945" i="30"/>
  <c r="S946" i="30"/>
  <c r="S948" i="30"/>
  <c r="S949" i="30"/>
  <c r="S950" i="30"/>
  <c r="S951" i="30"/>
  <c r="S952" i="30"/>
  <c r="S953" i="30"/>
  <c r="S954" i="30"/>
  <c r="S955" i="30"/>
  <c r="S956" i="30"/>
  <c r="S957" i="30"/>
  <c r="S958" i="30"/>
  <c r="S959" i="30"/>
  <c r="S960" i="30"/>
  <c r="S961" i="30"/>
  <c r="S963" i="30"/>
  <c r="S964" i="30"/>
  <c r="S965" i="30"/>
  <c r="S966" i="30"/>
  <c r="S967" i="30"/>
  <c r="S968" i="30"/>
  <c r="S969" i="30"/>
  <c r="S970" i="30"/>
  <c r="S971" i="30"/>
  <c r="S972" i="30"/>
  <c r="S973" i="30"/>
  <c r="S974" i="30"/>
  <c r="S975" i="30"/>
  <c r="S976" i="30"/>
  <c r="S977" i="30"/>
  <c r="S978" i="30"/>
  <c r="S980" i="30"/>
  <c r="S906" i="30"/>
  <c r="S904" i="30"/>
  <c r="A3" i="39" s="1" a="1"/>
  <c r="S981" i="30"/>
  <c r="S982" i="30"/>
  <c r="S983" i="30"/>
  <c r="S984" i="30"/>
  <c r="S985" i="30"/>
  <c r="S986" i="30"/>
  <c r="S987" i="30"/>
  <c r="S988" i="30"/>
  <c r="S989" i="30"/>
  <c r="S990" i="30"/>
  <c r="S991" i="30"/>
  <c r="S659" i="30"/>
  <c r="S664" i="30"/>
  <c r="S665" i="30"/>
  <c r="S651" i="30"/>
  <c r="S648" i="30"/>
  <c r="S649" i="30"/>
  <c r="S666" i="30"/>
  <c r="S667" i="30"/>
  <c r="S668" i="30"/>
  <c r="S669" i="30"/>
  <c r="S640" i="30"/>
  <c r="S647" i="30"/>
  <c r="S670" i="30"/>
  <c r="S671" i="30"/>
  <c r="S672" i="30"/>
  <c r="S654" i="30"/>
  <c r="S642" i="30"/>
  <c r="S643" i="30"/>
  <c r="S655" i="30"/>
  <c r="S644" i="30"/>
  <c r="S673" i="30"/>
  <c r="S650" i="30"/>
  <c r="S645" i="30"/>
  <c r="S641" i="30"/>
  <c r="S674" i="30"/>
  <c r="S646" i="30"/>
  <c r="S660" i="30"/>
  <c r="S636" i="30"/>
  <c r="S658" i="30"/>
  <c r="S652" i="30"/>
  <c r="S656" i="30"/>
  <c r="S638" i="30"/>
  <c r="S661" i="30"/>
  <c r="S657" i="30"/>
  <c r="S653" i="30"/>
  <c r="S637" i="30"/>
  <c r="S639" i="30"/>
  <c r="S662" i="30"/>
  <c r="S663" i="30"/>
  <c r="S754" i="30"/>
  <c r="S755" i="30"/>
  <c r="S756" i="30"/>
  <c r="S757" i="30"/>
  <c r="S760" i="30"/>
  <c r="S767" i="30"/>
  <c r="S766" i="30"/>
  <c r="S765" i="30"/>
  <c r="S753" i="30"/>
  <c r="S758" i="30"/>
  <c r="S759" i="30"/>
  <c r="S768" i="30"/>
  <c r="S763" i="30"/>
  <c r="S764" i="30"/>
  <c r="S762" i="30"/>
  <c r="S761" i="30"/>
  <c r="S247" i="30"/>
  <c r="S246" i="30"/>
  <c r="S232" i="30"/>
  <c r="A3" i="41" s="1" a="1"/>
  <c r="S233" i="30"/>
  <c r="S234" i="30"/>
  <c r="S235" i="30"/>
  <c r="S236" i="30"/>
  <c r="S237" i="30"/>
  <c r="S238" i="30"/>
  <c r="S239" i="30"/>
  <c r="S240" i="30"/>
  <c r="S241" i="30"/>
  <c r="S242" i="30"/>
  <c r="S243" i="30"/>
  <c r="S244" i="30"/>
  <c r="S245" i="30"/>
  <c r="S564" i="30"/>
  <c r="S565" i="30"/>
  <c r="S596" i="30"/>
  <c r="S566" i="30"/>
  <c r="S597" i="30"/>
  <c r="S567" i="30"/>
  <c r="S568" i="30"/>
  <c r="S569" i="30"/>
  <c r="S598" i="30"/>
  <c r="S599" i="30"/>
  <c r="S570" i="30"/>
  <c r="S600" i="30"/>
  <c r="S571" i="30"/>
  <c r="S572" i="30"/>
  <c r="S573" i="30"/>
  <c r="S574" i="30"/>
  <c r="S601" i="30"/>
  <c r="S575" i="30"/>
  <c r="S576" i="30"/>
  <c r="S577" i="30"/>
  <c r="S578" i="30"/>
  <c r="S579" i="30"/>
  <c r="S580" i="30"/>
  <c r="S581" i="30"/>
  <c r="S582" i="30"/>
  <c r="S583" i="30"/>
  <c r="S584" i="30"/>
  <c r="S585" i="30"/>
  <c r="S586" i="30"/>
  <c r="S587" i="30"/>
  <c r="S588" i="30"/>
  <c r="S593" i="30"/>
  <c r="S589" i="30"/>
  <c r="S590" i="30"/>
  <c r="S594" i="30"/>
  <c r="S595" i="30"/>
  <c r="S602" i="30"/>
  <c r="S603" i="30"/>
  <c r="S604" i="30"/>
  <c r="S605" i="30"/>
  <c r="S606" i="30"/>
  <c r="S591" i="30"/>
  <c r="S563" i="30"/>
  <c r="S592" i="30"/>
  <c r="S608" i="30"/>
  <c r="S628" i="30"/>
  <c r="S629" i="30"/>
  <c r="S630" i="30"/>
  <c r="S631" i="30"/>
  <c r="S632" i="30"/>
  <c r="S633" i="30"/>
  <c r="S609" i="30"/>
  <c r="S635" i="30"/>
  <c r="S610" i="30"/>
  <c r="S611" i="30"/>
  <c r="S612" i="30"/>
  <c r="S613" i="30"/>
  <c r="S614" i="30"/>
  <c r="S634" i="30"/>
  <c r="S607" i="30"/>
  <c r="S615" i="30"/>
  <c r="S616" i="30"/>
  <c r="S617" i="30"/>
  <c r="S618" i="30"/>
  <c r="S619" i="30"/>
  <c r="S620" i="30"/>
  <c r="S621" i="30"/>
  <c r="S622" i="30"/>
  <c r="S623" i="30"/>
  <c r="S624" i="30"/>
  <c r="S625" i="30"/>
  <c r="S626" i="30"/>
  <c r="S627" i="30"/>
  <c r="S525" i="30"/>
  <c r="S527" i="30"/>
  <c r="S550" i="30"/>
  <c r="S554" i="30"/>
  <c r="S557" i="30"/>
  <c r="S551" i="30"/>
  <c r="S549" i="30"/>
  <c r="S558" i="30"/>
  <c r="S559" i="30"/>
  <c r="S526" i="30"/>
  <c r="S560" i="30"/>
  <c r="S555" i="30"/>
  <c r="S524" i="30"/>
  <c r="S523" i="30"/>
  <c r="A3" i="43" s="1" a="1"/>
  <c r="S552" i="30"/>
  <c r="S553" i="30"/>
  <c r="S556" i="30"/>
  <c r="S562" i="30"/>
  <c r="S537" i="30"/>
  <c r="S538" i="30"/>
  <c r="S541" i="30"/>
  <c r="S542" i="30"/>
  <c r="S543" i="30"/>
  <c r="S544" i="30"/>
  <c r="S545" i="30"/>
  <c r="S548" i="30"/>
  <c r="S535" i="30"/>
  <c r="S532" i="30"/>
  <c r="S533" i="30"/>
  <c r="S534" i="30"/>
  <c r="S536" i="30"/>
  <c r="S539" i="30"/>
  <c r="S540" i="30"/>
  <c r="S546" i="30"/>
  <c r="S547" i="30"/>
  <c r="S561" i="30"/>
  <c r="S531" i="30"/>
  <c r="S528" i="30"/>
  <c r="S529" i="30"/>
  <c r="S530" i="30"/>
  <c r="S345" i="30"/>
  <c r="S349" i="30"/>
  <c r="S339" i="30"/>
  <c r="S346" i="30"/>
  <c r="S340" i="30"/>
  <c r="S347" i="30"/>
  <c r="S348" i="30"/>
  <c r="S344" i="30"/>
  <c r="S343" i="30"/>
  <c r="S341" i="30"/>
  <c r="S342" i="30"/>
  <c r="S353" i="30"/>
  <c r="S361" i="30"/>
  <c r="S354" i="30"/>
  <c r="S362" i="30"/>
  <c r="S363" i="30"/>
  <c r="S364" i="30"/>
  <c r="S365" i="30"/>
  <c r="S366" i="30"/>
  <c r="S367" i="30"/>
  <c r="S368" i="30"/>
  <c r="S355" i="30"/>
  <c r="S369" i="30"/>
  <c r="S356" i="30"/>
  <c r="S370" i="30"/>
  <c r="S371" i="30"/>
  <c r="S357" i="30"/>
  <c r="S372" i="30"/>
  <c r="S373" i="30"/>
  <c r="S358" i="30"/>
  <c r="S352" i="30"/>
  <c r="S377" i="30"/>
  <c r="S374" i="30"/>
  <c r="S359" i="30"/>
  <c r="S360" i="30"/>
  <c r="S378" i="30"/>
  <c r="S351" i="30"/>
  <c r="S350" i="30"/>
  <c r="S375" i="30"/>
  <c r="S376" i="30"/>
  <c r="S394" i="30"/>
  <c r="S387" i="30"/>
  <c r="S382" i="30"/>
  <c r="S384" i="30"/>
  <c r="S397" i="30"/>
  <c r="S380" i="30"/>
  <c r="S386" i="30"/>
  <c r="S383" i="30"/>
  <c r="S385" i="30"/>
  <c r="S388" i="30"/>
  <c r="S396" i="30"/>
  <c r="S390" i="30"/>
  <c r="S389" i="30"/>
  <c r="S392" i="30"/>
  <c r="S398" i="30"/>
  <c r="S393" i="30"/>
  <c r="S395" i="30"/>
  <c r="S381" i="30"/>
  <c r="S379" i="30"/>
  <c r="S391" i="30"/>
  <c r="S432" i="30"/>
  <c r="S433" i="30"/>
  <c r="S434" i="30"/>
  <c r="S435" i="30"/>
  <c r="S436" i="30"/>
  <c r="S437" i="30"/>
  <c r="S406" i="30"/>
  <c r="S407" i="30"/>
  <c r="S408" i="30"/>
  <c r="S409" i="30"/>
  <c r="S410" i="30"/>
  <c r="S411" i="30"/>
  <c r="S412" i="30"/>
  <c r="S413" i="30"/>
  <c r="S414" i="30"/>
  <c r="S415" i="30"/>
  <c r="S416" i="30"/>
  <c r="S400" i="30"/>
  <c r="S403" i="30"/>
  <c r="S404" i="30"/>
  <c r="S405" i="30"/>
  <c r="S417" i="30"/>
  <c r="S418" i="30"/>
  <c r="S401" i="30"/>
  <c r="S402" i="30"/>
  <c r="S419" i="30"/>
  <c r="S420" i="30"/>
  <c r="S421" i="30"/>
  <c r="S422" i="30"/>
  <c r="S423" i="30"/>
  <c r="S424" i="30"/>
  <c r="S425" i="30"/>
  <c r="S426" i="30"/>
  <c r="S430" i="30"/>
  <c r="S399" i="30"/>
  <c r="S427" i="30"/>
  <c r="S428" i="30"/>
  <c r="S429" i="30"/>
  <c r="S431" i="30"/>
  <c r="S72" i="30"/>
  <c r="S73" i="30"/>
  <c r="S42" i="30"/>
  <c r="S74" i="30"/>
  <c r="S75" i="30"/>
  <c r="S76" i="30"/>
  <c r="S77" i="30"/>
  <c r="S78" i="30"/>
  <c r="S79" i="30"/>
  <c r="S80" i="30"/>
  <c r="S81" i="30"/>
  <c r="S82" i="30"/>
  <c r="S83" i="30"/>
  <c r="S84" i="30"/>
  <c r="S85" i="30"/>
  <c r="S43" i="30"/>
  <c r="S86" i="30"/>
  <c r="S87" i="30"/>
  <c r="S44" i="30"/>
  <c r="S88" i="30"/>
  <c r="S52" i="30"/>
  <c r="S89" i="30"/>
  <c r="S90" i="30"/>
  <c r="S91" i="30"/>
  <c r="S92" i="30"/>
  <c r="S93" i="30"/>
  <c r="S94" i="30"/>
  <c r="S95" i="30"/>
  <c r="S96" i="30"/>
  <c r="S53" i="30"/>
  <c r="S54" i="30"/>
  <c r="S55" i="30"/>
  <c r="S56" i="30"/>
  <c r="S69" i="30"/>
  <c r="S45" i="30"/>
  <c r="S46" i="30"/>
  <c r="S70" i="30"/>
  <c r="S97" i="30"/>
  <c r="S57" i="30"/>
  <c r="S58" i="30"/>
  <c r="S59" i="30"/>
  <c r="S60" i="30"/>
  <c r="S61" i="30"/>
  <c r="S62" i="30"/>
  <c r="S47" i="30"/>
  <c r="S48" i="30"/>
  <c r="S98" i="30"/>
  <c r="S99" i="30"/>
  <c r="S100" i="30"/>
  <c r="S101" i="30"/>
  <c r="S102" i="30"/>
  <c r="S103" i="30"/>
  <c r="S104" i="30"/>
  <c r="S105" i="30"/>
  <c r="S63" i="30"/>
  <c r="S49" i="30"/>
  <c r="S106" i="30"/>
  <c r="S107" i="30"/>
  <c r="S108" i="30"/>
  <c r="S109" i="30"/>
  <c r="S64" i="30"/>
  <c r="S110" i="30"/>
  <c r="S50" i="30"/>
  <c r="S111" i="30"/>
  <c r="S112" i="30"/>
  <c r="S113" i="30"/>
  <c r="S114" i="30"/>
  <c r="S115" i="30"/>
  <c r="S116" i="30"/>
  <c r="S117" i="30"/>
  <c r="S71" i="30"/>
  <c r="S118" i="30"/>
  <c r="S119" i="30"/>
  <c r="S120" i="30"/>
  <c r="S121" i="30"/>
  <c r="S122" i="30"/>
  <c r="S123" i="30"/>
  <c r="S124" i="30"/>
  <c r="S125" i="30"/>
  <c r="S126" i="30"/>
  <c r="S65" i="30"/>
  <c r="S66" i="30"/>
  <c r="S127" i="30"/>
  <c r="S128" i="30"/>
  <c r="S129" i="30"/>
  <c r="S130" i="30"/>
  <c r="S131" i="30"/>
  <c r="S132" i="30"/>
  <c r="S133" i="30"/>
  <c r="S134" i="30"/>
  <c r="S135" i="30"/>
  <c r="S136" i="30"/>
  <c r="S67" i="30"/>
  <c r="S137" i="30"/>
  <c r="S138" i="30"/>
  <c r="S139" i="30"/>
  <c r="S140" i="30"/>
  <c r="S141" i="30"/>
  <c r="S142" i="30"/>
  <c r="S143" i="30"/>
  <c r="S144" i="30"/>
  <c r="S145" i="30"/>
  <c r="S146" i="30"/>
  <c r="S147" i="30"/>
  <c r="S148" i="30"/>
  <c r="S149" i="30"/>
  <c r="S150" i="30"/>
  <c r="S151" i="30"/>
  <c r="S152" i="30"/>
  <c r="S153" i="30"/>
  <c r="S154" i="30"/>
  <c r="S155" i="30"/>
  <c r="S156" i="30"/>
  <c r="S157" i="30"/>
  <c r="S158" i="30"/>
  <c r="S51" i="30"/>
  <c r="S159" i="30"/>
  <c r="S160" i="30"/>
  <c r="S161" i="30"/>
  <c r="S162" i="30"/>
  <c r="S163" i="30"/>
  <c r="S164" i="30"/>
  <c r="S165" i="30"/>
  <c r="S166" i="30"/>
  <c r="S167" i="30"/>
  <c r="S68" i="30"/>
  <c r="S168" i="30"/>
  <c r="S169" i="30"/>
  <c r="S170" i="30"/>
  <c r="S171" i="30"/>
  <c r="S172" i="30"/>
  <c r="S173" i="30"/>
  <c r="S174" i="30"/>
  <c r="S175" i="30"/>
  <c r="S176" i="30"/>
  <c r="S177" i="30"/>
  <c r="S178" i="30"/>
  <c r="S179" i="30"/>
  <c r="S11" i="30"/>
  <c r="S12" i="30"/>
  <c r="S13" i="30"/>
  <c r="S14" i="30"/>
  <c r="S4" i="30"/>
  <c r="S5" i="30"/>
  <c r="S15" i="30"/>
  <c r="S16" i="30"/>
  <c r="S3" i="30"/>
  <c r="S6" i="30"/>
  <c r="S17" i="30"/>
  <c r="S7" i="30"/>
  <c r="S18" i="30"/>
  <c r="S19" i="30"/>
  <c r="S20" i="30"/>
  <c r="S21" i="30"/>
  <c r="S22" i="30"/>
  <c r="S23" i="30"/>
  <c r="S24" i="30"/>
  <c r="S8" i="30"/>
  <c r="S25" i="30"/>
  <c r="S26" i="30"/>
  <c r="S27" i="30"/>
  <c r="S2" i="30"/>
  <c r="A3" i="45" s="1" a="1"/>
  <c r="S28" i="30"/>
  <c r="S29" i="30"/>
  <c r="S30" i="30"/>
  <c r="S31" i="30"/>
  <c r="S32" i="30"/>
  <c r="S33" i="30"/>
  <c r="S34" i="30"/>
  <c r="S35" i="30"/>
  <c r="S36" i="30"/>
  <c r="S37" i="30"/>
  <c r="S38" i="30"/>
  <c r="S10" i="30"/>
  <c r="S9" i="30"/>
  <c r="S39" i="30"/>
  <c r="S40" i="30"/>
  <c r="S41" i="30"/>
  <c r="S180" i="30"/>
  <c r="S181" i="30"/>
  <c r="S183" i="30"/>
  <c r="S184" i="30"/>
  <c r="S182" i="30"/>
  <c r="S185" i="30"/>
  <c r="S186" i="30"/>
  <c r="S194" i="30"/>
  <c r="S191" i="30"/>
  <c r="S192" i="30"/>
  <c r="S195" i="30"/>
  <c r="S196" i="30"/>
  <c r="S197" i="30"/>
  <c r="S198" i="30"/>
  <c r="S187" i="30"/>
  <c r="S193" i="30"/>
  <c r="S199" i="30"/>
  <c r="S200" i="30"/>
  <c r="S188" i="30"/>
  <c r="S201" i="30"/>
  <c r="S202" i="30"/>
  <c r="S189" i="30"/>
  <c r="S203" i="30"/>
  <c r="S190" i="30"/>
  <c r="S204" i="30"/>
  <c r="S205" i="30"/>
  <c r="S208" i="30"/>
  <c r="S206" i="30"/>
  <c r="S207" i="30"/>
  <c r="S209" i="30"/>
  <c r="S210" i="30"/>
  <c r="S211" i="30"/>
  <c r="S212" i="30"/>
  <c r="S213" i="30"/>
  <c r="S214" i="30"/>
  <c r="S215" i="30"/>
  <c r="S216" i="30"/>
  <c r="S217" i="30"/>
  <c r="S218" i="30"/>
  <c r="S219" i="30"/>
  <c r="S220" i="30"/>
  <c r="S221" i="30"/>
  <c r="S222" i="30"/>
  <c r="S223" i="30"/>
  <c r="S224" i="30"/>
  <c r="S225" i="30"/>
  <c r="S226" i="30"/>
  <c r="S227" i="30"/>
  <c r="S228" i="30"/>
  <c r="S229" i="30"/>
  <c r="S230" i="30"/>
  <c r="S231" i="30"/>
  <c r="S1043" i="30"/>
  <c r="S1050" i="30"/>
  <c r="S1044" i="30"/>
  <c r="S1042" i="30"/>
  <c r="S1046" i="30"/>
  <c r="S1049" i="30"/>
  <c r="S1051" i="30"/>
  <c r="S1052" i="30"/>
  <c r="S1053" i="30"/>
  <c r="S1037" i="30"/>
  <c r="S1047" i="30"/>
  <c r="S1045" i="30"/>
  <c r="S1036" i="30"/>
  <c r="S1041" i="30"/>
  <c r="S1048" i="30"/>
  <c r="S1056" i="30"/>
  <c r="S1054" i="30"/>
  <c r="S1055" i="30"/>
  <c r="S1038" i="30"/>
  <c r="S1057" i="30"/>
  <c r="S1065" i="30"/>
  <c r="S1058" i="30"/>
  <c r="S1061" i="30"/>
  <c r="S1062" i="30"/>
  <c r="S1063" i="30"/>
  <c r="S1059" i="30"/>
  <c r="S1060" i="30"/>
  <c r="S1064" i="30"/>
  <c r="S1039" i="30"/>
  <c r="S1068" i="30"/>
  <c r="S1066" i="30"/>
  <c r="S1067" i="30"/>
  <c r="S1069" i="30"/>
  <c r="S1040" i="30"/>
  <c r="S1073" i="30"/>
  <c r="S1074" i="30"/>
  <c r="S1075" i="30"/>
  <c r="S1070" i="30"/>
  <c r="S1076" i="30"/>
  <c r="S1077" i="30"/>
  <c r="S1071" i="30"/>
  <c r="S1072" i="30"/>
  <c r="S1078" i="30"/>
  <c r="S1079" i="30"/>
  <c r="S1080" i="30"/>
  <c r="B3" i="27"/>
  <c r="A3" i="40" l="1" a="1"/>
  <c r="A3" i="49" a="1"/>
  <c r="A3" i="35" a="1"/>
  <c r="A3" i="46" a="1"/>
  <c r="A3" i="50" a="1"/>
  <c r="A3" i="47" a="1"/>
  <c r="A3" i="42" a="1"/>
  <c r="A3" i="44" a="1"/>
  <c r="H993" i="34"/>
  <c r="E19" i="34"/>
  <c r="H19" i="34" s="1"/>
  <c r="E18" i="34"/>
  <c r="H18" i="34" s="1"/>
  <c r="E15" i="34"/>
  <c r="H15" i="34" s="1"/>
  <c r="H1160" i="34"/>
  <c r="H1157" i="34"/>
  <c r="H1158" i="34"/>
  <c r="H1126" i="34"/>
  <c r="H974" i="34"/>
  <c r="H1156" i="34"/>
  <c r="H1096" i="34"/>
  <c r="H1167" i="34"/>
  <c r="H1159" i="34"/>
  <c r="H1155" i="34"/>
  <c r="H1181" i="34"/>
  <c r="H1174" i="34"/>
  <c r="H1147" i="34"/>
  <c r="H1145" i="34"/>
  <c r="H1143" i="34"/>
  <c r="H1139" i="34"/>
  <c r="H1118" i="34"/>
  <c r="H1116" i="34"/>
  <c r="H1108" i="34"/>
  <c r="H1104" i="34"/>
  <c r="H1064" i="34"/>
  <c r="H1038" i="34"/>
  <c r="H1034" i="34"/>
  <c r="H1026" i="34"/>
  <c r="H1017" i="34"/>
  <c r="H1007" i="34"/>
  <c r="H1002" i="34"/>
  <c r="H1000" i="34"/>
  <c r="H992" i="34"/>
  <c r="H990" i="34"/>
  <c r="H987" i="34"/>
  <c r="H969" i="34"/>
  <c r="H964" i="34"/>
  <c r="H959" i="34"/>
  <c r="H949" i="34"/>
  <c r="H948" i="34"/>
  <c r="H926" i="34"/>
  <c r="H924" i="34"/>
  <c r="H921" i="34"/>
  <c r="H920" i="34"/>
  <c r="H884" i="34"/>
  <c r="H883" i="34"/>
  <c r="H879" i="34"/>
  <c r="H872" i="34"/>
  <c r="H869" i="34"/>
  <c r="H864" i="34"/>
  <c r="H848" i="34"/>
  <c r="H845" i="34"/>
  <c r="H830" i="34"/>
  <c r="H825" i="34"/>
  <c r="H808" i="34"/>
  <c r="H804" i="34"/>
  <c r="H802" i="34"/>
  <c r="H799" i="34"/>
  <c r="H796" i="34"/>
  <c r="H793" i="34"/>
  <c r="H784" i="34"/>
  <c r="H782" i="34"/>
  <c r="H780" i="34"/>
  <c r="H482" i="34"/>
  <c r="H386" i="34"/>
  <c r="H101" i="34"/>
  <c r="H99" i="34"/>
  <c r="H97" i="34"/>
  <c r="H95" i="34"/>
  <c r="H91" i="34"/>
  <c r="H84" i="34"/>
  <c r="H79" i="34"/>
  <c r="H74" i="34"/>
  <c r="H72" i="34"/>
  <c r="H69" i="34"/>
  <c r="H67" i="34"/>
  <c r="H51" i="34"/>
  <c r="H44" i="34"/>
  <c r="H1179" i="34"/>
  <c r="H1166" i="34"/>
  <c r="H1165" i="34"/>
  <c r="H1149" i="34"/>
  <c r="H1138" i="34"/>
  <c r="H1134" i="34"/>
  <c r="H1131" i="34"/>
  <c r="H1129" i="34"/>
  <c r="H1121" i="34"/>
  <c r="H1117" i="34"/>
  <c r="H1110" i="34"/>
  <c r="H1098" i="34"/>
  <c r="H1087" i="34"/>
  <c r="H1082" i="34"/>
  <c r="H1081" i="34"/>
  <c r="H1078" i="34"/>
  <c r="H1043" i="34"/>
  <c r="H1037" i="34"/>
  <c r="H1029" i="34"/>
  <c r="H1024" i="34"/>
  <c r="H1022" i="34"/>
  <c r="H1020" i="34"/>
  <c r="H1012" i="34"/>
  <c r="H1010" i="34"/>
  <c r="H1005" i="34"/>
  <c r="H1003" i="34"/>
  <c r="H1001" i="34"/>
  <c r="H997" i="34"/>
  <c r="H986" i="34"/>
  <c r="H973" i="34"/>
  <c r="H965" i="34"/>
  <c r="H911" i="34"/>
  <c r="H909" i="34"/>
  <c r="H904" i="34"/>
  <c r="H881" i="34"/>
  <c r="H873" i="34"/>
  <c r="H866" i="34"/>
  <c r="H862" i="34"/>
  <c r="H857" i="34"/>
  <c r="H850" i="34"/>
  <c r="H835" i="34"/>
  <c r="H832" i="34"/>
  <c r="H827" i="34"/>
  <c r="H819" i="34"/>
  <c r="H817" i="34"/>
  <c r="H806" i="34"/>
  <c r="H801" i="34"/>
  <c r="H797" i="34"/>
  <c r="H788" i="34"/>
  <c r="H786" i="34"/>
  <c r="H785" i="34"/>
  <c r="H94" i="34"/>
  <c r="H92" i="34"/>
  <c r="H90" i="34"/>
  <c r="H88" i="34"/>
  <c r="H87" i="34"/>
  <c r="H82" i="34"/>
  <c r="H80" i="34"/>
  <c r="H78" i="34"/>
  <c r="H66" i="34"/>
  <c r="H64" i="34"/>
  <c r="H62" i="34"/>
  <c r="H57" i="34"/>
  <c r="H55" i="34"/>
  <c r="H53" i="34"/>
  <c r="H52" i="34"/>
  <c r="H1180" i="34"/>
  <c r="H1178" i="34"/>
  <c r="H1176" i="34"/>
  <c r="H1172" i="34"/>
  <c r="H1171" i="34"/>
  <c r="H1170" i="34"/>
  <c r="H1169" i="34"/>
  <c r="H1164" i="34"/>
  <c r="H1162" i="34"/>
  <c r="H1161" i="34"/>
  <c r="H1152" i="34"/>
  <c r="H1150" i="34"/>
  <c r="H1140" i="34"/>
  <c r="H1130" i="34"/>
  <c r="H1128" i="34"/>
  <c r="H1119" i="34"/>
  <c r="H1115" i="34"/>
  <c r="H1111" i="34"/>
  <c r="H1101" i="34"/>
  <c r="H1099" i="34"/>
  <c r="H1097" i="34"/>
  <c r="H1084" i="34"/>
  <c r="H1059" i="34"/>
  <c r="H1036" i="34"/>
  <c r="H1032" i="34"/>
  <c r="H1027" i="34"/>
  <c r="H1025" i="34"/>
  <c r="H1016" i="34"/>
  <c r="H999" i="34"/>
  <c r="H998" i="34"/>
  <c r="H995" i="34"/>
  <c r="H994" i="34"/>
  <c r="H984" i="34"/>
  <c r="H982" i="34"/>
  <c r="H960" i="34"/>
  <c r="H947" i="34"/>
  <c r="H929" i="34"/>
  <c r="H925" i="34"/>
  <c r="H922" i="34"/>
  <c r="H918" i="34"/>
  <c r="H878" i="34"/>
  <c r="H874" i="34"/>
  <c r="H867" i="34"/>
  <c r="H865" i="34"/>
  <c r="H854" i="34"/>
  <c r="H849" i="34"/>
  <c r="H847" i="34"/>
  <c r="H842" i="34"/>
  <c r="H840" i="34"/>
  <c r="H826" i="34"/>
  <c r="H821" i="34"/>
  <c r="H815" i="34"/>
  <c r="H813" i="34"/>
  <c r="H811" i="34"/>
  <c r="H805" i="34"/>
  <c r="H800" i="34"/>
  <c r="H792" i="34"/>
  <c r="H98" i="34"/>
  <c r="H93" i="34"/>
  <c r="H89" i="34"/>
  <c r="H77" i="34"/>
  <c r="H75" i="34"/>
  <c r="H65" i="34"/>
  <c r="H63" i="34"/>
  <c r="H60" i="34"/>
  <c r="H45" i="34"/>
  <c r="H1177" i="34"/>
  <c r="H1175" i="34"/>
  <c r="H1173" i="34"/>
  <c r="H1163" i="34"/>
  <c r="H1153" i="34"/>
  <c r="H1151" i="34"/>
  <c r="H1114" i="34"/>
  <c r="H1102" i="34"/>
  <c r="H1083" i="34"/>
  <c r="H1062" i="34"/>
  <c r="H1058" i="34"/>
  <c r="H1046" i="34"/>
  <c r="H1044" i="34"/>
  <c r="H1039" i="34"/>
  <c r="H1031" i="34"/>
  <c r="H1021" i="34"/>
  <c r="H1013" i="34"/>
  <c r="H1009" i="34"/>
  <c r="H1006" i="34"/>
  <c r="H1004" i="34"/>
  <c r="H989" i="34"/>
  <c r="H981" i="34"/>
  <c r="H970" i="34"/>
  <c r="H968" i="34"/>
  <c r="H954" i="34"/>
  <c r="H945" i="34"/>
  <c r="H933" i="34"/>
  <c r="H930" i="34"/>
  <c r="H928" i="34"/>
  <c r="H923" i="34"/>
  <c r="H919" i="34"/>
  <c r="H910" i="34"/>
  <c r="H907" i="34"/>
  <c r="H906" i="34"/>
  <c r="H885" i="34"/>
  <c r="H882" i="34"/>
  <c r="H877" i="34"/>
  <c r="H868" i="34"/>
  <c r="H863" i="34"/>
  <c r="H855" i="34"/>
  <c r="H853" i="34"/>
  <c r="H851" i="34"/>
  <c r="H843" i="34"/>
  <c r="H828" i="34"/>
  <c r="H820" i="34"/>
  <c r="H816" i="34"/>
  <c r="H814" i="34"/>
  <c r="H812" i="34"/>
  <c r="H810" i="34"/>
  <c r="H795" i="34"/>
  <c r="H794" i="34"/>
  <c r="H790" i="34"/>
  <c r="H789" i="34"/>
  <c r="H783" i="34"/>
  <c r="H85" i="34"/>
  <c r="H83" i="34"/>
  <c r="H56" i="34"/>
  <c r="H50" i="34"/>
  <c r="H46" i="34"/>
  <c r="E14" i="34"/>
  <c r="H14" i="34" s="1"/>
  <c r="H1127" i="34"/>
  <c r="H1120" i="34"/>
  <c r="H1112" i="34"/>
  <c r="H1109" i="34"/>
  <c r="H1106" i="34"/>
  <c r="H1094" i="34"/>
  <c r="H1093" i="34"/>
  <c r="H1086" i="34"/>
  <c r="H1080" i="34"/>
  <c r="H1079" i="34"/>
  <c r="H1060" i="34"/>
  <c r="H1030" i="34"/>
  <c r="H1028" i="34"/>
  <c r="H1018" i="34"/>
  <c r="H1011" i="34"/>
  <c r="H996" i="34"/>
  <c r="H988" i="34"/>
  <c r="H983" i="34"/>
  <c r="H980" i="34"/>
  <c r="H979" i="34"/>
  <c r="H978" i="34"/>
  <c r="H977" i="34"/>
  <c r="H976" i="34"/>
  <c r="H975" i="34"/>
  <c r="H967" i="34"/>
  <c r="H966" i="34"/>
  <c r="H958" i="34"/>
  <c r="H957" i="34"/>
  <c r="H956" i="34"/>
  <c r="H955" i="34"/>
  <c r="H953" i="34"/>
  <c r="H952" i="34"/>
  <c r="H951" i="34"/>
  <c r="H950" i="34"/>
  <c r="H946" i="34"/>
  <c r="H944" i="34"/>
  <c r="H943" i="34"/>
  <c r="H942" i="34"/>
  <c r="H941" i="34"/>
  <c r="H940" i="34"/>
  <c r="H939" i="34"/>
  <c r="H938" i="34"/>
  <c r="H937" i="34"/>
  <c r="H936" i="34"/>
  <c r="H935" i="34"/>
  <c r="H934" i="34"/>
  <c r="H932" i="34"/>
  <c r="H908" i="34"/>
  <c r="H876" i="34"/>
  <c r="H871" i="34"/>
  <c r="H870" i="34"/>
  <c r="H860" i="34"/>
  <c r="H852" i="34"/>
  <c r="H844" i="34"/>
  <c r="H839" i="34"/>
  <c r="H837" i="34"/>
  <c r="H836" i="34"/>
  <c r="H823" i="34"/>
  <c r="H818" i="34"/>
  <c r="H781" i="34"/>
  <c r="H779" i="34"/>
  <c r="H86" i="34"/>
  <c r="H61" i="34"/>
  <c r="H59" i="34"/>
  <c r="H58" i="34"/>
  <c r="H1168" i="34"/>
  <c r="H1144" i="34"/>
  <c r="H1142" i="34"/>
  <c r="H1135" i="34"/>
  <c r="H1133" i="34"/>
  <c r="H1123" i="34"/>
  <c r="H1122" i="34"/>
  <c r="H1107" i="34"/>
  <c r="H1100" i="34"/>
  <c r="H1095" i="34"/>
  <c r="H1092" i="34"/>
  <c r="H1091" i="34"/>
  <c r="H1090" i="34"/>
  <c r="H1089" i="34"/>
  <c r="H1065" i="34"/>
  <c r="H1045" i="34"/>
  <c r="H1042" i="34"/>
  <c r="H1041" i="34"/>
  <c r="H1040" i="34"/>
  <c r="H1033" i="34"/>
  <c r="H1014" i="34"/>
  <c r="H1154" i="34"/>
  <c r="H1148" i="34"/>
  <c r="H1146" i="34"/>
  <c r="H1141" i="34"/>
  <c r="H1137" i="34"/>
  <c r="H1136" i="34"/>
  <c r="H1132" i="34"/>
  <c r="H1125" i="34"/>
  <c r="H1124" i="34"/>
  <c r="H1113" i="34"/>
  <c r="H1105" i="34"/>
  <c r="H1103" i="34"/>
  <c r="H1088" i="34"/>
  <c r="H1085" i="34"/>
  <c r="H1077" i="34"/>
  <c r="H1063" i="34"/>
  <c r="H1061" i="34"/>
  <c r="H1035" i="34"/>
  <c r="H1023" i="34"/>
  <c r="H1019" i="34"/>
  <c r="H1015" i="34"/>
  <c r="H1008" i="34"/>
  <c r="H991" i="34"/>
  <c r="H985" i="34"/>
  <c r="H972" i="34"/>
  <c r="H971" i="34"/>
  <c r="H963" i="34"/>
  <c r="H962" i="34"/>
  <c r="H961" i="34"/>
  <c r="H931" i="34"/>
  <c r="H927" i="34"/>
  <c r="H905" i="34"/>
  <c r="H903" i="34"/>
  <c r="H858" i="34"/>
  <c r="H856" i="34"/>
  <c r="H846" i="34"/>
  <c r="H841" i="34"/>
  <c r="H834" i="34"/>
  <c r="H833" i="34"/>
  <c r="H831" i="34"/>
  <c r="H829" i="34"/>
  <c r="H822" i="34"/>
  <c r="H809" i="34"/>
  <c r="H803" i="34"/>
  <c r="H798" i="34"/>
  <c r="H96" i="34"/>
  <c r="H73" i="34"/>
  <c r="H49" i="34"/>
  <c r="H43" i="34"/>
  <c r="E16" i="34"/>
  <c r="H16" i="34" s="1"/>
  <c r="E13" i="34"/>
  <c r="H13" i="34" s="1"/>
  <c r="B5" i="34" s="1"/>
  <c r="H880" i="34"/>
  <c r="H875" i="34"/>
  <c r="H861" i="34"/>
  <c r="H859" i="34"/>
  <c r="H838" i="34"/>
  <c r="H824" i="34"/>
  <c r="H807" i="34"/>
  <c r="H791" i="34"/>
  <c r="H787" i="34"/>
  <c r="H100" i="34"/>
  <c r="H81" i="34"/>
  <c r="H76" i="34"/>
  <c r="H71" i="34"/>
  <c r="H70" i="34"/>
  <c r="H68" i="34"/>
  <c r="H54" i="34"/>
  <c r="H47" i="34"/>
  <c r="H42" i="34"/>
  <c r="H41" i="34"/>
  <c r="F23" i="34"/>
  <c r="F22" i="34"/>
  <c r="G22" i="34" s="1"/>
  <c r="H1075" i="34"/>
  <c r="H1073" i="34"/>
  <c r="H1071" i="34"/>
  <c r="H1069" i="34"/>
  <c r="H1067" i="34"/>
  <c r="H1057" i="34"/>
  <c r="H1055" i="34"/>
  <c r="H1053" i="34"/>
  <c r="H1051" i="34"/>
  <c r="H1049" i="34"/>
  <c r="H916" i="34"/>
  <c r="H913" i="34"/>
  <c r="H775" i="34"/>
  <c r="H771" i="34"/>
  <c r="H764" i="34"/>
  <c r="H763" i="34"/>
  <c r="H759" i="34"/>
  <c r="H755" i="34"/>
  <c r="H746" i="34"/>
  <c r="H742" i="34"/>
  <c r="H741" i="34"/>
  <c r="H737" i="34"/>
  <c r="H736" i="34"/>
  <c r="H732" i="34"/>
  <c r="H728" i="34"/>
  <c r="H724" i="34"/>
  <c r="H723" i="34"/>
  <c r="H719" i="34"/>
  <c r="H716" i="34"/>
  <c r="H715" i="34"/>
  <c r="H712" i="34"/>
  <c r="H711" i="34"/>
  <c r="H703" i="34"/>
  <c r="H699" i="34"/>
  <c r="H695" i="34"/>
  <c r="H690" i="34"/>
  <c r="H686" i="34"/>
  <c r="H682" i="34"/>
  <c r="H678" i="34"/>
  <c r="H674" i="34"/>
  <c r="H673" i="34"/>
  <c r="H669" i="34"/>
  <c r="H668" i="34"/>
  <c r="H664" i="34"/>
  <c r="H652" i="34"/>
  <c r="H648" i="34"/>
  <c r="H647" i="34"/>
  <c r="H643" i="34"/>
  <c r="H642" i="34"/>
  <c r="H639" i="34"/>
  <c r="H638" i="34"/>
  <c r="H635" i="34"/>
  <c r="H630" i="34"/>
  <c r="H627" i="34"/>
  <c r="H624" i="34"/>
  <c r="H621" i="34"/>
  <c r="H618" i="34"/>
  <c r="H615" i="34"/>
  <c r="H612" i="34"/>
  <c r="H611" i="34"/>
  <c r="H597" i="34"/>
  <c r="H594" i="34"/>
  <c r="H593" i="34"/>
  <c r="H587" i="34"/>
  <c r="H583" i="34"/>
  <c r="H579" i="34"/>
  <c r="H574" i="34"/>
  <c r="H570" i="34"/>
  <c r="H569" i="34"/>
  <c r="H565" i="34"/>
  <c r="H561" i="34"/>
  <c r="H557" i="34"/>
  <c r="H552" i="34"/>
  <c r="H548" i="34"/>
  <c r="H544" i="34"/>
  <c r="H543" i="34"/>
  <c r="H539" i="34"/>
  <c r="H532" i="34"/>
  <c r="H523" i="34"/>
  <c r="H519" i="34"/>
  <c r="H515" i="34"/>
  <c r="H506" i="34"/>
  <c r="H502" i="34"/>
  <c r="H499" i="34"/>
  <c r="H496" i="34"/>
  <c r="H493" i="34"/>
  <c r="H490" i="34"/>
  <c r="H487" i="34"/>
  <c r="H480" i="34"/>
  <c r="H476" i="34"/>
  <c r="H472" i="34"/>
  <c r="H468" i="34"/>
  <c r="H464" i="34"/>
  <c r="H463" i="34"/>
  <c r="H462" i="34"/>
  <c r="H459" i="34"/>
  <c r="H458" i="34"/>
  <c r="H451" i="34"/>
  <c r="H450" i="34"/>
  <c r="H443" i="34"/>
  <c r="H442" i="34"/>
  <c r="H438" i="34"/>
  <c r="H434" i="34"/>
  <c r="H430" i="34"/>
  <c r="H426" i="34"/>
  <c r="H418" i="34"/>
  <c r="H417" i="34"/>
  <c r="H413" i="34"/>
  <c r="H409" i="34"/>
  <c r="H402" i="34"/>
  <c r="H401" i="34"/>
  <c r="H397" i="34"/>
  <c r="H396" i="34"/>
  <c r="H392" i="34"/>
  <c r="H385" i="34"/>
  <c r="H377" i="34"/>
  <c r="H373" i="34"/>
  <c r="H370" i="34"/>
  <c r="H367" i="34"/>
  <c r="H364" i="34"/>
  <c r="H360" i="34"/>
  <c r="H359" i="34"/>
  <c r="H355" i="34"/>
  <c r="H351" i="34"/>
  <c r="H347" i="34"/>
  <c r="H346" i="34"/>
  <c r="H342" i="34"/>
  <c r="H341" i="34"/>
  <c r="H337" i="34"/>
  <c r="H334" i="34"/>
  <c r="H328" i="34"/>
  <c r="H324" i="34"/>
  <c r="H319" i="34"/>
  <c r="H315" i="34"/>
  <c r="H312" i="34"/>
  <c r="H308" i="34"/>
  <c r="H307" i="34"/>
  <c r="H300" i="34"/>
  <c r="H290" i="34"/>
  <c r="H289" i="34"/>
  <c r="H285" i="34"/>
  <c r="H280" i="34"/>
  <c r="H279" i="34"/>
  <c r="H275" i="34"/>
  <c r="H259" i="34"/>
  <c r="H254" i="34"/>
  <c r="H248" i="34"/>
  <c r="H243" i="34"/>
  <c r="H230" i="34"/>
  <c r="H229" i="34"/>
  <c r="H223" i="34"/>
  <c r="H209" i="34"/>
  <c r="H204" i="34"/>
  <c r="H198" i="34"/>
  <c r="H197" i="34"/>
  <c r="H192" i="34"/>
  <c r="H187" i="34"/>
  <c r="H182" i="34"/>
  <c r="H176" i="34"/>
  <c r="H172" i="34"/>
  <c r="H171" i="34"/>
  <c r="H161" i="34"/>
  <c r="H156" i="34"/>
  <c r="H151" i="34"/>
  <c r="H150" i="34"/>
  <c r="H145" i="34"/>
  <c r="H117" i="34"/>
  <c r="H110" i="34"/>
  <c r="H109" i="34"/>
  <c r="H915" i="34"/>
  <c r="H912" i="34"/>
  <c r="H778" i="34"/>
  <c r="H777" i="34"/>
  <c r="H769" i="34"/>
  <c r="H765" i="34"/>
  <c r="H761" i="34"/>
  <c r="H757" i="34"/>
  <c r="H756" i="34"/>
  <c r="H752" i="34"/>
  <c r="H748" i="34"/>
  <c r="H744" i="34"/>
  <c r="H743" i="34"/>
  <c r="H739" i="34"/>
  <c r="H735" i="34"/>
  <c r="H731" i="34"/>
  <c r="H726" i="34"/>
  <c r="H722" i="34"/>
  <c r="H718" i="34"/>
  <c r="H709" i="34"/>
  <c r="H705" i="34"/>
  <c r="H701" i="34"/>
  <c r="H696" i="34"/>
  <c r="H692" i="34"/>
  <c r="H688" i="34"/>
  <c r="H684" i="34"/>
  <c r="H683" i="34"/>
  <c r="H679" i="34"/>
  <c r="H675" i="34"/>
  <c r="H671" i="34"/>
  <c r="H670" i="34"/>
  <c r="H666" i="34"/>
  <c r="H662" i="34"/>
  <c r="H658" i="34"/>
  <c r="H653" i="34"/>
  <c r="H649" i="34"/>
  <c r="H645" i="34"/>
  <c r="H641" i="34"/>
  <c r="H640" i="34"/>
  <c r="H637" i="34"/>
  <c r="H634" i="34"/>
  <c r="H631" i="34"/>
  <c r="H628" i="34"/>
  <c r="H625" i="34"/>
  <c r="H622" i="34"/>
  <c r="H619" i="34"/>
  <c r="H616" i="34"/>
  <c r="H613" i="34"/>
  <c r="H610" i="34"/>
  <c r="H606" i="34"/>
  <c r="H602" i="34"/>
  <c r="H598" i="34"/>
  <c r="H595" i="34"/>
  <c r="H592" i="34"/>
  <c r="H588" i="34"/>
  <c r="H584" i="34"/>
  <c r="H580" i="34"/>
  <c r="H577" i="34"/>
  <c r="H576" i="34"/>
  <c r="H573" i="34"/>
  <c r="H568" i="34"/>
  <c r="H564" i="34"/>
  <c r="H560" i="34"/>
  <c r="H559" i="34"/>
  <c r="H554" i="34"/>
  <c r="H550" i="34"/>
  <c r="H546" i="34"/>
  <c r="H538" i="34"/>
  <c r="H534" i="34"/>
  <c r="H529" i="34"/>
  <c r="H525" i="34"/>
  <c r="H521" i="34"/>
  <c r="H520" i="34"/>
  <c r="H516" i="34"/>
  <c r="H512" i="34"/>
  <c r="H508" i="34"/>
  <c r="H504" i="34"/>
  <c r="H503" i="34"/>
  <c r="H500" i="34"/>
  <c r="H497" i="34"/>
  <c r="H494" i="34"/>
  <c r="H491" i="34"/>
  <c r="H488" i="34"/>
  <c r="H484" i="34"/>
  <c r="H481" i="34"/>
  <c r="H478" i="34"/>
  <c r="H477" i="34"/>
  <c r="H473" i="34"/>
  <c r="H469" i="34"/>
  <c r="H465" i="34"/>
  <c r="H461" i="34"/>
  <c r="H456" i="34"/>
  <c r="H452" i="34"/>
  <c r="H448" i="34"/>
  <c r="H444" i="34"/>
  <c r="H440" i="34"/>
  <c r="H439" i="34"/>
  <c r="H435" i="34"/>
  <c r="H431" i="34"/>
  <c r="H427" i="34"/>
  <c r="H423" i="34"/>
  <c r="H422" i="34"/>
  <c r="H421" i="34"/>
  <c r="H414" i="34"/>
  <c r="H410" i="34"/>
  <c r="H406" i="34"/>
  <c r="H398" i="34"/>
  <c r="H394" i="34"/>
  <c r="H390" i="34"/>
  <c r="H384" i="34"/>
  <c r="H383" i="34"/>
  <c r="H379" i="34"/>
  <c r="H372" i="34"/>
  <c r="H369" i="34"/>
  <c r="H368" i="34"/>
  <c r="H365" i="34"/>
  <c r="H362" i="34"/>
  <c r="H361" i="34"/>
  <c r="H357" i="34"/>
  <c r="H353" i="34"/>
  <c r="H352" i="34"/>
  <c r="H348" i="34"/>
  <c r="H338" i="34"/>
  <c r="H331" i="34"/>
  <c r="H326" i="34"/>
  <c r="H321" i="34"/>
  <c r="H320" i="34"/>
  <c r="H274" i="34"/>
  <c r="H268" i="34"/>
  <c r="H262" i="34"/>
  <c r="H257" i="34"/>
  <c r="H251" i="34"/>
  <c r="H245" i="34"/>
  <c r="H239" i="34"/>
  <c r="H233" i="34"/>
  <c r="H232" i="34"/>
  <c r="H231" i="34"/>
  <c r="H225" i="34"/>
  <c r="H219" i="34"/>
  <c r="H212" i="34"/>
  <c r="H211" i="34"/>
  <c r="H210" i="34"/>
  <c r="H205" i="34"/>
  <c r="H200" i="34"/>
  <c r="H194" i="34"/>
  <c r="H193" i="34"/>
  <c r="H188" i="34"/>
  <c r="H183" i="34"/>
  <c r="H178" i="34"/>
  <c r="H173" i="34"/>
  <c r="H168" i="34"/>
  <c r="H163" i="34"/>
  <c r="H157" i="34"/>
  <c r="H152" i="34"/>
  <c r="H147" i="34"/>
  <c r="H146" i="34"/>
  <c r="H141" i="34"/>
  <c r="H136" i="34"/>
  <c r="H130" i="34"/>
  <c r="H124" i="34"/>
  <c r="H123" i="34"/>
  <c r="H122" i="34"/>
  <c r="H104" i="34"/>
  <c r="H103" i="34"/>
  <c r="H776" i="34"/>
  <c r="H773" i="34"/>
  <c r="H772" i="34"/>
  <c r="H770" i="34"/>
  <c r="H766" i="34"/>
  <c r="H760" i="34"/>
  <c r="H753" i="34"/>
  <c r="H751" i="34"/>
  <c r="H750" i="34"/>
  <c r="H747" i="34"/>
  <c r="H740" i="34"/>
  <c r="H734" i="34"/>
  <c r="H730" i="34"/>
  <c r="H727" i="34"/>
  <c r="H721" i="34"/>
  <c r="H717" i="34"/>
  <c r="H714" i="34"/>
  <c r="H713" i="34"/>
  <c r="H710" i="34"/>
  <c r="H706" i="34"/>
  <c r="H704" i="34"/>
  <c r="H700" i="34"/>
  <c r="H697" i="34"/>
  <c r="H693" i="34"/>
  <c r="H691" i="34"/>
  <c r="H687" i="34"/>
  <c r="H680" i="34"/>
  <c r="H676" i="34"/>
  <c r="H667" i="34"/>
  <c r="H663" i="34"/>
  <c r="H661" i="34"/>
  <c r="H660" i="34"/>
  <c r="H659" i="34"/>
  <c r="H657" i="34"/>
  <c r="H654" i="34"/>
  <c r="H650" i="34"/>
  <c r="H646" i="34"/>
  <c r="H608" i="34"/>
  <c r="H607" i="34"/>
  <c r="H604" i="34"/>
  <c r="H603" i="34"/>
  <c r="H601" i="34"/>
  <c r="H589" i="34"/>
  <c r="H585" i="34"/>
  <c r="H581" i="34"/>
  <c r="H566" i="34"/>
  <c r="H562" i="34"/>
  <c r="H558" i="34"/>
  <c r="H553" i="34"/>
  <c r="H549" i="34"/>
  <c r="H545" i="34"/>
  <c r="H542" i="34"/>
  <c r="H541" i="34"/>
  <c r="H537" i="34"/>
  <c r="H533" i="34"/>
  <c r="H530" i="34"/>
  <c r="H528" i="34"/>
  <c r="H527" i="34"/>
  <c r="H524" i="34"/>
  <c r="H517" i="34"/>
  <c r="H514" i="34"/>
  <c r="H511" i="34"/>
  <c r="H510" i="34"/>
  <c r="H507" i="34"/>
  <c r="H486" i="34"/>
  <c r="H483" i="34"/>
  <c r="H474" i="34"/>
  <c r="H470" i="34"/>
  <c r="H466" i="34"/>
  <c r="H460" i="34"/>
  <c r="H457" i="34"/>
  <c r="H453" i="34"/>
  <c r="H449" i="34"/>
  <c r="H445" i="34"/>
  <c r="H436" i="34"/>
  <c r="H432" i="34"/>
  <c r="H428" i="34"/>
  <c r="H425" i="34"/>
  <c r="H419" i="34"/>
  <c r="H415" i="34"/>
  <c r="H411" i="34"/>
  <c r="H408" i="34"/>
  <c r="H405" i="34"/>
  <c r="H404" i="34"/>
  <c r="H399" i="34"/>
  <c r="H395" i="34"/>
  <c r="H391" i="34"/>
  <c r="H387" i="34"/>
  <c r="H382" i="34"/>
  <c r="H378" i="34"/>
  <c r="H376" i="34"/>
  <c r="H363" i="34"/>
  <c r="H356" i="34"/>
  <c r="H350" i="34"/>
  <c r="H344" i="34"/>
  <c r="H343" i="34"/>
  <c r="H339" i="34"/>
  <c r="H335" i="34"/>
  <c r="H329" i="34"/>
  <c r="H325" i="34"/>
  <c r="H316" i="34"/>
  <c r="H309" i="34"/>
  <c r="H305" i="34"/>
  <c r="H301" i="34"/>
  <c r="H298" i="34"/>
  <c r="H297" i="34"/>
  <c r="H295" i="34"/>
  <c r="H292" i="34"/>
  <c r="H288" i="34"/>
  <c r="H284" i="34"/>
  <c r="H278" i="34"/>
  <c r="H273" i="34"/>
  <c r="H265" i="34"/>
  <c r="H260" i="34"/>
  <c r="H252" i="34"/>
  <c r="H246" i="34"/>
  <c r="H242" i="34"/>
  <c r="H237" i="34"/>
  <c r="H227" i="34"/>
  <c r="H226" i="34"/>
  <c r="H222" i="34"/>
  <c r="H213" i="34"/>
  <c r="H208" i="34"/>
  <c r="H203" i="34"/>
  <c r="H199" i="34"/>
  <c r="H195" i="34"/>
  <c r="H191" i="34"/>
  <c r="H190" i="34"/>
  <c r="H185" i="34"/>
  <c r="H181" i="34"/>
  <c r="H180" i="34"/>
  <c r="H177" i="34"/>
  <c r="H174" i="34"/>
  <c r="H170" i="34"/>
  <c r="H167" i="34"/>
  <c r="H166" i="34"/>
  <c r="H162" i="34"/>
  <c r="H158" i="34"/>
  <c r="H154" i="34"/>
  <c r="H140" i="34"/>
  <c r="H139" i="34"/>
  <c r="H138" i="34"/>
  <c r="H135" i="34"/>
  <c r="H131" i="34"/>
  <c r="H116" i="34"/>
  <c r="H115" i="34"/>
  <c r="H111" i="34"/>
  <c r="H106" i="34"/>
  <c r="H269" i="34"/>
  <c r="H266" i="34"/>
  <c r="H250" i="34"/>
  <c r="H249" i="34"/>
  <c r="H244" i="34"/>
  <c r="H238" i="34"/>
  <c r="H217" i="34"/>
  <c r="H216" i="34"/>
  <c r="H215" i="34"/>
  <c r="H207" i="34"/>
  <c r="H202" i="34"/>
  <c r="H186" i="34"/>
  <c r="H129" i="34"/>
  <c r="H118" i="34"/>
  <c r="H113" i="34"/>
  <c r="H107" i="34"/>
  <c r="H102" i="34"/>
  <c r="H1076" i="34"/>
  <c r="H1074" i="34"/>
  <c r="H1072" i="34"/>
  <c r="H1070" i="34"/>
  <c r="H1068" i="34"/>
  <c r="H1066" i="34"/>
  <c r="H1056" i="34"/>
  <c r="H1054" i="34"/>
  <c r="H1052" i="34"/>
  <c r="H1050" i="34"/>
  <c r="H1048" i="34"/>
  <c r="H1047" i="34"/>
  <c r="H917" i="34"/>
  <c r="H914" i="34"/>
  <c r="H774" i="34"/>
  <c r="H768" i="34"/>
  <c r="H767" i="34"/>
  <c r="H762" i="34"/>
  <c r="H758" i="34"/>
  <c r="H754" i="34"/>
  <c r="H749" i="34"/>
  <c r="H745" i="34"/>
  <c r="H738" i="34"/>
  <c r="H733" i="34"/>
  <c r="H729" i="34"/>
  <c r="H725" i="34"/>
  <c r="H720" i="34"/>
  <c r="H708" i="34"/>
  <c r="H707" i="34"/>
  <c r="H702" i="34"/>
  <c r="H698" i="34"/>
  <c r="H694" i="34"/>
  <c r="H689" i="34"/>
  <c r="H685" i="34"/>
  <c r="H681" i="34"/>
  <c r="H677" i="34"/>
  <c r="H672" i="34"/>
  <c r="H665" i="34"/>
  <c r="H656" i="34"/>
  <c r="H655" i="34"/>
  <c r="H651" i="34"/>
  <c r="H644" i="34"/>
  <c r="H636" i="34"/>
  <c r="H633" i="34"/>
  <c r="H632" i="34"/>
  <c r="H629" i="34"/>
  <c r="H626" i="34"/>
  <c r="H623" i="34"/>
  <c r="H620" i="34"/>
  <c r="H617" i="34"/>
  <c r="H614" i="34"/>
  <c r="H609" i="34"/>
  <c r="H605" i="34"/>
  <c r="H600" i="34"/>
  <c r="H599" i="34"/>
  <c r="H596" i="34"/>
  <c r="H591" i="34"/>
  <c r="H590" i="34"/>
  <c r="H586" i="34"/>
  <c r="H582" i="34"/>
  <c r="H578" i="34"/>
  <c r="H575" i="34"/>
  <c r="H572" i="34"/>
  <c r="H571" i="34"/>
  <c r="H567" i="34"/>
  <c r="H563" i="34"/>
  <c r="H556" i="34"/>
  <c r="H555" i="34"/>
  <c r="H551" i="34"/>
  <c r="H547" i="34"/>
  <c r="H540" i="34"/>
  <c r="H536" i="34"/>
  <c r="H535" i="34"/>
  <c r="H531" i="34"/>
  <c r="H526" i="34"/>
  <c r="H522" i="34"/>
  <c r="H518" i="34"/>
  <c r="H513" i="34"/>
  <c r="H509" i="34"/>
  <c r="H505" i="34"/>
  <c r="H501" i="34"/>
  <c r="H498" i="34"/>
  <c r="H495" i="34"/>
  <c r="H492" i="34"/>
  <c r="H489" i="34"/>
  <c r="H485" i="34"/>
  <c r="H479" i="34"/>
  <c r="H475" i="34"/>
  <c r="H471" i="34"/>
  <c r="H467" i="34"/>
  <c r="H455" i="34"/>
  <c r="H454" i="34"/>
  <c r="H447" i="34"/>
  <c r="H446" i="34"/>
  <c r="H441" i="34"/>
  <c r="H437" i="34"/>
  <c r="H433" i="34"/>
  <c r="H429" i="34"/>
  <c r="H424" i="34"/>
  <c r="H420" i="34"/>
  <c r="H416" i="34"/>
  <c r="H412" i="34"/>
  <c r="H407" i="34"/>
  <c r="H403" i="34"/>
  <c r="H400" i="34"/>
  <c r="H393" i="34"/>
  <c r="H389" i="34"/>
  <c r="H388" i="34"/>
  <c r="H381" i="34"/>
  <c r="H380" i="34"/>
  <c r="H375" i="34"/>
  <c r="H374" i="34"/>
  <c r="H371" i="34"/>
  <c r="H366" i="34"/>
  <c r="H358" i="34"/>
  <c r="H354" i="34"/>
  <c r="H349" i="34"/>
  <c r="H345" i="34"/>
  <c r="H340" i="34"/>
  <c r="H336" i="34"/>
  <c r="H333" i="34"/>
  <c r="H332" i="34"/>
  <c r="H327" i="34"/>
  <c r="H323" i="34"/>
  <c r="H322" i="34"/>
  <c r="H318" i="34"/>
  <c r="H317" i="34"/>
  <c r="H311" i="34"/>
  <c r="H304" i="34"/>
  <c r="H303" i="34"/>
  <c r="H299" i="34"/>
  <c r="H296" i="34"/>
  <c r="H291" i="34"/>
  <c r="H287" i="34"/>
  <c r="H283" i="34"/>
  <c r="H277" i="34"/>
  <c r="H272" i="34"/>
  <c r="H267" i="34"/>
  <c r="H261" i="34"/>
  <c r="H256" i="34"/>
  <c r="H255" i="34"/>
  <c r="H241" i="34"/>
  <c r="H240" i="34"/>
  <c r="H234" i="34"/>
  <c r="H228" i="34"/>
  <c r="H221" i="34"/>
  <c r="H220" i="34"/>
  <c r="H214" i="34"/>
  <c r="H160" i="34"/>
  <c r="H159" i="34"/>
  <c r="H153" i="34"/>
  <c r="H148" i="34"/>
  <c r="H143" i="34"/>
  <c r="H142" i="34"/>
  <c r="H137" i="34"/>
  <c r="H132" i="34"/>
  <c r="H126" i="34"/>
  <c r="H125" i="34"/>
  <c r="H119" i="34"/>
  <c r="H112" i="34"/>
  <c r="H105" i="34"/>
  <c r="H330" i="34"/>
  <c r="H314" i="34"/>
  <c r="H313" i="34"/>
  <c r="H310" i="34"/>
  <c r="H306" i="34"/>
  <c r="H302" i="34"/>
  <c r="H294" i="34"/>
  <c r="H293" i="34"/>
  <c r="H286" i="34"/>
  <c r="H282" i="34"/>
  <c r="H281" i="34"/>
  <c r="H276" i="34"/>
  <c r="H271" i="34"/>
  <c r="H270" i="34"/>
  <c r="H264" i="34"/>
  <c r="H263" i="34"/>
  <c r="H258" i="34"/>
  <c r="H253" i="34"/>
  <c r="H247" i="34"/>
  <c r="H236" i="34"/>
  <c r="H235" i="34"/>
  <c r="H224" i="34"/>
  <c r="H218" i="34"/>
  <c r="H206" i="34"/>
  <c r="H201" i="34"/>
  <c r="H196" i="34"/>
  <c r="H189" i="34"/>
  <c r="H184" i="34"/>
  <c r="H179" i="34"/>
  <c r="H175" i="34"/>
  <c r="H169" i="34"/>
  <c r="H165" i="34"/>
  <c r="H164" i="34"/>
  <c r="H155" i="34"/>
  <c r="H149" i="34"/>
  <c r="H144" i="34"/>
  <c r="H134" i="34"/>
  <c r="H133" i="34"/>
  <c r="H128" i="34"/>
  <c r="H127" i="34"/>
  <c r="H121" i="34"/>
  <c r="H120" i="34"/>
  <c r="H114" i="34"/>
  <c r="H108" i="34"/>
  <c r="F32" i="34"/>
  <c r="F31" i="34"/>
  <c r="G31" i="34" s="1"/>
  <c r="F29" i="34"/>
  <c r="F30" i="34"/>
  <c r="G30" i="34" s="1"/>
  <c r="F28" i="34"/>
  <c r="G28" i="34" s="1"/>
  <c r="F27" i="34"/>
  <c r="G27" i="34" s="1"/>
  <c r="F26" i="34"/>
  <c r="G26" i="34" s="1"/>
  <c r="F25" i="34"/>
  <c r="G25" i="34" s="1"/>
  <c r="F24" i="34"/>
  <c r="G23" i="34"/>
  <c r="B9" i="34"/>
  <c r="O23" i="31" a="1"/>
  <c r="M7" i="31"/>
  <c r="R8" i="31"/>
  <c r="L24" i="31"/>
  <c r="V14" i="31"/>
  <c r="K34" i="31"/>
  <c r="E34" i="31"/>
  <c r="G34" i="31"/>
  <c r="I34" i="31"/>
  <c r="V13" i="31"/>
  <c r="U13" i="31"/>
  <c r="Q13" i="31"/>
  <c r="H24" i="31"/>
  <c r="E26" i="31" s="1"/>
  <c r="K24" i="31"/>
  <c r="K26" i="31" s="1"/>
  <c r="I24" i="31"/>
  <c r="G26" i="31" s="1"/>
  <c r="M19" i="31"/>
  <c r="J24" i="31"/>
  <c r="I26" i="31" s="1"/>
  <c r="M18" i="31"/>
  <c r="O21" i="31" a="1"/>
  <c r="O11" i="31" a="1"/>
  <c r="O22" i="31" a="1"/>
  <c r="O7" i="31" a="1"/>
  <c r="O14" i="31" a="1"/>
  <c r="O15" i="31" a="1"/>
  <c r="O16" i="31" a="1"/>
  <c r="O17" i="31" a="1"/>
  <c r="O18" i="31" a="1"/>
  <c r="O20" i="31" a="1"/>
  <c r="O9" i="31" a="1"/>
  <c r="O10" i="31" a="1"/>
  <c r="O12" i="31" a="1"/>
  <c r="O19" i="31" a="1"/>
  <c r="O8" i="31" a="1"/>
  <c r="O13" i="31" a="1"/>
  <c r="M23" i="31"/>
  <c r="M20" i="31"/>
  <c r="Y20" i="31" s="1" a="1"/>
  <c r="M21" i="31"/>
  <c r="Y21" i="31" s="1" a="1"/>
  <c r="M12" i="31"/>
  <c r="M14" i="31"/>
  <c r="Y14" i="31" s="1" a="1"/>
  <c r="M8" i="31"/>
  <c r="M17" i="31"/>
  <c r="M11" i="31"/>
  <c r="M16" i="31"/>
  <c r="M22" i="31"/>
  <c r="Y22" i="31" s="1" a="1"/>
  <c r="M10" i="31"/>
  <c r="M13" i="31"/>
  <c r="M15" i="31"/>
  <c r="M9" i="31"/>
  <c r="G24" i="31"/>
  <c r="Y7" i="31" a="1"/>
  <c r="N24" i="31"/>
  <c r="N26" i="31" s="1"/>
  <c r="C34" i="31"/>
  <c r="N34" i="31"/>
  <c r="V12" i="31" s="1"/>
  <c r="B8" i="34" l="1"/>
  <c r="G32" i="34"/>
  <c r="B7" i="34"/>
  <c r="G29" i="34"/>
  <c r="B6" i="34"/>
  <c r="G24" i="34"/>
  <c r="R4" i="31"/>
  <c r="R27" i="31"/>
  <c r="R5" i="31"/>
  <c r="R28" i="31"/>
  <c r="R7" i="31"/>
  <c r="R30" i="31"/>
  <c r="R29" i="31"/>
  <c r="R6" i="31"/>
  <c r="Y23" i="31" a="1"/>
  <c r="R13" i="31"/>
  <c r="C26" i="31"/>
  <c r="M24" i="31"/>
  <c r="Y19" i="31" a="1"/>
  <c r="Y18" i="31" a="1"/>
  <c r="O24" i="31"/>
  <c r="Y12" i="31" a="1"/>
  <c r="M34" i="31"/>
  <c r="R12" i="31" s="1"/>
  <c r="Y8" i="31" a="1"/>
  <c r="Y17" i="31" a="1"/>
  <c r="Y11" i="31" a="1"/>
  <c r="Y16" i="31" a="1"/>
  <c r="Y10" i="31" a="1"/>
  <c r="Y13" i="31" a="1"/>
  <c r="Y15" i="31" a="1"/>
  <c r="Y9" i="31" a="1"/>
  <c r="R14" i="31" l="1"/>
  <c r="M26" i="31"/>
  <c r="L2" i="31" a="1"/>
  <c r="F7" i="31" l="1" a="1"/>
  <c r="F8" i="31" a="1"/>
  <c r="F9" i="31" a="1"/>
  <c r="F10" i="31" a="1"/>
  <c r="F11" i="31" a="1"/>
  <c r="F12" i="31" a="1"/>
  <c r="F13" i="31" a="1"/>
  <c r="F14" i="31" a="1"/>
  <c r="F15" i="31" a="1"/>
  <c r="F16" i="31" a="1"/>
  <c r="F17" i="31" a="1"/>
  <c r="F18" i="31" a="1"/>
  <c r="F19" i="31" a="1"/>
  <c r="F20" i="31" a="1"/>
  <c r="F21" i="31" a="1"/>
  <c r="F22" i="31" a="1"/>
  <c r="F23" i="31" a="1"/>
  <c r="G31" i="3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Vera Sousa Teixeira</author>
  </authors>
  <commentList>
    <comment ref="L6" authorId="0" shapeId="0" xr:uid="{01FF2C98-81B8-4195-A711-1C4FC3AC6492}">
      <text>
        <r>
          <rPr>
            <b/>
            <sz val="9"/>
            <color indexed="81"/>
            <rFont val="Tahoma"/>
            <family val="2"/>
          </rPr>
          <t>Vera Sousa Teixeira:</t>
        </r>
        <r>
          <rPr>
            <sz val="9"/>
            <color indexed="81"/>
            <rFont val="Tahoma"/>
            <family val="2"/>
          </rPr>
          <t xml:space="preserve">
UPON REQUEST or NOT FOR SALE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Vera Sousa Teixeira</author>
  </authors>
  <commentList>
    <comment ref="Y769" authorId="0" shapeId="0" xr:uid="{6AF53B5C-E436-4535-AB6E-24ECDA2A6A83}">
      <text>
        <r>
          <rPr>
            <b/>
            <sz val="9"/>
            <color indexed="81"/>
            <rFont val="Tahoma"/>
            <family val="2"/>
          </rPr>
          <t>Vera Sousa Teixeira:</t>
        </r>
        <r>
          <rPr>
            <sz val="9"/>
            <color indexed="81"/>
            <rFont val="Tahoma"/>
            <family val="2"/>
          </rPr>
          <t xml:space="preserve">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B07DD3E-2018-4247-8E70-89042A92F4A6}" keepAlive="1" name="Query - Project Info" description="Connection to the 'Project Info' query in the workbook." type="5" refreshedVersion="8" background="1" saveData="1">
    <dbPr connection="Provider=Microsoft.Mashup.OleDb.1;Data Source=$Workbook$;Location=&quot;Project Info&quot;;Extended Properties=&quot;&quot;" command="SELECT * FROM [Project Info]"/>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<sst xmlns="http://schemas.openxmlformats.org/spreadsheetml/2006/main" count="19942" uniqueCount="1112">
  <si>
    <t>Project</t>
  </si>
  <si>
    <t>Location</t>
  </si>
  <si>
    <t>Website</t>
  </si>
  <si>
    <t>Positioning Statement</t>
  </si>
  <si>
    <t>Type</t>
  </si>
  <si>
    <t>Amenities</t>
  </si>
  <si>
    <t>Architecture</t>
  </si>
  <si>
    <t>Conclusion Expected</t>
  </si>
  <si>
    <t>Nobilus</t>
  </si>
  <si>
    <t>Vilamoura, Algarve</t>
  </si>
  <si>
    <t>Ana Damásio</t>
  </si>
  <si>
    <t>Elisabete Figueiredo</t>
  </si>
  <si>
    <t>https://www.vilamouraworld.com/real-estate/nobilus/</t>
  </si>
  <si>
    <t>Gym, Sauna, Condo Pool, Private Pools, Outdoor Areas, Smart Home Technology, Underground Parking</t>
  </si>
  <si>
    <t>Projeto construção sustentável; Excelente localização; Arquitetura de excelência em Vilamoura (Atelier Fragmentos); Piscina de condomínio e piscinas privativas; Garagens privadas.</t>
  </si>
  <si>
    <t>Fragmentos</t>
  </si>
  <si>
    <t>Natura Village</t>
  </si>
  <si>
    <t>https://www.vilamouraworld.com/real-estate/natura-village/</t>
  </si>
  <si>
    <t>A 5 minute bike ride away from the Environmental Park, this is the location for a serene lifestyle. Experience a home crafted with care and balance.</t>
  </si>
  <si>
    <t>Gym, Sauna, Condo Pool, Private Pools, Outdoor Areas, Private Parking</t>
  </si>
  <si>
    <t>Condomínio privado; Villas de 2 e 3 quartos; Piscinas privativas; Localização refúgio junto ao parque natural e campos de golfe; Garagens privadas; Ginásio e piscina comum; Excelentes espaços exteriores privados e de condomínio.</t>
  </si>
  <si>
    <t>AN_DRE</t>
  </si>
  <si>
    <t>The Nine</t>
  </si>
  <si>
    <t>Frederico Ferreira</t>
  </si>
  <si>
    <t>https://www.vilamouraworld.com/real-estate/the-nine/</t>
  </si>
  <si>
    <t>Condo Pool, Outdoor Areas, Underground Parking</t>
  </si>
  <si>
    <t>AAVV</t>
  </si>
  <si>
    <t>Terracota</t>
  </si>
  <si>
    <t>https://www.vilamouraworld.com/real-estate/terracota/</t>
  </si>
  <si>
    <t>Terracota offers a slice of nature in an urban area – sheltered by spectacular pine trees for a feeling of secluded serenity.</t>
  </si>
  <si>
    <t>Barbosa Guimarães</t>
  </si>
  <si>
    <t>Rivus</t>
  </si>
  <si>
    <t>TBD</t>
  </si>
  <si>
    <t>Private Pools and Rooftops, Underground Parking, Community Swimming Pool</t>
  </si>
  <si>
    <t>Eduardo Lopes</t>
  </si>
  <si>
    <t>Carla Veiga</t>
  </si>
  <si>
    <t>Samuel Torres de Carvalho</t>
  </si>
  <si>
    <t>Springs - At the Els</t>
  </si>
  <si>
    <t>Springs Els Club - *Vilamoura</t>
  </si>
  <si>
    <t>The new chapter of Vilamoura begins here. Join the inner circle with Club access to golf, sport, equestrian &amp; beach life.</t>
  </si>
  <si>
    <t>Gym, Spa, Lazy River, Private Pools, Outdoor Areas, Smart Home Technology, Tennis Court, Clubhouse, Private Parking, Vista Membership</t>
  </si>
  <si>
    <t>Promontório</t>
  </si>
  <si>
    <t>Zestia</t>
  </si>
  <si>
    <t>Zestia - New Apartments for Sale in Vilamoura - *Vilamoura</t>
  </si>
  <si>
    <t>Discover Zestia, a residential-touristic development, where prime hospitality meets exclusive luxury in the heart of Vilamoura. This new development redefines elegance only 600 meters from the vibrant Vilamoura Marina.</t>
  </si>
  <si>
    <t>Gym, Spa, Condo Pool, Private Pools, Outdoor Areas, Smart Home Technology, Underground Parking, Reception, Vista Membership</t>
  </si>
  <si>
    <t>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t>
  </si>
  <si>
    <t>Metrourbe</t>
  </si>
  <si>
    <t>The Uncommon</t>
  </si>
  <si>
    <t>Condo Pool, Outdoor Areas, Underground Parking, Reception, Concierge, Vista Membership</t>
  </si>
  <si>
    <t>Apartamentos com exploração turística profissional e possibilidade de uso pelos proprietários; Amenities de excelência; Vistas excepcionais e em primeira linha de mar; Rooftops com plunge pool privativos.</t>
  </si>
  <si>
    <t>NLA</t>
  </si>
  <si>
    <t>Botanica</t>
  </si>
  <si>
    <t>Botanica Apartments - New Development - *Vilamoura</t>
  </si>
  <si>
    <t>Tranquil gardens. Communal parks. Perfectly-planted balconies. Botanica, a sense of well-being and connection to nature within a central urban location. One of the last opportunities to own a property in the heart of Vilamoura.</t>
  </si>
  <si>
    <t>Sutaya</t>
  </si>
  <si>
    <t>Quinta do Lago, Algarve</t>
  </si>
  <si>
    <t>Sandra Viegas</t>
  </si>
  <si>
    <t>Catarina Andrade</t>
  </si>
  <si>
    <t>Gym, Private Pools, Condo Pool, Outdoor Areas, Smart Home Technology, Underground Parking, San Lorenzo Golf Membership</t>
  </si>
  <si>
    <t>Projeto de enorme exclusividade localizado no campo de golfe Sao Lorenzo, Quinta do Lago; Arquitetura e acabamentos de excelência; Todas as unidades com piscina privativa e enorme privacidade; Amplas vistas de golfe e mar; Garagem com acesso de elevador privado à cada apartamento.</t>
  </si>
  <si>
    <t>Carvalho Araújo</t>
  </si>
  <si>
    <t>Azuya</t>
  </si>
  <si>
    <t>Ancão, Algarve</t>
  </si>
  <si>
    <t>www.azuya.pt</t>
  </si>
  <si>
    <t>Gym, Spa &amp; Welness Area, Private Pools, Condo Pool, Outdoor Areas, Smart Home Technology, Underground Parking, Kids Club</t>
  </si>
  <si>
    <t>Palmares</t>
  </si>
  <si>
    <t>Lagos, Algarve</t>
  </si>
  <si>
    <t>João Barra | José Guerreiro</t>
  </si>
  <si>
    <t>https://www.palmaresliving.com/</t>
  </si>
  <si>
    <t>Palmares Ocean &amp; Living : Where ocean breezes, world-class golf, and award-winning design converge to create a lifestyle beyond compare.</t>
  </si>
  <si>
    <t>Gym, Spa, Condo Pool, Private Pools, Outdoor Areas, Private Parking, Reception, World Class Golf Course</t>
  </si>
  <si>
    <t>RCR</t>
  </si>
  <si>
    <t>Monte Rei</t>
  </si>
  <si>
    <t>Vila Nova de Cacela, Algarve</t>
  </si>
  <si>
    <t>https://www.monte-rei.com/</t>
  </si>
  <si>
    <t>Golfe 18 buracos, Ténis, Ginásio, Health Center, Piscinas Exteriores, Spa e Concierge, Restaurantes</t>
  </si>
  <si>
    <t>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t>
  </si>
  <si>
    <t>Aroeira Collections</t>
  </si>
  <si>
    <t>Herdade da Aroeira, Almada</t>
  </si>
  <si>
    <t>João Gameiro</t>
  </si>
  <si>
    <t>Miguel Ribeiro</t>
  </si>
  <si>
    <t>https://www.aroeiracollections.com/</t>
  </si>
  <si>
    <t>Aroeira Collections by Missoni: Elegance inspired by iconic design, set beside the renowned PGA golf course — where luxury living meets the rhythm of the coast.</t>
  </si>
  <si>
    <t>Gym, Spa, Condo Pool, Private Pools, Tennis &amp; Padel Courts, Outdoor Areas, Smart Home Technology, Private Parking, Reception, Missoni Interiors, PGA Golf Course</t>
  </si>
  <si>
    <t>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t>
  </si>
  <si>
    <t>Ana Costa, João Favila, Pedro Domingos</t>
  </si>
  <si>
    <t>Vale Pisão Grand Park</t>
  </si>
  <si>
    <t>Santo Tirso, Porto</t>
  </si>
  <si>
    <t>https://www.valepisao.com/</t>
  </si>
  <si>
    <t>Vale Pisão is a private residential and lifestyle community just 25 minutes from Porto, combining natural serenity with resort-level amenities. It offers families and individuals a secure, green haven to live, reconnect, and create a lasting home.</t>
  </si>
  <si>
    <t>Private &amp; Communal Pools, Private Parking, Bike Station, Concierge, Private Gardens, Tennis &amp; Padel, Kids Club, Spa &amp; Gym and Bar Service</t>
  </si>
  <si>
    <t>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t>
  </si>
  <si>
    <t>Typology</t>
  </si>
  <si>
    <t>Interior</t>
  </si>
  <si>
    <t>Exterior</t>
  </si>
  <si>
    <t>Status</t>
  </si>
  <si>
    <t>FF&amp;E</t>
  </si>
  <si>
    <t>Sell price (RE Asset)</t>
  </si>
  <si>
    <t>101B</t>
  </si>
  <si>
    <t>102A</t>
  </si>
  <si>
    <t>103A</t>
  </si>
  <si>
    <t>104A</t>
  </si>
  <si>
    <t>105A</t>
  </si>
  <si>
    <t>106A</t>
  </si>
  <si>
    <t>107A</t>
  </si>
  <si>
    <t>108A</t>
  </si>
  <si>
    <t>109B</t>
  </si>
  <si>
    <t>110A</t>
  </si>
  <si>
    <t>111B</t>
  </si>
  <si>
    <t>112B</t>
  </si>
  <si>
    <t>113B</t>
  </si>
  <si>
    <t>114A</t>
  </si>
  <si>
    <t>115B</t>
  </si>
  <si>
    <t>116A</t>
  </si>
  <si>
    <t>117A</t>
  </si>
  <si>
    <t>118A</t>
  </si>
  <si>
    <t>119A</t>
  </si>
  <si>
    <t>120A</t>
  </si>
  <si>
    <t>121A</t>
  </si>
  <si>
    <t>122A</t>
  </si>
  <si>
    <t>123B</t>
  </si>
  <si>
    <t>124A</t>
  </si>
  <si>
    <t>125B</t>
  </si>
  <si>
    <t>126B</t>
  </si>
  <si>
    <t>127B</t>
  </si>
  <si>
    <t>128A</t>
  </si>
  <si>
    <t>129A</t>
  </si>
  <si>
    <t>130A</t>
  </si>
  <si>
    <t>131A</t>
  </si>
  <si>
    <t>132A</t>
  </si>
  <si>
    <t>133A</t>
  </si>
  <si>
    <t>134A</t>
  </si>
  <si>
    <t>135A</t>
  </si>
  <si>
    <t>136A</t>
  </si>
  <si>
    <t>137A</t>
  </si>
  <si>
    <t>138A</t>
  </si>
  <si>
    <t>139A</t>
  </si>
  <si>
    <t>140A</t>
  </si>
  <si>
    <t>141A</t>
  </si>
  <si>
    <t>142A</t>
  </si>
  <si>
    <t>143A</t>
  </si>
  <si>
    <t>144A</t>
  </si>
  <si>
    <t>145A</t>
  </si>
  <si>
    <t>146A</t>
  </si>
  <si>
    <t>201B</t>
  </si>
  <si>
    <t>202A</t>
  </si>
  <si>
    <t>203A</t>
  </si>
  <si>
    <t>204A</t>
  </si>
  <si>
    <t>205A</t>
  </si>
  <si>
    <t>206A</t>
  </si>
  <si>
    <t>207A</t>
  </si>
  <si>
    <t>208A</t>
  </si>
  <si>
    <t>209B</t>
  </si>
  <si>
    <t>210A</t>
  </si>
  <si>
    <t>211B</t>
  </si>
  <si>
    <t>212B</t>
  </si>
  <si>
    <t>213B</t>
  </si>
  <si>
    <t>214A</t>
  </si>
  <si>
    <t>216A</t>
  </si>
  <si>
    <t>217A</t>
  </si>
  <si>
    <t>218A</t>
  </si>
  <si>
    <t>219A</t>
  </si>
  <si>
    <t>220A</t>
  </si>
  <si>
    <t>221A</t>
  </si>
  <si>
    <t>222A</t>
  </si>
  <si>
    <t>223B</t>
  </si>
  <si>
    <t>224A</t>
  </si>
  <si>
    <t>225B</t>
  </si>
  <si>
    <t>226B</t>
  </si>
  <si>
    <t>227B</t>
  </si>
  <si>
    <t>228A</t>
  </si>
  <si>
    <t>229A</t>
  </si>
  <si>
    <t>230A</t>
  </si>
  <si>
    <t>231A</t>
  </si>
  <si>
    <t>232A</t>
  </si>
  <si>
    <t>233A</t>
  </si>
  <si>
    <t>234A</t>
  </si>
  <si>
    <t>235A</t>
  </si>
  <si>
    <t>236A</t>
  </si>
  <si>
    <t>237A</t>
  </si>
  <si>
    <t>238A</t>
  </si>
  <si>
    <t>239A</t>
  </si>
  <si>
    <t>240A</t>
  </si>
  <si>
    <t>241A</t>
  </si>
  <si>
    <t>242A</t>
  </si>
  <si>
    <t>243A</t>
  </si>
  <si>
    <t>244A</t>
  </si>
  <si>
    <t>245A</t>
  </si>
  <si>
    <t>246A</t>
  </si>
  <si>
    <t>301B</t>
  </si>
  <si>
    <t>302A</t>
  </si>
  <si>
    <t>303A</t>
  </si>
  <si>
    <t>304A</t>
  </si>
  <si>
    <t>305A</t>
  </si>
  <si>
    <t>306A</t>
  </si>
  <si>
    <t>307A</t>
  </si>
  <si>
    <t>308A</t>
  </si>
  <si>
    <t>309B</t>
  </si>
  <si>
    <t>310A</t>
  </si>
  <si>
    <t>311B</t>
  </si>
  <si>
    <t>312B</t>
  </si>
  <si>
    <t>313B</t>
  </si>
  <si>
    <t>314A</t>
  </si>
  <si>
    <t>315B</t>
  </si>
  <si>
    <t>316A</t>
  </si>
  <si>
    <t>317A</t>
  </si>
  <si>
    <t>318A</t>
  </si>
  <si>
    <t>319A</t>
  </si>
  <si>
    <t>320A</t>
  </si>
  <si>
    <t>321A</t>
  </si>
  <si>
    <t>322A</t>
  </si>
  <si>
    <t>323B</t>
  </si>
  <si>
    <t>324A</t>
  </si>
  <si>
    <t>325B</t>
  </si>
  <si>
    <t>326B</t>
  </si>
  <si>
    <t>327B</t>
  </si>
  <si>
    <t>328A</t>
  </si>
  <si>
    <t>329A</t>
  </si>
  <si>
    <t>330A</t>
  </si>
  <si>
    <t>331A</t>
  </si>
  <si>
    <t>332A</t>
  </si>
  <si>
    <t>333A</t>
  </si>
  <si>
    <t>334A</t>
  </si>
  <si>
    <t>335A</t>
  </si>
  <si>
    <t>336A</t>
  </si>
  <si>
    <t>337A</t>
  </si>
  <si>
    <t>338A</t>
  </si>
  <si>
    <t>339A</t>
  </si>
  <si>
    <t>340A</t>
  </si>
  <si>
    <t>341A</t>
  </si>
  <si>
    <t>342A</t>
  </si>
  <si>
    <t>343A</t>
  </si>
  <si>
    <t>344A</t>
  </si>
  <si>
    <t>345A</t>
  </si>
  <si>
    <t>346A</t>
  </si>
  <si>
    <t>102B</t>
  </si>
  <si>
    <t>103B</t>
  </si>
  <si>
    <t>104B</t>
  </si>
  <si>
    <t>105B</t>
  </si>
  <si>
    <t>106B</t>
  </si>
  <si>
    <t>107B</t>
  </si>
  <si>
    <t>108B</t>
  </si>
  <si>
    <t>110B</t>
  </si>
  <si>
    <t>113C</t>
  </si>
  <si>
    <t>114B</t>
  </si>
  <si>
    <t>115C</t>
  </si>
  <si>
    <t>116B</t>
  </si>
  <si>
    <t>117C</t>
  </si>
  <si>
    <t>118B</t>
  </si>
  <si>
    <t>119B</t>
  </si>
  <si>
    <t>120B</t>
  </si>
  <si>
    <t>202B</t>
  </si>
  <si>
    <t>203B</t>
  </si>
  <si>
    <t>204B</t>
  </si>
  <si>
    <t>205B</t>
  </si>
  <si>
    <t>206B</t>
  </si>
  <si>
    <t>207B</t>
  </si>
  <si>
    <t>208B</t>
  </si>
  <si>
    <t>210B</t>
  </si>
  <si>
    <t>213C</t>
  </si>
  <si>
    <t>214B</t>
  </si>
  <si>
    <t>215C</t>
  </si>
  <si>
    <t>216B</t>
  </si>
  <si>
    <t>217C</t>
  </si>
  <si>
    <t>218B</t>
  </si>
  <si>
    <t>219B</t>
  </si>
  <si>
    <t>220B</t>
  </si>
  <si>
    <t>01B</t>
  </si>
  <si>
    <t>02B</t>
  </si>
  <si>
    <t>03B</t>
  </si>
  <si>
    <t>04B</t>
  </si>
  <si>
    <t>05B</t>
  </si>
  <si>
    <t>06B</t>
  </si>
  <si>
    <t>07B</t>
  </si>
  <si>
    <t>08B</t>
  </si>
  <si>
    <t>09B</t>
  </si>
  <si>
    <t>10C</t>
  </si>
  <si>
    <t>11D</t>
  </si>
  <si>
    <t>12C</t>
  </si>
  <si>
    <t>13D</t>
  </si>
  <si>
    <t>14D</t>
  </si>
  <si>
    <t>15B</t>
  </si>
  <si>
    <t>16B</t>
  </si>
  <si>
    <t>17C</t>
  </si>
  <si>
    <t>18C</t>
  </si>
  <si>
    <t>19B</t>
  </si>
  <si>
    <t>20C</t>
  </si>
  <si>
    <t>21B</t>
  </si>
  <si>
    <t>22B</t>
  </si>
  <si>
    <t>23B</t>
  </si>
  <si>
    <t>24C</t>
  </si>
  <si>
    <t>01E</t>
  </si>
  <si>
    <t>02E</t>
  </si>
  <si>
    <t>03E</t>
  </si>
  <si>
    <t>04E</t>
  </si>
  <si>
    <t>05D</t>
  </si>
  <si>
    <t>06D</t>
  </si>
  <si>
    <t>07D</t>
  </si>
  <si>
    <t>08D</t>
  </si>
  <si>
    <t>09E</t>
  </si>
  <si>
    <t>10E</t>
  </si>
  <si>
    <t>12D</t>
  </si>
  <si>
    <t>15D</t>
  </si>
  <si>
    <t>16D</t>
  </si>
  <si>
    <t>17D</t>
  </si>
  <si>
    <t>18D</t>
  </si>
  <si>
    <t>19C</t>
  </si>
  <si>
    <t>21C</t>
  </si>
  <si>
    <t>22C</t>
  </si>
  <si>
    <t>23C</t>
  </si>
  <si>
    <t>25C</t>
  </si>
  <si>
    <t>26C</t>
  </si>
  <si>
    <t>27C</t>
  </si>
  <si>
    <t>28C</t>
  </si>
  <si>
    <t>2-BR*</t>
  </si>
  <si>
    <t>1-BR</t>
  </si>
  <si>
    <t>2-BR</t>
  </si>
  <si>
    <t>3-BR</t>
  </si>
  <si>
    <t>T2</t>
  </si>
  <si>
    <t>T3</t>
  </si>
  <si>
    <t>T4</t>
  </si>
  <si>
    <t>T5</t>
  </si>
  <si>
    <t>T3+1</t>
  </si>
  <si>
    <t>T2+1</t>
  </si>
  <si>
    <t/>
  </si>
  <si>
    <t>RESERVED</t>
  </si>
  <si>
    <t>PRE-RESERVED</t>
  </si>
  <si>
    <t>NOT FOR SALE</t>
  </si>
  <si>
    <t>AVAILABLE</t>
  </si>
  <si>
    <t>Current Asking price (RE Asset)</t>
  </si>
  <si>
    <t>Inicial Asking Price (€) (RE Asset)</t>
  </si>
  <si>
    <t>Inicial Asking Price (€) (Total)</t>
  </si>
  <si>
    <t>Current Asking price( Total)</t>
  </si>
  <si>
    <t>Sell price (Total)</t>
  </si>
  <si>
    <t>Commercial ID</t>
  </si>
  <si>
    <t>A</t>
  </si>
  <si>
    <t>B</t>
  </si>
  <si>
    <t>C</t>
  </si>
  <si>
    <t>D</t>
  </si>
  <si>
    <t>E</t>
  </si>
  <si>
    <t>F</t>
  </si>
  <si>
    <t>G</t>
  </si>
  <si>
    <t>H</t>
  </si>
  <si>
    <t>I</t>
  </si>
  <si>
    <t>J</t>
  </si>
  <si>
    <t>K</t>
  </si>
  <si>
    <t>L</t>
  </si>
  <si>
    <t>M</t>
  </si>
  <si>
    <t>N</t>
  </si>
  <si>
    <t>O</t>
  </si>
  <si>
    <t>P</t>
  </si>
  <si>
    <t>Q</t>
  </si>
  <si>
    <t>R</t>
  </si>
  <si>
    <t>S</t>
  </si>
  <si>
    <t>T</t>
  </si>
  <si>
    <t>U</t>
  </si>
  <si>
    <t>V</t>
  </si>
  <si>
    <t>W</t>
  </si>
  <si>
    <t>X</t>
  </si>
  <si>
    <t>Y</t>
  </si>
  <si>
    <t>Z</t>
  </si>
  <si>
    <t>AA</t>
  </si>
  <si>
    <t>AB</t>
  </si>
  <si>
    <t>AC</t>
  </si>
  <si>
    <t>AD</t>
  </si>
  <si>
    <t>AE</t>
  </si>
  <si>
    <t>AF</t>
  </si>
  <si>
    <t>AG</t>
  </si>
  <si>
    <t>AH</t>
  </si>
  <si>
    <t>AI</t>
  </si>
  <si>
    <t>AJ</t>
  </si>
  <si>
    <t>AK</t>
  </si>
  <si>
    <t>AL</t>
  </si>
  <si>
    <t>AM</t>
  </si>
  <si>
    <t>AN</t>
  </si>
  <si>
    <t>AO</t>
  </si>
  <si>
    <t>AP</t>
  </si>
  <si>
    <t>AQ</t>
  </si>
  <si>
    <t>AR</t>
  </si>
  <si>
    <t>AS</t>
  </si>
  <si>
    <t>AT</t>
  </si>
  <si>
    <t>AU</t>
  </si>
  <si>
    <t>V3</t>
  </si>
  <si>
    <t>V2</t>
  </si>
  <si>
    <t>AV</t>
  </si>
  <si>
    <t>AW</t>
  </si>
  <si>
    <t>AX</t>
  </si>
  <si>
    <t>AY</t>
  </si>
  <si>
    <t>AZ</t>
  </si>
  <si>
    <t>BA</t>
  </si>
  <si>
    <t>BB</t>
  </si>
  <si>
    <t>BC</t>
  </si>
  <si>
    <t>BD</t>
  </si>
  <si>
    <t>BE</t>
  </si>
  <si>
    <t>BF</t>
  </si>
  <si>
    <t>BG</t>
  </si>
  <si>
    <t>BH</t>
  </si>
  <si>
    <t>BI</t>
  </si>
  <si>
    <t>BJ</t>
  </si>
  <si>
    <t>BK</t>
  </si>
  <si>
    <t>BL</t>
  </si>
  <si>
    <t>BM</t>
  </si>
  <si>
    <t>BN</t>
  </si>
  <si>
    <t>BO</t>
  </si>
  <si>
    <t>BP</t>
  </si>
  <si>
    <t>BQ</t>
  </si>
  <si>
    <t>BR</t>
  </si>
  <si>
    <t>BS</t>
  </si>
  <si>
    <t>BT</t>
  </si>
  <si>
    <t>BU</t>
  </si>
  <si>
    <t>BV</t>
  </si>
  <si>
    <t>BW</t>
  </si>
  <si>
    <t>BX</t>
  </si>
  <si>
    <t>BY</t>
  </si>
  <si>
    <t>BZ</t>
  </si>
  <si>
    <t>T2 LO</t>
  </si>
  <si>
    <t>T1 +</t>
  </si>
  <si>
    <t>T2 +</t>
  </si>
  <si>
    <t>T1</t>
  </si>
  <si>
    <t>T3 LO</t>
  </si>
  <si>
    <t>T4 Duplex</t>
  </si>
  <si>
    <t>CA</t>
  </si>
  <si>
    <t>CB</t>
  </si>
  <si>
    <t>CC</t>
  </si>
  <si>
    <t>CD</t>
  </si>
  <si>
    <t>CE</t>
  </si>
  <si>
    <t>CF</t>
  </si>
  <si>
    <t>CG</t>
  </si>
  <si>
    <t>CH</t>
  </si>
  <si>
    <t>CI</t>
  </si>
  <si>
    <t>CJ</t>
  </si>
  <si>
    <t>CK</t>
  </si>
  <si>
    <t>CL</t>
  </si>
  <si>
    <t>1A</t>
  </si>
  <si>
    <t>2A</t>
  </si>
  <si>
    <t>3A</t>
  </si>
  <si>
    <t>4A</t>
  </si>
  <si>
    <t>5A</t>
  </si>
  <si>
    <t>6A</t>
  </si>
  <si>
    <t>7A</t>
  </si>
  <si>
    <t>8A</t>
  </si>
  <si>
    <t>9A</t>
  </si>
  <si>
    <t>10A</t>
  </si>
  <si>
    <t>11A</t>
  </si>
  <si>
    <t>12A</t>
  </si>
  <si>
    <t>13A</t>
  </si>
  <si>
    <t>1B</t>
  </si>
  <si>
    <t>2B</t>
  </si>
  <si>
    <t>3B</t>
  </si>
  <si>
    <t>4B</t>
  </si>
  <si>
    <t>5B</t>
  </si>
  <si>
    <t>6B</t>
  </si>
  <si>
    <t>7B</t>
  </si>
  <si>
    <t>8B</t>
  </si>
  <si>
    <t>9B</t>
  </si>
  <si>
    <t>10B</t>
  </si>
  <si>
    <t>11B</t>
  </si>
  <si>
    <t>12B</t>
  </si>
  <si>
    <t>13B</t>
  </si>
  <si>
    <t>14B</t>
  </si>
  <si>
    <t>1C</t>
  </si>
  <si>
    <t>V3+1</t>
  </si>
  <si>
    <t>2C</t>
  </si>
  <si>
    <t>3C</t>
  </si>
  <si>
    <t>4C</t>
  </si>
  <si>
    <t>5C</t>
  </si>
  <si>
    <t>1D</t>
  </si>
  <si>
    <t>V4</t>
  </si>
  <si>
    <t>2D</t>
  </si>
  <si>
    <t>3D</t>
  </si>
  <si>
    <t>4D</t>
  </si>
  <si>
    <t>5D</t>
  </si>
  <si>
    <t>6D</t>
  </si>
  <si>
    <t>7D</t>
  </si>
  <si>
    <t>8D</t>
  </si>
  <si>
    <t>9D</t>
  </si>
  <si>
    <t>1E</t>
  </si>
  <si>
    <t>V4+1</t>
  </si>
  <si>
    <t>2E</t>
  </si>
  <si>
    <t>3E</t>
  </si>
  <si>
    <t>4E</t>
  </si>
  <si>
    <t>801A</t>
  </si>
  <si>
    <t>T2 (T1+1) Duplex</t>
  </si>
  <si>
    <t>802A</t>
  </si>
  <si>
    <t>803A</t>
  </si>
  <si>
    <t>804A</t>
  </si>
  <si>
    <t>805A</t>
  </si>
  <si>
    <t>806A</t>
  </si>
  <si>
    <t>807A</t>
  </si>
  <si>
    <t>808A</t>
  </si>
  <si>
    <t>809A</t>
  </si>
  <si>
    <t>810B</t>
  </si>
  <si>
    <t>811B</t>
  </si>
  <si>
    <t>812B</t>
  </si>
  <si>
    <t>813B</t>
  </si>
  <si>
    <t>814B</t>
  </si>
  <si>
    <t>815B</t>
  </si>
  <si>
    <t>816B</t>
  </si>
  <si>
    <t>817B</t>
  </si>
  <si>
    <t>818B (ACESS.)</t>
  </si>
  <si>
    <t>819B</t>
  </si>
  <si>
    <t>820B</t>
  </si>
  <si>
    <t>821B</t>
  </si>
  <si>
    <t>T3 (T2+1)</t>
  </si>
  <si>
    <t>822B</t>
  </si>
  <si>
    <t>T3 Duplex</t>
  </si>
  <si>
    <t>823B</t>
  </si>
  <si>
    <t>824B</t>
  </si>
  <si>
    <t>825B</t>
  </si>
  <si>
    <t>826B</t>
  </si>
  <si>
    <t>827B</t>
  </si>
  <si>
    <t>828B</t>
  </si>
  <si>
    <t>829B</t>
  </si>
  <si>
    <t>830B</t>
  </si>
  <si>
    <t>831B</t>
  </si>
  <si>
    <t>832B</t>
  </si>
  <si>
    <t>T2 (T1+1)</t>
  </si>
  <si>
    <t>833B</t>
  </si>
  <si>
    <t>834B</t>
  </si>
  <si>
    <t>835B</t>
  </si>
  <si>
    <t>836C</t>
  </si>
  <si>
    <t>837C</t>
  </si>
  <si>
    <t>838C</t>
  </si>
  <si>
    <t>839C</t>
  </si>
  <si>
    <t>840C</t>
  </si>
  <si>
    <t>841C</t>
  </si>
  <si>
    <t>842C</t>
  </si>
  <si>
    <t>843C</t>
  </si>
  <si>
    <t>844C</t>
  </si>
  <si>
    <t>T1 + 1</t>
  </si>
  <si>
    <t>9C</t>
  </si>
  <si>
    <t>T2 + 1 Duplex</t>
  </si>
  <si>
    <t>T2 + 1Duplex</t>
  </si>
  <si>
    <t>T2Duplex</t>
  </si>
  <si>
    <t>16C</t>
  </si>
  <si>
    <t>T1 + 1Accesible</t>
  </si>
  <si>
    <t>T3 + 1 Duplex</t>
  </si>
  <si>
    <t>19D</t>
  </si>
  <si>
    <t>20D</t>
  </si>
  <si>
    <t>21D</t>
  </si>
  <si>
    <t>22D</t>
  </si>
  <si>
    <t>23D</t>
  </si>
  <si>
    <t>24D</t>
  </si>
  <si>
    <t>T2  Simplex</t>
  </si>
  <si>
    <t>25E</t>
  </si>
  <si>
    <t>T3 + 1  Simplex</t>
  </si>
  <si>
    <t>26E</t>
  </si>
  <si>
    <t>27E</t>
  </si>
  <si>
    <t>28E</t>
  </si>
  <si>
    <t>T2 + 1   Simplex</t>
  </si>
  <si>
    <t>29E</t>
  </si>
  <si>
    <t>T2 Duplex</t>
  </si>
  <si>
    <t>Plot</t>
  </si>
  <si>
    <t>Monte Rei Golf &amp; Country Club is an ultra-exclusive resort in the Eastern Algarve, combining a Jack Nicklaus Signature golf course, Michelin-star dining, and luxury residences within a serene private estate — offering one of Europe’s most refined golf and lifestyle experiences.</t>
  </si>
  <si>
    <t>Units</t>
  </si>
  <si>
    <t>TOTAL UNITS</t>
  </si>
  <si>
    <t>QUICK NAVIGATION</t>
  </si>
  <si>
    <t>NOBILUS</t>
  </si>
  <si>
    <t>NATURA VILLAGE 4</t>
  </si>
  <si>
    <t>NATURA VILLAGE 7</t>
  </si>
  <si>
    <t>NATURA VILLAGE 9</t>
  </si>
  <si>
    <t>THE NINE</t>
  </si>
  <si>
    <t>TERRACOTA</t>
  </si>
  <si>
    <t>ZESTIA</t>
  </si>
  <si>
    <t>THE UNCOMMON</t>
  </si>
  <si>
    <t>VILAMOURA      ·      13 projects</t>
  </si>
  <si>
    <t>▸  Nobilus</t>
  </si>
  <si>
    <t>▸  The Nine</t>
  </si>
  <si>
    <t>▸  Terracota</t>
  </si>
  <si>
    <t>▸  Rivus</t>
  </si>
  <si>
    <t>▸  Fairways</t>
  </si>
  <si>
    <t>▸  Estalagem das Cegonhas</t>
  </si>
  <si>
    <t>▸  Springs - At the Els</t>
  </si>
  <si>
    <t>▸  Zestia</t>
  </si>
  <si>
    <t>▸  The Uncommon</t>
  </si>
  <si>
    <t>▸  Botanica</t>
  </si>
  <si>
    <t>ALGARVE      ·      4 projects</t>
  </si>
  <si>
    <t>▸  Sutaya</t>
  </si>
  <si>
    <t>▸  Azuya</t>
  </si>
  <si>
    <t>▸  Palmares</t>
  </si>
  <si>
    <t>▸  Monte Rei</t>
  </si>
  <si>
    <t>LISBON &amp; NORTH      ·      2 projects</t>
  </si>
  <si>
    <t>▸  Aroeira Collections</t>
  </si>
  <si>
    <t>▸  Vale Pisão Grand Park</t>
  </si>
  <si>
    <t>FROM  ·  PRICE LIST  TRACKER</t>
  </si>
  <si>
    <t>No</t>
  </si>
  <si>
    <t>Yes</t>
  </si>
  <si>
    <t>UPON  REQUEST</t>
  </si>
  <si>
    <t>31-32</t>
  </si>
  <si>
    <t>29-30</t>
  </si>
  <si>
    <t>27-28</t>
  </si>
  <si>
    <t>25-26</t>
  </si>
  <si>
    <t>23-24</t>
  </si>
  <si>
    <t>20-21</t>
  </si>
  <si>
    <t>16-17</t>
  </si>
  <si>
    <t>18-19</t>
  </si>
  <si>
    <t>14-15</t>
  </si>
  <si>
    <t>35-91</t>
  </si>
  <si>
    <t>36-37</t>
  </si>
  <si>
    <t>38-39</t>
  </si>
  <si>
    <t>87-88</t>
  </si>
  <si>
    <t>33-34</t>
  </si>
  <si>
    <t>89-90</t>
  </si>
  <si>
    <t>40-86</t>
  </si>
  <si>
    <t>41-42</t>
  </si>
  <si>
    <t>84-85</t>
  </si>
  <si>
    <t>82-83</t>
  </si>
  <si>
    <t>48-49</t>
  </si>
  <si>
    <t>73-74</t>
  </si>
  <si>
    <t>75-77</t>
  </si>
  <si>
    <t>80-81</t>
  </si>
  <si>
    <t>78-79</t>
  </si>
  <si>
    <t>46-47</t>
  </si>
  <si>
    <t>44-45</t>
  </si>
  <si>
    <t>70-71</t>
  </si>
  <si>
    <t>53-54</t>
  </si>
  <si>
    <t>51-52</t>
  </si>
  <si>
    <t>68-69</t>
  </si>
  <si>
    <t>63-64</t>
  </si>
  <si>
    <t>59-60-61-62</t>
  </si>
  <si>
    <t>55-56</t>
  </si>
  <si>
    <t>65-66</t>
  </si>
  <si>
    <t>57-58</t>
  </si>
  <si>
    <t>Selling Status</t>
  </si>
  <si>
    <t xml:space="preserve">PSPA </t>
  </si>
  <si>
    <t>ELS</t>
  </si>
  <si>
    <t>BOTÂNICA</t>
  </si>
  <si>
    <t>T3 PH</t>
  </si>
  <si>
    <t>T4 PH</t>
  </si>
  <si>
    <t>71+72</t>
  </si>
  <si>
    <t>69+70</t>
  </si>
  <si>
    <t>67+68</t>
  </si>
  <si>
    <t>65+66</t>
  </si>
  <si>
    <t>63+64</t>
  </si>
  <si>
    <t>61+62</t>
  </si>
  <si>
    <t>59+60</t>
  </si>
  <si>
    <t>01+58</t>
  </si>
  <si>
    <t>02+03</t>
  </si>
  <si>
    <t>32+33</t>
  </si>
  <si>
    <t>34+35</t>
  </si>
  <si>
    <t>36+37</t>
  </si>
  <si>
    <t>38+39</t>
  </si>
  <si>
    <t>12+13</t>
  </si>
  <si>
    <t>14+15</t>
  </si>
  <si>
    <t>16+17</t>
  </si>
  <si>
    <t>18+19</t>
  </si>
  <si>
    <t>87+88</t>
  </si>
  <si>
    <t>20+21</t>
  </si>
  <si>
    <t>85+86</t>
  </si>
  <si>
    <t>04+05</t>
  </si>
  <si>
    <t>22+23</t>
  </si>
  <si>
    <t>24+25</t>
  </si>
  <si>
    <t>26+27</t>
  </si>
  <si>
    <t>28+29</t>
  </si>
  <si>
    <t>30+31</t>
  </si>
  <si>
    <t>40+41</t>
  </si>
  <si>
    <t>42+43</t>
  </si>
  <si>
    <t>44+45</t>
  </si>
  <si>
    <t>46+47</t>
  </si>
  <si>
    <t>10+11</t>
  </si>
  <si>
    <t>08+09</t>
  </si>
  <si>
    <t>06+07</t>
  </si>
  <si>
    <t>83+84</t>
  </si>
  <si>
    <t>56+57</t>
  </si>
  <si>
    <t>48+49</t>
  </si>
  <si>
    <t>73+74</t>
  </si>
  <si>
    <t>75+76</t>
  </si>
  <si>
    <t>77+78</t>
  </si>
  <si>
    <t>79+80</t>
  </si>
  <si>
    <t>81+82</t>
  </si>
  <si>
    <t>54+55</t>
  </si>
  <si>
    <t>52+53</t>
  </si>
  <si>
    <t>50+51</t>
  </si>
  <si>
    <t>25/26</t>
  </si>
  <si>
    <t>Storage [sqm]</t>
  </si>
  <si>
    <t>Parking Lots [#]</t>
  </si>
  <si>
    <t>Pool [#]</t>
  </si>
  <si>
    <t>Balconies [sqm]</t>
  </si>
  <si>
    <t>Garden [sqm]</t>
  </si>
  <si>
    <t>Terrace [sqm]</t>
  </si>
  <si>
    <t>Rooftop [sqm]</t>
  </si>
  <si>
    <t>Vista membership</t>
  </si>
  <si>
    <t>The Uncommon is a front-row sea view masterpiece in Vilamoura, where vibrant energy meets serene coastal living. With an exclusive design and elevated services, in this touristic and residential project every moment feels uniquely exceptional.</t>
  </si>
  <si>
    <t>Local</t>
  </si>
  <si>
    <t>MOURAGOLFE</t>
  </si>
  <si>
    <t>VM PARQUE</t>
  </si>
  <si>
    <t>SPRINGS</t>
  </si>
  <si>
    <t>Vilamoura</t>
  </si>
  <si>
    <t>101</t>
  </si>
  <si>
    <t>102</t>
  </si>
  <si>
    <t>103</t>
  </si>
  <si>
    <t>104</t>
  </si>
  <si>
    <t>105</t>
  </si>
  <si>
    <t>106</t>
  </si>
  <si>
    <t>107</t>
  </si>
  <si>
    <t>108</t>
  </si>
  <si>
    <t>109</t>
  </si>
  <si>
    <t>111</t>
  </si>
  <si>
    <t>112</t>
  </si>
  <si>
    <t>113</t>
  </si>
  <si>
    <t>114</t>
  </si>
  <si>
    <t>116</t>
  </si>
  <si>
    <t>201</t>
  </si>
  <si>
    <t>202</t>
  </si>
  <si>
    <t>203</t>
  </si>
  <si>
    <t>204</t>
  </si>
  <si>
    <t>205</t>
  </si>
  <si>
    <t>206</t>
  </si>
  <si>
    <t>207</t>
  </si>
  <si>
    <t>208</t>
  </si>
  <si>
    <t>209</t>
  </si>
  <si>
    <t>211</t>
  </si>
  <si>
    <t>212</t>
  </si>
  <si>
    <t>213</t>
  </si>
  <si>
    <t>214</t>
  </si>
  <si>
    <t>216</t>
  </si>
  <si>
    <t>301</t>
  </si>
  <si>
    <t>302</t>
  </si>
  <si>
    <t>303</t>
  </si>
  <si>
    <t>304</t>
  </si>
  <si>
    <t>305</t>
  </si>
  <si>
    <t>306</t>
  </si>
  <si>
    <t>307</t>
  </si>
  <si>
    <t>308</t>
  </si>
  <si>
    <t>309</t>
  </si>
  <si>
    <t>311</t>
  </si>
  <si>
    <t>312</t>
  </si>
  <si>
    <t>313</t>
  </si>
  <si>
    <t>314</t>
  </si>
  <si>
    <t>315</t>
  </si>
  <si>
    <t>401</t>
  </si>
  <si>
    <t>402</t>
  </si>
  <si>
    <t>403</t>
  </si>
  <si>
    <t>404</t>
  </si>
  <si>
    <t>405</t>
  </si>
  <si>
    <t>406</t>
  </si>
  <si>
    <t>407</t>
  </si>
  <si>
    <t>408</t>
  </si>
  <si>
    <t>409</t>
  </si>
  <si>
    <t>411</t>
  </si>
  <si>
    <t>412</t>
  </si>
  <si>
    <t>413</t>
  </si>
  <si>
    <t>414</t>
  </si>
  <si>
    <t>416</t>
  </si>
  <si>
    <t>501</t>
  </si>
  <si>
    <t>502</t>
  </si>
  <si>
    <t>503</t>
  </si>
  <si>
    <t>504</t>
  </si>
  <si>
    <t>505</t>
  </si>
  <si>
    <t>506</t>
  </si>
  <si>
    <t>507</t>
  </si>
  <si>
    <t>508</t>
  </si>
  <si>
    <t>509</t>
  </si>
  <si>
    <t>511</t>
  </si>
  <si>
    <t>512</t>
  </si>
  <si>
    <t>513</t>
  </si>
  <si>
    <t>514</t>
  </si>
  <si>
    <t>515</t>
  </si>
  <si>
    <t>V4 Duplex</t>
  </si>
  <si>
    <t>V3 Duplex</t>
  </si>
  <si>
    <t>V3 Duplex A</t>
  </si>
  <si>
    <t>V2 Duplex</t>
  </si>
  <si>
    <t>Area Total  [sqm]</t>
  </si>
  <si>
    <t>Algarve</t>
  </si>
  <si>
    <t>Unit PH</t>
  </si>
  <si>
    <t>Palmares - Signature Apartments</t>
  </si>
  <si>
    <t>Palmares - Plots</t>
  </si>
  <si>
    <t xml:space="preserve">MR - CHR </t>
  </si>
  <si>
    <t>MR - Linked Villas</t>
  </si>
  <si>
    <t>MR - LT do Golfe</t>
  </si>
  <si>
    <t>MR -LT da Casa do Campo</t>
  </si>
  <si>
    <t>MR - LT Miradouro Village</t>
  </si>
  <si>
    <t>Aroeira - HOTEL APARTMENTS</t>
  </si>
  <si>
    <t>Aroeira - APARTMENTS</t>
  </si>
  <si>
    <t>Aroeira - HOUSES</t>
  </si>
  <si>
    <t>Aroeira - VILLAS</t>
  </si>
  <si>
    <t>215B</t>
  </si>
  <si>
    <t>VP - TOWNHOUSES</t>
  </si>
  <si>
    <t>Patio [sqm]</t>
  </si>
  <si>
    <t>Center</t>
  </si>
  <si>
    <t>North</t>
  </si>
  <si>
    <t>Conclusion</t>
  </si>
  <si>
    <t>Available</t>
  </si>
  <si>
    <t>Reserved</t>
  </si>
  <si>
    <t>Under Contract</t>
  </si>
  <si>
    <t>Deeded</t>
  </si>
  <si>
    <t>Other</t>
  </si>
  <si>
    <t>% Sold</t>
  </si>
  <si>
    <t>GDV Asking (€M)</t>
  </si>
  <si>
    <t>Deeded Value (€M)</t>
  </si>
  <si>
    <t>TOTAL</t>
  </si>
  <si>
    <t>Owner Comercial</t>
  </si>
  <si>
    <t>Owner Asset Management</t>
  </si>
  <si>
    <t>Key-Selling Points</t>
  </si>
  <si>
    <t>Renowned as one of the area’s most high-end residential choices, Nobilus is made from the finest sustainable materials. Find your zen in this eco-minded paradise.</t>
  </si>
  <si>
    <t>Francisço Guerreiro</t>
  </si>
  <si>
    <t>Living here will allow you to enjoy sunny Vilamoura all year round. Close to the beach, close to the Marina, close to the very heart of nature.</t>
  </si>
  <si>
    <t>Condomínio privado com piscina de adultos e crianças inseridas em amplo jardim; Estacionamento disponível; Excelente localização; Price point competitivo para a região.</t>
  </si>
  <si>
    <t>Gym, Sauna, Co-Work Area, Condo Pool, Private Pools, Outdoor Areas, Smart Home Technology, Underground Parking</t>
  </si>
  <si>
    <t>Condomínio privado com exteriores de excelência e generosa piscina em estilo praia; Ginásio e spa; Zona de co-work e parque infantil; Rooftops com piscina privativa; Domótica residencial; Excelente price point considerando as amenities disponíveis.</t>
  </si>
  <si>
    <t>Alexandre Costa</t>
  </si>
  <si>
    <t>Rivus means contemporary comfort at the heart of Vilamoura. A five-minute cycle from the beach and the marina, this development offers open views, private terraces and pools. Ideal as a primary residence or a second home.</t>
  </si>
  <si>
    <t>Excelente localização; Arquitetura de excelência em Vilamoura (Atelier Fragmentos); Piscina de condomínio e piscinas privativas; Pricing atrativo; Enorme Potencial de Arrendamento (Rentabilização).</t>
  </si>
  <si>
    <t>Projeto de excelência com vista direta para o Els Club, o campo de Golf mais exclusivo de Vilamoura; Club-house com piscina e lazy river; Spa e campos de tenis / padel disponíveis; Possibilidade de rentabilidade através de exploração turística com gestão profissional (Details)</t>
  </si>
  <si>
    <t>Indoor Heated Pool, Spa, Outdoor Pool, Gym, Underground Parking</t>
  </si>
  <si>
    <t>Apartamentos residenciais com piscina e zonas exteriores comuns de excelência; Resident's Lounge e zona de co-work; Zona kids e piscina para crianças; Piscina de interior aquecida; Sauna, hamman e zona de massagens; Ginásio de topo; Garagem em box; Zona comercial dentro do condomínio.</t>
  </si>
  <si>
    <t>Welcome to Sutaya. A sanctuary of timeless elegance. Crafted for those who seek the extraordinary.</t>
  </si>
  <si>
    <t>Where the whispers of the sea meet the embrace of nature, lies a sanctuary of unparalleled elegance. Nestled in one of Algarve’s most iconic havens, Azuya is crafted for those who seek exquisite comfort and timeless beauty — a place where dreams find their home.</t>
  </si>
  <si>
    <t>Projeto exclusivo de 16 apartamentos com vista mar no Ancão; Arquitetura extraordinária e todas as unidades com piscina privativa; Penthouses com amplas áreas e piscina no rooftop; Ginásio, kids club, co-work area e area de spa e wellness.</t>
  </si>
  <si>
    <t>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t>
  </si>
  <si>
    <t>UNDER CONTRACT</t>
  </si>
  <si>
    <t>DEEDED</t>
  </si>
  <si>
    <t>% SOLD</t>
  </si>
  <si>
    <t>GDV (€M)</t>
  </si>
  <si>
    <t>PROJECT SPOTLIGHT</t>
  </si>
  <si>
    <t>ANALYTICS</t>
  </si>
  <si>
    <t>Region</t>
  </si>
  <si>
    <t>Sales Status</t>
  </si>
  <si>
    <t>All regions</t>
  </si>
  <si>
    <t>All statuses</t>
  </si>
  <si>
    <t>Active</t>
  </si>
  <si>
    <t>Sold Out</t>
  </si>
  <si>
    <t>Coming Soon</t>
  </si>
  <si>
    <t>Portfolio Overview</t>
  </si>
  <si>
    <t>developments match your filters</t>
  </si>
  <si>
    <t>SELECT PROJECT  →</t>
  </si>
  <si>
    <t xml:space="preserve">SELECT REGION  → </t>
  </si>
  <si>
    <t>SELECT STATUS  →</t>
  </si>
  <si>
    <t>11</t>
  </si>
  <si>
    <t>12</t>
  </si>
  <si>
    <t>13</t>
  </si>
  <si>
    <t>14</t>
  </si>
  <si>
    <t>15</t>
  </si>
  <si>
    <t>16</t>
  </si>
  <si>
    <t>17</t>
  </si>
  <si>
    <t>18</t>
  </si>
  <si>
    <t>19</t>
  </si>
  <si>
    <t>20</t>
  </si>
  <si>
    <t>21</t>
  </si>
  <si>
    <t>22</t>
  </si>
  <si>
    <t>23</t>
  </si>
  <si>
    <t>1</t>
  </si>
  <si>
    <t>2</t>
  </si>
  <si>
    <t>3</t>
  </si>
  <si>
    <t>4</t>
  </si>
  <si>
    <t>5</t>
  </si>
  <si>
    <t>6</t>
  </si>
  <si>
    <t>7</t>
  </si>
  <si>
    <t>8</t>
  </si>
  <si>
    <t>9</t>
  </si>
  <si>
    <t>10</t>
  </si>
  <si>
    <t>110</t>
  </si>
  <si>
    <t>115</t>
  </si>
  <si>
    <t>210</t>
  </si>
  <si>
    <t>215</t>
  </si>
  <si>
    <t>410</t>
  </si>
  <si>
    <t>415</t>
  </si>
  <si>
    <t>24</t>
  </si>
  <si>
    <t>25</t>
  </si>
  <si>
    <t>26</t>
  </si>
  <si>
    <t>35</t>
  </si>
  <si>
    <t>42</t>
  </si>
  <si>
    <t>44</t>
  </si>
  <si>
    <t>71</t>
  </si>
  <si>
    <t>72</t>
  </si>
  <si>
    <t>74</t>
  </si>
  <si>
    <t>75</t>
  </si>
  <si>
    <t>76</t>
  </si>
  <si>
    <t>83</t>
  </si>
  <si>
    <t>88</t>
  </si>
  <si>
    <t>91</t>
  </si>
  <si>
    <t>92</t>
  </si>
  <si>
    <t>93</t>
  </si>
  <si>
    <t>94</t>
  </si>
  <si>
    <t>95</t>
  </si>
  <si>
    <t>96</t>
  </si>
  <si>
    <t>97</t>
  </si>
  <si>
    <t>98</t>
  </si>
  <si>
    <t>99</t>
  </si>
  <si>
    <t>100</t>
  </si>
  <si>
    <t>28</t>
  </si>
  <si>
    <t>30</t>
  </si>
  <si>
    <t>31</t>
  </si>
  <si>
    <t>27</t>
  </si>
  <si>
    <t>32</t>
  </si>
  <si>
    <t>39</t>
  </si>
  <si>
    <t>45</t>
  </si>
  <si>
    <t>48</t>
  </si>
  <si>
    <t>52</t>
  </si>
  <si>
    <t>53</t>
  </si>
  <si>
    <t>46024</t>
  </si>
  <si>
    <t>46117</t>
  </si>
  <si>
    <t>46275</t>
  </si>
  <si>
    <t>46348</t>
  </si>
  <si>
    <t>46211</t>
  </si>
  <si>
    <t>46369</t>
  </si>
  <si>
    <t>43</t>
  </si>
  <si>
    <t>77</t>
  </si>
  <si>
    <t>50</t>
  </si>
  <si>
    <t>29</t>
  </si>
  <si>
    <t>29.2</t>
  </si>
  <si>
    <t>16.7</t>
  </si>
  <si>
    <t>16.36</t>
  </si>
  <si>
    <t>28.86</t>
  </si>
  <si>
    <t>7.28</t>
  </si>
  <si>
    <t>8.37</t>
  </si>
  <si>
    <t>15.29</t>
  </si>
  <si>
    <t>15.13</t>
  </si>
  <si>
    <t>15.28</t>
  </si>
  <si>
    <t>6.19</t>
  </si>
  <si>
    <t>28.24</t>
  </si>
  <si>
    <t>15.31</t>
  </si>
  <si>
    <t>15.34</t>
  </si>
  <si>
    <t>16.38</t>
  </si>
  <si>
    <t>32.8</t>
  </si>
  <si>
    <t>18.39</t>
  </si>
  <si>
    <t>18.78</t>
  </si>
  <si>
    <t>Development</t>
  </si>
  <si>
    <t>Total Discunt</t>
  </si>
  <si>
    <t>Selected Project Status</t>
  </si>
  <si>
    <t>Comparison</t>
  </si>
  <si>
    <t>Portfolio Avg</t>
  </si>
  <si>
    <t xml:space="preserve">DEED </t>
  </si>
  <si>
    <t xml:space="preserve">Pre-Reserved &amp; Reserved </t>
  </si>
  <si>
    <t>PSPA</t>
  </si>
  <si>
    <t>Delivery Expected</t>
  </si>
  <si>
    <t>Palmares - Signature Residences</t>
  </si>
  <si>
    <t>PSPA Date</t>
  </si>
  <si>
    <t>27/042/2026</t>
  </si>
  <si>
    <t>Joaquim Vermelhudo</t>
  </si>
  <si>
    <t>▸  Natura Village</t>
  </si>
  <si>
    <t>?</t>
  </si>
  <si>
    <t>First Reservation</t>
  </si>
  <si>
    <t>Launch</t>
  </si>
  <si>
    <t>Commercial Status</t>
  </si>
  <si>
    <t>Total Units</t>
  </si>
  <si>
    <t>Typologies</t>
  </si>
  <si>
    <t>Starting Price (€)</t>
  </si>
  <si>
    <t>Price List GDV (€)</t>
  </si>
  <si>
    <t>Em comercialização</t>
  </si>
  <si>
    <t>Alexandre Fontinhas</t>
  </si>
  <si>
    <t xml:space="preserve">Renowned as one of the area’s most high-end residential choices, Nobilus is made from the finest sustainable materials. Find your zen in this eco-minded paradise. </t>
  </si>
  <si>
    <t>Apartments</t>
  </si>
  <si>
    <t>T2 -23 | T3 - 19 | T4 - 5</t>
  </si>
  <si>
    <t>Q1 2027</t>
  </si>
  <si>
    <t>Villas</t>
  </si>
  <si>
    <t>T2 - 26 | T3 - 12</t>
  </si>
  <si>
    <t>Q3 2026</t>
  </si>
  <si>
    <t xml:space="preserve">Living here will allow you to enjoy sunny Vilamoura all year round. Close to the beach, close to the Marina, close to the very heart of nature. </t>
  </si>
  <si>
    <t>T2 - 39 | T3 - 9</t>
  </si>
  <si>
    <t>Condomínio privado com piscina de adultos e crianças inseridas em aplo jardim; Estacionamento disponível; Excelente localização; Price point competitivo para a região.</t>
  </si>
  <si>
    <t>Concluded</t>
  </si>
  <si>
    <t>T2 - 45 | T3 - 38 | T4 - 4</t>
  </si>
  <si>
    <t>Gym, Sauna, Co-Work Area,  Condo Pool, Private Pools, Outdoor Areas, Smart Home Technology, Underground Parking</t>
  </si>
  <si>
    <t xml:space="preserve">Condomínio privado com exteriores de excelência e generosa piscina em estilo praia; Ginásio e spa; Zona de co-work e parque infantil; Rooftops com piscina privativa; Domótica residencial; Execelente price point considerando as amenities disponíveis. </t>
  </si>
  <si>
    <t>Q3 2027</t>
  </si>
  <si>
    <t>Rivus - *Vilamoura</t>
  </si>
  <si>
    <t xml:space="preserve">Rivus means contemporary comfort at the heart of Vilamoura. A five-minute cycle from the beach and the marina, this development offers open views, private terraces and pools. Ideal as a primary residence or a second home. </t>
  </si>
  <si>
    <t>T2, T3, T4</t>
  </si>
  <si>
    <t xml:space="preserve">Excelente localização; Arquitetura de excelência em Vilamoura (Atelier Fragmentos); Piscina de condomínio e piscinas privativas; Pricing atrativo; Enorme Potencial de Arrendamento (Rentabilização). </t>
  </si>
  <si>
    <t>Q4 2028</t>
  </si>
  <si>
    <t>Fairways</t>
  </si>
  <si>
    <t>Touristic Apartments</t>
  </si>
  <si>
    <t>T1, T2, T3</t>
  </si>
  <si>
    <t>Spa &amp; Fitness, Retail, Padel, F&amp;B, Outdoor Pool, MICE</t>
  </si>
  <si>
    <t>Kengo Kuma</t>
  </si>
  <si>
    <t>Q1 2029</t>
  </si>
  <si>
    <t>Estalagem das Cegonhas</t>
  </si>
  <si>
    <t>Touristic Apartments &amp; Villas</t>
  </si>
  <si>
    <t>T1, T2, T3, V2, V3, V4</t>
  </si>
  <si>
    <t>Q2 2029</t>
  </si>
  <si>
    <t>Townhouses &amp; Villas</t>
  </si>
  <si>
    <t>V2 - 39 | V3 - 32 | V4 - 7</t>
  </si>
  <si>
    <t>Projeto de excelência com vista direta para o Els Club, o campo de Golf mais exclusivo de Vilamoura; Club-house com piscina e lazy river; Spa e campos de tenis / padel dispoíveis; Possibilidade de rentabilidade através de exploração turística com gestão profissional (Details)</t>
  </si>
  <si>
    <t>Q1 2028</t>
  </si>
  <si>
    <t>T1 - 11 | T2 - 50 | T3 -1</t>
  </si>
  <si>
    <t>The Uncommon - *Vilamoura</t>
  </si>
  <si>
    <t>T1 - 30 | T2 - 48 | T3 - 10 | T4 - 4</t>
  </si>
  <si>
    <t>Q2 2028</t>
  </si>
  <si>
    <t>Apartamentos</t>
  </si>
  <si>
    <t>T2 -33 | T3 - 18 | T4 - 4</t>
  </si>
  <si>
    <t xml:space="preserve">Indoor Heated Pool, Spa, Outdoor Pool, Gym, Underground Parking  </t>
  </si>
  <si>
    <t xml:space="preserve">Apartamentos residenciais com piscina e zonas exteriores comuns de excelência; Resident's Lounge e zona de co-work; Zona kids e piscina para crianças; Piscina de interior aquecida; Sauna, hamman e zona de massagens; Ginásio de topo; Garagem em box; Zona comercial dentro do condomínio. </t>
  </si>
  <si>
    <t>www.sutaya.pt</t>
  </si>
  <si>
    <t xml:space="preserve">Welcome to Sutaya. A sanctuary of timeless elegance. Crafted for those who seek the extraordinary. </t>
  </si>
  <si>
    <t>T3 - 12 | T4 - 4</t>
  </si>
  <si>
    <t>Q2 2027</t>
  </si>
  <si>
    <t>Where the whispers of the sea meet the embrace of nature, lies a sanctuary of unparalleled elegance. Nestled in one of Algarve’s most iconic havens, Azuya is crafted for those who seek  exquisite comfort and timeless beauty — a place where dreams find their home.</t>
  </si>
  <si>
    <t>T3 - 8 | T3D - 8</t>
  </si>
  <si>
    <t xml:space="preserve">Projeto exclusivo de 16 apartaentos com vista mar no Ancão; Arquitetura extraordinária e todos as unidades com piscina privativa; Penthouses com amplas áreas e piscina no rooftop; Ginásio, kids club, co-work area e area de spa e wellness. </t>
  </si>
  <si>
    <t>Q4 2027</t>
  </si>
  <si>
    <t>Plots</t>
  </si>
  <si>
    <t>N/A</t>
  </si>
  <si>
    <t>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t>
  </si>
  <si>
    <t>Signature Apartments II</t>
  </si>
  <si>
    <t>T1, T1+1, T1+1 D, T2, T2+1, T3D</t>
  </si>
  <si>
    <t xml:space="preserve">Signature Residences </t>
  </si>
  <si>
    <t>T1, T2, T3, T4</t>
  </si>
  <si>
    <t>Branded Residences - Phase I</t>
  </si>
  <si>
    <t>Branded Residences - Phase II</t>
  </si>
  <si>
    <t>Q4 2029</t>
  </si>
  <si>
    <t>Branded Residences - Phase III</t>
  </si>
  <si>
    <t>Unbranded Residences</t>
  </si>
  <si>
    <t>Plots, Apartments &amp; Villas</t>
  </si>
  <si>
    <t>CHR (T2-T3) -11 | Linked V - V3 | Branded Apt - TBD | Villa Plots 42</t>
  </si>
  <si>
    <t>Ready</t>
  </si>
  <si>
    <t>Hotel Apartments, Touristic Apartments, Houses &amp; Villas</t>
  </si>
  <si>
    <t>HA | T1 - 108 | T2 - 30
TA | T2 - 34 | T3 -6
H | V2 - 15 | V3 - 6 | V4 - 3
V | T2+1 - 7 | T3 - 8 | T4 - 8 | T5 - 6</t>
  </si>
  <si>
    <t xml:space="preserve">Vale Pisão </t>
  </si>
  <si>
    <t>Apartaments &amp; Townhouses</t>
  </si>
  <si>
    <t>AP | T2 - 22 | T3 - 17 
TH | V3 - 55 | V4 - 15</t>
  </si>
  <si>
    <t>Campo Novo</t>
  </si>
  <si>
    <t>Lisboa</t>
  </si>
  <si>
    <t>Bruno Pança</t>
  </si>
  <si>
    <t>https://camponovo.pt/</t>
  </si>
  <si>
    <t>Campo Novo – a vibrant, future-ready urban quarter in Lisbon where living, working and leisure come together seamlessly in one elevated address.</t>
  </si>
  <si>
    <t>T1 - 35 |  T2 - 59 |
 T3 -29 | T4 -10</t>
  </si>
  <si>
    <t>Gym, Spa, Condo Pool, Private Pools, Outdoor Areas, Private Parking, Retail</t>
  </si>
  <si>
    <t>Extraordinários apartamentos no centro de Lisboa distribuídos por três edificios em condomínio privado; Piscinas , sala de condomínio, co-work, kids club e ginásio; Acesso direto a diversificada zona de comércio; Estacionamento privativo; Postos de carregamento eletrico.</t>
  </si>
  <si>
    <t>Saraiva + Associados</t>
  </si>
  <si>
    <t>Q4 2025</t>
  </si>
  <si>
    <t>Launch Q2 2026</t>
  </si>
  <si>
    <t>Launch Q3 2026</t>
  </si>
  <si>
    <t>Launch Q1 2026</t>
  </si>
  <si>
    <t>Launch Q4 2026</t>
  </si>
  <si>
    <t>Launch Q4 2025</t>
  </si>
  <si>
    <t xml:space="preserve">DATABASE QUALITY CHECK </t>
  </si>
  <si>
    <t>Total units</t>
  </si>
  <si>
    <t>Completeness score</t>
  </si>
  <si>
    <t>Critical issues</t>
  </si>
  <si>
    <t>Warnings</t>
  </si>
  <si>
    <t>Notes</t>
  </si>
  <si>
    <t>Rows to review</t>
  </si>
  <si>
    <t>Field</t>
  </si>
  <si>
    <t>DATABASE column</t>
  </si>
  <si>
    <t>Severity if missing</t>
  </si>
  <si>
    <t>Rule</t>
  </si>
  <si>
    <t>Present</t>
  </si>
  <si>
    <t>Missing</t>
  </si>
  <si>
    <t>Total</t>
  </si>
  <si>
    <t>Coverage</t>
  </si>
  <si>
    <t>Current Price</t>
  </si>
  <si>
    <t>NOTE</t>
  </si>
  <si>
    <t>Blank or zero is missing</t>
  </si>
  <si>
    <t>Initial Price</t>
  </si>
  <si>
    <t>Total Area</t>
  </si>
  <si>
    <t>WARNING</t>
  </si>
  <si>
    <t>Blank or &lt;=0 is missing</t>
  </si>
  <si>
    <t>Completion Date</t>
  </si>
  <si>
    <t>Blank is missing</t>
  </si>
  <si>
    <t>CRITICAL</t>
  </si>
  <si>
    <t>Commercial Owner</t>
  </si>
  <si>
    <t>PSPA / Reservation Date</t>
  </si>
  <si>
    <t>Severity</t>
  </si>
  <si>
    <t>Check</t>
  </si>
  <si>
    <t>Logic</t>
  </si>
  <si>
    <t>Why it matters</t>
  </si>
  <si>
    <t>Source</t>
  </si>
  <si>
    <t>Units flagged</t>
  </si>
  <si>
    <t>Negative Discount</t>
  </si>
  <si>
    <t>Total Discunt &lt; 0</t>
  </si>
  <si>
    <t>Pricing/data error</t>
  </si>
  <si>
    <t>DATABASE!X:X</t>
  </si>
  <si>
    <t>Sell Price Exceeds Current Price</t>
  </si>
  <si>
    <t>Sell price &gt; current asking</t>
  </si>
  <si>
    <t>Price mismatch</t>
  </si>
  <si>
    <t>DATABASE!Y:T</t>
  </si>
  <si>
    <t>Deeded — No PSPA Date</t>
  </si>
  <si>
    <t>DEED with PSPA Date blank</t>
  </si>
  <si>
    <t>Missing timeline</t>
  </si>
  <si>
    <t>DATABASE!Q:AA</t>
  </si>
  <si>
    <t>Missing Typology</t>
  </si>
  <si>
    <t>Typology blank</t>
  </si>
  <si>
    <t>Cannot segment</t>
  </si>
  <si>
    <t>DATABASE!E:E</t>
  </si>
  <si>
    <t>Missing Development</t>
  </si>
  <si>
    <t>Development blank</t>
  </si>
  <si>
    <t>Cannot group</t>
  </si>
  <si>
    <t>DATABASE!AJ:AJ</t>
  </si>
  <si>
    <t>Reserved / PSPA — No PSPA Date</t>
  </si>
  <si>
    <t>Committed status + no date</t>
  </si>
  <si>
    <t>Velocity reporting impacted</t>
  </si>
  <si>
    <t>Available — Has PSPA Date</t>
  </si>
  <si>
    <t>Available + date present</t>
  </si>
  <si>
    <t>Status mismatch</t>
  </si>
  <si>
    <t>Heavy Price Cut (&gt;20%)</t>
  </si>
  <si>
    <t>Current &lt;80% initial</t>
  </si>
  <si>
    <t>Potential distress/input error</t>
  </si>
  <si>
    <t>DATABASE!S:T</t>
  </si>
  <si>
    <t>Active Unit — No Price</t>
  </si>
  <si>
    <t>Active + no current price</t>
  </si>
  <si>
    <t>Cannot value</t>
  </si>
  <si>
    <t>DATABASE!Q:T</t>
  </si>
  <si>
    <t>Active Unit — No Commercial Owner</t>
  </si>
  <si>
    <t>Active + no owner</t>
  </si>
  <si>
    <t>Unmanaged item</t>
  </si>
  <si>
    <t>DATABASE!Q:AC</t>
  </si>
  <si>
    <t>Missing / Invalid Area</t>
  </si>
  <si>
    <t>Area blank or &lt;=0</t>
  </si>
  <si>
    <t>€/sqm breaks</t>
  </si>
  <si>
    <t>DATABASE!F:F</t>
  </si>
  <si>
    <t>Issue log — one row per DATABASE unit, filter QC status = REVIEW</t>
  </si>
  <si>
    <t>DB Row</t>
  </si>
  <si>
    <t>Critical flags</t>
  </si>
  <si>
    <t>Warning flags</t>
  </si>
  <si>
    <t>Note flags</t>
  </si>
  <si>
    <t>QC status</t>
  </si>
  <si>
    <t>Mouragolfe</t>
  </si>
  <si>
    <t>Vilamoura Parque</t>
  </si>
  <si>
    <t>Vale Pisão</t>
  </si>
  <si>
    <t>Total Discount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</si>
</sst>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 #,##0.00\ &quot;€&quot;_-;\-* #,##0.00\ &quot;€&quot;_-;_-* &quot;-&quot;??\ &quot;€&quot;_-;_-@_-"/>
    <numFmt numFmtId="43" formatCode="_-* #,##0.00_-;\-* #,##0.00_-;_-* &quot;-&quot;??_-;_-@_-"/>
    <numFmt numFmtId="164" formatCode="_-* #,##0\ &quot;€&quot;_-;\-* #,##0\ &quot;€&quot;_-;_-* &quot;-&quot;??\ &quot;€&quot;_-;_-@_-"/>
    <numFmt numFmtId="165" formatCode="m/d/yyyy"/>
    <numFmt numFmtId="166" formatCode="0.0%"/>
    <numFmt numFmtId="167" formatCode="\€#,##0"/>
    <numFmt numFmtId="168" formatCode="\€#,##0.0"/>
    <numFmt numFmtId="169" formatCode="\€0.0"/>
    <numFmt numFmtId="170" formatCode="dd\-mmm\-yyyy"/>
    <numFmt numFmtId="171" formatCode="[$-816]d\-mmm\-yy;@"/>
    <numFmt numFmtId="172" formatCode="[$-816]d\-mmm\-yyyy;@"/>
  </numFmts>
  <fonts count="47" x14ac:knownFonts="1">
    <font>
      <sz val="11"/>
      <color theme="1"/>
      <name val="Aptos Narrow"/>
      <family val="2"/>
      <scheme val="minor"/>
    </font>
    <font>
      <sz val="8"/>
      <name val="Aptos Narrow"/>
      <family val="2"/>
      <scheme val="minor"/>
    </font>
    <font>
      <u/>
      <sz val="11"/>
      <color theme="10"/>
      <name val="Aptos Narrow"/>
      <family val="2"/>
      <scheme val="minor"/>
    </font>
    <font>
      <sz val="10"/>
      <color theme="1"/>
      <name val="Aptos Narrow"/>
      <family val="2"/>
      <scheme val="minor"/>
    </font>
    <font>
      <sz val="11"/>
      <color theme="1"/>
      <name val="Aptos Narrow"/>
      <family val="2"/>
      <scheme val="minor"/>
    </font>
    <font>
      <b/>
      <sz val="11"/>
      <color rgb="FFFFFFFF"/>
      <name val="Aptos Narrow"/>
      <family val="2"/>
      <scheme val="minor"/>
    </font>
    <font>
      <b/>
      <sz val="9"/>
      <color rgb="FFFFFFFF"/>
      <name val="Aptos Narrow"/>
      <family val="2"/>
      <scheme val="minor"/>
    </font>
    <font>
      <b/>
      <sz val="22"/>
      <color rgb="FFFFFFFF"/>
      <name val="Aptos Display"/>
      <family val="2"/>
    </font>
    <font>
      <b/>
      <sz val="10"/>
      <color rgb="FFFFFFFF"/>
      <name val="Aptos Display"/>
      <family val="2"/>
    </font>
    <font>
      <b/>
      <i/>
      <sz val="10"/>
      <color rgb="FFFFFFFF"/>
      <name val="Aptos Narrow"/>
      <family val="2"/>
      <scheme val="minor"/>
    </font>
    <font>
      <b/>
      <sz val="9"/>
      <color rgb="FFFFFFFF"/>
      <name val="Aptos Narrow"/>
      <family val="2"/>
      <scheme val="minor"/>
    </font>
    <font>
      <b/>
      <sz val="14"/>
      <color rgb="FFFFFFFF"/>
      <name val="Aptos Narrow"/>
      <family val="2"/>
      <scheme val="minor"/>
    </font>
    <font>
      <b/>
      <sz val="8"/>
      <color rgb="FFFFFFFF"/>
      <name val="Aptos Narrow"/>
      <family val="2"/>
      <scheme val="minor"/>
    </font>
    <font>
      <sz val="11"/>
      <color rgb="FF1A1A1A"/>
      <name val="Aptos Narrow"/>
      <family val="2"/>
      <scheme val="minor"/>
    </font>
    <font>
      <b/>
      <sz val="12"/>
      <color rgb="FF1A1A1A"/>
      <name val="Aptos Display"/>
      <family val="2"/>
    </font>
    <font>
      <b/>
      <sz val="20"/>
      <color rgb="FF1A1A1A"/>
      <name val="Aptos Display"/>
      <family val="2"/>
    </font>
    <font>
      <b/>
      <sz val="8"/>
      <color rgb="FF1A1A1A"/>
      <name val="Aptos Narrow"/>
      <family val="2"/>
      <scheme val="minor"/>
    </font>
    <font>
      <b/>
      <sz val="10"/>
      <color rgb="FF1A1A1A"/>
      <name val="Aptos Narrow"/>
      <family val="2"/>
      <scheme val="minor"/>
    </font>
    <font>
      <i/>
      <sz val="10"/>
      <color rgb="FF1A1A1A"/>
      <name val="Aptos Narrow"/>
      <family val="2"/>
      <scheme val="minor"/>
    </font>
    <font>
      <i/>
      <sz val="11"/>
      <color rgb="FF1A1A1A"/>
      <name val="Aptos Display"/>
      <family val="2"/>
    </font>
    <font>
      <i/>
      <sz val="8"/>
      <color rgb="FF1A1A1A"/>
      <name val="Aptos Narrow"/>
      <family val="2"/>
      <scheme val="minor"/>
    </font>
    <font>
      <b/>
      <u/>
      <sz val="10"/>
      <color rgb="FF1A1A1A"/>
      <name val="Aptos Narrow"/>
      <family val="2"/>
      <scheme val="minor"/>
    </font>
    <font>
      <sz val="10"/>
      <color rgb="FF1A1A1A"/>
      <name val="Aptos Narrow"/>
      <family val="2"/>
      <scheme val="minor"/>
    </font>
    <font>
      <b/>
      <sz val="10"/>
      <color rgb="FF1A1A1A"/>
      <name val="Aptos Narrow"/>
      <family val="2"/>
      <scheme val="minor"/>
    </font>
    <font>
      <b/>
      <sz val="18"/>
      <color rgb="FF1A1A1A"/>
      <name val="Aptos Narrow"/>
      <family val="2"/>
      <scheme val="minor"/>
    </font>
    <font>
      <b/>
      <sz val="12"/>
      <color rgb="FF1A1A1A"/>
      <name val="Aptos Narrow"/>
      <family val="2"/>
      <scheme val="minor"/>
    </font>
    <font>
      <b/>
      <sz val="16"/>
      <color rgb="FF1A1A1A"/>
      <name val="Aptos Narrow"/>
      <family val="2"/>
      <scheme val="minor"/>
    </font>
    <font>
      <i/>
      <sz val="10"/>
      <color rgb="FF1A1A1A"/>
      <name val="Aptos Narrow"/>
      <family val="2"/>
      <scheme val="minor"/>
    </font>
    <font>
      <sz val="10"/>
      <color rgb="FF1A1A1A"/>
      <name val="Aptos Narrow"/>
      <family val="2"/>
    </font>
    <font>
      <b/>
      <sz val="10"/>
      <color rgb="FFFFFFFF"/>
      <name val="Aptos Narrow"/>
      <family val="2"/>
      <scheme val="minor"/>
    </font>
    <font>
      <sz val="11"/>
      <color theme="1"/>
      <name val="Aptos Narrow"/>
      <family val="2"/>
      <scheme val="minor"/>
    </font>
    <font>
      <sz val="11"/>
      <name val="Aptos Narrow"/>
      <family val="2"/>
      <scheme val="minor"/>
    </font>
    <font>
      <b/>
      <sz val="10"/>
      <color rgb="FFCABCA2"/>
      <name val="Aptos Narrow"/>
      <family val="2"/>
    </font>
    <font>
      <b/>
      <sz val="10"/>
      <color rgb="FFCABCA2"/>
      <name val="Aptos Narrow"/>
      <family val="2"/>
      <scheme val="minor"/>
    </font>
    <font>
      <b/>
      <sz val="11"/>
      <color rgb="FF1F1F1F"/>
      <name val="Aptos Narrow"/>
      <family val="2"/>
      <scheme val="minor"/>
    </font>
    <font>
      <b/>
      <sz val="9"/>
      <color theme="1"/>
      <name val="Aptos Narrow"/>
      <family val="2"/>
      <scheme val="minor"/>
    </font>
    <font>
      <sz val="8"/>
      <color theme="1"/>
      <name val="Aptos Narrow"/>
      <family val="2"/>
      <scheme val="minor"/>
    </font>
    <font>
      <sz val="9"/>
      <color indexed="81"/>
      <name val="Tahoma"/>
      <family val="2"/>
    </font>
    <font>
      <b/>
      <sz val="9"/>
      <color indexed="81"/>
      <name val="Tahoma"/>
      <family val="2"/>
    </font>
    <font>
      <sz val="11"/>
      <color rgb="FFFF0000"/>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sz val="11"/>
      <color rgb="FFC00000"/>
      <name val="Aptos Narrow"/>
      <family val="2"/>
      <scheme val="minor"/>
    </font>
    <font>
      <b/>
      <sz val="16"/>
      <color rgb="FFFFFFFF"/>
      <name val="Aptos Narrow"/>
      <family val="2"/>
      <scheme val="minor"/>
    </font>
    <font>
      <b/>
      <sz val="11"/>
      <color rgb="FFCABCA2"/>
      <name val="Aptos Narrow"/>
      <family val="2"/>
      <scheme val="minor"/>
    </font>
    <font>
      <sz val="11"/>
      <color theme="2" tint="-0.499984740745262"/>
      <name val="Aptos Narrow"/>
      <family val="2"/>
      <scheme val="minor"/>
    </font>
  </fonts>
  <fills count="15">
    <fill>
      <patternFill patternType="none"/>
    </fill>
    <fill>
      <patternFill patternType="gray125"/>
    </fill>
    <fill>
      <patternFill patternType="solid">
        <fgColor rgb="FF595959"/>
        <bgColor indexed="64"/>
      </patternFill>
    </fill>
    <fill>
      <patternFill patternType="solid">
        <fgColor rgb="FFFFFFFF"/>
        <bgColor indexed="64"/>
      </patternFill>
    </fill>
    <fill>
      <patternFill patternType="solid">
        <fgColor rgb="FFCABCA2"/>
        <bgColor indexed="64"/>
      </patternFill>
    </fill>
    <fill>
      <patternFill patternType="solid">
        <fgColor rgb="FFECE9E4"/>
        <bgColor indexed="64"/>
      </patternFill>
    </fill>
    <fill>
      <patternFill patternType="solid">
        <fgColor rgb="FFF4F2F0"/>
        <bgColor indexed="64"/>
      </patternFill>
    </fill>
    <fill>
      <patternFill patternType="solid">
        <fgColor theme="1" tint="0.249977111117893"/>
        <bgColor indexed="64"/>
      </patternFill>
    </fill>
    <fill>
      <patternFill patternType="solid">
        <fgColor theme="0"/>
        <bgColor indexed="64"/>
      </patternFill>
    </fill>
    <fill>
      <patternFill patternType="solid">
        <fgColor theme="1" tint="0.499984740745262"/>
        <bgColor indexed="64"/>
      </patternFill>
    </fill>
    <fill>
      <patternFill patternType="solid">
        <fgColor rgb="FFF4CCCC"/>
        <bgColor indexed="64"/>
      </patternFill>
    </fill>
    <fill>
      <patternFill patternType="solid">
        <fgColor rgb="FFFFF2CC"/>
        <bgColor indexed="64"/>
      </patternFill>
    </fill>
    <fill>
      <patternFill patternType="solid">
        <fgColor rgb="FFD9EAD3"/>
        <bgColor indexed="64"/>
      </patternFill>
    </fill>
    <fill>
      <patternFill patternType="solid">
        <fgColor rgb="FF91AEBD"/>
        <bgColor indexed="64"/>
      </patternFill>
    </fill>
    <fill>
      <patternFill patternType="solid">
        <fgColor rgb="FF81AD83"/>
        <bgColor indexed="64"/>
      </patternFill>
    </fill>
  </fills>
  <borders count="14">
    <border>
      <left/>
      <right/>
      <top/>
      <bottom/>
      <diagonal/>
    </border>
    <border>
      <left/>
      <right/>
      <top style="medium">
        <color auto="1"/>
      </top>
      <bottom/>
      <diagonal/>
    </border>
    <border>
      <left style="thin">
        <color rgb="FFBFBFBF"/>
      </left>
      <right/>
      <top/>
      <bottom/>
      <diagonal/>
    </border>
    <border>
      <left/>
      <right/>
      <top style="thin">
        <color rgb="FFBFBFBF"/>
      </top>
      <bottom/>
      <diagonal/>
    </border>
    <border>
      <left/>
      <right/>
      <top style="medium">
        <color rgb="FFBFBFBF"/>
      </top>
      <bottom/>
      <diagonal/>
    </border>
    <border>
      <left/>
      <right/>
      <top/>
      <bottom style="medium">
        <color rgb="FFBFBFBF"/>
      </bottom>
      <diagonal/>
    </border>
    <border>
      <left style="thin">
        <color indexed="64"/>
      </left>
      <right/>
      <top style="thin">
        <color rgb="FF45483F"/>
      </top>
      <bottom style="thin">
        <color rgb="FFBFBFBF"/>
      </bottom>
      <diagonal/>
    </border>
    <border>
      <left/>
      <right style="thin">
        <color indexed="64"/>
      </right>
      <top/>
      <bottom/>
      <diagonal/>
    </border>
    <border>
      <left/>
      <right style="thin">
        <color rgb="FFBFBFBF"/>
      </right>
      <top style="thin">
        <color rgb="FF45483F"/>
      </top>
      <bottom style="thin">
        <color rgb="FFBFBFBF"/>
      </bottom>
      <diagonal/>
    </border>
    <border>
      <left/>
      <right/>
      <top/>
      <bottom style="thin">
        <color indexed="64"/>
      </bottom>
      <diagonal/>
    </border>
    <border>
      <left style="thin">
        <color indexed="64"/>
      </left>
      <right/>
      <top style="thin">
        <color indexed="64"/>
      </top>
      <bottom style="thin">
        <color theme="2" tint="-9.9978637043366805E-2"/>
      </bottom>
      <diagonal/>
    </border>
    <border>
      <left/>
      <right style="thin">
        <color theme="2" tint="-9.9978637043366805E-2"/>
      </right>
      <top style="thin">
        <color indexed="64"/>
      </top>
      <bottom style="thin">
        <color theme="2" tint="-9.9978637043366805E-2"/>
      </bottom>
      <diagonal/>
    </border>
    <border>
      <left style="thin">
        <color indexed="64"/>
      </left>
      <right style="thin">
        <color indexed="64"/>
      </right>
      <top style="thin">
        <color indexed="64"/>
      </top>
      <bottom style="thin">
        <color indexed="64"/>
      </bottom>
      <diagonal/>
    </border>
    <border>
      <left/>
      <right style="thin">
        <color rgb="FFBFBFBF"/>
      </right>
      <top style="thin">
        <color rgb="FFBFBFBF"/>
      </top>
      <bottom/>
      <diagonal/>
    </border>
  </borders>
  <cellStyleXfs count="14">
    <xf numFmtId="0" fontId="0" fillId="0" borderId="0"/>
    <xf numFmtId="0" fontId="2" fillId="0" borderId="0" applyNumberFormat="0" applyFill="0" applyBorder="0" applyAlignment="0" applyProtection="0"/>
    <xf numFmtId="0" fontId="4" fillId="0" borderId="0"/>
    <xf numFmtId="44" fontId="4" fillId="0" borderId="0" applyFont="0" applyFill="0" applyBorder="0" applyAlignment="0" applyProtection="0"/>
    <xf numFmtId="44" fontId="4"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44" fontId="4" fillId="0" borderId="0" applyFont="0" applyFill="0" applyBorder="0" applyAlignment="0" applyProtection="0"/>
    <xf numFmtId="43" fontId="4" fillId="0" borderId="0" applyFont="0" applyFill="0" applyBorder="0" applyAlignment="0" applyProtection="0"/>
    <xf numFmtId="43" fontId="4" fillId="0" borderId="0" applyFont="0" applyFill="0" applyBorder="0" applyAlignment="0" applyProtection="0"/>
    <xf numFmtId="44" fontId="4" fillId="0" borderId="0" applyFont="0" applyFill="0" applyBorder="0" applyAlignment="0" applyProtection="0"/>
    <xf numFmtId="44" fontId="4" fillId="0" borderId="0" applyFont="0" applyFill="0" applyBorder="0" applyAlignment="0" applyProtection="0"/>
    <xf numFmtId="43" fontId="4" fillId="0" borderId="0" applyFont="0" applyFill="0" applyBorder="0" applyAlignment="0" applyProtection="0"/>
    <xf numFmtId="9" fontId="4" fillId="0" borderId="0" applyFont="0" applyFill="0" applyBorder="0" applyAlignment="0" applyProtection="0"/>
  </cellStyleXfs>
  <cellXfs count="168">
    <xf numFmtId="0" fontId="0" fillId="0" borderId="0" xfId="0"/>
    <xf numFmtId="0" fontId="3" fillId="0" borderId="0" xfId="0" applyFont="1" applyAlignment="1">
      <alignment horizontal="center" vertical="center"/>
    </xf>
    <xf numFmtId="0" fontId="0" fillId="0" borderId="0" xfId="0" applyAlignment="1">
      <alignment horizontal="center"/>
    </xf>
    <xf numFmtId="0" fontId="5" fillId="2" borderId="0" xfId="0" applyFont="1" applyFill="1" applyAlignment="1">
      <alignment horizontal="center" vertical="center" wrapText="1"/>
    </xf>
    <xf numFmtId="0" fontId="13" fillId="3" borderId="0" xfId="0" applyFont="1" applyFill="1"/>
    <xf numFmtId="0" fontId="13" fillId="3" borderId="3" xfId="0" applyFont="1" applyFill="1" applyBorder="1"/>
    <xf numFmtId="0" fontId="15" fillId="3" borderId="0" xfId="0" applyFont="1" applyFill="1"/>
    <xf numFmtId="0" fontId="16" fillId="3" borderId="0" xfId="0" applyFont="1" applyFill="1" applyAlignment="1">
      <alignment horizontal="right"/>
    </xf>
    <xf numFmtId="0" fontId="18" fillId="3" borderId="0" xfId="0" applyFont="1" applyFill="1" applyAlignment="1">
      <alignment horizontal="right"/>
    </xf>
    <xf numFmtId="0" fontId="19" fillId="3" borderId="0" xfId="0" applyFont="1" applyFill="1"/>
    <xf numFmtId="0" fontId="20" fillId="3" borderId="0" xfId="0" applyFont="1" applyFill="1" applyAlignment="1">
      <alignment horizontal="right"/>
    </xf>
    <xf numFmtId="0" fontId="21" fillId="3" borderId="0" xfId="1" applyFont="1" applyFill="1"/>
    <xf numFmtId="0" fontId="21" fillId="3" borderId="3" xfId="1" applyFont="1" applyFill="1" applyBorder="1"/>
    <xf numFmtId="166" fontId="22" fillId="3" borderId="0" xfId="0" applyNumberFormat="1" applyFont="1" applyFill="1" applyAlignment="1">
      <alignment horizontal="center"/>
    </xf>
    <xf numFmtId="166" fontId="22" fillId="3" borderId="3" xfId="0" applyNumberFormat="1" applyFont="1" applyFill="1" applyBorder="1" applyAlignment="1">
      <alignment horizontal="center"/>
    </xf>
    <xf numFmtId="0" fontId="23" fillId="3" borderId="0" xfId="0" applyFont="1" applyFill="1"/>
    <xf numFmtId="0" fontId="21" fillId="3" borderId="0" xfId="1" applyFont="1" applyFill="1" applyBorder="1"/>
    <xf numFmtId="0" fontId="12" fillId="2" borderId="0" xfId="0" applyFont="1" applyFill="1" applyAlignment="1">
      <alignment horizontal="center" vertical="center"/>
    </xf>
    <xf numFmtId="0" fontId="13" fillId="3" borderId="4" xfId="0" applyFont="1" applyFill="1" applyBorder="1"/>
    <xf numFmtId="166" fontId="24" fillId="3" borderId="0" xfId="0" applyNumberFormat="1" applyFont="1" applyFill="1" applyAlignment="1">
      <alignment horizontal="center" vertical="center"/>
    </xf>
    <xf numFmtId="0" fontId="27" fillId="3" borderId="0" xfId="0" applyFont="1" applyFill="1" applyAlignment="1">
      <alignment vertical="center"/>
    </xf>
    <xf numFmtId="0" fontId="30" fillId="0" borderId="0" xfId="0" applyFont="1" applyAlignment="1">
      <alignment horizontal="center"/>
    </xf>
    <xf numFmtId="0" fontId="13" fillId="0" borderId="0" xfId="0" applyFont="1"/>
    <xf numFmtId="0" fontId="11" fillId="0" borderId="0" xfId="0" applyFont="1" applyAlignment="1">
      <alignment vertical="center"/>
    </xf>
    <xf numFmtId="0" fontId="12" fillId="0" borderId="0" xfId="0" applyFont="1" applyAlignment="1">
      <alignment horizontal="center" vertical="center"/>
    </xf>
    <xf numFmtId="168" fontId="24" fillId="0" borderId="0" xfId="0" applyNumberFormat="1" applyFont="1" applyAlignment="1">
      <alignment horizontal="center" vertical="center"/>
    </xf>
    <xf numFmtId="0" fontId="27" fillId="0" borderId="0" xfId="0" applyFont="1" applyAlignment="1">
      <alignment vertical="center"/>
    </xf>
    <xf numFmtId="0" fontId="12" fillId="0" borderId="0" xfId="0" applyFont="1" applyAlignment="1">
      <alignment vertical="center"/>
    </xf>
    <xf numFmtId="168" fontId="24" fillId="0" borderId="0" xfId="0" applyNumberFormat="1" applyFont="1" applyAlignment="1">
      <alignment vertical="center"/>
    </xf>
    <xf numFmtId="0" fontId="11" fillId="4" borderId="0" xfId="0" applyFont="1" applyFill="1" applyAlignment="1">
      <alignment vertical="center"/>
    </xf>
    <xf numFmtId="0" fontId="12" fillId="4" borderId="0" xfId="0" applyFont="1" applyFill="1" applyAlignment="1">
      <alignment horizontal="center" vertical="center"/>
    </xf>
    <xf numFmtId="0" fontId="17" fillId="3" borderId="0" xfId="0" applyFont="1" applyFill="1" applyAlignment="1">
      <alignment horizontal="center"/>
    </xf>
    <xf numFmtId="0" fontId="19" fillId="3" borderId="0" xfId="0" applyFont="1" applyFill="1" applyAlignment="1">
      <alignment vertical="top"/>
    </xf>
    <xf numFmtId="0" fontId="13" fillId="3" borderId="0" xfId="0" applyFont="1" applyFill="1" applyAlignment="1">
      <alignment vertical="center"/>
    </xf>
    <xf numFmtId="0" fontId="16" fillId="3" borderId="0" xfId="0" applyFont="1" applyFill="1" applyAlignment="1">
      <alignment horizontal="right" vertical="center"/>
    </xf>
    <xf numFmtId="0" fontId="17" fillId="3" borderId="9" xfId="0" applyFont="1" applyFill="1" applyBorder="1" applyAlignment="1">
      <alignment horizontal="center" vertical="center"/>
    </xf>
    <xf numFmtId="164" fontId="30" fillId="0" borderId="0" xfId="4" applyNumberFormat="1" applyFont="1" applyFill="1" applyBorder="1" applyAlignment="1">
      <alignment horizontal="center"/>
    </xf>
    <xf numFmtId="10" fontId="30" fillId="0" borderId="0" xfId="13" applyNumberFormat="1" applyFont="1" applyFill="1" applyBorder="1" applyAlignment="1">
      <alignment horizontal="center"/>
    </xf>
    <xf numFmtId="164" fontId="0" fillId="0" borderId="0" xfId="4" applyNumberFormat="1" applyFont="1" applyFill="1" applyBorder="1" applyAlignment="1">
      <alignment horizontal="center"/>
    </xf>
    <xf numFmtId="10" fontId="0" fillId="0" borderId="0" xfId="13" applyNumberFormat="1" applyFont="1" applyFill="1" applyBorder="1" applyAlignment="1">
      <alignment horizontal="center"/>
    </xf>
    <xf numFmtId="3" fontId="22" fillId="3" borderId="3" xfId="0" applyNumberFormat="1" applyFont="1" applyFill="1" applyBorder="1" applyAlignment="1">
      <alignment horizontal="center"/>
    </xf>
    <xf numFmtId="3" fontId="22" fillId="3" borderId="0" xfId="0" applyNumberFormat="1" applyFont="1" applyFill="1" applyAlignment="1">
      <alignment horizontal="center"/>
    </xf>
    <xf numFmtId="169" fontId="22" fillId="3" borderId="3" xfId="0" applyNumberFormat="1" applyFont="1" applyFill="1" applyBorder="1" applyAlignment="1">
      <alignment horizontal="center"/>
    </xf>
    <xf numFmtId="169" fontId="22" fillId="3" borderId="0" xfId="0" applyNumberFormat="1" applyFont="1" applyFill="1" applyAlignment="1">
      <alignment horizontal="center"/>
    </xf>
    <xf numFmtId="0" fontId="22" fillId="3" borderId="3" xfId="0" applyFont="1" applyFill="1" applyBorder="1" applyAlignment="1">
      <alignment wrapText="1"/>
    </xf>
    <xf numFmtId="170" fontId="22" fillId="3" borderId="3" xfId="0" applyNumberFormat="1" applyFont="1" applyFill="1" applyBorder="1" applyAlignment="1">
      <alignment wrapText="1"/>
    </xf>
    <xf numFmtId="0" fontId="22" fillId="3" borderId="0" xfId="0" applyFont="1" applyFill="1" applyAlignment="1">
      <alignment wrapText="1"/>
    </xf>
    <xf numFmtId="170" fontId="22" fillId="3" borderId="0" xfId="0" applyNumberFormat="1" applyFont="1" applyFill="1" applyAlignment="1">
      <alignment wrapText="1"/>
    </xf>
    <xf numFmtId="0" fontId="27" fillId="3" borderId="2" xfId="0" applyFont="1" applyFill="1" applyBorder="1" applyAlignment="1">
      <alignment vertical="center" wrapText="1"/>
    </xf>
    <xf numFmtId="0" fontId="6" fillId="7" borderId="0" xfId="0" applyFont="1" applyFill="1" applyAlignment="1">
      <alignment horizontal="center" vertical="center"/>
    </xf>
    <xf numFmtId="0" fontId="34" fillId="6" borderId="1" xfId="0" applyFont="1" applyFill="1" applyBorder="1"/>
    <xf numFmtId="170" fontId="34" fillId="6" borderId="1" xfId="0" applyNumberFormat="1" applyFont="1" applyFill="1" applyBorder="1"/>
    <xf numFmtId="3" fontId="34" fillId="6" borderId="1" xfId="0" applyNumberFormat="1" applyFont="1" applyFill="1" applyBorder="1" applyAlignment="1">
      <alignment horizontal="center"/>
    </xf>
    <xf numFmtId="166" fontId="34" fillId="6" borderId="1" xfId="0" applyNumberFormat="1" applyFont="1" applyFill="1" applyBorder="1" applyAlignment="1">
      <alignment horizontal="center"/>
    </xf>
    <xf numFmtId="169" fontId="34" fillId="6" borderId="1" xfId="0" applyNumberFormat="1" applyFont="1" applyFill="1" applyBorder="1" applyAlignment="1">
      <alignment horizontal="center"/>
    </xf>
    <xf numFmtId="0" fontId="0" fillId="8" borderId="0" xfId="0" applyFill="1"/>
    <xf numFmtId="0" fontId="35" fillId="8" borderId="0" xfId="0" applyFont="1" applyFill="1" applyAlignment="1">
      <alignment horizontal="center" vertical="center"/>
    </xf>
    <xf numFmtId="0" fontId="36" fillId="8" borderId="0" xfId="0" applyFont="1" applyFill="1"/>
    <xf numFmtId="166" fontId="0" fillId="8" borderId="0" xfId="0" applyNumberFormat="1" applyFill="1"/>
    <xf numFmtId="169" fontId="0" fillId="8" borderId="0" xfId="0" applyNumberFormat="1" applyFill="1"/>
    <xf numFmtId="0" fontId="0" fillId="3" borderId="0" xfId="0" applyFill="1"/>
    <xf numFmtId="3" fontId="0" fillId="8" borderId="0" xfId="0" applyNumberFormat="1" applyFill="1"/>
    <xf numFmtId="166" fontId="24" fillId="3" borderId="12" xfId="0" applyNumberFormat="1" applyFont="1" applyFill="1" applyBorder="1" applyAlignment="1">
      <alignment horizontal="center" vertical="center"/>
    </xf>
    <xf numFmtId="0" fontId="5" fillId="4" borderId="0" xfId="0" applyFont="1" applyFill="1" applyAlignment="1">
      <alignment horizontal="center" vertical="center"/>
    </xf>
    <xf numFmtId="169" fontId="0" fillId="0" borderId="0" xfId="0" applyNumberFormat="1" applyAlignment="1">
      <alignment horizontal="center" vertical="center"/>
    </xf>
    <xf numFmtId="0" fontId="0" fillId="0" borderId="0" xfId="0" applyAlignment="1">
      <alignment horizontal="left" vertical="center"/>
    </xf>
    <xf numFmtId="169" fontId="0" fillId="8" borderId="0" xfId="0" applyNumberFormat="1" applyFill="1" applyAlignment="1">
      <alignment horizontal="center"/>
    </xf>
    <xf numFmtId="3" fontId="34" fillId="6" borderId="0" xfId="0" applyNumberFormat="1" applyFont="1" applyFill="1" applyAlignment="1">
      <alignment horizontal="center"/>
    </xf>
    <xf numFmtId="3" fontId="22" fillId="3" borderId="9" xfId="0" applyNumberFormat="1" applyFont="1" applyFill="1" applyBorder="1" applyAlignment="1">
      <alignment horizontal="center"/>
    </xf>
    <xf numFmtId="172" fontId="30" fillId="0" borderId="0" xfId="0" applyNumberFormat="1" applyFont="1" applyAlignment="1">
      <alignment horizontal="center"/>
    </xf>
    <xf numFmtId="172" fontId="0" fillId="0" borderId="0" xfId="0" applyNumberFormat="1" applyAlignment="1">
      <alignment horizontal="center"/>
    </xf>
    <xf numFmtId="10" fontId="30" fillId="0" borderId="0" xfId="0" applyNumberFormat="1" applyFont="1" applyAlignment="1">
      <alignment horizontal="center"/>
    </xf>
    <xf numFmtId="10" fontId="0" fillId="0" borderId="0" xfId="0" applyNumberFormat="1" applyAlignment="1">
      <alignment horizontal="center"/>
    </xf>
    <xf numFmtId="164" fontId="30" fillId="0" borderId="0" xfId="0" applyNumberFormat="1" applyFont="1" applyAlignment="1">
      <alignment horizontal="center"/>
    </xf>
    <xf numFmtId="14" fontId="30" fillId="0" borderId="0" xfId="0" applyNumberFormat="1" applyFont="1" applyAlignment="1">
      <alignment horizontal="center"/>
    </xf>
    <xf numFmtId="14" fontId="30" fillId="0" borderId="0" xfId="4" applyNumberFormat="1" applyFont="1" applyFill="1" applyBorder="1" applyAlignment="1">
      <alignment horizontal="center"/>
    </xf>
    <xf numFmtId="14" fontId="0" fillId="0" borderId="0" xfId="4" applyNumberFormat="1" applyFont="1" applyFill="1" applyBorder="1" applyAlignment="1">
      <alignment horizontal="center"/>
    </xf>
    <xf numFmtId="14" fontId="0" fillId="0" borderId="0" xfId="0" applyNumberFormat="1" applyAlignment="1">
      <alignment horizontal="center"/>
    </xf>
    <xf numFmtId="0" fontId="3" fillId="0" borderId="0" xfId="0" applyFont="1" applyAlignment="1">
      <alignment horizontal="center" vertical="center" wrapText="1"/>
    </xf>
    <xf numFmtId="0" fontId="0" fillId="0" borderId="0" xfId="0" applyAlignment="1">
      <alignment horizontal="center" vertical="center"/>
    </xf>
    <xf numFmtId="0" fontId="42" fillId="8" borderId="0" xfId="0" applyFont="1" applyFill="1"/>
    <xf numFmtId="0" fontId="43" fillId="0" borderId="0" xfId="0" applyFont="1" applyAlignment="1">
      <alignment horizontal="center"/>
    </xf>
    <xf numFmtId="0" fontId="0" fillId="0" borderId="0" xfId="0" applyAlignment="1">
      <alignment wrapText="1"/>
    </xf>
    <xf numFmtId="0" fontId="41" fillId="6" borderId="0" xfId="0" applyFont="1" applyFill="1"/>
    <xf numFmtId="9" fontId="41" fillId="6" borderId="0" xfId="0" applyNumberFormat="1" applyFont="1" applyFill="1"/>
    <xf numFmtId="3" fontId="41" fillId="6" borderId="0" xfId="0" applyNumberFormat="1" applyFont="1" applyFill="1"/>
    <xf numFmtId="0" fontId="0" fillId="0" borderId="0" xfId="0" applyAlignment="1">
      <alignment horizontal="center" wrapText="1"/>
    </xf>
    <xf numFmtId="3" fontId="0" fillId="0" borderId="0" xfId="0" applyNumberFormat="1" applyAlignment="1">
      <alignment horizontal="center"/>
    </xf>
    <xf numFmtId="9" fontId="0" fillId="0" borderId="0" xfId="0" applyNumberFormat="1" applyAlignment="1">
      <alignment horizontal="center"/>
    </xf>
    <xf numFmtId="49" fontId="0" fillId="0" borderId="0" xfId="0" applyNumberFormat="1"/>
    <xf numFmtId="167" fontId="0" fillId="0" borderId="0" xfId="0" applyNumberFormat="1"/>
    <xf numFmtId="0" fontId="45" fillId="6" borderId="0" xfId="0" applyFont="1" applyFill="1" applyAlignment="1">
      <alignment horizontal="center"/>
    </xf>
    <xf numFmtId="0" fontId="0" fillId="10" borderId="0" xfId="0" applyFill="1" applyAlignment="1">
      <alignment horizontal="center"/>
    </xf>
    <xf numFmtId="0" fontId="0" fillId="11" borderId="0" xfId="0" applyFill="1" applyAlignment="1">
      <alignment horizontal="center"/>
    </xf>
    <xf numFmtId="0" fontId="0" fillId="12" borderId="0" xfId="0" applyFill="1" applyAlignment="1">
      <alignment horizontal="center"/>
    </xf>
    <xf numFmtId="0" fontId="29" fillId="4" borderId="0" xfId="0" applyFont="1" applyFill="1" applyAlignment="1">
      <alignment horizontal="center" vertical="center" wrapText="1"/>
    </xf>
    <xf numFmtId="49" fontId="29" fillId="4" borderId="0" xfId="0" applyNumberFormat="1" applyFont="1" applyFill="1" applyAlignment="1">
      <alignment horizontal="center" vertical="center" wrapText="1"/>
    </xf>
    <xf numFmtId="0" fontId="6" fillId="4" borderId="0" xfId="0" applyFont="1" applyFill="1" applyAlignment="1">
      <alignment horizontal="center" vertical="center" wrapText="1"/>
    </xf>
    <xf numFmtId="4" fontId="32" fillId="6" borderId="0" xfId="2" applyNumberFormat="1" applyFont="1" applyFill="1" applyAlignment="1">
      <alignment horizontal="center" vertical="center" wrapText="1"/>
    </xf>
    <xf numFmtId="49" fontId="32" fillId="6" borderId="0" xfId="2" applyNumberFormat="1" applyFont="1" applyFill="1" applyAlignment="1">
      <alignment horizontal="center" vertical="center" wrapText="1"/>
    </xf>
    <xf numFmtId="2" fontId="32" fillId="6" borderId="0" xfId="2" applyNumberFormat="1" applyFont="1" applyFill="1" applyAlignment="1">
      <alignment horizontal="center" vertical="center" wrapText="1"/>
    </xf>
    <xf numFmtId="0" fontId="33" fillId="6" borderId="0" xfId="0" applyFont="1" applyFill="1" applyAlignment="1">
      <alignment horizontal="center" vertical="center" wrapText="1"/>
    </xf>
    <xf numFmtId="0" fontId="33" fillId="5" borderId="0" xfId="0" applyFont="1" applyFill="1" applyAlignment="1">
      <alignment horizontal="center" vertical="center" wrapText="1"/>
    </xf>
    <xf numFmtId="164" fontId="29" fillId="4" borderId="0" xfId="4" applyNumberFormat="1" applyFont="1" applyFill="1" applyBorder="1" applyAlignment="1">
      <alignment horizontal="center" vertical="center" wrapText="1"/>
    </xf>
    <xf numFmtId="167" fontId="33" fillId="5" borderId="0" xfId="4" applyNumberFormat="1" applyFont="1" applyFill="1" applyBorder="1" applyAlignment="1">
      <alignment horizontal="center" vertical="center" wrapText="1"/>
    </xf>
    <xf numFmtId="164" fontId="33" fillId="5" borderId="0" xfId="4" applyNumberFormat="1" applyFont="1" applyFill="1" applyBorder="1" applyAlignment="1">
      <alignment horizontal="center" vertical="center" wrapText="1"/>
    </xf>
    <xf numFmtId="10" fontId="29" fillId="4" borderId="0" xfId="13" applyNumberFormat="1" applyFont="1" applyFill="1" applyBorder="1" applyAlignment="1">
      <alignment horizontal="center" vertical="center" wrapText="1"/>
    </xf>
    <xf numFmtId="14" fontId="33" fillId="5" borderId="0" xfId="0" applyNumberFormat="1" applyFont="1" applyFill="1" applyAlignment="1">
      <alignment horizontal="center" vertical="center" wrapText="1"/>
    </xf>
    <xf numFmtId="14" fontId="29" fillId="4" borderId="0" xfId="0" applyNumberFormat="1" applyFont="1" applyFill="1" applyAlignment="1">
      <alignment horizontal="center" vertical="center" wrapText="1"/>
    </xf>
    <xf numFmtId="172" fontId="29" fillId="4" borderId="0" xfId="0" applyNumberFormat="1" applyFont="1" applyFill="1" applyAlignment="1">
      <alignment horizontal="center" vertical="center" wrapText="1"/>
    </xf>
    <xf numFmtId="0" fontId="28" fillId="3" borderId="0" xfId="0" applyFont="1" applyFill="1" applyAlignment="1">
      <alignment horizontal="center" vertical="center"/>
    </xf>
    <xf numFmtId="165" fontId="28" fillId="3" borderId="0" xfId="0" applyNumberFormat="1" applyFont="1" applyFill="1" applyAlignment="1">
      <alignment horizontal="center" vertical="center"/>
    </xf>
    <xf numFmtId="0" fontId="3" fillId="0" borderId="0" xfId="0" applyFont="1"/>
    <xf numFmtId="4" fontId="3" fillId="0" borderId="0" xfId="0" applyNumberFormat="1" applyFont="1" applyAlignment="1">
      <alignment horizontal="center" vertical="center" wrapText="1"/>
    </xf>
    <xf numFmtId="0" fontId="33" fillId="0" borderId="0" xfId="0" applyFont="1" applyAlignment="1">
      <alignment horizontal="center" vertical="center"/>
    </xf>
    <xf numFmtId="0" fontId="10" fillId="4" borderId="3" xfId="0" applyFont="1" applyFill="1" applyBorder="1" applyAlignment="1">
      <alignment horizontal="center" vertical="center" wrapText="1"/>
    </xf>
    <xf numFmtId="0" fontId="10" fillId="4" borderId="13" xfId="0" applyFont="1" applyFill="1" applyBorder="1" applyAlignment="1">
      <alignment horizontal="center" vertical="center" wrapText="1"/>
    </xf>
    <xf numFmtId="49" fontId="30" fillId="0" borderId="0" xfId="0" applyNumberFormat="1" applyFont="1" applyAlignment="1">
      <alignment horizontal="center"/>
    </xf>
    <xf numFmtId="2" fontId="30" fillId="0" borderId="0" xfId="0" applyNumberFormat="1" applyFont="1" applyAlignment="1">
      <alignment horizontal="center"/>
    </xf>
    <xf numFmtId="167" fontId="30" fillId="0" borderId="0" xfId="0" applyNumberFormat="1" applyFont="1" applyAlignment="1">
      <alignment horizontal="center"/>
    </xf>
    <xf numFmtId="167" fontId="30" fillId="0" borderId="0" xfId="4" applyNumberFormat="1" applyFont="1" applyFill="1" applyBorder="1" applyAlignment="1">
      <alignment horizontal="center"/>
    </xf>
    <xf numFmtId="171" fontId="0" fillId="0" borderId="0" xfId="0" applyNumberFormat="1" applyAlignment="1">
      <alignment horizontal="center"/>
    </xf>
    <xf numFmtId="0" fontId="30" fillId="0" borderId="0" xfId="0" applyFont="1" applyAlignment="1">
      <alignment horizontal="center" wrapText="1"/>
    </xf>
    <xf numFmtId="171" fontId="30" fillId="0" borderId="0" xfId="0" applyNumberFormat="1" applyFont="1" applyAlignment="1">
      <alignment horizontal="center"/>
    </xf>
    <xf numFmtId="164" fontId="30" fillId="0" borderId="0" xfId="4" applyNumberFormat="1" applyFont="1" applyBorder="1" applyAlignment="1">
      <alignment horizontal="center"/>
    </xf>
    <xf numFmtId="167" fontId="30" fillId="0" borderId="0" xfId="4" applyNumberFormat="1" applyFont="1" applyBorder="1" applyAlignment="1">
      <alignment horizontal="center"/>
    </xf>
    <xf numFmtId="10" fontId="30" fillId="0" borderId="0" xfId="13" applyNumberFormat="1" applyFont="1" applyBorder="1" applyAlignment="1">
      <alignment horizontal="center"/>
    </xf>
    <xf numFmtId="171" fontId="39" fillId="0" borderId="0" xfId="0" applyNumberFormat="1" applyFont="1" applyAlignment="1">
      <alignment horizontal="center"/>
    </xf>
    <xf numFmtId="0" fontId="31" fillId="0" borderId="0" xfId="0" applyFont="1" applyAlignment="1">
      <alignment horizontal="center"/>
    </xf>
    <xf numFmtId="0" fontId="28" fillId="3" borderId="0" xfId="0" applyFont="1" applyFill="1" applyAlignment="1">
      <alignment horizontal="center" vertical="center" wrapText="1"/>
    </xf>
    <xf numFmtId="0" fontId="46" fillId="0" borderId="0" xfId="0" applyFont="1"/>
    <xf numFmtId="0" fontId="46" fillId="3" borderId="0" xfId="0" applyFont="1" applyFill="1"/>
    <xf numFmtId="0" fontId="0" fillId="14" borderId="0" xfId="0" applyFill="1"/>
    <xf numFmtId="0" fontId="0" fillId="13" borderId="0" xfId="0" applyFill="1"/>
    <xf numFmtId="0" fontId="0" fillId="4" borderId="0" xfId="0" applyFill="1"/>
    <xf numFmtId="0" fontId="42" fillId="9" borderId="0" xfId="0" applyFont="1" applyFill="1"/>
    <xf numFmtId="0" fontId="46" fillId="3" borderId="0" xfId="1" applyFont="1" applyFill="1" applyAlignment="1">
      <alignment vertical="center"/>
    </xf>
    <xf numFmtId="0" fontId="46" fillId="3" borderId="0" xfId="1" applyFont="1" applyFill="1" applyAlignment="1"/>
    <xf numFmtId="0" fontId="14" fillId="3" borderId="0" xfId="0" applyFont="1" applyFill="1"/>
    <xf numFmtId="0" fontId="13" fillId="3" borderId="0" xfId="0" applyFont="1" applyFill="1"/>
    <xf numFmtId="0" fontId="8" fillId="4" borderId="0" xfId="0" applyFont="1" applyFill="1" applyAlignment="1">
      <alignment vertical="center" indent="1"/>
    </xf>
    <xf numFmtId="0" fontId="13" fillId="4" borderId="0" xfId="0" applyFont="1" applyFill="1"/>
    <xf numFmtId="0" fontId="7" fillId="2" borderId="0" xfId="0" applyFont="1" applyFill="1" applyAlignment="1">
      <alignment horizontal="center" vertical="center" wrapText="1" indent="1"/>
    </xf>
    <xf numFmtId="0" fontId="5" fillId="2" borderId="0" xfId="0" applyFont="1" applyFill="1" applyAlignment="1">
      <alignment horizontal="center" vertical="center" wrapText="1"/>
    </xf>
    <xf numFmtId="0" fontId="9" fillId="2" borderId="0" xfId="0" applyFont="1" applyFill="1" applyAlignment="1">
      <alignment horizontal="center" vertical="center" wrapText="1" indent="1"/>
    </xf>
    <xf numFmtId="0" fontId="8" fillId="14" borderId="0" xfId="0" applyFont="1" applyFill="1" applyAlignment="1">
      <alignment vertical="center" indent="1"/>
    </xf>
    <xf numFmtId="0" fontId="13" fillId="14" borderId="0" xfId="0" applyFont="1" applyFill="1"/>
    <xf numFmtId="0" fontId="8" fillId="13" borderId="0" xfId="0" applyFont="1" applyFill="1" applyAlignment="1">
      <alignment vertical="center" indent="1"/>
    </xf>
    <xf numFmtId="0" fontId="13" fillId="13" borderId="0" xfId="0" applyFont="1" applyFill="1"/>
    <xf numFmtId="0" fontId="17" fillId="3" borderId="10" xfId="0" applyFont="1" applyFill="1" applyBorder="1" applyAlignment="1">
      <alignment horizontal="center" vertical="center"/>
    </xf>
    <xf numFmtId="0" fontId="17" fillId="3" borderId="11" xfId="0" applyFont="1" applyFill="1" applyBorder="1" applyAlignment="1">
      <alignment horizontal="center" vertical="center"/>
    </xf>
    <xf numFmtId="0" fontId="18" fillId="3" borderId="0" xfId="0" applyFont="1" applyFill="1" applyAlignment="1">
      <alignment horizontal="right"/>
    </xf>
    <xf numFmtId="0" fontId="20" fillId="3" borderId="0" xfId="0" applyFont="1" applyFill="1" applyAlignment="1">
      <alignment horizontal="right" vertical="top"/>
    </xf>
    <xf numFmtId="0" fontId="12" fillId="4" borderId="0" xfId="0" applyFont="1" applyFill="1" applyAlignment="1">
      <alignment horizontal="center" vertical="center"/>
    </xf>
    <xf numFmtId="169" fontId="24" fillId="3" borderId="5" xfId="0" applyNumberFormat="1" applyFont="1" applyFill="1" applyBorder="1" applyAlignment="1">
      <alignment horizontal="center" vertical="center"/>
    </xf>
    <xf numFmtId="168" fontId="24" fillId="3" borderId="5" xfId="0" applyNumberFormat="1" applyFont="1" applyFill="1" applyBorder="1" applyAlignment="1">
      <alignment horizontal="center" vertical="center"/>
    </xf>
    <xf numFmtId="3" fontId="24" fillId="3" borderId="5" xfId="0" applyNumberFormat="1" applyFont="1" applyFill="1" applyBorder="1" applyAlignment="1">
      <alignment horizontal="center" vertical="center"/>
    </xf>
    <xf numFmtId="0" fontId="12" fillId="2" borderId="0" xfId="0" applyFont="1" applyFill="1" applyAlignment="1">
      <alignment horizontal="center" vertical="center"/>
    </xf>
    <xf numFmtId="0" fontId="25" fillId="3" borderId="0" xfId="0" applyFont="1" applyFill="1" applyAlignment="1">
      <alignment horizontal="right" vertical="center"/>
    </xf>
    <xf numFmtId="0" fontId="25" fillId="3" borderId="7" xfId="0" applyFont="1" applyFill="1" applyBorder="1" applyAlignment="1">
      <alignment horizontal="right" vertical="center"/>
    </xf>
    <xf numFmtId="0" fontId="26" fillId="3" borderId="6" xfId="0" applyFont="1" applyFill="1" applyBorder="1" applyAlignment="1">
      <alignment horizontal="center" vertical="center"/>
    </xf>
    <xf numFmtId="0" fontId="26" fillId="3" borderId="8" xfId="0" applyFont="1" applyFill="1" applyBorder="1" applyAlignment="1">
      <alignment horizontal="center" vertical="center"/>
    </xf>
    <xf numFmtId="0" fontId="44" fillId="9" borderId="0" xfId="0" applyFont="1" applyFill="1"/>
    <xf numFmtId="0" fontId="0" fillId="9" borderId="0" xfId="0" applyFill="1"/>
    <xf numFmtId="0" fontId="0" fillId="0" borderId="0" xfId="0" applyAlignment="1">
      <alignment wrapText="1"/>
    </xf>
    <xf numFmtId="0" fontId="0" fillId="0" borderId="0" xfId="0"/>
    <xf numFmtId="0" fontId="40" fillId="4" borderId="0" xfId="0" applyFont="1" applyFill="1"/>
    <xf numFmtId="0" fontId="42" fillId="4" borderId="0" xfId="0" applyFont="1" applyFill="1"/>
  </cellXfs>
  <cellStyles count="14">
    <cellStyle name="Comma 2" xfId="8" xr:uid="{AFF71E0E-78D6-47F9-AB0A-42E2E4ACFD74}"/>
    <cellStyle name="Comma 3" xfId="6" xr:uid="{FFCD25E5-757B-491D-8281-23416996C8F0}"/>
    <cellStyle name="Currency" xfId="4" builtinId="4"/>
    <cellStyle name="Currency 3" xfId="3" xr:uid="{5625EFAA-43AA-4466-889A-675453D8E89D}"/>
    <cellStyle name="Currency 3 2" xfId="7" xr:uid="{A7B7AC84-48FB-43D0-B52C-2B61DAAAFD87}"/>
    <cellStyle name="Hyperlink" xfId="1" builtinId="8"/>
    <cellStyle name="Moeda 2" xfId="11" xr:uid="{1AAA8DBC-6D07-4210-8400-4612A0B6D705}"/>
    <cellStyle name="Moeda 3" xfId="10" xr:uid="{76EDF97A-29FE-4D14-8198-CADBC41B8F02}"/>
    <cellStyle name="Normal" xfId="0" builtinId="0"/>
    <cellStyle name="Normal 14" xfId="2" xr:uid="{91D2DFCF-72FC-4CCA-B1B8-9E5C227D8F27}"/>
    <cellStyle name="Percent" xfId="13" builtinId="5"/>
    <cellStyle name="Percent 4" xfId="5" xr:uid="{6E230C16-A762-40C3-8B74-F0EE5E80B25C}"/>
    <cellStyle name="Vírgula 2" xfId="12" xr:uid="{1C1FCAC9-8F6E-4537-9A4E-2ED5969A2F00}"/>
    <cellStyle name="Vírgula 3" xfId="9" xr:uid="{F134333A-EE03-466F-8855-23F7BF1983C3}"/>
  </cellStyles>
  <dxfs count="208">
    <dxf>
      <fill>
        <patternFill patternType="solid">
          <fgColor rgb="FFECE9E4"/>
          <bgColor rgb="FFF9EBCB"/>
        </patternFill>
      </fill>
    </dxf>
    <dxf>
      <fill>
        <patternFill>
          <bgColor rgb="FFFEFAF0"/>
        </patternFill>
      </fill>
    </dxf>
    <dxf>
      <font>
        <b/>
        <i val="0"/>
        <color rgb="FFCABCA2"/>
      </font>
    </dxf>
    <dxf>
      <font>
        <b/>
        <i/>
        <color rgb="FF81AD83"/>
      </font>
    </dxf>
    <dxf>
      <font>
        <b/>
        <i val="0"/>
        <color rgb="FF91AEBD"/>
      </font>
    </dxf>
    <dxf>
      <font>
        <b/>
        <i val="0"/>
        <color rgb="FF91AEBD"/>
      </font>
    </dxf>
    <dxf>
      <fill>
        <patternFill patternType="solid">
          <fgColor rgb="FFECE9E4"/>
          <bgColor rgb="FFF9EBCB"/>
        </patternFill>
      </fill>
    </dxf>
    <dxf>
      <fill>
        <patternFill>
          <bgColor rgb="FFFEFAF0"/>
        </patternFill>
      </fill>
    </dxf>
    <dxf>
      <font>
        <b/>
        <i val="0"/>
        <color rgb="FFCABCA2"/>
      </font>
    </dxf>
    <dxf>
      <font>
        <b/>
        <i/>
        <color rgb="FF81AD83"/>
      </font>
    </dxf>
    <dxf>
      <font>
        <b/>
        <i val="0"/>
        <color rgb="FF91AEBD"/>
      </font>
    </dxf>
    <dxf>
      <font>
        <b/>
        <i val="0"/>
        <color rgb="FF91AEBD"/>
      </font>
    </dxf>
    <dxf>
      <fill>
        <patternFill patternType="solid">
          <fgColor rgb="FFECE9E4"/>
          <bgColor rgb="FFF9EBCB"/>
        </patternFill>
      </fill>
    </dxf>
    <dxf>
      <fill>
        <patternFill>
          <bgColor rgb="FFFEFAF0"/>
        </patternFill>
      </fill>
    </dxf>
    <dxf>
      <font>
        <b/>
        <i val="0"/>
        <color rgb="FFCABCA2"/>
      </font>
    </dxf>
    <dxf>
      <font>
        <b/>
        <i/>
        <color rgb="FF81AD83"/>
      </font>
    </dxf>
    <dxf>
      <font>
        <b/>
        <i val="0"/>
        <color rgb="FF91AEBD"/>
      </font>
    </dxf>
    <dxf>
      <font>
        <b/>
        <i val="0"/>
        <color rgb="FF91AEBD"/>
      </font>
    </dxf>
    <dxf>
      <fill>
        <patternFill patternType="solid">
          <fgColor rgb="FFECE9E4"/>
          <bgColor rgb="FFF9EBCB"/>
        </patternFill>
      </fill>
    </dxf>
    <dxf>
      <fill>
        <patternFill>
          <bgColor rgb="FFFEFAF0"/>
        </patternFill>
      </fill>
    </dxf>
    <dxf>
      <font>
        <b/>
        <i val="0"/>
        <color rgb="FFCABCA2"/>
      </font>
    </dxf>
    <dxf>
      <font>
        <b/>
        <i/>
        <color rgb="FF81AD83"/>
      </font>
    </dxf>
    <dxf>
      <font>
        <b/>
        <i val="0"/>
        <color rgb="FF91AEBD"/>
      </font>
    </dxf>
    <dxf>
      <font>
        <b/>
        <i val="0"/>
        <color rgb="FF91AEBD"/>
      </font>
    </dxf>
    <dxf>
      <fill>
        <patternFill patternType="solid">
          <fgColor rgb="FFECE9E4"/>
          <bgColor rgb="FFF9EBCB"/>
        </patternFill>
      </fill>
    </dxf>
    <dxf>
      <fill>
        <patternFill>
          <bgColor rgb="FFFEFAF0"/>
        </patternFill>
      </fill>
    </dxf>
    <dxf>
      <font>
        <b/>
        <i val="0"/>
        <color rgb="FFCABCA2"/>
      </font>
    </dxf>
    <dxf>
      <font>
        <b/>
        <i/>
        <color rgb="FF81AD83"/>
      </font>
    </dxf>
    <dxf>
      <font>
        <b/>
        <i val="0"/>
        <color rgb="FF91AEBD"/>
      </font>
    </dxf>
    <dxf>
      <font>
        <b/>
        <i val="0"/>
        <color rgb="FF91AEBD"/>
      </font>
    </dxf>
    <dxf>
      <fill>
        <patternFill patternType="solid">
          <fgColor rgb="FFECE9E4"/>
          <bgColor rgb="FFF9EBCB"/>
        </patternFill>
      </fill>
    </dxf>
    <dxf>
      <fill>
        <patternFill>
          <bgColor rgb="FFFEFAF0"/>
        </patternFill>
      </fill>
    </dxf>
    <dxf>
      <font>
        <b/>
        <i val="0"/>
        <color rgb="FFCABCA2"/>
      </font>
    </dxf>
    <dxf>
      <font>
        <b/>
        <i/>
        <color rgb="FF81AD83"/>
      </font>
    </dxf>
    <dxf>
      <font>
        <b/>
        <i val="0"/>
        <color rgb="FF91AEBD"/>
      </font>
    </dxf>
    <dxf>
      <font>
        <b/>
        <i val="0"/>
        <color rgb="FF91AEBD"/>
      </font>
    </dxf>
    <dxf>
      <fill>
        <patternFill patternType="solid">
          <fgColor rgb="FFECE9E4"/>
          <bgColor rgb="FFF9EBCB"/>
        </patternFill>
      </fill>
    </dxf>
    <dxf>
      <fill>
        <patternFill>
          <bgColor rgb="FFFEFAF0"/>
        </patternFill>
      </fill>
    </dxf>
    <dxf>
      <font>
        <b/>
        <i val="0"/>
        <color rgb="FFCABCA2"/>
      </font>
    </dxf>
    <dxf>
      <font>
        <b/>
        <i/>
        <color rgb="FF81AD83"/>
      </font>
    </dxf>
    <dxf>
      <font>
        <b/>
        <i val="0"/>
        <color rgb="FF91AEBD"/>
      </font>
    </dxf>
    <dxf>
      <font>
        <b/>
        <i val="0"/>
        <color rgb="FF91AEBD"/>
      </font>
    </dxf>
    <dxf>
      <fill>
        <patternFill patternType="solid">
          <fgColor rgb="FFECE9E4"/>
          <bgColor rgb="FFF9EBCB"/>
        </patternFill>
      </fill>
    </dxf>
    <dxf>
      <fill>
        <patternFill>
          <bgColor rgb="FFFEFAF0"/>
        </patternFill>
      </fill>
    </dxf>
    <dxf>
      <font>
        <b/>
        <i val="0"/>
        <color rgb="FFCABCA2"/>
      </font>
    </dxf>
    <dxf>
      <font>
        <b/>
        <i/>
        <color rgb="FF81AD83"/>
      </font>
    </dxf>
    <dxf>
      <font>
        <b/>
        <i val="0"/>
        <color rgb="FF91AEBD"/>
      </font>
    </dxf>
    <dxf>
      <font>
        <b/>
        <i val="0"/>
        <color rgb="FF91AEBD"/>
      </font>
    </dxf>
    <dxf>
      <fill>
        <patternFill patternType="solid">
          <fgColor rgb="FFECE9E4"/>
          <bgColor rgb="FFF9EBCB"/>
        </patternFill>
      </fill>
    </dxf>
    <dxf>
      <fill>
        <patternFill>
          <bgColor rgb="FFFEFAF0"/>
        </patternFill>
      </fill>
    </dxf>
    <dxf>
      <font>
        <b/>
        <i val="0"/>
        <color rgb="FFCABCA2"/>
      </font>
    </dxf>
    <dxf>
      <font>
        <b/>
        <i/>
        <color rgb="FF81AD83"/>
      </font>
    </dxf>
    <dxf>
      <font>
        <b/>
        <i val="0"/>
        <color rgb="FF91AEBD"/>
      </font>
    </dxf>
    <dxf>
      <font>
        <b/>
        <i val="0"/>
        <color rgb="FF91AEBD"/>
      </font>
    </dxf>
    <dxf>
      <fill>
        <patternFill patternType="solid">
          <fgColor rgb="FFECE9E4"/>
          <bgColor rgb="FFF9EBCB"/>
        </patternFill>
      </fill>
    </dxf>
    <dxf>
      <fill>
        <patternFill>
          <bgColor rgb="FFFEFAF0"/>
        </patternFill>
      </fill>
    </dxf>
    <dxf>
      <font>
        <b/>
        <i val="0"/>
        <color rgb="FFCABCA2"/>
      </font>
    </dxf>
    <dxf>
      <font>
        <b/>
        <i/>
        <color rgb="FF81AD83"/>
      </font>
    </dxf>
    <dxf>
      <font>
        <b/>
        <i val="0"/>
        <color rgb="FF91AEBD"/>
      </font>
    </dxf>
    <dxf>
      <font>
        <b/>
        <i val="0"/>
        <color rgb="FF91AEBD"/>
      </font>
    </dxf>
    <dxf>
      <fill>
        <patternFill patternType="solid">
          <fgColor rgb="FFECE9E4"/>
          <bgColor rgb="FFF9EBCB"/>
        </patternFill>
      </fill>
    </dxf>
    <dxf>
      <fill>
        <patternFill>
          <bgColor rgb="FFFEFAF0"/>
        </patternFill>
      </fill>
    </dxf>
    <dxf>
      <font>
        <b/>
        <i val="0"/>
        <color rgb="FFCABCA2"/>
      </font>
    </dxf>
    <dxf>
      <font>
        <b/>
        <i/>
        <color rgb="FF81AD83"/>
      </font>
    </dxf>
    <dxf>
      <font>
        <b/>
        <i val="0"/>
        <color rgb="FF91AEBD"/>
      </font>
    </dxf>
    <dxf>
      <font>
        <b/>
        <i val="0"/>
        <color rgb="FF91AEBD"/>
      </font>
    </dxf>
    <dxf>
      <fill>
        <patternFill patternType="solid">
          <fgColor rgb="FFECE9E4"/>
          <bgColor rgb="FFF9EBCB"/>
        </patternFill>
      </fill>
    </dxf>
    <dxf>
      <fill>
        <patternFill>
          <bgColor rgb="FFFEFAF0"/>
        </patternFill>
      </fill>
    </dxf>
    <dxf>
      <font>
        <b/>
        <i val="0"/>
        <color rgb="FFCABCA2"/>
      </font>
    </dxf>
    <dxf>
      <font>
        <b/>
        <i/>
        <color rgb="FF81AD83"/>
      </font>
    </dxf>
    <dxf>
      <font>
        <b/>
        <i val="0"/>
        <color rgb="FF91AEBD"/>
      </font>
    </dxf>
    <dxf>
      <font>
        <b/>
        <i val="0"/>
        <color rgb="FF91AEBD"/>
      </font>
    </dxf>
    <dxf>
      <fill>
        <patternFill patternType="solid">
          <fgColor rgb="FFECE9E4"/>
          <bgColor rgb="FFF9EBCB"/>
        </patternFill>
      </fill>
    </dxf>
    <dxf>
      <fill>
        <patternFill>
          <bgColor rgb="FFFEFAF0"/>
        </patternFill>
      </fill>
    </dxf>
    <dxf>
      <font>
        <b/>
        <i val="0"/>
        <color rgb="FFCABCA2"/>
      </font>
    </dxf>
    <dxf>
      <font>
        <b/>
        <i/>
        <color rgb="FF81AD83"/>
      </font>
    </dxf>
    <dxf>
      <font>
        <b/>
        <i val="0"/>
        <color rgb="FF91AEBD"/>
      </font>
    </dxf>
    <dxf>
      <font>
        <b/>
        <i val="0"/>
        <color rgb="FF91AEBD"/>
      </font>
    </dxf>
    <dxf>
      <fill>
        <patternFill patternType="solid">
          <fgColor rgb="FFECE9E4"/>
          <bgColor rgb="FFF9EBCB"/>
        </patternFill>
      </fill>
    </dxf>
    <dxf>
      <fill>
        <patternFill>
          <bgColor rgb="FFFEFAF0"/>
        </patternFill>
      </fill>
    </dxf>
    <dxf>
      <font>
        <b/>
        <i val="0"/>
        <color rgb="FFCABCA2"/>
      </font>
    </dxf>
    <dxf>
      <font>
        <b/>
        <i/>
        <color rgb="FF81AD83"/>
      </font>
    </dxf>
    <dxf>
      <font>
        <b/>
        <i val="0"/>
        <color rgb="FF91AEBD"/>
      </font>
    </dxf>
    <dxf>
      <font>
        <b/>
        <i val="0"/>
        <color rgb="FF91AEBD"/>
      </font>
    </dxf>
    <dxf>
      <fill>
        <patternFill patternType="solid">
          <fgColor rgb="FFECE9E4"/>
          <bgColor rgb="FFF9EBCB"/>
        </patternFill>
      </fill>
    </dxf>
    <dxf>
      <fill>
        <patternFill>
          <bgColor rgb="FFFEFAF0"/>
        </patternFill>
      </fill>
    </dxf>
    <dxf>
      <font>
        <b/>
        <i val="0"/>
        <color rgb="FFCABCA2"/>
      </font>
    </dxf>
    <dxf>
      <font>
        <b/>
        <i/>
        <color rgb="FF81AD83"/>
      </font>
    </dxf>
    <dxf>
      <font>
        <b/>
        <i val="0"/>
        <color rgb="FF91AEBD"/>
      </font>
    </dxf>
    <dxf>
      <font>
        <b/>
        <i val="0"/>
        <color rgb="FF91AEBD"/>
      </font>
    </dxf>
    <dxf>
      <fill>
        <patternFill patternType="solid">
          <fgColor rgb="FFECE9E4"/>
          <bgColor rgb="FFF9EBCB"/>
        </patternFill>
      </fill>
    </dxf>
    <dxf>
      <fill>
        <patternFill>
          <bgColor rgb="FFFEFAF0"/>
        </patternFill>
      </fill>
    </dxf>
    <dxf>
      <font>
        <b/>
        <i val="0"/>
        <color rgb="FFCABCA2"/>
      </font>
    </dxf>
    <dxf>
      <font>
        <b/>
        <i/>
        <color rgb="FF81AD83"/>
      </font>
    </dxf>
    <dxf>
      <font>
        <b/>
        <i val="0"/>
        <color rgb="FF91AEBD"/>
      </font>
    </dxf>
    <dxf>
      <font>
        <b/>
        <i val="0"/>
        <color rgb="FF91AEBD"/>
      </font>
    </dxf>
    <dxf>
      <fill>
        <patternFill patternType="solid">
          <fgColor rgb="FFECE9E4"/>
          <bgColor rgb="FFF9EBCB"/>
        </patternFill>
      </fill>
    </dxf>
    <dxf>
      <fill>
        <patternFill>
          <bgColor rgb="FFFEFAF0"/>
        </patternFill>
      </fill>
    </dxf>
    <dxf>
      <font>
        <b/>
        <i val="0"/>
        <color rgb="FFCABCA2"/>
      </font>
    </dxf>
    <dxf>
      <font>
        <b/>
        <i/>
        <color rgb="FF81AD83"/>
      </font>
    </dxf>
    <dxf>
      <font>
        <b/>
        <i val="0"/>
        <color rgb="FF91AEBD"/>
      </font>
    </dxf>
    <dxf>
      <font>
        <b/>
        <i val="0"/>
        <color rgb="FF91AEBD"/>
      </font>
    </dxf>
    <dxf>
      <fill>
        <patternFill patternType="solid">
          <fgColor rgb="FFECE9E4"/>
          <bgColor rgb="FFF9EBCB"/>
        </patternFill>
      </fill>
    </dxf>
    <dxf>
      <fill>
        <patternFill>
          <bgColor rgb="FFFEFAF0"/>
        </patternFill>
      </fill>
    </dxf>
    <dxf>
      <font>
        <b/>
        <i val="0"/>
        <color rgb="FFCABCA2"/>
      </font>
    </dxf>
    <dxf>
      <font>
        <b/>
        <i/>
        <color rgb="FF81AD83"/>
      </font>
    </dxf>
    <dxf>
      <font>
        <b/>
        <i val="0"/>
        <color rgb="FF91AEBD"/>
      </font>
    </dxf>
    <dxf>
      <font>
        <b/>
        <i val="0"/>
        <color rgb="FF91AEBD"/>
      </font>
    </dxf>
    <dxf>
      <font>
        <color rgb="FFBAB8AD"/>
      </font>
      <fill>
        <patternFill patternType="solid">
          <fgColor indexed="64"/>
          <bgColor rgb="FFEFEEE9"/>
        </patternFill>
      </fill>
    </dxf>
    <dxf>
      <fill>
        <patternFill patternType="solid">
          <fgColor indexed="64"/>
          <bgColor rgb="FFFAF9F6"/>
        </patternFill>
      </fill>
    </dxf>
    <dxf>
      <font>
        <b val="0"/>
        <i val="0"/>
        <strike val="0"/>
        <condense val="0"/>
        <extend val="0"/>
        <outline val="0"/>
        <shadow val="0"/>
        <u val="none"/>
        <vertAlign val="baseline"/>
        <sz val="11"/>
        <color theme="1"/>
        <name val="Aptos Narrow"/>
        <scheme val="minor"/>
      </font>
      <alignment horizontal="general" vertical="bottom" textRotation="0" wrapText="1" indent="0" justifyLastLine="0" shrinkToFit="0" readingOrder="0"/>
      <border diagonalUp="0" diagonalDown="0">
        <left/>
        <right/>
        <top style="thin">
          <color rgb="FFE8E8E8"/>
        </top>
        <bottom/>
      </border>
    </dxf>
    <dxf>
      <font>
        <name val="Aptos Narrow"/>
      </font>
      <numFmt numFmtId="0" formatCode="General"/>
      <alignment horizontal="center" textRotation="0" wrapText="1" indent="0" justifyLastLine="0" shrinkToFit="0" readingOrder="0"/>
    </dxf>
    <dxf>
      <font>
        <b val="0"/>
        <i val="0"/>
        <strike val="0"/>
        <condense val="0"/>
        <extend val="0"/>
        <outline val="0"/>
        <shadow val="0"/>
        <u val="none"/>
        <vertAlign val="baseline"/>
        <sz val="11"/>
        <color theme="1"/>
        <name val="Aptos Narrow"/>
        <scheme val="minor"/>
      </font>
      <border diagonalUp="0" diagonalDown="0" outline="0">
        <left/>
        <right/>
        <top style="thin">
          <color rgb="FFE8E8E8"/>
        </top>
        <bottom/>
      </border>
    </dxf>
    <dxf>
      <font>
        <name val="Aptos Narrow"/>
      </font>
      <alignment horizontal="center" textRotation="0" indent="0" justifyLastLine="0" shrinkToFit="0" readingOrder="0"/>
    </dxf>
    <dxf>
      <font>
        <b val="0"/>
        <i val="0"/>
        <strike val="0"/>
        <condense val="0"/>
        <extend val="0"/>
        <outline val="0"/>
        <shadow val="0"/>
        <u val="none"/>
        <vertAlign val="baseline"/>
        <sz val="11"/>
        <color theme="1"/>
        <name val="Aptos Narrow"/>
        <scheme val="minor"/>
      </font>
      <alignment horizontal="general" vertical="bottom" textRotation="0" wrapText="1" indent="0" justifyLastLine="0" shrinkToFit="0" readingOrder="0"/>
      <border diagonalUp="0" diagonalDown="0" outline="0">
        <left/>
        <right/>
        <top style="thin">
          <color rgb="FFE8E8E8"/>
        </top>
        <bottom/>
      </border>
    </dxf>
    <dxf>
      <font>
        <name val="Aptos Narrow"/>
      </font>
      <alignment horizontal="center" textRotation="0" wrapText="1" indent="0" justifyLastLine="0" shrinkToFit="0" readingOrder="0"/>
    </dxf>
    <dxf>
      <font>
        <b val="0"/>
        <i val="0"/>
        <strike val="0"/>
        <condense val="0"/>
        <extend val="0"/>
        <outline val="0"/>
        <shadow val="0"/>
        <u val="none"/>
        <vertAlign val="baseline"/>
        <sz val="11"/>
        <color theme="1"/>
        <name val="Aptos Narrow"/>
        <scheme val="minor"/>
      </font>
      <alignment horizontal="general" vertical="bottom" textRotation="0" wrapText="1" indent="0" justifyLastLine="0" shrinkToFit="0" readingOrder="0"/>
      <border diagonalUp="0" diagonalDown="0" outline="0">
        <left/>
        <right/>
        <top style="thin">
          <color rgb="FFE8E8E8"/>
        </top>
        <bottom/>
      </border>
    </dxf>
    <dxf>
      <font>
        <name val="Aptos Narrow"/>
      </font>
      <alignment horizontal="center" textRotation="0" wrapText="1" indent="0" justifyLastLine="0" shrinkToFit="0" readingOrder="0"/>
    </dxf>
    <dxf>
      <font>
        <b val="0"/>
        <i val="0"/>
        <strike val="0"/>
        <condense val="0"/>
        <extend val="0"/>
        <outline val="0"/>
        <shadow val="0"/>
        <u val="none"/>
        <vertAlign val="baseline"/>
        <sz val="11"/>
        <color theme="1"/>
        <name val="Aptos Narrow"/>
        <scheme val="minor"/>
      </font>
      <alignment horizontal="general" vertical="bottom" textRotation="0" wrapText="1" indent="0" justifyLastLine="0" shrinkToFit="0" readingOrder="0"/>
      <border diagonalUp="0" diagonalDown="0" outline="0">
        <left/>
        <right/>
        <top style="thin">
          <color rgb="FFE8E8E8"/>
        </top>
        <bottom/>
      </border>
    </dxf>
    <dxf>
      <font>
        <name val="Aptos Narrow"/>
      </font>
      <alignment horizontal="center" textRotation="0" wrapText="1" indent="0" justifyLastLine="0" shrinkToFit="0" readingOrder="0"/>
    </dxf>
    <dxf>
      <font>
        <b val="0"/>
        <i val="0"/>
        <strike val="0"/>
        <condense val="0"/>
        <extend val="0"/>
        <outline val="0"/>
        <shadow val="0"/>
        <u val="none"/>
        <vertAlign val="baseline"/>
        <sz val="11"/>
        <color theme="1"/>
        <name val="Aptos Narrow"/>
        <scheme val="minor"/>
      </font>
      <alignment horizontal="general" vertical="bottom" textRotation="0" wrapText="1" indent="0" justifyLastLine="0" shrinkToFit="0" readingOrder="0"/>
      <border diagonalUp="0" diagonalDown="0" outline="0">
        <left/>
        <right/>
        <top style="thin">
          <color rgb="FFE8E8E8"/>
        </top>
        <bottom/>
      </border>
    </dxf>
    <dxf>
      <font>
        <name val="Aptos Narrow"/>
      </font>
      <alignment horizontal="center" textRotation="0" wrapText="1" indent="0" justifyLastLine="0" shrinkToFit="0" readingOrder="0"/>
    </dxf>
    <dxf>
      <font>
        <b val="0"/>
        <i val="0"/>
        <strike val="0"/>
        <condense val="0"/>
        <extend val="0"/>
        <outline val="0"/>
        <shadow val="0"/>
        <u val="none"/>
        <vertAlign val="baseline"/>
        <sz val="11"/>
        <color theme="1"/>
        <name val="Aptos Narrow"/>
        <scheme val="minor"/>
      </font>
      <border diagonalUp="0" diagonalDown="0" outline="0">
        <left/>
        <right/>
        <top style="thin">
          <color rgb="FFE8E8E8"/>
        </top>
        <bottom/>
      </border>
    </dxf>
    <dxf>
      <font>
        <name val="Aptos Narrow"/>
      </font>
      <alignment horizontal="center" textRotation="0" indent="0" justifyLastLine="0" shrinkToFit="0" readingOrder="0"/>
    </dxf>
    <dxf>
      <font>
        <b val="0"/>
        <i val="0"/>
        <strike val="0"/>
        <condense val="0"/>
        <extend val="0"/>
        <outline val="0"/>
        <shadow val="0"/>
        <u val="none"/>
        <vertAlign val="baseline"/>
        <sz val="11"/>
        <color theme="1"/>
        <name val="Aptos Narrow"/>
        <scheme val="minor"/>
      </font>
      <border diagonalUp="0" diagonalDown="0" outline="0">
        <left/>
        <right/>
        <top style="thin">
          <color rgb="FFE8E8E8"/>
        </top>
        <bottom/>
      </border>
    </dxf>
    <dxf>
      <font>
        <name val="Aptos Narrow"/>
      </font>
      <alignment horizontal="center" textRotation="0" indent="0" justifyLastLine="0" shrinkToFit="0" readingOrder="0"/>
    </dxf>
    <dxf>
      <font>
        <b val="0"/>
        <i val="0"/>
        <strike val="0"/>
        <condense val="0"/>
        <extend val="0"/>
        <outline val="0"/>
        <shadow val="0"/>
        <u val="none"/>
        <vertAlign val="baseline"/>
        <sz val="11"/>
        <color theme="1"/>
        <name val="Aptos Narrow"/>
        <scheme val="minor"/>
      </font>
      <numFmt numFmtId="173" formatCode="m/d/yy"/>
      <border diagonalUp="0" diagonalDown="0">
        <left/>
        <right/>
        <top style="thin">
          <color rgb="FFE8E8E8"/>
        </top>
        <bottom/>
      </border>
    </dxf>
    <dxf>
      <font>
        <name val="Aptos Narrow"/>
      </font>
      <numFmt numFmtId="172" formatCode="[$-816]d\-mmm\-yyyy;@"/>
      <alignment horizontal="center" textRotation="0" indent="0" justifyLastLine="0" shrinkToFit="0" readingOrder="0"/>
    </dxf>
    <dxf>
      <font>
        <name val="Aptos Narrow"/>
      </font>
      <numFmt numFmtId="171" formatCode="[$-816]d\-mmm\-yy;@"/>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border diagonalUp="0" diagonalDown="0" outline="0">
        <left/>
        <right/>
        <top style="thin">
          <color rgb="FFE8E8E8"/>
        </top>
        <bottom/>
      </border>
    </dxf>
    <dxf>
      <font>
        <b val="0"/>
        <i val="0"/>
        <strike val="0"/>
        <condense val="0"/>
        <extend val="0"/>
        <outline val="0"/>
        <shadow val="0"/>
        <u val="none"/>
        <vertAlign val="baseline"/>
        <sz val="11"/>
        <color theme="1"/>
        <name val="Aptos Narrow"/>
        <family val="2"/>
        <scheme val="minor"/>
      </font>
      <numFmt numFmtId="19" formatCode="dd/mm/yyyy"/>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border diagonalUp="0" diagonalDown="0" outline="0">
        <left/>
        <right/>
        <top style="thin">
          <color rgb="FFE8E8E8"/>
        </top>
        <bottom/>
      </border>
    </dxf>
    <dxf>
      <font>
        <b val="0"/>
        <i val="0"/>
        <strike val="0"/>
        <condense val="0"/>
        <extend val="0"/>
        <outline val="0"/>
        <shadow val="0"/>
        <u val="none"/>
        <vertAlign val="baseline"/>
        <sz val="11"/>
        <color theme="1"/>
        <name val="Aptos Narrow"/>
        <family val="2"/>
        <scheme val="minor"/>
      </font>
      <numFmt numFmtId="19" formatCode="dd/mm/yyyy"/>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border diagonalUp="0" diagonalDown="0" outline="0">
        <left/>
        <right/>
        <top style="thin">
          <color rgb="FFE8E8E8"/>
        </top>
        <bottom/>
      </border>
    </dxf>
    <dxf>
      <font>
        <name val="Aptos Narrow"/>
      </font>
      <numFmt numFmtId="164" formatCode="_-* #,##0\ &quot;€&quot;_-;\-* #,##0\ &quot;€&quot;_-;_-* &quot;-&quot;??\ &quot;€&quot;_-;_-@_-"/>
      <alignment horizontal="center" textRotation="0" indent="0" justifyLastLine="0" shrinkToFit="0" readingOrder="0"/>
    </dxf>
    <dxf>
      <font>
        <b val="0"/>
        <i val="0"/>
        <strike val="0"/>
        <condense val="0"/>
        <extend val="0"/>
        <outline val="0"/>
        <shadow val="0"/>
        <u val="none"/>
        <vertAlign val="baseline"/>
        <sz val="11"/>
        <color theme="1"/>
        <name val="Aptos Narrow"/>
        <scheme val="minor"/>
      </font>
      <border diagonalUp="0" diagonalDown="0" outline="0">
        <left/>
        <right/>
        <top style="thin">
          <color rgb="FFE8E8E8"/>
        </top>
        <bottom/>
      </border>
    </dxf>
    <dxf>
      <font>
        <b val="0"/>
        <i val="0"/>
        <strike val="0"/>
        <condense val="0"/>
        <extend val="0"/>
        <outline val="0"/>
        <shadow val="0"/>
        <u val="none"/>
        <vertAlign val="baseline"/>
        <sz val="11"/>
        <color theme="1"/>
        <name val="Aptos Narrow"/>
        <scheme val="minor"/>
      </font>
      <numFmt numFmtId="164" formatCode="_-* #,##0\ &quot;€&quot;_-;\-* #,##0\ &quot;€&quot;_-;_-* &quot;-&quot;??\ &quot;€&quot;_-;_-@_-"/>
      <fill>
        <patternFill patternType="none">
          <fgColor indexed="64"/>
          <bgColor indexed="65"/>
        </patternFill>
      </fill>
      <alignment horizontal="center" textRotation="0" indent="0" justifyLastLine="0" shrinkToFit="0" readingOrder="0"/>
    </dxf>
    <dxf>
      <font>
        <b val="0"/>
        <i val="0"/>
        <strike val="0"/>
        <condense val="0"/>
        <extend val="0"/>
        <outline val="0"/>
        <shadow val="0"/>
        <u val="none"/>
        <vertAlign val="baseline"/>
        <sz val="11"/>
        <color theme="1"/>
        <name val="Aptos Narrow"/>
        <scheme val="minor"/>
      </font>
      <border diagonalUp="0" diagonalDown="0" outline="0">
        <left/>
        <right/>
        <top style="thin">
          <color rgb="FFE8E8E8"/>
        </top>
        <bottom/>
      </border>
    </dxf>
    <dxf>
      <font>
        <b val="0"/>
        <i val="0"/>
        <strike val="0"/>
        <condense val="0"/>
        <extend val="0"/>
        <outline val="0"/>
        <shadow val="0"/>
        <u val="none"/>
        <vertAlign val="baseline"/>
        <sz val="11"/>
        <color theme="1"/>
        <name val="Aptos Narrow"/>
        <scheme val="minor"/>
      </font>
      <numFmt numFmtId="14" formatCode="0.00%"/>
      <fill>
        <patternFill patternType="none">
          <fgColor indexed="64"/>
          <bgColor indexed="65"/>
        </patternFill>
      </fill>
      <alignment horizontal="center" textRotation="0" indent="0" justifyLastLine="0" shrinkToFit="0" readingOrder="0"/>
    </dxf>
    <dxf>
      <font>
        <b val="0"/>
        <i val="0"/>
        <strike val="0"/>
        <condense val="0"/>
        <extend val="0"/>
        <outline val="0"/>
        <shadow val="0"/>
        <u val="none"/>
        <vertAlign val="baseline"/>
        <sz val="11"/>
        <color theme="1"/>
        <name val="Aptos Narrow"/>
        <scheme val="minor"/>
      </font>
      <border diagonalUp="0" diagonalDown="0" outline="0">
        <left/>
        <right/>
        <top style="thin">
          <color rgb="FFE8E8E8"/>
        </top>
        <bottom/>
      </border>
    </dxf>
    <dxf>
      <font>
        <name val="Aptos Narrow"/>
      </font>
      <numFmt numFmtId="164" formatCode="_-* #,##0\ &quot;€&quot;_-;\-* #,##0\ &quot;€&quot;_-;_-* &quot;-&quot;??\ &quot;€&quot;_-;_-@_-"/>
      <alignment horizontal="center" textRotation="0" indent="0" justifyLastLine="0" shrinkToFit="0" readingOrder="0"/>
    </dxf>
    <dxf>
      <font>
        <b val="0"/>
        <i val="0"/>
        <strike val="0"/>
        <condense val="0"/>
        <extend val="0"/>
        <outline val="0"/>
        <shadow val="0"/>
        <u val="none"/>
        <vertAlign val="baseline"/>
        <sz val="11"/>
        <color theme="1"/>
        <name val="Aptos Narrow"/>
        <scheme val="minor"/>
      </font>
      <border diagonalUp="0" diagonalDown="0" outline="0">
        <left/>
        <right/>
        <top style="thin">
          <color rgb="FFE8E8E8"/>
        </top>
        <bottom/>
      </border>
    </dxf>
    <dxf>
      <font>
        <name val="Aptos Narrow"/>
      </font>
      <alignment horizontal="center" textRotation="0" indent="0" justifyLastLine="0" shrinkToFit="0" readingOrder="0"/>
    </dxf>
    <dxf>
      <font>
        <b val="0"/>
        <i val="0"/>
        <strike val="0"/>
        <condense val="0"/>
        <extend val="0"/>
        <outline val="0"/>
        <shadow val="0"/>
        <u val="none"/>
        <vertAlign val="baseline"/>
        <sz val="11"/>
        <color theme="1"/>
        <name val="Aptos Narrow"/>
        <scheme val="minor"/>
      </font>
      <border diagonalUp="0" diagonalDown="0" outline="0">
        <left/>
        <right/>
        <top style="thin">
          <color rgb="FFE8E8E8"/>
        </top>
        <bottom/>
      </border>
    </dxf>
    <dxf>
      <font>
        <name val="Aptos Narrow"/>
      </font>
      <alignment horizontal="center" textRotation="0" indent="0" justifyLastLine="0" shrinkToFit="0" readingOrder="0"/>
    </dxf>
    <dxf>
      <font>
        <b val="0"/>
        <i val="0"/>
        <strike val="0"/>
        <condense val="0"/>
        <extend val="0"/>
        <outline val="0"/>
        <shadow val="0"/>
        <u val="none"/>
        <vertAlign val="baseline"/>
        <sz val="11"/>
        <color theme="1"/>
        <name val="Aptos Narrow"/>
        <scheme val="minor"/>
      </font>
      <border diagonalUp="0" diagonalDown="0" outline="0">
        <left/>
        <right/>
        <top style="thin">
          <color rgb="FFE8E8E8"/>
        </top>
        <bottom/>
      </border>
    </dxf>
    <dxf>
      <font>
        <b val="0"/>
        <i val="0"/>
        <strike val="0"/>
        <condense val="0"/>
        <extend val="0"/>
        <outline val="0"/>
        <shadow val="0"/>
        <u val="none"/>
        <vertAlign val="baseline"/>
        <sz val="11"/>
        <color theme="1"/>
        <name val="Aptos Narrow"/>
        <scheme val="minor"/>
      </font>
      <numFmt numFmtId="164" formatCode="_-* #,##0\ &quot;€&quot;_-;\-* #,##0\ &quot;€&quot;_-;_-* &quot;-&quot;??\ &quot;€&quot;_-;_-@_-"/>
      <fill>
        <patternFill patternType="none">
          <fgColor indexed="64"/>
          <bgColor indexed="65"/>
        </patternFill>
      </fill>
      <alignment horizontal="center" textRotation="0" indent="0" justifyLastLine="0" shrinkToFit="0" readingOrder="0"/>
    </dxf>
    <dxf>
      <font>
        <b val="0"/>
        <i val="0"/>
        <strike val="0"/>
        <condense val="0"/>
        <extend val="0"/>
        <outline val="0"/>
        <shadow val="0"/>
        <u val="none"/>
        <vertAlign val="baseline"/>
        <sz val="11"/>
        <color theme="1"/>
        <name val="Aptos Narrow"/>
        <scheme val="minor"/>
      </font>
      <border diagonalUp="0" diagonalDown="0" outline="0">
        <left/>
        <right/>
        <top style="thin">
          <color rgb="FFE8E8E8"/>
        </top>
        <bottom/>
      </border>
    </dxf>
    <dxf>
      <font>
        <b val="0"/>
        <i val="0"/>
        <strike val="0"/>
        <condense val="0"/>
        <extend val="0"/>
        <outline val="0"/>
        <shadow val="0"/>
        <u val="none"/>
        <vertAlign val="baseline"/>
        <sz val="11"/>
        <color theme="1"/>
        <name val="Aptos Narrow"/>
        <scheme val="minor"/>
      </font>
      <numFmt numFmtId="167" formatCode="\€#,##0"/>
      <fill>
        <patternFill patternType="none">
          <fgColor indexed="64"/>
          <bgColor indexed="65"/>
        </patternFill>
      </fill>
      <alignment horizontal="center" textRotation="0" indent="0" justifyLastLine="0" shrinkToFit="0" readingOrder="0"/>
    </dxf>
    <dxf>
      <font>
        <b val="0"/>
        <i val="0"/>
        <strike val="0"/>
        <condense val="0"/>
        <extend val="0"/>
        <outline val="0"/>
        <shadow val="0"/>
        <u val="none"/>
        <vertAlign val="baseline"/>
        <sz val="11"/>
        <color theme="1"/>
        <name val="Aptos Narrow"/>
        <scheme val="minor"/>
      </font>
      <border diagonalUp="0" diagonalDown="0" outline="0">
        <left/>
        <right/>
        <top style="thin">
          <color rgb="FFE8E8E8"/>
        </top>
        <bottom/>
      </border>
    </dxf>
    <dxf>
      <font>
        <name val="Aptos Narrow"/>
      </font>
      <numFmt numFmtId="167" formatCode="\€#,##0"/>
      <alignment horizontal="center" textRotation="0" indent="0" justifyLastLine="0" shrinkToFit="0" readingOrder="0"/>
    </dxf>
    <dxf>
      <font>
        <b val="0"/>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outline="0">
        <left/>
        <right/>
        <top style="thin">
          <color rgb="FFE8E8E8"/>
        </top>
        <bottom/>
      </border>
    </dxf>
    <dxf>
      <font>
        <name val="Aptos Narrow"/>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border diagonalUp="0" diagonalDown="0" outline="0">
        <left/>
        <right/>
        <top style="thin">
          <color rgb="FFE8E8E8"/>
        </top>
        <bottom/>
      </border>
    </dxf>
    <dxf>
      <font>
        <name val="Aptos Narrow"/>
      </font>
      <alignment horizontal="center" textRotation="0" indent="0" justifyLastLine="0" shrinkToFit="0" readingOrder="0"/>
    </dxf>
    <dxf>
      <font>
        <b val="0"/>
        <i val="0"/>
        <strike val="0"/>
        <condense val="0"/>
        <extend val="0"/>
        <outline val="0"/>
        <shadow val="0"/>
        <u val="none"/>
        <vertAlign val="baseline"/>
        <sz val="11"/>
        <color theme="1"/>
        <name val="Aptos Narrow"/>
        <scheme val="minor"/>
      </font>
      <border diagonalUp="0" diagonalDown="0" outline="0">
        <left/>
        <right/>
        <top style="thin">
          <color rgb="FFE8E8E8"/>
        </top>
        <bottom/>
      </border>
    </dxf>
    <dxf>
      <font>
        <name val="Aptos Narrow"/>
      </font>
      <alignment horizontal="center" textRotation="0" indent="0" justifyLastLine="0" shrinkToFit="0" readingOrder="0"/>
    </dxf>
    <dxf>
      <font>
        <b val="0"/>
        <i val="0"/>
        <strike val="0"/>
        <condense val="0"/>
        <extend val="0"/>
        <outline val="0"/>
        <shadow val="0"/>
        <u val="none"/>
        <vertAlign val="baseline"/>
        <sz val="11"/>
        <color theme="1"/>
        <name val="Aptos Narrow"/>
        <scheme val="minor"/>
      </font>
      <border diagonalUp="0" diagonalDown="0" outline="0">
        <left/>
        <right/>
        <top style="thin">
          <color rgb="FFE8E8E8"/>
        </top>
        <bottom/>
      </border>
    </dxf>
    <dxf>
      <font>
        <name val="Aptos Narrow"/>
      </font>
      <alignment horizontal="center" textRotation="0" indent="0" justifyLastLine="0" shrinkToFit="0" readingOrder="0"/>
    </dxf>
    <dxf>
      <font>
        <b val="0"/>
        <i val="0"/>
        <strike val="0"/>
        <condense val="0"/>
        <extend val="0"/>
        <outline val="0"/>
        <shadow val="0"/>
        <u val="none"/>
        <vertAlign val="baseline"/>
        <sz val="11"/>
        <color theme="1"/>
        <name val="Aptos Narrow"/>
        <scheme val="minor"/>
      </font>
      <border diagonalUp="0" diagonalDown="0" outline="0">
        <left/>
        <right/>
        <top style="thin">
          <color rgb="FFE8E8E8"/>
        </top>
        <bottom/>
      </border>
    </dxf>
    <dxf>
      <font>
        <name val="Aptos Narrow"/>
      </font>
      <alignment horizontal="center" textRotation="0" indent="0" justifyLastLine="0" shrinkToFit="0" readingOrder="0"/>
    </dxf>
    <dxf>
      <font>
        <b val="0"/>
        <i val="0"/>
        <strike val="0"/>
        <condense val="0"/>
        <extend val="0"/>
        <outline val="0"/>
        <shadow val="0"/>
        <u val="none"/>
        <vertAlign val="baseline"/>
        <sz val="11"/>
        <color theme="1"/>
        <name val="Aptos Narrow"/>
        <scheme val="minor"/>
      </font>
      <border diagonalUp="0" diagonalDown="0" outline="0">
        <left/>
        <right/>
        <top style="thin">
          <color rgb="FFE8E8E8"/>
        </top>
        <bottom/>
      </border>
    </dxf>
    <dxf>
      <font>
        <name val="Aptos Narrow"/>
      </font>
      <alignment horizontal="center" textRotation="0" indent="0" justifyLastLine="0" shrinkToFit="0" readingOrder="0"/>
    </dxf>
    <dxf>
      <font>
        <b val="0"/>
        <i val="0"/>
        <strike val="0"/>
        <condense val="0"/>
        <extend val="0"/>
        <outline val="0"/>
        <shadow val="0"/>
        <u val="none"/>
        <vertAlign val="baseline"/>
        <sz val="11"/>
        <color theme="1"/>
        <name val="Aptos Narrow"/>
        <scheme val="minor"/>
      </font>
      <border diagonalUp="0" diagonalDown="0" outline="0">
        <left/>
        <right/>
        <top style="thin">
          <color rgb="FFE8E8E8"/>
        </top>
        <bottom/>
      </border>
    </dxf>
    <dxf>
      <font>
        <name val="Aptos Narrow"/>
      </font>
      <alignment horizontal="center" textRotation="0" indent="0" justifyLastLine="0" shrinkToFit="0" readingOrder="0"/>
    </dxf>
    <dxf>
      <font>
        <b val="0"/>
        <i val="0"/>
        <strike val="0"/>
        <condense val="0"/>
        <extend val="0"/>
        <outline val="0"/>
        <shadow val="0"/>
        <u val="none"/>
        <vertAlign val="baseline"/>
        <sz val="11"/>
        <color theme="1"/>
        <name val="Aptos Narrow"/>
        <scheme val="minor"/>
      </font>
      <border diagonalUp="0" diagonalDown="0" outline="0">
        <left/>
        <right/>
        <top style="thin">
          <color rgb="FFE8E8E8"/>
        </top>
        <bottom/>
      </border>
    </dxf>
    <dxf>
      <font>
        <name val="Aptos Narrow"/>
      </font>
      <numFmt numFmtId="2" formatCode="0.00"/>
      <alignment horizontal="center" textRotation="0" indent="0" justifyLastLine="0" shrinkToFit="0" readingOrder="0"/>
    </dxf>
    <dxf>
      <font>
        <b val="0"/>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outline="0">
        <left/>
        <right/>
        <top style="thin">
          <color rgb="FFE8E8E8"/>
        </top>
        <bottom/>
      </border>
    </dxf>
    <dxf>
      <font>
        <name val="Aptos Narrow"/>
      </font>
      <numFmt numFmtId="30" formatCode="@"/>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border diagonalUp="0" diagonalDown="0" outline="0">
        <left/>
        <right/>
        <top style="thin">
          <color rgb="FFE8E8E8"/>
        </top>
        <bottom/>
      </border>
    </dxf>
    <dxf>
      <font>
        <name val="Aptos Narrow"/>
      </font>
      <numFmt numFmtId="30" formatCode="@"/>
      <alignment horizontal="center" textRotation="0" indent="0" justifyLastLine="0" shrinkToFit="0" readingOrder="0"/>
    </dxf>
    <dxf>
      <font>
        <b val="0"/>
        <i val="0"/>
        <strike val="0"/>
        <condense val="0"/>
        <extend val="0"/>
        <outline val="0"/>
        <shadow val="0"/>
        <u val="none"/>
        <vertAlign val="baseline"/>
        <sz val="11"/>
        <color theme="1"/>
        <name val="Aptos Narrow"/>
        <scheme val="minor"/>
      </font>
      <border diagonalUp="0" diagonalDown="0" outline="0">
        <left/>
        <right/>
        <top style="thin">
          <color rgb="FFE8E8E8"/>
        </top>
        <bottom/>
      </border>
    </dxf>
    <dxf>
      <font>
        <name val="Aptos Narrow"/>
      </font>
      <alignment horizontal="center" textRotation="0" indent="0" justifyLastLine="0" shrinkToFit="0" readingOrder="0"/>
    </dxf>
    <dxf>
      <font>
        <b val="0"/>
        <i val="0"/>
        <strike val="0"/>
        <condense val="0"/>
        <extend val="0"/>
        <outline val="0"/>
        <shadow val="0"/>
        <u val="none"/>
        <vertAlign val="baseline"/>
        <sz val="11"/>
        <color theme="1"/>
        <name val="Aptos Narrow"/>
        <scheme val="minor"/>
      </font>
      <border diagonalUp="0" diagonalDown="0" outline="0">
        <left/>
        <right/>
        <top style="thin">
          <color rgb="FFE8E8E8"/>
        </top>
        <bottom/>
      </border>
    </dxf>
    <dxf>
      <font>
        <name val="Aptos Narrow"/>
      </font>
      <alignment horizontal="center" textRotation="0" indent="0" justifyLastLine="0" shrinkToFit="0" readingOrder="0"/>
    </dxf>
    <dxf>
      <font>
        <b val="0"/>
        <i val="0"/>
        <strike val="0"/>
        <condense val="0"/>
        <extend val="0"/>
        <outline val="0"/>
        <shadow val="0"/>
        <u val="none"/>
        <vertAlign val="baseline"/>
        <sz val="11"/>
        <color theme="1"/>
        <name val="Aptos Narrow"/>
        <scheme val="minor"/>
      </font>
      <border diagonalUp="0" diagonalDown="0" outline="0">
        <left/>
        <right/>
        <top style="thin">
          <color rgb="FFE8E8E8"/>
        </top>
        <bottom/>
      </border>
    </dxf>
    <dxf>
      <font>
        <name val="Aptos Narrow"/>
      </font>
      <alignment horizontal="center" textRotation="0" indent="0" justifyLastLine="0" shrinkToFit="0" readingOrder="0"/>
    </dxf>
    <dxf>
      <font>
        <b val="0"/>
        <i val="0"/>
        <strike val="0"/>
        <condense val="0"/>
        <extend val="0"/>
        <outline val="0"/>
        <shadow val="0"/>
        <u val="none"/>
        <vertAlign val="baseline"/>
        <sz val="11"/>
        <color theme="1"/>
        <name val="Aptos Narrow"/>
        <scheme val="minor"/>
      </font>
      <border diagonalUp="0" diagonalDown="0" outline="0">
        <left/>
        <right/>
        <top style="thin">
          <color rgb="FFE8E8E8"/>
        </top>
        <bottom/>
      </border>
    </dxf>
    <dxf>
      <font>
        <name val="Aptos Narrow"/>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outline="0">
        <left/>
        <right/>
        <top style="thin">
          <color rgb="FFE8E8E8"/>
        </top>
        <bottom/>
      </border>
    </dxf>
    <dxf>
      <font>
        <name val="Aptos Narrow"/>
      </font>
      <numFmt numFmtId="30" formatCode="@"/>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outline="0">
        <left/>
        <right/>
        <top style="thin">
          <color rgb="FFE8E8E8"/>
        </top>
        <bottom/>
      </border>
    </dxf>
    <dxf>
      <font>
        <name val="Aptos Narrow"/>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border diagonalUp="0" diagonalDown="0" outline="0">
        <left/>
        <right/>
        <top style="thin">
          <color rgb="FFE8E8E8"/>
        </top>
        <bottom/>
      </border>
    </dxf>
    <dxf>
      <font>
        <name val="Aptos Narrow"/>
      </font>
      <alignment horizontal="center" textRotation="0" indent="0" justifyLastLine="0" shrinkToFit="0" readingOrder="0"/>
    </dxf>
    <dxf>
      <border>
        <top style="thin">
          <color rgb="FFE8E8E8"/>
        </top>
      </border>
    </dxf>
    <dxf>
      <border diagonalUp="0" diagonalDown="0">
        <left style="thin">
          <color rgb="FFBFBFBF"/>
        </left>
        <right style="thin">
          <color rgb="FFBFBFBF"/>
        </right>
        <top style="thin">
          <color rgb="FFBFBFBF"/>
        </top>
        <bottom style="thin">
          <color rgb="FFBFBFBF"/>
        </bottom>
      </border>
    </dxf>
    <dxf>
      <font>
        <name val="Aptos Narrow"/>
      </font>
      <alignment horizontal="center" textRotation="0" indent="0" justifyLastLine="0" shrinkToFit="0" readingOrder="0"/>
    </dxf>
    <dxf>
      <border>
        <bottom style="thin">
          <color rgb="FFE8E8E8"/>
        </bottom>
      </border>
    </dxf>
    <dxf>
      <font>
        <b/>
        <color rgb="FFFFFFFF"/>
        <name val="Aptos Narrow"/>
      </font>
      <fill>
        <patternFill patternType="solid">
          <fgColor indexed="64"/>
          <bgColor rgb="FFCABCA2"/>
        </patternFill>
      </fill>
      <alignment horizontal="center" textRotation="0" wrapText="1" indent="0" justifyLastLine="0" shrinkToFit="0" readingOrder="0"/>
    </dxf>
    <dxf>
      <numFmt numFmtId="0" formatCode="General"/>
      <fill>
        <patternFill patternType="solid">
          <fgColor indexed="64"/>
          <bgColor theme="0"/>
        </patternFill>
      </fill>
    </dxf>
    <dxf>
      <fill>
        <patternFill patternType="solid">
          <fgColor indexed="64"/>
          <bgColor theme="0"/>
        </patternFill>
      </fill>
    </dxf>
    <dxf>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font>
        <strike val="0"/>
        <outline val="0"/>
        <shadow val="0"/>
        <u val="none"/>
        <vertAlign val="baseline"/>
        <sz val="11"/>
        <color theme="0"/>
        <name val="Aptos Narrow"/>
        <family val="2"/>
        <scheme val="minor"/>
      </font>
      <fill>
        <patternFill patternType="solid">
          <fgColor indexed="64"/>
          <bgColor theme="1" tint="0.499984740745262"/>
        </patternFill>
      </fill>
    </dxf>
  </dxfs>
  <tableStyles count="0" defaultTableStyle="TableStyleMedium2" defaultPivotStyle="PivotStyleLight16"/>
  <colors>
    <mruColors>
      <color rgb="FFCABCA2"/>
      <color rgb="FF91AEBD"/>
      <color rgb="FF81AD83"/>
      <color rgb="FFF4F2F0"/>
      <color rgb="FFECE9E4"/>
      <color rgb="FFFEFAF0"/>
      <color rgb="FFF9EB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onnections" Target="connections.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45483F"/>
                </a:solidFill>
                <a:latin typeface="+mn-lt"/>
                <a:ea typeface="+mn-ea"/>
                <a:cs typeface="+mn-cs"/>
              </a:defRPr>
            </a:pPr>
            <a:r>
              <a:rPr lang="en-US"/>
              <a:t>  Status </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45483F"/>
              </a:solidFill>
              <a:latin typeface="+mn-lt"/>
              <a:ea typeface="+mn-ea"/>
              <a:cs typeface="+mn-cs"/>
            </a:defRPr>
          </a:pPr>
          <a:endParaRPr lang="en-US"/>
        </a:p>
      </c:txPr>
    </c:title>
    <c:autoTitleDeleted val="0"/>
    <c:plotArea>
      <c:layout/>
      <c:doughnutChart>
        <c:varyColors val="1"/>
        <c:ser>
          <c:idx val="0"/>
          <c:order val="0"/>
          <c:tx>
            <c:strRef>
              <c:f>Overview!$R$2</c:f>
              <c:strCache>
                <c:ptCount val="1"/>
                <c:pt idx="0">
                  <c:v>Units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E20-9D41-95FF-452C3DA43D89}"/>
              </c:ext>
            </c:extLst>
          </c:dPt>
          <c:dPt>
            <c:idx val="1"/>
            <c:bubble3D val="0"/>
            <c:spPr>
              <a:solidFill>
                <a:srgbClr val="7E8466"/>
              </a:solidFill>
              <a:ln w="19050">
                <a:solidFill>
                  <a:schemeClr val="lt1"/>
                </a:solidFill>
              </a:ln>
              <a:effectLst/>
            </c:spPr>
            <c:extLst>
              <c:ext xmlns:c16="http://schemas.microsoft.com/office/drawing/2014/chart" uri="{C3380CC4-5D6E-409C-BE32-E72D297353CC}">
                <c16:uniqueId val="{00000002-DE20-9D41-95FF-452C3DA43D89}"/>
              </c:ext>
            </c:extLst>
          </c:dPt>
          <c:dPt>
            <c:idx val="2"/>
            <c:bubble3D val="0"/>
            <c:spPr>
              <a:solidFill>
                <a:srgbClr val="81AD83"/>
              </a:solidFill>
              <a:ln w="19050">
                <a:solidFill>
                  <a:schemeClr val="lt1"/>
                </a:solidFill>
              </a:ln>
              <a:effectLst/>
            </c:spPr>
            <c:extLst>
              <c:ext xmlns:c16="http://schemas.microsoft.com/office/drawing/2014/chart" uri="{C3380CC4-5D6E-409C-BE32-E72D297353CC}">
                <c16:uniqueId val="{00000003-DE20-9D41-95FF-452C3DA43D89}"/>
              </c:ext>
            </c:extLst>
          </c:dPt>
          <c:dPt>
            <c:idx val="3"/>
            <c:bubble3D val="0"/>
            <c:spPr>
              <a:solidFill>
                <a:srgbClr val="B6BBA0"/>
              </a:solidFill>
              <a:ln w="19050">
                <a:solidFill>
                  <a:schemeClr val="lt1"/>
                </a:solidFill>
              </a:ln>
              <a:effectLst/>
            </c:spPr>
            <c:extLst>
              <c:ext xmlns:c16="http://schemas.microsoft.com/office/drawing/2014/chart" uri="{C3380CC4-5D6E-409C-BE32-E72D297353CC}">
                <c16:uniqueId val="{00000004-DE20-9D41-95FF-452C3DA43D89}"/>
              </c:ext>
            </c:extLst>
          </c:dPt>
          <c:dPt>
            <c:idx val="4"/>
            <c:bubble3D val="0"/>
            <c:spPr>
              <a:solidFill>
                <a:srgbClr val="CBD0BA"/>
              </a:solidFill>
              <a:ln w="19050">
                <a:solidFill>
                  <a:schemeClr val="lt1"/>
                </a:solidFill>
              </a:ln>
              <a:effectLst/>
            </c:spPr>
            <c:extLst>
              <c:ext xmlns:c16="http://schemas.microsoft.com/office/drawing/2014/chart" uri="{C3380CC4-5D6E-409C-BE32-E72D297353CC}">
                <c16:uniqueId val="{00000009-E531-4D3C-ADFB-DE77D884D780}"/>
              </c:ext>
            </c:extLst>
          </c:dPt>
          <c:dPt>
            <c:idx val="5"/>
            <c:bubble3D val="0"/>
            <c:spPr>
              <a:solidFill>
                <a:srgbClr val="45483F"/>
              </a:solidFill>
              <a:ln w="19050">
                <a:solidFill>
                  <a:schemeClr val="lt1"/>
                </a:solidFill>
              </a:ln>
              <a:effectLst/>
            </c:spPr>
            <c:extLst>
              <c:ext xmlns:c16="http://schemas.microsoft.com/office/drawing/2014/chart" uri="{C3380CC4-5D6E-409C-BE32-E72D297353CC}">
                <c16:uniqueId val="{0000000B-A460-4A83-A75B-5C4D04EEE1FB}"/>
              </c:ext>
            </c:extLst>
          </c:dPt>
          <c:cat>
            <c:strRef>
              <c:f>Overview!$Q$3:$Q$8</c:f>
              <c:strCache>
                <c:ptCount val="6"/>
                <c:pt idx="1">
                  <c:v>Available</c:v>
                </c:pt>
                <c:pt idx="2">
                  <c:v>Reserved</c:v>
                </c:pt>
                <c:pt idx="3">
                  <c:v>Under Contract</c:v>
                </c:pt>
                <c:pt idx="4">
                  <c:v>Deeded</c:v>
                </c:pt>
                <c:pt idx="5">
                  <c:v>Other</c:v>
                </c:pt>
              </c:strCache>
            </c:strRef>
          </c:cat>
          <c:val>
            <c:numRef>
              <c:f>Overview!$R$3:$R$8</c:f>
              <c:numCache>
                <c:formatCode>#,##0</c:formatCode>
                <c:ptCount val="6"/>
                <c:pt idx="1">
                  <c:v>20</c:v>
                </c:pt>
                <c:pt idx="2">
                  <c:v>0</c:v>
                </c:pt>
                <c:pt idx="3">
                  <c:v>0</c:v>
                </c:pt>
                <c:pt idx="4">
                  <c:v>0</c:v>
                </c:pt>
                <c:pt idx="5">
                  <c:v>25</c:v>
                </c:pt>
              </c:numCache>
            </c:numRef>
          </c:val>
          <c:extLst>
            <c:ext xmlns:c16="http://schemas.microsoft.com/office/drawing/2014/chart" uri="{C3380CC4-5D6E-409C-BE32-E72D297353CC}">
              <c16:uniqueId val="{00000000-DE20-9D41-95FF-452C3DA43D8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legendEntry>
        <c:idx val="0"/>
        <c:delete val="1"/>
      </c:legendEntry>
      <c:layout>
        <c:manualLayout>
          <c:xMode val="edge"/>
          <c:yMode val="edge"/>
          <c:x val="0.67703416575059738"/>
          <c:y val="0.26475672249415511"/>
          <c:w val="0.13203937663816917"/>
          <c:h val="0.4046877942502637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45483F"/>
                </a:solidFill>
                <a:latin typeface="+mn-lt"/>
                <a:ea typeface="+mn-ea"/>
                <a:cs typeface="+mn-cs"/>
              </a:defRPr>
            </a:pPr>
            <a:r>
              <a:rPr lang="en-US"/>
              <a:t>Selected Project — % Sold vs Benchmarks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45483F"/>
              </a:solidFill>
              <a:latin typeface="+mn-lt"/>
              <a:ea typeface="+mn-ea"/>
              <a:cs typeface="+mn-cs"/>
            </a:defRPr>
          </a:pPr>
          <a:endParaRPr lang="en-US"/>
        </a:p>
      </c:txPr>
    </c:title>
    <c:autoTitleDeleted val="0"/>
    <c:plotArea>
      <c:layout/>
      <c:barChart>
        <c:barDir val="bar"/>
        <c:grouping val="clustered"/>
        <c:varyColors val="0"/>
        <c:ser>
          <c:idx val="0"/>
          <c:order val="0"/>
          <c:tx>
            <c:strRef>
              <c:f>Overview!$R$11</c:f>
              <c:strCache>
                <c:ptCount val="1"/>
                <c:pt idx="0">
                  <c:v>% Sold</c:v>
                </c:pt>
              </c:strCache>
            </c:strRef>
          </c:tx>
          <c:spPr>
            <a:solidFill>
              <a:srgbClr val="7E8466"/>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PT"/>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Overview!$Q$12:$Q$14</c:f>
              <c:strCache>
                <c:ptCount val="3"/>
                <c:pt idx="0">
                  <c:v>Vale Pisão Grand Park</c:v>
                </c:pt>
                <c:pt idx="1">
                  <c:v>North Avg</c:v>
                </c:pt>
                <c:pt idx="2">
                  <c:v>Portfolio Avg</c:v>
                </c:pt>
              </c:strCache>
            </c:strRef>
          </c:cat>
          <c:val>
            <c:numRef>
              <c:f>Overview!$R$12:$R$14</c:f>
              <c:numCache>
                <c:formatCode>0.0%</c:formatCode>
                <c:ptCount val="3"/>
                <c:pt idx="0">
                  <c:v>0</c:v>
                </c:pt>
                <c:pt idx="1">
                  <c:v>0</c:v>
                </c:pt>
                <c:pt idx="2">
                  <c:v>0.35766423357664234</c:v>
                </c:pt>
              </c:numCache>
            </c:numRef>
          </c:val>
          <c:extLst>
            <c:ext xmlns:c16="http://schemas.microsoft.com/office/drawing/2014/chart" uri="{C3380CC4-5D6E-409C-BE32-E72D297353CC}">
              <c16:uniqueId val="{00000000-3D23-DB4E-8C80-5F77381AEFA3}"/>
            </c:ext>
          </c:extLst>
        </c:ser>
        <c:dLbls>
          <c:showLegendKey val="0"/>
          <c:showVal val="0"/>
          <c:showCatName val="0"/>
          <c:showSerName val="0"/>
          <c:showPercent val="0"/>
          <c:showBubbleSize val="0"/>
        </c:dLbls>
        <c:gapWidth val="182"/>
        <c:axId val="126035136"/>
        <c:axId val="126028416"/>
      </c:barChart>
      <c:catAx>
        <c:axId val="1260351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028416"/>
        <c:crosses val="autoZero"/>
        <c:auto val="1"/>
        <c:lblAlgn val="ctr"/>
        <c:lblOffset val="100"/>
        <c:noMultiLvlLbl val="0"/>
      </c:catAx>
      <c:valAx>
        <c:axId val="126028416"/>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035136"/>
        <c:crosses val="autoZero"/>
        <c:crossBetween val="between"/>
      </c:valAx>
      <c:spPr>
        <a:no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45483F"/>
                </a:solidFill>
                <a:latin typeface="+mn-lt"/>
                <a:ea typeface="+mn-ea"/>
                <a:cs typeface="+mn-cs"/>
              </a:defRPr>
            </a:pPr>
            <a:r>
              <a:rPr lang="en-US"/>
              <a:t>Sales Funnel</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45483F"/>
              </a:solidFill>
              <a:latin typeface="+mn-lt"/>
              <a:ea typeface="+mn-ea"/>
              <a:cs typeface="+mn-cs"/>
            </a:defRPr>
          </a:pPr>
          <a:endParaRPr lang="en-US"/>
        </a:p>
      </c:txPr>
    </c:title>
    <c:autoTitleDeleted val="0"/>
    <c:plotArea>
      <c:layout/>
      <c:barChart>
        <c:barDir val="col"/>
        <c:grouping val="clustered"/>
        <c:varyColors val="0"/>
        <c:ser>
          <c:idx val="0"/>
          <c:order val="0"/>
          <c:spPr>
            <a:solidFill>
              <a:srgbClr val="7E8466"/>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PT"/>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Overview!$Q$27:$Q$30</c:f>
              <c:strCache>
                <c:ptCount val="4"/>
                <c:pt idx="0">
                  <c:v>Available</c:v>
                </c:pt>
                <c:pt idx="1">
                  <c:v>Reserved</c:v>
                </c:pt>
                <c:pt idx="2">
                  <c:v>Under Contract</c:v>
                </c:pt>
                <c:pt idx="3">
                  <c:v>Deeded</c:v>
                </c:pt>
              </c:strCache>
            </c:strRef>
          </c:cat>
          <c:val>
            <c:numRef>
              <c:f>Overview!$R$27:$R$30</c:f>
              <c:numCache>
                <c:formatCode>#,##0</c:formatCode>
                <c:ptCount val="4"/>
                <c:pt idx="0">
                  <c:v>20</c:v>
                </c:pt>
                <c:pt idx="1">
                  <c:v>0</c:v>
                </c:pt>
                <c:pt idx="2">
                  <c:v>0</c:v>
                </c:pt>
                <c:pt idx="3">
                  <c:v>0</c:v>
                </c:pt>
              </c:numCache>
            </c:numRef>
          </c:val>
          <c:extLst>
            <c:ext xmlns:c16="http://schemas.microsoft.com/office/drawing/2014/chart" uri="{C3380CC4-5D6E-409C-BE32-E72D297353CC}">
              <c16:uniqueId val="{00000000-384A-D040-AECB-74BB0EB05172}"/>
            </c:ext>
          </c:extLst>
        </c:ser>
        <c:dLbls>
          <c:showLegendKey val="0"/>
          <c:showVal val="0"/>
          <c:showCatName val="0"/>
          <c:showSerName val="0"/>
          <c:showPercent val="0"/>
          <c:showBubbleSize val="0"/>
        </c:dLbls>
        <c:gapWidth val="219"/>
        <c:overlap val="-27"/>
        <c:axId val="99962368"/>
        <c:axId val="99967744"/>
      </c:barChart>
      <c:catAx>
        <c:axId val="99962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967744"/>
        <c:crosses val="autoZero"/>
        <c:auto val="1"/>
        <c:lblAlgn val="ctr"/>
        <c:lblOffset val="100"/>
        <c:noMultiLvlLbl val="0"/>
      </c:catAx>
      <c:valAx>
        <c:axId val="9996774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962368"/>
        <c:crosses val="autoZero"/>
        <c:crossBetween val="between"/>
      </c:valAx>
      <c:spPr>
        <a:no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45483F"/>
                </a:solidFill>
                <a:latin typeface="+mn-lt"/>
                <a:ea typeface="+mn-ea"/>
                <a:cs typeface="+mn-cs"/>
              </a:defRPr>
            </a:pPr>
            <a:r>
              <a:rPr lang="en-US"/>
              <a:t>Selected Project — GDV vs Benchmarks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45483F"/>
              </a:solidFill>
              <a:latin typeface="+mn-lt"/>
              <a:ea typeface="+mn-ea"/>
              <a:cs typeface="+mn-cs"/>
            </a:defRPr>
          </a:pPr>
          <a:endParaRPr lang="en-US"/>
        </a:p>
      </c:txPr>
    </c:title>
    <c:autoTitleDeleted val="0"/>
    <c:plotArea>
      <c:layout/>
      <c:barChart>
        <c:barDir val="bar"/>
        <c:grouping val="clustered"/>
        <c:varyColors val="0"/>
        <c:ser>
          <c:idx val="0"/>
          <c:order val="0"/>
          <c:tx>
            <c:strRef>
              <c:f>Overview!$V$11</c:f>
              <c:strCache>
                <c:ptCount val="1"/>
                <c:pt idx="0">
                  <c:v>GDV (€M)</c:v>
                </c:pt>
              </c:strCache>
            </c:strRef>
          </c:tx>
          <c:spPr>
            <a:solidFill>
              <a:srgbClr val="7E8466"/>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PT"/>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Overview!$U$12:$U$14</c:f>
              <c:strCache>
                <c:ptCount val="3"/>
                <c:pt idx="0">
                  <c:v>Vale Pisão Grand Park</c:v>
                </c:pt>
                <c:pt idx="1">
                  <c:v>North Avg</c:v>
                </c:pt>
                <c:pt idx="2">
                  <c:v>Portfolio Avg</c:v>
                </c:pt>
              </c:strCache>
            </c:strRef>
          </c:cat>
          <c:val>
            <c:numRef>
              <c:f>Overview!$V$12:$V$14</c:f>
              <c:numCache>
                <c:formatCode>\€0.0</c:formatCode>
                <c:ptCount val="3"/>
                <c:pt idx="0">
                  <c:v>37.42</c:v>
                </c:pt>
                <c:pt idx="1">
                  <c:v>37.42</c:v>
                </c:pt>
                <c:pt idx="2">
                  <c:v>77.328268823540171</c:v>
                </c:pt>
              </c:numCache>
            </c:numRef>
          </c:val>
          <c:extLst>
            <c:ext xmlns:c16="http://schemas.microsoft.com/office/drawing/2014/chart" uri="{C3380CC4-5D6E-409C-BE32-E72D297353CC}">
              <c16:uniqueId val="{00000000-80A5-B24C-928B-4475F8CFEEF8}"/>
            </c:ext>
          </c:extLst>
        </c:ser>
        <c:dLbls>
          <c:showLegendKey val="0"/>
          <c:showVal val="0"/>
          <c:showCatName val="0"/>
          <c:showSerName val="0"/>
          <c:showPercent val="0"/>
          <c:showBubbleSize val="0"/>
        </c:dLbls>
        <c:gapWidth val="182"/>
        <c:axId val="142239360"/>
        <c:axId val="142242048"/>
      </c:barChart>
      <c:catAx>
        <c:axId val="1422393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242048"/>
        <c:crosses val="autoZero"/>
        <c:auto val="1"/>
        <c:lblAlgn val="ctr"/>
        <c:lblOffset val="100"/>
        <c:noMultiLvlLbl val="0"/>
      </c:catAx>
      <c:valAx>
        <c:axId val="142242048"/>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239360"/>
        <c:crosses val="autoZero"/>
        <c:crossBetween val="between"/>
      </c:valAx>
      <c:spPr>
        <a:no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1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1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1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1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1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1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1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18.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3810</xdr:colOff>
      <xdr:row>37</xdr:row>
      <xdr:rowOff>118109</xdr:rowOff>
    </xdr:from>
    <xdr:to>
      <xdr:col>7</xdr:col>
      <xdr:colOff>314960</xdr:colOff>
      <xdr:row>57</xdr:row>
      <xdr:rowOff>118109</xdr:rowOff>
    </xdr:to>
    <xdr:graphicFrame macro="">
      <xdr:nvGraphicFramePr>
        <xdr:cNvPr id="15" name="SelStatus">
          <a:extLst>
            <a:ext uri="{FF2B5EF4-FFF2-40B4-BE49-F238E27FC236}">
              <a16:creationId xmlns:a16="http://schemas.microsoft.com/office/drawing/2014/main" id="{A5E8382E-0AE0-54C0-18E2-B69E75DBF6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317499</xdr:colOff>
      <xdr:row>37</xdr:row>
      <xdr:rowOff>121919</xdr:rowOff>
    </xdr:from>
    <xdr:to>
      <xdr:col>15</xdr:col>
      <xdr:colOff>43542</xdr:colOff>
      <xdr:row>57</xdr:row>
      <xdr:rowOff>121919</xdr:rowOff>
    </xdr:to>
    <xdr:graphicFrame macro="">
      <xdr:nvGraphicFramePr>
        <xdr:cNvPr id="16" name="PctSold">
          <a:extLst>
            <a:ext uri="{FF2B5EF4-FFF2-40B4-BE49-F238E27FC236}">
              <a16:creationId xmlns:a16="http://schemas.microsoft.com/office/drawing/2014/main" id="{C70656A3-46DD-3D4E-51C3-EC5E223AA2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32657</xdr:colOff>
      <xdr:row>58</xdr:row>
      <xdr:rowOff>100147</xdr:rowOff>
    </xdr:from>
    <xdr:to>
      <xdr:col>7</xdr:col>
      <xdr:colOff>347617</xdr:colOff>
      <xdr:row>78</xdr:row>
      <xdr:rowOff>100147</xdr:rowOff>
    </xdr:to>
    <xdr:graphicFrame macro="">
      <xdr:nvGraphicFramePr>
        <xdr:cNvPr id="17" name="Funnel">
          <a:extLst>
            <a:ext uri="{FF2B5EF4-FFF2-40B4-BE49-F238E27FC236}">
              <a16:creationId xmlns:a16="http://schemas.microsoft.com/office/drawing/2014/main" id="{96149087-C404-2051-C4E4-685AB6DD2D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317499</xdr:colOff>
      <xdr:row>58</xdr:row>
      <xdr:rowOff>121919</xdr:rowOff>
    </xdr:from>
    <xdr:to>
      <xdr:col>15</xdr:col>
      <xdr:colOff>640079</xdr:colOff>
      <xdr:row>78</xdr:row>
      <xdr:rowOff>121919</xdr:rowOff>
    </xdr:to>
    <xdr:graphicFrame macro="">
      <xdr:nvGraphicFramePr>
        <xdr:cNvPr id="18" name="GDV">
          <a:extLst>
            <a:ext uri="{FF2B5EF4-FFF2-40B4-BE49-F238E27FC236}">
              <a16:creationId xmlns:a16="http://schemas.microsoft.com/office/drawing/2014/main" id="{A9A623FD-A703-8F49-341B-AA0EDD19CE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297467</xdr:colOff>
      <xdr:row>24</xdr:row>
      <xdr:rowOff>182844</xdr:rowOff>
    </xdr:from>
    <xdr:to>
      <xdr:col>1</xdr:col>
      <xdr:colOff>184367</xdr:colOff>
      <xdr:row>24</xdr:row>
      <xdr:rowOff>182844</xdr:rowOff>
    </xdr:to>
    <xdr:grpSp>
      <xdr:nvGrpSpPr>
        <xdr:cNvPr id="2" name="Agrupar 20">
          <a:extLst>
            <a:ext uri="{FF2B5EF4-FFF2-40B4-BE49-F238E27FC236}">
              <a16:creationId xmlns:a16="http://schemas.microsoft.com/office/drawing/2014/main" id="{371B67B0-E0A8-4822-9FE8-CB72DBE7A0ED}"/>
            </a:ext>
          </a:extLst>
        </xdr:cNvPr>
        <xdr:cNvGrpSpPr/>
      </xdr:nvGrpSpPr>
      <xdr:grpSpPr>
        <a:xfrm>
          <a:off x="295562" y="4862946"/>
          <a:ext cx="1282111" cy="0"/>
          <a:chOff x="17126421" y="9656457"/>
          <a:chExt cx="2035297" cy="832018"/>
        </a:xfrm>
      </xdr:grpSpPr>
      <xdr:pic>
        <xdr:nvPicPr>
          <xdr:cNvPr id="3" name="object 2">
            <a:extLst>
              <a:ext uri="{FF2B5EF4-FFF2-40B4-BE49-F238E27FC236}">
                <a16:creationId xmlns:a16="http://schemas.microsoft.com/office/drawing/2014/main" id="{5C2F017F-73C2-2214-1F33-293A2FA27289}"/>
              </a:ext>
            </a:extLst>
          </xdr:cNvPr>
          <xdr:cNvPicPr/>
        </xdr:nvPicPr>
        <xdr:blipFill>
          <a:blip xmlns:r="http://schemas.openxmlformats.org/officeDocument/2006/relationships" r:embed="rId1" cstate="print"/>
          <a:stretch>
            <a:fillRect/>
          </a:stretch>
        </xdr:blipFill>
        <xdr:spPr>
          <a:xfrm>
            <a:off x="19059921" y="10137926"/>
            <a:ext cx="101797" cy="101797"/>
          </a:xfrm>
          <a:prstGeom prst="rect">
            <a:avLst/>
          </a:prstGeom>
        </xdr:spPr>
      </xdr:pic>
      <xdr:pic>
        <xdr:nvPicPr>
          <xdr:cNvPr id="4" name="object 3">
            <a:extLst>
              <a:ext uri="{FF2B5EF4-FFF2-40B4-BE49-F238E27FC236}">
                <a16:creationId xmlns:a16="http://schemas.microsoft.com/office/drawing/2014/main" id="{E678DBCD-CC2C-8C57-3C51-DB050737519F}"/>
              </a:ext>
            </a:extLst>
          </xdr:cNvPr>
          <xdr:cNvPicPr/>
        </xdr:nvPicPr>
        <xdr:blipFill>
          <a:blip xmlns:r="http://schemas.openxmlformats.org/officeDocument/2006/relationships" r:embed="rId2" cstate="print"/>
          <a:stretch>
            <a:fillRect/>
          </a:stretch>
        </xdr:blipFill>
        <xdr:spPr>
          <a:xfrm>
            <a:off x="19059921" y="9921639"/>
            <a:ext cx="101797" cy="101797"/>
          </a:xfrm>
          <a:prstGeom prst="rect">
            <a:avLst/>
          </a:prstGeom>
        </xdr:spPr>
      </xdr:pic>
      <xdr:pic>
        <xdr:nvPicPr>
          <xdr:cNvPr id="5" name="object 4">
            <a:extLst>
              <a:ext uri="{FF2B5EF4-FFF2-40B4-BE49-F238E27FC236}">
                <a16:creationId xmlns:a16="http://schemas.microsoft.com/office/drawing/2014/main" id="{D3A62A62-F577-A774-EB75-26FB400C9FCA}"/>
              </a:ext>
            </a:extLst>
          </xdr:cNvPr>
          <xdr:cNvPicPr/>
        </xdr:nvPicPr>
        <xdr:blipFill>
          <a:blip xmlns:r="http://schemas.openxmlformats.org/officeDocument/2006/relationships" r:embed="rId3" cstate="print"/>
          <a:stretch>
            <a:fillRect/>
          </a:stretch>
        </xdr:blipFill>
        <xdr:spPr>
          <a:xfrm>
            <a:off x="17126421" y="9656457"/>
            <a:ext cx="1872916" cy="832018"/>
          </a:xfrm>
          <a:prstGeom prst="rect">
            <a:avLst/>
          </a:prstGeom>
        </xdr:spPr>
      </xdr:pic>
    </xdr:grp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297467</xdr:colOff>
      <xdr:row>24</xdr:row>
      <xdr:rowOff>182844</xdr:rowOff>
    </xdr:from>
    <xdr:to>
      <xdr:col>1</xdr:col>
      <xdr:colOff>184367</xdr:colOff>
      <xdr:row>24</xdr:row>
      <xdr:rowOff>182844</xdr:rowOff>
    </xdr:to>
    <xdr:grpSp>
      <xdr:nvGrpSpPr>
        <xdr:cNvPr id="2" name="Agrupar 20">
          <a:extLst>
            <a:ext uri="{FF2B5EF4-FFF2-40B4-BE49-F238E27FC236}">
              <a16:creationId xmlns:a16="http://schemas.microsoft.com/office/drawing/2014/main" id="{3785EC11-1563-4F1F-A376-9C6F9E3D409D}"/>
            </a:ext>
          </a:extLst>
        </xdr:cNvPr>
        <xdr:cNvGrpSpPr/>
      </xdr:nvGrpSpPr>
      <xdr:grpSpPr>
        <a:xfrm>
          <a:off x="295562" y="4862946"/>
          <a:ext cx="1282111" cy="0"/>
          <a:chOff x="17126421" y="9656457"/>
          <a:chExt cx="2035297" cy="832018"/>
        </a:xfrm>
      </xdr:grpSpPr>
      <xdr:pic>
        <xdr:nvPicPr>
          <xdr:cNvPr id="3" name="object 2">
            <a:extLst>
              <a:ext uri="{FF2B5EF4-FFF2-40B4-BE49-F238E27FC236}">
                <a16:creationId xmlns:a16="http://schemas.microsoft.com/office/drawing/2014/main" id="{E2FD533C-001D-1907-7B58-32DE70CBAF71}"/>
              </a:ext>
            </a:extLst>
          </xdr:cNvPr>
          <xdr:cNvPicPr/>
        </xdr:nvPicPr>
        <xdr:blipFill>
          <a:blip xmlns:r="http://schemas.openxmlformats.org/officeDocument/2006/relationships" r:embed="rId1" cstate="print"/>
          <a:stretch>
            <a:fillRect/>
          </a:stretch>
        </xdr:blipFill>
        <xdr:spPr>
          <a:xfrm>
            <a:off x="19059921" y="10137926"/>
            <a:ext cx="101797" cy="101797"/>
          </a:xfrm>
          <a:prstGeom prst="rect">
            <a:avLst/>
          </a:prstGeom>
        </xdr:spPr>
      </xdr:pic>
      <xdr:pic>
        <xdr:nvPicPr>
          <xdr:cNvPr id="4" name="object 3">
            <a:extLst>
              <a:ext uri="{FF2B5EF4-FFF2-40B4-BE49-F238E27FC236}">
                <a16:creationId xmlns:a16="http://schemas.microsoft.com/office/drawing/2014/main" id="{5294F53E-29E0-9848-52EA-E12C5C628386}"/>
              </a:ext>
            </a:extLst>
          </xdr:cNvPr>
          <xdr:cNvPicPr/>
        </xdr:nvPicPr>
        <xdr:blipFill>
          <a:blip xmlns:r="http://schemas.openxmlformats.org/officeDocument/2006/relationships" r:embed="rId2" cstate="print"/>
          <a:stretch>
            <a:fillRect/>
          </a:stretch>
        </xdr:blipFill>
        <xdr:spPr>
          <a:xfrm>
            <a:off x="19059921" y="9921639"/>
            <a:ext cx="101797" cy="101797"/>
          </a:xfrm>
          <a:prstGeom prst="rect">
            <a:avLst/>
          </a:prstGeom>
        </xdr:spPr>
      </xdr:pic>
      <xdr:pic>
        <xdr:nvPicPr>
          <xdr:cNvPr id="5" name="object 4">
            <a:extLst>
              <a:ext uri="{FF2B5EF4-FFF2-40B4-BE49-F238E27FC236}">
                <a16:creationId xmlns:a16="http://schemas.microsoft.com/office/drawing/2014/main" id="{BB6AF145-107D-6E06-D060-5778E8828B0A}"/>
              </a:ext>
            </a:extLst>
          </xdr:cNvPr>
          <xdr:cNvPicPr/>
        </xdr:nvPicPr>
        <xdr:blipFill>
          <a:blip xmlns:r="http://schemas.openxmlformats.org/officeDocument/2006/relationships" r:embed="rId3" cstate="print"/>
          <a:stretch>
            <a:fillRect/>
          </a:stretch>
        </xdr:blipFill>
        <xdr:spPr>
          <a:xfrm>
            <a:off x="17126421" y="9656457"/>
            <a:ext cx="1872916" cy="832018"/>
          </a:xfrm>
          <a:prstGeom prst="rect">
            <a:avLst/>
          </a:prstGeom>
        </xdr:spPr>
      </xdr:pic>
    </xdr:grp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297467</xdr:colOff>
      <xdr:row>24</xdr:row>
      <xdr:rowOff>182844</xdr:rowOff>
    </xdr:from>
    <xdr:to>
      <xdr:col>1</xdr:col>
      <xdr:colOff>184367</xdr:colOff>
      <xdr:row>24</xdr:row>
      <xdr:rowOff>182844</xdr:rowOff>
    </xdr:to>
    <xdr:grpSp>
      <xdr:nvGrpSpPr>
        <xdr:cNvPr id="2" name="Agrupar 20">
          <a:extLst>
            <a:ext uri="{FF2B5EF4-FFF2-40B4-BE49-F238E27FC236}">
              <a16:creationId xmlns:a16="http://schemas.microsoft.com/office/drawing/2014/main" id="{83C2E5B7-F6C9-46B5-B584-7E0978CE3E6C}"/>
            </a:ext>
          </a:extLst>
        </xdr:cNvPr>
        <xdr:cNvGrpSpPr/>
      </xdr:nvGrpSpPr>
      <xdr:grpSpPr>
        <a:xfrm>
          <a:off x="295562" y="4862946"/>
          <a:ext cx="1282111" cy="0"/>
          <a:chOff x="17126421" y="9656457"/>
          <a:chExt cx="2035297" cy="832018"/>
        </a:xfrm>
      </xdr:grpSpPr>
      <xdr:pic>
        <xdr:nvPicPr>
          <xdr:cNvPr id="3" name="object 2">
            <a:extLst>
              <a:ext uri="{FF2B5EF4-FFF2-40B4-BE49-F238E27FC236}">
                <a16:creationId xmlns:a16="http://schemas.microsoft.com/office/drawing/2014/main" id="{11B1BB6B-C2E4-92F3-EBD4-D07BB83FF8AD}"/>
              </a:ext>
            </a:extLst>
          </xdr:cNvPr>
          <xdr:cNvPicPr/>
        </xdr:nvPicPr>
        <xdr:blipFill>
          <a:blip xmlns:r="http://schemas.openxmlformats.org/officeDocument/2006/relationships" r:embed="rId1" cstate="print"/>
          <a:stretch>
            <a:fillRect/>
          </a:stretch>
        </xdr:blipFill>
        <xdr:spPr>
          <a:xfrm>
            <a:off x="19059921" y="10137926"/>
            <a:ext cx="101797" cy="101797"/>
          </a:xfrm>
          <a:prstGeom prst="rect">
            <a:avLst/>
          </a:prstGeom>
        </xdr:spPr>
      </xdr:pic>
      <xdr:pic>
        <xdr:nvPicPr>
          <xdr:cNvPr id="4" name="object 3">
            <a:extLst>
              <a:ext uri="{FF2B5EF4-FFF2-40B4-BE49-F238E27FC236}">
                <a16:creationId xmlns:a16="http://schemas.microsoft.com/office/drawing/2014/main" id="{2A042EB3-6D91-40A1-B5B0-67B5A4E3BDD1}"/>
              </a:ext>
            </a:extLst>
          </xdr:cNvPr>
          <xdr:cNvPicPr/>
        </xdr:nvPicPr>
        <xdr:blipFill>
          <a:blip xmlns:r="http://schemas.openxmlformats.org/officeDocument/2006/relationships" r:embed="rId2" cstate="print"/>
          <a:stretch>
            <a:fillRect/>
          </a:stretch>
        </xdr:blipFill>
        <xdr:spPr>
          <a:xfrm>
            <a:off x="19059921" y="9921639"/>
            <a:ext cx="101797" cy="101797"/>
          </a:xfrm>
          <a:prstGeom prst="rect">
            <a:avLst/>
          </a:prstGeom>
        </xdr:spPr>
      </xdr:pic>
      <xdr:pic>
        <xdr:nvPicPr>
          <xdr:cNvPr id="5" name="object 4">
            <a:extLst>
              <a:ext uri="{FF2B5EF4-FFF2-40B4-BE49-F238E27FC236}">
                <a16:creationId xmlns:a16="http://schemas.microsoft.com/office/drawing/2014/main" id="{E07AF1C6-AEA1-B68E-815A-2941E490DFE0}"/>
              </a:ext>
            </a:extLst>
          </xdr:cNvPr>
          <xdr:cNvPicPr/>
        </xdr:nvPicPr>
        <xdr:blipFill>
          <a:blip xmlns:r="http://schemas.openxmlformats.org/officeDocument/2006/relationships" r:embed="rId3" cstate="print"/>
          <a:stretch>
            <a:fillRect/>
          </a:stretch>
        </xdr:blipFill>
        <xdr:spPr>
          <a:xfrm>
            <a:off x="17126421" y="9656457"/>
            <a:ext cx="1872916" cy="832018"/>
          </a:xfrm>
          <a:prstGeom prst="rect">
            <a:avLst/>
          </a:prstGeom>
        </xdr:spPr>
      </xdr:pic>
    </xdr:grp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297467</xdr:colOff>
      <xdr:row>24</xdr:row>
      <xdr:rowOff>266664</xdr:rowOff>
    </xdr:from>
    <xdr:to>
      <xdr:col>1</xdr:col>
      <xdr:colOff>184367</xdr:colOff>
      <xdr:row>24</xdr:row>
      <xdr:rowOff>899059</xdr:rowOff>
    </xdr:to>
    <xdr:grpSp>
      <xdr:nvGrpSpPr>
        <xdr:cNvPr id="2" name="Agrupar 20">
          <a:extLst>
            <a:ext uri="{FF2B5EF4-FFF2-40B4-BE49-F238E27FC236}">
              <a16:creationId xmlns:a16="http://schemas.microsoft.com/office/drawing/2014/main" id="{0E0C4148-0C38-43C5-B605-105C7C967223}"/>
            </a:ext>
          </a:extLst>
        </xdr:cNvPr>
        <xdr:cNvGrpSpPr/>
      </xdr:nvGrpSpPr>
      <xdr:grpSpPr>
        <a:xfrm>
          <a:off x="295562" y="4862946"/>
          <a:ext cx="1282111" cy="0"/>
          <a:chOff x="17126421" y="9656457"/>
          <a:chExt cx="2035297" cy="832018"/>
        </a:xfrm>
      </xdr:grpSpPr>
      <xdr:pic>
        <xdr:nvPicPr>
          <xdr:cNvPr id="3" name="object 2">
            <a:extLst>
              <a:ext uri="{FF2B5EF4-FFF2-40B4-BE49-F238E27FC236}">
                <a16:creationId xmlns:a16="http://schemas.microsoft.com/office/drawing/2014/main" id="{8FC09C49-CC02-C58F-FE85-80E3FB8314DA}"/>
              </a:ext>
            </a:extLst>
          </xdr:cNvPr>
          <xdr:cNvPicPr/>
        </xdr:nvPicPr>
        <xdr:blipFill>
          <a:blip xmlns:r="http://schemas.openxmlformats.org/officeDocument/2006/relationships" r:embed="rId1" cstate="print"/>
          <a:stretch>
            <a:fillRect/>
          </a:stretch>
        </xdr:blipFill>
        <xdr:spPr>
          <a:xfrm>
            <a:off x="19059921" y="10137926"/>
            <a:ext cx="101797" cy="101797"/>
          </a:xfrm>
          <a:prstGeom prst="rect">
            <a:avLst/>
          </a:prstGeom>
        </xdr:spPr>
      </xdr:pic>
      <xdr:pic>
        <xdr:nvPicPr>
          <xdr:cNvPr id="4" name="object 3">
            <a:extLst>
              <a:ext uri="{FF2B5EF4-FFF2-40B4-BE49-F238E27FC236}">
                <a16:creationId xmlns:a16="http://schemas.microsoft.com/office/drawing/2014/main" id="{CB9AC2ED-2119-BC1A-4BDA-E7B98099A9E7}"/>
              </a:ext>
            </a:extLst>
          </xdr:cNvPr>
          <xdr:cNvPicPr/>
        </xdr:nvPicPr>
        <xdr:blipFill>
          <a:blip xmlns:r="http://schemas.openxmlformats.org/officeDocument/2006/relationships" r:embed="rId2" cstate="print"/>
          <a:stretch>
            <a:fillRect/>
          </a:stretch>
        </xdr:blipFill>
        <xdr:spPr>
          <a:xfrm>
            <a:off x="19059921" y="9921639"/>
            <a:ext cx="101797" cy="101797"/>
          </a:xfrm>
          <a:prstGeom prst="rect">
            <a:avLst/>
          </a:prstGeom>
        </xdr:spPr>
      </xdr:pic>
      <xdr:pic>
        <xdr:nvPicPr>
          <xdr:cNvPr id="5" name="object 4">
            <a:extLst>
              <a:ext uri="{FF2B5EF4-FFF2-40B4-BE49-F238E27FC236}">
                <a16:creationId xmlns:a16="http://schemas.microsoft.com/office/drawing/2014/main" id="{0E1BAD24-C9E6-4265-5D06-A40EF25259D9}"/>
              </a:ext>
            </a:extLst>
          </xdr:cNvPr>
          <xdr:cNvPicPr/>
        </xdr:nvPicPr>
        <xdr:blipFill>
          <a:blip xmlns:r="http://schemas.openxmlformats.org/officeDocument/2006/relationships" r:embed="rId3" cstate="print"/>
          <a:stretch>
            <a:fillRect/>
          </a:stretch>
        </xdr:blipFill>
        <xdr:spPr>
          <a:xfrm>
            <a:off x="17126421" y="9656457"/>
            <a:ext cx="1872916" cy="832018"/>
          </a:xfrm>
          <a:prstGeom prst="rect">
            <a:avLst/>
          </a:prstGeom>
        </xdr:spPr>
      </xdr:pic>
    </xdr:grp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297467</xdr:colOff>
      <xdr:row>24</xdr:row>
      <xdr:rowOff>182844</xdr:rowOff>
    </xdr:from>
    <xdr:to>
      <xdr:col>1</xdr:col>
      <xdr:colOff>184367</xdr:colOff>
      <xdr:row>24</xdr:row>
      <xdr:rowOff>182844</xdr:rowOff>
    </xdr:to>
    <xdr:grpSp>
      <xdr:nvGrpSpPr>
        <xdr:cNvPr id="2" name="Agrupar 20">
          <a:extLst>
            <a:ext uri="{FF2B5EF4-FFF2-40B4-BE49-F238E27FC236}">
              <a16:creationId xmlns:a16="http://schemas.microsoft.com/office/drawing/2014/main" id="{513BEF2B-0938-4D8E-B19E-848000A87214}"/>
            </a:ext>
          </a:extLst>
        </xdr:cNvPr>
        <xdr:cNvGrpSpPr/>
      </xdr:nvGrpSpPr>
      <xdr:grpSpPr>
        <a:xfrm>
          <a:off x="295562" y="4862946"/>
          <a:ext cx="1282111" cy="0"/>
          <a:chOff x="17126421" y="9656457"/>
          <a:chExt cx="2035297" cy="832018"/>
        </a:xfrm>
      </xdr:grpSpPr>
      <xdr:pic>
        <xdr:nvPicPr>
          <xdr:cNvPr id="3" name="object 2">
            <a:extLst>
              <a:ext uri="{FF2B5EF4-FFF2-40B4-BE49-F238E27FC236}">
                <a16:creationId xmlns:a16="http://schemas.microsoft.com/office/drawing/2014/main" id="{767E7327-330C-ECA2-1DC4-ED1DFFAB8667}"/>
              </a:ext>
            </a:extLst>
          </xdr:cNvPr>
          <xdr:cNvPicPr/>
        </xdr:nvPicPr>
        <xdr:blipFill>
          <a:blip xmlns:r="http://schemas.openxmlformats.org/officeDocument/2006/relationships" r:embed="rId1" cstate="print"/>
          <a:stretch>
            <a:fillRect/>
          </a:stretch>
        </xdr:blipFill>
        <xdr:spPr>
          <a:xfrm>
            <a:off x="19059921" y="10137926"/>
            <a:ext cx="101797" cy="101797"/>
          </a:xfrm>
          <a:prstGeom prst="rect">
            <a:avLst/>
          </a:prstGeom>
        </xdr:spPr>
      </xdr:pic>
      <xdr:pic>
        <xdr:nvPicPr>
          <xdr:cNvPr id="4" name="object 3">
            <a:extLst>
              <a:ext uri="{FF2B5EF4-FFF2-40B4-BE49-F238E27FC236}">
                <a16:creationId xmlns:a16="http://schemas.microsoft.com/office/drawing/2014/main" id="{D8875BFC-EE43-F779-E3D9-3F7F0AA3EA00}"/>
              </a:ext>
            </a:extLst>
          </xdr:cNvPr>
          <xdr:cNvPicPr/>
        </xdr:nvPicPr>
        <xdr:blipFill>
          <a:blip xmlns:r="http://schemas.openxmlformats.org/officeDocument/2006/relationships" r:embed="rId2" cstate="print"/>
          <a:stretch>
            <a:fillRect/>
          </a:stretch>
        </xdr:blipFill>
        <xdr:spPr>
          <a:xfrm>
            <a:off x="19059921" y="9921639"/>
            <a:ext cx="101797" cy="101797"/>
          </a:xfrm>
          <a:prstGeom prst="rect">
            <a:avLst/>
          </a:prstGeom>
        </xdr:spPr>
      </xdr:pic>
      <xdr:pic>
        <xdr:nvPicPr>
          <xdr:cNvPr id="5" name="object 4">
            <a:extLst>
              <a:ext uri="{FF2B5EF4-FFF2-40B4-BE49-F238E27FC236}">
                <a16:creationId xmlns:a16="http://schemas.microsoft.com/office/drawing/2014/main" id="{BF9EAACB-2383-6A35-EACC-3ACE64079927}"/>
              </a:ext>
            </a:extLst>
          </xdr:cNvPr>
          <xdr:cNvPicPr/>
        </xdr:nvPicPr>
        <xdr:blipFill>
          <a:blip xmlns:r="http://schemas.openxmlformats.org/officeDocument/2006/relationships" r:embed="rId3" cstate="print"/>
          <a:stretch>
            <a:fillRect/>
          </a:stretch>
        </xdr:blipFill>
        <xdr:spPr>
          <a:xfrm>
            <a:off x="17126421" y="9656457"/>
            <a:ext cx="1872916" cy="832018"/>
          </a:xfrm>
          <a:prstGeom prst="rect">
            <a:avLst/>
          </a:prstGeom>
        </xdr:spPr>
      </xdr:pic>
    </xdr:grp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297467</xdr:colOff>
      <xdr:row>24</xdr:row>
      <xdr:rowOff>182844</xdr:rowOff>
    </xdr:from>
    <xdr:to>
      <xdr:col>1</xdr:col>
      <xdr:colOff>184367</xdr:colOff>
      <xdr:row>24</xdr:row>
      <xdr:rowOff>182844</xdr:rowOff>
    </xdr:to>
    <xdr:grpSp>
      <xdr:nvGrpSpPr>
        <xdr:cNvPr id="2" name="Agrupar 20">
          <a:extLst>
            <a:ext uri="{FF2B5EF4-FFF2-40B4-BE49-F238E27FC236}">
              <a16:creationId xmlns:a16="http://schemas.microsoft.com/office/drawing/2014/main" id="{1E969742-39DC-4ADB-8FFF-E17C3E3F976C}"/>
            </a:ext>
          </a:extLst>
        </xdr:cNvPr>
        <xdr:cNvGrpSpPr/>
      </xdr:nvGrpSpPr>
      <xdr:grpSpPr>
        <a:xfrm>
          <a:off x="295562" y="4862946"/>
          <a:ext cx="1282111" cy="0"/>
          <a:chOff x="17126421" y="9656457"/>
          <a:chExt cx="2035297" cy="832018"/>
        </a:xfrm>
      </xdr:grpSpPr>
      <xdr:pic>
        <xdr:nvPicPr>
          <xdr:cNvPr id="3" name="object 2">
            <a:extLst>
              <a:ext uri="{FF2B5EF4-FFF2-40B4-BE49-F238E27FC236}">
                <a16:creationId xmlns:a16="http://schemas.microsoft.com/office/drawing/2014/main" id="{54FFC498-EA37-CFC9-3B29-EDF2E7761EB2}"/>
              </a:ext>
            </a:extLst>
          </xdr:cNvPr>
          <xdr:cNvPicPr/>
        </xdr:nvPicPr>
        <xdr:blipFill>
          <a:blip xmlns:r="http://schemas.openxmlformats.org/officeDocument/2006/relationships" r:embed="rId1" cstate="print"/>
          <a:stretch>
            <a:fillRect/>
          </a:stretch>
        </xdr:blipFill>
        <xdr:spPr>
          <a:xfrm>
            <a:off x="19059921" y="10137926"/>
            <a:ext cx="101797" cy="101797"/>
          </a:xfrm>
          <a:prstGeom prst="rect">
            <a:avLst/>
          </a:prstGeom>
        </xdr:spPr>
      </xdr:pic>
      <xdr:pic>
        <xdr:nvPicPr>
          <xdr:cNvPr id="4" name="object 3">
            <a:extLst>
              <a:ext uri="{FF2B5EF4-FFF2-40B4-BE49-F238E27FC236}">
                <a16:creationId xmlns:a16="http://schemas.microsoft.com/office/drawing/2014/main" id="{425FD8A7-E1C3-F143-F6E9-06E00E1E5E4C}"/>
              </a:ext>
            </a:extLst>
          </xdr:cNvPr>
          <xdr:cNvPicPr/>
        </xdr:nvPicPr>
        <xdr:blipFill>
          <a:blip xmlns:r="http://schemas.openxmlformats.org/officeDocument/2006/relationships" r:embed="rId2" cstate="print"/>
          <a:stretch>
            <a:fillRect/>
          </a:stretch>
        </xdr:blipFill>
        <xdr:spPr>
          <a:xfrm>
            <a:off x="19059921" y="9921639"/>
            <a:ext cx="101797" cy="101797"/>
          </a:xfrm>
          <a:prstGeom prst="rect">
            <a:avLst/>
          </a:prstGeom>
        </xdr:spPr>
      </xdr:pic>
      <xdr:pic>
        <xdr:nvPicPr>
          <xdr:cNvPr id="5" name="object 4">
            <a:extLst>
              <a:ext uri="{FF2B5EF4-FFF2-40B4-BE49-F238E27FC236}">
                <a16:creationId xmlns:a16="http://schemas.microsoft.com/office/drawing/2014/main" id="{BCEE28AC-D764-D4D7-05BB-308383F4EC37}"/>
              </a:ext>
            </a:extLst>
          </xdr:cNvPr>
          <xdr:cNvPicPr/>
        </xdr:nvPicPr>
        <xdr:blipFill>
          <a:blip xmlns:r="http://schemas.openxmlformats.org/officeDocument/2006/relationships" r:embed="rId3" cstate="print"/>
          <a:stretch>
            <a:fillRect/>
          </a:stretch>
        </xdr:blipFill>
        <xdr:spPr>
          <a:xfrm>
            <a:off x="17126421" y="9656457"/>
            <a:ext cx="1872916" cy="832018"/>
          </a:xfrm>
          <a:prstGeom prst="rect">
            <a:avLst/>
          </a:prstGeom>
        </xdr:spPr>
      </xdr:pic>
    </xdr:grp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297467</xdr:colOff>
      <xdr:row>24</xdr:row>
      <xdr:rowOff>182844</xdr:rowOff>
    </xdr:from>
    <xdr:to>
      <xdr:col>1</xdr:col>
      <xdr:colOff>184367</xdr:colOff>
      <xdr:row>24</xdr:row>
      <xdr:rowOff>182844</xdr:rowOff>
    </xdr:to>
    <xdr:grpSp>
      <xdr:nvGrpSpPr>
        <xdr:cNvPr id="2" name="Agrupar 20">
          <a:extLst>
            <a:ext uri="{FF2B5EF4-FFF2-40B4-BE49-F238E27FC236}">
              <a16:creationId xmlns:a16="http://schemas.microsoft.com/office/drawing/2014/main" id="{ADA32F07-9131-4C96-9F63-E49D1B90CD61}"/>
            </a:ext>
          </a:extLst>
        </xdr:cNvPr>
        <xdr:cNvGrpSpPr/>
      </xdr:nvGrpSpPr>
      <xdr:grpSpPr>
        <a:xfrm>
          <a:off x="295562" y="4862946"/>
          <a:ext cx="1282111" cy="0"/>
          <a:chOff x="17126421" y="9656457"/>
          <a:chExt cx="2035297" cy="832018"/>
        </a:xfrm>
      </xdr:grpSpPr>
      <xdr:pic>
        <xdr:nvPicPr>
          <xdr:cNvPr id="3" name="object 2">
            <a:extLst>
              <a:ext uri="{FF2B5EF4-FFF2-40B4-BE49-F238E27FC236}">
                <a16:creationId xmlns:a16="http://schemas.microsoft.com/office/drawing/2014/main" id="{0BBAA6E6-A809-EE30-38AE-3EF9A0AAD966}"/>
              </a:ext>
            </a:extLst>
          </xdr:cNvPr>
          <xdr:cNvPicPr/>
        </xdr:nvPicPr>
        <xdr:blipFill>
          <a:blip xmlns:r="http://schemas.openxmlformats.org/officeDocument/2006/relationships" r:embed="rId1" cstate="print"/>
          <a:stretch>
            <a:fillRect/>
          </a:stretch>
        </xdr:blipFill>
        <xdr:spPr>
          <a:xfrm>
            <a:off x="19059921" y="10137926"/>
            <a:ext cx="101797" cy="101797"/>
          </a:xfrm>
          <a:prstGeom prst="rect">
            <a:avLst/>
          </a:prstGeom>
        </xdr:spPr>
      </xdr:pic>
      <xdr:pic>
        <xdr:nvPicPr>
          <xdr:cNvPr id="4" name="object 3">
            <a:extLst>
              <a:ext uri="{FF2B5EF4-FFF2-40B4-BE49-F238E27FC236}">
                <a16:creationId xmlns:a16="http://schemas.microsoft.com/office/drawing/2014/main" id="{6BACBD70-3435-2DC8-6052-5A764FF01829}"/>
              </a:ext>
            </a:extLst>
          </xdr:cNvPr>
          <xdr:cNvPicPr/>
        </xdr:nvPicPr>
        <xdr:blipFill>
          <a:blip xmlns:r="http://schemas.openxmlformats.org/officeDocument/2006/relationships" r:embed="rId2" cstate="print"/>
          <a:stretch>
            <a:fillRect/>
          </a:stretch>
        </xdr:blipFill>
        <xdr:spPr>
          <a:xfrm>
            <a:off x="19059921" y="9921639"/>
            <a:ext cx="101797" cy="101797"/>
          </a:xfrm>
          <a:prstGeom prst="rect">
            <a:avLst/>
          </a:prstGeom>
        </xdr:spPr>
      </xdr:pic>
      <xdr:pic>
        <xdr:nvPicPr>
          <xdr:cNvPr id="5" name="object 4">
            <a:extLst>
              <a:ext uri="{FF2B5EF4-FFF2-40B4-BE49-F238E27FC236}">
                <a16:creationId xmlns:a16="http://schemas.microsoft.com/office/drawing/2014/main" id="{D69384F8-B374-CEB1-E454-286760CEC1C8}"/>
              </a:ext>
            </a:extLst>
          </xdr:cNvPr>
          <xdr:cNvPicPr/>
        </xdr:nvPicPr>
        <xdr:blipFill>
          <a:blip xmlns:r="http://schemas.openxmlformats.org/officeDocument/2006/relationships" r:embed="rId3" cstate="print"/>
          <a:stretch>
            <a:fillRect/>
          </a:stretch>
        </xdr:blipFill>
        <xdr:spPr>
          <a:xfrm>
            <a:off x="17126421" y="9656457"/>
            <a:ext cx="1872916" cy="832018"/>
          </a:xfrm>
          <a:prstGeom prst="rect">
            <a:avLst/>
          </a:prstGeom>
        </xdr:spPr>
      </xdr:pic>
    </xdr:grp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297467</xdr:colOff>
      <xdr:row>24</xdr:row>
      <xdr:rowOff>182844</xdr:rowOff>
    </xdr:from>
    <xdr:to>
      <xdr:col>1</xdr:col>
      <xdr:colOff>184367</xdr:colOff>
      <xdr:row>24</xdr:row>
      <xdr:rowOff>182844</xdr:rowOff>
    </xdr:to>
    <xdr:grpSp>
      <xdr:nvGrpSpPr>
        <xdr:cNvPr id="2" name="Agrupar 20">
          <a:extLst>
            <a:ext uri="{FF2B5EF4-FFF2-40B4-BE49-F238E27FC236}">
              <a16:creationId xmlns:a16="http://schemas.microsoft.com/office/drawing/2014/main" id="{AD5D0866-2E33-4069-9FDC-5775BC061B34}"/>
            </a:ext>
          </a:extLst>
        </xdr:cNvPr>
        <xdr:cNvGrpSpPr/>
      </xdr:nvGrpSpPr>
      <xdr:grpSpPr>
        <a:xfrm>
          <a:off x="295562" y="4862946"/>
          <a:ext cx="1282111" cy="0"/>
          <a:chOff x="17126421" y="9656457"/>
          <a:chExt cx="2035297" cy="832018"/>
        </a:xfrm>
      </xdr:grpSpPr>
      <xdr:pic>
        <xdr:nvPicPr>
          <xdr:cNvPr id="3" name="object 2">
            <a:extLst>
              <a:ext uri="{FF2B5EF4-FFF2-40B4-BE49-F238E27FC236}">
                <a16:creationId xmlns:a16="http://schemas.microsoft.com/office/drawing/2014/main" id="{8C351C36-225C-712B-A81E-B0FEBE734A83}"/>
              </a:ext>
            </a:extLst>
          </xdr:cNvPr>
          <xdr:cNvPicPr/>
        </xdr:nvPicPr>
        <xdr:blipFill>
          <a:blip xmlns:r="http://schemas.openxmlformats.org/officeDocument/2006/relationships" r:embed="rId1" cstate="print"/>
          <a:stretch>
            <a:fillRect/>
          </a:stretch>
        </xdr:blipFill>
        <xdr:spPr>
          <a:xfrm>
            <a:off x="19059921" y="10137926"/>
            <a:ext cx="101797" cy="101797"/>
          </a:xfrm>
          <a:prstGeom prst="rect">
            <a:avLst/>
          </a:prstGeom>
        </xdr:spPr>
      </xdr:pic>
      <xdr:pic>
        <xdr:nvPicPr>
          <xdr:cNvPr id="4" name="object 3">
            <a:extLst>
              <a:ext uri="{FF2B5EF4-FFF2-40B4-BE49-F238E27FC236}">
                <a16:creationId xmlns:a16="http://schemas.microsoft.com/office/drawing/2014/main" id="{77320703-C8FF-08A1-D0EC-0F766933CF93}"/>
              </a:ext>
            </a:extLst>
          </xdr:cNvPr>
          <xdr:cNvPicPr/>
        </xdr:nvPicPr>
        <xdr:blipFill>
          <a:blip xmlns:r="http://schemas.openxmlformats.org/officeDocument/2006/relationships" r:embed="rId2" cstate="print"/>
          <a:stretch>
            <a:fillRect/>
          </a:stretch>
        </xdr:blipFill>
        <xdr:spPr>
          <a:xfrm>
            <a:off x="19059921" y="9921639"/>
            <a:ext cx="101797" cy="101797"/>
          </a:xfrm>
          <a:prstGeom prst="rect">
            <a:avLst/>
          </a:prstGeom>
        </xdr:spPr>
      </xdr:pic>
      <xdr:pic>
        <xdr:nvPicPr>
          <xdr:cNvPr id="5" name="object 4">
            <a:extLst>
              <a:ext uri="{FF2B5EF4-FFF2-40B4-BE49-F238E27FC236}">
                <a16:creationId xmlns:a16="http://schemas.microsoft.com/office/drawing/2014/main" id="{A1F10522-587D-1C41-9D1C-77E9695F7842}"/>
              </a:ext>
            </a:extLst>
          </xdr:cNvPr>
          <xdr:cNvPicPr/>
        </xdr:nvPicPr>
        <xdr:blipFill>
          <a:blip xmlns:r="http://schemas.openxmlformats.org/officeDocument/2006/relationships" r:embed="rId3" cstate="print"/>
          <a:stretch>
            <a:fillRect/>
          </a:stretch>
        </xdr:blipFill>
        <xdr:spPr>
          <a:xfrm>
            <a:off x="17126421" y="9656457"/>
            <a:ext cx="1872916" cy="832018"/>
          </a:xfrm>
          <a:prstGeom prst="rect">
            <a:avLst/>
          </a:prstGeom>
        </xdr:spPr>
      </xdr:pic>
    </xdr:grp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297467</xdr:colOff>
      <xdr:row>24</xdr:row>
      <xdr:rowOff>182844</xdr:rowOff>
    </xdr:from>
    <xdr:to>
      <xdr:col>1</xdr:col>
      <xdr:colOff>184367</xdr:colOff>
      <xdr:row>24</xdr:row>
      <xdr:rowOff>182844</xdr:rowOff>
    </xdr:to>
    <xdr:grpSp>
      <xdr:nvGrpSpPr>
        <xdr:cNvPr id="2" name="Agrupar 20">
          <a:extLst>
            <a:ext uri="{FF2B5EF4-FFF2-40B4-BE49-F238E27FC236}">
              <a16:creationId xmlns:a16="http://schemas.microsoft.com/office/drawing/2014/main" id="{D3AC66A6-6F47-492F-8755-027D8DA9074D}"/>
            </a:ext>
          </a:extLst>
        </xdr:cNvPr>
        <xdr:cNvGrpSpPr/>
      </xdr:nvGrpSpPr>
      <xdr:grpSpPr>
        <a:xfrm>
          <a:off x="295562" y="4862946"/>
          <a:ext cx="1282111" cy="0"/>
          <a:chOff x="17126421" y="9656457"/>
          <a:chExt cx="2035297" cy="832018"/>
        </a:xfrm>
      </xdr:grpSpPr>
      <xdr:pic>
        <xdr:nvPicPr>
          <xdr:cNvPr id="3" name="object 2">
            <a:extLst>
              <a:ext uri="{FF2B5EF4-FFF2-40B4-BE49-F238E27FC236}">
                <a16:creationId xmlns:a16="http://schemas.microsoft.com/office/drawing/2014/main" id="{379BC645-E983-843D-C3C3-25659D81CA44}"/>
              </a:ext>
            </a:extLst>
          </xdr:cNvPr>
          <xdr:cNvPicPr/>
        </xdr:nvPicPr>
        <xdr:blipFill>
          <a:blip xmlns:r="http://schemas.openxmlformats.org/officeDocument/2006/relationships" r:embed="rId1" cstate="print"/>
          <a:stretch>
            <a:fillRect/>
          </a:stretch>
        </xdr:blipFill>
        <xdr:spPr>
          <a:xfrm>
            <a:off x="19059921" y="10137926"/>
            <a:ext cx="101797" cy="101797"/>
          </a:xfrm>
          <a:prstGeom prst="rect">
            <a:avLst/>
          </a:prstGeom>
        </xdr:spPr>
      </xdr:pic>
      <xdr:pic>
        <xdr:nvPicPr>
          <xdr:cNvPr id="4" name="object 3">
            <a:extLst>
              <a:ext uri="{FF2B5EF4-FFF2-40B4-BE49-F238E27FC236}">
                <a16:creationId xmlns:a16="http://schemas.microsoft.com/office/drawing/2014/main" id="{ADA2E97E-AFE7-2148-BA32-11380919D293}"/>
              </a:ext>
            </a:extLst>
          </xdr:cNvPr>
          <xdr:cNvPicPr/>
        </xdr:nvPicPr>
        <xdr:blipFill>
          <a:blip xmlns:r="http://schemas.openxmlformats.org/officeDocument/2006/relationships" r:embed="rId2" cstate="print"/>
          <a:stretch>
            <a:fillRect/>
          </a:stretch>
        </xdr:blipFill>
        <xdr:spPr>
          <a:xfrm>
            <a:off x="19059921" y="9921639"/>
            <a:ext cx="101797" cy="101797"/>
          </a:xfrm>
          <a:prstGeom prst="rect">
            <a:avLst/>
          </a:prstGeom>
        </xdr:spPr>
      </xdr:pic>
      <xdr:pic>
        <xdr:nvPicPr>
          <xdr:cNvPr id="5" name="object 4">
            <a:extLst>
              <a:ext uri="{FF2B5EF4-FFF2-40B4-BE49-F238E27FC236}">
                <a16:creationId xmlns:a16="http://schemas.microsoft.com/office/drawing/2014/main" id="{8D9FA0C0-37CC-D81D-17BE-65F1A29E4935}"/>
              </a:ext>
            </a:extLst>
          </xdr:cNvPr>
          <xdr:cNvPicPr/>
        </xdr:nvPicPr>
        <xdr:blipFill>
          <a:blip xmlns:r="http://schemas.openxmlformats.org/officeDocument/2006/relationships" r:embed="rId3" cstate="print"/>
          <a:stretch>
            <a:fillRect/>
          </a:stretch>
        </xdr:blipFill>
        <xdr:spPr>
          <a:xfrm>
            <a:off x="17126421" y="9656457"/>
            <a:ext cx="1872916" cy="832018"/>
          </a:xfrm>
          <a:prstGeom prst="rect">
            <a:avLst/>
          </a:prstGeom>
        </xdr:spPr>
      </xdr:pic>
    </xdr:grp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297467</xdr:colOff>
      <xdr:row>24</xdr:row>
      <xdr:rowOff>182844</xdr:rowOff>
    </xdr:from>
    <xdr:to>
      <xdr:col>1</xdr:col>
      <xdr:colOff>184367</xdr:colOff>
      <xdr:row>24</xdr:row>
      <xdr:rowOff>182844</xdr:rowOff>
    </xdr:to>
    <xdr:grpSp>
      <xdr:nvGrpSpPr>
        <xdr:cNvPr id="2" name="Agrupar 20">
          <a:extLst>
            <a:ext uri="{FF2B5EF4-FFF2-40B4-BE49-F238E27FC236}">
              <a16:creationId xmlns:a16="http://schemas.microsoft.com/office/drawing/2014/main" id="{22502C95-3B27-4988-A481-26BECCF0F3C0}"/>
            </a:ext>
          </a:extLst>
        </xdr:cNvPr>
        <xdr:cNvGrpSpPr/>
      </xdr:nvGrpSpPr>
      <xdr:grpSpPr>
        <a:xfrm>
          <a:off x="295562" y="4862946"/>
          <a:ext cx="1282111" cy="0"/>
          <a:chOff x="17126421" y="9656457"/>
          <a:chExt cx="2035297" cy="832018"/>
        </a:xfrm>
      </xdr:grpSpPr>
      <xdr:pic>
        <xdr:nvPicPr>
          <xdr:cNvPr id="3" name="object 2">
            <a:extLst>
              <a:ext uri="{FF2B5EF4-FFF2-40B4-BE49-F238E27FC236}">
                <a16:creationId xmlns:a16="http://schemas.microsoft.com/office/drawing/2014/main" id="{18D35375-CC51-E4FD-F5C1-FE2010734F07}"/>
              </a:ext>
            </a:extLst>
          </xdr:cNvPr>
          <xdr:cNvPicPr/>
        </xdr:nvPicPr>
        <xdr:blipFill>
          <a:blip xmlns:r="http://schemas.openxmlformats.org/officeDocument/2006/relationships" r:embed="rId1" cstate="print"/>
          <a:stretch>
            <a:fillRect/>
          </a:stretch>
        </xdr:blipFill>
        <xdr:spPr>
          <a:xfrm>
            <a:off x="19059921" y="10137926"/>
            <a:ext cx="101797" cy="101797"/>
          </a:xfrm>
          <a:prstGeom prst="rect">
            <a:avLst/>
          </a:prstGeom>
        </xdr:spPr>
      </xdr:pic>
      <xdr:pic>
        <xdr:nvPicPr>
          <xdr:cNvPr id="4" name="object 3">
            <a:extLst>
              <a:ext uri="{FF2B5EF4-FFF2-40B4-BE49-F238E27FC236}">
                <a16:creationId xmlns:a16="http://schemas.microsoft.com/office/drawing/2014/main" id="{A9010358-91A6-14FD-2A64-64A57E6782C9}"/>
              </a:ext>
            </a:extLst>
          </xdr:cNvPr>
          <xdr:cNvPicPr/>
        </xdr:nvPicPr>
        <xdr:blipFill>
          <a:blip xmlns:r="http://schemas.openxmlformats.org/officeDocument/2006/relationships" r:embed="rId2" cstate="print"/>
          <a:stretch>
            <a:fillRect/>
          </a:stretch>
        </xdr:blipFill>
        <xdr:spPr>
          <a:xfrm>
            <a:off x="19059921" y="9921639"/>
            <a:ext cx="101797" cy="101797"/>
          </a:xfrm>
          <a:prstGeom prst="rect">
            <a:avLst/>
          </a:prstGeom>
        </xdr:spPr>
      </xdr:pic>
      <xdr:pic>
        <xdr:nvPicPr>
          <xdr:cNvPr id="5" name="object 4">
            <a:extLst>
              <a:ext uri="{FF2B5EF4-FFF2-40B4-BE49-F238E27FC236}">
                <a16:creationId xmlns:a16="http://schemas.microsoft.com/office/drawing/2014/main" id="{BA659DFB-66A7-495D-859B-4D4B9FEFF565}"/>
              </a:ext>
            </a:extLst>
          </xdr:cNvPr>
          <xdr:cNvPicPr/>
        </xdr:nvPicPr>
        <xdr:blipFill>
          <a:blip xmlns:r="http://schemas.openxmlformats.org/officeDocument/2006/relationships" r:embed="rId3" cstate="print"/>
          <a:stretch>
            <a:fillRect/>
          </a:stretch>
        </xdr:blipFill>
        <xdr:spPr>
          <a:xfrm>
            <a:off x="17126421" y="9656457"/>
            <a:ext cx="1872916" cy="832018"/>
          </a:xfrm>
          <a:prstGeom prst="rect">
            <a:avLst/>
          </a:prstGeom>
        </xdr:spPr>
      </xdr:pic>
    </xdr:grpSp>
    <xdr:clientData/>
  </xdr:twoCellAnchor>
</xdr:wsDr>
</file>

<file path=xl/drawings/drawing12.xml><?xml version="1.0" encoding="utf-8"?>
<xdr:wsDr xmlns:xdr="http://schemas.openxmlformats.org/drawingml/2006/spreadsheetDrawing" xmlns:a="http://schemas.openxmlformats.org/drawingml/2006/main">
  <xdr:twoCellAnchor>
    <xdr:from>
      <xdr:col>0</xdr:col>
      <xdr:colOff>297467</xdr:colOff>
      <xdr:row>24</xdr:row>
      <xdr:rowOff>182844</xdr:rowOff>
    </xdr:from>
    <xdr:to>
      <xdr:col>1</xdr:col>
      <xdr:colOff>184367</xdr:colOff>
      <xdr:row>24</xdr:row>
      <xdr:rowOff>182844</xdr:rowOff>
    </xdr:to>
    <xdr:grpSp>
      <xdr:nvGrpSpPr>
        <xdr:cNvPr id="2" name="Agrupar 20">
          <a:extLst>
            <a:ext uri="{FF2B5EF4-FFF2-40B4-BE49-F238E27FC236}">
              <a16:creationId xmlns:a16="http://schemas.microsoft.com/office/drawing/2014/main" id="{ACB79720-1D51-413E-B86A-913DA5030FE1}"/>
            </a:ext>
          </a:extLst>
        </xdr:cNvPr>
        <xdr:cNvGrpSpPr/>
      </xdr:nvGrpSpPr>
      <xdr:grpSpPr>
        <a:xfrm>
          <a:off x="295562" y="4862946"/>
          <a:ext cx="1282111" cy="0"/>
          <a:chOff x="17126421" y="9656457"/>
          <a:chExt cx="2035297" cy="832018"/>
        </a:xfrm>
      </xdr:grpSpPr>
      <xdr:pic>
        <xdr:nvPicPr>
          <xdr:cNvPr id="3" name="object 2">
            <a:extLst>
              <a:ext uri="{FF2B5EF4-FFF2-40B4-BE49-F238E27FC236}">
                <a16:creationId xmlns:a16="http://schemas.microsoft.com/office/drawing/2014/main" id="{B0BF4B12-3447-3896-DA51-7F2F72233A59}"/>
              </a:ext>
            </a:extLst>
          </xdr:cNvPr>
          <xdr:cNvPicPr/>
        </xdr:nvPicPr>
        <xdr:blipFill>
          <a:blip xmlns:r="http://schemas.openxmlformats.org/officeDocument/2006/relationships" r:embed="rId1" cstate="print"/>
          <a:stretch>
            <a:fillRect/>
          </a:stretch>
        </xdr:blipFill>
        <xdr:spPr>
          <a:xfrm>
            <a:off x="19059921" y="10137926"/>
            <a:ext cx="101797" cy="101797"/>
          </a:xfrm>
          <a:prstGeom prst="rect">
            <a:avLst/>
          </a:prstGeom>
        </xdr:spPr>
      </xdr:pic>
      <xdr:pic>
        <xdr:nvPicPr>
          <xdr:cNvPr id="4" name="object 3">
            <a:extLst>
              <a:ext uri="{FF2B5EF4-FFF2-40B4-BE49-F238E27FC236}">
                <a16:creationId xmlns:a16="http://schemas.microsoft.com/office/drawing/2014/main" id="{3AE1B4D3-2D52-2B4B-4328-9B0D6FBD4F10}"/>
              </a:ext>
            </a:extLst>
          </xdr:cNvPr>
          <xdr:cNvPicPr/>
        </xdr:nvPicPr>
        <xdr:blipFill>
          <a:blip xmlns:r="http://schemas.openxmlformats.org/officeDocument/2006/relationships" r:embed="rId2" cstate="print"/>
          <a:stretch>
            <a:fillRect/>
          </a:stretch>
        </xdr:blipFill>
        <xdr:spPr>
          <a:xfrm>
            <a:off x="19059921" y="9921639"/>
            <a:ext cx="101797" cy="101797"/>
          </a:xfrm>
          <a:prstGeom prst="rect">
            <a:avLst/>
          </a:prstGeom>
        </xdr:spPr>
      </xdr:pic>
      <xdr:pic>
        <xdr:nvPicPr>
          <xdr:cNvPr id="5" name="object 4">
            <a:extLst>
              <a:ext uri="{FF2B5EF4-FFF2-40B4-BE49-F238E27FC236}">
                <a16:creationId xmlns:a16="http://schemas.microsoft.com/office/drawing/2014/main" id="{C0FFF8BD-86E4-1C01-370D-C90C19CA0B26}"/>
              </a:ext>
            </a:extLst>
          </xdr:cNvPr>
          <xdr:cNvPicPr/>
        </xdr:nvPicPr>
        <xdr:blipFill>
          <a:blip xmlns:r="http://schemas.openxmlformats.org/officeDocument/2006/relationships" r:embed="rId3" cstate="print"/>
          <a:stretch>
            <a:fillRect/>
          </a:stretch>
        </xdr:blipFill>
        <xdr:spPr>
          <a:xfrm>
            <a:off x="17126421" y="9656457"/>
            <a:ext cx="1872916" cy="832018"/>
          </a:xfrm>
          <a:prstGeom prst="rect">
            <a:avLst/>
          </a:prstGeom>
        </xdr:spPr>
      </xdr:pic>
    </xdr:grpSp>
    <xdr:clientData/>
  </xdr:twoCellAnchor>
</xdr:wsDr>
</file>

<file path=xl/drawings/drawing13.xml><?xml version="1.0" encoding="utf-8"?>
<xdr:wsDr xmlns:xdr="http://schemas.openxmlformats.org/drawingml/2006/spreadsheetDrawing" xmlns:a="http://schemas.openxmlformats.org/drawingml/2006/main">
  <xdr:twoCellAnchor>
    <xdr:from>
      <xdr:col>0</xdr:col>
      <xdr:colOff>297467</xdr:colOff>
      <xdr:row>24</xdr:row>
      <xdr:rowOff>182844</xdr:rowOff>
    </xdr:from>
    <xdr:to>
      <xdr:col>1</xdr:col>
      <xdr:colOff>184367</xdr:colOff>
      <xdr:row>24</xdr:row>
      <xdr:rowOff>182844</xdr:rowOff>
    </xdr:to>
    <xdr:grpSp>
      <xdr:nvGrpSpPr>
        <xdr:cNvPr id="2" name="Agrupar 20">
          <a:extLst>
            <a:ext uri="{FF2B5EF4-FFF2-40B4-BE49-F238E27FC236}">
              <a16:creationId xmlns:a16="http://schemas.microsoft.com/office/drawing/2014/main" id="{BFE651AF-D486-4D78-B2AF-9FB1516D8FEB}"/>
            </a:ext>
          </a:extLst>
        </xdr:cNvPr>
        <xdr:cNvGrpSpPr/>
      </xdr:nvGrpSpPr>
      <xdr:grpSpPr>
        <a:xfrm>
          <a:off x="295562" y="4862946"/>
          <a:ext cx="1282111" cy="0"/>
          <a:chOff x="17126421" y="9656457"/>
          <a:chExt cx="2035297" cy="832018"/>
        </a:xfrm>
      </xdr:grpSpPr>
      <xdr:pic>
        <xdr:nvPicPr>
          <xdr:cNvPr id="3" name="object 2">
            <a:extLst>
              <a:ext uri="{FF2B5EF4-FFF2-40B4-BE49-F238E27FC236}">
                <a16:creationId xmlns:a16="http://schemas.microsoft.com/office/drawing/2014/main" id="{968748CB-E342-C91E-4470-4E9091674C32}"/>
              </a:ext>
            </a:extLst>
          </xdr:cNvPr>
          <xdr:cNvPicPr/>
        </xdr:nvPicPr>
        <xdr:blipFill>
          <a:blip xmlns:r="http://schemas.openxmlformats.org/officeDocument/2006/relationships" r:embed="rId1" cstate="print"/>
          <a:stretch>
            <a:fillRect/>
          </a:stretch>
        </xdr:blipFill>
        <xdr:spPr>
          <a:xfrm>
            <a:off x="19059921" y="10137926"/>
            <a:ext cx="101797" cy="101797"/>
          </a:xfrm>
          <a:prstGeom prst="rect">
            <a:avLst/>
          </a:prstGeom>
        </xdr:spPr>
      </xdr:pic>
      <xdr:pic>
        <xdr:nvPicPr>
          <xdr:cNvPr id="4" name="object 3">
            <a:extLst>
              <a:ext uri="{FF2B5EF4-FFF2-40B4-BE49-F238E27FC236}">
                <a16:creationId xmlns:a16="http://schemas.microsoft.com/office/drawing/2014/main" id="{58B02692-A398-9CBB-32D9-D8DAFC002318}"/>
              </a:ext>
            </a:extLst>
          </xdr:cNvPr>
          <xdr:cNvPicPr/>
        </xdr:nvPicPr>
        <xdr:blipFill>
          <a:blip xmlns:r="http://schemas.openxmlformats.org/officeDocument/2006/relationships" r:embed="rId2" cstate="print"/>
          <a:stretch>
            <a:fillRect/>
          </a:stretch>
        </xdr:blipFill>
        <xdr:spPr>
          <a:xfrm>
            <a:off x="19059921" y="9921639"/>
            <a:ext cx="101797" cy="101797"/>
          </a:xfrm>
          <a:prstGeom prst="rect">
            <a:avLst/>
          </a:prstGeom>
        </xdr:spPr>
      </xdr:pic>
      <xdr:pic>
        <xdr:nvPicPr>
          <xdr:cNvPr id="5" name="object 4">
            <a:extLst>
              <a:ext uri="{FF2B5EF4-FFF2-40B4-BE49-F238E27FC236}">
                <a16:creationId xmlns:a16="http://schemas.microsoft.com/office/drawing/2014/main" id="{A4445676-A087-358A-5BBF-486F95DE11B3}"/>
              </a:ext>
            </a:extLst>
          </xdr:cNvPr>
          <xdr:cNvPicPr/>
        </xdr:nvPicPr>
        <xdr:blipFill>
          <a:blip xmlns:r="http://schemas.openxmlformats.org/officeDocument/2006/relationships" r:embed="rId3" cstate="print"/>
          <a:stretch>
            <a:fillRect/>
          </a:stretch>
        </xdr:blipFill>
        <xdr:spPr>
          <a:xfrm>
            <a:off x="17126421" y="9656457"/>
            <a:ext cx="1872916" cy="832018"/>
          </a:xfrm>
          <a:prstGeom prst="rect">
            <a:avLst/>
          </a:prstGeom>
        </xdr:spPr>
      </xdr:pic>
    </xdr:grpSp>
    <xdr:clientData/>
  </xdr:twoCellAnchor>
</xdr:wsDr>
</file>

<file path=xl/drawings/drawing14.xml><?xml version="1.0" encoding="utf-8"?>
<xdr:wsDr xmlns:xdr="http://schemas.openxmlformats.org/drawingml/2006/spreadsheetDrawing" xmlns:a="http://schemas.openxmlformats.org/drawingml/2006/main">
  <xdr:twoCellAnchor>
    <xdr:from>
      <xdr:col>0</xdr:col>
      <xdr:colOff>297467</xdr:colOff>
      <xdr:row>24</xdr:row>
      <xdr:rowOff>182844</xdr:rowOff>
    </xdr:from>
    <xdr:to>
      <xdr:col>1</xdr:col>
      <xdr:colOff>184367</xdr:colOff>
      <xdr:row>24</xdr:row>
      <xdr:rowOff>182844</xdr:rowOff>
    </xdr:to>
    <xdr:grpSp>
      <xdr:nvGrpSpPr>
        <xdr:cNvPr id="2" name="Agrupar 20">
          <a:extLst>
            <a:ext uri="{FF2B5EF4-FFF2-40B4-BE49-F238E27FC236}">
              <a16:creationId xmlns:a16="http://schemas.microsoft.com/office/drawing/2014/main" id="{536EADFA-6270-423A-AB8A-B8854D3870C1}"/>
            </a:ext>
          </a:extLst>
        </xdr:cNvPr>
        <xdr:cNvGrpSpPr/>
      </xdr:nvGrpSpPr>
      <xdr:grpSpPr>
        <a:xfrm>
          <a:off x="295562" y="4862946"/>
          <a:ext cx="1282111" cy="0"/>
          <a:chOff x="17126421" y="9656457"/>
          <a:chExt cx="2035297" cy="832018"/>
        </a:xfrm>
      </xdr:grpSpPr>
      <xdr:pic>
        <xdr:nvPicPr>
          <xdr:cNvPr id="3" name="object 2">
            <a:extLst>
              <a:ext uri="{FF2B5EF4-FFF2-40B4-BE49-F238E27FC236}">
                <a16:creationId xmlns:a16="http://schemas.microsoft.com/office/drawing/2014/main" id="{81971BEF-29D4-6475-FC76-70DF029FEAD3}"/>
              </a:ext>
            </a:extLst>
          </xdr:cNvPr>
          <xdr:cNvPicPr/>
        </xdr:nvPicPr>
        <xdr:blipFill>
          <a:blip xmlns:r="http://schemas.openxmlformats.org/officeDocument/2006/relationships" r:embed="rId1" cstate="print"/>
          <a:stretch>
            <a:fillRect/>
          </a:stretch>
        </xdr:blipFill>
        <xdr:spPr>
          <a:xfrm>
            <a:off x="19059921" y="10137926"/>
            <a:ext cx="101797" cy="101797"/>
          </a:xfrm>
          <a:prstGeom prst="rect">
            <a:avLst/>
          </a:prstGeom>
        </xdr:spPr>
      </xdr:pic>
      <xdr:pic>
        <xdr:nvPicPr>
          <xdr:cNvPr id="4" name="object 3">
            <a:extLst>
              <a:ext uri="{FF2B5EF4-FFF2-40B4-BE49-F238E27FC236}">
                <a16:creationId xmlns:a16="http://schemas.microsoft.com/office/drawing/2014/main" id="{6F9957C9-A308-191D-F864-C5406B4BCF02}"/>
              </a:ext>
            </a:extLst>
          </xdr:cNvPr>
          <xdr:cNvPicPr/>
        </xdr:nvPicPr>
        <xdr:blipFill>
          <a:blip xmlns:r="http://schemas.openxmlformats.org/officeDocument/2006/relationships" r:embed="rId2" cstate="print"/>
          <a:stretch>
            <a:fillRect/>
          </a:stretch>
        </xdr:blipFill>
        <xdr:spPr>
          <a:xfrm>
            <a:off x="19059921" y="9921639"/>
            <a:ext cx="101797" cy="101797"/>
          </a:xfrm>
          <a:prstGeom prst="rect">
            <a:avLst/>
          </a:prstGeom>
        </xdr:spPr>
      </xdr:pic>
      <xdr:pic>
        <xdr:nvPicPr>
          <xdr:cNvPr id="5" name="object 4">
            <a:extLst>
              <a:ext uri="{FF2B5EF4-FFF2-40B4-BE49-F238E27FC236}">
                <a16:creationId xmlns:a16="http://schemas.microsoft.com/office/drawing/2014/main" id="{C52FC17C-64BE-BC84-AF06-44C64B1E2226}"/>
              </a:ext>
            </a:extLst>
          </xdr:cNvPr>
          <xdr:cNvPicPr/>
        </xdr:nvPicPr>
        <xdr:blipFill>
          <a:blip xmlns:r="http://schemas.openxmlformats.org/officeDocument/2006/relationships" r:embed="rId3" cstate="print"/>
          <a:stretch>
            <a:fillRect/>
          </a:stretch>
        </xdr:blipFill>
        <xdr:spPr>
          <a:xfrm>
            <a:off x="17126421" y="9656457"/>
            <a:ext cx="1872916" cy="832018"/>
          </a:xfrm>
          <a:prstGeom prst="rect">
            <a:avLst/>
          </a:prstGeom>
        </xdr:spPr>
      </xdr:pic>
    </xdr:grpSp>
    <xdr:clientData/>
  </xdr:twoCellAnchor>
</xdr:wsDr>
</file>

<file path=xl/drawings/drawing15.xml><?xml version="1.0" encoding="utf-8"?>
<xdr:wsDr xmlns:xdr="http://schemas.openxmlformats.org/drawingml/2006/spreadsheetDrawing" xmlns:a="http://schemas.openxmlformats.org/drawingml/2006/main">
  <xdr:twoCellAnchor>
    <xdr:from>
      <xdr:col>0</xdr:col>
      <xdr:colOff>297467</xdr:colOff>
      <xdr:row>24</xdr:row>
      <xdr:rowOff>182844</xdr:rowOff>
    </xdr:from>
    <xdr:to>
      <xdr:col>1</xdr:col>
      <xdr:colOff>184367</xdr:colOff>
      <xdr:row>24</xdr:row>
      <xdr:rowOff>182844</xdr:rowOff>
    </xdr:to>
    <xdr:grpSp>
      <xdr:nvGrpSpPr>
        <xdr:cNvPr id="2" name="Agrupar 20">
          <a:extLst>
            <a:ext uri="{FF2B5EF4-FFF2-40B4-BE49-F238E27FC236}">
              <a16:creationId xmlns:a16="http://schemas.microsoft.com/office/drawing/2014/main" id="{3F440BB4-EBBD-4A2C-89FD-F4E9A58E3A5D}"/>
            </a:ext>
          </a:extLst>
        </xdr:cNvPr>
        <xdr:cNvGrpSpPr/>
      </xdr:nvGrpSpPr>
      <xdr:grpSpPr>
        <a:xfrm>
          <a:off x="295562" y="4862946"/>
          <a:ext cx="1282111" cy="0"/>
          <a:chOff x="17126421" y="9656457"/>
          <a:chExt cx="2035297" cy="832018"/>
        </a:xfrm>
      </xdr:grpSpPr>
      <xdr:pic>
        <xdr:nvPicPr>
          <xdr:cNvPr id="3" name="object 2">
            <a:extLst>
              <a:ext uri="{FF2B5EF4-FFF2-40B4-BE49-F238E27FC236}">
                <a16:creationId xmlns:a16="http://schemas.microsoft.com/office/drawing/2014/main" id="{CE33ACB3-0E64-C141-0D93-445DD2476D5E}"/>
              </a:ext>
            </a:extLst>
          </xdr:cNvPr>
          <xdr:cNvPicPr/>
        </xdr:nvPicPr>
        <xdr:blipFill>
          <a:blip xmlns:r="http://schemas.openxmlformats.org/officeDocument/2006/relationships" r:embed="rId1" cstate="print"/>
          <a:stretch>
            <a:fillRect/>
          </a:stretch>
        </xdr:blipFill>
        <xdr:spPr>
          <a:xfrm>
            <a:off x="19059921" y="10137926"/>
            <a:ext cx="101797" cy="101797"/>
          </a:xfrm>
          <a:prstGeom prst="rect">
            <a:avLst/>
          </a:prstGeom>
        </xdr:spPr>
      </xdr:pic>
      <xdr:pic>
        <xdr:nvPicPr>
          <xdr:cNvPr id="4" name="object 3">
            <a:extLst>
              <a:ext uri="{FF2B5EF4-FFF2-40B4-BE49-F238E27FC236}">
                <a16:creationId xmlns:a16="http://schemas.microsoft.com/office/drawing/2014/main" id="{D9162EFF-0A29-008E-2BE0-FDBF3F765A53}"/>
              </a:ext>
            </a:extLst>
          </xdr:cNvPr>
          <xdr:cNvPicPr/>
        </xdr:nvPicPr>
        <xdr:blipFill>
          <a:blip xmlns:r="http://schemas.openxmlformats.org/officeDocument/2006/relationships" r:embed="rId2" cstate="print"/>
          <a:stretch>
            <a:fillRect/>
          </a:stretch>
        </xdr:blipFill>
        <xdr:spPr>
          <a:xfrm>
            <a:off x="19059921" y="9921639"/>
            <a:ext cx="101797" cy="101797"/>
          </a:xfrm>
          <a:prstGeom prst="rect">
            <a:avLst/>
          </a:prstGeom>
        </xdr:spPr>
      </xdr:pic>
      <xdr:pic>
        <xdr:nvPicPr>
          <xdr:cNvPr id="5" name="object 4">
            <a:extLst>
              <a:ext uri="{FF2B5EF4-FFF2-40B4-BE49-F238E27FC236}">
                <a16:creationId xmlns:a16="http://schemas.microsoft.com/office/drawing/2014/main" id="{A13DCAEF-49A9-6C5A-F5C7-876FA6336E7B}"/>
              </a:ext>
            </a:extLst>
          </xdr:cNvPr>
          <xdr:cNvPicPr/>
        </xdr:nvPicPr>
        <xdr:blipFill>
          <a:blip xmlns:r="http://schemas.openxmlformats.org/officeDocument/2006/relationships" r:embed="rId3" cstate="print"/>
          <a:stretch>
            <a:fillRect/>
          </a:stretch>
        </xdr:blipFill>
        <xdr:spPr>
          <a:xfrm>
            <a:off x="17126421" y="9656457"/>
            <a:ext cx="1872916" cy="832018"/>
          </a:xfrm>
          <a:prstGeom prst="rect">
            <a:avLst/>
          </a:prstGeom>
        </xdr:spPr>
      </xdr:pic>
    </xdr:grpSp>
    <xdr:clientData/>
  </xdr:twoCellAnchor>
</xdr:wsDr>
</file>

<file path=xl/drawings/drawing16.xml><?xml version="1.0" encoding="utf-8"?>
<xdr:wsDr xmlns:xdr="http://schemas.openxmlformats.org/drawingml/2006/spreadsheetDrawing" xmlns:a="http://schemas.openxmlformats.org/drawingml/2006/main">
  <xdr:twoCellAnchor>
    <xdr:from>
      <xdr:col>0</xdr:col>
      <xdr:colOff>297467</xdr:colOff>
      <xdr:row>24</xdr:row>
      <xdr:rowOff>182844</xdr:rowOff>
    </xdr:from>
    <xdr:to>
      <xdr:col>1</xdr:col>
      <xdr:colOff>184367</xdr:colOff>
      <xdr:row>24</xdr:row>
      <xdr:rowOff>182844</xdr:rowOff>
    </xdr:to>
    <xdr:grpSp>
      <xdr:nvGrpSpPr>
        <xdr:cNvPr id="2" name="Agrupar 20">
          <a:extLst>
            <a:ext uri="{FF2B5EF4-FFF2-40B4-BE49-F238E27FC236}">
              <a16:creationId xmlns:a16="http://schemas.microsoft.com/office/drawing/2014/main" id="{E1026465-B254-40A8-82D5-D4A60E23ED29}"/>
            </a:ext>
          </a:extLst>
        </xdr:cNvPr>
        <xdr:cNvGrpSpPr/>
      </xdr:nvGrpSpPr>
      <xdr:grpSpPr>
        <a:xfrm>
          <a:off x="295562" y="4862946"/>
          <a:ext cx="1282111" cy="0"/>
          <a:chOff x="17126421" y="9656457"/>
          <a:chExt cx="2035297" cy="832018"/>
        </a:xfrm>
      </xdr:grpSpPr>
      <xdr:pic>
        <xdr:nvPicPr>
          <xdr:cNvPr id="3" name="object 2">
            <a:extLst>
              <a:ext uri="{FF2B5EF4-FFF2-40B4-BE49-F238E27FC236}">
                <a16:creationId xmlns:a16="http://schemas.microsoft.com/office/drawing/2014/main" id="{B6A9B850-79F4-0984-02CB-4CCF455250B4}"/>
              </a:ext>
            </a:extLst>
          </xdr:cNvPr>
          <xdr:cNvPicPr/>
        </xdr:nvPicPr>
        <xdr:blipFill>
          <a:blip xmlns:r="http://schemas.openxmlformats.org/officeDocument/2006/relationships" r:embed="rId1" cstate="print"/>
          <a:stretch>
            <a:fillRect/>
          </a:stretch>
        </xdr:blipFill>
        <xdr:spPr>
          <a:xfrm>
            <a:off x="19059921" y="10137926"/>
            <a:ext cx="101797" cy="101797"/>
          </a:xfrm>
          <a:prstGeom prst="rect">
            <a:avLst/>
          </a:prstGeom>
        </xdr:spPr>
      </xdr:pic>
      <xdr:pic>
        <xdr:nvPicPr>
          <xdr:cNvPr id="4" name="object 3">
            <a:extLst>
              <a:ext uri="{FF2B5EF4-FFF2-40B4-BE49-F238E27FC236}">
                <a16:creationId xmlns:a16="http://schemas.microsoft.com/office/drawing/2014/main" id="{EA476BEC-AA29-A2CB-1648-EC095E4381EB}"/>
              </a:ext>
            </a:extLst>
          </xdr:cNvPr>
          <xdr:cNvPicPr/>
        </xdr:nvPicPr>
        <xdr:blipFill>
          <a:blip xmlns:r="http://schemas.openxmlformats.org/officeDocument/2006/relationships" r:embed="rId2" cstate="print"/>
          <a:stretch>
            <a:fillRect/>
          </a:stretch>
        </xdr:blipFill>
        <xdr:spPr>
          <a:xfrm>
            <a:off x="19059921" y="9921639"/>
            <a:ext cx="101797" cy="101797"/>
          </a:xfrm>
          <a:prstGeom prst="rect">
            <a:avLst/>
          </a:prstGeom>
        </xdr:spPr>
      </xdr:pic>
      <xdr:pic>
        <xdr:nvPicPr>
          <xdr:cNvPr id="5" name="object 4">
            <a:extLst>
              <a:ext uri="{FF2B5EF4-FFF2-40B4-BE49-F238E27FC236}">
                <a16:creationId xmlns:a16="http://schemas.microsoft.com/office/drawing/2014/main" id="{CE1FABC8-2F96-AFCD-2AB0-9F545CBDB7C5}"/>
              </a:ext>
            </a:extLst>
          </xdr:cNvPr>
          <xdr:cNvPicPr/>
        </xdr:nvPicPr>
        <xdr:blipFill>
          <a:blip xmlns:r="http://schemas.openxmlformats.org/officeDocument/2006/relationships" r:embed="rId3" cstate="print"/>
          <a:stretch>
            <a:fillRect/>
          </a:stretch>
        </xdr:blipFill>
        <xdr:spPr>
          <a:xfrm>
            <a:off x="17126421" y="9656457"/>
            <a:ext cx="1872916" cy="832018"/>
          </a:xfrm>
          <a:prstGeom prst="rect">
            <a:avLst/>
          </a:prstGeom>
        </xdr:spPr>
      </xdr:pic>
    </xdr:grpSp>
    <xdr:clientData/>
  </xdr:twoCellAnchor>
</xdr:wsDr>
</file>

<file path=xl/drawings/drawing17.xml><?xml version="1.0" encoding="utf-8"?>
<xdr:wsDr xmlns:xdr="http://schemas.openxmlformats.org/drawingml/2006/spreadsheetDrawing" xmlns:a="http://schemas.openxmlformats.org/drawingml/2006/main">
  <xdr:twoCellAnchor>
    <xdr:from>
      <xdr:col>0</xdr:col>
      <xdr:colOff>297467</xdr:colOff>
      <xdr:row>24</xdr:row>
      <xdr:rowOff>182844</xdr:rowOff>
    </xdr:from>
    <xdr:to>
      <xdr:col>1</xdr:col>
      <xdr:colOff>184367</xdr:colOff>
      <xdr:row>24</xdr:row>
      <xdr:rowOff>182844</xdr:rowOff>
    </xdr:to>
    <xdr:grpSp>
      <xdr:nvGrpSpPr>
        <xdr:cNvPr id="2" name="Agrupar 20">
          <a:extLst>
            <a:ext uri="{FF2B5EF4-FFF2-40B4-BE49-F238E27FC236}">
              <a16:creationId xmlns:a16="http://schemas.microsoft.com/office/drawing/2014/main" id="{1F08FB74-D9C9-4444-906F-DA212F41A098}"/>
            </a:ext>
          </a:extLst>
        </xdr:cNvPr>
        <xdr:cNvGrpSpPr/>
      </xdr:nvGrpSpPr>
      <xdr:grpSpPr>
        <a:xfrm>
          <a:off x="295562" y="4862946"/>
          <a:ext cx="1966301" cy="0"/>
          <a:chOff x="17126421" y="9656457"/>
          <a:chExt cx="2035297" cy="832018"/>
        </a:xfrm>
      </xdr:grpSpPr>
      <xdr:pic>
        <xdr:nvPicPr>
          <xdr:cNvPr id="3" name="object 2">
            <a:extLst>
              <a:ext uri="{FF2B5EF4-FFF2-40B4-BE49-F238E27FC236}">
                <a16:creationId xmlns:a16="http://schemas.microsoft.com/office/drawing/2014/main" id="{093CE064-D3B0-FCEC-9C04-FD8B38D7B243}"/>
              </a:ext>
            </a:extLst>
          </xdr:cNvPr>
          <xdr:cNvPicPr/>
        </xdr:nvPicPr>
        <xdr:blipFill>
          <a:blip xmlns:r="http://schemas.openxmlformats.org/officeDocument/2006/relationships" r:embed="rId1" cstate="print"/>
          <a:stretch>
            <a:fillRect/>
          </a:stretch>
        </xdr:blipFill>
        <xdr:spPr>
          <a:xfrm>
            <a:off x="19059921" y="10137926"/>
            <a:ext cx="101797" cy="101797"/>
          </a:xfrm>
          <a:prstGeom prst="rect">
            <a:avLst/>
          </a:prstGeom>
        </xdr:spPr>
      </xdr:pic>
      <xdr:pic>
        <xdr:nvPicPr>
          <xdr:cNvPr id="4" name="object 3">
            <a:extLst>
              <a:ext uri="{FF2B5EF4-FFF2-40B4-BE49-F238E27FC236}">
                <a16:creationId xmlns:a16="http://schemas.microsoft.com/office/drawing/2014/main" id="{D3A32981-88A8-3F21-25EB-5C773F647CE4}"/>
              </a:ext>
            </a:extLst>
          </xdr:cNvPr>
          <xdr:cNvPicPr/>
        </xdr:nvPicPr>
        <xdr:blipFill>
          <a:blip xmlns:r="http://schemas.openxmlformats.org/officeDocument/2006/relationships" r:embed="rId2" cstate="print"/>
          <a:stretch>
            <a:fillRect/>
          </a:stretch>
        </xdr:blipFill>
        <xdr:spPr>
          <a:xfrm>
            <a:off x="19059921" y="9921639"/>
            <a:ext cx="101797" cy="101797"/>
          </a:xfrm>
          <a:prstGeom prst="rect">
            <a:avLst/>
          </a:prstGeom>
        </xdr:spPr>
      </xdr:pic>
      <xdr:pic>
        <xdr:nvPicPr>
          <xdr:cNvPr id="5" name="object 4">
            <a:extLst>
              <a:ext uri="{FF2B5EF4-FFF2-40B4-BE49-F238E27FC236}">
                <a16:creationId xmlns:a16="http://schemas.microsoft.com/office/drawing/2014/main" id="{8840736D-8C2F-BDC4-0159-71497BC58E5F}"/>
              </a:ext>
            </a:extLst>
          </xdr:cNvPr>
          <xdr:cNvPicPr/>
        </xdr:nvPicPr>
        <xdr:blipFill>
          <a:blip xmlns:r="http://schemas.openxmlformats.org/officeDocument/2006/relationships" r:embed="rId3" cstate="print"/>
          <a:stretch>
            <a:fillRect/>
          </a:stretch>
        </xdr:blipFill>
        <xdr:spPr>
          <a:xfrm>
            <a:off x="17126421" y="9656457"/>
            <a:ext cx="1872916" cy="832018"/>
          </a:xfrm>
          <a:prstGeom prst="rect">
            <a:avLst/>
          </a:prstGeom>
        </xdr:spPr>
      </xdr:pic>
    </xdr:grpSp>
    <xdr:clientData/>
  </xdr:twoCellAnchor>
</xdr:wsDr>
</file>

<file path=xl/drawings/drawing18.xml><?xml version="1.0" encoding="utf-8"?>
<xdr:wsDr xmlns:xdr="http://schemas.openxmlformats.org/drawingml/2006/spreadsheetDrawing" xmlns:a="http://schemas.openxmlformats.org/drawingml/2006/main">
  <xdr:twoCellAnchor>
    <xdr:from>
      <xdr:col>0</xdr:col>
      <xdr:colOff>297467</xdr:colOff>
      <xdr:row>24</xdr:row>
      <xdr:rowOff>182844</xdr:rowOff>
    </xdr:from>
    <xdr:to>
      <xdr:col>1</xdr:col>
      <xdr:colOff>184367</xdr:colOff>
      <xdr:row>24</xdr:row>
      <xdr:rowOff>182844</xdr:rowOff>
    </xdr:to>
    <xdr:grpSp>
      <xdr:nvGrpSpPr>
        <xdr:cNvPr id="2" name="Agrupar 20">
          <a:extLst>
            <a:ext uri="{FF2B5EF4-FFF2-40B4-BE49-F238E27FC236}">
              <a16:creationId xmlns:a16="http://schemas.microsoft.com/office/drawing/2014/main" id="{3648162E-98A0-40FE-BB88-D420D6C14FED}"/>
            </a:ext>
          </a:extLst>
        </xdr:cNvPr>
        <xdr:cNvGrpSpPr/>
      </xdr:nvGrpSpPr>
      <xdr:grpSpPr>
        <a:xfrm>
          <a:off x="295562" y="4862946"/>
          <a:ext cx="1282111" cy="0"/>
          <a:chOff x="17126421" y="9656457"/>
          <a:chExt cx="2035297" cy="832018"/>
        </a:xfrm>
      </xdr:grpSpPr>
      <xdr:pic>
        <xdr:nvPicPr>
          <xdr:cNvPr id="3" name="object 2">
            <a:extLst>
              <a:ext uri="{FF2B5EF4-FFF2-40B4-BE49-F238E27FC236}">
                <a16:creationId xmlns:a16="http://schemas.microsoft.com/office/drawing/2014/main" id="{ED242E79-EEFC-EBF3-FB24-CE0EACCD62D3}"/>
              </a:ext>
            </a:extLst>
          </xdr:cNvPr>
          <xdr:cNvPicPr/>
        </xdr:nvPicPr>
        <xdr:blipFill>
          <a:blip xmlns:r="http://schemas.openxmlformats.org/officeDocument/2006/relationships" r:embed="rId1" cstate="print"/>
          <a:stretch>
            <a:fillRect/>
          </a:stretch>
        </xdr:blipFill>
        <xdr:spPr>
          <a:xfrm>
            <a:off x="19059921" y="10137926"/>
            <a:ext cx="101797" cy="101797"/>
          </a:xfrm>
          <a:prstGeom prst="rect">
            <a:avLst/>
          </a:prstGeom>
        </xdr:spPr>
      </xdr:pic>
      <xdr:pic>
        <xdr:nvPicPr>
          <xdr:cNvPr id="4" name="object 3">
            <a:extLst>
              <a:ext uri="{FF2B5EF4-FFF2-40B4-BE49-F238E27FC236}">
                <a16:creationId xmlns:a16="http://schemas.microsoft.com/office/drawing/2014/main" id="{D554217E-4365-2395-B366-D53849094D1B}"/>
              </a:ext>
            </a:extLst>
          </xdr:cNvPr>
          <xdr:cNvPicPr/>
        </xdr:nvPicPr>
        <xdr:blipFill>
          <a:blip xmlns:r="http://schemas.openxmlformats.org/officeDocument/2006/relationships" r:embed="rId2" cstate="print"/>
          <a:stretch>
            <a:fillRect/>
          </a:stretch>
        </xdr:blipFill>
        <xdr:spPr>
          <a:xfrm>
            <a:off x="19059921" y="9921639"/>
            <a:ext cx="101797" cy="101797"/>
          </a:xfrm>
          <a:prstGeom prst="rect">
            <a:avLst/>
          </a:prstGeom>
        </xdr:spPr>
      </xdr:pic>
      <xdr:pic>
        <xdr:nvPicPr>
          <xdr:cNvPr id="5" name="object 4">
            <a:extLst>
              <a:ext uri="{FF2B5EF4-FFF2-40B4-BE49-F238E27FC236}">
                <a16:creationId xmlns:a16="http://schemas.microsoft.com/office/drawing/2014/main" id="{CC52DAF1-09B4-DEC3-796E-9E898C025DB4}"/>
              </a:ext>
            </a:extLst>
          </xdr:cNvPr>
          <xdr:cNvPicPr/>
        </xdr:nvPicPr>
        <xdr:blipFill>
          <a:blip xmlns:r="http://schemas.openxmlformats.org/officeDocument/2006/relationships" r:embed="rId3" cstate="print"/>
          <a:stretch>
            <a:fillRect/>
          </a:stretch>
        </xdr:blipFill>
        <xdr:spPr>
          <a:xfrm>
            <a:off x="17126421" y="9656457"/>
            <a:ext cx="1872916" cy="832018"/>
          </a:xfrm>
          <a:prstGeom prst="rect">
            <a:avLst/>
          </a:prstGeom>
        </xdr:spPr>
      </xdr:pic>
    </xdr:grp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whitestarservicing-my.sharepoint.com/personal/vpteixeira_from_pt/Documents/Desktop/Price%20List/Old%20Files/Pice%20List%20Tracker%2029.06.xlsx" TargetMode="External"/><Relationship Id="rId1" Type="http://schemas.openxmlformats.org/officeDocument/2006/relationships/externalLinkPath" Target="Old%20Files/Pice%20List%20Tracker%2029.0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 HOME"/>
      <sheetName val="DATABASE"/>
      <sheetName val="Overview"/>
      <sheetName val="Natura Village "/>
      <sheetName val="The Nine"/>
      <sheetName val="Terracota"/>
      <sheetName val="Nobilus"/>
      <sheetName val="Zestia"/>
      <sheetName val="Springs - At the Els"/>
      <sheetName val="Botanica"/>
      <sheetName val="The Uncommon"/>
      <sheetName val="Rivus"/>
      <sheetName val="Sutaya"/>
      <sheetName val="Azuya"/>
      <sheetName val="Monte Rei"/>
      <sheetName val="Palmares"/>
      <sheetName val="Aroeira Collections"/>
      <sheetName val="Vale Pisão Grand Park"/>
      <sheetName val="DATA quality check"/>
    </sheetNames>
    <sheetDataSet>
      <sheetData sheetId="0"/>
      <sheetData sheetId="1">
        <row r="2">
          <cell r="A2" t="str">
            <v>TERRACOTA</v>
          </cell>
          <cell r="C2" t="str">
            <v>K</v>
          </cell>
          <cell r="E2" t="str">
            <v>T2</v>
          </cell>
          <cell r="F2">
            <v>78.3</v>
          </cell>
          <cell r="Q2" t="str">
            <v xml:space="preserve">PSPA </v>
          </cell>
          <cell r="S2">
            <v>440000</v>
          </cell>
          <cell r="T2">
            <v>418000</v>
          </cell>
          <cell r="W2">
            <v>418000</v>
          </cell>
          <cell r="X2">
            <v>-5.2631578947368397E-2</v>
          </cell>
          <cell r="Y2">
            <v>440000</v>
          </cell>
          <cell r="AA2">
            <v>45866</v>
          </cell>
          <cell r="AC2" t="str">
            <v>Ana Damásio</v>
          </cell>
          <cell r="AJ2" t="str">
            <v>Terracota</v>
          </cell>
        </row>
        <row r="3">
          <cell r="A3" t="str">
            <v>NOBILUS</v>
          </cell>
          <cell r="C3" t="str">
            <v>AK</v>
          </cell>
          <cell r="E3" t="str">
            <v>T2</v>
          </cell>
          <cell r="F3">
            <v>111.82</v>
          </cell>
          <cell r="Q3" t="str">
            <v xml:space="preserve">PSPA </v>
          </cell>
          <cell r="S3">
            <v>720000</v>
          </cell>
          <cell r="T3">
            <v>650000</v>
          </cell>
          <cell r="W3">
            <v>650000</v>
          </cell>
          <cell r="X3">
            <v>-5.2307692307692402E-2</v>
          </cell>
          <cell r="Y3">
            <v>684000</v>
          </cell>
          <cell r="AA3">
            <v>45898</v>
          </cell>
          <cell r="AC3" t="str">
            <v>Ana Damásio</v>
          </cell>
          <cell r="AJ3" t="str">
            <v>Nobilus</v>
          </cell>
        </row>
        <row r="4">
          <cell r="A4" t="str">
            <v>BOTÂNICA</v>
          </cell>
          <cell r="C4" t="str">
            <v>AM</v>
          </cell>
          <cell r="E4" t="str">
            <v>T3</v>
          </cell>
          <cell r="F4">
            <v>224.31</v>
          </cell>
          <cell r="Q4" t="str">
            <v>RESERVED</v>
          </cell>
          <cell r="S4">
            <v>1660542.65</v>
          </cell>
          <cell r="T4">
            <v>1670000</v>
          </cell>
          <cell r="W4">
            <v>1670000</v>
          </cell>
          <cell r="X4">
            <v>-4.1916167664670698E-2</v>
          </cell>
          <cell r="Y4">
            <v>1740000</v>
          </cell>
          <cell r="AC4" t="str">
            <v>Ana Damásio</v>
          </cell>
          <cell r="AJ4" t="str">
            <v>Botanica</v>
          </cell>
        </row>
        <row r="5">
          <cell r="A5" t="str">
            <v>BOTÂNICA</v>
          </cell>
          <cell r="C5" t="str">
            <v>J</v>
          </cell>
          <cell r="E5" t="str">
            <v>T3</v>
          </cell>
          <cell r="F5">
            <v>924.59</v>
          </cell>
          <cell r="Q5" t="str">
            <v>PRE-RESERVED</v>
          </cell>
          <cell r="S5">
            <v>1737489.39</v>
          </cell>
          <cell r="T5">
            <v>1670400</v>
          </cell>
          <cell r="W5">
            <v>1670400</v>
          </cell>
          <cell r="X5">
            <v>-4.1666666666666699E-2</v>
          </cell>
          <cell r="Y5">
            <v>1740000</v>
          </cell>
          <cell r="AC5" t="str">
            <v>Ana Damásio</v>
          </cell>
          <cell r="AJ5" t="str">
            <v>Botanica</v>
          </cell>
        </row>
        <row r="6">
          <cell r="A6" t="str">
            <v>Aroeira - VILLAS</v>
          </cell>
          <cell r="C6" t="str">
            <v>01E</v>
          </cell>
          <cell r="E6" t="str">
            <v>T5</v>
          </cell>
          <cell r="F6">
            <v>927.5</v>
          </cell>
          <cell r="Q6" t="str">
            <v>RESERVED</v>
          </cell>
          <cell r="S6">
            <v>3950000</v>
          </cell>
          <cell r="T6">
            <v>4100000</v>
          </cell>
          <cell r="V6">
            <v>80000</v>
          </cell>
          <cell r="W6">
            <v>4020000</v>
          </cell>
          <cell r="X6">
            <v>-3.1707317073170802E-2</v>
          </cell>
          <cell r="Y6">
            <v>4230000</v>
          </cell>
          <cell r="AA6">
            <v>46090</v>
          </cell>
          <cell r="AB6">
            <v>47118</v>
          </cell>
          <cell r="AC6" t="str">
            <v>João Gameiro</v>
          </cell>
          <cell r="AJ6" t="str">
            <v>Aroeira Collections</v>
          </cell>
        </row>
        <row r="7">
          <cell r="A7" t="str">
            <v>Aroeira - APARTMENTS</v>
          </cell>
          <cell r="C7" t="str">
            <v>204B</v>
          </cell>
          <cell r="E7" t="str">
            <v>2-BR</v>
          </cell>
          <cell r="F7">
            <v>114.59</v>
          </cell>
          <cell r="Q7" t="str">
            <v xml:space="preserve">PSPA </v>
          </cell>
          <cell r="S7">
            <v>765000</v>
          </cell>
          <cell r="T7">
            <v>755000</v>
          </cell>
          <cell r="V7">
            <v>45000</v>
          </cell>
          <cell r="W7">
            <v>710000</v>
          </cell>
          <cell r="X7">
            <v>-1.3245033112582801E-2</v>
          </cell>
          <cell r="Y7">
            <v>765000</v>
          </cell>
          <cell r="AA7">
            <v>45953</v>
          </cell>
          <cell r="AB7">
            <v>47118</v>
          </cell>
          <cell r="AC7" t="str">
            <v>João Gameiro</v>
          </cell>
          <cell r="AJ7" t="str">
            <v>Aroeira Collections</v>
          </cell>
        </row>
        <row r="8">
          <cell r="A8" t="str">
            <v>Aroeira - APARTMENTS</v>
          </cell>
          <cell r="C8" t="str">
            <v>109B</v>
          </cell>
          <cell r="E8" t="str">
            <v>2-BR</v>
          </cell>
          <cell r="F8">
            <v>194.02</v>
          </cell>
          <cell r="Q8" t="str">
            <v xml:space="preserve">PSPA </v>
          </cell>
          <cell r="S8">
            <v>780000</v>
          </cell>
          <cell r="T8">
            <v>770000</v>
          </cell>
          <cell r="V8">
            <v>45000</v>
          </cell>
          <cell r="W8">
            <v>725000</v>
          </cell>
          <cell r="X8">
            <v>-1.2987012987012899E-2</v>
          </cell>
          <cell r="Y8">
            <v>780000</v>
          </cell>
          <cell r="AA8">
            <v>45986</v>
          </cell>
          <cell r="AB8">
            <v>47118</v>
          </cell>
          <cell r="AC8" t="str">
            <v>João Gameiro</v>
          </cell>
          <cell r="AJ8" t="str">
            <v>Aroeira Collections</v>
          </cell>
        </row>
        <row r="9">
          <cell r="A9" t="str">
            <v>VM PARQUE</v>
          </cell>
          <cell r="C9" t="str">
            <v>AA</v>
          </cell>
          <cell r="E9" t="str">
            <v>V2</v>
          </cell>
          <cell r="F9">
            <v>158.05609999999999</v>
          </cell>
          <cell r="Q9" t="str">
            <v xml:space="preserve">DEED </v>
          </cell>
          <cell r="S9">
            <v>956900</v>
          </cell>
          <cell r="T9">
            <v>991999.99818600004</v>
          </cell>
          <cell r="W9">
            <v>991999.99818600004</v>
          </cell>
          <cell r="X9">
            <v>-1.82862902597947E-9</v>
          </cell>
          <cell r="Y9">
            <v>992000</v>
          </cell>
          <cell r="AJ9" t="str">
            <v>VM PARQUE</v>
          </cell>
        </row>
        <row r="10">
          <cell r="A10" t="str">
            <v>VM PARQUE</v>
          </cell>
          <cell r="C10" t="str">
            <v>AB</v>
          </cell>
          <cell r="E10" t="str">
            <v>V2</v>
          </cell>
          <cell r="F10">
            <v>152.87280000000001</v>
          </cell>
          <cell r="Q10" t="str">
            <v xml:space="preserve">DEED </v>
          </cell>
          <cell r="S10">
            <v>942100</v>
          </cell>
          <cell r="T10">
            <v>959999.99834399996</v>
          </cell>
          <cell r="W10">
            <v>959999.99834399996</v>
          </cell>
          <cell r="X10">
            <v>-1.72500014272714E-9</v>
          </cell>
          <cell r="Y10">
            <v>960000</v>
          </cell>
          <cell r="AJ10" t="str">
            <v>VM PARQUE</v>
          </cell>
        </row>
        <row r="11">
          <cell r="A11" t="str">
            <v>ELS</v>
          </cell>
          <cell r="C11" t="str">
            <v>15</v>
          </cell>
          <cell r="E11" t="str">
            <v>Plot</v>
          </cell>
          <cell r="F11">
            <v>480</v>
          </cell>
          <cell r="Q11" t="str">
            <v>PRE-RESERVED</v>
          </cell>
          <cell r="S11">
            <v>3230000</v>
          </cell>
          <cell r="T11">
            <v>2200000</v>
          </cell>
          <cell r="W11">
            <v>2200000</v>
          </cell>
          <cell r="X11">
            <v>0</v>
          </cell>
          <cell r="Y11">
            <v>2200000</v>
          </cell>
          <cell r="AA11">
            <v>46174</v>
          </cell>
          <cell r="AC11" t="str">
            <v>Ana Damásio</v>
          </cell>
          <cell r="AJ11" t="str">
            <v>Springs - At the Els</v>
          </cell>
        </row>
        <row r="12">
          <cell r="A12" t="str">
            <v>ELS</v>
          </cell>
          <cell r="C12" t="str">
            <v>23</v>
          </cell>
          <cell r="E12" t="str">
            <v>Plot</v>
          </cell>
          <cell r="F12">
            <v>260</v>
          </cell>
          <cell r="Q12" t="str">
            <v>PRE-RESERVED</v>
          </cell>
          <cell r="S12">
            <v>3150000</v>
          </cell>
          <cell r="T12">
            <v>780000</v>
          </cell>
          <cell r="W12">
            <v>780000</v>
          </cell>
          <cell r="X12">
            <v>0</v>
          </cell>
          <cell r="Y12">
            <v>780000</v>
          </cell>
          <cell r="AA12">
            <v>46174</v>
          </cell>
          <cell r="AC12" t="str">
            <v>Ana Damásio</v>
          </cell>
          <cell r="AJ12" t="str">
            <v>Springs - At the Els</v>
          </cell>
        </row>
        <row r="13">
          <cell r="A13" t="str">
            <v>Aroeira - VILLAS</v>
          </cell>
          <cell r="C13" t="str">
            <v>02E</v>
          </cell>
          <cell r="E13" t="str">
            <v>T5</v>
          </cell>
          <cell r="F13">
            <v>594.79999999999995</v>
          </cell>
          <cell r="Q13" t="str">
            <v>RESERVED</v>
          </cell>
          <cell r="S13">
            <v>3225000</v>
          </cell>
          <cell r="T13">
            <v>3225000</v>
          </cell>
          <cell r="V13">
            <v>80000</v>
          </cell>
          <cell r="W13">
            <v>3145000</v>
          </cell>
          <cell r="X13">
            <v>0</v>
          </cell>
          <cell r="Y13">
            <v>3225000</v>
          </cell>
          <cell r="AA13">
            <v>46091</v>
          </cell>
          <cell r="AB13">
            <v>47118</v>
          </cell>
          <cell r="AC13" t="str">
            <v>João Gameiro</v>
          </cell>
          <cell r="AJ13" t="str">
            <v>Aroeira Collections</v>
          </cell>
        </row>
        <row r="14">
          <cell r="A14" t="str">
            <v>Aroeira - HOUSES</v>
          </cell>
          <cell r="C14" t="str">
            <v>01B</v>
          </cell>
          <cell r="E14" t="str">
            <v>T2</v>
          </cell>
          <cell r="F14">
            <v>167</v>
          </cell>
          <cell r="Q14" t="str">
            <v xml:space="preserve">PSPA </v>
          </cell>
          <cell r="S14">
            <v>925000</v>
          </cell>
          <cell r="T14">
            <v>925000</v>
          </cell>
          <cell r="V14">
            <v>0</v>
          </cell>
          <cell r="W14">
            <v>925000</v>
          </cell>
          <cell r="X14">
            <v>0</v>
          </cell>
          <cell r="Y14">
            <v>925000</v>
          </cell>
          <cell r="AA14">
            <v>45904</v>
          </cell>
          <cell r="AB14">
            <v>47118</v>
          </cell>
          <cell r="AC14" t="str">
            <v>João Gameiro</v>
          </cell>
          <cell r="AJ14" t="str">
            <v>Aroeira Collections</v>
          </cell>
        </row>
        <row r="15">
          <cell r="A15" t="str">
            <v>Aroeira - HOUSES</v>
          </cell>
          <cell r="C15" t="str">
            <v>02B</v>
          </cell>
          <cell r="E15" t="str">
            <v>T2</v>
          </cell>
          <cell r="F15">
            <v>194.4</v>
          </cell>
          <cell r="Q15" t="str">
            <v xml:space="preserve">PSPA </v>
          </cell>
          <cell r="S15">
            <v>1105000</v>
          </cell>
          <cell r="T15">
            <v>1105000</v>
          </cell>
          <cell r="V15">
            <v>0</v>
          </cell>
          <cell r="W15">
            <v>1105000</v>
          </cell>
          <cell r="X15">
            <v>0</v>
          </cell>
          <cell r="Y15">
            <v>1105000</v>
          </cell>
          <cell r="AA15">
            <v>45996</v>
          </cell>
          <cell r="AB15">
            <v>47118</v>
          </cell>
          <cell r="AC15" t="str">
            <v>João Gameiro</v>
          </cell>
          <cell r="AJ15" t="str">
            <v>Aroeira Collections</v>
          </cell>
        </row>
        <row r="16">
          <cell r="A16" t="str">
            <v>Aroeira - VILLAS</v>
          </cell>
          <cell r="C16" t="str">
            <v>04E</v>
          </cell>
          <cell r="E16" t="str">
            <v>T5</v>
          </cell>
          <cell r="F16">
            <v>602</v>
          </cell>
          <cell r="Q16" t="str">
            <v>RESERVED</v>
          </cell>
          <cell r="S16">
            <v>3225000</v>
          </cell>
          <cell r="T16">
            <v>3225000</v>
          </cell>
          <cell r="V16">
            <v>80000</v>
          </cell>
          <cell r="W16">
            <v>3145000</v>
          </cell>
          <cell r="X16">
            <v>0</v>
          </cell>
          <cell r="Y16">
            <v>3225000</v>
          </cell>
          <cell r="AA16">
            <v>46091</v>
          </cell>
          <cell r="AB16">
            <v>47118</v>
          </cell>
          <cell r="AC16" t="str">
            <v>João Gameiro</v>
          </cell>
          <cell r="AJ16" t="str">
            <v>Aroeira Collections</v>
          </cell>
        </row>
        <row r="17">
          <cell r="A17" t="str">
            <v>Aroeira - HOUSES</v>
          </cell>
          <cell r="C17" t="str">
            <v>05B</v>
          </cell>
          <cell r="E17" t="str">
            <v>T2</v>
          </cell>
          <cell r="F17">
            <v>194.4</v>
          </cell>
          <cell r="Q17" t="str">
            <v>RESERVED</v>
          </cell>
          <cell r="S17">
            <v>1100000</v>
          </cell>
          <cell r="T17">
            <v>1160000</v>
          </cell>
          <cell r="V17">
            <v>0</v>
          </cell>
          <cell r="W17">
            <v>1160000</v>
          </cell>
          <cell r="X17">
            <v>0</v>
          </cell>
          <cell r="Y17">
            <v>1160000</v>
          </cell>
          <cell r="AA17">
            <v>45968</v>
          </cell>
          <cell r="AB17">
            <v>47118</v>
          </cell>
          <cell r="AC17" t="str">
            <v>João Gameiro</v>
          </cell>
          <cell r="AJ17" t="str">
            <v>Aroeira Collections</v>
          </cell>
        </row>
        <row r="18">
          <cell r="A18" t="str">
            <v>Aroeira - HOUSES</v>
          </cell>
          <cell r="C18" t="str">
            <v>03B</v>
          </cell>
          <cell r="E18" t="str">
            <v>T2</v>
          </cell>
          <cell r="F18">
            <v>167</v>
          </cell>
          <cell r="Q18" t="str">
            <v xml:space="preserve">PSPA </v>
          </cell>
          <cell r="S18">
            <v>925000</v>
          </cell>
          <cell r="T18">
            <v>925000</v>
          </cell>
          <cell r="V18">
            <v>0</v>
          </cell>
          <cell r="W18">
            <v>925000</v>
          </cell>
          <cell r="X18">
            <v>0</v>
          </cell>
          <cell r="Y18">
            <v>925000</v>
          </cell>
          <cell r="AA18">
            <v>45967</v>
          </cell>
          <cell r="AB18">
            <v>47118</v>
          </cell>
          <cell r="AC18" t="str">
            <v>João Gameiro</v>
          </cell>
          <cell r="AJ18" t="str">
            <v>Aroeira Collections</v>
          </cell>
        </row>
        <row r="19">
          <cell r="A19" t="str">
            <v>Aroeira - HOUSES</v>
          </cell>
          <cell r="C19" t="str">
            <v>04B</v>
          </cell>
          <cell r="E19" t="str">
            <v>T2</v>
          </cell>
          <cell r="F19">
            <v>167</v>
          </cell>
          <cell r="Q19" t="str">
            <v xml:space="preserve">PSPA </v>
          </cell>
          <cell r="S19">
            <v>925000</v>
          </cell>
          <cell r="T19">
            <v>925000</v>
          </cell>
          <cell r="V19">
            <v>0</v>
          </cell>
          <cell r="W19">
            <v>925000</v>
          </cell>
          <cell r="X19">
            <v>0</v>
          </cell>
          <cell r="Y19">
            <v>925000</v>
          </cell>
          <cell r="AA19">
            <v>45968</v>
          </cell>
          <cell r="AB19">
            <v>47118</v>
          </cell>
          <cell r="AC19" t="str">
            <v>João Gameiro</v>
          </cell>
          <cell r="AJ19" t="str">
            <v>Aroeira Collections</v>
          </cell>
        </row>
        <row r="20">
          <cell r="A20" t="str">
            <v>Aroeira - VILLAS</v>
          </cell>
          <cell r="C20" t="str">
            <v>05D</v>
          </cell>
          <cell r="E20" t="str">
            <v>T4</v>
          </cell>
          <cell r="F20">
            <v>559</v>
          </cell>
          <cell r="Q20" t="str">
            <v xml:space="preserve">PSPA </v>
          </cell>
          <cell r="S20">
            <v>2570000</v>
          </cell>
          <cell r="T20">
            <v>2570000</v>
          </cell>
          <cell r="V20">
            <v>70000</v>
          </cell>
          <cell r="W20">
            <v>2500000</v>
          </cell>
          <cell r="X20">
            <v>0</v>
          </cell>
          <cell r="Y20">
            <v>2570000</v>
          </cell>
          <cell r="AA20">
            <v>46093</v>
          </cell>
          <cell r="AB20">
            <v>47118</v>
          </cell>
          <cell r="AC20" t="str">
            <v>João Gameiro</v>
          </cell>
          <cell r="AJ20" t="str">
            <v>Aroeira Collections</v>
          </cell>
        </row>
        <row r="21">
          <cell r="A21" t="str">
            <v>Aroeira - HOUSES</v>
          </cell>
          <cell r="C21" t="str">
            <v>06B</v>
          </cell>
          <cell r="E21" t="str">
            <v>T2</v>
          </cell>
          <cell r="F21">
            <v>196.4</v>
          </cell>
          <cell r="Q21" t="str">
            <v xml:space="preserve">PSPA </v>
          </cell>
          <cell r="S21">
            <v>1100000</v>
          </cell>
          <cell r="T21">
            <v>1100000</v>
          </cell>
          <cell r="V21">
            <v>0</v>
          </cell>
          <cell r="W21">
            <v>1100000</v>
          </cell>
          <cell r="X21">
            <v>0</v>
          </cell>
          <cell r="Y21">
            <v>1100000</v>
          </cell>
          <cell r="AA21">
            <v>46038</v>
          </cell>
          <cell r="AB21">
            <v>47118</v>
          </cell>
          <cell r="AC21" t="str">
            <v>João Gameiro</v>
          </cell>
          <cell r="AJ21" t="str">
            <v>Aroeira Collections</v>
          </cell>
        </row>
        <row r="22">
          <cell r="A22" t="str">
            <v>Aroeira - HOUSES</v>
          </cell>
          <cell r="C22" t="str">
            <v>07B</v>
          </cell>
          <cell r="E22" t="str">
            <v>T2</v>
          </cell>
          <cell r="F22">
            <v>167</v>
          </cell>
          <cell r="Q22" t="str">
            <v xml:space="preserve">PSPA </v>
          </cell>
          <cell r="S22">
            <v>910000</v>
          </cell>
          <cell r="T22">
            <v>940000</v>
          </cell>
          <cell r="V22">
            <v>0</v>
          </cell>
          <cell r="W22">
            <v>940000</v>
          </cell>
          <cell r="X22">
            <v>0</v>
          </cell>
          <cell r="Y22">
            <v>940000</v>
          </cell>
          <cell r="AA22">
            <v>45989</v>
          </cell>
          <cell r="AB22">
            <v>47118</v>
          </cell>
          <cell r="AC22" t="str">
            <v>João Gameiro</v>
          </cell>
          <cell r="AJ22" t="str">
            <v>Aroeira Collections</v>
          </cell>
        </row>
        <row r="23">
          <cell r="A23" t="str">
            <v>ELS</v>
          </cell>
          <cell r="C23" t="str">
            <v>11</v>
          </cell>
          <cell r="E23" t="str">
            <v>Plot</v>
          </cell>
          <cell r="F23">
            <v>298</v>
          </cell>
          <cell r="Q23" t="str">
            <v xml:space="preserve">PSPA </v>
          </cell>
          <cell r="S23">
            <v>3210000</v>
          </cell>
          <cell r="T23">
            <v>1530000</v>
          </cell>
          <cell r="W23">
            <v>1530000</v>
          </cell>
          <cell r="X23">
            <v>0</v>
          </cell>
          <cell r="Y23">
            <v>1530000</v>
          </cell>
          <cell r="AA23">
            <v>46104</v>
          </cell>
          <cell r="AC23" t="str">
            <v>Ana Damásio</v>
          </cell>
          <cell r="AJ23" t="str">
            <v>Springs - At the Els</v>
          </cell>
        </row>
        <row r="24">
          <cell r="A24" t="str">
            <v>MOURAGOLFE</v>
          </cell>
          <cell r="C24" t="str">
            <v>11</v>
          </cell>
          <cell r="E24" t="str">
            <v>Plot</v>
          </cell>
          <cell r="F24">
            <v>280</v>
          </cell>
          <cell r="Q24" t="str">
            <v xml:space="preserve">DEED </v>
          </cell>
          <cell r="S24">
            <v>610000</v>
          </cell>
          <cell r="T24">
            <v>671000</v>
          </cell>
          <cell r="W24">
            <v>671000</v>
          </cell>
          <cell r="X24">
            <v>0</v>
          </cell>
          <cell r="Y24">
            <v>671000</v>
          </cell>
          <cell r="AA24">
            <v>45436</v>
          </cell>
          <cell r="AJ24" t="str">
            <v>MOURAGOLFE</v>
          </cell>
        </row>
        <row r="25">
          <cell r="A25" t="str">
            <v>MOURAGOLFE</v>
          </cell>
          <cell r="C25" t="str">
            <v>12</v>
          </cell>
          <cell r="E25" t="str">
            <v>Plot</v>
          </cell>
          <cell r="F25">
            <v>245</v>
          </cell>
          <cell r="Q25" t="str">
            <v xml:space="preserve">DEED </v>
          </cell>
          <cell r="S25">
            <v>540000</v>
          </cell>
          <cell r="T25">
            <v>594000</v>
          </cell>
          <cell r="W25">
            <v>594000</v>
          </cell>
          <cell r="X25">
            <v>0</v>
          </cell>
          <cell r="Y25">
            <v>594000</v>
          </cell>
          <cell r="AA25">
            <v>45436</v>
          </cell>
          <cell r="AJ25" t="str">
            <v>MOURAGOLFE</v>
          </cell>
        </row>
        <row r="26">
          <cell r="A26" t="str">
            <v>MOURAGOLFE</v>
          </cell>
          <cell r="C26" t="str">
            <v>13</v>
          </cell>
          <cell r="E26" t="str">
            <v>Plot</v>
          </cell>
          <cell r="F26">
            <v>265</v>
          </cell>
          <cell r="Q26" t="str">
            <v xml:space="preserve">DEED </v>
          </cell>
          <cell r="S26">
            <v>580000</v>
          </cell>
          <cell r="T26">
            <v>638000</v>
          </cell>
          <cell r="W26">
            <v>638000</v>
          </cell>
          <cell r="X26">
            <v>0</v>
          </cell>
          <cell r="Y26">
            <v>638000</v>
          </cell>
          <cell r="AA26">
            <v>45436</v>
          </cell>
          <cell r="AJ26" t="str">
            <v>MOURAGOLFE</v>
          </cell>
        </row>
        <row r="27">
          <cell r="A27" t="str">
            <v>MOURAGOLFE</v>
          </cell>
          <cell r="C27" t="str">
            <v>14</v>
          </cell>
          <cell r="E27" t="str">
            <v>Plot</v>
          </cell>
          <cell r="F27">
            <v>265</v>
          </cell>
          <cell r="Q27" t="str">
            <v xml:space="preserve">DEED </v>
          </cell>
          <cell r="S27">
            <v>580000</v>
          </cell>
          <cell r="T27">
            <v>638000</v>
          </cell>
          <cell r="W27">
            <v>638000</v>
          </cell>
          <cell r="X27">
            <v>0</v>
          </cell>
          <cell r="Y27">
            <v>638000</v>
          </cell>
          <cell r="AA27">
            <v>45436</v>
          </cell>
          <cell r="AJ27" t="str">
            <v>MOURAGOLFE</v>
          </cell>
        </row>
        <row r="28">
          <cell r="A28" t="str">
            <v>THE UNCOMMON</v>
          </cell>
          <cell r="C28" t="str">
            <v>503</v>
          </cell>
          <cell r="E28" t="str">
            <v>T2</v>
          </cell>
          <cell r="F28">
            <v>161</v>
          </cell>
          <cell r="Q28" t="str">
            <v>RESERVED</v>
          </cell>
          <cell r="S28">
            <v>1250000</v>
          </cell>
          <cell r="T28">
            <v>1350000</v>
          </cell>
          <cell r="U28">
            <v>50000</v>
          </cell>
          <cell r="V28">
            <v>23000</v>
          </cell>
          <cell r="W28">
            <v>1277000</v>
          </cell>
          <cell r="X28">
            <v>0</v>
          </cell>
          <cell r="Y28">
            <v>1350000</v>
          </cell>
          <cell r="AC28" t="str">
            <v>Ana Damásio</v>
          </cell>
          <cell r="AJ28" t="str">
            <v>The Uncommon</v>
          </cell>
        </row>
        <row r="29">
          <cell r="A29" t="str">
            <v>MOURAGOLFE</v>
          </cell>
          <cell r="C29" t="str">
            <v>15</v>
          </cell>
          <cell r="E29" t="str">
            <v>Plot</v>
          </cell>
          <cell r="F29">
            <v>245</v>
          </cell>
          <cell r="Q29" t="str">
            <v xml:space="preserve">DEED </v>
          </cell>
          <cell r="S29">
            <v>470000</v>
          </cell>
          <cell r="T29">
            <v>470000</v>
          </cell>
          <cell r="W29">
            <v>470000</v>
          </cell>
          <cell r="X29">
            <v>0</v>
          </cell>
          <cell r="Y29">
            <v>470000</v>
          </cell>
          <cell r="AA29">
            <v>45473</v>
          </cell>
          <cell r="AJ29" t="str">
            <v>MOURAGOLFE</v>
          </cell>
        </row>
        <row r="30">
          <cell r="A30" t="str">
            <v>MOURAGOLFE</v>
          </cell>
          <cell r="C30" t="str">
            <v>16</v>
          </cell>
          <cell r="E30" t="str">
            <v>Plot</v>
          </cell>
          <cell r="F30">
            <v>245</v>
          </cell>
          <cell r="Q30" t="str">
            <v xml:space="preserve">DEED </v>
          </cell>
          <cell r="S30">
            <v>470000</v>
          </cell>
          <cell r="T30">
            <v>517000</v>
          </cell>
          <cell r="W30">
            <v>517000</v>
          </cell>
          <cell r="X30">
            <v>0</v>
          </cell>
          <cell r="Y30">
            <v>517000</v>
          </cell>
          <cell r="AA30">
            <v>45223</v>
          </cell>
          <cell r="AJ30" t="str">
            <v>MOURAGOLFE</v>
          </cell>
        </row>
        <row r="31">
          <cell r="A31" t="str">
            <v>MOURAGOLFE</v>
          </cell>
          <cell r="C31" t="str">
            <v>17</v>
          </cell>
          <cell r="E31" t="str">
            <v>Plot</v>
          </cell>
          <cell r="F31">
            <v>245</v>
          </cell>
          <cell r="Q31" t="str">
            <v xml:space="preserve">DEED </v>
          </cell>
          <cell r="S31">
            <v>470000</v>
          </cell>
          <cell r="T31">
            <v>517000</v>
          </cell>
          <cell r="W31">
            <v>517000</v>
          </cell>
          <cell r="X31">
            <v>0</v>
          </cell>
          <cell r="Y31">
            <v>517000</v>
          </cell>
          <cell r="AA31">
            <v>45223</v>
          </cell>
          <cell r="AJ31" t="str">
            <v>MOURAGOLFE</v>
          </cell>
        </row>
        <row r="32">
          <cell r="A32" t="str">
            <v>MOURAGOLFE</v>
          </cell>
          <cell r="C32" t="str">
            <v>18</v>
          </cell>
          <cell r="E32" t="str">
            <v>Plot</v>
          </cell>
          <cell r="F32">
            <v>245</v>
          </cell>
          <cell r="Q32" t="str">
            <v xml:space="preserve">DEED </v>
          </cell>
          <cell r="S32">
            <v>540000</v>
          </cell>
          <cell r="T32">
            <v>594000</v>
          </cell>
          <cell r="W32">
            <v>594000</v>
          </cell>
          <cell r="X32">
            <v>0</v>
          </cell>
          <cell r="Y32">
            <v>594000</v>
          </cell>
          <cell r="AA32">
            <v>45938</v>
          </cell>
          <cell r="AJ32" t="str">
            <v>MOURAGOLFE</v>
          </cell>
        </row>
        <row r="33">
          <cell r="A33" t="str">
            <v>MOURAGOLFE</v>
          </cell>
          <cell r="C33" t="str">
            <v>19</v>
          </cell>
          <cell r="E33" t="str">
            <v>Plot</v>
          </cell>
          <cell r="F33">
            <v>265</v>
          </cell>
          <cell r="Q33" t="str">
            <v xml:space="preserve">DEED </v>
          </cell>
          <cell r="S33">
            <v>580000</v>
          </cell>
          <cell r="T33">
            <v>701800</v>
          </cell>
          <cell r="W33">
            <v>701800</v>
          </cell>
          <cell r="X33">
            <v>0</v>
          </cell>
          <cell r="Y33">
            <v>701800</v>
          </cell>
          <cell r="AA33">
            <v>45474</v>
          </cell>
          <cell r="AJ33" t="str">
            <v>MOURAGOLFE</v>
          </cell>
        </row>
        <row r="34">
          <cell r="A34" t="str">
            <v>MOURAGOLFE</v>
          </cell>
          <cell r="C34" t="str">
            <v>20</v>
          </cell>
          <cell r="E34" t="str">
            <v>Plot</v>
          </cell>
          <cell r="F34">
            <v>265</v>
          </cell>
          <cell r="Q34" t="str">
            <v xml:space="preserve">DEED </v>
          </cell>
          <cell r="S34">
            <v>580000</v>
          </cell>
          <cell r="T34">
            <v>638000</v>
          </cell>
          <cell r="W34">
            <v>638000</v>
          </cell>
          <cell r="X34">
            <v>0</v>
          </cell>
          <cell r="Y34">
            <v>638000</v>
          </cell>
          <cell r="AA34">
            <v>45348</v>
          </cell>
          <cell r="AJ34" t="str">
            <v>MOURAGOLFE</v>
          </cell>
        </row>
        <row r="35">
          <cell r="A35" t="str">
            <v>MOURAGOLFE</v>
          </cell>
          <cell r="C35" t="str">
            <v>23</v>
          </cell>
          <cell r="E35" t="str">
            <v>Plot</v>
          </cell>
          <cell r="F35">
            <v>305</v>
          </cell>
          <cell r="Q35" t="str">
            <v>PRE-RESERVED</v>
          </cell>
          <cell r="S35">
            <v>1000000</v>
          </cell>
          <cell r="T35">
            <v>1210000</v>
          </cell>
          <cell r="W35">
            <v>1210000</v>
          </cell>
          <cell r="X35">
            <v>0</v>
          </cell>
          <cell r="Y35">
            <v>1210000</v>
          </cell>
          <cell r="AA35">
            <v>46174</v>
          </cell>
          <cell r="AJ35" t="str">
            <v>MOURAGOLFE</v>
          </cell>
        </row>
        <row r="36">
          <cell r="A36" t="str">
            <v>Palmares - Signature Apartments</v>
          </cell>
          <cell r="C36" t="str">
            <v>843C</v>
          </cell>
          <cell r="E36" t="str">
            <v>T2</v>
          </cell>
          <cell r="F36">
            <v>144.94999999999999</v>
          </cell>
          <cell r="Q36" t="str">
            <v>RESERVED</v>
          </cell>
          <cell r="S36">
            <v>660000</v>
          </cell>
          <cell r="T36">
            <v>950000</v>
          </cell>
          <cell r="W36">
            <v>950000</v>
          </cell>
          <cell r="X36">
            <v>0</v>
          </cell>
          <cell r="Y36">
            <v>950000</v>
          </cell>
          <cell r="AA36">
            <v>46175</v>
          </cell>
          <cell r="AB36">
            <v>46843</v>
          </cell>
          <cell r="AJ36" t="str">
            <v>Palmares</v>
          </cell>
        </row>
        <row r="37">
          <cell r="A37" t="str">
            <v>Palmares - Signature Apartments</v>
          </cell>
          <cell r="C37" t="str">
            <v>801A</v>
          </cell>
          <cell r="E37" t="str">
            <v>T2 (T1+1) Duplex</v>
          </cell>
          <cell r="F37">
            <v>181.7</v>
          </cell>
          <cell r="Q37" t="str">
            <v xml:space="preserve">PSPA </v>
          </cell>
          <cell r="S37">
            <v>660000</v>
          </cell>
          <cell r="T37">
            <v>725000</v>
          </cell>
          <cell r="W37">
            <v>725000</v>
          </cell>
          <cell r="X37">
            <v>0</v>
          </cell>
          <cell r="Y37">
            <v>725000</v>
          </cell>
          <cell r="AA37">
            <v>44995</v>
          </cell>
          <cell r="AB37">
            <v>46843</v>
          </cell>
          <cell r="AJ37" t="str">
            <v>Palmares</v>
          </cell>
        </row>
        <row r="38">
          <cell r="A38" t="str">
            <v>Palmares - Signature Apartments</v>
          </cell>
          <cell r="C38" t="str">
            <v>802A</v>
          </cell>
          <cell r="E38" t="str">
            <v>T2 (T1+1) Duplex</v>
          </cell>
          <cell r="F38">
            <v>173.95</v>
          </cell>
          <cell r="Q38" t="str">
            <v xml:space="preserve">PSPA </v>
          </cell>
          <cell r="S38">
            <v>650000</v>
          </cell>
          <cell r="T38">
            <v>800000</v>
          </cell>
          <cell r="W38">
            <v>800000</v>
          </cell>
          <cell r="X38">
            <v>0</v>
          </cell>
          <cell r="Y38">
            <v>800000</v>
          </cell>
          <cell r="AA38">
            <v>45044</v>
          </cell>
          <cell r="AB38">
            <v>46843</v>
          </cell>
          <cell r="AJ38" t="str">
            <v>Palmares</v>
          </cell>
        </row>
        <row r="39">
          <cell r="A39" t="str">
            <v>Palmares - Signature Apartments</v>
          </cell>
          <cell r="C39" t="str">
            <v>804A</v>
          </cell>
          <cell r="E39" t="str">
            <v>T2 (T1+1) Duplex</v>
          </cell>
          <cell r="F39">
            <v>173.95</v>
          </cell>
          <cell r="Q39" t="str">
            <v xml:space="preserve">PSPA </v>
          </cell>
          <cell r="S39">
            <v>550000</v>
          </cell>
          <cell r="T39">
            <v>745000</v>
          </cell>
          <cell r="W39">
            <v>745000</v>
          </cell>
          <cell r="X39">
            <v>0</v>
          </cell>
          <cell r="Y39">
            <v>745000</v>
          </cell>
          <cell r="AA39">
            <v>45128</v>
          </cell>
          <cell r="AB39">
            <v>46843</v>
          </cell>
          <cell r="AJ39" t="str">
            <v>Palmares</v>
          </cell>
        </row>
        <row r="40">
          <cell r="A40" t="str">
            <v>Palmares - Signature Apartments</v>
          </cell>
          <cell r="C40" t="str">
            <v>806A</v>
          </cell>
          <cell r="E40" t="str">
            <v>T2 (T1+1) Duplex</v>
          </cell>
          <cell r="F40">
            <v>173.95</v>
          </cell>
          <cell r="Q40" t="str">
            <v xml:space="preserve">PSPA </v>
          </cell>
          <cell r="S40">
            <v>440000</v>
          </cell>
          <cell r="T40">
            <v>770000</v>
          </cell>
          <cell r="W40">
            <v>770000</v>
          </cell>
          <cell r="X40">
            <v>0</v>
          </cell>
          <cell r="Y40">
            <v>770000</v>
          </cell>
          <cell r="AA40">
            <v>44957</v>
          </cell>
          <cell r="AB40">
            <v>46843</v>
          </cell>
          <cell r="AJ40" t="str">
            <v>Palmares</v>
          </cell>
        </row>
        <row r="41">
          <cell r="A41" t="str">
            <v>Palmares - Signature Apartments</v>
          </cell>
          <cell r="C41" t="str">
            <v>807A</v>
          </cell>
          <cell r="E41" t="str">
            <v>T2 (T1+1) Duplex</v>
          </cell>
          <cell r="F41">
            <v>173.95</v>
          </cell>
          <cell r="Q41" t="str">
            <v xml:space="preserve">PSPA </v>
          </cell>
          <cell r="S41">
            <v>575000</v>
          </cell>
          <cell r="T41">
            <v>900000</v>
          </cell>
          <cell r="W41">
            <v>900000</v>
          </cell>
          <cell r="X41">
            <v>0</v>
          </cell>
          <cell r="Y41">
            <v>900000</v>
          </cell>
          <cell r="AA41">
            <v>44988</v>
          </cell>
          <cell r="AB41">
            <v>46843</v>
          </cell>
          <cell r="AJ41" t="str">
            <v>Palmares</v>
          </cell>
        </row>
        <row r="42">
          <cell r="A42" t="str">
            <v>NOBILUS</v>
          </cell>
          <cell r="C42" t="str">
            <v>A</v>
          </cell>
          <cell r="E42" t="str">
            <v>T2</v>
          </cell>
          <cell r="F42">
            <v>112.9</v>
          </cell>
          <cell r="Q42" t="str">
            <v xml:space="preserve">PSPA </v>
          </cell>
          <cell r="S42">
            <v>725000</v>
          </cell>
          <cell r="T42">
            <v>725000</v>
          </cell>
          <cell r="W42">
            <v>725000</v>
          </cell>
          <cell r="X42">
            <v>0</v>
          </cell>
          <cell r="Y42">
            <v>725000</v>
          </cell>
          <cell r="AA42">
            <v>46013</v>
          </cell>
          <cell r="AC42" t="str">
            <v>Ana Damásio</v>
          </cell>
          <cell r="AJ42" t="str">
            <v>Nobilus</v>
          </cell>
        </row>
        <row r="43">
          <cell r="A43" t="str">
            <v>NATURA VILLAGE 4</v>
          </cell>
          <cell r="C43" t="str">
            <v>A</v>
          </cell>
          <cell r="E43" t="str">
            <v>V3</v>
          </cell>
          <cell r="F43">
            <v>169.99</v>
          </cell>
          <cell r="Q43" t="str">
            <v xml:space="preserve">DEED </v>
          </cell>
          <cell r="S43">
            <v>950000</v>
          </cell>
          <cell r="T43">
            <v>970000</v>
          </cell>
          <cell r="W43">
            <v>970000</v>
          </cell>
          <cell r="X43">
            <v>0</v>
          </cell>
          <cell r="Y43">
            <v>970000</v>
          </cell>
          <cell r="AA43">
            <v>45846</v>
          </cell>
          <cell r="AC43" t="str">
            <v>Ana Damásio</v>
          </cell>
          <cell r="AJ43" t="str">
            <v>Natura Village</v>
          </cell>
        </row>
        <row r="44">
          <cell r="A44" t="str">
            <v>NATURA VILLAGE 7</v>
          </cell>
          <cell r="C44" t="str">
            <v>A</v>
          </cell>
          <cell r="E44" t="str">
            <v>V2</v>
          </cell>
          <cell r="F44">
            <v>146.33000000000001</v>
          </cell>
          <cell r="Q44" t="str">
            <v xml:space="preserve">DEED </v>
          </cell>
          <cell r="S44">
            <v>810000</v>
          </cell>
          <cell r="T44">
            <v>830000</v>
          </cell>
          <cell r="W44">
            <v>830000</v>
          </cell>
          <cell r="X44">
            <v>0</v>
          </cell>
          <cell r="Y44">
            <v>830000</v>
          </cell>
          <cell r="AA44">
            <v>45537</v>
          </cell>
          <cell r="AC44" t="str">
            <v>Ana Damásio</v>
          </cell>
          <cell r="AJ44" t="str">
            <v>Natura Village</v>
          </cell>
        </row>
        <row r="45">
          <cell r="A45" t="str">
            <v>Palmares - Signature Apartments</v>
          </cell>
          <cell r="C45" t="str">
            <v>808A</v>
          </cell>
          <cell r="E45" t="str">
            <v>T2 (T1+1) Duplex</v>
          </cell>
          <cell r="F45">
            <v>173.95</v>
          </cell>
          <cell r="Q45" t="str">
            <v xml:space="preserve">PSPA </v>
          </cell>
          <cell r="S45">
            <v>460000</v>
          </cell>
          <cell r="T45">
            <v>820000</v>
          </cell>
          <cell r="W45">
            <v>820000</v>
          </cell>
          <cell r="X45">
            <v>0</v>
          </cell>
          <cell r="Y45">
            <v>820000</v>
          </cell>
          <cell r="AA45">
            <v>44977</v>
          </cell>
          <cell r="AB45">
            <v>46843</v>
          </cell>
          <cell r="AJ45" t="str">
            <v>Palmares</v>
          </cell>
        </row>
        <row r="46">
          <cell r="A46" t="str">
            <v>THE NINE</v>
          </cell>
          <cell r="C46" t="str">
            <v>A</v>
          </cell>
          <cell r="E46" t="str">
            <v>T3</v>
          </cell>
          <cell r="F46">
            <v>158</v>
          </cell>
          <cell r="Q46" t="str">
            <v xml:space="preserve">DEED </v>
          </cell>
          <cell r="S46">
            <v>830000</v>
          </cell>
          <cell r="T46">
            <v>850000</v>
          </cell>
          <cell r="W46">
            <v>850000</v>
          </cell>
          <cell r="X46">
            <v>0</v>
          </cell>
          <cell r="Y46">
            <v>850000</v>
          </cell>
          <cell r="AA46">
            <v>45898</v>
          </cell>
          <cell r="AC46" t="str">
            <v>Ana Damásio</v>
          </cell>
          <cell r="AJ46" t="str">
            <v>The Nine</v>
          </cell>
        </row>
        <row r="47">
          <cell r="A47" t="str">
            <v>VM PARQUE</v>
          </cell>
          <cell r="C47" t="str">
            <v>A</v>
          </cell>
          <cell r="E47" t="str">
            <v>V2</v>
          </cell>
          <cell r="F47">
            <v>165.44130000000001</v>
          </cell>
          <cell r="Q47" t="str">
            <v xml:space="preserve">DEED </v>
          </cell>
          <cell r="S47">
            <v>1054782</v>
          </cell>
          <cell r="T47">
            <v>1200000</v>
          </cell>
          <cell r="W47">
            <v>1200000</v>
          </cell>
          <cell r="X47">
            <v>0</v>
          </cell>
          <cell r="Y47">
            <v>1200000</v>
          </cell>
          <cell r="AA47">
            <v>45590</v>
          </cell>
          <cell r="AJ47" t="str">
            <v>VM PARQUE</v>
          </cell>
        </row>
        <row r="48">
          <cell r="A48" t="str">
            <v>TERRACOTA</v>
          </cell>
          <cell r="C48" t="str">
            <v>AA</v>
          </cell>
          <cell r="E48" t="str">
            <v>T3</v>
          </cell>
          <cell r="F48">
            <v>130.91999999999999</v>
          </cell>
          <cell r="Q48" t="str">
            <v xml:space="preserve">PSPA </v>
          </cell>
          <cell r="S48">
            <v>660000</v>
          </cell>
          <cell r="T48">
            <v>660000</v>
          </cell>
          <cell r="W48">
            <v>660000</v>
          </cell>
          <cell r="X48">
            <v>0</v>
          </cell>
          <cell r="Y48">
            <v>660000</v>
          </cell>
          <cell r="AA48">
            <v>45849</v>
          </cell>
          <cell r="AC48" t="str">
            <v>Ana Damásio</v>
          </cell>
          <cell r="AJ48" t="str">
            <v>Terracota</v>
          </cell>
        </row>
        <row r="49">
          <cell r="A49" t="str">
            <v>NOBILUS</v>
          </cell>
          <cell r="C49" t="str">
            <v>AB</v>
          </cell>
          <cell r="E49" t="str">
            <v>T3</v>
          </cell>
          <cell r="F49">
            <v>153.46</v>
          </cell>
          <cell r="Q49" t="str">
            <v xml:space="preserve">PSPA </v>
          </cell>
          <cell r="S49">
            <v>1040000</v>
          </cell>
          <cell r="T49">
            <v>988000</v>
          </cell>
          <cell r="W49">
            <v>988000</v>
          </cell>
          <cell r="X49">
            <v>0</v>
          </cell>
          <cell r="Y49">
            <v>988000</v>
          </cell>
          <cell r="AA49">
            <v>45630</v>
          </cell>
          <cell r="AC49" t="str">
            <v>Ana Damásio</v>
          </cell>
          <cell r="AJ49" t="str">
            <v>Nobilus</v>
          </cell>
        </row>
        <row r="50">
          <cell r="A50" t="str">
            <v>THE NINE</v>
          </cell>
          <cell r="C50" t="str">
            <v>AA</v>
          </cell>
          <cell r="E50" t="str">
            <v>T2</v>
          </cell>
          <cell r="F50">
            <v>117</v>
          </cell>
          <cell r="Q50" t="str">
            <v xml:space="preserve">DEED </v>
          </cell>
          <cell r="S50">
            <v>490000</v>
          </cell>
          <cell r="T50">
            <v>490000</v>
          </cell>
          <cell r="W50">
            <v>490000</v>
          </cell>
          <cell r="X50">
            <v>0</v>
          </cell>
          <cell r="Y50">
            <v>490000</v>
          </cell>
          <cell r="AA50">
            <v>46125</v>
          </cell>
          <cell r="AC50" t="str">
            <v>Ana Damásio</v>
          </cell>
          <cell r="AJ50" t="str">
            <v>The Nine</v>
          </cell>
        </row>
        <row r="51">
          <cell r="A51" t="str">
            <v>Rivus</v>
          </cell>
          <cell r="C51" t="str">
            <v>AB</v>
          </cell>
          <cell r="E51" t="str">
            <v>T3</v>
          </cell>
          <cell r="Q51" t="str">
            <v xml:space="preserve">PSPA </v>
          </cell>
          <cell r="S51">
            <v>860000</v>
          </cell>
          <cell r="T51">
            <v>860000</v>
          </cell>
          <cell r="W51">
            <v>860000</v>
          </cell>
          <cell r="X51">
            <v>0</v>
          </cell>
          <cell r="Y51">
            <v>860000</v>
          </cell>
          <cell r="AA51">
            <v>46171</v>
          </cell>
          <cell r="AC51" t="str">
            <v>Ana Damásio</v>
          </cell>
          <cell r="AJ51" t="str">
            <v>Rivus</v>
          </cell>
        </row>
        <row r="52">
          <cell r="A52" t="str">
            <v>Palmares - Signature Apartments</v>
          </cell>
          <cell r="C52" t="str">
            <v>811B</v>
          </cell>
          <cell r="E52" t="str">
            <v>T1</v>
          </cell>
          <cell r="F52">
            <v>93.55</v>
          </cell>
          <cell r="Q52" t="str">
            <v xml:space="preserve">PSPA </v>
          </cell>
          <cell r="S52">
            <v>440000</v>
          </cell>
          <cell r="T52">
            <v>550000</v>
          </cell>
          <cell r="W52">
            <v>550000</v>
          </cell>
          <cell r="X52">
            <v>0</v>
          </cell>
          <cell r="Y52">
            <v>550000</v>
          </cell>
          <cell r="AA52">
            <v>44967</v>
          </cell>
          <cell r="AB52">
            <v>46843</v>
          </cell>
          <cell r="AJ52" t="str">
            <v>Palmares</v>
          </cell>
        </row>
        <row r="53">
          <cell r="A53" t="str">
            <v>Palmares - Signature Apartments</v>
          </cell>
          <cell r="C53" t="str">
            <v>813B</v>
          </cell>
          <cell r="E53" t="str">
            <v>T1</v>
          </cell>
          <cell r="F53">
            <v>95.85</v>
          </cell>
          <cell r="Q53" t="str">
            <v xml:space="preserve">PSPA </v>
          </cell>
          <cell r="S53">
            <v>760000</v>
          </cell>
          <cell r="T53">
            <v>710000</v>
          </cell>
          <cell r="W53">
            <v>710000</v>
          </cell>
          <cell r="X53">
            <v>0</v>
          </cell>
          <cell r="Y53">
            <v>710000</v>
          </cell>
          <cell r="AA53">
            <v>44988</v>
          </cell>
          <cell r="AB53">
            <v>46843</v>
          </cell>
          <cell r="AJ53" t="str">
            <v>Palmares</v>
          </cell>
        </row>
        <row r="54">
          <cell r="A54" t="str">
            <v>Palmares - Signature Apartments</v>
          </cell>
          <cell r="C54" t="str">
            <v>814B</v>
          </cell>
          <cell r="E54" t="str">
            <v>T1</v>
          </cell>
          <cell r="F54">
            <v>96.05</v>
          </cell>
          <cell r="Q54" t="str">
            <v xml:space="preserve">PSPA </v>
          </cell>
          <cell r="S54">
            <v>710000</v>
          </cell>
          <cell r="T54">
            <v>530000</v>
          </cell>
          <cell r="W54">
            <v>530000</v>
          </cell>
          <cell r="X54">
            <v>0</v>
          </cell>
          <cell r="Y54">
            <v>530000</v>
          </cell>
          <cell r="AA54">
            <v>45132</v>
          </cell>
          <cell r="AB54">
            <v>46843</v>
          </cell>
          <cell r="AJ54" t="str">
            <v>Palmares</v>
          </cell>
        </row>
        <row r="55">
          <cell r="A55" t="str">
            <v>Palmares - Signature Apartments</v>
          </cell>
          <cell r="C55" t="str">
            <v>815B</v>
          </cell>
          <cell r="E55" t="str">
            <v>T1</v>
          </cell>
          <cell r="F55">
            <v>96.05</v>
          </cell>
          <cell r="Q55" t="str">
            <v xml:space="preserve">PSPA </v>
          </cell>
          <cell r="S55">
            <v>660000</v>
          </cell>
          <cell r="T55">
            <v>680000</v>
          </cell>
          <cell r="W55">
            <v>680000</v>
          </cell>
          <cell r="X55">
            <v>0</v>
          </cell>
          <cell r="Y55">
            <v>680000</v>
          </cell>
          <cell r="AA55">
            <v>44999</v>
          </cell>
          <cell r="AB55">
            <v>46843</v>
          </cell>
          <cell r="AJ55" t="str">
            <v>Palmares</v>
          </cell>
        </row>
        <row r="56">
          <cell r="A56" t="str">
            <v>Palmares - Signature Apartments</v>
          </cell>
          <cell r="C56" t="str">
            <v>816B</v>
          </cell>
          <cell r="E56" t="str">
            <v>T1</v>
          </cell>
          <cell r="F56">
            <v>96.05</v>
          </cell>
          <cell r="Q56" t="str">
            <v xml:space="preserve">PSPA </v>
          </cell>
          <cell r="S56">
            <v>650000</v>
          </cell>
          <cell r="T56">
            <v>680000</v>
          </cell>
          <cell r="W56">
            <v>680000</v>
          </cell>
          <cell r="X56">
            <v>0</v>
          </cell>
          <cell r="Y56">
            <v>680000</v>
          </cell>
          <cell r="AA56">
            <v>45069</v>
          </cell>
          <cell r="AB56">
            <v>46843</v>
          </cell>
          <cell r="AJ56" t="str">
            <v>Palmares</v>
          </cell>
        </row>
        <row r="57">
          <cell r="A57" t="str">
            <v>TERRACOTA</v>
          </cell>
          <cell r="C57" t="str">
            <v>AB</v>
          </cell>
          <cell r="E57" t="str">
            <v>T3</v>
          </cell>
          <cell r="F57">
            <v>130.91999999999999</v>
          </cell>
          <cell r="Q57" t="str">
            <v xml:space="preserve">PSPA </v>
          </cell>
          <cell r="S57">
            <v>680000</v>
          </cell>
          <cell r="T57">
            <v>680000</v>
          </cell>
          <cell r="W57">
            <v>680000</v>
          </cell>
          <cell r="X57">
            <v>0</v>
          </cell>
          <cell r="Y57">
            <v>680000</v>
          </cell>
          <cell r="AA57">
            <v>45664</v>
          </cell>
          <cell r="AC57" t="str">
            <v>Ana Damásio</v>
          </cell>
          <cell r="AJ57" t="str">
            <v>Terracota</v>
          </cell>
        </row>
        <row r="58">
          <cell r="A58" t="str">
            <v>TERRACOTA</v>
          </cell>
          <cell r="C58" t="str">
            <v>AC</v>
          </cell>
          <cell r="E58" t="str">
            <v>T3</v>
          </cell>
          <cell r="F58">
            <v>130.91999999999999</v>
          </cell>
          <cell r="Q58" t="str">
            <v xml:space="preserve">PSPA </v>
          </cell>
          <cell r="S58">
            <v>660000</v>
          </cell>
          <cell r="T58">
            <v>660000</v>
          </cell>
          <cell r="W58">
            <v>660000</v>
          </cell>
          <cell r="X58">
            <v>0</v>
          </cell>
          <cell r="Y58">
            <v>660000</v>
          </cell>
          <cell r="AA58">
            <v>45849</v>
          </cell>
          <cell r="AC58" t="str">
            <v>Ana Damásio</v>
          </cell>
          <cell r="AJ58" t="str">
            <v>Terracota</v>
          </cell>
        </row>
        <row r="59">
          <cell r="A59" t="str">
            <v>THE NINE</v>
          </cell>
          <cell r="C59" t="str">
            <v>AB</v>
          </cell>
          <cell r="E59" t="str">
            <v>T3</v>
          </cell>
          <cell r="F59">
            <v>157</v>
          </cell>
          <cell r="Q59" t="str">
            <v xml:space="preserve">DEED </v>
          </cell>
          <cell r="S59">
            <v>740000</v>
          </cell>
          <cell r="T59">
            <v>830000</v>
          </cell>
          <cell r="W59">
            <v>830000</v>
          </cell>
          <cell r="X59">
            <v>0</v>
          </cell>
          <cell r="Y59">
            <v>830000</v>
          </cell>
          <cell r="AC59" t="str">
            <v>Ana Damásio</v>
          </cell>
          <cell r="AJ59" t="str">
            <v>The Nine</v>
          </cell>
        </row>
        <row r="60">
          <cell r="A60" t="str">
            <v>Palmares - Signature Apartments</v>
          </cell>
          <cell r="C60" t="str">
            <v>818B (ACESS.)</v>
          </cell>
          <cell r="E60" t="str">
            <v>T1</v>
          </cell>
          <cell r="F60">
            <v>117.1</v>
          </cell>
          <cell r="Q60" t="str">
            <v xml:space="preserve">PSPA </v>
          </cell>
          <cell r="S60">
            <v>440000</v>
          </cell>
          <cell r="T60">
            <v>450000</v>
          </cell>
          <cell r="W60">
            <v>450000</v>
          </cell>
          <cell r="X60">
            <v>0</v>
          </cell>
          <cell r="Y60">
            <v>450000</v>
          </cell>
          <cell r="AA60">
            <v>44974</v>
          </cell>
          <cell r="AB60">
            <v>46843</v>
          </cell>
          <cell r="AJ60" t="str">
            <v>Palmares</v>
          </cell>
        </row>
        <row r="61">
          <cell r="A61" t="str">
            <v>THE NINE</v>
          </cell>
          <cell r="C61" t="str">
            <v>AC</v>
          </cell>
          <cell r="E61" t="str">
            <v>T2</v>
          </cell>
          <cell r="F61">
            <v>124</v>
          </cell>
          <cell r="Q61" t="str">
            <v xml:space="preserve">DEED </v>
          </cell>
          <cell r="S61">
            <v>630000</v>
          </cell>
          <cell r="T61">
            <v>680000</v>
          </cell>
          <cell r="W61">
            <v>680000</v>
          </cell>
          <cell r="X61">
            <v>0</v>
          </cell>
          <cell r="Y61">
            <v>680000</v>
          </cell>
          <cell r="AC61" t="str">
            <v>Ana Damásio</v>
          </cell>
          <cell r="AJ61" t="str">
            <v>The Nine</v>
          </cell>
        </row>
        <row r="62">
          <cell r="A62" t="str">
            <v>VM PARQUE</v>
          </cell>
          <cell r="C62" t="str">
            <v>AC</v>
          </cell>
          <cell r="E62" t="str">
            <v>V2</v>
          </cell>
          <cell r="F62">
            <v>152.87280000000001</v>
          </cell>
          <cell r="Q62" t="str">
            <v xml:space="preserve">DEED </v>
          </cell>
          <cell r="S62">
            <v>942100</v>
          </cell>
          <cell r="T62">
            <v>990000</v>
          </cell>
          <cell r="W62">
            <v>990000</v>
          </cell>
          <cell r="X62">
            <v>0</v>
          </cell>
          <cell r="Y62">
            <v>990000</v>
          </cell>
          <cell r="AJ62" t="str">
            <v>VM PARQUE</v>
          </cell>
        </row>
        <row r="63">
          <cell r="A63" t="str">
            <v>TERRACOTA</v>
          </cell>
          <cell r="C63" t="str">
            <v>AD</v>
          </cell>
          <cell r="E63" t="str">
            <v>T3</v>
          </cell>
          <cell r="F63">
            <v>130.91999999999999</v>
          </cell>
          <cell r="Q63" t="str">
            <v xml:space="preserve">PSPA </v>
          </cell>
          <cell r="S63">
            <v>650000</v>
          </cell>
          <cell r="T63">
            <v>650000</v>
          </cell>
          <cell r="W63">
            <v>650000</v>
          </cell>
          <cell r="X63">
            <v>0</v>
          </cell>
          <cell r="Y63">
            <v>650000</v>
          </cell>
          <cell r="AA63">
            <v>46170</v>
          </cell>
          <cell r="AC63" t="str">
            <v>Ana Damásio</v>
          </cell>
          <cell r="AJ63" t="str">
            <v>Terracota</v>
          </cell>
        </row>
        <row r="64">
          <cell r="A64" t="str">
            <v>Palmares - Signature Apartments</v>
          </cell>
          <cell r="C64" t="str">
            <v>819B</v>
          </cell>
          <cell r="E64" t="str">
            <v>T1</v>
          </cell>
          <cell r="F64">
            <v>81.349999999999994</v>
          </cell>
          <cell r="Q64" t="str">
            <v xml:space="preserve">PSPA </v>
          </cell>
          <cell r="S64">
            <v>550000</v>
          </cell>
          <cell r="T64">
            <v>425000</v>
          </cell>
          <cell r="W64">
            <v>425000</v>
          </cell>
          <cell r="X64">
            <v>0</v>
          </cell>
          <cell r="Y64">
            <v>425000</v>
          </cell>
          <cell r="AA64">
            <v>45110</v>
          </cell>
          <cell r="AB64">
            <v>46843</v>
          </cell>
          <cell r="AJ64" t="str">
            <v>Palmares</v>
          </cell>
        </row>
        <row r="65">
          <cell r="A65" t="str">
            <v>THE NINE</v>
          </cell>
          <cell r="C65" t="str">
            <v>AD</v>
          </cell>
          <cell r="E65" t="str">
            <v>T2</v>
          </cell>
          <cell r="F65">
            <v>119</v>
          </cell>
          <cell r="Q65" t="str">
            <v xml:space="preserve">DEED </v>
          </cell>
          <cell r="S65">
            <v>590000</v>
          </cell>
          <cell r="T65">
            <v>630000</v>
          </cell>
          <cell r="W65">
            <v>630000</v>
          </cell>
          <cell r="X65">
            <v>0</v>
          </cell>
          <cell r="Y65">
            <v>630000</v>
          </cell>
          <cell r="AC65" t="str">
            <v>Ana Damásio</v>
          </cell>
          <cell r="AJ65" t="str">
            <v>The Nine</v>
          </cell>
        </row>
        <row r="66">
          <cell r="A66" t="str">
            <v>VM PARQUE</v>
          </cell>
          <cell r="C66" t="str">
            <v>AD</v>
          </cell>
          <cell r="E66" t="str">
            <v>V2</v>
          </cell>
          <cell r="F66">
            <v>164.08609999999999</v>
          </cell>
          <cell r="Q66" t="str">
            <v xml:space="preserve">DEED </v>
          </cell>
          <cell r="S66">
            <v>1035900</v>
          </cell>
          <cell r="T66">
            <v>1160000</v>
          </cell>
          <cell r="W66">
            <v>1160000</v>
          </cell>
          <cell r="X66">
            <v>0</v>
          </cell>
          <cell r="Y66">
            <v>1160000</v>
          </cell>
          <cell r="AJ66" t="str">
            <v>VM PARQUE</v>
          </cell>
        </row>
        <row r="67">
          <cell r="A67" t="str">
            <v>NOBILUS</v>
          </cell>
          <cell r="C67" t="str">
            <v>AE</v>
          </cell>
          <cell r="E67" t="str">
            <v>T3</v>
          </cell>
          <cell r="F67">
            <v>153.4</v>
          </cell>
          <cell r="Q67" t="str">
            <v xml:space="preserve">PSPA </v>
          </cell>
          <cell r="S67">
            <v>1110000</v>
          </cell>
          <cell r="T67">
            <v>1054500</v>
          </cell>
          <cell r="W67">
            <v>1054500</v>
          </cell>
          <cell r="X67">
            <v>0</v>
          </cell>
          <cell r="Y67">
            <v>1054500</v>
          </cell>
          <cell r="AA67">
            <v>45716</v>
          </cell>
          <cell r="AC67" t="str">
            <v>Ana Damásio</v>
          </cell>
          <cell r="AJ67" t="str">
            <v>Nobilus</v>
          </cell>
        </row>
        <row r="68">
          <cell r="A68" t="str">
            <v>TERRACOTA</v>
          </cell>
          <cell r="C68" t="str">
            <v>AE</v>
          </cell>
          <cell r="E68" t="str">
            <v>T3</v>
          </cell>
          <cell r="F68">
            <v>130.91999999999999</v>
          </cell>
          <cell r="Q68" t="str">
            <v xml:space="preserve">PSPA </v>
          </cell>
          <cell r="S68">
            <v>650000</v>
          </cell>
          <cell r="T68">
            <v>670000</v>
          </cell>
          <cell r="W68">
            <v>670000</v>
          </cell>
          <cell r="X68">
            <v>0</v>
          </cell>
          <cell r="Y68">
            <v>670000</v>
          </cell>
          <cell r="AA68">
            <v>46044</v>
          </cell>
          <cell r="AC68" t="str">
            <v>Ana Damásio</v>
          </cell>
          <cell r="AJ68" t="str">
            <v>Terracota</v>
          </cell>
        </row>
        <row r="69">
          <cell r="A69" t="str">
            <v>TERRACOTA</v>
          </cell>
          <cell r="C69" t="str">
            <v>AF</v>
          </cell>
          <cell r="E69" t="str">
            <v>T3</v>
          </cell>
          <cell r="F69">
            <v>130.91999999999999</v>
          </cell>
          <cell r="Q69" t="str">
            <v xml:space="preserve">PSPA </v>
          </cell>
          <cell r="S69">
            <v>650000</v>
          </cell>
          <cell r="T69">
            <v>670000</v>
          </cell>
          <cell r="W69">
            <v>670000</v>
          </cell>
          <cell r="X69">
            <v>0</v>
          </cell>
          <cell r="Y69">
            <v>670000</v>
          </cell>
          <cell r="AA69">
            <v>45943</v>
          </cell>
          <cell r="AC69" t="str">
            <v>Ana Damásio</v>
          </cell>
          <cell r="AJ69" t="str">
            <v>Terracota</v>
          </cell>
        </row>
        <row r="70">
          <cell r="A70" t="str">
            <v>BOTÂNICA</v>
          </cell>
          <cell r="C70" t="str">
            <v>AG</v>
          </cell>
          <cell r="E70" t="str">
            <v>T2</v>
          </cell>
          <cell r="F70">
            <v>142.88</v>
          </cell>
          <cell r="Q70" t="str">
            <v xml:space="preserve">PSPA </v>
          </cell>
          <cell r="S70">
            <v>949860.054</v>
          </cell>
          <cell r="T70">
            <v>950000</v>
          </cell>
          <cell r="W70">
            <v>950000</v>
          </cell>
          <cell r="X70">
            <v>0</v>
          </cell>
          <cell r="Y70">
            <v>950000</v>
          </cell>
          <cell r="AA70">
            <v>46125</v>
          </cell>
          <cell r="AC70" t="str">
            <v>Ana Damásio</v>
          </cell>
          <cell r="AJ70" t="str">
            <v>Botanica</v>
          </cell>
        </row>
        <row r="71">
          <cell r="A71" t="str">
            <v>VM PARQUE</v>
          </cell>
          <cell r="C71" t="str">
            <v>AF</v>
          </cell>
          <cell r="E71" t="str">
            <v>V3</v>
          </cell>
          <cell r="F71">
            <v>188.2499</v>
          </cell>
          <cell r="Q71" t="str">
            <v xml:space="preserve">DEED </v>
          </cell>
          <cell r="S71">
            <v>1094742</v>
          </cell>
          <cell r="T71">
            <v>1135000</v>
          </cell>
          <cell r="W71">
            <v>1135000</v>
          </cell>
          <cell r="X71">
            <v>0</v>
          </cell>
          <cell r="Y71">
            <v>1135000</v>
          </cell>
          <cell r="AA71">
            <v>46171</v>
          </cell>
          <cell r="AJ71" t="str">
            <v>VM PARQUE</v>
          </cell>
        </row>
        <row r="72">
          <cell r="A72" t="str">
            <v>TERRACOTA</v>
          </cell>
          <cell r="C72" t="str">
            <v>AH</v>
          </cell>
          <cell r="E72" t="str">
            <v>T2</v>
          </cell>
          <cell r="F72">
            <v>104.7</v>
          </cell>
          <cell r="Q72" t="str">
            <v xml:space="preserve">PSPA </v>
          </cell>
          <cell r="S72">
            <v>550000</v>
          </cell>
          <cell r="T72">
            <v>550000</v>
          </cell>
          <cell r="W72">
            <v>550000</v>
          </cell>
          <cell r="X72">
            <v>0</v>
          </cell>
          <cell r="Y72">
            <v>550000</v>
          </cell>
          <cell r="AA72">
            <v>45905</v>
          </cell>
          <cell r="AC72" t="str">
            <v>Ana Damásio</v>
          </cell>
          <cell r="AJ72" t="str">
            <v>Terracota</v>
          </cell>
        </row>
        <row r="73">
          <cell r="A73" t="str">
            <v>THE NINE</v>
          </cell>
          <cell r="C73" t="str">
            <v>AG</v>
          </cell>
          <cell r="E73" t="str">
            <v>T2</v>
          </cell>
          <cell r="F73">
            <v>119</v>
          </cell>
          <cell r="Q73" t="str">
            <v xml:space="preserve">DEED </v>
          </cell>
          <cell r="S73">
            <v>590000</v>
          </cell>
          <cell r="T73">
            <v>630000</v>
          </cell>
          <cell r="W73">
            <v>630000</v>
          </cell>
          <cell r="X73">
            <v>0</v>
          </cell>
          <cell r="Y73">
            <v>630000</v>
          </cell>
          <cell r="AA73">
            <v>46023</v>
          </cell>
          <cell r="AC73" t="str">
            <v>Ana Damásio</v>
          </cell>
          <cell r="AJ73" t="str">
            <v>The Nine</v>
          </cell>
        </row>
        <row r="74">
          <cell r="A74" t="str">
            <v>VM PARQUE</v>
          </cell>
          <cell r="C74" t="str">
            <v>AG</v>
          </cell>
          <cell r="E74" t="str">
            <v>V3</v>
          </cell>
          <cell r="F74">
            <v>189.1061</v>
          </cell>
          <cell r="Q74" t="str">
            <v xml:space="preserve">DEED </v>
          </cell>
          <cell r="S74">
            <v>1133100</v>
          </cell>
          <cell r="T74">
            <v>1190000</v>
          </cell>
          <cell r="W74">
            <v>1190000</v>
          </cell>
          <cell r="X74">
            <v>0</v>
          </cell>
          <cell r="Y74">
            <v>1190000</v>
          </cell>
          <cell r="AA74">
            <v>44810</v>
          </cell>
          <cell r="AJ74" t="str">
            <v>VM PARQUE</v>
          </cell>
        </row>
        <row r="75">
          <cell r="A75" t="str">
            <v>Aroeira - HOTEL APARTMENTS</v>
          </cell>
          <cell r="C75" t="str">
            <v>103A</v>
          </cell>
          <cell r="E75" t="str">
            <v>1-BR</v>
          </cell>
          <cell r="F75">
            <v>65</v>
          </cell>
          <cell r="Q75" t="str">
            <v xml:space="preserve">PSPA </v>
          </cell>
          <cell r="S75">
            <v>750000</v>
          </cell>
          <cell r="T75">
            <v>415000</v>
          </cell>
          <cell r="V75">
            <v>35000</v>
          </cell>
          <cell r="W75">
            <v>380000</v>
          </cell>
          <cell r="X75">
            <v>0</v>
          </cell>
          <cell r="Y75">
            <v>415000</v>
          </cell>
          <cell r="AA75">
            <v>45910</v>
          </cell>
          <cell r="AB75">
            <v>47118</v>
          </cell>
          <cell r="AC75" t="str">
            <v>João Gameiro</v>
          </cell>
          <cell r="AJ75" t="str">
            <v>Aroeira Collections</v>
          </cell>
        </row>
        <row r="76">
          <cell r="A76" t="str">
            <v>VM PARQUE</v>
          </cell>
          <cell r="C76" t="str">
            <v>AH</v>
          </cell>
          <cell r="E76" t="str">
            <v>V3</v>
          </cell>
          <cell r="F76">
            <v>189.1061</v>
          </cell>
          <cell r="Q76" t="str">
            <v xml:space="preserve">DEED </v>
          </cell>
          <cell r="S76">
            <v>1133100</v>
          </cell>
          <cell r="T76">
            <v>1234800</v>
          </cell>
          <cell r="W76">
            <v>1234800</v>
          </cell>
          <cell r="X76">
            <v>0</v>
          </cell>
          <cell r="Y76">
            <v>1234800</v>
          </cell>
          <cell r="AA76">
            <v>44817</v>
          </cell>
          <cell r="AJ76" t="str">
            <v>VM PARQUE</v>
          </cell>
        </row>
        <row r="77">
          <cell r="A77" t="str">
            <v>Aroeira - APARTMENTS</v>
          </cell>
          <cell r="C77" t="str">
            <v>105B</v>
          </cell>
          <cell r="E77" t="str">
            <v>2-BR</v>
          </cell>
          <cell r="F77">
            <v>190.14</v>
          </cell>
          <cell r="Q77" t="str">
            <v>RESERVED</v>
          </cell>
          <cell r="S77">
            <v>780000</v>
          </cell>
          <cell r="T77">
            <v>840000</v>
          </cell>
          <cell r="V77">
            <v>45000</v>
          </cell>
          <cell r="W77">
            <v>795000</v>
          </cell>
          <cell r="X77">
            <v>0</v>
          </cell>
          <cell r="Y77">
            <v>840000</v>
          </cell>
          <cell r="AA77">
            <v>46029</v>
          </cell>
          <cell r="AB77">
            <v>47118</v>
          </cell>
          <cell r="AC77" t="str">
            <v>João Gameiro</v>
          </cell>
          <cell r="AJ77" t="str">
            <v>Aroeira Collections</v>
          </cell>
        </row>
        <row r="78">
          <cell r="A78" t="str">
            <v>TERRACOTA</v>
          </cell>
          <cell r="C78" t="str">
            <v>AI</v>
          </cell>
          <cell r="E78" t="str">
            <v>T2</v>
          </cell>
          <cell r="F78">
            <v>104.7</v>
          </cell>
          <cell r="Q78" t="str">
            <v xml:space="preserve">PSPA </v>
          </cell>
          <cell r="S78">
            <v>550000</v>
          </cell>
          <cell r="T78">
            <v>550000</v>
          </cell>
          <cell r="W78">
            <v>550000</v>
          </cell>
          <cell r="X78">
            <v>0</v>
          </cell>
          <cell r="Y78">
            <v>550000</v>
          </cell>
          <cell r="AA78">
            <v>45928</v>
          </cell>
          <cell r="AC78" t="str">
            <v>Ana Damásio</v>
          </cell>
          <cell r="AJ78" t="str">
            <v>Terracota</v>
          </cell>
        </row>
        <row r="79">
          <cell r="A79" t="str">
            <v>Rivus</v>
          </cell>
          <cell r="C79" t="str">
            <v>AJ</v>
          </cell>
          <cell r="E79" t="str">
            <v>T3</v>
          </cell>
          <cell r="Q79" t="str">
            <v xml:space="preserve">PSPA </v>
          </cell>
          <cell r="S79">
            <v>1150000</v>
          </cell>
          <cell r="T79">
            <v>1150000</v>
          </cell>
          <cell r="W79">
            <v>1150000</v>
          </cell>
          <cell r="X79">
            <v>0</v>
          </cell>
          <cell r="Y79">
            <v>1150000</v>
          </cell>
          <cell r="AA79">
            <v>46190</v>
          </cell>
          <cell r="AC79" t="str">
            <v>Ana Damásio</v>
          </cell>
          <cell r="AJ79" t="str">
            <v>Rivus</v>
          </cell>
        </row>
        <row r="80">
          <cell r="A80" t="str">
            <v>THE NINE</v>
          </cell>
          <cell r="C80" t="str">
            <v>AI</v>
          </cell>
          <cell r="E80" t="str">
            <v>T2</v>
          </cell>
          <cell r="F80">
            <v>119</v>
          </cell>
          <cell r="Q80" t="str">
            <v xml:space="preserve">DEED </v>
          </cell>
          <cell r="S80">
            <v>590000</v>
          </cell>
          <cell r="T80">
            <v>640000</v>
          </cell>
          <cell r="W80">
            <v>640000</v>
          </cell>
          <cell r="X80">
            <v>0</v>
          </cell>
          <cell r="Y80">
            <v>640000</v>
          </cell>
          <cell r="AA80">
            <v>45923</v>
          </cell>
          <cell r="AC80" t="str">
            <v>Ana Damásio</v>
          </cell>
          <cell r="AJ80" t="str">
            <v>The Nine</v>
          </cell>
        </row>
        <row r="81">
          <cell r="A81" t="str">
            <v>VM PARQUE</v>
          </cell>
          <cell r="C81" t="str">
            <v>AI</v>
          </cell>
          <cell r="E81" t="str">
            <v>V3</v>
          </cell>
          <cell r="F81">
            <v>188.36330000000001</v>
          </cell>
          <cell r="Q81" t="str">
            <v xml:space="preserve">DEED </v>
          </cell>
          <cell r="S81">
            <v>1174632</v>
          </cell>
          <cell r="T81">
            <v>1220000</v>
          </cell>
          <cell r="W81">
            <v>1220000</v>
          </cell>
          <cell r="X81">
            <v>0</v>
          </cell>
          <cell r="Y81">
            <v>1220000</v>
          </cell>
          <cell r="AA81">
            <v>44659</v>
          </cell>
          <cell r="AJ81" t="str">
            <v>VM PARQUE</v>
          </cell>
        </row>
        <row r="82">
          <cell r="A82" t="str">
            <v>TERRACOTA</v>
          </cell>
          <cell r="C82" t="str">
            <v>AJ</v>
          </cell>
          <cell r="E82" t="str">
            <v>T2</v>
          </cell>
          <cell r="F82">
            <v>104.7</v>
          </cell>
          <cell r="Q82" t="str">
            <v xml:space="preserve">PSPA </v>
          </cell>
          <cell r="S82">
            <v>550000</v>
          </cell>
          <cell r="T82">
            <v>550000</v>
          </cell>
          <cell r="W82">
            <v>550000</v>
          </cell>
          <cell r="X82">
            <v>0</v>
          </cell>
          <cell r="Y82">
            <v>550000</v>
          </cell>
          <cell r="AA82">
            <v>45973</v>
          </cell>
          <cell r="AC82" t="str">
            <v>Ana Damásio</v>
          </cell>
          <cell r="AJ82" t="str">
            <v>Terracota</v>
          </cell>
        </row>
        <row r="83">
          <cell r="A83" t="str">
            <v>Palmares - Signature Apartments</v>
          </cell>
          <cell r="C83" t="str">
            <v>820B</v>
          </cell>
          <cell r="E83" t="str">
            <v>T1</v>
          </cell>
          <cell r="F83">
            <v>99.7</v>
          </cell>
          <cell r="Q83" t="str">
            <v xml:space="preserve">PSPA </v>
          </cell>
          <cell r="S83">
            <v>550000</v>
          </cell>
          <cell r="T83">
            <v>455000</v>
          </cell>
          <cell r="W83">
            <v>455000</v>
          </cell>
          <cell r="X83">
            <v>0</v>
          </cell>
          <cell r="Y83">
            <v>455000</v>
          </cell>
          <cell r="AA83">
            <v>45079</v>
          </cell>
          <cell r="AB83">
            <v>46843</v>
          </cell>
          <cell r="AJ83" t="str">
            <v>Palmares</v>
          </cell>
        </row>
        <row r="84">
          <cell r="A84" t="str">
            <v>THE NINE</v>
          </cell>
          <cell r="C84" t="str">
            <v>AJ</v>
          </cell>
          <cell r="E84" t="str">
            <v>T2</v>
          </cell>
          <cell r="F84">
            <v>119</v>
          </cell>
          <cell r="Q84" t="str">
            <v xml:space="preserve">DEED </v>
          </cell>
          <cell r="S84">
            <v>590000</v>
          </cell>
          <cell r="T84">
            <v>640000</v>
          </cell>
          <cell r="W84">
            <v>640000</v>
          </cell>
          <cell r="X84">
            <v>0</v>
          </cell>
          <cell r="Y84">
            <v>640000</v>
          </cell>
          <cell r="AA84">
            <v>45923</v>
          </cell>
          <cell r="AC84" t="str">
            <v>Ana Damásio</v>
          </cell>
          <cell r="AJ84" t="str">
            <v>The Nine</v>
          </cell>
        </row>
        <row r="85">
          <cell r="A85" t="str">
            <v>TERRACOTA</v>
          </cell>
          <cell r="C85" t="str">
            <v>AK</v>
          </cell>
          <cell r="E85" t="str">
            <v>T2</v>
          </cell>
          <cell r="F85">
            <v>104.7</v>
          </cell>
          <cell r="Q85" t="str">
            <v xml:space="preserve">PSPA </v>
          </cell>
          <cell r="S85">
            <v>550000</v>
          </cell>
          <cell r="T85">
            <v>550000</v>
          </cell>
          <cell r="W85">
            <v>550000</v>
          </cell>
          <cell r="X85">
            <v>0</v>
          </cell>
          <cell r="Y85">
            <v>550000</v>
          </cell>
          <cell r="AA85">
            <v>45895</v>
          </cell>
          <cell r="AC85" t="str">
            <v>Ana Damásio</v>
          </cell>
          <cell r="AJ85" t="str">
            <v>Terracota</v>
          </cell>
        </row>
        <row r="86">
          <cell r="A86" t="str">
            <v>VM PARQUE</v>
          </cell>
          <cell r="C86" t="str">
            <v>AJ</v>
          </cell>
          <cell r="E86" t="str">
            <v>V3</v>
          </cell>
          <cell r="F86">
            <v>189.03110000000001</v>
          </cell>
          <cell r="Q86" t="str">
            <v xml:space="preserve">DEED </v>
          </cell>
          <cell r="S86">
            <v>1181568</v>
          </cell>
          <cell r="T86">
            <v>1185000</v>
          </cell>
          <cell r="W86">
            <v>1185000</v>
          </cell>
          <cell r="X86">
            <v>0</v>
          </cell>
          <cell r="Y86">
            <v>1185000</v>
          </cell>
          <cell r="AA86">
            <v>44659</v>
          </cell>
          <cell r="AJ86" t="str">
            <v>VM PARQUE</v>
          </cell>
        </row>
        <row r="87">
          <cell r="A87" t="str">
            <v>NOBILUS</v>
          </cell>
          <cell r="C87" t="str">
            <v>AL</v>
          </cell>
          <cell r="E87" t="str">
            <v>T2</v>
          </cell>
          <cell r="F87">
            <v>109.17</v>
          </cell>
          <cell r="Q87" t="str">
            <v xml:space="preserve">PSPA </v>
          </cell>
          <cell r="S87">
            <v>720000</v>
          </cell>
          <cell r="T87">
            <v>684000</v>
          </cell>
          <cell r="W87">
            <v>684000</v>
          </cell>
          <cell r="X87">
            <v>0</v>
          </cell>
          <cell r="Y87">
            <v>684000</v>
          </cell>
          <cell r="AA87">
            <v>45955</v>
          </cell>
          <cell r="AC87" t="str">
            <v>Ana Damásio</v>
          </cell>
          <cell r="AJ87" t="str">
            <v>Nobilus</v>
          </cell>
        </row>
        <row r="88">
          <cell r="A88" t="str">
            <v>VM PARQUE</v>
          </cell>
          <cell r="C88" t="str">
            <v>AK</v>
          </cell>
          <cell r="E88" t="str">
            <v>V3</v>
          </cell>
          <cell r="F88">
            <v>188.2499</v>
          </cell>
          <cell r="Q88" t="str">
            <v xml:space="preserve">DEED </v>
          </cell>
          <cell r="S88">
            <v>1072170</v>
          </cell>
          <cell r="T88">
            <v>1072170</v>
          </cell>
          <cell r="W88">
            <v>1072170</v>
          </cell>
          <cell r="X88">
            <v>0</v>
          </cell>
          <cell r="Y88">
            <v>1072170</v>
          </cell>
          <cell r="AA88">
            <v>44663</v>
          </cell>
          <cell r="AJ88" t="str">
            <v>VM PARQUE</v>
          </cell>
        </row>
        <row r="89">
          <cell r="A89" t="str">
            <v>VP - TOWNHOUSES</v>
          </cell>
          <cell r="C89" t="str">
            <v>13A</v>
          </cell>
          <cell r="E89" t="str">
            <v>V3</v>
          </cell>
          <cell r="F89">
            <v>311.70999999999998</v>
          </cell>
          <cell r="Q89" t="str">
            <v>AVAILABLE</v>
          </cell>
          <cell r="S89">
            <v>810000</v>
          </cell>
          <cell r="T89">
            <v>860000</v>
          </cell>
          <cell r="W89">
            <v>860000</v>
          </cell>
          <cell r="X89">
            <v>0</v>
          </cell>
          <cell r="Y89">
            <v>840000</v>
          </cell>
          <cell r="AA89">
            <v>46171</v>
          </cell>
          <cell r="AB89">
            <v>47208</v>
          </cell>
          <cell r="AC89" t="str">
            <v>João Gameiro</v>
          </cell>
          <cell r="AJ89" t="str">
            <v>Vale Pisão Grand Park</v>
          </cell>
        </row>
        <row r="90">
          <cell r="A90" t="str">
            <v>TERRACOTA</v>
          </cell>
          <cell r="C90" t="str">
            <v>AL</v>
          </cell>
          <cell r="E90" t="str">
            <v>T2</v>
          </cell>
          <cell r="F90">
            <v>104.7</v>
          </cell>
          <cell r="Q90" t="str">
            <v xml:space="preserve">PSPA </v>
          </cell>
          <cell r="S90">
            <v>540000</v>
          </cell>
          <cell r="T90">
            <v>540000</v>
          </cell>
          <cell r="W90">
            <v>540000</v>
          </cell>
          <cell r="X90">
            <v>0</v>
          </cell>
          <cell r="Y90">
            <v>540000</v>
          </cell>
          <cell r="AA90">
            <v>45897</v>
          </cell>
          <cell r="AC90" t="str">
            <v>Ana Damásio</v>
          </cell>
          <cell r="AJ90" t="str">
            <v>Terracota</v>
          </cell>
        </row>
        <row r="91">
          <cell r="A91" t="str">
            <v>Palmares - Signature Apartments</v>
          </cell>
          <cell r="C91" t="str">
            <v>821B</v>
          </cell>
          <cell r="E91" t="str">
            <v>T3 (T2+1)</v>
          </cell>
          <cell r="F91">
            <v>245.6</v>
          </cell>
          <cell r="Q91" t="str">
            <v xml:space="preserve">PSPA </v>
          </cell>
          <cell r="S91">
            <v>680000</v>
          </cell>
          <cell r="T91">
            <v>1700000</v>
          </cell>
          <cell r="W91">
            <v>1700000</v>
          </cell>
          <cell r="X91">
            <v>0</v>
          </cell>
          <cell r="Y91">
            <v>1700000</v>
          </cell>
          <cell r="AA91">
            <v>45989</v>
          </cell>
          <cell r="AB91">
            <v>46843</v>
          </cell>
          <cell r="AJ91" t="str">
            <v>Palmares</v>
          </cell>
        </row>
        <row r="92">
          <cell r="A92" t="str">
            <v>TERRACOTA</v>
          </cell>
          <cell r="C92" t="str">
            <v>AM</v>
          </cell>
          <cell r="E92" t="str">
            <v>T2</v>
          </cell>
          <cell r="F92">
            <v>104.7</v>
          </cell>
          <cell r="Q92" t="str">
            <v xml:space="preserve">PSPA </v>
          </cell>
          <cell r="S92">
            <v>550000</v>
          </cell>
          <cell r="T92">
            <v>550000</v>
          </cell>
          <cell r="W92">
            <v>550000</v>
          </cell>
          <cell r="X92">
            <v>0</v>
          </cell>
          <cell r="Y92">
            <v>550000</v>
          </cell>
          <cell r="AA92">
            <v>45931</v>
          </cell>
          <cell r="AC92" t="str">
            <v>Ana Damásio</v>
          </cell>
          <cell r="AJ92" t="str">
            <v>Terracota</v>
          </cell>
        </row>
        <row r="93">
          <cell r="A93" t="str">
            <v>VM PARQUE</v>
          </cell>
          <cell r="C93" t="str">
            <v>AL</v>
          </cell>
          <cell r="E93" t="str">
            <v>V3</v>
          </cell>
          <cell r="F93">
            <v>189.1061</v>
          </cell>
          <cell r="Q93" t="str">
            <v xml:space="preserve">DEED </v>
          </cell>
          <cell r="S93">
            <v>1076445</v>
          </cell>
          <cell r="T93">
            <v>1250000</v>
          </cell>
          <cell r="W93">
            <v>1250000</v>
          </cell>
          <cell r="X93">
            <v>0</v>
          </cell>
          <cell r="Y93">
            <v>1250000</v>
          </cell>
          <cell r="AA93">
            <v>44798</v>
          </cell>
          <cell r="AJ93" t="str">
            <v>VM PARQUE</v>
          </cell>
        </row>
        <row r="94">
          <cell r="A94" t="str">
            <v>TERRACOTA</v>
          </cell>
          <cell r="C94" t="str">
            <v>AO</v>
          </cell>
          <cell r="E94" t="str">
            <v>T2</v>
          </cell>
          <cell r="F94">
            <v>104.7</v>
          </cell>
          <cell r="Q94" t="str">
            <v xml:space="preserve">PSPA </v>
          </cell>
          <cell r="S94">
            <v>550000</v>
          </cell>
          <cell r="T94">
            <v>550000</v>
          </cell>
          <cell r="W94">
            <v>550000</v>
          </cell>
          <cell r="X94">
            <v>0</v>
          </cell>
          <cell r="Y94">
            <v>550000</v>
          </cell>
          <cell r="AA94">
            <v>45833</v>
          </cell>
          <cell r="AC94" t="str">
            <v>Ana Damásio</v>
          </cell>
          <cell r="AJ94" t="str">
            <v>Terracota</v>
          </cell>
        </row>
        <row r="95">
          <cell r="A95" t="str">
            <v>THE NINE</v>
          </cell>
          <cell r="C95" t="str">
            <v>AM</v>
          </cell>
          <cell r="E95" t="str">
            <v>T2</v>
          </cell>
          <cell r="F95">
            <v>119</v>
          </cell>
          <cell r="Q95" t="str">
            <v xml:space="preserve">DEED </v>
          </cell>
          <cell r="S95">
            <v>590000</v>
          </cell>
          <cell r="T95">
            <v>630000</v>
          </cell>
          <cell r="W95">
            <v>630000</v>
          </cell>
          <cell r="X95">
            <v>0</v>
          </cell>
          <cell r="Y95">
            <v>630000</v>
          </cell>
          <cell r="AA95">
            <v>45250</v>
          </cell>
          <cell r="AC95" t="str">
            <v>Ana Damásio</v>
          </cell>
          <cell r="AJ95" t="str">
            <v>The Nine</v>
          </cell>
        </row>
        <row r="96">
          <cell r="A96" t="str">
            <v>VM PARQUE</v>
          </cell>
          <cell r="C96" t="str">
            <v>AM</v>
          </cell>
          <cell r="E96" t="str">
            <v>V3</v>
          </cell>
          <cell r="F96">
            <v>189.1061</v>
          </cell>
          <cell r="Q96" t="str">
            <v xml:space="preserve">DEED </v>
          </cell>
          <cell r="S96">
            <v>1099107</v>
          </cell>
          <cell r="T96">
            <v>1235000</v>
          </cell>
          <cell r="W96">
            <v>1235000</v>
          </cell>
          <cell r="X96">
            <v>0</v>
          </cell>
          <cell r="Y96">
            <v>1235000</v>
          </cell>
          <cell r="AA96">
            <v>44841</v>
          </cell>
          <cell r="AJ96" t="str">
            <v>VM PARQUE</v>
          </cell>
        </row>
        <row r="97">
          <cell r="A97" t="str">
            <v>VP - TOWNHOUSES</v>
          </cell>
          <cell r="C97" t="str">
            <v>10A</v>
          </cell>
          <cell r="E97" t="str">
            <v>V3</v>
          </cell>
          <cell r="F97">
            <v>274.31</v>
          </cell>
          <cell r="Q97" t="str">
            <v>AVAILABLE</v>
          </cell>
          <cell r="S97">
            <v>840000</v>
          </cell>
          <cell r="T97">
            <v>860000</v>
          </cell>
          <cell r="W97">
            <v>860000</v>
          </cell>
          <cell r="X97">
            <v>0</v>
          </cell>
          <cell r="Y97">
            <v>800000</v>
          </cell>
          <cell r="AA97">
            <v>46171</v>
          </cell>
          <cell r="AB97">
            <v>47208</v>
          </cell>
          <cell r="AC97" t="str">
            <v>João Gameiro</v>
          </cell>
          <cell r="AJ97" t="str">
            <v>Vale Pisão Grand Park</v>
          </cell>
        </row>
        <row r="98">
          <cell r="A98" t="str">
            <v>THE NINE</v>
          </cell>
          <cell r="C98" t="str">
            <v>AN</v>
          </cell>
          <cell r="E98" t="str">
            <v>T2</v>
          </cell>
          <cell r="F98">
            <v>119</v>
          </cell>
          <cell r="Q98" t="str">
            <v xml:space="preserve">DEED </v>
          </cell>
          <cell r="S98">
            <v>590000</v>
          </cell>
          <cell r="T98">
            <v>660000</v>
          </cell>
          <cell r="W98">
            <v>660000</v>
          </cell>
          <cell r="X98">
            <v>0</v>
          </cell>
          <cell r="Y98">
            <v>660000</v>
          </cell>
          <cell r="AA98">
            <v>45923</v>
          </cell>
          <cell r="AC98" t="str">
            <v>Ana Damásio</v>
          </cell>
          <cell r="AJ98" t="str">
            <v>The Nine</v>
          </cell>
        </row>
        <row r="99">
          <cell r="A99" t="str">
            <v>VM PARQUE</v>
          </cell>
          <cell r="C99" t="str">
            <v>AN</v>
          </cell>
          <cell r="E99" t="str">
            <v>V3</v>
          </cell>
          <cell r="F99">
            <v>188.36330000000001</v>
          </cell>
          <cell r="Q99" t="str">
            <v xml:space="preserve">DEED </v>
          </cell>
          <cell r="S99">
            <v>1151600</v>
          </cell>
          <cell r="T99">
            <v>1152000</v>
          </cell>
          <cell r="W99">
            <v>1152000</v>
          </cell>
          <cell r="X99">
            <v>0</v>
          </cell>
          <cell r="Y99">
            <v>1152000</v>
          </cell>
          <cell r="AA99">
            <v>44641</v>
          </cell>
          <cell r="AJ99" t="str">
            <v>VM PARQUE</v>
          </cell>
        </row>
        <row r="100">
          <cell r="A100" t="str">
            <v>TERRACOTA</v>
          </cell>
          <cell r="C100" t="str">
            <v>AP</v>
          </cell>
          <cell r="E100" t="str">
            <v>T2</v>
          </cell>
          <cell r="F100">
            <v>104.7</v>
          </cell>
          <cell r="Q100" t="str">
            <v xml:space="preserve">PSPA </v>
          </cell>
          <cell r="S100">
            <v>540000</v>
          </cell>
          <cell r="T100">
            <v>555000</v>
          </cell>
          <cell r="W100">
            <v>555000</v>
          </cell>
          <cell r="X100">
            <v>0</v>
          </cell>
          <cell r="Y100">
            <v>555000</v>
          </cell>
          <cell r="AA100">
            <v>45954</v>
          </cell>
          <cell r="AC100" t="str">
            <v>Ana Damásio</v>
          </cell>
          <cell r="AJ100" t="str">
            <v>Terracota</v>
          </cell>
        </row>
        <row r="101">
          <cell r="A101" t="str">
            <v>THE NINE</v>
          </cell>
          <cell r="C101" t="str">
            <v>AO</v>
          </cell>
          <cell r="E101" t="str">
            <v>T2</v>
          </cell>
          <cell r="F101">
            <v>119</v>
          </cell>
          <cell r="Q101" t="str">
            <v xml:space="preserve">DEED </v>
          </cell>
          <cell r="S101">
            <v>590000</v>
          </cell>
          <cell r="T101">
            <v>590000</v>
          </cell>
          <cell r="W101">
            <v>590000</v>
          </cell>
          <cell r="X101">
            <v>0</v>
          </cell>
          <cell r="Y101">
            <v>590000</v>
          </cell>
          <cell r="AA101">
            <v>45035</v>
          </cell>
          <cell r="AC101" t="str">
            <v>Ana Damásio</v>
          </cell>
          <cell r="AJ101" t="str">
            <v>The Nine</v>
          </cell>
        </row>
        <row r="102">
          <cell r="A102" t="str">
            <v>Aroeira - APARTMENTS</v>
          </cell>
          <cell r="C102" t="str">
            <v>106B</v>
          </cell>
          <cell r="E102" t="str">
            <v>2-BR</v>
          </cell>
          <cell r="F102">
            <v>200.51</v>
          </cell>
          <cell r="Q102" t="str">
            <v xml:space="preserve">PSPA </v>
          </cell>
          <cell r="S102">
            <v>790000</v>
          </cell>
          <cell r="T102">
            <v>810000</v>
          </cell>
          <cell r="V102">
            <v>45000</v>
          </cell>
          <cell r="W102">
            <v>765000</v>
          </cell>
          <cell r="X102">
            <v>0</v>
          </cell>
          <cell r="Y102">
            <v>810000</v>
          </cell>
          <cell r="AA102">
            <v>45953</v>
          </cell>
          <cell r="AB102">
            <v>47118</v>
          </cell>
          <cell r="AC102" t="str">
            <v>João Gameiro</v>
          </cell>
          <cell r="AJ102" t="str">
            <v>Aroeira Collections</v>
          </cell>
        </row>
        <row r="103">
          <cell r="A103" t="str">
            <v>Aroeira - APARTMENTS</v>
          </cell>
          <cell r="C103" t="str">
            <v>110B</v>
          </cell>
          <cell r="E103" t="str">
            <v>2-BR</v>
          </cell>
          <cell r="F103">
            <v>176.21</v>
          </cell>
          <cell r="Q103" t="str">
            <v xml:space="preserve">PSPA </v>
          </cell>
          <cell r="S103">
            <v>775000</v>
          </cell>
          <cell r="T103">
            <v>775000</v>
          </cell>
          <cell r="V103">
            <v>45000</v>
          </cell>
          <cell r="W103">
            <v>730000</v>
          </cell>
          <cell r="X103">
            <v>0</v>
          </cell>
          <cell r="Y103">
            <v>775000</v>
          </cell>
          <cell r="AA103">
            <v>45979</v>
          </cell>
          <cell r="AB103">
            <v>47118</v>
          </cell>
          <cell r="AC103" t="str">
            <v>João Gameiro</v>
          </cell>
          <cell r="AJ103" t="str">
            <v>Aroeira Collections</v>
          </cell>
        </row>
        <row r="104">
          <cell r="A104" t="str">
            <v xml:space="preserve">MR - CHR </v>
          </cell>
          <cell r="C104" t="str">
            <v>K</v>
          </cell>
          <cell r="E104" t="str">
            <v>T2</v>
          </cell>
          <cell r="F104">
            <v>197.08</v>
          </cell>
          <cell r="Q104" t="str">
            <v>RESERVED</v>
          </cell>
          <cell r="S104">
            <v>900000</v>
          </cell>
          <cell r="T104">
            <v>660000</v>
          </cell>
          <cell r="W104">
            <v>660000</v>
          </cell>
          <cell r="X104">
            <v>0</v>
          </cell>
          <cell r="Y104">
            <v>660000</v>
          </cell>
          <cell r="AA104">
            <v>46094</v>
          </cell>
          <cell r="AB104" t="str">
            <v>TBD</v>
          </cell>
          <cell r="AC104" t="str">
            <v>Sandra Viegas</v>
          </cell>
          <cell r="AJ104" t="str">
            <v>Monte Rei</v>
          </cell>
        </row>
        <row r="105">
          <cell r="A105" t="str">
            <v>THE NINE</v>
          </cell>
          <cell r="C105" t="str">
            <v>AP</v>
          </cell>
          <cell r="E105" t="str">
            <v>T3</v>
          </cell>
          <cell r="F105">
            <v>162</v>
          </cell>
          <cell r="Q105" t="str">
            <v xml:space="preserve">DEED </v>
          </cell>
          <cell r="S105">
            <v>840000</v>
          </cell>
          <cell r="T105">
            <v>840000</v>
          </cell>
          <cell r="W105">
            <v>840000</v>
          </cell>
          <cell r="X105">
            <v>0</v>
          </cell>
          <cell r="Y105">
            <v>840000</v>
          </cell>
          <cell r="AA105">
            <v>45071</v>
          </cell>
          <cell r="AC105" t="str">
            <v>Ana Damásio</v>
          </cell>
          <cell r="AJ105" t="str">
            <v>The Nine</v>
          </cell>
        </row>
        <row r="106">
          <cell r="A106" t="str">
            <v>NOBILUS</v>
          </cell>
          <cell r="C106" t="str">
            <v>AQ</v>
          </cell>
          <cell r="E106" t="str">
            <v>T2</v>
          </cell>
          <cell r="F106">
            <v>109.16</v>
          </cell>
          <cell r="Q106" t="str">
            <v xml:space="preserve">PSPA </v>
          </cell>
          <cell r="S106">
            <v>720000</v>
          </cell>
          <cell r="T106">
            <v>684000</v>
          </cell>
          <cell r="W106">
            <v>684000</v>
          </cell>
          <cell r="X106">
            <v>0</v>
          </cell>
          <cell r="Y106">
            <v>684000</v>
          </cell>
          <cell r="AA106">
            <v>45687</v>
          </cell>
          <cell r="AC106" t="str">
            <v>Ana Damásio</v>
          </cell>
          <cell r="AJ106" t="str">
            <v>Nobilus</v>
          </cell>
        </row>
        <row r="107">
          <cell r="A107" t="str">
            <v>TERRACOTA</v>
          </cell>
          <cell r="C107" t="str">
            <v>AQ</v>
          </cell>
          <cell r="E107" t="str">
            <v>T2</v>
          </cell>
          <cell r="F107">
            <v>104.7</v>
          </cell>
          <cell r="Q107" t="str">
            <v xml:space="preserve">PSPA </v>
          </cell>
          <cell r="S107">
            <v>540000</v>
          </cell>
          <cell r="T107">
            <v>540000</v>
          </cell>
          <cell r="W107">
            <v>540000</v>
          </cell>
          <cell r="X107">
            <v>0</v>
          </cell>
          <cell r="Y107">
            <v>540000</v>
          </cell>
          <cell r="AA107">
            <v>45954</v>
          </cell>
          <cell r="AC107" t="str">
            <v>Ana Damásio</v>
          </cell>
          <cell r="AJ107" t="str">
            <v>Terracota</v>
          </cell>
        </row>
        <row r="108">
          <cell r="A108" t="str">
            <v>TERRACOTA</v>
          </cell>
          <cell r="C108" t="str">
            <v>AR</v>
          </cell>
          <cell r="E108" t="str">
            <v>T2</v>
          </cell>
          <cell r="F108">
            <v>104.7</v>
          </cell>
          <cell r="Q108" t="str">
            <v xml:space="preserve">PSPA </v>
          </cell>
          <cell r="S108">
            <v>550000</v>
          </cell>
          <cell r="T108">
            <v>565000</v>
          </cell>
          <cell r="W108">
            <v>565000</v>
          </cell>
          <cell r="X108">
            <v>0</v>
          </cell>
          <cell r="Y108">
            <v>565000</v>
          </cell>
          <cell r="AA108">
            <v>46072</v>
          </cell>
          <cell r="AC108" t="str">
            <v>Ana Damásio</v>
          </cell>
          <cell r="AJ108" t="str">
            <v>Terracota</v>
          </cell>
        </row>
        <row r="109">
          <cell r="A109" t="str">
            <v>THE NINE</v>
          </cell>
          <cell r="C109" t="str">
            <v>AQ</v>
          </cell>
          <cell r="E109" t="str">
            <v>T3</v>
          </cell>
          <cell r="F109">
            <v>146</v>
          </cell>
          <cell r="Q109" t="str">
            <v xml:space="preserve">DEED </v>
          </cell>
          <cell r="S109">
            <v>960000</v>
          </cell>
          <cell r="T109">
            <v>1150000</v>
          </cell>
          <cell r="W109">
            <v>1150000</v>
          </cell>
          <cell r="X109">
            <v>0</v>
          </cell>
          <cell r="Y109">
            <v>1150000</v>
          </cell>
          <cell r="AA109">
            <v>45145</v>
          </cell>
          <cell r="AC109" t="str">
            <v>Ana Damásio</v>
          </cell>
          <cell r="AJ109" t="str">
            <v>The Nine</v>
          </cell>
        </row>
        <row r="110">
          <cell r="A110" t="str">
            <v>TERRACOTA</v>
          </cell>
          <cell r="C110" t="str">
            <v>AS</v>
          </cell>
          <cell r="E110" t="str">
            <v>T2</v>
          </cell>
          <cell r="F110">
            <v>104.7</v>
          </cell>
          <cell r="Q110" t="str">
            <v xml:space="preserve">PSPA </v>
          </cell>
          <cell r="S110">
            <v>550000</v>
          </cell>
          <cell r="T110">
            <v>565000</v>
          </cell>
          <cell r="W110">
            <v>565000</v>
          </cell>
          <cell r="X110">
            <v>0</v>
          </cell>
          <cell r="Y110">
            <v>565000</v>
          </cell>
          <cell r="AA110">
            <v>45940</v>
          </cell>
          <cell r="AC110" t="str">
            <v>Ana Damásio</v>
          </cell>
          <cell r="AJ110" t="str">
            <v>Terracota</v>
          </cell>
        </row>
        <row r="111">
          <cell r="A111" t="str">
            <v>THE NINE</v>
          </cell>
          <cell r="C111" t="str">
            <v>AR</v>
          </cell>
          <cell r="E111" t="str">
            <v>T3</v>
          </cell>
          <cell r="F111">
            <v>143</v>
          </cell>
          <cell r="Q111" t="str">
            <v xml:space="preserve">DEED </v>
          </cell>
          <cell r="S111">
            <v>840000</v>
          </cell>
          <cell r="T111">
            <v>1040000</v>
          </cell>
          <cell r="W111">
            <v>1040000</v>
          </cell>
          <cell r="X111">
            <v>0</v>
          </cell>
          <cell r="Y111">
            <v>1040000</v>
          </cell>
          <cell r="AA111">
            <v>45923</v>
          </cell>
          <cell r="AC111" t="str">
            <v>Ana Damásio</v>
          </cell>
          <cell r="AJ111" t="str">
            <v>The Nine</v>
          </cell>
        </row>
        <row r="112">
          <cell r="A112" t="str">
            <v>TERRACOTA</v>
          </cell>
          <cell r="C112" t="str">
            <v>AT</v>
          </cell>
          <cell r="E112" t="str">
            <v>T2</v>
          </cell>
          <cell r="F112">
            <v>104.7</v>
          </cell>
          <cell r="Q112" t="str">
            <v xml:space="preserve">PSPA </v>
          </cell>
          <cell r="S112">
            <v>540000</v>
          </cell>
          <cell r="T112">
            <v>555000</v>
          </cell>
          <cell r="W112">
            <v>555000</v>
          </cell>
          <cell r="X112">
            <v>0</v>
          </cell>
          <cell r="Y112">
            <v>555000</v>
          </cell>
          <cell r="AA112">
            <v>45943</v>
          </cell>
          <cell r="AC112" t="str">
            <v>Ana Damásio</v>
          </cell>
          <cell r="AJ112" t="str">
            <v>Terracota</v>
          </cell>
        </row>
        <row r="113">
          <cell r="A113" t="str">
            <v>Palmares - Signature Apartments</v>
          </cell>
          <cell r="C113" t="str">
            <v>822B</v>
          </cell>
          <cell r="E113" t="str">
            <v>T3 Duplex</v>
          </cell>
          <cell r="F113">
            <v>223.65</v>
          </cell>
          <cell r="Q113" t="str">
            <v xml:space="preserve">PSPA </v>
          </cell>
          <cell r="S113">
            <v>570000</v>
          </cell>
          <cell r="T113">
            <v>1550000</v>
          </cell>
          <cell r="W113">
            <v>1550000</v>
          </cell>
          <cell r="X113">
            <v>0</v>
          </cell>
          <cell r="Y113">
            <v>1550000</v>
          </cell>
          <cell r="AA113">
            <v>45002</v>
          </cell>
          <cell r="AB113">
            <v>46843</v>
          </cell>
          <cell r="AJ113" t="str">
            <v>Palmares</v>
          </cell>
        </row>
        <row r="114">
          <cell r="A114" t="str">
            <v>THE NINE</v>
          </cell>
          <cell r="C114" t="str">
            <v>AT</v>
          </cell>
          <cell r="E114" t="str">
            <v>T2</v>
          </cell>
          <cell r="F114">
            <v>111</v>
          </cell>
          <cell r="Q114" t="str">
            <v xml:space="preserve">DEED </v>
          </cell>
          <cell r="S114">
            <v>660000</v>
          </cell>
          <cell r="T114">
            <v>830000</v>
          </cell>
          <cell r="W114">
            <v>830000</v>
          </cell>
          <cell r="X114">
            <v>0</v>
          </cell>
          <cell r="Y114">
            <v>830000</v>
          </cell>
          <cell r="AA114">
            <v>45720</v>
          </cell>
          <cell r="AC114" t="str">
            <v>Ana Damásio</v>
          </cell>
          <cell r="AJ114" t="str">
            <v>The Nine</v>
          </cell>
        </row>
        <row r="115">
          <cell r="A115" t="str">
            <v>Aroeira - APARTMENTS</v>
          </cell>
          <cell r="C115" t="str">
            <v>112B</v>
          </cell>
          <cell r="E115" t="str">
            <v>2-BR</v>
          </cell>
          <cell r="F115">
            <v>200.36</v>
          </cell>
          <cell r="Q115" t="str">
            <v xml:space="preserve">PSPA </v>
          </cell>
          <cell r="S115">
            <v>840000</v>
          </cell>
          <cell r="T115">
            <v>840000</v>
          </cell>
          <cell r="V115">
            <v>45000</v>
          </cell>
          <cell r="W115">
            <v>795000</v>
          </cell>
          <cell r="X115">
            <v>0</v>
          </cell>
          <cell r="Y115">
            <v>840000</v>
          </cell>
          <cell r="AA115">
            <v>45943</v>
          </cell>
          <cell r="AB115">
            <v>47118</v>
          </cell>
          <cell r="AC115" t="str">
            <v>João Gameiro</v>
          </cell>
          <cell r="AJ115" t="str">
            <v>Aroeira Collections</v>
          </cell>
        </row>
        <row r="116">
          <cell r="A116" t="str">
            <v>TERRACOTA</v>
          </cell>
          <cell r="C116" t="str">
            <v>AW</v>
          </cell>
          <cell r="E116" t="str">
            <v>T3</v>
          </cell>
          <cell r="F116">
            <v>130.91999999999999</v>
          </cell>
          <cell r="Q116" t="str">
            <v xml:space="preserve">PSPA </v>
          </cell>
          <cell r="S116">
            <v>710000</v>
          </cell>
          <cell r="T116">
            <v>710000</v>
          </cell>
          <cell r="W116">
            <v>710000</v>
          </cell>
          <cell r="X116">
            <v>0</v>
          </cell>
          <cell r="Y116">
            <v>710000</v>
          </cell>
          <cell r="AA116">
            <v>45891</v>
          </cell>
          <cell r="AC116" t="str">
            <v>Ana Damásio</v>
          </cell>
          <cell r="AJ116" t="str">
            <v>Terracota</v>
          </cell>
        </row>
        <row r="117">
          <cell r="A117" t="str">
            <v>THE NINE</v>
          </cell>
          <cell r="C117" t="str">
            <v>AU</v>
          </cell>
          <cell r="E117" t="str">
            <v>T3</v>
          </cell>
          <cell r="F117">
            <v>143</v>
          </cell>
          <cell r="Q117" t="str">
            <v xml:space="preserve">DEED </v>
          </cell>
          <cell r="S117">
            <v>840000</v>
          </cell>
          <cell r="T117">
            <v>1050000</v>
          </cell>
          <cell r="W117">
            <v>1050000</v>
          </cell>
          <cell r="X117">
            <v>0</v>
          </cell>
          <cell r="Y117">
            <v>1050000</v>
          </cell>
          <cell r="AA117">
            <v>45433</v>
          </cell>
          <cell r="AC117" t="str">
            <v>Ana Damásio</v>
          </cell>
          <cell r="AJ117" t="str">
            <v>The Nine</v>
          </cell>
        </row>
        <row r="118">
          <cell r="A118" t="str">
            <v>THE NINE</v>
          </cell>
          <cell r="C118" t="str">
            <v>AV</v>
          </cell>
          <cell r="E118" t="str">
            <v>T3</v>
          </cell>
          <cell r="F118">
            <v>146</v>
          </cell>
          <cell r="Q118" t="str">
            <v xml:space="preserve">DEED </v>
          </cell>
          <cell r="S118">
            <v>960000</v>
          </cell>
          <cell r="T118">
            <v>1200000</v>
          </cell>
          <cell r="W118">
            <v>1200000</v>
          </cell>
          <cell r="X118">
            <v>0</v>
          </cell>
          <cell r="Y118">
            <v>1200000</v>
          </cell>
          <cell r="AA118">
            <v>45071</v>
          </cell>
          <cell r="AC118" t="str">
            <v>Ana Damásio</v>
          </cell>
          <cell r="AJ118" t="str">
            <v>The Nine</v>
          </cell>
        </row>
        <row r="119">
          <cell r="A119" t="str">
            <v>TERRACOTA</v>
          </cell>
          <cell r="C119" t="str">
            <v>AX</v>
          </cell>
          <cell r="E119" t="str">
            <v>T3</v>
          </cell>
          <cell r="F119">
            <v>130.91999999999999</v>
          </cell>
          <cell r="Q119" t="str">
            <v xml:space="preserve">PSPA </v>
          </cell>
          <cell r="S119">
            <v>710000</v>
          </cell>
          <cell r="T119">
            <v>740000</v>
          </cell>
          <cell r="W119">
            <v>740000</v>
          </cell>
          <cell r="X119">
            <v>0</v>
          </cell>
          <cell r="Y119">
            <v>740000</v>
          </cell>
          <cell r="AA119">
            <v>46044</v>
          </cell>
          <cell r="AC119" t="str">
            <v>Ana Damásio</v>
          </cell>
          <cell r="AJ119" t="str">
            <v>Terracota</v>
          </cell>
        </row>
        <row r="120">
          <cell r="A120" t="str">
            <v>Rivus</v>
          </cell>
          <cell r="C120" t="str">
            <v>AF</v>
          </cell>
          <cell r="E120" t="str">
            <v>T2</v>
          </cell>
          <cell r="Q120" t="str">
            <v>RESERVED</v>
          </cell>
          <cell r="S120">
            <v>740000</v>
          </cell>
          <cell r="T120">
            <v>740000</v>
          </cell>
          <cell r="W120">
            <v>740000</v>
          </cell>
          <cell r="X120">
            <v>0</v>
          </cell>
          <cell r="Y120">
            <v>740000</v>
          </cell>
          <cell r="AA120">
            <v>46139</v>
          </cell>
          <cell r="AC120" t="str">
            <v>Ana Damásio</v>
          </cell>
          <cell r="AJ120" t="str">
            <v>Rivus</v>
          </cell>
        </row>
        <row r="121">
          <cell r="A121" t="str">
            <v>TERRACOTA</v>
          </cell>
          <cell r="C121" t="str">
            <v>AZ</v>
          </cell>
          <cell r="E121" t="str">
            <v>T2</v>
          </cell>
          <cell r="F121">
            <v>78.3</v>
          </cell>
          <cell r="Q121" t="str">
            <v xml:space="preserve">PSPA </v>
          </cell>
          <cell r="S121">
            <v>465000</v>
          </cell>
          <cell r="T121">
            <v>465000</v>
          </cell>
          <cell r="W121">
            <v>465000</v>
          </cell>
          <cell r="X121">
            <v>0</v>
          </cell>
          <cell r="Y121">
            <v>465000</v>
          </cell>
          <cell r="AA121">
            <v>45604</v>
          </cell>
          <cell r="AC121" t="str">
            <v>Ana Damásio</v>
          </cell>
          <cell r="AJ121" t="str">
            <v>Terracota</v>
          </cell>
        </row>
        <row r="122">
          <cell r="A122" t="str">
            <v>VP - TOWNHOUSES</v>
          </cell>
          <cell r="C122" t="str">
            <v>6B</v>
          </cell>
          <cell r="E122" t="str">
            <v>V3</v>
          </cell>
          <cell r="F122">
            <v>335.26</v>
          </cell>
          <cell r="Q122" t="str">
            <v>AVAILABLE</v>
          </cell>
          <cell r="S122">
            <v>960000</v>
          </cell>
          <cell r="T122">
            <v>1000000</v>
          </cell>
          <cell r="W122">
            <v>1000000</v>
          </cell>
          <cell r="X122">
            <v>0</v>
          </cell>
          <cell r="Y122">
            <v>860000</v>
          </cell>
          <cell r="AA122">
            <v>46171</v>
          </cell>
          <cell r="AB122">
            <v>47208</v>
          </cell>
          <cell r="AC122" t="str">
            <v>João Gameiro</v>
          </cell>
          <cell r="AJ122" t="str">
            <v>Vale Pisão Grand Park</v>
          </cell>
        </row>
        <row r="123">
          <cell r="A123" t="str">
            <v>ZESTIA</v>
          </cell>
          <cell r="C123" t="str">
            <v>AZ</v>
          </cell>
          <cell r="E123" t="str">
            <v>T1</v>
          </cell>
          <cell r="F123">
            <v>77.86</v>
          </cell>
          <cell r="Q123" t="str">
            <v xml:space="preserve">PSPA </v>
          </cell>
          <cell r="S123">
            <v>571832.76879999996</v>
          </cell>
          <cell r="T123">
            <v>640000</v>
          </cell>
          <cell r="U123">
            <v>24600</v>
          </cell>
          <cell r="V123">
            <v>30000</v>
          </cell>
          <cell r="W123">
            <v>585400</v>
          </cell>
          <cell r="X123">
            <v>0</v>
          </cell>
          <cell r="Y123">
            <v>640000</v>
          </cell>
          <cell r="AA123">
            <v>45932</v>
          </cell>
          <cell r="AC123" t="str">
            <v>Ana Damásio</v>
          </cell>
          <cell r="AJ123" t="str">
            <v>Zestia</v>
          </cell>
        </row>
        <row r="124">
          <cell r="A124" t="str">
            <v>TERRACOTA</v>
          </cell>
          <cell r="C124" t="str">
            <v>BA</v>
          </cell>
          <cell r="E124" t="str">
            <v>T2</v>
          </cell>
          <cell r="F124">
            <v>78.3</v>
          </cell>
          <cell r="Q124" t="str">
            <v xml:space="preserve">PSPA </v>
          </cell>
          <cell r="S124">
            <v>465000</v>
          </cell>
          <cell r="T124">
            <v>465000</v>
          </cell>
          <cell r="W124">
            <v>465000</v>
          </cell>
          <cell r="X124">
            <v>0</v>
          </cell>
          <cell r="Y124">
            <v>465000</v>
          </cell>
          <cell r="AA124">
            <v>45611</v>
          </cell>
          <cell r="AC124" t="str">
            <v>Ana Damásio</v>
          </cell>
          <cell r="AJ124" t="str">
            <v>Terracota</v>
          </cell>
        </row>
        <row r="125">
          <cell r="A125" t="str">
            <v>NATURA VILLAGE 4</v>
          </cell>
          <cell r="C125" t="str">
            <v>B</v>
          </cell>
          <cell r="E125" t="str">
            <v>V3</v>
          </cell>
          <cell r="F125">
            <v>169.91</v>
          </cell>
          <cell r="Q125" t="str">
            <v xml:space="preserve">DEED </v>
          </cell>
          <cell r="S125">
            <v>850000</v>
          </cell>
          <cell r="T125">
            <v>850000</v>
          </cell>
          <cell r="W125">
            <v>850000</v>
          </cell>
          <cell r="X125">
            <v>0</v>
          </cell>
          <cell r="Y125">
            <v>850000</v>
          </cell>
          <cell r="AA125">
            <v>45077</v>
          </cell>
          <cell r="AC125" t="str">
            <v>Ana Damásio</v>
          </cell>
          <cell r="AJ125" t="str">
            <v>Natura Village</v>
          </cell>
        </row>
        <row r="126">
          <cell r="A126" t="str">
            <v>NATURA VILLAGE 7</v>
          </cell>
          <cell r="C126" t="str">
            <v>B</v>
          </cell>
          <cell r="E126" t="str">
            <v>V2</v>
          </cell>
          <cell r="F126">
            <v>146.69</v>
          </cell>
          <cell r="Q126" t="str">
            <v xml:space="preserve">DEED </v>
          </cell>
          <cell r="S126">
            <v>790000</v>
          </cell>
          <cell r="T126">
            <v>810000</v>
          </cell>
          <cell r="W126">
            <v>810000</v>
          </cell>
          <cell r="X126">
            <v>0</v>
          </cell>
          <cell r="Y126">
            <v>810000</v>
          </cell>
          <cell r="AA126">
            <v>45771</v>
          </cell>
          <cell r="AC126" t="str">
            <v>Ana Damásio</v>
          </cell>
          <cell r="AJ126" t="str">
            <v>Natura Village</v>
          </cell>
        </row>
        <row r="127">
          <cell r="A127" t="str">
            <v>THE NINE</v>
          </cell>
          <cell r="C127" t="str">
            <v>B</v>
          </cell>
          <cell r="E127" t="str">
            <v>T2</v>
          </cell>
          <cell r="F127">
            <v>111</v>
          </cell>
          <cell r="Q127" t="str">
            <v xml:space="preserve">DEED </v>
          </cell>
          <cell r="S127">
            <v>570000</v>
          </cell>
          <cell r="T127">
            <v>590000</v>
          </cell>
          <cell r="W127">
            <v>590000</v>
          </cell>
          <cell r="X127">
            <v>0</v>
          </cell>
          <cell r="Y127">
            <v>590000</v>
          </cell>
          <cell r="AA127">
            <v>45187</v>
          </cell>
          <cell r="AC127" t="str">
            <v>Ana Damásio</v>
          </cell>
          <cell r="AJ127" t="str">
            <v>The Nine</v>
          </cell>
        </row>
        <row r="128">
          <cell r="A128" t="str">
            <v>VM PARQUE</v>
          </cell>
          <cell r="C128" t="str">
            <v>B</v>
          </cell>
          <cell r="E128" t="str">
            <v>V2</v>
          </cell>
          <cell r="F128">
            <v>152.73410000000001</v>
          </cell>
          <cell r="Q128" t="str">
            <v xml:space="preserve">DEED </v>
          </cell>
          <cell r="S128">
            <v>956250</v>
          </cell>
          <cell r="T128">
            <v>960000</v>
          </cell>
          <cell r="W128">
            <v>960000</v>
          </cell>
          <cell r="X128">
            <v>0</v>
          </cell>
          <cell r="Y128">
            <v>960000</v>
          </cell>
          <cell r="AA128">
            <v>44658</v>
          </cell>
          <cell r="AJ128" t="str">
            <v>VM PARQUE</v>
          </cell>
        </row>
        <row r="129">
          <cell r="A129" t="str">
            <v>TERRACOTA</v>
          </cell>
          <cell r="C129" t="str">
            <v>BB</v>
          </cell>
          <cell r="E129" t="str">
            <v>T2</v>
          </cell>
          <cell r="F129">
            <v>78.3</v>
          </cell>
          <cell r="Q129" t="str">
            <v xml:space="preserve">PSPA </v>
          </cell>
          <cell r="S129">
            <v>465000</v>
          </cell>
          <cell r="T129">
            <v>465000</v>
          </cell>
          <cell r="W129">
            <v>465000</v>
          </cell>
          <cell r="X129">
            <v>0</v>
          </cell>
          <cell r="Y129">
            <v>465000</v>
          </cell>
          <cell r="AA129">
            <v>45784</v>
          </cell>
          <cell r="AC129" t="str">
            <v>Ana Damásio</v>
          </cell>
          <cell r="AJ129" t="str">
            <v>Terracota</v>
          </cell>
        </row>
        <row r="130">
          <cell r="A130" t="str">
            <v>TERRACOTA</v>
          </cell>
          <cell r="C130" t="str">
            <v>BC</v>
          </cell>
          <cell r="E130" t="str">
            <v>T2</v>
          </cell>
          <cell r="F130">
            <v>104.7</v>
          </cell>
          <cell r="Q130" t="str">
            <v xml:space="preserve">PSPA </v>
          </cell>
          <cell r="S130">
            <v>570000</v>
          </cell>
          <cell r="T130">
            <v>585000</v>
          </cell>
          <cell r="W130">
            <v>585000</v>
          </cell>
          <cell r="X130">
            <v>0</v>
          </cell>
          <cell r="Y130">
            <v>585000</v>
          </cell>
          <cell r="AA130">
            <v>46106</v>
          </cell>
          <cell r="AC130" t="str">
            <v>Ana Damásio</v>
          </cell>
          <cell r="AJ130" t="str">
            <v>Terracota</v>
          </cell>
        </row>
        <row r="131">
          <cell r="A131" t="str">
            <v>ZESTIA</v>
          </cell>
          <cell r="C131" t="str">
            <v>BC</v>
          </cell>
          <cell r="E131" t="str">
            <v>T2</v>
          </cell>
          <cell r="F131">
            <v>281.45999999999998</v>
          </cell>
          <cell r="Q131" t="str">
            <v xml:space="preserve">PSPA </v>
          </cell>
          <cell r="S131">
            <v>1069872.7760000001</v>
          </cell>
          <cell r="T131">
            <v>1240000</v>
          </cell>
          <cell r="U131">
            <v>24600</v>
          </cell>
          <cell r="V131">
            <v>50000</v>
          </cell>
          <cell r="W131">
            <v>1165400</v>
          </cell>
          <cell r="X131">
            <v>0</v>
          </cell>
          <cell r="Y131">
            <v>1240000</v>
          </cell>
          <cell r="AA131">
            <v>46058</v>
          </cell>
          <cell r="AC131" t="str">
            <v>Ana Damásio</v>
          </cell>
          <cell r="AJ131" t="str">
            <v>Zestia</v>
          </cell>
        </row>
        <row r="132">
          <cell r="A132" t="str">
            <v>TERRACOTA</v>
          </cell>
          <cell r="C132" t="str">
            <v>BD</v>
          </cell>
          <cell r="E132" t="str">
            <v>T3</v>
          </cell>
          <cell r="F132">
            <v>130.91999999999999</v>
          </cell>
          <cell r="Q132" t="str">
            <v xml:space="preserve">PSPA </v>
          </cell>
          <cell r="S132">
            <v>720000</v>
          </cell>
          <cell r="T132">
            <v>720000</v>
          </cell>
          <cell r="W132">
            <v>720000</v>
          </cell>
          <cell r="X132">
            <v>0</v>
          </cell>
          <cell r="Y132">
            <v>720000</v>
          </cell>
          <cell r="AA132">
            <v>45888</v>
          </cell>
          <cell r="AC132" t="str">
            <v>Ana Damásio</v>
          </cell>
          <cell r="AJ132" t="str">
            <v>Terracota</v>
          </cell>
        </row>
        <row r="133">
          <cell r="A133" t="str">
            <v>TERRACOTA</v>
          </cell>
          <cell r="C133" t="str">
            <v>BF</v>
          </cell>
          <cell r="E133" t="str">
            <v>T2</v>
          </cell>
          <cell r="F133">
            <v>104.7</v>
          </cell>
          <cell r="Q133" t="str">
            <v xml:space="preserve">PSPA </v>
          </cell>
          <cell r="S133">
            <v>570000</v>
          </cell>
          <cell r="T133">
            <v>587100</v>
          </cell>
          <cell r="W133">
            <v>587100</v>
          </cell>
          <cell r="X133">
            <v>0</v>
          </cell>
          <cell r="Y133">
            <v>587100</v>
          </cell>
          <cell r="AA133">
            <v>46141</v>
          </cell>
          <cell r="AC133" t="str">
            <v>Ana Damásio</v>
          </cell>
          <cell r="AJ133" t="str">
            <v>Terracota</v>
          </cell>
        </row>
        <row r="134">
          <cell r="A134" t="str">
            <v>BOTÂNICA</v>
          </cell>
          <cell r="C134" t="str">
            <v>BG</v>
          </cell>
          <cell r="E134" t="str">
            <v>T2</v>
          </cell>
          <cell r="F134">
            <v>151.22999999999999</v>
          </cell>
          <cell r="Q134" t="str">
            <v xml:space="preserve">PSPA </v>
          </cell>
          <cell r="S134">
            <v>1044782.64</v>
          </cell>
          <cell r="T134">
            <v>1050000</v>
          </cell>
          <cell r="W134">
            <v>1050000</v>
          </cell>
          <cell r="X134">
            <v>0</v>
          </cell>
          <cell r="Y134">
            <v>1050000</v>
          </cell>
          <cell r="AA134">
            <v>46139</v>
          </cell>
          <cell r="AC134" t="str">
            <v>Ana Damásio</v>
          </cell>
          <cell r="AJ134" t="str">
            <v>Botanica</v>
          </cell>
        </row>
        <row r="135">
          <cell r="A135" t="str">
            <v>BOTÂNICA</v>
          </cell>
          <cell r="C135" t="str">
            <v>BH</v>
          </cell>
          <cell r="E135" t="str">
            <v>T3</v>
          </cell>
          <cell r="F135">
            <v>318.70999999999998</v>
          </cell>
          <cell r="Q135" t="str">
            <v xml:space="preserve">PSPA </v>
          </cell>
          <cell r="S135">
            <v>1804385.31</v>
          </cell>
          <cell r="T135">
            <v>1810000</v>
          </cell>
          <cell r="W135">
            <v>1810000</v>
          </cell>
          <cell r="X135">
            <v>0</v>
          </cell>
          <cell r="Y135">
            <v>1810000</v>
          </cell>
          <cell r="AA135">
            <v>46093</v>
          </cell>
          <cell r="AC135" t="str">
            <v>Ana Damásio</v>
          </cell>
          <cell r="AJ135" t="str">
            <v>Botanica</v>
          </cell>
        </row>
        <row r="136">
          <cell r="A136" t="str">
            <v>TERRACOTA</v>
          </cell>
          <cell r="C136" t="str">
            <v>BL</v>
          </cell>
          <cell r="E136" t="str">
            <v>T3</v>
          </cell>
          <cell r="F136">
            <v>130.91999999999999</v>
          </cell>
          <cell r="Q136" t="str">
            <v xml:space="preserve">PSPA </v>
          </cell>
          <cell r="S136">
            <v>675000</v>
          </cell>
          <cell r="T136">
            <v>675000</v>
          </cell>
          <cell r="W136">
            <v>675000</v>
          </cell>
          <cell r="X136">
            <v>0</v>
          </cell>
          <cell r="Y136">
            <v>675000</v>
          </cell>
          <cell r="AA136">
            <v>46170</v>
          </cell>
          <cell r="AC136" t="str">
            <v>Ana Damásio</v>
          </cell>
          <cell r="AJ136" t="str">
            <v>Terracota</v>
          </cell>
        </row>
        <row r="137">
          <cell r="A137" t="str">
            <v>TERRACOTA</v>
          </cell>
          <cell r="C137" t="str">
            <v>BM</v>
          </cell>
          <cell r="E137" t="str">
            <v>T3</v>
          </cell>
          <cell r="F137">
            <v>130.91999999999999</v>
          </cell>
          <cell r="Q137" t="str">
            <v xml:space="preserve">PSPA </v>
          </cell>
          <cell r="S137">
            <v>750000</v>
          </cell>
          <cell r="T137">
            <v>750000</v>
          </cell>
          <cell r="W137">
            <v>750000</v>
          </cell>
          <cell r="X137">
            <v>0</v>
          </cell>
          <cell r="Y137">
            <v>750000</v>
          </cell>
          <cell r="AA137">
            <v>45950</v>
          </cell>
          <cell r="AC137" t="str">
            <v>Ana Damásio</v>
          </cell>
          <cell r="AJ137" t="str">
            <v>Terracota</v>
          </cell>
        </row>
        <row r="138">
          <cell r="A138" t="str">
            <v>TERRACOTA</v>
          </cell>
          <cell r="C138" t="str">
            <v>BN</v>
          </cell>
          <cell r="E138" t="str">
            <v>T3</v>
          </cell>
          <cell r="F138">
            <v>130.91999999999999</v>
          </cell>
          <cell r="Q138" t="str">
            <v xml:space="preserve">PSPA </v>
          </cell>
          <cell r="S138">
            <v>670000</v>
          </cell>
          <cell r="T138">
            <v>670000</v>
          </cell>
          <cell r="W138">
            <v>670000</v>
          </cell>
          <cell r="X138">
            <v>0</v>
          </cell>
          <cell r="Y138">
            <v>670000</v>
          </cell>
          <cell r="AA138">
            <v>46176</v>
          </cell>
          <cell r="AC138" t="str">
            <v>Ana Damásio</v>
          </cell>
          <cell r="AJ138" t="str">
            <v>Terracota</v>
          </cell>
        </row>
        <row r="139">
          <cell r="A139" t="str">
            <v>TERRACOTA</v>
          </cell>
          <cell r="C139" t="str">
            <v>BO</v>
          </cell>
          <cell r="E139" t="str">
            <v>T2</v>
          </cell>
          <cell r="F139">
            <v>104.7</v>
          </cell>
          <cell r="Q139" t="str">
            <v xml:space="preserve">PSPA </v>
          </cell>
          <cell r="S139">
            <v>590000</v>
          </cell>
          <cell r="T139">
            <v>590000</v>
          </cell>
          <cell r="W139">
            <v>590000</v>
          </cell>
          <cell r="X139">
            <v>0</v>
          </cell>
          <cell r="Y139">
            <v>590000</v>
          </cell>
          <cell r="AA139">
            <v>45960</v>
          </cell>
          <cell r="AC139" t="str">
            <v>Ana Damásio</v>
          </cell>
          <cell r="AJ139" t="str">
            <v>Terracota</v>
          </cell>
        </row>
        <row r="140">
          <cell r="A140" t="str">
            <v>TERRACOTA</v>
          </cell>
          <cell r="C140" t="str">
            <v>BP</v>
          </cell>
          <cell r="E140" t="str">
            <v>T3</v>
          </cell>
          <cell r="F140">
            <v>130.91999999999999</v>
          </cell>
          <cell r="Q140" t="str">
            <v xml:space="preserve">PSPA </v>
          </cell>
          <cell r="S140">
            <v>660000</v>
          </cell>
          <cell r="T140">
            <v>690000</v>
          </cell>
          <cell r="W140">
            <v>690000</v>
          </cell>
          <cell r="X140">
            <v>0</v>
          </cell>
          <cell r="Y140">
            <v>690000</v>
          </cell>
          <cell r="AA140">
            <v>46171</v>
          </cell>
          <cell r="AC140" t="str">
            <v>Ana Damásio</v>
          </cell>
          <cell r="AJ140" t="str">
            <v>Terracota</v>
          </cell>
        </row>
        <row r="141">
          <cell r="A141" t="str">
            <v>VP - TOWNHOUSES</v>
          </cell>
          <cell r="C141" t="str">
            <v>2C</v>
          </cell>
          <cell r="E141" t="str">
            <v>V3+1</v>
          </cell>
          <cell r="F141">
            <v>349.32</v>
          </cell>
          <cell r="Q141" t="str">
            <v>AVAILABLE</v>
          </cell>
          <cell r="S141">
            <v>1090000</v>
          </cell>
          <cell r="T141">
            <v>1120000</v>
          </cell>
          <cell r="W141">
            <v>1120000</v>
          </cell>
          <cell r="X141">
            <v>0</v>
          </cell>
          <cell r="Y141">
            <v>970000</v>
          </cell>
          <cell r="AA141">
            <v>46185</v>
          </cell>
          <cell r="AB141">
            <v>47208</v>
          </cell>
          <cell r="AC141" t="str">
            <v>João Gameiro</v>
          </cell>
          <cell r="AJ141" t="str">
            <v>Vale Pisão Grand Park</v>
          </cell>
        </row>
        <row r="142">
          <cell r="A142" t="str">
            <v>Aroeira - HOTEL APARTMENTS</v>
          </cell>
          <cell r="C142" t="str">
            <v>116A</v>
          </cell>
          <cell r="E142" t="str">
            <v>1-BR</v>
          </cell>
          <cell r="F142">
            <v>65</v>
          </cell>
          <cell r="Q142" t="str">
            <v xml:space="preserve">PSPA </v>
          </cell>
          <cell r="S142">
            <v>430000</v>
          </cell>
          <cell r="T142">
            <v>430000</v>
          </cell>
          <cell r="V142">
            <v>35000</v>
          </cell>
          <cell r="W142">
            <v>395000</v>
          </cell>
          <cell r="X142">
            <v>0</v>
          </cell>
          <cell r="Y142">
            <v>430000</v>
          </cell>
          <cell r="AA142">
            <v>46020</v>
          </cell>
          <cell r="AB142">
            <v>47118</v>
          </cell>
          <cell r="AC142" t="str">
            <v>João Gameiro</v>
          </cell>
          <cell r="AJ142" t="str">
            <v>Aroeira Collections</v>
          </cell>
        </row>
        <row r="143">
          <cell r="A143" t="str">
            <v>TERRACOTA</v>
          </cell>
          <cell r="C143" t="str">
            <v>BQ</v>
          </cell>
          <cell r="E143" t="str">
            <v>T3</v>
          </cell>
          <cell r="F143">
            <v>130.91999999999999</v>
          </cell>
          <cell r="Q143" t="str">
            <v xml:space="preserve">PSPA </v>
          </cell>
          <cell r="S143">
            <v>660000</v>
          </cell>
          <cell r="T143">
            <v>690000</v>
          </cell>
          <cell r="W143">
            <v>690000</v>
          </cell>
          <cell r="X143">
            <v>0</v>
          </cell>
          <cell r="Y143">
            <v>690000</v>
          </cell>
          <cell r="AA143">
            <v>46120</v>
          </cell>
          <cell r="AC143" t="str">
            <v>Ana Damásio</v>
          </cell>
          <cell r="AJ143" t="str">
            <v>Terracota</v>
          </cell>
        </row>
        <row r="144">
          <cell r="A144" t="str">
            <v>TERRACOTA</v>
          </cell>
          <cell r="C144" t="str">
            <v>BS</v>
          </cell>
          <cell r="E144" t="str">
            <v>T3</v>
          </cell>
          <cell r="F144">
            <v>130.91999999999999</v>
          </cell>
          <cell r="Q144" t="str">
            <v xml:space="preserve">PSPA </v>
          </cell>
          <cell r="S144">
            <v>630000</v>
          </cell>
          <cell r="T144">
            <v>650000</v>
          </cell>
          <cell r="W144">
            <v>650000</v>
          </cell>
          <cell r="X144">
            <v>0</v>
          </cell>
          <cell r="Y144">
            <v>650000</v>
          </cell>
          <cell r="AA144">
            <v>46156</v>
          </cell>
          <cell r="AC144" t="str">
            <v>Ana Damásio</v>
          </cell>
          <cell r="AJ144" t="str">
            <v>Terracota</v>
          </cell>
        </row>
        <row r="145">
          <cell r="A145" t="str">
            <v>TERRACOTA</v>
          </cell>
          <cell r="C145" t="str">
            <v>BV</v>
          </cell>
          <cell r="E145" t="str">
            <v>T2</v>
          </cell>
          <cell r="F145">
            <v>78.3</v>
          </cell>
          <cell r="Q145" t="str">
            <v xml:space="preserve">PSPA </v>
          </cell>
          <cell r="S145">
            <v>435000</v>
          </cell>
          <cell r="T145">
            <v>435000</v>
          </cell>
          <cell r="W145">
            <v>435000</v>
          </cell>
          <cell r="X145">
            <v>0</v>
          </cell>
          <cell r="Y145">
            <v>435000</v>
          </cell>
          <cell r="AA145">
            <v>45862</v>
          </cell>
          <cell r="AC145" t="str">
            <v>Ana Damásio</v>
          </cell>
          <cell r="AJ145" t="str">
            <v>Terracota</v>
          </cell>
        </row>
        <row r="146">
          <cell r="A146" t="str">
            <v>TERRACOTA</v>
          </cell>
          <cell r="C146" t="str">
            <v>BW</v>
          </cell>
          <cell r="E146" t="str">
            <v>T2</v>
          </cell>
          <cell r="F146">
            <v>78.3</v>
          </cell>
          <cell r="Q146" t="str">
            <v xml:space="preserve">PSPA </v>
          </cell>
          <cell r="S146">
            <v>435000</v>
          </cell>
          <cell r="T146">
            <v>413250</v>
          </cell>
          <cell r="W146">
            <v>413250</v>
          </cell>
          <cell r="X146">
            <v>0</v>
          </cell>
          <cell r="Y146">
            <v>413250</v>
          </cell>
          <cell r="AA146">
            <v>45510</v>
          </cell>
          <cell r="AC146" t="str">
            <v>Ana Damásio</v>
          </cell>
          <cell r="AJ146" t="str">
            <v>Terracota</v>
          </cell>
        </row>
        <row r="147">
          <cell r="A147" t="str">
            <v>TERRACOTA</v>
          </cell>
          <cell r="C147" t="str">
            <v>BX</v>
          </cell>
          <cell r="E147" t="str">
            <v>T2</v>
          </cell>
          <cell r="F147">
            <v>104.7</v>
          </cell>
          <cell r="Q147" t="str">
            <v xml:space="preserve">PSPA </v>
          </cell>
          <cell r="S147">
            <v>530000</v>
          </cell>
          <cell r="T147">
            <v>530000</v>
          </cell>
          <cell r="W147">
            <v>530000</v>
          </cell>
          <cell r="X147">
            <v>0</v>
          </cell>
          <cell r="Y147">
            <v>530000</v>
          </cell>
          <cell r="AA147">
            <v>45891</v>
          </cell>
          <cell r="AC147" t="str">
            <v>Ana Damásio</v>
          </cell>
          <cell r="AJ147" t="str">
            <v>Terracota</v>
          </cell>
        </row>
        <row r="148">
          <cell r="A148" t="str">
            <v>TERRACOTA</v>
          </cell>
          <cell r="C148" t="str">
            <v>BY</v>
          </cell>
          <cell r="E148" t="str">
            <v>T2</v>
          </cell>
          <cell r="F148">
            <v>104.7</v>
          </cell>
          <cell r="Q148" t="str">
            <v xml:space="preserve">PSPA </v>
          </cell>
          <cell r="S148">
            <v>530000</v>
          </cell>
          <cell r="T148">
            <v>530000</v>
          </cell>
          <cell r="W148">
            <v>530000</v>
          </cell>
          <cell r="X148">
            <v>0</v>
          </cell>
          <cell r="Y148">
            <v>530000</v>
          </cell>
          <cell r="AA148">
            <v>45931</v>
          </cell>
          <cell r="AC148" t="str">
            <v>Ana Damásio</v>
          </cell>
          <cell r="AJ148" t="str">
            <v>Terracota</v>
          </cell>
        </row>
        <row r="149">
          <cell r="A149" t="str">
            <v>TERRACOTA</v>
          </cell>
          <cell r="C149" t="str">
            <v>CA</v>
          </cell>
          <cell r="E149" t="str">
            <v>T3</v>
          </cell>
          <cell r="F149">
            <v>130.91999999999999</v>
          </cell>
          <cell r="Q149" t="str">
            <v xml:space="preserve">PSPA </v>
          </cell>
          <cell r="S149">
            <v>660000</v>
          </cell>
          <cell r="T149">
            <v>670000</v>
          </cell>
          <cell r="W149">
            <v>670000</v>
          </cell>
          <cell r="X149">
            <v>0</v>
          </cell>
          <cell r="Y149">
            <v>670000</v>
          </cell>
          <cell r="AA149">
            <v>46133</v>
          </cell>
          <cell r="AC149" t="str">
            <v>Ana Damásio</v>
          </cell>
          <cell r="AJ149" t="str">
            <v>Terracota</v>
          </cell>
        </row>
        <row r="150">
          <cell r="A150" t="str">
            <v>Rivus</v>
          </cell>
          <cell r="C150" t="str">
            <v>AK</v>
          </cell>
          <cell r="E150" t="str">
            <v>T2</v>
          </cell>
          <cell r="Q150" t="str">
            <v>RESERVED</v>
          </cell>
          <cell r="S150">
            <v>950000</v>
          </cell>
          <cell r="T150">
            <v>950000</v>
          </cell>
          <cell r="W150">
            <v>950000</v>
          </cell>
          <cell r="X150">
            <v>0</v>
          </cell>
          <cell r="Y150">
            <v>950000</v>
          </cell>
          <cell r="AA150">
            <v>46132</v>
          </cell>
          <cell r="AC150" t="str">
            <v>Ana Damásio</v>
          </cell>
          <cell r="AJ150" t="str">
            <v>Rivus</v>
          </cell>
        </row>
        <row r="151">
          <cell r="A151" t="str">
            <v>NATURA VILLAGE 4</v>
          </cell>
          <cell r="C151" t="str">
            <v>C</v>
          </cell>
          <cell r="E151" t="str">
            <v>V3</v>
          </cell>
          <cell r="F151">
            <v>177.48</v>
          </cell>
          <cell r="Q151" t="str">
            <v xml:space="preserve">DEED </v>
          </cell>
          <cell r="S151">
            <v>980000</v>
          </cell>
          <cell r="T151">
            <v>931000</v>
          </cell>
          <cell r="W151">
            <v>931000</v>
          </cell>
          <cell r="X151">
            <v>0</v>
          </cell>
          <cell r="Y151">
            <v>931000</v>
          </cell>
          <cell r="AA151">
            <v>45086</v>
          </cell>
          <cell r="AC151" t="str">
            <v>Ana Damásio</v>
          </cell>
          <cell r="AJ151" t="str">
            <v>Natura Village</v>
          </cell>
        </row>
        <row r="152">
          <cell r="A152" t="str">
            <v>NATURA VILLAGE 7</v>
          </cell>
          <cell r="C152" t="str">
            <v>C</v>
          </cell>
          <cell r="E152" t="str">
            <v>V2</v>
          </cell>
          <cell r="F152">
            <v>139.57</v>
          </cell>
          <cell r="Q152" t="str">
            <v xml:space="preserve">DEED </v>
          </cell>
          <cell r="S152">
            <v>760000</v>
          </cell>
          <cell r="T152">
            <v>780000</v>
          </cell>
          <cell r="W152">
            <v>780000</v>
          </cell>
          <cell r="X152">
            <v>0</v>
          </cell>
          <cell r="Y152">
            <v>780000</v>
          </cell>
          <cell r="AA152">
            <v>45548</v>
          </cell>
          <cell r="AC152" t="str">
            <v>Ana Damásio</v>
          </cell>
          <cell r="AJ152" t="str">
            <v>Natura Village</v>
          </cell>
        </row>
        <row r="153">
          <cell r="A153" t="str">
            <v>THE NINE</v>
          </cell>
          <cell r="C153" t="str">
            <v>C</v>
          </cell>
          <cell r="E153" t="str">
            <v>T2</v>
          </cell>
          <cell r="F153">
            <v>111</v>
          </cell>
          <cell r="Q153" t="str">
            <v xml:space="preserve">DEED </v>
          </cell>
          <cell r="S153">
            <v>570000</v>
          </cell>
          <cell r="T153">
            <v>570000</v>
          </cell>
          <cell r="W153">
            <v>570000</v>
          </cell>
          <cell r="X153">
            <v>0</v>
          </cell>
          <cell r="Y153">
            <v>570000</v>
          </cell>
          <cell r="AA153">
            <v>45096</v>
          </cell>
          <cell r="AC153" t="str">
            <v>Ana Damásio</v>
          </cell>
          <cell r="AJ153" t="str">
            <v>The Nine</v>
          </cell>
        </row>
        <row r="154">
          <cell r="A154" t="str">
            <v>VM PARQUE</v>
          </cell>
          <cell r="C154" t="str">
            <v>C</v>
          </cell>
          <cell r="E154" t="str">
            <v>V2</v>
          </cell>
          <cell r="F154">
            <v>152.87280000000001</v>
          </cell>
          <cell r="Q154" t="str">
            <v xml:space="preserve">DEED </v>
          </cell>
          <cell r="S154">
            <v>956250</v>
          </cell>
          <cell r="T154">
            <v>1040000</v>
          </cell>
          <cell r="W154">
            <v>1040000</v>
          </cell>
          <cell r="X154">
            <v>0</v>
          </cell>
          <cell r="Y154">
            <v>1040000</v>
          </cell>
          <cell r="AA154">
            <v>45163</v>
          </cell>
          <cell r="AJ154" t="str">
            <v>VM PARQUE</v>
          </cell>
        </row>
        <row r="155">
          <cell r="A155" t="str">
            <v>TERRACOTA</v>
          </cell>
          <cell r="C155" t="str">
            <v>CD</v>
          </cell>
          <cell r="E155" t="str">
            <v>T2</v>
          </cell>
          <cell r="F155">
            <v>78.3</v>
          </cell>
          <cell r="Q155" t="str">
            <v xml:space="preserve">PSPA </v>
          </cell>
          <cell r="S155">
            <v>455000</v>
          </cell>
          <cell r="T155">
            <v>455000</v>
          </cell>
          <cell r="W155">
            <v>455000</v>
          </cell>
          <cell r="X155">
            <v>0</v>
          </cell>
          <cell r="Y155">
            <v>455000</v>
          </cell>
          <cell r="AA155">
            <v>45834</v>
          </cell>
          <cell r="AC155" t="str">
            <v>Ana Damásio</v>
          </cell>
          <cell r="AJ155" t="str">
            <v>Terracota</v>
          </cell>
        </row>
        <row r="156">
          <cell r="A156" t="str">
            <v>TERRACOTA</v>
          </cell>
          <cell r="C156" t="str">
            <v>CF</v>
          </cell>
          <cell r="E156" t="str">
            <v>T2</v>
          </cell>
          <cell r="F156">
            <v>78.3</v>
          </cell>
          <cell r="Q156" t="str">
            <v xml:space="preserve">PSPA </v>
          </cell>
          <cell r="S156">
            <v>455000</v>
          </cell>
          <cell r="T156">
            <v>455000</v>
          </cell>
          <cell r="W156">
            <v>455000</v>
          </cell>
          <cell r="X156">
            <v>0</v>
          </cell>
          <cell r="Y156">
            <v>455000</v>
          </cell>
          <cell r="AA156">
            <v>45898</v>
          </cell>
          <cell r="AC156" t="str">
            <v>Ana Damásio</v>
          </cell>
          <cell r="AJ156" t="str">
            <v>Terracota</v>
          </cell>
        </row>
        <row r="157">
          <cell r="A157" t="str">
            <v>TERRACOTA</v>
          </cell>
          <cell r="C157" t="str">
            <v>CG</v>
          </cell>
          <cell r="E157" t="str">
            <v>T2</v>
          </cell>
          <cell r="F157">
            <v>78.3</v>
          </cell>
          <cell r="Q157" t="str">
            <v xml:space="preserve">PSPA </v>
          </cell>
          <cell r="S157">
            <v>455000</v>
          </cell>
          <cell r="T157">
            <v>455000</v>
          </cell>
          <cell r="W157">
            <v>455000</v>
          </cell>
          <cell r="X157">
            <v>0</v>
          </cell>
          <cell r="Y157">
            <v>455000</v>
          </cell>
          <cell r="AA157">
            <v>45869</v>
          </cell>
          <cell r="AC157" t="str">
            <v>Ana Damásio</v>
          </cell>
          <cell r="AJ157" t="str">
            <v>Terracota</v>
          </cell>
        </row>
        <row r="158">
          <cell r="A158" t="str">
            <v>TERRACOTA</v>
          </cell>
          <cell r="C158" t="str">
            <v>CH</v>
          </cell>
          <cell r="E158" t="str">
            <v>T2</v>
          </cell>
          <cell r="F158">
            <v>78.3</v>
          </cell>
          <cell r="Q158" t="str">
            <v xml:space="preserve">PSPA </v>
          </cell>
          <cell r="S158">
            <v>455000</v>
          </cell>
          <cell r="T158">
            <v>455000</v>
          </cell>
          <cell r="W158">
            <v>455000</v>
          </cell>
          <cell r="X158">
            <v>0</v>
          </cell>
          <cell r="Y158">
            <v>455000</v>
          </cell>
          <cell r="AA158">
            <v>45891</v>
          </cell>
          <cell r="AC158" t="str">
            <v>Ana Damásio</v>
          </cell>
          <cell r="AJ158" t="str">
            <v>Terracota</v>
          </cell>
        </row>
        <row r="159">
          <cell r="A159" t="str">
            <v>TERRACOTA</v>
          </cell>
          <cell r="C159" t="str">
            <v>CI</v>
          </cell>
          <cell r="E159" t="str">
            <v>T2</v>
          </cell>
          <cell r="F159">
            <v>104.7</v>
          </cell>
          <cell r="Q159" t="str">
            <v xml:space="preserve">PSPA </v>
          </cell>
          <cell r="S159">
            <v>600000</v>
          </cell>
          <cell r="T159">
            <v>570000</v>
          </cell>
          <cell r="W159">
            <v>570000</v>
          </cell>
          <cell r="X159">
            <v>0</v>
          </cell>
          <cell r="Y159">
            <v>570000</v>
          </cell>
          <cell r="AA159">
            <v>45574</v>
          </cell>
          <cell r="AC159" t="str">
            <v>Ana Damásio</v>
          </cell>
          <cell r="AJ159" t="str">
            <v>Terracota</v>
          </cell>
        </row>
        <row r="160">
          <cell r="A160" t="str">
            <v>TERRACOTA</v>
          </cell>
          <cell r="C160" t="str">
            <v>CJ</v>
          </cell>
          <cell r="E160" t="str">
            <v>T3</v>
          </cell>
          <cell r="F160">
            <v>130.91999999999999</v>
          </cell>
          <cell r="Q160" t="str">
            <v xml:space="preserve">PSPA </v>
          </cell>
          <cell r="S160">
            <v>740000</v>
          </cell>
          <cell r="T160">
            <v>703000</v>
          </cell>
          <cell r="W160">
            <v>703000</v>
          </cell>
          <cell r="X160">
            <v>0</v>
          </cell>
          <cell r="Y160">
            <v>703000</v>
          </cell>
          <cell r="AA160">
            <v>45574</v>
          </cell>
          <cell r="AC160" t="str">
            <v>Ana Damásio</v>
          </cell>
          <cell r="AJ160" t="str">
            <v>Terracota</v>
          </cell>
        </row>
        <row r="161">
          <cell r="A161" t="str">
            <v>TERRACOTA</v>
          </cell>
          <cell r="C161" t="str">
            <v>CK</v>
          </cell>
          <cell r="E161" t="str">
            <v>T3</v>
          </cell>
          <cell r="F161">
            <v>130.91999999999999</v>
          </cell>
          <cell r="Q161" t="str">
            <v xml:space="preserve">PSPA </v>
          </cell>
          <cell r="S161">
            <v>740000</v>
          </cell>
          <cell r="T161">
            <v>740000</v>
          </cell>
          <cell r="W161">
            <v>740000</v>
          </cell>
          <cell r="X161">
            <v>0</v>
          </cell>
          <cell r="Y161">
            <v>740000</v>
          </cell>
          <cell r="AA161">
            <v>45887</v>
          </cell>
          <cell r="AC161" t="str">
            <v>Ana Damásio</v>
          </cell>
          <cell r="AJ161" t="str">
            <v>Terracota</v>
          </cell>
        </row>
        <row r="162">
          <cell r="A162" t="str">
            <v>NOBILUS</v>
          </cell>
          <cell r="C162" t="str">
            <v>D</v>
          </cell>
          <cell r="E162" t="str">
            <v>T2</v>
          </cell>
          <cell r="F162">
            <v>112.9</v>
          </cell>
          <cell r="Q162" t="str">
            <v xml:space="preserve">PSPA </v>
          </cell>
          <cell r="S162">
            <v>780000</v>
          </cell>
          <cell r="T162">
            <v>780000</v>
          </cell>
          <cell r="W162">
            <v>780000</v>
          </cell>
          <cell r="X162">
            <v>0</v>
          </cell>
          <cell r="Y162">
            <v>780000</v>
          </cell>
          <cell r="AA162">
            <v>45988</v>
          </cell>
          <cell r="AC162" t="str">
            <v>Ana Damásio</v>
          </cell>
          <cell r="AJ162" t="str">
            <v>Nobilus</v>
          </cell>
        </row>
        <row r="163">
          <cell r="A163" t="str">
            <v>NATURA VILLAGE 4</v>
          </cell>
          <cell r="C163" t="str">
            <v>D</v>
          </cell>
          <cell r="E163" t="str">
            <v>V3</v>
          </cell>
          <cell r="F163">
            <v>169.89</v>
          </cell>
          <cell r="Q163" t="str">
            <v xml:space="preserve">DEED </v>
          </cell>
          <cell r="S163">
            <v>960000</v>
          </cell>
          <cell r="T163">
            <v>960000</v>
          </cell>
          <cell r="W163">
            <v>960000</v>
          </cell>
          <cell r="X163">
            <v>0</v>
          </cell>
          <cell r="Y163">
            <v>960000</v>
          </cell>
          <cell r="AA163">
            <v>45131</v>
          </cell>
          <cell r="AC163" t="str">
            <v>Ana Damásio</v>
          </cell>
          <cell r="AJ163" t="str">
            <v>Natura Village</v>
          </cell>
        </row>
        <row r="164">
          <cell r="A164" t="str">
            <v>NATURA VILLAGE 7</v>
          </cell>
          <cell r="C164" t="str">
            <v>D</v>
          </cell>
          <cell r="E164" t="str">
            <v>V3</v>
          </cell>
          <cell r="F164">
            <v>170.86</v>
          </cell>
          <cell r="Q164" t="str">
            <v xml:space="preserve">DEED </v>
          </cell>
          <cell r="S164">
            <v>930000</v>
          </cell>
          <cell r="T164">
            <v>883500</v>
          </cell>
          <cell r="W164">
            <v>883500</v>
          </cell>
          <cell r="X164">
            <v>0</v>
          </cell>
          <cell r="Y164">
            <v>883500</v>
          </cell>
          <cell r="AA164">
            <v>45019</v>
          </cell>
          <cell r="AC164" t="str">
            <v>Ana Damásio</v>
          </cell>
          <cell r="AJ164" t="str">
            <v>Natura Village</v>
          </cell>
        </row>
        <row r="165">
          <cell r="A165" t="str">
            <v>TERRACOTA</v>
          </cell>
          <cell r="C165" t="str">
            <v>D</v>
          </cell>
          <cell r="E165" t="str">
            <v>T2</v>
          </cell>
          <cell r="F165">
            <v>78.3</v>
          </cell>
          <cell r="Q165" t="str">
            <v xml:space="preserve">PSPA </v>
          </cell>
          <cell r="S165">
            <v>460000</v>
          </cell>
          <cell r="T165">
            <v>437000</v>
          </cell>
          <cell r="W165">
            <v>437000</v>
          </cell>
          <cell r="X165">
            <v>0</v>
          </cell>
          <cell r="Y165">
            <v>437000</v>
          </cell>
          <cell r="AA165">
            <v>45714</v>
          </cell>
          <cell r="AC165" t="str">
            <v>Ana Damásio</v>
          </cell>
          <cell r="AJ165" t="str">
            <v>Terracota</v>
          </cell>
        </row>
        <row r="166">
          <cell r="A166" t="str">
            <v>NATURA VILLAGE 9</v>
          </cell>
          <cell r="C166" t="str">
            <v>E</v>
          </cell>
          <cell r="E166" t="str">
            <v>V3</v>
          </cell>
          <cell r="F166">
            <v>192.99</v>
          </cell>
          <cell r="Q166" t="str">
            <v xml:space="preserve">PSPA </v>
          </cell>
          <cell r="S166">
            <v>1140000</v>
          </cell>
          <cell r="T166">
            <v>1140000</v>
          </cell>
          <cell r="W166">
            <v>1140000</v>
          </cell>
          <cell r="X166">
            <v>0</v>
          </cell>
          <cell r="Y166">
            <v>1140000</v>
          </cell>
          <cell r="AA166">
            <v>46107</v>
          </cell>
          <cell r="AC166" t="str">
            <v>Ana Damásio</v>
          </cell>
          <cell r="AJ166" t="str">
            <v>Natura Village</v>
          </cell>
        </row>
        <row r="167">
          <cell r="A167" t="str">
            <v>THE NINE</v>
          </cell>
          <cell r="C167" t="str">
            <v>D</v>
          </cell>
          <cell r="E167" t="str">
            <v>T2</v>
          </cell>
          <cell r="F167">
            <v>111</v>
          </cell>
          <cell r="Q167" t="str">
            <v xml:space="preserve">DEED </v>
          </cell>
          <cell r="S167">
            <v>570000</v>
          </cell>
          <cell r="T167">
            <v>570000</v>
          </cell>
          <cell r="W167">
            <v>570000</v>
          </cell>
          <cell r="X167">
            <v>0</v>
          </cell>
          <cell r="Y167">
            <v>570000</v>
          </cell>
          <cell r="AA167">
            <v>45106</v>
          </cell>
          <cell r="AC167" t="str">
            <v>Ana Damásio</v>
          </cell>
          <cell r="AJ167" t="str">
            <v>The Nine</v>
          </cell>
        </row>
        <row r="168">
          <cell r="A168" t="str">
            <v>VM PARQUE</v>
          </cell>
          <cell r="C168" t="str">
            <v>D</v>
          </cell>
          <cell r="E168" t="str">
            <v>V2</v>
          </cell>
          <cell r="F168">
            <v>156.83949999999999</v>
          </cell>
          <cell r="Q168" t="str">
            <v xml:space="preserve">DEED </v>
          </cell>
          <cell r="S168">
            <v>973488</v>
          </cell>
          <cell r="T168">
            <v>1060000</v>
          </cell>
          <cell r="W168">
            <v>1060000</v>
          </cell>
          <cell r="X168">
            <v>0</v>
          </cell>
          <cell r="Y168">
            <v>1060000</v>
          </cell>
          <cell r="AA168">
            <v>45133</v>
          </cell>
          <cell r="AJ168" t="str">
            <v>VM PARQUE</v>
          </cell>
        </row>
        <row r="169">
          <cell r="A169" t="str">
            <v>NATURA VILLAGE 4</v>
          </cell>
          <cell r="C169" t="str">
            <v>E</v>
          </cell>
          <cell r="E169" t="str">
            <v>V3</v>
          </cell>
          <cell r="F169">
            <v>170</v>
          </cell>
          <cell r="Q169" t="str">
            <v xml:space="preserve">DEED </v>
          </cell>
          <cell r="S169">
            <v>940000</v>
          </cell>
          <cell r="T169">
            <v>960000</v>
          </cell>
          <cell r="W169">
            <v>960000</v>
          </cell>
          <cell r="X169">
            <v>0</v>
          </cell>
          <cell r="Y169">
            <v>960000</v>
          </cell>
          <cell r="AA169">
            <v>45133</v>
          </cell>
          <cell r="AC169" t="str">
            <v>Ana Damásio</v>
          </cell>
          <cell r="AJ169" t="str">
            <v>Natura Village</v>
          </cell>
        </row>
        <row r="170">
          <cell r="A170" t="str">
            <v>TERRACOTA</v>
          </cell>
          <cell r="C170" t="str">
            <v>E</v>
          </cell>
          <cell r="E170" t="str">
            <v>T2</v>
          </cell>
          <cell r="F170">
            <v>78.3</v>
          </cell>
          <cell r="Q170" t="str">
            <v xml:space="preserve">PSPA </v>
          </cell>
          <cell r="S170">
            <v>760000</v>
          </cell>
          <cell r="T170">
            <v>399000</v>
          </cell>
          <cell r="W170">
            <v>399000</v>
          </cell>
          <cell r="X170">
            <v>0</v>
          </cell>
          <cell r="Y170">
            <v>399000</v>
          </cell>
          <cell r="AA170">
            <v>45595</v>
          </cell>
          <cell r="AC170" t="str">
            <v>Ana Damásio</v>
          </cell>
          <cell r="AJ170" t="str">
            <v>Terracota</v>
          </cell>
        </row>
        <row r="171">
          <cell r="A171" t="str">
            <v>BOTÂNICA</v>
          </cell>
          <cell r="C171" t="str">
            <v>F</v>
          </cell>
          <cell r="E171" t="str">
            <v>T2</v>
          </cell>
          <cell r="F171">
            <v>284.64</v>
          </cell>
          <cell r="Q171" t="str">
            <v xml:space="preserve">PSPA </v>
          </cell>
          <cell r="S171">
            <v>1066894.29</v>
          </cell>
          <cell r="T171">
            <v>1070000</v>
          </cell>
          <cell r="W171">
            <v>1070000</v>
          </cell>
          <cell r="X171">
            <v>0</v>
          </cell>
          <cell r="Y171">
            <v>1070000</v>
          </cell>
          <cell r="AA171">
            <v>46167</v>
          </cell>
          <cell r="AC171" t="str">
            <v>Ana Damásio</v>
          </cell>
          <cell r="AJ171" t="str">
            <v>Botanica</v>
          </cell>
        </row>
        <row r="172">
          <cell r="A172" t="str">
            <v>THE NINE</v>
          </cell>
          <cell r="C172" t="str">
            <v>E</v>
          </cell>
          <cell r="E172" t="str">
            <v>T2</v>
          </cell>
          <cell r="F172">
            <v>111</v>
          </cell>
          <cell r="Q172" t="str">
            <v xml:space="preserve">DEED </v>
          </cell>
          <cell r="S172">
            <v>570000</v>
          </cell>
          <cell r="T172">
            <v>590000</v>
          </cell>
          <cell r="W172">
            <v>590000</v>
          </cell>
          <cell r="X172">
            <v>0</v>
          </cell>
          <cell r="Y172">
            <v>590000</v>
          </cell>
          <cell r="AA172">
            <v>45140</v>
          </cell>
          <cell r="AC172" t="str">
            <v>Ana Damásio</v>
          </cell>
          <cell r="AJ172" t="str">
            <v>The Nine</v>
          </cell>
        </row>
        <row r="173">
          <cell r="A173" t="str">
            <v>VM PARQUE</v>
          </cell>
          <cell r="C173" t="str">
            <v>E</v>
          </cell>
          <cell r="E173" t="str">
            <v>V2</v>
          </cell>
          <cell r="F173">
            <v>158.05609999999999</v>
          </cell>
          <cell r="Q173" t="str">
            <v xml:space="preserve">DEED </v>
          </cell>
          <cell r="S173">
            <v>1009680</v>
          </cell>
          <cell r="T173">
            <v>1040000</v>
          </cell>
          <cell r="W173">
            <v>1040000</v>
          </cell>
          <cell r="X173">
            <v>0</v>
          </cell>
          <cell r="Y173">
            <v>1040000</v>
          </cell>
          <cell r="AA173">
            <v>45058</v>
          </cell>
          <cell r="AJ173" t="str">
            <v>VM PARQUE</v>
          </cell>
        </row>
        <row r="174">
          <cell r="A174" t="str">
            <v>NATURA VILLAGE 9</v>
          </cell>
          <cell r="C174" t="str">
            <v>F</v>
          </cell>
          <cell r="E174" t="str">
            <v>V3</v>
          </cell>
          <cell r="F174">
            <v>183.88</v>
          </cell>
          <cell r="Q174" t="str">
            <v xml:space="preserve">PSPA </v>
          </cell>
          <cell r="S174">
            <v>1360000</v>
          </cell>
          <cell r="T174">
            <v>1360000</v>
          </cell>
          <cell r="W174">
            <v>1360000</v>
          </cell>
          <cell r="X174">
            <v>0</v>
          </cell>
          <cell r="Y174">
            <v>1360000</v>
          </cell>
          <cell r="AA174">
            <v>45933</v>
          </cell>
          <cell r="AC174" t="str">
            <v>Ana Damásio</v>
          </cell>
          <cell r="AJ174" t="str">
            <v>Natura Village</v>
          </cell>
        </row>
        <row r="175">
          <cell r="A175" t="str">
            <v>NATURA VILLAGE 4</v>
          </cell>
          <cell r="C175" t="str">
            <v>F</v>
          </cell>
          <cell r="E175" t="str">
            <v>V3</v>
          </cell>
          <cell r="F175">
            <v>177.48</v>
          </cell>
          <cell r="Q175" t="str">
            <v xml:space="preserve">DEED </v>
          </cell>
          <cell r="S175">
            <v>990000</v>
          </cell>
          <cell r="T175">
            <v>990000</v>
          </cell>
          <cell r="W175">
            <v>990000</v>
          </cell>
          <cell r="X175">
            <v>0</v>
          </cell>
          <cell r="Y175">
            <v>990000</v>
          </cell>
          <cell r="AA175">
            <v>45133</v>
          </cell>
          <cell r="AC175" t="str">
            <v>Ana Damásio</v>
          </cell>
          <cell r="AJ175" t="str">
            <v>Natura Village</v>
          </cell>
        </row>
        <row r="176">
          <cell r="A176" t="str">
            <v>NATURA VILLAGE 7</v>
          </cell>
          <cell r="C176" t="str">
            <v>F</v>
          </cell>
          <cell r="E176" t="str">
            <v>V2</v>
          </cell>
          <cell r="F176">
            <v>139.58000000000001</v>
          </cell>
          <cell r="Q176" t="str">
            <v xml:space="preserve">DEED </v>
          </cell>
          <cell r="S176">
            <v>760000</v>
          </cell>
          <cell r="T176">
            <v>780000</v>
          </cell>
          <cell r="W176">
            <v>780000</v>
          </cell>
          <cell r="X176">
            <v>0</v>
          </cell>
          <cell r="Y176">
            <v>780000</v>
          </cell>
          <cell r="AA176">
            <v>45841</v>
          </cell>
          <cell r="AC176" t="str">
            <v>Ana Damásio</v>
          </cell>
          <cell r="AJ176" t="str">
            <v>Natura Village</v>
          </cell>
        </row>
        <row r="177">
          <cell r="A177" t="str">
            <v>NOBILUS</v>
          </cell>
          <cell r="C177" t="str">
            <v>F</v>
          </cell>
          <cell r="E177" t="str">
            <v>T2</v>
          </cell>
          <cell r="F177">
            <v>106.6</v>
          </cell>
          <cell r="Q177" t="str">
            <v xml:space="preserve">PSPA </v>
          </cell>
          <cell r="S177">
            <v>700000</v>
          </cell>
          <cell r="T177">
            <v>700000</v>
          </cell>
          <cell r="W177">
            <v>700000</v>
          </cell>
          <cell r="X177">
            <v>0</v>
          </cell>
          <cell r="Y177">
            <v>700000</v>
          </cell>
          <cell r="AA177">
            <v>45936</v>
          </cell>
          <cell r="AC177" t="str">
            <v>Ana Damásio</v>
          </cell>
          <cell r="AJ177" t="str">
            <v>Nobilus</v>
          </cell>
        </row>
        <row r="178">
          <cell r="A178" t="str">
            <v>TERRACOTA</v>
          </cell>
          <cell r="C178" t="str">
            <v>F</v>
          </cell>
          <cell r="E178" t="str">
            <v>T2</v>
          </cell>
          <cell r="F178">
            <v>78.3</v>
          </cell>
          <cell r="Q178" t="str">
            <v xml:space="preserve">PSPA </v>
          </cell>
          <cell r="S178">
            <v>840000</v>
          </cell>
          <cell r="T178">
            <v>420000</v>
          </cell>
          <cell r="W178">
            <v>420000</v>
          </cell>
          <cell r="X178">
            <v>0</v>
          </cell>
          <cell r="Y178">
            <v>420000</v>
          </cell>
          <cell r="AA178">
            <v>45747</v>
          </cell>
          <cell r="AC178" t="str">
            <v>Ana Damásio</v>
          </cell>
          <cell r="AJ178" t="str">
            <v>Terracota</v>
          </cell>
        </row>
        <row r="179">
          <cell r="A179" t="str">
            <v>Palmares - Signature Apartments</v>
          </cell>
          <cell r="C179" t="str">
            <v>823B</v>
          </cell>
          <cell r="E179" t="str">
            <v>T2</v>
          </cell>
          <cell r="F179">
            <v>156.55000000000001</v>
          </cell>
          <cell r="Q179" t="str">
            <v xml:space="preserve">PSPA </v>
          </cell>
          <cell r="S179">
            <v>660000</v>
          </cell>
          <cell r="T179">
            <v>1200000</v>
          </cell>
          <cell r="W179">
            <v>1200000</v>
          </cell>
          <cell r="X179">
            <v>0</v>
          </cell>
          <cell r="Y179">
            <v>1200000</v>
          </cell>
          <cell r="AA179">
            <v>45037</v>
          </cell>
          <cell r="AB179">
            <v>46843</v>
          </cell>
          <cell r="AJ179" t="str">
            <v>Palmares</v>
          </cell>
        </row>
        <row r="180">
          <cell r="A180" t="str">
            <v>THE NINE</v>
          </cell>
          <cell r="C180" t="str">
            <v>F</v>
          </cell>
          <cell r="E180" t="str">
            <v>T2</v>
          </cell>
          <cell r="F180">
            <v>111</v>
          </cell>
          <cell r="Q180" t="str">
            <v xml:space="preserve">DEED </v>
          </cell>
          <cell r="S180">
            <v>570000</v>
          </cell>
          <cell r="T180">
            <v>590000</v>
          </cell>
          <cell r="W180">
            <v>590000</v>
          </cell>
          <cell r="X180">
            <v>0</v>
          </cell>
          <cell r="Y180">
            <v>590000</v>
          </cell>
          <cell r="AA180">
            <v>45140</v>
          </cell>
          <cell r="AC180" t="str">
            <v>Ana Damásio</v>
          </cell>
          <cell r="AJ180" t="str">
            <v>The Nine</v>
          </cell>
        </row>
        <row r="181">
          <cell r="A181" t="str">
            <v>VM PARQUE</v>
          </cell>
          <cell r="C181" t="str">
            <v>F</v>
          </cell>
          <cell r="E181" t="str">
            <v>V2</v>
          </cell>
          <cell r="F181">
            <v>152.87280000000001</v>
          </cell>
          <cell r="Q181" t="str">
            <v xml:space="preserve">DEED </v>
          </cell>
          <cell r="S181">
            <v>984375</v>
          </cell>
          <cell r="T181">
            <v>1050000</v>
          </cell>
          <cell r="W181">
            <v>1050000</v>
          </cell>
          <cell r="X181">
            <v>0</v>
          </cell>
          <cell r="Y181">
            <v>1050000</v>
          </cell>
          <cell r="AA181">
            <v>45348</v>
          </cell>
          <cell r="AJ181" t="str">
            <v>VM PARQUE</v>
          </cell>
        </row>
        <row r="182">
          <cell r="A182" t="str">
            <v>NATURA VILLAGE 7</v>
          </cell>
          <cell r="C182" t="str">
            <v>G</v>
          </cell>
          <cell r="E182" t="str">
            <v>V3</v>
          </cell>
          <cell r="F182">
            <v>163.53</v>
          </cell>
          <cell r="Q182" t="str">
            <v xml:space="preserve">DEED </v>
          </cell>
          <cell r="S182">
            <v>920000</v>
          </cell>
          <cell r="T182">
            <v>960000</v>
          </cell>
          <cell r="W182">
            <v>960000</v>
          </cell>
          <cell r="X182">
            <v>0</v>
          </cell>
          <cell r="Y182">
            <v>960000</v>
          </cell>
          <cell r="AA182">
            <v>45532</v>
          </cell>
          <cell r="AC182" t="str">
            <v>Ana Damásio</v>
          </cell>
          <cell r="AJ182" t="str">
            <v>Natura Village</v>
          </cell>
        </row>
        <row r="183">
          <cell r="A183" t="str">
            <v>TERRACOTA</v>
          </cell>
          <cell r="C183" t="str">
            <v>G</v>
          </cell>
          <cell r="E183" t="str">
            <v>T2</v>
          </cell>
          <cell r="F183">
            <v>78.3</v>
          </cell>
          <cell r="Q183" t="str">
            <v xml:space="preserve">PSPA </v>
          </cell>
          <cell r="S183">
            <v>860000</v>
          </cell>
          <cell r="T183">
            <v>399000</v>
          </cell>
          <cell r="W183">
            <v>399000</v>
          </cell>
          <cell r="X183">
            <v>0</v>
          </cell>
          <cell r="Y183">
            <v>399000</v>
          </cell>
          <cell r="AA183">
            <v>45819</v>
          </cell>
          <cell r="AC183" t="str">
            <v>Ana Damásio</v>
          </cell>
          <cell r="AJ183" t="str">
            <v>Terracota</v>
          </cell>
        </row>
        <row r="184">
          <cell r="A184" t="str">
            <v>TERRACOTA</v>
          </cell>
          <cell r="C184" t="str">
            <v>H</v>
          </cell>
          <cell r="E184" t="str">
            <v>T2</v>
          </cell>
          <cell r="F184">
            <v>78.3</v>
          </cell>
          <cell r="Q184" t="str">
            <v xml:space="preserve">PSPA </v>
          </cell>
          <cell r="S184">
            <v>1760000</v>
          </cell>
          <cell r="T184">
            <v>399000</v>
          </cell>
          <cell r="W184">
            <v>399000</v>
          </cell>
          <cell r="X184">
            <v>0</v>
          </cell>
          <cell r="Y184">
            <v>399000</v>
          </cell>
          <cell r="AA184">
            <v>45574</v>
          </cell>
          <cell r="AC184" t="str">
            <v>Ana Damásio</v>
          </cell>
          <cell r="AJ184" t="str">
            <v>Terracota</v>
          </cell>
        </row>
        <row r="185">
          <cell r="A185" t="str">
            <v>THE NINE</v>
          </cell>
          <cell r="C185" t="str">
            <v>G</v>
          </cell>
          <cell r="E185" t="str">
            <v>T2</v>
          </cell>
          <cell r="F185">
            <v>111</v>
          </cell>
          <cell r="Q185" t="str">
            <v xml:space="preserve">DEED </v>
          </cell>
          <cell r="S185">
            <v>570000</v>
          </cell>
          <cell r="T185">
            <v>600000</v>
          </cell>
          <cell r="W185">
            <v>600000</v>
          </cell>
          <cell r="X185">
            <v>0</v>
          </cell>
          <cell r="Y185">
            <v>600000</v>
          </cell>
          <cell r="AA185">
            <v>45086</v>
          </cell>
          <cell r="AC185" t="str">
            <v>Ana Damásio</v>
          </cell>
          <cell r="AJ185" t="str">
            <v>The Nine</v>
          </cell>
        </row>
        <row r="186">
          <cell r="A186" t="str">
            <v>VM PARQUE</v>
          </cell>
          <cell r="C186" t="str">
            <v>G</v>
          </cell>
          <cell r="E186" t="str">
            <v>V2</v>
          </cell>
          <cell r="F186">
            <v>152.87280000000001</v>
          </cell>
          <cell r="Q186" t="str">
            <v xml:space="preserve">DEED </v>
          </cell>
          <cell r="S186">
            <v>984375</v>
          </cell>
          <cell r="T186">
            <v>1050000</v>
          </cell>
          <cell r="W186">
            <v>1050000</v>
          </cell>
          <cell r="X186">
            <v>0</v>
          </cell>
          <cell r="Y186">
            <v>1050000</v>
          </cell>
          <cell r="AA186">
            <v>45531</v>
          </cell>
          <cell r="AJ186" t="str">
            <v>VM PARQUE</v>
          </cell>
        </row>
        <row r="187">
          <cell r="A187" t="str">
            <v>Palmares - Signature Apartments</v>
          </cell>
          <cell r="C187" t="str">
            <v>824B</v>
          </cell>
          <cell r="E187" t="str">
            <v>T2</v>
          </cell>
          <cell r="F187">
            <v>160.5</v>
          </cell>
          <cell r="Q187" t="str">
            <v xml:space="preserve">PSPA </v>
          </cell>
          <cell r="S187">
            <v>440000</v>
          </cell>
          <cell r="T187">
            <v>840000</v>
          </cell>
          <cell r="W187">
            <v>840000</v>
          </cell>
          <cell r="X187">
            <v>0</v>
          </cell>
          <cell r="Y187">
            <v>840000</v>
          </cell>
          <cell r="AA187">
            <v>44967</v>
          </cell>
          <cell r="AB187">
            <v>46843</v>
          </cell>
          <cell r="AJ187" t="str">
            <v>Palmares</v>
          </cell>
        </row>
        <row r="188">
          <cell r="A188" t="str">
            <v>Palmares - Signature Apartments</v>
          </cell>
          <cell r="C188" t="str">
            <v>825B</v>
          </cell>
          <cell r="E188" t="str">
            <v>T2</v>
          </cell>
          <cell r="F188">
            <v>158.30000000000001</v>
          </cell>
          <cell r="Q188" t="str">
            <v xml:space="preserve">PSPA </v>
          </cell>
          <cell r="S188">
            <v>540000</v>
          </cell>
          <cell r="T188">
            <v>1100000</v>
          </cell>
          <cell r="W188">
            <v>1100000</v>
          </cell>
          <cell r="X188">
            <v>0</v>
          </cell>
          <cell r="Y188">
            <v>1100000</v>
          </cell>
          <cell r="AA188">
            <v>45069</v>
          </cell>
          <cell r="AB188">
            <v>46843</v>
          </cell>
          <cell r="AJ188" t="str">
            <v>Palmares</v>
          </cell>
        </row>
        <row r="189">
          <cell r="A189" t="str">
            <v>THE NINE</v>
          </cell>
          <cell r="C189" t="str">
            <v>H</v>
          </cell>
          <cell r="E189" t="str">
            <v>T2</v>
          </cell>
          <cell r="F189">
            <v>111</v>
          </cell>
          <cell r="Q189" t="str">
            <v xml:space="preserve">DEED </v>
          </cell>
          <cell r="S189">
            <v>570000</v>
          </cell>
          <cell r="T189">
            <v>600000</v>
          </cell>
          <cell r="W189">
            <v>600000</v>
          </cell>
          <cell r="X189">
            <v>0</v>
          </cell>
          <cell r="Y189">
            <v>600000</v>
          </cell>
          <cell r="AA189">
            <v>45443</v>
          </cell>
          <cell r="AC189" t="str">
            <v>Ana Damásio</v>
          </cell>
          <cell r="AJ189" t="str">
            <v>The Nine</v>
          </cell>
        </row>
        <row r="190">
          <cell r="A190" t="str">
            <v>VM PARQUE</v>
          </cell>
          <cell r="C190" t="str">
            <v>H</v>
          </cell>
          <cell r="E190" t="str">
            <v>V2</v>
          </cell>
          <cell r="F190">
            <v>152.87280000000001</v>
          </cell>
          <cell r="Q190" t="str">
            <v xml:space="preserve">DEED </v>
          </cell>
          <cell r="S190">
            <v>984375</v>
          </cell>
          <cell r="T190">
            <v>1030000</v>
          </cell>
          <cell r="W190">
            <v>1030000</v>
          </cell>
          <cell r="X190">
            <v>0</v>
          </cell>
          <cell r="Y190">
            <v>1030000</v>
          </cell>
          <cell r="AA190">
            <v>45223</v>
          </cell>
          <cell r="AJ190" t="str">
            <v>VM PARQUE</v>
          </cell>
        </row>
        <row r="191">
          <cell r="A191" t="str">
            <v>TERRACOTA</v>
          </cell>
          <cell r="C191" t="str">
            <v>I</v>
          </cell>
          <cell r="E191" t="str">
            <v>T2</v>
          </cell>
          <cell r="F191">
            <v>78.3</v>
          </cell>
          <cell r="Q191" t="str">
            <v xml:space="preserve">PSPA </v>
          </cell>
          <cell r="S191">
            <v>1870000</v>
          </cell>
          <cell r="T191">
            <v>420000</v>
          </cell>
          <cell r="W191">
            <v>420000</v>
          </cell>
          <cell r="X191">
            <v>0</v>
          </cell>
          <cell r="Y191">
            <v>420000</v>
          </cell>
          <cell r="AA191">
            <v>45705</v>
          </cell>
          <cell r="AC191" t="str">
            <v>Ana Damásio</v>
          </cell>
          <cell r="AJ191" t="str">
            <v>Terracota</v>
          </cell>
        </row>
        <row r="192">
          <cell r="A192" t="str">
            <v>TERRACOTA</v>
          </cell>
          <cell r="C192" t="str">
            <v>AV</v>
          </cell>
          <cell r="E192" t="str">
            <v>T3</v>
          </cell>
          <cell r="F192">
            <v>130.91999999999999</v>
          </cell>
          <cell r="Q192" t="str">
            <v>RESERVED</v>
          </cell>
          <cell r="S192">
            <v>710000</v>
          </cell>
          <cell r="T192">
            <v>740000</v>
          </cell>
          <cell r="W192">
            <v>740000</v>
          </cell>
          <cell r="X192">
            <v>0</v>
          </cell>
          <cell r="Y192">
            <v>740000</v>
          </cell>
          <cell r="AA192">
            <v>46121</v>
          </cell>
          <cell r="AC192" t="str">
            <v>Ana Damásio</v>
          </cell>
          <cell r="AJ192" t="str">
            <v>Terracota</v>
          </cell>
        </row>
        <row r="193">
          <cell r="A193" t="str">
            <v xml:space="preserve">MR - CHR </v>
          </cell>
          <cell r="C193" t="str">
            <v>N</v>
          </cell>
          <cell r="E193" t="str">
            <v>T3 Duplex</v>
          </cell>
          <cell r="F193">
            <v>317.38</v>
          </cell>
          <cell r="Q193" t="str">
            <v>PRE-RESERVED</v>
          </cell>
          <cell r="S193">
            <v>1500000</v>
          </cell>
          <cell r="T193">
            <v>1220000</v>
          </cell>
          <cell r="W193">
            <v>1220000</v>
          </cell>
          <cell r="X193">
            <v>0</v>
          </cell>
          <cell r="Y193">
            <v>1220000</v>
          </cell>
          <cell r="AA193">
            <v>46171</v>
          </cell>
          <cell r="AB193" t="str">
            <v>TBD</v>
          </cell>
          <cell r="AC193" t="str">
            <v>Sandra Viegas</v>
          </cell>
          <cell r="AJ193" t="str">
            <v>Monte Rei</v>
          </cell>
        </row>
        <row r="194">
          <cell r="A194" t="str">
            <v>NATURA VILLAGE 9</v>
          </cell>
          <cell r="C194" t="str">
            <v>J</v>
          </cell>
          <cell r="E194" t="str">
            <v>V3</v>
          </cell>
          <cell r="F194">
            <v>192.67</v>
          </cell>
          <cell r="Q194" t="str">
            <v xml:space="preserve">PSPA </v>
          </cell>
          <cell r="S194">
            <v>1390000</v>
          </cell>
          <cell r="T194">
            <v>1390000</v>
          </cell>
          <cell r="W194">
            <v>1390000</v>
          </cell>
          <cell r="X194">
            <v>0</v>
          </cell>
          <cell r="Y194">
            <v>1390000</v>
          </cell>
          <cell r="AA194">
            <v>45747</v>
          </cell>
          <cell r="AC194" t="str">
            <v>Ana Damásio</v>
          </cell>
          <cell r="AJ194" t="str">
            <v>Natura Village</v>
          </cell>
        </row>
        <row r="195">
          <cell r="A195" t="str">
            <v>VM PARQUE</v>
          </cell>
          <cell r="C195" t="str">
            <v>I</v>
          </cell>
          <cell r="E195" t="str">
            <v>V2</v>
          </cell>
          <cell r="F195">
            <v>152.87280000000001</v>
          </cell>
          <cell r="Q195" t="str">
            <v xml:space="preserve">DEED </v>
          </cell>
          <cell r="S195">
            <v>984375</v>
          </cell>
          <cell r="T195">
            <v>1050000</v>
          </cell>
          <cell r="W195">
            <v>1050000</v>
          </cell>
          <cell r="X195">
            <v>0</v>
          </cell>
          <cell r="Y195">
            <v>1050000</v>
          </cell>
          <cell r="AA195">
            <v>45764</v>
          </cell>
          <cell r="AJ195" t="str">
            <v>VM PARQUE</v>
          </cell>
        </row>
        <row r="196">
          <cell r="A196" t="str">
            <v>NATURA VILLAGE 4</v>
          </cell>
          <cell r="C196" t="str">
            <v>J</v>
          </cell>
          <cell r="E196" t="str">
            <v>V2</v>
          </cell>
          <cell r="F196">
            <v>146.38</v>
          </cell>
          <cell r="Q196" t="str">
            <v xml:space="preserve">DEED </v>
          </cell>
          <cell r="S196">
            <v>810000</v>
          </cell>
          <cell r="T196">
            <v>830000</v>
          </cell>
          <cell r="W196">
            <v>830000</v>
          </cell>
          <cell r="X196">
            <v>0</v>
          </cell>
          <cell r="Y196">
            <v>830000</v>
          </cell>
          <cell r="AA196">
            <v>45841</v>
          </cell>
          <cell r="AC196" t="str">
            <v>Ana Damásio</v>
          </cell>
          <cell r="AJ196" t="str">
            <v>Natura Village</v>
          </cell>
        </row>
        <row r="197">
          <cell r="A197" t="str">
            <v>NATURA VILLAGE 7</v>
          </cell>
          <cell r="C197" t="str">
            <v>J</v>
          </cell>
          <cell r="E197" t="str">
            <v>V2</v>
          </cell>
          <cell r="F197">
            <v>145.87</v>
          </cell>
          <cell r="Q197" t="str">
            <v xml:space="preserve">DEED </v>
          </cell>
          <cell r="S197">
            <v>810000</v>
          </cell>
          <cell r="T197">
            <v>830000</v>
          </cell>
          <cell r="W197">
            <v>830000</v>
          </cell>
          <cell r="X197">
            <v>0</v>
          </cell>
          <cell r="Y197">
            <v>830000</v>
          </cell>
          <cell r="AA197">
            <v>45657</v>
          </cell>
          <cell r="AC197" t="str">
            <v>Ana Damásio</v>
          </cell>
          <cell r="AJ197" t="str">
            <v>Natura Village</v>
          </cell>
        </row>
        <row r="198">
          <cell r="A198" t="str">
            <v>NOBILUS</v>
          </cell>
          <cell r="C198" t="str">
            <v>J</v>
          </cell>
          <cell r="E198" t="str">
            <v>T3</v>
          </cell>
          <cell r="F198">
            <v>153.72</v>
          </cell>
          <cell r="Q198" t="str">
            <v xml:space="preserve">PSPA </v>
          </cell>
          <cell r="S198">
            <v>1080000</v>
          </cell>
          <cell r="T198">
            <v>1080000</v>
          </cell>
          <cell r="W198">
            <v>1080000</v>
          </cell>
          <cell r="X198">
            <v>0</v>
          </cell>
          <cell r="Y198">
            <v>1080000</v>
          </cell>
          <cell r="AA198">
            <v>46013</v>
          </cell>
          <cell r="AC198" t="str">
            <v>Ana Damásio</v>
          </cell>
          <cell r="AJ198" t="str">
            <v>Nobilus</v>
          </cell>
        </row>
        <row r="199">
          <cell r="A199" t="str">
            <v>TERRACOTA</v>
          </cell>
          <cell r="C199" t="str">
            <v>J</v>
          </cell>
          <cell r="E199" t="str">
            <v>T2</v>
          </cell>
          <cell r="F199">
            <v>78.3</v>
          </cell>
          <cell r="Q199" t="str">
            <v xml:space="preserve">PSPA </v>
          </cell>
          <cell r="S199">
            <v>440000</v>
          </cell>
          <cell r="T199">
            <v>418000</v>
          </cell>
          <cell r="W199">
            <v>418000</v>
          </cell>
          <cell r="X199">
            <v>0</v>
          </cell>
          <cell r="Y199">
            <v>418000</v>
          </cell>
          <cell r="AA199">
            <v>45525</v>
          </cell>
          <cell r="AC199" t="str">
            <v>Ana Damásio</v>
          </cell>
          <cell r="AJ199" t="str">
            <v>Terracota</v>
          </cell>
        </row>
        <row r="200">
          <cell r="A200" t="str">
            <v>Rivus</v>
          </cell>
          <cell r="C200" t="str">
            <v>K</v>
          </cell>
          <cell r="E200" t="str">
            <v>T3</v>
          </cell>
          <cell r="Q200" t="str">
            <v xml:space="preserve">PSPA </v>
          </cell>
          <cell r="S200">
            <v>900000</v>
          </cell>
          <cell r="T200">
            <v>900000</v>
          </cell>
          <cell r="W200">
            <v>900000</v>
          </cell>
          <cell r="X200">
            <v>0</v>
          </cell>
          <cell r="Y200">
            <v>900000</v>
          </cell>
          <cell r="AA200">
            <v>46178</v>
          </cell>
          <cell r="AC200" t="str">
            <v>Ana Damásio</v>
          </cell>
          <cell r="AJ200" t="str">
            <v>Rivus</v>
          </cell>
        </row>
        <row r="201">
          <cell r="A201" t="str">
            <v>THE NINE</v>
          </cell>
          <cell r="C201" t="str">
            <v>J</v>
          </cell>
          <cell r="E201" t="str">
            <v>T2</v>
          </cell>
          <cell r="F201">
            <v>111</v>
          </cell>
          <cell r="Q201" t="str">
            <v xml:space="preserve">DEED </v>
          </cell>
          <cell r="S201">
            <v>620000</v>
          </cell>
          <cell r="T201">
            <v>680000</v>
          </cell>
          <cell r="W201">
            <v>680000</v>
          </cell>
          <cell r="X201">
            <v>0</v>
          </cell>
          <cell r="Y201">
            <v>680000</v>
          </cell>
          <cell r="AA201">
            <v>45923</v>
          </cell>
          <cell r="AC201" t="str">
            <v>Ana Damásio</v>
          </cell>
          <cell r="AJ201" t="str">
            <v>The Nine</v>
          </cell>
        </row>
        <row r="202">
          <cell r="A202" t="str">
            <v>VM PARQUE</v>
          </cell>
          <cell r="C202" t="str">
            <v>J</v>
          </cell>
          <cell r="E202" t="str">
            <v>V2</v>
          </cell>
          <cell r="F202">
            <v>152.87280000000001</v>
          </cell>
          <cell r="Q202" t="str">
            <v xml:space="preserve">DEED </v>
          </cell>
          <cell r="S202">
            <v>984375</v>
          </cell>
          <cell r="T202">
            <v>1100000</v>
          </cell>
          <cell r="W202">
            <v>1100000</v>
          </cell>
          <cell r="X202">
            <v>0</v>
          </cell>
          <cell r="Y202">
            <v>1100000</v>
          </cell>
          <cell r="AA202">
            <v>45678</v>
          </cell>
          <cell r="AJ202" t="str">
            <v>VM PARQUE</v>
          </cell>
        </row>
        <row r="203">
          <cell r="A203" t="str">
            <v>NATURA VILLAGE 4</v>
          </cell>
          <cell r="C203" t="str">
            <v>K</v>
          </cell>
          <cell r="E203" t="str">
            <v>V2</v>
          </cell>
          <cell r="F203">
            <v>139.88</v>
          </cell>
          <cell r="Q203" t="str">
            <v xml:space="preserve">DEED </v>
          </cell>
          <cell r="S203">
            <v>740000</v>
          </cell>
          <cell r="T203">
            <v>760000</v>
          </cell>
          <cell r="W203">
            <v>760000</v>
          </cell>
          <cell r="X203">
            <v>0</v>
          </cell>
          <cell r="Y203">
            <v>760000</v>
          </cell>
          <cell r="AA203">
            <v>45287</v>
          </cell>
          <cell r="AC203" t="str">
            <v>Ana Damásio</v>
          </cell>
          <cell r="AJ203" t="str">
            <v>Natura Village</v>
          </cell>
        </row>
        <row r="204">
          <cell r="A204" t="str">
            <v>NATURA VILLAGE 7</v>
          </cell>
          <cell r="C204" t="str">
            <v>K</v>
          </cell>
          <cell r="E204" t="str">
            <v>V3</v>
          </cell>
          <cell r="F204">
            <v>164.09</v>
          </cell>
          <cell r="Q204" t="str">
            <v xml:space="preserve">DEED </v>
          </cell>
          <cell r="S204">
            <v>930000</v>
          </cell>
          <cell r="T204">
            <v>950000</v>
          </cell>
          <cell r="W204">
            <v>950000</v>
          </cell>
          <cell r="X204">
            <v>0</v>
          </cell>
          <cell r="Y204">
            <v>950000</v>
          </cell>
          <cell r="AA204">
            <v>45967</v>
          </cell>
          <cell r="AC204" t="str">
            <v>Ana Damásio</v>
          </cell>
          <cell r="AJ204" t="str">
            <v>Natura Village</v>
          </cell>
        </row>
        <row r="205">
          <cell r="A205" t="str">
            <v>TERRACOTA</v>
          </cell>
          <cell r="C205" t="str">
            <v>L</v>
          </cell>
          <cell r="E205" t="str">
            <v>T2</v>
          </cell>
          <cell r="F205">
            <v>78.3</v>
          </cell>
          <cell r="Q205" t="str">
            <v xml:space="preserve">PSPA </v>
          </cell>
          <cell r="S205">
            <v>440000</v>
          </cell>
          <cell r="T205">
            <v>440000</v>
          </cell>
          <cell r="W205">
            <v>440000</v>
          </cell>
          <cell r="X205">
            <v>0</v>
          </cell>
          <cell r="Y205">
            <v>440000</v>
          </cell>
          <cell r="AA205">
            <v>45657</v>
          </cell>
          <cell r="AC205" t="str">
            <v>Ana Damásio</v>
          </cell>
          <cell r="AJ205" t="str">
            <v>Terracota</v>
          </cell>
        </row>
        <row r="206">
          <cell r="A206" t="str">
            <v>THE NINE</v>
          </cell>
          <cell r="C206" t="str">
            <v>K</v>
          </cell>
          <cell r="E206" t="str">
            <v>T2</v>
          </cell>
          <cell r="F206">
            <v>111</v>
          </cell>
          <cell r="Q206" t="str">
            <v xml:space="preserve">DEED </v>
          </cell>
          <cell r="S206">
            <v>620000</v>
          </cell>
          <cell r="T206">
            <v>650000</v>
          </cell>
          <cell r="W206">
            <v>650000</v>
          </cell>
          <cell r="X206">
            <v>0</v>
          </cell>
          <cell r="Y206">
            <v>650000</v>
          </cell>
          <cell r="AA206">
            <v>45420</v>
          </cell>
          <cell r="AC206" t="str">
            <v>Ana Damásio</v>
          </cell>
          <cell r="AJ206" t="str">
            <v>The Nine</v>
          </cell>
        </row>
        <row r="207">
          <cell r="A207" t="str">
            <v>VM PARQUE</v>
          </cell>
          <cell r="C207" t="str">
            <v>K</v>
          </cell>
          <cell r="E207" t="str">
            <v>V2</v>
          </cell>
          <cell r="F207">
            <v>156.83949999999999</v>
          </cell>
          <cell r="Q207" t="str">
            <v xml:space="preserve">DEED </v>
          </cell>
          <cell r="S207">
            <v>1009050</v>
          </cell>
          <cell r="T207">
            <v>1060000</v>
          </cell>
          <cell r="W207">
            <v>1060000</v>
          </cell>
          <cell r="X207">
            <v>0</v>
          </cell>
          <cell r="Y207">
            <v>1060000</v>
          </cell>
          <cell r="AA207">
            <v>45021</v>
          </cell>
          <cell r="AJ207" t="str">
            <v>VM PARQUE</v>
          </cell>
        </row>
        <row r="208">
          <cell r="A208" t="str">
            <v>NATURA VILLAGE 4</v>
          </cell>
          <cell r="C208" t="str">
            <v>L</v>
          </cell>
          <cell r="E208" t="str">
            <v>V2</v>
          </cell>
          <cell r="F208">
            <v>150.28</v>
          </cell>
          <cell r="Q208" t="str">
            <v xml:space="preserve">DEED </v>
          </cell>
          <cell r="S208">
            <v>840000</v>
          </cell>
          <cell r="T208">
            <v>860000</v>
          </cell>
          <cell r="W208">
            <v>860000</v>
          </cell>
          <cell r="X208">
            <v>0</v>
          </cell>
          <cell r="Y208">
            <v>860000</v>
          </cell>
          <cell r="AA208">
            <v>45841</v>
          </cell>
          <cell r="AC208" t="str">
            <v>Ana Damásio</v>
          </cell>
          <cell r="AJ208" t="str">
            <v>Natura Village</v>
          </cell>
        </row>
        <row r="209">
          <cell r="A209" t="str">
            <v>NATURA VILLAGE 7</v>
          </cell>
          <cell r="C209" t="str">
            <v>L</v>
          </cell>
          <cell r="E209" t="str">
            <v>V3</v>
          </cell>
          <cell r="F209">
            <v>161.47999999999999</v>
          </cell>
          <cell r="Q209" t="str">
            <v xml:space="preserve">DEED </v>
          </cell>
          <cell r="S209">
            <v>930000</v>
          </cell>
          <cell r="T209">
            <v>930000</v>
          </cell>
          <cell r="W209">
            <v>930000</v>
          </cell>
          <cell r="X209">
            <v>0</v>
          </cell>
          <cell r="Y209">
            <v>930000</v>
          </cell>
          <cell r="AA209">
            <v>45094</v>
          </cell>
          <cell r="AC209" t="str">
            <v>Ana Damásio</v>
          </cell>
          <cell r="AJ209" t="str">
            <v>Natura Village</v>
          </cell>
        </row>
        <row r="210">
          <cell r="A210" t="str">
            <v>TERRACOTA</v>
          </cell>
          <cell r="C210" t="str">
            <v>M</v>
          </cell>
          <cell r="E210" t="str">
            <v>T2</v>
          </cell>
          <cell r="F210">
            <v>78.3</v>
          </cell>
          <cell r="Q210" t="str">
            <v xml:space="preserve">PSPA </v>
          </cell>
          <cell r="S210">
            <v>440000</v>
          </cell>
          <cell r="T210">
            <v>418000</v>
          </cell>
          <cell r="W210">
            <v>418000</v>
          </cell>
          <cell r="X210">
            <v>0</v>
          </cell>
          <cell r="Y210">
            <v>418000</v>
          </cell>
          <cell r="AA210">
            <v>45888</v>
          </cell>
          <cell r="AC210" t="str">
            <v>Ana Damásio</v>
          </cell>
          <cell r="AJ210" t="str">
            <v>Terracota</v>
          </cell>
        </row>
        <row r="211">
          <cell r="A211" t="str">
            <v>THE NINE</v>
          </cell>
          <cell r="C211" t="str">
            <v>L</v>
          </cell>
          <cell r="E211" t="str">
            <v>T2</v>
          </cell>
          <cell r="F211">
            <v>111</v>
          </cell>
          <cell r="Q211" t="str">
            <v xml:space="preserve">DEED </v>
          </cell>
          <cell r="S211">
            <v>620000</v>
          </cell>
          <cell r="T211">
            <v>680000</v>
          </cell>
          <cell r="W211">
            <v>680000</v>
          </cell>
          <cell r="X211">
            <v>0</v>
          </cell>
          <cell r="Y211">
            <v>680000</v>
          </cell>
          <cell r="AA211">
            <v>45616</v>
          </cell>
          <cell r="AC211" t="str">
            <v>Ana Damásio</v>
          </cell>
          <cell r="AJ211" t="str">
            <v>The Nine</v>
          </cell>
        </row>
        <row r="212">
          <cell r="A212" t="str">
            <v>VM PARQUE</v>
          </cell>
          <cell r="C212" t="str">
            <v>L</v>
          </cell>
          <cell r="E212" t="str">
            <v>V2</v>
          </cell>
          <cell r="F212">
            <v>158.05609999999999</v>
          </cell>
          <cell r="Q212" t="str">
            <v xml:space="preserve">DEED </v>
          </cell>
          <cell r="S212">
            <v>1040472</v>
          </cell>
          <cell r="T212">
            <v>1050000</v>
          </cell>
          <cell r="W212">
            <v>1050000</v>
          </cell>
          <cell r="X212">
            <v>0</v>
          </cell>
          <cell r="Y212">
            <v>1050000</v>
          </cell>
          <cell r="AA212">
            <v>45153</v>
          </cell>
          <cell r="AJ212" t="str">
            <v>VM PARQUE</v>
          </cell>
        </row>
        <row r="213">
          <cell r="A213" t="str">
            <v>NATURA VILLAGE 7</v>
          </cell>
          <cell r="C213" t="str">
            <v>M</v>
          </cell>
          <cell r="E213" t="str">
            <v>V2</v>
          </cell>
          <cell r="F213">
            <v>149.22999999999999</v>
          </cell>
          <cell r="Q213" t="str">
            <v xml:space="preserve">DEED </v>
          </cell>
          <cell r="S213">
            <v>830000</v>
          </cell>
          <cell r="T213">
            <v>850000</v>
          </cell>
          <cell r="W213">
            <v>850000</v>
          </cell>
          <cell r="X213">
            <v>0</v>
          </cell>
          <cell r="Y213">
            <v>850000</v>
          </cell>
          <cell r="AA213">
            <v>45906</v>
          </cell>
          <cell r="AC213" t="str">
            <v>Ana Damásio</v>
          </cell>
          <cell r="AJ213" t="str">
            <v>Natura Village</v>
          </cell>
        </row>
        <row r="214">
          <cell r="A214" t="str">
            <v>TERRACOTA</v>
          </cell>
          <cell r="C214" t="str">
            <v>N</v>
          </cell>
          <cell r="E214" t="str">
            <v>T2</v>
          </cell>
          <cell r="F214">
            <v>78.3</v>
          </cell>
          <cell r="Q214" t="str">
            <v xml:space="preserve">PSPA </v>
          </cell>
          <cell r="S214">
            <v>440000</v>
          </cell>
          <cell r="T214">
            <v>440000</v>
          </cell>
          <cell r="W214">
            <v>440000</v>
          </cell>
          <cell r="X214">
            <v>0</v>
          </cell>
          <cell r="Y214">
            <v>440000</v>
          </cell>
          <cell r="AA214">
            <v>45819</v>
          </cell>
          <cell r="AC214" t="str">
            <v>Ana Damásio</v>
          </cell>
          <cell r="AJ214" t="str">
            <v>Terracota</v>
          </cell>
        </row>
        <row r="215">
          <cell r="A215" t="str">
            <v>THE NINE</v>
          </cell>
          <cell r="C215" t="str">
            <v>M</v>
          </cell>
          <cell r="E215" t="str">
            <v>T2</v>
          </cell>
          <cell r="F215">
            <v>111</v>
          </cell>
          <cell r="Q215" t="str">
            <v xml:space="preserve">DEED </v>
          </cell>
          <cell r="S215">
            <v>620000</v>
          </cell>
          <cell r="T215">
            <v>650000</v>
          </cell>
          <cell r="W215">
            <v>650000</v>
          </cell>
          <cell r="X215">
            <v>0</v>
          </cell>
          <cell r="Y215">
            <v>650000</v>
          </cell>
          <cell r="AA215">
            <v>45395</v>
          </cell>
          <cell r="AC215" t="str">
            <v>Ana Damásio</v>
          </cell>
          <cell r="AJ215" t="str">
            <v>The Nine</v>
          </cell>
        </row>
        <row r="216">
          <cell r="A216" t="str">
            <v>VM PARQUE</v>
          </cell>
          <cell r="C216" t="str">
            <v>M</v>
          </cell>
          <cell r="E216" t="str">
            <v>V2</v>
          </cell>
          <cell r="F216">
            <v>152.87280000000001</v>
          </cell>
          <cell r="Q216" t="str">
            <v xml:space="preserve">DEED </v>
          </cell>
          <cell r="S216">
            <v>1012500</v>
          </cell>
          <cell r="T216">
            <v>1100000</v>
          </cell>
          <cell r="W216">
            <v>1100000</v>
          </cell>
          <cell r="X216">
            <v>0</v>
          </cell>
          <cell r="Y216">
            <v>1100000</v>
          </cell>
          <cell r="AA216">
            <v>45644</v>
          </cell>
          <cell r="AJ216" t="str">
            <v>VM PARQUE</v>
          </cell>
        </row>
        <row r="217">
          <cell r="A217" t="str">
            <v>NATURA VILLAGE 7</v>
          </cell>
          <cell r="C217" t="str">
            <v>N</v>
          </cell>
          <cell r="E217" t="str">
            <v>V3</v>
          </cell>
          <cell r="F217">
            <v>170.14</v>
          </cell>
          <cell r="Q217" t="str">
            <v xml:space="preserve">DEED </v>
          </cell>
          <cell r="S217">
            <v>980000</v>
          </cell>
          <cell r="T217">
            <v>980000</v>
          </cell>
          <cell r="W217">
            <v>980000</v>
          </cell>
          <cell r="X217">
            <v>0</v>
          </cell>
          <cell r="Y217">
            <v>980000</v>
          </cell>
          <cell r="AA217">
            <v>45520</v>
          </cell>
          <cell r="AC217" t="str">
            <v>Ana Damásio</v>
          </cell>
          <cell r="AJ217" t="str">
            <v>Natura Village</v>
          </cell>
        </row>
        <row r="218">
          <cell r="A218" t="str">
            <v>Palmares - Signature Apartments</v>
          </cell>
          <cell r="C218" t="str">
            <v>826B</v>
          </cell>
          <cell r="E218" t="str">
            <v>T2</v>
          </cell>
          <cell r="F218">
            <v>158.30000000000001</v>
          </cell>
          <cell r="Q218" t="str">
            <v xml:space="preserve">PSPA </v>
          </cell>
          <cell r="S218">
            <v>660000</v>
          </cell>
          <cell r="T218">
            <v>1000000</v>
          </cell>
          <cell r="W218">
            <v>1000000</v>
          </cell>
          <cell r="X218">
            <v>0</v>
          </cell>
          <cell r="Y218">
            <v>1000000</v>
          </cell>
          <cell r="AA218">
            <v>44988</v>
          </cell>
          <cell r="AB218">
            <v>46843</v>
          </cell>
          <cell r="AJ218" t="str">
            <v>Palmares</v>
          </cell>
        </row>
        <row r="219">
          <cell r="A219" t="str">
            <v>THE NINE</v>
          </cell>
          <cell r="C219" t="str">
            <v>N</v>
          </cell>
          <cell r="E219" t="str">
            <v>T3</v>
          </cell>
          <cell r="F219">
            <v>152</v>
          </cell>
          <cell r="Q219" t="str">
            <v xml:space="preserve">DEED </v>
          </cell>
          <cell r="S219">
            <v>830000</v>
          </cell>
          <cell r="T219">
            <v>870000</v>
          </cell>
          <cell r="W219">
            <v>870000</v>
          </cell>
          <cell r="X219">
            <v>0</v>
          </cell>
          <cell r="Y219">
            <v>870000</v>
          </cell>
          <cell r="AA219">
            <v>45196</v>
          </cell>
          <cell r="AC219" t="str">
            <v>Ana Damásio</v>
          </cell>
          <cell r="AJ219" t="str">
            <v>The Nine</v>
          </cell>
        </row>
        <row r="220">
          <cell r="A220" t="str">
            <v>VM PARQUE</v>
          </cell>
          <cell r="C220" t="str">
            <v>N</v>
          </cell>
          <cell r="E220" t="str">
            <v>V2</v>
          </cell>
          <cell r="F220">
            <v>152.87280000000001</v>
          </cell>
          <cell r="Q220" t="str">
            <v xml:space="preserve">DEED </v>
          </cell>
          <cell r="S220">
            <v>1012500</v>
          </cell>
          <cell r="T220">
            <v>1100000</v>
          </cell>
          <cell r="W220">
            <v>1100000</v>
          </cell>
          <cell r="X220">
            <v>0</v>
          </cell>
          <cell r="Y220">
            <v>1100000</v>
          </cell>
          <cell r="AA220">
            <v>45657</v>
          </cell>
          <cell r="AJ220" t="str">
            <v>VM PARQUE</v>
          </cell>
        </row>
        <row r="221">
          <cell r="A221" t="str">
            <v>TERRACOTA</v>
          </cell>
          <cell r="C221" t="str">
            <v>O</v>
          </cell>
          <cell r="E221" t="str">
            <v>T2</v>
          </cell>
          <cell r="F221">
            <v>78.3</v>
          </cell>
          <cell r="Q221" t="str">
            <v xml:space="preserve">PSPA </v>
          </cell>
          <cell r="S221">
            <v>440000</v>
          </cell>
          <cell r="T221">
            <v>440000</v>
          </cell>
          <cell r="W221">
            <v>440000</v>
          </cell>
          <cell r="X221">
            <v>0</v>
          </cell>
          <cell r="Y221">
            <v>440000</v>
          </cell>
          <cell r="AA221">
            <v>45671</v>
          </cell>
          <cell r="AC221" t="str">
            <v>Ana Damásio</v>
          </cell>
          <cell r="AJ221" t="str">
            <v>Terracota</v>
          </cell>
        </row>
        <row r="222">
          <cell r="A222" t="str">
            <v>ZESTIA</v>
          </cell>
          <cell r="C222" t="str">
            <v>O</v>
          </cell>
          <cell r="E222" t="str">
            <v>T1</v>
          </cell>
          <cell r="F222">
            <v>96.02</v>
          </cell>
          <cell r="Q222" t="str">
            <v xml:space="preserve">PSPA </v>
          </cell>
          <cell r="S222">
            <v>600458.82999999996</v>
          </cell>
          <cell r="T222">
            <v>640000</v>
          </cell>
          <cell r="U222">
            <v>24600</v>
          </cell>
          <cell r="V222">
            <v>30000</v>
          </cell>
          <cell r="W222">
            <v>585400</v>
          </cell>
          <cell r="X222">
            <v>0</v>
          </cell>
          <cell r="Y222">
            <v>640000</v>
          </cell>
          <cell r="AA222">
            <v>46120</v>
          </cell>
          <cell r="AC222" t="str">
            <v>Ana Damásio</v>
          </cell>
          <cell r="AJ222" t="str">
            <v>Zestia</v>
          </cell>
        </row>
        <row r="223">
          <cell r="A223" t="str">
            <v>THE NINE</v>
          </cell>
          <cell r="C223" t="str">
            <v>O</v>
          </cell>
          <cell r="E223" t="str">
            <v>T3</v>
          </cell>
          <cell r="F223">
            <v>159</v>
          </cell>
          <cell r="Q223" t="str">
            <v xml:space="preserve">DEED </v>
          </cell>
          <cell r="S223">
            <v>740000</v>
          </cell>
          <cell r="T223">
            <v>810000</v>
          </cell>
          <cell r="W223">
            <v>810000</v>
          </cell>
          <cell r="X223">
            <v>0</v>
          </cell>
          <cell r="Y223">
            <v>810000</v>
          </cell>
          <cell r="AA223">
            <v>45575</v>
          </cell>
          <cell r="AC223" t="str">
            <v>Ana Damásio</v>
          </cell>
          <cell r="AJ223" t="str">
            <v>The Nine</v>
          </cell>
        </row>
        <row r="224">
          <cell r="A224" t="str">
            <v>VM PARQUE</v>
          </cell>
          <cell r="C224" t="str">
            <v>O</v>
          </cell>
          <cell r="E224" t="str">
            <v>V2</v>
          </cell>
          <cell r="F224">
            <v>164.08609999999999</v>
          </cell>
          <cell r="Q224" t="str">
            <v xml:space="preserve">DEED </v>
          </cell>
          <cell r="S224">
            <v>1108188</v>
          </cell>
          <cell r="T224">
            <v>1180000</v>
          </cell>
          <cell r="W224">
            <v>1180000</v>
          </cell>
          <cell r="X224">
            <v>0</v>
          </cell>
          <cell r="Y224">
            <v>1180000</v>
          </cell>
          <cell r="AA224">
            <v>44735</v>
          </cell>
          <cell r="AJ224" t="str">
            <v>VM PARQUE</v>
          </cell>
        </row>
        <row r="225">
          <cell r="A225" t="str">
            <v>Palmares - Signature Apartments</v>
          </cell>
          <cell r="C225" t="str">
            <v>827B</v>
          </cell>
          <cell r="E225" t="str">
            <v>T2</v>
          </cell>
          <cell r="F225">
            <v>158.30000000000001</v>
          </cell>
          <cell r="Q225" t="str">
            <v xml:space="preserve">PSPA </v>
          </cell>
          <cell r="S225">
            <v>550000</v>
          </cell>
          <cell r="T225">
            <v>840000</v>
          </cell>
          <cell r="W225">
            <v>840000</v>
          </cell>
          <cell r="X225">
            <v>0</v>
          </cell>
          <cell r="Y225">
            <v>840000</v>
          </cell>
          <cell r="AA225">
            <v>45079</v>
          </cell>
          <cell r="AB225">
            <v>46843</v>
          </cell>
          <cell r="AJ225" t="str">
            <v>Palmares</v>
          </cell>
        </row>
        <row r="226">
          <cell r="A226" t="str">
            <v>TERRACOTA</v>
          </cell>
          <cell r="C226" t="str">
            <v>P</v>
          </cell>
          <cell r="E226" t="str">
            <v>T2</v>
          </cell>
          <cell r="F226">
            <v>78.3</v>
          </cell>
          <cell r="Q226" t="str">
            <v xml:space="preserve">PSPA </v>
          </cell>
          <cell r="S226">
            <v>460000</v>
          </cell>
          <cell r="T226">
            <v>437000</v>
          </cell>
          <cell r="W226">
            <v>437000</v>
          </cell>
          <cell r="X226">
            <v>0</v>
          </cell>
          <cell r="Y226">
            <v>437000</v>
          </cell>
          <cell r="AA226">
            <v>45614</v>
          </cell>
          <cell r="AC226" t="str">
            <v>Ana Damásio</v>
          </cell>
          <cell r="AJ226" t="str">
            <v>Terracota</v>
          </cell>
        </row>
        <row r="227">
          <cell r="A227" t="str">
            <v>Palmares - Signature Apartments</v>
          </cell>
          <cell r="C227" t="str">
            <v>828B</v>
          </cell>
          <cell r="E227" t="str">
            <v>T2</v>
          </cell>
          <cell r="F227">
            <v>158.30000000000001</v>
          </cell>
          <cell r="Q227" t="str">
            <v xml:space="preserve">PSPA </v>
          </cell>
          <cell r="S227">
            <v>790000</v>
          </cell>
          <cell r="T227">
            <v>900000</v>
          </cell>
          <cell r="W227">
            <v>900000</v>
          </cell>
          <cell r="X227">
            <v>0</v>
          </cell>
          <cell r="Y227">
            <v>900000</v>
          </cell>
          <cell r="AA227">
            <v>44956</v>
          </cell>
          <cell r="AB227">
            <v>46843</v>
          </cell>
          <cell r="AJ227" t="str">
            <v>Palmares</v>
          </cell>
        </row>
        <row r="228">
          <cell r="A228" t="str">
            <v>Palmares - Signature Apartments</v>
          </cell>
          <cell r="C228" t="str">
            <v>829B</v>
          </cell>
          <cell r="E228" t="str">
            <v>T3 Duplex</v>
          </cell>
          <cell r="F228">
            <v>213.55</v>
          </cell>
          <cell r="Q228" t="str">
            <v xml:space="preserve">PSPA </v>
          </cell>
          <cell r="S228">
            <v>650000</v>
          </cell>
          <cell r="T228">
            <v>1315000</v>
          </cell>
          <cell r="W228">
            <v>1315000</v>
          </cell>
          <cell r="X228">
            <v>0</v>
          </cell>
          <cell r="Y228">
            <v>1315000</v>
          </cell>
          <cell r="AA228">
            <v>45044</v>
          </cell>
          <cell r="AB228">
            <v>46843</v>
          </cell>
          <cell r="AJ228" t="str">
            <v>Palmares</v>
          </cell>
        </row>
        <row r="229">
          <cell r="A229" t="str">
            <v>THE NINE</v>
          </cell>
          <cell r="C229" t="str">
            <v>P</v>
          </cell>
          <cell r="E229" t="str">
            <v>T2</v>
          </cell>
          <cell r="F229">
            <v>117</v>
          </cell>
          <cell r="Q229" t="str">
            <v xml:space="preserve">DEED </v>
          </cell>
          <cell r="S229">
            <v>550000</v>
          </cell>
          <cell r="T229">
            <v>570000</v>
          </cell>
          <cell r="W229">
            <v>570000</v>
          </cell>
          <cell r="X229">
            <v>0</v>
          </cell>
          <cell r="Y229">
            <v>570000</v>
          </cell>
          <cell r="AA229">
            <v>45153</v>
          </cell>
          <cell r="AC229" t="str">
            <v>Ana Damásio</v>
          </cell>
          <cell r="AJ229" t="str">
            <v>The Nine</v>
          </cell>
        </row>
        <row r="230">
          <cell r="A230" t="str">
            <v>VM PARQUE</v>
          </cell>
          <cell r="C230" t="str">
            <v>P</v>
          </cell>
          <cell r="E230" t="str">
            <v>V2</v>
          </cell>
          <cell r="F230">
            <v>165.44130000000001</v>
          </cell>
          <cell r="Q230" t="str">
            <v xml:space="preserve">DEED </v>
          </cell>
          <cell r="S230">
            <v>1116828</v>
          </cell>
          <cell r="T230">
            <v>1130000</v>
          </cell>
          <cell r="W230">
            <v>1130000</v>
          </cell>
          <cell r="X230">
            <v>0</v>
          </cell>
          <cell r="Y230">
            <v>1130000</v>
          </cell>
          <cell r="AA230">
            <v>44810</v>
          </cell>
          <cell r="AJ230" t="str">
            <v>VM PARQUE</v>
          </cell>
        </row>
        <row r="231">
          <cell r="A231" t="str">
            <v>TERRACOTA</v>
          </cell>
          <cell r="C231" t="str">
            <v>R</v>
          </cell>
          <cell r="E231" t="str">
            <v>T2</v>
          </cell>
          <cell r="F231">
            <v>104.7</v>
          </cell>
          <cell r="Q231" t="str">
            <v xml:space="preserve">PSPA </v>
          </cell>
          <cell r="S231">
            <v>575000</v>
          </cell>
          <cell r="T231">
            <v>575000</v>
          </cell>
          <cell r="W231">
            <v>575000</v>
          </cell>
          <cell r="X231">
            <v>0</v>
          </cell>
          <cell r="Y231">
            <v>575000</v>
          </cell>
          <cell r="AA231">
            <v>45876</v>
          </cell>
          <cell r="AC231" t="str">
            <v>Ana Damásio</v>
          </cell>
          <cell r="AJ231" t="str">
            <v>Terracota</v>
          </cell>
        </row>
        <row r="232">
          <cell r="A232" t="str">
            <v>THE NINE</v>
          </cell>
          <cell r="C232" t="str">
            <v>Q</v>
          </cell>
          <cell r="E232" t="str">
            <v>T2</v>
          </cell>
          <cell r="F232">
            <v>117</v>
          </cell>
          <cell r="Q232" t="str">
            <v xml:space="preserve">DEED </v>
          </cell>
          <cell r="S232">
            <v>550000</v>
          </cell>
          <cell r="T232">
            <v>570000</v>
          </cell>
          <cell r="W232">
            <v>570000</v>
          </cell>
          <cell r="X232">
            <v>0</v>
          </cell>
          <cell r="Y232">
            <v>570000</v>
          </cell>
          <cell r="AA232">
            <v>45504</v>
          </cell>
          <cell r="AC232" t="str">
            <v>Ana Damásio</v>
          </cell>
          <cell r="AJ232" t="str">
            <v>The Nine</v>
          </cell>
        </row>
        <row r="233">
          <cell r="A233" t="str">
            <v>BOTÂNICA</v>
          </cell>
          <cell r="C233" t="str">
            <v>AX</v>
          </cell>
          <cell r="E233" t="str">
            <v>T4</v>
          </cell>
          <cell r="F233">
            <v>389.41</v>
          </cell>
          <cell r="Q233" t="str">
            <v>PRE-RESERVED</v>
          </cell>
          <cell r="S233">
            <v>2350904.85</v>
          </cell>
          <cell r="T233">
            <v>2360000</v>
          </cell>
          <cell r="W233">
            <v>2360000</v>
          </cell>
          <cell r="X233">
            <v>0</v>
          </cell>
          <cell r="Y233">
            <v>2360000</v>
          </cell>
          <cell r="AC233" t="str">
            <v>Ana Damásio</v>
          </cell>
          <cell r="AJ233" t="str">
            <v>Botanica</v>
          </cell>
        </row>
        <row r="234">
          <cell r="A234" t="str">
            <v>ZESTIA</v>
          </cell>
          <cell r="C234" t="str">
            <v>R</v>
          </cell>
          <cell r="E234" t="str">
            <v>T2 LO</v>
          </cell>
          <cell r="F234">
            <v>116.76</v>
          </cell>
          <cell r="Q234" t="str">
            <v xml:space="preserve">PSPA </v>
          </cell>
          <cell r="S234">
            <v>727881.04</v>
          </cell>
          <cell r="T234">
            <v>780000</v>
          </cell>
          <cell r="U234">
            <v>24600</v>
          </cell>
          <cell r="V234">
            <v>40000</v>
          </cell>
          <cell r="W234">
            <v>715400</v>
          </cell>
          <cell r="X234">
            <v>0</v>
          </cell>
          <cell r="Y234">
            <v>780000</v>
          </cell>
          <cell r="AA234">
            <v>46120</v>
          </cell>
          <cell r="AC234" t="str">
            <v>Ana Damásio</v>
          </cell>
          <cell r="AJ234" t="str">
            <v>Zestia</v>
          </cell>
        </row>
        <row r="235">
          <cell r="A235" t="str">
            <v>THE NINE</v>
          </cell>
          <cell r="C235" t="str">
            <v>R</v>
          </cell>
          <cell r="E235" t="str">
            <v>T2</v>
          </cell>
          <cell r="F235">
            <v>117</v>
          </cell>
          <cell r="Q235" t="str">
            <v xml:space="preserve">DEED </v>
          </cell>
          <cell r="S235">
            <v>550000</v>
          </cell>
          <cell r="T235">
            <v>570000</v>
          </cell>
          <cell r="W235">
            <v>570000</v>
          </cell>
          <cell r="X235">
            <v>0</v>
          </cell>
          <cell r="Y235">
            <v>570000</v>
          </cell>
          <cell r="AA235">
            <v>45420</v>
          </cell>
          <cell r="AC235" t="str">
            <v>Ana Damásio</v>
          </cell>
          <cell r="AJ235" t="str">
            <v>The Nine</v>
          </cell>
        </row>
        <row r="236">
          <cell r="A236" t="str">
            <v>VM PARQUE</v>
          </cell>
          <cell r="C236" t="str">
            <v>R</v>
          </cell>
          <cell r="E236" t="str">
            <v>V2</v>
          </cell>
          <cell r="F236">
            <v>152.87280000000001</v>
          </cell>
          <cell r="Q236" t="str">
            <v xml:space="preserve">DEED </v>
          </cell>
          <cell r="S236">
            <v>894995</v>
          </cell>
          <cell r="T236">
            <v>960000</v>
          </cell>
          <cell r="W236">
            <v>960000</v>
          </cell>
          <cell r="X236">
            <v>0</v>
          </cell>
          <cell r="Y236">
            <v>960000</v>
          </cell>
          <cell r="AA236">
            <v>44756</v>
          </cell>
          <cell r="AJ236" t="str">
            <v>VM PARQUE</v>
          </cell>
        </row>
        <row r="237">
          <cell r="A237" t="str">
            <v>TERRACOTA</v>
          </cell>
          <cell r="C237" t="str">
            <v>S</v>
          </cell>
          <cell r="E237" t="str">
            <v>T3</v>
          </cell>
          <cell r="F237">
            <v>130.91999999999999</v>
          </cell>
          <cell r="Q237" t="str">
            <v xml:space="preserve">PSPA </v>
          </cell>
          <cell r="S237">
            <v>700000</v>
          </cell>
          <cell r="T237">
            <v>700000</v>
          </cell>
          <cell r="W237">
            <v>700000</v>
          </cell>
          <cell r="X237">
            <v>0</v>
          </cell>
          <cell r="Y237">
            <v>700000</v>
          </cell>
          <cell r="AA237">
            <v>45891</v>
          </cell>
          <cell r="AC237" t="str">
            <v>Ana Damásio</v>
          </cell>
          <cell r="AJ237" t="str">
            <v>Terracota</v>
          </cell>
        </row>
        <row r="238">
          <cell r="A238" t="str">
            <v>Palmares - Signature Apartments</v>
          </cell>
          <cell r="C238" t="str">
            <v>830B</v>
          </cell>
          <cell r="E238" t="str">
            <v>T3 (T2+1)</v>
          </cell>
          <cell r="F238">
            <v>283.3</v>
          </cell>
          <cell r="Q238" t="str">
            <v xml:space="preserve">PSPA </v>
          </cell>
          <cell r="S238">
            <v>710000</v>
          </cell>
          <cell r="T238">
            <v>1350000</v>
          </cell>
          <cell r="W238">
            <v>1350000</v>
          </cell>
          <cell r="X238">
            <v>0</v>
          </cell>
          <cell r="Y238">
            <v>1350000</v>
          </cell>
          <cell r="AA238">
            <v>45148</v>
          </cell>
          <cell r="AB238">
            <v>46843</v>
          </cell>
          <cell r="AJ238" t="str">
            <v>Palmares</v>
          </cell>
        </row>
        <row r="239">
          <cell r="A239" t="str">
            <v>THE NINE</v>
          </cell>
          <cell r="C239" t="str">
            <v>S</v>
          </cell>
          <cell r="E239" t="str">
            <v>T2</v>
          </cell>
          <cell r="F239">
            <v>117</v>
          </cell>
          <cell r="Q239" t="str">
            <v xml:space="preserve">DEED </v>
          </cell>
          <cell r="S239">
            <v>550000</v>
          </cell>
          <cell r="T239">
            <v>570000</v>
          </cell>
          <cell r="W239">
            <v>570000</v>
          </cell>
          <cell r="X239">
            <v>0</v>
          </cell>
          <cell r="Y239">
            <v>570000</v>
          </cell>
          <cell r="AA239">
            <v>45128</v>
          </cell>
          <cell r="AC239" t="str">
            <v>Ana Damásio</v>
          </cell>
          <cell r="AJ239" t="str">
            <v>The Nine</v>
          </cell>
        </row>
        <row r="240">
          <cell r="A240" t="str">
            <v>VM PARQUE</v>
          </cell>
          <cell r="C240" t="str">
            <v>S</v>
          </cell>
          <cell r="E240" t="str">
            <v>V2</v>
          </cell>
          <cell r="F240">
            <v>156.83949999999999</v>
          </cell>
          <cell r="Q240" t="str">
            <v xml:space="preserve">DEED </v>
          </cell>
          <cell r="S240">
            <v>912950</v>
          </cell>
          <cell r="T240">
            <v>992000</v>
          </cell>
          <cell r="W240">
            <v>992000</v>
          </cell>
          <cell r="X240">
            <v>0</v>
          </cell>
          <cell r="Y240">
            <v>992000</v>
          </cell>
          <cell r="AA240">
            <v>45163</v>
          </cell>
          <cell r="AJ240" t="str">
            <v>VM PARQUE</v>
          </cell>
        </row>
        <row r="241">
          <cell r="A241" t="str">
            <v>Palmares - Signature Apartments</v>
          </cell>
          <cell r="C241" t="str">
            <v>831B</v>
          </cell>
          <cell r="E241" t="str">
            <v>T3 Duplex</v>
          </cell>
          <cell r="F241">
            <v>248.3</v>
          </cell>
          <cell r="Q241" t="str">
            <v xml:space="preserve">PSPA </v>
          </cell>
          <cell r="S241">
            <v>440000</v>
          </cell>
          <cell r="T241">
            <v>1600000</v>
          </cell>
          <cell r="W241">
            <v>1600000</v>
          </cell>
          <cell r="X241">
            <v>0</v>
          </cell>
          <cell r="Y241">
            <v>1600000</v>
          </cell>
          <cell r="AA241">
            <v>44960</v>
          </cell>
          <cell r="AB241">
            <v>46843</v>
          </cell>
          <cell r="AJ241" t="str">
            <v>Palmares</v>
          </cell>
        </row>
        <row r="242">
          <cell r="A242" t="str">
            <v>TERRACOTA</v>
          </cell>
          <cell r="C242" t="str">
            <v>T</v>
          </cell>
          <cell r="E242" t="str">
            <v>T3</v>
          </cell>
          <cell r="F242">
            <v>130.91999999999999</v>
          </cell>
          <cell r="Q242" t="str">
            <v xml:space="preserve">PSPA </v>
          </cell>
          <cell r="S242">
            <v>660000</v>
          </cell>
          <cell r="T242">
            <v>660000</v>
          </cell>
          <cell r="W242">
            <v>660000</v>
          </cell>
          <cell r="X242">
            <v>0</v>
          </cell>
          <cell r="Y242">
            <v>660000</v>
          </cell>
          <cell r="AA242">
            <v>45967</v>
          </cell>
          <cell r="AC242" t="str">
            <v>Ana Damásio</v>
          </cell>
          <cell r="AJ242" t="str">
            <v>Terracota</v>
          </cell>
        </row>
        <row r="243">
          <cell r="A243" t="str">
            <v>TERRACOTA</v>
          </cell>
          <cell r="C243" t="str">
            <v>U</v>
          </cell>
          <cell r="E243" t="str">
            <v>T3</v>
          </cell>
          <cell r="F243">
            <v>130.91999999999999</v>
          </cell>
          <cell r="Q243" t="str">
            <v xml:space="preserve">PSPA </v>
          </cell>
          <cell r="S243">
            <v>660000</v>
          </cell>
          <cell r="T243">
            <v>680000</v>
          </cell>
          <cell r="W243">
            <v>680000</v>
          </cell>
          <cell r="X243">
            <v>0</v>
          </cell>
          <cell r="Y243">
            <v>680000</v>
          </cell>
          <cell r="AA243">
            <v>45922</v>
          </cell>
          <cell r="AC243" t="str">
            <v>Ana Damásio</v>
          </cell>
          <cell r="AJ243" t="str">
            <v>Terracota</v>
          </cell>
        </row>
        <row r="244">
          <cell r="A244" t="str">
            <v>THE NINE</v>
          </cell>
          <cell r="C244" t="str">
            <v>T</v>
          </cell>
          <cell r="E244" t="str">
            <v>T2</v>
          </cell>
          <cell r="F244">
            <v>117</v>
          </cell>
          <cell r="Q244" t="str">
            <v xml:space="preserve">DEED </v>
          </cell>
          <cell r="S244">
            <v>550000</v>
          </cell>
          <cell r="T244">
            <v>570000</v>
          </cell>
          <cell r="W244">
            <v>570000</v>
          </cell>
          <cell r="X244">
            <v>0</v>
          </cell>
          <cell r="Y244">
            <v>570000</v>
          </cell>
          <cell r="AA244">
            <v>45504</v>
          </cell>
          <cell r="AC244" t="str">
            <v>Ana Damásio</v>
          </cell>
          <cell r="AJ244" t="str">
            <v>The Nine</v>
          </cell>
        </row>
        <row r="245">
          <cell r="A245" t="str">
            <v>VM PARQUE</v>
          </cell>
          <cell r="C245" t="str">
            <v>T</v>
          </cell>
          <cell r="E245" t="str">
            <v>V2</v>
          </cell>
          <cell r="F245">
            <v>158.05609999999999</v>
          </cell>
          <cell r="Q245" t="str">
            <v xml:space="preserve">DEED </v>
          </cell>
          <cell r="S245">
            <v>928815</v>
          </cell>
          <cell r="T245">
            <v>992000</v>
          </cell>
          <cell r="W245">
            <v>992000</v>
          </cell>
          <cell r="X245">
            <v>0</v>
          </cell>
          <cell r="Y245">
            <v>992000</v>
          </cell>
          <cell r="AA245">
            <v>45051</v>
          </cell>
          <cell r="AJ245" t="str">
            <v>VM PARQUE</v>
          </cell>
        </row>
        <row r="246">
          <cell r="A246" t="str">
            <v>SPRINGS</v>
          </cell>
          <cell r="C246" t="str">
            <v>V</v>
          </cell>
          <cell r="E246" t="str">
            <v>V3</v>
          </cell>
          <cell r="F246">
            <v>323.58999999999997</v>
          </cell>
          <cell r="Q246" t="str">
            <v xml:space="preserve">PSPA </v>
          </cell>
          <cell r="S246">
            <v>1691050</v>
          </cell>
          <cell r="T246">
            <v>1750000</v>
          </cell>
          <cell r="U246">
            <v>24600</v>
          </cell>
          <cell r="V246">
            <v>64350</v>
          </cell>
          <cell r="W246">
            <v>1661050</v>
          </cell>
          <cell r="X246">
            <v>0</v>
          </cell>
          <cell r="Y246">
            <v>1750000</v>
          </cell>
          <cell r="AA246">
            <v>45953</v>
          </cell>
          <cell r="AC246" t="str">
            <v>Ana Damásio</v>
          </cell>
          <cell r="AJ246" t="str">
            <v>Springs - At the Els</v>
          </cell>
        </row>
        <row r="247">
          <cell r="A247" t="str">
            <v>THE NINE</v>
          </cell>
          <cell r="C247" t="str">
            <v>U</v>
          </cell>
          <cell r="E247" t="str">
            <v>T2</v>
          </cell>
          <cell r="F247">
            <v>117</v>
          </cell>
          <cell r="Q247" t="str">
            <v xml:space="preserve">DEED </v>
          </cell>
          <cell r="S247">
            <v>550000</v>
          </cell>
          <cell r="T247">
            <v>580000</v>
          </cell>
          <cell r="W247">
            <v>580000</v>
          </cell>
          <cell r="X247">
            <v>0</v>
          </cell>
          <cell r="Y247">
            <v>580000</v>
          </cell>
          <cell r="AA247">
            <v>45471</v>
          </cell>
          <cell r="AC247" t="str">
            <v>Ana Damásio</v>
          </cell>
          <cell r="AJ247" t="str">
            <v>The Nine</v>
          </cell>
        </row>
        <row r="248">
          <cell r="A248" t="str">
            <v>VM PARQUE</v>
          </cell>
          <cell r="C248" t="str">
            <v>U</v>
          </cell>
          <cell r="E248" t="str">
            <v>V2</v>
          </cell>
          <cell r="F248">
            <v>152.87280000000001</v>
          </cell>
          <cell r="Q248" t="str">
            <v xml:space="preserve">DEED </v>
          </cell>
          <cell r="S248">
            <v>894995</v>
          </cell>
          <cell r="T248">
            <v>960000</v>
          </cell>
          <cell r="W248">
            <v>960000</v>
          </cell>
          <cell r="X248">
            <v>0</v>
          </cell>
          <cell r="Y248">
            <v>960000</v>
          </cell>
          <cell r="AA248">
            <v>45083</v>
          </cell>
          <cell r="AJ248" t="str">
            <v>VM PARQUE</v>
          </cell>
        </row>
        <row r="249">
          <cell r="A249" t="str">
            <v>Sutaya</v>
          </cell>
          <cell r="C249" t="str">
            <v>I</v>
          </cell>
          <cell r="E249" t="str">
            <v>T3</v>
          </cell>
          <cell r="F249">
            <v>456</v>
          </cell>
          <cell r="Q249" t="str">
            <v>AVAILABLE</v>
          </cell>
          <cell r="S249">
            <v>4000000</v>
          </cell>
          <cell r="T249">
            <v>4000000</v>
          </cell>
          <cell r="W249">
            <v>4000000</v>
          </cell>
          <cell r="X249">
            <v>0</v>
          </cell>
          <cell r="Y249">
            <v>4000000</v>
          </cell>
          <cell r="AB249" t="str">
            <v>TBD</v>
          </cell>
          <cell r="AC249" t="str">
            <v>Sandra Viegas</v>
          </cell>
          <cell r="AJ249" t="str">
            <v>Sutaya</v>
          </cell>
        </row>
        <row r="250">
          <cell r="A250" t="str">
            <v>Sutaya</v>
          </cell>
          <cell r="C250" t="str">
            <v>A</v>
          </cell>
          <cell r="E250" t="str">
            <v>T3</v>
          </cell>
          <cell r="F250">
            <v>456</v>
          </cell>
          <cell r="Q250" t="str">
            <v>AVAILABLE</v>
          </cell>
          <cell r="S250">
            <v>4100000</v>
          </cell>
          <cell r="T250">
            <v>4100000</v>
          </cell>
          <cell r="W250">
            <v>4100000</v>
          </cell>
          <cell r="X250">
            <v>0</v>
          </cell>
          <cell r="Y250">
            <v>4100000</v>
          </cell>
          <cell r="AB250" t="str">
            <v>TBD</v>
          </cell>
          <cell r="AC250" t="str">
            <v>Sandra Viegas</v>
          </cell>
          <cell r="AJ250" t="str">
            <v>Sutaya</v>
          </cell>
        </row>
        <row r="251">
          <cell r="A251" t="str">
            <v>Sutaya</v>
          </cell>
          <cell r="C251" t="str">
            <v>B</v>
          </cell>
          <cell r="E251" t="str">
            <v>T3</v>
          </cell>
          <cell r="F251">
            <v>454</v>
          </cell>
          <cell r="Q251" t="str">
            <v>AVAILABLE</v>
          </cell>
          <cell r="S251">
            <v>4300000</v>
          </cell>
          <cell r="T251">
            <v>4300000</v>
          </cell>
          <cell r="W251">
            <v>4300000</v>
          </cell>
          <cell r="X251">
            <v>0</v>
          </cell>
          <cell r="Y251">
            <v>4300000</v>
          </cell>
          <cell r="AB251" t="str">
            <v>TBD</v>
          </cell>
          <cell r="AC251" t="str">
            <v>Sandra Viegas</v>
          </cell>
          <cell r="AJ251" t="str">
            <v>Sutaya</v>
          </cell>
        </row>
        <row r="252">
          <cell r="A252" t="str">
            <v>Sutaya</v>
          </cell>
          <cell r="C252" t="str">
            <v>C</v>
          </cell>
          <cell r="E252" t="str">
            <v>T3</v>
          </cell>
          <cell r="F252">
            <v>454</v>
          </cell>
          <cell r="Q252" t="str">
            <v>AVAILABLE</v>
          </cell>
          <cell r="S252">
            <v>4700000</v>
          </cell>
          <cell r="T252">
            <v>4700000</v>
          </cell>
          <cell r="W252">
            <v>4700000</v>
          </cell>
          <cell r="X252">
            <v>0</v>
          </cell>
          <cell r="Y252">
            <v>4700000</v>
          </cell>
          <cell r="AB252" t="str">
            <v>TBD</v>
          </cell>
          <cell r="AC252" t="str">
            <v>Sandra Viegas</v>
          </cell>
          <cell r="AJ252" t="str">
            <v>Sutaya</v>
          </cell>
        </row>
        <row r="253">
          <cell r="A253" t="str">
            <v>Sutaya</v>
          </cell>
          <cell r="C253" t="str">
            <v>D</v>
          </cell>
          <cell r="E253" t="str">
            <v>T3</v>
          </cell>
          <cell r="F253">
            <v>454</v>
          </cell>
          <cell r="Q253" t="str">
            <v>PRE-RESERVED</v>
          </cell>
          <cell r="S253">
            <v>5200000</v>
          </cell>
          <cell r="T253">
            <v>5200000</v>
          </cell>
          <cell r="W253">
            <v>5200000</v>
          </cell>
          <cell r="X253">
            <v>0</v>
          </cell>
          <cell r="Y253">
            <v>5200000</v>
          </cell>
          <cell r="AA253">
            <v>45991</v>
          </cell>
          <cell r="AB253" t="str">
            <v>TBD</v>
          </cell>
          <cell r="AC253" t="str">
            <v>Sandra Viegas</v>
          </cell>
          <cell r="AJ253" t="str">
            <v>Sutaya</v>
          </cell>
        </row>
        <row r="254">
          <cell r="A254" t="str">
            <v>Sutaya</v>
          </cell>
          <cell r="C254" t="str">
            <v>J</v>
          </cell>
          <cell r="E254" t="str">
            <v>T3 PH</v>
          </cell>
          <cell r="F254">
            <v>460</v>
          </cell>
          <cell r="Q254" t="str">
            <v>AVAILABLE</v>
          </cell>
          <cell r="S254">
            <v>5300000</v>
          </cell>
          <cell r="T254">
            <v>5300000</v>
          </cell>
          <cell r="W254">
            <v>5300000</v>
          </cell>
          <cell r="X254">
            <v>0</v>
          </cell>
          <cell r="Y254">
            <v>5300000</v>
          </cell>
          <cell r="AB254" t="str">
            <v>TBD</v>
          </cell>
          <cell r="AC254" t="str">
            <v>Sandra Viegas</v>
          </cell>
          <cell r="AJ254" t="str">
            <v>Sutaya</v>
          </cell>
        </row>
        <row r="255">
          <cell r="A255" t="str">
            <v>Sutaya</v>
          </cell>
          <cell r="C255" t="str">
            <v>L</v>
          </cell>
          <cell r="E255" t="str">
            <v>T3 PH</v>
          </cell>
          <cell r="F255">
            <v>460</v>
          </cell>
          <cell r="Q255" t="str">
            <v>AVAILABLE</v>
          </cell>
          <cell r="S255">
            <v>5700000</v>
          </cell>
          <cell r="T255">
            <v>5700000</v>
          </cell>
          <cell r="W255">
            <v>5700000</v>
          </cell>
          <cell r="X255">
            <v>0</v>
          </cell>
          <cell r="Y255">
            <v>5700000</v>
          </cell>
          <cell r="AB255" t="str">
            <v>TBD</v>
          </cell>
          <cell r="AC255" t="str">
            <v>Sandra Viegas</v>
          </cell>
          <cell r="AJ255" t="str">
            <v>Sutaya</v>
          </cell>
        </row>
        <row r="256">
          <cell r="A256" t="str">
            <v>Sutaya</v>
          </cell>
          <cell r="C256" t="str">
            <v>E</v>
          </cell>
          <cell r="E256" t="str">
            <v>T3</v>
          </cell>
          <cell r="F256">
            <v>458</v>
          </cell>
          <cell r="Q256" t="str">
            <v>PRE-RESERVED</v>
          </cell>
          <cell r="S256">
            <v>5700000</v>
          </cell>
          <cell r="T256">
            <v>5700000</v>
          </cell>
          <cell r="W256">
            <v>5700000</v>
          </cell>
          <cell r="X256">
            <v>0</v>
          </cell>
          <cell r="Y256">
            <v>5700000</v>
          </cell>
          <cell r="AA256">
            <v>45991</v>
          </cell>
          <cell r="AB256" t="str">
            <v>TBD</v>
          </cell>
          <cell r="AC256" t="str">
            <v>Sandra Viegas</v>
          </cell>
          <cell r="AJ256" t="str">
            <v>Sutaya</v>
          </cell>
        </row>
        <row r="257">
          <cell r="A257" t="str">
            <v>Sutaya</v>
          </cell>
          <cell r="C257" t="str">
            <v>Q</v>
          </cell>
          <cell r="E257" t="str">
            <v>T4 PH</v>
          </cell>
          <cell r="F257">
            <v>654</v>
          </cell>
          <cell r="Q257" t="str">
            <v>AVAILABLE</v>
          </cell>
          <cell r="S257">
            <v>7700000</v>
          </cell>
          <cell r="T257">
            <v>7700000</v>
          </cell>
          <cell r="W257">
            <v>7700000</v>
          </cell>
          <cell r="X257">
            <v>0</v>
          </cell>
          <cell r="Y257">
            <v>7700000</v>
          </cell>
          <cell r="AB257" t="str">
            <v>TBD</v>
          </cell>
          <cell r="AC257" t="str">
            <v>Sandra Viegas</v>
          </cell>
          <cell r="AJ257" t="str">
            <v>Sutaya</v>
          </cell>
        </row>
        <row r="258">
          <cell r="A258" t="str">
            <v>Sutaya</v>
          </cell>
          <cell r="C258" t="str">
            <v>P</v>
          </cell>
          <cell r="E258" t="str">
            <v>T4 PH</v>
          </cell>
          <cell r="F258">
            <v>654</v>
          </cell>
          <cell r="Q258" t="str">
            <v>AVAILABLE</v>
          </cell>
          <cell r="S258">
            <v>8400000</v>
          </cell>
          <cell r="T258">
            <v>8400000</v>
          </cell>
          <cell r="W258">
            <v>8400000</v>
          </cell>
          <cell r="X258">
            <v>0</v>
          </cell>
          <cell r="Y258">
            <v>8400000</v>
          </cell>
          <cell r="AB258" t="str">
            <v>TBD</v>
          </cell>
          <cell r="AC258" t="str">
            <v>Sandra Viegas</v>
          </cell>
          <cell r="AJ258" t="str">
            <v>Sutaya</v>
          </cell>
        </row>
        <row r="259">
          <cell r="A259" t="str">
            <v>Sutaya</v>
          </cell>
          <cell r="C259" t="str">
            <v>N</v>
          </cell>
          <cell r="E259" t="str">
            <v>T4 PH</v>
          </cell>
          <cell r="F259">
            <v>654</v>
          </cell>
          <cell r="Q259" t="str">
            <v>AVAILABLE</v>
          </cell>
          <cell r="S259">
            <v>9000000</v>
          </cell>
          <cell r="T259">
            <v>9000000</v>
          </cell>
          <cell r="W259">
            <v>9000000</v>
          </cell>
          <cell r="X259">
            <v>0</v>
          </cell>
          <cell r="Y259">
            <v>9000000</v>
          </cell>
          <cell r="AB259" t="str">
            <v>TBD</v>
          </cell>
          <cell r="AC259" t="str">
            <v>Sandra Viegas</v>
          </cell>
          <cell r="AJ259" t="str">
            <v>Sutaya</v>
          </cell>
        </row>
        <row r="260">
          <cell r="A260" t="str">
            <v>Sutaya</v>
          </cell>
          <cell r="C260" t="str">
            <v>O</v>
          </cell>
          <cell r="E260" t="str">
            <v>T4 PH</v>
          </cell>
          <cell r="F260">
            <v>654</v>
          </cell>
          <cell r="Q260" t="str">
            <v>AVAILABLE</v>
          </cell>
          <cell r="S260">
            <v>9600000</v>
          </cell>
          <cell r="T260">
            <v>9600000</v>
          </cell>
          <cell r="W260">
            <v>9600000</v>
          </cell>
          <cell r="X260">
            <v>0</v>
          </cell>
          <cell r="Y260">
            <v>9600000</v>
          </cell>
          <cell r="AB260" t="str">
            <v>TBD</v>
          </cell>
          <cell r="AC260" t="str">
            <v>Sandra Viegas</v>
          </cell>
          <cell r="AJ260" t="str">
            <v>Sutaya</v>
          </cell>
        </row>
        <row r="261">
          <cell r="A261" t="str">
            <v>TERRACOTA</v>
          </cell>
          <cell r="C261" t="str">
            <v>V</v>
          </cell>
          <cell r="E261" t="str">
            <v>T3</v>
          </cell>
          <cell r="F261">
            <v>130.91999999999999</v>
          </cell>
          <cell r="Q261" t="str">
            <v xml:space="preserve">PSPA </v>
          </cell>
          <cell r="S261">
            <v>660000</v>
          </cell>
          <cell r="T261">
            <v>660000</v>
          </cell>
          <cell r="W261">
            <v>660000</v>
          </cell>
          <cell r="X261">
            <v>0</v>
          </cell>
          <cell r="Y261">
            <v>660000</v>
          </cell>
          <cell r="AA261">
            <v>45947</v>
          </cell>
          <cell r="AC261" t="str">
            <v>Ana Damásio</v>
          </cell>
          <cell r="AJ261" t="str">
            <v>Terracota</v>
          </cell>
        </row>
        <row r="262">
          <cell r="A262" t="str">
            <v>SPRINGS</v>
          </cell>
          <cell r="C262" t="str">
            <v>W</v>
          </cell>
          <cell r="E262" t="str">
            <v>V3</v>
          </cell>
          <cell r="F262">
            <v>323.58999999999997</v>
          </cell>
          <cell r="Q262" t="str">
            <v xml:space="preserve">PSPA </v>
          </cell>
          <cell r="S262">
            <v>1691050</v>
          </cell>
          <cell r="T262">
            <v>1750000</v>
          </cell>
          <cell r="U262">
            <v>24600</v>
          </cell>
          <cell r="V262">
            <v>64350</v>
          </cell>
          <cell r="W262">
            <v>1661050</v>
          </cell>
          <cell r="X262">
            <v>0</v>
          </cell>
          <cell r="Y262">
            <v>1750000</v>
          </cell>
          <cell r="AA262">
            <v>45964</v>
          </cell>
          <cell r="AC262" t="str">
            <v>Ana Damásio</v>
          </cell>
          <cell r="AJ262" t="str">
            <v>Springs - At the Els</v>
          </cell>
        </row>
        <row r="263">
          <cell r="A263" t="str">
            <v>THE NINE</v>
          </cell>
          <cell r="C263" t="str">
            <v>V</v>
          </cell>
          <cell r="E263" t="str">
            <v>T2</v>
          </cell>
          <cell r="F263">
            <v>117</v>
          </cell>
          <cell r="Q263" t="str">
            <v xml:space="preserve">DEED </v>
          </cell>
          <cell r="S263">
            <v>550000</v>
          </cell>
          <cell r="T263">
            <v>580000</v>
          </cell>
          <cell r="W263">
            <v>580000</v>
          </cell>
          <cell r="X263">
            <v>0</v>
          </cell>
          <cell r="Y263">
            <v>580000</v>
          </cell>
          <cell r="AA263">
            <v>45414</v>
          </cell>
          <cell r="AC263" t="str">
            <v>Ana Damásio</v>
          </cell>
          <cell r="AJ263" t="str">
            <v>The Nine</v>
          </cell>
        </row>
        <row r="264">
          <cell r="A264" t="str">
            <v>VM PARQUE</v>
          </cell>
          <cell r="C264" t="str">
            <v>V</v>
          </cell>
          <cell r="E264" t="str">
            <v>V2</v>
          </cell>
          <cell r="F264">
            <v>152.87280000000001</v>
          </cell>
          <cell r="Q264" t="str">
            <v xml:space="preserve">DEED </v>
          </cell>
          <cell r="S264">
            <v>913837</v>
          </cell>
          <cell r="T264">
            <v>960000</v>
          </cell>
          <cell r="W264">
            <v>960000</v>
          </cell>
          <cell r="X264">
            <v>0</v>
          </cell>
          <cell r="Y264">
            <v>960000</v>
          </cell>
          <cell r="AA264">
            <v>45090</v>
          </cell>
          <cell r="AJ264" t="str">
            <v>VM PARQUE</v>
          </cell>
        </row>
        <row r="265">
          <cell r="A265" t="str">
            <v>TERRACOTA</v>
          </cell>
          <cell r="C265" t="str">
            <v>W</v>
          </cell>
          <cell r="E265" t="str">
            <v>T3</v>
          </cell>
          <cell r="F265">
            <v>130.91999999999999</v>
          </cell>
          <cell r="Q265" t="str">
            <v xml:space="preserve">PSPA </v>
          </cell>
          <cell r="S265">
            <v>660000</v>
          </cell>
          <cell r="T265">
            <v>660000</v>
          </cell>
          <cell r="W265">
            <v>660000</v>
          </cell>
          <cell r="X265">
            <v>0</v>
          </cell>
          <cell r="Y265">
            <v>660000</v>
          </cell>
          <cell r="AA265">
            <v>45954</v>
          </cell>
          <cell r="AC265" t="str">
            <v>Ana Damásio</v>
          </cell>
          <cell r="AJ265" t="str">
            <v>Terracota</v>
          </cell>
        </row>
        <row r="266">
          <cell r="A266" t="str">
            <v>Rivus</v>
          </cell>
          <cell r="C266" t="str">
            <v>X</v>
          </cell>
          <cell r="E266" t="str">
            <v>T3</v>
          </cell>
          <cell r="Q266" t="str">
            <v xml:space="preserve">PSPA </v>
          </cell>
          <cell r="S266">
            <v>1000000</v>
          </cell>
          <cell r="T266">
            <v>1000000</v>
          </cell>
          <cell r="W266">
            <v>1000000</v>
          </cell>
          <cell r="X266">
            <v>0</v>
          </cell>
          <cell r="Y266">
            <v>1000000</v>
          </cell>
          <cell r="AA266">
            <v>46185</v>
          </cell>
          <cell r="AC266" t="str">
            <v>Ana Damásio</v>
          </cell>
          <cell r="AJ266" t="str">
            <v>Rivus</v>
          </cell>
        </row>
        <row r="267">
          <cell r="A267" t="str">
            <v>VM PARQUE</v>
          </cell>
          <cell r="C267" t="str">
            <v>W</v>
          </cell>
          <cell r="E267" t="str">
            <v>V2</v>
          </cell>
          <cell r="F267">
            <v>152.87280000000001</v>
          </cell>
          <cell r="Q267" t="str">
            <v xml:space="preserve">DEED </v>
          </cell>
          <cell r="S267">
            <v>913837</v>
          </cell>
          <cell r="T267">
            <v>960000</v>
          </cell>
          <cell r="W267">
            <v>960000</v>
          </cell>
          <cell r="X267">
            <v>0</v>
          </cell>
          <cell r="Y267">
            <v>960000</v>
          </cell>
          <cell r="AA267">
            <v>45068</v>
          </cell>
          <cell r="AJ267" t="str">
            <v>VM PARQUE</v>
          </cell>
        </row>
        <row r="268">
          <cell r="A268" t="str">
            <v>SPRINGS</v>
          </cell>
          <cell r="C268" t="str">
            <v>X</v>
          </cell>
          <cell r="E268" t="str">
            <v>V3</v>
          </cell>
          <cell r="F268">
            <v>323.58999999999997</v>
          </cell>
          <cell r="Q268" t="str">
            <v xml:space="preserve">PSPA </v>
          </cell>
          <cell r="S268">
            <v>1741050</v>
          </cell>
          <cell r="T268">
            <v>1800000</v>
          </cell>
          <cell r="U268">
            <v>24600</v>
          </cell>
          <cell r="V268">
            <v>64350</v>
          </cell>
          <cell r="W268">
            <v>1711050</v>
          </cell>
          <cell r="X268">
            <v>0</v>
          </cell>
          <cell r="Y268">
            <v>1800000</v>
          </cell>
          <cell r="AA268">
            <v>46014</v>
          </cell>
          <cell r="AC268" t="str">
            <v>Ana Damásio</v>
          </cell>
          <cell r="AJ268" t="str">
            <v>Springs - At the Els</v>
          </cell>
        </row>
        <row r="269">
          <cell r="A269" t="str">
            <v>TERRACOTA</v>
          </cell>
          <cell r="C269" t="str">
            <v>X</v>
          </cell>
          <cell r="E269" t="str">
            <v>T3</v>
          </cell>
          <cell r="F269">
            <v>130.91999999999999</v>
          </cell>
          <cell r="Q269" t="str">
            <v xml:space="preserve">PSPA </v>
          </cell>
          <cell r="S269">
            <v>660000</v>
          </cell>
          <cell r="T269">
            <v>660000</v>
          </cell>
          <cell r="W269">
            <v>660000</v>
          </cell>
          <cell r="X269">
            <v>0</v>
          </cell>
          <cell r="Y269">
            <v>660000</v>
          </cell>
          <cell r="AA269">
            <v>45604</v>
          </cell>
          <cell r="AC269" t="str">
            <v>Ana Damásio</v>
          </cell>
          <cell r="AJ269" t="str">
            <v>Terracota</v>
          </cell>
        </row>
        <row r="270">
          <cell r="A270" t="str">
            <v>NOBILUS</v>
          </cell>
          <cell r="C270" t="str">
            <v>Y</v>
          </cell>
          <cell r="E270" t="str">
            <v>T3</v>
          </cell>
          <cell r="F270">
            <v>150.91</v>
          </cell>
          <cell r="Q270" t="str">
            <v xml:space="preserve">PSPA </v>
          </cell>
          <cell r="S270">
            <v>1280000</v>
          </cell>
          <cell r="T270">
            <v>1216000</v>
          </cell>
          <cell r="W270">
            <v>1216000</v>
          </cell>
          <cell r="X270">
            <v>0</v>
          </cell>
          <cell r="Y270">
            <v>1216000</v>
          </cell>
          <cell r="AA270">
            <v>45701</v>
          </cell>
          <cell r="AC270" t="str">
            <v>Ana Damásio</v>
          </cell>
          <cell r="AJ270" t="str">
            <v>Nobilus</v>
          </cell>
        </row>
        <row r="271">
          <cell r="A271" t="str">
            <v>VM PARQUE</v>
          </cell>
          <cell r="C271" t="str">
            <v>X</v>
          </cell>
          <cell r="E271" t="str">
            <v>V2</v>
          </cell>
          <cell r="F271">
            <v>152.87280000000001</v>
          </cell>
          <cell r="Q271" t="str">
            <v xml:space="preserve">DEED </v>
          </cell>
          <cell r="S271">
            <v>913837</v>
          </cell>
          <cell r="T271">
            <v>960000</v>
          </cell>
          <cell r="W271">
            <v>960000</v>
          </cell>
          <cell r="X271">
            <v>0</v>
          </cell>
          <cell r="Y271">
            <v>960000</v>
          </cell>
          <cell r="AA271">
            <v>45091</v>
          </cell>
          <cell r="AJ271" t="str">
            <v>VM PARQUE</v>
          </cell>
        </row>
        <row r="272">
          <cell r="A272" t="str">
            <v>TERRACOTA</v>
          </cell>
          <cell r="C272" t="str">
            <v>Y</v>
          </cell>
          <cell r="E272" t="str">
            <v>T3</v>
          </cell>
          <cell r="F272">
            <v>130.91999999999999</v>
          </cell>
          <cell r="Q272" t="str">
            <v xml:space="preserve">PSPA </v>
          </cell>
          <cell r="S272">
            <v>660000</v>
          </cell>
          <cell r="T272">
            <v>627000</v>
          </cell>
          <cell r="W272">
            <v>627000</v>
          </cell>
          <cell r="X272">
            <v>0</v>
          </cell>
          <cell r="Y272">
            <v>627000</v>
          </cell>
          <cell r="AA272">
            <v>45546</v>
          </cell>
          <cell r="AC272" t="str">
            <v>Ana Damásio</v>
          </cell>
          <cell r="AJ272" t="str">
            <v>Terracota</v>
          </cell>
        </row>
        <row r="273">
          <cell r="A273" t="str">
            <v>TERRACOTA</v>
          </cell>
          <cell r="C273" t="str">
            <v>Z</v>
          </cell>
          <cell r="E273" t="str">
            <v>T2</v>
          </cell>
          <cell r="F273">
            <v>104.7</v>
          </cell>
          <cell r="Q273" t="str">
            <v xml:space="preserve">PSPA </v>
          </cell>
          <cell r="S273">
            <v>570000</v>
          </cell>
          <cell r="T273">
            <v>541500</v>
          </cell>
          <cell r="W273">
            <v>541500</v>
          </cell>
          <cell r="X273">
            <v>0</v>
          </cell>
          <cell r="Y273">
            <v>541500</v>
          </cell>
          <cell r="AA273">
            <v>45574</v>
          </cell>
          <cell r="AC273" t="str">
            <v>Ana Damásio</v>
          </cell>
          <cell r="AJ273" t="str">
            <v>Terracota</v>
          </cell>
        </row>
        <row r="274">
          <cell r="A274" t="str">
            <v>THE NINE</v>
          </cell>
          <cell r="C274" t="str">
            <v>Y</v>
          </cell>
          <cell r="E274" t="str">
            <v>T2</v>
          </cell>
          <cell r="F274">
            <v>117</v>
          </cell>
          <cell r="Q274" t="str">
            <v xml:space="preserve">DEED </v>
          </cell>
          <cell r="S274">
            <v>490000</v>
          </cell>
          <cell r="T274">
            <v>610000</v>
          </cell>
          <cell r="W274">
            <v>610000</v>
          </cell>
          <cell r="X274">
            <v>0</v>
          </cell>
          <cell r="Y274">
            <v>610000</v>
          </cell>
          <cell r="AA274">
            <v>45798</v>
          </cell>
          <cell r="AC274" t="str">
            <v>Ana Damásio</v>
          </cell>
          <cell r="AJ274" t="str">
            <v>The Nine</v>
          </cell>
        </row>
        <row r="275">
          <cell r="A275" t="str">
            <v>VM PARQUE</v>
          </cell>
          <cell r="C275" t="str">
            <v>Y</v>
          </cell>
          <cell r="E275" t="str">
            <v>V2</v>
          </cell>
          <cell r="F275">
            <v>152.87280000000001</v>
          </cell>
          <cell r="Q275" t="str">
            <v xml:space="preserve">DEED </v>
          </cell>
          <cell r="S275">
            <v>913837</v>
          </cell>
          <cell r="T275">
            <v>960000</v>
          </cell>
          <cell r="W275">
            <v>960000</v>
          </cell>
          <cell r="X275">
            <v>0</v>
          </cell>
          <cell r="Y275">
            <v>960000</v>
          </cell>
          <cell r="AA275">
            <v>45091</v>
          </cell>
          <cell r="AJ275" t="str">
            <v>VM PARQUE</v>
          </cell>
        </row>
        <row r="276">
          <cell r="A276" t="str">
            <v>Palmares - Signature Apartments</v>
          </cell>
          <cell r="C276" t="str">
            <v>833B</v>
          </cell>
          <cell r="E276" t="str">
            <v>T2 (T1+1)</v>
          </cell>
          <cell r="F276">
            <v>153.1</v>
          </cell>
          <cell r="Q276" t="str">
            <v xml:space="preserve">PSPA </v>
          </cell>
          <cell r="S276">
            <v>550000</v>
          </cell>
          <cell r="T276">
            <v>1400000</v>
          </cell>
          <cell r="W276">
            <v>1400000</v>
          </cell>
          <cell r="X276">
            <v>0</v>
          </cell>
          <cell r="Y276">
            <v>1400000</v>
          </cell>
          <cell r="AA276">
            <v>46176</v>
          </cell>
          <cell r="AB276">
            <v>46843</v>
          </cell>
          <cell r="AJ276" t="str">
            <v>Palmares</v>
          </cell>
        </row>
        <row r="277">
          <cell r="A277" t="str">
            <v>THE NINE</v>
          </cell>
          <cell r="C277" t="str">
            <v>Z</v>
          </cell>
          <cell r="E277" t="str">
            <v>T2</v>
          </cell>
          <cell r="F277">
            <v>117</v>
          </cell>
          <cell r="Q277" t="str">
            <v xml:space="preserve">DEED </v>
          </cell>
          <cell r="S277">
            <v>490000</v>
          </cell>
          <cell r="T277">
            <v>490000</v>
          </cell>
          <cell r="W277">
            <v>490000</v>
          </cell>
          <cell r="X277">
            <v>0</v>
          </cell>
          <cell r="Y277">
            <v>490000</v>
          </cell>
          <cell r="AA277">
            <v>45036</v>
          </cell>
          <cell r="AC277" t="str">
            <v>Ana Damásio</v>
          </cell>
          <cell r="AJ277" t="str">
            <v>The Nine</v>
          </cell>
        </row>
        <row r="278">
          <cell r="A278" t="str">
            <v>VM PARQUE</v>
          </cell>
          <cell r="C278" t="str">
            <v>Z</v>
          </cell>
          <cell r="E278" t="str">
            <v>V2</v>
          </cell>
          <cell r="F278">
            <v>156.83949999999999</v>
          </cell>
          <cell r="Q278" t="str">
            <v xml:space="preserve">DEED </v>
          </cell>
          <cell r="S278">
            <v>925768</v>
          </cell>
          <cell r="T278">
            <v>992000</v>
          </cell>
          <cell r="W278">
            <v>992000</v>
          </cell>
          <cell r="X278">
            <v>0</v>
          </cell>
          <cell r="Y278">
            <v>992000</v>
          </cell>
          <cell r="AA278">
            <v>45092</v>
          </cell>
          <cell r="AJ278" t="str">
            <v>VM PARQUE</v>
          </cell>
        </row>
        <row r="279">
          <cell r="A279" t="str">
            <v>VP - TOWNHOUSES</v>
          </cell>
          <cell r="C279" t="str">
            <v>2D</v>
          </cell>
          <cell r="E279" t="str">
            <v>V4</v>
          </cell>
          <cell r="F279">
            <v>365.67</v>
          </cell>
          <cell r="Q279" t="str">
            <v>AVAILABLE</v>
          </cell>
          <cell r="S279">
            <v>1060000</v>
          </cell>
          <cell r="T279">
            <v>1090000</v>
          </cell>
          <cell r="W279">
            <v>1090000</v>
          </cell>
          <cell r="X279">
            <v>0</v>
          </cell>
          <cell r="Y279">
            <v>1090000</v>
          </cell>
          <cell r="AA279">
            <v>46185</v>
          </cell>
          <cell r="AB279">
            <v>47208</v>
          </cell>
          <cell r="AC279" t="str">
            <v>João Gameiro</v>
          </cell>
          <cell r="AJ279" t="str">
            <v>Vale Pisão Grand Park</v>
          </cell>
        </row>
        <row r="280">
          <cell r="A280" t="str">
            <v>Aroeira - HOTEL APARTMENTS</v>
          </cell>
          <cell r="C280" t="str">
            <v>119A</v>
          </cell>
          <cell r="E280" t="str">
            <v>1-BR</v>
          </cell>
          <cell r="F280">
            <v>65</v>
          </cell>
          <cell r="Q280" t="str">
            <v xml:space="preserve">PSPA </v>
          </cell>
          <cell r="S280">
            <v>430000</v>
          </cell>
          <cell r="T280">
            <v>430000</v>
          </cell>
          <cell r="V280">
            <v>35000</v>
          </cell>
          <cell r="W280">
            <v>395000</v>
          </cell>
          <cell r="X280">
            <v>0</v>
          </cell>
          <cell r="Y280">
            <v>430000</v>
          </cell>
          <cell r="AA280">
            <v>46122</v>
          </cell>
          <cell r="AB280">
            <v>47118</v>
          </cell>
          <cell r="AC280" t="str">
            <v>João Gameiro</v>
          </cell>
          <cell r="AJ280" t="str">
            <v>Aroeira Collections</v>
          </cell>
        </row>
        <row r="281">
          <cell r="A281" t="str">
            <v>Aroeira - APARTMENTS</v>
          </cell>
          <cell r="C281" t="str">
            <v>120B</v>
          </cell>
          <cell r="E281" t="str">
            <v>2-BR</v>
          </cell>
          <cell r="F281">
            <v>262.92</v>
          </cell>
          <cell r="Q281" t="str">
            <v xml:space="preserve">PSPA </v>
          </cell>
          <cell r="S281">
            <v>895000</v>
          </cell>
          <cell r="T281">
            <v>940000</v>
          </cell>
          <cell r="V281">
            <v>45000</v>
          </cell>
          <cell r="W281">
            <v>895000</v>
          </cell>
          <cell r="X281">
            <v>0</v>
          </cell>
          <cell r="Y281">
            <v>940000</v>
          </cell>
          <cell r="AA281">
            <v>45922</v>
          </cell>
          <cell r="AB281">
            <v>47118</v>
          </cell>
          <cell r="AC281" t="str">
            <v>João Gameiro</v>
          </cell>
          <cell r="AJ281" t="str">
            <v>Aroeira Collections</v>
          </cell>
        </row>
        <row r="282">
          <cell r="A282" t="str">
            <v>TERRACOTA</v>
          </cell>
          <cell r="C282" t="str">
            <v>BI</v>
          </cell>
          <cell r="E282" t="str">
            <v>T3</v>
          </cell>
          <cell r="F282">
            <v>130.91999999999999</v>
          </cell>
          <cell r="Q282" t="str">
            <v>PRE-RESERVED</v>
          </cell>
          <cell r="S282">
            <v>750000</v>
          </cell>
          <cell r="T282">
            <v>750000</v>
          </cell>
          <cell r="W282">
            <v>750000</v>
          </cell>
          <cell r="X282">
            <v>0</v>
          </cell>
          <cell r="Y282">
            <v>750000</v>
          </cell>
          <cell r="AA282">
            <v>45781</v>
          </cell>
          <cell r="AC282" t="str">
            <v>Ana Damásio</v>
          </cell>
          <cell r="AJ282" t="str">
            <v>Terracota</v>
          </cell>
        </row>
        <row r="283">
          <cell r="A283" t="str">
            <v>TERRACOTA</v>
          </cell>
          <cell r="C283" t="str">
            <v>BZ</v>
          </cell>
          <cell r="E283" t="str">
            <v>T3</v>
          </cell>
          <cell r="F283">
            <v>130.91999999999999</v>
          </cell>
          <cell r="Q283" t="str">
            <v>RESERVED</v>
          </cell>
          <cell r="S283">
            <v>660000</v>
          </cell>
          <cell r="T283">
            <v>680000</v>
          </cell>
          <cell r="W283">
            <v>680000</v>
          </cell>
          <cell r="X283">
            <v>0</v>
          </cell>
          <cell r="Y283">
            <v>680000</v>
          </cell>
          <cell r="AA283">
            <v>46190</v>
          </cell>
          <cell r="AC283" t="str">
            <v>Ana Damásio</v>
          </cell>
          <cell r="AJ283" t="str">
            <v>Terracota</v>
          </cell>
        </row>
        <row r="284">
          <cell r="A284" t="str">
            <v>NATURA VILLAGE 9</v>
          </cell>
          <cell r="C284" t="str">
            <v>C</v>
          </cell>
          <cell r="E284" t="str">
            <v>V3</v>
          </cell>
          <cell r="F284">
            <v>183.29</v>
          </cell>
          <cell r="Q284" t="str">
            <v>PRE-RESERVED</v>
          </cell>
          <cell r="S284">
            <v>1290000</v>
          </cell>
          <cell r="T284">
            <v>1290000</v>
          </cell>
          <cell r="W284">
            <v>1290000</v>
          </cell>
          <cell r="X284">
            <v>0</v>
          </cell>
          <cell r="Y284">
            <v>1290000</v>
          </cell>
          <cell r="AA284">
            <v>46132</v>
          </cell>
          <cell r="AC284" t="str">
            <v>Ana Damásio</v>
          </cell>
          <cell r="AJ284" t="str">
            <v>Natura Village</v>
          </cell>
        </row>
        <row r="285">
          <cell r="A285" t="str">
            <v>Palmares - Signature Apartments</v>
          </cell>
          <cell r="C285" t="str">
            <v>834B</v>
          </cell>
          <cell r="E285" t="str">
            <v>T2 (T1+1)</v>
          </cell>
          <cell r="F285">
            <v>152.85</v>
          </cell>
          <cell r="Q285" t="str">
            <v xml:space="preserve">PSPA </v>
          </cell>
          <cell r="S285">
            <v>550000</v>
          </cell>
          <cell r="T285">
            <v>812250</v>
          </cell>
          <cell r="W285">
            <v>812250</v>
          </cell>
          <cell r="X285">
            <v>0</v>
          </cell>
          <cell r="Y285">
            <v>812250</v>
          </cell>
          <cell r="AA285">
            <v>45111</v>
          </cell>
          <cell r="AB285">
            <v>46843</v>
          </cell>
          <cell r="AJ285" t="str">
            <v>Palmares</v>
          </cell>
        </row>
        <row r="286">
          <cell r="A286" t="str">
            <v>Palmares - Signature Apartments</v>
          </cell>
          <cell r="C286" t="str">
            <v>842C</v>
          </cell>
          <cell r="E286" t="str">
            <v>T2</v>
          </cell>
          <cell r="F286">
            <v>144.15</v>
          </cell>
          <cell r="Q286" t="str">
            <v xml:space="preserve">PSPA </v>
          </cell>
          <cell r="S286">
            <v>710000</v>
          </cell>
          <cell r="T286">
            <v>950000</v>
          </cell>
          <cell r="W286">
            <v>950000</v>
          </cell>
          <cell r="X286">
            <v>0</v>
          </cell>
          <cell r="Y286">
            <v>950000</v>
          </cell>
          <cell r="AA286">
            <v>45784</v>
          </cell>
          <cell r="AB286">
            <v>46843</v>
          </cell>
          <cell r="AJ286" t="str">
            <v>Palmares</v>
          </cell>
        </row>
        <row r="287">
          <cell r="A287" t="str">
            <v>Palmares - Signature Apartments</v>
          </cell>
          <cell r="C287" t="str">
            <v>844C</v>
          </cell>
          <cell r="E287" t="str">
            <v>T2</v>
          </cell>
          <cell r="F287">
            <v>144.94999999999999</v>
          </cell>
          <cell r="Q287" t="str">
            <v xml:space="preserve">PSPA </v>
          </cell>
          <cell r="S287">
            <v>540000</v>
          </cell>
          <cell r="T287">
            <v>850000</v>
          </cell>
          <cell r="W287">
            <v>850000</v>
          </cell>
          <cell r="X287">
            <v>0</v>
          </cell>
          <cell r="Y287">
            <v>850000</v>
          </cell>
          <cell r="AA287">
            <v>45099</v>
          </cell>
          <cell r="AB287">
            <v>46843</v>
          </cell>
          <cell r="AJ287" t="str">
            <v>Palmares</v>
          </cell>
        </row>
        <row r="288">
          <cell r="A288" t="str">
            <v>Aroeira - HOTEL APARTMENTS</v>
          </cell>
          <cell r="C288" t="str">
            <v>135A</v>
          </cell>
          <cell r="E288" t="str">
            <v>1-BR</v>
          </cell>
          <cell r="F288">
            <v>56.5</v>
          </cell>
          <cell r="Q288" t="str">
            <v xml:space="preserve">PSPA </v>
          </cell>
          <cell r="S288">
            <v>2700000</v>
          </cell>
          <cell r="T288">
            <v>370000</v>
          </cell>
          <cell r="V288">
            <v>35000</v>
          </cell>
          <cell r="W288">
            <v>335000</v>
          </cell>
          <cell r="X288">
            <v>0</v>
          </cell>
          <cell r="Y288">
            <v>370000</v>
          </cell>
          <cell r="AA288">
            <v>46093</v>
          </cell>
          <cell r="AB288">
            <v>47118</v>
          </cell>
          <cell r="AC288" t="str">
            <v>João Gameiro</v>
          </cell>
          <cell r="AJ288" t="str">
            <v>Aroeira Collections</v>
          </cell>
        </row>
        <row r="289">
          <cell r="A289" t="str">
            <v>Aroeira - HOTEL APARTMENTS</v>
          </cell>
          <cell r="C289" t="str">
            <v>136A</v>
          </cell>
          <cell r="E289" t="str">
            <v>1-BR</v>
          </cell>
          <cell r="F289">
            <v>56.5</v>
          </cell>
          <cell r="Q289" t="str">
            <v xml:space="preserve">PSPA </v>
          </cell>
          <cell r="S289">
            <v>2750000</v>
          </cell>
          <cell r="T289">
            <v>370000</v>
          </cell>
          <cell r="V289">
            <v>35000</v>
          </cell>
          <cell r="W289">
            <v>335000</v>
          </cell>
          <cell r="X289">
            <v>0</v>
          </cell>
          <cell r="Y289">
            <v>370000</v>
          </cell>
          <cell r="AA289">
            <v>46150</v>
          </cell>
          <cell r="AB289">
            <v>47118</v>
          </cell>
          <cell r="AC289" t="str">
            <v>João Gameiro</v>
          </cell>
          <cell r="AJ289" t="str">
            <v>Aroeira Collections</v>
          </cell>
        </row>
        <row r="290">
          <cell r="A290" t="str">
            <v>Aroeira - HOTEL APARTMENTS</v>
          </cell>
          <cell r="C290" t="str">
            <v>145A</v>
          </cell>
          <cell r="E290" t="str">
            <v>1-BR</v>
          </cell>
          <cell r="F290">
            <v>56.5</v>
          </cell>
          <cell r="Q290" t="str">
            <v xml:space="preserve">PSPA </v>
          </cell>
          <cell r="S290">
            <v>3650000</v>
          </cell>
          <cell r="T290">
            <v>370000</v>
          </cell>
          <cell r="V290">
            <v>35000</v>
          </cell>
          <cell r="W290">
            <v>335000</v>
          </cell>
          <cell r="X290">
            <v>0</v>
          </cell>
          <cell r="Y290">
            <v>370000</v>
          </cell>
          <cell r="AA290">
            <v>46093</v>
          </cell>
          <cell r="AB290">
            <v>47118</v>
          </cell>
          <cell r="AC290" t="str">
            <v>João Gameiro</v>
          </cell>
          <cell r="AJ290" t="str">
            <v>Aroeira Collections</v>
          </cell>
        </row>
        <row r="291">
          <cell r="A291" t="str">
            <v>Aroeira - HOTEL APARTMENTS</v>
          </cell>
          <cell r="C291" t="str">
            <v>146A</v>
          </cell>
          <cell r="E291" t="str">
            <v>1-BR</v>
          </cell>
          <cell r="F291">
            <v>56.5</v>
          </cell>
          <cell r="Q291" t="str">
            <v xml:space="preserve">PSPA </v>
          </cell>
          <cell r="S291">
            <v>3650000</v>
          </cell>
          <cell r="T291">
            <v>370000</v>
          </cell>
          <cell r="V291">
            <v>35000</v>
          </cell>
          <cell r="W291">
            <v>335000</v>
          </cell>
          <cell r="X291">
            <v>0</v>
          </cell>
          <cell r="Y291">
            <v>370000</v>
          </cell>
          <cell r="AA291">
            <v>46161</v>
          </cell>
          <cell r="AB291">
            <v>47118</v>
          </cell>
          <cell r="AC291" t="str">
            <v>João Gameiro</v>
          </cell>
          <cell r="AJ291" t="str">
            <v>Aroeira Collections</v>
          </cell>
        </row>
        <row r="292">
          <cell r="A292" t="str">
            <v>NATURA VILLAGE 4</v>
          </cell>
          <cell r="C292" t="str">
            <v>H</v>
          </cell>
          <cell r="E292" t="str">
            <v>V2</v>
          </cell>
          <cell r="F292">
            <v>149.33000000000001</v>
          </cell>
          <cell r="Q292" t="str">
            <v>PRE-RESERVED</v>
          </cell>
          <cell r="S292">
            <v>820000</v>
          </cell>
          <cell r="T292">
            <v>820000</v>
          </cell>
          <cell r="W292">
            <v>820000</v>
          </cell>
          <cell r="X292">
            <v>0</v>
          </cell>
          <cell r="Y292">
            <v>820000</v>
          </cell>
          <cell r="AA292">
            <v>46165</v>
          </cell>
          <cell r="AC292" t="str">
            <v>Ana Damásio</v>
          </cell>
          <cell r="AJ292" t="str">
            <v>Natura Village</v>
          </cell>
        </row>
        <row r="293">
          <cell r="A293" t="str">
            <v>NATURA VILLAGE 9</v>
          </cell>
          <cell r="C293" t="str">
            <v>I</v>
          </cell>
          <cell r="E293" t="str">
            <v>V3</v>
          </cell>
          <cell r="F293">
            <v>183.29</v>
          </cell>
          <cell r="Q293" t="str">
            <v>RESERVED</v>
          </cell>
          <cell r="S293">
            <v>1220000</v>
          </cell>
          <cell r="T293">
            <v>1220000</v>
          </cell>
          <cell r="W293">
            <v>1220000</v>
          </cell>
          <cell r="X293">
            <v>0</v>
          </cell>
          <cell r="Y293">
            <v>1220000</v>
          </cell>
          <cell r="AA293">
            <v>46163</v>
          </cell>
          <cell r="AC293" t="str">
            <v>Ana Damásio</v>
          </cell>
          <cell r="AJ293" t="str">
            <v>Natura Village</v>
          </cell>
        </row>
        <row r="294">
          <cell r="A294" t="str">
            <v>Aroeira - HOUSES</v>
          </cell>
          <cell r="C294" t="str">
            <v>15B</v>
          </cell>
          <cell r="E294" t="str">
            <v>T2</v>
          </cell>
          <cell r="F294">
            <v>195.8</v>
          </cell>
          <cell r="Q294" t="str">
            <v xml:space="preserve">PSPA </v>
          </cell>
          <cell r="S294">
            <v>1080000</v>
          </cell>
          <cell r="T294">
            <v>1100000</v>
          </cell>
          <cell r="V294">
            <v>0</v>
          </cell>
          <cell r="W294">
            <v>1100000</v>
          </cell>
          <cell r="X294">
            <v>0</v>
          </cell>
          <cell r="Y294">
            <v>1100000</v>
          </cell>
          <cell r="AA294">
            <v>46038</v>
          </cell>
          <cell r="AB294">
            <v>47118</v>
          </cell>
          <cell r="AC294" t="str">
            <v>João Gameiro</v>
          </cell>
          <cell r="AJ294" t="str">
            <v>Aroeira Collections</v>
          </cell>
        </row>
        <row r="295">
          <cell r="A295" t="str">
            <v>Aroeira - HOUSES</v>
          </cell>
          <cell r="C295" t="str">
            <v>19B</v>
          </cell>
          <cell r="E295" t="str">
            <v>T2</v>
          </cell>
          <cell r="F295">
            <v>169</v>
          </cell>
          <cell r="Q295" t="str">
            <v xml:space="preserve">PSPA </v>
          </cell>
          <cell r="S295">
            <v>925000</v>
          </cell>
          <cell r="T295">
            <v>925000</v>
          </cell>
          <cell r="V295">
            <v>0</v>
          </cell>
          <cell r="W295">
            <v>925000</v>
          </cell>
          <cell r="X295">
            <v>0</v>
          </cell>
          <cell r="Y295">
            <v>925000</v>
          </cell>
          <cell r="AA295">
            <v>46020</v>
          </cell>
          <cell r="AB295">
            <v>47118</v>
          </cell>
          <cell r="AC295" t="str">
            <v>João Gameiro</v>
          </cell>
          <cell r="AJ295" t="str">
            <v>Aroeira Collections</v>
          </cell>
        </row>
        <row r="296">
          <cell r="A296" t="str">
            <v>Aroeira - HOTEL APARTMENTS</v>
          </cell>
          <cell r="C296" t="str">
            <v>210A</v>
          </cell>
          <cell r="E296" t="str">
            <v>1-BR</v>
          </cell>
          <cell r="F296">
            <v>72.5</v>
          </cell>
          <cell r="Q296" t="str">
            <v xml:space="preserve">PSPA </v>
          </cell>
          <cell r="S296">
            <v>480000</v>
          </cell>
          <cell r="T296">
            <v>480000</v>
          </cell>
          <cell r="V296">
            <v>35000</v>
          </cell>
          <cell r="W296">
            <v>445000</v>
          </cell>
          <cell r="X296">
            <v>0</v>
          </cell>
          <cell r="Y296">
            <v>480000</v>
          </cell>
          <cell r="AA296">
            <v>45931</v>
          </cell>
          <cell r="AB296">
            <v>47118</v>
          </cell>
          <cell r="AC296" t="str">
            <v>João Gameiro</v>
          </cell>
          <cell r="AJ296" t="str">
            <v>Aroeira Collections</v>
          </cell>
        </row>
        <row r="297">
          <cell r="A297" t="str">
            <v>Aroeira - HOTEL APARTMENTS</v>
          </cell>
          <cell r="C297" t="str">
            <v>217A</v>
          </cell>
          <cell r="E297" t="str">
            <v>1-BR</v>
          </cell>
          <cell r="F297">
            <v>65</v>
          </cell>
          <cell r="Q297" t="str">
            <v xml:space="preserve">PSPA </v>
          </cell>
          <cell r="S297">
            <v>450000</v>
          </cell>
          <cell r="T297">
            <v>450000</v>
          </cell>
          <cell r="V297">
            <v>35000</v>
          </cell>
          <cell r="W297">
            <v>415000</v>
          </cell>
          <cell r="X297">
            <v>0</v>
          </cell>
          <cell r="Y297">
            <v>450000</v>
          </cell>
          <cell r="AA297">
            <v>46142</v>
          </cell>
          <cell r="AB297">
            <v>47118</v>
          </cell>
          <cell r="AC297" t="str">
            <v>João Gameiro</v>
          </cell>
          <cell r="AJ297" t="str">
            <v>Aroeira Collections</v>
          </cell>
        </row>
        <row r="298">
          <cell r="A298" t="str">
            <v>Aroeira - APARTMENTS</v>
          </cell>
          <cell r="C298" t="str">
            <v>217C</v>
          </cell>
          <cell r="E298" t="str">
            <v>3-BR</v>
          </cell>
          <cell r="F298">
            <v>146.5</v>
          </cell>
          <cell r="Q298" t="str">
            <v xml:space="preserve">PSPA </v>
          </cell>
          <cell r="S298">
            <v>935000</v>
          </cell>
          <cell r="T298">
            <v>935000</v>
          </cell>
          <cell r="V298">
            <v>50000</v>
          </cell>
          <cell r="W298">
            <v>885000</v>
          </cell>
          <cell r="X298">
            <v>0</v>
          </cell>
          <cell r="Y298">
            <v>935000</v>
          </cell>
          <cell r="AA298">
            <v>45971</v>
          </cell>
          <cell r="AB298">
            <v>47118</v>
          </cell>
          <cell r="AC298" t="str">
            <v>João Gameiro</v>
          </cell>
          <cell r="AJ298" t="str">
            <v>Aroeira Collections</v>
          </cell>
        </row>
        <row r="299">
          <cell r="A299" t="str">
            <v>BOTÂNICA</v>
          </cell>
          <cell r="C299" t="str">
            <v>K</v>
          </cell>
          <cell r="E299" t="str">
            <v>T2</v>
          </cell>
          <cell r="F299">
            <v>701.9</v>
          </cell>
          <cell r="Q299" t="str">
            <v>RESERVED</v>
          </cell>
          <cell r="S299">
            <v>1330910.2949999999</v>
          </cell>
          <cell r="T299">
            <v>1393600</v>
          </cell>
          <cell r="W299">
            <v>1393600</v>
          </cell>
          <cell r="X299">
            <v>0</v>
          </cell>
          <cell r="Y299">
            <v>1393600</v>
          </cell>
          <cell r="AC299" t="str">
            <v>Ana Damásio</v>
          </cell>
          <cell r="AJ299" t="str">
            <v>Botanica</v>
          </cell>
        </row>
        <row r="300">
          <cell r="A300" t="str">
            <v>Aroeira - HOUSES</v>
          </cell>
          <cell r="C300" t="str">
            <v>22B</v>
          </cell>
          <cell r="E300" t="str">
            <v>T2</v>
          </cell>
          <cell r="F300">
            <v>170</v>
          </cell>
          <cell r="Q300" t="str">
            <v xml:space="preserve">PSPA </v>
          </cell>
          <cell r="S300">
            <v>795000</v>
          </cell>
          <cell r="T300">
            <v>795000</v>
          </cell>
          <cell r="V300">
            <v>0</v>
          </cell>
          <cell r="W300">
            <v>795000</v>
          </cell>
          <cell r="X300">
            <v>0</v>
          </cell>
          <cell r="Y300">
            <v>795000</v>
          </cell>
          <cell r="AA300">
            <v>45946</v>
          </cell>
          <cell r="AB300">
            <v>47118</v>
          </cell>
          <cell r="AC300" t="str">
            <v>João Gameiro</v>
          </cell>
          <cell r="AJ300" t="str">
            <v>Aroeira Collections</v>
          </cell>
        </row>
        <row r="301">
          <cell r="A301" t="str">
            <v>Aroeira - HOUSES</v>
          </cell>
          <cell r="C301" t="str">
            <v>24C</v>
          </cell>
          <cell r="E301" t="str">
            <v>T3</v>
          </cell>
          <cell r="F301">
            <v>251.2</v>
          </cell>
          <cell r="Q301" t="str">
            <v xml:space="preserve">PSPA </v>
          </cell>
          <cell r="S301">
            <v>1380000</v>
          </cell>
          <cell r="T301">
            <v>1410000</v>
          </cell>
          <cell r="V301">
            <v>60000</v>
          </cell>
          <cell r="W301">
            <v>1350000</v>
          </cell>
          <cell r="X301">
            <v>0</v>
          </cell>
          <cell r="Y301">
            <v>1410000</v>
          </cell>
          <cell r="AA301">
            <v>46118</v>
          </cell>
          <cell r="AB301">
            <v>47118</v>
          </cell>
          <cell r="AC301" t="str">
            <v>João Gameiro</v>
          </cell>
          <cell r="AJ301" t="str">
            <v>Aroeira Collections</v>
          </cell>
        </row>
        <row r="302">
          <cell r="A302" t="str">
            <v>Aroeira - HOTEL APARTMENTS</v>
          </cell>
          <cell r="C302" t="str">
            <v>324A</v>
          </cell>
          <cell r="E302" t="str">
            <v>1-BR</v>
          </cell>
          <cell r="F302">
            <v>72.5</v>
          </cell>
          <cell r="Q302" t="str">
            <v xml:space="preserve">PSPA </v>
          </cell>
          <cell r="S302">
            <v>500000</v>
          </cell>
          <cell r="T302">
            <v>500000</v>
          </cell>
          <cell r="V302">
            <v>35000</v>
          </cell>
          <cell r="W302">
            <v>465000</v>
          </cell>
          <cell r="X302">
            <v>0</v>
          </cell>
          <cell r="Y302">
            <v>500000</v>
          </cell>
          <cell r="AA302">
            <v>46056</v>
          </cell>
          <cell r="AB302">
            <v>47118</v>
          </cell>
          <cell r="AC302" t="str">
            <v>João Gameiro</v>
          </cell>
          <cell r="AJ302" t="str">
            <v>Aroeira Collections</v>
          </cell>
        </row>
        <row r="303">
          <cell r="A303" t="str">
            <v>Rivus</v>
          </cell>
          <cell r="C303" t="str">
            <v>Q</v>
          </cell>
          <cell r="E303" t="str">
            <v>T2</v>
          </cell>
          <cell r="Q303" t="str">
            <v>RESERVED</v>
          </cell>
          <cell r="S303">
            <v>670000</v>
          </cell>
          <cell r="T303">
            <v>670000</v>
          </cell>
          <cell r="W303">
            <v>670000</v>
          </cell>
          <cell r="X303">
            <v>0</v>
          </cell>
          <cell r="Y303">
            <v>670000</v>
          </cell>
          <cell r="AA303">
            <v>46114</v>
          </cell>
          <cell r="AC303" t="str">
            <v>Ana Damásio</v>
          </cell>
          <cell r="AJ303" t="str">
            <v>Rivus</v>
          </cell>
        </row>
        <row r="304">
          <cell r="A304" t="str">
            <v>Rivus</v>
          </cell>
          <cell r="C304" t="str">
            <v>R</v>
          </cell>
          <cell r="E304" t="str">
            <v>T3</v>
          </cell>
          <cell r="Q304" t="str">
            <v>RESERVED</v>
          </cell>
          <cell r="S304">
            <v>930000</v>
          </cell>
          <cell r="T304">
            <v>930000</v>
          </cell>
          <cell r="W304">
            <v>930000</v>
          </cell>
          <cell r="X304">
            <v>0</v>
          </cell>
          <cell r="Y304">
            <v>930000</v>
          </cell>
          <cell r="AA304">
            <v>46115</v>
          </cell>
          <cell r="AC304" t="str">
            <v>Ana Damásio</v>
          </cell>
          <cell r="AJ304" t="str">
            <v>Rivus</v>
          </cell>
        </row>
        <row r="305">
          <cell r="A305" t="str">
            <v>BOTÂNICA</v>
          </cell>
          <cell r="C305" t="str">
            <v>S</v>
          </cell>
          <cell r="E305" t="str">
            <v>T2</v>
          </cell>
          <cell r="F305">
            <v>146.33000000000001</v>
          </cell>
          <cell r="Q305" t="str">
            <v>PRE-RESERVED</v>
          </cell>
          <cell r="S305">
            <v>901385.49600000004</v>
          </cell>
          <cell r="T305">
            <v>910000</v>
          </cell>
          <cell r="W305">
            <v>910000</v>
          </cell>
          <cell r="X305">
            <v>0</v>
          </cell>
          <cell r="Y305">
            <v>910000</v>
          </cell>
          <cell r="AC305" t="str">
            <v>Ana Damásio</v>
          </cell>
          <cell r="AJ305" t="str">
            <v>Botanica</v>
          </cell>
        </row>
        <row r="306">
          <cell r="A306" t="str">
            <v>Rivus</v>
          </cell>
          <cell r="C306" t="str">
            <v>T</v>
          </cell>
          <cell r="E306" t="str">
            <v>T2</v>
          </cell>
          <cell r="Q306" t="str">
            <v>RESERVED</v>
          </cell>
          <cell r="S306">
            <v>710000</v>
          </cell>
          <cell r="T306">
            <v>710000</v>
          </cell>
          <cell r="W306">
            <v>710000</v>
          </cell>
          <cell r="X306">
            <v>0</v>
          </cell>
          <cell r="Y306">
            <v>710000</v>
          </cell>
          <cell r="AC306" t="str">
            <v>Ana Damásio</v>
          </cell>
          <cell r="AJ306" t="str">
            <v>Rivus</v>
          </cell>
        </row>
        <row r="307">
          <cell r="A307" t="str">
            <v>Rivus</v>
          </cell>
          <cell r="C307" t="str">
            <v>W</v>
          </cell>
          <cell r="E307" t="str">
            <v>T2</v>
          </cell>
          <cell r="Q307" t="str">
            <v>RESERVED</v>
          </cell>
          <cell r="S307">
            <v>700000</v>
          </cell>
          <cell r="T307">
            <v>700000</v>
          </cell>
          <cell r="W307">
            <v>700000</v>
          </cell>
          <cell r="X307">
            <v>0</v>
          </cell>
          <cell r="Y307">
            <v>700000</v>
          </cell>
          <cell r="AA307">
            <v>46156</v>
          </cell>
          <cell r="AC307" t="str">
            <v>Ana Damásio</v>
          </cell>
          <cell r="AJ307" t="str">
            <v>Rivus</v>
          </cell>
        </row>
        <row r="308">
          <cell r="A308" t="str">
            <v>Rivus</v>
          </cell>
          <cell r="C308" t="str">
            <v>Z</v>
          </cell>
          <cell r="E308" t="str">
            <v>T2</v>
          </cell>
          <cell r="Q308" t="str">
            <v>PRE-RESERVED</v>
          </cell>
          <cell r="S308">
            <v>750000</v>
          </cell>
          <cell r="T308">
            <v>750000</v>
          </cell>
          <cell r="W308">
            <v>750000</v>
          </cell>
          <cell r="X308">
            <v>0</v>
          </cell>
          <cell r="Y308">
            <v>750000</v>
          </cell>
          <cell r="AA308">
            <v>46166</v>
          </cell>
          <cell r="AC308" t="str">
            <v>Ana Damásio</v>
          </cell>
          <cell r="AJ308" t="str">
            <v>Rivus</v>
          </cell>
        </row>
        <row r="309">
          <cell r="A309" t="str">
            <v>Aroeira - HOTEL APARTMENTS</v>
          </cell>
          <cell r="C309" t="str">
            <v>121A</v>
          </cell>
          <cell r="E309" t="str">
            <v>1-BR</v>
          </cell>
          <cell r="F309">
            <v>65</v>
          </cell>
          <cell r="Q309" t="str">
            <v>RESERVED</v>
          </cell>
          <cell r="S309">
            <v>430000</v>
          </cell>
          <cell r="T309">
            <v>430000</v>
          </cell>
          <cell r="V309">
            <v>35000</v>
          </cell>
          <cell r="W309">
            <v>395000</v>
          </cell>
          <cell r="X309">
            <v>0</v>
          </cell>
          <cell r="Y309">
            <v>430000</v>
          </cell>
          <cell r="AA309">
            <v>46136</v>
          </cell>
          <cell r="AB309">
            <v>47118</v>
          </cell>
          <cell r="AC309" t="str">
            <v>João Gameiro</v>
          </cell>
          <cell r="AJ309" t="str">
            <v>Aroeira Collections</v>
          </cell>
        </row>
        <row r="310">
          <cell r="A310" t="str">
            <v>Aroeira - HOTEL APARTMENTS</v>
          </cell>
          <cell r="C310" t="str">
            <v>130A</v>
          </cell>
          <cell r="E310" t="str">
            <v>1-BR</v>
          </cell>
          <cell r="F310">
            <v>60.2</v>
          </cell>
          <cell r="Q310" t="str">
            <v>RESERVED</v>
          </cell>
          <cell r="S310">
            <v>1020000</v>
          </cell>
          <cell r="T310">
            <v>410000</v>
          </cell>
          <cell r="V310">
            <v>35000</v>
          </cell>
          <cell r="W310">
            <v>375000</v>
          </cell>
          <cell r="X310">
            <v>0</v>
          </cell>
          <cell r="Y310">
            <v>410000</v>
          </cell>
          <cell r="AA310">
            <v>46120</v>
          </cell>
          <cell r="AB310">
            <v>47118</v>
          </cell>
          <cell r="AC310" t="str">
            <v>João Gameiro</v>
          </cell>
          <cell r="AJ310" t="str">
            <v>Aroeira Collections</v>
          </cell>
        </row>
        <row r="311">
          <cell r="A311" t="str">
            <v>Aroeira - HOTEL APARTMENTS</v>
          </cell>
          <cell r="C311" t="str">
            <v>131A</v>
          </cell>
          <cell r="E311" t="str">
            <v>1-BR</v>
          </cell>
          <cell r="F311">
            <v>60.2</v>
          </cell>
          <cell r="Q311" t="str">
            <v>RESERVED</v>
          </cell>
          <cell r="S311">
            <v>760000</v>
          </cell>
          <cell r="T311">
            <v>410000</v>
          </cell>
          <cell r="V311">
            <v>35000</v>
          </cell>
          <cell r="W311">
            <v>375000</v>
          </cell>
          <cell r="X311">
            <v>0</v>
          </cell>
          <cell r="Y311">
            <v>410000</v>
          </cell>
          <cell r="AA311">
            <v>46112</v>
          </cell>
          <cell r="AB311">
            <v>47118</v>
          </cell>
          <cell r="AC311" t="str">
            <v>João Gameiro</v>
          </cell>
          <cell r="AJ311" t="str">
            <v>Aroeira Collections</v>
          </cell>
        </row>
        <row r="312">
          <cell r="A312" t="str">
            <v>Aroeira - HOTEL APARTMENTS</v>
          </cell>
          <cell r="C312" t="str">
            <v>132A</v>
          </cell>
          <cell r="E312" t="str">
            <v>1-BR</v>
          </cell>
          <cell r="F312">
            <v>60.2</v>
          </cell>
          <cell r="Q312" t="str">
            <v>RESERVED</v>
          </cell>
          <cell r="S312">
            <v>800000</v>
          </cell>
          <cell r="T312">
            <v>410000</v>
          </cell>
          <cell r="V312">
            <v>35000</v>
          </cell>
          <cell r="W312">
            <v>375000</v>
          </cell>
          <cell r="X312">
            <v>0</v>
          </cell>
          <cell r="Y312">
            <v>410000</v>
          </cell>
          <cell r="AA312">
            <v>46112</v>
          </cell>
          <cell r="AB312">
            <v>47118</v>
          </cell>
          <cell r="AC312" t="str">
            <v>João Gameiro</v>
          </cell>
          <cell r="AJ312" t="str">
            <v>Aroeira Collections</v>
          </cell>
        </row>
        <row r="313">
          <cell r="A313" t="str">
            <v>Aroeira - HOTEL APARTMENTS</v>
          </cell>
          <cell r="C313" t="str">
            <v>133A</v>
          </cell>
          <cell r="E313" t="str">
            <v>1-BR</v>
          </cell>
          <cell r="F313">
            <v>60.2</v>
          </cell>
          <cell r="Q313" t="str">
            <v>RESERVED</v>
          </cell>
          <cell r="S313">
            <v>920000</v>
          </cell>
          <cell r="T313">
            <v>410000</v>
          </cell>
          <cell r="V313">
            <v>35000</v>
          </cell>
          <cell r="W313">
            <v>375000</v>
          </cell>
          <cell r="X313">
            <v>0</v>
          </cell>
          <cell r="Y313">
            <v>410000</v>
          </cell>
          <cell r="AA313">
            <v>46146</v>
          </cell>
          <cell r="AB313">
            <v>47118</v>
          </cell>
          <cell r="AC313" t="str">
            <v>João Gameiro</v>
          </cell>
          <cell r="AJ313" t="str">
            <v>Aroeira Collections</v>
          </cell>
        </row>
        <row r="314">
          <cell r="A314" t="str">
            <v>Aroeira - HOTEL APARTMENTS</v>
          </cell>
          <cell r="C314" t="str">
            <v>139A</v>
          </cell>
          <cell r="E314" t="str">
            <v>1-BR</v>
          </cell>
          <cell r="F314">
            <v>60.2</v>
          </cell>
          <cell r="Q314" t="str">
            <v>RESERVED</v>
          </cell>
          <cell r="S314">
            <v>2100000</v>
          </cell>
          <cell r="T314">
            <v>390000</v>
          </cell>
          <cell r="V314">
            <v>35000</v>
          </cell>
          <cell r="W314">
            <v>355000</v>
          </cell>
          <cell r="X314">
            <v>0</v>
          </cell>
          <cell r="Y314">
            <v>390000</v>
          </cell>
          <cell r="AA314">
            <v>46098</v>
          </cell>
          <cell r="AB314">
            <v>47118</v>
          </cell>
          <cell r="AC314" t="str">
            <v>João Gameiro</v>
          </cell>
          <cell r="AJ314" t="str">
            <v>Aroeira Collections</v>
          </cell>
        </row>
        <row r="315">
          <cell r="A315" t="str">
            <v>Palmares - Plots</v>
          </cell>
          <cell r="C315" t="str">
            <v>23</v>
          </cell>
          <cell r="E315" t="str">
            <v>Plot</v>
          </cell>
          <cell r="F315">
            <v>420</v>
          </cell>
          <cell r="Q315" t="str">
            <v xml:space="preserve">DEED </v>
          </cell>
          <cell r="S315">
            <v>930000</v>
          </cell>
          <cell r="T315">
            <v>1700000</v>
          </cell>
          <cell r="W315">
            <v>1700000</v>
          </cell>
          <cell r="X315">
            <v>0</v>
          </cell>
          <cell r="Y315">
            <v>1700000</v>
          </cell>
          <cell r="AA315">
            <v>45279</v>
          </cell>
          <cell r="AB315">
            <v>46843</v>
          </cell>
          <cell r="AC315" t="str">
            <v>Sandra Viegas</v>
          </cell>
          <cell r="AJ315" t="str">
            <v>Palmares</v>
          </cell>
        </row>
        <row r="316">
          <cell r="A316" t="str">
            <v>Aroeira - HOTEL APARTMENTS</v>
          </cell>
          <cell r="C316" t="str">
            <v>140A</v>
          </cell>
          <cell r="E316" t="str">
            <v>1-BR</v>
          </cell>
          <cell r="F316">
            <v>60.2</v>
          </cell>
          <cell r="Q316" t="str">
            <v>RESERVED</v>
          </cell>
          <cell r="S316">
            <v>2900000</v>
          </cell>
          <cell r="T316">
            <v>390000</v>
          </cell>
          <cell r="V316">
            <v>35000</v>
          </cell>
          <cell r="W316">
            <v>355000</v>
          </cell>
          <cell r="X316">
            <v>0</v>
          </cell>
          <cell r="Y316">
            <v>390000</v>
          </cell>
          <cell r="AA316">
            <v>46085</v>
          </cell>
          <cell r="AB316">
            <v>47118</v>
          </cell>
          <cell r="AC316" t="str">
            <v>João Gameiro</v>
          </cell>
          <cell r="AJ316" t="str">
            <v>Aroeira Collections</v>
          </cell>
        </row>
        <row r="317">
          <cell r="A317" t="str">
            <v>Aroeira - HOTEL APARTMENTS</v>
          </cell>
          <cell r="C317" t="str">
            <v>141A</v>
          </cell>
          <cell r="E317" t="str">
            <v>1-BR</v>
          </cell>
          <cell r="F317">
            <v>60.2</v>
          </cell>
          <cell r="Q317" t="str">
            <v>RESERVED</v>
          </cell>
          <cell r="S317">
            <v>2300000</v>
          </cell>
          <cell r="T317">
            <v>390000</v>
          </cell>
          <cell r="V317">
            <v>35000</v>
          </cell>
          <cell r="W317">
            <v>355000</v>
          </cell>
          <cell r="X317">
            <v>0</v>
          </cell>
          <cell r="Y317">
            <v>390000</v>
          </cell>
          <cell r="AA317">
            <v>46129</v>
          </cell>
          <cell r="AB317">
            <v>47118</v>
          </cell>
          <cell r="AC317" t="str">
            <v>João Gameiro</v>
          </cell>
          <cell r="AJ317" t="str">
            <v>Aroeira Collections</v>
          </cell>
        </row>
        <row r="318">
          <cell r="A318" t="str">
            <v>Aroeira - HOTEL APARTMENTS</v>
          </cell>
          <cell r="C318" t="str">
            <v>142A</v>
          </cell>
          <cell r="E318" t="str">
            <v>1-BR</v>
          </cell>
          <cell r="F318">
            <v>60.2</v>
          </cell>
          <cell r="Q318" t="str">
            <v>RESERVED</v>
          </cell>
          <cell r="S318">
            <v>2300000</v>
          </cell>
          <cell r="T318">
            <v>390000</v>
          </cell>
          <cell r="V318">
            <v>35000</v>
          </cell>
          <cell r="W318">
            <v>355000</v>
          </cell>
          <cell r="X318">
            <v>0</v>
          </cell>
          <cell r="Y318">
            <v>390000</v>
          </cell>
          <cell r="AA318">
            <v>46129</v>
          </cell>
          <cell r="AB318">
            <v>47118</v>
          </cell>
          <cell r="AC318" t="str">
            <v>João Gameiro</v>
          </cell>
          <cell r="AJ318" t="str">
            <v>Aroeira Collections</v>
          </cell>
        </row>
        <row r="319">
          <cell r="A319" t="str">
            <v>Aroeira - HOTEL APARTMENTS</v>
          </cell>
          <cell r="C319" t="str">
            <v>143A</v>
          </cell>
          <cell r="E319" t="str">
            <v>1-BR</v>
          </cell>
          <cell r="F319">
            <v>56.5</v>
          </cell>
          <cell r="Q319" t="str">
            <v>RESERVED</v>
          </cell>
          <cell r="S319">
            <v>1950000</v>
          </cell>
          <cell r="T319">
            <v>370000</v>
          </cell>
          <cell r="V319">
            <v>35000</v>
          </cell>
          <cell r="W319">
            <v>335000</v>
          </cell>
          <cell r="X319">
            <v>0</v>
          </cell>
          <cell r="Y319">
            <v>370000</v>
          </cell>
          <cell r="AA319">
            <v>46104</v>
          </cell>
          <cell r="AB319">
            <v>47118</v>
          </cell>
          <cell r="AC319" t="str">
            <v>João Gameiro</v>
          </cell>
          <cell r="AJ319" t="str">
            <v>Aroeira Collections</v>
          </cell>
        </row>
        <row r="320">
          <cell r="A320" t="str">
            <v>Aroeira - HOTEL APARTMENTS</v>
          </cell>
          <cell r="C320" t="str">
            <v>144A</v>
          </cell>
          <cell r="E320" t="str">
            <v>1-BR</v>
          </cell>
          <cell r="F320">
            <v>56.5</v>
          </cell>
          <cell r="Q320" t="str">
            <v>RESERVED</v>
          </cell>
          <cell r="S320">
            <v>1750000</v>
          </cell>
          <cell r="T320">
            <v>370000</v>
          </cell>
          <cell r="V320">
            <v>35000</v>
          </cell>
          <cell r="W320">
            <v>335000</v>
          </cell>
          <cell r="X320">
            <v>0</v>
          </cell>
          <cell r="Y320">
            <v>370000</v>
          </cell>
          <cell r="AA320">
            <v>46052</v>
          </cell>
          <cell r="AB320">
            <v>47118</v>
          </cell>
          <cell r="AC320" t="str">
            <v>João Gameiro</v>
          </cell>
          <cell r="AJ320" t="str">
            <v>Aroeira Collections</v>
          </cell>
        </row>
        <row r="321">
          <cell r="A321" t="str">
            <v>Aroeira - HOTEL APARTMENTS</v>
          </cell>
          <cell r="C321" t="str">
            <v>209B</v>
          </cell>
          <cell r="E321" t="str">
            <v>2-BR*</v>
          </cell>
          <cell r="F321">
            <v>98.7</v>
          </cell>
          <cell r="Q321" t="str">
            <v>RESERVED</v>
          </cell>
          <cell r="S321">
            <v>640000</v>
          </cell>
          <cell r="T321">
            <v>640000</v>
          </cell>
          <cell r="V321">
            <v>45000</v>
          </cell>
          <cell r="W321">
            <v>595000</v>
          </cell>
          <cell r="X321">
            <v>0</v>
          </cell>
          <cell r="Y321">
            <v>640000</v>
          </cell>
          <cell r="AA321">
            <v>46112</v>
          </cell>
          <cell r="AB321">
            <v>47118</v>
          </cell>
          <cell r="AC321" t="str">
            <v>João Gameiro</v>
          </cell>
          <cell r="AJ321" t="str">
            <v>Aroeira Collections</v>
          </cell>
        </row>
        <row r="322">
          <cell r="A322" t="str">
            <v>Aroeira - HOTEL APARTMENTS</v>
          </cell>
          <cell r="C322" t="str">
            <v>215B</v>
          </cell>
          <cell r="E322" t="str">
            <v>2-BR*</v>
          </cell>
          <cell r="F322">
            <v>98.7</v>
          </cell>
          <cell r="Q322" t="str">
            <v>RESERVED</v>
          </cell>
          <cell r="S322">
            <v>665000</v>
          </cell>
          <cell r="T322">
            <v>665000</v>
          </cell>
          <cell r="V322">
            <v>45000</v>
          </cell>
          <cell r="W322">
            <v>620000</v>
          </cell>
          <cell r="X322">
            <v>0</v>
          </cell>
          <cell r="Y322">
            <v>665000</v>
          </cell>
          <cell r="AA322">
            <v>46112</v>
          </cell>
          <cell r="AB322">
            <v>47118</v>
          </cell>
          <cell r="AC322" t="str">
            <v>João Gameiro</v>
          </cell>
          <cell r="AJ322" t="str">
            <v>Aroeira Collections</v>
          </cell>
        </row>
        <row r="323">
          <cell r="A323" t="str">
            <v>Aroeira - HOTEL APARTMENTS</v>
          </cell>
          <cell r="C323" t="str">
            <v>235A</v>
          </cell>
          <cell r="E323" t="str">
            <v>1-BR</v>
          </cell>
          <cell r="F323">
            <v>56.5</v>
          </cell>
          <cell r="Q323" t="str">
            <v>RESERVED</v>
          </cell>
          <cell r="S323">
            <v>2400000</v>
          </cell>
          <cell r="T323">
            <v>390000</v>
          </cell>
          <cell r="V323">
            <v>35000</v>
          </cell>
          <cell r="W323">
            <v>355000</v>
          </cell>
          <cell r="X323">
            <v>0</v>
          </cell>
          <cell r="Y323">
            <v>390000</v>
          </cell>
          <cell r="AA323">
            <v>46126</v>
          </cell>
          <cell r="AB323">
            <v>47118</v>
          </cell>
          <cell r="AC323" t="str">
            <v>João Gameiro</v>
          </cell>
          <cell r="AJ323" t="str">
            <v>Aroeira Collections</v>
          </cell>
        </row>
        <row r="324">
          <cell r="A324" t="str">
            <v>Aroeira - HOTEL APARTMENTS</v>
          </cell>
          <cell r="C324" t="str">
            <v>236A</v>
          </cell>
          <cell r="E324" t="str">
            <v>1-BR</v>
          </cell>
          <cell r="F324">
            <v>56.5</v>
          </cell>
          <cell r="Q324" t="str">
            <v>PRE-RESERVED</v>
          </cell>
          <cell r="S324">
            <v>1950000</v>
          </cell>
          <cell r="T324">
            <v>390000</v>
          </cell>
          <cell r="V324">
            <v>35000</v>
          </cell>
          <cell r="W324">
            <v>355000</v>
          </cell>
          <cell r="X324">
            <v>0</v>
          </cell>
          <cell r="Y324">
            <v>390000</v>
          </cell>
          <cell r="AA324">
            <v>46142</v>
          </cell>
          <cell r="AB324">
            <v>47118</v>
          </cell>
          <cell r="AC324" t="str">
            <v>João Gameiro</v>
          </cell>
          <cell r="AJ324" t="str">
            <v>Aroeira Collections</v>
          </cell>
        </row>
        <row r="325">
          <cell r="A325" t="str">
            <v>MOURAGOLFE</v>
          </cell>
          <cell r="C325" t="str">
            <v>21</v>
          </cell>
          <cell r="E325" t="str">
            <v>Plot</v>
          </cell>
          <cell r="F325">
            <v>280</v>
          </cell>
          <cell r="Q325" t="str">
            <v xml:space="preserve">DEED </v>
          </cell>
          <cell r="S325">
            <v>610000</v>
          </cell>
          <cell r="T325">
            <v>738100</v>
          </cell>
          <cell r="W325">
            <v>738100</v>
          </cell>
          <cell r="X325">
            <v>1.11022302462516E-16</v>
          </cell>
          <cell r="Y325">
            <v>738100</v>
          </cell>
          <cell r="AA325">
            <v>45464</v>
          </cell>
          <cell r="AJ325" t="str">
            <v>MOURAGOLFE</v>
          </cell>
        </row>
        <row r="326">
          <cell r="A326" t="str">
            <v>VM PARQUE</v>
          </cell>
          <cell r="C326" t="str">
            <v>Q</v>
          </cell>
          <cell r="E326" t="str">
            <v>V2</v>
          </cell>
          <cell r="F326">
            <v>152.73410000000001</v>
          </cell>
          <cell r="Q326" t="str">
            <v xml:space="preserve">DEED </v>
          </cell>
          <cell r="S326">
            <v>989205</v>
          </cell>
          <cell r="T326">
            <v>995000</v>
          </cell>
          <cell r="W326">
            <v>995000</v>
          </cell>
          <cell r="X326">
            <v>1.11022302462516E-16</v>
          </cell>
          <cell r="Y326">
            <v>995000</v>
          </cell>
          <cell r="AA326">
            <v>45147</v>
          </cell>
          <cell r="AJ326" t="str">
            <v>VM PARQUE</v>
          </cell>
        </row>
        <row r="327">
          <cell r="A327" t="str">
            <v>MOURAGOLFE</v>
          </cell>
          <cell r="C327" t="str">
            <v>22</v>
          </cell>
          <cell r="E327" t="str">
            <v>Plot</v>
          </cell>
          <cell r="F327">
            <v>280</v>
          </cell>
          <cell r="Q327" t="str">
            <v xml:space="preserve">PSPA </v>
          </cell>
          <cell r="S327">
            <v>610000</v>
          </cell>
          <cell r="T327">
            <v>738100</v>
          </cell>
          <cell r="W327">
            <v>738100</v>
          </cell>
          <cell r="X327">
            <v>1.11022302462516E-16</v>
          </cell>
          <cell r="Y327">
            <v>738100</v>
          </cell>
          <cell r="AA327">
            <v>46185</v>
          </cell>
          <cell r="AJ327" t="str">
            <v>MOURAGOLFE</v>
          </cell>
        </row>
        <row r="328">
          <cell r="A328" t="str">
            <v>VM PARQUE</v>
          </cell>
          <cell r="C328" t="str">
            <v>AE</v>
          </cell>
          <cell r="E328" t="str">
            <v>V3</v>
          </cell>
          <cell r="F328">
            <v>189.03110000000001</v>
          </cell>
          <cell r="Q328" t="str">
            <v xml:space="preserve">DEED </v>
          </cell>
          <cell r="S328">
            <v>1216320</v>
          </cell>
          <cell r="T328">
            <v>1345000.0036530001</v>
          </cell>
          <cell r="W328">
            <v>1345000.0036530001</v>
          </cell>
          <cell r="X328">
            <v>2.7159849924629502E-9</v>
          </cell>
          <cell r="Y328">
            <v>1345000</v>
          </cell>
          <cell r="AJ328" t="str">
            <v>VM PARQUE</v>
          </cell>
        </row>
        <row r="329">
          <cell r="A329" t="str">
            <v>Palmares - Signature Apartments</v>
          </cell>
          <cell r="C329" t="str">
            <v>832B</v>
          </cell>
          <cell r="E329" t="str">
            <v>T2 (T1+1)</v>
          </cell>
          <cell r="F329">
            <v>165.75</v>
          </cell>
          <cell r="Q329" t="str">
            <v xml:space="preserve">PSPA </v>
          </cell>
          <cell r="S329">
            <v>470000</v>
          </cell>
          <cell r="T329">
            <v>1400000</v>
          </cell>
          <cell r="W329">
            <v>1400000</v>
          </cell>
          <cell r="X329">
            <v>7.1428571428571201E-3</v>
          </cell>
          <cell r="Y329">
            <v>1390000</v>
          </cell>
          <cell r="AA329">
            <v>45714</v>
          </cell>
          <cell r="AB329">
            <v>46843</v>
          </cell>
          <cell r="AJ329" t="str">
            <v>Palmares</v>
          </cell>
        </row>
        <row r="330">
          <cell r="A330" t="str">
            <v>Aroeira - HOTEL APARTMENTS</v>
          </cell>
          <cell r="C330" t="str">
            <v>301B</v>
          </cell>
          <cell r="E330" t="str">
            <v>2-BR*</v>
          </cell>
          <cell r="F330">
            <v>98.7</v>
          </cell>
          <cell r="Q330" t="str">
            <v xml:space="preserve">PSPA </v>
          </cell>
          <cell r="S330">
            <v>670000</v>
          </cell>
          <cell r="T330">
            <v>670000</v>
          </cell>
          <cell r="V330">
            <v>45000</v>
          </cell>
          <cell r="W330">
            <v>625000</v>
          </cell>
          <cell r="X330">
            <v>7.4626865671641998E-3</v>
          </cell>
          <cell r="Y330">
            <v>665000</v>
          </cell>
          <cell r="AA330">
            <v>46062</v>
          </cell>
          <cell r="AB330">
            <v>47118</v>
          </cell>
          <cell r="AC330" t="str">
            <v>João Gameiro</v>
          </cell>
          <cell r="AJ330" t="str">
            <v>Aroeira Collections</v>
          </cell>
        </row>
        <row r="331">
          <cell r="A331" t="str">
            <v>BOTÂNICA</v>
          </cell>
          <cell r="C331" t="str">
            <v>AZ</v>
          </cell>
          <cell r="E331" t="str">
            <v>T3</v>
          </cell>
          <cell r="F331">
            <v>319.7</v>
          </cell>
          <cell r="Q331" t="str">
            <v>RESERVED</v>
          </cell>
          <cell r="S331">
            <v>1873737.58</v>
          </cell>
          <cell r="T331">
            <v>1955200</v>
          </cell>
          <cell r="W331">
            <v>1955200</v>
          </cell>
          <cell r="X331">
            <v>7.5695581014729703E-3</v>
          </cell>
          <cell r="Y331">
            <v>1940400</v>
          </cell>
          <cell r="AC331" t="str">
            <v>Ana Damásio</v>
          </cell>
          <cell r="AJ331" t="str">
            <v>Botanica</v>
          </cell>
        </row>
        <row r="332">
          <cell r="A332" t="str">
            <v>NATURA VILLAGE 7</v>
          </cell>
          <cell r="C332" t="str">
            <v>I</v>
          </cell>
          <cell r="E332" t="str">
            <v>V2</v>
          </cell>
          <cell r="F332">
            <v>145.41</v>
          </cell>
          <cell r="Q332" t="str">
            <v>RESERVED</v>
          </cell>
          <cell r="S332">
            <v>810000</v>
          </cell>
          <cell r="T332">
            <v>830000</v>
          </cell>
          <cell r="W332">
            <v>830000</v>
          </cell>
          <cell r="X332">
            <v>8.4337349397590692E-3</v>
          </cell>
          <cell r="Y332">
            <v>823000</v>
          </cell>
          <cell r="AA332">
            <v>46188</v>
          </cell>
          <cell r="AC332" t="str">
            <v>Ana Damásio</v>
          </cell>
          <cell r="AJ332" t="str">
            <v>Natura Village</v>
          </cell>
        </row>
        <row r="333">
          <cell r="A333" t="str">
            <v>BOTÂNICA</v>
          </cell>
          <cell r="C333" t="str">
            <v>AC</v>
          </cell>
          <cell r="E333" t="str">
            <v>T2</v>
          </cell>
          <cell r="F333">
            <v>151.4</v>
          </cell>
          <cell r="Q333" t="str">
            <v>RESERVED</v>
          </cell>
          <cell r="S333">
            <v>1063508.1599999999</v>
          </cell>
          <cell r="T333">
            <v>1070000</v>
          </cell>
          <cell r="W333">
            <v>1070000</v>
          </cell>
          <cell r="X333">
            <v>0.01</v>
          </cell>
          <cell r="Y333">
            <v>1059300</v>
          </cell>
          <cell r="AC333" t="str">
            <v>Ana Damásio</v>
          </cell>
          <cell r="AJ333" t="str">
            <v>Botanica</v>
          </cell>
        </row>
        <row r="334">
          <cell r="A334" t="str">
            <v>BOTÂNICA</v>
          </cell>
          <cell r="C334" t="str">
            <v>AD</v>
          </cell>
          <cell r="E334" t="str">
            <v>T2</v>
          </cell>
          <cell r="F334">
            <v>151.53</v>
          </cell>
          <cell r="Q334" t="str">
            <v>RESERVED</v>
          </cell>
          <cell r="S334">
            <v>1064498.5560000001</v>
          </cell>
          <cell r="T334">
            <v>1070000</v>
          </cell>
          <cell r="W334">
            <v>1070000</v>
          </cell>
          <cell r="X334">
            <v>0.01</v>
          </cell>
          <cell r="Y334">
            <v>1059300</v>
          </cell>
          <cell r="AC334" t="str">
            <v>Ana Damásio</v>
          </cell>
          <cell r="AJ334" t="str">
            <v>Botanica</v>
          </cell>
        </row>
        <row r="335">
          <cell r="A335" t="str">
            <v>TERRACOTA</v>
          </cell>
          <cell r="C335" t="str">
            <v>AN</v>
          </cell>
          <cell r="E335" t="str">
            <v>T2</v>
          </cell>
          <cell r="F335">
            <v>104.7</v>
          </cell>
          <cell r="Q335" t="str">
            <v xml:space="preserve">PSPA </v>
          </cell>
          <cell r="S335">
            <v>550000</v>
          </cell>
          <cell r="T335">
            <v>550000</v>
          </cell>
          <cell r="W335">
            <v>550000</v>
          </cell>
          <cell r="X335">
            <v>0.01</v>
          </cell>
          <cell r="Y335">
            <v>544500</v>
          </cell>
          <cell r="AA335">
            <v>45870</v>
          </cell>
          <cell r="AC335" t="str">
            <v>Ana Damásio</v>
          </cell>
          <cell r="AJ335" t="str">
            <v>Terracota</v>
          </cell>
        </row>
        <row r="336">
          <cell r="A336" t="str">
            <v>NOBILUS</v>
          </cell>
          <cell r="C336" t="str">
            <v>AO</v>
          </cell>
          <cell r="E336" t="str">
            <v>T2</v>
          </cell>
          <cell r="F336">
            <v>113.23</v>
          </cell>
          <cell r="Q336" t="str">
            <v xml:space="preserve">PSPA </v>
          </cell>
          <cell r="S336">
            <v>750000</v>
          </cell>
          <cell r="T336">
            <v>750000</v>
          </cell>
          <cell r="W336">
            <v>750000</v>
          </cell>
          <cell r="X336">
            <v>0.01</v>
          </cell>
          <cell r="Y336">
            <v>742500</v>
          </cell>
          <cell r="AA336">
            <v>46093</v>
          </cell>
          <cell r="AC336" t="str">
            <v>Ana Damásio</v>
          </cell>
          <cell r="AJ336" t="str">
            <v>Nobilus</v>
          </cell>
        </row>
        <row r="337">
          <cell r="A337" t="str">
            <v>NOBILUS</v>
          </cell>
          <cell r="C337" t="str">
            <v>B</v>
          </cell>
          <cell r="E337" t="str">
            <v>T2</v>
          </cell>
          <cell r="F337">
            <v>112.9</v>
          </cell>
          <cell r="Q337" t="str">
            <v xml:space="preserve">PSPA </v>
          </cell>
          <cell r="S337">
            <v>685000</v>
          </cell>
          <cell r="T337">
            <v>685000</v>
          </cell>
          <cell r="W337">
            <v>685000</v>
          </cell>
          <cell r="X337">
            <v>0.01</v>
          </cell>
          <cell r="Y337">
            <v>678150</v>
          </cell>
          <cell r="AA337">
            <v>46149</v>
          </cell>
          <cell r="AC337" t="str">
            <v>Ana Damásio</v>
          </cell>
          <cell r="AJ337" t="str">
            <v>Nobilus</v>
          </cell>
        </row>
        <row r="338">
          <cell r="A338" t="str">
            <v>Aroeira - HOUSES</v>
          </cell>
          <cell r="C338" t="str">
            <v>09B</v>
          </cell>
          <cell r="E338" t="str">
            <v>T2</v>
          </cell>
          <cell r="F338">
            <v>166</v>
          </cell>
          <cell r="Q338" t="str">
            <v xml:space="preserve">PSPA </v>
          </cell>
          <cell r="S338">
            <v>910000</v>
          </cell>
          <cell r="T338">
            <v>910000</v>
          </cell>
          <cell r="V338">
            <v>0</v>
          </cell>
          <cell r="W338">
            <v>910000</v>
          </cell>
          <cell r="X338">
            <v>1.09890109890109E-2</v>
          </cell>
          <cell r="Y338">
            <v>900000</v>
          </cell>
          <cell r="AA338">
            <v>45915</v>
          </cell>
          <cell r="AB338">
            <v>47118</v>
          </cell>
          <cell r="AC338" t="str">
            <v>João Gameiro</v>
          </cell>
          <cell r="AJ338" t="str">
            <v>Aroeira Collections</v>
          </cell>
        </row>
        <row r="339">
          <cell r="A339" t="str">
            <v>Aroeira - HOTEL APARTMENTS</v>
          </cell>
          <cell r="C339" t="str">
            <v>334A</v>
          </cell>
          <cell r="E339" t="str">
            <v>1-BR</v>
          </cell>
          <cell r="F339">
            <v>56.5</v>
          </cell>
          <cell r="Q339" t="str">
            <v>RESERVED</v>
          </cell>
          <cell r="S339">
            <v>1150000</v>
          </cell>
          <cell r="T339">
            <v>405000</v>
          </cell>
          <cell r="V339">
            <v>35000</v>
          </cell>
          <cell r="W339">
            <v>370000</v>
          </cell>
          <cell r="X339">
            <v>1.2345679012345699E-2</v>
          </cell>
          <cell r="Y339">
            <v>400000</v>
          </cell>
          <cell r="AA339">
            <v>46137</v>
          </cell>
          <cell r="AB339">
            <v>47118</v>
          </cell>
          <cell r="AC339" t="str">
            <v>João Gameiro</v>
          </cell>
          <cell r="AJ339" t="str">
            <v>Aroeira Collections</v>
          </cell>
        </row>
        <row r="340">
          <cell r="A340" t="str">
            <v>ZESTIA</v>
          </cell>
          <cell r="C340" t="str">
            <v>AQ</v>
          </cell>
          <cell r="E340" t="str">
            <v>T1</v>
          </cell>
          <cell r="F340">
            <v>80.2</v>
          </cell>
          <cell r="Q340" t="str">
            <v xml:space="preserve">PSPA </v>
          </cell>
          <cell r="S340">
            <v>559783.23860000004</v>
          </cell>
          <cell r="T340">
            <v>600000</v>
          </cell>
          <cell r="U340">
            <v>24600</v>
          </cell>
          <cell r="V340">
            <v>30000</v>
          </cell>
          <cell r="W340">
            <v>545400</v>
          </cell>
          <cell r="X340">
            <v>1.6666666666666701E-2</v>
          </cell>
          <cell r="Y340">
            <v>590000</v>
          </cell>
          <cell r="AA340">
            <v>45978</v>
          </cell>
          <cell r="AC340" t="str">
            <v>Ana Damásio</v>
          </cell>
          <cell r="AJ340" t="str">
            <v>Zestia</v>
          </cell>
        </row>
        <row r="341">
          <cell r="A341" t="str">
            <v>Rivus</v>
          </cell>
          <cell r="C341" t="str">
            <v>L</v>
          </cell>
          <cell r="E341" t="str">
            <v>T3</v>
          </cell>
          <cell r="Q341" t="str">
            <v>RESERVED</v>
          </cell>
          <cell r="S341">
            <v>1090000</v>
          </cell>
          <cell r="T341">
            <v>1090000</v>
          </cell>
          <cell r="W341">
            <v>1090000</v>
          </cell>
          <cell r="X341">
            <v>1.8348623853211E-2</v>
          </cell>
          <cell r="Y341">
            <v>1070000</v>
          </cell>
          <cell r="AC341" t="str">
            <v>Ana Damásio</v>
          </cell>
          <cell r="AJ341" t="str">
            <v>Rivus</v>
          </cell>
        </row>
        <row r="342">
          <cell r="A342" t="str">
            <v>SPRINGS</v>
          </cell>
          <cell r="C342" t="str">
            <v>A</v>
          </cell>
          <cell r="E342" t="str">
            <v>V3</v>
          </cell>
          <cell r="F342">
            <v>323.58999999999997</v>
          </cell>
          <cell r="Q342" t="str">
            <v xml:space="preserve">PSPA </v>
          </cell>
          <cell r="S342">
            <v>1941050</v>
          </cell>
          <cell r="T342">
            <v>2000000</v>
          </cell>
          <cell r="U342">
            <v>24600</v>
          </cell>
          <cell r="V342">
            <v>64350</v>
          </cell>
          <cell r="W342">
            <v>1911050</v>
          </cell>
          <cell r="X342">
            <v>1.9356499999999999E-2</v>
          </cell>
          <cell r="Y342">
            <v>1961287</v>
          </cell>
          <cell r="AA342">
            <v>46020</v>
          </cell>
          <cell r="AC342" t="str">
            <v>Ana Damásio</v>
          </cell>
          <cell r="AJ342" t="str">
            <v>Springs - At the Els</v>
          </cell>
        </row>
        <row r="343">
          <cell r="A343" t="str">
            <v>Rivus</v>
          </cell>
          <cell r="C343" t="str">
            <v>E</v>
          </cell>
          <cell r="E343" t="str">
            <v>T3</v>
          </cell>
          <cell r="Q343" t="str">
            <v>RESERVED</v>
          </cell>
          <cell r="S343">
            <v>1020000</v>
          </cell>
          <cell r="T343">
            <v>1020000</v>
          </cell>
          <cell r="W343">
            <v>1020000</v>
          </cell>
          <cell r="X343">
            <v>0.02</v>
          </cell>
          <cell r="Y343">
            <v>999600</v>
          </cell>
          <cell r="AC343" t="str">
            <v>Ana Damásio</v>
          </cell>
          <cell r="AJ343" t="str">
            <v>Rivus</v>
          </cell>
        </row>
        <row r="344">
          <cell r="A344" t="str">
            <v>Rivus</v>
          </cell>
          <cell r="C344" t="str">
            <v>F</v>
          </cell>
          <cell r="E344" t="str">
            <v>T2</v>
          </cell>
          <cell r="Q344" t="str">
            <v>RESERVED</v>
          </cell>
          <cell r="S344">
            <v>760000</v>
          </cell>
          <cell r="T344">
            <v>760000</v>
          </cell>
          <cell r="W344">
            <v>760000</v>
          </cell>
          <cell r="X344">
            <v>0.02</v>
          </cell>
          <cell r="Y344">
            <v>744800</v>
          </cell>
          <cell r="AC344" t="str">
            <v>Ana Damásio</v>
          </cell>
          <cell r="AJ344" t="str">
            <v>Rivus</v>
          </cell>
        </row>
        <row r="345">
          <cell r="A345" t="str">
            <v>TERRACOTA</v>
          </cell>
          <cell r="C345" t="str">
            <v>AG</v>
          </cell>
          <cell r="E345" t="str">
            <v>T2</v>
          </cell>
          <cell r="F345">
            <v>104.7</v>
          </cell>
          <cell r="Q345" t="str">
            <v xml:space="preserve">PSPA </v>
          </cell>
          <cell r="S345">
            <v>540000</v>
          </cell>
          <cell r="T345">
            <v>555000</v>
          </cell>
          <cell r="W345">
            <v>555000</v>
          </cell>
          <cell r="X345">
            <v>0.02</v>
          </cell>
          <cell r="Y345">
            <v>543900</v>
          </cell>
          <cell r="AA345">
            <v>45922</v>
          </cell>
          <cell r="AC345" t="str">
            <v>Ana Damásio</v>
          </cell>
          <cell r="AJ345" t="str">
            <v>Terracota</v>
          </cell>
        </row>
        <row r="346">
          <cell r="A346" t="str">
            <v>Aroeira - HOUSES</v>
          </cell>
          <cell r="C346" t="str">
            <v>10C</v>
          </cell>
          <cell r="E346" t="str">
            <v>T3</v>
          </cell>
          <cell r="F346">
            <v>242.6</v>
          </cell>
          <cell r="Q346" t="str">
            <v xml:space="preserve">PSPA </v>
          </cell>
          <cell r="S346">
            <v>1380000</v>
          </cell>
          <cell r="T346">
            <v>1380000</v>
          </cell>
          <cell r="W346">
            <v>1380000</v>
          </cell>
          <cell r="X346">
            <v>0.02</v>
          </cell>
          <cell r="Y346">
            <v>1352400</v>
          </cell>
          <cell r="AA346">
            <v>45946</v>
          </cell>
          <cell r="AB346">
            <v>47118</v>
          </cell>
          <cell r="AC346" t="str">
            <v>João Gameiro</v>
          </cell>
          <cell r="AJ346" t="str">
            <v>Aroeira Collections</v>
          </cell>
        </row>
        <row r="347">
          <cell r="A347" t="str">
            <v>Aroeira - HOUSES</v>
          </cell>
          <cell r="C347" t="str">
            <v>16B</v>
          </cell>
          <cell r="E347" t="str">
            <v>T2</v>
          </cell>
          <cell r="F347">
            <v>170</v>
          </cell>
          <cell r="Q347" t="str">
            <v xml:space="preserve">PSPA </v>
          </cell>
          <cell r="S347">
            <v>795000</v>
          </cell>
          <cell r="T347">
            <v>795000</v>
          </cell>
          <cell r="V347">
            <v>0</v>
          </cell>
          <cell r="W347">
            <v>795000</v>
          </cell>
          <cell r="X347">
            <v>0.02</v>
          </cell>
          <cell r="Y347">
            <v>779100</v>
          </cell>
          <cell r="AA347">
            <v>46094</v>
          </cell>
          <cell r="AB347">
            <v>47118</v>
          </cell>
          <cell r="AC347" t="str">
            <v>João Gameiro</v>
          </cell>
          <cell r="AJ347" t="str">
            <v>Aroeira Collections</v>
          </cell>
        </row>
        <row r="348">
          <cell r="A348" t="str">
            <v>Rivus</v>
          </cell>
          <cell r="C348" t="str">
            <v>V</v>
          </cell>
          <cell r="E348" t="str">
            <v>T3</v>
          </cell>
          <cell r="Q348" t="str">
            <v>RESERVED</v>
          </cell>
          <cell r="S348">
            <v>800000</v>
          </cell>
          <cell r="T348">
            <v>800000</v>
          </cell>
          <cell r="W348">
            <v>800000</v>
          </cell>
          <cell r="X348">
            <v>0.02</v>
          </cell>
          <cell r="Y348">
            <v>784000</v>
          </cell>
          <cell r="AC348" t="str">
            <v>Ana Damásio</v>
          </cell>
          <cell r="AJ348" t="str">
            <v>Rivus</v>
          </cell>
        </row>
        <row r="349">
          <cell r="A349" t="str">
            <v>Aroeira - HOTEL APARTMENTS</v>
          </cell>
          <cell r="C349" t="str">
            <v>134A</v>
          </cell>
          <cell r="E349" t="str">
            <v>1-BR</v>
          </cell>
          <cell r="F349">
            <v>56.5</v>
          </cell>
          <cell r="Q349" t="str">
            <v>RESERVED</v>
          </cell>
          <cell r="S349">
            <v>1750000</v>
          </cell>
          <cell r="T349">
            <v>370000</v>
          </cell>
          <cell r="V349">
            <v>35000</v>
          </cell>
          <cell r="W349">
            <v>335000</v>
          </cell>
          <cell r="X349">
            <v>0.02</v>
          </cell>
          <cell r="Y349">
            <v>362600</v>
          </cell>
          <cell r="AA349">
            <v>46118</v>
          </cell>
          <cell r="AB349">
            <v>47118</v>
          </cell>
          <cell r="AC349" t="str">
            <v>João Gameiro</v>
          </cell>
          <cell r="AJ349" t="str">
            <v>Aroeira Collections</v>
          </cell>
        </row>
        <row r="350">
          <cell r="A350" t="str">
            <v>Aroeira - HOTEL APARTMENTS</v>
          </cell>
          <cell r="C350" t="str">
            <v>137A</v>
          </cell>
          <cell r="E350" t="str">
            <v>1-BR</v>
          </cell>
          <cell r="F350">
            <v>56.5</v>
          </cell>
          <cell r="Q350" t="str">
            <v>RESERVED</v>
          </cell>
          <cell r="S350">
            <v>1850000</v>
          </cell>
          <cell r="T350">
            <v>370000</v>
          </cell>
          <cell r="V350">
            <v>35000</v>
          </cell>
          <cell r="W350">
            <v>335000</v>
          </cell>
          <cell r="X350">
            <v>0.02</v>
          </cell>
          <cell r="Y350">
            <v>362600</v>
          </cell>
          <cell r="AA350">
            <v>46118</v>
          </cell>
          <cell r="AB350">
            <v>47118</v>
          </cell>
          <cell r="AC350" t="str">
            <v>João Gameiro</v>
          </cell>
          <cell r="AJ350" t="str">
            <v>Aroeira Collections</v>
          </cell>
        </row>
        <row r="351">
          <cell r="A351" t="str">
            <v>Aroeira - APARTMENTS</v>
          </cell>
          <cell r="C351" t="str">
            <v>216B</v>
          </cell>
          <cell r="E351" t="str">
            <v>2-BR</v>
          </cell>
          <cell r="F351">
            <v>115.22</v>
          </cell>
          <cell r="Q351" t="str">
            <v>RESERVED</v>
          </cell>
          <cell r="S351">
            <v>695000</v>
          </cell>
          <cell r="T351">
            <v>695000</v>
          </cell>
          <cell r="V351">
            <v>45000</v>
          </cell>
          <cell r="W351">
            <v>650000</v>
          </cell>
          <cell r="X351">
            <v>0.02</v>
          </cell>
          <cell r="Y351">
            <v>681100</v>
          </cell>
          <cell r="AA351">
            <v>46093</v>
          </cell>
          <cell r="AB351">
            <v>47118</v>
          </cell>
          <cell r="AC351" t="str">
            <v>João Gameiro</v>
          </cell>
          <cell r="AJ351" t="str">
            <v>Aroeira Collections</v>
          </cell>
        </row>
        <row r="352">
          <cell r="A352" t="str">
            <v>Aroeira - HOTEL APARTMENTS</v>
          </cell>
          <cell r="C352" t="str">
            <v>225B</v>
          </cell>
          <cell r="E352" t="str">
            <v>2-BR*</v>
          </cell>
          <cell r="F352">
            <v>98.8</v>
          </cell>
          <cell r="Q352" t="str">
            <v>RESERVED</v>
          </cell>
          <cell r="S352">
            <v>645000</v>
          </cell>
          <cell r="T352">
            <v>645000</v>
          </cell>
          <cell r="V352">
            <v>45000</v>
          </cell>
          <cell r="W352">
            <v>600000</v>
          </cell>
          <cell r="X352">
            <v>2.0155038759689901E-2</v>
          </cell>
          <cell r="Y352">
            <v>632000</v>
          </cell>
          <cell r="AA352">
            <v>46114</v>
          </cell>
          <cell r="AB352">
            <v>47118</v>
          </cell>
          <cell r="AC352" t="str">
            <v>João Gameiro</v>
          </cell>
          <cell r="AJ352" t="str">
            <v>Aroeira Collections</v>
          </cell>
        </row>
        <row r="353">
          <cell r="A353" t="str">
            <v>Rivus</v>
          </cell>
          <cell r="C353" t="str">
            <v>D</v>
          </cell>
          <cell r="E353" t="str">
            <v>T3</v>
          </cell>
          <cell r="Q353" t="str">
            <v xml:space="preserve">PSPA </v>
          </cell>
          <cell r="S353">
            <v>920000</v>
          </cell>
          <cell r="T353">
            <v>920000</v>
          </cell>
          <cell r="W353">
            <v>920000</v>
          </cell>
          <cell r="X353">
            <v>2.1739130434782601E-2</v>
          </cell>
          <cell r="Y353">
            <v>900000</v>
          </cell>
          <cell r="AA353">
            <v>46154</v>
          </cell>
          <cell r="AC353" t="str">
            <v>Ana Damásio</v>
          </cell>
          <cell r="AJ353" t="str">
            <v>Rivus</v>
          </cell>
        </row>
        <row r="354">
          <cell r="A354" t="str">
            <v>SPRINGS</v>
          </cell>
          <cell r="C354" t="str">
            <v>BO</v>
          </cell>
          <cell r="E354" t="str">
            <v>V2 Duplex</v>
          </cell>
          <cell r="F354">
            <v>295.31</v>
          </cell>
          <cell r="Q354" t="str">
            <v xml:space="preserve">PSPA </v>
          </cell>
          <cell r="S354">
            <v>1208850</v>
          </cell>
          <cell r="T354">
            <v>1280000</v>
          </cell>
          <cell r="U354">
            <v>24600</v>
          </cell>
          <cell r="V354">
            <v>46550</v>
          </cell>
          <cell r="W354">
            <v>1208850</v>
          </cell>
          <cell r="X354">
            <v>2.34375E-2</v>
          </cell>
          <cell r="Y354">
            <v>1250000</v>
          </cell>
          <cell r="AA354">
            <v>46171</v>
          </cell>
          <cell r="AC354" t="str">
            <v>Ana Damásio</v>
          </cell>
          <cell r="AJ354" t="str">
            <v>Springs - At the Els</v>
          </cell>
        </row>
        <row r="355">
          <cell r="A355" t="str">
            <v>Rivus</v>
          </cell>
          <cell r="C355" t="str">
            <v>AD</v>
          </cell>
          <cell r="E355" t="str">
            <v>T3</v>
          </cell>
          <cell r="Q355" t="str">
            <v>RESERVED</v>
          </cell>
          <cell r="S355">
            <v>1040000</v>
          </cell>
          <cell r="T355">
            <v>1040000</v>
          </cell>
          <cell r="W355">
            <v>1040000</v>
          </cell>
          <cell r="X355">
            <v>2.5000000000000001E-2</v>
          </cell>
          <cell r="Y355">
            <v>1014000</v>
          </cell>
          <cell r="AA355">
            <v>46171</v>
          </cell>
          <cell r="AC355" t="str">
            <v>Ana Damásio</v>
          </cell>
          <cell r="AJ355" t="str">
            <v>Rivus</v>
          </cell>
        </row>
        <row r="356">
          <cell r="A356" t="str">
            <v>Rivus</v>
          </cell>
          <cell r="C356" t="str">
            <v>AI</v>
          </cell>
          <cell r="E356" t="str">
            <v>T2</v>
          </cell>
          <cell r="Q356" t="str">
            <v>RESERVED</v>
          </cell>
          <cell r="S356">
            <v>750000</v>
          </cell>
          <cell r="T356">
            <v>750000</v>
          </cell>
          <cell r="W356">
            <v>750000</v>
          </cell>
          <cell r="X356">
            <v>2.5000000000000001E-2</v>
          </cell>
          <cell r="Y356">
            <v>731250</v>
          </cell>
          <cell r="AA356">
            <v>46114</v>
          </cell>
          <cell r="AC356" t="str">
            <v>Ana Damásio</v>
          </cell>
          <cell r="AJ356" t="str">
            <v>Rivus</v>
          </cell>
        </row>
        <row r="357">
          <cell r="A357" t="str">
            <v>Rivus</v>
          </cell>
          <cell r="C357" t="str">
            <v>P</v>
          </cell>
          <cell r="E357" t="str">
            <v>T3</v>
          </cell>
          <cell r="Q357" t="str">
            <v>RESERVED</v>
          </cell>
          <cell r="S357">
            <v>780000</v>
          </cell>
          <cell r="T357">
            <v>780000</v>
          </cell>
          <cell r="W357">
            <v>780000</v>
          </cell>
          <cell r="X357">
            <v>2.5000000000000001E-2</v>
          </cell>
          <cell r="Y357">
            <v>760500</v>
          </cell>
          <cell r="AA357">
            <v>46114</v>
          </cell>
          <cell r="AC357" t="str">
            <v>Ana Damásio</v>
          </cell>
          <cell r="AJ357" t="str">
            <v>Rivus</v>
          </cell>
        </row>
        <row r="358">
          <cell r="A358" t="str">
            <v>Rivus</v>
          </cell>
          <cell r="C358" t="str">
            <v>S</v>
          </cell>
          <cell r="E358" t="str">
            <v>T2</v>
          </cell>
          <cell r="Q358" t="str">
            <v>RESERVED</v>
          </cell>
          <cell r="S358">
            <v>670000</v>
          </cell>
          <cell r="T358">
            <v>670000</v>
          </cell>
          <cell r="W358">
            <v>670000</v>
          </cell>
          <cell r="X358">
            <v>2.5000000000000001E-2</v>
          </cell>
          <cell r="Y358">
            <v>653250</v>
          </cell>
          <cell r="AA358">
            <v>46114</v>
          </cell>
          <cell r="AC358" t="str">
            <v>Ana Damásio</v>
          </cell>
          <cell r="AJ358" t="str">
            <v>Rivus</v>
          </cell>
        </row>
        <row r="359">
          <cell r="A359" t="str">
            <v>Rivus</v>
          </cell>
          <cell r="C359" t="str">
            <v>AE</v>
          </cell>
          <cell r="E359" t="str">
            <v>T4 Duplex</v>
          </cell>
          <cell r="Q359" t="str">
            <v xml:space="preserve">PSPA </v>
          </cell>
          <cell r="S359">
            <v>1280000</v>
          </cell>
          <cell r="T359">
            <v>1280000</v>
          </cell>
          <cell r="W359">
            <v>1280000</v>
          </cell>
          <cell r="X359">
            <v>2.5000000000000001E-2</v>
          </cell>
          <cell r="Y359">
            <v>1248000</v>
          </cell>
          <cell r="AA359">
            <v>46188</v>
          </cell>
          <cell r="AC359" t="str">
            <v>Ana Damásio</v>
          </cell>
          <cell r="AJ359" t="str">
            <v>Rivus</v>
          </cell>
        </row>
        <row r="360">
          <cell r="A360" t="str">
            <v>Rivus</v>
          </cell>
          <cell r="C360" t="str">
            <v>AH</v>
          </cell>
          <cell r="E360" t="str">
            <v>T3</v>
          </cell>
          <cell r="Q360" t="str">
            <v xml:space="preserve">PSPA </v>
          </cell>
          <cell r="S360">
            <v>860000</v>
          </cell>
          <cell r="T360">
            <v>860000</v>
          </cell>
          <cell r="W360">
            <v>860000</v>
          </cell>
          <cell r="X360">
            <v>2.5000000000000001E-2</v>
          </cell>
          <cell r="Y360">
            <v>838500</v>
          </cell>
          <cell r="AA360">
            <v>46174</v>
          </cell>
          <cell r="AC360" t="str">
            <v>Ana Damásio</v>
          </cell>
          <cell r="AJ360" t="str">
            <v>Rivus</v>
          </cell>
        </row>
        <row r="361">
          <cell r="A361" t="str">
            <v>NOBILUS</v>
          </cell>
          <cell r="C361" t="str">
            <v>I</v>
          </cell>
          <cell r="E361" t="str">
            <v>T3</v>
          </cell>
          <cell r="F361">
            <v>164.33</v>
          </cell>
          <cell r="Q361" t="str">
            <v xml:space="preserve">PSPA </v>
          </cell>
          <cell r="S361">
            <v>1130000</v>
          </cell>
          <cell r="T361">
            <v>1130000</v>
          </cell>
          <cell r="W361">
            <v>1130000</v>
          </cell>
          <cell r="X361">
            <v>2.6548672566371698E-2</v>
          </cell>
          <cell r="Y361">
            <v>1100000</v>
          </cell>
          <cell r="AA361">
            <v>46090</v>
          </cell>
          <cell r="AC361" t="str">
            <v>Ana Damásio</v>
          </cell>
          <cell r="AJ361" t="str">
            <v>Nobilus</v>
          </cell>
        </row>
        <row r="362">
          <cell r="A362" t="str">
            <v>Rivus</v>
          </cell>
          <cell r="C362" t="str">
            <v>AC</v>
          </cell>
          <cell r="E362" t="str">
            <v>T2</v>
          </cell>
          <cell r="Q362" t="str">
            <v>RESERVED</v>
          </cell>
          <cell r="S362">
            <v>750000</v>
          </cell>
          <cell r="T362">
            <v>750000</v>
          </cell>
          <cell r="W362">
            <v>750000</v>
          </cell>
          <cell r="X362">
            <v>2.6666666666666599E-2</v>
          </cell>
          <cell r="Y362">
            <v>730000</v>
          </cell>
          <cell r="AC362" t="str">
            <v>Ana Damásio</v>
          </cell>
          <cell r="AJ362" t="str">
            <v>Rivus</v>
          </cell>
        </row>
        <row r="363">
          <cell r="A363" t="str">
            <v>Palmares - Plots</v>
          </cell>
          <cell r="C363" t="str">
            <v>22</v>
          </cell>
          <cell r="E363" t="str">
            <v>Plot</v>
          </cell>
          <cell r="F363">
            <v>420</v>
          </cell>
          <cell r="Q363" t="str">
            <v xml:space="preserve">DEED </v>
          </cell>
          <cell r="S363">
            <v>930000</v>
          </cell>
          <cell r="T363">
            <v>1750000</v>
          </cell>
          <cell r="W363">
            <v>1750000</v>
          </cell>
          <cell r="X363">
            <v>2.8571428571428598E-2</v>
          </cell>
          <cell r="Y363">
            <v>1700000</v>
          </cell>
          <cell r="AA363">
            <v>45512</v>
          </cell>
          <cell r="AB363">
            <v>46843</v>
          </cell>
          <cell r="AC363" t="str">
            <v>Sandra Viegas</v>
          </cell>
          <cell r="AJ363" t="str">
            <v>Palmares</v>
          </cell>
        </row>
        <row r="364">
          <cell r="A364" t="str">
            <v>NATURA VILLAGE 4</v>
          </cell>
          <cell r="C364" t="str">
            <v>G</v>
          </cell>
          <cell r="E364" t="str">
            <v>V2</v>
          </cell>
          <cell r="F364">
            <v>146.72</v>
          </cell>
          <cell r="Q364" t="str">
            <v xml:space="preserve">DEED </v>
          </cell>
          <cell r="S364">
            <v>860000</v>
          </cell>
          <cell r="T364">
            <v>860000</v>
          </cell>
          <cell r="W364">
            <v>860000</v>
          </cell>
          <cell r="X364">
            <v>0.03</v>
          </cell>
          <cell r="Y364">
            <v>834200</v>
          </cell>
          <cell r="AA364">
            <v>45848</v>
          </cell>
          <cell r="AC364" t="str">
            <v>Ana Damásio</v>
          </cell>
          <cell r="AJ364" t="str">
            <v>Natura Village</v>
          </cell>
        </row>
        <row r="365">
          <cell r="A365" t="str">
            <v>NOBILUS</v>
          </cell>
          <cell r="C365" t="str">
            <v>H</v>
          </cell>
          <cell r="E365" t="str">
            <v>T3</v>
          </cell>
          <cell r="F365">
            <v>164.44</v>
          </cell>
          <cell r="Q365" t="str">
            <v xml:space="preserve">PSPA </v>
          </cell>
          <cell r="S365">
            <v>1170000</v>
          </cell>
          <cell r="T365">
            <v>1170000</v>
          </cell>
          <cell r="W365">
            <v>1170000</v>
          </cell>
          <cell r="X365">
            <v>0.03</v>
          </cell>
          <cell r="Y365">
            <v>1134900</v>
          </cell>
          <cell r="AA365">
            <v>45985</v>
          </cell>
          <cell r="AC365" t="str">
            <v>Ana Damásio</v>
          </cell>
          <cell r="AJ365" t="str">
            <v>Nobilus</v>
          </cell>
        </row>
        <row r="366">
          <cell r="A366" t="str">
            <v>BOTÂNICA</v>
          </cell>
          <cell r="C366" t="str">
            <v>BC</v>
          </cell>
          <cell r="E366" t="str">
            <v>T3</v>
          </cell>
          <cell r="F366">
            <v>319.63</v>
          </cell>
          <cell r="Q366" t="str">
            <v>RESERVED</v>
          </cell>
          <cell r="S366">
            <v>1790881.95</v>
          </cell>
          <cell r="T366">
            <v>1800000</v>
          </cell>
          <cell r="W366">
            <v>1800000</v>
          </cell>
          <cell r="X366">
            <v>0.04</v>
          </cell>
          <cell r="Y366">
            <v>1728000</v>
          </cell>
          <cell r="AC366" t="str">
            <v>Ana Damásio</v>
          </cell>
          <cell r="AJ366" t="str">
            <v>Botanica</v>
          </cell>
        </row>
        <row r="367">
          <cell r="A367" t="str">
            <v>BOTÂNICA</v>
          </cell>
          <cell r="C367" t="str">
            <v>AF</v>
          </cell>
          <cell r="E367" t="str">
            <v>T2</v>
          </cell>
          <cell r="F367">
            <v>146.43</v>
          </cell>
          <cell r="Q367" t="str">
            <v xml:space="preserve">PSPA </v>
          </cell>
          <cell r="S367">
            <v>926643.76199999999</v>
          </cell>
          <cell r="T367">
            <v>930000</v>
          </cell>
          <cell r="W367">
            <v>930000</v>
          </cell>
          <cell r="X367">
            <v>0.04</v>
          </cell>
          <cell r="Y367">
            <v>892800</v>
          </cell>
          <cell r="AA367">
            <v>46136</v>
          </cell>
          <cell r="AC367" t="str">
            <v>Ana Damásio</v>
          </cell>
          <cell r="AJ367" t="str">
            <v>Botanica</v>
          </cell>
        </row>
        <row r="368">
          <cell r="A368" t="str">
            <v>BOTÂNICA</v>
          </cell>
          <cell r="C368" t="str">
            <v>G</v>
          </cell>
          <cell r="E368" t="str">
            <v>T2</v>
          </cell>
          <cell r="F368">
            <v>260.27</v>
          </cell>
          <cell r="Q368" t="str">
            <v xml:space="preserve">PSPA </v>
          </cell>
          <cell r="S368">
            <v>1042833.33</v>
          </cell>
          <cell r="T368">
            <v>1050000</v>
          </cell>
          <cell r="W368">
            <v>1050000</v>
          </cell>
          <cell r="X368">
            <v>0.04</v>
          </cell>
          <cell r="Y368">
            <v>1008000</v>
          </cell>
          <cell r="AA368" t="str">
            <v>27/042/2026</v>
          </cell>
          <cell r="AC368" t="str">
            <v>Ana Damásio</v>
          </cell>
          <cell r="AJ368" t="str">
            <v>Botanica</v>
          </cell>
        </row>
        <row r="369">
          <cell r="A369" t="str">
            <v>BOTÂNICA</v>
          </cell>
          <cell r="C369" t="str">
            <v>H</v>
          </cell>
          <cell r="E369" t="str">
            <v>T2</v>
          </cell>
          <cell r="F369">
            <v>255.53</v>
          </cell>
          <cell r="Q369" t="str">
            <v xml:space="preserve">PSPA </v>
          </cell>
          <cell r="S369">
            <v>1040172.21</v>
          </cell>
          <cell r="T369">
            <v>1050000</v>
          </cell>
          <cell r="W369">
            <v>1050000</v>
          </cell>
          <cell r="X369">
            <v>0.04</v>
          </cell>
          <cell r="Y369">
            <v>1008000</v>
          </cell>
          <cell r="AA369">
            <v>46171</v>
          </cell>
          <cell r="AC369" t="str">
            <v>Ana Damásio</v>
          </cell>
          <cell r="AJ369" t="str">
            <v>Botanica</v>
          </cell>
        </row>
        <row r="370">
          <cell r="A370" t="str">
            <v>Palmares - Signature Apartments</v>
          </cell>
          <cell r="C370" t="str">
            <v>835B</v>
          </cell>
          <cell r="E370" t="str">
            <v>T3 Duplex</v>
          </cell>
          <cell r="F370">
            <v>211.3</v>
          </cell>
          <cell r="Q370" t="str">
            <v xml:space="preserve">PSPA </v>
          </cell>
          <cell r="S370">
            <v>540000</v>
          </cell>
          <cell r="T370">
            <v>1600000</v>
          </cell>
          <cell r="W370">
            <v>1600000</v>
          </cell>
          <cell r="X370">
            <v>4.6875E-2</v>
          </cell>
          <cell r="Y370">
            <v>1525000</v>
          </cell>
          <cell r="AA370">
            <v>45863</v>
          </cell>
          <cell r="AB370">
            <v>46843</v>
          </cell>
          <cell r="AJ370" t="str">
            <v>Palmares</v>
          </cell>
        </row>
        <row r="371">
          <cell r="A371" t="str">
            <v>TERRACOTA</v>
          </cell>
          <cell r="C371" t="str">
            <v>Q</v>
          </cell>
          <cell r="E371" t="str">
            <v>T3</v>
          </cell>
          <cell r="F371">
            <v>130.91999999999999</v>
          </cell>
          <cell r="Q371" t="str">
            <v xml:space="preserve">PSPA </v>
          </cell>
          <cell r="S371">
            <v>725000</v>
          </cell>
          <cell r="T371">
            <v>725000</v>
          </cell>
          <cell r="W371">
            <v>725000</v>
          </cell>
          <cell r="X371">
            <v>4.8275862068965503E-2</v>
          </cell>
          <cell r="Y371">
            <v>690000</v>
          </cell>
          <cell r="AA371">
            <v>45866</v>
          </cell>
          <cell r="AC371" t="str">
            <v>Ana Damásio</v>
          </cell>
          <cell r="AJ371" t="str">
            <v>Terracota</v>
          </cell>
        </row>
        <row r="372">
          <cell r="A372" t="str">
            <v>Sutaya</v>
          </cell>
          <cell r="C372" t="str">
            <v>H</v>
          </cell>
          <cell r="E372" t="str">
            <v>T3</v>
          </cell>
          <cell r="F372">
            <v>454</v>
          </cell>
          <cell r="Q372" t="str">
            <v>RESERVED</v>
          </cell>
          <cell r="S372">
            <v>4500000</v>
          </cell>
          <cell r="T372">
            <v>4500000</v>
          </cell>
          <cell r="W372">
            <v>4500000</v>
          </cell>
          <cell r="X372">
            <v>0.05</v>
          </cell>
          <cell r="Y372">
            <v>4275000</v>
          </cell>
          <cell r="AA372">
            <v>45979</v>
          </cell>
          <cell r="AB372" t="str">
            <v>TBD</v>
          </cell>
          <cell r="AC372" t="str">
            <v>Sandra Viegas</v>
          </cell>
          <cell r="AJ372" t="str">
            <v>Sutaya</v>
          </cell>
        </row>
        <row r="373">
          <cell r="A373" t="str">
            <v>ZESTIA</v>
          </cell>
          <cell r="C373" t="str">
            <v>AB</v>
          </cell>
          <cell r="E373" t="str">
            <v>T1</v>
          </cell>
          <cell r="F373">
            <v>77.790000000000006</v>
          </cell>
          <cell r="Q373" t="str">
            <v xml:space="preserve">PSPA </v>
          </cell>
          <cell r="S373">
            <v>543271.48580000002</v>
          </cell>
          <cell r="T373">
            <v>570000</v>
          </cell>
          <cell r="U373">
            <v>24600</v>
          </cell>
          <cell r="V373">
            <v>30000</v>
          </cell>
          <cell r="W373">
            <v>515400</v>
          </cell>
          <cell r="X373">
            <v>0.05</v>
          </cell>
          <cell r="Y373">
            <v>541500</v>
          </cell>
          <cell r="AA373">
            <v>46051</v>
          </cell>
          <cell r="AC373" t="str">
            <v>Ana Damásio</v>
          </cell>
          <cell r="AJ373" t="str">
            <v>Zestia</v>
          </cell>
        </row>
        <row r="374">
          <cell r="A374" t="str">
            <v>TERRACOTA</v>
          </cell>
          <cell r="C374" t="str">
            <v>AY</v>
          </cell>
          <cell r="E374" t="str">
            <v>T2</v>
          </cell>
          <cell r="F374">
            <v>78.3</v>
          </cell>
          <cell r="Q374" t="str">
            <v xml:space="preserve">PSPA </v>
          </cell>
          <cell r="S374">
            <v>470000</v>
          </cell>
          <cell r="T374">
            <v>470000</v>
          </cell>
          <cell r="W374">
            <v>470000</v>
          </cell>
          <cell r="X374">
            <v>0.05</v>
          </cell>
          <cell r="Y374">
            <v>446500</v>
          </cell>
          <cell r="AA374">
            <v>45574</v>
          </cell>
          <cell r="AC374" t="str">
            <v>Ana Damásio</v>
          </cell>
          <cell r="AJ374" t="str">
            <v>Terracota</v>
          </cell>
        </row>
        <row r="375">
          <cell r="A375" t="str">
            <v>TERRACOTA</v>
          </cell>
          <cell r="C375" t="str">
            <v>CL</v>
          </cell>
          <cell r="E375" t="str">
            <v>T3</v>
          </cell>
          <cell r="F375">
            <v>130.91999999999999</v>
          </cell>
          <cell r="Q375" t="str">
            <v xml:space="preserve">PSPA </v>
          </cell>
          <cell r="S375">
            <v>730000</v>
          </cell>
          <cell r="T375">
            <v>770000</v>
          </cell>
          <cell r="W375">
            <v>770000</v>
          </cell>
          <cell r="X375">
            <v>5.1948051948052E-2</v>
          </cell>
          <cell r="Y375">
            <v>730000</v>
          </cell>
          <cell r="AA375">
            <v>45939</v>
          </cell>
          <cell r="AC375" t="str">
            <v>Ana Damásio</v>
          </cell>
          <cell r="AJ375" t="str">
            <v>Terracota</v>
          </cell>
        </row>
        <row r="376">
          <cell r="A376" t="str">
            <v>BOTÂNICA</v>
          </cell>
          <cell r="C376" t="str">
            <v>AV</v>
          </cell>
          <cell r="E376" t="str">
            <v>T2</v>
          </cell>
          <cell r="F376">
            <v>151.24</v>
          </cell>
          <cell r="Q376" t="str">
            <v>RESERVED</v>
          </cell>
          <cell r="S376">
            <v>1001272.8</v>
          </cell>
          <cell r="T376">
            <v>1010000</v>
          </cell>
          <cell r="W376">
            <v>1010000</v>
          </cell>
          <cell r="X376">
            <v>5.2400000000000002E-2</v>
          </cell>
          <cell r="Y376">
            <v>957076</v>
          </cell>
          <cell r="AC376" t="str">
            <v>Ana Damásio</v>
          </cell>
          <cell r="AJ376" t="str">
            <v>Botanica</v>
          </cell>
        </row>
        <row r="377">
          <cell r="A377" t="str">
            <v>BOTÂNICA</v>
          </cell>
          <cell r="C377" t="str">
            <v>AW</v>
          </cell>
          <cell r="E377" t="str">
            <v>T2</v>
          </cell>
          <cell r="F377">
            <v>151.25</v>
          </cell>
          <cell r="Q377" t="str">
            <v>RESERVED</v>
          </cell>
          <cell r="S377">
            <v>1001295.57</v>
          </cell>
          <cell r="T377">
            <v>1010000</v>
          </cell>
          <cell r="W377">
            <v>1010000</v>
          </cell>
          <cell r="X377">
            <v>5.2400000000000002E-2</v>
          </cell>
          <cell r="Y377">
            <v>957076</v>
          </cell>
          <cell r="AC377" t="str">
            <v>Ana Damásio</v>
          </cell>
          <cell r="AJ377" t="str">
            <v>Botanica</v>
          </cell>
        </row>
        <row r="378">
          <cell r="A378" t="str">
            <v>BOTÂNICA</v>
          </cell>
          <cell r="C378" t="str">
            <v>BF</v>
          </cell>
          <cell r="E378" t="str">
            <v>T2</v>
          </cell>
          <cell r="F378">
            <v>151.22999999999999</v>
          </cell>
          <cell r="Q378" t="str">
            <v>RESERVED</v>
          </cell>
          <cell r="S378">
            <v>1044782.64</v>
          </cell>
          <cell r="T378">
            <v>1050000</v>
          </cell>
          <cell r="W378">
            <v>1050000</v>
          </cell>
          <cell r="X378">
            <v>5.2400000000000002E-2</v>
          </cell>
          <cell r="Y378">
            <v>994980</v>
          </cell>
          <cell r="AC378" t="str">
            <v>Ana Damásio</v>
          </cell>
          <cell r="AJ378" t="str">
            <v>Botanica</v>
          </cell>
        </row>
        <row r="379">
          <cell r="A379" t="str">
            <v>Palmares - Plots</v>
          </cell>
          <cell r="C379" t="str">
            <v>1</v>
          </cell>
          <cell r="E379" t="str">
            <v>Plot</v>
          </cell>
          <cell r="F379">
            <v>3142</v>
          </cell>
          <cell r="Q379" t="str">
            <v>RESERVED</v>
          </cell>
          <cell r="S379">
            <v>950000</v>
          </cell>
          <cell r="T379">
            <v>1800000</v>
          </cell>
          <cell r="W379">
            <v>1800000</v>
          </cell>
          <cell r="X379">
            <v>5.5555555555555601E-2</v>
          </cell>
          <cell r="Y379">
            <v>1700000</v>
          </cell>
          <cell r="AA379">
            <v>46182</v>
          </cell>
          <cell r="AB379">
            <v>46843</v>
          </cell>
          <cell r="AC379" t="str">
            <v>Sandra Viegas</v>
          </cell>
          <cell r="AJ379" t="str">
            <v>Palmares</v>
          </cell>
        </row>
        <row r="380">
          <cell r="A380" t="str">
            <v>THE NINE</v>
          </cell>
          <cell r="C380" t="str">
            <v>AS</v>
          </cell>
          <cell r="E380" t="str">
            <v>T2</v>
          </cell>
          <cell r="F380">
            <v>111</v>
          </cell>
          <cell r="Q380" t="str">
            <v xml:space="preserve">DEED </v>
          </cell>
          <cell r="S380">
            <v>660000</v>
          </cell>
          <cell r="T380">
            <v>830000</v>
          </cell>
          <cell r="W380">
            <v>830000</v>
          </cell>
          <cell r="X380">
            <v>6.02409638554217E-2</v>
          </cell>
          <cell r="Y380">
            <v>780000</v>
          </cell>
          <cell r="AA380">
            <v>46093</v>
          </cell>
          <cell r="AC380" t="str">
            <v>Ana Damásio</v>
          </cell>
          <cell r="AJ380" t="str">
            <v>The Nine</v>
          </cell>
        </row>
        <row r="381">
          <cell r="A381" t="str">
            <v>NATURA VILLAGE 7</v>
          </cell>
          <cell r="C381" t="str">
            <v>E</v>
          </cell>
          <cell r="E381" t="str">
            <v>V3</v>
          </cell>
          <cell r="F381">
            <v>170.86</v>
          </cell>
          <cell r="Q381" t="str">
            <v xml:space="preserve">DEED </v>
          </cell>
          <cell r="S381">
            <v>940000</v>
          </cell>
          <cell r="T381">
            <v>960000</v>
          </cell>
          <cell r="W381">
            <v>960000</v>
          </cell>
          <cell r="X381">
            <v>6.25E-2</v>
          </cell>
          <cell r="Y381">
            <v>900000</v>
          </cell>
          <cell r="AA381">
            <v>46102</v>
          </cell>
          <cell r="AC381" t="str">
            <v>Ana Damásio</v>
          </cell>
          <cell r="AJ381" t="str">
            <v>Natura Village</v>
          </cell>
        </row>
        <row r="382">
          <cell r="A382" t="str">
            <v>ZESTIA</v>
          </cell>
          <cell r="C382" t="str">
            <v>P</v>
          </cell>
          <cell r="E382" t="str">
            <v>T2</v>
          </cell>
          <cell r="F382">
            <v>151.09</v>
          </cell>
          <cell r="Q382" t="str">
            <v xml:space="preserve">PSPA </v>
          </cell>
          <cell r="S382">
            <v>791945.06</v>
          </cell>
          <cell r="T382">
            <v>840000</v>
          </cell>
          <cell r="U382">
            <v>24600</v>
          </cell>
          <cell r="V382">
            <v>40000</v>
          </cell>
          <cell r="W382">
            <v>775400</v>
          </cell>
          <cell r="X382">
            <v>6.4642857142857099E-2</v>
          </cell>
          <cell r="Y382">
            <v>785700</v>
          </cell>
          <cell r="AA382">
            <v>46073</v>
          </cell>
          <cell r="AC382" t="str">
            <v>Ana Damásio</v>
          </cell>
          <cell r="AJ382" t="str">
            <v>Zestia</v>
          </cell>
        </row>
        <row r="383">
          <cell r="A383" t="str">
            <v>THE UNCOMMON</v>
          </cell>
          <cell r="C383" t="str">
            <v>202</v>
          </cell>
          <cell r="E383" t="str">
            <v>T2</v>
          </cell>
          <cell r="F383">
            <v>129.4</v>
          </cell>
          <cell r="Q383" t="str">
            <v xml:space="preserve">PSPA </v>
          </cell>
          <cell r="S383">
            <v>1130000</v>
          </cell>
          <cell r="T383">
            <v>1230000</v>
          </cell>
          <cell r="U383">
            <v>50000</v>
          </cell>
          <cell r="V383">
            <v>23000</v>
          </cell>
          <cell r="W383">
            <v>1157000</v>
          </cell>
          <cell r="X383">
            <v>6.94308943089431E-2</v>
          </cell>
          <cell r="Y383">
            <v>1144600</v>
          </cell>
          <cell r="AA383">
            <v>46057</v>
          </cell>
          <cell r="AC383" t="str">
            <v>Ana Damásio</v>
          </cell>
          <cell r="AJ383" t="str">
            <v>The Uncommon</v>
          </cell>
        </row>
        <row r="384">
          <cell r="A384" t="str">
            <v>SPRINGS</v>
          </cell>
          <cell r="C384" t="str">
            <v>L</v>
          </cell>
          <cell r="E384" t="str">
            <v>V3 Duplex</v>
          </cell>
          <cell r="F384">
            <v>296.95999999999998</v>
          </cell>
          <cell r="Q384" t="str">
            <v>PRE-RESERVED</v>
          </cell>
          <cell r="S384">
            <v>2341050</v>
          </cell>
          <cell r="T384">
            <v>2400000</v>
          </cell>
          <cell r="U384">
            <v>24600</v>
          </cell>
          <cell r="V384">
            <v>64350</v>
          </cell>
          <cell r="W384">
            <v>2311050</v>
          </cell>
          <cell r="X384">
            <v>7.0833333333333304E-2</v>
          </cell>
          <cell r="Y384">
            <v>2230000</v>
          </cell>
          <cell r="AA384">
            <v>45905</v>
          </cell>
          <cell r="AC384" t="str">
            <v>Ana Damásio</v>
          </cell>
          <cell r="AJ384" t="str">
            <v>Springs - At the Els</v>
          </cell>
        </row>
        <row r="385">
          <cell r="A385" t="str">
            <v>Palmares - Signature Apartments</v>
          </cell>
          <cell r="C385" t="str">
            <v>836C</v>
          </cell>
          <cell r="E385" t="str">
            <v>T1</v>
          </cell>
          <cell r="F385">
            <v>101.15</v>
          </cell>
          <cell r="Q385" t="str">
            <v xml:space="preserve">PSPA </v>
          </cell>
          <cell r="S385">
            <v>540000</v>
          </cell>
          <cell r="T385">
            <v>650000</v>
          </cell>
          <cell r="W385">
            <v>650000</v>
          </cell>
          <cell r="X385">
            <v>7.69230769230769E-2</v>
          </cell>
          <cell r="Y385">
            <v>600000</v>
          </cell>
          <cell r="AA385">
            <v>46192</v>
          </cell>
          <cell r="AB385">
            <v>46843</v>
          </cell>
          <cell r="AJ385" t="str">
            <v>Palmares</v>
          </cell>
        </row>
        <row r="386">
          <cell r="A386" t="str">
            <v>BOTÂNICA</v>
          </cell>
          <cell r="C386" t="str">
            <v>AA</v>
          </cell>
          <cell r="E386" t="str">
            <v>T2</v>
          </cell>
          <cell r="F386">
            <v>151.47999999999999</v>
          </cell>
          <cell r="Q386" t="str">
            <v>RESERVED</v>
          </cell>
          <cell r="S386">
            <v>1064095.956</v>
          </cell>
          <cell r="T386">
            <v>1070000</v>
          </cell>
          <cell r="W386">
            <v>1070000</v>
          </cell>
          <cell r="X386">
            <v>0.08</v>
          </cell>
          <cell r="Y386">
            <v>984400</v>
          </cell>
          <cell r="AA386">
            <v>46013</v>
          </cell>
          <cell r="AC386" t="str">
            <v>Ana Damásio</v>
          </cell>
          <cell r="AJ386" t="str">
            <v>Botanica</v>
          </cell>
        </row>
        <row r="387">
          <cell r="A387" t="str">
            <v>BOTÂNICA</v>
          </cell>
          <cell r="C387" t="str">
            <v>AK</v>
          </cell>
          <cell r="E387" t="str">
            <v>T2</v>
          </cell>
          <cell r="F387">
            <v>151.5</v>
          </cell>
          <cell r="Q387" t="str">
            <v>RESERVED</v>
          </cell>
          <cell r="S387">
            <v>950852.56200000003</v>
          </cell>
          <cell r="T387">
            <v>960000</v>
          </cell>
          <cell r="W387">
            <v>960000</v>
          </cell>
          <cell r="X387">
            <v>0.08</v>
          </cell>
          <cell r="Y387">
            <v>883200</v>
          </cell>
          <cell r="AC387" t="str">
            <v>Ana Damásio</v>
          </cell>
          <cell r="AJ387" t="str">
            <v>Botanica</v>
          </cell>
        </row>
        <row r="388">
          <cell r="A388" t="str">
            <v>Palmares - Plots</v>
          </cell>
          <cell r="C388" t="str">
            <v>18</v>
          </cell>
          <cell r="E388" t="str">
            <v>Plot</v>
          </cell>
          <cell r="F388">
            <v>2760</v>
          </cell>
          <cell r="Q388" t="str">
            <v xml:space="preserve">PSPA </v>
          </cell>
          <cell r="S388">
            <v>760000</v>
          </cell>
          <cell r="T388">
            <v>1200000</v>
          </cell>
          <cell r="W388">
            <v>1200000</v>
          </cell>
          <cell r="X388">
            <v>8.3333333333333398E-2</v>
          </cell>
          <cell r="Y388">
            <v>1100000</v>
          </cell>
          <cell r="AA388">
            <v>46178</v>
          </cell>
          <cell r="AB388">
            <v>46843</v>
          </cell>
          <cell r="AC388" t="str">
            <v>Sandra Viegas</v>
          </cell>
          <cell r="AJ388" t="str">
            <v>Palmares</v>
          </cell>
        </row>
        <row r="389">
          <cell r="A389" t="str">
            <v>MR - Linked Villas</v>
          </cell>
          <cell r="C389" t="str">
            <v>AI</v>
          </cell>
          <cell r="E389" t="str">
            <v>T3</v>
          </cell>
          <cell r="F389">
            <v>422.36</v>
          </cell>
          <cell r="Q389" t="str">
            <v>PRE-RESERVED</v>
          </cell>
          <cell r="S389">
            <v>1350000</v>
          </cell>
          <cell r="T389">
            <v>1120000</v>
          </cell>
          <cell r="W389">
            <v>1120000</v>
          </cell>
          <cell r="X389">
            <v>9.375E-2</v>
          </cell>
          <cell r="Y389">
            <v>1015000</v>
          </cell>
          <cell r="AA389">
            <v>46170</v>
          </cell>
          <cell r="AB389" t="str">
            <v>TBD</v>
          </cell>
          <cell r="AC389" t="str">
            <v>Sandra Viegas</v>
          </cell>
          <cell r="AJ389" t="str">
            <v>Monte Rei</v>
          </cell>
        </row>
        <row r="390">
          <cell r="A390" t="str">
            <v>Palmares - Plots</v>
          </cell>
          <cell r="C390" t="str">
            <v>2</v>
          </cell>
          <cell r="E390" t="str">
            <v>Plot</v>
          </cell>
          <cell r="F390">
            <v>4909</v>
          </cell>
          <cell r="Q390" t="str">
            <v xml:space="preserve">DEED </v>
          </cell>
          <cell r="S390">
            <v>850000</v>
          </cell>
          <cell r="T390">
            <v>2500000</v>
          </cell>
          <cell r="W390">
            <v>2500000</v>
          </cell>
          <cell r="X390">
            <v>0.1</v>
          </cell>
          <cell r="Y390">
            <v>2250000</v>
          </cell>
          <cell r="AB390">
            <v>46843</v>
          </cell>
          <cell r="AC390" t="str">
            <v>Sandra Viegas</v>
          </cell>
          <cell r="AJ390" t="str">
            <v>Palmares</v>
          </cell>
        </row>
        <row r="391">
          <cell r="A391" t="str">
            <v>BOTÂNICA</v>
          </cell>
          <cell r="C391" t="str">
            <v>BB</v>
          </cell>
          <cell r="E391" t="str">
            <v>T2</v>
          </cell>
          <cell r="F391">
            <v>151.27000000000001</v>
          </cell>
          <cell r="Q391" t="str">
            <v>RESERVED</v>
          </cell>
          <cell r="S391">
            <v>1158318.5460000001</v>
          </cell>
          <cell r="T391">
            <v>1160000</v>
          </cell>
          <cell r="W391">
            <v>1160000</v>
          </cell>
          <cell r="X391">
            <v>0.10958275862069</v>
          </cell>
          <cell r="Y391">
            <v>1032884</v>
          </cell>
          <cell r="AC391" t="str">
            <v>Ana Damásio</v>
          </cell>
          <cell r="AJ391" t="str">
            <v>Botanica</v>
          </cell>
        </row>
        <row r="392">
          <cell r="A392" t="str">
            <v>MR - Linked Villas</v>
          </cell>
          <cell r="C392" t="str">
            <v>AH</v>
          </cell>
          <cell r="E392" t="str">
            <v>T3</v>
          </cell>
          <cell r="F392">
            <v>433.99</v>
          </cell>
          <cell r="Q392" t="str">
            <v>PRE-RESERVED</v>
          </cell>
          <cell r="S392">
            <v>1350000</v>
          </cell>
          <cell r="T392">
            <v>1150000</v>
          </cell>
          <cell r="W392">
            <v>1150000</v>
          </cell>
          <cell r="X392">
            <v>0.11739130434782601</v>
          </cell>
          <cell r="Y392">
            <v>1015000</v>
          </cell>
          <cell r="AA392">
            <v>46170</v>
          </cell>
          <cell r="AB392" t="str">
            <v>TBD</v>
          </cell>
          <cell r="AC392" t="str">
            <v>Sandra Viegas</v>
          </cell>
          <cell r="AJ392" t="str">
            <v>Monte Rei</v>
          </cell>
        </row>
        <row r="393">
          <cell r="A393" t="str">
            <v>THE NINE</v>
          </cell>
          <cell r="C393" t="str">
            <v>AE</v>
          </cell>
          <cell r="E393" t="str">
            <v>T2</v>
          </cell>
          <cell r="F393">
            <v>119</v>
          </cell>
          <cell r="Q393" t="str">
            <v xml:space="preserve">DEED </v>
          </cell>
          <cell r="S393">
            <v>590000</v>
          </cell>
          <cell r="T393">
            <v>630000</v>
          </cell>
          <cell r="W393">
            <v>630000</v>
          </cell>
          <cell r="X393">
            <v>0.18</v>
          </cell>
          <cell r="Y393">
            <v>516600</v>
          </cell>
          <cell r="AC393" t="str">
            <v>Ana Damásio</v>
          </cell>
          <cell r="AJ393" t="str">
            <v>The Nine</v>
          </cell>
        </row>
        <row r="394">
          <cell r="A394" t="str">
            <v>THE NINE</v>
          </cell>
          <cell r="C394" t="str">
            <v>AF</v>
          </cell>
          <cell r="E394" t="str">
            <v>T2</v>
          </cell>
          <cell r="F394">
            <v>119</v>
          </cell>
          <cell r="Q394" t="str">
            <v xml:space="preserve">DEED </v>
          </cell>
          <cell r="S394">
            <v>590000</v>
          </cell>
          <cell r="T394">
            <v>630000</v>
          </cell>
          <cell r="W394">
            <v>630000</v>
          </cell>
          <cell r="X394">
            <v>0.18</v>
          </cell>
          <cell r="Y394">
            <v>516600</v>
          </cell>
          <cell r="AA394">
            <v>46080</v>
          </cell>
          <cell r="AC394" t="str">
            <v>Ana Damásio</v>
          </cell>
          <cell r="AJ394" t="str">
            <v>The Nine</v>
          </cell>
        </row>
        <row r="395">
          <cell r="A395" t="str">
            <v>THE NINE</v>
          </cell>
          <cell r="C395" t="str">
            <v>AH</v>
          </cell>
          <cell r="E395" t="str">
            <v>T2</v>
          </cell>
          <cell r="F395">
            <v>119</v>
          </cell>
          <cell r="Q395" t="str">
            <v xml:space="preserve">DEED </v>
          </cell>
          <cell r="S395">
            <v>590000</v>
          </cell>
          <cell r="T395">
            <v>630000</v>
          </cell>
          <cell r="W395">
            <v>630000</v>
          </cell>
          <cell r="X395">
            <v>0.18</v>
          </cell>
          <cell r="Y395">
            <v>516600</v>
          </cell>
          <cell r="AC395" t="str">
            <v>Ana Damásio</v>
          </cell>
          <cell r="AJ395" t="str">
            <v>The Nine</v>
          </cell>
        </row>
        <row r="396">
          <cell r="A396" t="str">
            <v>THE NINE</v>
          </cell>
          <cell r="C396" t="str">
            <v>I</v>
          </cell>
          <cell r="E396" t="str">
            <v>T2</v>
          </cell>
          <cell r="F396">
            <v>111</v>
          </cell>
          <cell r="Q396" t="str">
            <v xml:space="preserve">DEED </v>
          </cell>
          <cell r="S396">
            <v>570000</v>
          </cell>
          <cell r="T396">
            <v>630000</v>
          </cell>
          <cell r="W396">
            <v>630000</v>
          </cell>
          <cell r="X396">
            <v>0.18</v>
          </cell>
          <cell r="Y396">
            <v>516600</v>
          </cell>
          <cell r="AA396">
            <v>45904</v>
          </cell>
          <cell r="AC396" t="str">
            <v>Ana Damásio</v>
          </cell>
          <cell r="AJ396" t="str">
            <v>The Nine</v>
          </cell>
        </row>
        <row r="397">
          <cell r="A397" t="str">
            <v>THE NINE</v>
          </cell>
          <cell r="C397" t="str">
            <v>W</v>
          </cell>
          <cell r="E397" t="str">
            <v>T2</v>
          </cell>
          <cell r="F397">
            <v>117</v>
          </cell>
          <cell r="Q397" t="str">
            <v xml:space="preserve">DEED </v>
          </cell>
          <cell r="S397">
            <v>550000</v>
          </cell>
          <cell r="T397">
            <v>610000</v>
          </cell>
          <cell r="W397">
            <v>610000</v>
          </cell>
          <cell r="X397">
            <v>0.18</v>
          </cell>
          <cell r="Y397">
            <v>500200</v>
          </cell>
          <cell r="AA397">
            <v>45904</v>
          </cell>
          <cell r="AC397" t="str">
            <v>Ana Damásio</v>
          </cell>
          <cell r="AJ397" t="str">
            <v>The Nine</v>
          </cell>
        </row>
        <row r="398">
          <cell r="A398" t="str">
            <v>THE NINE</v>
          </cell>
          <cell r="C398" t="str">
            <v>X</v>
          </cell>
          <cell r="E398" t="str">
            <v>T2</v>
          </cell>
          <cell r="F398">
            <v>117</v>
          </cell>
          <cell r="Q398" t="str">
            <v xml:space="preserve">DEED </v>
          </cell>
          <cell r="S398">
            <v>490000</v>
          </cell>
          <cell r="T398">
            <v>610000</v>
          </cell>
          <cell r="W398">
            <v>610000</v>
          </cell>
          <cell r="X398">
            <v>0.18</v>
          </cell>
          <cell r="Y398">
            <v>500200</v>
          </cell>
          <cell r="AA398">
            <v>45904</v>
          </cell>
          <cell r="AC398" t="str">
            <v>Ana Damásio</v>
          </cell>
          <cell r="AJ398" t="str">
            <v>The Nine</v>
          </cell>
        </row>
        <row r="399">
          <cell r="A399" t="str">
            <v>THE NINE</v>
          </cell>
          <cell r="C399" t="str">
            <v>AK</v>
          </cell>
          <cell r="E399" t="str">
            <v>T2</v>
          </cell>
          <cell r="F399">
            <v>119</v>
          </cell>
          <cell r="Q399" t="str">
            <v xml:space="preserve">DEED </v>
          </cell>
          <cell r="S399">
            <v>590000</v>
          </cell>
          <cell r="T399">
            <v>640000</v>
          </cell>
          <cell r="W399">
            <v>640000</v>
          </cell>
          <cell r="X399">
            <v>0.1928125</v>
          </cell>
          <cell r="Y399">
            <v>516600</v>
          </cell>
          <cell r="AA399">
            <v>45918</v>
          </cell>
          <cell r="AC399" t="str">
            <v>Ana Damásio</v>
          </cell>
          <cell r="AJ399" t="str">
            <v>The Nine</v>
          </cell>
        </row>
        <row r="400">
          <cell r="A400" t="str">
            <v>THE NINE</v>
          </cell>
          <cell r="C400" t="str">
            <v>AL</v>
          </cell>
          <cell r="E400" t="str">
            <v>T2</v>
          </cell>
          <cell r="F400">
            <v>119</v>
          </cell>
          <cell r="Q400" t="str">
            <v xml:space="preserve">DEED </v>
          </cell>
          <cell r="S400">
            <v>590000</v>
          </cell>
          <cell r="T400">
            <v>640000</v>
          </cell>
          <cell r="W400">
            <v>640000</v>
          </cell>
          <cell r="X400">
            <v>0.1928125</v>
          </cell>
          <cell r="Y400">
            <v>516600</v>
          </cell>
          <cell r="AA400">
            <v>45918</v>
          </cell>
          <cell r="AC400" t="str">
            <v>Ana Damásio</v>
          </cell>
          <cell r="AJ400" t="str">
            <v>The Nine</v>
          </cell>
        </row>
        <row r="401">
          <cell r="A401" t="str">
            <v>THE UNCOMMON</v>
          </cell>
          <cell r="C401" t="str">
            <v>502</v>
          </cell>
          <cell r="E401" t="str">
            <v>T2</v>
          </cell>
          <cell r="F401">
            <v>161</v>
          </cell>
          <cell r="Q401" t="str">
            <v xml:space="preserve">PSPA </v>
          </cell>
          <cell r="S401">
            <v>1340000</v>
          </cell>
          <cell r="T401">
            <v>1440000</v>
          </cell>
          <cell r="U401">
            <v>50000</v>
          </cell>
          <cell r="V401">
            <v>23000</v>
          </cell>
          <cell r="W401">
            <v>1367000</v>
          </cell>
          <cell r="X401">
            <v>0.202569444444444</v>
          </cell>
          <cell r="Y401">
            <v>1148300</v>
          </cell>
          <cell r="AA401">
            <v>46057</v>
          </cell>
          <cell r="AC401" t="str">
            <v>Ana Damásio</v>
          </cell>
          <cell r="AJ401" t="str">
            <v>The Uncommon</v>
          </cell>
        </row>
        <row r="402">
          <cell r="A402" t="str">
            <v>Aroeira - VILLAS</v>
          </cell>
          <cell r="C402" t="str">
            <v>03E</v>
          </cell>
          <cell r="E402" t="str">
            <v>T5</v>
          </cell>
          <cell r="F402">
            <v>594.4</v>
          </cell>
          <cell r="Q402" t="str">
            <v>AVAILABLE</v>
          </cell>
          <cell r="S402">
            <v>3225000</v>
          </cell>
          <cell r="T402">
            <v>3225000</v>
          </cell>
          <cell r="V402">
            <v>80000</v>
          </cell>
          <cell r="W402">
            <v>3145000</v>
          </cell>
          <cell r="AB402">
            <v>47118</v>
          </cell>
          <cell r="AC402" t="str">
            <v>João Gameiro</v>
          </cell>
          <cell r="AJ402" t="str">
            <v>Aroeira Collections</v>
          </cell>
        </row>
        <row r="403">
          <cell r="A403" t="str">
            <v>Aroeira - VILLAS</v>
          </cell>
          <cell r="C403" t="str">
            <v>06D</v>
          </cell>
          <cell r="E403" t="str">
            <v>T4</v>
          </cell>
          <cell r="F403">
            <v>553</v>
          </cell>
          <cell r="Q403" t="str">
            <v>AVAILABLE</v>
          </cell>
          <cell r="S403">
            <v>2570000</v>
          </cell>
          <cell r="T403">
            <v>2570000</v>
          </cell>
          <cell r="V403">
            <v>70000</v>
          </cell>
          <cell r="W403">
            <v>2500000</v>
          </cell>
          <cell r="AB403">
            <v>47118</v>
          </cell>
          <cell r="AC403" t="str">
            <v>João Gameiro</v>
          </cell>
          <cell r="AJ403" t="str">
            <v>Aroeira Collections</v>
          </cell>
        </row>
        <row r="404">
          <cell r="A404" t="str">
            <v>Aroeira - VILLAS</v>
          </cell>
          <cell r="C404" t="str">
            <v>07D</v>
          </cell>
          <cell r="E404" t="str">
            <v>T4</v>
          </cell>
          <cell r="F404">
            <v>553</v>
          </cell>
          <cell r="Q404" t="str">
            <v>AVAILABLE</v>
          </cell>
          <cell r="S404">
            <v>2570000</v>
          </cell>
          <cell r="T404">
            <v>2600000</v>
          </cell>
          <cell r="V404">
            <v>70000</v>
          </cell>
          <cell r="W404">
            <v>2530000</v>
          </cell>
          <cell r="AB404">
            <v>47118</v>
          </cell>
          <cell r="AC404" t="str">
            <v>João Gameiro</v>
          </cell>
          <cell r="AJ404" t="str">
            <v>Aroeira Collections</v>
          </cell>
        </row>
        <row r="405">
          <cell r="A405" t="str">
            <v>Aroeira - HOUSES</v>
          </cell>
          <cell r="C405" t="str">
            <v>08B</v>
          </cell>
          <cell r="E405" t="str">
            <v>T2</v>
          </cell>
          <cell r="F405">
            <v>194.4</v>
          </cell>
          <cell r="Q405" t="str">
            <v>AVAILABLE</v>
          </cell>
          <cell r="S405">
            <v>1080000</v>
          </cell>
          <cell r="T405">
            <v>1140000</v>
          </cell>
          <cell r="V405">
            <v>0</v>
          </cell>
          <cell r="W405">
            <v>1140000</v>
          </cell>
          <cell r="AB405">
            <v>47118</v>
          </cell>
          <cell r="AC405" t="str">
            <v>João Gameiro</v>
          </cell>
          <cell r="AJ405" t="str">
            <v>Aroeira Collections</v>
          </cell>
        </row>
        <row r="406">
          <cell r="A406" t="str">
            <v>Aroeira - VILLAS</v>
          </cell>
          <cell r="C406" t="str">
            <v>08D</v>
          </cell>
          <cell r="E406" t="str">
            <v>T4</v>
          </cell>
          <cell r="F406">
            <v>554</v>
          </cell>
          <cell r="Q406" t="str">
            <v>AVAILABLE</v>
          </cell>
          <cell r="S406">
            <v>2570000</v>
          </cell>
          <cell r="T406">
            <v>2600000</v>
          </cell>
          <cell r="V406">
            <v>70000</v>
          </cell>
          <cell r="W406">
            <v>2530000</v>
          </cell>
          <cell r="AB406">
            <v>47118</v>
          </cell>
          <cell r="AC406" t="str">
            <v>João Gameiro</v>
          </cell>
          <cell r="AJ406" t="str">
            <v>Aroeira Collections</v>
          </cell>
        </row>
        <row r="407">
          <cell r="A407" t="str">
            <v>Aroeira - VILLAS</v>
          </cell>
          <cell r="C407" t="str">
            <v>09E</v>
          </cell>
          <cell r="E407" t="str">
            <v>T5</v>
          </cell>
          <cell r="F407">
            <v>587.4</v>
          </cell>
          <cell r="Q407" t="str">
            <v>AVAILABLE</v>
          </cell>
          <cell r="S407">
            <v>3140000</v>
          </cell>
          <cell r="T407">
            <v>3140000</v>
          </cell>
          <cell r="V407">
            <v>80000</v>
          </cell>
          <cell r="W407">
            <v>3060000</v>
          </cell>
          <cell r="AB407">
            <v>47118</v>
          </cell>
          <cell r="AC407" t="str">
            <v>João Gameiro</v>
          </cell>
          <cell r="AJ407" t="str">
            <v>Aroeira Collections</v>
          </cell>
        </row>
        <row r="408">
          <cell r="A408" t="str">
            <v>Aroeira - HOTEL APARTMENTS</v>
          </cell>
          <cell r="C408" t="str">
            <v>101B</v>
          </cell>
          <cell r="E408" t="str">
            <v>2-BR*</v>
          </cell>
          <cell r="F408">
            <v>98.7</v>
          </cell>
          <cell r="Q408" t="str">
            <v>AVAILABLE</v>
          </cell>
          <cell r="S408">
            <v>595000</v>
          </cell>
          <cell r="T408">
            <v>595000</v>
          </cell>
          <cell r="V408">
            <v>45000</v>
          </cell>
          <cell r="W408">
            <v>550000</v>
          </cell>
          <cell r="AB408">
            <v>47118</v>
          </cell>
          <cell r="AC408" t="str">
            <v>João Gameiro</v>
          </cell>
          <cell r="AJ408" t="str">
            <v>Aroeira Collections</v>
          </cell>
        </row>
        <row r="409">
          <cell r="A409" t="str">
            <v>Aroeira - APARTMENTS</v>
          </cell>
          <cell r="C409" t="str">
            <v>101B</v>
          </cell>
          <cell r="E409" t="str">
            <v>2-BR</v>
          </cell>
          <cell r="F409">
            <v>177.33</v>
          </cell>
          <cell r="Q409" t="str">
            <v>NOT FOR SALE</v>
          </cell>
          <cell r="S409">
            <v>775000</v>
          </cell>
          <cell r="T409">
            <v>825000</v>
          </cell>
          <cell r="V409">
            <v>45000</v>
          </cell>
          <cell r="W409">
            <v>780000</v>
          </cell>
          <cell r="AB409">
            <v>47118</v>
          </cell>
          <cell r="AC409" t="str">
            <v>João Gameiro</v>
          </cell>
          <cell r="AJ409" t="str">
            <v>Aroeira Collections</v>
          </cell>
        </row>
        <row r="410">
          <cell r="A410" t="str">
            <v>Aroeira - HOTEL APARTMENTS</v>
          </cell>
          <cell r="C410" t="str">
            <v>102A</v>
          </cell>
          <cell r="E410" t="str">
            <v>1-BR</v>
          </cell>
          <cell r="F410">
            <v>65</v>
          </cell>
          <cell r="Q410" t="str">
            <v>AVAILABLE</v>
          </cell>
          <cell r="S410">
            <v>840000</v>
          </cell>
          <cell r="T410">
            <v>415000</v>
          </cell>
          <cell r="V410">
            <v>35000</v>
          </cell>
          <cell r="W410">
            <v>380000</v>
          </cell>
          <cell r="AB410">
            <v>47118</v>
          </cell>
          <cell r="AC410" t="str">
            <v>João Gameiro</v>
          </cell>
          <cell r="AJ410" t="str">
            <v>Aroeira Collections</v>
          </cell>
        </row>
        <row r="411">
          <cell r="A411" t="str">
            <v>Aroeira - APARTMENTS</v>
          </cell>
          <cell r="C411" t="str">
            <v>102B</v>
          </cell>
          <cell r="E411" t="str">
            <v>2-BR</v>
          </cell>
          <cell r="F411">
            <v>178.55</v>
          </cell>
          <cell r="Q411" t="str">
            <v>AVAILABLE</v>
          </cell>
          <cell r="S411">
            <v>770000</v>
          </cell>
          <cell r="T411">
            <v>820000</v>
          </cell>
          <cell r="V411">
            <v>45000</v>
          </cell>
          <cell r="W411">
            <v>775000</v>
          </cell>
          <cell r="AB411">
            <v>47118</v>
          </cell>
          <cell r="AC411" t="str">
            <v>João Gameiro</v>
          </cell>
          <cell r="AJ411" t="str">
            <v>Aroeira Collections</v>
          </cell>
        </row>
        <row r="412">
          <cell r="A412" t="str">
            <v>Aroeira - APARTMENTS</v>
          </cell>
          <cell r="C412" t="str">
            <v>103B</v>
          </cell>
          <cell r="E412" t="str">
            <v>2-BR</v>
          </cell>
          <cell r="F412">
            <v>161.18</v>
          </cell>
          <cell r="Q412" t="str">
            <v>NOT FOR SALE</v>
          </cell>
          <cell r="S412">
            <v>765000</v>
          </cell>
          <cell r="T412">
            <v>830000</v>
          </cell>
          <cell r="V412">
            <v>45000</v>
          </cell>
          <cell r="W412">
            <v>785000</v>
          </cell>
          <cell r="AB412">
            <v>47118</v>
          </cell>
          <cell r="AC412" t="str">
            <v>João Gameiro</v>
          </cell>
          <cell r="AJ412" t="str">
            <v>Aroeira Collections</v>
          </cell>
        </row>
        <row r="413">
          <cell r="A413" t="str">
            <v>Aroeira - HOTEL APARTMENTS</v>
          </cell>
          <cell r="C413" t="str">
            <v>104A</v>
          </cell>
          <cell r="E413" t="str">
            <v>1-BR</v>
          </cell>
          <cell r="F413">
            <v>65</v>
          </cell>
          <cell r="Q413" t="str">
            <v>AVAILABLE</v>
          </cell>
          <cell r="S413">
            <v>950000</v>
          </cell>
          <cell r="T413">
            <v>415000</v>
          </cell>
          <cell r="V413">
            <v>35000</v>
          </cell>
          <cell r="W413">
            <v>380000</v>
          </cell>
          <cell r="AB413">
            <v>47118</v>
          </cell>
          <cell r="AC413" t="str">
            <v>João Gameiro</v>
          </cell>
          <cell r="AJ413" t="str">
            <v>Aroeira Collections</v>
          </cell>
        </row>
        <row r="414">
          <cell r="A414" t="str">
            <v>Aroeira - APARTMENTS</v>
          </cell>
          <cell r="C414" t="str">
            <v>104B</v>
          </cell>
          <cell r="E414" t="str">
            <v>2-BR</v>
          </cell>
          <cell r="F414">
            <v>176.52</v>
          </cell>
          <cell r="Q414" t="str">
            <v>AVAILABLE</v>
          </cell>
          <cell r="S414">
            <v>775000</v>
          </cell>
          <cell r="T414">
            <v>835000</v>
          </cell>
          <cell r="V414">
            <v>45000</v>
          </cell>
          <cell r="W414">
            <v>790000</v>
          </cell>
          <cell r="AB414">
            <v>47118</v>
          </cell>
          <cell r="AC414" t="str">
            <v>João Gameiro</v>
          </cell>
          <cell r="AJ414" t="str">
            <v>Aroeira Collections</v>
          </cell>
        </row>
        <row r="415">
          <cell r="A415" t="str">
            <v>Palmares - Signature Residences</v>
          </cell>
          <cell r="C415" t="str">
            <v>16C</v>
          </cell>
          <cell r="E415" t="str">
            <v>T1 + 1Accesible</v>
          </cell>
          <cell r="F415">
            <v>162.69</v>
          </cell>
          <cell r="Q415" t="str">
            <v>RESERVED</v>
          </cell>
          <cell r="S415">
            <v>730000</v>
          </cell>
          <cell r="T415">
            <v>730000</v>
          </cell>
          <cell r="W415">
            <v>730000</v>
          </cell>
          <cell r="Y415">
            <v>730000</v>
          </cell>
          <cell r="AA415">
            <v>46141</v>
          </cell>
          <cell r="AB415">
            <v>46843</v>
          </cell>
          <cell r="AJ415" t="str">
            <v>Palmares</v>
          </cell>
        </row>
        <row r="416">
          <cell r="A416" t="str">
            <v>Palmares - Signature Residences</v>
          </cell>
          <cell r="C416" t="str">
            <v>1A</v>
          </cell>
          <cell r="E416" t="str">
            <v>T1 + 1</v>
          </cell>
          <cell r="F416">
            <v>137.29</v>
          </cell>
          <cell r="Q416" t="str">
            <v>RESERVED</v>
          </cell>
          <cell r="S416">
            <v>820000</v>
          </cell>
          <cell r="T416">
            <v>820000</v>
          </cell>
          <cell r="W416">
            <v>820000</v>
          </cell>
          <cell r="Y416">
            <v>820000</v>
          </cell>
          <cell r="AB416">
            <v>46843</v>
          </cell>
          <cell r="AJ416" t="str">
            <v>Palmares</v>
          </cell>
        </row>
        <row r="417">
          <cell r="A417" t="str">
            <v>Palmares - Signature Residences</v>
          </cell>
          <cell r="C417" t="str">
            <v>8A</v>
          </cell>
          <cell r="E417" t="str">
            <v>T1 + 1</v>
          </cell>
          <cell r="F417">
            <v>143.08000000000001</v>
          </cell>
          <cell r="Q417" t="str">
            <v>RESERVED</v>
          </cell>
          <cell r="S417">
            <v>800000</v>
          </cell>
          <cell r="T417">
            <v>800000</v>
          </cell>
          <cell r="W417">
            <v>800000</v>
          </cell>
          <cell r="Y417">
            <v>800000</v>
          </cell>
          <cell r="AB417">
            <v>46843</v>
          </cell>
          <cell r="AJ417" t="str">
            <v>Palmares</v>
          </cell>
        </row>
        <row r="418">
          <cell r="A418" t="str">
            <v>Aroeira - HOTEL APARTMENTS</v>
          </cell>
          <cell r="C418" t="str">
            <v>105A</v>
          </cell>
          <cell r="E418" t="str">
            <v>1-BR</v>
          </cell>
          <cell r="F418">
            <v>65</v>
          </cell>
          <cell r="Q418" t="str">
            <v>AVAILABLE</v>
          </cell>
          <cell r="S418">
            <v>790000</v>
          </cell>
          <cell r="T418">
            <v>415000</v>
          </cell>
          <cell r="V418">
            <v>35000</v>
          </cell>
          <cell r="W418">
            <v>380000</v>
          </cell>
          <cell r="AB418">
            <v>47118</v>
          </cell>
          <cell r="AC418" t="str">
            <v>João Gameiro</v>
          </cell>
          <cell r="AJ418" t="str">
            <v>Aroeira Collections</v>
          </cell>
        </row>
        <row r="419">
          <cell r="A419" t="str">
            <v>Aroeira - HOTEL APARTMENTS</v>
          </cell>
          <cell r="C419" t="str">
            <v>106A</v>
          </cell>
          <cell r="E419" t="str">
            <v>1-BR</v>
          </cell>
          <cell r="F419">
            <v>65</v>
          </cell>
          <cell r="Q419" t="str">
            <v>AVAILABLE</v>
          </cell>
          <cell r="S419">
            <v>890000</v>
          </cell>
          <cell r="T419">
            <v>415000</v>
          </cell>
          <cell r="V419">
            <v>35000</v>
          </cell>
          <cell r="W419">
            <v>380000</v>
          </cell>
          <cell r="AB419">
            <v>47118</v>
          </cell>
          <cell r="AC419" t="str">
            <v>João Gameiro</v>
          </cell>
          <cell r="AJ419" t="str">
            <v>Aroeira Collections</v>
          </cell>
        </row>
        <row r="420">
          <cell r="A420" t="str">
            <v>Aroeira - HOTEL APARTMENTS</v>
          </cell>
          <cell r="C420" t="str">
            <v>107A</v>
          </cell>
          <cell r="E420" t="str">
            <v>1-BR</v>
          </cell>
          <cell r="F420">
            <v>65</v>
          </cell>
          <cell r="Q420" t="str">
            <v>AVAILABLE</v>
          </cell>
          <cell r="S420">
            <v>860000</v>
          </cell>
          <cell r="T420">
            <v>415000</v>
          </cell>
          <cell r="V420">
            <v>35000</v>
          </cell>
          <cell r="W420">
            <v>380000</v>
          </cell>
          <cell r="AB420">
            <v>47118</v>
          </cell>
          <cell r="AC420" t="str">
            <v>João Gameiro</v>
          </cell>
          <cell r="AJ420" t="str">
            <v>Aroeira Collections</v>
          </cell>
        </row>
        <row r="421">
          <cell r="A421" t="str">
            <v>Aroeira - APARTMENTS</v>
          </cell>
          <cell r="C421" t="str">
            <v>107B</v>
          </cell>
          <cell r="E421" t="str">
            <v>2-BR</v>
          </cell>
          <cell r="F421">
            <v>206.08</v>
          </cell>
          <cell r="Q421" t="str">
            <v>NOT FOR SALE</v>
          </cell>
          <cell r="S421">
            <v>790000</v>
          </cell>
          <cell r="T421">
            <v>850000</v>
          </cell>
          <cell r="V421">
            <v>45000</v>
          </cell>
          <cell r="W421">
            <v>805000</v>
          </cell>
          <cell r="AB421">
            <v>47118</v>
          </cell>
          <cell r="AC421" t="str">
            <v>João Gameiro</v>
          </cell>
          <cell r="AJ421" t="str">
            <v>Aroeira Collections</v>
          </cell>
        </row>
        <row r="422">
          <cell r="A422" t="str">
            <v>Aroeira - HOTEL APARTMENTS</v>
          </cell>
          <cell r="C422" t="str">
            <v>108A</v>
          </cell>
          <cell r="E422" t="str">
            <v>1-BR</v>
          </cell>
          <cell r="F422">
            <v>65</v>
          </cell>
          <cell r="Q422" t="str">
            <v>AVAILABLE</v>
          </cell>
          <cell r="S422">
            <v>960000</v>
          </cell>
          <cell r="T422">
            <v>415000</v>
          </cell>
          <cell r="V422">
            <v>35000</v>
          </cell>
          <cell r="W422">
            <v>380000</v>
          </cell>
          <cell r="AB422">
            <v>47118</v>
          </cell>
          <cell r="AC422" t="str">
            <v>João Gameiro</v>
          </cell>
          <cell r="AJ422" t="str">
            <v>Aroeira Collections</v>
          </cell>
        </row>
        <row r="423">
          <cell r="A423" t="str">
            <v>Aroeira - APARTMENTS</v>
          </cell>
          <cell r="C423" t="str">
            <v>108B</v>
          </cell>
          <cell r="E423" t="str">
            <v>2-BR</v>
          </cell>
          <cell r="F423">
            <v>206.23</v>
          </cell>
          <cell r="Q423" t="str">
            <v>NOT FOR SALE</v>
          </cell>
          <cell r="S423">
            <v>790000</v>
          </cell>
          <cell r="T423">
            <v>850000</v>
          </cell>
          <cell r="V423">
            <v>45000</v>
          </cell>
          <cell r="W423">
            <v>805000</v>
          </cell>
          <cell r="AB423">
            <v>47118</v>
          </cell>
          <cell r="AC423" t="str">
            <v>João Gameiro</v>
          </cell>
          <cell r="AJ423" t="str">
            <v>Aroeira Collections</v>
          </cell>
        </row>
        <row r="424">
          <cell r="A424" t="str">
            <v>Aroeira - HOTEL APARTMENTS</v>
          </cell>
          <cell r="C424" t="str">
            <v>109B</v>
          </cell>
          <cell r="E424" t="str">
            <v>2-BR*</v>
          </cell>
          <cell r="F424">
            <v>98.7</v>
          </cell>
          <cell r="Q424" t="str">
            <v>AVAILABLE</v>
          </cell>
          <cell r="S424">
            <v>595000</v>
          </cell>
          <cell r="T424">
            <v>595000</v>
          </cell>
          <cell r="V424">
            <v>45000</v>
          </cell>
          <cell r="W424">
            <v>550000</v>
          </cell>
          <cell r="AB424">
            <v>47118</v>
          </cell>
          <cell r="AC424" t="str">
            <v>João Gameiro</v>
          </cell>
          <cell r="AJ424" t="str">
            <v>Aroeira Collections</v>
          </cell>
        </row>
        <row r="425">
          <cell r="A425" t="str">
            <v>Aroeira - VILLAS</v>
          </cell>
          <cell r="C425" t="str">
            <v>10E</v>
          </cell>
          <cell r="E425" t="str">
            <v>T5</v>
          </cell>
          <cell r="F425">
            <v>533.5</v>
          </cell>
          <cell r="Q425" t="str">
            <v>AVAILABLE</v>
          </cell>
          <cell r="S425">
            <v>2955000</v>
          </cell>
          <cell r="T425">
            <v>2955000</v>
          </cell>
          <cell r="V425">
            <v>80000</v>
          </cell>
          <cell r="W425">
            <v>2875000</v>
          </cell>
          <cell r="AB425">
            <v>47118</v>
          </cell>
          <cell r="AC425" t="str">
            <v>João Gameiro</v>
          </cell>
          <cell r="AJ425" t="str">
            <v>Aroeira Collections</v>
          </cell>
        </row>
        <row r="426">
          <cell r="A426" t="str">
            <v>Aroeira - HOTEL APARTMENTS</v>
          </cell>
          <cell r="C426" t="str">
            <v>110A</v>
          </cell>
          <cell r="E426" t="str">
            <v>1-BR</v>
          </cell>
          <cell r="F426">
            <v>72.5</v>
          </cell>
          <cell r="Q426" t="str">
            <v>AVAILABLE</v>
          </cell>
          <cell r="S426">
            <v>460000</v>
          </cell>
          <cell r="T426">
            <v>460000</v>
          </cell>
          <cell r="V426">
            <v>35000</v>
          </cell>
          <cell r="W426">
            <v>425000</v>
          </cell>
          <cell r="AB426">
            <v>47118</v>
          </cell>
          <cell r="AC426" t="str">
            <v>João Gameiro</v>
          </cell>
          <cell r="AJ426" t="str">
            <v>Aroeira Collections</v>
          </cell>
        </row>
        <row r="427">
          <cell r="A427" t="str">
            <v>Aroeira - HOTEL APARTMENTS</v>
          </cell>
          <cell r="C427" t="str">
            <v>111B</v>
          </cell>
          <cell r="E427" t="str">
            <v>2-BR*</v>
          </cell>
          <cell r="F427">
            <v>98.8</v>
          </cell>
          <cell r="Q427" t="str">
            <v>AVAILABLE</v>
          </cell>
          <cell r="S427">
            <v>620000</v>
          </cell>
          <cell r="T427">
            <v>620000</v>
          </cell>
          <cell r="V427">
            <v>45000</v>
          </cell>
          <cell r="W427">
            <v>575000</v>
          </cell>
          <cell r="AB427">
            <v>47118</v>
          </cell>
          <cell r="AC427" t="str">
            <v>João Gameiro</v>
          </cell>
          <cell r="AJ427" t="str">
            <v>Aroeira Collections</v>
          </cell>
        </row>
        <row r="428">
          <cell r="A428" t="str">
            <v>Aroeira - APARTMENTS</v>
          </cell>
          <cell r="C428" t="str">
            <v>111B</v>
          </cell>
          <cell r="E428" t="str">
            <v>2-BR</v>
          </cell>
          <cell r="F428">
            <v>167.67</v>
          </cell>
          <cell r="Q428" t="str">
            <v>AVAILABLE</v>
          </cell>
          <cell r="S428">
            <v>825000</v>
          </cell>
          <cell r="T428">
            <v>850000</v>
          </cell>
          <cell r="V428">
            <v>45000</v>
          </cell>
          <cell r="W428">
            <v>805000</v>
          </cell>
          <cell r="AB428">
            <v>47118</v>
          </cell>
          <cell r="AC428" t="str">
            <v>João Gameiro</v>
          </cell>
          <cell r="AJ428" t="str">
            <v>Aroeira Collections</v>
          </cell>
        </row>
        <row r="429">
          <cell r="A429" t="str">
            <v>Aroeira - HOTEL APARTMENTS</v>
          </cell>
          <cell r="C429" t="str">
            <v>112B</v>
          </cell>
          <cell r="E429" t="str">
            <v>2-BR*</v>
          </cell>
          <cell r="F429">
            <v>98.8</v>
          </cell>
          <cell r="Q429" t="str">
            <v>AVAILABLE</v>
          </cell>
          <cell r="S429">
            <v>620000</v>
          </cell>
          <cell r="T429">
            <v>620000</v>
          </cell>
          <cell r="V429">
            <v>45000</v>
          </cell>
          <cell r="W429">
            <v>575000</v>
          </cell>
          <cell r="AB429">
            <v>47118</v>
          </cell>
          <cell r="AC429" t="str">
            <v>João Gameiro</v>
          </cell>
          <cell r="AJ429" t="str">
            <v>Aroeira Collections</v>
          </cell>
        </row>
        <row r="430">
          <cell r="A430" t="str">
            <v>Aroeira - HOTEL APARTMENTS</v>
          </cell>
          <cell r="C430" t="str">
            <v>113B</v>
          </cell>
          <cell r="E430" t="str">
            <v>2-BR*</v>
          </cell>
          <cell r="F430">
            <v>98.8</v>
          </cell>
          <cell r="Q430" t="str">
            <v>AVAILABLE</v>
          </cell>
          <cell r="S430">
            <v>620000</v>
          </cell>
          <cell r="T430">
            <v>620000</v>
          </cell>
          <cell r="V430">
            <v>45000</v>
          </cell>
          <cell r="W430">
            <v>575000</v>
          </cell>
          <cell r="AB430">
            <v>47118</v>
          </cell>
          <cell r="AC430" t="str">
            <v>João Gameiro</v>
          </cell>
          <cell r="AJ430" t="str">
            <v>Aroeira Collections</v>
          </cell>
        </row>
        <row r="431">
          <cell r="A431" t="str">
            <v>Aroeira - APARTMENTS</v>
          </cell>
          <cell r="C431" t="str">
            <v>113C</v>
          </cell>
          <cell r="E431" t="str">
            <v>3-BR</v>
          </cell>
          <cell r="F431">
            <v>314.93</v>
          </cell>
          <cell r="Q431" t="str">
            <v>AVAILABLE</v>
          </cell>
          <cell r="S431">
            <v>1220000</v>
          </cell>
          <cell r="T431">
            <v>1220000</v>
          </cell>
          <cell r="V431">
            <v>50000</v>
          </cell>
          <cell r="W431">
            <v>1170000</v>
          </cell>
          <cell r="AB431">
            <v>47118</v>
          </cell>
          <cell r="AC431" t="str">
            <v>João Gameiro</v>
          </cell>
          <cell r="AJ431" t="str">
            <v>Aroeira Collections</v>
          </cell>
        </row>
        <row r="432">
          <cell r="A432" t="str">
            <v>Aroeira - HOTEL APARTMENTS</v>
          </cell>
          <cell r="C432" t="str">
            <v>114A</v>
          </cell>
          <cell r="E432" t="str">
            <v>1-BR</v>
          </cell>
          <cell r="F432">
            <v>72.5</v>
          </cell>
          <cell r="Q432" t="str">
            <v>AVAILABLE</v>
          </cell>
          <cell r="S432">
            <v>460000</v>
          </cell>
          <cell r="T432">
            <v>460000</v>
          </cell>
          <cell r="V432">
            <v>35000</v>
          </cell>
          <cell r="W432">
            <v>425000</v>
          </cell>
          <cell r="AB432">
            <v>47118</v>
          </cell>
          <cell r="AC432" t="str">
            <v>João Gameiro</v>
          </cell>
          <cell r="AJ432" t="str">
            <v>Aroeira Collections</v>
          </cell>
        </row>
        <row r="433">
          <cell r="A433" t="str">
            <v>Aroeira - APARTMENTS</v>
          </cell>
          <cell r="C433" t="str">
            <v>114B</v>
          </cell>
          <cell r="E433" t="str">
            <v>2-BR</v>
          </cell>
          <cell r="F433">
            <v>261.39</v>
          </cell>
          <cell r="Q433" t="str">
            <v>NOT FOR SALE</v>
          </cell>
          <cell r="S433">
            <v>885000</v>
          </cell>
          <cell r="T433">
            <v>910000</v>
          </cell>
          <cell r="V433">
            <v>45000</v>
          </cell>
          <cell r="W433">
            <v>865000</v>
          </cell>
          <cell r="AB433">
            <v>47118</v>
          </cell>
          <cell r="AC433" t="str">
            <v>João Gameiro</v>
          </cell>
          <cell r="AJ433" t="str">
            <v>Aroeira Collections</v>
          </cell>
        </row>
        <row r="434">
          <cell r="A434" t="str">
            <v>Aroeira - HOTEL APARTMENTS</v>
          </cell>
          <cell r="C434" t="str">
            <v>115B</v>
          </cell>
          <cell r="E434" t="str">
            <v>2-BR*</v>
          </cell>
          <cell r="F434">
            <v>98.7</v>
          </cell>
          <cell r="Q434" t="str">
            <v>AVAILABLE</v>
          </cell>
          <cell r="S434">
            <v>635000</v>
          </cell>
          <cell r="T434">
            <v>635000</v>
          </cell>
          <cell r="V434">
            <v>45000</v>
          </cell>
          <cell r="W434">
            <v>590000</v>
          </cell>
          <cell r="AB434">
            <v>47118</v>
          </cell>
          <cell r="AC434" t="str">
            <v>João Gameiro</v>
          </cell>
          <cell r="AJ434" t="str">
            <v>Aroeira Collections</v>
          </cell>
        </row>
        <row r="435">
          <cell r="A435" t="str">
            <v>Aroeira - APARTMENTS</v>
          </cell>
          <cell r="C435" t="str">
            <v>115C</v>
          </cell>
          <cell r="E435" t="str">
            <v>3-BR</v>
          </cell>
          <cell r="F435">
            <v>331.7</v>
          </cell>
          <cell r="Q435" t="str">
            <v>NOT FOR SALE</v>
          </cell>
          <cell r="S435">
            <v>1230000</v>
          </cell>
          <cell r="T435">
            <v>1280000</v>
          </cell>
          <cell r="V435">
            <v>50000</v>
          </cell>
          <cell r="W435">
            <v>1230000</v>
          </cell>
          <cell r="AB435">
            <v>47118</v>
          </cell>
          <cell r="AC435" t="str">
            <v>João Gameiro</v>
          </cell>
          <cell r="AJ435" t="str">
            <v>Aroeira Collections</v>
          </cell>
        </row>
        <row r="436">
          <cell r="A436" t="str">
            <v>Aroeira - APARTMENTS</v>
          </cell>
          <cell r="C436" t="str">
            <v>116B</v>
          </cell>
          <cell r="E436" t="str">
            <v>2-BR</v>
          </cell>
          <cell r="F436">
            <v>263.27999999999997</v>
          </cell>
          <cell r="Q436" t="str">
            <v>NOT FOR SALE</v>
          </cell>
          <cell r="S436">
            <v>885000</v>
          </cell>
          <cell r="T436">
            <v>910000</v>
          </cell>
          <cell r="V436">
            <v>45000</v>
          </cell>
          <cell r="W436">
            <v>865000</v>
          </cell>
          <cell r="AB436">
            <v>47118</v>
          </cell>
          <cell r="AC436" t="str">
            <v>João Gameiro</v>
          </cell>
          <cell r="AJ436" t="str">
            <v>Aroeira Collections</v>
          </cell>
        </row>
        <row r="437">
          <cell r="A437" t="str">
            <v>Aroeira - HOTEL APARTMENTS</v>
          </cell>
          <cell r="C437" t="str">
            <v>117A</v>
          </cell>
          <cell r="E437" t="str">
            <v>1-BR</v>
          </cell>
          <cell r="F437">
            <v>65</v>
          </cell>
          <cell r="Q437" t="str">
            <v>AVAILABLE</v>
          </cell>
          <cell r="S437">
            <v>430000</v>
          </cell>
          <cell r="T437">
            <v>430000</v>
          </cell>
          <cell r="V437">
            <v>35000</v>
          </cell>
          <cell r="W437">
            <v>395000</v>
          </cell>
          <cell r="AB437">
            <v>47118</v>
          </cell>
          <cell r="AC437" t="str">
            <v>João Gameiro</v>
          </cell>
          <cell r="AJ437" t="str">
            <v>Aroeira Collections</v>
          </cell>
        </row>
        <row r="438">
          <cell r="A438" t="str">
            <v>Aroeira - APARTMENTS</v>
          </cell>
          <cell r="C438" t="str">
            <v>117C</v>
          </cell>
          <cell r="E438" t="str">
            <v>3-BR</v>
          </cell>
          <cell r="F438">
            <v>345.41</v>
          </cell>
          <cell r="Q438" t="str">
            <v>AVAILABLE</v>
          </cell>
          <cell r="S438">
            <v>1250000</v>
          </cell>
          <cell r="T438">
            <v>1250000</v>
          </cell>
          <cell r="V438">
            <v>50000</v>
          </cell>
          <cell r="W438">
            <v>1200000</v>
          </cell>
          <cell r="AB438">
            <v>47118</v>
          </cell>
          <cell r="AC438" t="str">
            <v>João Gameiro</v>
          </cell>
          <cell r="AJ438" t="str">
            <v>Aroeira Collections</v>
          </cell>
        </row>
        <row r="439">
          <cell r="A439" t="str">
            <v>Aroeira - HOTEL APARTMENTS</v>
          </cell>
          <cell r="C439" t="str">
            <v>118A</v>
          </cell>
          <cell r="E439" t="str">
            <v>1-BR</v>
          </cell>
          <cell r="F439">
            <v>65</v>
          </cell>
          <cell r="Q439" t="str">
            <v>AVAILABLE</v>
          </cell>
          <cell r="S439">
            <v>430000</v>
          </cell>
          <cell r="T439">
            <v>430000</v>
          </cell>
          <cell r="V439">
            <v>35000</v>
          </cell>
          <cell r="W439">
            <v>395000</v>
          </cell>
          <cell r="AB439">
            <v>47118</v>
          </cell>
          <cell r="AC439" t="str">
            <v>João Gameiro</v>
          </cell>
          <cell r="AJ439" t="str">
            <v>Aroeira Collections</v>
          </cell>
        </row>
        <row r="440">
          <cell r="A440" t="str">
            <v>Aroeira - APARTMENTS</v>
          </cell>
          <cell r="C440" t="str">
            <v>118B</v>
          </cell>
          <cell r="E440" t="str">
            <v>2-BR</v>
          </cell>
          <cell r="F440">
            <v>256.23</v>
          </cell>
          <cell r="Q440" t="str">
            <v>NOT FOR SALE</v>
          </cell>
          <cell r="S440">
            <v>890000</v>
          </cell>
          <cell r="T440">
            <v>915000</v>
          </cell>
          <cell r="V440">
            <v>45000</v>
          </cell>
          <cell r="W440">
            <v>870000</v>
          </cell>
          <cell r="AB440">
            <v>47118</v>
          </cell>
          <cell r="AC440" t="str">
            <v>João Gameiro</v>
          </cell>
          <cell r="AJ440" t="str">
            <v>Aroeira Collections</v>
          </cell>
        </row>
        <row r="441">
          <cell r="A441" t="str">
            <v>MR - Linked Villas</v>
          </cell>
          <cell r="C441" t="str">
            <v>T</v>
          </cell>
          <cell r="E441" t="str">
            <v>T3</v>
          </cell>
          <cell r="F441">
            <v>422.36</v>
          </cell>
          <cell r="Q441" t="str">
            <v>AVAILABLE</v>
          </cell>
          <cell r="S441">
            <v>1160000</v>
          </cell>
          <cell r="T441">
            <v>1160000</v>
          </cell>
          <cell r="W441">
            <v>1160000</v>
          </cell>
          <cell r="AB441" t="str">
            <v>TBD</v>
          </cell>
          <cell r="AC441" t="str">
            <v>Sandra Viegas</v>
          </cell>
          <cell r="AJ441" t="str">
            <v>Monte Rei</v>
          </cell>
        </row>
        <row r="442">
          <cell r="A442" t="str">
            <v>Aroeira - APARTMENTS</v>
          </cell>
          <cell r="C442" t="str">
            <v>119B</v>
          </cell>
          <cell r="E442" t="str">
            <v>2-BR</v>
          </cell>
          <cell r="F442">
            <v>255.5</v>
          </cell>
          <cell r="Q442" t="str">
            <v>NOT FOR SALE</v>
          </cell>
          <cell r="S442">
            <v>875000</v>
          </cell>
          <cell r="T442">
            <v>900000</v>
          </cell>
          <cell r="V442">
            <v>45000</v>
          </cell>
          <cell r="W442">
            <v>855000</v>
          </cell>
          <cell r="AB442">
            <v>47118</v>
          </cell>
          <cell r="AC442" t="str">
            <v>João Gameiro</v>
          </cell>
          <cell r="AJ442" t="str">
            <v>Aroeira Collections</v>
          </cell>
        </row>
        <row r="443">
          <cell r="A443" t="str">
            <v>Aroeira - VILLAS</v>
          </cell>
          <cell r="C443" t="str">
            <v>11D</v>
          </cell>
          <cell r="E443" t="str">
            <v>T3+1</v>
          </cell>
          <cell r="F443">
            <v>386.9</v>
          </cell>
          <cell r="Q443" t="str">
            <v>AVAILABLE</v>
          </cell>
          <cell r="S443">
            <v>1965000</v>
          </cell>
          <cell r="T443">
            <v>1965000</v>
          </cell>
          <cell r="V443">
            <v>70000</v>
          </cell>
          <cell r="W443">
            <v>1895000</v>
          </cell>
          <cell r="AB443">
            <v>47118</v>
          </cell>
          <cell r="AC443" t="str">
            <v>João Gameiro</v>
          </cell>
          <cell r="AJ443" t="str">
            <v>Aroeira Collections</v>
          </cell>
        </row>
        <row r="444">
          <cell r="A444" t="str">
            <v>Aroeira - HOUSES</v>
          </cell>
          <cell r="C444" t="str">
            <v>11D</v>
          </cell>
          <cell r="E444" t="str">
            <v>T4</v>
          </cell>
          <cell r="F444">
            <v>347.7</v>
          </cell>
          <cell r="Q444" t="str">
            <v>AVAILABLE</v>
          </cell>
          <cell r="S444">
            <v>1980000</v>
          </cell>
          <cell r="T444">
            <v>1980000</v>
          </cell>
          <cell r="W444">
            <v>1980000</v>
          </cell>
          <cell r="AB444">
            <v>47118</v>
          </cell>
          <cell r="AC444" t="str">
            <v>João Gameiro</v>
          </cell>
          <cell r="AJ444" t="str">
            <v>Aroeira Collections</v>
          </cell>
        </row>
        <row r="445">
          <cell r="A445" t="str">
            <v>Aroeira - HOTEL APARTMENTS</v>
          </cell>
          <cell r="C445" t="str">
            <v>120A</v>
          </cell>
          <cell r="E445" t="str">
            <v>1-BR</v>
          </cell>
          <cell r="F445">
            <v>65</v>
          </cell>
          <cell r="Q445" t="str">
            <v>AVAILABLE</v>
          </cell>
          <cell r="S445">
            <v>430000</v>
          </cell>
          <cell r="T445">
            <v>430000</v>
          </cell>
          <cell r="V445">
            <v>35000</v>
          </cell>
          <cell r="W445">
            <v>395000</v>
          </cell>
          <cell r="AB445">
            <v>47118</v>
          </cell>
          <cell r="AC445" t="str">
            <v>João Gameiro</v>
          </cell>
          <cell r="AJ445" t="str">
            <v>Aroeira Collections</v>
          </cell>
        </row>
        <row r="446">
          <cell r="A446" t="str">
            <v>Aroeira - HOTEL APARTMENTS</v>
          </cell>
          <cell r="C446" t="str">
            <v>122A</v>
          </cell>
          <cell r="E446" t="str">
            <v>1-BR</v>
          </cell>
          <cell r="F446">
            <v>65</v>
          </cell>
          <cell r="Q446" t="str">
            <v>AVAILABLE</v>
          </cell>
          <cell r="S446">
            <v>430000</v>
          </cell>
          <cell r="T446">
            <v>430000</v>
          </cell>
          <cell r="V446">
            <v>35000</v>
          </cell>
          <cell r="W446">
            <v>395000</v>
          </cell>
          <cell r="AB446">
            <v>47118</v>
          </cell>
          <cell r="AC446" t="str">
            <v>João Gameiro</v>
          </cell>
          <cell r="AJ446" t="str">
            <v>Aroeira Collections</v>
          </cell>
        </row>
        <row r="447">
          <cell r="A447" t="str">
            <v>Aroeira - HOTEL APARTMENTS</v>
          </cell>
          <cell r="C447" t="str">
            <v>123B</v>
          </cell>
          <cell r="E447" t="str">
            <v>2-BR*</v>
          </cell>
          <cell r="F447">
            <v>98.7</v>
          </cell>
          <cell r="Q447" t="str">
            <v>AVAILABLE</v>
          </cell>
          <cell r="S447">
            <v>635000</v>
          </cell>
          <cell r="T447">
            <v>635000</v>
          </cell>
          <cell r="V447">
            <v>45000</v>
          </cell>
          <cell r="W447">
            <v>590000</v>
          </cell>
          <cell r="AB447">
            <v>47118</v>
          </cell>
          <cell r="AC447" t="str">
            <v>João Gameiro</v>
          </cell>
          <cell r="AJ447" t="str">
            <v>Aroeira Collections</v>
          </cell>
        </row>
        <row r="448">
          <cell r="A448" t="str">
            <v>Aroeira - HOTEL APARTMENTS</v>
          </cell>
          <cell r="C448" t="str">
            <v>124A</v>
          </cell>
          <cell r="E448" t="str">
            <v>1-BR</v>
          </cell>
          <cell r="F448">
            <v>72.5</v>
          </cell>
          <cell r="Q448" t="str">
            <v>AVAILABLE</v>
          </cell>
          <cell r="S448">
            <v>460000</v>
          </cell>
          <cell r="T448">
            <v>460000</v>
          </cell>
          <cell r="V448">
            <v>35000</v>
          </cell>
          <cell r="W448">
            <v>425000</v>
          </cell>
          <cell r="AB448">
            <v>47118</v>
          </cell>
          <cell r="AC448" t="str">
            <v>João Gameiro</v>
          </cell>
          <cell r="AJ448" t="str">
            <v>Aroeira Collections</v>
          </cell>
        </row>
        <row r="449">
          <cell r="A449" t="str">
            <v>Aroeira - HOTEL APARTMENTS</v>
          </cell>
          <cell r="C449" t="str">
            <v>125B</v>
          </cell>
          <cell r="E449" t="str">
            <v>2-BR*</v>
          </cell>
          <cell r="F449">
            <v>98.8</v>
          </cell>
          <cell r="Q449" t="str">
            <v>AVAILABLE</v>
          </cell>
          <cell r="S449">
            <v>620000</v>
          </cell>
          <cell r="T449">
            <v>620000</v>
          </cell>
          <cell r="V449">
            <v>45000</v>
          </cell>
          <cell r="W449">
            <v>575000</v>
          </cell>
          <cell r="AB449">
            <v>47118</v>
          </cell>
          <cell r="AC449" t="str">
            <v>João Gameiro</v>
          </cell>
          <cell r="AJ449" t="str">
            <v>Aroeira Collections</v>
          </cell>
        </row>
        <row r="450">
          <cell r="A450" t="str">
            <v>Aroeira - HOTEL APARTMENTS</v>
          </cell>
          <cell r="C450" t="str">
            <v>126B</v>
          </cell>
          <cell r="E450" t="str">
            <v>2-BR*</v>
          </cell>
          <cell r="F450">
            <v>98.8</v>
          </cell>
          <cell r="Q450" t="str">
            <v>AVAILABLE</v>
          </cell>
          <cell r="S450">
            <v>620000</v>
          </cell>
          <cell r="T450">
            <v>620000</v>
          </cell>
          <cell r="V450">
            <v>45000</v>
          </cell>
          <cell r="W450">
            <v>575000</v>
          </cell>
          <cell r="AB450">
            <v>47118</v>
          </cell>
          <cell r="AC450" t="str">
            <v>João Gameiro</v>
          </cell>
          <cell r="AJ450" t="str">
            <v>Aroeira Collections</v>
          </cell>
        </row>
        <row r="451">
          <cell r="A451" t="str">
            <v>Aroeira - HOTEL APARTMENTS</v>
          </cell>
          <cell r="C451" t="str">
            <v>127B</v>
          </cell>
          <cell r="E451" t="str">
            <v>2-BR*</v>
          </cell>
          <cell r="F451">
            <v>98.8</v>
          </cell>
          <cell r="Q451" t="str">
            <v>AVAILABLE</v>
          </cell>
          <cell r="S451">
            <v>620000</v>
          </cell>
          <cell r="T451">
            <v>620000</v>
          </cell>
          <cell r="V451">
            <v>45000</v>
          </cell>
          <cell r="W451">
            <v>575000</v>
          </cell>
          <cell r="AB451">
            <v>47118</v>
          </cell>
          <cell r="AC451" t="str">
            <v>João Gameiro</v>
          </cell>
          <cell r="AJ451" t="str">
            <v>Aroeira Collections</v>
          </cell>
        </row>
        <row r="452">
          <cell r="A452" t="str">
            <v>Aroeira - HOTEL APARTMENTS</v>
          </cell>
          <cell r="C452" t="str">
            <v>128A</v>
          </cell>
          <cell r="E452" t="str">
            <v>1-BR</v>
          </cell>
          <cell r="F452">
            <v>72.5</v>
          </cell>
          <cell r="Q452" t="str">
            <v>AVAILABLE</v>
          </cell>
          <cell r="S452">
            <v>460000</v>
          </cell>
          <cell r="T452">
            <v>460000</v>
          </cell>
          <cell r="V452">
            <v>35000</v>
          </cell>
          <cell r="W452">
            <v>425000</v>
          </cell>
          <cell r="AB452">
            <v>47118</v>
          </cell>
          <cell r="AC452" t="str">
            <v>João Gameiro</v>
          </cell>
          <cell r="AJ452" t="str">
            <v>Aroeira Collections</v>
          </cell>
        </row>
        <row r="453">
          <cell r="A453" t="str">
            <v>Aroeira - HOTEL APARTMENTS</v>
          </cell>
          <cell r="C453" t="str">
            <v>129A</v>
          </cell>
          <cell r="E453" t="str">
            <v>1-BR</v>
          </cell>
          <cell r="F453">
            <v>60.2</v>
          </cell>
          <cell r="Q453" t="str">
            <v>AVAILABLE</v>
          </cell>
          <cell r="S453">
            <v>1280000</v>
          </cell>
          <cell r="T453">
            <v>410000</v>
          </cell>
          <cell r="V453">
            <v>35000</v>
          </cell>
          <cell r="W453">
            <v>375000</v>
          </cell>
          <cell r="AB453">
            <v>47118</v>
          </cell>
          <cell r="AC453" t="str">
            <v>João Gameiro</v>
          </cell>
          <cell r="AJ453" t="str">
            <v>Aroeira Collections</v>
          </cell>
        </row>
        <row r="454">
          <cell r="A454" t="str">
            <v>Aroeira - HOUSES</v>
          </cell>
          <cell r="C454" t="str">
            <v>12C</v>
          </cell>
          <cell r="E454" t="str">
            <v>T3</v>
          </cell>
          <cell r="F454">
            <v>249</v>
          </cell>
          <cell r="Q454" t="str">
            <v>AVAILABLE</v>
          </cell>
          <cell r="S454">
            <v>1380000</v>
          </cell>
          <cell r="T454">
            <v>1410000</v>
          </cell>
          <cell r="W454">
            <v>1410000</v>
          </cell>
          <cell r="AB454">
            <v>47118</v>
          </cell>
          <cell r="AC454" t="str">
            <v>João Gameiro</v>
          </cell>
          <cell r="AJ454" t="str">
            <v>Aroeira Collections</v>
          </cell>
        </row>
        <row r="455">
          <cell r="A455" t="str">
            <v>Aroeira - VILLAS</v>
          </cell>
          <cell r="C455" t="str">
            <v>12D</v>
          </cell>
          <cell r="E455" t="str">
            <v>T4</v>
          </cell>
          <cell r="F455">
            <v>422.5</v>
          </cell>
          <cell r="Q455" t="str">
            <v>AVAILABLE</v>
          </cell>
          <cell r="S455">
            <v>2160000</v>
          </cell>
          <cell r="T455">
            <v>2170000</v>
          </cell>
          <cell r="V455">
            <v>70000</v>
          </cell>
          <cell r="W455">
            <v>2100000</v>
          </cell>
          <cell r="AB455">
            <v>47118</v>
          </cell>
          <cell r="AC455" t="str">
            <v>João Gameiro</v>
          </cell>
          <cell r="AJ455" t="str">
            <v>Aroeira Collections</v>
          </cell>
        </row>
        <row r="456">
          <cell r="A456" t="str">
            <v>Aroeira - HOTEL APARTMENTS</v>
          </cell>
          <cell r="C456" t="str">
            <v>138A</v>
          </cell>
          <cell r="E456" t="str">
            <v>1-BR</v>
          </cell>
          <cell r="F456">
            <v>60.2</v>
          </cell>
          <cell r="Q456" t="str">
            <v>AVAILABLE</v>
          </cell>
          <cell r="S456">
            <v>2700000</v>
          </cell>
          <cell r="T456">
            <v>390000</v>
          </cell>
          <cell r="V456">
            <v>35000</v>
          </cell>
          <cell r="W456">
            <v>355000</v>
          </cell>
          <cell r="AB456">
            <v>47118</v>
          </cell>
          <cell r="AC456" t="str">
            <v>João Gameiro</v>
          </cell>
          <cell r="AJ456" t="str">
            <v>Aroeira Collections</v>
          </cell>
        </row>
        <row r="457">
          <cell r="A457" t="str">
            <v>Palmares - Plots</v>
          </cell>
          <cell r="C457" t="str">
            <v>101</v>
          </cell>
          <cell r="E457" t="str">
            <v>Plot</v>
          </cell>
          <cell r="F457">
            <v>340</v>
          </cell>
          <cell r="Q457" t="str">
            <v>AVAILABLE</v>
          </cell>
          <cell r="S457">
            <v>820000</v>
          </cell>
          <cell r="T457">
            <v>1600000</v>
          </cell>
          <cell r="W457">
            <v>1600000</v>
          </cell>
          <cell r="Y457">
            <v>1600000</v>
          </cell>
          <cell r="AB457">
            <v>46843</v>
          </cell>
          <cell r="AC457" t="str">
            <v>Sandra Viegas</v>
          </cell>
          <cell r="AJ457" t="str">
            <v>Palmares</v>
          </cell>
        </row>
        <row r="458">
          <cell r="A458" t="str">
            <v>ELS</v>
          </cell>
          <cell r="C458" t="str">
            <v>1</v>
          </cell>
          <cell r="E458" t="str">
            <v>Plot</v>
          </cell>
          <cell r="F458">
            <v>295</v>
          </cell>
          <cell r="Q458" t="str">
            <v>AVAILABLE</v>
          </cell>
          <cell r="S458">
            <v>2690000</v>
          </cell>
          <cell r="T458">
            <v>2580000</v>
          </cell>
          <cell r="W458">
            <v>2580000</v>
          </cell>
          <cell r="Y458">
            <v>2580000</v>
          </cell>
          <cell r="AC458" t="str">
            <v>Ana Damásio</v>
          </cell>
          <cell r="AJ458" t="str">
            <v>Springs - At the Els</v>
          </cell>
        </row>
        <row r="459">
          <cell r="A459" t="str">
            <v>THE UNCOMMON</v>
          </cell>
          <cell r="C459" t="str">
            <v>1</v>
          </cell>
          <cell r="E459" t="str">
            <v>T3</v>
          </cell>
          <cell r="F459">
            <v>213.2</v>
          </cell>
          <cell r="Q459" t="str">
            <v>AVAILABLE</v>
          </cell>
          <cell r="S459">
            <v>1940000</v>
          </cell>
          <cell r="T459">
            <v>2020000</v>
          </cell>
          <cell r="U459">
            <v>50000</v>
          </cell>
          <cell r="V459">
            <v>30000</v>
          </cell>
          <cell r="W459">
            <v>1940000</v>
          </cell>
          <cell r="Y459">
            <v>2020000</v>
          </cell>
          <cell r="AC459" t="str">
            <v>Ana Damásio</v>
          </cell>
          <cell r="AJ459" t="str">
            <v>The Uncommon</v>
          </cell>
        </row>
        <row r="460">
          <cell r="A460" t="str">
            <v>ELS</v>
          </cell>
          <cell r="C460" t="str">
            <v>10</v>
          </cell>
          <cell r="E460" t="str">
            <v>Plot</v>
          </cell>
          <cell r="F460">
            <v>280</v>
          </cell>
          <cell r="Q460" t="str">
            <v>AVAILABLE</v>
          </cell>
          <cell r="S460">
            <v>3180000</v>
          </cell>
          <cell r="T460">
            <v>1350000</v>
          </cell>
          <cell r="W460">
            <v>1350000</v>
          </cell>
          <cell r="Y460">
            <v>1350000</v>
          </cell>
          <cell r="AC460" t="str">
            <v>Ana Damásio</v>
          </cell>
          <cell r="AJ460" t="str">
            <v>Springs - At the Els</v>
          </cell>
        </row>
        <row r="461">
          <cell r="A461" t="str">
            <v>THE UNCOMMON</v>
          </cell>
          <cell r="C461" t="str">
            <v>10</v>
          </cell>
          <cell r="E461" t="str">
            <v>T3</v>
          </cell>
          <cell r="F461">
            <v>222.7</v>
          </cell>
          <cell r="Q461" t="str">
            <v>AVAILABLE</v>
          </cell>
          <cell r="S461">
            <v>2330000</v>
          </cell>
          <cell r="T461">
            <v>2410000</v>
          </cell>
          <cell r="U461">
            <v>50000</v>
          </cell>
          <cell r="V461">
            <v>30000</v>
          </cell>
          <cell r="W461">
            <v>2330000</v>
          </cell>
          <cell r="Y461">
            <v>2410000</v>
          </cell>
          <cell r="AC461" t="str">
            <v>Ana Damásio</v>
          </cell>
          <cell r="AJ461" t="str">
            <v>The Uncommon</v>
          </cell>
        </row>
        <row r="462">
          <cell r="A462" t="str">
            <v>THE UNCOMMON</v>
          </cell>
          <cell r="C462" t="str">
            <v>101</v>
          </cell>
          <cell r="E462" t="str">
            <v>T3</v>
          </cell>
          <cell r="F462">
            <v>183.9</v>
          </cell>
          <cell r="Q462" t="str">
            <v>AVAILABLE</v>
          </cell>
          <cell r="S462">
            <v>1990000</v>
          </cell>
          <cell r="T462">
            <v>2070000</v>
          </cell>
          <cell r="U462">
            <v>50000</v>
          </cell>
          <cell r="V462">
            <v>30000</v>
          </cell>
          <cell r="W462">
            <v>1990000</v>
          </cell>
          <cell r="Y462">
            <v>2070000</v>
          </cell>
          <cell r="AC462" t="str">
            <v>Ana Damásio</v>
          </cell>
          <cell r="AJ462" t="str">
            <v>The Uncommon</v>
          </cell>
        </row>
        <row r="463">
          <cell r="A463" t="str">
            <v>Aroeira - VILLAS</v>
          </cell>
          <cell r="C463" t="str">
            <v>13D</v>
          </cell>
          <cell r="E463" t="str">
            <v>T3+1</v>
          </cell>
          <cell r="F463">
            <v>378.5</v>
          </cell>
          <cell r="Q463" t="str">
            <v>AVAILABLE</v>
          </cell>
          <cell r="S463">
            <v>1925000</v>
          </cell>
          <cell r="T463">
            <v>1925000</v>
          </cell>
          <cell r="V463">
            <v>70000</v>
          </cell>
          <cell r="W463">
            <v>1855000</v>
          </cell>
          <cell r="AB463">
            <v>47118</v>
          </cell>
          <cell r="AC463" t="str">
            <v>João Gameiro</v>
          </cell>
          <cell r="AJ463" t="str">
            <v>Aroeira Collections</v>
          </cell>
        </row>
        <row r="464">
          <cell r="A464" t="str">
            <v>Aroeira - HOUSES</v>
          </cell>
          <cell r="C464" t="str">
            <v>13D</v>
          </cell>
          <cell r="E464" t="str">
            <v>T4</v>
          </cell>
          <cell r="F464">
            <v>346.7</v>
          </cell>
          <cell r="Q464" t="str">
            <v>AVAILABLE</v>
          </cell>
          <cell r="S464">
            <v>1965000</v>
          </cell>
          <cell r="T464">
            <v>1965000</v>
          </cell>
          <cell r="W464">
            <v>1965000</v>
          </cell>
          <cell r="AB464">
            <v>47118</v>
          </cell>
          <cell r="AC464" t="str">
            <v>João Gameiro</v>
          </cell>
          <cell r="AJ464" t="str">
            <v>Aroeira Collections</v>
          </cell>
        </row>
        <row r="465">
          <cell r="A465" t="str">
            <v>Aroeira - HOUSES</v>
          </cell>
          <cell r="C465" t="str">
            <v>14D</v>
          </cell>
          <cell r="E465" t="str">
            <v>T4</v>
          </cell>
          <cell r="F465">
            <v>361.5</v>
          </cell>
          <cell r="Q465" t="str">
            <v>AVAILABLE</v>
          </cell>
          <cell r="S465">
            <v>2000000</v>
          </cell>
          <cell r="T465">
            <v>2000000</v>
          </cell>
          <cell r="W465">
            <v>2000000</v>
          </cell>
          <cell r="AB465">
            <v>47118</v>
          </cell>
          <cell r="AC465" t="str">
            <v>João Gameiro</v>
          </cell>
          <cell r="AJ465" t="str">
            <v>Aroeira Collections</v>
          </cell>
        </row>
        <row r="466">
          <cell r="A466" t="str">
            <v>Aroeira - VILLAS</v>
          </cell>
          <cell r="C466" t="str">
            <v>14D</v>
          </cell>
          <cell r="E466" t="str">
            <v>T4</v>
          </cell>
          <cell r="F466">
            <v>393.7</v>
          </cell>
          <cell r="Q466" t="str">
            <v>AVAILABLE</v>
          </cell>
          <cell r="S466">
            <v>2045000</v>
          </cell>
          <cell r="T466">
            <v>2045000</v>
          </cell>
          <cell r="V466">
            <v>70000</v>
          </cell>
          <cell r="W466">
            <v>1975000</v>
          </cell>
          <cell r="AB466">
            <v>47118</v>
          </cell>
          <cell r="AC466" t="str">
            <v>João Gameiro</v>
          </cell>
          <cell r="AJ466" t="str">
            <v>Aroeira Collections</v>
          </cell>
        </row>
        <row r="467">
          <cell r="A467" t="str">
            <v>Aroeira - VILLAS</v>
          </cell>
          <cell r="C467" t="str">
            <v>15D</v>
          </cell>
          <cell r="E467" t="str">
            <v>T4</v>
          </cell>
          <cell r="F467">
            <v>416.8</v>
          </cell>
          <cell r="Q467" t="str">
            <v>AVAILABLE</v>
          </cell>
          <cell r="S467">
            <v>2015000</v>
          </cell>
          <cell r="T467">
            <v>2015000</v>
          </cell>
          <cell r="V467">
            <v>70000</v>
          </cell>
          <cell r="W467">
            <v>1945000</v>
          </cell>
          <cell r="AB467">
            <v>47118</v>
          </cell>
          <cell r="AC467" t="str">
            <v>João Gameiro</v>
          </cell>
          <cell r="AJ467" t="str">
            <v>Aroeira Collections</v>
          </cell>
        </row>
        <row r="468">
          <cell r="A468" t="str">
            <v>Aroeira - VILLAS</v>
          </cell>
          <cell r="C468" t="str">
            <v>16D</v>
          </cell>
          <cell r="E468" t="str">
            <v>T3+1</v>
          </cell>
          <cell r="F468">
            <v>379.9</v>
          </cell>
          <cell r="Q468" t="str">
            <v>AVAILABLE</v>
          </cell>
          <cell r="S468">
            <v>2035000</v>
          </cell>
          <cell r="T468">
            <v>2035000</v>
          </cell>
          <cell r="V468">
            <v>70000</v>
          </cell>
          <cell r="W468">
            <v>1965000</v>
          </cell>
          <cell r="AB468">
            <v>47118</v>
          </cell>
          <cell r="AC468" t="str">
            <v>João Gameiro</v>
          </cell>
          <cell r="AJ468" t="str">
            <v>Aroeira Collections</v>
          </cell>
        </row>
        <row r="469">
          <cell r="A469" t="str">
            <v>Aroeira - HOUSES</v>
          </cell>
          <cell r="C469" t="str">
            <v>17C</v>
          </cell>
          <cell r="E469" t="str">
            <v>T3</v>
          </cell>
          <cell r="F469">
            <v>249.2</v>
          </cell>
          <cell r="Q469" t="str">
            <v>AVAILABLE</v>
          </cell>
          <cell r="S469">
            <v>1350000</v>
          </cell>
          <cell r="T469">
            <v>1380000</v>
          </cell>
          <cell r="W469">
            <v>1380000</v>
          </cell>
          <cell r="AB469">
            <v>47118</v>
          </cell>
          <cell r="AC469" t="str">
            <v>João Gameiro</v>
          </cell>
          <cell r="AJ469" t="str">
            <v>Aroeira Collections</v>
          </cell>
        </row>
        <row r="470">
          <cell r="A470" t="str">
            <v>Aroeira - VILLAS</v>
          </cell>
          <cell r="C470" t="str">
            <v>17D</v>
          </cell>
          <cell r="E470" t="str">
            <v>T3+1</v>
          </cell>
          <cell r="F470">
            <v>380.7</v>
          </cell>
          <cell r="Q470" t="str">
            <v>AVAILABLE</v>
          </cell>
          <cell r="S470">
            <v>2045000</v>
          </cell>
          <cell r="T470">
            <v>2045000</v>
          </cell>
          <cell r="V470">
            <v>70000</v>
          </cell>
          <cell r="W470">
            <v>1975000</v>
          </cell>
          <cell r="AB470">
            <v>47118</v>
          </cell>
          <cell r="AC470" t="str">
            <v>João Gameiro</v>
          </cell>
          <cell r="AJ470" t="str">
            <v>Aroeira Collections</v>
          </cell>
        </row>
        <row r="471">
          <cell r="A471" t="str">
            <v>Aroeira - HOUSES</v>
          </cell>
          <cell r="C471" t="str">
            <v>18C</v>
          </cell>
          <cell r="E471" t="str">
            <v>T3</v>
          </cell>
          <cell r="F471">
            <v>250.2</v>
          </cell>
          <cell r="Q471" t="str">
            <v>AVAILABLE</v>
          </cell>
          <cell r="S471">
            <v>1350000</v>
          </cell>
          <cell r="T471">
            <v>1380000</v>
          </cell>
          <cell r="W471">
            <v>1380000</v>
          </cell>
          <cell r="AB471">
            <v>47118</v>
          </cell>
          <cell r="AC471" t="str">
            <v>João Gameiro</v>
          </cell>
          <cell r="AJ471" t="str">
            <v>Aroeira Collections</v>
          </cell>
        </row>
        <row r="472">
          <cell r="A472" t="str">
            <v>Aroeira - VILLAS</v>
          </cell>
          <cell r="C472" t="str">
            <v>18D</v>
          </cell>
          <cell r="E472" t="str">
            <v>T3+1</v>
          </cell>
          <cell r="F472">
            <v>382.9</v>
          </cell>
          <cell r="Q472" t="str">
            <v>AVAILABLE</v>
          </cell>
          <cell r="S472">
            <v>2065000</v>
          </cell>
          <cell r="T472">
            <v>2065000</v>
          </cell>
          <cell r="V472">
            <v>70000</v>
          </cell>
          <cell r="W472">
            <v>1995000</v>
          </cell>
          <cell r="AB472">
            <v>47118</v>
          </cell>
          <cell r="AC472" t="str">
            <v>João Gameiro</v>
          </cell>
          <cell r="AJ472" t="str">
            <v>Aroeira Collections</v>
          </cell>
        </row>
        <row r="473">
          <cell r="A473" t="str">
            <v>Aroeira - VILLAS</v>
          </cell>
          <cell r="C473" t="str">
            <v>19C</v>
          </cell>
          <cell r="E473" t="str">
            <v>T2+1</v>
          </cell>
          <cell r="F473">
            <v>283.5</v>
          </cell>
          <cell r="Q473" t="str">
            <v>AVAILABLE</v>
          </cell>
          <cell r="S473">
            <v>1495000</v>
          </cell>
          <cell r="T473">
            <v>1495000</v>
          </cell>
          <cell r="V473">
            <v>60000</v>
          </cell>
          <cell r="W473">
            <v>1435000</v>
          </cell>
          <cell r="AB473">
            <v>47118</v>
          </cell>
          <cell r="AC473" t="str">
            <v>João Gameiro</v>
          </cell>
          <cell r="AJ473" t="str">
            <v>Aroeira Collections</v>
          </cell>
        </row>
        <row r="474">
          <cell r="A474" t="str">
            <v>THE UNCOMMON</v>
          </cell>
          <cell r="C474" t="str">
            <v>102</v>
          </cell>
          <cell r="E474" t="str">
            <v>T2</v>
          </cell>
          <cell r="F474">
            <v>129.4</v>
          </cell>
          <cell r="Q474" t="str">
            <v>AVAILABLE</v>
          </cell>
          <cell r="S474">
            <v>1080000</v>
          </cell>
          <cell r="T474">
            <v>1150000</v>
          </cell>
          <cell r="U474">
            <v>50000</v>
          </cell>
          <cell r="V474">
            <v>23000</v>
          </cell>
          <cell r="W474">
            <v>1077000</v>
          </cell>
          <cell r="Y474">
            <v>1150000</v>
          </cell>
          <cell r="AC474" t="str">
            <v>Ana Damásio</v>
          </cell>
          <cell r="AJ474" t="str">
            <v>The Uncommon</v>
          </cell>
        </row>
        <row r="475">
          <cell r="A475" t="str">
            <v>THE UNCOMMON</v>
          </cell>
          <cell r="C475" t="str">
            <v>103</v>
          </cell>
          <cell r="E475" t="str">
            <v>T2</v>
          </cell>
          <cell r="F475">
            <v>129.4</v>
          </cell>
          <cell r="Q475" t="str">
            <v>AVAILABLE</v>
          </cell>
          <cell r="S475">
            <v>1000000</v>
          </cell>
          <cell r="T475">
            <v>1060000</v>
          </cell>
          <cell r="U475">
            <v>50000</v>
          </cell>
          <cell r="V475">
            <v>23000</v>
          </cell>
          <cell r="W475">
            <v>987000</v>
          </cell>
          <cell r="Y475">
            <v>1060000</v>
          </cell>
          <cell r="AC475" t="str">
            <v>Ana Damásio</v>
          </cell>
          <cell r="AJ475" t="str">
            <v>The Uncommon</v>
          </cell>
        </row>
        <row r="476">
          <cell r="A476" t="str">
            <v>Palmares - Plots</v>
          </cell>
          <cell r="C476" t="str">
            <v>102</v>
          </cell>
          <cell r="E476" t="str">
            <v>Plot</v>
          </cell>
          <cell r="F476">
            <v>500</v>
          </cell>
          <cell r="Q476" t="str">
            <v>AVAILABLE</v>
          </cell>
          <cell r="S476">
            <v>800000</v>
          </cell>
          <cell r="T476">
            <v>1800000</v>
          </cell>
          <cell r="W476">
            <v>1800000</v>
          </cell>
          <cell r="Y476">
            <v>1800000</v>
          </cell>
          <cell r="AB476">
            <v>46843</v>
          </cell>
          <cell r="AC476" t="str">
            <v>Sandra Viegas</v>
          </cell>
          <cell r="AJ476" t="str">
            <v>Palmares</v>
          </cell>
        </row>
        <row r="477">
          <cell r="A477" t="str">
            <v>Palmares - Plots</v>
          </cell>
          <cell r="C477" t="str">
            <v>103</v>
          </cell>
          <cell r="E477" t="str">
            <v>Plot</v>
          </cell>
          <cell r="F477">
            <v>500</v>
          </cell>
          <cell r="Q477" t="str">
            <v>AVAILABLE</v>
          </cell>
          <cell r="S477">
            <v>930000</v>
          </cell>
          <cell r="T477">
            <v>2400000</v>
          </cell>
          <cell r="W477">
            <v>2400000</v>
          </cell>
          <cell r="Y477">
            <v>2400000</v>
          </cell>
          <cell r="AB477">
            <v>46843</v>
          </cell>
          <cell r="AC477" t="str">
            <v>Sandra Viegas</v>
          </cell>
          <cell r="AJ477" t="str">
            <v>Palmares</v>
          </cell>
        </row>
        <row r="478">
          <cell r="A478" t="str">
            <v>Palmares - Signature Residences</v>
          </cell>
          <cell r="C478" t="str">
            <v>10B</v>
          </cell>
          <cell r="E478" t="str">
            <v>T2 + 1 Duplex</v>
          </cell>
          <cell r="F478">
            <v>345.42</v>
          </cell>
          <cell r="Q478" t="str">
            <v>AVAILABLE</v>
          </cell>
          <cell r="S478">
            <v>2080000</v>
          </cell>
          <cell r="T478">
            <v>2080000</v>
          </cell>
          <cell r="W478">
            <v>2080000</v>
          </cell>
          <cell r="Y478">
            <v>2080000</v>
          </cell>
          <cell r="AB478">
            <v>46843</v>
          </cell>
          <cell r="AJ478" t="str">
            <v>Palmares</v>
          </cell>
        </row>
        <row r="479">
          <cell r="A479" t="str">
            <v>Palmares - Signature Residences</v>
          </cell>
          <cell r="C479" t="str">
            <v>11B</v>
          </cell>
          <cell r="E479" t="str">
            <v>T2 + 1Duplex</v>
          </cell>
          <cell r="F479">
            <v>344.99</v>
          </cell>
          <cell r="Q479" t="str">
            <v>AVAILABLE</v>
          </cell>
          <cell r="S479">
            <v>2060000</v>
          </cell>
          <cell r="T479">
            <v>2060000</v>
          </cell>
          <cell r="W479">
            <v>2060000</v>
          </cell>
          <cell r="Y479">
            <v>2060000</v>
          </cell>
          <cell r="AB479">
            <v>46843</v>
          </cell>
          <cell r="AJ479" t="str">
            <v>Palmares</v>
          </cell>
        </row>
        <row r="480">
          <cell r="A480" t="str">
            <v>Palmares - Signature Residences</v>
          </cell>
          <cell r="C480" t="str">
            <v>12B</v>
          </cell>
          <cell r="E480" t="str">
            <v>T2 + 1 Duplex</v>
          </cell>
          <cell r="F480">
            <v>342.39</v>
          </cell>
          <cell r="Q480" t="str">
            <v>AVAILABLE</v>
          </cell>
          <cell r="S480">
            <v>2050000</v>
          </cell>
          <cell r="T480">
            <v>2050000</v>
          </cell>
          <cell r="W480">
            <v>2050000</v>
          </cell>
          <cell r="Y480">
            <v>2050000</v>
          </cell>
          <cell r="AB480">
            <v>46843</v>
          </cell>
          <cell r="AJ480" t="str">
            <v>Palmares</v>
          </cell>
        </row>
        <row r="481">
          <cell r="A481" t="str">
            <v>Palmares - Signature Residences</v>
          </cell>
          <cell r="C481" t="str">
            <v>13B</v>
          </cell>
          <cell r="E481" t="str">
            <v>T2 + 1 Duplex</v>
          </cell>
          <cell r="F481">
            <v>345.12</v>
          </cell>
          <cell r="Q481" t="str">
            <v>AVAILABLE</v>
          </cell>
          <cell r="S481">
            <v>1990000</v>
          </cell>
          <cell r="T481">
            <v>1990000</v>
          </cell>
          <cell r="W481">
            <v>1990000</v>
          </cell>
          <cell r="Y481">
            <v>1990000</v>
          </cell>
          <cell r="AB481">
            <v>46843</v>
          </cell>
          <cell r="AJ481" t="str">
            <v>Palmares</v>
          </cell>
        </row>
        <row r="482">
          <cell r="A482" t="str">
            <v>THE UNCOMMON</v>
          </cell>
          <cell r="C482" t="str">
            <v>104</v>
          </cell>
          <cell r="E482" t="str">
            <v>T2</v>
          </cell>
          <cell r="F482">
            <v>130</v>
          </cell>
          <cell r="Q482" t="str">
            <v>AVAILABLE</v>
          </cell>
          <cell r="S482">
            <v>920000</v>
          </cell>
          <cell r="T482">
            <v>980000</v>
          </cell>
          <cell r="U482">
            <v>50000</v>
          </cell>
          <cell r="V482">
            <v>23000</v>
          </cell>
          <cell r="W482">
            <v>907000</v>
          </cell>
          <cell r="Y482">
            <v>980000</v>
          </cell>
          <cell r="AC482" t="str">
            <v>Ana Damásio</v>
          </cell>
          <cell r="AJ482" t="str">
            <v>The Uncommon</v>
          </cell>
        </row>
        <row r="483">
          <cell r="A483" t="str">
            <v>THE UNCOMMON</v>
          </cell>
          <cell r="C483" t="str">
            <v>105</v>
          </cell>
          <cell r="E483" t="str">
            <v>T2</v>
          </cell>
          <cell r="F483">
            <v>130.1</v>
          </cell>
          <cell r="Q483" t="str">
            <v>AVAILABLE</v>
          </cell>
          <cell r="S483">
            <v>1000000</v>
          </cell>
          <cell r="T483">
            <v>1060000</v>
          </cell>
          <cell r="U483">
            <v>50000</v>
          </cell>
          <cell r="V483">
            <v>23000</v>
          </cell>
          <cell r="W483">
            <v>987000</v>
          </cell>
          <cell r="Y483">
            <v>1060000</v>
          </cell>
          <cell r="AC483" t="str">
            <v>Ana Damásio</v>
          </cell>
          <cell r="AJ483" t="str">
            <v>The Uncommon</v>
          </cell>
        </row>
        <row r="484">
          <cell r="A484" t="str">
            <v>THE UNCOMMON</v>
          </cell>
          <cell r="C484" t="str">
            <v>106</v>
          </cell>
          <cell r="E484" t="str">
            <v>T2</v>
          </cell>
          <cell r="F484">
            <v>129.4</v>
          </cell>
          <cell r="Q484" t="str">
            <v>AVAILABLE</v>
          </cell>
          <cell r="S484">
            <v>1080000</v>
          </cell>
          <cell r="T484">
            <v>1150000</v>
          </cell>
          <cell r="U484">
            <v>50000</v>
          </cell>
          <cell r="V484">
            <v>23000</v>
          </cell>
          <cell r="W484">
            <v>1077000</v>
          </cell>
          <cell r="Y484">
            <v>1150000</v>
          </cell>
          <cell r="AC484" t="str">
            <v>Ana Damásio</v>
          </cell>
          <cell r="AJ484" t="str">
            <v>The Uncommon</v>
          </cell>
        </row>
        <row r="485">
          <cell r="A485" t="str">
            <v>THE UNCOMMON</v>
          </cell>
          <cell r="C485" t="str">
            <v>107</v>
          </cell>
          <cell r="E485" t="str">
            <v>T2</v>
          </cell>
          <cell r="F485">
            <v>129.4</v>
          </cell>
          <cell r="Q485" t="str">
            <v>AVAILABLE</v>
          </cell>
          <cell r="S485">
            <v>1160000</v>
          </cell>
          <cell r="T485">
            <v>1230000</v>
          </cell>
          <cell r="U485">
            <v>50000</v>
          </cell>
          <cell r="V485">
            <v>23000</v>
          </cell>
          <cell r="W485">
            <v>1157000</v>
          </cell>
          <cell r="Y485">
            <v>1230000</v>
          </cell>
          <cell r="AC485" t="str">
            <v>Ana Damásio</v>
          </cell>
          <cell r="AJ485" t="str">
            <v>The Uncommon</v>
          </cell>
        </row>
        <row r="486">
          <cell r="A486" t="str">
            <v>THE UNCOMMON</v>
          </cell>
          <cell r="C486" t="str">
            <v>108</v>
          </cell>
          <cell r="E486" t="str">
            <v>T2</v>
          </cell>
          <cell r="F486">
            <v>129.4</v>
          </cell>
          <cell r="Q486" t="str">
            <v>AVAILABLE</v>
          </cell>
          <cell r="S486">
            <v>1220000</v>
          </cell>
          <cell r="T486">
            <v>1290000</v>
          </cell>
          <cell r="U486">
            <v>50000</v>
          </cell>
          <cell r="V486">
            <v>23000</v>
          </cell>
          <cell r="W486">
            <v>1217000</v>
          </cell>
          <cell r="Y486">
            <v>1290000</v>
          </cell>
          <cell r="AC486" t="str">
            <v>Ana Damásio</v>
          </cell>
          <cell r="AJ486" t="str">
            <v>The Uncommon</v>
          </cell>
        </row>
        <row r="487">
          <cell r="A487" t="str">
            <v>THE UNCOMMON</v>
          </cell>
          <cell r="C487" t="str">
            <v>109</v>
          </cell>
          <cell r="E487" t="str">
            <v>T2</v>
          </cell>
          <cell r="F487">
            <v>129.4</v>
          </cell>
          <cell r="Q487" t="str">
            <v>AVAILABLE</v>
          </cell>
          <cell r="S487">
            <v>1280000</v>
          </cell>
          <cell r="T487">
            <v>1350000</v>
          </cell>
          <cell r="U487">
            <v>50000</v>
          </cell>
          <cell r="V487">
            <v>23000</v>
          </cell>
          <cell r="W487">
            <v>1277000</v>
          </cell>
          <cell r="Y487">
            <v>1350000</v>
          </cell>
          <cell r="AC487" t="str">
            <v>Ana Damásio</v>
          </cell>
          <cell r="AJ487" t="str">
            <v>The Uncommon</v>
          </cell>
        </row>
        <row r="488">
          <cell r="A488" t="str">
            <v>Aroeira - HOTEL APARTMENTS</v>
          </cell>
          <cell r="C488" t="str">
            <v>201B</v>
          </cell>
          <cell r="E488" t="str">
            <v>2-BR*</v>
          </cell>
          <cell r="F488">
            <v>98.7</v>
          </cell>
          <cell r="Q488" t="str">
            <v>AVAILABLE</v>
          </cell>
          <cell r="S488">
            <v>640000</v>
          </cell>
          <cell r="T488">
            <v>640000</v>
          </cell>
          <cell r="V488">
            <v>45000</v>
          </cell>
          <cell r="W488">
            <v>595000</v>
          </cell>
          <cell r="AB488">
            <v>47118</v>
          </cell>
          <cell r="AC488" t="str">
            <v>João Gameiro</v>
          </cell>
          <cell r="AJ488" t="str">
            <v>Aroeira Collections</v>
          </cell>
        </row>
        <row r="489">
          <cell r="A489" t="str">
            <v>Aroeira - APARTMENTS</v>
          </cell>
          <cell r="C489" t="str">
            <v>201B</v>
          </cell>
          <cell r="E489" t="str">
            <v>2-BR</v>
          </cell>
          <cell r="F489">
            <v>114.6</v>
          </cell>
          <cell r="Q489" t="str">
            <v>NOT FOR SALE</v>
          </cell>
          <cell r="S489">
            <v>765000</v>
          </cell>
          <cell r="T489">
            <v>765000</v>
          </cell>
          <cell r="V489">
            <v>45000</v>
          </cell>
          <cell r="W489">
            <v>720000</v>
          </cell>
          <cell r="AB489">
            <v>47118</v>
          </cell>
          <cell r="AC489" t="str">
            <v>João Gameiro</v>
          </cell>
          <cell r="AJ489" t="str">
            <v>Aroeira Collections</v>
          </cell>
        </row>
        <row r="490">
          <cell r="A490" t="str">
            <v>Aroeira - HOTEL APARTMENTS</v>
          </cell>
          <cell r="C490" t="str">
            <v>202A</v>
          </cell>
          <cell r="E490" t="str">
            <v>1-BR</v>
          </cell>
          <cell r="F490">
            <v>65</v>
          </cell>
          <cell r="Q490" t="str">
            <v>AVAILABLE</v>
          </cell>
          <cell r="S490">
            <v>435000</v>
          </cell>
          <cell r="T490">
            <v>435000</v>
          </cell>
          <cell r="V490">
            <v>35000</v>
          </cell>
          <cell r="W490">
            <v>400000</v>
          </cell>
          <cell r="AB490">
            <v>47118</v>
          </cell>
          <cell r="AC490" t="str">
            <v>João Gameiro</v>
          </cell>
          <cell r="AJ490" t="str">
            <v>Aroeira Collections</v>
          </cell>
        </row>
        <row r="491">
          <cell r="A491" t="str">
            <v>Aroeira - APARTMENTS</v>
          </cell>
          <cell r="C491" t="str">
            <v>202B</v>
          </cell>
          <cell r="E491" t="str">
            <v>2-BR</v>
          </cell>
          <cell r="F491">
            <v>113.12</v>
          </cell>
          <cell r="Q491" t="str">
            <v>NOT FOR SALE</v>
          </cell>
          <cell r="S491">
            <v>755000</v>
          </cell>
          <cell r="T491">
            <v>755000</v>
          </cell>
          <cell r="V491">
            <v>45000</v>
          </cell>
          <cell r="W491">
            <v>710000</v>
          </cell>
          <cell r="AB491">
            <v>47118</v>
          </cell>
          <cell r="AC491" t="str">
            <v>João Gameiro</v>
          </cell>
          <cell r="AJ491" t="str">
            <v>Aroeira Collections</v>
          </cell>
        </row>
        <row r="492">
          <cell r="A492" t="str">
            <v>Aroeira - HOTEL APARTMENTS</v>
          </cell>
          <cell r="C492" t="str">
            <v>203A</v>
          </cell>
          <cell r="E492" t="str">
            <v>1-BR</v>
          </cell>
          <cell r="F492">
            <v>65</v>
          </cell>
          <cell r="Q492" t="str">
            <v>AVAILABLE</v>
          </cell>
          <cell r="S492">
            <v>435000</v>
          </cell>
          <cell r="T492">
            <v>435000</v>
          </cell>
          <cell r="V492">
            <v>35000</v>
          </cell>
          <cell r="W492">
            <v>400000</v>
          </cell>
          <cell r="AB492">
            <v>47118</v>
          </cell>
          <cell r="AC492" t="str">
            <v>João Gameiro</v>
          </cell>
          <cell r="AJ492" t="str">
            <v>Aroeira Collections</v>
          </cell>
        </row>
        <row r="493">
          <cell r="A493" t="str">
            <v>Aroeira - APARTMENTS</v>
          </cell>
          <cell r="C493" t="str">
            <v>203B</v>
          </cell>
          <cell r="E493" t="str">
            <v>2-BR</v>
          </cell>
          <cell r="F493">
            <v>114.55</v>
          </cell>
          <cell r="Q493" t="str">
            <v>NOT FOR SALE</v>
          </cell>
          <cell r="S493">
            <v>765000</v>
          </cell>
          <cell r="T493">
            <v>755000</v>
          </cell>
          <cell r="V493">
            <v>45000</v>
          </cell>
          <cell r="W493">
            <v>710000</v>
          </cell>
          <cell r="AB493">
            <v>47118</v>
          </cell>
          <cell r="AC493" t="str">
            <v>João Gameiro</v>
          </cell>
          <cell r="AJ493" t="str">
            <v>Aroeira Collections</v>
          </cell>
        </row>
        <row r="494">
          <cell r="A494" t="str">
            <v>Aroeira - HOTEL APARTMENTS</v>
          </cell>
          <cell r="C494" t="str">
            <v>204A</v>
          </cell>
          <cell r="E494" t="str">
            <v>1-BR</v>
          </cell>
          <cell r="F494">
            <v>65</v>
          </cell>
          <cell r="Q494" t="str">
            <v>AVAILABLE</v>
          </cell>
          <cell r="S494">
            <v>435000</v>
          </cell>
          <cell r="T494">
            <v>435000</v>
          </cell>
          <cell r="V494">
            <v>35000</v>
          </cell>
          <cell r="W494">
            <v>400000</v>
          </cell>
          <cell r="AB494">
            <v>47118</v>
          </cell>
          <cell r="AC494" t="str">
            <v>João Gameiro</v>
          </cell>
          <cell r="AJ494" t="str">
            <v>Aroeira Collections</v>
          </cell>
        </row>
        <row r="495">
          <cell r="A495" t="str">
            <v>Aroeira - HOTEL APARTMENTS</v>
          </cell>
          <cell r="C495" t="str">
            <v>205A</v>
          </cell>
          <cell r="E495" t="str">
            <v>1-BR</v>
          </cell>
          <cell r="F495">
            <v>65</v>
          </cell>
          <cell r="Q495" t="str">
            <v>AVAILABLE</v>
          </cell>
          <cell r="S495">
            <v>435000</v>
          </cell>
          <cell r="T495">
            <v>435000</v>
          </cell>
          <cell r="V495">
            <v>35000</v>
          </cell>
          <cell r="W495">
            <v>400000</v>
          </cell>
          <cell r="AB495">
            <v>47118</v>
          </cell>
          <cell r="AC495" t="str">
            <v>João Gameiro</v>
          </cell>
          <cell r="AJ495" t="str">
            <v>Aroeira Collections</v>
          </cell>
        </row>
        <row r="496">
          <cell r="A496" t="str">
            <v>Aroeira - APARTMENTS</v>
          </cell>
          <cell r="C496" t="str">
            <v>205B</v>
          </cell>
          <cell r="E496" t="str">
            <v>2-BR</v>
          </cell>
          <cell r="F496">
            <v>113.23</v>
          </cell>
          <cell r="Q496" t="str">
            <v>AVAILABLE</v>
          </cell>
          <cell r="S496">
            <v>755000</v>
          </cell>
          <cell r="T496">
            <v>755000</v>
          </cell>
          <cell r="V496">
            <v>45000</v>
          </cell>
          <cell r="W496">
            <v>710000</v>
          </cell>
          <cell r="AB496">
            <v>47118</v>
          </cell>
          <cell r="AC496" t="str">
            <v>João Gameiro</v>
          </cell>
          <cell r="AJ496" t="str">
            <v>Aroeira Collections</v>
          </cell>
        </row>
        <row r="497">
          <cell r="A497" t="str">
            <v>Aroeira - HOTEL APARTMENTS</v>
          </cell>
          <cell r="C497" t="str">
            <v>206A</v>
          </cell>
          <cell r="E497" t="str">
            <v>1-BR</v>
          </cell>
          <cell r="F497">
            <v>65</v>
          </cell>
          <cell r="Q497" t="str">
            <v>AVAILABLE</v>
          </cell>
          <cell r="S497">
            <v>435000</v>
          </cell>
          <cell r="T497">
            <v>435000</v>
          </cell>
          <cell r="V497">
            <v>35000</v>
          </cell>
          <cell r="W497">
            <v>400000</v>
          </cell>
          <cell r="AB497">
            <v>47118</v>
          </cell>
          <cell r="AC497" t="str">
            <v>João Gameiro</v>
          </cell>
          <cell r="AJ497" t="str">
            <v>Aroeira Collections</v>
          </cell>
        </row>
        <row r="498">
          <cell r="A498" t="str">
            <v>Aroeira - APARTMENTS</v>
          </cell>
          <cell r="C498" t="str">
            <v>206B</v>
          </cell>
          <cell r="E498" t="str">
            <v>2-BR</v>
          </cell>
          <cell r="F498">
            <v>113.16</v>
          </cell>
          <cell r="Q498" t="str">
            <v>AVAILABLE</v>
          </cell>
          <cell r="S498">
            <v>755000</v>
          </cell>
          <cell r="T498">
            <v>755000</v>
          </cell>
          <cell r="V498">
            <v>45000</v>
          </cell>
          <cell r="W498">
            <v>710000</v>
          </cell>
          <cell r="AB498">
            <v>47118</v>
          </cell>
          <cell r="AC498" t="str">
            <v>João Gameiro</v>
          </cell>
          <cell r="AJ498" t="str">
            <v>Aroeira Collections</v>
          </cell>
        </row>
        <row r="499">
          <cell r="A499" t="str">
            <v>Aroeira - HOTEL APARTMENTS</v>
          </cell>
          <cell r="C499" t="str">
            <v>207A</v>
          </cell>
          <cell r="E499" t="str">
            <v>1-BR</v>
          </cell>
          <cell r="F499">
            <v>65</v>
          </cell>
          <cell r="Q499" t="str">
            <v>AVAILABLE</v>
          </cell>
          <cell r="S499">
            <v>435000</v>
          </cell>
          <cell r="T499">
            <v>435000</v>
          </cell>
          <cell r="V499">
            <v>35000</v>
          </cell>
          <cell r="W499">
            <v>400000</v>
          </cell>
          <cell r="AB499">
            <v>47118</v>
          </cell>
          <cell r="AC499" t="str">
            <v>João Gameiro</v>
          </cell>
          <cell r="AJ499" t="str">
            <v>Aroeira Collections</v>
          </cell>
        </row>
        <row r="500">
          <cell r="A500" t="str">
            <v>Aroeira - APARTMENTS</v>
          </cell>
          <cell r="C500" t="str">
            <v>207B</v>
          </cell>
          <cell r="E500" t="str">
            <v>2-BR</v>
          </cell>
          <cell r="F500">
            <v>113.15</v>
          </cell>
          <cell r="Q500" t="str">
            <v>NOT FOR SALE</v>
          </cell>
          <cell r="S500">
            <v>755000</v>
          </cell>
          <cell r="T500">
            <v>765000</v>
          </cell>
          <cell r="V500">
            <v>45000</v>
          </cell>
          <cell r="W500">
            <v>720000</v>
          </cell>
          <cell r="AB500">
            <v>47118</v>
          </cell>
          <cell r="AC500" t="str">
            <v>João Gameiro</v>
          </cell>
          <cell r="AJ500" t="str">
            <v>Aroeira Collections</v>
          </cell>
        </row>
        <row r="501">
          <cell r="A501" t="str">
            <v>Aroeira - HOTEL APARTMENTS</v>
          </cell>
          <cell r="C501" t="str">
            <v>208A</v>
          </cell>
          <cell r="E501" t="str">
            <v>1-BR</v>
          </cell>
          <cell r="F501">
            <v>65</v>
          </cell>
          <cell r="Q501" t="str">
            <v>AVAILABLE</v>
          </cell>
          <cell r="S501">
            <v>435000</v>
          </cell>
          <cell r="T501">
            <v>435000</v>
          </cell>
          <cell r="V501">
            <v>35000</v>
          </cell>
          <cell r="W501">
            <v>400000</v>
          </cell>
          <cell r="AB501">
            <v>47118</v>
          </cell>
          <cell r="AC501" t="str">
            <v>João Gameiro</v>
          </cell>
          <cell r="AJ501" t="str">
            <v>Aroeira Collections</v>
          </cell>
        </row>
        <row r="502">
          <cell r="A502" t="str">
            <v>Aroeira - APARTMENTS</v>
          </cell>
          <cell r="C502" t="str">
            <v>208B</v>
          </cell>
          <cell r="E502" t="str">
            <v>2-BR</v>
          </cell>
          <cell r="F502">
            <v>113.17</v>
          </cell>
          <cell r="Q502" t="str">
            <v>AVAILABLE</v>
          </cell>
          <cell r="S502">
            <v>755000</v>
          </cell>
          <cell r="T502">
            <v>765000</v>
          </cell>
          <cell r="V502">
            <v>45000</v>
          </cell>
          <cell r="W502">
            <v>720000</v>
          </cell>
          <cell r="AB502">
            <v>47118</v>
          </cell>
          <cell r="AC502" t="str">
            <v>João Gameiro</v>
          </cell>
          <cell r="AJ502" t="str">
            <v>Aroeira Collections</v>
          </cell>
        </row>
        <row r="503">
          <cell r="A503" t="str">
            <v>Aroeira - APARTMENTS</v>
          </cell>
          <cell r="C503" t="str">
            <v>209B</v>
          </cell>
          <cell r="E503" t="str">
            <v>2-BR</v>
          </cell>
          <cell r="F503">
            <v>113.11</v>
          </cell>
          <cell r="Q503" t="str">
            <v>AVAILABLE</v>
          </cell>
          <cell r="S503">
            <v>755000</v>
          </cell>
          <cell r="T503">
            <v>755000</v>
          </cell>
          <cell r="V503">
            <v>45000</v>
          </cell>
          <cell r="W503">
            <v>710000</v>
          </cell>
          <cell r="AB503">
            <v>47118</v>
          </cell>
          <cell r="AC503" t="str">
            <v>João Gameiro</v>
          </cell>
          <cell r="AJ503" t="str">
            <v>Aroeira Collections</v>
          </cell>
        </row>
        <row r="504">
          <cell r="A504" t="str">
            <v>THE UNCOMMON</v>
          </cell>
          <cell r="C504" t="str">
            <v>11</v>
          </cell>
          <cell r="E504" t="str">
            <v>T1</v>
          </cell>
          <cell r="F504">
            <v>105.3</v>
          </cell>
          <cell r="Q504" t="str">
            <v>AVAILABLE</v>
          </cell>
          <cell r="S504">
            <v>650000</v>
          </cell>
          <cell r="T504">
            <v>710000</v>
          </cell>
          <cell r="U504">
            <v>50000</v>
          </cell>
          <cell r="V504">
            <v>15000</v>
          </cell>
          <cell r="W504">
            <v>645000</v>
          </cell>
          <cell r="Y504">
            <v>710000</v>
          </cell>
          <cell r="AC504" t="str">
            <v>Ana Damásio</v>
          </cell>
          <cell r="AJ504" t="str">
            <v>The Uncommon</v>
          </cell>
        </row>
        <row r="505">
          <cell r="A505" t="str">
            <v>THE UNCOMMON</v>
          </cell>
          <cell r="C505" t="str">
            <v>110</v>
          </cell>
          <cell r="E505" t="str">
            <v>T3</v>
          </cell>
          <cell r="F505">
            <v>160.19999999999999</v>
          </cell>
          <cell r="Q505" t="str">
            <v>AVAILABLE</v>
          </cell>
          <cell r="S505">
            <v>2140000</v>
          </cell>
          <cell r="T505">
            <v>2220000</v>
          </cell>
          <cell r="U505">
            <v>50000</v>
          </cell>
          <cell r="V505">
            <v>30000</v>
          </cell>
          <cell r="W505">
            <v>2140000</v>
          </cell>
          <cell r="Y505">
            <v>2220000</v>
          </cell>
          <cell r="AC505" t="str">
            <v>Ana Damásio</v>
          </cell>
          <cell r="AJ505" t="str">
            <v>The Uncommon</v>
          </cell>
        </row>
        <row r="506">
          <cell r="A506" t="str">
            <v>Aroeira - HOUSES</v>
          </cell>
          <cell r="C506" t="str">
            <v>20C</v>
          </cell>
          <cell r="E506" t="str">
            <v>T3</v>
          </cell>
          <cell r="F506">
            <v>248.2</v>
          </cell>
          <cell r="Q506" t="str">
            <v>AVAILABLE</v>
          </cell>
          <cell r="S506">
            <v>1395000</v>
          </cell>
          <cell r="T506">
            <v>1450000</v>
          </cell>
          <cell r="W506">
            <v>1450000</v>
          </cell>
          <cell r="AB506">
            <v>47118</v>
          </cell>
          <cell r="AC506" t="str">
            <v>João Gameiro</v>
          </cell>
          <cell r="AJ506" t="str">
            <v>Aroeira Collections</v>
          </cell>
        </row>
        <row r="507">
          <cell r="A507" t="str">
            <v>Aroeira - VILLAS</v>
          </cell>
          <cell r="C507" t="str">
            <v>20C</v>
          </cell>
          <cell r="E507" t="str">
            <v>T2+1</v>
          </cell>
          <cell r="F507">
            <v>299.39999999999998</v>
          </cell>
          <cell r="Q507" t="str">
            <v>AVAILABLE</v>
          </cell>
          <cell r="S507">
            <v>1595000</v>
          </cell>
          <cell r="T507">
            <v>1595000</v>
          </cell>
          <cell r="V507">
            <v>60000</v>
          </cell>
          <cell r="W507">
            <v>1535000</v>
          </cell>
          <cell r="AB507">
            <v>47118</v>
          </cell>
          <cell r="AC507" t="str">
            <v>João Gameiro</v>
          </cell>
          <cell r="AJ507" t="str">
            <v>Aroeira Collections</v>
          </cell>
        </row>
        <row r="508">
          <cell r="A508" t="str">
            <v>Aroeira - APARTMENTS</v>
          </cell>
          <cell r="C508" t="str">
            <v>210B</v>
          </cell>
          <cell r="E508" t="str">
            <v>2-BR</v>
          </cell>
          <cell r="F508">
            <v>114.62</v>
          </cell>
          <cell r="Q508" t="str">
            <v>NOT FOR SALE</v>
          </cell>
          <cell r="S508">
            <v>765000</v>
          </cell>
          <cell r="T508">
            <v>765000</v>
          </cell>
          <cell r="V508">
            <v>45000</v>
          </cell>
          <cell r="W508">
            <v>720000</v>
          </cell>
          <cell r="AB508">
            <v>47118</v>
          </cell>
          <cell r="AC508" t="str">
            <v>João Gameiro</v>
          </cell>
          <cell r="AJ508" t="str">
            <v>Aroeira Collections</v>
          </cell>
        </row>
        <row r="509">
          <cell r="A509" t="str">
            <v>Palmares - Signature Residences</v>
          </cell>
          <cell r="C509" t="str">
            <v>14B</v>
          </cell>
          <cell r="E509" t="str">
            <v>T2 + 1Duplex</v>
          </cell>
          <cell r="F509">
            <v>342.3</v>
          </cell>
          <cell r="Q509" t="str">
            <v>AVAILABLE</v>
          </cell>
          <cell r="S509">
            <v>1980000</v>
          </cell>
          <cell r="T509">
            <v>1980000</v>
          </cell>
          <cell r="W509">
            <v>1980000</v>
          </cell>
          <cell r="Y509">
            <v>1980000</v>
          </cell>
          <cell r="AB509">
            <v>46843</v>
          </cell>
          <cell r="AJ509" t="str">
            <v>Palmares</v>
          </cell>
        </row>
        <row r="510">
          <cell r="A510" t="str">
            <v>Palmares - Signature Residences</v>
          </cell>
          <cell r="C510" t="str">
            <v>17D</v>
          </cell>
          <cell r="E510" t="str">
            <v>T3 + 1 Duplex</v>
          </cell>
          <cell r="F510">
            <v>568.54999999999995</v>
          </cell>
          <cell r="Q510" t="str">
            <v>AVAILABLE</v>
          </cell>
          <cell r="S510">
            <v>2880000</v>
          </cell>
          <cell r="T510">
            <v>2880000</v>
          </cell>
          <cell r="W510">
            <v>2880000</v>
          </cell>
          <cell r="Y510">
            <v>2880000</v>
          </cell>
          <cell r="AB510">
            <v>46843</v>
          </cell>
          <cell r="AJ510" t="str">
            <v>Palmares</v>
          </cell>
        </row>
        <row r="511">
          <cell r="A511" t="str">
            <v>THE UNCOMMON</v>
          </cell>
          <cell r="C511" t="str">
            <v>111</v>
          </cell>
          <cell r="E511" t="str">
            <v>T1</v>
          </cell>
          <cell r="F511">
            <v>80.900000000000006</v>
          </cell>
          <cell r="Q511" t="str">
            <v>AVAILABLE</v>
          </cell>
          <cell r="S511">
            <v>640000</v>
          </cell>
          <cell r="T511">
            <v>700000</v>
          </cell>
          <cell r="U511">
            <v>50000</v>
          </cell>
          <cell r="V511">
            <v>15000</v>
          </cell>
          <cell r="W511">
            <v>635000</v>
          </cell>
          <cell r="Y511">
            <v>700000</v>
          </cell>
          <cell r="AC511" t="str">
            <v>Ana Damásio</v>
          </cell>
          <cell r="AJ511" t="str">
            <v>The Uncommon</v>
          </cell>
        </row>
        <row r="512">
          <cell r="A512" t="str">
            <v>THE UNCOMMON</v>
          </cell>
          <cell r="C512" t="str">
            <v>112</v>
          </cell>
          <cell r="E512" t="str">
            <v>T1</v>
          </cell>
          <cell r="F512">
            <v>81.099999999999994</v>
          </cell>
          <cell r="Q512" t="str">
            <v>AVAILABLE</v>
          </cell>
          <cell r="S512">
            <v>680000</v>
          </cell>
          <cell r="T512">
            <v>740000</v>
          </cell>
          <cell r="U512">
            <v>50000</v>
          </cell>
          <cell r="V512">
            <v>15000</v>
          </cell>
          <cell r="W512">
            <v>675000</v>
          </cell>
          <cell r="Y512">
            <v>740000</v>
          </cell>
          <cell r="AC512" t="str">
            <v>Ana Damásio</v>
          </cell>
          <cell r="AJ512" t="str">
            <v>The Uncommon</v>
          </cell>
        </row>
        <row r="513">
          <cell r="A513" t="str">
            <v>THE UNCOMMON</v>
          </cell>
          <cell r="C513" t="str">
            <v>113</v>
          </cell>
          <cell r="E513" t="str">
            <v>T1</v>
          </cell>
          <cell r="F513">
            <v>81.099999999999994</v>
          </cell>
          <cell r="Q513" t="str">
            <v>AVAILABLE</v>
          </cell>
          <cell r="S513">
            <v>720000</v>
          </cell>
          <cell r="T513">
            <v>780000</v>
          </cell>
          <cell r="U513">
            <v>50000</v>
          </cell>
          <cell r="V513">
            <v>15000</v>
          </cell>
          <cell r="W513">
            <v>715000</v>
          </cell>
          <cell r="Y513">
            <v>780000</v>
          </cell>
          <cell r="AC513" t="str">
            <v>Ana Damásio</v>
          </cell>
          <cell r="AJ513" t="str">
            <v>The Uncommon</v>
          </cell>
        </row>
        <row r="514">
          <cell r="A514" t="str">
            <v>THE UNCOMMON</v>
          </cell>
          <cell r="C514" t="str">
            <v>114</v>
          </cell>
          <cell r="E514" t="str">
            <v>T1</v>
          </cell>
          <cell r="F514">
            <v>81.099999999999994</v>
          </cell>
          <cell r="Q514" t="str">
            <v>AVAILABLE</v>
          </cell>
          <cell r="S514">
            <v>770000</v>
          </cell>
          <cell r="T514">
            <v>830000</v>
          </cell>
          <cell r="U514">
            <v>50000</v>
          </cell>
          <cell r="V514">
            <v>15000</v>
          </cell>
          <cell r="W514">
            <v>765000</v>
          </cell>
          <cell r="Y514">
            <v>830000</v>
          </cell>
          <cell r="AC514" t="str">
            <v>Ana Damásio</v>
          </cell>
          <cell r="AJ514" t="str">
            <v>The Uncommon</v>
          </cell>
        </row>
        <row r="515">
          <cell r="A515" t="str">
            <v>THE UNCOMMON</v>
          </cell>
          <cell r="C515" t="str">
            <v>115</v>
          </cell>
          <cell r="E515" t="str">
            <v>T1</v>
          </cell>
          <cell r="F515">
            <v>83</v>
          </cell>
          <cell r="Q515" t="str">
            <v>AVAILABLE</v>
          </cell>
          <cell r="S515">
            <v>830000</v>
          </cell>
          <cell r="T515">
            <v>890000</v>
          </cell>
          <cell r="U515">
            <v>50000</v>
          </cell>
          <cell r="V515">
            <v>15000</v>
          </cell>
          <cell r="W515">
            <v>825000</v>
          </cell>
          <cell r="Y515">
            <v>890000</v>
          </cell>
          <cell r="AC515" t="str">
            <v>Ana Damásio</v>
          </cell>
          <cell r="AJ515" t="str">
            <v>The Uncommon</v>
          </cell>
        </row>
        <row r="516">
          <cell r="A516" t="str">
            <v>Aroeira - HOTEL APARTMENTS</v>
          </cell>
          <cell r="C516" t="str">
            <v>211B</v>
          </cell>
          <cell r="E516" t="str">
            <v>2-BR*</v>
          </cell>
          <cell r="F516">
            <v>98.8</v>
          </cell>
          <cell r="Q516" t="str">
            <v>AVAILABLE</v>
          </cell>
          <cell r="S516">
            <v>645000</v>
          </cell>
          <cell r="T516">
            <v>645000</v>
          </cell>
          <cell r="V516">
            <v>45000</v>
          </cell>
          <cell r="W516">
            <v>600000</v>
          </cell>
          <cell r="AB516">
            <v>47118</v>
          </cell>
          <cell r="AC516" t="str">
            <v>João Gameiro</v>
          </cell>
          <cell r="AJ516" t="str">
            <v>Aroeira Collections</v>
          </cell>
        </row>
        <row r="517">
          <cell r="A517" t="str">
            <v>Aroeira - APARTMENTS</v>
          </cell>
          <cell r="C517" t="str">
            <v>211B</v>
          </cell>
          <cell r="E517" t="str">
            <v>2-BR</v>
          </cell>
          <cell r="F517">
            <v>116.52</v>
          </cell>
          <cell r="Q517" t="str">
            <v>NOT FOR SALE</v>
          </cell>
          <cell r="S517">
            <v>705000</v>
          </cell>
          <cell r="T517">
            <v>780000</v>
          </cell>
          <cell r="V517">
            <v>45000</v>
          </cell>
          <cell r="W517">
            <v>735000</v>
          </cell>
          <cell r="AB517">
            <v>47118</v>
          </cell>
          <cell r="AC517" t="str">
            <v>João Gameiro</v>
          </cell>
          <cell r="AJ517" t="str">
            <v>Aroeira Collections</v>
          </cell>
        </row>
        <row r="518">
          <cell r="A518" t="str">
            <v>Aroeira - HOTEL APARTMENTS</v>
          </cell>
          <cell r="C518" t="str">
            <v>212B</v>
          </cell>
          <cell r="E518" t="str">
            <v>2-BR*</v>
          </cell>
          <cell r="F518">
            <v>98.8</v>
          </cell>
          <cell r="Q518" t="str">
            <v>AVAILABLE</v>
          </cell>
          <cell r="S518">
            <v>645000</v>
          </cell>
          <cell r="T518">
            <v>645000</v>
          </cell>
          <cell r="V518">
            <v>45000</v>
          </cell>
          <cell r="W518">
            <v>600000</v>
          </cell>
          <cell r="AB518">
            <v>47118</v>
          </cell>
          <cell r="AC518" t="str">
            <v>João Gameiro</v>
          </cell>
          <cell r="AJ518" t="str">
            <v>Aroeira Collections</v>
          </cell>
        </row>
        <row r="519">
          <cell r="A519" t="str">
            <v>Aroeira - APARTMENTS</v>
          </cell>
          <cell r="C519" t="str">
            <v>212B</v>
          </cell>
          <cell r="E519" t="str">
            <v>2-BR</v>
          </cell>
          <cell r="F519">
            <v>115.24</v>
          </cell>
          <cell r="Q519" t="str">
            <v>NOT FOR SALE</v>
          </cell>
          <cell r="S519">
            <v>695000</v>
          </cell>
          <cell r="T519">
            <v>770000</v>
          </cell>
          <cell r="V519">
            <v>45000</v>
          </cell>
          <cell r="W519">
            <v>725000</v>
          </cell>
          <cell r="AA519">
            <v>46149</v>
          </cell>
          <cell r="AB519">
            <v>47118</v>
          </cell>
          <cell r="AC519" t="str">
            <v>João Gameiro</v>
          </cell>
          <cell r="AJ519" t="str">
            <v>Aroeira Collections</v>
          </cell>
        </row>
        <row r="520">
          <cell r="A520" t="str">
            <v>Aroeira - HOTEL APARTMENTS</v>
          </cell>
          <cell r="C520" t="str">
            <v>213B</v>
          </cell>
          <cell r="E520" t="str">
            <v>2-BR*</v>
          </cell>
          <cell r="F520">
            <v>98.8</v>
          </cell>
          <cell r="Q520" t="str">
            <v>AVAILABLE</v>
          </cell>
          <cell r="S520">
            <v>645000</v>
          </cell>
          <cell r="T520">
            <v>645000</v>
          </cell>
          <cell r="V520">
            <v>45000</v>
          </cell>
          <cell r="W520">
            <v>600000</v>
          </cell>
          <cell r="AB520">
            <v>47118</v>
          </cell>
          <cell r="AC520" t="str">
            <v>João Gameiro</v>
          </cell>
          <cell r="AJ520" t="str">
            <v>Aroeira Collections</v>
          </cell>
        </row>
        <row r="521">
          <cell r="A521" t="str">
            <v>Aroeira - APARTMENTS</v>
          </cell>
          <cell r="C521" t="str">
            <v>213C</v>
          </cell>
          <cell r="E521" t="str">
            <v>3-BR</v>
          </cell>
          <cell r="F521">
            <v>145.22999999999999</v>
          </cell>
          <cell r="Q521" t="str">
            <v>AVAILABLE</v>
          </cell>
          <cell r="S521">
            <v>925000</v>
          </cell>
          <cell r="T521">
            <v>925000</v>
          </cell>
          <cell r="V521">
            <v>50000</v>
          </cell>
          <cell r="W521">
            <v>875000</v>
          </cell>
          <cell r="AB521">
            <v>47118</v>
          </cell>
          <cell r="AC521" t="str">
            <v>João Gameiro</v>
          </cell>
          <cell r="AJ521" t="str">
            <v>Aroeira Collections</v>
          </cell>
        </row>
        <row r="522">
          <cell r="A522" t="str">
            <v>Aroeira - HOTEL APARTMENTS</v>
          </cell>
          <cell r="C522" t="str">
            <v>214A</v>
          </cell>
          <cell r="E522" t="str">
            <v>1-BR</v>
          </cell>
          <cell r="F522">
            <v>72.5</v>
          </cell>
          <cell r="Q522" t="str">
            <v>AVAILABLE</v>
          </cell>
          <cell r="S522">
            <v>480000</v>
          </cell>
          <cell r="T522">
            <v>480000</v>
          </cell>
          <cell r="V522">
            <v>35000</v>
          </cell>
          <cell r="W522">
            <v>445000</v>
          </cell>
          <cell r="AB522">
            <v>47118</v>
          </cell>
          <cell r="AC522" t="str">
            <v>João Gameiro</v>
          </cell>
          <cell r="AJ522" t="str">
            <v>Aroeira Collections</v>
          </cell>
        </row>
        <row r="523">
          <cell r="A523" t="str">
            <v>THE UNCOMMON</v>
          </cell>
          <cell r="C523" t="str">
            <v>116</v>
          </cell>
          <cell r="E523" t="str">
            <v>T3</v>
          </cell>
          <cell r="F523">
            <v>195.8</v>
          </cell>
          <cell r="Q523" t="str">
            <v>AVAILABLE</v>
          </cell>
          <cell r="S523">
            <v>2180000</v>
          </cell>
          <cell r="T523">
            <v>2260000</v>
          </cell>
          <cell r="U523">
            <v>50000</v>
          </cell>
          <cell r="V523">
            <v>30000</v>
          </cell>
          <cell r="W523">
            <v>2180000</v>
          </cell>
          <cell r="Y523">
            <v>2260000</v>
          </cell>
          <cell r="AC523" t="str">
            <v>Ana Damásio</v>
          </cell>
          <cell r="AJ523" t="str">
            <v>The Uncommon</v>
          </cell>
        </row>
        <row r="524">
          <cell r="A524" t="str">
            <v>ELS</v>
          </cell>
          <cell r="C524" t="str">
            <v>12</v>
          </cell>
          <cell r="E524" t="str">
            <v>Plot</v>
          </cell>
          <cell r="F524">
            <v>280</v>
          </cell>
          <cell r="Q524" t="str">
            <v>AVAILABLE</v>
          </cell>
          <cell r="S524">
            <v>3660000</v>
          </cell>
          <cell r="T524">
            <v>1220000</v>
          </cell>
          <cell r="W524">
            <v>1220000</v>
          </cell>
          <cell r="Y524">
            <v>1220000</v>
          </cell>
          <cell r="AC524" t="str">
            <v>Ana Damásio</v>
          </cell>
          <cell r="AJ524" t="str">
            <v>Springs - At the Els</v>
          </cell>
        </row>
        <row r="525">
          <cell r="A525" t="str">
            <v>Palmares - Plots</v>
          </cell>
          <cell r="C525" t="str">
            <v>100</v>
          </cell>
          <cell r="E525" t="str">
            <v>Plot</v>
          </cell>
          <cell r="F525">
            <v>621.5</v>
          </cell>
          <cell r="Q525" t="str">
            <v>AVAILABLE</v>
          </cell>
          <cell r="S525">
            <v>460000</v>
          </cell>
          <cell r="T525">
            <v>3000000</v>
          </cell>
          <cell r="W525">
            <v>3000000</v>
          </cell>
          <cell r="Y525">
            <v>3000000</v>
          </cell>
          <cell r="AB525">
            <v>46843</v>
          </cell>
          <cell r="AC525" t="str">
            <v>Sandra Viegas</v>
          </cell>
          <cell r="AJ525" t="str">
            <v>Palmares</v>
          </cell>
        </row>
        <row r="526">
          <cell r="A526" t="str">
            <v>Palmares - Signature Residences</v>
          </cell>
          <cell r="C526" t="str">
            <v>18D</v>
          </cell>
          <cell r="E526" t="str">
            <v>T2 + 1 Duplex</v>
          </cell>
          <cell r="F526">
            <v>355.31</v>
          </cell>
          <cell r="Q526" t="str">
            <v>AVAILABLE</v>
          </cell>
          <cell r="S526">
            <v>2090000</v>
          </cell>
          <cell r="T526">
            <v>2090000</v>
          </cell>
          <cell r="W526">
            <v>2090000</v>
          </cell>
          <cell r="Y526">
            <v>2090000</v>
          </cell>
          <cell r="AB526">
            <v>46843</v>
          </cell>
          <cell r="AJ526" t="str">
            <v>Palmares</v>
          </cell>
        </row>
        <row r="527">
          <cell r="A527" t="str">
            <v>Palmares - Plots</v>
          </cell>
          <cell r="C527" t="str">
            <v>91</v>
          </cell>
          <cell r="E527" t="str">
            <v>Plot</v>
          </cell>
          <cell r="F527">
            <v>4639</v>
          </cell>
          <cell r="Q527" t="str">
            <v>AVAILABLE</v>
          </cell>
          <cell r="S527">
            <v>470000</v>
          </cell>
          <cell r="T527">
            <v>1000000</v>
          </cell>
          <cell r="W527">
            <v>1000000</v>
          </cell>
          <cell r="Y527">
            <v>1000000</v>
          </cell>
          <cell r="AB527">
            <v>46843</v>
          </cell>
          <cell r="AC527" t="str">
            <v>Sandra Viegas</v>
          </cell>
          <cell r="AJ527" t="str">
            <v>Palmares</v>
          </cell>
        </row>
        <row r="528">
          <cell r="A528" t="str">
            <v>Palmares - Plots</v>
          </cell>
          <cell r="C528" t="str">
            <v>92</v>
          </cell>
          <cell r="E528" t="str">
            <v>Plot</v>
          </cell>
          <cell r="F528">
            <v>340</v>
          </cell>
          <cell r="Q528" t="str">
            <v>AVAILABLE</v>
          </cell>
          <cell r="S528">
            <v>470000</v>
          </cell>
          <cell r="T528">
            <v>900000</v>
          </cell>
          <cell r="W528">
            <v>900000</v>
          </cell>
          <cell r="Y528">
            <v>900000</v>
          </cell>
          <cell r="AB528">
            <v>46843</v>
          </cell>
          <cell r="AC528" t="str">
            <v>Sandra Viegas</v>
          </cell>
          <cell r="AJ528" t="str">
            <v>Palmares</v>
          </cell>
        </row>
        <row r="529">
          <cell r="A529" t="str">
            <v>THE UNCOMMON</v>
          </cell>
          <cell r="C529" t="str">
            <v>12</v>
          </cell>
          <cell r="E529" t="str">
            <v>T1</v>
          </cell>
          <cell r="F529">
            <v>105.5</v>
          </cell>
          <cell r="Q529" t="str">
            <v>AVAILABLE</v>
          </cell>
          <cell r="S529">
            <v>690000</v>
          </cell>
          <cell r="T529">
            <v>750000</v>
          </cell>
          <cell r="U529">
            <v>50000</v>
          </cell>
          <cell r="V529">
            <v>15000</v>
          </cell>
          <cell r="W529">
            <v>685000</v>
          </cell>
          <cell r="Y529">
            <v>750000</v>
          </cell>
          <cell r="AC529" t="str">
            <v>Ana Damásio</v>
          </cell>
          <cell r="AJ529" t="str">
            <v>The Uncommon</v>
          </cell>
        </row>
        <row r="530">
          <cell r="A530" t="str">
            <v>Aroeira - APARTMENTS</v>
          </cell>
          <cell r="C530" t="str">
            <v>214B</v>
          </cell>
          <cell r="E530" t="str">
            <v>2-BR</v>
          </cell>
          <cell r="F530">
            <v>115.24</v>
          </cell>
          <cell r="Q530" t="str">
            <v>NOT FOR SALE</v>
          </cell>
          <cell r="S530">
            <v>695000</v>
          </cell>
          <cell r="T530">
            <v>770000</v>
          </cell>
          <cell r="V530">
            <v>45000</v>
          </cell>
          <cell r="W530">
            <v>725000</v>
          </cell>
          <cell r="AA530">
            <v>45988</v>
          </cell>
          <cell r="AB530">
            <v>47118</v>
          </cell>
          <cell r="AC530" t="str">
            <v>João Gameiro</v>
          </cell>
          <cell r="AJ530" t="str">
            <v>Aroeira Collections</v>
          </cell>
        </row>
        <row r="531">
          <cell r="A531" t="str">
            <v>Aroeira - APARTMENTS</v>
          </cell>
          <cell r="C531" t="str">
            <v>215C</v>
          </cell>
          <cell r="E531" t="str">
            <v>3-BR</v>
          </cell>
          <cell r="F531">
            <v>145.22</v>
          </cell>
          <cell r="Q531" t="str">
            <v>NOT FOR SALE</v>
          </cell>
          <cell r="S531">
            <v>925000</v>
          </cell>
          <cell r="T531">
            <v>985000</v>
          </cell>
          <cell r="V531">
            <v>50000</v>
          </cell>
          <cell r="W531">
            <v>935000</v>
          </cell>
          <cell r="AB531">
            <v>47118</v>
          </cell>
          <cell r="AC531" t="str">
            <v>João Gameiro</v>
          </cell>
          <cell r="AJ531" t="str">
            <v>Aroeira Collections</v>
          </cell>
        </row>
        <row r="532">
          <cell r="A532" t="str">
            <v>ELS</v>
          </cell>
          <cell r="C532" t="str">
            <v>13</v>
          </cell>
          <cell r="E532" t="str">
            <v>Plot</v>
          </cell>
          <cell r="F532">
            <v>560</v>
          </cell>
          <cell r="Q532" t="str">
            <v>AVAILABLE</v>
          </cell>
          <cell r="S532">
            <v>3360000</v>
          </cell>
          <cell r="T532">
            <v>2630000</v>
          </cell>
          <cell r="W532">
            <v>2630000</v>
          </cell>
          <cell r="Y532">
            <v>2630000</v>
          </cell>
          <cell r="AC532" t="str">
            <v>Ana Damásio</v>
          </cell>
          <cell r="AJ532" t="str">
            <v>Springs - At the Els</v>
          </cell>
        </row>
        <row r="533">
          <cell r="A533" t="str">
            <v>THE UNCOMMON</v>
          </cell>
          <cell r="C533" t="str">
            <v>13</v>
          </cell>
          <cell r="E533" t="str">
            <v>T1</v>
          </cell>
          <cell r="F533">
            <v>105.5</v>
          </cell>
          <cell r="Q533" t="str">
            <v>AVAILABLE</v>
          </cell>
          <cell r="S533">
            <v>740000</v>
          </cell>
          <cell r="T533">
            <v>800000</v>
          </cell>
          <cell r="U533">
            <v>50000</v>
          </cell>
          <cell r="V533">
            <v>15000</v>
          </cell>
          <cell r="W533">
            <v>735000</v>
          </cell>
          <cell r="Y533">
            <v>800000</v>
          </cell>
          <cell r="AC533" t="str">
            <v>Ana Damásio</v>
          </cell>
          <cell r="AJ533" t="str">
            <v>The Uncommon</v>
          </cell>
        </row>
        <row r="534">
          <cell r="A534" t="str">
            <v>ELS</v>
          </cell>
          <cell r="C534" t="str">
            <v>14</v>
          </cell>
          <cell r="E534" t="str">
            <v>Plot</v>
          </cell>
          <cell r="F534">
            <v>560</v>
          </cell>
          <cell r="Q534" t="str">
            <v>AVAILABLE</v>
          </cell>
          <cell r="S534">
            <v>3230000</v>
          </cell>
          <cell r="T534">
            <v>2610000</v>
          </cell>
          <cell r="W534">
            <v>2610000</v>
          </cell>
          <cell r="Y534">
            <v>2610000</v>
          </cell>
          <cell r="AC534" t="str">
            <v>Ana Damásio</v>
          </cell>
          <cell r="AJ534" t="str">
            <v>Springs - At the Els</v>
          </cell>
        </row>
        <row r="535">
          <cell r="A535" t="str">
            <v>Aroeira - HOTEL APARTMENTS</v>
          </cell>
          <cell r="C535" t="str">
            <v>216A</v>
          </cell>
          <cell r="E535" t="str">
            <v>1-BR</v>
          </cell>
          <cell r="F535">
            <v>65</v>
          </cell>
          <cell r="Q535" t="str">
            <v>AVAILABLE</v>
          </cell>
          <cell r="S535">
            <v>450000</v>
          </cell>
          <cell r="T535">
            <v>450000</v>
          </cell>
          <cell r="V535">
            <v>35000</v>
          </cell>
          <cell r="W535">
            <v>415000</v>
          </cell>
          <cell r="AB535">
            <v>47118</v>
          </cell>
          <cell r="AC535" t="str">
            <v>João Gameiro</v>
          </cell>
          <cell r="AJ535" t="str">
            <v>Aroeira Collections</v>
          </cell>
        </row>
        <row r="536">
          <cell r="A536" t="str">
            <v>THE UNCOMMON</v>
          </cell>
          <cell r="C536" t="str">
            <v>14</v>
          </cell>
          <cell r="E536" t="str">
            <v>T1</v>
          </cell>
          <cell r="F536">
            <v>105.5</v>
          </cell>
          <cell r="Q536" t="str">
            <v>AVAILABLE</v>
          </cell>
          <cell r="S536">
            <v>790000</v>
          </cell>
          <cell r="T536">
            <v>850000</v>
          </cell>
          <cell r="U536">
            <v>50000</v>
          </cell>
          <cell r="V536">
            <v>15000</v>
          </cell>
          <cell r="W536">
            <v>785000</v>
          </cell>
          <cell r="Y536">
            <v>850000</v>
          </cell>
          <cell r="AC536" t="str">
            <v>Ana Damásio</v>
          </cell>
          <cell r="AJ536" t="str">
            <v>The Uncommon</v>
          </cell>
        </row>
        <row r="537">
          <cell r="A537" t="str">
            <v>THE UNCOMMON</v>
          </cell>
          <cell r="C537" t="str">
            <v>15</v>
          </cell>
          <cell r="E537" t="str">
            <v>T1</v>
          </cell>
          <cell r="F537">
            <v>100.1</v>
          </cell>
          <cell r="Q537" t="str">
            <v>AVAILABLE</v>
          </cell>
          <cell r="S537">
            <v>840000</v>
          </cell>
          <cell r="T537">
            <v>900000</v>
          </cell>
          <cell r="U537">
            <v>50000</v>
          </cell>
          <cell r="V537">
            <v>15000</v>
          </cell>
          <cell r="W537">
            <v>835000</v>
          </cell>
          <cell r="Y537">
            <v>900000</v>
          </cell>
          <cell r="AC537" t="str">
            <v>Ana Damásio</v>
          </cell>
          <cell r="AJ537" t="str">
            <v>The Uncommon</v>
          </cell>
        </row>
        <row r="538">
          <cell r="A538" t="str">
            <v>Palmares - Plots</v>
          </cell>
          <cell r="C538" t="str">
            <v>93</v>
          </cell>
          <cell r="E538" t="str">
            <v>Plot</v>
          </cell>
          <cell r="F538">
            <v>420</v>
          </cell>
          <cell r="Q538" t="str">
            <v>AVAILABLE</v>
          </cell>
          <cell r="S538">
            <v>470000</v>
          </cell>
          <cell r="T538">
            <v>1300000</v>
          </cell>
          <cell r="W538">
            <v>1300000</v>
          </cell>
          <cell r="Y538">
            <v>1300000</v>
          </cell>
          <cell r="AB538">
            <v>46843</v>
          </cell>
          <cell r="AC538" t="str">
            <v>Sandra Viegas</v>
          </cell>
          <cell r="AJ538" t="str">
            <v>Palmares</v>
          </cell>
        </row>
        <row r="539">
          <cell r="A539" t="str">
            <v>Palmares - Signature Residences</v>
          </cell>
          <cell r="C539" t="str">
            <v>19D</v>
          </cell>
          <cell r="E539" t="str">
            <v>T2 + 1Duplex</v>
          </cell>
          <cell r="F539">
            <v>363.73</v>
          </cell>
          <cell r="Q539" t="str">
            <v>AVAILABLE</v>
          </cell>
          <cell r="S539">
            <v>2080000</v>
          </cell>
          <cell r="T539">
            <v>2080000</v>
          </cell>
          <cell r="W539">
            <v>2080000</v>
          </cell>
          <cell r="Y539">
            <v>2080000</v>
          </cell>
          <cell r="AB539">
            <v>46843</v>
          </cell>
          <cell r="AJ539" t="str">
            <v>Palmares</v>
          </cell>
        </row>
        <row r="540">
          <cell r="A540" t="str">
            <v>Palmares - Plots</v>
          </cell>
          <cell r="C540" t="str">
            <v>88</v>
          </cell>
          <cell r="E540" t="str">
            <v>Plot</v>
          </cell>
          <cell r="F540">
            <v>4980</v>
          </cell>
          <cell r="Q540" t="str">
            <v>AVAILABLE</v>
          </cell>
          <cell r="S540">
            <v>540000</v>
          </cell>
          <cell r="T540">
            <v>1500000</v>
          </cell>
          <cell r="W540">
            <v>1500000</v>
          </cell>
          <cell r="Y540">
            <v>1500000</v>
          </cell>
          <cell r="AB540">
            <v>46843</v>
          </cell>
          <cell r="AC540" t="str">
            <v>Sandra Viegas</v>
          </cell>
          <cell r="AJ540" t="str">
            <v>Palmares</v>
          </cell>
        </row>
        <row r="541">
          <cell r="A541" t="str">
            <v>Palmares - Plots</v>
          </cell>
          <cell r="C541" t="str">
            <v>94</v>
          </cell>
          <cell r="E541" t="str">
            <v>Plot</v>
          </cell>
          <cell r="F541">
            <v>420</v>
          </cell>
          <cell r="Q541" t="str">
            <v>AVAILABLE</v>
          </cell>
          <cell r="S541">
            <v>540000</v>
          </cell>
          <cell r="T541">
            <v>1300000</v>
          </cell>
          <cell r="W541">
            <v>1300000</v>
          </cell>
          <cell r="Y541">
            <v>1300000</v>
          </cell>
          <cell r="AB541">
            <v>46843</v>
          </cell>
          <cell r="AC541" t="str">
            <v>Sandra Viegas</v>
          </cell>
          <cell r="AJ541" t="str">
            <v>Palmares</v>
          </cell>
        </row>
        <row r="542">
          <cell r="A542" t="str">
            <v>Palmares - Signature Residences</v>
          </cell>
          <cell r="C542" t="str">
            <v>20D</v>
          </cell>
          <cell r="E542" t="str">
            <v>T2 + 1Duplex</v>
          </cell>
          <cell r="F542">
            <v>355.2</v>
          </cell>
          <cell r="Q542" t="str">
            <v>AVAILABLE</v>
          </cell>
          <cell r="S542">
            <v>2070000</v>
          </cell>
          <cell r="T542">
            <v>2070000</v>
          </cell>
          <cell r="W542">
            <v>2070000</v>
          </cell>
          <cell r="Y542">
            <v>2070000</v>
          </cell>
          <cell r="AB542">
            <v>46843</v>
          </cell>
          <cell r="AJ542" t="str">
            <v>Palmares</v>
          </cell>
        </row>
        <row r="543">
          <cell r="A543" t="str">
            <v>Palmares - Signature Residences</v>
          </cell>
          <cell r="C543" t="str">
            <v>21D</v>
          </cell>
          <cell r="E543" t="str">
            <v>T2 + 1Duplex</v>
          </cell>
          <cell r="F543">
            <v>363.7</v>
          </cell>
          <cell r="Q543" t="str">
            <v>AVAILABLE</v>
          </cell>
          <cell r="S543">
            <v>2050000</v>
          </cell>
          <cell r="T543">
            <v>2050000</v>
          </cell>
          <cell r="W543">
            <v>2050000</v>
          </cell>
          <cell r="Y543">
            <v>2050000</v>
          </cell>
          <cell r="AB543">
            <v>46843</v>
          </cell>
          <cell r="AJ543" t="str">
            <v>Palmares</v>
          </cell>
        </row>
        <row r="544">
          <cell r="A544" t="str">
            <v>Palmares - Signature Residences</v>
          </cell>
          <cell r="C544" t="str">
            <v>22D</v>
          </cell>
          <cell r="E544" t="str">
            <v>T2 + 1Duplex</v>
          </cell>
          <cell r="F544">
            <v>355.14</v>
          </cell>
          <cell r="Q544" t="str">
            <v>AVAILABLE</v>
          </cell>
          <cell r="S544">
            <v>2040000</v>
          </cell>
          <cell r="T544">
            <v>2040000</v>
          </cell>
          <cell r="W544">
            <v>2040000</v>
          </cell>
          <cell r="Y544">
            <v>2040000</v>
          </cell>
          <cell r="AB544">
            <v>46843</v>
          </cell>
          <cell r="AJ544" t="str">
            <v>Palmares</v>
          </cell>
        </row>
        <row r="545">
          <cell r="A545" t="str">
            <v>ELS</v>
          </cell>
          <cell r="C545" t="str">
            <v>16</v>
          </cell>
          <cell r="E545" t="str">
            <v>Plot</v>
          </cell>
          <cell r="F545">
            <v>480</v>
          </cell>
          <cell r="Q545" t="str">
            <v>AVAILABLE</v>
          </cell>
          <cell r="S545">
            <v>3120000</v>
          </cell>
          <cell r="T545">
            <v>2160000</v>
          </cell>
          <cell r="W545">
            <v>2160000</v>
          </cell>
          <cell r="Y545">
            <v>2160000</v>
          </cell>
          <cell r="AC545" t="str">
            <v>Ana Damásio</v>
          </cell>
          <cell r="AJ545" t="str">
            <v>Springs - At the Els</v>
          </cell>
        </row>
        <row r="546">
          <cell r="A546" t="str">
            <v>THE UNCOMMON</v>
          </cell>
          <cell r="C546" t="str">
            <v>16</v>
          </cell>
          <cell r="E546" t="str">
            <v>T3</v>
          </cell>
          <cell r="F546">
            <v>200.9</v>
          </cell>
          <cell r="Q546" t="str">
            <v>AVAILABLE</v>
          </cell>
          <cell r="S546">
            <v>2010000</v>
          </cell>
          <cell r="T546">
            <v>2090000</v>
          </cell>
          <cell r="U546">
            <v>50000</v>
          </cell>
          <cell r="V546">
            <v>30000</v>
          </cell>
          <cell r="W546">
            <v>2010000</v>
          </cell>
          <cell r="Y546">
            <v>2090000</v>
          </cell>
          <cell r="AC546" t="str">
            <v>Ana Damásio</v>
          </cell>
          <cell r="AJ546" t="str">
            <v>The Uncommon</v>
          </cell>
        </row>
        <row r="547">
          <cell r="A547" t="str">
            <v>ELS</v>
          </cell>
          <cell r="C547" t="str">
            <v>17</v>
          </cell>
          <cell r="E547" t="str">
            <v>Plot</v>
          </cell>
          <cell r="F547">
            <v>220</v>
          </cell>
          <cell r="Q547" t="str">
            <v>AVAILABLE</v>
          </cell>
          <cell r="S547">
            <v>3100000</v>
          </cell>
          <cell r="T547">
            <v>980000</v>
          </cell>
          <cell r="W547">
            <v>980000</v>
          </cell>
          <cell r="Y547">
            <v>980000</v>
          </cell>
          <cell r="AC547" t="str">
            <v>Ana Damásio</v>
          </cell>
          <cell r="AJ547" t="str">
            <v>Springs - At the Els</v>
          </cell>
        </row>
        <row r="548">
          <cell r="A548" t="str">
            <v>ELS</v>
          </cell>
          <cell r="C548" t="str">
            <v>18</v>
          </cell>
          <cell r="E548" t="str">
            <v>Plot</v>
          </cell>
          <cell r="F548">
            <v>220</v>
          </cell>
          <cell r="Q548" t="str">
            <v>AVAILABLE</v>
          </cell>
          <cell r="S548">
            <v>2790000</v>
          </cell>
          <cell r="T548">
            <v>990000</v>
          </cell>
          <cell r="W548">
            <v>990000</v>
          </cell>
          <cell r="Y548">
            <v>990000</v>
          </cell>
          <cell r="AC548" t="str">
            <v>Ana Damásio</v>
          </cell>
          <cell r="AJ548" t="str">
            <v>Springs - At the Els</v>
          </cell>
        </row>
        <row r="549">
          <cell r="A549" t="str">
            <v>Palmares - Signature Residences</v>
          </cell>
          <cell r="C549" t="str">
            <v>23D</v>
          </cell>
          <cell r="E549" t="str">
            <v>T2 + 1 Duplex</v>
          </cell>
          <cell r="F549">
            <v>396.94</v>
          </cell>
          <cell r="Q549" t="str">
            <v>AVAILABLE</v>
          </cell>
          <cell r="S549">
            <v>2040000</v>
          </cell>
          <cell r="T549">
            <v>2040000</v>
          </cell>
          <cell r="W549">
            <v>2040000</v>
          </cell>
          <cell r="Y549">
            <v>2040000</v>
          </cell>
          <cell r="AB549">
            <v>46843</v>
          </cell>
          <cell r="AJ549" t="str">
            <v>Palmares</v>
          </cell>
        </row>
        <row r="550">
          <cell r="A550" t="str">
            <v>Palmares - Signature Residences</v>
          </cell>
          <cell r="C550" t="str">
            <v>24D</v>
          </cell>
          <cell r="E550" t="str">
            <v>T2  Simplex</v>
          </cell>
          <cell r="F550">
            <v>240.78</v>
          </cell>
          <cell r="Q550" t="str">
            <v>AVAILABLE</v>
          </cell>
          <cell r="S550">
            <v>1430000</v>
          </cell>
          <cell r="T550">
            <v>1430000</v>
          </cell>
          <cell r="W550">
            <v>1430000</v>
          </cell>
          <cell r="Y550">
            <v>1430000</v>
          </cell>
          <cell r="AB550">
            <v>46843</v>
          </cell>
          <cell r="AJ550" t="str">
            <v>Palmares</v>
          </cell>
        </row>
        <row r="551">
          <cell r="A551" t="str">
            <v>Palmares - Signature Residences</v>
          </cell>
          <cell r="C551" t="str">
            <v>25E</v>
          </cell>
          <cell r="E551" t="str">
            <v>T3 + 1  Simplex</v>
          </cell>
          <cell r="F551">
            <v>447.28</v>
          </cell>
          <cell r="Q551" t="str">
            <v>AVAILABLE</v>
          </cell>
          <cell r="S551">
            <v>3060000</v>
          </cell>
          <cell r="T551">
            <v>3060000</v>
          </cell>
          <cell r="W551">
            <v>3060000</v>
          </cell>
          <cell r="Y551">
            <v>3060000</v>
          </cell>
          <cell r="AB551">
            <v>46843</v>
          </cell>
          <cell r="AJ551" t="str">
            <v>Palmares</v>
          </cell>
        </row>
        <row r="552">
          <cell r="A552" t="str">
            <v>Palmares - Signature Residences</v>
          </cell>
          <cell r="C552" t="str">
            <v>26E</v>
          </cell>
          <cell r="E552" t="str">
            <v>T3 + 1  Simplex</v>
          </cell>
          <cell r="F552">
            <v>447.28</v>
          </cell>
          <cell r="Q552" t="str">
            <v>AVAILABLE</v>
          </cell>
          <cell r="S552">
            <v>2990000</v>
          </cell>
          <cell r="T552">
            <v>2990000</v>
          </cell>
          <cell r="W552">
            <v>2990000</v>
          </cell>
          <cell r="Y552">
            <v>2990000</v>
          </cell>
          <cell r="AB552">
            <v>46843</v>
          </cell>
          <cell r="AJ552" t="str">
            <v>Palmares</v>
          </cell>
        </row>
        <row r="553">
          <cell r="A553" t="str">
            <v>Palmares - Signature Residences</v>
          </cell>
          <cell r="C553" t="str">
            <v>27E</v>
          </cell>
          <cell r="E553" t="str">
            <v>T3 + 1  Simplex</v>
          </cell>
          <cell r="F553">
            <v>445.43</v>
          </cell>
          <cell r="Q553" t="str">
            <v>AVAILABLE</v>
          </cell>
          <cell r="S553">
            <v>2890000</v>
          </cell>
          <cell r="T553">
            <v>2890000</v>
          </cell>
          <cell r="W553">
            <v>2890000</v>
          </cell>
          <cell r="Y553">
            <v>2890000</v>
          </cell>
          <cell r="AB553">
            <v>46843</v>
          </cell>
          <cell r="AJ553" t="str">
            <v>Palmares</v>
          </cell>
        </row>
        <row r="554">
          <cell r="A554" t="str">
            <v>Palmares - Signature Residences</v>
          </cell>
          <cell r="C554" t="str">
            <v>28E</v>
          </cell>
          <cell r="E554" t="str">
            <v>T2 + 1   Simplex</v>
          </cell>
          <cell r="F554">
            <v>327.23</v>
          </cell>
          <cell r="Q554" t="str">
            <v>AVAILABLE</v>
          </cell>
          <cell r="S554">
            <v>1930000</v>
          </cell>
          <cell r="T554">
            <v>1930000</v>
          </cell>
          <cell r="W554">
            <v>1930000</v>
          </cell>
          <cell r="Y554">
            <v>1930000</v>
          </cell>
          <cell r="AB554">
            <v>46843</v>
          </cell>
          <cell r="AJ554" t="str">
            <v>Palmares</v>
          </cell>
        </row>
        <row r="555">
          <cell r="A555" t="str">
            <v>Palmares - Signature Residences</v>
          </cell>
          <cell r="C555" t="str">
            <v>29E</v>
          </cell>
          <cell r="E555" t="str">
            <v>T2 Duplex</v>
          </cell>
          <cell r="F555">
            <v>258.68</v>
          </cell>
          <cell r="Q555" t="str">
            <v>AVAILABLE</v>
          </cell>
          <cell r="S555">
            <v>1340000</v>
          </cell>
          <cell r="T555">
            <v>1340000</v>
          </cell>
          <cell r="W555">
            <v>1340000</v>
          </cell>
          <cell r="Y555">
            <v>1340000</v>
          </cell>
          <cell r="AB555">
            <v>46843</v>
          </cell>
          <cell r="AJ555" t="str">
            <v>Palmares</v>
          </cell>
        </row>
        <row r="556">
          <cell r="A556" t="str">
            <v>Palmares - Signature Residences</v>
          </cell>
          <cell r="C556" t="str">
            <v>2A</v>
          </cell>
          <cell r="E556" t="str">
            <v>T1</v>
          </cell>
          <cell r="F556">
            <v>87.35</v>
          </cell>
          <cell r="Q556" t="str">
            <v>AVAILABLE</v>
          </cell>
          <cell r="S556">
            <v>660000</v>
          </cell>
          <cell r="T556">
            <v>660000</v>
          </cell>
          <cell r="W556">
            <v>660000</v>
          </cell>
          <cell r="Y556">
            <v>660000</v>
          </cell>
          <cell r="AB556">
            <v>46843</v>
          </cell>
          <cell r="AJ556" t="str">
            <v>Palmares</v>
          </cell>
        </row>
        <row r="557">
          <cell r="A557" t="str">
            <v>Palmares - Signature Residences</v>
          </cell>
          <cell r="C557" t="str">
            <v>3A</v>
          </cell>
          <cell r="E557" t="str">
            <v>T1</v>
          </cell>
          <cell r="F557">
            <v>89.62</v>
          </cell>
          <cell r="Q557" t="str">
            <v>AVAILABLE</v>
          </cell>
          <cell r="S557">
            <v>640000</v>
          </cell>
          <cell r="T557">
            <v>640000</v>
          </cell>
          <cell r="W557">
            <v>640000</v>
          </cell>
          <cell r="Y557">
            <v>640000</v>
          </cell>
          <cell r="AB557">
            <v>46843</v>
          </cell>
          <cell r="AJ557" t="str">
            <v>Palmares</v>
          </cell>
        </row>
        <row r="558">
          <cell r="A558" t="str">
            <v>ELS</v>
          </cell>
          <cell r="C558" t="str">
            <v>19</v>
          </cell>
          <cell r="E558" t="str">
            <v>Plot</v>
          </cell>
          <cell r="F558">
            <v>260</v>
          </cell>
          <cell r="Q558" t="str">
            <v>AVAILABLE</v>
          </cell>
          <cell r="S558">
            <v>2920000</v>
          </cell>
          <cell r="T558">
            <v>660000</v>
          </cell>
          <cell r="W558">
            <v>660000</v>
          </cell>
          <cell r="Y558">
            <v>660000</v>
          </cell>
          <cell r="AC558" t="str">
            <v>Ana Damásio</v>
          </cell>
          <cell r="AJ558" t="str">
            <v>Springs - At the Els</v>
          </cell>
        </row>
        <row r="559">
          <cell r="A559" t="str">
            <v>ELS</v>
          </cell>
          <cell r="C559" t="str">
            <v>2</v>
          </cell>
          <cell r="E559" t="str">
            <v>Plot</v>
          </cell>
          <cell r="F559">
            <v>285</v>
          </cell>
          <cell r="Q559" t="str">
            <v>AVAILABLE</v>
          </cell>
          <cell r="S559">
            <v>2640000</v>
          </cell>
          <cell r="T559">
            <v>1510000</v>
          </cell>
          <cell r="W559">
            <v>1510000</v>
          </cell>
          <cell r="Y559">
            <v>1510000</v>
          </cell>
          <cell r="AC559" t="str">
            <v>Ana Damásio</v>
          </cell>
          <cell r="AJ559" t="str">
            <v>Springs - At the Els</v>
          </cell>
        </row>
        <row r="560">
          <cell r="A560" t="str">
            <v>THE UNCOMMON</v>
          </cell>
          <cell r="C560" t="str">
            <v>2</v>
          </cell>
          <cell r="E560" t="str">
            <v>T2</v>
          </cell>
          <cell r="F560">
            <v>168.6</v>
          </cell>
          <cell r="Q560" t="str">
            <v>AVAILABLE</v>
          </cell>
          <cell r="S560">
            <v>1110000</v>
          </cell>
          <cell r="T560">
            <v>1180000</v>
          </cell>
          <cell r="U560">
            <v>50000</v>
          </cell>
          <cell r="V560">
            <v>23000</v>
          </cell>
          <cell r="W560">
            <v>1107000</v>
          </cell>
          <cell r="Y560">
            <v>1180000</v>
          </cell>
          <cell r="AC560" t="str">
            <v>Ana Damásio</v>
          </cell>
          <cell r="AJ560" t="str">
            <v>The Uncommon</v>
          </cell>
        </row>
        <row r="561">
          <cell r="A561" t="str">
            <v>ELS</v>
          </cell>
          <cell r="C561" t="str">
            <v>20</v>
          </cell>
          <cell r="E561" t="str">
            <v>Plot</v>
          </cell>
          <cell r="F561">
            <v>260</v>
          </cell>
          <cell r="Q561" t="str">
            <v>AVAILABLE</v>
          </cell>
          <cell r="S561">
            <v>1840000</v>
          </cell>
          <cell r="T561">
            <v>640000</v>
          </cell>
          <cell r="W561">
            <v>640000</v>
          </cell>
          <cell r="Y561">
            <v>640000</v>
          </cell>
          <cell r="AC561" t="str">
            <v>Ana Damásio</v>
          </cell>
          <cell r="AJ561" t="str">
            <v>Springs - At the Els</v>
          </cell>
        </row>
        <row r="562">
          <cell r="A562" t="str">
            <v>THE UNCOMMON</v>
          </cell>
          <cell r="C562" t="str">
            <v>201</v>
          </cell>
          <cell r="E562" t="str">
            <v>T3</v>
          </cell>
          <cell r="F562">
            <v>183.9</v>
          </cell>
          <cell r="Q562" t="str">
            <v>AVAILABLE</v>
          </cell>
          <cell r="S562">
            <v>2080000</v>
          </cell>
          <cell r="T562">
            <v>2160000</v>
          </cell>
          <cell r="U562">
            <v>50000</v>
          </cell>
          <cell r="V562">
            <v>30000</v>
          </cell>
          <cell r="W562">
            <v>2080000</v>
          </cell>
          <cell r="Y562">
            <v>2160000</v>
          </cell>
          <cell r="AC562" t="str">
            <v>Ana Damásio</v>
          </cell>
          <cell r="AJ562" t="str">
            <v>The Uncommon</v>
          </cell>
        </row>
        <row r="563">
          <cell r="A563" t="str">
            <v>THE UNCOMMON</v>
          </cell>
          <cell r="C563" t="str">
            <v>203</v>
          </cell>
          <cell r="E563" t="str">
            <v>T2</v>
          </cell>
          <cell r="F563">
            <v>129.4</v>
          </cell>
          <cell r="Q563" t="str">
            <v>AVAILABLE</v>
          </cell>
          <cell r="S563">
            <v>1050000</v>
          </cell>
          <cell r="T563">
            <v>1120000</v>
          </cell>
          <cell r="U563">
            <v>50000</v>
          </cell>
          <cell r="V563">
            <v>23000</v>
          </cell>
          <cell r="W563">
            <v>1047000</v>
          </cell>
          <cell r="Y563">
            <v>1120000</v>
          </cell>
          <cell r="AC563" t="str">
            <v>Ana Damásio</v>
          </cell>
          <cell r="AJ563" t="str">
            <v>The Uncommon</v>
          </cell>
        </row>
        <row r="564">
          <cell r="A564" t="str">
            <v>THE UNCOMMON</v>
          </cell>
          <cell r="C564" t="str">
            <v>204</v>
          </cell>
          <cell r="E564" t="str">
            <v>T2</v>
          </cell>
          <cell r="F564">
            <v>130</v>
          </cell>
          <cell r="Q564" t="str">
            <v>AVAILABLE</v>
          </cell>
          <cell r="S564">
            <v>960000</v>
          </cell>
          <cell r="T564">
            <v>1020000</v>
          </cell>
          <cell r="U564">
            <v>50000</v>
          </cell>
          <cell r="V564">
            <v>23000</v>
          </cell>
          <cell r="W564">
            <v>947000</v>
          </cell>
          <cell r="Y564">
            <v>1020000</v>
          </cell>
          <cell r="AC564" t="str">
            <v>Ana Damásio</v>
          </cell>
          <cell r="AJ564" t="str">
            <v>The Uncommon</v>
          </cell>
        </row>
        <row r="565">
          <cell r="A565" t="str">
            <v>THE UNCOMMON</v>
          </cell>
          <cell r="C565" t="str">
            <v>205</v>
          </cell>
          <cell r="E565" t="str">
            <v>T2</v>
          </cell>
          <cell r="F565">
            <v>130.1</v>
          </cell>
          <cell r="Q565" t="str">
            <v>AVAILABLE</v>
          </cell>
          <cell r="S565">
            <v>1040000</v>
          </cell>
          <cell r="T565">
            <v>1140000</v>
          </cell>
          <cell r="U565">
            <v>50000</v>
          </cell>
          <cell r="V565">
            <v>23000</v>
          </cell>
          <cell r="W565">
            <v>1067000</v>
          </cell>
          <cell r="Y565">
            <v>1044780</v>
          </cell>
          <cell r="AC565" t="str">
            <v>Ana Damásio</v>
          </cell>
          <cell r="AJ565" t="str">
            <v>The Uncommon</v>
          </cell>
        </row>
        <row r="566">
          <cell r="A566" t="str">
            <v>THE UNCOMMON</v>
          </cell>
          <cell r="C566" t="str">
            <v>206</v>
          </cell>
          <cell r="E566" t="str">
            <v>T2</v>
          </cell>
          <cell r="F566">
            <v>129.4</v>
          </cell>
          <cell r="Q566" t="str">
            <v>AVAILABLE</v>
          </cell>
          <cell r="S566">
            <v>1130000</v>
          </cell>
          <cell r="T566">
            <v>1200000</v>
          </cell>
          <cell r="U566">
            <v>50000</v>
          </cell>
          <cell r="V566">
            <v>23000</v>
          </cell>
          <cell r="W566">
            <v>1127000</v>
          </cell>
          <cell r="Y566">
            <v>1200000</v>
          </cell>
          <cell r="AC566" t="str">
            <v>Ana Damásio</v>
          </cell>
          <cell r="AJ566" t="str">
            <v>The Uncommon</v>
          </cell>
        </row>
        <row r="567">
          <cell r="A567" t="str">
            <v>THE UNCOMMON</v>
          </cell>
          <cell r="C567" t="str">
            <v>207</v>
          </cell>
          <cell r="E567" t="str">
            <v>T2</v>
          </cell>
          <cell r="F567">
            <v>129.4</v>
          </cell>
          <cell r="Q567" t="str">
            <v>AVAILABLE</v>
          </cell>
          <cell r="S567">
            <v>1210000</v>
          </cell>
          <cell r="T567">
            <v>1280000</v>
          </cell>
          <cell r="U567">
            <v>50000</v>
          </cell>
          <cell r="V567">
            <v>23000</v>
          </cell>
          <cell r="W567">
            <v>1207000</v>
          </cell>
          <cell r="Y567">
            <v>1280000</v>
          </cell>
          <cell r="AC567" t="str">
            <v>Ana Damásio</v>
          </cell>
          <cell r="AJ567" t="str">
            <v>The Uncommon</v>
          </cell>
        </row>
        <row r="568">
          <cell r="A568" t="str">
            <v>THE UNCOMMON</v>
          </cell>
          <cell r="C568" t="str">
            <v>208</v>
          </cell>
          <cell r="E568" t="str">
            <v>T2</v>
          </cell>
          <cell r="F568">
            <v>129.4</v>
          </cell>
          <cell r="Q568" t="str">
            <v>AVAILABLE</v>
          </cell>
          <cell r="S568">
            <v>1260000</v>
          </cell>
          <cell r="T568">
            <v>1330000</v>
          </cell>
          <cell r="U568">
            <v>50000</v>
          </cell>
          <cell r="V568">
            <v>23000</v>
          </cell>
          <cell r="W568">
            <v>1257000</v>
          </cell>
          <cell r="Y568">
            <v>1330000</v>
          </cell>
          <cell r="AC568" t="str">
            <v>Ana Damásio</v>
          </cell>
          <cell r="AJ568" t="str">
            <v>The Uncommon</v>
          </cell>
        </row>
        <row r="569">
          <cell r="A569" t="str">
            <v>THE UNCOMMON</v>
          </cell>
          <cell r="C569" t="str">
            <v>209</v>
          </cell>
          <cell r="E569" t="str">
            <v>T2</v>
          </cell>
          <cell r="F569">
            <v>129.4</v>
          </cell>
          <cell r="Q569" t="str">
            <v>AVAILABLE</v>
          </cell>
          <cell r="S569">
            <v>1320000</v>
          </cell>
          <cell r="T569">
            <v>1390000</v>
          </cell>
          <cell r="U569">
            <v>50000</v>
          </cell>
          <cell r="V569">
            <v>23000</v>
          </cell>
          <cell r="W569">
            <v>1317000</v>
          </cell>
          <cell r="Y569">
            <v>1390000</v>
          </cell>
          <cell r="AC569" t="str">
            <v>Ana Damásio</v>
          </cell>
          <cell r="AJ569" t="str">
            <v>The Uncommon</v>
          </cell>
        </row>
        <row r="570">
          <cell r="A570" t="str">
            <v>ELS</v>
          </cell>
          <cell r="C570" t="str">
            <v>21</v>
          </cell>
          <cell r="E570" t="str">
            <v>Plot</v>
          </cell>
          <cell r="F570">
            <v>260</v>
          </cell>
          <cell r="Q570" t="str">
            <v>AVAILABLE</v>
          </cell>
          <cell r="S570">
            <v>3150000</v>
          </cell>
          <cell r="T570">
            <v>660000</v>
          </cell>
          <cell r="W570">
            <v>660000</v>
          </cell>
          <cell r="Y570">
            <v>660000</v>
          </cell>
          <cell r="AC570" t="str">
            <v>Ana Damásio</v>
          </cell>
          <cell r="AJ570" t="str">
            <v>Springs - At the Els</v>
          </cell>
        </row>
        <row r="571">
          <cell r="A571" t="str">
            <v>Palmares - Signature Residences</v>
          </cell>
          <cell r="C571" t="str">
            <v>4A</v>
          </cell>
          <cell r="E571" t="str">
            <v>T1</v>
          </cell>
          <cell r="F571">
            <v>86.99</v>
          </cell>
          <cell r="Q571" t="str">
            <v>AVAILABLE</v>
          </cell>
          <cell r="S571">
            <v>660000</v>
          </cell>
          <cell r="T571">
            <v>660000</v>
          </cell>
          <cell r="W571">
            <v>660000</v>
          </cell>
          <cell r="Y571">
            <v>660000</v>
          </cell>
          <cell r="AB571">
            <v>46843</v>
          </cell>
          <cell r="AJ571" t="str">
            <v>Palmares</v>
          </cell>
        </row>
        <row r="572">
          <cell r="A572" t="str">
            <v>Palmares - Plots</v>
          </cell>
          <cell r="C572" t="str">
            <v>42</v>
          </cell>
          <cell r="E572" t="str">
            <v>Plot</v>
          </cell>
          <cell r="F572">
            <v>2725</v>
          </cell>
          <cell r="Q572" t="str">
            <v>AVAILABLE</v>
          </cell>
          <cell r="S572">
            <v>570000</v>
          </cell>
          <cell r="T572">
            <v>1250000</v>
          </cell>
          <cell r="W572">
            <v>1250000</v>
          </cell>
          <cell r="Y572">
            <v>1250000</v>
          </cell>
          <cell r="AB572">
            <v>46843</v>
          </cell>
          <cell r="AC572" t="str">
            <v>Sandra Viegas</v>
          </cell>
          <cell r="AJ572" t="str">
            <v>Palmares</v>
          </cell>
        </row>
        <row r="573">
          <cell r="A573" t="str">
            <v>Palmares - Plots</v>
          </cell>
          <cell r="C573" t="str">
            <v>44</v>
          </cell>
          <cell r="E573" t="str">
            <v>Plot</v>
          </cell>
          <cell r="F573">
            <v>3281</v>
          </cell>
          <cell r="Q573" t="str">
            <v>AVAILABLE</v>
          </cell>
          <cell r="S573">
            <v>570000</v>
          </cell>
          <cell r="T573">
            <v>1350000</v>
          </cell>
          <cell r="W573">
            <v>1350000</v>
          </cell>
          <cell r="Y573">
            <v>1350000</v>
          </cell>
          <cell r="AB573">
            <v>46843</v>
          </cell>
          <cell r="AC573" t="str">
            <v>Sandra Viegas</v>
          </cell>
          <cell r="AJ573" t="str">
            <v>Palmares</v>
          </cell>
        </row>
        <row r="574">
          <cell r="A574" t="str">
            <v>THE UNCOMMON</v>
          </cell>
          <cell r="C574" t="str">
            <v>210</v>
          </cell>
          <cell r="E574" t="str">
            <v>T4 Duplex</v>
          </cell>
          <cell r="F574">
            <v>280.5</v>
          </cell>
          <cell r="Q574" t="str">
            <v>AVAILABLE</v>
          </cell>
          <cell r="S574">
            <v>3810000</v>
          </cell>
          <cell r="T574">
            <v>3930000</v>
          </cell>
          <cell r="U574">
            <v>60000</v>
          </cell>
          <cell r="V574">
            <v>45000</v>
          </cell>
          <cell r="W574">
            <v>3825000</v>
          </cell>
          <cell r="Y574">
            <v>3930000</v>
          </cell>
          <cell r="AC574" t="str">
            <v>Ana Damásio</v>
          </cell>
          <cell r="AJ574" t="str">
            <v>The Uncommon</v>
          </cell>
        </row>
        <row r="575">
          <cell r="A575" t="str">
            <v>THE UNCOMMON</v>
          </cell>
          <cell r="C575" t="str">
            <v>211</v>
          </cell>
          <cell r="E575" t="str">
            <v>T1</v>
          </cell>
          <cell r="F575">
            <v>80.900000000000006</v>
          </cell>
          <cell r="Q575" t="str">
            <v>AVAILABLE</v>
          </cell>
          <cell r="S575">
            <v>690000</v>
          </cell>
          <cell r="T575">
            <v>750000</v>
          </cell>
          <cell r="U575">
            <v>50000</v>
          </cell>
          <cell r="V575">
            <v>15000</v>
          </cell>
          <cell r="W575">
            <v>685000</v>
          </cell>
          <cell r="Y575">
            <v>750000</v>
          </cell>
          <cell r="AC575" t="str">
            <v>Ana Damásio</v>
          </cell>
          <cell r="AJ575" t="str">
            <v>The Uncommon</v>
          </cell>
        </row>
        <row r="576">
          <cell r="A576" t="str">
            <v>THE UNCOMMON</v>
          </cell>
          <cell r="C576" t="str">
            <v>212</v>
          </cell>
          <cell r="E576" t="str">
            <v>T1</v>
          </cell>
          <cell r="F576">
            <v>81.099999999999994</v>
          </cell>
          <cell r="Q576" t="str">
            <v>AVAILABLE</v>
          </cell>
          <cell r="S576">
            <v>710000</v>
          </cell>
          <cell r="T576">
            <v>770000</v>
          </cell>
          <cell r="U576">
            <v>50000</v>
          </cell>
          <cell r="V576">
            <v>15000</v>
          </cell>
          <cell r="W576">
            <v>705000</v>
          </cell>
          <cell r="Y576">
            <v>770000</v>
          </cell>
          <cell r="AC576" t="str">
            <v>Ana Damásio</v>
          </cell>
          <cell r="AJ576" t="str">
            <v>The Uncommon</v>
          </cell>
        </row>
        <row r="577">
          <cell r="A577" t="str">
            <v>THE UNCOMMON</v>
          </cell>
          <cell r="C577" t="str">
            <v>213</v>
          </cell>
          <cell r="E577" t="str">
            <v>T1</v>
          </cell>
          <cell r="F577">
            <v>81.099999999999994</v>
          </cell>
          <cell r="Q577" t="str">
            <v>AVAILABLE</v>
          </cell>
          <cell r="S577">
            <v>760000</v>
          </cell>
          <cell r="T577">
            <v>820000</v>
          </cell>
          <cell r="U577">
            <v>50000</v>
          </cell>
          <cell r="V577">
            <v>15000</v>
          </cell>
          <cell r="W577">
            <v>755000</v>
          </cell>
          <cell r="Y577">
            <v>820000</v>
          </cell>
          <cell r="AC577" t="str">
            <v>Ana Damásio</v>
          </cell>
          <cell r="AJ577" t="str">
            <v>The Uncommon</v>
          </cell>
        </row>
        <row r="578">
          <cell r="A578" t="str">
            <v>THE UNCOMMON</v>
          </cell>
          <cell r="C578" t="str">
            <v>214</v>
          </cell>
          <cell r="E578" t="str">
            <v>T1</v>
          </cell>
          <cell r="F578">
            <v>81.099999999999994</v>
          </cell>
          <cell r="Q578" t="str">
            <v>AVAILABLE</v>
          </cell>
          <cell r="S578">
            <v>800000</v>
          </cell>
          <cell r="T578">
            <v>860000</v>
          </cell>
          <cell r="U578">
            <v>50000</v>
          </cell>
          <cell r="V578">
            <v>15000</v>
          </cell>
          <cell r="W578">
            <v>795000</v>
          </cell>
          <cell r="Y578">
            <v>860000</v>
          </cell>
          <cell r="AC578" t="str">
            <v>Ana Damásio</v>
          </cell>
          <cell r="AJ578" t="str">
            <v>The Uncommon</v>
          </cell>
        </row>
        <row r="579">
          <cell r="A579" t="str">
            <v>THE UNCOMMON</v>
          </cell>
          <cell r="C579" t="str">
            <v>215</v>
          </cell>
          <cell r="E579" t="str">
            <v>T1</v>
          </cell>
          <cell r="F579">
            <v>83</v>
          </cell>
          <cell r="Q579" t="str">
            <v>AVAILABLE</v>
          </cell>
          <cell r="S579">
            <v>870000</v>
          </cell>
          <cell r="T579">
            <v>930000</v>
          </cell>
          <cell r="U579">
            <v>50000</v>
          </cell>
          <cell r="V579">
            <v>15000</v>
          </cell>
          <cell r="W579">
            <v>865000</v>
          </cell>
          <cell r="Y579">
            <v>930000</v>
          </cell>
          <cell r="AC579" t="str">
            <v>Ana Damásio</v>
          </cell>
          <cell r="AJ579" t="str">
            <v>The Uncommon</v>
          </cell>
        </row>
        <row r="580">
          <cell r="A580" t="str">
            <v>THE UNCOMMON</v>
          </cell>
          <cell r="C580" t="str">
            <v>216</v>
          </cell>
          <cell r="E580" t="str">
            <v>T4 Duplex</v>
          </cell>
          <cell r="F580">
            <v>284.8</v>
          </cell>
          <cell r="Q580" t="str">
            <v>AVAILABLE</v>
          </cell>
          <cell r="S580">
            <v>3630000</v>
          </cell>
          <cell r="T580">
            <v>3740000</v>
          </cell>
          <cell r="U580">
            <v>60000</v>
          </cell>
          <cell r="V580">
            <v>45000</v>
          </cell>
          <cell r="W580">
            <v>3635000</v>
          </cell>
          <cell r="Y580">
            <v>3740000</v>
          </cell>
          <cell r="AC580" t="str">
            <v>Ana Damásio</v>
          </cell>
          <cell r="AJ580" t="str">
            <v>The Uncommon</v>
          </cell>
        </row>
        <row r="581">
          <cell r="A581" t="str">
            <v>ELS</v>
          </cell>
          <cell r="C581" t="str">
            <v>22</v>
          </cell>
          <cell r="E581" t="str">
            <v>Plot</v>
          </cell>
          <cell r="F581">
            <v>260</v>
          </cell>
          <cell r="Q581" t="str">
            <v>AVAILABLE</v>
          </cell>
          <cell r="S581">
            <v>1840000</v>
          </cell>
          <cell r="T581">
            <v>650000</v>
          </cell>
          <cell r="W581">
            <v>650000</v>
          </cell>
          <cell r="Y581">
            <v>650000</v>
          </cell>
          <cell r="AC581" t="str">
            <v>Ana Damásio</v>
          </cell>
          <cell r="AJ581" t="str">
            <v>Springs - At the Els</v>
          </cell>
        </row>
        <row r="582">
          <cell r="A582" t="str">
            <v>ELS</v>
          </cell>
          <cell r="C582" t="str">
            <v>3</v>
          </cell>
          <cell r="E582" t="str">
            <v>Plot</v>
          </cell>
          <cell r="F582">
            <v>440</v>
          </cell>
          <cell r="Q582" t="str">
            <v>AVAILABLE</v>
          </cell>
          <cell r="S582">
            <v>1230000</v>
          </cell>
          <cell r="T582">
            <v>2390000</v>
          </cell>
          <cell r="W582">
            <v>2390000</v>
          </cell>
          <cell r="Y582">
            <v>2390000</v>
          </cell>
          <cell r="AC582" t="str">
            <v>Ana Damásio</v>
          </cell>
          <cell r="AJ582" t="str">
            <v>Springs - At the Els</v>
          </cell>
        </row>
        <row r="583">
          <cell r="A583" t="str">
            <v>Palmares - Signature Residences</v>
          </cell>
          <cell r="C583" t="str">
            <v>5A</v>
          </cell>
          <cell r="E583" t="str">
            <v>T1</v>
          </cell>
          <cell r="F583">
            <v>90.53</v>
          </cell>
          <cell r="Q583" t="str">
            <v>AVAILABLE</v>
          </cell>
          <cell r="S583">
            <v>640000</v>
          </cell>
          <cell r="T583">
            <v>640000</v>
          </cell>
          <cell r="W583">
            <v>640000</v>
          </cell>
          <cell r="Y583">
            <v>640000</v>
          </cell>
          <cell r="AB583">
            <v>46843</v>
          </cell>
          <cell r="AJ583" t="str">
            <v>Palmares</v>
          </cell>
        </row>
        <row r="584">
          <cell r="A584" t="str">
            <v>THE UNCOMMON</v>
          </cell>
          <cell r="C584" t="str">
            <v>3</v>
          </cell>
          <cell r="E584" t="str">
            <v>T2</v>
          </cell>
          <cell r="F584">
            <v>168.6</v>
          </cell>
          <cell r="Q584" t="str">
            <v>AVAILABLE</v>
          </cell>
          <cell r="S584">
            <v>1030000</v>
          </cell>
          <cell r="T584">
            <v>1100000</v>
          </cell>
          <cell r="U584">
            <v>50000</v>
          </cell>
          <cell r="V584">
            <v>23000</v>
          </cell>
          <cell r="W584">
            <v>1027000</v>
          </cell>
          <cell r="Y584">
            <v>1100000</v>
          </cell>
          <cell r="AC584" t="str">
            <v>Ana Damásio</v>
          </cell>
          <cell r="AJ584" t="str">
            <v>The Uncommon</v>
          </cell>
        </row>
        <row r="585">
          <cell r="A585" t="str">
            <v>THE UNCOMMON</v>
          </cell>
          <cell r="C585" t="str">
            <v>301</v>
          </cell>
          <cell r="E585" t="str">
            <v>T3</v>
          </cell>
          <cell r="F585">
            <v>183.9</v>
          </cell>
          <cell r="Q585" t="str">
            <v>AVAILABLE</v>
          </cell>
          <cell r="S585">
            <v>2190000</v>
          </cell>
          <cell r="T585">
            <v>2270000</v>
          </cell>
          <cell r="U585">
            <v>50000</v>
          </cell>
          <cell r="V585">
            <v>30000</v>
          </cell>
          <cell r="W585">
            <v>2190000</v>
          </cell>
          <cell r="Y585">
            <v>2270000</v>
          </cell>
          <cell r="AC585" t="str">
            <v>Ana Damásio</v>
          </cell>
          <cell r="AJ585" t="str">
            <v>The Uncommon</v>
          </cell>
        </row>
        <row r="586">
          <cell r="A586" t="str">
            <v>THE UNCOMMON</v>
          </cell>
          <cell r="C586" t="str">
            <v>302</v>
          </cell>
          <cell r="E586" t="str">
            <v>T2</v>
          </cell>
          <cell r="F586">
            <v>129.4</v>
          </cell>
          <cell r="Q586" t="str">
            <v>AVAILABLE</v>
          </cell>
          <cell r="S586">
            <v>1170000</v>
          </cell>
          <cell r="T586">
            <v>1240000</v>
          </cell>
          <cell r="U586">
            <v>50000</v>
          </cell>
          <cell r="V586">
            <v>23000</v>
          </cell>
          <cell r="W586">
            <v>1167000</v>
          </cell>
          <cell r="Y586">
            <v>1240000</v>
          </cell>
          <cell r="AC586" t="str">
            <v>Ana Damásio</v>
          </cell>
          <cell r="AJ586" t="str">
            <v>The Uncommon</v>
          </cell>
        </row>
        <row r="587">
          <cell r="A587" t="str">
            <v>THE UNCOMMON</v>
          </cell>
          <cell r="C587" t="str">
            <v>303</v>
          </cell>
          <cell r="E587" t="str">
            <v>T2</v>
          </cell>
          <cell r="F587">
            <v>130.1</v>
          </cell>
          <cell r="Q587" t="str">
            <v>AVAILABLE</v>
          </cell>
          <cell r="S587">
            <v>1090000</v>
          </cell>
          <cell r="T587">
            <v>1160000</v>
          </cell>
          <cell r="U587">
            <v>50000</v>
          </cell>
          <cell r="V587">
            <v>23000</v>
          </cell>
          <cell r="W587">
            <v>1087000</v>
          </cell>
          <cell r="Y587">
            <v>1160000</v>
          </cell>
          <cell r="AC587" t="str">
            <v>Ana Damásio</v>
          </cell>
          <cell r="AJ587" t="str">
            <v>The Uncommon</v>
          </cell>
        </row>
        <row r="588">
          <cell r="A588" t="str">
            <v>THE UNCOMMON</v>
          </cell>
          <cell r="C588" t="str">
            <v>304</v>
          </cell>
          <cell r="E588" t="str">
            <v>T2</v>
          </cell>
          <cell r="F588">
            <v>130</v>
          </cell>
          <cell r="Q588" t="str">
            <v>AVAILABLE</v>
          </cell>
          <cell r="S588">
            <v>1010000</v>
          </cell>
          <cell r="T588">
            <v>1070000</v>
          </cell>
          <cell r="U588">
            <v>50000</v>
          </cell>
          <cell r="V588">
            <v>23000</v>
          </cell>
          <cell r="W588">
            <v>997000</v>
          </cell>
          <cell r="Y588">
            <v>1070000</v>
          </cell>
          <cell r="AC588" t="str">
            <v>Ana Damásio</v>
          </cell>
          <cell r="AJ588" t="str">
            <v>The Uncommon</v>
          </cell>
        </row>
        <row r="589">
          <cell r="A589" t="str">
            <v>THE UNCOMMON</v>
          </cell>
          <cell r="C589" t="str">
            <v>305</v>
          </cell>
          <cell r="E589" t="str">
            <v>T2</v>
          </cell>
          <cell r="F589">
            <v>130.1</v>
          </cell>
          <cell r="Q589" t="str">
            <v>AVAILABLE</v>
          </cell>
          <cell r="S589">
            <v>1090000</v>
          </cell>
          <cell r="T589">
            <v>1160000</v>
          </cell>
          <cell r="U589">
            <v>50000</v>
          </cell>
          <cell r="V589">
            <v>23000</v>
          </cell>
          <cell r="W589">
            <v>1087000</v>
          </cell>
          <cell r="Y589">
            <v>1160000</v>
          </cell>
          <cell r="AC589" t="str">
            <v>Ana Damásio</v>
          </cell>
          <cell r="AJ589" t="str">
            <v>The Uncommon</v>
          </cell>
        </row>
        <row r="590">
          <cell r="A590" t="str">
            <v>Palmares - Signature Residences</v>
          </cell>
          <cell r="C590" t="str">
            <v>6A</v>
          </cell>
          <cell r="E590" t="str">
            <v>T1</v>
          </cell>
          <cell r="F590">
            <v>87.33</v>
          </cell>
          <cell r="Q590" t="str">
            <v>AVAILABLE</v>
          </cell>
          <cell r="S590">
            <v>660000</v>
          </cell>
          <cell r="T590">
            <v>660000</v>
          </cell>
          <cell r="W590">
            <v>660000</v>
          </cell>
          <cell r="Y590">
            <v>660000</v>
          </cell>
          <cell r="AB590">
            <v>46843</v>
          </cell>
          <cell r="AJ590" t="str">
            <v>Palmares</v>
          </cell>
        </row>
        <row r="591">
          <cell r="A591" t="str">
            <v>Palmares - Plots</v>
          </cell>
          <cell r="C591" t="str">
            <v>95</v>
          </cell>
          <cell r="E591" t="str">
            <v>Plot</v>
          </cell>
          <cell r="F591">
            <v>420</v>
          </cell>
          <cell r="Q591" t="str">
            <v>AVAILABLE</v>
          </cell>
          <cell r="S591">
            <v>580000</v>
          </cell>
          <cell r="T591">
            <v>1300000</v>
          </cell>
          <cell r="W591">
            <v>1300000</v>
          </cell>
          <cell r="Y591">
            <v>1300000</v>
          </cell>
          <cell r="AB591">
            <v>46843</v>
          </cell>
          <cell r="AC591" t="str">
            <v>Sandra Viegas</v>
          </cell>
          <cell r="AJ591" t="str">
            <v>Palmares</v>
          </cell>
        </row>
        <row r="592">
          <cell r="A592" t="str">
            <v>Palmares - Plots</v>
          </cell>
          <cell r="C592" t="str">
            <v>96</v>
          </cell>
          <cell r="E592" t="str">
            <v>Plot</v>
          </cell>
          <cell r="F592">
            <v>420</v>
          </cell>
          <cell r="Q592" t="str">
            <v>AVAILABLE</v>
          </cell>
          <cell r="S592">
            <v>580000</v>
          </cell>
          <cell r="T592">
            <v>1300000</v>
          </cell>
          <cell r="W592">
            <v>1300000</v>
          </cell>
          <cell r="Y592">
            <v>1300000</v>
          </cell>
          <cell r="AB592">
            <v>46843</v>
          </cell>
          <cell r="AC592" t="str">
            <v>Sandra Viegas</v>
          </cell>
          <cell r="AJ592" t="str">
            <v>Palmares</v>
          </cell>
        </row>
        <row r="593">
          <cell r="A593" t="str">
            <v>Palmares - Plots</v>
          </cell>
          <cell r="C593" t="str">
            <v>71</v>
          </cell>
          <cell r="E593" t="str">
            <v>Plot</v>
          </cell>
          <cell r="F593">
            <v>14391</v>
          </cell>
          <cell r="Q593" t="str">
            <v>AVAILABLE</v>
          </cell>
          <cell r="S593">
            <v>590000</v>
          </cell>
          <cell r="T593">
            <v>3400000</v>
          </cell>
          <cell r="W593">
            <v>3400000</v>
          </cell>
          <cell r="Y593">
            <v>3400000</v>
          </cell>
          <cell r="AB593">
            <v>46843</v>
          </cell>
          <cell r="AC593" t="str">
            <v>Sandra Viegas</v>
          </cell>
          <cell r="AJ593" t="str">
            <v>Palmares</v>
          </cell>
        </row>
        <row r="594">
          <cell r="A594" t="str">
            <v>Palmares - Plots</v>
          </cell>
          <cell r="C594" t="str">
            <v>72</v>
          </cell>
          <cell r="E594" t="str">
            <v>Plot</v>
          </cell>
          <cell r="F594">
            <v>3888</v>
          </cell>
          <cell r="Q594" t="str">
            <v>AVAILABLE</v>
          </cell>
          <cell r="S594">
            <v>590000</v>
          </cell>
          <cell r="T594">
            <v>1700000</v>
          </cell>
          <cell r="W594">
            <v>1700000</v>
          </cell>
          <cell r="Y594">
            <v>1700000</v>
          </cell>
          <cell r="AB594">
            <v>46843</v>
          </cell>
          <cell r="AC594" t="str">
            <v>Sandra Viegas</v>
          </cell>
          <cell r="AJ594" t="str">
            <v>Palmares</v>
          </cell>
        </row>
        <row r="595">
          <cell r="A595" t="str">
            <v>Palmares - Plots</v>
          </cell>
          <cell r="C595" t="str">
            <v>74</v>
          </cell>
          <cell r="E595" t="str">
            <v>Plot</v>
          </cell>
          <cell r="F595">
            <v>3718</v>
          </cell>
          <cell r="Q595" t="str">
            <v>AVAILABLE</v>
          </cell>
          <cell r="S595">
            <v>590000</v>
          </cell>
          <cell r="T595">
            <v>1500000</v>
          </cell>
          <cell r="W595">
            <v>1500000</v>
          </cell>
          <cell r="Y595">
            <v>1500000</v>
          </cell>
          <cell r="AB595">
            <v>46843</v>
          </cell>
          <cell r="AC595" t="str">
            <v>Sandra Viegas</v>
          </cell>
          <cell r="AJ595" t="str">
            <v>Palmares</v>
          </cell>
        </row>
        <row r="596">
          <cell r="A596" t="str">
            <v>Palmares - Plots</v>
          </cell>
          <cell r="C596" t="str">
            <v>75</v>
          </cell>
          <cell r="E596" t="str">
            <v>Plot</v>
          </cell>
          <cell r="F596">
            <v>4600</v>
          </cell>
          <cell r="Q596" t="str">
            <v>AVAILABLE</v>
          </cell>
          <cell r="S596">
            <v>590000</v>
          </cell>
          <cell r="T596">
            <v>1600000</v>
          </cell>
          <cell r="W596">
            <v>1600000</v>
          </cell>
          <cell r="Y596">
            <v>1600000</v>
          </cell>
          <cell r="AB596">
            <v>46843</v>
          </cell>
          <cell r="AC596" t="str">
            <v>Sandra Viegas</v>
          </cell>
          <cell r="AJ596" t="str">
            <v>Palmares</v>
          </cell>
        </row>
        <row r="597">
          <cell r="A597" t="str">
            <v>THE UNCOMMON</v>
          </cell>
          <cell r="C597" t="str">
            <v>306</v>
          </cell>
          <cell r="E597" t="str">
            <v>T2</v>
          </cell>
          <cell r="F597">
            <v>129.4</v>
          </cell>
          <cell r="Q597" t="str">
            <v>AVAILABLE</v>
          </cell>
          <cell r="S597">
            <v>1170000</v>
          </cell>
          <cell r="T597">
            <v>1240000</v>
          </cell>
          <cell r="U597">
            <v>50000</v>
          </cell>
          <cell r="V597">
            <v>23000</v>
          </cell>
          <cell r="W597">
            <v>1167000</v>
          </cell>
          <cell r="Y597">
            <v>1240000</v>
          </cell>
          <cell r="AC597" t="str">
            <v>Ana Damásio</v>
          </cell>
          <cell r="AJ597" t="str">
            <v>The Uncommon</v>
          </cell>
        </row>
        <row r="598">
          <cell r="A598" t="str">
            <v>THE UNCOMMON</v>
          </cell>
          <cell r="C598" t="str">
            <v>307</v>
          </cell>
          <cell r="E598" t="str">
            <v>T2</v>
          </cell>
          <cell r="F598">
            <v>129.4</v>
          </cell>
          <cell r="Q598" t="str">
            <v>AVAILABLE</v>
          </cell>
          <cell r="S598">
            <v>1250000</v>
          </cell>
          <cell r="T598">
            <v>1320000</v>
          </cell>
          <cell r="U598">
            <v>50000</v>
          </cell>
          <cell r="V598">
            <v>23000</v>
          </cell>
          <cell r="W598">
            <v>1247000</v>
          </cell>
          <cell r="Y598">
            <v>1320000</v>
          </cell>
          <cell r="AC598" t="str">
            <v>Ana Damásio</v>
          </cell>
          <cell r="AJ598" t="str">
            <v>The Uncommon</v>
          </cell>
        </row>
        <row r="599">
          <cell r="A599" t="str">
            <v>THE UNCOMMON</v>
          </cell>
          <cell r="C599" t="str">
            <v>308</v>
          </cell>
          <cell r="E599" t="str">
            <v>T2</v>
          </cell>
          <cell r="F599">
            <v>129.4</v>
          </cell>
          <cell r="Q599" t="str">
            <v>AVAILABLE</v>
          </cell>
          <cell r="S599">
            <v>1310000</v>
          </cell>
          <cell r="T599">
            <v>1380000</v>
          </cell>
          <cell r="U599">
            <v>50000</v>
          </cell>
          <cell r="V599">
            <v>23000</v>
          </cell>
          <cell r="W599">
            <v>1307000</v>
          </cell>
          <cell r="Y599">
            <v>1380000</v>
          </cell>
          <cell r="AC599" t="str">
            <v>Ana Damásio</v>
          </cell>
          <cell r="AJ599" t="str">
            <v>The Uncommon</v>
          </cell>
        </row>
        <row r="600">
          <cell r="A600" t="str">
            <v>THE UNCOMMON</v>
          </cell>
          <cell r="C600" t="str">
            <v>309</v>
          </cell>
          <cell r="E600" t="str">
            <v>T2</v>
          </cell>
          <cell r="F600">
            <v>129.4</v>
          </cell>
          <cell r="Q600" t="str">
            <v>AVAILABLE</v>
          </cell>
          <cell r="S600">
            <v>1370000</v>
          </cell>
          <cell r="T600">
            <v>1440000</v>
          </cell>
          <cell r="U600">
            <v>50000</v>
          </cell>
          <cell r="V600">
            <v>23000</v>
          </cell>
          <cell r="W600">
            <v>1367000</v>
          </cell>
          <cell r="Y600">
            <v>1440000</v>
          </cell>
          <cell r="AC600" t="str">
            <v>Ana Damásio</v>
          </cell>
          <cell r="AJ600" t="str">
            <v>The Uncommon</v>
          </cell>
        </row>
        <row r="601">
          <cell r="A601" t="str">
            <v>THE UNCOMMON</v>
          </cell>
          <cell r="C601" t="str">
            <v>311</v>
          </cell>
          <cell r="E601" t="str">
            <v>T1</v>
          </cell>
          <cell r="F601">
            <v>80.900000000000006</v>
          </cell>
          <cell r="Q601" t="str">
            <v>AVAILABLE</v>
          </cell>
          <cell r="S601">
            <v>710000</v>
          </cell>
          <cell r="T601">
            <v>770000</v>
          </cell>
          <cell r="U601">
            <v>50000</v>
          </cell>
          <cell r="V601">
            <v>15000</v>
          </cell>
          <cell r="W601">
            <v>705000</v>
          </cell>
          <cell r="Y601">
            <v>770000</v>
          </cell>
          <cell r="AC601" t="str">
            <v>Ana Damásio</v>
          </cell>
          <cell r="AJ601" t="str">
            <v>The Uncommon</v>
          </cell>
        </row>
        <row r="602">
          <cell r="A602" t="str">
            <v>THE UNCOMMON</v>
          </cell>
          <cell r="C602" t="str">
            <v>312</v>
          </cell>
          <cell r="E602" t="str">
            <v>T1</v>
          </cell>
          <cell r="F602">
            <v>81.099999999999994</v>
          </cell>
          <cell r="Q602" t="str">
            <v>AVAILABLE</v>
          </cell>
          <cell r="S602">
            <v>750000</v>
          </cell>
          <cell r="T602">
            <v>810000</v>
          </cell>
          <cell r="U602">
            <v>50000</v>
          </cell>
          <cell r="V602">
            <v>15000</v>
          </cell>
          <cell r="W602">
            <v>745000</v>
          </cell>
          <cell r="Y602">
            <v>810000</v>
          </cell>
          <cell r="AC602" t="str">
            <v>Ana Damásio</v>
          </cell>
          <cell r="AJ602" t="str">
            <v>The Uncommon</v>
          </cell>
        </row>
        <row r="603">
          <cell r="A603" t="str">
            <v>THE UNCOMMON</v>
          </cell>
          <cell r="C603" t="str">
            <v>313</v>
          </cell>
          <cell r="E603" t="str">
            <v>T1</v>
          </cell>
          <cell r="F603">
            <v>81.099999999999994</v>
          </cell>
          <cell r="Q603" t="str">
            <v>AVAILABLE</v>
          </cell>
          <cell r="S603">
            <v>790000</v>
          </cell>
          <cell r="T603">
            <v>850000</v>
          </cell>
          <cell r="U603">
            <v>50000</v>
          </cell>
          <cell r="V603">
            <v>15000</v>
          </cell>
          <cell r="W603">
            <v>785000</v>
          </cell>
          <cell r="Y603">
            <v>850000</v>
          </cell>
          <cell r="AC603" t="str">
            <v>Ana Damásio</v>
          </cell>
          <cell r="AJ603" t="str">
            <v>The Uncommon</v>
          </cell>
        </row>
        <row r="604">
          <cell r="A604" t="str">
            <v>THE UNCOMMON</v>
          </cell>
          <cell r="C604" t="str">
            <v>314</v>
          </cell>
          <cell r="E604" t="str">
            <v>T1</v>
          </cell>
          <cell r="F604">
            <v>81.099999999999994</v>
          </cell>
          <cell r="Q604" t="str">
            <v>AVAILABLE</v>
          </cell>
          <cell r="S604">
            <v>840000</v>
          </cell>
          <cell r="T604">
            <v>900000</v>
          </cell>
          <cell r="U604">
            <v>50000</v>
          </cell>
          <cell r="V604">
            <v>15000</v>
          </cell>
          <cell r="W604">
            <v>835000</v>
          </cell>
          <cell r="Y604">
            <v>900000</v>
          </cell>
          <cell r="AC604" t="str">
            <v>Ana Damásio</v>
          </cell>
          <cell r="AJ604" t="str">
            <v>The Uncommon</v>
          </cell>
        </row>
        <row r="605">
          <cell r="A605" t="str">
            <v>THE UNCOMMON</v>
          </cell>
          <cell r="C605" t="str">
            <v>315</v>
          </cell>
          <cell r="E605" t="str">
            <v>T1</v>
          </cell>
          <cell r="F605">
            <v>83</v>
          </cell>
          <cell r="Q605" t="str">
            <v>AVAILABLE</v>
          </cell>
          <cell r="S605">
            <v>900000</v>
          </cell>
          <cell r="T605">
            <v>960000</v>
          </cell>
          <cell r="U605">
            <v>50000</v>
          </cell>
          <cell r="V605">
            <v>15000</v>
          </cell>
          <cell r="W605">
            <v>895000</v>
          </cell>
          <cell r="Y605">
            <v>960000</v>
          </cell>
          <cell r="AC605" t="str">
            <v>Ana Damásio</v>
          </cell>
          <cell r="AJ605" t="str">
            <v>The Uncommon</v>
          </cell>
        </row>
        <row r="606">
          <cell r="A606" t="str">
            <v>ELS</v>
          </cell>
          <cell r="C606" t="str">
            <v>4</v>
          </cell>
          <cell r="E606" t="str">
            <v>Plot</v>
          </cell>
          <cell r="F606">
            <v>440</v>
          </cell>
          <cell r="Q606" t="str">
            <v>AVAILABLE</v>
          </cell>
          <cell r="S606">
            <v>1240000</v>
          </cell>
          <cell r="T606">
            <v>2280000</v>
          </cell>
          <cell r="W606">
            <v>2280000</v>
          </cell>
          <cell r="Y606">
            <v>2280000</v>
          </cell>
          <cell r="AC606" t="str">
            <v>Ana Damásio</v>
          </cell>
          <cell r="AJ606" t="str">
            <v>Springs - At the Els</v>
          </cell>
        </row>
        <row r="607">
          <cell r="A607" t="str">
            <v>THE UNCOMMON</v>
          </cell>
          <cell r="C607" t="str">
            <v>4</v>
          </cell>
          <cell r="E607" t="str">
            <v>T2</v>
          </cell>
          <cell r="F607">
            <v>160.19999999999999</v>
          </cell>
          <cell r="Q607" t="str">
            <v>AVAILABLE</v>
          </cell>
          <cell r="S607">
            <v>920000</v>
          </cell>
          <cell r="T607">
            <v>980000</v>
          </cell>
          <cell r="U607">
            <v>50000</v>
          </cell>
          <cell r="V607">
            <v>23000</v>
          </cell>
          <cell r="W607">
            <v>907000</v>
          </cell>
          <cell r="Y607">
            <v>980000</v>
          </cell>
          <cell r="AC607" t="str">
            <v>Ana Damásio</v>
          </cell>
          <cell r="AJ607" t="str">
            <v>The Uncommon</v>
          </cell>
        </row>
        <row r="608">
          <cell r="A608" t="str">
            <v>THE UNCOMMON</v>
          </cell>
          <cell r="C608" t="str">
            <v>401</v>
          </cell>
          <cell r="E608" t="str">
            <v>T3</v>
          </cell>
          <cell r="F608">
            <v>183.9</v>
          </cell>
          <cell r="Q608" t="str">
            <v>AVAILABLE</v>
          </cell>
          <cell r="S608">
            <v>2270000</v>
          </cell>
          <cell r="T608">
            <v>2350000</v>
          </cell>
          <cell r="U608">
            <v>50000</v>
          </cell>
          <cell r="V608">
            <v>30000</v>
          </cell>
          <cell r="W608">
            <v>2270000</v>
          </cell>
          <cell r="Y608">
            <v>2350000</v>
          </cell>
          <cell r="AC608" t="str">
            <v>Ana Damásio</v>
          </cell>
          <cell r="AJ608" t="str">
            <v>The Uncommon</v>
          </cell>
        </row>
        <row r="609">
          <cell r="A609" t="str">
            <v>THE UNCOMMON</v>
          </cell>
          <cell r="C609" t="str">
            <v>402</v>
          </cell>
          <cell r="E609" t="str">
            <v>T2</v>
          </cell>
          <cell r="F609">
            <v>129.4</v>
          </cell>
          <cell r="Q609" t="str">
            <v>AVAILABLE</v>
          </cell>
          <cell r="S609">
            <v>1220000</v>
          </cell>
          <cell r="T609">
            <v>1290000</v>
          </cell>
          <cell r="U609">
            <v>50000</v>
          </cell>
          <cell r="V609">
            <v>23000</v>
          </cell>
          <cell r="W609">
            <v>1217000</v>
          </cell>
          <cell r="Y609">
            <v>1290000</v>
          </cell>
          <cell r="AC609" t="str">
            <v>Ana Damásio</v>
          </cell>
          <cell r="AJ609" t="str">
            <v>The Uncommon</v>
          </cell>
        </row>
        <row r="610">
          <cell r="A610" t="str">
            <v>Aroeira - HOTEL APARTMENTS</v>
          </cell>
          <cell r="C610" t="str">
            <v>218A</v>
          </cell>
          <cell r="E610" t="str">
            <v>1-BR</v>
          </cell>
          <cell r="F610">
            <v>65</v>
          </cell>
          <cell r="Q610" t="str">
            <v>AVAILABLE</v>
          </cell>
          <cell r="S610">
            <v>450000</v>
          </cell>
          <cell r="T610">
            <v>450000</v>
          </cell>
          <cell r="V610">
            <v>35000</v>
          </cell>
          <cell r="W610">
            <v>415000</v>
          </cell>
          <cell r="AB610">
            <v>47118</v>
          </cell>
          <cell r="AC610" t="str">
            <v>João Gameiro</v>
          </cell>
          <cell r="AJ610" t="str">
            <v>Aroeira Collections</v>
          </cell>
        </row>
        <row r="611">
          <cell r="A611" t="str">
            <v>THE UNCOMMON</v>
          </cell>
          <cell r="C611" t="str">
            <v>403</v>
          </cell>
          <cell r="E611" t="str">
            <v>T2</v>
          </cell>
          <cell r="F611">
            <v>129.4</v>
          </cell>
          <cell r="Q611" t="str">
            <v>AVAILABLE</v>
          </cell>
          <cell r="S611">
            <v>1140000</v>
          </cell>
          <cell r="T611">
            <v>1210000</v>
          </cell>
          <cell r="U611">
            <v>50000</v>
          </cell>
          <cell r="V611">
            <v>23000</v>
          </cell>
          <cell r="W611">
            <v>1137000</v>
          </cell>
          <cell r="Y611">
            <v>1210000</v>
          </cell>
          <cell r="AC611" t="str">
            <v>Ana Damásio</v>
          </cell>
          <cell r="AJ611" t="str">
            <v>The Uncommon</v>
          </cell>
        </row>
        <row r="612">
          <cell r="A612" t="str">
            <v>THE UNCOMMON</v>
          </cell>
          <cell r="C612" t="str">
            <v>404</v>
          </cell>
          <cell r="E612" t="str">
            <v>T2</v>
          </cell>
          <cell r="F612">
            <v>130</v>
          </cell>
          <cell r="Q612" t="str">
            <v>AVAILABLE</v>
          </cell>
          <cell r="S612">
            <v>1050000</v>
          </cell>
          <cell r="T612">
            <v>1120000</v>
          </cell>
          <cell r="U612">
            <v>50000</v>
          </cell>
          <cell r="V612">
            <v>23000</v>
          </cell>
          <cell r="W612">
            <v>1047000</v>
          </cell>
          <cell r="Y612">
            <v>1120000</v>
          </cell>
          <cell r="AC612" t="str">
            <v>Ana Damásio</v>
          </cell>
          <cell r="AJ612" t="str">
            <v>The Uncommon</v>
          </cell>
        </row>
        <row r="613">
          <cell r="A613" t="str">
            <v>THE UNCOMMON</v>
          </cell>
          <cell r="C613" t="str">
            <v>405</v>
          </cell>
          <cell r="E613" t="str">
            <v>T2</v>
          </cell>
          <cell r="F613">
            <v>130.1</v>
          </cell>
          <cell r="Q613" t="str">
            <v>AVAILABLE</v>
          </cell>
          <cell r="S613">
            <v>1130000</v>
          </cell>
          <cell r="T613">
            <v>1200000</v>
          </cell>
          <cell r="U613">
            <v>50000</v>
          </cell>
          <cell r="V613">
            <v>23000</v>
          </cell>
          <cell r="W613">
            <v>1127000</v>
          </cell>
          <cell r="Y613">
            <v>1200000</v>
          </cell>
          <cell r="AC613" t="str">
            <v>Ana Damásio</v>
          </cell>
          <cell r="AJ613" t="str">
            <v>The Uncommon</v>
          </cell>
        </row>
        <row r="614">
          <cell r="A614" t="str">
            <v>THE UNCOMMON</v>
          </cell>
          <cell r="C614" t="str">
            <v>406</v>
          </cell>
          <cell r="E614" t="str">
            <v>T2</v>
          </cell>
          <cell r="F614">
            <v>129.4</v>
          </cell>
          <cell r="Q614" t="str">
            <v>AVAILABLE</v>
          </cell>
          <cell r="S614">
            <v>1220000</v>
          </cell>
          <cell r="T614">
            <v>1290000</v>
          </cell>
          <cell r="U614">
            <v>50000</v>
          </cell>
          <cell r="V614">
            <v>23000</v>
          </cell>
          <cell r="W614">
            <v>1217000</v>
          </cell>
          <cell r="Y614">
            <v>1290000</v>
          </cell>
          <cell r="AC614" t="str">
            <v>Ana Damásio</v>
          </cell>
          <cell r="AJ614" t="str">
            <v>The Uncommon</v>
          </cell>
        </row>
        <row r="615">
          <cell r="A615" t="str">
            <v>THE UNCOMMON</v>
          </cell>
          <cell r="C615" t="str">
            <v>407</v>
          </cell>
          <cell r="E615" t="str">
            <v>T2</v>
          </cell>
          <cell r="F615">
            <v>129.4</v>
          </cell>
          <cell r="Q615" t="str">
            <v>AVAILABLE</v>
          </cell>
          <cell r="S615">
            <v>1300000</v>
          </cell>
          <cell r="T615">
            <v>1370000</v>
          </cell>
          <cell r="U615">
            <v>50000</v>
          </cell>
          <cell r="V615">
            <v>23000</v>
          </cell>
          <cell r="W615">
            <v>1297000</v>
          </cell>
          <cell r="Y615">
            <v>1370000</v>
          </cell>
          <cell r="AC615" t="str">
            <v>Ana Damásio</v>
          </cell>
          <cell r="AJ615" t="str">
            <v>The Uncommon</v>
          </cell>
        </row>
        <row r="616">
          <cell r="A616" t="str">
            <v>THE UNCOMMON</v>
          </cell>
          <cell r="C616" t="str">
            <v>408</v>
          </cell>
          <cell r="E616" t="str">
            <v>T2</v>
          </cell>
          <cell r="F616">
            <v>129.4</v>
          </cell>
          <cell r="Q616" t="str">
            <v>AVAILABLE</v>
          </cell>
          <cell r="S616">
            <v>1360000</v>
          </cell>
          <cell r="T616">
            <v>1430000</v>
          </cell>
          <cell r="U616">
            <v>50000</v>
          </cell>
          <cell r="V616">
            <v>23000</v>
          </cell>
          <cell r="W616">
            <v>1357000</v>
          </cell>
          <cell r="Y616">
            <v>1430000</v>
          </cell>
          <cell r="AC616" t="str">
            <v>Ana Damásio</v>
          </cell>
          <cell r="AJ616" t="str">
            <v>The Uncommon</v>
          </cell>
        </row>
        <row r="617">
          <cell r="A617" t="str">
            <v>Palmares - Plots</v>
          </cell>
          <cell r="C617" t="str">
            <v>76</v>
          </cell>
          <cell r="E617" t="str">
            <v>Plot</v>
          </cell>
          <cell r="F617">
            <v>4356</v>
          </cell>
          <cell r="Q617" t="str">
            <v>AVAILABLE</v>
          </cell>
          <cell r="S617">
            <v>590000</v>
          </cell>
          <cell r="T617">
            <v>1600000</v>
          </cell>
          <cell r="W617">
            <v>1600000</v>
          </cell>
          <cell r="Y617">
            <v>1600000</v>
          </cell>
          <cell r="AB617">
            <v>46843</v>
          </cell>
          <cell r="AC617" t="str">
            <v>Sandra Viegas</v>
          </cell>
          <cell r="AJ617" t="str">
            <v>Palmares</v>
          </cell>
        </row>
        <row r="618">
          <cell r="A618" t="str">
            <v>Palmares - Plots</v>
          </cell>
          <cell r="C618" t="str">
            <v>97</v>
          </cell>
          <cell r="E618" t="str">
            <v>Plot</v>
          </cell>
          <cell r="F618">
            <v>420</v>
          </cell>
          <cell r="Q618" t="str">
            <v>AVAILABLE</v>
          </cell>
          <cell r="S618">
            <v>610000</v>
          </cell>
          <cell r="T618">
            <v>1300000</v>
          </cell>
          <cell r="W618">
            <v>1300000</v>
          </cell>
          <cell r="Y618">
            <v>1300000</v>
          </cell>
          <cell r="AB618">
            <v>46843</v>
          </cell>
          <cell r="AC618" t="str">
            <v>Sandra Viegas</v>
          </cell>
          <cell r="AJ618" t="str">
            <v>Palmares</v>
          </cell>
        </row>
        <row r="619">
          <cell r="A619" t="str">
            <v>Aroeira - APARTMENTS</v>
          </cell>
          <cell r="C619" t="str">
            <v>218B</v>
          </cell>
          <cell r="E619" t="str">
            <v>2-BR</v>
          </cell>
          <cell r="F619">
            <v>116.58</v>
          </cell>
          <cell r="Q619" t="str">
            <v>NOT FOR SALE</v>
          </cell>
          <cell r="S619">
            <v>705000</v>
          </cell>
          <cell r="T619">
            <v>780000</v>
          </cell>
          <cell r="V619">
            <v>45000</v>
          </cell>
          <cell r="W619">
            <v>735000</v>
          </cell>
          <cell r="AB619">
            <v>47118</v>
          </cell>
          <cell r="AC619" t="str">
            <v>João Gameiro</v>
          </cell>
          <cell r="AJ619" t="str">
            <v>Aroeira Collections</v>
          </cell>
        </row>
        <row r="620">
          <cell r="A620" t="str">
            <v>Aroeira - HOTEL APARTMENTS</v>
          </cell>
          <cell r="C620" t="str">
            <v>219A</v>
          </cell>
          <cell r="E620" t="str">
            <v>1-BR</v>
          </cell>
          <cell r="F620">
            <v>65</v>
          </cell>
          <cell r="Q620" t="str">
            <v>AVAILABLE</v>
          </cell>
          <cell r="S620">
            <v>450000</v>
          </cell>
          <cell r="T620">
            <v>450000</v>
          </cell>
          <cell r="V620">
            <v>35000</v>
          </cell>
          <cell r="W620">
            <v>415000</v>
          </cell>
          <cell r="AB620">
            <v>47118</v>
          </cell>
          <cell r="AC620" t="str">
            <v>João Gameiro</v>
          </cell>
          <cell r="AJ620" t="str">
            <v>Aroeira Collections</v>
          </cell>
        </row>
        <row r="621">
          <cell r="A621" t="str">
            <v>Aroeira - APARTMENTS</v>
          </cell>
          <cell r="C621" t="str">
            <v>219B</v>
          </cell>
          <cell r="E621" t="str">
            <v>2-BR</v>
          </cell>
          <cell r="F621">
            <v>115.3</v>
          </cell>
          <cell r="Q621" t="str">
            <v>AVAILABLE</v>
          </cell>
          <cell r="S621">
            <v>695000</v>
          </cell>
          <cell r="T621">
            <v>695000</v>
          </cell>
          <cell r="V621">
            <v>45000</v>
          </cell>
          <cell r="W621">
            <v>650000</v>
          </cell>
          <cell r="AA621">
            <v>45687</v>
          </cell>
          <cell r="AB621">
            <v>47118</v>
          </cell>
          <cell r="AC621" t="str">
            <v>João Gameiro</v>
          </cell>
          <cell r="AJ621" t="str">
            <v>Aroeira Collections</v>
          </cell>
        </row>
        <row r="622">
          <cell r="A622" t="str">
            <v>Aroeira - HOUSES</v>
          </cell>
          <cell r="C622" t="str">
            <v>21B</v>
          </cell>
          <cell r="E622" t="str">
            <v>T2</v>
          </cell>
          <cell r="F622">
            <v>195.8</v>
          </cell>
          <cell r="Q622" t="str">
            <v>AVAILABLE</v>
          </cell>
          <cell r="S622">
            <v>1090000</v>
          </cell>
          <cell r="T622">
            <v>1150000</v>
          </cell>
          <cell r="V622">
            <v>0</v>
          </cell>
          <cell r="W622">
            <v>1150000</v>
          </cell>
          <cell r="AB622">
            <v>47118</v>
          </cell>
          <cell r="AC622" t="str">
            <v>João Gameiro</v>
          </cell>
          <cell r="AJ622" t="str">
            <v>Aroeira Collections</v>
          </cell>
        </row>
        <row r="623">
          <cell r="A623" t="str">
            <v>Aroeira - VILLAS</v>
          </cell>
          <cell r="C623" t="str">
            <v>21C</v>
          </cell>
          <cell r="E623" t="str">
            <v>T2+1</v>
          </cell>
          <cell r="F623">
            <v>299.39999999999998</v>
          </cell>
          <cell r="Q623" t="str">
            <v>AVAILABLE</v>
          </cell>
          <cell r="S623">
            <v>1595000</v>
          </cell>
          <cell r="T623">
            <v>1595000</v>
          </cell>
          <cell r="V623">
            <v>60000</v>
          </cell>
          <cell r="W623">
            <v>1535000</v>
          </cell>
          <cell r="AB623">
            <v>47118</v>
          </cell>
          <cell r="AC623" t="str">
            <v>João Gameiro</v>
          </cell>
          <cell r="AJ623" t="str">
            <v>Aroeira Collections</v>
          </cell>
        </row>
        <row r="624">
          <cell r="A624" t="str">
            <v>Aroeira - HOTEL APARTMENTS</v>
          </cell>
          <cell r="C624" t="str">
            <v>220A</v>
          </cell>
          <cell r="E624" t="str">
            <v>1-BR</v>
          </cell>
          <cell r="F624">
            <v>65</v>
          </cell>
          <cell r="Q624" t="str">
            <v>AVAILABLE</v>
          </cell>
          <cell r="S624">
            <v>450000</v>
          </cell>
          <cell r="T624">
            <v>450000</v>
          </cell>
          <cell r="V624">
            <v>35000</v>
          </cell>
          <cell r="W624">
            <v>415000</v>
          </cell>
          <cell r="AB624">
            <v>47118</v>
          </cell>
          <cell r="AC624" t="str">
            <v>João Gameiro</v>
          </cell>
          <cell r="AJ624" t="str">
            <v>Aroeira Collections</v>
          </cell>
        </row>
        <row r="625">
          <cell r="A625" t="str">
            <v>THE UNCOMMON</v>
          </cell>
          <cell r="C625" t="str">
            <v>409</v>
          </cell>
          <cell r="E625" t="str">
            <v>T2</v>
          </cell>
          <cell r="F625">
            <v>129.4</v>
          </cell>
          <cell r="Q625" t="str">
            <v>AVAILABLE</v>
          </cell>
          <cell r="S625">
            <v>1410000</v>
          </cell>
          <cell r="T625">
            <v>1480000</v>
          </cell>
          <cell r="U625">
            <v>50000</v>
          </cell>
          <cell r="V625">
            <v>23000</v>
          </cell>
          <cell r="W625">
            <v>1407000</v>
          </cell>
          <cell r="Y625">
            <v>1480000</v>
          </cell>
          <cell r="AC625" t="str">
            <v>Ana Damásio</v>
          </cell>
          <cell r="AJ625" t="str">
            <v>The Uncommon</v>
          </cell>
        </row>
        <row r="626">
          <cell r="A626" t="str">
            <v>THE UNCOMMON</v>
          </cell>
          <cell r="C626" t="str">
            <v>410</v>
          </cell>
          <cell r="E626" t="str">
            <v>T4 Duplex</v>
          </cell>
          <cell r="F626">
            <v>406.3</v>
          </cell>
          <cell r="Q626" t="str">
            <v>AVAILABLE</v>
          </cell>
          <cell r="S626">
            <v>4620000</v>
          </cell>
          <cell r="T626">
            <v>4750000</v>
          </cell>
          <cell r="U626">
            <v>60000</v>
          </cell>
          <cell r="V626">
            <v>52000</v>
          </cell>
          <cell r="W626">
            <v>4638000</v>
          </cell>
          <cell r="Y626">
            <v>4750000</v>
          </cell>
          <cell r="AC626" t="str">
            <v>Ana Damásio</v>
          </cell>
          <cell r="AJ626" t="str">
            <v>The Uncommon</v>
          </cell>
        </row>
        <row r="627">
          <cell r="A627" t="str">
            <v>THE UNCOMMON</v>
          </cell>
          <cell r="C627" t="str">
            <v>411</v>
          </cell>
          <cell r="E627" t="str">
            <v>T1</v>
          </cell>
          <cell r="F627">
            <v>80.900000000000006</v>
          </cell>
          <cell r="Q627" t="str">
            <v>AVAILABLE</v>
          </cell>
          <cell r="S627">
            <v>750000</v>
          </cell>
          <cell r="T627">
            <v>810000</v>
          </cell>
          <cell r="U627">
            <v>50000</v>
          </cell>
          <cell r="V627">
            <v>15000</v>
          </cell>
          <cell r="W627">
            <v>745000</v>
          </cell>
          <cell r="Y627">
            <v>810000</v>
          </cell>
          <cell r="AC627" t="str">
            <v>Ana Damásio</v>
          </cell>
          <cell r="AJ627" t="str">
            <v>The Uncommon</v>
          </cell>
        </row>
        <row r="628">
          <cell r="A628" t="str">
            <v>THE UNCOMMON</v>
          </cell>
          <cell r="C628" t="str">
            <v>412</v>
          </cell>
          <cell r="E628" t="str">
            <v>T1</v>
          </cell>
          <cell r="F628">
            <v>81.099999999999994</v>
          </cell>
          <cell r="Q628" t="str">
            <v>AVAILABLE</v>
          </cell>
          <cell r="S628">
            <v>790000</v>
          </cell>
          <cell r="T628">
            <v>850000</v>
          </cell>
          <cell r="U628">
            <v>50000</v>
          </cell>
          <cell r="V628">
            <v>15000</v>
          </cell>
          <cell r="W628">
            <v>785000</v>
          </cell>
          <cell r="Y628">
            <v>850000</v>
          </cell>
          <cell r="AC628" t="str">
            <v>Ana Damásio</v>
          </cell>
          <cell r="AJ628" t="str">
            <v>The Uncommon</v>
          </cell>
        </row>
        <row r="629">
          <cell r="A629" t="str">
            <v>THE UNCOMMON</v>
          </cell>
          <cell r="C629" t="str">
            <v>413</v>
          </cell>
          <cell r="E629" t="str">
            <v>T1</v>
          </cell>
          <cell r="F629">
            <v>81.099999999999994</v>
          </cell>
          <cell r="Q629" t="str">
            <v>AVAILABLE</v>
          </cell>
          <cell r="S629">
            <v>830000</v>
          </cell>
          <cell r="T629">
            <v>890000</v>
          </cell>
          <cell r="U629">
            <v>50000</v>
          </cell>
          <cell r="V629">
            <v>15000</v>
          </cell>
          <cell r="W629">
            <v>825000</v>
          </cell>
          <cell r="Y629">
            <v>890000</v>
          </cell>
          <cell r="AC629" t="str">
            <v>Ana Damásio</v>
          </cell>
          <cell r="AJ629" t="str">
            <v>The Uncommon</v>
          </cell>
        </row>
        <row r="630">
          <cell r="A630" t="str">
            <v>THE UNCOMMON</v>
          </cell>
          <cell r="C630" t="str">
            <v>414</v>
          </cell>
          <cell r="E630" t="str">
            <v>T1</v>
          </cell>
          <cell r="F630">
            <v>81.099999999999994</v>
          </cell>
          <cell r="Q630" t="str">
            <v>AVAILABLE</v>
          </cell>
          <cell r="S630">
            <v>870000</v>
          </cell>
          <cell r="T630">
            <v>930000</v>
          </cell>
          <cell r="U630">
            <v>50000</v>
          </cell>
          <cell r="V630">
            <v>15000</v>
          </cell>
          <cell r="W630">
            <v>865000</v>
          </cell>
          <cell r="Y630">
            <v>930000</v>
          </cell>
          <cell r="AC630" t="str">
            <v>Ana Damásio</v>
          </cell>
          <cell r="AJ630" t="str">
            <v>The Uncommon</v>
          </cell>
        </row>
        <row r="631">
          <cell r="A631" t="str">
            <v>Palmares - Plots</v>
          </cell>
          <cell r="C631" t="str">
            <v>98</v>
          </cell>
          <cell r="E631" t="str">
            <v>Plot</v>
          </cell>
          <cell r="F631">
            <v>420</v>
          </cell>
          <cell r="Q631" t="str">
            <v>AVAILABLE</v>
          </cell>
          <cell r="S631">
            <v>610000</v>
          </cell>
          <cell r="T631">
            <v>1300000</v>
          </cell>
          <cell r="W631">
            <v>1300000</v>
          </cell>
          <cell r="Y631">
            <v>1300000</v>
          </cell>
          <cell r="AB631">
            <v>46843</v>
          </cell>
          <cell r="AC631" t="str">
            <v>Sandra Viegas</v>
          </cell>
          <cell r="AJ631" t="str">
            <v>Palmares</v>
          </cell>
        </row>
        <row r="632">
          <cell r="A632" t="str">
            <v>THE UNCOMMON</v>
          </cell>
          <cell r="C632" t="str">
            <v>415</v>
          </cell>
          <cell r="E632" t="str">
            <v>T1</v>
          </cell>
          <cell r="F632">
            <v>83</v>
          </cell>
          <cell r="Q632" t="str">
            <v>AVAILABLE</v>
          </cell>
          <cell r="S632">
            <v>940000</v>
          </cell>
          <cell r="T632">
            <v>1000000</v>
          </cell>
          <cell r="U632">
            <v>50000</v>
          </cell>
          <cell r="V632">
            <v>15000</v>
          </cell>
          <cell r="W632">
            <v>935000</v>
          </cell>
          <cell r="Y632">
            <v>1000000</v>
          </cell>
          <cell r="AC632" t="str">
            <v>Ana Damásio</v>
          </cell>
          <cell r="AJ632" t="str">
            <v>The Uncommon</v>
          </cell>
        </row>
        <row r="633">
          <cell r="A633" t="str">
            <v>THE UNCOMMON</v>
          </cell>
          <cell r="C633" t="str">
            <v>416</v>
          </cell>
          <cell r="E633" t="str">
            <v>T4 Duplex</v>
          </cell>
          <cell r="F633">
            <v>396.4</v>
          </cell>
          <cell r="Q633" t="str">
            <v>AVAILABLE</v>
          </cell>
          <cell r="S633">
            <v>4500000</v>
          </cell>
          <cell r="T633">
            <v>4630000</v>
          </cell>
          <cell r="U633">
            <v>60000</v>
          </cell>
          <cell r="V633">
            <v>52000</v>
          </cell>
          <cell r="W633">
            <v>4518000</v>
          </cell>
          <cell r="Y633">
            <v>4630000</v>
          </cell>
          <cell r="AC633" t="str">
            <v>Ana Damásio</v>
          </cell>
          <cell r="AJ633" t="str">
            <v>The Uncommon</v>
          </cell>
        </row>
        <row r="634">
          <cell r="A634" t="str">
            <v>ELS</v>
          </cell>
          <cell r="C634" t="str">
            <v>5</v>
          </cell>
          <cell r="E634" t="str">
            <v>Plot</v>
          </cell>
          <cell r="F634">
            <v>520</v>
          </cell>
          <cell r="Q634" t="str">
            <v>AVAILABLE</v>
          </cell>
          <cell r="S634">
            <v>1210000</v>
          </cell>
          <cell r="T634">
            <v>2540000</v>
          </cell>
          <cell r="W634">
            <v>2540000</v>
          </cell>
          <cell r="Y634">
            <v>2540000</v>
          </cell>
          <cell r="AC634" t="str">
            <v>Ana Damásio</v>
          </cell>
          <cell r="AJ634" t="str">
            <v>Springs - At the Els</v>
          </cell>
        </row>
        <row r="635">
          <cell r="A635" t="str">
            <v>Aroeira - APARTMENTS</v>
          </cell>
          <cell r="C635" t="str">
            <v>220B</v>
          </cell>
          <cell r="E635" t="str">
            <v>2-BR</v>
          </cell>
          <cell r="F635">
            <v>116.58</v>
          </cell>
          <cell r="Q635" t="str">
            <v>NOT FOR SALE</v>
          </cell>
          <cell r="S635">
            <v>705000</v>
          </cell>
          <cell r="T635">
            <v>705000</v>
          </cell>
          <cell r="V635">
            <v>45000</v>
          </cell>
          <cell r="W635">
            <v>660000</v>
          </cell>
          <cell r="AB635">
            <v>47118</v>
          </cell>
          <cell r="AC635" t="str">
            <v>João Gameiro</v>
          </cell>
          <cell r="AJ635" t="str">
            <v>Aroeira Collections</v>
          </cell>
        </row>
        <row r="636">
          <cell r="A636" t="str">
            <v>Aroeira - HOTEL APARTMENTS</v>
          </cell>
          <cell r="C636" t="str">
            <v>221A</v>
          </cell>
          <cell r="E636" t="str">
            <v>1-BR</v>
          </cell>
          <cell r="F636">
            <v>65</v>
          </cell>
          <cell r="Q636" t="str">
            <v>AVAILABLE</v>
          </cell>
          <cell r="S636">
            <v>450000</v>
          </cell>
          <cell r="T636">
            <v>450000</v>
          </cell>
          <cell r="V636">
            <v>35000</v>
          </cell>
          <cell r="W636">
            <v>415000</v>
          </cell>
          <cell r="AB636">
            <v>47118</v>
          </cell>
          <cell r="AC636" t="str">
            <v>João Gameiro</v>
          </cell>
          <cell r="AJ636" t="str">
            <v>Aroeira Collections</v>
          </cell>
        </row>
        <row r="637">
          <cell r="A637" t="str">
            <v>THE UNCOMMON</v>
          </cell>
          <cell r="C637" t="str">
            <v>5</v>
          </cell>
          <cell r="E637" t="str">
            <v>T2</v>
          </cell>
          <cell r="F637">
            <v>169.3</v>
          </cell>
          <cell r="Q637" t="str">
            <v>AVAILABLE</v>
          </cell>
          <cell r="S637">
            <v>1020000</v>
          </cell>
          <cell r="T637">
            <v>1080000</v>
          </cell>
          <cell r="U637">
            <v>50000</v>
          </cell>
          <cell r="V637">
            <v>23000</v>
          </cell>
          <cell r="W637">
            <v>1007000</v>
          </cell>
          <cell r="Y637">
            <v>1080000</v>
          </cell>
          <cell r="AC637" t="str">
            <v>Ana Damásio</v>
          </cell>
          <cell r="AJ637" t="str">
            <v>The Uncommon</v>
          </cell>
        </row>
        <row r="638">
          <cell r="A638" t="str">
            <v>Aroeira - HOTEL APARTMENTS</v>
          </cell>
          <cell r="C638" t="str">
            <v>222A</v>
          </cell>
          <cell r="E638" t="str">
            <v>1-BR</v>
          </cell>
          <cell r="F638">
            <v>65</v>
          </cell>
          <cell r="Q638" t="str">
            <v>AVAILABLE</v>
          </cell>
          <cell r="S638">
            <v>450000</v>
          </cell>
          <cell r="T638">
            <v>450000</v>
          </cell>
          <cell r="V638">
            <v>35000</v>
          </cell>
          <cell r="W638">
            <v>415000</v>
          </cell>
          <cell r="AB638">
            <v>47118</v>
          </cell>
          <cell r="AC638" t="str">
            <v>João Gameiro</v>
          </cell>
          <cell r="AJ638" t="str">
            <v>Aroeira Collections</v>
          </cell>
        </row>
        <row r="639">
          <cell r="A639" t="str">
            <v>THE UNCOMMON</v>
          </cell>
          <cell r="C639" t="str">
            <v>501</v>
          </cell>
          <cell r="E639" t="str">
            <v>T3</v>
          </cell>
          <cell r="F639">
            <v>230.1</v>
          </cell>
          <cell r="Q639" t="str">
            <v>AVAILABLE</v>
          </cell>
          <cell r="S639">
            <v>2490000</v>
          </cell>
          <cell r="T639">
            <v>2580000</v>
          </cell>
          <cell r="U639">
            <v>50000</v>
          </cell>
          <cell r="V639">
            <v>30000</v>
          </cell>
          <cell r="W639">
            <v>2500000</v>
          </cell>
          <cell r="Y639">
            <v>2580000</v>
          </cell>
          <cell r="AC639" t="str">
            <v>Ana Damásio</v>
          </cell>
          <cell r="AJ639" t="str">
            <v>The Uncommon</v>
          </cell>
        </row>
        <row r="640">
          <cell r="A640" t="str">
            <v>Aroeira - HOTEL APARTMENTS</v>
          </cell>
          <cell r="C640" t="str">
            <v>223B</v>
          </cell>
          <cell r="E640" t="str">
            <v>2-BR*</v>
          </cell>
          <cell r="F640">
            <v>98.7</v>
          </cell>
          <cell r="Q640" t="str">
            <v>AVAILABLE</v>
          </cell>
          <cell r="S640">
            <v>665000</v>
          </cell>
          <cell r="T640">
            <v>665000</v>
          </cell>
          <cell r="V640">
            <v>45000</v>
          </cell>
          <cell r="W640">
            <v>620000</v>
          </cell>
          <cell r="AB640">
            <v>47118</v>
          </cell>
          <cell r="AC640" t="str">
            <v>João Gameiro</v>
          </cell>
          <cell r="AJ640" t="str">
            <v>Aroeira Collections</v>
          </cell>
        </row>
        <row r="641">
          <cell r="A641" t="str">
            <v>Aroeira - HOTEL APARTMENTS</v>
          </cell>
          <cell r="C641" t="str">
            <v>224A</v>
          </cell>
          <cell r="E641" t="str">
            <v>1-BR</v>
          </cell>
          <cell r="F641">
            <v>72.5</v>
          </cell>
          <cell r="Q641" t="str">
            <v>AVAILABLE</v>
          </cell>
          <cell r="S641">
            <v>480000</v>
          </cell>
          <cell r="T641">
            <v>480000</v>
          </cell>
          <cell r="V641">
            <v>35000</v>
          </cell>
          <cell r="W641">
            <v>445000</v>
          </cell>
          <cell r="AB641">
            <v>47118</v>
          </cell>
          <cell r="AC641" t="str">
            <v>João Gameiro</v>
          </cell>
          <cell r="AJ641" t="str">
            <v>Aroeira Collections</v>
          </cell>
        </row>
        <row r="642">
          <cell r="A642" t="str">
            <v>Aroeira - HOTEL APARTMENTS</v>
          </cell>
          <cell r="C642" t="str">
            <v>226B</v>
          </cell>
          <cell r="E642" t="str">
            <v>2-BR*</v>
          </cell>
          <cell r="F642">
            <v>98.8</v>
          </cell>
          <cell r="Q642" t="str">
            <v>AVAILABLE</v>
          </cell>
          <cell r="S642">
            <v>645000</v>
          </cell>
          <cell r="T642">
            <v>645000</v>
          </cell>
          <cell r="V642">
            <v>45000</v>
          </cell>
          <cell r="W642">
            <v>600000</v>
          </cell>
          <cell r="AB642">
            <v>47118</v>
          </cell>
          <cell r="AC642" t="str">
            <v>João Gameiro</v>
          </cell>
          <cell r="AJ642" t="str">
            <v>Aroeira Collections</v>
          </cell>
        </row>
        <row r="643">
          <cell r="A643" t="str">
            <v>Aroeira - HOTEL APARTMENTS</v>
          </cell>
          <cell r="C643" t="str">
            <v>227B</v>
          </cell>
          <cell r="E643" t="str">
            <v>2-BR*</v>
          </cell>
          <cell r="F643">
            <v>98.8</v>
          </cell>
          <cell r="Q643" t="str">
            <v>AVAILABLE</v>
          </cell>
          <cell r="S643">
            <v>645000</v>
          </cell>
          <cell r="T643">
            <v>645000</v>
          </cell>
          <cell r="V643">
            <v>45000</v>
          </cell>
          <cell r="W643">
            <v>600000</v>
          </cell>
          <cell r="AB643">
            <v>47118</v>
          </cell>
          <cell r="AC643" t="str">
            <v>João Gameiro</v>
          </cell>
          <cell r="AJ643" t="str">
            <v>Aroeira Collections</v>
          </cell>
        </row>
        <row r="644">
          <cell r="A644" t="str">
            <v>Palmares - Signature Residences</v>
          </cell>
          <cell r="C644" t="str">
            <v>7A</v>
          </cell>
          <cell r="E644" t="str">
            <v>T1</v>
          </cell>
          <cell r="F644">
            <v>89.32</v>
          </cell>
          <cell r="Q644" t="str">
            <v>AVAILABLE</v>
          </cell>
          <cell r="S644">
            <v>630000</v>
          </cell>
          <cell r="T644">
            <v>630000</v>
          </cell>
          <cell r="W644">
            <v>630000</v>
          </cell>
          <cell r="Y644">
            <v>630000</v>
          </cell>
          <cell r="AB644">
            <v>46843</v>
          </cell>
          <cell r="AJ644" t="str">
            <v>Palmares</v>
          </cell>
        </row>
        <row r="645">
          <cell r="A645" t="str">
            <v>Palmares - Signature Apartments</v>
          </cell>
          <cell r="C645" t="str">
            <v>803A</v>
          </cell>
          <cell r="E645" t="str">
            <v>T2 (T1+1) Duplex</v>
          </cell>
          <cell r="F645">
            <v>173.95</v>
          </cell>
          <cell r="Q645" t="str">
            <v>AVAILABLE</v>
          </cell>
          <cell r="S645">
            <v>440000</v>
          </cell>
          <cell r="T645">
            <v>1100000</v>
          </cell>
          <cell r="W645">
            <v>1100000</v>
          </cell>
          <cell r="Y645">
            <v>1100000</v>
          </cell>
          <cell r="AB645">
            <v>46843</v>
          </cell>
          <cell r="AJ645" t="str">
            <v>Palmares</v>
          </cell>
        </row>
        <row r="646">
          <cell r="A646" t="str">
            <v>THE UNCOMMON</v>
          </cell>
          <cell r="C646" t="str">
            <v>504</v>
          </cell>
          <cell r="E646" t="str">
            <v>T2</v>
          </cell>
          <cell r="F646">
            <v>161.6</v>
          </cell>
          <cell r="Q646" t="str">
            <v>AVAILABLE</v>
          </cell>
          <cell r="S646">
            <v>1160000</v>
          </cell>
          <cell r="T646">
            <v>1230000</v>
          </cell>
          <cell r="U646">
            <v>50000</v>
          </cell>
          <cell r="V646">
            <v>23000</v>
          </cell>
          <cell r="W646">
            <v>1157000</v>
          </cell>
          <cell r="Y646">
            <v>1230000</v>
          </cell>
          <cell r="AC646" t="str">
            <v>Ana Damásio</v>
          </cell>
          <cell r="AJ646" t="str">
            <v>The Uncommon</v>
          </cell>
        </row>
        <row r="647">
          <cell r="A647" t="str">
            <v>THE UNCOMMON</v>
          </cell>
          <cell r="C647" t="str">
            <v>505</v>
          </cell>
          <cell r="E647" t="str">
            <v>T2</v>
          </cell>
          <cell r="F647">
            <v>161.69999999999999</v>
          </cell>
          <cell r="Q647" t="str">
            <v>AVAILABLE</v>
          </cell>
          <cell r="S647">
            <v>1250000</v>
          </cell>
          <cell r="T647">
            <v>1320000</v>
          </cell>
          <cell r="U647">
            <v>50000</v>
          </cell>
          <cell r="V647">
            <v>23000</v>
          </cell>
          <cell r="W647">
            <v>1247000</v>
          </cell>
          <cell r="Y647">
            <v>1320000</v>
          </cell>
          <cell r="AC647" t="str">
            <v>Ana Damásio</v>
          </cell>
          <cell r="AJ647" t="str">
            <v>The Uncommon</v>
          </cell>
        </row>
        <row r="648">
          <cell r="A648" t="str">
            <v>Palmares - Signature Apartments</v>
          </cell>
          <cell r="C648" t="str">
            <v>805A</v>
          </cell>
          <cell r="E648" t="str">
            <v>T2 (T1+1) Duplex</v>
          </cell>
          <cell r="F648">
            <v>173.95</v>
          </cell>
          <cell r="Q648" t="str">
            <v>AVAILABLE</v>
          </cell>
          <cell r="S648">
            <v>660000</v>
          </cell>
          <cell r="T648">
            <v>1100000</v>
          </cell>
          <cell r="W648">
            <v>1100000</v>
          </cell>
          <cell r="Y648">
            <v>1100000</v>
          </cell>
          <cell r="AB648">
            <v>46843</v>
          </cell>
          <cell r="AJ648" t="str">
            <v>Palmares</v>
          </cell>
        </row>
        <row r="649">
          <cell r="A649" t="str">
            <v>Palmares - Plots</v>
          </cell>
          <cell r="C649" t="str">
            <v>83</v>
          </cell>
          <cell r="E649" t="str">
            <v>Plot</v>
          </cell>
          <cell r="F649">
            <v>4991</v>
          </cell>
          <cell r="Q649" t="str">
            <v>AVAILABLE</v>
          </cell>
          <cell r="S649">
            <v>660000</v>
          </cell>
          <cell r="T649">
            <v>1700000</v>
          </cell>
          <cell r="W649">
            <v>1700000</v>
          </cell>
          <cell r="Y649">
            <v>1700000</v>
          </cell>
          <cell r="AB649">
            <v>46843</v>
          </cell>
          <cell r="AC649" t="str">
            <v>Sandra Viegas</v>
          </cell>
          <cell r="AJ649" t="str">
            <v>Palmares</v>
          </cell>
        </row>
        <row r="650">
          <cell r="A650" t="str">
            <v>Palmares - Signature Apartments</v>
          </cell>
          <cell r="C650" t="str">
            <v>809A</v>
          </cell>
          <cell r="E650" t="str">
            <v>T2 (T1+1) Duplex</v>
          </cell>
          <cell r="F650">
            <v>171.55</v>
          </cell>
          <cell r="Q650" t="str">
            <v>AVAILABLE</v>
          </cell>
          <cell r="S650">
            <v>550000</v>
          </cell>
          <cell r="T650">
            <v>1200000</v>
          </cell>
          <cell r="W650">
            <v>1200000</v>
          </cell>
          <cell r="Y650">
            <v>1200000</v>
          </cell>
          <cell r="AB650">
            <v>46843</v>
          </cell>
          <cell r="AJ650" t="str">
            <v>Palmares</v>
          </cell>
        </row>
        <row r="651">
          <cell r="A651" t="str">
            <v>Palmares - Signature Apartments</v>
          </cell>
          <cell r="C651" t="str">
            <v>810B</v>
          </cell>
          <cell r="E651" t="str">
            <v>T1</v>
          </cell>
          <cell r="F651">
            <v>102.95</v>
          </cell>
          <cell r="Q651" t="str">
            <v>AVAILABLE</v>
          </cell>
          <cell r="S651">
            <v>725000</v>
          </cell>
          <cell r="T651">
            <v>700000</v>
          </cell>
          <cell r="W651">
            <v>700000</v>
          </cell>
          <cell r="Y651">
            <v>700000</v>
          </cell>
          <cell r="AB651">
            <v>46843</v>
          </cell>
          <cell r="AJ651" t="str">
            <v>Palmares</v>
          </cell>
        </row>
        <row r="652">
          <cell r="A652" t="str">
            <v>THE UNCOMMON</v>
          </cell>
          <cell r="C652" t="str">
            <v>506</v>
          </cell>
          <cell r="E652" t="str">
            <v>T2</v>
          </cell>
          <cell r="F652">
            <v>161</v>
          </cell>
          <cell r="Q652" t="str">
            <v>AVAILABLE</v>
          </cell>
          <cell r="S652">
            <v>1340000</v>
          </cell>
          <cell r="T652">
            <v>1410000</v>
          </cell>
          <cell r="U652">
            <v>50000</v>
          </cell>
          <cell r="V652">
            <v>23000</v>
          </cell>
          <cell r="W652">
            <v>1337000</v>
          </cell>
          <cell r="Y652">
            <v>1410000</v>
          </cell>
          <cell r="AC652" t="str">
            <v>Ana Damásio</v>
          </cell>
          <cell r="AJ652" t="str">
            <v>The Uncommon</v>
          </cell>
        </row>
        <row r="653">
          <cell r="A653" t="str">
            <v>THE UNCOMMON</v>
          </cell>
          <cell r="C653" t="str">
            <v>507</v>
          </cell>
          <cell r="E653" t="str">
            <v>T2</v>
          </cell>
          <cell r="F653">
            <v>161</v>
          </cell>
          <cell r="Q653" t="str">
            <v>AVAILABLE</v>
          </cell>
          <cell r="S653">
            <v>1420000</v>
          </cell>
          <cell r="T653">
            <v>1490000</v>
          </cell>
          <cell r="U653">
            <v>50000</v>
          </cell>
          <cell r="V653">
            <v>23000</v>
          </cell>
          <cell r="W653">
            <v>1417000</v>
          </cell>
          <cell r="Y653">
            <v>1490000</v>
          </cell>
          <cell r="AC653" t="str">
            <v>Ana Damásio</v>
          </cell>
          <cell r="AJ653" t="str">
            <v>The Uncommon</v>
          </cell>
        </row>
        <row r="654">
          <cell r="A654" t="str">
            <v>THE UNCOMMON</v>
          </cell>
          <cell r="C654" t="str">
            <v>508</v>
          </cell>
          <cell r="E654" t="str">
            <v>T2</v>
          </cell>
          <cell r="F654">
            <v>161</v>
          </cell>
          <cell r="Q654" t="str">
            <v>AVAILABLE</v>
          </cell>
          <cell r="S654">
            <v>1480000</v>
          </cell>
          <cell r="T654">
            <v>1550000</v>
          </cell>
          <cell r="U654">
            <v>50000</v>
          </cell>
          <cell r="V654">
            <v>23000</v>
          </cell>
          <cell r="W654">
            <v>1477000</v>
          </cell>
          <cell r="Y654">
            <v>1550000</v>
          </cell>
          <cell r="AC654" t="str">
            <v>Ana Damásio</v>
          </cell>
          <cell r="AJ654" t="str">
            <v>The Uncommon</v>
          </cell>
        </row>
        <row r="655">
          <cell r="A655" t="str">
            <v>THE UNCOMMON</v>
          </cell>
          <cell r="C655" t="str">
            <v>509</v>
          </cell>
          <cell r="E655" t="str">
            <v>T2</v>
          </cell>
          <cell r="F655">
            <v>161</v>
          </cell>
          <cell r="Q655" t="str">
            <v>AVAILABLE</v>
          </cell>
          <cell r="S655">
            <v>1540000</v>
          </cell>
          <cell r="T655">
            <v>1610000</v>
          </cell>
          <cell r="U655">
            <v>50000</v>
          </cell>
          <cell r="V655">
            <v>23000</v>
          </cell>
          <cell r="W655">
            <v>1537000</v>
          </cell>
          <cell r="Y655">
            <v>1610000</v>
          </cell>
          <cell r="AC655" t="str">
            <v>Ana Damásio</v>
          </cell>
          <cell r="AJ655" t="str">
            <v>The Uncommon</v>
          </cell>
        </row>
        <row r="656">
          <cell r="A656" t="str">
            <v>THE UNCOMMON</v>
          </cell>
          <cell r="C656" t="str">
            <v>511</v>
          </cell>
          <cell r="E656" t="str">
            <v>T1</v>
          </cell>
          <cell r="F656">
            <v>99.4</v>
          </cell>
          <cell r="Q656" t="str">
            <v>AVAILABLE</v>
          </cell>
          <cell r="S656">
            <v>830000</v>
          </cell>
          <cell r="T656">
            <v>890000</v>
          </cell>
          <cell r="U656">
            <v>50000</v>
          </cell>
          <cell r="V656">
            <v>15000</v>
          </cell>
          <cell r="W656">
            <v>825000</v>
          </cell>
          <cell r="Y656">
            <v>890000</v>
          </cell>
          <cell r="AC656" t="str">
            <v>Ana Damásio</v>
          </cell>
          <cell r="AJ656" t="str">
            <v>The Uncommon</v>
          </cell>
        </row>
        <row r="657">
          <cell r="A657" t="str">
            <v>THE UNCOMMON</v>
          </cell>
          <cell r="C657" t="str">
            <v>512</v>
          </cell>
          <cell r="E657" t="str">
            <v>T1</v>
          </cell>
          <cell r="F657">
            <v>99.6</v>
          </cell>
          <cell r="Q657" t="str">
            <v>AVAILABLE</v>
          </cell>
          <cell r="S657">
            <v>870000</v>
          </cell>
          <cell r="T657">
            <v>930000</v>
          </cell>
          <cell r="U657">
            <v>50000</v>
          </cell>
          <cell r="V657">
            <v>15000</v>
          </cell>
          <cell r="W657">
            <v>865000</v>
          </cell>
          <cell r="Y657">
            <v>930000</v>
          </cell>
          <cell r="AC657" t="str">
            <v>Ana Damásio</v>
          </cell>
          <cell r="AJ657" t="str">
            <v>The Uncommon</v>
          </cell>
        </row>
        <row r="658">
          <cell r="A658" t="str">
            <v>THE UNCOMMON</v>
          </cell>
          <cell r="C658" t="str">
            <v>513</v>
          </cell>
          <cell r="E658" t="str">
            <v>T1</v>
          </cell>
          <cell r="F658">
            <v>99.6</v>
          </cell>
          <cell r="Q658" t="str">
            <v>AVAILABLE</v>
          </cell>
          <cell r="S658">
            <v>910000</v>
          </cell>
          <cell r="T658">
            <v>970000</v>
          </cell>
          <cell r="U658">
            <v>50000</v>
          </cell>
          <cell r="V658">
            <v>15000</v>
          </cell>
          <cell r="W658">
            <v>905000</v>
          </cell>
          <cell r="Y658">
            <v>970000</v>
          </cell>
          <cell r="AC658" t="str">
            <v>Ana Damásio</v>
          </cell>
          <cell r="AJ658" t="str">
            <v>The Uncommon</v>
          </cell>
        </row>
        <row r="659">
          <cell r="A659" t="str">
            <v>THE UNCOMMON</v>
          </cell>
          <cell r="C659" t="str">
            <v>514</v>
          </cell>
          <cell r="E659" t="str">
            <v>T1</v>
          </cell>
          <cell r="F659">
            <v>99.6</v>
          </cell>
          <cell r="Q659" t="str">
            <v>AVAILABLE</v>
          </cell>
          <cell r="S659">
            <v>960000</v>
          </cell>
          <cell r="T659">
            <v>1020000</v>
          </cell>
          <cell r="U659">
            <v>50000</v>
          </cell>
          <cell r="V659">
            <v>15000</v>
          </cell>
          <cell r="W659">
            <v>955000</v>
          </cell>
          <cell r="Y659">
            <v>1020000</v>
          </cell>
          <cell r="AC659" t="str">
            <v>Ana Damásio</v>
          </cell>
          <cell r="AJ659" t="str">
            <v>The Uncommon</v>
          </cell>
        </row>
        <row r="660">
          <cell r="A660" t="str">
            <v>THE UNCOMMON</v>
          </cell>
          <cell r="C660" t="str">
            <v>515</v>
          </cell>
          <cell r="E660" t="str">
            <v>T1</v>
          </cell>
          <cell r="F660">
            <v>101.5</v>
          </cell>
          <cell r="Q660" t="str">
            <v>AVAILABLE</v>
          </cell>
          <cell r="S660">
            <v>1030000</v>
          </cell>
          <cell r="T660">
            <v>1100000</v>
          </cell>
          <cell r="U660">
            <v>50000</v>
          </cell>
          <cell r="V660">
            <v>15000</v>
          </cell>
          <cell r="W660">
            <v>1035000</v>
          </cell>
          <cell r="Y660">
            <v>1100000</v>
          </cell>
          <cell r="AC660" t="str">
            <v>Ana Damásio</v>
          </cell>
          <cell r="AJ660" t="str">
            <v>The Uncommon</v>
          </cell>
        </row>
        <row r="661">
          <cell r="A661" t="str">
            <v>ELS</v>
          </cell>
          <cell r="C661" t="str">
            <v>6</v>
          </cell>
          <cell r="E661" t="str">
            <v>Plot</v>
          </cell>
          <cell r="F661">
            <v>520</v>
          </cell>
          <cell r="Q661" t="str">
            <v>AVAILABLE</v>
          </cell>
          <cell r="S661">
            <v>1200000</v>
          </cell>
          <cell r="T661">
            <v>2560000</v>
          </cell>
          <cell r="W661">
            <v>2560000</v>
          </cell>
          <cell r="Y661">
            <v>2560000</v>
          </cell>
          <cell r="AC661" t="str">
            <v>Ana Damásio</v>
          </cell>
          <cell r="AJ661" t="str">
            <v>Springs - At the Els</v>
          </cell>
        </row>
        <row r="662">
          <cell r="A662" t="str">
            <v>THE UNCOMMON</v>
          </cell>
          <cell r="C662" t="str">
            <v>6</v>
          </cell>
          <cell r="E662" t="str">
            <v>T2</v>
          </cell>
          <cell r="F662">
            <v>168.6</v>
          </cell>
          <cell r="Q662" t="str">
            <v>AVAILABLE</v>
          </cell>
          <cell r="S662">
            <v>1110000</v>
          </cell>
          <cell r="T662">
            <v>1180000</v>
          </cell>
          <cell r="U662">
            <v>50000</v>
          </cell>
          <cell r="V662">
            <v>23000</v>
          </cell>
          <cell r="W662">
            <v>1107000</v>
          </cell>
          <cell r="Y662">
            <v>1180000</v>
          </cell>
          <cell r="AC662" t="str">
            <v>Ana Damásio</v>
          </cell>
          <cell r="AJ662" t="str">
            <v>The Uncommon</v>
          </cell>
        </row>
        <row r="663">
          <cell r="A663" t="str">
            <v>ELS</v>
          </cell>
          <cell r="C663" t="str">
            <v>7</v>
          </cell>
          <cell r="E663" t="str">
            <v>Plot</v>
          </cell>
          <cell r="F663">
            <v>520</v>
          </cell>
          <cell r="Q663" t="str">
            <v>AVAILABLE</v>
          </cell>
          <cell r="S663">
            <v>1210000</v>
          </cell>
          <cell r="T663">
            <v>2640000</v>
          </cell>
          <cell r="W663">
            <v>2640000</v>
          </cell>
          <cell r="Y663">
            <v>2640000</v>
          </cell>
          <cell r="AC663" t="str">
            <v>Ana Damásio</v>
          </cell>
          <cell r="AJ663" t="str">
            <v>Springs - At the Els</v>
          </cell>
        </row>
        <row r="664">
          <cell r="A664" t="str">
            <v>THE UNCOMMON</v>
          </cell>
          <cell r="C664" t="str">
            <v>7</v>
          </cell>
          <cell r="E664" t="str">
            <v>T2</v>
          </cell>
          <cell r="F664">
            <v>168.6</v>
          </cell>
          <cell r="Q664" t="str">
            <v>AVAILABLE</v>
          </cell>
          <cell r="S664">
            <v>1200000</v>
          </cell>
          <cell r="T664">
            <v>1270000</v>
          </cell>
          <cell r="U664">
            <v>50000</v>
          </cell>
          <cell r="V664">
            <v>23000</v>
          </cell>
          <cell r="W664">
            <v>1197000</v>
          </cell>
          <cell r="Y664">
            <v>1270000</v>
          </cell>
          <cell r="AC664" t="str">
            <v>Ana Damásio</v>
          </cell>
          <cell r="AJ664" t="str">
            <v>The Uncommon</v>
          </cell>
        </row>
        <row r="665">
          <cell r="A665" t="str">
            <v>ELS</v>
          </cell>
          <cell r="C665" t="str">
            <v>8</v>
          </cell>
          <cell r="E665" t="str">
            <v>Plot</v>
          </cell>
          <cell r="F665">
            <v>520</v>
          </cell>
          <cell r="Q665" t="str">
            <v>AVAILABLE</v>
          </cell>
          <cell r="S665">
            <v>1230000</v>
          </cell>
          <cell r="T665">
            <v>2640000</v>
          </cell>
          <cell r="W665">
            <v>2640000</v>
          </cell>
          <cell r="Y665">
            <v>2640000</v>
          </cell>
          <cell r="AC665" t="str">
            <v>Ana Damásio</v>
          </cell>
          <cell r="AJ665" t="str">
            <v>Springs - At the Els</v>
          </cell>
        </row>
        <row r="666">
          <cell r="A666" t="str">
            <v>THE UNCOMMON</v>
          </cell>
          <cell r="C666" t="str">
            <v>8</v>
          </cell>
          <cell r="E666" t="str">
            <v>T2</v>
          </cell>
          <cell r="F666">
            <v>168.6</v>
          </cell>
          <cell r="Q666" t="str">
            <v>AVAILABLE</v>
          </cell>
          <cell r="S666">
            <v>1260000</v>
          </cell>
          <cell r="T666">
            <v>1330000</v>
          </cell>
          <cell r="U666">
            <v>50000</v>
          </cell>
          <cell r="V666">
            <v>23000</v>
          </cell>
          <cell r="W666">
            <v>1257000</v>
          </cell>
          <cell r="Y666">
            <v>1330000</v>
          </cell>
          <cell r="AC666" t="str">
            <v>Ana Damásio</v>
          </cell>
          <cell r="AJ666" t="str">
            <v>The Uncommon</v>
          </cell>
        </row>
        <row r="667">
          <cell r="A667" t="str">
            <v>ELS</v>
          </cell>
          <cell r="C667" t="str">
            <v>9</v>
          </cell>
          <cell r="E667" t="str">
            <v>Plot</v>
          </cell>
          <cell r="F667">
            <v>260</v>
          </cell>
          <cell r="Q667" t="str">
            <v>AVAILABLE</v>
          </cell>
          <cell r="S667">
            <v>1430000</v>
          </cell>
          <cell r="T667">
            <v>1160000</v>
          </cell>
          <cell r="W667">
            <v>1160000</v>
          </cell>
          <cell r="Y667">
            <v>1160000</v>
          </cell>
          <cell r="AC667" t="str">
            <v>Ana Damásio</v>
          </cell>
          <cell r="AJ667" t="str">
            <v>Springs - At the Els</v>
          </cell>
        </row>
        <row r="668">
          <cell r="A668" t="str">
            <v>Aroeira - HOTEL APARTMENTS</v>
          </cell>
          <cell r="C668" t="str">
            <v>228A</v>
          </cell>
          <cell r="E668" t="str">
            <v>1-BR</v>
          </cell>
          <cell r="F668">
            <v>72.5</v>
          </cell>
          <cell r="Q668" t="str">
            <v>AVAILABLE</v>
          </cell>
          <cell r="S668">
            <v>480000</v>
          </cell>
          <cell r="T668">
            <v>480000</v>
          </cell>
          <cell r="V668">
            <v>35000</v>
          </cell>
          <cell r="W668">
            <v>445000</v>
          </cell>
          <cell r="AB668">
            <v>47118</v>
          </cell>
          <cell r="AC668" t="str">
            <v>João Gameiro</v>
          </cell>
          <cell r="AJ668" t="str">
            <v>Aroeira Collections</v>
          </cell>
        </row>
        <row r="669">
          <cell r="A669" t="str">
            <v>THE UNCOMMON</v>
          </cell>
          <cell r="C669" t="str">
            <v>9</v>
          </cell>
          <cell r="E669" t="str">
            <v>T2</v>
          </cell>
          <cell r="F669">
            <v>167.8</v>
          </cell>
          <cell r="Q669" t="str">
            <v>AVAILABLE</v>
          </cell>
          <cell r="S669">
            <v>1320000</v>
          </cell>
          <cell r="T669">
            <v>1390000</v>
          </cell>
          <cell r="U669">
            <v>50000</v>
          </cell>
          <cell r="V669">
            <v>23000</v>
          </cell>
          <cell r="W669">
            <v>1317000</v>
          </cell>
          <cell r="Y669">
            <v>1390000</v>
          </cell>
          <cell r="AC669" t="str">
            <v>Ana Damásio</v>
          </cell>
          <cell r="AJ669" t="str">
            <v>The Uncommon</v>
          </cell>
        </row>
        <row r="670">
          <cell r="A670" t="str">
            <v>Aroeira - HOTEL APARTMENTS</v>
          </cell>
          <cell r="C670" t="str">
            <v>229A</v>
          </cell>
          <cell r="E670" t="str">
            <v>1-BR</v>
          </cell>
          <cell r="F670">
            <v>60.2</v>
          </cell>
          <cell r="Q670" t="str">
            <v>AVAILABLE</v>
          </cell>
          <cell r="S670">
            <v>425000</v>
          </cell>
          <cell r="T670">
            <v>425000</v>
          </cell>
          <cell r="V670">
            <v>35000</v>
          </cell>
          <cell r="W670">
            <v>390000</v>
          </cell>
          <cell r="AB670">
            <v>47118</v>
          </cell>
          <cell r="AC670" t="str">
            <v>João Gameiro</v>
          </cell>
          <cell r="AJ670" t="str">
            <v>Aroeira Collections</v>
          </cell>
        </row>
        <row r="671">
          <cell r="A671" t="str">
            <v>MR - LT Miradouro Village</v>
          </cell>
          <cell r="C671" t="str">
            <v>39</v>
          </cell>
          <cell r="E671" t="str">
            <v>Plot</v>
          </cell>
          <cell r="F671">
            <v>396.9</v>
          </cell>
          <cell r="Q671" t="str">
            <v>AVAILABLE</v>
          </cell>
          <cell r="S671">
            <v>670000</v>
          </cell>
          <cell r="T671">
            <v>550000</v>
          </cell>
          <cell r="W671">
            <v>550000</v>
          </cell>
          <cell r="AB671" t="str">
            <v>TBD</v>
          </cell>
          <cell r="AC671" t="str">
            <v>Sandra Viegas</v>
          </cell>
          <cell r="AJ671" t="str">
            <v>Monte Rei</v>
          </cell>
        </row>
        <row r="672">
          <cell r="A672" t="str">
            <v>Aroeira - VILLAS</v>
          </cell>
          <cell r="C672" t="str">
            <v>22C</v>
          </cell>
          <cell r="E672" t="str">
            <v>T3</v>
          </cell>
          <cell r="F672">
            <v>299.39999999999998</v>
          </cell>
          <cell r="Q672" t="str">
            <v>AVAILABLE</v>
          </cell>
          <cell r="S672">
            <v>1595000</v>
          </cell>
          <cell r="T672">
            <v>1595000</v>
          </cell>
          <cell r="V672">
            <v>60000</v>
          </cell>
          <cell r="W672">
            <v>1535000</v>
          </cell>
          <cell r="AB672">
            <v>47118</v>
          </cell>
          <cell r="AC672" t="str">
            <v>João Gameiro</v>
          </cell>
          <cell r="AJ672" t="str">
            <v>Aroeira Collections</v>
          </cell>
        </row>
        <row r="673">
          <cell r="A673" t="str">
            <v>Aroeira - HOTEL APARTMENTS</v>
          </cell>
          <cell r="C673" t="str">
            <v>230A</v>
          </cell>
          <cell r="E673" t="str">
            <v>1-BR</v>
          </cell>
          <cell r="F673">
            <v>60.2</v>
          </cell>
          <cell r="Q673" t="str">
            <v>AVAILABLE</v>
          </cell>
          <cell r="S673">
            <v>425000</v>
          </cell>
          <cell r="T673">
            <v>425000</v>
          </cell>
          <cell r="V673">
            <v>35000</v>
          </cell>
          <cell r="W673">
            <v>390000</v>
          </cell>
          <cell r="AB673">
            <v>47118</v>
          </cell>
          <cell r="AC673" t="str">
            <v>João Gameiro</v>
          </cell>
          <cell r="AJ673" t="str">
            <v>Aroeira Collections</v>
          </cell>
        </row>
        <row r="674">
          <cell r="A674" t="str">
            <v>Aroeira - HOTEL APARTMENTS</v>
          </cell>
          <cell r="C674" t="str">
            <v>231A</v>
          </cell>
          <cell r="E674" t="str">
            <v>1-BR</v>
          </cell>
          <cell r="F674">
            <v>60.2</v>
          </cell>
          <cell r="Q674" t="str">
            <v>AVAILABLE</v>
          </cell>
          <cell r="S674">
            <v>425000</v>
          </cell>
          <cell r="T674">
            <v>425000</v>
          </cell>
          <cell r="V674">
            <v>35000</v>
          </cell>
          <cell r="W674">
            <v>390000</v>
          </cell>
          <cell r="AB674">
            <v>47118</v>
          </cell>
          <cell r="AC674" t="str">
            <v>João Gameiro</v>
          </cell>
          <cell r="AJ674" t="str">
            <v>Aroeira Collections</v>
          </cell>
        </row>
        <row r="675">
          <cell r="A675" t="str">
            <v>Aroeira - HOTEL APARTMENTS</v>
          </cell>
          <cell r="C675" t="str">
            <v>232A</v>
          </cell>
          <cell r="E675" t="str">
            <v>1-BR</v>
          </cell>
          <cell r="F675">
            <v>60.2</v>
          </cell>
          <cell r="Q675" t="str">
            <v>AVAILABLE</v>
          </cell>
          <cell r="S675">
            <v>425000</v>
          </cell>
          <cell r="T675">
            <v>425000</v>
          </cell>
          <cell r="V675">
            <v>35000</v>
          </cell>
          <cell r="W675">
            <v>390000</v>
          </cell>
          <cell r="AB675">
            <v>47118</v>
          </cell>
          <cell r="AC675" t="str">
            <v>João Gameiro</v>
          </cell>
          <cell r="AJ675" t="str">
            <v>Aroeira Collections</v>
          </cell>
        </row>
        <row r="676">
          <cell r="A676" t="str">
            <v>Aroeira - HOTEL APARTMENTS</v>
          </cell>
          <cell r="C676" t="str">
            <v>233A</v>
          </cell>
          <cell r="E676" t="str">
            <v>1-BR</v>
          </cell>
          <cell r="F676">
            <v>60.2</v>
          </cell>
          <cell r="Q676" t="str">
            <v>AVAILABLE</v>
          </cell>
          <cell r="S676">
            <v>425000</v>
          </cell>
          <cell r="T676">
            <v>425000</v>
          </cell>
          <cell r="V676">
            <v>35000</v>
          </cell>
          <cell r="W676">
            <v>390000</v>
          </cell>
          <cell r="AB676">
            <v>47118</v>
          </cell>
          <cell r="AC676" t="str">
            <v>João Gameiro</v>
          </cell>
          <cell r="AJ676" t="str">
            <v>Aroeira Collections</v>
          </cell>
        </row>
        <row r="677">
          <cell r="A677" t="str">
            <v>NATURA VILLAGE 9</v>
          </cell>
          <cell r="C677" t="str">
            <v>A</v>
          </cell>
          <cell r="E677" t="str">
            <v>V3</v>
          </cell>
          <cell r="F677">
            <v>193.26</v>
          </cell>
          <cell r="Q677" t="str">
            <v>AVAILABLE</v>
          </cell>
          <cell r="S677">
            <v>1230000</v>
          </cell>
          <cell r="T677">
            <v>1230000</v>
          </cell>
          <cell r="W677">
            <v>1230000</v>
          </cell>
          <cell r="Y677">
            <v>1230000</v>
          </cell>
          <cell r="AC677" t="str">
            <v>Ana Damásio</v>
          </cell>
          <cell r="AJ677" t="str">
            <v>Natura Village</v>
          </cell>
        </row>
        <row r="678">
          <cell r="A678" t="str">
            <v>Palmares - Signature Apartments</v>
          </cell>
          <cell r="C678" t="str">
            <v>812B</v>
          </cell>
          <cell r="E678" t="str">
            <v>T1</v>
          </cell>
          <cell r="F678">
            <v>92.95</v>
          </cell>
          <cell r="Q678" t="str">
            <v>AVAILABLE</v>
          </cell>
          <cell r="S678">
            <v>700000</v>
          </cell>
          <cell r="T678">
            <v>700000</v>
          </cell>
          <cell r="W678">
            <v>700000</v>
          </cell>
          <cell r="Y678">
            <v>630000</v>
          </cell>
          <cell r="AB678">
            <v>46843</v>
          </cell>
          <cell r="AJ678" t="str">
            <v>Palmares</v>
          </cell>
        </row>
        <row r="679">
          <cell r="A679" t="str">
            <v>Rivus</v>
          </cell>
          <cell r="C679" t="str">
            <v>A</v>
          </cell>
          <cell r="E679" t="str">
            <v>T2</v>
          </cell>
          <cell r="Q679" t="str">
            <v>AVAILABLE</v>
          </cell>
          <cell r="S679">
            <v>840000</v>
          </cell>
          <cell r="T679">
            <v>840000</v>
          </cell>
          <cell r="W679">
            <v>840000</v>
          </cell>
          <cell r="Y679">
            <v>820000</v>
          </cell>
          <cell r="AA679">
            <v>45630</v>
          </cell>
          <cell r="AC679" t="str">
            <v>Ana Damásio</v>
          </cell>
          <cell r="AJ679" t="str">
            <v>Rivus</v>
          </cell>
        </row>
        <row r="680">
          <cell r="A680" t="str">
            <v>Aroeira - HOTEL APARTMENTS</v>
          </cell>
          <cell r="C680" t="str">
            <v>234A</v>
          </cell>
          <cell r="E680" t="str">
            <v>1-BR</v>
          </cell>
          <cell r="F680">
            <v>56.5</v>
          </cell>
          <cell r="Q680" t="str">
            <v>AVAILABLE</v>
          </cell>
          <cell r="S680">
            <v>2610000</v>
          </cell>
          <cell r="T680">
            <v>390000</v>
          </cell>
          <cell r="V680">
            <v>35000</v>
          </cell>
          <cell r="W680">
            <v>355000</v>
          </cell>
          <cell r="AB680">
            <v>47118</v>
          </cell>
          <cell r="AC680" t="str">
            <v>João Gameiro</v>
          </cell>
          <cell r="AJ680" t="str">
            <v>Aroeira Collections</v>
          </cell>
        </row>
        <row r="681">
          <cell r="A681" t="str">
            <v>Aroeira - HOTEL APARTMENTS</v>
          </cell>
          <cell r="C681" t="str">
            <v>237A</v>
          </cell>
          <cell r="E681" t="str">
            <v>1-BR</v>
          </cell>
          <cell r="F681">
            <v>56.5</v>
          </cell>
          <cell r="Q681" t="str">
            <v>AVAILABLE</v>
          </cell>
          <cell r="S681">
            <v>1340000</v>
          </cell>
          <cell r="T681">
            <v>390000</v>
          </cell>
          <cell r="V681">
            <v>35000</v>
          </cell>
          <cell r="W681">
            <v>355000</v>
          </cell>
          <cell r="AB681">
            <v>47118</v>
          </cell>
          <cell r="AC681" t="str">
            <v>João Gameiro</v>
          </cell>
          <cell r="AJ681" t="str">
            <v>Aroeira Collections</v>
          </cell>
        </row>
        <row r="682">
          <cell r="A682" t="str">
            <v>Aroeira - HOTEL APARTMENTS</v>
          </cell>
          <cell r="C682" t="str">
            <v>238A</v>
          </cell>
          <cell r="E682" t="str">
            <v>1-BR</v>
          </cell>
          <cell r="F682">
            <v>60.2</v>
          </cell>
          <cell r="Q682" t="str">
            <v>AVAILABLE</v>
          </cell>
          <cell r="S682">
            <v>860000</v>
          </cell>
          <cell r="T682">
            <v>410000</v>
          </cell>
          <cell r="V682">
            <v>35000</v>
          </cell>
          <cell r="W682">
            <v>375000</v>
          </cell>
          <cell r="AB682">
            <v>47118</v>
          </cell>
          <cell r="AC682" t="str">
            <v>João Gameiro</v>
          </cell>
          <cell r="AJ682" t="str">
            <v>Aroeira Collections</v>
          </cell>
        </row>
        <row r="683">
          <cell r="A683" t="str">
            <v>ZESTIA</v>
          </cell>
          <cell r="C683" t="str">
            <v>A</v>
          </cell>
          <cell r="E683" t="str">
            <v>T2</v>
          </cell>
          <cell r="F683">
            <v>118.78</v>
          </cell>
          <cell r="Q683" t="str">
            <v>AVAILABLE</v>
          </cell>
          <cell r="S683">
            <v>741186.24</v>
          </cell>
          <cell r="T683">
            <v>790000</v>
          </cell>
          <cell r="U683">
            <v>24600</v>
          </cell>
          <cell r="V683">
            <v>40000</v>
          </cell>
          <cell r="W683">
            <v>725400</v>
          </cell>
          <cell r="Y683">
            <v>790000</v>
          </cell>
          <cell r="AA683">
            <v>46090</v>
          </cell>
          <cell r="AC683" t="str">
            <v>Ana Damásio</v>
          </cell>
          <cell r="AJ683" t="str">
            <v>Zestia</v>
          </cell>
        </row>
        <row r="684">
          <cell r="A684" t="str">
            <v>NOBILUS</v>
          </cell>
          <cell r="C684" t="str">
            <v>AA</v>
          </cell>
          <cell r="E684" t="str">
            <v>T2</v>
          </cell>
          <cell r="F684">
            <v>106.14</v>
          </cell>
          <cell r="Q684" t="str">
            <v>AVAILABLE</v>
          </cell>
          <cell r="S684">
            <v>710000</v>
          </cell>
          <cell r="T684">
            <v>710000</v>
          </cell>
          <cell r="W684">
            <v>710000</v>
          </cell>
          <cell r="Y684">
            <v>710000</v>
          </cell>
          <cell r="AC684" t="str">
            <v>Ana Damásio</v>
          </cell>
          <cell r="AJ684" t="str">
            <v>Nobilus</v>
          </cell>
        </row>
        <row r="685">
          <cell r="A685" t="str">
            <v>Rivus</v>
          </cell>
          <cell r="C685" t="str">
            <v>AA</v>
          </cell>
          <cell r="E685" t="str">
            <v>T2</v>
          </cell>
          <cell r="Q685" t="str">
            <v>AVAILABLE</v>
          </cell>
          <cell r="S685">
            <v>840000</v>
          </cell>
          <cell r="T685">
            <v>840000</v>
          </cell>
          <cell r="W685">
            <v>840000</v>
          </cell>
          <cell r="Y685">
            <v>820000</v>
          </cell>
          <cell r="AC685" t="str">
            <v>Ana Damásio</v>
          </cell>
          <cell r="AJ685" t="str">
            <v>Rivus</v>
          </cell>
        </row>
        <row r="686">
          <cell r="A686" t="str">
            <v>SPRINGS</v>
          </cell>
          <cell r="C686" t="str">
            <v>AA</v>
          </cell>
          <cell r="E686" t="str">
            <v>V4 Duplex</v>
          </cell>
          <cell r="F686">
            <v>404.86</v>
          </cell>
          <cell r="Q686" t="str">
            <v>AVAILABLE</v>
          </cell>
          <cell r="S686">
            <v>2722300</v>
          </cell>
          <cell r="T686">
            <v>2830000</v>
          </cell>
          <cell r="U686">
            <v>24600</v>
          </cell>
          <cell r="V686">
            <v>83100</v>
          </cell>
          <cell r="W686">
            <v>2722300</v>
          </cell>
          <cell r="Y686">
            <v>2830000</v>
          </cell>
          <cell r="AC686" t="str">
            <v>Ana Damásio</v>
          </cell>
          <cell r="AJ686" t="str">
            <v>Springs - At the Els</v>
          </cell>
        </row>
        <row r="687">
          <cell r="A687" t="str">
            <v>Aroeira - HOTEL APARTMENTS</v>
          </cell>
          <cell r="C687" t="str">
            <v>239A</v>
          </cell>
          <cell r="E687" t="str">
            <v>1-BR</v>
          </cell>
          <cell r="F687">
            <v>60.2</v>
          </cell>
          <cell r="Q687" t="str">
            <v>AVAILABLE</v>
          </cell>
          <cell r="S687">
            <v>780000</v>
          </cell>
          <cell r="T687">
            <v>410000</v>
          </cell>
          <cell r="V687">
            <v>35000</v>
          </cell>
          <cell r="W687">
            <v>375000</v>
          </cell>
          <cell r="AB687">
            <v>47118</v>
          </cell>
          <cell r="AC687" t="str">
            <v>João Gameiro</v>
          </cell>
          <cell r="AJ687" t="str">
            <v>Aroeira Collections</v>
          </cell>
        </row>
        <row r="688">
          <cell r="A688" t="str">
            <v>Aroeira - HOUSES</v>
          </cell>
          <cell r="C688" t="str">
            <v>23B</v>
          </cell>
          <cell r="E688" t="str">
            <v>T2</v>
          </cell>
          <cell r="F688">
            <v>196.8</v>
          </cell>
          <cell r="Q688" t="str">
            <v>AVAILABLE</v>
          </cell>
          <cell r="S688">
            <v>1055000</v>
          </cell>
          <cell r="T688">
            <v>1080000</v>
          </cell>
          <cell r="V688">
            <v>0</v>
          </cell>
          <cell r="W688">
            <v>1080000</v>
          </cell>
          <cell r="AB688">
            <v>47118</v>
          </cell>
          <cell r="AC688" t="str">
            <v>João Gameiro</v>
          </cell>
          <cell r="AJ688" t="str">
            <v>Aroeira Collections</v>
          </cell>
        </row>
        <row r="689">
          <cell r="A689" t="str">
            <v>Aroeira - VILLAS</v>
          </cell>
          <cell r="C689" t="str">
            <v>23C</v>
          </cell>
          <cell r="E689" t="str">
            <v>T3</v>
          </cell>
          <cell r="F689">
            <v>299.39999999999998</v>
          </cell>
          <cell r="Q689" t="str">
            <v>AVAILABLE</v>
          </cell>
          <cell r="S689">
            <v>1595000</v>
          </cell>
          <cell r="T689">
            <v>1595000</v>
          </cell>
          <cell r="V689">
            <v>60000</v>
          </cell>
          <cell r="W689">
            <v>1535000</v>
          </cell>
          <cell r="AB689">
            <v>47118</v>
          </cell>
          <cell r="AC689" t="str">
            <v>João Gameiro</v>
          </cell>
          <cell r="AJ689" t="str">
            <v>Aroeira Collections</v>
          </cell>
        </row>
        <row r="690">
          <cell r="A690" t="str">
            <v>ZESTIA</v>
          </cell>
          <cell r="C690" t="str">
            <v>AA</v>
          </cell>
          <cell r="E690" t="str">
            <v>T1</v>
          </cell>
          <cell r="F690">
            <v>89.44</v>
          </cell>
          <cell r="Q690" t="str">
            <v>AVAILABLE</v>
          </cell>
          <cell r="S690">
            <v>595664.86640000006</v>
          </cell>
          <cell r="T690">
            <v>650000</v>
          </cell>
          <cell r="U690">
            <v>24600</v>
          </cell>
          <cell r="V690">
            <v>30000</v>
          </cell>
          <cell r="W690">
            <v>595400</v>
          </cell>
          <cell r="Y690">
            <v>650000</v>
          </cell>
          <cell r="AC690" t="str">
            <v>Ana Damásio</v>
          </cell>
          <cell r="AJ690" t="str">
            <v>Zestia</v>
          </cell>
        </row>
        <row r="691">
          <cell r="A691" t="str">
            <v>BOTÂNICA</v>
          </cell>
          <cell r="C691" t="str">
            <v>AB</v>
          </cell>
          <cell r="E691" t="str">
            <v>T3</v>
          </cell>
          <cell r="F691">
            <v>195.81</v>
          </cell>
          <cell r="Q691" t="str">
            <v>AVAILABLE</v>
          </cell>
          <cell r="S691">
            <v>1369756.83</v>
          </cell>
          <cell r="T691">
            <v>1425000</v>
          </cell>
          <cell r="W691">
            <v>1425000</v>
          </cell>
          <cell r="Y691">
            <v>1411100</v>
          </cell>
          <cell r="AC691" t="str">
            <v>Ana Damásio</v>
          </cell>
          <cell r="AJ691" t="str">
            <v>Botanica</v>
          </cell>
        </row>
        <row r="692">
          <cell r="A692" t="str">
            <v>SPRINGS</v>
          </cell>
          <cell r="C692" t="str">
            <v>AB</v>
          </cell>
          <cell r="E692" t="str">
            <v>V4 Duplex</v>
          </cell>
          <cell r="F692">
            <v>404.86</v>
          </cell>
          <cell r="Q692" t="str">
            <v>AVAILABLE</v>
          </cell>
          <cell r="S692">
            <v>2722300</v>
          </cell>
          <cell r="T692">
            <v>2830000</v>
          </cell>
          <cell r="U692">
            <v>24600</v>
          </cell>
          <cell r="V692">
            <v>83100</v>
          </cell>
          <cell r="W692">
            <v>2722300</v>
          </cell>
          <cell r="Y692">
            <v>2830000</v>
          </cell>
          <cell r="AC692" t="str">
            <v>Ana Damásio</v>
          </cell>
          <cell r="AJ692" t="str">
            <v>Springs - At the Els</v>
          </cell>
        </row>
        <row r="693">
          <cell r="A693" t="str">
            <v>NOBILUS</v>
          </cell>
          <cell r="C693" t="str">
            <v>AC</v>
          </cell>
          <cell r="E693" t="str">
            <v>T3</v>
          </cell>
          <cell r="F693">
            <v>164.42</v>
          </cell>
          <cell r="Q693" t="str">
            <v>AVAILABLE</v>
          </cell>
          <cell r="S693">
            <v>1150000</v>
          </cell>
          <cell r="T693">
            <v>1150000</v>
          </cell>
          <cell r="W693">
            <v>1150000</v>
          </cell>
          <cell r="Y693">
            <v>1150000</v>
          </cell>
          <cell r="AC693" t="str">
            <v>Ana Damásio</v>
          </cell>
          <cell r="AJ693" t="str">
            <v>Nobilus</v>
          </cell>
        </row>
        <row r="694">
          <cell r="A694" t="str">
            <v>SPRINGS</v>
          </cell>
          <cell r="C694" t="str">
            <v>AC</v>
          </cell>
          <cell r="E694" t="str">
            <v>V4 Duplex</v>
          </cell>
          <cell r="F694">
            <v>404.86</v>
          </cell>
          <cell r="Q694" t="str">
            <v>AVAILABLE</v>
          </cell>
          <cell r="S694">
            <v>2572300</v>
          </cell>
          <cell r="T694">
            <v>2680000</v>
          </cell>
          <cell r="U694">
            <v>24600</v>
          </cell>
          <cell r="V694">
            <v>83100</v>
          </cell>
          <cell r="W694">
            <v>2572300</v>
          </cell>
          <cell r="Y694">
            <v>2680000</v>
          </cell>
          <cell r="AC694" t="str">
            <v>Ana Damásio</v>
          </cell>
          <cell r="AJ694" t="str">
            <v>Springs - At the Els</v>
          </cell>
        </row>
        <row r="695">
          <cell r="A695" t="str">
            <v>ZESTIA</v>
          </cell>
          <cell r="C695" t="str">
            <v>AC</v>
          </cell>
          <cell r="E695" t="str">
            <v>T2</v>
          </cell>
          <cell r="F695">
            <v>138.82</v>
          </cell>
          <cell r="Q695" t="str">
            <v>AVAILABLE</v>
          </cell>
          <cell r="S695">
            <v>831394.01599999995</v>
          </cell>
          <cell r="T695">
            <v>900000</v>
          </cell>
          <cell r="U695">
            <v>24600</v>
          </cell>
          <cell r="V695">
            <v>40000</v>
          </cell>
          <cell r="W695">
            <v>835400</v>
          </cell>
          <cell r="Y695">
            <v>900000</v>
          </cell>
          <cell r="AA695">
            <v>46139</v>
          </cell>
          <cell r="AC695" t="str">
            <v>Ana Damásio</v>
          </cell>
          <cell r="AJ695" t="str">
            <v>Zestia</v>
          </cell>
        </row>
        <row r="696">
          <cell r="A696" t="str">
            <v>NOBILUS</v>
          </cell>
          <cell r="C696" t="str">
            <v>AD</v>
          </cell>
          <cell r="E696" t="str">
            <v>T3</v>
          </cell>
          <cell r="F696">
            <v>164.4</v>
          </cell>
          <cell r="Q696" t="str">
            <v>AVAILABLE</v>
          </cell>
          <cell r="S696">
            <v>1140000</v>
          </cell>
          <cell r="T696">
            <v>1140000</v>
          </cell>
          <cell r="W696">
            <v>1140000</v>
          </cell>
          <cell r="Y696">
            <v>1140000</v>
          </cell>
          <cell r="AA696">
            <v>46167</v>
          </cell>
          <cell r="AC696" t="str">
            <v>Ana Damásio</v>
          </cell>
          <cell r="AJ696" t="str">
            <v>Nobilus</v>
          </cell>
        </row>
        <row r="697">
          <cell r="A697" t="str">
            <v>SPRINGS</v>
          </cell>
          <cell r="C697" t="str">
            <v>AD</v>
          </cell>
          <cell r="E697" t="str">
            <v>V2 Duplex</v>
          </cell>
          <cell r="F697">
            <v>441.31</v>
          </cell>
          <cell r="Q697" t="str">
            <v>AVAILABLE</v>
          </cell>
          <cell r="S697">
            <v>1478850</v>
          </cell>
          <cell r="T697">
            <v>1550000</v>
          </cell>
          <cell r="U697">
            <v>24600</v>
          </cell>
          <cell r="V697">
            <v>46550</v>
          </cell>
          <cell r="W697">
            <v>1478850</v>
          </cell>
          <cell r="Y697">
            <v>1550000</v>
          </cell>
          <cell r="AC697" t="str">
            <v>Ana Damásio</v>
          </cell>
          <cell r="AJ697" t="str">
            <v>Springs - At the Els</v>
          </cell>
        </row>
        <row r="698">
          <cell r="A698" t="str">
            <v>ZESTIA</v>
          </cell>
          <cell r="C698" t="str">
            <v>AD</v>
          </cell>
          <cell r="E698" t="str">
            <v>T2 LO</v>
          </cell>
          <cell r="F698">
            <v>131.57</v>
          </cell>
          <cell r="Q698" t="str">
            <v>AVAILABLE</v>
          </cell>
          <cell r="S698">
            <v>849416.95279999997</v>
          </cell>
          <cell r="T698">
            <v>920000</v>
          </cell>
          <cell r="U698">
            <v>24600</v>
          </cell>
          <cell r="V698">
            <v>40000</v>
          </cell>
          <cell r="W698">
            <v>855400</v>
          </cell>
          <cell r="Y698">
            <v>920000</v>
          </cell>
          <cell r="AC698" t="str">
            <v>Ana Damásio</v>
          </cell>
          <cell r="AJ698" t="str">
            <v>Zestia</v>
          </cell>
        </row>
        <row r="699">
          <cell r="A699" t="str">
            <v>BOTÂNICA</v>
          </cell>
          <cell r="C699" t="str">
            <v>AE</v>
          </cell>
          <cell r="E699" t="str">
            <v>T3</v>
          </cell>
          <cell r="F699">
            <v>223.94</v>
          </cell>
          <cell r="Q699" t="str">
            <v>AVAILABLE</v>
          </cell>
          <cell r="S699">
            <v>1537842.54</v>
          </cell>
          <cell r="T699">
            <v>1690000</v>
          </cell>
          <cell r="W699">
            <v>1690000</v>
          </cell>
          <cell r="Y699">
            <v>1586200</v>
          </cell>
          <cell r="AC699" t="str">
            <v>Ana Damásio</v>
          </cell>
          <cell r="AJ699" t="str">
            <v>Botanica</v>
          </cell>
        </row>
        <row r="700">
          <cell r="A700" t="str">
            <v>SPRINGS</v>
          </cell>
          <cell r="C700" t="str">
            <v>AE</v>
          </cell>
          <cell r="E700" t="str">
            <v>V2 Duplex</v>
          </cell>
          <cell r="F700">
            <v>276.3</v>
          </cell>
          <cell r="Q700" t="str">
            <v>AVAILABLE</v>
          </cell>
          <cell r="S700">
            <v>1338850</v>
          </cell>
          <cell r="T700">
            <v>1410000</v>
          </cell>
          <cell r="U700">
            <v>24600</v>
          </cell>
          <cell r="V700">
            <v>46550</v>
          </cell>
          <cell r="W700">
            <v>1338850</v>
          </cell>
          <cell r="Y700">
            <v>1410000</v>
          </cell>
          <cell r="AC700" t="str">
            <v>Ana Damásio</v>
          </cell>
          <cell r="AJ700" t="str">
            <v>Springs - At the Els</v>
          </cell>
        </row>
        <row r="701">
          <cell r="A701" t="str">
            <v>ZESTIA</v>
          </cell>
          <cell r="C701" t="str">
            <v>AE</v>
          </cell>
          <cell r="E701" t="str">
            <v>T2</v>
          </cell>
          <cell r="F701">
            <v>117.28</v>
          </cell>
          <cell r="Q701" t="str">
            <v>AVAILABLE</v>
          </cell>
          <cell r="S701">
            <v>771389.57680000004</v>
          </cell>
          <cell r="T701">
            <v>820000</v>
          </cell>
          <cell r="U701">
            <v>24600</v>
          </cell>
          <cell r="V701">
            <v>40000</v>
          </cell>
          <cell r="W701">
            <v>755400</v>
          </cell>
          <cell r="Y701">
            <v>795400</v>
          </cell>
          <cell r="AC701" t="str">
            <v>Ana Damásio</v>
          </cell>
          <cell r="AJ701" t="str">
            <v>Zestia</v>
          </cell>
        </row>
        <row r="702">
          <cell r="A702" t="str">
            <v>NOBILUS</v>
          </cell>
          <cell r="C702" t="str">
            <v>AF</v>
          </cell>
          <cell r="E702" t="str">
            <v>T2</v>
          </cell>
          <cell r="F702">
            <v>106.03</v>
          </cell>
          <cell r="Q702" t="str">
            <v>AVAILABLE</v>
          </cell>
          <cell r="S702">
            <v>710000</v>
          </cell>
          <cell r="T702">
            <v>710000</v>
          </cell>
          <cell r="W702">
            <v>710000</v>
          </cell>
          <cell r="Y702">
            <v>710000</v>
          </cell>
          <cell r="AA702">
            <v>46125</v>
          </cell>
          <cell r="AC702" t="str">
            <v>Ana Damásio</v>
          </cell>
          <cell r="AJ702" t="str">
            <v>Nobilus</v>
          </cell>
        </row>
        <row r="703">
          <cell r="A703" t="str">
            <v>SPRINGS</v>
          </cell>
          <cell r="C703" t="str">
            <v>AF</v>
          </cell>
          <cell r="E703" t="str">
            <v>V2 Duplex</v>
          </cell>
          <cell r="F703">
            <v>276.3</v>
          </cell>
          <cell r="Q703" t="str">
            <v>AVAILABLE</v>
          </cell>
          <cell r="S703">
            <v>1358850</v>
          </cell>
          <cell r="T703">
            <v>1430000</v>
          </cell>
          <cell r="U703">
            <v>24600</v>
          </cell>
          <cell r="V703">
            <v>46550</v>
          </cell>
          <cell r="W703">
            <v>1358850</v>
          </cell>
          <cell r="Y703">
            <v>1430000</v>
          </cell>
          <cell r="AA703">
            <v>46093</v>
          </cell>
          <cell r="AC703" t="str">
            <v>Ana Damásio</v>
          </cell>
          <cell r="AJ703" t="str">
            <v>Springs - At the Els</v>
          </cell>
        </row>
        <row r="704">
          <cell r="A704" t="str">
            <v>ZESTIA</v>
          </cell>
          <cell r="C704" t="str">
            <v>AF</v>
          </cell>
          <cell r="E704" t="str">
            <v>T2 +</v>
          </cell>
          <cell r="F704">
            <v>151.03</v>
          </cell>
          <cell r="Q704" t="str">
            <v>AVAILABLE</v>
          </cell>
          <cell r="S704">
            <v>1096559.966</v>
          </cell>
          <cell r="T704">
            <v>1120000</v>
          </cell>
          <cell r="U704">
            <v>24600</v>
          </cell>
          <cell r="V704">
            <v>50000</v>
          </cell>
          <cell r="W704">
            <v>1045400</v>
          </cell>
          <cell r="Y704">
            <v>1120000</v>
          </cell>
          <cell r="AC704" t="str">
            <v>Ana Damásio</v>
          </cell>
          <cell r="AJ704" t="str">
            <v>Zestia</v>
          </cell>
        </row>
        <row r="705">
          <cell r="A705" t="str">
            <v>NOBILUS</v>
          </cell>
          <cell r="C705" t="str">
            <v>AG</v>
          </cell>
          <cell r="E705" t="str">
            <v>T3</v>
          </cell>
          <cell r="F705">
            <v>153.4</v>
          </cell>
          <cell r="Q705" t="str">
            <v>AVAILABLE</v>
          </cell>
          <cell r="S705">
            <v>980000</v>
          </cell>
          <cell r="T705">
            <v>980000</v>
          </cell>
          <cell r="W705">
            <v>980000</v>
          </cell>
          <cell r="Y705">
            <v>980000</v>
          </cell>
          <cell r="AC705" t="str">
            <v>Ana Damásio</v>
          </cell>
          <cell r="AJ705" t="str">
            <v>Nobilus</v>
          </cell>
        </row>
        <row r="706">
          <cell r="A706" t="str">
            <v>Aroeira - HOTEL APARTMENTS</v>
          </cell>
          <cell r="C706" t="str">
            <v>240A</v>
          </cell>
          <cell r="E706" t="str">
            <v>1-BR</v>
          </cell>
          <cell r="F706">
            <v>60.2</v>
          </cell>
          <cell r="Q706" t="str">
            <v>AVAILABLE</v>
          </cell>
          <cell r="S706">
            <v>670000</v>
          </cell>
          <cell r="T706">
            <v>410000</v>
          </cell>
          <cell r="V706">
            <v>35000</v>
          </cell>
          <cell r="W706">
            <v>375000</v>
          </cell>
          <cell r="AB706">
            <v>47118</v>
          </cell>
          <cell r="AC706" t="str">
            <v>João Gameiro</v>
          </cell>
          <cell r="AJ706" t="str">
            <v>Aroeira Collections</v>
          </cell>
        </row>
        <row r="707">
          <cell r="A707" t="str">
            <v>Aroeira - HOTEL APARTMENTS</v>
          </cell>
          <cell r="C707" t="str">
            <v>241A</v>
          </cell>
          <cell r="E707" t="str">
            <v>1-BR</v>
          </cell>
          <cell r="F707">
            <v>60.2</v>
          </cell>
          <cell r="Q707" t="str">
            <v>AVAILABLE</v>
          </cell>
          <cell r="S707">
            <v>1040000</v>
          </cell>
          <cell r="T707">
            <v>410000</v>
          </cell>
          <cell r="V707">
            <v>35000</v>
          </cell>
          <cell r="W707">
            <v>375000</v>
          </cell>
          <cell r="AB707">
            <v>47118</v>
          </cell>
          <cell r="AC707" t="str">
            <v>João Gameiro</v>
          </cell>
          <cell r="AJ707" t="str">
            <v>Aroeira Collections</v>
          </cell>
        </row>
        <row r="708">
          <cell r="A708" t="str">
            <v>Aroeira - HOTEL APARTMENTS</v>
          </cell>
          <cell r="C708" t="str">
            <v>242A</v>
          </cell>
          <cell r="E708" t="str">
            <v>1-BR</v>
          </cell>
          <cell r="F708">
            <v>60.2</v>
          </cell>
          <cell r="Q708" t="str">
            <v>AVAILABLE</v>
          </cell>
          <cell r="S708">
            <v>750000</v>
          </cell>
          <cell r="T708">
            <v>410000</v>
          </cell>
          <cell r="V708">
            <v>35000</v>
          </cell>
          <cell r="W708">
            <v>375000</v>
          </cell>
          <cell r="AB708">
            <v>47118</v>
          </cell>
          <cell r="AC708" t="str">
            <v>João Gameiro</v>
          </cell>
          <cell r="AJ708" t="str">
            <v>Aroeira Collections</v>
          </cell>
        </row>
        <row r="709">
          <cell r="A709" t="str">
            <v>Aroeira - HOTEL APARTMENTS</v>
          </cell>
          <cell r="C709" t="str">
            <v>243A</v>
          </cell>
          <cell r="E709" t="str">
            <v>1-BR</v>
          </cell>
          <cell r="F709">
            <v>56.5</v>
          </cell>
          <cell r="Q709" t="str">
            <v>AVAILABLE</v>
          </cell>
          <cell r="S709">
            <v>750000</v>
          </cell>
          <cell r="T709">
            <v>390000</v>
          </cell>
          <cell r="V709">
            <v>35000</v>
          </cell>
          <cell r="W709">
            <v>355000</v>
          </cell>
          <cell r="AB709">
            <v>47118</v>
          </cell>
          <cell r="AC709" t="str">
            <v>João Gameiro</v>
          </cell>
          <cell r="AJ709" t="str">
            <v>Aroeira Collections</v>
          </cell>
        </row>
        <row r="710">
          <cell r="A710" t="str">
            <v>Aroeira - HOTEL APARTMENTS</v>
          </cell>
          <cell r="C710" t="str">
            <v>244A</v>
          </cell>
          <cell r="E710" t="str">
            <v>1-BR</v>
          </cell>
          <cell r="F710">
            <v>56.5</v>
          </cell>
          <cell r="Q710" t="str">
            <v>AVAILABLE</v>
          </cell>
          <cell r="S710">
            <v>900000</v>
          </cell>
          <cell r="T710">
            <v>390000</v>
          </cell>
          <cell r="V710">
            <v>35000</v>
          </cell>
          <cell r="W710">
            <v>355000</v>
          </cell>
          <cell r="AB710">
            <v>47118</v>
          </cell>
          <cell r="AC710" t="str">
            <v>João Gameiro</v>
          </cell>
          <cell r="AJ710" t="str">
            <v>Aroeira Collections</v>
          </cell>
        </row>
        <row r="711">
          <cell r="A711" t="str">
            <v>Aroeira - HOTEL APARTMENTS</v>
          </cell>
          <cell r="C711" t="str">
            <v>245A</v>
          </cell>
          <cell r="E711" t="str">
            <v>1-BR</v>
          </cell>
          <cell r="F711">
            <v>56.5</v>
          </cell>
          <cell r="Q711" t="str">
            <v>AVAILABLE</v>
          </cell>
          <cell r="S711">
            <v>1000000</v>
          </cell>
          <cell r="T711">
            <v>390000</v>
          </cell>
          <cell r="V711">
            <v>35000</v>
          </cell>
          <cell r="W711">
            <v>355000</v>
          </cell>
          <cell r="AB711">
            <v>47118</v>
          </cell>
          <cell r="AC711" t="str">
            <v>João Gameiro</v>
          </cell>
          <cell r="AJ711" t="str">
            <v>Aroeira Collections</v>
          </cell>
        </row>
        <row r="712">
          <cell r="A712" t="str">
            <v>Rivus</v>
          </cell>
          <cell r="C712" t="str">
            <v>AG</v>
          </cell>
          <cell r="E712" t="str">
            <v>T2</v>
          </cell>
          <cell r="Q712" t="str">
            <v>AVAILABLE</v>
          </cell>
          <cell r="S712">
            <v>860000</v>
          </cell>
          <cell r="T712">
            <v>860000</v>
          </cell>
          <cell r="W712">
            <v>860000</v>
          </cell>
          <cell r="Y712">
            <v>840000</v>
          </cell>
          <cell r="AC712" t="str">
            <v>Ana Damásio</v>
          </cell>
          <cell r="AJ712" t="str">
            <v>Rivus</v>
          </cell>
        </row>
        <row r="713">
          <cell r="A713" t="str">
            <v>SPRINGS</v>
          </cell>
          <cell r="C713" t="str">
            <v>AG</v>
          </cell>
          <cell r="E713" t="str">
            <v>V2 Duplex</v>
          </cell>
          <cell r="F713">
            <v>282.98</v>
          </cell>
          <cell r="Q713" t="str">
            <v>AVAILABLE</v>
          </cell>
          <cell r="S713">
            <v>1458850</v>
          </cell>
          <cell r="T713">
            <v>1530000</v>
          </cell>
          <cell r="U713">
            <v>24600</v>
          </cell>
          <cell r="V713">
            <v>46550</v>
          </cell>
          <cell r="W713">
            <v>1458850</v>
          </cell>
          <cell r="Y713">
            <v>1530000</v>
          </cell>
          <cell r="AC713" t="str">
            <v>Ana Damásio</v>
          </cell>
          <cell r="AJ713" t="str">
            <v>Springs - At the Els</v>
          </cell>
        </row>
        <row r="714">
          <cell r="A714" t="str">
            <v>Palmares - Signature Apartments</v>
          </cell>
          <cell r="C714" t="str">
            <v>817B</v>
          </cell>
          <cell r="E714" t="str">
            <v>T1</v>
          </cell>
          <cell r="F714">
            <v>96.95</v>
          </cell>
          <cell r="Q714" t="str">
            <v>AVAILABLE</v>
          </cell>
          <cell r="S714">
            <v>660000</v>
          </cell>
          <cell r="T714">
            <v>690000</v>
          </cell>
          <cell r="W714">
            <v>690000</v>
          </cell>
          <cell r="Y714">
            <v>690000</v>
          </cell>
          <cell r="AB714">
            <v>46843</v>
          </cell>
          <cell r="AJ714" t="str">
            <v>Palmares</v>
          </cell>
        </row>
        <row r="715">
          <cell r="A715" t="str">
            <v>Aroeira - HOTEL APARTMENTS</v>
          </cell>
          <cell r="C715" t="str">
            <v>246A</v>
          </cell>
          <cell r="E715" t="str">
            <v>1-BR</v>
          </cell>
          <cell r="F715">
            <v>56.5</v>
          </cell>
          <cell r="Q715" t="str">
            <v>AVAILABLE</v>
          </cell>
          <cell r="S715">
            <v>860000</v>
          </cell>
          <cell r="T715">
            <v>390000</v>
          </cell>
          <cell r="V715">
            <v>35000</v>
          </cell>
          <cell r="W715">
            <v>355000</v>
          </cell>
          <cell r="AB715">
            <v>47118</v>
          </cell>
          <cell r="AC715" t="str">
            <v>João Gameiro</v>
          </cell>
          <cell r="AJ715" t="str">
            <v>Aroeira Collections</v>
          </cell>
        </row>
        <row r="716">
          <cell r="A716" t="str">
            <v>Aroeira - VILLAS</v>
          </cell>
          <cell r="C716" t="str">
            <v>24C</v>
          </cell>
          <cell r="E716" t="str">
            <v>T3</v>
          </cell>
          <cell r="F716">
            <v>287</v>
          </cell>
          <cell r="Q716" t="str">
            <v>AVAILABLE</v>
          </cell>
          <cell r="S716">
            <v>1600000</v>
          </cell>
          <cell r="T716">
            <v>1600000</v>
          </cell>
          <cell r="V716">
            <v>60000</v>
          </cell>
          <cell r="W716">
            <v>1540000</v>
          </cell>
          <cell r="AB716">
            <v>47118</v>
          </cell>
          <cell r="AC716" t="str">
            <v>João Gameiro</v>
          </cell>
          <cell r="AJ716" t="str">
            <v>Aroeira Collections</v>
          </cell>
        </row>
        <row r="717">
          <cell r="A717" t="str">
            <v>Aroeira - VILLAS</v>
          </cell>
          <cell r="C717" t="str">
            <v>25C</v>
          </cell>
          <cell r="E717" t="str">
            <v>T2+1</v>
          </cell>
          <cell r="F717">
            <v>297.60000000000002</v>
          </cell>
          <cell r="Q717" t="str">
            <v>AVAILABLE</v>
          </cell>
          <cell r="S717">
            <v>1620000</v>
          </cell>
          <cell r="T717">
            <v>1620000</v>
          </cell>
          <cell r="V717">
            <v>60000</v>
          </cell>
          <cell r="W717">
            <v>1560000</v>
          </cell>
          <cell r="AB717">
            <v>47118</v>
          </cell>
          <cell r="AC717" t="str">
            <v>João Gameiro</v>
          </cell>
          <cell r="AJ717" t="str">
            <v>Aroeira Collections</v>
          </cell>
        </row>
        <row r="718">
          <cell r="A718" t="str">
            <v>ZESTIA</v>
          </cell>
          <cell r="C718" t="str">
            <v>AG</v>
          </cell>
          <cell r="E718" t="str">
            <v>T2 LO</v>
          </cell>
          <cell r="F718">
            <v>121.16</v>
          </cell>
          <cell r="Q718" t="str">
            <v>AVAILABLE</v>
          </cell>
          <cell r="S718">
            <v>775028.48239999998</v>
          </cell>
          <cell r="T718">
            <v>840000</v>
          </cell>
          <cell r="U718">
            <v>24600</v>
          </cell>
          <cell r="V718">
            <v>40000</v>
          </cell>
          <cell r="W718">
            <v>775400</v>
          </cell>
          <cell r="Y718">
            <v>840000</v>
          </cell>
          <cell r="AC718" t="str">
            <v>Ana Damásio</v>
          </cell>
          <cell r="AJ718" t="str">
            <v>Zestia</v>
          </cell>
        </row>
        <row r="719">
          <cell r="A719" t="str">
            <v>BOTÂNICA</v>
          </cell>
          <cell r="C719" t="str">
            <v>AH</v>
          </cell>
          <cell r="E719" t="str">
            <v>T2</v>
          </cell>
          <cell r="F719">
            <v>151.37</v>
          </cell>
          <cell r="Q719" t="str">
            <v>AVAILABLE</v>
          </cell>
          <cell r="S719">
            <v>949917.34199999995</v>
          </cell>
          <cell r="T719">
            <v>950000</v>
          </cell>
          <cell r="W719">
            <v>950000</v>
          </cell>
          <cell r="Y719">
            <v>950000</v>
          </cell>
          <cell r="AC719" t="str">
            <v>Ana Damásio</v>
          </cell>
          <cell r="AJ719" t="str">
            <v>Botanica</v>
          </cell>
        </row>
        <row r="720">
          <cell r="A720" t="str">
            <v>NOBILUS</v>
          </cell>
          <cell r="C720" t="str">
            <v>AH</v>
          </cell>
          <cell r="E720" t="str">
            <v>T3</v>
          </cell>
          <cell r="F720">
            <v>154.74</v>
          </cell>
          <cell r="Q720" t="str">
            <v>AVAILABLE</v>
          </cell>
          <cell r="S720">
            <v>1005000</v>
          </cell>
          <cell r="T720">
            <v>1005000</v>
          </cell>
          <cell r="W720">
            <v>1005000</v>
          </cell>
          <cell r="Y720">
            <v>1005000</v>
          </cell>
          <cell r="AC720" t="str">
            <v>Ana Damásio</v>
          </cell>
          <cell r="AJ720" t="str">
            <v>Nobilus</v>
          </cell>
        </row>
        <row r="721">
          <cell r="A721" t="str">
            <v>SPRINGS</v>
          </cell>
          <cell r="C721" t="str">
            <v>AH</v>
          </cell>
          <cell r="E721" t="str">
            <v>V2 Duplex</v>
          </cell>
          <cell r="F721">
            <v>339.85</v>
          </cell>
          <cell r="Q721" t="str">
            <v>AVAILABLE</v>
          </cell>
          <cell r="S721">
            <v>1658850</v>
          </cell>
          <cell r="T721">
            <v>1730000</v>
          </cell>
          <cell r="U721">
            <v>24600</v>
          </cell>
          <cell r="V721">
            <v>46550</v>
          </cell>
          <cell r="W721">
            <v>1658850</v>
          </cell>
          <cell r="Y721">
            <v>1730000</v>
          </cell>
          <cell r="AC721" t="str">
            <v>Ana Damásio</v>
          </cell>
          <cell r="AJ721" t="str">
            <v>Springs - At the Els</v>
          </cell>
        </row>
        <row r="722">
          <cell r="A722" t="str">
            <v>Aroeira - VILLAS</v>
          </cell>
          <cell r="C722" t="str">
            <v>26C</v>
          </cell>
          <cell r="E722" t="str">
            <v>T2+1</v>
          </cell>
          <cell r="F722">
            <v>319.39999999999998</v>
          </cell>
          <cell r="Q722" t="str">
            <v>AVAILABLE</v>
          </cell>
          <cell r="S722">
            <v>1690000</v>
          </cell>
          <cell r="T722">
            <v>1690000</v>
          </cell>
          <cell r="V722">
            <v>60000</v>
          </cell>
          <cell r="W722">
            <v>1630000</v>
          </cell>
          <cell r="AB722">
            <v>47118</v>
          </cell>
          <cell r="AC722" t="str">
            <v>João Gameiro</v>
          </cell>
          <cell r="AJ722" t="str">
            <v>Aroeira Collections</v>
          </cell>
        </row>
        <row r="723">
          <cell r="A723" t="str">
            <v>Aroeira - VILLAS</v>
          </cell>
          <cell r="C723" t="str">
            <v>27C</v>
          </cell>
          <cell r="E723" t="str">
            <v>T2+1</v>
          </cell>
          <cell r="F723">
            <v>319.39999999999998</v>
          </cell>
          <cell r="Q723" t="str">
            <v>AVAILABLE</v>
          </cell>
          <cell r="S723">
            <v>1690000</v>
          </cell>
          <cell r="T723">
            <v>1690000</v>
          </cell>
          <cell r="V723">
            <v>60000</v>
          </cell>
          <cell r="W723">
            <v>1630000</v>
          </cell>
          <cell r="AB723">
            <v>47118</v>
          </cell>
          <cell r="AC723" t="str">
            <v>João Gameiro</v>
          </cell>
          <cell r="AJ723" t="str">
            <v>Aroeira Collections</v>
          </cell>
        </row>
        <row r="724">
          <cell r="A724" t="str">
            <v>Aroeira - VILLAS</v>
          </cell>
          <cell r="C724" t="str">
            <v>28C</v>
          </cell>
          <cell r="E724" t="str">
            <v>T2+1</v>
          </cell>
          <cell r="F724">
            <v>326.7</v>
          </cell>
          <cell r="Q724" t="str">
            <v>AVAILABLE</v>
          </cell>
          <cell r="S724">
            <v>1705000</v>
          </cell>
          <cell r="T724">
            <v>1705000</v>
          </cell>
          <cell r="V724">
            <v>60000</v>
          </cell>
          <cell r="W724">
            <v>1645000</v>
          </cell>
          <cell r="AB724">
            <v>47118</v>
          </cell>
          <cell r="AC724" t="str">
            <v>João Gameiro</v>
          </cell>
          <cell r="AJ724" t="str">
            <v>Aroeira Collections</v>
          </cell>
        </row>
        <row r="725">
          <cell r="A725" t="str">
            <v>ZESTIA</v>
          </cell>
          <cell r="C725" t="str">
            <v>AH</v>
          </cell>
          <cell r="E725" t="str">
            <v>T2 LO</v>
          </cell>
          <cell r="F725">
            <v>117.29</v>
          </cell>
          <cell r="Q725" t="str">
            <v>AVAILABLE</v>
          </cell>
          <cell r="S725">
            <v>765871.14520000003</v>
          </cell>
          <cell r="T725">
            <v>830000</v>
          </cell>
          <cell r="U725">
            <v>24600</v>
          </cell>
          <cell r="V725">
            <v>40000</v>
          </cell>
          <cell r="W725">
            <v>765400</v>
          </cell>
          <cell r="Y725">
            <v>830000</v>
          </cell>
          <cell r="AC725" t="str">
            <v>Ana Damásio</v>
          </cell>
          <cell r="AJ725" t="str">
            <v>Zestia</v>
          </cell>
        </row>
        <row r="726">
          <cell r="A726" t="str">
            <v>BOTÂNICA</v>
          </cell>
          <cell r="C726" t="str">
            <v>AI</v>
          </cell>
          <cell r="E726" t="str">
            <v>T2</v>
          </cell>
          <cell r="F726">
            <v>151.24</v>
          </cell>
          <cell r="Q726" t="str">
            <v>AVAILABLE</v>
          </cell>
          <cell r="S726">
            <v>949032.48</v>
          </cell>
          <cell r="T726">
            <v>950000</v>
          </cell>
          <cell r="W726">
            <v>950000</v>
          </cell>
          <cell r="Y726">
            <v>950000</v>
          </cell>
          <cell r="AC726" t="str">
            <v>Ana Damásio</v>
          </cell>
          <cell r="AJ726" t="str">
            <v>Botanica</v>
          </cell>
        </row>
        <row r="727">
          <cell r="A727" t="str">
            <v>NOBILUS</v>
          </cell>
          <cell r="C727" t="str">
            <v>AI</v>
          </cell>
          <cell r="E727" t="str">
            <v>T4</v>
          </cell>
          <cell r="F727">
            <v>191.33</v>
          </cell>
          <cell r="Q727" t="str">
            <v>AVAILABLE</v>
          </cell>
          <cell r="S727">
            <v>1540000</v>
          </cell>
          <cell r="T727">
            <v>1540000</v>
          </cell>
          <cell r="W727">
            <v>1540000</v>
          </cell>
          <cell r="Y727">
            <v>1540000</v>
          </cell>
          <cell r="AC727" t="str">
            <v>Ana Damásio</v>
          </cell>
          <cell r="AJ727" t="str">
            <v>Nobilus</v>
          </cell>
        </row>
        <row r="728">
          <cell r="A728" t="str">
            <v>SPRINGS</v>
          </cell>
          <cell r="C728" t="str">
            <v>AI</v>
          </cell>
          <cell r="E728" t="str">
            <v>V2 Duplex</v>
          </cell>
          <cell r="F728">
            <v>330.51</v>
          </cell>
          <cell r="Q728" t="str">
            <v>AVAILABLE</v>
          </cell>
          <cell r="S728">
            <v>1658850</v>
          </cell>
          <cell r="T728">
            <v>1730000</v>
          </cell>
          <cell r="U728">
            <v>24600</v>
          </cell>
          <cell r="V728">
            <v>46550</v>
          </cell>
          <cell r="W728">
            <v>1658850</v>
          </cell>
          <cell r="Y728">
            <v>1730000</v>
          </cell>
          <cell r="AC728" t="str">
            <v>Ana Damásio</v>
          </cell>
          <cell r="AJ728" t="str">
            <v>Springs - At the Els</v>
          </cell>
        </row>
        <row r="729">
          <cell r="A729" t="str">
            <v>Aroeira - HOTEL APARTMENTS</v>
          </cell>
          <cell r="C729" t="str">
            <v>302A</v>
          </cell>
          <cell r="E729" t="str">
            <v>1-BR</v>
          </cell>
          <cell r="F729">
            <v>65</v>
          </cell>
          <cell r="Q729" t="str">
            <v>AVAILABLE</v>
          </cell>
          <cell r="S729">
            <v>450000</v>
          </cell>
          <cell r="T729">
            <v>450000</v>
          </cell>
          <cell r="V729">
            <v>35000</v>
          </cell>
          <cell r="W729">
            <v>415000</v>
          </cell>
          <cell r="AB729">
            <v>47118</v>
          </cell>
          <cell r="AC729" t="str">
            <v>João Gameiro</v>
          </cell>
          <cell r="AJ729" t="str">
            <v>Aroeira Collections</v>
          </cell>
        </row>
        <row r="730">
          <cell r="A730" t="str">
            <v>ZESTIA</v>
          </cell>
          <cell r="C730" t="str">
            <v>AI</v>
          </cell>
          <cell r="E730" t="str">
            <v>T1</v>
          </cell>
          <cell r="F730">
            <v>96.42</v>
          </cell>
          <cell r="Q730" t="str">
            <v>AVAILABLE</v>
          </cell>
          <cell r="S730">
            <v>635148.89060000004</v>
          </cell>
          <cell r="T730">
            <v>690000</v>
          </cell>
          <cell r="U730">
            <v>24600</v>
          </cell>
          <cell r="V730">
            <v>30000</v>
          </cell>
          <cell r="W730">
            <v>635400</v>
          </cell>
          <cell r="Y730">
            <v>690000</v>
          </cell>
          <cell r="AC730" t="str">
            <v>Ana Damásio</v>
          </cell>
          <cell r="AJ730" t="str">
            <v>Zestia</v>
          </cell>
        </row>
        <row r="731">
          <cell r="A731" t="str">
            <v>BOTÂNICA</v>
          </cell>
          <cell r="C731" t="str">
            <v>AJ</v>
          </cell>
          <cell r="E731" t="str">
            <v>T2</v>
          </cell>
          <cell r="F731">
            <v>151.25</v>
          </cell>
          <cell r="Q731" t="str">
            <v>AVAILABLE</v>
          </cell>
          <cell r="S731">
            <v>949054.06200000003</v>
          </cell>
          <cell r="T731">
            <v>995000</v>
          </cell>
          <cell r="W731">
            <v>995000</v>
          </cell>
          <cell r="Y731">
            <v>978500</v>
          </cell>
          <cell r="AC731" t="str">
            <v>Ana Damásio</v>
          </cell>
          <cell r="AJ731" t="str">
            <v>Botanica</v>
          </cell>
        </row>
        <row r="732">
          <cell r="A732" t="str">
            <v>Palmares - Plots</v>
          </cell>
          <cell r="C732" t="str">
            <v>15</v>
          </cell>
          <cell r="E732" t="str">
            <v>Plot</v>
          </cell>
          <cell r="F732">
            <v>2537</v>
          </cell>
          <cell r="Q732" t="str">
            <v>AVAILABLE</v>
          </cell>
          <cell r="S732">
            <v>760000</v>
          </cell>
          <cell r="T732">
            <v>1100000</v>
          </cell>
          <cell r="W732">
            <v>1100000</v>
          </cell>
          <cell r="Y732">
            <v>1100000</v>
          </cell>
          <cell r="AB732">
            <v>46843</v>
          </cell>
          <cell r="AC732" t="str">
            <v>Sandra Viegas</v>
          </cell>
          <cell r="AJ732" t="str">
            <v>Palmares</v>
          </cell>
        </row>
        <row r="733">
          <cell r="A733" t="str">
            <v>Palmares - Plots</v>
          </cell>
          <cell r="C733" t="str">
            <v>10</v>
          </cell>
          <cell r="E733" t="str">
            <v>Plot</v>
          </cell>
          <cell r="F733">
            <v>2605</v>
          </cell>
          <cell r="Q733" t="str">
            <v>AVAILABLE</v>
          </cell>
          <cell r="S733">
            <v>790000</v>
          </cell>
          <cell r="T733">
            <v>1950000</v>
          </cell>
          <cell r="W733">
            <v>1950000</v>
          </cell>
          <cell r="Y733">
            <v>1950000</v>
          </cell>
          <cell r="AB733">
            <v>46843</v>
          </cell>
          <cell r="AC733" t="str">
            <v>Sandra Viegas</v>
          </cell>
          <cell r="AJ733" t="str">
            <v>Palmares</v>
          </cell>
        </row>
        <row r="734">
          <cell r="A734" t="str">
            <v>NOBILUS</v>
          </cell>
          <cell r="C734" t="str">
            <v>AJ</v>
          </cell>
          <cell r="E734" t="str">
            <v>T4</v>
          </cell>
          <cell r="F734">
            <v>191.33</v>
          </cell>
          <cell r="Q734" t="str">
            <v>AVAILABLE</v>
          </cell>
          <cell r="S734">
            <v>1530000</v>
          </cell>
          <cell r="T734">
            <v>1530000</v>
          </cell>
          <cell r="W734">
            <v>1530000</v>
          </cell>
          <cell r="Y734">
            <v>1530000</v>
          </cell>
          <cell r="AC734" t="str">
            <v>Ana Damásio</v>
          </cell>
          <cell r="AJ734" t="str">
            <v>Nobilus</v>
          </cell>
        </row>
        <row r="735">
          <cell r="A735" t="str">
            <v>SPRINGS</v>
          </cell>
          <cell r="C735" t="str">
            <v>AJ</v>
          </cell>
          <cell r="E735" t="str">
            <v>V2 Duplex</v>
          </cell>
          <cell r="F735">
            <v>330.51</v>
          </cell>
          <cell r="Q735" t="str">
            <v>AVAILABLE</v>
          </cell>
          <cell r="S735">
            <v>1708850</v>
          </cell>
          <cell r="T735">
            <v>1780000</v>
          </cell>
          <cell r="U735">
            <v>24600</v>
          </cell>
          <cell r="V735">
            <v>46550</v>
          </cell>
          <cell r="W735">
            <v>1708850</v>
          </cell>
          <cell r="Y735">
            <v>1780000</v>
          </cell>
          <cell r="AC735" t="str">
            <v>Ana Damásio</v>
          </cell>
          <cell r="AJ735" t="str">
            <v>Springs - At the Els</v>
          </cell>
        </row>
        <row r="736">
          <cell r="A736" t="str">
            <v>VP - TOWNHOUSES</v>
          </cell>
          <cell r="C736" t="str">
            <v>1B</v>
          </cell>
          <cell r="E736" t="str">
            <v>V3</v>
          </cell>
          <cell r="F736">
            <v>324.74</v>
          </cell>
          <cell r="Q736" t="str">
            <v>AVAILABLE</v>
          </cell>
          <cell r="S736">
            <v>800000</v>
          </cell>
          <cell r="T736">
            <v>820000</v>
          </cell>
          <cell r="W736">
            <v>820000</v>
          </cell>
          <cell r="AB736">
            <v>47208</v>
          </cell>
          <cell r="AC736" t="str">
            <v>João Gameiro</v>
          </cell>
          <cell r="AJ736" t="str">
            <v>Vale Pisão Grand Park</v>
          </cell>
        </row>
        <row r="737">
          <cell r="A737" t="str">
            <v>ZESTIA</v>
          </cell>
          <cell r="C737" t="str">
            <v>AJ</v>
          </cell>
          <cell r="E737" t="str">
            <v>T2</v>
          </cell>
          <cell r="F737">
            <v>119.05</v>
          </cell>
          <cell r="Q737" t="str">
            <v>AVAILABLE</v>
          </cell>
          <cell r="S737">
            <v>776400.14639999997</v>
          </cell>
          <cell r="T737">
            <v>850000</v>
          </cell>
          <cell r="U737">
            <v>24600</v>
          </cell>
          <cell r="V737">
            <v>40000</v>
          </cell>
          <cell r="W737">
            <v>785400</v>
          </cell>
          <cell r="Y737">
            <v>850000</v>
          </cell>
          <cell r="AC737" t="str">
            <v>Ana Damásio</v>
          </cell>
          <cell r="AJ737" t="str">
            <v>Zestia</v>
          </cell>
        </row>
        <row r="738">
          <cell r="A738" t="str">
            <v>SPRINGS</v>
          </cell>
          <cell r="C738" t="str">
            <v>AK</v>
          </cell>
          <cell r="E738" t="str">
            <v>V3 Duplex</v>
          </cell>
          <cell r="F738">
            <v>469.43</v>
          </cell>
          <cell r="Q738" t="str">
            <v>AVAILABLE</v>
          </cell>
          <cell r="S738">
            <v>1924100</v>
          </cell>
          <cell r="T738">
            <v>2010000</v>
          </cell>
          <cell r="U738">
            <v>24600</v>
          </cell>
          <cell r="V738">
            <v>61300</v>
          </cell>
          <cell r="W738">
            <v>1924100</v>
          </cell>
          <cell r="Y738">
            <v>2010000</v>
          </cell>
          <cell r="AC738" t="str">
            <v>Ana Damásio</v>
          </cell>
          <cell r="AJ738" t="str">
            <v>Springs - At the Els</v>
          </cell>
        </row>
        <row r="739">
          <cell r="A739" t="str">
            <v>ZESTIA</v>
          </cell>
          <cell r="C739" t="str">
            <v>AK</v>
          </cell>
          <cell r="E739" t="str">
            <v>T2 LO</v>
          </cell>
          <cell r="F739">
            <v>127.12</v>
          </cell>
          <cell r="Q739" t="str">
            <v>AVAILABLE</v>
          </cell>
          <cell r="S739">
            <v>789074.77760000003</v>
          </cell>
          <cell r="T739">
            <v>860000</v>
          </cell>
          <cell r="U739">
            <v>24600</v>
          </cell>
          <cell r="V739">
            <v>40000</v>
          </cell>
          <cell r="W739">
            <v>795400</v>
          </cell>
          <cell r="Y739">
            <v>860000</v>
          </cell>
          <cell r="AC739" t="str">
            <v>Ana Damásio</v>
          </cell>
          <cell r="AJ739" t="str">
            <v>Zestia</v>
          </cell>
        </row>
        <row r="740">
          <cell r="A740" t="str">
            <v>BOTÂNICA</v>
          </cell>
          <cell r="C740" t="str">
            <v>AL</v>
          </cell>
          <cell r="E740" t="str">
            <v>T3</v>
          </cell>
          <cell r="F740">
            <v>224.06</v>
          </cell>
          <cell r="Q740" t="str">
            <v>AVAILABLE</v>
          </cell>
          <cell r="S740">
            <v>1562843.1</v>
          </cell>
          <cell r="T740">
            <v>1575000</v>
          </cell>
          <cell r="W740">
            <v>1575000</v>
          </cell>
          <cell r="Y740">
            <v>1570000</v>
          </cell>
          <cell r="AC740" t="str">
            <v>Ana Damásio</v>
          </cell>
          <cell r="AJ740" t="str">
            <v>Botanica</v>
          </cell>
        </row>
        <row r="741">
          <cell r="A741" t="str">
            <v>Palmares - Plots</v>
          </cell>
          <cell r="C741" t="str">
            <v>14</v>
          </cell>
          <cell r="E741" t="str">
            <v>Plot</v>
          </cell>
          <cell r="F741">
            <v>2899</v>
          </cell>
          <cell r="Q741" t="str">
            <v>AVAILABLE</v>
          </cell>
          <cell r="S741">
            <v>790000</v>
          </cell>
          <cell r="T741">
            <v>1100000</v>
          </cell>
          <cell r="W741">
            <v>1100000</v>
          </cell>
          <cell r="Y741">
            <v>1100000</v>
          </cell>
          <cell r="AB741">
            <v>46843</v>
          </cell>
          <cell r="AC741" t="str">
            <v>Sandra Viegas</v>
          </cell>
          <cell r="AJ741" t="str">
            <v>Palmares</v>
          </cell>
        </row>
        <row r="742">
          <cell r="A742" t="str">
            <v>Palmares - Plots</v>
          </cell>
          <cell r="C742" t="str">
            <v>24</v>
          </cell>
          <cell r="E742" t="str">
            <v>Plot</v>
          </cell>
          <cell r="F742">
            <v>3322</v>
          </cell>
          <cell r="Q742" t="str">
            <v>AVAILABLE</v>
          </cell>
          <cell r="S742">
            <v>810000</v>
          </cell>
          <cell r="T742">
            <v>1700000</v>
          </cell>
          <cell r="W742">
            <v>1700000</v>
          </cell>
          <cell r="Y742">
            <v>1700000</v>
          </cell>
          <cell r="AB742">
            <v>46843</v>
          </cell>
          <cell r="AC742" t="str">
            <v>Sandra Viegas</v>
          </cell>
          <cell r="AJ742" t="str">
            <v>Palmares</v>
          </cell>
        </row>
        <row r="743">
          <cell r="A743" t="str">
            <v>Rivus</v>
          </cell>
          <cell r="C743" t="str">
            <v>AL</v>
          </cell>
          <cell r="E743" t="str">
            <v>T4</v>
          </cell>
          <cell r="Q743" t="str">
            <v>AVAILABLE</v>
          </cell>
          <cell r="S743">
            <v>1760000</v>
          </cell>
          <cell r="T743">
            <v>1760000</v>
          </cell>
          <cell r="W743">
            <v>1760000</v>
          </cell>
          <cell r="Y743">
            <v>1710000</v>
          </cell>
          <cell r="AC743" t="str">
            <v>Ana Damásio</v>
          </cell>
          <cell r="AJ743" t="str">
            <v>Rivus</v>
          </cell>
        </row>
        <row r="744">
          <cell r="A744" t="str">
            <v>SPRINGS</v>
          </cell>
          <cell r="C744" t="str">
            <v>AL</v>
          </cell>
          <cell r="E744" t="str">
            <v>V3 Duplex</v>
          </cell>
          <cell r="F744">
            <v>508.42</v>
          </cell>
          <cell r="Q744" t="str">
            <v>AVAILABLE</v>
          </cell>
          <cell r="S744">
            <v>1944100</v>
          </cell>
          <cell r="T744">
            <v>2030000</v>
          </cell>
          <cell r="U744">
            <v>24600</v>
          </cell>
          <cell r="V744">
            <v>61300</v>
          </cell>
          <cell r="W744">
            <v>1944100</v>
          </cell>
          <cell r="Y744">
            <v>2030000</v>
          </cell>
          <cell r="AC744" t="str">
            <v>Ana Damásio</v>
          </cell>
          <cell r="AJ744" t="str">
            <v>Springs - At the Els</v>
          </cell>
        </row>
        <row r="745">
          <cell r="A745" t="str">
            <v>Palmares - Plots</v>
          </cell>
          <cell r="C745" t="str">
            <v>25</v>
          </cell>
          <cell r="E745" t="str">
            <v>Plot</v>
          </cell>
          <cell r="F745">
            <v>3311</v>
          </cell>
          <cell r="Q745" t="str">
            <v>AVAILABLE</v>
          </cell>
          <cell r="S745">
            <v>810000</v>
          </cell>
          <cell r="T745">
            <v>1650000</v>
          </cell>
          <cell r="W745">
            <v>1650000</v>
          </cell>
          <cell r="Y745">
            <v>1650000</v>
          </cell>
          <cell r="AB745">
            <v>46843</v>
          </cell>
          <cell r="AC745" t="str">
            <v>Sandra Viegas</v>
          </cell>
          <cell r="AJ745" t="str">
            <v>Palmares</v>
          </cell>
        </row>
        <row r="746">
          <cell r="A746" t="str">
            <v>VP - TOWNHOUSES</v>
          </cell>
          <cell r="C746" t="str">
            <v>4A</v>
          </cell>
          <cell r="E746" t="str">
            <v>V3</v>
          </cell>
          <cell r="F746">
            <v>209.64</v>
          </cell>
          <cell r="Q746" t="str">
            <v>AVAILABLE</v>
          </cell>
          <cell r="S746">
            <v>820000</v>
          </cell>
          <cell r="T746">
            <v>870000</v>
          </cell>
          <cell r="W746">
            <v>870000</v>
          </cell>
          <cell r="AB746">
            <v>47208</v>
          </cell>
          <cell r="AC746" t="str">
            <v>João Gameiro</v>
          </cell>
          <cell r="AJ746" t="str">
            <v>Vale Pisão Grand Park</v>
          </cell>
        </row>
        <row r="747">
          <cell r="A747" t="str">
            <v>VP - TOWNHOUSES</v>
          </cell>
          <cell r="C747" t="str">
            <v>1A</v>
          </cell>
          <cell r="E747" t="str">
            <v>V3</v>
          </cell>
          <cell r="F747">
            <v>213.28</v>
          </cell>
          <cell r="Q747" t="str">
            <v>UPON  REQUEST</v>
          </cell>
          <cell r="S747">
            <v>820000</v>
          </cell>
          <cell r="T747">
            <v>840000</v>
          </cell>
          <cell r="W747">
            <v>840000</v>
          </cell>
          <cell r="AB747">
            <v>47208</v>
          </cell>
          <cell r="AC747" t="str">
            <v>João Gameiro</v>
          </cell>
          <cell r="AJ747" t="str">
            <v>Vale Pisão Grand Park</v>
          </cell>
        </row>
        <row r="748">
          <cell r="A748" t="str">
            <v>VP - TOWNHOUSES</v>
          </cell>
          <cell r="C748" t="str">
            <v>3A</v>
          </cell>
          <cell r="E748" t="str">
            <v>V3</v>
          </cell>
          <cell r="F748">
            <v>205.98</v>
          </cell>
          <cell r="Q748" t="str">
            <v>UPON  REQUEST</v>
          </cell>
          <cell r="S748">
            <v>820000</v>
          </cell>
          <cell r="T748">
            <v>840000</v>
          </cell>
          <cell r="W748">
            <v>840000</v>
          </cell>
          <cell r="AB748">
            <v>47208</v>
          </cell>
          <cell r="AC748" t="str">
            <v>João Gameiro</v>
          </cell>
          <cell r="AJ748" t="str">
            <v>Vale Pisão Grand Park</v>
          </cell>
        </row>
        <row r="749">
          <cell r="A749" t="str">
            <v>VP - TOWNHOUSES</v>
          </cell>
          <cell r="C749" t="str">
            <v>12A</v>
          </cell>
          <cell r="E749" t="str">
            <v>V3</v>
          </cell>
          <cell r="F749">
            <v>293.75</v>
          </cell>
          <cell r="Q749" t="str">
            <v>UPON  REQUEST</v>
          </cell>
          <cell r="S749">
            <v>820000</v>
          </cell>
          <cell r="T749">
            <v>860000</v>
          </cell>
          <cell r="W749">
            <v>860000</v>
          </cell>
          <cell r="AB749">
            <v>47208</v>
          </cell>
          <cell r="AC749" t="str">
            <v>João Gameiro</v>
          </cell>
          <cell r="AJ749" t="str">
            <v>Vale Pisão Grand Park</v>
          </cell>
        </row>
        <row r="750">
          <cell r="A750" t="str">
            <v>Aroeira - HOTEL APARTMENTS</v>
          </cell>
          <cell r="C750" t="str">
            <v>303A</v>
          </cell>
          <cell r="E750" t="str">
            <v>1-BR</v>
          </cell>
          <cell r="F750">
            <v>65</v>
          </cell>
          <cell r="Q750" t="str">
            <v>AVAILABLE</v>
          </cell>
          <cell r="S750">
            <v>450000</v>
          </cell>
          <cell r="T750">
            <v>450000</v>
          </cell>
          <cell r="V750">
            <v>35000</v>
          </cell>
          <cell r="W750">
            <v>415000</v>
          </cell>
          <cell r="AB750">
            <v>47118</v>
          </cell>
          <cell r="AC750" t="str">
            <v>João Gameiro</v>
          </cell>
          <cell r="AJ750" t="str">
            <v>Aroeira Collections</v>
          </cell>
        </row>
        <row r="751">
          <cell r="A751" t="str">
            <v>Palmares - Plots</v>
          </cell>
          <cell r="C751" t="str">
            <v>11</v>
          </cell>
          <cell r="E751" t="str">
            <v>Plot</v>
          </cell>
          <cell r="F751">
            <v>2821</v>
          </cell>
          <cell r="Q751" t="str">
            <v>AVAILABLE</v>
          </cell>
          <cell r="S751">
            <v>820000</v>
          </cell>
          <cell r="T751">
            <v>1950000</v>
          </cell>
          <cell r="W751">
            <v>1950000</v>
          </cell>
          <cell r="Y751">
            <v>1950000</v>
          </cell>
          <cell r="AB751">
            <v>46843</v>
          </cell>
          <cell r="AC751" t="str">
            <v>Sandra Viegas</v>
          </cell>
          <cell r="AJ751" t="str">
            <v>Palmares</v>
          </cell>
        </row>
        <row r="752">
          <cell r="A752" t="str">
            <v>ZESTIA</v>
          </cell>
          <cell r="C752" t="str">
            <v>AL</v>
          </cell>
          <cell r="E752" t="str">
            <v>T2 LO</v>
          </cell>
          <cell r="F752">
            <v>116.75</v>
          </cell>
          <cell r="Q752" t="str">
            <v>AVAILABLE</v>
          </cell>
          <cell r="S752">
            <v>767735.98959999997</v>
          </cell>
          <cell r="T752">
            <v>850000</v>
          </cell>
          <cell r="U752">
            <v>24600</v>
          </cell>
          <cell r="V752">
            <v>40000</v>
          </cell>
          <cell r="W752">
            <v>785400</v>
          </cell>
          <cell r="Y752">
            <v>850000</v>
          </cell>
          <cell r="AC752" t="str">
            <v>Ana Damásio</v>
          </cell>
          <cell r="AJ752" t="str">
            <v>Zestia</v>
          </cell>
        </row>
        <row r="753">
          <cell r="A753" t="str">
            <v>NOBILUS</v>
          </cell>
          <cell r="C753" t="str">
            <v>AM</v>
          </cell>
          <cell r="E753" t="str">
            <v>T2</v>
          </cell>
          <cell r="F753">
            <v>111.44</v>
          </cell>
          <cell r="Q753" t="str">
            <v>AVAILABLE</v>
          </cell>
          <cell r="S753">
            <v>720000</v>
          </cell>
          <cell r="T753">
            <v>720000</v>
          </cell>
          <cell r="W753">
            <v>720000</v>
          </cell>
          <cell r="Y753">
            <v>720000</v>
          </cell>
          <cell r="AC753" t="str">
            <v>Ana Damásio</v>
          </cell>
          <cell r="AJ753" t="str">
            <v>Nobilus</v>
          </cell>
        </row>
        <row r="754">
          <cell r="A754" t="str">
            <v>Rivus</v>
          </cell>
          <cell r="C754" t="str">
            <v>AM</v>
          </cell>
          <cell r="E754" t="str">
            <v>T4</v>
          </cell>
          <cell r="Q754" t="str">
            <v>AVAILABLE</v>
          </cell>
          <cell r="S754">
            <v>1870000</v>
          </cell>
          <cell r="T754">
            <v>1870000</v>
          </cell>
          <cell r="W754">
            <v>1870000</v>
          </cell>
          <cell r="Y754">
            <v>1820000</v>
          </cell>
          <cell r="AC754" t="str">
            <v>Ana Damásio</v>
          </cell>
          <cell r="AJ754" t="str">
            <v>Rivus</v>
          </cell>
        </row>
        <row r="755">
          <cell r="A755" t="str">
            <v>SPRINGS</v>
          </cell>
          <cell r="C755" t="str">
            <v>AM</v>
          </cell>
          <cell r="E755" t="str">
            <v>V3 Duplex</v>
          </cell>
          <cell r="F755">
            <v>459.56</v>
          </cell>
          <cell r="Q755" t="str">
            <v>AVAILABLE</v>
          </cell>
          <cell r="S755">
            <v>2144100</v>
          </cell>
          <cell r="T755">
            <v>2230000</v>
          </cell>
          <cell r="U755">
            <v>24600</v>
          </cell>
          <cell r="V755">
            <v>61300</v>
          </cell>
          <cell r="W755">
            <v>2144100</v>
          </cell>
          <cell r="Y755">
            <v>2230000</v>
          </cell>
          <cell r="AC755" t="str">
            <v>Ana Damásio</v>
          </cell>
          <cell r="AJ755" t="str">
            <v>Springs - At the Els</v>
          </cell>
        </row>
        <row r="756">
          <cell r="A756" t="str">
            <v>VP - TOWNHOUSES</v>
          </cell>
          <cell r="C756" t="str">
            <v>5A</v>
          </cell>
          <cell r="E756" t="str">
            <v>V3</v>
          </cell>
          <cell r="F756">
            <v>219.42</v>
          </cell>
          <cell r="Q756" t="str">
            <v>AVAILABLE</v>
          </cell>
          <cell r="S756">
            <v>830000</v>
          </cell>
          <cell r="T756">
            <v>890000</v>
          </cell>
          <cell r="W756">
            <v>890000</v>
          </cell>
          <cell r="AB756">
            <v>47208</v>
          </cell>
          <cell r="AC756" t="str">
            <v>João Gameiro</v>
          </cell>
          <cell r="AJ756" t="str">
            <v>Vale Pisão Grand Park</v>
          </cell>
        </row>
        <row r="757">
          <cell r="A757" t="str">
            <v>VP - TOWNHOUSES</v>
          </cell>
          <cell r="C757" t="str">
            <v>11A</v>
          </cell>
          <cell r="E757" t="str">
            <v>V3</v>
          </cell>
          <cell r="F757">
            <v>284.88</v>
          </cell>
          <cell r="Q757" t="str">
            <v>AVAILABLE</v>
          </cell>
          <cell r="S757">
            <v>830000</v>
          </cell>
          <cell r="T757">
            <v>850000</v>
          </cell>
          <cell r="W757">
            <v>850000</v>
          </cell>
          <cell r="AB757">
            <v>47208</v>
          </cell>
          <cell r="AC757" t="str">
            <v>João Gameiro</v>
          </cell>
          <cell r="AJ757" t="str">
            <v>Vale Pisão Grand Park</v>
          </cell>
        </row>
        <row r="758">
          <cell r="A758" t="str">
            <v>VP - TOWNHOUSES</v>
          </cell>
          <cell r="C758" t="str">
            <v>2B</v>
          </cell>
          <cell r="E758" t="str">
            <v>V3</v>
          </cell>
          <cell r="F758">
            <v>318.91000000000003</v>
          </cell>
          <cell r="Q758" t="str">
            <v>AVAILABLE</v>
          </cell>
          <cell r="S758">
            <v>830000</v>
          </cell>
          <cell r="T758">
            <v>850000</v>
          </cell>
          <cell r="W758">
            <v>850000</v>
          </cell>
          <cell r="AB758">
            <v>47208</v>
          </cell>
          <cell r="AC758" t="str">
            <v>João Gameiro</v>
          </cell>
          <cell r="AJ758" t="str">
            <v>Vale Pisão Grand Park</v>
          </cell>
        </row>
        <row r="759">
          <cell r="A759" t="str">
            <v>VP - TOWNHOUSES</v>
          </cell>
          <cell r="C759" t="str">
            <v>6A</v>
          </cell>
          <cell r="E759" t="str">
            <v>V3</v>
          </cell>
          <cell r="F759">
            <v>233.12</v>
          </cell>
          <cell r="Q759" t="str">
            <v>UPON  REQUEST</v>
          </cell>
          <cell r="S759">
            <v>830000</v>
          </cell>
          <cell r="T759">
            <v>850000</v>
          </cell>
          <cell r="W759">
            <v>850000</v>
          </cell>
          <cell r="AB759">
            <v>47208</v>
          </cell>
          <cell r="AC759" t="str">
            <v>João Gameiro</v>
          </cell>
          <cell r="AJ759" t="str">
            <v>Vale Pisão Grand Park</v>
          </cell>
        </row>
        <row r="760">
          <cell r="A760" t="str">
            <v>ZESTIA</v>
          </cell>
          <cell r="C760" t="str">
            <v>AM</v>
          </cell>
          <cell r="E760" t="str">
            <v>T2 LO</v>
          </cell>
          <cell r="F760">
            <v>116.89</v>
          </cell>
          <cell r="Q760" t="str">
            <v>AVAILABLE</v>
          </cell>
          <cell r="S760">
            <v>768856.1128</v>
          </cell>
          <cell r="T760">
            <v>850000</v>
          </cell>
          <cell r="U760">
            <v>24600</v>
          </cell>
          <cell r="V760">
            <v>40000</v>
          </cell>
          <cell r="W760">
            <v>785400</v>
          </cell>
          <cell r="Y760">
            <v>850000</v>
          </cell>
          <cell r="AC760" t="str">
            <v>Ana Damásio</v>
          </cell>
          <cell r="AJ760" t="str">
            <v>Zestia</v>
          </cell>
        </row>
        <row r="761">
          <cell r="A761" t="str">
            <v>BOTÂNICA</v>
          </cell>
          <cell r="C761" t="str">
            <v>AN</v>
          </cell>
          <cell r="E761" t="str">
            <v>T4</v>
          </cell>
          <cell r="F761">
            <v>394.05</v>
          </cell>
          <cell r="Q761" t="str">
            <v>AVAILABLE</v>
          </cell>
          <cell r="S761">
            <v>2355679.41</v>
          </cell>
          <cell r="T761">
            <v>2375000</v>
          </cell>
          <cell r="W761">
            <v>2375000</v>
          </cell>
          <cell r="Y761">
            <v>2360000</v>
          </cell>
          <cell r="AC761" t="str">
            <v>Ana Damásio</v>
          </cell>
          <cell r="AJ761" t="str">
            <v>Botanica</v>
          </cell>
        </row>
        <row r="762">
          <cell r="A762" t="str">
            <v>NOBILUS</v>
          </cell>
          <cell r="C762" t="str">
            <v>AN</v>
          </cell>
          <cell r="E762" t="str">
            <v>T2</v>
          </cell>
          <cell r="F762">
            <v>109.31</v>
          </cell>
          <cell r="Q762" t="str">
            <v>AVAILABLE</v>
          </cell>
          <cell r="S762">
            <v>720000</v>
          </cell>
          <cell r="T762">
            <v>720000</v>
          </cell>
          <cell r="W762">
            <v>720000</v>
          </cell>
          <cell r="Y762">
            <v>720000</v>
          </cell>
          <cell r="AC762" t="str">
            <v>Ana Damásio</v>
          </cell>
          <cell r="AJ762" t="str">
            <v>Nobilus</v>
          </cell>
        </row>
        <row r="763">
          <cell r="A763" t="str">
            <v>SPRINGS</v>
          </cell>
          <cell r="C763" t="str">
            <v>AN</v>
          </cell>
          <cell r="E763" t="str">
            <v>V3 Duplex</v>
          </cell>
          <cell r="F763">
            <v>416.4</v>
          </cell>
          <cell r="Q763" t="str">
            <v>AVAILABLE</v>
          </cell>
          <cell r="S763">
            <v>2044100</v>
          </cell>
          <cell r="T763">
            <v>2130000</v>
          </cell>
          <cell r="U763">
            <v>24600</v>
          </cell>
          <cell r="V763">
            <v>61300</v>
          </cell>
          <cell r="W763">
            <v>2044100</v>
          </cell>
          <cell r="Y763">
            <v>2130000</v>
          </cell>
          <cell r="AC763" t="str">
            <v>Ana Damásio</v>
          </cell>
          <cell r="AJ763" t="str">
            <v>Springs - At the Els</v>
          </cell>
        </row>
        <row r="764">
          <cell r="A764" t="str">
            <v>VP - TOWNHOUSES</v>
          </cell>
          <cell r="C764" t="str">
            <v>2A</v>
          </cell>
          <cell r="E764" t="str">
            <v>V3</v>
          </cell>
          <cell r="F764">
            <v>205.98</v>
          </cell>
          <cell r="Q764" t="str">
            <v>AVAILABLE</v>
          </cell>
          <cell r="S764">
            <v>840000</v>
          </cell>
          <cell r="T764">
            <v>860000</v>
          </cell>
          <cell r="W764">
            <v>860000</v>
          </cell>
          <cell r="AB764">
            <v>47208</v>
          </cell>
          <cell r="AC764" t="str">
            <v>João Gameiro</v>
          </cell>
          <cell r="AJ764" t="str">
            <v>Vale Pisão Grand Park</v>
          </cell>
        </row>
        <row r="765">
          <cell r="A765" t="str">
            <v>VP - TOWNHOUSES</v>
          </cell>
          <cell r="C765" t="str">
            <v>7A</v>
          </cell>
          <cell r="E765" t="str">
            <v>V3</v>
          </cell>
          <cell r="F765">
            <v>245.15</v>
          </cell>
          <cell r="Q765" t="str">
            <v>AVAILABLE</v>
          </cell>
          <cell r="S765">
            <v>840000</v>
          </cell>
          <cell r="T765">
            <v>860000</v>
          </cell>
          <cell r="W765">
            <v>860000</v>
          </cell>
          <cell r="AB765">
            <v>47208</v>
          </cell>
          <cell r="AC765" t="str">
            <v>João Gameiro</v>
          </cell>
          <cell r="AJ765" t="str">
            <v>Vale Pisão Grand Park</v>
          </cell>
        </row>
        <row r="766">
          <cell r="A766" t="str">
            <v>VP - TOWNHOUSES</v>
          </cell>
          <cell r="C766" t="str">
            <v>8A</v>
          </cell>
          <cell r="E766" t="str">
            <v>V3</v>
          </cell>
          <cell r="F766">
            <v>254.75</v>
          </cell>
          <cell r="Q766" t="str">
            <v>UPON  REQUEST</v>
          </cell>
          <cell r="S766">
            <v>840000</v>
          </cell>
          <cell r="T766">
            <v>860000</v>
          </cell>
          <cell r="W766">
            <v>860000</v>
          </cell>
          <cell r="AB766">
            <v>47208</v>
          </cell>
          <cell r="AC766" t="str">
            <v>João Gameiro</v>
          </cell>
          <cell r="AJ766" t="str">
            <v>Vale Pisão Grand Park</v>
          </cell>
        </row>
        <row r="767">
          <cell r="A767" t="str">
            <v>VP - TOWNHOUSES</v>
          </cell>
          <cell r="C767" t="str">
            <v>9A</v>
          </cell>
          <cell r="E767" t="str">
            <v>V3</v>
          </cell>
          <cell r="F767">
            <v>263.92</v>
          </cell>
          <cell r="Q767" t="str">
            <v>UPON  REQUEST</v>
          </cell>
          <cell r="S767">
            <v>840000</v>
          </cell>
          <cell r="T767">
            <v>880000</v>
          </cell>
          <cell r="W767">
            <v>880000</v>
          </cell>
          <cell r="AB767">
            <v>47208</v>
          </cell>
          <cell r="AC767" t="str">
            <v>João Gameiro</v>
          </cell>
          <cell r="AJ767" t="str">
            <v>Vale Pisão Grand Park</v>
          </cell>
        </row>
        <row r="768">
          <cell r="A768" t="str">
            <v>ZESTIA</v>
          </cell>
          <cell r="C768" t="str">
            <v>AN</v>
          </cell>
          <cell r="E768" t="str">
            <v>T2</v>
          </cell>
          <cell r="F768">
            <v>119.33</v>
          </cell>
          <cell r="Q768" t="str">
            <v>AVAILABLE</v>
          </cell>
          <cell r="S768">
            <v>785639.49040000001</v>
          </cell>
          <cell r="T768">
            <v>840000</v>
          </cell>
          <cell r="U768">
            <v>24600</v>
          </cell>
          <cell r="V768">
            <v>40000</v>
          </cell>
          <cell r="W768">
            <v>775400</v>
          </cell>
          <cell r="Y768">
            <v>840000</v>
          </cell>
          <cell r="AC768" t="str">
            <v>Ana Damásio</v>
          </cell>
          <cell r="AJ768" t="str">
            <v>Zestia</v>
          </cell>
        </row>
        <row r="769">
          <cell r="A769" t="str">
            <v>Palmares - Plots</v>
          </cell>
          <cell r="C769" t="str">
            <v>21</v>
          </cell>
          <cell r="E769" t="str">
            <v>Plot</v>
          </cell>
          <cell r="F769">
            <v>2664</v>
          </cell>
          <cell r="Q769" t="str">
            <v>AVAILABLE</v>
          </cell>
          <cell r="S769">
            <v>830000</v>
          </cell>
          <cell r="T769">
            <v>1750000</v>
          </cell>
          <cell r="W769">
            <v>1750000</v>
          </cell>
          <cell r="Y769">
            <v>1750000</v>
          </cell>
          <cell r="AB769">
            <v>46843</v>
          </cell>
          <cell r="AC769" t="str">
            <v>Sandra Viegas</v>
          </cell>
          <cell r="AJ769" t="str">
            <v>Palmares</v>
          </cell>
        </row>
        <row r="770">
          <cell r="A770" t="str">
            <v>BOTÂNICA</v>
          </cell>
          <cell r="C770" t="str">
            <v>AO</v>
          </cell>
          <cell r="E770" t="str">
            <v>T3</v>
          </cell>
          <cell r="F770">
            <v>195.9</v>
          </cell>
          <cell r="Q770" t="str">
            <v>AVAILABLE</v>
          </cell>
          <cell r="S770">
            <v>1437870.72</v>
          </cell>
          <cell r="T770">
            <v>1500000</v>
          </cell>
          <cell r="W770">
            <v>1500000</v>
          </cell>
          <cell r="Y770">
            <v>1483200</v>
          </cell>
          <cell r="AC770" t="str">
            <v>Ana Damásio</v>
          </cell>
          <cell r="AJ770" t="str">
            <v>Botanica</v>
          </cell>
        </row>
        <row r="771">
          <cell r="A771" t="str">
            <v>Palmares - Plots</v>
          </cell>
          <cell r="C771" t="str">
            <v>26</v>
          </cell>
          <cell r="E771" t="str">
            <v>Plot</v>
          </cell>
          <cell r="F771">
            <v>3489</v>
          </cell>
          <cell r="Q771" t="str">
            <v>AVAILABLE</v>
          </cell>
          <cell r="S771">
            <v>850000</v>
          </cell>
          <cell r="T771">
            <v>1650000</v>
          </cell>
          <cell r="W771">
            <v>1650000</v>
          </cell>
          <cell r="Y771">
            <v>1650000</v>
          </cell>
          <cell r="AB771">
            <v>46843</v>
          </cell>
          <cell r="AC771" t="str">
            <v>Sandra Viegas</v>
          </cell>
          <cell r="AJ771" t="str">
            <v>Palmares</v>
          </cell>
        </row>
        <row r="772">
          <cell r="A772" t="str">
            <v>SPRINGS</v>
          </cell>
          <cell r="C772" t="str">
            <v>AO</v>
          </cell>
          <cell r="E772" t="str">
            <v>V2 Duplex</v>
          </cell>
          <cell r="F772">
            <v>333.99</v>
          </cell>
          <cell r="Q772" t="str">
            <v>AVAILABLE</v>
          </cell>
          <cell r="S772">
            <v>1808850</v>
          </cell>
          <cell r="T772">
            <v>1880000</v>
          </cell>
          <cell r="U772">
            <v>24600</v>
          </cell>
          <cell r="V772">
            <v>46550</v>
          </cell>
          <cell r="W772">
            <v>1808850</v>
          </cell>
          <cell r="Y772">
            <v>1880000</v>
          </cell>
          <cell r="AC772" t="str">
            <v>Ana Damásio</v>
          </cell>
          <cell r="AJ772" t="str">
            <v>Springs - At the Els</v>
          </cell>
        </row>
        <row r="773">
          <cell r="A773" t="str">
            <v>Aroeira - HOTEL APARTMENTS</v>
          </cell>
          <cell r="C773" t="str">
            <v>304A</v>
          </cell>
          <cell r="E773" t="str">
            <v>1-BR</v>
          </cell>
          <cell r="F773">
            <v>65</v>
          </cell>
          <cell r="Q773" t="str">
            <v>AVAILABLE</v>
          </cell>
          <cell r="S773">
            <v>450000</v>
          </cell>
          <cell r="T773">
            <v>450000</v>
          </cell>
          <cell r="V773">
            <v>35000</v>
          </cell>
          <cell r="W773">
            <v>415000</v>
          </cell>
          <cell r="AB773">
            <v>47118</v>
          </cell>
          <cell r="AC773" t="str">
            <v>João Gameiro</v>
          </cell>
          <cell r="AJ773" t="str">
            <v>Aroeira Collections</v>
          </cell>
        </row>
        <row r="774">
          <cell r="A774" t="str">
            <v>MR - LT Miradouro Village</v>
          </cell>
          <cell r="C774" t="str">
            <v>12</v>
          </cell>
          <cell r="E774" t="str">
            <v>Plot</v>
          </cell>
          <cell r="F774">
            <v>396.9</v>
          </cell>
          <cell r="Q774" t="str">
            <v>AVAILABLE</v>
          </cell>
          <cell r="S774">
            <v>875000</v>
          </cell>
          <cell r="T774">
            <v>740000</v>
          </cell>
          <cell r="W774">
            <v>740000</v>
          </cell>
          <cell r="AB774" t="str">
            <v>TBD</v>
          </cell>
          <cell r="AC774" t="str">
            <v>Sandra Viegas</v>
          </cell>
          <cell r="AJ774" t="str">
            <v>Monte Rei</v>
          </cell>
        </row>
        <row r="775">
          <cell r="A775" t="str">
            <v>MR - LT Miradouro Village</v>
          </cell>
          <cell r="C775" t="str">
            <v>18</v>
          </cell>
          <cell r="E775" t="str">
            <v>Plot</v>
          </cell>
          <cell r="F775">
            <v>373.55</v>
          </cell>
          <cell r="Q775" t="str">
            <v>AVAILABLE</v>
          </cell>
          <cell r="S775">
            <v>875000</v>
          </cell>
          <cell r="T775">
            <v>750000</v>
          </cell>
          <cell r="W775">
            <v>750000</v>
          </cell>
          <cell r="AB775" t="str">
            <v>TBD</v>
          </cell>
          <cell r="AC775" t="str">
            <v>Sandra Viegas</v>
          </cell>
          <cell r="AJ775" t="str">
            <v>Monte Rei</v>
          </cell>
        </row>
        <row r="776">
          <cell r="A776" t="str">
            <v>MR - LT Miradouro Village</v>
          </cell>
          <cell r="C776" t="str">
            <v>19</v>
          </cell>
          <cell r="E776" t="str">
            <v>Plot</v>
          </cell>
          <cell r="F776">
            <v>373.55</v>
          </cell>
          <cell r="Q776" t="str">
            <v>AVAILABLE</v>
          </cell>
          <cell r="S776">
            <v>875000</v>
          </cell>
          <cell r="T776">
            <v>720000</v>
          </cell>
          <cell r="W776">
            <v>720000</v>
          </cell>
          <cell r="AB776" t="str">
            <v>TBD</v>
          </cell>
          <cell r="AC776" t="str">
            <v>Sandra Viegas</v>
          </cell>
          <cell r="AJ776" t="str">
            <v>Monte Rei</v>
          </cell>
        </row>
        <row r="777">
          <cell r="A777" t="str">
            <v>Aroeira - HOTEL APARTMENTS</v>
          </cell>
          <cell r="C777" t="str">
            <v>305A</v>
          </cell>
          <cell r="E777" t="str">
            <v>1-BR</v>
          </cell>
          <cell r="F777">
            <v>65</v>
          </cell>
          <cell r="Q777" t="str">
            <v>AVAILABLE</v>
          </cell>
          <cell r="S777">
            <v>450000</v>
          </cell>
          <cell r="T777">
            <v>450000</v>
          </cell>
          <cell r="V777">
            <v>35000</v>
          </cell>
          <cell r="W777">
            <v>415000</v>
          </cell>
          <cell r="AB777">
            <v>47118</v>
          </cell>
          <cell r="AC777" t="str">
            <v>João Gameiro</v>
          </cell>
          <cell r="AJ777" t="str">
            <v>Aroeira Collections</v>
          </cell>
        </row>
        <row r="778">
          <cell r="A778" t="str">
            <v>Aroeira - HOTEL APARTMENTS</v>
          </cell>
          <cell r="C778" t="str">
            <v>306A</v>
          </cell>
          <cell r="E778" t="str">
            <v>1-BR</v>
          </cell>
          <cell r="F778">
            <v>65</v>
          </cell>
          <cell r="Q778" t="str">
            <v>AVAILABLE</v>
          </cell>
          <cell r="S778">
            <v>450000</v>
          </cell>
          <cell r="T778">
            <v>450000</v>
          </cell>
          <cell r="V778">
            <v>35000</v>
          </cell>
          <cell r="W778">
            <v>415000</v>
          </cell>
          <cell r="AB778">
            <v>47118</v>
          </cell>
          <cell r="AC778" t="str">
            <v>João Gameiro</v>
          </cell>
          <cell r="AJ778" t="str">
            <v>Aroeira Collections</v>
          </cell>
        </row>
        <row r="779">
          <cell r="A779" t="str">
            <v>ZESTIA</v>
          </cell>
          <cell r="C779" t="str">
            <v>AO</v>
          </cell>
          <cell r="E779" t="str">
            <v>T2 LO</v>
          </cell>
          <cell r="F779">
            <v>123.3</v>
          </cell>
          <cell r="Q779" t="str">
            <v>AVAILABLE</v>
          </cell>
          <cell r="S779">
            <v>781695.71959999995</v>
          </cell>
          <cell r="T779">
            <v>850000</v>
          </cell>
          <cell r="U779">
            <v>24600</v>
          </cell>
          <cell r="V779">
            <v>40000</v>
          </cell>
          <cell r="W779">
            <v>785400</v>
          </cell>
          <cell r="Y779">
            <v>850000</v>
          </cell>
          <cell r="AC779" t="str">
            <v>Ana Damásio</v>
          </cell>
          <cell r="AJ779" t="str">
            <v>Zestia</v>
          </cell>
        </row>
        <row r="780">
          <cell r="A780" t="str">
            <v>Aroeira - HOTEL APARTMENTS</v>
          </cell>
          <cell r="C780" t="str">
            <v>307A</v>
          </cell>
          <cell r="E780" t="str">
            <v>1-BR</v>
          </cell>
          <cell r="F780">
            <v>65</v>
          </cell>
          <cell r="Q780" t="str">
            <v>AVAILABLE</v>
          </cell>
          <cell r="S780">
            <v>450000</v>
          </cell>
          <cell r="T780">
            <v>450000</v>
          </cell>
          <cell r="V780">
            <v>35000</v>
          </cell>
          <cell r="W780">
            <v>415000</v>
          </cell>
          <cell r="AB780">
            <v>47118</v>
          </cell>
          <cell r="AC780" t="str">
            <v>João Gameiro</v>
          </cell>
          <cell r="AJ780" t="str">
            <v>Aroeira Collections</v>
          </cell>
        </row>
        <row r="781">
          <cell r="A781" t="str">
            <v>BOTÂNICA</v>
          </cell>
          <cell r="C781" t="str">
            <v>AP</v>
          </cell>
          <cell r="E781" t="str">
            <v>T2</v>
          </cell>
          <cell r="F781">
            <v>151.36000000000001</v>
          </cell>
          <cell r="Q781" t="str">
            <v>AVAILABLE</v>
          </cell>
          <cell r="S781">
            <v>1115473.9199999999</v>
          </cell>
          <cell r="T781">
            <v>1175000</v>
          </cell>
          <cell r="W781">
            <v>1175000</v>
          </cell>
          <cell r="Y781">
            <v>1120000</v>
          </cell>
          <cell r="AC781" t="str">
            <v>Ana Damásio</v>
          </cell>
          <cell r="AJ781" t="str">
            <v>Botanica</v>
          </cell>
        </row>
        <row r="782">
          <cell r="A782" t="str">
            <v>NOBILUS</v>
          </cell>
          <cell r="C782" t="str">
            <v>AP</v>
          </cell>
          <cell r="E782" t="str">
            <v>T2</v>
          </cell>
          <cell r="F782">
            <v>111.39</v>
          </cell>
          <cell r="Q782" t="str">
            <v>AVAILABLE</v>
          </cell>
          <cell r="S782">
            <v>720000</v>
          </cell>
          <cell r="T782">
            <v>720000</v>
          </cell>
          <cell r="W782">
            <v>720000</v>
          </cell>
          <cell r="Y782">
            <v>720000</v>
          </cell>
          <cell r="AC782" t="str">
            <v>Ana Damásio</v>
          </cell>
          <cell r="AJ782" t="str">
            <v>Nobilus</v>
          </cell>
        </row>
        <row r="783">
          <cell r="A783" t="str">
            <v>SPRINGS</v>
          </cell>
          <cell r="C783" t="str">
            <v>AP</v>
          </cell>
          <cell r="E783" t="str">
            <v>V2 Duplex</v>
          </cell>
          <cell r="F783">
            <v>333.99</v>
          </cell>
          <cell r="Q783" t="str">
            <v>AVAILABLE</v>
          </cell>
          <cell r="S783">
            <v>1788850</v>
          </cell>
          <cell r="T783">
            <v>1860000</v>
          </cell>
          <cell r="U783">
            <v>24600</v>
          </cell>
          <cell r="V783">
            <v>46550</v>
          </cell>
          <cell r="W783">
            <v>1788850</v>
          </cell>
          <cell r="Y783">
            <v>1860000</v>
          </cell>
          <cell r="AC783" t="str">
            <v>Ana Damásio</v>
          </cell>
          <cell r="AJ783" t="str">
            <v>Springs - At the Els</v>
          </cell>
        </row>
        <row r="784">
          <cell r="A784" t="str">
            <v xml:space="preserve">MR - CHR </v>
          </cell>
          <cell r="C784" t="str">
            <v>AI</v>
          </cell>
          <cell r="E784" t="str">
            <v>T2</v>
          </cell>
          <cell r="F784">
            <v>194.7</v>
          </cell>
          <cell r="Q784" t="str">
            <v>AVAILABLE</v>
          </cell>
          <cell r="S784">
            <v>895000</v>
          </cell>
          <cell r="T784">
            <v>790000</v>
          </cell>
          <cell r="W784">
            <v>790000</v>
          </cell>
          <cell r="AB784" t="str">
            <v>TBD</v>
          </cell>
          <cell r="AC784" t="str">
            <v>Sandra Viegas</v>
          </cell>
          <cell r="AJ784" t="str">
            <v>Monte Rei</v>
          </cell>
        </row>
        <row r="785">
          <cell r="A785" t="str">
            <v xml:space="preserve">MR - CHR </v>
          </cell>
          <cell r="C785" t="str">
            <v>AJ</v>
          </cell>
          <cell r="E785" t="str">
            <v>T2</v>
          </cell>
          <cell r="F785">
            <v>197.08</v>
          </cell>
          <cell r="Q785" t="str">
            <v>AVAILABLE</v>
          </cell>
          <cell r="S785">
            <v>895000</v>
          </cell>
          <cell r="T785">
            <v>850000</v>
          </cell>
          <cell r="W785">
            <v>850000</v>
          </cell>
          <cell r="AB785" t="str">
            <v>TBD</v>
          </cell>
          <cell r="AC785" t="str">
            <v>Sandra Viegas</v>
          </cell>
          <cell r="AJ785" t="str">
            <v>Monte Rei</v>
          </cell>
        </row>
        <row r="786">
          <cell r="A786" t="str">
            <v>ZESTIA</v>
          </cell>
          <cell r="C786" t="str">
            <v>AP</v>
          </cell>
          <cell r="E786" t="str">
            <v>T2</v>
          </cell>
          <cell r="F786">
            <v>125.61</v>
          </cell>
          <cell r="Q786" t="str">
            <v>AVAILABLE</v>
          </cell>
          <cell r="S786">
            <v>809397.72320000001</v>
          </cell>
          <cell r="T786">
            <v>880000</v>
          </cell>
          <cell r="U786">
            <v>24600</v>
          </cell>
          <cell r="V786">
            <v>40000</v>
          </cell>
          <cell r="W786">
            <v>815400</v>
          </cell>
          <cell r="Y786">
            <v>880000</v>
          </cell>
          <cell r="AC786" t="str">
            <v>Ana Damásio</v>
          </cell>
          <cell r="AJ786" t="str">
            <v>Zestia</v>
          </cell>
        </row>
        <row r="787">
          <cell r="A787" t="str">
            <v>BOTÂNICA</v>
          </cell>
          <cell r="C787" t="str">
            <v>AQ</v>
          </cell>
          <cell r="E787" t="str">
            <v>T4</v>
          </cell>
          <cell r="F787">
            <v>390.53</v>
          </cell>
          <cell r="Q787" t="str">
            <v>AVAILABLE</v>
          </cell>
          <cell r="S787">
            <v>2452859.787</v>
          </cell>
          <cell r="T787">
            <v>2533800</v>
          </cell>
          <cell r="W787">
            <v>2533800</v>
          </cell>
          <cell r="Y787">
            <v>2533800</v>
          </cell>
          <cell r="AC787" t="str">
            <v>Ana Damásio</v>
          </cell>
          <cell r="AJ787" t="str">
            <v>Botanica</v>
          </cell>
        </row>
        <row r="788">
          <cell r="A788" t="str">
            <v>SPRINGS</v>
          </cell>
          <cell r="C788" t="str">
            <v>AQ</v>
          </cell>
          <cell r="E788" t="str">
            <v>V2 Duplex</v>
          </cell>
          <cell r="F788">
            <v>343.47</v>
          </cell>
          <cell r="Q788" t="str">
            <v>AVAILABLE</v>
          </cell>
          <cell r="S788">
            <v>1788850</v>
          </cell>
          <cell r="T788">
            <v>1860000</v>
          </cell>
          <cell r="U788">
            <v>24600</v>
          </cell>
          <cell r="V788">
            <v>46550</v>
          </cell>
          <cell r="W788">
            <v>1788850</v>
          </cell>
          <cell r="Y788">
            <v>1860000</v>
          </cell>
          <cell r="AC788" t="str">
            <v>Ana Damásio</v>
          </cell>
          <cell r="AJ788" t="str">
            <v>Springs - At the Els</v>
          </cell>
        </row>
        <row r="789">
          <cell r="A789" t="str">
            <v>BOTÂNICA</v>
          </cell>
          <cell r="C789" t="str">
            <v>AR</v>
          </cell>
          <cell r="E789" t="str">
            <v>T3</v>
          </cell>
          <cell r="F789">
            <v>223.92</v>
          </cell>
          <cell r="Q789" t="str">
            <v>AVAILABLE</v>
          </cell>
          <cell r="S789">
            <v>1609335</v>
          </cell>
          <cell r="T789">
            <v>1675000</v>
          </cell>
          <cell r="W789">
            <v>1675000</v>
          </cell>
          <cell r="Y789">
            <v>1674400</v>
          </cell>
          <cell r="AC789" t="str">
            <v>Ana Damásio</v>
          </cell>
          <cell r="AJ789" t="str">
            <v>Botanica</v>
          </cell>
        </row>
        <row r="790">
          <cell r="A790" t="str">
            <v xml:space="preserve">MR - CHR </v>
          </cell>
          <cell r="C790" t="str">
            <v>AD</v>
          </cell>
          <cell r="E790" t="str">
            <v>T2</v>
          </cell>
          <cell r="F790">
            <v>194.7</v>
          </cell>
          <cell r="Q790" t="str">
            <v>AVAILABLE</v>
          </cell>
          <cell r="S790">
            <v>915000</v>
          </cell>
          <cell r="T790">
            <v>840000</v>
          </cell>
          <cell r="W790">
            <v>840000</v>
          </cell>
          <cell r="AB790" t="str">
            <v>TBD</v>
          </cell>
          <cell r="AC790" t="str">
            <v>Sandra Viegas</v>
          </cell>
          <cell r="AJ790" t="str">
            <v>Monte Rei</v>
          </cell>
        </row>
        <row r="791">
          <cell r="A791" t="str">
            <v>NOBILUS</v>
          </cell>
          <cell r="C791" t="str">
            <v>AR</v>
          </cell>
          <cell r="E791" t="str">
            <v>T4</v>
          </cell>
          <cell r="F791">
            <v>202.2</v>
          </cell>
          <cell r="Q791" t="str">
            <v>AVAILABLE</v>
          </cell>
          <cell r="S791">
            <v>1650000</v>
          </cell>
          <cell r="T791">
            <v>1650000</v>
          </cell>
          <cell r="W791">
            <v>1650000</v>
          </cell>
          <cell r="Y791">
            <v>1650000</v>
          </cell>
          <cell r="AC791" t="str">
            <v>Ana Damásio</v>
          </cell>
          <cell r="AJ791" t="str">
            <v>Nobilus</v>
          </cell>
        </row>
        <row r="792">
          <cell r="A792" t="str">
            <v>SPRINGS</v>
          </cell>
          <cell r="C792" t="str">
            <v>AR</v>
          </cell>
          <cell r="E792" t="str">
            <v>V2 Duplex</v>
          </cell>
          <cell r="F792">
            <v>282.32</v>
          </cell>
          <cell r="Q792" t="str">
            <v>AVAILABLE</v>
          </cell>
          <cell r="S792">
            <v>1578850</v>
          </cell>
          <cell r="T792">
            <v>1650000</v>
          </cell>
          <cell r="U792">
            <v>24600</v>
          </cell>
          <cell r="V792">
            <v>46550</v>
          </cell>
          <cell r="W792">
            <v>1578850</v>
          </cell>
          <cell r="Y792">
            <v>1650000</v>
          </cell>
          <cell r="AC792" t="str">
            <v>Ana Damásio</v>
          </cell>
          <cell r="AJ792" t="str">
            <v>Springs - At the Els</v>
          </cell>
        </row>
        <row r="793">
          <cell r="A793" t="str">
            <v>ZESTIA</v>
          </cell>
          <cell r="C793" t="str">
            <v>AR</v>
          </cell>
          <cell r="E793" t="str">
            <v>T2 LO</v>
          </cell>
          <cell r="F793">
            <v>116.88</v>
          </cell>
          <cell r="Q793" t="str">
            <v>AVAILABLE</v>
          </cell>
          <cell r="S793">
            <v>768124.01599999995</v>
          </cell>
          <cell r="T793">
            <v>840000</v>
          </cell>
          <cell r="U793">
            <v>24600</v>
          </cell>
          <cell r="V793">
            <v>40000</v>
          </cell>
          <cell r="W793">
            <v>775400</v>
          </cell>
          <cell r="Y793">
            <v>840000</v>
          </cell>
          <cell r="AC793" t="str">
            <v>Ana Damásio</v>
          </cell>
          <cell r="AJ793" t="str">
            <v>Zestia</v>
          </cell>
        </row>
        <row r="794">
          <cell r="A794" t="str">
            <v>BOTÂNICA</v>
          </cell>
          <cell r="C794" t="str">
            <v>AS</v>
          </cell>
          <cell r="E794" t="str">
            <v>T2</v>
          </cell>
          <cell r="F794">
            <v>146.43</v>
          </cell>
          <cell r="Q794" t="str">
            <v>AVAILABLE</v>
          </cell>
          <cell r="S794">
            <v>976732.61399999994</v>
          </cell>
          <cell r="T794">
            <v>980000</v>
          </cell>
          <cell r="W794">
            <v>980000</v>
          </cell>
          <cell r="Y794">
            <v>980000</v>
          </cell>
          <cell r="AC794" t="str">
            <v>Ana Damásio</v>
          </cell>
          <cell r="AJ794" t="str">
            <v>Botanica</v>
          </cell>
        </row>
        <row r="795">
          <cell r="A795" t="str">
            <v>NOBILUS</v>
          </cell>
          <cell r="C795" t="str">
            <v>AS</v>
          </cell>
          <cell r="E795" t="str">
            <v>T2</v>
          </cell>
          <cell r="F795">
            <v>108.99</v>
          </cell>
          <cell r="Q795" t="str">
            <v>AVAILABLE</v>
          </cell>
          <cell r="S795">
            <v>710000</v>
          </cell>
          <cell r="T795">
            <v>710000</v>
          </cell>
          <cell r="W795">
            <v>710000</v>
          </cell>
          <cell r="Y795">
            <v>710000</v>
          </cell>
          <cell r="AC795" t="str">
            <v>Ana Damásio</v>
          </cell>
          <cell r="AJ795" t="str">
            <v>Nobilus</v>
          </cell>
        </row>
        <row r="796">
          <cell r="A796" t="str">
            <v>Aroeira - HOTEL APARTMENTS</v>
          </cell>
          <cell r="C796" t="str">
            <v>308A</v>
          </cell>
          <cell r="E796" t="str">
            <v>1-BR</v>
          </cell>
          <cell r="F796">
            <v>65</v>
          </cell>
          <cell r="Q796" t="str">
            <v>AVAILABLE</v>
          </cell>
          <cell r="S796">
            <v>450000</v>
          </cell>
          <cell r="T796">
            <v>450000</v>
          </cell>
          <cell r="V796">
            <v>35000</v>
          </cell>
          <cell r="W796">
            <v>415000</v>
          </cell>
          <cell r="AB796">
            <v>47118</v>
          </cell>
          <cell r="AC796" t="str">
            <v>João Gameiro</v>
          </cell>
          <cell r="AJ796" t="str">
            <v>Aroeira Collections</v>
          </cell>
        </row>
        <row r="797">
          <cell r="A797" t="str">
            <v>Aroeira - HOTEL APARTMENTS</v>
          </cell>
          <cell r="C797" t="str">
            <v>309B</v>
          </cell>
          <cell r="E797" t="str">
            <v>2-BR*</v>
          </cell>
          <cell r="F797">
            <v>98.7</v>
          </cell>
          <cell r="Q797" t="str">
            <v>AVAILABLE</v>
          </cell>
          <cell r="S797">
            <v>670000</v>
          </cell>
          <cell r="T797">
            <v>670000</v>
          </cell>
          <cell r="V797">
            <v>45000</v>
          </cell>
          <cell r="W797">
            <v>625000</v>
          </cell>
          <cell r="AB797">
            <v>47118</v>
          </cell>
          <cell r="AC797" t="str">
            <v>João Gameiro</v>
          </cell>
          <cell r="AJ797" t="str">
            <v>Aroeira Collections</v>
          </cell>
        </row>
        <row r="798">
          <cell r="A798" t="str">
            <v xml:space="preserve">MR - CHR </v>
          </cell>
          <cell r="C798" t="str">
            <v>Z</v>
          </cell>
          <cell r="E798" t="str">
            <v>T2</v>
          </cell>
          <cell r="F798">
            <v>202.75</v>
          </cell>
          <cell r="Q798" t="str">
            <v>AVAILABLE</v>
          </cell>
          <cell r="S798">
            <v>925000</v>
          </cell>
          <cell r="T798">
            <v>925000</v>
          </cell>
          <cell r="W798">
            <v>925000</v>
          </cell>
          <cell r="AB798" t="str">
            <v>TBD</v>
          </cell>
          <cell r="AC798" t="str">
            <v>Sandra Viegas</v>
          </cell>
          <cell r="AJ798" t="str">
            <v>Monte Rei</v>
          </cell>
        </row>
        <row r="799">
          <cell r="A799" t="str">
            <v>SPRINGS</v>
          </cell>
          <cell r="C799" t="str">
            <v>AS</v>
          </cell>
          <cell r="E799" t="str">
            <v>V2 Duplex</v>
          </cell>
          <cell r="F799">
            <v>280.27</v>
          </cell>
          <cell r="Q799" t="str">
            <v>AVAILABLE</v>
          </cell>
          <cell r="S799">
            <v>1488850</v>
          </cell>
          <cell r="T799">
            <v>1560000</v>
          </cell>
          <cell r="U799">
            <v>24600</v>
          </cell>
          <cell r="V799">
            <v>46550</v>
          </cell>
          <cell r="W799">
            <v>1488850</v>
          </cell>
          <cell r="Y799">
            <v>1560000</v>
          </cell>
          <cell r="AC799" t="str">
            <v>Ana Damásio</v>
          </cell>
          <cell r="AJ799" t="str">
            <v>Springs - At the Els</v>
          </cell>
        </row>
        <row r="800">
          <cell r="A800" t="str">
            <v>ZESTIA</v>
          </cell>
          <cell r="C800" t="str">
            <v>AS</v>
          </cell>
          <cell r="E800" t="str">
            <v>T2</v>
          </cell>
          <cell r="F800">
            <v>125.51</v>
          </cell>
          <cell r="Q800" t="str">
            <v>AVAILABLE</v>
          </cell>
          <cell r="S800">
            <v>815953.73840000003</v>
          </cell>
          <cell r="T800">
            <v>900000</v>
          </cell>
          <cell r="U800">
            <v>24600</v>
          </cell>
          <cell r="V800">
            <v>40000</v>
          </cell>
          <cell r="W800">
            <v>835400</v>
          </cell>
          <cell r="Y800">
            <v>900000</v>
          </cell>
          <cell r="AC800" t="str">
            <v>Ana Damásio</v>
          </cell>
          <cell r="AJ800" t="str">
            <v>Zestia</v>
          </cell>
        </row>
        <row r="801">
          <cell r="A801" t="str">
            <v>BOTÂNICA</v>
          </cell>
          <cell r="C801" t="str">
            <v>AT</v>
          </cell>
          <cell r="E801" t="str">
            <v>T2</v>
          </cell>
          <cell r="F801">
            <v>142.88</v>
          </cell>
          <cell r="Q801" t="str">
            <v>AVAILABLE</v>
          </cell>
          <cell r="S801">
            <v>998570.826</v>
          </cell>
          <cell r="T801">
            <v>1050000</v>
          </cell>
          <cell r="W801">
            <v>1050000</v>
          </cell>
          <cell r="Y801">
            <v>1030000</v>
          </cell>
          <cell r="AC801" t="str">
            <v>Ana Damásio</v>
          </cell>
          <cell r="AJ801" t="str">
            <v>Botanica</v>
          </cell>
        </row>
        <row r="802">
          <cell r="A802" t="str">
            <v>NOBILUS</v>
          </cell>
          <cell r="C802" t="str">
            <v>AT</v>
          </cell>
          <cell r="E802" t="str">
            <v>T2</v>
          </cell>
          <cell r="F802">
            <v>110.8</v>
          </cell>
          <cell r="Q802" t="str">
            <v>AVAILABLE</v>
          </cell>
          <cell r="S802">
            <v>750000</v>
          </cell>
          <cell r="T802">
            <v>750000</v>
          </cell>
          <cell r="W802">
            <v>750000</v>
          </cell>
          <cell r="Y802">
            <v>750000</v>
          </cell>
          <cell r="AC802" t="str">
            <v>Ana Damásio</v>
          </cell>
          <cell r="AJ802" t="str">
            <v>Nobilus</v>
          </cell>
        </row>
        <row r="803">
          <cell r="A803" t="str">
            <v>SPRINGS</v>
          </cell>
          <cell r="C803" t="str">
            <v>AT</v>
          </cell>
          <cell r="E803" t="str">
            <v>V2 Duplex</v>
          </cell>
          <cell r="F803">
            <v>280.27</v>
          </cell>
          <cell r="Q803" t="str">
            <v>AVAILABLE</v>
          </cell>
          <cell r="S803">
            <v>1468850</v>
          </cell>
          <cell r="T803">
            <v>1540000</v>
          </cell>
          <cell r="U803">
            <v>24600</v>
          </cell>
          <cell r="V803">
            <v>46550</v>
          </cell>
          <cell r="W803">
            <v>1468850</v>
          </cell>
          <cell r="Y803">
            <v>1540000</v>
          </cell>
          <cell r="AC803" t="str">
            <v>Ana Damásio</v>
          </cell>
          <cell r="AJ803" t="str">
            <v>Springs - At the Els</v>
          </cell>
        </row>
        <row r="804">
          <cell r="A804" t="str">
            <v xml:space="preserve">MR - CHR </v>
          </cell>
          <cell r="C804" t="str">
            <v>G</v>
          </cell>
          <cell r="E804" t="str">
            <v>T2</v>
          </cell>
          <cell r="F804">
            <v>197.08</v>
          </cell>
          <cell r="Q804" t="str">
            <v>AVAILABLE</v>
          </cell>
          <cell r="S804">
            <v>930000</v>
          </cell>
          <cell r="T804">
            <v>760000</v>
          </cell>
          <cell r="W804">
            <v>760000</v>
          </cell>
          <cell r="Y804">
            <v>760000</v>
          </cell>
          <cell r="AB804" t="str">
            <v>TBD</v>
          </cell>
          <cell r="AC804" t="str">
            <v>Sandra Viegas</v>
          </cell>
          <cell r="AJ804" t="str">
            <v>Monte Rei</v>
          </cell>
        </row>
        <row r="805">
          <cell r="A805" t="str">
            <v xml:space="preserve">MR - CHR </v>
          </cell>
          <cell r="C805" t="str">
            <v>L</v>
          </cell>
          <cell r="E805" t="str">
            <v>T2</v>
          </cell>
          <cell r="F805">
            <v>197.08</v>
          </cell>
          <cell r="Q805" t="str">
            <v>AVAILABLE</v>
          </cell>
          <cell r="S805">
            <v>930000</v>
          </cell>
          <cell r="T805">
            <v>720000</v>
          </cell>
          <cell r="W805">
            <v>720000</v>
          </cell>
          <cell r="AB805" t="str">
            <v>TBD</v>
          </cell>
          <cell r="AC805" t="str">
            <v>Sandra Viegas</v>
          </cell>
          <cell r="AJ805" t="str">
            <v>Monte Rei</v>
          </cell>
        </row>
        <row r="806">
          <cell r="A806" t="str">
            <v xml:space="preserve">MR - CHR </v>
          </cell>
          <cell r="C806" t="str">
            <v>O</v>
          </cell>
          <cell r="E806" t="str">
            <v>T2</v>
          </cell>
          <cell r="F806">
            <v>197.08</v>
          </cell>
          <cell r="Q806" t="str">
            <v>AVAILABLE</v>
          </cell>
          <cell r="S806">
            <v>930000</v>
          </cell>
          <cell r="T806">
            <v>700000</v>
          </cell>
          <cell r="W806">
            <v>700000</v>
          </cell>
          <cell r="AB806" t="str">
            <v>TBD</v>
          </cell>
          <cell r="AC806" t="str">
            <v>Sandra Viegas</v>
          </cell>
          <cell r="AJ806" t="str">
            <v>Monte Rei</v>
          </cell>
        </row>
        <row r="807">
          <cell r="A807" t="str">
            <v xml:space="preserve">MR - CHR </v>
          </cell>
          <cell r="C807" t="str">
            <v>P</v>
          </cell>
          <cell r="E807" t="str">
            <v>T2</v>
          </cell>
          <cell r="F807">
            <v>197.12</v>
          </cell>
          <cell r="Q807" t="str">
            <v>AVAILABLE</v>
          </cell>
          <cell r="S807">
            <v>930000</v>
          </cell>
          <cell r="T807">
            <v>760000</v>
          </cell>
          <cell r="W807">
            <v>760000</v>
          </cell>
          <cell r="AB807" t="str">
            <v>TBD</v>
          </cell>
          <cell r="AC807" t="str">
            <v>Sandra Viegas</v>
          </cell>
          <cell r="AJ807" t="str">
            <v>Monte Rei</v>
          </cell>
        </row>
        <row r="808">
          <cell r="A808" t="str">
            <v>ZESTIA</v>
          </cell>
          <cell r="C808" t="str">
            <v>AT</v>
          </cell>
          <cell r="E808" t="str">
            <v>T2</v>
          </cell>
          <cell r="F808">
            <v>119</v>
          </cell>
          <cell r="Q808" t="str">
            <v>AVAILABLE</v>
          </cell>
          <cell r="S808">
            <v>822712.33600000001</v>
          </cell>
          <cell r="T808">
            <v>890000</v>
          </cell>
          <cell r="U808">
            <v>24600</v>
          </cell>
          <cell r="V808">
            <v>40000</v>
          </cell>
          <cell r="W808">
            <v>825400</v>
          </cell>
          <cell r="Y808">
            <v>890000</v>
          </cell>
          <cell r="AC808" t="str">
            <v>Ana Damásio</v>
          </cell>
          <cell r="AJ808" t="str">
            <v>Zestia</v>
          </cell>
        </row>
        <row r="809">
          <cell r="A809" t="str">
            <v>BOTÂNICA</v>
          </cell>
          <cell r="C809" t="str">
            <v>AU</v>
          </cell>
          <cell r="E809" t="str">
            <v>T4</v>
          </cell>
          <cell r="F809">
            <v>387.81</v>
          </cell>
          <cell r="Q809" t="str">
            <v>AVAILABLE</v>
          </cell>
          <cell r="S809">
            <v>2449940.9550000001</v>
          </cell>
          <cell r="T809">
            <v>2550000</v>
          </cell>
          <cell r="W809">
            <v>2550000</v>
          </cell>
          <cell r="Y809">
            <v>2548000</v>
          </cell>
          <cell r="AC809" t="str">
            <v>Ana Damásio</v>
          </cell>
          <cell r="AJ809" t="str">
            <v>Botanica</v>
          </cell>
        </row>
        <row r="810">
          <cell r="A810" t="str">
            <v>Palmares - Plots</v>
          </cell>
          <cell r="C810" t="str">
            <v>12</v>
          </cell>
          <cell r="E810" t="str">
            <v>Plot</v>
          </cell>
          <cell r="F810">
            <v>3383</v>
          </cell>
          <cell r="Q810" t="str">
            <v>AVAILABLE</v>
          </cell>
          <cell r="S810">
            <v>860000</v>
          </cell>
          <cell r="T810">
            <v>1950000</v>
          </cell>
          <cell r="W810">
            <v>1950000</v>
          </cell>
          <cell r="Y810">
            <v>1950000</v>
          </cell>
          <cell r="AB810">
            <v>46843</v>
          </cell>
          <cell r="AC810" t="str">
            <v>Sandra Viegas</v>
          </cell>
          <cell r="AJ810" t="str">
            <v>Palmares</v>
          </cell>
        </row>
        <row r="811">
          <cell r="A811" t="str">
            <v>NOBILUS</v>
          </cell>
          <cell r="C811" t="str">
            <v>AU</v>
          </cell>
          <cell r="E811" t="str">
            <v>T2</v>
          </cell>
          <cell r="F811">
            <v>114.72</v>
          </cell>
          <cell r="Q811" t="str">
            <v>AVAILABLE</v>
          </cell>
          <cell r="S811">
            <v>885000</v>
          </cell>
          <cell r="T811">
            <v>885000</v>
          </cell>
          <cell r="W811">
            <v>885000</v>
          </cell>
          <cell r="Y811">
            <v>885000</v>
          </cell>
          <cell r="AC811" t="str">
            <v>Ana Damásio</v>
          </cell>
          <cell r="AJ811" t="str">
            <v>Nobilus</v>
          </cell>
        </row>
        <row r="812">
          <cell r="A812" t="str">
            <v>SPRINGS</v>
          </cell>
          <cell r="C812" t="str">
            <v>AU</v>
          </cell>
          <cell r="E812" t="str">
            <v>V2 Duplex</v>
          </cell>
          <cell r="F812">
            <v>405.04</v>
          </cell>
          <cell r="Q812" t="str">
            <v>AVAILABLE</v>
          </cell>
          <cell r="S812">
            <v>1658850</v>
          </cell>
          <cell r="T812">
            <v>1730000</v>
          </cell>
          <cell r="U812">
            <v>24600</v>
          </cell>
          <cell r="V812">
            <v>46550</v>
          </cell>
          <cell r="W812">
            <v>1658850</v>
          </cell>
          <cell r="Y812">
            <v>1730000</v>
          </cell>
          <cell r="AC812" t="str">
            <v>Ana Damásio</v>
          </cell>
          <cell r="AJ812" t="str">
            <v>Springs - At the Els</v>
          </cell>
        </row>
        <row r="813">
          <cell r="A813" t="str">
            <v>Palmares - Plots</v>
          </cell>
          <cell r="C813" t="str">
            <v>16</v>
          </cell>
          <cell r="E813" t="str">
            <v>Plot</v>
          </cell>
          <cell r="F813">
            <v>2571</v>
          </cell>
          <cell r="Q813" t="str">
            <v>AVAILABLE</v>
          </cell>
          <cell r="S813">
            <v>930000</v>
          </cell>
          <cell r="T813">
            <v>1100000</v>
          </cell>
          <cell r="W813">
            <v>1100000</v>
          </cell>
          <cell r="Y813">
            <v>1100000</v>
          </cell>
          <cell r="AB813">
            <v>46843</v>
          </cell>
          <cell r="AC813" t="str">
            <v>Sandra Viegas</v>
          </cell>
          <cell r="AJ813" t="str">
            <v>Palmares</v>
          </cell>
        </row>
        <row r="814">
          <cell r="A814" t="str">
            <v>TERRACOTA</v>
          </cell>
          <cell r="C814" t="str">
            <v>AU</v>
          </cell>
          <cell r="E814" t="str">
            <v>T3</v>
          </cell>
          <cell r="F814">
            <v>130.91999999999999</v>
          </cell>
          <cell r="Q814" t="str">
            <v>AVAILABLE</v>
          </cell>
          <cell r="S814">
            <v>710000</v>
          </cell>
          <cell r="T814">
            <v>750000</v>
          </cell>
          <cell r="W814">
            <v>750000</v>
          </cell>
          <cell r="Y814">
            <v>750000</v>
          </cell>
          <cell r="AC814" t="str">
            <v>Ana Damásio</v>
          </cell>
          <cell r="AJ814" t="str">
            <v>Terracota</v>
          </cell>
        </row>
        <row r="815">
          <cell r="A815" t="str">
            <v>ZESTIA</v>
          </cell>
          <cell r="C815" t="str">
            <v>AU</v>
          </cell>
          <cell r="E815" t="str">
            <v>T2 LO</v>
          </cell>
          <cell r="F815">
            <v>117.03</v>
          </cell>
          <cell r="Q815" t="str">
            <v>AVAILABLE</v>
          </cell>
          <cell r="S815">
            <v>802564.91839999997</v>
          </cell>
          <cell r="T815">
            <v>890000</v>
          </cell>
          <cell r="U815">
            <v>24600</v>
          </cell>
          <cell r="V815">
            <v>40000</v>
          </cell>
          <cell r="W815">
            <v>825400</v>
          </cell>
          <cell r="Y815">
            <v>890000</v>
          </cell>
          <cell r="AC815" t="str">
            <v>Ana Damásio</v>
          </cell>
          <cell r="AJ815" t="str">
            <v>Zestia</v>
          </cell>
        </row>
        <row r="816">
          <cell r="A816" t="str">
            <v>MR - LT Miradouro Village</v>
          </cell>
          <cell r="C816" t="str">
            <v>13</v>
          </cell>
          <cell r="E816" t="str">
            <v>Plot</v>
          </cell>
          <cell r="F816">
            <v>396.9</v>
          </cell>
          <cell r="Q816" t="str">
            <v>AVAILABLE</v>
          </cell>
          <cell r="S816">
            <v>945000</v>
          </cell>
          <cell r="T816">
            <v>810000</v>
          </cell>
          <cell r="W816">
            <v>810000</v>
          </cell>
          <cell r="AB816" t="str">
            <v>TBD</v>
          </cell>
          <cell r="AC816" t="str">
            <v>Sandra Viegas</v>
          </cell>
          <cell r="AJ816" t="str">
            <v>Monte Rei</v>
          </cell>
        </row>
        <row r="817">
          <cell r="A817" t="str">
            <v>MR - LT Miradouro Village</v>
          </cell>
          <cell r="C817" t="str">
            <v>14</v>
          </cell>
          <cell r="E817" t="str">
            <v>Plot</v>
          </cell>
          <cell r="F817">
            <v>396.9</v>
          </cell>
          <cell r="Q817" t="str">
            <v>AVAILABLE</v>
          </cell>
          <cell r="S817">
            <v>945000</v>
          </cell>
          <cell r="T817">
            <v>820000</v>
          </cell>
          <cell r="W817">
            <v>820000</v>
          </cell>
          <cell r="AB817" t="str">
            <v>TBD</v>
          </cell>
          <cell r="AC817" t="str">
            <v>Sandra Viegas</v>
          </cell>
          <cell r="AJ817" t="str">
            <v>Monte Rei</v>
          </cell>
        </row>
        <row r="818">
          <cell r="A818" t="str">
            <v>MR - LT Miradouro Village</v>
          </cell>
          <cell r="C818" t="str">
            <v>15</v>
          </cell>
          <cell r="E818" t="str">
            <v>Plot</v>
          </cell>
          <cell r="F818">
            <v>396.9</v>
          </cell>
          <cell r="Q818" t="str">
            <v>AVAILABLE</v>
          </cell>
          <cell r="S818">
            <v>945000</v>
          </cell>
          <cell r="T818">
            <v>810000</v>
          </cell>
          <cell r="W818">
            <v>810000</v>
          </cell>
          <cell r="AB818" t="str">
            <v>TBD</v>
          </cell>
          <cell r="AC818" t="str">
            <v>Sandra Viegas</v>
          </cell>
          <cell r="AJ818" t="str">
            <v>Monte Rei</v>
          </cell>
        </row>
        <row r="819">
          <cell r="A819" t="str">
            <v>SPRINGS</v>
          </cell>
          <cell r="C819" t="str">
            <v>AV</v>
          </cell>
          <cell r="E819" t="str">
            <v>V2 Duplex</v>
          </cell>
          <cell r="F819">
            <v>398.1</v>
          </cell>
          <cell r="Q819" t="str">
            <v>AVAILABLE</v>
          </cell>
          <cell r="S819">
            <v>1458850</v>
          </cell>
          <cell r="T819">
            <v>1530000</v>
          </cell>
          <cell r="U819">
            <v>24600</v>
          </cell>
          <cell r="V819">
            <v>46550</v>
          </cell>
          <cell r="W819">
            <v>1458850</v>
          </cell>
          <cell r="Y819">
            <v>1530000</v>
          </cell>
          <cell r="AC819" t="str">
            <v>Ana Damásio</v>
          </cell>
          <cell r="AJ819" t="str">
            <v>Springs - At the Els</v>
          </cell>
        </row>
        <row r="820">
          <cell r="A820" t="str">
            <v>ZESTIA</v>
          </cell>
          <cell r="C820" t="str">
            <v>AV</v>
          </cell>
          <cell r="E820" t="str">
            <v>T2</v>
          </cell>
          <cell r="F820">
            <v>117.69</v>
          </cell>
          <cell r="Q820" t="str">
            <v>AVAILABLE</v>
          </cell>
          <cell r="S820">
            <v>810570.41599999997</v>
          </cell>
          <cell r="T820">
            <v>890000</v>
          </cell>
          <cell r="U820">
            <v>24600</v>
          </cell>
          <cell r="V820">
            <v>40000</v>
          </cell>
          <cell r="W820">
            <v>825400</v>
          </cell>
          <cell r="Y820">
            <v>890000</v>
          </cell>
          <cell r="AC820" t="str">
            <v>Ana Damásio</v>
          </cell>
          <cell r="AJ820" t="str">
            <v>Zestia</v>
          </cell>
        </row>
        <row r="821">
          <cell r="A821" t="str">
            <v>VP - TOWNHOUSES</v>
          </cell>
          <cell r="C821" t="str">
            <v>4B</v>
          </cell>
          <cell r="E821" t="str">
            <v>V3</v>
          </cell>
          <cell r="F821">
            <v>327.27999999999997</v>
          </cell>
          <cell r="Q821" t="str">
            <v>UPON  REQUEST</v>
          </cell>
          <cell r="S821">
            <v>950000</v>
          </cell>
          <cell r="T821">
            <v>970000</v>
          </cell>
          <cell r="W821">
            <v>970000</v>
          </cell>
          <cell r="AB821">
            <v>47208</v>
          </cell>
          <cell r="AC821" t="str">
            <v>João Gameiro</v>
          </cell>
          <cell r="AJ821" t="str">
            <v>Vale Pisão Grand Park</v>
          </cell>
        </row>
        <row r="822">
          <cell r="A822" t="str">
            <v>VP - TOWNHOUSES</v>
          </cell>
          <cell r="C822" t="str">
            <v>5B</v>
          </cell>
          <cell r="E822" t="str">
            <v>V3</v>
          </cell>
          <cell r="F822">
            <v>331.52</v>
          </cell>
          <cell r="Q822" t="str">
            <v>UPON  REQUEST</v>
          </cell>
          <cell r="S822">
            <v>950000</v>
          </cell>
          <cell r="T822">
            <v>970000</v>
          </cell>
          <cell r="W822">
            <v>970000</v>
          </cell>
          <cell r="AB822">
            <v>47208</v>
          </cell>
          <cell r="AC822" t="str">
            <v>João Gameiro</v>
          </cell>
          <cell r="AJ822" t="str">
            <v>Vale Pisão Grand Park</v>
          </cell>
        </row>
        <row r="823">
          <cell r="A823" t="str">
            <v>SPRINGS</v>
          </cell>
          <cell r="C823" t="str">
            <v>AW</v>
          </cell>
          <cell r="E823" t="str">
            <v>V2 Duplex</v>
          </cell>
          <cell r="F823">
            <v>280.27</v>
          </cell>
          <cell r="Q823" t="str">
            <v>AVAILABLE</v>
          </cell>
          <cell r="S823">
            <v>1298850</v>
          </cell>
          <cell r="T823">
            <v>1370000</v>
          </cell>
          <cell r="U823">
            <v>24600</v>
          </cell>
          <cell r="V823">
            <v>46550</v>
          </cell>
          <cell r="W823">
            <v>1298850</v>
          </cell>
          <cell r="Y823">
            <v>1370000</v>
          </cell>
          <cell r="AC823" t="str">
            <v>Ana Damásio</v>
          </cell>
          <cell r="AJ823" t="str">
            <v>Springs - At the Els</v>
          </cell>
        </row>
        <row r="824">
          <cell r="A824" t="str">
            <v>ZESTIA</v>
          </cell>
          <cell r="C824" t="str">
            <v>AW</v>
          </cell>
          <cell r="E824" t="str">
            <v>T2 LO</v>
          </cell>
          <cell r="F824">
            <v>118.03</v>
          </cell>
          <cell r="Q824" t="str">
            <v>AVAILABLE</v>
          </cell>
          <cell r="S824">
            <v>809281.98719999997</v>
          </cell>
          <cell r="T824">
            <v>890000</v>
          </cell>
          <cell r="U824">
            <v>24600</v>
          </cell>
          <cell r="V824">
            <v>40000</v>
          </cell>
          <cell r="W824">
            <v>825400</v>
          </cell>
          <cell r="Y824">
            <v>890000</v>
          </cell>
          <cell r="AC824" t="str">
            <v>Ana Damásio</v>
          </cell>
          <cell r="AJ824" t="str">
            <v>Zestia</v>
          </cell>
        </row>
        <row r="825">
          <cell r="A825" t="str">
            <v>SPRINGS</v>
          </cell>
          <cell r="C825" t="str">
            <v>AX</v>
          </cell>
          <cell r="E825" t="str">
            <v>V2 Duplex</v>
          </cell>
          <cell r="F825">
            <v>288.99</v>
          </cell>
          <cell r="Q825" t="str">
            <v>AVAILABLE</v>
          </cell>
          <cell r="S825">
            <v>1398850</v>
          </cell>
          <cell r="T825">
            <v>1470000</v>
          </cell>
          <cell r="U825">
            <v>24600</v>
          </cell>
          <cell r="V825">
            <v>46550</v>
          </cell>
          <cell r="W825">
            <v>1398850</v>
          </cell>
          <cell r="Y825">
            <v>1470000</v>
          </cell>
          <cell r="AC825" t="str">
            <v>Ana Damásio</v>
          </cell>
          <cell r="AJ825" t="str">
            <v>Springs - At the Els</v>
          </cell>
        </row>
        <row r="826">
          <cell r="A826" t="str">
            <v>ZESTIA</v>
          </cell>
          <cell r="C826" t="str">
            <v>AX</v>
          </cell>
          <cell r="E826" t="str">
            <v>T2</v>
          </cell>
          <cell r="F826">
            <v>281.44</v>
          </cell>
          <cell r="Q826" t="str">
            <v>AVAILABLE</v>
          </cell>
          <cell r="S826">
            <v>1062034.8144</v>
          </cell>
          <cell r="T826">
            <v>1200000</v>
          </cell>
          <cell r="U826">
            <v>24600</v>
          </cell>
          <cell r="V826">
            <v>50000</v>
          </cell>
          <cell r="W826">
            <v>1125400</v>
          </cell>
          <cell r="Y826">
            <v>1200000</v>
          </cell>
          <cell r="AC826" t="str">
            <v>Ana Damásio</v>
          </cell>
          <cell r="AJ826" t="str">
            <v>Zestia</v>
          </cell>
        </row>
        <row r="827">
          <cell r="A827" t="str">
            <v>BOTÂNICA</v>
          </cell>
          <cell r="C827" t="str">
            <v>AY</v>
          </cell>
          <cell r="E827" t="str">
            <v>T3</v>
          </cell>
          <cell r="F827">
            <v>224.52</v>
          </cell>
          <cell r="Q827" t="str">
            <v>AVAILABLE</v>
          </cell>
          <cell r="S827">
            <v>1638520</v>
          </cell>
          <cell r="T827">
            <v>1725000</v>
          </cell>
          <cell r="W827">
            <v>1725000</v>
          </cell>
          <cell r="Y827">
            <v>1705600</v>
          </cell>
          <cell r="AC827" t="str">
            <v>Ana Damásio</v>
          </cell>
          <cell r="AJ827" t="str">
            <v>Botanica</v>
          </cell>
        </row>
        <row r="828">
          <cell r="A828" t="str">
            <v>VP - TOWNHOUSES</v>
          </cell>
          <cell r="C828" t="str">
            <v>3B</v>
          </cell>
          <cell r="E828" t="str">
            <v>V3</v>
          </cell>
          <cell r="F828">
            <v>323.13</v>
          </cell>
          <cell r="Q828" t="str">
            <v>UPON  REQUEST</v>
          </cell>
          <cell r="S828">
            <v>960000</v>
          </cell>
          <cell r="T828">
            <v>980000</v>
          </cell>
          <cell r="W828">
            <v>980000</v>
          </cell>
          <cell r="AB828">
            <v>47208</v>
          </cell>
          <cell r="AC828" t="str">
            <v>João Gameiro</v>
          </cell>
          <cell r="AJ828" t="str">
            <v>Vale Pisão Grand Park</v>
          </cell>
        </row>
        <row r="829">
          <cell r="A829" t="str">
            <v>SPRINGS</v>
          </cell>
          <cell r="C829" t="str">
            <v>AY</v>
          </cell>
          <cell r="E829" t="str">
            <v>V2 Duplex</v>
          </cell>
          <cell r="F829">
            <v>334.97</v>
          </cell>
          <cell r="Q829" t="str">
            <v>AVAILABLE</v>
          </cell>
          <cell r="S829">
            <v>1588850</v>
          </cell>
          <cell r="T829">
            <v>1660000</v>
          </cell>
          <cell r="U829">
            <v>24600</v>
          </cell>
          <cell r="V829">
            <v>46550</v>
          </cell>
          <cell r="W829">
            <v>1588850</v>
          </cell>
          <cell r="Y829">
            <v>1660000</v>
          </cell>
          <cell r="AC829" t="str">
            <v>Ana Damásio</v>
          </cell>
          <cell r="AJ829" t="str">
            <v>Springs - At the Els</v>
          </cell>
        </row>
        <row r="830">
          <cell r="A830" t="str">
            <v>ZESTIA</v>
          </cell>
          <cell r="C830" t="str">
            <v>AY</v>
          </cell>
          <cell r="E830" t="str">
            <v>T1</v>
          </cell>
          <cell r="F830">
            <v>89.42</v>
          </cell>
          <cell r="Q830" t="str">
            <v>AVAILABLE</v>
          </cell>
          <cell r="S830">
            <v>625787.51439999999</v>
          </cell>
          <cell r="T830">
            <v>690000</v>
          </cell>
          <cell r="U830">
            <v>24600</v>
          </cell>
          <cell r="V830">
            <v>30000</v>
          </cell>
          <cell r="W830">
            <v>635400</v>
          </cell>
          <cell r="Y830">
            <v>690000</v>
          </cell>
          <cell r="AC830" t="str">
            <v>Ana Damásio</v>
          </cell>
          <cell r="AJ830" t="str">
            <v>Zestia</v>
          </cell>
        </row>
        <row r="831">
          <cell r="A831" t="str">
            <v>SPRINGS</v>
          </cell>
          <cell r="C831" t="str">
            <v>AZ</v>
          </cell>
          <cell r="E831" t="str">
            <v>V2 Duplex</v>
          </cell>
          <cell r="F831">
            <v>330.51</v>
          </cell>
          <cell r="Q831" t="str">
            <v>AVAILABLE</v>
          </cell>
          <cell r="S831">
            <v>1588850</v>
          </cell>
          <cell r="T831">
            <v>1660000</v>
          </cell>
          <cell r="U831">
            <v>24600</v>
          </cell>
          <cell r="V831">
            <v>46550</v>
          </cell>
          <cell r="W831">
            <v>1588850</v>
          </cell>
          <cell r="Y831">
            <v>1660000</v>
          </cell>
          <cell r="AC831" t="str">
            <v>Ana Damásio</v>
          </cell>
          <cell r="AJ831" t="str">
            <v>Springs - At the Els</v>
          </cell>
        </row>
        <row r="832">
          <cell r="A832" t="str">
            <v>Palmares - Plots</v>
          </cell>
          <cell r="C832" t="str">
            <v>17</v>
          </cell>
          <cell r="E832" t="str">
            <v>Plot</v>
          </cell>
          <cell r="F832">
            <v>2404</v>
          </cell>
          <cell r="Q832" t="str">
            <v>AVAILABLE</v>
          </cell>
          <cell r="S832">
            <v>940000</v>
          </cell>
          <cell r="T832">
            <v>1150000</v>
          </cell>
          <cell r="W832">
            <v>1150000</v>
          </cell>
          <cell r="Y832">
            <v>1150000</v>
          </cell>
          <cell r="AB832">
            <v>46843</v>
          </cell>
          <cell r="AC832" t="str">
            <v>Sandra Viegas</v>
          </cell>
          <cell r="AJ832" t="str">
            <v>Palmares</v>
          </cell>
        </row>
        <row r="833">
          <cell r="A833" t="str">
            <v>NATURA VILLAGE 9</v>
          </cell>
          <cell r="C833" t="str">
            <v>B</v>
          </cell>
          <cell r="E833" t="str">
            <v>V3</v>
          </cell>
          <cell r="F833">
            <v>192.99</v>
          </cell>
          <cell r="Q833" t="str">
            <v>AVAILABLE</v>
          </cell>
          <cell r="S833">
            <v>1120000</v>
          </cell>
          <cell r="T833">
            <v>1120000</v>
          </cell>
          <cell r="W833">
            <v>1120000</v>
          </cell>
          <cell r="Y833">
            <v>1120000</v>
          </cell>
          <cell r="AC833" t="str">
            <v>Ana Damásio</v>
          </cell>
          <cell r="AJ833" t="str">
            <v>Natura Village</v>
          </cell>
        </row>
        <row r="834">
          <cell r="A834" t="str">
            <v>Rivus</v>
          </cell>
          <cell r="C834" t="str">
            <v>B</v>
          </cell>
          <cell r="E834" t="str">
            <v>T3</v>
          </cell>
          <cell r="Q834" t="str">
            <v>AVAILABLE</v>
          </cell>
          <cell r="S834">
            <v>950000</v>
          </cell>
          <cell r="T834">
            <v>950000</v>
          </cell>
          <cell r="W834">
            <v>950000</v>
          </cell>
          <cell r="Y834">
            <v>940000</v>
          </cell>
          <cell r="AC834" t="str">
            <v>Ana Damásio</v>
          </cell>
          <cell r="AJ834" t="str">
            <v>Rivus</v>
          </cell>
        </row>
        <row r="835">
          <cell r="A835" t="str">
            <v>SPRINGS</v>
          </cell>
          <cell r="C835" t="str">
            <v>B</v>
          </cell>
          <cell r="E835" t="str">
            <v>V3</v>
          </cell>
          <cell r="F835">
            <v>323.58999999999997</v>
          </cell>
          <cell r="Q835" t="str">
            <v>AVAILABLE</v>
          </cell>
          <cell r="S835">
            <v>1741050</v>
          </cell>
          <cell r="T835">
            <v>1830000</v>
          </cell>
          <cell r="U835">
            <v>24600</v>
          </cell>
          <cell r="V835">
            <v>64350</v>
          </cell>
          <cell r="W835">
            <v>1741050</v>
          </cell>
          <cell r="Y835">
            <v>1830000</v>
          </cell>
          <cell r="AC835" t="str">
            <v>Ana Damásio</v>
          </cell>
          <cell r="AJ835" t="str">
            <v>Springs - At the Els</v>
          </cell>
        </row>
        <row r="836">
          <cell r="A836" t="str">
            <v>VP - TOWNHOUSES</v>
          </cell>
          <cell r="C836" t="str">
            <v>7B</v>
          </cell>
          <cell r="E836" t="str">
            <v>V3</v>
          </cell>
          <cell r="F836">
            <v>338.27</v>
          </cell>
          <cell r="Q836" t="str">
            <v>AVAILABLE</v>
          </cell>
          <cell r="S836">
            <v>990000</v>
          </cell>
          <cell r="T836">
            <v>1060000</v>
          </cell>
          <cell r="W836">
            <v>1060000</v>
          </cell>
          <cell r="AB836">
            <v>47208</v>
          </cell>
          <cell r="AC836" t="str">
            <v>João Gameiro</v>
          </cell>
          <cell r="AJ836" t="str">
            <v>Vale Pisão Grand Park</v>
          </cell>
        </row>
        <row r="837">
          <cell r="A837" t="str">
            <v>MR -LT da Casa do Campo</v>
          </cell>
          <cell r="C837" t="str">
            <v>2</v>
          </cell>
          <cell r="E837" t="str">
            <v>Plot</v>
          </cell>
          <cell r="F837">
            <v>450</v>
          </cell>
          <cell r="Q837" t="str">
            <v>AVAILABLE</v>
          </cell>
          <cell r="S837">
            <v>997000</v>
          </cell>
          <cell r="T837">
            <v>860000</v>
          </cell>
          <cell r="W837">
            <v>860000</v>
          </cell>
          <cell r="AB837" t="str">
            <v>TBD</v>
          </cell>
          <cell r="AC837" t="str">
            <v>Sandra Viegas</v>
          </cell>
          <cell r="AJ837" t="str">
            <v>Monte Rei</v>
          </cell>
        </row>
        <row r="838">
          <cell r="A838" t="str">
            <v>ZESTIA</v>
          </cell>
          <cell r="C838" t="str">
            <v>B</v>
          </cell>
          <cell r="E838" t="str">
            <v>T2 LO</v>
          </cell>
          <cell r="F838">
            <v>117.3</v>
          </cell>
          <cell r="Q838" t="str">
            <v>AVAILABLE</v>
          </cell>
          <cell r="S838">
            <v>725271.8</v>
          </cell>
          <cell r="T838">
            <v>790000</v>
          </cell>
          <cell r="U838">
            <v>24600</v>
          </cell>
          <cell r="V838">
            <v>40000</v>
          </cell>
          <cell r="W838">
            <v>725400</v>
          </cell>
          <cell r="Y838">
            <v>790000</v>
          </cell>
          <cell r="AC838" t="str">
            <v>Ana Damásio</v>
          </cell>
          <cell r="AJ838" t="str">
            <v>Zestia</v>
          </cell>
        </row>
        <row r="839">
          <cell r="A839" t="str">
            <v>MR - LT Miradouro Village</v>
          </cell>
          <cell r="C839" t="str">
            <v>1</v>
          </cell>
          <cell r="E839" t="str">
            <v>Plot</v>
          </cell>
          <cell r="F839">
            <v>396.9</v>
          </cell>
          <cell r="Q839" t="str">
            <v>AVAILABLE</v>
          </cell>
          <cell r="S839">
            <v>1000000</v>
          </cell>
          <cell r="T839">
            <v>890000</v>
          </cell>
          <cell r="W839">
            <v>890000</v>
          </cell>
          <cell r="AB839" t="str">
            <v>TBD</v>
          </cell>
          <cell r="AC839" t="str">
            <v>Sandra Viegas</v>
          </cell>
          <cell r="AJ839" t="str">
            <v>Monte Rei</v>
          </cell>
        </row>
        <row r="840">
          <cell r="A840" t="str">
            <v>MR - LT Miradouro Village</v>
          </cell>
          <cell r="C840" t="str">
            <v>2</v>
          </cell>
          <cell r="E840" t="str">
            <v>Plot</v>
          </cell>
          <cell r="F840">
            <v>396.9</v>
          </cell>
          <cell r="Q840" t="str">
            <v>AVAILABLE</v>
          </cell>
          <cell r="S840">
            <v>1000000</v>
          </cell>
          <cell r="T840">
            <v>850000</v>
          </cell>
          <cell r="W840">
            <v>850000</v>
          </cell>
          <cell r="AB840" t="str">
            <v>TBD</v>
          </cell>
          <cell r="AC840" t="str">
            <v>Sandra Viegas</v>
          </cell>
          <cell r="AJ840" t="str">
            <v>Monte Rei</v>
          </cell>
        </row>
        <row r="841">
          <cell r="A841" t="str">
            <v>MR - LT Miradouro Village</v>
          </cell>
          <cell r="C841" t="str">
            <v>3</v>
          </cell>
          <cell r="E841" t="str">
            <v>Plot</v>
          </cell>
          <cell r="F841">
            <v>373.55</v>
          </cell>
          <cell r="Q841" t="str">
            <v>AVAILABLE</v>
          </cell>
          <cell r="S841">
            <v>1000000</v>
          </cell>
          <cell r="T841">
            <v>800000</v>
          </cell>
          <cell r="W841">
            <v>800000</v>
          </cell>
          <cell r="AB841" t="str">
            <v>TBD</v>
          </cell>
          <cell r="AC841" t="str">
            <v>Sandra Viegas</v>
          </cell>
          <cell r="AJ841" t="str">
            <v>Monte Rei</v>
          </cell>
        </row>
        <row r="842">
          <cell r="A842" t="str">
            <v>MR - LT Miradouro Village</v>
          </cell>
          <cell r="C842" t="str">
            <v>4</v>
          </cell>
          <cell r="E842" t="str">
            <v>Plot</v>
          </cell>
          <cell r="F842">
            <v>373.55</v>
          </cell>
          <cell r="Q842" t="str">
            <v>AVAILABLE</v>
          </cell>
          <cell r="S842">
            <v>1000000</v>
          </cell>
          <cell r="T842">
            <v>800000</v>
          </cell>
          <cell r="W842">
            <v>800000</v>
          </cell>
          <cell r="AB842" t="str">
            <v>TBD</v>
          </cell>
          <cell r="AC842" t="str">
            <v>Sandra Viegas</v>
          </cell>
          <cell r="AJ842" t="str">
            <v>Monte Rei</v>
          </cell>
        </row>
        <row r="843">
          <cell r="A843" t="str">
            <v>MR - LT Miradouro Village</v>
          </cell>
          <cell r="C843" t="str">
            <v>5</v>
          </cell>
          <cell r="E843" t="str">
            <v>Plot</v>
          </cell>
          <cell r="F843">
            <v>373.55</v>
          </cell>
          <cell r="Q843" t="str">
            <v>AVAILABLE</v>
          </cell>
          <cell r="S843">
            <v>1000000</v>
          </cell>
          <cell r="T843">
            <v>800000</v>
          </cell>
          <cell r="W843">
            <v>800000</v>
          </cell>
          <cell r="AB843" t="str">
            <v>TBD</v>
          </cell>
          <cell r="AC843" t="str">
            <v>Sandra Viegas</v>
          </cell>
          <cell r="AJ843" t="str">
            <v>Monte Rei</v>
          </cell>
        </row>
        <row r="844">
          <cell r="A844" t="str">
            <v>MR - LT Miradouro Village</v>
          </cell>
          <cell r="C844" t="str">
            <v>6</v>
          </cell>
          <cell r="E844" t="str">
            <v>Plot</v>
          </cell>
          <cell r="F844">
            <v>373.55</v>
          </cell>
          <cell r="Q844" t="str">
            <v>AVAILABLE</v>
          </cell>
          <cell r="S844">
            <v>1000000</v>
          </cell>
          <cell r="T844">
            <v>810000</v>
          </cell>
          <cell r="W844">
            <v>810000</v>
          </cell>
          <cell r="AB844" t="str">
            <v>TBD</v>
          </cell>
          <cell r="AC844" t="str">
            <v>Sandra Viegas</v>
          </cell>
          <cell r="AJ844" t="str">
            <v>Monte Rei</v>
          </cell>
        </row>
        <row r="845">
          <cell r="A845" t="str">
            <v>MR - LT Miradouro Village</v>
          </cell>
          <cell r="C845" t="str">
            <v>7</v>
          </cell>
          <cell r="E845" t="str">
            <v>Plot</v>
          </cell>
          <cell r="F845">
            <v>373.55</v>
          </cell>
          <cell r="Q845" t="str">
            <v>AVAILABLE</v>
          </cell>
          <cell r="S845">
            <v>1000000</v>
          </cell>
          <cell r="T845">
            <v>790000</v>
          </cell>
          <cell r="W845">
            <v>790000</v>
          </cell>
          <cell r="AB845" t="str">
            <v>TBD</v>
          </cell>
          <cell r="AC845" t="str">
            <v>Sandra Viegas</v>
          </cell>
          <cell r="AJ845" t="str">
            <v>Monte Rei</v>
          </cell>
        </row>
        <row r="846">
          <cell r="A846" t="str">
            <v>MR - LT Miradouro Village</v>
          </cell>
          <cell r="C846" t="str">
            <v>8</v>
          </cell>
          <cell r="E846" t="str">
            <v>Plot</v>
          </cell>
          <cell r="F846">
            <v>373.55</v>
          </cell>
          <cell r="Q846" t="str">
            <v>AVAILABLE</v>
          </cell>
          <cell r="S846">
            <v>1000000</v>
          </cell>
          <cell r="T846">
            <v>770000</v>
          </cell>
          <cell r="W846">
            <v>770000</v>
          </cell>
          <cell r="AB846" t="str">
            <v>TBD</v>
          </cell>
          <cell r="AC846" t="str">
            <v>Sandra Viegas</v>
          </cell>
          <cell r="AJ846" t="str">
            <v>Monte Rei</v>
          </cell>
        </row>
        <row r="847">
          <cell r="A847" t="str">
            <v>MR - LT Miradouro Village</v>
          </cell>
          <cell r="C847" t="str">
            <v>9</v>
          </cell>
          <cell r="E847" t="str">
            <v>Plot</v>
          </cell>
          <cell r="F847">
            <v>373.55</v>
          </cell>
          <cell r="Q847" t="str">
            <v>AVAILABLE</v>
          </cell>
          <cell r="S847">
            <v>1000000</v>
          </cell>
          <cell r="T847">
            <v>780000</v>
          </cell>
          <cell r="W847">
            <v>780000</v>
          </cell>
          <cell r="AB847" t="str">
            <v>TBD</v>
          </cell>
          <cell r="AC847" t="str">
            <v>Sandra Viegas</v>
          </cell>
          <cell r="AJ847" t="str">
            <v>Monte Rei</v>
          </cell>
        </row>
        <row r="848">
          <cell r="A848" t="str">
            <v>MR - LT Miradouro Village</v>
          </cell>
          <cell r="C848" t="str">
            <v>10</v>
          </cell>
          <cell r="E848" t="str">
            <v>Plot</v>
          </cell>
          <cell r="F848">
            <v>373.55</v>
          </cell>
          <cell r="Q848" t="str">
            <v>AVAILABLE</v>
          </cell>
          <cell r="S848">
            <v>1000000</v>
          </cell>
          <cell r="T848">
            <v>770000</v>
          </cell>
          <cell r="W848">
            <v>770000</v>
          </cell>
          <cell r="AB848" t="str">
            <v>TBD</v>
          </cell>
          <cell r="AC848" t="str">
            <v>Sandra Viegas</v>
          </cell>
          <cell r="AJ848" t="str">
            <v>Monte Rei</v>
          </cell>
        </row>
        <row r="849">
          <cell r="A849" t="str">
            <v>MR - LT Miradouro Village</v>
          </cell>
          <cell r="C849" t="str">
            <v>11</v>
          </cell>
          <cell r="E849" t="str">
            <v>Plot</v>
          </cell>
          <cell r="F849">
            <v>373.55</v>
          </cell>
          <cell r="Q849" t="str">
            <v>AVAILABLE</v>
          </cell>
          <cell r="S849">
            <v>1000000</v>
          </cell>
          <cell r="T849">
            <v>710000</v>
          </cell>
          <cell r="W849">
            <v>710000</v>
          </cell>
          <cell r="AB849" t="str">
            <v>TBD</v>
          </cell>
          <cell r="AC849" t="str">
            <v>Sandra Viegas</v>
          </cell>
          <cell r="AJ849" t="str">
            <v>Monte Rei</v>
          </cell>
        </row>
        <row r="850">
          <cell r="A850" t="str">
            <v>MR - LT Miradouro Village</v>
          </cell>
          <cell r="C850" t="str">
            <v>16</v>
          </cell>
          <cell r="E850" t="str">
            <v>Plot</v>
          </cell>
          <cell r="F850">
            <v>396.9</v>
          </cell>
          <cell r="Q850" t="str">
            <v>AVAILABLE</v>
          </cell>
          <cell r="S850">
            <v>1000000</v>
          </cell>
          <cell r="T850">
            <v>820000</v>
          </cell>
          <cell r="W850">
            <v>820000</v>
          </cell>
          <cell r="AB850" t="str">
            <v>TBD</v>
          </cell>
          <cell r="AC850" t="str">
            <v>Sandra Viegas</v>
          </cell>
          <cell r="AJ850" t="str">
            <v>Monte Rei</v>
          </cell>
        </row>
        <row r="851">
          <cell r="A851" t="str">
            <v>MR - LT Miradouro Village</v>
          </cell>
          <cell r="C851" t="str">
            <v>17</v>
          </cell>
          <cell r="E851" t="str">
            <v>Plot</v>
          </cell>
          <cell r="F851">
            <v>396.9</v>
          </cell>
          <cell r="Q851" t="str">
            <v>AVAILABLE</v>
          </cell>
          <cell r="S851">
            <v>1000000</v>
          </cell>
          <cell r="T851">
            <v>840000</v>
          </cell>
          <cell r="W851">
            <v>840000</v>
          </cell>
          <cell r="AB851" t="str">
            <v>TBD</v>
          </cell>
          <cell r="AC851" t="str">
            <v>Sandra Viegas</v>
          </cell>
          <cell r="AJ851" t="str">
            <v>Monte Rei</v>
          </cell>
        </row>
        <row r="852">
          <cell r="A852" t="str">
            <v>MR - LT Miradouro Village</v>
          </cell>
          <cell r="C852" t="str">
            <v>22</v>
          </cell>
          <cell r="E852" t="str">
            <v>Plot</v>
          </cell>
          <cell r="F852">
            <v>396.9</v>
          </cell>
          <cell r="Q852" t="str">
            <v>AVAILABLE</v>
          </cell>
          <cell r="S852">
            <v>1000000</v>
          </cell>
          <cell r="T852">
            <v>860000</v>
          </cell>
          <cell r="W852">
            <v>860000</v>
          </cell>
          <cell r="AB852" t="str">
            <v>TBD</v>
          </cell>
          <cell r="AC852" t="str">
            <v>Sandra Viegas</v>
          </cell>
          <cell r="AJ852" t="str">
            <v>Monte Rei</v>
          </cell>
        </row>
        <row r="853">
          <cell r="A853" t="str">
            <v>Palmares - Plots</v>
          </cell>
          <cell r="C853" t="str">
            <v>20</v>
          </cell>
          <cell r="E853" t="str">
            <v>Plot</v>
          </cell>
          <cell r="F853">
            <v>2718</v>
          </cell>
          <cell r="Q853" t="str">
            <v>AVAILABLE</v>
          </cell>
          <cell r="S853">
            <v>980000</v>
          </cell>
          <cell r="T853">
            <v>1750000</v>
          </cell>
          <cell r="W853">
            <v>1750000</v>
          </cell>
          <cell r="Y853">
            <v>1750000</v>
          </cell>
          <cell r="AB853">
            <v>46843</v>
          </cell>
          <cell r="AC853" t="str">
            <v>Sandra Viegas</v>
          </cell>
          <cell r="AJ853" t="str">
            <v>Palmares</v>
          </cell>
        </row>
        <row r="854">
          <cell r="A854" t="str">
            <v>BOTÂNICA</v>
          </cell>
          <cell r="C854" t="str">
            <v>BA</v>
          </cell>
          <cell r="E854" t="str">
            <v>T3</v>
          </cell>
          <cell r="F854">
            <v>195.86</v>
          </cell>
          <cell r="Q854" t="str">
            <v>AVAILABLE</v>
          </cell>
          <cell r="S854">
            <v>1493510.2</v>
          </cell>
          <cell r="T854">
            <v>1575000</v>
          </cell>
          <cell r="W854">
            <v>1575000</v>
          </cell>
          <cell r="Y854">
            <v>1560000</v>
          </cell>
          <cell r="AC854" t="str">
            <v>Ana Damásio</v>
          </cell>
          <cell r="AJ854" t="str">
            <v>Botanica</v>
          </cell>
        </row>
        <row r="855">
          <cell r="A855" t="str">
            <v>SPRINGS</v>
          </cell>
          <cell r="C855" t="str">
            <v>BA</v>
          </cell>
          <cell r="E855" t="str">
            <v>V2 Duplex</v>
          </cell>
          <cell r="F855">
            <v>330.51</v>
          </cell>
          <cell r="Q855" t="str">
            <v>AVAILABLE</v>
          </cell>
          <cell r="S855">
            <v>1608850</v>
          </cell>
          <cell r="T855">
            <v>1680000</v>
          </cell>
          <cell r="U855">
            <v>24600</v>
          </cell>
          <cell r="V855">
            <v>46550</v>
          </cell>
          <cell r="W855">
            <v>1608850</v>
          </cell>
          <cell r="Y855">
            <v>1680000</v>
          </cell>
          <cell r="AC855" t="str">
            <v>Ana Damásio</v>
          </cell>
          <cell r="AJ855" t="str">
            <v>Springs - At the Els</v>
          </cell>
        </row>
        <row r="856">
          <cell r="A856" t="str">
            <v>ZESTIA</v>
          </cell>
          <cell r="C856" t="str">
            <v>BA</v>
          </cell>
          <cell r="E856" t="str">
            <v>T2</v>
          </cell>
          <cell r="F856">
            <v>138.88</v>
          </cell>
          <cell r="Q856" t="str">
            <v>AVAILABLE</v>
          </cell>
          <cell r="S856">
            <v>872141.228</v>
          </cell>
          <cell r="T856">
            <v>940000</v>
          </cell>
          <cell r="U856">
            <v>24600</v>
          </cell>
          <cell r="V856">
            <v>40000</v>
          </cell>
          <cell r="W856">
            <v>875400</v>
          </cell>
          <cell r="Y856">
            <v>940000</v>
          </cell>
          <cell r="AC856" t="str">
            <v>Ana Damásio</v>
          </cell>
          <cell r="AJ856" t="str">
            <v>Zestia</v>
          </cell>
        </row>
        <row r="857">
          <cell r="A857" t="str">
            <v>SPRINGS</v>
          </cell>
          <cell r="C857" t="str">
            <v>BB</v>
          </cell>
          <cell r="E857" t="str">
            <v>V3 Duplex</v>
          </cell>
          <cell r="F857">
            <v>485.91</v>
          </cell>
          <cell r="Q857" t="str">
            <v>AVAILABLE</v>
          </cell>
          <cell r="S857">
            <v>1844100</v>
          </cell>
          <cell r="T857">
            <v>1930000</v>
          </cell>
          <cell r="U857">
            <v>24600</v>
          </cell>
          <cell r="V857">
            <v>61300</v>
          </cell>
          <cell r="W857">
            <v>1844100</v>
          </cell>
          <cell r="Y857">
            <v>1930000</v>
          </cell>
          <cell r="AC857" t="str">
            <v>Ana Damásio</v>
          </cell>
          <cell r="AJ857" t="str">
            <v>Springs - At the Els</v>
          </cell>
        </row>
        <row r="858">
          <cell r="A858" t="str">
            <v>MR -LT da Casa do Campo</v>
          </cell>
          <cell r="C858" t="str">
            <v>3</v>
          </cell>
          <cell r="E858" t="str">
            <v>Plot</v>
          </cell>
          <cell r="F858">
            <v>450</v>
          </cell>
          <cell r="Q858" t="str">
            <v>AVAILABLE</v>
          </cell>
          <cell r="S858">
            <v>1010000</v>
          </cell>
          <cell r="T858">
            <v>860000</v>
          </cell>
          <cell r="W858">
            <v>860000</v>
          </cell>
          <cell r="AB858" t="str">
            <v>TBD</v>
          </cell>
          <cell r="AC858" t="str">
            <v>Sandra Viegas</v>
          </cell>
          <cell r="AJ858" t="str">
            <v>Monte Rei</v>
          </cell>
        </row>
        <row r="859">
          <cell r="A859" t="str">
            <v>ZESTIA</v>
          </cell>
          <cell r="C859" t="str">
            <v>BB</v>
          </cell>
          <cell r="E859" t="str">
            <v>T2 LO</v>
          </cell>
          <cell r="F859">
            <v>131.33000000000001</v>
          </cell>
          <cell r="Q859" t="str">
            <v>AVAILABLE</v>
          </cell>
          <cell r="S859">
            <v>891497.58559999999</v>
          </cell>
          <cell r="T859">
            <v>960000</v>
          </cell>
          <cell r="U859">
            <v>24600</v>
          </cell>
          <cell r="V859">
            <v>40000</v>
          </cell>
          <cell r="W859">
            <v>895400</v>
          </cell>
          <cell r="Y859">
            <v>960000</v>
          </cell>
          <cell r="AC859" t="str">
            <v>Ana Damásio</v>
          </cell>
          <cell r="AJ859" t="str">
            <v>Zestia</v>
          </cell>
        </row>
        <row r="860">
          <cell r="A860" t="str">
            <v>SPRINGS</v>
          </cell>
          <cell r="C860" t="str">
            <v>BC</v>
          </cell>
          <cell r="E860" t="str">
            <v>V3 Duplex</v>
          </cell>
          <cell r="F860">
            <v>577.83000000000004</v>
          </cell>
          <cell r="Q860" t="str">
            <v>AVAILABLE</v>
          </cell>
          <cell r="S860">
            <v>1904100</v>
          </cell>
          <cell r="T860">
            <v>1990000</v>
          </cell>
          <cell r="U860">
            <v>24600</v>
          </cell>
          <cell r="V860">
            <v>61300</v>
          </cell>
          <cell r="W860">
            <v>1904100</v>
          </cell>
          <cell r="Y860">
            <v>1990000</v>
          </cell>
          <cell r="AC860" t="str">
            <v>Ana Damásio</v>
          </cell>
          <cell r="AJ860" t="str">
            <v>Springs - At the Els</v>
          </cell>
        </row>
        <row r="861">
          <cell r="A861" t="str">
            <v>MR -LT da Casa do Campo</v>
          </cell>
          <cell r="C861" t="str">
            <v>4</v>
          </cell>
          <cell r="E861" t="str">
            <v>Plot</v>
          </cell>
          <cell r="F861">
            <v>450</v>
          </cell>
          <cell r="Q861" t="str">
            <v>AVAILABLE</v>
          </cell>
          <cell r="S861">
            <v>1017000</v>
          </cell>
          <cell r="T861">
            <v>860000</v>
          </cell>
          <cell r="W861">
            <v>860000</v>
          </cell>
          <cell r="AB861" t="str">
            <v>TBD</v>
          </cell>
          <cell r="AC861" t="str">
            <v>Sandra Viegas</v>
          </cell>
          <cell r="AJ861" t="str">
            <v>Monte Rei</v>
          </cell>
        </row>
        <row r="862">
          <cell r="A862" t="str">
            <v>BOTÂNICA</v>
          </cell>
          <cell r="C862" t="str">
            <v>BD</v>
          </cell>
          <cell r="E862" t="str">
            <v>T2</v>
          </cell>
          <cell r="F862">
            <v>215.97</v>
          </cell>
          <cell r="Q862" t="str">
            <v>AVAILABLE</v>
          </cell>
          <cell r="S862">
            <v>1166778.6240000001</v>
          </cell>
          <cell r="T862">
            <v>1225000</v>
          </cell>
          <cell r="W862">
            <v>1225000</v>
          </cell>
          <cell r="Y862">
            <v>1205100</v>
          </cell>
          <cell r="AC862" t="str">
            <v>Ana Damásio</v>
          </cell>
          <cell r="AJ862" t="str">
            <v>Botanica</v>
          </cell>
        </row>
        <row r="863">
          <cell r="A863" t="str">
            <v>SPRINGS</v>
          </cell>
          <cell r="C863" t="str">
            <v>BD</v>
          </cell>
          <cell r="E863" t="str">
            <v>V3 Duplex</v>
          </cell>
          <cell r="F863">
            <v>449.88</v>
          </cell>
          <cell r="Q863" t="str">
            <v>AVAILABLE</v>
          </cell>
          <cell r="S863">
            <v>1994100</v>
          </cell>
          <cell r="T863">
            <v>2080000</v>
          </cell>
          <cell r="U863">
            <v>24600</v>
          </cell>
          <cell r="V863">
            <v>61300</v>
          </cell>
          <cell r="W863">
            <v>1994100</v>
          </cell>
          <cell r="Y863">
            <v>2080000</v>
          </cell>
          <cell r="AC863" t="str">
            <v>Ana Damásio</v>
          </cell>
          <cell r="AJ863" t="str">
            <v>Springs - At the Els</v>
          </cell>
        </row>
        <row r="864">
          <cell r="A864" t="str">
            <v>ZESTIA</v>
          </cell>
          <cell r="C864" t="str">
            <v>BD</v>
          </cell>
          <cell r="E864" t="str">
            <v>T2 LO</v>
          </cell>
          <cell r="F864">
            <v>121.24</v>
          </cell>
          <cell r="Q864" t="str">
            <v>AVAILABLE</v>
          </cell>
          <cell r="S864">
            <v>815525.16</v>
          </cell>
          <cell r="T864">
            <v>890000</v>
          </cell>
          <cell r="U864">
            <v>24600</v>
          </cell>
          <cell r="V864">
            <v>40000</v>
          </cell>
          <cell r="W864">
            <v>825400</v>
          </cell>
          <cell r="Y864">
            <v>890000</v>
          </cell>
          <cell r="AC864" t="str">
            <v>Ana Damásio</v>
          </cell>
          <cell r="AJ864" t="str">
            <v>Zestia</v>
          </cell>
        </row>
        <row r="865">
          <cell r="A865" t="str">
            <v>BOTÂNICA</v>
          </cell>
          <cell r="C865" t="str">
            <v>BE</v>
          </cell>
          <cell r="E865" t="str">
            <v>T2</v>
          </cell>
          <cell r="F865">
            <v>212.48</v>
          </cell>
          <cell r="Q865" t="str">
            <v>AVAILABLE</v>
          </cell>
          <cell r="S865">
            <v>1192356.9240000001</v>
          </cell>
          <cell r="T865">
            <v>1250000</v>
          </cell>
          <cell r="W865">
            <v>1250000</v>
          </cell>
          <cell r="Y865">
            <v>1248000</v>
          </cell>
          <cell r="AC865" t="str">
            <v>Ana Damásio</v>
          </cell>
          <cell r="AJ865" t="str">
            <v>Botanica</v>
          </cell>
        </row>
        <row r="866">
          <cell r="A866" t="str">
            <v>SPRINGS</v>
          </cell>
          <cell r="C866" t="str">
            <v>BE</v>
          </cell>
          <cell r="E866" t="str">
            <v>V3 Duplex</v>
          </cell>
          <cell r="F866">
            <v>414.3</v>
          </cell>
          <cell r="Q866" t="str">
            <v>AVAILABLE</v>
          </cell>
          <cell r="S866">
            <v>1964100</v>
          </cell>
          <cell r="T866">
            <v>2050000</v>
          </cell>
          <cell r="U866">
            <v>24600</v>
          </cell>
          <cell r="V866">
            <v>61300</v>
          </cell>
          <cell r="W866">
            <v>1964100</v>
          </cell>
          <cell r="Y866">
            <v>2050000</v>
          </cell>
          <cell r="AC866" t="str">
            <v>Ana Damásio</v>
          </cell>
          <cell r="AJ866" t="str">
            <v>Springs - At the Els</v>
          </cell>
        </row>
        <row r="867">
          <cell r="A867" t="str">
            <v>TERRACOTA</v>
          </cell>
          <cell r="C867" t="str">
            <v>BE</v>
          </cell>
          <cell r="E867" t="str">
            <v>T4</v>
          </cell>
          <cell r="F867">
            <v>157.13999999999999</v>
          </cell>
          <cell r="Q867" t="str">
            <v>AVAILABLE</v>
          </cell>
          <cell r="S867">
            <v>925000</v>
          </cell>
          <cell r="T867">
            <v>925000</v>
          </cell>
          <cell r="W867">
            <v>925000</v>
          </cell>
          <cell r="Y867">
            <v>925000</v>
          </cell>
          <cell r="AC867" t="str">
            <v>Ana Damásio</v>
          </cell>
          <cell r="AJ867" t="str">
            <v>Terracota</v>
          </cell>
        </row>
        <row r="868">
          <cell r="A868" t="str">
            <v>ZESTIA</v>
          </cell>
          <cell r="C868" t="str">
            <v>BE</v>
          </cell>
          <cell r="E868" t="str">
            <v>T2 LO</v>
          </cell>
          <cell r="F868">
            <v>117.38</v>
          </cell>
          <cell r="Q868" t="str">
            <v>AVAILABLE</v>
          </cell>
          <cell r="S868">
            <v>806183.81440000003</v>
          </cell>
          <cell r="T868">
            <v>890000</v>
          </cell>
          <cell r="U868">
            <v>24600</v>
          </cell>
          <cell r="V868">
            <v>40000</v>
          </cell>
          <cell r="W868">
            <v>825400</v>
          </cell>
          <cell r="Y868">
            <v>890000</v>
          </cell>
          <cell r="AC868" t="str">
            <v>Ana Damásio</v>
          </cell>
          <cell r="AJ868" t="str">
            <v>Zestia</v>
          </cell>
        </row>
        <row r="869">
          <cell r="A869" t="str">
            <v>SPRINGS</v>
          </cell>
          <cell r="C869" t="str">
            <v>BF</v>
          </cell>
          <cell r="E869" t="str">
            <v>V2 Duplex</v>
          </cell>
          <cell r="F869">
            <v>324.14999999999998</v>
          </cell>
          <cell r="Q869" t="str">
            <v>AVAILABLE</v>
          </cell>
          <cell r="S869">
            <v>1758850</v>
          </cell>
          <cell r="T869">
            <v>1830000</v>
          </cell>
          <cell r="U869">
            <v>24600</v>
          </cell>
          <cell r="V869">
            <v>46550</v>
          </cell>
          <cell r="W869">
            <v>1758850</v>
          </cell>
          <cell r="Y869">
            <v>1830000</v>
          </cell>
          <cell r="AC869" t="str">
            <v>Ana Damásio</v>
          </cell>
          <cell r="AJ869" t="str">
            <v>Springs - At the Els</v>
          </cell>
        </row>
        <row r="870">
          <cell r="A870" t="str">
            <v>ZESTIA</v>
          </cell>
          <cell r="C870" t="str">
            <v>BF</v>
          </cell>
          <cell r="E870" t="str">
            <v>T3 LO</v>
          </cell>
          <cell r="F870">
            <v>477.84</v>
          </cell>
          <cell r="Q870" t="str">
            <v>AVAILABLE</v>
          </cell>
          <cell r="S870">
            <v>2249835.7856000001</v>
          </cell>
          <cell r="T870">
            <v>2380000</v>
          </cell>
          <cell r="U870">
            <v>24600</v>
          </cell>
          <cell r="V870">
            <v>100000</v>
          </cell>
          <cell r="W870">
            <v>2255400</v>
          </cell>
          <cell r="Y870">
            <v>2380000</v>
          </cell>
          <cell r="AC870" t="str">
            <v>Ana Damásio</v>
          </cell>
          <cell r="AJ870" t="str">
            <v>Zestia</v>
          </cell>
        </row>
        <row r="871">
          <cell r="A871" t="str">
            <v>SPRINGS</v>
          </cell>
          <cell r="C871" t="str">
            <v>BG</v>
          </cell>
          <cell r="E871" t="str">
            <v>V2 Duplex</v>
          </cell>
          <cell r="F871">
            <v>333.99</v>
          </cell>
          <cell r="Q871" t="str">
            <v>AVAILABLE</v>
          </cell>
          <cell r="S871">
            <v>1738850</v>
          </cell>
          <cell r="T871">
            <v>1810000</v>
          </cell>
          <cell r="U871">
            <v>24600</v>
          </cell>
          <cell r="V871">
            <v>46550</v>
          </cell>
          <cell r="W871">
            <v>1738850</v>
          </cell>
          <cell r="Y871">
            <v>1810000</v>
          </cell>
          <cell r="AC871" t="str">
            <v>Ana Damásio</v>
          </cell>
          <cell r="AJ871" t="str">
            <v>Springs - At the Els</v>
          </cell>
        </row>
        <row r="872">
          <cell r="A872" t="str">
            <v>TERRACOTA</v>
          </cell>
          <cell r="C872" t="str">
            <v>BG</v>
          </cell>
          <cell r="E872" t="str">
            <v>T4</v>
          </cell>
          <cell r="F872">
            <v>157.13999999999999</v>
          </cell>
          <cell r="Q872" t="str">
            <v>AVAILABLE</v>
          </cell>
          <cell r="S872">
            <v>925000</v>
          </cell>
          <cell r="T872">
            <v>925000</v>
          </cell>
          <cell r="W872">
            <v>925000</v>
          </cell>
          <cell r="Y872">
            <v>925000</v>
          </cell>
          <cell r="AC872" t="str">
            <v>Ana Damásio</v>
          </cell>
          <cell r="AJ872" t="str">
            <v>Terracota</v>
          </cell>
        </row>
        <row r="873">
          <cell r="A873" t="str">
            <v>ZESTIA</v>
          </cell>
          <cell r="C873" t="str">
            <v>BG</v>
          </cell>
          <cell r="E873" t="str">
            <v>T2 LO</v>
          </cell>
          <cell r="F873">
            <v>127.58</v>
          </cell>
          <cell r="Q873" t="str">
            <v>AVAILABLE</v>
          </cell>
          <cell r="S873">
            <v>830420.94559999998</v>
          </cell>
          <cell r="T873">
            <v>900000</v>
          </cell>
          <cell r="U873">
            <v>24600</v>
          </cell>
          <cell r="V873">
            <v>40000</v>
          </cell>
          <cell r="W873">
            <v>835400</v>
          </cell>
          <cell r="Y873">
            <v>900000</v>
          </cell>
          <cell r="AC873" t="str">
            <v>Ana Damásio</v>
          </cell>
          <cell r="AJ873" t="str">
            <v>Zestia</v>
          </cell>
        </row>
        <row r="874">
          <cell r="A874" t="str">
            <v>Aroeira - HOTEL APARTMENTS</v>
          </cell>
          <cell r="C874" t="str">
            <v>310A</v>
          </cell>
          <cell r="E874" t="str">
            <v>1-BR</v>
          </cell>
          <cell r="F874">
            <v>72.5</v>
          </cell>
          <cell r="Q874" t="str">
            <v>AVAILABLE</v>
          </cell>
          <cell r="S874">
            <v>500000</v>
          </cell>
          <cell r="T874">
            <v>500000</v>
          </cell>
          <cell r="V874">
            <v>35000</v>
          </cell>
          <cell r="W874">
            <v>465000</v>
          </cell>
          <cell r="AB874">
            <v>47118</v>
          </cell>
          <cell r="AC874" t="str">
            <v>João Gameiro</v>
          </cell>
          <cell r="AJ874" t="str">
            <v>Aroeira Collections</v>
          </cell>
        </row>
        <row r="875">
          <cell r="A875" t="str">
            <v>VP - TOWNHOUSES</v>
          </cell>
          <cell r="C875" t="str">
            <v>9B</v>
          </cell>
          <cell r="E875" t="str">
            <v>V3</v>
          </cell>
          <cell r="F875">
            <v>336.52</v>
          </cell>
          <cell r="Q875" t="str">
            <v>AVAILABLE</v>
          </cell>
          <cell r="S875">
            <v>1060000</v>
          </cell>
          <cell r="T875">
            <v>1090000</v>
          </cell>
          <cell r="W875">
            <v>1090000</v>
          </cell>
          <cell r="AB875">
            <v>47208</v>
          </cell>
          <cell r="AC875" t="str">
            <v>João Gameiro</v>
          </cell>
          <cell r="AJ875" t="str">
            <v>Vale Pisão Grand Park</v>
          </cell>
        </row>
        <row r="876">
          <cell r="A876" t="str">
            <v>VP - TOWNHOUSES</v>
          </cell>
          <cell r="C876" t="str">
            <v>13B</v>
          </cell>
          <cell r="E876" t="str">
            <v>V3</v>
          </cell>
          <cell r="F876">
            <v>297.44</v>
          </cell>
          <cell r="Q876" t="str">
            <v>AVAILABLE</v>
          </cell>
          <cell r="S876">
            <v>1060000</v>
          </cell>
          <cell r="T876">
            <v>1090000</v>
          </cell>
          <cell r="W876">
            <v>1090000</v>
          </cell>
          <cell r="AB876">
            <v>47208</v>
          </cell>
          <cell r="AC876" t="str">
            <v>João Gameiro</v>
          </cell>
          <cell r="AJ876" t="str">
            <v>Vale Pisão Grand Park</v>
          </cell>
        </row>
        <row r="877">
          <cell r="A877" t="str">
            <v>VP - TOWNHOUSES</v>
          </cell>
          <cell r="C877" t="str">
            <v>14B</v>
          </cell>
          <cell r="E877" t="str">
            <v>V3</v>
          </cell>
          <cell r="F877">
            <v>301.74</v>
          </cell>
          <cell r="Q877" t="str">
            <v>AVAILABLE</v>
          </cell>
          <cell r="S877">
            <v>1060000</v>
          </cell>
          <cell r="T877">
            <v>1110000</v>
          </cell>
          <cell r="W877">
            <v>1110000</v>
          </cell>
          <cell r="AB877">
            <v>47208</v>
          </cell>
          <cell r="AC877" t="str">
            <v>João Gameiro</v>
          </cell>
          <cell r="AJ877" t="str">
            <v>Vale Pisão Grand Park</v>
          </cell>
        </row>
        <row r="878">
          <cell r="A878" t="str">
            <v>VP - TOWNHOUSES</v>
          </cell>
          <cell r="C878" t="str">
            <v>10B</v>
          </cell>
          <cell r="E878" t="str">
            <v>V3</v>
          </cell>
          <cell r="F878">
            <v>331.29</v>
          </cell>
          <cell r="Q878" t="str">
            <v>UPON  REQUEST</v>
          </cell>
          <cell r="S878">
            <v>1060000</v>
          </cell>
          <cell r="T878">
            <v>1090000</v>
          </cell>
          <cell r="W878">
            <v>1090000</v>
          </cell>
          <cell r="AB878">
            <v>47208</v>
          </cell>
          <cell r="AC878" t="str">
            <v>João Gameiro</v>
          </cell>
          <cell r="AJ878" t="str">
            <v>Vale Pisão Grand Park</v>
          </cell>
        </row>
        <row r="879">
          <cell r="A879" t="str">
            <v>VP - TOWNHOUSES</v>
          </cell>
          <cell r="C879" t="str">
            <v>11B</v>
          </cell>
          <cell r="E879" t="str">
            <v>V3</v>
          </cell>
          <cell r="F879">
            <v>321.44</v>
          </cell>
          <cell r="Q879" t="str">
            <v>UPON  REQUEST</v>
          </cell>
          <cell r="S879">
            <v>1060000</v>
          </cell>
          <cell r="T879">
            <v>1090000</v>
          </cell>
          <cell r="W879">
            <v>1090000</v>
          </cell>
          <cell r="AB879">
            <v>47208</v>
          </cell>
          <cell r="AC879" t="str">
            <v>João Gameiro</v>
          </cell>
          <cell r="AJ879" t="str">
            <v>Vale Pisão Grand Park</v>
          </cell>
        </row>
        <row r="880">
          <cell r="A880" t="str">
            <v>VP - TOWNHOUSES</v>
          </cell>
          <cell r="C880" t="str">
            <v>12B</v>
          </cell>
          <cell r="E880" t="str">
            <v>V3</v>
          </cell>
          <cell r="F880">
            <v>309.29000000000002</v>
          </cell>
          <cell r="Q880" t="str">
            <v>UPON  REQUEST</v>
          </cell>
          <cell r="S880">
            <v>1060000</v>
          </cell>
          <cell r="T880">
            <v>1110000</v>
          </cell>
          <cell r="W880">
            <v>1110000</v>
          </cell>
          <cell r="AB880">
            <v>47208</v>
          </cell>
          <cell r="AC880" t="str">
            <v>João Gameiro</v>
          </cell>
          <cell r="AJ880" t="str">
            <v>Vale Pisão Grand Park</v>
          </cell>
        </row>
        <row r="881">
          <cell r="A881" t="str">
            <v>VP - TOWNHOUSES</v>
          </cell>
          <cell r="C881" t="str">
            <v>1C</v>
          </cell>
          <cell r="E881" t="str">
            <v>V3+1</v>
          </cell>
          <cell r="F881">
            <v>346.47</v>
          </cell>
          <cell r="Q881" t="str">
            <v>UPON  REQUEST</v>
          </cell>
          <cell r="S881">
            <v>1060000</v>
          </cell>
          <cell r="T881">
            <v>1090000</v>
          </cell>
          <cell r="W881">
            <v>1090000</v>
          </cell>
          <cell r="AB881">
            <v>47208</v>
          </cell>
          <cell r="AC881" t="str">
            <v>João Gameiro</v>
          </cell>
          <cell r="AJ881" t="str">
            <v>Vale Pisão Grand Park</v>
          </cell>
        </row>
        <row r="882">
          <cell r="A882" t="str">
            <v>SPRINGS</v>
          </cell>
          <cell r="C882" t="str">
            <v>BH</v>
          </cell>
          <cell r="E882" t="str">
            <v>V2 Duplex</v>
          </cell>
          <cell r="F882">
            <v>343.45</v>
          </cell>
          <cell r="Q882" t="str">
            <v>AVAILABLE</v>
          </cell>
          <cell r="S882">
            <v>1738850</v>
          </cell>
          <cell r="T882">
            <v>1810000</v>
          </cell>
          <cell r="U882">
            <v>24600</v>
          </cell>
          <cell r="V882">
            <v>46550</v>
          </cell>
          <cell r="W882">
            <v>1738850</v>
          </cell>
          <cell r="Y882">
            <v>1810000</v>
          </cell>
          <cell r="AC882" t="str">
            <v>Ana Damásio</v>
          </cell>
          <cell r="AJ882" t="str">
            <v>Springs - At the Els</v>
          </cell>
        </row>
        <row r="883">
          <cell r="A883" t="str">
            <v>TERRACOTA</v>
          </cell>
          <cell r="C883" t="str">
            <v>BH</v>
          </cell>
          <cell r="E883" t="str">
            <v>T4</v>
          </cell>
          <cell r="F883">
            <v>157.13999999999999</v>
          </cell>
          <cell r="Q883" t="str">
            <v>AVAILABLE</v>
          </cell>
          <cell r="S883">
            <v>925000</v>
          </cell>
          <cell r="T883">
            <v>925000</v>
          </cell>
          <cell r="W883">
            <v>925000</v>
          </cell>
          <cell r="Y883">
            <v>925000</v>
          </cell>
          <cell r="AC883" t="str">
            <v>Ana Damásio</v>
          </cell>
          <cell r="AJ883" t="str">
            <v>Terracota</v>
          </cell>
        </row>
        <row r="884">
          <cell r="A884" t="str">
            <v>ZESTIA</v>
          </cell>
          <cell r="C884" t="str">
            <v>BH</v>
          </cell>
          <cell r="E884" t="str">
            <v>T2 LO</v>
          </cell>
          <cell r="F884">
            <v>116.75</v>
          </cell>
          <cell r="Q884" t="str">
            <v>AVAILABLE</v>
          </cell>
          <cell r="S884">
            <v>807666.4192</v>
          </cell>
          <cell r="T884">
            <v>900000</v>
          </cell>
          <cell r="U884">
            <v>24600</v>
          </cell>
          <cell r="V884">
            <v>40000</v>
          </cell>
          <cell r="W884">
            <v>835400</v>
          </cell>
          <cell r="Y884">
            <v>900000</v>
          </cell>
          <cell r="AC884" t="str">
            <v>Ana Damásio</v>
          </cell>
          <cell r="AJ884" t="str">
            <v>Zestia</v>
          </cell>
        </row>
        <row r="885">
          <cell r="A885" t="str">
            <v>SPRINGS</v>
          </cell>
          <cell r="C885" t="str">
            <v>BI</v>
          </cell>
          <cell r="E885" t="str">
            <v>V2 Duplex</v>
          </cell>
          <cell r="F885">
            <v>284.95999999999998</v>
          </cell>
          <cell r="Q885" t="str">
            <v>AVAILABLE</v>
          </cell>
          <cell r="S885">
            <v>1528850</v>
          </cell>
          <cell r="T885">
            <v>1600000</v>
          </cell>
          <cell r="U885">
            <v>24600</v>
          </cell>
          <cell r="V885">
            <v>46550</v>
          </cell>
          <cell r="W885">
            <v>1528850</v>
          </cell>
          <cell r="Y885">
            <v>1600000</v>
          </cell>
          <cell r="AC885" t="str">
            <v>Ana Damásio</v>
          </cell>
          <cell r="AJ885" t="str">
            <v>Springs - At the Els</v>
          </cell>
        </row>
        <row r="886">
          <cell r="A886" t="str">
            <v>MR -LT da Casa do Campo</v>
          </cell>
          <cell r="C886" t="str">
            <v>6</v>
          </cell>
          <cell r="E886" t="str">
            <v>Plot</v>
          </cell>
          <cell r="F886">
            <v>500</v>
          </cell>
          <cell r="Q886" t="str">
            <v>AVAILABLE</v>
          </cell>
          <cell r="S886">
            <v>1065000</v>
          </cell>
          <cell r="T886">
            <v>910000</v>
          </cell>
          <cell r="W886">
            <v>910000</v>
          </cell>
          <cell r="AB886" t="str">
            <v>TBD</v>
          </cell>
          <cell r="AC886" t="str">
            <v>Sandra Viegas</v>
          </cell>
          <cell r="AJ886" t="str">
            <v>Monte Rei</v>
          </cell>
        </row>
        <row r="887">
          <cell r="A887" t="str">
            <v>ZESTIA</v>
          </cell>
          <cell r="C887" t="str">
            <v>BI</v>
          </cell>
          <cell r="E887" t="str">
            <v>T2</v>
          </cell>
          <cell r="F887">
            <v>259.44</v>
          </cell>
          <cell r="Q887" t="str">
            <v>AVAILABLE</v>
          </cell>
          <cell r="S887">
            <v>1065138.4336000001</v>
          </cell>
          <cell r="T887">
            <v>1170000</v>
          </cell>
          <cell r="U887">
            <v>24600</v>
          </cell>
          <cell r="V887">
            <v>50000</v>
          </cell>
          <cell r="W887">
            <v>1095400</v>
          </cell>
          <cell r="Y887">
            <v>1170000</v>
          </cell>
          <cell r="AC887" t="str">
            <v>Ana Damásio</v>
          </cell>
          <cell r="AJ887" t="str">
            <v>Zestia</v>
          </cell>
        </row>
        <row r="888">
          <cell r="A888" t="str">
            <v>SPRINGS</v>
          </cell>
          <cell r="C888" t="str">
            <v>BJ</v>
          </cell>
          <cell r="E888" t="str">
            <v>V2 Duplex</v>
          </cell>
          <cell r="F888">
            <v>278.27</v>
          </cell>
          <cell r="Q888" t="str">
            <v>AVAILABLE</v>
          </cell>
          <cell r="S888">
            <v>1418850</v>
          </cell>
          <cell r="T888">
            <v>1490000</v>
          </cell>
          <cell r="U888">
            <v>24600</v>
          </cell>
          <cell r="V888">
            <v>46550</v>
          </cell>
          <cell r="W888">
            <v>1418850</v>
          </cell>
          <cell r="Y888">
            <v>1490000</v>
          </cell>
          <cell r="AC888" t="str">
            <v>Ana Damásio</v>
          </cell>
          <cell r="AJ888" t="str">
            <v>Springs - At the Els</v>
          </cell>
        </row>
        <row r="889">
          <cell r="A889" t="str">
            <v>TERRACOTA</v>
          </cell>
          <cell r="C889" t="str">
            <v>BJ</v>
          </cell>
          <cell r="E889" t="str">
            <v>T4</v>
          </cell>
          <cell r="F889">
            <v>157.13999999999999</v>
          </cell>
          <cell r="Q889" t="str">
            <v>AVAILABLE</v>
          </cell>
          <cell r="S889">
            <v>925000</v>
          </cell>
          <cell r="T889">
            <v>925000</v>
          </cell>
          <cell r="W889">
            <v>925000</v>
          </cell>
          <cell r="Y889">
            <v>925000</v>
          </cell>
          <cell r="AC889" t="str">
            <v>Ana Damásio</v>
          </cell>
          <cell r="AJ889" t="str">
            <v>Terracota</v>
          </cell>
        </row>
        <row r="890">
          <cell r="A890" t="str">
            <v>MR - LT do Golfe</v>
          </cell>
          <cell r="C890" t="str">
            <v>30</v>
          </cell>
          <cell r="E890" t="str">
            <v>Plot</v>
          </cell>
          <cell r="F890">
            <v>450</v>
          </cell>
          <cell r="Q890" t="str">
            <v>AVAILABLE</v>
          </cell>
          <cell r="S890">
            <v>1070000</v>
          </cell>
          <cell r="T890">
            <v>960000</v>
          </cell>
          <cell r="W890">
            <v>960000</v>
          </cell>
          <cell r="AB890" t="str">
            <v>TBD</v>
          </cell>
          <cell r="AC890" t="str">
            <v>Sandra Viegas</v>
          </cell>
          <cell r="AJ890" t="str">
            <v>Monte Rei</v>
          </cell>
        </row>
        <row r="891">
          <cell r="A891" t="str">
            <v>ZESTIA</v>
          </cell>
          <cell r="C891" t="str">
            <v>BJ</v>
          </cell>
          <cell r="E891" t="str">
            <v>T2</v>
          </cell>
          <cell r="F891">
            <v>274.99</v>
          </cell>
          <cell r="Q891" t="str">
            <v>AVAILABLE</v>
          </cell>
          <cell r="S891">
            <v>1074281.5776</v>
          </cell>
          <cell r="T891">
            <v>1190000</v>
          </cell>
          <cell r="U891">
            <v>24600</v>
          </cell>
          <cell r="V891">
            <v>50000</v>
          </cell>
          <cell r="W891">
            <v>1115400</v>
          </cell>
          <cell r="Y891">
            <v>1190000</v>
          </cell>
          <cell r="AC891" t="str">
            <v>Ana Damásio</v>
          </cell>
          <cell r="AJ891" t="str">
            <v>Zestia</v>
          </cell>
        </row>
        <row r="892">
          <cell r="A892" t="str">
            <v>SPRINGS</v>
          </cell>
          <cell r="C892" t="str">
            <v>BK</v>
          </cell>
          <cell r="E892" t="str">
            <v>V2 Duplex</v>
          </cell>
          <cell r="F892">
            <v>280.27</v>
          </cell>
          <cell r="Q892" t="str">
            <v>AVAILABLE</v>
          </cell>
          <cell r="S892">
            <v>1418850</v>
          </cell>
          <cell r="T892">
            <v>1490000</v>
          </cell>
          <cell r="U892">
            <v>24600</v>
          </cell>
          <cell r="V892">
            <v>46550</v>
          </cell>
          <cell r="W892">
            <v>1418850</v>
          </cell>
          <cell r="Y892">
            <v>1490000</v>
          </cell>
          <cell r="AC892" t="str">
            <v>Ana Damásio</v>
          </cell>
          <cell r="AJ892" t="str">
            <v>Springs - At the Els</v>
          </cell>
        </row>
        <row r="893">
          <cell r="A893" t="str">
            <v>TERRACOTA</v>
          </cell>
          <cell r="C893" t="str">
            <v>BK</v>
          </cell>
          <cell r="E893" t="str">
            <v>T3</v>
          </cell>
          <cell r="F893">
            <v>130.91999999999999</v>
          </cell>
          <cell r="Q893" t="str">
            <v>AVAILABLE</v>
          </cell>
          <cell r="S893">
            <v>700000</v>
          </cell>
          <cell r="T893">
            <v>710000</v>
          </cell>
          <cell r="W893">
            <v>710000</v>
          </cell>
          <cell r="Y893">
            <v>710000</v>
          </cell>
          <cell r="AC893" t="str">
            <v>Ana Damásio</v>
          </cell>
          <cell r="AJ893" t="str">
            <v>Terracota</v>
          </cell>
        </row>
        <row r="894">
          <cell r="A894" t="str">
            <v>Aroeira - HOTEL APARTMENTS</v>
          </cell>
          <cell r="C894" t="str">
            <v>311B</v>
          </cell>
          <cell r="E894" t="str">
            <v>2-BR*</v>
          </cell>
          <cell r="F894">
            <v>98.8</v>
          </cell>
          <cell r="Q894" t="str">
            <v>AVAILABLE</v>
          </cell>
          <cell r="S894">
            <v>675000</v>
          </cell>
          <cell r="T894">
            <v>675000</v>
          </cell>
          <cell r="V894">
            <v>45000</v>
          </cell>
          <cell r="W894">
            <v>630000</v>
          </cell>
          <cell r="AB894">
            <v>47118</v>
          </cell>
          <cell r="AC894" t="str">
            <v>João Gameiro</v>
          </cell>
          <cell r="AJ894" t="str">
            <v>Aroeira Collections</v>
          </cell>
        </row>
        <row r="895">
          <cell r="A895" t="str">
            <v>MR - LT Miradouro Village</v>
          </cell>
          <cell r="C895" t="str">
            <v>23</v>
          </cell>
          <cell r="E895" t="str">
            <v>Plot</v>
          </cell>
          <cell r="F895">
            <v>396.9</v>
          </cell>
          <cell r="Q895" t="str">
            <v>AVAILABLE</v>
          </cell>
          <cell r="S895">
            <v>1080000</v>
          </cell>
          <cell r="T895">
            <v>900000</v>
          </cell>
          <cell r="W895">
            <v>900000</v>
          </cell>
          <cell r="AB895" t="str">
            <v>TBD</v>
          </cell>
          <cell r="AC895" t="str">
            <v>Sandra Viegas</v>
          </cell>
          <cell r="AJ895" t="str">
            <v>Monte Rei</v>
          </cell>
        </row>
        <row r="896">
          <cell r="A896" t="str">
            <v>MR - LT Miradouro Village</v>
          </cell>
          <cell r="C896" t="str">
            <v>24</v>
          </cell>
          <cell r="E896" t="str">
            <v>Plot</v>
          </cell>
          <cell r="F896">
            <v>396.9</v>
          </cell>
          <cell r="Q896" t="str">
            <v>AVAILABLE</v>
          </cell>
          <cell r="S896">
            <v>1080000</v>
          </cell>
          <cell r="T896">
            <v>910000</v>
          </cell>
          <cell r="W896">
            <v>910000</v>
          </cell>
          <cell r="AB896" t="str">
            <v>TBD</v>
          </cell>
          <cell r="AC896" t="str">
            <v>Sandra Viegas</v>
          </cell>
          <cell r="AJ896" t="str">
            <v>Monte Rei</v>
          </cell>
        </row>
        <row r="897">
          <cell r="A897" t="str">
            <v>MR - LT Miradouro Village</v>
          </cell>
          <cell r="C897" t="str">
            <v>25</v>
          </cell>
          <cell r="E897" t="str">
            <v>Plot</v>
          </cell>
          <cell r="F897">
            <v>396.9</v>
          </cell>
          <cell r="Q897" t="str">
            <v>AVAILABLE</v>
          </cell>
          <cell r="S897">
            <v>1080000</v>
          </cell>
          <cell r="T897">
            <v>900000</v>
          </cell>
          <cell r="W897">
            <v>900000</v>
          </cell>
          <cell r="AB897" t="str">
            <v>TBD</v>
          </cell>
          <cell r="AC897" t="str">
            <v>Sandra Viegas</v>
          </cell>
          <cell r="AJ897" t="str">
            <v>Monte Rei</v>
          </cell>
        </row>
        <row r="898">
          <cell r="A898" t="str">
            <v>MR - LT Miradouro Village</v>
          </cell>
          <cell r="C898" t="str">
            <v>26</v>
          </cell>
          <cell r="E898" t="str">
            <v>Plot</v>
          </cell>
          <cell r="F898">
            <v>396.9</v>
          </cell>
          <cell r="Q898" t="str">
            <v>AVAILABLE</v>
          </cell>
          <cell r="S898">
            <v>1080000</v>
          </cell>
          <cell r="T898">
            <v>870000</v>
          </cell>
          <cell r="W898">
            <v>870000</v>
          </cell>
          <cell r="AB898" t="str">
            <v>TBD</v>
          </cell>
          <cell r="AC898" t="str">
            <v>Sandra Viegas</v>
          </cell>
          <cell r="AJ898" t="str">
            <v>Monte Rei</v>
          </cell>
        </row>
        <row r="899">
          <cell r="A899" t="str">
            <v>MR - LT Miradouro Village</v>
          </cell>
          <cell r="C899" t="str">
            <v>27</v>
          </cell>
          <cell r="E899" t="str">
            <v>Plot</v>
          </cell>
          <cell r="F899">
            <v>396.9</v>
          </cell>
          <cell r="Q899" t="str">
            <v>AVAILABLE</v>
          </cell>
          <cell r="S899">
            <v>1080000</v>
          </cell>
          <cell r="T899">
            <v>870000</v>
          </cell>
          <cell r="W899">
            <v>870000</v>
          </cell>
          <cell r="AB899" t="str">
            <v>TBD</v>
          </cell>
          <cell r="AC899" t="str">
            <v>Sandra Viegas</v>
          </cell>
          <cell r="AJ899" t="str">
            <v>Monte Rei</v>
          </cell>
        </row>
        <row r="900">
          <cell r="A900" t="str">
            <v>MR - LT Miradouro Village</v>
          </cell>
          <cell r="C900" t="str">
            <v>30</v>
          </cell>
          <cell r="E900" t="str">
            <v>Plot</v>
          </cell>
          <cell r="F900">
            <v>373.55</v>
          </cell>
          <cell r="Q900" t="str">
            <v>AVAILABLE</v>
          </cell>
          <cell r="S900">
            <v>1080000</v>
          </cell>
          <cell r="T900">
            <v>810000</v>
          </cell>
          <cell r="W900">
            <v>810000</v>
          </cell>
          <cell r="AB900" t="str">
            <v>TBD</v>
          </cell>
          <cell r="AC900" t="str">
            <v>Sandra Viegas</v>
          </cell>
          <cell r="AJ900" t="str">
            <v>Monte Rei</v>
          </cell>
        </row>
        <row r="901">
          <cell r="A901" t="str">
            <v>SPRINGS</v>
          </cell>
          <cell r="C901" t="str">
            <v>BL</v>
          </cell>
          <cell r="E901" t="str">
            <v>V2 Duplex</v>
          </cell>
          <cell r="F901">
            <v>280.27</v>
          </cell>
          <cell r="Q901" t="str">
            <v>AVAILABLE</v>
          </cell>
          <cell r="S901">
            <v>1408850</v>
          </cell>
          <cell r="T901">
            <v>1480000</v>
          </cell>
          <cell r="U901">
            <v>24600</v>
          </cell>
          <cell r="V901">
            <v>46550</v>
          </cell>
          <cell r="W901">
            <v>1408850</v>
          </cell>
          <cell r="Y901">
            <v>1480000</v>
          </cell>
          <cell r="AC901" t="str">
            <v>Ana Damásio</v>
          </cell>
          <cell r="AJ901" t="str">
            <v>Springs - At the Els</v>
          </cell>
        </row>
        <row r="902">
          <cell r="A902" t="str">
            <v>SPRINGS</v>
          </cell>
          <cell r="C902" t="str">
            <v>BM</v>
          </cell>
          <cell r="E902" t="str">
            <v>V2 Duplex</v>
          </cell>
          <cell r="F902">
            <v>331.16</v>
          </cell>
          <cell r="Q902" t="str">
            <v>AVAILABLE</v>
          </cell>
          <cell r="S902">
            <v>1548850</v>
          </cell>
          <cell r="T902">
            <v>1620000</v>
          </cell>
          <cell r="U902">
            <v>24600</v>
          </cell>
          <cell r="V902">
            <v>46550</v>
          </cell>
          <cell r="W902">
            <v>1548850</v>
          </cell>
          <cell r="Y902">
            <v>1620000</v>
          </cell>
          <cell r="AC902" t="str">
            <v>Ana Damásio</v>
          </cell>
          <cell r="AJ902" t="str">
            <v>Springs - At the Els</v>
          </cell>
        </row>
        <row r="903">
          <cell r="A903" t="str">
            <v>SPRINGS</v>
          </cell>
          <cell r="C903" t="str">
            <v>BN</v>
          </cell>
          <cell r="E903" t="str">
            <v>V2 Duplex</v>
          </cell>
          <cell r="F903">
            <v>287.45999999999998</v>
          </cell>
          <cell r="Q903" t="str">
            <v>AVAILABLE</v>
          </cell>
          <cell r="S903">
            <v>1248850</v>
          </cell>
          <cell r="T903">
            <v>1320000</v>
          </cell>
          <cell r="U903">
            <v>24600</v>
          </cell>
          <cell r="V903">
            <v>46550</v>
          </cell>
          <cell r="W903">
            <v>1248850</v>
          </cell>
          <cell r="Y903">
            <v>1320000</v>
          </cell>
          <cell r="AC903" t="str">
            <v>Ana Damásio</v>
          </cell>
          <cell r="AJ903" t="str">
            <v>Springs - At the Els</v>
          </cell>
        </row>
        <row r="904">
          <cell r="A904" t="str">
            <v>Aroeira - HOTEL APARTMENTS</v>
          </cell>
          <cell r="C904" t="str">
            <v>312B</v>
          </cell>
          <cell r="E904" t="str">
            <v>2-BR*</v>
          </cell>
          <cell r="F904">
            <v>98.8</v>
          </cell>
          <cell r="Q904" t="str">
            <v>AVAILABLE</v>
          </cell>
          <cell r="S904">
            <v>675000</v>
          </cell>
          <cell r="T904">
            <v>675000</v>
          </cell>
          <cell r="V904">
            <v>45000</v>
          </cell>
          <cell r="W904">
            <v>630000</v>
          </cell>
          <cell r="AB904">
            <v>47118</v>
          </cell>
          <cell r="AC904" t="str">
            <v>João Gameiro</v>
          </cell>
          <cell r="AJ904" t="str">
            <v>Aroeira Collections</v>
          </cell>
        </row>
        <row r="905">
          <cell r="A905" t="str">
            <v>SPRINGS</v>
          </cell>
          <cell r="C905" t="str">
            <v>BP</v>
          </cell>
          <cell r="E905" t="str">
            <v>V2 Duplex</v>
          </cell>
          <cell r="F905">
            <v>315.94</v>
          </cell>
          <cell r="Q905" t="str">
            <v>AVAILABLE</v>
          </cell>
          <cell r="S905">
            <v>1218850</v>
          </cell>
          <cell r="T905">
            <v>1290000</v>
          </cell>
          <cell r="U905">
            <v>24600</v>
          </cell>
          <cell r="V905">
            <v>46550</v>
          </cell>
          <cell r="W905">
            <v>1218850</v>
          </cell>
          <cell r="Y905">
            <v>1290000</v>
          </cell>
          <cell r="AC905" t="str">
            <v>Ana Damásio</v>
          </cell>
          <cell r="AJ905" t="str">
            <v>Springs - At the Els</v>
          </cell>
        </row>
        <row r="906">
          <cell r="A906" t="str">
            <v>SPRINGS</v>
          </cell>
          <cell r="C906" t="str">
            <v>BQ</v>
          </cell>
          <cell r="E906" t="str">
            <v>V2 Duplex</v>
          </cell>
          <cell r="F906">
            <v>325.83</v>
          </cell>
          <cell r="Q906" t="str">
            <v>AVAILABLE</v>
          </cell>
          <cell r="S906">
            <v>1228850</v>
          </cell>
          <cell r="T906">
            <v>1300000</v>
          </cell>
          <cell r="U906">
            <v>24600</v>
          </cell>
          <cell r="V906">
            <v>46550</v>
          </cell>
          <cell r="W906">
            <v>1228850</v>
          </cell>
          <cell r="Y906">
            <v>1300000</v>
          </cell>
          <cell r="AC906" t="str">
            <v>Ana Damásio</v>
          </cell>
          <cell r="AJ906" t="str">
            <v>Springs - At the Els</v>
          </cell>
        </row>
        <row r="907">
          <cell r="A907" t="str">
            <v>SPRINGS</v>
          </cell>
          <cell r="C907" t="str">
            <v>BR</v>
          </cell>
          <cell r="E907" t="str">
            <v>V2 Duplex</v>
          </cell>
          <cell r="F907">
            <v>336.85</v>
          </cell>
          <cell r="Q907" t="str">
            <v>AVAILABLE</v>
          </cell>
          <cell r="S907">
            <v>1248850</v>
          </cell>
          <cell r="T907">
            <v>1320000</v>
          </cell>
          <cell r="U907">
            <v>24600</v>
          </cell>
          <cell r="V907">
            <v>46550</v>
          </cell>
          <cell r="W907">
            <v>1248850</v>
          </cell>
          <cell r="Y907">
            <v>1320000</v>
          </cell>
          <cell r="AC907" t="str">
            <v>Ana Damásio</v>
          </cell>
          <cell r="AJ907" t="str">
            <v>Springs - At the Els</v>
          </cell>
        </row>
        <row r="908">
          <cell r="A908" t="str">
            <v>TERRACOTA</v>
          </cell>
          <cell r="C908" t="str">
            <v>BR</v>
          </cell>
          <cell r="E908" t="str">
            <v>T3</v>
          </cell>
          <cell r="F908">
            <v>130.91999999999999</v>
          </cell>
          <cell r="Q908" t="str">
            <v>AVAILABLE</v>
          </cell>
          <cell r="S908">
            <v>630000</v>
          </cell>
          <cell r="T908">
            <v>660000</v>
          </cell>
          <cell r="W908">
            <v>660000</v>
          </cell>
          <cell r="Y908">
            <v>660000</v>
          </cell>
          <cell r="AC908" t="str">
            <v>Ana Damásio</v>
          </cell>
          <cell r="AJ908" t="str">
            <v>Terracota</v>
          </cell>
        </row>
        <row r="909">
          <cell r="A909" t="str">
            <v>SPRINGS</v>
          </cell>
          <cell r="C909" t="str">
            <v>BS</v>
          </cell>
          <cell r="E909" t="str">
            <v>V2 Duplex</v>
          </cell>
          <cell r="F909">
            <v>343.23</v>
          </cell>
          <cell r="Q909" t="str">
            <v>AVAILABLE</v>
          </cell>
          <cell r="S909">
            <v>1258850</v>
          </cell>
          <cell r="T909">
            <v>1330000</v>
          </cell>
          <cell r="U909">
            <v>24600</v>
          </cell>
          <cell r="V909">
            <v>46550</v>
          </cell>
          <cell r="W909">
            <v>1258850</v>
          </cell>
          <cell r="Y909">
            <v>1330000</v>
          </cell>
          <cell r="AC909" t="str">
            <v>Ana Damásio</v>
          </cell>
          <cell r="AJ909" t="str">
            <v>Springs - At the Els</v>
          </cell>
        </row>
        <row r="910">
          <cell r="A910" t="str">
            <v>SPRINGS</v>
          </cell>
          <cell r="C910" t="str">
            <v>BT</v>
          </cell>
          <cell r="E910" t="str">
            <v>V2 Duplex</v>
          </cell>
          <cell r="F910">
            <v>354.02</v>
          </cell>
          <cell r="Q910" t="str">
            <v>AVAILABLE</v>
          </cell>
          <cell r="S910">
            <v>1368850</v>
          </cell>
          <cell r="T910">
            <v>1440000</v>
          </cell>
          <cell r="U910">
            <v>24600</v>
          </cell>
          <cell r="V910">
            <v>46550</v>
          </cell>
          <cell r="W910">
            <v>1368850</v>
          </cell>
          <cell r="Y910">
            <v>1440000</v>
          </cell>
          <cell r="AC910" t="str">
            <v>Ana Damásio</v>
          </cell>
          <cell r="AJ910" t="str">
            <v>Springs - At the Els</v>
          </cell>
        </row>
        <row r="911">
          <cell r="A911" t="str">
            <v>TERRACOTA</v>
          </cell>
          <cell r="C911" t="str">
            <v>BT</v>
          </cell>
          <cell r="E911" t="str">
            <v>T3</v>
          </cell>
          <cell r="F911">
            <v>130.91999999999999</v>
          </cell>
          <cell r="Q911" t="str">
            <v>AVAILABLE</v>
          </cell>
          <cell r="S911">
            <v>660000</v>
          </cell>
          <cell r="T911">
            <v>690000</v>
          </cell>
          <cell r="W911">
            <v>690000</v>
          </cell>
          <cell r="Y911">
            <v>690000</v>
          </cell>
          <cell r="AC911" t="str">
            <v>Ana Damásio</v>
          </cell>
          <cell r="AJ911" t="str">
            <v>Terracota</v>
          </cell>
        </row>
        <row r="912">
          <cell r="A912" t="str">
            <v>SPRINGS</v>
          </cell>
          <cell r="C912" t="str">
            <v>BU</v>
          </cell>
          <cell r="E912" t="str">
            <v>V2 Duplex</v>
          </cell>
          <cell r="F912">
            <v>409.3</v>
          </cell>
          <cell r="Q912" t="str">
            <v>AVAILABLE</v>
          </cell>
          <cell r="S912">
            <v>1558850</v>
          </cell>
          <cell r="T912">
            <v>1630000</v>
          </cell>
          <cell r="U912">
            <v>24600</v>
          </cell>
          <cell r="V912">
            <v>46550</v>
          </cell>
          <cell r="W912">
            <v>1558850</v>
          </cell>
          <cell r="Y912">
            <v>1630000</v>
          </cell>
          <cell r="AC912" t="str">
            <v>Ana Damásio</v>
          </cell>
          <cell r="AJ912" t="str">
            <v>Springs - At the Els</v>
          </cell>
        </row>
        <row r="913">
          <cell r="A913" t="str">
            <v>TERRACOTA</v>
          </cell>
          <cell r="C913" t="str">
            <v>BU</v>
          </cell>
          <cell r="E913" t="str">
            <v>T3</v>
          </cell>
          <cell r="F913">
            <v>130.91999999999999</v>
          </cell>
          <cell r="Q913" t="str">
            <v>AVAILABLE</v>
          </cell>
          <cell r="S913">
            <v>660000</v>
          </cell>
          <cell r="T913">
            <v>690000</v>
          </cell>
          <cell r="W913">
            <v>690000</v>
          </cell>
          <cell r="Y913">
            <v>690000</v>
          </cell>
          <cell r="AC913" t="str">
            <v>Ana Damásio</v>
          </cell>
          <cell r="AJ913" t="str">
            <v>Terracota</v>
          </cell>
        </row>
        <row r="914">
          <cell r="A914" t="str">
            <v>SPRINGS</v>
          </cell>
          <cell r="C914" t="str">
            <v>BV</v>
          </cell>
          <cell r="E914" t="str">
            <v>V2 Duplex</v>
          </cell>
          <cell r="F914">
            <v>394.6</v>
          </cell>
          <cell r="Q914" t="str">
            <v>AVAILABLE</v>
          </cell>
          <cell r="S914">
            <v>1538850</v>
          </cell>
          <cell r="T914">
            <v>1610000</v>
          </cell>
          <cell r="U914">
            <v>24600</v>
          </cell>
          <cell r="V914">
            <v>46550</v>
          </cell>
          <cell r="W914">
            <v>1538850</v>
          </cell>
          <cell r="Y914">
            <v>1610000</v>
          </cell>
          <cell r="AC914" t="str">
            <v>Ana Damásio</v>
          </cell>
          <cell r="AJ914" t="str">
            <v>Springs - At the Els</v>
          </cell>
        </row>
        <row r="915">
          <cell r="A915" t="str">
            <v>VP - TOWNHOUSES</v>
          </cell>
          <cell r="C915" t="str">
            <v>8B</v>
          </cell>
          <cell r="E915" t="str">
            <v>V3</v>
          </cell>
          <cell r="F915">
            <v>338.53</v>
          </cell>
          <cell r="Q915" t="str">
            <v>UPON  REQUEST</v>
          </cell>
          <cell r="S915">
            <v>1120000</v>
          </cell>
          <cell r="T915">
            <v>1190000</v>
          </cell>
          <cell r="W915">
            <v>1190000</v>
          </cell>
          <cell r="AB915">
            <v>47208</v>
          </cell>
          <cell r="AC915" t="str">
            <v>João Gameiro</v>
          </cell>
          <cell r="AJ915" t="str">
            <v>Vale Pisão Grand Park</v>
          </cell>
        </row>
        <row r="916">
          <cell r="A916" t="str">
            <v>SPRINGS</v>
          </cell>
          <cell r="C916" t="str">
            <v>BW</v>
          </cell>
          <cell r="E916" t="str">
            <v>V2 Duplex</v>
          </cell>
          <cell r="F916">
            <v>396.13</v>
          </cell>
          <cell r="Q916" t="str">
            <v>AVAILABLE</v>
          </cell>
          <cell r="S916">
            <v>1558850</v>
          </cell>
          <cell r="T916">
            <v>1630000</v>
          </cell>
          <cell r="U916">
            <v>24600</v>
          </cell>
          <cell r="V916">
            <v>46550</v>
          </cell>
          <cell r="W916">
            <v>1558850</v>
          </cell>
          <cell r="Y916">
            <v>1630000</v>
          </cell>
          <cell r="AC916" t="str">
            <v>Ana Damásio</v>
          </cell>
          <cell r="AJ916" t="str">
            <v>Springs - At the Els</v>
          </cell>
        </row>
        <row r="917">
          <cell r="A917" t="str">
            <v>SPRINGS</v>
          </cell>
          <cell r="C917" t="str">
            <v>BX</v>
          </cell>
          <cell r="E917" t="str">
            <v>V2 Duplex</v>
          </cell>
          <cell r="F917">
            <v>342.41</v>
          </cell>
          <cell r="Q917" t="str">
            <v>AVAILABLE</v>
          </cell>
          <cell r="S917">
            <v>1568850</v>
          </cell>
          <cell r="T917">
            <v>1640000</v>
          </cell>
          <cell r="U917">
            <v>24600</v>
          </cell>
          <cell r="V917">
            <v>46550</v>
          </cell>
          <cell r="W917">
            <v>1568850</v>
          </cell>
          <cell r="Y917">
            <v>1640000</v>
          </cell>
          <cell r="AC917" t="str">
            <v>Ana Damásio</v>
          </cell>
          <cell r="AJ917" t="str">
            <v>Springs - At the Els</v>
          </cell>
        </row>
        <row r="918">
          <cell r="A918" t="str">
            <v>SPRINGS</v>
          </cell>
          <cell r="C918" t="str">
            <v>BY</v>
          </cell>
          <cell r="E918" t="str">
            <v>V3 Duplex</v>
          </cell>
          <cell r="F918">
            <v>523.07000000000005</v>
          </cell>
          <cell r="Q918" t="str">
            <v>AVAILABLE</v>
          </cell>
          <cell r="S918">
            <v>1794100</v>
          </cell>
          <cell r="T918">
            <v>1880000</v>
          </cell>
          <cell r="U918">
            <v>24600</v>
          </cell>
          <cell r="V918">
            <v>61300</v>
          </cell>
          <cell r="W918">
            <v>1794100</v>
          </cell>
          <cell r="Y918">
            <v>1880000</v>
          </cell>
          <cell r="AC918" t="str">
            <v>Ana Damásio</v>
          </cell>
          <cell r="AJ918" t="str">
            <v>Springs - At the Els</v>
          </cell>
        </row>
        <row r="919">
          <cell r="A919" t="str">
            <v>SPRINGS</v>
          </cell>
          <cell r="C919" t="str">
            <v>BZ</v>
          </cell>
          <cell r="E919" t="str">
            <v>V3 Duplex</v>
          </cell>
          <cell r="F919">
            <v>749.44</v>
          </cell>
          <cell r="Q919" t="str">
            <v>AVAILABLE</v>
          </cell>
          <cell r="S919">
            <v>1944100</v>
          </cell>
          <cell r="T919">
            <v>2030000</v>
          </cell>
          <cell r="U919">
            <v>24600</v>
          </cell>
          <cell r="V919">
            <v>61300</v>
          </cell>
          <cell r="W919">
            <v>1944100</v>
          </cell>
          <cell r="Y919">
            <v>2030000</v>
          </cell>
          <cell r="AC919" t="str">
            <v>Ana Damásio</v>
          </cell>
          <cell r="AJ919" t="str">
            <v>Springs - At the Els</v>
          </cell>
        </row>
        <row r="920">
          <cell r="A920" t="str">
            <v>MR - LT Miradouro Village</v>
          </cell>
          <cell r="C920" t="str">
            <v>31</v>
          </cell>
          <cell r="E920" t="str">
            <v>Plot</v>
          </cell>
          <cell r="F920">
            <v>373.55</v>
          </cell>
          <cell r="Q920" t="str">
            <v>AVAILABLE</v>
          </cell>
          <cell r="S920">
            <v>1140000</v>
          </cell>
          <cell r="T920">
            <v>840000</v>
          </cell>
          <cell r="W920">
            <v>840000</v>
          </cell>
          <cell r="AB920" t="str">
            <v>TBD</v>
          </cell>
          <cell r="AC920" t="str">
            <v>Sandra Viegas</v>
          </cell>
          <cell r="AJ920" t="str">
            <v>Monte Rei</v>
          </cell>
        </row>
        <row r="921">
          <cell r="A921" t="str">
            <v>MR - LT Miradouro Village</v>
          </cell>
          <cell r="C921" t="str">
            <v>45</v>
          </cell>
          <cell r="E921" t="str">
            <v>Plot</v>
          </cell>
          <cell r="F921">
            <v>396.9</v>
          </cell>
          <cell r="Q921" t="str">
            <v>AVAILABLE</v>
          </cell>
          <cell r="S921">
            <v>1140000</v>
          </cell>
          <cell r="T921">
            <v>850000</v>
          </cell>
          <cell r="W921">
            <v>850000</v>
          </cell>
          <cell r="AB921" t="str">
            <v>TBD</v>
          </cell>
          <cell r="AC921" t="str">
            <v>Sandra Viegas</v>
          </cell>
          <cell r="AJ921" t="str">
            <v>Monte Rei</v>
          </cell>
        </row>
        <row r="922">
          <cell r="A922" t="str">
            <v>MR - LT Miradouro Village</v>
          </cell>
          <cell r="C922" t="str">
            <v>48</v>
          </cell>
          <cell r="E922" t="str">
            <v>Plot</v>
          </cell>
          <cell r="F922">
            <v>396.9</v>
          </cell>
          <cell r="Q922" t="str">
            <v>AVAILABLE</v>
          </cell>
          <cell r="S922">
            <v>1140000</v>
          </cell>
          <cell r="T922">
            <v>850000</v>
          </cell>
          <cell r="W922">
            <v>850000</v>
          </cell>
          <cell r="AB922" t="str">
            <v>TBD</v>
          </cell>
          <cell r="AC922" t="str">
            <v>Sandra Viegas</v>
          </cell>
          <cell r="AJ922" t="str">
            <v>Monte Rei</v>
          </cell>
        </row>
        <row r="923">
          <cell r="A923" t="str">
            <v>MR - LT Miradouro Village</v>
          </cell>
          <cell r="C923" t="str">
            <v>52</v>
          </cell>
          <cell r="E923" t="str">
            <v>Plot</v>
          </cell>
          <cell r="F923">
            <v>396.9</v>
          </cell>
          <cell r="Q923" t="str">
            <v>AVAILABLE</v>
          </cell>
          <cell r="S923">
            <v>1140000</v>
          </cell>
          <cell r="T923">
            <v>930000</v>
          </cell>
          <cell r="W923">
            <v>930000</v>
          </cell>
          <cell r="AB923" t="str">
            <v>TBD</v>
          </cell>
          <cell r="AC923" t="str">
            <v>Sandra Viegas</v>
          </cell>
          <cell r="AJ923" t="str">
            <v>Monte Rei</v>
          </cell>
        </row>
        <row r="924">
          <cell r="A924" t="str">
            <v>MR - LT do Golfe</v>
          </cell>
          <cell r="C924" t="str">
            <v>6</v>
          </cell>
          <cell r="E924" t="str">
            <v>Plot</v>
          </cell>
          <cell r="F924">
            <v>420</v>
          </cell>
          <cell r="Q924" t="str">
            <v>AVAILABLE</v>
          </cell>
          <cell r="S924">
            <v>1143000</v>
          </cell>
          <cell r="T924">
            <v>980000</v>
          </cell>
          <cell r="W924">
            <v>980000</v>
          </cell>
          <cell r="AB924" t="str">
            <v>TBD</v>
          </cell>
          <cell r="AC924" t="str">
            <v>Sandra Viegas</v>
          </cell>
          <cell r="AJ924" t="str">
            <v>Monte Rei</v>
          </cell>
        </row>
        <row r="925">
          <cell r="A925" t="str">
            <v>NOBILUS</v>
          </cell>
          <cell r="C925" t="str">
            <v>C</v>
          </cell>
          <cell r="E925" t="str">
            <v>T2</v>
          </cell>
          <cell r="F925">
            <v>112.9</v>
          </cell>
          <cell r="Q925" t="str">
            <v>AVAILABLE</v>
          </cell>
          <cell r="S925">
            <v>695000</v>
          </cell>
          <cell r="T925">
            <v>695000</v>
          </cell>
          <cell r="W925">
            <v>695000</v>
          </cell>
          <cell r="Y925">
            <v>695000</v>
          </cell>
          <cell r="AC925" t="str">
            <v>Ana Damásio</v>
          </cell>
          <cell r="AJ925" t="str">
            <v>Nobilus</v>
          </cell>
        </row>
        <row r="926">
          <cell r="A926" t="str">
            <v>Rivus</v>
          </cell>
          <cell r="C926" t="str">
            <v>C</v>
          </cell>
          <cell r="E926" t="str">
            <v>T2</v>
          </cell>
          <cell r="Q926" t="str">
            <v>AVAILABLE</v>
          </cell>
          <cell r="S926">
            <v>790000</v>
          </cell>
          <cell r="T926">
            <v>790000</v>
          </cell>
          <cell r="W926">
            <v>790000</v>
          </cell>
          <cell r="Y926">
            <v>780000</v>
          </cell>
          <cell r="AC926" t="str">
            <v>Ana Damásio</v>
          </cell>
          <cell r="AJ926" t="str">
            <v>Rivus</v>
          </cell>
        </row>
        <row r="927">
          <cell r="A927" t="str">
            <v>SPRINGS</v>
          </cell>
          <cell r="C927" t="str">
            <v>C</v>
          </cell>
          <cell r="E927" t="str">
            <v>V3</v>
          </cell>
          <cell r="F927">
            <v>323.58999999999997</v>
          </cell>
          <cell r="Q927" t="str">
            <v>AVAILABLE</v>
          </cell>
          <cell r="S927">
            <v>1741050</v>
          </cell>
          <cell r="T927">
            <v>1830000</v>
          </cell>
          <cell r="U927">
            <v>24600</v>
          </cell>
          <cell r="V927">
            <v>64350</v>
          </cell>
          <cell r="W927">
            <v>1741050</v>
          </cell>
          <cell r="Y927">
            <v>1830000</v>
          </cell>
          <cell r="AC927" t="str">
            <v>Ana Damásio</v>
          </cell>
          <cell r="AJ927" t="str">
            <v>Springs - At the Els</v>
          </cell>
        </row>
        <row r="928">
          <cell r="A928" t="str">
            <v>ZESTIA</v>
          </cell>
          <cell r="C928" t="str">
            <v>C</v>
          </cell>
          <cell r="E928" t="str">
            <v>T2</v>
          </cell>
          <cell r="F928">
            <v>117.29</v>
          </cell>
          <cell r="Q928" t="str">
            <v>AVAILABLE</v>
          </cell>
          <cell r="S928">
            <v>727294.96</v>
          </cell>
          <cell r="T928">
            <v>790000</v>
          </cell>
          <cell r="U928">
            <v>24600</v>
          </cell>
          <cell r="V928">
            <v>40000</v>
          </cell>
          <cell r="W928">
            <v>725400</v>
          </cell>
          <cell r="Y928">
            <v>790000</v>
          </cell>
          <cell r="AC928" t="str">
            <v>Ana Damásio</v>
          </cell>
          <cell r="AJ928" t="str">
            <v>Zestia</v>
          </cell>
        </row>
        <row r="929">
          <cell r="A929" t="str">
            <v>TERRACOTA</v>
          </cell>
          <cell r="C929" t="str">
            <v>CB</v>
          </cell>
          <cell r="E929" t="str">
            <v>T3</v>
          </cell>
          <cell r="F929">
            <v>130.91999999999999</v>
          </cell>
          <cell r="Q929" t="str">
            <v>AVAILABLE</v>
          </cell>
          <cell r="S929">
            <v>700000</v>
          </cell>
          <cell r="T929">
            <v>730000</v>
          </cell>
          <cell r="W929">
            <v>730000</v>
          </cell>
          <cell r="Y929">
            <v>730000</v>
          </cell>
          <cell r="AC929" t="str">
            <v>Ana Damásio</v>
          </cell>
          <cell r="AJ929" t="str">
            <v>Terracota</v>
          </cell>
        </row>
        <row r="930">
          <cell r="A930" t="str">
            <v>TERRACOTA</v>
          </cell>
          <cell r="C930" t="str">
            <v>CC</v>
          </cell>
          <cell r="E930" t="str">
            <v>T3</v>
          </cell>
          <cell r="F930">
            <v>130.91999999999999</v>
          </cell>
          <cell r="Q930" t="str">
            <v>AVAILABLE</v>
          </cell>
          <cell r="S930">
            <v>700000</v>
          </cell>
          <cell r="T930">
            <v>730000</v>
          </cell>
          <cell r="W930">
            <v>730000</v>
          </cell>
          <cell r="Y930">
            <v>730000</v>
          </cell>
          <cell r="AC930" t="str">
            <v>Ana Damásio</v>
          </cell>
          <cell r="AJ930" t="str">
            <v>Terracota</v>
          </cell>
        </row>
        <row r="931">
          <cell r="A931" t="str">
            <v>TERRACOTA</v>
          </cell>
          <cell r="C931" t="str">
            <v>CE</v>
          </cell>
          <cell r="E931" t="str">
            <v>T3</v>
          </cell>
          <cell r="F931">
            <v>130.91999999999999</v>
          </cell>
          <cell r="Q931" t="str">
            <v>AVAILABLE</v>
          </cell>
          <cell r="S931">
            <v>700000</v>
          </cell>
          <cell r="T931">
            <v>730000</v>
          </cell>
          <cell r="W931">
            <v>730000</v>
          </cell>
          <cell r="Y931">
            <v>730000</v>
          </cell>
          <cell r="AC931" t="str">
            <v>Ana Damásio</v>
          </cell>
          <cell r="AJ931" t="str">
            <v>Terracota</v>
          </cell>
        </row>
        <row r="932">
          <cell r="A932" t="str">
            <v>VP - TOWNHOUSES</v>
          </cell>
          <cell r="C932" t="str">
            <v>4C</v>
          </cell>
          <cell r="E932" t="str">
            <v>V3+1</v>
          </cell>
          <cell r="F932">
            <v>360.04</v>
          </cell>
          <cell r="Q932" t="str">
            <v>UPON  REQUEST</v>
          </cell>
          <cell r="S932">
            <v>1190000</v>
          </cell>
          <cell r="T932">
            <v>1220000</v>
          </cell>
          <cell r="W932">
            <v>1220000</v>
          </cell>
          <cell r="AB932">
            <v>47208</v>
          </cell>
          <cell r="AC932" t="str">
            <v>João Gameiro</v>
          </cell>
          <cell r="AJ932" t="str">
            <v>Vale Pisão Grand Park</v>
          </cell>
        </row>
        <row r="933">
          <cell r="A933" t="str">
            <v>VP - TOWNHOUSES</v>
          </cell>
          <cell r="C933" t="str">
            <v>5C</v>
          </cell>
          <cell r="E933" t="str">
            <v>V3+1</v>
          </cell>
          <cell r="F933">
            <v>373.34</v>
          </cell>
          <cell r="Q933" t="str">
            <v>UPON  REQUEST</v>
          </cell>
          <cell r="S933">
            <v>1190000</v>
          </cell>
          <cell r="T933">
            <v>1220000</v>
          </cell>
          <cell r="W933">
            <v>1220000</v>
          </cell>
          <cell r="AB933">
            <v>47208</v>
          </cell>
          <cell r="AC933" t="str">
            <v>João Gameiro</v>
          </cell>
          <cell r="AJ933" t="str">
            <v>Vale Pisão Grand Park</v>
          </cell>
        </row>
        <row r="934">
          <cell r="A934" t="str">
            <v>MR - LT do Golfe</v>
          </cell>
          <cell r="C934" t="str">
            <v>28</v>
          </cell>
          <cell r="E934" t="str">
            <v>Plot</v>
          </cell>
          <cell r="F934">
            <v>500</v>
          </cell>
          <cell r="Q934" t="str">
            <v>AVAILABLE</v>
          </cell>
          <cell r="S934">
            <v>1200000</v>
          </cell>
          <cell r="T934">
            <v>1040000</v>
          </cell>
          <cell r="W934">
            <v>1040000</v>
          </cell>
          <cell r="AB934" t="str">
            <v>TBD</v>
          </cell>
          <cell r="AC934" t="str">
            <v>Sandra Viegas</v>
          </cell>
          <cell r="AJ934" t="str">
            <v>Monte Rei</v>
          </cell>
        </row>
        <row r="935">
          <cell r="A935" t="str">
            <v>MR - LT Miradouro Village</v>
          </cell>
          <cell r="C935" t="str">
            <v>32</v>
          </cell>
          <cell r="E935" t="str">
            <v>Plot</v>
          </cell>
          <cell r="F935">
            <v>396.9</v>
          </cell>
          <cell r="Q935" t="str">
            <v>AVAILABLE</v>
          </cell>
          <cell r="S935">
            <v>1200000</v>
          </cell>
          <cell r="T935">
            <v>890000</v>
          </cell>
          <cell r="W935">
            <v>890000</v>
          </cell>
          <cell r="AB935" t="str">
            <v>TBD</v>
          </cell>
          <cell r="AC935" t="str">
            <v>Sandra Viegas</v>
          </cell>
          <cell r="AJ935" t="str">
            <v>Monte Rei</v>
          </cell>
        </row>
        <row r="936">
          <cell r="A936" t="str">
            <v>MR - LT Miradouro Village</v>
          </cell>
          <cell r="C936" t="str">
            <v>53</v>
          </cell>
          <cell r="E936" t="str">
            <v>Plot</v>
          </cell>
          <cell r="F936">
            <v>396.9</v>
          </cell>
          <cell r="Q936" t="str">
            <v>AVAILABLE</v>
          </cell>
          <cell r="S936">
            <v>1200000</v>
          </cell>
          <cell r="T936">
            <v>1030000</v>
          </cell>
          <cell r="W936">
            <v>1030000</v>
          </cell>
          <cell r="AB936" t="str">
            <v>TBD</v>
          </cell>
          <cell r="AC936" t="str">
            <v>Sandra Viegas</v>
          </cell>
          <cell r="AJ936" t="str">
            <v>Monte Rei</v>
          </cell>
        </row>
        <row r="937">
          <cell r="A937" t="str">
            <v>MR - LT do Golfe</v>
          </cell>
          <cell r="C937" t="str">
            <v>3</v>
          </cell>
          <cell r="E937" t="str">
            <v>Plot</v>
          </cell>
          <cell r="F937">
            <v>500</v>
          </cell>
          <cell r="Q937" t="str">
            <v>AVAILABLE</v>
          </cell>
          <cell r="S937">
            <v>1215000</v>
          </cell>
          <cell r="T937">
            <v>1010000</v>
          </cell>
          <cell r="W937">
            <v>1010000</v>
          </cell>
          <cell r="AB937" t="str">
            <v>TBD</v>
          </cell>
          <cell r="AC937" t="str">
            <v>Sandra Viegas</v>
          </cell>
          <cell r="AJ937" t="str">
            <v>Monte Rei</v>
          </cell>
        </row>
        <row r="938">
          <cell r="A938" t="str">
            <v>NATURA VILLAGE 9</v>
          </cell>
          <cell r="C938" t="str">
            <v>D</v>
          </cell>
          <cell r="E938" t="str">
            <v>V3</v>
          </cell>
          <cell r="F938">
            <v>192.67</v>
          </cell>
          <cell r="Q938" t="str">
            <v>AVAILABLE</v>
          </cell>
          <cell r="S938">
            <v>1280000</v>
          </cell>
          <cell r="T938">
            <v>1280000</v>
          </cell>
          <cell r="W938">
            <v>1280000</v>
          </cell>
          <cell r="Y938">
            <v>1280000</v>
          </cell>
          <cell r="AC938" t="str">
            <v>Ana Damásio</v>
          </cell>
          <cell r="AJ938" t="str">
            <v>Natura Village</v>
          </cell>
        </row>
        <row r="939">
          <cell r="A939" t="str">
            <v>Aroeira - HOTEL APARTMENTS</v>
          </cell>
          <cell r="C939" t="str">
            <v>313B</v>
          </cell>
          <cell r="E939" t="str">
            <v>2-BR*</v>
          </cell>
          <cell r="F939">
            <v>98.8</v>
          </cell>
          <cell r="Q939" t="str">
            <v>AVAILABLE</v>
          </cell>
          <cell r="S939">
            <v>675000</v>
          </cell>
          <cell r="T939">
            <v>675000</v>
          </cell>
          <cell r="V939">
            <v>45000</v>
          </cell>
          <cell r="W939">
            <v>630000</v>
          </cell>
          <cell r="AB939">
            <v>47118</v>
          </cell>
          <cell r="AC939" t="str">
            <v>João Gameiro</v>
          </cell>
          <cell r="AJ939" t="str">
            <v>Aroeira Collections</v>
          </cell>
        </row>
        <row r="940">
          <cell r="A940" t="str">
            <v>MR - Linked Villas</v>
          </cell>
          <cell r="C940" t="str">
            <v>A</v>
          </cell>
          <cell r="E940" t="str">
            <v>T3</v>
          </cell>
          <cell r="F940">
            <v>433.99</v>
          </cell>
          <cell r="Q940" t="str">
            <v>AVAILABLE</v>
          </cell>
          <cell r="S940">
            <v>1220000</v>
          </cell>
          <cell r="T940">
            <v>1220000</v>
          </cell>
          <cell r="W940">
            <v>1220000</v>
          </cell>
          <cell r="AB940" t="str">
            <v>TBD</v>
          </cell>
          <cell r="AC940" t="str">
            <v>Sandra Viegas</v>
          </cell>
          <cell r="AJ940" t="str">
            <v>Monte Rei</v>
          </cell>
        </row>
        <row r="941">
          <cell r="A941" t="str">
            <v>Palmares - Plots</v>
          </cell>
          <cell r="C941" t="str">
            <v>99</v>
          </cell>
          <cell r="E941" t="str">
            <v>Plot</v>
          </cell>
          <cell r="F941">
            <v>420</v>
          </cell>
          <cell r="Q941" t="str">
            <v>AVAILABLE</v>
          </cell>
          <cell r="S941">
            <v>1000000</v>
          </cell>
          <cell r="T941">
            <v>1300000</v>
          </cell>
          <cell r="W941">
            <v>1300000</v>
          </cell>
          <cell r="Y941">
            <v>1300000</v>
          </cell>
          <cell r="AB941">
            <v>46843</v>
          </cell>
          <cell r="AC941" t="str">
            <v>Sandra Viegas</v>
          </cell>
          <cell r="AJ941" t="str">
            <v>Palmares</v>
          </cell>
        </row>
        <row r="942">
          <cell r="A942" t="str">
            <v>SPRINGS</v>
          </cell>
          <cell r="C942" t="str">
            <v>D</v>
          </cell>
          <cell r="E942" t="str">
            <v>V3</v>
          </cell>
          <cell r="F942">
            <v>321.57</v>
          </cell>
          <cell r="Q942" t="str">
            <v>AVAILABLE</v>
          </cell>
          <cell r="S942">
            <v>1791050</v>
          </cell>
          <cell r="T942">
            <v>1880000</v>
          </cell>
          <cell r="U942">
            <v>24600</v>
          </cell>
          <cell r="V942">
            <v>64350</v>
          </cell>
          <cell r="W942">
            <v>1791050</v>
          </cell>
          <cell r="Y942">
            <v>1880000</v>
          </cell>
          <cell r="AC942" t="str">
            <v>Ana Damásio</v>
          </cell>
          <cell r="AJ942" t="str">
            <v>Springs - At the Els</v>
          </cell>
        </row>
        <row r="943">
          <cell r="A943" t="str">
            <v>Aroeira - HOTEL APARTMENTS</v>
          </cell>
          <cell r="C943" t="str">
            <v>314A</v>
          </cell>
          <cell r="E943" t="str">
            <v>1-BR</v>
          </cell>
          <cell r="F943">
            <v>72.5</v>
          </cell>
          <cell r="Q943" t="str">
            <v>AVAILABLE</v>
          </cell>
          <cell r="S943">
            <v>500000</v>
          </cell>
          <cell r="T943">
            <v>500000</v>
          </cell>
          <cell r="V943">
            <v>35000</v>
          </cell>
          <cell r="W943">
            <v>465000</v>
          </cell>
          <cell r="AB943">
            <v>47118</v>
          </cell>
          <cell r="AC943" t="str">
            <v>João Gameiro</v>
          </cell>
          <cell r="AJ943" t="str">
            <v>Aroeira Collections</v>
          </cell>
        </row>
        <row r="944">
          <cell r="A944" t="str">
            <v>ZESTIA</v>
          </cell>
          <cell r="C944" t="str">
            <v>D</v>
          </cell>
          <cell r="E944" t="str">
            <v>T2 LO</v>
          </cell>
          <cell r="F944">
            <v>118.14</v>
          </cell>
          <cell r="Q944" t="str">
            <v>AVAILABLE</v>
          </cell>
          <cell r="S944">
            <v>730111.4</v>
          </cell>
          <cell r="T944">
            <v>790000</v>
          </cell>
          <cell r="U944">
            <v>24600</v>
          </cell>
          <cell r="V944">
            <v>40000</v>
          </cell>
          <cell r="W944">
            <v>725400</v>
          </cell>
          <cell r="Y944">
            <v>790000</v>
          </cell>
          <cell r="AC944" t="str">
            <v>Ana Damásio</v>
          </cell>
          <cell r="AJ944" t="str">
            <v>Zestia</v>
          </cell>
        </row>
        <row r="945">
          <cell r="A945" t="str">
            <v>VP - TOWNHOUSES</v>
          </cell>
          <cell r="C945" t="str">
            <v>3C</v>
          </cell>
          <cell r="E945" t="str">
            <v>V3+1</v>
          </cell>
          <cell r="F945">
            <v>355.86</v>
          </cell>
          <cell r="Q945" t="str">
            <v>AVAILABLE</v>
          </cell>
          <cell r="S945">
            <v>1240000</v>
          </cell>
          <cell r="T945">
            <v>1270000</v>
          </cell>
          <cell r="W945">
            <v>1270000</v>
          </cell>
          <cell r="AB945">
            <v>47208</v>
          </cell>
          <cell r="AC945" t="str">
            <v>João Gameiro</v>
          </cell>
          <cell r="AJ945" t="str">
            <v>Vale Pisão Grand Park</v>
          </cell>
        </row>
        <row r="946">
          <cell r="A946" t="str">
            <v>NOBILUS</v>
          </cell>
          <cell r="C946" t="str">
            <v>E</v>
          </cell>
          <cell r="E946" t="str">
            <v>T2</v>
          </cell>
          <cell r="F946">
            <v>112.9</v>
          </cell>
          <cell r="Q946" t="str">
            <v>AVAILABLE</v>
          </cell>
          <cell r="S946">
            <v>760000</v>
          </cell>
          <cell r="T946">
            <v>760000</v>
          </cell>
          <cell r="W946">
            <v>760000</v>
          </cell>
          <cell r="Y946">
            <v>760000</v>
          </cell>
          <cell r="AC946" t="str">
            <v>Ana Damásio</v>
          </cell>
          <cell r="AJ946" t="str">
            <v>Nobilus</v>
          </cell>
        </row>
        <row r="947">
          <cell r="A947" t="str">
            <v>Aroeira - HOTEL APARTMENTS</v>
          </cell>
          <cell r="C947" t="str">
            <v>315B</v>
          </cell>
          <cell r="E947" t="str">
            <v>2-BR*</v>
          </cell>
          <cell r="F947">
            <v>98.7</v>
          </cell>
          <cell r="Q947" t="str">
            <v>AVAILABLE</v>
          </cell>
          <cell r="S947">
            <v>695000</v>
          </cell>
          <cell r="T947">
            <v>695000</v>
          </cell>
          <cell r="V947">
            <v>45000</v>
          </cell>
          <cell r="W947">
            <v>650000</v>
          </cell>
          <cell r="AA947">
            <v>45936</v>
          </cell>
          <cell r="AB947">
            <v>47118</v>
          </cell>
          <cell r="AC947" t="str">
            <v>João Gameiro</v>
          </cell>
          <cell r="AJ947" t="str">
            <v>Aroeira Collections</v>
          </cell>
        </row>
        <row r="948">
          <cell r="A948" t="str">
            <v>MR - Linked Villas</v>
          </cell>
          <cell r="C948" t="str">
            <v>C</v>
          </cell>
          <cell r="E948" t="str">
            <v>T3</v>
          </cell>
          <cell r="F948">
            <v>433.99</v>
          </cell>
          <cell r="Q948" t="str">
            <v>AVAILABLE</v>
          </cell>
          <cell r="S948">
            <v>1250000</v>
          </cell>
          <cell r="T948">
            <v>1310000</v>
          </cell>
          <cell r="W948">
            <v>1310000</v>
          </cell>
          <cell r="AB948" t="str">
            <v>TBD</v>
          </cell>
          <cell r="AC948" t="str">
            <v>Sandra Viegas</v>
          </cell>
          <cell r="AJ948" t="str">
            <v>Monte Rei</v>
          </cell>
        </row>
        <row r="949">
          <cell r="A949" t="str">
            <v>MR - Linked Villas</v>
          </cell>
          <cell r="C949" t="str">
            <v>K</v>
          </cell>
          <cell r="E949" t="str">
            <v>T3</v>
          </cell>
          <cell r="F949">
            <v>422.07</v>
          </cell>
          <cell r="Q949" t="str">
            <v>AVAILABLE</v>
          </cell>
          <cell r="S949">
            <v>1250000</v>
          </cell>
          <cell r="T949">
            <v>1380000</v>
          </cell>
          <cell r="W949">
            <v>1380000</v>
          </cell>
          <cell r="AB949" t="str">
            <v>TBD</v>
          </cell>
          <cell r="AC949" t="str">
            <v>Sandra Viegas</v>
          </cell>
          <cell r="AJ949" t="str">
            <v>Monte Rei</v>
          </cell>
        </row>
        <row r="950">
          <cell r="A950" t="str">
            <v>MR - Linked Villas</v>
          </cell>
          <cell r="C950" t="str">
            <v>M</v>
          </cell>
          <cell r="E950" t="str">
            <v>T3</v>
          </cell>
          <cell r="F950">
            <v>422.36</v>
          </cell>
          <cell r="Q950" t="str">
            <v>AVAILABLE</v>
          </cell>
          <cell r="S950">
            <v>1250000</v>
          </cell>
          <cell r="T950">
            <v>1170000</v>
          </cell>
          <cell r="W950">
            <v>1170000</v>
          </cell>
          <cell r="AB950" t="str">
            <v>TBD</v>
          </cell>
          <cell r="AC950" t="str">
            <v>Sandra Viegas</v>
          </cell>
          <cell r="AJ950" t="str">
            <v>Monte Rei</v>
          </cell>
        </row>
        <row r="951">
          <cell r="A951" t="str">
            <v>MR - Linked Villas</v>
          </cell>
          <cell r="C951" t="str">
            <v>P</v>
          </cell>
          <cell r="E951" t="str">
            <v>T3</v>
          </cell>
          <cell r="F951">
            <v>422.07</v>
          </cell>
          <cell r="Q951" t="str">
            <v>AVAILABLE</v>
          </cell>
          <cell r="S951">
            <v>1250000</v>
          </cell>
          <cell r="T951">
            <v>1240000</v>
          </cell>
          <cell r="W951">
            <v>1240000</v>
          </cell>
          <cell r="AB951" t="str">
            <v>TBD</v>
          </cell>
          <cell r="AC951" t="str">
            <v>Sandra Viegas</v>
          </cell>
          <cell r="AJ951" t="str">
            <v>Monte Rei</v>
          </cell>
        </row>
        <row r="952">
          <cell r="A952" t="str">
            <v>MR - Linked Villas</v>
          </cell>
          <cell r="C952" t="str">
            <v>S</v>
          </cell>
          <cell r="E952" t="str">
            <v>T3</v>
          </cell>
          <cell r="F952">
            <v>422.07</v>
          </cell>
          <cell r="Q952" t="str">
            <v>AVAILABLE</v>
          </cell>
          <cell r="S952">
            <v>1250000</v>
          </cell>
          <cell r="T952">
            <v>1240000</v>
          </cell>
          <cell r="W952">
            <v>1240000</v>
          </cell>
          <cell r="AB952" t="str">
            <v>TBD</v>
          </cell>
          <cell r="AC952" t="str">
            <v>Sandra Viegas</v>
          </cell>
          <cell r="AJ952" t="str">
            <v>Monte Rei</v>
          </cell>
        </row>
        <row r="953">
          <cell r="A953" t="str">
            <v>MR - Linked Villas</v>
          </cell>
          <cell r="C953" t="str">
            <v>AC</v>
          </cell>
          <cell r="E953" t="str">
            <v>T3</v>
          </cell>
          <cell r="F953">
            <v>422.07</v>
          </cell>
          <cell r="Q953" t="str">
            <v>AVAILABLE</v>
          </cell>
          <cell r="S953">
            <v>1250000</v>
          </cell>
          <cell r="T953">
            <v>1360000</v>
          </cell>
          <cell r="W953">
            <v>1360000</v>
          </cell>
          <cell r="AB953" t="str">
            <v>TBD</v>
          </cell>
          <cell r="AC953" t="str">
            <v>Sandra Viegas</v>
          </cell>
          <cell r="AJ953" t="str">
            <v>Monte Rei</v>
          </cell>
        </row>
        <row r="954">
          <cell r="A954" t="str">
            <v>MR - Linked Villas</v>
          </cell>
          <cell r="C954" t="str">
            <v>AF</v>
          </cell>
          <cell r="E954" t="str">
            <v>T3</v>
          </cell>
          <cell r="F954">
            <v>422.07</v>
          </cell>
          <cell r="Q954" t="str">
            <v>AVAILABLE</v>
          </cell>
          <cell r="S954">
            <v>1250000</v>
          </cell>
          <cell r="T954">
            <v>1310000</v>
          </cell>
          <cell r="W954">
            <v>1310000</v>
          </cell>
          <cell r="AB954" t="str">
            <v>TBD</v>
          </cell>
          <cell r="AC954" t="str">
            <v>Sandra Viegas</v>
          </cell>
          <cell r="AJ954" t="str">
            <v>Monte Rei</v>
          </cell>
        </row>
        <row r="955">
          <cell r="A955" t="str">
            <v>SPRINGS</v>
          </cell>
          <cell r="C955" t="str">
            <v>E</v>
          </cell>
          <cell r="E955" t="str">
            <v>V3</v>
          </cell>
          <cell r="F955">
            <v>323.58999999999997</v>
          </cell>
          <cell r="Q955" t="str">
            <v>AVAILABLE</v>
          </cell>
          <cell r="S955">
            <v>1691050</v>
          </cell>
          <cell r="T955">
            <v>1780000</v>
          </cell>
          <cell r="U955">
            <v>24600</v>
          </cell>
          <cell r="V955">
            <v>64350</v>
          </cell>
          <cell r="W955">
            <v>1691050</v>
          </cell>
          <cell r="Y955">
            <v>1780000</v>
          </cell>
          <cell r="AC955" t="str">
            <v>Ana Damásio</v>
          </cell>
          <cell r="AJ955" t="str">
            <v>Springs - At the Els</v>
          </cell>
        </row>
        <row r="956">
          <cell r="A956" t="str">
            <v>VP - TOWNHOUSES</v>
          </cell>
          <cell r="C956" t="str">
            <v>1D</v>
          </cell>
          <cell r="E956" t="str">
            <v>V4</v>
          </cell>
          <cell r="F956">
            <v>377.21</v>
          </cell>
          <cell r="Q956" t="str">
            <v>UPON  REQUEST</v>
          </cell>
          <cell r="S956">
            <v>1250000</v>
          </cell>
          <cell r="T956">
            <v>1330000</v>
          </cell>
          <cell r="W956">
            <v>1330000</v>
          </cell>
          <cell r="AB956">
            <v>47208</v>
          </cell>
          <cell r="AC956" t="str">
            <v>João Gameiro</v>
          </cell>
          <cell r="AJ956" t="str">
            <v>Vale Pisão Grand Park</v>
          </cell>
        </row>
        <row r="957">
          <cell r="A957" t="str">
            <v>ZESTIA</v>
          </cell>
          <cell r="C957" t="str">
            <v>E</v>
          </cell>
          <cell r="E957" t="str">
            <v>T1 +</v>
          </cell>
          <cell r="F957">
            <v>97.59</v>
          </cell>
          <cell r="Q957" t="str">
            <v>AVAILABLE</v>
          </cell>
          <cell r="S957">
            <v>627276.78500000003</v>
          </cell>
          <cell r="T957">
            <v>680000</v>
          </cell>
          <cell r="U957">
            <v>24600</v>
          </cell>
          <cell r="V957">
            <v>30000</v>
          </cell>
          <cell r="W957">
            <v>625400</v>
          </cell>
          <cell r="Y957">
            <v>680000</v>
          </cell>
          <cell r="AC957" t="str">
            <v>Ana Damásio</v>
          </cell>
          <cell r="AJ957" t="str">
            <v>Zestia</v>
          </cell>
        </row>
        <row r="958">
          <cell r="A958" t="str">
            <v>MR - Linked Villas</v>
          </cell>
          <cell r="C958" t="str">
            <v>B</v>
          </cell>
          <cell r="E958" t="str">
            <v>T3</v>
          </cell>
          <cell r="F958">
            <v>422.36</v>
          </cell>
          <cell r="Q958" t="str">
            <v>AVAILABLE</v>
          </cell>
          <cell r="S958">
            <v>1300000</v>
          </cell>
          <cell r="T958">
            <v>1300000</v>
          </cell>
          <cell r="W958">
            <v>1300000</v>
          </cell>
          <cell r="AB958" t="str">
            <v>TBD</v>
          </cell>
          <cell r="AC958" t="str">
            <v>Sandra Viegas</v>
          </cell>
          <cell r="AJ958" t="str">
            <v>Monte Rei</v>
          </cell>
        </row>
        <row r="959">
          <cell r="A959" t="str">
            <v>MR - Linked Villas</v>
          </cell>
          <cell r="C959" t="str">
            <v>D</v>
          </cell>
          <cell r="E959" t="str">
            <v>T3</v>
          </cell>
          <cell r="F959">
            <v>422.36</v>
          </cell>
          <cell r="Q959" t="str">
            <v>AVAILABLE</v>
          </cell>
          <cell r="S959">
            <v>1300000</v>
          </cell>
          <cell r="T959">
            <v>1270000</v>
          </cell>
          <cell r="W959">
            <v>1270000</v>
          </cell>
          <cell r="AB959" t="str">
            <v>TBD</v>
          </cell>
          <cell r="AC959" t="str">
            <v>Sandra Viegas</v>
          </cell>
          <cell r="AJ959" t="str">
            <v>Monte Rei</v>
          </cell>
        </row>
        <row r="960">
          <cell r="A960" t="str">
            <v>MR - Linked Villas</v>
          </cell>
          <cell r="C960" t="str">
            <v>E</v>
          </cell>
          <cell r="E960" t="str">
            <v>T3</v>
          </cell>
          <cell r="F960">
            <v>422.36</v>
          </cell>
          <cell r="Q960" t="str">
            <v>AVAILABLE</v>
          </cell>
          <cell r="S960">
            <v>1300000</v>
          </cell>
          <cell r="T960">
            <v>1290000</v>
          </cell>
          <cell r="W960">
            <v>1290000</v>
          </cell>
          <cell r="AB960" t="str">
            <v>TBD</v>
          </cell>
          <cell r="AC960" t="str">
            <v>Sandra Viegas</v>
          </cell>
          <cell r="AJ960" t="str">
            <v>Monte Rei</v>
          </cell>
        </row>
        <row r="961">
          <cell r="A961" t="str">
            <v>MR - Linked Villas</v>
          </cell>
          <cell r="C961" t="str">
            <v>F</v>
          </cell>
          <cell r="E961" t="str">
            <v>T3</v>
          </cell>
          <cell r="F961">
            <v>433.99</v>
          </cell>
          <cell r="Q961" t="str">
            <v>AVAILABLE</v>
          </cell>
          <cell r="S961">
            <v>1300000</v>
          </cell>
          <cell r="T961">
            <v>1340000</v>
          </cell>
          <cell r="W961">
            <v>1340000</v>
          </cell>
          <cell r="Y961">
            <v>1340000</v>
          </cell>
          <cell r="AB961" t="str">
            <v>TBD</v>
          </cell>
          <cell r="AC961" t="str">
            <v>Sandra Viegas</v>
          </cell>
          <cell r="AJ961" t="str">
            <v>Monte Rei</v>
          </cell>
        </row>
        <row r="962">
          <cell r="A962" t="str">
            <v>MR - Linked Villas</v>
          </cell>
          <cell r="C962" t="str">
            <v>G</v>
          </cell>
          <cell r="E962" t="str">
            <v>T3</v>
          </cell>
          <cell r="F962">
            <v>433.99</v>
          </cell>
          <cell r="Q962" t="str">
            <v>AVAILABLE</v>
          </cell>
          <cell r="S962">
            <v>1300000</v>
          </cell>
          <cell r="T962">
            <v>1320000</v>
          </cell>
          <cell r="W962">
            <v>1320000</v>
          </cell>
          <cell r="AB962" t="str">
            <v>TBD</v>
          </cell>
          <cell r="AC962" t="str">
            <v>Sandra Viegas</v>
          </cell>
          <cell r="AJ962" t="str">
            <v>Monte Rei</v>
          </cell>
        </row>
        <row r="963">
          <cell r="A963" t="str">
            <v>MR - Linked Villas</v>
          </cell>
          <cell r="C963" t="str">
            <v>H</v>
          </cell>
          <cell r="E963" t="str">
            <v>T3</v>
          </cell>
          <cell r="F963">
            <v>422.07</v>
          </cell>
          <cell r="Q963" t="str">
            <v>AVAILABLE</v>
          </cell>
          <cell r="S963">
            <v>1300000</v>
          </cell>
          <cell r="T963">
            <v>1270000</v>
          </cell>
          <cell r="W963">
            <v>1270000</v>
          </cell>
          <cell r="AB963" t="str">
            <v>TBD</v>
          </cell>
          <cell r="AC963" t="str">
            <v>Sandra Viegas</v>
          </cell>
          <cell r="AJ963" t="str">
            <v>Monte Rei</v>
          </cell>
        </row>
        <row r="964">
          <cell r="A964" t="str">
            <v>MR - Linked Villas</v>
          </cell>
          <cell r="C964" t="str">
            <v>I</v>
          </cell>
          <cell r="E964" t="str">
            <v>T3</v>
          </cell>
          <cell r="F964">
            <v>422.36</v>
          </cell>
          <cell r="Q964" t="str">
            <v>AVAILABLE</v>
          </cell>
          <cell r="S964">
            <v>1300000</v>
          </cell>
          <cell r="T964">
            <v>1300000</v>
          </cell>
          <cell r="W964">
            <v>1300000</v>
          </cell>
          <cell r="AB964" t="str">
            <v>TBD</v>
          </cell>
          <cell r="AC964" t="str">
            <v>Sandra Viegas</v>
          </cell>
          <cell r="AJ964" t="str">
            <v>Monte Rei</v>
          </cell>
        </row>
        <row r="965">
          <cell r="A965" t="str">
            <v>MR - Linked Villas</v>
          </cell>
          <cell r="C965" t="str">
            <v>J</v>
          </cell>
          <cell r="E965" t="str">
            <v>T3</v>
          </cell>
          <cell r="F965">
            <v>433.99</v>
          </cell>
          <cell r="Q965" t="str">
            <v>AVAILABLE</v>
          </cell>
          <cell r="S965">
            <v>1300000</v>
          </cell>
          <cell r="T965">
            <v>1430000</v>
          </cell>
          <cell r="W965">
            <v>1430000</v>
          </cell>
          <cell r="AB965" t="str">
            <v>TBD</v>
          </cell>
          <cell r="AC965" t="str">
            <v>Sandra Viegas</v>
          </cell>
          <cell r="AJ965" t="str">
            <v>Monte Rei</v>
          </cell>
        </row>
        <row r="966">
          <cell r="A966" t="str">
            <v>MR - Linked Villas</v>
          </cell>
          <cell r="C966" t="str">
            <v>L</v>
          </cell>
          <cell r="E966" t="str">
            <v>T3</v>
          </cell>
          <cell r="F966">
            <v>422.36</v>
          </cell>
          <cell r="Q966" t="str">
            <v>AVAILABLE</v>
          </cell>
          <cell r="S966">
            <v>1300000</v>
          </cell>
          <cell r="T966">
            <v>1380000</v>
          </cell>
          <cell r="W966">
            <v>1380000</v>
          </cell>
          <cell r="AB966" t="str">
            <v>TBD</v>
          </cell>
          <cell r="AC966" t="str">
            <v>Sandra Viegas</v>
          </cell>
          <cell r="AJ966" t="str">
            <v>Monte Rei</v>
          </cell>
        </row>
        <row r="967">
          <cell r="A967" t="str">
            <v>MR - Linked Villas</v>
          </cell>
          <cell r="C967" t="str">
            <v>N</v>
          </cell>
          <cell r="E967" t="str">
            <v>T3</v>
          </cell>
          <cell r="F967">
            <v>433.99</v>
          </cell>
          <cell r="Q967" t="str">
            <v>AVAILABLE</v>
          </cell>
          <cell r="S967">
            <v>1300000</v>
          </cell>
          <cell r="T967">
            <v>1190000</v>
          </cell>
          <cell r="W967">
            <v>1190000</v>
          </cell>
          <cell r="AB967" t="str">
            <v>TBD</v>
          </cell>
          <cell r="AC967" t="str">
            <v>Sandra Viegas</v>
          </cell>
          <cell r="AJ967" t="str">
            <v>Monte Rei</v>
          </cell>
        </row>
        <row r="968">
          <cell r="A968" t="str">
            <v>MR - Linked Villas</v>
          </cell>
          <cell r="C968" t="str">
            <v>O</v>
          </cell>
          <cell r="E968" t="str">
            <v>T3</v>
          </cell>
          <cell r="F968">
            <v>422.36</v>
          </cell>
          <cell r="Q968" t="str">
            <v>AVAILABLE</v>
          </cell>
          <cell r="S968">
            <v>1300000</v>
          </cell>
          <cell r="T968">
            <v>1250000</v>
          </cell>
          <cell r="W968">
            <v>1250000</v>
          </cell>
          <cell r="AB968" t="str">
            <v>TBD</v>
          </cell>
          <cell r="AC968" t="str">
            <v>Sandra Viegas</v>
          </cell>
          <cell r="AJ968" t="str">
            <v>Monte Rei</v>
          </cell>
        </row>
        <row r="969">
          <cell r="A969" t="str">
            <v>MR - Linked Villas</v>
          </cell>
          <cell r="C969" t="str">
            <v>Q</v>
          </cell>
          <cell r="E969" t="str">
            <v>T3</v>
          </cell>
          <cell r="F969">
            <v>433.99</v>
          </cell>
          <cell r="Q969" t="str">
            <v>AVAILABLE</v>
          </cell>
          <cell r="S969">
            <v>1300000</v>
          </cell>
          <cell r="T969">
            <v>1260000</v>
          </cell>
          <cell r="W969">
            <v>1260000</v>
          </cell>
          <cell r="AB969" t="str">
            <v>TBD</v>
          </cell>
          <cell r="AC969" t="str">
            <v>Sandra Viegas</v>
          </cell>
          <cell r="AJ969" t="str">
            <v>Monte Rei</v>
          </cell>
        </row>
        <row r="970">
          <cell r="A970" t="str">
            <v>MR - Linked Villas</v>
          </cell>
          <cell r="C970" t="str">
            <v>R</v>
          </cell>
          <cell r="E970" t="str">
            <v>T3</v>
          </cell>
          <cell r="F970">
            <v>433.99</v>
          </cell>
          <cell r="Q970" t="str">
            <v>AVAILABLE</v>
          </cell>
          <cell r="S970">
            <v>1300000</v>
          </cell>
          <cell r="T970">
            <v>1190000</v>
          </cell>
          <cell r="W970">
            <v>1190000</v>
          </cell>
          <cell r="AB970" t="str">
            <v>TBD</v>
          </cell>
          <cell r="AC970" t="str">
            <v>Sandra Viegas</v>
          </cell>
          <cell r="AJ970" t="str">
            <v>Monte Rei</v>
          </cell>
        </row>
        <row r="971">
          <cell r="A971" t="str">
            <v>MR - Linked Villas</v>
          </cell>
          <cell r="C971" t="str">
            <v>Z</v>
          </cell>
          <cell r="E971" t="str">
            <v>T3</v>
          </cell>
          <cell r="F971">
            <v>422.07</v>
          </cell>
          <cell r="Q971" t="str">
            <v>AVAILABLE</v>
          </cell>
          <cell r="S971">
            <v>1300000</v>
          </cell>
          <cell r="T971">
            <v>1320000</v>
          </cell>
          <cell r="W971">
            <v>1320000</v>
          </cell>
          <cell r="AB971" t="str">
            <v>TBD</v>
          </cell>
          <cell r="AC971" t="str">
            <v>Sandra Viegas</v>
          </cell>
          <cell r="AJ971" t="str">
            <v>Monte Rei</v>
          </cell>
        </row>
        <row r="972">
          <cell r="A972" t="str">
            <v>MR - Linked Villas</v>
          </cell>
          <cell r="C972" t="str">
            <v>AJ</v>
          </cell>
          <cell r="E972" t="str">
            <v>T3</v>
          </cell>
          <cell r="F972">
            <v>422.36</v>
          </cell>
          <cell r="Q972" t="str">
            <v>AVAILABLE</v>
          </cell>
          <cell r="S972">
            <v>1300000</v>
          </cell>
          <cell r="T972">
            <v>1350000</v>
          </cell>
          <cell r="W972">
            <v>1350000</v>
          </cell>
          <cell r="Y972">
            <v>1350000</v>
          </cell>
          <cell r="AB972" t="str">
            <v>TBD</v>
          </cell>
          <cell r="AC972" t="str">
            <v>Sandra Viegas</v>
          </cell>
          <cell r="AJ972" t="str">
            <v>Monte Rei</v>
          </cell>
        </row>
        <row r="973">
          <cell r="A973" t="str">
            <v>MR - Linked Villas</v>
          </cell>
          <cell r="C973" t="str">
            <v>AK</v>
          </cell>
          <cell r="E973" t="str">
            <v>T3</v>
          </cell>
          <cell r="F973">
            <v>433.99</v>
          </cell>
          <cell r="Q973" t="str">
            <v>AVAILABLE</v>
          </cell>
          <cell r="S973">
            <v>1300000</v>
          </cell>
          <cell r="T973">
            <v>1390000</v>
          </cell>
          <cell r="W973">
            <v>1390000</v>
          </cell>
          <cell r="AB973" t="str">
            <v>TBD</v>
          </cell>
          <cell r="AC973" t="str">
            <v>Sandra Viegas</v>
          </cell>
          <cell r="AJ973" t="str">
            <v>Monte Rei</v>
          </cell>
        </row>
        <row r="974">
          <cell r="A974" t="str">
            <v>SPRINGS</v>
          </cell>
          <cell r="C974" t="str">
            <v>F</v>
          </cell>
          <cell r="E974" t="str">
            <v>V3</v>
          </cell>
          <cell r="F974">
            <v>321.57</v>
          </cell>
          <cell r="Q974" t="str">
            <v>AVAILABLE</v>
          </cell>
          <cell r="S974">
            <v>1791050</v>
          </cell>
          <cell r="T974">
            <v>1880000</v>
          </cell>
          <cell r="U974">
            <v>24600</v>
          </cell>
          <cell r="V974">
            <v>64350</v>
          </cell>
          <cell r="W974">
            <v>1791050</v>
          </cell>
          <cell r="Y974">
            <v>1880000</v>
          </cell>
          <cell r="AC974" t="str">
            <v>Ana Damásio</v>
          </cell>
          <cell r="AJ974" t="str">
            <v>Springs - At the Els</v>
          </cell>
        </row>
        <row r="975">
          <cell r="A975" t="str">
            <v>ZESTIA</v>
          </cell>
          <cell r="C975" t="str">
            <v>F</v>
          </cell>
          <cell r="E975" t="str">
            <v>T2 +</v>
          </cell>
          <cell r="F975">
            <v>166.6</v>
          </cell>
          <cell r="Q975" t="str">
            <v>AVAILABLE</v>
          </cell>
          <cell r="S975">
            <v>1060165.96</v>
          </cell>
          <cell r="T975">
            <v>1100000</v>
          </cell>
          <cell r="U975">
            <v>24600</v>
          </cell>
          <cell r="V975">
            <v>50000</v>
          </cell>
          <cell r="W975">
            <v>1025400</v>
          </cell>
          <cell r="Y975">
            <v>1100000</v>
          </cell>
          <cell r="AC975" t="str">
            <v>Ana Damásio</v>
          </cell>
          <cell r="AJ975" t="str">
            <v>Zestia</v>
          </cell>
        </row>
        <row r="976">
          <cell r="A976" t="str">
            <v>MR - LT do Golfe</v>
          </cell>
          <cell r="C976" t="str">
            <v>8</v>
          </cell>
          <cell r="E976" t="str">
            <v>Plot</v>
          </cell>
          <cell r="F976">
            <v>500</v>
          </cell>
          <cell r="Q976" t="str">
            <v>AVAILABLE</v>
          </cell>
          <cell r="S976">
            <v>1326000</v>
          </cell>
          <cell r="T976">
            <v>1150000</v>
          </cell>
          <cell r="W976">
            <v>1150000</v>
          </cell>
          <cell r="AB976" t="str">
            <v>TBD</v>
          </cell>
          <cell r="AC976" t="str">
            <v>Sandra Viegas</v>
          </cell>
          <cell r="AJ976" t="str">
            <v>Monte Rei</v>
          </cell>
        </row>
        <row r="977">
          <cell r="A977" t="str">
            <v>NATURA VILLAGE 9</v>
          </cell>
          <cell r="C977" t="str">
            <v>G</v>
          </cell>
          <cell r="E977" t="str">
            <v>V3</v>
          </cell>
          <cell r="F977">
            <v>193.26</v>
          </cell>
          <cell r="Q977" t="str">
            <v>AVAILABLE</v>
          </cell>
          <cell r="S977">
            <v>1320000</v>
          </cell>
          <cell r="T977">
            <v>1320000</v>
          </cell>
          <cell r="W977">
            <v>1320000</v>
          </cell>
          <cell r="Y977">
            <v>1320000</v>
          </cell>
          <cell r="AC977" t="str">
            <v>Ana Damásio</v>
          </cell>
          <cell r="AJ977" t="str">
            <v>Natura Village</v>
          </cell>
        </row>
        <row r="978">
          <cell r="A978" t="str">
            <v>NOBILUS</v>
          </cell>
          <cell r="C978" t="str">
            <v>G</v>
          </cell>
          <cell r="E978" t="str">
            <v>T3</v>
          </cell>
          <cell r="F978">
            <v>153.5</v>
          </cell>
          <cell r="Q978" t="str">
            <v>AVAILABLE</v>
          </cell>
          <cell r="S978">
            <v>1080000</v>
          </cell>
          <cell r="T978">
            <v>1080000</v>
          </cell>
          <cell r="W978">
            <v>1080000</v>
          </cell>
          <cell r="Y978">
            <v>1080000</v>
          </cell>
          <cell r="AC978" t="str">
            <v>Ana Damásio</v>
          </cell>
          <cell r="AJ978" t="str">
            <v>Nobilus</v>
          </cell>
        </row>
        <row r="979">
          <cell r="A979" t="str">
            <v>Aroeira - HOTEL APARTMENTS</v>
          </cell>
          <cell r="C979" t="str">
            <v>316A</v>
          </cell>
          <cell r="E979" t="str">
            <v>1-BR</v>
          </cell>
          <cell r="F979">
            <v>65</v>
          </cell>
          <cell r="Q979" t="str">
            <v>AVAILABLE</v>
          </cell>
          <cell r="S979">
            <v>470000</v>
          </cell>
          <cell r="T979">
            <v>470000</v>
          </cell>
          <cell r="V979">
            <v>35000</v>
          </cell>
          <cell r="W979">
            <v>435000</v>
          </cell>
          <cell r="AB979">
            <v>47118</v>
          </cell>
          <cell r="AC979" t="str">
            <v>João Gameiro</v>
          </cell>
          <cell r="AJ979" t="str">
            <v>Aroeira Collections</v>
          </cell>
        </row>
        <row r="980">
          <cell r="A980" t="str">
            <v>Aroeira - HOTEL APARTMENTS</v>
          </cell>
          <cell r="C980" t="str">
            <v>317A</v>
          </cell>
          <cell r="E980" t="str">
            <v>1-BR</v>
          </cell>
          <cell r="F980">
            <v>65</v>
          </cell>
          <cell r="Q980" t="str">
            <v>AVAILABLE</v>
          </cell>
          <cell r="S980">
            <v>470000</v>
          </cell>
          <cell r="T980">
            <v>470000</v>
          </cell>
          <cell r="V980">
            <v>35000</v>
          </cell>
          <cell r="W980">
            <v>435000</v>
          </cell>
          <cell r="AB980">
            <v>47118</v>
          </cell>
          <cell r="AC980" t="str">
            <v>João Gameiro</v>
          </cell>
          <cell r="AJ980" t="str">
            <v>Aroeira Collections</v>
          </cell>
        </row>
        <row r="981">
          <cell r="A981" t="str">
            <v>Rivus</v>
          </cell>
          <cell r="C981" t="str">
            <v>G</v>
          </cell>
          <cell r="E981" t="str">
            <v>T2</v>
          </cell>
          <cell r="Q981" t="str">
            <v>AVAILABLE</v>
          </cell>
          <cell r="S981">
            <v>890000</v>
          </cell>
          <cell r="T981">
            <v>890000</v>
          </cell>
          <cell r="W981">
            <v>890000</v>
          </cell>
          <cell r="Y981">
            <v>870000</v>
          </cell>
          <cell r="AC981" t="str">
            <v>Ana Damásio</v>
          </cell>
          <cell r="AJ981" t="str">
            <v>Rivus</v>
          </cell>
        </row>
        <row r="982">
          <cell r="A982" t="str">
            <v>SPRINGS</v>
          </cell>
          <cell r="C982" t="str">
            <v>G</v>
          </cell>
          <cell r="E982" t="str">
            <v>V3</v>
          </cell>
          <cell r="F982">
            <v>323.58999999999997</v>
          </cell>
          <cell r="Q982" t="str">
            <v>AVAILABLE</v>
          </cell>
          <cell r="S982">
            <v>1791050</v>
          </cell>
          <cell r="T982">
            <v>1880000</v>
          </cell>
          <cell r="U982">
            <v>24600</v>
          </cell>
          <cell r="V982">
            <v>64350</v>
          </cell>
          <cell r="W982">
            <v>1791050</v>
          </cell>
          <cell r="Y982">
            <v>1880000</v>
          </cell>
          <cell r="AC982" t="str">
            <v>Ana Damásio</v>
          </cell>
          <cell r="AJ982" t="str">
            <v>Springs - At the Els</v>
          </cell>
        </row>
        <row r="983">
          <cell r="A983" t="str">
            <v>ZESTIA</v>
          </cell>
          <cell r="C983" t="str">
            <v>G</v>
          </cell>
          <cell r="E983" t="str">
            <v>T1</v>
          </cell>
          <cell r="F983">
            <v>97.45</v>
          </cell>
          <cell r="Q983" t="str">
            <v>AVAILABLE</v>
          </cell>
          <cell r="S983">
            <v>576302.81000000006</v>
          </cell>
          <cell r="T983">
            <v>630000</v>
          </cell>
          <cell r="U983">
            <v>24600</v>
          </cell>
          <cell r="V983">
            <v>30000</v>
          </cell>
          <cell r="W983">
            <v>575400</v>
          </cell>
          <cell r="Y983">
            <v>630000</v>
          </cell>
          <cell r="AC983" t="str">
            <v>Ana Damásio</v>
          </cell>
          <cell r="AJ983" t="str">
            <v>Zestia</v>
          </cell>
        </row>
        <row r="984">
          <cell r="A984" t="str">
            <v>Aroeira - HOTEL APARTMENTS</v>
          </cell>
          <cell r="C984" t="str">
            <v>318A</v>
          </cell>
          <cell r="E984" t="str">
            <v>1-BR</v>
          </cell>
          <cell r="F984">
            <v>65</v>
          </cell>
          <cell r="Q984" t="str">
            <v>AVAILABLE</v>
          </cell>
          <cell r="S984">
            <v>470000</v>
          </cell>
          <cell r="T984">
            <v>470000</v>
          </cell>
          <cell r="V984">
            <v>35000</v>
          </cell>
          <cell r="W984">
            <v>435000</v>
          </cell>
          <cell r="AB984">
            <v>47118</v>
          </cell>
          <cell r="AC984" t="str">
            <v>João Gameiro</v>
          </cell>
          <cell r="AJ984" t="str">
            <v>Aroeira Collections</v>
          </cell>
        </row>
        <row r="985">
          <cell r="A985" t="str">
            <v>MR - LT do Golfe</v>
          </cell>
          <cell r="C985" t="str">
            <v>4</v>
          </cell>
          <cell r="E985" t="str">
            <v>Plot</v>
          </cell>
          <cell r="F985">
            <v>500</v>
          </cell>
          <cell r="Q985" t="str">
            <v>AVAILABLE</v>
          </cell>
          <cell r="S985">
            <v>1380000</v>
          </cell>
          <cell r="T985">
            <v>1050000</v>
          </cell>
          <cell r="W985">
            <v>1050000</v>
          </cell>
          <cell r="AB985" t="str">
            <v>TBD</v>
          </cell>
          <cell r="AC985" t="str">
            <v>Sandra Viegas</v>
          </cell>
          <cell r="AJ985" t="str">
            <v>Monte Rei</v>
          </cell>
        </row>
        <row r="986">
          <cell r="A986" t="str">
            <v>MR - LT do Golfe</v>
          </cell>
          <cell r="C986" t="str">
            <v>9</v>
          </cell>
          <cell r="E986" t="str">
            <v>Plot</v>
          </cell>
          <cell r="F986">
            <v>500</v>
          </cell>
          <cell r="Q986" t="str">
            <v>AVAILABLE</v>
          </cell>
          <cell r="S986">
            <v>1380000</v>
          </cell>
          <cell r="T986">
            <v>1200000</v>
          </cell>
          <cell r="W986">
            <v>1200000</v>
          </cell>
          <cell r="AB986" t="str">
            <v>TBD</v>
          </cell>
          <cell r="AC986" t="str">
            <v>Sandra Viegas</v>
          </cell>
          <cell r="AJ986" t="str">
            <v>Monte Rei</v>
          </cell>
        </row>
        <row r="987">
          <cell r="A987" t="str">
            <v>MR - LT do Golfe</v>
          </cell>
          <cell r="C987" t="str">
            <v>7</v>
          </cell>
          <cell r="E987" t="str">
            <v>Plot</v>
          </cell>
          <cell r="F987">
            <v>500</v>
          </cell>
          <cell r="Q987" t="str">
            <v>AVAILABLE</v>
          </cell>
          <cell r="S987">
            <v>1390000</v>
          </cell>
          <cell r="T987">
            <v>1210000</v>
          </cell>
          <cell r="W987">
            <v>1210000</v>
          </cell>
          <cell r="AB987" t="str">
            <v>TBD</v>
          </cell>
          <cell r="AC987" t="str">
            <v>Sandra Viegas</v>
          </cell>
          <cell r="AJ987" t="str">
            <v>Monte Rei</v>
          </cell>
        </row>
        <row r="988">
          <cell r="A988" t="str">
            <v>Aroeira - HOTEL APARTMENTS</v>
          </cell>
          <cell r="C988" t="str">
            <v>319A</v>
          </cell>
          <cell r="E988" t="str">
            <v>1-BR</v>
          </cell>
          <cell r="F988">
            <v>65</v>
          </cell>
          <cell r="Q988" t="str">
            <v>AVAILABLE</v>
          </cell>
          <cell r="S988">
            <v>470000</v>
          </cell>
          <cell r="T988">
            <v>470000</v>
          </cell>
          <cell r="V988">
            <v>35000</v>
          </cell>
          <cell r="W988">
            <v>435000</v>
          </cell>
          <cell r="AB988">
            <v>47118</v>
          </cell>
          <cell r="AC988" t="str">
            <v>João Gameiro</v>
          </cell>
          <cell r="AJ988" t="str">
            <v>Aroeira Collections</v>
          </cell>
        </row>
        <row r="989">
          <cell r="A989" t="str">
            <v>MR - Linked Villas</v>
          </cell>
          <cell r="C989" t="str">
            <v>W</v>
          </cell>
          <cell r="E989" t="str">
            <v>T3</v>
          </cell>
          <cell r="F989">
            <v>422.36</v>
          </cell>
          <cell r="Q989" t="str">
            <v>AVAILABLE</v>
          </cell>
          <cell r="S989">
            <v>1400000</v>
          </cell>
          <cell r="T989">
            <v>1440000</v>
          </cell>
          <cell r="W989">
            <v>1440000</v>
          </cell>
          <cell r="AB989" t="str">
            <v>TBD</v>
          </cell>
          <cell r="AC989" t="str">
            <v>Sandra Viegas</v>
          </cell>
          <cell r="AJ989" t="str">
            <v>Monte Rei</v>
          </cell>
        </row>
        <row r="990">
          <cell r="A990" t="str">
            <v>MR - LT do Golfe</v>
          </cell>
          <cell r="C990" t="str">
            <v>2</v>
          </cell>
          <cell r="E990" t="str">
            <v>Plot</v>
          </cell>
          <cell r="F990">
            <v>500</v>
          </cell>
          <cell r="Q990" t="str">
            <v>AVAILABLE</v>
          </cell>
          <cell r="S990">
            <v>1405000</v>
          </cell>
          <cell r="T990">
            <v>1030000</v>
          </cell>
          <cell r="W990">
            <v>1030000</v>
          </cell>
          <cell r="AB990" t="str">
            <v>TBD</v>
          </cell>
          <cell r="AC990" t="str">
            <v>Sandra Viegas</v>
          </cell>
          <cell r="AJ990" t="str">
            <v>Monte Rei</v>
          </cell>
        </row>
        <row r="991">
          <cell r="A991" t="str">
            <v>NATURA VILLAGE 7</v>
          </cell>
          <cell r="C991" t="str">
            <v>H</v>
          </cell>
          <cell r="E991" t="str">
            <v>V2</v>
          </cell>
          <cell r="F991">
            <v>148.86000000000001</v>
          </cell>
          <cell r="Q991" t="str">
            <v xml:space="preserve">DEED </v>
          </cell>
          <cell r="S991">
            <v>850000</v>
          </cell>
          <cell r="T991">
            <v>870000</v>
          </cell>
          <cell r="W991">
            <v>870000</v>
          </cell>
          <cell r="Y991">
            <v>870000</v>
          </cell>
          <cell r="AA991">
            <v>45954</v>
          </cell>
          <cell r="AC991" t="str">
            <v>Ana Damásio</v>
          </cell>
          <cell r="AJ991" t="str">
            <v>Natura Village</v>
          </cell>
        </row>
        <row r="992">
          <cell r="A992" t="str">
            <v>NATURA VILLAGE 9</v>
          </cell>
          <cell r="C992" t="str">
            <v>H</v>
          </cell>
          <cell r="E992" t="str">
            <v>V3</v>
          </cell>
          <cell r="F992">
            <v>192.99</v>
          </cell>
          <cell r="Q992" t="str">
            <v>AVAILABLE</v>
          </cell>
          <cell r="S992">
            <v>1110000</v>
          </cell>
          <cell r="T992">
            <v>1110000</v>
          </cell>
          <cell r="W992">
            <v>1110000</v>
          </cell>
          <cell r="Y992">
            <v>1110000</v>
          </cell>
          <cell r="AC992" t="str">
            <v>Ana Damásio</v>
          </cell>
          <cell r="AJ992" t="str">
            <v>Natura Village</v>
          </cell>
        </row>
        <row r="993">
          <cell r="A993" t="str">
            <v>Rivus</v>
          </cell>
          <cell r="C993" t="str">
            <v>H</v>
          </cell>
          <cell r="E993" t="str">
            <v>T2</v>
          </cell>
          <cell r="Q993" t="str">
            <v>AVAILABLE</v>
          </cell>
          <cell r="S993">
            <v>860000</v>
          </cell>
          <cell r="T993">
            <v>860000</v>
          </cell>
          <cell r="W993">
            <v>860000</v>
          </cell>
          <cell r="Y993">
            <v>840000</v>
          </cell>
          <cell r="AC993" t="str">
            <v>Ana Damásio</v>
          </cell>
          <cell r="AJ993" t="str">
            <v>Rivus</v>
          </cell>
        </row>
        <row r="994">
          <cell r="A994" t="str">
            <v>SPRINGS</v>
          </cell>
          <cell r="C994" t="str">
            <v>H</v>
          </cell>
          <cell r="E994" t="str">
            <v>V4 Duplex</v>
          </cell>
          <cell r="F994">
            <v>406.88</v>
          </cell>
          <cell r="Q994" t="str">
            <v>AVAILABLE</v>
          </cell>
          <cell r="S994">
            <v>2722300</v>
          </cell>
          <cell r="T994">
            <v>2830000</v>
          </cell>
          <cell r="U994">
            <v>24600</v>
          </cell>
          <cell r="V994">
            <v>83100</v>
          </cell>
          <cell r="W994">
            <v>2722300</v>
          </cell>
          <cell r="Y994">
            <v>2830000</v>
          </cell>
          <cell r="AC994" t="str">
            <v>Ana Damásio</v>
          </cell>
          <cell r="AJ994" t="str">
            <v>Springs - At the Els</v>
          </cell>
        </row>
        <row r="995">
          <cell r="A995" t="str">
            <v>MR - LT do Golfe</v>
          </cell>
          <cell r="C995" t="str">
            <v>10</v>
          </cell>
          <cell r="E995" t="str">
            <v>Plot</v>
          </cell>
          <cell r="F995">
            <v>500</v>
          </cell>
          <cell r="Q995" t="str">
            <v>AVAILABLE</v>
          </cell>
          <cell r="S995">
            <v>1430000</v>
          </cell>
          <cell r="T995">
            <v>1230000</v>
          </cell>
          <cell r="W995">
            <v>1230000</v>
          </cell>
          <cell r="AB995" t="str">
            <v>TBD</v>
          </cell>
          <cell r="AC995" t="str">
            <v>Sandra Viegas</v>
          </cell>
          <cell r="AJ995" t="str">
            <v>Monte Rei</v>
          </cell>
        </row>
        <row r="996">
          <cell r="A996" t="str">
            <v>ZESTIA</v>
          </cell>
          <cell r="C996" t="str">
            <v>H</v>
          </cell>
          <cell r="E996" t="str">
            <v>T1</v>
          </cell>
          <cell r="F996">
            <v>83.62</v>
          </cell>
          <cell r="Q996" t="str">
            <v>AVAILABLE</v>
          </cell>
          <cell r="S996">
            <v>524758.14</v>
          </cell>
          <cell r="T996">
            <v>560000</v>
          </cell>
          <cell r="U996">
            <v>24600</v>
          </cell>
          <cell r="V996">
            <v>30000</v>
          </cell>
          <cell r="W996">
            <v>505400</v>
          </cell>
          <cell r="Y996">
            <v>560000</v>
          </cell>
          <cell r="AC996" t="str">
            <v>Ana Damásio</v>
          </cell>
          <cell r="AJ996" t="str">
            <v>Zestia</v>
          </cell>
        </row>
        <row r="997">
          <cell r="A997" t="str">
            <v>BOTÂNICA</v>
          </cell>
          <cell r="C997" t="str">
            <v>I</v>
          </cell>
          <cell r="E997" t="str">
            <v>T2</v>
          </cell>
          <cell r="F997">
            <v>249.77</v>
          </cell>
          <cell r="Q997" t="str">
            <v>AVAILABLE</v>
          </cell>
          <cell r="S997">
            <v>1042729.38</v>
          </cell>
          <cell r="T997">
            <v>1095500</v>
          </cell>
          <cell r="W997">
            <v>1095500</v>
          </cell>
          <cell r="Y997">
            <v>1081500</v>
          </cell>
          <cell r="AC997" t="str">
            <v>Ana Damásio</v>
          </cell>
          <cell r="AJ997" t="str">
            <v>Botanica</v>
          </cell>
        </row>
        <row r="998">
          <cell r="A998" t="str">
            <v>NATURA VILLAGE 4</v>
          </cell>
          <cell r="C998" t="str">
            <v>I</v>
          </cell>
          <cell r="E998" t="str">
            <v>V2</v>
          </cell>
          <cell r="F998">
            <v>146.21</v>
          </cell>
          <cell r="Q998" t="str">
            <v>AVAILABLE</v>
          </cell>
          <cell r="S998">
            <v>790000</v>
          </cell>
          <cell r="T998">
            <v>790000</v>
          </cell>
          <cell r="W998">
            <v>790000</v>
          </cell>
          <cell r="Y998">
            <v>790000</v>
          </cell>
          <cell r="AC998" t="str">
            <v>Ana Damásio</v>
          </cell>
          <cell r="AJ998" t="str">
            <v>Natura Village</v>
          </cell>
        </row>
        <row r="999">
          <cell r="A999" t="str">
            <v>Aroeira - HOTEL APARTMENTS</v>
          </cell>
          <cell r="C999" t="str">
            <v>320A</v>
          </cell>
          <cell r="E999" t="str">
            <v>1-BR</v>
          </cell>
          <cell r="F999">
            <v>65</v>
          </cell>
          <cell r="Q999" t="str">
            <v>AVAILABLE</v>
          </cell>
          <cell r="S999">
            <v>470000</v>
          </cell>
          <cell r="T999">
            <v>470000</v>
          </cell>
          <cell r="V999">
            <v>35000</v>
          </cell>
          <cell r="W999">
            <v>435000</v>
          </cell>
          <cell r="AB999">
            <v>47118</v>
          </cell>
          <cell r="AC999" t="str">
            <v>João Gameiro</v>
          </cell>
          <cell r="AJ999" t="str">
            <v>Aroeira Collections</v>
          </cell>
        </row>
        <row r="1000">
          <cell r="A1000" t="str">
            <v>Rivus</v>
          </cell>
          <cell r="C1000" t="str">
            <v>I</v>
          </cell>
          <cell r="E1000" t="str">
            <v>T3</v>
          </cell>
          <cell r="Q1000" t="str">
            <v>AVAILABLE</v>
          </cell>
          <cell r="S1000">
            <v>960000</v>
          </cell>
          <cell r="T1000">
            <v>960000</v>
          </cell>
          <cell r="W1000">
            <v>960000</v>
          </cell>
          <cell r="Y1000">
            <v>940000</v>
          </cell>
          <cell r="AC1000" t="str">
            <v>Ana Damásio</v>
          </cell>
          <cell r="AJ1000" t="str">
            <v>Rivus</v>
          </cell>
        </row>
        <row r="1001">
          <cell r="A1001" t="str">
            <v>SPRINGS</v>
          </cell>
          <cell r="C1001" t="str">
            <v>I</v>
          </cell>
          <cell r="E1001" t="str">
            <v>V3 Duplex</v>
          </cell>
          <cell r="F1001">
            <v>296.95999999999998</v>
          </cell>
          <cell r="Q1001" t="str">
            <v>AVAILABLE</v>
          </cell>
          <cell r="S1001">
            <v>2041050</v>
          </cell>
          <cell r="T1001">
            <v>2130000</v>
          </cell>
          <cell r="U1001">
            <v>24600</v>
          </cell>
          <cell r="V1001">
            <v>64350</v>
          </cell>
          <cell r="W1001">
            <v>2041050</v>
          </cell>
          <cell r="Y1001">
            <v>2130000</v>
          </cell>
          <cell r="AC1001" t="str">
            <v>Ana Damásio</v>
          </cell>
          <cell r="AJ1001" t="str">
            <v>Springs - At the Els</v>
          </cell>
        </row>
        <row r="1002">
          <cell r="A1002" t="str">
            <v>ZESTIA</v>
          </cell>
          <cell r="C1002" t="str">
            <v>I</v>
          </cell>
          <cell r="E1002" t="str">
            <v>T2</v>
          </cell>
          <cell r="F1002">
            <v>145.47</v>
          </cell>
          <cell r="Q1002" t="str">
            <v>AVAILABLE</v>
          </cell>
          <cell r="S1002">
            <v>796167.5</v>
          </cell>
          <cell r="T1002">
            <v>870000</v>
          </cell>
          <cell r="U1002">
            <v>24600</v>
          </cell>
          <cell r="V1002">
            <v>40000</v>
          </cell>
          <cell r="W1002">
            <v>805400</v>
          </cell>
          <cell r="Y1002">
            <v>870000</v>
          </cell>
          <cell r="AC1002" t="str">
            <v>Ana Damásio</v>
          </cell>
          <cell r="AJ1002" t="str">
            <v>Zestia</v>
          </cell>
        </row>
        <row r="1003">
          <cell r="A1003" t="str">
            <v xml:space="preserve">MR - CHR </v>
          </cell>
          <cell r="C1003" t="str">
            <v>J</v>
          </cell>
          <cell r="E1003" t="str">
            <v>T3 Duplex</v>
          </cell>
          <cell r="F1003">
            <v>317.38</v>
          </cell>
          <cell r="Q1003" t="str">
            <v>AVAILABLE</v>
          </cell>
          <cell r="S1003">
            <v>1550000</v>
          </cell>
          <cell r="T1003">
            <v>1200000</v>
          </cell>
          <cell r="W1003">
            <v>1200000</v>
          </cell>
          <cell r="AB1003" t="str">
            <v>TBD</v>
          </cell>
          <cell r="AC1003" t="str">
            <v>Sandra Viegas</v>
          </cell>
          <cell r="AJ1003" t="str">
            <v>Monte Rei</v>
          </cell>
        </row>
        <row r="1004">
          <cell r="A1004" t="str">
            <v>Rivus</v>
          </cell>
          <cell r="C1004" t="str">
            <v>J</v>
          </cell>
          <cell r="E1004" t="str">
            <v>T2</v>
          </cell>
          <cell r="Q1004" t="str">
            <v>AVAILABLE</v>
          </cell>
          <cell r="S1004">
            <v>820000</v>
          </cell>
          <cell r="T1004">
            <v>820000</v>
          </cell>
          <cell r="W1004">
            <v>820000</v>
          </cell>
          <cell r="Y1004">
            <v>800000</v>
          </cell>
          <cell r="AC1004" t="str">
            <v>Ana Damásio</v>
          </cell>
          <cell r="AJ1004" t="str">
            <v>Rivus</v>
          </cell>
        </row>
        <row r="1005">
          <cell r="A1005" t="str">
            <v>SPRINGS</v>
          </cell>
          <cell r="C1005" t="str">
            <v>J</v>
          </cell>
          <cell r="E1005" t="str">
            <v>V3</v>
          </cell>
          <cell r="F1005">
            <v>323.58999999999997</v>
          </cell>
          <cell r="Q1005" t="str">
            <v>AVAILABLE</v>
          </cell>
          <cell r="S1005">
            <v>2041050</v>
          </cell>
          <cell r="T1005">
            <v>2130000</v>
          </cell>
          <cell r="U1005">
            <v>24600</v>
          </cell>
          <cell r="V1005">
            <v>64350</v>
          </cell>
          <cell r="W1005">
            <v>2041050</v>
          </cell>
          <cell r="Y1005">
            <v>2130000</v>
          </cell>
          <cell r="AC1005" t="str">
            <v>Ana Damásio</v>
          </cell>
          <cell r="AJ1005" t="str">
            <v>Springs - At the Els</v>
          </cell>
        </row>
        <row r="1006">
          <cell r="A1006" t="str">
            <v>ZESTIA</v>
          </cell>
          <cell r="C1006" t="str">
            <v>J</v>
          </cell>
          <cell r="E1006" t="str">
            <v>T2 LO</v>
          </cell>
          <cell r="F1006">
            <v>127.24</v>
          </cell>
          <cell r="Q1006" t="str">
            <v>AVAILABLE</v>
          </cell>
          <cell r="S1006">
            <v>800309.28</v>
          </cell>
          <cell r="T1006">
            <v>850000</v>
          </cell>
          <cell r="U1006">
            <v>24600</v>
          </cell>
          <cell r="V1006">
            <v>40000</v>
          </cell>
          <cell r="W1006">
            <v>785400</v>
          </cell>
          <cell r="Y1006">
            <v>850000</v>
          </cell>
          <cell r="AC1006" t="str">
            <v>Ana Damásio</v>
          </cell>
          <cell r="AJ1006" t="str">
            <v>Zestia</v>
          </cell>
        </row>
        <row r="1007">
          <cell r="A1007" t="str">
            <v>Aroeira - HOTEL APARTMENTS</v>
          </cell>
          <cell r="C1007" t="str">
            <v>321A</v>
          </cell>
          <cell r="E1007" t="str">
            <v>1-BR</v>
          </cell>
          <cell r="F1007">
            <v>65</v>
          </cell>
          <cell r="Q1007" t="str">
            <v>AVAILABLE</v>
          </cell>
          <cell r="S1007">
            <v>470000</v>
          </cell>
          <cell r="T1007">
            <v>470000</v>
          </cell>
          <cell r="V1007">
            <v>35000</v>
          </cell>
          <cell r="W1007">
            <v>435000</v>
          </cell>
          <cell r="AB1007">
            <v>47118</v>
          </cell>
          <cell r="AC1007" t="str">
            <v>João Gameiro</v>
          </cell>
          <cell r="AJ1007" t="str">
            <v>Aroeira Collections</v>
          </cell>
        </row>
        <row r="1008">
          <cell r="A1008" t="str">
            <v>Aroeira - HOTEL APARTMENTS</v>
          </cell>
          <cell r="C1008" t="str">
            <v>322A</v>
          </cell>
          <cell r="E1008" t="str">
            <v>1-BR</v>
          </cell>
          <cell r="F1008">
            <v>65</v>
          </cell>
          <cell r="Q1008" t="str">
            <v>AVAILABLE</v>
          </cell>
          <cell r="S1008">
            <v>470000</v>
          </cell>
          <cell r="T1008">
            <v>470000</v>
          </cell>
          <cell r="V1008">
            <v>35000</v>
          </cell>
          <cell r="W1008">
            <v>435000</v>
          </cell>
          <cell r="AB1008">
            <v>47118</v>
          </cell>
          <cell r="AC1008" t="str">
            <v>João Gameiro</v>
          </cell>
          <cell r="AJ1008" t="str">
            <v>Aroeira Collections</v>
          </cell>
        </row>
        <row r="1009">
          <cell r="A1009" t="str">
            <v>Aroeira - HOTEL APARTMENTS</v>
          </cell>
          <cell r="C1009" t="str">
            <v>323B</v>
          </cell>
          <cell r="E1009" t="str">
            <v>2-BR*</v>
          </cell>
          <cell r="F1009">
            <v>98.7</v>
          </cell>
          <cell r="Q1009" t="str">
            <v>AVAILABLE</v>
          </cell>
          <cell r="S1009">
            <v>695000</v>
          </cell>
          <cell r="T1009">
            <v>695000</v>
          </cell>
          <cell r="V1009">
            <v>45000</v>
          </cell>
          <cell r="W1009">
            <v>650000</v>
          </cell>
          <cell r="AA1009">
            <v>45985</v>
          </cell>
          <cell r="AB1009">
            <v>47118</v>
          </cell>
          <cell r="AC1009" t="str">
            <v>João Gameiro</v>
          </cell>
          <cell r="AJ1009" t="str">
            <v>Aroeira Collections</v>
          </cell>
        </row>
        <row r="1010">
          <cell r="A1010" t="str">
            <v>Palmares - Signature Residences</v>
          </cell>
          <cell r="C1010" t="str">
            <v>15B</v>
          </cell>
          <cell r="E1010" t="str">
            <v>T2Duplex</v>
          </cell>
          <cell r="F1010">
            <v>290.99</v>
          </cell>
          <cell r="Q1010" t="str">
            <v xml:space="preserve">PSPA </v>
          </cell>
          <cell r="S1010">
            <v>1470000</v>
          </cell>
          <cell r="T1010">
            <v>1470000</v>
          </cell>
          <cell r="W1010">
            <v>1470000</v>
          </cell>
          <cell r="Y1010">
            <v>1470000</v>
          </cell>
          <cell r="AA1010">
            <v>46144</v>
          </cell>
          <cell r="AB1010">
            <v>46843</v>
          </cell>
          <cell r="AJ1010" t="str">
            <v>Palmares</v>
          </cell>
        </row>
        <row r="1011">
          <cell r="A1011" t="str">
            <v>Aroeira - HOTEL APARTMENTS</v>
          </cell>
          <cell r="C1011" t="str">
            <v>325B</v>
          </cell>
          <cell r="E1011" t="str">
            <v>2-BR*</v>
          </cell>
          <cell r="F1011">
            <v>98.8</v>
          </cell>
          <cell r="Q1011" t="str">
            <v>AVAILABLE</v>
          </cell>
          <cell r="S1011">
            <v>675000</v>
          </cell>
          <cell r="T1011">
            <v>675000</v>
          </cell>
          <cell r="V1011">
            <v>45000</v>
          </cell>
          <cell r="W1011">
            <v>630000</v>
          </cell>
          <cell r="AB1011">
            <v>47118</v>
          </cell>
          <cell r="AC1011" t="str">
            <v>João Gameiro</v>
          </cell>
          <cell r="AJ1011" t="str">
            <v>Aroeira Collections</v>
          </cell>
        </row>
        <row r="1012">
          <cell r="A1012" t="str">
            <v>NATURA VILLAGE 9</v>
          </cell>
          <cell r="C1012" t="str">
            <v>K</v>
          </cell>
          <cell r="E1012" t="str">
            <v>V3</v>
          </cell>
          <cell r="F1012">
            <v>192.99</v>
          </cell>
          <cell r="Q1012" t="str">
            <v>AVAILABLE</v>
          </cell>
          <cell r="S1012">
            <v>1180000</v>
          </cell>
          <cell r="T1012">
            <v>1180000</v>
          </cell>
          <cell r="W1012">
            <v>1180000</v>
          </cell>
          <cell r="Y1012">
            <v>1180000</v>
          </cell>
          <cell r="AC1012" t="str">
            <v>Ana Damásio</v>
          </cell>
          <cell r="AJ1012" t="str">
            <v>Natura Village</v>
          </cell>
        </row>
        <row r="1013">
          <cell r="A1013" t="str">
            <v>NOBILUS</v>
          </cell>
          <cell r="C1013" t="str">
            <v>K</v>
          </cell>
          <cell r="E1013" t="str">
            <v>T2</v>
          </cell>
          <cell r="F1013">
            <v>106.73</v>
          </cell>
          <cell r="Q1013" t="str">
            <v>AVAILABLE</v>
          </cell>
          <cell r="S1013">
            <v>680000</v>
          </cell>
          <cell r="T1013">
            <v>680000</v>
          </cell>
          <cell r="W1013">
            <v>680000</v>
          </cell>
          <cell r="Y1013">
            <v>680000</v>
          </cell>
          <cell r="AC1013" t="str">
            <v>Ana Damásio</v>
          </cell>
          <cell r="AJ1013" t="str">
            <v>Nobilus</v>
          </cell>
        </row>
        <row r="1014">
          <cell r="A1014" t="str">
            <v>Aroeira - HOTEL APARTMENTS</v>
          </cell>
          <cell r="C1014" t="str">
            <v>326B</v>
          </cell>
          <cell r="E1014" t="str">
            <v>2-BR*</v>
          </cell>
          <cell r="F1014">
            <v>98.8</v>
          </cell>
          <cell r="Q1014" t="str">
            <v>AVAILABLE</v>
          </cell>
          <cell r="S1014">
            <v>675000</v>
          </cell>
          <cell r="T1014">
            <v>675000</v>
          </cell>
          <cell r="V1014">
            <v>45000</v>
          </cell>
          <cell r="W1014">
            <v>630000</v>
          </cell>
          <cell r="AB1014">
            <v>47118</v>
          </cell>
          <cell r="AC1014" t="str">
            <v>João Gameiro</v>
          </cell>
          <cell r="AJ1014" t="str">
            <v>Aroeira Collections</v>
          </cell>
        </row>
        <row r="1015">
          <cell r="A1015" t="str">
            <v>MR - LT do Golfe</v>
          </cell>
          <cell r="C1015" t="str">
            <v>13</v>
          </cell>
          <cell r="E1015" t="str">
            <v>Plot</v>
          </cell>
          <cell r="F1015">
            <v>650</v>
          </cell>
          <cell r="Q1015" t="str">
            <v>AVAILABLE</v>
          </cell>
          <cell r="S1015">
            <v>1622000</v>
          </cell>
          <cell r="T1015">
            <v>1420000</v>
          </cell>
          <cell r="W1015">
            <v>1420000</v>
          </cell>
          <cell r="AB1015" t="str">
            <v>TBD</v>
          </cell>
          <cell r="AC1015" t="str">
            <v>Sandra Viegas</v>
          </cell>
          <cell r="AJ1015" t="str">
            <v>Monte Rei</v>
          </cell>
        </row>
        <row r="1016">
          <cell r="A1016" t="str">
            <v>MR - LT do Golfe</v>
          </cell>
          <cell r="C1016" t="str">
            <v>12</v>
          </cell>
          <cell r="E1016" t="str">
            <v>Plot</v>
          </cell>
          <cell r="F1016">
            <v>650</v>
          </cell>
          <cell r="Q1016" t="str">
            <v>AVAILABLE</v>
          </cell>
          <cell r="S1016">
            <v>1633000</v>
          </cell>
          <cell r="T1016">
            <v>1420000</v>
          </cell>
          <cell r="W1016">
            <v>1420000</v>
          </cell>
          <cell r="AB1016" t="str">
            <v>TBD</v>
          </cell>
          <cell r="AC1016" t="str">
            <v>Sandra Viegas</v>
          </cell>
          <cell r="AJ1016" t="str">
            <v>Monte Rei</v>
          </cell>
        </row>
        <row r="1017">
          <cell r="A1017" t="str">
            <v>SPRINGS</v>
          </cell>
          <cell r="C1017" t="str">
            <v>K</v>
          </cell>
          <cell r="E1017" t="str">
            <v>V4 Duplex</v>
          </cell>
          <cell r="F1017">
            <v>406.88</v>
          </cell>
          <cell r="Q1017" t="str">
            <v>AVAILABLE</v>
          </cell>
          <cell r="S1017">
            <v>3222300</v>
          </cell>
          <cell r="T1017">
            <v>3330000</v>
          </cell>
          <cell r="U1017">
            <v>24600</v>
          </cell>
          <cell r="V1017">
            <v>83100</v>
          </cell>
          <cell r="W1017">
            <v>3222300</v>
          </cell>
          <cell r="Y1017">
            <v>3330000</v>
          </cell>
          <cell r="AC1017" t="str">
            <v>Ana Damásio</v>
          </cell>
          <cell r="AJ1017" t="str">
            <v>Springs - At the Els</v>
          </cell>
        </row>
        <row r="1018">
          <cell r="A1018" t="str">
            <v>MR -LT da Casa do Campo</v>
          </cell>
          <cell r="C1018" t="str">
            <v>7</v>
          </cell>
          <cell r="E1018" t="str">
            <v>Plot</v>
          </cell>
          <cell r="F1018">
            <v>500</v>
          </cell>
          <cell r="Q1018" t="str">
            <v>AVAILABLE</v>
          </cell>
          <cell r="S1018">
            <v>1648000</v>
          </cell>
          <cell r="T1018">
            <v>1190000</v>
          </cell>
          <cell r="W1018">
            <v>1190000</v>
          </cell>
          <cell r="AB1018" t="str">
            <v>TBD</v>
          </cell>
          <cell r="AC1018" t="str">
            <v>Sandra Viegas</v>
          </cell>
          <cell r="AJ1018" t="str">
            <v>Monte Rei</v>
          </cell>
        </row>
        <row r="1019">
          <cell r="A1019" t="str">
            <v>ZESTIA</v>
          </cell>
          <cell r="C1019" t="str">
            <v>K</v>
          </cell>
          <cell r="E1019" t="str">
            <v>T2</v>
          </cell>
          <cell r="F1019">
            <v>117.28</v>
          </cell>
          <cell r="Q1019" t="str">
            <v>AVAILABLE</v>
          </cell>
          <cell r="S1019">
            <v>731259.88</v>
          </cell>
          <cell r="T1019">
            <v>800000</v>
          </cell>
          <cell r="U1019">
            <v>24600</v>
          </cell>
          <cell r="V1019">
            <v>40000</v>
          </cell>
          <cell r="W1019">
            <v>735400</v>
          </cell>
          <cell r="Y1019">
            <v>800000</v>
          </cell>
          <cell r="AC1019" t="str">
            <v>Ana Damásio</v>
          </cell>
          <cell r="AJ1019" t="str">
            <v>Zestia</v>
          </cell>
        </row>
        <row r="1020">
          <cell r="A1020" t="str">
            <v>BOTÂNICA</v>
          </cell>
          <cell r="C1020" t="str">
            <v>L</v>
          </cell>
          <cell r="E1020" t="str">
            <v>T3</v>
          </cell>
          <cell r="F1020">
            <v>559.03</v>
          </cell>
          <cell r="Q1020" t="str">
            <v>AVAILABLE</v>
          </cell>
          <cell r="S1020">
            <v>1727255.5625</v>
          </cell>
          <cell r="T1020">
            <v>1800000</v>
          </cell>
          <cell r="W1020">
            <v>1800000</v>
          </cell>
          <cell r="Y1020">
            <v>1799200</v>
          </cell>
          <cell r="AC1020" t="str">
            <v>Ana Damásio</v>
          </cell>
          <cell r="AJ1020" t="str">
            <v>Botanica</v>
          </cell>
        </row>
        <row r="1021">
          <cell r="A1021" t="str">
            <v>MR - LT do Golfe</v>
          </cell>
          <cell r="C1021" t="str">
            <v>31</v>
          </cell>
          <cell r="E1021" t="str">
            <v>Plot</v>
          </cell>
          <cell r="F1021">
            <v>500</v>
          </cell>
          <cell r="Q1021" t="str">
            <v>AVAILABLE</v>
          </cell>
          <cell r="S1021">
            <v>1683000</v>
          </cell>
          <cell r="T1021">
            <v>1150000</v>
          </cell>
          <cell r="W1021">
            <v>1150000</v>
          </cell>
          <cell r="AB1021" t="str">
            <v>TBD</v>
          </cell>
          <cell r="AC1021" t="str">
            <v>Sandra Viegas</v>
          </cell>
          <cell r="AJ1021" t="str">
            <v>Monte Rei</v>
          </cell>
        </row>
        <row r="1022">
          <cell r="A1022" t="str">
            <v>Aroeira - HOTEL APARTMENTS</v>
          </cell>
          <cell r="C1022" t="str">
            <v>327B</v>
          </cell>
          <cell r="E1022" t="str">
            <v>2-BR*</v>
          </cell>
          <cell r="F1022">
            <v>98.8</v>
          </cell>
          <cell r="Q1022" t="str">
            <v>AVAILABLE</v>
          </cell>
          <cell r="S1022">
            <v>675000</v>
          </cell>
          <cell r="T1022">
            <v>675000</v>
          </cell>
          <cell r="V1022">
            <v>45000</v>
          </cell>
          <cell r="W1022">
            <v>630000</v>
          </cell>
          <cell r="AB1022">
            <v>47118</v>
          </cell>
          <cell r="AC1022" t="str">
            <v>João Gameiro</v>
          </cell>
          <cell r="AJ1022" t="str">
            <v>Aroeira Collections</v>
          </cell>
        </row>
        <row r="1023">
          <cell r="A1023" t="str">
            <v>Aroeira - HOTEL APARTMENTS</v>
          </cell>
          <cell r="C1023" t="str">
            <v>328A</v>
          </cell>
          <cell r="E1023" t="str">
            <v>1-BR</v>
          </cell>
          <cell r="F1023">
            <v>72.5</v>
          </cell>
          <cell r="Q1023" t="str">
            <v>AVAILABLE</v>
          </cell>
          <cell r="S1023">
            <v>500000</v>
          </cell>
          <cell r="T1023">
            <v>500000</v>
          </cell>
          <cell r="V1023">
            <v>35000</v>
          </cell>
          <cell r="W1023">
            <v>465000</v>
          </cell>
          <cell r="AB1023">
            <v>47118</v>
          </cell>
          <cell r="AC1023" t="str">
            <v>João Gameiro</v>
          </cell>
          <cell r="AJ1023" t="str">
            <v>Aroeira Collections</v>
          </cell>
        </row>
        <row r="1024">
          <cell r="A1024" t="str">
            <v>NATURA VILLAGE 9</v>
          </cell>
          <cell r="C1024" t="str">
            <v>L</v>
          </cell>
          <cell r="E1024" t="str">
            <v>V3</v>
          </cell>
          <cell r="F1024">
            <v>183.88</v>
          </cell>
          <cell r="Q1024" t="str">
            <v>AVAILABLE</v>
          </cell>
          <cell r="S1024">
            <v>1310000</v>
          </cell>
          <cell r="T1024">
            <v>1310000</v>
          </cell>
          <cell r="W1024">
            <v>1310000</v>
          </cell>
          <cell r="Y1024">
            <v>1310000</v>
          </cell>
          <cell r="AC1024" t="str">
            <v>Ana Damásio</v>
          </cell>
          <cell r="AJ1024" t="str">
            <v>Natura Village</v>
          </cell>
        </row>
        <row r="1025">
          <cell r="A1025" t="str">
            <v>NOBILUS</v>
          </cell>
          <cell r="C1025" t="str">
            <v>L</v>
          </cell>
          <cell r="E1025" t="str">
            <v>T3</v>
          </cell>
          <cell r="F1025">
            <v>153.5</v>
          </cell>
          <cell r="Q1025" t="str">
            <v>AVAILABLE</v>
          </cell>
          <cell r="S1025">
            <v>1120000</v>
          </cell>
          <cell r="T1025">
            <v>1120000</v>
          </cell>
          <cell r="W1025">
            <v>1120000</v>
          </cell>
          <cell r="Y1025">
            <v>1120000</v>
          </cell>
          <cell r="AC1025" t="str">
            <v>Ana Damásio</v>
          </cell>
          <cell r="AJ1025" t="str">
            <v>Nobilus</v>
          </cell>
        </row>
        <row r="1026">
          <cell r="A1026" t="str">
            <v>Aroeira - HOTEL APARTMENTS</v>
          </cell>
          <cell r="C1026" t="str">
            <v>329A</v>
          </cell>
          <cell r="E1026" t="str">
            <v>1-BR</v>
          </cell>
          <cell r="F1026">
            <v>60.2</v>
          </cell>
          <cell r="Q1026" t="str">
            <v>AVAILABLE</v>
          </cell>
          <cell r="S1026">
            <v>445000</v>
          </cell>
          <cell r="T1026">
            <v>445000</v>
          </cell>
          <cell r="V1026">
            <v>35000</v>
          </cell>
          <cell r="W1026">
            <v>410000</v>
          </cell>
          <cell r="AB1026">
            <v>47118</v>
          </cell>
          <cell r="AC1026" t="str">
            <v>João Gameiro</v>
          </cell>
          <cell r="AJ1026" t="str">
            <v>Aroeira Collections</v>
          </cell>
        </row>
        <row r="1027">
          <cell r="A1027" t="str">
            <v>MR - LT do Golfe</v>
          </cell>
          <cell r="C1027" t="str">
            <v>18</v>
          </cell>
          <cell r="E1027" t="str">
            <v>Plot</v>
          </cell>
          <cell r="F1027">
            <v>500</v>
          </cell>
          <cell r="Q1027" t="str">
            <v>AVAILABLE</v>
          </cell>
          <cell r="S1027">
            <v>1735000</v>
          </cell>
          <cell r="T1027">
            <v>1300000</v>
          </cell>
          <cell r="W1027">
            <v>1300000</v>
          </cell>
          <cell r="AB1027" t="str">
            <v>TBD</v>
          </cell>
          <cell r="AC1027" t="str">
            <v>Sandra Viegas</v>
          </cell>
          <cell r="AJ1027" t="str">
            <v>Monte Rei</v>
          </cell>
        </row>
        <row r="1028">
          <cell r="A1028" t="str">
            <v>MR - LT do Golfe</v>
          </cell>
          <cell r="C1028" t="str">
            <v>20</v>
          </cell>
          <cell r="E1028" t="str">
            <v>Plot</v>
          </cell>
          <cell r="F1028">
            <v>650</v>
          </cell>
          <cell r="Q1028" t="str">
            <v>AVAILABLE</v>
          </cell>
          <cell r="S1028">
            <v>1735000</v>
          </cell>
          <cell r="T1028">
            <v>1450000</v>
          </cell>
          <cell r="W1028">
            <v>1450000</v>
          </cell>
          <cell r="AB1028" t="str">
            <v>TBD</v>
          </cell>
          <cell r="AC1028" t="str">
            <v>Sandra Viegas</v>
          </cell>
          <cell r="AJ1028" t="str">
            <v>Monte Rei</v>
          </cell>
        </row>
        <row r="1029">
          <cell r="A1029" t="str">
            <v>ZESTIA</v>
          </cell>
          <cell r="C1029" t="str">
            <v>L</v>
          </cell>
          <cell r="E1029" t="str">
            <v>T2 +</v>
          </cell>
          <cell r="F1029">
            <v>165</v>
          </cell>
          <cell r="Q1029" t="str">
            <v>AVAILABLE</v>
          </cell>
          <cell r="S1029">
            <v>1084748.8999999999</v>
          </cell>
          <cell r="T1029">
            <v>1110000</v>
          </cell>
          <cell r="U1029">
            <v>24600</v>
          </cell>
          <cell r="V1029">
            <v>50000</v>
          </cell>
          <cell r="W1029">
            <v>1035400</v>
          </cell>
          <cell r="Y1029">
            <v>1110000</v>
          </cell>
          <cell r="AC1029" t="str">
            <v>Ana Damásio</v>
          </cell>
          <cell r="AJ1029" t="str">
            <v>Zestia</v>
          </cell>
        </row>
        <row r="1030">
          <cell r="A1030" t="str">
            <v>BOTÂNICA</v>
          </cell>
          <cell r="C1030" t="str">
            <v>M</v>
          </cell>
          <cell r="E1030" t="str">
            <v>T3</v>
          </cell>
          <cell r="F1030">
            <v>223.75</v>
          </cell>
          <cell r="Q1030" t="str">
            <v>AVAILABLE</v>
          </cell>
          <cell r="S1030">
            <v>1548293.5</v>
          </cell>
          <cell r="T1030">
            <v>1550000</v>
          </cell>
          <cell r="W1030">
            <v>1550000</v>
          </cell>
          <cell r="Y1030">
            <v>1550000</v>
          </cell>
          <cell r="AC1030" t="str">
            <v>Ana Damásio</v>
          </cell>
          <cell r="AJ1030" t="str">
            <v>Botanica</v>
          </cell>
        </row>
        <row r="1031">
          <cell r="A1031" t="str">
            <v>NOBILUS</v>
          </cell>
          <cell r="C1031" t="str">
            <v>M</v>
          </cell>
          <cell r="E1031" t="str">
            <v>T3</v>
          </cell>
          <cell r="F1031">
            <v>153.52000000000001</v>
          </cell>
          <cell r="Q1031" t="str">
            <v>AVAILABLE</v>
          </cell>
          <cell r="S1031">
            <v>1080000</v>
          </cell>
          <cell r="T1031">
            <v>1080000</v>
          </cell>
          <cell r="W1031">
            <v>1080000</v>
          </cell>
          <cell r="Y1031">
            <v>1080000</v>
          </cell>
          <cell r="AC1031" t="str">
            <v>Ana Damásio</v>
          </cell>
          <cell r="AJ1031" t="str">
            <v>Nobilus</v>
          </cell>
        </row>
        <row r="1032">
          <cell r="A1032" t="str">
            <v>Rivus</v>
          </cell>
          <cell r="C1032" t="str">
            <v>M</v>
          </cell>
          <cell r="E1032" t="str">
            <v>T2</v>
          </cell>
          <cell r="Q1032" t="str">
            <v>AVAILABLE</v>
          </cell>
          <cell r="S1032">
            <v>800000</v>
          </cell>
          <cell r="T1032">
            <v>800000</v>
          </cell>
          <cell r="W1032">
            <v>800000</v>
          </cell>
          <cell r="Y1032">
            <v>780000</v>
          </cell>
          <cell r="AC1032" t="str">
            <v>Ana Damásio</v>
          </cell>
          <cell r="AJ1032" t="str">
            <v>Rivus</v>
          </cell>
        </row>
        <row r="1033">
          <cell r="A1033" t="str">
            <v>SPRINGS</v>
          </cell>
          <cell r="C1033" t="str">
            <v>M</v>
          </cell>
          <cell r="E1033" t="str">
            <v>V3</v>
          </cell>
          <cell r="F1033">
            <v>321.57</v>
          </cell>
          <cell r="Q1033" t="str">
            <v>AVAILABLE</v>
          </cell>
          <cell r="S1033">
            <v>2141050</v>
          </cell>
          <cell r="T1033">
            <v>2230000</v>
          </cell>
          <cell r="U1033">
            <v>24600</v>
          </cell>
          <cell r="V1033">
            <v>64350</v>
          </cell>
          <cell r="W1033">
            <v>2141050</v>
          </cell>
          <cell r="Y1033">
            <v>2230000</v>
          </cell>
          <cell r="AC1033" t="str">
            <v>Ana Damásio</v>
          </cell>
          <cell r="AJ1033" t="str">
            <v>Springs - At the Els</v>
          </cell>
        </row>
        <row r="1034">
          <cell r="A1034" t="str">
            <v>ZESTIA</v>
          </cell>
          <cell r="C1034" t="str">
            <v>M</v>
          </cell>
          <cell r="E1034" t="str">
            <v>T2 LO</v>
          </cell>
          <cell r="F1034">
            <v>130.21</v>
          </cell>
          <cell r="Q1034" t="str">
            <v>AVAILABLE</v>
          </cell>
          <cell r="S1034">
            <v>740119.9</v>
          </cell>
          <cell r="T1034">
            <v>800000</v>
          </cell>
          <cell r="U1034">
            <v>24600</v>
          </cell>
          <cell r="V1034">
            <v>40000</v>
          </cell>
          <cell r="W1034">
            <v>735400</v>
          </cell>
          <cell r="Y1034">
            <v>800000</v>
          </cell>
          <cell r="AC1034" t="str">
            <v>Ana Damásio</v>
          </cell>
          <cell r="AJ1034" t="str">
            <v>Zestia</v>
          </cell>
        </row>
        <row r="1035">
          <cell r="A1035" t="str">
            <v>BOTÂNICA</v>
          </cell>
          <cell r="C1035" t="str">
            <v>N</v>
          </cell>
          <cell r="E1035" t="str">
            <v>T2</v>
          </cell>
          <cell r="F1035">
            <v>151.47999999999999</v>
          </cell>
          <cell r="Q1035" t="str">
            <v>AVAILABLE</v>
          </cell>
          <cell r="S1035">
            <v>1037929.662</v>
          </cell>
          <cell r="T1035">
            <v>1050000</v>
          </cell>
          <cell r="W1035">
            <v>1050000</v>
          </cell>
          <cell r="Y1035">
            <v>1040000</v>
          </cell>
          <cell r="AC1035" t="str">
            <v>Ana Damásio</v>
          </cell>
          <cell r="AJ1035" t="str">
            <v>Botanica</v>
          </cell>
        </row>
        <row r="1036">
          <cell r="A1036" t="str">
            <v>NOBILUS</v>
          </cell>
          <cell r="C1036" t="str">
            <v>N</v>
          </cell>
          <cell r="E1036" t="str">
            <v>T4</v>
          </cell>
          <cell r="F1036">
            <v>191.33</v>
          </cell>
          <cell r="Q1036" t="str">
            <v>AVAILABLE</v>
          </cell>
          <cell r="S1036">
            <v>1650000</v>
          </cell>
          <cell r="T1036">
            <v>1650000</v>
          </cell>
          <cell r="W1036">
            <v>1650000</v>
          </cell>
          <cell r="Y1036">
            <v>1650000</v>
          </cell>
          <cell r="AC1036" t="str">
            <v>Ana Damásio</v>
          </cell>
          <cell r="AJ1036" t="str">
            <v>Nobilus</v>
          </cell>
        </row>
        <row r="1037">
          <cell r="A1037" t="str">
            <v>Rivus</v>
          </cell>
          <cell r="C1037" t="str">
            <v>N</v>
          </cell>
          <cell r="E1037" t="str">
            <v>T2</v>
          </cell>
          <cell r="Q1037" t="str">
            <v>AVAILABLE</v>
          </cell>
          <cell r="S1037">
            <v>930000</v>
          </cell>
          <cell r="T1037">
            <v>930000</v>
          </cell>
          <cell r="W1037">
            <v>930000</v>
          </cell>
          <cell r="Y1037">
            <v>910000</v>
          </cell>
          <cell r="AC1037" t="str">
            <v>Ana Damásio</v>
          </cell>
          <cell r="AJ1037" t="str">
            <v>Rivus</v>
          </cell>
        </row>
        <row r="1038">
          <cell r="A1038" t="str">
            <v>SPRINGS</v>
          </cell>
          <cell r="C1038" t="str">
            <v>N</v>
          </cell>
          <cell r="E1038" t="str">
            <v>V4 Duplex</v>
          </cell>
          <cell r="F1038">
            <v>404.86</v>
          </cell>
          <cell r="Q1038" t="str">
            <v>AVAILABLE</v>
          </cell>
          <cell r="S1038">
            <v>2922300</v>
          </cell>
          <cell r="T1038">
            <v>3030000</v>
          </cell>
          <cell r="U1038">
            <v>24600</v>
          </cell>
          <cell r="V1038">
            <v>83100</v>
          </cell>
          <cell r="W1038">
            <v>2922300</v>
          </cell>
          <cell r="Y1038">
            <v>3030000</v>
          </cell>
          <cell r="AC1038" t="str">
            <v>Ana Damásio</v>
          </cell>
          <cell r="AJ1038" t="str">
            <v>Springs - At the Els</v>
          </cell>
        </row>
        <row r="1039">
          <cell r="A1039" t="str">
            <v>ZESTIA</v>
          </cell>
          <cell r="C1039" t="str">
            <v>N</v>
          </cell>
          <cell r="E1039" t="str">
            <v>T2 LO</v>
          </cell>
          <cell r="F1039">
            <v>125.97</v>
          </cell>
          <cell r="Q1039" t="str">
            <v>AVAILABLE</v>
          </cell>
          <cell r="S1039">
            <v>736177.18</v>
          </cell>
          <cell r="T1039">
            <v>800000</v>
          </cell>
          <cell r="U1039">
            <v>24600</v>
          </cell>
          <cell r="V1039">
            <v>40000</v>
          </cell>
          <cell r="W1039">
            <v>735400</v>
          </cell>
          <cell r="Y1039">
            <v>800000</v>
          </cell>
          <cell r="AC1039" t="str">
            <v>Ana Damásio</v>
          </cell>
          <cell r="AJ1039" t="str">
            <v>Zestia</v>
          </cell>
        </row>
        <row r="1040">
          <cell r="A1040" t="str">
            <v>BOTÂNICA</v>
          </cell>
          <cell r="C1040" t="str">
            <v>O</v>
          </cell>
          <cell r="E1040" t="str">
            <v>T3</v>
          </cell>
          <cell r="F1040">
            <v>195.87</v>
          </cell>
          <cell r="Q1040" t="str">
            <v>AVAILABLE</v>
          </cell>
          <cell r="S1040">
            <v>1336484.24</v>
          </cell>
          <cell r="T1040">
            <v>1350000</v>
          </cell>
          <cell r="W1040">
            <v>1350000</v>
          </cell>
          <cell r="Y1040">
            <v>1340000</v>
          </cell>
          <cell r="AC1040" t="str">
            <v>Ana Damásio</v>
          </cell>
          <cell r="AJ1040" t="str">
            <v>Botanica</v>
          </cell>
        </row>
        <row r="1041">
          <cell r="A1041" t="str">
            <v>NOBILUS</v>
          </cell>
          <cell r="C1041" t="str">
            <v>O</v>
          </cell>
          <cell r="E1041" t="str">
            <v>T4</v>
          </cell>
          <cell r="F1041">
            <v>191.63</v>
          </cell>
          <cell r="Q1041" t="str">
            <v>AVAILABLE</v>
          </cell>
          <cell r="S1041">
            <v>1580000</v>
          </cell>
          <cell r="T1041">
            <v>1580000</v>
          </cell>
          <cell r="W1041">
            <v>1580000</v>
          </cell>
          <cell r="Y1041">
            <v>1580000</v>
          </cell>
          <cell r="AC1041" t="str">
            <v>Ana Damásio</v>
          </cell>
          <cell r="AJ1041" t="str">
            <v>Nobilus</v>
          </cell>
        </row>
        <row r="1042">
          <cell r="A1042" t="str">
            <v>Rivus</v>
          </cell>
          <cell r="C1042" t="str">
            <v>O</v>
          </cell>
          <cell r="E1042" t="str">
            <v>T2</v>
          </cell>
          <cell r="Q1042" t="str">
            <v>AVAILABLE</v>
          </cell>
          <cell r="S1042">
            <v>760000</v>
          </cell>
          <cell r="T1042">
            <v>760000</v>
          </cell>
          <cell r="W1042">
            <v>760000</v>
          </cell>
          <cell r="Y1042">
            <v>750000</v>
          </cell>
          <cell r="AC1042" t="str">
            <v>Ana Damásio</v>
          </cell>
          <cell r="AJ1042" t="str">
            <v>Rivus</v>
          </cell>
        </row>
        <row r="1043">
          <cell r="A1043" t="str">
            <v>SPRINGS</v>
          </cell>
          <cell r="C1043" t="str">
            <v>O</v>
          </cell>
          <cell r="E1043" t="str">
            <v>V3 Duplex</v>
          </cell>
          <cell r="F1043">
            <v>294.94</v>
          </cell>
          <cell r="Q1043" t="str">
            <v>AVAILABLE</v>
          </cell>
          <cell r="S1043">
            <v>2191050</v>
          </cell>
          <cell r="T1043">
            <v>2280000</v>
          </cell>
          <cell r="U1043">
            <v>24600</v>
          </cell>
          <cell r="V1043">
            <v>64350</v>
          </cell>
          <cell r="W1043">
            <v>2191050</v>
          </cell>
          <cell r="Y1043">
            <v>2280000</v>
          </cell>
          <cell r="AC1043" t="str">
            <v>Ana Damásio</v>
          </cell>
          <cell r="AJ1043" t="str">
            <v>Springs - At the Els</v>
          </cell>
        </row>
        <row r="1044">
          <cell r="A1044" t="str">
            <v>Aroeira - HOTEL APARTMENTS</v>
          </cell>
          <cell r="C1044" t="str">
            <v>330A</v>
          </cell>
          <cell r="E1044" t="str">
            <v>1-BR</v>
          </cell>
          <cell r="F1044">
            <v>60.2</v>
          </cell>
          <cell r="Q1044" t="str">
            <v>AVAILABLE</v>
          </cell>
          <cell r="S1044">
            <v>445000</v>
          </cell>
          <cell r="T1044">
            <v>445000</v>
          </cell>
          <cell r="V1044">
            <v>35000</v>
          </cell>
          <cell r="W1044">
            <v>410000</v>
          </cell>
          <cell r="AB1044">
            <v>47118</v>
          </cell>
          <cell r="AC1044" t="str">
            <v>João Gameiro</v>
          </cell>
          <cell r="AJ1044" t="str">
            <v>Aroeira Collections</v>
          </cell>
        </row>
        <row r="1045">
          <cell r="A1045" t="str">
            <v>BOTÂNICA</v>
          </cell>
          <cell r="C1045" t="str">
            <v>P</v>
          </cell>
          <cell r="E1045" t="str">
            <v>T2</v>
          </cell>
          <cell r="F1045">
            <v>151.41</v>
          </cell>
          <cell r="Q1045" t="str">
            <v>AVAILABLE</v>
          </cell>
          <cell r="S1045">
            <v>1037379.882</v>
          </cell>
          <cell r="T1045">
            <v>1050000</v>
          </cell>
          <cell r="W1045">
            <v>1050000</v>
          </cell>
          <cell r="Y1045">
            <v>1040000</v>
          </cell>
          <cell r="AC1045" t="str">
            <v>Ana Damásio</v>
          </cell>
          <cell r="AJ1045" t="str">
            <v>Botanica</v>
          </cell>
        </row>
        <row r="1046">
          <cell r="A1046" t="str">
            <v>Aroeira - HOTEL APARTMENTS</v>
          </cell>
          <cell r="C1046" t="str">
            <v>331A</v>
          </cell>
          <cell r="E1046" t="str">
            <v>1-BR</v>
          </cell>
          <cell r="F1046">
            <v>60.2</v>
          </cell>
          <cell r="Q1046" t="str">
            <v>AVAILABLE</v>
          </cell>
          <cell r="S1046">
            <v>445000</v>
          </cell>
          <cell r="T1046">
            <v>445000</v>
          </cell>
          <cell r="V1046">
            <v>35000</v>
          </cell>
          <cell r="W1046">
            <v>410000</v>
          </cell>
          <cell r="AB1046">
            <v>47118</v>
          </cell>
          <cell r="AC1046" t="str">
            <v>João Gameiro</v>
          </cell>
          <cell r="AJ1046" t="str">
            <v>Aroeira Collections</v>
          </cell>
        </row>
        <row r="1047">
          <cell r="A1047" t="str">
            <v>Aroeira - HOTEL APARTMENTS</v>
          </cell>
          <cell r="C1047" t="str">
            <v>332A</v>
          </cell>
          <cell r="E1047" t="str">
            <v>1-BR</v>
          </cell>
          <cell r="F1047">
            <v>60.2</v>
          </cell>
          <cell r="Q1047" t="str">
            <v>AVAILABLE</v>
          </cell>
          <cell r="S1047">
            <v>445000</v>
          </cell>
          <cell r="T1047">
            <v>445000</v>
          </cell>
          <cell r="V1047">
            <v>35000</v>
          </cell>
          <cell r="W1047">
            <v>410000</v>
          </cell>
          <cell r="AB1047">
            <v>47118</v>
          </cell>
          <cell r="AC1047" t="str">
            <v>João Gameiro</v>
          </cell>
          <cell r="AJ1047" t="str">
            <v>Aroeira Collections</v>
          </cell>
        </row>
        <row r="1048">
          <cell r="A1048" t="str">
            <v>Aroeira - HOTEL APARTMENTS</v>
          </cell>
          <cell r="C1048" t="str">
            <v>333A</v>
          </cell>
          <cell r="E1048" t="str">
            <v>1-BR</v>
          </cell>
          <cell r="F1048">
            <v>60.2</v>
          </cell>
          <cell r="Q1048" t="str">
            <v>AVAILABLE</v>
          </cell>
          <cell r="S1048">
            <v>445000</v>
          </cell>
          <cell r="T1048">
            <v>445000</v>
          </cell>
          <cell r="V1048">
            <v>35000</v>
          </cell>
          <cell r="W1048">
            <v>410000</v>
          </cell>
          <cell r="AB1048">
            <v>47118</v>
          </cell>
          <cell r="AC1048" t="str">
            <v>João Gameiro</v>
          </cell>
          <cell r="AJ1048" t="str">
            <v>Aroeira Collections</v>
          </cell>
        </row>
        <row r="1049">
          <cell r="A1049" t="str">
            <v>NOBILUS</v>
          </cell>
          <cell r="C1049" t="str">
            <v>P</v>
          </cell>
          <cell r="E1049" t="str">
            <v>T2</v>
          </cell>
          <cell r="F1049">
            <v>106.73</v>
          </cell>
          <cell r="Q1049" t="str">
            <v>AVAILABLE</v>
          </cell>
          <cell r="S1049">
            <v>710000</v>
          </cell>
          <cell r="T1049">
            <v>710000</v>
          </cell>
          <cell r="W1049">
            <v>710000</v>
          </cell>
          <cell r="Y1049">
            <v>710000</v>
          </cell>
          <cell r="AC1049" t="str">
            <v>Ana Damásio</v>
          </cell>
          <cell r="AJ1049" t="str">
            <v>Nobilus</v>
          </cell>
        </row>
        <row r="1050">
          <cell r="A1050" t="str">
            <v>SPRINGS</v>
          </cell>
          <cell r="C1050" t="str">
            <v>P</v>
          </cell>
          <cell r="E1050" t="str">
            <v>V3</v>
          </cell>
          <cell r="F1050">
            <v>281.89</v>
          </cell>
          <cell r="Q1050" t="str">
            <v>AVAILABLE</v>
          </cell>
          <cell r="S1050">
            <v>1891050</v>
          </cell>
          <cell r="T1050">
            <v>1980000</v>
          </cell>
          <cell r="U1050">
            <v>24600</v>
          </cell>
          <cell r="V1050">
            <v>64350</v>
          </cell>
          <cell r="W1050">
            <v>1891050</v>
          </cell>
          <cell r="Y1050">
            <v>1980000</v>
          </cell>
          <cell r="AC1050" t="str">
            <v>Ana Damásio</v>
          </cell>
          <cell r="AJ1050" t="str">
            <v>Springs - At the Els</v>
          </cell>
        </row>
        <row r="1051">
          <cell r="A1051" t="str">
            <v>MR - LT do Golfe</v>
          </cell>
          <cell r="C1051" t="str">
            <v>1</v>
          </cell>
          <cell r="E1051" t="str">
            <v>Plot</v>
          </cell>
          <cell r="F1051">
            <v>650</v>
          </cell>
          <cell r="Q1051" t="str">
            <v>AVAILABLE</v>
          </cell>
          <cell r="S1051">
            <v>2000000</v>
          </cell>
          <cell r="T1051">
            <v>1560000</v>
          </cell>
          <cell r="W1051">
            <v>1560000</v>
          </cell>
          <cell r="AB1051" t="str">
            <v>TBD</v>
          </cell>
          <cell r="AC1051" t="str">
            <v>Sandra Viegas</v>
          </cell>
          <cell r="AJ1051" t="str">
            <v>Monte Rei</v>
          </cell>
        </row>
        <row r="1052">
          <cell r="A1052" t="str">
            <v>Aroeira - HOTEL APARTMENTS</v>
          </cell>
          <cell r="C1052" t="str">
            <v>335A</v>
          </cell>
          <cell r="E1052" t="str">
            <v>1-BR</v>
          </cell>
          <cell r="F1052">
            <v>56.5</v>
          </cell>
          <cell r="Q1052" t="str">
            <v>AVAILABLE</v>
          </cell>
          <cell r="S1052">
            <v>670000</v>
          </cell>
          <cell r="T1052">
            <v>405000</v>
          </cell>
          <cell r="V1052">
            <v>35000</v>
          </cell>
          <cell r="W1052">
            <v>370000</v>
          </cell>
          <cell r="AB1052">
            <v>47118</v>
          </cell>
          <cell r="AC1052" t="str">
            <v>João Gameiro</v>
          </cell>
          <cell r="AJ1052" t="str">
            <v>Aroeira Collections</v>
          </cell>
        </row>
        <row r="1053">
          <cell r="A1053" t="str">
            <v>Aroeira - HOTEL APARTMENTS</v>
          </cell>
          <cell r="C1053" t="str">
            <v>336A</v>
          </cell>
          <cell r="E1053" t="str">
            <v>1-BR</v>
          </cell>
          <cell r="F1053">
            <v>56.5</v>
          </cell>
          <cell r="Q1053" t="str">
            <v>AVAILABLE</v>
          </cell>
          <cell r="S1053">
            <v>930000</v>
          </cell>
          <cell r="T1053">
            <v>405000</v>
          </cell>
          <cell r="V1053">
            <v>35000</v>
          </cell>
          <cell r="W1053">
            <v>370000</v>
          </cell>
          <cell r="AB1053">
            <v>47118</v>
          </cell>
          <cell r="AC1053" t="str">
            <v>João Gameiro</v>
          </cell>
          <cell r="AJ1053" t="str">
            <v>Aroeira Collections</v>
          </cell>
        </row>
        <row r="1054">
          <cell r="A1054" t="str">
            <v>Aroeira - HOTEL APARTMENTS</v>
          </cell>
          <cell r="C1054" t="str">
            <v>337A</v>
          </cell>
          <cell r="E1054" t="str">
            <v>1-BR</v>
          </cell>
          <cell r="F1054">
            <v>56.5</v>
          </cell>
          <cell r="Q1054" t="str">
            <v>AVAILABLE</v>
          </cell>
          <cell r="S1054">
            <v>710000</v>
          </cell>
          <cell r="T1054">
            <v>405000</v>
          </cell>
          <cell r="V1054">
            <v>35000</v>
          </cell>
          <cell r="W1054">
            <v>370000</v>
          </cell>
          <cell r="AB1054">
            <v>47118</v>
          </cell>
          <cell r="AC1054" t="str">
            <v>João Gameiro</v>
          </cell>
          <cell r="AJ1054" t="str">
            <v>Aroeira Collections</v>
          </cell>
        </row>
        <row r="1055">
          <cell r="A1055" t="str">
            <v>Aroeira - HOTEL APARTMENTS</v>
          </cell>
          <cell r="C1055" t="str">
            <v>338A</v>
          </cell>
          <cell r="E1055" t="str">
            <v>1-BR</v>
          </cell>
          <cell r="F1055">
            <v>60.2</v>
          </cell>
          <cell r="Q1055" t="str">
            <v>AVAILABLE</v>
          </cell>
          <cell r="S1055">
            <v>430000</v>
          </cell>
          <cell r="T1055">
            <v>430000</v>
          </cell>
          <cell r="V1055">
            <v>35000</v>
          </cell>
          <cell r="W1055">
            <v>395000</v>
          </cell>
          <cell r="AB1055">
            <v>47118</v>
          </cell>
          <cell r="AC1055" t="str">
            <v>João Gameiro</v>
          </cell>
          <cell r="AJ1055" t="str">
            <v>Aroeira Collections</v>
          </cell>
        </row>
        <row r="1056">
          <cell r="A1056" t="str">
            <v>Palmares - Plots</v>
          </cell>
          <cell r="C1056" t="str">
            <v>35</v>
          </cell>
          <cell r="E1056" t="str">
            <v>Plot</v>
          </cell>
          <cell r="F1056">
            <v>4186</v>
          </cell>
          <cell r="Q1056" t="str">
            <v>AVAILABLE</v>
          </cell>
          <cell r="S1056">
            <v>1220000</v>
          </cell>
          <cell r="T1056">
            <v>1250000</v>
          </cell>
          <cell r="W1056">
            <v>1250000</v>
          </cell>
          <cell r="Y1056">
            <v>1250000</v>
          </cell>
          <cell r="AB1056">
            <v>46843</v>
          </cell>
          <cell r="AC1056" t="str">
            <v>Sandra Viegas</v>
          </cell>
          <cell r="AJ1056" t="str">
            <v>Palmares</v>
          </cell>
        </row>
        <row r="1057">
          <cell r="A1057" t="str">
            <v>Palmares - Signature Apartments</v>
          </cell>
          <cell r="C1057" t="str">
            <v>837C</v>
          </cell>
          <cell r="E1057" t="str">
            <v>T1</v>
          </cell>
          <cell r="F1057">
            <v>91.7</v>
          </cell>
          <cell r="Q1057" t="str">
            <v>AVAILABLE</v>
          </cell>
          <cell r="S1057">
            <v>550000</v>
          </cell>
          <cell r="T1057">
            <v>600000</v>
          </cell>
          <cell r="W1057">
            <v>600000</v>
          </cell>
          <cell r="Y1057">
            <v>600000</v>
          </cell>
          <cell r="AB1057">
            <v>46843</v>
          </cell>
          <cell r="AJ1057" t="str">
            <v>Palmares</v>
          </cell>
        </row>
        <row r="1058">
          <cell r="A1058" t="str">
            <v>Aroeira - HOTEL APARTMENTS</v>
          </cell>
          <cell r="C1058" t="str">
            <v>339A</v>
          </cell>
          <cell r="E1058" t="str">
            <v>1-BR</v>
          </cell>
          <cell r="F1058">
            <v>60.2</v>
          </cell>
          <cell r="Q1058" t="str">
            <v>AVAILABLE</v>
          </cell>
          <cell r="S1058">
            <v>430000</v>
          </cell>
          <cell r="T1058">
            <v>430000</v>
          </cell>
          <cell r="V1058">
            <v>35000</v>
          </cell>
          <cell r="W1058">
            <v>395000</v>
          </cell>
          <cell r="AB1058">
            <v>47118</v>
          </cell>
          <cell r="AC1058" t="str">
            <v>João Gameiro</v>
          </cell>
          <cell r="AJ1058" t="str">
            <v>Aroeira Collections</v>
          </cell>
        </row>
        <row r="1059">
          <cell r="A1059" t="str">
            <v>Palmares - Signature Apartments</v>
          </cell>
          <cell r="C1059" t="str">
            <v>838C</v>
          </cell>
          <cell r="E1059" t="str">
            <v>T1</v>
          </cell>
          <cell r="F1059">
            <v>101.15</v>
          </cell>
          <cell r="Q1059" t="str">
            <v>AVAILABLE</v>
          </cell>
          <cell r="S1059">
            <v>550000</v>
          </cell>
          <cell r="T1059">
            <v>600000</v>
          </cell>
          <cell r="W1059">
            <v>600000</v>
          </cell>
          <cell r="Y1059">
            <v>600000</v>
          </cell>
          <cell r="AB1059">
            <v>46843</v>
          </cell>
          <cell r="AJ1059" t="str">
            <v>Palmares</v>
          </cell>
        </row>
        <row r="1060">
          <cell r="A1060" t="str">
            <v>Palmares - Signature Apartments</v>
          </cell>
          <cell r="C1060" t="str">
            <v>839C</v>
          </cell>
          <cell r="E1060" t="str">
            <v>T1</v>
          </cell>
          <cell r="F1060">
            <v>91.7</v>
          </cell>
          <cell r="Q1060" t="str">
            <v>AVAILABLE</v>
          </cell>
          <cell r="S1060">
            <v>540000</v>
          </cell>
          <cell r="T1060">
            <v>600000</v>
          </cell>
          <cell r="W1060">
            <v>600000</v>
          </cell>
          <cell r="Y1060">
            <v>600000</v>
          </cell>
          <cell r="AB1060">
            <v>46843</v>
          </cell>
          <cell r="AJ1060" t="str">
            <v>Palmares</v>
          </cell>
        </row>
        <row r="1061">
          <cell r="A1061" t="str">
            <v>Palmares - Signature Apartments</v>
          </cell>
          <cell r="C1061" t="str">
            <v>840C</v>
          </cell>
          <cell r="E1061" t="str">
            <v>T1</v>
          </cell>
          <cell r="F1061">
            <v>101.15</v>
          </cell>
          <cell r="Q1061" t="str">
            <v>AVAILABLE</v>
          </cell>
          <cell r="S1061">
            <v>660000</v>
          </cell>
          <cell r="T1061">
            <v>600000</v>
          </cell>
          <cell r="W1061">
            <v>600000</v>
          </cell>
          <cell r="Y1061">
            <v>600000</v>
          </cell>
          <cell r="AB1061">
            <v>46843</v>
          </cell>
          <cell r="AJ1061" t="str">
            <v>Palmares</v>
          </cell>
        </row>
        <row r="1062">
          <cell r="A1062" t="str">
            <v>BOTÂNICA</v>
          </cell>
          <cell r="C1062" t="str">
            <v>Q</v>
          </cell>
          <cell r="E1062" t="str">
            <v>T2</v>
          </cell>
          <cell r="F1062">
            <v>151.53</v>
          </cell>
          <cell r="Q1062" t="str">
            <v>AVAILABLE</v>
          </cell>
          <cell r="S1062">
            <v>1038322.362</v>
          </cell>
          <cell r="T1062">
            <v>1075000</v>
          </cell>
          <cell r="W1062">
            <v>1075000</v>
          </cell>
          <cell r="Y1062">
            <v>1071200</v>
          </cell>
          <cell r="AC1062" t="str">
            <v>Ana Damásio</v>
          </cell>
          <cell r="AJ1062" t="str">
            <v>Botanica</v>
          </cell>
        </row>
        <row r="1063">
          <cell r="A1063" t="str">
            <v>MR - LT do Golfe</v>
          </cell>
          <cell r="C1063" t="str">
            <v>25/26</v>
          </cell>
          <cell r="E1063" t="str">
            <v>Plot</v>
          </cell>
          <cell r="F1063">
            <v>900</v>
          </cell>
          <cell r="Q1063" t="str">
            <v>AVAILABLE</v>
          </cell>
          <cell r="S1063">
            <v>2112000</v>
          </cell>
          <cell r="T1063">
            <v>1790000</v>
          </cell>
          <cell r="W1063">
            <v>1790000</v>
          </cell>
          <cell r="AB1063" t="str">
            <v>TBD</v>
          </cell>
          <cell r="AC1063" t="str">
            <v>Sandra Viegas</v>
          </cell>
          <cell r="AJ1063" t="str">
            <v>Monte Rei</v>
          </cell>
        </row>
        <row r="1064">
          <cell r="A1064" t="str">
            <v>NOBILUS</v>
          </cell>
          <cell r="C1064" t="str">
            <v>Q</v>
          </cell>
          <cell r="E1064" t="str">
            <v>T3</v>
          </cell>
          <cell r="F1064">
            <v>153.01</v>
          </cell>
          <cell r="Q1064" t="str">
            <v>AVAILABLE</v>
          </cell>
          <cell r="S1064">
            <v>995000</v>
          </cell>
          <cell r="T1064">
            <v>995000</v>
          </cell>
          <cell r="W1064">
            <v>995000</v>
          </cell>
          <cell r="Y1064">
            <v>995000</v>
          </cell>
          <cell r="AC1064" t="str">
            <v>Ana Damásio</v>
          </cell>
          <cell r="AJ1064" t="str">
            <v>Nobilus</v>
          </cell>
        </row>
        <row r="1065">
          <cell r="A1065" t="str">
            <v>SPRINGS</v>
          </cell>
          <cell r="C1065" t="str">
            <v>Q</v>
          </cell>
          <cell r="E1065" t="str">
            <v>V3</v>
          </cell>
          <cell r="F1065">
            <v>321.57</v>
          </cell>
          <cell r="Q1065" t="str">
            <v>AVAILABLE</v>
          </cell>
          <cell r="S1065">
            <v>1541050</v>
          </cell>
          <cell r="T1065">
            <v>1630000</v>
          </cell>
          <cell r="U1065">
            <v>24600</v>
          </cell>
          <cell r="V1065">
            <v>64350</v>
          </cell>
          <cell r="W1065">
            <v>1541050</v>
          </cell>
          <cell r="Y1065">
            <v>1630000</v>
          </cell>
          <cell r="AC1065" t="str">
            <v>Ana Damásio</v>
          </cell>
          <cell r="AJ1065" t="str">
            <v>Springs - At the Els</v>
          </cell>
        </row>
        <row r="1066">
          <cell r="A1066" t="str">
            <v>Aroeira - HOTEL APARTMENTS</v>
          </cell>
          <cell r="C1066" t="str">
            <v>340A</v>
          </cell>
          <cell r="E1066" t="str">
            <v>1-BR</v>
          </cell>
          <cell r="F1066">
            <v>60.2</v>
          </cell>
          <cell r="Q1066" t="str">
            <v>AVAILABLE</v>
          </cell>
          <cell r="S1066">
            <v>430000</v>
          </cell>
          <cell r="T1066">
            <v>430000</v>
          </cell>
          <cell r="V1066">
            <v>35000</v>
          </cell>
          <cell r="W1066">
            <v>395000</v>
          </cell>
          <cell r="AB1066">
            <v>47118</v>
          </cell>
          <cell r="AC1066" t="str">
            <v>João Gameiro</v>
          </cell>
          <cell r="AJ1066" t="str">
            <v>Aroeira Collections</v>
          </cell>
        </row>
        <row r="1067">
          <cell r="A1067" t="str">
            <v>ZESTIA</v>
          </cell>
          <cell r="C1067" t="str">
            <v>Q</v>
          </cell>
          <cell r="E1067" t="str">
            <v>T2 LO</v>
          </cell>
          <cell r="F1067">
            <v>117.68</v>
          </cell>
          <cell r="Q1067" t="str">
            <v>AVAILABLE</v>
          </cell>
          <cell r="S1067">
            <v>732276.64</v>
          </cell>
          <cell r="T1067">
            <v>800000</v>
          </cell>
          <cell r="U1067">
            <v>24600</v>
          </cell>
          <cell r="V1067">
            <v>40000</v>
          </cell>
          <cell r="W1067">
            <v>735400</v>
          </cell>
          <cell r="Y1067">
            <v>800000</v>
          </cell>
          <cell r="AC1067" t="str">
            <v>Ana Damásio</v>
          </cell>
          <cell r="AJ1067" t="str">
            <v>Zestia</v>
          </cell>
        </row>
        <row r="1068">
          <cell r="A1068" t="str">
            <v>BOTÂNICA</v>
          </cell>
          <cell r="C1068" t="str">
            <v>R</v>
          </cell>
          <cell r="E1068" t="str">
            <v>T3</v>
          </cell>
          <cell r="F1068">
            <v>223.91</v>
          </cell>
          <cell r="Q1068" t="str">
            <v>AVAILABLE</v>
          </cell>
          <cell r="S1068">
            <v>1502029.62</v>
          </cell>
          <cell r="T1068">
            <v>1510000</v>
          </cell>
          <cell r="W1068">
            <v>1510000</v>
          </cell>
          <cell r="Y1068">
            <v>1510000</v>
          </cell>
          <cell r="AC1068" t="str">
            <v>Ana Damásio</v>
          </cell>
          <cell r="AJ1068" t="str">
            <v>Botanica</v>
          </cell>
        </row>
        <row r="1069">
          <cell r="A1069" t="str">
            <v>NOBILUS</v>
          </cell>
          <cell r="C1069" t="str">
            <v>R</v>
          </cell>
          <cell r="E1069" t="str">
            <v>T3</v>
          </cell>
          <cell r="F1069">
            <v>164.1</v>
          </cell>
          <cell r="Q1069" t="str">
            <v>AVAILABLE</v>
          </cell>
          <cell r="S1069">
            <v>1140000</v>
          </cell>
          <cell r="T1069">
            <v>1140000</v>
          </cell>
          <cell r="W1069">
            <v>1140000</v>
          </cell>
          <cell r="Y1069">
            <v>1140000</v>
          </cell>
          <cell r="AC1069" t="str">
            <v>Ana Damásio</v>
          </cell>
          <cell r="AJ1069" t="str">
            <v>Nobilus</v>
          </cell>
        </row>
        <row r="1070">
          <cell r="A1070" t="str">
            <v>SPRINGS</v>
          </cell>
          <cell r="C1070" t="str">
            <v>R</v>
          </cell>
          <cell r="E1070" t="str">
            <v>V3 Duplex</v>
          </cell>
          <cell r="F1070">
            <v>296.95999999999998</v>
          </cell>
          <cell r="Q1070" t="str">
            <v>AVAILABLE</v>
          </cell>
          <cell r="S1070">
            <v>1841050</v>
          </cell>
          <cell r="T1070">
            <v>1930000</v>
          </cell>
          <cell r="U1070">
            <v>24600</v>
          </cell>
          <cell r="V1070">
            <v>64350</v>
          </cell>
          <cell r="W1070">
            <v>1841050</v>
          </cell>
          <cell r="Y1070">
            <v>1930000</v>
          </cell>
          <cell r="AC1070" t="str">
            <v>Ana Damásio</v>
          </cell>
          <cell r="AJ1070" t="str">
            <v>Springs - At the Els</v>
          </cell>
        </row>
        <row r="1071">
          <cell r="A1071" t="str">
            <v>MR -LT da Casa do Campo</v>
          </cell>
          <cell r="C1071" t="str">
            <v>8</v>
          </cell>
          <cell r="E1071" t="str">
            <v>Plot</v>
          </cell>
          <cell r="F1071">
            <v>500</v>
          </cell>
          <cell r="Q1071" t="str">
            <v>AVAILABLE</v>
          </cell>
          <cell r="S1071">
            <v>2355000</v>
          </cell>
          <cell r="T1071">
            <v>1680000</v>
          </cell>
          <cell r="W1071">
            <v>1680000</v>
          </cell>
          <cell r="AB1071" t="str">
            <v>TBD</v>
          </cell>
          <cell r="AC1071" t="str">
            <v>Sandra Viegas</v>
          </cell>
          <cell r="AJ1071" t="str">
            <v>Monte Rei</v>
          </cell>
        </row>
        <row r="1072">
          <cell r="A1072" t="str">
            <v>MR - LT do Golfe</v>
          </cell>
          <cell r="C1072" t="str">
            <v>11</v>
          </cell>
          <cell r="E1072" t="str">
            <v>Plot</v>
          </cell>
          <cell r="F1072">
            <v>700</v>
          </cell>
          <cell r="Q1072" t="str">
            <v>AVAILABLE</v>
          </cell>
          <cell r="S1072">
            <v>2375000</v>
          </cell>
          <cell r="T1072">
            <v>1710000</v>
          </cell>
          <cell r="W1072">
            <v>1710000</v>
          </cell>
          <cell r="AB1072" t="str">
            <v>TBD</v>
          </cell>
          <cell r="AC1072" t="str">
            <v>Sandra Viegas</v>
          </cell>
          <cell r="AJ1072" t="str">
            <v>Monte Rei</v>
          </cell>
        </row>
        <row r="1073">
          <cell r="A1073" t="str">
            <v>MR - LT do Golfe</v>
          </cell>
          <cell r="C1073" t="str">
            <v>5</v>
          </cell>
          <cell r="E1073" t="str">
            <v>Plot</v>
          </cell>
          <cell r="F1073">
            <v>500</v>
          </cell>
          <cell r="Q1073" t="str">
            <v>AVAILABLE</v>
          </cell>
          <cell r="S1073">
            <v>2525000</v>
          </cell>
          <cell r="T1073">
            <v>1560000</v>
          </cell>
          <cell r="W1073">
            <v>1560000</v>
          </cell>
          <cell r="AB1073" t="str">
            <v>TBD</v>
          </cell>
          <cell r="AC1073" t="str">
            <v>Sandra Viegas</v>
          </cell>
          <cell r="AJ1073" t="str">
            <v>Monte Rei</v>
          </cell>
        </row>
        <row r="1074">
          <cell r="A1074" t="str">
            <v>Aroeira - HOTEL APARTMENTS</v>
          </cell>
          <cell r="C1074" t="str">
            <v>341A</v>
          </cell>
          <cell r="E1074" t="str">
            <v>1-BR</v>
          </cell>
          <cell r="F1074">
            <v>60.2</v>
          </cell>
          <cell r="Q1074" t="str">
            <v>AVAILABLE</v>
          </cell>
          <cell r="S1074">
            <v>430000</v>
          </cell>
          <cell r="T1074">
            <v>430000</v>
          </cell>
          <cell r="V1074">
            <v>35000</v>
          </cell>
          <cell r="W1074">
            <v>395000</v>
          </cell>
          <cell r="AB1074">
            <v>47118</v>
          </cell>
          <cell r="AC1074" t="str">
            <v>João Gameiro</v>
          </cell>
          <cell r="AJ1074" t="str">
            <v>Aroeira Collections</v>
          </cell>
        </row>
        <row r="1075">
          <cell r="A1075" t="str">
            <v>Aroeira - HOTEL APARTMENTS</v>
          </cell>
          <cell r="C1075" t="str">
            <v>342A</v>
          </cell>
          <cell r="E1075" t="str">
            <v>1-BR</v>
          </cell>
          <cell r="F1075">
            <v>60.2</v>
          </cell>
          <cell r="Q1075" t="str">
            <v>AVAILABLE</v>
          </cell>
          <cell r="S1075">
            <v>430000</v>
          </cell>
          <cell r="T1075">
            <v>430000</v>
          </cell>
          <cell r="V1075">
            <v>35000</v>
          </cell>
          <cell r="W1075">
            <v>395000</v>
          </cell>
          <cell r="AB1075">
            <v>47118</v>
          </cell>
          <cell r="AC1075" t="str">
            <v>João Gameiro</v>
          </cell>
          <cell r="AJ1075" t="str">
            <v>Aroeira Collections</v>
          </cell>
        </row>
        <row r="1076">
          <cell r="A1076" t="str">
            <v>Aroeira - HOTEL APARTMENTS</v>
          </cell>
          <cell r="C1076" t="str">
            <v>343A</v>
          </cell>
          <cell r="E1076" t="str">
            <v>1-BR</v>
          </cell>
          <cell r="F1076">
            <v>56.5</v>
          </cell>
          <cell r="Q1076" t="str">
            <v>AVAILABLE</v>
          </cell>
          <cell r="S1076">
            <v>700000</v>
          </cell>
          <cell r="T1076">
            <v>405000</v>
          </cell>
          <cell r="V1076">
            <v>35000</v>
          </cell>
          <cell r="W1076">
            <v>370000</v>
          </cell>
          <cell r="AB1076">
            <v>47118</v>
          </cell>
          <cell r="AC1076" t="str">
            <v>João Gameiro</v>
          </cell>
          <cell r="AJ1076" t="str">
            <v>Aroeira Collections</v>
          </cell>
        </row>
        <row r="1077">
          <cell r="A1077" t="str">
            <v>NOBILUS</v>
          </cell>
          <cell r="C1077" t="str">
            <v>S</v>
          </cell>
          <cell r="E1077" t="str">
            <v>T3</v>
          </cell>
          <cell r="F1077">
            <v>164.59</v>
          </cell>
          <cell r="Q1077" t="str">
            <v>AVAILABLE</v>
          </cell>
          <cell r="S1077">
            <v>1120000</v>
          </cell>
          <cell r="T1077">
            <v>1120000</v>
          </cell>
          <cell r="W1077">
            <v>1120000</v>
          </cell>
          <cell r="Y1077">
            <v>1120000</v>
          </cell>
          <cell r="AC1077" t="str">
            <v>Ana Damásio</v>
          </cell>
          <cell r="AJ1077" t="str">
            <v>Nobilus</v>
          </cell>
        </row>
        <row r="1078">
          <cell r="A1078" t="str">
            <v>SPRINGS</v>
          </cell>
          <cell r="C1078" t="str">
            <v>S</v>
          </cell>
          <cell r="E1078" t="str">
            <v>V4 Duplex</v>
          </cell>
          <cell r="F1078">
            <v>404.86</v>
          </cell>
          <cell r="Q1078" t="str">
            <v>AVAILABLE</v>
          </cell>
          <cell r="S1078">
            <v>2422300</v>
          </cell>
          <cell r="T1078">
            <v>2530000</v>
          </cell>
          <cell r="U1078">
            <v>24600</v>
          </cell>
          <cell r="V1078">
            <v>83100</v>
          </cell>
          <cell r="W1078">
            <v>2422300</v>
          </cell>
          <cell r="Y1078">
            <v>2530000</v>
          </cell>
          <cell r="AC1078" t="str">
            <v>Ana Damásio</v>
          </cell>
          <cell r="AJ1078" t="str">
            <v>Springs - At the Els</v>
          </cell>
        </row>
        <row r="1079">
          <cell r="A1079" t="str">
            <v>ZESTIA</v>
          </cell>
          <cell r="C1079" t="str">
            <v>S</v>
          </cell>
          <cell r="E1079" t="str">
            <v>T2 LO</v>
          </cell>
          <cell r="F1079">
            <v>116.78</v>
          </cell>
          <cell r="Q1079" t="str">
            <v>AVAILABLE</v>
          </cell>
          <cell r="S1079">
            <v>728092.68</v>
          </cell>
          <cell r="T1079">
            <v>770000</v>
          </cell>
          <cell r="U1079">
            <v>24600</v>
          </cell>
          <cell r="V1079">
            <v>40000</v>
          </cell>
          <cell r="W1079">
            <v>705400</v>
          </cell>
          <cell r="Y1079">
            <v>770000</v>
          </cell>
          <cell r="AC1079" t="str">
            <v>Ana Damásio</v>
          </cell>
          <cell r="AJ1079" t="str">
            <v>Zestia</v>
          </cell>
        </row>
        <row r="1080">
          <cell r="A1080" t="str">
            <v>BOTÂNICA</v>
          </cell>
          <cell r="C1080" t="str">
            <v>T</v>
          </cell>
          <cell r="E1080" t="str">
            <v>T2</v>
          </cell>
          <cell r="F1080">
            <v>142.88999999999999</v>
          </cell>
          <cell r="Q1080" t="str">
            <v>AVAILABLE</v>
          </cell>
          <cell r="S1080">
            <v>925527.24</v>
          </cell>
          <cell r="T1080">
            <v>950000</v>
          </cell>
          <cell r="W1080">
            <v>950000</v>
          </cell>
          <cell r="Y1080">
            <v>930000</v>
          </cell>
          <cell r="AC1080" t="str">
            <v>Ana Damásio</v>
          </cell>
          <cell r="AJ1080" t="str">
            <v>Botanica</v>
          </cell>
        </row>
        <row r="1081">
          <cell r="A1081" t="str">
            <v>NOBILUS</v>
          </cell>
          <cell r="C1081" t="str">
            <v>T</v>
          </cell>
          <cell r="E1081" t="str">
            <v>T3</v>
          </cell>
          <cell r="F1081">
            <v>152.91</v>
          </cell>
          <cell r="Q1081" t="str">
            <v>AVAILABLE</v>
          </cell>
          <cell r="S1081">
            <v>1110000</v>
          </cell>
          <cell r="T1081">
            <v>1110000</v>
          </cell>
          <cell r="W1081">
            <v>1110000</v>
          </cell>
          <cell r="Y1081">
            <v>1110000</v>
          </cell>
          <cell r="AC1081" t="str">
            <v>Ana Damásio</v>
          </cell>
          <cell r="AJ1081" t="str">
            <v>Nobilus</v>
          </cell>
        </row>
        <row r="1082">
          <cell r="A1082" t="str">
            <v>Aroeira - HOTEL APARTMENTS</v>
          </cell>
          <cell r="C1082" t="str">
            <v>344A</v>
          </cell>
          <cell r="E1082" t="str">
            <v>1-BR</v>
          </cell>
          <cell r="F1082">
            <v>56.5</v>
          </cell>
          <cell r="Q1082" t="str">
            <v>AVAILABLE</v>
          </cell>
          <cell r="S1082">
            <v>740000</v>
          </cell>
          <cell r="T1082">
            <v>405000</v>
          </cell>
          <cell r="V1082">
            <v>35000</v>
          </cell>
          <cell r="W1082">
            <v>370000</v>
          </cell>
          <cell r="AB1082">
            <v>47118</v>
          </cell>
          <cell r="AC1082" t="str">
            <v>João Gameiro</v>
          </cell>
          <cell r="AJ1082" t="str">
            <v>Aroeira Collections</v>
          </cell>
        </row>
        <row r="1083">
          <cell r="A1083" t="str">
            <v>Palmares - Signature Apartments</v>
          </cell>
          <cell r="C1083" t="str">
            <v>841C</v>
          </cell>
          <cell r="E1083" t="str">
            <v>T2 (T1+1)</v>
          </cell>
          <cell r="F1083">
            <v>138.6</v>
          </cell>
          <cell r="Q1083" t="str">
            <v>AVAILABLE</v>
          </cell>
          <cell r="S1083">
            <v>710000</v>
          </cell>
          <cell r="T1083">
            <v>850000</v>
          </cell>
          <cell r="W1083">
            <v>850000</v>
          </cell>
          <cell r="Y1083">
            <v>850000</v>
          </cell>
          <cell r="AB1083">
            <v>46843</v>
          </cell>
          <cell r="AJ1083" t="str">
            <v>Palmares</v>
          </cell>
        </row>
        <row r="1084">
          <cell r="A1084" t="str">
            <v>Palmares - Signature Residences</v>
          </cell>
          <cell r="C1084" t="str">
            <v>9C</v>
          </cell>
          <cell r="E1084" t="str">
            <v>T1</v>
          </cell>
          <cell r="F1084">
            <v>93.05</v>
          </cell>
          <cell r="Q1084" t="str">
            <v>AVAILABLE</v>
          </cell>
          <cell r="S1084">
            <v>710000</v>
          </cell>
          <cell r="T1084">
            <v>710000</v>
          </cell>
          <cell r="W1084">
            <v>710000</v>
          </cell>
          <cell r="Y1084">
            <v>710000</v>
          </cell>
          <cell r="AB1084">
            <v>46843</v>
          </cell>
          <cell r="AJ1084" t="str">
            <v>Palmares</v>
          </cell>
        </row>
        <row r="1085">
          <cell r="A1085" t="str">
            <v>SPRINGS</v>
          </cell>
          <cell r="C1085" t="str">
            <v>T</v>
          </cell>
          <cell r="E1085" t="str">
            <v>V3</v>
          </cell>
          <cell r="F1085">
            <v>321.57</v>
          </cell>
          <cell r="Q1085" t="str">
            <v>AVAILABLE</v>
          </cell>
          <cell r="S1085">
            <v>1641050</v>
          </cell>
          <cell r="T1085">
            <v>1730000</v>
          </cell>
          <cell r="U1085">
            <v>24600</v>
          </cell>
          <cell r="V1085">
            <v>64350</v>
          </cell>
          <cell r="W1085">
            <v>1641050</v>
          </cell>
          <cell r="Y1085">
            <v>1730000</v>
          </cell>
          <cell r="AC1085" t="str">
            <v>Ana Damásio</v>
          </cell>
          <cell r="AJ1085" t="str">
            <v>Springs - At the Els</v>
          </cell>
        </row>
        <row r="1086">
          <cell r="A1086" t="str">
            <v>Aroeira - HOTEL APARTMENTS</v>
          </cell>
          <cell r="C1086" t="str">
            <v>345A</v>
          </cell>
          <cell r="E1086" t="str">
            <v>1-BR</v>
          </cell>
          <cell r="F1086">
            <v>56.5</v>
          </cell>
          <cell r="Q1086" t="str">
            <v>AVAILABLE</v>
          </cell>
          <cell r="S1086">
            <v>950000</v>
          </cell>
          <cell r="T1086">
            <v>405000</v>
          </cell>
          <cell r="V1086">
            <v>35000</v>
          </cell>
          <cell r="W1086">
            <v>370000</v>
          </cell>
          <cell r="AB1086">
            <v>47118</v>
          </cell>
          <cell r="AC1086" t="str">
            <v>João Gameiro</v>
          </cell>
          <cell r="AJ1086" t="str">
            <v>Aroeira Collections</v>
          </cell>
        </row>
        <row r="1087">
          <cell r="A1087" t="str">
            <v>ZESTIA</v>
          </cell>
          <cell r="C1087" t="str">
            <v>T</v>
          </cell>
          <cell r="E1087" t="str">
            <v>T2</v>
          </cell>
          <cell r="F1087">
            <v>140.91999999999999</v>
          </cell>
          <cell r="Q1087" t="str">
            <v>AVAILABLE</v>
          </cell>
          <cell r="S1087">
            <v>789185.6</v>
          </cell>
          <cell r="T1087">
            <v>860000</v>
          </cell>
          <cell r="U1087">
            <v>24600</v>
          </cell>
          <cell r="V1087">
            <v>40000</v>
          </cell>
          <cell r="W1087">
            <v>795400</v>
          </cell>
          <cell r="Y1087">
            <v>860000</v>
          </cell>
          <cell r="AC1087" t="str">
            <v>Ana Damásio</v>
          </cell>
          <cell r="AJ1087" t="str">
            <v>Zestia</v>
          </cell>
        </row>
        <row r="1088">
          <cell r="A1088" t="str">
            <v>BOTÂNICA</v>
          </cell>
          <cell r="C1088" t="str">
            <v>U</v>
          </cell>
          <cell r="E1088" t="str">
            <v>T2</v>
          </cell>
          <cell r="F1088">
            <v>151.37</v>
          </cell>
          <cell r="Q1088" t="str">
            <v>AVAILABLE</v>
          </cell>
          <cell r="S1088">
            <v>923772.82799999998</v>
          </cell>
          <cell r="T1088">
            <v>895000</v>
          </cell>
          <cell r="W1088">
            <v>895000</v>
          </cell>
          <cell r="Y1088">
            <v>930000</v>
          </cell>
          <cell r="AC1088" t="str">
            <v>Ana Damásio</v>
          </cell>
          <cell r="AJ1088" t="str">
            <v>Botanica</v>
          </cell>
        </row>
        <row r="1089">
          <cell r="A1089" t="str">
            <v>Aroeira - HOTEL APARTMENTS</v>
          </cell>
          <cell r="C1089" t="str">
            <v>346A</v>
          </cell>
          <cell r="E1089" t="str">
            <v>1-BR</v>
          </cell>
          <cell r="F1089">
            <v>56.5</v>
          </cell>
          <cell r="Q1089" t="str">
            <v>AVAILABLE</v>
          </cell>
          <cell r="S1089">
            <v>1090000</v>
          </cell>
          <cell r="T1089">
            <v>405000</v>
          </cell>
          <cell r="V1089">
            <v>35000</v>
          </cell>
          <cell r="W1089">
            <v>370000</v>
          </cell>
          <cell r="AB1089">
            <v>47118</v>
          </cell>
          <cell r="AC1089" t="str">
            <v>João Gameiro</v>
          </cell>
          <cell r="AJ1089" t="str">
            <v>Aroeira Collections</v>
          </cell>
        </row>
        <row r="1090">
          <cell r="A1090" t="str">
            <v>NOBILUS</v>
          </cell>
          <cell r="C1090" t="str">
            <v>U</v>
          </cell>
          <cell r="E1090" t="str">
            <v>T2</v>
          </cell>
          <cell r="F1090">
            <v>106.61</v>
          </cell>
          <cell r="Q1090" t="str">
            <v>AVAILABLE</v>
          </cell>
          <cell r="S1090">
            <v>710000</v>
          </cell>
          <cell r="T1090">
            <v>710000</v>
          </cell>
          <cell r="W1090">
            <v>710000</v>
          </cell>
          <cell r="Y1090">
            <v>710000</v>
          </cell>
          <cell r="AC1090" t="str">
            <v>Ana Damásio</v>
          </cell>
          <cell r="AJ1090" t="str">
            <v>Nobilus</v>
          </cell>
        </row>
        <row r="1091">
          <cell r="A1091" t="str">
            <v>Rivus</v>
          </cell>
          <cell r="C1091" t="str">
            <v>U</v>
          </cell>
          <cell r="E1091" t="str">
            <v>T2</v>
          </cell>
          <cell r="Q1091" t="str">
            <v>AVAILABLE</v>
          </cell>
          <cell r="S1091">
            <v>790000</v>
          </cell>
          <cell r="T1091">
            <v>790000</v>
          </cell>
          <cell r="W1091">
            <v>790000</v>
          </cell>
          <cell r="Y1091">
            <v>780000</v>
          </cell>
          <cell r="AC1091" t="str">
            <v>Ana Damásio</v>
          </cell>
          <cell r="AJ1091" t="str">
            <v>Rivus</v>
          </cell>
        </row>
        <row r="1092">
          <cell r="A1092" t="str">
            <v>MR - LT do Golfe</v>
          </cell>
          <cell r="C1092" t="str">
            <v>19</v>
          </cell>
          <cell r="E1092" t="str">
            <v>Plot</v>
          </cell>
          <cell r="F1092">
            <v>650</v>
          </cell>
          <cell r="Q1092" t="str">
            <v>AVAILABLE</v>
          </cell>
          <cell r="S1092">
            <v>3250000</v>
          </cell>
          <cell r="T1092">
            <v>2260000</v>
          </cell>
          <cell r="W1092">
            <v>2260000</v>
          </cell>
          <cell r="AB1092" t="str">
            <v>TBD</v>
          </cell>
          <cell r="AC1092" t="str">
            <v>Sandra Viegas</v>
          </cell>
          <cell r="AJ1092" t="str">
            <v>Monte Rei</v>
          </cell>
        </row>
        <row r="1093">
          <cell r="A1093" t="str">
            <v>SPRINGS</v>
          </cell>
          <cell r="C1093" t="str">
            <v>U</v>
          </cell>
          <cell r="E1093" t="str">
            <v>V3</v>
          </cell>
          <cell r="F1093">
            <v>321.57</v>
          </cell>
          <cell r="Q1093" t="str">
            <v>AVAILABLE</v>
          </cell>
          <cell r="S1093">
            <v>1641050</v>
          </cell>
          <cell r="T1093">
            <v>1730000</v>
          </cell>
          <cell r="U1093">
            <v>24600</v>
          </cell>
          <cell r="V1093">
            <v>64350</v>
          </cell>
          <cell r="W1093">
            <v>1641050</v>
          </cell>
          <cell r="Y1093">
            <v>1730000</v>
          </cell>
          <cell r="AC1093" t="str">
            <v>Ana Damásio</v>
          </cell>
          <cell r="AJ1093" t="str">
            <v>Springs - At the Els</v>
          </cell>
        </row>
        <row r="1094">
          <cell r="A1094" t="str">
            <v>ZESTIA</v>
          </cell>
          <cell r="C1094" t="str">
            <v>U</v>
          </cell>
          <cell r="E1094" t="str">
            <v>T2</v>
          </cell>
          <cell r="F1094">
            <v>118.99</v>
          </cell>
          <cell r="Q1094" t="str">
            <v>AVAILABLE</v>
          </cell>
          <cell r="S1094">
            <v>776504.61959999998</v>
          </cell>
          <cell r="T1094">
            <v>850000</v>
          </cell>
          <cell r="U1094">
            <v>24600</v>
          </cell>
          <cell r="V1094">
            <v>40000</v>
          </cell>
          <cell r="W1094">
            <v>785400</v>
          </cell>
          <cell r="Y1094">
            <v>850000</v>
          </cell>
          <cell r="AC1094" t="str">
            <v>Ana Damásio</v>
          </cell>
          <cell r="AJ1094" t="str">
            <v>Zestia</v>
          </cell>
        </row>
        <row r="1095">
          <cell r="A1095" t="str">
            <v>BOTÂNICA</v>
          </cell>
          <cell r="C1095" t="str">
            <v>V</v>
          </cell>
          <cell r="E1095" t="str">
            <v>T2</v>
          </cell>
          <cell r="F1095">
            <v>151.25</v>
          </cell>
          <cell r="Q1095" t="str">
            <v>AVAILABLE</v>
          </cell>
          <cell r="S1095">
            <v>922933.30799999996</v>
          </cell>
          <cell r="T1095">
            <v>930000</v>
          </cell>
          <cell r="W1095">
            <v>930000</v>
          </cell>
          <cell r="Y1095">
            <v>930000</v>
          </cell>
          <cell r="AC1095" t="str">
            <v>Ana Damásio</v>
          </cell>
          <cell r="AJ1095" t="str">
            <v>Botanica</v>
          </cell>
        </row>
        <row r="1096">
          <cell r="A1096" t="str">
            <v>Sutaya</v>
          </cell>
          <cell r="C1096" t="str">
            <v>G</v>
          </cell>
          <cell r="E1096" t="str">
            <v>T3</v>
          </cell>
          <cell r="F1096">
            <v>454</v>
          </cell>
          <cell r="Q1096" t="str">
            <v>AVAILABLE</v>
          </cell>
          <cell r="S1096">
            <v>5000000</v>
          </cell>
          <cell r="T1096">
            <v>5000000</v>
          </cell>
          <cell r="W1096">
            <v>5000000</v>
          </cell>
          <cell r="Y1096">
            <v>5000000</v>
          </cell>
          <cell r="AB1096" t="str">
            <v>TBD</v>
          </cell>
          <cell r="AC1096" t="str">
            <v>Sandra Viegas</v>
          </cell>
          <cell r="AJ1096" t="str">
            <v>Sutaya</v>
          </cell>
        </row>
        <row r="1097">
          <cell r="A1097" t="str">
            <v>Sutaya</v>
          </cell>
          <cell r="C1097" t="str">
            <v>F</v>
          </cell>
          <cell r="E1097" t="str">
            <v>T3</v>
          </cell>
          <cell r="F1097">
            <v>454</v>
          </cell>
          <cell r="Q1097" t="str">
            <v>AVAILABLE</v>
          </cell>
          <cell r="S1097">
            <v>5500000</v>
          </cell>
          <cell r="T1097">
            <v>5500000</v>
          </cell>
          <cell r="W1097">
            <v>5500000</v>
          </cell>
          <cell r="Y1097">
            <v>5225000</v>
          </cell>
          <cell r="AB1097" t="str">
            <v>TBD</v>
          </cell>
          <cell r="AC1097" t="str">
            <v>Sandra Viegas</v>
          </cell>
          <cell r="AJ1097" t="str">
            <v>Sutaya</v>
          </cell>
        </row>
        <row r="1098">
          <cell r="A1098" t="str">
            <v>Sutaya</v>
          </cell>
          <cell r="C1098" t="str">
            <v>M</v>
          </cell>
          <cell r="E1098" t="str">
            <v>T3 PH</v>
          </cell>
          <cell r="F1098">
            <v>458</v>
          </cell>
          <cell r="Q1098" t="str">
            <v>AVAILABLE</v>
          </cell>
          <cell r="S1098">
            <v>6100000</v>
          </cell>
          <cell r="T1098">
            <v>6100000</v>
          </cell>
          <cell r="W1098">
            <v>6100000</v>
          </cell>
          <cell r="Y1098">
            <v>5795000</v>
          </cell>
          <cell r="AB1098" t="str">
            <v>TBD</v>
          </cell>
          <cell r="AC1098" t="str">
            <v>Sandra Viegas</v>
          </cell>
          <cell r="AJ1098" t="str">
            <v>Sutaya</v>
          </cell>
        </row>
        <row r="1099">
          <cell r="A1099" t="str">
            <v>Azuya</v>
          </cell>
          <cell r="C1099" t="str">
            <v>C</v>
          </cell>
          <cell r="E1099" t="str">
            <v>T3 Duplex</v>
          </cell>
          <cell r="F1099">
            <v>399.41</v>
          </cell>
          <cell r="Q1099" t="str">
            <v>AVAILABLE</v>
          </cell>
          <cell r="S1099">
            <v>2700000</v>
          </cell>
          <cell r="T1099">
            <v>2700000</v>
          </cell>
          <cell r="W1099">
            <v>2700000</v>
          </cell>
          <cell r="Y1099">
            <v>2700000</v>
          </cell>
          <cell r="AB1099">
            <v>46752</v>
          </cell>
          <cell r="AC1099" t="str">
            <v>Sandra Viegas</v>
          </cell>
          <cell r="AJ1099" t="str">
            <v>Azuya</v>
          </cell>
        </row>
        <row r="1100">
          <cell r="A1100" t="str">
            <v>Azuya</v>
          </cell>
          <cell r="C1100" t="str">
            <v>D</v>
          </cell>
          <cell r="E1100" t="str">
            <v>T3 Duplex</v>
          </cell>
          <cell r="F1100">
            <v>367.73</v>
          </cell>
          <cell r="Q1100" t="str">
            <v>AVAILABLE</v>
          </cell>
          <cell r="S1100">
            <v>2750000</v>
          </cell>
          <cell r="T1100">
            <v>2750000</v>
          </cell>
          <cell r="W1100">
            <v>2750000</v>
          </cell>
          <cell r="Y1100">
            <v>2750000</v>
          </cell>
          <cell r="AB1100">
            <v>46752</v>
          </cell>
          <cell r="AC1100" t="str">
            <v>Sandra Viegas</v>
          </cell>
          <cell r="AJ1100" t="str">
            <v>Azuya</v>
          </cell>
        </row>
        <row r="1101">
          <cell r="A1101" t="str">
            <v>Azuya</v>
          </cell>
          <cell r="C1101" t="str">
            <v>E</v>
          </cell>
          <cell r="E1101" t="str">
            <v>T3</v>
          </cell>
          <cell r="F1101">
            <v>424.71</v>
          </cell>
          <cell r="Q1101" t="str">
            <v>AVAILABLE</v>
          </cell>
          <cell r="S1101">
            <v>3650000</v>
          </cell>
          <cell r="T1101">
            <v>3650000</v>
          </cell>
          <cell r="W1101">
            <v>3650000</v>
          </cell>
          <cell r="Y1101">
            <v>3650000</v>
          </cell>
          <cell r="AB1101">
            <v>46752</v>
          </cell>
          <cell r="AC1101" t="str">
            <v>Sandra Viegas</v>
          </cell>
          <cell r="AJ1101" t="str">
            <v>Azuya</v>
          </cell>
        </row>
        <row r="1102">
          <cell r="A1102" t="str">
            <v>Azuya</v>
          </cell>
          <cell r="C1102" t="str">
            <v>F</v>
          </cell>
          <cell r="E1102" t="str">
            <v>T3</v>
          </cell>
          <cell r="F1102">
            <v>420.09</v>
          </cell>
          <cell r="Q1102" t="str">
            <v>AVAILABLE</v>
          </cell>
          <cell r="S1102">
            <v>3650000</v>
          </cell>
          <cell r="T1102">
            <v>3650000</v>
          </cell>
          <cell r="W1102">
            <v>3650000</v>
          </cell>
          <cell r="Y1102">
            <v>3650000</v>
          </cell>
          <cell r="AB1102">
            <v>46752</v>
          </cell>
          <cell r="AC1102" t="str">
            <v>Sandra Viegas</v>
          </cell>
          <cell r="AJ1102" t="str">
            <v>Azuya</v>
          </cell>
        </row>
        <row r="1103">
          <cell r="A1103" t="str">
            <v>Azuya</v>
          </cell>
          <cell r="C1103" t="str">
            <v>G</v>
          </cell>
          <cell r="E1103" t="str">
            <v>T3 Duplex</v>
          </cell>
          <cell r="F1103">
            <v>276.85000000000002</v>
          </cell>
          <cell r="Q1103" t="str">
            <v>AVAILABLE</v>
          </cell>
          <cell r="S1103">
            <v>1950000</v>
          </cell>
          <cell r="T1103">
            <v>1950000</v>
          </cell>
          <cell r="W1103">
            <v>1950000</v>
          </cell>
          <cell r="Y1103">
            <v>1950000</v>
          </cell>
          <cell r="AB1103">
            <v>46752</v>
          </cell>
          <cell r="AC1103" t="str">
            <v>Sandra Viegas</v>
          </cell>
          <cell r="AJ1103" t="str">
            <v>Azuya</v>
          </cell>
        </row>
        <row r="1104">
          <cell r="A1104" t="str">
            <v>Azuya</v>
          </cell>
          <cell r="C1104" t="str">
            <v>H</v>
          </cell>
          <cell r="E1104" t="str">
            <v>T3 Duplex</v>
          </cell>
          <cell r="F1104">
            <v>251.07</v>
          </cell>
          <cell r="Q1104" t="str">
            <v>AVAILABLE</v>
          </cell>
          <cell r="S1104">
            <v>1750000</v>
          </cell>
          <cell r="T1104">
            <v>1750000</v>
          </cell>
          <cell r="W1104">
            <v>1750000</v>
          </cell>
          <cell r="Y1104">
            <v>1750000</v>
          </cell>
          <cell r="AB1104">
            <v>46752</v>
          </cell>
          <cell r="AC1104" t="str">
            <v>Sandra Viegas</v>
          </cell>
          <cell r="AJ1104" t="str">
            <v>Azuya</v>
          </cell>
        </row>
        <row r="1105">
          <cell r="A1105" t="str">
            <v>Azuya</v>
          </cell>
          <cell r="C1105" t="str">
            <v>I</v>
          </cell>
          <cell r="E1105" t="str">
            <v>T3 Duplex</v>
          </cell>
          <cell r="F1105">
            <v>250.97</v>
          </cell>
          <cell r="Q1105" t="str">
            <v>AVAILABLE</v>
          </cell>
          <cell r="S1105">
            <v>1750000</v>
          </cell>
          <cell r="T1105">
            <v>1750000</v>
          </cell>
          <cell r="W1105">
            <v>1750000</v>
          </cell>
          <cell r="Y1105">
            <v>1750000</v>
          </cell>
          <cell r="AB1105">
            <v>46752</v>
          </cell>
          <cell r="AC1105" t="str">
            <v>Sandra Viegas</v>
          </cell>
          <cell r="AJ1105" t="str">
            <v>Azuya</v>
          </cell>
        </row>
        <row r="1106">
          <cell r="A1106" t="str">
            <v>Azuya</v>
          </cell>
          <cell r="C1106" t="str">
            <v>J</v>
          </cell>
          <cell r="E1106" t="str">
            <v>T3 Duplex</v>
          </cell>
          <cell r="F1106">
            <v>270.81</v>
          </cell>
          <cell r="Q1106" t="str">
            <v>AVAILABLE</v>
          </cell>
          <cell r="S1106">
            <v>1850000</v>
          </cell>
          <cell r="T1106">
            <v>1850000</v>
          </cell>
          <cell r="W1106">
            <v>1850000</v>
          </cell>
          <cell r="Y1106">
            <v>1850000</v>
          </cell>
          <cell r="AB1106">
            <v>46752</v>
          </cell>
          <cell r="AC1106" t="str">
            <v>Sandra Viegas</v>
          </cell>
          <cell r="AJ1106" t="str">
            <v>Azuya</v>
          </cell>
        </row>
        <row r="1107">
          <cell r="A1107" t="str">
            <v>Azuya</v>
          </cell>
          <cell r="C1107" t="str">
            <v>K</v>
          </cell>
          <cell r="E1107" t="str">
            <v>T3</v>
          </cell>
          <cell r="F1107">
            <v>345.06</v>
          </cell>
          <cell r="Q1107" t="str">
            <v>AVAILABLE</v>
          </cell>
          <cell r="S1107">
            <v>1950000</v>
          </cell>
          <cell r="T1107">
            <v>1950000</v>
          </cell>
          <cell r="W1107">
            <v>1950000</v>
          </cell>
          <cell r="Y1107">
            <v>1950000</v>
          </cell>
          <cell r="AB1107">
            <v>46752</v>
          </cell>
          <cell r="AC1107" t="str">
            <v>Sandra Viegas</v>
          </cell>
          <cell r="AJ1107" t="str">
            <v>Azuya</v>
          </cell>
        </row>
        <row r="1108">
          <cell r="A1108" t="str">
            <v>Azuya</v>
          </cell>
          <cell r="C1108" t="str">
            <v>L</v>
          </cell>
          <cell r="E1108" t="str">
            <v>T3</v>
          </cell>
          <cell r="F1108">
            <v>344.10500000000002</v>
          </cell>
          <cell r="Q1108" t="str">
            <v>AVAILABLE</v>
          </cell>
          <cell r="S1108">
            <v>2100000</v>
          </cell>
          <cell r="T1108">
            <v>2100000</v>
          </cell>
          <cell r="W1108">
            <v>2100000</v>
          </cell>
          <cell r="Y1108">
            <v>2100000</v>
          </cell>
          <cell r="AB1108">
            <v>46752</v>
          </cell>
          <cell r="AC1108" t="str">
            <v>Sandra Viegas</v>
          </cell>
          <cell r="AJ1108" t="str">
            <v>Azuya</v>
          </cell>
        </row>
        <row r="1109">
          <cell r="A1109" t="str">
            <v>Azuya</v>
          </cell>
          <cell r="C1109" t="str">
            <v>M</v>
          </cell>
          <cell r="E1109" t="str">
            <v>T3</v>
          </cell>
          <cell r="F1109">
            <v>351.88</v>
          </cell>
          <cell r="Q1109" t="str">
            <v>AVAILABLE</v>
          </cell>
          <cell r="S1109">
            <v>2900000</v>
          </cell>
          <cell r="T1109">
            <v>2900000</v>
          </cell>
          <cell r="W1109">
            <v>2900000</v>
          </cell>
          <cell r="Y1109">
            <v>2900000</v>
          </cell>
          <cell r="AB1109">
            <v>46752</v>
          </cell>
          <cell r="AC1109" t="str">
            <v>Sandra Viegas</v>
          </cell>
          <cell r="AJ1109" t="str">
            <v>Azuya</v>
          </cell>
        </row>
        <row r="1110">
          <cell r="A1110" t="str">
            <v>Azuya</v>
          </cell>
          <cell r="C1110" t="str">
            <v>N</v>
          </cell>
          <cell r="E1110" t="str">
            <v>T3</v>
          </cell>
          <cell r="F1110">
            <v>347.97</v>
          </cell>
          <cell r="Q1110" t="str">
            <v>AVAILABLE</v>
          </cell>
          <cell r="S1110">
            <v>2300000</v>
          </cell>
          <cell r="T1110">
            <v>2300000</v>
          </cell>
          <cell r="W1110">
            <v>2300000</v>
          </cell>
          <cell r="Y1110">
            <v>2300000</v>
          </cell>
          <cell r="AB1110">
            <v>46752</v>
          </cell>
          <cell r="AC1110" t="str">
            <v>Sandra Viegas</v>
          </cell>
          <cell r="AJ1110" t="str">
            <v>Azuya</v>
          </cell>
        </row>
        <row r="1111">
          <cell r="A1111" t="str">
            <v>Azuya</v>
          </cell>
          <cell r="C1111" t="str">
            <v>O</v>
          </cell>
          <cell r="E1111" t="str">
            <v>T3</v>
          </cell>
          <cell r="F1111">
            <v>347.87</v>
          </cell>
          <cell r="Q1111" t="str">
            <v>AVAILABLE</v>
          </cell>
          <cell r="S1111">
            <v>2300000</v>
          </cell>
          <cell r="T1111">
            <v>2300000</v>
          </cell>
          <cell r="W1111">
            <v>2300000</v>
          </cell>
          <cell r="Y1111">
            <v>2300000</v>
          </cell>
          <cell r="AB1111">
            <v>46752</v>
          </cell>
          <cell r="AC1111" t="str">
            <v>Sandra Viegas</v>
          </cell>
          <cell r="AJ1111" t="str">
            <v>Azuya</v>
          </cell>
        </row>
        <row r="1112">
          <cell r="A1112" t="str">
            <v>Azuya</v>
          </cell>
          <cell r="C1112" t="str">
            <v>P</v>
          </cell>
          <cell r="E1112" t="str">
            <v>T3</v>
          </cell>
          <cell r="F1112">
            <v>352</v>
          </cell>
          <cell r="Q1112" t="str">
            <v>AVAILABLE</v>
          </cell>
          <cell r="S1112">
            <v>2400000</v>
          </cell>
          <cell r="T1112">
            <v>2400000</v>
          </cell>
          <cell r="W1112">
            <v>2400000</v>
          </cell>
          <cell r="Y1112">
            <v>2400000</v>
          </cell>
          <cell r="AB1112">
            <v>46752</v>
          </cell>
          <cell r="AC1112" t="str">
            <v>Sandra Viegas</v>
          </cell>
          <cell r="AJ1112" t="str">
            <v>Azuya</v>
          </cell>
        </row>
        <row r="1113">
          <cell r="A1113" t="str">
            <v>Azuya</v>
          </cell>
          <cell r="C1113" t="str">
            <v>B</v>
          </cell>
          <cell r="E1113" t="str">
            <v>T3 Duplex</v>
          </cell>
          <cell r="F1113">
            <v>399.41</v>
          </cell>
          <cell r="Q1113" t="str">
            <v xml:space="preserve">PSPA </v>
          </cell>
          <cell r="S1113">
            <v>2700000</v>
          </cell>
          <cell r="T1113">
            <v>2700000</v>
          </cell>
          <cell r="W1113">
            <v>2700000</v>
          </cell>
          <cell r="Y1113">
            <v>2700000</v>
          </cell>
          <cell r="AA1113">
            <v>46191</v>
          </cell>
          <cell r="AB1113">
            <v>46752</v>
          </cell>
          <cell r="AC1113" t="str">
            <v>Sandra Viegas</v>
          </cell>
          <cell r="AJ1113" t="str">
            <v>Azuya</v>
          </cell>
        </row>
        <row r="1114">
          <cell r="A1114" t="str">
            <v>Azuya</v>
          </cell>
          <cell r="C1114" t="str">
            <v>A</v>
          </cell>
          <cell r="E1114" t="str">
            <v>T3 Duplex</v>
          </cell>
          <cell r="F1114">
            <v>367.73</v>
          </cell>
          <cell r="Q1114" t="str">
            <v>RESERVED</v>
          </cell>
          <cell r="S1114">
            <v>2610000</v>
          </cell>
          <cell r="T1114">
            <v>2610000</v>
          </cell>
          <cell r="W1114">
            <v>2610000</v>
          </cell>
          <cell r="Y1114">
            <v>2610000</v>
          </cell>
          <cell r="AA1114">
            <v>46157</v>
          </cell>
          <cell r="AB1114">
            <v>46752</v>
          </cell>
          <cell r="AC1114" t="str">
            <v>Sandra Viegas</v>
          </cell>
          <cell r="AJ1114" t="str">
            <v>Azuya</v>
          </cell>
        </row>
        <row r="1115">
          <cell r="A1115" t="str">
            <v>MR - Linked Villas</v>
          </cell>
          <cell r="C1115" t="str">
            <v>AG</v>
          </cell>
          <cell r="E1115" t="str">
            <v>T3</v>
          </cell>
          <cell r="F1115">
            <v>422.36</v>
          </cell>
          <cell r="Q1115" t="str">
            <v>AVAILABLE</v>
          </cell>
          <cell r="S1115">
            <v>1340000</v>
          </cell>
          <cell r="T1115">
            <v>1340000</v>
          </cell>
          <cell r="W1115">
            <v>1340000</v>
          </cell>
          <cell r="AB1115" t="str">
            <v>TBD</v>
          </cell>
          <cell r="AC1115" t="str">
            <v>Sandra Viegas</v>
          </cell>
          <cell r="AJ1115" t="str">
            <v>Monte Rei</v>
          </cell>
        </row>
        <row r="1116">
          <cell r="A1116" t="str">
            <v>NOBILUS</v>
          </cell>
          <cell r="C1116" t="str">
            <v>V</v>
          </cell>
          <cell r="E1116" t="str">
            <v>T3</v>
          </cell>
          <cell r="F1116">
            <v>152.91</v>
          </cell>
          <cell r="Q1116" t="str">
            <v>AVAILABLE</v>
          </cell>
          <cell r="S1116">
            <v>1010000</v>
          </cell>
          <cell r="T1116">
            <v>1010000</v>
          </cell>
          <cell r="W1116">
            <v>1010000</v>
          </cell>
          <cell r="Y1116">
            <v>1010000</v>
          </cell>
          <cell r="AC1116" t="str">
            <v>Ana Damásio</v>
          </cell>
          <cell r="AJ1116" t="str">
            <v>Nobilus</v>
          </cell>
        </row>
        <row r="1117">
          <cell r="A1117" t="str">
            <v>ZESTIA</v>
          </cell>
          <cell r="C1117" t="str">
            <v>V</v>
          </cell>
          <cell r="E1117" t="str">
            <v>T2 LO</v>
          </cell>
          <cell r="F1117">
            <v>117.31</v>
          </cell>
          <cell r="Q1117" t="str">
            <v>AVAILABLE</v>
          </cell>
          <cell r="S1117">
            <v>765127.65240000002</v>
          </cell>
          <cell r="T1117">
            <v>840000</v>
          </cell>
          <cell r="U1117">
            <v>24600</v>
          </cell>
          <cell r="V1117">
            <v>40000</v>
          </cell>
          <cell r="W1117">
            <v>775400</v>
          </cell>
          <cell r="Y1117">
            <v>840000</v>
          </cell>
          <cell r="AC1117" t="str">
            <v>Ana Damásio</v>
          </cell>
          <cell r="AJ1117" t="str">
            <v>Zestia</v>
          </cell>
        </row>
        <row r="1118">
          <cell r="A1118" t="str">
            <v>BOTÂNICA</v>
          </cell>
          <cell r="C1118" t="str">
            <v>W</v>
          </cell>
          <cell r="E1118" t="str">
            <v>T2</v>
          </cell>
          <cell r="F1118">
            <v>151.25</v>
          </cell>
          <cell r="Q1118" t="str">
            <v>AVAILABLE</v>
          </cell>
          <cell r="S1118">
            <v>922933.30799999996</v>
          </cell>
          <cell r="T1118">
            <v>950000</v>
          </cell>
          <cell r="W1118">
            <v>950000</v>
          </cell>
          <cell r="Y1118">
            <v>930000</v>
          </cell>
          <cell r="AC1118" t="str">
            <v>Ana Damásio</v>
          </cell>
          <cell r="AJ1118" t="str">
            <v>Botanica</v>
          </cell>
        </row>
        <row r="1119">
          <cell r="A1119" t="str">
            <v>NOBILUS</v>
          </cell>
          <cell r="C1119" t="str">
            <v>W</v>
          </cell>
          <cell r="E1119" t="str">
            <v>T3</v>
          </cell>
          <cell r="F1119">
            <v>152.9</v>
          </cell>
          <cell r="Q1119" t="str">
            <v>AVAILABLE</v>
          </cell>
          <cell r="S1119">
            <v>970000</v>
          </cell>
          <cell r="T1119">
            <v>970000</v>
          </cell>
          <cell r="W1119">
            <v>970000</v>
          </cell>
          <cell r="Y1119">
            <v>970000</v>
          </cell>
          <cell r="AC1119" t="str">
            <v>Ana Damásio</v>
          </cell>
          <cell r="AJ1119" t="str">
            <v>Nobilus</v>
          </cell>
        </row>
        <row r="1120">
          <cell r="A1120" t="str">
            <v>ZESTIA</v>
          </cell>
          <cell r="C1120" t="str">
            <v>W</v>
          </cell>
          <cell r="E1120" t="str">
            <v>T2</v>
          </cell>
          <cell r="F1120">
            <v>117.44</v>
          </cell>
          <cell r="Q1120" t="str">
            <v>AVAILABLE</v>
          </cell>
          <cell r="S1120">
            <v>768347.99919999996</v>
          </cell>
          <cell r="T1120">
            <v>840000</v>
          </cell>
          <cell r="U1120">
            <v>24600</v>
          </cell>
          <cell r="V1120">
            <v>40000</v>
          </cell>
          <cell r="W1120">
            <v>775400</v>
          </cell>
          <cell r="Y1120">
            <v>840000</v>
          </cell>
          <cell r="AC1120" t="str">
            <v>Ana Damásio</v>
          </cell>
          <cell r="AJ1120" t="str">
            <v>Zestia</v>
          </cell>
        </row>
        <row r="1121">
          <cell r="A1121" t="str">
            <v>BOTÂNICA</v>
          </cell>
          <cell r="C1121" t="str">
            <v>X</v>
          </cell>
          <cell r="E1121" t="str">
            <v>T2</v>
          </cell>
          <cell r="F1121">
            <v>151.5</v>
          </cell>
          <cell r="Q1121" t="str">
            <v>AVAILABLE</v>
          </cell>
          <cell r="S1121">
            <v>924682.30799999996</v>
          </cell>
          <cell r="T1121">
            <v>950000</v>
          </cell>
          <cell r="W1121">
            <v>950000</v>
          </cell>
          <cell r="Y1121">
            <v>930000</v>
          </cell>
          <cell r="AC1121" t="str">
            <v>Ana Damásio</v>
          </cell>
          <cell r="AJ1121" t="str">
            <v>Botanica</v>
          </cell>
        </row>
        <row r="1122">
          <cell r="A1122" t="str">
            <v>NOBILUS</v>
          </cell>
          <cell r="C1122" t="str">
            <v>X</v>
          </cell>
          <cell r="E1122" t="str">
            <v>T2</v>
          </cell>
          <cell r="F1122">
            <v>111</v>
          </cell>
          <cell r="Q1122" t="str">
            <v>AVAILABLE</v>
          </cell>
          <cell r="S1122">
            <v>910000</v>
          </cell>
          <cell r="T1122">
            <v>910000</v>
          </cell>
          <cell r="W1122">
            <v>910000</v>
          </cell>
          <cell r="Y1122">
            <v>910000</v>
          </cell>
          <cell r="AC1122" t="str">
            <v>Ana Damásio</v>
          </cell>
          <cell r="AJ1122" t="str">
            <v>Nobilus</v>
          </cell>
        </row>
        <row r="1123">
          <cell r="A1123" t="str">
            <v>ZESTIA</v>
          </cell>
          <cell r="C1123" t="str">
            <v>X</v>
          </cell>
          <cell r="E1123" t="str">
            <v>T2 LO</v>
          </cell>
          <cell r="F1123">
            <v>118.23</v>
          </cell>
          <cell r="Q1123" t="str">
            <v>AVAILABLE</v>
          </cell>
          <cell r="S1123">
            <v>770870.11159999995</v>
          </cell>
          <cell r="T1123">
            <v>840000</v>
          </cell>
          <cell r="U1123">
            <v>24600</v>
          </cell>
          <cell r="V1123">
            <v>40000</v>
          </cell>
          <cell r="W1123">
            <v>775400</v>
          </cell>
          <cell r="Y1123">
            <v>840000</v>
          </cell>
          <cell r="AC1123" t="str">
            <v>Ana Damásio</v>
          </cell>
          <cell r="AJ1123" t="str">
            <v>Zestia</v>
          </cell>
        </row>
        <row r="1124">
          <cell r="A1124" t="str">
            <v>BOTÂNICA</v>
          </cell>
          <cell r="C1124" t="str">
            <v>Y</v>
          </cell>
          <cell r="E1124" t="str">
            <v>T3</v>
          </cell>
          <cell r="F1124">
            <v>224.06</v>
          </cell>
          <cell r="Q1124" t="str">
            <v>AVAILABLE</v>
          </cell>
          <cell r="S1124">
            <v>1527052.8</v>
          </cell>
          <cell r="T1124">
            <v>1550000</v>
          </cell>
          <cell r="W1124">
            <v>1550000</v>
          </cell>
          <cell r="Y1124">
            <v>1530000</v>
          </cell>
          <cell r="AC1124" t="str">
            <v>Ana Damásio</v>
          </cell>
          <cell r="AJ1124" t="str">
            <v>Botanica</v>
          </cell>
        </row>
        <row r="1125">
          <cell r="A1125" t="str">
            <v>Rivus</v>
          </cell>
          <cell r="C1125" t="str">
            <v>Y</v>
          </cell>
          <cell r="E1125" t="str">
            <v>T2</v>
          </cell>
          <cell r="Q1125" t="str">
            <v>AVAILABLE</v>
          </cell>
          <cell r="S1125">
            <v>760000</v>
          </cell>
          <cell r="T1125">
            <v>760000</v>
          </cell>
          <cell r="W1125">
            <v>760000</v>
          </cell>
          <cell r="Y1125">
            <v>740000</v>
          </cell>
          <cell r="AC1125" t="str">
            <v>Ana Damásio</v>
          </cell>
          <cell r="AJ1125" t="str">
            <v>Rivus</v>
          </cell>
        </row>
        <row r="1126">
          <cell r="A1126" t="str">
            <v>SPRINGS</v>
          </cell>
          <cell r="C1126" t="str">
            <v>Y</v>
          </cell>
          <cell r="E1126" t="str">
            <v>V3</v>
          </cell>
          <cell r="F1126">
            <v>323.58999999999997</v>
          </cell>
          <cell r="Q1126" t="str">
            <v>AVAILABLE</v>
          </cell>
          <cell r="S1126">
            <v>1741050</v>
          </cell>
          <cell r="T1126">
            <v>1830000</v>
          </cell>
          <cell r="U1126">
            <v>24600</v>
          </cell>
          <cell r="V1126">
            <v>64350</v>
          </cell>
          <cell r="W1126">
            <v>1741050</v>
          </cell>
          <cell r="Y1126">
            <v>1825000</v>
          </cell>
          <cell r="AC1126" t="str">
            <v>Ana Damásio</v>
          </cell>
          <cell r="AJ1126" t="str">
            <v>Springs - At the Els</v>
          </cell>
        </row>
        <row r="1127">
          <cell r="A1127" t="str">
            <v>ZESTIA</v>
          </cell>
          <cell r="C1127" t="str">
            <v>Y</v>
          </cell>
          <cell r="E1127" t="str">
            <v>T1 +</v>
          </cell>
          <cell r="F1127">
            <v>101.96</v>
          </cell>
          <cell r="Q1127" t="str">
            <v>AVAILABLE</v>
          </cell>
          <cell r="S1127">
            <v>667603.19270000001</v>
          </cell>
          <cell r="T1127">
            <v>720000</v>
          </cell>
          <cell r="U1127">
            <v>24600</v>
          </cell>
          <cell r="V1127">
            <v>30000</v>
          </cell>
          <cell r="W1127">
            <v>665400</v>
          </cell>
          <cell r="Y1127">
            <v>720000</v>
          </cell>
          <cell r="AC1127" t="str">
            <v>Ana Damásio</v>
          </cell>
          <cell r="AJ1127" t="str">
            <v>Zestia</v>
          </cell>
        </row>
        <row r="1128">
          <cell r="A1128" t="str">
            <v>BOTÂNICA</v>
          </cell>
          <cell r="C1128" t="str">
            <v>Z</v>
          </cell>
          <cell r="E1128" t="str">
            <v>T3</v>
          </cell>
          <cell r="F1128">
            <v>223.75</v>
          </cell>
          <cell r="Q1128" t="str">
            <v>AVAILABLE</v>
          </cell>
          <cell r="S1128">
            <v>1584023.35</v>
          </cell>
          <cell r="T1128">
            <v>1650000</v>
          </cell>
          <cell r="W1128">
            <v>1650000</v>
          </cell>
          <cell r="Y1128">
            <v>1637700</v>
          </cell>
          <cell r="AC1128" t="str">
            <v>Ana Damásio</v>
          </cell>
          <cell r="AJ1128" t="str">
            <v>Botanica</v>
          </cell>
        </row>
        <row r="1129">
          <cell r="A1129" t="str">
            <v>NOBILUS</v>
          </cell>
          <cell r="C1129" t="str">
            <v>Z</v>
          </cell>
          <cell r="E1129" t="str">
            <v>T2</v>
          </cell>
          <cell r="F1129">
            <v>111</v>
          </cell>
          <cell r="Q1129" t="str">
            <v>AVAILABLE</v>
          </cell>
          <cell r="S1129">
            <v>890000</v>
          </cell>
          <cell r="T1129">
            <v>890000</v>
          </cell>
          <cell r="W1129">
            <v>890000</v>
          </cell>
          <cell r="Y1129">
            <v>890000</v>
          </cell>
          <cell r="AC1129" t="str">
            <v>Ana Damásio</v>
          </cell>
          <cell r="AJ1129" t="str">
            <v>Nobilus</v>
          </cell>
        </row>
        <row r="1130">
          <cell r="A1130" t="str">
            <v>SPRINGS</v>
          </cell>
          <cell r="C1130" t="str">
            <v>Z</v>
          </cell>
          <cell r="E1130" t="str">
            <v>V3 Duplex A</v>
          </cell>
          <cell r="F1130">
            <v>296.86</v>
          </cell>
          <cell r="Q1130" t="str">
            <v>AVAILABLE</v>
          </cell>
          <cell r="S1130">
            <v>1991050</v>
          </cell>
          <cell r="T1130">
            <v>2080000</v>
          </cell>
          <cell r="U1130">
            <v>24600</v>
          </cell>
          <cell r="V1130">
            <v>64350</v>
          </cell>
          <cell r="W1130">
            <v>1991050</v>
          </cell>
          <cell r="Y1130">
            <v>2080000</v>
          </cell>
          <cell r="AC1130" t="str">
            <v>Ana Damásio</v>
          </cell>
          <cell r="AJ1130" t="str">
            <v>Springs - At the Els</v>
          </cell>
        </row>
        <row r="1131">
          <cell r="A1131" t="str">
            <v>ZESTIA</v>
          </cell>
          <cell r="C1131" t="str">
            <v>Z</v>
          </cell>
          <cell r="E1131" t="str">
            <v>T2 +</v>
          </cell>
          <cell r="F1131">
            <v>153.04</v>
          </cell>
          <cell r="Q1131" t="str">
            <v>AVAILABLE</v>
          </cell>
          <cell r="S1131">
            <v>1134422.0759999999</v>
          </cell>
          <cell r="T1131">
            <v>1150000</v>
          </cell>
          <cell r="U1131">
            <v>24600</v>
          </cell>
          <cell r="V1131">
            <v>50000</v>
          </cell>
          <cell r="W1131">
            <v>1075400</v>
          </cell>
          <cell r="Y1131">
            <v>1150000</v>
          </cell>
          <cell r="AC1131" t="str">
            <v>Ana Damásio</v>
          </cell>
          <cell r="AJ1131" t="str">
            <v>Zestia</v>
          </cell>
        </row>
        <row r="1132">
          <cell r="A1132" t="str">
            <v>VP - TOWNHOUSES</v>
          </cell>
          <cell r="C1132" t="str">
            <v>6D</v>
          </cell>
          <cell r="E1132" t="str">
            <v>V4</v>
          </cell>
          <cell r="F1132">
            <v>362.84</v>
          </cell>
          <cell r="Q1132" t="str">
            <v>AVAILABLE</v>
          </cell>
          <cell r="S1132">
            <v>1060000</v>
          </cell>
          <cell r="T1132">
            <v>1090000</v>
          </cell>
          <cell r="W1132">
            <v>1090000</v>
          </cell>
          <cell r="AB1132">
            <v>47208</v>
          </cell>
          <cell r="AC1132" t="str">
            <v>João Gameiro</v>
          </cell>
          <cell r="AJ1132" t="str">
            <v>Vale Pisão Grand Park</v>
          </cell>
        </row>
        <row r="1133">
          <cell r="A1133" t="str">
            <v>VP - TOWNHOUSES</v>
          </cell>
          <cell r="C1133" t="str">
            <v>9D</v>
          </cell>
          <cell r="E1133" t="str">
            <v>V4</v>
          </cell>
          <cell r="F1133">
            <v>369.54</v>
          </cell>
          <cell r="Q1133" t="str">
            <v>AVAILABLE</v>
          </cell>
          <cell r="S1133">
            <v>1090000</v>
          </cell>
          <cell r="T1133">
            <v>1120000</v>
          </cell>
          <cell r="W1133">
            <v>1120000</v>
          </cell>
          <cell r="AB1133">
            <v>47208</v>
          </cell>
          <cell r="AC1133" t="str">
            <v>João Gameiro</v>
          </cell>
          <cell r="AJ1133" t="str">
            <v>Vale Pisão Grand Park</v>
          </cell>
        </row>
        <row r="1134">
          <cell r="A1134" t="str">
            <v>VP - TOWNHOUSES</v>
          </cell>
          <cell r="C1134" t="str">
            <v>1E</v>
          </cell>
          <cell r="E1134" t="str">
            <v>V4+1</v>
          </cell>
          <cell r="F1134">
            <v>401.91</v>
          </cell>
          <cell r="Q1134" t="str">
            <v>AVAILABLE</v>
          </cell>
          <cell r="S1134">
            <v>1240000</v>
          </cell>
          <cell r="T1134">
            <v>1270000</v>
          </cell>
          <cell r="W1134">
            <v>1270000</v>
          </cell>
          <cell r="AB1134">
            <v>47208</v>
          </cell>
          <cell r="AC1134" t="str">
            <v>João Gameiro</v>
          </cell>
          <cell r="AJ1134" t="str">
            <v>Vale Pisão Grand Park</v>
          </cell>
        </row>
        <row r="1135">
          <cell r="A1135" t="str">
            <v>VP - TOWNHOUSES</v>
          </cell>
          <cell r="C1135" t="str">
            <v>3D</v>
          </cell>
          <cell r="E1135" t="str">
            <v>V4</v>
          </cell>
          <cell r="F1135">
            <v>365.81</v>
          </cell>
          <cell r="Q1135" t="str">
            <v>UPON  REQUEST</v>
          </cell>
          <cell r="W1135">
            <v>0</v>
          </cell>
          <cell r="AB1135">
            <v>47208</v>
          </cell>
          <cell r="AC1135" t="str">
            <v>João Gameiro</v>
          </cell>
          <cell r="AJ1135" t="str">
            <v>Vale Pisão Grand Park</v>
          </cell>
        </row>
        <row r="1136">
          <cell r="A1136" t="str">
            <v>VP - TOWNHOUSES</v>
          </cell>
          <cell r="C1136" t="str">
            <v>4D</v>
          </cell>
          <cell r="E1136" t="str">
            <v>V4</v>
          </cell>
          <cell r="F1136">
            <v>365.79</v>
          </cell>
          <cell r="Q1136" t="str">
            <v>UPON  REQUEST</v>
          </cell>
          <cell r="W1136">
            <v>0</v>
          </cell>
          <cell r="AB1136">
            <v>47208</v>
          </cell>
          <cell r="AC1136" t="str">
            <v>João Gameiro</v>
          </cell>
          <cell r="AJ1136" t="str">
            <v>Vale Pisão Grand Park</v>
          </cell>
        </row>
        <row r="1137">
          <cell r="A1137" t="str">
            <v>VP - TOWNHOUSES</v>
          </cell>
          <cell r="C1137" t="str">
            <v>5D</v>
          </cell>
          <cell r="E1137" t="str">
            <v>V4</v>
          </cell>
          <cell r="F1137">
            <v>364.63</v>
          </cell>
          <cell r="Q1137" t="str">
            <v>UPON  REQUEST</v>
          </cell>
          <cell r="W1137">
            <v>0</v>
          </cell>
          <cell r="AB1137">
            <v>47208</v>
          </cell>
          <cell r="AC1137" t="str">
            <v>João Gameiro</v>
          </cell>
          <cell r="AJ1137" t="str">
            <v>Vale Pisão Grand Park</v>
          </cell>
        </row>
        <row r="1138">
          <cell r="A1138" t="str">
            <v>VP - TOWNHOUSES</v>
          </cell>
          <cell r="C1138" t="str">
            <v>7D</v>
          </cell>
          <cell r="E1138" t="str">
            <v>V4</v>
          </cell>
          <cell r="F1138">
            <v>360.37</v>
          </cell>
          <cell r="Q1138" t="str">
            <v>UPON  REQUEST</v>
          </cell>
          <cell r="W1138">
            <v>0</v>
          </cell>
          <cell r="AB1138">
            <v>47208</v>
          </cell>
          <cell r="AC1138" t="str">
            <v>João Gameiro</v>
          </cell>
          <cell r="AJ1138" t="str">
            <v>Vale Pisão Grand Park</v>
          </cell>
        </row>
        <row r="1139">
          <cell r="A1139" t="str">
            <v>VP - TOWNHOUSES</v>
          </cell>
          <cell r="C1139" t="str">
            <v>8D</v>
          </cell>
          <cell r="E1139" t="str">
            <v>V4</v>
          </cell>
          <cell r="F1139">
            <v>358.23</v>
          </cell>
          <cell r="Q1139" t="str">
            <v>UPON  REQUEST</v>
          </cell>
          <cell r="W1139">
            <v>0</v>
          </cell>
          <cell r="AB1139">
            <v>47208</v>
          </cell>
          <cell r="AC1139" t="str">
            <v>João Gameiro</v>
          </cell>
          <cell r="AJ1139" t="str">
            <v>Vale Pisão Grand Park</v>
          </cell>
        </row>
        <row r="1140">
          <cell r="A1140" t="str">
            <v>VP - TOWNHOUSES</v>
          </cell>
          <cell r="C1140" t="str">
            <v>2E</v>
          </cell>
          <cell r="E1140" t="str">
            <v>V4+1</v>
          </cell>
          <cell r="F1140">
            <v>387.26</v>
          </cell>
          <cell r="Q1140" t="str">
            <v>UPON  REQUEST</v>
          </cell>
          <cell r="W1140">
            <v>0</v>
          </cell>
          <cell r="AB1140">
            <v>47208</v>
          </cell>
          <cell r="AC1140" t="str">
            <v>João Gameiro</v>
          </cell>
          <cell r="AJ1140" t="str">
            <v>Vale Pisão Grand Park</v>
          </cell>
        </row>
        <row r="1141">
          <cell r="A1141" t="str">
            <v>VP - TOWNHOUSES</v>
          </cell>
          <cell r="C1141" t="str">
            <v>3E</v>
          </cell>
          <cell r="E1141" t="str">
            <v>V4+1</v>
          </cell>
          <cell r="F1141">
            <v>387.03</v>
          </cell>
          <cell r="Q1141" t="str">
            <v>UPON  REQUEST</v>
          </cell>
          <cell r="W1141">
            <v>0</v>
          </cell>
          <cell r="AB1141">
            <v>47208</v>
          </cell>
          <cell r="AC1141" t="str">
            <v>João Gameiro</v>
          </cell>
          <cell r="AJ1141" t="str">
            <v>Vale Pisão Grand Park</v>
          </cell>
        </row>
        <row r="1142">
          <cell r="A1142" t="str">
            <v>VP - TOWNHOUSES</v>
          </cell>
          <cell r="C1142" t="str">
            <v>4E</v>
          </cell>
          <cell r="E1142" t="str">
            <v>V4+1</v>
          </cell>
          <cell r="F1142">
            <v>382.78</v>
          </cell>
          <cell r="Q1142" t="str">
            <v>UPON  REQUEST</v>
          </cell>
          <cell r="W1142">
            <v>0</v>
          </cell>
          <cell r="AB1142">
            <v>47208</v>
          </cell>
          <cell r="AC1142" t="str">
            <v>João Gameiro</v>
          </cell>
          <cell r="AJ1142" t="str">
            <v>Vale Pisão Grand Park</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E801AB4-117F-40AA-AACB-3E6865F02967}" autoFormatId="16" applyNumberFormats="0" applyBorderFormats="0" applyFontFormats="0" applyPatternFormats="0" applyAlignmentFormats="0" applyWidthHeightFormats="0">
  <queryTableRefresh nextId="17">
    <queryTableFields count="16">
      <queryTableField id="1" name="Project" tableColumnId="1"/>
      <queryTableField id="2" name="Commercial Status" tableColumnId="2"/>
      <queryTableField id="3" name="Location" tableColumnId="3"/>
      <queryTableField id="4" name="Owner Comercial" tableColumnId="4"/>
      <queryTableField id="5" name="Owner Asset Management" tableColumnId="5"/>
      <queryTableField id="6" name="Website" tableColumnId="6"/>
      <queryTableField id="7" name="Positioning Statement" tableColumnId="7"/>
      <queryTableField id="8" name="Total Units" tableColumnId="8"/>
      <queryTableField id="9" name="Type" tableColumnId="9"/>
      <queryTableField id="10" name="Typologies" tableColumnId="10"/>
      <queryTableField id="11" name="Amenities" tableColumnId="11"/>
      <queryTableField id="12" name="Key-Selling Points" tableColumnId="12"/>
      <queryTableField id="13" name="Architecture" tableColumnId="13"/>
      <queryTableField id="14" name="Starting Price (€)" tableColumnId="14"/>
      <queryTableField id="15" name="Price List GDV (€)" tableColumnId="15"/>
      <queryTableField id="16" name="Conclusion Expected" tableColumnId="1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57FE52-BB6C-49DF-A854-87806086AE70}" name="Project_Info" displayName="Project_Info" ref="A1:P25" tableType="queryTable" totalsRowShown="0" headerRowDxfId="207" dataDxfId="206">
  <autoFilter ref="A1:P25" xr:uid="{F257FE52-BB6C-49DF-A854-87806086AE70}"/>
  <tableColumns count="16">
    <tableColumn id="1" xr3:uid="{1861602B-9A87-4C2F-9A44-667C6D638ACC}" uniqueName="1" name="Project" queryTableFieldId="1" dataDxfId="205"/>
    <tableColumn id="2" xr3:uid="{386F0832-0FEA-4E1C-A8D8-7F5149F2FF0E}" uniqueName="2" name="Commercial Status" queryTableFieldId="2" dataDxfId="204"/>
    <tableColumn id="3" xr3:uid="{2B56AEB8-741C-4DAC-A486-2BB2BB6FA672}" uniqueName="3" name="Location" queryTableFieldId="3" dataDxfId="203"/>
    <tableColumn id="4" xr3:uid="{4F2F49F6-B67E-44E0-8DED-06902D42D850}" uniqueName="4" name="Owner Comercial" queryTableFieldId="4" dataDxfId="202"/>
    <tableColumn id="5" xr3:uid="{8020656E-22E3-4F71-81BD-848EBEABEF94}" uniqueName="5" name="Owner Asset Management" queryTableFieldId="5" dataDxfId="201"/>
    <tableColumn id="6" xr3:uid="{BCE0AA5C-AD8C-4361-9549-EE159EA77F29}" uniqueName="6" name="Website" queryTableFieldId="6" dataDxfId="200"/>
    <tableColumn id="7" xr3:uid="{8CE4CF64-503C-492C-9A4D-DBDA6C569387}" uniqueName="7" name="Positioning Statement" queryTableFieldId="7" dataDxfId="199"/>
    <tableColumn id="8" xr3:uid="{9D73B1A7-CCE0-48D9-A2E6-0884CC3CE55A}" uniqueName="8" name="Total Units" queryTableFieldId="8" dataDxfId="198"/>
    <tableColumn id="9" xr3:uid="{3ABD8CD1-F039-4D4C-8956-51CEA9008582}" uniqueName="9" name="Type" queryTableFieldId="9" dataDxfId="197"/>
    <tableColumn id="10" xr3:uid="{25BDB31C-DDED-4C6C-9903-DEACB3B1D69C}" uniqueName="10" name="Typologies" queryTableFieldId="10" dataDxfId="196"/>
    <tableColumn id="11" xr3:uid="{E76BA6DC-4C8A-437C-9D14-A999BF111104}" uniqueName="11" name="Amenities" queryTableFieldId="11" dataDxfId="195"/>
    <tableColumn id="12" xr3:uid="{144A9D3A-A882-4C96-B8ED-918DB9A4C27C}" uniqueName="12" name="Key-Selling Points" queryTableFieldId="12" dataDxfId="194"/>
    <tableColumn id="13" xr3:uid="{6B2AABBF-A875-46C9-96B7-048E6058006B}" uniqueName="13" name="Architecture" queryTableFieldId="13" dataDxfId="193"/>
    <tableColumn id="14" xr3:uid="{25F5251B-DA26-4AC8-B916-1A7FB9BA2F46}" uniqueName="14" name="Starting Price (€)" queryTableFieldId="14" dataDxfId="192"/>
    <tableColumn id="15" xr3:uid="{357D5A42-1522-407C-BB8E-EBC913A5D79B}" uniqueName="15" name="Price List GDV (€)" queryTableFieldId="15" dataDxfId="191"/>
    <tableColumn id="16" xr3:uid="{C561C9D8-65ED-44D7-8302-89CA31D04DC3}" uniqueName="16" name="Conclusion Expected" queryTableFieldId="16" dataDxfId="190"/>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FCC5EF-E86F-C74F-AB4A-C20BE88873EE}" name="DATABASE_Table" displayName="DATABASE_Table" ref="B1:AM1142" totalsRowShown="0" headerRowDxfId="189" dataDxfId="187" headerRowBorderDxfId="188" tableBorderDxfId="186" totalsRowBorderDxfId="185">
  <autoFilter ref="B1:AM1142" xr:uid="{63FCC5EF-E86F-C74F-AB4A-C20BE88873EE}">
    <filterColumn colId="0">
      <filters>
        <filter val="Aroeira - HOTEL APARTMENTS"/>
        <filter val="Aroeira - HOUSES"/>
        <filter val="Aroeira - VILLAS"/>
        <filter val="Azuya"/>
        <filter val="BOTÂNICA"/>
        <filter val="ELS"/>
        <filter val="MOURAGOLFE"/>
        <filter val="MR - CHR"/>
        <filter val="MR - Linked Villas"/>
        <filter val="MR - LT do Golfe"/>
        <filter val="MR - LT Miradouro Village"/>
        <filter val="MR -LT da Casa do Campo"/>
        <filter val="NATURA VILLAGE 4"/>
        <filter val="NATURA VILLAGE 7"/>
        <filter val="NATURA VILLAGE 9"/>
        <filter val="NOBILUS"/>
        <filter val="Palmares - Plots"/>
        <filter val="Palmares - Signature Apartments"/>
        <filter val="Palmares - Signature Residences"/>
        <filter val="Rivus"/>
        <filter val="SPRINGS"/>
        <filter val="Sutaya"/>
        <filter val="TERRACOTA"/>
        <filter val="THE NINE"/>
        <filter val="THE UNCOMMON"/>
        <filter val="VM PARQUE"/>
        <filter val="VP - TOWNHOUSES"/>
        <filter val="ZESTIA"/>
      </filters>
    </filterColumn>
  </autoFilter>
  <tableColumns count="38">
    <tableColumn id="1" xr3:uid="{B943FC6E-5E76-0F43-B48D-5AE07D3A49B8}" name="Commercial ID" dataDxfId="184" totalsRowDxfId="183"/>
    <tableColumn id="2" xr3:uid="{FDCC5543-7CB6-6048-9EE0-C22F2CCB1771}" name="Local" dataDxfId="182" totalsRowDxfId="181"/>
    <tableColumn id="3" xr3:uid="{F603CFDE-B003-B94B-ADEE-2FADA161351E}" name="Unit PH" dataDxfId="180" totalsRowDxfId="179"/>
    <tableColumn id="28" xr3:uid="{E9BB9EAD-7849-472D-A5F1-754D38EC75CC}" name="Location" dataDxfId="178" totalsRowDxfId="177"/>
    <tableColumn id="4" xr3:uid="{06EDFDDF-D9A8-E04F-BAF6-F7000E048FFD}" name="Typology" dataDxfId="176" totalsRowDxfId="175"/>
    <tableColumn id="5" xr3:uid="{E273D5AC-6436-0E47-809F-49010E5032A1}" name="Area Total  [sqm]" dataDxfId="174" totalsRowDxfId="173"/>
    <tableColumn id="6" xr3:uid="{818567ED-9E04-D945-A026-3DBDF0F17C37}" name="Storage [sqm]" dataDxfId="172" totalsRowDxfId="171"/>
    <tableColumn id="7" xr3:uid="{295FC741-6A74-B84A-B7D8-F23C1F3E0D99}" name="Parking Lots [#]" dataDxfId="170" totalsRowDxfId="169"/>
    <tableColumn id="8" xr3:uid="{51CA1C19-BE41-0E45-8513-E2C25F1BB13F}" name="Pool [#]" dataDxfId="168" totalsRowDxfId="167"/>
    <tableColumn id="9" xr3:uid="{2C1E66AC-513A-3546-86FB-BF0790E4711C}" name="Balconies [sqm]" dataDxfId="166" totalsRowDxfId="165"/>
    <tableColumn id="10" xr3:uid="{7FE97706-3883-2048-9193-C7BA3B30F67E}" name="Garden [sqm]" dataDxfId="164" totalsRowDxfId="163"/>
    <tableColumn id="11" xr3:uid="{128C2524-7E1E-FF41-8880-ED5C6D9C1750}" name="Patio [sqm]" dataDxfId="162" totalsRowDxfId="161"/>
    <tableColumn id="12" xr3:uid="{B50D8C68-471D-AA49-B928-7753D7F2C210}" name="Terrace [sqm]" dataDxfId="160" totalsRowDxfId="159"/>
    <tableColumn id="13" xr3:uid="{46FA90EA-5977-4243-9914-C88A46216EDD}" name="Rooftop [sqm]" dataDxfId="158" totalsRowDxfId="157"/>
    <tableColumn id="14" xr3:uid="{9A13E477-2654-ED42-BE37-9F3F50311814}" name="Interior" dataDxfId="156" totalsRowDxfId="155"/>
    <tableColumn id="15" xr3:uid="{29CF9265-2254-034E-BF05-A596F0DD534B}" name="Exterior" dataDxfId="154" totalsRowDxfId="153"/>
    <tableColumn id="16" xr3:uid="{8B2A24E8-255F-A147-8CED-394123B9AB24}" name="Selling Status" dataDxfId="152" totalsRowDxfId="151"/>
    <tableColumn id="17" xr3:uid="{71A1B3B6-1B13-4543-BCB4-8F55F3D507D9}" name="Inicial Asking Price (€) (RE Asset)" dataDxfId="150" totalsRowDxfId="149">
      <calculatedColumnFormula>DATABASE_Table[[#This Row],[Inicial Asking Price (€) (Total)]]-DATABASE_Table[[#This Row],[Vista membership]]-DATABASE_Table[[#This Row],[FF&amp;E]]</calculatedColumnFormula>
    </tableColumn>
    <tableColumn id="18" xr3:uid="{A62EB300-6336-0F4C-BDE1-0EE63C1C4E03}" name="Inicial Asking Price (€) (Total)" dataDxfId="148" totalsRowDxfId="147" dataCellStyle="Currency"/>
    <tableColumn id="19" xr3:uid="{89ADA552-96EB-C04E-B695-1D2F5CCE951F}" name="Current Asking price( Total)" dataDxfId="146" totalsRowDxfId="145" dataCellStyle="Currency"/>
    <tableColumn id="20" xr3:uid="{4561EA59-E46E-2D41-9CF5-6B894E29E154}" name="Vista membership" dataDxfId="144" totalsRowDxfId="143"/>
    <tableColumn id="21" xr3:uid="{A05D6E2D-9ACE-4C4F-9C00-B8F251F8D55A}" name="FF&amp;E" dataDxfId="142" totalsRowDxfId="141"/>
    <tableColumn id="22" xr3:uid="{4F1891CA-49EB-1D4C-A6A1-2D57EF2BA971}" name="Current Asking price (RE Asset)" dataDxfId="140" totalsRowDxfId="139">
      <calculatedColumnFormula>DATABASE_Table[[#This Row],[Current Asking price( Total)]]-DATABASE_Table[[#This Row],[Vista membership]]-DATABASE_Table[[#This Row],[FF&amp;E]]</calculatedColumnFormula>
    </tableColumn>
    <tableColumn id="23" xr3:uid="{8C1911B6-7036-ED4E-A943-8DCBEC742AA1}" name="Total Discount" dataDxfId="138" totalsRowDxfId="137" dataCellStyle="Percent"/>
    <tableColumn id="24" xr3:uid="{029087F4-A172-3D49-8043-B7B3736068F5}" name="Sell price (Total)" dataDxfId="136" totalsRowDxfId="135" dataCellStyle="Currency"/>
    <tableColumn id="25" xr3:uid="{D54A0525-0900-984E-82CC-CC78EE387A49}" name="Sell price (RE Asset)" dataDxfId="134" totalsRowDxfId="133">
      <calculatedColumnFormula>DATABASE_Table[[#This Row],[Sell price (Total)]]-DATABASE_Table[[#This Row],[FF&amp;E]]-DATABASE_Table[[#This Row],[Vista membership]]</calculatedColumnFormula>
    </tableColumn>
    <tableColumn id="38" xr3:uid="{1C385A62-DEDE-4469-8BA5-71DCDA3E3FA2}" name="First Reservation" dataDxfId="132" totalsRowDxfId="131"/>
    <tableColumn id="39" xr3:uid="{1D2BC998-2EFD-4C08-BB02-E9E5410AD889}" name="Launch" dataDxfId="130" totalsRowDxfId="129">
      <calculatedColumnFormula>IF(AB2="","TO LAUNCH","Q"&amp;ROUNDUP(MONTH(AB2)/3,0)&amp;" "&amp;YEAR(AB2))</calculatedColumnFormula>
    </tableColumn>
    <tableColumn id="27" xr3:uid="{890FA5FA-0062-6347-9EFA-671A56A65D75}" name="PSPA Date" dataDxfId="128"/>
    <tableColumn id="29" xr3:uid="{2326D8FB-26F4-044E-BF2D-554D56616205}" name="Delivery Expected" dataDxfId="127" totalsRowDxfId="126"/>
    <tableColumn id="30" xr3:uid="{09C02240-B6C9-40D9-826D-AA21BC7E80E5}" name="Owner Comercial" dataDxfId="125" totalsRowDxfId="124"/>
    <tableColumn id="31" xr3:uid="{EE0B9818-CE87-4DB1-92E3-D9C0DAE40FDC}" name="Owner Asset Management" dataDxfId="123" totalsRowDxfId="122"/>
    <tableColumn id="32" xr3:uid="{CCC82B3C-3344-4F23-A8D4-33FD10B6701B}" name="Website" dataDxfId="121" totalsRowDxfId="120"/>
    <tableColumn id="33" xr3:uid="{BAA14FF8-8035-46D4-80DD-5F7EF64C7743}" name="Positioning Statement" dataDxfId="119" totalsRowDxfId="118"/>
    <tableColumn id="34" xr3:uid="{9CF8AF56-9B59-4914-B099-94A889B38B63}" name="Amenities" dataDxfId="117" totalsRowDxfId="116"/>
    <tableColumn id="35" xr3:uid="{90EDC372-753C-411C-9558-153442B49222}" name="Key-Selling Points" dataDxfId="115" totalsRowDxfId="114"/>
    <tableColumn id="36" xr3:uid="{58D3AF83-4846-4CE7-AD66-10FA460E8A2A}" name="Architecture" dataDxfId="113" totalsRowDxfId="112"/>
    <tableColumn id="37" xr3:uid="{2E2568A7-323C-AC42-A822-993A170D2B8D}" name="Development" dataDxfId="111" totalsRowDxfId="110"/>
  </tableColumns>
  <tableStyleInfo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F08E222-646E-1E43-A0E3-A2EB445E314B}">
  <we:reference id="WA200010725" version="1.0.0.1" store="Omex" storeType="OMEX"/>
  <we:alternateReferences>
    <we:reference id="WA200010725" version="1.0.0.1" store="WA200010725" storeType="OMEX"/>
  </we:alternateReferences>
  <we:properties>
    <we:property name="claude.fileId" value="&quot;1404bc21-c7a9-47e5-8ec0-05a959ef0f6e&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openxmlformats.org/officeDocument/2006/relationships/comments" Target="../comments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8F976-DDA4-DE49-9A2B-4502567D6999}">
  <sheetPr>
    <tabColor rgb="FF45483F"/>
  </sheetPr>
  <dimension ref="A1:W43"/>
  <sheetViews>
    <sheetView showGridLines="0" topLeftCell="A3" workbookViewId="0">
      <selection activeCell="B10" sqref="B10:D10"/>
    </sheetView>
  </sheetViews>
  <sheetFormatPr defaultColWidth="11.44140625" defaultRowHeight="14.4" x14ac:dyDescent="0.3"/>
  <cols>
    <col min="1" max="1" width="3.6640625" customWidth="1"/>
    <col min="2" max="16" width="10.6640625" customWidth="1"/>
    <col min="17" max="17" width="3.6640625" customWidth="1"/>
  </cols>
  <sheetData>
    <row r="1" spans="1:23" x14ac:dyDescent="0.3">
      <c r="A1" s="3"/>
      <c r="B1" s="3"/>
      <c r="C1" s="3"/>
      <c r="D1" s="3"/>
      <c r="E1" s="3"/>
      <c r="F1" s="3"/>
      <c r="G1" s="3"/>
      <c r="H1" s="3"/>
      <c r="I1" s="3"/>
      <c r="J1" s="3"/>
      <c r="K1" s="3"/>
      <c r="L1" s="3"/>
      <c r="M1" s="3"/>
      <c r="N1" s="3"/>
      <c r="O1" s="3"/>
      <c r="P1" s="3"/>
      <c r="Q1" s="3"/>
      <c r="R1" s="3"/>
      <c r="S1" s="3"/>
      <c r="T1" s="3"/>
      <c r="U1" s="3"/>
      <c r="V1" s="3"/>
      <c r="W1" s="3"/>
    </row>
    <row r="2" spans="1:23" ht="25.95" customHeight="1" x14ac:dyDescent="0.3">
      <c r="A2" s="3"/>
      <c r="B2" s="142" t="s">
        <v>585</v>
      </c>
      <c r="C2" s="143"/>
      <c r="D2" s="143"/>
      <c r="E2" s="143"/>
      <c r="F2" s="143"/>
      <c r="G2" s="143"/>
      <c r="H2" s="143"/>
      <c r="I2" s="143"/>
      <c r="J2" s="143"/>
      <c r="K2" s="143"/>
      <c r="L2" s="143"/>
      <c r="M2" s="143"/>
      <c r="N2" s="143"/>
      <c r="O2" s="143"/>
      <c r="P2" s="143"/>
      <c r="Q2" s="3"/>
      <c r="R2" s="3"/>
      <c r="S2" s="3"/>
      <c r="T2" s="3"/>
      <c r="U2" s="3"/>
      <c r="V2" s="3"/>
      <c r="W2" s="3"/>
    </row>
    <row r="3" spans="1:23" ht="22.2" customHeight="1" x14ac:dyDescent="0.3">
      <c r="A3" s="3"/>
      <c r="B3" s="144" t="str">
        <f>"Real estate development portfolio  ·  Last Updated 28 june 2026"</f>
        <v>Real estate development portfolio  ·  Last Updated 28 june 2026</v>
      </c>
      <c r="C3" s="143"/>
      <c r="D3" s="143"/>
      <c r="E3" s="143"/>
      <c r="F3" s="143"/>
      <c r="G3" s="143"/>
      <c r="H3" s="143"/>
      <c r="I3" s="143"/>
      <c r="J3" s="143"/>
      <c r="K3" s="143"/>
      <c r="L3" s="143"/>
      <c r="M3" s="143"/>
      <c r="N3" s="143"/>
      <c r="O3" s="143"/>
      <c r="P3" s="143"/>
      <c r="Q3" s="3"/>
      <c r="R3" s="3"/>
      <c r="S3" s="3"/>
      <c r="T3" s="3"/>
      <c r="U3" s="3"/>
      <c r="V3" s="3"/>
      <c r="W3" s="3"/>
    </row>
    <row r="4" spans="1:23" x14ac:dyDescent="0.3">
      <c r="A4" s="3"/>
      <c r="B4" s="3"/>
      <c r="C4" s="3"/>
      <c r="D4" s="3"/>
      <c r="E4" s="3"/>
      <c r="F4" s="3"/>
      <c r="G4" s="3"/>
      <c r="H4" s="3"/>
      <c r="I4" s="3"/>
      <c r="J4" s="3"/>
      <c r="K4" s="3"/>
      <c r="L4" s="3"/>
      <c r="M4" s="3"/>
      <c r="N4" s="3"/>
      <c r="O4" s="3"/>
      <c r="P4" s="3"/>
      <c r="Q4" s="3"/>
      <c r="R4" s="3"/>
      <c r="S4" s="3"/>
      <c r="T4" s="3"/>
      <c r="U4" s="3"/>
      <c r="V4" s="3"/>
      <c r="W4" s="3"/>
    </row>
    <row r="5" spans="1:23" ht="25.95" customHeight="1" x14ac:dyDescent="0.3">
      <c r="A5" s="4"/>
      <c r="B5" s="138" t="s">
        <v>557</v>
      </c>
      <c r="C5" s="139"/>
      <c r="D5" s="139"/>
      <c r="E5" s="139"/>
      <c r="F5" s="139"/>
      <c r="G5" s="139"/>
      <c r="H5" s="139"/>
      <c r="I5" s="139"/>
      <c r="J5" s="139"/>
      <c r="K5" s="139"/>
      <c r="L5" s="139"/>
      <c r="M5" s="139"/>
      <c r="N5" s="139"/>
      <c r="O5" s="139"/>
      <c r="P5" s="139"/>
      <c r="Q5" s="4"/>
      <c r="R5" s="4"/>
      <c r="S5" s="4"/>
      <c r="T5" s="4"/>
      <c r="U5" s="4"/>
      <c r="V5" s="4"/>
      <c r="W5" s="4"/>
    </row>
    <row r="6" spans="1:23" x14ac:dyDescent="0.3">
      <c r="A6" s="4"/>
      <c r="B6" s="5"/>
      <c r="C6" s="4"/>
      <c r="D6" s="4"/>
      <c r="E6" s="4"/>
      <c r="F6" s="4"/>
      <c r="G6" s="4"/>
      <c r="H6" s="4"/>
      <c r="I6" s="4"/>
      <c r="J6" s="4"/>
      <c r="K6" s="4"/>
      <c r="L6" s="4"/>
      <c r="M6" s="4"/>
      <c r="N6" s="4"/>
      <c r="O6" s="4"/>
      <c r="P6" s="4"/>
      <c r="Q6" s="4"/>
      <c r="R6" s="4"/>
      <c r="S6" s="4"/>
      <c r="T6" s="4"/>
      <c r="U6" s="4"/>
      <c r="V6" s="4"/>
      <c r="W6" s="4"/>
    </row>
    <row r="7" spans="1:23" ht="22.2" customHeight="1" x14ac:dyDescent="0.3">
      <c r="A7" s="4"/>
      <c r="B7" s="140" t="s">
        <v>566</v>
      </c>
      <c r="C7" s="141"/>
      <c r="D7" s="141"/>
      <c r="E7" s="141"/>
      <c r="F7" s="141"/>
      <c r="G7" s="141"/>
      <c r="H7" s="141"/>
      <c r="I7" s="141"/>
      <c r="J7" s="141"/>
      <c r="K7" s="141"/>
      <c r="L7" s="141"/>
      <c r="M7" s="141"/>
      <c r="N7" s="141"/>
      <c r="O7" s="141"/>
      <c r="P7" s="141"/>
      <c r="Q7" s="4"/>
      <c r="R7" s="4"/>
      <c r="S7" s="4"/>
      <c r="T7" s="4"/>
      <c r="U7" s="4"/>
      <c r="V7" s="4"/>
      <c r="W7" s="4"/>
    </row>
    <row r="8" spans="1:23" ht="24" customHeight="1" x14ac:dyDescent="0.3">
      <c r="A8" s="4"/>
      <c r="B8" s="136" t="s">
        <v>576</v>
      </c>
      <c r="C8" s="136"/>
      <c r="D8" s="136"/>
      <c r="E8" s="131"/>
      <c r="F8" s="136" t="s">
        <v>572</v>
      </c>
      <c r="G8" s="137"/>
      <c r="H8" s="137"/>
      <c r="I8" s="130"/>
      <c r="J8" s="136" t="s">
        <v>571</v>
      </c>
      <c r="K8" s="137"/>
      <c r="L8" s="137"/>
      <c r="M8" s="130"/>
      <c r="N8" s="136" t="s">
        <v>567</v>
      </c>
      <c r="O8" s="137"/>
      <c r="P8" s="137"/>
      <c r="R8" s="4"/>
      <c r="S8" s="4"/>
      <c r="T8" s="4"/>
      <c r="U8" s="4"/>
      <c r="V8" s="4"/>
      <c r="W8" s="4"/>
    </row>
    <row r="9" spans="1:23" ht="24" customHeight="1" x14ac:dyDescent="0.3">
      <c r="A9" s="4"/>
      <c r="B9" s="136" t="s">
        <v>931</v>
      </c>
      <c r="C9" s="137"/>
      <c r="D9" s="137"/>
      <c r="E9" s="131"/>
      <c r="F9" s="136" t="s">
        <v>570</v>
      </c>
      <c r="G9" s="137"/>
      <c r="H9" s="137"/>
      <c r="I9" s="131"/>
      <c r="J9" s="136" t="s">
        <v>573</v>
      </c>
      <c r="K9" s="137"/>
      <c r="L9" s="137"/>
      <c r="M9" s="131"/>
      <c r="N9" s="136" t="s">
        <v>569</v>
      </c>
      <c r="O9" s="137"/>
      <c r="P9" s="137"/>
      <c r="Q9" s="4"/>
      <c r="R9" s="4"/>
      <c r="S9" s="4"/>
      <c r="T9" s="4"/>
      <c r="U9" s="4"/>
      <c r="V9" s="4"/>
      <c r="W9" s="4"/>
    </row>
    <row r="10" spans="1:23" ht="24" customHeight="1" x14ac:dyDescent="0.3">
      <c r="A10" s="4"/>
      <c r="B10" s="136" t="s">
        <v>568</v>
      </c>
      <c r="C10" s="137"/>
      <c r="D10" s="137"/>
      <c r="E10" s="131"/>
      <c r="F10" s="136" t="s">
        <v>575</v>
      </c>
      <c r="G10" s="137"/>
      <c r="H10" s="137"/>
      <c r="I10" s="131"/>
      <c r="J10" s="136" t="s">
        <v>574</v>
      </c>
      <c r="K10" s="137"/>
      <c r="L10" s="137"/>
      <c r="M10" s="131"/>
      <c r="N10" s="130"/>
      <c r="O10" s="130"/>
      <c r="P10" s="130"/>
      <c r="Q10" s="4"/>
      <c r="R10" s="4"/>
      <c r="S10" s="4"/>
      <c r="T10" s="4"/>
      <c r="U10" s="4"/>
      <c r="V10" s="4"/>
      <c r="W10" s="4"/>
    </row>
    <row r="11" spans="1:23" ht="24" customHeight="1" x14ac:dyDescent="0.3">
      <c r="A11" s="4"/>
      <c r="E11" s="4"/>
      <c r="M11" s="4"/>
      <c r="N11" s="4"/>
      <c r="O11" s="4"/>
      <c r="P11" s="4"/>
      <c r="Q11" s="4"/>
      <c r="R11" s="4"/>
      <c r="S11" s="4"/>
      <c r="T11" s="4"/>
      <c r="U11" s="4"/>
      <c r="V11" s="4"/>
      <c r="W11" s="4"/>
    </row>
    <row r="12" spans="1:23" x14ac:dyDescent="0.3">
      <c r="A12" s="4"/>
      <c r="B12" s="4"/>
      <c r="C12" s="4"/>
      <c r="D12" s="4"/>
      <c r="E12" s="4"/>
      <c r="F12" s="4"/>
      <c r="G12" s="4"/>
      <c r="H12" s="4"/>
      <c r="I12" s="4"/>
      <c r="J12" s="4"/>
      <c r="K12" s="4"/>
      <c r="L12" s="4"/>
      <c r="M12" s="4"/>
      <c r="N12" s="4"/>
      <c r="O12" s="4"/>
      <c r="P12" s="4"/>
      <c r="Q12" s="4"/>
      <c r="R12" s="4"/>
      <c r="S12" s="4"/>
      <c r="T12" s="4"/>
      <c r="U12" s="4"/>
      <c r="V12" s="4"/>
      <c r="W12" s="4"/>
    </row>
    <row r="13" spans="1:23" ht="22.2" customHeight="1" x14ac:dyDescent="0.3">
      <c r="A13" s="4"/>
      <c r="B13" s="147" t="s">
        <v>577</v>
      </c>
      <c r="C13" s="148"/>
      <c r="D13" s="148"/>
      <c r="E13" s="148"/>
      <c r="F13" s="148"/>
      <c r="G13" s="148"/>
      <c r="H13" s="148"/>
      <c r="I13" s="148"/>
      <c r="J13" s="148"/>
      <c r="K13" s="148"/>
      <c r="L13" s="148"/>
      <c r="M13" s="148"/>
      <c r="N13" s="148"/>
      <c r="O13" s="148"/>
      <c r="P13" s="148"/>
      <c r="Q13" s="4"/>
      <c r="R13" s="4"/>
      <c r="S13" s="4"/>
      <c r="T13" s="4"/>
      <c r="U13" s="4"/>
      <c r="V13" s="4"/>
      <c r="W13" s="4"/>
    </row>
    <row r="14" spans="1:23" ht="24" customHeight="1" x14ac:dyDescent="0.3">
      <c r="A14" s="4"/>
      <c r="B14" s="136" t="s">
        <v>579</v>
      </c>
      <c r="C14" s="137"/>
      <c r="D14" s="137"/>
      <c r="E14" s="136" t="s">
        <v>578</v>
      </c>
      <c r="F14" s="137"/>
      <c r="G14" s="137"/>
      <c r="H14" s="130"/>
      <c r="I14" s="131"/>
      <c r="J14" s="136" t="s">
        <v>580</v>
      </c>
      <c r="K14" s="137"/>
      <c r="L14" s="137"/>
      <c r="M14" s="131"/>
      <c r="N14" s="136" t="s">
        <v>581</v>
      </c>
      <c r="O14" s="137"/>
      <c r="P14" s="137"/>
      <c r="Q14" s="131"/>
      <c r="R14" s="4"/>
      <c r="S14" s="4"/>
      <c r="T14" s="4"/>
      <c r="U14" s="4"/>
      <c r="V14" s="4"/>
      <c r="W14" s="4"/>
    </row>
    <row r="15" spans="1:23" x14ac:dyDescent="0.3">
      <c r="A15" s="4"/>
      <c r="E15" s="4"/>
      <c r="F15" s="4"/>
      <c r="G15" s="4"/>
      <c r="H15" s="4"/>
      <c r="I15" s="4"/>
      <c r="J15" s="4"/>
      <c r="K15" s="4"/>
      <c r="L15" s="4"/>
      <c r="M15" s="4"/>
      <c r="N15" s="4"/>
      <c r="O15" s="4"/>
      <c r="P15" s="4"/>
      <c r="Q15" s="4"/>
      <c r="R15" s="4"/>
      <c r="S15" s="4"/>
      <c r="T15" s="4"/>
      <c r="U15" s="4"/>
      <c r="V15" s="4"/>
      <c r="W15" s="4"/>
    </row>
    <row r="16" spans="1:23" ht="22.2" customHeight="1" x14ac:dyDescent="0.3">
      <c r="A16" s="4"/>
      <c r="B16" s="145" t="s">
        <v>582</v>
      </c>
      <c r="C16" s="146"/>
      <c r="D16" s="146"/>
      <c r="E16" s="146"/>
      <c r="F16" s="146"/>
      <c r="G16" s="146"/>
      <c r="H16" s="146"/>
      <c r="I16" s="146"/>
      <c r="J16" s="146"/>
      <c r="K16" s="146"/>
      <c r="L16" s="146"/>
      <c r="M16" s="146"/>
      <c r="N16" s="146"/>
      <c r="O16" s="146"/>
      <c r="P16" s="146"/>
      <c r="Q16" s="4"/>
      <c r="R16" s="4"/>
      <c r="S16" s="4"/>
      <c r="T16" s="4"/>
      <c r="U16" s="4"/>
      <c r="V16" s="4"/>
      <c r="W16" s="4"/>
    </row>
    <row r="17" spans="1:23" ht="24" customHeight="1" x14ac:dyDescent="0.3">
      <c r="A17" s="4"/>
      <c r="B17" s="136" t="s">
        <v>583</v>
      </c>
      <c r="C17" s="137"/>
      <c r="D17" s="137"/>
      <c r="E17" s="131"/>
      <c r="F17" s="136" t="s">
        <v>584</v>
      </c>
      <c r="G17" s="137"/>
      <c r="H17" s="137"/>
      <c r="I17" s="4"/>
      <c r="J17" s="4"/>
      <c r="K17" s="4"/>
      <c r="L17" s="4"/>
      <c r="M17" s="4"/>
      <c r="N17" s="4"/>
      <c r="O17" s="4"/>
      <c r="P17" s="4"/>
      <c r="Q17" s="4"/>
      <c r="R17" s="4"/>
      <c r="S17" s="4"/>
      <c r="T17" s="4"/>
      <c r="U17" s="4"/>
      <c r="V17" s="4"/>
      <c r="W17" s="4"/>
    </row>
    <row r="18" spans="1:23" x14ac:dyDescent="0.3">
      <c r="A18" s="4"/>
      <c r="B18" s="131"/>
      <c r="C18" s="131"/>
      <c r="D18" s="131"/>
      <c r="E18" s="131"/>
      <c r="F18" s="131"/>
      <c r="G18" s="131"/>
      <c r="H18" s="131"/>
      <c r="I18" s="4"/>
      <c r="J18" s="4"/>
      <c r="K18" s="4"/>
      <c r="L18" s="4"/>
      <c r="M18" s="4"/>
      <c r="N18" s="4"/>
      <c r="O18" s="4"/>
      <c r="P18" s="4"/>
      <c r="Q18" s="4"/>
      <c r="R18" s="4"/>
      <c r="S18" s="4"/>
      <c r="T18" s="4"/>
      <c r="U18" s="4"/>
      <c r="V18" s="4"/>
      <c r="W18" s="4"/>
    </row>
    <row r="32" spans="1:23" x14ac:dyDescent="0.3">
      <c r="A32" s="4"/>
      <c r="B32" s="4"/>
      <c r="C32" s="4"/>
      <c r="D32" s="4"/>
      <c r="E32" s="4"/>
      <c r="F32" s="4"/>
      <c r="G32" s="4"/>
      <c r="H32" s="4"/>
      <c r="I32" s="4"/>
      <c r="J32" s="4"/>
      <c r="K32" s="4"/>
      <c r="L32" s="4"/>
      <c r="M32" s="4"/>
      <c r="N32" s="4"/>
      <c r="O32" s="4"/>
      <c r="P32" s="4"/>
      <c r="Q32" s="4"/>
      <c r="R32" s="4"/>
      <c r="S32" s="4"/>
      <c r="T32" s="4"/>
      <c r="U32" s="4"/>
      <c r="V32" s="4"/>
      <c r="W32" s="4"/>
    </row>
    <row r="33" spans="1:23" x14ac:dyDescent="0.3">
      <c r="A33" s="4"/>
      <c r="B33" s="4"/>
      <c r="C33" s="4"/>
      <c r="D33" s="4"/>
      <c r="E33" s="4"/>
      <c r="F33" s="4"/>
      <c r="G33" s="4"/>
      <c r="H33" s="4"/>
      <c r="I33" s="4"/>
      <c r="J33" s="4"/>
      <c r="K33" s="4"/>
      <c r="L33" s="4"/>
      <c r="M33" s="4"/>
      <c r="N33" s="4"/>
      <c r="O33" s="4"/>
      <c r="P33" s="4"/>
      <c r="Q33" s="4"/>
      <c r="R33" s="4"/>
      <c r="S33" s="4"/>
      <c r="T33" s="4"/>
      <c r="U33" s="4"/>
      <c r="V33" s="4"/>
      <c r="W33" s="4"/>
    </row>
    <row r="34" spans="1:23" x14ac:dyDescent="0.3">
      <c r="A34" s="4"/>
      <c r="B34" s="4"/>
      <c r="C34" s="4"/>
      <c r="D34" s="4"/>
      <c r="E34" s="4"/>
      <c r="F34" s="4"/>
      <c r="G34" s="4"/>
      <c r="H34" s="4"/>
      <c r="I34" s="4"/>
      <c r="J34" s="4"/>
      <c r="K34" s="4"/>
      <c r="L34" s="4"/>
      <c r="M34" s="4"/>
      <c r="N34" s="4"/>
      <c r="O34" s="4"/>
      <c r="P34" s="4"/>
      <c r="Q34" s="4"/>
      <c r="R34" s="4"/>
      <c r="S34" s="4"/>
      <c r="T34" s="4"/>
      <c r="U34" s="4"/>
      <c r="V34" s="4"/>
      <c r="W34" s="4"/>
    </row>
    <row r="35" spans="1:23" x14ac:dyDescent="0.3">
      <c r="A35" s="4"/>
      <c r="B35" s="4"/>
      <c r="C35" s="4"/>
      <c r="D35" s="4"/>
      <c r="E35" s="4"/>
      <c r="F35" s="4"/>
      <c r="G35" s="4"/>
      <c r="H35" s="4"/>
      <c r="I35" s="4"/>
      <c r="J35" s="4"/>
      <c r="K35" s="4"/>
      <c r="L35" s="4"/>
      <c r="M35" s="4"/>
      <c r="N35" s="4"/>
      <c r="O35" s="4"/>
      <c r="P35" s="4"/>
      <c r="Q35" s="4"/>
      <c r="R35" s="4"/>
      <c r="S35" s="4"/>
      <c r="T35" s="4"/>
      <c r="U35" s="4"/>
      <c r="V35" s="4"/>
      <c r="W35" s="4"/>
    </row>
    <row r="36" spans="1:23" x14ac:dyDescent="0.3">
      <c r="A36" s="4"/>
      <c r="B36" s="4"/>
      <c r="C36" s="4"/>
      <c r="D36" s="4"/>
      <c r="E36" s="4"/>
      <c r="F36" s="4"/>
      <c r="G36" s="4"/>
      <c r="H36" s="4"/>
      <c r="I36" s="4"/>
      <c r="J36" s="4"/>
      <c r="K36" s="4"/>
      <c r="L36" s="4"/>
      <c r="M36" s="4"/>
      <c r="N36" s="4"/>
      <c r="O36" s="4"/>
      <c r="P36" s="4"/>
      <c r="Q36" s="4"/>
      <c r="R36" s="4"/>
      <c r="S36" s="4"/>
      <c r="T36" s="4"/>
      <c r="U36" s="4"/>
      <c r="V36" s="4"/>
      <c r="W36" s="4"/>
    </row>
    <row r="37" spans="1:23" x14ac:dyDescent="0.3">
      <c r="A37" s="4"/>
      <c r="B37" s="4"/>
      <c r="C37" s="4"/>
      <c r="D37" s="4"/>
      <c r="E37" s="4"/>
      <c r="F37" s="4"/>
      <c r="G37" s="4"/>
      <c r="H37" s="4"/>
      <c r="I37" s="4"/>
      <c r="J37" s="4"/>
      <c r="K37" s="4"/>
      <c r="L37" s="4"/>
      <c r="M37" s="4"/>
      <c r="N37" s="4"/>
      <c r="O37" s="4"/>
      <c r="P37" s="4"/>
      <c r="Q37" s="4"/>
      <c r="R37" s="4"/>
      <c r="S37" s="4"/>
      <c r="T37" s="4"/>
      <c r="U37" s="4"/>
      <c r="V37" s="4"/>
      <c r="W37" s="4"/>
    </row>
    <row r="38" spans="1:23" x14ac:dyDescent="0.3">
      <c r="A38" s="4"/>
      <c r="B38" s="4"/>
      <c r="C38" s="4"/>
      <c r="D38" s="4"/>
      <c r="E38" s="4"/>
      <c r="F38" s="4"/>
      <c r="G38" s="4"/>
      <c r="H38" s="4"/>
      <c r="I38" s="4"/>
      <c r="J38" s="4"/>
      <c r="K38" s="4"/>
      <c r="L38" s="4"/>
      <c r="M38" s="4"/>
      <c r="N38" s="4"/>
      <c r="O38" s="4"/>
      <c r="P38" s="4"/>
      <c r="Q38" s="4"/>
      <c r="R38" s="4"/>
      <c r="S38" s="4"/>
      <c r="T38" s="4"/>
      <c r="U38" s="4"/>
      <c r="V38" s="4"/>
      <c r="W38" s="4"/>
    </row>
    <row r="39" spans="1:23" x14ac:dyDescent="0.3">
      <c r="A39" s="4"/>
      <c r="B39" s="4"/>
      <c r="C39" s="4"/>
      <c r="D39" s="4"/>
      <c r="E39" s="4"/>
      <c r="F39" s="4"/>
      <c r="G39" s="4"/>
      <c r="H39" s="4"/>
      <c r="I39" s="4"/>
      <c r="J39" s="4"/>
      <c r="K39" s="4"/>
      <c r="L39" s="4"/>
      <c r="M39" s="4"/>
      <c r="N39" s="4"/>
      <c r="O39" s="4"/>
      <c r="P39" s="4"/>
      <c r="Q39" s="4"/>
      <c r="R39" s="4"/>
      <c r="S39" s="4"/>
      <c r="T39" s="4"/>
      <c r="U39" s="4"/>
      <c r="V39" s="4"/>
      <c r="W39" s="4"/>
    </row>
    <row r="40" spans="1:23" x14ac:dyDescent="0.3">
      <c r="A40" s="4"/>
      <c r="B40" s="4"/>
      <c r="C40" s="4"/>
      <c r="D40" s="4"/>
      <c r="E40" s="4"/>
      <c r="F40" s="4"/>
      <c r="G40" s="4"/>
      <c r="H40" s="4"/>
      <c r="I40" s="4"/>
      <c r="J40" s="4"/>
      <c r="K40" s="4"/>
      <c r="L40" s="4"/>
      <c r="M40" s="4"/>
      <c r="N40" s="4"/>
      <c r="O40" s="4"/>
      <c r="P40" s="4"/>
      <c r="Q40" s="4"/>
      <c r="R40" s="4"/>
      <c r="S40" s="4"/>
      <c r="T40" s="4"/>
      <c r="U40" s="4"/>
      <c r="V40" s="4"/>
      <c r="W40" s="4"/>
    </row>
    <row r="41" spans="1:23" x14ac:dyDescent="0.3">
      <c r="A41" s="4"/>
      <c r="B41" s="4"/>
      <c r="C41" s="4"/>
      <c r="D41" s="4"/>
      <c r="E41" s="4"/>
      <c r="F41" s="4"/>
      <c r="G41" s="4"/>
      <c r="H41" s="4"/>
      <c r="I41" s="4"/>
      <c r="J41" s="4"/>
      <c r="K41" s="4"/>
      <c r="L41" s="4"/>
      <c r="M41" s="4"/>
      <c r="N41" s="4"/>
      <c r="O41" s="4"/>
      <c r="P41" s="4"/>
      <c r="Q41" s="4"/>
      <c r="R41" s="4"/>
      <c r="S41" s="4"/>
      <c r="T41" s="4"/>
      <c r="U41" s="4"/>
      <c r="V41" s="4"/>
      <c r="W41" s="4"/>
    </row>
    <row r="42" spans="1:23" x14ac:dyDescent="0.3">
      <c r="A42" s="4"/>
      <c r="B42" s="4"/>
      <c r="C42" s="4"/>
      <c r="D42" s="4"/>
      <c r="E42" s="4"/>
      <c r="F42" s="4"/>
      <c r="G42" s="4"/>
      <c r="H42" s="4"/>
      <c r="I42" s="4"/>
      <c r="J42" s="4"/>
      <c r="K42" s="4"/>
      <c r="L42" s="4"/>
      <c r="M42" s="4"/>
      <c r="N42" s="4"/>
      <c r="O42" s="4"/>
      <c r="P42" s="4"/>
      <c r="Q42" s="4"/>
      <c r="R42" s="4"/>
      <c r="S42" s="4"/>
      <c r="T42" s="4"/>
      <c r="U42" s="4"/>
      <c r="V42" s="4"/>
      <c r="W42" s="4"/>
    </row>
    <row r="43" spans="1:23" x14ac:dyDescent="0.3">
      <c r="A43" s="4"/>
      <c r="B43" s="4"/>
      <c r="C43" s="4"/>
      <c r="D43" s="4"/>
      <c r="E43" s="4"/>
      <c r="F43" s="4"/>
      <c r="G43" s="4"/>
      <c r="H43" s="4"/>
      <c r="I43" s="4"/>
      <c r="J43" s="4"/>
      <c r="K43" s="4"/>
      <c r="L43" s="4"/>
      <c r="M43" s="4"/>
      <c r="N43" s="4"/>
      <c r="O43" s="4"/>
      <c r="P43" s="4"/>
      <c r="Q43" s="4"/>
      <c r="R43" s="4"/>
      <c r="S43" s="4"/>
      <c r="T43" s="4"/>
      <c r="U43" s="4"/>
      <c r="V43" s="4"/>
      <c r="W43" s="4"/>
    </row>
  </sheetData>
  <mergeCells count="23">
    <mergeCell ref="N14:P14"/>
    <mergeCell ref="B16:P16"/>
    <mergeCell ref="B17:D17"/>
    <mergeCell ref="F17:H17"/>
    <mergeCell ref="F8:H8"/>
    <mergeCell ref="J9:L9"/>
    <mergeCell ref="J10:L10"/>
    <mergeCell ref="E14:G14"/>
    <mergeCell ref="B14:D14"/>
    <mergeCell ref="J14:L14"/>
    <mergeCell ref="F10:H10"/>
    <mergeCell ref="B13:P13"/>
    <mergeCell ref="B9:D9"/>
    <mergeCell ref="B8:D8"/>
    <mergeCell ref="B10:D10"/>
    <mergeCell ref="N9:P9"/>
    <mergeCell ref="F9:H9"/>
    <mergeCell ref="J8:L8"/>
    <mergeCell ref="B5:P5"/>
    <mergeCell ref="B7:P7"/>
    <mergeCell ref="B2:P2"/>
    <mergeCell ref="B3:P3"/>
    <mergeCell ref="N8:P8"/>
  </mergeCells>
  <hyperlinks>
    <hyperlink ref="N8" location="'Nobilus'!A1" display="▸  Nobilus" xr:uid="{393A20E1-FEDF-C845-B0F4-4AEDA3AED4E5}"/>
    <hyperlink ref="B9" location="'Natura Village 7'!A1" display="▸  Natura Village 7" xr:uid="{B2FA55EE-CF92-6E44-AE29-3C0FE9B66D77}"/>
    <hyperlink ref="B10" location="'The Nine'!A1" display="▸  The Nine" xr:uid="{C00FA2C5-9B3C-2842-BBB4-500B46099702}"/>
    <hyperlink ref="F9" location="'Rivus'!A1" display="▸  Rivus" xr:uid="{265A6D90-418F-A040-9A43-1051814B4352}"/>
    <hyperlink ref="J8" location="'Fairways'!A1" display="▸  Fairways" xr:uid="{EE3EB7BA-22E4-5B48-9F96-053CE8C32358}"/>
    <hyperlink ref="F8" location="'Estalagem das Cegonhas'!A1" display="▸  Estalagem das Cegonhas" xr:uid="{CD2042FA-DA3D-B44B-A3F6-1DC689D628D2}"/>
    <hyperlink ref="J9" location="'Springs - At the Els'!A1" display="▸  Springs - At the Els" xr:uid="{4872278D-2E50-B442-BFC6-0EA92CF45B21}"/>
    <hyperlink ref="J10" location="'Zestia'!A1" display="▸  Zestia" xr:uid="{A61B988C-787E-CA4E-82B9-9B47662BC9FD}"/>
    <hyperlink ref="F10" location="'The Uncommon'!A1" display="▸  The Uncommon" xr:uid="{367EB1A3-4A47-DD4A-9742-96A300E0CE5A}"/>
    <hyperlink ref="B8" location="'Botanica'!A1" display="▸  Botanica" xr:uid="{3BDE54F7-FAEF-E246-B15F-C52AF9EAB67B}"/>
    <hyperlink ref="E14" location="'Sutaya'!A1" display="▸  Sutaya" xr:uid="{284B6DD2-2B06-2047-8C0A-CA7BD429F2BA}"/>
    <hyperlink ref="B14" location="'Azuya'!A1" display="▸  Azuya" xr:uid="{450E98FD-B2EC-5445-9C8F-824D4892E04A}"/>
    <hyperlink ref="J14" location="'Palmares'!A1" display="▸  Palmares" xr:uid="{4646DB0E-3569-F946-A65F-8885B48BA892}"/>
    <hyperlink ref="N14" location="'Monte Rei'!A1" display="▸  Monte Rei" xr:uid="{39994A0E-2B0B-7345-BB46-A0B857F069CF}"/>
    <hyperlink ref="B17" location="'Aroeira Collections'!A1" display="▸  Aroeira Collections" xr:uid="{96E72979-A98E-9F49-8BAD-DC63648E05E7}"/>
    <hyperlink ref="B9:D9" location="'Natura Village'!Print_Area" display="▸  Natura Village" xr:uid="{E060A444-DBD0-4A5F-BB3E-7C8CAFDBFD1C}"/>
    <hyperlink ref="N8:P8" location="Nobilus!A1" display="▸  Nobilus" xr:uid="{010C6054-A812-4D52-AD00-3B62F45BBD09}"/>
    <hyperlink ref="B8:D8" location="Botanica!Print_Area" display="▸  Botanica" xr:uid="{A7D8B3C7-99A6-4A23-B4CE-B92B3893EF7E}"/>
    <hyperlink ref="F8:H8" location="'Est. Ceg.'!Print_Area" display="▸  Estalagem das Cegonhas" xr:uid="{9A7F8509-F312-456C-88D0-B45062F846A6}"/>
    <hyperlink ref="J8:L8" location="Fairways!Print_Area" display="▸  Fairways" xr:uid="{CD4E98F2-B572-483A-9183-B762683623CD}"/>
    <hyperlink ref="F9:H9" location="Rivus!Print_Area" display="▸  Rivus" xr:uid="{99D82CDE-E5C9-494A-BDF9-F810414AF5EA}"/>
    <hyperlink ref="N9" location="'Terracota'!A1" display="▸  Terracota" xr:uid="{B7C71315-A0AE-924F-973F-1F046A948D5D}"/>
    <hyperlink ref="N9:P9" location="Terracota!Print_Area" display="▸  Terracota" xr:uid="{9991EFCC-3CDF-4649-9A97-5A5CE061C07D}"/>
    <hyperlink ref="J9:L9" location="'Springs - At the Els'!Print_Area" display="▸  Springs - At the Els" xr:uid="{69A0D363-A17C-4888-A089-BC89AAB7DA4D}"/>
    <hyperlink ref="B10:D10" location="'The NIne'!Print_Area" display="▸  The Nine" xr:uid="{C39FD817-AB9F-469B-A377-B616E855024E}"/>
    <hyperlink ref="F10:H10" location="'The Uncommon'!Print_Area" display="▸  The Uncommon" xr:uid="{CA656E5C-4543-48FC-9947-21B573869D4C}"/>
    <hyperlink ref="J10:L10" location="Zestia!Print_Area" display="▸  Zestia" xr:uid="{7D7E8ECB-0937-4CA6-BAE6-F861DD74A8E0}"/>
    <hyperlink ref="B14:D14" location="Azuya!Print_Area" display="▸  Azuya" xr:uid="{C759E74F-4B64-4B58-A2A4-0FA1C42206CD}"/>
    <hyperlink ref="E14:G14" location="Sutaya!Print_Area" display="▸  Sutaya" xr:uid="{49D01A0E-B80A-46BC-ABB7-556FBF33351A}"/>
    <hyperlink ref="J14:L14" location="Palmares!Print_Area" display="▸  Palmares" xr:uid="{AAE09093-78B7-4010-81D1-C2C5FEFFE165}"/>
    <hyperlink ref="N14:P14" location="'Monte Rei'!Print_Area" display="▸  Monte Rei" xr:uid="{59DA02CE-51D0-431A-95E2-64FF739CDC0D}"/>
    <hyperlink ref="B17:D17" location="Aroeira!Print_Area" display="▸  Aroeira Collections" xr:uid="{92F03ACC-6308-4E67-8EBD-CD2A1D04D386}"/>
    <hyperlink ref="F17" location="'Vale Pisão Grand Park'!A1" display="▸  Vale Pisão Grand Park" xr:uid="{B80CB3FE-0BA6-8042-A7C5-37EDD99C2435}"/>
    <hyperlink ref="F17:H17" location="'Vale Pisão'!Print_Area" display="▸  Vale Pisão Grand Park" xr:uid="{315BF7D2-9908-4A41-B946-F3E430144B4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1E52B8-725A-7241-A1EC-ACBA291ADDE1}">
  <dimension ref="B1:AE36"/>
  <sheetViews>
    <sheetView showGridLines="0" topLeftCell="A8" zoomScale="56" zoomScaleNormal="63" workbookViewId="0">
      <selection activeCell="B35" sqref="B35"/>
    </sheetView>
  </sheetViews>
  <sheetFormatPr defaultColWidth="11.44140625" defaultRowHeight="14.4" outlineLevelCol="1" x14ac:dyDescent="0.3"/>
  <cols>
    <col min="2" max="2" width="33.88671875" bestFit="1" customWidth="1"/>
    <col min="3" max="3" width="23.33203125" bestFit="1" customWidth="1"/>
    <col min="4" max="4" width="26.6640625" bestFit="1" customWidth="1"/>
    <col min="5" max="5" width="19.6640625" customWidth="1"/>
    <col min="6" max="6" width="20" customWidth="1"/>
    <col min="7" max="7" width="99.6640625" bestFit="1" customWidth="1"/>
    <col min="8" max="8" width="18.33203125" bestFit="1" customWidth="1"/>
    <col min="9" max="9" width="28.33203125" bestFit="1" customWidth="1"/>
    <col min="10" max="10" width="17.88671875" customWidth="1"/>
    <col min="11" max="11" width="13.33203125" customWidth="1"/>
    <col min="12" max="12" width="13" customWidth="1"/>
    <col min="13" max="13" width="25.5546875" customWidth="1"/>
    <col min="14" max="14" width="18.109375" bestFit="1" customWidth="1"/>
    <col min="15" max="15" width="19.5546875" bestFit="1" customWidth="1"/>
    <col min="17" max="17" width="22.44140625" bestFit="1" customWidth="1" outlineLevel="1"/>
    <col min="18" max="18" width="8.44140625" customWidth="1" outlineLevel="1"/>
    <col min="19" max="19" width="7" customWidth="1" outlineLevel="1"/>
    <col min="20" max="20" width="10.6640625" customWidth="1" outlineLevel="1"/>
    <col min="21" max="21" width="19.5546875" customWidth="1" outlineLevel="1"/>
    <col min="22" max="22" width="9.44140625" bestFit="1" customWidth="1" outlineLevel="1"/>
    <col min="23" max="23" width="10.6640625"/>
    <col min="24" max="24" width="11" hidden="1" customWidth="1" outlineLevel="1"/>
    <col min="25" max="25" width="9.6640625" hidden="1" customWidth="1" outlineLevel="1"/>
    <col min="26" max="26" width="11.44140625" hidden="1" customWidth="1" outlineLevel="1"/>
    <col min="27" max="27" width="11.33203125" hidden="1" customWidth="1" outlineLevel="1"/>
    <col min="28" max="28" width="11.44140625" hidden="1" customWidth="1" outlineLevel="1"/>
    <col min="29" max="29" width="14.33203125" hidden="1" customWidth="1" outlineLevel="1"/>
    <col min="30" max="30" width="10.6640625" collapsed="1"/>
  </cols>
  <sheetData>
    <row r="1" spans="2:31" ht="7.95" customHeight="1" x14ac:dyDescent="0.3"/>
    <row r="2" spans="2:31" ht="25.8" x14ac:dyDescent="0.5">
      <c r="B2" s="6" t="s">
        <v>824</v>
      </c>
      <c r="C2" s="4"/>
      <c r="D2" s="4"/>
      <c r="E2" s="4"/>
      <c r="F2" s="4"/>
      <c r="G2" s="33"/>
      <c r="H2" s="34" t="s">
        <v>827</v>
      </c>
      <c r="I2" s="149" t="s">
        <v>819</v>
      </c>
      <c r="J2" s="150"/>
      <c r="K2" s="4"/>
      <c r="L2" s="151" t="str" cm="1">
        <f t="array" ref="L2">"Showing "&amp;SUMPRODUCT((($I$2="All regions")+($X$7:$X$23=$I$2)&gt;0)*(($I$4="All statuses")+($Y$7:$Y$23=$I$4)&gt;0))&amp;" of "&amp;COUNTA($B$7:$B$23)</f>
        <v>Showing 17 of 17</v>
      </c>
      <c r="M2" s="151"/>
      <c r="N2" s="151"/>
      <c r="O2" s="151"/>
      <c r="P2" s="4"/>
      <c r="Q2" s="63" t="s">
        <v>920</v>
      </c>
      <c r="R2" s="63" t="s">
        <v>555</v>
      </c>
      <c r="S2" s="55"/>
      <c r="T2" s="55"/>
      <c r="U2" s="55"/>
      <c r="V2" s="55"/>
      <c r="W2" s="55"/>
      <c r="X2" s="55"/>
      <c r="Y2" s="55"/>
      <c r="Z2" s="55"/>
      <c r="AA2" s="55"/>
      <c r="AB2" s="55"/>
      <c r="AC2" s="55"/>
      <c r="AD2" s="55"/>
      <c r="AE2" s="55"/>
    </row>
    <row r="3" spans="2:31" ht="25.8" x14ac:dyDescent="0.5">
      <c r="B3" s="6"/>
      <c r="C3" s="4"/>
      <c r="D3" s="4"/>
      <c r="E3" s="4"/>
      <c r="F3" s="4"/>
      <c r="G3" s="33"/>
      <c r="H3" s="34"/>
      <c r="I3" s="35"/>
      <c r="J3" s="35"/>
      <c r="K3" s="4"/>
      <c r="L3" s="8"/>
      <c r="M3" s="8"/>
      <c r="N3" s="8"/>
      <c r="O3" s="8"/>
      <c r="P3" s="4"/>
      <c r="Q3" s="55"/>
      <c r="R3" s="55"/>
      <c r="S3" s="55"/>
      <c r="T3" s="55"/>
      <c r="U3" s="55"/>
      <c r="V3" s="55"/>
      <c r="W3" s="55"/>
      <c r="X3" s="55"/>
      <c r="Y3" s="55"/>
      <c r="Z3" s="55"/>
      <c r="AA3" s="55"/>
      <c r="AB3" s="55"/>
      <c r="AC3" s="55"/>
      <c r="AD3" s="55"/>
      <c r="AE3" s="55"/>
    </row>
    <row r="4" spans="2:31" x14ac:dyDescent="0.3">
      <c r="B4" s="32" t="str">
        <f>COUNTA($B$7:$B$23)&amp;" developments  ·  one curation"</f>
        <v>17 developments  ·  one curation</v>
      </c>
      <c r="C4" s="4"/>
      <c r="D4" s="4"/>
      <c r="E4" s="4"/>
      <c r="F4" s="4"/>
      <c r="G4" s="33"/>
      <c r="H4" s="34" t="s">
        <v>828</v>
      </c>
      <c r="I4" s="149" t="s">
        <v>820</v>
      </c>
      <c r="J4" s="150"/>
      <c r="K4" s="4"/>
      <c r="L4" s="152" t="s">
        <v>825</v>
      </c>
      <c r="M4" s="152"/>
      <c r="N4" s="152"/>
      <c r="O4" s="152"/>
      <c r="P4" s="4"/>
      <c r="Q4" s="55" t="s">
        <v>783</v>
      </c>
      <c r="R4" s="61">
        <f>E34</f>
        <v>20</v>
      </c>
      <c r="S4" s="55"/>
      <c r="T4" s="55"/>
      <c r="U4" s="55"/>
      <c r="V4" s="55"/>
      <c r="W4" s="55"/>
      <c r="X4" s="55"/>
      <c r="Y4" s="55"/>
      <c r="Z4" s="55"/>
      <c r="AA4" s="55" t="s">
        <v>819</v>
      </c>
      <c r="AB4" s="55"/>
      <c r="AC4" s="55" t="s">
        <v>820</v>
      </c>
      <c r="AD4" s="55"/>
      <c r="AE4" s="55"/>
    </row>
    <row r="5" spans="2:31" x14ac:dyDescent="0.3">
      <c r="B5" s="9"/>
      <c r="C5" s="4"/>
      <c r="D5" s="4"/>
      <c r="E5" s="4"/>
      <c r="F5" s="4"/>
      <c r="G5" s="4"/>
      <c r="H5" s="7"/>
      <c r="I5" s="31"/>
      <c r="J5" s="31"/>
      <c r="K5" s="4"/>
      <c r="L5" s="10"/>
      <c r="M5" s="10"/>
      <c r="N5" s="10"/>
      <c r="O5" s="10"/>
      <c r="P5" s="4"/>
      <c r="Q5" s="55" t="s">
        <v>784</v>
      </c>
      <c r="R5" s="61">
        <f>G34</f>
        <v>0</v>
      </c>
      <c r="S5" s="55"/>
      <c r="T5" s="55"/>
      <c r="U5" s="55"/>
      <c r="V5" s="55"/>
      <c r="W5" s="55"/>
      <c r="X5" s="55"/>
      <c r="Y5" s="55"/>
      <c r="Z5" s="55"/>
      <c r="AA5" s="55"/>
      <c r="AB5" s="55"/>
      <c r="AC5" s="55"/>
      <c r="AD5" s="55"/>
      <c r="AE5" s="55"/>
    </row>
    <row r="6" spans="2:31" x14ac:dyDescent="0.3">
      <c r="B6" s="49" t="s">
        <v>0</v>
      </c>
      <c r="C6" s="49" t="s">
        <v>96</v>
      </c>
      <c r="D6" s="49" t="s">
        <v>1</v>
      </c>
      <c r="E6" s="49" t="s">
        <v>4</v>
      </c>
      <c r="F6" s="49" t="s">
        <v>782</v>
      </c>
      <c r="G6" s="49" t="s">
        <v>555</v>
      </c>
      <c r="H6" s="49" t="s">
        <v>783</v>
      </c>
      <c r="I6" s="49" t="s">
        <v>924</v>
      </c>
      <c r="J6" s="49" t="s">
        <v>925</v>
      </c>
      <c r="K6" s="49" t="s">
        <v>786</v>
      </c>
      <c r="L6" s="49" t="s">
        <v>787</v>
      </c>
      <c r="M6" s="49" t="s">
        <v>788</v>
      </c>
      <c r="N6" s="49" t="s">
        <v>789</v>
      </c>
      <c r="O6" s="49" t="s">
        <v>790</v>
      </c>
      <c r="P6" s="4"/>
      <c r="Q6" s="56" t="s">
        <v>785</v>
      </c>
      <c r="R6" s="61">
        <f>I34</f>
        <v>0</v>
      </c>
      <c r="S6" s="55"/>
      <c r="T6" s="55"/>
      <c r="U6" s="55"/>
      <c r="V6" s="55"/>
      <c r="W6" s="55"/>
      <c r="X6" s="57" t="s">
        <v>817</v>
      </c>
      <c r="Y6" s="57" t="s">
        <v>818</v>
      </c>
      <c r="Z6" s="55"/>
      <c r="AA6" s="55" t="s">
        <v>688</v>
      </c>
      <c r="AB6" s="55"/>
      <c r="AC6" s="55" t="s">
        <v>821</v>
      </c>
      <c r="AD6" s="55"/>
      <c r="AE6" s="55"/>
    </row>
    <row r="7" spans="2:31" x14ac:dyDescent="0.3">
      <c r="B7" s="12" t="s">
        <v>16</v>
      </c>
      <c r="C7" s="44" t="str">
        <f>IFERROR(TRIM(_xlfn.XLOOKUP($B7,DATABASE_Table[Development],DATABASE_Table[Selling Status],"—")),"—")</f>
        <v>DEED</v>
      </c>
      <c r="D7" s="44" t="str" cm="1">
        <f t="array" ref="D7">IFERROR(INDEX(_xlfn._xlws.FILTER(DATABASE_Table[Location],(DATABASE_Table[Development]=$B7)*(DATABASE_Table[Location]&lt;&gt;"")),1),IFERROR(_xlfn.XLOOKUP($B7,DATABASE_Table[Development],DATABASE_Table[Local],"—"),"—"))</f>
        <v>Vilamoura, Algarve</v>
      </c>
      <c r="E7" s="44" t="str" cm="1">
        <f t="array" ref="E7">IFERROR(INDEX(_xlfn._xlws.FILTER(DATABASE_Table[Typology],(DATABASE_Table[Development]=$B7)*(DATABASE_Table[Typology]&lt;&gt;"")),1),"—")</f>
        <v>V3</v>
      </c>
      <c r="F7" s="45" t="str" cm="1">
        <f t="array" ref="F7">IFERROR(INDEX(_xlfn._xlws.FILTER(DATABASE_Table[Delivery Expected],(DATABASE_Table[Development]=$B7)*(DATABASE_Table[Delivery Expected]&lt;&gt;"")),1),"—")</f>
        <v>—</v>
      </c>
      <c r="G7" s="40">
        <f>COUNTIF(DATABASE_Table[Development],$B7)</f>
        <v>38</v>
      </c>
      <c r="H7" s="40" cm="1">
        <f t="array" ref="H7">SUMPRODUCT((DATABASE_Table[Development]=$B7)*(TRIM(DATABASE_Table[Selling Status])="AVAILABLE"))</f>
        <v>8</v>
      </c>
      <c r="I7" s="40" cm="1">
        <f t="array" ref="I7">SUMPRODUCT((DATABASE_Table[Development]=$B7)*((TRIM(DATABASE_Table[Selling Status])="RESERVED")+(TRIM(DATABASE_Table[Selling Status])="PRE-RESERVED")))</f>
        <v>4</v>
      </c>
      <c r="J7" s="40" cm="1">
        <f t="array" ref="J7">SUMPRODUCT((DATABASE_Table[Development]=$B7)*(LEFT(TRIM(DATABASE_Table[Selling Status]),4)="PSPA"))</f>
        <v>3</v>
      </c>
      <c r="K7" s="41" cm="1">
        <f t="array" ref="K7">SUMPRODUCT((DATABASE_Table[Development]=$B7)*(TRIM(DATABASE_Table[Selling Status])="DEED"))</f>
        <v>23</v>
      </c>
      <c r="L7" s="40" cm="1">
        <f t="array" ref="L7">SUMPRODUCT((DATABASE_Table[Development]=$B7)*((TRIM(DATABASE_Table[Selling Status])="NOT FOR SALE")+(LEFT(TRIM(DATABASE_Table[Selling Status]),4)="UPON")))</f>
        <v>0</v>
      </c>
      <c r="M7" s="14">
        <f>IFERROR((I7+J7+K7)/(G7-L7),0)</f>
        <v>0.78947368421052633</v>
      </c>
      <c r="N7" s="42">
        <f>SUMIF(DATABASE_Table[Development],$B7,DATABASE_Table[Current Asking price( Total)])/1000000</f>
        <v>37.774500000000003</v>
      </c>
      <c r="O7" s="42" cm="1">
        <f t="array" ref="O7">SUMPRODUCT((DATABASE_Table[Development]=$B7)*(TRIM(DATABASE_Table[Selling Status])="DEED SIGNED")*DATABASE_Table[Sell price (RE Asset)])/1000000</f>
        <v>0</v>
      </c>
      <c r="P7" s="4"/>
      <c r="Q7" s="55" t="s">
        <v>786</v>
      </c>
      <c r="R7" s="61">
        <f>K34</f>
        <v>0</v>
      </c>
      <c r="S7" s="55"/>
      <c r="T7" s="55"/>
      <c r="U7" s="55"/>
      <c r="V7" s="55"/>
      <c r="W7" s="55"/>
      <c r="X7" s="55" t="str" cm="1">
        <f t="array" ref="X7">IFERROR(_xlfn.SWITCH(_xlfn.XLOOKUP($B7,DATABASE_Table[Development],DATABASE_Table[Local],"Center"),"Vilamoura","Vilamoura","Algarve","Algarve","North","North","Center"),"Center")</f>
        <v>Vilamoura</v>
      </c>
      <c r="Y7" s="55" t="str" cm="1">
        <f t="array" ref="Y7">_xlfn.IFS(G7=0,"—",M7&gt;=0.999,"Sold Out",(I7+J7+K7)=0,"Coming Soon",TRUE,"Active")</f>
        <v>Active</v>
      </c>
      <c r="Z7" s="55"/>
      <c r="AA7" s="55" t="s">
        <v>764</v>
      </c>
      <c r="AB7" s="55"/>
      <c r="AC7" s="55" t="s">
        <v>822</v>
      </c>
      <c r="AD7" s="55"/>
      <c r="AE7" s="55"/>
    </row>
    <row r="8" spans="2:31" x14ac:dyDescent="0.3">
      <c r="B8" s="11" t="s">
        <v>22</v>
      </c>
      <c r="C8" s="46" t="str">
        <f>IFERROR(TRIM(_xlfn.XLOOKUP($B8,DATABASE_Table[Development],DATABASE_Table[Selling Status],"—")),"—")</f>
        <v>DEED</v>
      </c>
      <c r="D8" s="46" t="str" cm="1">
        <f t="array" ref="D8">IFERROR(INDEX(_xlfn._xlws.FILTER(DATABASE_Table[Location],(DATABASE_Table[Development]=$B8)*(DATABASE_Table[Location]&lt;&gt;"")),1),IFERROR(_xlfn.XLOOKUP($B8,DATABASE_Table[Development],DATABASE_Table[Local],"—"),"—"))</f>
        <v>Vilamoura, Algarve</v>
      </c>
      <c r="E8" s="46" t="str" cm="1">
        <f t="array" ref="E8">IFERROR(INDEX(_xlfn._xlws.FILTER(DATABASE_Table[Typology],(DATABASE_Table[Development]=$B8)*(DATABASE_Table[Typology]&lt;&gt;"")),1),"—")</f>
        <v>T3</v>
      </c>
      <c r="F8" s="47" t="str" cm="1">
        <f t="array" ref="F8">IFERROR(INDEX(_xlfn._xlws.FILTER(DATABASE_Table[Delivery Expected],(DATABASE_Table[Development]=$B8)*(DATABASE_Table[Delivery Expected]&lt;&gt;"")),1),"—")</f>
        <v>—</v>
      </c>
      <c r="G8" s="41">
        <f>COUNTIF(DATABASE_Table[Development],$B8)</f>
        <v>48</v>
      </c>
      <c r="H8" s="41" cm="1">
        <f t="array" ref="H8">SUMPRODUCT((DATABASE_Table[Development]=$B8)*(TRIM(DATABASE_Table[Selling Status])="AVAILABLE"))</f>
        <v>0</v>
      </c>
      <c r="I8" s="41" cm="1">
        <f t="array" ref="I8">SUMPRODUCT((DATABASE_Table[Development]=$B8)*((TRIM(DATABASE_Table[Selling Status])="RESERVED")+(TRIM(DATABASE_Table[Selling Status])="PRE-RESERVED")))</f>
        <v>0</v>
      </c>
      <c r="J8" s="41" cm="1">
        <f t="array" ref="J8">SUMPRODUCT((DATABASE_Table[Development]=$B8)*(LEFT(TRIM(DATABASE_Table[Selling Status]),4)="PSPA"))</f>
        <v>0</v>
      </c>
      <c r="K8" s="41" cm="1">
        <f t="array" ref="K8">SUMPRODUCT((DATABASE_Table[Development]=$B8)*(TRIM(DATABASE_Table[Selling Status])="DEED"))</f>
        <v>48</v>
      </c>
      <c r="L8" s="41" cm="1">
        <f t="array" ref="L8">SUMPRODUCT((DATABASE_Table[Development]=$B8)*((TRIM(DATABASE_Table[Selling Status])="NOT FOR SALE")+(LEFT(TRIM(DATABASE_Table[Selling Status]),4)="UPON")))</f>
        <v>0</v>
      </c>
      <c r="M8" s="13">
        <f t="shared" ref="M8:M24" si="0">IFERROR((I8+J8+K8)/(G8-L8),0)</f>
        <v>1</v>
      </c>
      <c r="N8" s="43">
        <f>SUMIF(DATABASE_Table[Development],$B8,DATABASE_Table[Current Asking price( Total)])/1000000</f>
        <v>32.79</v>
      </c>
      <c r="O8" s="43" cm="1">
        <f t="array" ref="O8">SUMPRODUCT((DATABASE_Table[Development]=$B8)*(TRIM(DATABASE_Table[Selling Status])="DEED SIGNED")*DATABASE_Table[Sell price (RE Asset)])/1000000</f>
        <v>0</v>
      </c>
      <c r="P8" s="4"/>
      <c r="Q8" s="55" t="s">
        <v>787</v>
      </c>
      <c r="R8" s="61">
        <f>_xlfn.XLOOKUP($E$31,$B$7:$B$23,$L$7:$L$23,0)</f>
        <v>25</v>
      </c>
      <c r="S8" s="55"/>
      <c r="T8" s="55"/>
      <c r="U8" s="55"/>
      <c r="V8" s="55"/>
      <c r="W8" s="55"/>
      <c r="X8" s="55" t="str" cm="1">
        <f t="array" ref="X8">IFERROR(_xlfn.SWITCH(_xlfn.XLOOKUP($B8,DATABASE_Table[Development],DATABASE_Table[Local],"Center"),"Vilamoura","Vilamoura","Algarve","Algarve","North","North","Center"),"Center")</f>
        <v>Vilamoura</v>
      </c>
      <c r="Y8" s="55" t="str" cm="1">
        <f t="array" ref="Y8">_xlfn.IFS(G8=0,"—",M8&gt;=0.999,"Sold Out",(I8+J8+K8)=0,"Coming Soon",TRUE,"Active")</f>
        <v>Sold Out</v>
      </c>
      <c r="Z8" s="55"/>
      <c r="AA8" s="55" t="s">
        <v>780</v>
      </c>
      <c r="AB8" s="55"/>
      <c r="AC8" s="55" t="s">
        <v>823</v>
      </c>
      <c r="AD8" s="55"/>
      <c r="AE8" s="55"/>
    </row>
    <row r="9" spans="2:31" x14ac:dyDescent="0.3">
      <c r="B9" s="15" t="s">
        <v>685</v>
      </c>
      <c r="C9" s="46" t="str">
        <f>IFERROR(TRIM(_xlfn.XLOOKUP($B9,DATABASE_Table[Development],DATABASE_Table[Selling Status],"—")),"—")</f>
        <v>DEED</v>
      </c>
      <c r="D9" s="46" t="str" cm="1">
        <f t="array" ref="D9">IFERROR(INDEX(_xlfn._xlws.FILTER(DATABASE_Table[Location],(DATABASE_Table[Development]=$B9)*(DATABASE_Table[Location]&lt;&gt;"")),1),IFERROR(_xlfn.XLOOKUP($B9,DATABASE_Table[Development],DATABASE_Table[Local],"—"),"—"))</f>
        <v>Vilamoura</v>
      </c>
      <c r="E9" s="46" t="str" cm="1">
        <f t="array" ref="E9">IFERROR(INDEX(_xlfn._xlws.FILTER(DATABASE_Table[Typology],(DATABASE_Table[Development]=$B9)*(DATABASE_Table[Typology]&lt;&gt;"")),1),"—")</f>
        <v>Plot</v>
      </c>
      <c r="F9" s="47" t="str" cm="1">
        <f t="array" ref="F9">IFERROR(INDEX(_xlfn._xlws.FILTER(DATABASE_Table[Delivery Expected],(DATABASE_Table[Development]=$B9)*(DATABASE_Table[Delivery Expected]&lt;&gt;"")),1),"—")</f>
        <v>—</v>
      </c>
      <c r="G9" s="41">
        <f>COUNTIF(DATABASE_Table[Development],$B9)</f>
        <v>13</v>
      </c>
      <c r="H9" s="41" cm="1">
        <f t="array" ref="H9">SUMPRODUCT((DATABASE_Table[Development]=$B9)*(TRIM(DATABASE_Table[Selling Status])="AVAILABLE"))</f>
        <v>0</v>
      </c>
      <c r="I9" s="41" cm="1">
        <f t="array" ref="I9">SUMPRODUCT((DATABASE_Table[Development]=$B9)*((TRIM(DATABASE_Table[Selling Status])="RESERVED")+(TRIM(DATABASE_Table[Selling Status])="PRE-RESERVED")))</f>
        <v>1</v>
      </c>
      <c r="J9" s="41" cm="1">
        <f t="array" ref="J9">SUMPRODUCT((DATABASE_Table[Development]=$B9)*(LEFT(TRIM(DATABASE_Table[Selling Status]),4)="PSPA"))</f>
        <v>1</v>
      </c>
      <c r="K9" s="41" cm="1">
        <f t="array" ref="K9">SUMPRODUCT((DATABASE_Table[Development]=$B9)*(TRIM(DATABASE_Table[Selling Status])="DEED"))</f>
        <v>11</v>
      </c>
      <c r="L9" s="41" cm="1">
        <f t="array" ref="L9">SUMPRODUCT((DATABASE_Table[Development]=$B9)*((TRIM(DATABASE_Table[Selling Status])="NOT FOR SALE")+(LEFT(TRIM(DATABASE_Table[Selling Status]),4)="UPON")))</f>
        <v>0</v>
      </c>
      <c r="M9" s="13">
        <f t="shared" si="0"/>
        <v>1</v>
      </c>
      <c r="N9" s="43">
        <f>SUMIF(DATABASE_Table[Development],$B9,DATABASE_Table[Current Asking price( Total)])/1000000</f>
        <v>8.6649999999999991</v>
      </c>
      <c r="O9" s="43" cm="1">
        <f t="array" ref="O9">SUMPRODUCT((DATABASE_Table[Development]=$B9)*(TRIM(DATABASE_Table[Selling Status])="DEED SIGNED")*DATABASE_Table[Sell price (RE Asset)])/1000000</f>
        <v>0</v>
      </c>
      <c r="P9" s="4"/>
      <c r="Q9" s="55"/>
      <c r="R9" s="55"/>
      <c r="S9" s="55"/>
      <c r="T9" s="55"/>
      <c r="U9" s="55"/>
      <c r="V9" s="55"/>
      <c r="W9" s="55"/>
      <c r="X9" s="55" t="str" cm="1">
        <f t="array" ref="X9">IFERROR(_xlfn.SWITCH(_xlfn.XLOOKUP($B9,DATABASE_Table[Development],DATABASE_Table[Local],"Center"),"Vilamoura","Vilamoura","Algarve","Algarve","North","North","Center"),"Center")</f>
        <v>Vilamoura</v>
      </c>
      <c r="Y9" s="55" t="str" cm="1">
        <f t="array" ref="Y9">_xlfn.IFS(G9=0,"—",M9&gt;=0.999,"Sold Out",(I9+J9+K9)=0,"Coming Soon",TRUE,"Active")</f>
        <v>Sold Out</v>
      </c>
      <c r="Z9" s="55"/>
      <c r="AA9" s="55" t="s">
        <v>781</v>
      </c>
      <c r="AB9" s="55"/>
      <c r="AC9" s="55"/>
      <c r="AD9" s="55"/>
      <c r="AE9" s="55"/>
    </row>
    <row r="10" spans="2:31" x14ac:dyDescent="0.3">
      <c r="B10" s="11" t="s">
        <v>27</v>
      </c>
      <c r="C10" s="46" t="str">
        <f>IFERROR(TRIM(_xlfn.XLOOKUP($B10,DATABASE_Table[Development],DATABASE_Table[Selling Status],"—")),"—")</f>
        <v>PSPA</v>
      </c>
      <c r="D10" s="46" t="str" cm="1">
        <f t="array" ref="D10">IFERROR(INDEX(_xlfn._xlws.FILTER(DATABASE_Table[Location],(DATABASE_Table[Development]=$B10)*(DATABASE_Table[Location]&lt;&gt;"")),1),IFERROR(_xlfn.XLOOKUP($B10,DATABASE_Table[Development],DATABASE_Table[Local],"—"),"—"))</f>
        <v>Vilamoura, Algarve</v>
      </c>
      <c r="E10" s="46" t="str" cm="1">
        <f t="array" ref="E10">IFERROR(INDEX(_xlfn._xlws.FILTER(DATABASE_Table[Typology],(DATABASE_Table[Development]=$B10)*(DATABASE_Table[Typology]&lt;&gt;"")),1),"—")</f>
        <v>T2</v>
      </c>
      <c r="F10" s="47" t="str" cm="1">
        <f t="array" ref="F10">IFERROR(INDEX(_xlfn._xlws.FILTER(DATABASE_Table[Delivery Expected],(DATABASE_Table[Development]=$B10)*(DATABASE_Table[Delivery Expected]&lt;&gt;"")),1),"—")</f>
        <v>—</v>
      </c>
      <c r="G10" s="41">
        <f>COUNTIF(DATABASE_Table[Development],$B10)</f>
        <v>87</v>
      </c>
      <c r="H10" s="41" cm="1">
        <f t="array" ref="H10">SUMPRODUCT((DATABASE_Table[Development]=$B10)*(TRIM(DATABASE_Table[Selling Status])="AVAILABLE"))</f>
        <v>12</v>
      </c>
      <c r="I10" s="41" cm="1">
        <f t="array" ref="I10">SUMPRODUCT((DATABASE_Table[Development]=$B10)*((TRIM(DATABASE_Table[Selling Status])="RESERVED")+(TRIM(DATABASE_Table[Selling Status])="PRE-RESERVED")))</f>
        <v>3</v>
      </c>
      <c r="J10" s="41" cm="1">
        <f t="array" ref="J10">SUMPRODUCT((DATABASE_Table[Development]=$B10)*(LEFT(TRIM(DATABASE_Table[Selling Status]),4)="PSPA"))</f>
        <v>72</v>
      </c>
      <c r="K10" s="41" cm="1">
        <f t="array" ref="K10">SUMPRODUCT((DATABASE_Table[Development]=$B10)*(TRIM(DATABASE_Table[Selling Status])="DEED"))</f>
        <v>0</v>
      </c>
      <c r="L10" s="41" cm="1">
        <f t="array" ref="L10">SUMPRODUCT((DATABASE_Table[Development]=$B10)*((TRIM(DATABASE_Table[Selling Status])="NOT FOR SALE")+(LEFT(TRIM(DATABASE_Table[Selling Status]),4)="UPON")))</f>
        <v>0</v>
      </c>
      <c r="M10" s="13">
        <f t="shared" si="0"/>
        <v>0.86206896551724133</v>
      </c>
      <c r="N10" s="43">
        <f>SUMIF(DATABASE_Table[Development],$B10,DATABASE_Table[Current Asking price( Total)])/1000000</f>
        <v>52.351849999999999</v>
      </c>
      <c r="O10" s="43" cm="1">
        <f t="array" ref="O10">SUMPRODUCT((DATABASE_Table[Development]=$B10)*(TRIM(DATABASE_Table[Selling Status])="DEED SIGNED")*DATABASE_Table[Sell price (RE Asset)])/1000000</f>
        <v>0</v>
      </c>
      <c r="P10" s="4"/>
      <c r="Q10" s="55"/>
      <c r="R10" s="55"/>
      <c r="S10" s="55"/>
      <c r="T10" s="55"/>
      <c r="U10" s="55"/>
      <c r="V10" s="55"/>
      <c r="W10" s="55"/>
      <c r="X10" s="55" t="str" cm="1">
        <f t="array" ref="X10">IFERROR(_xlfn.SWITCH(_xlfn.XLOOKUP($B10,DATABASE_Table[Development],DATABASE_Table[Local],"Center"),"Vilamoura","Vilamoura","Algarve","Algarve","North","North","Center"),"Center")</f>
        <v>Vilamoura</v>
      </c>
      <c r="Y10" s="55" t="str" cm="1">
        <f t="array" ref="Y10">_xlfn.IFS(G10=0,"—",M10&gt;=0.999,"Sold Out",(I10+J10+K10)=0,"Coming Soon",TRUE,"Active")</f>
        <v>Active</v>
      </c>
      <c r="Z10" s="55"/>
      <c r="AA10" s="55"/>
      <c r="AB10" s="55"/>
      <c r="AC10" s="55"/>
      <c r="AD10" s="55"/>
      <c r="AE10" s="55"/>
    </row>
    <row r="11" spans="2:31" x14ac:dyDescent="0.3">
      <c r="B11" s="11" t="s">
        <v>8</v>
      </c>
      <c r="C11" s="46" t="str">
        <f>IFERROR(TRIM(_xlfn.XLOOKUP($B11,DATABASE_Table[Development],DATABASE_Table[Selling Status],"—")),"—")</f>
        <v>PSPA</v>
      </c>
      <c r="D11" s="46" t="str" cm="1">
        <f t="array" ref="D11">IFERROR(INDEX(_xlfn._xlws.FILTER(DATABASE_Table[Location],(DATABASE_Table[Development]=$B11)*(DATABASE_Table[Location]&lt;&gt;"")),1),IFERROR(_xlfn.XLOOKUP($B11,DATABASE_Table[Development],DATABASE_Table[Local],"—"),"—"))</f>
        <v>Vilamoura, Algarve</v>
      </c>
      <c r="E11" s="46" t="str" cm="1">
        <f t="array" ref="E11">IFERROR(INDEX(_xlfn._xlws.FILTER(DATABASE_Table[Typology],(DATABASE_Table[Development]=$B11)*(DATABASE_Table[Typology]&lt;&gt;"")),1),"—")</f>
        <v>T2</v>
      </c>
      <c r="F11" s="47" t="str" cm="1">
        <f t="array" ref="F11">IFERROR(INDEX(_xlfn._xlws.FILTER(DATABASE_Table[Delivery Expected],(DATABASE_Table[Development]=$B11)*(DATABASE_Table[Delivery Expected]&lt;&gt;"")),1),"—")</f>
        <v>—</v>
      </c>
      <c r="G11" s="41">
        <f>COUNTIF(DATABASE_Table[Development],$B11)</f>
        <v>47</v>
      </c>
      <c r="H11" s="41" cm="1">
        <f t="array" ref="H11">SUMPRODUCT((DATABASE_Table[Development]=$B11)*(TRIM(DATABASE_Table[Selling Status])="AVAILABLE"))</f>
        <v>33</v>
      </c>
      <c r="I11" s="41" cm="1">
        <f t="array" ref="I11">SUMPRODUCT((DATABASE_Table[Development]=$B11)*((TRIM(DATABASE_Table[Selling Status])="RESERVED")+(TRIM(DATABASE_Table[Selling Status])="PRE-RESERVED")))</f>
        <v>0</v>
      </c>
      <c r="J11" s="41" cm="1">
        <f t="array" ref="J11">SUMPRODUCT((DATABASE_Table[Development]=$B11)*(LEFT(TRIM(DATABASE_Table[Selling Status]),4)="PSPA"))</f>
        <v>14</v>
      </c>
      <c r="K11" s="41" cm="1">
        <f t="array" ref="K11">SUMPRODUCT((DATABASE_Table[Development]=$B11)*(TRIM(DATABASE_Table[Selling Status])="DEED"))</f>
        <v>0</v>
      </c>
      <c r="L11" s="41" cm="1">
        <f t="array" ref="L11">SUMPRODUCT((DATABASE_Table[Development]=$B11)*((TRIM(DATABASE_Table[Selling Status])="NOT FOR SALE")+(LEFT(TRIM(DATABASE_Table[Selling Status]),4)="UPON")))</f>
        <v>0</v>
      </c>
      <c r="M11" s="13">
        <f t="shared" si="0"/>
        <v>0.2978723404255319</v>
      </c>
      <c r="N11" s="43">
        <f>SUMIF(DATABASE_Table[Development],$B11,DATABASE_Table[Current Asking price( Total)])/1000000</f>
        <v>45.426499999999997</v>
      </c>
      <c r="O11" s="43" cm="1">
        <f t="array" ref="O11">SUMPRODUCT((DATABASE_Table[Development]=$B11)*(TRIM(DATABASE_Table[Selling Status])="DEED SIGNED")*DATABASE_Table[Sell price (RE Asset)])/1000000</f>
        <v>0</v>
      </c>
      <c r="P11" s="4"/>
      <c r="Q11" s="63" t="s">
        <v>921</v>
      </c>
      <c r="R11" s="63" t="s">
        <v>788</v>
      </c>
      <c r="S11" s="55"/>
      <c r="T11" s="55"/>
      <c r="U11" s="63" t="s">
        <v>921</v>
      </c>
      <c r="V11" s="63" t="s">
        <v>814</v>
      </c>
      <c r="W11" s="55"/>
      <c r="X11" s="55" t="str" cm="1">
        <f t="array" ref="X11">IFERROR(_xlfn.SWITCH(_xlfn.XLOOKUP($B11,DATABASE_Table[Development],DATABASE_Table[Local],"Center"),"Vilamoura","Vilamoura","Algarve","Algarve","North","North","Center"),"Center")</f>
        <v>Vilamoura</v>
      </c>
      <c r="Y11" s="55" t="str" cm="1">
        <f t="array" ref="Y11">_xlfn.IFS(G11=0,"—",M11&gt;=0.999,"Sold Out",(I11+J11+K11)=0,"Coming Soon",TRUE,"Active")</f>
        <v>Active</v>
      </c>
      <c r="Z11" s="55"/>
      <c r="AA11" s="55"/>
      <c r="AB11" s="55"/>
      <c r="AC11" s="55"/>
      <c r="AD11" s="55"/>
      <c r="AE11" s="55"/>
    </row>
    <row r="12" spans="2:31" x14ac:dyDescent="0.3">
      <c r="B12" s="11" t="s">
        <v>42</v>
      </c>
      <c r="C12" s="46" t="str">
        <f>IFERROR(TRIM(_xlfn.XLOOKUP($B12,DATABASE_Table[Development],DATABASE_Table[Selling Status],"—")),"—")</f>
        <v>PSPA</v>
      </c>
      <c r="D12" s="46" t="str" cm="1">
        <f t="array" ref="D12">IFERROR(INDEX(_xlfn._xlws.FILTER(DATABASE_Table[Location],(DATABASE_Table[Development]=$B12)*(DATABASE_Table[Location]&lt;&gt;"")),1),IFERROR(_xlfn.XLOOKUP($B12,DATABASE_Table[Development],DATABASE_Table[Local],"—"),"—"))</f>
        <v>Vilamoura, Algarve</v>
      </c>
      <c r="E12" s="46" t="str" cm="1">
        <f t="array" ref="E12">IFERROR(INDEX(_xlfn._xlws.FILTER(DATABASE_Table[Typology],(DATABASE_Table[Development]=$B12)*(DATABASE_Table[Typology]&lt;&gt;"")),1),"—")</f>
        <v>T1</v>
      </c>
      <c r="F12" s="47" t="str" cm="1">
        <f t="array" ref="F12">IFERROR(INDEX(_xlfn._xlws.FILTER(DATABASE_Table[Delivery Expected],(DATABASE_Table[Development]=$B12)*(DATABASE_Table[Delivery Expected]&lt;&gt;"")),1),"—")</f>
        <v>—</v>
      </c>
      <c r="G12" s="41">
        <f>COUNTIF(DATABASE_Table[Development],$B12)</f>
        <v>62</v>
      </c>
      <c r="H12" s="41" cm="1">
        <f t="array" ref="H12">SUMPRODUCT((DATABASE_Table[Development]=$B12)*(TRIM(DATABASE_Table[Selling Status])="AVAILABLE"))</f>
        <v>55</v>
      </c>
      <c r="I12" s="41" cm="1">
        <f t="array" ref="I12">SUMPRODUCT((DATABASE_Table[Development]=$B12)*((TRIM(DATABASE_Table[Selling Status])="RESERVED")+(TRIM(DATABASE_Table[Selling Status])="PRE-RESERVED")))</f>
        <v>0</v>
      </c>
      <c r="J12" s="41" cm="1">
        <f t="array" ref="J12">SUMPRODUCT((DATABASE_Table[Development]=$B12)*(LEFT(TRIM(DATABASE_Table[Selling Status]),4)="PSPA"))</f>
        <v>7</v>
      </c>
      <c r="K12" s="41" cm="1">
        <f t="array" ref="K12">SUMPRODUCT((DATABASE_Table[Development]=$B12)*(TRIM(DATABASE_Table[Selling Status])="DEED"))</f>
        <v>0</v>
      </c>
      <c r="L12" s="41" cm="1">
        <f t="array" ref="L12">SUMPRODUCT((DATABASE_Table[Development]=$B12)*((TRIM(DATABASE_Table[Selling Status])="NOT FOR SALE")+(LEFT(TRIM(DATABASE_Table[Selling Status]),4)="UPON")))</f>
        <v>0</v>
      </c>
      <c r="M12" s="13">
        <f t="shared" si="0"/>
        <v>0.11290322580645161</v>
      </c>
      <c r="N12" s="43">
        <f>SUMIF(DATABASE_Table[Development],$B12,DATABASE_Table[Current Asking price( Total)])/1000000</f>
        <v>54.5</v>
      </c>
      <c r="O12" s="43" cm="1">
        <f t="array" ref="O12">SUMPRODUCT((DATABASE_Table[Development]=$B12)*(TRIM(DATABASE_Table[Selling Status])="DEED SIGNED")*DATABASE_Table[Sell price (RE Asset)])/1000000</f>
        <v>0</v>
      </c>
      <c r="P12" s="4"/>
      <c r="Q12" s="55" t="str">
        <f>$E$31</f>
        <v>Vale Pisão Grand Park</v>
      </c>
      <c r="R12" s="58">
        <f>M34</f>
        <v>0</v>
      </c>
      <c r="S12" s="59"/>
      <c r="T12" s="55"/>
      <c r="U12" s="65" t="str">
        <f>$E$31</f>
        <v>Vale Pisão Grand Park</v>
      </c>
      <c r="V12" s="64">
        <f>N34</f>
        <v>37.42</v>
      </c>
      <c r="W12" s="55"/>
      <c r="X12" s="55" t="str" cm="1">
        <f t="array" ref="X12">IFERROR(_xlfn.SWITCH(_xlfn.XLOOKUP($B12,DATABASE_Table[Development],DATABASE_Table[Local],"Center"),"Vilamoura","Vilamoura","Algarve","Algarve","North","North","Center"),"Center")</f>
        <v>Vilamoura</v>
      </c>
      <c r="Y12" s="55" t="str" cm="1">
        <f t="array" ref="Y12">_xlfn.IFS(G12=0,"—",M12&gt;=0.999,"Sold Out",(I12+J12+K12)=0,"Coming Soon",TRUE,"Active")</f>
        <v>Active</v>
      </c>
      <c r="Z12" s="55"/>
      <c r="AA12" s="55"/>
      <c r="AB12" s="55"/>
      <c r="AC12" s="55"/>
      <c r="AD12" s="55"/>
      <c r="AE12" s="55"/>
    </row>
    <row r="13" spans="2:31" x14ac:dyDescent="0.3">
      <c r="B13" s="15" t="s">
        <v>686</v>
      </c>
      <c r="C13" s="46" t="str">
        <f>IFERROR(TRIM(_xlfn.XLOOKUP($B13,DATABASE_Table[Development],DATABASE_Table[Selling Status],"—")),"—")</f>
        <v>DEED</v>
      </c>
      <c r="D13" s="46" t="str" cm="1">
        <f t="array" ref="D13">IFERROR(INDEX(_xlfn._xlws.FILTER(DATABASE_Table[Location],(DATABASE_Table[Development]=$B13)*(DATABASE_Table[Location]&lt;&gt;"")),1),IFERROR(_xlfn.XLOOKUP($B13,DATABASE_Table[Development],DATABASE_Table[Local],"—"),"—"))</f>
        <v>Vilamoura</v>
      </c>
      <c r="E13" s="46" t="str" cm="1">
        <f t="array" ref="E13">IFERROR(INDEX(_xlfn._xlws.FILTER(DATABASE_Table[Typology],(DATABASE_Table[Development]=$B13)*(DATABASE_Table[Typology]&lt;&gt;"")),1),"—")</f>
        <v>V2</v>
      </c>
      <c r="F13" s="47" t="str" cm="1">
        <f t="array" ref="F13">IFERROR(INDEX(_xlfn._xlws.FILTER(DATABASE_Table[Delivery Expected],(DATABASE_Table[Development]=$B13)*(DATABASE_Table[Delivery Expected]&lt;&gt;"")),1),"—")</f>
        <v>—</v>
      </c>
      <c r="G13" s="41">
        <f>COUNTIF(DATABASE_Table[Development],$B13)</f>
        <v>40</v>
      </c>
      <c r="H13" s="41" cm="1">
        <f t="array" ref="H13">SUMPRODUCT((DATABASE_Table[Development]=$B13)*(TRIM(DATABASE_Table[Selling Status])="AVAILABLE"))</f>
        <v>0</v>
      </c>
      <c r="I13" s="41" cm="1">
        <f t="array" ref="I13">SUMPRODUCT((DATABASE_Table[Development]=$B13)*((TRIM(DATABASE_Table[Selling Status])="RESERVED")+(TRIM(DATABASE_Table[Selling Status])="PRE-RESERVED")))</f>
        <v>0</v>
      </c>
      <c r="J13" s="41" cm="1">
        <f t="array" ref="J13">SUMPRODUCT((DATABASE_Table[Development]=$B13)*(LEFT(TRIM(DATABASE_Table[Selling Status]),4)="PSPA"))</f>
        <v>0</v>
      </c>
      <c r="K13" s="41" cm="1">
        <f t="array" ref="K13">SUMPRODUCT((DATABASE_Table[Development]=$B13)*(TRIM(DATABASE_Table[Selling Status])="DEED"))</f>
        <v>40</v>
      </c>
      <c r="L13" s="41" cm="1">
        <f t="array" ref="L13">SUMPRODUCT((DATABASE_Table[Development]=$B13)*((TRIM(DATABASE_Table[Selling Status])="NOT FOR SALE")+(LEFT(TRIM(DATABASE_Table[Selling Status]),4)="UPON")))</f>
        <v>0</v>
      </c>
      <c r="M13" s="13">
        <f t="shared" si="0"/>
        <v>1</v>
      </c>
      <c r="N13" s="43">
        <f>SUMIF(DATABASE_Table[Development],$B13,DATABASE_Table[Current Asking price( Total)])/1000000</f>
        <v>43.05197000018299</v>
      </c>
      <c r="O13" s="43" cm="1">
        <f t="array" ref="O13">SUMPRODUCT((DATABASE_Table[Development]=$B13)*(TRIM(DATABASE_Table[Selling Status])="DEED SIGNED")*DATABASE_Table[Sell price (RE Asset)])/1000000</f>
        <v>0</v>
      </c>
      <c r="P13" s="4"/>
      <c r="Q13" s="55" t="str">
        <f>_xlfn.XLOOKUP($E$31,$B$7:$B$23,$X$7:$X$23)&amp;" Avg"</f>
        <v>North Avg</v>
      </c>
      <c r="R13" s="58">
        <f>IFERROR(AVERAGEIF($X$7:$X$23,_xlfn.XLOOKUP($E$31,$B$7:$B$23,$X$7:$X$23),$M$7:$M$23),0)</f>
        <v>0</v>
      </c>
      <c r="S13" s="59"/>
      <c r="T13" s="55"/>
      <c r="U13" s="55" t="str">
        <f>_xlfn.XLOOKUP($E$31,$B$7:$B$23,$X$7:$X$23)&amp;" Avg"</f>
        <v>North Avg</v>
      </c>
      <c r="V13" s="66">
        <f>IFERROR(AVERAGEIF($X$7:$X$23,_xlfn.XLOOKUP($E$31,$B$7:$B$23,$X$7:$X$23),$N$7:$N$23),0)</f>
        <v>37.42</v>
      </c>
      <c r="W13" s="55"/>
      <c r="X13" s="55" t="str" cm="1">
        <f t="array" ref="X13">IFERROR(_xlfn.SWITCH(_xlfn.XLOOKUP($B13,DATABASE_Table[Development],DATABASE_Table[Local],"Center"),"Vilamoura","Vilamoura","Algarve","Algarve","North","North","Center"),"Center")</f>
        <v>Vilamoura</v>
      </c>
      <c r="Y13" s="55" t="str" cm="1">
        <f t="array" ref="Y13">_xlfn.IFS(G13=0,"—",M13&gt;=0.999,"Sold Out",(I13+J13+K13)=0,"Coming Soon",TRUE,"Active")</f>
        <v>Sold Out</v>
      </c>
      <c r="Z13" s="55"/>
      <c r="AA13" s="55"/>
      <c r="AB13" s="55"/>
      <c r="AC13" s="55"/>
      <c r="AD13" s="55"/>
      <c r="AE13" s="55"/>
    </row>
    <row r="14" spans="2:31" x14ac:dyDescent="0.3">
      <c r="B14" s="11" t="s">
        <v>37</v>
      </c>
      <c r="C14" s="46" t="str">
        <f>IFERROR(TRIM(_xlfn.XLOOKUP($B14,DATABASE_Table[Development],DATABASE_Table[Selling Status],"—")),"—")</f>
        <v>PRE-RESERVED</v>
      </c>
      <c r="D14" s="46" t="str" cm="1">
        <f t="array" ref="D14">IFERROR(INDEX(_xlfn._xlws.FILTER(DATABASE_Table[Location],(DATABASE_Table[Development]=$B14)*(DATABASE_Table[Location]&lt;&gt;"")),1),IFERROR(_xlfn.XLOOKUP($B14,DATABASE_Table[Development],DATABASE_Table[Local],"—"),"—"))</f>
        <v>Vilamoura, Algarve</v>
      </c>
      <c r="E14" s="46" t="str" cm="1">
        <f t="array" ref="E14">IFERROR(INDEX(_xlfn._xlws.FILTER(DATABASE_Table[Typology],(DATABASE_Table[Development]=$B14)*(DATABASE_Table[Typology]&lt;&gt;"")),1),"—")</f>
        <v>Plot</v>
      </c>
      <c r="F14" s="47" t="str" cm="1">
        <f t="array" ref="F14">IFERROR(INDEX(_xlfn._xlws.FILTER(DATABASE_Table[Delivery Expected],(DATABASE_Table[Development]=$B14)*(DATABASE_Table[Delivery Expected]&lt;&gt;"")),1),"—")</f>
        <v>—</v>
      </c>
      <c r="G14" s="41">
        <f>COUNTIF(DATABASE_Table[Development],$B14)</f>
        <v>101</v>
      </c>
      <c r="H14" s="41" cm="1">
        <f t="array" ref="H14">SUMPRODUCT((DATABASE_Table[Development]=$B14)*(TRIM(DATABASE_Table[Selling Status])="AVAILABLE"))</f>
        <v>92</v>
      </c>
      <c r="I14" s="41" cm="1">
        <f t="array" ref="I14">SUMPRODUCT((DATABASE_Table[Development]=$B14)*((TRIM(DATABASE_Table[Selling Status])="RESERVED")+(TRIM(DATABASE_Table[Selling Status])="PRE-RESERVED")))</f>
        <v>3</v>
      </c>
      <c r="J14" s="41" cm="1">
        <f t="array" ref="J14">SUMPRODUCT((DATABASE_Table[Development]=$B14)*(LEFT(TRIM(DATABASE_Table[Selling Status]),4)="PSPA"))</f>
        <v>6</v>
      </c>
      <c r="K14" s="41" cm="1">
        <f t="array" ref="K14">SUMPRODUCT((DATABASE_Table[Development]=$B14)*(TRIM(DATABASE_Table[Selling Status])="DEED"))</f>
        <v>0</v>
      </c>
      <c r="L14" s="41" cm="1">
        <f t="array" ref="L14">SUMPRODUCT((DATABASE_Table[Development]=$B14)*((TRIM(DATABASE_Table[Selling Status])="NOT FOR SALE")+(LEFT(TRIM(DATABASE_Table[Selling Status]),4)="UPON")))</f>
        <v>0</v>
      </c>
      <c r="M14" s="13">
        <f t="shared" si="0"/>
        <v>8.9108910891089105E-2</v>
      </c>
      <c r="N14" s="43">
        <f>SUMIF(DATABASE_Table[Development],$B14,DATABASE_Table[Current Asking price( Total)])/1000000</f>
        <v>183.77</v>
      </c>
      <c r="O14" s="43" cm="1">
        <f t="array" ref="O14">SUMPRODUCT((DATABASE_Table[Development]=$B14)*(TRIM(DATABASE_Table[Selling Status])="DEED SIGNED")*DATABASE_Table[Sell price (RE Asset)])/1000000</f>
        <v>0</v>
      </c>
      <c r="P14" s="4"/>
      <c r="Q14" s="55" t="s">
        <v>922</v>
      </c>
      <c r="R14" s="58">
        <f>$M$24</f>
        <v>0.35766423357664234</v>
      </c>
      <c r="S14" s="59"/>
      <c r="T14" s="55"/>
      <c r="U14" s="55" t="s">
        <v>922</v>
      </c>
      <c r="V14" s="66">
        <f>AVERAGE($N$7:$N$23)</f>
        <v>77.328268823540171</v>
      </c>
      <c r="W14" s="55"/>
      <c r="X14" s="55" t="str" cm="1">
        <f t="array" ref="X14">IFERROR(_xlfn.SWITCH(_xlfn.XLOOKUP($B14,DATABASE_Table[Development],DATABASE_Table[Local],"Center"),"Vilamoura","Vilamoura","Algarve","Algarve","North","North","Center"),"Center")</f>
        <v>Vilamoura</v>
      </c>
      <c r="Y14" s="55" t="str" cm="1">
        <f t="array" ref="Y14">_xlfn.IFS(G14=0,"—",M14&gt;=0.999,"Sold Out",(I14+J14+K14)=0,"Coming Soon",TRUE,"Active")</f>
        <v>Active</v>
      </c>
      <c r="Z14" s="55"/>
      <c r="AA14" s="55"/>
      <c r="AB14" s="55"/>
      <c r="AC14" s="55"/>
      <c r="AD14" s="55"/>
      <c r="AE14" s="55"/>
    </row>
    <row r="15" spans="2:31" x14ac:dyDescent="0.3">
      <c r="B15" s="11" t="s">
        <v>52</v>
      </c>
      <c r="C15" s="46" t="str">
        <f>IFERROR(TRIM(_xlfn.XLOOKUP($B15,DATABASE_Table[Development],DATABASE_Table[Selling Status],"—")),"—")</f>
        <v>RESERVED</v>
      </c>
      <c r="D15" s="46" t="str" cm="1">
        <f t="array" ref="D15">IFERROR(INDEX(_xlfn._xlws.FILTER(DATABASE_Table[Location],(DATABASE_Table[Development]=$B15)*(DATABASE_Table[Location]&lt;&gt;"")),1),IFERROR(_xlfn.XLOOKUP($B15,DATABASE_Table[Development],DATABASE_Table[Local],"—"),"—"))</f>
        <v>Vilamoura, Algarve</v>
      </c>
      <c r="E15" s="46" t="str" cm="1">
        <f t="array" ref="E15">IFERROR(INDEX(_xlfn._xlws.FILTER(DATABASE_Table[Typology],(DATABASE_Table[Development]=$B15)*(DATABASE_Table[Typology]&lt;&gt;"")),1),"—")</f>
        <v>T3</v>
      </c>
      <c r="F15" s="47" t="str" cm="1">
        <f t="array" ref="F15">IFERROR(INDEX(_xlfn._xlws.FILTER(DATABASE_Table[Delivery Expected],(DATABASE_Table[Development]=$B15)*(DATABASE_Table[Delivery Expected]&lt;&gt;"")),1),"—")</f>
        <v>—</v>
      </c>
      <c r="G15" s="41">
        <f>COUNTIF(DATABASE_Table[Development],$B15)</f>
        <v>55</v>
      </c>
      <c r="H15" s="41" cm="1">
        <f t="array" ref="H15">SUMPRODUCT((DATABASE_Table[Development]=$B15)*(TRIM(DATABASE_Table[Selling Status])="AVAILABLE"))</f>
        <v>33</v>
      </c>
      <c r="I15" s="41" cm="1">
        <f t="array" ref="I15">SUMPRODUCT((DATABASE_Table[Development]=$B15)*((TRIM(DATABASE_Table[Selling Status])="RESERVED")+(TRIM(DATABASE_Table[Selling Status])="PRE-RESERVED")))</f>
        <v>15</v>
      </c>
      <c r="J15" s="41" cm="1">
        <f t="array" ref="J15">SUMPRODUCT((DATABASE_Table[Development]=$B15)*(LEFT(TRIM(DATABASE_Table[Selling Status]),4)="PSPA"))</f>
        <v>7</v>
      </c>
      <c r="K15" s="41" cm="1">
        <f t="array" ref="K15">SUMPRODUCT((DATABASE_Table[Development]=$B15)*(TRIM(DATABASE_Table[Selling Status])="DEED"))</f>
        <v>0</v>
      </c>
      <c r="L15" s="41" cm="1">
        <f t="array" ref="L15">SUMPRODUCT((DATABASE_Table[Development]=$B15)*((TRIM(DATABASE_Table[Selling Status])="NOT FOR SALE")+(LEFT(TRIM(DATABASE_Table[Selling Status]),4)="UPON")))</f>
        <v>0</v>
      </c>
      <c r="M15" s="13">
        <f t="shared" si="0"/>
        <v>0.4</v>
      </c>
      <c r="N15" s="43">
        <f>SUMIF(DATABASE_Table[Development],$B15,DATABASE_Table[Current Asking price( Total)])/1000000</f>
        <v>73.623500000000007</v>
      </c>
      <c r="O15" s="43" cm="1">
        <f t="array" ref="O15">SUMPRODUCT((DATABASE_Table[Development]=$B15)*(TRIM(DATABASE_Table[Selling Status])="DEED SIGNED")*DATABASE_Table[Sell price (RE Asset)])/1000000</f>
        <v>0</v>
      </c>
      <c r="P15" s="4"/>
      <c r="Q15" s="55"/>
      <c r="R15" s="58"/>
      <c r="S15" s="59"/>
      <c r="T15" s="55"/>
      <c r="U15" s="55"/>
      <c r="V15" s="59"/>
      <c r="W15" s="55"/>
      <c r="X15" s="55" t="str" cm="1">
        <f t="array" ref="X15">IFERROR(_xlfn.SWITCH(_xlfn.XLOOKUP($B15,DATABASE_Table[Development],DATABASE_Table[Local],"Center"),"Vilamoura","Vilamoura","Algarve","Algarve","North","North","Center"),"Center")</f>
        <v>Vilamoura</v>
      </c>
      <c r="Y15" s="55" t="str" cm="1">
        <f t="array" ref="Y15">_xlfn.IFS(G15=0,"—",M15&gt;=0.999,"Sold Out",(I15+J15+K15)=0,"Coming Soon",TRUE,"Active")</f>
        <v>Active</v>
      </c>
      <c r="Z15" s="55"/>
      <c r="AA15" s="55"/>
      <c r="AB15" s="55"/>
      <c r="AC15" s="55"/>
      <c r="AD15" s="55"/>
      <c r="AE15" s="55"/>
    </row>
    <row r="16" spans="2:31" x14ac:dyDescent="0.3">
      <c r="B16" s="11" t="s">
        <v>48</v>
      </c>
      <c r="C16" s="46" t="str">
        <f>IFERROR(TRIM(_xlfn.XLOOKUP($B16,DATABASE_Table[Development],DATABASE_Table[Selling Status],"—")),"—")</f>
        <v>RESERVED</v>
      </c>
      <c r="D16" s="46" t="str" cm="1">
        <f t="array" ref="D16">IFERROR(INDEX(_xlfn._xlws.FILTER(DATABASE_Table[Location],(DATABASE_Table[Development]=$B16)*(DATABASE_Table[Location]&lt;&gt;"")),1),IFERROR(_xlfn.XLOOKUP($B16,DATABASE_Table[Development],DATABASE_Table[Local],"—"),"—"))</f>
        <v>Vilamoura, Algarve</v>
      </c>
      <c r="E16" s="46" t="str" cm="1">
        <f t="array" ref="E16">IFERROR(INDEX(_xlfn._xlws.FILTER(DATABASE_Table[Typology],(DATABASE_Table[Development]=$B16)*(DATABASE_Table[Typology]&lt;&gt;"")),1),"—")</f>
        <v>T2</v>
      </c>
      <c r="F16" s="47" t="str" cm="1">
        <f t="array" ref="F16">IFERROR(INDEX(_xlfn._xlws.FILTER(DATABASE_Table[Delivery Expected],(DATABASE_Table[Development]=$B16)*(DATABASE_Table[Delivery Expected]&lt;&gt;"")),1),"—")</f>
        <v>—</v>
      </c>
      <c r="G16" s="41">
        <f>COUNTIF(DATABASE_Table[Development],$B16)</f>
        <v>92</v>
      </c>
      <c r="H16" s="41" cm="1">
        <f t="array" ref="H16">SUMPRODUCT((DATABASE_Table[Development]=$B16)*(TRIM(DATABASE_Table[Selling Status])="AVAILABLE"))</f>
        <v>89</v>
      </c>
      <c r="I16" s="41" cm="1">
        <f t="array" ref="I16">SUMPRODUCT((DATABASE_Table[Development]=$B16)*((TRIM(DATABASE_Table[Selling Status])="RESERVED")+(TRIM(DATABASE_Table[Selling Status])="PRE-RESERVED")))</f>
        <v>1</v>
      </c>
      <c r="J16" s="41" cm="1">
        <f t="array" ref="J16">SUMPRODUCT((DATABASE_Table[Development]=$B16)*(LEFT(TRIM(DATABASE_Table[Selling Status]),4)="PSPA"))</f>
        <v>2</v>
      </c>
      <c r="K16" s="41" cm="1">
        <f t="array" ref="K16">SUMPRODUCT((DATABASE_Table[Development]=$B16)*(TRIM(DATABASE_Table[Selling Status])="DEED"))</f>
        <v>0</v>
      </c>
      <c r="L16" s="41" cm="1">
        <f t="array" ref="L16">SUMPRODUCT((DATABASE_Table[Development]=$B16)*((TRIM(DATABASE_Table[Selling Status])="NOT FOR SALE")+(LEFT(TRIM(DATABASE_Table[Selling Status]),4)="UPON")))</f>
        <v>0</v>
      </c>
      <c r="M16" s="13">
        <f t="shared" si="0"/>
        <v>3.2608695652173912E-2</v>
      </c>
      <c r="N16" s="43">
        <f>SUMIF(DATABASE_Table[Development],$B16,DATABASE_Table[Current Asking price( Total)])/1000000</f>
        <v>125.53</v>
      </c>
      <c r="O16" s="43" cm="1">
        <f t="array" ref="O16">SUMPRODUCT((DATABASE_Table[Development]=$B16)*(TRIM(DATABASE_Table[Selling Status])="DEED SIGNED")*DATABASE_Table[Sell price (RE Asset)])/1000000</f>
        <v>0</v>
      </c>
      <c r="P16" s="4"/>
      <c r="Q16" s="55"/>
      <c r="R16" s="58"/>
      <c r="S16" s="59"/>
      <c r="T16" s="55"/>
      <c r="U16" s="55"/>
      <c r="V16" s="59"/>
      <c r="W16" s="55"/>
      <c r="X16" s="55" t="str" cm="1">
        <f t="array" ref="X16">IFERROR(_xlfn.SWITCH(_xlfn.XLOOKUP($B16,DATABASE_Table[Development],DATABASE_Table[Local],"Center"),"Vilamoura","Vilamoura","Algarve","Algarve","North","North","Center"),"Center")</f>
        <v>Vilamoura</v>
      </c>
      <c r="Y16" s="55" t="str" cm="1">
        <f t="array" ref="Y16">_xlfn.IFS(G16=0,"—",M16&gt;=0.999,"Sold Out",(I16+J16+K16)=0,"Coming Soon",TRUE,"Active")</f>
        <v>Active</v>
      </c>
      <c r="Z16" s="55"/>
      <c r="AA16" s="55"/>
      <c r="AB16" s="55"/>
      <c r="AC16" s="55"/>
      <c r="AD16" s="55"/>
      <c r="AE16" s="55"/>
    </row>
    <row r="17" spans="2:31" x14ac:dyDescent="0.3">
      <c r="B17" s="11" t="s">
        <v>31</v>
      </c>
      <c r="C17" s="46" t="str">
        <f>IFERROR(TRIM(_xlfn.XLOOKUP($B17,DATABASE_Table[Development],DATABASE_Table[Selling Status],"—")),"—")</f>
        <v>PSPA</v>
      </c>
      <c r="D17" s="46" t="str" cm="1">
        <f t="array" ref="D17">IFERROR(INDEX(_xlfn._xlws.FILTER(DATABASE_Table[Location],(DATABASE_Table[Development]=$B17)*(DATABASE_Table[Location]&lt;&gt;"")),1),IFERROR(_xlfn.XLOOKUP($B17,DATABASE_Table[Development],DATABASE_Table[Local],"—"),"—"))</f>
        <v>Vilamoura, Algarve</v>
      </c>
      <c r="E17" s="46" t="str" cm="1">
        <f t="array" ref="E17">IFERROR(INDEX(_xlfn._xlws.FILTER(DATABASE_Table[Typology],(DATABASE_Table[Development]=$B17)*(DATABASE_Table[Typology]&lt;&gt;"")),1),"—")</f>
        <v>T3</v>
      </c>
      <c r="F17" s="47" t="str" cm="1">
        <f t="array" ref="F17">IFERROR(INDEX(_xlfn._xlws.FILTER(DATABASE_Table[Delivery Expected],(DATABASE_Table[Development]=$B17)*(DATABASE_Table[Delivery Expected]&lt;&gt;"")),1),"—")</f>
        <v>—</v>
      </c>
      <c r="G17" s="41">
        <f>COUNTIF(DATABASE_Table[Development],$B17)</f>
        <v>39</v>
      </c>
      <c r="H17" s="41" cm="1">
        <f t="array" ref="H17">SUMPRODUCT((DATABASE_Table[Development]=$B17)*(TRIM(DATABASE_Table[Selling Status])="AVAILABLE"))</f>
        <v>16</v>
      </c>
      <c r="I17" s="41" cm="1">
        <f t="array" ref="I17">SUMPRODUCT((DATABASE_Table[Development]=$B17)*((TRIM(DATABASE_Table[Selling Status])="RESERVED")+(TRIM(DATABASE_Table[Selling Status])="PRE-RESERVED")))</f>
        <v>16</v>
      </c>
      <c r="J17" s="41" cm="1">
        <f t="array" ref="J17">SUMPRODUCT((DATABASE_Table[Development]=$B17)*(LEFT(TRIM(DATABASE_Table[Selling Status]),4)="PSPA"))</f>
        <v>7</v>
      </c>
      <c r="K17" s="41" cm="1">
        <f t="array" ref="K17">SUMPRODUCT((DATABASE_Table[Development]=$B17)*(TRIM(DATABASE_Table[Selling Status])="DEED"))</f>
        <v>0</v>
      </c>
      <c r="L17" s="41" cm="1">
        <f t="array" ref="L17">SUMPRODUCT((DATABASE_Table[Development]=$B17)*((TRIM(DATABASE_Table[Selling Status])="NOT FOR SALE")+(LEFT(TRIM(DATABASE_Table[Selling Status]),4)="UPON")))</f>
        <v>0</v>
      </c>
      <c r="M17" s="13">
        <f t="shared" si="0"/>
        <v>0.58974358974358976</v>
      </c>
      <c r="N17" s="43">
        <f>SUMIF(DATABASE_Table[Development],$B17,DATABASE_Table[Current Asking price( Total)])/1000000</f>
        <v>35.56</v>
      </c>
      <c r="O17" s="43" cm="1">
        <f t="array" ref="O17">SUMPRODUCT((DATABASE_Table[Development]=$B17)*(TRIM(DATABASE_Table[Selling Status])="DEED SIGNED")*DATABASE_Table[Sell price (RE Asset)])/1000000</f>
        <v>0</v>
      </c>
      <c r="P17" s="4"/>
      <c r="Q17" s="55"/>
      <c r="R17" s="58"/>
      <c r="S17" s="59"/>
      <c r="T17" s="55"/>
      <c r="U17" s="55"/>
      <c r="V17" s="59"/>
      <c r="W17" s="55"/>
      <c r="X17" s="55" t="str" cm="1">
        <f t="array" ref="X17">IFERROR(_xlfn.SWITCH(_xlfn.XLOOKUP($B17,DATABASE_Table[Development],DATABASE_Table[Local],"Center"),"Vilamoura","Vilamoura","Algarve","Algarve","North","North","Center"),"Center")</f>
        <v>Vilamoura</v>
      </c>
      <c r="Y17" s="55" t="str" cm="1">
        <f t="array" ref="Y17">_xlfn.IFS(G17=0,"—",M17&gt;=0.999,"Sold Out",(I17+J17+K17)=0,"Coming Soon",TRUE,"Active")</f>
        <v>Active</v>
      </c>
      <c r="Z17" s="55"/>
      <c r="AA17" s="55"/>
      <c r="AB17" s="55"/>
      <c r="AC17" s="55"/>
      <c r="AD17" s="55"/>
      <c r="AE17" s="55"/>
    </row>
    <row r="18" spans="2:31" x14ac:dyDescent="0.3">
      <c r="B18" s="11" t="s">
        <v>55</v>
      </c>
      <c r="C18" s="46" t="str">
        <f>IFERROR(TRIM(_xlfn.XLOOKUP($B18,DATABASE_Table[Development],DATABASE_Table[Selling Status],"—")),"—")</f>
        <v>AVAILABLE</v>
      </c>
      <c r="D18" s="46" t="str" cm="1">
        <f t="array" ref="D18">IFERROR(INDEX(_xlfn._xlws.FILTER(DATABASE_Table[Location],(DATABASE_Table[Development]=$B18)*(DATABASE_Table[Location]&lt;&gt;"")),1),IFERROR(_xlfn.XLOOKUP($B18,DATABASE_Table[Development],DATABASE_Table[Local],"—"),"—"))</f>
        <v>Quinta do Lago, Algarve</v>
      </c>
      <c r="E18" s="46" t="str" cm="1">
        <f t="array" ref="E18">IFERROR(INDEX(_xlfn._xlws.FILTER(DATABASE_Table[Typology],(DATABASE_Table[Development]=$B18)*(DATABASE_Table[Typology]&lt;&gt;"")),1),"—")</f>
        <v>T3</v>
      </c>
      <c r="F18" s="47" t="str" cm="1">
        <f t="array" ref="F18">IFERROR(INDEX(_xlfn._xlws.FILTER(DATABASE_Table[Delivery Expected],(DATABASE_Table[Development]=$B18)*(DATABASE_Table[Delivery Expected]&lt;&gt;"")),1),"—")</f>
        <v>TBD</v>
      </c>
      <c r="G18" s="41">
        <f>COUNTIF(DATABASE_Table[Development],$B18)</f>
        <v>16</v>
      </c>
      <c r="H18" s="41" cm="1">
        <f t="array" ref="H18">SUMPRODUCT((DATABASE_Table[Development]=$B18)*(TRIM(DATABASE_Table[Selling Status])="AVAILABLE"))</f>
        <v>13</v>
      </c>
      <c r="I18" s="41" cm="1">
        <f t="array" ref="I18">SUMPRODUCT((DATABASE_Table[Development]=$B18)*((TRIM(DATABASE_Table[Selling Status])="RESERVED")+(TRIM(DATABASE_Table[Selling Status])="PRE-RESERVED")))</f>
        <v>3</v>
      </c>
      <c r="J18" s="41" cm="1">
        <f t="array" ref="J18">SUMPRODUCT((DATABASE_Table[Development]=$B18)*(LEFT(TRIM(DATABASE_Table[Selling Status]),4)="PSPA"))</f>
        <v>0</v>
      </c>
      <c r="K18" s="41" cm="1">
        <f t="array" ref="K18">SUMPRODUCT((DATABASE_Table[Development]=$B18)*(TRIM(DATABASE_Table[Selling Status])="DEED"))</f>
        <v>0</v>
      </c>
      <c r="L18" s="41" cm="1">
        <f t="array" ref="L18">SUMPRODUCT((DATABASE_Table[Development]=$B18)*((TRIM(DATABASE_Table[Selling Status])="NOT FOR SALE")+(LEFT(TRIM(DATABASE_Table[Selling Status]),4)="UPON")))</f>
        <v>0</v>
      </c>
      <c r="M18" s="13">
        <f t="shared" si="0"/>
        <v>0.1875</v>
      </c>
      <c r="N18" s="43">
        <f>SUMIF(DATABASE_Table[Development],$B18,DATABASE_Table[Current Asking price( Total)])/1000000</f>
        <v>94.8</v>
      </c>
      <c r="O18" s="43" cm="1">
        <f t="array" ref="O18">SUMPRODUCT((DATABASE_Table[Development]=$B18)*(TRIM(DATABASE_Table[Selling Status])="DEED SIGNED")*DATABASE_Table[Sell price (RE Asset)])/1000000</f>
        <v>0</v>
      </c>
      <c r="P18" s="4"/>
      <c r="Q18" s="55"/>
      <c r="R18" s="58"/>
      <c r="S18" s="59"/>
      <c r="T18" s="55"/>
      <c r="U18" s="55"/>
      <c r="V18" s="59"/>
      <c r="W18" s="55"/>
      <c r="X18" s="55" t="str" cm="1">
        <f t="array" ref="X18">IFERROR(_xlfn.SWITCH(_xlfn.XLOOKUP($B18,DATABASE_Table[Development],DATABASE_Table[Local],"Center"),"Vilamoura","Vilamoura","Algarve","Algarve","North","North","Center"),"Center")</f>
        <v>Algarve</v>
      </c>
      <c r="Y18" s="55" t="str" cm="1">
        <f t="array" ref="Y18">_xlfn.IFS(G18=0,"—",M18&gt;=0.999,"Sold Out",(I18+J18+K18)=0,"Coming Soon",TRUE,"Active")</f>
        <v>Active</v>
      </c>
      <c r="Z18" s="55"/>
      <c r="AA18" s="55"/>
      <c r="AB18" s="55"/>
      <c r="AC18" s="55"/>
      <c r="AD18" s="55"/>
      <c r="AE18" s="55"/>
    </row>
    <row r="19" spans="2:31" x14ac:dyDescent="0.3">
      <c r="B19" s="11" t="s">
        <v>62</v>
      </c>
      <c r="C19" s="46" t="str">
        <f>IFERROR(TRIM(_xlfn.XLOOKUP($B19,DATABASE_Table[Development],DATABASE_Table[Selling Status],"—")),"—")</f>
        <v>AVAILABLE</v>
      </c>
      <c r="D19" s="46" t="str" cm="1">
        <f t="array" ref="D19">IFERROR(INDEX(_xlfn._xlws.FILTER(DATABASE_Table[Location],(DATABASE_Table[Development]=$B19)*(DATABASE_Table[Location]&lt;&gt;"")),1),IFERROR(_xlfn.XLOOKUP($B19,DATABASE_Table[Development],DATABASE_Table[Local],"—"),"—"))</f>
        <v>Ancão, Algarve</v>
      </c>
      <c r="E19" s="46" t="str" cm="1">
        <f t="array" ref="E19">IFERROR(INDEX(_xlfn._xlws.FILTER(DATABASE_Table[Typology],(DATABASE_Table[Development]=$B19)*(DATABASE_Table[Typology]&lt;&gt;"")),1),"—")</f>
        <v>T3 Duplex</v>
      </c>
      <c r="F19" s="47" cm="1">
        <f t="array" ref="F19">IFERROR(INDEX(_xlfn._xlws.FILTER(DATABASE_Table[Delivery Expected],(DATABASE_Table[Development]=$B19)*(DATABASE_Table[Delivery Expected]&lt;&gt;"")),1),"—")</f>
        <v>46752</v>
      </c>
      <c r="G19" s="41">
        <f>COUNTIF(DATABASE_Table[Development],$B19)</f>
        <v>16</v>
      </c>
      <c r="H19" s="41" cm="1">
        <f t="array" ref="H19">SUMPRODUCT((DATABASE_Table[Development]=$B19)*(TRIM(DATABASE_Table[Selling Status])="AVAILABLE"))</f>
        <v>14</v>
      </c>
      <c r="I19" s="41" cm="1">
        <f t="array" ref="I19">SUMPRODUCT((DATABASE_Table[Development]=$B19)*((TRIM(DATABASE_Table[Selling Status])="RESERVED")+(TRIM(DATABASE_Table[Selling Status])="PRE-RESERVED")))</f>
        <v>1</v>
      </c>
      <c r="J19" s="41" cm="1">
        <f t="array" ref="J19">SUMPRODUCT((DATABASE_Table[Development]=$B19)*(LEFT(TRIM(DATABASE_Table[Selling Status]),4)="PSPA"))</f>
        <v>1</v>
      </c>
      <c r="K19" s="41" cm="1">
        <f t="array" ref="K19">SUMPRODUCT((DATABASE_Table[Development]=$B19)*(TRIM(DATABASE_Table[Selling Status])="DEED"))</f>
        <v>0</v>
      </c>
      <c r="L19" s="41" cm="1">
        <f t="array" ref="L19">SUMPRODUCT((DATABASE_Table[Development]=$B19)*((TRIM(DATABASE_Table[Selling Status])="NOT FOR SALE")+(LEFT(TRIM(DATABASE_Table[Selling Status]),4)="UPON")))</f>
        <v>0</v>
      </c>
      <c r="M19" s="13">
        <f t="shared" si="0"/>
        <v>0.125</v>
      </c>
      <c r="N19" s="43">
        <f>SUMIF(DATABASE_Table[Development],$B19,DATABASE_Table[Current Asking price( Total)])/1000000</f>
        <v>39.31</v>
      </c>
      <c r="O19" s="43" cm="1">
        <f t="array" ref="O19">SUMPRODUCT((DATABASE_Table[Development]=$B19)*(TRIM(DATABASE_Table[Selling Status])="DEED SIGNED")*DATABASE_Table[Sell price (RE Asset)])/1000000</f>
        <v>0</v>
      </c>
      <c r="P19" s="4"/>
      <c r="Q19" s="55"/>
      <c r="R19" s="58"/>
      <c r="S19" s="59"/>
      <c r="T19" s="55"/>
      <c r="U19" s="55"/>
      <c r="V19" s="59"/>
      <c r="W19" s="55"/>
      <c r="X19" s="55" t="str" cm="1">
        <f t="array" ref="X19">IFERROR(_xlfn.SWITCH(_xlfn.XLOOKUP($B19,DATABASE_Table[Development],DATABASE_Table[Local],"Center"),"Vilamoura","Vilamoura","Algarve","Algarve","North","North","Center"),"Center")</f>
        <v>Algarve</v>
      </c>
      <c r="Y19" s="55" t="str" cm="1">
        <f t="array" ref="Y19">_xlfn.IFS(G19=0,"—",M19&gt;=0.999,"Sold Out",(I19+J19+K19)=0,"Coming Soon",TRUE,"Active")</f>
        <v>Active</v>
      </c>
      <c r="Z19" s="55"/>
      <c r="AA19" s="55"/>
      <c r="AB19" s="55"/>
      <c r="AC19" s="55"/>
      <c r="AD19" s="55"/>
      <c r="AE19" s="55"/>
    </row>
    <row r="20" spans="2:31" x14ac:dyDescent="0.3">
      <c r="B20" s="11" t="s">
        <v>66</v>
      </c>
      <c r="C20" s="46" t="str">
        <f>IFERROR(TRIM(_xlfn.XLOOKUP($B20,DATABASE_Table[Development],DATABASE_Table[Selling Status],"—")),"—")</f>
        <v>DEED</v>
      </c>
      <c r="D20" s="46" t="str" cm="1">
        <f t="array" ref="D20">IFERROR(INDEX(_xlfn._xlws.FILTER(DATABASE_Table[Location],(DATABASE_Table[Development]=$B20)*(DATABASE_Table[Location]&lt;&gt;"")),1),IFERROR(_xlfn.XLOOKUP($B20,DATABASE_Table[Development],DATABASE_Table[Local],"—"),"—"))</f>
        <v>Lagos, Algarve</v>
      </c>
      <c r="E20" s="46" t="str" cm="1">
        <f t="array" ref="E20">IFERROR(INDEX(_xlfn._xlws.FILTER(DATABASE_Table[Typology],(DATABASE_Table[Development]=$B20)*(DATABASE_Table[Typology]&lt;&gt;"")),1),"—")</f>
        <v>Plot</v>
      </c>
      <c r="F20" s="47" cm="1">
        <f t="array" ref="F20">IFERROR(INDEX(_xlfn._xlws.FILTER(DATABASE_Table[Delivery Expected],(DATABASE_Table[Development]=$B20)*(DATABASE_Table[Delivery Expected]&lt;&gt;"")),1),"—")</f>
        <v>46843</v>
      </c>
      <c r="G20" s="41">
        <f>COUNTIF(DATABASE_Table[Development],$B20)</f>
        <v>113</v>
      </c>
      <c r="H20" s="41" cm="1">
        <f t="array" ref="H20">SUMPRODUCT((DATABASE_Table[Development]=$B20)*(TRIM(DATABASE_Table[Selling Status])="AVAILABLE"))</f>
        <v>71</v>
      </c>
      <c r="I20" s="41" cm="1">
        <f t="array" ref="I20">SUMPRODUCT((DATABASE_Table[Development]=$B20)*((TRIM(DATABASE_Table[Selling Status])="RESERVED")+(TRIM(DATABASE_Table[Selling Status])="PRE-RESERVED")))</f>
        <v>5</v>
      </c>
      <c r="J20" s="41" cm="1">
        <f t="array" ref="J20">SUMPRODUCT((DATABASE_Table[Development]=$B20)*(LEFT(TRIM(DATABASE_Table[Selling Status]),4)="PSPA"))</f>
        <v>34</v>
      </c>
      <c r="K20" s="41" cm="1">
        <f t="array" ref="K20">SUMPRODUCT((DATABASE_Table[Development]=$B20)*(TRIM(DATABASE_Table[Selling Status])="DEED"))</f>
        <v>3</v>
      </c>
      <c r="L20" s="41" cm="1">
        <f t="array" ref="L20">SUMPRODUCT((DATABASE_Table[Development]=$B20)*((TRIM(DATABASE_Table[Selling Status])="NOT FOR SALE")+(LEFT(TRIM(DATABASE_Table[Selling Status]),4)="UPON")))</f>
        <v>0</v>
      </c>
      <c r="M20" s="13">
        <f t="shared" si="0"/>
        <v>0.37168141592920356</v>
      </c>
      <c r="N20" s="43">
        <f>SUMIF(DATABASE_Table[Development],$B20,DATABASE_Table[Current Asking price( Total)])/1000000</f>
        <v>151.85724999999999</v>
      </c>
      <c r="O20" s="43" cm="1">
        <f t="array" ref="O20">SUMPRODUCT((DATABASE_Table[Development]=$B20)*(TRIM(DATABASE_Table[Selling Status])="DEED SIGNED")*DATABASE_Table[Sell price (RE Asset)])/1000000</f>
        <v>0</v>
      </c>
      <c r="P20" s="4"/>
      <c r="Q20" s="55"/>
      <c r="R20" s="58"/>
      <c r="S20" s="59"/>
      <c r="T20" s="55"/>
      <c r="U20" s="55"/>
      <c r="V20" s="59"/>
      <c r="W20" s="55"/>
      <c r="X20" s="55" t="str" cm="1">
        <f t="array" ref="X20">IFERROR(_xlfn.SWITCH(_xlfn.XLOOKUP($B20,DATABASE_Table[Development],DATABASE_Table[Local],"Center"),"Vilamoura","Vilamoura","Algarve","Algarve","North","North","Center"),"Center")</f>
        <v>Algarve</v>
      </c>
      <c r="Y20" s="55" t="str" cm="1">
        <f t="array" ref="Y20">_xlfn.IFS(G20=0,"—",M20&gt;=0.999,"Sold Out",(I20+J20+K20)=0,"Coming Soon",TRUE,"Active")</f>
        <v>Active</v>
      </c>
      <c r="Z20" s="55"/>
      <c r="AA20" s="55"/>
      <c r="AB20" s="55"/>
      <c r="AC20" s="55"/>
      <c r="AD20" s="55"/>
      <c r="AE20" s="55"/>
    </row>
    <row r="21" spans="2:31" x14ac:dyDescent="0.3">
      <c r="B21" s="11" t="s">
        <v>73</v>
      </c>
      <c r="C21" s="46" t="str">
        <f>IFERROR(TRIM(_xlfn.XLOOKUP($B21,DATABASE_Table[Development],DATABASE_Table[Selling Status],"—")),"—")</f>
        <v>RESERVED</v>
      </c>
      <c r="D21" s="46" t="str" cm="1">
        <f t="array" ref="D21">IFERROR(INDEX(_xlfn._xlws.FILTER(DATABASE_Table[Location],(DATABASE_Table[Development]=$B21)*(DATABASE_Table[Location]&lt;&gt;"")),1),IFERROR(_xlfn.XLOOKUP($B21,DATABASE_Table[Development],DATABASE_Table[Local],"—"),"—"))</f>
        <v>Vila Nova de Cacela, Algarve</v>
      </c>
      <c r="E21" s="46" t="str" cm="1">
        <f t="array" ref="E21">IFERROR(INDEX(_xlfn._xlws.FILTER(DATABASE_Table[Typology],(DATABASE_Table[Development]=$B21)*(DATABASE_Table[Typology]&lt;&gt;"")),1),"—")</f>
        <v>T2</v>
      </c>
      <c r="F21" s="47" t="str" cm="1">
        <f t="array" ref="F21">IFERROR(INDEX(_xlfn._xlws.FILTER(DATABASE_Table[Delivery Expected],(DATABASE_Table[Development]=$B21)*(DATABASE_Table[Delivery Expected]&lt;&gt;"")),1),"—")</f>
        <v>TBD</v>
      </c>
      <c r="G21" s="41">
        <f>COUNTIF(DATABASE_Table[Development],$B21)</f>
        <v>99</v>
      </c>
      <c r="H21" s="41" cm="1">
        <f t="array" ref="H21">SUMPRODUCT((DATABASE_Table[Development]=$B21)*(TRIM(DATABASE_Table[Selling Status])="AVAILABLE"))</f>
        <v>35</v>
      </c>
      <c r="I21" s="41" cm="1">
        <f t="array" ref="I21">SUMPRODUCT((DATABASE_Table[Development]=$B21)*((TRIM(DATABASE_Table[Selling Status])="RESERVED")+(TRIM(DATABASE_Table[Selling Status])="PRE-RESERVED")))</f>
        <v>4</v>
      </c>
      <c r="J21" s="41" cm="1">
        <f t="array" ref="J21">SUMPRODUCT((DATABASE_Table[Development]=$B21)*(LEFT(TRIM(DATABASE_Table[Selling Status]),4)="PSPA"))</f>
        <v>0</v>
      </c>
      <c r="K21" s="41" cm="1">
        <f t="array" ref="K21">SUMPRODUCT((DATABASE_Table[Development]=$B21)*(TRIM(DATABASE_Table[Selling Status])="DEED"))</f>
        <v>0</v>
      </c>
      <c r="L21" s="41" cm="1">
        <f t="array" ref="L21">SUMPRODUCT((DATABASE_Table[Development]=$B21)*((TRIM(DATABASE_Table[Selling Status])="NOT FOR SALE")+(LEFT(TRIM(DATABASE_Table[Selling Status]),4)="UPON")))</f>
        <v>0</v>
      </c>
      <c r="M21" s="13">
        <f t="shared" si="0"/>
        <v>4.0404040404040407E-2</v>
      </c>
      <c r="N21" s="43">
        <f>SUMIF(DATABASE_Table[Development],$B21,DATABASE_Table[Current Asking price( Total)])/1000000</f>
        <v>106.69499999999999</v>
      </c>
      <c r="O21" s="43" cm="1">
        <f t="array" ref="O21">SUMPRODUCT((DATABASE_Table[Development]=$B21)*(TRIM(DATABASE_Table[Selling Status])="DEED SIGNED")*DATABASE_Table[Sell price (RE Asset)])/1000000</f>
        <v>0</v>
      </c>
      <c r="P21" s="4"/>
      <c r="Q21" s="55"/>
      <c r="R21" s="58"/>
      <c r="S21" s="59"/>
      <c r="T21" s="55"/>
      <c r="U21" s="55"/>
      <c r="V21" s="59"/>
      <c r="W21" s="55"/>
      <c r="X21" s="55" t="str" cm="1">
        <f t="array" ref="X21">IFERROR(_xlfn.SWITCH(_xlfn.XLOOKUP($B21,DATABASE_Table[Development],DATABASE_Table[Local],"Center"),"Vilamoura","Vilamoura","Algarve","Algarve","North","North","Center"),"Center")</f>
        <v>Algarve</v>
      </c>
      <c r="Y21" s="55" t="str" cm="1">
        <f t="array" ref="Y21">_xlfn.IFS(G21=0,"—",M21&gt;=0.999,"Sold Out",(I21+J21+K21)=0,"Coming Soon",TRUE,"Active")</f>
        <v>Active</v>
      </c>
      <c r="Z21" s="55"/>
      <c r="AA21" s="55"/>
      <c r="AB21" s="55"/>
      <c r="AC21" s="55"/>
      <c r="AD21" s="55"/>
      <c r="AE21" s="55"/>
    </row>
    <row r="22" spans="2:31" x14ac:dyDescent="0.3">
      <c r="B22" s="11" t="s">
        <v>78</v>
      </c>
      <c r="C22" s="46" t="str">
        <f>IFERROR(TRIM(_xlfn.XLOOKUP($B22,DATABASE_Table[Development],DATABASE_Table[Selling Status],"—")),"—")</f>
        <v>PSPA</v>
      </c>
      <c r="D22" s="46" t="str" cm="1">
        <f t="array" ref="D22">IFERROR(INDEX(_xlfn._xlws.FILTER(DATABASE_Table[Location],(DATABASE_Table[Development]=$B22)*(DATABASE_Table[Location]&lt;&gt;"")),1),IFERROR(_xlfn.XLOOKUP($B22,DATABASE_Table[Development],DATABASE_Table[Local],"—"),"—"))</f>
        <v>Herdade da Aroeira, Almada</v>
      </c>
      <c r="E22" s="46" t="str" cm="1">
        <f t="array" ref="E22">IFERROR(INDEX(_xlfn._xlws.FILTER(DATABASE_Table[Typology],(DATABASE_Table[Development]=$B22)*(DATABASE_Table[Typology]&lt;&gt;"")),1),"—")</f>
        <v>2-BR</v>
      </c>
      <c r="F22" s="47" cm="1">
        <f t="array" ref="F22">IFERROR(INDEX(_xlfn._xlws.FILTER(DATABASE_Table[Delivery Expected],(DATABASE_Table[Development]=$B22)*(DATABASE_Table[Delivery Expected]&lt;&gt;"")),1),"—")</f>
        <v>47118</v>
      </c>
      <c r="G22" s="41">
        <f>COUNTIF(DATABASE_Table[Development],$B22)</f>
        <v>230</v>
      </c>
      <c r="H22" s="41" cm="1">
        <f t="array" ref="H22">SUMPRODUCT((DATABASE_Table[Development]=$B22)*(TRIM(DATABASE_Table[Selling Status])="AVAILABLE"))</f>
        <v>153</v>
      </c>
      <c r="I22" s="41" cm="1">
        <f t="array" ref="I22">SUMPRODUCT((DATABASE_Table[Development]=$B22)*((TRIM(DATABASE_Table[Selling Status])="RESERVED")+(TRIM(DATABASE_Table[Selling Status])="PRE-RESERVED")))</f>
        <v>25</v>
      </c>
      <c r="J22" s="41" cm="1">
        <f t="array" ref="J22">SUMPRODUCT((DATABASE_Table[Development]=$B22)*(LEFT(TRIM(DATABASE_Table[Selling Status]),4)="PSPA"))</f>
        <v>32</v>
      </c>
      <c r="K22" s="41" cm="1">
        <f t="array" ref="K22">SUMPRODUCT((DATABASE_Table[Development]=$B22)*(TRIM(DATABASE_Table[Selling Status])="DEED"))</f>
        <v>0</v>
      </c>
      <c r="L22" s="41" cm="1">
        <f t="array" ref="L22">SUMPRODUCT((DATABASE_Table[Development]=$B22)*((TRIM(DATABASE_Table[Selling Status])="NOT FOR SALE")+(LEFT(TRIM(DATABASE_Table[Selling Status]),4)="UPON")))</f>
        <v>20</v>
      </c>
      <c r="M22" s="13">
        <f t="shared" si="0"/>
        <v>0.27142857142857141</v>
      </c>
      <c r="N22" s="43">
        <f>SUMIF(DATABASE_Table[Development],$B22,DATABASE_Table[Current Asking price( Total)])/1000000</f>
        <v>191.45500000000001</v>
      </c>
      <c r="O22" s="43" cm="1">
        <f t="array" ref="O22">SUMPRODUCT((DATABASE_Table[Development]=$B22)*(TRIM(DATABASE_Table[Selling Status])="DEED SIGNED")*DATABASE_Table[Sell price (RE Asset)])/1000000</f>
        <v>0</v>
      </c>
      <c r="P22" s="4"/>
      <c r="Q22" s="55"/>
      <c r="R22" s="58"/>
      <c r="S22" s="59"/>
      <c r="T22" s="55"/>
      <c r="U22" s="55"/>
      <c r="V22" s="59"/>
      <c r="W22" s="55"/>
      <c r="X22" s="55" t="str" cm="1">
        <f t="array" ref="X22">IFERROR(_xlfn.SWITCH(_xlfn.XLOOKUP($B22,DATABASE_Table[Development],DATABASE_Table[Local],"Center"),"Vilamoura","Vilamoura","Algarve","Algarve","North","North","Center"),"Center")</f>
        <v>Center</v>
      </c>
      <c r="Y22" s="55" t="str" cm="1">
        <f t="array" ref="Y22">_xlfn.IFS(G22=0,"—",M22&gt;=0.999,"Sold Out",(I22+J22+K22)=0,"Coming Soon",TRUE,"Active")</f>
        <v>Active</v>
      </c>
      <c r="Z22" s="55"/>
      <c r="AA22" s="55"/>
      <c r="AB22" s="55"/>
      <c r="AC22" s="55"/>
      <c r="AD22" s="55"/>
      <c r="AE22" s="55"/>
    </row>
    <row r="23" spans="2:31" ht="15" thickBot="1" x14ac:dyDescent="0.35">
      <c r="B23" s="16" t="s">
        <v>87</v>
      </c>
      <c r="C23" s="46" t="str">
        <f>IFERROR(TRIM(_xlfn.XLOOKUP($B23,DATABASE_Table[Development],DATABASE_Table[Selling Status],"—")),"—")</f>
        <v>AVAILABLE</v>
      </c>
      <c r="D23" s="46" t="str" cm="1">
        <f t="array" ref="D23">IFERROR(INDEX(_xlfn._xlws.FILTER(DATABASE_Table[Location],(DATABASE_Table[Development]=$B23)*(DATABASE_Table[Location]&lt;&gt;"")),1),IFERROR(_xlfn.XLOOKUP($B23,DATABASE_Table[Development],DATABASE_Table[Local],"—"),"—"))</f>
        <v>Santo Tirso, Porto</v>
      </c>
      <c r="E23" s="46" t="str" cm="1">
        <f t="array" ref="E23">IFERROR(INDEX(_xlfn._xlws.FILTER(DATABASE_Table[Typology],(DATABASE_Table[Development]=$B23)*(DATABASE_Table[Typology]&lt;&gt;"")),1),"—")</f>
        <v>V3</v>
      </c>
      <c r="F23" s="47" cm="1">
        <f t="array" ref="F23">IFERROR(INDEX(_xlfn._xlws.FILTER(DATABASE_Table[Delivery Expected],(DATABASE_Table[Development]=$B23)*(DATABASE_Table[Delivery Expected]&lt;&gt;"")),1),"—")</f>
        <v>47208</v>
      </c>
      <c r="G23" s="41">
        <f>COUNTIF(DATABASE_Table[Development],$B23)</f>
        <v>45</v>
      </c>
      <c r="H23" s="41" cm="1">
        <f t="array" ref="H23">SUMPRODUCT((DATABASE_Table[Development]=$B23)*(TRIM(DATABASE_Table[Selling Status])="AVAILABLE"))</f>
        <v>20</v>
      </c>
      <c r="I23" s="41" cm="1">
        <f t="array" ref="I23">SUMPRODUCT((DATABASE_Table[Development]=$B23)*((TRIM(DATABASE_Table[Selling Status])="RESERVED")+(TRIM(DATABASE_Table[Selling Status])="PRE-RESERVED")))</f>
        <v>0</v>
      </c>
      <c r="J23" s="41" cm="1">
        <f t="array" ref="J23">SUMPRODUCT((DATABASE_Table[Development]=$B23)*(LEFT(TRIM(DATABASE_Table[Selling Status]),4)="PSPA"))</f>
        <v>0</v>
      </c>
      <c r="K23" s="68" cm="1">
        <f t="array" ref="K23">SUMPRODUCT((DATABASE_Table[Development]=$B23)*(TRIM(DATABASE_Table[Selling Status])="DEED"))</f>
        <v>0</v>
      </c>
      <c r="L23" s="41" cm="1">
        <f t="array" ref="L23">SUMPRODUCT((DATABASE_Table[Development]=$B23)*((TRIM(DATABASE_Table[Selling Status])="NOT FOR SALE")+(LEFT(TRIM(DATABASE_Table[Selling Status]),4)="UPON")))</f>
        <v>25</v>
      </c>
      <c r="M23" s="13">
        <f t="shared" si="0"/>
        <v>0</v>
      </c>
      <c r="N23" s="43">
        <f>SUMIF(DATABASE_Table[Development],$B23,DATABASE_Table[Current Asking price( Total)])/1000000</f>
        <v>37.42</v>
      </c>
      <c r="O23" s="43" cm="1">
        <f t="array" ref="O23">SUMPRODUCT((DATABASE_Table[Development]=$B23)*(TRIM(DATABASE_Table[Selling Status])="DEED SIGNED")*DATABASE_Table[Sell price (RE Asset)])/1000000</f>
        <v>0</v>
      </c>
      <c r="P23" s="4"/>
      <c r="Q23" s="55"/>
      <c r="R23" s="58"/>
      <c r="S23" s="59"/>
      <c r="T23" s="55"/>
      <c r="U23" s="55"/>
      <c r="V23" s="59"/>
      <c r="W23" s="55"/>
      <c r="X23" s="55" t="str" cm="1">
        <f t="array" ref="X23">IFERROR(_xlfn.SWITCH(_xlfn.XLOOKUP($B23,DATABASE_Table[Development],DATABASE_Table[Local],"Center"),"Vilamoura","Vilamoura","Algarve","Algarve","North","North","Center"),"Center")</f>
        <v>North</v>
      </c>
      <c r="Y23" s="55" t="str" cm="1">
        <f t="array" ref="Y23">_xlfn.IFS(G23=0,"—",M23&gt;=0.999,"Sold Out",(I23+J23+K23)=0,"Coming Soon",TRUE,"Active")</f>
        <v>Coming Soon</v>
      </c>
      <c r="Z23" s="55"/>
      <c r="AA23" s="55"/>
      <c r="AB23" s="55"/>
      <c r="AC23" s="55"/>
      <c r="AD23" s="55"/>
      <c r="AE23" s="55"/>
    </row>
    <row r="24" spans="2:31" x14ac:dyDescent="0.3">
      <c r="B24" s="50" t="s">
        <v>791</v>
      </c>
      <c r="C24" s="50"/>
      <c r="D24" s="50"/>
      <c r="E24" s="50"/>
      <c r="F24" s="51"/>
      <c r="G24" s="52">
        <f t="shared" ref="G24:L24" si="1">SUM(G7:G23)</f>
        <v>1141</v>
      </c>
      <c r="H24" s="52">
        <f t="shared" si="1"/>
        <v>644</v>
      </c>
      <c r="I24" s="52">
        <f t="shared" si="1"/>
        <v>81</v>
      </c>
      <c r="J24" s="52">
        <f t="shared" si="1"/>
        <v>186</v>
      </c>
      <c r="K24" s="67">
        <f t="shared" si="1"/>
        <v>125</v>
      </c>
      <c r="L24" s="52">
        <f t="shared" si="1"/>
        <v>45</v>
      </c>
      <c r="M24" s="53">
        <f t="shared" si="0"/>
        <v>0.35766423357664234</v>
      </c>
      <c r="N24" s="54">
        <f>SUM(N7:N23)</f>
        <v>1314.5805700001829</v>
      </c>
      <c r="O24" s="54">
        <f>SUM(O7:O23)</f>
        <v>0</v>
      </c>
      <c r="P24" s="4"/>
      <c r="Q24" s="55"/>
      <c r="R24" s="58"/>
      <c r="S24" s="59"/>
      <c r="T24" s="55"/>
      <c r="U24" s="55"/>
      <c r="V24" s="59"/>
      <c r="W24" s="55"/>
      <c r="X24" s="55"/>
      <c r="Y24" s="55"/>
      <c r="Z24" s="55"/>
      <c r="AA24" s="55"/>
      <c r="AB24" s="55"/>
      <c r="AC24" s="55"/>
      <c r="AD24" s="55"/>
      <c r="AE24" s="55"/>
    </row>
    <row r="25" spans="2:31" x14ac:dyDescent="0.3">
      <c r="C25" s="157" t="s">
        <v>556</v>
      </c>
      <c r="D25" s="157"/>
      <c r="E25" s="157" t="s">
        <v>329</v>
      </c>
      <c r="F25" s="157"/>
      <c r="G25" s="157" t="s">
        <v>326</v>
      </c>
      <c r="H25" s="157"/>
      <c r="I25" s="157" t="s">
        <v>811</v>
      </c>
      <c r="J25" s="157"/>
      <c r="K25" s="157" t="s">
        <v>812</v>
      </c>
      <c r="L25" s="157"/>
      <c r="M25" s="17" t="s">
        <v>813</v>
      </c>
      <c r="N25" s="157" t="s">
        <v>814</v>
      </c>
      <c r="O25" s="157"/>
      <c r="P25" s="24"/>
      <c r="Q25" s="55"/>
      <c r="R25" s="55"/>
      <c r="S25" s="55"/>
      <c r="T25" s="55"/>
      <c r="U25" s="55"/>
      <c r="V25" s="55"/>
      <c r="W25" s="55"/>
      <c r="X25" s="55"/>
      <c r="Y25" s="55"/>
      <c r="Z25" s="55"/>
      <c r="AA25" s="55"/>
      <c r="AB25" s="55"/>
      <c r="AC25" s="55"/>
      <c r="AD25" s="55"/>
      <c r="AE25" s="55"/>
    </row>
    <row r="26" spans="2:31" ht="24" thickBot="1" x14ac:dyDescent="0.35">
      <c r="C26" s="156">
        <f>G24</f>
        <v>1141</v>
      </c>
      <c r="D26" s="156"/>
      <c r="E26" s="156">
        <f>H24</f>
        <v>644</v>
      </c>
      <c r="F26" s="156"/>
      <c r="G26" s="156">
        <f>I24</f>
        <v>81</v>
      </c>
      <c r="H26" s="156"/>
      <c r="I26" s="156">
        <f>J24</f>
        <v>186</v>
      </c>
      <c r="J26" s="156"/>
      <c r="K26" s="156">
        <f>K24</f>
        <v>125</v>
      </c>
      <c r="L26" s="156"/>
      <c r="M26" s="19">
        <f>M24</f>
        <v>0.35766423357664234</v>
      </c>
      <c r="N26" s="154">
        <f>N24</f>
        <v>1314.5805700001829</v>
      </c>
      <c r="O26" s="155"/>
      <c r="P26" s="25"/>
      <c r="Q26" s="55"/>
      <c r="R26" s="55"/>
      <c r="S26" s="55"/>
      <c r="T26" s="55"/>
      <c r="U26" s="55"/>
      <c r="V26" s="55"/>
      <c r="W26" s="55"/>
      <c r="X26" s="55"/>
      <c r="Y26" s="55"/>
      <c r="Z26" s="55"/>
      <c r="AA26" s="55"/>
      <c r="AB26" s="55"/>
      <c r="AC26" s="55"/>
      <c r="AD26" s="55"/>
      <c r="AE26" s="55"/>
    </row>
    <row r="27" spans="2:31" x14ac:dyDescent="0.3">
      <c r="C27" s="18"/>
      <c r="D27" s="18"/>
      <c r="E27" s="18"/>
      <c r="F27" s="18"/>
      <c r="G27" s="18"/>
      <c r="H27" s="18"/>
      <c r="I27" s="18"/>
      <c r="J27" s="18"/>
      <c r="K27" s="18"/>
      <c r="L27" s="18"/>
      <c r="M27" s="18"/>
      <c r="N27" s="18"/>
      <c r="O27" s="18"/>
      <c r="P27" s="22"/>
      <c r="Q27" s="55" t="s">
        <v>783</v>
      </c>
      <c r="R27" s="61">
        <f>E34</f>
        <v>20</v>
      </c>
      <c r="S27" s="55"/>
      <c r="T27" s="55"/>
      <c r="U27" s="55"/>
      <c r="V27" s="55"/>
      <c r="W27" s="55"/>
      <c r="X27" s="55"/>
      <c r="Y27" s="55"/>
      <c r="Z27" s="55"/>
      <c r="AA27" s="55"/>
      <c r="AB27" s="55"/>
      <c r="AC27" s="55"/>
      <c r="AD27" s="55"/>
      <c r="AE27" s="55"/>
    </row>
    <row r="28" spans="2:31" x14ac:dyDescent="0.3">
      <c r="C28" s="4"/>
      <c r="D28" s="4"/>
      <c r="E28" s="4"/>
      <c r="F28" s="4"/>
      <c r="G28" s="4"/>
      <c r="H28" s="4"/>
      <c r="I28" s="4"/>
      <c r="J28" s="4"/>
      <c r="K28" s="4"/>
      <c r="L28" s="4"/>
      <c r="M28" s="4"/>
      <c r="N28" s="4"/>
      <c r="O28" s="4"/>
      <c r="P28" s="22"/>
      <c r="Q28" s="55" t="s">
        <v>784</v>
      </c>
      <c r="R28" s="61">
        <f>G34</f>
        <v>0</v>
      </c>
      <c r="S28" s="55"/>
      <c r="T28" s="55"/>
      <c r="U28" s="55"/>
      <c r="V28" s="55"/>
      <c r="W28" s="55"/>
      <c r="X28" s="55"/>
      <c r="Y28" s="55"/>
      <c r="Z28" s="55"/>
      <c r="AA28" s="55"/>
      <c r="AB28" s="55"/>
      <c r="AC28" s="55"/>
      <c r="AD28" s="55"/>
      <c r="AE28" s="55"/>
    </row>
    <row r="29" spans="2:31" ht="18" x14ac:dyDescent="0.3">
      <c r="C29" s="29" t="s">
        <v>815</v>
      </c>
      <c r="D29" s="29"/>
      <c r="E29" s="29"/>
      <c r="F29" s="29"/>
      <c r="G29" s="29"/>
      <c r="H29" s="29"/>
      <c r="I29" s="29"/>
      <c r="J29" s="29"/>
      <c r="K29" s="29"/>
      <c r="L29" s="29"/>
      <c r="M29" s="29"/>
      <c r="N29" s="29"/>
      <c r="O29" s="29"/>
      <c r="P29" s="23"/>
      <c r="Q29" s="55" t="s">
        <v>785</v>
      </c>
      <c r="R29" s="61">
        <f>I34</f>
        <v>0</v>
      </c>
      <c r="S29" s="55"/>
      <c r="T29" s="55"/>
      <c r="U29" s="55"/>
      <c r="V29" s="55"/>
      <c r="W29" s="55"/>
      <c r="X29" s="55"/>
      <c r="Y29" s="55"/>
      <c r="Z29" s="55"/>
      <c r="AA29" s="55"/>
      <c r="AB29" s="55"/>
      <c r="AC29" s="55"/>
      <c r="AD29" s="55"/>
      <c r="AE29" s="55"/>
    </row>
    <row r="30" spans="2:31" x14ac:dyDescent="0.3">
      <c r="C30" s="4"/>
      <c r="D30" s="4"/>
      <c r="E30" s="4"/>
      <c r="F30" s="4"/>
      <c r="G30" s="4"/>
      <c r="H30" s="4"/>
      <c r="I30" s="4"/>
      <c r="J30" s="4"/>
      <c r="K30" s="4"/>
      <c r="L30" s="4"/>
      <c r="M30" s="4"/>
      <c r="N30" s="4"/>
      <c r="O30" s="4"/>
      <c r="P30" s="22"/>
      <c r="Q30" s="55" t="s">
        <v>786</v>
      </c>
      <c r="R30" s="61">
        <f>K34</f>
        <v>0</v>
      </c>
      <c r="S30" s="55"/>
      <c r="T30" s="55"/>
      <c r="U30" s="55"/>
      <c r="V30" s="55"/>
      <c r="W30" s="55"/>
      <c r="X30" s="55"/>
      <c r="Y30" s="55"/>
      <c r="Z30" s="55"/>
      <c r="AA30" s="55"/>
      <c r="AB30" s="55"/>
      <c r="AC30" s="55"/>
      <c r="AD30" s="55"/>
      <c r="AE30" s="55"/>
    </row>
    <row r="31" spans="2:31" ht="21" x14ac:dyDescent="0.3">
      <c r="C31" s="158" t="s">
        <v>826</v>
      </c>
      <c r="D31" s="159"/>
      <c r="E31" s="160" t="s">
        <v>87</v>
      </c>
      <c r="F31" s="161"/>
      <c r="G31" s="48" t="str">
        <f>"📍  "&amp;IFERROR(_xlfn.XLOOKUP($E$31,$B$7:$B$23,$D$7:$D$23),"—")&amp;"      ·      "&amp;IFERROR(_xlfn.XLOOKUP($E$31,$B$7:$B$23,$E$7:$E$23),"—")&amp;"      ·      "&amp;IFERROR(_xlfn.XLOOKUP($E$31,$B$7:$B$23,$X$7:$X$23),"—")&amp;" region      ·      Status: "&amp;IFERROR(_xlfn.XLOOKUP($E$31,$B$7:$B$23,$Y$7:$Y$23),"—")&amp;"      ·      Completion: "&amp;IFERROR(TEXT(_xlfn.XLOOKUP($E$31,$B$7:$B$23,$F$7:$F$23),"dd-mmm-yyyy"),_xlfn.XLOOKUP($E$31,$B$7:$B$23,$F$7:$F$23))</f>
        <v>📍  Santo Tirso, Porto      ·      V3      ·      North region      ·      Status: Coming Soon      ·      Completion: 31-mar-yyyy</v>
      </c>
      <c r="H31" s="20"/>
      <c r="I31" s="20"/>
      <c r="J31" s="20"/>
      <c r="K31" s="20"/>
      <c r="L31" s="20"/>
      <c r="M31" s="20"/>
      <c r="N31" s="20"/>
      <c r="O31" s="20"/>
      <c r="P31" s="26"/>
      <c r="Q31" s="55"/>
      <c r="R31" s="55"/>
      <c r="S31" s="55"/>
      <c r="T31" s="55"/>
      <c r="U31" s="55"/>
      <c r="V31" s="55"/>
      <c r="W31" s="55"/>
      <c r="X31" s="55"/>
      <c r="Y31" s="55"/>
      <c r="Z31" s="55"/>
      <c r="AA31" s="55"/>
      <c r="AB31" s="55"/>
      <c r="AC31" s="55"/>
      <c r="AD31" s="55"/>
      <c r="AE31" s="55"/>
    </row>
    <row r="32" spans="2:31" x14ac:dyDescent="0.3">
      <c r="C32" s="4"/>
      <c r="D32" s="4"/>
      <c r="E32" s="5"/>
      <c r="F32" s="5"/>
      <c r="G32" s="4"/>
      <c r="H32" s="4"/>
      <c r="I32" s="4"/>
      <c r="J32" s="4"/>
      <c r="K32" s="4"/>
      <c r="L32" s="4"/>
      <c r="M32" s="4"/>
      <c r="N32" s="4"/>
      <c r="O32" s="4"/>
      <c r="P32" s="22"/>
      <c r="Q32" s="55"/>
      <c r="R32" s="55"/>
      <c r="S32" s="55"/>
      <c r="T32" s="55"/>
      <c r="U32" s="55"/>
      <c r="V32" s="55"/>
      <c r="W32" s="55"/>
      <c r="X32" s="55"/>
      <c r="Y32" s="55"/>
      <c r="Z32" s="55"/>
      <c r="AA32" s="55"/>
      <c r="AB32" s="55"/>
      <c r="AC32" s="55"/>
      <c r="AD32" s="55"/>
      <c r="AE32" s="55"/>
    </row>
    <row r="33" spans="2:31" x14ac:dyDescent="0.3">
      <c r="C33" s="153" t="s">
        <v>556</v>
      </c>
      <c r="D33" s="153"/>
      <c r="E33" s="153" t="s">
        <v>329</v>
      </c>
      <c r="F33" s="153"/>
      <c r="G33" s="153" t="s">
        <v>326</v>
      </c>
      <c r="H33" s="153"/>
      <c r="I33" s="153" t="s">
        <v>811</v>
      </c>
      <c r="J33" s="153"/>
      <c r="K33" s="153" t="s">
        <v>812</v>
      </c>
      <c r="L33" s="153"/>
      <c r="M33" s="30" t="s">
        <v>813</v>
      </c>
      <c r="N33" s="153" t="s">
        <v>814</v>
      </c>
      <c r="O33" s="153"/>
      <c r="P33" s="27"/>
      <c r="Q33" s="55"/>
      <c r="R33" s="55"/>
      <c r="S33" s="55"/>
      <c r="T33" s="55"/>
      <c r="U33" s="55"/>
      <c r="V33" s="55"/>
      <c r="W33" s="55"/>
      <c r="X33" s="55"/>
      <c r="Y33" s="55"/>
      <c r="Z33" s="55"/>
      <c r="AA33" s="55"/>
      <c r="AB33" s="55"/>
      <c r="AC33" s="55"/>
      <c r="AD33" s="55"/>
      <c r="AE33" s="55"/>
    </row>
    <row r="34" spans="2:31" ht="27.6" customHeight="1" thickBot="1" x14ac:dyDescent="0.35">
      <c r="C34" s="156">
        <f>_xlfn.XLOOKUP($E$31,$B$7:$B$23,$G$7:$G$23,0)</f>
        <v>45</v>
      </c>
      <c r="D34" s="156"/>
      <c r="E34" s="156">
        <f>_xlfn.XLOOKUP($E$31,$B$7:$B$23,$H$7:$H$23,0)</f>
        <v>20</v>
      </c>
      <c r="F34" s="156"/>
      <c r="G34" s="156">
        <f>_xlfn.XLOOKUP($E$31,$B$7:$B$23,$I$7:$I$23,0)</f>
        <v>0</v>
      </c>
      <c r="H34" s="156"/>
      <c r="I34" s="156">
        <f>_xlfn.XLOOKUP($E$31,$B$7:$B$23,$J$7:$J$23,0)</f>
        <v>0</v>
      </c>
      <c r="J34" s="156"/>
      <c r="K34" s="156">
        <f>_xlfn.XLOOKUP($E$31,$B$7:$B$23,$K$7:$K$23,0)</f>
        <v>0</v>
      </c>
      <c r="L34" s="156"/>
      <c r="M34" s="62">
        <f>_xlfn.XLOOKUP($E$31,$B$7:$B$23,$M$7:$M$23,0)</f>
        <v>0</v>
      </c>
      <c r="N34" s="154">
        <f>_xlfn.XLOOKUP($E$31,$B$7:$B$23,$N$7:$N$23,0)</f>
        <v>37.42</v>
      </c>
      <c r="O34" s="155"/>
      <c r="P34" s="28"/>
      <c r="Q34" s="60"/>
      <c r="R34" s="60"/>
      <c r="S34" s="60"/>
      <c r="T34" s="60"/>
      <c r="U34" s="60"/>
      <c r="V34" s="60"/>
      <c r="W34" s="60"/>
      <c r="X34" s="60"/>
      <c r="Y34" s="60"/>
      <c r="Z34" s="60"/>
      <c r="AA34" s="60"/>
      <c r="AB34" s="60"/>
      <c r="AC34" s="60"/>
    </row>
    <row r="35" spans="2:31" x14ac:dyDescent="0.3">
      <c r="B35" s="4"/>
      <c r="C35" s="18"/>
      <c r="D35" s="18"/>
      <c r="E35" s="18"/>
      <c r="F35" s="18"/>
      <c r="G35" s="18"/>
      <c r="H35" s="18"/>
      <c r="I35" s="18"/>
      <c r="J35" s="18"/>
      <c r="K35" s="18"/>
      <c r="L35" s="18"/>
      <c r="M35" s="4"/>
      <c r="N35" s="18"/>
      <c r="O35" s="18"/>
      <c r="P35" s="22"/>
      <c r="Q35" s="60"/>
      <c r="R35" s="60"/>
      <c r="S35" s="60"/>
      <c r="T35" s="60"/>
      <c r="U35" s="60"/>
      <c r="V35" s="60"/>
      <c r="W35" s="60"/>
      <c r="X35" s="60"/>
      <c r="Y35" s="60"/>
      <c r="Z35" s="60"/>
      <c r="AA35" s="60"/>
      <c r="AB35" s="60"/>
      <c r="AC35" s="60"/>
    </row>
    <row r="36" spans="2:31" ht="18" x14ac:dyDescent="0.3">
      <c r="C36" s="29" t="s">
        <v>816</v>
      </c>
      <c r="D36" s="29"/>
      <c r="E36" s="29"/>
      <c r="F36" s="29"/>
      <c r="G36" s="29"/>
      <c r="H36" s="29"/>
      <c r="I36" s="29"/>
      <c r="J36" s="29"/>
      <c r="K36" s="29"/>
      <c r="L36" s="29"/>
      <c r="M36" s="29"/>
      <c r="N36" s="29"/>
      <c r="O36" s="29"/>
      <c r="P36" s="23"/>
      <c r="Q36" s="60"/>
      <c r="R36" s="60"/>
      <c r="S36" s="60"/>
      <c r="T36" s="60"/>
      <c r="U36" s="60"/>
      <c r="V36" s="60"/>
      <c r="W36" s="60"/>
      <c r="X36" s="60"/>
      <c r="Y36" s="60"/>
      <c r="Z36" s="60"/>
      <c r="AA36" s="60"/>
      <c r="AB36" s="60"/>
      <c r="AC36" s="60"/>
    </row>
  </sheetData>
  <mergeCells count="30">
    <mergeCell ref="K34:L34"/>
    <mergeCell ref="K33:L33"/>
    <mergeCell ref="C31:D31"/>
    <mergeCell ref="E31:F31"/>
    <mergeCell ref="C33:D33"/>
    <mergeCell ref="E34:F34"/>
    <mergeCell ref="E33:F33"/>
    <mergeCell ref="G34:H34"/>
    <mergeCell ref="G33:H33"/>
    <mergeCell ref="N34:O34"/>
    <mergeCell ref="C34:D34"/>
    <mergeCell ref="N25:O25"/>
    <mergeCell ref="N26:O26"/>
    <mergeCell ref="C26:D26"/>
    <mergeCell ref="C25:D25"/>
    <mergeCell ref="E26:F26"/>
    <mergeCell ref="E25:F25"/>
    <mergeCell ref="G26:H26"/>
    <mergeCell ref="G25:H25"/>
    <mergeCell ref="I26:J26"/>
    <mergeCell ref="I25:J25"/>
    <mergeCell ref="K26:L26"/>
    <mergeCell ref="K25:L25"/>
    <mergeCell ref="I34:J34"/>
    <mergeCell ref="I33:J33"/>
    <mergeCell ref="I2:J2"/>
    <mergeCell ref="I4:J4"/>
    <mergeCell ref="L2:O2"/>
    <mergeCell ref="L4:O4"/>
    <mergeCell ref="N33:O33"/>
  </mergeCells>
  <conditionalFormatting sqref="B7:O23">
    <cfRule type="expression" dxfId="109" priority="3">
      <formula>ISEVEN(ROW())</formula>
    </cfRule>
    <cfRule type="expression" dxfId="108" priority="8" stopIfTrue="1">
      <formula>NOT(AND(OR($I$2="All regions",$I$2=$X7),OR($I$4="All statuses",$I$4=$Y7)))</formula>
    </cfRule>
  </conditionalFormatting>
  <conditionalFormatting sqref="H7:H23">
    <cfRule type="colorScale" priority="2">
      <colorScale>
        <cfvo type="min"/>
        <cfvo type="percentile" val="50"/>
        <cfvo type="max"/>
        <color rgb="FFFFFFFF"/>
        <color rgb="FFE4E7D9"/>
        <color rgb="FFB6BBA0"/>
      </colorScale>
    </cfRule>
  </conditionalFormatting>
  <conditionalFormatting sqref="M7:M23">
    <cfRule type="dataBar" priority="7">
      <dataBar>
        <cfvo type="num" val="0"/>
        <cfvo type="num" val="1"/>
        <color rgb="FF7E8466"/>
      </dataBar>
      <extLst>
        <ext xmlns:x14="http://schemas.microsoft.com/office/spreadsheetml/2009/9/main" uri="{B025F937-C7B1-47D3-B67F-A62EFF666E3E}">
          <x14:id>{DBA0DF1E-C622-3D47-A673-3C8095DEF319}</x14:id>
        </ext>
      </extLst>
    </cfRule>
  </conditionalFormatting>
  <conditionalFormatting sqref="M26">
    <cfRule type="dataBar" priority="9">
      <dataBar>
        <cfvo type="num" val="0"/>
        <cfvo type="num" val="1"/>
        <color rgb="FFCBD0BA"/>
      </dataBar>
      <extLst>
        <ext xmlns:x14="http://schemas.microsoft.com/office/spreadsheetml/2009/9/main" uri="{B025F937-C7B1-47D3-B67F-A62EFF666E3E}">
          <x14:id>{502E702A-845C-434B-BA98-8AC97B77AEE3}</x14:id>
        </ext>
      </extLst>
    </cfRule>
  </conditionalFormatting>
  <conditionalFormatting sqref="M34">
    <cfRule type="dataBar" priority="10">
      <dataBar>
        <cfvo type="num" val="0"/>
        <cfvo type="num" val="1"/>
        <color rgb="FFCABCA2"/>
      </dataBar>
      <extLst>
        <ext xmlns:x14="http://schemas.microsoft.com/office/spreadsheetml/2009/9/main" uri="{B025F937-C7B1-47D3-B67F-A62EFF666E3E}">
          <x14:id>{F535D608-DFD6-E74E-A7B7-BD7C3CEFC3C8}</x14:id>
        </ext>
      </extLst>
    </cfRule>
  </conditionalFormatting>
  <dataValidations count="3">
    <dataValidation type="list" allowBlank="1" showInputMessage="1" showErrorMessage="1" sqref="I2:I3" xr:uid="{2DC63DEE-630B-CA4D-A566-181F6F0C3F4E}">
      <formula1>$AA$4:$AA$9</formula1>
    </dataValidation>
    <dataValidation type="list" allowBlank="1" showInputMessage="1" showErrorMessage="1" sqref="I4:I5" xr:uid="{8AD21CC5-389A-0A44-B60D-7B10F0D3D580}">
      <formula1>$AC$4:$AC$8</formula1>
    </dataValidation>
    <dataValidation type="list" allowBlank="1" showInputMessage="1" showErrorMessage="1" sqref="E31" xr:uid="{291641DA-3471-444E-A996-B3D20EC90CA9}">
      <formula1>$B$7:$B$23</formula1>
    </dataValidation>
  </dataValidations>
  <hyperlinks>
    <hyperlink ref="B7" location="'Natura Village '!A1" display="Natura Village" xr:uid="{CAAA47DA-12D4-1B45-A05F-A6D4596DB27D}"/>
    <hyperlink ref="B8" location="'The Nine'!A1" display="The Nine" xr:uid="{9BE7D145-CC72-474C-8B4E-06BFDD88C54A}"/>
    <hyperlink ref="B10" location="'Terracota'!A1" display="Terracota" xr:uid="{A68FB623-FB40-4A42-8CD3-4354BD04416C}"/>
    <hyperlink ref="B11" location="'Nobilus'!A1" display="Nobilus" xr:uid="{4E493A55-BDD9-8248-8544-34F1087F3E90}"/>
    <hyperlink ref="B12" location="'Zestia'!A1" display="Zestia" xr:uid="{24F72B4F-BC72-2F4A-8970-07A4ACB94A59}"/>
    <hyperlink ref="B14" location="'Springs - At the Els'!A1" display="Springs - At the Els" xr:uid="{4A86E6F9-B4E3-B148-A8FD-6C8E2D6B82C5}"/>
    <hyperlink ref="B15" location="'Botanica'!A1" display="Botanica" xr:uid="{093E27FB-4A5D-7D48-9D84-BE4518A297F5}"/>
    <hyperlink ref="B16" location="'The Uncommon'!A1" display="The Uncommon" xr:uid="{CBA3A064-B2A6-4E4A-B8DC-A8BA21190A19}"/>
    <hyperlink ref="B17" location="'Rivus'!A1" display="Rivus" xr:uid="{C69B5FC0-19D2-7B49-B56A-5513F6A215EC}"/>
    <hyperlink ref="B18" location="'Sutaya'!A1" display="Sutaya" xr:uid="{1B8B61E0-B13B-1A40-8C9D-E79435B9406B}"/>
    <hyperlink ref="B19" location="'Azuya'!A1" display="Azuya" xr:uid="{0E113289-DD7B-184A-B499-578529B63567}"/>
    <hyperlink ref="B20" location="'Palmares'!A1" display="Palmares" xr:uid="{99133502-CBE9-064C-80F9-5BAF591FAFC6}"/>
    <hyperlink ref="B21" location="'Monte Rei'!A1" display="Monte Rei" xr:uid="{DE87292E-E6CD-644D-B7E7-A847597C0969}"/>
    <hyperlink ref="B22" location="'Aroeira Collections'!A1" display="Aroeira Collections" xr:uid="{D5357CA8-59DD-2242-B322-F21B37BDBA81}"/>
    <hyperlink ref="B23" location="'Vale Pisão Grand Park'!A1" display="Vale Pisão Grand Park" xr:uid="{E238BD2B-9F7A-FB4C-A238-94E6527CF98E}"/>
  </hyperlink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DBA0DF1E-C622-3D47-A673-3C8095DEF319}">
            <x14:dataBar minLength="0" maxLength="100" gradient="0" direction="leftToRight" negativeBarColorSameAsPositive="1" axisPosition="none">
              <x14:cfvo type="num">
                <xm:f>0</xm:f>
              </x14:cfvo>
              <x14:cfvo type="num">
                <xm:f>1</xm:f>
              </x14:cfvo>
            </x14:dataBar>
          </x14:cfRule>
          <xm:sqref>M7:M23</xm:sqref>
        </x14:conditionalFormatting>
        <x14:conditionalFormatting xmlns:xm="http://schemas.microsoft.com/office/excel/2006/main">
          <x14:cfRule type="dataBar" id="{502E702A-845C-434B-BA98-8AC97B77AEE3}">
            <x14:dataBar minLength="0" maxLength="100" gradient="0" direction="leftToRight" negativeBarColorSameAsPositive="1" axisPosition="none">
              <x14:cfvo type="num">
                <xm:f>0</xm:f>
              </x14:cfvo>
              <x14:cfvo type="num">
                <xm:f>1</xm:f>
              </x14:cfvo>
            </x14:dataBar>
          </x14:cfRule>
          <xm:sqref>M26</xm:sqref>
        </x14:conditionalFormatting>
        <x14:conditionalFormatting xmlns:xm="http://schemas.microsoft.com/office/excel/2006/main">
          <x14:cfRule type="dataBar" id="{F535D608-DFD6-E74E-A7B7-BD7C3CEFC3C8}">
            <x14:dataBar minLength="0" maxLength="100" gradient="0" direction="leftToRight" negativeBarColorSameAsPositive="1" axisPosition="none">
              <x14:cfvo type="num">
                <xm:f>0</xm:f>
              </x14:cfvo>
              <x14:cfvo type="num">
                <xm:f>1</xm:f>
              </x14:cfvo>
            </x14:dataBar>
          </x14:cfRule>
          <xm:sqref>M34</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EB038-9935-4FBE-BAF9-C3F14FD7D597}">
  <dimension ref="A1:P25"/>
  <sheetViews>
    <sheetView showGridLines="0" zoomScale="72" workbookViewId="0">
      <selection activeCell="B35" sqref="B35"/>
    </sheetView>
  </sheetViews>
  <sheetFormatPr defaultRowHeight="14.4" x14ac:dyDescent="0.3"/>
  <cols>
    <col min="1" max="1" width="21.109375" style="55" bestFit="1" customWidth="1"/>
    <col min="2" max="2" width="19.44140625" style="55" bestFit="1" customWidth="1"/>
    <col min="3" max="3" width="23.88671875" style="55" bestFit="1" customWidth="1"/>
    <col min="4" max="4" width="17.6640625" style="55" bestFit="1" customWidth="1"/>
    <col min="5" max="5" width="24.77734375" style="55" bestFit="1" customWidth="1"/>
    <col min="6" max="6" width="50.6640625" style="55" bestFit="1" customWidth="1"/>
    <col min="7" max="7" width="80.88671875" style="55" bestFit="1" customWidth="1"/>
    <col min="8" max="8" width="12" style="55" bestFit="1" customWidth="1"/>
    <col min="9" max="9" width="46.6640625" style="55" bestFit="1" customWidth="1"/>
    <col min="10" max="12" width="80.88671875" style="55" bestFit="1" customWidth="1"/>
    <col min="13" max="13" width="33.21875" style="55" bestFit="1" customWidth="1"/>
    <col min="14" max="14" width="17.21875" style="55" bestFit="1" customWidth="1"/>
    <col min="15" max="15" width="17.6640625" style="55" bestFit="1" customWidth="1"/>
    <col min="16" max="16" width="20.77734375" style="55" bestFit="1" customWidth="1"/>
    <col min="17" max="16384" width="8.88671875" style="55"/>
  </cols>
  <sheetData>
    <row r="1" spans="1:16" s="80" customFormat="1" x14ac:dyDescent="0.3">
      <c r="A1" s="135" t="s">
        <v>0</v>
      </c>
      <c r="B1" s="135" t="s">
        <v>935</v>
      </c>
      <c r="C1" s="135" t="s">
        <v>1</v>
      </c>
      <c r="D1" s="135" t="s">
        <v>792</v>
      </c>
      <c r="E1" s="135" t="s">
        <v>793</v>
      </c>
      <c r="F1" s="135" t="s">
        <v>2</v>
      </c>
      <c r="G1" s="135" t="s">
        <v>3</v>
      </c>
      <c r="H1" s="135" t="s">
        <v>936</v>
      </c>
      <c r="I1" s="135" t="s">
        <v>4</v>
      </c>
      <c r="J1" s="135" t="s">
        <v>937</v>
      </c>
      <c r="K1" s="135" t="s">
        <v>5</v>
      </c>
      <c r="L1" s="135" t="s">
        <v>794</v>
      </c>
      <c r="M1" s="135" t="s">
        <v>6</v>
      </c>
      <c r="N1" s="135" t="s">
        <v>938</v>
      </c>
      <c r="O1" s="135" t="s">
        <v>939</v>
      </c>
      <c r="P1" s="135" t="s">
        <v>7</v>
      </c>
    </row>
    <row r="2" spans="1:16" x14ac:dyDescent="0.3">
      <c r="A2" s="134" t="s">
        <v>8</v>
      </c>
      <c r="B2" s="55" t="s">
        <v>940</v>
      </c>
      <c r="C2" s="55" t="s">
        <v>9</v>
      </c>
      <c r="D2" s="55" t="s">
        <v>10</v>
      </c>
      <c r="E2" s="55" t="s">
        <v>941</v>
      </c>
      <c r="F2" s="55" t="s">
        <v>12</v>
      </c>
      <c r="G2" s="55" t="s">
        <v>942</v>
      </c>
      <c r="H2" s="55">
        <v>47</v>
      </c>
      <c r="I2" s="55" t="s">
        <v>943</v>
      </c>
      <c r="J2" s="55" t="s">
        <v>944</v>
      </c>
      <c r="K2" s="55" t="s">
        <v>13</v>
      </c>
      <c r="L2" s="55" t="s">
        <v>14</v>
      </c>
      <c r="M2" s="55" t="s">
        <v>15</v>
      </c>
      <c r="N2" s="55">
        <v>680000</v>
      </c>
      <c r="O2" s="55">
        <v>45426500</v>
      </c>
      <c r="P2" s="55" t="s">
        <v>945</v>
      </c>
    </row>
    <row r="3" spans="1:16" x14ac:dyDescent="0.3">
      <c r="A3" s="134" t="s">
        <v>16</v>
      </c>
      <c r="B3" s="55" t="s">
        <v>940</v>
      </c>
      <c r="C3" s="55" t="s">
        <v>9</v>
      </c>
      <c r="D3" s="55" t="s">
        <v>10</v>
      </c>
      <c r="E3" s="55" t="s">
        <v>941</v>
      </c>
      <c r="F3" s="55" t="s">
        <v>17</v>
      </c>
      <c r="G3" s="55" t="s">
        <v>18</v>
      </c>
      <c r="H3" s="55">
        <v>38</v>
      </c>
      <c r="I3" s="55" t="s">
        <v>946</v>
      </c>
      <c r="J3" s="55" t="s">
        <v>947</v>
      </c>
      <c r="K3" s="55" t="s">
        <v>19</v>
      </c>
      <c r="L3" s="55" t="s">
        <v>20</v>
      </c>
      <c r="M3" s="55" t="s">
        <v>21</v>
      </c>
      <c r="N3" s="55">
        <v>780000</v>
      </c>
      <c r="O3" s="55">
        <v>37774500</v>
      </c>
      <c r="P3" s="55" t="s">
        <v>948</v>
      </c>
    </row>
    <row r="4" spans="1:16" x14ac:dyDescent="0.3">
      <c r="A4" s="134" t="s">
        <v>22</v>
      </c>
      <c r="B4" s="55" t="s">
        <v>940</v>
      </c>
      <c r="C4" s="55" t="s">
        <v>9</v>
      </c>
      <c r="D4" s="55" t="s">
        <v>10</v>
      </c>
      <c r="E4" s="55" t="s">
        <v>23</v>
      </c>
      <c r="F4" s="55" t="s">
        <v>24</v>
      </c>
      <c r="G4" s="55" t="s">
        <v>949</v>
      </c>
      <c r="H4" s="55">
        <v>48</v>
      </c>
      <c r="I4" s="55" t="s">
        <v>943</v>
      </c>
      <c r="J4" s="55" t="s">
        <v>950</v>
      </c>
      <c r="K4" s="55" t="s">
        <v>25</v>
      </c>
      <c r="L4" s="55" t="s">
        <v>951</v>
      </c>
      <c r="M4" s="55" t="s">
        <v>26</v>
      </c>
      <c r="N4" s="55">
        <v>610000</v>
      </c>
      <c r="O4" s="55">
        <v>32790000</v>
      </c>
      <c r="P4" s="55" t="s">
        <v>952</v>
      </c>
    </row>
    <row r="5" spans="1:16" x14ac:dyDescent="0.3">
      <c r="A5" s="134" t="s">
        <v>27</v>
      </c>
      <c r="B5" s="55" t="s">
        <v>940</v>
      </c>
      <c r="C5" s="55" t="s">
        <v>9</v>
      </c>
      <c r="D5" s="55" t="s">
        <v>10</v>
      </c>
      <c r="E5" s="55" t="s">
        <v>941</v>
      </c>
      <c r="F5" s="55" t="s">
        <v>28</v>
      </c>
      <c r="G5" s="55" t="s">
        <v>29</v>
      </c>
      <c r="H5" s="55">
        <v>87</v>
      </c>
      <c r="I5" s="55" t="s">
        <v>943</v>
      </c>
      <c r="J5" s="55" t="s">
        <v>953</v>
      </c>
      <c r="K5" s="55" t="s">
        <v>954</v>
      </c>
      <c r="L5" s="55" t="s">
        <v>955</v>
      </c>
      <c r="M5" s="55" t="s">
        <v>30</v>
      </c>
      <c r="N5" s="55">
        <v>455000</v>
      </c>
      <c r="O5" s="55">
        <v>52244750</v>
      </c>
      <c r="P5" s="55" t="s">
        <v>956</v>
      </c>
    </row>
    <row r="6" spans="1:16" x14ac:dyDescent="0.3">
      <c r="A6" s="134" t="s">
        <v>31</v>
      </c>
      <c r="B6" s="55" t="s">
        <v>940</v>
      </c>
      <c r="C6" s="55" t="s">
        <v>9</v>
      </c>
      <c r="D6" s="55" t="s">
        <v>10</v>
      </c>
      <c r="E6" s="55" t="s">
        <v>941</v>
      </c>
      <c r="F6" s="55" t="s">
        <v>957</v>
      </c>
      <c r="G6" s="55" t="s">
        <v>958</v>
      </c>
      <c r="H6" s="55">
        <v>77</v>
      </c>
      <c r="I6" s="55" t="s">
        <v>943</v>
      </c>
      <c r="J6" s="55" t="s">
        <v>959</v>
      </c>
      <c r="K6" s="55" t="s">
        <v>33</v>
      </c>
      <c r="L6" s="55" t="s">
        <v>960</v>
      </c>
      <c r="M6" s="55" t="s">
        <v>15</v>
      </c>
      <c r="N6" s="55">
        <v>650000</v>
      </c>
      <c r="O6" s="55">
        <v>70100000</v>
      </c>
      <c r="P6" s="55" t="s">
        <v>961</v>
      </c>
    </row>
    <row r="7" spans="1:16" x14ac:dyDescent="0.3">
      <c r="A7" s="134" t="s">
        <v>962</v>
      </c>
      <c r="B7" s="55" t="s">
        <v>1022</v>
      </c>
      <c r="C7" s="55" t="s">
        <v>9</v>
      </c>
      <c r="D7" s="55" t="s">
        <v>10</v>
      </c>
      <c r="E7" s="55" t="s">
        <v>34</v>
      </c>
      <c r="F7" s="55" t="s">
        <v>32</v>
      </c>
      <c r="G7" s="55" t="s">
        <v>32</v>
      </c>
      <c r="I7" s="55" t="s">
        <v>963</v>
      </c>
      <c r="J7" s="55" t="s">
        <v>964</v>
      </c>
      <c r="K7" s="55" t="s">
        <v>965</v>
      </c>
      <c r="L7" s="55" t="s">
        <v>32</v>
      </c>
      <c r="M7" s="55" t="s">
        <v>966</v>
      </c>
      <c r="N7" s="55" t="s">
        <v>32</v>
      </c>
      <c r="O7" s="55">
        <v>333760000</v>
      </c>
      <c r="P7" s="55" t="s">
        <v>967</v>
      </c>
    </row>
    <row r="8" spans="1:16" x14ac:dyDescent="0.3">
      <c r="A8" s="134" t="s">
        <v>968</v>
      </c>
      <c r="B8" s="55" t="s">
        <v>1023</v>
      </c>
      <c r="C8" s="55" t="s">
        <v>9</v>
      </c>
      <c r="D8" s="55" t="s">
        <v>10</v>
      </c>
      <c r="E8" s="55" t="s">
        <v>35</v>
      </c>
      <c r="F8" s="55" t="s">
        <v>32</v>
      </c>
      <c r="G8" s="55" t="s">
        <v>32</v>
      </c>
      <c r="I8" s="55" t="s">
        <v>969</v>
      </c>
      <c r="J8" s="55" t="s">
        <v>970</v>
      </c>
      <c r="K8" s="55" t="s">
        <v>32</v>
      </c>
      <c r="L8" s="55" t="s">
        <v>32</v>
      </c>
      <c r="M8" s="55" t="s">
        <v>36</v>
      </c>
      <c r="N8" s="55" t="s">
        <v>32</v>
      </c>
      <c r="O8" s="55">
        <v>123200000</v>
      </c>
      <c r="P8" s="55" t="s">
        <v>971</v>
      </c>
    </row>
    <row r="9" spans="1:16" x14ac:dyDescent="0.3">
      <c r="A9" s="134" t="s">
        <v>37</v>
      </c>
      <c r="B9" s="55" t="s">
        <v>940</v>
      </c>
      <c r="C9" s="55" t="s">
        <v>9</v>
      </c>
      <c r="D9" s="55" t="s">
        <v>10</v>
      </c>
      <c r="E9" s="55" t="s">
        <v>35</v>
      </c>
      <c r="F9" s="55" t="s">
        <v>38</v>
      </c>
      <c r="G9" s="55" t="s">
        <v>39</v>
      </c>
      <c r="H9" s="55">
        <v>78</v>
      </c>
      <c r="I9" s="55" t="s">
        <v>972</v>
      </c>
      <c r="J9" s="55" t="s">
        <v>973</v>
      </c>
      <c r="K9" s="55" t="s">
        <v>40</v>
      </c>
      <c r="L9" s="55" t="s">
        <v>974</v>
      </c>
      <c r="M9" s="55" t="s">
        <v>41</v>
      </c>
      <c r="N9" s="55">
        <v>1250000</v>
      </c>
      <c r="O9" s="55">
        <v>142220000</v>
      </c>
      <c r="P9" s="55" t="s">
        <v>975</v>
      </c>
    </row>
    <row r="10" spans="1:16" x14ac:dyDescent="0.3">
      <c r="A10" s="134" t="s">
        <v>42</v>
      </c>
      <c r="B10" s="55" t="s">
        <v>940</v>
      </c>
      <c r="C10" s="55" t="s">
        <v>9</v>
      </c>
      <c r="D10" s="55" t="s">
        <v>10</v>
      </c>
      <c r="E10" s="55" t="s">
        <v>35</v>
      </c>
      <c r="F10" s="55" t="s">
        <v>43</v>
      </c>
      <c r="G10" s="55" t="s">
        <v>44</v>
      </c>
      <c r="H10" s="55">
        <v>62</v>
      </c>
      <c r="I10" s="55" t="s">
        <v>943</v>
      </c>
      <c r="J10" s="55" t="s">
        <v>976</v>
      </c>
      <c r="K10" s="55" t="s">
        <v>45</v>
      </c>
      <c r="L10" s="55" t="s">
        <v>46</v>
      </c>
      <c r="M10" s="55" t="s">
        <v>47</v>
      </c>
      <c r="N10" s="55">
        <v>600000</v>
      </c>
      <c r="O10" s="55">
        <v>53360000</v>
      </c>
      <c r="P10" s="55" t="s">
        <v>975</v>
      </c>
    </row>
    <row r="11" spans="1:16" x14ac:dyDescent="0.3">
      <c r="A11" s="134" t="s">
        <v>48</v>
      </c>
      <c r="B11" s="55" t="s">
        <v>940</v>
      </c>
      <c r="C11" s="55" t="s">
        <v>9</v>
      </c>
      <c r="D11" s="55" t="s">
        <v>10</v>
      </c>
      <c r="E11" s="55" t="s">
        <v>34</v>
      </c>
      <c r="F11" s="55" t="s">
        <v>977</v>
      </c>
      <c r="G11" s="55" t="s">
        <v>683</v>
      </c>
      <c r="H11" s="55">
        <v>92</v>
      </c>
      <c r="I11" s="55" t="s">
        <v>943</v>
      </c>
      <c r="J11" s="55" t="s">
        <v>978</v>
      </c>
      <c r="K11" s="55" t="s">
        <v>49</v>
      </c>
      <c r="L11" s="55" t="s">
        <v>50</v>
      </c>
      <c r="M11" s="55" t="s">
        <v>51</v>
      </c>
      <c r="N11" s="55">
        <v>650000</v>
      </c>
      <c r="O11" s="55">
        <v>118620000</v>
      </c>
      <c r="P11" s="55" t="s">
        <v>979</v>
      </c>
    </row>
    <row r="12" spans="1:16" x14ac:dyDescent="0.3">
      <c r="A12" s="134" t="s">
        <v>52</v>
      </c>
      <c r="B12" s="55" t="s">
        <v>940</v>
      </c>
      <c r="C12" s="55" t="s">
        <v>9</v>
      </c>
      <c r="D12" s="55" t="s">
        <v>10</v>
      </c>
      <c r="E12" s="55" t="s">
        <v>11</v>
      </c>
      <c r="F12" s="55" t="s">
        <v>53</v>
      </c>
      <c r="G12" s="55" t="s">
        <v>54</v>
      </c>
      <c r="H12" s="55">
        <v>55</v>
      </c>
      <c r="I12" s="55" t="s">
        <v>980</v>
      </c>
      <c r="J12" s="55" t="s">
        <v>981</v>
      </c>
      <c r="K12" s="55" t="s">
        <v>982</v>
      </c>
      <c r="L12" s="55" t="s">
        <v>983</v>
      </c>
      <c r="M12" s="55" t="s">
        <v>36</v>
      </c>
      <c r="N12" s="55">
        <v>910000</v>
      </c>
      <c r="O12" s="55">
        <v>72000000</v>
      </c>
      <c r="P12" s="55" t="s">
        <v>975</v>
      </c>
    </row>
    <row r="13" spans="1:16" x14ac:dyDescent="0.3">
      <c r="A13" s="134" t="s">
        <v>55</v>
      </c>
      <c r="B13" s="55" t="s">
        <v>940</v>
      </c>
      <c r="C13" s="55" t="s">
        <v>56</v>
      </c>
      <c r="D13" s="55" t="s">
        <v>57</v>
      </c>
      <c r="E13" s="55" t="s">
        <v>58</v>
      </c>
      <c r="F13" s="55" t="s">
        <v>984</v>
      </c>
      <c r="G13" s="55" t="s">
        <v>985</v>
      </c>
      <c r="H13" s="55">
        <v>16</v>
      </c>
      <c r="I13" s="55" t="s">
        <v>943</v>
      </c>
      <c r="J13" s="55" t="s">
        <v>986</v>
      </c>
      <c r="K13" s="55" t="s">
        <v>59</v>
      </c>
      <c r="L13" s="55" t="s">
        <v>60</v>
      </c>
      <c r="M13" s="55" t="s">
        <v>41</v>
      </c>
      <c r="N13" s="55">
        <v>4000000</v>
      </c>
      <c r="O13" s="55">
        <v>94800000</v>
      </c>
      <c r="P13" s="55" t="s">
        <v>987</v>
      </c>
    </row>
    <row r="14" spans="1:16" x14ac:dyDescent="0.3">
      <c r="A14" s="133" t="s">
        <v>62</v>
      </c>
      <c r="B14" s="55" t="s">
        <v>940</v>
      </c>
      <c r="C14" s="55" t="s">
        <v>63</v>
      </c>
      <c r="D14" s="55" t="s">
        <v>57</v>
      </c>
      <c r="E14" s="55" t="s">
        <v>58</v>
      </c>
      <c r="F14" s="55" t="s">
        <v>64</v>
      </c>
      <c r="G14" s="55" t="s">
        <v>988</v>
      </c>
      <c r="H14" s="55">
        <v>16</v>
      </c>
      <c r="I14" s="55" t="s">
        <v>943</v>
      </c>
      <c r="J14" s="55" t="s">
        <v>989</v>
      </c>
      <c r="K14" s="55" t="s">
        <v>65</v>
      </c>
      <c r="L14" s="55" t="s">
        <v>990</v>
      </c>
      <c r="M14" s="55" t="s">
        <v>61</v>
      </c>
      <c r="N14" s="55">
        <v>1750000</v>
      </c>
      <c r="O14" s="55">
        <v>41200000</v>
      </c>
      <c r="P14" s="55" t="s">
        <v>991</v>
      </c>
    </row>
    <row r="15" spans="1:16" x14ac:dyDescent="0.3">
      <c r="A15" s="133" t="s">
        <v>66</v>
      </c>
      <c r="B15" s="55" t="s">
        <v>940</v>
      </c>
      <c r="C15" s="55" t="s">
        <v>67</v>
      </c>
      <c r="D15" s="55" t="s">
        <v>57</v>
      </c>
      <c r="E15" s="55" t="s">
        <v>68</v>
      </c>
      <c r="F15" s="55" t="s">
        <v>69</v>
      </c>
      <c r="G15" s="55" t="s">
        <v>70</v>
      </c>
      <c r="H15" s="55">
        <v>36</v>
      </c>
      <c r="I15" s="55" t="s">
        <v>992</v>
      </c>
      <c r="J15" s="55" t="s">
        <v>993</v>
      </c>
      <c r="K15" s="55" t="s">
        <v>71</v>
      </c>
      <c r="L15" s="55" t="s">
        <v>994</v>
      </c>
      <c r="M15" s="55" t="s">
        <v>72</v>
      </c>
      <c r="N15" s="55">
        <v>850000</v>
      </c>
      <c r="O15" s="55">
        <v>64400000</v>
      </c>
      <c r="P15" s="55" t="s">
        <v>975</v>
      </c>
    </row>
    <row r="16" spans="1:16" x14ac:dyDescent="0.3">
      <c r="A16" s="133" t="s">
        <v>66</v>
      </c>
      <c r="B16" s="55" t="s">
        <v>940</v>
      </c>
      <c r="H16" s="55">
        <v>40</v>
      </c>
      <c r="I16" s="55" t="s">
        <v>995</v>
      </c>
      <c r="J16" s="55" t="s">
        <v>996</v>
      </c>
      <c r="N16" s="55">
        <v>530000</v>
      </c>
      <c r="O16" s="55">
        <v>38900000</v>
      </c>
      <c r="P16" s="55" t="s">
        <v>948</v>
      </c>
    </row>
    <row r="17" spans="1:16" x14ac:dyDescent="0.3">
      <c r="A17" s="133" t="s">
        <v>66</v>
      </c>
      <c r="B17" s="55" t="s">
        <v>940</v>
      </c>
      <c r="H17" s="55">
        <v>29</v>
      </c>
      <c r="I17" s="55" t="s">
        <v>997</v>
      </c>
      <c r="J17" s="55" t="s">
        <v>998</v>
      </c>
      <c r="N17" s="55">
        <v>660000</v>
      </c>
      <c r="O17" s="55">
        <v>30200000</v>
      </c>
      <c r="P17" s="55" t="s">
        <v>975</v>
      </c>
    </row>
    <row r="18" spans="1:16" x14ac:dyDescent="0.3">
      <c r="A18" s="133" t="s">
        <v>66</v>
      </c>
      <c r="B18" s="55" t="s">
        <v>1024</v>
      </c>
      <c r="H18" s="55">
        <v>51</v>
      </c>
      <c r="I18" s="55" t="s">
        <v>999</v>
      </c>
      <c r="J18" s="55" t="s">
        <v>32</v>
      </c>
      <c r="N18" s="55" t="s">
        <v>32</v>
      </c>
      <c r="O18" s="55">
        <v>67050000</v>
      </c>
      <c r="P18" s="55" t="s">
        <v>979</v>
      </c>
    </row>
    <row r="19" spans="1:16" x14ac:dyDescent="0.3">
      <c r="A19" s="133" t="s">
        <v>66</v>
      </c>
      <c r="B19" s="55" t="s">
        <v>1022</v>
      </c>
      <c r="H19" s="55">
        <v>40</v>
      </c>
      <c r="I19" s="55" t="s">
        <v>1000</v>
      </c>
      <c r="J19" s="55" t="s">
        <v>32</v>
      </c>
      <c r="N19" s="55" t="s">
        <v>32</v>
      </c>
      <c r="O19" s="55">
        <v>84000000</v>
      </c>
      <c r="P19" s="55" t="s">
        <v>1001</v>
      </c>
    </row>
    <row r="20" spans="1:16" x14ac:dyDescent="0.3">
      <c r="A20" s="133" t="s">
        <v>66</v>
      </c>
      <c r="B20" s="55" t="s">
        <v>1023</v>
      </c>
      <c r="H20" s="55">
        <v>16</v>
      </c>
      <c r="I20" s="55" t="s">
        <v>1002</v>
      </c>
      <c r="J20" s="55" t="s">
        <v>32</v>
      </c>
      <c r="N20" s="55" t="s">
        <v>32</v>
      </c>
      <c r="O20" s="55">
        <v>13120000</v>
      </c>
      <c r="P20" s="55" t="s">
        <v>32</v>
      </c>
    </row>
    <row r="21" spans="1:16" x14ac:dyDescent="0.3">
      <c r="A21" s="133" t="s">
        <v>66</v>
      </c>
      <c r="B21" s="55" t="s">
        <v>1025</v>
      </c>
      <c r="H21" s="55">
        <v>58</v>
      </c>
      <c r="I21" s="55" t="s">
        <v>1003</v>
      </c>
      <c r="J21" s="55" t="s">
        <v>32</v>
      </c>
      <c r="N21" s="55" t="s">
        <v>32</v>
      </c>
      <c r="O21" s="55">
        <v>105341000</v>
      </c>
      <c r="P21" s="55" t="s">
        <v>1001</v>
      </c>
    </row>
    <row r="22" spans="1:16" x14ac:dyDescent="0.3">
      <c r="A22" s="133" t="s">
        <v>73</v>
      </c>
      <c r="B22" s="55" t="s">
        <v>1026</v>
      </c>
      <c r="C22" s="55" t="s">
        <v>74</v>
      </c>
      <c r="D22" s="55" t="s">
        <v>57</v>
      </c>
      <c r="E22" s="55" t="s">
        <v>930</v>
      </c>
      <c r="F22" s="55" t="s">
        <v>75</v>
      </c>
      <c r="G22" s="55" t="s">
        <v>554</v>
      </c>
      <c r="H22" s="55">
        <v>82</v>
      </c>
      <c r="I22" s="55" t="s">
        <v>1004</v>
      </c>
      <c r="J22" s="55" t="s">
        <v>1005</v>
      </c>
      <c r="K22" s="55" t="s">
        <v>76</v>
      </c>
      <c r="L22" s="55" t="s">
        <v>77</v>
      </c>
      <c r="M22" s="55" t="s">
        <v>32</v>
      </c>
      <c r="N22" s="55">
        <v>670000</v>
      </c>
      <c r="O22" s="55" t="s">
        <v>32</v>
      </c>
      <c r="P22" s="55" t="s">
        <v>1006</v>
      </c>
    </row>
    <row r="23" spans="1:16" x14ac:dyDescent="0.3">
      <c r="A23" s="132" t="s">
        <v>78</v>
      </c>
      <c r="B23" s="55" t="s">
        <v>940</v>
      </c>
      <c r="C23" s="55" t="s">
        <v>79</v>
      </c>
      <c r="D23" s="55" t="s">
        <v>80</v>
      </c>
      <c r="E23" s="55" t="s">
        <v>81</v>
      </c>
      <c r="F23" s="55" t="s">
        <v>82</v>
      </c>
      <c r="G23" s="55" t="s">
        <v>83</v>
      </c>
      <c r="H23" s="55">
        <v>230</v>
      </c>
      <c r="I23" s="55" t="s">
        <v>1007</v>
      </c>
      <c r="J23" s="55" t="s">
        <v>1008</v>
      </c>
      <c r="K23" s="55" t="s">
        <v>84</v>
      </c>
      <c r="L23" s="55" t="s">
        <v>85</v>
      </c>
      <c r="M23" s="55" t="s">
        <v>86</v>
      </c>
      <c r="N23" s="55">
        <v>355000</v>
      </c>
      <c r="O23" s="55">
        <v>191400000</v>
      </c>
      <c r="P23" s="55" t="s">
        <v>961</v>
      </c>
    </row>
    <row r="24" spans="1:16" x14ac:dyDescent="0.3">
      <c r="A24" s="132" t="s">
        <v>1009</v>
      </c>
      <c r="B24" s="55" t="s">
        <v>1024</v>
      </c>
      <c r="C24" s="55" t="s">
        <v>88</v>
      </c>
      <c r="D24" s="55" t="s">
        <v>80</v>
      </c>
      <c r="E24" s="55" t="s">
        <v>81</v>
      </c>
      <c r="F24" s="55" t="s">
        <v>89</v>
      </c>
      <c r="G24" s="55" t="s">
        <v>90</v>
      </c>
      <c r="H24" s="55">
        <v>107</v>
      </c>
      <c r="I24" s="55" t="s">
        <v>1010</v>
      </c>
      <c r="J24" s="55" t="s">
        <v>1011</v>
      </c>
      <c r="K24" s="55" t="s">
        <v>91</v>
      </c>
      <c r="L24" s="55" t="s">
        <v>92</v>
      </c>
      <c r="M24" s="55" t="s">
        <v>30</v>
      </c>
      <c r="N24" s="55">
        <v>495000</v>
      </c>
      <c r="O24" s="55">
        <v>85000000</v>
      </c>
      <c r="P24" s="55" t="s">
        <v>967</v>
      </c>
    </row>
    <row r="25" spans="1:16" x14ac:dyDescent="0.3">
      <c r="A25" s="132" t="s">
        <v>1012</v>
      </c>
      <c r="B25" s="55" t="s">
        <v>940</v>
      </c>
      <c r="C25" s="55" t="s">
        <v>1013</v>
      </c>
      <c r="D25" s="55" t="s">
        <v>80</v>
      </c>
      <c r="E25" s="55" t="s">
        <v>1014</v>
      </c>
      <c r="F25" s="55" t="s">
        <v>1015</v>
      </c>
      <c r="G25" s="55" t="s">
        <v>1016</v>
      </c>
      <c r="H25" s="55">
        <v>135</v>
      </c>
      <c r="I25" s="55" t="s">
        <v>943</v>
      </c>
      <c r="J25" s="55" t="s">
        <v>1017</v>
      </c>
      <c r="K25" s="55" t="s">
        <v>1018</v>
      </c>
      <c r="L25" s="55" t="s">
        <v>1019</v>
      </c>
      <c r="M25" s="55" t="s">
        <v>1020</v>
      </c>
      <c r="N25" s="55">
        <v>450000</v>
      </c>
      <c r="O25" s="55">
        <v>112050000</v>
      </c>
      <c r="P25" s="55" t="s">
        <v>1021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99490-D4C2-4CB3-A8CC-9CD5FB696E43}">
  <dimension ref="A1:J1181"/>
  <sheetViews>
    <sheetView showGridLines="0" topLeftCell="A14" zoomScale="81" workbookViewId="0">
      <selection activeCell="A3" sqref="A3"/>
    </sheetView>
  </sheetViews>
  <sheetFormatPr defaultRowHeight="14.4" x14ac:dyDescent="0.3"/>
  <cols>
    <col min="1" max="1" width="20.44140625" bestFit="1" customWidth="1"/>
    <col min="2" max="2" width="31.88671875" bestFit="1" customWidth="1"/>
    <col min="3" max="3" width="26.44140625" customWidth="1"/>
    <col min="4" max="4" width="25.77734375" bestFit="1" customWidth="1"/>
    <col min="5" max="5" width="53.109375" bestFit="1" customWidth="1"/>
    <col min="6" max="6" width="25.44140625" bestFit="1" customWidth="1"/>
    <col min="7" max="7" width="33.6640625" bestFit="1" customWidth="1"/>
    <col min="9" max="9" width="11.88671875" bestFit="1" customWidth="1"/>
    <col min="10" max="10" width="15.44140625" bestFit="1" customWidth="1"/>
  </cols>
  <sheetData>
    <row r="1" spans="1:10" ht="21" x14ac:dyDescent="0.4">
      <c r="A1" s="162" t="s">
        <v>1027</v>
      </c>
      <c r="B1" s="163"/>
      <c r="C1" s="163"/>
      <c r="D1" s="163"/>
      <c r="E1" s="163"/>
      <c r="F1" s="163"/>
      <c r="G1" s="163"/>
      <c r="H1" s="163"/>
      <c r="I1" s="163"/>
      <c r="J1" s="163"/>
    </row>
    <row r="2" spans="1:10" x14ac:dyDescent="0.3">
      <c r="A2" s="164"/>
      <c r="B2" s="165"/>
      <c r="C2" s="165"/>
      <c r="D2" s="165"/>
      <c r="E2" s="165"/>
      <c r="F2" s="165"/>
      <c r="G2" s="165"/>
      <c r="H2" s="165"/>
      <c r="I2" s="165"/>
      <c r="J2" s="165"/>
    </row>
    <row r="4" spans="1:10" x14ac:dyDescent="0.3">
      <c r="A4" s="83" t="s">
        <v>1028</v>
      </c>
      <c r="B4" s="83">
        <f>COUNTA([1]DATABASE!A2:A1142)</f>
        <v>1141</v>
      </c>
    </row>
    <row r="5" spans="1:10" x14ac:dyDescent="0.3">
      <c r="A5" s="83" t="s">
        <v>1029</v>
      </c>
      <c r="B5" s="84">
        <f>AVERAGE(H12:H19)</f>
        <v>0.82800175284837862</v>
      </c>
    </row>
    <row r="6" spans="1:10" x14ac:dyDescent="0.3">
      <c r="A6" s="83" t="s">
        <v>1030</v>
      </c>
      <c r="B6" s="85">
        <f>SUM(F24:F28)</f>
        <v>48</v>
      </c>
    </row>
    <row r="7" spans="1:10" x14ac:dyDescent="0.3">
      <c r="A7" s="83" t="s">
        <v>1031</v>
      </c>
      <c r="B7" s="85">
        <f>SUM(F29:F30)</f>
        <v>97</v>
      </c>
    </row>
    <row r="8" spans="1:10" x14ac:dyDescent="0.3">
      <c r="A8" s="83" t="s">
        <v>1032</v>
      </c>
      <c r="B8" s="85">
        <f>SUM(F31:F34)</f>
        <v>114</v>
      </c>
    </row>
    <row r="9" spans="1:10" x14ac:dyDescent="0.3">
      <c r="A9" s="83" t="s">
        <v>1033</v>
      </c>
      <c r="B9" s="85">
        <f>COUNTIF(H41:H1181,"REVIEW")</f>
        <v>256</v>
      </c>
    </row>
    <row r="11" spans="1:10" x14ac:dyDescent="0.3">
      <c r="A11" s="91" t="s">
        <v>1034</v>
      </c>
      <c r="B11" s="91" t="s">
        <v>1035</v>
      </c>
      <c r="C11" s="91" t="s">
        <v>1036</v>
      </c>
      <c r="D11" s="91" t="s">
        <v>1037</v>
      </c>
      <c r="E11" s="91" t="s">
        <v>1038</v>
      </c>
      <c r="F11" s="91" t="s">
        <v>1039</v>
      </c>
      <c r="G11" s="91" t="s">
        <v>1040</v>
      </c>
      <c r="H11" s="91" t="s">
        <v>1041</v>
      </c>
    </row>
    <row r="12" spans="1:10" ht="18" customHeight="1" x14ac:dyDescent="0.3">
      <c r="A12" s="2" t="s">
        <v>1042</v>
      </c>
      <c r="B12" s="2" t="s">
        <v>355</v>
      </c>
      <c r="C12" s="86" t="s">
        <v>1043</v>
      </c>
      <c r="D12" s="86" t="s">
        <v>1044</v>
      </c>
      <c r="E12" s="87">
        <f t="shared" ref="E12:E19" si="0">G12-F12</f>
        <v>1133</v>
      </c>
      <c r="F12" s="87">
        <f>COUNTBLANK([1]DATABASE!T2:T1142)+COUNTIF([1]DATABASE!T2:T1142,0)</f>
        <v>8</v>
      </c>
      <c r="G12" s="87">
        <f>COUNTA([1]DATABASE!A2:A1142)</f>
        <v>1141</v>
      </c>
      <c r="H12" s="88">
        <f t="shared" ref="H12:H19" si="1">IFERROR(E12/G12,0)</f>
        <v>0.99298860648553899</v>
      </c>
    </row>
    <row r="13" spans="1:10" ht="18" customHeight="1" x14ac:dyDescent="0.3">
      <c r="A13" s="2" t="s">
        <v>1045</v>
      </c>
      <c r="B13" s="2" t="s">
        <v>354</v>
      </c>
      <c r="C13" s="86" t="s">
        <v>1043</v>
      </c>
      <c r="D13" s="86" t="s">
        <v>1044</v>
      </c>
      <c r="E13" s="87">
        <f t="shared" si="0"/>
        <v>1133</v>
      </c>
      <c r="F13" s="87">
        <f>COUNTBLANK([1]DATABASE!S2:S1142)+COUNTIF([1]DATABASE!S2:S1142,0)</f>
        <v>8</v>
      </c>
      <c r="G13" s="87">
        <f>COUNTA([1]DATABASE!A2:A1142)</f>
        <v>1141</v>
      </c>
      <c r="H13" s="88">
        <f t="shared" si="1"/>
        <v>0.99298860648553899</v>
      </c>
    </row>
    <row r="14" spans="1:10" ht="18" customHeight="1" x14ac:dyDescent="0.3">
      <c r="A14" s="2" t="s">
        <v>1046</v>
      </c>
      <c r="B14" s="2" t="s">
        <v>341</v>
      </c>
      <c r="C14" s="86" t="s">
        <v>1047</v>
      </c>
      <c r="D14" s="86" t="s">
        <v>1048</v>
      </c>
      <c r="E14" s="87">
        <f t="shared" si="0"/>
        <v>1102</v>
      </c>
      <c r="F14" s="87" cm="1">
        <f t="array" ref="F14">SUMPRODUCT(--(([1]DATABASE!F2:F1142="")+([1]DATABASE!F2:F1142&lt;=0)&gt;0))</f>
        <v>39</v>
      </c>
      <c r="G14" s="87">
        <f>COUNTA([1]DATABASE!A2:A1142)</f>
        <v>1141</v>
      </c>
      <c r="H14" s="88">
        <f t="shared" si="1"/>
        <v>0.96581945661700264</v>
      </c>
    </row>
    <row r="15" spans="1:10" ht="18" customHeight="1" x14ac:dyDescent="0.3">
      <c r="A15" s="2" t="s">
        <v>1049</v>
      </c>
      <c r="B15" s="2" t="s">
        <v>363</v>
      </c>
      <c r="C15" s="86" t="s">
        <v>1043</v>
      </c>
      <c r="D15" s="86" t="s">
        <v>1050</v>
      </c>
      <c r="E15" s="87">
        <f t="shared" si="0"/>
        <v>519</v>
      </c>
      <c r="F15" s="87">
        <f>COUNTBLANK([1]DATABASE!AB2:AB1142)</f>
        <v>622</v>
      </c>
      <c r="G15" s="87">
        <f>COUNTA([1]DATABASE!A2:A1142)</f>
        <v>1141</v>
      </c>
      <c r="H15" s="88">
        <f t="shared" si="1"/>
        <v>0.45486415425065729</v>
      </c>
    </row>
    <row r="16" spans="1:10" ht="18" customHeight="1" x14ac:dyDescent="0.3">
      <c r="A16" s="2" t="s">
        <v>93</v>
      </c>
      <c r="B16" s="2" t="s">
        <v>340</v>
      </c>
      <c r="C16" s="86" t="s">
        <v>1051</v>
      </c>
      <c r="D16" s="86" t="s">
        <v>1050</v>
      </c>
      <c r="E16" s="87">
        <f t="shared" si="0"/>
        <v>1141</v>
      </c>
      <c r="F16" s="87">
        <f>COUNTBLANK([1]DATABASE!E2:E1142)</f>
        <v>0</v>
      </c>
      <c r="G16" s="87">
        <f>COUNTA([1]DATABASE!A2:A1142)</f>
        <v>1141</v>
      </c>
      <c r="H16" s="88">
        <f t="shared" si="1"/>
        <v>1</v>
      </c>
    </row>
    <row r="17" spans="1:8" ht="18" customHeight="1" x14ac:dyDescent="0.3">
      <c r="A17" s="2" t="s">
        <v>1052</v>
      </c>
      <c r="B17" s="2" t="s">
        <v>364</v>
      </c>
      <c r="C17" s="86" t="s">
        <v>1043</v>
      </c>
      <c r="D17" s="86" t="s">
        <v>1050</v>
      </c>
      <c r="E17" s="87">
        <f t="shared" si="0"/>
        <v>1015</v>
      </c>
      <c r="F17" s="87">
        <f>COUNTBLANK([1]DATABASE!AC2:AC1142)</f>
        <v>126</v>
      </c>
      <c r="G17" s="87">
        <f>COUNTA([1]DATABASE!A2:A1142)</f>
        <v>1141</v>
      </c>
      <c r="H17" s="88">
        <f>IFERROR(E17/G17,0)</f>
        <v>0.88957055214723924</v>
      </c>
    </row>
    <row r="18" spans="1:8" ht="18" customHeight="1" x14ac:dyDescent="0.3">
      <c r="A18" s="2" t="s">
        <v>1053</v>
      </c>
      <c r="B18" s="2" t="s">
        <v>362</v>
      </c>
      <c r="C18" s="86" t="s">
        <v>1047</v>
      </c>
      <c r="D18" s="86" t="s">
        <v>1050</v>
      </c>
      <c r="E18" s="87">
        <f t="shared" si="0"/>
        <v>374</v>
      </c>
      <c r="F18" s="87">
        <f>COUNTBLANK([1]DATABASE!AA2:AA1142)</f>
        <v>767</v>
      </c>
      <c r="G18" s="87">
        <f>COUNTA([1]DATABASE!A2:A1142)</f>
        <v>1141</v>
      </c>
      <c r="H18" s="88">
        <f t="shared" si="1"/>
        <v>0.32778264680105174</v>
      </c>
    </row>
    <row r="19" spans="1:8" ht="18" customHeight="1" x14ac:dyDescent="0.3">
      <c r="A19" s="2" t="s">
        <v>918</v>
      </c>
      <c r="B19" s="2" t="s">
        <v>371</v>
      </c>
      <c r="C19" s="86" t="s">
        <v>1051</v>
      </c>
      <c r="D19" s="86" t="s">
        <v>1050</v>
      </c>
      <c r="E19" s="87">
        <f t="shared" si="0"/>
        <v>1141</v>
      </c>
      <c r="F19" s="87">
        <f>COUNTBLANK([1]DATABASE!AJ2:AJ1142)</f>
        <v>0</v>
      </c>
      <c r="G19" s="87">
        <f>COUNTA([1]DATABASE!A2:A1142)</f>
        <v>1141</v>
      </c>
      <c r="H19" s="88">
        <f t="shared" si="1"/>
        <v>1</v>
      </c>
    </row>
    <row r="21" spans="1:8" x14ac:dyDescent="0.3">
      <c r="A21" s="91" t="s">
        <v>1054</v>
      </c>
      <c r="B21" s="91" t="s">
        <v>1055</v>
      </c>
      <c r="C21" s="91" t="s">
        <v>1056</v>
      </c>
      <c r="D21" s="91" t="s">
        <v>1057</v>
      </c>
      <c r="E21" s="91" t="s">
        <v>1058</v>
      </c>
      <c r="F21" s="91" t="s">
        <v>1059</v>
      </c>
      <c r="G21" s="91" t="s">
        <v>96</v>
      </c>
    </row>
    <row r="22" spans="1:8" ht="18.600000000000001" customHeight="1" x14ac:dyDescent="0.3">
      <c r="A22" s="92" t="s">
        <v>1051</v>
      </c>
      <c r="B22" s="2" t="s">
        <v>1060</v>
      </c>
      <c r="C22" s="86" t="s">
        <v>1061</v>
      </c>
      <c r="D22" s="86" t="s">
        <v>1062</v>
      </c>
      <c r="E22" s="86" t="s">
        <v>1063</v>
      </c>
      <c r="F22" s="87">
        <f>COUNTIF(E39:E1179,"*Negative Discount*")</f>
        <v>9</v>
      </c>
      <c r="G22" s="2" t="str">
        <f>IF(F22=0,"PASS","REVIEW")</f>
        <v>REVIEW</v>
      </c>
    </row>
    <row r="23" spans="1:8" ht="18.600000000000001" customHeight="1" x14ac:dyDescent="0.3">
      <c r="A23" s="92" t="s">
        <v>1051</v>
      </c>
      <c r="B23" s="2" t="s">
        <v>1064</v>
      </c>
      <c r="C23" s="86" t="s">
        <v>1065</v>
      </c>
      <c r="D23" s="86" t="s">
        <v>1066</v>
      </c>
      <c r="E23" s="86" t="s">
        <v>1067</v>
      </c>
      <c r="F23" s="87">
        <f>COUNTIF(E39:E1179,"*Sell Price &gt; Current*")</f>
        <v>10</v>
      </c>
      <c r="G23" s="2" t="str">
        <f t="shared" ref="G23:G32" si="2">IF(F23=0,"PASS","REVIEW")</f>
        <v>REVIEW</v>
      </c>
    </row>
    <row r="24" spans="1:8" ht="18.600000000000001" customHeight="1" x14ac:dyDescent="0.3">
      <c r="A24" s="92" t="s">
        <v>1051</v>
      </c>
      <c r="B24" s="2" t="s">
        <v>1068</v>
      </c>
      <c r="C24" s="86" t="s">
        <v>1069</v>
      </c>
      <c r="D24" s="86" t="s">
        <v>1070</v>
      </c>
      <c r="E24" s="86" t="s">
        <v>1071</v>
      </c>
      <c r="F24" s="87">
        <f>COUNTIF(E39:E1179,"*Deeded no PSPA Date*")</f>
        <v>11</v>
      </c>
      <c r="G24" s="2" t="str">
        <f t="shared" si="2"/>
        <v>REVIEW</v>
      </c>
    </row>
    <row r="25" spans="1:8" ht="18.600000000000001" customHeight="1" x14ac:dyDescent="0.3">
      <c r="A25" s="92" t="s">
        <v>1051</v>
      </c>
      <c r="B25" s="2" t="s">
        <v>1072</v>
      </c>
      <c r="C25" s="86" t="s">
        <v>1073</v>
      </c>
      <c r="D25" s="86" t="s">
        <v>1074</v>
      </c>
      <c r="E25" s="86" t="s">
        <v>1075</v>
      </c>
      <c r="F25" s="87">
        <f>COUNTIF(E39:E1179,"*Missing Typology*")</f>
        <v>0</v>
      </c>
      <c r="G25" s="2" t="str">
        <f t="shared" si="2"/>
        <v>PASS</v>
      </c>
    </row>
    <row r="26" spans="1:8" ht="18.600000000000001" customHeight="1" x14ac:dyDescent="0.3">
      <c r="A26" s="92" t="s">
        <v>1051</v>
      </c>
      <c r="B26" s="2" t="s">
        <v>1076</v>
      </c>
      <c r="C26" s="86" t="s">
        <v>1077</v>
      </c>
      <c r="D26" s="86" t="s">
        <v>1078</v>
      </c>
      <c r="E26" s="86" t="s">
        <v>1079</v>
      </c>
      <c r="F26" s="87">
        <f>COUNTIF(E39:E1179,"*Missing Development*")</f>
        <v>0</v>
      </c>
      <c r="G26" s="2" t="str">
        <f t="shared" si="2"/>
        <v>PASS</v>
      </c>
    </row>
    <row r="27" spans="1:8" ht="18.600000000000001" customHeight="1" x14ac:dyDescent="0.3">
      <c r="A27" s="93" t="s">
        <v>1047</v>
      </c>
      <c r="B27" s="2" t="s">
        <v>1080</v>
      </c>
      <c r="C27" s="86" t="s">
        <v>1081</v>
      </c>
      <c r="D27" s="86" t="s">
        <v>1082</v>
      </c>
      <c r="E27" s="86" t="s">
        <v>1071</v>
      </c>
      <c r="F27" s="87">
        <f>COUNTIF(F39:F1179,"*Reserved/PSPA no PSPA Date*")</f>
        <v>23</v>
      </c>
      <c r="G27" s="2" t="str">
        <f t="shared" si="2"/>
        <v>REVIEW</v>
      </c>
    </row>
    <row r="28" spans="1:8" ht="18.600000000000001" customHeight="1" x14ac:dyDescent="0.3">
      <c r="A28" s="93" t="s">
        <v>1047</v>
      </c>
      <c r="B28" s="2" t="s">
        <v>1083</v>
      </c>
      <c r="C28" s="86" t="s">
        <v>1084</v>
      </c>
      <c r="D28" s="86" t="s">
        <v>1085</v>
      </c>
      <c r="E28" s="86" t="s">
        <v>1071</v>
      </c>
      <c r="F28" s="87">
        <f>COUNTIF(F39:F1179,"*Available has PSPA Date*")</f>
        <v>14</v>
      </c>
      <c r="G28" s="2" t="str">
        <f t="shared" si="2"/>
        <v>REVIEW</v>
      </c>
    </row>
    <row r="29" spans="1:8" ht="18.600000000000001" customHeight="1" x14ac:dyDescent="0.3">
      <c r="A29" s="94" t="s">
        <v>1043</v>
      </c>
      <c r="B29" s="2" t="s">
        <v>1086</v>
      </c>
      <c r="C29" s="86" t="s">
        <v>1087</v>
      </c>
      <c r="D29" s="86" t="s">
        <v>1088</v>
      </c>
      <c r="E29" s="86" t="s">
        <v>1089</v>
      </c>
      <c r="F29" s="87">
        <f>COUNTIF(G39:G1179,"*Heavy Price Cut*")</f>
        <v>91</v>
      </c>
      <c r="G29" s="2" t="str">
        <f t="shared" si="2"/>
        <v>REVIEW</v>
      </c>
    </row>
    <row r="30" spans="1:8" ht="18.600000000000001" customHeight="1" x14ac:dyDescent="0.3">
      <c r="A30" s="94" t="s">
        <v>1043</v>
      </c>
      <c r="B30" s="2" t="s">
        <v>1090</v>
      </c>
      <c r="C30" s="86" t="s">
        <v>1091</v>
      </c>
      <c r="D30" s="86" t="s">
        <v>1092</v>
      </c>
      <c r="E30" s="86" t="s">
        <v>1093</v>
      </c>
      <c r="F30" s="87">
        <f>COUNTIF(G39:G1179,"*Active Unit no Price*")</f>
        <v>6</v>
      </c>
      <c r="G30" s="2" t="str">
        <f t="shared" si="2"/>
        <v>REVIEW</v>
      </c>
    </row>
    <row r="31" spans="1:8" ht="18.600000000000001" customHeight="1" x14ac:dyDescent="0.3">
      <c r="A31" s="94" t="s">
        <v>1043</v>
      </c>
      <c r="B31" s="2" t="s">
        <v>1094</v>
      </c>
      <c r="C31" s="86" t="s">
        <v>1095</v>
      </c>
      <c r="D31" s="86" t="s">
        <v>1096</v>
      </c>
      <c r="E31" s="86" t="s">
        <v>1097</v>
      </c>
      <c r="F31" s="87">
        <f>COUNTIF(G39:G1179,"*Active no Owner*")</f>
        <v>75</v>
      </c>
      <c r="G31" s="2" t="str">
        <f t="shared" si="2"/>
        <v>REVIEW</v>
      </c>
    </row>
    <row r="32" spans="1:8" ht="18.600000000000001" customHeight="1" x14ac:dyDescent="0.3">
      <c r="A32" s="94" t="s">
        <v>1043</v>
      </c>
      <c r="B32" s="2" t="s">
        <v>1098</v>
      </c>
      <c r="C32" s="86" t="s">
        <v>1099</v>
      </c>
      <c r="D32" s="86" t="s">
        <v>1100</v>
      </c>
      <c r="E32" s="86" t="s">
        <v>1101</v>
      </c>
      <c r="F32" s="87">
        <f>COUNTIF(G39:G1179,"*Missing/Invalid Area*")</f>
        <v>39</v>
      </c>
      <c r="G32" s="2" t="str">
        <f t="shared" si="2"/>
        <v>REVIEW</v>
      </c>
    </row>
    <row r="38" spans="1:10" x14ac:dyDescent="0.3">
      <c r="A38" s="166" t="s">
        <v>1102</v>
      </c>
      <c r="B38" s="167"/>
      <c r="C38" s="167"/>
      <c r="D38" s="167"/>
      <c r="E38" s="167"/>
      <c r="F38" s="167"/>
      <c r="G38" s="167"/>
      <c r="H38" s="167"/>
      <c r="I38" s="167"/>
      <c r="J38" s="167"/>
    </row>
    <row r="40" spans="1:10" x14ac:dyDescent="0.3">
      <c r="A40" s="91" t="s">
        <v>1103</v>
      </c>
      <c r="B40" s="91" t="s">
        <v>918</v>
      </c>
      <c r="C40" s="91" t="s">
        <v>765</v>
      </c>
      <c r="D40" s="91" t="s">
        <v>624</v>
      </c>
      <c r="E40" s="91" t="s">
        <v>1104</v>
      </c>
      <c r="F40" s="91" t="s">
        <v>1105</v>
      </c>
      <c r="G40" s="91" t="s">
        <v>1106</v>
      </c>
      <c r="H40" s="91" t="s">
        <v>1107</v>
      </c>
      <c r="I40" s="91" t="s">
        <v>1042</v>
      </c>
      <c r="J40" s="91" t="s">
        <v>792</v>
      </c>
    </row>
    <row r="41" spans="1:10" ht="13.95" customHeight="1" x14ac:dyDescent="0.3">
      <c r="A41">
        <f>ROW([1]DATABASE!A2)</f>
        <v>2</v>
      </c>
      <c r="B41" t="str">
        <f>[1]DATABASE!AJ2</f>
        <v>Terracota</v>
      </c>
      <c r="C41" s="89" t="str">
        <f>[1]DATABASE!C2</f>
        <v>K</v>
      </c>
      <c r="D41" t="str">
        <f>TRIM([1]DATABASE!Q2)</f>
        <v>PSPA</v>
      </c>
      <c r="E41" s="82" t="str">
        <f>_xlfn.TEXTJOIN("; ",TRUE,IF([1]DATABASE!X2&lt;0,"Negative Discount",""),IF(AND([1]DATABASE!Y2&gt;[1]DATABASE!T2,[1]DATABASE!Y2&gt;0,[1]DATABASE!T2&gt;0),"Sell Price &gt; Current",""),IF(AND(TRIM([1]DATABASE!Q2)="DEED",[1]DATABASE!AA2=""),"Deeded no PSPA Date",""),IF([1]DATABASE!E2="","Missing Typology",""),IF([1]DATABASE!AJ2="","Missing Development",""))</f>
        <v>Negative Discount; Sell Price &gt; Current</v>
      </c>
      <c r="F41" s="82" t="str">
        <f>_xlfn.TEXTJOIN("; ",TRUE,IF(AND(OR(TRIM([1]DATABASE!Q2)="RESERVED",TRIM([1]DATABASE!Q2)="PRE-RESERVED",TRIM([1]DATABASE!Q2)="PSPA"),[1]DATABASE!AA2=""),"Reserved/PSPA no PSPA Date",""),IF(AND(TRIM([1]DATABASE!Q2)="AVAILABLE",[1]DATABASE!AA2&lt;&gt;""),"Available has PSPA Date",""))</f>
        <v/>
      </c>
      <c r="G41" s="82" t="str">
        <f>_xlfn.TEXTJOIN("; ",TRUE,IF(AND([1]DATABASE!T2&lt;0.8*[1]DATABASE!S2,[1]DATABASE!T2&gt;0,[1]DATABASE!S2&gt;0),"Heavy Price Cut &gt;20%",""),IF(AND(OR(TRIM([1]DATABASE!Q2)="AVAILABLE",TRIM([1]DATABASE!Q2)="UPON REQUEST"),OR([1]DATABASE!T2="",[1]DATABASE!T2=0)),"Active Unit no Price",""),IF(AND(OR(TRIM([1]DATABASE!Q2)="AVAILABLE",TRIM([1]DATABASE!Q2)="RESERVED",TRIM([1]DATABASE!Q2)="PRE-RESERVED",TRIM([1]DATABASE!Q2)="PSPA"),[1]DATABASE!AC2=""),"Active no Owner",""),IF(OR([1]DATABASE!F2="",[1]DATABASE!F2&lt;=0),"Missing/Invalid Area",""),IF(AND([1]DATABASE!T2&gt;0,ABS([1]DATABASE!T2-[1]DATABASE!W2-[1]DATABASE!U2-[1]DATABASE!V2)&gt;1),"Price Bridge Mismatch",""))</f>
        <v/>
      </c>
      <c r="H41" t="str">
        <f>IF(LEN(E41&amp;F41&amp;G41)&gt;0,"REVIEW","PASS")</f>
        <v>REVIEW</v>
      </c>
      <c r="I41" s="90">
        <f>[1]DATABASE!T2</f>
        <v>418000</v>
      </c>
      <c r="J41" t="str">
        <f>[1]DATABASE!AC2</f>
        <v>Ana Damásio</v>
      </c>
    </row>
    <row r="42" spans="1:10" ht="13.95" customHeight="1" x14ac:dyDescent="0.3">
      <c r="A42">
        <f>ROW([1]DATABASE!A3)</f>
        <v>3</v>
      </c>
      <c r="B42" t="str">
        <f>[1]DATABASE!AJ3</f>
        <v>Nobilus</v>
      </c>
      <c r="C42" t="str">
        <f>[1]DATABASE!C3</f>
        <v>AK</v>
      </c>
      <c r="D42" t="str">
        <f>TRIM([1]DATABASE!Q3)</f>
        <v>PSPA</v>
      </c>
      <c r="E42" s="82" t="str">
        <f>_xlfn.TEXTJOIN("; ",TRUE,IF([1]DATABASE!X3&lt;0,"Negative Discount",""),IF(AND([1]DATABASE!Y3&gt;[1]DATABASE!T3,[1]DATABASE!Y3&gt;0,[1]DATABASE!T3&gt;0),"Sell Price &gt; Current",""),IF(AND(TRIM([1]DATABASE!Q3)="DEED",[1]DATABASE!AA3=""),"Deeded no PSPA Date",""),IF([1]DATABASE!E3="","Missing Typology",""),IF([1]DATABASE!AJ3="","Missing Development",""))</f>
        <v>Negative Discount; Sell Price &gt; Current</v>
      </c>
      <c r="F42" s="82" t="str">
        <f>_xlfn.TEXTJOIN("; ",TRUE,IF(AND(OR(TRIM([1]DATABASE!Q3)="RESERVED",TRIM([1]DATABASE!Q3)="PRE-RESERVED",TRIM([1]DATABASE!Q3)="PSPA"),[1]DATABASE!AA3=""),"Reserved/PSPA no PSPA Date",""),IF(AND(TRIM([1]DATABASE!Q3)="AVAILABLE",[1]DATABASE!AA3&lt;&gt;""),"Available has PSPA Date",""))</f>
        <v/>
      </c>
      <c r="G42" s="82" t="str">
        <f>_xlfn.TEXTJOIN("; ",TRUE,IF(AND([1]DATABASE!T3&lt;0.8*[1]DATABASE!S3,[1]DATABASE!T3&gt;0,[1]DATABASE!S3&gt;0),"Heavy Price Cut &gt;20%",""),IF(AND(OR(TRIM([1]DATABASE!Q3)="AVAILABLE",TRIM([1]DATABASE!Q3)="UPON REQUEST"),OR([1]DATABASE!T3="",[1]DATABASE!T3=0)),"Active Unit no Price",""),IF(AND(OR(TRIM([1]DATABASE!Q3)="AVAILABLE",TRIM([1]DATABASE!Q3)="RESERVED",TRIM([1]DATABASE!Q3)="PRE-RESERVED",TRIM([1]DATABASE!Q3)="PSPA"),[1]DATABASE!AC3=""),"Active no Owner",""),IF(OR([1]DATABASE!F3="",[1]DATABASE!F3&lt;=0),"Missing/Invalid Area",""),IF(AND([1]DATABASE!T3&gt;0,ABS([1]DATABASE!T3-[1]DATABASE!W3-[1]DATABASE!U3-[1]DATABASE!V3)&gt;1),"Price Bridge Mismatch",""))</f>
        <v/>
      </c>
      <c r="H42" t="str">
        <f t="shared" ref="H42:H105" si="3">IF(LEN(E42&amp;F42&amp;G42)&gt;0,"REVIEW","PASS")</f>
        <v>REVIEW</v>
      </c>
      <c r="I42" s="90">
        <f>[1]DATABASE!T3</f>
        <v>650000</v>
      </c>
      <c r="J42" t="str">
        <f>[1]DATABASE!AC3</f>
        <v>Ana Damásio</v>
      </c>
    </row>
    <row r="43" spans="1:10" ht="13.95" customHeight="1" x14ac:dyDescent="0.3">
      <c r="A43">
        <f>ROW([1]DATABASE!A4)</f>
        <v>4</v>
      </c>
      <c r="B43" t="str">
        <f>[1]DATABASE!AJ4</f>
        <v>Botanica</v>
      </c>
      <c r="C43" t="str">
        <f>[1]DATABASE!C4</f>
        <v>AM</v>
      </c>
      <c r="D43" t="str">
        <f>TRIM([1]DATABASE!Q4)</f>
        <v>RESERVED</v>
      </c>
      <c r="E43" s="82" t="str">
        <f>_xlfn.TEXTJOIN("; ",TRUE,IF([1]DATABASE!X4&lt;0,"Negative Discount",""),IF(AND([1]DATABASE!Y4&gt;[1]DATABASE!T4,[1]DATABASE!Y4&gt;0,[1]DATABASE!T4&gt;0),"Sell Price &gt; Current",""),IF(AND(TRIM([1]DATABASE!Q4)="DEED",[1]DATABASE!AA4=""),"Deeded no PSPA Date",""),IF([1]DATABASE!E4="","Missing Typology",""),IF([1]DATABASE!AJ4="","Missing Development",""))</f>
        <v>Negative Discount; Sell Price &gt; Current</v>
      </c>
      <c r="F43" s="82" t="str">
        <f>_xlfn.TEXTJOIN("; ",TRUE,IF(AND(OR(TRIM([1]DATABASE!Q4)="RESERVED",TRIM([1]DATABASE!Q4)="PRE-RESERVED",TRIM([1]DATABASE!Q4)="PSPA"),[1]DATABASE!AA4=""),"Reserved/PSPA no PSPA Date",""),IF(AND(TRIM([1]DATABASE!Q4)="AVAILABLE",[1]DATABASE!AA4&lt;&gt;""),"Available has PSPA Date",""))</f>
        <v>Reserved/PSPA no PSPA Date</v>
      </c>
      <c r="G43" s="82" t="str">
        <f>_xlfn.TEXTJOIN("; ",TRUE,IF(AND([1]DATABASE!T4&lt;0.8*[1]DATABASE!S4,[1]DATABASE!T4&gt;0,[1]DATABASE!S4&gt;0),"Heavy Price Cut &gt;20%",""),IF(AND(OR(TRIM([1]DATABASE!Q4)="AVAILABLE",TRIM([1]DATABASE!Q4)="UPON REQUEST"),OR([1]DATABASE!T4="",[1]DATABASE!T4=0)),"Active Unit no Price",""),IF(AND(OR(TRIM([1]DATABASE!Q4)="AVAILABLE",TRIM([1]DATABASE!Q4)="RESERVED",TRIM([1]DATABASE!Q4)="PRE-RESERVED",TRIM([1]DATABASE!Q4)="PSPA"),[1]DATABASE!AC4=""),"Active no Owner",""),IF(OR([1]DATABASE!F4="",[1]DATABASE!F4&lt;=0),"Missing/Invalid Area",""),IF(AND([1]DATABASE!T4&gt;0,ABS([1]DATABASE!T4-[1]DATABASE!W4-[1]DATABASE!U4-[1]DATABASE!V4)&gt;1),"Price Bridge Mismatch",""))</f>
        <v/>
      </c>
      <c r="H43" t="str">
        <f t="shared" si="3"/>
        <v>REVIEW</v>
      </c>
      <c r="I43" s="90">
        <f>[1]DATABASE!T4</f>
        <v>1670000</v>
      </c>
      <c r="J43" t="str">
        <f>[1]DATABASE!AC4</f>
        <v>Ana Damásio</v>
      </c>
    </row>
    <row r="44" spans="1:10" ht="13.95" customHeight="1" x14ac:dyDescent="0.3">
      <c r="A44">
        <f>ROW([1]DATABASE!A5)</f>
        <v>5</v>
      </c>
      <c r="B44" t="str">
        <f>[1]DATABASE!AJ5</f>
        <v>Botanica</v>
      </c>
      <c r="C44" t="str">
        <f>[1]DATABASE!C5</f>
        <v>J</v>
      </c>
      <c r="D44" t="str">
        <f>TRIM([1]DATABASE!Q5)</f>
        <v>PRE-RESERVED</v>
      </c>
      <c r="E44" s="82" t="str">
        <f>_xlfn.TEXTJOIN("; ",TRUE,IF([1]DATABASE!X5&lt;0,"Negative Discount",""),IF(AND([1]DATABASE!Y5&gt;[1]DATABASE!T5,[1]DATABASE!Y5&gt;0,[1]DATABASE!T5&gt;0),"Sell Price &gt; Current",""),IF(AND(TRIM([1]DATABASE!Q5)="DEED",[1]DATABASE!AA5=""),"Deeded no PSPA Date",""),IF([1]DATABASE!E5="","Missing Typology",""),IF([1]DATABASE!AJ5="","Missing Development",""))</f>
        <v>Negative Discount; Sell Price &gt; Current</v>
      </c>
      <c r="F44" s="82" t="str">
        <f>_xlfn.TEXTJOIN("; ",TRUE,IF(AND(OR(TRIM([1]DATABASE!Q5)="RESERVED",TRIM([1]DATABASE!Q5)="PRE-RESERVED",TRIM([1]DATABASE!Q5)="PSPA"),[1]DATABASE!AA5=""),"Reserved/PSPA no PSPA Date",""),IF(AND(TRIM([1]DATABASE!Q5)="AVAILABLE",[1]DATABASE!AA5&lt;&gt;""),"Available has PSPA Date",""))</f>
        <v>Reserved/PSPA no PSPA Date</v>
      </c>
      <c r="G44" s="82" t="str">
        <f>_xlfn.TEXTJOIN("; ",TRUE,IF(AND([1]DATABASE!T5&lt;0.8*[1]DATABASE!S5,[1]DATABASE!T5&gt;0,[1]DATABASE!S5&gt;0),"Heavy Price Cut &gt;20%",""),IF(AND(OR(TRIM([1]DATABASE!Q5)="AVAILABLE",TRIM([1]DATABASE!Q5)="UPON REQUEST"),OR([1]DATABASE!T5="",[1]DATABASE!T5=0)),"Active Unit no Price",""),IF(AND(OR(TRIM([1]DATABASE!Q5)="AVAILABLE",TRIM([1]DATABASE!Q5)="RESERVED",TRIM([1]DATABASE!Q5)="PRE-RESERVED",TRIM([1]DATABASE!Q5)="PSPA"),[1]DATABASE!AC5=""),"Active no Owner",""),IF(OR([1]DATABASE!F5="",[1]DATABASE!F5&lt;=0),"Missing/Invalid Area",""),IF(AND([1]DATABASE!T5&gt;0,ABS([1]DATABASE!T5-[1]DATABASE!W5-[1]DATABASE!U5-[1]DATABASE!V5)&gt;1),"Price Bridge Mismatch",""))</f>
        <v/>
      </c>
      <c r="H44" t="str">
        <f t="shared" si="3"/>
        <v>REVIEW</v>
      </c>
      <c r="I44" s="90">
        <f>[1]DATABASE!T5</f>
        <v>1670400</v>
      </c>
      <c r="J44" t="str">
        <f>[1]DATABASE!AC5</f>
        <v>Ana Damásio</v>
      </c>
    </row>
    <row r="45" spans="1:10" ht="13.95" customHeight="1" x14ac:dyDescent="0.3">
      <c r="A45">
        <f>ROW([1]DATABASE!A6)</f>
        <v>6</v>
      </c>
      <c r="B45" t="str">
        <f>[1]DATABASE!AJ6</f>
        <v>Aroeira Collections</v>
      </c>
      <c r="C45" t="str">
        <f>[1]DATABASE!C6</f>
        <v>01E</v>
      </c>
      <c r="D45" t="str">
        <f>TRIM([1]DATABASE!Q6)</f>
        <v>RESERVED</v>
      </c>
      <c r="E45" s="82" t="str">
        <f>_xlfn.TEXTJOIN("; ",TRUE,IF([1]DATABASE!X6&lt;0,"Negative Discount",""),IF(AND([1]DATABASE!Y6&gt;[1]DATABASE!T6,[1]DATABASE!Y6&gt;0,[1]DATABASE!T6&gt;0),"Sell Price &gt; Current",""),IF(AND(TRIM([1]DATABASE!Q6)="DEED",[1]DATABASE!AA6=""),"Deeded no PSPA Date",""),IF([1]DATABASE!E6="","Missing Typology",""),IF([1]DATABASE!AJ6="","Missing Development",""))</f>
        <v>Negative Discount; Sell Price &gt; Current</v>
      </c>
      <c r="F45" s="82" t="str">
        <f>_xlfn.TEXTJOIN("; ",TRUE,IF(AND(OR(TRIM([1]DATABASE!Q6)="RESERVED",TRIM([1]DATABASE!Q6)="PRE-RESERVED",TRIM([1]DATABASE!Q6)="PSPA"),[1]DATABASE!AA6=""),"Reserved/PSPA no PSPA Date",""),IF(AND(TRIM([1]DATABASE!Q6)="AVAILABLE",[1]DATABASE!AA6&lt;&gt;""),"Available has PSPA Date",""))</f>
        <v/>
      </c>
      <c r="G45" s="82" t="str">
        <f>_xlfn.TEXTJOIN("; ",TRUE,IF(AND([1]DATABASE!T6&lt;0.8*[1]DATABASE!S6,[1]DATABASE!T6&gt;0,[1]DATABASE!S6&gt;0),"Heavy Price Cut &gt;20%",""),IF(AND(OR(TRIM([1]DATABASE!Q6)="AVAILABLE",TRIM([1]DATABASE!Q6)="UPON REQUEST"),OR([1]DATABASE!T6="",[1]DATABASE!T6=0)),"Active Unit no Price",""),IF(AND(OR(TRIM([1]DATABASE!Q6)="AVAILABLE",TRIM([1]DATABASE!Q6)="RESERVED",TRIM([1]DATABASE!Q6)="PRE-RESERVED",TRIM([1]DATABASE!Q6)="PSPA"),[1]DATABASE!AC6=""),"Active no Owner",""),IF(OR([1]DATABASE!F6="",[1]DATABASE!F6&lt;=0),"Missing/Invalid Area",""),IF(AND([1]DATABASE!T6&gt;0,ABS([1]DATABASE!T6-[1]DATABASE!W6-[1]DATABASE!U6-[1]DATABASE!V6)&gt;1),"Price Bridge Mismatch",""))</f>
        <v/>
      </c>
      <c r="H45" t="str">
        <f t="shared" si="3"/>
        <v>REVIEW</v>
      </c>
      <c r="I45" s="90">
        <f>[1]DATABASE!T6</f>
        <v>4100000</v>
      </c>
      <c r="J45" t="str">
        <f>[1]DATABASE!AC6</f>
        <v>João Gameiro</v>
      </c>
    </row>
    <row r="46" spans="1:10" ht="13.95" customHeight="1" x14ac:dyDescent="0.3">
      <c r="A46">
        <f>ROW([1]DATABASE!A7)</f>
        <v>7</v>
      </c>
      <c r="B46" t="str">
        <f>[1]DATABASE!AJ7</f>
        <v>Aroeira Collections</v>
      </c>
      <c r="C46" t="str">
        <f>[1]DATABASE!C7</f>
        <v>204B</v>
      </c>
      <c r="D46" t="str">
        <f>TRIM([1]DATABASE!Q7)</f>
        <v>PSPA</v>
      </c>
      <c r="E46" s="82" t="str">
        <f>_xlfn.TEXTJOIN("; ",TRUE,IF([1]DATABASE!X7&lt;0,"Negative Discount",""),IF(AND([1]DATABASE!Y7&gt;[1]DATABASE!T7,[1]DATABASE!Y7&gt;0,[1]DATABASE!T7&gt;0),"Sell Price &gt; Current",""),IF(AND(TRIM([1]DATABASE!Q7)="DEED",[1]DATABASE!AA7=""),"Deeded no PSPA Date",""),IF([1]DATABASE!E7="","Missing Typology",""),IF([1]DATABASE!AJ7="","Missing Development",""))</f>
        <v>Negative Discount; Sell Price &gt; Current</v>
      </c>
      <c r="F46" s="82" t="str">
        <f>_xlfn.TEXTJOIN("; ",TRUE,IF(AND(OR(TRIM([1]DATABASE!Q7)="RESERVED",TRIM([1]DATABASE!Q7)="PRE-RESERVED",TRIM([1]DATABASE!Q7)="PSPA"),[1]DATABASE!AA7=""),"Reserved/PSPA no PSPA Date",""),IF(AND(TRIM([1]DATABASE!Q7)="AVAILABLE",[1]DATABASE!AA7&lt;&gt;""),"Available has PSPA Date",""))</f>
        <v/>
      </c>
      <c r="G46" s="82" t="str">
        <f>_xlfn.TEXTJOIN("; ",TRUE,IF(AND([1]DATABASE!T7&lt;0.8*[1]DATABASE!S7,[1]DATABASE!T7&gt;0,[1]DATABASE!S7&gt;0),"Heavy Price Cut &gt;20%",""),IF(AND(OR(TRIM([1]DATABASE!Q7)="AVAILABLE",TRIM([1]DATABASE!Q7)="UPON REQUEST"),OR([1]DATABASE!T7="",[1]DATABASE!T7=0)),"Active Unit no Price",""),IF(AND(OR(TRIM([1]DATABASE!Q7)="AVAILABLE",TRIM([1]DATABASE!Q7)="RESERVED",TRIM([1]DATABASE!Q7)="PRE-RESERVED",TRIM([1]DATABASE!Q7)="PSPA"),[1]DATABASE!AC7=""),"Active no Owner",""),IF(OR([1]DATABASE!F7="",[1]DATABASE!F7&lt;=0),"Missing/Invalid Area",""),IF(AND([1]DATABASE!T7&gt;0,ABS([1]DATABASE!T7-[1]DATABASE!W7-[1]DATABASE!U7-[1]DATABASE!V7)&gt;1),"Price Bridge Mismatch",""))</f>
        <v/>
      </c>
      <c r="H46" t="str">
        <f t="shared" si="3"/>
        <v>REVIEW</v>
      </c>
      <c r="I46" s="90">
        <f>[1]DATABASE!T7</f>
        <v>755000</v>
      </c>
      <c r="J46" t="str">
        <f>[1]DATABASE!AC7</f>
        <v>João Gameiro</v>
      </c>
    </row>
    <row r="47" spans="1:10" ht="13.95" customHeight="1" x14ac:dyDescent="0.3">
      <c r="A47">
        <f>ROW([1]DATABASE!A8)</f>
        <v>8</v>
      </c>
      <c r="B47" t="str">
        <f>[1]DATABASE!AJ8</f>
        <v>Aroeira Collections</v>
      </c>
      <c r="C47" t="str">
        <f>[1]DATABASE!C8</f>
        <v>109B</v>
      </c>
      <c r="D47" t="str">
        <f>TRIM([1]DATABASE!Q8)</f>
        <v>PSPA</v>
      </c>
      <c r="E47" s="82" t="str">
        <f>_xlfn.TEXTJOIN("; ",TRUE,IF([1]DATABASE!X8&lt;0,"Negative Discount",""),IF(AND([1]DATABASE!Y8&gt;[1]DATABASE!T8,[1]DATABASE!Y8&gt;0,[1]DATABASE!T8&gt;0),"Sell Price &gt; Current",""),IF(AND(TRIM([1]DATABASE!Q8)="DEED",[1]DATABASE!AA8=""),"Deeded no PSPA Date",""),IF([1]DATABASE!E8="","Missing Typology",""),IF([1]DATABASE!AJ8="","Missing Development",""))</f>
        <v>Negative Discount; Sell Price &gt; Current</v>
      </c>
      <c r="F47" s="82" t="str">
        <f>_xlfn.TEXTJOIN("; ",TRUE,IF(AND(OR(TRIM([1]DATABASE!Q8)="RESERVED",TRIM([1]DATABASE!Q8)="PRE-RESERVED",TRIM([1]DATABASE!Q8)="PSPA"),[1]DATABASE!AA8=""),"Reserved/PSPA no PSPA Date",""),IF(AND(TRIM([1]DATABASE!Q8)="AVAILABLE",[1]DATABASE!AA8&lt;&gt;""),"Available has PSPA Date",""))</f>
        <v/>
      </c>
      <c r="G47" s="82" t="str">
        <f>_xlfn.TEXTJOIN("; ",TRUE,IF(AND([1]DATABASE!T8&lt;0.8*[1]DATABASE!S8,[1]DATABASE!T8&gt;0,[1]DATABASE!S8&gt;0),"Heavy Price Cut &gt;20%",""),IF(AND(OR(TRIM([1]DATABASE!Q8)="AVAILABLE",TRIM([1]DATABASE!Q8)="UPON REQUEST"),OR([1]DATABASE!T8="",[1]DATABASE!T8=0)),"Active Unit no Price",""),IF(AND(OR(TRIM([1]DATABASE!Q8)="AVAILABLE",TRIM([1]DATABASE!Q8)="RESERVED",TRIM([1]DATABASE!Q8)="PRE-RESERVED",TRIM([1]DATABASE!Q8)="PSPA"),[1]DATABASE!AC8=""),"Active no Owner",""),IF(OR([1]DATABASE!F8="",[1]DATABASE!F8&lt;=0),"Missing/Invalid Area",""),IF(AND([1]DATABASE!T8&gt;0,ABS([1]DATABASE!T8-[1]DATABASE!W8-[1]DATABASE!U8-[1]DATABASE!V8)&gt;1),"Price Bridge Mismatch",""))</f>
        <v/>
      </c>
      <c r="H47" t="str">
        <f t="shared" si="3"/>
        <v>REVIEW</v>
      </c>
      <c r="I47" s="90">
        <f>[1]DATABASE!T8</f>
        <v>770000</v>
      </c>
      <c r="J47" t="str">
        <f>[1]DATABASE!AC8</f>
        <v>João Gameiro</v>
      </c>
    </row>
    <row r="48" spans="1:10" ht="13.95" customHeight="1" x14ac:dyDescent="0.3">
      <c r="A48">
        <f>ROW([1]DATABASE!A9)</f>
        <v>9</v>
      </c>
      <c r="B48" t="str">
        <f>[1]DATABASE!AJ9</f>
        <v>VM PARQUE</v>
      </c>
      <c r="C48" t="str">
        <f>[1]DATABASE!C9</f>
        <v>AA</v>
      </c>
      <c r="D48" t="str">
        <f>TRIM([1]DATABASE!Q9)</f>
        <v>DEED</v>
      </c>
      <c r="E48" s="82" t="str">
        <f>_xlfn.TEXTJOIN("; ",TRUE,IF([1]DATABASE!X9&lt;0,"Negative Discount",""),IF(AND([1]DATABASE!Y9&gt;[1]DATABASE!T9,[1]DATABASE!Y9&gt;0,[1]DATABASE!T9&gt;0),"Sell Price &gt; Current",""),IF(AND(TRIM([1]DATABASE!Q9)="DEED",[1]DATABASE!AA9=""),"Deeded no PSPA Date",""),IF([1]DATABASE!E9="","Missing Typology",""),IF([1]DATABASE!AJ9="","Missing Development",""))</f>
        <v>Negative Discount; Sell Price &gt; Current; Deeded no PSPA Date</v>
      </c>
      <c r="F48" s="82" t="str">
        <f>_xlfn.TEXTJOIN("; ",TRUE,IF(AND(OR(TRIM([1]DATABASE!Q9)="RESERVED",TRIM([1]DATABASE!Q9)="PRE-RESERVED",TRIM([1]DATABASE!Q9)="PSPA"),[1]DATABASE!AA9=""),"Reserved/PSPA no PSPA Date",""),IF(AND(TRIM([1]DATABASE!Q9)="AVAILABLE",[1]DATABASE!AA9&lt;&gt;""),"Available has PSPA Date",""))</f>
        <v/>
      </c>
      <c r="G48" s="82" t="str">
        <f>_xlfn.TEXTJOIN("; ",TRUE,IF(AND([1]DATABASE!T9&lt;0.8*[1]DATABASE!S9,[1]DATABASE!T9&gt;0,[1]DATABASE!S9&gt;0),"Heavy Price Cut &gt;20%",""),IF(AND(OR(TRIM([1]DATABASE!Q9)="AVAILABLE",TRIM([1]DATABASE!Q9)="UPON REQUEST"),OR([1]DATABASE!T9="",[1]DATABASE!T9=0)),"Active Unit no Price",""),IF(AND(OR(TRIM([1]DATABASE!Q9)="AVAILABLE",TRIM([1]DATABASE!Q9)="RESERVED",TRIM([1]DATABASE!Q9)="PRE-RESERVED",TRIM([1]DATABASE!Q9)="PSPA"),[1]DATABASE!AC9=""),"Active no Owner",""),IF(OR([1]DATABASE!F9="",[1]DATABASE!F9&lt;=0),"Missing/Invalid Area",""),IF(AND([1]DATABASE!T9&gt;0,ABS([1]DATABASE!T9-[1]DATABASE!W9-[1]DATABASE!U9-[1]DATABASE!V9)&gt;1),"Price Bridge Mismatch",""))</f>
        <v/>
      </c>
      <c r="H48" t="str">
        <f t="shared" si="3"/>
        <v>REVIEW</v>
      </c>
      <c r="I48" s="90">
        <f>[1]DATABASE!T9</f>
        <v>991999.99818600004</v>
      </c>
      <c r="J48">
        <f>[1]DATABASE!AC9</f>
        <v>0</v>
      </c>
    </row>
    <row r="49" spans="1:10" ht="13.95" customHeight="1" x14ac:dyDescent="0.3">
      <c r="A49">
        <f>ROW([1]DATABASE!A10)</f>
        <v>10</v>
      </c>
      <c r="B49" t="str">
        <f>[1]DATABASE!AJ10</f>
        <v>VM PARQUE</v>
      </c>
      <c r="C49" t="str">
        <f>[1]DATABASE!C10</f>
        <v>AB</v>
      </c>
      <c r="D49" t="str">
        <f>TRIM([1]DATABASE!Q10)</f>
        <v>DEED</v>
      </c>
      <c r="E49" s="82" t="str">
        <f>_xlfn.TEXTJOIN("; ",TRUE,IF([1]DATABASE!X10&lt;0,"Negative Discount",""),IF(AND([1]DATABASE!Y10&gt;[1]DATABASE!T10,[1]DATABASE!Y10&gt;0,[1]DATABASE!T10&gt;0),"Sell Price &gt; Current",""),IF(AND(TRIM([1]DATABASE!Q10)="DEED",[1]DATABASE!AA10=""),"Deeded no PSPA Date",""),IF([1]DATABASE!E10="","Missing Typology",""),IF([1]DATABASE!AJ10="","Missing Development",""))</f>
        <v>Negative Discount; Sell Price &gt; Current; Deeded no PSPA Date</v>
      </c>
      <c r="F49" s="82" t="str">
        <f>_xlfn.TEXTJOIN("; ",TRUE,IF(AND(OR(TRIM([1]DATABASE!Q10)="RESERVED",TRIM([1]DATABASE!Q10)="PRE-RESERVED",TRIM([1]DATABASE!Q10)="PSPA"),[1]DATABASE!AA10=""),"Reserved/PSPA no PSPA Date",""),IF(AND(TRIM([1]DATABASE!Q10)="AVAILABLE",[1]DATABASE!AA10&lt;&gt;""),"Available has PSPA Date",""))</f>
        <v/>
      </c>
      <c r="G49" s="82" t="str">
        <f>_xlfn.TEXTJOIN("; ",TRUE,IF(AND([1]DATABASE!T10&lt;0.8*[1]DATABASE!S10,[1]DATABASE!T10&gt;0,[1]DATABASE!S10&gt;0),"Heavy Price Cut &gt;20%",""),IF(AND(OR(TRIM([1]DATABASE!Q10)="AVAILABLE",TRIM([1]DATABASE!Q10)="UPON REQUEST"),OR([1]DATABASE!T10="",[1]DATABASE!T10=0)),"Active Unit no Price",""),IF(AND(OR(TRIM([1]DATABASE!Q10)="AVAILABLE",TRIM([1]DATABASE!Q10)="RESERVED",TRIM([1]DATABASE!Q10)="PRE-RESERVED",TRIM([1]DATABASE!Q10)="PSPA"),[1]DATABASE!AC10=""),"Active no Owner",""),IF(OR([1]DATABASE!F10="",[1]DATABASE!F10&lt;=0),"Missing/Invalid Area",""),IF(AND([1]DATABASE!T10&gt;0,ABS([1]DATABASE!T10-[1]DATABASE!W10-[1]DATABASE!U10-[1]DATABASE!V10)&gt;1),"Price Bridge Mismatch",""))</f>
        <v/>
      </c>
      <c r="H49" t="str">
        <f t="shared" si="3"/>
        <v>REVIEW</v>
      </c>
      <c r="I49" s="90">
        <f>[1]DATABASE!T10</f>
        <v>959999.99834399996</v>
      </c>
      <c r="J49">
        <f>[1]DATABASE!AC10</f>
        <v>0</v>
      </c>
    </row>
    <row r="50" spans="1:10" ht="13.95" customHeight="1" x14ac:dyDescent="0.3">
      <c r="A50">
        <f>ROW([1]DATABASE!A11)</f>
        <v>11</v>
      </c>
      <c r="B50" t="str">
        <f>[1]DATABASE!AJ11</f>
        <v>Springs - At the Els</v>
      </c>
      <c r="C50" t="str">
        <f>[1]DATABASE!C11</f>
        <v>15</v>
      </c>
      <c r="D50" t="str">
        <f>TRIM([1]DATABASE!Q11)</f>
        <v>PRE-RESERVED</v>
      </c>
      <c r="E50" s="82" t="str">
        <f>_xlfn.TEXTJOIN("; ",TRUE,IF([1]DATABASE!X11&lt;0,"Negative Discount",""),IF(AND([1]DATABASE!Y11&gt;[1]DATABASE!T11,[1]DATABASE!Y11&gt;0,[1]DATABASE!T11&gt;0),"Sell Price &gt; Current",""),IF(AND(TRIM([1]DATABASE!Q11)="DEED",[1]DATABASE!AA11=""),"Deeded no PSPA Date",""),IF([1]DATABASE!E11="","Missing Typology",""),IF([1]DATABASE!AJ11="","Missing Development",""))</f>
        <v/>
      </c>
      <c r="F50" s="82" t="str">
        <f>_xlfn.TEXTJOIN("; ",TRUE,IF(AND(OR(TRIM([1]DATABASE!Q11)="RESERVED",TRIM([1]DATABASE!Q11)="PRE-RESERVED",TRIM([1]DATABASE!Q11)="PSPA"),[1]DATABASE!AA11=""),"Reserved/PSPA no PSPA Date",""),IF(AND(TRIM([1]DATABASE!Q11)="AVAILABLE",[1]DATABASE!AA11&lt;&gt;""),"Available has PSPA Date",""))</f>
        <v/>
      </c>
      <c r="G50" s="82" t="str">
        <f>_xlfn.TEXTJOIN("; ",TRUE,IF(AND([1]DATABASE!T11&lt;0.8*[1]DATABASE!S11,[1]DATABASE!T11&gt;0,[1]DATABASE!S11&gt;0),"Heavy Price Cut &gt;20%",""),IF(AND(OR(TRIM([1]DATABASE!Q11)="AVAILABLE",TRIM([1]DATABASE!Q11)="UPON REQUEST"),OR([1]DATABASE!T11="",[1]DATABASE!T11=0)),"Active Unit no Price",""),IF(AND(OR(TRIM([1]DATABASE!Q11)="AVAILABLE",TRIM([1]DATABASE!Q11)="RESERVED",TRIM([1]DATABASE!Q11)="PRE-RESERVED",TRIM([1]DATABASE!Q11)="PSPA"),[1]DATABASE!AC11=""),"Active no Owner",""),IF(OR([1]DATABASE!F11="",[1]DATABASE!F11&lt;=0),"Missing/Invalid Area",""),IF(AND([1]DATABASE!T11&gt;0,ABS([1]DATABASE!T11-[1]DATABASE!W11-[1]DATABASE!U11-[1]DATABASE!V11)&gt;1),"Price Bridge Mismatch",""))</f>
        <v>Heavy Price Cut &gt;20%</v>
      </c>
      <c r="H50" t="str">
        <f t="shared" si="3"/>
        <v>REVIEW</v>
      </c>
      <c r="I50" s="90">
        <f>[1]DATABASE!T11</f>
        <v>2200000</v>
      </c>
      <c r="J50" t="str">
        <f>[1]DATABASE!AC11</f>
        <v>Ana Damásio</v>
      </c>
    </row>
    <row r="51" spans="1:10" ht="13.95" customHeight="1" x14ac:dyDescent="0.3">
      <c r="A51">
        <f>ROW([1]DATABASE!A12)</f>
        <v>12</v>
      </c>
      <c r="B51" t="str">
        <f>[1]DATABASE!AJ12</f>
        <v>Springs - At the Els</v>
      </c>
      <c r="C51" t="str">
        <f>[1]DATABASE!C12</f>
        <v>23</v>
      </c>
      <c r="D51" t="str">
        <f>TRIM([1]DATABASE!Q12)</f>
        <v>PRE-RESERVED</v>
      </c>
      <c r="E51" s="82" t="str">
        <f>_xlfn.TEXTJOIN("; ",TRUE,IF([1]DATABASE!X12&lt;0,"Negative Discount",""),IF(AND([1]DATABASE!Y12&gt;[1]DATABASE!T12,[1]DATABASE!Y12&gt;0,[1]DATABASE!T12&gt;0),"Sell Price &gt; Current",""),IF(AND(TRIM([1]DATABASE!Q12)="DEED",[1]DATABASE!AA12=""),"Deeded no PSPA Date",""),IF([1]DATABASE!E12="","Missing Typology",""),IF([1]DATABASE!AJ12="","Missing Development",""))</f>
        <v/>
      </c>
      <c r="F51" s="82" t="str">
        <f>_xlfn.TEXTJOIN("; ",TRUE,IF(AND(OR(TRIM([1]DATABASE!Q12)="RESERVED",TRIM([1]DATABASE!Q12)="PRE-RESERVED",TRIM([1]DATABASE!Q12)="PSPA"),[1]DATABASE!AA12=""),"Reserved/PSPA no PSPA Date",""),IF(AND(TRIM([1]DATABASE!Q12)="AVAILABLE",[1]DATABASE!AA12&lt;&gt;""),"Available has PSPA Date",""))</f>
        <v/>
      </c>
      <c r="G51" s="82" t="str">
        <f>_xlfn.TEXTJOIN("; ",TRUE,IF(AND([1]DATABASE!T12&lt;0.8*[1]DATABASE!S12,[1]DATABASE!T12&gt;0,[1]DATABASE!S12&gt;0),"Heavy Price Cut &gt;20%",""),IF(AND(OR(TRIM([1]DATABASE!Q12)="AVAILABLE",TRIM([1]DATABASE!Q12)="UPON REQUEST"),OR([1]DATABASE!T12="",[1]DATABASE!T12=0)),"Active Unit no Price",""),IF(AND(OR(TRIM([1]DATABASE!Q12)="AVAILABLE",TRIM([1]DATABASE!Q12)="RESERVED",TRIM([1]DATABASE!Q12)="PRE-RESERVED",TRIM([1]DATABASE!Q12)="PSPA"),[1]DATABASE!AC12=""),"Active no Owner",""),IF(OR([1]DATABASE!F12="",[1]DATABASE!F12&lt;=0),"Missing/Invalid Area",""),IF(AND([1]DATABASE!T12&gt;0,ABS([1]DATABASE!T12-[1]DATABASE!W12-[1]DATABASE!U12-[1]DATABASE!V12)&gt;1),"Price Bridge Mismatch",""))</f>
        <v>Heavy Price Cut &gt;20%</v>
      </c>
      <c r="H51" t="str">
        <f t="shared" si="3"/>
        <v>REVIEW</v>
      </c>
      <c r="I51" s="90">
        <f>[1]DATABASE!T12</f>
        <v>780000</v>
      </c>
      <c r="J51" t="str">
        <f>[1]DATABASE!AC12</f>
        <v>Ana Damásio</v>
      </c>
    </row>
    <row r="52" spans="1:10" ht="13.95" customHeight="1" x14ac:dyDescent="0.3">
      <c r="A52">
        <f>ROW([1]DATABASE!A13)</f>
        <v>13</v>
      </c>
      <c r="B52" t="str">
        <f>[1]DATABASE!AJ13</f>
        <v>Aroeira Collections</v>
      </c>
      <c r="C52" t="str">
        <f>[1]DATABASE!C13</f>
        <v>02E</v>
      </c>
      <c r="D52" t="str">
        <f>TRIM([1]DATABASE!Q13)</f>
        <v>RESERVED</v>
      </c>
      <c r="E52" s="82" t="str">
        <f>_xlfn.TEXTJOIN("; ",TRUE,IF([1]DATABASE!X13&lt;0,"Negative Discount",""),IF(AND([1]DATABASE!Y13&gt;[1]DATABASE!T13,[1]DATABASE!Y13&gt;0,[1]DATABASE!T13&gt;0),"Sell Price &gt; Current",""),IF(AND(TRIM([1]DATABASE!Q13)="DEED",[1]DATABASE!AA13=""),"Deeded no PSPA Date",""),IF([1]DATABASE!E13="","Missing Typology",""),IF([1]DATABASE!AJ13="","Missing Development",""))</f>
        <v/>
      </c>
      <c r="F52" s="82" t="str">
        <f>_xlfn.TEXTJOIN("; ",TRUE,IF(AND(OR(TRIM([1]DATABASE!Q13)="RESERVED",TRIM([1]DATABASE!Q13)="PRE-RESERVED",TRIM([1]DATABASE!Q13)="PSPA"),[1]DATABASE!AA13=""),"Reserved/PSPA no PSPA Date",""),IF(AND(TRIM([1]DATABASE!Q13)="AVAILABLE",[1]DATABASE!AA13&lt;&gt;""),"Available has PSPA Date",""))</f>
        <v/>
      </c>
      <c r="G52" s="82" t="str">
        <f>_xlfn.TEXTJOIN("; ",TRUE,IF(AND([1]DATABASE!T13&lt;0.8*[1]DATABASE!S13,[1]DATABASE!T13&gt;0,[1]DATABASE!S13&gt;0),"Heavy Price Cut &gt;20%",""),IF(AND(OR(TRIM([1]DATABASE!Q13)="AVAILABLE",TRIM([1]DATABASE!Q13)="UPON REQUEST"),OR([1]DATABASE!T13="",[1]DATABASE!T13=0)),"Active Unit no Price",""),IF(AND(OR(TRIM([1]DATABASE!Q13)="AVAILABLE",TRIM([1]DATABASE!Q13)="RESERVED",TRIM([1]DATABASE!Q13)="PRE-RESERVED",TRIM([1]DATABASE!Q13)="PSPA"),[1]DATABASE!AC13=""),"Active no Owner",""),IF(OR([1]DATABASE!F13="",[1]DATABASE!F13&lt;=0),"Missing/Invalid Area",""),IF(AND([1]DATABASE!T13&gt;0,ABS([1]DATABASE!T13-[1]DATABASE!W13-[1]DATABASE!U13-[1]DATABASE!V13)&gt;1),"Price Bridge Mismatch",""))</f>
        <v/>
      </c>
      <c r="H52" t="str">
        <f t="shared" si="3"/>
        <v>PASS</v>
      </c>
      <c r="I52" s="90">
        <f>[1]DATABASE!T13</f>
        <v>3225000</v>
      </c>
      <c r="J52" t="str">
        <f>[1]DATABASE!AC13</f>
        <v>João Gameiro</v>
      </c>
    </row>
    <row r="53" spans="1:10" ht="13.95" customHeight="1" x14ac:dyDescent="0.3">
      <c r="A53">
        <f>ROW([1]DATABASE!A14)</f>
        <v>14</v>
      </c>
      <c r="B53" t="str">
        <f>[1]DATABASE!AJ14</f>
        <v>Aroeira Collections</v>
      </c>
      <c r="C53" t="str">
        <f>[1]DATABASE!C14</f>
        <v>01B</v>
      </c>
      <c r="D53" t="str">
        <f>TRIM([1]DATABASE!Q14)</f>
        <v>PSPA</v>
      </c>
      <c r="E53" s="82" t="str">
        <f>_xlfn.TEXTJOIN("; ",TRUE,IF([1]DATABASE!X14&lt;0,"Negative Discount",""),IF(AND([1]DATABASE!Y14&gt;[1]DATABASE!T14,[1]DATABASE!Y14&gt;0,[1]DATABASE!T14&gt;0),"Sell Price &gt; Current",""),IF(AND(TRIM([1]DATABASE!Q14)="DEED",[1]DATABASE!AA14=""),"Deeded no PSPA Date",""),IF([1]DATABASE!E14="","Missing Typology",""),IF([1]DATABASE!AJ14="","Missing Development",""))</f>
        <v/>
      </c>
      <c r="F53" s="82" t="str">
        <f>_xlfn.TEXTJOIN("; ",TRUE,IF(AND(OR(TRIM([1]DATABASE!Q14)="RESERVED",TRIM([1]DATABASE!Q14)="PRE-RESERVED",TRIM([1]DATABASE!Q14)="PSPA"),[1]DATABASE!AA14=""),"Reserved/PSPA no PSPA Date",""),IF(AND(TRIM([1]DATABASE!Q14)="AVAILABLE",[1]DATABASE!AA14&lt;&gt;""),"Available has PSPA Date",""))</f>
        <v/>
      </c>
      <c r="G53" s="82" t="str">
        <f>_xlfn.TEXTJOIN("; ",TRUE,IF(AND([1]DATABASE!T14&lt;0.8*[1]DATABASE!S14,[1]DATABASE!T14&gt;0,[1]DATABASE!S14&gt;0),"Heavy Price Cut &gt;20%",""),IF(AND(OR(TRIM([1]DATABASE!Q14)="AVAILABLE",TRIM([1]DATABASE!Q14)="UPON REQUEST"),OR([1]DATABASE!T14="",[1]DATABASE!T14=0)),"Active Unit no Price",""),IF(AND(OR(TRIM([1]DATABASE!Q14)="AVAILABLE",TRIM([1]DATABASE!Q14)="RESERVED",TRIM([1]DATABASE!Q14)="PRE-RESERVED",TRIM([1]DATABASE!Q14)="PSPA"),[1]DATABASE!AC14=""),"Active no Owner",""),IF(OR([1]DATABASE!F14="",[1]DATABASE!F14&lt;=0),"Missing/Invalid Area",""),IF(AND([1]DATABASE!T14&gt;0,ABS([1]DATABASE!T14-[1]DATABASE!W14-[1]DATABASE!U14-[1]DATABASE!V14)&gt;1),"Price Bridge Mismatch",""))</f>
        <v/>
      </c>
      <c r="H53" t="str">
        <f t="shared" si="3"/>
        <v>PASS</v>
      </c>
      <c r="I53" s="90">
        <f>[1]DATABASE!T14</f>
        <v>925000</v>
      </c>
      <c r="J53" t="str">
        <f>[1]DATABASE!AC14</f>
        <v>João Gameiro</v>
      </c>
    </row>
    <row r="54" spans="1:10" ht="13.95" customHeight="1" x14ac:dyDescent="0.3">
      <c r="A54">
        <f>ROW([1]DATABASE!A15)</f>
        <v>15</v>
      </c>
      <c r="B54" t="str">
        <f>[1]DATABASE!AJ15</f>
        <v>Aroeira Collections</v>
      </c>
      <c r="C54" t="str">
        <f>[1]DATABASE!C15</f>
        <v>02B</v>
      </c>
      <c r="D54" t="str">
        <f>TRIM([1]DATABASE!Q15)</f>
        <v>PSPA</v>
      </c>
      <c r="E54" s="82" t="str">
        <f>_xlfn.TEXTJOIN("; ",TRUE,IF([1]DATABASE!X15&lt;0,"Negative Discount",""),IF(AND([1]DATABASE!Y15&gt;[1]DATABASE!T15,[1]DATABASE!Y15&gt;0,[1]DATABASE!T15&gt;0),"Sell Price &gt; Current",""),IF(AND(TRIM([1]DATABASE!Q15)="DEED",[1]DATABASE!AA15=""),"Deeded no PSPA Date",""),IF([1]DATABASE!E15="","Missing Typology",""),IF([1]DATABASE!AJ15="","Missing Development",""))</f>
        <v/>
      </c>
      <c r="F54" s="82" t="str">
        <f>_xlfn.TEXTJOIN("; ",TRUE,IF(AND(OR(TRIM([1]DATABASE!Q15)="RESERVED",TRIM([1]DATABASE!Q15)="PRE-RESERVED",TRIM([1]DATABASE!Q15)="PSPA"),[1]DATABASE!AA15=""),"Reserved/PSPA no PSPA Date",""),IF(AND(TRIM([1]DATABASE!Q15)="AVAILABLE",[1]DATABASE!AA15&lt;&gt;""),"Available has PSPA Date",""))</f>
        <v/>
      </c>
      <c r="G54" s="82" t="str">
        <f>_xlfn.TEXTJOIN("; ",TRUE,IF(AND([1]DATABASE!T15&lt;0.8*[1]DATABASE!S15,[1]DATABASE!T15&gt;0,[1]DATABASE!S15&gt;0),"Heavy Price Cut &gt;20%",""),IF(AND(OR(TRIM([1]DATABASE!Q15)="AVAILABLE",TRIM([1]DATABASE!Q15)="UPON REQUEST"),OR([1]DATABASE!T15="",[1]DATABASE!T15=0)),"Active Unit no Price",""),IF(AND(OR(TRIM([1]DATABASE!Q15)="AVAILABLE",TRIM([1]DATABASE!Q15)="RESERVED",TRIM([1]DATABASE!Q15)="PRE-RESERVED",TRIM([1]DATABASE!Q15)="PSPA"),[1]DATABASE!AC15=""),"Active no Owner",""),IF(OR([1]DATABASE!F15="",[1]DATABASE!F15&lt;=0),"Missing/Invalid Area",""),IF(AND([1]DATABASE!T15&gt;0,ABS([1]DATABASE!T15-[1]DATABASE!W15-[1]DATABASE!U15-[1]DATABASE!V15)&gt;1),"Price Bridge Mismatch",""))</f>
        <v/>
      </c>
      <c r="H54" t="str">
        <f t="shared" si="3"/>
        <v>PASS</v>
      </c>
      <c r="I54" s="90">
        <f>[1]DATABASE!T15</f>
        <v>1105000</v>
      </c>
      <c r="J54" t="str">
        <f>[1]DATABASE!AC15</f>
        <v>João Gameiro</v>
      </c>
    </row>
    <row r="55" spans="1:10" ht="13.95" customHeight="1" x14ac:dyDescent="0.3">
      <c r="A55">
        <f>ROW([1]DATABASE!A16)</f>
        <v>16</v>
      </c>
      <c r="B55" t="str">
        <f>[1]DATABASE!AJ16</f>
        <v>Aroeira Collections</v>
      </c>
      <c r="C55" t="str">
        <f>[1]DATABASE!C16</f>
        <v>04E</v>
      </c>
      <c r="D55" t="str">
        <f>TRIM([1]DATABASE!Q16)</f>
        <v>RESERVED</v>
      </c>
      <c r="E55" s="82" t="str">
        <f>_xlfn.TEXTJOIN("; ",TRUE,IF([1]DATABASE!X16&lt;0,"Negative Discount",""),IF(AND([1]DATABASE!Y16&gt;[1]DATABASE!T16,[1]DATABASE!Y16&gt;0,[1]DATABASE!T16&gt;0),"Sell Price &gt; Current",""),IF(AND(TRIM([1]DATABASE!Q16)="DEED",[1]DATABASE!AA16=""),"Deeded no PSPA Date",""),IF([1]DATABASE!E16="","Missing Typology",""),IF([1]DATABASE!AJ16="","Missing Development",""))</f>
        <v/>
      </c>
      <c r="F55" s="82" t="str">
        <f>_xlfn.TEXTJOIN("; ",TRUE,IF(AND(OR(TRIM([1]DATABASE!Q16)="RESERVED",TRIM([1]DATABASE!Q16)="PRE-RESERVED",TRIM([1]DATABASE!Q16)="PSPA"),[1]DATABASE!AA16=""),"Reserved/PSPA no PSPA Date",""),IF(AND(TRIM([1]DATABASE!Q16)="AVAILABLE",[1]DATABASE!AA16&lt;&gt;""),"Available has PSPA Date",""))</f>
        <v/>
      </c>
      <c r="G55" s="82" t="str">
        <f>_xlfn.TEXTJOIN("; ",TRUE,IF(AND([1]DATABASE!T16&lt;0.8*[1]DATABASE!S16,[1]DATABASE!T16&gt;0,[1]DATABASE!S16&gt;0),"Heavy Price Cut &gt;20%",""),IF(AND(OR(TRIM([1]DATABASE!Q16)="AVAILABLE",TRIM([1]DATABASE!Q16)="UPON REQUEST"),OR([1]DATABASE!T16="",[1]DATABASE!T16=0)),"Active Unit no Price",""),IF(AND(OR(TRIM([1]DATABASE!Q16)="AVAILABLE",TRIM([1]DATABASE!Q16)="RESERVED",TRIM([1]DATABASE!Q16)="PRE-RESERVED",TRIM([1]DATABASE!Q16)="PSPA"),[1]DATABASE!AC16=""),"Active no Owner",""),IF(OR([1]DATABASE!F16="",[1]DATABASE!F16&lt;=0),"Missing/Invalid Area",""),IF(AND([1]DATABASE!T16&gt;0,ABS([1]DATABASE!T16-[1]DATABASE!W16-[1]DATABASE!U16-[1]DATABASE!V16)&gt;1),"Price Bridge Mismatch",""))</f>
        <v/>
      </c>
      <c r="H55" t="str">
        <f t="shared" si="3"/>
        <v>PASS</v>
      </c>
      <c r="I55" s="90">
        <f>[1]DATABASE!T16</f>
        <v>3225000</v>
      </c>
      <c r="J55" t="str">
        <f>[1]DATABASE!AC16</f>
        <v>João Gameiro</v>
      </c>
    </row>
    <row r="56" spans="1:10" ht="13.95" customHeight="1" x14ac:dyDescent="0.3">
      <c r="A56">
        <f>ROW([1]DATABASE!A17)</f>
        <v>17</v>
      </c>
      <c r="B56" t="str">
        <f>[1]DATABASE!AJ17</f>
        <v>Aroeira Collections</v>
      </c>
      <c r="C56" t="str">
        <f>[1]DATABASE!C17</f>
        <v>05B</v>
      </c>
      <c r="D56" t="str">
        <f>TRIM([1]DATABASE!Q17)</f>
        <v>RESERVED</v>
      </c>
      <c r="E56" s="82" t="str">
        <f>_xlfn.TEXTJOIN("; ",TRUE,IF([1]DATABASE!X17&lt;0,"Negative Discount",""),IF(AND([1]DATABASE!Y17&gt;[1]DATABASE!T17,[1]DATABASE!Y17&gt;0,[1]DATABASE!T17&gt;0),"Sell Price &gt; Current",""),IF(AND(TRIM([1]DATABASE!Q17)="DEED",[1]DATABASE!AA17=""),"Deeded no PSPA Date",""),IF([1]DATABASE!E17="","Missing Typology",""),IF([1]DATABASE!AJ17="","Missing Development",""))</f>
        <v/>
      </c>
      <c r="F56" s="82" t="str">
        <f>_xlfn.TEXTJOIN("; ",TRUE,IF(AND(OR(TRIM([1]DATABASE!Q17)="RESERVED",TRIM([1]DATABASE!Q17)="PRE-RESERVED",TRIM([1]DATABASE!Q17)="PSPA"),[1]DATABASE!AA17=""),"Reserved/PSPA no PSPA Date",""),IF(AND(TRIM([1]DATABASE!Q17)="AVAILABLE",[1]DATABASE!AA17&lt;&gt;""),"Available has PSPA Date",""))</f>
        <v/>
      </c>
      <c r="G56" s="82" t="str">
        <f>_xlfn.TEXTJOIN("; ",TRUE,IF(AND([1]DATABASE!T17&lt;0.8*[1]DATABASE!S17,[1]DATABASE!T17&gt;0,[1]DATABASE!S17&gt;0),"Heavy Price Cut &gt;20%",""),IF(AND(OR(TRIM([1]DATABASE!Q17)="AVAILABLE",TRIM([1]DATABASE!Q17)="UPON REQUEST"),OR([1]DATABASE!T17="",[1]DATABASE!T17=0)),"Active Unit no Price",""),IF(AND(OR(TRIM([1]DATABASE!Q17)="AVAILABLE",TRIM([1]DATABASE!Q17)="RESERVED",TRIM([1]DATABASE!Q17)="PRE-RESERVED",TRIM([1]DATABASE!Q17)="PSPA"),[1]DATABASE!AC17=""),"Active no Owner",""),IF(OR([1]DATABASE!F17="",[1]DATABASE!F17&lt;=0),"Missing/Invalid Area",""),IF(AND([1]DATABASE!T17&gt;0,ABS([1]DATABASE!T17-[1]DATABASE!W17-[1]DATABASE!U17-[1]DATABASE!V17)&gt;1),"Price Bridge Mismatch",""))</f>
        <v/>
      </c>
      <c r="H56" t="str">
        <f t="shared" si="3"/>
        <v>PASS</v>
      </c>
      <c r="I56" s="90">
        <f>[1]DATABASE!T17</f>
        <v>1160000</v>
      </c>
      <c r="J56" t="str">
        <f>[1]DATABASE!AC17</f>
        <v>João Gameiro</v>
      </c>
    </row>
    <row r="57" spans="1:10" ht="13.95" customHeight="1" x14ac:dyDescent="0.3">
      <c r="A57">
        <f>ROW([1]DATABASE!A18)</f>
        <v>18</v>
      </c>
      <c r="B57" t="str">
        <f>[1]DATABASE!AJ18</f>
        <v>Aroeira Collections</v>
      </c>
      <c r="C57" t="str">
        <f>[1]DATABASE!C18</f>
        <v>03B</v>
      </c>
      <c r="D57" t="str">
        <f>TRIM([1]DATABASE!Q18)</f>
        <v>PSPA</v>
      </c>
      <c r="E57" s="82" t="str">
        <f>_xlfn.TEXTJOIN("; ",TRUE,IF([1]DATABASE!X18&lt;0,"Negative Discount",""),IF(AND([1]DATABASE!Y18&gt;[1]DATABASE!T18,[1]DATABASE!Y18&gt;0,[1]DATABASE!T18&gt;0),"Sell Price &gt; Current",""),IF(AND(TRIM([1]DATABASE!Q18)="DEED",[1]DATABASE!AA18=""),"Deeded no PSPA Date",""),IF([1]DATABASE!E18="","Missing Typology",""),IF([1]DATABASE!AJ18="","Missing Development",""))</f>
        <v/>
      </c>
      <c r="F57" s="82" t="str">
        <f>_xlfn.TEXTJOIN("; ",TRUE,IF(AND(OR(TRIM([1]DATABASE!Q18)="RESERVED",TRIM([1]DATABASE!Q18)="PRE-RESERVED",TRIM([1]DATABASE!Q18)="PSPA"),[1]DATABASE!AA18=""),"Reserved/PSPA no PSPA Date",""),IF(AND(TRIM([1]DATABASE!Q18)="AVAILABLE",[1]DATABASE!AA18&lt;&gt;""),"Available has PSPA Date",""))</f>
        <v/>
      </c>
      <c r="G57" s="82" t="str">
        <f>_xlfn.TEXTJOIN("; ",TRUE,IF(AND([1]DATABASE!T18&lt;0.8*[1]DATABASE!S18,[1]DATABASE!T18&gt;0,[1]DATABASE!S18&gt;0),"Heavy Price Cut &gt;20%",""),IF(AND(OR(TRIM([1]DATABASE!Q18)="AVAILABLE",TRIM([1]DATABASE!Q18)="UPON REQUEST"),OR([1]DATABASE!T18="",[1]DATABASE!T18=0)),"Active Unit no Price",""),IF(AND(OR(TRIM([1]DATABASE!Q18)="AVAILABLE",TRIM([1]DATABASE!Q18)="RESERVED",TRIM([1]DATABASE!Q18)="PRE-RESERVED",TRIM([1]DATABASE!Q18)="PSPA"),[1]DATABASE!AC18=""),"Active no Owner",""),IF(OR([1]DATABASE!F18="",[1]DATABASE!F18&lt;=0),"Missing/Invalid Area",""),IF(AND([1]DATABASE!T18&gt;0,ABS([1]DATABASE!T18-[1]DATABASE!W18-[1]DATABASE!U18-[1]DATABASE!V18)&gt;1),"Price Bridge Mismatch",""))</f>
        <v/>
      </c>
      <c r="H57" t="str">
        <f t="shared" si="3"/>
        <v>PASS</v>
      </c>
      <c r="I57" s="90">
        <f>[1]DATABASE!T18</f>
        <v>925000</v>
      </c>
      <c r="J57" t="str">
        <f>[1]DATABASE!AC18</f>
        <v>João Gameiro</v>
      </c>
    </row>
    <row r="58" spans="1:10" ht="13.95" customHeight="1" x14ac:dyDescent="0.3">
      <c r="A58">
        <f>ROW([1]DATABASE!A19)</f>
        <v>19</v>
      </c>
      <c r="B58" t="str">
        <f>[1]DATABASE!AJ19</f>
        <v>Aroeira Collections</v>
      </c>
      <c r="C58" t="str">
        <f>[1]DATABASE!C19</f>
        <v>04B</v>
      </c>
      <c r="D58" t="str">
        <f>TRIM([1]DATABASE!Q19)</f>
        <v>PSPA</v>
      </c>
      <c r="E58" s="82" t="str">
        <f>_xlfn.TEXTJOIN("; ",TRUE,IF([1]DATABASE!X19&lt;0,"Negative Discount",""),IF(AND([1]DATABASE!Y19&gt;[1]DATABASE!T19,[1]DATABASE!Y19&gt;0,[1]DATABASE!T19&gt;0),"Sell Price &gt; Current",""),IF(AND(TRIM([1]DATABASE!Q19)="DEED",[1]DATABASE!AA19=""),"Deeded no PSPA Date",""),IF([1]DATABASE!E19="","Missing Typology",""),IF([1]DATABASE!AJ19="","Missing Development",""))</f>
        <v/>
      </c>
      <c r="F58" s="82" t="str">
        <f>_xlfn.TEXTJOIN("; ",TRUE,IF(AND(OR(TRIM([1]DATABASE!Q19)="RESERVED",TRIM([1]DATABASE!Q19)="PRE-RESERVED",TRIM([1]DATABASE!Q19)="PSPA"),[1]DATABASE!AA19=""),"Reserved/PSPA no PSPA Date",""),IF(AND(TRIM([1]DATABASE!Q19)="AVAILABLE",[1]DATABASE!AA19&lt;&gt;""),"Available has PSPA Date",""))</f>
        <v/>
      </c>
      <c r="G58" s="82" t="str">
        <f>_xlfn.TEXTJOIN("; ",TRUE,IF(AND([1]DATABASE!T19&lt;0.8*[1]DATABASE!S19,[1]DATABASE!T19&gt;0,[1]DATABASE!S19&gt;0),"Heavy Price Cut &gt;20%",""),IF(AND(OR(TRIM([1]DATABASE!Q19)="AVAILABLE",TRIM([1]DATABASE!Q19)="UPON REQUEST"),OR([1]DATABASE!T19="",[1]DATABASE!T19=0)),"Active Unit no Price",""),IF(AND(OR(TRIM([1]DATABASE!Q19)="AVAILABLE",TRIM([1]DATABASE!Q19)="RESERVED",TRIM([1]DATABASE!Q19)="PRE-RESERVED",TRIM([1]DATABASE!Q19)="PSPA"),[1]DATABASE!AC19=""),"Active no Owner",""),IF(OR([1]DATABASE!F19="",[1]DATABASE!F19&lt;=0),"Missing/Invalid Area",""),IF(AND([1]DATABASE!T19&gt;0,ABS([1]DATABASE!T19-[1]DATABASE!W19-[1]DATABASE!U19-[1]DATABASE!V19)&gt;1),"Price Bridge Mismatch",""))</f>
        <v/>
      </c>
      <c r="H58" t="str">
        <f t="shared" si="3"/>
        <v>PASS</v>
      </c>
      <c r="I58" s="90">
        <f>[1]DATABASE!T19</f>
        <v>925000</v>
      </c>
      <c r="J58" t="str">
        <f>[1]DATABASE!AC19</f>
        <v>João Gameiro</v>
      </c>
    </row>
    <row r="59" spans="1:10" ht="13.95" customHeight="1" x14ac:dyDescent="0.3">
      <c r="A59">
        <f>ROW([1]DATABASE!A20)</f>
        <v>20</v>
      </c>
      <c r="B59" t="str">
        <f>[1]DATABASE!AJ20</f>
        <v>Aroeira Collections</v>
      </c>
      <c r="C59" t="str">
        <f>[1]DATABASE!C20</f>
        <v>05D</v>
      </c>
      <c r="D59" t="str">
        <f>TRIM([1]DATABASE!Q20)</f>
        <v>PSPA</v>
      </c>
      <c r="E59" s="82" t="str">
        <f>_xlfn.TEXTJOIN("; ",TRUE,IF([1]DATABASE!X20&lt;0,"Negative Discount",""),IF(AND([1]DATABASE!Y20&gt;[1]DATABASE!T20,[1]DATABASE!Y20&gt;0,[1]DATABASE!T20&gt;0),"Sell Price &gt; Current",""),IF(AND(TRIM([1]DATABASE!Q20)="DEED",[1]DATABASE!AA20=""),"Deeded no PSPA Date",""),IF([1]DATABASE!E20="","Missing Typology",""),IF([1]DATABASE!AJ20="","Missing Development",""))</f>
        <v/>
      </c>
      <c r="F59" s="82" t="str">
        <f>_xlfn.TEXTJOIN("; ",TRUE,IF(AND(OR(TRIM([1]DATABASE!Q20)="RESERVED",TRIM([1]DATABASE!Q20)="PRE-RESERVED",TRIM([1]DATABASE!Q20)="PSPA"),[1]DATABASE!AA20=""),"Reserved/PSPA no PSPA Date",""),IF(AND(TRIM([1]DATABASE!Q20)="AVAILABLE",[1]DATABASE!AA20&lt;&gt;""),"Available has PSPA Date",""))</f>
        <v/>
      </c>
      <c r="G59" s="82" t="str">
        <f>_xlfn.TEXTJOIN("; ",TRUE,IF(AND([1]DATABASE!T20&lt;0.8*[1]DATABASE!S20,[1]DATABASE!T20&gt;0,[1]DATABASE!S20&gt;0),"Heavy Price Cut &gt;20%",""),IF(AND(OR(TRIM([1]DATABASE!Q20)="AVAILABLE",TRIM([1]DATABASE!Q20)="UPON REQUEST"),OR([1]DATABASE!T20="",[1]DATABASE!T20=0)),"Active Unit no Price",""),IF(AND(OR(TRIM([1]DATABASE!Q20)="AVAILABLE",TRIM([1]DATABASE!Q20)="RESERVED",TRIM([1]DATABASE!Q20)="PRE-RESERVED",TRIM([1]DATABASE!Q20)="PSPA"),[1]DATABASE!AC20=""),"Active no Owner",""),IF(OR([1]DATABASE!F20="",[1]DATABASE!F20&lt;=0),"Missing/Invalid Area",""),IF(AND([1]DATABASE!T20&gt;0,ABS([1]DATABASE!T20-[1]DATABASE!W20-[1]DATABASE!U20-[1]DATABASE!V20)&gt;1),"Price Bridge Mismatch",""))</f>
        <v/>
      </c>
      <c r="H59" t="str">
        <f t="shared" si="3"/>
        <v>PASS</v>
      </c>
      <c r="I59" s="90">
        <f>[1]DATABASE!T20</f>
        <v>2570000</v>
      </c>
      <c r="J59" t="str">
        <f>[1]DATABASE!AC20</f>
        <v>João Gameiro</v>
      </c>
    </row>
    <row r="60" spans="1:10" ht="13.95" customHeight="1" x14ac:dyDescent="0.3">
      <c r="A60">
        <f>ROW([1]DATABASE!A21)</f>
        <v>21</v>
      </c>
      <c r="B60" t="str">
        <f>[1]DATABASE!AJ21</f>
        <v>Aroeira Collections</v>
      </c>
      <c r="C60" t="str">
        <f>[1]DATABASE!C21</f>
        <v>06B</v>
      </c>
      <c r="D60" t="str">
        <f>TRIM([1]DATABASE!Q21)</f>
        <v>PSPA</v>
      </c>
      <c r="E60" s="82" t="str">
        <f>_xlfn.TEXTJOIN("; ",TRUE,IF([1]DATABASE!X21&lt;0,"Negative Discount",""),IF(AND([1]DATABASE!Y21&gt;[1]DATABASE!T21,[1]DATABASE!Y21&gt;0,[1]DATABASE!T21&gt;0),"Sell Price &gt; Current",""),IF(AND(TRIM([1]DATABASE!Q21)="DEED",[1]DATABASE!AA21=""),"Deeded no PSPA Date",""),IF([1]DATABASE!E21="","Missing Typology",""),IF([1]DATABASE!AJ21="","Missing Development",""))</f>
        <v/>
      </c>
      <c r="F60" s="82" t="str">
        <f>_xlfn.TEXTJOIN("; ",TRUE,IF(AND(OR(TRIM([1]DATABASE!Q21)="RESERVED",TRIM([1]DATABASE!Q21)="PRE-RESERVED",TRIM([1]DATABASE!Q21)="PSPA"),[1]DATABASE!AA21=""),"Reserved/PSPA no PSPA Date",""),IF(AND(TRIM([1]DATABASE!Q21)="AVAILABLE",[1]DATABASE!AA21&lt;&gt;""),"Available has PSPA Date",""))</f>
        <v/>
      </c>
      <c r="G60" s="82" t="str">
        <f>_xlfn.TEXTJOIN("; ",TRUE,IF(AND([1]DATABASE!T21&lt;0.8*[1]DATABASE!S21,[1]DATABASE!T21&gt;0,[1]DATABASE!S21&gt;0),"Heavy Price Cut &gt;20%",""),IF(AND(OR(TRIM([1]DATABASE!Q21)="AVAILABLE",TRIM([1]DATABASE!Q21)="UPON REQUEST"),OR([1]DATABASE!T21="",[1]DATABASE!T21=0)),"Active Unit no Price",""),IF(AND(OR(TRIM([1]DATABASE!Q21)="AVAILABLE",TRIM([1]DATABASE!Q21)="RESERVED",TRIM([1]DATABASE!Q21)="PRE-RESERVED",TRIM([1]DATABASE!Q21)="PSPA"),[1]DATABASE!AC21=""),"Active no Owner",""),IF(OR([1]DATABASE!F21="",[1]DATABASE!F21&lt;=0),"Missing/Invalid Area",""),IF(AND([1]DATABASE!T21&gt;0,ABS([1]DATABASE!T21-[1]DATABASE!W21-[1]DATABASE!U21-[1]DATABASE!V21)&gt;1),"Price Bridge Mismatch",""))</f>
        <v/>
      </c>
      <c r="H60" t="str">
        <f t="shared" si="3"/>
        <v>PASS</v>
      </c>
      <c r="I60" s="90">
        <f>[1]DATABASE!T21</f>
        <v>1100000</v>
      </c>
      <c r="J60" t="str">
        <f>[1]DATABASE!AC21</f>
        <v>João Gameiro</v>
      </c>
    </row>
    <row r="61" spans="1:10" ht="13.95" customHeight="1" x14ac:dyDescent="0.3">
      <c r="A61">
        <f>ROW([1]DATABASE!A22)</f>
        <v>22</v>
      </c>
      <c r="B61" t="str">
        <f>[1]DATABASE!AJ22</f>
        <v>Aroeira Collections</v>
      </c>
      <c r="C61" t="str">
        <f>[1]DATABASE!C22</f>
        <v>07B</v>
      </c>
      <c r="D61" t="str">
        <f>TRIM([1]DATABASE!Q22)</f>
        <v>PSPA</v>
      </c>
      <c r="E61" s="82" t="str">
        <f>_xlfn.TEXTJOIN("; ",TRUE,IF([1]DATABASE!X22&lt;0,"Negative Discount",""),IF(AND([1]DATABASE!Y22&gt;[1]DATABASE!T22,[1]DATABASE!Y22&gt;0,[1]DATABASE!T22&gt;0),"Sell Price &gt; Current",""),IF(AND(TRIM([1]DATABASE!Q22)="DEED",[1]DATABASE!AA22=""),"Deeded no PSPA Date",""),IF([1]DATABASE!E22="","Missing Typology",""),IF([1]DATABASE!AJ22="","Missing Development",""))</f>
        <v/>
      </c>
      <c r="F61" s="82" t="str">
        <f>_xlfn.TEXTJOIN("; ",TRUE,IF(AND(OR(TRIM([1]DATABASE!Q22)="RESERVED",TRIM([1]DATABASE!Q22)="PRE-RESERVED",TRIM([1]DATABASE!Q22)="PSPA"),[1]DATABASE!AA22=""),"Reserved/PSPA no PSPA Date",""),IF(AND(TRIM([1]DATABASE!Q22)="AVAILABLE",[1]DATABASE!AA22&lt;&gt;""),"Available has PSPA Date",""))</f>
        <v/>
      </c>
      <c r="G61" s="82" t="str">
        <f>_xlfn.TEXTJOIN("; ",TRUE,IF(AND([1]DATABASE!T22&lt;0.8*[1]DATABASE!S22,[1]DATABASE!T22&gt;0,[1]DATABASE!S22&gt;0),"Heavy Price Cut &gt;20%",""),IF(AND(OR(TRIM([1]DATABASE!Q22)="AVAILABLE",TRIM([1]DATABASE!Q22)="UPON REQUEST"),OR([1]DATABASE!T22="",[1]DATABASE!T22=0)),"Active Unit no Price",""),IF(AND(OR(TRIM([1]DATABASE!Q22)="AVAILABLE",TRIM([1]DATABASE!Q22)="RESERVED",TRIM([1]DATABASE!Q22)="PRE-RESERVED",TRIM([1]DATABASE!Q22)="PSPA"),[1]DATABASE!AC22=""),"Active no Owner",""),IF(OR([1]DATABASE!F22="",[1]DATABASE!F22&lt;=0),"Missing/Invalid Area",""),IF(AND([1]DATABASE!T22&gt;0,ABS([1]DATABASE!T22-[1]DATABASE!W22-[1]DATABASE!U22-[1]DATABASE!V22)&gt;1),"Price Bridge Mismatch",""))</f>
        <v/>
      </c>
      <c r="H61" t="str">
        <f t="shared" si="3"/>
        <v>PASS</v>
      </c>
      <c r="I61" s="90">
        <f>[1]DATABASE!T22</f>
        <v>940000</v>
      </c>
      <c r="J61" t="str">
        <f>[1]DATABASE!AC22</f>
        <v>João Gameiro</v>
      </c>
    </row>
    <row r="62" spans="1:10" ht="13.95" customHeight="1" x14ac:dyDescent="0.3">
      <c r="A62">
        <f>ROW([1]DATABASE!A23)</f>
        <v>23</v>
      </c>
      <c r="B62" t="str">
        <f>[1]DATABASE!AJ23</f>
        <v>Springs - At the Els</v>
      </c>
      <c r="C62" t="str">
        <f>[1]DATABASE!C23</f>
        <v>11</v>
      </c>
      <c r="D62" t="str">
        <f>TRIM([1]DATABASE!Q23)</f>
        <v>PSPA</v>
      </c>
      <c r="E62" s="82" t="str">
        <f>_xlfn.TEXTJOIN("; ",TRUE,IF([1]DATABASE!X23&lt;0,"Negative Discount",""),IF(AND([1]DATABASE!Y23&gt;[1]DATABASE!T23,[1]DATABASE!Y23&gt;0,[1]DATABASE!T23&gt;0),"Sell Price &gt; Current",""),IF(AND(TRIM([1]DATABASE!Q23)="DEED",[1]DATABASE!AA23=""),"Deeded no PSPA Date",""),IF([1]DATABASE!E23="","Missing Typology",""),IF([1]DATABASE!AJ23="","Missing Development",""))</f>
        <v/>
      </c>
      <c r="F62" s="82" t="str">
        <f>_xlfn.TEXTJOIN("; ",TRUE,IF(AND(OR(TRIM([1]DATABASE!Q23)="RESERVED",TRIM([1]DATABASE!Q23)="PRE-RESERVED",TRIM([1]DATABASE!Q23)="PSPA"),[1]DATABASE!AA23=""),"Reserved/PSPA no PSPA Date",""),IF(AND(TRIM([1]DATABASE!Q23)="AVAILABLE",[1]DATABASE!AA23&lt;&gt;""),"Available has PSPA Date",""))</f>
        <v/>
      </c>
      <c r="G62" s="82" t="str">
        <f>_xlfn.TEXTJOIN("; ",TRUE,IF(AND([1]DATABASE!T23&lt;0.8*[1]DATABASE!S23,[1]DATABASE!T23&gt;0,[1]DATABASE!S23&gt;0),"Heavy Price Cut &gt;20%",""),IF(AND(OR(TRIM([1]DATABASE!Q23)="AVAILABLE",TRIM([1]DATABASE!Q23)="UPON REQUEST"),OR([1]DATABASE!T23="",[1]DATABASE!T23=0)),"Active Unit no Price",""),IF(AND(OR(TRIM([1]DATABASE!Q23)="AVAILABLE",TRIM([1]DATABASE!Q23)="RESERVED",TRIM([1]DATABASE!Q23)="PRE-RESERVED",TRIM([1]DATABASE!Q23)="PSPA"),[1]DATABASE!AC23=""),"Active no Owner",""),IF(OR([1]DATABASE!F23="",[1]DATABASE!F23&lt;=0),"Missing/Invalid Area",""),IF(AND([1]DATABASE!T23&gt;0,ABS([1]DATABASE!T23-[1]DATABASE!W23-[1]DATABASE!U23-[1]DATABASE!V23)&gt;1),"Price Bridge Mismatch",""))</f>
        <v>Heavy Price Cut &gt;20%</v>
      </c>
      <c r="H62" t="str">
        <f t="shared" si="3"/>
        <v>REVIEW</v>
      </c>
      <c r="I62" s="90">
        <f>[1]DATABASE!T23</f>
        <v>1530000</v>
      </c>
      <c r="J62" t="str">
        <f>[1]DATABASE!AC23</f>
        <v>Ana Damásio</v>
      </c>
    </row>
    <row r="63" spans="1:10" ht="13.95" customHeight="1" x14ac:dyDescent="0.3">
      <c r="A63">
        <f>ROW([1]DATABASE!A24)</f>
        <v>24</v>
      </c>
      <c r="B63" t="str">
        <f>[1]DATABASE!AJ24</f>
        <v>MOURAGOLFE</v>
      </c>
      <c r="C63" t="str">
        <f>[1]DATABASE!C24</f>
        <v>11</v>
      </c>
      <c r="D63" t="str">
        <f>TRIM([1]DATABASE!Q24)</f>
        <v>DEED</v>
      </c>
      <c r="E63" s="82" t="str">
        <f>_xlfn.TEXTJOIN("; ",TRUE,IF([1]DATABASE!X24&lt;0,"Negative Discount",""),IF(AND([1]DATABASE!Y24&gt;[1]DATABASE!T24,[1]DATABASE!Y24&gt;0,[1]DATABASE!T24&gt;0),"Sell Price &gt; Current",""),IF(AND(TRIM([1]DATABASE!Q24)="DEED",[1]DATABASE!AA24=""),"Deeded no PSPA Date",""),IF([1]DATABASE!E24="","Missing Typology",""),IF([1]DATABASE!AJ24="","Missing Development",""))</f>
        <v/>
      </c>
      <c r="F63" s="82" t="str">
        <f>_xlfn.TEXTJOIN("; ",TRUE,IF(AND(OR(TRIM([1]DATABASE!Q24)="RESERVED",TRIM([1]DATABASE!Q24)="PRE-RESERVED",TRIM([1]DATABASE!Q24)="PSPA"),[1]DATABASE!AA24=""),"Reserved/PSPA no PSPA Date",""),IF(AND(TRIM([1]DATABASE!Q24)="AVAILABLE",[1]DATABASE!AA24&lt;&gt;""),"Available has PSPA Date",""))</f>
        <v/>
      </c>
      <c r="G63" s="82" t="str">
        <f>_xlfn.TEXTJOIN("; ",TRUE,IF(AND([1]DATABASE!T24&lt;0.8*[1]DATABASE!S24,[1]DATABASE!T24&gt;0,[1]DATABASE!S24&gt;0),"Heavy Price Cut &gt;20%",""),IF(AND(OR(TRIM([1]DATABASE!Q24)="AVAILABLE",TRIM([1]DATABASE!Q24)="UPON REQUEST"),OR([1]DATABASE!T24="",[1]DATABASE!T24=0)),"Active Unit no Price",""),IF(AND(OR(TRIM([1]DATABASE!Q24)="AVAILABLE",TRIM([1]DATABASE!Q24)="RESERVED",TRIM([1]DATABASE!Q24)="PRE-RESERVED",TRIM([1]DATABASE!Q24)="PSPA"),[1]DATABASE!AC24=""),"Active no Owner",""),IF(OR([1]DATABASE!F24="",[1]DATABASE!F24&lt;=0),"Missing/Invalid Area",""),IF(AND([1]DATABASE!T24&gt;0,ABS([1]DATABASE!T24-[1]DATABASE!W24-[1]DATABASE!U24-[1]DATABASE!V24)&gt;1),"Price Bridge Mismatch",""))</f>
        <v/>
      </c>
      <c r="H63" t="str">
        <f t="shared" si="3"/>
        <v>PASS</v>
      </c>
      <c r="I63" s="90">
        <f>[1]DATABASE!T24</f>
        <v>671000</v>
      </c>
      <c r="J63">
        <f>[1]DATABASE!AC24</f>
        <v>0</v>
      </c>
    </row>
    <row r="64" spans="1:10" ht="13.95" customHeight="1" x14ac:dyDescent="0.3">
      <c r="A64">
        <f>ROW([1]DATABASE!A25)</f>
        <v>25</v>
      </c>
      <c r="B64" t="str">
        <f>[1]DATABASE!AJ25</f>
        <v>MOURAGOLFE</v>
      </c>
      <c r="C64" t="str">
        <f>[1]DATABASE!C25</f>
        <v>12</v>
      </c>
      <c r="D64" t="str">
        <f>TRIM([1]DATABASE!Q25)</f>
        <v>DEED</v>
      </c>
      <c r="E64" s="82" t="str">
        <f>_xlfn.TEXTJOIN("; ",TRUE,IF([1]DATABASE!X25&lt;0,"Negative Discount",""),IF(AND([1]DATABASE!Y25&gt;[1]DATABASE!T25,[1]DATABASE!Y25&gt;0,[1]DATABASE!T25&gt;0),"Sell Price &gt; Current",""),IF(AND(TRIM([1]DATABASE!Q25)="DEED",[1]DATABASE!AA25=""),"Deeded no PSPA Date",""),IF([1]DATABASE!E25="","Missing Typology",""),IF([1]DATABASE!AJ25="","Missing Development",""))</f>
        <v/>
      </c>
      <c r="F64" s="82" t="str">
        <f>_xlfn.TEXTJOIN("; ",TRUE,IF(AND(OR(TRIM([1]DATABASE!Q25)="RESERVED",TRIM([1]DATABASE!Q25)="PRE-RESERVED",TRIM([1]DATABASE!Q25)="PSPA"),[1]DATABASE!AA25=""),"Reserved/PSPA no PSPA Date",""),IF(AND(TRIM([1]DATABASE!Q25)="AVAILABLE",[1]DATABASE!AA25&lt;&gt;""),"Available has PSPA Date",""))</f>
        <v/>
      </c>
      <c r="G64" s="82" t="str">
        <f>_xlfn.TEXTJOIN("; ",TRUE,IF(AND([1]DATABASE!T25&lt;0.8*[1]DATABASE!S25,[1]DATABASE!T25&gt;0,[1]DATABASE!S25&gt;0),"Heavy Price Cut &gt;20%",""),IF(AND(OR(TRIM([1]DATABASE!Q25)="AVAILABLE",TRIM([1]DATABASE!Q25)="UPON REQUEST"),OR([1]DATABASE!T25="",[1]DATABASE!T25=0)),"Active Unit no Price",""),IF(AND(OR(TRIM([1]DATABASE!Q25)="AVAILABLE",TRIM([1]DATABASE!Q25)="RESERVED",TRIM([1]DATABASE!Q25)="PRE-RESERVED",TRIM([1]DATABASE!Q25)="PSPA"),[1]DATABASE!AC25=""),"Active no Owner",""),IF(OR([1]DATABASE!F25="",[1]DATABASE!F25&lt;=0),"Missing/Invalid Area",""),IF(AND([1]DATABASE!T25&gt;0,ABS([1]DATABASE!T25-[1]DATABASE!W25-[1]DATABASE!U25-[1]DATABASE!V25)&gt;1),"Price Bridge Mismatch",""))</f>
        <v/>
      </c>
      <c r="H64" t="str">
        <f t="shared" si="3"/>
        <v>PASS</v>
      </c>
      <c r="I64" s="90">
        <f>[1]DATABASE!T25</f>
        <v>594000</v>
      </c>
      <c r="J64">
        <f>[1]DATABASE!AC25</f>
        <v>0</v>
      </c>
    </row>
    <row r="65" spans="1:10" ht="13.95" customHeight="1" x14ac:dyDescent="0.3">
      <c r="A65">
        <f>ROW([1]DATABASE!A26)</f>
        <v>26</v>
      </c>
      <c r="B65" t="str">
        <f>[1]DATABASE!AJ26</f>
        <v>MOURAGOLFE</v>
      </c>
      <c r="C65" t="str">
        <f>[1]DATABASE!C26</f>
        <v>13</v>
      </c>
      <c r="D65" t="str">
        <f>TRIM([1]DATABASE!Q26)</f>
        <v>DEED</v>
      </c>
      <c r="E65" s="82" t="str">
        <f>_xlfn.TEXTJOIN("; ",TRUE,IF([1]DATABASE!X26&lt;0,"Negative Discount",""),IF(AND([1]DATABASE!Y26&gt;[1]DATABASE!T26,[1]DATABASE!Y26&gt;0,[1]DATABASE!T26&gt;0),"Sell Price &gt; Current",""),IF(AND(TRIM([1]DATABASE!Q26)="DEED",[1]DATABASE!AA26=""),"Deeded no PSPA Date",""),IF([1]DATABASE!E26="","Missing Typology",""),IF([1]DATABASE!AJ26="","Missing Development",""))</f>
        <v/>
      </c>
      <c r="F65" s="82" t="str">
        <f>_xlfn.TEXTJOIN("; ",TRUE,IF(AND(OR(TRIM([1]DATABASE!Q26)="RESERVED",TRIM([1]DATABASE!Q26)="PRE-RESERVED",TRIM([1]DATABASE!Q26)="PSPA"),[1]DATABASE!AA26=""),"Reserved/PSPA no PSPA Date",""),IF(AND(TRIM([1]DATABASE!Q26)="AVAILABLE",[1]DATABASE!AA26&lt;&gt;""),"Available has PSPA Date",""))</f>
        <v/>
      </c>
      <c r="G65" s="82" t="str">
        <f>_xlfn.TEXTJOIN("; ",TRUE,IF(AND([1]DATABASE!T26&lt;0.8*[1]DATABASE!S26,[1]DATABASE!T26&gt;0,[1]DATABASE!S26&gt;0),"Heavy Price Cut &gt;20%",""),IF(AND(OR(TRIM([1]DATABASE!Q26)="AVAILABLE",TRIM([1]DATABASE!Q26)="UPON REQUEST"),OR([1]DATABASE!T26="",[1]DATABASE!T26=0)),"Active Unit no Price",""),IF(AND(OR(TRIM([1]DATABASE!Q26)="AVAILABLE",TRIM([1]DATABASE!Q26)="RESERVED",TRIM([1]DATABASE!Q26)="PRE-RESERVED",TRIM([1]DATABASE!Q26)="PSPA"),[1]DATABASE!AC26=""),"Active no Owner",""),IF(OR([1]DATABASE!F26="",[1]DATABASE!F26&lt;=0),"Missing/Invalid Area",""),IF(AND([1]DATABASE!T26&gt;0,ABS([1]DATABASE!T26-[1]DATABASE!W26-[1]DATABASE!U26-[1]DATABASE!V26)&gt;1),"Price Bridge Mismatch",""))</f>
        <v/>
      </c>
      <c r="H65" t="str">
        <f t="shared" si="3"/>
        <v>PASS</v>
      </c>
      <c r="I65" s="90">
        <f>[1]DATABASE!T26</f>
        <v>638000</v>
      </c>
      <c r="J65">
        <f>[1]DATABASE!AC26</f>
        <v>0</v>
      </c>
    </row>
    <row r="66" spans="1:10" ht="13.95" customHeight="1" x14ac:dyDescent="0.3">
      <c r="A66">
        <f>ROW([1]DATABASE!A27)</f>
        <v>27</v>
      </c>
      <c r="B66" t="str">
        <f>[1]DATABASE!AJ27</f>
        <v>MOURAGOLFE</v>
      </c>
      <c r="C66" t="str">
        <f>[1]DATABASE!C27</f>
        <v>14</v>
      </c>
      <c r="D66" t="str">
        <f>TRIM([1]DATABASE!Q27)</f>
        <v>DEED</v>
      </c>
      <c r="E66" s="82" t="str">
        <f>_xlfn.TEXTJOIN("; ",TRUE,IF([1]DATABASE!X27&lt;0,"Negative Discount",""),IF(AND([1]DATABASE!Y27&gt;[1]DATABASE!T27,[1]DATABASE!Y27&gt;0,[1]DATABASE!T27&gt;0),"Sell Price &gt; Current",""),IF(AND(TRIM([1]DATABASE!Q27)="DEED",[1]DATABASE!AA27=""),"Deeded no PSPA Date",""),IF([1]DATABASE!E27="","Missing Typology",""),IF([1]DATABASE!AJ27="","Missing Development",""))</f>
        <v/>
      </c>
      <c r="F66" s="82" t="str">
        <f>_xlfn.TEXTJOIN("; ",TRUE,IF(AND(OR(TRIM([1]DATABASE!Q27)="RESERVED",TRIM([1]DATABASE!Q27)="PRE-RESERVED",TRIM([1]DATABASE!Q27)="PSPA"),[1]DATABASE!AA27=""),"Reserved/PSPA no PSPA Date",""),IF(AND(TRIM([1]DATABASE!Q27)="AVAILABLE",[1]DATABASE!AA27&lt;&gt;""),"Available has PSPA Date",""))</f>
        <v/>
      </c>
      <c r="G66" s="82" t="str">
        <f>_xlfn.TEXTJOIN("; ",TRUE,IF(AND([1]DATABASE!T27&lt;0.8*[1]DATABASE!S27,[1]DATABASE!T27&gt;0,[1]DATABASE!S27&gt;0),"Heavy Price Cut &gt;20%",""),IF(AND(OR(TRIM([1]DATABASE!Q27)="AVAILABLE",TRIM([1]DATABASE!Q27)="UPON REQUEST"),OR([1]DATABASE!T27="",[1]DATABASE!T27=0)),"Active Unit no Price",""),IF(AND(OR(TRIM([1]DATABASE!Q27)="AVAILABLE",TRIM([1]DATABASE!Q27)="RESERVED",TRIM([1]DATABASE!Q27)="PRE-RESERVED",TRIM([1]DATABASE!Q27)="PSPA"),[1]DATABASE!AC27=""),"Active no Owner",""),IF(OR([1]DATABASE!F27="",[1]DATABASE!F27&lt;=0),"Missing/Invalid Area",""),IF(AND([1]DATABASE!T27&gt;0,ABS([1]DATABASE!T27-[1]DATABASE!W27-[1]DATABASE!U27-[1]DATABASE!V27)&gt;1),"Price Bridge Mismatch",""))</f>
        <v/>
      </c>
      <c r="H66" t="str">
        <f t="shared" si="3"/>
        <v>PASS</v>
      </c>
      <c r="I66" s="90">
        <f>[1]DATABASE!T27</f>
        <v>638000</v>
      </c>
      <c r="J66">
        <f>[1]DATABASE!AC27</f>
        <v>0</v>
      </c>
    </row>
    <row r="67" spans="1:10" ht="13.95" customHeight="1" x14ac:dyDescent="0.3">
      <c r="A67">
        <f>ROW([1]DATABASE!A28)</f>
        <v>28</v>
      </c>
      <c r="B67" t="str">
        <f>[1]DATABASE!AJ28</f>
        <v>The Uncommon</v>
      </c>
      <c r="C67" t="str">
        <f>[1]DATABASE!C28</f>
        <v>503</v>
      </c>
      <c r="D67" t="str">
        <f>TRIM([1]DATABASE!Q28)</f>
        <v>RESERVED</v>
      </c>
      <c r="E67" s="82" t="str">
        <f>_xlfn.TEXTJOIN("; ",TRUE,IF([1]DATABASE!X28&lt;0,"Negative Discount",""),IF(AND([1]DATABASE!Y28&gt;[1]DATABASE!T28,[1]DATABASE!Y28&gt;0,[1]DATABASE!T28&gt;0),"Sell Price &gt; Current",""),IF(AND(TRIM([1]DATABASE!Q28)="DEED",[1]DATABASE!AA28=""),"Deeded no PSPA Date",""),IF([1]DATABASE!E28="","Missing Typology",""),IF([1]DATABASE!AJ28="","Missing Development",""))</f>
        <v/>
      </c>
      <c r="F67" s="82" t="str">
        <f>_xlfn.TEXTJOIN("; ",TRUE,IF(AND(OR(TRIM([1]DATABASE!Q28)="RESERVED",TRIM([1]DATABASE!Q28)="PRE-RESERVED",TRIM([1]DATABASE!Q28)="PSPA"),[1]DATABASE!AA28=""),"Reserved/PSPA no PSPA Date",""),IF(AND(TRIM([1]DATABASE!Q28)="AVAILABLE",[1]DATABASE!AA28&lt;&gt;""),"Available has PSPA Date",""))</f>
        <v>Reserved/PSPA no PSPA Date</v>
      </c>
      <c r="G67" s="82" t="str">
        <f>_xlfn.TEXTJOIN("; ",TRUE,IF(AND([1]DATABASE!T28&lt;0.8*[1]DATABASE!S28,[1]DATABASE!T28&gt;0,[1]DATABASE!S28&gt;0),"Heavy Price Cut &gt;20%",""),IF(AND(OR(TRIM([1]DATABASE!Q28)="AVAILABLE",TRIM([1]DATABASE!Q28)="UPON REQUEST"),OR([1]DATABASE!T28="",[1]DATABASE!T28=0)),"Active Unit no Price",""),IF(AND(OR(TRIM([1]DATABASE!Q28)="AVAILABLE",TRIM([1]DATABASE!Q28)="RESERVED",TRIM([1]DATABASE!Q28)="PRE-RESERVED",TRIM([1]DATABASE!Q28)="PSPA"),[1]DATABASE!AC28=""),"Active no Owner",""),IF(OR([1]DATABASE!F28="",[1]DATABASE!F28&lt;=0),"Missing/Invalid Area",""),IF(AND([1]DATABASE!T28&gt;0,ABS([1]DATABASE!T28-[1]DATABASE!W28-[1]DATABASE!U28-[1]DATABASE!V28)&gt;1),"Price Bridge Mismatch",""))</f>
        <v/>
      </c>
      <c r="H67" t="str">
        <f t="shared" si="3"/>
        <v>REVIEW</v>
      </c>
      <c r="I67" s="90">
        <f>[1]DATABASE!T28</f>
        <v>1350000</v>
      </c>
      <c r="J67" t="str">
        <f>[1]DATABASE!AC28</f>
        <v>Ana Damásio</v>
      </c>
    </row>
    <row r="68" spans="1:10" ht="13.95" customHeight="1" x14ac:dyDescent="0.3">
      <c r="A68">
        <f>ROW([1]DATABASE!A29)</f>
        <v>29</v>
      </c>
      <c r="B68" t="str">
        <f>[1]DATABASE!AJ29</f>
        <v>MOURAGOLFE</v>
      </c>
      <c r="C68" t="str">
        <f>[1]DATABASE!C29</f>
        <v>15</v>
      </c>
      <c r="D68" t="str">
        <f>TRIM([1]DATABASE!Q29)</f>
        <v>DEED</v>
      </c>
      <c r="E68" s="82" t="str">
        <f>_xlfn.TEXTJOIN("; ",TRUE,IF([1]DATABASE!X29&lt;0,"Negative Discount",""),IF(AND([1]DATABASE!Y29&gt;[1]DATABASE!T29,[1]DATABASE!Y29&gt;0,[1]DATABASE!T29&gt;0),"Sell Price &gt; Current",""),IF(AND(TRIM([1]DATABASE!Q29)="DEED",[1]DATABASE!AA29=""),"Deeded no PSPA Date",""),IF([1]DATABASE!E29="","Missing Typology",""),IF([1]DATABASE!AJ29="","Missing Development",""))</f>
        <v/>
      </c>
      <c r="F68" s="82" t="str">
        <f>_xlfn.TEXTJOIN("; ",TRUE,IF(AND(OR(TRIM([1]DATABASE!Q29)="RESERVED",TRIM([1]DATABASE!Q29)="PRE-RESERVED",TRIM([1]DATABASE!Q29)="PSPA"),[1]DATABASE!AA29=""),"Reserved/PSPA no PSPA Date",""),IF(AND(TRIM([1]DATABASE!Q29)="AVAILABLE",[1]DATABASE!AA29&lt;&gt;""),"Available has PSPA Date",""))</f>
        <v/>
      </c>
      <c r="G68" s="82" t="str">
        <f>_xlfn.TEXTJOIN("; ",TRUE,IF(AND([1]DATABASE!T29&lt;0.8*[1]DATABASE!S29,[1]DATABASE!T29&gt;0,[1]DATABASE!S29&gt;0),"Heavy Price Cut &gt;20%",""),IF(AND(OR(TRIM([1]DATABASE!Q29)="AVAILABLE",TRIM([1]DATABASE!Q29)="UPON REQUEST"),OR([1]DATABASE!T29="",[1]DATABASE!T29=0)),"Active Unit no Price",""),IF(AND(OR(TRIM([1]DATABASE!Q29)="AVAILABLE",TRIM([1]DATABASE!Q29)="RESERVED",TRIM([1]DATABASE!Q29)="PRE-RESERVED",TRIM([1]DATABASE!Q29)="PSPA"),[1]DATABASE!AC29=""),"Active no Owner",""),IF(OR([1]DATABASE!F29="",[1]DATABASE!F29&lt;=0),"Missing/Invalid Area",""),IF(AND([1]DATABASE!T29&gt;0,ABS([1]DATABASE!T29-[1]DATABASE!W29-[1]DATABASE!U29-[1]DATABASE!V29)&gt;1),"Price Bridge Mismatch",""))</f>
        <v/>
      </c>
      <c r="H68" t="str">
        <f t="shared" si="3"/>
        <v>PASS</v>
      </c>
      <c r="I68" s="90">
        <f>[1]DATABASE!T29</f>
        <v>470000</v>
      </c>
      <c r="J68">
        <f>[1]DATABASE!AC29</f>
        <v>0</v>
      </c>
    </row>
    <row r="69" spans="1:10" ht="13.95" customHeight="1" x14ac:dyDescent="0.3">
      <c r="A69">
        <f>ROW([1]DATABASE!A30)</f>
        <v>30</v>
      </c>
      <c r="B69" t="str">
        <f>[1]DATABASE!AJ30</f>
        <v>MOURAGOLFE</v>
      </c>
      <c r="C69" t="str">
        <f>[1]DATABASE!C30</f>
        <v>16</v>
      </c>
      <c r="D69" t="str">
        <f>TRIM([1]DATABASE!Q30)</f>
        <v>DEED</v>
      </c>
      <c r="E69" s="82" t="str">
        <f>_xlfn.TEXTJOIN("; ",TRUE,IF([1]DATABASE!X30&lt;0,"Negative Discount",""),IF(AND([1]DATABASE!Y30&gt;[1]DATABASE!T30,[1]DATABASE!Y30&gt;0,[1]DATABASE!T30&gt;0),"Sell Price &gt; Current",""),IF(AND(TRIM([1]DATABASE!Q30)="DEED",[1]DATABASE!AA30=""),"Deeded no PSPA Date",""),IF([1]DATABASE!E30="","Missing Typology",""),IF([1]DATABASE!AJ30="","Missing Development",""))</f>
        <v/>
      </c>
      <c r="F69" s="82" t="str">
        <f>_xlfn.TEXTJOIN("; ",TRUE,IF(AND(OR(TRIM([1]DATABASE!Q30)="RESERVED",TRIM([1]DATABASE!Q30)="PRE-RESERVED",TRIM([1]DATABASE!Q30)="PSPA"),[1]DATABASE!AA30=""),"Reserved/PSPA no PSPA Date",""),IF(AND(TRIM([1]DATABASE!Q30)="AVAILABLE",[1]DATABASE!AA30&lt;&gt;""),"Available has PSPA Date",""))</f>
        <v/>
      </c>
      <c r="G69" s="82" t="str">
        <f>_xlfn.TEXTJOIN("; ",TRUE,IF(AND([1]DATABASE!T30&lt;0.8*[1]DATABASE!S30,[1]DATABASE!T30&gt;0,[1]DATABASE!S30&gt;0),"Heavy Price Cut &gt;20%",""),IF(AND(OR(TRIM([1]DATABASE!Q30)="AVAILABLE",TRIM([1]DATABASE!Q30)="UPON REQUEST"),OR([1]DATABASE!T30="",[1]DATABASE!T30=0)),"Active Unit no Price",""),IF(AND(OR(TRIM([1]DATABASE!Q30)="AVAILABLE",TRIM([1]DATABASE!Q30)="RESERVED",TRIM([1]DATABASE!Q30)="PRE-RESERVED",TRIM([1]DATABASE!Q30)="PSPA"),[1]DATABASE!AC30=""),"Active no Owner",""),IF(OR([1]DATABASE!F30="",[1]DATABASE!F30&lt;=0),"Missing/Invalid Area",""),IF(AND([1]DATABASE!T30&gt;0,ABS([1]DATABASE!T30-[1]DATABASE!W30-[1]DATABASE!U30-[1]DATABASE!V30)&gt;1),"Price Bridge Mismatch",""))</f>
        <v/>
      </c>
      <c r="H69" t="str">
        <f t="shared" si="3"/>
        <v>PASS</v>
      </c>
      <c r="I69" s="90">
        <f>[1]DATABASE!T30</f>
        <v>517000</v>
      </c>
      <c r="J69">
        <f>[1]DATABASE!AC30</f>
        <v>0</v>
      </c>
    </row>
    <row r="70" spans="1:10" ht="13.95" customHeight="1" x14ac:dyDescent="0.3">
      <c r="A70">
        <f>ROW([1]DATABASE!A31)</f>
        <v>31</v>
      </c>
      <c r="B70" t="str">
        <f>[1]DATABASE!AJ31</f>
        <v>MOURAGOLFE</v>
      </c>
      <c r="C70" t="str">
        <f>[1]DATABASE!C31</f>
        <v>17</v>
      </c>
      <c r="D70" t="str">
        <f>TRIM([1]DATABASE!Q31)</f>
        <v>DEED</v>
      </c>
      <c r="E70" s="82" t="str">
        <f>_xlfn.TEXTJOIN("; ",TRUE,IF([1]DATABASE!X31&lt;0,"Negative Discount",""),IF(AND([1]DATABASE!Y31&gt;[1]DATABASE!T31,[1]DATABASE!Y31&gt;0,[1]DATABASE!T31&gt;0),"Sell Price &gt; Current",""),IF(AND(TRIM([1]DATABASE!Q31)="DEED",[1]DATABASE!AA31=""),"Deeded no PSPA Date",""),IF([1]DATABASE!E31="","Missing Typology",""),IF([1]DATABASE!AJ31="","Missing Development",""))</f>
        <v/>
      </c>
      <c r="F70" s="82" t="str">
        <f>_xlfn.TEXTJOIN("; ",TRUE,IF(AND(OR(TRIM([1]DATABASE!Q31)="RESERVED",TRIM([1]DATABASE!Q31)="PRE-RESERVED",TRIM([1]DATABASE!Q31)="PSPA"),[1]DATABASE!AA31=""),"Reserved/PSPA no PSPA Date",""),IF(AND(TRIM([1]DATABASE!Q31)="AVAILABLE",[1]DATABASE!AA31&lt;&gt;""),"Available has PSPA Date",""))</f>
        <v/>
      </c>
      <c r="G70" s="82" t="str">
        <f>_xlfn.TEXTJOIN("; ",TRUE,IF(AND([1]DATABASE!T31&lt;0.8*[1]DATABASE!S31,[1]DATABASE!T31&gt;0,[1]DATABASE!S31&gt;0),"Heavy Price Cut &gt;20%",""),IF(AND(OR(TRIM([1]DATABASE!Q31)="AVAILABLE",TRIM([1]DATABASE!Q31)="UPON REQUEST"),OR([1]DATABASE!T31="",[1]DATABASE!T31=0)),"Active Unit no Price",""),IF(AND(OR(TRIM([1]DATABASE!Q31)="AVAILABLE",TRIM([1]DATABASE!Q31)="RESERVED",TRIM([1]DATABASE!Q31)="PRE-RESERVED",TRIM([1]DATABASE!Q31)="PSPA"),[1]DATABASE!AC31=""),"Active no Owner",""),IF(OR([1]DATABASE!F31="",[1]DATABASE!F31&lt;=0),"Missing/Invalid Area",""),IF(AND([1]DATABASE!T31&gt;0,ABS([1]DATABASE!T31-[1]DATABASE!W31-[1]DATABASE!U31-[1]DATABASE!V31)&gt;1),"Price Bridge Mismatch",""))</f>
        <v/>
      </c>
      <c r="H70" t="str">
        <f t="shared" si="3"/>
        <v>PASS</v>
      </c>
      <c r="I70" s="90">
        <f>[1]DATABASE!T31</f>
        <v>517000</v>
      </c>
      <c r="J70">
        <f>[1]DATABASE!AC31</f>
        <v>0</v>
      </c>
    </row>
    <row r="71" spans="1:10" ht="13.95" customHeight="1" x14ac:dyDescent="0.3">
      <c r="A71">
        <f>ROW([1]DATABASE!A32)</f>
        <v>32</v>
      </c>
      <c r="B71" t="str">
        <f>[1]DATABASE!AJ32</f>
        <v>MOURAGOLFE</v>
      </c>
      <c r="C71" t="str">
        <f>[1]DATABASE!C32</f>
        <v>18</v>
      </c>
      <c r="D71" t="str">
        <f>TRIM([1]DATABASE!Q32)</f>
        <v>DEED</v>
      </c>
      <c r="E71" s="82" t="str">
        <f>_xlfn.TEXTJOIN("; ",TRUE,IF([1]DATABASE!X32&lt;0,"Negative Discount",""),IF(AND([1]DATABASE!Y32&gt;[1]DATABASE!T32,[1]DATABASE!Y32&gt;0,[1]DATABASE!T32&gt;0),"Sell Price &gt; Current",""),IF(AND(TRIM([1]DATABASE!Q32)="DEED",[1]DATABASE!AA32=""),"Deeded no PSPA Date",""),IF([1]DATABASE!E32="","Missing Typology",""),IF([1]DATABASE!AJ32="","Missing Development",""))</f>
        <v/>
      </c>
      <c r="F71" s="82" t="str">
        <f>_xlfn.TEXTJOIN("; ",TRUE,IF(AND(OR(TRIM([1]DATABASE!Q32)="RESERVED",TRIM([1]DATABASE!Q32)="PRE-RESERVED",TRIM([1]DATABASE!Q32)="PSPA"),[1]DATABASE!AA32=""),"Reserved/PSPA no PSPA Date",""),IF(AND(TRIM([1]DATABASE!Q32)="AVAILABLE",[1]DATABASE!AA32&lt;&gt;""),"Available has PSPA Date",""))</f>
        <v/>
      </c>
      <c r="G71" s="82" t="str">
        <f>_xlfn.TEXTJOIN("; ",TRUE,IF(AND([1]DATABASE!T32&lt;0.8*[1]DATABASE!S32,[1]DATABASE!T32&gt;0,[1]DATABASE!S32&gt;0),"Heavy Price Cut &gt;20%",""),IF(AND(OR(TRIM([1]DATABASE!Q32)="AVAILABLE",TRIM([1]DATABASE!Q32)="UPON REQUEST"),OR([1]DATABASE!T32="",[1]DATABASE!T32=0)),"Active Unit no Price",""),IF(AND(OR(TRIM([1]DATABASE!Q32)="AVAILABLE",TRIM([1]DATABASE!Q32)="RESERVED",TRIM([1]DATABASE!Q32)="PRE-RESERVED",TRIM([1]DATABASE!Q32)="PSPA"),[1]DATABASE!AC32=""),"Active no Owner",""),IF(OR([1]DATABASE!F32="",[1]DATABASE!F32&lt;=0),"Missing/Invalid Area",""),IF(AND([1]DATABASE!T32&gt;0,ABS([1]DATABASE!T32-[1]DATABASE!W32-[1]DATABASE!U32-[1]DATABASE!V32)&gt;1),"Price Bridge Mismatch",""))</f>
        <v/>
      </c>
      <c r="H71" t="str">
        <f t="shared" si="3"/>
        <v>PASS</v>
      </c>
      <c r="I71" s="90">
        <f>[1]DATABASE!T32</f>
        <v>594000</v>
      </c>
      <c r="J71">
        <f>[1]DATABASE!AC32</f>
        <v>0</v>
      </c>
    </row>
    <row r="72" spans="1:10" ht="13.95" customHeight="1" x14ac:dyDescent="0.3">
      <c r="A72">
        <f>ROW([1]DATABASE!A33)</f>
        <v>33</v>
      </c>
      <c r="B72" t="str">
        <f>[1]DATABASE!AJ33</f>
        <v>MOURAGOLFE</v>
      </c>
      <c r="C72" t="str">
        <f>[1]DATABASE!C33</f>
        <v>19</v>
      </c>
      <c r="D72" t="str">
        <f>TRIM([1]DATABASE!Q33)</f>
        <v>DEED</v>
      </c>
      <c r="E72" s="82" t="str">
        <f>_xlfn.TEXTJOIN("; ",TRUE,IF([1]DATABASE!X33&lt;0,"Negative Discount",""),IF(AND([1]DATABASE!Y33&gt;[1]DATABASE!T33,[1]DATABASE!Y33&gt;0,[1]DATABASE!T33&gt;0),"Sell Price &gt; Current",""),IF(AND(TRIM([1]DATABASE!Q33)="DEED",[1]DATABASE!AA33=""),"Deeded no PSPA Date",""),IF([1]DATABASE!E33="","Missing Typology",""),IF([1]DATABASE!AJ33="","Missing Development",""))</f>
        <v/>
      </c>
      <c r="F72" s="82" t="str">
        <f>_xlfn.TEXTJOIN("; ",TRUE,IF(AND(OR(TRIM([1]DATABASE!Q33)="RESERVED",TRIM([1]DATABASE!Q33)="PRE-RESERVED",TRIM([1]DATABASE!Q33)="PSPA"),[1]DATABASE!AA33=""),"Reserved/PSPA no PSPA Date",""),IF(AND(TRIM([1]DATABASE!Q33)="AVAILABLE",[1]DATABASE!AA33&lt;&gt;""),"Available has PSPA Date",""))</f>
        <v/>
      </c>
      <c r="G72" s="82" t="str">
        <f>_xlfn.TEXTJOIN("; ",TRUE,IF(AND([1]DATABASE!T33&lt;0.8*[1]DATABASE!S33,[1]DATABASE!T33&gt;0,[1]DATABASE!S33&gt;0),"Heavy Price Cut &gt;20%",""),IF(AND(OR(TRIM([1]DATABASE!Q33)="AVAILABLE",TRIM([1]DATABASE!Q33)="UPON REQUEST"),OR([1]DATABASE!T33="",[1]DATABASE!T33=0)),"Active Unit no Price",""),IF(AND(OR(TRIM([1]DATABASE!Q33)="AVAILABLE",TRIM([1]DATABASE!Q33)="RESERVED",TRIM([1]DATABASE!Q33)="PRE-RESERVED",TRIM([1]DATABASE!Q33)="PSPA"),[1]DATABASE!AC33=""),"Active no Owner",""),IF(OR([1]DATABASE!F33="",[1]DATABASE!F33&lt;=0),"Missing/Invalid Area",""),IF(AND([1]DATABASE!T33&gt;0,ABS([1]DATABASE!T33-[1]DATABASE!W33-[1]DATABASE!U33-[1]DATABASE!V33)&gt;1),"Price Bridge Mismatch",""))</f>
        <v/>
      </c>
      <c r="H72" t="str">
        <f t="shared" si="3"/>
        <v>PASS</v>
      </c>
      <c r="I72" s="90">
        <f>[1]DATABASE!T33</f>
        <v>701800</v>
      </c>
      <c r="J72">
        <f>[1]DATABASE!AC33</f>
        <v>0</v>
      </c>
    </row>
    <row r="73" spans="1:10" ht="13.95" customHeight="1" x14ac:dyDescent="0.3">
      <c r="A73">
        <f>ROW([1]DATABASE!A34)</f>
        <v>34</v>
      </c>
      <c r="B73" t="str">
        <f>[1]DATABASE!AJ34</f>
        <v>MOURAGOLFE</v>
      </c>
      <c r="C73" t="str">
        <f>[1]DATABASE!C34</f>
        <v>20</v>
      </c>
      <c r="D73" t="str">
        <f>TRIM([1]DATABASE!Q34)</f>
        <v>DEED</v>
      </c>
      <c r="E73" s="82" t="str">
        <f>_xlfn.TEXTJOIN("; ",TRUE,IF([1]DATABASE!X34&lt;0,"Negative Discount",""),IF(AND([1]DATABASE!Y34&gt;[1]DATABASE!T34,[1]DATABASE!Y34&gt;0,[1]DATABASE!T34&gt;0),"Sell Price &gt; Current",""),IF(AND(TRIM([1]DATABASE!Q34)="DEED",[1]DATABASE!AA34=""),"Deeded no PSPA Date",""),IF([1]DATABASE!E34="","Missing Typology",""),IF([1]DATABASE!AJ34="","Missing Development",""))</f>
        <v/>
      </c>
      <c r="F73" s="82" t="str">
        <f>_xlfn.TEXTJOIN("; ",TRUE,IF(AND(OR(TRIM([1]DATABASE!Q34)="RESERVED",TRIM([1]DATABASE!Q34)="PRE-RESERVED",TRIM([1]DATABASE!Q34)="PSPA"),[1]DATABASE!AA34=""),"Reserved/PSPA no PSPA Date",""),IF(AND(TRIM([1]DATABASE!Q34)="AVAILABLE",[1]DATABASE!AA34&lt;&gt;""),"Available has PSPA Date",""))</f>
        <v/>
      </c>
      <c r="G73" s="82" t="str">
        <f>_xlfn.TEXTJOIN("; ",TRUE,IF(AND([1]DATABASE!T34&lt;0.8*[1]DATABASE!S34,[1]DATABASE!T34&gt;0,[1]DATABASE!S34&gt;0),"Heavy Price Cut &gt;20%",""),IF(AND(OR(TRIM([1]DATABASE!Q34)="AVAILABLE",TRIM([1]DATABASE!Q34)="UPON REQUEST"),OR([1]DATABASE!T34="",[1]DATABASE!T34=0)),"Active Unit no Price",""),IF(AND(OR(TRIM([1]DATABASE!Q34)="AVAILABLE",TRIM([1]DATABASE!Q34)="RESERVED",TRIM([1]DATABASE!Q34)="PRE-RESERVED",TRIM([1]DATABASE!Q34)="PSPA"),[1]DATABASE!AC34=""),"Active no Owner",""),IF(OR([1]DATABASE!F34="",[1]DATABASE!F34&lt;=0),"Missing/Invalid Area",""),IF(AND([1]DATABASE!T34&gt;0,ABS([1]DATABASE!T34-[1]DATABASE!W34-[1]DATABASE!U34-[1]DATABASE!V34)&gt;1),"Price Bridge Mismatch",""))</f>
        <v/>
      </c>
      <c r="H73" t="str">
        <f t="shared" si="3"/>
        <v>PASS</v>
      </c>
      <c r="I73" s="90">
        <f>[1]DATABASE!T34</f>
        <v>638000</v>
      </c>
      <c r="J73">
        <f>[1]DATABASE!AC34</f>
        <v>0</v>
      </c>
    </row>
    <row r="74" spans="1:10" ht="13.95" customHeight="1" x14ac:dyDescent="0.3">
      <c r="A74">
        <f>ROW([1]DATABASE!A35)</f>
        <v>35</v>
      </c>
      <c r="B74" t="str">
        <f>[1]DATABASE!AJ35</f>
        <v>MOURAGOLFE</v>
      </c>
      <c r="C74" t="str">
        <f>[1]DATABASE!C35</f>
        <v>23</v>
      </c>
      <c r="D74" t="str">
        <f>TRIM([1]DATABASE!Q35)</f>
        <v>PRE-RESERVED</v>
      </c>
      <c r="E74" s="82" t="str">
        <f>_xlfn.TEXTJOIN("; ",TRUE,IF([1]DATABASE!X35&lt;0,"Negative Discount",""),IF(AND([1]DATABASE!Y35&gt;[1]DATABASE!T35,[1]DATABASE!Y35&gt;0,[1]DATABASE!T35&gt;0),"Sell Price &gt; Current",""),IF(AND(TRIM([1]DATABASE!Q35)="DEED",[1]DATABASE!AA35=""),"Deeded no PSPA Date",""),IF([1]DATABASE!E35="","Missing Typology",""),IF([1]DATABASE!AJ35="","Missing Development",""))</f>
        <v/>
      </c>
      <c r="F74" s="82" t="str">
        <f>_xlfn.TEXTJOIN("; ",TRUE,IF(AND(OR(TRIM([1]DATABASE!Q35)="RESERVED",TRIM([1]DATABASE!Q35)="PRE-RESERVED",TRIM([1]DATABASE!Q35)="PSPA"),[1]DATABASE!AA35=""),"Reserved/PSPA no PSPA Date",""),IF(AND(TRIM([1]DATABASE!Q35)="AVAILABLE",[1]DATABASE!AA35&lt;&gt;""),"Available has PSPA Date",""))</f>
        <v/>
      </c>
      <c r="G74" s="82" t="str">
        <f>_xlfn.TEXTJOIN("; ",TRUE,IF(AND([1]DATABASE!T35&lt;0.8*[1]DATABASE!S35,[1]DATABASE!T35&gt;0,[1]DATABASE!S35&gt;0),"Heavy Price Cut &gt;20%",""),IF(AND(OR(TRIM([1]DATABASE!Q35)="AVAILABLE",TRIM([1]DATABASE!Q35)="UPON REQUEST"),OR([1]DATABASE!T35="",[1]DATABASE!T35=0)),"Active Unit no Price",""),IF(AND(OR(TRIM([1]DATABASE!Q35)="AVAILABLE",TRIM([1]DATABASE!Q35)="RESERVED",TRIM([1]DATABASE!Q35)="PRE-RESERVED",TRIM([1]DATABASE!Q35)="PSPA"),[1]DATABASE!AC35=""),"Active no Owner",""),IF(OR([1]DATABASE!F35="",[1]DATABASE!F35&lt;=0),"Missing/Invalid Area",""),IF(AND([1]DATABASE!T35&gt;0,ABS([1]DATABASE!T35-[1]DATABASE!W35-[1]DATABASE!U35-[1]DATABASE!V35)&gt;1),"Price Bridge Mismatch",""))</f>
        <v>Active no Owner</v>
      </c>
      <c r="H74" t="str">
        <f t="shared" si="3"/>
        <v>REVIEW</v>
      </c>
      <c r="I74" s="90">
        <f>[1]DATABASE!T35</f>
        <v>1210000</v>
      </c>
      <c r="J74">
        <f>[1]DATABASE!AC35</f>
        <v>0</v>
      </c>
    </row>
    <row r="75" spans="1:10" ht="13.95" customHeight="1" x14ac:dyDescent="0.3">
      <c r="A75">
        <f>ROW([1]DATABASE!A36)</f>
        <v>36</v>
      </c>
      <c r="B75" t="str">
        <f>[1]DATABASE!AJ36</f>
        <v>Palmares</v>
      </c>
      <c r="C75" t="str">
        <f>[1]DATABASE!C36</f>
        <v>843C</v>
      </c>
      <c r="D75" t="str">
        <f>TRIM([1]DATABASE!Q36)</f>
        <v>RESERVED</v>
      </c>
      <c r="E75" s="82" t="str">
        <f>_xlfn.TEXTJOIN("; ",TRUE,IF([1]DATABASE!X36&lt;0,"Negative Discount",""),IF(AND([1]DATABASE!Y36&gt;[1]DATABASE!T36,[1]DATABASE!Y36&gt;0,[1]DATABASE!T36&gt;0),"Sell Price &gt; Current",""),IF(AND(TRIM([1]DATABASE!Q36)="DEED",[1]DATABASE!AA36=""),"Deeded no PSPA Date",""),IF([1]DATABASE!E36="","Missing Typology",""),IF([1]DATABASE!AJ36="","Missing Development",""))</f>
        <v/>
      </c>
      <c r="F75" s="82" t="str">
        <f>_xlfn.TEXTJOIN("; ",TRUE,IF(AND(OR(TRIM([1]DATABASE!Q36)="RESERVED",TRIM([1]DATABASE!Q36)="PRE-RESERVED",TRIM([1]DATABASE!Q36)="PSPA"),[1]DATABASE!AA36=""),"Reserved/PSPA no PSPA Date",""),IF(AND(TRIM([1]DATABASE!Q36)="AVAILABLE",[1]DATABASE!AA36&lt;&gt;""),"Available has PSPA Date",""))</f>
        <v/>
      </c>
      <c r="G75" s="82" t="str">
        <f>_xlfn.TEXTJOIN("; ",TRUE,IF(AND([1]DATABASE!T36&lt;0.8*[1]DATABASE!S36,[1]DATABASE!T36&gt;0,[1]DATABASE!S36&gt;0),"Heavy Price Cut &gt;20%",""),IF(AND(OR(TRIM([1]DATABASE!Q36)="AVAILABLE",TRIM([1]DATABASE!Q36)="UPON REQUEST"),OR([1]DATABASE!T36="",[1]DATABASE!T36=0)),"Active Unit no Price",""),IF(AND(OR(TRIM([1]DATABASE!Q36)="AVAILABLE",TRIM([1]DATABASE!Q36)="RESERVED",TRIM([1]DATABASE!Q36)="PRE-RESERVED",TRIM([1]DATABASE!Q36)="PSPA"),[1]DATABASE!AC36=""),"Active no Owner",""),IF(OR([1]DATABASE!F36="",[1]DATABASE!F36&lt;=0),"Missing/Invalid Area",""),IF(AND([1]DATABASE!T36&gt;0,ABS([1]DATABASE!T36-[1]DATABASE!W36-[1]DATABASE!U36-[1]DATABASE!V36)&gt;1),"Price Bridge Mismatch",""))</f>
        <v>Active no Owner</v>
      </c>
      <c r="H75" t="str">
        <f t="shared" si="3"/>
        <v>REVIEW</v>
      </c>
      <c r="I75" s="90">
        <f>[1]DATABASE!T36</f>
        <v>950000</v>
      </c>
      <c r="J75">
        <f>[1]DATABASE!AC36</f>
        <v>0</v>
      </c>
    </row>
    <row r="76" spans="1:10" ht="13.95" customHeight="1" x14ac:dyDescent="0.3">
      <c r="A76">
        <f>ROW([1]DATABASE!A37)</f>
        <v>37</v>
      </c>
      <c r="B76" t="str">
        <f>[1]DATABASE!AJ37</f>
        <v>Palmares</v>
      </c>
      <c r="C76" t="str">
        <f>[1]DATABASE!C37</f>
        <v>801A</v>
      </c>
      <c r="D76" t="str">
        <f>TRIM([1]DATABASE!Q37)</f>
        <v>PSPA</v>
      </c>
      <c r="E76" s="82" t="str">
        <f>_xlfn.TEXTJOIN("; ",TRUE,IF([1]DATABASE!X37&lt;0,"Negative Discount",""),IF(AND([1]DATABASE!Y37&gt;[1]DATABASE!T37,[1]DATABASE!Y37&gt;0,[1]DATABASE!T37&gt;0),"Sell Price &gt; Current",""),IF(AND(TRIM([1]DATABASE!Q37)="DEED",[1]DATABASE!AA37=""),"Deeded no PSPA Date",""),IF([1]DATABASE!E37="","Missing Typology",""),IF([1]DATABASE!AJ37="","Missing Development",""))</f>
        <v/>
      </c>
      <c r="F76" s="82" t="str">
        <f>_xlfn.TEXTJOIN("; ",TRUE,IF(AND(OR(TRIM([1]DATABASE!Q37)="RESERVED",TRIM([1]DATABASE!Q37)="PRE-RESERVED",TRIM([1]DATABASE!Q37)="PSPA"),[1]DATABASE!AA37=""),"Reserved/PSPA no PSPA Date",""),IF(AND(TRIM([1]DATABASE!Q37)="AVAILABLE",[1]DATABASE!AA37&lt;&gt;""),"Available has PSPA Date",""))</f>
        <v/>
      </c>
      <c r="G76" s="82" t="str">
        <f>_xlfn.TEXTJOIN("; ",TRUE,IF(AND([1]DATABASE!T37&lt;0.8*[1]DATABASE!S37,[1]DATABASE!T37&gt;0,[1]DATABASE!S37&gt;0),"Heavy Price Cut &gt;20%",""),IF(AND(OR(TRIM([1]DATABASE!Q37)="AVAILABLE",TRIM([1]DATABASE!Q37)="UPON REQUEST"),OR([1]DATABASE!T37="",[1]DATABASE!T37=0)),"Active Unit no Price",""),IF(AND(OR(TRIM([1]DATABASE!Q37)="AVAILABLE",TRIM([1]DATABASE!Q37)="RESERVED",TRIM([1]DATABASE!Q37)="PRE-RESERVED",TRIM([1]DATABASE!Q37)="PSPA"),[1]DATABASE!AC37=""),"Active no Owner",""),IF(OR([1]DATABASE!F37="",[1]DATABASE!F37&lt;=0),"Missing/Invalid Area",""),IF(AND([1]DATABASE!T37&gt;0,ABS([1]DATABASE!T37-[1]DATABASE!W37-[1]DATABASE!U37-[1]DATABASE!V37)&gt;1),"Price Bridge Mismatch",""))</f>
        <v>Active no Owner</v>
      </c>
      <c r="H76" t="str">
        <f t="shared" si="3"/>
        <v>REVIEW</v>
      </c>
      <c r="I76" s="90">
        <f>[1]DATABASE!T37</f>
        <v>725000</v>
      </c>
      <c r="J76">
        <f>[1]DATABASE!AC37</f>
        <v>0</v>
      </c>
    </row>
    <row r="77" spans="1:10" ht="13.95" customHeight="1" x14ac:dyDescent="0.3">
      <c r="A77">
        <f>ROW([1]DATABASE!A38)</f>
        <v>38</v>
      </c>
      <c r="B77" t="str">
        <f>[1]DATABASE!AJ38</f>
        <v>Palmares</v>
      </c>
      <c r="C77" t="str">
        <f>[1]DATABASE!C38</f>
        <v>802A</v>
      </c>
      <c r="D77" t="str">
        <f>TRIM([1]DATABASE!Q38)</f>
        <v>PSPA</v>
      </c>
      <c r="E77" s="82" t="str">
        <f>_xlfn.TEXTJOIN("; ",TRUE,IF([1]DATABASE!X38&lt;0,"Negative Discount",""),IF(AND([1]DATABASE!Y38&gt;[1]DATABASE!T38,[1]DATABASE!Y38&gt;0,[1]DATABASE!T38&gt;0),"Sell Price &gt; Current",""),IF(AND(TRIM([1]DATABASE!Q38)="DEED",[1]DATABASE!AA38=""),"Deeded no PSPA Date",""),IF([1]DATABASE!E38="","Missing Typology",""),IF([1]DATABASE!AJ38="","Missing Development",""))</f>
        <v/>
      </c>
      <c r="F77" s="82" t="str">
        <f>_xlfn.TEXTJOIN("; ",TRUE,IF(AND(OR(TRIM([1]DATABASE!Q38)="RESERVED",TRIM([1]DATABASE!Q38)="PRE-RESERVED",TRIM([1]DATABASE!Q38)="PSPA"),[1]DATABASE!AA38=""),"Reserved/PSPA no PSPA Date",""),IF(AND(TRIM([1]DATABASE!Q38)="AVAILABLE",[1]DATABASE!AA38&lt;&gt;""),"Available has PSPA Date",""))</f>
        <v/>
      </c>
      <c r="G77" s="82" t="str">
        <f>_xlfn.TEXTJOIN("; ",TRUE,IF(AND([1]DATABASE!T38&lt;0.8*[1]DATABASE!S38,[1]DATABASE!T38&gt;0,[1]DATABASE!S38&gt;0),"Heavy Price Cut &gt;20%",""),IF(AND(OR(TRIM([1]DATABASE!Q38)="AVAILABLE",TRIM([1]DATABASE!Q38)="UPON REQUEST"),OR([1]DATABASE!T38="",[1]DATABASE!T38=0)),"Active Unit no Price",""),IF(AND(OR(TRIM([1]DATABASE!Q38)="AVAILABLE",TRIM([1]DATABASE!Q38)="RESERVED",TRIM([1]DATABASE!Q38)="PRE-RESERVED",TRIM([1]DATABASE!Q38)="PSPA"),[1]DATABASE!AC38=""),"Active no Owner",""),IF(OR([1]DATABASE!F38="",[1]DATABASE!F38&lt;=0),"Missing/Invalid Area",""),IF(AND([1]DATABASE!T38&gt;0,ABS([1]DATABASE!T38-[1]DATABASE!W38-[1]DATABASE!U38-[1]DATABASE!V38)&gt;1),"Price Bridge Mismatch",""))</f>
        <v>Active no Owner</v>
      </c>
      <c r="H77" t="str">
        <f t="shared" si="3"/>
        <v>REVIEW</v>
      </c>
      <c r="I77" s="90">
        <f>[1]DATABASE!T38</f>
        <v>800000</v>
      </c>
      <c r="J77">
        <f>[1]DATABASE!AC38</f>
        <v>0</v>
      </c>
    </row>
    <row r="78" spans="1:10" ht="13.95" customHeight="1" x14ac:dyDescent="0.3">
      <c r="A78">
        <f>ROW([1]DATABASE!A39)</f>
        <v>39</v>
      </c>
      <c r="B78" t="str">
        <f>[1]DATABASE!AJ39</f>
        <v>Palmares</v>
      </c>
      <c r="C78" t="str">
        <f>[1]DATABASE!C39</f>
        <v>804A</v>
      </c>
      <c r="D78" t="str">
        <f>TRIM([1]DATABASE!Q39)</f>
        <v>PSPA</v>
      </c>
      <c r="E78" s="82" t="str">
        <f>_xlfn.TEXTJOIN("; ",TRUE,IF([1]DATABASE!X39&lt;0,"Negative Discount",""),IF(AND([1]DATABASE!Y39&gt;[1]DATABASE!T39,[1]DATABASE!Y39&gt;0,[1]DATABASE!T39&gt;0),"Sell Price &gt; Current",""),IF(AND(TRIM([1]DATABASE!Q39)="DEED",[1]DATABASE!AA39=""),"Deeded no PSPA Date",""),IF([1]DATABASE!E39="","Missing Typology",""),IF([1]DATABASE!AJ39="","Missing Development",""))</f>
        <v/>
      </c>
      <c r="F78" s="82" t="str">
        <f>_xlfn.TEXTJOIN("; ",TRUE,IF(AND(OR(TRIM([1]DATABASE!Q39)="RESERVED",TRIM([1]DATABASE!Q39)="PRE-RESERVED",TRIM([1]DATABASE!Q39)="PSPA"),[1]DATABASE!AA39=""),"Reserved/PSPA no PSPA Date",""),IF(AND(TRIM([1]DATABASE!Q39)="AVAILABLE",[1]DATABASE!AA39&lt;&gt;""),"Available has PSPA Date",""))</f>
        <v/>
      </c>
      <c r="G78" s="82" t="str">
        <f>_xlfn.TEXTJOIN("; ",TRUE,IF(AND([1]DATABASE!T39&lt;0.8*[1]DATABASE!S39,[1]DATABASE!T39&gt;0,[1]DATABASE!S39&gt;0),"Heavy Price Cut &gt;20%",""),IF(AND(OR(TRIM([1]DATABASE!Q39)="AVAILABLE",TRIM([1]DATABASE!Q39)="UPON REQUEST"),OR([1]DATABASE!T39="",[1]DATABASE!T39=0)),"Active Unit no Price",""),IF(AND(OR(TRIM([1]DATABASE!Q39)="AVAILABLE",TRIM([1]DATABASE!Q39)="RESERVED",TRIM([1]DATABASE!Q39)="PRE-RESERVED",TRIM([1]DATABASE!Q39)="PSPA"),[1]DATABASE!AC39=""),"Active no Owner",""),IF(OR([1]DATABASE!F39="",[1]DATABASE!F39&lt;=0),"Missing/Invalid Area",""),IF(AND([1]DATABASE!T39&gt;0,ABS([1]DATABASE!T39-[1]DATABASE!W39-[1]DATABASE!U39-[1]DATABASE!V39)&gt;1),"Price Bridge Mismatch",""))</f>
        <v>Active no Owner</v>
      </c>
      <c r="H78" t="str">
        <f t="shared" si="3"/>
        <v>REVIEW</v>
      </c>
      <c r="I78" s="90">
        <f>[1]DATABASE!T39</f>
        <v>745000</v>
      </c>
      <c r="J78">
        <f>[1]DATABASE!AC39</f>
        <v>0</v>
      </c>
    </row>
    <row r="79" spans="1:10" ht="13.95" customHeight="1" x14ac:dyDescent="0.3">
      <c r="A79">
        <f>ROW([1]DATABASE!A40)</f>
        <v>40</v>
      </c>
      <c r="B79" t="str">
        <f>[1]DATABASE!AJ40</f>
        <v>Palmares</v>
      </c>
      <c r="C79" t="str">
        <f>[1]DATABASE!C40</f>
        <v>806A</v>
      </c>
      <c r="D79" t="str">
        <f>TRIM([1]DATABASE!Q40)</f>
        <v>PSPA</v>
      </c>
      <c r="E79" s="82" t="str">
        <f>_xlfn.TEXTJOIN("; ",TRUE,IF([1]DATABASE!X40&lt;0,"Negative Discount",""),IF(AND([1]DATABASE!Y40&gt;[1]DATABASE!T40,[1]DATABASE!Y40&gt;0,[1]DATABASE!T40&gt;0),"Sell Price &gt; Current",""),IF(AND(TRIM([1]DATABASE!Q40)="DEED",[1]DATABASE!AA40=""),"Deeded no PSPA Date",""),IF([1]DATABASE!E40="","Missing Typology",""),IF([1]DATABASE!AJ40="","Missing Development",""))</f>
        <v/>
      </c>
      <c r="F79" s="82" t="str">
        <f>_xlfn.TEXTJOIN("; ",TRUE,IF(AND(OR(TRIM([1]DATABASE!Q40)="RESERVED",TRIM([1]DATABASE!Q40)="PRE-RESERVED",TRIM([1]DATABASE!Q40)="PSPA"),[1]DATABASE!AA40=""),"Reserved/PSPA no PSPA Date",""),IF(AND(TRIM([1]DATABASE!Q40)="AVAILABLE",[1]DATABASE!AA40&lt;&gt;""),"Available has PSPA Date",""))</f>
        <v/>
      </c>
      <c r="G79" s="82" t="str">
        <f>_xlfn.TEXTJOIN("; ",TRUE,IF(AND([1]DATABASE!T40&lt;0.8*[1]DATABASE!S40,[1]DATABASE!T40&gt;0,[1]DATABASE!S40&gt;0),"Heavy Price Cut &gt;20%",""),IF(AND(OR(TRIM([1]DATABASE!Q40)="AVAILABLE",TRIM([1]DATABASE!Q40)="UPON REQUEST"),OR([1]DATABASE!T40="",[1]DATABASE!T40=0)),"Active Unit no Price",""),IF(AND(OR(TRIM([1]DATABASE!Q40)="AVAILABLE",TRIM([1]DATABASE!Q40)="RESERVED",TRIM([1]DATABASE!Q40)="PRE-RESERVED",TRIM([1]DATABASE!Q40)="PSPA"),[1]DATABASE!AC40=""),"Active no Owner",""),IF(OR([1]DATABASE!F40="",[1]DATABASE!F40&lt;=0),"Missing/Invalid Area",""),IF(AND([1]DATABASE!T40&gt;0,ABS([1]DATABASE!T40-[1]DATABASE!W40-[1]DATABASE!U40-[1]DATABASE!V40)&gt;1),"Price Bridge Mismatch",""))</f>
        <v>Active no Owner</v>
      </c>
      <c r="H79" t="str">
        <f t="shared" si="3"/>
        <v>REVIEW</v>
      </c>
      <c r="I79" s="90">
        <f>[1]DATABASE!T40</f>
        <v>770000</v>
      </c>
      <c r="J79">
        <f>[1]DATABASE!AC40</f>
        <v>0</v>
      </c>
    </row>
    <row r="80" spans="1:10" ht="13.95" customHeight="1" x14ac:dyDescent="0.3">
      <c r="A80">
        <f>ROW([1]DATABASE!A41)</f>
        <v>41</v>
      </c>
      <c r="B80" t="str">
        <f>[1]DATABASE!AJ41</f>
        <v>Palmares</v>
      </c>
      <c r="C80" t="str">
        <f>[1]DATABASE!C41</f>
        <v>807A</v>
      </c>
      <c r="D80" t="str">
        <f>TRIM([1]DATABASE!Q41)</f>
        <v>PSPA</v>
      </c>
      <c r="E80" s="82" t="str">
        <f>_xlfn.TEXTJOIN("; ",TRUE,IF([1]DATABASE!X41&lt;0,"Negative Discount",""),IF(AND([1]DATABASE!Y41&gt;[1]DATABASE!T41,[1]DATABASE!Y41&gt;0,[1]DATABASE!T41&gt;0),"Sell Price &gt; Current",""),IF(AND(TRIM([1]DATABASE!Q41)="DEED",[1]DATABASE!AA41=""),"Deeded no PSPA Date",""),IF([1]DATABASE!E41="","Missing Typology",""),IF([1]DATABASE!AJ41="","Missing Development",""))</f>
        <v/>
      </c>
      <c r="F80" s="82" t="str">
        <f>_xlfn.TEXTJOIN("; ",TRUE,IF(AND(OR(TRIM([1]DATABASE!Q41)="RESERVED",TRIM([1]DATABASE!Q41)="PRE-RESERVED",TRIM([1]DATABASE!Q41)="PSPA"),[1]DATABASE!AA41=""),"Reserved/PSPA no PSPA Date",""),IF(AND(TRIM([1]DATABASE!Q41)="AVAILABLE",[1]DATABASE!AA41&lt;&gt;""),"Available has PSPA Date",""))</f>
        <v/>
      </c>
      <c r="G80" s="82" t="str">
        <f>_xlfn.TEXTJOIN("; ",TRUE,IF(AND([1]DATABASE!T41&lt;0.8*[1]DATABASE!S41,[1]DATABASE!T41&gt;0,[1]DATABASE!S41&gt;0),"Heavy Price Cut &gt;20%",""),IF(AND(OR(TRIM([1]DATABASE!Q41)="AVAILABLE",TRIM([1]DATABASE!Q41)="UPON REQUEST"),OR([1]DATABASE!T41="",[1]DATABASE!T41=0)),"Active Unit no Price",""),IF(AND(OR(TRIM([1]DATABASE!Q41)="AVAILABLE",TRIM([1]DATABASE!Q41)="RESERVED",TRIM([1]DATABASE!Q41)="PRE-RESERVED",TRIM([1]DATABASE!Q41)="PSPA"),[1]DATABASE!AC41=""),"Active no Owner",""),IF(OR([1]DATABASE!F41="",[1]DATABASE!F41&lt;=0),"Missing/Invalid Area",""),IF(AND([1]DATABASE!T41&gt;0,ABS([1]DATABASE!T41-[1]DATABASE!W41-[1]DATABASE!U41-[1]DATABASE!V41)&gt;1),"Price Bridge Mismatch",""))</f>
        <v>Active no Owner</v>
      </c>
      <c r="H80" t="str">
        <f t="shared" si="3"/>
        <v>REVIEW</v>
      </c>
      <c r="I80" s="90">
        <f>[1]DATABASE!T41</f>
        <v>900000</v>
      </c>
      <c r="J80">
        <f>[1]DATABASE!AC41</f>
        <v>0</v>
      </c>
    </row>
    <row r="81" spans="1:10" ht="13.95" customHeight="1" x14ac:dyDescent="0.3">
      <c r="A81">
        <f>ROW([1]DATABASE!A42)</f>
        <v>42</v>
      </c>
      <c r="B81" t="str">
        <f>[1]DATABASE!AJ42</f>
        <v>Nobilus</v>
      </c>
      <c r="C81" t="str">
        <f>[1]DATABASE!C42</f>
        <v>A</v>
      </c>
      <c r="D81" t="str">
        <f>TRIM([1]DATABASE!Q42)</f>
        <v>PSPA</v>
      </c>
      <c r="E81" s="82" t="str">
        <f>_xlfn.TEXTJOIN("; ",TRUE,IF([1]DATABASE!X42&lt;0,"Negative Discount",""),IF(AND([1]DATABASE!Y42&gt;[1]DATABASE!T42,[1]DATABASE!Y42&gt;0,[1]DATABASE!T42&gt;0),"Sell Price &gt; Current",""),IF(AND(TRIM([1]DATABASE!Q42)="DEED",[1]DATABASE!AA42=""),"Deeded no PSPA Date",""),IF([1]DATABASE!E42="","Missing Typology",""),IF([1]DATABASE!AJ42="","Missing Development",""))</f>
        <v/>
      </c>
      <c r="F81" s="82" t="str">
        <f>_xlfn.TEXTJOIN("; ",TRUE,IF(AND(OR(TRIM([1]DATABASE!Q42)="RESERVED",TRIM([1]DATABASE!Q42)="PRE-RESERVED",TRIM([1]DATABASE!Q42)="PSPA"),[1]DATABASE!AA42=""),"Reserved/PSPA no PSPA Date",""),IF(AND(TRIM([1]DATABASE!Q42)="AVAILABLE",[1]DATABASE!AA42&lt;&gt;""),"Available has PSPA Date",""))</f>
        <v/>
      </c>
      <c r="G81" s="82" t="str">
        <f>_xlfn.TEXTJOIN("; ",TRUE,IF(AND([1]DATABASE!T42&lt;0.8*[1]DATABASE!S42,[1]DATABASE!T42&gt;0,[1]DATABASE!S42&gt;0),"Heavy Price Cut &gt;20%",""),IF(AND(OR(TRIM([1]DATABASE!Q42)="AVAILABLE",TRIM([1]DATABASE!Q42)="UPON REQUEST"),OR([1]DATABASE!T42="",[1]DATABASE!T42=0)),"Active Unit no Price",""),IF(AND(OR(TRIM([1]DATABASE!Q42)="AVAILABLE",TRIM([1]DATABASE!Q42)="RESERVED",TRIM([1]DATABASE!Q42)="PRE-RESERVED",TRIM([1]DATABASE!Q42)="PSPA"),[1]DATABASE!AC42=""),"Active no Owner",""),IF(OR([1]DATABASE!F42="",[1]DATABASE!F42&lt;=0),"Missing/Invalid Area",""),IF(AND([1]DATABASE!T42&gt;0,ABS([1]DATABASE!T42-[1]DATABASE!W42-[1]DATABASE!U42-[1]DATABASE!V42)&gt;1),"Price Bridge Mismatch",""))</f>
        <v/>
      </c>
      <c r="H81" t="str">
        <f t="shared" si="3"/>
        <v>PASS</v>
      </c>
      <c r="I81" s="90">
        <f>[1]DATABASE!T42</f>
        <v>725000</v>
      </c>
      <c r="J81" t="str">
        <f>[1]DATABASE!AC42</f>
        <v>Ana Damásio</v>
      </c>
    </row>
    <row r="82" spans="1:10" ht="13.95" customHeight="1" x14ac:dyDescent="0.3">
      <c r="A82">
        <f>ROW([1]DATABASE!A43)</f>
        <v>43</v>
      </c>
      <c r="B82" t="str">
        <f>[1]DATABASE!AJ43</f>
        <v>Natura Village</v>
      </c>
      <c r="C82" t="str">
        <f>[1]DATABASE!C43</f>
        <v>A</v>
      </c>
      <c r="D82" t="str">
        <f>TRIM([1]DATABASE!Q43)</f>
        <v>DEED</v>
      </c>
      <c r="E82" s="82" t="str">
        <f>_xlfn.TEXTJOIN("; ",TRUE,IF([1]DATABASE!X43&lt;0,"Negative Discount",""),IF(AND([1]DATABASE!Y43&gt;[1]DATABASE!T43,[1]DATABASE!Y43&gt;0,[1]DATABASE!T43&gt;0),"Sell Price &gt; Current",""),IF(AND(TRIM([1]DATABASE!Q43)="DEED",[1]DATABASE!AA43=""),"Deeded no PSPA Date",""),IF([1]DATABASE!E43="","Missing Typology",""),IF([1]DATABASE!AJ43="","Missing Development",""))</f>
        <v/>
      </c>
      <c r="F82" s="82" t="str">
        <f>_xlfn.TEXTJOIN("; ",TRUE,IF(AND(OR(TRIM([1]DATABASE!Q43)="RESERVED",TRIM([1]DATABASE!Q43)="PRE-RESERVED",TRIM([1]DATABASE!Q43)="PSPA"),[1]DATABASE!AA43=""),"Reserved/PSPA no PSPA Date",""),IF(AND(TRIM([1]DATABASE!Q43)="AVAILABLE",[1]DATABASE!AA43&lt;&gt;""),"Available has PSPA Date",""))</f>
        <v/>
      </c>
      <c r="G82" s="82" t="str">
        <f>_xlfn.TEXTJOIN("; ",TRUE,IF(AND([1]DATABASE!T43&lt;0.8*[1]DATABASE!S43,[1]DATABASE!T43&gt;0,[1]DATABASE!S43&gt;0),"Heavy Price Cut &gt;20%",""),IF(AND(OR(TRIM([1]DATABASE!Q43)="AVAILABLE",TRIM([1]DATABASE!Q43)="UPON REQUEST"),OR([1]DATABASE!T43="",[1]DATABASE!T43=0)),"Active Unit no Price",""),IF(AND(OR(TRIM([1]DATABASE!Q43)="AVAILABLE",TRIM([1]DATABASE!Q43)="RESERVED",TRIM([1]DATABASE!Q43)="PRE-RESERVED",TRIM([1]DATABASE!Q43)="PSPA"),[1]DATABASE!AC43=""),"Active no Owner",""),IF(OR([1]DATABASE!F43="",[1]DATABASE!F43&lt;=0),"Missing/Invalid Area",""),IF(AND([1]DATABASE!T43&gt;0,ABS([1]DATABASE!T43-[1]DATABASE!W43-[1]DATABASE!U43-[1]DATABASE!V43)&gt;1),"Price Bridge Mismatch",""))</f>
        <v/>
      </c>
      <c r="H82" t="str">
        <f t="shared" si="3"/>
        <v>PASS</v>
      </c>
      <c r="I82" s="90">
        <f>[1]DATABASE!T43</f>
        <v>970000</v>
      </c>
      <c r="J82" t="str">
        <f>[1]DATABASE!AC43</f>
        <v>Ana Damásio</v>
      </c>
    </row>
    <row r="83" spans="1:10" ht="13.95" customHeight="1" x14ac:dyDescent="0.3">
      <c r="A83">
        <f>ROW([1]DATABASE!A44)</f>
        <v>44</v>
      </c>
      <c r="B83" t="str">
        <f>[1]DATABASE!AJ44</f>
        <v>Natura Village</v>
      </c>
      <c r="C83" t="str">
        <f>[1]DATABASE!C44</f>
        <v>A</v>
      </c>
      <c r="D83" t="str">
        <f>TRIM([1]DATABASE!Q44)</f>
        <v>DEED</v>
      </c>
      <c r="E83" s="82" t="str">
        <f>_xlfn.TEXTJOIN("; ",TRUE,IF([1]DATABASE!X44&lt;0,"Negative Discount",""),IF(AND([1]DATABASE!Y44&gt;[1]DATABASE!T44,[1]DATABASE!Y44&gt;0,[1]DATABASE!T44&gt;0),"Sell Price &gt; Current",""),IF(AND(TRIM([1]DATABASE!Q44)="DEED",[1]DATABASE!AA44=""),"Deeded no PSPA Date",""),IF([1]DATABASE!E44="","Missing Typology",""),IF([1]DATABASE!AJ44="","Missing Development",""))</f>
        <v/>
      </c>
      <c r="F83" s="82" t="str">
        <f>_xlfn.TEXTJOIN("; ",TRUE,IF(AND(OR(TRIM([1]DATABASE!Q44)="RESERVED",TRIM([1]DATABASE!Q44)="PRE-RESERVED",TRIM([1]DATABASE!Q44)="PSPA"),[1]DATABASE!AA44=""),"Reserved/PSPA no PSPA Date",""),IF(AND(TRIM([1]DATABASE!Q44)="AVAILABLE",[1]DATABASE!AA44&lt;&gt;""),"Available has PSPA Date",""))</f>
        <v/>
      </c>
      <c r="G83" s="82" t="str">
        <f>_xlfn.TEXTJOIN("; ",TRUE,IF(AND([1]DATABASE!T44&lt;0.8*[1]DATABASE!S44,[1]DATABASE!T44&gt;0,[1]DATABASE!S44&gt;0),"Heavy Price Cut &gt;20%",""),IF(AND(OR(TRIM([1]DATABASE!Q44)="AVAILABLE",TRIM([1]DATABASE!Q44)="UPON REQUEST"),OR([1]DATABASE!T44="",[1]DATABASE!T44=0)),"Active Unit no Price",""),IF(AND(OR(TRIM([1]DATABASE!Q44)="AVAILABLE",TRIM([1]DATABASE!Q44)="RESERVED",TRIM([1]DATABASE!Q44)="PRE-RESERVED",TRIM([1]DATABASE!Q44)="PSPA"),[1]DATABASE!AC44=""),"Active no Owner",""),IF(OR([1]DATABASE!F44="",[1]DATABASE!F44&lt;=0),"Missing/Invalid Area",""),IF(AND([1]DATABASE!T44&gt;0,ABS([1]DATABASE!T44-[1]DATABASE!W44-[1]DATABASE!U44-[1]DATABASE!V44)&gt;1),"Price Bridge Mismatch",""))</f>
        <v/>
      </c>
      <c r="H83" t="str">
        <f t="shared" si="3"/>
        <v>PASS</v>
      </c>
      <c r="I83" s="90">
        <f>[1]DATABASE!T44</f>
        <v>830000</v>
      </c>
      <c r="J83" t="str">
        <f>[1]DATABASE!AC44</f>
        <v>Ana Damásio</v>
      </c>
    </row>
    <row r="84" spans="1:10" ht="13.95" customHeight="1" x14ac:dyDescent="0.3">
      <c r="A84">
        <f>ROW([1]DATABASE!A45)</f>
        <v>45</v>
      </c>
      <c r="B84" t="str">
        <f>[1]DATABASE!AJ45</f>
        <v>Palmares</v>
      </c>
      <c r="C84" t="str">
        <f>[1]DATABASE!C45</f>
        <v>808A</v>
      </c>
      <c r="D84" t="str">
        <f>TRIM([1]DATABASE!Q45)</f>
        <v>PSPA</v>
      </c>
      <c r="E84" s="82" t="str">
        <f>_xlfn.TEXTJOIN("; ",TRUE,IF([1]DATABASE!X45&lt;0,"Negative Discount",""),IF(AND([1]DATABASE!Y45&gt;[1]DATABASE!T45,[1]DATABASE!Y45&gt;0,[1]DATABASE!T45&gt;0),"Sell Price &gt; Current",""),IF(AND(TRIM([1]DATABASE!Q45)="DEED",[1]DATABASE!AA45=""),"Deeded no PSPA Date",""),IF([1]DATABASE!E45="","Missing Typology",""),IF([1]DATABASE!AJ45="","Missing Development",""))</f>
        <v/>
      </c>
      <c r="F84" s="82" t="str">
        <f>_xlfn.TEXTJOIN("; ",TRUE,IF(AND(OR(TRIM([1]DATABASE!Q45)="RESERVED",TRIM([1]DATABASE!Q45)="PRE-RESERVED",TRIM([1]DATABASE!Q45)="PSPA"),[1]DATABASE!AA45=""),"Reserved/PSPA no PSPA Date",""),IF(AND(TRIM([1]DATABASE!Q45)="AVAILABLE",[1]DATABASE!AA45&lt;&gt;""),"Available has PSPA Date",""))</f>
        <v/>
      </c>
      <c r="G84" s="82" t="str">
        <f>_xlfn.TEXTJOIN("; ",TRUE,IF(AND([1]DATABASE!T45&lt;0.8*[1]DATABASE!S45,[1]DATABASE!T45&gt;0,[1]DATABASE!S45&gt;0),"Heavy Price Cut &gt;20%",""),IF(AND(OR(TRIM([1]DATABASE!Q45)="AVAILABLE",TRIM([1]DATABASE!Q45)="UPON REQUEST"),OR([1]DATABASE!T45="",[1]DATABASE!T45=0)),"Active Unit no Price",""),IF(AND(OR(TRIM([1]DATABASE!Q45)="AVAILABLE",TRIM([1]DATABASE!Q45)="RESERVED",TRIM([1]DATABASE!Q45)="PRE-RESERVED",TRIM([1]DATABASE!Q45)="PSPA"),[1]DATABASE!AC45=""),"Active no Owner",""),IF(OR([1]DATABASE!F45="",[1]DATABASE!F45&lt;=0),"Missing/Invalid Area",""),IF(AND([1]DATABASE!T45&gt;0,ABS([1]DATABASE!T45-[1]DATABASE!W45-[1]DATABASE!U45-[1]DATABASE!V45)&gt;1),"Price Bridge Mismatch",""))</f>
        <v>Active no Owner</v>
      </c>
      <c r="H84" t="str">
        <f t="shared" si="3"/>
        <v>REVIEW</v>
      </c>
      <c r="I84" s="90">
        <f>[1]DATABASE!T45</f>
        <v>820000</v>
      </c>
      <c r="J84">
        <f>[1]DATABASE!AC45</f>
        <v>0</v>
      </c>
    </row>
    <row r="85" spans="1:10" ht="13.95" customHeight="1" x14ac:dyDescent="0.3">
      <c r="A85">
        <f>ROW([1]DATABASE!A46)</f>
        <v>46</v>
      </c>
      <c r="B85" t="str">
        <f>[1]DATABASE!AJ46</f>
        <v>The Nine</v>
      </c>
      <c r="C85" t="str">
        <f>[1]DATABASE!C46</f>
        <v>A</v>
      </c>
      <c r="D85" t="str">
        <f>TRIM([1]DATABASE!Q46)</f>
        <v>DEED</v>
      </c>
      <c r="E85" s="82" t="str">
        <f>_xlfn.TEXTJOIN("; ",TRUE,IF([1]DATABASE!X46&lt;0,"Negative Discount",""),IF(AND([1]DATABASE!Y46&gt;[1]DATABASE!T46,[1]DATABASE!Y46&gt;0,[1]DATABASE!T46&gt;0),"Sell Price &gt; Current",""),IF(AND(TRIM([1]DATABASE!Q46)="DEED",[1]DATABASE!AA46=""),"Deeded no PSPA Date",""),IF([1]DATABASE!E46="","Missing Typology",""),IF([1]DATABASE!AJ46="","Missing Development",""))</f>
        <v/>
      </c>
      <c r="F85" s="82" t="str">
        <f>_xlfn.TEXTJOIN("; ",TRUE,IF(AND(OR(TRIM([1]DATABASE!Q46)="RESERVED",TRIM([1]DATABASE!Q46)="PRE-RESERVED",TRIM([1]DATABASE!Q46)="PSPA"),[1]DATABASE!AA46=""),"Reserved/PSPA no PSPA Date",""),IF(AND(TRIM([1]DATABASE!Q46)="AVAILABLE",[1]DATABASE!AA46&lt;&gt;""),"Available has PSPA Date",""))</f>
        <v/>
      </c>
      <c r="G85" s="82" t="str">
        <f>_xlfn.TEXTJOIN("; ",TRUE,IF(AND([1]DATABASE!T46&lt;0.8*[1]DATABASE!S46,[1]DATABASE!T46&gt;0,[1]DATABASE!S46&gt;0),"Heavy Price Cut &gt;20%",""),IF(AND(OR(TRIM([1]DATABASE!Q46)="AVAILABLE",TRIM([1]DATABASE!Q46)="UPON REQUEST"),OR([1]DATABASE!T46="",[1]DATABASE!T46=0)),"Active Unit no Price",""),IF(AND(OR(TRIM([1]DATABASE!Q46)="AVAILABLE",TRIM([1]DATABASE!Q46)="RESERVED",TRIM([1]DATABASE!Q46)="PRE-RESERVED",TRIM([1]DATABASE!Q46)="PSPA"),[1]DATABASE!AC46=""),"Active no Owner",""),IF(OR([1]DATABASE!F46="",[1]DATABASE!F46&lt;=0),"Missing/Invalid Area",""),IF(AND([1]DATABASE!T46&gt;0,ABS([1]DATABASE!T46-[1]DATABASE!W46-[1]DATABASE!U46-[1]DATABASE!V46)&gt;1),"Price Bridge Mismatch",""))</f>
        <v/>
      </c>
      <c r="H85" t="str">
        <f t="shared" si="3"/>
        <v>PASS</v>
      </c>
      <c r="I85" s="90">
        <f>[1]DATABASE!T46</f>
        <v>850000</v>
      </c>
      <c r="J85" t="str">
        <f>[1]DATABASE!AC46</f>
        <v>Ana Damásio</v>
      </c>
    </row>
    <row r="86" spans="1:10" ht="13.95" customHeight="1" x14ac:dyDescent="0.3">
      <c r="A86">
        <f>ROW([1]DATABASE!A47)</f>
        <v>47</v>
      </c>
      <c r="B86" t="str">
        <f>[1]DATABASE!AJ47</f>
        <v>VM PARQUE</v>
      </c>
      <c r="C86" t="str">
        <f>[1]DATABASE!C47</f>
        <v>A</v>
      </c>
      <c r="D86" t="str">
        <f>TRIM([1]DATABASE!Q47)</f>
        <v>DEED</v>
      </c>
      <c r="E86" s="82" t="str">
        <f>_xlfn.TEXTJOIN("; ",TRUE,IF([1]DATABASE!X47&lt;0,"Negative Discount",""),IF(AND([1]DATABASE!Y47&gt;[1]DATABASE!T47,[1]DATABASE!Y47&gt;0,[1]DATABASE!T47&gt;0),"Sell Price &gt; Current",""),IF(AND(TRIM([1]DATABASE!Q47)="DEED",[1]DATABASE!AA47=""),"Deeded no PSPA Date",""),IF([1]DATABASE!E47="","Missing Typology",""),IF([1]DATABASE!AJ47="","Missing Development",""))</f>
        <v/>
      </c>
      <c r="F86" s="82" t="str">
        <f>_xlfn.TEXTJOIN("; ",TRUE,IF(AND(OR(TRIM([1]DATABASE!Q47)="RESERVED",TRIM([1]DATABASE!Q47)="PRE-RESERVED",TRIM([1]DATABASE!Q47)="PSPA"),[1]DATABASE!AA47=""),"Reserved/PSPA no PSPA Date",""),IF(AND(TRIM([1]DATABASE!Q47)="AVAILABLE",[1]DATABASE!AA47&lt;&gt;""),"Available has PSPA Date",""))</f>
        <v/>
      </c>
      <c r="G86" s="82" t="str">
        <f>_xlfn.TEXTJOIN("; ",TRUE,IF(AND([1]DATABASE!T47&lt;0.8*[1]DATABASE!S47,[1]DATABASE!T47&gt;0,[1]DATABASE!S47&gt;0),"Heavy Price Cut &gt;20%",""),IF(AND(OR(TRIM([1]DATABASE!Q47)="AVAILABLE",TRIM([1]DATABASE!Q47)="UPON REQUEST"),OR([1]DATABASE!T47="",[1]DATABASE!T47=0)),"Active Unit no Price",""),IF(AND(OR(TRIM([1]DATABASE!Q47)="AVAILABLE",TRIM([1]DATABASE!Q47)="RESERVED",TRIM([1]DATABASE!Q47)="PRE-RESERVED",TRIM([1]DATABASE!Q47)="PSPA"),[1]DATABASE!AC47=""),"Active no Owner",""),IF(OR([1]DATABASE!F47="",[1]DATABASE!F47&lt;=0),"Missing/Invalid Area",""),IF(AND([1]DATABASE!T47&gt;0,ABS([1]DATABASE!T47-[1]DATABASE!W47-[1]DATABASE!U47-[1]DATABASE!V47)&gt;1),"Price Bridge Mismatch",""))</f>
        <v/>
      </c>
      <c r="H86" t="str">
        <f t="shared" si="3"/>
        <v>PASS</v>
      </c>
      <c r="I86" s="90">
        <f>[1]DATABASE!T47</f>
        <v>1200000</v>
      </c>
      <c r="J86">
        <f>[1]DATABASE!AC47</f>
        <v>0</v>
      </c>
    </row>
    <row r="87" spans="1:10" ht="13.95" customHeight="1" x14ac:dyDescent="0.3">
      <c r="A87">
        <f>ROW([1]DATABASE!A48)</f>
        <v>48</v>
      </c>
      <c r="B87" t="str">
        <f>[1]DATABASE!AJ48</f>
        <v>Terracota</v>
      </c>
      <c r="C87" t="str">
        <f>[1]DATABASE!C48</f>
        <v>AA</v>
      </c>
      <c r="D87" t="str">
        <f>TRIM([1]DATABASE!Q48)</f>
        <v>PSPA</v>
      </c>
      <c r="E87" s="82" t="str">
        <f>_xlfn.TEXTJOIN("; ",TRUE,IF([1]DATABASE!X48&lt;0,"Negative Discount",""),IF(AND([1]DATABASE!Y48&gt;[1]DATABASE!T48,[1]DATABASE!Y48&gt;0,[1]DATABASE!T48&gt;0),"Sell Price &gt; Current",""),IF(AND(TRIM([1]DATABASE!Q48)="DEED",[1]DATABASE!AA48=""),"Deeded no PSPA Date",""),IF([1]DATABASE!E48="","Missing Typology",""),IF([1]DATABASE!AJ48="","Missing Development",""))</f>
        <v/>
      </c>
      <c r="F87" s="82" t="str">
        <f>_xlfn.TEXTJOIN("; ",TRUE,IF(AND(OR(TRIM([1]DATABASE!Q48)="RESERVED",TRIM([1]DATABASE!Q48)="PRE-RESERVED",TRIM([1]DATABASE!Q48)="PSPA"),[1]DATABASE!AA48=""),"Reserved/PSPA no PSPA Date",""),IF(AND(TRIM([1]DATABASE!Q48)="AVAILABLE",[1]DATABASE!AA48&lt;&gt;""),"Available has PSPA Date",""))</f>
        <v/>
      </c>
      <c r="G87" s="82" t="str">
        <f>_xlfn.TEXTJOIN("; ",TRUE,IF(AND([1]DATABASE!T48&lt;0.8*[1]DATABASE!S48,[1]DATABASE!T48&gt;0,[1]DATABASE!S48&gt;0),"Heavy Price Cut &gt;20%",""),IF(AND(OR(TRIM([1]DATABASE!Q48)="AVAILABLE",TRIM([1]DATABASE!Q48)="UPON REQUEST"),OR([1]DATABASE!T48="",[1]DATABASE!T48=0)),"Active Unit no Price",""),IF(AND(OR(TRIM([1]DATABASE!Q48)="AVAILABLE",TRIM([1]DATABASE!Q48)="RESERVED",TRIM([1]DATABASE!Q48)="PRE-RESERVED",TRIM([1]DATABASE!Q48)="PSPA"),[1]DATABASE!AC48=""),"Active no Owner",""),IF(OR([1]DATABASE!F48="",[1]DATABASE!F48&lt;=0),"Missing/Invalid Area",""),IF(AND([1]DATABASE!T48&gt;0,ABS([1]DATABASE!T48-[1]DATABASE!W48-[1]DATABASE!U48-[1]DATABASE!V48)&gt;1),"Price Bridge Mismatch",""))</f>
        <v/>
      </c>
      <c r="H87" t="str">
        <f t="shared" si="3"/>
        <v>PASS</v>
      </c>
      <c r="I87" s="90">
        <f>[1]DATABASE!T48</f>
        <v>660000</v>
      </c>
      <c r="J87" t="str">
        <f>[1]DATABASE!AC48</f>
        <v>Ana Damásio</v>
      </c>
    </row>
    <row r="88" spans="1:10" ht="13.95" customHeight="1" x14ac:dyDescent="0.3">
      <c r="A88">
        <f>ROW([1]DATABASE!A49)</f>
        <v>49</v>
      </c>
      <c r="B88" t="str">
        <f>[1]DATABASE!AJ49</f>
        <v>Nobilus</v>
      </c>
      <c r="C88" t="str">
        <f>[1]DATABASE!C49</f>
        <v>AB</v>
      </c>
      <c r="D88" t="str">
        <f>TRIM([1]DATABASE!Q49)</f>
        <v>PSPA</v>
      </c>
      <c r="E88" s="82" t="str">
        <f>_xlfn.TEXTJOIN("; ",TRUE,IF([1]DATABASE!X49&lt;0,"Negative Discount",""),IF(AND([1]DATABASE!Y49&gt;[1]DATABASE!T49,[1]DATABASE!Y49&gt;0,[1]DATABASE!T49&gt;0),"Sell Price &gt; Current",""),IF(AND(TRIM([1]DATABASE!Q49)="DEED",[1]DATABASE!AA49=""),"Deeded no PSPA Date",""),IF([1]DATABASE!E49="","Missing Typology",""),IF([1]DATABASE!AJ49="","Missing Development",""))</f>
        <v/>
      </c>
      <c r="F88" s="82" t="str">
        <f>_xlfn.TEXTJOIN("; ",TRUE,IF(AND(OR(TRIM([1]DATABASE!Q49)="RESERVED",TRIM([1]DATABASE!Q49)="PRE-RESERVED",TRIM([1]DATABASE!Q49)="PSPA"),[1]DATABASE!AA49=""),"Reserved/PSPA no PSPA Date",""),IF(AND(TRIM([1]DATABASE!Q49)="AVAILABLE",[1]DATABASE!AA49&lt;&gt;""),"Available has PSPA Date",""))</f>
        <v/>
      </c>
      <c r="G88" s="82" t="str">
        <f>_xlfn.TEXTJOIN("; ",TRUE,IF(AND([1]DATABASE!T49&lt;0.8*[1]DATABASE!S49,[1]DATABASE!T49&gt;0,[1]DATABASE!S49&gt;0),"Heavy Price Cut &gt;20%",""),IF(AND(OR(TRIM([1]DATABASE!Q49)="AVAILABLE",TRIM([1]DATABASE!Q49)="UPON REQUEST"),OR([1]DATABASE!T49="",[1]DATABASE!T49=0)),"Active Unit no Price",""),IF(AND(OR(TRIM([1]DATABASE!Q49)="AVAILABLE",TRIM([1]DATABASE!Q49)="RESERVED",TRIM([1]DATABASE!Q49)="PRE-RESERVED",TRIM([1]DATABASE!Q49)="PSPA"),[1]DATABASE!AC49=""),"Active no Owner",""),IF(OR([1]DATABASE!F49="",[1]DATABASE!F49&lt;=0),"Missing/Invalid Area",""),IF(AND([1]DATABASE!T49&gt;0,ABS([1]DATABASE!T49-[1]DATABASE!W49-[1]DATABASE!U49-[1]DATABASE!V49)&gt;1),"Price Bridge Mismatch",""))</f>
        <v/>
      </c>
      <c r="H88" t="str">
        <f t="shared" si="3"/>
        <v>PASS</v>
      </c>
      <c r="I88" s="90">
        <f>[1]DATABASE!T49</f>
        <v>988000</v>
      </c>
      <c r="J88" t="str">
        <f>[1]DATABASE!AC49</f>
        <v>Ana Damásio</v>
      </c>
    </row>
    <row r="89" spans="1:10" ht="13.95" customHeight="1" x14ac:dyDescent="0.3">
      <c r="A89">
        <f>ROW([1]DATABASE!A50)</f>
        <v>50</v>
      </c>
      <c r="B89" t="str">
        <f>[1]DATABASE!AJ50</f>
        <v>The Nine</v>
      </c>
      <c r="C89" t="str">
        <f>[1]DATABASE!C50</f>
        <v>AA</v>
      </c>
      <c r="D89" t="str">
        <f>TRIM([1]DATABASE!Q50)</f>
        <v>DEED</v>
      </c>
      <c r="E89" s="82" t="str">
        <f>_xlfn.TEXTJOIN("; ",TRUE,IF([1]DATABASE!X50&lt;0,"Negative Discount",""),IF(AND([1]DATABASE!Y50&gt;[1]DATABASE!T50,[1]DATABASE!Y50&gt;0,[1]DATABASE!T50&gt;0),"Sell Price &gt; Current",""),IF(AND(TRIM([1]DATABASE!Q50)="DEED",[1]DATABASE!AA50=""),"Deeded no PSPA Date",""),IF([1]DATABASE!E50="","Missing Typology",""),IF([1]DATABASE!AJ50="","Missing Development",""))</f>
        <v/>
      </c>
      <c r="F89" s="82" t="str">
        <f>_xlfn.TEXTJOIN("; ",TRUE,IF(AND(OR(TRIM([1]DATABASE!Q50)="RESERVED",TRIM([1]DATABASE!Q50)="PRE-RESERVED",TRIM([1]DATABASE!Q50)="PSPA"),[1]DATABASE!AA50=""),"Reserved/PSPA no PSPA Date",""),IF(AND(TRIM([1]DATABASE!Q50)="AVAILABLE",[1]DATABASE!AA50&lt;&gt;""),"Available has PSPA Date",""))</f>
        <v/>
      </c>
      <c r="G89" s="82" t="str">
        <f>_xlfn.TEXTJOIN("; ",TRUE,IF(AND([1]DATABASE!T50&lt;0.8*[1]DATABASE!S50,[1]DATABASE!T50&gt;0,[1]DATABASE!S50&gt;0),"Heavy Price Cut &gt;20%",""),IF(AND(OR(TRIM([1]DATABASE!Q50)="AVAILABLE",TRIM([1]DATABASE!Q50)="UPON REQUEST"),OR([1]DATABASE!T50="",[1]DATABASE!T50=0)),"Active Unit no Price",""),IF(AND(OR(TRIM([1]DATABASE!Q50)="AVAILABLE",TRIM([1]DATABASE!Q50)="RESERVED",TRIM([1]DATABASE!Q50)="PRE-RESERVED",TRIM([1]DATABASE!Q50)="PSPA"),[1]DATABASE!AC50=""),"Active no Owner",""),IF(OR([1]DATABASE!F50="",[1]DATABASE!F50&lt;=0),"Missing/Invalid Area",""),IF(AND([1]DATABASE!T50&gt;0,ABS([1]DATABASE!T50-[1]DATABASE!W50-[1]DATABASE!U50-[1]DATABASE!V50)&gt;1),"Price Bridge Mismatch",""))</f>
        <v/>
      </c>
      <c r="H89" t="str">
        <f t="shared" si="3"/>
        <v>PASS</v>
      </c>
      <c r="I89" s="90">
        <f>[1]DATABASE!T50</f>
        <v>490000</v>
      </c>
      <c r="J89" t="str">
        <f>[1]DATABASE!AC50</f>
        <v>Ana Damásio</v>
      </c>
    </row>
    <row r="90" spans="1:10" ht="13.95" customHeight="1" x14ac:dyDescent="0.3">
      <c r="A90">
        <f>ROW([1]DATABASE!A51)</f>
        <v>51</v>
      </c>
      <c r="B90" t="str">
        <f>[1]DATABASE!AJ51</f>
        <v>Rivus</v>
      </c>
      <c r="C90" t="str">
        <f>[1]DATABASE!C51</f>
        <v>AB</v>
      </c>
      <c r="D90" t="str">
        <f>TRIM([1]DATABASE!Q51)</f>
        <v>PSPA</v>
      </c>
      <c r="E90" s="82" t="str">
        <f>_xlfn.TEXTJOIN("; ",TRUE,IF([1]DATABASE!X51&lt;0,"Negative Discount",""),IF(AND([1]DATABASE!Y51&gt;[1]DATABASE!T51,[1]DATABASE!Y51&gt;0,[1]DATABASE!T51&gt;0),"Sell Price &gt; Current",""),IF(AND(TRIM([1]DATABASE!Q51)="DEED",[1]DATABASE!AA51=""),"Deeded no PSPA Date",""),IF([1]DATABASE!E51="","Missing Typology",""),IF([1]DATABASE!AJ51="","Missing Development",""))</f>
        <v/>
      </c>
      <c r="F90" s="82" t="str">
        <f>_xlfn.TEXTJOIN("; ",TRUE,IF(AND(OR(TRIM([1]DATABASE!Q51)="RESERVED",TRIM([1]DATABASE!Q51)="PRE-RESERVED",TRIM([1]DATABASE!Q51)="PSPA"),[1]DATABASE!AA51=""),"Reserved/PSPA no PSPA Date",""),IF(AND(TRIM([1]DATABASE!Q51)="AVAILABLE",[1]DATABASE!AA51&lt;&gt;""),"Available has PSPA Date",""))</f>
        <v/>
      </c>
      <c r="G90" s="82" t="str">
        <f>_xlfn.TEXTJOIN("; ",TRUE,IF(AND([1]DATABASE!T51&lt;0.8*[1]DATABASE!S51,[1]DATABASE!T51&gt;0,[1]DATABASE!S51&gt;0),"Heavy Price Cut &gt;20%",""),IF(AND(OR(TRIM([1]DATABASE!Q51)="AVAILABLE",TRIM([1]DATABASE!Q51)="UPON REQUEST"),OR([1]DATABASE!T51="",[1]DATABASE!T51=0)),"Active Unit no Price",""),IF(AND(OR(TRIM([1]DATABASE!Q51)="AVAILABLE",TRIM([1]DATABASE!Q51)="RESERVED",TRIM([1]DATABASE!Q51)="PRE-RESERVED",TRIM([1]DATABASE!Q51)="PSPA"),[1]DATABASE!AC51=""),"Active no Owner",""),IF(OR([1]DATABASE!F51="",[1]DATABASE!F51&lt;=0),"Missing/Invalid Area",""),IF(AND([1]DATABASE!T51&gt;0,ABS([1]DATABASE!T51-[1]DATABASE!W51-[1]DATABASE!U51-[1]DATABASE!V51)&gt;1),"Price Bridge Mismatch",""))</f>
        <v>Missing/Invalid Area</v>
      </c>
      <c r="H90" t="str">
        <f t="shared" si="3"/>
        <v>REVIEW</v>
      </c>
      <c r="I90" s="90">
        <f>[1]DATABASE!T51</f>
        <v>860000</v>
      </c>
      <c r="J90" t="str">
        <f>[1]DATABASE!AC51</f>
        <v>Ana Damásio</v>
      </c>
    </row>
    <row r="91" spans="1:10" ht="13.95" customHeight="1" x14ac:dyDescent="0.3">
      <c r="A91">
        <f>ROW([1]DATABASE!A52)</f>
        <v>52</v>
      </c>
      <c r="B91" t="str">
        <f>[1]DATABASE!AJ52</f>
        <v>Palmares</v>
      </c>
      <c r="C91" t="str">
        <f>[1]DATABASE!C52</f>
        <v>811B</v>
      </c>
      <c r="D91" t="str">
        <f>TRIM([1]DATABASE!Q52)</f>
        <v>PSPA</v>
      </c>
      <c r="E91" s="82" t="str">
        <f>_xlfn.TEXTJOIN("; ",TRUE,IF([1]DATABASE!X52&lt;0,"Negative Discount",""),IF(AND([1]DATABASE!Y52&gt;[1]DATABASE!T52,[1]DATABASE!Y52&gt;0,[1]DATABASE!T52&gt;0),"Sell Price &gt; Current",""),IF(AND(TRIM([1]DATABASE!Q52)="DEED",[1]DATABASE!AA52=""),"Deeded no PSPA Date",""),IF([1]DATABASE!E52="","Missing Typology",""),IF([1]DATABASE!AJ52="","Missing Development",""))</f>
        <v/>
      </c>
      <c r="F91" s="82" t="str">
        <f>_xlfn.TEXTJOIN("; ",TRUE,IF(AND(OR(TRIM([1]DATABASE!Q52)="RESERVED",TRIM([1]DATABASE!Q52)="PRE-RESERVED",TRIM([1]DATABASE!Q52)="PSPA"),[1]DATABASE!AA52=""),"Reserved/PSPA no PSPA Date",""),IF(AND(TRIM([1]DATABASE!Q52)="AVAILABLE",[1]DATABASE!AA52&lt;&gt;""),"Available has PSPA Date",""))</f>
        <v/>
      </c>
      <c r="G91" s="82" t="str">
        <f>_xlfn.TEXTJOIN("; ",TRUE,IF(AND([1]DATABASE!T52&lt;0.8*[1]DATABASE!S52,[1]DATABASE!T52&gt;0,[1]DATABASE!S52&gt;0),"Heavy Price Cut &gt;20%",""),IF(AND(OR(TRIM([1]DATABASE!Q52)="AVAILABLE",TRIM([1]DATABASE!Q52)="UPON REQUEST"),OR([1]DATABASE!T52="",[1]DATABASE!T52=0)),"Active Unit no Price",""),IF(AND(OR(TRIM([1]DATABASE!Q52)="AVAILABLE",TRIM([1]DATABASE!Q52)="RESERVED",TRIM([1]DATABASE!Q52)="PRE-RESERVED",TRIM([1]DATABASE!Q52)="PSPA"),[1]DATABASE!AC52=""),"Active no Owner",""),IF(OR([1]DATABASE!F52="",[1]DATABASE!F52&lt;=0),"Missing/Invalid Area",""),IF(AND([1]DATABASE!T52&gt;0,ABS([1]DATABASE!T52-[1]DATABASE!W52-[1]DATABASE!U52-[1]DATABASE!V52)&gt;1),"Price Bridge Mismatch",""))</f>
        <v>Active no Owner</v>
      </c>
      <c r="H91" t="str">
        <f t="shared" si="3"/>
        <v>REVIEW</v>
      </c>
      <c r="I91" s="90">
        <f>[1]DATABASE!T52</f>
        <v>550000</v>
      </c>
      <c r="J91">
        <f>[1]DATABASE!AC52</f>
        <v>0</v>
      </c>
    </row>
    <row r="92" spans="1:10" ht="13.95" customHeight="1" x14ac:dyDescent="0.3">
      <c r="A92">
        <f>ROW([1]DATABASE!A53)</f>
        <v>53</v>
      </c>
      <c r="B92" t="str">
        <f>[1]DATABASE!AJ53</f>
        <v>Palmares</v>
      </c>
      <c r="C92" t="str">
        <f>[1]DATABASE!C53</f>
        <v>813B</v>
      </c>
      <c r="D92" t="str">
        <f>TRIM([1]DATABASE!Q53)</f>
        <v>PSPA</v>
      </c>
      <c r="E92" s="82" t="str">
        <f>_xlfn.TEXTJOIN("; ",TRUE,IF([1]DATABASE!X53&lt;0,"Negative Discount",""),IF(AND([1]DATABASE!Y53&gt;[1]DATABASE!T53,[1]DATABASE!Y53&gt;0,[1]DATABASE!T53&gt;0),"Sell Price &gt; Current",""),IF(AND(TRIM([1]DATABASE!Q53)="DEED",[1]DATABASE!AA53=""),"Deeded no PSPA Date",""),IF([1]DATABASE!E53="","Missing Typology",""),IF([1]DATABASE!AJ53="","Missing Development",""))</f>
        <v/>
      </c>
      <c r="F92" s="82" t="str">
        <f>_xlfn.TEXTJOIN("; ",TRUE,IF(AND(OR(TRIM([1]DATABASE!Q53)="RESERVED",TRIM([1]DATABASE!Q53)="PRE-RESERVED",TRIM([1]DATABASE!Q53)="PSPA"),[1]DATABASE!AA53=""),"Reserved/PSPA no PSPA Date",""),IF(AND(TRIM([1]DATABASE!Q53)="AVAILABLE",[1]DATABASE!AA53&lt;&gt;""),"Available has PSPA Date",""))</f>
        <v/>
      </c>
      <c r="G92" s="82" t="str">
        <f>_xlfn.TEXTJOIN("; ",TRUE,IF(AND([1]DATABASE!T53&lt;0.8*[1]DATABASE!S53,[1]DATABASE!T53&gt;0,[1]DATABASE!S53&gt;0),"Heavy Price Cut &gt;20%",""),IF(AND(OR(TRIM([1]DATABASE!Q53)="AVAILABLE",TRIM([1]DATABASE!Q53)="UPON REQUEST"),OR([1]DATABASE!T53="",[1]DATABASE!T53=0)),"Active Unit no Price",""),IF(AND(OR(TRIM([1]DATABASE!Q53)="AVAILABLE",TRIM([1]DATABASE!Q53)="RESERVED",TRIM([1]DATABASE!Q53)="PRE-RESERVED",TRIM([1]DATABASE!Q53)="PSPA"),[1]DATABASE!AC53=""),"Active no Owner",""),IF(OR([1]DATABASE!F53="",[1]DATABASE!F53&lt;=0),"Missing/Invalid Area",""),IF(AND([1]DATABASE!T53&gt;0,ABS([1]DATABASE!T53-[1]DATABASE!W53-[1]DATABASE!U53-[1]DATABASE!V53)&gt;1),"Price Bridge Mismatch",""))</f>
        <v>Active no Owner</v>
      </c>
      <c r="H92" t="str">
        <f t="shared" si="3"/>
        <v>REVIEW</v>
      </c>
      <c r="I92" s="90">
        <f>[1]DATABASE!T53</f>
        <v>710000</v>
      </c>
      <c r="J92">
        <f>[1]DATABASE!AC53</f>
        <v>0</v>
      </c>
    </row>
    <row r="93" spans="1:10" ht="13.95" customHeight="1" x14ac:dyDescent="0.3">
      <c r="A93">
        <f>ROW([1]DATABASE!A54)</f>
        <v>54</v>
      </c>
      <c r="B93" t="str">
        <f>[1]DATABASE!AJ54</f>
        <v>Palmares</v>
      </c>
      <c r="C93" t="str">
        <f>[1]DATABASE!C54</f>
        <v>814B</v>
      </c>
      <c r="D93" t="str">
        <f>TRIM([1]DATABASE!Q54)</f>
        <v>PSPA</v>
      </c>
      <c r="E93" s="82" t="str">
        <f>_xlfn.TEXTJOIN("; ",TRUE,IF([1]DATABASE!X54&lt;0,"Negative Discount",""),IF(AND([1]DATABASE!Y54&gt;[1]DATABASE!T54,[1]DATABASE!Y54&gt;0,[1]DATABASE!T54&gt;0),"Sell Price &gt; Current",""),IF(AND(TRIM([1]DATABASE!Q54)="DEED",[1]DATABASE!AA54=""),"Deeded no PSPA Date",""),IF([1]DATABASE!E54="","Missing Typology",""),IF([1]DATABASE!AJ54="","Missing Development",""))</f>
        <v/>
      </c>
      <c r="F93" s="82" t="str">
        <f>_xlfn.TEXTJOIN("; ",TRUE,IF(AND(OR(TRIM([1]DATABASE!Q54)="RESERVED",TRIM([1]DATABASE!Q54)="PRE-RESERVED",TRIM([1]DATABASE!Q54)="PSPA"),[1]DATABASE!AA54=""),"Reserved/PSPA no PSPA Date",""),IF(AND(TRIM([1]DATABASE!Q54)="AVAILABLE",[1]DATABASE!AA54&lt;&gt;""),"Available has PSPA Date",""))</f>
        <v/>
      </c>
      <c r="G93" s="82" t="str">
        <f>_xlfn.TEXTJOIN("; ",TRUE,IF(AND([1]DATABASE!T54&lt;0.8*[1]DATABASE!S54,[1]DATABASE!T54&gt;0,[1]DATABASE!S54&gt;0),"Heavy Price Cut &gt;20%",""),IF(AND(OR(TRIM([1]DATABASE!Q54)="AVAILABLE",TRIM([1]DATABASE!Q54)="UPON REQUEST"),OR([1]DATABASE!T54="",[1]DATABASE!T54=0)),"Active Unit no Price",""),IF(AND(OR(TRIM([1]DATABASE!Q54)="AVAILABLE",TRIM([1]DATABASE!Q54)="RESERVED",TRIM([1]DATABASE!Q54)="PRE-RESERVED",TRIM([1]DATABASE!Q54)="PSPA"),[1]DATABASE!AC54=""),"Active no Owner",""),IF(OR([1]DATABASE!F54="",[1]DATABASE!F54&lt;=0),"Missing/Invalid Area",""),IF(AND([1]DATABASE!T54&gt;0,ABS([1]DATABASE!T54-[1]DATABASE!W54-[1]DATABASE!U54-[1]DATABASE!V54)&gt;1),"Price Bridge Mismatch",""))</f>
        <v>Heavy Price Cut &gt;20%; Active no Owner</v>
      </c>
      <c r="H93" t="str">
        <f t="shared" si="3"/>
        <v>REVIEW</v>
      </c>
      <c r="I93" s="90">
        <f>[1]DATABASE!T54</f>
        <v>530000</v>
      </c>
      <c r="J93">
        <f>[1]DATABASE!AC54</f>
        <v>0</v>
      </c>
    </row>
    <row r="94" spans="1:10" ht="13.95" customHeight="1" x14ac:dyDescent="0.3">
      <c r="A94">
        <f>ROW([1]DATABASE!A55)</f>
        <v>55</v>
      </c>
      <c r="B94" t="str">
        <f>[1]DATABASE!AJ55</f>
        <v>Palmares</v>
      </c>
      <c r="C94" t="str">
        <f>[1]DATABASE!C55</f>
        <v>815B</v>
      </c>
      <c r="D94" t="str">
        <f>TRIM([1]DATABASE!Q55)</f>
        <v>PSPA</v>
      </c>
      <c r="E94" s="82" t="str">
        <f>_xlfn.TEXTJOIN("; ",TRUE,IF([1]DATABASE!X55&lt;0,"Negative Discount",""),IF(AND([1]DATABASE!Y55&gt;[1]DATABASE!T55,[1]DATABASE!Y55&gt;0,[1]DATABASE!T55&gt;0),"Sell Price &gt; Current",""),IF(AND(TRIM([1]DATABASE!Q55)="DEED",[1]DATABASE!AA55=""),"Deeded no PSPA Date",""),IF([1]DATABASE!E55="","Missing Typology",""),IF([1]DATABASE!AJ55="","Missing Development",""))</f>
        <v/>
      </c>
      <c r="F94" s="82" t="str">
        <f>_xlfn.TEXTJOIN("; ",TRUE,IF(AND(OR(TRIM([1]DATABASE!Q55)="RESERVED",TRIM([1]DATABASE!Q55)="PRE-RESERVED",TRIM([1]DATABASE!Q55)="PSPA"),[1]DATABASE!AA55=""),"Reserved/PSPA no PSPA Date",""),IF(AND(TRIM([1]DATABASE!Q55)="AVAILABLE",[1]DATABASE!AA55&lt;&gt;""),"Available has PSPA Date",""))</f>
        <v/>
      </c>
      <c r="G94" s="82" t="str">
        <f>_xlfn.TEXTJOIN("; ",TRUE,IF(AND([1]DATABASE!T55&lt;0.8*[1]DATABASE!S55,[1]DATABASE!T55&gt;0,[1]DATABASE!S55&gt;0),"Heavy Price Cut &gt;20%",""),IF(AND(OR(TRIM([1]DATABASE!Q55)="AVAILABLE",TRIM([1]DATABASE!Q55)="UPON REQUEST"),OR([1]DATABASE!T55="",[1]DATABASE!T55=0)),"Active Unit no Price",""),IF(AND(OR(TRIM([1]DATABASE!Q55)="AVAILABLE",TRIM([1]DATABASE!Q55)="RESERVED",TRIM([1]DATABASE!Q55)="PRE-RESERVED",TRIM([1]DATABASE!Q55)="PSPA"),[1]DATABASE!AC55=""),"Active no Owner",""),IF(OR([1]DATABASE!F55="",[1]DATABASE!F55&lt;=0),"Missing/Invalid Area",""),IF(AND([1]DATABASE!T55&gt;0,ABS([1]DATABASE!T55-[1]DATABASE!W55-[1]DATABASE!U55-[1]DATABASE!V55)&gt;1),"Price Bridge Mismatch",""))</f>
        <v>Active no Owner</v>
      </c>
      <c r="H94" t="str">
        <f t="shared" si="3"/>
        <v>REVIEW</v>
      </c>
      <c r="I94" s="90">
        <f>[1]DATABASE!T55</f>
        <v>680000</v>
      </c>
      <c r="J94">
        <f>[1]DATABASE!AC55</f>
        <v>0</v>
      </c>
    </row>
    <row r="95" spans="1:10" ht="13.95" customHeight="1" x14ac:dyDescent="0.3">
      <c r="A95">
        <f>ROW([1]DATABASE!A56)</f>
        <v>56</v>
      </c>
      <c r="B95" t="str">
        <f>[1]DATABASE!AJ56</f>
        <v>Palmares</v>
      </c>
      <c r="C95" t="str">
        <f>[1]DATABASE!C56</f>
        <v>816B</v>
      </c>
      <c r="D95" t="str">
        <f>TRIM([1]DATABASE!Q56)</f>
        <v>PSPA</v>
      </c>
      <c r="E95" s="82" t="str">
        <f>_xlfn.TEXTJOIN("; ",TRUE,IF([1]DATABASE!X56&lt;0,"Negative Discount",""),IF(AND([1]DATABASE!Y56&gt;[1]DATABASE!T56,[1]DATABASE!Y56&gt;0,[1]DATABASE!T56&gt;0),"Sell Price &gt; Current",""),IF(AND(TRIM([1]DATABASE!Q56)="DEED",[1]DATABASE!AA56=""),"Deeded no PSPA Date",""),IF([1]DATABASE!E56="","Missing Typology",""),IF([1]DATABASE!AJ56="","Missing Development",""))</f>
        <v/>
      </c>
      <c r="F95" s="82" t="str">
        <f>_xlfn.TEXTJOIN("; ",TRUE,IF(AND(OR(TRIM([1]DATABASE!Q56)="RESERVED",TRIM([1]DATABASE!Q56)="PRE-RESERVED",TRIM([1]DATABASE!Q56)="PSPA"),[1]DATABASE!AA56=""),"Reserved/PSPA no PSPA Date",""),IF(AND(TRIM([1]DATABASE!Q56)="AVAILABLE",[1]DATABASE!AA56&lt;&gt;""),"Available has PSPA Date",""))</f>
        <v/>
      </c>
      <c r="G95" s="82" t="str">
        <f>_xlfn.TEXTJOIN("; ",TRUE,IF(AND([1]DATABASE!T56&lt;0.8*[1]DATABASE!S56,[1]DATABASE!T56&gt;0,[1]DATABASE!S56&gt;0),"Heavy Price Cut &gt;20%",""),IF(AND(OR(TRIM([1]DATABASE!Q56)="AVAILABLE",TRIM([1]DATABASE!Q56)="UPON REQUEST"),OR([1]DATABASE!T56="",[1]DATABASE!T56=0)),"Active Unit no Price",""),IF(AND(OR(TRIM([1]DATABASE!Q56)="AVAILABLE",TRIM([1]DATABASE!Q56)="RESERVED",TRIM([1]DATABASE!Q56)="PRE-RESERVED",TRIM([1]DATABASE!Q56)="PSPA"),[1]DATABASE!AC56=""),"Active no Owner",""),IF(OR([1]DATABASE!F56="",[1]DATABASE!F56&lt;=0),"Missing/Invalid Area",""),IF(AND([1]DATABASE!T56&gt;0,ABS([1]DATABASE!T56-[1]DATABASE!W56-[1]DATABASE!U56-[1]DATABASE!V56)&gt;1),"Price Bridge Mismatch",""))</f>
        <v>Active no Owner</v>
      </c>
      <c r="H95" t="str">
        <f t="shared" si="3"/>
        <v>REVIEW</v>
      </c>
      <c r="I95" s="90">
        <f>[1]DATABASE!T56</f>
        <v>680000</v>
      </c>
      <c r="J95">
        <f>[1]DATABASE!AC56</f>
        <v>0</v>
      </c>
    </row>
    <row r="96" spans="1:10" ht="13.95" customHeight="1" x14ac:dyDescent="0.3">
      <c r="A96">
        <f>ROW([1]DATABASE!A57)</f>
        <v>57</v>
      </c>
      <c r="B96" t="str">
        <f>[1]DATABASE!AJ57</f>
        <v>Terracota</v>
      </c>
      <c r="C96" t="str">
        <f>[1]DATABASE!C57</f>
        <v>AB</v>
      </c>
      <c r="D96" t="str">
        <f>TRIM([1]DATABASE!Q57)</f>
        <v>PSPA</v>
      </c>
      <c r="E96" s="82" t="str">
        <f>_xlfn.TEXTJOIN("; ",TRUE,IF([1]DATABASE!X57&lt;0,"Negative Discount",""),IF(AND([1]DATABASE!Y57&gt;[1]DATABASE!T57,[1]DATABASE!Y57&gt;0,[1]DATABASE!T57&gt;0),"Sell Price &gt; Current",""),IF(AND(TRIM([1]DATABASE!Q57)="DEED",[1]DATABASE!AA57=""),"Deeded no PSPA Date",""),IF([1]DATABASE!E57="","Missing Typology",""),IF([1]DATABASE!AJ57="","Missing Development",""))</f>
        <v/>
      </c>
      <c r="F96" s="82" t="str">
        <f>_xlfn.TEXTJOIN("; ",TRUE,IF(AND(OR(TRIM([1]DATABASE!Q57)="RESERVED",TRIM([1]DATABASE!Q57)="PRE-RESERVED",TRIM([1]DATABASE!Q57)="PSPA"),[1]DATABASE!AA57=""),"Reserved/PSPA no PSPA Date",""),IF(AND(TRIM([1]DATABASE!Q57)="AVAILABLE",[1]DATABASE!AA57&lt;&gt;""),"Available has PSPA Date",""))</f>
        <v/>
      </c>
      <c r="G96" s="82" t="str">
        <f>_xlfn.TEXTJOIN("; ",TRUE,IF(AND([1]DATABASE!T57&lt;0.8*[1]DATABASE!S57,[1]DATABASE!T57&gt;0,[1]DATABASE!S57&gt;0),"Heavy Price Cut &gt;20%",""),IF(AND(OR(TRIM([1]DATABASE!Q57)="AVAILABLE",TRIM([1]DATABASE!Q57)="UPON REQUEST"),OR([1]DATABASE!T57="",[1]DATABASE!T57=0)),"Active Unit no Price",""),IF(AND(OR(TRIM([1]DATABASE!Q57)="AVAILABLE",TRIM([1]DATABASE!Q57)="RESERVED",TRIM([1]DATABASE!Q57)="PRE-RESERVED",TRIM([1]DATABASE!Q57)="PSPA"),[1]DATABASE!AC57=""),"Active no Owner",""),IF(OR([1]DATABASE!F57="",[1]DATABASE!F57&lt;=0),"Missing/Invalid Area",""),IF(AND([1]DATABASE!T57&gt;0,ABS([1]DATABASE!T57-[1]DATABASE!W57-[1]DATABASE!U57-[1]DATABASE!V57)&gt;1),"Price Bridge Mismatch",""))</f>
        <v/>
      </c>
      <c r="H96" t="str">
        <f t="shared" si="3"/>
        <v>PASS</v>
      </c>
      <c r="I96" s="90">
        <f>[1]DATABASE!T57</f>
        <v>680000</v>
      </c>
      <c r="J96" t="str">
        <f>[1]DATABASE!AC57</f>
        <v>Ana Damásio</v>
      </c>
    </row>
    <row r="97" spans="1:10" ht="13.95" customHeight="1" x14ac:dyDescent="0.3">
      <c r="A97">
        <f>ROW([1]DATABASE!A58)</f>
        <v>58</v>
      </c>
      <c r="B97" t="str">
        <f>[1]DATABASE!AJ58</f>
        <v>Terracota</v>
      </c>
      <c r="C97" t="str">
        <f>[1]DATABASE!C58</f>
        <v>AC</v>
      </c>
      <c r="D97" t="str">
        <f>TRIM([1]DATABASE!Q58)</f>
        <v>PSPA</v>
      </c>
      <c r="E97" s="82" t="str">
        <f>_xlfn.TEXTJOIN("; ",TRUE,IF([1]DATABASE!X58&lt;0,"Negative Discount",""),IF(AND([1]DATABASE!Y58&gt;[1]DATABASE!T58,[1]DATABASE!Y58&gt;0,[1]DATABASE!T58&gt;0),"Sell Price &gt; Current",""),IF(AND(TRIM([1]DATABASE!Q58)="DEED",[1]DATABASE!AA58=""),"Deeded no PSPA Date",""),IF([1]DATABASE!E58="","Missing Typology",""),IF([1]DATABASE!AJ58="","Missing Development",""))</f>
        <v/>
      </c>
      <c r="F97" s="82" t="str">
        <f>_xlfn.TEXTJOIN("; ",TRUE,IF(AND(OR(TRIM([1]DATABASE!Q58)="RESERVED",TRIM([1]DATABASE!Q58)="PRE-RESERVED",TRIM([1]DATABASE!Q58)="PSPA"),[1]DATABASE!AA58=""),"Reserved/PSPA no PSPA Date",""),IF(AND(TRIM([1]DATABASE!Q58)="AVAILABLE",[1]DATABASE!AA58&lt;&gt;""),"Available has PSPA Date",""))</f>
        <v/>
      </c>
      <c r="G97" s="82" t="str">
        <f>_xlfn.TEXTJOIN("; ",TRUE,IF(AND([1]DATABASE!T58&lt;0.8*[1]DATABASE!S58,[1]DATABASE!T58&gt;0,[1]DATABASE!S58&gt;0),"Heavy Price Cut &gt;20%",""),IF(AND(OR(TRIM([1]DATABASE!Q58)="AVAILABLE",TRIM([1]DATABASE!Q58)="UPON REQUEST"),OR([1]DATABASE!T58="",[1]DATABASE!T58=0)),"Active Unit no Price",""),IF(AND(OR(TRIM([1]DATABASE!Q58)="AVAILABLE",TRIM([1]DATABASE!Q58)="RESERVED",TRIM([1]DATABASE!Q58)="PRE-RESERVED",TRIM([1]DATABASE!Q58)="PSPA"),[1]DATABASE!AC58=""),"Active no Owner",""),IF(OR([1]DATABASE!F58="",[1]DATABASE!F58&lt;=0),"Missing/Invalid Area",""),IF(AND([1]DATABASE!T58&gt;0,ABS([1]DATABASE!T58-[1]DATABASE!W58-[1]DATABASE!U58-[1]DATABASE!V58)&gt;1),"Price Bridge Mismatch",""))</f>
        <v/>
      </c>
      <c r="H97" t="str">
        <f t="shared" si="3"/>
        <v>PASS</v>
      </c>
      <c r="I97" s="90">
        <f>[1]DATABASE!T58</f>
        <v>660000</v>
      </c>
      <c r="J97" t="str">
        <f>[1]DATABASE!AC58</f>
        <v>Ana Damásio</v>
      </c>
    </row>
    <row r="98" spans="1:10" ht="13.95" customHeight="1" x14ac:dyDescent="0.3">
      <c r="A98">
        <f>ROW([1]DATABASE!A59)</f>
        <v>59</v>
      </c>
      <c r="B98" t="str">
        <f>[1]DATABASE!AJ59</f>
        <v>The Nine</v>
      </c>
      <c r="C98" t="str">
        <f>[1]DATABASE!C59</f>
        <v>AB</v>
      </c>
      <c r="D98" t="str">
        <f>TRIM([1]DATABASE!Q59)</f>
        <v>DEED</v>
      </c>
      <c r="E98" s="82" t="str">
        <f>_xlfn.TEXTJOIN("; ",TRUE,IF([1]DATABASE!X59&lt;0,"Negative Discount",""),IF(AND([1]DATABASE!Y59&gt;[1]DATABASE!T59,[1]DATABASE!Y59&gt;0,[1]DATABASE!T59&gt;0),"Sell Price &gt; Current",""),IF(AND(TRIM([1]DATABASE!Q59)="DEED",[1]DATABASE!AA59=""),"Deeded no PSPA Date",""),IF([1]DATABASE!E59="","Missing Typology",""),IF([1]DATABASE!AJ59="","Missing Development",""))</f>
        <v>Deeded no PSPA Date</v>
      </c>
      <c r="F98" s="82" t="str">
        <f>_xlfn.TEXTJOIN("; ",TRUE,IF(AND(OR(TRIM([1]DATABASE!Q59)="RESERVED",TRIM([1]DATABASE!Q59)="PRE-RESERVED",TRIM([1]DATABASE!Q59)="PSPA"),[1]DATABASE!AA59=""),"Reserved/PSPA no PSPA Date",""),IF(AND(TRIM([1]DATABASE!Q59)="AVAILABLE",[1]DATABASE!AA59&lt;&gt;""),"Available has PSPA Date",""))</f>
        <v/>
      </c>
      <c r="G98" s="82" t="str">
        <f>_xlfn.TEXTJOIN("; ",TRUE,IF(AND([1]DATABASE!T59&lt;0.8*[1]DATABASE!S59,[1]DATABASE!T59&gt;0,[1]DATABASE!S59&gt;0),"Heavy Price Cut &gt;20%",""),IF(AND(OR(TRIM([1]DATABASE!Q59)="AVAILABLE",TRIM([1]DATABASE!Q59)="UPON REQUEST"),OR([1]DATABASE!T59="",[1]DATABASE!T59=0)),"Active Unit no Price",""),IF(AND(OR(TRIM([1]DATABASE!Q59)="AVAILABLE",TRIM([1]DATABASE!Q59)="RESERVED",TRIM([1]DATABASE!Q59)="PRE-RESERVED",TRIM([1]DATABASE!Q59)="PSPA"),[1]DATABASE!AC59=""),"Active no Owner",""),IF(OR([1]DATABASE!F59="",[1]DATABASE!F59&lt;=0),"Missing/Invalid Area",""),IF(AND([1]DATABASE!T59&gt;0,ABS([1]DATABASE!T59-[1]DATABASE!W59-[1]DATABASE!U59-[1]DATABASE!V59)&gt;1),"Price Bridge Mismatch",""))</f>
        <v/>
      </c>
      <c r="H98" t="str">
        <f t="shared" si="3"/>
        <v>REVIEW</v>
      </c>
      <c r="I98" s="90">
        <f>[1]DATABASE!T59</f>
        <v>830000</v>
      </c>
      <c r="J98" t="str">
        <f>[1]DATABASE!AC59</f>
        <v>Ana Damásio</v>
      </c>
    </row>
    <row r="99" spans="1:10" ht="13.95" customHeight="1" x14ac:dyDescent="0.3">
      <c r="A99">
        <f>ROW([1]DATABASE!A60)</f>
        <v>60</v>
      </c>
      <c r="B99" t="str">
        <f>[1]DATABASE!AJ60</f>
        <v>Palmares</v>
      </c>
      <c r="C99" t="str">
        <f>[1]DATABASE!C60</f>
        <v>818B (ACESS.)</v>
      </c>
      <c r="D99" t="str">
        <f>TRIM([1]DATABASE!Q60)</f>
        <v>PSPA</v>
      </c>
      <c r="E99" s="82" t="str">
        <f>_xlfn.TEXTJOIN("; ",TRUE,IF([1]DATABASE!X60&lt;0,"Negative Discount",""),IF(AND([1]DATABASE!Y60&gt;[1]DATABASE!T60,[1]DATABASE!Y60&gt;0,[1]DATABASE!T60&gt;0),"Sell Price &gt; Current",""),IF(AND(TRIM([1]DATABASE!Q60)="DEED",[1]DATABASE!AA60=""),"Deeded no PSPA Date",""),IF([1]DATABASE!E60="","Missing Typology",""),IF([1]DATABASE!AJ60="","Missing Development",""))</f>
        <v/>
      </c>
      <c r="F99" s="82" t="str">
        <f>_xlfn.TEXTJOIN("; ",TRUE,IF(AND(OR(TRIM([1]DATABASE!Q60)="RESERVED",TRIM([1]DATABASE!Q60)="PRE-RESERVED",TRIM([1]DATABASE!Q60)="PSPA"),[1]DATABASE!AA60=""),"Reserved/PSPA no PSPA Date",""),IF(AND(TRIM([1]DATABASE!Q60)="AVAILABLE",[1]DATABASE!AA60&lt;&gt;""),"Available has PSPA Date",""))</f>
        <v/>
      </c>
      <c r="G99" s="82" t="str">
        <f>_xlfn.TEXTJOIN("; ",TRUE,IF(AND([1]DATABASE!T60&lt;0.8*[1]DATABASE!S60,[1]DATABASE!T60&gt;0,[1]DATABASE!S60&gt;0),"Heavy Price Cut &gt;20%",""),IF(AND(OR(TRIM([1]DATABASE!Q60)="AVAILABLE",TRIM([1]DATABASE!Q60)="UPON REQUEST"),OR([1]DATABASE!T60="",[1]DATABASE!T60=0)),"Active Unit no Price",""),IF(AND(OR(TRIM([1]DATABASE!Q60)="AVAILABLE",TRIM([1]DATABASE!Q60)="RESERVED",TRIM([1]DATABASE!Q60)="PRE-RESERVED",TRIM([1]DATABASE!Q60)="PSPA"),[1]DATABASE!AC60=""),"Active no Owner",""),IF(OR([1]DATABASE!F60="",[1]DATABASE!F60&lt;=0),"Missing/Invalid Area",""),IF(AND([1]DATABASE!T60&gt;0,ABS([1]DATABASE!T60-[1]DATABASE!W60-[1]DATABASE!U60-[1]DATABASE!V60)&gt;1),"Price Bridge Mismatch",""))</f>
        <v>Active no Owner</v>
      </c>
      <c r="H99" t="str">
        <f t="shared" si="3"/>
        <v>REVIEW</v>
      </c>
      <c r="I99" s="90">
        <f>[1]DATABASE!T60</f>
        <v>450000</v>
      </c>
      <c r="J99">
        <f>[1]DATABASE!AC60</f>
        <v>0</v>
      </c>
    </row>
    <row r="100" spans="1:10" ht="13.95" customHeight="1" x14ac:dyDescent="0.3">
      <c r="A100">
        <f>ROW([1]DATABASE!A61)</f>
        <v>61</v>
      </c>
      <c r="B100" t="str">
        <f>[1]DATABASE!AJ61</f>
        <v>The Nine</v>
      </c>
      <c r="C100" t="str">
        <f>[1]DATABASE!C61</f>
        <v>AC</v>
      </c>
      <c r="D100" t="str">
        <f>TRIM([1]DATABASE!Q61)</f>
        <v>DEED</v>
      </c>
      <c r="E100" s="82" t="str">
        <f>_xlfn.TEXTJOIN("; ",TRUE,IF([1]DATABASE!X61&lt;0,"Negative Discount",""),IF(AND([1]DATABASE!Y61&gt;[1]DATABASE!T61,[1]DATABASE!Y61&gt;0,[1]DATABASE!T61&gt;0),"Sell Price &gt; Current",""),IF(AND(TRIM([1]DATABASE!Q61)="DEED",[1]DATABASE!AA61=""),"Deeded no PSPA Date",""),IF([1]DATABASE!E61="","Missing Typology",""),IF([1]DATABASE!AJ61="","Missing Development",""))</f>
        <v>Deeded no PSPA Date</v>
      </c>
      <c r="F100" s="82" t="str">
        <f>_xlfn.TEXTJOIN("; ",TRUE,IF(AND(OR(TRIM([1]DATABASE!Q61)="RESERVED",TRIM([1]DATABASE!Q61)="PRE-RESERVED",TRIM([1]DATABASE!Q61)="PSPA"),[1]DATABASE!AA61=""),"Reserved/PSPA no PSPA Date",""),IF(AND(TRIM([1]DATABASE!Q61)="AVAILABLE",[1]DATABASE!AA61&lt;&gt;""),"Available has PSPA Date",""))</f>
        <v/>
      </c>
      <c r="G100" s="82" t="str">
        <f>_xlfn.TEXTJOIN("; ",TRUE,IF(AND([1]DATABASE!T61&lt;0.8*[1]DATABASE!S61,[1]DATABASE!T61&gt;0,[1]DATABASE!S61&gt;0),"Heavy Price Cut &gt;20%",""),IF(AND(OR(TRIM([1]DATABASE!Q61)="AVAILABLE",TRIM([1]DATABASE!Q61)="UPON REQUEST"),OR([1]DATABASE!T61="",[1]DATABASE!T61=0)),"Active Unit no Price",""),IF(AND(OR(TRIM([1]DATABASE!Q61)="AVAILABLE",TRIM([1]DATABASE!Q61)="RESERVED",TRIM([1]DATABASE!Q61)="PRE-RESERVED",TRIM([1]DATABASE!Q61)="PSPA"),[1]DATABASE!AC61=""),"Active no Owner",""),IF(OR([1]DATABASE!F61="",[1]DATABASE!F61&lt;=0),"Missing/Invalid Area",""),IF(AND([1]DATABASE!T61&gt;0,ABS([1]DATABASE!T61-[1]DATABASE!W61-[1]DATABASE!U61-[1]DATABASE!V61)&gt;1),"Price Bridge Mismatch",""))</f>
        <v/>
      </c>
      <c r="H100" t="str">
        <f t="shared" si="3"/>
        <v>REVIEW</v>
      </c>
      <c r="I100" s="90">
        <f>[1]DATABASE!T61</f>
        <v>680000</v>
      </c>
      <c r="J100" t="str">
        <f>[1]DATABASE!AC61</f>
        <v>Ana Damásio</v>
      </c>
    </row>
    <row r="101" spans="1:10" ht="13.95" customHeight="1" x14ac:dyDescent="0.3">
      <c r="A101">
        <f>ROW([1]DATABASE!A62)</f>
        <v>62</v>
      </c>
      <c r="B101" t="str">
        <f>[1]DATABASE!AJ62</f>
        <v>VM PARQUE</v>
      </c>
      <c r="C101" t="str">
        <f>[1]DATABASE!C62</f>
        <v>AC</v>
      </c>
      <c r="D101" t="str">
        <f>TRIM([1]DATABASE!Q62)</f>
        <v>DEED</v>
      </c>
      <c r="E101" s="82" t="str">
        <f>_xlfn.TEXTJOIN("; ",TRUE,IF([1]DATABASE!X62&lt;0,"Negative Discount",""),IF(AND([1]DATABASE!Y62&gt;[1]DATABASE!T62,[1]DATABASE!Y62&gt;0,[1]DATABASE!T62&gt;0),"Sell Price &gt; Current",""),IF(AND(TRIM([1]DATABASE!Q62)="DEED",[1]DATABASE!AA62=""),"Deeded no PSPA Date",""),IF([1]DATABASE!E62="","Missing Typology",""),IF([1]DATABASE!AJ62="","Missing Development",""))</f>
        <v>Deeded no PSPA Date</v>
      </c>
      <c r="F101" s="82" t="str">
        <f>_xlfn.TEXTJOIN("; ",TRUE,IF(AND(OR(TRIM([1]DATABASE!Q62)="RESERVED",TRIM([1]DATABASE!Q62)="PRE-RESERVED",TRIM([1]DATABASE!Q62)="PSPA"),[1]DATABASE!AA62=""),"Reserved/PSPA no PSPA Date",""),IF(AND(TRIM([1]DATABASE!Q62)="AVAILABLE",[1]DATABASE!AA62&lt;&gt;""),"Available has PSPA Date",""))</f>
        <v/>
      </c>
      <c r="G101" s="82" t="str">
        <f>_xlfn.TEXTJOIN("; ",TRUE,IF(AND([1]DATABASE!T62&lt;0.8*[1]DATABASE!S62,[1]DATABASE!T62&gt;0,[1]DATABASE!S62&gt;0),"Heavy Price Cut &gt;20%",""),IF(AND(OR(TRIM([1]DATABASE!Q62)="AVAILABLE",TRIM([1]DATABASE!Q62)="UPON REQUEST"),OR([1]DATABASE!T62="",[1]DATABASE!T62=0)),"Active Unit no Price",""),IF(AND(OR(TRIM([1]DATABASE!Q62)="AVAILABLE",TRIM([1]DATABASE!Q62)="RESERVED",TRIM([1]DATABASE!Q62)="PRE-RESERVED",TRIM([1]DATABASE!Q62)="PSPA"),[1]DATABASE!AC62=""),"Active no Owner",""),IF(OR([1]DATABASE!F62="",[1]DATABASE!F62&lt;=0),"Missing/Invalid Area",""),IF(AND([1]DATABASE!T62&gt;0,ABS([1]DATABASE!T62-[1]DATABASE!W62-[1]DATABASE!U62-[1]DATABASE!V62)&gt;1),"Price Bridge Mismatch",""))</f>
        <v/>
      </c>
      <c r="H101" t="str">
        <f t="shared" si="3"/>
        <v>REVIEW</v>
      </c>
      <c r="I101" s="90">
        <f>[1]DATABASE!T62</f>
        <v>990000</v>
      </c>
      <c r="J101">
        <f>[1]DATABASE!AC62</f>
        <v>0</v>
      </c>
    </row>
    <row r="102" spans="1:10" ht="13.95" customHeight="1" x14ac:dyDescent="0.3">
      <c r="A102">
        <f>ROW([1]DATABASE!A63)</f>
        <v>63</v>
      </c>
      <c r="B102" t="str">
        <f>[1]DATABASE!AJ63</f>
        <v>Terracota</v>
      </c>
      <c r="C102" t="str">
        <f>[1]DATABASE!C63</f>
        <v>AD</v>
      </c>
      <c r="D102" t="str">
        <f>TRIM([1]DATABASE!Q63)</f>
        <v>PSPA</v>
      </c>
      <c r="E102" s="82" t="str">
        <f>_xlfn.TEXTJOIN("; ",TRUE,IF([1]DATABASE!X63&lt;0,"Negative Discount",""),IF(AND([1]DATABASE!Y63&gt;[1]DATABASE!T63,[1]DATABASE!Y63&gt;0,[1]DATABASE!T63&gt;0),"Sell Price &gt; Current",""),IF(AND(TRIM([1]DATABASE!Q63)="DEED",[1]DATABASE!AA63=""),"Deeded no PSPA Date",""),IF([1]DATABASE!E63="","Missing Typology",""),IF([1]DATABASE!AJ63="","Missing Development",""))</f>
        <v/>
      </c>
      <c r="F102" s="82" t="str">
        <f>_xlfn.TEXTJOIN("; ",TRUE,IF(AND(OR(TRIM([1]DATABASE!Q63)="RESERVED",TRIM([1]DATABASE!Q63)="PRE-RESERVED",TRIM([1]DATABASE!Q63)="PSPA"),[1]DATABASE!AA63=""),"Reserved/PSPA no PSPA Date",""),IF(AND(TRIM([1]DATABASE!Q63)="AVAILABLE",[1]DATABASE!AA63&lt;&gt;""),"Available has PSPA Date",""))</f>
        <v/>
      </c>
      <c r="G102" s="82" t="str">
        <f>_xlfn.TEXTJOIN("; ",TRUE,IF(AND([1]DATABASE!T63&lt;0.8*[1]DATABASE!S63,[1]DATABASE!T63&gt;0,[1]DATABASE!S63&gt;0),"Heavy Price Cut &gt;20%",""),IF(AND(OR(TRIM([1]DATABASE!Q63)="AVAILABLE",TRIM([1]DATABASE!Q63)="UPON REQUEST"),OR([1]DATABASE!T63="",[1]DATABASE!T63=0)),"Active Unit no Price",""),IF(AND(OR(TRIM([1]DATABASE!Q63)="AVAILABLE",TRIM([1]DATABASE!Q63)="RESERVED",TRIM([1]DATABASE!Q63)="PRE-RESERVED",TRIM([1]DATABASE!Q63)="PSPA"),[1]DATABASE!AC63=""),"Active no Owner",""),IF(OR([1]DATABASE!F63="",[1]DATABASE!F63&lt;=0),"Missing/Invalid Area",""),IF(AND([1]DATABASE!T63&gt;0,ABS([1]DATABASE!T63-[1]DATABASE!W63-[1]DATABASE!U63-[1]DATABASE!V63)&gt;1),"Price Bridge Mismatch",""))</f>
        <v/>
      </c>
      <c r="H102" t="str">
        <f t="shared" si="3"/>
        <v>PASS</v>
      </c>
      <c r="I102" s="90">
        <f>[1]DATABASE!T63</f>
        <v>650000</v>
      </c>
      <c r="J102" t="str">
        <f>[1]DATABASE!AC63</f>
        <v>Ana Damásio</v>
      </c>
    </row>
    <row r="103" spans="1:10" ht="13.95" customHeight="1" x14ac:dyDescent="0.3">
      <c r="A103">
        <f>ROW([1]DATABASE!A64)</f>
        <v>64</v>
      </c>
      <c r="B103" t="str">
        <f>[1]DATABASE!AJ64</f>
        <v>Palmares</v>
      </c>
      <c r="C103" t="str">
        <f>[1]DATABASE!C64</f>
        <v>819B</v>
      </c>
      <c r="D103" t="str">
        <f>TRIM([1]DATABASE!Q64)</f>
        <v>PSPA</v>
      </c>
      <c r="E103" s="82" t="str">
        <f>_xlfn.TEXTJOIN("; ",TRUE,IF([1]DATABASE!X64&lt;0,"Negative Discount",""),IF(AND([1]DATABASE!Y64&gt;[1]DATABASE!T64,[1]DATABASE!Y64&gt;0,[1]DATABASE!T64&gt;0),"Sell Price &gt; Current",""),IF(AND(TRIM([1]DATABASE!Q64)="DEED",[1]DATABASE!AA64=""),"Deeded no PSPA Date",""),IF([1]DATABASE!E64="","Missing Typology",""),IF([1]DATABASE!AJ64="","Missing Development",""))</f>
        <v/>
      </c>
      <c r="F103" s="82" t="str">
        <f>_xlfn.TEXTJOIN("; ",TRUE,IF(AND(OR(TRIM([1]DATABASE!Q64)="RESERVED",TRIM([1]DATABASE!Q64)="PRE-RESERVED",TRIM([1]DATABASE!Q64)="PSPA"),[1]DATABASE!AA64=""),"Reserved/PSPA no PSPA Date",""),IF(AND(TRIM([1]DATABASE!Q64)="AVAILABLE",[1]DATABASE!AA64&lt;&gt;""),"Available has PSPA Date",""))</f>
        <v/>
      </c>
      <c r="G103" s="82" t="str">
        <f>_xlfn.TEXTJOIN("; ",TRUE,IF(AND([1]DATABASE!T64&lt;0.8*[1]DATABASE!S64,[1]DATABASE!T64&gt;0,[1]DATABASE!S64&gt;0),"Heavy Price Cut &gt;20%",""),IF(AND(OR(TRIM([1]DATABASE!Q64)="AVAILABLE",TRIM([1]DATABASE!Q64)="UPON REQUEST"),OR([1]DATABASE!T64="",[1]DATABASE!T64=0)),"Active Unit no Price",""),IF(AND(OR(TRIM([1]DATABASE!Q64)="AVAILABLE",TRIM([1]DATABASE!Q64)="RESERVED",TRIM([1]DATABASE!Q64)="PRE-RESERVED",TRIM([1]DATABASE!Q64)="PSPA"),[1]DATABASE!AC64=""),"Active no Owner",""),IF(OR([1]DATABASE!F64="",[1]DATABASE!F64&lt;=0),"Missing/Invalid Area",""),IF(AND([1]DATABASE!T64&gt;0,ABS([1]DATABASE!T64-[1]DATABASE!W64-[1]DATABASE!U64-[1]DATABASE!V64)&gt;1),"Price Bridge Mismatch",""))</f>
        <v>Heavy Price Cut &gt;20%; Active no Owner</v>
      </c>
      <c r="H103" t="str">
        <f t="shared" si="3"/>
        <v>REVIEW</v>
      </c>
      <c r="I103" s="90">
        <f>[1]DATABASE!T64</f>
        <v>425000</v>
      </c>
      <c r="J103">
        <f>[1]DATABASE!AC64</f>
        <v>0</v>
      </c>
    </row>
    <row r="104" spans="1:10" ht="13.95" customHeight="1" x14ac:dyDescent="0.3">
      <c r="A104">
        <f>ROW([1]DATABASE!A65)</f>
        <v>65</v>
      </c>
      <c r="B104" t="str">
        <f>[1]DATABASE!AJ65</f>
        <v>The Nine</v>
      </c>
      <c r="C104" t="str">
        <f>[1]DATABASE!C65</f>
        <v>AD</v>
      </c>
      <c r="D104" t="str">
        <f>TRIM([1]DATABASE!Q65)</f>
        <v>DEED</v>
      </c>
      <c r="E104" s="82" t="str">
        <f>_xlfn.TEXTJOIN("; ",TRUE,IF([1]DATABASE!X65&lt;0,"Negative Discount",""),IF(AND([1]DATABASE!Y65&gt;[1]DATABASE!T65,[1]DATABASE!Y65&gt;0,[1]DATABASE!T65&gt;0),"Sell Price &gt; Current",""),IF(AND(TRIM([1]DATABASE!Q65)="DEED",[1]DATABASE!AA65=""),"Deeded no PSPA Date",""),IF([1]DATABASE!E65="","Missing Typology",""),IF([1]DATABASE!AJ65="","Missing Development",""))</f>
        <v>Deeded no PSPA Date</v>
      </c>
      <c r="F104" s="82" t="str">
        <f>_xlfn.TEXTJOIN("; ",TRUE,IF(AND(OR(TRIM([1]DATABASE!Q65)="RESERVED",TRIM([1]DATABASE!Q65)="PRE-RESERVED",TRIM([1]DATABASE!Q65)="PSPA"),[1]DATABASE!AA65=""),"Reserved/PSPA no PSPA Date",""),IF(AND(TRIM([1]DATABASE!Q65)="AVAILABLE",[1]DATABASE!AA65&lt;&gt;""),"Available has PSPA Date",""))</f>
        <v/>
      </c>
      <c r="G104" s="82" t="str">
        <f>_xlfn.TEXTJOIN("; ",TRUE,IF(AND([1]DATABASE!T65&lt;0.8*[1]DATABASE!S65,[1]DATABASE!T65&gt;0,[1]DATABASE!S65&gt;0),"Heavy Price Cut &gt;20%",""),IF(AND(OR(TRIM([1]DATABASE!Q65)="AVAILABLE",TRIM([1]DATABASE!Q65)="UPON REQUEST"),OR([1]DATABASE!T65="",[1]DATABASE!T65=0)),"Active Unit no Price",""),IF(AND(OR(TRIM([1]DATABASE!Q65)="AVAILABLE",TRIM([1]DATABASE!Q65)="RESERVED",TRIM([1]DATABASE!Q65)="PRE-RESERVED",TRIM([1]DATABASE!Q65)="PSPA"),[1]DATABASE!AC65=""),"Active no Owner",""),IF(OR([1]DATABASE!F65="",[1]DATABASE!F65&lt;=0),"Missing/Invalid Area",""),IF(AND([1]DATABASE!T65&gt;0,ABS([1]DATABASE!T65-[1]DATABASE!W65-[1]DATABASE!U65-[1]DATABASE!V65)&gt;1),"Price Bridge Mismatch",""))</f>
        <v/>
      </c>
      <c r="H104" t="str">
        <f t="shared" si="3"/>
        <v>REVIEW</v>
      </c>
      <c r="I104" s="90">
        <f>[1]DATABASE!T65</f>
        <v>630000</v>
      </c>
      <c r="J104" t="str">
        <f>[1]DATABASE!AC65</f>
        <v>Ana Damásio</v>
      </c>
    </row>
    <row r="105" spans="1:10" ht="13.95" customHeight="1" x14ac:dyDescent="0.3">
      <c r="A105">
        <f>ROW([1]DATABASE!A66)</f>
        <v>66</v>
      </c>
      <c r="B105" t="str">
        <f>[1]DATABASE!AJ66</f>
        <v>VM PARQUE</v>
      </c>
      <c r="C105" t="str">
        <f>[1]DATABASE!C66</f>
        <v>AD</v>
      </c>
      <c r="D105" t="str">
        <f>TRIM([1]DATABASE!Q66)</f>
        <v>DEED</v>
      </c>
      <c r="E105" s="82" t="str">
        <f>_xlfn.TEXTJOIN("; ",TRUE,IF([1]DATABASE!X66&lt;0,"Negative Discount",""),IF(AND([1]DATABASE!Y66&gt;[1]DATABASE!T66,[1]DATABASE!Y66&gt;0,[1]DATABASE!T66&gt;0),"Sell Price &gt; Current",""),IF(AND(TRIM([1]DATABASE!Q66)="DEED",[1]DATABASE!AA66=""),"Deeded no PSPA Date",""),IF([1]DATABASE!E66="","Missing Typology",""),IF([1]DATABASE!AJ66="","Missing Development",""))</f>
        <v>Deeded no PSPA Date</v>
      </c>
      <c r="F105" s="82" t="str">
        <f>_xlfn.TEXTJOIN("; ",TRUE,IF(AND(OR(TRIM([1]DATABASE!Q66)="RESERVED",TRIM([1]DATABASE!Q66)="PRE-RESERVED",TRIM([1]DATABASE!Q66)="PSPA"),[1]DATABASE!AA66=""),"Reserved/PSPA no PSPA Date",""),IF(AND(TRIM([1]DATABASE!Q66)="AVAILABLE",[1]DATABASE!AA66&lt;&gt;""),"Available has PSPA Date",""))</f>
        <v/>
      </c>
      <c r="G105" s="82" t="str">
        <f>_xlfn.TEXTJOIN("; ",TRUE,IF(AND([1]DATABASE!T66&lt;0.8*[1]DATABASE!S66,[1]DATABASE!T66&gt;0,[1]DATABASE!S66&gt;0),"Heavy Price Cut &gt;20%",""),IF(AND(OR(TRIM([1]DATABASE!Q66)="AVAILABLE",TRIM([1]DATABASE!Q66)="UPON REQUEST"),OR([1]DATABASE!T66="",[1]DATABASE!T66=0)),"Active Unit no Price",""),IF(AND(OR(TRIM([1]DATABASE!Q66)="AVAILABLE",TRIM([1]DATABASE!Q66)="RESERVED",TRIM([1]DATABASE!Q66)="PRE-RESERVED",TRIM([1]DATABASE!Q66)="PSPA"),[1]DATABASE!AC66=""),"Active no Owner",""),IF(OR([1]DATABASE!F66="",[1]DATABASE!F66&lt;=0),"Missing/Invalid Area",""),IF(AND([1]DATABASE!T66&gt;0,ABS([1]DATABASE!T66-[1]DATABASE!W66-[1]DATABASE!U66-[1]DATABASE!V66)&gt;1),"Price Bridge Mismatch",""))</f>
        <v/>
      </c>
      <c r="H105" t="str">
        <f t="shared" si="3"/>
        <v>REVIEW</v>
      </c>
      <c r="I105" s="90">
        <f>[1]DATABASE!T66</f>
        <v>1160000</v>
      </c>
      <c r="J105">
        <f>[1]DATABASE!AC66</f>
        <v>0</v>
      </c>
    </row>
    <row r="106" spans="1:10" ht="13.95" customHeight="1" x14ac:dyDescent="0.3">
      <c r="A106">
        <f>ROW([1]DATABASE!A67)</f>
        <v>67</v>
      </c>
      <c r="B106" t="str">
        <f>[1]DATABASE!AJ67</f>
        <v>Nobilus</v>
      </c>
      <c r="C106" t="str">
        <f>[1]DATABASE!C67</f>
        <v>AE</v>
      </c>
      <c r="D106" t="str">
        <f>TRIM([1]DATABASE!Q67)</f>
        <v>PSPA</v>
      </c>
      <c r="E106" s="82" t="str">
        <f>_xlfn.TEXTJOIN("; ",TRUE,IF([1]DATABASE!X67&lt;0,"Negative Discount",""),IF(AND([1]DATABASE!Y67&gt;[1]DATABASE!T67,[1]DATABASE!Y67&gt;0,[1]DATABASE!T67&gt;0),"Sell Price &gt; Current",""),IF(AND(TRIM([1]DATABASE!Q67)="DEED",[1]DATABASE!AA67=""),"Deeded no PSPA Date",""),IF([1]DATABASE!E67="","Missing Typology",""),IF([1]DATABASE!AJ67="","Missing Development",""))</f>
        <v/>
      </c>
      <c r="F106" s="82" t="str">
        <f>_xlfn.TEXTJOIN("; ",TRUE,IF(AND(OR(TRIM([1]DATABASE!Q67)="RESERVED",TRIM([1]DATABASE!Q67)="PRE-RESERVED",TRIM([1]DATABASE!Q67)="PSPA"),[1]DATABASE!AA67=""),"Reserved/PSPA no PSPA Date",""),IF(AND(TRIM([1]DATABASE!Q67)="AVAILABLE",[1]DATABASE!AA67&lt;&gt;""),"Available has PSPA Date",""))</f>
        <v/>
      </c>
      <c r="G106" s="82" t="str">
        <f>_xlfn.TEXTJOIN("; ",TRUE,IF(AND([1]DATABASE!T67&lt;0.8*[1]DATABASE!S67,[1]DATABASE!T67&gt;0,[1]DATABASE!S67&gt;0),"Heavy Price Cut &gt;20%",""),IF(AND(OR(TRIM([1]DATABASE!Q67)="AVAILABLE",TRIM([1]DATABASE!Q67)="UPON REQUEST"),OR([1]DATABASE!T67="",[1]DATABASE!T67=0)),"Active Unit no Price",""),IF(AND(OR(TRIM([1]DATABASE!Q67)="AVAILABLE",TRIM([1]DATABASE!Q67)="RESERVED",TRIM([1]DATABASE!Q67)="PRE-RESERVED",TRIM([1]DATABASE!Q67)="PSPA"),[1]DATABASE!AC67=""),"Active no Owner",""),IF(OR([1]DATABASE!F67="",[1]DATABASE!F67&lt;=0),"Missing/Invalid Area",""),IF(AND([1]DATABASE!T67&gt;0,ABS([1]DATABASE!T67-[1]DATABASE!W67-[1]DATABASE!U67-[1]DATABASE!V67)&gt;1),"Price Bridge Mismatch",""))</f>
        <v/>
      </c>
      <c r="H106" t="str">
        <f t="shared" ref="H106:H169" si="4">IF(LEN(E106&amp;F106&amp;G106)&gt;0,"REVIEW","PASS")</f>
        <v>PASS</v>
      </c>
      <c r="I106" s="90">
        <f>[1]DATABASE!T67</f>
        <v>1054500</v>
      </c>
      <c r="J106" t="str">
        <f>[1]DATABASE!AC67</f>
        <v>Ana Damásio</v>
      </c>
    </row>
    <row r="107" spans="1:10" ht="13.95" customHeight="1" x14ac:dyDescent="0.3">
      <c r="A107">
        <f>ROW([1]DATABASE!A68)</f>
        <v>68</v>
      </c>
      <c r="B107" t="str">
        <f>[1]DATABASE!AJ68</f>
        <v>Terracota</v>
      </c>
      <c r="C107" t="str">
        <f>[1]DATABASE!C68</f>
        <v>AE</v>
      </c>
      <c r="D107" t="str">
        <f>TRIM([1]DATABASE!Q68)</f>
        <v>PSPA</v>
      </c>
      <c r="E107" s="82" t="str">
        <f>_xlfn.TEXTJOIN("; ",TRUE,IF([1]DATABASE!X68&lt;0,"Negative Discount",""),IF(AND([1]DATABASE!Y68&gt;[1]DATABASE!T68,[1]DATABASE!Y68&gt;0,[1]DATABASE!T68&gt;0),"Sell Price &gt; Current",""),IF(AND(TRIM([1]DATABASE!Q68)="DEED",[1]DATABASE!AA68=""),"Deeded no PSPA Date",""),IF([1]DATABASE!E68="","Missing Typology",""),IF([1]DATABASE!AJ68="","Missing Development",""))</f>
        <v/>
      </c>
      <c r="F107" s="82" t="str">
        <f>_xlfn.TEXTJOIN("; ",TRUE,IF(AND(OR(TRIM([1]DATABASE!Q68)="RESERVED",TRIM([1]DATABASE!Q68)="PRE-RESERVED",TRIM([1]DATABASE!Q68)="PSPA"),[1]DATABASE!AA68=""),"Reserved/PSPA no PSPA Date",""),IF(AND(TRIM([1]DATABASE!Q68)="AVAILABLE",[1]DATABASE!AA68&lt;&gt;""),"Available has PSPA Date",""))</f>
        <v/>
      </c>
      <c r="G107" s="82" t="str">
        <f>_xlfn.TEXTJOIN("; ",TRUE,IF(AND([1]DATABASE!T68&lt;0.8*[1]DATABASE!S68,[1]DATABASE!T68&gt;0,[1]DATABASE!S68&gt;0),"Heavy Price Cut &gt;20%",""),IF(AND(OR(TRIM([1]DATABASE!Q68)="AVAILABLE",TRIM([1]DATABASE!Q68)="UPON REQUEST"),OR([1]DATABASE!T68="",[1]DATABASE!T68=0)),"Active Unit no Price",""),IF(AND(OR(TRIM([1]DATABASE!Q68)="AVAILABLE",TRIM([1]DATABASE!Q68)="RESERVED",TRIM([1]DATABASE!Q68)="PRE-RESERVED",TRIM([1]DATABASE!Q68)="PSPA"),[1]DATABASE!AC68=""),"Active no Owner",""),IF(OR([1]DATABASE!F68="",[1]DATABASE!F68&lt;=0),"Missing/Invalid Area",""),IF(AND([1]DATABASE!T68&gt;0,ABS([1]DATABASE!T68-[1]DATABASE!W68-[1]DATABASE!U68-[1]DATABASE!V68)&gt;1),"Price Bridge Mismatch",""))</f>
        <v/>
      </c>
      <c r="H107" t="str">
        <f t="shared" si="4"/>
        <v>PASS</v>
      </c>
      <c r="I107" s="90">
        <f>[1]DATABASE!T68</f>
        <v>670000</v>
      </c>
      <c r="J107" t="str">
        <f>[1]DATABASE!AC68</f>
        <v>Ana Damásio</v>
      </c>
    </row>
    <row r="108" spans="1:10" ht="13.95" customHeight="1" x14ac:dyDescent="0.3">
      <c r="A108">
        <f>ROW([1]DATABASE!A69)</f>
        <v>69</v>
      </c>
      <c r="B108" t="str">
        <f>[1]DATABASE!AJ69</f>
        <v>Terracota</v>
      </c>
      <c r="C108" t="str">
        <f>[1]DATABASE!C69</f>
        <v>AF</v>
      </c>
      <c r="D108" t="str">
        <f>TRIM([1]DATABASE!Q69)</f>
        <v>PSPA</v>
      </c>
      <c r="E108" s="82" t="str">
        <f>_xlfn.TEXTJOIN("; ",TRUE,IF([1]DATABASE!X69&lt;0,"Negative Discount",""),IF(AND([1]DATABASE!Y69&gt;[1]DATABASE!T69,[1]DATABASE!Y69&gt;0,[1]DATABASE!T69&gt;0),"Sell Price &gt; Current",""),IF(AND(TRIM([1]DATABASE!Q69)="DEED",[1]DATABASE!AA69=""),"Deeded no PSPA Date",""),IF([1]DATABASE!E69="","Missing Typology",""),IF([1]DATABASE!AJ69="","Missing Development",""))</f>
        <v/>
      </c>
      <c r="F108" s="82" t="str">
        <f>_xlfn.TEXTJOIN("; ",TRUE,IF(AND(OR(TRIM([1]DATABASE!Q69)="RESERVED",TRIM([1]DATABASE!Q69)="PRE-RESERVED",TRIM([1]DATABASE!Q69)="PSPA"),[1]DATABASE!AA69=""),"Reserved/PSPA no PSPA Date",""),IF(AND(TRIM([1]DATABASE!Q69)="AVAILABLE",[1]DATABASE!AA69&lt;&gt;""),"Available has PSPA Date",""))</f>
        <v/>
      </c>
      <c r="G108" s="82" t="str">
        <f>_xlfn.TEXTJOIN("; ",TRUE,IF(AND([1]DATABASE!T69&lt;0.8*[1]DATABASE!S69,[1]DATABASE!T69&gt;0,[1]DATABASE!S69&gt;0),"Heavy Price Cut &gt;20%",""),IF(AND(OR(TRIM([1]DATABASE!Q69)="AVAILABLE",TRIM([1]DATABASE!Q69)="UPON REQUEST"),OR([1]DATABASE!T69="",[1]DATABASE!T69=0)),"Active Unit no Price",""),IF(AND(OR(TRIM([1]DATABASE!Q69)="AVAILABLE",TRIM([1]DATABASE!Q69)="RESERVED",TRIM([1]DATABASE!Q69)="PRE-RESERVED",TRIM([1]DATABASE!Q69)="PSPA"),[1]DATABASE!AC69=""),"Active no Owner",""),IF(OR([1]DATABASE!F69="",[1]DATABASE!F69&lt;=0),"Missing/Invalid Area",""),IF(AND([1]DATABASE!T69&gt;0,ABS([1]DATABASE!T69-[1]DATABASE!W69-[1]DATABASE!U69-[1]DATABASE!V69)&gt;1),"Price Bridge Mismatch",""))</f>
        <v/>
      </c>
      <c r="H108" t="str">
        <f t="shared" si="4"/>
        <v>PASS</v>
      </c>
      <c r="I108" s="90">
        <f>[1]DATABASE!T69</f>
        <v>670000</v>
      </c>
      <c r="J108" t="str">
        <f>[1]DATABASE!AC69</f>
        <v>Ana Damásio</v>
      </c>
    </row>
    <row r="109" spans="1:10" ht="13.95" customHeight="1" x14ac:dyDescent="0.3">
      <c r="A109">
        <f>ROW([1]DATABASE!A70)</f>
        <v>70</v>
      </c>
      <c r="B109" t="str">
        <f>[1]DATABASE!AJ70</f>
        <v>Botanica</v>
      </c>
      <c r="C109" t="str">
        <f>[1]DATABASE!C70</f>
        <v>AG</v>
      </c>
      <c r="D109" t="str">
        <f>TRIM([1]DATABASE!Q70)</f>
        <v>PSPA</v>
      </c>
      <c r="E109" s="82" t="str">
        <f>_xlfn.TEXTJOIN("; ",TRUE,IF([1]DATABASE!X70&lt;0,"Negative Discount",""),IF(AND([1]DATABASE!Y70&gt;[1]DATABASE!T70,[1]DATABASE!Y70&gt;0,[1]DATABASE!T70&gt;0),"Sell Price &gt; Current",""),IF(AND(TRIM([1]DATABASE!Q70)="DEED",[1]DATABASE!AA70=""),"Deeded no PSPA Date",""),IF([1]DATABASE!E70="","Missing Typology",""),IF([1]DATABASE!AJ70="","Missing Development",""))</f>
        <v/>
      </c>
      <c r="F109" s="82" t="str">
        <f>_xlfn.TEXTJOIN("; ",TRUE,IF(AND(OR(TRIM([1]DATABASE!Q70)="RESERVED",TRIM([1]DATABASE!Q70)="PRE-RESERVED",TRIM([1]DATABASE!Q70)="PSPA"),[1]DATABASE!AA70=""),"Reserved/PSPA no PSPA Date",""),IF(AND(TRIM([1]DATABASE!Q70)="AVAILABLE",[1]DATABASE!AA70&lt;&gt;""),"Available has PSPA Date",""))</f>
        <v/>
      </c>
      <c r="G109" s="82" t="str">
        <f>_xlfn.TEXTJOIN("; ",TRUE,IF(AND([1]DATABASE!T70&lt;0.8*[1]DATABASE!S70,[1]DATABASE!T70&gt;0,[1]DATABASE!S70&gt;0),"Heavy Price Cut &gt;20%",""),IF(AND(OR(TRIM([1]DATABASE!Q70)="AVAILABLE",TRIM([1]DATABASE!Q70)="UPON REQUEST"),OR([1]DATABASE!T70="",[1]DATABASE!T70=0)),"Active Unit no Price",""),IF(AND(OR(TRIM([1]DATABASE!Q70)="AVAILABLE",TRIM([1]DATABASE!Q70)="RESERVED",TRIM([1]DATABASE!Q70)="PRE-RESERVED",TRIM([1]DATABASE!Q70)="PSPA"),[1]DATABASE!AC70=""),"Active no Owner",""),IF(OR([1]DATABASE!F70="",[1]DATABASE!F70&lt;=0),"Missing/Invalid Area",""),IF(AND([1]DATABASE!T70&gt;0,ABS([1]DATABASE!T70-[1]DATABASE!W70-[1]DATABASE!U70-[1]DATABASE!V70)&gt;1),"Price Bridge Mismatch",""))</f>
        <v/>
      </c>
      <c r="H109" t="str">
        <f t="shared" si="4"/>
        <v>PASS</v>
      </c>
      <c r="I109" s="90">
        <f>[1]DATABASE!T70</f>
        <v>950000</v>
      </c>
      <c r="J109" t="str">
        <f>[1]DATABASE!AC70</f>
        <v>Ana Damásio</v>
      </c>
    </row>
    <row r="110" spans="1:10" ht="13.95" customHeight="1" x14ac:dyDescent="0.3">
      <c r="A110">
        <f>ROW([1]DATABASE!A71)</f>
        <v>71</v>
      </c>
      <c r="B110" t="str">
        <f>[1]DATABASE!AJ71</f>
        <v>VM PARQUE</v>
      </c>
      <c r="C110" t="str">
        <f>[1]DATABASE!C71</f>
        <v>AF</v>
      </c>
      <c r="D110" t="str">
        <f>TRIM([1]DATABASE!Q71)</f>
        <v>DEED</v>
      </c>
      <c r="E110" s="82" t="str">
        <f>_xlfn.TEXTJOIN("; ",TRUE,IF([1]DATABASE!X71&lt;0,"Negative Discount",""),IF(AND([1]DATABASE!Y71&gt;[1]DATABASE!T71,[1]DATABASE!Y71&gt;0,[1]DATABASE!T71&gt;0),"Sell Price &gt; Current",""),IF(AND(TRIM([1]DATABASE!Q71)="DEED",[1]DATABASE!AA71=""),"Deeded no PSPA Date",""),IF([1]DATABASE!E71="","Missing Typology",""),IF([1]DATABASE!AJ71="","Missing Development",""))</f>
        <v/>
      </c>
      <c r="F110" s="82" t="str">
        <f>_xlfn.TEXTJOIN("; ",TRUE,IF(AND(OR(TRIM([1]DATABASE!Q71)="RESERVED",TRIM([1]DATABASE!Q71)="PRE-RESERVED",TRIM([1]DATABASE!Q71)="PSPA"),[1]DATABASE!AA71=""),"Reserved/PSPA no PSPA Date",""),IF(AND(TRIM([1]DATABASE!Q71)="AVAILABLE",[1]DATABASE!AA71&lt;&gt;""),"Available has PSPA Date",""))</f>
        <v/>
      </c>
      <c r="G110" s="82" t="str">
        <f>_xlfn.TEXTJOIN("; ",TRUE,IF(AND([1]DATABASE!T71&lt;0.8*[1]DATABASE!S71,[1]DATABASE!T71&gt;0,[1]DATABASE!S71&gt;0),"Heavy Price Cut &gt;20%",""),IF(AND(OR(TRIM([1]DATABASE!Q71)="AVAILABLE",TRIM([1]DATABASE!Q71)="UPON REQUEST"),OR([1]DATABASE!T71="",[1]DATABASE!T71=0)),"Active Unit no Price",""),IF(AND(OR(TRIM([1]DATABASE!Q71)="AVAILABLE",TRIM([1]DATABASE!Q71)="RESERVED",TRIM([1]DATABASE!Q71)="PRE-RESERVED",TRIM([1]DATABASE!Q71)="PSPA"),[1]DATABASE!AC71=""),"Active no Owner",""),IF(OR([1]DATABASE!F71="",[1]DATABASE!F71&lt;=0),"Missing/Invalid Area",""),IF(AND([1]DATABASE!T71&gt;0,ABS([1]DATABASE!T71-[1]DATABASE!W71-[1]DATABASE!U71-[1]DATABASE!V71)&gt;1),"Price Bridge Mismatch",""))</f>
        <v/>
      </c>
      <c r="H110" t="str">
        <f t="shared" si="4"/>
        <v>PASS</v>
      </c>
      <c r="I110" s="90">
        <f>[1]DATABASE!T71</f>
        <v>1135000</v>
      </c>
      <c r="J110">
        <f>[1]DATABASE!AC71</f>
        <v>0</v>
      </c>
    </row>
    <row r="111" spans="1:10" ht="13.95" customHeight="1" x14ac:dyDescent="0.3">
      <c r="A111">
        <f>ROW([1]DATABASE!A72)</f>
        <v>72</v>
      </c>
      <c r="B111" t="str">
        <f>[1]DATABASE!AJ72</f>
        <v>Terracota</v>
      </c>
      <c r="C111" t="str">
        <f>[1]DATABASE!C72</f>
        <v>AH</v>
      </c>
      <c r="D111" t="str">
        <f>TRIM([1]DATABASE!Q72)</f>
        <v>PSPA</v>
      </c>
      <c r="E111" s="82" t="str">
        <f>_xlfn.TEXTJOIN("; ",TRUE,IF([1]DATABASE!X72&lt;0,"Negative Discount",""),IF(AND([1]DATABASE!Y72&gt;[1]DATABASE!T72,[1]DATABASE!Y72&gt;0,[1]DATABASE!T72&gt;0),"Sell Price &gt; Current",""),IF(AND(TRIM([1]DATABASE!Q72)="DEED",[1]DATABASE!AA72=""),"Deeded no PSPA Date",""),IF([1]DATABASE!E72="","Missing Typology",""),IF([1]DATABASE!AJ72="","Missing Development",""))</f>
        <v/>
      </c>
      <c r="F111" s="82" t="str">
        <f>_xlfn.TEXTJOIN("; ",TRUE,IF(AND(OR(TRIM([1]DATABASE!Q72)="RESERVED",TRIM([1]DATABASE!Q72)="PRE-RESERVED",TRIM([1]DATABASE!Q72)="PSPA"),[1]DATABASE!AA72=""),"Reserved/PSPA no PSPA Date",""),IF(AND(TRIM([1]DATABASE!Q72)="AVAILABLE",[1]DATABASE!AA72&lt;&gt;""),"Available has PSPA Date",""))</f>
        <v/>
      </c>
      <c r="G111" s="82" t="str">
        <f>_xlfn.TEXTJOIN("; ",TRUE,IF(AND([1]DATABASE!T72&lt;0.8*[1]DATABASE!S72,[1]DATABASE!T72&gt;0,[1]DATABASE!S72&gt;0),"Heavy Price Cut &gt;20%",""),IF(AND(OR(TRIM([1]DATABASE!Q72)="AVAILABLE",TRIM([1]DATABASE!Q72)="UPON REQUEST"),OR([1]DATABASE!T72="",[1]DATABASE!T72=0)),"Active Unit no Price",""),IF(AND(OR(TRIM([1]DATABASE!Q72)="AVAILABLE",TRIM([1]DATABASE!Q72)="RESERVED",TRIM([1]DATABASE!Q72)="PRE-RESERVED",TRIM([1]DATABASE!Q72)="PSPA"),[1]DATABASE!AC72=""),"Active no Owner",""),IF(OR([1]DATABASE!F72="",[1]DATABASE!F72&lt;=0),"Missing/Invalid Area",""),IF(AND([1]DATABASE!T72&gt;0,ABS([1]DATABASE!T72-[1]DATABASE!W72-[1]DATABASE!U72-[1]DATABASE!V72)&gt;1),"Price Bridge Mismatch",""))</f>
        <v/>
      </c>
      <c r="H111" t="str">
        <f t="shared" si="4"/>
        <v>PASS</v>
      </c>
      <c r="I111" s="90">
        <f>[1]DATABASE!T72</f>
        <v>550000</v>
      </c>
      <c r="J111" t="str">
        <f>[1]DATABASE!AC72</f>
        <v>Ana Damásio</v>
      </c>
    </row>
    <row r="112" spans="1:10" ht="13.95" customHeight="1" x14ac:dyDescent="0.3">
      <c r="A112">
        <f>ROW([1]DATABASE!A73)</f>
        <v>73</v>
      </c>
      <c r="B112" t="str">
        <f>[1]DATABASE!AJ73</f>
        <v>The Nine</v>
      </c>
      <c r="C112" t="str">
        <f>[1]DATABASE!C73</f>
        <v>AG</v>
      </c>
      <c r="D112" t="str">
        <f>TRIM([1]DATABASE!Q73)</f>
        <v>DEED</v>
      </c>
      <c r="E112" s="82" t="str">
        <f>_xlfn.TEXTJOIN("; ",TRUE,IF([1]DATABASE!X73&lt;0,"Negative Discount",""),IF(AND([1]DATABASE!Y73&gt;[1]DATABASE!T73,[1]DATABASE!Y73&gt;0,[1]DATABASE!T73&gt;0),"Sell Price &gt; Current",""),IF(AND(TRIM([1]DATABASE!Q73)="DEED",[1]DATABASE!AA73=""),"Deeded no PSPA Date",""),IF([1]DATABASE!E73="","Missing Typology",""),IF([1]DATABASE!AJ73="","Missing Development",""))</f>
        <v/>
      </c>
      <c r="F112" s="82" t="str">
        <f>_xlfn.TEXTJOIN("; ",TRUE,IF(AND(OR(TRIM([1]DATABASE!Q73)="RESERVED",TRIM([1]DATABASE!Q73)="PRE-RESERVED",TRIM([1]DATABASE!Q73)="PSPA"),[1]DATABASE!AA73=""),"Reserved/PSPA no PSPA Date",""),IF(AND(TRIM([1]DATABASE!Q73)="AVAILABLE",[1]DATABASE!AA73&lt;&gt;""),"Available has PSPA Date",""))</f>
        <v/>
      </c>
      <c r="G112" s="82" t="str">
        <f>_xlfn.TEXTJOIN("; ",TRUE,IF(AND([1]DATABASE!T73&lt;0.8*[1]DATABASE!S73,[1]DATABASE!T73&gt;0,[1]DATABASE!S73&gt;0),"Heavy Price Cut &gt;20%",""),IF(AND(OR(TRIM([1]DATABASE!Q73)="AVAILABLE",TRIM([1]DATABASE!Q73)="UPON REQUEST"),OR([1]DATABASE!T73="",[1]DATABASE!T73=0)),"Active Unit no Price",""),IF(AND(OR(TRIM([1]DATABASE!Q73)="AVAILABLE",TRIM([1]DATABASE!Q73)="RESERVED",TRIM([1]DATABASE!Q73)="PRE-RESERVED",TRIM([1]DATABASE!Q73)="PSPA"),[1]DATABASE!AC73=""),"Active no Owner",""),IF(OR([1]DATABASE!F73="",[1]DATABASE!F73&lt;=0),"Missing/Invalid Area",""),IF(AND([1]DATABASE!T73&gt;0,ABS([1]DATABASE!T73-[1]DATABASE!W73-[1]DATABASE!U73-[1]DATABASE!V73)&gt;1),"Price Bridge Mismatch",""))</f>
        <v/>
      </c>
      <c r="H112" t="str">
        <f t="shared" si="4"/>
        <v>PASS</v>
      </c>
      <c r="I112" s="90">
        <f>[1]DATABASE!T73</f>
        <v>630000</v>
      </c>
      <c r="J112" t="str">
        <f>[1]DATABASE!AC73</f>
        <v>Ana Damásio</v>
      </c>
    </row>
    <row r="113" spans="1:10" ht="13.95" customHeight="1" x14ac:dyDescent="0.3">
      <c r="A113">
        <f>ROW([1]DATABASE!A74)</f>
        <v>74</v>
      </c>
      <c r="B113" t="str">
        <f>[1]DATABASE!AJ74</f>
        <v>VM PARQUE</v>
      </c>
      <c r="C113" t="str">
        <f>[1]DATABASE!C74</f>
        <v>AG</v>
      </c>
      <c r="D113" t="str">
        <f>TRIM([1]DATABASE!Q74)</f>
        <v>DEED</v>
      </c>
      <c r="E113" s="82" t="str">
        <f>_xlfn.TEXTJOIN("; ",TRUE,IF([1]DATABASE!X74&lt;0,"Negative Discount",""),IF(AND([1]DATABASE!Y74&gt;[1]DATABASE!T74,[1]DATABASE!Y74&gt;0,[1]DATABASE!T74&gt;0),"Sell Price &gt; Current",""),IF(AND(TRIM([1]DATABASE!Q74)="DEED",[1]DATABASE!AA74=""),"Deeded no PSPA Date",""),IF([1]DATABASE!E74="","Missing Typology",""),IF([1]DATABASE!AJ74="","Missing Development",""))</f>
        <v/>
      </c>
      <c r="F113" s="82" t="str">
        <f>_xlfn.TEXTJOIN("; ",TRUE,IF(AND(OR(TRIM([1]DATABASE!Q74)="RESERVED",TRIM([1]DATABASE!Q74)="PRE-RESERVED",TRIM([1]DATABASE!Q74)="PSPA"),[1]DATABASE!AA74=""),"Reserved/PSPA no PSPA Date",""),IF(AND(TRIM([1]DATABASE!Q74)="AVAILABLE",[1]DATABASE!AA74&lt;&gt;""),"Available has PSPA Date",""))</f>
        <v/>
      </c>
      <c r="G113" s="82" t="str">
        <f>_xlfn.TEXTJOIN("; ",TRUE,IF(AND([1]DATABASE!T74&lt;0.8*[1]DATABASE!S74,[1]DATABASE!T74&gt;0,[1]DATABASE!S74&gt;0),"Heavy Price Cut &gt;20%",""),IF(AND(OR(TRIM([1]DATABASE!Q74)="AVAILABLE",TRIM([1]DATABASE!Q74)="UPON REQUEST"),OR([1]DATABASE!T74="",[1]DATABASE!T74=0)),"Active Unit no Price",""),IF(AND(OR(TRIM([1]DATABASE!Q74)="AVAILABLE",TRIM([1]DATABASE!Q74)="RESERVED",TRIM([1]DATABASE!Q74)="PRE-RESERVED",TRIM([1]DATABASE!Q74)="PSPA"),[1]DATABASE!AC74=""),"Active no Owner",""),IF(OR([1]DATABASE!F74="",[1]DATABASE!F74&lt;=0),"Missing/Invalid Area",""),IF(AND([1]DATABASE!T74&gt;0,ABS([1]DATABASE!T74-[1]DATABASE!W74-[1]DATABASE!U74-[1]DATABASE!V74)&gt;1),"Price Bridge Mismatch",""))</f>
        <v/>
      </c>
      <c r="H113" t="str">
        <f t="shared" si="4"/>
        <v>PASS</v>
      </c>
      <c r="I113" s="90">
        <f>[1]DATABASE!T74</f>
        <v>1190000</v>
      </c>
      <c r="J113">
        <f>[1]DATABASE!AC74</f>
        <v>0</v>
      </c>
    </row>
    <row r="114" spans="1:10" ht="13.95" customHeight="1" x14ac:dyDescent="0.3">
      <c r="A114">
        <f>ROW([1]DATABASE!A75)</f>
        <v>75</v>
      </c>
      <c r="B114" t="str">
        <f>[1]DATABASE!AJ75</f>
        <v>Aroeira Collections</v>
      </c>
      <c r="C114" t="str">
        <f>[1]DATABASE!C75</f>
        <v>103A</v>
      </c>
      <c r="D114" t="str">
        <f>TRIM([1]DATABASE!Q75)</f>
        <v>PSPA</v>
      </c>
      <c r="E114" s="82" t="str">
        <f>_xlfn.TEXTJOIN("; ",TRUE,IF([1]DATABASE!X75&lt;0,"Negative Discount",""),IF(AND([1]DATABASE!Y75&gt;[1]DATABASE!T75,[1]DATABASE!Y75&gt;0,[1]DATABASE!T75&gt;0),"Sell Price &gt; Current",""),IF(AND(TRIM([1]DATABASE!Q75)="DEED",[1]DATABASE!AA75=""),"Deeded no PSPA Date",""),IF([1]DATABASE!E75="","Missing Typology",""),IF([1]DATABASE!AJ75="","Missing Development",""))</f>
        <v/>
      </c>
      <c r="F114" s="82" t="str">
        <f>_xlfn.TEXTJOIN("; ",TRUE,IF(AND(OR(TRIM([1]DATABASE!Q75)="RESERVED",TRIM([1]DATABASE!Q75)="PRE-RESERVED",TRIM([1]DATABASE!Q75)="PSPA"),[1]DATABASE!AA75=""),"Reserved/PSPA no PSPA Date",""),IF(AND(TRIM([1]DATABASE!Q75)="AVAILABLE",[1]DATABASE!AA75&lt;&gt;""),"Available has PSPA Date",""))</f>
        <v/>
      </c>
      <c r="G114" s="82" t="str">
        <f>_xlfn.TEXTJOIN("; ",TRUE,IF(AND([1]DATABASE!T75&lt;0.8*[1]DATABASE!S75,[1]DATABASE!T75&gt;0,[1]DATABASE!S75&gt;0),"Heavy Price Cut &gt;20%",""),IF(AND(OR(TRIM([1]DATABASE!Q75)="AVAILABLE",TRIM([1]DATABASE!Q75)="UPON REQUEST"),OR([1]DATABASE!T75="",[1]DATABASE!T75=0)),"Active Unit no Price",""),IF(AND(OR(TRIM([1]DATABASE!Q75)="AVAILABLE",TRIM([1]DATABASE!Q75)="RESERVED",TRIM([1]DATABASE!Q75)="PRE-RESERVED",TRIM([1]DATABASE!Q75)="PSPA"),[1]DATABASE!AC75=""),"Active no Owner",""),IF(OR([1]DATABASE!F75="",[1]DATABASE!F75&lt;=0),"Missing/Invalid Area",""),IF(AND([1]DATABASE!T75&gt;0,ABS([1]DATABASE!T75-[1]DATABASE!W75-[1]DATABASE!U75-[1]DATABASE!V75)&gt;1),"Price Bridge Mismatch",""))</f>
        <v>Heavy Price Cut &gt;20%</v>
      </c>
      <c r="H114" t="str">
        <f t="shared" si="4"/>
        <v>REVIEW</v>
      </c>
      <c r="I114" s="90">
        <f>[1]DATABASE!T75</f>
        <v>415000</v>
      </c>
      <c r="J114" t="str">
        <f>[1]DATABASE!AC75</f>
        <v>João Gameiro</v>
      </c>
    </row>
    <row r="115" spans="1:10" ht="13.95" customHeight="1" x14ac:dyDescent="0.3">
      <c r="A115">
        <f>ROW([1]DATABASE!A76)</f>
        <v>76</v>
      </c>
      <c r="B115" t="str">
        <f>[1]DATABASE!AJ76</f>
        <v>VM PARQUE</v>
      </c>
      <c r="C115" t="str">
        <f>[1]DATABASE!C76</f>
        <v>AH</v>
      </c>
      <c r="D115" t="str">
        <f>TRIM([1]DATABASE!Q76)</f>
        <v>DEED</v>
      </c>
      <c r="E115" s="82" t="str">
        <f>_xlfn.TEXTJOIN("; ",TRUE,IF([1]DATABASE!X76&lt;0,"Negative Discount",""),IF(AND([1]DATABASE!Y76&gt;[1]DATABASE!T76,[1]DATABASE!Y76&gt;0,[1]DATABASE!T76&gt;0),"Sell Price &gt; Current",""),IF(AND(TRIM([1]DATABASE!Q76)="DEED",[1]DATABASE!AA76=""),"Deeded no PSPA Date",""),IF([1]DATABASE!E76="","Missing Typology",""),IF([1]DATABASE!AJ76="","Missing Development",""))</f>
        <v/>
      </c>
      <c r="F115" s="82" t="str">
        <f>_xlfn.TEXTJOIN("; ",TRUE,IF(AND(OR(TRIM([1]DATABASE!Q76)="RESERVED",TRIM([1]DATABASE!Q76)="PRE-RESERVED",TRIM([1]DATABASE!Q76)="PSPA"),[1]DATABASE!AA76=""),"Reserved/PSPA no PSPA Date",""),IF(AND(TRIM([1]DATABASE!Q76)="AVAILABLE",[1]DATABASE!AA76&lt;&gt;""),"Available has PSPA Date",""))</f>
        <v/>
      </c>
      <c r="G115" s="82" t="str">
        <f>_xlfn.TEXTJOIN("; ",TRUE,IF(AND([1]DATABASE!T76&lt;0.8*[1]DATABASE!S76,[1]DATABASE!T76&gt;0,[1]DATABASE!S76&gt;0),"Heavy Price Cut &gt;20%",""),IF(AND(OR(TRIM([1]DATABASE!Q76)="AVAILABLE",TRIM([1]DATABASE!Q76)="UPON REQUEST"),OR([1]DATABASE!T76="",[1]DATABASE!T76=0)),"Active Unit no Price",""),IF(AND(OR(TRIM([1]DATABASE!Q76)="AVAILABLE",TRIM([1]DATABASE!Q76)="RESERVED",TRIM([1]DATABASE!Q76)="PRE-RESERVED",TRIM([1]DATABASE!Q76)="PSPA"),[1]DATABASE!AC76=""),"Active no Owner",""),IF(OR([1]DATABASE!F76="",[1]DATABASE!F76&lt;=0),"Missing/Invalid Area",""),IF(AND([1]DATABASE!T76&gt;0,ABS([1]DATABASE!T76-[1]DATABASE!W76-[1]DATABASE!U76-[1]DATABASE!V76)&gt;1),"Price Bridge Mismatch",""))</f>
        <v/>
      </c>
      <c r="H115" t="str">
        <f t="shared" si="4"/>
        <v>PASS</v>
      </c>
      <c r="I115" s="90">
        <f>[1]DATABASE!T76</f>
        <v>1234800</v>
      </c>
      <c r="J115">
        <f>[1]DATABASE!AC76</f>
        <v>0</v>
      </c>
    </row>
    <row r="116" spans="1:10" ht="13.95" customHeight="1" x14ac:dyDescent="0.3">
      <c r="A116">
        <f>ROW([1]DATABASE!A77)</f>
        <v>77</v>
      </c>
      <c r="B116" t="str">
        <f>[1]DATABASE!AJ77</f>
        <v>Aroeira Collections</v>
      </c>
      <c r="C116" t="str">
        <f>[1]DATABASE!C77</f>
        <v>105B</v>
      </c>
      <c r="D116" t="str">
        <f>TRIM([1]DATABASE!Q77)</f>
        <v>RESERVED</v>
      </c>
      <c r="E116" s="82" t="str">
        <f>_xlfn.TEXTJOIN("; ",TRUE,IF([1]DATABASE!X77&lt;0,"Negative Discount",""),IF(AND([1]DATABASE!Y77&gt;[1]DATABASE!T77,[1]DATABASE!Y77&gt;0,[1]DATABASE!T77&gt;0),"Sell Price &gt; Current",""),IF(AND(TRIM([1]DATABASE!Q77)="DEED",[1]DATABASE!AA77=""),"Deeded no PSPA Date",""),IF([1]DATABASE!E77="","Missing Typology",""),IF([1]DATABASE!AJ77="","Missing Development",""))</f>
        <v/>
      </c>
      <c r="F116" s="82" t="str">
        <f>_xlfn.TEXTJOIN("; ",TRUE,IF(AND(OR(TRIM([1]DATABASE!Q77)="RESERVED",TRIM([1]DATABASE!Q77)="PRE-RESERVED",TRIM([1]DATABASE!Q77)="PSPA"),[1]DATABASE!AA77=""),"Reserved/PSPA no PSPA Date",""),IF(AND(TRIM([1]DATABASE!Q77)="AVAILABLE",[1]DATABASE!AA77&lt;&gt;""),"Available has PSPA Date",""))</f>
        <v/>
      </c>
      <c r="G116" s="82" t="str">
        <f>_xlfn.TEXTJOIN("; ",TRUE,IF(AND([1]DATABASE!T77&lt;0.8*[1]DATABASE!S77,[1]DATABASE!T77&gt;0,[1]DATABASE!S77&gt;0),"Heavy Price Cut &gt;20%",""),IF(AND(OR(TRIM([1]DATABASE!Q77)="AVAILABLE",TRIM([1]DATABASE!Q77)="UPON REQUEST"),OR([1]DATABASE!T77="",[1]DATABASE!T77=0)),"Active Unit no Price",""),IF(AND(OR(TRIM([1]DATABASE!Q77)="AVAILABLE",TRIM([1]DATABASE!Q77)="RESERVED",TRIM([1]DATABASE!Q77)="PRE-RESERVED",TRIM([1]DATABASE!Q77)="PSPA"),[1]DATABASE!AC77=""),"Active no Owner",""),IF(OR([1]DATABASE!F77="",[1]DATABASE!F77&lt;=0),"Missing/Invalid Area",""),IF(AND([1]DATABASE!T77&gt;0,ABS([1]DATABASE!T77-[1]DATABASE!W77-[1]DATABASE!U77-[1]DATABASE!V77)&gt;1),"Price Bridge Mismatch",""))</f>
        <v/>
      </c>
      <c r="H116" t="str">
        <f t="shared" si="4"/>
        <v>PASS</v>
      </c>
      <c r="I116" s="90">
        <f>[1]DATABASE!T77</f>
        <v>840000</v>
      </c>
      <c r="J116" t="str">
        <f>[1]DATABASE!AC77</f>
        <v>João Gameiro</v>
      </c>
    </row>
    <row r="117" spans="1:10" ht="13.95" customHeight="1" x14ac:dyDescent="0.3">
      <c r="A117">
        <f>ROW([1]DATABASE!A78)</f>
        <v>78</v>
      </c>
      <c r="B117" t="str">
        <f>[1]DATABASE!AJ78</f>
        <v>Terracota</v>
      </c>
      <c r="C117" t="str">
        <f>[1]DATABASE!C78</f>
        <v>AI</v>
      </c>
      <c r="D117" t="str">
        <f>TRIM([1]DATABASE!Q78)</f>
        <v>PSPA</v>
      </c>
      <c r="E117" s="82" t="str">
        <f>_xlfn.TEXTJOIN("; ",TRUE,IF([1]DATABASE!X78&lt;0,"Negative Discount",""),IF(AND([1]DATABASE!Y78&gt;[1]DATABASE!T78,[1]DATABASE!Y78&gt;0,[1]DATABASE!T78&gt;0),"Sell Price &gt; Current",""),IF(AND(TRIM([1]DATABASE!Q78)="DEED",[1]DATABASE!AA78=""),"Deeded no PSPA Date",""),IF([1]DATABASE!E78="","Missing Typology",""),IF([1]DATABASE!AJ78="","Missing Development",""))</f>
        <v/>
      </c>
      <c r="F117" s="82" t="str">
        <f>_xlfn.TEXTJOIN("; ",TRUE,IF(AND(OR(TRIM([1]DATABASE!Q78)="RESERVED",TRIM([1]DATABASE!Q78)="PRE-RESERVED",TRIM([1]DATABASE!Q78)="PSPA"),[1]DATABASE!AA78=""),"Reserved/PSPA no PSPA Date",""),IF(AND(TRIM([1]DATABASE!Q78)="AVAILABLE",[1]DATABASE!AA78&lt;&gt;""),"Available has PSPA Date",""))</f>
        <v/>
      </c>
      <c r="G117" s="82" t="str">
        <f>_xlfn.TEXTJOIN("; ",TRUE,IF(AND([1]DATABASE!T78&lt;0.8*[1]DATABASE!S78,[1]DATABASE!T78&gt;0,[1]DATABASE!S78&gt;0),"Heavy Price Cut &gt;20%",""),IF(AND(OR(TRIM([1]DATABASE!Q78)="AVAILABLE",TRIM([1]DATABASE!Q78)="UPON REQUEST"),OR([1]DATABASE!T78="",[1]DATABASE!T78=0)),"Active Unit no Price",""),IF(AND(OR(TRIM([1]DATABASE!Q78)="AVAILABLE",TRIM([1]DATABASE!Q78)="RESERVED",TRIM([1]DATABASE!Q78)="PRE-RESERVED",TRIM([1]DATABASE!Q78)="PSPA"),[1]DATABASE!AC78=""),"Active no Owner",""),IF(OR([1]DATABASE!F78="",[1]DATABASE!F78&lt;=0),"Missing/Invalid Area",""),IF(AND([1]DATABASE!T78&gt;0,ABS([1]DATABASE!T78-[1]DATABASE!W78-[1]DATABASE!U78-[1]DATABASE!V78)&gt;1),"Price Bridge Mismatch",""))</f>
        <v/>
      </c>
      <c r="H117" t="str">
        <f t="shared" si="4"/>
        <v>PASS</v>
      </c>
      <c r="I117" s="90">
        <f>[1]DATABASE!T78</f>
        <v>550000</v>
      </c>
      <c r="J117" t="str">
        <f>[1]DATABASE!AC78</f>
        <v>Ana Damásio</v>
      </c>
    </row>
    <row r="118" spans="1:10" ht="13.95" customHeight="1" x14ac:dyDescent="0.3">
      <c r="A118">
        <f>ROW([1]DATABASE!A79)</f>
        <v>79</v>
      </c>
      <c r="B118" t="str">
        <f>[1]DATABASE!AJ79</f>
        <v>Rivus</v>
      </c>
      <c r="C118" t="str">
        <f>[1]DATABASE!C79</f>
        <v>AJ</v>
      </c>
      <c r="D118" t="str">
        <f>TRIM([1]DATABASE!Q79)</f>
        <v>PSPA</v>
      </c>
      <c r="E118" s="82" t="str">
        <f>_xlfn.TEXTJOIN("; ",TRUE,IF([1]DATABASE!X79&lt;0,"Negative Discount",""),IF(AND([1]DATABASE!Y79&gt;[1]DATABASE!T79,[1]DATABASE!Y79&gt;0,[1]DATABASE!T79&gt;0),"Sell Price &gt; Current",""),IF(AND(TRIM([1]DATABASE!Q79)="DEED",[1]DATABASE!AA79=""),"Deeded no PSPA Date",""),IF([1]DATABASE!E79="","Missing Typology",""),IF([1]DATABASE!AJ79="","Missing Development",""))</f>
        <v/>
      </c>
      <c r="F118" s="82" t="str">
        <f>_xlfn.TEXTJOIN("; ",TRUE,IF(AND(OR(TRIM([1]DATABASE!Q79)="RESERVED",TRIM([1]DATABASE!Q79)="PRE-RESERVED",TRIM([1]DATABASE!Q79)="PSPA"),[1]DATABASE!AA79=""),"Reserved/PSPA no PSPA Date",""),IF(AND(TRIM([1]DATABASE!Q79)="AVAILABLE",[1]DATABASE!AA79&lt;&gt;""),"Available has PSPA Date",""))</f>
        <v/>
      </c>
      <c r="G118" s="82" t="str">
        <f>_xlfn.TEXTJOIN("; ",TRUE,IF(AND([1]DATABASE!T79&lt;0.8*[1]DATABASE!S79,[1]DATABASE!T79&gt;0,[1]DATABASE!S79&gt;0),"Heavy Price Cut &gt;20%",""),IF(AND(OR(TRIM([1]DATABASE!Q79)="AVAILABLE",TRIM([1]DATABASE!Q79)="UPON REQUEST"),OR([1]DATABASE!T79="",[1]DATABASE!T79=0)),"Active Unit no Price",""),IF(AND(OR(TRIM([1]DATABASE!Q79)="AVAILABLE",TRIM([1]DATABASE!Q79)="RESERVED",TRIM([1]DATABASE!Q79)="PRE-RESERVED",TRIM([1]DATABASE!Q79)="PSPA"),[1]DATABASE!AC79=""),"Active no Owner",""),IF(OR([1]DATABASE!F79="",[1]DATABASE!F79&lt;=0),"Missing/Invalid Area",""),IF(AND([1]DATABASE!T79&gt;0,ABS([1]DATABASE!T79-[1]DATABASE!W79-[1]DATABASE!U79-[1]DATABASE!V79)&gt;1),"Price Bridge Mismatch",""))</f>
        <v>Missing/Invalid Area</v>
      </c>
      <c r="H118" t="str">
        <f t="shared" si="4"/>
        <v>REVIEW</v>
      </c>
      <c r="I118" s="90">
        <f>[1]DATABASE!T79</f>
        <v>1150000</v>
      </c>
      <c r="J118" t="str">
        <f>[1]DATABASE!AC79</f>
        <v>Ana Damásio</v>
      </c>
    </row>
    <row r="119" spans="1:10" ht="13.95" customHeight="1" x14ac:dyDescent="0.3">
      <c r="A119">
        <f>ROW([1]DATABASE!A80)</f>
        <v>80</v>
      </c>
      <c r="B119" t="str">
        <f>[1]DATABASE!AJ80</f>
        <v>The Nine</v>
      </c>
      <c r="C119" t="str">
        <f>[1]DATABASE!C80</f>
        <v>AI</v>
      </c>
      <c r="D119" t="str">
        <f>TRIM([1]DATABASE!Q80)</f>
        <v>DEED</v>
      </c>
      <c r="E119" s="82" t="str">
        <f>_xlfn.TEXTJOIN("; ",TRUE,IF([1]DATABASE!X80&lt;0,"Negative Discount",""),IF(AND([1]DATABASE!Y80&gt;[1]DATABASE!T80,[1]DATABASE!Y80&gt;0,[1]DATABASE!T80&gt;0),"Sell Price &gt; Current",""),IF(AND(TRIM([1]DATABASE!Q80)="DEED",[1]DATABASE!AA80=""),"Deeded no PSPA Date",""),IF([1]DATABASE!E80="","Missing Typology",""),IF([1]DATABASE!AJ80="","Missing Development",""))</f>
        <v/>
      </c>
      <c r="F119" s="82" t="str">
        <f>_xlfn.TEXTJOIN("; ",TRUE,IF(AND(OR(TRIM([1]DATABASE!Q80)="RESERVED",TRIM([1]DATABASE!Q80)="PRE-RESERVED",TRIM([1]DATABASE!Q80)="PSPA"),[1]DATABASE!AA80=""),"Reserved/PSPA no PSPA Date",""),IF(AND(TRIM([1]DATABASE!Q80)="AVAILABLE",[1]DATABASE!AA80&lt;&gt;""),"Available has PSPA Date",""))</f>
        <v/>
      </c>
      <c r="G119" s="82" t="str">
        <f>_xlfn.TEXTJOIN("; ",TRUE,IF(AND([1]DATABASE!T80&lt;0.8*[1]DATABASE!S80,[1]DATABASE!T80&gt;0,[1]DATABASE!S80&gt;0),"Heavy Price Cut &gt;20%",""),IF(AND(OR(TRIM([1]DATABASE!Q80)="AVAILABLE",TRIM([1]DATABASE!Q80)="UPON REQUEST"),OR([1]DATABASE!T80="",[1]DATABASE!T80=0)),"Active Unit no Price",""),IF(AND(OR(TRIM([1]DATABASE!Q80)="AVAILABLE",TRIM([1]DATABASE!Q80)="RESERVED",TRIM([1]DATABASE!Q80)="PRE-RESERVED",TRIM([1]DATABASE!Q80)="PSPA"),[1]DATABASE!AC80=""),"Active no Owner",""),IF(OR([1]DATABASE!F80="",[1]DATABASE!F80&lt;=0),"Missing/Invalid Area",""),IF(AND([1]DATABASE!T80&gt;0,ABS([1]DATABASE!T80-[1]DATABASE!W80-[1]DATABASE!U80-[1]DATABASE!V80)&gt;1),"Price Bridge Mismatch",""))</f>
        <v/>
      </c>
      <c r="H119" t="str">
        <f t="shared" si="4"/>
        <v>PASS</v>
      </c>
      <c r="I119" s="90">
        <f>[1]DATABASE!T80</f>
        <v>640000</v>
      </c>
      <c r="J119" t="str">
        <f>[1]DATABASE!AC80</f>
        <v>Ana Damásio</v>
      </c>
    </row>
    <row r="120" spans="1:10" ht="13.95" customHeight="1" x14ac:dyDescent="0.3">
      <c r="A120">
        <f>ROW([1]DATABASE!A81)</f>
        <v>81</v>
      </c>
      <c r="B120" t="str">
        <f>[1]DATABASE!AJ81</f>
        <v>VM PARQUE</v>
      </c>
      <c r="C120" t="str">
        <f>[1]DATABASE!C81</f>
        <v>AI</v>
      </c>
      <c r="D120" t="str">
        <f>TRIM([1]DATABASE!Q81)</f>
        <v>DEED</v>
      </c>
      <c r="E120" s="82" t="str">
        <f>_xlfn.TEXTJOIN("; ",TRUE,IF([1]DATABASE!X81&lt;0,"Negative Discount",""),IF(AND([1]DATABASE!Y81&gt;[1]DATABASE!T81,[1]DATABASE!Y81&gt;0,[1]DATABASE!T81&gt;0),"Sell Price &gt; Current",""),IF(AND(TRIM([1]DATABASE!Q81)="DEED",[1]DATABASE!AA81=""),"Deeded no PSPA Date",""),IF([1]DATABASE!E81="","Missing Typology",""),IF([1]DATABASE!AJ81="","Missing Development",""))</f>
        <v/>
      </c>
      <c r="F120" s="82" t="str">
        <f>_xlfn.TEXTJOIN("; ",TRUE,IF(AND(OR(TRIM([1]DATABASE!Q81)="RESERVED",TRIM([1]DATABASE!Q81)="PRE-RESERVED",TRIM([1]DATABASE!Q81)="PSPA"),[1]DATABASE!AA81=""),"Reserved/PSPA no PSPA Date",""),IF(AND(TRIM([1]DATABASE!Q81)="AVAILABLE",[1]DATABASE!AA81&lt;&gt;""),"Available has PSPA Date",""))</f>
        <v/>
      </c>
      <c r="G120" s="82" t="str">
        <f>_xlfn.TEXTJOIN("; ",TRUE,IF(AND([1]DATABASE!T81&lt;0.8*[1]DATABASE!S81,[1]DATABASE!T81&gt;0,[1]DATABASE!S81&gt;0),"Heavy Price Cut &gt;20%",""),IF(AND(OR(TRIM([1]DATABASE!Q81)="AVAILABLE",TRIM([1]DATABASE!Q81)="UPON REQUEST"),OR([1]DATABASE!T81="",[1]DATABASE!T81=0)),"Active Unit no Price",""),IF(AND(OR(TRIM([1]DATABASE!Q81)="AVAILABLE",TRIM([1]DATABASE!Q81)="RESERVED",TRIM([1]DATABASE!Q81)="PRE-RESERVED",TRIM([1]DATABASE!Q81)="PSPA"),[1]DATABASE!AC81=""),"Active no Owner",""),IF(OR([1]DATABASE!F81="",[1]DATABASE!F81&lt;=0),"Missing/Invalid Area",""),IF(AND([1]DATABASE!T81&gt;0,ABS([1]DATABASE!T81-[1]DATABASE!W81-[1]DATABASE!U81-[1]DATABASE!V81)&gt;1),"Price Bridge Mismatch",""))</f>
        <v/>
      </c>
      <c r="H120" t="str">
        <f t="shared" si="4"/>
        <v>PASS</v>
      </c>
      <c r="I120" s="90">
        <f>[1]DATABASE!T81</f>
        <v>1220000</v>
      </c>
      <c r="J120">
        <f>[1]DATABASE!AC81</f>
        <v>0</v>
      </c>
    </row>
    <row r="121" spans="1:10" ht="13.95" customHeight="1" x14ac:dyDescent="0.3">
      <c r="A121">
        <f>ROW([1]DATABASE!A82)</f>
        <v>82</v>
      </c>
      <c r="B121" t="str">
        <f>[1]DATABASE!AJ82</f>
        <v>Terracota</v>
      </c>
      <c r="C121" t="str">
        <f>[1]DATABASE!C82</f>
        <v>AJ</v>
      </c>
      <c r="D121" t="str">
        <f>TRIM([1]DATABASE!Q82)</f>
        <v>PSPA</v>
      </c>
      <c r="E121" s="82" t="str">
        <f>_xlfn.TEXTJOIN("; ",TRUE,IF([1]DATABASE!X82&lt;0,"Negative Discount",""),IF(AND([1]DATABASE!Y82&gt;[1]DATABASE!T82,[1]DATABASE!Y82&gt;0,[1]DATABASE!T82&gt;0),"Sell Price &gt; Current",""),IF(AND(TRIM([1]DATABASE!Q82)="DEED",[1]DATABASE!AA82=""),"Deeded no PSPA Date",""),IF([1]DATABASE!E82="","Missing Typology",""),IF([1]DATABASE!AJ82="","Missing Development",""))</f>
        <v/>
      </c>
      <c r="F121" s="82" t="str">
        <f>_xlfn.TEXTJOIN("; ",TRUE,IF(AND(OR(TRIM([1]DATABASE!Q82)="RESERVED",TRIM([1]DATABASE!Q82)="PRE-RESERVED",TRIM([1]DATABASE!Q82)="PSPA"),[1]DATABASE!AA82=""),"Reserved/PSPA no PSPA Date",""),IF(AND(TRIM([1]DATABASE!Q82)="AVAILABLE",[1]DATABASE!AA82&lt;&gt;""),"Available has PSPA Date",""))</f>
        <v/>
      </c>
      <c r="G121" s="82" t="str">
        <f>_xlfn.TEXTJOIN("; ",TRUE,IF(AND([1]DATABASE!T82&lt;0.8*[1]DATABASE!S82,[1]DATABASE!T82&gt;0,[1]DATABASE!S82&gt;0),"Heavy Price Cut &gt;20%",""),IF(AND(OR(TRIM([1]DATABASE!Q82)="AVAILABLE",TRIM([1]DATABASE!Q82)="UPON REQUEST"),OR([1]DATABASE!T82="",[1]DATABASE!T82=0)),"Active Unit no Price",""),IF(AND(OR(TRIM([1]DATABASE!Q82)="AVAILABLE",TRIM([1]DATABASE!Q82)="RESERVED",TRIM([1]DATABASE!Q82)="PRE-RESERVED",TRIM([1]DATABASE!Q82)="PSPA"),[1]DATABASE!AC82=""),"Active no Owner",""),IF(OR([1]DATABASE!F82="",[1]DATABASE!F82&lt;=0),"Missing/Invalid Area",""),IF(AND([1]DATABASE!T82&gt;0,ABS([1]DATABASE!T82-[1]DATABASE!W82-[1]DATABASE!U82-[1]DATABASE!V82)&gt;1),"Price Bridge Mismatch",""))</f>
        <v/>
      </c>
      <c r="H121" t="str">
        <f t="shared" si="4"/>
        <v>PASS</v>
      </c>
      <c r="I121" s="90">
        <f>[1]DATABASE!T82</f>
        <v>550000</v>
      </c>
      <c r="J121" t="str">
        <f>[1]DATABASE!AC82</f>
        <v>Ana Damásio</v>
      </c>
    </row>
    <row r="122" spans="1:10" ht="13.95" customHeight="1" x14ac:dyDescent="0.3">
      <c r="A122">
        <f>ROW([1]DATABASE!A83)</f>
        <v>83</v>
      </c>
      <c r="B122" t="str">
        <f>[1]DATABASE!AJ83</f>
        <v>Palmares</v>
      </c>
      <c r="C122" t="str">
        <f>[1]DATABASE!C83</f>
        <v>820B</v>
      </c>
      <c r="D122" t="str">
        <f>TRIM([1]DATABASE!Q83)</f>
        <v>PSPA</v>
      </c>
      <c r="E122" s="82" t="str">
        <f>_xlfn.TEXTJOIN("; ",TRUE,IF([1]DATABASE!X83&lt;0,"Negative Discount",""),IF(AND([1]DATABASE!Y83&gt;[1]DATABASE!T83,[1]DATABASE!Y83&gt;0,[1]DATABASE!T83&gt;0),"Sell Price &gt; Current",""),IF(AND(TRIM([1]DATABASE!Q83)="DEED",[1]DATABASE!AA83=""),"Deeded no PSPA Date",""),IF([1]DATABASE!E83="","Missing Typology",""),IF([1]DATABASE!AJ83="","Missing Development",""))</f>
        <v/>
      </c>
      <c r="F122" s="82" t="str">
        <f>_xlfn.TEXTJOIN("; ",TRUE,IF(AND(OR(TRIM([1]DATABASE!Q83)="RESERVED",TRIM([1]DATABASE!Q83)="PRE-RESERVED",TRIM([1]DATABASE!Q83)="PSPA"),[1]DATABASE!AA83=""),"Reserved/PSPA no PSPA Date",""),IF(AND(TRIM([1]DATABASE!Q83)="AVAILABLE",[1]DATABASE!AA83&lt;&gt;""),"Available has PSPA Date",""))</f>
        <v/>
      </c>
      <c r="G122" s="82" t="str">
        <f>_xlfn.TEXTJOIN("; ",TRUE,IF(AND([1]DATABASE!T83&lt;0.8*[1]DATABASE!S83,[1]DATABASE!T83&gt;0,[1]DATABASE!S83&gt;0),"Heavy Price Cut &gt;20%",""),IF(AND(OR(TRIM([1]DATABASE!Q83)="AVAILABLE",TRIM([1]DATABASE!Q83)="UPON REQUEST"),OR([1]DATABASE!T83="",[1]DATABASE!T83=0)),"Active Unit no Price",""),IF(AND(OR(TRIM([1]DATABASE!Q83)="AVAILABLE",TRIM([1]DATABASE!Q83)="RESERVED",TRIM([1]DATABASE!Q83)="PRE-RESERVED",TRIM([1]DATABASE!Q83)="PSPA"),[1]DATABASE!AC83=""),"Active no Owner",""),IF(OR([1]DATABASE!F83="",[1]DATABASE!F83&lt;=0),"Missing/Invalid Area",""),IF(AND([1]DATABASE!T83&gt;0,ABS([1]DATABASE!T83-[1]DATABASE!W83-[1]DATABASE!U83-[1]DATABASE!V83)&gt;1),"Price Bridge Mismatch",""))</f>
        <v>Active no Owner</v>
      </c>
      <c r="H122" t="str">
        <f t="shared" si="4"/>
        <v>REVIEW</v>
      </c>
      <c r="I122" s="90">
        <f>[1]DATABASE!T83</f>
        <v>455000</v>
      </c>
      <c r="J122">
        <f>[1]DATABASE!AC83</f>
        <v>0</v>
      </c>
    </row>
    <row r="123" spans="1:10" ht="13.95" customHeight="1" x14ac:dyDescent="0.3">
      <c r="A123">
        <f>ROW([1]DATABASE!A84)</f>
        <v>84</v>
      </c>
      <c r="B123" t="str">
        <f>[1]DATABASE!AJ84</f>
        <v>The Nine</v>
      </c>
      <c r="C123" t="str">
        <f>[1]DATABASE!C84</f>
        <v>AJ</v>
      </c>
      <c r="D123" t="str">
        <f>TRIM([1]DATABASE!Q84)</f>
        <v>DEED</v>
      </c>
      <c r="E123" s="82" t="str">
        <f>_xlfn.TEXTJOIN("; ",TRUE,IF([1]DATABASE!X84&lt;0,"Negative Discount",""),IF(AND([1]DATABASE!Y84&gt;[1]DATABASE!T84,[1]DATABASE!Y84&gt;0,[1]DATABASE!T84&gt;0),"Sell Price &gt; Current",""),IF(AND(TRIM([1]DATABASE!Q84)="DEED",[1]DATABASE!AA84=""),"Deeded no PSPA Date",""),IF([1]DATABASE!E84="","Missing Typology",""),IF([1]DATABASE!AJ84="","Missing Development",""))</f>
        <v/>
      </c>
      <c r="F123" s="82" t="str">
        <f>_xlfn.TEXTJOIN("; ",TRUE,IF(AND(OR(TRIM([1]DATABASE!Q84)="RESERVED",TRIM([1]DATABASE!Q84)="PRE-RESERVED",TRIM([1]DATABASE!Q84)="PSPA"),[1]DATABASE!AA84=""),"Reserved/PSPA no PSPA Date",""),IF(AND(TRIM([1]DATABASE!Q84)="AVAILABLE",[1]DATABASE!AA84&lt;&gt;""),"Available has PSPA Date",""))</f>
        <v/>
      </c>
      <c r="G123" s="82" t="str">
        <f>_xlfn.TEXTJOIN("; ",TRUE,IF(AND([1]DATABASE!T84&lt;0.8*[1]DATABASE!S84,[1]DATABASE!T84&gt;0,[1]DATABASE!S84&gt;0),"Heavy Price Cut &gt;20%",""),IF(AND(OR(TRIM([1]DATABASE!Q84)="AVAILABLE",TRIM([1]DATABASE!Q84)="UPON REQUEST"),OR([1]DATABASE!T84="",[1]DATABASE!T84=0)),"Active Unit no Price",""),IF(AND(OR(TRIM([1]DATABASE!Q84)="AVAILABLE",TRIM([1]DATABASE!Q84)="RESERVED",TRIM([1]DATABASE!Q84)="PRE-RESERVED",TRIM([1]DATABASE!Q84)="PSPA"),[1]DATABASE!AC84=""),"Active no Owner",""),IF(OR([1]DATABASE!F84="",[1]DATABASE!F84&lt;=0),"Missing/Invalid Area",""),IF(AND([1]DATABASE!T84&gt;0,ABS([1]DATABASE!T84-[1]DATABASE!W84-[1]DATABASE!U84-[1]DATABASE!V84)&gt;1),"Price Bridge Mismatch",""))</f>
        <v/>
      </c>
      <c r="H123" t="str">
        <f t="shared" si="4"/>
        <v>PASS</v>
      </c>
      <c r="I123" s="90">
        <f>[1]DATABASE!T84</f>
        <v>640000</v>
      </c>
      <c r="J123" t="str">
        <f>[1]DATABASE!AC84</f>
        <v>Ana Damásio</v>
      </c>
    </row>
    <row r="124" spans="1:10" ht="13.95" customHeight="1" x14ac:dyDescent="0.3">
      <c r="A124">
        <f>ROW([1]DATABASE!A85)</f>
        <v>85</v>
      </c>
      <c r="B124" t="str">
        <f>[1]DATABASE!AJ85</f>
        <v>Terracota</v>
      </c>
      <c r="C124" t="str">
        <f>[1]DATABASE!C85</f>
        <v>AK</v>
      </c>
      <c r="D124" t="str">
        <f>TRIM([1]DATABASE!Q85)</f>
        <v>PSPA</v>
      </c>
      <c r="E124" s="82" t="str">
        <f>_xlfn.TEXTJOIN("; ",TRUE,IF([1]DATABASE!X85&lt;0,"Negative Discount",""),IF(AND([1]DATABASE!Y85&gt;[1]DATABASE!T85,[1]DATABASE!Y85&gt;0,[1]DATABASE!T85&gt;0),"Sell Price &gt; Current",""),IF(AND(TRIM([1]DATABASE!Q85)="DEED",[1]DATABASE!AA85=""),"Deeded no PSPA Date",""),IF([1]DATABASE!E85="","Missing Typology",""),IF([1]DATABASE!AJ85="","Missing Development",""))</f>
        <v/>
      </c>
      <c r="F124" s="82" t="str">
        <f>_xlfn.TEXTJOIN("; ",TRUE,IF(AND(OR(TRIM([1]DATABASE!Q85)="RESERVED",TRIM([1]DATABASE!Q85)="PRE-RESERVED",TRIM([1]DATABASE!Q85)="PSPA"),[1]DATABASE!AA85=""),"Reserved/PSPA no PSPA Date",""),IF(AND(TRIM([1]DATABASE!Q85)="AVAILABLE",[1]DATABASE!AA85&lt;&gt;""),"Available has PSPA Date",""))</f>
        <v/>
      </c>
      <c r="G124" s="82" t="str">
        <f>_xlfn.TEXTJOIN("; ",TRUE,IF(AND([1]DATABASE!T85&lt;0.8*[1]DATABASE!S85,[1]DATABASE!T85&gt;0,[1]DATABASE!S85&gt;0),"Heavy Price Cut &gt;20%",""),IF(AND(OR(TRIM([1]DATABASE!Q85)="AVAILABLE",TRIM([1]DATABASE!Q85)="UPON REQUEST"),OR([1]DATABASE!T85="",[1]DATABASE!T85=0)),"Active Unit no Price",""),IF(AND(OR(TRIM([1]DATABASE!Q85)="AVAILABLE",TRIM([1]DATABASE!Q85)="RESERVED",TRIM([1]DATABASE!Q85)="PRE-RESERVED",TRIM([1]DATABASE!Q85)="PSPA"),[1]DATABASE!AC85=""),"Active no Owner",""),IF(OR([1]DATABASE!F85="",[1]DATABASE!F85&lt;=0),"Missing/Invalid Area",""),IF(AND([1]DATABASE!T85&gt;0,ABS([1]DATABASE!T85-[1]DATABASE!W85-[1]DATABASE!U85-[1]DATABASE!V85)&gt;1),"Price Bridge Mismatch",""))</f>
        <v/>
      </c>
      <c r="H124" t="str">
        <f t="shared" si="4"/>
        <v>PASS</v>
      </c>
      <c r="I124" s="90">
        <f>[1]DATABASE!T85</f>
        <v>550000</v>
      </c>
      <c r="J124" t="str">
        <f>[1]DATABASE!AC85</f>
        <v>Ana Damásio</v>
      </c>
    </row>
    <row r="125" spans="1:10" ht="13.95" customHeight="1" x14ac:dyDescent="0.3">
      <c r="A125">
        <f>ROW([1]DATABASE!A86)</f>
        <v>86</v>
      </c>
      <c r="B125" t="str">
        <f>[1]DATABASE!AJ86</f>
        <v>VM PARQUE</v>
      </c>
      <c r="C125" t="str">
        <f>[1]DATABASE!C86</f>
        <v>AJ</v>
      </c>
      <c r="D125" t="str">
        <f>TRIM([1]DATABASE!Q86)</f>
        <v>DEED</v>
      </c>
      <c r="E125" s="82" t="str">
        <f>_xlfn.TEXTJOIN("; ",TRUE,IF([1]DATABASE!X86&lt;0,"Negative Discount",""),IF(AND([1]DATABASE!Y86&gt;[1]DATABASE!T86,[1]DATABASE!Y86&gt;0,[1]DATABASE!T86&gt;0),"Sell Price &gt; Current",""),IF(AND(TRIM([1]DATABASE!Q86)="DEED",[1]DATABASE!AA86=""),"Deeded no PSPA Date",""),IF([1]DATABASE!E86="","Missing Typology",""),IF([1]DATABASE!AJ86="","Missing Development",""))</f>
        <v/>
      </c>
      <c r="F125" s="82" t="str">
        <f>_xlfn.TEXTJOIN("; ",TRUE,IF(AND(OR(TRIM([1]DATABASE!Q86)="RESERVED",TRIM([1]DATABASE!Q86)="PRE-RESERVED",TRIM([1]DATABASE!Q86)="PSPA"),[1]DATABASE!AA86=""),"Reserved/PSPA no PSPA Date",""),IF(AND(TRIM([1]DATABASE!Q86)="AVAILABLE",[1]DATABASE!AA86&lt;&gt;""),"Available has PSPA Date",""))</f>
        <v/>
      </c>
      <c r="G125" s="82" t="str">
        <f>_xlfn.TEXTJOIN("; ",TRUE,IF(AND([1]DATABASE!T86&lt;0.8*[1]DATABASE!S86,[1]DATABASE!T86&gt;0,[1]DATABASE!S86&gt;0),"Heavy Price Cut &gt;20%",""),IF(AND(OR(TRIM([1]DATABASE!Q86)="AVAILABLE",TRIM([1]DATABASE!Q86)="UPON REQUEST"),OR([1]DATABASE!T86="",[1]DATABASE!T86=0)),"Active Unit no Price",""),IF(AND(OR(TRIM([1]DATABASE!Q86)="AVAILABLE",TRIM([1]DATABASE!Q86)="RESERVED",TRIM([1]DATABASE!Q86)="PRE-RESERVED",TRIM([1]DATABASE!Q86)="PSPA"),[1]DATABASE!AC86=""),"Active no Owner",""),IF(OR([1]DATABASE!F86="",[1]DATABASE!F86&lt;=0),"Missing/Invalid Area",""),IF(AND([1]DATABASE!T86&gt;0,ABS([1]DATABASE!T86-[1]DATABASE!W86-[1]DATABASE!U86-[1]DATABASE!V86)&gt;1),"Price Bridge Mismatch",""))</f>
        <v/>
      </c>
      <c r="H125" t="str">
        <f t="shared" si="4"/>
        <v>PASS</v>
      </c>
      <c r="I125" s="90">
        <f>[1]DATABASE!T86</f>
        <v>1185000</v>
      </c>
      <c r="J125">
        <f>[1]DATABASE!AC86</f>
        <v>0</v>
      </c>
    </row>
    <row r="126" spans="1:10" ht="13.95" customHeight="1" x14ac:dyDescent="0.3">
      <c r="A126">
        <f>ROW([1]DATABASE!A87)</f>
        <v>87</v>
      </c>
      <c r="B126" t="str">
        <f>[1]DATABASE!AJ87</f>
        <v>Nobilus</v>
      </c>
      <c r="C126" t="str">
        <f>[1]DATABASE!C87</f>
        <v>AL</v>
      </c>
      <c r="D126" t="str">
        <f>TRIM([1]DATABASE!Q87)</f>
        <v>PSPA</v>
      </c>
      <c r="E126" s="82" t="str">
        <f>_xlfn.TEXTJOIN("; ",TRUE,IF([1]DATABASE!X87&lt;0,"Negative Discount",""),IF(AND([1]DATABASE!Y87&gt;[1]DATABASE!T87,[1]DATABASE!Y87&gt;0,[1]DATABASE!T87&gt;0),"Sell Price &gt; Current",""),IF(AND(TRIM([1]DATABASE!Q87)="DEED",[1]DATABASE!AA87=""),"Deeded no PSPA Date",""),IF([1]DATABASE!E87="","Missing Typology",""),IF([1]DATABASE!AJ87="","Missing Development",""))</f>
        <v/>
      </c>
      <c r="F126" s="82" t="str">
        <f>_xlfn.TEXTJOIN("; ",TRUE,IF(AND(OR(TRIM([1]DATABASE!Q87)="RESERVED",TRIM([1]DATABASE!Q87)="PRE-RESERVED",TRIM([1]DATABASE!Q87)="PSPA"),[1]DATABASE!AA87=""),"Reserved/PSPA no PSPA Date",""),IF(AND(TRIM([1]DATABASE!Q87)="AVAILABLE",[1]DATABASE!AA87&lt;&gt;""),"Available has PSPA Date",""))</f>
        <v/>
      </c>
      <c r="G126" s="82" t="str">
        <f>_xlfn.TEXTJOIN("; ",TRUE,IF(AND([1]DATABASE!T87&lt;0.8*[1]DATABASE!S87,[1]DATABASE!T87&gt;0,[1]DATABASE!S87&gt;0),"Heavy Price Cut &gt;20%",""),IF(AND(OR(TRIM([1]DATABASE!Q87)="AVAILABLE",TRIM([1]DATABASE!Q87)="UPON REQUEST"),OR([1]DATABASE!T87="",[1]DATABASE!T87=0)),"Active Unit no Price",""),IF(AND(OR(TRIM([1]DATABASE!Q87)="AVAILABLE",TRIM([1]DATABASE!Q87)="RESERVED",TRIM([1]DATABASE!Q87)="PRE-RESERVED",TRIM([1]DATABASE!Q87)="PSPA"),[1]DATABASE!AC87=""),"Active no Owner",""),IF(OR([1]DATABASE!F87="",[1]DATABASE!F87&lt;=0),"Missing/Invalid Area",""),IF(AND([1]DATABASE!T87&gt;0,ABS([1]DATABASE!T87-[1]DATABASE!W87-[1]DATABASE!U87-[1]DATABASE!V87)&gt;1),"Price Bridge Mismatch",""))</f>
        <v/>
      </c>
      <c r="H126" t="str">
        <f t="shared" si="4"/>
        <v>PASS</v>
      </c>
      <c r="I126" s="90">
        <f>[1]DATABASE!T87</f>
        <v>684000</v>
      </c>
      <c r="J126" t="str">
        <f>[1]DATABASE!AC87</f>
        <v>Ana Damásio</v>
      </c>
    </row>
    <row r="127" spans="1:10" ht="13.95" customHeight="1" x14ac:dyDescent="0.3">
      <c r="A127">
        <f>ROW([1]DATABASE!A88)</f>
        <v>88</v>
      </c>
      <c r="B127" t="str">
        <f>[1]DATABASE!AJ88</f>
        <v>VM PARQUE</v>
      </c>
      <c r="C127" t="str">
        <f>[1]DATABASE!C88</f>
        <v>AK</v>
      </c>
      <c r="D127" t="str">
        <f>TRIM([1]DATABASE!Q88)</f>
        <v>DEED</v>
      </c>
      <c r="E127" s="82" t="str">
        <f>_xlfn.TEXTJOIN("; ",TRUE,IF([1]DATABASE!X88&lt;0,"Negative Discount",""),IF(AND([1]DATABASE!Y88&gt;[1]DATABASE!T88,[1]DATABASE!Y88&gt;0,[1]DATABASE!T88&gt;0),"Sell Price &gt; Current",""),IF(AND(TRIM([1]DATABASE!Q88)="DEED",[1]DATABASE!AA88=""),"Deeded no PSPA Date",""),IF([1]DATABASE!E88="","Missing Typology",""),IF([1]DATABASE!AJ88="","Missing Development",""))</f>
        <v/>
      </c>
      <c r="F127" s="82" t="str">
        <f>_xlfn.TEXTJOIN("; ",TRUE,IF(AND(OR(TRIM([1]DATABASE!Q88)="RESERVED",TRIM([1]DATABASE!Q88)="PRE-RESERVED",TRIM([1]DATABASE!Q88)="PSPA"),[1]DATABASE!AA88=""),"Reserved/PSPA no PSPA Date",""),IF(AND(TRIM([1]DATABASE!Q88)="AVAILABLE",[1]DATABASE!AA88&lt;&gt;""),"Available has PSPA Date",""))</f>
        <v/>
      </c>
      <c r="G127" s="82" t="str">
        <f>_xlfn.TEXTJOIN("; ",TRUE,IF(AND([1]DATABASE!T88&lt;0.8*[1]DATABASE!S88,[1]DATABASE!T88&gt;0,[1]DATABASE!S88&gt;0),"Heavy Price Cut &gt;20%",""),IF(AND(OR(TRIM([1]DATABASE!Q88)="AVAILABLE",TRIM([1]DATABASE!Q88)="UPON REQUEST"),OR([1]DATABASE!T88="",[1]DATABASE!T88=0)),"Active Unit no Price",""),IF(AND(OR(TRIM([1]DATABASE!Q88)="AVAILABLE",TRIM([1]DATABASE!Q88)="RESERVED",TRIM([1]DATABASE!Q88)="PRE-RESERVED",TRIM([1]DATABASE!Q88)="PSPA"),[1]DATABASE!AC88=""),"Active no Owner",""),IF(OR([1]DATABASE!F88="",[1]DATABASE!F88&lt;=0),"Missing/Invalid Area",""),IF(AND([1]DATABASE!T88&gt;0,ABS([1]DATABASE!T88-[1]DATABASE!W88-[1]DATABASE!U88-[1]DATABASE!V88)&gt;1),"Price Bridge Mismatch",""))</f>
        <v/>
      </c>
      <c r="H127" t="str">
        <f t="shared" si="4"/>
        <v>PASS</v>
      </c>
      <c r="I127" s="90">
        <f>[1]DATABASE!T88</f>
        <v>1072170</v>
      </c>
      <c r="J127">
        <f>[1]DATABASE!AC88</f>
        <v>0</v>
      </c>
    </row>
    <row r="128" spans="1:10" ht="13.95" customHeight="1" x14ac:dyDescent="0.3">
      <c r="A128">
        <f>ROW([1]DATABASE!A89)</f>
        <v>89</v>
      </c>
      <c r="B128" t="str">
        <f>[1]DATABASE!AJ89</f>
        <v>Vale Pisão Grand Park</v>
      </c>
      <c r="C128" t="str">
        <f>[1]DATABASE!C89</f>
        <v>13A</v>
      </c>
      <c r="D128" t="str">
        <f>TRIM([1]DATABASE!Q89)</f>
        <v>AVAILABLE</v>
      </c>
      <c r="E128" s="82" t="str">
        <f>_xlfn.TEXTJOIN("; ",TRUE,IF([1]DATABASE!X89&lt;0,"Negative Discount",""),IF(AND([1]DATABASE!Y89&gt;[1]DATABASE!T89,[1]DATABASE!Y89&gt;0,[1]DATABASE!T89&gt;0),"Sell Price &gt; Current",""),IF(AND(TRIM([1]DATABASE!Q89)="DEED",[1]DATABASE!AA89=""),"Deeded no PSPA Date",""),IF([1]DATABASE!E89="","Missing Typology",""),IF([1]DATABASE!AJ89="","Missing Development",""))</f>
        <v/>
      </c>
      <c r="F128" s="82" t="str">
        <f>_xlfn.TEXTJOIN("; ",TRUE,IF(AND(OR(TRIM([1]DATABASE!Q89)="RESERVED",TRIM([1]DATABASE!Q89)="PRE-RESERVED",TRIM([1]DATABASE!Q89)="PSPA"),[1]DATABASE!AA89=""),"Reserved/PSPA no PSPA Date",""),IF(AND(TRIM([1]DATABASE!Q89)="AVAILABLE",[1]DATABASE!AA89&lt;&gt;""),"Available has PSPA Date",""))</f>
        <v>Available has PSPA Date</v>
      </c>
      <c r="G128" s="82" t="str">
        <f>_xlfn.TEXTJOIN("; ",TRUE,IF(AND([1]DATABASE!T89&lt;0.8*[1]DATABASE!S89,[1]DATABASE!T89&gt;0,[1]DATABASE!S89&gt;0),"Heavy Price Cut &gt;20%",""),IF(AND(OR(TRIM([1]DATABASE!Q89)="AVAILABLE",TRIM([1]DATABASE!Q89)="UPON REQUEST"),OR([1]DATABASE!T89="",[1]DATABASE!T89=0)),"Active Unit no Price",""),IF(AND(OR(TRIM([1]DATABASE!Q89)="AVAILABLE",TRIM([1]DATABASE!Q89)="RESERVED",TRIM([1]DATABASE!Q89)="PRE-RESERVED",TRIM([1]DATABASE!Q89)="PSPA"),[1]DATABASE!AC89=""),"Active no Owner",""),IF(OR([1]DATABASE!F89="",[1]DATABASE!F89&lt;=0),"Missing/Invalid Area",""),IF(AND([1]DATABASE!T89&gt;0,ABS([1]DATABASE!T89-[1]DATABASE!W89-[1]DATABASE!U89-[1]DATABASE!V89)&gt;1),"Price Bridge Mismatch",""))</f>
        <v/>
      </c>
      <c r="H128" t="str">
        <f t="shared" si="4"/>
        <v>REVIEW</v>
      </c>
      <c r="I128" s="90">
        <f>[1]DATABASE!T89</f>
        <v>860000</v>
      </c>
      <c r="J128" t="str">
        <f>[1]DATABASE!AC89</f>
        <v>João Gameiro</v>
      </c>
    </row>
    <row r="129" spans="1:10" ht="13.95" customHeight="1" x14ac:dyDescent="0.3">
      <c r="A129">
        <f>ROW([1]DATABASE!A90)</f>
        <v>90</v>
      </c>
      <c r="B129" t="str">
        <f>[1]DATABASE!AJ90</f>
        <v>Terracota</v>
      </c>
      <c r="C129" t="str">
        <f>[1]DATABASE!C90</f>
        <v>AL</v>
      </c>
      <c r="D129" t="str">
        <f>TRIM([1]DATABASE!Q90)</f>
        <v>PSPA</v>
      </c>
      <c r="E129" s="82" t="str">
        <f>_xlfn.TEXTJOIN("; ",TRUE,IF([1]DATABASE!X90&lt;0,"Negative Discount",""),IF(AND([1]DATABASE!Y90&gt;[1]DATABASE!T90,[1]DATABASE!Y90&gt;0,[1]DATABASE!T90&gt;0),"Sell Price &gt; Current",""),IF(AND(TRIM([1]DATABASE!Q90)="DEED",[1]DATABASE!AA90=""),"Deeded no PSPA Date",""),IF([1]DATABASE!E90="","Missing Typology",""),IF([1]DATABASE!AJ90="","Missing Development",""))</f>
        <v/>
      </c>
      <c r="F129" s="82" t="str">
        <f>_xlfn.TEXTJOIN("; ",TRUE,IF(AND(OR(TRIM([1]DATABASE!Q90)="RESERVED",TRIM([1]DATABASE!Q90)="PRE-RESERVED",TRIM([1]DATABASE!Q90)="PSPA"),[1]DATABASE!AA90=""),"Reserved/PSPA no PSPA Date",""),IF(AND(TRIM([1]DATABASE!Q90)="AVAILABLE",[1]DATABASE!AA90&lt;&gt;""),"Available has PSPA Date",""))</f>
        <v/>
      </c>
      <c r="G129" s="82" t="str">
        <f>_xlfn.TEXTJOIN("; ",TRUE,IF(AND([1]DATABASE!T90&lt;0.8*[1]DATABASE!S90,[1]DATABASE!T90&gt;0,[1]DATABASE!S90&gt;0),"Heavy Price Cut &gt;20%",""),IF(AND(OR(TRIM([1]DATABASE!Q90)="AVAILABLE",TRIM([1]DATABASE!Q90)="UPON REQUEST"),OR([1]DATABASE!T90="",[1]DATABASE!T90=0)),"Active Unit no Price",""),IF(AND(OR(TRIM([1]DATABASE!Q90)="AVAILABLE",TRIM([1]DATABASE!Q90)="RESERVED",TRIM([1]DATABASE!Q90)="PRE-RESERVED",TRIM([1]DATABASE!Q90)="PSPA"),[1]DATABASE!AC90=""),"Active no Owner",""),IF(OR([1]DATABASE!F90="",[1]DATABASE!F90&lt;=0),"Missing/Invalid Area",""),IF(AND([1]DATABASE!T90&gt;0,ABS([1]DATABASE!T90-[1]DATABASE!W90-[1]DATABASE!U90-[1]DATABASE!V90)&gt;1),"Price Bridge Mismatch",""))</f>
        <v/>
      </c>
      <c r="H129" t="str">
        <f t="shared" si="4"/>
        <v>PASS</v>
      </c>
      <c r="I129" s="90">
        <f>[1]DATABASE!T90</f>
        <v>540000</v>
      </c>
      <c r="J129" t="str">
        <f>[1]DATABASE!AC90</f>
        <v>Ana Damásio</v>
      </c>
    </row>
    <row r="130" spans="1:10" ht="13.95" customHeight="1" x14ac:dyDescent="0.3">
      <c r="A130">
        <f>ROW([1]DATABASE!A91)</f>
        <v>91</v>
      </c>
      <c r="B130" t="str">
        <f>[1]DATABASE!AJ91</f>
        <v>Palmares</v>
      </c>
      <c r="C130" t="str">
        <f>[1]DATABASE!C91</f>
        <v>821B</v>
      </c>
      <c r="D130" t="str">
        <f>TRIM([1]DATABASE!Q91)</f>
        <v>PSPA</v>
      </c>
      <c r="E130" s="82" t="str">
        <f>_xlfn.TEXTJOIN("; ",TRUE,IF([1]DATABASE!X91&lt;0,"Negative Discount",""),IF(AND([1]DATABASE!Y91&gt;[1]DATABASE!T91,[1]DATABASE!Y91&gt;0,[1]DATABASE!T91&gt;0),"Sell Price &gt; Current",""),IF(AND(TRIM([1]DATABASE!Q91)="DEED",[1]DATABASE!AA91=""),"Deeded no PSPA Date",""),IF([1]DATABASE!E91="","Missing Typology",""),IF([1]DATABASE!AJ91="","Missing Development",""))</f>
        <v/>
      </c>
      <c r="F130" s="82" t="str">
        <f>_xlfn.TEXTJOIN("; ",TRUE,IF(AND(OR(TRIM([1]DATABASE!Q91)="RESERVED",TRIM([1]DATABASE!Q91)="PRE-RESERVED",TRIM([1]DATABASE!Q91)="PSPA"),[1]DATABASE!AA91=""),"Reserved/PSPA no PSPA Date",""),IF(AND(TRIM([1]DATABASE!Q91)="AVAILABLE",[1]DATABASE!AA91&lt;&gt;""),"Available has PSPA Date",""))</f>
        <v/>
      </c>
      <c r="G130" s="82" t="str">
        <f>_xlfn.TEXTJOIN("; ",TRUE,IF(AND([1]DATABASE!T91&lt;0.8*[1]DATABASE!S91,[1]DATABASE!T91&gt;0,[1]DATABASE!S91&gt;0),"Heavy Price Cut &gt;20%",""),IF(AND(OR(TRIM([1]DATABASE!Q91)="AVAILABLE",TRIM([1]DATABASE!Q91)="UPON REQUEST"),OR([1]DATABASE!T91="",[1]DATABASE!T91=0)),"Active Unit no Price",""),IF(AND(OR(TRIM([1]DATABASE!Q91)="AVAILABLE",TRIM([1]DATABASE!Q91)="RESERVED",TRIM([1]DATABASE!Q91)="PRE-RESERVED",TRIM([1]DATABASE!Q91)="PSPA"),[1]DATABASE!AC91=""),"Active no Owner",""),IF(OR([1]DATABASE!F91="",[1]DATABASE!F91&lt;=0),"Missing/Invalid Area",""),IF(AND([1]DATABASE!T91&gt;0,ABS([1]DATABASE!T91-[1]DATABASE!W91-[1]DATABASE!U91-[1]DATABASE!V91)&gt;1),"Price Bridge Mismatch",""))</f>
        <v>Active no Owner</v>
      </c>
      <c r="H130" t="str">
        <f t="shared" si="4"/>
        <v>REVIEW</v>
      </c>
      <c r="I130" s="90">
        <f>[1]DATABASE!T91</f>
        <v>1700000</v>
      </c>
      <c r="J130">
        <f>[1]DATABASE!AC91</f>
        <v>0</v>
      </c>
    </row>
    <row r="131" spans="1:10" ht="13.95" customHeight="1" x14ac:dyDescent="0.3">
      <c r="A131">
        <f>ROW([1]DATABASE!A92)</f>
        <v>92</v>
      </c>
      <c r="B131" t="str">
        <f>[1]DATABASE!AJ92</f>
        <v>Terracota</v>
      </c>
      <c r="C131" t="str">
        <f>[1]DATABASE!C92</f>
        <v>AM</v>
      </c>
      <c r="D131" t="str">
        <f>TRIM([1]DATABASE!Q92)</f>
        <v>PSPA</v>
      </c>
      <c r="E131" s="82" t="str">
        <f>_xlfn.TEXTJOIN("; ",TRUE,IF([1]DATABASE!X92&lt;0,"Negative Discount",""),IF(AND([1]DATABASE!Y92&gt;[1]DATABASE!T92,[1]DATABASE!Y92&gt;0,[1]DATABASE!T92&gt;0),"Sell Price &gt; Current",""),IF(AND(TRIM([1]DATABASE!Q92)="DEED",[1]DATABASE!AA92=""),"Deeded no PSPA Date",""),IF([1]DATABASE!E92="","Missing Typology",""),IF([1]DATABASE!AJ92="","Missing Development",""))</f>
        <v/>
      </c>
      <c r="F131" s="82" t="str">
        <f>_xlfn.TEXTJOIN("; ",TRUE,IF(AND(OR(TRIM([1]DATABASE!Q92)="RESERVED",TRIM([1]DATABASE!Q92)="PRE-RESERVED",TRIM([1]DATABASE!Q92)="PSPA"),[1]DATABASE!AA92=""),"Reserved/PSPA no PSPA Date",""),IF(AND(TRIM([1]DATABASE!Q92)="AVAILABLE",[1]DATABASE!AA92&lt;&gt;""),"Available has PSPA Date",""))</f>
        <v/>
      </c>
      <c r="G131" s="82" t="str">
        <f>_xlfn.TEXTJOIN("; ",TRUE,IF(AND([1]DATABASE!T92&lt;0.8*[1]DATABASE!S92,[1]DATABASE!T92&gt;0,[1]DATABASE!S92&gt;0),"Heavy Price Cut &gt;20%",""),IF(AND(OR(TRIM([1]DATABASE!Q92)="AVAILABLE",TRIM([1]DATABASE!Q92)="UPON REQUEST"),OR([1]DATABASE!T92="",[1]DATABASE!T92=0)),"Active Unit no Price",""),IF(AND(OR(TRIM([1]DATABASE!Q92)="AVAILABLE",TRIM([1]DATABASE!Q92)="RESERVED",TRIM([1]DATABASE!Q92)="PRE-RESERVED",TRIM([1]DATABASE!Q92)="PSPA"),[1]DATABASE!AC92=""),"Active no Owner",""),IF(OR([1]DATABASE!F92="",[1]DATABASE!F92&lt;=0),"Missing/Invalid Area",""),IF(AND([1]DATABASE!T92&gt;0,ABS([1]DATABASE!T92-[1]DATABASE!W92-[1]DATABASE!U92-[1]DATABASE!V92)&gt;1),"Price Bridge Mismatch",""))</f>
        <v/>
      </c>
      <c r="H131" t="str">
        <f t="shared" si="4"/>
        <v>PASS</v>
      </c>
      <c r="I131" s="90">
        <f>[1]DATABASE!T92</f>
        <v>550000</v>
      </c>
      <c r="J131" t="str">
        <f>[1]DATABASE!AC92</f>
        <v>Ana Damásio</v>
      </c>
    </row>
    <row r="132" spans="1:10" ht="13.95" customHeight="1" x14ac:dyDescent="0.3">
      <c r="A132">
        <f>ROW([1]DATABASE!A93)</f>
        <v>93</v>
      </c>
      <c r="B132" t="str">
        <f>[1]DATABASE!AJ93</f>
        <v>VM PARQUE</v>
      </c>
      <c r="C132" t="str">
        <f>[1]DATABASE!C93</f>
        <v>AL</v>
      </c>
      <c r="D132" t="str">
        <f>TRIM([1]DATABASE!Q93)</f>
        <v>DEED</v>
      </c>
      <c r="E132" s="82" t="str">
        <f>_xlfn.TEXTJOIN("; ",TRUE,IF([1]DATABASE!X93&lt;0,"Negative Discount",""),IF(AND([1]DATABASE!Y93&gt;[1]DATABASE!T93,[1]DATABASE!Y93&gt;0,[1]DATABASE!T93&gt;0),"Sell Price &gt; Current",""),IF(AND(TRIM([1]DATABASE!Q93)="DEED",[1]DATABASE!AA93=""),"Deeded no PSPA Date",""),IF([1]DATABASE!E93="","Missing Typology",""),IF([1]DATABASE!AJ93="","Missing Development",""))</f>
        <v/>
      </c>
      <c r="F132" s="82" t="str">
        <f>_xlfn.TEXTJOIN("; ",TRUE,IF(AND(OR(TRIM([1]DATABASE!Q93)="RESERVED",TRIM([1]DATABASE!Q93)="PRE-RESERVED",TRIM([1]DATABASE!Q93)="PSPA"),[1]DATABASE!AA93=""),"Reserved/PSPA no PSPA Date",""),IF(AND(TRIM([1]DATABASE!Q93)="AVAILABLE",[1]DATABASE!AA93&lt;&gt;""),"Available has PSPA Date",""))</f>
        <v/>
      </c>
      <c r="G132" s="82" t="str">
        <f>_xlfn.TEXTJOIN("; ",TRUE,IF(AND([1]DATABASE!T93&lt;0.8*[1]DATABASE!S93,[1]DATABASE!T93&gt;0,[1]DATABASE!S93&gt;0),"Heavy Price Cut &gt;20%",""),IF(AND(OR(TRIM([1]DATABASE!Q93)="AVAILABLE",TRIM([1]DATABASE!Q93)="UPON REQUEST"),OR([1]DATABASE!T93="",[1]DATABASE!T93=0)),"Active Unit no Price",""),IF(AND(OR(TRIM([1]DATABASE!Q93)="AVAILABLE",TRIM([1]DATABASE!Q93)="RESERVED",TRIM([1]DATABASE!Q93)="PRE-RESERVED",TRIM([1]DATABASE!Q93)="PSPA"),[1]DATABASE!AC93=""),"Active no Owner",""),IF(OR([1]DATABASE!F93="",[1]DATABASE!F93&lt;=0),"Missing/Invalid Area",""),IF(AND([1]DATABASE!T93&gt;0,ABS([1]DATABASE!T93-[1]DATABASE!W93-[1]DATABASE!U93-[1]DATABASE!V93)&gt;1),"Price Bridge Mismatch",""))</f>
        <v/>
      </c>
      <c r="H132" t="str">
        <f t="shared" si="4"/>
        <v>PASS</v>
      </c>
      <c r="I132" s="90">
        <f>[1]DATABASE!T93</f>
        <v>1250000</v>
      </c>
      <c r="J132">
        <f>[1]DATABASE!AC93</f>
        <v>0</v>
      </c>
    </row>
    <row r="133" spans="1:10" ht="13.95" customHeight="1" x14ac:dyDescent="0.3">
      <c r="A133">
        <f>ROW([1]DATABASE!A94)</f>
        <v>94</v>
      </c>
      <c r="B133" t="str">
        <f>[1]DATABASE!AJ94</f>
        <v>Terracota</v>
      </c>
      <c r="C133" t="str">
        <f>[1]DATABASE!C94</f>
        <v>AO</v>
      </c>
      <c r="D133" t="str">
        <f>TRIM([1]DATABASE!Q94)</f>
        <v>PSPA</v>
      </c>
      <c r="E133" s="82" t="str">
        <f>_xlfn.TEXTJOIN("; ",TRUE,IF([1]DATABASE!X94&lt;0,"Negative Discount",""),IF(AND([1]DATABASE!Y94&gt;[1]DATABASE!T94,[1]DATABASE!Y94&gt;0,[1]DATABASE!T94&gt;0),"Sell Price &gt; Current",""),IF(AND(TRIM([1]DATABASE!Q94)="DEED",[1]DATABASE!AA94=""),"Deeded no PSPA Date",""),IF([1]DATABASE!E94="","Missing Typology",""),IF([1]DATABASE!AJ94="","Missing Development",""))</f>
        <v/>
      </c>
      <c r="F133" s="82" t="str">
        <f>_xlfn.TEXTJOIN("; ",TRUE,IF(AND(OR(TRIM([1]DATABASE!Q94)="RESERVED",TRIM([1]DATABASE!Q94)="PRE-RESERVED",TRIM([1]DATABASE!Q94)="PSPA"),[1]DATABASE!AA94=""),"Reserved/PSPA no PSPA Date",""),IF(AND(TRIM([1]DATABASE!Q94)="AVAILABLE",[1]DATABASE!AA94&lt;&gt;""),"Available has PSPA Date",""))</f>
        <v/>
      </c>
      <c r="G133" s="82" t="str">
        <f>_xlfn.TEXTJOIN("; ",TRUE,IF(AND([1]DATABASE!T94&lt;0.8*[1]DATABASE!S94,[1]DATABASE!T94&gt;0,[1]DATABASE!S94&gt;0),"Heavy Price Cut &gt;20%",""),IF(AND(OR(TRIM([1]DATABASE!Q94)="AVAILABLE",TRIM([1]DATABASE!Q94)="UPON REQUEST"),OR([1]DATABASE!T94="",[1]DATABASE!T94=0)),"Active Unit no Price",""),IF(AND(OR(TRIM([1]DATABASE!Q94)="AVAILABLE",TRIM([1]DATABASE!Q94)="RESERVED",TRIM([1]DATABASE!Q94)="PRE-RESERVED",TRIM([1]DATABASE!Q94)="PSPA"),[1]DATABASE!AC94=""),"Active no Owner",""),IF(OR([1]DATABASE!F94="",[1]DATABASE!F94&lt;=0),"Missing/Invalid Area",""),IF(AND([1]DATABASE!T94&gt;0,ABS([1]DATABASE!T94-[1]DATABASE!W94-[1]DATABASE!U94-[1]DATABASE!V94)&gt;1),"Price Bridge Mismatch",""))</f>
        <v/>
      </c>
      <c r="H133" t="str">
        <f t="shared" si="4"/>
        <v>PASS</v>
      </c>
      <c r="I133" s="90">
        <f>[1]DATABASE!T94</f>
        <v>550000</v>
      </c>
      <c r="J133" t="str">
        <f>[1]DATABASE!AC94</f>
        <v>Ana Damásio</v>
      </c>
    </row>
    <row r="134" spans="1:10" ht="13.95" customHeight="1" x14ac:dyDescent="0.3">
      <c r="A134">
        <f>ROW([1]DATABASE!A95)</f>
        <v>95</v>
      </c>
      <c r="B134" t="str">
        <f>[1]DATABASE!AJ95</f>
        <v>The Nine</v>
      </c>
      <c r="C134" t="str">
        <f>[1]DATABASE!C95</f>
        <v>AM</v>
      </c>
      <c r="D134" t="str">
        <f>TRIM([1]DATABASE!Q95)</f>
        <v>DEED</v>
      </c>
      <c r="E134" s="82" t="str">
        <f>_xlfn.TEXTJOIN("; ",TRUE,IF([1]DATABASE!X95&lt;0,"Negative Discount",""),IF(AND([1]DATABASE!Y95&gt;[1]DATABASE!T95,[1]DATABASE!Y95&gt;0,[1]DATABASE!T95&gt;0),"Sell Price &gt; Current",""),IF(AND(TRIM([1]DATABASE!Q95)="DEED",[1]DATABASE!AA95=""),"Deeded no PSPA Date",""),IF([1]DATABASE!E95="","Missing Typology",""),IF([1]DATABASE!AJ95="","Missing Development",""))</f>
        <v/>
      </c>
      <c r="F134" s="82" t="str">
        <f>_xlfn.TEXTJOIN("; ",TRUE,IF(AND(OR(TRIM([1]DATABASE!Q95)="RESERVED",TRIM([1]DATABASE!Q95)="PRE-RESERVED",TRIM([1]DATABASE!Q95)="PSPA"),[1]DATABASE!AA95=""),"Reserved/PSPA no PSPA Date",""),IF(AND(TRIM([1]DATABASE!Q95)="AVAILABLE",[1]DATABASE!AA95&lt;&gt;""),"Available has PSPA Date",""))</f>
        <v/>
      </c>
      <c r="G134" s="82" t="str">
        <f>_xlfn.TEXTJOIN("; ",TRUE,IF(AND([1]DATABASE!T95&lt;0.8*[1]DATABASE!S95,[1]DATABASE!T95&gt;0,[1]DATABASE!S95&gt;0),"Heavy Price Cut &gt;20%",""),IF(AND(OR(TRIM([1]DATABASE!Q95)="AVAILABLE",TRIM([1]DATABASE!Q95)="UPON REQUEST"),OR([1]DATABASE!T95="",[1]DATABASE!T95=0)),"Active Unit no Price",""),IF(AND(OR(TRIM([1]DATABASE!Q95)="AVAILABLE",TRIM([1]DATABASE!Q95)="RESERVED",TRIM([1]DATABASE!Q95)="PRE-RESERVED",TRIM([1]DATABASE!Q95)="PSPA"),[1]DATABASE!AC95=""),"Active no Owner",""),IF(OR([1]DATABASE!F95="",[1]DATABASE!F95&lt;=0),"Missing/Invalid Area",""),IF(AND([1]DATABASE!T95&gt;0,ABS([1]DATABASE!T95-[1]DATABASE!W95-[1]DATABASE!U95-[1]DATABASE!V95)&gt;1),"Price Bridge Mismatch",""))</f>
        <v/>
      </c>
      <c r="H134" t="str">
        <f t="shared" si="4"/>
        <v>PASS</v>
      </c>
      <c r="I134" s="90">
        <f>[1]DATABASE!T95</f>
        <v>630000</v>
      </c>
      <c r="J134" t="str">
        <f>[1]DATABASE!AC95</f>
        <v>Ana Damásio</v>
      </c>
    </row>
    <row r="135" spans="1:10" ht="13.95" customHeight="1" x14ac:dyDescent="0.3">
      <c r="A135">
        <f>ROW([1]DATABASE!A96)</f>
        <v>96</v>
      </c>
      <c r="B135" t="str">
        <f>[1]DATABASE!AJ96</f>
        <v>VM PARQUE</v>
      </c>
      <c r="C135" t="str">
        <f>[1]DATABASE!C96</f>
        <v>AM</v>
      </c>
      <c r="D135" t="str">
        <f>TRIM([1]DATABASE!Q96)</f>
        <v>DEED</v>
      </c>
      <c r="E135" s="82" t="str">
        <f>_xlfn.TEXTJOIN("; ",TRUE,IF([1]DATABASE!X96&lt;0,"Negative Discount",""),IF(AND([1]DATABASE!Y96&gt;[1]DATABASE!T96,[1]DATABASE!Y96&gt;0,[1]DATABASE!T96&gt;0),"Sell Price &gt; Current",""),IF(AND(TRIM([1]DATABASE!Q96)="DEED",[1]DATABASE!AA96=""),"Deeded no PSPA Date",""),IF([1]DATABASE!E96="","Missing Typology",""),IF([1]DATABASE!AJ96="","Missing Development",""))</f>
        <v/>
      </c>
      <c r="F135" s="82" t="str">
        <f>_xlfn.TEXTJOIN("; ",TRUE,IF(AND(OR(TRIM([1]DATABASE!Q96)="RESERVED",TRIM([1]DATABASE!Q96)="PRE-RESERVED",TRIM([1]DATABASE!Q96)="PSPA"),[1]DATABASE!AA96=""),"Reserved/PSPA no PSPA Date",""),IF(AND(TRIM([1]DATABASE!Q96)="AVAILABLE",[1]DATABASE!AA96&lt;&gt;""),"Available has PSPA Date",""))</f>
        <v/>
      </c>
      <c r="G135" s="82" t="str">
        <f>_xlfn.TEXTJOIN("; ",TRUE,IF(AND([1]DATABASE!T96&lt;0.8*[1]DATABASE!S96,[1]DATABASE!T96&gt;0,[1]DATABASE!S96&gt;0),"Heavy Price Cut &gt;20%",""),IF(AND(OR(TRIM([1]DATABASE!Q96)="AVAILABLE",TRIM([1]DATABASE!Q96)="UPON REQUEST"),OR([1]DATABASE!T96="",[1]DATABASE!T96=0)),"Active Unit no Price",""),IF(AND(OR(TRIM([1]DATABASE!Q96)="AVAILABLE",TRIM([1]DATABASE!Q96)="RESERVED",TRIM([1]DATABASE!Q96)="PRE-RESERVED",TRIM([1]DATABASE!Q96)="PSPA"),[1]DATABASE!AC96=""),"Active no Owner",""),IF(OR([1]DATABASE!F96="",[1]DATABASE!F96&lt;=0),"Missing/Invalid Area",""),IF(AND([1]DATABASE!T96&gt;0,ABS([1]DATABASE!T96-[1]DATABASE!W96-[1]DATABASE!U96-[1]DATABASE!V96)&gt;1),"Price Bridge Mismatch",""))</f>
        <v/>
      </c>
      <c r="H135" t="str">
        <f t="shared" si="4"/>
        <v>PASS</v>
      </c>
      <c r="I135" s="90">
        <f>[1]DATABASE!T96</f>
        <v>1235000</v>
      </c>
      <c r="J135">
        <f>[1]DATABASE!AC96</f>
        <v>0</v>
      </c>
    </row>
    <row r="136" spans="1:10" ht="13.95" customHeight="1" x14ac:dyDescent="0.3">
      <c r="A136">
        <f>ROW([1]DATABASE!A97)</f>
        <v>97</v>
      </c>
      <c r="B136" t="str">
        <f>[1]DATABASE!AJ97</f>
        <v>Vale Pisão Grand Park</v>
      </c>
      <c r="C136" t="str">
        <f>[1]DATABASE!C97</f>
        <v>10A</v>
      </c>
      <c r="D136" t="str">
        <f>TRIM([1]DATABASE!Q97)</f>
        <v>AVAILABLE</v>
      </c>
      <c r="E136" s="82" t="str">
        <f>_xlfn.TEXTJOIN("; ",TRUE,IF([1]DATABASE!X97&lt;0,"Negative Discount",""),IF(AND([1]DATABASE!Y97&gt;[1]DATABASE!T97,[1]DATABASE!Y97&gt;0,[1]DATABASE!T97&gt;0),"Sell Price &gt; Current",""),IF(AND(TRIM([1]DATABASE!Q97)="DEED",[1]DATABASE!AA97=""),"Deeded no PSPA Date",""),IF([1]DATABASE!E97="","Missing Typology",""),IF([1]DATABASE!AJ97="","Missing Development",""))</f>
        <v/>
      </c>
      <c r="F136" s="82" t="str">
        <f>_xlfn.TEXTJOIN("; ",TRUE,IF(AND(OR(TRIM([1]DATABASE!Q97)="RESERVED",TRIM([1]DATABASE!Q97)="PRE-RESERVED",TRIM([1]DATABASE!Q97)="PSPA"),[1]DATABASE!AA97=""),"Reserved/PSPA no PSPA Date",""),IF(AND(TRIM([1]DATABASE!Q97)="AVAILABLE",[1]DATABASE!AA97&lt;&gt;""),"Available has PSPA Date",""))</f>
        <v>Available has PSPA Date</v>
      </c>
      <c r="G136" s="82" t="str">
        <f>_xlfn.TEXTJOIN("; ",TRUE,IF(AND([1]DATABASE!T97&lt;0.8*[1]DATABASE!S97,[1]DATABASE!T97&gt;0,[1]DATABASE!S97&gt;0),"Heavy Price Cut &gt;20%",""),IF(AND(OR(TRIM([1]DATABASE!Q97)="AVAILABLE",TRIM([1]DATABASE!Q97)="UPON REQUEST"),OR([1]DATABASE!T97="",[1]DATABASE!T97=0)),"Active Unit no Price",""),IF(AND(OR(TRIM([1]DATABASE!Q97)="AVAILABLE",TRIM([1]DATABASE!Q97)="RESERVED",TRIM([1]DATABASE!Q97)="PRE-RESERVED",TRIM([1]DATABASE!Q97)="PSPA"),[1]DATABASE!AC97=""),"Active no Owner",""),IF(OR([1]DATABASE!F97="",[1]DATABASE!F97&lt;=0),"Missing/Invalid Area",""),IF(AND([1]DATABASE!T97&gt;0,ABS([1]DATABASE!T97-[1]DATABASE!W97-[1]DATABASE!U97-[1]DATABASE!V97)&gt;1),"Price Bridge Mismatch",""))</f>
        <v/>
      </c>
      <c r="H136" t="str">
        <f t="shared" si="4"/>
        <v>REVIEW</v>
      </c>
      <c r="I136" s="90">
        <f>[1]DATABASE!T97</f>
        <v>860000</v>
      </c>
      <c r="J136" t="str">
        <f>[1]DATABASE!AC97</f>
        <v>João Gameiro</v>
      </c>
    </row>
    <row r="137" spans="1:10" ht="13.95" customHeight="1" x14ac:dyDescent="0.3">
      <c r="A137">
        <f>ROW([1]DATABASE!A98)</f>
        <v>98</v>
      </c>
      <c r="B137" t="str">
        <f>[1]DATABASE!AJ98</f>
        <v>The Nine</v>
      </c>
      <c r="C137" t="str">
        <f>[1]DATABASE!C98</f>
        <v>AN</v>
      </c>
      <c r="D137" t="str">
        <f>TRIM([1]DATABASE!Q98)</f>
        <v>DEED</v>
      </c>
      <c r="E137" s="82" t="str">
        <f>_xlfn.TEXTJOIN("; ",TRUE,IF([1]DATABASE!X98&lt;0,"Negative Discount",""),IF(AND([1]DATABASE!Y98&gt;[1]DATABASE!T98,[1]DATABASE!Y98&gt;0,[1]DATABASE!T98&gt;0),"Sell Price &gt; Current",""),IF(AND(TRIM([1]DATABASE!Q98)="DEED",[1]DATABASE!AA98=""),"Deeded no PSPA Date",""),IF([1]DATABASE!E98="","Missing Typology",""),IF([1]DATABASE!AJ98="","Missing Development",""))</f>
        <v/>
      </c>
      <c r="F137" s="82" t="str">
        <f>_xlfn.TEXTJOIN("; ",TRUE,IF(AND(OR(TRIM([1]DATABASE!Q98)="RESERVED",TRIM([1]DATABASE!Q98)="PRE-RESERVED",TRIM([1]DATABASE!Q98)="PSPA"),[1]DATABASE!AA98=""),"Reserved/PSPA no PSPA Date",""),IF(AND(TRIM([1]DATABASE!Q98)="AVAILABLE",[1]DATABASE!AA98&lt;&gt;""),"Available has PSPA Date",""))</f>
        <v/>
      </c>
      <c r="G137" s="82" t="str">
        <f>_xlfn.TEXTJOIN("; ",TRUE,IF(AND([1]DATABASE!T98&lt;0.8*[1]DATABASE!S98,[1]DATABASE!T98&gt;0,[1]DATABASE!S98&gt;0),"Heavy Price Cut &gt;20%",""),IF(AND(OR(TRIM([1]DATABASE!Q98)="AVAILABLE",TRIM([1]DATABASE!Q98)="UPON REQUEST"),OR([1]DATABASE!T98="",[1]DATABASE!T98=0)),"Active Unit no Price",""),IF(AND(OR(TRIM([1]DATABASE!Q98)="AVAILABLE",TRIM([1]DATABASE!Q98)="RESERVED",TRIM([1]DATABASE!Q98)="PRE-RESERVED",TRIM([1]DATABASE!Q98)="PSPA"),[1]DATABASE!AC98=""),"Active no Owner",""),IF(OR([1]DATABASE!F98="",[1]DATABASE!F98&lt;=0),"Missing/Invalid Area",""),IF(AND([1]DATABASE!T98&gt;0,ABS([1]DATABASE!T98-[1]DATABASE!W98-[1]DATABASE!U98-[1]DATABASE!V98)&gt;1),"Price Bridge Mismatch",""))</f>
        <v/>
      </c>
      <c r="H137" t="str">
        <f t="shared" si="4"/>
        <v>PASS</v>
      </c>
      <c r="I137" s="90">
        <f>[1]DATABASE!T98</f>
        <v>660000</v>
      </c>
      <c r="J137" t="str">
        <f>[1]DATABASE!AC98</f>
        <v>Ana Damásio</v>
      </c>
    </row>
    <row r="138" spans="1:10" ht="13.95" customHeight="1" x14ac:dyDescent="0.3">
      <c r="A138">
        <f>ROW([1]DATABASE!A99)</f>
        <v>99</v>
      </c>
      <c r="B138" t="str">
        <f>[1]DATABASE!AJ99</f>
        <v>VM PARQUE</v>
      </c>
      <c r="C138" t="str">
        <f>[1]DATABASE!C99</f>
        <v>AN</v>
      </c>
      <c r="D138" t="str">
        <f>TRIM([1]DATABASE!Q99)</f>
        <v>DEED</v>
      </c>
      <c r="E138" s="82" t="str">
        <f>_xlfn.TEXTJOIN("; ",TRUE,IF([1]DATABASE!X99&lt;0,"Negative Discount",""),IF(AND([1]DATABASE!Y99&gt;[1]DATABASE!T99,[1]DATABASE!Y99&gt;0,[1]DATABASE!T99&gt;0),"Sell Price &gt; Current",""),IF(AND(TRIM([1]DATABASE!Q99)="DEED",[1]DATABASE!AA99=""),"Deeded no PSPA Date",""),IF([1]DATABASE!E99="","Missing Typology",""),IF([1]DATABASE!AJ99="","Missing Development",""))</f>
        <v/>
      </c>
      <c r="F138" s="82" t="str">
        <f>_xlfn.TEXTJOIN("; ",TRUE,IF(AND(OR(TRIM([1]DATABASE!Q99)="RESERVED",TRIM([1]DATABASE!Q99)="PRE-RESERVED",TRIM([1]DATABASE!Q99)="PSPA"),[1]DATABASE!AA99=""),"Reserved/PSPA no PSPA Date",""),IF(AND(TRIM([1]DATABASE!Q99)="AVAILABLE",[1]DATABASE!AA99&lt;&gt;""),"Available has PSPA Date",""))</f>
        <v/>
      </c>
      <c r="G138" s="82" t="str">
        <f>_xlfn.TEXTJOIN("; ",TRUE,IF(AND([1]DATABASE!T99&lt;0.8*[1]DATABASE!S99,[1]DATABASE!T99&gt;0,[1]DATABASE!S99&gt;0),"Heavy Price Cut &gt;20%",""),IF(AND(OR(TRIM([1]DATABASE!Q99)="AVAILABLE",TRIM([1]DATABASE!Q99)="UPON REQUEST"),OR([1]DATABASE!T99="",[1]DATABASE!T99=0)),"Active Unit no Price",""),IF(AND(OR(TRIM([1]DATABASE!Q99)="AVAILABLE",TRIM([1]DATABASE!Q99)="RESERVED",TRIM([1]DATABASE!Q99)="PRE-RESERVED",TRIM([1]DATABASE!Q99)="PSPA"),[1]DATABASE!AC99=""),"Active no Owner",""),IF(OR([1]DATABASE!F99="",[1]DATABASE!F99&lt;=0),"Missing/Invalid Area",""),IF(AND([1]DATABASE!T99&gt;0,ABS([1]DATABASE!T99-[1]DATABASE!W99-[1]DATABASE!U99-[1]DATABASE!V99)&gt;1),"Price Bridge Mismatch",""))</f>
        <v/>
      </c>
      <c r="H138" t="str">
        <f t="shared" si="4"/>
        <v>PASS</v>
      </c>
      <c r="I138" s="90">
        <f>[1]DATABASE!T99</f>
        <v>1152000</v>
      </c>
      <c r="J138">
        <f>[1]DATABASE!AC99</f>
        <v>0</v>
      </c>
    </row>
    <row r="139" spans="1:10" ht="13.95" customHeight="1" x14ac:dyDescent="0.3">
      <c r="A139">
        <f>ROW([1]DATABASE!A100)</f>
        <v>100</v>
      </c>
      <c r="B139" t="str">
        <f>[1]DATABASE!AJ100</f>
        <v>Terracota</v>
      </c>
      <c r="C139" t="str">
        <f>[1]DATABASE!C100</f>
        <v>AP</v>
      </c>
      <c r="D139" t="str">
        <f>TRIM([1]DATABASE!Q100)</f>
        <v>PSPA</v>
      </c>
      <c r="E139" s="82" t="str">
        <f>_xlfn.TEXTJOIN("; ",TRUE,IF([1]DATABASE!X100&lt;0,"Negative Discount",""),IF(AND([1]DATABASE!Y100&gt;[1]DATABASE!T100,[1]DATABASE!Y100&gt;0,[1]DATABASE!T100&gt;0),"Sell Price &gt; Current",""),IF(AND(TRIM([1]DATABASE!Q100)="DEED",[1]DATABASE!AA100=""),"Deeded no PSPA Date",""),IF([1]DATABASE!E100="","Missing Typology",""),IF([1]DATABASE!AJ100="","Missing Development",""))</f>
        <v/>
      </c>
      <c r="F139" s="82" t="str">
        <f>_xlfn.TEXTJOIN("; ",TRUE,IF(AND(OR(TRIM([1]DATABASE!Q100)="RESERVED",TRIM([1]DATABASE!Q100)="PRE-RESERVED",TRIM([1]DATABASE!Q100)="PSPA"),[1]DATABASE!AA100=""),"Reserved/PSPA no PSPA Date",""),IF(AND(TRIM([1]DATABASE!Q100)="AVAILABLE",[1]DATABASE!AA100&lt;&gt;""),"Available has PSPA Date",""))</f>
        <v/>
      </c>
      <c r="G139" s="82" t="str">
        <f>_xlfn.TEXTJOIN("; ",TRUE,IF(AND([1]DATABASE!T100&lt;0.8*[1]DATABASE!S100,[1]DATABASE!T100&gt;0,[1]DATABASE!S100&gt;0),"Heavy Price Cut &gt;20%",""),IF(AND(OR(TRIM([1]DATABASE!Q100)="AVAILABLE",TRIM([1]DATABASE!Q100)="UPON REQUEST"),OR([1]DATABASE!T100="",[1]DATABASE!T100=0)),"Active Unit no Price",""),IF(AND(OR(TRIM([1]DATABASE!Q100)="AVAILABLE",TRIM([1]DATABASE!Q100)="RESERVED",TRIM([1]DATABASE!Q100)="PRE-RESERVED",TRIM([1]DATABASE!Q100)="PSPA"),[1]DATABASE!AC100=""),"Active no Owner",""),IF(OR([1]DATABASE!F100="",[1]DATABASE!F100&lt;=0),"Missing/Invalid Area",""),IF(AND([1]DATABASE!T100&gt;0,ABS([1]DATABASE!T100-[1]DATABASE!W100-[1]DATABASE!U100-[1]DATABASE!V100)&gt;1),"Price Bridge Mismatch",""))</f>
        <v/>
      </c>
      <c r="H139" t="str">
        <f t="shared" si="4"/>
        <v>PASS</v>
      </c>
      <c r="I139" s="90">
        <f>[1]DATABASE!T100</f>
        <v>555000</v>
      </c>
      <c r="J139" t="str">
        <f>[1]DATABASE!AC100</f>
        <v>Ana Damásio</v>
      </c>
    </row>
    <row r="140" spans="1:10" ht="13.95" customHeight="1" x14ac:dyDescent="0.3">
      <c r="A140">
        <f>ROW([1]DATABASE!A101)</f>
        <v>101</v>
      </c>
      <c r="B140" t="str">
        <f>[1]DATABASE!AJ101</f>
        <v>The Nine</v>
      </c>
      <c r="C140" t="str">
        <f>[1]DATABASE!C101</f>
        <v>AO</v>
      </c>
      <c r="D140" t="str">
        <f>TRIM([1]DATABASE!Q101)</f>
        <v>DEED</v>
      </c>
      <c r="E140" s="82" t="str">
        <f>_xlfn.TEXTJOIN("; ",TRUE,IF([1]DATABASE!X101&lt;0,"Negative Discount",""),IF(AND([1]DATABASE!Y101&gt;[1]DATABASE!T101,[1]DATABASE!Y101&gt;0,[1]DATABASE!T101&gt;0),"Sell Price &gt; Current",""),IF(AND(TRIM([1]DATABASE!Q101)="DEED",[1]DATABASE!AA101=""),"Deeded no PSPA Date",""),IF([1]DATABASE!E101="","Missing Typology",""),IF([1]DATABASE!AJ101="","Missing Development",""))</f>
        <v/>
      </c>
      <c r="F140" s="82" t="str">
        <f>_xlfn.TEXTJOIN("; ",TRUE,IF(AND(OR(TRIM([1]DATABASE!Q101)="RESERVED",TRIM([1]DATABASE!Q101)="PRE-RESERVED",TRIM([1]DATABASE!Q101)="PSPA"),[1]DATABASE!AA101=""),"Reserved/PSPA no PSPA Date",""),IF(AND(TRIM([1]DATABASE!Q101)="AVAILABLE",[1]DATABASE!AA101&lt;&gt;""),"Available has PSPA Date",""))</f>
        <v/>
      </c>
      <c r="G140" s="82" t="str">
        <f>_xlfn.TEXTJOIN("; ",TRUE,IF(AND([1]DATABASE!T101&lt;0.8*[1]DATABASE!S101,[1]DATABASE!T101&gt;0,[1]DATABASE!S101&gt;0),"Heavy Price Cut &gt;20%",""),IF(AND(OR(TRIM([1]DATABASE!Q101)="AVAILABLE",TRIM([1]DATABASE!Q101)="UPON REQUEST"),OR([1]DATABASE!T101="",[1]DATABASE!T101=0)),"Active Unit no Price",""),IF(AND(OR(TRIM([1]DATABASE!Q101)="AVAILABLE",TRIM([1]DATABASE!Q101)="RESERVED",TRIM([1]DATABASE!Q101)="PRE-RESERVED",TRIM([1]DATABASE!Q101)="PSPA"),[1]DATABASE!AC101=""),"Active no Owner",""),IF(OR([1]DATABASE!F101="",[1]DATABASE!F101&lt;=0),"Missing/Invalid Area",""),IF(AND([1]DATABASE!T101&gt;0,ABS([1]DATABASE!T101-[1]DATABASE!W101-[1]DATABASE!U101-[1]DATABASE!V101)&gt;1),"Price Bridge Mismatch",""))</f>
        <v/>
      </c>
      <c r="H140" t="str">
        <f t="shared" si="4"/>
        <v>PASS</v>
      </c>
      <c r="I140" s="90">
        <f>[1]DATABASE!T101</f>
        <v>590000</v>
      </c>
      <c r="J140" t="str">
        <f>[1]DATABASE!AC101</f>
        <v>Ana Damásio</v>
      </c>
    </row>
    <row r="141" spans="1:10" ht="13.95" customHeight="1" x14ac:dyDescent="0.3">
      <c r="A141">
        <f>ROW([1]DATABASE!A102)</f>
        <v>102</v>
      </c>
      <c r="B141" t="str">
        <f>[1]DATABASE!AJ102</f>
        <v>Aroeira Collections</v>
      </c>
      <c r="C141" t="str">
        <f>[1]DATABASE!C102</f>
        <v>106B</v>
      </c>
      <c r="D141" t="str">
        <f>TRIM([1]DATABASE!Q102)</f>
        <v>PSPA</v>
      </c>
      <c r="E141" s="82" t="str">
        <f>_xlfn.TEXTJOIN("; ",TRUE,IF([1]DATABASE!X102&lt;0,"Negative Discount",""),IF(AND([1]DATABASE!Y102&gt;[1]DATABASE!T102,[1]DATABASE!Y102&gt;0,[1]DATABASE!T102&gt;0),"Sell Price &gt; Current",""),IF(AND(TRIM([1]DATABASE!Q102)="DEED",[1]DATABASE!AA102=""),"Deeded no PSPA Date",""),IF([1]DATABASE!E102="","Missing Typology",""),IF([1]DATABASE!AJ102="","Missing Development",""))</f>
        <v/>
      </c>
      <c r="F141" s="82" t="str">
        <f>_xlfn.TEXTJOIN("; ",TRUE,IF(AND(OR(TRIM([1]DATABASE!Q102)="RESERVED",TRIM([1]DATABASE!Q102)="PRE-RESERVED",TRIM([1]DATABASE!Q102)="PSPA"),[1]DATABASE!AA102=""),"Reserved/PSPA no PSPA Date",""),IF(AND(TRIM([1]DATABASE!Q102)="AVAILABLE",[1]DATABASE!AA102&lt;&gt;""),"Available has PSPA Date",""))</f>
        <v/>
      </c>
      <c r="G141" s="82" t="str">
        <f>_xlfn.TEXTJOIN("; ",TRUE,IF(AND([1]DATABASE!T102&lt;0.8*[1]DATABASE!S102,[1]DATABASE!T102&gt;0,[1]DATABASE!S102&gt;0),"Heavy Price Cut &gt;20%",""),IF(AND(OR(TRIM([1]DATABASE!Q102)="AVAILABLE",TRIM([1]DATABASE!Q102)="UPON REQUEST"),OR([1]DATABASE!T102="",[1]DATABASE!T102=0)),"Active Unit no Price",""),IF(AND(OR(TRIM([1]DATABASE!Q102)="AVAILABLE",TRIM([1]DATABASE!Q102)="RESERVED",TRIM([1]DATABASE!Q102)="PRE-RESERVED",TRIM([1]DATABASE!Q102)="PSPA"),[1]DATABASE!AC102=""),"Active no Owner",""),IF(OR([1]DATABASE!F102="",[1]DATABASE!F102&lt;=0),"Missing/Invalid Area",""),IF(AND([1]DATABASE!T102&gt;0,ABS([1]DATABASE!T102-[1]DATABASE!W102-[1]DATABASE!U102-[1]DATABASE!V102)&gt;1),"Price Bridge Mismatch",""))</f>
        <v/>
      </c>
      <c r="H141" t="str">
        <f t="shared" si="4"/>
        <v>PASS</v>
      </c>
      <c r="I141" s="90">
        <f>[1]DATABASE!T102</f>
        <v>810000</v>
      </c>
      <c r="J141" t="str">
        <f>[1]DATABASE!AC102</f>
        <v>João Gameiro</v>
      </c>
    </row>
    <row r="142" spans="1:10" ht="13.95" customHeight="1" x14ac:dyDescent="0.3">
      <c r="A142">
        <f>ROW([1]DATABASE!A103)</f>
        <v>103</v>
      </c>
      <c r="B142" t="str">
        <f>[1]DATABASE!AJ103</f>
        <v>Aroeira Collections</v>
      </c>
      <c r="C142" t="str">
        <f>[1]DATABASE!C103</f>
        <v>110B</v>
      </c>
      <c r="D142" t="str">
        <f>TRIM([1]DATABASE!Q103)</f>
        <v>PSPA</v>
      </c>
      <c r="E142" s="82" t="str">
        <f>_xlfn.TEXTJOIN("; ",TRUE,IF([1]DATABASE!X103&lt;0,"Negative Discount",""),IF(AND([1]DATABASE!Y103&gt;[1]DATABASE!T103,[1]DATABASE!Y103&gt;0,[1]DATABASE!T103&gt;0),"Sell Price &gt; Current",""),IF(AND(TRIM([1]DATABASE!Q103)="DEED",[1]DATABASE!AA103=""),"Deeded no PSPA Date",""),IF([1]DATABASE!E103="","Missing Typology",""),IF([1]DATABASE!AJ103="","Missing Development",""))</f>
        <v/>
      </c>
      <c r="F142" s="82" t="str">
        <f>_xlfn.TEXTJOIN("; ",TRUE,IF(AND(OR(TRIM([1]DATABASE!Q103)="RESERVED",TRIM([1]DATABASE!Q103)="PRE-RESERVED",TRIM([1]DATABASE!Q103)="PSPA"),[1]DATABASE!AA103=""),"Reserved/PSPA no PSPA Date",""),IF(AND(TRIM([1]DATABASE!Q103)="AVAILABLE",[1]DATABASE!AA103&lt;&gt;""),"Available has PSPA Date",""))</f>
        <v/>
      </c>
      <c r="G142" s="82" t="str">
        <f>_xlfn.TEXTJOIN("; ",TRUE,IF(AND([1]DATABASE!T103&lt;0.8*[1]DATABASE!S103,[1]DATABASE!T103&gt;0,[1]DATABASE!S103&gt;0),"Heavy Price Cut &gt;20%",""),IF(AND(OR(TRIM([1]DATABASE!Q103)="AVAILABLE",TRIM([1]DATABASE!Q103)="UPON REQUEST"),OR([1]DATABASE!T103="",[1]DATABASE!T103=0)),"Active Unit no Price",""),IF(AND(OR(TRIM([1]DATABASE!Q103)="AVAILABLE",TRIM([1]DATABASE!Q103)="RESERVED",TRIM([1]DATABASE!Q103)="PRE-RESERVED",TRIM([1]DATABASE!Q103)="PSPA"),[1]DATABASE!AC103=""),"Active no Owner",""),IF(OR([1]DATABASE!F103="",[1]DATABASE!F103&lt;=0),"Missing/Invalid Area",""),IF(AND([1]DATABASE!T103&gt;0,ABS([1]DATABASE!T103-[1]DATABASE!W103-[1]DATABASE!U103-[1]DATABASE!V103)&gt;1),"Price Bridge Mismatch",""))</f>
        <v/>
      </c>
      <c r="H142" t="str">
        <f t="shared" si="4"/>
        <v>PASS</v>
      </c>
      <c r="I142" s="90">
        <f>[1]DATABASE!T103</f>
        <v>775000</v>
      </c>
      <c r="J142" t="str">
        <f>[1]DATABASE!AC103</f>
        <v>João Gameiro</v>
      </c>
    </row>
    <row r="143" spans="1:10" ht="13.95" customHeight="1" x14ac:dyDescent="0.3">
      <c r="A143">
        <f>ROW([1]DATABASE!A104)</f>
        <v>104</v>
      </c>
      <c r="B143" t="str">
        <f>[1]DATABASE!AJ104</f>
        <v>Monte Rei</v>
      </c>
      <c r="C143" t="str">
        <f>[1]DATABASE!C104</f>
        <v>K</v>
      </c>
      <c r="D143" t="str">
        <f>TRIM([1]DATABASE!Q104)</f>
        <v>RESERVED</v>
      </c>
      <c r="E143" s="82" t="str">
        <f>_xlfn.TEXTJOIN("; ",TRUE,IF([1]DATABASE!X104&lt;0,"Negative Discount",""),IF(AND([1]DATABASE!Y104&gt;[1]DATABASE!T104,[1]DATABASE!Y104&gt;0,[1]DATABASE!T104&gt;0),"Sell Price &gt; Current",""),IF(AND(TRIM([1]DATABASE!Q104)="DEED",[1]DATABASE!AA104=""),"Deeded no PSPA Date",""),IF([1]DATABASE!E104="","Missing Typology",""),IF([1]DATABASE!AJ104="","Missing Development",""))</f>
        <v/>
      </c>
      <c r="F143" s="82" t="str">
        <f>_xlfn.TEXTJOIN("; ",TRUE,IF(AND(OR(TRIM([1]DATABASE!Q104)="RESERVED",TRIM([1]DATABASE!Q104)="PRE-RESERVED",TRIM([1]DATABASE!Q104)="PSPA"),[1]DATABASE!AA104=""),"Reserved/PSPA no PSPA Date",""),IF(AND(TRIM([1]DATABASE!Q104)="AVAILABLE",[1]DATABASE!AA104&lt;&gt;""),"Available has PSPA Date",""))</f>
        <v/>
      </c>
      <c r="G143" s="82" t="str">
        <f>_xlfn.TEXTJOIN("; ",TRUE,IF(AND([1]DATABASE!T104&lt;0.8*[1]DATABASE!S104,[1]DATABASE!T104&gt;0,[1]DATABASE!S104&gt;0),"Heavy Price Cut &gt;20%",""),IF(AND(OR(TRIM([1]DATABASE!Q104)="AVAILABLE",TRIM([1]DATABASE!Q104)="UPON REQUEST"),OR([1]DATABASE!T104="",[1]DATABASE!T104=0)),"Active Unit no Price",""),IF(AND(OR(TRIM([1]DATABASE!Q104)="AVAILABLE",TRIM([1]DATABASE!Q104)="RESERVED",TRIM([1]DATABASE!Q104)="PRE-RESERVED",TRIM([1]DATABASE!Q104)="PSPA"),[1]DATABASE!AC104=""),"Active no Owner",""),IF(OR([1]DATABASE!F104="",[1]DATABASE!F104&lt;=0),"Missing/Invalid Area",""),IF(AND([1]DATABASE!T104&gt;0,ABS([1]DATABASE!T104-[1]DATABASE!W104-[1]DATABASE!U104-[1]DATABASE!V104)&gt;1),"Price Bridge Mismatch",""))</f>
        <v>Heavy Price Cut &gt;20%</v>
      </c>
      <c r="H143" t="str">
        <f t="shared" si="4"/>
        <v>REVIEW</v>
      </c>
      <c r="I143" s="90">
        <f>[1]DATABASE!T104</f>
        <v>660000</v>
      </c>
      <c r="J143" t="str">
        <f>[1]DATABASE!AC104</f>
        <v>Sandra Viegas</v>
      </c>
    </row>
    <row r="144" spans="1:10" ht="13.95" customHeight="1" x14ac:dyDescent="0.3">
      <c r="A144">
        <f>ROW([1]DATABASE!A105)</f>
        <v>105</v>
      </c>
      <c r="B144" t="str">
        <f>[1]DATABASE!AJ105</f>
        <v>The Nine</v>
      </c>
      <c r="C144" t="str">
        <f>[1]DATABASE!C105</f>
        <v>AP</v>
      </c>
      <c r="D144" t="str">
        <f>TRIM([1]DATABASE!Q105)</f>
        <v>DEED</v>
      </c>
      <c r="E144" s="82" t="str">
        <f>_xlfn.TEXTJOIN("; ",TRUE,IF([1]DATABASE!X105&lt;0,"Negative Discount",""),IF(AND([1]DATABASE!Y105&gt;[1]DATABASE!T105,[1]DATABASE!Y105&gt;0,[1]DATABASE!T105&gt;0),"Sell Price &gt; Current",""),IF(AND(TRIM([1]DATABASE!Q105)="DEED",[1]DATABASE!AA105=""),"Deeded no PSPA Date",""),IF([1]DATABASE!E105="","Missing Typology",""),IF([1]DATABASE!AJ105="","Missing Development",""))</f>
        <v/>
      </c>
      <c r="F144" s="82" t="str">
        <f>_xlfn.TEXTJOIN("; ",TRUE,IF(AND(OR(TRIM([1]DATABASE!Q105)="RESERVED",TRIM([1]DATABASE!Q105)="PRE-RESERVED",TRIM([1]DATABASE!Q105)="PSPA"),[1]DATABASE!AA105=""),"Reserved/PSPA no PSPA Date",""),IF(AND(TRIM([1]DATABASE!Q105)="AVAILABLE",[1]DATABASE!AA105&lt;&gt;""),"Available has PSPA Date",""))</f>
        <v/>
      </c>
      <c r="G144" s="82" t="str">
        <f>_xlfn.TEXTJOIN("; ",TRUE,IF(AND([1]DATABASE!T105&lt;0.8*[1]DATABASE!S105,[1]DATABASE!T105&gt;0,[1]DATABASE!S105&gt;0),"Heavy Price Cut &gt;20%",""),IF(AND(OR(TRIM([1]DATABASE!Q105)="AVAILABLE",TRIM([1]DATABASE!Q105)="UPON REQUEST"),OR([1]DATABASE!T105="",[1]DATABASE!T105=0)),"Active Unit no Price",""),IF(AND(OR(TRIM([1]DATABASE!Q105)="AVAILABLE",TRIM([1]DATABASE!Q105)="RESERVED",TRIM([1]DATABASE!Q105)="PRE-RESERVED",TRIM([1]DATABASE!Q105)="PSPA"),[1]DATABASE!AC105=""),"Active no Owner",""),IF(OR([1]DATABASE!F105="",[1]DATABASE!F105&lt;=0),"Missing/Invalid Area",""),IF(AND([1]DATABASE!T105&gt;0,ABS([1]DATABASE!T105-[1]DATABASE!W105-[1]DATABASE!U105-[1]DATABASE!V105)&gt;1),"Price Bridge Mismatch",""))</f>
        <v/>
      </c>
      <c r="H144" t="str">
        <f t="shared" si="4"/>
        <v>PASS</v>
      </c>
      <c r="I144" s="90">
        <f>[1]DATABASE!T105</f>
        <v>840000</v>
      </c>
      <c r="J144" t="str">
        <f>[1]DATABASE!AC105</f>
        <v>Ana Damásio</v>
      </c>
    </row>
    <row r="145" spans="1:10" ht="13.95" customHeight="1" x14ac:dyDescent="0.3">
      <c r="A145">
        <f>ROW([1]DATABASE!A106)</f>
        <v>106</v>
      </c>
      <c r="B145" t="str">
        <f>[1]DATABASE!AJ106</f>
        <v>Nobilus</v>
      </c>
      <c r="C145" t="str">
        <f>[1]DATABASE!C106</f>
        <v>AQ</v>
      </c>
      <c r="D145" t="str">
        <f>TRIM([1]DATABASE!Q106)</f>
        <v>PSPA</v>
      </c>
      <c r="E145" s="82" t="str">
        <f>_xlfn.TEXTJOIN("; ",TRUE,IF([1]DATABASE!X106&lt;0,"Negative Discount",""),IF(AND([1]DATABASE!Y106&gt;[1]DATABASE!T106,[1]DATABASE!Y106&gt;0,[1]DATABASE!T106&gt;0),"Sell Price &gt; Current",""),IF(AND(TRIM([1]DATABASE!Q106)="DEED",[1]DATABASE!AA106=""),"Deeded no PSPA Date",""),IF([1]DATABASE!E106="","Missing Typology",""),IF([1]DATABASE!AJ106="","Missing Development",""))</f>
        <v/>
      </c>
      <c r="F145" s="82" t="str">
        <f>_xlfn.TEXTJOIN("; ",TRUE,IF(AND(OR(TRIM([1]DATABASE!Q106)="RESERVED",TRIM([1]DATABASE!Q106)="PRE-RESERVED",TRIM([1]DATABASE!Q106)="PSPA"),[1]DATABASE!AA106=""),"Reserved/PSPA no PSPA Date",""),IF(AND(TRIM([1]DATABASE!Q106)="AVAILABLE",[1]DATABASE!AA106&lt;&gt;""),"Available has PSPA Date",""))</f>
        <v/>
      </c>
      <c r="G145" s="82" t="str">
        <f>_xlfn.TEXTJOIN("; ",TRUE,IF(AND([1]DATABASE!T106&lt;0.8*[1]DATABASE!S106,[1]DATABASE!T106&gt;0,[1]DATABASE!S106&gt;0),"Heavy Price Cut &gt;20%",""),IF(AND(OR(TRIM([1]DATABASE!Q106)="AVAILABLE",TRIM([1]DATABASE!Q106)="UPON REQUEST"),OR([1]DATABASE!T106="",[1]DATABASE!T106=0)),"Active Unit no Price",""),IF(AND(OR(TRIM([1]DATABASE!Q106)="AVAILABLE",TRIM([1]DATABASE!Q106)="RESERVED",TRIM([1]DATABASE!Q106)="PRE-RESERVED",TRIM([1]DATABASE!Q106)="PSPA"),[1]DATABASE!AC106=""),"Active no Owner",""),IF(OR([1]DATABASE!F106="",[1]DATABASE!F106&lt;=0),"Missing/Invalid Area",""),IF(AND([1]DATABASE!T106&gt;0,ABS([1]DATABASE!T106-[1]DATABASE!W106-[1]DATABASE!U106-[1]DATABASE!V106)&gt;1),"Price Bridge Mismatch",""))</f>
        <v/>
      </c>
      <c r="H145" t="str">
        <f t="shared" si="4"/>
        <v>PASS</v>
      </c>
      <c r="I145" s="90">
        <f>[1]DATABASE!T106</f>
        <v>684000</v>
      </c>
      <c r="J145" t="str">
        <f>[1]DATABASE!AC106</f>
        <v>Ana Damásio</v>
      </c>
    </row>
    <row r="146" spans="1:10" ht="13.95" customHeight="1" x14ac:dyDescent="0.3">
      <c r="A146">
        <f>ROW([1]DATABASE!A107)</f>
        <v>107</v>
      </c>
      <c r="B146" t="str">
        <f>[1]DATABASE!AJ107</f>
        <v>Terracota</v>
      </c>
      <c r="C146" t="str">
        <f>[1]DATABASE!C107</f>
        <v>AQ</v>
      </c>
      <c r="D146" t="str">
        <f>TRIM([1]DATABASE!Q107)</f>
        <v>PSPA</v>
      </c>
      <c r="E146" s="82" t="str">
        <f>_xlfn.TEXTJOIN("; ",TRUE,IF([1]DATABASE!X107&lt;0,"Negative Discount",""),IF(AND([1]DATABASE!Y107&gt;[1]DATABASE!T107,[1]DATABASE!Y107&gt;0,[1]DATABASE!T107&gt;0),"Sell Price &gt; Current",""),IF(AND(TRIM([1]DATABASE!Q107)="DEED",[1]DATABASE!AA107=""),"Deeded no PSPA Date",""),IF([1]DATABASE!E107="","Missing Typology",""),IF([1]DATABASE!AJ107="","Missing Development",""))</f>
        <v/>
      </c>
      <c r="F146" s="82" t="str">
        <f>_xlfn.TEXTJOIN("; ",TRUE,IF(AND(OR(TRIM([1]DATABASE!Q107)="RESERVED",TRIM([1]DATABASE!Q107)="PRE-RESERVED",TRIM([1]DATABASE!Q107)="PSPA"),[1]DATABASE!AA107=""),"Reserved/PSPA no PSPA Date",""),IF(AND(TRIM([1]DATABASE!Q107)="AVAILABLE",[1]DATABASE!AA107&lt;&gt;""),"Available has PSPA Date",""))</f>
        <v/>
      </c>
      <c r="G146" s="82" t="str">
        <f>_xlfn.TEXTJOIN("; ",TRUE,IF(AND([1]DATABASE!T107&lt;0.8*[1]DATABASE!S107,[1]DATABASE!T107&gt;0,[1]DATABASE!S107&gt;0),"Heavy Price Cut &gt;20%",""),IF(AND(OR(TRIM([1]DATABASE!Q107)="AVAILABLE",TRIM([1]DATABASE!Q107)="UPON REQUEST"),OR([1]DATABASE!T107="",[1]DATABASE!T107=0)),"Active Unit no Price",""),IF(AND(OR(TRIM([1]DATABASE!Q107)="AVAILABLE",TRIM([1]DATABASE!Q107)="RESERVED",TRIM([1]DATABASE!Q107)="PRE-RESERVED",TRIM([1]DATABASE!Q107)="PSPA"),[1]DATABASE!AC107=""),"Active no Owner",""),IF(OR([1]DATABASE!F107="",[1]DATABASE!F107&lt;=0),"Missing/Invalid Area",""),IF(AND([1]DATABASE!T107&gt;0,ABS([1]DATABASE!T107-[1]DATABASE!W107-[1]DATABASE!U107-[1]DATABASE!V107)&gt;1),"Price Bridge Mismatch",""))</f>
        <v/>
      </c>
      <c r="H146" t="str">
        <f t="shared" si="4"/>
        <v>PASS</v>
      </c>
      <c r="I146" s="90">
        <f>[1]DATABASE!T107</f>
        <v>540000</v>
      </c>
      <c r="J146" t="str">
        <f>[1]DATABASE!AC107</f>
        <v>Ana Damásio</v>
      </c>
    </row>
    <row r="147" spans="1:10" ht="13.95" customHeight="1" x14ac:dyDescent="0.3">
      <c r="A147">
        <f>ROW([1]DATABASE!A108)</f>
        <v>108</v>
      </c>
      <c r="B147" t="str">
        <f>[1]DATABASE!AJ108</f>
        <v>Terracota</v>
      </c>
      <c r="C147" t="str">
        <f>[1]DATABASE!C108</f>
        <v>AR</v>
      </c>
      <c r="D147" t="str">
        <f>TRIM([1]DATABASE!Q108)</f>
        <v>PSPA</v>
      </c>
      <c r="E147" s="82" t="str">
        <f>_xlfn.TEXTJOIN("; ",TRUE,IF([1]DATABASE!X108&lt;0,"Negative Discount",""),IF(AND([1]DATABASE!Y108&gt;[1]DATABASE!T108,[1]DATABASE!Y108&gt;0,[1]DATABASE!T108&gt;0),"Sell Price &gt; Current",""),IF(AND(TRIM([1]DATABASE!Q108)="DEED",[1]DATABASE!AA108=""),"Deeded no PSPA Date",""),IF([1]DATABASE!E108="","Missing Typology",""),IF([1]DATABASE!AJ108="","Missing Development",""))</f>
        <v/>
      </c>
      <c r="F147" s="82" t="str">
        <f>_xlfn.TEXTJOIN("; ",TRUE,IF(AND(OR(TRIM([1]DATABASE!Q108)="RESERVED",TRIM([1]DATABASE!Q108)="PRE-RESERVED",TRIM([1]DATABASE!Q108)="PSPA"),[1]DATABASE!AA108=""),"Reserved/PSPA no PSPA Date",""),IF(AND(TRIM([1]DATABASE!Q108)="AVAILABLE",[1]DATABASE!AA108&lt;&gt;""),"Available has PSPA Date",""))</f>
        <v/>
      </c>
      <c r="G147" s="82" t="str">
        <f>_xlfn.TEXTJOIN("; ",TRUE,IF(AND([1]DATABASE!T108&lt;0.8*[1]DATABASE!S108,[1]DATABASE!T108&gt;0,[1]DATABASE!S108&gt;0),"Heavy Price Cut &gt;20%",""),IF(AND(OR(TRIM([1]DATABASE!Q108)="AVAILABLE",TRIM([1]DATABASE!Q108)="UPON REQUEST"),OR([1]DATABASE!T108="",[1]DATABASE!T108=0)),"Active Unit no Price",""),IF(AND(OR(TRIM([1]DATABASE!Q108)="AVAILABLE",TRIM([1]DATABASE!Q108)="RESERVED",TRIM([1]DATABASE!Q108)="PRE-RESERVED",TRIM([1]DATABASE!Q108)="PSPA"),[1]DATABASE!AC108=""),"Active no Owner",""),IF(OR([1]DATABASE!F108="",[1]DATABASE!F108&lt;=0),"Missing/Invalid Area",""),IF(AND([1]DATABASE!T108&gt;0,ABS([1]DATABASE!T108-[1]DATABASE!W108-[1]DATABASE!U108-[1]DATABASE!V108)&gt;1),"Price Bridge Mismatch",""))</f>
        <v/>
      </c>
      <c r="H147" t="str">
        <f t="shared" si="4"/>
        <v>PASS</v>
      </c>
      <c r="I147" s="90">
        <f>[1]DATABASE!T108</f>
        <v>565000</v>
      </c>
      <c r="J147" t="str">
        <f>[1]DATABASE!AC108</f>
        <v>Ana Damásio</v>
      </c>
    </row>
    <row r="148" spans="1:10" ht="13.95" customHeight="1" x14ac:dyDescent="0.3">
      <c r="A148">
        <f>ROW([1]DATABASE!A109)</f>
        <v>109</v>
      </c>
      <c r="B148" t="str">
        <f>[1]DATABASE!AJ109</f>
        <v>The Nine</v>
      </c>
      <c r="C148" t="str">
        <f>[1]DATABASE!C109</f>
        <v>AQ</v>
      </c>
      <c r="D148" t="str">
        <f>TRIM([1]DATABASE!Q109)</f>
        <v>DEED</v>
      </c>
      <c r="E148" s="82" t="str">
        <f>_xlfn.TEXTJOIN("; ",TRUE,IF([1]DATABASE!X109&lt;0,"Negative Discount",""),IF(AND([1]DATABASE!Y109&gt;[1]DATABASE!T109,[1]DATABASE!Y109&gt;0,[1]DATABASE!T109&gt;0),"Sell Price &gt; Current",""),IF(AND(TRIM([1]DATABASE!Q109)="DEED",[1]DATABASE!AA109=""),"Deeded no PSPA Date",""),IF([1]DATABASE!E109="","Missing Typology",""),IF([1]DATABASE!AJ109="","Missing Development",""))</f>
        <v/>
      </c>
      <c r="F148" s="82" t="str">
        <f>_xlfn.TEXTJOIN("; ",TRUE,IF(AND(OR(TRIM([1]DATABASE!Q109)="RESERVED",TRIM([1]DATABASE!Q109)="PRE-RESERVED",TRIM([1]DATABASE!Q109)="PSPA"),[1]DATABASE!AA109=""),"Reserved/PSPA no PSPA Date",""),IF(AND(TRIM([1]DATABASE!Q109)="AVAILABLE",[1]DATABASE!AA109&lt;&gt;""),"Available has PSPA Date",""))</f>
        <v/>
      </c>
      <c r="G148" s="82" t="str">
        <f>_xlfn.TEXTJOIN("; ",TRUE,IF(AND([1]DATABASE!T109&lt;0.8*[1]DATABASE!S109,[1]DATABASE!T109&gt;0,[1]DATABASE!S109&gt;0),"Heavy Price Cut &gt;20%",""),IF(AND(OR(TRIM([1]DATABASE!Q109)="AVAILABLE",TRIM([1]DATABASE!Q109)="UPON REQUEST"),OR([1]DATABASE!T109="",[1]DATABASE!T109=0)),"Active Unit no Price",""),IF(AND(OR(TRIM([1]DATABASE!Q109)="AVAILABLE",TRIM([1]DATABASE!Q109)="RESERVED",TRIM([1]DATABASE!Q109)="PRE-RESERVED",TRIM([1]DATABASE!Q109)="PSPA"),[1]DATABASE!AC109=""),"Active no Owner",""),IF(OR([1]DATABASE!F109="",[1]DATABASE!F109&lt;=0),"Missing/Invalid Area",""),IF(AND([1]DATABASE!T109&gt;0,ABS([1]DATABASE!T109-[1]DATABASE!W109-[1]DATABASE!U109-[1]DATABASE!V109)&gt;1),"Price Bridge Mismatch",""))</f>
        <v/>
      </c>
      <c r="H148" t="str">
        <f t="shared" si="4"/>
        <v>PASS</v>
      </c>
      <c r="I148" s="90">
        <f>[1]DATABASE!T109</f>
        <v>1150000</v>
      </c>
      <c r="J148" t="str">
        <f>[1]DATABASE!AC109</f>
        <v>Ana Damásio</v>
      </c>
    </row>
    <row r="149" spans="1:10" ht="13.95" customHeight="1" x14ac:dyDescent="0.3">
      <c r="A149">
        <f>ROW([1]DATABASE!A110)</f>
        <v>110</v>
      </c>
      <c r="B149" t="str">
        <f>[1]DATABASE!AJ110</f>
        <v>Terracota</v>
      </c>
      <c r="C149" t="str">
        <f>[1]DATABASE!C110</f>
        <v>AS</v>
      </c>
      <c r="D149" t="str">
        <f>TRIM([1]DATABASE!Q110)</f>
        <v>PSPA</v>
      </c>
      <c r="E149" s="82" t="str">
        <f>_xlfn.TEXTJOIN("; ",TRUE,IF([1]DATABASE!X110&lt;0,"Negative Discount",""),IF(AND([1]DATABASE!Y110&gt;[1]DATABASE!T110,[1]DATABASE!Y110&gt;0,[1]DATABASE!T110&gt;0),"Sell Price &gt; Current",""),IF(AND(TRIM([1]DATABASE!Q110)="DEED",[1]DATABASE!AA110=""),"Deeded no PSPA Date",""),IF([1]DATABASE!E110="","Missing Typology",""),IF([1]DATABASE!AJ110="","Missing Development",""))</f>
        <v/>
      </c>
      <c r="F149" s="82" t="str">
        <f>_xlfn.TEXTJOIN("; ",TRUE,IF(AND(OR(TRIM([1]DATABASE!Q110)="RESERVED",TRIM([1]DATABASE!Q110)="PRE-RESERVED",TRIM([1]DATABASE!Q110)="PSPA"),[1]DATABASE!AA110=""),"Reserved/PSPA no PSPA Date",""),IF(AND(TRIM([1]DATABASE!Q110)="AVAILABLE",[1]DATABASE!AA110&lt;&gt;""),"Available has PSPA Date",""))</f>
        <v/>
      </c>
      <c r="G149" s="82" t="str">
        <f>_xlfn.TEXTJOIN("; ",TRUE,IF(AND([1]DATABASE!T110&lt;0.8*[1]DATABASE!S110,[1]DATABASE!T110&gt;0,[1]DATABASE!S110&gt;0),"Heavy Price Cut &gt;20%",""),IF(AND(OR(TRIM([1]DATABASE!Q110)="AVAILABLE",TRIM([1]DATABASE!Q110)="UPON REQUEST"),OR([1]DATABASE!T110="",[1]DATABASE!T110=0)),"Active Unit no Price",""),IF(AND(OR(TRIM([1]DATABASE!Q110)="AVAILABLE",TRIM([1]DATABASE!Q110)="RESERVED",TRIM([1]DATABASE!Q110)="PRE-RESERVED",TRIM([1]DATABASE!Q110)="PSPA"),[1]DATABASE!AC110=""),"Active no Owner",""),IF(OR([1]DATABASE!F110="",[1]DATABASE!F110&lt;=0),"Missing/Invalid Area",""),IF(AND([1]DATABASE!T110&gt;0,ABS([1]DATABASE!T110-[1]DATABASE!W110-[1]DATABASE!U110-[1]DATABASE!V110)&gt;1),"Price Bridge Mismatch",""))</f>
        <v/>
      </c>
      <c r="H149" t="str">
        <f t="shared" si="4"/>
        <v>PASS</v>
      </c>
      <c r="I149" s="90">
        <f>[1]DATABASE!T110</f>
        <v>565000</v>
      </c>
      <c r="J149" t="str">
        <f>[1]DATABASE!AC110</f>
        <v>Ana Damásio</v>
      </c>
    </row>
    <row r="150" spans="1:10" ht="13.95" customHeight="1" x14ac:dyDescent="0.3">
      <c r="A150">
        <f>ROW([1]DATABASE!A111)</f>
        <v>111</v>
      </c>
      <c r="B150" t="str">
        <f>[1]DATABASE!AJ111</f>
        <v>The Nine</v>
      </c>
      <c r="C150" t="str">
        <f>[1]DATABASE!C111</f>
        <v>AR</v>
      </c>
      <c r="D150" t="str">
        <f>TRIM([1]DATABASE!Q111)</f>
        <v>DEED</v>
      </c>
      <c r="E150" s="82" t="str">
        <f>_xlfn.TEXTJOIN("; ",TRUE,IF([1]DATABASE!X111&lt;0,"Negative Discount",""),IF(AND([1]DATABASE!Y111&gt;[1]DATABASE!T111,[1]DATABASE!Y111&gt;0,[1]DATABASE!T111&gt;0),"Sell Price &gt; Current",""),IF(AND(TRIM([1]DATABASE!Q111)="DEED",[1]DATABASE!AA111=""),"Deeded no PSPA Date",""),IF([1]DATABASE!E111="","Missing Typology",""),IF([1]DATABASE!AJ111="","Missing Development",""))</f>
        <v/>
      </c>
      <c r="F150" s="82" t="str">
        <f>_xlfn.TEXTJOIN("; ",TRUE,IF(AND(OR(TRIM([1]DATABASE!Q111)="RESERVED",TRIM([1]DATABASE!Q111)="PRE-RESERVED",TRIM([1]DATABASE!Q111)="PSPA"),[1]DATABASE!AA111=""),"Reserved/PSPA no PSPA Date",""),IF(AND(TRIM([1]DATABASE!Q111)="AVAILABLE",[1]DATABASE!AA111&lt;&gt;""),"Available has PSPA Date",""))</f>
        <v/>
      </c>
      <c r="G150" s="82" t="str">
        <f>_xlfn.TEXTJOIN("; ",TRUE,IF(AND([1]DATABASE!T111&lt;0.8*[1]DATABASE!S111,[1]DATABASE!T111&gt;0,[1]DATABASE!S111&gt;0),"Heavy Price Cut &gt;20%",""),IF(AND(OR(TRIM([1]DATABASE!Q111)="AVAILABLE",TRIM([1]DATABASE!Q111)="UPON REQUEST"),OR([1]DATABASE!T111="",[1]DATABASE!T111=0)),"Active Unit no Price",""),IF(AND(OR(TRIM([1]DATABASE!Q111)="AVAILABLE",TRIM([1]DATABASE!Q111)="RESERVED",TRIM([1]DATABASE!Q111)="PRE-RESERVED",TRIM([1]DATABASE!Q111)="PSPA"),[1]DATABASE!AC111=""),"Active no Owner",""),IF(OR([1]DATABASE!F111="",[1]DATABASE!F111&lt;=0),"Missing/Invalid Area",""),IF(AND([1]DATABASE!T111&gt;0,ABS([1]DATABASE!T111-[1]DATABASE!W111-[1]DATABASE!U111-[1]DATABASE!V111)&gt;1),"Price Bridge Mismatch",""))</f>
        <v/>
      </c>
      <c r="H150" t="str">
        <f t="shared" si="4"/>
        <v>PASS</v>
      </c>
      <c r="I150" s="90">
        <f>[1]DATABASE!T111</f>
        <v>1040000</v>
      </c>
      <c r="J150" t="str">
        <f>[1]DATABASE!AC111</f>
        <v>Ana Damásio</v>
      </c>
    </row>
    <row r="151" spans="1:10" ht="13.95" customHeight="1" x14ac:dyDescent="0.3">
      <c r="A151">
        <f>ROW([1]DATABASE!A112)</f>
        <v>112</v>
      </c>
      <c r="B151" t="str">
        <f>[1]DATABASE!AJ112</f>
        <v>Terracota</v>
      </c>
      <c r="C151" t="str">
        <f>[1]DATABASE!C112</f>
        <v>AT</v>
      </c>
      <c r="D151" t="str">
        <f>TRIM([1]DATABASE!Q112)</f>
        <v>PSPA</v>
      </c>
      <c r="E151" s="82" t="str">
        <f>_xlfn.TEXTJOIN("; ",TRUE,IF([1]DATABASE!X112&lt;0,"Negative Discount",""),IF(AND([1]DATABASE!Y112&gt;[1]DATABASE!T112,[1]DATABASE!Y112&gt;0,[1]DATABASE!T112&gt;0),"Sell Price &gt; Current",""),IF(AND(TRIM([1]DATABASE!Q112)="DEED",[1]DATABASE!AA112=""),"Deeded no PSPA Date",""),IF([1]DATABASE!E112="","Missing Typology",""),IF([1]DATABASE!AJ112="","Missing Development",""))</f>
        <v/>
      </c>
      <c r="F151" s="82" t="str">
        <f>_xlfn.TEXTJOIN("; ",TRUE,IF(AND(OR(TRIM([1]DATABASE!Q112)="RESERVED",TRIM([1]DATABASE!Q112)="PRE-RESERVED",TRIM([1]DATABASE!Q112)="PSPA"),[1]DATABASE!AA112=""),"Reserved/PSPA no PSPA Date",""),IF(AND(TRIM([1]DATABASE!Q112)="AVAILABLE",[1]DATABASE!AA112&lt;&gt;""),"Available has PSPA Date",""))</f>
        <v/>
      </c>
      <c r="G151" s="82" t="str">
        <f>_xlfn.TEXTJOIN("; ",TRUE,IF(AND([1]DATABASE!T112&lt;0.8*[1]DATABASE!S112,[1]DATABASE!T112&gt;0,[1]DATABASE!S112&gt;0),"Heavy Price Cut &gt;20%",""),IF(AND(OR(TRIM([1]DATABASE!Q112)="AVAILABLE",TRIM([1]DATABASE!Q112)="UPON REQUEST"),OR([1]DATABASE!T112="",[1]DATABASE!T112=0)),"Active Unit no Price",""),IF(AND(OR(TRIM([1]DATABASE!Q112)="AVAILABLE",TRIM([1]DATABASE!Q112)="RESERVED",TRIM([1]DATABASE!Q112)="PRE-RESERVED",TRIM([1]DATABASE!Q112)="PSPA"),[1]DATABASE!AC112=""),"Active no Owner",""),IF(OR([1]DATABASE!F112="",[1]DATABASE!F112&lt;=0),"Missing/Invalid Area",""),IF(AND([1]DATABASE!T112&gt;0,ABS([1]DATABASE!T112-[1]DATABASE!W112-[1]DATABASE!U112-[1]DATABASE!V112)&gt;1),"Price Bridge Mismatch",""))</f>
        <v/>
      </c>
      <c r="H151" t="str">
        <f t="shared" si="4"/>
        <v>PASS</v>
      </c>
      <c r="I151" s="90">
        <f>[1]DATABASE!T112</f>
        <v>555000</v>
      </c>
      <c r="J151" t="str">
        <f>[1]DATABASE!AC112</f>
        <v>Ana Damásio</v>
      </c>
    </row>
    <row r="152" spans="1:10" ht="13.95" customHeight="1" x14ac:dyDescent="0.3">
      <c r="A152">
        <f>ROW([1]DATABASE!A113)</f>
        <v>113</v>
      </c>
      <c r="B152" t="str">
        <f>[1]DATABASE!AJ113</f>
        <v>Palmares</v>
      </c>
      <c r="C152" t="str">
        <f>[1]DATABASE!C113</f>
        <v>822B</v>
      </c>
      <c r="D152" t="str">
        <f>TRIM([1]DATABASE!Q113)</f>
        <v>PSPA</v>
      </c>
      <c r="E152" s="82" t="str">
        <f>_xlfn.TEXTJOIN("; ",TRUE,IF([1]DATABASE!X113&lt;0,"Negative Discount",""),IF(AND([1]DATABASE!Y113&gt;[1]DATABASE!T113,[1]DATABASE!Y113&gt;0,[1]DATABASE!T113&gt;0),"Sell Price &gt; Current",""),IF(AND(TRIM([1]DATABASE!Q113)="DEED",[1]DATABASE!AA113=""),"Deeded no PSPA Date",""),IF([1]DATABASE!E113="","Missing Typology",""),IF([1]DATABASE!AJ113="","Missing Development",""))</f>
        <v/>
      </c>
      <c r="F152" s="82" t="str">
        <f>_xlfn.TEXTJOIN("; ",TRUE,IF(AND(OR(TRIM([1]DATABASE!Q113)="RESERVED",TRIM([1]DATABASE!Q113)="PRE-RESERVED",TRIM([1]DATABASE!Q113)="PSPA"),[1]DATABASE!AA113=""),"Reserved/PSPA no PSPA Date",""),IF(AND(TRIM([1]DATABASE!Q113)="AVAILABLE",[1]DATABASE!AA113&lt;&gt;""),"Available has PSPA Date",""))</f>
        <v/>
      </c>
      <c r="G152" s="82" t="str">
        <f>_xlfn.TEXTJOIN("; ",TRUE,IF(AND([1]DATABASE!T113&lt;0.8*[1]DATABASE!S113,[1]DATABASE!T113&gt;0,[1]DATABASE!S113&gt;0),"Heavy Price Cut &gt;20%",""),IF(AND(OR(TRIM([1]DATABASE!Q113)="AVAILABLE",TRIM([1]DATABASE!Q113)="UPON REQUEST"),OR([1]DATABASE!T113="",[1]DATABASE!T113=0)),"Active Unit no Price",""),IF(AND(OR(TRIM([1]DATABASE!Q113)="AVAILABLE",TRIM([1]DATABASE!Q113)="RESERVED",TRIM([1]DATABASE!Q113)="PRE-RESERVED",TRIM([1]DATABASE!Q113)="PSPA"),[1]DATABASE!AC113=""),"Active no Owner",""),IF(OR([1]DATABASE!F113="",[1]DATABASE!F113&lt;=0),"Missing/Invalid Area",""),IF(AND([1]DATABASE!T113&gt;0,ABS([1]DATABASE!T113-[1]DATABASE!W113-[1]DATABASE!U113-[1]DATABASE!V113)&gt;1),"Price Bridge Mismatch",""))</f>
        <v>Active no Owner</v>
      </c>
      <c r="H152" t="str">
        <f t="shared" si="4"/>
        <v>REVIEW</v>
      </c>
      <c r="I152" s="90">
        <f>[1]DATABASE!T113</f>
        <v>1550000</v>
      </c>
      <c r="J152">
        <f>[1]DATABASE!AC113</f>
        <v>0</v>
      </c>
    </row>
    <row r="153" spans="1:10" ht="13.95" customHeight="1" x14ac:dyDescent="0.3">
      <c r="A153">
        <f>ROW([1]DATABASE!A114)</f>
        <v>114</v>
      </c>
      <c r="B153" t="str">
        <f>[1]DATABASE!AJ114</f>
        <v>The Nine</v>
      </c>
      <c r="C153" t="str">
        <f>[1]DATABASE!C114</f>
        <v>AT</v>
      </c>
      <c r="D153" t="str">
        <f>TRIM([1]DATABASE!Q114)</f>
        <v>DEED</v>
      </c>
      <c r="E153" s="82" t="str">
        <f>_xlfn.TEXTJOIN("; ",TRUE,IF([1]DATABASE!X114&lt;0,"Negative Discount",""),IF(AND([1]DATABASE!Y114&gt;[1]DATABASE!T114,[1]DATABASE!Y114&gt;0,[1]DATABASE!T114&gt;0),"Sell Price &gt; Current",""),IF(AND(TRIM([1]DATABASE!Q114)="DEED",[1]DATABASE!AA114=""),"Deeded no PSPA Date",""),IF([1]DATABASE!E114="","Missing Typology",""),IF([1]DATABASE!AJ114="","Missing Development",""))</f>
        <v/>
      </c>
      <c r="F153" s="82" t="str">
        <f>_xlfn.TEXTJOIN("; ",TRUE,IF(AND(OR(TRIM([1]DATABASE!Q114)="RESERVED",TRIM([1]DATABASE!Q114)="PRE-RESERVED",TRIM([1]DATABASE!Q114)="PSPA"),[1]DATABASE!AA114=""),"Reserved/PSPA no PSPA Date",""),IF(AND(TRIM([1]DATABASE!Q114)="AVAILABLE",[1]DATABASE!AA114&lt;&gt;""),"Available has PSPA Date",""))</f>
        <v/>
      </c>
      <c r="G153" s="82" t="str">
        <f>_xlfn.TEXTJOIN("; ",TRUE,IF(AND([1]DATABASE!T114&lt;0.8*[1]DATABASE!S114,[1]DATABASE!T114&gt;0,[1]DATABASE!S114&gt;0),"Heavy Price Cut &gt;20%",""),IF(AND(OR(TRIM([1]DATABASE!Q114)="AVAILABLE",TRIM([1]DATABASE!Q114)="UPON REQUEST"),OR([1]DATABASE!T114="",[1]DATABASE!T114=0)),"Active Unit no Price",""),IF(AND(OR(TRIM([1]DATABASE!Q114)="AVAILABLE",TRIM([1]DATABASE!Q114)="RESERVED",TRIM([1]DATABASE!Q114)="PRE-RESERVED",TRIM([1]DATABASE!Q114)="PSPA"),[1]DATABASE!AC114=""),"Active no Owner",""),IF(OR([1]DATABASE!F114="",[1]DATABASE!F114&lt;=0),"Missing/Invalid Area",""),IF(AND([1]DATABASE!T114&gt;0,ABS([1]DATABASE!T114-[1]DATABASE!W114-[1]DATABASE!U114-[1]DATABASE!V114)&gt;1),"Price Bridge Mismatch",""))</f>
        <v/>
      </c>
      <c r="H153" t="str">
        <f t="shared" si="4"/>
        <v>PASS</v>
      </c>
      <c r="I153" s="90">
        <f>[1]DATABASE!T114</f>
        <v>830000</v>
      </c>
      <c r="J153" t="str">
        <f>[1]DATABASE!AC114</f>
        <v>Ana Damásio</v>
      </c>
    </row>
    <row r="154" spans="1:10" ht="13.95" customHeight="1" x14ac:dyDescent="0.3">
      <c r="A154">
        <f>ROW([1]DATABASE!A115)</f>
        <v>115</v>
      </c>
      <c r="B154" t="str">
        <f>[1]DATABASE!AJ115</f>
        <v>Aroeira Collections</v>
      </c>
      <c r="C154" t="str">
        <f>[1]DATABASE!C115</f>
        <v>112B</v>
      </c>
      <c r="D154" t="str">
        <f>TRIM([1]DATABASE!Q115)</f>
        <v>PSPA</v>
      </c>
      <c r="E154" s="82" t="str">
        <f>_xlfn.TEXTJOIN("; ",TRUE,IF([1]DATABASE!X115&lt;0,"Negative Discount",""),IF(AND([1]DATABASE!Y115&gt;[1]DATABASE!T115,[1]DATABASE!Y115&gt;0,[1]DATABASE!T115&gt;0),"Sell Price &gt; Current",""),IF(AND(TRIM([1]DATABASE!Q115)="DEED",[1]DATABASE!AA115=""),"Deeded no PSPA Date",""),IF([1]DATABASE!E115="","Missing Typology",""),IF([1]DATABASE!AJ115="","Missing Development",""))</f>
        <v/>
      </c>
      <c r="F154" s="82" t="str">
        <f>_xlfn.TEXTJOIN("; ",TRUE,IF(AND(OR(TRIM([1]DATABASE!Q115)="RESERVED",TRIM([1]DATABASE!Q115)="PRE-RESERVED",TRIM([1]DATABASE!Q115)="PSPA"),[1]DATABASE!AA115=""),"Reserved/PSPA no PSPA Date",""),IF(AND(TRIM([1]DATABASE!Q115)="AVAILABLE",[1]DATABASE!AA115&lt;&gt;""),"Available has PSPA Date",""))</f>
        <v/>
      </c>
      <c r="G154" s="82" t="str">
        <f>_xlfn.TEXTJOIN("; ",TRUE,IF(AND([1]DATABASE!T115&lt;0.8*[1]DATABASE!S115,[1]DATABASE!T115&gt;0,[1]DATABASE!S115&gt;0),"Heavy Price Cut &gt;20%",""),IF(AND(OR(TRIM([1]DATABASE!Q115)="AVAILABLE",TRIM([1]DATABASE!Q115)="UPON REQUEST"),OR([1]DATABASE!T115="",[1]DATABASE!T115=0)),"Active Unit no Price",""),IF(AND(OR(TRIM([1]DATABASE!Q115)="AVAILABLE",TRIM([1]DATABASE!Q115)="RESERVED",TRIM([1]DATABASE!Q115)="PRE-RESERVED",TRIM([1]DATABASE!Q115)="PSPA"),[1]DATABASE!AC115=""),"Active no Owner",""),IF(OR([1]DATABASE!F115="",[1]DATABASE!F115&lt;=0),"Missing/Invalid Area",""),IF(AND([1]DATABASE!T115&gt;0,ABS([1]DATABASE!T115-[1]DATABASE!W115-[1]DATABASE!U115-[1]DATABASE!V115)&gt;1),"Price Bridge Mismatch",""))</f>
        <v/>
      </c>
      <c r="H154" t="str">
        <f t="shared" si="4"/>
        <v>PASS</v>
      </c>
      <c r="I154" s="90">
        <f>[1]DATABASE!T115</f>
        <v>840000</v>
      </c>
      <c r="J154" t="str">
        <f>[1]DATABASE!AC115</f>
        <v>João Gameiro</v>
      </c>
    </row>
    <row r="155" spans="1:10" ht="13.95" customHeight="1" x14ac:dyDescent="0.3">
      <c r="A155">
        <f>ROW([1]DATABASE!A116)</f>
        <v>116</v>
      </c>
      <c r="B155" t="str">
        <f>[1]DATABASE!AJ116</f>
        <v>Terracota</v>
      </c>
      <c r="C155" t="str">
        <f>[1]DATABASE!C116</f>
        <v>AW</v>
      </c>
      <c r="D155" t="str">
        <f>TRIM([1]DATABASE!Q116)</f>
        <v>PSPA</v>
      </c>
      <c r="E155" s="82" t="str">
        <f>_xlfn.TEXTJOIN("; ",TRUE,IF([1]DATABASE!X116&lt;0,"Negative Discount",""),IF(AND([1]DATABASE!Y116&gt;[1]DATABASE!T116,[1]DATABASE!Y116&gt;0,[1]DATABASE!T116&gt;0),"Sell Price &gt; Current",""),IF(AND(TRIM([1]DATABASE!Q116)="DEED",[1]DATABASE!AA116=""),"Deeded no PSPA Date",""),IF([1]DATABASE!E116="","Missing Typology",""),IF([1]DATABASE!AJ116="","Missing Development",""))</f>
        <v/>
      </c>
      <c r="F155" s="82" t="str">
        <f>_xlfn.TEXTJOIN("; ",TRUE,IF(AND(OR(TRIM([1]DATABASE!Q116)="RESERVED",TRIM([1]DATABASE!Q116)="PRE-RESERVED",TRIM([1]DATABASE!Q116)="PSPA"),[1]DATABASE!AA116=""),"Reserved/PSPA no PSPA Date",""),IF(AND(TRIM([1]DATABASE!Q116)="AVAILABLE",[1]DATABASE!AA116&lt;&gt;""),"Available has PSPA Date",""))</f>
        <v/>
      </c>
      <c r="G155" s="82" t="str">
        <f>_xlfn.TEXTJOIN("; ",TRUE,IF(AND([1]DATABASE!T116&lt;0.8*[1]DATABASE!S116,[1]DATABASE!T116&gt;0,[1]DATABASE!S116&gt;0),"Heavy Price Cut &gt;20%",""),IF(AND(OR(TRIM([1]DATABASE!Q116)="AVAILABLE",TRIM([1]DATABASE!Q116)="UPON REQUEST"),OR([1]DATABASE!T116="",[1]DATABASE!T116=0)),"Active Unit no Price",""),IF(AND(OR(TRIM([1]DATABASE!Q116)="AVAILABLE",TRIM([1]DATABASE!Q116)="RESERVED",TRIM([1]DATABASE!Q116)="PRE-RESERVED",TRIM([1]DATABASE!Q116)="PSPA"),[1]DATABASE!AC116=""),"Active no Owner",""),IF(OR([1]DATABASE!F116="",[1]DATABASE!F116&lt;=0),"Missing/Invalid Area",""),IF(AND([1]DATABASE!T116&gt;0,ABS([1]DATABASE!T116-[1]DATABASE!W116-[1]DATABASE!U116-[1]DATABASE!V116)&gt;1),"Price Bridge Mismatch",""))</f>
        <v/>
      </c>
      <c r="H155" t="str">
        <f t="shared" si="4"/>
        <v>PASS</v>
      </c>
      <c r="I155" s="90">
        <f>[1]DATABASE!T116</f>
        <v>710000</v>
      </c>
      <c r="J155" t="str">
        <f>[1]DATABASE!AC116</f>
        <v>Ana Damásio</v>
      </c>
    </row>
    <row r="156" spans="1:10" ht="13.95" customHeight="1" x14ac:dyDescent="0.3">
      <c r="A156">
        <f>ROW([1]DATABASE!A117)</f>
        <v>117</v>
      </c>
      <c r="B156" t="str">
        <f>[1]DATABASE!AJ117</f>
        <v>The Nine</v>
      </c>
      <c r="C156" t="str">
        <f>[1]DATABASE!C117</f>
        <v>AU</v>
      </c>
      <c r="D156" t="str">
        <f>TRIM([1]DATABASE!Q117)</f>
        <v>DEED</v>
      </c>
      <c r="E156" s="82" t="str">
        <f>_xlfn.TEXTJOIN("; ",TRUE,IF([1]DATABASE!X117&lt;0,"Negative Discount",""),IF(AND([1]DATABASE!Y117&gt;[1]DATABASE!T117,[1]DATABASE!Y117&gt;0,[1]DATABASE!T117&gt;0),"Sell Price &gt; Current",""),IF(AND(TRIM([1]DATABASE!Q117)="DEED",[1]DATABASE!AA117=""),"Deeded no PSPA Date",""),IF([1]DATABASE!E117="","Missing Typology",""),IF([1]DATABASE!AJ117="","Missing Development",""))</f>
        <v/>
      </c>
      <c r="F156" s="82" t="str">
        <f>_xlfn.TEXTJOIN("; ",TRUE,IF(AND(OR(TRIM([1]DATABASE!Q117)="RESERVED",TRIM([1]DATABASE!Q117)="PRE-RESERVED",TRIM([1]DATABASE!Q117)="PSPA"),[1]DATABASE!AA117=""),"Reserved/PSPA no PSPA Date",""),IF(AND(TRIM([1]DATABASE!Q117)="AVAILABLE",[1]DATABASE!AA117&lt;&gt;""),"Available has PSPA Date",""))</f>
        <v/>
      </c>
      <c r="G156" s="82" t="str">
        <f>_xlfn.TEXTJOIN("; ",TRUE,IF(AND([1]DATABASE!T117&lt;0.8*[1]DATABASE!S117,[1]DATABASE!T117&gt;0,[1]DATABASE!S117&gt;0),"Heavy Price Cut &gt;20%",""),IF(AND(OR(TRIM([1]DATABASE!Q117)="AVAILABLE",TRIM([1]DATABASE!Q117)="UPON REQUEST"),OR([1]DATABASE!T117="",[1]DATABASE!T117=0)),"Active Unit no Price",""),IF(AND(OR(TRIM([1]DATABASE!Q117)="AVAILABLE",TRIM([1]DATABASE!Q117)="RESERVED",TRIM([1]DATABASE!Q117)="PRE-RESERVED",TRIM([1]DATABASE!Q117)="PSPA"),[1]DATABASE!AC117=""),"Active no Owner",""),IF(OR([1]DATABASE!F117="",[1]DATABASE!F117&lt;=0),"Missing/Invalid Area",""),IF(AND([1]DATABASE!T117&gt;0,ABS([1]DATABASE!T117-[1]DATABASE!W117-[1]DATABASE!U117-[1]DATABASE!V117)&gt;1),"Price Bridge Mismatch",""))</f>
        <v/>
      </c>
      <c r="H156" t="str">
        <f t="shared" si="4"/>
        <v>PASS</v>
      </c>
      <c r="I156" s="90">
        <f>[1]DATABASE!T117</f>
        <v>1050000</v>
      </c>
      <c r="J156" t="str">
        <f>[1]DATABASE!AC117</f>
        <v>Ana Damásio</v>
      </c>
    </row>
    <row r="157" spans="1:10" ht="13.95" customHeight="1" x14ac:dyDescent="0.3">
      <c r="A157">
        <f>ROW([1]DATABASE!A118)</f>
        <v>118</v>
      </c>
      <c r="B157" t="str">
        <f>[1]DATABASE!AJ118</f>
        <v>The Nine</v>
      </c>
      <c r="C157" t="str">
        <f>[1]DATABASE!C118</f>
        <v>AV</v>
      </c>
      <c r="D157" t="str">
        <f>TRIM([1]DATABASE!Q118)</f>
        <v>DEED</v>
      </c>
      <c r="E157" s="82" t="str">
        <f>_xlfn.TEXTJOIN("; ",TRUE,IF([1]DATABASE!X118&lt;0,"Negative Discount",""),IF(AND([1]DATABASE!Y118&gt;[1]DATABASE!T118,[1]DATABASE!Y118&gt;0,[1]DATABASE!T118&gt;0),"Sell Price &gt; Current",""),IF(AND(TRIM([1]DATABASE!Q118)="DEED",[1]DATABASE!AA118=""),"Deeded no PSPA Date",""),IF([1]DATABASE!E118="","Missing Typology",""),IF([1]DATABASE!AJ118="","Missing Development",""))</f>
        <v/>
      </c>
      <c r="F157" s="82" t="str">
        <f>_xlfn.TEXTJOIN("; ",TRUE,IF(AND(OR(TRIM([1]DATABASE!Q118)="RESERVED",TRIM([1]DATABASE!Q118)="PRE-RESERVED",TRIM([1]DATABASE!Q118)="PSPA"),[1]DATABASE!AA118=""),"Reserved/PSPA no PSPA Date",""),IF(AND(TRIM([1]DATABASE!Q118)="AVAILABLE",[1]DATABASE!AA118&lt;&gt;""),"Available has PSPA Date",""))</f>
        <v/>
      </c>
      <c r="G157" s="82" t="str">
        <f>_xlfn.TEXTJOIN("; ",TRUE,IF(AND([1]DATABASE!T118&lt;0.8*[1]DATABASE!S118,[1]DATABASE!T118&gt;0,[1]DATABASE!S118&gt;0),"Heavy Price Cut &gt;20%",""),IF(AND(OR(TRIM([1]DATABASE!Q118)="AVAILABLE",TRIM([1]DATABASE!Q118)="UPON REQUEST"),OR([1]DATABASE!T118="",[1]DATABASE!T118=0)),"Active Unit no Price",""),IF(AND(OR(TRIM([1]DATABASE!Q118)="AVAILABLE",TRIM([1]DATABASE!Q118)="RESERVED",TRIM([1]DATABASE!Q118)="PRE-RESERVED",TRIM([1]DATABASE!Q118)="PSPA"),[1]DATABASE!AC118=""),"Active no Owner",""),IF(OR([1]DATABASE!F118="",[1]DATABASE!F118&lt;=0),"Missing/Invalid Area",""),IF(AND([1]DATABASE!T118&gt;0,ABS([1]DATABASE!T118-[1]DATABASE!W118-[1]DATABASE!U118-[1]DATABASE!V118)&gt;1),"Price Bridge Mismatch",""))</f>
        <v/>
      </c>
      <c r="H157" t="str">
        <f t="shared" si="4"/>
        <v>PASS</v>
      </c>
      <c r="I157" s="90">
        <f>[1]DATABASE!T118</f>
        <v>1200000</v>
      </c>
      <c r="J157" t="str">
        <f>[1]DATABASE!AC118</f>
        <v>Ana Damásio</v>
      </c>
    </row>
    <row r="158" spans="1:10" ht="13.95" customHeight="1" x14ac:dyDescent="0.3">
      <c r="A158">
        <f>ROW([1]DATABASE!A119)</f>
        <v>119</v>
      </c>
      <c r="B158" t="str">
        <f>[1]DATABASE!AJ119</f>
        <v>Terracota</v>
      </c>
      <c r="C158" t="str">
        <f>[1]DATABASE!C119</f>
        <v>AX</v>
      </c>
      <c r="D158" t="str">
        <f>TRIM([1]DATABASE!Q119)</f>
        <v>PSPA</v>
      </c>
      <c r="E158" s="82" t="str">
        <f>_xlfn.TEXTJOIN("; ",TRUE,IF([1]DATABASE!X119&lt;0,"Negative Discount",""),IF(AND([1]DATABASE!Y119&gt;[1]DATABASE!T119,[1]DATABASE!Y119&gt;0,[1]DATABASE!T119&gt;0),"Sell Price &gt; Current",""),IF(AND(TRIM([1]DATABASE!Q119)="DEED",[1]DATABASE!AA119=""),"Deeded no PSPA Date",""),IF([1]DATABASE!E119="","Missing Typology",""),IF([1]DATABASE!AJ119="","Missing Development",""))</f>
        <v/>
      </c>
      <c r="F158" s="82" t="str">
        <f>_xlfn.TEXTJOIN("; ",TRUE,IF(AND(OR(TRIM([1]DATABASE!Q119)="RESERVED",TRIM([1]DATABASE!Q119)="PRE-RESERVED",TRIM([1]DATABASE!Q119)="PSPA"),[1]DATABASE!AA119=""),"Reserved/PSPA no PSPA Date",""),IF(AND(TRIM([1]DATABASE!Q119)="AVAILABLE",[1]DATABASE!AA119&lt;&gt;""),"Available has PSPA Date",""))</f>
        <v/>
      </c>
      <c r="G158" s="82" t="str">
        <f>_xlfn.TEXTJOIN("; ",TRUE,IF(AND([1]DATABASE!T119&lt;0.8*[1]DATABASE!S119,[1]DATABASE!T119&gt;0,[1]DATABASE!S119&gt;0),"Heavy Price Cut &gt;20%",""),IF(AND(OR(TRIM([1]DATABASE!Q119)="AVAILABLE",TRIM([1]DATABASE!Q119)="UPON REQUEST"),OR([1]DATABASE!T119="",[1]DATABASE!T119=0)),"Active Unit no Price",""),IF(AND(OR(TRIM([1]DATABASE!Q119)="AVAILABLE",TRIM([1]DATABASE!Q119)="RESERVED",TRIM([1]DATABASE!Q119)="PRE-RESERVED",TRIM([1]DATABASE!Q119)="PSPA"),[1]DATABASE!AC119=""),"Active no Owner",""),IF(OR([1]DATABASE!F119="",[1]DATABASE!F119&lt;=0),"Missing/Invalid Area",""),IF(AND([1]DATABASE!T119&gt;0,ABS([1]DATABASE!T119-[1]DATABASE!W119-[1]DATABASE!U119-[1]DATABASE!V119)&gt;1),"Price Bridge Mismatch",""))</f>
        <v/>
      </c>
      <c r="H158" t="str">
        <f t="shared" si="4"/>
        <v>PASS</v>
      </c>
      <c r="I158" s="90">
        <f>[1]DATABASE!T119</f>
        <v>740000</v>
      </c>
      <c r="J158" t="str">
        <f>[1]DATABASE!AC119</f>
        <v>Ana Damásio</v>
      </c>
    </row>
    <row r="159" spans="1:10" ht="13.95" customHeight="1" x14ac:dyDescent="0.3">
      <c r="A159">
        <f>ROW([1]DATABASE!A120)</f>
        <v>120</v>
      </c>
      <c r="B159" t="str">
        <f>[1]DATABASE!AJ120</f>
        <v>Rivus</v>
      </c>
      <c r="C159" t="str">
        <f>[1]DATABASE!C120</f>
        <v>AF</v>
      </c>
      <c r="D159" t="str">
        <f>TRIM([1]DATABASE!Q120)</f>
        <v>RESERVED</v>
      </c>
      <c r="E159" s="82" t="str">
        <f>_xlfn.TEXTJOIN("; ",TRUE,IF([1]DATABASE!X120&lt;0,"Negative Discount",""),IF(AND([1]DATABASE!Y120&gt;[1]DATABASE!T120,[1]DATABASE!Y120&gt;0,[1]DATABASE!T120&gt;0),"Sell Price &gt; Current",""),IF(AND(TRIM([1]DATABASE!Q120)="DEED",[1]DATABASE!AA120=""),"Deeded no PSPA Date",""),IF([1]DATABASE!E120="","Missing Typology",""),IF([1]DATABASE!AJ120="","Missing Development",""))</f>
        <v/>
      </c>
      <c r="F159" s="82" t="str">
        <f>_xlfn.TEXTJOIN("; ",TRUE,IF(AND(OR(TRIM([1]DATABASE!Q120)="RESERVED",TRIM([1]DATABASE!Q120)="PRE-RESERVED",TRIM([1]DATABASE!Q120)="PSPA"),[1]DATABASE!AA120=""),"Reserved/PSPA no PSPA Date",""),IF(AND(TRIM([1]DATABASE!Q120)="AVAILABLE",[1]DATABASE!AA120&lt;&gt;""),"Available has PSPA Date",""))</f>
        <v/>
      </c>
      <c r="G159" s="82" t="str">
        <f>_xlfn.TEXTJOIN("; ",TRUE,IF(AND([1]DATABASE!T120&lt;0.8*[1]DATABASE!S120,[1]DATABASE!T120&gt;0,[1]DATABASE!S120&gt;0),"Heavy Price Cut &gt;20%",""),IF(AND(OR(TRIM([1]DATABASE!Q120)="AVAILABLE",TRIM([1]DATABASE!Q120)="UPON REQUEST"),OR([1]DATABASE!T120="",[1]DATABASE!T120=0)),"Active Unit no Price",""),IF(AND(OR(TRIM([1]DATABASE!Q120)="AVAILABLE",TRIM([1]DATABASE!Q120)="RESERVED",TRIM([1]DATABASE!Q120)="PRE-RESERVED",TRIM([1]DATABASE!Q120)="PSPA"),[1]DATABASE!AC120=""),"Active no Owner",""),IF(OR([1]DATABASE!F120="",[1]DATABASE!F120&lt;=0),"Missing/Invalid Area",""),IF(AND([1]DATABASE!T120&gt;0,ABS([1]DATABASE!T120-[1]DATABASE!W120-[1]DATABASE!U120-[1]DATABASE!V120)&gt;1),"Price Bridge Mismatch",""))</f>
        <v>Missing/Invalid Area</v>
      </c>
      <c r="H159" t="str">
        <f t="shared" si="4"/>
        <v>REVIEW</v>
      </c>
      <c r="I159" s="90">
        <f>[1]DATABASE!T120</f>
        <v>740000</v>
      </c>
      <c r="J159" t="str">
        <f>[1]DATABASE!AC120</f>
        <v>Ana Damásio</v>
      </c>
    </row>
    <row r="160" spans="1:10" ht="13.95" customHeight="1" x14ac:dyDescent="0.3">
      <c r="A160">
        <f>ROW([1]DATABASE!A121)</f>
        <v>121</v>
      </c>
      <c r="B160" t="str">
        <f>[1]DATABASE!AJ121</f>
        <v>Terracota</v>
      </c>
      <c r="C160" t="str">
        <f>[1]DATABASE!C121</f>
        <v>AZ</v>
      </c>
      <c r="D160" t="str">
        <f>TRIM([1]DATABASE!Q121)</f>
        <v>PSPA</v>
      </c>
      <c r="E160" s="82" t="str">
        <f>_xlfn.TEXTJOIN("; ",TRUE,IF([1]DATABASE!X121&lt;0,"Negative Discount",""),IF(AND([1]DATABASE!Y121&gt;[1]DATABASE!T121,[1]DATABASE!Y121&gt;0,[1]DATABASE!T121&gt;0),"Sell Price &gt; Current",""),IF(AND(TRIM([1]DATABASE!Q121)="DEED",[1]DATABASE!AA121=""),"Deeded no PSPA Date",""),IF([1]DATABASE!E121="","Missing Typology",""),IF([1]DATABASE!AJ121="","Missing Development",""))</f>
        <v/>
      </c>
      <c r="F160" s="82" t="str">
        <f>_xlfn.TEXTJOIN("; ",TRUE,IF(AND(OR(TRIM([1]DATABASE!Q121)="RESERVED",TRIM([1]DATABASE!Q121)="PRE-RESERVED",TRIM([1]DATABASE!Q121)="PSPA"),[1]DATABASE!AA121=""),"Reserved/PSPA no PSPA Date",""),IF(AND(TRIM([1]DATABASE!Q121)="AVAILABLE",[1]DATABASE!AA121&lt;&gt;""),"Available has PSPA Date",""))</f>
        <v/>
      </c>
      <c r="G160" s="82" t="str">
        <f>_xlfn.TEXTJOIN("; ",TRUE,IF(AND([1]DATABASE!T121&lt;0.8*[1]DATABASE!S121,[1]DATABASE!T121&gt;0,[1]DATABASE!S121&gt;0),"Heavy Price Cut &gt;20%",""),IF(AND(OR(TRIM([1]DATABASE!Q121)="AVAILABLE",TRIM([1]DATABASE!Q121)="UPON REQUEST"),OR([1]DATABASE!T121="",[1]DATABASE!T121=0)),"Active Unit no Price",""),IF(AND(OR(TRIM([1]DATABASE!Q121)="AVAILABLE",TRIM([1]DATABASE!Q121)="RESERVED",TRIM([1]DATABASE!Q121)="PRE-RESERVED",TRIM([1]DATABASE!Q121)="PSPA"),[1]DATABASE!AC121=""),"Active no Owner",""),IF(OR([1]DATABASE!F121="",[1]DATABASE!F121&lt;=0),"Missing/Invalid Area",""),IF(AND([1]DATABASE!T121&gt;0,ABS([1]DATABASE!T121-[1]DATABASE!W121-[1]DATABASE!U121-[1]DATABASE!V121)&gt;1),"Price Bridge Mismatch",""))</f>
        <v/>
      </c>
      <c r="H160" t="str">
        <f t="shared" si="4"/>
        <v>PASS</v>
      </c>
      <c r="I160" s="90">
        <f>[1]DATABASE!T121</f>
        <v>465000</v>
      </c>
      <c r="J160" t="str">
        <f>[1]DATABASE!AC121</f>
        <v>Ana Damásio</v>
      </c>
    </row>
    <row r="161" spans="1:10" ht="13.95" customHeight="1" x14ac:dyDescent="0.3">
      <c r="A161">
        <f>ROW([1]DATABASE!A122)</f>
        <v>122</v>
      </c>
      <c r="B161" t="str">
        <f>[1]DATABASE!AJ122</f>
        <v>Vale Pisão Grand Park</v>
      </c>
      <c r="C161" t="str">
        <f>[1]DATABASE!C122</f>
        <v>6B</v>
      </c>
      <c r="D161" t="str">
        <f>TRIM([1]DATABASE!Q122)</f>
        <v>AVAILABLE</v>
      </c>
      <c r="E161" s="82" t="str">
        <f>_xlfn.TEXTJOIN("; ",TRUE,IF([1]DATABASE!X122&lt;0,"Negative Discount",""),IF(AND([1]DATABASE!Y122&gt;[1]DATABASE!T122,[1]DATABASE!Y122&gt;0,[1]DATABASE!T122&gt;0),"Sell Price &gt; Current",""),IF(AND(TRIM([1]DATABASE!Q122)="DEED",[1]DATABASE!AA122=""),"Deeded no PSPA Date",""),IF([1]DATABASE!E122="","Missing Typology",""),IF([1]DATABASE!AJ122="","Missing Development",""))</f>
        <v/>
      </c>
      <c r="F161" s="82" t="str">
        <f>_xlfn.TEXTJOIN("; ",TRUE,IF(AND(OR(TRIM([1]DATABASE!Q122)="RESERVED",TRIM([1]DATABASE!Q122)="PRE-RESERVED",TRIM([1]DATABASE!Q122)="PSPA"),[1]DATABASE!AA122=""),"Reserved/PSPA no PSPA Date",""),IF(AND(TRIM([1]DATABASE!Q122)="AVAILABLE",[1]DATABASE!AA122&lt;&gt;""),"Available has PSPA Date",""))</f>
        <v>Available has PSPA Date</v>
      </c>
      <c r="G161" s="82" t="str">
        <f>_xlfn.TEXTJOIN("; ",TRUE,IF(AND([1]DATABASE!T122&lt;0.8*[1]DATABASE!S122,[1]DATABASE!T122&gt;0,[1]DATABASE!S122&gt;0),"Heavy Price Cut &gt;20%",""),IF(AND(OR(TRIM([1]DATABASE!Q122)="AVAILABLE",TRIM([1]DATABASE!Q122)="UPON REQUEST"),OR([1]DATABASE!T122="",[1]DATABASE!T122=0)),"Active Unit no Price",""),IF(AND(OR(TRIM([1]DATABASE!Q122)="AVAILABLE",TRIM([1]DATABASE!Q122)="RESERVED",TRIM([1]DATABASE!Q122)="PRE-RESERVED",TRIM([1]DATABASE!Q122)="PSPA"),[1]DATABASE!AC122=""),"Active no Owner",""),IF(OR([1]DATABASE!F122="",[1]DATABASE!F122&lt;=0),"Missing/Invalid Area",""),IF(AND([1]DATABASE!T122&gt;0,ABS([1]DATABASE!T122-[1]DATABASE!W122-[1]DATABASE!U122-[1]DATABASE!V122)&gt;1),"Price Bridge Mismatch",""))</f>
        <v/>
      </c>
      <c r="H161" t="str">
        <f t="shared" si="4"/>
        <v>REVIEW</v>
      </c>
      <c r="I161" s="90">
        <f>[1]DATABASE!T122</f>
        <v>1000000</v>
      </c>
      <c r="J161" t="str">
        <f>[1]DATABASE!AC122</f>
        <v>João Gameiro</v>
      </c>
    </row>
    <row r="162" spans="1:10" ht="13.95" customHeight="1" x14ac:dyDescent="0.3">
      <c r="A162">
        <f>ROW([1]DATABASE!A123)</f>
        <v>123</v>
      </c>
      <c r="B162" t="str">
        <f>[1]DATABASE!AJ123</f>
        <v>Zestia</v>
      </c>
      <c r="C162" t="str">
        <f>[1]DATABASE!C123</f>
        <v>AZ</v>
      </c>
      <c r="D162" t="str">
        <f>TRIM([1]DATABASE!Q123)</f>
        <v>PSPA</v>
      </c>
      <c r="E162" s="82" t="str">
        <f>_xlfn.TEXTJOIN("; ",TRUE,IF([1]DATABASE!X123&lt;0,"Negative Discount",""),IF(AND([1]DATABASE!Y123&gt;[1]DATABASE!T123,[1]DATABASE!Y123&gt;0,[1]DATABASE!T123&gt;0),"Sell Price &gt; Current",""),IF(AND(TRIM([1]DATABASE!Q123)="DEED",[1]DATABASE!AA123=""),"Deeded no PSPA Date",""),IF([1]DATABASE!E123="","Missing Typology",""),IF([1]DATABASE!AJ123="","Missing Development",""))</f>
        <v/>
      </c>
      <c r="F162" s="82" t="str">
        <f>_xlfn.TEXTJOIN("; ",TRUE,IF(AND(OR(TRIM([1]DATABASE!Q123)="RESERVED",TRIM([1]DATABASE!Q123)="PRE-RESERVED",TRIM([1]DATABASE!Q123)="PSPA"),[1]DATABASE!AA123=""),"Reserved/PSPA no PSPA Date",""),IF(AND(TRIM([1]DATABASE!Q123)="AVAILABLE",[1]DATABASE!AA123&lt;&gt;""),"Available has PSPA Date",""))</f>
        <v/>
      </c>
      <c r="G162" s="82" t="str">
        <f>_xlfn.TEXTJOIN("; ",TRUE,IF(AND([1]DATABASE!T123&lt;0.8*[1]DATABASE!S123,[1]DATABASE!T123&gt;0,[1]DATABASE!S123&gt;0),"Heavy Price Cut &gt;20%",""),IF(AND(OR(TRIM([1]DATABASE!Q123)="AVAILABLE",TRIM([1]DATABASE!Q123)="UPON REQUEST"),OR([1]DATABASE!T123="",[1]DATABASE!T123=0)),"Active Unit no Price",""),IF(AND(OR(TRIM([1]DATABASE!Q123)="AVAILABLE",TRIM([1]DATABASE!Q123)="RESERVED",TRIM([1]DATABASE!Q123)="PRE-RESERVED",TRIM([1]DATABASE!Q123)="PSPA"),[1]DATABASE!AC123=""),"Active no Owner",""),IF(OR([1]DATABASE!F123="",[1]DATABASE!F123&lt;=0),"Missing/Invalid Area",""),IF(AND([1]DATABASE!T123&gt;0,ABS([1]DATABASE!T123-[1]DATABASE!W123-[1]DATABASE!U123-[1]DATABASE!V123)&gt;1),"Price Bridge Mismatch",""))</f>
        <v/>
      </c>
      <c r="H162" t="str">
        <f t="shared" si="4"/>
        <v>PASS</v>
      </c>
      <c r="I162" s="90">
        <f>[1]DATABASE!T123</f>
        <v>640000</v>
      </c>
      <c r="J162" t="str">
        <f>[1]DATABASE!AC123</f>
        <v>Ana Damásio</v>
      </c>
    </row>
    <row r="163" spans="1:10" ht="13.95" customHeight="1" x14ac:dyDescent="0.3">
      <c r="A163">
        <f>ROW([1]DATABASE!A124)</f>
        <v>124</v>
      </c>
      <c r="B163" t="str">
        <f>[1]DATABASE!AJ124</f>
        <v>Terracota</v>
      </c>
      <c r="C163" t="str">
        <f>[1]DATABASE!C124</f>
        <v>BA</v>
      </c>
      <c r="D163" t="str">
        <f>TRIM([1]DATABASE!Q124)</f>
        <v>PSPA</v>
      </c>
      <c r="E163" s="82" t="str">
        <f>_xlfn.TEXTJOIN("; ",TRUE,IF([1]DATABASE!X124&lt;0,"Negative Discount",""),IF(AND([1]DATABASE!Y124&gt;[1]DATABASE!T124,[1]DATABASE!Y124&gt;0,[1]DATABASE!T124&gt;0),"Sell Price &gt; Current",""),IF(AND(TRIM([1]DATABASE!Q124)="DEED",[1]DATABASE!AA124=""),"Deeded no PSPA Date",""),IF([1]DATABASE!E124="","Missing Typology",""),IF([1]DATABASE!AJ124="","Missing Development",""))</f>
        <v/>
      </c>
      <c r="F163" s="82" t="str">
        <f>_xlfn.TEXTJOIN("; ",TRUE,IF(AND(OR(TRIM([1]DATABASE!Q124)="RESERVED",TRIM([1]DATABASE!Q124)="PRE-RESERVED",TRIM([1]DATABASE!Q124)="PSPA"),[1]DATABASE!AA124=""),"Reserved/PSPA no PSPA Date",""),IF(AND(TRIM([1]DATABASE!Q124)="AVAILABLE",[1]DATABASE!AA124&lt;&gt;""),"Available has PSPA Date",""))</f>
        <v/>
      </c>
      <c r="G163" s="82" t="str">
        <f>_xlfn.TEXTJOIN("; ",TRUE,IF(AND([1]DATABASE!T124&lt;0.8*[1]DATABASE!S124,[1]DATABASE!T124&gt;0,[1]DATABASE!S124&gt;0),"Heavy Price Cut &gt;20%",""),IF(AND(OR(TRIM([1]DATABASE!Q124)="AVAILABLE",TRIM([1]DATABASE!Q124)="UPON REQUEST"),OR([1]DATABASE!T124="",[1]DATABASE!T124=0)),"Active Unit no Price",""),IF(AND(OR(TRIM([1]DATABASE!Q124)="AVAILABLE",TRIM([1]DATABASE!Q124)="RESERVED",TRIM([1]DATABASE!Q124)="PRE-RESERVED",TRIM([1]DATABASE!Q124)="PSPA"),[1]DATABASE!AC124=""),"Active no Owner",""),IF(OR([1]DATABASE!F124="",[1]DATABASE!F124&lt;=0),"Missing/Invalid Area",""),IF(AND([1]DATABASE!T124&gt;0,ABS([1]DATABASE!T124-[1]DATABASE!W124-[1]DATABASE!U124-[1]DATABASE!V124)&gt;1),"Price Bridge Mismatch",""))</f>
        <v/>
      </c>
      <c r="H163" t="str">
        <f t="shared" si="4"/>
        <v>PASS</v>
      </c>
      <c r="I163" s="90">
        <f>[1]DATABASE!T124</f>
        <v>465000</v>
      </c>
      <c r="J163" t="str">
        <f>[1]DATABASE!AC124</f>
        <v>Ana Damásio</v>
      </c>
    </row>
    <row r="164" spans="1:10" ht="13.95" customHeight="1" x14ac:dyDescent="0.3">
      <c r="A164">
        <f>ROW([1]DATABASE!A125)</f>
        <v>125</v>
      </c>
      <c r="B164" t="str">
        <f>[1]DATABASE!AJ125</f>
        <v>Natura Village</v>
      </c>
      <c r="C164" t="str">
        <f>[1]DATABASE!C125</f>
        <v>B</v>
      </c>
      <c r="D164" t="str">
        <f>TRIM([1]DATABASE!Q125)</f>
        <v>DEED</v>
      </c>
      <c r="E164" s="82" t="str">
        <f>_xlfn.TEXTJOIN("; ",TRUE,IF([1]DATABASE!X125&lt;0,"Negative Discount",""),IF(AND([1]DATABASE!Y125&gt;[1]DATABASE!T125,[1]DATABASE!Y125&gt;0,[1]DATABASE!T125&gt;0),"Sell Price &gt; Current",""),IF(AND(TRIM([1]DATABASE!Q125)="DEED",[1]DATABASE!AA125=""),"Deeded no PSPA Date",""),IF([1]DATABASE!E125="","Missing Typology",""),IF([1]DATABASE!AJ125="","Missing Development",""))</f>
        <v/>
      </c>
      <c r="F164" s="82" t="str">
        <f>_xlfn.TEXTJOIN("; ",TRUE,IF(AND(OR(TRIM([1]DATABASE!Q125)="RESERVED",TRIM([1]DATABASE!Q125)="PRE-RESERVED",TRIM([1]DATABASE!Q125)="PSPA"),[1]DATABASE!AA125=""),"Reserved/PSPA no PSPA Date",""),IF(AND(TRIM([1]DATABASE!Q125)="AVAILABLE",[1]DATABASE!AA125&lt;&gt;""),"Available has PSPA Date",""))</f>
        <v/>
      </c>
      <c r="G164" s="82" t="str">
        <f>_xlfn.TEXTJOIN("; ",TRUE,IF(AND([1]DATABASE!T125&lt;0.8*[1]DATABASE!S125,[1]DATABASE!T125&gt;0,[1]DATABASE!S125&gt;0),"Heavy Price Cut &gt;20%",""),IF(AND(OR(TRIM([1]DATABASE!Q125)="AVAILABLE",TRIM([1]DATABASE!Q125)="UPON REQUEST"),OR([1]DATABASE!T125="",[1]DATABASE!T125=0)),"Active Unit no Price",""),IF(AND(OR(TRIM([1]DATABASE!Q125)="AVAILABLE",TRIM([1]DATABASE!Q125)="RESERVED",TRIM([1]DATABASE!Q125)="PRE-RESERVED",TRIM([1]DATABASE!Q125)="PSPA"),[1]DATABASE!AC125=""),"Active no Owner",""),IF(OR([1]DATABASE!F125="",[1]DATABASE!F125&lt;=0),"Missing/Invalid Area",""),IF(AND([1]DATABASE!T125&gt;0,ABS([1]DATABASE!T125-[1]DATABASE!W125-[1]DATABASE!U125-[1]DATABASE!V125)&gt;1),"Price Bridge Mismatch",""))</f>
        <v/>
      </c>
      <c r="H164" t="str">
        <f t="shared" si="4"/>
        <v>PASS</v>
      </c>
      <c r="I164" s="90">
        <f>[1]DATABASE!T125</f>
        <v>850000</v>
      </c>
      <c r="J164" t="str">
        <f>[1]DATABASE!AC125</f>
        <v>Ana Damásio</v>
      </c>
    </row>
    <row r="165" spans="1:10" ht="13.95" customHeight="1" x14ac:dyDescent="0.3">
      <c r="A165">
        <f>ROW([1]DATABASE!A126)</f>
        <v>126</v>
      </c>
      <c r="B165" t="str">
        <f>[1]DATABASE!AJ126</f>
        <v>Natura Village</v>
      </c>
      <c r="C165" t="str">
        <f>[1]DATABASE!C126</f>
        <v>B</v>
      </c>
      <c r="D165" t="str">
        <f>TRIM([1]DATABASE!Q126)</f>
        <v>DEED</v>
      </c>
      <c r="E165" s="82" t="str">
        <f>_xlfn.TEXTJOIN("; ",TRUE,IF([1]DATABASE!X126&lt;0,"Negative Discount",""),IF(AND([1]DATABASE!Y126&gt;[1]DATABASE!T126,[1]DATABASE!Y126&gt;0,[1]DATABASE!T126&gt;0),"Sell Price &gt; Current",""),IF(AND(TRIM([1]DATABASE!Q126)="DEED",[1]DATABASE!AA126=""),"Deeded no PSPA Date",""),IF([1]DATABASE!E126="","Missing Typology",""),IF([1]DATABASE!AJ126="","Missing Development",""))</f>
        <v/>
      </c>
      <c r="F165" s="82" t="str">
        <f>_xlfn.TEXTJOIN("; ",TRUE,IF(AND(OR(TRIM([1]DATABASE!Q126)="RESERVED",TRIM([1]DATABASE!Q126)="PRE-RESERVED",TRIM([1]DATABASE!Q126)="PSPA"),[1]DATABASE!AA126=""),"Reserved/PSPA no PSPA Date",""),IF(AND(TRIM([1]DATABASE!Q126)="AVAILABLE",[1]DATABASE!AA126&lt;&gt;""),"Available has PSPA Date",""))</f>
        <v/>
      </c>
      <c r="G165" s="82" t="str">
        <f>_xlfn.TEXTJOIN("; ",TRUE,IF(AND([1]DATABASE!T126&lt;0.8*[1]DATABASE!S126,[1]DATABASE!T126&gt;0,[1]DATABASE!S126&gt;0),"Heavy Price Cut &gt;20%",""),IF(AND(OR(TRIM([1]DATABASE!Q126)="AVAILABLE",TRIM([1]DATABASE!Q126)="UPON REQUEST"),OR([1]DATABASE!T126="",[1]DATABASE!T126=0)),"Active Unit no Price",""),IF(AND(OR(TRIM([1]DATABASE!Q126)="AVAILABLE",TRIM([1]DATABASE!Q126)="RESERVED",TRIM([1]DATABASE!Q126)="PRE-RESERVED",TRIM([1]DATABASE!Q126)="PSPA"),[1]DATABASE!AC126=""),"Active no Owner",""),IF(OR([1]DATABASE!F126="",[1]DATABASE!F126&lt;=0),"Missing/Invalid Area",""),IF(AND([1]DATABASE!T126&gt;0,ABS([1]DATABASE!T126-[1]DATABASE!W126-[1]DATABASE!U126-[1]DATABASE!V126)&gt;1),"Price Bridge Mismatch",""))</f>
        <v/>
      </c>
      <c r="H165" t="str">
        <f t="shared" si="4"/>
        <v>PASS</v>
      </c>
      <c r="I165" s="90">
        <f>[1]DATABASE!T126</f>
        <v>810000</v>
      </c>
      <c r="J165" t="str">
        <f>[1]DATABASE!AC126</f>
        <v>Ana Damásio</v>
      </c>
    </row>
    <row r="166" spans="1:10" ht="13.95" customHeight="1" x14ac:dyDescent="0.3">
      <c r="A166">
        <f>ROW([1]DATABASE!A127)</f>
        <v>127</v>
      </c>
      <c r="B166" t="str">
        <f>[1]DATABASE!AJ127</f>
        <v>The Nine</v>
      </c>
      <c r="C166" t="str">
        <f>[1]DATABASE!C127</f>
        <v>B</v>
      </c>
      <c r="D166" t="str">
        <f>TRIM([1]DATABASE!Q127)</f>
        <v>DEED</v>
      </c>
      <c r="E166" s="82" t="str">
        <f>_xlfn.TEXTJOIN("; ",TRUE,IF([1]DATABASE!X127&lt;0,"Negative Discount",""),IF(AND([1]DATABASE!Y127&gt;[1]DATABASE!T127,[1]DATABASE!Y127&gt;0,[1]DATABASE!T127&gt;0),"Sell Price &gt; Current",""),IF(AND(TRIM([1]DATABASE!Q127)="DEED",[1]DATABASE!AA127=""),"Deeded no PSPA Date",""),IF([1]DATABASE!E127="","Missing Typology",""),IF([1]DATABASE!AJ127="","Missing Development",""))</f>
        <v/>
      </c>
      <c r="F166" s="82" t="str">
        <f>_xlfn.TEXTJOIN("; ",TRUE,IF(AND(OR(TRIM([1]DATABASE!Q127)="RESERVED",TRIM([1]DATABASE!Q127)="PRE-RESERVED",TRIM([1]DATABASE!Q127)="PSPA"),[1]DATABASE!AA127=""),"Reserved/PSPA no PSPA Date",""),IF(AND(TRIM([1]DATABASE!Q127)="AVAILABLE",[1]DATABASE!AA127&lt;&gt;""),"Available has PSPA Date",""))</f>
        <v/>
      </c>
      <c r="G166" s="82" t="str">
        <f>_xlfn.TEXTJOIN("; ",TRUE,IF(AND([1]DATABASE!T127&lt;0.8*[1]DATABASE!S127,[1]DATABASE!T127&gt;0,[1]DATABASE!S127&gt;0),"Heavy Price Cut &gt;20%",""),IF(AND(OR(TRIM([1]DATABASE!Q127)="AVAILABLE",TRIM([1]DATABASE!Q127)="UPON REQUEST"),OR([1]DATABASE!T127="",[1]DATABASE!T127=0)),"Active Unit no Price",""),IF(AND(OR(TRIM([1]DATABASE!Q127)="AVAILABLE",TRIM([1]DATABASE!Q127)="RESERVED",TRIM([1]DATABASE!Q127)="PRE-RESERVED",TRIM([1]DATABASE!Q127)="PSPA"),[1]DATABASE!AC127=""),"Active no Owner",""),IF(OR([1]DATABASE!F127="",[1]DATABASE!F127&lt;=0),"Missing/Invalid Area",""),IF(AND([1]DATABASE!T127&gt;0,ABS([1]DATABASE!T127-[1]DATABASE!W127-[1]DATABASE!U127-[1]DATABASE!V127)&gt;1),"Price Bridge Mismatch",""))</f>
        <v/>
      </c>
      <c r="H166" t="str">
        <f t="shared" si="4"/>
        <v>PASS</v>
      </c>
      <c r="I166" s="90">
        <f>[1]DATABASE!T127</f>
        <v>590000</v>
      </c>
      <c r="J166" t="str">
        <f>[1]DATABASE!AC127</f>
        <v>Ana Damásio</v>
      </c>
    </row>
    <row r="167" spans="1:10" ht="13.95" customHeight="1" x14ac:dyDescent="0.3">
      <c r="A167">
        <f>ROW([1]DATABASE!A128)</f>
        <v>128</v>
      </c>
      <c r="B167" t="str">
        <f>[1]DATABASE!AJ128</f>
        <v>VM PARQUE</v>
      </c>
      <c r="C167" t="str">
        <f>[1]DATABASE!C128</f>
        <v>B</v>
      </c>
      <c r="D167" t="str">
        <f>TRIM([1]DATABASE!Q128)</f>
        <v>DEED</v>
      </c>
      <c r="E167" s="82" t="str">
        <f>_xlfn.TEXTJOIN("; ",TRUE,IF([1]DATABASE!X128&lt;0,"Negative Discount",""),IF(AND([1]DATABASE!Y128&gt;[1]DATABASE!T128,[1]DATABASE!Y128&gt;0,[1]DATABASE!T128&gt;0),"Sell Price &gt; Current",""),IF(AND(TRIM([1]DATABASE!Q128)="DEED",[1]DATABASE!AA128=""),"Deeded no PSPA Date",""),IF([1]DATABASE!E128="","Missing Typology",""),IF([1]DATABASE!AJ128="","Missing Development",""))</f>
        <v/>
      </c>
      <c r="F167" s="82" t="str">
        <f>_xlfn.TEXTJOIN("; ",TRUE,IF(AND(OR(TRIM([1]DATABASE!Q128)="RESERVED",TRIM([1]DATABASE!Q128)="PRE-RESERVED",TRIM([1]DATABASE!Q128)="PSPA"),[1]DATABASE!AA128=""),"Reserved/PSPA no PSPA Date",""),IF(AND(TRIM([1]DATABASE!Q128)="AVAILABLE",[1]DATABASE!AA128&lt;&gt;""),"Available has PSPA Date",""))</f>
        <v/>
      </c>
      <c r="G167" s="82" t="str">
        <f>_xlfn.TEXTJOIN("; ",TRUE,IF(AND([1]DATABASE!T128&lt;0.8*[1]DATABASE!S128,[1]DATABASE!T128&gt;0,[1]DATABASE!S128&gt;0),"Heavy Price Cut &gt;20%",""),IF(AND(OR(TRIM([1]DATABASE!Q128)="AVAILABLE",TRIM([1]DATABASE!Q128)="UPON REQUEST"),OR([1]DATABASE!T128="",[1]DATABASE!T128=0)),"Active Unit no Price",""),IF(AND(OR(TRIM([1]DATABASE!Q128)="AVAILABLE",TRIM([1]DATABASE!Q128)="RESERVED",TRIM([1]DATABASE!Q128)="PRE-RESERVED",TRIM([1]DATABASE!Q128)="PSPA"),[1]DATABASE!AC128=""),"Active no Owner",""),IF(OR([1]DATABASE!F128="",[1]DATABASE!F128&lt;=0),"Missing/Invalid Area",""),IF(AND([1]DATABASE!T128&gt;0,ABS([1]DATABASE!T128-[1]DATABASE!W128-[1]DATABASE!U128-[1]DATABASE!V128)&gt;1),"Price Bridge Mismatch",""))</f>
        <v/>
      </c>
      <c r="H167" t="str">
        <f t="shared" si="4"/>
        <v>PASS</v>
      </c>
      <c r="I167" s="90">
        <f>[1]DATABASE!T128</f>
        <v>960000</v>
      </c>
      <c r="J167">
        <f>[1]DATABASE!AC128</f>
        <v>0</v>
      </c>
    </row>
    <row r="168" spans="1:10" ht="13.95" customHeight="1" x14ac:dyDescent="0.3">
      <c r="A168">
        <f>ROW([1]DATABASE!A129)</f>
        <v>129</v>
      </c>
      <c r="B168" t="str">
        <f>[1]DATABASE!AJ129</f>
        <v>Terracota</v>
      </c>
      <c r="C168" t="str">
        <f>[1]DATABASE!C129</f>
        <v>BB</v>
      </c>
      <c r="D168" t="str">
        <f>TRIM([1]DATABASE!Q129)</f>
        <v>PSPA</v>
      </c>
      <c r="E168" s="82" t="str">
        <f>_xlfn.TEXTJOIN("; ",TRUE,IF([1]DATABASE!X129&lt;0,"Negative Discount",""),IF(AND([1]DATABASE!Y129&gt;[1]DATABASE!T129,[1]DATABASE!Y129&gt;0,[1]DATABASE!T129&gt;0),"Sell Price &gt; Current",""),IF(AND(TRIM([1]DATABASE!Q129)="DEED",[1]DATABASE!AA129=""),"Deeded no PSPA Date",""),IF([1]DATABASE!E129="","Missing Typology",""),IF([1]DATABASE!AJ129="","Missing Development",""))</f>
        <v/>
      </c>
      <c r="F168" s="82" t="str">
        <f>_xlfn.TEXTJOIN("; ",TRUE,IF(AND(OR(TRIM([1]DATABASE!Q129)="RESERVED",TRIM([1]DATABASE!Q129)="PRE-RESERVED",TRIM([1]DATABASE!Q129)="PSPA"),[1]DATABASE!AA129=""),"Reserved/PSPA no PSPA Date",""),IF(AND(TRIM([1]DATABASE!Q129)="AVAILABLE",[1]DATABASE!AA129&lt;&gt;""),"Available has PSPA Date",""))</f>
        <v/>
      </c>
      <c r="G168" s="82" t="str">
        <f>_xlfn.TEXTJOIN("; ",TRUE,IF(AND([1]DATABASE!T129&lt;0.8*[1]DATABASE!S129,[1]DATABASE!T129&gt;0,[1]DATABASE!S129&gt;0),"Heavy Price Cut &gt;20%",""),IF(AND(OR(TRIM([1]DATABASE!Q129)="AVAILABLE",TRIM([1]DATABASE!Q129)="UPON REQUEST"),OR([1]DATABASE!T129="",[1]DATABASE!T129=0)),"Active Unit no Price",""),IF(AND(OR(TRIM([1]DATABASE!Q129)="AVAILABLE",TRIM([1]DATABASE!Q129)="RESERVED",TRIM([1]DATABASE!Q129)="PRE-RESERVED",TRIM([1]DATABASE!Q129)="PSPA"),[1]DATABASE!AC129=""),"Active no Owner",""),IF(OR([1]DATABASE!F129="",[1]DATABASE!F129&lt;=0),"Missing/Invalid Area",""),IF(AND([1]DATABASE!T129&gt;0,ABS([1]DATABASE!T129-[1]DATABASE!W129-[1]DATABASE!U129-[1]DATABASE!V129)&gt;1),"Price Bridge Mismatch",""))</f>
        <v/>
      </c>
      <c r="H168" t="str">
        <f t="shared" si="4"/>
        <v>PASS</v>
      </c>
      <c r="I168" s="90">
        <f>[1]DATABASE!T129</f>
        <v>465000</v>
      </c>
      <c r="J168" t="str">
        <f>[1]DATABASE!AC129</f>
        <v>Ana Damásio</v>
      </c>
    </row>
    <row r="169" spans="1:10" ht="13.95" customHeight="1" x14ac:dyDescent="0.3">
      <c r="A169">
        <f>ROW([1]DATABASE!A130)</f>
        <v>130</v>
      </c>
      <c r="B169" t="str">
        <f>[1]DATABASE!AJ130</f>
        <v>Terracota</v>
      </c>
      <c r="C169" t="str">
        <f>[1]DATABASE!C130</f>
        <v>BC</v>
      </c>
      <c r="D169" t="str">
        <f>TRIM([1]DATABASE!Q130)</f>
        <v>PSPA</v>
      </c>
      <c r="E169" s="82" t="str">
        <f>_xlfn.TEXTJOIN("; ",TRUE,IF([1]DATABASE!X130&lt;0,"Negative Discount",""),IF(AND([1]DATABASE!Y130&gt;[1]DATABASE!T130,[1]DATABASE!Y130&gt;0,[1]DATABASE!T130&gt;0),"Sell Price &gt; Current",""),IF(AND(TRIM([1]DATABASE!Q130)="DEED",[1]DATABASE!AA130=""),"Deeded no PSPA Date",""),IF([1]DATABASE!E130="","Missing Typology",""),IF([1]DATABASE!AJ130="","Missing Development",""))</f>
        <v/>
      </c>
      <c r="F169" s="82" t="str">
        <f>_xlfn.TEXTJOIN("; ",TRUE,IF(AND(OR(TRIM([1]DATABASE!Q130)="RESERVED",TRIM([1]DATABASE!Q130)="PRE-RESERVED",TRIM([1]DATABASE!Q130)="PSPA"),[1]DATABASE!AA130=""),"Reserved/PSPA no PSPA Date",""),IF(AND(TRIM([1]DATABASE!Q130)="AVAILABLE",[1]DATABASE!AA130&lt;&gt;""),"Available has PSPA Date",""))</f>
        <v/>
      </c>
      <c r="G169" s="82" t="str">
        <f>_xlfn.TEXTJOIN("; ",TRUE,IF(AND([1]DATABASE!T130&lt;0.8*[1]DATABASE!S130,[1]DATABASE!T130&gt;0,[1]DATABASE!S130&gt;0),"Heavy Price Cut &gt;20%",""),IF(AND(OR(TRIM([1]DATABASE!Q130)="AVAILABLE",TRIM([1]DATABASE!Q130)="UPON REQUEST"),OR([1]DATABASE!T130="",[1]DATABASE!T130=0)),"Active Unit no Price",""),IF(AND(OR(TRIM([1]DATABASE!Q130)="AVAILABLE",TRIM([1]DATABASE!Q130)="RESERVED",TRIM([1]DATABASE!Q130)="PRE-RESERVED",TRIM([1]DATABASE!Q130)="PSPA"),[1]DATABASE!AC130=""),"Active no Owner",""),IF(OR([1]DATABASE!F130="",[1]DATABASE!F130&lt;=0),"Missing/Invalid Area",""),IF(AND([1]DATABASE!T130&gt;0,ABS([1]DATABASE!T130-[1]DATABASE!W130-[1]DATABASE!U130-[1]DATABASE!V130)&gt;1),"Price Bridge Mismatch",""))</f>
        <v/>
      </c>
      <c r="H169" t="str">
        <f t="shared" si="4"/>
        <v>PASS</v>
      </c>
      <c r="I169" s="90">
        <f>[1]DATABASE!T130</f>
        <v>585000</v>
      </c>
      <c r="J169" t="str">
        <f>[1]DATABASE!AC130</f>
        <v>Ana Damásio</v>
      </c>
    </row>
    <row r="170" spans="1:10" ht="13.95" customHeight="1" x14ac:dyDescent="0.3">
      <c r="A170">
        <f>ROW([1]DATABASE!A131)</f>
        <v>131</v>
      </c>
      <c r="B170" t="str">
        <f>[1]DATABASE!AJ131</f>
        <v>Zestia</v>
      </c>
      <c r="C170" t="str">
        <f>[1]DATABASE!C131</f>
        <v>BC</v>
      </c>
      <c r="D170" t="str">
        <f>TRIM([1]DATABASE!Q131)</f>
        <v>PSPA</v>
      </c>
      <c r="E170" s="82" t="str">
        <f>_xlfn.TEXTJOIN("; ",TRUE,IF([1]DATABASE!X131&lt;0,"Negative Discount",""),IF(AND([1]DATABASE!Y131&gt;[1]DATABASE!T131,[1]DATABASE!Y131&gt;0,[1]DATABASE!T131&gt;0),"Sell Price &gt; Current",""),IF(AND(TRIM([1]DATABASE!Q131)="DEED",[1]DATABASE!AA131=""),"Deeded no PSPA Date",""),IF([1]DATABASE!E131="","Missing Typology",""),IF([1]DATABASE!AJ131="","Missing Development",""))</f>
        <v/>
      </c>
      <c r="F170" s="82" t="str">
        <f>_xlfn.TEXTJOIN("; ",TRUE,IF(AND(OR(TRIM([1]DATABASE!Q131)="RESERVED",TRIM([1]DATABASE!Q131)="PRE-RESERVED",TRIM([1]DATABASE!Q131)="PSPA"),[1]DATABASE!AA131=""),"Reserved/PSPA no PSPA Date",""),IF(AND(TRIM([1]DATABASE!Q131)="AVAILABLE",[1]DATABASE!AA131&lt;&gt;""),"Available has PSPA Date",""))</f>
        <v/>
      </c>
      <c r="G170" s="82" t="str">
        <f>_xlfn.TEXTJOIN("; ",TRUE,IF(AND([1]DATABASE!T131&lt;0.8*[1]DATABASE!S131,[1]DATABASE!T131&gt;0,[1]DATABASE!S131&gt;0),"Heavy Price Cut &gt;20%",""),IF(AND(OR(TRIM([1]DATABASE!Q131)="AVAILABLE",TRIM([1]DATABASE!Q131)="UPON REQUEST"),OR([1]DATABASE!T131="",[1]DATABASE!T131=0)),"Active Unit no Price",""),IF(AND(OR(TRIM([1]DATABASE!Q131)="AVAILABLE",TRIM([1]DATABASE!Q131)="RESERVED",TRIM([1]DATABASE!Q131)="PRE-RESERVED",TRIM([1]DATABASE!Q131)="PSPA"),[1]DATABASE!AC131=""),"Active no Owner",""),IF(OR([1]DATABASE!F131="",[1]DATABASE!F131&lt;=0),"Missing/Invalid Area",""),IF(AND([1]DATABASE!T131&gt;0,ABS([1]DATABASE!T131-[1]DATABASE!W131-[1]DATABASE!U131-[1]DATABASE!V131)&gt;1),"Price Bridge Mismatch",""))</f>
        <v/>
      </c>
      <c r="H170" t="str">
        <f t="shared" ref="H170:H233" si="5">IF(LEN(E170&amp;F170&amp;G170)&gt;0,"REVIEW","PASS")</f>
        <v>PASS</v>
      </c>
      <c r="I170" s="90">
        <f>[1]DATABASE!T131</f>
        <v>1240000</v>
      </c>
      <c r="J170" t="str">
        <f>[1]DATABASE!AC131</f>
        <v>Ana Damásio</v>
      </c>
    </row>
    <row r="171" spans="1:10" ht="13.95" customHeight="1" x14ac:dyDescent="0.3">
      <c r="A171">
        <f>ROW([1]DATABASE!A132)</f>
        <v>132</v>
      </c>
      <c r="B171" t="str">
        <f>[1]DATABASE!AJ132</f>
        <v>Terracota</v>
      </c>
      <c r="C171" t="str">
        <f>[1]DATABASE!C132</f>
        <v>BD</v>
      </c>
      <c r="D171" t="str">
        <f>TRIM([1]DATABASE!Q132)</f>
        <v>PSPA</v>
      </c>
      <c r="E171" s="82" t="str">
        <f>_xlfn.TEXTJOIN("; ",TRUE,IF([1]DATABASE!X132&lt;0,"Negative Discount",""),IF(AND([1]DATABASE!Y132&gt;[1]DATABASE!T132,[1]DATABASE!Y132&gt;0,[1]DATABASE!T132&gt;0),"Sell Price &gt; Current",""),IF(AND(TRIM([1]DATABASE!Q132)="DEED",[1]DATABASE!AA132=""),"Deeded no PSPA Date",""),IF([1]DATABASE!E132="","Missing Typology",""),IF([1]DATABASE!AJ132="","Missing Development",""))</f>
        <v/>
      </c>
      <c r="F171" s="82" t="str">
        <f>_xlfn.TEXTJOIN("; ",TRUE,IF(AND(OR(TRIM([1]DATABASE!Q132)="RESERVED",TRIM([1]DATABASE!Q132)="PRE-RESERVED",TRIM([1]DATABASE!Q132)="PSPA"),[1]DATABASE!AA132=""),"Reserved/PSPA no PSPA Date",""),IF(AND(TRIM([1]DATABASE!Q132)="AVAILABLE",[1]DATABASE!AA132&lt;&gt;""),"Available has PSPA Date",""))</f>
        <v/>
      </c>
      <c r="G171" s="82" t="str">
        <f>_xlfn.TEXTJOIN("; ",TRUE,IF(AND([1]DATABASE!T132&lt;0.8*[1]DATABASE!S132,[1]DATABASE!T132&gt;0,[1]DATABASE!S132&gt;0),"Heavy Price Cut &gt;20%",""),IF(AND(OR(TRIM([1]DATABASE!Q132)="AVAILABLE",TRIM([1]DATABASE!Q132)="UPON REQUEST"),OR([1]DATABASE!T132="",[1]DATABASE!T132=0)),"Active Unit no Price",""),IF(AND(OR(TRIM([1]DATABASE!Q132)="AVAILABLE",TRIM([1]DATABASE!Q132)="RESERVED",TRIM([1]DATABASE!Q132)="PRE-RESERVED",TRIM([1]DATABASE!Q132)="PSPA"),[1]DATABASE!AC132=""),"Active no Owner",""),IF(OR([1]DATABASE!F132="",[1]DATABASE!F132&lt;=0),"Missing/Invalid Area",""),IF(AND([1]DATABASE!T132&gt;0,ABS([1]DATABASE!T132-[1]DATABASE!W132-[1]DATABASE!U132-[1]DATABASE!V132)&gt;1),"Price Bridge Mismatch",""))</f>
        <v/>
      </c>
      <c r="H171" t="str">
        <f t="shared" si="5"/>
        <v>PASS</v>
      </c>
      <c r="I171" s="90">
        <f>[1]DATABASE!T132</f>
        <v>720000</v>
      </c>
      <c r="J171" t="str">
        <f>[1]DATABASE!AC132</f>
        <v>Ana Damásio</v>
      </c>
    </row>
    <row r="172" spans="1:10" ht="13.95" customHeight="1" x14ac:dyDescent="0.3">
      <c r="A172">
        <f>ROW([1]DATABASE!A133)</f>
        <v>133</v>
      </c>
      <c r="B172" t="str">
        <f>[1]DATABASE!AJ133</f>
        <v>Terracota</v>
      </c>
      <c r="C172" t="str">
        <f>[1]DATABASE!C133</f>
        <v>BF</v>
      </c>
      <c r="D172" t="str">
        <f>TRIM([1]DATABASE!Q133)</f>
        <v>PSPA</v>
      </c>
      <c r="E172" s="82" t="str">
        <f>_xlfn.TEXTJOIN("; ",TRUE,IF([1]DATABASE!X133&lt;0,"Negative Discount",""),IF(AND([1]DATABASE!Y133&gt;[1]DATABASE!T133,[1]DATABASE!Y133&gt;0,[1]DATABASE!T133&gt;0),"Sell Price &gt; Current",""),IF(AND(TRIM([1]DATABASE!Q133)="DEED",[1]DATABASE!AA133=""),"Deeded no PSPA Date",""),IF([1]DATABASE!E133="","Missing Typology",""),IF([1]DATABASE!AJ133="","Missing Development",""))</f>
        <v/>
      </c>
      <c r="F172" s="82" t="str">
        <f>_xlfn.TEXTJOIN("; ",TRUE,IF(AND(OR(TRIM([1]DATABASE!Q133)="RESERVED",TRIM([1]DATABASE!Q133)="PRE-RESERVED",TRIM([1]DATABASE!Q133)="PSPA"),[1]DATABASE!AA133=""),"Reserved/PSPA no PSPA Date",""),IF(AND(TRIM([1]DATABASE!Q133)="AVAILABLE",[1]DATABASE!AA133&lt;&gt;""),"Available has PSPA Date",""))</f>
        <v/>
      </c>
      <c r="G172" s="82" t="str">
        <f>_xlfn.TEXTJOIN("; ",TRUE,IF(AND([1]DATABASE!T133&lt;0.8*[1]DATABASE!S133,[1]DATABASE!T133&gt;0,[1]DATABASE!S133&gt;0),"Heavy Price Cut &gt;20%",""),IF(AND(OR(TRIM([1]DATABASE!Q133)="AVAILABLE",TRIM([1]DATABASE!Q133)="UPON REQUEST"),OR([1]DATABASE!T133="",[1]DATABASE!T133=0)),"Active Unit no Price",""),IF(AND(OR(TRIM([1]DATABASE!Q133)="AVAILABLE",TRIM([1]DATABASE!Q133)="RESERVED",TRIM([1]DATABASE!Q133)="PRE-RESERVED",TRIM([1]DATABASE!Q133)="PSPA"),[1]DATABASE!AC133=""),"Active no Owner",""),IF(OR([1]DATABASE!F133="",[1]DATABASE!F133&lt;=0),"Missing/Invalid Area",""),IF(AND([1]DATABASE!T133&gt;0,ABS([1]DATABASE!T133-[1]DATABASE!W133-[1]DATABASE!U133-[1]DATABASE!V133)&gt;1),"Price Bridge Mismatch",""))</f>
        <v/>
      </c>
      <c r="H172" t="str">
        <f t="shared" si="5"/>
        <v>PASS</v>
      </c>
      <c r="I172" s="90">
        <f>[1]DATABASE!T133</f>
        <v>587100</v>
      </c>
      <c r="J172" t="str">
        <f>[1]DATABASE!AC133</f>
        <v>Ana Damásio</v>
      </c>
    </row>
    <row r="173" spans="1:10" ht="13.95" customHeight="1" x14ac:dyDescent="0.3">
      <c r="A173">
        <f>ROW([1]DATABASE!A134)</f>
        <v>134</v>
      </c>
      <c r="B173" t="str">
        <f>[1]DATABASE!AJ134</f>
        <v>Botanica</v>
      </c>
      <c r="C173" t="str">
        <f>[1]DATABASE!C134</f>
        <v>BG</v>
      </c>
      <c r="D173" t="str">
        <f>TRIM([1]DATABASE!Q134)</f>
        <v>PSPA</v>
      </c>
      <c r="E173" s="82" t="str">
        <f>_xlfn.TEXTJOIN("; ",TRUE,IF([1]DATABASE!X134&lt;0,"Negative Discount",""),IF(AND([1]DATABASE!Y134&gt;[1]DATABASE!T134,[1]DATABASE!Y134&gt;0,[1]DATABASE!T134&gt;0),"Sell Price &gt; Current",""),IF(AND(TRIM([1]DATABASE!Q134)="DEED",[1]DATABASE!AA134=""),"Deeded no PSPA Date",""),IF([1]DATABASE!E134="","Missing Typology",""),IF([1]DATABASE!AJ134="","Missing Development",""))</f>
        <v/>
      </c>
      <c r="F173" s="82" t="str">
        <f>_xlfn.TEXTJOIN("; ",TRUE,IF(AND(OR(TRIM([1]DATABASE!Q134)="RESERVED",TRIM([1]DATABASE!Q134)="PRE-RESERVED",TRIM([1]DATABASE!Q134)="PSPA"),[1]DATABASE!AA134=""),"Reserved/PSPA no PSPA Date",""),IF(AND(TRIM([1]DATABASE!Q134)="AVAILABLE",[1]DATABASE!AA134&lt;&gt;""),"Available has PSPA Date",""))</f>
        <v/>
      </c>
      <c r="G173" s="82" t="str">
        <f>_xlfn.TEXTJOIN("; ",TRUE,IF(AND([1]DATABASE!T134&lt;0.8*[1]DATABASE!S134,[1]DATABASE!T134&gt;0,[1]DATABASE!S134&gt;0),"Heavy Price Cut &gt;20%",""),IF(AND(OR(TRIM([1]DATABASE!Q134)="AVAILABLE",TRIM([1]DATABASE!Q134)="UPON REQUEST"),OR([1]DATABASE!T134="",[1]DATABASE!T134=0)),"Active Unit no Price",""),IF(AND(OR(TRIM([1]DATABASE!Q134)="AVAILABLE",TRIM([1]DATABASE!Q134)="RESERVED",TRIM([1]DATABASE!Q134)="PRE-RESERVED",TRIM([1]DATABASE!Q134)="PSPA"),[1]DATABASE!AC134=""),"Active no Owner",""),IF(OR([1]DATABASE!F134="",[1]DATABASE!F134&lt;=0),"Missing/Invalid Area",""),IF(AND([1]DATABASE!T134&gt;0,ABS([1]DATABASE!T134-[1]DATABASE!W134-[1]DATABASE!U134-[1]DATABASE!V134)&gt;1),"Price Bridge Mismatch",""))</f>
        <v/>
      </c>
      <c r="H173" t="str">
        <f t="shared" si="5"/>
        <v>PASS</v>
      </c>
      <c r="I173" s="90">
        <f>[1]DATABASE!T134</f>
        <v>1050000</v>
      </c>
      <c r="J173" t="str">
        <f>[1]DATABASE!AC134</f>
        <v>Ana Damásio</v>
      </c>
    </row>
    <row r="174" spans="1:10" ht="13.95" customHeight="1" x14ac:dyDescent="0.3">
      <c r="A174">
        <f>ROW([1]DATABASE!A135)</f>
        <v>135</v>
      </c>
      <c r="B174" t="str">
        <f>[1]DATABASE!AJ135</f>
        <v>Botanica</v>
      </c>
      <c r="C174" t="str">
        <f>[1]DATABASE!C135</f>
        <v>BH</v>
      </c>
      <c r="D174" t="str">
        <f>TRIM([1]DATABASE!Q135)</f>
        <v>PSPA</v>
      </c>
      <c r="E174" s="82" t="str">
        <f>_xlfn.TEXTJOIN("; ",TRUE,IF([1]DATABASE!X135&lt;0,"Negative Discount",""),IF(AND([1]DATABASE!Y135&gt;[1]DATABASE!T135,[1]DATABASE!Y135&gt;0,[1]DATABASE!T135&gt;0),"Sell Price &gt; Current",""),IF(AND(TRIM([1]DATABASE!Q135)="DEED",[1]DATABASE!AA135=""),"Deeded no PSPA Date",""),IF([1]DATABASE!E135="","Missing Typology",""),IF([1]DATABASE!AJ135="","Missing Development",""))</f>
        <v/>
      </c>
      <c r="F174" s="82" t="str">
        <f>_xlfn.TEXTJOIN("; ",TRUE,IF(AND(OR(TRIM([1]DATABASE!Q135)="RESERVED",TRIM([1]DATABASE!Q135)="PRE-RESERVED",TRIM([1]DATABASE!Q135)="PSPA"),[1]DATABASE!AA135=""),"Reserved/PSPA no PSPA Date",""),IF(AND(TRIM([1]DATABASE!Q135)="AVAILABLE",[1]DATABASE!AA135&lt;&gt;""),"Available has PSPA Date",""))</f>
        <v/>
      </c>
      <c r="G174" s="82" t="str">
        <f>_xlfn.TEXTJOIN("; ",TRUE,IF(AND([1]DATABASE!T135&lt;0.8*[1]DATABASE!S135,[1]DATABASE!T135&gt;0,[1]DATABASE!S135&gt;0),"Heavy Price Cut &gt;20%",""),IF(AND(OR(TRIM([1]DATABASE!Q135)="AVAILABLE",TRIM([1]DATABASE!Q135)="UPON REQUEST"),OR([1]DATABASE!T135="",[1]DATABASE!T135=0)),"Active Unit no Price",""),IF(AND(OR(TRIM([1]DATABASE!Q135)="AVAILABLE",TRIM([1]DATABASE!Q135)="RESERVED",TRIM([1]DATABASE!Q135)="PRE-RESERVED",TRIM([1]DATABASE!Q135)="PSPA"),[1]DATABASE!AC135=""),"Active no Owner",""),IF(OR([1]DATABASE!F135="",[1]DATABASE!F135&lt;=0),"Missing/Invalid Area",""),IF(AND([1]DATABASE!T135&gt;0,ABS([1]DATABASE!T135-[1]DATABASE!W135-[1]DATABASE!U135-[1]DATABASE!V135)&gt;1),"Price Bridge Mismatch",""))</f>
        <v/>
      </c>
      <c r="H174" t="str">
        <f t="shared" si="5"/>
        <v>PASS</v>
      </c>
      <c r="I174" s="90">
        <f>[1]DATABASE!T135</f>
        <v>1810000</v>
      </c>
      <c r="J174" t="str">
        <f>[1]DATABASE!AC135</f>
        <v>Ana Damásio</v>
      </c>
    </row>
    <row r="175" spans="1:10" ht="13.95" customHeight="1" x14ac:dyDescent="0.3">
      <c r="A175">
        <f>ROW([1]DATABASE!A136)</f>
        <v>136</v>
      </c>
      <c r="B175" t="str">
        <f>[1]DATABASE!AJ136</f>
        <v>Terracota</v>
      </c>
      <c r="C175" t="str">
        <f>[1]DATABASE!C136</f>
        <v>BL</v>
      </c>
      <c r="D175" t="str">
        <f>TRIM([1]DATABASE!Q136)</f>
        <v>PSPA</v>
      </c>
      <c r="E175" s="82" t="str">
        <f>_xlfn.TEXTJOIN("; ",TRUE,IF([1]DATABASE!X136&lt;0,"Negative Discount",""),IF(AND([1]DATABASE!Y136&gt;[1]DATABASE!T136,[1]DATABASE!Y136&gt;0,[1]DATABASE!T136&gt;0),"Sell Price &gt; Current",""),IF(AND(TRIM([1]DATABASE!Q136)="DEED",[1]DATABASE!AA136=""),"Deeded no PSPA Date",""),IF([1]DATABASE!E136="","Missing Typology",""),IF([1]DATABASE!AJ136="","Missing Development",""))</f>
        <v/>
      </c>
      <c r="F175" s="82" t="str">
        <f>_xlfn.TEXTJOIN("; ",TRUE,IF(AND(OR(TRIM([1]DATABASE!Q136)="RESERVED",TRIM([1]DATABASE!Q136)="PRE-RESERVED",TRIM([1]DATABASE!Q136)="PSPA"),[1]DATABASE!AA136=""),"Reserved/PSPA no PSPA Date",""),IF(AND(TRIM([1]DATABASE!Q136)="AVAILABLE",[1]DATABASE!AA136&lt;&gt;""),"Available has PSPA Date",""))</f>
        <v/>
      </c>
      <c r="G175" s="82" t="str">
        <f>_xlfn.TEXTJOIN("; ",TRUE,IF(AND([1]DATABASE!T136&lt;0.8*[1]DATABASE!S136,[1]DATABASE!T136&gt;0,[1]DATABASE!S136&gt;0),"Heavy Price Cut &gt;20%",""),IF(AND(OR(TRIM([1]DATABASE!Q136)="AVAILABLE",TRIM([1]DATABASE!Q136)="UPON REQUEST"),OR([1]DATABASE!T136="",[1]DATABASE!T136=0)),"Active Unit no Price",""),IF(AND(OR(TRIM([1]DATABASE!Q136)="AVAILABLE",TRIM([1]DATABASE!Q136)="RESERVED",TRIM([1]DATABASE!Q136)="PRE-RESERVED",TRIM([1]DATABASE!Q136)="PSPA"),[1]DATABASE!AC136=""),"Active no Owner",""),IF(OR([1]DATABASE!F136="",[1]DATABASE!F136&lt;=0),"Missing/Invalid Area",""),IF(AND([1]DATABASE!T136&gt;0,ABS([1]DATABASE!T136-[1]DATABASE!W136-[1]DATABASE!U136-[1]DATABASE!V136)&gt;1),"Price Bridge Mismatch",""))</f>
        <v/>
      </c>
      <c r="H175" t="str">
        <f t="shared" si="5"/>
        <v>PASS</v>
      </c>
      <c r="I175" s="90">
        <f>[1]DATABASE!T136</f>
        <v>675000</v>
      </c>
      <c r="J175" t="str">
        <f>[1]DATABASE!AC136</f>
        <v>Ana Damásio</v>
      </c>
    </row>
    <row r="176" spans="1:10" ht="13.95" customHeight="1" x14ac:dyDescent="0.3">
      <c r="A176">
        <f>ROW([1]DATABASE!A137)</f>
        <v>137</v>
      </c>
      <c r="B176" t="str">
        <f>[1]DATABASE!AJ137</f>
        <v>Terracota</v>
      </c>
      <c r="C176" t="str">
        <f>[1]DATABASE!C137</f>
        <v>BM</v>
      </c>
      <c r="D176" t="str">
        <f>TRIM([1]DATABASE!Q137)</f>
        <v>PSPA</v>
      </c>
      <c r="E176" s="82" t="str">
        <f>_xlfn.TEXTJOIN("; ",TRUE,IF([1]DATABASE!X137&lt;0,"Negative Discount",""),IF(AND([1]DATABASE!Y137&gt;[1]DATABASE!T137,[1]DATABASE!Y137&gt;0,[1]DATABASE!T137&gt;0),"Sell Price &gt; Current",""),IF(AND(TRIM([1]DATABASE!Q137)="DEED",[1]DATABASE!AA137=""),"Deeded no PSPA Date",""),IF([1]DATABASE!E137="","Missing Typology",""),IF([1]DATABASE!AJ137="","Missing Development",""))</f>
        <v/>
      </c>
      <c r="F176" s="82" t="str">
        <f>_xlfn.TEXTJOIN("; ",TRUE,IF(AND(OR(TRIM([1]DATABASE!Q137)="RESERVED",TRIM([1]DATABASE!Q137)="PRE-RESERVED",TRIM([1]DATABASE!Q137)="PSPA"),[1]DATABASE!AA137=""),"Reserved/PSPA no PSPA Date",""),IF(AND(TRIM([1]DATABASE!Q137)="AVAILABLE",[1]DATABASE!AA137&lt;&gt;""),"Available has PSPA Date",""))</f>
        <v/>
      </c>
      <c r="G176" s="82" t="str">
        <f>_xlfn.TEXTJOIN("; ",TRUE,IF(AND([1]DATABASE!T137&lt;0.8*[1]DATABASE!S137,[1]DATABASE!T137&gt;0,[1]DATABASE!S137&gt;0),"Heavy Price Cut &gt;20%",""),IF(AND(OR(TRIM([1]DATABASE!Q137)="AVAILABLE",TRIM([1]DATABASE!Q137)="UPON REQUEST"),OR([1]DATABASE!T137="",[1]DATABASE!T137=0)),"Active Unit no Price",""),IF(AND(OR(TRIM([1]DATABASE!Q137)="AVAILABLE",TRIM([1]DATABASE!Q137)="RESERVED",TRIM([1]DATABASE!Q137)="PRE-RESERVED",TRIM([1]DATABASE!Q137)="PSPA"),[1]DATABASE!AC137=""),"Active no Owner",""),IF(OR([1]DATABASE!F137="",[1]DATABASE!F137&lt;=0),"Missing/Invalid Area",""),IF(AND([1]DATABASE!T137&gt;0,ABS([1]DATABASE!T137-[1]DATABASE!W137-[1]DATABASE!U137-[1]DATABASE!V137)&gt;1),"Price Bridge Mismatch",""))</f>
        <v/>
      </c>
      <c r="H176" t="str">
        <f t="shared" si="5"/>
        <v>PASS</v>
      </c>
      <c r="I176" s="90">
        <f>[1]DATABASE!T137</f>
        <v>750000</v>
      </c>
      <c r="J176" t="str">
        <f>[1]DATABASE!AC137</f>
        <v>Ana Damásio</v>
      </c>
    </row>
    <row r="177" spans="1:10" ht="13.95" customHeight="1" x14ac:dyDescent="0.3">
      <c r="A177">
        <f>ROW([1]DATABASE!A138)</f>
        <v>138</v>
      </c>
      <c r="B177" t="str">
        <f>[1]DATABASE!AJ138</f>
        <v>Terracota</v>
      </c>
      <c r="C177" t="str">
        <f>[1]DATABASE!C138</f>
        <v>BN</v>
      </c>
      <c r="D177" t="str">
        <f>TRIM([1]DATABASE!Q138)</f>
        <v>PSPA</v>
      </c>
      <c r="E177" s="82" t="str">
        <f>_xlfn.TEXTJOIN("; ",TRUE,IF([1]DATABASE!X138&lt;0,"Negative Discount",""),IF(AND([1]DATABASE!Y138&gt;[1]DATABASE!T138,[1]DATABASE!Y138&gt;0,[1]DATABASE!T138&gt;0),"Sell Price &gt; Current",""),IF(AND(TRIM([1]DATABASE!Q138)="DEED",[1]DATABASE!AA138=""),"Deeded no PSPA Date",""),IF([1]DATABASE!E138="","Missing Typology",""),IF([1]DATABASE!AJ138="","Missing Development",""))</f>
        <v/>
      </c>
      <c r="F177" s="82" t="str">
        <f>_xlfn.TEXTJOIN("; ",TRUE,IF(AND(OR(TRIM([1]DATABASE!Q138)="RESERVED",TRIM([1]DATABASE!Q138)="PRE-RESERVED",TRIM([1]DATABASE!Q138)="PSPA"),[1]DATABASE!AA138=""),"Reserved/PSPA no PSPA Date",""),IF(AND(TRIM([1]DATABASE!Q138)="AVAILABLE",[1]DATABASE!AA138&lt;&gt;""),"Available has PSPA Date",""))</f>
        <v/>
      </c>
      <c r="G177" s="82" t="str">
        <f>_xlfn.TEXTJOIN("; ",TRUE,IF(AND([1]DATABASE!T138&lt;0.8*[1]DATABASE!S138,[1]DATABASE!T138&gt;0,[1]DATABASE!S138&gt;0),"Heavy Price Cut &gt;20%",""),IF(AND(OR(TRIM([1]DATABASE!Q138)="AVAILABLE",TRIM([1]DATABASE!Q138)="UPON REQUEST"),OR([1]DATABASE!T138="",[1]DATABASE!T138=0)),"Active Unit no Price",""),IF(AND(OR(TRIM([1]DATABASE!Q138)="AVAILABLE",TRIM([1]DATABASE!Q138)="RESERVED",TRIM([1]DATABASE!Q138)="PRE-RESERVED",TRIM([1]DATABASE!Q138)="PSPA"),[1]DATABASE!AC138=""),"Active no Owner",""),IF(OR([1]DATABASE!F138="",[1]DATABASE!F138&lt;=0),"Missing/Invalid Area",""),IF(AND([1]DATABASE!T138&gt;0,ABS([1]DATABASE!T138-[1]DATABASE!W138-[1]DATABASE!U138-[1]DATABASE!V138)&gt;1),"Price Bridge Mismatch",""))</f>
        <v/>
      </c>
      <c r="H177" t="str">
        <f t="shared" si="5"/>
        <v>PASS</v>
      </c>
      <c r="I177" s="90">
        <f>[1]DATABASE!T138</f>
        <v>670000</v>
      </c>
      <c r="J177" t="str">
        <f>[1]DATABASE!AC138</f>
        <v>Ana Damásio</v>
      </c>
    </row>
    <row r="178" spans="1:10" ht="13.95" customHeight="1" x14ac:dyDescent="0.3">
      <c r="A178">
        <f>ROW([1]DATABASE!A139)</f>
        <v>139</v>
      </c>
      <c r="B178" t="str">
        <f>[1]DATABASE!AJ139</f>
        <v>Terracota</v>
      </c>
      <c r="C178" t="str">
        <f>[1]DATABASE!C139</f>
        <v>BO</v>
      </c>
      <c r="D178" t="str">
        <f>TRIM([1]DATABASE!Q139)</f>
        <v>PSPA</v>
      </c>
      <c r="E178" s="82" t="str">
        <f>_xlfn.TEXTJOIN("; ",TRUE,IF([1]DATABASE!X139&lt;0,"Negative Discount",""),IF(AND([1]DATABASE!Y139&gt;[1]DATABASE!T139,[1]DATABASE!Y139&gt;0,[1]DATABASE!T139&gt;0),"Sell Price &gt; Current",""),IF(AND(TRIM([1]DATABASE!Q139)="DEED",[1]DATABASE!AA139=""),"Deeded no PSPA Date",""),IF([1]DATABASE!E139="","Missing Typology",""),IF([1]DATABASE!AJ139="","Missing Development",""))</f>
        <v/>
      </c>
      <c r="F178" s="82" t="str">
        <f>_xlfn.TEXTJOIN("; ",TRUE,IF(AND(OR(TRIM([1]DATABASE!Q139)="RESERVED",TRIM([1]DATABASE!Q139)="PRE-RESERVED",TRIM([1]DATABASE!Q139)="PSPA"),[1]DATABASE!AA139=""),"Reserved/PSPA no PSPA Date",""),IF(AND(TRIM([1]DATABASE!Q139)="AVAILABLE",[1]DATABASE!AA139&lt;&gt;""),"Available has PSPA Date",""))</f>
        <v/>
      </c>
      <c r="G178" s="82" t="str">
        <f>_xlfn.TEXTJOIN("; ",TRUE,IF(AND([1]DATABASE!T139&lt;0.8*[1]DATABASE!S139,[1]DATABASE!T139&gt;0,[1]DATABASE!S139&gt;0),"Heavy Price Cut &gt;20%",""),IF(AND(OR(TRIM([1]DATABASE!Q139)="AVAILABLE",TRIM([1]DATABASE!Q139)="UPON REQUEST"),OR([1]DATABASE!T139="",[1]DATABASE!T139=0)),"Active Unit no Price",""),IF(AND(OR(TRIM([1]DATABASE!Q139)="AVAILABLE",TRIM([1]DATABASE!Q139)="RESERVED",TRIM([1]DATABASE!Q139)="PRE-RESERVED",TRIM([1]DATABASE!Q139)="PSPA"),[1]DATABASE!AC139=""),"Active no Owner",""),IF(OR([1]DATABASE!F139="",[1]DATABASE!F139&lt;=0),"Missing/Invalid Area",""),IF(AND([1]DATABASE!T139&gt;0,ABS([1]DATABASE!T139-[1]DATABASE!W139-[1]DATABASE!U139-[1]DATABASE!V139)&gt;1),"Price Bridge Mismatch",""))</f>
        <v/>
      </c>
      <c r="H178" t="str">
        <f t="shared" si="5"/>
        <v>PASS</v>
      </c>
      <c r="I178" s="90">
        <f>[1]DATABASE!T139</f>
        <v>590000</v>
      </c>
      <c r="J178" t="str">
        <f>[1]DATABASE!AC139</f>
        <v>Ana Damásio</v>
      </c>
    </row>
    <row r="179" spans="1:10" ht="13.95" customHeight="1" x14ac:dyDescent="0.3">
      <c r="A179">
        <f>ROW([1]DATABASE!A140)</f>
        <v>140</v>
      </c>
      <c r="B179" t="str">
        <f>[1]DATABASE!AJ140</f>
        <v>Terracota</v>
      </c>
      <c r="C179" t="str">
        <f>[1]DATABASE!C140</f>
        <v>BP</v>
      </c>
      <c r="D179" t="str">
        <f>TRIM([1]DATABASE!Q140)</f>
        <v>PSPA</v>
      </c>
      <c r="E179" s="82" t="str">
        <f>_xlfn.TEXTJOIN("; ",TRUE,IF([1]DATABASE!X140&lt;0,"Negative Discount",""),IF(AND([1]DATABASE!Y140&gt;[1]DATABASE!T140,[1]DATABASE!Y140&gt;0,[1]DATABASE!T140&gt;0),"Sell Price &gt; Current",""),IF(AND(TRIM([1]DATABASE!Q140)="DEED",[1]DATABASE!AA140=""),"Deeded no PSPA Date",""),IF([1]DATABASE!E140="","Missing Typology",""),IF([1]DATABASE!AJ140="","Missing Development",""))</f>
        <v/>
      </c>
      <c r="F179" s="82" t="str">
        <f>_xlfn.TEXTJOIN("; ",TRUE,IF(AND(OR(TRIM([1]DATABASE!Q140)="RESERVED",TRIM([1]DATABASE!Q140)="PRE-RESERVED",TRIM([1]DATABASE!Q140)="PSPA"),[1]DATABASE!AA140=""),"Reserved/PSPA no PSPA Date",""),IF(AND(TRIM([1]DATABASE!Q140)="AVAILABLE",[1]DATABASE!AA140&lt;&gt;""),"Available has PSPA Date",""))</f>
        <v/>
      </c>
      <c r="G179" s="82" t="str">
        <f>_xlfn.TEXTJOIN("; ",TRUE,IF(AND([1]DATABASE!T140&lt;0.8*[1]DATABASE!S140,[1]DATABASE!T140&gt;0,[1]DATABASE!S140&gt;0),"Heavy Price Cut &gt;20%",""),IF(AND(OR(TRIM([1]DATABASE!Q140)="AVAILABLE",TRIM([1]DATABASE!Q140)="UPON REQUEST"),OR([1]DATABASE!T140="",[1]DATABASE!T140=0)),"Active Unit no Price",""),IF(AND(OR(TRIM([1]DATABASE!Q140)="AVAILABLE",TRIM([1]DATABASE!Q140)="RESERVED",TRIM([1]DATABASE!Q140)="PRE-RESERVED",TRIM([1]DATABASE!Q140)="PSPA"),[1]DATABASE!AC140=""),"Active no Owner",""),IF(OR([1]DATABASE!F140="",[1]DATABASE!F140&lt;=0),"Missing/Invalid Area",""),IF(AND([1]DATABASE!T140&gt;0,ABS([1]DATABASE!T140-[1]DATABASE!W140-[1]DATABASE!U140-[1]DATABASE!V140)&gt;1),"Price Bridge Mismatch",""))</f>
        <v/>
      </c>
      <c r="H179" t="str">
        <f t="shared" si="5"/>
        <v>PASS</v>
      </c>
      <c r="I179" s="90">
        <f>[1]DATABASE!T140</f>
        <v>690000</v>
      </c>
      <c r="J179" t="str">
        <f>[1]DATABASE!AC140</f>
        <v>Ana Damásio</v>
      </c>
    </row>
    <row r="180" spans="1:10" ht="13.95" customHeight="1" x14ac:dyDescent="0.3">
      <c r="A180">
        <f>ROW([1]DATABASE!A141)</f>
        <v>141</v>
      </c>
      <c r="B180" t="str">
        <f>[1]DATABASE!AJ141</f>
        <v>Vale Pisão Grand Park</v>
      </c>
      <c r="C180" t="str">
        <f>[1]DATABASE!C141</f>
        <v>2C</v>
      </c>
      <c r="D180" t="str">
        <f>TRIM([1]DATABASE!Q141)</f>
        <v>AVAILABLE</v>
      </c>
      <c r="E180" s="82" t="str">
        <f>_xlfn.TEXTJOIN("; ",TRUE,IF([1]DATABASE!X141&lt;0,"Negative Discount",""),IF(AND([1]DATABASE!Y141&gt;[1]DATABASE!T141,[1]DATABASE!Y141&gt;0,[1]DATABASE!T141&gt;0),"Sell Price &gt; Current",""),IF(AND(TRIM([1]DATABASE!Q141)="DEED",[1]DATABASE!AA141=""),"Deeded no PSPA Date",""),IF([1]DATABASE!E141="","Missing Typology",""),IF([1]DATABASE!AJ141="","Missing Development",""))</f>
        <v/>
      </c>
      <c r="F180" s="82" t="str">
        <f>_xlfn.TEXTJOIN("; ",TRUE,IF(AND(OR(TRIM([1]DATABASE!Q141)="RESERVED",TRIM([1]DATABASE!Q141)="PRE-RESERVED",TRIM([1]DATABASE!Q141)="PSPA"),[1]DATABASE!AA141=""),"Reserved/PSPA no PSPA Date",""),IF(AND(TRIM([1]DATABASE!Q141)="AVAILABLE",[1]DATABASE!AA141&lt;&gt;""),"Available has PSPA Date",""))</f>
        <v>Available has PSPA Date</v>
      </c>
      <c r="G180" s="82" t="str">
        <f>_xlfn.TEXTJOIN("; ",TRUE,IF(AND([1]DATABASE!T141&lt;0.8*[1]DATABASE!S141,[1]DATABASE!T141&gt;0,[1]DATABASE!S141&gt;0),"Heavy Price Cut &gt;20%",""),IF(AND(OR(TRIM([1]DATABASE!Q141)="AVAILABLE",TRIM([1]DATABASE!Q141)="UPON REQUEST"),OR([1]DATABASE!T141="",[1]DATABASE!T141=0)),"Active Unit no Price",""),IF(AND(OR(TRIM([1]DATABASE!Q141)="AVAILABLE",TRIM([1]DATABASE!Q141)="RESERVED",TRIM([1]DATABASE!Q141)="PRE-RESERVED",TRIM([1]DATABASE!Q141)="PSPA"),[1]DATABASE!AC141=""),"Active no Owner",""),IF(OR([1]DATABASE!F141="",[1]DATABASE!F141&lt;=0),"Missing/Invalid Area",""),IF(AND([1]DATABASE!T141&gt;0,ABS([1]DATABASE!T141-[1]DATABASE!W141-[1]DATABASE!U141-[1]DATABASE!V141)&gt;1),"Price Bridge Mismatch",""))</f>
        <v/>
      </c>
      <c r="H180" t="str">
        <f t="shared" si="5"/>
        <v>REVIEW</v>
      </c>
      <c r="I180" s="90">
        <f>[1]DATABASE!T141</f>
        <v>1120000</v>
      </c>
      <c r="J180" t="str">
        <f>[1]DATABASE!AC141</f>
        <v>João Gameiro</v>
      </c>
    </row>
    <row r="181" spans="1:10" ht="13.95" customHeight="1" x14ac:dyDescent="0.3">
      <c r="A181">
        <f>ROW([1]DATABASE!A142)</f>
        <v>142</v>
      </c>
      <c r="B181" t="str">
        <f>[1]DATABASE!AJ142</f>
        <v>Aroeira Collections</v>
      </c>
      <c r="C181" t="str">
        <f>[1]DATABASE!C142</f>
        <v>116A</v>
      </c>
      <c r="D181" t="str">
        <f>TRIM([1]DATABASE!Q142)</f>
        <v>PSPA</v>
      </c>
      <c r="E181" s="82" t="str">
        <f>_xlfn.TEXTJOIN("; ",TRUE,IF([1]DATABASE!X142&lt;0,"Negative Discount",""),IF(AND([1]DATABASE!Y142&gt;[1]DATABASE!T142,[1]DATABASE!Y142&gt;0,[1]DATABASE!T142&gt;0),"Sell Price &gt; Current",""),IF(AND(TRIM([1]DATABASE!Q142)="DEED",[1]DATABASE!AA142=""),"Deeded no PSPA Date",""),IF([1]DATABASE!E142="","Missing Typology",""),IF([1]DATABASE!AJ142="","Missing Development",""))</f>
        <v/>
      </c>
      <c r="F181" s="82" t="str">
        <f>_xlfn.TEXTJOIN("; ",TRUE,IF(AND(OR(TRIM([1]DATABASE!Q142)="RESERVED",TRIM([1]DATABASE!Q142)="PRE-RESERVED",TRIM([1]DATABASE!Q142)="PSPA"),[1]DATABASE!AA142=""),"Reserved/PSPA no PSPA Date",""),IF(AND(TRIM([1]DATABASE!Q142)="AVAILABLE",[1]DATABASE!AA142&lt;&gt;""),"Available has PSPA Date",""))</f>
        <v/>
      </c>
      <c r="G181" s="82" t="str">
        <f>_xlfn.TEXTJOIN("; ",TRUE,IF(AND([1]DATABASE!T142&lt;0.8*[1]DATABASE!S142,[1]DATABASE!T142&gt;0,[1]DATABASE!S142&gt;0),"Heavy Price Cut &gt;20%",""),IF(AND(OR(TRIM([1]DATABASE!Q142)="AVAILABLE",TRIM([1]DATABASE!Q142)="UPON REQUEST"),OR([1]DATABASE!T142="",[1]DATABASE!T142=0)),"Active Unit no Price",""),IF(AND(OR(TRIM([1]DATABASE!Q142)="AVAILABLE",TRIM([1]DATABASE!Q142)="RESERVED",TRIM([1]DATABASE!Q142)="PRE-RESERVED",TRIM([1]DATABASE!Q142)="PSPA"),[1]DATABASE!AC142=""),"Active no Owner",""),IF(OR([1]DATABASE!F142="",[1]DATABASE!F142&lt;=0),"Missing/Invalid Area",""),IF(AND([1]DATABASE!T142&gt;0,ABS([1]DATABASE!T142-[1]DATABASE!W142-[1]DATABASE!U142-[1]DATABASE!V142)&gt;1),"Price Bridge Mismatch",""))</f>
        <v/>
      </c>
      <c r="H181" t="str">
        <f t="shared" si="5"/>
        <v>PASS</v>
      </c>
      <c r="I181" s="90">
        <f>[1]DATABASE!T142</f>
        <v>430000</v>
      </c>
      <c r="J181" t="str">
        <f>[1]DATABASE!AC142</f>
        <v>João Gameiro</v>
      </c>
    </row>
    <row r="182" spans="1:10" ht="13.95" customHeight="1" x14ac:dyDescent="0.3">
      <c r="A182">
        <f>ROW([1]DATABASE!A143)</f>
        <v>143</v>
      </c>
      <c r="B182" t="str">
        <f>[1]DATABASE!AJ143</f>
        <v>Terracota</v>
      </c>
      <c r="C182" t="str">
        <f>[1]DATABASE!C143</f>
        <v>BQ</v>
      </c>
      <c r="D182" t="str">
        <f>TRIM([1]DATABASE!Q143)</f>
        <v>PSPA</v>
      </c>
      <c r="E182" s="82" t="str">
        <f>_xlfn.TEXTJOIN("; ",TRUE,IF([1]DATABASE!X143&lt;0,"Negative Discount",""),IF(AND([1]DATABASE!Y143&gt;[1]DATABASE!T143,[1]DATABASE!Y143&gt;0,[1]DATABASE!T143&gt;0),"Sell Price &gt; Current",""),IF(AND(TRIM([1]DATABASE!Q143)="DEED",[1]DATABASE!AA143=""),"Deeded no PSPA Date",""),IF([1]DATABASE!E143="","Missing Typology",""),IF([1]DATABASE!AJ143="","Missing Development",""))</f>
        <v/>
      </c>
      <c r="F182" s="82" t="str">
        <f>_xlfn.TEXTJOIN("; ",TRUE,IF(AND(OR(TRIM([1]DATABASE!Q143)="RESERVED",TRIM([1]DATABASE!Q143)="PRE-RESERVED",TRIM([1]DATABASE!Q143)="PSPA"),[1]DATABASE!AA143=""),"Reserved/PSPA no PSPA Date",""),IF(AND(TRIM([1]DATABASE!Q143)="AVAILABLE",[1]DATABASE!AA143&lt;&gt;""),"Available has PSPA Date",""))</f>
        <v/>
      </c>
      <c r="G182" s="82" t="str">
        <f>_xlfn.TEXTJOIN("; ",TRUE,IF(AND([1]DATABASE!T143&lt;0.8*[1]DATABASE!S143,[1]DATABASE!T143&gt;0,[1]DATABASE!S143&gt;0),"Heavy Price Cut &gt;20%",""),IF(AND(OR(TRIM([1]DATABASE!Q143)="AVAILABLE",TRIM([1]DATABASE!Q143)="UPON REQUEST"),OR([1]DATABASE!T143="",[1]DATABASE!T143=0)),"Active Unit no Price",""),IF(AND(OR(TRIM([1]DATABASE!Q143)="AVAILABLE",TRIM([1]DATABASE!Q143)="RESERVED",TRIM([1]DATABASE!Q143)="PRE-RESERVED",TRIM([1]DATABASE!Q143)="PSPA"),[1]DATABASE!AC143=""),"Active no Owner",""),IF(OR([1]DATABASE!F143="",[1]DATABASE!F143&lt;=0),"Missing/Invalid Area",""),IF(AND([1]DATABASE!T143&gt;0,ABS([1]DATABASE!T143-[1]DATABASE!W143-[1]DATABASE!U143-[1]DATABASE!V143)&gt;1),"Price Bridge Mismatch",""))</f>
        <v/>
      </c>
      <c r="H182" t="str">
        <f t="shared" si="5"/>
        <v>PASS</v>
      </c>
      <c r="I182" s="90">
        <f>[1]DATABASE!T143</f>
        <v>690000</v>
      </c>
      <c r="J182" t="str">
        <f>[1]DATABASE!AC143</f>
        <v>Ana Damásio</v>
      </c>
    </row>
    <row r="183" spans="1:10" ht="13.95" customHeight="1" x14ac:dyDescent="0.3">
      <c r="A183">
        <f>ROW([1]DATABASE!A144)</f>
        <v>144</v>
      </c>
      <c r="B183" t="str">
        <f>[1]DATABASE!AJ144</f>
        <v>Terracota</v>
      </c>
      <c r="C183" t="str">
        <f>[1]DATABASE!C144</f>
        <v>BS</v>
      </c>
      <c r="D183" t="str">
        <f>TRIM([1]DATABASE!Q144)</f>
        <v>PSPA</v>
      </c>
      <c r="E183" s="82" t="str">
        <f>_xlfn.TEXTJOIN("; ",TRUE,IF([1]DATABASE!X144&lt;0,"Negative Discount",""),IF(AND([1]DATABASE!Y144&gt;[1]DATABASE!T144,[1]DATABASE!Y144&gt;0,[1]DATABASE!T144&gt;0),"Sell Price &gt; Current",""),IF(AND(TRIM([1]DATABASE!Q144)="DEED",[1]DATABASE!AA144=""),"Deeded no PSPA Date",""),IF([1]DATABASE!E144="","Missing Typology",""),IF([1]DATABASE!AJ144="","Missing Development",""))</f>
        <v/>
      </c>
      <c r="F183" s="82" t="str">
        <f>_xlfn.TEXTJOIN("; ",TRUE,IF(AND(OR(TRIM([1]DATABASE!Q144)="RESERVED",TRIM([1]DATABASE!Q144)="PRE-RESERVED",TRIM([1]DATABASE!Q144)="PSPA"),[1]DATABASE!AA144=""),"Reserved/PSPA no PSPA Date",""),IF(AND(TRIM([1]DATABASE!Q144)="AVAILABLE",[1]DATABASE!AA144&lt;&gt;""),"Available has PSPA Date",""))</f>
        <v/>
      </c>
      <c r="G183" s="82" t="str">
        <f>_xlfn.TEXTJOIN("; ",TRUE,IF(AND([1]DATABASE!T144&lt;0.8*[1]DATABASE!S144,[1]DATABASE!T144&gt;0,[1]DATABASE!S144&gt;0),"Heavy Price Cut &gt;20%",""),IF(AND(OR(TRIM([1]DATABASE!Q144)="AVAILABLE",TRIM([1]DATABASE!Q144)="UPON REQUEST"),OR([1]DATABASE!T144="",[1]DATABASE!T144=0)),"Active Unit no Price",""),IF(AND(OR(TRIM([1]DATABASE!Q144)="AVAILABLE",TRIM([1]DATABASE!Q144)="RESERVED",TRIM([1]DATABASE!Q144)="PRE-RESERVED",TRIM([1]DATABASE!Q144)="PSPA"),[1]DATABASE!AC144=""),"Active no Owner",""),IF(OR([1]DATABASE!F144="",[1]DATABASE!F144&lt;=0),"Missing/Invalid Area",""),IF(AND([1]DATABASE!T144&gt;0,ABS([1]DATABASE!T144-[1]DATABASE!W144-[1]DATABASE!U144-[1]DATABASE!V144)&gt;1),"Price Bridge Mismatch",""))</f>
        <v/>
      </c>
      <c r="H183" t="str">
        <f t="shared" si="5"/>
        <v>PASS</v>
      </c>
      <c r="I183" s="90">
        <f>[1]DATABASE!T144</f>
        <v>650000</v>
      </c>
      <c r="J183" t="str">
        <f>[1]DATABASE!AC144</f>
        <v>Ana Damásio</v>
      </c>
    </row>
    <row r="184" spans="1:10" ht="13.95" customHeight="1" x14ac:dyDescent="0.3">
      <c r="A184">
        <f>ROW([1]DATABASE!A145)</f>
        <v>145</v>
      </c>
      <c r="B184" t="str">
        <f>[1]DATABASE!AJ145</f>
        <v>Terracota</v>
      </c>
      <c r="C184" t="str">
        <f>[1]DATABASE!C145</f>
        <v>BV</v>
      </c>
      <c r="D184" t="str">
        <f>TRIM([1]DATABASE!Q145)</f>
        <v>PSPA</v>
      </c>
      <c r="E184" s="82" t="str">
        <f>_xlfn.TEXTJOIN("; ",TRUE,IF([1]DATABASE!X145&lt;0,"Negative Discount",""),IF(AND([1]DATABASE!Y145&gt;[1]DATABASE!T145,[1]DATABASE!Y145&gt;0,[1]DATABASE!T145&gt;0),"Sell Price &gt; Current",""),IF(AND(TRIM([1]DATABASE!Q145)="DEED",[1]DATABASE!AA145=""),"Deeded no PSPA Date",""),IF([1]DATABASE!E145="","Missing Typology",""),IF([1]DATABASE!AJ145="","Missing Development",""))</f>
        <v/>
      </c>
      <c r="F184" s="82" t="str">
        <f>_xlfn.TEXTJOIN("; ",TRUE,IF(AND(OR(TRIM([1]DATABASE!Q145)="RESERVED",TRIM([1]DATABASE!Q145)="PRE-RESERVED",TRIM([1]DATABASE!Q145)="PSPA"),[1]DATABASE!AA145=""),"Reserved/PSPA no PSPA Date",""),IF(AND(TRIM([1]DATABASE!Q145)="AVAILABLE",[1]DATABASE!AA145&lt;&gt;""),"Available has PSPA Date",""))</f>
        <v/>
      </c>
      <c r="G184" s="82" t="str">
        <f>_xlfn.TEXTJOIN("; ",TRUE,IF(AND([1]DATABASE!T145&lt;0.8*[1]DATABASE!S145,[1]DATABASE!T145&gt;0,[1]DATABASE!S145&gt;0),"Heavy Price Cut &gt;20%",""),IF(AND(OR(TRIM([1]DATABASE!Q145)="AVAILABLE",TRIM([1]DATABASE!Q145)="UPON REQUEST"),OR([1]DATABASE!T145="",[1]DATABASE!T145=0)),"Active Unit no Price",""),IF(AND(OR(TRIM([1]DATABASE!Q145)="AVAILABLE",TRIM([1]DATABASE!Q145)="RESERVED",TRIM([1]DATABASE!Q145)="PRE-RESERVED",TRIM([1]DATABASE!Q145)="PSPA"),[1]DATABASE!AC145=""),"Active no Owner",""),IF(OR([1]DATABASE!F145="",[1]DATABASE!F145&lt;=0),"Missing/Invalid Area",""),IF(AND([1]DATABASE!T145&gt;0,ABS([1]DATABASE!T145-[1]DATABASE!W145-[1]DATABASE!U145-[1]DATABASE!V145)&gt;1),"Price Bridge Mismatch",""))</f>
        <v/>
      </c>
      <c r="H184" t="str">
        <f t="shared" si="5"/>
        <v>PASS</v>
      </c>
      <c r="I184" s="90">
        <f>[1]DATABASE!T145</f>
        <v>435000</v>
      </c>
      <c r="J184" t="str">
        <f>[1]DATABASE!AC145</f>
        <v>Ana Damásio</v>
      </c>
    </row>
    <row r="185" spans="1:10" ht="13.95" customHeight="1" x14ac:dyDescent="0.3">
      <c r="A185">
        <f>ROW([1]DATABASE!A146)</f>
        <v>146</v>
      </c>
      <c r="B185" t="str">
        <f>[1]DATABASE!AJ146</f>
        <v>Terracota</v>
      </c>
      <c r="C185" t="str">
        <f>[1]DATABASE!C146</f>
        <v>BW</v>
      </c>
      <c r="D185" t="str">
        <f>TRIM([1]DATABASE!Q146)</f>
        <v>PSPA</v>
      </c>
      <c r="E185" s="82" t="str">
        <f>_xlfn.TEXTJOIN("; ",TRUE,IF([1]DATABASE!X146&lt;0,"Negative Discount",""),IF(AND([1]DATABASE!Y146&gt;[1]DATABASE!T146,[1]DATABASE!Y146&gt;0,[1]DATABASE!T146&gt;0),"Sell Price &gt; Current",""),IF(AND(TRIM([1]DATABASE!Q146)="DEED",[1]DATABASE!AA146=""),"Deeded no PSPA Date",""),IF([1]DATABASE!E146="","Missing Typology",""),IF([1]DATABASE!AJ146="","Missing Development",""))</f>
        <v/>
      </c>
      <c r="F185" s="82" t="str">
        <f>_xlfn.TEXTJOIN("; ",TRUE,IF(AND(OR(TRIM([1]DATABASE!Q146)="RESERVED",TRIM([1]DATABASE!Q146)="PRE-RESERVED",TRIM([1]DATABASE!Q146)="PSPA"),[1]DATABASE!AA146=""),"Reserved/PSPA no PSPA Date",""),IF(AND(TRIM([1]DATABASE!Q146)="AVAILABLE",[1]DATABASE!AA146&lt;&gt;""),"Available has PSPA Date",""))</f>
        <v/>
      </c>
      <c r="G185" s="82" t="str">
        <f>_xlfn.TEXTJOIN("; ",TRUE,IF(AND([1]DATABASE!T146&lt;0.8*[1]DATABASE!S146,[1]DATABASE!T146&gt;0,[1]DATABASE!S146&gt;0),"Heavy Price Cut &gt;20%",""),IF(AND(OR(TRIM([1]DATABASE!Q146)="AVAILABLE",TRIM([1]DATABASE!Q146)="UPON REQUEST"),OR([1]DATABASE!T146="",[1]DATABASE!T146=0)),"Active Unit no Price",""),IF(AND(OR(TRIM([1]DATABASE!Q146)="AVAILABLE",TRIM([1]DATABASE!Q146)="RESERVED",TRIM([1]DATABASE!Q146)="PRE-RESERVED",TRIM([1]DATABASE!Q146)="PSPA"),[1]DATABASE!AC146=""),"Active no Owner",""),IF(OR([1]DATABASE!F146="",[1]DATABASE!F146&lt;=0),"Missing/Invalid Area",""),IF(AND([1]DATABASE!T146&gt;0,ABS([1]DATABASE!T146-[1]DATABASE!W146-[1]DATABASE!U146-[1]DATABASE!V146)&gt;1),"Price Bridge Mismatch",""))</f>
        <v/>
      </c>
      <c r="H185" t="str">
        <f t="shared" si="5"/>
        <v>PASS</v>
      </c>
      <c r="I185" s="90">
        <f>[1]DATABASE!T146</f>
        <v>413250</v>
      </c>
      <c r="J185" t="str">
        <f>[1]DATABASE!AC146</f>
        <v>Ana Damásio</v>
      </c>
    </row>
    <row r="186" spans="1:10" ht="13.95" customHeight="1" x14ac:dyDescent="0.3">
      <c r="A186">
        <f>ROW([1]DATABASE!A147)</f>
        <v>147</v>
      </c>
      <c r="B186" t="str">
        <f>[1]DATABASE!AJ147</f>
        <v>Terracota</v>
      </c>
      <c r="C186" t="str">
        <f>[1]DATABASE!C147</f>
        <v>BX</v>
      </c>
      <c r="D186" t="str">
        <f>TRIM([1]DATABASE!Q147)</f>
        <v>PSPA</v>
      </c>
      <c r="E186" s="82" t="str">
        <f>_xlfn.TEXTJOIN("; ",TRUE,IF([1]DATABASE!X147&lt;0,"Negative Discount",""),IF(AND([1]DATABASE!Y147&gt;[1]DATABASE!T147,[1]DATABASE!Y147&gt;0,[1]DATABASE!T147&gt;0),"Sell Price &gt; Current",""),IF(AND(TRIM([1]DATABASE!Q147)="DEED",[1]DATABASE!AA147=""),"Deeded no PSPA Date",""),IF([1]DATABASE!E147="","Missing Typology",""),IF([1]DATABASE!AJ147="","Missing Development",""))</f>
        <v/>
      </c>
      <c r="F186" s="82" t="str">
        <f>_xlfn.TEXTJOIN("; ",TRUE,IF(AND(OR(TRIM([1]DATABASE!Q147)="RESERVED",TRIM([1]DATABASE!Q147)="PRE-RESERVED",TRIM([1]DATABASE!Q147)="PSPA"),[1]DATABASE!AA147=""),"Reserved/PSPA no PSPA Date",""),IF(AND(TRIM([1]DATABASE!Q147)="AVAILABLE",[1]DATABASE!AA147&lt;&gt;""),"Available has PSPA Date",""))</f>
        <v/>
      </c>
      <c r="G186" s="82" t="str">
        <f>_xlfn.TEXTJOIN("; ",TRUE,IF(AND([1]DATABASE!T147&lt;0.8*[1]DATABASE!S147,[1]DATABASE!T147&gt;0,[1]DATABASE!S147&gt;0),"Heavy Price Cut &gt;20%",""),IF(AND(OR(TRIM([1]DATABASE!Q147)="AVAILABLE",TRIM([1]DATABASE!Q147)="UPON REQUEST"),OR([1]DATABASE!T147="",[1]DATABASE!T147=0)),"Active Unit no Price",""),IF(AND(OR(TRIM([1]DATABASE!Q147)="AVAILABLE",TRIM([1]DATABASE!Q147)="RESERVED",TRIM([1]DATABASE!Q147)="PRE-RESERVED",TRIM([1]DATABASE!Q147)="PSPA"),[1]DATABASE!AC147=""),"Active no Owner",""),IF(OR([1]DATABASE!F147="",[1]DATABASE!F147&lt;=0),"Missing/Invalid Area",""),IF(AND([1]DATABASE!T147&gt;0,ABS([1]DATABASE!T147-[1]DATABASE!W147-[1]DATABASE!U147-[1]DATABASE!V147)&gt;1),"Price Bridge Mismatch",""))</f>
        <v/>
      </c>
      <c r="H186" t="str">
        <f t="shared" si="5"/>
        <v>PASS</v>
      </c>
      <c r="I186" s="90">
        <f>[1]DATABASE!T147</f>
        <v>530000</v>
      </c>
      <c r="J186" t="str">
        <f>[1]DATABASE!AC147</f>
        <v>Ana Damásio</v>
      </c>
    </row>
    <row r="187" spans="1:10" ht="13.95" customHeight="1" x14ac:dyDescent="0.3">
      <c r="A187">
        <f>ROW([1]DATABASE!A148)</f>
        <v>148</v>
      </c>
      <c r="B187" t="str">
        <f>[1]DATABASE!AJ148</f>
        <v>Terracota</v>
      </c>
      <c r="C187" t="str">
        <f>[1]DATABASE!C148</f>
        <v>BY</v>
      </c>
      <c r="D187" t="str">
        <f>TRIM([1]DATABASE!Q148)</f>
        <v>PSPA</v>
      </c>
      <c r="E187" s="82" t="str">
        <f>_xlfn.TEXTJOIN("; ",TRUE,IF([1]DATABASE!X148&lt;0,"Negative Discount",""),IF(AND([1]DATABASE!Y148&gt;[1]DATABASE!T148,[1]DATABASE!Y148&gt;0,[1]DATABASE!T148&gt;0),"Sell Price &gt; Current",""),IF(AND(TRIM([1]DATABASE!Q148)="DEED",[1]DATABASE!AA148=""),"Deeded no PSPA Date",""),IF([1]DATABASE!E148="","Missing Typology",""),IF([1]DATABASE!AJ148="","Missing Development",""))</f>
        <v/>
      </c>
      <c r="F187" s="82" t="str">
        <f>_xlfn.TEXTJOIN("; ",TRUE,IF(AND(OR(TRIM([1]DATABASE!Q148)="RESERVED",TRIM([1]DATABASE!Q148)="PRE-RESERVED",TRIM([1]DATABASE!Q148)="PSPA"),[1]DATABASE!AA148=""),"Reserved/PSPA no PSPA Date",""),IF(AND(TRIM([1]DATABASE!Q148)="AVAILABLE",[1]DATABASE!AA148&lt;&gt;""),"Available has PSPA Date",""))</f>
        <v/>
      </c>
      <c r="G187" s="82" t="str">
        <f>_xlfn.TEXTJOIN("; ",TRUE,IF(AND([1]DATABASE!T148&lt;0.8*[1]DATABASE!S148,[1]DATABASE!T148&gt;0,[1]DATABASE!S148&gt;0),"Heavy Price Cut &gt;20%",""),IF(AND(OR(TRIM([1]DATABASE!Q148)="AVAILABLE",TRIM([1]DATABASE!Q148)="UPON REQUEST"),OR([1]DATABASE!T148="",[1]DATABASE!T148=0)),"Active Unit no Price",""),IF(AND(OR(TRIM([1]DATABASE!Q148)="AVAILABLE",TRIM([1]DATABASE!Q148)="RESERVED",TRIM([1]DATABASE!Q148)="PRE-RESERVED",TRIM([1]DATABASE!Q148)="PSPA"),[1]DATABASE!AC148=""),"Active no Owner",""),IF(OR([1]DATABASE!F148="",[1]DATABASE!F148&lt;=0),"Missing/Invalid Area",""),IF(AND([1]DATABASE!T148&gt;0,ABS([1]DATABASE!T148-[1]DATABASE!W148-[1]DATABASE!U148-[1]DATABASE!V148)&gt;1),"Price Bridge Mismatch",""))</f>
        <v/>
      </c>
      <c r="H187" t="str">
        <f t="shared" si="5"/>
        <v>PASS</v>
      </c>
      <c r="I187" s="90">
        <f>[1]DATABASE!T148</f>
        <v>530000</v>
      </c>
      <c r="J187" t="str">
        <f>[1]DATABASE!AC148</f>
        <v>Ana Damásio</v>
      </c>
    </row>
    <row r="188" spans="1:10" ht="13.95" customHeight="1" x14ac:dyDescent="0.3">
      <c r="A188">
        <f>ROW([1]DATABASE!A149)</f>
        <v>149</v>
      </c>
      <c r="B188" t="str">
        <f>[1]DATABASE!AJ149</f>
        <v>Terracota</v>
      </c>
      <c r="C188" t="str">
        <f>[1]DATABASE!C149</f>
        <v>CA</v>
      </c>
      <c r="D188" t="str">
        <f>TRIM([1]DATABASE!Q149)</f>
        <v>PSPA</v>
      </c>
      <c r="E188" s="82" t="str">
        <f>_xlfn.TEXTJOIN("; ",TRUE,IF([1]DATABASE!X149&lt;0,"Negative Discount",""),IF(AND([1]DATABASE!Y149&gt;[1]DATABASE!T149,[1]DATABASE!Y149&gt;0,[1]DATABASE!T149&gt;0),"Sell Price &gt; Current",""),IF(AND(TRIM([1]DATABASE!Q149)="DEED",[1]DATABASE!AA149=""),"Deeded no PSPA Date",""),IF([1]DATABASE!E149="","Missing Typology",""),IF([1]DATABASE!AJ149="","Missing Development",""))</f>
        <v/>
      </c>
      <c r="F188" s="82" t="str">
        <f>_xlfn.TEXTJOIN("; ",TRUE,IF(AND(OR(TRIM([1]DATABASE!Q149)="RESERVED",TRIM([1]DATABASE!Q149)="PRE-RESERVED",TRIM([1]DATABASE!Q149)="PSPA"),[1]DATABASE!AA149=""),"Reserved/PSPA no PSPA Date",""),IF(AND(TRIM([1]DATABASE!Q149)="AVAILABLE",[1]DATABASE!AA149&lt;&gt;""),"Available has PSPA Date",""))</f>
        <v/>
      </c>
      <c r="G188" s="82" t="str">
        <f>_xlfn.TEXTJOIN("; ",TRUE,IF(AND([1]DATABASE!T149&lt;0.8*[1]DATABASE!S149,[1]DATABASE!T149&gt;0,[1]DATABASE!S149&gt;0),"Heavy Price Cut &gt;20%",""),IF(AND(OR(TRIM([1]DATABASE!Q149)="AVAILABLE",TRIM([1]DATABASE!Q149)="UPON REQUEST"),OR([1]DATABASE!T149="",[1]DATABASE!T149=0)),"Active Unit no Price",""),IF(AND(OR(TRIM([1]DATABASE!Q149)="AVAILABLE",TRIM([1]DATABASE!Q149)="RESERVED",TRIM([1]DATABASE!Q149)="PRE-RESERVED",TRIM([1]DATABASE!Q149)="PSPA"),[1]DATABASE!AC149=""),"Active no Owner",""),IF(OR([1]DATABASE!F149="",[1]DATABASE!F149&lt;=0),"Missing/Invalid Area",""),IF(AND([1]DATABASE!T149&gt;0,ABS([1]DATABASE!T149-[1]DATABASE!W149-[1]DATABASE!U149-[1]DATABASE!V149)&gt;1),"Price Bridge Mismatch",""))</f>
        <v/>
      </c>
      <c r="H188" t="str">
        <f t="shared" si="5"/>
        <v>PASS</v>
      </c>
      <c r="I188" s="90">
        <f>[1]DATABASE!T149</f>
        <v>670000</v>
      </c>
      <c r="J188" t="str">
        <f>[1]DATABASE!AC149</f>
        <v>Ana Damásio</v>
      </c>
    </row>
    <row r="189" spans="1:10" ht="13.95" customHeight="1" x14ac:dyDescent="0.3">
      <c r="A189">
        <f>ROW([1]DATABASE!A150)</f>
        <v>150</v>
      </c>
      <c r="B189" t="str">
        <f>[1]DATABASE!AJ150</f>
        <v>Rivus</v>
      </c>
      <c r="C189" t="str">
        <f>[1]DATABASE!C150</f>
        <v>AK</v>
      </c>
      <c r="D189" t="str">
        <f>TRIM([1]DATABASE!Q150)</f>
        <v>RESERVED</v>
      </c>
      <c r="E189" s="82" t="str">
        <f>_xlfn.TEXTJOIN("; ",TRUE,IF([1]DATABASE!X150&lt;0,"Negative Discount",""),IF(AND([1]DATABASE!Y150&gt;[1]DATABASE!T150,[1]DATABASE!Y150&gt;0,[1]DATABASE!T150&gt;0),"Sell Price &gt; Current",""),IF(AND(TRIM([1]DATABASE!Q150)="DEED",[1]DATABASE!AA150=""),"Deeded no PSPA Date",""),IF([1]DATABASE!E150="","Missing Typology",""),IF([1]DATABASE!AJ150="","Missing Development",""))</f>
        <v/>
      </c>
      <c r="F189" s="82" t="str">
        <f>_xlfn.TEXTJOIN("; ",TRUE,IF(AND(OR(TRIM([1]DATABASE!Q150)="RESERVED",TRIM([1]DATABASE!Q150)="PRE-RESERVED",TRIM([1]DATABASE!Q150)="PSPA"),[1]DATABASE!AA150=""),"Reserved/PSPA no PSPA Date",""),IF(AND(TRIM([1]DATABASE!Q150)="AVAILABLE",[1]DATABASE!AA150&lt;&gt;""),"Available has PSPA Date",""))</f>
        <v/>
      </c>
      <c r="G189" s="82" t="str">
        <f>_xlfn.TEXTJOIN("; ",TRUE,IF(AND([1]DATABASE!T150&lt;0.8*[1]DATABASE!S150,[1]DATABASE!T150&gt;0,[1]DATABASE!S150&gt;0),"Heavy Price Cut &gt;20%",""),IF(AND(OR(TRIM([1]DATABASE!Q150)="AVAILABLE",TRIM([1]DATABASE!Q150)="UPON REQUEST"),OR([1]DATABASE!T150="",[1]DATABASE!T150=0)),"Active Unit no Price",""),IF(AND(OR(TRIM([1]DATABASE!Q150)="AVAILABLE",TRIM([1]DATABASE!Q150)="RESERVED",TRIM([1]DATABASE!Q150)="PRE-RESERVED",TRIM([1]DATABASE!Q150)="PSPA"),[1]DATABASE!AC150=""),"Active no Owner",""),IF(OR([1]DATABASE!F150="",[1]DATABASE!F150&lt;=0),"Missing/Invalid Area",""),IF(AND([1]DATABASE!T150&gt;0,ABS([1]DATABASE!T150-[1]DATABASE!W150-[1]DATABASE!U150-[1]DATABASE!V150)&gt;1),"Price Bridge Mismatch",""))</f>
        <v>Missing/Invalid Area</v>
      </c>
      <c r="H189" t="str">
        <f t="shared" si="5"/>
        <v>REVIEW</v>
      </c>
      <c r="I189" s="90">
        <f>[1]DATABASE!T150</f>
        <v>950000</v>
      </c>
      <c r="J189" t="str">
        <f>[1]DATABASE!AC150</f>
        <v>Ana Damásio</v>
      </c>
    </row>
    <row r="190" spans="1:10" ht="13.95" customHeight="1" x14ac:dyDescent="0.3">
      <c r="A190">
        <f>ROW([1]DATABASE!A151)</f>
        <v>151</v>
      </c>
      <c r="B190" t="str">
        <f>[1]DATABASE!AJ151</f>
        <v>Natura Village</v>
      </c>
      <c r="C190" t="str">
        <f>[1]DATABASE!C151</f>
        <v>C</v>
      </c>
      <c r="D190" t="str">
        <f>TRIM([1]DATABASE!Q151)</f>
        <v>DEED</v>
      </c>
      <c r="E190" s="82" t="str">
        <f>_xlfn.TEXTJOIN("; ",TRUE,IF([1]DATABASE!X151&lt;0,"Negative Discount",""),IF(AND([1]DATABASE!Y151&gt;[1]DATABASE!T151,[1]DATABASE!Y151&gt;0,[1]DATABASE!T151&gt;0),"Sell Price &gt; Current",""),IF(AND(TRIM([1]DATABASE!Q151)="DEED",[1]DATABASE!AA151=""),"Deeded no PSPA Date",""),IF([1]DATABASE!E151="","Missing Typology",""),IF([1]DATABASE!AJ151="","Missing Development",""))</f>
        <v/>
      </c>
      <c r="F190" s="82" t="str">
        <f>_xlfn.TEXTJOIN("; ",TRUE,IF(AND(OR(TRIM([1]DATABASE!Q151)="RESERVED",TRIM([1]DATABASE!Q151)="PRE-RESERVED",TRIM([1]DATABASE!Q151)="PSPA"),[1]DATABASE!AA151=""),"Reserved/PSPA no PSPA Date",""),IF(AND(TRIM([1]DATABASE!Q151)="AVAILABLE",[1]DATABASE!AA151&lt;&gt;""),"Available has PSPA Date",""))</f>
        <v/>
      </c>
      <c r="G190" s="82" t="str">
        <f>_xlfn.TEXTJOIN("; ",TRUE,IF(AND([1]DATABASE!T151&lt;0.8*[1]DATABASE!S151,[1]DATABASE!T151&gt;0,[1]DATABASE!S151&gt;0),"Heavy Price Cut &gt;20%",""),IF(AND(OR(TRIM([1]DATABASE!Q151)="AVAILABLE",TRIM([1]DATABASE!Q151)="UPON REQUEST"),OR([1]DATABASE!T151="",[1]DATABASE!T151=0)),"Active Unit no Price",""),IF(AND(OR(TRIM([1]DATABASE!Q151)="AVAILABLE",TRIM([1]DATABASE!Q151)="RESERVED",TRIM([1]DATABASE!Q151)="PRE-RESERVED",TRIM([1]DATABASE!Q151)="PSPA"),[1]DATABASE!AC151=""),"Active no Owner",""),IF(OR([1]DATABASE!F151="",[1]DATABASE!F151&lt;=0),"Missing/Invalid Area",""),IF(AND([1]DATABASE!T151&gt;0,ABS([1]DATABASE!T151-[1]DATABASE!W151-[1]DATABASE!U151-[1]DATABASE!V151)&gt;1),"Price Bridge Mismatch",""))</f>
        <v/>
      </c>
      <c r="H190" t="str">
        <f t="shared" si="5"/>
        <v>PASS</v>
      </c>
      <c r="I190" s="90">
        <f>[1]DATABASE!T151</f>
        <v>931000</v>
      </c>
      <c r="J190" t="str">
        <f>[1]DATABASE!AC151</f>
        <v>Ana Damásio</v>
      </c>
    </row>
    <row r="191" spans="1:10" ht="13.95" customHeight="1" x14ac:dyDescent="0.3">
      <c r="A191">
        <f>ROW([1]DATABASE!A152)</f>
        <v>152</v>
      </c>
      <c r="B191" t="str">
        <f>[1]DATABASE!AJ152</f>
        <v>Natura Village</v>
      </c>
      <c r="C191" t="str">
        <f>[1]DATABASE!C152</f>
        <v>C</v>
      </c>
      <c r="D191" t="str">
        <f>TRIM([1]DATABASE!Q152)</f>
        <v>DEED</v>
      </c>
      <c r="E191" s="82" t="str">
        <f>_xlfn.TEXTJOIN("; ",TRUE,IF([1]DATABASE!X152&lt;0,"Negative Discount",""),IF(AND([1]DATABASE!Y152&gt;[1]DATABASE!T152,[1]DATABASE!Y152&gt;0,[1]DATABASE!T152&gt;0),"Sell Price &gt; Current",""),IF(AND(TRIM([1]DATABASE!Q152)="DEED",[1]DATABASE!AA152=""),"Deeded no PSPA Date",""),IF([1]DATABASE!E152="","Missing Typology",""),IF([1]DATABASE!AJ152="","Missing Development",""))</f>
        <v/>
      </c>
      <c r="F191" s="82" t="str">
        <f>_xlfn.TEXTJOIN("; ",TRUE,IF(AND(OR(TRIM([1]DATABASE!Q152)="RESERVED",TRIM([1]DATABASE!Q152)="PRE-RESERVED",TRIM([1]DATABASE!Q152)="PSPA"),[1]DATABASE!AA152=""),"Reserved/PSPA no PSPA Date",""),IF(AND(TRIM([1]DATABASE!Q152)="AVAILABLE",[1]DATABASE!AA152&lt;&gt;""),"Available has PSPA Date",""))</f>
        <v/>
      </c>
      <c r="G191" s="82" t="str">
        <f>_xlfn.TEXTJOIN("; ",TRUE,IF(AND([1]DATABASE!T152&lt;0.8*[1]DATABASE!S152,[1]DATABASE!T152&gt;0,[1]DATABASE!S152&gt;0),"Heavy Price Cut &gt;20%",""),IF(AND(OR(TRIM([1]DATABASE!Q152)="AVAILABLE",TRIM([1]DATABASE!Q152)="UPON REQUEST"),OR([1]DATABASE!T152="",[1]DATABASE!T152=0)),"Active Unit no Price",""),IF(AND(OR(TRIM([1]DATABASE!Q152)="AVAILABLE",TRIM([1]DATABASE!Q152)="RESERVED",TRIM([1]DATABASE!Q152)="PRE-RESERVED",TRIM([1]DATABASE!Q152)="PSPA"),[1]DATABASE!AC152=""),"Active no Owner",""),IF(OR([1]DATABASE!F152="",[1]DATABASE!F152&lt;=0),"Missing/Invalid Area",""),IF(AND([1]DATABASE!T152&gt;0,ABS([1]DATABASE!T152-[1]DATABASE!W152-[1]DATABASE!U152-[1]DATABASE!V152)&gt;1),"Price Bridge Mismatch",""))</f>
        <v/>
      </c>
      <c r="H191" t="str">
        <f t="shared" si="5"/>
        <v>PASS</v>
      </c>
      <c r="I191" s="90">
        <f>[1]DATABASE!T152</f>
        <v>780000</v>
      </c>
      <c r="J191" t="str">
        <f>[1]DATABASE!AC152</f>
        <v>Ana Damásio</v>
      </c>
    </row>
    <row r="192" spans="1:10" ht="13.95" customHeight="1" x14ac:dyDescent="0.3">
      <c r="A192">
        <f>ROW([1]DATABASE!A153)</f>
        <v>153</v>
      </c>
      <c r="B192" t="str">
        <f>[1]DATABASE!AJ153</f>
        <v>The Nine</v>
      </c>
      <c r="C192" t="str">
        <f>[1]DATABASE!C153</f>
        <v>C</v>
      </c>
      <c r="D192" t="str">
        <f>TRIM([1]DATABASE!Q153)</f>
        <v>DEED</v>
      </c>
      <c r="E192" s="82" t="str">
        <f>_xlfn.TEXTJOIN("; ",TRUE,IF([1]DATABASE!X153&lt;0,"Negative Discount",""),IF(AND([1]DATABASE!Y153&gt;[1]DATABASE!T153,[1]DATABASE!Y153&gt;0,[1]DATABASE!T153&gt;0),"Sell Price &gt; Current",""),IF(AND(TRIM([1]DATABASE!Q153)="DEED",[1]DATABASE!AA153=""),"Deeded no PSPA Date",""),IF([1]DATABASE!E153="","Missing Typology",""),IF([1]DATABASE!AJ153="","Missing Development",""))</f>
        <v/>
      </c>
      <c r="F192" s="82" t="str">
        <f>_xlfn.TEXTJOIN("; ",TRUE,IF(AND(OR(TRIM([1]DATABASE!Q153)="RESERVED",TRIM([1]DATABASE!Q153)="PRE-RESERVED",TRIM([1]DATABASE!Q153)="PSPA"),[1]DATABASE!AA153=""),"Reserved/PSPA no PSPA Date",""),IF(AND(TRIM([1]DATABASE!Q153)="AVAILABLE",[1]DATABASE!AA153&lt;&gt;""),"Available has PSPA Date",""))</f>
        <v/>
      </c>
      <c r="G192" s="82" t="str">
        <f>_xlfn.TEXTJOIN("; ",TRUE,IF(AND([1]DATABASE!T153&lt;0.8*[1]DATABASE!S153,[1]DATABASE!T153&gt;0,[1]DATABASE!S153&gt;0),"Heavy Price Cut &gt;20%",""),IF(AND(OR(TRIM([1]DATABASE!Q153)="AVAILABLE",TRIM([1]DATABASE!Q153)="UPON REQUEST"),OR([1]DATABASE!T153="",[1]DATABASE!T153=0)),"Active Unit no Price",""),IF(AND(OR(TRIM([1]DATABASE!Q153)="AVAILABLE",TRIM([1]DATABASE!Q153)="RESERVED",TRIM([1]DATABASE!Q153)="PRE-RESERVED",TRIM([1]DATABASE!Q153)="PSPA"),[1]DATABASE!AC153=""),"Active no Owner",""),IF(OR([1]DATABASE!F153="",[1]DATABASE!F153&lt;=0),"Missing/Invalid Area",""),IF(AND([1]DATABASE!T153&gt;0,ABS([1]DATABASE!T153-[1]DATABASE!W153-[1]DATABASE!U153-[1]DATABASE!V153)&gt;1),"Price Bridge Mismatch",""))</f>
        <v/>
      </c>
      <c r="H192" t="str">
        <f t="shared" si="5"/>
        <v>PASS</v>
      </c>
      <c r="I192" s="90">
        <f>[1]DATABASE!T153</f>
        <v>570000</v>
      </c>
      <c r="J192" t="str">
        <f>[1]DATABASE!AC153</f>
        <v>Ana Damásio</v>
      </c>
    </row>
    <row r="193" spans="1:10" ht="13.95" customHeight="1" x14ac:dyDescent="0.3">
      <c r="A193">
        <f>ROW([1]DATABASE!A154)</f>
        <v>154</v>
      </c>
      <c r="B193" t="str">
        <f>[1]DATABASE!AJ154</f>
        <v>VM PARQUE</v>
      </c>
      <c r="C193" t="str">
        <f>[1]DATABASE!C154</f>
        <v>C</v>
      </c>
      <c r="D193" t="str">
        <f>TRIM([1]DATABASE!Q154)</f>
        <v>DEED</v>
      </c>
      <c r="E193" s="82" t="str">
        <f>_xlfn.TEXTJOIN("; ",TRUE,IF([1]DATABASE!X154&lt;0,"Negative Discount",""),IF(AND([1]DATABASE!Y154&gt;[1]DATABASE!T154,[1]DATABASE!Y154&gt;0,[1]DATABASE!T154&gt;0),"Sell Price &gt; Current",""),IF(AND(TRIM([1]DATABASE!Q154)="DEED",[1]DATABASE!AA154=""),"Deeded no PSPA Date",""),IF([1]DATABASE!E154="","Missing Typology",""),IF([1]DATABASE!AJ154="","Missing Development",""))</f>
        <v/>
      </c>
      <c r="F193" s="82" t="str">
        <f>_xlfn.TEXTJOIN("; ",TRUE,IF(AND(OR(TRIM([1]DATABASE!Q154)="RESERVED",TRIM([1]DATABASE!Q154)="PRE-RESERVED",TRIM([1]DATABASE!Q154)="PSPA"),[1]DATABASE!AA154=""),"Reserved/PSPA no PSPA Date",""),IF(AND(TRIM([1]DATABASE!Q154)="AVAILABLE",[1]DATABASE!AA154&lt;&gt;""),"Available has PSPA Date",""))</f>
        <v/>
      </c>
      <c r="G193" s="82" t="str">
        <f>_xlfn.TEXTJOIN("; ",TRUE,IF(AND([1]DATABASE!T154&lt;0.8*[1]DATABASE!S154,[1]DATABASE!T154&gt;0,[1]DATABASE!S154&gt;0),"Heavy Price Cut &gt;20%",""),IF(AND(OR(TRIM([1]DATABASE!Q154)="AVAILABLE",TRIM([1]DATABASE!Q154)="UPON REQUEST"),OR([1]DATABASE!T154="",[1]DATABASE!T154=0)),"Active Unit no Price",""),IF(AND(OR(TRIM([1]DATABASE!Q154)="AVAILABLE",TRIM([1]DATABASE!Q154)="RESERVED",TRIM([1]DATABASE!Q154)="PRE-RESERVED",TRIM([1]DATABASE!Q154)="PSPA"),[1]DATABASE!AC154=""),"Active no Owner",""),IF(OR([1]DATABASE!F154="",[1]DATABASE!F154&lt;=0),"Missing/Invalid Area",""),IF(AND([1]DATABASE!T154&gt;0,ABS([1]DATABASE!T154-[1]DATABASE!W154-[1]DATABASE!U154-[1]DATABASE!V154)&gt;1),"Price Bridge Mismatch",""))</f>
        <v/>
      </c>
      <c r="H193" t="str">
        <f t="shared" si="5"/>
        <v>PASS</v>
      </c>
      <c r="I193" s="90">
        <f>[1]DATABASE!T154</f>
        <v>1040000</v>
      </c>
      <c r="J193">
        <f>[1]DATABASE!AC154</f>
        <v>0</v>
      </c>
    </row>
    <row r="194" spans="1:10" ht="13.95" customHeight="1" x14ac:dyDescent="0.3">
      <c r="A194">
        <f>ROW([1]DATABASE!A155)</f>
        <v>155</v>
      </c>
      <c r="B194" t="str">
        <f>[1]DATABASE!AJ155</f>
        <v>Terracota</v>
      </c>
      <c r="C194" t="str">
        <f>[1]DATABASE!C155</f>
        <v>CD</v>
      </c>
      <c r="D194" t="str">
        <f>TRIM([1]DATABASE!Q155)</f>
        <v>PSPA</v>
      </c>
      <c r="E194" s="82" t="str">
        <f>_xlfn.TEXTJOIN("; ",TRUE,IF([1]DATABASE!X155&lt;0,"Negative Discount",""),IF(AND([1]DATABASE!Y155&gt;[1]DATABASE!T155,[1]DATABASE!Y155&gt;0,[1]DATABASE!T155&gt;0),"Sell Price &gt; Current",""),IF(AND(TRIM([1]DATABASE!Q155)="DEED",[1]DATABASE!AA155=""),"Deeded no PSPA Date",""),IF([1]DATABASE!E155="","Missing Typology",""),IF([1]DATABASE!AJ155="","Missing Development",""))</f>
        <v/>
      </c>
      <c r="F194" s="82" t="str">
        <f>_xlfn.TEXTJOIN("; ",TRUE,IF(AND(OR(TRIM([1]DATABASE!Q155)="RESERVED",TRIM([1]DATABASE!Q155)="PRE-RESERVED",TRIM([1]DATABASE!Q155)="PSPA"),[1]DATABASE!AA155=""),"Reserved/PSPA no PSPA Date",""),IF(AND(TRIM([1]DATABASE!Q155)="AVAILABLE",[1]DATABASE!AA155&lt;&gt;""),"Available has PSPA Date",""))</f>
        <v/>
      </c>
      <c r="G194" s="82" t="str">
        <f>_xlfn.TEXTJOIN("; ",TRUE,IF(AND([1]DATABASE!T155&lt;0.8*[1]DATABASE!S155,[1]DATABASE!T155&gt;0,[1]DATABASE!S155&gt;0),"Heavy Price Cut &gt;20%",""),IF(AND(OR(TRIM([1]DATABASE!Q155)="AVAILABLE",TRIM([1]DATABASE!Q155)="UPON REQUEST"),OR([1]DATABASE!T155="",[1]DATABASE!T155=0)),"Active Unit no Price",""),IF(AND(OR(TRIM([1]DATABASE!Q155)="AVAILABLE",TRIM([1]DATABASE!Q155)="RESERVED",TRIM([1]DATABASE!Q155)="PRE-RESERVED",TRIM([1]DATABASE!Q155)="PSPA"),[1]DATABASE!AC155=""),"Active no Owner",""),IF(OR([1]DATABASE!F155="",[1]DATABASE!F155&lt;=0),"Missing/Invalid Area",""),IF(AND([1]DATABASE!T155&gt;0,ABS([1]DATABASE!T155-[1]DATABASE!W155-[1]DATABASE!U155-[1]DATABASE!V155)&gt;1),"Price Bridge Mismatch",""))</f>
        <v/>
      </c>
      <c r="H194" t="str">
        <f t="shared" si="5"/>
        <v>PASS</v>
      </c>
      <c r="I194" s="90">
        <f>[1]DATABASE!T155</f>
        <v>455000</v>
      </c>
      <c r="J194" t="str">
        <f>[1]DATABASE!AC155</f>
        <v>Ana Damásio</v>
      </c>
    </row>
    <row r="195" spans="1:10" ht="13.95" customHeight="1" x14ac:dyDescent="0.3">
      <c r="A195">
        <f>ROW([1]DATABASE!A156)</f>
        <v>156</v>
      </c>
      <c r="B195" t="str">
        <f>[1]DATABASE!AJ156</f>
        <v>Terracota</v>
      </c>
      <c r="C195" t="str">
        <f>[1]DATABASE!C156</f>
        <v>CF</v>
      </c>
      <c r="D195" t="str">
        <f>TRIM([1]DATABASE!Q156)</f>
        <v>PSPA</v>
      </c>
      <c r="E195" s="82" t="str">
        <f>_xlfn.TEXTJOIN("; ",TRUE,IF([1]DATABASE!X156&lt;0,"Negative Discount",""),IF(AND([1]DATABASE!Y156&gt;[1]DATABASE!T156,[1]DATABASE!Y156&gt;0,[1]DATABASE!T156&gt;0),"Sell Price &gt; Current",""),IF(AND(TRIM([1]DATABASE!Q156)="DEED",[1]DATABASE!AA156=""),"Deeded no PSPA Date",""),IF([1]DATABASE!E156="","Missing Typology",""),IF([1]DATABASE!AJ156="","Missing Development",""))</f>
        <v/>
      </c>
      <c r="F195" s="82" t="str">
        <f>_xlfn.TEXTJOIN("; ",TRUE,IF(AND(OR(TRIM([1]DATABASE!Q156)="RESERVED",TRIM([1]DATABASE!Q156)="PRE-RESERVED",TRIM([1]DATABASE!Q156)="PSPA"),[1]DATABASE!AA156=""),"Reserved/PSPA no PSPA Date",""),IF(AND(TRIM([1]DATABASE!Q156)="AVAILABLE",[1]DATABASE!AA156&lt;&gt;""),"Available has PSPA Date",""))</f>
        <v/>
      </c>
      <c r="G195" s="82" t="str">
        <f>_xlfn.TEXTJOIN("; ",TRUE,IF(AND([1]DATABASE!T156&lt;0.8*[1]DATABASE!S156,[1]DATABASE!T156&gt;0,[1]DATABASE!S156&gt;0),"Heavy Price Cut &gt;20%",""),IF(AND(OR(TRIM([1]DATABASE!Q156)="AVAILABLE",TRIM([1]DATABASE!Q156)="UPON REQUEST"),OR([1]DATABASE!T156="",[1]DATABASE!T156=0)),"Active Unit no Price",""),IF(AND(OR(TRIM([1]DATABASE!Q156)="AVAILABLE",TRIM([1]DATABASE!Q156)="RESERVED",TRIM([1]DATABASE!Q156)="PRE-RESERVED",TRIM([1]DATABASE!Q156)="PSPA"),[1]DATABASE!AC156=""),"Active no Owner",""),IF(OR([1]DATABASE!F156="",[1]DATABASE!F156&lt;=0),"Missing/Invalid Area",""),IF(AND([1]DATABASE!T156&gt;0,ABS([1]DATABASE!T156-[1]DATABASE!W156-[1]DATABASE!U156-[1]DATABASE!V156)&gt;1),"Price Bridge Mismatch",""))</f>
        <v/>
      </c>
      <c r="H195" t="str">
        <f t="shared" si="5"/>
        <v>PASS</v>
      </c>
      <c r="I195" s="90">
        <f>[1]DATABASE!T156</f>
        <v>455000</v>
      </c>
      <c r="J195" t="str">
        <f>[1]DATABASE!AC156</f>
        <v>Ana Damásio</v>
      </c>
    </row>
    <row r="196" spans="1:10" ht="13.95" customHeight="1" x14ac:dyDescent="0.3">
      <c r="A196">
        <f>ROW([1]DATABASE!A157)</f>
        <v>157</v>
      </c>
      <c r="B196" t="str">
        <f>[1]DATABASE!AJ157</f>
        <v>Terracota</v>
      </c>
      <c r="C196" t="str">
        <f>[1]DATABASE!C157</f>
        <v>CG</v>
      </c>
      <c r="D196" t="str">
        <f>TRIM([1]DATABASE!Q157)</f>
        <v>PSPA</v>
      </c>
      <c r="E196" s="82" t="str">
        <f>_xlfn.TEXTJOIN("; ",TRUE,IF([1]DATABASE!X157&lt;0,"Negative Discount",""),IF(AND([1]DATABASE!Y157&gt;[1]DATABASE!T157,[1]DATABASE!Y157&gt;0,[1]DATABASE!T157&gt;0),"Sell Price &gt; Current",""),IF(AND(TRIM([1]DATABASE!Q157)="DEED",[1]DATABASE!AA157=""),"Deeded no PSPA Date",""),IF([1]DATABASE!E157="","Missing Typology",""),IF([1]DATABASE!AJ157="","Missing Development",""))</f>
        <v/>
      </c>
      <c r="F196" s="82" t="str">
        <f>_xlfn.TEXTJOIN("; ",TRUE,IF(AND(OR(TRIM([1]DATABASE!Q157)="RESERVED",TRIM([1]DATABASE!Q157)="PRE-RESERVED",TRIM([1]DATABASE!Q157)="PSPA"),[1]DATABASE!AA157=""),"Reserved/PSPA no PSPA Date",""),IF(AND(TRIM([1]DATABASE!Q157)="AVAILABLE",[1]DATABASE!AA157&lt;&gt;""),"Available has PSPA Date",""))</f>
        <v/>
      </c>
      <c r="G196" s="82" t="str">
        <f>_xlfn.TEXTJOIN("; ",TRUE,IF(AND([1]DATABASE!T157&lt;0.8*[1]DATABASE!S157,[1]DATABASE!T157&gt;0,[1]DATABASE!S157&gt;0),"Heavy Price Cut &gt;20%",""),IF(AND(OR(TRIM([1]DATABASE!Q157)="AVAILABLE",TRIM([1]DATABASE!Q157)="UPON REQUEST"),OR([1]DATABASE!T157="",[1]DATABASE!T157=0)),"Active Unit no Price",""),IF(AND(OR(TRIM([1]DATABASE!Q157)="AVAILABLE",TRIM([1]DATABASE!Q157)="RESERVED",TRIM([1]DATABASE!Q157)="PRE-RESERVED",TRIM([1]DATABASE!Q157)="PSPA"),[1]DATABASE!AC157=""),"Active no Owner",""),IF(OR([1]DATABASE!F157="",[1]DATABASE!F157&lt;=0),"Missing/Invalid Area",""),IF(AND([1]DATABASE!T157&gt;0,ABS([1]DATABASE!T157-[1]DATABASE!W157-[1]DATABASE!U157-[1]DATABASE!V157)&gt;1),"Price Bridge Mismatch",""))</f>
        <v/>
      </c>
      <c r="H196" t="str">
        <f t="shared" si="5"/>
        <v>PASS</v>
      </c>
      <c r="I196" s="90">
        <f>[1]DATABASE!T157</f>
        <v>455000</v>
      </c>
      <c r="J196" t="str">
        <f>[1]DATABASE!AC157</f>
        <v>Ana Damásio</v>
      </c>
    </row>
    <row r="197" spans="1:10" ht="13.95" customHeight="1" x14ac:dyDescent="0.3">
      <c r="A197">
        <f>ROW([1]DATABASE!A158)</f>
        <v>158</v>
      </c>
      <c r="B197" t="str">
        <f>[1]DATABASE!AJ158</f>
        <v>Terracota</v>
      </c>
      <c r="C197" t="str">
        <f>[1]DATABASE!C158</f>
        <v>CH</v>
      </c>
      <c r="D197" t="str">
        <f>TRIM([1]DATABASE!Q158)</f>
        <v>PSPA</v>
      </c>
      <c r="E197" s="82" t="str">
        <f>_xlfn.TEXTJOIN("; ",TRUE,IF([1]DATABASE!X158&lt;0,"Negative Discount",""),IF(AND([1]DATABASE!Y158&gt;[1]DATABASE!T158,[1]DATABASE!Y158&gt;0,[1]DATABASE!T158&gt;0),"Sell Price &gt; Current",""),IF(AND(TRIM([1]DATABASE!Q158)="DEED",[1]DATABASE!AA158=""),"Deeded no PSPA Date",""),IF([1]DATABASE!E158="","Missing Typology",""),IF([1]DATABASE!AJ158="","Missing Development",""))</f>
        <v/>
      </c>
      <c r="F197" s="82" t="str">
        <f>_xlfn.TEXTJOIN("; ",TRUE,IF(AND(OR(TRIM([1]DATABASE!Q158)="RESERVED",TRIM([1]DATABASE!Q158)="PRE-RESERVED",TRIM([1]DATABASE!Q158)="PSPA"),[1]DATABASE!AA158=""),"Reserved/PSPA no PSPA Date",""),IF(AND(TRIM([1]DATABASE!Q158)="AVAILABLE",[1]DATABASE!AA158&lt;&gt;""),"Available has PSPA Date",""))</f>
        <v/>
      </c>
      <c r="G197" s="82" t="str">
        <f>_xlfn.TEXTJOIN("; ",TRUE,IF(AND([1]DATABASE!T158&lt;0.8*[1]DATABASE!S158,[1]DATABASE!T158&gt;0,[1]DATABASE!S158&gt;0),"Heavy Price Cut &gt;20%",""),IF(AND(OR(TRIM([1]DATABASE!Q158)="AVAILABLE",TRIM([1]DATABASE!Q158)="UPON REQUEST"),OR([1]DATABASE!T158="",[1]DATABASE!T158=0)),"Active Unit no Price",""),IF(AND(OR(TRIM([1]DATABASE!Q158)="AVAILABLE",TRIM([1]DATABASE!Q158)="RESERVED",TRIM([1]DATABASE!Q158)="PRE-RESERVED",TRIM([1]DATABASE!Q158)="PSPA"),[1]DATABASE!AC158=""),"Active no Owner",""),IF(OR([1]DATABASE!F158="",[1]DATABASE!F158&lt;=0),"Missing/Invalid Area",""),IF(AND([1]DATABASE!T158&gt;0,ABS([1]DATABASE!T158-[1]DATABASE!W158-[1]DATABASE!U158-[1]DATABASE!V158)&gt;1),"Price Bridge Mismatch",""))</f>
        <v/>
      </c>
      <c r="H197" t="str">
        <f t="shared" si="5"/>
        <v>PASS</v>
      </c>
      <c r="I197" s="90">
        <f>[1]DATABASE!T158</f>
        <v>455000</v>
      </c>
      <c r="J197" t="str">
        <f>[1]DATABASE!AC158</f>
        <v>Ana Damásio</v>
      </c>
    </row>
    <row r="198" spans="1:10" ht="13.95" customHeight="1" x14ac:dyDescent="0.3">
      <c r="A198">
        <f>ROW([1]DATABASE!A159)</f>
        <v>159</v>
      </c>
      <c r="B198" t="str">
        <f>[1]DATABASE!AJ159</f>
        <v>Terracota</v>
      </c>
      <c r="C198" t="str">
        <f>[1]DATABASE!C159</f>
        <v>CI</v>
      </c>
      <c r="D198" t="str">
        <f>TRIM([1]DATABASE!Q159)</f>
        <v>PSPA</v>
      </c>
      <c r="E198" s="82" t="str">
        <f>_xlfn.TEXTJOIN("; ",TRUE,IF([1]DATABASE!X159&lt;0,"Negative Discount",""),IF(AND([1]DATABASE!Y159&gt;[1]DATABASE!T159,[1]DATABASE!Y159&gt;0,[1]DATABASE!T159&gt;0),"Sell Price &gt; Current",""),IF(AND(TRIM([1]DATABASE!Q159)="DEED",[1]DATABASE!AA159=""),"Deeded no PSPA Date",""),IF([1]DATABASE!E159="","Missing Typology",""),IF([1]DATABASE!AJ159="","Missing Development",""))</f>
        <v/>
      </c>
      <c r="F198" s="82" t="str">
        <f>_xlfn.TEXTJOIN("; ",TRUE,IF(AND(OR(TRIM([1]DATABASE!Q159)="RESERVED",TRIM([1]DATABASE!Q159)="PRE-RESERVED",TRIM([1]DATABASE!Q159)="PSPA"),[1]DATABASE!AA159=""),"Reserved/PSPA no PSPA Date",""),IF(AND(TRIM([1]DATABASE!Q159)="AVAILABLE",[1]DATABASE!AA159&lt;&gt;""),"Available has PSPA Date",""))</f>
        <v/>
      </c>
      <c r="G198" s="82" t="str">
        <f>_xlfn.TEXTJOIN("; ",TRUE,IF(AND([1]DATABASE!T159&lt;0.8*[1]DATABASE!S159,[1]DATABASE!T159&gt;0,[1]DATABASE!S159&gt;0),"Heavy Price Cut &gt;20%",""),IF(AND(OR(TRIM([1]DATABASE!Q159)="AVAILABLE",TRIM([1]DATABASE!Q159)="UPON REQUEST"),OR([1]DATABASE!T159="",[1]DATABASE!T159=0)),"Active Unit no Price",""),IF(AND(OR(TRIM([1]DATABASE!Q159)="AVAILABLE",TRIM([1]DATABASE!Q159)="RESERVED",TRIM([1]DATABASE!Q159)="PRE-RESERVED",TRIM([1]DATABASE!Q159)="PSPA"),[1]DATABASE!AC159=""),"Active no Owner",""),IF(OR([1]DATABASE!F159="",[1]DATABASE!F159&lt;=0),"Missing/Invalid Area",""),IF(AND([1]DATABASE!T159&gt;0,ABS([1]DATABASE!T159-[1]DATABASE!W159-[1]DATABASE!U159-[1]DATABASE!V159)&gt;1),"Price Bridge Mismatch",""))</f>
        <v/>
      </c>
      <c r="H198" t="str">
        <f t="shared" si="5"/>
        <v>PASS</v>
      </c>
      <c r="I198" s="90">
        <f>[1]DATABASE!T159</f>
        <v>570000</v>
      </c>
      <c r="J198" t="str">
        <f>[1]DATABASE!AC159</f>
        <v>Ana Damásio</v>
      </c>
    </row>
    <row r="199" spans="1:10" ht="13.95" customHeight="1" x14ac:dyDescent="0.3">
      <c r="A199">
        <f>ROW([1]DATABASE!A160)</f>
        <v>160</v>
      </c>
      <c r="B199" t="str">
        <f>[1]DATABASE!AJ160</f>
        <v>Terracota</v>
      </c>
      <c r="C199" t="str">
        <f>[1]DATABASE!C160</f>
        <v>CJ</v>
      </c>
      <c r="D199" t="str">
        <f>TRIM([1]DATABASE!Q160)</f>
        <v>PSPA</v>
      </c>
      <c r="E199" s="82" t="str">
        <f>_xlfn.TEXTJOIN("; ",TRUE,IF([1]DATABASE!X160&lt;0,"Negative Discount",""),IF(AND([1]DATABASE!Y160&gt;[1]DATABASE!T160,[1]DATABASE!Y160&gt;0,[1]DATABASE!T160&gt;0),"Sell Price &gt; Current",""),IF(AND(TRIM([1]DATABASE!Q160)="DEED",[1]DATABASE!AA160=""),"Deeded no PSPA Date",""),IF([1]DATABASE!E160="","Missing Typology",""),IF([1]DATABASE!AJ160="","Missing Development",""))</f>
        <v/>
      </c>
      <c r="F199" s="82" t="str">
        <f>_xlfn.TEXTJOIN("; ",TRUE,IF(AND(OR(TRIM([1]DATABASE!Q160)="RESERVED",TRIM([1]DATABASE!Q160)="PRE-RESERVED",TRIM([1]DATABASE!Q160)="PSPA"),[1]DATABASE!AA160=""),"Reserved/PSPA no PSPA Date",""),IF(AND(TRIM([1]DATABASE!Q160)="AVAILABLE",[1]DATABASE!AA160&lt;&gt;""),"Available has PSPA Date",""))</f>
        <v/>
      </c>
      <c r="G199" s="82" t="str">
        <f>_xlfn.TEXTJOIN("; ",TRUE,IF(AND([1]DATABASE!T160&lt;0.8*[1]DATABASE!S160,[1]DATABASE!T160&gt;0,[1]DATABASE!S160&gt;0),"Heavy Price Cut &gt;20%",""),IF(AND(OR(TRIM([1]DATABASE!Q160)="AVAILABLE",TRIM([1]DATABASE!Q160)="UPON REQUEST"),OR([1]DATABASE!T160="",[1]DATABASE!T160=0)),"Active Unit no Price",""),IF(AND(OR(TRIM([1]DATABASE!Q160)="AVAILABLE",TRIM([1]DATABASE!Q160)="RESERVED",TRIM([1]DATABASE!Q160)="PRE-RESERVED",TRIM([1]DATABASE!Q160)="PSPA"),[1]DATABASE!AC160=""),"Active no Owner",""),IF(OR([1]DATABASE!F160="",[1]DATABASE!F160&lt;=0),"Missing/Invalid Area",""),IF(AND([1]DATABASE!T160&gt;0,ABS([1]DATABASE!T160-[1]DATABASE!W160-[1]DATABASE!U160-[1]DATABASE!V160)&gt;1),"Price Bridge Mismatch",""))</f>
        <v/>
      </c>
      <c r="H199" t="str">
        <f t="shared" si="5"/>
        <v>PASS</v>
      </c>
      <c r="I199" s="90">
        <f>[1]DATABASE!T160</f>
        <v>703000</v>
      </c>
      <c r="J199" t="str">
        <f>[1]DATABASE!AC160</f>
        <v>Ana Damásio</v>
      </c>
    </row>
    <row r="200" spans="1:10" ht="13.95" customHeight="1" x14ac:dyDescent="0.3">
      <c r="A200">
        <f>ROW([1]DATABASE!A161)</f>
        <v>161</v>
      </c>
      <c r="B200" t="str">
        <f>[1]DATABASE!AJ161</f>
        <v>Terracota</v>
      </c>
      <c r="C200" t="str">
        <f>[1]DATABASE!C161</f>
        <v>CK</v>
      </c>
      <c r="D200" t="str">
        <f>TRIM([1]DATABASE!Q161)</f>
        <v>PSPA</v>
      </c>
      <c r="E200" s="82" t="str">
        <f>_xlfn.TEXTJOIN("; ",TRUE,IF([1]DATABASE!X161&lt;0,"Negative Discount",""),IF(AND([1]DATABASE!Y161&gt;[1]DATABASE!T161,[1]DATABASE!Y161&gt;0,[1]DATABASE!T161&gt;0),"Sell Price &gt; Current",""),IF(AND(TRIM([1]DATABASE!Q161)="DEED",[1]DATABASE!AA161=""),"Deeded no PSPA Date",""),IF([1]DATABASE!E161="","Missing Typology",""),IF([1]DATABASE!AJ161="","Missing Development",""))</f>
        <v/>
      </c>
      <c r="F200" s="82" t="str">
        <f>_xlfn.TEXTJOIN("; ",TRUE,IF(AND(OR(TRIM([1]DATABASE!Q161)="RESERVED",TRIM([1]DATABASE!Q161)="PRE-RESERVED",TRIM([1]DATABASE!Q161)="PSPA"),[1]DATABASE!AA161=""),"Reserved/PSPA no PSPA Date",""),IF(AND(TRIM([1]DATABASE!Q161)="AVAILABLE",[1]DATABASE!AA161&lt;&gt;""),"Available has PSPA Date",""))</f>
        <v/>
      </c>
      <c r="G200" s="82" t="str">
        <f>_xlfn.TEXTJOIN("; ",TRUE,IF(AND([1]DATABASE!T161&lt;0.8*[1]DATABASE!S161,[1]DATABASE!T161&gt;0,[1]DATABASE!S161&gt;0),"Heavy Price Cut &gt;20%",""),IF(AND(OR(TRIM([1]DATABASE!Q161)="AVAILABLE",TRIM([1]DATABASE!Q161)="UPON REQUEST"),OR([1]DATABASE!T161="",[1]DATABASE!T161=0)),"Active Unit no Price",""),IF(AND(OR(TRIM([1]DATABASE!Q161)="AVAILABLE",TRIM([1]DATABASE!Q161)="RESERVED",TRIM([1]DATABASE!Q161)="PRE-RESERVED",TRIM([1]DATABASE!Q161)="PSPA"),[1]DATABASE!AC161=""),"Active no Owner",""),IF(OR([1]DATABASE!F161="",[1]DATABASE!F161&lt;=0),"Missing/Invalid Area",""),IF(AND([1]DATABASE!T161&gt;0,ABS([1]DATABASE!T161-[1]DATABASE!W161-[1]DATABASE!U161-[1]DATABASE!V161)&gt;1),"Price Bridge Mismatch",""))</f>
        <v/>
      </c>
      <c r="H200" t="str">
        <f t="shared" si="5"/>
        <v>PASS</v>
      </c>
      <c r="I200" s="90">
        <f>[1]DATABASE!T161</f>
        <v>740000</v>
      </c>
      <c r="J200" t="str">
        <f>[1]DATABASE!AC161</f>
        <v>Ana Damásio</v>
      </c>
    </row>
    <row r="201" spans="1:10" ht="13.95" customHeight="1" x14ac:dyDescent="0.3">
      <c r="A201">
        <f>ROW([1]DATABASE!A162)</f>
        <v>162</v>
      </c>
      <c r="B201" t="str">
        <f>[1]DATABASE!AJ162</f>
        <v>Nobilus</v>
      </c>
      <c r="C201" t="str">
        <f>[1]DATABASE!C162</f>
        <v>D</v>
      </c>
      <c r="D201" t="str">
        <f>TRIM([1]DATABASE!Q162)</f>
        <v>PSPA</v>
      </c>
      <c r="E201" s="82" t="str">
        <f>_xlfn.TEXTJOIN("; ",TRUE,IF([1]DATABASE!X162&lt;0,"Negative Discount",""),IF(AND([1]DATABASE!Y162&gt;[1]DATABASE!T162,[1]DATABASE!Y162&gt;0,[1]DATABASE!T162&gt;0),"Sell Price &gt; Current",""),IF(AND(TRIM([1]DATABASE!Q162)="DEED",[1]DATABASE!AA162=""),"Deeded no PSPA Date",""),IF([1]DATABASE!E162="","Missing Typology",""),IF([1]DATABASE!AJ162="","Missing Development",""))</f>
        <v/>
      </c>
      <c r="F201" s="82" t="str">
        <f>_xlfn.TEXTJOIN("; ",TRUE,IF(AND(OR(TRIM([1]DATABASE!Q162)="RESERVED",TRIM([1]DATABASE!Q162)="PRE-RESERVED",TRIM([1]DATABASE!Q162)="PSPA"),[1]DATABASE!AA162=""),"Reserved/PSPA no PSPA Date",""),IF(AND(TRIM([1]DATABASE!Q162)="AVAILABLE",[1]DATABASE!AA162&lt;&gt;""),"Available has PSPA Date",""))</f>
        <v/>
      </c>
      <c r="G201" s="82" t="str">
        <f>_xlfn.TEXTJOIN("; ",TRUE,IF(AND([1]DATABASE!T162&lt;0.8*[1]DATABASE!S162,[1]DATABASE!T162&gt;0,[1]DATABASE!S162&gt;0),"Heavy Price Cut &gt;20%",""),IF(AND(OR(TRIM([1]DATABASE!Q162)="AVAILABLE",TRIM([1]DATABASE!Q162)="UPON REQUEST"),OR([1]DATABASE!T162="",[1]DATABASE!T162=0)),"Active Unit no Price",""),IF(AND(OR(TRIM([1]DATABASE!Q162)="AVAILABLE",TRIM([1]DATABASE!Q162)="RESERVED",TRIM([1]DATABASE!Q162)="PRE-RESERVED",TRIM([1]DATABASE!Q162)="PSPA"),[1]DATABASE!AC162=""),"Active no Owner",""),IF(OR([1]DATABASE!F162="",[1]DATABASE!F162&lt;=0),"Missing/Invalid Area",""),IF(AND([1]DATABASE!T162&gt;0,ABS([1]DATABASE!T162-[1]DATABASE!W162-[1]DATABASE!U162-[1]DATABASE!V162)&gt;1),"Price Bridge Mismatch",""))</f>
        <v/>
      </c>
      <c r="H201" t="str">
        <f t="shared" si="5"/>
        <v>PASS</v>
      </c>
      <c r="I201" s="90">
        <f>[1]DATABASE!T162</f>
        <v>780000</v>
      </c>
      <c r="J201" t="str">
        <f>[1]DATABASE!AC162</f>
        <v>Ana Damásio</v>
      </c>
    </row>
    <row r="202" spans="1:10" ht="13.95" customHeight="1" x14ac:dyDescent="0.3">
      <c r="A202">
        <f>ROW([1]DATABASE!A163)</f>
        <v>163</v>
      </c>
      <c r="B202" t="str">
        <f>[1]DATABASE!AJ163</f>
        <v>Natura Village</v>
      </c>
      <c r="C202" t="str">
        <f>[1]DATABASE!C163</f>
        <v>D</v>
      </c>
      <c r="D202" t="str">
        <f>TRIM([1]DATABASE!Q163)</f>
        <v>DEED</v>
      </c>
      <c r="E202" s="82" t="str">
        <f>_xlfn.TEXTJOIN("; ",TRUE,IF([1]DATABASE!X163&lt;0,"Negative Discount",""),IF(AND([1]DATABASE!Y163&gt;[1]DATABASE!T163,[1]DATABASE!Y163&gt;0,[1]DATABASE!T163&gt;0),"Sell Price &gt; Current",""),IF(AND(TRIM([1]DATABASE!Q163)="DEED",[1]DATABASE!AA163=""),"Deeded no PSPA Date",""),IF([1]DATABASE!E163="","Missing Typology",""),IF([1]DATABASE!AJ163="","Missing Development",""))</f>
        <v/>
      </c>
      <c r="F202" s="82" t="str">
        <f>_xlfn.TEXTJOIN("; ",TRUE,IF(AND(OR(TRIM([1]DATABASE!Q163)="RESERVED",TRIM([1]DATABASE!Q163)="PRE-RESERVED",TRIM([1]DATABASE!Q163)="PSPA"),[1]DATABASE!AA163=""),"Reserved/PSPA no PSPA Date",""),IF(AND(TRIM([1]DATABASE!Q163)="AVAILABLE",[1]DATABASE!AA163&lt;&gt;""),"Available has PSPA Date",""))</f>
        <v/>
      </c>
      <c r="G202" s="82" t="str">
        <f>_xlfn.TEXTJOIN("; ",TRUE,IF(AND([1]DATABASE!T163&lt;0.8*[1]DATABASE!S163,[1]DATABASE!T163&gt;0,[1]DATABASE!S163&gt;0),"Heavy Price Cut &gt;20%",""),IF(AND(OR(TRIM([1]DATABASE!Q163)="AVAILABLE",TRIM([1]DATABASE!Q163)="UPON REQUEST"),OR([1]DATABASE!T163="",[1]DATABASE!T163=0)),"Active Unit no Price",""),IF(AND(OR(TRIM([1]DATABASE!Q163)="AVAILABLE",TRIM([1]DATABASE!Q163)="RESERVED",TRIM([1]DATABASE!Q163)="PRE-RESERVED",TRIM([1]DATABASE!Q163)="PSPA"),[1]DATABASE!AC163=""),"Active no Owner",""),IF(OR([1]DATABASE!F163="",[1]DATABASE!F163&lt;=0),"Missing/Invalid Area",""),IF(AND([1]DATABASE!T163&gt;0,ABS([1]DATABASE!T163-[1]DATABASE!W163-[1]DATABASE!U163-[1]DATABASE!V163)&gt;1),"Price Bridge Mismatch",""))</f>
        <v/>
      </c>
      <c r="H202" t="str">
        <f t="shared" si="5"/>
        <v>PASS</v>
      </c>
      <c r="I202" s="90">
        <f>[1]DATABASE!T163</f>
        <v>960000</v>
      </c>
      <c r="J202" t="str">
        <f>[1]DATABASE!AC163</f>
        <v>Ana Damásio</v>
      </c>
    </row>
    <row r="203" spans="1:10" ht="13.95" customHeight="1" x14ac:dyDescent="0.3">
      <c r="A203">
        <f>ROW([1]DATABASE!A164)</f>
        <v>164</v>
      </c>
      <c r="B203" t="str">
        <f>[1]DATABASE!AJ164</f>
        <v>Natura Village</v>
      </c>
      <c r="C203" t="str">
        <f>[1]DATABASE!C164</f>
        <v>D</v>
      </c>
      <c r="D203" t="str">
        <f>TRIM([1]DATABASE!Q164)</f>
        <v>DEED</v>
      </c>
      <c r="E203" s="82" t="str">
        <f>_xlfn.TEXTJOIN("; ",TRUE,IF([1]DATABASE!X164&lt;0,"Negative Discount",""),IF(AND([1]DATABASE!Y164&gt;[1]DATABASE!T164,[1]DATABASE!Y164&gt;0,[1]DATABASE!T164&gt;0),"Sell Price &gt; Current",""),IF(AND(TRIM([1]DATABASE!Q164)="DEED",[1]DATABASE!AA164=""),"Deeded no PSPA Date",""),IF([1]DATABASE!E164="","Missing Typology",""),IF([1]DATABASE!AJ164="","Missing Development",""))</f>
        <v/>
      </c>
      <c r="F203" s="82" t="str">
        <f>_xlfn.TEXTJOIN("; ",TRUE,IF(AND(OR(TRIM([1]DATABASE!Q164)="RESERVED",TRIM([1]DATABASE!Q164)="PRE-RESERVED",TRIM([1]DATABASE!Q164)="PSPA"),[1]DATABASE!AA164=""),"Reserved/PSPA no PSPA Date",""),IF(AND(TRIM([1]DATABASE!Q164)="AVAILABLE",[1]DATABASE!AA164&lt;&gt;""),"Available has PSPA Date",""))</f>
        <v/>
      </c>
      <c r="G203" s="82" t="str">
        <f>_xlfn.TEXTJOIN("; ",TRUE,IF(AND([1]DATABASE!T164&lt;0.8*[1]DATABASE!S164,[1]DATABASE!T164&gt;0,[1]DATABASE!S164&gt;0),"Heavy Price Cut &gt;20%",""),IF(AND(OR(TRIM([1]DATABASE!Q164)="AVAILABLE",TRIM([1]DATABASE!Q164)="UPON REQUEST"),OR([1]DATABASE!T164="",[1]DATABASE!T164=0)),"Active Unit no Price",""),IF(AND(OR(TRIM([1]DATABASE!Q164)="AVAILABLE",TRIM([1]DATABASE!Q164)="RESERVED",TRIM([1]DATABASE!Q164)="PRE-RESERVED",TRIM([1]DATABASE!Q164)="PSPA"),[1]DATABASE!AC164=""),"Active no Owner",""),IF(OR([1]DATABASE!F164="",[1]DATABASE!F164&lt;=0),"Missing/Invalid Area",""),IF(AND([1]DATABASE!T164&gt;0,ABS([1]DATABASE!T164-[1]DATABASE!W164-[1]DATABASE!U164-[1]DATABASE!V164)&gt;1),"Price Bridge Mismatch",""))</f>
        <v/>
      </c>
      <c r="H203" t="str">
        <f t="shared" si="5"/>
        <v>PASS</v>
      </c>
      <c r="I203" s="90">
        <f>[1]DATABASE!T164</f>
        <v>883500</v>
      </c>
      <c r="J203" t="str">
        <f>[1]DATABASE!AC164</f>
        <v>Ana Damásio</v>
      </c>
    </row>
    <row r="204" spans="1:10" ht="13.95" customHeight="1" x14ac:dyDescent="0.3">
      <c r="A204">
        <f>ROW([1]DATABASE!A165)</f>
        <v>165</v>
      </c>
      <c r="B204" t="str">
        <f>[1]DATABASE!AJ165</f>
        <v>Terracota</v>
      </c>
      <c r="C204" t="str">
        <f>[1]DATABASE!C165</f>
        <v>D</v>
      </c>
      <c r="D204" t="str">
        <f>TRIM([1]DATABASE!Q165)</f>
        <v>PSPA</v>
      </c>
      <c r="E204" s="82" t="str">
        <f>_xlfn.TEXTJOIN("; ",TRUE,IF([1]DATABASE!X165&lt;0,"Negative Discount",""),IF(AND([1]DATABASE!Y165&gt;[1]DATABASE!T165,[1]DATABASE!Y165&gt;0,[1]DATABASE!T165&gt;0),"Sell Price &gt; Current",""),IF(AND(TRIM([1]DATABASE!Q165)="DEED",[1]DATABASE!AA165=""),"Deeded no PSPA Date",""),IF([1]DATABASE!E165="","Missing Typology",""),IF([1]DATABASE!AJ165="","Missing Development",""))</f>
        <v/>
      </c>
      <c r="F204" s="82" t="str">
        <f>_xlfn.TEXTJOIN("; ",TRUE,IF(AND(OR(TRIM([1]DATABASE!Q165)="RESERVED",TRIM([1]DATABASE!Q165)="PRE-RESERVED",TRIM([1]DATABASE!Q165)="PSPA"),[1]DATABASE!AA165=""),"Reserved/PSPA no PSPA Date",""),IF(AND(TRIM([1]DATABASE!Q165)="AVAILABLE",[1]DATABASE!AA165&lt;&gt;""),"Available has PSPA Date",""))</f>
        <v/>
      </c>
      <c r="G204" s="82" t="str">
        <f>_xlfn.TEXTJOIN("; ",TRUE,IF(AND([1]DATABASE!T165&lt;0.8*[1]DATABASE!S165,[1]DATABASE!T165&gt;0,[1]DATABASE!S165&gt;0),"Heavy Price Cut &gt;20%",""),IF(AND(OR(TRIM([1]DATABASE!Q165)="AVAILABLE",TRIM([1]DATABASE!Q165)="UPON REQUEST"),OR([1]DATABASE!T165="",[1]DATABASE!T165=0)),"Active Unit no Price",""),IF(AND(OR(TRIM([1]DATABASE!Q165)="AVAILABLE",TRIM([1]DATABASE!Q165)="RESERVED",TRIM([1]DATABASE!Q165)="PRE-RESERVED",TRIM([1]DATABASE!Q165)="PSPA"),[1]DATABASE!AC165=""),"Active no Owner",""),IF(OR([1]DATABASE!F165="",[1]DATABASE!F165&lt;=0),"Missing/Invalid Area",""),IF(AND([1]DATABASE!T165&gt;0,ABS([1]DATABASE!T165-[1]DATABASE!W165-[1]DATABASE!U165-[1]DATABASE!V165)&gt;1),"Price Bridge Mismatch",""))</f>
        <v/>
      </c>
      <c r="H204" t="str">
        <f t="shared" si="5"/>
        <v>PASS</v>
      </c>
      <c r="I204" s="90">
        <f>[1]DATABASE!T165</f>
        <v>437000</v>
      </c>
      <c r="J204" t="str">
        <f>[1]DATABASE!AC165</f>
        <v>Ana Damásio</v>
      </c>
    </row>
    <row r="205" spans="1:10" ht="13.95" customHeight="1" x14ac:dyDescent="0.3">
      <c r="A205">
        <f>ROW([1]DATABASE!A166)</f>
        <v>166</v>
      </c>
      <c r="B205" t="str">
        <f>[1]DATABASE!AJ166</f>
        <v>Natura Village</v>
      </c>
      <c r="C205" t="str">
        <f>[1]DATABASE!C166</f>
        <v>E</v>
      </c>
      <c r="D205" t="str">
        <f>TRIM([1]DATABASE!Q166)</f>
        <v>PSPA</v>
      </c>
      <c r="E205" s="82" t="str">
        <f>_xlfn.TEXTJOIN("; ",TRUE,IF([1]DATABASE!X166&lt;0,"Negative Discount",""),IF(AND([1]DATABASE!Y166&gt;[1]DATABASE!T166,[1]DATABASE!Y166&gt;0,[1]DATABASE!T166&gt;0),"Sell Price &gt; Current",""),IF(AND(TRIM([1]DATABASE!Q166)="DEED",[1]DATABASE!AA166=""),"Deeded no PSPA Date",""),IF([1]DATABASE!E166="","Missing Typology",""),IF([1]DATABASE!AJ166="","Missing Development",""))</f>
        <v/>
      </c>
      <c r="F205" s="82" t="str">
        <f>_xlfn.TEXTJOIN("; ",TRUE,IF(AND(OR(TRIM([1]DATABASE!Q166)="RESERVED",TRIM([1]DATABASE!Q166)="PRE-RESERVED",TRIM([1]DATABASE!Q166)="PSPA"),[1]DATABASE!AA166=""),"Reserved/PSPA no PSPA Date",""),IF(AND(TRIM([1]DATABASE!Q166)="AVAILABLE",[1]DATABASE!AA166&lt;&gt;""),"Available has PSPA Date",""))</f>
        <v/>
      </c>
      <c r="G205" s="82" t="str">
        <f>_xlfn.TEXTJOIN("; ",TRUE,IF(AND([1]DATABASE!T166&lt;0.8*[1]DATABASE!S166,[1]DATABASE!T166&gt;0,[1]DATABASE!S166&gt;0),"Heavy Price Cut &gt;20%",""),IF(AND(OR(TRIM([1]DATABASE!Q166)="AVAILABLE",TRIM([1]DATABASE!Q166)="UPON REQUEST"),OR([1]DATABASE!T166="",[1]DATABASE!T166=0)),"Active Unit no Price",""),IF(AND(OR(TRIM([1]DATABASE!Q166)="AVAILABLE",TRIM([1]DATABASE!Q166)="RESERVED",TRIM([1]DATABASE!Q166)="PRE-RESERVED",TRIM([1]DATABASE!Q166)="PSPA"),[1]DATABASE!AC166=""),"Active no Owner",""),IF(OR([1]DATABASE!F166="",[1]DATABASE!F166&lt;=0),"Missing/Invalid Area",""),IF(AND([1]DATABASE!T166&gt;0,ABS([1]DATABASE!T166-[1]DATABASE!W166-[1]DATABASE!U166-[1]DATABASE!V166)&gt;1),"Price Bridge Mismatch",""))</f>
        <v/>
      </c>
      <c r="H205" t="str">
        <f t="shared" si="5"/>
        <v>PASS</v>
      </c>
      <c r="I205" s="90">
        <f>[1]DATABASE!T166</f>
        <v>1140000</v>
      </c>
      <c r="J205" t="str">
        <f>[1]DATABASE!AC166</f>
        <v>Ana Damásio</v>
      </c>
    </row>
    <row r="206" spans="1:10" ht="13.95" customHeight="1" x14ac:dyDescent="0.3">
      <c r="A206">
        <f>ROW([1]DATABASE!A167)</f>
        <v>167</v>
      </c>
      <c r="B206" t="str">
        <f>[1]DATABASE!AJ167</f>
        <v>The Nine</v>
      </c>
      <c r="C206" t="str">
        <f>[1]DATABASE!C167</f>
        <v>D</v>
      </c>
      <c r="D206" t="str">
        <f>TRIM([1]DATABASE!Q167)</f>
        <v>DEED</v>
      </c>
      <c r="E206" s="82" t="str">
        <f>_xlfn.TEXTJOIN("; ",TRUE,IF([1]DATABASE!X167&lt;0,"Negative Discount",""),IF(AND([1]DATABASE!Y167&gt;[1]DATABASE!T167,[1]DATABASE!Y167&gt;0,[1]DATABASE!T167&gt;0),"Sell Price &gt; Current",""),IF(AND(TRIM([1]DATABASE!Q167)="DEED",[1]DATABASE!AA167=""),"Deeded no PSPA Date",""),IF([1]DATABASE!E167="","Missing Typology",""),IF([1]DATABASE!AJ167="","Missing Development",""))</f>
        <v/>
      </c>
      <c r="F206" s="82" t="str">
        <f>_xlfn.TEXTJOIN("; ",TRUE,IF(AND(OR(TRIM([1]DATABASE!Q167)="RESERVED",TRIM([1]DATABASE!Q167)="PRE-RESERVED",TRIM([1]DATABASE!Q167)="PSPA"),[1]DATABASE!AA167=""),"Reserved/PSPA no PSPA Date",""),IF(AND(TRIM([1]DATABASE!Q167)="AVAILABLE",[1]DATABASE!AA167&lt;&gt;""),"Available has PSPA Date",""))</f>
        <v/>
      </c>
      <c r="G206" s="82" t="str">
        <f>_xlfn.TEXTJOIN("; ",TRUE,IF(AND([1]DATABASE!T167&lt;0.8*[1]DATABASE!S167,[1]DATABASE!T167&gt;0,[1]DATABASE!S167&gt;0),"Heavy Price Cut &gt;20%",""),IF(AND(OR(TRIM([1]DATABASE!Q167)="AVAILABLE",TRIM([1]DATABASE!Q167)="UPON REQUEST"),OR([1]DATABASE!T167="",[1]DATABASE!T167=0)),"Active Unit no Price",""),IF(AND(OR(TRIM([1]DATABASE!Q167)="AVAILABLE",TRIM([1]DATABASE!Q167)="RESERVED",TRIM([1]DATABASE!Q167)="PRE-RESERVED",TRIM([1]DATABASE!Q167)="PSPA"),[1]DATABASE!AC167=""),"Active no Owner",""),IF(OR([1]DATABASE!F167="",[1]DATABASE!F167&lt;=0),"Missing/Invalid Area",""),IF(AND([1]DATABASE!T167&gt;0,ABS([1]DATABASE!T167-[1]DATABASE!W167-[1]DATABASE!U167-[1]DATABASE!V167)&gt;1),"Price Bridge Mismatch",""))</f>
        <v/>
      </c>
      <c r="H206" t="str">
        <f t="shared" si="5"/>
        <v>PASS</v>
      </c>
      <c r="I206" s="90">
        <f>[1]DATABASE!T167</f>
        <v>570000</v>
      </c>
      <c r="J206" t="str">
        <f>[1]DATABASE!AC167</f>
        <v>Ana Damásio</v>
      </c>
    </row>
    <row r="207" spans="1:10" ht="13.95" customHeight="1" x14ac:dyDescent="0.3">
      <c r="A207">
        <f>ROW([1]DATABASE!A168)</f>
        <v>168</v>
      </c>
      <c r="B207" t="str">
        <f>[1]DATABASE!AJ168</f>
        <v>VM PARQUE</v>
      </c>
      <c r="C207" t="str">
        <f>[1]DATABASE!C168</f>
        <v>D</v>
      </c>
      <c r="D207" t="str">
        <f>TRIM([1]DATABASE!Q168)</f>
        <v>DEED</v>
      </c>
      <c r="E207" s="82" t="str">
        <f>_xlfn.TEXTJOIN("; ",TRUE,IF([1]DATABASE!X168&lt;0,"Negative Discount",""),IF(AND([1]DATABASE!Y168&gt;[1]DATABASE!T168,[1]DATABASE!Y168&gt;0,[1]DATABASE!T168&gt;0),"Sell Price &gt; Current",""),IF(AND(TRIM([1]DATABASE!Q168)="DEED",[1]DATABASE!AA168=""),"Deeded no PSPA Date",""),IF([1]DATABASE!E168="","Missing Typology",""),IF([1]DATABASE!AJ168="","Missing Development",""))</f>
        <v/>
      </c>
      <c r="F207" s="82" t="str">
        <f>_xlfn.TEXTJOIN("; ",TRUE,IF(AND(OR(TRIM([1]DATABASE!Q168)="RESERVED",TRIM([1]DATABASE!Q168)="PRE-RESERVED",TRIM([1]DATABASE!Q168)="PSPA"),[1]DATABASE!AA168=""),"Reserved/PSPA no PSPA Date",""),IF(AND(TRIM([1]DATABASE!Q168)="AVAILABLE",[1]DATABASE!AA168&lt;&gt;""),"Available has PSPA Date",""))</f>
        <v/>
      </c>
      <c r="G207" s="82" t="str">
        <f>_xlfn.TEXTJOIN("; ",TRUE,IF(AND([1]DATABASE!T168&lt;0.8*[1]DATABASE!S168,[1]DATABASE!T168&gt;0,[1]DATABASE!S168&gt;0),"Heavy Price Cut &gt;20%",""),IF(AND(OR(TRIM([1]DATABASE!Q168)="AVAILABLE",TRIM([1]DATABASE!Q168)="UPON REQUEST"),OR([1]DATABASE!T168="",[1]DATABASE!T168=0)),"Active Unit no Price",""),IF(AND(OR(TRIM([1]DATABASE!Q168)="AVAILABLE",TRIM([1]DATABASE!Q168)="RESERVED",TRIM([1]DATABASE!Q168)="PRE-RESERVED",TRIM([1]DATABASE!Q168)="PSPA"),[1]DATABASE!AC168=""),"Active no Owner",""),IF(OR([1]DATABASE!F168="",[1]DATABASE!F168&lt;=0),"Missing/Invalid Area",""),IF(AND([1]DATABASE!T168&gt;0,ABS([1]DATABASE!T168-[1]DATABASE!W168-[1]DATABASE!U168-[1]DATABASE!V168)&gt;1),"Price Bridge Mismatch",""))</f>
        <v/>
      </c>
      <c r="H207" t="str">
        <f t="shared" si="5"/>
        <v>PASS</v>
      </c>
      <c r="I207" s="90">
        <f>[1]DATABASE!T168</f>
        <v>1060000</v>
      </c>
      <c r="J207">
        <f>[1]DATABASE!AC168</f>
        <v>0</v>
      </c>
    </row>
    <row r="208" spans="1:10" ht="13.95" customHeight="1" x14ac:dyDescent="0.3">
      <c r="A208">
        <f>ROW([1]DATABASE!A169)</f>
        <v>169</v>
      </c>
      <c r="B208" t="str">
        <f>[1]DATABASE!AJ169</f>
        <v>Natura Village</v>
      </c>
      <c r="C208" t="str">
        <f>[1]DATABASE!C169</f>
        <v>E</v>
      </c>
      <c r="D208" t="str">
        <f>TRIM([1]DATABASE!Q169)</f>
        <v>DEED</v>
      </c>
      <c r="E208" s="82" t="str">
        <f>_xlfn.TEXTJOIN("; ",TRUE,IF([1]DATABASE!X169&lt;0,"Negative Discount",""),IF(AND([1]DATABASE!Y169&gt;[1]DATABASE!T169,[1]DATABASE!Y169&gt;0,[1]DATABASE!T169&gt;0),"Sell Price &gt; Current",""),IF(AND(TRIM([1]DATABASE!Q169)="DEED",[1]DATABASE!AA169=""),"Deeded no PSPA Date",""),IF([1]DATABASE!E169="","Missing Typology",""),IF([1]DATABASE!AJ169="","Missing Development",""))</f>
        <v/>
      </c>
      <c r="F208" s="82" t="str">
        <f>_xlfn.TEXTJOIN("; ",TRUE,IF(AND(OR(TRIM([1]DATABASE!Q169)="RESERVED",TRIM([1]DATABASE!Q169)="PRE-RESERVED",TRIM([1]DATABASE!Q169)="PSPA"),[1]DATABASE!AA169=""),"Reserved/PSPA no PSPA Date",""),IF(AND(TRIM([1]DATABASE!Q169)="AVAILABLE",[1]DATABASE!AA169&lt;&gt;""),"Available has PSPA Date",""))</f>
        <v/>
      </c>
      <c r="G208" s="82" t="str">
        <f>_xlfn.TEXTJOIN("; ",TRUE,IF(AND([1]DATABASE!T169&lt;0.8*[1]DATABASE!S169,[1]DATABASE!T169&gt;0,[1]DATABASE!S169&gt;0),"Heavy Price Cut &gt;20%",""),IF(AND(OR(TRIM([1]DATABASE!Q169)="AVAILABLE",TRIM([1]DATABASE!Q169)="UPON REQUEST"),OR([1]DATABASE!T169="",[1]DATABASE!T169=0)),"Active Unit no Price",""),IF(AND(OR(TRIM([1]DATABASE!Q169)="AVAILABLE",TRIM([1]DATABASE!Q169)="RESERVED",TRIM([1]DATABASE!Q169)="PRE-RESERVED",TRIM([1]DATABASE!Q169)="PSPA"),[1]DATABASE!AC169=""),"Active no Owner",""),IF(OR([1]DATABASE!F169="",[1]DATABASE!F169&lt;=0),"Missing/Invalid Area",""),IF(AND([1]DATABASE!T169&gt;0,ABS([1]DATABASE!T169-[1]DATABASE!W169-[1]DATABASE!U169-[1]DATABASE!V169)&gt;1),"Price Bridge Mismatch",""))</f>
        <v/>
      </c>
      <c r="H208" t="str">
        <f t="shared" si="5"/>
        <v>PASS</v>
      </c>
      <c r="I208" s="90">
        <f>[1]DATABASE!T169</f>
        <v>960000</v>
      </c>
      <c r="J208" t="str">
        <f>[1]DATABASE!AC169</f>
        <v>Ana Damásio</v>
      </c>
    </row>
    <row r="209" spans="1:10" ht="13.95" customHeight="1" x14ac:dyDescent="0.3">
      <c r="A209">
        <f>ROW([1]DATABASE!A170)</f>
        <v>170</v>
      </c>
      <c r="B209" t="str">
        <f>[1]DATABASE!AJ170</f>
        <v>Terracota</v>
      </c>
      <c r="C209" t="str">
        <f>[1]DATABASE!C170</f>
        <v>E</v>
      </c>
      <c r="D209" t="str">
        <f>TRIM([1]DATABASE!Q170)</f>
        <v>PSPA</v>
      </c>
      <c r="E209" s="82" t="str">
        <f>_xlfn.TEXTJOIN("; ",TRUE,IF([1]DATABASE!X170&lt;0,"Negative Discount",""),IF(AND([1]DATABASE!Y170&gt;[1]DATABASE!T170,[1]DATABASE!Y170&gt;0,[1]DATABASE!T170&gt;0),"Sell Price &gt; Current",""),IF(AND(TRIM([1]DATABASE!Q170)="DEED",[1]DATABASE!AA170=""),"Deeded no PSPA Date",""),IF([1]DATABASE!E170="","Missing Typology",""),IF([1]DATABASE!AJ170="","Missing Development",""))</f>
        <v/>
      </c>
      <c r="F209" s="82" t="str">
        <f>_xlfn.TEXTJOIN("; ",TRUE,IF(AND(OR(TRIM([1]DATABASE!Q170)="RESERVED",TRIM([1]DATABASE!Q170)="PRE-RESERVED",TRIM([1]DATABASE!Q170)="PSPA"),[1]DATABASE!AA170=""),"Reserved/PSPA no PSPA Date",""),IF(AND(TRIM([1]DATABASE!Q170)="AVAILABLE",[1]DATABASE!AA170&lt;&gt;""),"Available has PSPA Date",""))</f>
        <v/>
      </c>
      <c r="G209" s="82" t="str">
        <f>_xlfn.TEXTJOIN("; ",TRUE,IF(AND([1]DATABASE!T170&lt;0.8*[1]DATABASE!S170,[1]DATABASE!T170&gt;0,[1]DATABASE!S170&gt;0),"Heavy Price Cut &gt;20%",""),IF(AND(OR(TRIM([1]DATABASE!Q170)="AVAILABLE",TRIM([1]DATABASE!Q170)="UPON REQUEST"),OR([1]DATABASE!T170="",[1]DATABASE!T170=0)),"Active Unit no Price",""),IF(AND(OR(TRIM([1]DATABASE!Q170)="AVAILABLE",TRIM([1]DATABASE!Q170)="RESERVED",TRIM([1]DATABASE!Q170)="PRE-RESERVED",TRIM([1]DATABASE!Q170)="PSPA"),[1]DATABASE!AC170=""),"Active no Owner",""),IF(OR([1]DATABASE!F170="",[1]DATABASE!F170&lt;=0),"Missing/Invalid Area",""),IF(AND([1]DATABASE!T170&gt;0,ABS([1]DATABASE!T170-[1]DATABASE!W170-[1]DATABASE!U170-[1]DATABASE!V170)&gt;1),"Price Bridge Mismatch",""))</f>
        <v>Heavy Price Cut &gt;20%</v>
      </c>
      <c r="H209" t="str">
        <f t="shared" si="5"/>
        <v>REVIEW</v>
      </c>
      <c r="I209" s="90">
        <f>[1]DATABASE!T170</f>
        <v>399000</v>
      </c>
      <c r="J209" t="str">
        <f>[1]DATABASE!AC170</f>
        <v>Ana Damásio</v>
      </c>
    </row>
    <row r="210" spans="1:10" ht="13.95" customHeight="1" x14ac:dyDescent="0.3">
      <c r="A210">
        <f>ROW([1]DATABASE!A171)</f>
        <v>171</v>
      </c>
      <c r="B210" t="str">
        <f>[1]DATABASE!AJ171</f>
        <v>Botanica</v>
      </c>
      <c r="C210" t="str">
        <f>[1]DATABASE!C171</f>
        <v>F</v>
      </c>
      <c r="D210" t="str">
        <f>TRIM([1]DATABASE!Q171)</f>
        <v>PSPA</v>
      </c>
      <c r="E210" s="82" t="str">
        <f>_xlfn.TEXTJOIN("; ",TRUE,IF([1]DATABASE!X171&lt;0,"Negative Discount",""),IF(AND([1]DATABASE!Y171&gt;[1]DATABASE!T171,[1]DATABASE!Y171&gt;0,[1]DATABASE!T171&gt;0),"Sell Price &gt; Current",""),IF(AND(TRIM([1]DATABASE!Q171)="DEED",[1]DATABASE!AA171=""),"Deeded no PSPA Date",""),IF([1]DATABASE!E171="","Missing Typology",""),IF([1]DATABASE!AJ171="","Missing Development",""))</f>
        <v/>
      </c>
      <c r="F210" s="82" t="str">
        <f>_xlfn.TEXTJOIN("; ",TRUE,IF(AND(OR(TRIM([1]DATABASE!Q171)="RESERVED",TRIM([1]DATABASE!Q171)="PRE-RESERVED",TRIM([1]DATABASE!Q171)="PSPA"),[1]DATABASE!AA171=""),"Reserved/PSPA no PSPA Date",""),IF(AND(TRIM([1]DATABASE!Q171)="AVAILABLE",[1]DATABASE!AA171&lt;&gt;""),"Available has PSPA Date",""))</f>
        <v/>
      </c>
      <c r="G210" s="82" t="str">
        <f>_xlfn.TEXTJOIN("; ",TRUE,IF(AND([1]DATABASE!T171&lt;0.8*[1]DATABASE!S171,[1]DATABASE!T171&gt;0,[1]DATABASE!S171&gt;0),"Heavy Price Cut &gt;20%",""),IF(AND(OR(TRIM([1]DATABASE!Q171)="AVAILABLE",TRIM([1]DATABASE!Q171)="UPON REQUEST"),OR([1]DATABASE!T171="",[1]DATABASE!T171=0)),"Active Unit no Price",""),IF(AND(OR(TRIM([1]DATABASE!Q171)="AVAILABLE",TRIM([1]DATABASE!Q171)="RESERVED",TRIM([1]DATABASE!Q171)="PRE-RESERVED",TRIM([1]DATABASE!Q171)="PSPA"),[1]DATABASE!AC171=""),"Active no Owner",""),IF(OR([1]DATABASE!F171="",[1]DATABASE!F171&lt;=0),"Missing/Invalid Area",""),IF(AND([1]DATABASE!T171&gt;0,ABS([1]DATABASE!T171-[1]DATABASE!W171-[1]DATABASE!U171-[1]DATABASE!V171)&gt;1),"Price Bridge Mismatch",""))</f>
        <v/>
      </c>
      <c r="H210" t="str">
        <f t="shared" si="5"/>
        <v>PASS</v>
      </c>
      <c r="I210" s="90">
        <f>[1]DATABASE!T171</f>
        <v>1070000</v>
      </c>
      <c r="J210" t="str">
        <f>[1]DATABASE!AC171</f>
        <v>Ana Damásio</v>
      </c>
    </row>
    <row r="211" spans="1:10" ht="13.95" customHeight="1" x14ac:dyDescent="0.3">
      <c r="A211">
        <f>ROW([1]DATABASE!A172)</f>
        <v>172</v>
      </c>
      <c r="B211" t="str">
        <f>[1]DATABASE!AJ172</f>
        <v>The Nine</v>
      </c>
      <c r="C211" t="str">
        <f>[1]DATABASE!C172</f>
        <v>E</v>
      </c>
      <c r="D211" t="str">
        <f>TRIM([1]DATABASE!Q172)</f>
        <v>DEED</v>
      </c>
      <c r="E211" s="82" t="str">
        <f>_xlfn.TEXTJOIN("; ",TRUE,IF([1]DATABASE!X172&lt;0,"Negative Discount",""),IF(AND([1]DATABASE!Y172&gt;[1]DATABASE!T172,[1]DATABASE!Y172&gt;0,[1]DATABASE!T172&gt;0),"Sell Price &gt; Current",""),IF(AND(TRIM([1]DATABASE!Q172)="DEED",[1]DATABASE!AA172=""),"Deeded no PSPA Date",""),IF([1]DATABASE!E172="","Missing Typology",""),IF([1]DATABASE!AJ172="","Missing Development",""))</f>
        <v/>
      </c>
      <c r="F211" s="82" t="str">
        <f>_xlfn.TEXTJOIN("; ",TRUE,IF(AND(OR(TRIM([1]DATABASE!Q172)="RESERVED",TRIM([1]DATABASE!Q172)="PRE-RESERVED",TRIM([1]DATABASE!Q172)="PSPA"),[1]DATABASE!AA172=""),"Reserved/PSPA no PSPA Date",""),IF(AND(TRIM([1]DATABASE!Q172)="AVAILABLE",[1]DATABASE!AA172&lt;&gt;""),"Available has PSPA Date",""))</f>
        <v/>
      </c>
      <c r="G211" s="82" t="str">
        <f>_xlfn.TEXTJOIN("; ",TRUE,IF(AND([1]DATABASE!T172&lt;0.8*[1]DATABASE!S172,[1]DATABASE!T172&gt;0,[1]DATABASE!S172&gt;0),"Heavy Price Cut &gt;20%",""),IF(AND(OR(TRIM([1]DATABASE!Q172)="AVAILABLE",TRIM([1]DATABASE!Q172)="UPON REQUEST"),OR([1]DATABASE!T172="",[1]DATABASE!T172=0)),"Active Unit no Price",""),IF(AND(OR(TRIM([1]DATABASE!Q172)="AVAILABLE",TRIM([1]DATABASE!Q172)="RESERVED",TRIM([1]DATABASE!Q172)="PRE-RESERVED",TRIM([1]DATABASE!Q172)="PSPA"),[1]DATABASE!AC172=""),"Active no Owner",""),IF(OR([1]DATABASE!F172="",[1]DATABASE!F172&lt;=0),"Missing/Invalid Area",""),IF(AND([1]DATABASE!T172&gt;0,ABS([1]DATABASE!T172-[1]DATABASE!W172-[1]DATABASE!U172-[1]DATABASE!V172)&gt;1),"Price Bridge Mismatch",""))</f>
        <v/>
      </c>
      <c r="H211" t="str">
        <f t="shared" si="5"/>
        <v>PASS</v>
      </c>
      <c r="I211" s="90">
        <f>[1]DATABASE!T172</f>
        <v>590000</v>
      </c>
      <c r="J211" t="str">
        <f>[1]DATABASE!AC172</f>
        <v>Ana Damásio</v>
      </c>
    </row>
    <row r="212" spans="1:10" ht="13.95" customHeight="1" x14ac:dyDescent="0.3">
      <c r="A212">
        <f>ROW([1]DATABASE!A173)</f>
        <v>173</v>
      </c>
      <c r="B212" t="str">
        <f>[1]DATABASE!AJ173</f>
        <v>VM PARQUE</v>
      </c>
      <c r="C212" t="str">
        <f>[1]DATABASE!C173</f>
        <v>E</v>
      </c>
      <c r="D212" t="str">
        <f>TRIM([1]DATABASE!Q173)</f>
        <v>DEED</v>
      </c>
      <c r="E212" s="82" t="str">
        <f>_xlfn.TEXTJOIN("; ",TRUE,IF([1]DATABASE!X173&lt;0,"Negative Discount",""),IF(AND([1]DATABASE!Y173&gt;[1]DATABASE!T173,[1]DATABASE!Y173&gt;0,[1]DATABASE!T173&gt;0),"Sell Price &gt; Current",""),IF(AND(TRIM([1]DATABASE!Q173)="DEED",[1]DATABASE!AA173=""),"Deeded no PSPA Date",""),IF([1]DATABASE!E173="","Missing Typology",""),IF([1]DATABASE!AJ173="","Missing Development",""))</f>
        <v/>
      </c>
      <c r="F212" s="82" t="str">
        <f>_xlfn.TEXTJOIN("; ",TRUE,IF(AND(OR(TRIM([1]DATABASE!Q173)="RESERVED",TRIM([1]DATABASE!Q173)="PRE-RESERVED",TRIM([1]DATABASE!Q173)="PSPA"),[1]DATABASE!AA173=""),"Reserved/PSPA no PSPA Date",""),IF(AND(TRIM([1]DATABASE!Q173)="AVAILABLE",[1]DATABASE!AA173&lt;&gt;""),"Available has PSPA Date",""))</f>
        <v/>
      </c>
      <c r="G212" s="82" t="str">
        <f>_xlfn.TEXTJOIN("; ",TRUE,IF(AND([1]DATABASE!T173&lt;0.8*[1]DATABASE!S173,[1]DATABASE!T173&gt;0,[1]DATABASE!S173&gt;0),"Heavy Price Cut &gt;20%",""),IF(AND(OR(TRIM([1]DATABASE!Q173)="AVAILABLE",TRIM([1]DATABASE!Q173)="UPON REQUEST"),OR([1]DATABASE!T173="",[1]DATABASE!T173=0)),"Active Unit no Price",""),IF(AND(OR(TRIM([1]DATABASE!Q173)="AVAILABLE",TRIM([1]DATABASE!Q173)="RESERVED",TRIM([1]DATABASE!Q173)="PRE-RESERVED",TRIM([1]DATABASE!Q173)="PSPA"),[1]DATABASE!AC173=""),"Active no Owner",""),IF(OR([1]DATABASE!F173="",[1]DATABASE!F173&lt;=0),"Missing/Invalid Area",""),IF(AND([1]DATABASE!T173&gt;0,ABS([1]DATABASE!T173-[1]DATABASE!W173-[1]DATABASE!U173-[1]DATABASE!V173)&gt;1),"Price Bridge Mismatch",""))</f>
        <v/>
      </c>
      <c r="H212" t="str">
        <f t="shared" si="5"/>
        <v>PASS</v>
      </c>
      <c r="I212" s="90">
        <f>[1]DATABASE!T173</f>
        <v>1040000</v>
      </c>
      <c r="J212">
        <f>[1]DATABASE!AC173</f>
        <v>0</v>
      </c>
    </row>
    <row r="213" spans="1:10" ht="13.95" customHeight="1" x14ac:dyDescent="0.3">
      <c r="A213">
        <f>ROW([1]DATABASE!A174)</f>
        <v>174</v>
      </c>
      <c r="B213" t="str">
        <f>[1]DATABASE!AJ174</f>
        <v>Natura Village</v>
      </c>
      <c r="C213" t="str">
        <f>[1]DATABASE!C174</f>
        <v>F</v>
      </c>
      <c r="D213" t="str">
        <f>TRIM([1]DATABASE!Q174)</f>
        <v>PSPA</v>
      </c>
      <c r="E213" s="82" t="str">
        <f>_xlfn.TEXTJOIN("; ",TRUE,IF([1]DATABASE!X174&lt;0,"Negative Discount",""),IF(AND([1]DATABASE!Y174&gt;[1]DATABASE!T174,[1]DATABASE!Y174&gt;0,[1]DATABASE!T174&gt;0),"Sell Price &gt; Current",""),IF(AND(TRIM([1]DATABASE!Q174)="DEED",[1]DATABASE!AA174=""),"Deeded no PSPA Date",""),IF([1]DATABASE!E174="","Missing Typology",""),IF([1]DATABASE!AJ174="","Missing Development",""))</f>
        <v/>
      </c>
      <c r="F213" s="82" t="str">
        <f>_xlfn.TEXTJOIN("; ",TRUE,IF(AND(OR(TRIM([1]DATABASE!Q174)="RESERVED",TRIM([1]DATABASE!Q174)="PRE-RESERVED",TRIM([1]DATABASE!Q174)="PSPA"),[1]DATABASE!AA174=""),"Reserved/PSPA no PSPA Date",""),IF(AND(TRIM([1]DATABASE!Q174)="AVAILABLE",[1]DATABASE!AA174&lt;&gt;""),"Available has PSPA Date",""))</f>
        <v/>
      </c>
      <c r="G213" s="82" t="str">
        <f>_xlfn.TEXTJOIN("; ",TRUE,IF(AND([1]DATABASE!T174&lt;0.8*[1]DATABASE!S174,[1]DATABASE!T174&gt;0,[1]DATABASE!S174&gt;0),"Heavy Price Cut &gt;20%",""),IF(AND(OR(TRIM([1]DATABASE!Q174)="AVAILABLE",TRIM([1]DATABASE!Q174)="UPON REQUEST"),OR([1]DATABASE!T174="",[1]DATABASE!T174=0)),"Active Unit no Price",""),IF(AND(OR(TRIM([1]DATABASE!Q174)="AVAILABLE",TRIM([1]DATABASE!Q174)="RESERVED",TRIM([1]DATABASE!Q174)="PRE-RESERVED",TRIM([1]DATABASE!Q174)="PSPA"),[1]DATABASE!AC174=""),"Active no Owner",""),IF(OR([1]DATABASE!F174="",[1]DATABASE!F174&lt;=0),"Missing/Invalid Area",""),IF(AND([1]DATABASE!T174&gt;0,ABS([1]DATABASE!T174-[1]DATABASE!W174-[1]DATABASE!U174-[1]DATABASE!V174)&gt;1),"Price Bridge Mismatch",""))</f>
        <v/>
      </c>
      <c r="H213" t="str">
        <f t="shared" si="5"/>
        <v>PASS</v>
      </c>
      <c r="I213" s="90">
        <f>[1]DATABASE!T174</f>
        <v>1360000</v>
      </c>
      <c r="J213" t="str">
        <f>[1]DATABASE!AC174</f>
        <v>Ana Damásio</v>
      </c>
    </row>
    <row r="214" spans="1:10" ht="13.95" customHeight="1" x14ac:dyDescent="0.3">
      <c r="A214">
        <f>ROW([1]DATABASE!A175)</f>
        <v>175</v>
      </c>
      <c r="B214" t="str">
        <f>[1]DATABASE!AJ175</f>
        <v>Natura Village</v>
      </c>
      <c r="C214" t="str">
        <f>[1]DATABASE!C175</f>
        <v>F</v>
      </c>
      <c r="D214" t="str">
        <f>TRIM([1]DATABASE!Q175)</f>
        <v>DEED</v>
      </c>
      <c r="E214" s="82" t="str">
        <f>_xlfn.TEXTJOIN("; ",TRUE,IF([1]DATABASE!X175&lt;0,"Negative Discount",""),IF(AND([1]DATABASE!Y175&gt;[1]DATABASE!T175,[1]DATABASE!Y175&gt;0,[1]DATABASE!T175&gt;0),"Sell Price &gt; Current",""),IF(AND(TRIM([1]DATABASE!Q175)="DEED",[1]DATABASE!AA175=""),"Deeded no PSPA Date",""),IF([1]DATABASE!E175="","Missing Typology",""),IF([1]DATABASE!AJ175="","Missing Development",""))</f>
        <v/>
      </c>
      <c r="F214" s="82" t="str">
        <f>_xlfn.TEXTJOIN("; ",TRUE,IF(AND(OR(TRIM([1]DATABASE!Q175)="RESERVED",TRIM([1]DATABASE!Q175)="PRE-RESERVED",TRIM([1]DATABASE!Q175)="PSPA"),[1]DATABASE!AA175=""),"Reserved/PSPA no PSPA Date",""),IF(AND(TRIM([1]DATABASE!Q175)="AVAILABLE",[1]DATABASE!AA175&lt;&gt;""),"Available has PSPA Date",""))</f>
        <v/>
      </c>
      <c r="G214" s="82" t="str">
        <f>_xlfn.TEXTJOIN("; ",TRUE,IF(AND([1]DATABASE!T175&lt;0.8*[1]DATABASE!S175,[1]DATABASE!T175&gt;0,[1]DATABASE!S175&gt;0),"Heavy Price Cut &gt;20%",""),IF(AND(OR(TRIM([1]DATABASE!Q175)="AVAILABLE",TRIM([1]DATABASE!Q175)="UPON REQUEST"),OR([1]DATABASE!T175="",[1]DATABASE!T175=0)),"Active Unit no Price",""),IF(AND(OR(TRIM([1]DATABASE!Q175)="AVAILABLE",TRIM([1]DATABASE!Q175)="RESERVED",TRIM([1]DATABASE!Q175)="PRE-RESERVED",TRIM([1]DATABASE!Q175)="PSPA"),[1]DATABASE!AC175=""),"Active no Owner",""),IF(OR([1]DATABASE!F175="",[1]DATABASE!F175&lt;=0),"Missing/Invalid Area",""),IF(AND([1]DATABASE!T175&gt;0,ABS([1]DATABASE!T175-[1]DATABASE!W175-[1]DATABASE!U175-[1]DATABASE!V175)&gt;1),"Price Bridge Mismatch",""))</f>
        <v/>
      </c>
      <c r="H214" t="str">
        <f t="shared" si="5"/>
        <v>PASS</v>
      </c>
      <c r="I214" s="90">
        <f>[1]DATABASE!T175</f>
        <v>990000</v>
      </c>
      <c r="J214" t="str">
        <f>[1]DATABASE!AC175</f>
        <v>Ana Damásio</v>
      </c>
    </row>
    <row r="215" spans="1:10" ht="13.95" customHeight="1" x14ac:dyDescent="0.3">
      <c r="A215">
        <f>ROW([1]DATABASE!A176)</f>
        <v>176</v>
      </c>
      <c r="B215" t="str">
        <f>[1]DATABASE!AJ176</f>
        <v>Natura Village</v>
      </c>
      <c r="C215" t="str">
        <f>[1]DATABASE!C176</f>
        <v>F</v>
      </c>
      <c r="D215" t="str">
        <f>TRIM([1]DATABASE!Q176)</f>
        <v>DEED</v>
      </c>
      <c r="E215" s="82" t="str">
        <f>_xlfn.TEXTJOIN("; ",TRUE,IF([1]DATABASE!X176&lt;0,"Negative Discount",""),IF(AND([1]DATABASE!Y176&gt;[1]DATABASE!T176,[1]DATABASE!Y176&gt;0,[1]DATABASE!T176&gt;0),"Sell Price &gt; Current",""),IF(AND(TRIM([1]DATABASE!Q176)="DEED",[1]DATABASE!AA176=""),"Deeded no PSPA Date",""),IF([1]DATABASE!E176="","Missing Typology",""),IF([1]DATABASE!AJ176="","Missing Development",""))</f>
        <v/>
      </c>
      <c r="F215" s="82" t="str">
        <f>_xlfn.TEXTJOIN("; ",TRUE,IF(AND(OR(TRIM([1]DATABASE!Q176)="RESERVED",TRIM([1]DATABASE!Q176)="PRE-RESERVED",TRIM([1]DATABASE!Q176)="PSPA"),[1]DATABASE!AA176=""),"Reserved/PSPA no PSPA Date",""),IF(AND(TRIM([1]DATABASE!Q176)="AVAILABLE",[1]DATABASE!AA176&lt;&gt;""),"Available has PSPA Date",""))</f>
        <v/>
      </c>
      <c r="G215" s="82" t="str">
        <f>_xlfn.TEXTJOIN("; ",TRUE,IF(AND([1]DATABASE!T176&lt;0.8*[1]DATABASE!S176,[1]DATABASE!T176&gt;0,[1]DATABASE!S176&gt;0),"Heavy Price Cut &gt;20%",""),IF(AND(OR(TRIM([1]DATABASE!Q176)="AVAILABLE",TRIM([1]DATABASE!Q176)="UPON REQUEST"),OR([1]DATABASE!T176="",[1]DATABASE!T176=0)),"Active Unit no Price",""),IF(AND(OR(TRIM([1]DATABASE!Q176)="AVAILABLE",TRIM([1]DATABASE!Q176)="RESERVED",TRIM([1]DATABASE!Q176)="PRE-RESERVED",TRIM([1]DATABASE!Q176)="PSPA"),[1]DATABASE!AC176=""),"Active no Owner",""),IF(OR([1]DATABASE!F176="",[1]DATABASE!F176&lt;=0),"Missing/Invalid Area",""),IF(AND([1]DATABASE!T176&gt;0,ABS([1]DATABASE!T176-[1]DATABASE!W176-[1]DATABASE!U176-[1]DATABASE!V176)&gt;1),"Price Bridge Mismatch",""))</f>
        <v/>
      </c>
      <c r="H215" t="str">
        <f t="shared" si="5"/>
        <v>PASS</v>
      </c>
      <c r="I215" s="90">
        <f>[1]DATABASE!T176</f>
        <v>780000</v>
      </c>
      <c r="J215" t="str">
        <f>[1]DATABASE!AC176</f>
        <v>Ana Damásio</v>
      </c>
    </row>
    <row r="216" spans="1:10" ht="13.95" customHeight="1" x14ac:dyDescent="0.3">
      <c r="A216">
        <f>ROW([1]DATABASE!A177)</f>
        <v>177</v>
      </c>
      <c r="B216" t="str">
        <f>[1]DATABASE!AJ177</f>
        <v>Nobilus</v>
      </c>
      <c r="C216" t="str">
        <f>[1]DATABASE!C177</f>
        <v>F</v>
      </c>
      <c r="D216" t="str">
        <f>TRIM([1]DATABASE!Q177)</f>
        <v>PSPA</v>
      </c>
      <c r="E216" s="82" t="str">
        <f>_xlfn.TEXTJOIN("; ",TRUE,IF([1]DATABASE!X177&lt;0,"Negative Discount",""),IF(AND([1]DATABASE!Y177&gt;[1]DATABASE!T177,[1]DATABASE!Y177&gt;0,[1]DATABASE!T177&gt;0),"Sell Price &gt; Current",""),IF(AND(TRIM([1]DATABASE!Q177)="DEED",[1]DATABASE!AA177=""),"Deeded no PSPA Date",""),IF([1]DATABASE!E177="","Missing Typology",""),IF([1]DATABASE!AJ177="","Missing Development",""))</f>
        <v/>
      </c>
      <c r="F216" s="82" t="str">
        <f>_xlfn.TEXTJOIN("; ",TRUE,IF(AND(OR(TRIM([1]DATABASE!Q177)="RESERVED",TRIM([1]DATABASE!Q177)="PRE-RESERVED",TRIM([1]DATABASE!Q177)="PSPA"),[1]DATABASE!AA177=""),"Reserved/PSPA no PSPA Date",""),IF(AND(TRIM([1]DATABASE!Q177)="AVAILABLE",[1]DATABASE!AA177&lt;&gt;""),"Available has PSPA Date",""))</f>
        <v/>
      </c>
      <c r="G216" s="82" t="str">
        <f>_xlfn.TEXTJOIN("; ",TRUE,IF(AND([1]DATABASE!T177&lt;0.8*[1]DATABASE!S177,[1]DATABASE!T177&gt;0,[1]DATABASE!S177&gt;0),"Heavy Price Cut &gt;20%",""),IF(AND(OR(TRIM([1]DATABASE!Q177)="AVAILABLE",TRIM([1]DATABASE!Q177)="UPON REQUEST"),OR([1]DATABASE!T177="",[1]DATABASE!T177=0)),"Active Unit no Price",""),IF(AND(OR(TRIM([1]DATABASE!Q177)="AVAILABLE",TRIM([1]DATABASE!Q177)="RESERVED",TRIM([1]DATABASE!Q177)="PRE-RESERVED",TRIM([1]DATABASE!Q177)="PSPA"),[1]DATABASE!AC177=""),"Active no Owner",""),IF(OR([1]DATABASE!F177="",[1]DATABASE!F177&lt;=0),"Missing/Invalid Area",""),IF(AND([1]DATABASE!T177&gt;0,ABS([1]DATABASE!T177-[1]DATABASE!W177-[1]DATABASE!U177-[1]DATABASE!V177)&gt;1),"Price Bridge Mismatch",""))</f>
        <v/>
      </c>
      <c r="H216" t="str">
        <f t="shared" si="5"/>
        <v>PASS</v>
      </c>
      <c r="I216" s="90">
        <f>[1]DATABASE!T177</f>
        <v>700000</v>
      </c>
      <c r="J216" t="str">
        <f>[1]DATABASE!AC177</f>
        <v>Ana Damásio</v>
      </c>
    </row>
    <row r="217" spans="1:10" ht="13.95" customHeight="1" x14ac:dyDescent="0.3">
      <c r="A217">
        <f>ROW([1]DATABASE!A178)</f>
        <v>178</v>
      </c>
      <c r="B217" t="str">
        <f>[1]DATABASE!AJ178</f>
        <v>Terracota</v>
      </c>
      <c r="C217" t="str">
        <f>[1]DATABASE!C178</f>
        <v>F</v>
      </c>
      <c r="D217" t="str">
        <f>TRIM([1]DATABASE!Q178)</f>
        <v>PSPA</v>
      </c>
      <c r="E217" s="82" t="str">
        <f>_xlfn.TEXTJOIN("; ",TRUE,IF([1]DATABASE!X178&lt;0,"Negative Discount",""),IF(AND([1]DATABASE!Y178&gt;[1]DATABASE!T178,[1]DATABASE!Y178&gt;0,[1]DATABASE!T178&gt;0),"Sell Price &gt; Current",""),IF(AND(TRIM([1]DATABASE!Q178)="DEED",[1]DATABASE!AA178=""),"Deeded no PSPA Date",""),IF([1]DATABASE!E178="","Missing Typology",""),IF([1]DATABASE!AJ178="","Missing Development",""))</f>
        <v/>
      </c>
      <c r="F217" s="82" t="str">
        <f>_xlfn.TEXTJOIN("; ",TRUE,IF(AND(OR(TRIM([1]DATABASE!Q178)="RESERVED",TRIM([1]DATABASE!Q178)="PRE-RESERVED",TRIM([1]DATABASE!Q178)="PSPA"),[1]DATABASE!AA178=""),"Reserved/PSPA no PSPA Date",""),IF(AND(TRIM([1]DATABASE!Q178)="AVAILABLE",[1]DATABASE!AA178&lt;&gt;""),"Available has PSPA Date",""))</f>
        <v/>
      </c>
      <c r="G217" s="82" t="str">
        <f>_xlfn.TEXTJOIN("; ",TRUE,IF(AND([1]DATABASE!T178&lt;0.8*[1]DATABASE!S178,[1]DATABASE!T178&gt;0,[1]DATABASE!S178&gt;0),"Heavy Price Cut &gt;20%",""),IF(AND(OR(TRIM([1]DATABASE!Q178)="AVAILABLE",TRIM([1]DATABASE!Q178)="UPON REQUEST"),OR([1]DATABASE!T178="",[1]DATABASE!T178=0)),"Active Unit no Price",""),IF(AND(OR(TRIM([1]DATABASE!Q178)="AVAILABLE",TRIM([1]DATABASE!Q178)="RESERVED",TRIM([1]DATABASE!Q178)="PRE-RESERVED",TRIM([1]DATABASE!Q178)="PSPA"),[1]DATABASE!AC178=""),"Active no Owner",""),IF(OR([1]DATABASE!F178="",[1]DATABASE!F178&lt;=0),"Missing/Invalid Area",""),IF(AND([1]DATABASE!T178&gt;0,ABS([1]DATABASE!T178-[1]DATABASE!W178-[1]DATABASE!U178-[1]DATABASE!V178)&gt;1),"Price Bridge Mismatch",""))</f>
        <v>Heavy Price Cut &gt;20%</v>
      </c>
      <c r="H217" t="str">
        <f t="shared" si="5"/>
        <v>REVIEW</v>
      </c>
      <c r="I217" s="90">
        <f>[1]DATABASE!T178</f>
        <v>420000</v>
      </c>
      <c r="J217" t="str">
        <f>[1]DATABASE!AC178</f>
        <v>Ana Damásio</v>
      </c>
    </row>
    <row r="218" spans="1:10" ht="13.95" customHeight="1" x14ac:dyDescent="0.3">
      <c r="A218">
        <f>ROW([1]DATABASE!A179)</f>
        <v>179</v>
      </c>
      <c r="B218" t="str">
        <f>[1]DATABASE!AJ179</f>
        <v>Palmares</v>
      </c>
      <c r="C218" t="str">
        <f>[1]DATABASE!C179</f>
        <v>823B</v>
      </c>
      <c r="D218" t="str">
        <f>TRIM([1]DATABASE!Q179)</f>
        <v>PSPA</v>
      </c>
      <c r="E218" s="82" t="str">
        <f>_xlfn.TEXTJOIN("; ",TRUE,IF([1]DATABASE!X179&lt;0,"Negative Discount",""),IF(AND([1]DATABASE!Y179&gt;[1]DATABASE!T179,[1]DATABASE!Y179&gt;0,[1]DATABASE!T179&gt;0),"Sell Price &gt; Current",""),IF(AND(TRIM([1]DATABASE!Q179)="DEED",[1]DATABASE!AA179=""),"Deeded no PSPA Date",""),IF([1]DATABASE!E179="","Missing Typology",""),IF([1]DATABASE!AJ179="","Missing Development",""))</f>
        <v/>
      </c>
      <c r="F218" s="82" t="str">
        <f>_xlfn.TEXTJOIN("; ",TRUE,IF(AND(OR(TRIM([1]DATABASE!Q179)="RESERVED",TRIM([1]DATABASE!Q179)="PRE-RESERVED",TRIM([1]DATABASE!Q179)="PSPA"),[1]DATABASE!AA179=""),"Reserved/PSPA no PSPA Date",""),IF(AND(TRIM([1]DATABASE!Q179)="AVAILABLE",[1]DATABASE!AA179&lt;&gt;""),"Available has PSPA Date",""))</f>
        <v/>
      </c>
      <c r="G218" s="82" t="str">
        <f>_xlfn.TEXTJOIN("; ",TRUE,IF(AND([1]DATABASE!T179&lt;0.8*[1]DATABASE!S179,[1]DATABASE!T179&gt;0,[1]DATABASE!S179&gt;0),"Heavy Price Cut &gt;20%",""),IF(AND(OR(TRIM([1]DATABASE!Q179)="AVAILABLE",TRIM([1]DATABASE!Q179)="UPON REQUEST"),OR([1]DATABASE!T179="",[1]DATABASE!T179=0)),"Active Unit no Price",""),IF(AND(OR(TRIM([1]DATABASE!Q179)="AVAILABLE",TRIM([1]DATABASE!Q179)="RESERVED",TRIM([1]DATABASE!Q179)="PRE-RESERVED",TRIM([1]DATABASE!Q179)="PSPA"),[1]DATABASE!AC179=""),"Active no Owner",""),IF(OR([1]DATABASE!F179="",[1]DATABASE!F179&lt;=0),"Missing/Invalid Area",""),IF(AND([1]DATABASE!T179&gt;0,ABS([1]DATABASE!T179-[1]DATABASE!W179-[1]DATABASE!U179-[1]DATABASE!V179)&gt;1),"Price Bridge Mismatch",""))</f>
        <v>Active no Owner</v>
      </c>
      <c r="H218" t="str">
        <f t="shared" si="5"/>
        <v>REVIEW</v>
      </c>
      <c r="I218" s="90">
        <f>[1]DATABASE!T179</f>
        <v>1200000</v>
      </c>
      <c r="J218">
        <f>[1]DATABASE!AC179</f>
        <v>0</v>
      </c>
    </row>
    <row r="219" spans="1:10" ht="13.95" customHeight="1" x14ac:dyDescent="0.3">
      <c r="A219">
        <f>ROW([1]DATABASE!A180)</f>
        <v>180</v>
      </c>
      <c r="B219" t="str">
        <f>[1]DATABASE!AJ180</f>
        <v>The Nine</v>
      </c>
      <c r="C219" t="str">
        <f>[1]DATABASE!C180</f>
        <v>F</v>
      </c>
      <c r="D219" t="str">
        <f>TRIM([1]DATABASE!Q180)</f>
        <v>DEED</v>
      </c>
      <c r="E219" s="82" t="str">
        <f>_xlfn.TEXTJOIN("; ",TRUE,IF([1]DATABASE!X180&lt;0,"Negative Discount",""),IF(AND([1]DATABASE!Y180&gt;[1]DATABASE!T180,[1]DATABASE!Y180&gt;0,[1]DATABASE!T180&gt;0),"Sell Price &gt; Current",""),IF(AND(TRIM([1]DATABASE!Q180)="DEED",[1]DATABASE!AA180=""),"Deeded no PSPA Date",""),IF([1]DATABASE!E180="","Missing Typology",""),IF([1]DATABASE!AJ180="","Missing Development",""))</f>
        <v/>
      </c>
      <c r="F219" s="82" t="str">
        <f>_xlfn.TEXTJOIN("; ",TRUE,IF(AND(OR(TRIM([1]DATABASE!Q180)="RESERVED",TRIM([1]DATABASE!Q180)="PRE-RESERVED",TRIM([1]DATABASE!Q180)="PSPA"),[1]DATABASE!AA180=""),"Reserved/PSPA no PSPA Date",""),IF(AND(TRIM([1]DATABASE!Q180)="AVAILABLE",[1]DATABASE!AA180&lt;&gt;""),"Available has PSPA Date",""))</f>
        <v/>
      </c>
      <c r="G219" s="82" t="str">
        <f>_xlfn.TEXTJOIN("; ",TRUE,IF(AND([1]DATABASE!T180&lt;0.8*[1]DATABASE!S180,[1]DATABASE!T180&gt;0,[1]DATABASE!S180&gt;0),"Heavy Price Cut &gt;20%",""),IF(AND(OR(TRIM([1]DATABASE!Q180)="AVAILABLE",TRIM([1]DATABASE!Q180)="UPON REQUEST"),OR([1]DATABASE!T180="",[1]DATABASE!T180=0)),"Active Unit no Price",""),IF(AND(OR(TRIM([1]DATABASE!Q180)="AVAILABLE",TRIM([1]DATABASE!Q180)="RESERVED",TRIM([1]DATABASE!Q180)="PRE-RESERVED",TRIM([1]DATABASE!Q180)="PSPA"),[1]DATABASE!AC180=""),"Active no Owner",""),IF(OR([1]DATABASE!F180="",[1]DATABASE!F180&lt;=0),"Missing/Invalid Area",""),IF(AND([1]DATABASE!T180&gt;0,ABS([1]DATABASE!T180-[1]DATABASE!W180-[1]DATABASE!U180-[1]DATABASE!V180)&gt;1),"Price Bridge Mismatch",""))</f>
        <v/>
      </c>
      <c r="H219" t="str">
        <f t="shared" si="5"/>
        <v>PASS</v>
      </c>
      <c r="I219" s="90">
        <f>[1]DATABASE!T180</f>
        <v>590000</v>
      </c>
      <c r="J219" t="str">
        <f>[1]DATABASE!AC180</f>
        <v>Ana Damásio</v>
      </c>
    </row>
    <row r="220" spans="1:10" ht="13.95" customHeight="1" x14ac:dyDescent="0.3">
      <c r="A220">
        <f>ROW([1]DATABASE!A181)</f>
        <v>181</v>
      </c>
      <c r="B220" t="str">
        <f>[1]DATABASE!AJ181</f>
        <v>VM PARQUE</v>
      </c>
      <c r="C220" t="str">
        <f>[1]DATABASE!C181</f>
        <v>F</v>
      </c>
      <c r="D220" t="str">
        <f>TRIM([1]DATABASE!Q181)</f>
        <v>DEED</v>
      </c>
      <c r="E220" s="82" t="str">
        <f>_xlfn.TEXTJOIN("; ",TRUE,IF([1]DATABASE!X181&lt;0,"Negative Discount",""),IF(AND([1]DATABASE!Y181&gt;[1]DATABASE!T181,[1]DATABASE!Y181&gt;0,[1]DATABASE!T181&gt;0),"Sell Price &gt; Current",""),IF(AND(TRIM([1]DATABASE!Q181)="DEED",[1]DATABASE!AA181=""),"Deeded no PSPA Date",""),IF([1]DATABASE!E181="","Missing Typology",""),IF([1]DATABASE!AJ181="","Missing Development",""))</f>
        <v/>
      </c>
      <c r="F220" s="82" t="str">
        <f>_xlfn.TEXTJOIN("; ",TRUE,IF(AND(OR(TRIM([1]DATABASE!Q181)="RESERVED",TRIM([1]DATABASE!Q181)="PRE-RESERVED",TRIM([1]DATABASE!Q181)="PSPA"),[1]DATABASE!AA181=""),"Reserved/PSPA no PSPA Date",""),IF(AND(TRIM([1]DATABASE!Q181)="AVAILABLE",[1]DATABASE!AA181&lt;&gt;""),"Available has PSPA Date",""))</f>
        <v/>
      </c>
      <c r="G220" s="82" t="str">
        <f>_xlfn.TEXTJOIN("; ",TRUE,IF(AND([1]DATABASE!T181&lt;0.8*[1]DATABASE!S181,[1]DATABASE!T181&gt;0,[1]DATABASE!S181&gt;0),"Heavy Price Cut &gt;20%",""),IF(AND(OR(TRIM([1]DATABASE!Q181)="AVAILABLE",TRIM([1]DATABASE!Q181)="UPON REQUEST"),OR([1]DATABASE!T181="",[1]DATABASE!T181=0)),"Active Unit no Price",""),IF(AND(OR(TRIM([1]DATABASE!Q181)="AVAILABLE",TRIM([1]DATABASE!Q181)="RESERVED",TRIM([1]DATABASE!Q181)="PRE-RESERVED",TRIM([1]DATABASE!Q181)="PSPA"),[1]DATABASE!AC181=""),"Active no Owner",""),IF(OR([1]DATABASE!F181="",[1]DATABASE!F181&lt;=0),"Missing/Invalid Area",""),IF(AND([1]DATABASE!T181&gt;0,ABS([1]DATABASE!T181-[1]DATABASE!W181-[1]DATABASE!U181-[1]DATABASE!V181)&gt;1),"Price Bridge Mismatch",""))</f>
        <v/>
      </c>
      <c r="H220" t="str">
        <f t="shared" si="5"/>
        <v>PASS</v>
      </c>
      <c r="I220" s="90">
        <f>[1]DATABASE!T181</f>
        <v>1050000</v>
      </c>
      <c r="J220">
        <f>[1]DATABASE!AC181</f>
        <v>0</v>
      </c>
    </row>
    <row r="221" spans="1:10" ht="13.95" customHeight="1" x14ac:dyDescent="0.3">
      <c r="A221">
        <f>ROW([1]DATABASE!A182)</f>
        <v>182</v>
      </c>
      <c r="B221" t="str">
        <f>[1]DATABASE!AJ182</f>
        <v>Natura Village</v>
      </c>
      <c r="C221" t="str">
        <f>[1]DATABASE!C182</f>
        <v>G</v>
      </c>
      <c r="D221" t="str">
        <f>TRIM([1]DATABASE!Q182)</f>
        <v>DEED</v>
      </c>
      <c r="E221" s="82" t="str">
        <f>_xlfn.TEXTJOIN("; ",TRUE,IF([1]DATABASE!X182&lt;0,"Negative Discount",""),IF(AND([1]DATABASE!Y182&gt;[1]DATABASE!T182,[1]DATABASE!Y182&gt;0,[1]DATABASE!T182&gt;0),"Sell Price &gt; Current",""),IF(AND(TRIM([1]DATABASE!Q182)="DEED",[1]DATABASE!AA182=""),"Deeded no PSPA Date",""),IF([1]DATABASE!E182="","Missing Typology",""),IF([1]DATABASE!AJ182="","Missing Development",""))</f>
        <v/>
      </c>
      <c r="F221" s="82" t="str">
        <f>_xlfn.TEXTJOIN("; ",TRUE,IF(AND(OR(TRIM([1]DATABASE!Q182)="RESERVED",TRIM([1]DATABASE!Q182)="PRE-RESERVED",TRIM([1]DATABASE!Q182)="PSPA"),[1]DATABASE!AA182=""),"Reserved/PSPA no PSPA Date",""),IF(AND(TRIM([1]DATABASE!Q182)="AVAILABLE",[1]DATABASE!AA182&lt;&gt;""),"Available has PSPA Date",""))</f>
        <v/>
      </c>
      <c r="G221" s="82" t="str">
        <f>_xlfn.TEXTJOIN("; ",TRUE,IF(AND([1]DATABASE!T182&lt;0.8*[1]DATABASE!S182,[1]DATABASE!T182&gt;0,[1]DATABASE!S182&gt;0),"Heavy Price Cut &gt;20%",""),IF(AND(OR(TRIM([1]DATABASE!Q182)="AVAILABLE",TRIM([1]DATABASE!Q182)="UPON REQUEST"),OR([1]DATABASE!T182="",[1]DATABASE!T182=0)),"Active Unit no Price",""),IF(AND(OR(TRIM([1]DATABASE!Q182)="AVAILABLE",TRIM([1]DATABASE!Q182)="RESERVED",TRIM([1]DATABASE!Q182)="PRE-RESERVED",TRIM([1]DATABASE!Q182)="PSPA"),[1]DATABASE!AC182=""),"Active no Owner",""),IF(OR([1]DATABASE!F182="",[1]DATABASE!F182&lt;=0),"Missing/Invalid Area",""),IF(AND([1]DATABASE!T182&gt;0,ABS([1]DATABASE!T182-[1]DATABASE!W182-[1]DATABASE!U182-[1]DATABASE!V182)&gt;1),"Price Bridge Mismatch",""))</f>
        <v/>
      </c>
      <c r="H221" t="str">
        <f t="shared" si="5"/>
        <v>PASS</v>
      </c>
      <c r="I221" s="90">
        <f>[1]DATABASE!T182</f>
        <v>960000</v>
      </c>
      <c r="J221" t="str">
        <f>[1]DATABASE!AC182</f>
        <v>Ana Damásio</v>
      </c>
    </row>
    <row r="222" spans="1:10" ht="13.95" customHeight="1" x14ac:dyDescent="0.3">
      <c r="A222">
        <f>ROW([1]DATABASE!A183)</f>
        <v>183</v>
      </c>
      <c r="B222" t="str">
        <f>[1]DATABASE!AJ183</f>
        <v>Terracota</v>
      </c>
      <c r="C222" t="str">
        <f>[1]DATABASE!C183</f>
        <v>G</v>
      </c>
      <c r="D222" t="str">
        <f>TRIM([1]DATABASE!Q183)</f>
        <v>PSPA</v>
      </c>
      <c r="E222" s="82" t="str">
        <f>_xlfn.TEXTJOIN("; ",TRUE,IF([1]DATABASE!X183&lt;0,"Negative Discount",""),IF(AND([1]DATABASE!Y183&gt;[1]DATABASE!T183,[1]DATABASE!Y183&gt;0,[1]DATABASE!T183&gt;0),"Sell Price &gt; Current",""),IF(AND(TRIM([1]DATABASE!Q183)="DEED",[1]DATABASE!AA183=""),"Deeded no PSPA Date",""),IF([1]DATABASE!E183="","Missing Typology",""),IF([1]DATABASE!AJ183="","Missing Development",""))</f>
        <v/>
      </c>
      <c r="F222" s="82" t="str">
        <f>_xlfn.TEXTJOIN("; ",TRUE,IF(AND(OR(TRIM([1]DATABASE!Q183)="RESERVED",TRIM([1]DATABASE!Q183)="PRE-RESERVED",TRIM([1]DATABASE!Q183)="PSPA"),[1]DATABASE!AA183=""),"Reserved/PSPA no PSPA Date",""),IF(AND(TRIM([1]DATABASE!Q183)="AVAILABLE",[1]DATABASE!AA183&lt;&gt;""),"Available has PSPA Date",""))</f>
        <v/>
      </c>
      <c r="G222" s="82" t="str">
        <f>_xlfn.TEXTJOIN("; ",TRUE,IF(AND([1]DATABASE!T183&lt;0.8*[1]DATABASE!S183,[1]DATABASE!T183&gt;0,[1]DATABASE!S183&gt;0),"Heavy Price Cut &gt;20%",""),IF(AND(OR(TRIM([1]DATABASE!Q183)="AVAILABLE",TRIM([1]DATABASE!Q183)="UPON REQUEST"),OR([1]DATABASE!T183="",[1]DATABASE!T183=0)),"Active Unit no Price",""),IF(AND(OR(TRIM([1]DATABASE!Q183)="AVAILABLE",TRIM([1]DATABASE!Q183)="RESERVED",TRIM([1]DATABASE!Q183)="PRE-RESERVED",TRIM([1]DATABASE!Q183)="PSPA"),[1]DATABASE!AC183=""),"Active no Owner",""),IF(OR([1]DATABASE!F183="",[1]DATABASE!F183&lt;=0),"Missing/Invalid Area",""),IF(AND([1]DATABASE!T183&gt;0,ABS([1]DATABASE!T183-[1]DATABASE!W183-[1]DATABASE!U183-[1]DATABASE!V183)&gt;1),"Price Bridge Mismatch",""))</f>
        <v>Heavy Price Cut &gt;20%</v>
      </c>
      <c r="H222" t="str">
        <f t="shared" si="5"/>
        <v>REVIEW</v>
      </c>
      <c r="I222" s="90">
        <f>[1]DATABASE!T183</f>
        <v>399000</v>
      </c>
      <c r="J222" t="str">
        <f>[1]DATABASE!AC183</f>
        <v>Ana Damásio</v>
      </c>
    </row>
    <row r="223" spans="1:10" ht="13.95" customHeight="1" x14ac:dyDescent="0.3">
      <c r="A223">
        <f>ROW([1]DATABASE!A184)</f>
        <v>184</v>
      </c>
      <c r="B223" t="str">
        <f>[1]DATABASE!AJ184</f>
        <v>Terracota</v>
      </c>
      <c r="C223" t="str">
        <f>[1]DATABASE!C184</f>
        <v>H</v>
      </c>
      <c r="D223" t="str">
        <f>TRIM([1]DATABASE!Q184)</f>
        <v>PSPA</v>
      </c>
      <c r="E223" s="82" t="str">
        <f>_xlfn.TEXTJOIN("; ",TRUE,IF([1]DATABASE!X184&lt;0,"Negative Discount",""),IF(AND([1]DATABASE!Y184&gt;[1]DATABASE!T184,[1]DATABASE!Y184&gt;0,[1]DATABASE!T184&gt;0),"Sell Price &gt; Current",""),IF(AND(TRIM([1]DATABASE!Q184)="DEED",[1]DATABASE!AA184=""),"Deeded no PSPA Date",""),IF([1]DATABASE!E184="","Missing Typology",""),IF([1]DATABASE!AJ184="","Missing Development",""))</f>
        <v/>
      </c>
      <c r="F223" s="82" t="str">
        <f>_xlfn.TEXTJOIN("; ",TRUE,IF(AND(OR(TRIM([1]DATABASE!Q184)="RESERVED",TRIM([1]DATABASE!Q184)="PRE-RESERVED",TRIM([1]DATABASE!Q184)="PSPA"),[1]DATABASE!AA184=""),"Reserved/PSPA no PSPA Date",""),IF(AND(TRIM([1]DATABASE!Q184)="AVAILABLE",[1]DATABASE!AA184&lt;&gt;""),"Available has PSPA Date",""))</f>
        <v/>
      </c>
      <c r="G223" s="82" t="str">
        <f>_xlfn.TEXTJOIN("; ",TRUE,IF(AND([1]DATABASE!T184&lt;0.8*[1]DATABASE!S184,[1]DATABASE!T184&gt;0,[1]DATABASE!S184&gt;0),"Heavy Price Cut &gt;20%",""),IF(AND(OR(TRIM([1]DATABASE!Q184)="AVAILABLE",TRIM([1]DATABASE!Q184)="UPON REQUEST"),OR([1]DATABASE!T184="",[1]DATABASE!T184=0)),"Active Unit no Price",""),IF(AND(OR(TRIM([1]DATABASE!Q184)="AVAILABLE",TRIM([1]DATABASE!Q184)="RESERVED",TRIM([1]DATABASE!Q184)="PRE-RESERVED",TRIM([1]DATABASE!Q184)="PSPA"),[1]DATABASE!AC184=""),"Active no Owner",""),IF(OR([1]DATABASE!F184="",[1]DATABASE!F184&lt;=0),"Missing/Invalid Area",""),IF(AND([1]DATABASE!T184&gt;0,ABS([1]DATABASE!T184-[1]DATABASE!W184-[1]DATABASE!U184-[1]DATABASE!V184)&gt;1),"Price Bridge Mismatch",""))</f>
        <v>Heavy Price Cut &gt;20%</v>
      </c>
      <c r="H223" t="str">
        <f t="shared" si="5"/>
        <v>REVIEW</v>
      </c>
      <c r="I223" s="90">
        <f>[1]DATABASE!T184</f>
        <v>399000</v>
      </c>
      <c r="J223" t="str">
        <f>[1]DATABASE!AC184</f>
        <v>Ana Damásio</v>
      </c>
    </row>
    <row r="224" spans="1:10" ht="13.95" customHeight="1" x14ac:dyDescent="0.3">
      <c r="A224">
        <f>ROW([1]DATABASE!A185)</f>
        <v>185</v>
      </c>
      <c r="B224" t="str">
        <f>[1]DATABASE!AJ185</f>
        <v>The Nine</v>
      </c>
      <c r="C224" t="str">
        <f>[1]DATABASE!C185</f>
        <v>G</v>
      </c>
      <c r="D224" t="str">
        <f>TRIM([1]DATABASE!Q185)</f>
        <v>DEED</v>
      </c>
      <c r="E224" s="82" t="str">
        <f>_xlfn.TEXTJOIN("; ",TRUE,IF([1]DATABASE!X185&lt;0,"Negative Discount",""),IF(AND([1]DATABASE!Y185&gt;[1]DATABASE!T185,[1]DATABASE!Y185&gt;0,[1]DATABASE!T185&gt;0),"Sell Price &gt; Current",""),IF(AND(TRIM([1]DATABASE!Q185)="DEED",[1]DATABASE!AA185=""),"Deeded no PSPA Date",""),IF([1]DATABASE!E185="","Missing Typology",""),IF([1]DATABASE!AJ185="","Missing Development",""))</f>
        <v/>
      </c>
      <c r="F224" s="82" t="str">
        <f>_xlfn.TEXTJOIN("; ",TRUE,IF(AND(OR(TRIM([1]DATABASE!Q185)="RESERVED",TRIM([1]DATABASE!Q185)="PRE-RESERVED",TRIM([1]DATABASE!Q185)="PSPA"),[1]DATABASE!AA185=""),"Reserved/PSPA no PSPA Date",""),IF(AND(TRIM([1]DATABASE!Q185)="AVAILABLE",[1]DATABASE!AA185&lt;&gt;""),"Available has PSPA Date",""))</f>
        <v/>
      </c>
      <c r="G224" s="82" t="str">
        <f>_xlfn.TEXTJOIN("; ",TRUE,IF(AND([1]DATABASE!T185&lt;0.8*[1]DATABASE!S185,[1]DATABASE!T185&gt;0,[1]DATABASE!S185&gt;0),"Heavy Price Cut &gt;20%",""),IF(AND(OR(TRIM([1]DATABASE!Q185)="AVAILABLE",TRIM([1]DATABASE!Q185)="UPON REQUEST"),OR([1]DATABASE!T185="",[1]DATABASE!T185=0)),"Active Unit no Price",""),IF(AND(OR(TRIM([1]DATABASE!Q185)="AVAILABLE",TRIM([1]DATABASE!Q185)="RESERVED",TRIM([1]DATABASE!Q185)="PRE-RESERVED",TRIM([1]DATABASE!Q185)="PSPA"),[1]DATABASE!AC185=""),"Active no Owner",""),IF(OR([1]DATABASE!F185="",[1]DATABASE!F185&lt;=0),"Missing/Invalid Area",""),IF(AND([1]DATABASE!T185&gt;0,ABS([1]DATABASE!T185-[1]DATABASE!W185-[1]DATABASE!U185-[1]DATABASE!V185)&gt;1),"Price Bridge Mismatch",""))</f>
        <v/>
      </c>
      <c r="H224" t="str">
        <f t="shared" si="5"/>
        <v>PASS</v>
      </c>
      <c r="I224" s="90">
        <f>[1]DATABASE!T185</f>
        <v>600000</v>
      </c>
      <c r="J224" t="str">
        <f>[1]DATABASE!AC185</f>
        <v>Ana Damásio</v>
      </c>
    </row>
    <row r="225" spans="1:10" ht="13.95" customHeight="1" x14ac:dyDescent="0.3">
      <c r="A225">
        <f>ROW([1]DATABASE!A186)</f>
        <v>186</v>
      </c>
      <c r="B225" t="str">
        <f>[1]DATABASE!AJ186</f>
        <v>VM PARQUE</v>
      </c>
      <c r="C225" t="str">
        <f>[1]DATABASE!C186</f>
        <v>G</v>
      </c>
      <c r="D225" t="str">
        <f>TRIM([1]DATABASE!Q186)</f>
        <v>DEED</v>
      </c>
      <c r="E225" s="82" t="str">
        <f>_xlfn.TEXTJOIN("; ",TRUE,IF([1]DATABASE!X186&lt;0,"Negative Discount",""),IF(AND([1]DATABASE!Y186&gt;[1]DATABASE!T186,[1]DATABASE!Y186&gt;0,[1]DATABASE!T186&gt;0),"Sell Price &gt; Current",""),IF(AND(TRIM([1]DATABASE!Q186)="DEED",[1]DATABASE!AA186=""),"Deeded no PSPA Date",""),IF([1]DATABASE!E186="","Missing Typology",""),IF([1]DATABASE!AJ186="","Missing Development",""))</f>
        <v/>
      </c>
      <c r="F225" s="82" t="str">
        <f>_xlfn.TEXTJOIN("; ",TRUE,IF(AND(OR(TRIM([1]DATABASE!Q186)="RESERVED",TRIM([1]DATABASE!Q186)="PRE-RESERVED",TRIM([1]DATABASE!Q186)="PSPA"),[1]DATABASE!AA186=""),"Reserved/PSPA no PSPA Date",""),IF(AND(TRIM([1]DATABASE!Q186)="AVAILABLE",[1]DATABASE!AA186&lt;&gt;""),"Available has PSPA Date",""))</f>
        <v/>
      </c>
      <c r="G225" s="82" t="str">
        <f>_xlfn.TEXTJOIN("; ",TRUE,IF(AND([1]DATABASE!T186&lt;0.8*[1]DATABASE!S186,[1]DATABASE!T186&gt;0,[1]DATABASE!S186&gt;0),"Heavy Price Cut &gt;20%",""),IF(AND(OR(TRIM([1]DATABASE!Q186)="AVAILABLE",TRIM([1]DATABASE!Q186)="UPON REQUEST"),OR([1]DATABASE!T186="",[1]DATABASE!T186=0)),"Active Unit no Price",""),IF(AND(OR(TRIM([1]DATABASE!Q186)="AVAILABLE",TRIM([1]DATABASE!Q186)="RESERVED",TRIM([1]DATABASE!Q186)="PRE-RESERVED",TRIM([1]DATABASE!Q186)="PSPA"),[1]DATABASE!AC186=""),"Active no Owner",""),IF(OR([1]DATABASE!F186="",[1]DATABASE!F186&lt;=0),"Missing/Invalid Area",""),IF(AND([1]DATABASE!T186&gt;0,ABS([1]DATABASE!T186-[1]DATABASE!W186-[1]DATABASE!U186-[1]DATABASE!V186)&gt;1),"Price Bridge Mismatch",""))</f>
        <v/>
      </c>
      <c r="H225" t="str">
        <f t="shared" si="5"/>
        <v>PASS</v>
      </c>
      <c r="I225" s="90">
        <f>[1]DATABASE!T186</f>
        <v>1050000</v>
      </c>
      <c r="J225">
        <f>[1]DATABASE!AC186</f>
        <v>0</v>
      </c>
    </row>
    <row r="226" spans="1:10" ht="13.95" customHeight="1" x14ac:dyDescent="0.3">
      <c r="A226">
        <f>ROW([1]DATABASE!A187)</f>
        <v>187</v>
      </c>
      <c r="B226" t="str">
        <f>[1]DATABASE!AJ187</f>
        <v>Palmares</v>
      </c>
      <c r="C226" t="str">
        <f>[1]DATABASE!C187</f>
        <v>824B</v>
      </c>
      <c r="D226" t="str">
        <f>TRIM([1]DATABASE!Q187)</f>
        <v>PSPA</v>
      </c>
      <c r="E226" s="82" t="str">
        <f>_xlfn.TEXTJOIN("; ",TRUE,IF([1]DATABASE!X187&lt;0,"Negative Discount",""),IF(AND([1]DATABASE!Y187&gt;[1]DATABASE!T187,[1]DATABASE!Y187&gt;0,[1]DATABASE!T187&gt;0),"Sell Price &gt; Current",""),IF(AND(TRIM([1]DATABASE!Q187)="DEED",[1]DATABASE!AA187=""),"Deeded no PSPA Date",""),IF([1]DATABASE!E187="","Missing Typology",""),IF([1]DATABASE!AJ187="","Missing Development",""))</f>
        <v/>
      </c>
      <c r="F226" s="82" t="str">
        <f>_xlfn.TEXTJOIN("; ",TRUE,IF(AND(OR(TRIM([1]DATABASE!Q187)="RESERVED",TRIM([1]DATABASE!Q187)="PRE-RESERVED",TRIM([1]DATABASE!Q187)="PSPA"),[1]DATABASE!AA187=""),"Reserved/PSPA no PSPA Date",""),IF(AND(TRIM([1]DATABASE!Q187)="AVAILABLE",[1]DATABASE!AA187&lt;&gt;""),"Available has PSPA Date",""))</f>
        <v/>
      </c>
      <c r="G226" s="82" t="str">
        <f>_xlfn.TEXTJOIN("; ",TRUE,IF(AND([1]DATABASE!T187&lt;0.8*[1]DATABASE!S187,[1]DATABASE!T187&gt;0,[1]DATABASE!S187&gt;0),"Heavy Price Cut &gt;20%",""),IF(AND(OR(TRIM([1]DATABASE!Q187)="AVAILABLE",TRIM([1]DATABASE!Q187)="UPON REQUEST"),OR([1]DATABASE!T187="",[1]DATABASE!T187=0)),"Active Unit no Price",""),IF(AND(OR(TRIM([1]DATABASE!Q187)="AVAILABLE",TRIM([1]DATABASE!Q187)="RESERVED",TRIM([1]DATABASE!Q187)="PRE-RESERVED",TRIM([1]DATABASE!Q187)="PSPA"),[1]DATABASE!AC187=""),"Active no Owner",""),IF(OR([1]DATABASE!F187="",[1]DATABASE!F187&lt;=0),"Missing/Invalid Area",""),IF(AND([1]DATABASE!T187&gt;0,ABS([1]DATABASE!T187-[1]DATABASE!W187-[1]DATABASE!U187-[1]DATABASE!V187)&gt;1),"Price Bridge Mismatch",""))</f>
        <v>Active no Owner</v>
      </c>
      <c r="H226" t="str">
        <f t="shared" si="5"/>
        <v>REVIEW</v>
      </c>
      <c r="I226" s="90">
        <f>[1]DATABASE!T187</f>
        <v>840000</v>
      </c>
      <c r="J226">
        <f>[1]DATABASE!AC187</f>
        <v>0</v>
      </c>
    </row>
    <row r="227" spans="1:10" ht="13.95" customHeight="1" x14ac:dyDescent="0.3">
      <c r="A227">
        <f>ROW([1]DATABASE!A188)</f>
        <v>188</v>
      </c>
      <c r="B227" t="str">
        <f>[1]DATABASE!AJ188</f>
        <v>Palmares</v>
      </c>
      <c r="C227" t="str">
        <f>[1]DATABASE!C188</f>
        <v>825B</v>
      </c>
      <c r="D227" t="str">
        <f>TRIM([1]DATABASE!Q188)</f>
        <v>PSPA</v>
      </c>
      <c r="E227" s="82" t="str">
        <f>_xlfn.TEXTJOIN("; ",TRUE,IF([1]DATABASE!X188&lt;0,"Negative Discount",""),IF(AND([1]DATABASE!Y188&gt;[1]DATABASE!T188,[1]DATABASE!Y188&gt;0,[1]DATABASE!T188&gt;0),"Sell Price &gt; Current",""),IF(AND(TRIM([1]DATABASE!Q188)="DEED",[1]DATABASE!AA188=""),"Deeded no PSPA Date",""),IF([1]DATABASE!E188="","Missing Typology",""),IF([1]DATABASE!AJ188="","Missing Development",""))</f>
        <v/>
      </c>
      <c r="F227" s="82" t="str">
        <f>_xlfn.TEXTJOIN("; ",TRUE,IF(AND(OR(TRIM([1]DATABASE!Q188)="RESERVED",TRIM([1]DATABASE!Q188)="PRE-RESERVED",TRIM([1]DATABASE!Q188)="PSPA"),[1]DATABASE!AA188=""),"Reserved/PSPA no PSPA Date",""),IF(AND(TRIM([1]DATABASE!Q188)="AVAILABLE",[1]DATABASE!AA188&lt;&gt;""),"Available has PSPA Date",""))</f>
        <v/>
      </c>
      <c r="G227" s="82" t="str">
        <f>_xlfn.TEXTJOIN("; ",TRUE,IF(AND([1]DATABASE!T188&lt;0.8*[1]DATABASE!S188,[1]DATABASE!T188&gt;0,[1]DATABASE!S188&gt;0),"Heavy Price Cut &gt;20%",""),IF(AND(OR(TRIM([1]DATABASE!Q188)="AVAILABLE",TRIM([1]DATABASE!Q188)="UPON REQUEST"),OR([1]DATABASE!T188="",[1]DATABASE!T188=0)),"Active Unit no Price",""),IF(AND(OR(TRIM([1]DATABASE!Q188)="AVAILABLE",TRIM([1]DATABASE!Q188)="RESERVED",TRIM([1]DATABASE!Q188)="PRE-RESERVED",TRIM([1]DATABASE!Q188)="PSPA"),[1]DATABASE!AC188=""),"Active no Owner",""),IF(OR([1]DATABASE!F188="",[1]DATABASE!F188&lt;=0),"Missing/Invalid Area",""),IF(AND([1]DATABASE!T188&gt;0,ABS([1]DATABASE!T188-[1]DATABASE!W188-[1]DATABASE!U188-[1]DATABASE!V188)&gt;1),"Price Bridge Mismatch",""))</f>
        <v>Active no Owner</v>
      </c>
      <c r="H227" t="str">
        <f t="shared" si="5"/>
        <v>REVIEW</v>
      </c>
      <c r="I227" s="90">
        <f>[1]DATABASE!T188</f>
        <v>1100000</v>
      </c>
      <c r="J227">
        <f>[1]DATABASE!AC188</f>
        <v>0</v>
      </c>
    </row>
    <row r="228" spans="1:10" ht="13.95" customHeight="1" x14ac:dyDescent="0.3">
      <c r="A228">
        <f>ROW([1]DATABASE!A189)</f>
        <v>189</v>
      </c>
      <c r="B228" t="str">
        <f>[1]DATABASE!AJ189</f>
        <v>The Nine</v>
      </c>
      <c r="C228" t="str">
        <f>[1]DATABASE!C189</f>
        <v>H</v>
      </c>
      <c r="D228" t="str">
        <f>TRIM([1]DATABASE!Q189)</f>
        <v>DEED</v>
      </c>
      <c r="E228" s="82" t="str">
        <f>_xlfn.TEXTJOIN("; ",TRUE,IF([1]DATABASE!X189&lt;0,"Negative Discount",""),IF(AND([1]DATABASE!Y189&gt;[1]DATABASE!T189,[1]DATABASE!Y189&gt;0,[1]DATABASE!T189&gt;0),"Sell Price &gt; Current",""),IF(AND(TRIM([1]DATABASE!Q189)="DEED",[1]DATABASE!AA189=""),"Deeded no PSPA Date",""),IF([1]DATABASE!E189="","Missing Typology",""),IF([1]DATABASE!AJ189="","Missing Development",""))</f>
        <v/>
      </c>
      <c r="F228" s="82" t="str">
        <f>_xlfn.TEXTJOIN("; ",TRUE,IF(AND(OR(TRIM([1]DATABASE!Q189)="RESERVED",TRIM([1]DATABASE!Q189)="PRE-RESERVED",TRIM([1]DATABASE!Q189)="PSPA"),[1]DATABASE!AA189=""),"Reserved/PSPA no PSPA Date",""),IF(AND(TRIM([1]DATABASE!Q189)="AVAILABLE",[1]DATABASE!AA189&lt;&gt;""),"Available has PSPA Date",""))</f>
        <v/>
      </c>
      <c r="G228" s="82" t="str">
        <f>_xlfn.TEXTJOIN("; ",TRUE,IF(AND([1]DATABASE!T189&lt;0.8*[1]DATABASE!S189,[1]DATABASE!T189&gt;0,[1]DATABASE!S189&gt;0),"Heavy Price Cut &gt;20%",""),IF(AND(OR(TRIM([1]DATABASE!Q189)="AVAILABLE",TRIM([1]DATABASE!Q189)="UPON REQUEST"),OR([1]DATABASE!T189="",[1]DATABASE!T189=0)),"Active Unit no Price",""),IF(AND(OR(TRIM([1]DATABASE!Q189)="AVAILABLE",TRIM([1]DATABASE!Q189)="RESERVED",TRIM([1]DATABASE!Q189)="PRE-RESERVED",TRIM([1]DATABASE!Q189)="PSPA"),[1]DATABASE!AC189=""),"Active no Owner",""),IF(OR([1]DATABASE!F189="",[1]DATABASE!F189&lt;=0),"Missing/Invalid Area",""),IF(AND([1]DATABASE!T189&gt;0,ABS([1]DATABASE!T189-[1]DATABASE!W189-[1]DATABASE!U189-[1]DATABASE!V189)&gt;1),"Price Bridge Mismatch",""))</f>
        <v/>
      </c>
      <c r="H228" t="str">
        <f t="shared" si="5"/>
        <v>PASS</v>
      </c>
      <c r="I228" s="90">
        <f>[1]DATABASE!T189</f>
        <v>600000</v>
      </c>
      <c r="J228" t="str">
        <f>[1]DATABASE!AC189</f>
        <v>Ana Damásio</v>
      </c>
    </row>
    <row r="229" spans="1:10" ht="13.95" customHeight="1" x14ac:dyDescent="0.3">
      <c r="A229">
        <f>ROW([1]DATABASE!A190)</f>
        <v>190</v>
      </c>
      <c r="B229" t="str">
        <f>[1]DATABASE!AJ190</f>
        <v>VM PARQUE</v>
      </c>
      <c r="C229" t="str">
        <f>[1]DATABASE!C190</f>
        <v>H</v>
      </c>
      <c r="D229" t="str">
        <f>TRIM([1]DATABASE!Q190)</f>
        <v>DEED</v>
      </c>
      <c r="E229" s="82" t="str">
        <f>_xlfn.TEXTJOIN("; ",TRUE,IF([1]DATABASE!X190&lt;0,"Negative Discount",""),IF(AND([1]DATABASE!Y190&gt;[1]DATABASE!T190,[1]DATABASE!Y190&gt;0,[1]DATABASE!T190&gt;0),"Sell Price &gt; Current",""),IF(AND(TRIM([1]DATABASE!Q190)="DEED",[1]DATABASE!AA190=""),"Deeded no PSPA Date",""),IF([1]DATABASE!E190="","Missing Typology",""),IF([1]DATABASE!AJ190="","Missing Development",""))</f>
        <v/>
      </c>
      <c r="F229" s="82" t="str">
        <f>_xlfn.TEXTJOIN("; ",TRUE,IF(AND(OR(TRIM([1]DATABASE!Q190)="RESERVED",TRIM([1]DATABASE!Q190)="PRE-RESERVED",TRIM([1]DATABASE!Q190)="PSPA"),[1]DATABASE!AA190=""),"Reserved/PSPA no PSPA Date",""),IF(AND(TRIM([1]DATABASE!Q190)="AVAILABLE",[1]DATABASE!AA190&lt;&gt;""),"Available has PSPA Date",""))</f>
        <v/>
      </c>
      <c r="G229" s="82" t="str">
        <f>_xlfn.TEXTJOIN("; ",TRUE,IF(AND([1]DATABASE!T190&lt;0.8*[1]DATABASE!S190,[1]DATABASE!T190&gt;0,[1]DATABASE!S190&gt;0),"Heavy Price Cut &gt;20%",""),IF(AND(OR(TRIM([1]DATABASE!Q190)="AVAILABLE",TRIM([1]DATABASE!Q190)="UPON REQUEST"),OR([1]DATABASE!T190="",[1]DATABASE!T190=0)),"Active Unit no Price",""),IF(AND(OR(TRIM([1]DATABASE!Q190)="AVAILABLE",TRIM([1]DATABASE!Q190)="RESERVED",TRIM([1]DATABASE!Q190)="PRE-RESERVED",TRIM([1]DATABASE!Q190)="PSPA"),[1]DATABASE!AC190=""),"Active no Owner",""),IF(OR([1]DATABASE!F190="",[1]DATABASE!F190&lt;=0),"Missing/Invalid Area",""),IF(AND([1]DATABASE!T190&gt;0,ABS([1]DATABASE!T190-[1]DATABASE!W190-[1]DATABASE!U190-[1]DATABASE!V190)&gt;1),"Price Bridge Mismatch",""))</f>
        <v/>
      </c>
      <c r="H229" t="str">
        <f t="shared" si="5"/>
        <v>PASS</v>
      </c>
      <c r="I229" s="90">
        <f>[1]DATABASE!T190</f>
        <v>1030000</v>
      </c>
      <c r="J229">
        <f>[1]DATABASE!AC190</f>
        <v>0</v>
      </c>
    </row>
    <row r="230" spans="1:10" ht="13.95" customHeight="1" x14ac:dyDescent="0.3">
      <c r="A230">
        <f>ROW([1]DATABASE!A191)</f>
        <v>191</v>
      </c>
      <c r="B230" t="str">
        <f>[1]DATABASE!AJ191</f>
        <v>Terracota</v>
      </c>
      <c r="C230" t="str">
        <f>[1]DATABASE!C191</f>
        <v>I</v>
      </c>
      <c r="D230" t="str">
        <f>TRIM([1]DATABASE!Q191)</f>
        <v>PSPA</v>
      </c>
      <c r="E230" s="82" t="str">
        <f>_xlfn.TEXTJOIN("; ",TRUE,IF([1]DATABASE!X191&lt;0,"Negative Discount",""),IF(AND([1]DATABASE!Y191&gt;[1]DATABASE!T191,[1]DATABASE!Y191&gt;0,[1]DATABASE!T191&gt;0),"Sell Price &gt; Current",""),IF(AND(TRIM([1]DATABASE!Q191)="DEED",[1]DATABASE!AA191=""),"Deeded no PSPA Date",""),IF([1]DATABASE!E191="","Missing Typology",""),IF([1]DATABASE!AJ191="","Missing Development",""))</f>
        <v/>
      </c>
      <c r="F230" s="82" t="str">
        <f>_xlfn.TEXTJOIN("; ",TRUE,IF(AND(OR(TRIM([1]DATABASE!Q191)="RESERVED",TRIM([1]DATABASE!Q191)="PRE-RESERVED",TRIM([1]DATABASE!Q191)="PSPA"),[1]DATABASE!AA191=""),"Reserved/PSPA no PSPA Date",""),IF(AND(TRIM([1]DATABASE!Q191)="AVAILABLE",[1]DATABASE!AA191&lt;&gt;""),"Available has PSPA Date",""))</f>
        <v/>
      </c>
      <c r="G230" s="82" t="str">
        <f>_xlfn.TEXTJOIN("; ",TRUE,IF(AND([1]DATABASE!T191&lt;0.8*[1]DATABASE!S191,[1]DATABASE!T191&gt;0,[1]DATABASE!S191&gt;0),"Heavy Price Cut &gt;20%",""),IF(AND(OR(TRIM([1]DATABASE!Q191)="AVAILABLE",TRIM([1]DATABASE!Q191)="UPON REQUEST"),OR([1]DATABASE!T191="",[1]DATABASE!T191=0)),"Active Unit no Price",""),IF(AND(OR(TRIM([1]DATABASE!Q191)="AVAILABLE",TRIM([1]DATABASE!Q191)="RESERVED",TRIM([1]DATABASE!Q191)="PRE-RESERVED",TRIM([1]DATABASE!Q191)="PSPA"),[1]DATABASE!AC191=""),"Active no Owner",""),IF(OR([1]DATABASE!F191="",[1]DATABASE!F191&lt;=0),"Missing/Invalid Area",""),IF(AND([1]DATABASE!T191&gt;0,ABS([1]DATABASE!T191-[1]DATABASE!W191-[1]DATABASE!U191-[1]DATABASE!V191)&gt;1),"Price Bridge Mismatch",""))</f>
        <v>Heavy Price Cut &gt;20%</v>
      </c>
      <c r="H230" t="str">
        <f t="shared" si="5"/>
        <v>REVIEW</v>
      </c>
      <c r="I230" s="90">
        <f>[1]DATABASE!T191</f>
        <v>420000</v>
      </c>
      <c r="J230" t="str">
        <f>[1]DATABASE!AC191</f>
        <v>Ana Damásio</v>
      </c>
    </row>
    <row r="231" spans="1:10" ht="13.95" customHeight="1" x14ac:dyDescent="0.3">
      <c r="A231">
        <f>ROW([1]DATABASE!A192)</f>
        <v>192</v>
      </c>
      <c r="B231" t="str">
        <f>[1]DATABASE!AJ192</f>
        <v>Terracota</v>
      </c>
      <c r="C231" t="str">
        <f>[1]DATABASE!C192</f>
        <v>AV</v>
      </c>
      <c r="D231" t="str">
        <f>TRIM([1]DATABASE!Q192)</f>
        <v>RESERVED</v>
      </c>
      <c r="E231" s="82" t="str">
        <f>_xlfn.TEXTJOIN("; ",TRUE,IF([1]DATABASE!X192&lt;0,"Negative Discount",""),IF(AND([1]DATABASE!Y192&gt;[1]DATABASE!T192,[1]DATABASE!Y192&gt;0,[1]DATABASE!T192&gt;0),"Sell Price &gt; Current",""),IF(AND(TRIM([1]DATABASE!Q192)="DEED",[1]DATABASE!AA192=""),"Deeded no PSPA Date",""),IF([1]DATABASE!E192="","Missing Typology",""),IF([1]DATABASE!AJ192="","Missing Development",""))</f>
        <v/>
      </c>
      <c r="F231" s="82" t="str">
        <f>_xlfn.TEXTJOIN("; ",TRUE,IF(AND(OR(TRIM([1]DATABASE!Q192)="RESERVED",TRIM([1]DATABASE!Q192)="PRE-RESERVED",TRIM([1]DATABASE!Q192)="PSPA"),[1]DATABASE!AA192=""),"Reserved/PSPA no PSPA Date",""),IF(AND(TRIM([1]DATABASE!Q192)="AVAILABLE",[1]DATABASE!AA192&lt;&gt;""),"Available has PSPA Date",""))</f>
        <v/>
      </c>
      <c r="G231" s="82" t="str">
        <f>_xlfn.TEXTJOIN("; ",TRUE,IF(AND([1]DATABASE!T192&lt;0.8*[1]DATABASE!S192,[1]DATABASE!T192&gt;0,[1]DATABASE!S192&gt;0),"Heavy Price Cut &gt;20%",""),IF(AND(OR(TRIM([1]DATABASE!Q192)="AVAILABLE",TRIM([1]DATABASE!Q192)="UPON REQUEST"),OR([1]DATABASE!T192="",[1]DATABASE!T192=0)),"Active Unit no Price",""),IF(AND(OR(TRIM([1]DATABASE!Q192)="AVAILABLE",TRIM([1]DATABASE!Q192)="RESERVED",TRIM([1]DATABASE!Q192)="PRE-RESERVED",TRIM([1]DATABASE!Q192)="PSPA"),[1]DATABASE!AC192=""),"Active no Owner",""),IF(OR([1]DATABASE!F192="",[1]DATABASE!F192&lt;=0),"Missing/Invalid Area",""),IF(AND([1]DATABASE!T192&gt;0,ABS([1]DATABASE!T192-[1]DATABASE!W192-[1]DATABASE!U192-[1]DATABASE!V192)&gt;1),"Price Bridge Mismatch",""))</f>
        <v/>
      </c>
      <c r="H231" t="str">
        <f t="shared" si="5"/>
        <v>PASS</v>
      </c>
      <c r="I231" s="90">
        <f>[1]DATABASE!T192</f>
        <v>740000</v>
      </c>
      <c r="J231" t="str">
        <f>[1]DATABASE!AC192</f>
        <v>Ana Damásio</v>
      </c>
    </row>
    <row r="232" spans="1:10" ht="13.95" customHeight="1" x14ac:dyDescent="0.3">
      <c r="A232">
        <f>ROW([1]DATABASE!A193)</f>
        <v>193</v>
      </c>
      <c r="B232" t="str">
        <f>[1]DATABASE!AJ193</f>
        <v>Monte Rei</v>
      </c>
      <c r="C232" t="str">
        <f>[1]DATABASE!C193</f>
        <v>N</v>
      </c>
      <c r="D232" t="str">
        <f>TRIM([1]DATABASE!Q193)</f>
        <v>PRE-RESERVED</v>
      </c>
      <c r="E232" s="82" t="str">
        <f>_xlfn.TEXTJOIN("; ",TRUE,IF([1]DATABASE!X193&lt;0,"Negative Discount",""),IF(AND([1]DATABASE!Y193&gt;[1]DATABASE!T193,[1]DATABASE!Y193&gt;0,[1]DATABASE!T193&gt;0),"Sell Price &gt; Current",""),IF(AND(TRIM([1]DATABASE!Q193)="DEED",[1]DATABASE!AA193=""),"Deeded no PSPA Date",""),IF([1]DATABASE!E193="","Missing Typology",""),IF([1]DATABASE!AJ193="","Missing Development",""))</f>
        <v/>
      </c>
      <c r="F232" s="82" t="str">
        <f>_xlfn.TEXTJOIN("; ",TRUE,IF(AND(OR(TRIM([1]DATABASE!Q193)="RESERVED",TRIM([1]DATABASE!Q193)="PRE-RESERVED",TRIM([1]DATABASE!Q193)="PSPA"),[1]DATABASE!AA193=""),"Reserved/PSPA no PSPA Date",""),IF(AND(TRIM([1]DATABASE!Q193)="AVAILABLE",[1]DATABASE!AA193&lt;&gt;""),"Available has PSPA Date",""))</f>
        <v/>
      </c>
      <c r="G232" s="82" t="str">
        <f>_xlfn.TEXTJOIN("; ",TRUE,IF(AND([1]DATABASE!T193&lt;0.8*[1]DATABASE!S193,[1]DATABASE!T193&gt;0,[1]DATABASE!S193&gt;0),"Heavy Price Cut &gt;20%",""),IF(AND(OR(TRIM([1]DATABASE!Q193)="AVAILABLE",TRIM([1]DATABASE!Q193)="UPON REQUEST"),OR([1]DATABASE!T193="",[1]DATABASE!T193=0)),"Active Unit no Price",""),IF(AND(OR(TRIM([1]DATABASE!Q193)="AVAILABLE",TRIM([1]DATABASE!Q193)="RESERVED",TRIM([1]DATABASE!Q193)="PRE-RESERVED",TRIM([1]DATABASE!Q193)="PSPA"),[1]DATABASE!AC193=""),"Active no Owner",""),IF(OR([1]DATABASE!F193="",[1]DATABASE!F193&lt;=0),"Missing/Invalid Area",""),IF(AND([1]DATABASE!T193&gt;0,ABS([1]DATABASE!T193-[1]DATABASE!W193-[1]DATABASE!U193-[1]DATABASE!V193)&gt;1),"Price Bridge Mismatch",""))</f>
        <v/>
      </c>
      <c r="H232" t="str">
        <f t="shared" si="5"/>
        <v>PASS</v>
      </c>
      <c r="I232" s="90">
        <f>[1]DATABASE!T193</f>
        <v>1220000</v>
      </c>
      <c r="J232" t="str">
        <f>[1]DATABASE!AC193</f>
        <v>Sandra Viegas</v>
      </c>
    </row>
    <row r="233" spans="1:10" ht="13.95" customHeight="1" x14ac:dyDescent="0.3">
      <c r="A233">
        <f>ROW([1]DATABASE!A194)</f>
        <v>194</v>
      </c>
      <c r="B233" t="str">
        <f>[1]DATABASE!AJ194</f>
        <v>Natura Village</v>
      </c>
      <c r="C233" t="str">
        <f>[1]DATABASE!C194</f>
        <v>J</v>
      </c>
      <c r="D233" t="str">
        <f>TRIM([1]DATABASE!Q194)</f>
        <v>PSPA</v>
      </c>
      <c r="E233" s="82" t="str">
        <f>_xlfn.TEXTJOIN("; ",TRUE,IF([1]DATABASE!X194&lt;0,"Negative Discount",""),IF(AND([1]DATABASE!Y194&gt;[1]DATABASE!T194,[1]DATABASE!Y194&gt;0,[1]DATABASE!T194&gt;0),"Sell Price &gt; Current",""),IF(AND(TRIM([1]DATABASE!Q194)="DEED",[1]DATABASE!AA194=""),"Deeded no PSPA Date",""),IF([1]DATABASE!E194="","Missing Typology",""),IF([1]DATABASE!AJ194="","Missing Development",""))</f>
        <v/>
      </c>
      <c r="F233" s="82" t="str">
        <f>_xlfn.TEXTJOIN("; ",TRUE,IF(AND(OR(TRIM([1]DATABASE!Q194)="RESERVED",TRIM([1]DATABASE!Q194)="PRE-RESERVED",TRIM([1]DATABASE!Q194)="PSPA"),[1]DATABASE!AA194=""),"Reserved/PSPA no PSPA Date",""),IF(AND(TRIM([1]DATABASE!Q194)="AVAILABLE",[1]DATABASE!AA194&lt;&gt;""),"Available has PSPA Date",""))</f>
        <v/>
      </c>
      <c r="G233" s="82" t="str">
        <f>_xlfn.TEXTJOIN("; ",TRUE,IF(AND([1]DATABASE!T194&lt;0.8*[1]DATABASE!S194,[1]DATABASE!T194&gt;0,[1]DATABASE!S194&gt;0),"Heavy Price Cut &gt;20%",""),IF(AND(OR(TRIM([1]DATABASE!Q194)="AVAILABLE",TRIM([1]DATABASE!Q194)="UPON REQUEST"),OR([1]DATABASE!T194="",[1]DATABASE!T194=0)),"Active Unit no Price",""),IF(AND(OR(TRIM([1]DATABASE!Q194)="AVAILABLE",TRIM([1]DATABASE!Q194)="RESERVED",TRIM([1]DATABASE!Q194)="PRE-RESERVED",TRIM([1]DATABASE!Q194)="PSPA"),[1]DATABASE!AC194=""),"Active no Owner",""),IF(OR([1]DATABASE!F194="",[1]DATABASE!F194&lt;=0),"Missing/Invalid Area",""),IF(AND([1]DATABASE!T194&gt;0,ABS([1]DATABASE!T194-[1]DATABASE!W194-[1]DATABASE!U194-[1]DATABASE!V194)&gt;1),"Price Bridge Mismatch",""))</f>
        <v/>
      </c>
      <c r="H233" t="str">
        <f t="shared" si="5"/>
        <v>PASS</v>
      </c>
      <c r="I233" s="90">
        <f>[1]DATABASE!T194</f>
        <v>1390000</v>
      </c>
      <c r="J233" t="str">
        <f>[1]DATABASE!AC194</f>
        <v>Ana Damásio</v>
      </c>
    </row>
    <row r="234" spans="1:10" ht="13.95" customHeight="1" x14ac:dyDescent="0.3">
      <c r="A234">
        <f>ROW([1]DATABASE!A195)</f>
        <v>195</v>
      </c>
      <c r="B234" t="str">
        <f>[1]DATABASE!AJ195</f>
        <v>VM PARQUE</v>
      </c>
      <c r="C234" t="str">
        <f>[1]DATABASE!C195</f>
        <v>I</v>
      </c>
      <c r="D234" t="str">
        <f>TRIM([1]DATABASE!Q195)</f>
        <v>DEED</v>
      </c>
      <c r="E234" s="82" t="str">
        <f>_xlfn.TEXTJOIN("; ",TRUE,IF([1]DATABASE!X195&lt;0,"Negative Discount",""),IF(AND([1]DATABASE!Y195&gt;[1]DATABASE!T195,[1]DATABASE!Y195&gt;0,[1]DATABASE!T195&gt;0),"Sell Price &gt; Current",""),IF(AND(TRIM([1]DATABASE!Q195)="DEED",[1]DATABASE!AA195=""),"Deeded no PSPA Date",""),IF([1]DATABASE!E195="","Missing Typology",""),IF([1]DATABASE!AJ195="","Missing Development",""))</f>
        <v/>
      </c>
      <c r="F234" s="82" t="str">
        <f>_xlfn.TEXTJOIN("; ",TRUE,IF(AND(OR(TRIM([1]DATABASE!Q195)="RESERVED",TRIM([1]DATABASE!Q195)="PRE-RESERVED",TRIM([1]DATABASE!Q195)="PSPA"),[1]DATABASE!AA195=""),"Reserved/PSPA no PSPA Date",""),IF(AND(TRIM([1]DATABASE!Q195)="AVAILABLE",[1]DATABASE!AA195&lt;&gt;""),"Available has PSPA Date",""))</f>
        <v/>
      </c>
      <c r="G234" s="82" t="str">
        <f>_xlfn.TEXTJOIN("; ",TRUE,IF(AND([1]DATABASE!T195&lt;0.8*[1]DATABASE!S195,[1]DATABASE!T195&gt;0,[1]DATABASE!S195&gt;0),"Heavy Price Cut &gt;20%",""),IF(AND(OR(TRIM([1]DATABASE!Q195)="AVAILABLE",TRIM([1]DATABASE!Q195)="UPON REQUEST"),OR([1]DATABASE!T195="",[1]DATABASE!T195=0)),"Active Unit no Price",""),IF(AND(OR(TRIM([1]DATABASE!Q195)="AVAILABLE",TRIM([1]DATABASE!Q195)="RESERVED",TRIM([1]DATABASE!Q195)="PRE-RESERVED",TRIM([1]DATABASE!Q195)="PSPA"),[1]DATABASE!AC195=""),"Active no Owner",""),IF(OR([1]DATABASE!F195="",[1]DATABASE!F195&lt;=0),"Missing/Invalid Area",""),IF(AND([1]DATABASE!T195&gt;0,ABS([1]DATABASE!T195-[1]DATABASE!W195-[1]DATABASE!U195-[1]DATABASE!V195)&gt;1),"Price Bridge Mismatch",""))</f>
        <v/>
      </c>
      <c r="H234" t="str">
        <f t="shared" ref="H234:H297" si="6">IF(LEN(E234&amp;F234&amp;G234)&gt;0,"REVIEW","PASS")</f>
        <v>PASS</v>
      </c>
      <c r="I234" s="90">
        <f>[1]DATABASE!T195</f>
        <v>1050000</v>
      </c>
      <c r="J234">
        <f>[1]DATABASE!AC195</f>
        <v>0</v>
      </c>
    </row>
    <row r="235" spans="1:10" ht="13.95" customHeight="1" x14ac:dyDescent="0.3">
      <c r="A235">
        <f>ROW([1]DATABASE!A196)</f>
        <v>196</v>
      </c>
      <c r="B235" t="str">
        <f>[1]DATABASE!AJ196</f>
        <v>Natura Village</v>
      </c>
      <c r="C235" t="str">
        <f>[1]DATABASE!C196</f>
        <v>J</v>
      </c>
      <c r="D235" t="str">
        <f>TRIM([1]DATABASE!Q196)</f>
        <v>DEED</v>
      </c>
      <c r="E235" s="82" t="str">
        <f>_xlfn.TEXTJOIN("; ",TRUE,IF([1]DATABASE!X196&lt;0,"Negative Discount",""),IF(AND([1]DATABASE!Y196&gt;[1]DATABASE!T196,[1]DATABASE!Y196&gt;0,[1]DATABASE!T196&gt;0),"Sell Price &gt; Current",""),IF(AND(TRIM([1]DATABASE!Q196)="DEED",[1]DATABASE!AA196=""),"Deeded no PSPA Date",""),IF([1]DATABASE!E196="","Missing Typology",""),IF([1]DATABASE!AJ196="","Missing Development",""))</f>
        <v/>
      </c>
      <c r="F235" s="82" t="str">
        <f>_xlfn.TEXTJOIN("; ",TRUE,IF(AND(OR(TRIM([1]DATABASE!Q196)="RESERVED",TRIM([1]DATABASE!Q196)="PRE-RESERVED",TRIM([1]DATABASE!Q196)="PSPA"),[1]DATABASE!AA196=""),"Reserved/PSPA no PSPA Date",""),IF(AND(TRIM([1]DATABASE!Q196)="AVAILABLE",[1]DATABASE!AA196&lt;&gt;""),"Available has PSPA Date",""))</f>
        <v/>
      </c>
      <c r="G235" s="82" t="str">
        <f>_xlfn.TEXTJOIN("; ",TRUE,IF(AND([1]DATABASE!T196&lt;0.8*[1]DATABASE!S196,[1]DATABASE!T196&gt;0,[1]DATABASE!S196&gt;0),"Heavy Price Cut &gt;20%",""),IF(AND(OR(TRIM([1]DATABASE!Q196)="AVAILABLE",TRIM([1]DATABASE!Q196)="UPON REQUEST"),OR([1]DATABASE!T196="",[1]DATABASE!T196=0)),"Active Unit no Price",""),IF(AND(OR(TRIM([1]DATABASE!Q196)="AVAILABLE",TRIM([1]DATABASE!Q196)="RESERVED",TRIM([1]DATABASE!Q196)="PRE-RESERVED",TRIM([1]DATABASE!Q196)="PSPA"),[1]DATABASE!AC196=""),"Active no Owner",""),IF(OR([1]DATABASE!F196="",[1]DATABASE!F196&lt;=0),"Missing/Invalid Area",""),IF(AND([1]DATABASE!T196&gt;0,ABS([1]DATABASE!T196-[1]DATABASE!W196-[1]DATABASE!U196-[1]DATABASE!V196)&gt;1),"Price Bridge Mismatch",""))</f>
        <v/>
      </c>
      <c r="H235" t="str">
        <f t="shared" si="6"/>
        <v>PASS</v>
      </c>
      <c r="I235" s="90">
        <f>[1]DATABASE!T196</f>
        <v>830000</v>
      </c>
      <c r="J235" t="str">
        <f>[1]DATABASE!AC196</f>
        <v>Ana Damásio</v>
      </c>
    </row>
    <row r="236" spans="1:10" ht="13.95" customHeight="1" x14ac:dyDescent="0.3">
      <c r="A236">
        <f>ROW([1]DATABASE!A197)</f>
        <v>197</v>
      </c>
      <c r="B236" t="str">
        <f>[1]DATABASE!AJ197</f>
        <v>Natura Village</v>
      </c>
      <c r="C236" t="str">
        <f>[1]DATABASE!C197</f>
        <v>J</v>
      </c>
      <c r="D236" t="str">
        <f>TRIM([1]DATABASE!Q197)</f>
        <v>DEED</v>
      </c>
      <c r="E236" s="82" t="str">
        <f>_xlfn.TEXTJOIN("; ",TRUE,IF([1]DATABASE!X197&lt;0,"Negative Discount",""),IF(AND([1]DATABASE!Y197&gt;[1]DATABASE!T197,[1]DATABASE!Y197&gt;0,[1]DATABASE!T197&gt;0),"Sell Price &gt; Current",""),IF(AND(TRIM([1]DATABASE!Q197)="DEED",[1]DATABASE!AA197=""),"Deeded no PSPA Date",""),IF([1]DATABASE!E197="","Missing Typology",""),IF([1]DATABASE!AJ197="","Missing Development",""))</f>
        <v/>
      </c>
      <c r="F236" s="82" t="str">
        <f>_xlfn.TEXTJOIN("; ",TRUE,IF(AND(OR(TRIM([1]DATABASE!Q197)="RESERVED",TRIM([1]DATABASE!Q197)="PRE-RESERVED",TRIM([1]DATABASE!Q197)="PSPA"),[1]DATABASE!AA197=""),"Reserved/PSPA no PSPA Date",""),IF(AND(TRIM([1]DATABASE!Q197)="AVAILABLE",[1]DATABASE!AA197&lt;&gt;""),"Available has PSPA Date",""))</f>
        <v/>
      </c>
      <c r="G236" s="82" t="str">
        <f>_xlfn.TEXTJOIN("; ",TRUE,IF(AND([1]DATABASE!T197&lt;0.8*[1]DATABASE!S197,[1]DATABASE!T197&gt;0,[1]DATABASE!S197&gt;0),"Heavy Price Cut &gt;20%",""),IF(AND(OR(TRIM([1]DATABASE!Q197)="AVAILABLE",TRIM([1]DATABASE!Q197)="UPON REQUEST"),OR([1]DATABASE!T197="",[1]DATABASE!T197=0)),"Active Unit no Price",""),IF(AND(OR(TRIM([1]DATABASE!Q197)="AVAILABLE",TRIM([1]DATABASE!Q197)="RESERVED",TRIM([1]DATABASE!Q197)="PRE-RESERVED",TRIM([1]DATABASE!Q197)="PSPA"),[1]DATABASE!AC197=""),"Active no Owner",""),IF(OR([1]DATABASE!F197="",[1]DATABASE!F197&lt;=0),"Missing/Invalid Area",""),IF(AND([1]DATABASE!T197&gt;0,ABS([1]DATABASE!T197-[1]DATABASE!W197-[1]DATABASE!U197-[1]DATABASE!V197)&gt;1),"Price Bridge Mismatch",""))</f>
        <v/>
      </c>
      <c r="H236" t="str">
        <f t="shared" si="6"/>
        <v>PASS</v>
      </c>
      <c r="I236" s="90">
        <f>[1]DATABASE!T197</f>
        <v>830000</v>
      </c>
      <c r="J236" t="str">
        <f>[1]DATABASE!AC197</f>
        <v>Ana Damásio</v>
      </c>
    </row>
    <row r="237" spans="1:10" ht="13.95" customHeight="1" x14ac:dyDescent="0.3">
      <c r="A237">
        <f>ROW([1]DATABASE!A198)</f>
        <v>198</v>
      </c>
      <c r="B237" t="str">
        <f>[1]DATABASE!AJ198</f>
        <v>Nobilus</v>
      </c>
      <c r="C237" t="str">
        <f>[1]DATABASE!C198</f>
        <v>J</v>
      </c>
      <c r="D237" t="str">
        <f>TRIM([1]DATABASE!Q198)</f>
        <v>PSPA</v>
      </c>
      <c r="E237" s="82" t="str">
        <f>_xlfn.TEXTJOIN("; ",TRUE,IF([1]DATABASE!X198&lt;0,"Negative Discount",""),IF(AND([1]DATABASE!Y198&gt;[1]DATABASE!T198,[1]DATABASE!Y198&gt;0,[1]DATABASE!T198&gt;0),"Sell Price &gt; Current",""),IF(AND(TRIM([1]DATABASE!Q198)="DEED",[1]DATABASE!AA198=""),"Deeded no PSPA Date",""),IF([1]DATABASE!E198="","Missing Typology",""),IF([1]DATABASE!AJ198="","Missing Development",""))</f>
        <v/>
      </c>
      <c r="F237" s="82" t="str">
        <f>_xlfn.TEXTJOIN("; ",TRUE,IF(AND(OR(TRIM([1]DATABASE!Q198)="RESERVED",TRIM([1]DATABASE!Q198)="PRE-RESERVED",TRIM([1]DATABASE!Q198)="PSPA"),[1]DATABASE!AA198=""),"Reserved/PSPA no PSPA Date",""),IF(AND(TRIM([1]DATABASE!Q198)="AVAILABLE",[1]DATABASE!AA198&lt;&gt;""),"Available has PSPA Date",""))</f>
        <v/>
      </c>
      <c r="G237" s="82" t="str">
        <f>_xlfn.TEXTJOIN("; ",TRUE,IF(AND([1]DATABASE!T198&lt;0.8*[1]DATABASE!S198,[1]DATABASE!T198&gt;0,[1]DATABASE!S198&gt;0),"Heavy Price Cut &gt;20%",""),IF(AND(OR(TRIM([1]DATABASE!Q198)="AVAILABLE",TRIM([1]DATABASE!Q198)="UPON REQUEST"),OR([1]DATABASE!T198="",[1]DATABASE!T198=0)),"Active Unit no Price",""),IF(AND(OR(TRIM([1]DATABASE!Q198)="AVAILABLE",TRIM([1]DATABASE!Q198)="RESERVED",TRIM([1]DATABASE!Q198)="PRE-RESERVED",TRIM([1]DATABASE!Q198)="PSPA"),[1]DATABASE!AC198=""),"Active no Owner",""),IF(OR([1]DATABASE!F198="",[1]DATABASE!F198&lt;=0),"Missing/Invalid Area",""),IF(AND([1]DATABASE!T198&gt;0,ABS([1]DATABASE!T198-[1]DATABASE!W198-[1]DATABASE!U198-[1]DATABASE!V198)&gt;1),"Price Bridge Mismatch",""))</f>
        <v/>
      </c>
      <c r="H237" t="str">
        <f t="shared" si="6"/>
        <v>PASS</v>
      </c>
      <c r="I237" s="90">
        <f>[1]DATABASE!T198</f>
        <v>1080000</v>
      </c>
      <c r="J237" t="str">
        <f>[1]DATABASE!AC198</f>
        <v>Ana Damásio</v>
      </c>
    </row>
    <row r="238" spans="1:10" ht="13.95" customHeight="1" x14ac:dyDescent="0.3">
      <c r="A238">
        <f>ROW([1]DATABASE!A199)</f>
        <v>199</v>
      </c>
      <c r="B238" t="str">
        <f>[1]DATABASE!AJ199</f>
        <v>Terracota</v>
      </c>
      <c r="C238" t="str">
        <f>[1]DATABASE!C199</f>
        <v>J</v>
      </c>
      <c r="D238" t="str">
        <f>TRIM([1]DATABASE!Q199)</f>
        <v>PSPA</v>
      </c>
      <c r="E238" s="82" t="str">
        <f>_xlfn.TEXTJOIN("; ",TRUE,IF([1]DATABASE!X199&lt;0,"Negative Discount",""),IF(AND([1]DATABASE!Y199&gt;[1]DATABASE!T199,[1]DATABASE!Y199&gt;0,[1]DATABASE!T199&gt;0),"Sell Price &gt; Current",""),IF(AND(TRIM([1]DATABASE!Q199)="DEED",[1]DATABASE!AA199=""),"Deeded no PSPA Date",""),IF([1]DATABASE!E199="","Missing Typology",""),IF([1]DATABASE!AJ199="","Missing Development",""))</f>
        <v/>
      </c>
      <c r="F238" s="82" t="str">
        <f>_xlfn.TEXTJOIN("; ",TRUE,IF(AND(OR(TRIM([1]DATABASE!Q199)="RESERVED",TRIM([1]DATABASE!Q199)="PRE-RESERVED",TRIM([1]DATABASE!Q199)="PSPA"),[1]DATABASE!AA199=""),"Reserved/PSPA no PSPA Date",""),IF(AND(TRIM([1]DATABASE!Q199)="AVAILABLE",[1]DATABASE!AA199&lt;&gt;""),"Available has PSPA Date",""))</f>
        <v/>
      </c>
      <c r="G238" s="82" t="str">
        <f>_xlfn.TEXTJOIN("; ",TRUE,IF(AND([1]DATABASE!T199&lt;0.8*[1]DATABASE!S199,[1]DATABASE!T199&gt;0,[1]DATABASE!S199&gt;0),"Heavy Price Cut &gt;20%",""),IF(AND(OR(TRIM([1]DATABASE!Q199)="AVAILABLE",TRIM([1]DATABASE!Q199)="UPON REQUEST"),OR([1]DATABASE!T199="",[1]DATABASE!T199=0)),"Active Unit no Price",""),IF(AND(OR(TRIM([1]DATABASE!Q199)="AVAILABLE",TRIM([1]DATABASE!Q199)="RESERVED",TRIM([1]DATABASE!Q199)="PRE-RESERVED",TRIM([1]DATABASE!Q199)="PSPA"),[1]DATABASE!AC199=""),"Active no Owner",""),IF(OR([1]DATABASE!F199="",[1]DATABASE!F199&lt;=0),"Missing/Invalid Area",""),IF(AND([1]DATABASE!T199&gt;0,ABS([1]DATABASE!T199-[1]DATABASE!W199-[1]DATABASE!U199-[1]DATABASE!V199)&gt;1),"Price Bridge Mismatch",""))</f>
        <v/>
      </c>
      <c r="H238" t="str">
        <f t="shared" si="6"/>
        <v>PASS</v>
      </c>
      <c r="I238" s="90">
        <f>[1]DATABASE!T199</f>
        <v>418000</v>
      </c>
      <c r="J238" t="str">
        <f>[1]DATABASE!AC199</f>
        <v>Ana Damásio</v>
      </c>
    </row>
    <row r="239" spans="1:10" ht="13.95" customHeight="1" x14ac:dyDescent="0.3">
      <c r="A239">
        <f>ROW([1]DATABASE!A200)</f>
        <v>200</v>
      </c>
      <c r="B239" t="str">
        <f>[1]DATABASE!AJ200</f>
        <v>Rivus</v>
      </c>
      <c r="C239" t="str">
        <f>[1]DATABASE!C200</f>
        <v>K</v>
      </c>
      <c r="D239" t="str">
        <f>TRIM([1]DATABASE!Q200)</f>
        <v>PSPA</v>
      </c>
      <c r="E239" s="82" t="str">
        <f>_xlfn.TEXTJOIN("; ",TRUE,IF([1]DATABASE!X200&lt;0,"Negative Discount",""),IF(AND([1]DATABASE!Y200&gt;[1]DATABASE!T200,[1]DATABASE!Y200&gt;0,[1]DATABASE!T200&gt;0),"Sell Price &gt; Current",""),IF(AND(TRIM([1]DATABASE!Q200)="DEED",[1]DATABASE!AA200=""),"Deeded no PSPA Date",""),IF([1]DATABASE!E200="","Missing Typology",""),IF([1]DATABASE!AJ200="","Missing Development",""))</f>
        <v/>
      </c>
      <c r="F239" s="82" t="str">
        <f>_xlfn.TEXTJOIN("; ",TRUE,IF(AND(OR(TRIM([1]DATABASE!Q200)="RESERVED",TRIM([1]DATABASE!Q200)="PRE-RESERVED",TRIM([1]DATABASE!Q200)="PSPA"),[1]DATABASE!AA200=""),"Reserved/PSPA no PSPA Date",""),IF(AND(TRIM([1]DATABASE!Q200)="AVAILABLE",[1]DATABASE!AA200&lt;&gt;""),"Available has PSPA Date",""))</f>
        <v/>
      </c>
      <c r="G239" s="82" t="str">
        <f>_xlfn.TEXTJOIN("; ",TRUE,IF(AND([1]DATABASE!T200&lt;0.8*[1]DATABASE!S200,[1]DATABASE!T200&gt;0,[1]DATABASE!S200&gt;0),"Heavy Price Cut &gt;20%",""),IF(AND(OR(TRIM([1]DATABASE!Q200)="AVAILABLE",TRIM([1]DATABASE!Q200)="UPON REQUEST"),OR([1]DATABASE!T200="",[1]DATABASE!T200=0)),"Active Unit no Price",""),IF(AND(OR(TRIM([1]DATABASE!Q200)="AVAILABLE",TRIM([1]DATABASE!Q200)="RESERVED",TRIM([1]DATABASE!Q200)="PRE-RESERVED",TRIM([1]DATABASE!Q200)="PSPA"),[1]DATABASE!AC200=""),"Active no Owner",""),IF(OR([1]DATABASE!F200="",[1]DATABASE!F200&lt;=0),"Missing/Invalid Area",""),IF(AND([1]DATABASE!T200&gt;0,ABS([1]DATABASE!T200-[1]DATABASE!W200-[1]DATABASE!U200-[1]DATABASE!V200)&gt;1),"Price Bridge Mismatch",""))</f>
        <v>Missing/Invalid Area</v>
      </c>
      <c r="H239" t="str">
        <f t="shared" si="6"/>
        <v>REVIEW</v>
      </c>
      <c r="I239" s="90">
        <f>[1]DATABASE!T200</f>
        <v>900000</v>
      </c>
      <c r="J239" t="str">
        <f>[1]DATABASE!AC200</f>
        <v>Ana Damásio</v>
      </c>
    </row>
    <row r="240" spans="1:10" ht="13.95" customHeight="1" x14ac:dyDescent="0.3">
      <c r="A240">
        <f>ROW([1]DATABASE!A201)</f>
        <v>201</v>
      </c>
      <c r="B240" t="str">
        <f>[1]DATABASE!AJ201</f>
        <v>The Nine</v>
      </c>
      <c r="C240" t="str">
        <f>[1]DATABASE!C201</f>
        <v>J</v>
      </c>
      <c r="D240" t="str">
        <f>TRIM([1]DATABASE!Q201)</f>
        <v>DEED</v>
      </c>
      <c r="E240" s="82" t="str">
        <f>_xlfn.TEXTJOIN("; ",TRUE,IF([1]DATABASE!X201&lt;0,"Negative Discount",""),IF(AND([1]DATABASE!Y201&gt;[1]DATABASE!T201,[1]DATABASE!Y201&gt;0,[1]DATABASE!T201&gt;0),"Sell Price &gt; Current",""),IF(AND(TRIM([1]DATABASE!Q201)="DEED",[1]DATABASE!AA201=""),"Deeded no PSPA Date",""),IF([1]DATABASE!E201="","Missing Typology",""),IF([1]DATABASE!AJ201="","Missing Development",""))</f>
        <v/>
      </c>
      <c r="F240" s="82" t="str">
        <f>_xlfn.TEXTJOIN("; ",TRUE,IF(AND(OR(TRIM([1]DATABASE!Q201)="RESERVED",TRIM([1]DATABASE!Q201)="PRE-RESERVED",TRIM([1]DATABASE!Q201)="PSPA"),[1]DATABASE!AA201=""),"Reserved/PSPA no PSPA Date",""),IF(AND(TRIM([1]DATABASE!Q201)="AVAILABLE",[1]DATABASE!AA201&lt;&gt;""),"Available has PSPA Date",""))</f>
        <v/>
      </c>
      <c r="G240" s="82" t="str">
        <f>_xlfn.TEXTJOIN("; ",TRUE,IF(AND([1]DATABASE!T201&lt;0.8*[1]DATABASE!S201,[1]DATABASE!T201&gt;0,[1]DATABASE!S201&gt;0),"Heavy Price Cut &gt;20%",""),IF(AND(OR(TRIM([1]DATABASE!Q201)="AVAILABLE",TRIM([1]DATABASE!Q201)="UPON REQUEST"),OR([1]DATABASE!T201="",[1]DATABASE!T201=0)),"Active Unit no Price",""),IF(AND(OR(TRIM([1]DATABASE!Q201)="AVAILABLE",TRIM([1]DATABASE!Q201)="RESERVED",TRIM([1]DATABASE!Q201)="PRE-RESERVED",TRIM([1]DATABASE!Q201)="PSPA"),[1]DATABASE!AC201=""),"Active no Owner",""),IF(OR([1]DATABASE!F201="",[1]DATABASE!F201&lt;=0),"Missing/Invalid Area",""),IF(AND([1]DATABASE!T201&gt;0,ABS([1]DATABASE!T201-[1]DATABASE!W201-[1]DATABASE!U201-[1]DATABASE!V201)&gt;1),"Price Bridge Mismatch",""))</f>
        <v/>
      </c>
      <c r="H240" t="str">
        <f t="shared" si="6"/>
        <v>PASS</v>
      </c>
      <c r="I240" s="90">
        <f>[1]DATABASE!T201</f>
        <v>680000</v>
      </c>
      <c r="J240" t="str">
        <f>[1]DATABASE!AC201</f>
        <v>Ana Damásio</v>
      </c>
    </row>
    <row r="241" spans="1:10" ht="13.95" customHeight="1" x14ac:dyDescent="0.3">
      <c r="A241">
        <f>ROW([1]DATABASE!A202)</f>
        <v>202</v>
      </c>
      <c r="B241" t="str">
        <f>[1]DATABASE!AJ202</f>
        <v>VM PARQUE</v>
      </c>
      <c r="C241" t="str">
        <f>[1]DATABASE!C202</f>
        <v>J</v>
      </c>
      <c r="D241" t="str">
        <f>TRIM([1]DATABASE!Q202)</f>
        <v>DEED</v>
      </c>
      <c r="E241" s="82" t="str">
        <f>_xlfn.TEXTJOIN("; ",TRUE,IF([1]DATABASE!X202&lt;0,"Negative Discount",""),IF(AND([1]DATABASE!Y202&gt;[1]DATABASE!T202,[1]DATABASE!Y202&gt;0,[1]DATABASE!T202&gt;0),"Sell Price &gt; Current",""),IF(AND(TRIM([1]DATABASE!Q202)="DEED",[1]DATABASE!AA202=""),"Deeded no PSPA Date",""),IF([1]DATABASE!E202="","Missing Typology",""),IF([1]DATABASE!AJ202="","Missing Development",""))</f>
        <v/>
      </c>
      <c r="F241" s="82" t="str">
        <f>_xlfn.TEXTJOIN("; ",TRUE,IF(AND(OR(TRIM([1]DATABASE!Q202)="RESERVED",TRIM([1]DATABASE!Q202)="PRE-RESERVED",TRIM([1]DATABASE!Q202)="PSPA"),[1]DATABASE!AA202=""),"Reserved/PSPA no PSPA Date",""),IF(AND(TRIM([1]DATABASE!Q202)="AVAILABLE",[1]DATABASE!AA202&lt;&gt;""),"Available has PSPA Date",""))</f>
        <v/>
      </c>
      <c r="G241" s="82" t="str">
        <f>_xlfn.TEXTJOIN("; ",TRUE,IF(AND([1]DATABASE!T202&lt;0.8*[1]DATABASE!S202,[1]DATABASE!T202&gt;0,[1]DATABASE!S202&gt;0),"Heavy Price Cut &gt;20%",""),IF(AND(OR(TRIM([1]DATABASE!Q202)="AVAILABLE",TRIM([1]DATABASE!Q202)="UPON REQUEST"),OR([1]DATABASE!T202="",[1]DATABASE!T202=0)),"Active Unit no Price",""),IF(AND(OR(TRIM([1]DATABASE!Q202)="AVAILABLE",TRIM([1]DATABASE!Q202)="RESERVED",TRIM([1]DATABASE!Q202)="PRE-RESERVED",TRIM([1]DATABASE!Q202)="PSPA"),[1]DATABASE!AC202=""),"Active no Owner",""),IF(OR([1]DATABASE!F202="",[1]DATABASE!F202&lt;=0),"Missing/Invalid Area",""),IF(AND([1]DATABASE!T202&gt;0,ABS([1]DATABASE!T202-[1]DATABASE!W202-[1]DATABASE!U202-[1]DATABASE!V202)&gt;1),"Price Bridge Mismatch",""))</f>
        <v/>
      </c>
      <c r="H241" t="str">
        <f t="shared" si="6"/>
        <v>PASS</v>
      </c>
      <c r="I241" s="90">
        <f>[1]DATABASE!T202</f>
        <v>1100000</v>
      </c>
      <c r="J241">
        <f>[1]DATABASE!AC202</f>
        <v>0</v>
      </c>
    </row>
    <row r="242" spans="1:10" ht="13.95" customHeight="1" x14ac:dyDescent="0.3">
      <c r="A242">
        <f>ROW([1]DATABASE!A203)</f>
        <v>203</v>
      </c>
      <c r="B242" t="str">
        <f>[1]DATABASE!AJ203</f>
        <v>Natura Village</v>
      </c>
      <c r="C242" t="str">
        <f>[1]DATABASE!C203</f>
        <v>K</v>
      </c>
      <c r="D242" t="str">
        <f>TRIM([1]DATABASE!Q203)</f>
        <v>DEED</v>
      </c>
      <c r="E242" s="82" t="str">
        <f>_xlfn.TEXTJOIN("; ",TRUE,IF([1]DATABASE!X203&lt;0,"Negative Discount",""),IF(AND([1]DATABASE!Y203&gt;[1]DATABASE!T203,[1]DATABASE!Y203&gt;0,[1]DATABASE!T203&gt;0),"Sell Price &gt; Current",""),IF(AND(TRIM([1]DATABASE!Q203)="DEED",[1]DATABASE!AA203=""),"Deeded no PSPA Date",""),IF([1]DATABASE!E203="","Missing Typology",""),IF([1]DATABASE!AJ203="","Missing Development",""))</f>
        <v/>
      </c>
      <c r="F242" s="82" t="str">
        <f>_xlfn.TEXTJOIN("; ",TRUE,IF(AND(OR(TRIM([1]DATABASE!Q203)="RESERVED",TRIM([1]DATABASE!Q203)="PRE-RESERVED",TRIM([1]DATABASE!Q203)="PSPA"),[1]DATABASE!AA203=""),"Reserved/PSPA no PSPA Date",""),IF(AND(TRIM([1]DATABASE!Q203)="AVAILABLE",[1]DATABASE!AA203&lt;&gt;""),"Available has PSPA Date",""))</f>
        <v/>
      </c>
      <c r="G242" s="82" t="str">
        <f>_xlfn.TEXTJOIN("; ",TRUE,IF(AND([1]DATABASE!T203&lt;0.8*[1]DATABASE!S203,[1]DATABASE!T203&gt;0,[1]DATABASE!S203&gt;0),"Heavy Price Cut &gt;20%",""),IF(AND(OR(TRIM([1]DATABASE!Q203)="AVAILABLE",TRIM([1]DATABASE!Q203)="UPON REQUEST"),OR([1]DATABASE!T203="",[1]DATABASE!T203=0)),"Active Unit no Price",""),IF(AND(OR(TRIM([1]DATABASE!Q203)="AVAILABLE",TRIM([1]DATABASE!Q203)="RESERVED",TRIM([1]DATABASE!Q203)="PRE-RESERVED",TRIM([1]DATABASE!Q203)="PSPA"),[1]DATABASE!AC203=""),"Active no Owner",""),IF(OR([1]DATABASE!F203="",[1]DATABASE!F203&lt;=0),"Missing/Invalid Area",""),IF(AND([1]DATABASE!T203&gt;0,ABS([1]DATABASE!T203-[1]DATABASE!W203-[1]DATABASE!U203-[1]DATABASE!V203)&gt;1),"Price Bridge Mismatch",""))</f>
        <v/>
      </c>
      <c r="H242" t="str">
        <f t="shared" si="6"/>
        <v>PASS</v>
      </c>
      <c r="I242" s="90">
        <f>[1]DATABASE!T203</f>
        <v>760000</v>
      </c>
      <c r="J242" t="str">
        <f>[1]DATABASE!AC203</f>
        <v>Ana Damásio</v>
      </c>
    </row>
    <row r="243" spans="1:10" ht="13.95" customHeight="1" x14ac:dyDescent="0.3">
      <c r="A243">
        <f>ROW([1]DATABASE!A204)</f>
        <v>204</v>
      </c>
      <c r="B243" t="str">
        <f>[1]DATABASE!AJ204</f>
        <v>Natura Village</v>
      </c>
      <c r="C243" t="str">
        <f>[1]DATABASE!C204</f>
        <v>K</v>
      </c>
      <c r="D243" t="str">
        <f>TRIM([1]DATABASE!Q204)</f>
        <v>DEED</v>
      </c>
      <c r="E243" s="82" t="str">
        <f>_xlfn.TEXTJOIN("; ",TRUE,IF([1]DATABASE!X204&lt;0,"Negative Discount",""),IF(AND([1]DATABASE!Y204&gt;[1]DATABASE!T204,[1]DATABASE!Y204&gt;0,[1]DATABASE!T204&gt;0),"Sell Price &gt; Current",""),IF(AND(TRIM([1]DATABASE!Q204)="DEED",[1]DATABASE!AA204=""),"Deeded no PSPA Date",""),IF([1]DATABASE!E204="","Missing Typology",""),IF([1]DATABASE!AJ204="","Missing Development",""))</f>
        <v/>
      </c>
      <c r="F243" s="82" t="str">
        <f>_xlfn.TEXTJOIN("; ",TRUE,IF(AND(OR(TRIM([1]DATABASE!Q204)="RESERVED",TRIM([1]DATABASE!Q204)="PRE-RESERVED",TRIM([1]DATABASE!Q204)="PSPA"),[1]DATABASE!AA204=""),"Reserved/PSPA no PSPA Date",""),IF(AND(TRIM([1]DATABASE!Q204)="AVAILABLE",[1]DATABASE!AA204&lt;&gt;""),"Available has PSPA Date",""))</f>
        <v/>
      </c>
      <c r="G243" s="82" t="str">
        <f>_xlfn.TEXTJOIN("; ",TRUE,IF(AND([1]DATABASE!T204&lt;0.8*[1]DATABASE!S204,[1]DATABASE!T204&gt;0,[1]DATABASE!S204&gt;0),"Heavy Price Cut &gt;20%",""),IF(AND(OR(TRIM([1]DATABASE!Q204)="AVAILABLE",TRIM([1]DATABASE!Q204)="UPON REQUEST"),OR([1]DATABASE!T204="",[1]DATABASE!T204=0)),"Active Unit no Price",""),IF(AND(OR(TRIM([1]DATABASE!Q204)="AVAILABLE",TRIM([1]DATABASE!Q204)="RESERVED",TRIM([1]DATABASE!Q204)="PRE-RESERVED",TRIM([1]DATABASE!Q204)="PSPA"),[1]DATABASE!AC204=""),"Active no Owner",""),IF(OR([1]DATABASE!F204="",[1]DATABASE!F204&lt;=0),"Missing/Invalid Area",""),IF(AND([1]DATABASE!T204&gt;0,ABS([1]DATABASE!T204-[1]DATABASE!W204-[1]DATABASE!U204-[1]DATABASE!V204)&gt;1),"Price Bridge Mismatch",""))</f>
        <v/>
      </c>
      <c r="H243" t="str">
        <f t="shared" si="6"/>
        <v>PASS</v>
      </c>
      <c r="I243" s="90">
        <f>[1]DATABASE!T204</f>
        <v>950000</v>
      </c>
      <c r="J243" t="str">
        <f>[1]DATABASE!AC204</f>
        <v>Ana Damásio</v>
      </c>
    </row>
    <row r="244" spans="1:10" ht="13.95" customHeight="1" x14ac:dyDescent="0.3">
      <c r="A244">
        <f>ROW([1]DATABASE!A205)</f>
        <v>205</v>
      </c>
      <c r="B244" t="str">
        <f>[1]DATABASE!AJ205</f>
        <v>Terracota</v>
      </c>
      <c r="C244" t="str">
        <f>[1]DATABASE!C205</f>
        <v>L</v>
      </c>
      <c r="D244" t="str">
        <f>TRIM([1]DATABASE!Q205)</f>
        <v>PSPA</v>
      </c>
      <c r="E244" s="82" t="str">
        <f>_xlfn.TEXTJOIN("; ",TRUE,IF([1]DATABASE!X205&lt;0,"Negative Discount",""),IF(AND([1]DATABASE!Y205&gt;[1]DATABASE!T205,[1]DATABASE!Y205&gt;0,[1]DATABASE!T205&gt;0),"Sell Price &gt; Current",""),IF(AND(TRIM([1]DATABASE!Q205)="DEED",[1]DATABASE!AA205=""),"Deeded no PSPA Date",""),IF([1]DATABASE!E205="","Missing Typology",""),IF([1]DATABASE!AJ205="","Missing Development",""))</f>
        <v/>
      </c>
      <c r="F244" s="82" t="str">
        <f>_xlfn.TEXTJOIN("; ",TRUE,IF(AND(OR(TRIM([1]DATABASE!Q205)="RESERVED",TRIM([1]DATABASE!Q205)="PRE-RESERVED",TRIM([1]DATABASE!Q205)="PSPA"),[1]DATABASE!AA205=""),"Reserved/PSPA no PSPA Date",""),IF(AND(TRIM([1]DATABASE!Q205)="AVAILABLE",[1]DATABASE!AA205&lt;&gt;""),"Available has PSPA Date",""))</f>
        <v/>
      </c>
      <c r="G244" s="82" t="str">
        <f>_xlfn.TEXTJOIN("; ",TRUE,IF(AND([1]DATABASE!T205&lt;0.8*[1]DATABASE!S205,[1]DATABASE!T205&gt;0,[1]DATABASE!S205&gt;0),"Heavy Price Cut &gt;20%",""),IF(AND(OR(TRIM([1]DATABASE!Q205)="AVAILABLE",TRIM([1]DATABASE!Q205)="UPON REQUEST"),OR([1]DATABASE!T205="",[1]DATABASE!T205=0)),"Active Unit no Price",""),IF(AND(OR(TRIM([1]DATABASE!Q205)="AVAILABLE",TRIM([1]DATABASE!Q205)="RESERVED",TRIM([1]DATABASE!Q205)="PRE-RESERVED",TRIM([1]DATABASE!Q205)="PSPA"),[1]DATABASE!AC205=""),"Active no Owner",""),IF(OR([1]DATABASE!F205="",[1]DATABASE!F205&lt;=0),"Missing/Invalid Area",""),IF(AND([1]DATABASE!T205&gt;0,ABS([1]DATABASE!T205-[1]DATABASE!W205-[1]DATABASE!U205-[1]DATABASE!V205)&gt;1),"Price Bridge Mismatch",""))</f>
        <v/>
      </c>
      <c r="H244" t="str">
        <f t="shared" si="6"/>
        <v>PASS</v>
      </c>
      <c r="I244" s="90">
        <f>[1]DATABASE!T205</f>
        <v>440000</v>
      </c>
      <c r="J244" t="str">
        <f>[1]DATABASE!AC205</f>
        <v>Ana Damásio</v>
      </c>
    </row>
    <row r="245" spans="1:10" ht="13.95" customHeight="1" x14ac:dyDescent="0.3">
      <c r="A245">
        <f>ROW([1]DATABASE!A206)</f>
        <v>206</v>
      </c>
      <c r="B245" t="str">
        <f>[1]DATABASE!AJ206</f>
        <v>The Nine</v>
      </c>
      <c r="C245" t="str">
        <f>[1]DATABASE!C206</f>
        <v>K</v>
      </c>
      <c r="D245" t="str">
        <f>TRIM([1]DATABASE!Q206)</f>
        <v>DEED</v>
      </c>
      <c r="E245" s="82" t="str">
        <f>_xlfn.TEXTJOIN("; ",TRUE,IF([1]DATABASE!X206&lt;0,"Negative Discount",""),IF(AND([1]DATABASE!Y206&gt;[1]DATABASE!T206,[1]DATABASE!Y206&gt;0,[1]DATABASE!T206&gt;0),"Sell Price &gt; Current",""),IF(AND(TRIM([1]DATABASE!Q206)="DEED",[1]DATABASE!AA206=""),"Deeded no PSPA Date",""),IF([1]DATABASE!E206="","Missing Typology",""),IF([1]DATABASE!AJ206="","Missing Development",""))</f>
        <v/>
      </c>
      <c r="F245" s="82" t="str">
        <f>_xlfn.TEXTJOIN("; ",TRUE,IF(AND(OR(TRIM([1]DATABASE!Q206)="RESERVED",TRIM([1]DATABASE!Q206)="PRE-RESERVED",TRIM([1]DATABASE!Q206)="PSPA"),[1]DATABASE!AA206=""),"Reserved/PSPA no PSPA Date",""),IF(AND(TRIM([1]DATABASE!Q206)="AVAILABLE",[1]DATABASE!AA206&lt;&gt;""),"Available has PSPA Date",""))</f>
        <v/>
      </c>
      <c r="G245" s="82" t="str">
        <f>_xlfn.TEXTJOIN("; ",TRUE,IF(AND([1]DATABASE!T206&lt;0.8*[1]DATABASE!S206,[1]DATABASE!T206&gt;0,[1]DATABASE!S206&gt;0),"Heavy Price Cut &gt;20%",""),IF(AND(OR(TRIM([1]DATABASE!Q206)="AVAILABLE",TRIM([1]DATABASE!Q206)="UPON REQUEST"),OR([1]DATABASE!T206="",[1]DATABASE!T206=0)),"Active Unit no Price",""),IF(AND(OR(TRIM([1]DATABASE!Q206)="AVAILABLE",TRIM([1]DATABASE!Q206)="RESERVED",TRIM([1]DATABASE!Q206)="PRE-RESERVED",TRIM([1]DATABASE!Q206)="PSPA"),[1]DATABASE!AC206=""),"Active no Owner",""),IF(OR([1]DATABASE!F206="",[1]DATABASE!F206&lt;=0),"Missing/Invalid Area",""),IF(AND([1]DATABASE!T206&gt;0,ABS([1]DATABASE!T206-[1]DATABASE!W206-[1]DATABASE!U206-[1]DATABASE!V206)&gt;1),"Price Bridge Mismatch",""))</f>
        <v/>
      </c>
      <c r="H245" t="str">
        <f t="shared" si="6"/>
        <v>PASS</v>
      </c>
      <c r="I245" s="90">
        <f>[1]DATABASE!T206</f>
        <v>650000</v>
      </c>
      <c r="J245" t="str">
        <f>[1]DATABASE!AC206</f>
        <v>Ana Damásio</v>
      </c>
    </row>
    <row r="246" spans="1:10" ht="13.95" customHeight="1" x14ac:dyDescent="0.3">
      <c r="A246">
        <f>ROW([1]DATABASE!A207)</f>
        <v>207</v>
      </c>
      <c r="B246" t="str">
        <f>[1]DATABASE!AJ207</f>
        <v>VM PARQUE</v>
      </c>
      <c r="C246" t="str">
        <f>[1]DATABASE!C207</f>
        <v>K</v>
      </c>
      <c r="D246" t="str">
        <f>TRIM([1]DATABASE!Q207)</f>
        <v>DEED</v>
      </c>
      <c r="E246" s="82" t="str">
        <f>_xlfn.TEXTJOIN("; ",TRUE,IF([1]DATABASE!X207&lt;0,"Negative Discount",""),IF(AND([1]DATABASE!Y207&gt;[1]DATABASE!T207,[1]DATABASE!Y207&gt;0,[1]DATABASE!T207&gt;0),"Sell Price &gt; Current",""),IF(AND(TRIM([1]DATABASE!Q207)="DEED",[1]DATABASE!AA207=""),"Deeded no PSPA Date",""),IF([1]DATABASE!E207="","Missing Typology",""),IF([1]DATABASE!AJ207="","Missing Development",""))</f>
        <v/>
      </c>
      <c r="F246" s="82" t="str">
        <f>_xlfn.TEXTJOIN("; ",TRUE,IF(AND(OR(TRIM([1]DATABASE!Q207)="RESERVED",TRIM([1]DATABASE!Q207)="PRE-RESERVED",TRIM([1]DATABASE!Q207)="PSPA"),[1]DATABASE!AA207=""),"Reserved/PSPA no PSPA Date",""),IF(AND(TRIM([1]DATABASE!Q207)="AVAILABLE",[1]DATABASE!AA207&lt;&gt;""),"Available has PSPA Date",""))</f>
        <v/>
      </c>
      <c r="G246" s="82" t="str">
        <f>_xlfn.TEXTJOIN("; ",TRUE,IF(AND([1]DATABASE!T207&lt;0.8*[1]DATABASE!S207,[1]DATABASE!T207&gt;0,[1]DATABASE!S207&gt;0),"Heavy Price Cut &gt;20%",""),IF(AND(OR(TRIM([1]DATABASE!Q207)="AVAILABLE",TRIM([1]DATABASE!Q207)="UPON REQUEST"),OR([1]DATABASE!T207="",[1]DATABASE!T207=0)),"Active Unit no Price",""),IF(AND(OR(TRIM([1]DATABASE!Q207)="AVAILABLE",TRIM([1]DATABASE!Q207)="RESERVED",TRIM([1]DATABASE!Q207)="PRE-RESERVED",TRIM([1]DATABASE!Q207)="PSPA"),[1]DATABASE!AC207=""),"Active no Owner",""),IF(OR([1]DATABASE!F207="",[1]DATABASE!F207&lt;=0),"Missing/Invalid Area",""),IF(AND([1]DATABASE!T207&gt;0,ABS([1]DATABASE!T207-[1]DATABASE!W207-[1]DATABASE!U207-[1]DATABASE!V207)&gt;1),"Price Bridge Mismatch",""))</f>
        <v/>
      </c>
      <c r="H246" t="str">
        <f t="shared" si="6"/>
        <v>PASS</v>
      </c>
      <c r="I246" s="90">
        <f>[1]DATABASE!T207</f>
        <v>1060000</v>
      </c>
      <c r="J246">
        <f>[1]DATABASE!AC207</f>
        <v>0</v>
      </c>
    </row>
    <row r="247" spans="1:10" ht="13.95" customHeight="1" x14ac:dyDescent="0.3">
      <c r="A247">
        <f>ROW([1]DATABASE!A208)</f>
        <v>208</v>
      </c>
      <c r="B247" t="str">
        <f>[1]DATABASE!AJ208</f>
        <v>Natura Village</v>
      </c>
      <c r="C247" t="str">
        <f>[1]DATABASE!C208</f>
        <v>L</v>
      </c>
      <c r="D247" t="str">
        <f>TRIM([1]DATABASE!Q208)</f>
        <v>DEED</v>
      </c>
      <c r="E247" s="82" t="str">
        <f>_xlfn.TEXTJOIN("; ",TRUE,IF([1]DATABASE!X208&lt;0,"Negative Discount",""),IF(AND([1]DATABASE!Y208&gt;[1]DATABASE!T208,[1]DATABASE!Y208&gt;0,[1]DATABASE!T208&gt;0),"Sell Price &gt; Current",""),IF(AND(TRIM([1]DATABASE!Q208)="DEED",[1]DATABASE!AA208=""),"Deeded no PSPA Date",""),IF([1]DATABASE!E208="","Missing Typology",""),IF([1]DATABASE!AJ208="","Missing Development",""))</f>
        <v/>
      </c>
      <c r="F247" s="82" t="str">
        <f>_xlfn.TEXTJOIN("; ",TRUE,IF(AND(OR(TRIM([1]DATABASE!Q208)="RESERVED",TRIM([1]DATABASE!Q208)="PRE-RESERVED",TRIM([1]DATABASE!Q208)="PSPA"),[1]DATABASE!AA208=""),"Reserved/PSPA no PSPA Date",""),IF(AND(TRIM([1]DATABASE!Q208)="AVAILABLE",[1]DATABASE!AA208&lt;&gt;""),"Available has PSPA Date",""))</f>
        <v/>
      </c>
      <c r="G247" s="82" t="str">
        <f>_xlfn.TEXTJOIN("; ",TRUE,IF(AND([1]DATABASE!T208&lt;0.8*[1]DATABASE!S208,[1]DATABASE!T208&gt;0,[1]DATABASE!S208&gt;0),"Heavy Price Cut &gt;20%",""),IF(AND(OR(TRIM([1]DATABASE!Q208)="AVAILABLE",TRIM([1]DATABASE!Q208)="UPON REQUEST"),OR([1]DATABASE!T208="",[1]DATABASE!T208=0)),"Active Unit no Price",""),IF(AND(OR(TRIM([1]DATABASE!Q208)="AVAILABLE",TRIM([1]DATABASE!Q208)="RESERVED",TRIM([1]DATABASE!Q208)="PRE-RESERVED",TRIM([1]DATABASE!Q208)="PSPA"),[1]DATABASE!AC208=""),"Active no Owner",""),IF(OR([1]DATABASE!F208="",[1]DATABASE!F208&lt;=0),"Missing/Invalid Area",""),IF(AND([1]DATABASE!T208&gt;0,ABS([1]DATABASE!T208-[1]DATABASE!W208-[1]DATABASE!U208-[1]DATABASE!V208)&gt;1),"Price Bridge Mismatch",""))</f>
        <v/>
      </c>
      <c r="H247" t="str">
        <f t="shared" si="6"/>
        <v>PASS</v>
      </c>
      <c r="I247" s="90">
        <f>[1]DATABASE!T208</f>
        <v>860000</v>
      </c>
      <c r="J247" t="str">
        <f>[1]DATABASE!AC208</f>
        <v>Ana Damásio</v>
      </c>
    </row>
    <row r="248" spans="1:10" ht="13.95" customHeight="1" x14ac:dyDescent="0.3">
      <c r="A248">
        <f>ROW([1]DATABASE!A209)</f>
        <v>209</v>
      </c>
      <c r="B248" t="str">
        <f>[1]DATABASE!AJ209</f>
        <v>Natura Village</v>
      </c>
      <c r="C248" t="str">
        <f>[1]DATABASE!C209</f>
        <v>L</v>
      </c>
      <c r="D248" t="str">
        <f>TRIM([1]DATABASE!Q209)</f>
        <v>DEED</v>
      </c>
      <c r="E248" s="82" t="str">
        <f>_xlfn.TEXTJOIN("; ",TRUE,IF([1]DATABASE!X209&lt;0,"Negative Discount",""),IF(AND([1]DATABASE!Y209&gt;[1]DATABASE!T209,[1]DATABASE!Y209&gt;0,[1]DATABASE!T209&gt;0),"Sell Price &gt; Current",""),IF(AND(TRIM([1]DATABASE!Q209)="DEED",[1]DATABASE!AA209=""),"Deeded no PSPA Date",""),IF([1]DATABASE!E209="","Missing Typology",""),IF([1]DATABASE!AJ209="","Missing Development",""))</f>
        <v/>
      </c>
      <c r="F248" s="82" t="str">
        <f>_xlfn.TEXTJOIN("; ",TRUE,IF(AND(OR(TRIM([1]DATABASE!Q209)="RESERVED",TRIM([1]DATABASE!Q209)="PRE-RESERVED",TRIM([1]DATABASE!Q209)="PSPA"),[1]DATABASE!AA209=""),"Reserved/PSPA no PSPA Date",""),IF(AND(TRIM([1]DATABASE!Q209)="AVAILABLE",[1]DATABASE!AA209&lt;&gt;""),"Available has PSPA Date",""))</f>
        <v/>
      </c>
      <c r="G248" s="82" t="str">
        <f>_xlfn.TEXTJOIN("; ",TRUE,IF(AND([1]DATABASE!T209&lt;0.8*[1]DATABASE!S209,[1]DATABASE!T209&gt;0,[1]DATABASE!S209&gt;0),"Heavy Price Cut &gt;20%",""),IF(AND(OR(TRIM([1]DATABASE!Q209)="AVAILABLE",TRIM([1]DATABASE!Q209)="UPON REQUEST"),OR([1]DATABASE!T209="",[1]DATABASE!T209=0)),"Active Unit no Price",""),IF(AND(OR(TRIM([1]DATABASE!Q209)="AVAILABLE",TRIM([1]DATABASE!Q209)="RESERVED",TRIM([1]DATABASE!Q209)="PRE-RESERVED",TRIM([1]DATABASE!Q209)="PSPA"),[1]DATABASE!AC209=""),"Active no Owner",""),IF(OR([1]DATABASE!F209="",[1]DATABASE!F209&lt;=0),"Missing/Invalid Area",""),IF(AND([1]DATABASE!T209&gt;0,ABS([1]DATABASE!T209-[1]DATABASE!W209-[1]DATABASE!U209-[1]DATABASE!V209)&gt;1),"Price Bridge Mismatch",""))</f>
        <v/>
      </c>
      <c r="H248" t="str">
        <f t="shared" si="6"/>
        <v>PASS</v>
      </c>
      <c r="I248" s="90">
        <f>[1]DATABASE!T209</f>
        <v>930000</v>
      </c>
      <c r="J248" t="str">
        <f>[1]DATABASE!AC209</f>
        <v>Ana Damásio</v>
      </c>
    </row>
    <row r="249" spans="1:10" ht="13.95" customHeight="1" x14ac:dyDescent="0.3">
      <c r="A249">
        <f>ROW([1]DATABASE!A210)</f>
        <v>210</v>
      </c>
      <c r="B249" t="str">
        <f>[1]DATABASE!AJ210</f>
        <v>Terracota</v>
      </c>
      <c r="C249" t="str">
        <f>[1]DATABASE!C210</f>
        <v>M</v>
      </c>
      <c r="D249" t="str">
        <f>TRIM([1]DATABASE!Q210)</f>
        <v>PSPA</v>
      </c>
      <c r="E249" s="82" t="str">
        <f>_xlfn.TEXTJOIN("; ",TRUE,IF([1]DATABASE!X210&lt;0,"Negative Discount",""),IF(AND([1]DATABASE!Y210&gt;[1]DATABASE!T210,[1]DATABASE!Y210&gt;0,[1]DATABASE!T210&gt;0),"Sell Price &gt; Current",""),IF(AND(TRIM([1]DATABASE!Q210)="DEED",[1]DATABASE!AA210=""),"Deeded no PSPA Date",""),IF([1]DATABASE!E210="","Missing Typology",""),IF([1]DATABASE!AJ210="","Missing Development",""))</f>
        <v/>
      </c>
      <c r="F249" s="82" t="str">
        <f>_xlfn.TEXTJOIN("; ",TRUE,IF(AND(OR(TRIM([1]DATABASE!Q210)="RESERVED",TRIM([1]DATABASE!Q210)="PRE-RESERVED",TRIM([1]DATABASE!Q210)="PSPA"),[1]DATABASE!AA210=""),"Reserved/PSPA no PSPA Date",""),IF(AND(TRIM([1]DATABASE!Q210)="AVAILABLE",[1]DATABASE!AA210&lt;&gt;""),"Available has PSPA Date",""))</f>
        <v/>
      </c>
      <c r="G249" s="82" t="str">
        <f>_xlfn.TEXTJOIN("; ",TRUE,IF(AND([1]DATABASE!T210&lt;0.8*[1]DATABASE!S210,[1]DATABASE!T210&gt;0,[1]DATABASE!S210&gt;0),"Heavy Price Cut &gt;20%",""),IF(AND(OR(TRIM([1]DATABASE!Q210)="AVAILABLE",TRIM([1]DATABASE!Q210)="UPON REQUEST"),OR([1]DATABASE!T210="",[1]DATABASE!T210=0)),"Active Unit no Price",""),IF(AND(OR(TRIM([1]DATABASE!Q210)="AVAILABLE",TRIM([1]DATABASE!Q210)="RESERVED",TRIM([1]DATABASE!Q210)="PRE-RESERVED",TRIM([1]DATABASE!Q210)="PSPA"),[1]DATABASE!AC210=""),"Active no Owner",""),IF(OR([1]DATABASE!F210="",[1]DATABASE!F210&lt;=0),"Missing/Invalid Area",""),IF(AND([1]DATABASE!T210&gt;0,ABS([1]DATABASE!T210-[1]DATABASE!W210-[1]DATABASE!U210-[1]DATABASE!V210)&gt;1),"Price Bridge Mismatch",""))</f>
        <v/>
      </c>
      <c r="H249" t="str">
        <f t="shared" si="6"/>
        <v>PASS</v>
      </c>
      <c r="I249" s="90">
        <f>[1]DATABASE!T210</f>
        <v>418000</v>
      </c>
      <c r="J249" t="str">
        <f>[1]DATABASE!AC210</f>
        <v>Ana Damásio</v>
      </c>
    </row>
    <row r="250" spans="1:10" ht="13.95" customHeight="1" x14ac:dyDescent="0.3">
      <c r="A250">
        <f>ROW([1]DATABASE!A211)</f>
        <v>211</v>
      </c>
      <c r="B250" t="str">
        <f>[1]DATABASE!AJ211</f>
        <v>The Nine</v>
      </c>
      <c r="C250" t="str">
        <f>[1]DATABASE!C211</f>
        <v>L</v>
      </c>
      <c r="D250" t="str">
        <f>TRIM([1]DATABASE!Q211)</f>
        <v>DEED</v>
      </c>
      <c r="E250" s="82" t="str">
        <f>_xlfn.TEXTJOIN("; ",TRUE,IF([1]DATABASE!X211&lt;0,"Negative Discount",""),IF(AND([1]DATABASE!Y211&gt;[1]DATABASE!T211,[1]DATABASE!Y211&gt;0,[1]DATABASE!T211&gt;0),"Sell Price &gt; Current",""),IF(AND(TRIM([1]DATABASE!Q211)="DEED",[1]DATABASE!AA211=""),"Deeded no PSPA Date",""),IF([1]DATABASE!E211="","Missing Typology",""),IF([1]DATABASE!AJ211="","Missing Development",""))</f>
        <v/>
      </c>
      <c r="F250" s="82" t="str">
        <f>_xlfn.TEXTJOIN("; ",TRUE,IF(AND(OR(TRIM([1]DATABASE!Q211)="RESERVED",TRIM([1]DATABASE!Q211)="PRE-RESERVED",TRIM([1]DATABASE!Q211)="PSPA"),[1]DATABASE!AA211=""),"Reserved/PSPA no PSPA Date",""),IF(AND(TRIM([1]DATABASE!Q211)="AVAILABLE",[1]DATABASE!AA211&lt;&gt;""),"Available has PSPA Date",""))</f>
        <v/>
      </c>
      <c r="G250" s="82" t="str">
        <f>_xlfn.TEXTJOIN("; ",TRUE,IF(AND([1]DATABASE!T211&lt;0.8*[1]DATABASE!S211,[1]DATABASE!T211&gt;0,[1]DATABASE!S211&gt;0),"Heavy Price Cut &gt;20%",""),IF(AND(OR(TRIM([1]DATABASE!Q211)="AVAILABLE",TRIM([1]DATABASE!Q211)="UPON REQUEST"),OR([1]DATABASE!T211="",[1]DATABASE!T211=0)),"Active Unit no Price",""),IF(AND(OR(TRIM([1]DATABASE!Q211)="AVAILABLE",TRIM([1]DATABASE!Q211)="RESERVED",TRIM([1]DATABASE!Q211)="PRE-RESERVED",TRIM([1]DATABASE!Q211)="PSPA"),[1]DATABASE!AC211=""),"Active no Owner",""),IF(OR([1]DATABASE!F211="",[1]DATABASE!F211&lt;=0),"Missing/Invalid Area",""),IF(AND([1]DATABASE!T211&gt;0,ABS([1]DATABASE!T211-[1]DATABASE!W211-[1]DATABASE!U211-[1]DATABASE!V211)&gt;1),"Price Bridge Mismatch",""))</f>
        <v/>
      </c>
      <c r="H250" t="str">
        <f t="shared" si="6"/>
        <v>PASS</v>
      </c>
      <c r="I250" s="90">
        <f>[1]DATABASE!T211</f>
        <v>680000</v>
      </c>
      <c r="J250" t="str">
        <f>[1]DATABASE!AC211</f>
        <v>Ana Damásio</v>
      </c>
    </row>
    <row r="251" spans="1:10" ht="13.95" customHeight="1" x14ac:dyDescent="0.3">
      <c r="A251">
        <f>ROW([1]DATABASE!A212)</f>
        <v>212</v>
      </c>
      <c r="B251" t="str">
        <f>[1]DATABASE!AJ212</f>
        <v>VM PARQUE</v>
      </c>
      <c r="C251" t="str">
        <f>[1]DATABASE!C212</f>
        <v>L</v>
      </c>
      <c r="D251" t="str">
        <f>TRIM([1]DATABASE!Q212)</f>
        <v>DEED</v>
      </c>
      <c r="E251" s="82" t="str">
        <f>_xlfn.TEXTJOIN("; ",TRUE,IF([1]DATABASE!X212&lt;0,"Negative Discount",""),IF(AND([1]DATABASE!Y212&gt;[1]DATABASE!T212,[1]DATABASE!Y212&gt;0,[1]DATABASE!T212&gt;0),"Sell Price &gt; Current",""),IF(AND(TRIM([1]DATABASE!Q212)="DEED",[1]DATABASE!AA212=""),"Deeded no PSPA Date",""),IF([1]DATABASE!E212="","Missing Typology",""),IF([1]DATABASE!AJ212="","Missing Development",""))</f>
        <v/>
      </c>
      <c r="F251" s="82" t="str">
        <f>_xlfn.TEXTJOIN("; ",TRUE,IF(AND(OR(TRIM([1]DATABASE!Q212)="RESERVED",TRIM([1]DATABASE!Q212)="PRE-RESERVED",TRIM([1]DATABASE!Q212)="PSPA"),[1]DATABASE!AA212=""),"Reserved/PSPA no PSPA Date",""),IF(AND(TRIM([1]DATABASE!Q212)="AVAILABLE",[1]DATABASE!AA212&lt;&gt;""),"Available has PSPA Date",""))</f>
        <v/>
      </c>
      <c r="G251" s="82" t="str">
        <f>_xlfn.TEXTJOIN("; ",TRUE,IF(AND([1]DATABASE!T212&lt;0.8*[1]DATABASE!S212,[1]DATABASE!T212&gt;0,[1]DATABASE!S212&gt;0),"Heavy Price Cut &gt;20%",""),IF(AND(OR(TRIM([1]DATABASE!Q212)="AVAILABLE",TRIM([1]DATABASE!Q212)="UPON REQUEST"),OR([1]DATABASE!T212="",[1]DATABASE!T212=0)),"Active Unit no Price",""),IF(AND(OR(TRIM([1]DATABASE!Q212)="AVAILABLE",TRIM([1]DATABASE!Q212)="RESERVED",TRIM([1]DATABASE!Q212)="PRE-RESERVED",TRIM([1]DATABASE!Q212)="PSPA"),[1]DATABASE!AC212=""),"Active no Owner",""),IF(OR([1]DATABASE!F212="",[1]DATABASE!F212&lt;=0),"Missing/Invalid Area",""),IF(AND([1]DATABASE!T212&gt;0,ABS([1]DATABASE!T212-[1]DATABASE!W212-[1]DATABASE!U212-[1]DATABASE!V212)&gt;1),"Price Bridge Mismatch",""))</f>
        <v/>
      </c>
      <c r="H251" t="str">
        <f t="shared" si="6"/>
        <v>PASS</v>
      </c>
      <c r="I251" s="90">
        <f>[1]DATABASE!T212</f>
        <v>1050000</v>
      </c>
      <c r="J251">
        <f>[1]DATABASE!AC212</f>
        <v>0</v>
      </c>
    </row>
    <row r="252" spans="1:10" ht="13.95" customHeight="1" x14ac:dyDescent="0.3">
      <c r="A252">
        <f>ROW([1]DATABASE!A213)</f>
        <v>213</v>
      </c>
      <c r="B252" t="str">
        <f>[1]DATABASE!AJ213</f>
        <v>Natura Village</v>
      </c>
      <c r="C252" t="str">
        <f>[1]DATABASE!C213</f>
        <v>M</v>
      </c>
      <c r="D252" t="str">
        <f>TRIM([1]DATABASE!Q213)</f>
        <v>DEED</v>
      </c>
      <c r="E252" s="82" t="str">
        <f>_xlfn.TEXTJOIN("; ",TRUE,IF([1]DATABASE!X213&lt;0,"Negative Discount",""),IF(AND([1]DATABASE!Y213&gt;[1]DATABASE!T213,[1]DATABASE!Y213&gt;0,[1]DATABASE!T213&gt;0),"Sell Price &gt; Current",""),IF(AND(TRIM([1]DATABASE!Q213)="DEED",[1]DATABASE!AA213=""),"Deeded no PSPA Date",""),IF([1]DATABASE!E213="","Missing Typology",""),IF([1]DATABASE!AJ213="","Missing Development",""))</f>
        <v/>
      </c>
      <c r="F252" s="82" t="str">
        <f>_xlfn.TEXTJOIN("; ",TRUE,IF(AND(OR(TRIM([1]DATABASE!Q213)="RESERVED",TRIM([1]DATABASE!Q213)="PRE-RESERVED",TRIM([1]DATABASE!Q213)="PSPA"),[1]DATABASE!AA213=""),"Reserved/PSPA no PSPA Date",""),IF(AND(TRIM([1]DATABASE!Q213)="AVAILABLE",[1]DATABASE!AA213&lt;&gt;""),"Available has PSPA Date",""))</f>
        <v/>
      </c>
      <c r="G252" s="82" t="str">
        <f>_xlfn.TEXTJOIN("; ",TRUE,IF(AND([1]DATABASE!T213&lt;0.8*[1]DATABASE!S213,[1]DATABASE!T213&gt;0,[1]DATABASE!S213&gt;0),"Heavy Price Cut &gt;20%",""),IF(AND(OR(TRIM([1]DATABASE!Q213)="AVAILABLE",TRIM([1]DATABASE!Q213)="UPON REQUEST"),OR([1]DATABASE!T213="",[1]DATABASE!T213=0)),"Active Unit no Price",""),IF(AND(OR(TRIM([1]DATABASE!Q213)="AVAILABLE",TRIM([1]DATABASE!Q213)="RESERVED",TRIM([1]DATABASE!Q213)="PRE-RESERVED",TRIM([1]DATABASE!Q213)="PSPA"),[1]DATABASE!AC213=""),"Active no Owner",""),IF(OR([1]DATABASE!F213="",[1]DATABASE!F213&lt;=0),"Missing/Invalid Area",""),IF(AND([1]DATABASE!T213&gt;0,ABS([1]DATABASE!T213-[1]DATABASE!W213-[1]DATABASE!U213-[1]DATABASE!V213)&gt;1),"Price Bridge Mismatch",""))</f>
        <v/>
      </c>
      <c r="H252" t="str">
        <f t="shared" si="6"/>
        <v>PASS</v>
      </c>
      <c r="I252" s="90">
        <f>[1]DATABASE!T213</f>
        <v>850000</v>
      </c>
      <c r="J252" t="str">
        <f>[1]DATABASE!AC213</f>
        <v>Ana Damásio</v>
      </c>
    </row>
    <row r="253" spans="1:10" ht="13.95" customHeight="1" x14ac:dyDescent="0.3">
      <c r="A253">
        <f>ROW([1]DATABASE!A214)</f>
        <v>214</v>
      </c>
      <c r="B253" t="str">
        <f>[1]DATABASE!AJ214</f>
        <v>Terracota</v>
      </c>
      <c r="C253" t="str">
        <f>[1]DATABASE!C214</f>
        <v>N</v>
      </c>
      <c r="D253" t="str">
        <f>TRIM([1]DATABASE!Q214)</f>
        <v>PSPA</v>
      </c>
      <c r="E253" s="82" t="str">
        <f>_xlfn.TEXTJOIN("; ",TRUE,IF([1]DATABASE!X214&lt;0,"Negative Discount",""),IF(AND([1]DATABASE!Y214&gt;[1]DATABASE!T214,[1]DATABASE!Y214&gt;0,[1]DATABASE!T214&gt;0),"Sell Price &gt; Current",""),IF(AND(TRIM([1]DATABASE!Q214)="DEED",[1]DATABASE!AA214=""),"Deeded no PSPA Date",""),IF([1]DATABASE!E214="","Missing Typology",""),IF([1]DATABASE!AJ214="","Missing Development",""))</f>
        <v/>
      </c>
      <c r="F253" s="82" t="str">
        <f>_xlfn.TEXTJOIN("; ",TRUE,IF(AND(OR(TRIM([1]DATABASE!Q214)="RESERVED",TRIM([1]DATABASE!Q214)="PRE-RESERVED",TRIM([1]DATABASE!Q214)="PSPA"),[1]DATABASE!AA214=""),"Reserved/PSPA no PSPA Date",""),IF(AND(TRIM([1]DATABASE!Q214)="AVAILABLE",[1]DATABASE!AA214&lt;&gt;""),"Available has PSPA Date",""))</f>
        <v/>
      </c>
      <c r="G253" s="82" t="str">
        <f>_xlfn.TEXTJOIN("; ",TRUE,IF(AND([1]DATABASE!T214&lt;0.8*[1]DATABASE!S214,[1]DATABASE!T214&gt;0,[1]DATABASE!S214&gt;0),"Heavy Price Cut &gt;20%",""),IF(AND(OR(TRIM([1]DATABASE!Q214)="AVAILABLE",TRIM([1]DATABASE!Q214)="UPON REQUEST"),OR([1]DATABASE!T214="",[1]DATABASE!T214=0)),"Active Unit no Price",""),IF(AND(OR(TRIM([1]DATABASE!Q214)="AVAILABLE",TRIM([1]DATABASE!Q214)="RESERVED",TRIM([1]DATABASE!Q214)="PRE-RESERVED",TRIM([1]DATABASE!Q214)="PSPA"),[1]DATABASE!AC214=""),"Active no Owner",""),IF(OR([1]DATABASE!F214="",[1]DATABASE!F214&lt;=0),"Missing/Invalid Area",""),IF(AND([1]DATABASE!T214&gt;0,ABS([1]DATABASE!T214-[1]DATABASE!W214-[1]DATABASE!U214-[1]DATABASE!V214)&gt;1),"Price Bridge Mismatch",""))</f>
        <v/>
      </c>
      <c r="H253" t="str">
        <f t="shared" si="6"/>
        <v>PASS</v>
      </c>
      <c r="I253" s="90">
        <f>[1]DATABASE!T214</f>
        <v>440000</v>
      </c>
      <c r="J253" t="str">
        <f>[1]DATABASE!AC214</f>
        <v>Ana Damásio</v>
      </c>
    </row>
    <row r="254" spans="1:10" ht="13.95" customHeight="1" x14ac:dyDescent="0.3">
      <c r="A254">
        <f>ROW([1]DATABASE!A215)</f>
        <v>215</v>
      </c>
      <c r="B254" t="str">
        <f>[1]DATABASE!AJ215</f>
        <v>The Nine</v>
      </c>
      <c r="C254" t="str">
        <f>[1]DATABASE!C215</f>
        <v>M</v>
      </c>
      <c r="D254" t="str">
        <f>TRIM([1]DATABASE!Q215)</f>
        <v>DEED</v>
      </c>
      <c r="E254" s="82" t="str">
        <f>_xlfn.TEXTJOIN("; ",TRUE,IF([1]DATABASE!X215&lt;0,"Negative Discount",""),IF(AND([1]DATABASE!Y215&gt;[1]DATABASE!T215,[1]DATABASE!Y215&gt;0,[1]DATABASE!T215&gt;0),"Sell Price &gt; Current",""),IF(AND(TRIM([1]DATABASE!Q215)="DEED",[1]DATABASE!AA215=""),"Deeded no PSPA Date",""),IF([1]DATABASE!E215="","Missing Typology",""),IF([1]DATABASE!AJ215="","Missing Development",""))</f>
        <v/>
      </c>
      <c r="F254" s="82" t="str">
        <f>_xlfn.TEXTJOIN("; ",TRUE,IF(AND(OR(TRIM([1]DATABASE!Q215)="RESERVED",TRIM([1]DATABASE!Q215)="PRE-RESERVED",TRIM([1]DATABASE!Q215)="PSPA"),[1]DATABASE!AA215=""),"Reserved/PSPA no PSPA Date",""),IF(AND(TRIM([1]DATABASE!Q215)="AVAILABLE",[1]DATABASE!AA215&lt;&gt;""),"Available has PSPA Date",""))</f>
        <v/>
      </c>
      <c r="G254" s="82" t="str">
        <f>_xlfn.TEXTJOIN("; ",TRUE,IF(AND([1]DATABASE!T215&lt;0.8*[1]DATABASE!S215,[1]DATABASE!T215&gt;0,[1]DATABASE!S215&gt;0),"Heavy Price Cut &gt;20%",""),IF(AND(OR(TRIM([1]DATABASE!Q215)="AVAILABLE",TRIM([1]DATABASE!Q215)="UPON REQUEST"),OR([1]DATABASE!T215="",[1]DATABASE!T215=0)),"Active Unit no Price",""),IF(AND(OR(TRIM([1]DATABASE!Q215)="AVAILABLE",TRIM([1]DATABASE!Q215)="RESERVED",TRIM([1]DATABASE!Q215)="PRE-RESERVED",TRIM([1]DATABASE!Q215)="PSPA"),[1]DATABASE!AC215=""),"Active no Owner",""),IF(OR([1]DATABASE!F215="",[1]DATABASE!F215&lt;=0),"Missing/Invalid Area",""),IF(AND([1]DATABASE!T215&gt;0,ABS([1]DATABASE!T215-[1]DATABASE!W215-[1]DATABASE!U215-[1]DATABASE!V215)&gt;1),"Price Bridge Mismatch",""))</f>
        <v/>
      </c>
      <c r="H254" t="str">
        <f t="shared" si="6"/>
        <v>PASS</v>
      </c>
      <c r="I254" s="90">
        <f>[1]DATABASE!T215</f>
        <v>650000</v>
      </c>
      <c r="J254" t="str">
        <f>[1]DATABASE!AC215</f>
        <v>Ana Damásio</v>
      </c>
    </row>
    <row r="255" spans="1:10" ht="13.95" customHeight="1" x14ac:dyDescent="0.3">
      <c r="A255">
        <f>ROW([1]DATABASE!A216)</f>
        <v>216</v>
      </c>
      <c r="B255" t="str">
        <f>[1]DATABASE!AJ216</f>
        <v>VM PARQUE</v>
      </c>
      <c r="C255" t="str">
        <f>[1]DATABASE!C216</f>
        <v>M</v>
      </c>
      <c r="D255" t="str">
        <f>TRIM([1]DATABASE!Q216)</f>
        <v>DEED</v>
      </c>
      <c r="E255" s="82" t="str">
        <f>_xlfn.TEXTJOIN("; ",TRUE,IF([1]DATABASE!X216&lt;0,"Negative Discount",""),IF(AND([1]DATABASE!Y216&gt;[1]DATABASE!T216,[1]DATABASE!Y216&gt;0,[1]DATABASE!T216&gt;0),"Sell Price &gt; Current",""),IF(AND(TRIM([1]DATABASE!Q216)="DEED",[1]DATABASE!AA216=""),"Deeded no PSPA Date",""),IF([1]DATABASE!E216="","Missing Typology",""),IF([1]DATABASE!AJ216="","Missing Development",""))</f>
        <v/>
      </c>
      <c r="F255" s="82" t="str">
        <f>_xlfn.TEXTJOIN("; ",TRUE,IF(AND(OR(TRIM([1]DATABASE!Q216)="RESERVED",TRIM([1]DATABASE!Q216)="PRE-RESERVED",TRIM([1]DATABASE!Q216)="PSPA"),[1]DATABASE!AA216=""),"Reserved/PSPA no PSPA Date",""),IF(AND(TRIM([1]DATABASE!Q216)="AVAILABLE",[1]DATABASE!AA216&lt;&gt;""),"Available has PSPA Date",""))</f>
        <v/>
      </c>
      <c r="G255" s="82" t="str">
        <f>_xlfn.TEXTJOIN("; ",TRUE,IF(AND([1]DATABASE!T216&lt;0.8*[1]DATABASE!S216,[1]DATABASE!T216&gt;0,[1]DATABASE!S216&gt;0),"Heavy Price Cut &gt;20%",""),IF(AND(OR(TRIM([1]DATABASE!Q216)="AVAILABLE",TRIM([1]DATABASE!Q216)="UPON REQUEST"),OR([1]DATABASE!T216="",[1]DATABASE!T216=0)),"Active Unit no Price",""),IF(AND(OR(TRIM([1]DATABASE!Q216)="AVAILABLE",TRIM([1]DATABASE!Q216)="RESERVED",TRIM([1]DATABASE!Q216)="PRE-RESERVED",TRIM([1]DATABASE!Q216)="PSPA"),[1]DATABASE!AC216=""),"Active no Owner",""),IF(OR([1]DATABASE!F216="",[1]DATABASE!F216&lt;=0),"Missing/Invalid Area",""),IF(AND([1]DATABASE!T216&gt;0,ABS([1]DATABASE!T216-[1]DATABASE!W216-[1]DATABASE!U216-[1]DATABASE!V216)&gt;1),"Price Bridge Mismatch",""))</f>
        <v/>
      </c>
      <c r="H255" t="str">
        <f t="shared" si="6"/>
        <v>PASS</v>
      </c>
      <c r="I255" s="90">
        <f>[1]DATABASE!T216</f>
        <v>1100000</v>
      </c>
      <c r="J255">
        <f>[1]DATABASE!AC216</f>
        <v>0</v>
      </c>
    </row>
    <row r="256" spans="1:10" ht="13.95" customHeight="1" x14ac:dyDescent="0.3">
      <c r="A256">
        <f>ROW([1]DATABASE!A217)</f>
        <v>217</v>
      </c>
      <c r="B256" t="str">
        <f>[1]DATABASE!AJ217</f>
        <v>Natura Village</v>
      </c>
      <c r="C256" t="str">
        <f>[1]DATABASE!C217</f>
        <v>N</v>
      </c>
      <c r="D256" t="str">
        <f>TRIM([1]DATABASE!Q217)</f>
        <v>DEED</v>
      </c>
      <c r="E256" s="82" t="str">
        <f>_xlfn.TEXTJOIN("; ",TRUE,IF([1]DATABASE!X217&lt;0,"Negative Discount",""),IF(AND([1]DATABASE!Y217&gt;[1]DATABASE!T217,[1]DATABASE!Y217&gt;0,[1]DATABASE!T217&gt;0),"Sell Price &gt; Current",""),IF(AND(TRIM([1]DATABASE!Q217)="DEED",[1]DATABASE!AA217=""),"Deeded no PSPA Date",""),IF([1]DATABASE!E217="","Missing Typology",""),IF([1]DATABASE!AJ217="","Missing Development",""))</f>
        <v/>
      </c>
      <c r="F256" s="82" t="str">
        <f>_xlfn.TEXTJOIN("; ",TRUE,IF(AND(OR(TRIM([1]DATABASE!Q217)="RESERVED",TRIM([1]DATABASE!Q217)="PRE-RESERVED",TRIM([1]DATABASE!Q217)="PSPA"),[1]DATABASE!AA217=""),"Reserved/PSPA no PSPA Date",""),IF(AND(TRIM([1]DATABASE!Q217)="AVAILABLE",[1]DATABASE!AA217&lt;&gt;""),"Available has PSPA Date",""))</f>
        <v/>
      </c>
      <c r="G256" s="82" t="str">
        <f>_xlfn.TEXTJOIN("; ",TRUE,IF(AND([1]DATABASE!T217&lt;0.8*[1]DATABASE!S217,[1]DATABASE!T217&gt;0,[1]DATABASE!S217&gt;0),"Heavy Price Cut &gt;20%",""),IF(AND(OR(TRIM([1]DATABASE!Q217)="AVAILABLE",TRIM([1]DATABASE!Q217)="UPON REQUEST"),OR([1]DATABASE!T217="",[1]DATABASE!T217=0)),"Active Unit no Price",""),IF(AND(OR(TRIM([1]DATABASE!Q217)="AVAILABLE",TRIM([1]DATABASE!Q217)="RESERVED",TRIM([1]DATABASE!Q217)="PRE-RESERVED",TRIM([1]DATABASE!Q217)="PSPA"),[1]DATABASE!AC217=""),"Active no Owner",""),IF(OR([1]DATABASE!F217="",[1]DATABASE!F217&lt;=0),"Missing/Invalid Area",""),IF(AND([1]DATABASE!T217&gt;0,ABS([1]DATABASE!T217-[1]DATABASE!W217-[1]DATABASE!U217-[1]DATABASE!V217)&gt;1),"Price Bridge Mismatch",""))</f>
        <v/>
      </c>
      <c r="H256" t="str">
        <f t="shared" si="6"/>
        <v>PASS</v>
      </c>
      <c r="I256" s="90">
        <f>[1]DATABASE!T217</f>
        <v>980000</v>
      </c>
      <c r="J256" t="str">
        <f>[1]DATABASE!AC217</f>
        <v>Ana Damásio</v>
      </c>
    </row>
    <row r="257" spans="1:10" ht="13.95" customHeight="1" x14ac:dyDescent="0.3">
      <c r="A257">
        <f>ROW([1]DATABASE!A218)</f>
        <v>218</v>
      </c>
      <c r="B257" t="str">
        <f>[1]DATABASE!AJ218</f>
        <v>Palmares</v>
      </c>
      <c r="C257" t="str">
        <f>[1]DATABASE!C218</f>
        <v>826B</v>
      </c>
      <c r="D257" t="str">
        <f>TRIM([1]DATABASE!Q218)</f>
        <v>PSPA</v>
      </c>
      <c r="E257" s="82" t="str">
        <f>_xlfn.TEXTJOIN("; ",TRUE,IF([1]DATABASE!X218&lt;0,"Negative Discount",""),IF(AND([1]DATABASE!Y218&gt;[1]DATABASE!T218,[1]DATABASE!Y218&gt;0,[1]DATABASE!T218&gt;0),"Sell Price &gt; Current",""),IF(AND(TRIM([1]DATABASE!Q218)="DEED",[1]DATABASE!AA218=""),"Deeded no PSPA Date",""),IF([1]DATABASE!E218="","Missing Typology",""),IF([1]DATABASE!AJ218="","Missing Development",""))</f>
        <v/>
      </c>
      <c r="F257" s="82" t="str">
        <f>_xlfn.TEXTJOIN("; ",TRUE,IF(AND(OR(TRIM([1]DATABASE!Q218)="RESERVED",TRIM([1]DATABASE!Q218)="PRE-RESERVED",TRIM([1]DATABASE!Q218)="PSPA"),[1]DATABASE!AA218=""),"Reserved/PSPA no PSPA Date",""),IF(AND(TRIM([1]DATABASE!Q218)="AVAILABLE",[1]DATABASE!AA218&lt;&gt;""),"Available has PSPA Date",""))</f>
        <v/>
      </c>
      <c r="G257" s="82" t="str">
        <f>_xlfn.TEXTJOIN("; ",TRUE,IF(AND([1]DATABASE!T218&lt;0.8*[1]DATABASE!S218,[1]DATABASE!T218&gt;0,[1]DATABASE!S218&gt;0),"Heavy Price Cut &gt;20%",""),IF(AND(OR(TRIM([1]DATABASE!Q218)="AVAILABLE",TRIM([1]DATABASE!Q218)="UPON REQUEST"),OR([1]DATABASE!T218="",[1]DATABASE!T218=0)),"Active Unit no Price",""),IF(AND(OR(TRIM([1]DATABASE!Q218)="AVAILABLE",TRIM([1]DATABASE!Q218)="RESERVED",TRIM([1]DATABASE!Q218)="PRE-RESERVED",TRIM([1]DATABASE!Q218)="PSPA"),[1]DATABASE!AC218=""),"Active no Owner",""),IF(OR([1]DATABASE!F218="",[1]DATABASE!F218&lt;=0),"Missing/Invalid Area",""),IF(AND([1]DATABASE!T218&gt;0,ABS([1]DATABASE!T218-[1]DATABASE!W218-[1]DATABASE!U218-[1]DATABASE!V218)&gt;1),"Price Bridge Mismatch",""))</f>
        <v>Active no Owner</v>
      </c>
      <c r="H257" t="str">
        <f t="shared" si="6"/>
        <v>REVIEW</v>
      </c>
      <c r="I257" s="90">
        <f>[1]DATABASE!T218</f>
        <v>1000000</v>
      </c>
      <c r="J257">
        <f>[1]DATABASE!AC218</f>
        <v>0</v>
      </c>
    </row>
    <row r="258" spans="1:10" ht="13.95" customHeight="1" x14ac:dyDescent="0.3">
      <c r="A258">
        <f>ROW([1]DATABASE!A219)</f>
        <v>219</v>
      </c>
      <c r="B258" t="str">
        <f>[1]DATABASE!AJ219</f>
        <v>The Nine</v>
      </c>
      <c r="C258" t="str">
        <f>[1]DATABASE!C219</f>
        <v>N</v>
      </c>
      <c r="D258" t="str">
        <f>TRIM([1]DATABASE!Q219)</f>
        <v>DEED</v>
      </c>
      <c r="E258" s="82" t="str">
        <f>_xlfn.TEXTJOIN("; ",TRUE,IF([1]DATABASE!X219&lt;0,"Negative Discount",""),IF(AND([1]DATABASE!Y219&gt;[1]DATABASE!T219,[1]DATABASE!Y219&gt;0,[1]DATABASE!T219&gt;0),"Sell Price &gt; Current",""),IF(AND(TRIM([1]DATABASE!Q219)="DEED",[1]DATABASE!AA219=""),"Deeded no PSPA Date",""),IF([1]DATABASE!E219="","Missing Typology",""),IF([1]DATABASE!AJ219="","Missing Development",""))</f>
        <v/>
      </c>
      <c r="F258" s="82" t="str">
        <f>_xlfn.TEXTJOIN("; ",TRUE,IF(AND(OR(TRIM([1]DATABASE!Q219)="RESERVED",TRIM([1]DATABASE!Q219)="PRE-RESERVED",TRIM([1]DATABASE!Q219)="PSPA"),[1]DATABASE!AA219=""),"Reserved/PSPA no PSPA Date",""),IF(AND(TRIM([1]DATABASE!Q219)="AVAILABLE",[1]DATABASE!AA219&lt;&gt;""),"Available has PSPA Date",""))</f>
        <v/>
      </c>
      <c r="G258" s="82" t="str">
        <f>_xlfn.TEXTJOIN("; ",TRUE,IF(AND([1]DATABASE!T219&lt;0.8*[1]DATABASE!S219,[1]DATABASE!T219&gt;0,[1]DATABASE!S219&gt;0),"Heavy Price Cut &gt;20%",""),IF(AND(OR(TRIM([1]DATABASE!Q219)="AVAILABLE",TRIM([1]DATABASE!Q219)="UPON REQUEST"),OR([1]DATABASE!T219="",[1]DATABASE!T219=0)),"Active Unit no Price",""),IF(AND(OR(TRIM([1]DATABASE!Q219)="AVAILABLE",TRIM([1]DATABASE!Q219)="RESERVED",TRIM([1]DATABASE!Q219)="PRE-RESERVED",TRIM([1]DATABASE!Q219)="PSPA"),[1]DATABASE!AC219=""),"Active no Owner",""),IF(OR([1]DATABASE!F219="",[1]DATABASE!F219&lt;=0),"Missing/Invalid Area",""),IF(AND([1]DATABASE!T219&gt;0,ABS([1]DATABASE!T219-[1]DATABASE!W219-[1]DATABASE!U219-[1]DATABASE!V219)&gt;1),"Price Bridge Mismatch",""))</f>
        <v/>
      </c>
      <c r="H258" t="str">
        <f t="shared" si="6"/>
        <v>PASS</v>
      </c>
      <c r="I258" s="90">
        <f>[1]DATABASE!T219</f>
        <v>870000</v>
      </c>
      <c r="J258" t="str">
        <f>[1]DATABASE!AC219</f>
        <v>Ana Damásio</v>
      </c>
    </row>
    <row r="259" spans="1:10" ht="13.95" customHeight="1" x14ac:dyDescent="0.3">
      <c r="A259">
        <f>ROW([1]DATABASE!A220)</f>
        <v>220</v>
      </c>
      <c r="B259" t="str">
        <f>[1]DATABASE!AJ220</f>
        <v>VM PARQUE</v>
      </c>
      <c r="C259" t="str">
        <f>[1]DATABASE!C220</f>
        <v>N</v>
      </c>
      <c r="D259" t="str">
        <f>TRIM([1]DATABASE!Q220)</f>
        <v>DEED</v>
      </c>
      <c r="E259" s="82" t="str">
        <f>_xlfn.TEXTJOIN("; ",TRUE,IF([1]DATABASE!X220&lt;0,"Negative Discount",""),IF(AND([1]DATABASE!Y220&gt;[1]DATABASE!T220,[1]DATABASE!Y220&gt;0,[1]DATABASE!T220&gt;0),"Sell Price &gt; Current",""),IF(AND(TRIM([1]DATABASE!Q220)="DEED",[1]DATABASE!AA220=""),"Deeded no PSPA Date",""),IF([1]DATABASE!E220="","Missing Typology",""),IF([1]DATABASE!AJ220="","Missing Development",""))</f>
        <v/>
      </c>
      <c r="F259" s="82" t="str">
        <f>_xlfn.TEXTJOIN("; ",TRUE,IF(AND(OR(TRIM([1]DATABASE!Q220)="RESERVED",TRIM([1]DATABASE!Q220)="PRE-RESERVED",TRIM([1]DATABASE!Q220)="PSPA"),[1]DATABASE!AA220=""),"Reserved/PSPA no PSPA Date",""),IF(AND(TRIM([1]DATABASE!Q220)="AVAILABLE",[1]DATABASE!AA220&lt;&gt;""),"Available has PSPA Date",""))</f>
        <v/>
      </c>
      <c r="G259" s="82" t="str">
        <f>_xlfn.TEXTJOIN("; ",TRUE,IF(AND([1]DATABASE!T220&lt;0.8*[1]DATABASE!S220,[1]DATABASE!T220&gt;0,[1]DATABASE!S220&gt;0),"Heavy Price Cut &gt;20%",""),IF(AND(OR(TRIM([1]DATABASE!Q220)="AVAILABLE",TRIM([1]DATABASE!Q220)="UPON REQUEST"),OR([1]DATABASE!T220="",[1]DATABASE!T220=0)),"Active Unit no Price",""),IF(AND(OR(TRIM([1]DATABASE!Q220)="AVAILABLE",TRIM([1]DATABASE!Q220)="RESERVED",TRIM([1]DATABASE!Q220)="PRE-RESERVED",TRIM([1]DATABASE!Q220)="PSPA"),[1]DATABASE!AC220=""),"Active no Owner",""),IF(OR([1]DATABASE!F220="",[1]DATABASE!F220&lt;=0),"Missing/Invalid Area",""),IF(AND([1]DATABASE!T220&gt;0,ABS([1]DATABASE!T220-[1]DATABASE!W220-[1]DATABASE!U220-[1]DATABASE!V220)&gt;1),"Price Bridge Mismatch",""))</f>
        <v/>
      </c>
      <c r="H259" t="str">
        <f t="shared" si="6"/>
        <v>PASS</v>
      </c>
      <c r="I259" s="90">
        <f>[1]DATABASE!T220</f>
        <v>1100000</v>
      </c>
      <c r="J259">
        <f>[1]DATABASE!AC220</f>
        <v>0</v>
      </c>
    </row>
    <row r="260" spans="1:10" ht="13.95" customHeight="1" x14ac:dyDescent="0.3">
      <c r="A260">
        <f>ROW([1]DATABASE!A221)</f>
        <v>221</v>
      </c>
      <c r="B260" t="str">
        <f>[1]DATABASE!AJ221</f>
        <v>Terracota</v>
      </c>
      <c r="C260" t="str">
        <f>[1]DATABASE!C221</f>
        <v>O</v>
      </c>
      <c r="D260" t="str">
        <f>TRIM([1]DATABASE!Q221)</f>
        <v>PSPA</v>
      </c>
      <c r="E260" s="82" t="str">
        <f>_xlfn.TEXTJOIN("; ",TRUE,IF([1]DATABASE!X221&lt;0,"Negative Discount",""),IF(AND([1]DATABASE!Y221&gt;[1]DATABASE!T221,[1]DATABASE!Y221&gt;0,[1]DATABASE!T221&gt;0),"Sell Price &gt; Current",""),IF(AND(TRIM([1]DATABASE!Q221)="DEED",[1]DATABASE!AA221=""),"Deeded no PSPA Date",""),IF([1]DATABASE!E221="","Missing Typology",""),IF([1]DATABASE!AJ221="","Missing Development",""))</f>
        <v/>
      </c>
      <c r="F260" s="82" t="str">
        <f>_xlfn.TEXTJOIN("; ",TRUE,IF(AND(OR(TRIM([1]DATABASE!Q221)="RESERVED",TRIM([1]DATABASE!Q221)="PRE-RESERVED",TRIM([1]DATABASE!Q221)="PSPA"),[1]DATABASE!AA221=""),"Reserved/PSPA no PSPA Date",""),IF(AND(TRIM([1]DATABASE!Q221)="AVAILABLE",[1]DATABASE!AA221&lt;&gt;""),"Available has PSPA Date",""))</f>
        <v/>
      </c>
      <c r="G260" s="82" t="str">
        <f>_xlfn.TEXTJOIN("; ",TRUE,IF(AND([1]DATABASE!T221&lt;0.8*[1]DATABASE!S221,[1]DATABASE!T221&gt;0,[1]DATABASE!S221&gt;0),"Heavy Price Cut &gt;20%",""),IF(AND(OR(TRIM([1]DATABASE!Q221)="AVAILABLE",TRIM([1]DATABASE!Q221)="UPON REQUEST"),OR([1]DATABASE!T221="",[1]DATABASE!T221=0)),"Active Unit no Price",""),IF(AND(OR(TRIM([1]DATABASE!Q221)="AVAILABLE",TRIM([1]DATABASE!Q221)="RESERVED",TRIM([1]DATABASE!Q221)="PRE-RESERVED",TRIM([1]DATABASE!Q221)="PSPA"),[1]DATABASE!AC221=""),"Active no Owner",""),IF(OR([1]DATABASE!F221="",[1]DATABASE!F221&lt;=0),"Missing/Invalid Area",""),IF(AND([1]DATABASE!T221&gt;0,ABS([1]DATABASE!T221-[1]DATABASE!W221-[1]DATABASE!U221-[1]DATABASE!V221)&gt;1),"Price Bridge Mismatch",""))</f>
        <v/>
      </c>
      <c r="H260" t="str">
        <f t="shared" si="6"/>
        <v>PASS</v>
      </c>
      <c r="I260" s="90">
        <f>[1]DATABASE!T221</f>
        <v>440000</v>
      </c>
      <c r="J260" t="str">
        <f>[1]DATABASE!AC221</f>
        <v>Ana Damásio</v>
      </c>
    </row>
    <row r="261" spans="1:10" ht="13.95" customHeight="1" x14ac:dyDescent="0.3">
      <c r="A261">
        <f>ROW([1]DATABASE!A222)</f>
        <v>222</v>
      </c>
      <c r="B261" t="str">
        <f>[1]DATABASE!AJ222</f>
        <v>Zestia</v>
      </c>
      <c r="C261" t="str">
        <f>[1]DATABASE!C222</f>
        <v>O</v>
      </c>
      <c r="D261" t="str">
        <f>TRIM([1]DATABASE!Q222)</f>
        <v>PSPA</v>
      </c>
      <c r="E261" s="82" t="str">
        <f>_xlfn.TEXTJOIN("; ",TRUE,IF([1]DATABASE!X222&lt;0,"Negative Discount",""),IF(AND([1]DATABASE!Y222&gt;[1]DATABASE!T222,[1]DATABASE!Y222&gt;0,[1]DATABASE!T222&gt;0),"Sell Price &gt; Current",""),IF(AND(TRIM([1]DATABASE!Q222)="DEED",[1]DATABASE!AA222=""),"Deeded no PSPA Date",""),IF([1]DATABASE!E222="","Missing Typology",""),IF([1]DATABASE!AJ222="","Missing Development",""))</f>
        <v/>
      </c>
      <c r="F261" s="82" t="str">
        <f>_xlfn.TEXTJOIN("; ",TRUE,IF(AND(OR(TRIM([1]DATABASE!Q222)="RESERVED",TRIM([1]DATABASE!Q222)="PRE-RESERVED",TRIM([1]DATABASE!Q222)="PSPA"),[1]DATABASE!AA222=""),"Reserved/PSPA no PSPA Date",""),IF(AND(TRIM([1]DATABASE!Q222)="AVAILABLE",[1]DATABASE!AA222&lt;&gt;""),"Available has PSPA Date",""))</f>
        <v/>
      </c>
      <c r="G261" s="82" t="str">
        <f>_xlfn.TEXTJOIN("; ",TRUE,IF(AND([1]DATABASE!T222&lt;0.8*[1]DATABASE!S222,[1]DATABASE!T222&gt;0,[1]DATABASE!S222&gt;0),"Heavy Price Cut &gt;20%",""),IF(AND(OR(TRIM([1]DATABASE!Q222)="AVAILABLE",TRIM([1]DATABASE!Q222)="UPON REQUEST"),OR([1]DATABASE!T222="",[1]DATABASE!T222=0)),"Active Unit no Price",""),IF(AND(OR(TRIM([1]DATABASE!Q222)="AVAILABLE",TRIM([1]DATABASE!Q222)="RESERVED",TRIM([1]DATABASE!Q222)="PRE-RESERVED",TRIM([1]DATABASE!Q222)="PSPA"),[1]DATABASE!AC222=""),"Active no Owner",""),IF(OR([1]DATABASE!F222="",[1]DATABASE!F222&lt;=0),"Missing/Invalid Area",""),IF(AND([1]DATABASE!T222&gt;0,ABS([1]DATABASE!T222-[1]DATABASE!W222-[1]DATABASE!U222-[1]DATABASE!V222)&gt;1),"Price Bridge Mismatch",""))</f>
        <v/>
      </c>
      <c r="H261" t="str">
        <f t="shared" si="6"/>
        <v>PASS</v>
      </c>
      <c r="I261" s="90">
        <f>[1]DATABASE!T222</f>
        <v>640000</v>
      </c>
      <c r="J261" t="str">
        <f>[1]DATABASE!AC222</f>
        <v>Ana Damásio</v>
      </c>
    </row>
    <row r="262" spans="1:10" ht="13.95" customHeight="1" x14ac:dyDescent="0.3">
      <c r="A262">
        <f>ROW([1]DATABASE!A223)</f>
        <v>223</v>
      </c>
      <c r="B262" t="str">
        <f>[1]DATABASE!AJ223</f>
        <v>The Nine</v>
      </c>
      <c r="C262" t="str">
        <f>[1]DATABASE!C223</f>
        <v>O</v>
      </c>
      <c r="D262" t="str">
        <f>TRIM([1]DATABASE!Q223)</f>
        <v>DEED</v>
      </c>
      <c r="E262" s="82" t="str">
        <f>_xlfn.TEXTJOIN("; ",TRUE,IF([1]DATABASE!X223&lt;0,"Negative Discount",""),IF(AND([1]DATABASE!Y223&gt;[1]DATABASE!T223,[1]DATABASE!Y223&gt;0,[1]DATABASE!T223&gt;0),"Sell Price &gt; Current",""),IF(AND(TRIM([1]DATABASE!Q223)="DEED",[1]DATABASE!AA223=""),"Deeded no PSPA Date",""),IF([1]DATABASE!E223="","Missing Typology",""),IF([1]DATABASE!AJ223="","Missing Development",""))</f>
        <v/>
      </c>
      <c r="F262" s="82" t="str">
        <f>_xlfn.TEXTJOIN("; ",TRUE,IF(AND(OR(TRIM([1]DATABASE!Q223)="RESERVED",TRIM([1]DATABASE!Q223)="PRE-RESERVED",TRIM([1]DATABASE!Q223)="PSPA"),[1]DATABASE!AA223=""),"Reserved/PSPA no PSPA Date",""),IF(AND(TRIM([1]DATABASE!Q223)="AVAILABLE",[1]DATABASE!AA223&lt;&gt;""),"Available has PSPA Date",""))</f>
        <v/>
      </c>
      <c r="G262" s="82" t="str">
        <f>_xlfn.TEXTJOIN("; ",TRUE,IF(AND([1]DATABASE!T223&lt;0.8*[1]DATABASE!S223,[1]DATABASE!T223&gt;0,[1]DATABASE!S223&gt;0),"Heavy Price Cut &gt;20%",""),IF(AND(OR(TRIM([1]DATABASE!Q223)="AVAILABLE",TRIM([1]DATABASE!Q223)="UPON REQUEST"),OR([1]DATABASE!T223="",[1]DATABASE!T223=0)),"Active Unit no Price",""),IF(AND(OR(TRIM([1]DATABASE!Q223)="AVAILABLE",TRIM([1]DATABASE!Q223)="RESERVED",TRIM([1]DATABASE!Q223)="PRE-RESERVED",TRIM([1]DATABASE!Q223)="PSPA"),[1]DATABASE!AC223=""),"Active no Owner",""),IF(OR([1]DATABASE!F223="",[1]DATABASE!F223&lt;=0),"Missing/Invalid Area",""),IF(AND([1]DATABASE!T223&gt;0,ABS([1]DATABASE!T223-[1]DATABASE!W223-[1]DATABASE!U223-[1]DATABASE!V223)&gt;1),"Price Bridge Mismatch",""))</f>
        <v/>
      </c>
      <c r="H262" t="str">
        <f t="shared" si="6"/>
        <v>PASS</v>
      </c>
      <c r="I262" s="90">
        <f>[1]DATABASE!T223</f>
        <v>810000</v>
      </c>
      <c r="J262" t="str">
        <f>[1]DATABASE!AC223</f>
        <v>Ana Damásio</v>
      </c>
    </row>
    <row r="263" spans="1:10" ht="13.95" customHeight="1" x14ac:dyDescent="0.3">
      <c r="A263">
        <f>ROW([1]DATABASE!A224)</f>
        <v>224</v>
      </c>
      <c r="B263" t="str">
        <f>[1]DATABASE!AJ224</f>
        <v>VM PARQUE</v>
      </c>
      <c r="C263" t="str">
        <f>[1]DATABASE!C224</f>
        <v>O</v>
      </c>
      <c r="D263" t="str">
        <f>TRIM([1]DATABASE!Q224)</f>
        <v>DEED</v>
      </c>
      <c r="E263" s="82" t="str">
        <f>_xlfn.TEXTJOIN("; ",TRUE,IF([1]DATABASE!X224&lt;0,"Negative Discount",""),IF(AND([1]DATABASE!Y224&gt;[1]DATABASE!T224,[1]DATABASE!Y224&gt;0,[1]DATABASE!T224&gt;0),"Sell Price &gt; Current",""),IF(AND(TRIM([1]DATABASE!Q224)="DEED",[1]DATABASE!AA224=""),"Deeded no PSPA Date",""),IF([1]DATABASE!E224="","Missing Typology",""),IF([1]DATABASE!AJ224="","Missing Development",""))</f>
        <v/>
      </c>
      <c r="F263" s="82" t="str">
        <f>_xlfn.TEXTJOIN("; ",TRUE,IF(AND(OR(TRIM([1]DATABASE!Q224)="RESERVED",TRIM([1]DATABASE!Q224)="PRE-RESERVED",TRIM([1]DATABASE!Q224)="PSPA"),[1]DATABASE!AA224=""),"Reserved/PSPA no PSPA Date",""),IF(AND(TRIM([1]DATABASE!Q224)="AVAILABLE",[1]DATABASE!AA224&lt;&gt;""),"Available has PSPA Date",""))</f>
        <v/>
      </c>
      <c r="G263" s="82" t="str">
        <f>_xlfn.TEXTJOIN("; ",TRUE,IF(AND([1]DATABASE!T224&lt;0.8*[1]DATABASE!S224,[1]DATABASE!T224&gt;0,[1]DATABASE!S224&gt;0),"Heavy Price Cut &gt;20%",""),IF(AND(OR(TRIM([1]DATABASE!Q224)="AVAILABLE",TRIM([1]DATABASE!Q224)="UPON REQUEST"),OR([1]DATABASE!T224="",[1]DATABASE!T224=0)),"Active Unit no Price",""),IF(AND(OR(TRIM([1]DATABASE!Q224)="AVAILABLE",TRIM([1]DATABASE!Q224)="RESERVED",TRIM([1]DATABASE!Q224)="PRE-RESERVED",TRIM([1]DATABASE!Q224)="PSPA"),[1]DATABASE!AC224=""),"Active no Owner",""),IF(OR([1]DATABASE!F224="",[1]DATABASE!F224&lt;=0),"Missing/Invalid Area",""),IF(AND([1]DATABASE!T224&gt;0,ABS([1]DATABASE!T224-[1]DATABASE!W224-[1]DATABASE!U224-[1]DATABASE!V224)&gt;1),"Price Bridge Mismatch",""))</f>
        <v/>
      </c>
      <c r="H263" t="str">
        <f t="shared" si="6"/>
        <v>PASS</v>
      </c>
      <c r="I263" s="90">
        <f>[1]DATABASE!T224</f>
        <v>1180000</v>
      </c>
      <c r="J263">
        <f>[1]DATABASE!AC224</f>
        <v>0</v>
      </c>
    </row>
    <row r="264" spans="1:10" ht="13.95" customHeight="1" x14ac:dyDescent="0.3">
      <c r="A264">
        <f>ROW([1]DATABASE!A225)</f>
        <v>225</v>
      </c>
      <c r="B264" t="str">
        <f>[1]DATABASE!AJ225</f>
        <v>Palmares</v>
      </c>
      <c r="C264" t="str">
        <f>[1]DATABASE!C225</f>
        <v>827B</v>
      </c>
      <c r="D264" t="str">
        <f>TRIM([1]DATABASE!Q225)</f>
        <v>PSPA</v>
      </c>
      <c r="E264" s="82" t="str">
        <f>_xlfn.TEXTJOIN("; ",TRUE,IF([1]DATABASE!X225&lt;0,"Negative Discount",""),IF(AND([1]DATABASE!Y225&gt;[1]DATABASE!T225,[1]DATABASE!Y225&gt;0,[1]DATABASE!T225&gt;0),"Sell Price &gt; Current",""),IF(AND(TRIM([1]DATABASE!Q225)="DEED",[1]DATABASE!AA225=""),"Deeded no PSPA Date",""),IF([1]DATABASE!E225="","Missing Typology",""),IF([1]DATABASE!AJ225="","Missing Development",""))</f>
        <v/>
      </c>
      <c r="F264" s="82" t="str">
        <f>_xlfn.TEXTJOIN("; ",TRUE,IF(AND(OR(TRIM([1]DATABASE!Q225)="RESERVED",TRIM([1]DATABASE!Q225)="PRE-RESERVED",TRIM([1]DATABASE!Q225)="PSPA"),[1]DATABASE!AA225=""),"Reserved/PSPA no PSPA Date",""),IF(AND(TRIM([1]DATABASE!Q225)="AVAILABLE",[1]DATABASE!AA225&lt;&gt;""),"Available has PSPA Date",""))</f>
        <v/>
      </c>
      <c r="G264" s="82" t="str">
        <f>_xlfn.TEXTJOIN("; ",TRUE,IF(AND([1]DATABASE!T225&lt;0.8*[1]DATABASE!S225,[1]DATABASE!T225&gt;0,[1]DATABASE!S225&gt;0),"Heavy Price Cut &gt;20%",""),IF(AND(OR(TRIM([1]DATABASE!Q225)="AVAILABLE",TRIM([1]DATABASE!Q225)="UPON REQUEST"),OR([1]DATABASE!T225="",[1]DATABASE!T225=0)),"Active Unit no Price",""),IF(AND(OR(TRIM([1]DATABASE!Q225)="AVAILABLE",TRIM([1]DATABASE!Q225)="RESERVED",TRIM([1]DATABASE!Q225)="PRE-RESERVED",TRIM([1]DATABASE!Q225)="PSPA"),[1]DATABASE!AC225=""),"Active no Owner",""),IF(OR([1]DATABASE!F225="",[1]DATABASE!F225&lt;=0),"Missing/Invalid Area",""),IF(AND([1]DATABASE!T225&gt;0,ABS([1]DATABASE!T225-[1]DATABASE!W225-[1]DATABASE!U225-[1]DATABASE!V225)&gt;1),"Price Bridge Mismatch",""))</f>
        <v>Active no Owner</v>
      </c>
      <c r="H264" t="str">
        <f t="shared" si="6"/>
        <v>REVIEW</v>
      </c>
      <c r="I264" s="90">
        <f>[1]DATABASE!T225</f>
        <v>840000</v>
      </c>
      <c r="J264">
        <f>[1]DATABASE!AC225</f>
        <v>0</v>
      </c>
    </row>
    <row r="265" spans="1:10" ht="13.95" customHeight="1" x14ac:dyDescent="0.3">
      <c r="A265">
        <f>ROW([1]DATABASE!A226)</f>
        <v>226</v>
      </c>
      <c r="B265" t="str">
        <f>[1]DATABASE!AJ226</f>
        <v>Terracota</v>
      </c>
      <c r="C265" t="str">
        <f>[1]DATABASE!C226</f>
        <v>P</v>
      </c>
      <c r="D265" t="str">
        <f>TRIM([1]DATABASE!Q226)</f>
        <v>PSPA</v>
      </c>
      <c r="E265" s="82" t="str">
        <f>_xlfn.TEXTJOIN("; ",TRUE,IF([1]DATABASE!X226&lt;0,"Negative Discount",""),IF(AND([1]DATABASE!Y226&gt;[1]DATABASE!T226,[1]DATABASE!Y226&gt;0,[1]DATABASE!T226&gt;0),"Sell Price &gt; Current",""),IF(AND(TRIM([1]DATABASE!Q226)="DEED",[1]DATABASE!AA226=""),"Deeded no PSPA Date",""),IF([1]DATABASE!E226="","Missing Typology",""),IF([1]DATABASE!AJ226="","Missing Development",""))</f>
        <v/>
      </c>
      <c r="F265" s="82" t="str">
        <f>_xlfn.TEXTJOIN("; ",TRUE,IF(AND(OR(TRIM([1]DATABASE!Q226)="RESERVED",TRIM([1]DATABASE!Q226)="PRE-RESERVED",TRIM([1]DATABASE!Q226)="PSPA"),[1]DATABASE!AA226=""),"Reserved/PSPA no PSPA Date",""),IF(AND(TRIM([1]DATABASE!Q226)="AVAILABLE",[1]DATABASE!AA226&lt;&gt;""),"Available has PSPA Date",""))</f>
        <v/>
      </c>
      <c r="G265" s="82" t="str">
        <f>_xlfn.TEXTJOIN("; ",TRUE,IF(AND([1]DATABASE!T226&lt;0.8*[1]DATABASE!S226,[1]DATABASE!T226&gt;0,[1]DATABASE!S226&gt;0),"Heavy Price Cut &gt;20%",""),IF(AND(OR(TRIM([1]DATABASE!Q226)="AVAILABLE",TRIM([1]DATABASE!Q226)="UPON REQUEST"),OR([1]DATABASE!T226="",[1]DATABASE!T226=0)),"Active Unit no Price",""),IF(AND(OR(TRIM([1]DATABASE!Q226)="AVAILABLE",TRIM([1]DATABASE!Q226)="RESERVED",TRIM([1]DATABASE!Q226)="PRE-RESERVED",TRIM([1]DATABASE!Q226)="PSPA"),[1]DATABASE!AC226=""),"Active no Owner",""),IF(OR([1]DATABASE!F226="",[1]DATABASE!F226&lt;=0),"Missing/Invalid Area",""),IF(AND([1]DATABASE!T226&gt;0,ABS([1]DATABASE!T226-[1]DATABASE!W226-[1]DATABASE!U226-[1]DATABASE!V226)&gt;1),"Price Bridge Mismatch",""))</f>
        <v/>
      </c>
      <c r="H265" t="str">
        <f t="shared" si="6"/>
        <v>PASS</v>
      </c>
      <c r="I265" s="90">
        <f>[1]DATABASE!T226</f>
        <v>437000</v>
      </c>
      <c r="J265" t="str">
        <f>[1]DATABASE!AC226</f>
        <v>Ana Damásio</v>
      </c>
    </row>
    <row r="266" spans="1:10" ht="13.95" customHeight="1" x14ac:dyDescent="0.3">
      <c r="A266">
        <f>ROW([1]DATABASE!A227)</f>
        <v>227</v>
      </c>
      <c r="B266" t="str">
        <f>[1]DATABASE!AJ227</f>
        <v>Palmares</v>
      </c>
      <c r="C266" t="str">
        <f>[1]DATABASE!C227</f>
        <v>828B</v>
      </c>
      <c r="D266" t="str">
        <f>TRIM([1]DATABASE!Q227)</f>
        <v>PSPA</v>
      </c>
      <c r="E266" s="82" t="str">
        <f>_xlfn.TEXTJOIN("; ",TRUE,IF([1]DATABASE!X227&lt;0,"Negative Discount",""),IF(AND([1]DATABASE!Y227&gt;[1]DATABASE!T227,[1]DATABASE!Y227&gt;0,[1]DATABASE!T227&gt;0),"Sell Price &gt; Current",""),IF(AND(TRIM([1]DATABASE!Q227)="DEED",[1]DATABASE!AA227=""),"Deeded no PSPA Date",""),IF([1]DATABASE!E227="","Missing Typology",""),IF([1]DATABASE!AJ227="","Missing Development",""))</f>
        <v/>
      </c>
      <c r="F266" s="82" t="str">
        <f>_xlfn.TEXTJOIN("; ",TRUE,IF(AND(OR(TRIM([1]DATABASE!Q227)="RESERVED",TRIM([1]DATABASE!Q227)="PRE-RESERVED",TRIM([1]DATABASE!Q227)="PSPA"),[1]DATABASE!AA227=""),"Reserved/PSPA no PSPA Date",""),IF(AND(TRIM([1]DATABASE!Q227)="AVAILABLE",[1]DATABASE!AA227&lt;&gt;""),"Available has PSPA Date",""))</f>
        <v/>
      </c>
      <c r="G266" s="82" t="str">
        <f>_xlfn.TEXTJOIN("; ",TRUE,IF(AND([1]DATABASE!T227&lt;0.8*[1]DATABASE!S227,[1]DATABASE!T227&gt;0,[1]DATABASE!S227&gt;0),"Heavy Price Cut &gt;20%",""),IF(AND(OR(TRIM([1]DATABASE!Q227)="AVAILABLE",TRIM([1]DATABASE!Q227)="UPON REQUEST"),OR([1]DATABASE!T227="",[1]DATABASE!T227=0)),"Active Unit no Price",""),IF(AND(OR(TRIM([1]DATABASE!Q227)="AVAILABLE",TRIM([1]DATABASE!Q227)="RESERVED",TRIM([1]DATABASE!Q227)="PRE-RESERVED",TRIM([1]DATABASE!Q227)="PSPA"),[1]DATABASE!AC227=""),"Active no Owner",""),IF(OR([1]DATABASE!F227="",[1]DATABASE!F227&lt;=0),"Missing/Invalid Area",""),IF(AND([1]DATABASE!T227&gt;0,ABS([1]DATABASE!T227-[1]DATABASE!W227-[1]DATABASE!U227-[1]DATABASE!V227)&gt;1),"Price Bridge Mismatch",""))</f>
        <v>Active no Owner</v>
      </c>
      <c r="H266" t="str">
        <f t="shared" si="6"/>
        <v>REVIEW</v>
      </c>
      <c r="I266" s="90">
        <f>[1]DATABASE!T227</f>
        <v>900000</v>
      </c>
      <c r="J266">
        <f>[1]DATABASE!AC227</f>
        <v>0</v>
      </c>
    </row>
    <row r="267" spans="1:10" ht="13.95" customHeight="1" x14ac:dyDescent="0.3">
      <c r="A267">
        <f>ROW([1]DATABASE!A228)</f>
        <v>228</v>
      </c>
      <c r="B267" t="str">
        <f>[1]DATABASE!AJ228</f>
        <v>Palmares</v>
      </c>
      <c r="C267" t="str">
        <f>[1]DATABASE!C228</f>
        <v>829B</v>
      </c>
      <c r="D267" t="str">
        <f>TRIM([1]DATABASE!Q228)</f>
        <v>PSPA</v>
      </c>
      <c r="E267" s="82" t="str">
        <f>_xlfn.TEXTJOIN("; ",TRUE,IF([1]DATABASE!X228&lt;0,"Negative Discount",""),IF(AND([1]DATABASE!Y228&gt;[1]DATABASE!T228,[1]DATABASE!Y228&gt;0,[1]DATABASE!T228&gt;0),"Sell Price &gt; Current",""),IF(AND(TRIM([1]DATABASE!Q228)="DEED",[1]DATABASE!AA228=""),"Deeded no PSPA Date",""),IF([1]DATABASE!E228="","Missing Typology",""),IF([1]DATABASE!AJ228="","Missing Development",""))</f>
        <v/>
      </c>
      <c r="F267" s="82" t="str">
        <f>_xlfn.TEXTJOIN("; ",TRUE,IF(AND(OR(TRIM([1]DATABASE!Q228)="RESERVED",TRIM([1]DATABASE!Q228)="PRE-RESERVED",TRIM([1]DATABASE!Q228)="PSPA"),[1]DATABASE!AA228=""),"Reserved/PSPA no PSPA Date",""),IF(AND(TRIM([1]DATABASE!Q228)="AVAILABLE",[1]DATABASE!AA228&lt;&gt;""),"Available has PSPA Date",""))</f>
        <v/>
      </c>
      <c r="G267" s="82" t="str">
        <f>_xlfn.TEXTJOIN("; ",TRUE,IF(AND([1]DATABASE!T228&lt;0.8*[1]DATABASE!S228,[1]DATABASE!T228&gt;0,[1]DATABASE!S228&gt;0),"Heavy Price Cut &gt;20%",""),IF(AND(OR(TRIM([1]DATABASE!Q228)="AVAILABLE",TRIM([1]DATABASE!Q228)="UPON REQUEST"),OR([1]DATABASE!T228="",[1]DATABASE!T228=0)),"Active Unit no Price",""),IF(AND(OR(TRIM([1]DATABASE!Q228)="AVAILABLE",TRIM([1]DATABASE!Q228)="RESERVED",TRIM([1]DATABASE!Q228)="PRE-RESERVED",TRIM([1]DATABASE!Q228)="PSPA"),[1]DATABASE!AC228=""),"Active no Owner",""),IF(OR([1]DATABASE!F228="",[1]DATABASE!F228&lt;=0),"Missing/Invalid Area",""),IF(AND([1]DATABASE!T228&gt;0,ABS([1]DATABASE!T228-[1]DATABASE!W228-[1]DATABASE!U228-[1]DATABASE!V228)&gt;1),"Price Bridge Mismatch",""))</f>
        <v>Active no Owner</v>
      </c>
      <c r="H267" t="str">
        <f t="shared" si="6"/>
        <v>REVIEW</v>
      </c>
      <c r="I267" s="90">
        <f>[1]DATABASE!T228</f>
        <v>1315000</v>
      </c>
      <c r="J267">
        <f>[1]DATABASE!AC228</f>
        <v>0</v>
      </c>
    </row>
    <row r="268" spans="1:10" ht="13.95" customHeight="1" x14ac:dyDescent="0.3">
      <c r="A268">
        <f>ROW([1]DATABASE!A229)</f>
        <v>229</v>
      </c>
      <c r="B268" t="str">
        <f>[1]DATABASE!AJ229</f>
        <v>The Nine</v>
      </c>
      <c r="C268" t="str">
        <f>[1]DATABASE!C229</f>
        <v>P</v>
      </c>
      <c r="D268" t="str">
        <f>TRIM([1]DATABASE!Q229)</f>
        <v>DEED</v>
      </c>
      <c r="E268" s="82" t="str">
        <f>_xlfn.TEXTJOIN("; ",TRUE,IF([1]DATABASE!X229&lt;0,"Negative Discount",""),IF(AND([1]DATABASE!Y229&gt;[1]DATABASE!T229,[1]DATABASE!Y229&gt;0,[1]DATABASE!T229&gt;0),"Sell Price &gt; Current",""),IF(AND(TRIM([1]DATABASE!Q229)="DEED",[1]DATABASE!AA229=""),"Deeded no PSPA Date",""),IF([1]DATABASE!E229="","Missing Typology",""),IF([1]DATABASE!AJ229="","Missing Development",""))</f>
        <v/>
      </c>
      <c r="F268" s="82" t="str">
        <f>_xlfn.TEXTJOIN("; ",TRUE,IF(AND(OR(TRIM([1]DATABASE!Q229)="RESERVED",TRIM([1]DATABASE!Q229)="PRE-RESERVED",TRIM([1]DATABASE!Q229)="PSPA"),[1]DATABASE!AA229=""),"Reserved/PSPA no PSPA Date",""),IF(AND(TRIM([1]DATABASE!Q229)="AVAILABLE",[1]DATABASE!AA229&lt;&gt;""),"Available has PSPA Date",""))</f>
        <v/>
      </c>
      <c r="G268" s="82" t="str">
        <f>_xlfn.TEXTJOIN("; ",TRUE,IF(AND([1]DATABASE!T229&lt;0.8*[1]DATABASE!S229,[1]DATABASE!T229&gt;0,[1]DATABASE!S229&gt;0),"Heavy Price Cut &gt;20%",""),IF(AND(OR(TRIM([1]DATABASE!Q229)="AVAILABLE",TRIM([1]DATABASE!Q229)="UPON REQUEST"),OR([1]DATABASE!T229="",[1]DATABASE!T229=0)),"Active Unit no Price",""),IF(AND(OR(TRIM([1]DATABASE!Q229)="AVAILABLE",TRIM([1]DATABASE!Q229)="RESERVED",TRIM([1]DATABASE!Q229)="PRE-RESERVED",TRIM([1]DATABASE!Q229)="PSPA"),[1]DATABASE!AC229=""),"Active no Owner",""),IF(OR([1]DATABASE!F229="",[1]DATABASE!F229&lt;=0),"Missing/Invalid Area",""),IF(AND([1]DATABASE!T229&gt;0,ABS([1]DATABASE!T229-[1]DATABASE!W229-[1]DATABASE!U229-[1]DATABASE!V229)&gt;1),"Price Bridge Mismatch",""))</f>
        <v/>
      </c>
      <c r="H268" t="str">
        <f t="shared" si="6"/>
        <v>PASS</v>
      </c>
      <c r="I268" s="90">
        <f>[1]DATABASE!T229</f>
        <v>570000</v>
      </c>
      <c r="J268" t="str">
        <f>[1]DATABASE!AC229</f>
        <v>Ana Damásio</v>
      </c>
    </row>
    <row r="269" spans="1:10" ht="13.95" customHeight="1" x14ac:dyDescent="0.3">
      <c r="A269">
        <f>ROW([1]DATABASE!A230)</f>
        <v>230</v>
      </c>
      <c r="B269" t="str">
        <f>[1]DATABASE!AJ230</f>
        <v>VM PARQUE</v>
      </c>
      <c r="C269" t="str">
        <f>[1]DATABASE!C230</f>
        <v>P</v>
      </c>
      <c r="D269" t="str">
        <f>TRIM([1]DATABASE!Q230)</f>
        <v>DEED</v>
      </c>
      <c r="E269" s="82" t="str">
        <f>_xlfn.TEXTJOIN("; ",TRUE,IF([1]DATABASE!X230&lt;0,"Negative Discount",""),IF(AND([1]DATABASE!Y230&gt;[1]DATABASE!T230,[1]DATABASE!Y230&gt;0,[1]DATABASE!T230&gt;0),"Sell Price &gt; Current",""),IF(AND(TRIM([1]DATABASE!Q230)="DEED",[1]DATABASE!AA230=""),"Deeded no PSPA Date",""),IF([1]DATABASE!E230="","Missing Typology",""),IF([1]DATABASE!AJ230="","Missing Development",""))</f>
        <v/>
      </c>
      <c r="F269" s="82" t="str">
        <f>_xlfn.TEXTJOIN("; ",TRUE,IF(AND(OR(TRIM([1]DATABASE!Q230)="RESERVED",TRIM([1]DATABASE!Q230)="PRE-RESERVED",TRIM([1]DATABASE!Q230)="PSPA"),[1]DATABASE!AA230=""),"Reserved/PSPA no PSPA Date",""),IF(AND(TRIM([1]DATABASE!Q230)="AVAILABLE",[1]DATABASE!AA230&lt;&gt;""),"Available has PSPA Date",""))</f>
        <v/>
      </c>
      <c r="G269" s="82" t="str">
        <f>_xlfn.TEXTJOIN("; ",TRUE,IF(AND([1]DATABASE!T230&lt;0.8*[1]DATABASE!S230,[1]DATABASE!T230&gt;0,[1]DATABASE!S230&gt;0),"Heavy Price Cut &gt;20%",""),IF(AND(OR(TRIM([1]DATABASE!Q230)="AVAILABLE",TRIM([1]DATABASE!Q230)="UPON REQUEST"),OR([1]DATABASE!T230="",[1]DATABASE!T230=0)),"Active Unit no Price",""),IF(AND(OR(TRIM([1]DATABASE!Q230)="AVAILABLE",TRIM([1]DATABASE!Q230)="RESERVED",TRIM([1]DATABASE!Q230)="PRE-RESERVED",TRIM([1]DATABASE!Q230)="PSPA"),[1]DATABASE!AC230=""),"Active no Owner",""),IF(OR([1]DATABASE!F230="",[1]DATABASE!F230&lt;=0),"Missing/Invalid Area",""),IF(AND([1]DATABASE!T230&gt;0,ABS([1]DATABASE!T230-[1]DATABASE!W230-[1]DATABASE!U230-[1]DATABASE!V230)&gt;1),"Price Bridge Mismatch",""))</f>
        <v/>
      </c>
      <c r="H269" t="str">
        <f t="shared" si="6"/>
        <v>PASS</v>
      </c>
      <c r="I269" s="90">
        <f>[1]DATABASE!T230</f>
        <v>1130000</v>
      </c>
      <c r="J269">
        <f>[1]DATABASE!AC230</f>
        <v>0</v>
      </c>
    </row>
    <row r="270" spans="1:10" ht="13.95" customHeight="1" x14ac:dyDescent="0.3">
      <c r="A270">
        <f>ROW([1]DATABASE!A231)</f>
        <v>231</v>
      </c>
      <c r="B270" t="str">
        <f>[1]DATABASE!AJ231</f>
        <v>Terracota</v>
      </c>
      <c r="C270" t="str">
        <f>[1]DATABASE!C231</f>
        <v>R</v>
      </c>
      <c r="D270" t="str">
        <f>TRIM([1]DATABASE!Q231)</f>
        <v>PSPA</v>
      </c>
      <c r="E270" s="82" t="str">
        <f>_xlfn.TEXTJOIN("; ",TRUE,IF([1]DATABASE!X231&lt;0,"Negative Discount",""),IF(AND([1]DATABASE!Y231&gt;[1]DATABASE!T231,[1]DATABASE!Y231&gt;0,[1]DATABASE!T231&gt;0),"Sell Price &gt; Current",""),IF(AND(TRIM([1]DATABASE!Q231)="DEED",[1]DATABASE!AA231=""),"Deeded no PSPA Date",""),IF([1]DATABASE!E231="","Missing Typology",""),IF([1]DATABASE!AJ231="","Missing Development",""))</f>
        <v/>
      </c>
      <c r="F270" s="82" t="str">
        <f>_xlfn.TEXTJOIN("; ",TRUE,IF(AND(OR(TRIM([1]DATABASE!Q231)="RESERVED",TRIM([1]DATABASE!Q231)="PRE-RESERVED",TRIM([1]DATABASE!Q231)="PSPA"),[1]DATABASE!AA231=""),"Reserved/PSPA no PSPA Date",""),IF(AND(TRIM([1]DATABASE!Q231)="AVAILABLE",[1]DATABASE!AA231&lt;&gt;""),"Available has PSPA Date",""))</f>
        <v/>
      </c>
      <c r="G270" s="82" t="str">
        <f>_xlfn.TEXTJOIN("; ",TRUE,IF(AND([1]DATABASE!T231&lt;0.8*[1]DATABASE!S231,[1]DATABASE!T231&gt;0,[1]DATABASE!S231&gt;0),"Heavy Price Cut &gt;20%",""),IF(AND(OR(TRIM([1]DATABASE!Q231)="AVAILABLE",TRIM([1]DATABASE!Q231)="UPON REQUEST"),OR([1]DATABASE!T231="",[1]DATABASE!T231=0)),"Active Unit no Price",""),IF(AND(OR(TRIM([1]DATABASE!Q231)="AVAILABLE",TRIM([1]DATABASE!Q231)="RESERVED",TRIM([1]DATABASE!Q231)="PRE-RESERVED",TRIM([1]DATABASE!Q231)="PSPA"),[1]DATABASE!AC231=""),"Active no Owner",""),IF(OR([1]DATABASE!F231="",[1]DATABASE!F231&lt;=0),"Missing/Invalid Area",""),IF(AND([1]DATABASE!T231&gt;0,ABS([1]DATABASE!T231-[1]DATABASE!W231-[1]DATABASE!U231-[1]DATABASE!V231)&gt;1),"Price Bridge Mismatch",""))</f>
        <v/>
      </c>
      <c r="H270" t="str">
        <f t="shared" si="6"/>
        <v>PASS</v>
      </c>
      <c r="I270" s="90">
        <f>[1]DATABASE!T231</f>
        <v>575000</v>
      </c>
      <c r="J270" t="str">
        <f>[1]DATABASE!AC231</f>
        <v>Ana Damásio</v>
      </c>
    </row>
    <row r="271" spans="1:10" ht="13.95" customHeight="1" x14ac:dyDescent="0.3">
      <c r="A271">
        <f>ROW([1]DATABASE!A232)</f>
        <v>232</v>
      </c>
      <c r="B271" t="str">
        <f>[1]DATABASE!AJ232</f>
        <v>The Nine</v>
      </c>
      <c r="C271" t="str">
        <f>[1]DATABASE!C232</f>
        <v>Q</v>
      </c>
      <c r="D271" t="str">
        <f>TRIM([1]DATABASE!Q232)</f>
        <v>DEED</v>
      </c>
      <c r="E271" s="82" t="str">
        <f>_xlfn.TEXTJOIN("; ",TRUE,IF([1]DATABASE!X232&lt;0,"Negative Discount",""),IF(AND([1]DATABASE!Y232&gt;[1]DATABASE!T232,[1]DATABASE!Y232&gt;0,[1]DATABASE!T232&gt;0),"Sell Price &gt; Current",""),IF(AND(TRIM([1]DATABASE!Q232)="DEED",[1]DATABASE!AA232=""),"Deeded no PSPA Date",""),IF([1]DATABASE!E232="","Missing Typology",""),IF([1]DATABASE!AJ232="","Missing Development",""))</f>
        <v/>
      </c>
      <c r="F271" s="82" t="str">
        <f>_xlfn.TEXTJOIN("; ",TRUE,IF(AND(OR(TRIM([1]DATABASE!Q232)="RESERVED",TRIM([1]DATABASE!Q232)="PRE-RESERVED",TRIM([1]DATABASE!Q232)="PSPA"),[1]DATABASE!AA232=""),"Reserved/PSPA no PSPA Date",""),IF(AND(TRIM([1]DATABASE!Q232)="AVAILABLE",[1]DATABASE!AA232&lt;&gt;""),"Available has PSPA Date",""))</f>
        <v/>
      </c>
      <c r="G271" s="82" t="str">
        <f>_xlfn.TEXTJOIN("; ",TRUE,IF(AND([1]DATABASE!T232&lt;0.8*[1]DATABASE!S232,[1]DATABASE!T232&gt;0,[1]DATABASE!S232&gt;0),"Heavy Price Cut &gt;20%",""),IF(AND(OR(TRIM([1]DATABASE!Q232)="AVAILABLE",TRIM([1]DATABASE!Q232)="UPON REQUEST"),OR([1]DATABASE!T232="",[1]DATABASE!T232=0)),"Active Unit no Price",""),IF(AND(OR(TRIM([1]DATABASE!Q232)="AVAILABLE",TRIM([1]DATABASE!Q232)="RESERVED",TRIM([1]DATABASE!Q232)="PRE-RESERVED",TRIM([1]DATABASE!Q232)="PSPA"),[1]DATABASE!AC232=""),"Active no Owner",""),IF(OR([1]DATABASE!F232="",[1]DATABASE!F232&lt;=0),"Missing/Invalid Area",""),IF(AND([1]DATABASE!T232&gt;0,ABS([1]DATABASE!T232-[1]DATABASE!W232-[1]DATABASE!U232-[1]DATABASE!V232)&gt;1),"Price Bridge Mismatch",""))</f>
        <v/>
      </c>
      <c r="H271" t="str">
        <f t="shared" si="6"/>
        <v>PASS</v>
      </c>
      <c r="I271" s="90">
        <f>[1]DATABASE!T232</f>
        <v>570000</v>
      </c>
      <c r="J271" t="str">
        <f>[1]DATABASE!AC232</f>
        <v>Ana Damásio</v>
      </c>
    </row>
    <row r="272" spans="1:10" ht="13.95" customHeight="1" x14ac:dyDescent="0.3">
      <c r="A272">
        <f>ROW([1]DATABASE!A233)</f>
        <v>233</v>
      </c>
      <c r="B272" t="str">
        <f>[1]DATABASE!AJ233</f>
        <v>Botanica</v>
      </c>
      <c r="C272" t="str">
        <f>[1]DATABASE!C233</f>
        <v>AX</v>
      </c>
      <c r="D272" t="str">
        <f>TRIM([1]DATABASE!Q233)</f>
        <v>PRE-RESERVED</v>
      </c>
      <c r="E272" s="82" t="str">
        <f>_xlfn.TEXTJOIN("; ",TRUE,IF([1]DATABASE!X233&lt;0,"Negative Discount",""),IF(AND([1]DATABASE!Y233&gt;[1]DATABASE!T233,[1]DATABASE!Y233&gt;0,[1]DATABASE!T233&gt;0),"Sell Price &gt; Current",""),IF(AND(TRIM([1]DATABASE!Q233)="DEED",[1]DATABASE!AA233=""),"Deeded no PSPA Date",""),IF([1]DATABASE!E233="","Missing Typology",""),IF([1]DATABASE!AJ233="","Missing Development",""))</f>
        <v/>
      </c>
      <c r="F272" s="82" t="str">
        <f>_xlfn.TEXTJOIN("; ",TRUE,IF(AND(OR(TRIM([1]DATABASE!Q233)="RESERVED",TRIM([1]DATABASE!Q233)="PRE-RESERVED",TRIM([1]DATABASE!Q233)="PSPA"),[1]DATABASE!AA233=""),"Reserved/PSPA no PSPA Date",""),IF(AND(TRIM([1]DATABASE!Q233)="AVAILABLE",[1]DATABASE!AA233&lt;&gt;""),"Available has PSPA Date",""))</f>
        <v>Reserved/PSPA no PSPA Date</v>
      </c>
      <c r="G272" s="82" t="str">
        <f>_xlfn.TEXTJOIN("; ",TRUE,IF(AND([1]DATABASE!T233&lt;0.8*[1]DATABASE!S233,[1]DATABASE!T233&gt;0,[1]DATABASE!S233&gt;0),"Heavy Price Cut &gt;20%",""),IF(AND(OR(TRIM([1]DATABASE!Q233)="AVAILABLE",TRIM([1]DATABASE!Q233)="UPON REQUEST"),OR([1]DATABASE!T233="",[1]DATABASE!T233=0)),"Active Unit no Price",""),IF(AND(OR(TRIM([1]DATABASE!Q233)="AVAILABLE",TRIM([1]DATABASE!Q233)="RESERVED",TRIM([1]DATABASE!Q233)="PRE-RESERVED",TRIM([1]DATABASE!Q233)="PSPA"),[1]DATABASE!AC233=""),"Active no Owner",""),IF(OR([1]DATABASE!F233="",[1]DATABASE!F233&lt;=0),"Missing/Invalid Area",""),IF(AND([1]DATABASE!T233&gt;0,ABS([1]DATABASE!T233-[1]DATABASE!W233-[1]DATABASE!U233-[1]DATABASE!V233)&gt;1),"Price Bridge Mismatch",""))</f>
        <v/>
      </c>
      <c r="H272" t="str">
        <f t="shared" si="6"/>
        <v>REVIEW</v>
      </c>
      <c r="I272" s="90">
        <f>[1]DATABASE!T233</f>
        <v>2360000</v>
      </c>
      <c r="J272" t="str">
        <f>[1]DATABASE!AC233</f>
        <v>Ana Damásio</v>
      </c>
    </row>
    <row r="273" spans="1:10" ht="13.95" customHeight="1" x14ac:dyDescent="0.3">
      <c r="A273">
        <f>ROW([1]DATABASE!A234)</f>
        <v>234</v>
      </c>
      <c r="B273" t="str">
        <f>[1]DATABASE!AJ234</f>
        <v>Zestia</v>
      </c>
      <c r="C273" t="str">
        <f>[1]DATABASE!C234</f>
        <v>R</v>
      </c>
      <c r="D273" t="str">
        <f>TRIM([1]DATABASE!Q234)</f>
        <v>PSPA</v>
      </c>
      <c r="E273" s="82" t="str">
        <f>_xlfn.TEXTJOIN("; ",TRUE,IF([1]DATABASE!X234&lt;0,"Negative Discount",""),IF(AND([1]DATABASE!Y234&gt;[1]DATABASE!T234,[1]DATABASE!Y234&gt;0,[1]DATABASE!T234&gt;0),"Sell Price &gt; Current",""),IF(AND(TRIM([1]DATABASE!Q234)="DEED",[1]DATABASE!AA234=""),"Deeded no PSPA Date",""),IF([1]DATABASE!E234="","Missing Typology",""),IF([1]DATABASE!AJ234="","Missing Development",""))</f>
        <v/>
      </c>
      <c r="F273" s="82" t="str">
        <f>_xlfn.TEXTJOIN("; ",TRUE,IF(AND(OR(TRIM([1]DATABASE!Q234)="RESERVED",TRIM([1]DATABASE!Q234)="PRE-RESERVED",TRIM([1]DATABASE!Q234)="PSPA"),[1]DATABASE!AA234=""),"Reserved/PSPA no PSPA Date",""),IF(AND(TRIM([1]DATABASE!Q234)="AVAILABLE",[1]DATABASE!AA234&lt;&gt;""),"Available has PSPA Date",""))</f>
        <v/>
      </c>
      <c r="G273" s="82" t="str">
        <f>_xlfn.TEXTJOIN("; ",TRUE,IF(AND([1]DATABASE!T234&lt;0.8*[1]DATABASE!S234,[1]DATABASE!T234&gt;0,[1]DATABASE!S234&gt;0),"Heavy Price Cut &gt;20%",""),IF(AND(OR(TRIM([1]DATABASE!Q234)="AVAILABLE",TRIM([1]DATABASE!Q234)="UPON REQUEST"),OR([1]DATABASE!T234="",[1]DATABASE!T234=0)),"Active Unit no Price",""),IF(AND(OR(TRIM([1]DATABASE!Q234)="AVAILABLE",TRIM([1]DATABASE!Q234)="RESERVED",TRIM([1]DATABASE!Q234)="PRE-RESERVED",TRIM([1]DATABASE!Q234)="PSPA"),[1]DATABASE!AC234=""),"Active no Owner",""),IF(OR([1]DATABASE!F234="",[1]DATABASE!F234&lt;=0),"Missing/Invalid Area",""),IF(AND([1]DATABASE!T234&gt;0,ABS([1]DATABASE!T234-[1]DATABASE!W234-[1]DATABASE!U234-[1]DATABASE!V234)&gt;1),"Price Bridge Mismatch",""))</f>
        <v/>
      </c>
      <c r="H273" t="str">
        <f t="shared" si="6"/>
        <v>PASS</v>
      </c>
      <c r="I273" s="90">
        <f>[1]DATABASE!T234</f>
        <v>780000</v>
      </c>
      <c r="J273" t="str">
        <f>[1]DATABASE!AC234</f>
        <v>Ana Damásio</v>
      </c>
    </row>
    <row r="274" spans="1:10" ht="13.95" customHeight="1" x14ac:dyDescent="0.3">
      <c r="A274">
        <f>ROW([1]DATABASE!A235)</f>
        <v>235</v>
      </c>
      <c r="B274" t="str">
        <f>[1]DATABASE!AJ235</f>
        <v>The Nine</v>
      </c>
      <c r="C274" t="str">
        <f>[1]DATABASE!C235</f>
        <v>R</v>
      </c>
      <c r="D274" t="str">
        <f>TRIM([1]DATABASE!Q235)</f>
        <v>DEED</v>
      </c>
      <c r="E274" s="82" t="str">
        <f>_xlfn.TEXTJOIN("; ",TRUE,IF([1]DATABASE!X235&lt;0,"Negative Discount",""),IF(AND([1]DATABASE!Y235&gt;[1]DATABASE!T235,[1]DATABASE!Y235&gt;0,[1]DATABASE!T235&gt;0),"Sell Price &gt; Current",""),IF(AND(TRIM([1]DATABASE!Q235)="DEED",[1]DATABASE!AA235=""),"Deeded no PSPA Date",""),IF([1]DATABASE!E235="","Missing Typology",""),IF([1]DATABASE!AJ235="","Missing Development",""))</f>
        <v/>
      </c>
      <c r="F274" s="82" t="str">
        <f>_xlfn.TEXTJOIN("; ",TRUE,IF(AND(OR(TRIM([1]DATABASE!Q235)="RESERVED",TRIM([1]DATABASE!Q235)="PRE-RESERVED",TRIM([1]DATABASE!Q235)="PSPA"),[1]DATABASE!AA235=""),"Reserved/PSPA no PSPA Date",""),IF(AND(TRIM([1]DATABASE!Q235)="AVAILABLE",[1]DATABASE!AA235&lt;&gt;""),"Available has PSPA Date",""))</f>
        <v/>
      </c>
      <c r="G274" s="82" t="str">
        <f>_xlfn.TEXTJOIN("; ",TRUE,IF(AND([1]DATABASE!T235&lt;0.8*[1]DATABASE!S235,[1]DATABASE!T235&gt;0,[1]DATABASE!S235&gt;0),"Heavy Price Cut &gt;20%",""),IF(AND(OR(TRIM([1]DATABASE!Q235)="AVAILABLE",TRIM([1]DATABASE!Q235)="UPON REQUEST"),OR([1]DATABASE!T235="",[1]DATABASE!T235=0)),"Active Unit no Price",""),IF(AND(OR(TRIM([1]DATABASE!Q235)="AVAILABLE",TRIM([1]DATABASE!Q235)="RESERVED",TRIM([1]DATABASE!Q235)="PRE-RESERVED",TRIM([1]DATABASE!Q235)="PSPA"),[1]DATABASE!AC235=""),"Active no Owner",""),IF(OR([1]DATABASE!F235="",[1]DATABASE!F235&lt;=0),"Missing/Invalid Area",""),IF(AND([1]DATABASE!T235&gt;0,ABS([1]DATABASE!T235-[1]DATABASE!W235-[1]DATABASE!U235-[1]DATABASE!V235)&gt;1),"Price Bridge Mismatch",""))</f>
        <v/>
      </c>
      <c r="H274" t="str">
        <f t="shared" si="6"/>
        <v>PASS</v>
      </c>
      <c r="I274" s="90">
        <f>[1]DATABASE!T235</f>
        <v>570000</v>
      </c>
      <c r="J274" t="str">
        <f>[1]DATABASE!AC235</f>
        <v>Ana Damásio</v>
      </c>
    </row>
    <row r="275" spans="1:10" ht="13.95" customHeight="1" x14ac:dyDescent="0.3">
      <c r="A275">
        <f>ROW([1]DATABASE!A236)</f>
        <v>236</v>
      </c>
      <c r="B275" t="str">
        <f>[1]DATABASE!AJ236</f>
        <v>VM PARQUE</v>
      </c>
      <c r="C275" t="str">
        <f>[1]DATABASE!C236</f>
        <v>R</v>
      </c>
      <c r="D275" t="str">
        <f>TRIM([1]DATABASE!Q236)</f>
        <v>DEED</v>
      </c>
      <c r="E275" s="82" t="str">
        <f>_xlfn.TEXTJOIN("; ",TRUE,IF([1]DATABASE!X236&lt;0,"Negative Discount",""),IF(AND([1]DATABASE!Y236&gt;[1]DATABASE!T236,[1]DATABASE!Y236&gt;0,[1]DATABASE!T236&gt;0),"Sell Price &gt; Current",""),IF(AND(TRIM([1]DATABASE!Q236)="DEED",[1]DATABASE!AA236=""),"Deeded no PSPA Date",""),IF([1]DATABASE!E236="","Missing Typology",""),IF([1]DATABASE!AJ236="","Missing Development",""))</f>
        <v/>
      </c>
      <c r="F275" s="82" t="str">
        <f>_xlfn.TEXTJOIN("; ",TRUE,IF(AND(OR(TRIM([1]DATABASE!Q236)="RESERVED",TRIM([1]DATABASE!Q236)="PRE-RESERVED",TRIM([1]DATABASE!Q236)="PSPA"),[1]DATABASE!AA236=""),"Reserved/PSPA no PSPA Date",""),IF(AND(TRIM([1]DATABASE!Q236)="AVAILABLE",[1]DATABASE!AA236&lt;&gt;""),"Available has PSPA Date",""))</f>
        <v/>
      </c>
      <c r="G275" s="82" t="str">
        <f>_xlfn.TEXTJOIN("; ",TRUE,IF(AND([1]DATABASE!T236&lt;0.8*[1]DATABASE!S236,[1]DATABASE!T236&gt;0,[1]DATABASE!S236&gt;0),"Heavy Price Cut &gt;20%",""),IF(AND(OR(TRIM([1]DATABASE!Q236)="AVAILABLE",TRIM([1]DATABASE!Q236)="UPON REQUEST"),OR([1]DATABASE!T236="",[1]DATABASE!T236=0)),"Active Unit no Price",""),IF(AND(OR(TRIM([1]DATABASE!Q236)="AVAILABLE",TRIM([1]DATABASE!Q236)="RESERVED",TRIM([1]DATABASE!Q236)="PRE-RESERVED",TRIM([1]DATABASE!Q236)="PSPA"),[1]DATABASE!AC236=""),"Active no Owner",""),IF(OR([1]DATABASE!F236="",[1]DATABASE!F236&lt;=0),"Missing/Invalid Area",""),IF(AND([1]DATABASE!T236&gt;0,ABS([1]DATABASE!T236-[1]DATABASE!W236-[1]DATABASE!U236-[1]DATABASE!V236)&gt;1),"Price Bridge Mismatch",""))</f>
        <v/>
      </c>
      <c r="H275" t="str">
        <f t="shared" si="6"/>
        <v>PASS</v>
      </c>
      <c r="I275" s="90">
        <f>[1]DATABASE!T236</f>
        <v>960000</v>
      </c>
      <c r="J275">
        <f>[1]DATABASE!AC236</f>
        <v>0</v>
      </c>
    </row>
    <row r="276" spans="1:10" ht="13.95" customHeight="1" x14ac:dyDescent="0.3">
      <c r="A276">
        <f>ROW([1]DATABASE!A237)</f>
        <v>237</v>
      </c>
      <c r="B276" t="str">
        <f>[1]DATABASE!AJ237</f>
        <v>Terracota</v>
      </c>
      <c r="C276" t="str">
        <f>[1]DATABASE!C237</f>
        <v>S</v>
      </c>
      <c r="D276" t="str">
        <f>TRIM([1]DATABASE!Q237)</f>
        <v>PSPA</v>
      </c>
      <c r="E276" s="82" t="str">
        <f>_xlfn.TEXTJOIN("; ",TRUE,IF([1]DATABASE!X237&lt;0,"Negative Discount",""),IF(AND([1]DATABASE!Y237&gt;[1]DATABASE!T237,[1]DATABASE!Y237&gt;0,[1]DATABASE!T237&gt;0),"Sell Price &gt; Current",""),IF(AND(TRIM([1]DATABASE!Q237)="DEED",[1]DATABASE!AA237=""),"Deeded no PSPA Date",""),IF([1]DATABASE!E237="","Missing Typology",""),IF([1]DATABASE!AJ237="","Missing Development",""))</f>
        <v/>
      </c>
      <c r="F276" s="82" t="str">
        <f>_xlfn.TEXTJOIN("; ",TRUE,IF(AND(OR(TRIM([1]DATABASE!Q237)="RESERVED",TRIM([1]DATABASE!Q237)="PRE-RESERVED",TRIM([1]DATABASE!Q237)="PSPA"),[1]DATABASE!AA237=""),"Reserved/PSPA no PSPA Date",""),IF(AND(TRIM([1]DATABASE!Q237)="AVAILABLE",[1]DATABASE!AA237&lt;&gt;""),"Available has PSPA Date",""))</f>
        <v/>
      </c>
      <c r="G276" s="82" t="str">
        <f>_xlfn.TEXTJOIN("; ",TRUE,IF(AND([1]DATABASE!T237&lt;0.8*[1]DATABASE!S237,[1]DATABASE!T237&gt;0,[1]DATABASE!S237&gt;0),"Heavy Price Cut &gt;20%",""),IF(AND(OR(TRIM([1]DATABASE!Q237)="AVAILABLE",TRIM([1]DATABASE!Q237)="UPON REQUEST"),OR([1]DATABASE!T237="",[1]DATABASE!T237=0)),"Active Unit no Price",""),IF(AND(OR(TRIM([1]DATABASE!Q237)="AVAILABLE",TRIM([1]DATABASE!Q237)="RESERVED",TRIM([1]DATABASE!Q237)="PRE-RESERVED",TRIM([1]DATABASE!Q237)="PSPA"),[1]DATABASE!AC237=""),"Active no Owner",""),IF(OR([1]DATABASE!F237="",[1]DATABASE!F237&lt;=0),"Missing/Invalid Area",""),IF(AND([1]DATABASE!T237&gt;0,ABS([1]DATABASE!T237-[1]DATABASE!W237-[1]DATABASE!U237-[1]DATABASE!V237)&gt;1),"Price Bridge Mismatch",""))</f>
        <v/>
      </c>
      <c r="H276" t="str">
        <f t="shared" si="6"/>
        <v>PASS</v>
      </c>
      <c r="I276" s="90">
        <f>[1]DATABASE!T237</f>
        <v>700000</v>
      </c>
      <c r="J276" t="str">
        <f>[1]DATABASE!AC237</f>
        <v>Ana Damásio</v>
      </c>
    </row>
    <row r="277" spans="1:10" ht="13.95" customHeight="1" x14ac:dyDescent="0.3">
      <c r="A277">
        <f>ROW([1]DATABASE!A238)</f>
        <v>238</v>
      </c>
      <c r="B277" t="str">
        <f>[1]DATABASE!AJ238</f>
        <v>Palmares</v>
      </c>
      <c r="C277" t="str">
        <f>[1]DATABASE!C238</f>
        <v>830B</v>
      </c>
      <c r="D277" t="str">
        <f>TRIM([1]DATABASE!Q238)</f>
        <v>PSPA</v>
      </c>
      <c r="E277" s="82" t="str">
        <f>_xlfn.TEXTJOIN("; ",TRUE,IF([1]DATABASE!X238&lt;0,"Negative Discount",""),IF(AND([1]DATABASE!Y238&gt;[1]DATABASE!T238,[1]DATABASE!Y238&gt;0,[1]DATABASE!T238&gt;0),"Sell Price &gt; Current",""),IF(AND(TRIM([1]DATABASE!Q238)="DEED",[1]DATABASE!AA238=""),"Deeded no PSPA Date",""),IF([1]DATABASE!E238="","Missing Typology",""),IF([1]DATABASE!AJ238="","Missing Development",""))</f>
        <v/>
      </c>
      <c r="F277" s="82" t="str">
        <f>_xlfn.TEXTJOIN("; ",TRUE,IF(AND(OR(TRIM([1]DATABASE!Q238)="RESERVED",TRIM([1]DATABASE!Q238)="PRE-RESERVED",TRIM([1]DATABASE!Q238)="PSPA"),[1]DATABASE!AA238=""),"Reserved/PSPA no PSPA Date",""),IF(AND(TRIM([1]DATABASE!Q238)="AVAILABLE",[1]DATABASE!AA238&lt;&gt;""),"Available has PSPA Date",""))</f>
        <v/>
      </c>
      <c r="G277" s="82" t="str">
        <f>_xlfn.TEXTJOIN("; ",TRUE,IF(AND([1]DATABASE!T238&lt;0.8*[1]DATABASE!S238,[1]DATABASE!T238&gt;0,[1]DATABASE!S238&gt;0),"Heavy Price Cut &gt;20%",""),IF(AND(OR(TRIM([1]DATABASE!Q238)="AVAILABLE",TRIM([1]DATABASE!Q238)="UPON REQUEST"),OR([1]DATABASE!T238="",[1]DATABASE!T238=0)),"Active Unit no Price",""),IF(AND(OR(TRIM([1]DATABASE!Q238)="AVAILABLE",TRIM([1]DATABASE!Q238)="RESERVED",TRIM([1]DATABASE!Q238)="PRE-RESERVED",TRIM([1]DATABASE!Q238)="PSPA"),[1]DATABASE!AC238=""),"Active no Owner",""),IF(OR([1]DATABASE!F238="",[1]DATABASE!F238&lt;=0),"Missing/Invalid Area",""),IF(AND([1]DATABASE!T238&gt;0,ABS([1]DATABASE!T238-[1]DATABASE!W238-[1]DATABASE!U238-[1]DATABASE!V238)&gt;1),"Price Bridge Mismatch",""))</f>
        <v>Active no Owner</v>
      </c>
      <c r="H277" t="str">
        <f t="shared" si="6"/>
        <v>REVIEW</v>
      </c>
      <c r="I277" s="90">
        <f>[1]DATABASE!T238</f>
        <v>1350000</v>
      </c>
      <c r="J277">
        <f>[1]DATABASE!AC238</f>
        <v>0</v>
      </c>
    </row>
    <row r="278" spans="1:10" ht="13.95" customHeight="1" x14ac:dyDescent="0.3">
      <c r="A278">
        <f>ROW([1]DATABASE!A239)</f>
        <v>239</v>
      </c>
      <c r="B278" t="str">
        <f>[1]DATABASE!AJ239</f>
        <v>The Nine</v>
      </c>
      <c r="C278" t="str">
        <f>[1]DATABASE!C239</f>
        <v>S</v>
      </c>
      <c r="D278" t="str">
        <f>TRIM([1]DATABASE!Q239)</f>
        <v>DEED</v>
      </c>
      <c r="E278" s="82" t="str">
        <f>_xlfn.TEXTJOIN("; ",TRUE,IF([1]DATABASE!X239&lt;0,"Negative Discount",""),IF(AND([1]DATABASE!Y239&gt;[1]DATABASE!T239,[1]DATABASE!Y239&gt;0,[1]DATABASE!T239&gt;0),"Sell Price &gt; Current",""),IF(AND(TRIM([1]DATABASE!Q239)="DEED",[1]DATABASE!AA239=""),"Deeded no PSPA Date",""),IF([1]DATABASE!E239="","Missing Typology",""),IF([1]DATABASE!AJ239="","Missing Development",""))</f>
        <v/>
      </c>
      <c r="F278" s="82" t="str">
        <f>_xlfn.TEXTJOIN("; ",TRUE,IF(AND(OR(TRIM([1]DATABASE!Q239)="RESERVED",TRIM([1]DATABASE!Q239)="PRE-RESERVED",TRIM([1]DATABASE!Q239)="PSPA"),[1]DATABASE!AA239=""),"Reserved/PSPA no PSPA Date",""),IF(AND(TRIM([1]DATABASE!Q239)="AVAILABLE",[1]DATABASE!AA239&lt;&gt;""),"Available has PSPA Date",""))</f>
        <v/>
      </c>
      <c r="G278" s="82" t="str">
        <f>_xlfn.TEXTJOIN("; ",TRUE,IF(AND([1]DATABASE!T239&lt;0.8*[1]DATABASE!S239,[1]DATABASE!T239&gt;0,[1]DATABASE!S239&gt;0),"Heavy Price Cut &gt;20%",""),IF(AND(OR(TRIM([1]DATABASE!Q239)="AVAILABLE",TRIM([1]DATABASE!Q239)="UPON REQUEST"),OR([1]DATABASE!T239="",[1]DATABASE!T239=0)),"Active Unit no Price",""),IF(AND(OR(TRIM([1]DATABASE!Q239)="AVAILABLE",TRIM([1]DATABASE!Q239)="RESERVED",TRIM([1]DATABASE!Q239)="PRE-RESERVED",TRIM([1]DATABASE!Q239)="PSPA"),[1]DATABASE!AC239=""),"Active no Owner",""),IF(OR([1]DATABASE!F239="",[1]DATABASE!F239&lt;=0),"Missing/Invalid Area",""),IF(AND([1]DATABASE!T239&gt;0,ABS([1]DATABASE!T239-[1]DATABASE!W239-[1]DATABASE!U239-[1]DATABASE!V239)&gt;1),"Price Bridge Mismatch",""))</f>
        <v/>
      </c>
      <c r="H278" t="str">
        <f t="shared" si="6"/>
        <v>PASS</v>
      </c>
      <c r="I278" s="90">
        <f>[1]DATABASE!T239</f>
        <v>570000</v>
      </c>
      <c r="J278" t="str">
        <f>[1]DATABASE!AC239</f>
        <v>Ana Damásio</v>
      </c>
    </row>
    <row r="279" spans="1:10" ht="13.95" customHeight="1" x14ac:dyDescent="0.3">
      <c r="A279">
        <f>ROW([1]DATABASE!A240)</f>
        <v>240</v>
      </c>
      <c r="B279" t="str">
        <f>[1]DATABASE!AJ240</f>
        <v>VM PARQUE</v>
      </c>
      <c r="C279" t="str">
        <f>[1]DATABASE!C240</f>
        <v>S</v>
      </c>
      <c r="D279" t="str">
        <f>TRIM([1]DATABASE!Q240)</f>
        <v>DEED</v>
      </c>
      <c r="E279" s="82" t="str">
        <f>_xlfn.TEXTJOIN("; ",TRUE,IF([1]DATABASE!X240&lt;0,"Negative Discount",""),IF(AND([1]DATABASE!Y240&gt;[1]DATABASE!T240,[1]DATABASE!Y240&gt;0,[1]DATABASE!T240&gt;0),"Sell Price &gt; Current",""),IF(AND(TRIM([1]DATABASE!Q240)="DEED",[1]DATABASE!AA240=""),"Deeded no PSPA Date",""),IF([1]DATABASE!E240="","Missing Typology",""),IF([1]DATABASE!AJ240="","Missing Development",""))</f>
        <v/>
      </c>
      <c r="F279" s="82" t="str">
        <f>_xlfn.TEXTJOIN("; ",TRUE,IF(AND(OR(TRIM([1]DATABASE!Q240)="RESERVED",TRIM([1]DATABASE!Q240)="PRE-RESERVED",TRIM([1]DATABASE!Q240)="PSPA"),[1]DATABASE!AA240=""),"Reserved/PSPA no PSPA Date",""),IF(AND(TRIM([1]DATABASE!Q240)="AVAILABLE",[1]DATABASE!AA240&lt;&gt;""),"Available has PSPA Date",""))</f>
        <v/>
      </c>
      <c r="G279" s="82" t="str">
        <f>_xlfn.TEXTJOIN("; ",TRUE,IF(AND([1]DATABASE!T240&lt;0.8*[1]DATABASE!S240,[1]DATABASE!T240&gt;0,[1]DATABASE!S240&gt;0),"Heavy Price Cut &gt;20%",""),IF(AND(OR(TRIM([1]DATABASE!Q240)="AVAILABLE",TRIM([1]DATABASE!Q240)="UPON REQUEST"),OR([1]DATABASE!T240="",[1]DATABASE!T240=0)),"Active Unit no Price",""),IF(AND(OR(TRIM([1]DATABASE!Q240)="AVAILABLE",TRIM([1]DATABASE!Q240)="RESERVED",TRIM([1]DATABASE!Q240)="PRE-RESERVED",TRIM([1]DATABASE!Q240)="PSPA"),[1]DATABASE!AC240=""),"Active no Owner",""),IF(OR([1]DATABASE!F240="",[1]DATABASE!F240&lt;=0),"Missing/Invalid Area",""),IF(AND([1]DATABASE!T240&gt;0,ABS([1]DATABASE!T240-[1]DATABASE!W240-[1]DATABASE!U240-[1]DATABASE!V240)&gt;1),"Price Bridge Mismatch",""))</f>
        <v/>
      </c>
      <c r="H279" t="str">
        <f t="shared" si="6"/>
        <v>PASS</v>
      </c>
      <c r="I279" s="90">
        <f>[1]DATABASE!T240</f>
        <v>992000</v>
      </c>
      <c r="J279">
        <f>[1]DATABASE!AC240</f>
        <v>0</v>
      </c>
    </row>
    <row r="280" spans="1:10" ht="13.95" customHeight="1" x14ac:dyDescent="0.3">
      <c r="A280">
        <f>ROW([1]DATABASE!A241)</f>
        <v>241</v>
      </c>
      <c r="B280" t="str">
        <f>[1]DATABASE!AJ241</f>
        <v>Palmares</v>
      </c>
      <c r="C280" t="str">
        <f>[1]DATABASE!C241</f>
        <v>831B</v>
      </c>
      <c r="D280" t="str">
        <f>TRIM([1]DATABASE!Q241)</f>
        <v>PSPA</v>
      </c>
      <c r="E280" s="82" t="str">
        <f>_xlfn.TEXTJOIN("; ",TRUE,IF([1]DATABASE!X241&lt;0,"Negative Discount",""),IF(AND([1]DATABASE!Y241&gt;[1]DATABASE!T241,[1]DATABASE!Y241&gt;0,[1]DATABASE!T241&gt;0),"Sell Price &gt; Current",""),IF(AND(TRIM([1]DATABASE!Q241)="DEED",[1]DATABASE!AA241=""),"Deeded no PSPA Date",""),IF([1]DATABASE!E241="","Missing Typology",""),IF([1]DATABASE!AJ241="","Missing Development",""))</f>
        <v/>
      </c>
      <c r="F280" s="82" t="str">
        <f>_xlfn.TEXTJOIN("; ",TRUE,IF(AND(OR(TRIM([1]DATABASE!Q241)="RESERVED",TRIM([1]DATABASE!Q241)="PRE-RESERVED",TRIM([1]DATABASE!Q241)="PSPA"),[1]DATABASE!AA241=""),"Reserved/PSPA no PSPA Date",""),IF(AND(TRIM([1]DATABASE!Q241)="AVAILABLE",[1]DATABASE!AA241&lt;&gt;""),"Available has PSPA Date",""))</f>
        <v/>
      </c>
      <c r="G280" s="82" t="str">
        <f>_xlfn.TEXTJOIN("; ",TRUE,IF(AND([1]DATABASE!T241&lt;0.8*[1]DATABASE!S241,[1]DATABASE!T241&gt;0,[1]DATABASE!S241&gt;0),"Heavy Price Cut &gt;20%",""),IF(AND(OR(TRIM([1]DATABASE!Q241)="AVAILABLE",TRIM([1]DATABASE!Q241)="UPON REQUEST"),OR([1]DATABASE!T241="",[1]DATABASE!T241=0)),"Active Unit no Price",""),IF(AND(OR(TRIM([1]DATABASE!Q241)="AVAILABLE",TRIM([1]DATABASE!Q241)="RESERVED",TRIM([1]DATABASE!Q241)="PRE-RESERVED",TRIM([1]DATABASE!Q241)="PSPA"),[1]DATABASE!AC241=""),"Active no Owner",""),IF(OR([1]DATABASE!F241="",[1]DATABASE!F241&lt;=0),"Missing/Invalid Area",""),IF(AND([1]DATABASE!T241&gt;0,ABS([1]DATABASE!T241-[1]DATABASE!W241-[1]DATABASE!U241-[1]DATABASE!V241)&gt;1),"Price Bridge Mismatch",""))</f>
        <v>Active no Owner</v>
      </c>
      <c r="H280" t="str">
        <f t="shared" si="6"/>
        <v>REVIEW</v>
      </c>
      <c r="I280" s="90">
        <f>[1]DATABASE!T241</f>
        <v>1600000</v>
      </c>
      <c r="J280">
        <f>[1]DATABASE!AC241</f>
        <v>0</v>
      </c>
    </row>
    <row r="281" spans="1:10" ht="13.95" customHeight="1" x14ac:dyDescent="0.3">
      <c r="A281">
        <f>ROW([1]DATABASE!A242)</f>
        <v>242</v>
      </c>
      <c r="B281" t="str">
        <f>[1]DATABASE!AJ242</f>
        <v>Terracota</v>
      </c>
      <c r="C281" t="str">
        <f>[1]DATABASE!C242</f>
        <v>T</v>
      </c>
      <c r="D281" t="str">
        <f>TRIM([1]DATABASE!Q242)</f>
        <v>PSPA</v>
      </c>
      <c r="E281" s="82" t="str">
        <f>_xlfn.TEXTJOIN("; ",TRUE,IF([1]DATABASE!X242&lt;0,"Negative Discount",""),IF(AND([1]DATABASE!Y242&gt;[1]DATABASE!T242,[1]DATABASE!Y242&gt;0,[1]DATABASE!T242&gt;0),"Sell Price &gt; Current",""),IF(AND(TRIM([1]DATABASE!Q242)="DEED",[1]DATABASE!AA242=""),"Deeded no PSPA Date",""),IF([1]DATABASE!E242="","Missing Typology",""),IF([1]DATABASE!AJ242="","Missing Development",""))</f>
        <v/>
      </c>
      <c r="F281" s="82" t="str">
        <f>_xlfn.TEXTJOIN("; ",TRUE,IF(AND(OR(TRIM([1]DATABASE!Q242)="RESERVED",TRIM([1]DATABASE!Q242)="PRE-RESERVED",TRIM([1]DATABASE!Q242)="PSPA"),[1]DATABASE!AA242=""),"Reserved/PSPA no PSPA Date",""),IF(AND(TRIM([1]DATABASE!Q242)="AVAILABLE",[1]DATABASE!AA242&lt;&gt;""),"Available has PSPA Date",""))</f>
        <v/>
      </c>
      <c r="G281" s="82" t="str">
        <f>_xlfn.TEXTJOIN("; ",TRUE,IF(AND([1]DATABASE!T242&lt;0.8*[1]DATABASE!S242,[1]DATABASE!T242&gt;0,[1]DATABASE!S242&gt;0),"Heavy Price Cut &gt;20%",""),IF(AND(OR(TRIM([1]DATABASE!Q242)="AVAILABLE",TRIM([1]DATABASE!Q242)="UPON REQUEST"),OR([1]DATABASE!T242="",[1]DATABASE!T242=0)),"Active Unit no Price",""),IF(AND(OR(TRIM([1]DATABASE!Q242)="AVAILABLE",TRIM([1]DATABASE!Q242)="RESERVED",TRIM([1]DATABASE!Q242)="PRE-RESERVED",TRIM([1]DATABASE!Q242)="PSPA"),[1]DATABASE!AC242=""),"Active no Owner",""),IF(OR([1]DATABASE!F242="",[1]DATABASE!F242&lt;=0),"Missing/Invalid Area",""),IF(AND([1]DATABASE!T242&gt;0,ABS([1]DATABASE!T242-[1]DATABASE!W242-[1]DATABASE!U242-[1]DATABASE!V242)&gt;1),"Price Bridge Mismatch",""))</f>
        <v/>
      </c>
      <c r="H281" t="str">
        <f t="shared" si="6"/>
        <v>PASS</v>
      </c>
      <c r="I281" s="90">
        <f>[1]DATABASE!T242</f>
        <v>660000</v>
      </c>
      <c r="J281" t="str">
        <f>[1]DATABASE!AC242</f>
        <v>Ana Damásio</v>
      </c>
    </row>
    <row r="282" spans="1:10" ht="13.95" customHeight="1" x14ac:dyDescent="0.3">
      <c r="A282">
        <f>ROW([1]DATABASE!A243)</f>
        <v>243</v>
      </c>
      <c r="B282" t="str">
        <f>[1]DATABASE!AJ243</f>
        <v>Terracota</v>
      </c>
      <c r="C282" t="str">
        <f>[1]DATABASE!C243</f>
        <v>U</v>
      </c>
      <c r="D282" t="str">
        <f>TRIM([1]DATABASE!Q243)</f>
        <v>PSPA</v>
      </c>
      <c r="E282" s="82" t="str">
        <f>_xlfn.TEXTJOIN("; ",TRUE,IF([1]DATABASE!X243&lt;0,"Negative Discount",""),IF(AND([1]DATABASE!Y243&gt;[1]DATABASE!T243,[1]DATABASE!Y243&gt;0,[1]DATABASE!T243&gt;0),"Sell Price &gt; Current",""),IF(AND(TRIM([1]DATABASE!Q243)="DEED",[1]DATABASE!AA243=""),"Deeded no PSPA Date",""),IF([1]DATABASE!E243="","Missing Typology",""),IF([1]DATABASE!AJ243="","Missing Development",""))</f>
        <v/>
      </c>
      <c r="F282" s="82" t="str">
        <f>_xlfn.TEXTJOIN("; ",TRUE,IF(AND(OR(TRIM([1]DATABASE!Q243)="RESERVED",TRIM([1]DATABASE!Q243)="PRE-RESERVED",TRIM([1]DATABASE!Q243)="PSPA"),[1]DATABASE!AA243=""),"Reserved/PSPA no PSPA Date",""),IF(AND(TRIM([1]DATABASE!Q243)="AVAILABLE",[1]DATABASE!AA243&lt;&gt;""),"Available has PSPA Date",""))</f>
        <v/>
      </c>
      <c r="G282" s="82" t="str">
        <f>_xlfn.TEXTJOIN("; ",TRUE,IF(AND([1]DATABASE!T243&lt;0.8*[1]DATABASE!S243,[1]DATABASE!T243&gt;0,[1]DATABASE!S243&gt;0),"Heavy Price Cut &gt;20%",""),IF(AND(OR(TRIM([1]DATABASE!Q243)="AVAILABLE",TRIM([1]DATABASE!Q243)="UPON REQUEST"),OR([1]DATABASE!T243="",[1]DATABASE!T243=0)),"Active Unit no Price",""),IF(AND(OR(TRIM([1]DATABASE!Q243)="AVAILABLE",TRIM([1]DATABASE!Q243)="RESERVED",TRIM([1]DATABASE!Q243)="PRE-RESERVED",TRIM([1]DATABASE!Q243)="PSPA"),[1]DATABASE!AC243=""),"Active no Owner",""),IF(OR([1]DATABASE!F243="",[1]DATABASE!F243&lt;=0),"Missing/Invalid Area",""),IF(AND([1]DATABASE!T243&gt;0,ABS([1]DATABASE!T243-[1]DATABASE!W243-[1]DATABASE!U243-[1]DATABASE!V243)&gt;1),"Price Bridge Mismatch",""))</f>
        <v/>
      </c>
      <c r="H282" t="str">
        <f t="shared" si="6"/>
        <v>PASS</v>
      </c>
      <c r="I282" s="90">
        <f>[1]DATABASE!T243</f>
        <v>680000</v>
      </c>
      <c r="J282" t="str">
        <f>[1]DATABASE!AC243</f>
        <v>Ana Damásio</v>
      </c>
    </row>
    <row r="283" spans="1:10" ht="13.95" customHeight="1" x14ac:dyDescent="0.3">
      <c r="A283">
        <f>ROW([1]DATABASE!A244)</f>
        <v>244</v>
      </c>
      <c r="B283" t="str">
        <f>[1]DATABASE!AJ244</f>
        <v>The Nine</v>
      </c>
      <c r="C283" t="str">
        <f>[1]DATABASE!C244</f>
        <v>T</v>
      </c>
      <c r="D283" t="str">
        <f>TRIM([1]DATABASE!Q244)</f>
        <v>DEED</v>
      </c>
      <c r="E283" s="82" t="str">
        <f>_xlfn.TEXTJOIN("; ",TRUE,IF([1]DATABASE!X244&lt;0,"Negative Discount",""),IF(AND([1]DATABASE!Y244&gt;[1]DATABASE!T244,[1]DATABASE!Y244&gt;0,[1]DATABASE!T244&gt;0),"Sell Price &gt; Current",""),IF(AND(TRIM([1]DATABASE!Q244)="DEED",[1]DATABASE!AA244=""),"Deeded no PSPA Date",""),IF([1]DATABASE!E244="","Missing Typology",""),IF([1]DATABASE!AJ244="","Missing Development",""))</f>
        <v/>
      </c>
      <c r="F283" s="82" t="str">
        <f>_xlfn.TEXTJOIN("; ",TRUE,IF(AND(OR(TRIM([1]DATABASE!Q244)="RESERVED",TRIM([1]DATABASE!Q244)="PRE-RESERVED",TRIM([1]DATABASE!Q244)="PSPA"),[1]DATABASE!AA244=""),"Reserved/PSPA no PSPA Date",""),IF(AND(TRIM([1]DATABASE!Q244)="AVAILABLE",[1]DATABASE!AA244&lt;&gt;""),"Available has PSPA Date",""))</f>
        <v/>
      </c>
      <c r="G283" s="82" t="str">
        <f>_xlfn.TEXTJOIN("; ",TRUE,IF(AND([1]DATABASE!T244&lt;0.8*[1]DATABASE!S244,[1]DATABASE!T244&gt;0,[1]DATABASE!S244&gt;0),"Heavy Price Cut &gt;20%",""),IF(AND(OR(TRIM([1]DATABASE!Q244)="AVAILABLE",TRIM([1]DATABASE!Q244)="UPON REQUEST"),OR([1]DATABASE!T244="",[1]DATABASE!T244=0)),"Active Unit no Price",""),IF(AND(OR(TRIM([1]DATABASE!Q244)="AVAILABLE",TRIM([1]DATABASE!Q244)="RESERVED",TRIM([1]DATABASE!Q244)="PRE-RESERVED",TRIM([1]DATABASE!Q244)="PSPA"),[1]DATABASE!AC244=""),"Active no Owner",""),IF(OR([1]DATABASE!F244="",[1]DATABASE!F244&lt;=0),"Missing/Invalid Area",""),IF(AND([1]DATABASE!T244&gt;0,ABS([1]DATABASE!T244-[1]DATABASE!W244-[1]DATABASE!U244-[1]DATABASE!V244)&gt;1),"Price Bridge Mismatch",""))</f>
        <v/>
      </c>
      <c r="H283" t="str">
        <f t="shared" si="6"/>
        <v>PASS</v>
      </c>
      <c r="I283" s="90">
        <f>[1]DATABASE!T244</f>
        <v>570000</v>
      </c>
      <c r="J283" t="str">
        <f>[1]DATABASE!AC244</f>
        <v>Ana Damásio</v>
      </c>
    </row>
    <row r="284" spans="1:10" ht="13.95" customHeight="1" x14ac:dyDescent="0.3">
      <c r="A284">
        <f>ROW([1]DATABASE!A245)</f>
        <v>245</v>
      </c>
      <c r="B284" t="str">
        <f>[1]DATABASE!AJ245</f>
        <v>VM PARQUE</v>
      </c>
      <c r="C284" t="str">
        <f>[1]DATABASE!C245</f>
        <v>T</v>
      </c>
      <c r="D284" t="str">
        <f>TRIM([1]DATABASE!Q245)</f>
        <v>DEED</v>
      </c>
      <c r="E284" s="82" t="str">
        <f>_xlfn.TEXTJOIN("; ",TRUE,IF([1]DATABASE!X245&lt;0,"Negative Discount",""),IF(AND([1]DATABASE!Y245&gt;[1]DATABASE!T245,[1]DATABASE!Y245&gt;0,[1]DATABASE!T245&gt;0),"Sell Price &gt; Current",""),IF(AND(TRIM([1]DATABASE!Q245)="DEED",[1]DATABASE!AA245=""),"Deeded no PSPA Date",""),IF([1]DATABASE!E245="","Missing Typology",""),IF([1]DATABASE!AJ245="","Missing Development",""))</f>
        <v/>
      </c>
      <c r="F284" s="82" t="str">
        <f>_xlfn.TEXTJOIN("; ",TRUE,IF(AND(OR(TRIM([1]DATABASE!Q245)="RESERVED",TRIM([1]DATABASE!Q245)="PRE-RESERVED",TRIM([1]DATABASE!Q245)="PSPA"),[1]DATABASE!AA245=""),"Reserved/PSPA no PSPA Date",""),IF(AND(TRIM([1]DATABASE!Q245)="AVAILABLE",[1]DATABASE!AA245&lt;&gt;""),"Available has PSPA Date",""))</f>
        <v/>
      </c>
      <c r="G284" s="82" t="str">
        <f>_xlfn.TEXTJOIN("; ",TRUE,IF(AND([1]DATABASE!T245&lt;0.8*[1]DATABASE!S245,[1]DATABASE!T245&gt;0,[1]DATABASE!S245&gt;0),"Heavy Price Cut &gt;20%",""),IF(AND(OR(TRIM([1]DATABASE!Q245)="AVAILABLE",TRIM([1]DATABASE!Q245)="UPON REQUEST"),OR([1]DATABASE!T245="",[1]DATABASE!T245=0)),"Active Unit no Price",""),IF(AND(OR(TRIM([1]DATABASE!Q245)="AVAILABLE",TRIM([1]DATABASE!Q245)="RESERVED",TRIM([1]DATABASE!Q245)="PRE-RESERVED",TRIM([1]DATABASE!Q245)="PSPA"),[1]DATABASE!AC245=""),"Active no Owner",""),IF(OR([1]DATABASE!F245="",[1]DATABASE!F245&lt;=0),"Missing/Invalid Area",""),IF(AND([1]DATABASE!T245&gt;0,ABS([1]DATABASE!T245-[1]DATABASE!W245-[1]DATABASE!U245-[1]DATABASE!V245)&gt;1),"Price Bridge Mismatch",""))</f>
        <v/>
      </c>
      <c r="H284" t="str">
        <f t="shared" si="6"/>
        <v>PASS</v>
      </c>
      <c r="I284" s="90">
        <f>[1]DATABASE!T245</f>
        <v>992000</v>
      </c>
      <c r="J284">
        <f>[1]DATABASE!AC245</f>
        <v>0</v>
      </c>
    </row>
    <row r="285" spans="1:10" ht="13.95" customHeight="1" x14ac:dyDescent="0.3">
      <c r="A285">
        <f>ROW([1]DATABASE!A246)</f>
        <v>246</v>
      </c>
      <c r="B285" t="str">
        <f>[1]DATABASE!AJ246</f>
        <v>Springs - At the Els</v>
      </c>
      <c r="C285" t="str">
        <f>[1]DATABASE!C246</f>
        <v>V</v>
      </c>
      <c r="D285" t="str">
        <f>TRIM([1]DATABASE!Q246)</f>
        <v>PSPA</v>
      </c>
      <c r="E285" s="82" t="str">
        <f>_xlfn.TEXTJOIN("; ",TRUE,IF([1]DATABASE!X246&lt;0,"Negative Discount",""),IF(AND([1]DATABASE!Y246&gt;[1]DATABASE!T246,[1]DATABASE!Y246&gt;0,[1]DATABASE!T246&gt;0),"Sell Price &gt; Current",""),IF(AND(TRIM([1]DATABASE!Q246)="DEED",[1]DATABASE!AA246=""),"Deeded no PSPA Date",""),IF([1]DATABASE!E246="","Missing Typology",""),IF([1]DATABASE!AJ246="","Missing Development",""))</f>
        <v/>
      </c>
      <c r="F285" s="82" t="str">
        <f>_xlfn.TEXTJOIN("; ",TRUE,IF(AND(OR(TRIM([1]DATABASE!Q246)="RESERVED",TRIM([1]DATABASE!Q246)="PRE-RESERVED",TRIM([1]DATABASE!Q246)="PSPA"),[1]DATABASE!AA246=""),"Reserved/PSPA no PSPA Date",""),IF(AND(TRIM([1]DATABASE!Q246)="AVAILABLE",[1]DATABASE!AA246&lt;&gt;""),"Available has PSPA Date",""))</f>
        <v/>
      </c>
      <c r="G285" s="82" t="str">
        <f>_xlfn.TEXTJOIN("; ",TRUE,IF(AND([1]DATABASE!T246&lt;0.8*[1]DATABASE!S246,[1]DATABASE!T246&gt;0,[1]DATABASE!S246&gt;0),"Heavy Price Cut &gt;20%",""),IF(AND(OR(TRIM([1]DATABASE!Q246)="AVAILABLE",TRIM([1]DATABASE!Q246)="UPON REQUEST"),OR([1]DATABASE!T246="",[1]DATABASE!T246=0)),"Active Unit no Price",""),IF(AND(OR(TRIM([1]DATABASE!Q246)="AVAILABLE",TRIM([1]DATABASE!Q246)="RESERVED",TRIM([1]DATABASE!Q246)="PRE-RESERVED",TRIM([1]DATABASE!Q246)="PSPA"),[1]DATABASE!AC246=""),"Active no Owner",""),IF(OR([1]DATABASE!F246="",[1]DATABASE!F246&lt;=0),"Missing/Invalid Area",""),IF(AND([1]DATABASE!T246&gt;0,ABS([1]DATABASE!T246-[1]DATABASE!W246-[1]DATABASE!U246-[1]DATABASE!V246)&gt;1),"Price Bridge Mismatch",""))</f>
        <v/>
      </c>
      <c r="H285" t="str">
        <f t="shared" si="6"/>
        <v>PASS</v>
      </c>
      <c r="I285" s="90">
        <f>[1]DATABASE!T246</f>
        <v>1750000</v>
      </c>
      <c r="J285" t="str">
        <f>[1]DATABASE!AC246</f>
        <v>Ana Damásio</v>
      </c>
    </row>
    <row r="286" spans="1:10" ht="13.95" customHeight="1" x14ac:dyDescent="0.3">
      <c r="A286">
        <f>ROW([1]DATABASE!A247)</f>
        <v>247</v>
      </c>
      <c r="B286" t="str">
        <f>[1]DATABASE!AJ247</f>
        <v>The Nine</v>
      </c>
      <c r="C286" t="str">
        <f>[1]DATABASE!C247</f>
        <v>U</v>
      </c>
      <c r="D286" t="str">
        <f>TRIM([1]DATABASE!Q247)</f>
        <v>DEED</v>
      </c>
      <c r="E286" s="82" t="str">
        <f>_xlfn.TEXTJOIN("; ",TRUE,IF([1]DATABASE!X247&lt;0,"Negative Discount",""),IF(AND([1]DATABASE!Y247&gt;[1]DATABASE!T247,[1]DATABASE!Y247&gt;0,[1]DATABASE!T247&gt;0),"Sell Price &gt; Current",""),IF(AND(TRIM([1]DATABASE!Q247)="DEED",[1]DATABASE!AA247=""),"Deeded no PSPA Date",""),IF([1]DATABASE!E247="","Missing Typology",""),IF([1]DATABASE!AJ247="","Missing Development",""))</f>
        <v/>
      </c>
      <c r="F286" s="82" t="str">
        <f>_xlfn.TEXTJOIN("; ",TRUE,IF(AND(OR(TRIM([1]DATABASE!Q247)="RESERVED",TRIM([1]DATABASE!Q247)="PRE-RESERVED",TRIM([1]DATABASE!Q247)="PSPA"),[1]DATABASE!AA247=""),"Reserved/PSPA no PSPA Date",""),IF(AND(TRIM([1]DATABASE!Q247)="AVAILABLE",[1]DATABASE!AA247&lt;&gt;""),"Available has PSPA Date",""))</f>
        <v/>
      </c>
      <c r="G286" s="82" t="str">
        <f>_xlfn.TEXTJOIN("; ",TRUE,IF(AND([1]DATABASE!T247&lt;0.8*[1]DATABASE!S247,[1]DATABASE!T247&gt;0,[1]DATABASE!S247&gt;0),"Heavy Price Cut &gt;20%",""),IF(AND(OR(TRIM([1]DATABASE!Q247)="AVAILABLE",TRIM([1]DATABASE!Q247)="UPON REQUEST"),OR([1]DATABASE!T247="",[1]DATABASE!T247=0)),"Active Unit no Price",""),IF(AND(OR(TRIM([1]DATABASE!Q247)="AVAILABLE",TRIM([1]DATABASE!Q247)="RESERVED",TRIM([1]DATABASE!Q247)="PRE-RESERVED",TRIM([1]DATABASE!Q247)="PSPA"),[1]DATABASE!AC247=""),"Active no Owner",""),IF(OR([1]DATABASE!F247="",[1]DATABASE!F247&lt;=0),"Missing/Invalid Area",""),IF(AND([1]DATABASE!T247&gt;0,ABS([1]DATABASE!T247-[1]DATABASE!W247-[1]DATABASE!U247-[1]DATABASE!V247)&gt;1),"Price Bridge Mismatch",""))</f>
        <v/>
      </c>
      <c r="H286" t="str">
        <f t="shared" si="6"/>
        <v>PASS</v>
      </c>
      <c r="I286" s="90">
        <f>[1]DATABASE!T247</f>
        <v>580000</v>
      </c>
      <c r="J286" t="str">
        <f>[1]DATABASE!AC247</f>
        <v>Ana Damásio</v>
      </c>
    </row>
    <row r="287" spans="1:10" ht="13.95" customHeight="1" x14ac:dyDescent="0.3">
      <c r="A287">
        <f>ROW([1]DATABASE!A248)</f>
        <v>248</v>
      </c>
      <c r="B287" t="str">
        <f>[1]DATABASE!AJ248</f>
        <v>VM PARQUE</v>
      </c>
      <c r="C287" t="str">
        <f>[1]DATABASE!C248</f>
        <v>U</v>
      </c>
      <c r="D287" t="str">
        <f>TRIM([1]DATABASE!Q248)</f>
        <v>DEED</v>
      </c>
      <c r="E287" s="82" t="str">
        <f>_xlfn.TEXTJOIN("; ",TRUE,IF([1]DATABASE!X248&lt;0,"Negative Discount",""),IF(AND([1]DATABASE!Y248&gt;[1]DATABASE!T248,[1]DATABASE!Y248&gt;0,[1]DATABASE!T248&gt;0),"Sell Price &gt; Current",""),IF(AND(TRIM([1]DATABASE!Q248)="DEED",[1]DATABASE!AA248=""),"Deeded no PSPA Date",""),IF([1]DATABASE!E248="","Missing Typology",""),IF([1]DATABASE!AJ248="","Missing Development",""))</f>
        <v/>
      </c>
      <c r="F287" s="82" t="str">
        <f>_xlfn.TEXTJOIN("; ",TRUE,IF(AND(OR(TRIM([1]DATABASE!Q248)="RESERVED",TRIM([1]DATABASE!Q248)="PRE-RESERVED",TRIM([1]DATABASE!Q248)="PSPA"),[1]DATABASE!AA248=""),"Reserved/PSPA no PSPA Date",""),IF(AND(TRIM([1]DATABASE!Q248)="AVAILABLE",[1]DATABASE!AA248&lt;&gt;""),"Available has PSPA Date",""))</f>
        <v/>
      </c>
      <c r="G287" s="82" t="str">
        <f>_xlfn.TEXTJOIN("; ",TRUE,IF(AND([1]DATABASE!T248&lt;0.8*[1]DATABASE!S248,[1]DATABASE!T248&gt;0,[1]DATABASE!S248&gt;0),"Heavy Price Cut &gt;20%",""),IF(AND(OR(TRIM([1]DATABASE!Q248)="AVAILABLE",TRIM([1]DATABASE!Q248)="UPON REQUEST"),OR([1]DATABASE!T248="",[1]DATABASE!T248=0)),"Active Unit no Price",""),IF(AND(OR(TRIM([1]DATABASE!Q248)="AVAILABLE",TRIM([1]DATABASE!Q248)="RESERVED",TRIM([1]DATABASE!Q248)="PRE-RESERVED",TRIM([1]DATABASE!Q248)="PSPA"),[1]DATABASE!AC248=""),"Active no Owner",""),IF(OR([1]DATABASE!F248="",[1]DATABASE!F248&lt;=0),"Missing/Invalid Area",""),IF(AND([1]DATABASE!T248&gt;0,ABS([1]DATABASE!T248-[1]DATABASE!W248-[1]DATABASE!U248-[1]DATABASE!V248)&gt;1),"Price Bridge Mismatch",""))</f>
        <v/>
      </c>
      <c r="H287" t="str">
        <f t="shared" si="6"/>
        <v>PASS</v>
      </c>
      <c r="I287" s="90">
        <f>[1]DATABASE!T248</f>
        <v>960000</v>
      </c>
      <c r="J287">
        <f>[1]DATABASE!AC248</f>
        <v>0</v>
      </c>
    </row>
    <row r="288" spans="1:10" ht="13.95" customHeight="1" x14ac:dyDescent="0.3">
      <c r="A288">
        <f>ROW([1]DATABASE!A249)</f>
        <v>249</v>
      </c>
      <c r="B288" t="str">
        <f>[1]DATABASE!AJ249</f>
        <v>Sutaya</v>
      </c>
      <c r="C288" t="str">
        <f>[1]DATABASE!C249</f>
        <v>I</v>
      </c>
      <c r="D288" t="str">
        <f>TRIM([1]DATABASE!Q249)</f>
        <v>AVAILABLE</v>
      </c>
      <c r="E288" s="82" t="str">
        <f>_xlfn.TEXTJOIN("; ",TRUE,IF([1]DATABASE!X249&lt;0,"Negative Discount",""),IF(AND([1]DATABASE!Y249&gt;[1]DATABASE!T249,[1]DATABASE!Y249&gt;0,[1]DATABASE!T249&gt;0),"Sell Price &gt; Current",""),IF(AND(TRIM([1]DATABASE!Q249)="DEED",[1]DATABASE!AA249=""),"Deeded no PSPA Date",""),IF([1]DATABASE!E249="","Missing Typology",""),IF([1]DATABASE!AJ249="","Missing Development",""))</f>
        <v/>
      </c>
      <c r="F288" s="82" t="str">
        <f>_xlfn.TEXTJOIN("; ",TRUE,IF(AND(OR(TRIM([1]DATABASE!Q249)="RESERVED",TRIM([1]DATABASE!Q249)="PRE-RESERVED",TRIM([1]DATABASE!Q249)="PSPA"),[1]DATABASE!AA249=""),"Reserved/PSPA no PSPA Date",""),IF(AND(TRIM([1]DATABASE!Q249)="AVAILABLE",[1]DATABASE!AA249&lt;&gt;""),"Available has PSPA Date",""))</f>
        <v/>
      </c>
      <c r="G288" s="82" t="str">
        <f>_xlfn.TEXTJOIN("; ",TRUE,IF(AND([1]DATABASE!T249&lt;0.8*[1]DATABASE!S249,[1]DATABASE!T249&gt;0,[1]DATABASE!S249&gt;0),"Heavy Price Cut &gt;20%",""),IF(AND(OR(TRIM([1]DATABASE!Q249)="AVAILABLE",TRIM([1]DATABASE!Q249)="UPON REQUEST"),OR([1]DATABASE!T249="",[1]DATABASE!T249=0)),"Active Unit no Price",""),IF(AND(OR(TRIM([1]DATABASE!Q249)="AVAILABLE",TRIM([1]DATABASE!Q249)="RESERVED",TRIM([1]DATABASE!Q249)="PRE-RESERVED",TRIM([1]DATABASE!Q249)="PSPA"),[1]DATABASE!AC249=""),"Active no Owner",""),IF(OR([1]DATABASE!F249="",[1]DATABASE!F249&lt;=0),"Missing/Invalid Area",""),IF(AND([1]DATABASE!T249&gt;0,ABS([1]DATABASE!T249-[1]DATABASE!W249-[1]DATABASE!U249-[1]DATABASE!V249)&gt;1),"Price Bridge Mismatch",""))</f>
        <v/>
      </c>
      <c r="H288" t="str">
        <f t="shared" si="6"/>
        <v>PASS</v>
      </c>
      <c r="I288" s="90">
        <f>[1]DATABASE!T249</f>
        <v>4000000</v>
      </c>
      <c r="J288" t="str">
        <f>[1]DATABASE!AC249</f>
        <v>Sandra Viegas</v>
      </c>
    </row>
    <row r="289" spans="1:10" ht="13.95" customHeight="1" x14ac:dyDescent="0.3">
      <c r="A289">
        <f>ROW([1]DATABASE!A250)</f>
        <v>250</v>
      </c>
      <c r="B289" t="str">
        <f>[1]DATABASE!AJ250</f>
        <v>Sutaya</v>
      </c>
      <c r="C289" t="str">
        <f>[1]DATABASE!C250</f>
        <v>A</v>
      </c>
      <c r="D289" t="str">
        <f>TRIM([1]DATABASE!Q250)</f>
        <v>AVAILABLE</v>
      </c>
      <c r="E289" s="82" t="str">
        <f>_xlfn.TEXTJOIN("; ",TRUE,IF([1]DATABASE!X250&lt;0,"Negative Discount",""),IF(AND([1]DATABASE!Y250&gt;[1]DATABASE!T250,[1]DATABASE!Y250&gt;0,[1]DATABASE!T250&gt;0),"Sell Price &gt; Current",""),IF(AND(TRIM([1]DATABASE!Q250)="DEED",[1]DATABASE!AA250=""),"Deeded no PSPA Date",""),IF([1]DATABASE!E250="","Missing Typology",""),IF([1]DATABASE!AJ250="","Missing Development",""))</f>
        <v/>
      </c>
      <c r="F289" s="82" t="str">
        <f>_xlfn.TEXTJOIN("; ",TRUE,IF(AND(OR(TRIM([1]DATABASE!Q250)="RESERVED",TRIM([1]DATABASE!Q250)="PRE-RESERVED",TRIM([1]DATABASE!Q250)="PSPA"),[1]DATABASE!AA250=""),"Reserved/PSPA no PSPA Date",""),IF(AND(TRIM([1]DATABASE!Q250)="AVAILABLE",[1]DATABASE!AA250&lt;&gt;""),"Available has PSPA Date",""))</f>
        <v/>
      </c>
      <c r="G289" s="82" t="str">
        <f>_xlfn.TEXTJOIN("; ",TRUE,IF(AND([1]DATABASE!T250&lt;0.8*[1]DATABASE!S250,[1]DATABASE!T250&gt;0,[1]DATABASE!S250&gt;0),"Heavy Price Cut &gt;20%",""),IF(AND(OR(TRIM([1]DATABASE!Q250)="AVAILABLE",TRIM([1]DATABASE!Q250)="UPON REQUEST"),OR([1]DATABASE!T250="",[1]DATABASE!T250=0)),"Active Unit no Price",""),IF(AND(OR(TRIM([1]DATABASE!Q250)="AVAILABLE",TRIM([1]DATABASE!Q250)="RESERVED",TRIM([1]DATABASE!Q250)="PRE-RESERVED",TRIM([1]DATABASE!Q250)="PSPA"),[1]DATABASE!AC250=""),"Active no Owner",""),IF(OR([1]DATABASE!F250="",[1]DATABASE!F250&lt;=0),"Missing/Invalid Area",""),IF(AND([1]DATABASE!T250&gt;0,ABS([1]DATABASE!T250-[1]DATABASE!W250-[1]DATABASE!U250-[1]DATABASE!V250)&gt;1),"Price Bridge Mismatch",""))</f>
        <v/>
      </c>
      <c r="H289" t="str">
        <f t="shared" si="6"/>
        <v>PASS</v>
      </c>
      <c r="I289" s="90">
        <f>[1]DATABASE!T250</f>
        <v>4100000</v>
      </c>
      <c r="J289" t="str">
        <f>[1]DATABASE!AC250</f>
        <v>Sandra Viegas</v>
      </c>
    </row>
    <row r="290" spans="1:10" ht="13.95" customHeight="1" x14ac:dyDescent="0.3">
      <c r="A290">
        <f>ROW([1]DATABASE!A251)</f>
        <v>251</v>
      </c>
      <c r="B290" t="str">
        <f>[1]DATABASE!AJ251</f>
        <v>Sutaya</v>
      </c>
      <c r="C290" t="str">
        <f>[1]DATABASE!C251</f>
        <v>B</v>
      </c>
      <c r="D290" t="str">
        <f>TRIM([1]DATABASE!Q251)</f>
        <v>AVAILABLE</v>
      </c>
      <c r="E290" s="82" t="str">
        <f>_xlfn.TEXTJOIN("; ",TRUE,IF([1]DATABASE!X251&lt;0,"Negative Discount",""),IF(AND([1]DATABASE!Y251&gt;[1]DATABASE!T251,[1]DATABASE!Y251&gt;0,[1]DATABASE!T251&gt;0),"Sell Price &gt; Current",""),IF(AND(TRIM([1]DATABASE!Q251)="DEED",[1]DATABASE!AA251=""),"Deeded no PSPA Date",""),IF([1]DATABASE!E251="","Missing Typology",""),IF([1]DATABASE!AJ251="","Missing Development",""))</f>
        <v/>
      </c>
      <c r="F290" s="82" t="str">
        <f>_xlfn.TEXTJOIN("; ",TRUE,IF(AND(OR(TRIM([1]DATABASE!Q251)="RESERVED",TRIM([1]DATABASE!Q251)="PRE-RESERVED",TRIM([1]DATABASE!Q251)="PSPA"),[1]DATABASE!AA251=""),"Reserved/PSPA no PSPA Date",""),IF(AND(TRIM([1]DATABASE!Q251)="AVAILABLE",[1]DATABASE!AA251&lt;&gt;""),"Available has PSPA Date",""))</f>
        <v/>
      </c>
      <c r="G290" s="82" t="str">
        <f>_xlfn.TEXTJOIN("; ",TRUE,IF(AND([1]DATABASE!T251&lt;0.8*[1]DATABASE!S251,[1]DATABASE!T251&gt;0,[1]DATABASE!S251&gt;0),"Heavy Price Cut &gt;20%",""),IF(AND(OR(TRIM([1]DATABASE!Q251)="AVAILABLE",TRIM([1]DATABASE!Q251)="UPON REQUEST"),OR([1]DATABASE!T251="",[1]DATABASE!T251=0)),"Active Unit no Price",""),IF(AND(OR(TRIM([1]DATABASE!Q251)="AVAILABLE",TRIM([1]DATABASE!Q251)="RESERVED",TRIM([1]DATABASE!Q251)="PRE-RESERVED",TRIM([1]DATABASE!Q251)="PSPA"),[1]DATABASE!AC251=""),"Active no Owner",""),IF(OR([1]DATABASE!F251="",[1]DATABASE!F251&lt;=0),"Missing/Invalid Area",""),IF(AND([1]DATABASE!T251&gt;0,ABS([1]DATABASE!T251-[1]DATABASE!W251-[1]DATABASE!U251-[1]DATABASE!V251)&gt;1),"Price Bridge Mismatch",""))</f>
        <v/>
      </c>
      <c r="H290" t="str">
        <f t="shared" si="6"/>
        <v>PASS</v>
      </c>
      <c r="I290" s="90">
        <f>[1]DATABASE!T251</f>
        <v>4300000</v>
      </c>
      <c r="J290" t="str">
        <f>[1]DATABASE!AC251</f>
        <v>Sandra Viegas</v>
      </c>
    </row>
    <row r="291" spans="1:10" ht="13.95" customHeight="1" x14ac:dyDescent="0.3">
      <c r="A291">
        <f>ROW([1]DATABASE!A252)</f>
        <v>252</v>
      </c>
      <c r="B291" t="str">
        <f>[1]DATABASE!AJ252</f>
        <v>Sutaya</v>
      </c>
      <c r="C291" t="str">
        <f>[1]DATABASE!C252</f>
        <v>C</v>
      </c>
      <c r="D291" t="str">
        <f>TRIM([1]DATABASE!Q252)</f>
        <v>AVAILABLE</v>
      </c>
      <c r="E291" s="82" t="str">
        <f>_xlfn.TEXTJOIN("; ",TRUE,IF([1]DATABASE!X252&lt;0,"Negative Discount",""),IF(AND([1]DATABASE!Y252&gt;[1]DATABASE!T252,[1]DATABASE!Y252&gt;0,[1]DATABASE!T252&gt;0),"Sell Price &gt; Current",""),IF(AND(TRIM([1]DATABASE!Q252)="DEED",[1]DATABASE!AA252=""),"Deeded no PSPA Date",""),IF([1]DATABASE!E252="","Missing Typology",""),IF([1]DATABASE!AJ252="","Missing Development",""))</f>
        <v/>
      </c>
      <c r="F291" s="82" t="str">
        <f>_xlfn.TEXTJOIN("; ",TRUE,IF(AND(OR(TRIM([1]DATABASE!Q252)="RESERVED",TRIM([1]DATABASE!Q252)="PRE-RESERVED",TRIM([1]DATABASE!Q252)="PSPA"),[1]DATABASE!AA252=""),"Reserved/PSPA no PSPA Date",""),IF(AND(TRIM([1]DATABASE!Q252)="AVAILABLE",[1]DATABASE!AA252&lt;&gt;""),"Available has PSPA Date",""))</f>
        <v/>
      </c>
      <c r="G291" s="82" t="str">
        <f>_xlfn.TEXTJOIN("; ",TRUE,IF(AND([1]DATABASE!T252&lt;0.8*[1]DATABASE!S252,[1]DATABASE!T252&gt;0,[1]DATABASE!S252&gt;0),"Heavy Price Cut &gt;20%",""),IF(AND(OR(TRIM([1]DATABASE!Q252)="AVAILABLE",TRIM([1]DATABASE!Q252)="UPON REQUEST"),OR([1]DATABASE!T252="",[1]DATABASE!T252=0)),"Active Unit no Price",""),IF(AND(OR(TRIM([1]DATABASE!Q252)="AVAILABLE",TRIM([1]DATABASE!Q252)="RESERVED",TRIM([1]DATABASE!Q252)="PRE-RESERVED",TRIM([1]DATABASE!Q252)="PSPA"),[1]DATABASE!AC252=""),"Active no Owner",""),IF(OR([1]DATABASE!F252="",[1]DATABASE!F252&lt;=0),"Missing/Invalid Area",""),IF(AND([1]DATABASE!T252&gt;0,ABS([1]DATABASE!T252-[1]DATABASE!W252-[1]DATABASE!U252-[1]DATABASE!V252)&gt;1),"Price Bridge Mismatch",""))</f>
        <v/>
      </c>
      <c r="H291" t="str">
        <f t="shared" si="6"/>
        <v>PASS</v>
      </c>
      <c r="I291" s="90">
        <f>[1]DATABASE!T252</f>
        <v>4700000</v>
      </c>
      <c r="J291" t="str">
        <f>[1]DATABASE!AC252</f>
        <v>Sandra Viegas</v>
      </c>
    </row>
    <row r="292" spans="1:10" ht="13.95" customHeight="1" x14ac:dyDescent="0.3">
      <c r="A292">
        <f>ROW([1]DATABASE!A253)</f>
        <v>253</v>
      </c>
      <c r="B292" t="str">
        <f>[1]DATABASE!AJ253</f>
        <v>Sutaya</v>
      </c>
      <c r="C292" t="str">
        <f>[1]DATABASE!C253</f>
        <v>D</v>
      </c>
      <c r="D292" t="str">
        <f>TRIM([1]DATABASE!Q253)</f>
        <v>PRE-RESERVED</v>
      </c>
      <c r="E292" s="82" t="str">
        <f>_xlfn.TEXTJOIN("; ",TRUE,IF([1]DATABASE!X253&lt;0,"Negative Discount",""),IF(AND([1]DATABASE!Y253&gt;[1]DATABASE!T253,[1]DATABASE!Y253&gt;0,[1]DATABASE!T253&gt;0),"Sell Price &gt; Current",""),IF(AND(TRIM([1]DATABASE!Q253)="DEED",[1]DATABASE!AA253=""),"Deeded no PSPA Date",""),IF([1]DATABASE!E253="","Missing Typology",""),IF([1]DATABASE!AJ253="","Missing Development",""))</f>
        <v/>
      </c>
      <c r="F292" s="82" t="str">
        <f>_xlfn.TEXTJOIN("; ",TRUE,IF(AND(OR(TRIM([1]DATABASE!Q253)="RESERVED",TRIM([1]DATABASE!Q253)="PRE-RESERVED",TRIM([1]DATABASE!Q253)="PSPA"),[1]DATABASE!AA253=""),"Reserved/PSPA no PSPA Date",""),IF(AND(TRIM([1]DATABASE!Q253)="AVAILABLE",[1]DATABASE!AA253&lt;&gt;""),"Available has PSPA Date",""))</f>
        <v/>
      </c>
      <c r="G292" s="82" t="str">
        <f>_xlfn.TEXTJOIN("; ",TRUE,IF(AND([1]DATABASE!T253&lt;0.8*[1]DATABASE!S253,[1]DATABASE!T253&gt;0,[1]DATABASE!S253&gt;0),"Heavy Price Cut &gt;20%",""),IF(AND(OR(TRIM([1]DATABASE!Q253)="AVAILABLE",TRIM([1]DATABASE!Q253)="UPON REQUEST"),OR([1]DATABASE!T253="",[1]DATABASE!T253=0)),"Active Unit no Price",""),IF(AND(OR(TRIM([1]DATABASE!Q253)="AVAILABLE",TRIM([1]DATABASE!Q253)="RESERVED",TRIM([1]DATABASE!Q253)="PRE-RESERVED",TRIM([1]DATABASE!Q253)="PSPA"),[1]DATABASE!AC253=""),"Active no Owner",""),IF(OR([1]DATABASE!F253="",[1]DATABASE!F253&lt;=0),"Missing/Invalid Area",""),IF(AND([1]DATABASE!T253&gt;0,ABS([1]DATABASE!T253-[1]DATABASE!W253-[1]DATABASE!U253-[1]DATABASE!V253)&gt;1),"Price Bridge Mismatch",""))</f>
        <v/>
      </c>
      <c r="H292" t="str">
        <f t="shared" si="6"/>
        <v>PASS</v>
      </c>
      <c r="I292" s="90">
        <f>[1]DATABASE!T253</f>
        <v>5200000</v>
      </c>
      <c r="J292" t="str">
        <f>[1]DATABASE!AC253</f>
        <v>Sandra Viegas</v>
      </c>
    </row>
    <row r="293" spans="1:10" ht="13.95" customHeight="1" x14ac:dyDescent="0.3">
      <c r="A293">
        <f>ROW([1]DATABASE!A254)</f>
        <v>254</v>
      </c>
      <c r="B293" t="str">
        <f>[1]DATABASE!AJ254</f>
        <v>Sutaya</v>
      </c>
      <c r="C293" t="str">
        <f>[1]DATABASE!C254</f>
        <v>J</v>
      </c>
      <c r="D293" t="str">
        <f>TRIM([1]DATABASE!Q254)</f>
        <v>AVAILABLE</v>
      </c>
      <c r="E293" s="82" t="str">
        <f>_xlfn.TEXTJOIN("; ",TRUE,IF([1]DATABASE!X254&lt;0,"Negative Discount",""),IF(AND([1]DATABASE!Y254&gt;[1]DATABASE!T254,[1]DATABASE!Y254&gt;0,[1]DATABASE!T254&gt;0),"Sell Price &gt; Current",""),IF(AND(TRIM([1]DATABASE!Q254)="DEED",[1]DATABASE!AA254=""),"Deeded no PSPA Date",""),IF([1]DATABASE!E254="","Missing Typology",""),IF([1]DATABASE!AJ254="","Missing Development",""))</f>
        <v/>
      </c>
      <c r="F293" s="82" t="str">
        <f>_xlfn.TEXTJOIN("; ",TRUE,IF(AND(OR(TRIM([1]DATABASE!Q254)="RESERVED",TRIM([1]DATABASE!Q254)="PRE-RESERVED",TRIM([1]DATABASE!Q254)="PSPA"),[1]DATABASE!AA254=""),"Reserved/PSPA no PSPA Date",""),IF(AND(TRIM([1]DATABASE!Q254)="AVAILABLE",[1]DATABASE!AA254&lt;&gt;""),"Available has PSPA Date",""))</f>
        <v/>
      </c>
      <c r="G293" s="82" t="str">
        <f>_xlfn.TEXTJOIN("; ",TRUE,IF(AND([1]DATABASE!T254&lt;0.8*[1]DATABASE!S254,[1]DATABASE!T254&gt;0,[1]DATABASE!S254&gt;0),"Heavy Price Cut &gt;20%",""),IF(AND(OR(TRIM([1]DATABASE!Q254)="AVAILABLE",TRIM([1]DATABASE!Q254)="UPON REQUEST"),OR([1]DATABASE!T254="",[1]DATABASE!T254=0)),"Active Unit no Price",""),IF(AND(OR(TRIM([1]DATABASE!Q254)="AVAILABLE",TRIM([1]DATABASE!Q254)="RESERVED",TRIM([1]DATABASE!Q254)="PRE-RESERVED",TRIM([1]DATABASE!Q254)="PSPA"),[1]DATABASE!AC254=""),"Active no Owner",""),IF(OR([1]DATABASE!F254="",[1]DATABASE!F254&lt;=0),"Missing/Invalid Area",""),IF(AND([1]DATABASE!T254&gt;0,ABS([1]DATABASE!T254-[1]DATABASE!W254-[1]DATABASE!U254-[1]DATABASE!V254)&gt;1),"Price Bridge Mismatch",""))</f>
        <v/>
      </c>
      <c r="H293" t="str">
        <f t="shared" si="6"/>
        <v>PASS</v>
      </c>
      <c r="I293" s="90">
        <f>[1]DATABASE!T254</f>
        <v>5300000</v>
      </c>
      <c r="J293" t="str">
        <f>[1]DATABASE!AC254</f>
        <v>Sandra Viegas</v>
      </c>
    </row>
    <row r="294" spans="1:10" ht="13.95" customHeight="1" x14ac:dyDescent="0.3">
      <c r="A294">
        <f>ROW([1]DATABASE!A255)</f>
        <v>255</v>
      </c>
      <c r="B294" t="str">
        <f>[1]DATABASE!AJ255</f>
        <v>Sutaya</v>
      </c>
      <c r="C294" t="str">
        <f>[1]DATABASE!C255</f>
        <v>L</v>
      </c>
      <c r="D294" t="str">
        <f>TRIM([1]DATABASE!Q255)</f>
        <v>AVAILABLE</v>
      </c>
      <c r="E294" s="82" t="str">
        <f>_xlfn.TEXTJOIN("; ",TRUE,IF([1]DATABASE!X255&lt;0,"Negative Discount",""),IF(AND([1]DATABASE!Y255&gt;[1]DATABASE!T255,[1]DATABASE!Y255&gt;0,[1]DATABASE!T255&gt;0),"Sell Price &gt; Current",""),IF(AND(TRIM([1]DATABASE!Q255)="DEED",[1]DATABASE!AA255=""),"Deeded no PSPA Date",""),IF([1]DATABASE!E255="","Missing Typology",""),IF([1]DATABASE!AJ255="","Missing Development",""))</f>
        <v/>
      </c>
      <c r="F294" s="82" t="str">
        <f>_xlfn.TEXTJOIN("; ",TRUE,IF(AND(OR(TRIM([1]DATABASE!Q255)="RESERVED",TRIM([1]DATABASE!Q255)="PRE-RESERVED",TRIM([1]DATABASE!Q255)="PSPA"),[1]DATABASE!AA255=""),"Reserved/PSPA no PSPA Date",""),IF(AND(TRIM([1]DATABASE!Q255)="AVAILABLE",[1]DATABASE!AA255&lt;&gt;""),"Available has PSPA Date",""))</f>
        <v/>
      </c>
      <c r="G294" s="82" t="str">
        <f>_xlfn.TEXTJOIN("; ",TRUE,IF(AND([1]DATABASE!T255&lt;0.8*[1]DATABASE!S255,[1]DATABASE!T255&gt;0,[1]DATABASE!S255&gt;0),"Heavy Price Cut &gt;20%",""),IF(AND(OR(TRIM([1]DATABASE!Q255)="AVAILABLE",TRIM([1]DATABASE!Q255)="UPON REQUEST"),OR([1]DATABASE!T255="",[1]DATABASE!T255=0)),"Active Unit no Price",""),IF(AND(OR(TRIM([1]DATABASE!Q255)="AVAILABLE",TRIM([1]DATABASE!Q255)="RESERVED",TRIM([1]DATABASE!Q255)="PRE-RESERVED",TRIM([1]DATABASE!Q255)="PSPA"),[1]DATABASE!AC255=""),"Active no Owner",""),IF(OR([1]DATABASE!F255="",[1]DATABASE!F255&lt;=0),"Missing/Invalid Area",""),IF(AND([1]DATABASE!T255&gt;0,ABS([1]DATABASE!T255-[1]DATABASE!W255-[1]DATABASE!U255-[1]DATABASE!V255)&gt;1),"Price Bridge Mismatch",""))</f>
        <v/>
      </c>
      <c r="H294" t="str">
        <f t="shared" si="6"/>
        <v>PASS</v>
      </c>
      <c r="I294" s="90">
        <f>[1]DATABASE!T255</f>
        <v>5700000</v>
      </c>
      <c r="J294" t="str">
        <f>[1]DATABASE!AC255</f>
        <v>Sandra Viegas</v>
      </c>
    </row>
    <row r="295" spans="1:10" ht="13.95" customHeight="1" x14ac:dyDescent="0.3">
      <c r="A295">
        <f>ROW([1]DATABASE!A256)</f>
        <v>256</v>
      </c>
      <c r="B295" t="str">
        <f>[1]DATABASE!AJ256</f>
        <v>Sutaya</v>
      </c>
      <c r="C295" t="str">
        <f>[1]DATABASE!C256</f>
        <v>E</v>
      </c>
      <c r="D295" t="str">
        <f>TRIM([1]DATABASE!Q256)</f>
        <v>PRE-RESERVED</v>
      </c>
      <c r="E295" s="82" t="str">
        <f>_xlfn.TEXTJOIN("; ",TRUE,IF([1]DATABASE!X256&lt;0,"Negative Discount",""),IF(AND([1]DATABASE!Y256&gt;[1]DATABASE!T256,[1]DATABASE!Y256&gt;0,[1]DATABASE!T256&gt;0),"Sell Price &gt; Current",""),IF(AND(TRIM([1]DATABASE!Q256)="DEED",[1]DATABASE!AA256=""),"Deeded no PSPA Date",""),IF([1]DATABASE!E256="","Missing Typology",""),IF([1]DATABASE!AJ256="","Missing Development",""))</f>
        <v/>
      </c>
      <c r="F295" s="82" t="str">
        <f>_xlfn.TEXTJOIN("; ",TRUE,IF(AND(OR(TRIM([1]DATABASE!Q256)="RESERVED",TRIM([1]DATABASE!Q256)="PRE-RESERVED",TRIM([1]DATABASE!Q256)="PSPA"),[1]DATABASE!AA256=""),"Reserved/PSPA no PSPA Date",""),IF(AND(TRIM([1]DATABASE!Q256)="AVAILABLE",[1]DATABASE!AA256&lt;&gt;""),"Available has PSPA Date",""))</f>
        <v/>
      </c>
      <c r="G295" s="82" t="str">
        <f>_xlfn.TEXTJOIN("; ",TRUE,IF(AND([1]DATABASE!T256&lt;0.8*[1]DATABASE!S256,[1]DATABASE!T256&gt;0,[1]DATABASE!S256&gt;0),"Heavy Price Cut &gt;20%",""),IF(AND(OR(TRIM([1]DATABASE!Q256)="AVAILABLE",TRIM([1]DATABASE!Q256)="UPON REQUEST"),OR([1]DATABASE!T256="",[1]DATABASE!T256=0)),"Active Unit no Price",""),IF(AND(OR(TRIM([1]DATABASE!Q256)="AVAILABLE",TRIM([1]DATABASE!Q256)="RESERVED",TRIM([1]DATABASE!Q256)="PRE-RESERVED",TRIM([1]DATABASE!Q256)="PSPA"),[1]DATABASE!AC256=""),"Active no Owner",""),IF(OR([1]DATABASE!F256="",[1]DATABASE!F256&lt;=0),"Missing/Invalid Area",""),IF(AND([1]DATABASE!T256&gt;0,ABS([1]DATABASE!T256-[1]DATABASE!W256-[1]DATABASE!U256-[1]DATABASE!V256)&gt;1),"Price Bridge Mismatch",""))</f>
        <v/>
      </c>
      <c r="H295" t="str">
        <f t="shared" si="6"/>
        <v>PASS</v>
      </c>
      <c r="I295" s="90">
        <f>[1]DATABASE!T256</f>
        <v>5700000</v>
      </c>
      <c r="J295" t="str">
        <f>[1]DATABASE!AC256</f>
        <v>Sandra Viegas</v>
      </c>
    </row>
    <row r="296" spans="1:10" ht="13.95" customHeight="1" x14ac:dyDescent="0.3">
      <c r="A296">
        <f>ROW([1]DATABASE!A257)</f>
        <v>257</v>
      </c>
      <c r="B296" t="str">
        <f>[1]DATABASE!AJ257</f>
        <v>Sutaya</v>
      </c>
      <c r="C296" t="str">
        <f>[1]DATABASE!C257</f>
        <v>Q</v>
      </c>
      <c r="D296" t="str">
        <f>TRIM([1]DATABASE!Q257)</f>
        <v>AVAILABLE</v>
      </c>
      <c r="E296" s="82" t="str">
        <f>_xlfn.TEXTJOIN("; ",TRUE,IF([1]DATABASE!X257&lt;0,"Negative Discount",""),IF(AND([1]DATABASE!Y257&gt;[1]DATABASE!T257,[1]DATABASE!Y257&gt;0,[1]DATABASE!T257&gt;0),"Sell Price &gt; Current",""),IF(AND(TRIM([1]DATABASE!Q257)="DEED",[1]DATABASE!AA257=""),"Deeded no PSPA Date",""),IF([1]DATABASE!E257="","Missing Typology",""),IF([1]DATABASE!AJ257="","Missing Development",""))</f>
        <v/>
      </c>
      <c r="F296" s="82" t="str">
        <f>_xlfn.TEXTJOIN("; ",TRUE,IF(AND(OR(TRIM([1]DATABASE!Q257)="RESERVED",TRIM([1]DATABASE!Q257)="PRE-RESERVED",TRIM([1]DATABASE!Q257)="PSPA"),[1]DATABASE!AA257=""),"Reserved/PSPA no PSPA Date",""),IF(AND(TRIM([1]DATABASE!Q257)="AVAILABLE",[1]DATABASE!AA257&lt;&gt;""),"Available has PSPA Date",""))</f>
        <v/>
      </c>
      <c r="G296" s="82" t="str">
        <f>_xlfn.TEXTJOIN("; ",TRUE,IF(AND([1]DATABASE!T257&lt;0.8*[1]DATABASE!S257,[1]DATABASE!T257&gt;0,[1]DATABASE!S257&gt;0),"Heavy Price Cut &gt;20%",""),IF(AND(OR(TRIM([1]DATABASE!Q257)="AVAILABLE",TRIM([1]DATABASE!Q257)="UPON REQUEST"),OR([1]DATABASE!T257="",[1]DATABASE!T257=0)),"Active Unit no Price",""),IF(AND(OR(TRIM([1]DATABASE!Q257)="AVAILABLE",TRIM([1]DATABASE!Q257)="RESERVED",TRIM([1]DATABASE!Q257)="PRE-RESERVED",TRIM([1]DATABASE!Q257)="PSPA"),[1]DATABASE!AC257=""),"Active no Owner",""),IF(OR([1]DATABASE!F257="",[1]DATABASE!F257&lt;=0),"Missing/Invalid Area",""),IF(AND([1]DATABASE!T257&gt;0,ABS([1]DATABASE!T257-[1]DATABASE!W257-[1]DATABASE!U257-[1]DATABASE!V257)&gt;1),"Price Bridge Mismatch",""))</f>
        <v/>
      </c>
      <c r="H296" t="str">
        <f t="shared" si="6"/>
        <v>PASS</v>
      </c>
      <c r="I296" s="90">
        <f>[1]DATABASE!T257</f>
        <v>7700000</v>
      </c>
      <c r="J296" t="str">
        <f>[1]DATABASE!AC257</f>
        <v>Sandra Viegas</v>
      </c>
    </row>
    <row r="297" spans="1:10" ht="13.95" customHeight="1" x14ac:dyDescent="0.3">
      <c r="A297">
        <f>ROW([1]DATABASE!A258)</f>
        <v>258</v>
      </c>
      <c r="B297" t="str">
        <f>[1]DATABASE!AJ258</f>
        <v>Sutaya</v>
      </c>
      <c r="C297" t="str">
        <f>[1]DATABASE!C258</f>
        <v>P</v>
      </c>
      <c r="D297" t="str">
        <f>TRIM([1]DATABASE!Q258)</f>
        <v>AVAILABLE</v>
      </c>
      <c r="E297" s="82" t="str">
        <f>_xlfn.TEXTJOIN("; ",TRUE,IF([1]DATABASE!X258&lt;0,"Negative Discount",""),IF(AND([1]DATABASE!Y258&gt;[1]DATABASE!T258,[1]DATABASE!Y258&gt;0,[1]DATABASE!T258&gt;0),"Sell Price &gt; Current",""),IF(AND(TRIM([1]DATABASE!Q258)="DEED",[1]DATABASE!AA258=""),"Deeded no PSPA Date",""),IF([1]DATABASE!E258="","Missing Typology",""),IF([1]DATABASE!AJ258="","Missing Development",""))</f>
        <v/>
      </c>
      <c r="F297" s="82" t="str">
        <f>_xlfn.TEXTJOIN("; ",TRUE,IF(AND(OR(TRIM([1]DATABASE!Q258)="RESERVED",TRIM([1]DATABASE!Q258)="PRE-RESERVED",TRIM([1]DATABASE!Q258)="PSPA"),[1]DATABASE!AA258=""),"Reserved/PSPA no PSPA Date",""),IF(AND(TRIM([1]DATABASE!Q258)="AVAILABLE",[1]DATABASE!AA258&lt;&gt;""),"Available has PSPA Date",""))</f>
        <v/>
      </c>
      <c r="G297" s="82" t="str">
        <f>_xlfn.TEXTJOIN("; ",TRUE,IF(AND([1]DATABASE!T258&lt;0.8*[1]DATABASE!S258,[1]DATABASE!T258&gt;0,[1]DATABASE!S258&gt;0),"Heavy Price Cut &gt;20%",""),IF(AND(OR(TRIM([1]DATABASE!Q258)="AVAILABLE",TRIM([1]DATABASE!Q258)="UPON REQUEST"),OR([1]DATABASE!T258="",[1]DATABASE!T258=0)),"Active Unit no Price",""),IF(AND(OR(TRIM([1]DATABASE!Q258)="AVAILABLE",TRIM([1]DATABASE!Q258)="RESERVED",TRIM([1]DATABASE!Q258)="PRE-RESERVED",TRIM([1]DATABASE!Q258)="PSPA"),[1]DATABASE!AC258=""),"Active no Owner",""),IF(OR([1]DATABASE!F258="",[1]DATABASE!F258&lt;=0),"Missing/Invalid Area",""),IF(AND([1]DATABASE!T258&gt;0,ABS([1]DATABASE!T258-[1]DATABASE!W258-[1]DATABASE!U258-[1]DATABASE!V258)&gt;1),"Price Bridge Mismatch",""))</f>
        <v/>
      </c>
      <c r="H297" t="str">
        <f t="shared" si="6"/>
        <v>PASS</v>
      </c>
      <c r="I297" s="90">
        <f>[1]DATABASE!T258</f>
        <v>8400000</v>
      </c>
      <c r="J297" t="str">
        <f>[1]DATABASE!AC258</f>
        <v>Sandra Viegas</v>
      </c>
    </row>
    <row r="298" spans="1:10" ht="13.95" customHeight="1" x14ac:dyDescent="0.3">
      <c r="A298">
        <f>ROW([1]DATABASE!A259)</f>
        <v>259</v>
      </c>
      <c r="B298" t="str">
        <f>[1]DATABASE!AJ259</f>
        <v>Sutaya</v>
      </c>
      <c r="C298" t="str">
        <f>[1]DATABASE!C259</f>
        <v>N</v>
      </c>
      <c r="D298" t="str">
        <f>TRIM([1]DATABASE!Q259)</f>
        <v>AVAILABLE</v>
      </c>
      <c r="E298" s="82" t="str">
        <f>_xlfn.TEXTJOIN("; ",TRUE,IF([1]DATABASE!X259&lt;0,"Negative Discount",""),IF(AND([1]DATABASE!Y259&gt;[1]DATABASE!T259,[1]DATABASE!Y259&gt;0,[1]DATABASE!T259&gt;0),"Sell Price &gt; Current",""),IF(AND(TRIM([1]DATABASE!Q259)="DEED",[1]DATABASE!AA259=""),"Deeded no PSPA Date",""),IF([1]DATABASE!E259="","Missing Typology",""),IF([1]DATABASE!AJ259="","Missing Development",""))</f>
        <v/>
      </c>
      <c r="F298" s="82" t="str">
        <f>_xlfn.TEXTJOIN("; ",TRUE,IF(AND(OR(TRIM([1]DATABASE!Q259)="RESERVED",TRIM([1]DATABASE!Q259)="PRE-RESERVED",TRIM([1]DATABASE!Q259)="PSPA"),[1]DATABASE!AA259=""),"Reserved/PSPA no PSPA Date",""),IF(AND(TRIM([1]DATABASE!Q259)="AVAILABLE",[1]DATABASE!AA259&lt;&gt;""),"Available has PSPA Date",""))</f>
        <v/>
      </c>
      <c r="G298" s="82" t="str">
        <f>_xlfn.TEXTJOIN("; ",TRUE,IF(AND([1]DATABASE!T259&lt;0.8*[1]DATABASE!S259,[1]DATABASE!T259&gt;0,[1]DATABASE!S259&gt;0),"Heavy Price Cut &gt;20%",""),IF(AND(OR(TRIM([1]DATABASE!Q259)="AVAILABLE",TRIM([1]DATABASE!Q259)="UPON REQUEST"),OR([1]DATABASE!T259="",[1]DATABASE!T259=0)),"Active Unit no Price",""),IF(AND(OR(TRIM([1]DATABASE!Q259)="AVAILABLE",TRIM([1]DATABASE!Q259)="RESERVED",TRIM([1]DATABASE!Q259)="PRE-RESERVED",TRIM([1]DATABASE!Q259)="PSPA"),[1]DATABASE!AC259=""),"Active no Owner",""),IF(OR([1]DATABASE!F259="",[1]DATABASE!F259&lt;=0),"Missing/Invalid Area",""),IF(AND([1]DATABASE!T259&gt;0,ABS([1]DATABASE!T259-[1]DATABASE!W259-[1]DATABASE!U259-[1]DATABASE!V259)&gt;1),"Price Bridge Mismatch",""))</f>
        <v/>
      </c>
      <c r="H298" t="str">
        <f t="shared" ref="H298:H361" si="7">IF(LEN(E298&amp;F298&amp;G298)&gt;0,"REVIEW","PASS")</f>
        <v>PASS</v>
      </c>
      <c r="I298" s="90">
        <f>[1]DATABASE!T259</f>
        <v>9000000</v>
      </c>
      <c r="J298" t="str">
        <f>[1]DATABASE!AC259</f>
        <v>Sandra Viegas</v>
      </c>
    </row>
    <row r="299" spans="1:10" ht="13.95" customHeight="1" x14ac:dyDescent="0.3">
      <c r="A299">
        <f>ROW([1]DATABASE!A260)</f>
        <v>260</v>
      </c>
      <c r="B299" t="str">
        <f>[1]DATABASE!AJ260</f>
        <v>Sutaya</v>
      </c>
      <c r="C299" t="str">
        <f>[1]DATABASE!C260</f>
        <v>O</v>
      </c>
      <c r="D299" t="str">
        <f>TRIM([1]DATABASE!Q260)</f>
        <v>AVAILABLE</v>
      </c>
      <c r="E299" s="82" t="str">
        <f>_xlfn.TEXTJOIN("; ",TRUE,IF([1]DATABASE!X260&lt;0,"Negative Discount",""),IF(AND([1]DATABASE!Y260&gt;[1]DATABASE!T260,[1]DATABASE!Y260&gt;0,[1]DATABASE!T260&gt;0),"Sell Price &gt; Current",""),IF(AND(TRIM([1]DATABASE!Q260)="DEED",[1]DATABASE!AA260=""),"Deeded no PSPA Date",""),IF([1]DATABASE!E260="","Missing Typology",""),IF([1]DATABASE!AJ260="","Missing Development",""))</f>
        <v/>
      </c>
      <c r="F299" s="82" t="str">
        <f>_xlfn.TEXTJOIN("; ",TRUE,IF(AND(OR(TRIM([1]DATABASE!Q260)="RESERVED",TRIM([1]DATABASE!Q260)="PRE-RESERVED",TRIM([1]DATABASE!Q260)="PSPA"),[1]DATABASE!AA260=""),"Reserved/PSPA no PSPA Date",""),IF(AND(TRIM([1]DATABASE!Q260)="AVAILABLE",[1]DATABASE!AA260&lt;&gt;""),"Available has PSPA Date",""))</f>
        <v/>
      </c>
      <c r="G299" s="82" t="str">
        <f>_xlfn.TEXTJOIN("; ",TRUE,IF(AND([1]DATABASE!T260&lt;0.8*[1]DATABASE!S260,[1]DATABASE!T260&gt;0,[1]DATABASE!S260&gt;0),"Heavy Price Cut &gt;20%",""),IF(AND(OR(TRIM([1]DATABASE!Q260)="AVAILABLE",TRIM([1]DATABASE!Q260)="UPON REQUEST"),OR([1]DATABASE!T260="",[1]DATABASE!T260=0)),"Active Unit no Price",""),IF(AND(OR(TRIM([1]DATABASE!Q260)="AVAILABLE",TRIM([1]DATABASE!Q260)="RESERVED",TRIM([1]DATABASE!Q260)="PRE-RESERVED",TRIM([1]DATABASE!Q260)="PSPA"),[1]DATABASE!AC260=""),"Active no Owner",""),IF(OR([1]DATABASE!F260="",[1]DATABASE!F260&lt;=0),"Missing/Invalid Area",""),IF(AND([1]DATABASE!T260&gt;0,ABS([1]DATABASE!T260-[1]DATABASE!W260-[1]DATABASE!U260-[1]DATABASE!V260)&gt;1),"Price Bridge Mismatch",""))</f>
        <v/>
      </c>
      <c r="H299" t="str">
        <f t="shared" si="7"/>
        <v>PASS</v>
      </c>
      <c r="I299" s="90">
        <f>[1]DATABASE!T260</f>
        <v>9600000</v>
      </c>
      <c r="J299" t="str">
        <f>[1]DATABASE!AC260</f>
        <v>Sandra Viegas</v>
      </c>
    </row>
    <row r="300" spans="1:10" ht="13.95" customHeight="1" x14ac:dyDescent="0.3">
      <c r="A300">
        <f>ROW([1]DATABASE!A261)</f>
        <v>261</v>
      </c>
      <c r="B300" t="str">
        <f>[1]DATABASE!AJ261</f>
        <v>Terracota</v>
      </c>
      <c r="C300" t="str">
        <f>[1]DATABASE!C261</f>
        <v>V</v>
      </c>
      <c r="D300" t="str">
        <f>TRIM([1]DATABASE!Q261)</f>
        <v>PSPA</v>
      </c>
      <c r="E300" s="82" t="str">
        <f>_xlfn.TEXTJOIN("; ",TRUE,IF([1]DATABASE!X261&lt;0,"Negative Discount",""),IF(AND([1]DATABASE!Y261&gt;[1]DATABASE!T261,[1]DATABASE!Y261&gt;0,[1]DATABASE!T261&gt;0),"Sell Price &gt; Current",""),IF(AND(TRIM([1]DATABASE!Q261)="DEED",[1]DATABASE!AA261=""),"Deeded no PSPA Date",""),IF([1]DATABASE!E261="","Missing Typology",""),IF([1]DATABASE!AJ261="","Missing Development",""))</f>
        <v/>
      </c>
      <c r="F300" s="82" t="str">
        <f>_xlfn.TEXTJOIN("; ",TRUE,IF(AND(OR(TRIM([1]DATABASE!Q261)="RESERVED",TRIM([1]DATABASE!Q261)="PRE-RESERVED",TRIM([1]DATABASE!Q261)="PSPA"),[1]DATABASE!AA261=""),"Reserved/PSPA no PSPA Date",""),IF(AND(TRIM([1]DATABASE!Q261)="AVAILABLE",[1]DATABASE!AA261&lt;&gt;""),"Available has PSPA Date",""))</f>
        <v/>
      </c>
      <c r="G300" s="82" t="str">
        <f>_xlfn.TEXTJOIN("; ",TRUE,IF(AND([1]DATABASE!T261&lt;0.8*[1]DATABASE!S261,[1]DATABASE!T261&gt;0,[1]DATABASE!S261&gt;0),"Heavy Price Cut &gt;20%",""),IF(AND(OR(TRIM([1]DATABASE!Q261)="AVAILABLE",TRIM([1]DATABASE!Q261)="UPON REQUEST"),OR([1]DATABASE!T261="",[1]DATABASE!T261=0)),"Active Unit no Price",""),IF(AND(OR(TRIM([1]DATABASE!Q261)="AVAILABLE",TRIM([1]DATABASE!Q261)="RESERVED",TRIM([1]DATABASE!Q261)="PRE-RESERVED",TRIM([1]DATABASE!Q261)="PSPA"),[1]DATABASE!AC261=""),"Active no Owner",""),IF(OR([1]DATABASE!F261="",[1]DATABASE!F261&lt;=0),"Missing/Invalid Area",""),IF(AND([1]DATABASE!T261&gt;0,ABS([1]DATABASE!T261-[1]DATABASE!W261-[1]DATABASE!U261-[1]DATABASE!V261)&gt;1),"Price Bridge Mismatch",""))</f>
        <v/>
      </c>
      <c r="H300" t="str">
        <f t="shared" si="7"/>
        <v>PASS</v>
      </c>
      <c r="I300" s="90">
        <f>[1]DATABASE!T261</f>
        <v>660000</v>
      </c>
      <c r="J300" t="str">
        <f>[1]DATABASE!AC261</f>
        <v>Ana Damásio</v>
      </c>
    </row>
    <row r="301" spans="1:10" ht="13.95" customHeight="1" x14ac:dyDescent="0.3">
      <c r="A301">
        <f>ROW([1]DATABASE!A262)</f>
        <v>262</v>
      </c>
      <c r="B301" t="str">
        <f>[1]DATABASE!AJ262</f>
        <v>Springs - At the Els</v>
      </c>
      <c r="C301" t="str">
        <f>[1]DATABASE!C262</f>
        <v>W</v>
      </c>
      <c r="D301" t="str">
        <f>TRIM([1]DATABASE!Q262)</f>
        <v>PSPA</v>
      </c>
      <c r="E301" s="82" t="str">
        <f>_xlfn.TEXTJOIN("; ",TRUE,IF([1]DATABASE!X262&lt;0,"Negative Discount",""),IF(AND([1]DATABASE!Y262&gt;[1]DATABASE!T262,[1]DATABASE!Y262&gt;0,[1]DATABASE!T262&gt;0),"Sell Price &gt; Current",""),IF(AND(TRIM([1]DATABASE!Q262)="DEED",[1]DATABASE!AA262=""),"Deeded no PSPA Date",""),IF([1]DATABASE!E262="","Missing Typology",""),IF([1]DATABASE!AJ262="","Missing Development",""))</f>
        <v/>
      </c>
      <c r="F301" s="82" t="str">
        <f>_xlfn.TEXTJOIN("; ",TRUE,IF(AND(OR(TRIM([1]DATABASE!Q262)="RESERVED",TRIM([1]DATABASE!Q262)="PRE-RESERVED",TRIM([1]DATABASE!Q262)="PSPA"),[1]DATABASE!AA262=""),"Reserved/PSPA no PSPA Date",""),IF(AND(TRIM([1]DATABASE!Q262)="AVAILABLE",[1]DATABASE!AA262&lt;&gt;""),"Available has PSPA Date",""))</f>
        <v/>
      </c>
      <c r="G301" s="82" t="str">
        <f>_xlfn.TEXTJOIN("; ",TRUE,IF(AND([1]DATABASE!T262&lt;0.8*[1]DATABASE!S262,[1]DATABASE!T262&gt;0,[1]DATABASE!S262&gt;0),"Heavy Price Cut &gt;20%",""),IF(AND(OR(TRIM([1]DATABASE!Q262)="AVAILABLE",TRIM([1]DATABASE!Q262)="UPON REQUEST"),OR([1]DATABASE!T262="",[1]DATABASE!T262=0)),"Active Unit no Price",""),IF(AND(OR(TRIM([1]DATABASE!Q262)="AVAILABLE",TRIM([1]DATABASE!Q262)="RESERVED",TRIM([1]DATABASE!Q262)="PRE-RESERVED",TRIM([1]DATABASE!Q262)="PSPA"),[1]DATABASE!AC262=""),"Active no Owner",""),IF(OR([1]DATABASE!F262="",[1]DATABASE!F262&lt;=0),"Missing/Invalid Area",""),IF(AND([1]DATABASE!T262&gt;0,ABS([1]DATABASE!T262-[1]DATABASE!W262-[1]DATABASE!U262-[1]DATABASE!V262)&gt;1),"Price Bridge Mismatch",""))</f>
        <v/>
      </c>
      <c r="H301" t="str">
        <f t="shared" si="7"/>
        <v>PASS</v>
      </c>
      <c r="I301" s="90">
        <f>[1]DATABASE!T262</f>
        <v>1750000</v>
      </c>
      <c r="J301" t="str">
        <f>[1]DATABASE!AC262</f>
        <v>Ana Damásio</v>
      </c>
    </row>
    <row r="302" spans="1:10" ht="13.95" customHeight="1" x14ac:dyDescent="0.3">
      <c r="A302">
        <f>ROW([1]DATABASE!A263)</f>
        <v>263</v>
      </c>
      <c r="B302" t="str">
        <f>[1]DATABASE!AJ263</f>
        <v>The Nine</v>
      </c>
      <c r="C302" t="str">
        <f>[1]DATABASE!C263</f>
        <v>V</v>
      </c>
      <c r="D302" t="str">
        <f>TRIM([1]DATABASE!Q263)</f>
        <v>DEED</v>
      </c>
      <c r="E302" s="82" t="str">
        <f>_xlfn.TEXTJOIN("; ",TRUE,IF([1]DATABASE!X263&lt;0,"Negative Discount",""),IF(AND([1]DATABASE!Y263&gt;[1]DATABASE!T263,[1]DATABASE!Y263&gt;0,[1]DATABASE!T263&gt;0),"Sell Price &gt; Current",""),IF(AND(TRIM([1]DATABASE!Q263)="DEED",[1]DATABASE!AA263=""),"Deeded no PSPA Date",""),IF([1]DATABASE!E263="","Missing Typology",""),IF([1]DATABASE!AJ263="","Missing Development",""))</f>
        <v/>
      </c>
      <c r="F302" s="82" t="str">
        <f>_xlfn.TEXTJOIN("; ",TRUE,IF(AND(OR(TRIM([1]DATABASE!Q263)="RESERVED",TRIM([1]DATABASE!Q263)="PRE-RESERVED",TRIM([1]DATABASE!Q263)="PSPA"),[1]DATABASE!AA263=""),"Reserved/PSPA no PSPA Date",""),IF(AND(TRIM([1]DATABASE!Q263)="AVAILABLE",[1]DATABASE!AA263&lt;&gt;""),"Available has PSPA Date",""))</f>
        <v/>
      </c>
      <c r="G302" s="82" t="str">
        <f>_xlfn.TEXTJOIN("; ",TRUE,IF(AND([1]DATABASE!T263&lt;0.8*[1]DATABASE!S263,[1]DATABASE!T263&gt;0,[1]DATABASE!S263&gt;0),"Heavy Price Cut &gt;20%",""),IF(AND(OR(TRIM([1]DATABASE!Q263)="AVAILABLE",TRIM([1]DATABASE!Q263)="UPON REQUEST"),OR([1]DATABASE!T263="",[1]DATABASE!T263=0)),"Active Unit no Price",""),IF(AND(OR(TRIM([1]DATABASE!Q263)="AVAILABLE",TRIM([1]DATABASE!Q263)="RESERVED",TRIM([1]DATABASE!Q263)="PRE-RESERVED",TRIM([1]DATABASE!Q263)="PSPA"),[1]DATABASE!AC263=""),"Active no Owner",""),IF(OR([1]DATABASE!F263="",[1]DATABASE!F263&lt;=0),"Missing/Invalid Area",""),IF(AND([1]DATABASE!T263&gt;0,ABS([1]DATABASE!T263-[1]DATABASE!W263-[1]DATABASE!U263-[1]DATABASE!V263)&gt;1),"Price Bridge Mismatch",""))</f>
        <v/>
      </c>
      <c r="H302" t="str">
        <f t="shared" si="7"/>
        <v>PASS</v>
      </c>
      <c r="I302" s="90">
        <f>[1]DATABASE!T263</f>
        <v>580000</v>
      </c>
      <c r="J302" t="str">
        <f>[1]DATABASE!AC263</f>
        <v>Ana Damásio</v>
      </c>
    </row>
    <row r="303" spans="1:10" ht="13.95" customHeight="1" x14ac:dyDescent="0.3">
      <c r="A303">
        <f>ROW([1]DATABASE!A264)</f>
        <v>264</v>
      </c>
      <c r="B303" t="str">
        <f>[1]DATABASE!AJ264</f>
        <v>VM PARQUE</v>
      </c>
      <c r="C303" t="str">
        <f>[1]DATABASE!C264</f>
        <v>V</v>
      </c>
      <c r="D303" t="str">
        <f>TRIM([1]DATABASE!Q264)</f>
        <v>DEED</v>
      </c>
      <c r="E303" s="82" t="str">
        <f>_xlfn.TEXTJOIN("; ",TRUE,IF([1]DATABASE!X264&lt;0,"Negative Discount",""),IF(AND([1]DATABASE!Y264&gt;[1]DATABASE!T264,[1]DATABASE!Y264&gt;0,[1]DATABASE!T264&gt;0),"Sell Price &gt; Current",""),IF(AND(TRIM([1]DATABASE!Q264)="DEED",[1]DATABASE!AA264=""),"Deeded no PSPA Date",""),IF([1]DATABASE!E264="","Missing Typology",""),IF([1]DATABASE!AJ264="","Missing Development",""))</f>
        <v/>
      </c>
      <c r="F303" s="82" t="str">
        <f>_xlfn.TEXTJOIN("; ",TRUE,IF(AND(OR(TRIM([1]DATABASE!Q264)="RESERVED",TRIM([1]DATABASE!Q264)="PRE-RESERVED",TRIM([1]DATABASE!Q264)="PSPA"),[1]DATABASE!AA264=""),"Reserved/PSPA no PSPA Date",""),IF(AND(TRIM([1]DATABASE!Q264)="AVAILABLE",[1]DATABASE!AA264&lt;&gt;""),"Available has PSPA Date",""))</f>
        <v/>
      </c>
      <c r="G303" s="82" t="str">
        <f>_xlfn.TEXTJOIN("; ",TRUE,IF(AND([1]DATABASE!T264&lt;0.8*[1]DATABASE!S264,[1]DATABASE!T264&gt;0,[1]DATABASE!S264&gt;0),"Heavy Price Cut &gt;20%",""),IF(AND(OR(TRIM([1]DATABASE!Q264)="AVAILABLE",TRIM([1]DATABASE!Q264)="UPON REQUEST"),OR([1]DATABASE!T264="",[1]DATABASE!T264=0)),"Active Unit no Price",""),IF(AND(OR(TRIM([1]DATABASE!Q264)="AVAILABLE",TRIM([1]DATABASE!Q264)="RESERVED",TRIM([1]DATABASE!Q264)="PRE-RESERVED",TRIM([1]DATABASE!Q264)="PSPA"),[1]DATABASE!AC264=""),"Active no Owner",""),IF(OR([1]DATABASE!F264="",[1]DATABASE!F264&lt;=0),"Missing/Invalid Area",""),IF(AND([1]DATABASE!T264&gt;0,ABS([1]DATABASE!T264-[1]DATABASE!W264-[1]DATABASE!U264-[1]DATABASE!V264)&gt;1),"Price Bridge Mismatch",""))</f>
        <v/>
      </c>
      <c r="H303" t="str">
        <f t="shared" si="7"/>
        <v>PASS</v>
      </c>
      <c r="I303" s="90">
        <f>[1]DATABASE!T264</f>
        <v>960000</v>
      </c>
      <c r="J303">
        <f>[1]DATABASE!AC264</f>
        <v>0</v>
      </c>
    </row>
    <row r="304" spans="1:10" ht="13.95" customHeight="1" x14ac:dyDescent="0.3">
      <c r="A304">
        <f>ROW([1]DATABASE!A265)</f>
        <v>265</v>
      </c>
      <c r="B304" t="str">
        <f>[1]DATABASE!AJ265</f>
        <v>Terracota</v>
      </c>
      <c r="C304" t="str">
        <f>[1]DATABASE!C265</f>
        <v>W</v>
      </c>
      <c r="D304" t="str">
        <f>TRIM([1]DATABASE!Q265)</f>
        <v>PSPA</v>
      </c>
      <c r="E304" s="82" t="str">
        <f>_xlfn.TEXTJOIN("; ",TRUE,IF([1]DATABASE!X265&lt;0,"Negative Discount",""),IF(AND([1]DATABASE!Y265&gt;[1]DATABASE!T265,[1]DATABASE!Y265&gt;0,[1]DATABASE!T265&gt;0),"Sell Price &gt; Current",""),IF(AND(TRIM([1]DATABASE!Q265)="DEED",[1]DATABASE!AA265=""),"Deeded no PSPA Date",""),IF([1]DATABASE!E265="","Missing Typology",""),IF([1]DATABASE!AJ265="","Missing Development",""))</f>
        <v/>
      </c>
      <c r="F304" s="82" t="str">
        <f>_xlfn.TEXTJOIN("; ",TRUE,IF(AND(OR(TRIM([1]DATABASE!Q265)="RESERVED",TRIM([1]DATABASE!Q265)="PRE-RESERVED",TRIM([1]DATABASE!Q265)="PSPA"),[1]DATABASE!AA265=""),"Reserved/PSPA no PSPA Date",""),IF(AND(TRIM([1]DATABASE!Q265)="AVAILABLE",[1]DATABASE!AA265&lt;&gt;""),"Available has PSPA Date",""))</f>
        <v/>
      </c>
      <c r="G304" s="82" t="str">
        <f>_xlfn.TEXTJOIN("; ",TRUE,IF(AND([1]DATABASE!T265&lt;0.8*[1]DATABASE!S265,[1]DATABASE!T265&gt;0,[1]DATABASE!S265&gt;0),"Heavy Price Cut &gt;20%",""),IF(AND(OR(TRIM([1]DATABASE!Q265)="AVAILABLE",TRIM([1]DATABASE!Q265)="UPON REQUEST"),OR([1]DATABASE!T265="",[1]DATABASE!T265=0)),"Active Unit no Price",""),IF(AND(OR(TRIM([1]DATABASE!Q265)="AVAILABLE",TRIM([1]DATABASE!Q265)="RESERVED",TRIM([1]DATABASE!Q265)="PRE-RESERVED",TRIM([1]DATABASE!Q265)="PSPA"),[1]DATABASE!AC265=""),"Active no Owner",""),IF(OR([1]DATABASE!F265="",[1]DATABASE!F265&lt;=0),"Missing/Invalid Area",""),IF(AND([1]DATABASE!T265&gt;0,ABS([1]DATABASE!T265-[1]DATABASE!W265-[1]DATABASE!U265-[1]DATABASE!V265)&gt;1),"Price Bridge Mismatch",""))</f>
        <v/>
      </c>
      <c r="H304" t="str">
        <f t="shared" si="7"/>
        <v>PASS</v>
      </c>
      <c r="I304" s="90">
        <f>[1]DATABASE!T265</f>
        <v>660000</v>
      </c>
      <c r="J304" t="str">
        <f>[1]DATABASE!AC265</f>
        <v>Ana Damásio</v>
      </c>
    </row>
    <row r="305" spans="1:10" ht="13.95" customHeight="1" x14ac:dyDescent="0.3">
      <c r="A305">
        <f>ROW([1]DATABASE!A266)</f>
        <v>266</v>
      </c>
      <c r="B305" t="str">
        <f>[1]DATABASE!AJ266</f>
        <v>Rivus</v>
      </c>
      <c r="C305" t="str">
        <f>[1]DATABASE!C266</f>
        <v>X</v>
      </c>
      <c r="D305" t="str">
        <f>TRIM([1]DATABASE!Q266)</f>
        <v>PSPA</v>
      </c>
      <c r="E305" s="82" t="str">
        <f>_xlfn.TEXTJOIN("; ",TRUE,IF([1]DATABASE!X266&lt;0,"Negative Discount",""),IF(AND([1]DATABASE!Y266&gt;[1]DATABASE!T266,[1]DATABASE!Y266&gt;0,[1]DATABASE!T266&gt;0),"Sell Price &gt; Current",""),IF(AND(TRIM([1]DATABASE!Q266)="DEED",[1]DATABASE!AA266=""),"Deeded no PSPA Date",""),IF([1]DATABASE!E266="","Missing Typology",""),IF([1]DATABASE!AJ266="","Missing Development",""))</f>
        <v/>
      </c>
      <c r="F305" s="82" t="str">
        <f>_xlfn.TEXTJOIN("; ",TRUE,IF(AND(OR(TRIM([1]DATABASE!Q266)="RESERVED",TRIM([1]DATABASE!Q266)="PRE-RESERVED",TRIM([1]DATABASE!Q266)="PSPA"),[1]DATABASE!AA266=""),"Reserved/PSPA no PSPA Date",""),IF(AND(TRIM([1]DATABASE!Q266)="AVAILABLE",[1]DATABASE!AA266&lt;&gt;""),"Available has PSPA Date",""))</f>
        <v/>
      </c>
      <c r="G305" s="82" t="str">
        <f>_xlfn.TEXTJOIN("; ",TRUE,IF(AND([1]DATABASE!T266&lt;0.8*[1]DATABASE!S266,[1]DATABASE!T266&gt;0,[1]DATABASE!S266&gt;0),"Heavy Price Cut &gt;20%",""),IF(AND(OR(TRIM([1]DATABASE!Q266)="AVAILABLE",TRIM([1]DATABASE!Q266)="UPON REQUEST"),OR([1]DATABASE!T266="",[1]DATABASE!T266=0)),"Active Unit no Price",""),IF(AND(OR(TRIM([1]DATABASE!Q266)="AVAILABLE",TRIM([1]DATABASE!Q266)="RESERVED",TRIM([1]DATABASE!Q266)="PRE-RESERVED",TRIM([1]DATABASE!Q266)="PSPA"),[1]DATABASE!AC266=""),"Active no Owner",""),IF(OR([1]DATABASE!F266="",[1]DATABASE!F266&lt;=0),"Missing/Invalid Area",""),IF(AND([1]DATABASE!T266&gt;0,ABS([1]DATABASE!T266-[1]DATABASE!W266-[1]DATABASE!U266-[1]DATABASE!V266)&gt;1),"Price Bridge Mismatch",""))</f>
        <v>Missing/Invalid Area</v>
      </c>
      <c r="H305" t="str">
        <f t="shared" si="7"/>
        <v>REVIEW</v>
      </c>
      <c r="I305" s="90">
        <f>[1]DATABASE!T266</f>
        <v>1000000</v>
      </c>
      <c r="J305" t="str">
        <f>[1]DATABASE!AC266</f>
        <v>Ana Damásio</v>
      </c>
    </row>
    <row r="306" spans="1:10" ht="13.95" customHeight="1" x14ac:dyDescent="0.3">
      <c r="A306">
        <f>ROW([1]DATABASE!A267)</f>
        <v>267</v>
      </c>
      <c r="B306" t="str">
        <f>[1]DATABASE!AJ267</f>
        <v>VM PARQUE</v>
      </c>
      <c r="C306" t="str">
        <f>[1]DATABASE!C267</f>
        <v>W</v>
      </c>
      <c r="D306" t="str">
        <f>TRIM([1]DATABASE!Q267)</f>
        <v>DEED</v>
      </c>
      <c r="E306" s="82" t="str">
        <f>_xlfn.TEXTJOIN("; ",TRUE,IF([1]DATABASE!X267&lt;0,"Negative Discount",""),IF(AND([1]DATABASE!Y267&gt;[1]DATABASE!T267,[1]DATABASE!Y267&gt;0,[1]DATABASE!T267&gt;0),"Sell Price &gt; Current",""),IF(AND(TRIM([1]DATABASE!Q267)="DEED",[1]DATABASE!AA267=""),"Deeded no PSPA Date",""),IF([1]DATABASE!E267="","Missing Typology",""),IF([1]DATABASE!AJ267="","Missing Development",""))</f>
        <v/>
      </c>
      <c r="F306" s="82" t="str">
        <f>_xlfn.TEXTJOIN("; ",TRUE,IF(AND(OR(TRIM([1]DATABASE!Q267)="RESERVED",TRIM([1]DATABASE!Q267)="PRE-RESERVED",TRIM([1]DATABASE!Q267)="PSPA"),[1]DATABASE!AA267=""),"Reserved/PSPA no PSPA Date",""),IF(AND(TRIM([1]DATABASE!Q267)="AVAILABLE",[1]DATABASE!AA267&lt;&gt;""),"Available has PSPA Date",""))</f>
        <v/>
      </c>
      <c r="G306" s="82" t="str">
        <f>_xlfn.TEXTJOIN("; ",TRUE,IF(AND([1]DATABASE!T267&lt;0.8*[1]DATABASE!S267,[1]DATABASE!T267&gt;0,[1]DATABASE!S267&gt;0),"Heavy Price Cut &gt;20%",""),IF(AND(OR(TRIM([1]DATABASE!Q267)="AVAILABLE",TRIM([1]DATABASE!Q267)="UPON REQUEST"),OR([1]DATABASE!T267="",[1]DATABASE!T267=0)),"Active Unit no Price",""),IF(AND(OR(TRIM([1]DATABASE!Q267)="AVAILABLE",TRIM([1]DATABASE!Q267)="RESERVED",TRIM([1]DATABASE!Q267)="PRE-RESERVED",TRIM([1]DATABASE!Q267)="PSPA"),[1]DATABASE!AC267=""),"Active no Owner",""),IF(OR([1]DATABASE!F267="",[1]DATABASE!F267&lt;=0),"Missing/Invalid Area",""),IF(AND([1]DATABASE!T267&gt;0,ABS([1]DATABASE!T267-[1]DATABASE!W267-[1]DATABASE!U267-[1]DATABASE!V267)&gt;1),"Price Bridge Mismatch",""))</f>
        <v/>
      </c>
      <c r="H306" t="str">
        <f t="shared" si="7"/>
        <v>PASS</v>
      </c>
      <c r="I306" s="90">
        <f>[1]DATABASE!T267</f>
        <v>960000</v>
      </c>
      <c r="J306">
        <f>[1]DATABASE!AC267</f>
        <v>0</v>
      </c>
    </row>
    <row r="307" spans="1:10" ht="13.95" customHeight="1" x14ac:dyDescent="0.3">
      <c r="A307">
        <f>ROW([1]DATABASE!A268)</f>
        <v>268</v>
      </c>
      <c r="B307" t="str">
        <f>[1]DATABASE!AJ268</f>
        <v>Springs - At the Els</v>
      </c>
      <c r="C307" t="str">
        <f>[1]DATABASE!C268</f>
        <v>X</v>
      </c>
      <c r="D307" t="str">
        <f>TRIM([1]DATABASE!Q268)</f>
        <v>PSPA</v>
      </c>
      <c r="E307" s="82" t="str">
        <f>_xlfn.TEXTJOIN("; ",TRUE,IF([1]DATABASE!X268&lt;0,"Negative Discount",""),IF(AND([1]DATABASE!Y268&gt;[1]DATABASE!T268,[1]DATABASE!Y268&gt;0,[1]DATABASE!T268&gt;0),"Sell Price &gt; Current",""),IF(AND(TRIM([1]DATABASE!Q268)="DEED",[1]DATABASE!AA268=""),"Deeded no PSPA Date",""),IF([1]DATABASE!E268="","Missing Typology",""),IF([1]DATABASE!AJ268="","Missing Development",""))</f>
        <v/>
      </c>
      <c r="F307" s="82" t="str">
        <f>_xlfn.TEXTJOIN("; ",TRUE,IF(AND(OR(TRIM([1]DATABASE!Q268)="RESERVED",TRIM([1]DATABASE!Q268)="PRE-RESERVED",TRIM([1]DATABASE!Q268)="PSPA"),[1]DATABASE!AA268=""),"Reserved/PSPA no PSPA Date",""),IF(AND(TRIM([1]DATABASE!Q268)="AVAILABLE",[1]DATABASE!AA268&lt;&gt;""),"Available has PSPA Date",""))</f>
        <v/>
      </c>
      <c r="G307" s="82" t="str">
        <f>_xlfn.TEXTJOIN("; ",TRUE,IF(AND([1]DATABASE!T268&lt;0.8*[1]DATABASE!S268,[1]DATABASE!T268&gt;0,[1]DATABASE!S268&gt;0),"Heavy Price Cut &gt;20%",""),IF(AND(OR(TRIM([1]DATABASE!Q268)="AVAILABLE",TRIM([1]DATABASE!Q268)="UPON REQUEST"),OR([1]DATABASE!T268="",[1]DATABASE!T268=0)),"Active Unit no Price",""),IF(AND(OR(TRIM([1]DATABASE!Q268)="AVAILABLE",TRIM([1]DATABASE!Q268)="RESERVED",TRIM([1]DATABASE!Q268)="PRE-RESERVED",TRIM([1]DATABASE!Q268)="PSPA"),[1]DATABASE!AC268=""),"Active no Owner",""),IF(OR([1]DATABASE!F268="",[1]DATABASE!F268&lt;=0),"Missing/Invalid Area",""),IF(AND([1]DATABASE!T268&gt;0,ABS([1]DATABASE!T268-[1]DATABASE!W268-[1]DATABASE!U268-[1]DATABASE!V268)&gt;1),"Price Bridge Mismatch",""))</f>
        <v/>
      </c>
      <c r="H307" t="str">
        <f t="shared" si="7"/>
        <v>PASS</v>
      </c>
      <c r="I307" s="90">
        <f>[1]DATABASE!T268</f>
        <v>1800000</v>
      </c>
      <c r="J307" t="str">
        <f>[1]DATABASE!AC268</f>
        <v>Ana Damásio</v>
      </c>
    </row>
    <row r="308" spans="1:10" ht="13.95" customHeight="1" x14ac:dyDescent="0.3">
      <c r="A308">
        <f>ROW([1]DATABASE!A269)</f>
        <v>269</v>
      </c>
      <c r="B308" t="str">
        <f>[1]DATABASE!AJ269</f>
        <v>Terracota</v>
      </c>
      <c r="C308" t="str">
        <f>[1]DATABASE!C269</f>
        <v>X</v>
      </c>
      <c r="D308" t="str">
        <f>TRIM([1]DATABASE!Q269)</f>
        <v>PSPA</v>
      </c>
      <c r="E308" s="82" t="str">
        <f>_xlfn.TEXTJOIN("; ",TRUE,IF([1]DATABASE!X269&lt;0,"Negative Discount",""),IF(AND([1]DATABASE!Y269&gt;[1]DATABASE!T269,[1]DATABASE!Y269&gt;0,[1]DATABASE!T269&gt;0),"Sell Price &gt; Current",""),IF(AND(TRIM([1]DATABASE!Q269)="DEED",[1]DATABASE!AA269=""),"Deeded no PSPA Date",""),IF([1]DATABASE!E269="","Missing Typology",""),IF([1]DATABASE!AJ269="","Missing Development",""))</f>
        <v/>
      </c>
      <c r="F308" s="82" t="str">
        <f>_xlfn.TEXTJOIN("; ",TRUE,IF(AND(OR(TRIM([1]DATABASE!Q269)="RESERVED",TRIM([1]DATABASE!Q269)="PRE-RESERVED",TRIM([1]DATABASE!Q269)="PSPA"),[1]DATABASE!AA269=""),"Reserved/PSPA no PSPA Date",""),IF(AND(TRIM([1]DATABASE!Q269)="AVAILABLE",[1]DATABASE!AA269&lt;&gt;""),"Available has PSPA Date",""))</f>
        <v/>
      </c>
      <c r="G308" s="82" t="str">
        <f>_xlfn.TEXTJOIN("; ",TRUE,IF(AND([1]DATABASE!T269&lt;0.8*[1]DATABASE!S269,[1]DATABASE!T269&gt;0,[1]DATABASE!S269&gt;0),"Heavy Price Cut &gt;20%",""),IF(AND(OR(TRIM([1]DATABASE!Q269)="AVAILABLE",TRIM([1]DATABASE!Q269)="UPON REQUEST"),OR([1]DATABASE!T269="",[1]DATABASE!T269=0)),"Active Unit no Price",""),IF(AND(OR(TRIM([1]DATABASE!Q269)="AVAILABLE",TRIM([1]DATABASE!Q269)="RESERVED",TRIM([1]DATABASE!Q269)="PRE-RESERVED",TRIM([1]DATABASE!Q269)="PSPA"),[1]DATABASE!AC269=""),"Active no Owner",""),IF(OR([1]DATABASE!F269="",[1]DATABASE!F269&lt;=0),"Missing/Invalid Area",""),IF(AND([1]DATABASE!T269&gt;0,ABS([1]DATABASE!T269-[1]DATABASE!W269-[1]DATABASE!U269-[1]DATABASE!V269)&gt;1),"Price Bridge Mismatch",""))</f>
        <v/>
      </c>
      <c r="H308" t="str">
        <f t="shared" si="7"/>
        <v>PASS</v>
      </c>
      <c r="I308" s="90">
        <f>[1]DATABASE!T269</f>
        <v>660000</v>
      </c>
      <c r="J308" t="str">
        <f>[1]DATABASE!AC269</f>
        <v>Ana Damásio</v>
      </c>
    </row>
    <row r="309" spans="1:10" ht="13.95" customHeight="1" x14ac:dyDescent="0.3">
      <c r="A309">
        <f>ROW([1]DATABASE!A270)</f>
        <v>270</v>
      </c>
      <c r="B309" t="str">
        <f>[1]DATABASE!AJ270</f>
        <v>Nobilus</v>
      </c>
      <c r="C309" t="str">
        <f>[1]DATABASE!C270</f>
        <v>Y</v>
      </c>
      <c r="D309" t="str">
        <f>TRIM([1]DATABASE!Q270)</f>
        <v>PSPA</v>
      </c>
      <c r="E309" s="82" t="str">
        <f>_xlfn.TEXTJOIN("; ",TRUE,IF([1]DATABASE!X270&lt;0,"Negative Discount",""),IF(AND([1]DATABASE!Y270&gt;[1]DATABASE!T270,[1]DATABASE!Y270&gt;0,[1]DATABASE!T270&gt;0),"Sell Price &gt; Current",""),IF(AND(TRIM([1]DATABASE!Q270)="DEED",[1]DATABASE!AA270=""),"Deeded no PSPA Date",""),IF([1]DATABASE!E270="","Missing Typology",""),IF([1]DATABASE!AJ270="","Missing Development",""))</f>
        <v/>
      </c>
      <c r="F309" s="82" t="str">
        <f>_xlfn.TEXTJOIN("; ",TRUE,IF(AND(OR(TRIM([1]DATABASE!Q270)="RESERVED",TRIM([1]DATABASE!Q270)="PRE-RESERVED",TRIM([1]DATABASE!Q270)="PSPA"),[1]DATABASE!AA270=""),"Reserved/PSPA no PSPA Date",""),IF(AND(TRIM([1]DATABASE!Q270)="AVAILABLE",[1]DATABASE!AA270&lt;&gt;""),"Available has PSPA Date",""))</f>
        <v/>
      </c>
      <c r="G309" s="82" t="str">
        <f>_xlfn.TEXTJOIN("; ",TRUE,IF(AND([1]DATABASE!T270&lt;0.8*[1]DATABASE!S270,[1]DATABASE!T270&gt;0,[1]DATABASE!S270&gt;0),"Heavy Price Cut &gt;20%",""),IF(AND(OR(TRIM([1]DATABASE!Q270)="AVAILABLE",TRIM([1]DATABASE!Q270)="UPON REQUEST"),OR([1]DATABASE!T270="",[1]DATABASE!T270=0)),"Active Unit no Price",""),IF(AND(OR(TRIM([1]DATABASE!Q270)="AVAILABLE",TRIM([1]DATABASE!Q270)="RESERVED",TRIM([1]DATABASE!Q270)="PRE-RESERVED",TRIM([1]DATABASE!Q270)="PSPA"),[1]DATABASE!AC270=""),"Active no Owner",""),IF(OR([1]DATABASE!F270="",[1]DATABASE!F270&lt;=0),"Missing/Invalid Area",""),IF(AND([1]DATABASE!T270&gt;0,ABS([1]DATABASE!T270-[1]DATABASE!W270-[1]DATABASE!U270-[1]DATABASE!V270)&gt;1),"Price Bridge Mismatch",""))</f>
        <v/>
      </c>
      <c r="H309" t="str">
        <f t="shared" si="7"/>
        <v>PASS</v>
      </c>
      <c r="I309" s="90">
        <f>[1]DATABASE!T270</f>
        <v>1216000</v>
      </c>
      <c r="J309" t="str">
        <f>[1]DATABASE!AC270</f>
        <v>Ana Damásio</v>
      </c>
    </row>
    <row r="310" spans="1:10" ht="13.95" customHeight="1" x14ac:dyDescent="0.3">
      <c r="A310">
        <f>ROW([1]DATABASE!A271)</f>
        <v>271</v>
      </c>
      <c r="B310" t="str">
        <f>[1]DATABASE!AJ271</f>
        <v>VM PARQUE</v>
      </c>
      <c r="C310" t="str">
        <f>[1]DATABASE!C271</f>
        <v>X</v>
      </c>
      <c r="D310" t="str">
        <f>TRIM([1]DATABASE!Q271)</f>
        <v>DEED</v>
      </c>
      <c r="E310" s="82" t="str">
        <f>_xlfn.TEXTJOIN("; ",TRUE,IF([1]DATABASE!X271&lt;0,"Negative Discount",""),IF(AND([1]DATABASE!Y271&gt;[1]DATABASE!T271,[1]DATABASE!Y271&gt;0,[1]DATABASE!T271&gt;0),"Sell Price &gt; Current",""),IF(AND(TRIM([1]DATABASE!Q271)="DEED",[1]DATABASE!AA271=""),"Deeded no PSPA Date",""),IF([1]DATABASE!E271="","Missing Typology",""),IF([1]DATABASE!AJ271="","Missing Development",""))</f>
        <v/>
      </c>
      <c r="F310" s="82" t="str">
        <f>_xlfn.TEXTJOIN("; ",TRUE,IF(AND(OR(TRIM([1]DATABASE!Q271)="RESERVED",TRIM([1]DATABASE!Q271)="PRE-RESERVED",TRIM([1]DATABASE!Q271)="PSPA"),[1]DATABASE!AA271=""),"Reserved/PSPA no PSPA Date",""),IF(AND(TRIM([1]DATABASE!Q271)="AVAILABLE",[1]DATABASE!AA271&lt;&gt;""),"Available has PSPA Date",""))</f>
        <v/>
      </c>
      <c r="G310" s="82" t="str">
        <f>_xlfn.TEXTJOIN("; ",TRUE,IF(AND([1]DATABASE!T271&lt;0.8*[1]DATABASE!S271,[1]DATABASE!T271&gt;0,[1]DATABASE!S271&gt;0),"Heavy Price Cut &gt;20%",""),IF(AND(OR(TRIM([1]DATABASE!Q271)="AVAILABLE",TRIM([1]DATABASE!Q271)="UPON REQUEST"),OR([1]DATABASE!T271="",[1]DATABASE!T271=0)),"Active Unit no Price",""),IF(AND(OR(TRIM([1]DATABASE!Q271)="AVAILABLE",TRIM([1]DATABASE!Q271)="RESERVED",TRIM([1]DATABASE!Q271)="PRE-RESERVED",TRIM([1]DATABASE!Q271)="PSPA"),[1]DATABASE!AC271=""),"Active no Owner",""),IF(OR([1]DATABASE!F271="",[1]DATABASE!F271&lt;=0),"Missing/Invalid Area",""),IF(AND([1]DATABASE!T271&gt;0,ABS([1]DATABASE!T271-[1]DATABASE!W271-[1]DATABASE!U271-[1]DATABASE!V271)&gt;1),"Price Bridge Mismatch",""))</f>
        <v/>
      </c>
      <c r="H310" t="str">
        <f t="shared" si="7"/>
        <v>PASS</v>
      </c>
      <c r="I310" s="90">
        <f>[1]DATABASE!T271</f>
        <v>960000</v>
      </c>
      <c r="J310">
        <f>[1]DATABASE!AC271</f>
        <v>0</v>
      </c>
    </row>
    <row r="311" spans="1:10" ht="13.95" customHeight="1" x14ac:dyDescent="0.3">
      <c r="A311">
        <f>ROW([1]DATABASE!A272)</f>
        <v>272</v>
      </c>
      <c r="B311" t="str">
        <f>[1]DATABASE!AJ272</f>
        <v>Terracota</v>
      </c>
      <c r="C311" t="str">
        <f>[1]DATABASE!C272</f>
        <v>Y</v>
      </c>
      <c r="D311" t="str">
        <f>TRIM([1]DATABASE!Q272)</f>
        <v>PSPA</v>
      </c>
      <c r="E311" s="82" t="str">
        <f>_xlfn.TEXTJOIN("; ",TRUE,IF([1]DATABASE!X272&lt;0,"Negative Discount",""),IF(AND([1]DATABASE!Y272&gt;[1]DATABASE!T272,[1]DATABASE!Y272&gt;0,[1]DATABASE!T272&gt;0),"Sell Price &gt; Current",""),IF(AND(TRIM([1]DATABASE!Q272)="DEED",[1]DATABASE!AA272=""),"Deeded no PSPA Date",""),IF([1]DATABASE!E272="","Missing Typology",""),IF([1]DATABASE!AJ272="","Missing Development",""))</f>
        <v/>
      </c>
      <c r="F311" s="82" t="str">
        <f>_xlfn.TEXTJOIN("; ",TRUE,IF(AND(OR(TRIM([1]DATABASE!Q272)="RESERVED",TRIM([1]DATABASE!Q272)="PRE-RESERVED",TRIM([1]DATABASE!Q272)="PSPA"),[1]DATABASE!AA272=""),"Reserved/PSPA no PSPA Date",""),IF(AND(TRIM([1]DATABASE!Q272)="AVAILABLE",[1]DATABASE!AA272&lt;&gt;""),"Available has PSPA Date",""))</f>
        <v/>
      </c>
      <c r="G311" s="82" t="str">
        <f>_xlfn.TEXTJOIN("; ",TRUE,IF(AND([1]DATABASE!T272&lt;0.8*[1]DATABASE!S272,[1]DATABASE!T272&gt;0,[1]DATABASE!S272&gt;0),"Heavy Price Cut &gt;20%",""),IF(AND(OR(TRIM([1]DATABASE!Q272)="AVAILABLE",TRIM([1]DATABASE!Q272)="UPON REQUEST"),OR([1]DATABASE!T272="",[1]DATABASE!T272=0)),"Active Unit no Price",""),IF(AND(OR(TRIM([1]DATABASE!Q272)="AVAILABLE",TRIM([1]DATABASE!Q272)="RESERVED",TRIM([1]DATABASE!Q272)="PRE-RESERVED",TRIM([1]DATABASE!Q272)="PSPA"),[1]DATABASE!AC272=""),"Active no Owner",""),IF(OR([1]DATABASE!F272="",[1]DATABASE!F272&lt;=0),"Missing/Invalid Area",""),IF(AND([1]DATABASE!T272&gt;0,ABS([1]DATABASE!T272-[1]DATABASE!W272-[1]DATABASE!U272-[1]DATABASE!V272)&gt;1),"Price Bridge Mismatch",""))</f>
        <v/>
      </c>
      <c r="H311" t="str">
        <f t="shared" si="7"/>
        <v>PASS</v>
      </c>
      <c r="I311" s="90">
        <f>[1]DATABASE!T272</f>
        <v>627000</v>
      </c>
      <c r="J311" t="str">
        <f>[1]DATABASE!AC272</f>
        <v>Ana Damásio</v>
      </c>
    </row>
    <row r="312" spans="1:10" ht="13.95" customHeight="1" x14ac:dyDescent="0.3">
      <c r="A312">
        <f>ROW([1]DATABASE!A273)</f>
        <v>273</v>
      </c>
      <c r="B312" t="str">
        <f>[1]DATABASE!AJ273</f>
        <v>Terracota</v>
      </c>
      <c r="C312" t="str">
        <f>[1]DATABASE!C273</f>
        <v>Z</v>
      </c>
      <c r="D312" t="str">
        <f>TRIM([1]DATABASE!Q273)</f>
        <v>PSPA</v>
      </c>
      <c r="E312" s="82" t="str">
        <f>_xlfn.TEXTJOIN("; ",TRUE,IF([1]DATABASE!X273&lt;0,"Negative Discount",""),IF(AND([1]DATABASE!Y273&gt;[1]DATABASE!T273,[1]DATABASE!Y273&gt;0,[1]DATABASE!T273&gt;0),"Sell Price &gt; Current",""),IF(AND(TRIM([1]DATABASE!Q273)="DEED",[1]DATABASE!AA273=""),"Deeded no PSPA Date",""),IF([1]DATABASE!E273="","Missing Typology",""),IF([1]DATABASE!AJ273="","Missing Development",""))</f>
        <v/>
      </c>
      <c r="F312" s="82" t="str">
        <f>_xlfn.TEXTJOIN("; ",TRUE,IF(AND(OR(TRIM([1]DATABASE!Q273)="RESERVED",TRIM([1]DATABASE!Q273)="PRE-RESERVED",TRIM([1]DATABASE!Q273)="PSPA"),[1]DATABASE!AA273=""),"Reserved/PSPA no PSPA Date",""),IF(AND(TRIM([1]DATABASE!Q273)="AVAILABLE",[1]DATABASE!AA273&lt;&gt;""),"Available has PSPA Date",""))</f>
        <v/>
      </c>
      <c r="G312" s="82" t="str">
        <f>_xlfn.TEXTJOIN("; ",TRUE,IF(AND([1]DATABASE!T273&lt;0.8*[1]DATABASE!S273,[1]DATABASE!T273&gt;0,[1]DATABASE!S273&gt;0),"Heavy Price Cut &gt;20%",""),IF(AND(OR(TRIM([1]DATABASE!Q273)="AVAILABLE",TRIM([1]DATABASE!Q273)="UPON REQUEST"),OR([1]DATABASE!T273="",[1]DATABASE!T273=0)),"Active Unit no Price",""),IF(AND(OR(TRIM([1]DATABASE!Q273)="AVAILABLE",TRIM([1]DATABASE!Q273)="RESERVED",TRIM([1]DATABASE!Q273)="PRE-RESERVED",TRIM([1]DATABASE!Q273)="PSPA"),[1]DATABASE!AC273=""),"Active no Owner",""),IF(OR([1]DATABASE!F273="",[1]DATABASE!F273&lt;=0),"Missing/Invalid Area",""),IF(AND([1]DATABASE!T273&gt;0,ABS([1]DATABASE!T273-[1]DATABASE!W273-[1]DATABASE!U273-[1]DATABASE!V273)&gt;1),"Price Bridge Mismatch",""))</f>
        <v/>
      </c>
      <c r="H312" t="str">
        <f t="shared" si="7"/>
        <v>PASS</v>
      </c>
      <c r="I312" s="90">
        <f>[1]DATABASE!T273</f>
        <v>541500</v>
      </c>
      <c r="J312" t="str">
        <f>[1]DATABASE!AC273</f>
        <v>Ana Damásio</v>
      </c>
    </row>
    <row r="313" spans="1:10" ht="13.95" customHeight="1" x14ac:dyDescent="0.3">
      <c r="A313">
        <f>ROW([1]DATABASE!A274)</f>
        <v>274</v>
      </c>
      <c r="B313" t="str">
        <f>[1]DATABASE!AJ274</f>
        <v>The Nine</v>
      </c>
      <c r="C313" t="str">
        <f>[1]DATABASE!C274</f>
        <v>Y</v>
      </c>
      <c r="D313" t="str">
        <f>TRIM([1]DATABASE!Q274)</f>
        <v>DEED</v>
      </c>
      <c r="E313" s="82" t="str">
        <f>_xlfn.TEXTJOIN("; ",TRUE,IF([1]DATABASE!X274&lt;0,"Negative Discount",""),IF(AND([1]DATABASE!Y274&gt;[1]DATABASE!T274,[1]DATABASE!Y274&gt;0,[1]DATABASE!T274&gt;0),"Sell Price &gt; Current",""),IF(AND(TRIM([1]DATABASE!Q274)="DEED",[1]DATABASE!AA274=""),"Deeded no PSPA Date",""),IF([1]DATABASE!E274="","Missing Typology",""),IF([1]DATABASE!AJ274="","Missing Development",""))</f>
        <v/>
      </c>
      <c r="F313" s="82" t="str">
        <f>_xlfn.TEXTJOIN("; ",TRUE,IF(AND(OR(TRIM([1]DATABASE!Q274)="RESERVED",TRIM([1]DATABASE!Q274)="PRE-RESERVED",TRIM([1]DATABASE!Q274)="PSPA"),[1]DATABASE!AA274=""),"Reserved/PSPA no PSPA Date",""),IF(AND(TRIM([1]DATABASE!Q274)="AVAILABLE",[1]DATABASE!AA274&lt;&gt;""),"Available has PSPA Date",""))</f>
        <v/>
      </c>
      <c r="G313" s="82" t="str">
        <f>_xlfn.TEXTJOIN("; ",TRUE,IF(AND([1]DATABASE!T274&lt;0.8*[1]DATABASE!S274,[1]DATABASE!T274&gt;0,[1]DATABASE!S274&gt;0),"Heavy Price Cut &gt;20%",""),IF(AND(OR(TRIM([1]DATABASE!Q274)="AVAILABLE",TRIM([1]DATABASE!Q274)="UPON REQUEST"),OR([1]DATABASE!T274="",[1]DATABASE!T274=0)),"Active Unit no Price",""),IF(AND(OR(TRIM([1]DATABASE!Q274)="AVAILABLE",TRIM([1]DATABASE!Q274)="RESERVED",TRIM([1]DATABASE!Q274)="PRE-RESERVED",TRIM([1]DATABASE!Q274)="PSPA"),[1]DATABASE!AC274=""),"Active no Owner",""),IF(OR([1]DATABASE!F274="",[1]DATABASE!F274&lt;=0),"Missing/Invalid Area",""),IF(AND([1]DATABASE!T274&gt;0,ABS([1]DATABASE!T274-[1]DATABASE!W274-[1]DATABASE!U274-[1]DATABASE!V274)&gt;1),"Price Bridge Mismatch",""))</f>
        <v/>
      </c>
      <c r="H313" t="str">
        <f t="shared" si="7"/>
        <v>PASS</v>
      </c>
      <c r="I313" s="90">
        <f>[1]DATABASE!T274</f>
        <v>610000</v>
      </c>
      <c r="J313" t="str">
        <f>[1]DATABASE!AC274</f>
        <v>Ana Damásio</v>
      </c>
    </row>
    <row r="314" spans="1:10" ht="13.95" customHeight="1" x14ac:dyDescent="0.3">
      <c r="A314">
        <f>ROW([1]DATABASE!A275)</f>
        <v>275</v>
      </c>
      <c r="B314" t="str">
        <f>[1]DATABASE!AJ275</f>
        <v>VM PARQUE</v>
      </c>
      <c r="C314" t="str">
        <f>[1]DATABASE!C275</f>
        <v>Y</v>
      </c>
      <c r="D314" t="str">
        <f>TRIM([1]DATABASE!Q275)</f>
        <v>DEED</v>
      </c>
      <c r="E314" s="82" t="str">
        <f>_xlfn.TEXTJOIN("; ",TRUE,IF([1]DATABASE!X275&lt;0,"Negative Discount",""),IF(AND([1]DATABASE!Y275&gt;[1]DATABASE!T275,[1]DATABASE!Y275&gt;0,[1]DATABASE!T275&gt;0),"Sell Price &gt; Current",""),IF(AND(TRIM([1]DATABASE!Q275)="DEED",[1]DATABASE!AA275=""),"Deeded no PSPA Date",""),IF([1]DATABASE!E275="","Missing Typology",""),IF([1]DATABASE!AJ275="","Missing Development",""))</f>
        <v/>
      </c>
      <c r="F314" s="82" t="str">
        <f>_xlfn.TEXTJOIN("; ",TRUE,IF(AND(OR(TRIM([1]DATABASE!Q275)="RESERVED",TRIM([1]DATABASE!Q275)="PRE-RESERVED",TRIM([1]DATABASE!Q275)="PSPA"),[1]DATABASE!AA275=""),"Reserved/PSPA no PSPA Date",""),IF(AND(TRIM([1]DATABASE!Q275)="AVAILABLE",[1]DATABASE!AA275&lt;&gt;""),"Available has PSPA Date",""))</f>
        <v/>
      </c>
      <c r="G314" s="82" t="str">
        <f>_xlfn.TEXTJOIN("; ",TRUE,IF(AND([1]DATABASE!T275&lt;0.8*[1]DATABASE!S275,[1]DATABASE!T275&gt;0,[1]DATABASE!S275&gt;0),"Heavy Price Cut &gt;20%",""),IF(AND(OR(TRIM([1]DATABASE!Q275)="AVAILABLE",TRIM([1]DATABASE!Q275)="UPON REQUEST"),OR([1]DATABASE!T275="",[1]DATABASE!T275=0)),"Active Unit no Price",""),IF(AND(OR(TRIM([1]DATABASE!Q275)="AVAILABLE",TRIM([1]DATABASE!Q275)="RESERVED",TRIM([1]DATABASE!Q275)="PRE-RESERVED",TRIM([1]DATABASE!Q275)="PSPA"),[1]DATABASE!AC275=""),"Active no Owner",""),IF(OR([1]DATABASE!F275="",[1]DATABASE!F275&lt;=0),"Missing/Invalid Area",""),IF(AND([1]DATABASE!T275&gt;0,ABS([1]DATABASE!T275-[1]DATABASE!W275-[1]DATABASE!U275-[1]DATABASE!V275)&gt;1),"Price Bridge Mismatch",""))</f>
        <v/>
      </c>
      <c r="H314" t="str">
        <f t="shared" si="7"/>
        <v>PASS</v>
      </c>
      <c r="I314" s="90">
        <f>[1]DATABASE!T275</f>
        <v>960000</v>
      </c>
      <c r="J314">
        <f>[1]DATABASE!AC275</f>
        <v>0</v>
      </c>
    </row>
    <row r="315" spans="1:10" ht="13.95" customHeight="1" x14ac:dyDescent="0.3">
      <c r="A315">
        <f>ROW([1]DATABASE!A276)</f>
        <v>276</v>
      </c>
      <c r="B315" t="str">
        <f>[1]DATABASE!AJ276</f>
        <v>Palmares</v>
      </c>
      <c r="C315" t="str">
        <f>[1]DATABASE!C276</f>
        <v>833B</v>
      </c>
      <c r="D315" t="str">
        <f>TRIM([1]DATABASE!Q276)</f>
        <v>PSPA</v>
      </c>
      <c r="E315" s="82" t="str">
        <f>_xlfn.TEXTJOIN("; ",TRUE,IF([1]DATABASE!X276&lt;0,"Negative Discount",""),IF(AND([1]DATABASE!Y276&gt;[1]DATABASE!T276,[1]DATABASE!Y276&gt;0,[1]DATABASE!T276&gt;0),"Sell Price &gt; Current",""),IF(AND(TRIM([1]DATABASE!Q276)="DEED",[1]DATABASE!AA276=""),"Deeded no PSPA Date",""),IF([1]DATABASE!E276="","Missing Typology",""),IF([1]DATABASE!AJ276="","Missing Development",""))</f>
        <v/>
      </c>
      <c r="F315" s="82" t="str">
        <f>_xlfn.TEXTJOIN("; ",TRUE,IF(AND(OR(TRIM([1]DATABASE!Q276)="RESERVED",TRIM([1]DATABASE!Q276)="PRE-RESERVED",TRIM([1]DATABASE!Q276)="PSPA"),[1]DATABASE!AA276=""),"Reserved/PSPA no PSPA Date",""),IF(AND(TRIM([1]DATABASE!Q276)="AVAILABLE",[1]DATABASE!AA276&lt;&gt;""),"Available has PSPA Date",""))</f>
        <v/>
      </c>
      <c r="G315" s="82" t="str">
        <f>_xlfn.TEXTJOIN("; ",TRUE,IF(AND([1]DATABASE!T276&lt;0.8*[1]DATABASE!S276,[1]DATABASE!T276&gt;0,[1]DATABASE!S276&gt;0),"Heavy Price Cut &gt;20%",""),IF(AND(OR(TRIM([1]DATABASE!Q276)="AVAILABLE",TRIM([1]DATABASE!Q276)="UPON REQUEST"),OR([1]DATABASE!T276="",[1]DATABASE!T276=0)),"Active Unit no Price",""),IF(AND(OR(TRIM([1]DATABASE!Q276)="AVAILABLE",TRIM([1]DATABASE!Q276)="RESERVED",TRIM([1]DATABASE!Q276)="PRE-RESERVED",TRIM([1]DATABASE!Q276)="PSPA"),[1]DATABASE!AC276=""),"Active no Owner",""),IF(OR([1]DATABASE!F276="",[1]DATABASE!F276&lt;=0),"Missing/Invalid Area",""),IF(AND([1]DATABASE!T276&gt;0,ABS([1]DATABASE!T276-[1]DATABASE!W276-[1]DATABASE!U276-[1]DATABASE!V276)&gt;1),"Price Bridge Mismatch",""))</f>
        <v>Active no Owner</v>
      </c>
      <c r="H315" t="str">
        <f t="shared" si="7"/>
        <v>REVIEW</v>
      </c>
      <c r="I315" s="90">
        <f>[1]DATABASE!T276</f>
        <v>1400000</v>
      </c>
      <c r="J315">
        <f>[1]DATABASE!AC276</f>
        <v>0</v>
      </c>
    </row>
    <row r="316" spans="1:10" ht="13.95" customHeight="1" x14ac:dyDescent="0.3">
      <c r="A316">
        <f>ROW([1]DATABASE!A277)</f>
        <v>277</v>
      </c>
      <c r="B316" t="str">
        <f>[1]DATABASE!AJ277</f>
        <v>The Nine</v>
      </c>
      <c r="C316" t="str">
        <f>[1]DATABASE!C277</f>
        <v>Z</v>
      </c>
      <c r="D316" t="str">
        <f>TRIM([1]DATABASE!Q277)</f>
        <v>DEED</v>
      </c>
      <c r="E316" s="82" t="str">
        <f>_xlfn.TEXTJOIN("; ",TRUE,IF([1]DATABASE!X277&lt;0,"Negative Discount",""),IF(AND([1]DATABASE!Y277&gt;[1]DATABASE!T277,[1]DATABASE!Y277&gt;0,[1]DATABASE!T277&gt;0),"Sell Price &gt; Current",""),IF(AND(TRIM([1]DATABASE!Q277)="DEED",[1]DATABASE!AA277=""),"Deeded no PSPA Date",""),IF([1]DATABASE!E277="","Missing Typology",""),IF([1]DATABASE!AJ277="","Missing Development",""))</f>
        <v/>
      </c>
      <c r="F316" s="82" t="str">
        <f>_xlfn.TEXTJOIN("; ",TRUE,IF(AND(OR(TRIM([1]DATABASE!Q277)="RESERVED",TRIM([1]DATABASE!Q277)="PRE-RESERVED",TRIM([1]DATABASE!Q277)="PSPA"),[1]DATABASE!AA277=""),"Reserved/PSPA no PSPA Date",""),IF(AND(TRIM([1]DATABASE!Q277)="AVAILABLE",[1]DATABASE!AA277&lt;&gt;""),"Available has PSPA Date",""))</f>
        <v/>
      </c>
      <c r="G316" s="82" t="str">
        <f>_xlfn.TEXTJOIN("; ",TRUE,IF(AND([1]DATABASE!T277&lt;0.8*[1]DATABASE!S277,[1]DATABASE!T277&gt;0,[1]DATABASE!S277&gt;0),"Heavy Price Cut &gt;20%",""),IF(AND(OR(TRIM([1]DATABASE!Q277)="AVAILABLE",TRIM([1]DATABASE!Q277)="UPON REQUEST"),OR([1]DATABASE!T277="",[1]DATABASE!T277=0)),"Active Unit no Price",""),IF(AND(OR(TRIM([1]DATABASE!Q277)="AVAILABLE",TRIM([1]DATABASE!Q277)="RESERVED",TRIM([1]DATABASE!Q277)="PRE-RESERVED",TRIM([1]DATABASE!Q277)="PSPA"),[1]DATABASE!AC277=""),"Active no Owner",""),IF(OR([1]DATABASE!F277="",[1]DATABASE!F277&lt;=0),"Missing/Invalid Area",""),IF(AND([1]DATABASE!T277&gt;0,ABS([1]DATABASE!T277-[1]DATABASE!W277-[1]DATABASE!U277-[1]DATABASE!V277)&gt;1),"Price Bridge Mismatch",""))</f>
        <v/>
      </c>
      <c r="H316" t="str">
        <f t="shared" si="7"/>
        <v>PASS</v>
      </c>
      <c r="I316" s="90">
        <f>[1]DATABASE!T277</f>
        <v>490000</v>
      </c>
      <c r="J316" t="str">
        <f>[1]DATABASE!AC277</f>
        <v>Ana Damásio</v>
      </c>
    </row>
    <row r="317" spans="1:10" ht="13.95" customHeight="1" x14ac:dyDescent="0.3">
      <c r="A317">
        <f>ROW([1]DATABASE!A278)</f>
        <v>278</v>
      </c>
      <c r="B317" t="str">
        <f>[1]DATABASE!AJ278</f>
        <v>VM PARQUE</v>
      </c>
      <c r="C317" t="str">
        <f>[1]DATABASE!C278</f>
        <v>Z</v>
      </c>
      <c r="D317" t="str">
        <f>TRIM([1]DATABASE!Q278)</f>
        <v>DEED</v>
      </c>
      <c r="E317" s="82" t="str">
        <f>_xlfn.TEXTJOIN("; ",TRUE,IF([1]DATABASE!X278&lt;0,"Negative Discount",""),IF(AND([1]DATABASE!Y278&gt;[1]DATABASE!T278,[1]DATABASE!Y278&gt;0,[1]DATABASE!T278&gt;0),"Sell Price &gt; Current",""),IF(AND(TRIM([1]DATABASE!Q278)="DEED",[1]DATABASE!AA278=""),"Deeded no PSPA Date",""),IF([1]DATABASE!E278="","Missing Typology",""),IF([1]DATABASE!AJ278="","Missing Development",""))</f>
        <v/>
      </c>
      <c r="F317" s="82" t="str">
        <f>_xlfn.TEXTJOIN("; ",TRUE,IF(AND(OR(TRIM([1]DATABASE!Q278)="RESERVED",TRIM([1]DATABASE!Q278)="PRE-RESERVED",TRIM([1]DATABASE!Q278)="PSPA"),[1]DATABASE!AA278=""),"Reserved/PSPA no PSPA Date",""),IF(AND(TRIM([1]DATABASE!Q278)="AVAILABLE",[1]DATABASE!AA278&lt;&gt;""),"Available has PSPA Date",""))</f>
        <v/>
      </c>
      <c r="G317" s="82" t="str">
        <f>_xlfn.TEXTJOIN("; ",TRUE,IF(AND([1]DATABASE!T278&lt;0.8*[1]DATABASE!S278,[1]DATABASE!T278&gt;0,[1]DATABASE!S278&gt;0),"Heavy Price Cut &gt;20%",""),IF(AND(OR(TRIM([1]DATABASE!Q278)="AVAILABLE",TRIM([1]DATABASE!Q278)="UPON REQUEST"),OR([1]DATABASE!T278="",[1]DATABASE!T278=0)),"Active Unit no Price",""),IF(AND(OR(TRIM([1]DATABASE!Q278)="AVAILABLE",TRIM([1]DATABASE!Q278)="RESERVED",TRIM([1]DATABASE!Q278)="PRE-RESERVED",TRIM([1]DATABASE!Q278)="PSPA"),[1]DATABASE!AC278=""),"Active no Owner",""),IF(OR([1]DATABASE!F278="",[1]DATABASE!F278&lt;=0),"Missing/Invalid Area",""),IF(AND([1]DATABASE!T278&gt;0,ABS([1]DATABASE!T278-[1]DATABASE!W278-[1]DATABASE!U278-[1]DATABASE!V278)&gt;1),"Price Bridge Mismatch",""))</f>
        <v/>
      </c>
      <c r="H317" t="str">
        <f t="shared" si="7"/>
        <v>PASS</v>
      </c>
      <c r="I317" s="90">
        <f>[1]DATABASE!T278</f>
        <v>992000</v>
      </c>
      <c r="J317">
        <f>[1]DATABASE!AC278</f>
        <v>0</v>
      </c>
    </row>
    <row r="318" spans="1:10" ht="13.95" customHeight="1" x14ac:dyDescent="0.3">
      <c r="A318">
        <f>ROW([1]DATABASE!A279)</f>
        <v>279</v>
      </c>
      <c r="B318" t="str">
        <f>[1]DATABASE!AJ279</f>
        <v>Vale Pisão Grand Park</v>
      </c>
      <c r="C318" t="str">
        <f>[1]DATABASE!C279</f>
        <v>2D</v>
      </c>
      <c r="D318" t="str">
        <f>TRIM([1]DATABASE!Q279)</f>
        <v>AVAILABLE</v>
      </c>
      <c r="E318" s="82" t="str">
        <f>_xlfn.TEXTJOIN("; ",TRUE,IF([1]DATABASE!X279&lt;0,"Negative Discount",""),IF(AND([1]DATABASE!Y279&gt;[1]DATABASE!T279,[1]DATABASE!Y279&gt;0,[1]DATABASE!T279&gt;0),"Sell Price &gt; Current",""),IF(AND(TRIM([1]DATABASE!Q279)="DEED",[1]DATABASE!AA279=""),"Deeded no PSPA Date",""),IF([1]DATABASE!E279="","Missing Typology",""),IF([1]DATABASE!AJ279="","Missing Development",""))</f>
        <v/>
      </c>
      <c r="F318" s="82" t="str">
        <f>_xlfn.TEXTJOIN("; ",TRUE,IF(AND(OR(TRIM([1]DATABASE!Q279)="RESERVED",TRIM([1]DATABASE!Q279)="PRE-RESERVED",TRIM([1]DATABASE!Q279)="PSPA"),[1]DATABASE!AA279=""),"Reserved/PSPA no PSPA Date",""),IF(AND(TRIM([1]DATABASE!Q279)="AVAILABLE",[1]DATABASE!AA279&lt;&gt;""),"Available has PSPA Date",""))</f>
        <v>Available has PSPA Date</v>
      </c>
      <c r="G318" s="82" t="str">
        <f>_xlfn.TEXTJOIN("; ",TRUE,IF(AND([1]DATABASE!T279&lt;0.8*[1]DATABASE!S279,[1]DATABASE!T279&gt;0,[1]DATABASE!S279&gt;0),"Heavy Price Cut &gt;20%",""),IF(AND(OR(TRIM([1]DATABASE!Q279)="AVAILABLE",TRIM([1]DATABASE!Q279)="UPON REQUEST"),OR([1]DATABASE!T279="",[1]DATABASE!T279=0)),"Active Unit no Price",""),IF(AND(OR(TRIM([1]DATABASE!Q279)="AVAILABLE",TRIM([1]DATABASE!Q279)="RESERVED",TRIM([1]DATABASE!Q279)="PRE-RESERVED",TRIM([1]DATABASE!Q279)="PSPA"),[1]DATABASE!AC279=""),"Active no Owner",""),IF(OR([1]DATABASE!F279="",[1]DATABASE!F279&lt;=0),"Missing/Invalid Area",""),IF(AND([1]DATABASE!T279&gt;0,ABS([1]DATABASE!T279-[1]DATABASE!W279-[1]DATABASE!U279-[1]DATABASE!V279)&gt;1),"Price Bridge Mismatch",""))</f>
        <v/>
      </c>
      <c r="H318" t="str">
        <f t="shared" si="7"/>
        <v>REVIEW</v>
      </c>
      <c r="I318" s="90">
        <f>[1]DATABASE!T279</f>
        <v>1090000</v>
      </c>
      <c r="J318" t="str">
        <f>[1]DATABASE!AC279</f>
        <v>João Gameiro</v>
      </c>
    </row>
    <row r="319" spans="1:10" ht="13.95" customHeight="1" x14ac:dyDescent="0.3">
      <c r="A319">
        <f>ROW([1]DATABASE!A280)</f>
        <v>280</v>
      </c>
      <c r="B319" t="str">
        <f>[1]DATABASE!AJ280</f>
        <v>Aroeira Collections</v>
      </c>
      <c r="C319" t="str">
        <f>[1]DATABASE!C280</f>
        <v>119A</v>
      </c>
      <c r="D319" t="str">
        <f>TRIM([1]DATABASE!Q280)</f>
        <v>PSPA</v>
      </c>
      <c r="E319" s="82" t="str">
        <f>_xlfn.TEXTJOIN("; ",TRUE,IF([1]DATABASE!X280&lt;0,"Negative Discount",""),IF(AND([1]DATABASE!Y280&gt;[1]DATABASE!T280,[1]DATABASE!Y280&gt;0,[1]DATABASE!T280&gt;0),"Sell Price &gt; Current",""),IF(AND(TRIM([1]DATABASE!Q280)="DEED",[1]DATABASE!AA280=""),"Deeded no PSPA Date",""),IF([1]DATABASE!E280="","Missing Typology",""),IF([1]DATABASE!AJ280="","Missing Development",""))</f>
        <v/>
      </c>
      <c r="F319" s="82" t="str">
        <f>_xlfn.TEXTJOIN("; ",TRUE,IF(AND(OR(TRIM([1]DATABASE!Q280)="RESERVED",TRIM([1]DATABASE!Q280)="PRE-RESERVED",TRIM([1]DATABASE!Q280)="PSPA"),[1]DATABASE!AA280=""),"Reserved/PSPA no PSPA Date",""),IF(AND(TRIM([1]DATABASE!Q280)="AVAILABLE",[1]DATABASE!AA280&lt;&gt;""),"Available has PSPA Date",""))</f>
        <v/>
      </c>
      <c r="G319" s="82" t="str">
        <f>_xlfn.TEXTJOIN("; ",TRUE,IF(AND([1]DATABASE!T280&lt;0.8*[1]DATABASE!S280,[1]DATABASE!T280&gt;0,[1]DATABASE!S280&gt;0),"Heavy Price Cut &gt;20%",""),IF(AND(OR(TRIM([1]DATABASE!Q280)="AVAILABLE",TRIM([1]DATABASE!Q280)="UPON REQUEST"),OR([1]DATABASE!T280="",[1]DATABASE!T280=0)),"Active Unit no Price",""),IF(AND(OR(TRIM([1]DATABASE!Q280)="AVAILABLE",TRIM([1]DATABASE!Q280)="RESERVED",TRIM([1]DATABASE!Q280)="PRE-RESERVED",TRIM([1]DATABASE!Q280)="PSPA"),[1]DATABASE!AC280=""),"Active no Owner",""),IF(OR([1]DATABASE!F280="",[1]DATABASE!F280&lt;=0),"Missing/Invalid Area",""),IF(AND([1]DATABASE!T280&gt;0,ABS([1]DATABASE!T280-[1]DATABASE!W280-[1]DATABASE!U280-[1]DATABASE!V280)&gt;1),"Price Bridge Mismatch",""))</f>
        <v/>
      </c>
      <c r="H319" t="str">
        <f t="shared" si="7"/>
        <v>PASS</v>
      </c>
      <c r="I319" s="90">
        <f>[1]DATABASE!T280</f>
        <v>430000</v>
      </c>
      <c r="J319" t="str">
        <f>[1]DATABASE!AC280</f>
        <v>João Gameiro</v>
      </c>
    </row>
    <row r="320" spans="1:10" ht="13.95" customHeight="1" x14ac:dyDescent="0.3">
      <c r="A320">
        <f>ROW([1]DATABASE!A281)</f>
        <v>281</v>
      </c>
      <c r="B320" t="str">
        <f>[1]DATABASE!AJ281</f>
        <v>Aroeira Collections</v>
      </c>
      <c r="C320" t="str">
        <f>[1]DATABASE!C281</f>
        <v>120B</v>
      </c>
      <c r="D320" t="str">
        <f>TRIM([1]DATABASE!Q281)</f>
        <v>PSPA</v>
      </c>
      <c r="E320" s="82" t="str">
        <f>_xlfn.TEXTJOIN("; ",TRUE,IF([1]DATABASE!X281&lt;0,"Negative Discount",""),IF(AND([1]DATABASE!Y281&gt;[1]DATABASE!T281,[1]DATABASE!Y281&gt;0,[1]DATABASE!T281&gt;0),"Sell Price &gt; Current",""),IF(AND(TRIM([1]DATABASE!Q281)="DEED",[1]DATABASE!AA281=""),"Deeded no PSPA Date",""),IF([1]DATABASE!E281="","Missing Typology",""),IF([1]DATABASE!AJ281="","Missing Development",""))</f>
        <v/>
      </c>
      <c r="F320" s="82" t="str">
        <f>_xlfn.TEXTJOIN("; ",TRUE,IF(AND(OR(TRIM([1]DATABASE!Q281)="RESERVED",TRIM([1]DATABASE!Q281)="PRE-RESERVED",TRIM([1]DATABASE!Q281)="PSPA"),[1]DATABASE!AA281=""),"Reserved/PSPA no PSPA Date",""),IF(AND(TRIM([1]DATABASE!Q281)="AVAILABLE",[1]DATABASE!AA281&lt;&gt;""),"Available has PSPA Date",""))</f>
        <v/>
      </c>
      <c r="G320" s="82" t="str">
        <f>_xlfn.TEXTJOIN("; ",TRUE,IF(AND([1]DATABASE!T281&lt;0.8*[1]DATABASE!S281,[1]DATABASE!T281&gt;0,[1]DATABASE!S281&gt;0),"Heavy Price Cut &gt;20%",""),IF(AND(OR(TRIM([1]DATABASE!Q281)="AVAILABLE",TRIM([1]DATABASE!Q281)="UPON REQUEST"),OR([1]DATABASE!T281="",[1]DATABASE!T281=0)),"Active Unit no Price",""),IF(AND(OR(TRIM([1]DATABASE!Q281)="AVAILABLE",TRIM([1]DATABASE!Q281)="RESERVED",TRIM([1]DATABASE!Q281)="PRE-RESERVED",TRIM([1]DATABASE!Q281)="PSPA"),[1]DATABASE!AC281=""),"Active no Owner",""),IF(OR([1]DATABASE!F281="",[1]DATABASE!F281&lt;=0),"Missing/Invalid Area",""),IF(AND([1]DATABASE!T281&gt;0,ABS([1]DATABASE!T281-[1]DATABASE!W281-[1]DATABASE!U281-[1]DATABASE!V281)&gt;1),"Price Bridge Mismatch",""))</f>
        <v/>
      </c>
      <c r="H320" t="str">
        <f t="shared" si="7"/>
        <v>PASS</v>
      </c>
      <c r="I320" s="90">
        <f>[1]DATABASE!T281</f>
        <v>940000</v>
      </c>
      <c r="J320" t="str">
        <f>[1]DATABASE!AC281</f>
        <v>João Gameiro</v>
      </c>
    </row>
    <row r="321" spans="1:10" ht="13.95" customHeight="1" x14ac:dyDescent="0.3">
      <c r="A321">
        <f>ROW([1]DATABASE!A282)</f>
        <v>282</v>
      </c>
      <c r="B321" t="str">
        <f>[1]DATABASE!AJ282</f>
        <v>Terracota</v>
      </c>
      <c r="C321" t="str">
        <f>[1]DATABASE!C282</f>
        <v>BI</v>
      </c>
      <c r="D321" t="str">
        <f>TRIM([1]DATABASE!Q282)</f>
        <v>PRE-RESERVED</v>
      </c>
      <c r="E321" s="82" t="str">
        <f>_xlfn.TEXTJOIN("; ",TRUE,IF([1]DATABASE!X282&lt;0,"Negative Discount",""),IF(AND([1]DATABASE!Y282&gt;[1]DATABASE!T282,[1]DATABASE!Y282&gt;0,[1]DATABASE!T282&gt;0),"Sell Price &gt; Current",""),IF(AND(TRIM([1]DATABASE!Q282)="DEED",[1]DATABASE!AA282=""),"Deeded no PSPA Date",""),IF([1]DATABASE!E282="","Missing Typology",""),IF([1]DATABASE!AJ282="","Missing Development",""))</f>
        <v/>
      </c>
      <c r="F321" s="82" t="str">
        <f>_xlfn.TEXTJOIN("; ",TRUE,IF(AND(OR(TRIM([1]DATABASE!Q282)="RESERVED",TRIM([1]DATABASE!Q282)="PRE-RESERVED",TRIM([1]DATABASE!Q282)="PSPA"),[1]DATABASE!AA282=""),"Reserved/PSPA no PSPA Date",""),IF(AND(TRIM([1]DATABASE!Q282)="AVAILABLE",[1]DATABASE!AA282&lt;&gt;""),"Available has PSPA Date",""))</f>
        <v/>
      </c>
      <c r="G321" s="82" t="str">
        <f>_xlfn.TEXTJOIN("; ",TRUE,IF(AND([1]DATABASE!T282&lt;0.8*[1]DATABASE!S282,[1]DATABASE!T282&gt;0,[1]DATABASE!S282&gt;0),"Heavy Price Cut &gt;20%",""),IF(AND(OR(TRIM([1]DATABASE!Q282)="AVAILABLE",TRIM([1]DATABASE!Q282)="UPON REQUEST"),OR([1]DATABASE!T282="",[1]DATABASE!T282=0)),"Active Unit no Price",""),IF(AND(OR(TRIM([1]DATABASE!Q282)="AVAILABLE",TRIM([1]DATABASE!Q282)="RESERVED",TRIM([1]DATABASE!Q282)="PRE-RESERVED",TRIM([1]DATABASE!Q282)="PSPA"),[1]DATABASE!AC282=""),"Active no Owner",""),IF(OR([1]DATABASE!F282="",[1]DATABASE!F282&lt;=0),"Missing/Invalid Area",""),IF(AND([1]DATABASE!T282&gt;0,ABS([1]DATABASE!T282-[1]DATABASE!W282-[1]DATABASE!U282-[1]DATABASE!V282)&gt;1),"Price Bridge Mismatch",""))</f>
        <v/>
      </c>
      <c r="H321" t="str">
        <f t="shared" si="7"/>
        <v>PASS</v>
      </c>
      <c r="I321" s="90">
        <f>[1]DATABASE!T282</f>
        <v>750000</v>
      </c>
      <c r="J321" t="str">
        <f>[1]DATABASE!AC282</f>
        <v>Ana Damásio</v>
      </c>
    </row>
    <row r="322" spans="1:10" ht="13.95" customHeight="1" x14ac:dyDescent="0.3">
      <c r="A322">
        <f>ROW([1]DATABASE!A283)</f>
        <v>283</v>
      </c>
      <c r="B322" t="str">
        <f>[1]DATABASE!AJ283</f>
        <v>Terracota</v>
      </c>
      <c r="C322" t="str">
        <f>[1]DATABASE!C283</f>
        <v>BZ</v>
      </c>
      <c r="D322" t="str">
        <f>TRIM([1]DATABASE!Q283)</f>
        <v>RESERVED</v>
      </c>
      <c r="E322" s="82" t="str">
        <f>_xlfn.TEXTJOIN("; ",TRUE,IF([1]DATABASE!X283&lt;0,"Negative Discount",""),IF(AND([1]DATABASE!Y283&gt;[1]DATABASE!T283,[1]DATABASE!Y283&gt;0,[1]DATABASE!T283&gt;0),"Sell Price &gt; Current",""),IF(AND(TRIM([1]DATABASE!Q283)="DEED",[1]DATABASE!AA283=""),"Deeded no PSPA Date",""),IF([1]DATABASE!E283="","Missing Typology",""),IF([1]DATABASE!AJ283="","Missing Development",""))</f>
        <v/>
      </c>
      <c r="F322" s="82" t="str">
        <f>_xlfn.TEXTJOIN("; ",TRUE,IF(AND(OR(TRIM([1]DATABASE!Q283)="RESERVED",TRIM([1]DATABASE!Q283)="PRE-RESERVED",TRIM([1]DATABASE!Q283)="PSPA"),[1]DATABASE!AA283=""),"Reserved/PSPA no PSPA Date",""),IF(AND(TRIM([1]DATABASE!Q283)="AVAILABLE",[1]DATABASE!AA283&lt;&gt;""),"Available has PSPA Date",""))</f>
        <v/>
      </c>
      <c r="G322" s="82" t="str">
        <f>_xlfn.TEXTJOIN("; ",TRUE,IF(AND([1]DATABASE!T283&lt;0.8*[1]DATABASE!S283,[1]DATABASE!T283&gt;0,[1]DATABASE!S283&gt;0),"Heavy Price Cut &gt;20%",""),IF(AND(OR(TRIM([1]DATABASE!Q283)="AVAILABLE",TRIM([1]DATABASE!Q283)="UPON REQUEST"),OR([1]DATABASE!T283="",[1]DATABASE!T283=0)),"Active Unit no Price",""),IF(AND(OR(TRIM([1]DATABASE!Q283)="AVAILABLE",TRIM([1]DATABASE!Q283)="RESERVED",TRIM([1]DATABASE!Q283)="PRE-RESERVED",TRIM([1]DATABASE!Q283)="PSPA"),[1]DATABASE!AC283=""),"Active no Owner",""),IF(OR([1]DATABASE!F283="",[1]DATABASE!F283&lt;=0),"Missing/Invalid Area",""),IF(AND([1]DATABASE!T283&gt;0,ABS([1]DATABASE!T283-[1]DATABASE!W283-[1]DATABASE!U283-[1]DATABASE!V283)&gt;1),"Price Bridge Mismatch",""))</f>
        <v/>
      </c>
      <c r="H322" t="str">
        <f t="shared" si="7"/>
        <v>PASS</v>
      </c>
      <c r="I322" s="90">
        <f>[1]DATABASE!T283</f>
        <v>680000</v>
      </c>
      <c r="J322" t="str">
        <f>[1]DATABASE!AC283</f>
        <v>Ana Damásio</v>
      </c>
    </row>
    <row r="323" spans="1:10" ht="13.95" customHeight="1" x14ac:dyDescent="0.3">
      <c r="A323">
        <f>ROW([1]DATABASE!A284)</f>
        <v>284</v>
      </c>
      <c r="B323" t="str">
        <f>[1]DATABASE!AJ284</f>
        <v>Natura Village</v>
      </c>
      <c r="C323" t="str">
        <f>[1]DATABASE!C284</f>
        <v>C</v>
      </c>
      <c r="D323" t="str">
        <f>TRIM([1]DATABASE!Q284)</f>
        <v>PRE-RESERVED</v>
      </c>
      <c r="E323" s="82" t="str">
        <f>_xlfn.TEXTJOIN("; ",TRUE,IF([1]DATABASE!X284&lt;0,"Negative Discount",""),IF(AND([1]DATABASE!Y284&gt;[1]DATABASE!T284,[1]DATABASE!Y284&gt;0,[1]DATABASE!T284&gt;0),"Sell Price &gt; Current",""),IF(AND(TRIM([1]DATABASE!Q284)="DEED",[1]DATABASE!AA284=""),"Deeded no PSPA Date",""),IF([1]DATABASE!E284="","Missing Typology",""),IF([1]DATABASE!AJ284="","Missing Development",""))</f>
        <v/>
      </c>
      <c r="F323" s="82" t="str">
        <f>_xlfn.TEXTJOIN("; ",TRUE,IF(AND(OR(TRIM([1]DATABASE!Q284)="RESERVED",TRIM([1]DATABASE!Q284)="PRE-RESERVED",TRIM([1]DATABASE!Q284)="PSPA"),[1]DATABASE!AA284=""),"Reserved/PSPA no PSPA Date",""),IF(AND(TRIM([1]DATABASE!Q284)="AVAILABLE",[1]DATABASE!AA284&lt;&gt;""),"Available has PSPA Date",""))</f>
        <v/>
      </c>
      <c r="G323" s="82" t="str">
        <f>_xlfn.TEXTJOIN("; ",TRUE,IF(AND([1]DATABASE!T284&lt;0.8*[1]DATABASE!S284,[1]DATABASE!T284&gt;0,[1]DATABASE!S284&gt;0),"Heavy Price Cut &gt;20%",""),IF(AND(OR(TRIM([1]DATABASE!Q284)="AVAILABLE",TRIM([1]DATABASE!Q284)="UPON REQUEST"),OR([1]DATABASE!T284="",[1]DATABASE!T284=0)),"Active Unit no Price",""),IF(AND(OR(TRIM([1]DATABASE!Q284)="AVAILABLE",TRIM([1]DATABASE!Q284)="RESERVED",TRIM([1]DATABASE!Q284)="PRE-RESERVED",TRIM([1]DATABASE!Q284)="PSPA"),[1]DATABASE!AC284=""),"Active no Owner",""),IF(OR([1]DATABASE!F284="",[1]DATABASE!F284&lt;=0),"Missing/Invalid Area",""),IF(AND([1]DATABASE!T284&gt;0,ABS([1]DATABASE!T284-[1]DATABASE!W284-[1]DATABASE!U284-[1]DATABASE!V284)&gt;1),"Price Bridge Mismatch",""))</f>
        <v/>
      </c>
      <c r="H323" t="str">
        <f t="shared" si="7"/>
        <v>PASS</v>
      </c>
      <c r="I323" s="90">
        <f>[1]DATABASE!T284</f>
        <v>1290000</v>
      </c>
      <c r="J323" t="str">
        <f>[1]DATABASE!AC284</f>
        <v>Ana Damásio</v>
      </c>
    </row>
    <row r="324" spans="1:10" ht="13.95" customHeight="1" x14ac:dyDescent="0.3">
      <c r="A324">
        <f>ROW([1]DATABASE!A285)</f>
        <v>285</v>
      </c>
      <c r="B324" t="str">
        <f>[1]DATABASE!AJ285</f>
        <v>Palmares</v>
      </c>
      <c r="C324" t="str">
        <f>[1]DATABASE!C285</f>
        <v>834B</v>
      </c>
      <c r="D324" t="str">
        <f>TRIM([1]DATABASE!Q285)</f>
        <v>PSPA</v>
      </c>
      <c r="E324" s="82" t="str">
        <f>_xlfn.TEXTJOIN("; ",TRUE,IF([1]DATABASE!X285&lt;0,"Negative Discount",""),IF(AND([1]DATABASE!Y285&gt;[1]DATABASE!T285,[1]DATABASE!Y285&gt;0,[1]DATABASE!T285&gt;0),"Sell Price &gt; Current",""),IF(AND(TRIM([1]DATABASE!Q285)="DEED",[1]DATABASE!AA285=""),"Deeded no PSPA Date",""),IF([1]DATABASE!E285="","Missing Typology",""),IF([1]DATABASE!AJ285="","Missing Development",""))</f>
        <v/>
      </c>
      <c r="F324" s="82" t="str">
        <f>_xlfn.TEXTJOIN("; ",TRUE,IF(AND(OR(TRIM([1]DATABASE!Q285)="RESERVED",TRIM([1]DATABASE!Q285)="PRE-RESERVED",TRIM([1]DATABASE!Q285)="PSPA"),[1]DATABASE!AA285=""),"Reserved/PSPA no PSPA Date",""),IF(AND(TRIM([1]DATABASE!Q285)="AVAILABLE",[1]DATABASE!AA285&lt;&gt;""),"Available has PSPA Date",""))</f>
        <v/>
      </c>
      <c r="G324" s="82" t="str">
        <f>_xlfn.TEXTJOIN("; ",TRUE,IF(AND([1]DATABASE!T285&lt;0.8*[1]DATABASE!S285,[1]DATABASE!T285&gt;0,[1]DATABASE!S285&gt;0),"Heavy Price Cut &gt;20%",""),IF(AND(OR(TRIM([1]DATABASE!Q285)="AVAILABLE",TRIM([1]DATABASE!Q285)="UPON REQUEST"),OR([1]DATABASE!T285="",[1]DATABASE!T285=0)),"Active Unit no Price",""),IF(AND(OR(TRIM([1]DATABASE!Q285)="AVAILABLE",TRIM([1]DATABASE!Q285)="RESERVED",TRIM([1]DATABASE!Q285)="PRE-RESERVED",TRIM([1]DATABASE!Q285)="PSPA"),[1]DATABASE!AC285=""),"Active no Owner",""),IF(OR([1]DATABASE!F285="",[1]DATABASE!F285&lt;=0),"Missing/Invalid Area",""),IF(AND([1]DATABASE!T285&gt;0,ABS([1]DATABASE!T285-[1]DATABASE!W285-[1]DATABASE!U285-[1]DATABASE!V285)&gt;1),"Price Bridge Mismatch",""))</f>
        <v>Active no Owner</v>
      </c>
      <c r="H324" t="str">
        <f t="shared" si="7"/>
        <v>REVIEW</v>
      </c>
      <c r="I324" s="90">
        <f>[1]DATABASE!T285</f>
        <v>812250</v>
      </c>
      <c r="J324">
        <f>[1]DATABASE!AC285</f>
        <v>0</v>
      </c>
    </row>
    <row r="325" spans="1:10" ht="13.95" customHeight="1" x14ac:dyDescent="0.3">
      <c r="A325">
        <f>ROW([1]DATABASE!A286)</f>
        <v>286</v>
      </c>
      <c r="B325" t="str">
        <f>[1]DATABASE!AJ286</f>
        <v>Palmares</v>
      </c>
      <c r="C325" t="str">
        <f>[1]DATABASE!C286</f>
        <v>842C</v>
      </c>
      <c r="D325" t="str">
        <f>TRIM([1]DATABASE!Q286)</f>
        <v>PSPA</v>
      </c>
      <c r="E325" s="82" t="str">
        <f>_xlfn.TEXTJOIN("; ",TRUE,IF([1]DATABASE!X286&lt;0,"Negative Discount",""),IF(AND([1]DATABASE!Y286&gt;[1]DATABASE!T286,[1]DATABASE!Y286&gt;0,[1]DATABASE!T286&gt;0),"Sell Price &gt; Current",""),IF(AND(TRIM([1]DATABASE!Q286)="DEED",[1]DATABASE!AA286=""),"Deeded no PSPA Date",""),IF([1]DATABASE!E286="","Missing Typology",""),IF([1]DATABASE!AJ286="","Missing Development",""))</f>
        <v/>
      </c>
      <c r="F325" s="82" t="str">
        <f>_xlfn.TEXTJOIN("; ",TRUE,IF(AND(OR(TRIM([1]DATABASE!Q286)="RESERVED",TRIM([1]DATABASE!Q286)="PRE-RESERVED",TRIM([1]DATABASE!Q286)="PSPA"),[1]DATABASE!AA286=""),"Reserved/PSPA no PSPA Date",""),IF(AND(TRIM([1]DATABASE!Q286)="AVAILABLE",[1]DATABASE!AA286&lt;&gt;""),"Available has PSPA Date",""))</f>
        <v/>
      </c>
      <c r="G325" s="82" t="str">
        <f>_xlfn.TEXTJOIN("; ",TRUE,IF(AND([1]DATABASE!T286&lt;0.8*[1]DATABASE!S286,[1]DATABASE!T286&gt;0,[1]DATABASE!S286&gt;0),"Heavy Price Cut &gt;20%",""),IF(AND(OR(TRIM([1]DATABASE!Q286)="AVAILABLE",TRIM([1]DATABASE!Q286)="UPON REQUEST"),OR([1]DATABASE!T286="",[1]DATABASE!T286=0)),"Active Unit no Price",""),IF(AND(OR(TRIM([1]DATABASE!Q286)="AVAILABLE",TRIM([1]DATABASE!Q286)="RESERVED",TRIM([1]DATABASE!Q286)="PRE-RESERVED",TRIM([1]DATABASE!Q286)="PSPA"),[1]DATABASE!AC286=""),"Active no Owner",""),IF(OR([1]DATABASE!F286="",[1]DATABASE!F286&lt;=0),"Missing/Invalid Area",""),IF(AND([1]DATABASE!T286&gt;0,ABS([1]DATABASE!T286-[1]DATABASE!W286-[1]DATABASE!U286-[1]DATABASE!V286)&gt;1),"Price Bridge Mismatch",""))</f>
        <v>Active no Owner</v>
      </c>
      <c r="H325" t="str">
        <f t="shared" si="7"/>
        <v>REVIEW</v>
      </c>
      <c r="I325" s="90">
        <f>[1]DATABASE!T286</f>
        <v>950000</v>
      </c>
      <c r="J325">
        <f>[1]DATABASE!AC286</f>
        <v>0</v>
      </c>
    </row>
    <row r="326" spans="1:10" ht="13.95" customHeight="1" x14ac:dyDescent="0.3">
      <c r="A326">
        <f>ROW([1]DATABASE!A287)</f>
        <v>287</v>
      </c>
      <c r="B326" t="str">
        <f>[1]DATABASE!AJ287</f>
        <v>Palmares</v>
      </c>
      <c r="C326" t="str">
        <f>[1]DATABASE!C287</f>
        <v>844C</v>
      </c>
      <c r="D326" t="str">
        <f>TRIM([1]DATABASE!Q287)</f>
        <v>PSPA</v>
      </c>
      <c r="E326" s="82" t="str">
        <f>_xlfn.TEXTJOIN("; ",TRUE,IF([1]DATABASE!X287&lt;0,"Negative Discount",""),IF(AND([1]DATABASE!Y287&gt;[1]DATABASE!T287,[1]DATABASE!Y287&gt;0,[1]DATABASE!T287&gt;0),"Sell Price &gt; Current",""),IF(AND(TRIM([1]DATABASE!Q287)="DEED",[1]DATABASE!AA287=""),"Deeded no PSPA Date",""),IF([1]DATABASE!E287="","Missing Typology",""),IF([1]DATABASE!AJ287="","Missing Development",""))</f>
        <v/>
      </c>
      <c r="F326" s="82" t="str">
        <f>_xlfn.TEXTJOIN("; ",TRUE,IF(AND(OR(TRIM([1]DATABASE!Q287)="RESERVED",TRIM([1]DATABASE!Q287)="PRE-RESERVED",TRIM([1]DATABASE!Q287)="PSPA"),[1]DATABASE!AA287=""),"Reserved/PSPA no PSPA Date",""),IF(AND(TRIM([1]DATABASE!Q287)="AVAILABLE",[1]DATABASE!AA287&lt;&gt;""),"Available has PSPA Date",""))</f>
        <v/>
      </c>
      <c r="G326" s="82" t="str">
        <f>_xlfn.TEXTJOIN("; ",TRUE,IF(AND([1]DATABASE!T287&lt;0.8*[1]DATABASE!S287,[1]DATABASE!T287&gt;0,[1]DATABASE!S287&gt;0),"Heavy Price Cut &gt;20%",""),IF(AND(OR(TRIM([1]DATABASE!Q287)="AVAILABLE",TRIM([1]DATABASE!Q287)="UPON REQUEST"),OR([1]DATABASE!T287="",[1]DATABASE!T287=0)),"Active Unit no Price",""),IF(AND(OR(TRIM([1]DATABASE!Q287)="AVAILABLE",TRIM([1]DATABASE!Q287)="RESERVED",TRIM([1]DATABASE!Q287)="PRE-RESERVED",TRIM([1]DATABASE!Q287)="PSPA"),[1]DATABASE!AC287=""),"Active no Owner",""),IF(OR([1]DATABASE!F287="",[1]DATABASE!F287&lt;=0),"Missing/Invalid Area",""),IF(AND([1]DATABASE!T287&gt;0,ABS([1]DATABASE!T287-[1]DATABASE!W287-[1]DATABASE!U287-[1]DATABASE!V287)&gt;1),"Price Bridge Mismatch",""))</f>
        <v>Active no Owner</v>
      </c>
      <c r="H326" t="str">
        <f t="shared" si="7"/>
        <v>REVIEW</v>
      </c>
      <c r="I326" s="90">
        <f>[1]DATABASE!T287</f>
        <v>850000</v>
      </c>
      <c r="J326">
        <f>[1]DATABASE!AC287</f>
        <v>0</v>
      </c>
    </row>
    <row r="327" spans="1:10" ht="13.95" customHeight="1" x14ac:dyDescent="0.3">
      <c r="A327">
        <f>ROW([1]DATABASE!A288)</f>
        <v>288</v>
      </c>
      <c r="B327" t="str">
        <f>[1]DATABASE!AJ288</f>
        <v>Aroeira Collections</v>
      </c>
      <c r="C327" t="str">
        <f>[1]DATABASE!C288</f>
        <v>135A</v>
      </c>
      <c r="D327" t="str">
        <f>TRIM([1]DATABASE!Q288)</f>
        <v>PSPA</v>
      </c>
      <c r="E327" s="82" t="str">
        <f>_xlfn.TEXTJOIN("; ",TRUE,IF([1]DATABASE!X288&lt;0,"Negative Discount",""),IF(AND([1]DATABASE!Y288&gt;[1]DATABASE!T288,[1]DATABASE!Y288&gt;0,[1]DATABASE!T288&gt;0),"Sell Price &gt; Current",""),IF(AND(TRIM([1]DATABASE!Q288)="DEED",[1]DATABASE!AA288=""),"Deeded no PSPA Date",""),IF([1]DATABASE!E288="","Missing Typology",""),IF([1]DATABASE!AJ288="","Missing Development",""))</f>
        <v/>
      </c>
      <c r="F327" s="82" t="str">
        <f>_xlfn.TEXTJOIN("; ",TRUE,IF(AND(OR(TRIM([1]DATABASE!Q288)="RESERVED",TRIM([1]DATABASE!Q288)="PRE-RESERVED",TRIM([1]DATABASE!Q288)="PSPA"),[1]DATABASE!AA288=""),"Reserved/PSPA no PSPA Date",""),IF(AND(TRIM([1]DATABASE!Q288)="AVAILABLE",[1]DATABASE!AA288&lt;&gt;""),"Available has PSPA Date",""))</f>
        <v/>
      </c>
      <c r="G327" s="82" t="str">
        <f>_xlfn.TEXTJOIN("; ",TRUE,IF(AND([1]DATABASE!T288&lt;0.8*[1]DATABASE!S288,[1]DATABASE!T288&gt;0,[1]DATABASE!S288&gt;0),"Heavy Price Cut &gt;20%",""),IF(AND(OR(TRIM([1]DATABASE!Q288)="AVAILABLE",TRIM([1]DATABASE!Q288)="UPON REQUEST"),OR([1]DATABASE!T288="",[1]DATABASE!T288=0)),"Active Unit no Price",""),IF(AND(OR(TRIM([1]DATABASE!Q288)="AVAILABLE",TRIM([1]DATABASE!Q288)="RESERVED",TRIM([1]DATABASE!Q288)="PRE-RESERVED",TRIM([1]DATABASE!Q288)="PSPA"),[1]DATABASE!AC288=""),"Active no Owner",""),IF(OR([1]DATABASE!F288="",[1]DATABASE!F288&lt;=0),"Missing/Invalid Area",""),IF(AND([1]DATABASE!T288&gt;0,ABS([1]DATABASE!T288-[1]DATABASE!W288-[1]DATABASE!U288-[1]DATABASE!V288)&gt;1),"Price Bridge Mismatch",""))</f>
        <v>Heavy Price Cut &gt;20%</v>
      </c>
      <c r="H327" t="str">
        <f t="shared" si="7"/>
        <v>REVIEW</v>
      </c>
      <c r="I327" s="90">
        <f>[1]DATABASE!T288</f>
        <v>370000</v>
      </c>
      <c r="J327" t="str">
        <f>[1]DATABASE!AC288</f>
        <v>João Gameiro</v>
      </c>
    </row>
    <row r="328" spans="1:10" ht="13.95" customHeight="1" x14ac:dyDescent="0.3">
      <c r="A328">
        <f>ROW([1]DATABASE!A289)</f>
        <v>289</v>
      </c>
      <c r="B328" t="str">
        <f>[1]DATABASE!AJ289</f>
        <v>Aroeira Collections</v>
      </c>
      <c r="C328" t="str">
        <f>[1]DATABASE!C289</f>
        <v>136A</v>
      </c>
      <c r="D328" t="str">
        <f>TRIM([1]DATABASE!Q289)</f>
        <v>PSPA</v>
      </c>
      <c r="E328" s="82" t="str">
        <f>_xlfn.TEXTJOIN("; ",TRUE,IF([1]DATABASE!X289&lt;0,"Negative Discount",""),IF(AND([1]DATABASE!Y289&gt;[1]DATABASE!T289,[1]DATABASE!Y289&gt;0,[1]DATABASE!T289&gt;0),"Sell Price &gt; Current",""),IF(AND(TRIM([1]DATABASE!Q289)="DEED",[1]DATABASE!AA289=""),"Deeded no PSPA Date",""),IF([1]DATABASE!E289="","Missing Typology",""),IF([1]DATABASE!AJ289="","Missing Development",""))</f>
        <v/>
      </c>
      <c r="F328" s="82" t="str">
        <f>_xlfn.TEXTJOIN("; ",TRUE,IF(AND(OR(TRIM([1]DATABASE!Q289)="RESERVED",TRIM([1]DATABASE!Q289)="PRE-RESERVED",TRIM([1]DATABASE!Q289)="PSPA"),[1]DATABASE!AA289=""),"Reserved/PSPA no PSPA Date",""),IF(AND(TRIM([1]DATABASE!Q289)="AVAILABLE",[1]DATABASE!AA289&lt;&gt;""),"Available has PSPA Date",""))</f>
        <v/>
      </c>
      <c r="G328" s="82" t="str">
        <f>_xlfn.TEXTJOIN("; ",TRUE,IF(AND([1]DATABASE!T289&lt;0.8*[1]DATABASE!S289,[1]DATABASE!T289&gt;0,[1]DATABASE!S289&gt;0),"Heavy Price Cut &gt;20%",""),IF(AND(OR(TRIM([1]DATABASE!Q289)="AVAILABLE",TRIM([1]DATABASE!Q289)="UPON REQUEST"),OR([1]DATABASE!T289="",[1]DATABASE!T289=0)),"Active Unit no Price",""),IF(AND(OR(TRIM([1]DATABASE!Q289)="AVAILABLE",TRIM([1]DATABASE!Q289)="RESERVED",TRIM([1]DATABASE!Q289)="PRE-RESERVED",TRIM([1]DATABASE!Q289)="PSPA"),[1]DATABASE!AC289=""),"Active no Owner",""),IF(OR([1]DATABASE!F289="",[1]DATABASE!F289&lt;=0),"Missing/Invalid Area",""),IF(AND([1]DATABASE!T289&gt;0,ABS([1]DATABASE!T289-[1]DATABASE!W289-[1]DATABASE!U289-[1]DATABASE!V289)&gt;1),"Price Bridge Mismatch",""))</f>
        <v>Heavy Price Cut &gt;20%</v>
      </c>
      <c r="H328" t="str">
        <f t="shared" si="7"/>
        <v>REVIEW</v>
      </c>
      <c r="I328" s="90">
        <f>[1]DATABASE!T289</f>
        <v>370000</v>
      </c>
      <c r="J328" t="str">
        <f>[1]DATABASE!AC289</f>
        <v>João Gameiro</v>
      </c>
    </row>
    <row r="329" spans="1:10" ht="13.95" customHeight="1" x14ac:dyDescent="0.3">
      <c r="A329">
        <f>ROW([1]DATABASE!A290)</f>
        <v>290</v>
      </c>
      <c r="B329" t="str">
        <f>[1]DATABASE!AJ290</f>
        <v>Aroeira Collections</v>
      </c>
      <c r="C329" t="str">
        <f>[1]DATABASE!C290</f>
        <v>145A</v>
      </c>
      <c r="D329" t="str">
        <f>TRIM([1]DATABASE!Q290)</f>
        <v>PSPA</v>
      </c>
      <c r="E329" s="82" t="str">
        <f>_xlfn.TEXTJOIN("; ",TRUE,IF([1]DATABASE!X290&lt;0,"Negative Discount",""),IF(AND([1]DATABASE!Y290&gt;[1]DATABASE!T290,[1]DATABASE!Y290&gt;0,[1]DATABASE!T290&gt;0),"Sell Price &gt; Current",""),IF(AND(TRIM([1]DATABASE!Q290)="DEED",[1]DATABASE!AA290=""),"Deeded no PSPA Date",""),IF([1]DATABASE!E290="","Missing Typology",""),IF([1]DATABASE!AJ290="","Missing Development",""))</f>
        <v/>
      </c>
      <c r="F329" s="82" t="str">
        <f>_xlfn.TEXTJOIN("; ",TRUE,IF(AND(OR(TRIM([1]DATABASE!Q290)="RESERVED",TRIM([1]DATABASE!Q290)="PRE-RESERVED",TRIM([1]DATABASE!Q290)="PSPA"),[1]DATABASE!AA290=""),"Reserved/PSPA no PSPA Date",""),IF(AND(TRIM([1]DATABASE!Q290)="AVAILABLE",[1]DATABASE!AA290&lt;&gt;""),"Available has PSPA Date",""))</f>
        <v/>
      </c>
      <c r="G329" s="82" t="str">
        <f>_xlfn.TEXTJOIN("; ",TRUE,IF(AND([1]DATABASE!T290&lt;0.8*[1]DATABASE!S290,[1]DATABASE!T290&gt;0,[1]DATABASE!S290&gt;0),"Heavy Price Cut &gt;20%",""),IF(AND(OR(TRIM([1]DATABASE!Q290)="AVAILABLE",TRIM([1]DATABASE!Q290)="UPON REQUEST"),OR([1]DATABASE!T290="",[1]DATABASE!T290=0)),"Active Unit no Price",""),IF(AND(OR(TRIM([1]DATABASE!Q290)="AVAILABLE",TRIM([1]DATABASE!Q290)="RESERVED",TRIM([1]DATABASE!Q290)="PRE-RESERVED",TRIM([1]DATABASE!Q290)="PSPA"),[1]DATABASE!AC290=""),"Active no Owner",""),IF(OR([1]DATABASE!F290="",[1]DATABASE!F290&lt;=0),"Missing/Invalid Area",""),IF(AND([1]DATABASE!T290&gt;0,ABS([1]DATABASE!T290-[1]DATABASE!W290-[1]DATABASE!U290-[1]DATABASE!V290)&gt;1),"Price Bridge Mismatch",""))</f>
        <v>Heavy Price Cut &gt;20%</v>
      </c>
      <c r="H329" t="str">
        <f t="shared" si="7"/>
        <v>REVIEW</v>
      </c>
      <c r="I329" s="90">
        <f>[1]DATABASE!T290</f>
        <v>370000</v>
      </c>
      <c r="J329" t="str">
        <f>[1]DATABASE!AC290</f>
        <v>João Gameiro</v>
      </c>
    </row>
    <row r="330" spans="1:10" ht="13.95" customHeight="1" x14ac:dyDescent="0.3">
      <c r="A330">
        <f>ROW([1]DATABASE!A291)</f>
        <v>291</v>
      </c>
      <c r="B330" t="str">
        <f>[1]DATABASE!AJ291</f>
        <v>Aroeira Collections</v>
      </c>
      <c r="C330" t="str">
        <f>[1]DATABASE!C291</f>
        <v>146A</v>
      </c>
      <c r="D330" t="str">
        <f>TRIM([1]DATABASE!Q291)</f>
        <v>PSPA</v>
      </c>
      <c r="E330" s="82" t="str">
        <f>_xlfn.TEXTJOIN("; ",TRUE,IF([1]DATABASE!X291&lt;0,"Negative Discount",""),IF(AND([1]DATABASE!Y291&gt;[1]DATABASE!T291,[1]DATABASE!Y291&gt;0,[1]DATABASE!T291&gt;0),"Sell Price &gt; Current",""),IF(AND(TRIM([1]DATABASE!Q291)="DEED",[1]DATABASE!AA291=""),"Deeded no PSPA Date",""),IF([1]DATABASE!E291="","Missing Typology",""),IF([1]DATABASE!AJ291="","Missing Development",""))</f>
        <v/>
      </c>
      <c r="F330" s="82" t="str">
        <f>_xlfn.TEXTJOIN("; ",TRUE,IF(AND(OR(TRIM([1]DATABASE!Q291)="RESERVED",TRIM([1]DATABASE!Q291)="PRE-RESERVED",TRIM([1]DATABASE!Q291)="PSPA"),[1]DATABASE!AA291=""),"Reserved/PSPA no PSPA Date",""),IF(AND(TRIM([1]DATABASE!Q291)="AVAILABLE",[1]DATABASE!AA291&lt;&gt;""),"Available has PSPA Date",""))</f>
        <v/>
      </c>
      <c r="G330" s="82" t="str">
        <f>_xlfn.TEXTJOIN("; ",TRUE,IF(AND([1]DATABASE!T291&lt;0.8*[1]DATABASE!S291,[1]DATABASE!T291&gt;0,[1]DATABASE!S291&gt;0),"Heavy Price Cut &gt;20%",""),IF(AND(OR(TRIM([1]DATABASE!Q291)="AVAILABLE",TRIM([1]DATABASE!Q291)="UPON REQUEST"),OR([1]DATABASE!T291="",[1]DATABASE!T291=0)),"Active Unit no Price",""),IF(AND(OR(TRIM([1]DATABASE!Q291)="AVAILABLE",TRIM([1]DATABASE!Q291)="RESERVED",TRIM([1]DATABASE!Q291)="PRE-RESERVED",TRIM([1]DATABASE!Q291)="PSPA"),[1]DATABASE!AC291=""),"Active no Owner",""),IF(OR([1]DATABASE!F291="",[1]DATABASE!F291&lt;=0),"Missing/Invalid Area",""),IF(AND([1]DATABASE!T291&gt;0,ABS([1]DATABASE!T291-[1]DATABASE!W291-[1]DATABASE!U291-[1]DATABASE!V291)&gt;1),"Price Bridge Mismatch",""))</f>
        <v>Heavy Price Cut &gt;20%</v>
      </c>
      <c r="H330" t="str">
        <f t="shared" si="7"/>
        <v>REVIEW</v>
      </c>
      <c r="I330" s="90">
        <f>[1]DATABASE!T291</f>
        <v>370000</v>
      </c>
      <c r="J330" t="str">
        <f>[1]DATABASE!AC291</f>
        <v>João Gameiro</v>
      </c>
    </row>
    <row r="331" spans="1:10" ht="13.95" customHeight="1" x14ac:dyDescent="0.3">
      <c r="A331">
        <f>ROW([1]DATABASE!A292)</f>
        <v>292</v>
      </c>
      <c r="B331" t="str">
        <f>[1]DATABASE!AJ292</f>
        <v>Natura Village</v>
      </c>
      <c r="C331" t="str">
        <f>[1]DATABASE!C292</f>
        <v>H</v>
      </c>
      <c r="D331" t="str">
        <f>TRIM([1]DATABASE!Q292)</f>
        <v>PRE-RESERVED</v>
      </c>
      <c r="E331" s="82" t="str">
        <f>_xlfn.TEXTJOIN("; ",TRUE,IF([1]DATABASE!X292&lt;0,"Negative Discount",""),IF(AND([1]DATABASE!Y292&gt;[1]DATABASE!T292,[1]DATABASE!Y292&gt;0,[1]DATABASE!T292&gt;0),"Sell Price &gt; Current",""),IF(AND(TRIM([1]DATABASE!Q292)="DEED",[1]DATABASE!AA292=""),"Deeded no PSPA Date",""),IF([1]DATABASE!E292="","Missing Typology",""),IF([1]DATABASE!AJ292="","Missing Development",""))</f>
        <v/>
      </c>
      <c r="F331" s="82" t="str">
        <f>_xlfn.TEXTJOIN("; ",TRUE,IF(AND(OR(TRIM([1]DATABASE!Q292)="RESERVED",TRIM([1]DATABASE!Q292)="PRE-RESERVED",TRIM([1]DATABASE!Q292)="PSPA"),[1]DATABASE!AA292=""),"Reserved/PSPA no PSPA Date",""),IF(AND(TRIM([1]DATABASE!Q292)="AVAILABLE",[1]DATABASE!AA292&lt;&gt;""),"Available has PSPA Date",""))</f>
        <v/>
      </c>
      <c r="G331" s="82" t="str">
        <f>_xlfn.TEXTJOIN("; ",TRUE,IF(AND([1]DATABASE!T292&lt;0.8*[1]DATABASE!S292,[1]DATABASE!T292&gt;0,[1]DATABASE!S292&gt;0),"Heavy Price Cut &gt;20%",""),IF(AND(OR(TRIM([1]DATABASE!Q292)="AVAILABLE",TRIM([1]DATABASE!Q292)="UPON REQUEST"),OR([1]DATABASE!T292="",[1]DATABASE!T292=0)),"Active Unit no Price",""),IF(AND(OR(TRIM([1]DATABASE!Q292)="AVAILABLE",TRIM([1]DATABASE!Q292)="RESERVED",TRIM([1]DATABASE!Q292)="PRE-RESERVED",TRIM([1]DATABASE!Q292)="PSPA"),[1]DATABASE!AC292=""),"Active no Owner",""),IF(OR([1]DATABASE!F292="",[1]DATABASE!F292&lt;=0),"Missing/Invalid Area",""),IF(AND([1]DATABASE!T292&gt;0,ABS([1]DATABASE!T292-[1]DATABASE!W292-[1]DATABASE!U292-[1]DATABASE!V292)&gt;1),"Price Bridge Mismatch",""))</f>
        <v/>
      </c>
      <c r="H331" t="str">
        <f t="shared" si="7"/>
        <v>PASS</v>
      </c>
      <c r="I331" s="90">
        <f>[1]DATABASE!T292</f>
        <v>820000</v>
      </c>
      <c r="J331" t="str">
        <f>[1]DATABASE!AC292</f>
        <v>Ana Damásio</v>
      </c>
    </row>
    <row r="332" spans="1:10" ht="13.95" customHeight="1" x14ac:dyDescent="0.3">
      <c r="A332">
        <f>ROW([1]DATABASE!A293)</f>
        <v>293</v>
      </c>
      <c r="B332" t="str">
        <f>[1]DATABASE!AJ293</f>
        <v>Natura Village</v>
      </c>
      <c r="C332" t="str">
        <f>[1]DATABASE!C293</f>
        <v>I</v>
      </c>
      <c r="D332" t="str">
        <f>TRIM([1]DATABASE!Q293)</f>
        <v>RESERVED</v>
      </c>
      <c r="E332" s="82" t="str">
        <f>_xlfn.TEXTJOIN("; ",TRUE,IF([1]DATABASE!X293&lt;0,"Negative Discount",""),IF(AND([1]DATABASE!Y293&gt;[1]DATABASE!T293,[1]DATABASE!Y293&gt;0,[1]DATABASE!T293&gt;0),"Sell Price &gt; Current",""),IF(AND(TRIM([1]DATABASE!Q293)="DEED",[1]DATABASE!AA293=""),"Deeded no PSPA Date",""),IF([1]DATABASE!E293="","Missing Typology",""),IF([1]DATABASE!AJ293="","Missing Development",""))</f>
        <v/>
      </c>
      <c r="F332" s="82" t="str">
        <f>_xlfn.TEXTJOIN("; ",TRUE,IF(AND(OR(TRIM([1]DATABASE!Q293)="RESERVED",TRIM([1]DATABASE!Q293)="PRE-RESERVED",TRIM([1]DATABASE!Q293)="PSPA"),[1]DATABASE!AA293=""),"Reserved/PSPA no PSPA Date",""),IF(AND(TRIM([1]DATABASE!Q293)="AVAILABLE",[1]DATABASE!AA293&lt;&gt;""),"Available has PSPA Date",""))</f>
        <v/>
      </c>
      <c r="G332" s="82" t="str">
        <f>_xlfn.TEXTJOIN("; ",TRUE,IF(AND([1]DATABASE!T293&lt;0.8*[1]DATABASE!S293,[1]DATABASE!T293&gt;0,[1]DATABASE!S293&gt;0),"Heavy Price Cut &gt;20%",""),IF(AND(OR(TRIM([1]DATABASE!Q293)="AVAILABLE",TRIM([1]DATABASE!Q293)="UPON REQUEST"),OR([1]DATABASE!T293="",[1]DATABASE!T293=0)),"Active Unit no Price",""),IF(AND(OR(TRIM([1]DATABASE!Q293)="AVAILABLE",TRIM([1]DATABASE!Q293)="RESERVED",TRIM([1]DATABASE!Q293)="PRE-RESERVED",TRIM([1]DATABASE!Q293)="PSPA"),[1]DATABASE!AC293=""),"Active no Owner",""),IF(OR([1]DATABASE!F293="",[1]DATABASE!F293&lt;=0),"Missing/Invalid Area",""),IF(AND([1]DATABASE!T293&gt;0,ABS([1]DATABASE!T293-[1]DATABASE!W293-[1]DATABASE!U293-[1]DATABASE!V293)&gt;1),"Price Bridge Mismatch",""))</f>
        <v/>
      </c>
      <c r="H332" t="str">
        <f t="shared" si="7"/>
        <v>PASS</v>
      </c>
      <c r="I332" s="90">
        <f>[1]DATABASE!T293</f>
        <v>1220000</v>
      </c>
      <c r="J332" t="str">
        <f>[1]DATABASE!AC293</f>
        <v>Ana Damásio</v>
      </c>
    </row>
    <row r="333" spans="1:10" ht="13.95" customHeight="1" x14ac:dyDescent="0.3">
      <c r="A333">
        <f>ROW([1]DATABASE!A294)</f>
        <v>294</v>
      </c>
      <c r="B333" t="str">
        <f>[1]DATABASE!AJ294</f>
        <v>Aroeira Collections</v>
      </c>
      <c r="C333" t="str">
        <f>[1]DATABASE!C294</f>
        <v>15B</v>
      </c>
      <c r="D333" t="str">
        <f>TRIM([1]DATABASE!Q294)</f>
        <v>PSPA</v>
      </c>
      <c r="E333" s="82" t="str">
        <f>_xlfn.TEXTJOIN("; ",TRUE,IF([1]DATABASE!X294&lt;0,"Negative Discount",""),IF(AND([1]DATABASE!Y294&gt;[1]DATABASE!T294,[1]DATABASE!Y294&gt;0,[1]DATABASE!T294&gt;0),"Sell Price &gt; Current",""),IF(AND(TRIM([1]DATABASE!Q294)="DEED",[1]DATABASE!AA294=""),"Deeded no PSPA Date",""),IF([1]DATABASE!E294="","Missing Typology",""),IF([1]DATABASE!AJ294="","Missing Development",""))</f>
        <v/>
      </c>
      <c r="F333" s="82" t="str">
        <f>_xlfn.TEXTJOIN("; ",TRUE,IF(AND(OR(TRIM([1]DATABASE!Q294)="RESERVED",TRIM([1]DATABASE!Q294)="PRE-RESERVED",TRIM([1]DATABASE!Q294)="PSPA"),[1]DATABASE!AA294=""),"Reserved/PSPA no PSPA Date",""),IF(AND(TRIM([1]DATABASE!Q294)="AVAILABLE",[1]DATABASE!AA294&lt;&gt;""),"Available has PSPA Date",""))</f>
        <v/>
      </c>
      <c r="G333" s="82" t="str">
        <f>_xlfn.TEXTJOIN("; ",TRUE,IF(AND([1]DATABASE!T294&lt;0.8*[1]DATABASE!S294,[1]DATABASE!T294&gt;0,[1]DATABASE!S294&gt;0),"Heavy Price Cut &gt;20%",""),IF(AND(OR(TRIM([1]DATABASE!Q294)="AVAILABLE",TRIM([1]DATABASE!Q294)="UPON REQUEST"),OR([1]DATABASE!T294="",[1]DATABASE!T294=0)),"Active Unit no Price",""),IF(AND(OR(TRIM([1]DATABASE!Q294)="AVAILABLE",TRIM([1]DATABASE!Q294)="RESERVED",TRIM([1]DATABASE!Q294)="PRE-RESERVED",TRIM([1]DATABASE!Q294)="PSPA"),[1]DATABASE!AC294=""),"Active no Owner",""),IF(OR([1]DATABASE!F294="",[1]DATABASE!F294&lt;=0),"Missing/Invalid Area",""),IF(AND([1]DATABASE!T294&gt;0,ABS([1]DATABASE!T294-[1]DATABASE!W294-[1]DATABASE!U294-[1]DATABASE!V294)&gt;1),"Price Bridge Mismatch",""))</f>
        <v/>
      </c>
      <c r="H333" t="str">
        <f t="shared" si="7"/>
        <v>PASS</v>
      </c>
      <c r="I333" s="90">
        <f>[1]DATABASE!T294</f>
        <v>1100000</v>
      </c>
      <c r="J333" t="str">
        <f>[1]DATABASE!AC294</f>
        <v>João Gameiro</v>
      </c>
    </row>
    <row r="334" spans="1:10" ht="13.95" customHeight="1" x14ac:dyDescent="0.3">
      <c r="A334">
        <f>ROW([1]DATABASE!A295)</f>
        <v>295</v>
      </c>
      <c r="B334" t="str">
        <f>[1]DATABASE!AJ295</f>
        <v>Aroeira Collections</v>
      </c>
      <c r="C334" t="str">
        <f>[1]DATABASE!C295</f>
        <v>19B</v>
      </c>
      <c r="D334" t="str">
        <f>TRIM([1]DATABASE!Q295)</f>
        <v>PSPA</v>
      </c>
      <c r="E334" s="82" t="str">
        <f>_xlfn.TEXTJOIN("; ",TRUE,IF([1]DATABASE!X295&lt;0,"Negative Discount",""),IF(AND([1]DATABASE!Y295&gt;[1]DATABASE!T295,[1]DATABASE!Y295&gt;0,[1]DATABASE!T295&gt;0),"Sell Price &gt; Current",""),IF(AND(TRIM([1]DATABASE!Q295)="DEED",[1]DATABASE!AA295=""),"Deeded no PSPA Date",""),IF([1]DATABASE!E295="","Missing Typology",""),IF([1]DATABASE!AJ295="","Missing Development",""))</f>
        <v/>
      </c>
      <c r="F334" s="82" t="str">
        <f>_xlfn.TEXTJOIN("; ",TRUE,IF(AND(OR(TRIM([1]DATABASE!Q295)="RESERVED",TRIM([1]DATABASE!Q295)="PRE-RESERVED",TRIM([1]DATABASE!Q295)="PSPA"),[1]DATABASE!AA295=""),"Reserved/PSPA no PSPA Date",""),IF(AND(TRIM([1]DATABASE!Q295)="AVAILABLE",[1]DATABASE!AA295&lt;&gt;""),"Available has PSPA Date",""))</f>
        <v/>
      </c>
      <c r="G334" s="82" t="str">
        <f>_xlfn.TEXTJOIN("; ",TRUE,IF(AND([1]DATABASE!T295&lt;0.8*[1]DATABASE!S295,[1]DATABASE!T295&gt;0,[1]DATABASE!S295&gt;0),"Heavy Price Cut &gt;20%",""),IF(AND(OR(TRIM([1]DATABASE!Q295)="AVAILABLE",TRIM([1]DATABASE!Q295)="UPON REQUEST"),OR([1]DATABASE!T295="",[1]DATABASE!T295=0)),"Active Unit no Price",""),IF(AND(OR(TRIM([1]DATABASE!Q295)="AVAILABLE",TRIM([1]DATABASE!Q295)="RESERVED",TRIM([1]DATABASE!Q295)="PRE-RESERVED",TRIM([1]DATABASE!Q295)="PSPA"),[1]DATABASE!AC295=""),"Active no Owner",""),IF(OR([1]DATABASE!F295="",[1]DATABASE!F295&lt;=0),"Missing/Invalid Area",""),IF(AND([1]DATABASE!T295&gt;0,ABS([1]DATABASE!T295-[1]DATABASE!W295-[1]DATABASE!U295-[1]DATABASE!V295)&gt;1),"Price Bridge Mismatch",""))</f>
        <v/>
      </c>
      <c r="H334" t="str">
        <f t="shared" si="7"/>
        <v>PASS</v>
      </c>
      <c r="I334" s="90">
        <f>[1]DATABASE!T295</f>
        <v>925000</v>
      </c>
      <c r="J334" t="str">
        <f>[1]DATABASE!AC295</f>
        <v>João Gameiro</v>
      </c>
    </row>
    <row r="335" spans="1:10" ht="13.95" customHeight="1" x14ac:dyDescent="0.3">
      <c r="A335">
        <f>ROW([1]DATABASE!A296)</f>
        <v>296</v>
      </c>
      <c r="B335" t="str">
        <f>[1]DATABASE!AJ296</f>
        <v>Aroeira Collections</v>
      </c>
      <c r="C335" t="str">
        <f>[1]DATABASE!C296</f>
        <v>210A</v>
      </c>
      <c r="D335" t="str">
        <f>TRIM([1]DATABASE!Q296)</f>
        <v>PSPA</v>
      </c>
      <c r="E335" s="82" t="str">
        <f>_xlfn.TEXTJOIN("; ",TRUE,IF([1]DATABASE!X296&lt;0,"Negative Discount",""),IF(AND([1]DATABASE!Y296&gt;[1]DATABASE!T296,[1]DATABASE!Y296&gt;0,[1]DATABASE!T296&gt;0),"Sell Price &gt; Current",""),IF(AND(TRIM([1]DATABASE!Q296)="DEED",[1]DATABASE!AA296=""),"Deeded no PSPA Date",""),IF([1]DATABASE!E296="","Missing Typology",""),IF([1]DATABASE!AJ296="","Missing Development",""))</f>
        <v/>
      </c>
      <c r="F335" s="82" t="str">
        <f>_xlfn.TEXTJOIN("; ",TRUE,IF(AND(OR(TRIM([1]DATABASE!Q296)="RESERVED",TRIM([1]DATABASE!Q296)="PRE-RESERVED",TRIM([1]DATABASE!Q296)="PSPA"),[1]DATABASE!AA296=""),"Reserved/PSPA no PSPA Date",""),IF(AND(TRIM([1]DATABASE!Q296)="AVAILABLE",[1]DATABASE!AA296&lt;&gt;""),"Available has PSPA Date",""))</f>
        <v/>
      </c>
      <c r="G335" s="82" t="str">
        <f>_xlfn.TEXTJOIN("; ",TRUE,IF(AND([1]DATABASE!T296&lt;0.8*[1]DATABASE!S296,[1]DATABASE!T296&gt;0,[1]DATABASE!S296&gt;0),"Heavy Price Cut &gt;20%",""),IF(AND(OR(TRIM([1]DATABASE!Q296)="AVAILABLE",TRIM([1]DATABASE!Q296)="UPON REQUEST"),OR([1]DATABASE!T296="",[1]DATABASE!T296=0)),"Active Unit no Price",""),IF(AND(OR(TRIM([1]DATABASE!Q296)="AVAILABLE",TRIM([1]DATABASE!Q296)="RESERVED",TRIM([1]DATABASE!Q296)="PRE-RESERVED",TRIM([1]DATABASE!Q296)="PSPA"),[1]DATABASE!AC296=""),"Active no Owner",""),IF(OR([1]DATABASE!F296="",[1]DATABASE!F296&lt;=0),"Missing/Invalid Area",""),IF(AND([1]DATABASE!T296&gt;0,ABS([1]DATABASE!T296-[1]DATABASE!W296-[1]DATABASE!U296-[1]DATABASE!V296)&gt;1),"Price Bridge Mismatch",""))</f>
        <v/>
      </c>
      <c r="H335" t="str">
        <f t="shared" si="7"/>
        <v>PASS</v>
      </c>
      <c r="I335" s="90">
        <f>[1]DATABASE!T296</f>
        <v>480000</v>
      </c>
      <c r="J335" t="str">
        <f>[1]DATABASE!AC296</f>
        <v>João Gameiro</v>
      </c>
    </row>
    <row r="336" spans="1:10" ht="13.95" customHeight="1" x14ac:dyDescent="0.3">
      <c r="A336">
        <f>ROW([1]DATABASE!A297)</f>
        <v>297</v>
      </c>
      <c r="B336" t="str">
        <f>[1]DATABASE!AJ297</f>
        <v>Aroeira Collections</v>
      </c>
      <c r="C336" t="str">
        <f>[1]DATABASE!C297</f>
        <v>217A</v>
      </c>
      <c r="D336" t="str">
        <f>TRIM([1]DATABASE!Q297)</f>
        <v>PSPA</v>
      </c>
      <c r="E336" s="82" t="str">
        <f>_xlfn.TEXTJOIN("; ",TRUE,IF([1]DATABASE!X297&lt;0,"Negative Discount",""),IF(AND([1]DATABASE!Y297&gt;[1]DATABASE!T297,[1]DATABASE!Y297&gt;0,[1]DATABASE!T297&gt;0),"Sell Price &gt; Current",""),IF(AND(TRIM([1]DATABASE!Q297)="DEED",[1]DATABASE!AA297=""),"Deeded no PSPA Date",""),IF([1]DATABASE!E297="","Missing Typology",""),IF([1]DATABASE!AJ297="","Missing Development",""))</f>
        <v/>
      </c>
      <c r="F336" s="82" t="str">
        <f>_xlfn.TEXTJOIN("; ",TRUE,IF(AND(OR(TRIM([1]DATABASE!Q297)="RESERVED",TRIM([1]DATABASE!Q297)="PRE-RESERVED",TRIM([1]DATABASE!Q297)="PSPA"),[1]DATABASE!AA297=""),"Reserved/PSPA no PSPA Date",""),IF(AND(TRIM([1]DATABASE!Q297)="AVAILABLE",[1]DATABASE!AA297&lt;&gt;""),"Available has PSPA Date",""))</f>
        <v/>
      </c>
      <c r="G336" s="82" t="str">
        <f>_xlfn.TEXTJOIN("; ",TRUE,IF(AND([1]DATABASE!T297&lt;0.8*[1]DATABASE!S297,[1]DATABASE!T297&gt;0,[1]DATABASE!S297&gt;0),"Heavy Price Cut &gt;20%",""),IF(AND(OR(TRIM([1]DATABASE!Q297)="AVAILABLE",TRIM([1]DATABASE!Q297)="UPON REQUEST"),OR([1]DATABASE!T297="",[1]DATABASE!T297=0)),"Active Unit no Price",""),IF(AND(OR(TRIM([1]DATABASE!Q297)="AVAILABLE",TRIM([1]DATABASE!Q297)="RESERVED",TRIM([1]DATABASE!Q297)="PRE-RESERVED",TRIM([1]DATABASE!Q297)="PSPA"),[1]DATABASE!AC297=""),"Active no Owner",""),IF(OR([1]DATABASE!F297="",[1]DATABASE!F297&lt;=0),"Missing/Invalid Area",""),IF(AND([1]DATABASE!T297&gt;0,ABS([1]DATABASE!T297-[1]DATABASE!W297-[1]DATABASE!U297-[1]DATABASE!V297)&gt;1),"Price Bridge Mismatch",""))</f>
        <v/>
      </c>
      <c r="H336" t="str">
        <f t="shared" si="7"/>
        <v>PASS</v>
      </c>
      <c r="I336" s="90">
        <f>[1]DATABASE!T297</f>
        <v>450000</v>
      </c>
      <c r="J336" t="str">
        <f>[1]DATABASE!AC297</f>
        <v>João Gameiro</v>
      </c>
    </row>
    <row r="337" spans="1:10" ht="13.95" customHeight="1" x14ac:dyDescent="0.3">
      <c r="A337">
        <f>ROW([1]DATABASE!A298)</f>
        <v>298</v>
      </c>
      <c r="B337" t="str">
        <f>[1]DATABASE!AJ298</f>
        <v>Aroeira Collections</v>
      </c>
      <c r="C337" t="str">
        <f>[1]DATABASE!C298</f>
        <v>217C</v>
      </c>
      <c r="D337" t="str">
        <f>TRIM([1]DATABASE!Q298)</f>
        <v>PSPA</v>
      </c>
      <c r="E337" s="82" t="str">
        <f>_xlfn.TEXTJOIN("; ",TRUE,IF([1]DATABASE!X298&lt;0,"Negative Discount",""),IF(AND([1]DATABASE!Y298&gt;[1]DATABASE!T298,[1]DATABASE!Y298&gt;0,[1]DATABASE!T298&gt;0),"Sell Price &gt; Current",""),IF(AND(TRIM([1]DATABASE!Q298)="DEED",[1]DATABASE!AA298=""),"Deeded no PSPA Date",""),IF([1]DATABASE!E298="","Missing Typology",""),IF([1]DATABASE!AJ298="","Missing Development",""))</f>
        <v/>
      </c>
      <c r="F337" s="82" t="str">
        <f>_xlfn.TEXTJOIN("; ",TRUE,IF(AND(OR(TRIM([1]DATABASE!Q298)="RESERVED",TRIM([1]DATABASE!Q298)="PRE-RESERVED",TRIM([1]DATABASE!Q298)="PSPA"),[1]DATABASE!AA298=""),"Reserved/PSPA no PSPA Date",""),IF(AND(TRIM([1]DATABASE!Q298)="AVAILABLE",[1]DATABASE!AA298&lt;&gt;""),"Available has PSPA Date",""))</f>
        <v/>
      </c>
      <c r="G337" s="82" t="str">
        <f>_xlfn.TEXTJOIN("; ",TRUE,IF(AND([1]DATABASE!T298&lt;0.8*[1]DATABASE!S298,[1]DATABASE!T298&gt;0,[1]DATABASE!S298&gt;0),"Heavy Price Cut &gt;20%",""),IF(AND(OR(TRIM([1]DATABASE!Q298)="AVAILABLE",TRIM([1]DATABASE!Q298)="UPON REQUEST"),OR([1]DATABASE!T298="",[1]DATABASE!T298=0)),"Active Unit no Price",""),IF(AND(OR(TRIM([1]DATABASE!Q298)="AVAILABLE",TRIM([1]DATABASE!Q298)="RESERVED",TRIM([1]DATABASE!Q298)="PRE-RESERVED",TRIM([1]DATABASE!Q298)="PSPA"),[1]DATABASE!AC298=""),"Active no Owner",""),IF(OR([1]DATABASE!F298="",[1]DATABASE!F298&lt;=0),"Missing/Invalid Area",""),IF(AND([1]DATABASE!T298&gt;0,ABS([1]DATABASE!T298-[1]DATABASE!W298-[1]DATABASE!U298-[1]DATABASE!V298)&gt;1),"Price Bridge Mismatch",""))</f>
        <v/>
      </c>
      <c r="H337" t="str">
        <f t="shared" si="7"/>
        <v>PASS</v>
      </c>
      <c r="I337" s="90">
        <f>[1]DATABASE!T298</f>
        <v>935000</v>
      </c>
      <c r="J337" t="str">
        <f>[1]DATABASE!AC298</f>
        <v>João Gameiro</v>
      </c>
    </row>
    <row r="338" spans="1:10" ht="13.95" customHeight="1" x14ac:dyDescent="0.3">
      <c r="A338">
        <f>ROW([1]DATABASE!A299)</f>
        <v>299</v>
      </c>
      <c r="B338" t="str">
        <f>[1]DATABASE!AJ299</f>
        <v>Botanica</v>
      </c>
      <c r="C338" t="str">
        <f>[1]DATABASE!C299</f>
        <v>K</v>
      </c>
      <c r="D338" t="str">
        <f>TRIM([1]DATABASE!Q299)</f>
        <v>RESERVED</v>
      </c>
      <c r="E338" s="82" t="str">
        <f>_xlfn.TEXTJOIN("; ",TRUE,IF([1]DATABASE!X299&lt;0,"Negative Discount",""),IF(AND([1]DATABASE!Y299&gt;[1]DATABASE!T299,[1]DATABASE!Y299&gt;0,[1]DATABASE!T299&gt;0),"Sell Price &gt; Current",""),IF(AND(TRIM([1]DATABASE!Q299)="DEED",[1]DATABASE!AA299=""),"Deeded no PSPA Date",""),IF([1]DATABASE!E299="","Missing Typology",""),IF([1]DATABASE!AJ299="","Missing Development",""))</f>
        <v/>
      </c>
      <c r="F338" s="82" t="str">
        <f>_xlfn.TEXTJOIN("; ",TRUE,IF(AND(OR(TRIM([1]DATABASE!Q299)="RESERVED",TRIM([1]DATABASE!Q299)="PRE-RESERVED",TRIM([1]DATABASE!Q299)="PSPA"),[1]DATABASE!AA299=""),"Reserved/PSPA no PSPA Date",""),IF(AND(TRIM([1]DATABASE!Q299)="AVAILABLE",[1]DATABASE!AA299&lt;&gt;""),"Available has PSPA Date",""))</f>
        <v>Reserved/PSPA no PSPA Date</v>
      </c>
      <c r="G338" s="82" t="str">
        <f>_xlfn.TEXTJOIN("; ",TRUE,IF(AND([1]DATABASE!T299&lt;0.8*[1]DATABASE!S299,[1]DATABASE!T299&gt;0,[1]DATABASE!S299&gt;0),"Heavy Price Cut &gt;20%",""),IF(AND(OR(TRIM([1]DATABASE!Q299)="AVAILABLE",TRIM([1]DATABASE!Q299)="UPON REQUEST"),OR([1]DATABASE!T299="",[1]DATABASE!T299=0)),"Active Unit no Price",""),IF(AND(OR(TRIM([1]DATABASE!Q299)="AVAILABLE",TRIM([1]DATABASE!Q299)="RESERVED",TRIM([1]DATABASE!Q299)="PRE-RESERVED",TRIM([1]DATABASE!Q299)="PSPA"),[1]DATABASE!AC299=""),"Active no Owner",""),IF(OR([1]DATABASE!F299="",[1]DATABASE!F299&lt;=0),"Missing/Invalid Area",""),IF(AND([1]DATABASE!T299&gt;0,ABS([1]DATABASE!T299-[1]DATABASE!W299-[1]DATABASE!U299-[1]DATABASE!V299)&gt;1),"Price Bridge Mismatch",""))</f>
        <v/>
      </c>
      <c r="H338" t="str">
        <f t="shared" si="7"/>
        <v>REVIEW</v>
      </c>
      <c r="I338" s="90">
        <f>[1]DATABASE!T299</f>
        <v>1393600</v>
      </c>
      <c r="J338" t="str">
        <f>[1]DATABASE!AC299</f>
        <v>Ana Damásio</v>
      </c>
    </row>
    <row r="339" spans="1:10" ht="13.95" customHeight="1" x14ac:dyDescent="0.3">
      <c r="A339">
        <f>ROW([1]DATABASE!A300)</f>
        <v>300</v>
      </c>
      <c r="B339" t="str">
        <f>[1]DATABASE!AJ300</f>
        <v>Aroeira Collections</v>
      </c>
      <c r="C339" t="str">
        <f>[1]DATABASE!C300</f>
        <v>22B</v>
      </c>
      <c r="D339" t="str">
        <f>TRIM([1]DATABASE!Q300)</f>
        <v>PSPA</v>
      </c>
      <c r="E339" s="82" t="str">
        <f>_xlfn.TEXTJOIN("; ",TRUE,IF([1]DATABASE!X300&lt;0,"Negative Discount",""),IF(AND([1]DATABASE!Y300&gt;[1]DATABASE!T300,[1]DATABASE!Y300&gt;0,[1]DATABASE!T300&gt;0),"Sell Price &gt; Current",""),IF(AND(TRIM([1]DATABASE!Q300)="DEED",[1]DATABASE!AA300=""),"Deeded no PSPA Date",""),IF([1]DATABASE!E300="","Missing Typology",""),IF([1]DATABASE!AJ300="","Missing Development",""))</f>
        <v/>
      </c>
      <c r="F339" s="82" t="str">
        <f>_xlfn.TEXTJOIN("; ",TRUE,IF(AND(OR(TRIM([1]DATABASE!Q300)="RESERVED",TRIM([1]DATABASE!Q300)="PRE-RESERVED",TRIM([1]DATABASE!Q300)="PSPA"),[1]DATABASE!AA300=""),"Reserved/PSPA no PSPA Date",""),IF(AND(TRIM([1]DATABASE!Q300)="AVAILABLE",[1]DATABASE!AA300&lt;&gt;""),"Available has PSPA Date",""))</f>
        <v/>
      </c>
      <c r="G339" s="82" t="str">
        <f>_xlfn.TEXTJOIN("; ",TRUE,IF(AND([1]DATABASE!T300&lt;0.8*[1]DATABASE!S300,[1]DATABASE!T300&gt;0,[1]DATABASE!S300&gt;0),"Heavy Price Cut &gt;20%",""),IF(AND(OR(TRIM([1]DATABASE!Q300)="AVAILABLE",TRIM([1]DATABASE!Q300)="UPON REQUEST"),OR([1]DATABASE!T300="",[1]DATABASE!T300=0)),"Active Unit no Price",""),IF(AND(OR(TRIM([1]DATABASE!Q300)="AVAILABLE",TRIM([1]DATABASE!Q300)="RESERVED",TRIM([1]DATABASE!Q300)="PRE-RESERVED",TRIM([1]DATABASE!Q300)="PSPA"),[1]DATABASE!AC300=""),"Active no Owner",""),IF(OR([1]DATABASE!F300="",[1]DATABASE!F300&lt;=0),"Missing/Invalid Area",""),IF(AND([1]DATABASE!T300&gt;0,ABS([1]DATABASE!T300-[1]DATABASE!W300-[1]DATABASE!U300-[1]DATABASE!V300)&gt;1),"Price Bridge Mismatch",""))</f>
        <v/>
      </c>
      <c r="H339" t="str">
        <f t="shared" si="7"/>
        <v>PASS</v>
      </c>
      <c r="I339" s="90">
        <f>[1]DATABASE!T300</f>
        <v>795000</v>
      </c>
      <c r="J339" t="str">
        <f>[1]DATABASE!AC300</f>
        <v>João Gameiro</v>
      </c>
    </row>
    <row r="340" spans="1:10" ht="13.95" customHeight="1" x14ac:dyDescent="0.3">
      <c r="A340">
        <f>ROW([1]DATABASE!A301)</f>
        <v>301</v>
      </c>
      <c r="B340" t="str">
        <f>[1]DATABASE!AJ301</f>
        <v>Aroeira Collections</v>
      </c>
      <c r="C340" t="str">
        <f>[1]DATABASE!C301</f>
        <v>24C</v>
      </c>
      <c r="D340" t="str">
        <f>TRIM([1]DATABASE!Q301)</f>
        <v>PSPA</v>
      </c>
      <c r="E340" s="82" t="str">
        <f>_xlfn.TEXTJOIN("; ",TRUE,IF([1]DATABASE!X301&lt;0,"Negative Discount",""),IF(AND([1]DATABASE!Y301&gt;[1]DATABASE!T301,[1]DATABASE!Y301&gt;0,[1]DATABASE!T301&gt;0),"Sell Price &gt; Current",""),IF(AND(TRIM([1]DATABASE!Q301)="DEED",[1]DATABASE!AA301=""),"Deeded no PSPA Date",""),IF([1]DATABASE!E301="","Missing Typology",""),IF([1]DATABASE!AJ301="","Missing Development",""))</f>
        <v/>
      </c>
      <c r="F340" s="82" t="str">
        <f>_xlfn.TEXTJOIN("; ",TRUE,IF(AND(OR(TRIM([1]DATABASE!Q301)="RESERVED",TRIM([1]DATABASE!Q301)="PRE-RESERVED",TRIM([1]DATABASE!Q301)="PSPA"),[1]DATABASE!AA301=""),"Reserved/PSPA no PSPA Date",""),IF(AND(TRIM([1]DATABASE!Q301)="AVAILABLE",[1]DATABASE!AA301&lt;&gt;""),"Available has PSPA Date",""))</f>
        <v/>
      </c>
      <c r="G340" s="82" t="str">
        <f>_xlfn.TEXTJOIN("; ",TRUE,IF(AND([1]DATABASE!T301&lt;0.8*[1]DATABASE!S301,[1]DATABASE!T301&gt;0,[1]DATABASE!S301&gt;0),"Heavy Price Cut &gt;20%",""),IF(AND(OR(TRIM([1]DATABASE!Q301)="AVAILABLE",TRIM([1]DATABASE!Q301)="UPON REQUEST"),OR([1]DATABASE!T301="",[1]DATABASE!T301=0)),"Active Unit no Price",""),IF(AND(OR(TRIM([1]DATABASE!Q301)="AVAILABLE",TRIM([1]DATABASE!Q301)="RESERVED",TRIM([1]DATABASE!Q301)="PRE-RESERVED",TRIM([1]DATABASE!Q301)="PSPA"),[1]DATABASE!AC301=""),"Active no Owner",""),IF(OR([1]DATABASE!F301="",[1]DATABASE!F301&lt;=0),"Missing/Invalid Area",""),IF(AND([1]DATABASE!T301&gt;0,ABS([1]DATABASE!T301-[1]DATABASE!W301-[1]DATABASE!U301-[1]DATABASE!V301)&gt;1),"Price Bridge Mismatch",""))</f>
        <v/>
      </c>
      <c r="H340" t="str">
        <f t="shared" si="7"/>
        <v>PASS</v>
      </c>
      <c r="I340" s="90">
        <f>[1]DATABASE!T301</f>
        <v>1410000</v>
      </c>
      <c r="J340" t="str">
        <f>[1]DATABASE!AC301</f>
        <v>João Gameiro</v>
      </c>
    </row>
    <row r="341" spans="1:10" ht="13.95" customHeight="1" x14ac:dyDescent="0.3">
      <c r="A341">
        <f>ROW([1]DATABASE!A302)</f>
        <v>302</v>
      </c>
      <c r="B341" t="str">
        <f>[1]DATABASE!AJ302</f>
        <v>Aroeira Collections</v>
      </c>
      <c r="C341" t="str">
        <f>[1]DATABASE!C302</f>
        <v>324A</v>
      </c>
      <c r="D341" t="str">
        <f>TRIM([1]DATABASE!Q302)</f>
        <v>PSPA</v>
      </c>
      <c r="E341" s="82" t="str">
        <f>_xlfn.TEXTJOIN("; ",TRUE,IF([1]DATABASE!X302&lt;0,"Negative Discount",""),IF(AND([1]DATABASE!Y302&gt;[1]DATABASE!T302,[1]DATABASE!Y302&gt;0,[1]DATABASE!T302&gt;0),"Sell Price &gt; Current",""),IF(AND(TRIM([1]DATABASE!Q302)="DEED",[1]DATABASE!AA302=""),"Deeded no PSPA Date",""),IF([1]DATABASE!E302="","Missing Typology",""),IF([1]DATABASE!AJ302="","Missing Development",""))</f>
        <v/>
      </c>
      <c r="F341" s="82" t="str">
        <f>_xlfn.TEXTJOIN("; ",TRUE,IF(AND(OR(TRIM([1]DATABASE!Q302)="RESERVED",TRIM([1]DATABASE!Q302)="PRE-RESERVED",TRIM([1]DATABASE!Q302)="PSPA"),[1]DATABASE!AA302=""),"Reserved/PSPA no PSPA Date",""),IF(AND(TRIM([1]DATABASE!Q302)="AVAILABLE",[1]DATABASE!AA302&lt;&gt;""),"Available has PSPA Date",""))</f>
        <v/>
      </c>
      <c r="G341" s="82" t="str">
        <f>_xlfn.TEXTJOIN("; ",TRUE,IF(AND([1]DATABASE!T302&lt;0.8*[1]DATABASE!S302,[1]DATABASE!T302&gt;0,[1]DATABASE!S302&gt;0),"Heavy Price Cut &gt;20%",""),IF(AND(OR(TRIM([1]DATABASE!Q302)="AVAILABLE",TRIM([1]DATABASE!Q302)="UPON REQUEST"),OR([1]DATABASE!T302="",[1]DATABASE!T302=0)),"Active Unit no Price",""),IF(AND(OR(TRIM([1]DATABASE!Q302)="AVAILABLE",TRIM([1]DATABASE!Q302)="RESERVED",TRIM([1]DATABASE!Q302)="PRE-RESERVED",TRIM([1]DATABASE!Q302)="PSPA"),[1]DATABASE!AC302=""),"Active no Owner",""),IF(OR([1]DATABASE!F302="",[1]DATABASE!F302&lt;=0),"Missing/Invalid Area",""),IF(AND([1]DATABASE!T302&gt;0,ABS([1]DATABASE!T302-[1]DATABASE!W302-[1]DATABASE!U302-[1]DATABASE!V302)&gt;1),"Price Bridge Mismatch",""))</f>
        <v/>
      </c>
      <c r="H341" t="str">
        <f t="shared" si="7"/>
        <v>PASS</v>
      </c>
      <c r="I341" s="90">
        <f>[1]DATABASE!T302</f>
        <v>500000</v>
      </c>
      <c r="J341" t="str">
        <f>[1]DATABASE!AC302</f>
        <v>João Gameiro</v>
      </c>
    </row>
    <row r="342" spans="1:10" ht="13.95" customHeight="1" x14ac:dyDescent="0.3">
      <c r="A342">
        <f>ROW([1]DATABASE!A303)</f>
        <v>303</v>
      </c>
      <c r="B342" t="str">
        <f>[1]DATABASE!AJ303</f>
        <v>Rivus</v>
      </c>
      <c r="C342" t="str">
        <f>[1]DATABASE!C303</f>
        <v>Q</v>
      </c>
      <c r="D342" t="str">
        <f>TRIM([1]DATABASE!Q303)</f>
        <v>RESERVED</v>
      </c>
      <c r="E342" s="82" t="str">
        <f>_xlfn.TEXTJOIN("; ",TRUE,IF([1]DATABASE!X303&lt;0,"Negative Discount",""),IF(AND([1]DATABASE!Y303&gt;[1]DATABASE!T303,[1]DATABASE!Y303&gt;0,[1]DATABASE!T303&gt;0),"Sell Price &gt; Current",""),IF(AND(TRIM([1]DATABASE!Q303)="DEED",[1]DATABASE!AA303=""),"Deeded no PSPA Date",""),IF([1]DATABASE!E303="","Missing Typology",""),IF([1]DATABASE!AJ303="","Missing Development",""))</f>
        <v/>
      </c>
      <c r="F342" s="82" t="str">
        <f>_xlfn.TEXTJOIN("; ",TRUE,IF(AND(OR(TRIM([1]DATABASE!Q303)="RESERVED",TRIM([1]DATABASE!Q303)="PRE-RESERVED",TRIM([1]DATABASE!Q303)="PSPA"),[1]DATABASE!AA303=""),"Reserved/PSPA no PSPA Date",""),IF(AND(TRIM([1]DATABASE!Q303)="AVAILABLE",[1]DATABASE!AA303&lt;&gt;""),"Available has PSPA Date",""))</f>
        <v/>
      </c>
      <c r="G342" s="82" t="str">
        <f>_xlfn.TEXTJOIN("; ",TRUE,IF(AND([1]DATABASE!T303&lt;0.8*[1]DATABASE!S303,[1]DATABASE!T303&gt;0,[1]DATABASE!S303&gt;0),"Heavy Price Cut &gt;20%",""),IF(AND(OR(TRIM([1]DATABASE!Q303)="AVAILABLE",TRIM([1]DATABASE!Q303)="UPON REQUEST"),OR([1]DATABASE!T303="",[1]DATABASE!T303=0)),"Active Unit no Price",""),IF(AND(OR(TRIM([1]DATABASE!Q303)="AVAILABLE",TRIM([1]DATABASE!Q303)="RESERVED",TRIM([1]DATABASE!Q303)="PRE-RESERVED",TRIM([1]DATABASE!Q303)="PSPA"),[1]DATABASE!AC303=""),"Active no Owner",""),IF(OR([1]DATABASE!F303="",[1]DATABASE!F303&lt;=0),"Missing/Invalid Area",""),IF(AND([1]DATABASE!T303&gt;0,ABS([1]DATABASE!T303-[1]DATABASE!W303-[1]DATABASE!U303-[1]DATABASE!V303)&gt;1),"Price Bridge Mismatch",""))</f>
        <v>Missing/Invalid Area</v>
      </c>
      <c r="H342" t="str">
        <f t="shared" si="7"/>
        <v>REVIEW</v>
      </c>
      <c r="I342" s="90">
        <f>[1]DATABASE!T303</f>
        <v>670000</v>
      </c>
      <c r="J342" t="str">
        <f>[1]DATABASE!AC303</f>
        <v>Ana Damásio</v>
      </c>
    </row>
    <row r="343" spans="1:10" ht="13.95" customHeight="1" x14ac:dyDescent="0.3">
      <c r="A343">
        <f>ROW([1]DATABASE!A304)</f>
        <v>304</v>
      </c>
      <c r="B343" t="str">
        <f>[1]DATABASE!AJ304</f>
        <v>Rivus</v>
      </c>
      <c r="C343" t="str">
        <f>[1]DATABASE!C304</f>
        <v>R</v>
      </c>
      <c r="D343" t="str">
        <f>TRIM([1]DATABASE!Q304)</f>
        <v>RESERVED</v>
      </c>
      <c r="E343" s="82" t="str">
        <f>_xlfn.TEXTJOIN("; ",TRUE,IF([1]DATABASE!X304&lt;0,"Negative Discount",""),IF(AND([1]DATABASE!Y304&gt;[1]DATABASE!T304,[1]DATABASE!Y304&gt;0,[1]DATABASE!T304&gt;0),"Sell Price &gt; Current",""),IF(AND(TRIM([1]DATABASE!Q304)="DEED",[1]DATABASE!AA304=""),"Deeded no PSPA Date",""),IF([1]DATABASE!E304="","Missing Typology",""),IF([1]DATABASE!AJ304="","Missing Development",""))</f>
        <v/>
      </c>
      <c r="F343" s="82" t="str">
        <f>_xlfn.TEXTJOIN("; ",TRUE,IF(AND(OR(TRIM([1]DATABASE!Q304)="RESERVED",TRIM([1]DATABASE!Q304)="PRE-RESERVED",TRIM([1]DATABASE!Q304)="PSPA"),[1]DATABASE!AA304=""),"Reserved/PSPA no PSPA Date",""),IF(AND(TRIM([1]DATABASE!Q304)="AVAILABLE",[1]DATABASE!AA304&lt;&gt;""),"Available has PSPA Date",""))</f>
        <v/>
      </c>
      <c r="G343" s="82" t="str">
        <f>_xlfn.TEXTJOIN("; ",TRUE,IF(AND([1]DATABASE!T304&lt;0.8*[1]DATABASE!S304,[1]DATABASE!T304&gt;0,[1]DATABASE!S304&gt;0),"Heavy Price Cut &gt;20%",""),IF(AND(OR(TRIM([1]DATABASE!Q304)="AVAILABLE",TRIM([1]DATABASE!Q304)="UPON REQUEST"),OR([1]DATABASE!T304="",[1]DATABASE!T304=0)),"Active Unit no Price",""),IF(AND(OR(TRIM([1]DATABASE!Q304)="AVAILABLE",TRIM([1]DATABASE!Q304)="RESERVED",TRIM([1]DATABASE!Q304)="PRE-RESERVED",TRIM([1]DATABASE!Q304)="PSPA"),[1]DATABASE!AC304=""),"Active no Owner",""),IF(OR([1]DATABASE!F304="",[1]DATABASE!F304&lt;=0),"Missing/Invalid Area",""),IF(AND([1]DATABASE!T304&gt;0,ABS([1]DATABASE!T304-[1]DATABASE!W304-[1]DATABASE!U304-[1]DATABASE!V304)&gt;1),"Price Bridge Mismatch",""))</f>
        <v>Missing/Invalid Area</v>
      </c>
      <c r="H343" t="str">
        <f t="shared" si="7"/>
        <v>REVIEW</v>
      </c>
      <c r="I343" s="90">
        <f>[1]DATABASE!T304</f>
        <v>930000</v>
      </c>
      <c r="J343" t="str">
        <f>[1]DATABASE!AC304</f>
        <v>Ana Damásio</v>
      </c>
    </row>
    <row r="344" spans="1:10" ht="13.95" customHeight="1" x14ac:dyDescent="0.3">
      <c r="A344">
        <f>ROW([1]DATABASE!A305)</f>
        <v>305</v>
      </c>
      <c r="B344" t="str">
        <f>[1]DATABASE!AJ305</f>
        <v>Botanica</v>
      </c>
      <c r="C344" t="str">
        <f>[1]DATABASE!C305</f>
        <v>S</v>
      </c>
      <c r="D344" t="str">
        <f>TRIM([1]DATABASE!Q305)</f>
        <v>PRE-RESERVED</v>
      </c>
      <c r="E344" s="82" t="str">
        <f>_xlfn.TEXTJOIN("; ",TRUE,IF([1]DATABASE!X305&lt;0,"Negative Discount",""),IF(AND([1]DATABASE!Y305&gt;[1]DATABASE!T305,[1]DATABASE!Y305&gt;0,[1]DATABASE!T305&gt;0),"Sell Price &gt; Current",""),IF(AND(TRIM([1]DATABASE!Q305)="DEED",[1]DATABASE!AA305=""),"Deeded no PSPA Date",""),IF([1]DATABASE!E305="","Missing Typology",""),IF([1]DATABASE!AJ305="","Missing Development",""))</f>
        <v/>
      </c>
      <c r="F344" s="82" t="str">
        <f>_xlfn.TEXTJOIN("; ",TRUE,IF(AND(OR(TRIM([1]DATABASE!Q305)="RESERVED",TRIM([1]DATABASE!Q305)="PRE-RESERVED",TRIM([1]DATABASE!Q305)="PSPA"),[1]DATABASE!AA305=""),"Reserved/PSPA no PSPA Date",""),IF(AND(TRIM([1]DATABASE!Q305)="AVAILABLE",[1]DATABASE!AA305&lt;&gt;""),"Available has PSPA Date",""))</f>
        <v>Reserved/PSPA no PSPA Date</v>
      </c>
      <c r="G344" s="82" t="str">
        <f>_xlfn.TEXTJOIN("; ",TRUE,IF(AND([1]DATABASE!T305&lt;0.8*[1]DATABASE!S305,[1]DATABASE!T305&gt;0,[1]DATABASE!S305&gt;0),"Heavy Price Cut &gt;20%",""),IF(AND(OR(TRIM([1]DATABASE!Q305)="AVAILABLE",TRIM([1]DATABASE!Q305)="UPON REQUEST"),OR([1]DATABASE!T305="",[1]DATABASE!T305=0)),"Active Unit no Price",""),IF(AND(OR(TRIM([1]DATABASE!Q305)="AVAILABLE",TRIM([1]DATABASE!Q305)="RESERVED",TRIM([1]DATABASE!Q305)="PRE-RESERVED",TRIM([1]DATABASE!Q305)="PSPA"),[1]DATABASE!AC305=""),"Active no Owner",""),IF(OR([1]DATABASE!F305="",[1]DATABASE!F305&lt;=0),"Missing/Invalid Area",""),IF(AND([1]DATABASE!T305&gt;0,ABS([1]DATABASE!T305-[1]DATABASE!W305-[1]DATABASE!U305-[1]DATABASE!V305)&gt;1),"Price Bridge Mismatch",""))</f>
        <v/>
      </c>
      <c r="H344" t="str">
        <f t="shared" si="7"/>
        <v>REVIEW</v>
      </c>
      <c r="I344" s="90">
        <f>[1]DATABASE!T305</f>
        <v>910000</v>
      </c>
      <c r="J344" t="str">
        <f>[1]DATABASE!AC305</f>
        <v>Ana Damásio</v>
      </c>
    </row>
    <row r="345" spans="1:10" ht="13.95" customHeight="1" x14ac:dyDescent="0.3">
      <c r="A345">
        <f>ROW([1]DATABASE!A306)</f>
        <v>306</v>
      </c>
      <c r="B345" t="str">
        <f>[1]DATABASE!AJ306</f>
        <v>Rivus</v>
      </c>
      <c r="C345" t="str">
        <f>[1]DATABASE!C306</f>
        <v>T</v>
      </c>
      <c r="D345" t="str">
        <f>TRIM([1]DATABASE!Q306)</f>
        <v>RESERVED</v>
      </c>
      <c r="E345" s="82" t="str">
        <f>_xlfn.TEXTJOIN("; ",TRUE,IF([1]DATABASE!X306&lt;0,"Negative Discount",""),IF(AND([1]DATABASE!Y306&gt;[1]DATABASE!T306,[1]DATABASE!Y306&gt;0,[1]DATABASE!T306&gt;0),"Sell Price &gt; Current",""),IF(AND(TRIM([1]DATABASE!Q306)="DEED",[1]DATABASE!AA306=""),"Deeded no PSPA Date",""),IF([1]DATABASE!E306="","Missing Typology",""),IF([1]DATABASE!AJ306="","Missing Development",""))</f>
        <v/>
      </c>
      <c r="F345" s="82" t="str">
        <f>_xlfn.TEXTJOIN("; ",TRUE,IF(AND(OR(TRIM([1]DATABASE!Q306)="RESERVED",TRIM([1]DATABASE!Q306)="PRE-RESERVED",TRIM([1]DATABASE!Q306)="PSPA"),[1]DATABASE!AA306=""),"Reserved/PSPA no PSPA Date",""),IF(AND(TRIM([1]DATABASE!Q306)="AVAILABLE",[1]DATABASE!AA306&lt;&gt;""),"Available has PSPA Date",""))</f>
        <v>Reserved/PSPA no PSPA Date</v>
      </c>
      <c r="G345" s="82" t="str">
        <f>_xlfn.TEXTJOIN("; ",TRUE,IF(AND([1]DATABASE!T306&lt;0.8*[1]DATABASE!S306,[1]DATABASE!T306&gt;0,[1]DATABASE!S306&gt;0),"Heavy Price Cut &gt;20%",""),IF(AND(OR(TRIM([1]DATABASE!Q306)="AVAILABLE",TRIM([1]DATABASE!Q306)="UPON REQUEST"),OR([1]DATABASE!T306="",[1]DATABASE!T306=0)),"Active Unit no Price",""),IF(AND(OR(TRIM([1]DATABASE!Q306)="AVAILABLE",TRIM([1]DATABASE!Q306)="RESERVED",TRIM([1]DATABASE!Q306)="PRE-RESERVED",TRIM([1]DATABASE!Q306)="PSPA"),[1]DATABASE!AC306=""),"Active no Owner",""),IF(OR([1]DATABASE!F306="",[1]DATABASE!F306&lt;=0),"Missing/Invalid Area",""),IF(AND([1]DATABASE!T306&gt;0,ABS([1]DATABASE!T306-[1]DATABASE!W306-[1]DATABASE!U306-[1]DATABASE!V306)&gt;1),"Price Bridge Mismatch",""))</f>
        <v>Missing/Invalid Area</v>
      </c>
      <c r="H345" t="str">
        <f t="shared" si="7"/>
        <v>REVIEW</v>
      </c>
      <c r="I345" s="90">
        <f>[1]DATABASE!T306</f>
        <v>710000</v>
      </c>
      <c r="J345" t="str">
        <f>[1]DATABASE!AC306</f>
        <v>Ana Damásio</v>
      </c>
    </row>
    <row r="346" spans="1:10" ht="13.95" customHeight="1" x14ac:dyDescent="0.3">
      <c r="A346">
        <f>ROW([1]DATABASE!A307)</f>
        <v>307</v>
      </c>
      <c r="B346" t="str">
        <f>[1]DATABASE!AJ307</f>
        <v>Rivus</v>
      </c>
      <c r="C346" t="str">
        <f>[1]DATABASE!C307</f>
        <v>W</v>
      </c>
      <c r="D346" t="str">
        <f>TRIM([1]DATABASE!Q307)</f>
        <v>RESERVED</v>
      </c>
      <c r="E346" s="82" t="str">
        <f>_xlfn.TEXTJOIN("; ",TRUE,IF([1]DATABASE!X307&lt;0,"Negative Discount",""),IF(AND([1]DATABASE!Y307&gt;[1]DATABASE!T307,[1]DATABASE!Y307&gt;0,[1]DATABASE!T307&gt;0),"Sell Price &gt; Current",""),IF(AND(TRIM([1]DATABASE!Q307)="DEED",[1]DATABASE!AA307=""),"Deeded no PSPA Date",""),IF([1]DATABASE!E307="","Missing Typology",""),IF([1]DATABASE!AJ307="","Missing Development",""))</f>
        <v/>
      </c>
      <c r="F346" s="82" t="str">
        <f>_xlfn.TEXTJOIN("; ",TRUE,IF(AND(OR(TRIM([1]DATABASE!Q307)="RESERVED",TRIM([1]DATABASE!Q307)="PRE-RESERVED",TRIM([1]DATABASE!Q307)="PSPA"),[1]DATABASE!AA307=""),"Reserved/PSPA no PSPA Date",""),IF(AND(TRIM([1]DATABASE!Q307)="AVAILABLE",[1]DATABASE!AA307&lt;&gt;""),"Available has PSPA Date",""))</f>
        <v/>
      </c>
      <c r="G346" s="82" t="str">
        <f>_xlfn.TEXTJOIN("; ",TRUE,IF(AND([1]DATABASE!T307&lt;0.8*[1]DATABASE!S307,[1]DATABASE!T307&gt;0,[1]DATABASE!S307&gt;0),"Heavy Price Cut &gt;20%",""),IF(AND(OR(TRIM([1]DATABASE!Q307)="AVAILABLE",TRIM([1]DATABASE!Q307)="UPON REQUEST"),OR([1]DATABASE!T307="",[1]DATABASE!T307=0)),"Active Unit no Price",""),IF(AND(OR(TRIM([1]DATABASE!Q307)="AVAILABLE",TRIM([1]DATABASE!Q307)="RESERVED",TRIM([1]DATABASE!Q307)="PRE-RESERVED",TRIM([1]DATABASE!Q307)="PSPA"),[1]DATABASE!AC307=""),"Active no Owner",""),IF(OR([1]DATABASE!F307="",[1]DATABASE!F307&lt;=0),"Missing/Invalid Area",""),IF(AND([1]DATABASE!T307&gt;0,ABS([1]DATABASE!T307-[1]DATABASE!W307-[1]DATABASE!U307-[1]DATABASE!V307)&gt;1),"Price Bridge Mismatch",""))</f>
        <v>Missing/Invalid Area</v>
      </c>
      <c r="H346" t="str">
        <f t="shared" si="7"/>
        <v>REVIEW</v>
      </c>
      <c r="I346" s="90">
        <f>[1]DATABASE!T307</f>
        <v>700000</v>
      </c>
      <c r="J346" t="str">
        <f>[1]DATABASE!AC307</f>
        <v>Ana Damásio</v>
      </c>
    </row>
    <row r="347" spans="1:10" ht="13.95" customHeight="1" x14ac:dyDescent="0.3">
      <c r="A347">
        <f>ROW([1]DATABASE!A308)</f>
        <v>308</v>
      </c>
      <c r="B347" t="str">
        <f>[1]DATABASE!AJ308</f>
        <v>Rivus</v>
      </c>
      <c r="C347" t="str">
        <f>[1]DATABASE!C308</f>
        <v>Z</v>
      </c>
      <c r="D347" t="str">
        <f>TRIM([1]DATABASE!Q308)</f>
        <v>PRE-RESERVED</v>
      </c>
      <c r="E347" s="82" t="str">
        <f>_xlfn.TEXTJOIN("; ",TRUE,IF([1]DATABASE!X308&lt;0,"Negative Discount",""),IF(AND([1]DATABASE!Y308&gt;[1]DATABASE!T308,[1]DATABASE!Y308&gt;0,[1]DATABASE!T308&gt;0),"Sell Price &gt; Current",""),IF(AND(TRIM([1]DATABASE!Q308)="DEED",[1]DATABASE!AA308=""),"Deeded no PSPA Date",""),IF([1]DATABASE!E308="","Missing Typology",""),IF([1]DATABASE!AJ308="","Missing Development",""))</f>
        <v/>
      </c>
      <c r="F347" s="82" t="str">
        <f>_xlfn.TEXTJOIN("; ",TRUE,IF(AND(OR(TRIM([1]DATABASE!Q308)="RESERVED",TRIM([1]DATABASE!Q308)="PRE-RESERVED",TRIM([1]DATABASE!Q308)="PSPA"),[1]DATABASE!AA308=""),"Reserved/PSPA no PSPA Date",""),IF(AND(TRIM([1]DATABASE!Q308)="AVAILABLE",[1]DATABASE!AA308&lt;&gt;""),"Available has PSPA Date",""))</f>
        <v/>
      </c>
      <c r="G347" s="82" t="str">
        <f>_xlfn.TEXTJOIN("; ",TRUE,IF(AND([1]DATABASE!T308&lt;0.8*[1]DATABASE!S308,[1]DATABASE!T308&gt;0,[1]DATABASE!S308&gt;0),"Heavy Price Cut &gt;20%",""),IF(AND(OR(TRIM([1]DATABASE!Q308)="AVAILABLE",TRIM([1]DATABASE!Q308)="UPON REQUEST"),OR([1]DATABASE!T308="",[1]DATABASE!T308=0)),"Active Unit no Price",""),IF(AND(OR(TRIM([1]DATABASE!Q308)="AVAILABLE",TRIM([1]DATABASE!Q308)="RESERVED",TRIM([1]DATABASE!Q308)="PRE-RESERVED",TRIM([1]DATABASE!Q308)="PSPA"),[1]DATABASE!AC308=""),"Active no Owner",""),IF(OR([1]DATABASE!F308="",[1]DATABASE!F308&lt;=0),"Missing/Invalid Area",""),IF(AND([1]DATABASE!T308&gt;0,ABS([1]DATABASE!T308-[1]DATABASE!W308-[1]DATABASE!U308-[1]DATABASE!V308)&gt;1),"Price Bridge Mismatch",""))</f>
        <v>Missing/Invalid Area</v>
      </c>
      <c r="H347" t="str">
        <f t="shared" si="7"/>
        <v>REVIEW</v>
      </c>
      <c r="I347" s="90">
        <f>[1]DATABASE!T308</f>
        <v>750000</v>
      </c>
      <c r="J347" t="str">
        <f>[1]DATABASE!AC308</f>
        <v>Ana Damásio</v>
      </c>
    </row>
    <row r="348" spans="1:10" ht="13.95" customHeight="1" x14ac:dyDescent="0.3">
      <c r="A348">
        <f>ROW([1]DATABASE!A309)</f>
        <v>309</v>
      </c>
      <c r="B348" t="str">
        <f>[1]DATABASE!AJ309</f>
        <v>Aroeira Collections</v>
      </c>
      <c r="C348" t="str">
        <f>[1]DATABASE!C309</f>
        <v>121A</v>
      </c>
      <c r="D348" t="str">
        <f>TRIM([1]DATABASE!Q309)</f>
        <v>RESERVED</v>
      </c>
      <c r="E348" s="82" t="str">
        <f>_xlfn.TEXTJOIN("; ",TRUE,IF([1]DATABASE!X309&lt;0,"Negative Discount",""),IF(AND([1]DATABASE!Y309&gt;[1]DATABASE!T309,[1]DATABASE!Y309&gt;0,[1]DATABASE!T309&gt;0),"Sell Price &gt; Current",""),IF(AND(TRIM([1]DATABASE!Q309)="DEED",[1]DATABASE!AA309=""),"Deeded no PSPA Date",""),IF([1]DATABASE!E309="","Missing Typology",""),IF([1]DATABASE!AJ309="","Missing Development",""))</f>
        <v/>
      </c>
      <c r="F348" s="82" t="str">
        <f>_xlfn.TEXTJOIN("; ",TRUE,IF(AND(OR(TRIM([1]DATABASE!Q309)="RESERVED",TRIM([1]DATABASE!Q309)="PRE-RESERVED",TRIM([1]DATABASE!Q309)="PSPA"),[1]DATABASE!AA309=""),"Reserved/PSPA no PSPA Date",""),IF(AND(TRIM([1]DATABASE!Q309)="AVAILABLE",[1]DATABASE!AA309&lt;&gt;""),"Available has PSPA Date",""))</f>
        <v/>
      </c>
      <c r="G348" s="82" t="str">
        <f>_xlfn.TEXTJOIN("; ",TRUE,IF(AND([1]DATABASE!T309&lt;0.8*[1]DATABASE!S309,[1]DATABASE!T309&gt;0,[1]DATABASE!S309&gt;0),"Heavy Price Cut &gt;20%",""),IF(AND(OR(TRIM([1]DATABASE!Q309)="AVAILABLE",TRIM([1]DATABASE!Q309)="UPON REQUEST"),OR([1]DATABASE!T309="",[1]DATABASE!T309=0)),"Active Unit no Price",""),IF(AND(OR(TRIM([1]DATABASE!Q309)="AVAILABLE",TRIM([1]DATABASE!Q309)="RESERVED",TRIM([1]DATABASE!Q309)="PRE-RESERVED",TRIM([1]DATABASE!Q309)="PSPA"),[1]DATABASE!AC309=""),"Active no Owner",""),IF(OR([1]DATABASE!F309="",[1]DATABASE!F309&lt;=0),"Missing/Invalid Area",""),IF(AND([1]DATABASE!T309&gt;0,ABS([1]DATABASE!T309-[1]DATABASE!W309-[1]DATABASE!U309-[1]DATABASE!V309)&gt;1),"Price Bridge Mismatch",""))</f>
        <v/>
      </c>
      <c r="H348" t="str">
        <f t="shared" si="7"/>
        <v>PASS</v>
      </c>
      <c r="I348" s="90">
        <f>[1]DATABASE!T309</f>
        <v>430000</v>
      </c>
      <c r="J348" t="str">
        <f>[1]DATABASE!AC309</f>
        <v>João Gameiro</v>
      </c>
    </row>
    <row r="349" spans="1:10" ht="13.95" customHeight="1" x14ac:dyDescent="0.3">
      <c r="A349">
        <f>ROW([1]DATABASE!A310)</f>
        <v>310</v>
      </c>
      <c r="B349" t="str">
        <f>[1]DATABASE!AJ310</f>
        <v>Aroeira Collections</v>
      </c>
      <c r="C349" t="str">
        <f>[1]DATABASE!C310</f>
        <v>130A</v>
      </c>
      <c r="D349" t="str">
        <f>TRIM([1]DATABASE!Q310)</f>
        <v>RESERVED</v>
      </c>
      <c r="E349" s="82" t="str">
        <f>_xlfn.TEXTJOIN("; ",TRUE,IF([1]DATABASE!X310&lt;0,"Negative Discount",""),IF(AND([1]DATABASE!Y310&gt;[1]DATABASE!T310,[1]DATABASE!Y310&gt;0,[1]DATABASE!T310&gt;0),"Sell Price &gt; Current",""),IF(AND(TRIM([1]DATABASE!Q310)="DEED",[1]DATABASE!AA310=""),"Deeded no PSPA Date",""),IF([1]DATABASE!E310="","Missing Typology",""),IF([1]DATABASE!AJ310="","Missing Development",""))</f>
        <v/>
      </c>
      <c r="F349" s="82" t="str">
        <f>_xlfn.TEXTJOIN("; ",TRUE,IF(AND(OR(TRIM([1]DATABASE!Q310)="RESERVED",TRIM([1]DATABASE!Q310)="PRE-RESERVED",TRIM([1]DATABASE!Q310)="PSPA"),[1]DATABASE!AA310=""),"Reserved/PSPA no PSPA Date",""),IF(AND(TRIM([1]DATABASE!Q310)="AVAILABLE",[1]DATABASE!AA310&lt;&gt;""),"Available has PSPA Date",""))</f>
        <v/>
      </c>
      <c r="G349" s="82" t="str">
        <f>_xlfn.TEXTJOIN("; ",TRUE,IF(AND([1]DATABASE!T310&lt;0.8*[1]DATABASE!S310,[1]DATABASE!T310&gt;0,[1]DATABASE!S310&gt;0),"Heavy Price Cut &gt;20%",""),IF(AND(OR(TRIM([1]DATABASE!Q310)="AVAILABLE",TRIM([1]DATABASE!Q310)="UPON REQUEST"),OR([1]DATABASE!T310="",[1]DATABASE!T310=0)),"Active Unit no Price",""),IF(AND(OR(TRIM([1]DATABASE!Q310)="AVAILABLE",TRIM([1]DATABASE!Q310)="RESERVED",TRIM([1]DATABASE!Q310)="PRE-RESERVED",TRIM([1]DATABASE!Q310)="PSPA"),[1]DATABASE!AC310=""),"Active no Owner",""),IF(OR([1]DATABASE!F310="",[1]DATABASE!F310&lt;=0),"Missing/Invalid Area",""),IF(AND([1]DATABASE!T310&gt;0,ABS([1]DATABASE!T310-[1]DATABASE!W310-[1]DATABASE!U310-[1]DATABASE!V310)&gt;1),"Price Bridge Mismatch",""))</f>
        <v>Heavy Price Cut &gt;20%</v>
      </c>
      <c r="H349" t="str">
        <f t="shared" si="7"/>
        <v>REVIEW</v>
      </c>
      <c r="I349" s="90">
        <f>[1]DATABASE!T310</f>
        <v>410000</v>
      </c>
      <c r="J349" t="str">
        <f>[1]DATABASE!AC310</f>
        <v>João Gameiro</v>
      </c>
    </row>
    <row r="350" spans="1:10" ht="13.95" customHeight="1" x14ac:dyDescent="0.3">
      <c r="A350">
        <f>ROW([1]DATABASE!A311)</f>
        <v>311</v>
      </c>
      <c r="B350" t="str">
        <f>[1]DATABASE!AJ311</f>
        <v>Aroeira Collections</v>
      </c>
      <c r="C350" t="str">
        <f>[1]DATABASE!C311</f>
        <v>131A</v>
      </c>
      <c r="D350" t="str">
        <f>TRIM([1]DATABASE!Q311)</f>
        <v>RESERVED</v>
      </c>
      <c r="E350" s="82" t="str">
        <f>_xlfn.TEXTJOIN("; ",TRUE,IF([1]DATABASE!X311&lt;0,"Negative Discount",""),IF(AND([1]DATABASE!Y311&gt;[1]DATABASE!T311,[1]DATABASE!Y311&gt;0,[1]DATABASE!T311&gt;0),"Sell Price &gt; Current",""),IF(AND(TRIM([1]DATABASE!Q311)="DEED",[1]DATABASE!AA311=""),"Deeded no PSPA Date",""),IF([1]DATABASE!E311="","Missing Typology",""),IF([1]DATABASE!AJ311="","Missing Development",""))</f>
        <v/>
      </c>
      <c r="F350" s="82" t="str">
        <f>_xlfn.TEXTJOIN("; ",TRUE,IF(AND(OR(TRIM([1]DATABASE!Q311)="RESERVED",TRIM([1]DATABASE!Q311)="PRE-RESERVED",TRIM([1]DATABASE!Q311)="PSPA"),[1]DATABASE!AA311=""),"Reserved/PSPA no PSPA Date",""),IF(AND(TRIM([1]DATABASE!Q311)="AVAILABLE",[1]DATABASE!AA311&lt;&gt;""),"Available has PSPA Date",""))</f>
        <v/>
      </c>
      <c r="G350" s="82" t="str">
        <f>_xlfn.TEXTJOIN("; ",TRUE,IF(AND([1]DATABASE!T311&lt;0.8*[1]DATABASE!S311,[1]DATABASE!T311&gt;0,[1]DATABASE!S311&gt;0),"Heavy Price Cut &gt;20%",""),IF(AND(OR(TRIM([1]DATABASE!Q311)="AVAILABLE",TRIM([1]DATABASE!Q311)="UPON REQUEST"),OR([1]DATABASE!T311="",[1]DATABASE!T311=0)),"Active Unit no Price",""),IF(AND(OR(TRIM([1]DATABASE!Q311)="AVAILABLE",TRIM([1]DATABASE!Q311)="RESERVED",TRIM([1]DATABASE!Q311)="PRE-RESERVED",TRIM([1]DATABASE!Q311)="PSPA"),[1]DATABASE!AC311=""),"Active no Owner",""),IF(OR([1]DATABASE!F311="",[1]DATABASE!F311&lt;=0),"Missing/Invalid Area",""),IF(AND([1]DATABASE!T311&gt;0,ABS([1]DATABASE!T311-[1]DATABASE!W311-[1]DATABASE!U311-[1]DATABASE!V311)&gt;1),"Price Bridge Mismatch",""))</f>
        <v>Heavy Price Cut &gt;20%</v>
      </c>
      <c r="H350" t="str">
        <f t="shared" si="7"/>
        <v>REVIEW</v>
      </c>
      <c r="I350" s="90">
        <f>[1]DATABASE!T311</f>
        <v>410000</v>
      </c>
      <c r="J350" t="str">
        <f>[1]DATABASE!AC311</f>
        <v>João Gameiro</v>
      </c>
    </row>
    <row r="351" spans="1:10" ht="13.95" customHeight="1" x14ac:dyDescent="0.3">
      <c r="A351">
        <f>ROW([1]DATABASE!A312)</f>
        <v>312</v>
      </c>
      <c r="B351" t="str">
        <f>[1]DATABASE!AJ312</f>
        <v>Aroeira Collections</v>
      </c>
      <c r="C351" t="str">
        <f>[1]DATABASE!C312</f>
        <v>132A</v>
      </c>
      <c r="D351" t="str">
        <f>TRIM([1]DATABASE!Q312)</f>
        <v>RESERVED</v>
      </c>
      <c r="E351" s="82" t="str">
        <f>_xlfn.TEXTJOIN("; ",TRUE,IF([1]DATABASE!X312&lt;0,"Negative Discount",""),IF(AND([1]DATABASE!Y312&gt;[1]DATABASE!T312,[1]DATABASE!Y312&gt;0,[1]DATABASE!T312&gt;0),"Sell Price &gt; Current",""),IF(AND(TRIM([1]DATABASE!Q312)="DEED",[1]DATABASE!AA312=""),"Deeded no PSPA Date",""),IF([1]DATABASE!E312="","Missing Typology",""),IF([1]DATABASE!AJ312="","Missing Development",""))</f>
        <v/>
      </c>
      <c r="F351" s="82" t="str">
        <f>_xlfn.TEXTJOIN("; ",TRUE,IF(AND(OR(TRIM([1]DATABASE!Q312)="RESERVED",TRIM([1]DATABASE!Q312)="PRE-RESERVED",TRIM([1]DATABASE!Q312)="PSPA"),[1]DATABASE!AA312=""),"Reserved/PSPA no PSPA Date",""),IF(AND(TRIM([1]DATABASE!Q312)="AVAILABLE",[1]DATABASE!AA312&lt;&gt;""),"Available has PSPA Date",""))</f>
        <v/>
      </c>
      <c r="G351" s="82" t="str">
        <f>_xlfn.TEXTJOIN("; ",TRUE,IF(AND([1]DATABASE!T312&lt;0.8*[1]DATABASE!S312,[1]DATABASE!T312&gt;0,[1]DATABASE!S312&gt;0),"Heavy Price Cut &gt;20%",""),IF(AND(OR(TRIM([1]DATABASE!Q312)="AVAILABLE",TRIM([1]DATABASE!Q312)="UPON REQUEST"),OR([1]DATABASE!T312="",[1]DATABASE!T312=0)),"Active Unit no Price",""),IF(AND(OR(TRIM([1]DATABASE!Q312)="AVAILABLE",TRIM([1]DATABASE!Q312)="RESERVED",TRIM([1]DATABASE!Q312)="PRE-RESERVED",TRIM([1]DATABASE!Q312)="PSPA"),[1]DATABASE!AC312=""),"Active no Owner",""),IF(OR([1]DATABASE!F312="",[1]DATABASE!F312&lt;=0),"Missing/Invalid Area",""),IF(AND([1]DATABASE!T312&gt;0,ABS([1]DATABASE!T312-[1]DATABASE!W312-[1]DATABASE!U312-[1]DATABASE!V312)&gt;1),"Price Bridge Mismatch",""))</f>
        <v>Heavy Price Cut &gt;20%</v>
      </c>
      <c r="H351" t="str">
        <f t="shared" si="7"/>
        <v>REVIEW</v>
      </c>
      <c r="I351" s="90">
        <f>[1]DATABASE!T312</f>
        <v>410000</v>
      </c>
      <c r="J351" t="str">
        <f>[1]DATABASE!AC312</f>
        <v>João Gameiro</v>
      </c>
    </row>
    <row r="352" spans="1:10" ht="13.95" customHeight="1" x14ac:dyDescent="0.3">
      <c r="A352">
        <f>ROW([1]DATABASE!A313)</f>
        <v>313</v>
      </c>
      <c r="B352" t="str">
        <f>[1]DATABASE!AJ313</f>
        <v>Aroeira Collections</v>
      </c>
      <c r="C352" t="str">
        <f>[1]DATABASE!C313</f>
        <v>133A</v>
      </c>
      <c r="D352" t="str">
        <f>TRIM([1]DATABASE!Q313)</f>
        <v>RESERVED</v>
      </c>
      <c r="E352" s="82" t="str">
        <f>_xlfn.TEXTJOIN("; ",TRUE,IF([1]DATABASE!X313&lt;0,"Negative Discount",""),IF(AND([1]DATABASE!Y313&gt;[1]DATABASE!T313,[1]DATABASE!Y313&gt;0,[1]DATABASE!T313&gt;0),"Sell Price &gt; Current",""),IF(AND(TRIM([1]DATABASE!Q313)="DEED",[1]DATABASE!AA313=""),"Deeded no PSPA Date",""),IF([1]DATABASE!E313="","Missing Typology",""),IF([1]DATABASE!AJ313="","Missing Development",""))</f>
        <v/>
      </c>
      <c r="F352" s="82" t="str">
        <f>_xlfn.TEXTJOIN("; ",TRUE,IF(AND(OR(TRIM([1]DATABASE!Q313)="RESERVED",TRIM([1]DATABASE!Q313)="PRE-RESERVED",TRIM([1]DATABASE!Q313)="PSPA"),[1]DATABASE!AA313=""),"Reserved/PSPA no PSPA Date",""),IF(AND(TRIM([1]DATABASE!Q313)="AVAILABLE",[1]DATABASE!AA313&lt;&gt;""),"Available has PSPA Date",""))</f>
        <v/>
      </c>
      <c r="G352" s="82" t="str">
        <f>_xlfn.TEXTJOIN("; ",TRUE,IF(AND([1]DATABASE!T313&lt;0.8*[1]DATABASE!S313,[1]DATABASE!T313&gt;0,[1]DATABASE!S313&gt;0),"Heavy Price Cut &gt;20%",""),IF(AND(OR(TRIM([1]DATABASE!Q313)="AVAILABLE",TRIM([1]DATABASE!Q313)="UPON REQUEST"),OR([1]DATABASE!T313="",[1]DATABASE!T313=0)),"Active Unit no Price",""),IF(AND(OR(TRIM([1]DATABASE!Q313)="AVAILABLE",TRIM([1]DATABASE!Q313)="RESERVED",TRIM([1]DATABASE!Q313)="PRE-RESERVED",TRIM([1]DATABASE!Q313)="PSPA"),[1]DATABASE!AC313=""),"Active no Owner",""),IF(OR([1]DATABASE!F313="",[1]DATABASE!F313&lt;=0),"Missing/Invalid Area",""),IF(AND([1]DATABASE!T313&gt;0,ABS([1]DATABASE!T313-[1]DATABASE!W313-[1]DATABASE!U313-[1]DATABASE!V313)&gt;1),"Price Bridge Mismatch",""))</f>
        <v>Heavy Price Cut &gt;20%</v>
      </c>
      <c r="H352" t="str">
        <f t="shared" si="7"/>
        <v>REVIEW</v>
      </c>
      <c r="I352" s="90">
        <f>[1]DATABASE!T313</f>
        <v>410000</v>
      </c>
      <c r="J352" t="str">
        <f>[1]DATABASE!AC313</f>
        <v>João Gameiro</v>
      </c>
    </row>
    <row r="353" spans="1:10" ht="13.95" customHeight="1" x14ac:dyDescent="0.3">
      <c r="A353">
        <f>ROW([1]DATABASE!A314)</f>
        <v>314</v>
      </c>
      <c r="B353" t="str">
        <f>[1]DATABASE!AJ314</f>
        <v>Aroeira Collections</v>
      </c>
      <c r="C353" t="str">
        <f>[1]DATABASE!C314</f>
        <v>139A</v>
      </c>
      <c r="D353" t="str">
        <f>TRIM([1]DATABASE!Q314)</f>
        <v>RESERVED</v>
      </c>
      <c r="E353" s="82" t="str">
        <f>_xlfn.TEXTJOIN("; ",TRUE,IF([1]DATABASE!X314&lt;0,"Negative Discount",""),IF(AND([1]DATABASE!Y314&gt;[1]DATABASE!T314,[1]DATABASE!Y314&gt;0,[1]DATABASE!T314&gt;0),"Sell Price &gt; Current",""),IF(AND(TRIM([1]DATABASE!Q314)="DEED",[1]DATABASE!AA314=""),"Deeded no PSPA Date",""),IF([1]DATABASE!E314="","Missing Typology",""),IF([1]DATABASE!AJ314="","Missing Development",""))</f>
        <v/>
      </c>
      <c r="F353" s="82" t="str">
        <f>_xlfn.TEXTJOIN("; ",TRUE,IF(AND(OR(TRIM([1]DATABASE!Q314)="RESERVED",TRIM([1]DATABASE!Q314)="PRE-RESERVED",TRIM([1]DATABASE!Q314)="PSPA"),[1]DATABASE!AA314=""),"Reserved/PSPA no PSPA Date",""),IF(AND(TRIM([1]DATABASE!Q314)="AVAILABLE",[1]DATABASE!AA314&lt;&gt;""),"Available has PSPA Date",""))</f>
        <v/>
      </c>
      <c r="G353" s="82" t="str">
        <f>_xlfn.TEXTJOIN("; ",TRUE,IF(AND([1]DATABASE!T314&lt;0.8*[1]DATABASE!S314,[1]DATABASE!T314&gt;0,[1]DATABASE!S314&gt;0),"Heavy Price Cut &gt;20%",""),IF(AND(OR(TRIM([1]DATABASE!Q314)="AVAILABLE",TRIM([1]DATABASE!Q314)="UPON REQUEST"),OR([1]DATABASE!T314="",[1]DATABASE!T314=0)),"Active Unit no Price",""),IF(AND(OR(TRIM([1]DATABASE!Q314)="AVAILABLE",TRIM([1]DATABASE!Q314)="RESERVED",TRIM([1]DATABASE!Q314)="PRE-RESERVED",TRIM([1]DATABASE!Q314)="PSPA"),[1]DATABASE!AC314=""),"Active no Owner",""),IF(OR([1]DATABASE!F314="",[1]DATABASE!F314&lt;=0),"Missing/Invalid Area",""),IF(AND([1]DATABASE!T314&gt;0,ABS([1]DATABASE!T314-[1]DATABASE!W314-[1]DATABASE!U314-[1]DATABASE!V314)&gt;1),"Price Bridge Mismatch",""))</f>
        <v>Heavy Price Cut &gt;20%</v>
      </c>
      <c r="H353" t="str">
        <f t="shared" si="7"/>
        <v>REVIEW</v>
      </c>
      <c r="I353" s="90">
        <f>[1]DATABASE!T314</f>
        <v>390000</v>
      </c>
      <c r="J353" t="str">
        <f>[1]DATABASE!AC314</f>
        <v>João Gameiro</v>
      </c>
    </row>
    <row r="354" spans="1:10" ht="13.95" customHeight="1" x14ac:dyDescent="0.3">
      <c r="A354">
        <f>ROW([1]DATABASE!A315)</f>
        <v>315</v>
      </c>
      <c r="B354" t="str">
        <f>[1]DATABASE!AJ315</f>
        <v>Palmares</v>
      </c>
      <c r="C354" t="str">
        <f>[1]DATABASE!C315</f>
        <v>23</v>
      </c>
      <c r="D354" t="str">
        <f>TRIM([1]DATABASE!Q315)</f>
        <v>DEED</v>
      </c>
      <c r="E354" s="82" t="str">
        <f>_xlfn.TEXTJOIN("; ",TRUE,IF([1]DATABASE!X315&lt;0,"Negative Discount",""),IF(AND([1]DATABASE!Y315&gt;[1]DATABASE!T315,[1]DATABASE!Y315&gt;0,[1]DATABASE!T315&gt;0),"Sell Price &gt; Current",""),IF(AND(TRIM([1]DATABASE!Q315)="DEED",[1]DATABASE!AA315=""),"Deeded no PSPA Date",""),IF([1]DATABASE!E315="","Missing Typology",""),IF([1]DATABASE!AJ315="","Missing Development",""))</f>
        <v/>
      </c>
      <c r="F354" s="82" t="str">
        <f>_xlfn.TEXTJOIN("; ",TRUE,IF(AND(OR(TRIM([1]DATABASE!Q315)="RESERVED",TRIM([1]DATABASE!Q315)="PRE-RESERVED",TRIM([1]DATABASE!Q315)="PSPA"),[1]DATABASE!AA315=""),"Reserved/PSPA no PSPA Date",""),IF(AND(TRIM([1]DATABASE!Q315)="AVAILABLE",[1]DATABASE!AA315&lt;&gt;""),"Available has PSPA Date",""))</f>
        <v/>
      </c>
      <c r="G354" s="82" t="str">
        <f>_xlfn.TEXTJOIN("; ",TRUE,IF(AND([1]DATABASE!T315&lt;0.8*[1]DATABASE!S315,[1]DATABASE!T315&gt;0,[1]DATABASE!S315&gt;0),"Heavy Price Cut &gt;20%",""),IF(AND(OR(TRIM([1]DATABASE!Q315)="AVAILABLE",TRIM([1]DATABASE!Q315)="UPON REQUEST"),OR([1]DATABASE!T315="",[1]DATABASE!T315=0)),"Active Unit no Price",""),IF(AND(OR(TRIM([1]DATABASE!Q315)="AVAILABLE",TRIM([1]DATABASE!Q315)="RESERVED",TRIM([1]DATABASE!Q315)="PRE-RESERVED",TRIM([1]DATABASE!Q315)="PSPA"),[1]DATABASE!AC315=""),"Active no Owner",""),IF(OR([1]DATABASE!F315="",[1]DATABASE!F315&lt;=0),"Missing/Invalid Area",""),IF(AND([1]DATABASE!T315&gt;0,ABS([1]DATABASE!T315-[1]DATABASE!W315-[1]DATABASE!U315-[1]DATABASE!V315)&gt;1),"Price Bridge Mismatch",""))</f>
        <v/>
      </c>
      <c r="H354" t="str">
        <f t="shared" si="7"/>
        <v>PASS</v>
      </c>
      <c r="I354" s="90">
        <f>[1]DATABASE!T315</f>
        <v>1700000</v>
      </c>
      <c r="J354" t="str">
        <f>[1]DATABASE!AC315</f>
        <v>Sandra Viegas</v>
      </c>
    </row>
    <row r="355" spans="1:10" ht="13.95" customHeight="1" x14ac:dyDescent="0.3">
      <c r="A355">
        <f>ROW([1]DATABASE!A316)</f>
        <v>316</v>
      </c>
      <c r="B355" t="str">
        <f>[1]DATABASE!AJ316</f>
        <v>Aroeira Collections</v>
      </c>
      <c r="C355" t="str">
        <f>[1]DATABASE!C316</f>
        <v>140A</v>
      </c>
      <c r="D355" t="str">
        <f>TRIM([1]DATABASE!Q316)</f>
        <v>RESERVED</v>
      </c>
      <c r="E355" s="82" t="str">
        <f>_xlfn.TEXTJOIN("; ",TRUE,IF([1]DATABASE!X316&lt;0,"Negative Discount",""),IF(AND([1]DATABASE!Y316&gt;[1]DATABASE!T316,[1]DATABASE!Y316&gt;0,[1]DATABASE!T316&gt;0),"Sell Price &gt; Current",""),IF(AND(TRIM([1]DATABASE!Q316)="DEED",[1]DATABASE!AA316=""),"Deeded no PSPA Date",""),IF([1]DATABASE!E316="","Missing Typology",""),IF([1]DATABASE!AJ316="","Missing Development",""))</f>
        <v/>
      </c>
      <c r="F355" s="82" t="str">
        <f>_xlfn.TEXTJOIN("; ",TRUE,IF(AND(OR(TRIM([1]DATABASE!Q316)="RESERVED",TRIM([1]DATABASE!Q316)="PRE-RESERVED",TRIM([1]DATABASE!Q316)="PSPA"),[1]DATABASE!AA316=""),"Reserved/PSPA no PSPA Date",""),IF(AND(TRIM([1]DATABASE!Q316)="AVAILABLE",[1]DATABASE!AA316&lt;&gt;""),"Available has PSPA Date",""))</f>
        <v/>
      </c>
      <c r="G355" s="82" t="str">
        <f>_xlfn.TEXTJOIN("; ",TRUE,IF(AND([1]DATABASE!T316&lt;0.8*[1]DATABASE!S316,[1]DATABASE!T316&gt;0,[1]DATABASE!S316&gt;0),"Heavy Price Cut &gt;20%",""),IF(AND(OR(TRIM([1]DATABASE!Q316)="AVAILABLE",TRIM([1]DATABASE!Q316)="UPON REQUEST"),OR([1]DATABASE!T316="",[1]DATABASE!T316=0)),"Active Unit no Price",""),IF(AND(OR(TRIM([1]DATABASE!Q316)="AVAILABLE",TRIM([1]DATABASE!Q316)="RESERVED",TRIM([1]DATABASE!Q316)="PRE-RESERVED",TRIM([1]DATABASE!Q316)="PSPA"),[1]DATABASE!AC316=""),"Active no Owner",""),IF(OR([1]DATABASE!F316="",[1]DATABASE!F316&lt;=0),"Missing/Invalid Area",""),IF(AND([1]DATABASE!T316&gt;0,ABS([1]DATABASE!T316-[1]DATABASE!W316-[1]DATABASE!U316-[1]DATABASE!V316)&gt;1),"Price Bridge Mismatch",""))</f>
        <v>Heavy Price Cut &gt;20%</v>
      </c>
      <c r="H355" t="str">
        <f t="shared" si="7"/>
        <v>REVIEW</v>
      </c>
      <c r="I355" s="90">
        <f>[1]DATABASE!T316</f>
        <v>390000</v>
      </c>
      <c r="J355" t="str">
        <f>[1]DATABASE!AC316</f>
        <v>João Gameiro</v>
      </c>
    </row>
    <row r="356" spans="1:10" ht="13.95" customHeight="1" x14ac:dyDescent="0.3">
      <c r="A356">
        <f>ROW([1]DATABASE!A317)</f>
        <v>317</v>
      </c>
      <c r="B356" t="str">
        <f>[1]DATABASE!AJ317</f>
        <v>Aroeira Collections</v>
      </c>
      <c r="C356" t="str">
        <f>[1]DATABASE!C317</f>
        <v>141A</v>
      </c>
      <c r="D356" t="str">
        <f>TRIM([1]DATABASE!Q317)</f>
        <v>RESERVED</v>
      </c>
      <c r="E356" s="82" t="str">
        <f>_xlfn.TEXTJOIN("; ",TRUE,IF([1]DATABASE!X317&lt;0,"Negative Discount",""),IF(AND([1]DATABASE!Y317&gt;[1]DATABASE!T317,[1]DATABASE!Y317&gt;0,[1]DATABASE!T317&gt;0),"Sell Price &gt; Current",""),IF(AND(TRIM([1]DATABASE!Q317)="DEED",[1]DATABASE!AA317=""),"Deeded no PSPA Date",""),IF([1]DATABASE!E317="","Missing Typology",""),IF([1]DATABASE!AJ317="","Missing Development",""))</f>
        <v/>
      </c>
      <c r="F356" s="82" t="str">
        <f>_xlfn.TEXTJOIN("; ",TRUE,IF(AND(OR(TRIM([1]DATABASE!Q317)="RESERVED",TRIM([1]DATABASE!Q317)="PRE-RESERVED",TRIM([1]DATABASE!Q317)="PSPA"),[1]DATABASE!AA317=""),"Reserved/PSPA no PSPA Date",""),IF(AND(TRIM([1]DATABASE!Q317)="AVAILABLE",[1]DATABASE!AA317&lt;&gt;""),"Available has PSPA Date",""))</f>
        <v/>
      </c>
      <c r="G356" s="82" t="str">
        <f>_xlfn.TEXTJOIN("; ",TRUE,IF(AND([1]DATABASE!T317&lt;0.8*[1]DATABASE!S317,[1]DATABASE!T317&gt;0,[1]DATABASE!S317&gt;0),"Heavy Price Cut &gt;20%",""),IF(AND(OR(TRIM([1]DATABASE!Q317)="AVAILABLE",TRIM([1]DATABASE!Q317)="UPON REQUEST"),OR([1]DATABASE!T317="",[1]DATABASE!T317=0)),"Active Unit no Price",""),IF(AND(OR(TRIM([1]DATABASE!Q317)="AVAILABLE",TRIM([1]DATABASE!Q317)="RESERVED",TRIM([1]DATABASE!Q317)="PRE-RESERVED",TRIM([1]DATABASE!Q317)="PSPA"),[1]DATABASE!AC317=""),"Active no Owner",""),IF(OR([1]DATABASE!F317="",[1]DATABASE!F317&lt;=0),"Missing/Invalid Area",""),IF(AND([1]DATABASE!T317&gt;0,ABS([1]DATABASE!T317-[1]DATABASE!W317-[1]DATABASE!U317-[1]DATABASE!V317)&gt;1),"Price Bridge Mismatch",""))</f>
        <v>Heavy Price Cut &gt;20%</v>
      </c>
      <c r="H356" t="str">
        <f t="shared" si="7"/>
        <v>REVIEW</v>
      </c>
      <c r="I356" s="90">
        <f>[1]DATABASE!T317</f>
        <v>390000</v>
      </c>
      <c r="J356" t="str">
        <f>[1]DATABASE!AC317</f>
        <v>João Gameiro</v>
      </c>
    </row>
    <row r="357" spans="1:10" ht="13.95" customHeight="1" x14ac:dyDescent="0.3">
      <c r="A357">
        <f>ROW([1]DATABASE!A318)</f>
        <v>318</v>
      </c>
      <c r="B357" t="str">
        <f>[1]DATABASE!AJ318</f>
        <v>Aroeira Collections</v>
      </c>
      <c r="C357" t="str">
        <f>[1]DATABASE!C318</f>
        <v>142A</v>
      </c>
      <c r="D357" t="str">
        <f>TRIM([1]DATABASE!Q318)</f>
        <v>RESERVED</v>
      </c>
      <c r="E357" s="82" t="str">
        <f>_xlfn.TEXTJOIN("; ",TRUE,IF([1]DATABASE!X318&lt;0,"Negative Discount",""),IF(AND([1]DATABASE!Y318&gt;[1]DATABASE!T318,[1]DATABASE!Y318&gt;0,[1]DATABASE!T318&gt;0),"Sell Price &gt; Current",""),IF(AND(TRIM([1]DATABASE!Q318)="DEED",[1]DATABASE!AA318=""),"Deeded no PSPA Date",""),IF([1]DATABASE!E318="","Missing Typology",""),IF([1]DATABASE!AJ318="","Missing Development",""))</f>
        <v/>
      </c>
      <c r="F357" s="82" t="str">
        <f>_xlfn.TEXTJOIN("; ",TRUE,IF(AND(OR(TRIM([1]DATABASE!Q318)="RESERVED",TRIM([1]DATABASE!Q318)="PRE-RESERVED",TRIM([1]DATABASE!Q318)="PSPA"),[1]DATABASE!AA318=""),"Reserved/PSPA no PSPA Date",""),IF(AND(TRIM([1]DATABASE!Q318)="AVAILABLE",[1]DATABASE!AA318&lt;&gt;""),"Available has PSPA Date",""))</f>
        <v/>
      </c>
      <c r="G357" s="82" t="str">
        <f>_xlfn.TEXTJOIN("; ",TRUE,IF(AND([1]DATABASE!T318&lt;0.8*[1]DATABASE!S318,[1]DATABASE!T318&gt;0,[1]DATABASE!S318&gt;0),"Heavy Price Cut &gt;20%",""),IF(AND(OR(TRIM([1]DATABASE!Q318)="AVAILABLE",TRIM([1]DATABASE!Q318)="UPON REQUEST"),OR([1]DATABASE!T318="",[1]DATABASE!T318=0)),"Active Unit no Price",""),IF(AND(OR(TRIM([1]DATABASE!Q318)="AVAILABLE",TRIM([1]DATABASE!Q318)="RESERVED",TRIM([1]DATABASE!Q318)="PRE-RESERVED",TRIM([1]DATABASE!Q318)="PSPA"),[1]DATABASE!AC318=""),"Active no Owner",""),IF(OR([1]DATABASE!F318="",[1]DATABASE!F318&lt;=0),"Missing/Invalid Area",""),IF(AND([1]DATABASE!T318&gt;0,ABS([1]DATABASE!T318-[1]DATABASE!W318-[1]DATABASE!U318-[1]DATABASE!V318)&gt;1),"Price Bridge Mismatch",""))</f>
        <v>Heavy Price Cut &gt;20%</v>
      </c>
      <c r="H357" t="str">
        <f t="shared" si="7"/>
        <v>REVIEW</v>
      </c>
      <c r="I357" s="90">
        <f>[1]DATABASE!T318</f>
        <v>390000</v>
      </c>
      <c r="J357" t="str">
        <f>[1]DATABASE!AC318</f>
        <v>João Gameiro</v>
      </c>
    </row>
    <row r="358" spans="1:10" ht="13.95" customHeight="1" x14ac:dyDescent="0.3">
      <c r="A358">
        <f>ROW([1]DATABASE!A319)</f>
        <v>319</v>
      </c>
      <c r="B358" t="str">
        <f>[1]DATABASE!AJ319</f>
        <v>Aroeira Collections</v>
      </c>
      <c r="C358" t="str">
        <f>[1]DATABASE!C319</f>
        <v>143A</v>
      </c>
      <c r="D358" t="str">
        <f>TRIM([1]DATABASE!Q319)</f>
        <v>RESERVED</v>
      </c>
      <c r="E358" s="82" t="str">
        <f>_xlfn.TEXTJOIN("; ",TRUE,IF([1]DATABASE!X319&lt;0,"Negative Discount",""),IF(AND([1]DATABASE!Y319&gt;[1]DATABASE!T319,[1]DATABASE!Y319&gt;0,[1]DATABASE!T319&gt;0),"Sell Price &gt; Current",""),IF(AND(TRIM([1]DATABASE!Q319)="DEED",[1]DATABASE!AA319=""),"Deeded no PSPA Date",""),IF([1]DATABASE!E319="","Missing Typology",""),IF([1]DATABASE!AJ319="","Missing Development",""))</f>
        <v/>
      </c>
      <c r="F358" s="82" t="str">
        <f>_xlfn.TEXTJOIN("; ",TRUE,IF(AND(OR(TRIM([1]DATABASE!Q319)="RESERVED",TRIM([1]DATABASE!Q319)="PRE-RESERVED",TRIM([1]DATABASE!Q319)="PSPA"),[1]DATABASE!AA319=""),"Reserved/PSPA no PSPA Date",""),IF(AND(TRIM([1]DATABASE!Q319)="AVAILABLE",[1]DATABASE!AA319&lt;&gt;""),"Available has PSPA Date",""))</f>
        <v/>
      </c>
      <c r="G358" s="82" t="str">
        <f>_xlfn.TEXTJOIN("; ",TRUE,IF(AND([1]DATABASE!T319&lt;0.8*[1]DATABASE!S319,[1]DATABASE!T319&gt;0,[1]DATABASE!S319&gt;0),"Heavy Price Cut &gt;20%",""),IF(AND(OR(TRIM([1]DATABASE!Q319)="AVAILABLE",TRIM([1]DATABASE!Q319)="UPON REQUEST"),OR([1]DATABASE!T319="",[1]DATABASE!T319=0)),"Active Unit no Price",""),IF(AND(OR(TRIM([1]DATABASE!Q319)="AVAILABLE",TRIM([1]DATABASE!Q319)="RESERVED",TRIM([1]DATABASE!Q319)="PRE-RESERVED",TRIM([1]DATABASE!Q319)="PSPA"),[1]DATABASE!AC319=""),"Active no Owner",""),IF(OR([1]DATABASE!F319="",[1]DATABASE!F319&lt;=0),"Missing/Invalid Area",""),IF(AND([1]DATABASE!T319&gt;0,ABS([1]DATABASE!T319-[1]DATABASE!W319-[1]DATABASE!U319-[1]DATABASE!V319)&gt;1),"Price Bridge Mismatch",""))</f>
        <v>Heavy Price Cut &gt;20%</v>
      </c>
      <c r="H358" t="str">
        <f t="shared" si="7"/>
        <v>REVIEW</v>
      </c>
      <c r="I358" s="90">
        <f>[1]DATABASE!T319</f>
        <v>370000</v>
      </c>
      <c r="J358" t="str">
        <f>[1]DATABASE!AC319</f>
        <v>João Gameiro</v>
      </c>
    </row>
    <row r="359" spans="1:10" ht="13.95" customHeight="1" x14ac:dyDescent="0.3">
      <c r="A359">
        <f>ROW([1]DATABASE!A320)</f>
        <v>320</v>
      </c>
      <c r="B359" t="str">
        <f>[1]DATABASE!AJ320</f>
        <v>Aroeira Collections</v>
      </c>
      <c r="C359" t="str">
        <f>[1]DATABASE!C320</f>
        <v>144A</v>
      </c>
      <c r="D359" t="str">
        <f>TRIM([1]DATABASE!Q320)</f>
        <v>RESERVED</v>
      </c>
      <c r="E359" s="82" t="str">
        <f>_xlfn.TEXTJOIN("; ",TRUE,IF([1]DATABASE!X320&lt;0,"Negative Discount",""),IF(AND([1]DATABASE!Y320&gt;[1]DATABASE!T320,[1]DATABASE!Y320&gt;0,[1]DATABASE!T320&gt;0),"Sell Price &gt; Current",""),IF(AND(TRIM([1]DATABASE!Q320)="DEED",[1]DATABASE!AA320=""),"Deeded no PSPA Date",""),IF([1]DATABASE!E320="","Missing Typology",""),IF([1]DATABASE!AJ320="","Missing Development",""))</f>
        <v/>
      </c>
      <c r="F359" s="82" t="str">
        <f>_xlfn.TEXTJOIN("; ",TRUE,IF(AND(OR(TRIM([1]DATABASE!Q320)="RESERVED",TRIM([1]DATABASE!Q320)="PRE-RESERVED",TRIM([1]DATABASE!Q320)="PSPA"),[1]DATABASE!AA320=""),"Reserved/PSPA no PSPA Date",""),IF(AND(TRIM([1]DATABASE!Q320)="AVAILABLE",[1]DATABASE!AA320&lt;&gt;""),"Available has PSPA Date",""))</f>
        <v/>
      </c>
      <c r="G359" s="82" t="str">
        <f>_xlfn.TEXTJOIN("; ",TRUE,IF(AND([1]DATABASE!T320&lt;0.8*[1]DATABASE!S320,[1]DATABASE!T320&gt;0,[1]DATABASE!S320&gt;0),"Heavy Price Cut &gt;20%",""),IF(AND(OR(TRIM([1]DATABASE!Q320)="AVAILABLE",TRIM([1]DATABASE!Q320)="UPON REQUEST"),OR([1]DATABASE!T320="",[1]DATABASE!T320=0)),"Active Unit no Price",""),IF(AND(OR(TRIM([1]DATABASE!Q320)="AVAILABLE",TRIM([1]DATABASE!Q320)="RESERVED",TRIM([1]DATABASE!Q320)="PRE-RESERVED",TRIM([1]DATABASE!Q320)="PSPA"),[1]DATABASE!AC320=""),"Active no Owner",""),IF(OR([1]DATABASE!F320="",[1]DATABASE!F320&lt;=0),"Missing/Invalid Area",""),IF(AND([1]DATABASE!T320&gt;0,ABS([1]DATABASE!T320-[1]DATABASE!W320-[1]DATABASE!U320-[1]DATABASE!V320)&gt;1),"Price Bridge Mismatch",""))</f>
        <v>Heavy Price Cut &gt;20%</v>
      </c>
      <c r="H359" t="str">
        <f t="shared" si="7"/>
        <v>REVIEW</v>
      </c>
      <c r="I359" s="90">
        <f>[1]DATABASE!T320</f>
        <v>370000</v>
      </c>
      <c r="J359" t="str">
        <f>[1]DATABASE!AC320</f>
        <v>João Gameiro</v>
      </c>
    </row>
    <row r="360" spans="1:10" ht="13.95" customHeight="1" x14ac:dyDescent="0.3">
      <c r="A360">
        <f>ROW([1]DATABASE!A321)</f>
        <v>321</v>
      </c>
      <c r="B360" t="str">
        <f>[1]DATABASE!AJ321</f>
        <v>Aroeira Collections</v>
      </c>
      <c r="C360" t="str">
        <f>[1]DATABASE!C321</f>
        <v>209B</v>
      </c>
      <c r="D360" t="str">
        <f>TRIM([1]DATABASE!Q321)</f>
        <v>RESERVED</v>
      </c>
      <c r="E360" s="82" t="str">
        <f>_xlfn.TEXTJOIN("; ",TRUE,IF([1]DATABASE!X321&lt;0,"Negative Discount",""),IF(AND([1]DATABASE!Y321&gt;[1]DATABASE!T321,[1]DATABASE!Y321&gt;0,[1]DATABASE!T321&gt;0),"Sell Price &gt; Current",""),IF(AND(TRIM([1]DATABASE!Q321)="DEED",[1]DATABASE!AA321=""),"Deeded no PSPA Date",""),IF([1]DATABASE!E321="","Missing Typology",""),IF([1]DATABASE!AJ321="","Missing Development",""))</f>
        <v/>
      </c>
      <c r="F360" s="82" t="str">
        <f>_xlfn.TEXTJOIN("; ",TRUE,IF(AND(OR(TRIM([1]DATABASE!Q321)="RESERVED",TRIM([1]DATABASE!Q321)="PRE-RESERVED",TRIM([1]DATABASE!Q321)="PSPA"),[1]DATABASE!AA321=""),"Reserved/PSPA no PSPA Date",""),IF(AND(TRIM([1]DATABASE!Q321)="AVAILABLE",[1]DATABASE!AA321&lt;&gt;""),"Available has PSPA Date",""))</f>
        <v/>
      </c>
      <c r="G360" s="82" t="str">
        <f>_xlfn.TEXTJOIN("; ",TRUE,IF(AND([1]DATABASE!T321&lt;0.8*[1]DATABASE!S321,[1]DATABASE!T321&gt;0,[1]DATABASE!S321&gt;0),"Heavy Price Cut &gt;20%",""),IF(AND(OR(TRIM([1]DATABASE!Q321)="AVAILABLE",TRIM([1]DATABASE!Q321)="UPON REQUEST"),OR([1]DATABASE!T321="",[1]DATABASE!T321=0)),"Active Unit no Price",""),IF(AND(OR(TRIM([1]DATABASE!Q321)="AVAILABLE",TRIM([1]DATABASE!Q321)="RESERVED",TRIM([1]DATABASE!Q321)="PRE-RESERVED",TRIM([1]DATABASE!Q321)="PSPA"),[1]DATABASE!AC321=""),"Active no Owner",""),IF(OR([1]DATABASE!F321="",[1]DATABASE!F321&lt;=0),"Missing/Invalid Area",""),IF(AND([1]DATABASE!T321&gt;0,ABS([1]DATABASE!T321-[1]DATABASE!W321-[1]DATABASE!U321-[1]DATABASE!V321)&gt;1),"Price Bridge Mismatch",""))</f>
        <v/>
      </c>
      <c r="H360" t="str">
        <f t="shared" si="7"/>
        <v>PASS</v>
      </c>
      <c r="I360" s="90">
        <f>[1]DATABASE!T321</f>
        <v>640000</v>
      </c>
      <c r="J360" t="str">
        <f>[1]DATABASE!AC321</f>
        <v>João Gameiro</v>
      </c>
    </row>
    <row r="361" spans="1:10" ht="13.95" customHeight="1" x14ac:dyDescent="0.3">
      <c r="A361">
        <f>ROW([1]DATABASE!A322)</f>
        <v>322</v>
      </c>
      <c r="B361" t="str">
        <f>[1]DATABASE!AJ322</f>
        <v>Aroeira Collections</v>
      </c>
      <c r="C361" t="str">
        <f>[1]DATABASE!C322</f>
        <v>215B</v>
      </c>
      <c r="D361" t="str">
        <f>TRIM([1]DATABASE!Q322)</f>
        <v>RESERVED</v>
      </c>
      <c r="E361" s="82" t="str">
        <f>_xlfn.TEXTJOIN("; ",TRUE,IF([1]DATABASE!X322&lt;0,"Negative Discount",""),IF(AND([1]DATABASE!Y322&gt;[1]DATABASE!T322,[1]DATABASE!Y322&gt;0,[1]DATABASE!T322&gt;0),"Sell Price &gt; Current",""),IF(AND(TRIM([1]DATABASE!Q322)="DEED",[1]DATABASE!AA322=""),"Deeded no PSPA Date",""),IF([1]DATABASE!E322="","Missing Typology",""),IF([1]DATABASE!AJ322="","Missing Development",""))</f>
        <v/>
      </c>
      <c r="F361" s="82" t="str">
        <f>_xlfn.TEXTJOIN("; ",TRUE,IF(AND(OR(TRIM([1]DATABASE!Q322)="RESERVED",TRIM([1]DATABASE!Q322)="PRE-RESERVED",TRIM([1]DATABASE!Q322)="PSPA"),[1]DATABASE!AA322=""),"Reserved/PSPA no PSPA Date",""),IF(AND(TRIM([1]DATABASE!Q322)="AVAILABLE",[1]DATABASE!AA322&lt;&gt;""),"Available has PSPA Date",""))</f>
        <v/>
      </c>
      <c r="G361" s="82" t="str">
        <f>_xlfn.TEXTJOIN("; ",TRUE,IF(AND([1]DATABASE!T322&lt;0.8*[1]DATABASE!S322,[1]DATABASE!T322&gt;0,[1]DATABASE!S322&gt;0),"Heavy Price Cut &gt;20%",""),IF(AND(OR(TRIM([1]DATABASE!Q322)="AVAILABLE",TRIM([1]DATABASE!Q322)="UPON REQUEST"),OR([1]DATABASE!T322="",[1]DATABASE!T322=0)),"Active Unit no Price",""),IF(AND(OR(TRIM([1]DATABASE!Q322)="AVAILABLE",TRIM([1]DATABASE!Q322)="RESERVED",TRIM([1]DATABASE!Q322)="PRE-RESERVED",TRIM([1]DATABASE!Q322)="PSPA"),[1]DATABASE!AC322=""),"Active no Owner",""),IF(OR([1]DATABASE!F322="",[1]DATABASE!F322&lt;=0),"Missing/Invalid Area",""),IF(AND([1]DATABASE!T322&gt;0,ABS([1]DATABASE!T322-[1]DATABASE!W322-[1]DATABASE!U322-[1]DATABASE!V322)&gt;1),"Price Bridge Mismatch",""))</f>
        <v/>
      </c>
      <c r="H361" t="str">
        <f t="shared" si="7"/>
        <v>PASS</v>
      </c>
      <c r="I361" s="90">
        <f>[1]DATABASE!T322</f>
        <v>665000</v>
      </c>
      <c r="J361" t="str">
        <f>[1]DATABASE!AC322</f>
        <v>João Gameiro</v>
      </c>
    </row>
    <row r="362" spans="1:10" ht="13.95" customHeight="1" x14ac:dyDescent="0.3">
      <c r="A362">
        <f>ROW([1]DATABASE!A323)</f>
        <v>323</v>
      </c>
      <c r="B362" t="str">
        <f>[1]DATABASE!AJ323</f>
        <v>Aroeira Collections</v>
      </c>
      <c r="C362" t="str">
        <f>[1]DATABASE!C323</f>
        <v>235A</v>
      </c>
      <c r="D362" t="str">
        <f>TRIM([1]DATABASE!Q323)</f>
        <v>RESERVED</v>
      </c>
      <c r="E362" s="82" t="str">
        <f>_xlfn.TEXTJOIN("; ",TRUE,IF([1]DATABASE!X323&lt;0,"Negative Discount",""),IF(AND([1]DATABASE!Y323&gt;[1]DATABASE!T323,[1]DATABASE!Y323&gt;0,[1]DATABASE!T323&gt;0),"Sell Price &gt; Current",""),IF(AND(TRIM([1]DATABASE!Q323)="DEED",[1]DATABASE!AA323=""),"Deeded no PSPA Date",""),IF([1]DATABASE!E323="","Missing Typology",""),IF([1]DATABASE!AJ323="","Missing Development",""))</f>
        <v/>
      </c>
      <c r="F362" s="82" t="str">
        <f>_xlfn.TEXTJOIN("; ",TRUE,IF(AND(OR(TRIM([1]DATABASE!Q323)="RESERVED",TRIM([1]DATABASE!Q323)="PRE-RESERVED",TRIM([1]DATABASE!Q323)="PSPA"),[1]DATABASE!AA323=""),"Reserved/PSPA no PSPA Date",""),IF(AND(TRIM([1]DATABASE!Q323)="AVAILABLE",[1]DATABASE!AA323&lt;&gt;""),"Available has PSPA Date",""))</f>
        <v/>
      </c>
      <c r="G362" s="82" t="str">
        <f>_xlfn.TEXTJOIN("; ",TRUE,IF(AND([1]DATABASE!T323&lt;0.8*[1]DATABASE!S323,[1]DATABASE!T323&gt;0,[1]DATABASE!S323&gt;0),"Heavy Price Cut &gt;20%",""),IF(AND(OR(TRIM([1]DATABASE!Q323)="AVAILABLE",TRIM([1]DATABASE!Q323)="UPON REQUEST"),OR([1]DATABASE!T323="",[1]DATABASE!T323=0)),"Active Unit no Price",""),IF(AND(OR(TRIM([1]DATABASE!Q323)="AVAILABLE",TRIM([1]DATABASE!Q323)="RESERVED",TRIM([1]DATABASE!Q323)="PRE-RESERVED",TRIM([1]DATABASE!Q323)="PSPA"),[1]DATABASE!AC323=""),"Active no Owner",""),IF(OR([1]DATABASE!F323="",[1]DATABASE!F323&lt;=0),"Missing/Invalid Area",""),IF(AND([1]DATABASE!T323&gt;0,ABS([1]DATABASE!T323-[1]DATABASE!W323-[1]DATABASE!U323-[1]DATABASE!V323)&gt;1),"Price Bridge Mismatch",""))</f>
        <v>Heavy Price Cut &gt;20%</v>
      </c>
      <c r="H362" t="str">
        <f t="shared" ref="H362:H425" si="8">IF(LEN(E362&amp;F362&amp;G362)&gt;0,"REVIEW","PASS")</f>
        <v>REVIEW</v>
      </c>
      <c r="I362" s="90">
        <f>[1]DATABASE!T323</f>
        <v>390000</v>
      </c>
      <c r="J362" t="str">
        <f>[1]DATABASE!AC323</f>
        <v>João Gameiro</v>
      </c>
    </row>
    <row r="363" spans="1:10" ht="13.95" customHeight="1" x14ac:dyDescent="0.3">
      <c r="A363">
        <f>ROW([1]DATABASE!A324)</f>
        <v>324</v>
      </c>
      <c r="B363" t="str">
        <f>[1]DATABASE!AJ324</f>
        <v>Aroeira Collections</v>
      </c>
      <c r="C363" t="str">
        <f>[1]DATABASE!C324</f>
        <v>236A</v>
      </c>
      <c r="D363" t="str">
        <f>TRIM([1]DATABASE!Q324)</f>
        <v>PRE-RESERVED</v>
      </c>
      <c r="E363" s="82" t="str">
        <f>_xlfn.TEXTJOIN("; ",TRUE,IF([1]DATABASE!X324&lt;0,"Negative Discount",""),IF(AND([1]DATABASE!Y324&gt;[1]DATABASE!T324,[1]DATABASE!Y324&gt;0,[1]DATABASE!T324&gt;0),"Sell Price &gt; Current",""),IF(AND(TRIM([1]DATABASE!Q324)="DEED",[1]DATABASE!AA324=""),"Deeded no PSPA Date",""),IF([1]DATABASE!E324="","Missing Typology",""),IF([1]DATABASE!AJ324="","Missing Development",""))</f>
        <v/>
      </c>
      <c r="F363" s="82" t="str">
        <f>_xlfn.TEXTJOIN("; ",TRUE,IF(AND(OR(TRIM([1]DATABASE!Q324)="RESERVED",TRIM([1]DATABASE!Q324)="PRE-RESERVED",TRIM([1]DATABASE!Q324)="PSPA"),[1]DATABASE!AA324=""),"Reserved/PSPA no PSPA Date",""),IF(AND(TRIM([1]DATABASE!Q324)="AVAILABLE",[1]DATABASE!AA324&lt;&gt;""),"Available has PSPA Date",""))</f>
        <v/>
      </c>
      <c r="G363" s="82" t="str">
        <f>_xlfn.TEXTJOIN("; ",TRUE,IF(AND([1]DATABASE!T324&lt;0.8*[1]DATABASE!S324,[1]DATABASE!T324&gt;0,[1]DATABASE!S324&gt;0),"Heavy Price Cut &gt;20%",""),IF(AND(OR(TRIM([1]DATABASE!Q324)="AVAILABLE",TRIM([1]DATABASE!Q324)="UPON REQUEST"),OR([1]DATABASE!T324="",[1]DATABASE!T324=0)),"Active Unit no Price",""),IF(AND(OR(TRIM([1]DATABASE!Q324)="AVAILABLE",TRIM([1]DATABASE!Q324)="RESERVED",TRIM([1]DATABASE!Q324)="PRE-RESERVED",TRIM([1]DATABASE!Q324)="PSPA"),[1]DATABASE!AC324=""),"Active no Owner",""),IF(OR([1]DATABASE!F324="",[1]DATABASE!F324&lt;=0),"Missing/Invalid Area",""),IF(AND([1]DATABASE!T324&gt;0,ABS([1]DATABASE!T324-[1]DATABASE!W324-[1]DATABASE!U324-[1]DATABASE!V324)&gt;1),"Price Bridge Mismatch",""))</f>
        <v>Heavy Price Cut &gt;20%</v>
      </c>
      <c r="H363" t="str">
        <f t="shared" si="8"/>
        <v>REVIEW</v>
      </c>
      <c r="I363" s="90">
        <f>[1]DATABASE!T324</f>
        <v>390000</v>
      </c>
      <c r="J363" t="str">
        <f>[1]DATABASE!AC324</f>
        <v>João Gameiro</v>
      </c>
    </row>
    <row r="364" spans="1:10" ht="13.95" customHeight="1" x14ac:dyDescent="0.3">
      <c r="A364">
        <f>ROW([1]DATABASE!A325)</f>
        <v>325</v>
      </c>
      <c r="B364" t="str">
        <f>[1]DATABASE!AJ325</f>
        <v>MOURAGOLFE</v>
      </c>
      <c r="C364" t="str">
        <f>[1]DATABASE!C325</f>
        <v>21</v>
      </c>
      <c r="D364" t="str">
        <f>TRIM([1]DATABASE!Q325)</f>
        <v>DEED</v>
      </c>
      <c r="E364" s="82" t="str">
        <f>_xlfn.TEXTJOIN("; ",TRUE,IF([1]DATABASE!X325&lt;0,"Negative Discount",""),IF(AND([1]DATABASE!Y325&gt;[1]DATABASE!T325,[1]DATABASE!Y325&gt;0,[1]DATABASE!T325&gt;0),"Sell Price &gt; Current",""),IF(AND(TRIM([1]DATABASE!Q325)="DEED",[1]DATABASE!AA325=""),"Deeded no PSPA Date",""),IF([1]DATABASE!E325="","Missing Typology",""),IF([1]DATABASE!AJ325="","Missing Development",""))</f>
        <v/>
      </c>
      <c r="F364" s="82" t="str">
        <f>_xlfn.TEXTJOIN("; ",TRUE,IF(AND(OR(TRIM([1]DATABASE!Q325)="RESERVED",TRIM([1]DATABASE!Q325)="PRE-RESERVED",TRIM([1]DATABASE!Q325)="PSPA"),[1]DATABASE!AA325=""),"Reserved/PSPA no PSPA Date",""),IF(AND(TRIM([1]DATABASE!Q325)="AVAILABLE",[1]DATABASE!AA325&lt;&gt;""),"Available has PSPA Date",""))</f>
        <v/>
      </c>
      <c r="G364" s="82" t="str">
        <f>_xlfn.TEXTJOIN("; ",TRUE,IF(AND([1]DATABASE!T325&lt;0.8*[1]DATABASE!S325,[1]DATABASE!T325&gt;0,[1]DATABASE!S325&gt;0),"Heavy Price Cut &gt;20%",""),IF(AND(OR(TRIM([1]DATABASE!Q325)="AVAILABLE",TRIM([1]DATABASE!Q325)="UPON REQUEST"),OR([1]DATABASE!T325="",[1]DATABASE!T325=0)),"Active Unit no Price",""),IF(AND(OR(TRIM([1]DATABASE!Q325)="AVAILABLE",TRIM([1]DATABASE!Q325)="RESERVED",TRIM([1]DATABASE!Q325)="PRE-RESERVED",TRIM([1]DATABASE!Q325)="PSPA"),[1]DATABASE!AC325=""),"Active no Owner",""),IF(OR([1]DATABASE!F325="",[1]DATABASE!F325&lt;=0),"Missing/Invalid Area",""),IF(AND([1]DATABASE!T325&gt;0,ABS([1]DATABASE!T325-[1]DATABASE!W325-[1]DATABASE!U325-[1]DATABASE!V325)&gt;1),"Price Bridge Mismatch",""))</f>
        <v/>
      </c>
      <c r="H364" t="str">
        <f t="shared" si="8"/>
        <v>PASS</v>
      </c>
      <c r="I364" s="90">
        <f>[1]DATABASE!T325</f>
        <v>738100</v>
      </c>
      <c r="J364">
        <f>[1]DATABASE!AC325</f>
        <v>0</v>
      </c>
    </row>
    <row r="365" spans="1:10" ht="13.95" customHeight="1" x14ac:dyDescent="0.3">
      <c r="A365">
        <f>ROW([1]DATABASE!A326)</f>
        <v>326</v>
      </c>
      <c r="B365" t="str">
        <f>[1]DATABASE!AJ326</f>
        <v>VM PARQUE</v>
      </c>
      <c r="C365" t="str">
        <f>[1]DATABASE!C326</f>
        <v>Q</v>
      </c>
      <c r="D365" t="str">
        <f>TRIM([1]DATABASE!Q326)</f>
        <v>DEED</v>
      </c>
      <c r="E365" s="82" t="str">
        <f>_xlfn.TEXTJOIN("; ",TRUE,IF([1]DATABASE!X326&lt;0,"Negative Discount",""),IF(AND([1]DATABASE!Y326&gt;[1]DATABASE!T326,[1]DATABASE!Y326&gt;0,[1]DATABASE!T326&gt;0),"Sell Price &gt; Current",""),IF(AND(TRIM([1]DATABASE!Q326)="DEED",[1]DATABASE!AA326=""),"Deeded no PSPA Date",""),IF([1]DATABASE!E326="","Missing Typology",""),IF([1]DATABASE!AJ326="","Missing Development",""))</f>
        <v/>
      </c>
      <c r="F365" s="82" t="str">
        <f>_xlfn.TEXTJOIN("; ",TRUE,IF(AND(OR(TRIM([1]DATABASE!Q326)="RESERVED",TRIM([1]DATABASE!Q326)="PRE-RESERVED",TRIM([1]DATABASE!Q326)="PSPA"),[1]DATABASE!AA326=""),"Reserved/PSPA no PSPA Date",""),IF(AND(TRIM([1]DATABASE!Q326)="AVAILABLE",[1]DATABASE!AA326&lt;&gt;""),"Available has PSPA Date",""))</f>
        <v/>
      </c>
      <c r="G365" s="82" t="str">
        <f>_xlfn.TEXTJOIN("; ",TRUE,IF(AND([1]DATABASE!T326&lt;0.8*[1]DATABASE!S326,[1]DATABASE!T326&gt;0,[1]DATABASE!S326&gt;0),"Heavy Price Cut &gt;20%",""),IF(AND(OR(TRIM([1]DATABASE!Q326)="AVAILABLE",TRIM([1]DATABASE!Q326)="UPON REQUEST"),OR([1]DATABASE!T326="",[1]DATABASE!T326=0)),"Active Unit no Price",""),IF(AND(OR(TRIM([1]DATABASE!Q326)="AVAILABLE",TRIM([1]DATABASE!Q326)="RESERVED",TRIM([1]DATABASE!Q326)="PRE-RESERVED",TRIM([1]DATABASE!Q326)="PSPA"),[1]DATABASE!AC326=""),"Active no Owner",""),IF(OR([1]DATABASE!F326="",[1]DATABASE!F326&lt;=0),"Missing/Invalid Area",""),IF(AND([1]DATABASE!T326&gt;0,ABS([1]DATABASE!T326-[1]DATABASE!W326-[1]DATABASE!U326-[1]DATABASE!V326)&gt;1),"Price Bridge Mismatch",""))</f>
        <v/>
      </c>
      <c r="H365" t="str">
        <f t="shared" si="8"/>
        <v>PASS</v>
      </c>
      <c r="I365" s="90">
        <f>[1]DATABASE!T326</f>
        <v>995000</v>
      </c>
      <c r="J365">
        <f>[1]DATABASE!AC326</f>
        <v>0</v>
      </c>
    </row>
    <row r="366" spans="1:10" ht="13.95" customHeight="1" x14ac:dyDescent="0.3">
      <c r="A366">
        <f>ROW([1]DATABASE!A327)</f>
        <v>327</v>
      </c>
      <c r="B366" t="str">
        <f>[1]DATABASE!AJ327</f>
        <v>MOURAGOLFE</v>
      </c>
      <c r="C366" t="str">
        <f>[1]DATABASE!C327</f>
        <v>22</v>
      </c>
      <c r="D366" t="str">
        <f>TRIM([1]DATABASE!Q327)</f>
        <v>PSPA</v>
      </c>
      <c r="E366" s="82" t="str">
        <f>_xlfn.TEXTJOIN("; ",TRUE,IF([1]DATABASE!X327&lt;0,"Negative Discount",""),IF(AND([1]DATABASE!Y327&gt;[1]DATABASE!T327,[1]DATABASE!Y327&gt;0,[1]DATABASE!T327&gt;0),"Sell Price &gt; Current",""),IF(AND(TRIM([1]DATABASE!Q327)="DEED",[1]DATABASE!AA327=""),"Deeded no PSPA Date",""),IF([1]DATABASE!E327="","Missing Typology",""),IF([1]DATABASE!AJ327="","Missing Development",""))</f>
        <v/>
      </c>
      <c r="F366" s="82" t="str">
        <f>_xlfn.TEXTJOIN("; ",TRUE,IF(AND(OR(TRIM([1]DATABASE!Q327)="RESERVED",TRIM([1]DATABASE!Q327)="PRE-RESERVED",TRIM([1]DATABASE!Q327)="PSPA"),[1]DATABASE!AA327=""),"Reserved/PSPA no PSPA Date",""),IF(AND(TRIM([1]DATABASE!Q327)="AVAILABLE",[1]DATABASE!AA327&lt;&gt;""),"Available has PSPA Date",""))</f>
        <v/>
      </c>
      <c r="G366" s="82" t="str">
        <f>_xlfn.TEXTJOIN("; ",TRUE,IF(AND([1]DATABASE!T327&lt;0.8*[1]DATABASE!S327,[1]DATABASE!T327&gt;0,[1]DATABASE!S327&gt;0),"Heavy Price Cut &gt;20%",""),IF(AND(OR(TRIM([1]DATABASE!Q327)="AVAILABLE",TRIM([1]DATABASE!Q327)="UPON REQUEST"),OR([1]DATABASE!T327="",[1]DATABASE!T327=0)),"Active Unit no Price",""),IF(AND(OR(TRIM([1]DATABASE!Q327)="AVAILABLE",TRIM([1]DATABASE!Q327)="RESERVED",TRIM([1]DATABASE!Q327)="PRE-RESERVED",TRIM([1]DATABASE!Q327)="PSPA"),[1]DATABASE!AC327=""),"Active no Owner",""),IF(OR([1]DATABASE!F327="",[1]DATABASE!F327&lt;=0),"Missing/Invalid Area",""),IF(AND([1]DATABASE!T327&gt;0,ABS([1]DATABASE!T327-[1]DATABASE!W327-[1]DATABASE!U327-[1]DATABASE!V327)&gt;1),"Price Bridge Mismatch",""))</f>
        <v>Active no Owner</v>
      </c>
      <c r="H366" t="str">
        <f t="shared" si="8"/>
        <v>REVIEW</v>
      </c>
      <c r="I366" s="90">
        <f>[1]DATABASE!T327</f>
        <v>738100</v>
      </c>
      <c r="J366">
        <f>[1]DATABASE!AC327</f>
        <v>0</v>
      </c>
    </row>
    <row r="367" spans="1:10" ht="13.95" customHeight="1" x14ac:dyDescent="0.3">
      <c r="A367">
        <f>ROW([1]DATABASE!A328)</f>
        <v>328</v>
      </c>
      <c r="B367" t="str">
        <f>[1]DATABASE!AJ328</f>
        <v>VM PARQUE</v>
      </c>
      <c r="C367" t="str">
        <f>[1]DATABASE!C328</f>
        <v>AE</v>
      </c>
      <c r="D367" t="str">
        <f>TRIM([1]DATABASE!Q328)</f>
        <v>DEED</v>
      </c>
      <c r="E367" s="82" t="str">
        <f>_xlfn.TEXTJOIN("; ",TRUE,IF([1]DATABASE!X328&lt;0,"Negative Discount",""),IF(AND([1]DATABASE!Y328&gt;[1]DATABASE!T328,[1]DATABASE!Y328&gt;0,[1]DATABASE!T328&gt;0),"Sell Price &gt; Current",""),IF(AND(TRIM([1]DATABASE!Q328)="DEED",[1]DATABASE!AA328=""),"Deeded no PSPA Date",""),IF([1]DATABASE!E328="","Missing Typology",""),IF([1]DATABASE!AJ328="","Missing Development",""))</f>
        <v>Deeded no PSPA Date</v>
      </c>
      <c r="F367" s="82" t="str">
        <f>_xlfn.TEXTJOIN("; ",TRUE,IF(AND(OR(TRIM([1]DATABASE!Q328)="RESERVED",TRIM([1]DATABASE!Q328)="PRE-RESERVED",TRIM([1]DATABASE!Q328)="PSPA"),[1]DATABASE!AA328=""),"Reserved/PSPA no PSPA Date",""),IF(AND(TRIM([1]DATABASE!Q328)="AVAILABLE",[1]DATABASE!AA328&lt;&gt;""),"Available has PSPA Date",""))</f>
        <v/>
      </c>
      <c r="G367" s="82" t="str">
        <f>_xlfn.TEXTJOIN("; ",TRUE,IF(AND([1]DATABASE!T328&lt;0.8*[1]DATABASE!S328,[1]DATABASE!T328&gt;0,[1]DATABASE!S328&gt;0),"Heavy Price Cut &gt;20%",""),IF(AND(OR(TRIM([1]DATABASE!Q328)="AVAILABLE",TRIM([1]DATABASE!Q328)="UPON REQUEST"),OR([1]DATABASE!T328="",[1]DATABASE!T328=0)),"Active Unit no Price",""),IF(AND(OR(TRIM([1]DATABASE!Q328)="AVAILABLE",TRIM([1]DATABASE!Q328)="RESERVED",TRIM([1]DATABASE!Q328)="PRE-RESERVED",TRIM([1]DATABASE!Q328)="PSPA"),[1]DATABASE!AC328=""),"Active no Owner",""),IF(OR([1]DATABASE!F328="",[1]DATABASE!F328&lt;=0),"Missing/Invalid Area",""),IF(AND([1]DATABASE!T328&gt;0,ABS([1]DATABASE!T328-[1]DATABASE!W328-[1]DATABASE!U328-[1]DATABASE!V328)&gt;1),"Price Bridge Mismatch",""))</f>
        <v/>
      </c>
      <c r="H367" t="str">
        <f t="shared" si="8"/>
        <v>REVIEW</v>
      </c>
      <c r="I367" s="90">
        <f>[1]DATABASE!T328</f>
        <v>1345000.0036530001</v>
      </c>
      <c r="J367">
        <f>[1]DATABASE!AC328</f>
        <v>0</v>
      </c>
    </row>
    <row r="368" spans="1:10" ht="13.95" customHeight="1" x14ac:dyDescent="0.3">
      <c r="A368">
        <f>ROW([1]DATABASE!A329)</f>
        <v>329</v>
      </c>
      <c r="B368" t="str">
        <f>[1]DATABASE!AJ329</f>
        <v>Palmares</v>
      </c>
      <c r="C368" t="str">
        <f>[1]DATABASE!C329</f>
        <v>832B</v>
      </c>
      <c r="D368" t="str">
        <f>TRIM([1]DATABASE!Q329)</f>
        <v>PSPA</v>
      </c>
      <c r="E368" s="82" t="str">
        <f>_xlfn.TEXTJOIN("; ",TRUE,IF([1]DATABASE!X329&lt;0,"Negative Discount",""),IF(AND([1]DATABASE!Y329&gt;[1]DATABASE!T329,[1]DATABASE!Y329&gt;0,[1]DATABASE!T329&gt;0),"Sell Price &gt; Current",""),IF(AND(TRIM([1]DATABASE!Q329)="DEED",[1]DATABASE!AA329=""),"Deeded no PSPA Date",""),IF([1]DATABASE!E329="","Missing Typology",""),IF([1]DATABASE!AJ329="","Missing Development",""))</f>
        <v/>
      </c>
      <c r="F368" s="82" t="str">
        <f>_xlfn.TEXTJOIN("; ",TRUE,IF(AND(OR(TRIM([1]DATABASE!Q329)="RESERVED",TRIM([1]DATABASE!Q329)="PRE-RESERVED",TRIM([1]DATABASE!Q329)="PSPA"),[1]DATABASE!AA329=""),"Reserved/PSPA no PSPA Date",""),IF(AND(TRIM([1]DATABASE!Q329)="AVAILABLE",[1]DATABASE!AA329&lt;&gt;""),"Available has PSPA Date",""))</f>
        <v/>
      </c>
      <c r="G368" s="82" t="str">
        <f>_xlfn.TEXTJOIN("; ",TRUE,IF(AND([1]DATABASE!T329&lt;0.8*[1]DATABASE!S329,[1]DATABASE!T329&gt;0,[1]DATABASE!S329&gt;0),"Heavy Price Cut &gt;20%",""),IF(AND(OR(TRIM([1]DATABASE!Q329)="AVAILABLE",TRIM([1]DATABASE!Q329)="UPON REQUEST"),OR([1]DATABASE!T329="",[1]DATABASE!T329=0)),"Active Unit no Price",""),IF(AND(OR(TRIM([1]DATABASE!Q329)="AVAILABLE",TRIM([1]DATABASE!Q329)="RESERVED",TRIM([1]DATABASE!Q329)="PRE-RESERVED",TRIM([1]DATABASE!Q329)="PSPA"),[1]DATABASE!AC329=""),"Active no Owner",""),IF(OR([1]DATABASE!F329="",[1]DATABASE!F329&lt;=0),"Missing/Invalid Area",""),IF(AND([1]DATABASE!T329&gt;0,ABS([1]DATABASE!T329-[1]DATABASE!W329-[1]DATABASE!U329-[1]DATABASE!V329)&gt;1),"Price Bridge Mismatch",""))</f>
        <v>Active no Owner</v>
      </c>
      <c r="H368" t="str">
        <f t="shared" si="8"/>
        <v>REVIEW</v>
      </c>
      <c r="I368" s="90">
        <f>[1]DATABASE!T329</f>
        <v>1400000</v>
      </c>
      <c r="J368">
        <f>[1]DATABASE!AC329</f>
        <v>0</v>
      </c>
    </row>
    <row r="369" spans="1:10" ht="13.95" customHeight="1" x14ac:dyDescent="0.3">
      <c r="A369">
        <f>ROW([1]DATABASE!A330)</f>
        <v>330</v>
      </c>
      <c r="B369" t="str">
        <f>[1]DATABASE!AJ330</f>
        <v>Aroeira Collections</v>
      </c>
      <c r="C369" t="str">
        <f>[1]DATABASE!C330</f>
        <v>301B</v>
      </c>
      <c r="D369" t="str">
        <f>TRIM([1]DATABASE!Q330)</f>
        <v>PSPA</v>
      </c>
      <c r="E369" s="82" t="str">
        <f>_xlfn.TEXTJOIN("; ",TRUE,IF([1]DATABASE!X330&lt;0,"Negative Discount",""),IF(AND([1]DATABASE!Y330&gt;[1]DATABASE!T330,[1]DATABASE!Y330&gt;0,[1]DATABASE!T330&gt;0),"Sell Price &gt; Current",""),IF(AND(TRIM([1]DATABASE!Q330)="DEED",[1]DATABASE!AA330=""),"Deeded no PSPA Date",""),IF([1]DATABASE!E330="","Missing Typology",""),IF([1]DATABASE!AJ330="","Missing Development",""))</f>
        <v/>
      </c>
      <c r="F369" s="82" t="str">
        <f>_xlfn.TEXTJOIN("; ",TRUE,IF(AND(OR(TRIM([1]DATABASE!Q330)="RESERVED",TRIM([1]DATABASE!Q330)="PRE-RESERVED",TRIM([1]DATABASE!Q330)="PSPA"),[1]DATABASE!AA330=""),"Reserved/PSPA no PSPA Date",""),IF(AND(TRIM([1]DATABASE!Q330)="AVAILABLE",[1]DATABASE!AA330&lt;&gt;""),"Available has PSPA Date",""))</f>
        <v/>
      </c>
      <c r="G369" s="82" t="str">
        <f>_xlfn.TEXTJOIN("; ",TRUE,IF(AND([1]DATABASE!T330&lt;0.8*[1]DATABASE!S330,[1]DATABASE!T330&gt;0,[1]DATABASE!S330&gt;0),"Heavy Price Cut &gt;20%",""),IF(AND(OR(TRIM([1]DATABASE!Q330)="AVAILABLE",TRIM([1]DATABASE!Q330)="UPON REQUEST"),OR([1]DATABASE!T330="",[1]DATABASE!T330=0)),"Active Unit no Price",""),IF(AND(OR(TRIM([1]DATABASE!Q330)="AVAILABLE",TRIM([1]DATABASE!Q330)="RESERVED",TRIM([1]DATABASE!Q330)="PRE-RESERVED",TRIM([1]DATABASE!Q330)="PSPA"),[1]DATABASE!AC330=""),"Active no Owner",""),IF(OR([1]DATABASE!F330="",[1]DATABASE!F330&lt;=0),"Missing/Invalid Area",""),IF(AND([1]DATABASE!T330&gt;0,ABS([1]DATABASE!T330-[1]DATABASE!W330-[1]DATABASE!U330-[1]DATABASE!V330)&gt;1),"Price Bridge Mismatch",""))</f>
        <v/>
      </c>
      <c r="H369" t="str">
        <f t="shared" si="8"/>
        <v>PASS</v>
      </c>
      <c r="I369" s="90">
        <f>[1]DATABASE!T330</f>
        <v>670000</v>
      </c>
      <c r="J369" t="str">
        <f>[1]DATABASE!AC330</f>
        <v>João Gameiro</v>
      </c>
    </row>
    <row r="370" spans="1:10" ht="13.95" customHeight="1" x14ac:dyDescent="0.3">
      <c r="A370">
        <f>ROW([1]DATABASE!A331)</f>
        <v>331</v>
      </c>
      <c r="B370" t="str">
        <f>[1]DATABASE!AJ331</f>
        <v>Botanica</v>
      </c>
      <c r="C370" t="str">
        <f>[1]DATABASE!C331</f>
        <v>AZ</v>
      </c>
      <c r="D370" t="str">
        <f>TRIM([1]DATABASE!Q331)</f>
        <v>RESERVED</v>
      </c>
      <c r="E370" s="82" t="str">
        <f>_xlfn.TEXTJOIN("; ",TRUE,IF([1]DATABASE!X331&lt;0,"Negative Discount",""),IF(AND([1]DATABASE!Y331&gt;[1]DATABASE!T331,[1]DATABASE!Y331&gt;0,[1]DATABASE!T331&gt;0),"Sell Price &gt; Current",""),IF(AND(TRIM([1]DATABASE!Q331)="DEED",[1]DATABASE!AA331=""),"Deeded no PSPA Date",""),IF([1]DATABASE!E331="","Missing Typology",""),IF([1]DATABASE!AJ331="","Missing Development",""))</f>
        <v/>
      </c>
      <c r="F370" s="82" t="str">
        <f>_xlfn.TEXTJOIN("; ",TRUE,IF(AND(OR(TRIM([1]DATABASE!Q331)="RESERVED",TRIM([1]DATABASE!Q331)="PRE-RESERVED",TRIM([1]DATABASE!Q331)="PSPA"),[1]DATABASE!AA331=""),"Reserved/PSPA no PSPA Date",""),IF(AND(TRIM([1]DATABASE!Q331)="AVAILABLE",[1]DATABASE!AA331&lt;&gt;""),"Available has PSPA Date",""))</f>
        <v>Reserved/PSPA no PSPA Date</v>
      </c>
      <c r="G370" s="82" t="str">
        <f>_xlfn.TEXTJOIN("; ",TRUE,IF(AND([1]DATABASE!T331&lt;0.8*[1]DATABASE!S331,[1]DATABASE!T331&gt;0,[1]DATABASE!S331&gt;0),"Heavy Price Cut &gt;20%",""),IF(AND(OR(TRIM([1]DATABASE!Q331)="AVAILABLE",TRIM([1]DATABASE!Q331)="UPON REQUEST"),OR([1]DATABASE!T331="",[1]DATABASE!T331=0)),"Active Unit no Price",""),IF(AND(OR(TRIM([1]DATABASE!Q331)="AVAILABLE",TRIM([1]DATABASE!Q331)="RESERVED",TRIM([1]DATABASE!Q331)="PRE-RESERVED",TRIM([1]DATABASE!Q331)="PSPA"),[1]DATABASE!AC331=""),"Active no Owner",""),IF(OR([1]DATABASE!F331="",[1]DATABASE!F331&lt;=0),"Missing/Invalid Area",""),IF(AND([1]DATABASE!T331&gt;0,ABS([1]DATABASE!T331-[1]DATABASE!W331-[1]DATABASE!U331-[1]DATABASE!V331)&gt;1),"Price Bridge Mismatch",""))</f>
        <v/>
      </c>
      <c r="H370" t="str">
        <f t="shared" si="8"/>
        <v>REVIEW</v>
      </c>
      <c r="I370" s="90">
        <f>[1]DATABASE!T331</f>
        <v>1955200</v>
      </c>
      <c r="J370" t="str">
        <f>[1]DATABASE!AC331</f>
        <v>Ana Damásio</v>
      </c>
    </row>
    <row r="371" spans="1:10" ht="13.95" customHeight="1" x14ac:dyDescent="0.3">
      <c r="A371">
        <f>ROW([1]DATABASE!A332)</f>
        <v>332</v>
      </c>
      <c r="B371" t="str">
        <f>[1]DATABASE!AJ332</f>
        <v>Natura Village</v>
      </c>
      <c r="C371" t="str">
        <f>[1]DATABASE!C332</f>
        <v>I</v>
      </c>
      <c r="D371" t="str">
        <f>TRIM([1]DATABASE!Q332)</f>
        <v>RESERVED</v>
      </c>
      <c r="E371" s="82" t="str">
        <f>_xlfn.TEXTJOIN("; ",TRUE,IF([1]DATABASE!X332&lt;0,"Negative Discount",""),IF(AND([1]DATABASE!Y332&gt;[1]DATABASE!T332,[1]DATABASE!Y332&gt;0,[1]DATABASE!T332&gt;0),"Sell Price &gt; Current",""),IF(AND(TRIM([1]DATABASE!Q332)="DEED",[1]DATABASE!AA332=""),"Deeded no PSPA Date",""),IF([1]DATABASE!E332="","Missing Typology",""),IF([1]DATABASE!AJ332="","Missing Development",""))</f>
        <v/>
      </c>
      <c r="F371" s="82" t="str">
        <f>_xlfn.TEXTJOIN("; ",TRUE,IF(AND(OR(TRIM([1]DATABASE!Q332)="RESERVED",TRIM([1]DATABASE!Q332)="PRE-RESERVED",TRIM([1]DATABASE!Q332)="PSPA"),[1]DATABASE!AA332=""),"Reserved/PSPA no PSPA Date",""),IF(AND(TRIM([1]DATABASE!Q332)="AVAILABLE",[1]DATABASE!AA332&lt;&gt;""),"Available has PSPA Date",""))</f>
        <v/>
      </c>
      <c r="G371" s="82" t="str">
        <f>_xlfn.TEXTJOIN("; ",TRUE,IF(AND([1]DATABASE!T332&lt;0.8*[1]DATABASE!S332,[1]DATABASE!T332&gt;0,[1]DATABASE!S332&gt;0),"Heavy Price Cut &gt;20%",""),IF(AND(OR(TRIM([1]DATABASE!Q332)="AVAILABLE",TRIM([1]DATABASE!Q332)="UPON REQUEST"),OR([1]DATABASE!T332="",[1]DATABASE!T332=0)),"Active Unit no Price",""),IF(AND(OR(TRIM([1]DATABASE!Q332)="AVAILABLE",TRIM([1]DATABASE!Q332)="RESERVED",TRIM([1]DATABASE!Q332)="PRE-RESERVED",TRIM([1]DATABASE!Q332)="PSPA"),[1]DATABASE!AC332=""),"Active no Owner",""),IF(OR([1]DATABASE!F332="",[1]DATABASE!F332&lt;=0),"Missing/Invalid Area",""),IF(AND([1]DATABASE!T332&gt;0,ABS([1]DATABASE!T332-[1]DATABASE!W332-[1]DATABASE!U332-[1]DATABASE!V332)&gt;1),"Price Bridge Mismatch",""))</f>
        <v/>
      </c>
      <c r="H371" t="str">
        <f t="shared" si="8"/>
        <v>PASS</v>
      </c>
      <c r="I371" s="90">
        <f>[1]DATABASE!T332</f>
        <v>830000</v>
      </c>
      <c r="J371" t="str">
        <f>[1]DATABASE!AC332</f>
        <v>Ana Damásio</v>
      </c>
    </row>
    <row r="372" spans="1:10" ht="13.95" customHeight="1" x14ac:dyDescent="0.3">
      <c r="A372">
        <f>ROW([1]DATABASE!A333)</f>
        <v>333</v>
      </c>
      <c r="B372" t="str">
        <f>[1]DATABASE!AJ333</f>
        <v>Botanica</v>
      </c>
      <c r="C372" t="str">
        <f>[1]DATABASE!C333</f>
        <v>AC</v>
      </c>
      <c r="D372" t="str">
        <f>TRIM([1]DATABASE!Q333)</f>
        <v>RESERVED</v>
      </c>
      <c r="E372" s="82" t="str">
        <f>_xlfn.TEXTJOIN("; ",TRUE,IF([1]DATABASE!X333&lt;0,"Negative Discount",""),IF(AND([1]DATABASE!Y333&gt;[1]DATABASE!T333,[1]DATABASE!Y333&gt;0,[1]DATABASE!T333&gt;0),"Sell Price &gt; Current",""),IF(AND(TRIM([1]DATABASE!Q333)="DEED",[1]DATABASE!AA333=""),"Deeded no PSPA Date",""),IF([1]DATABASE!E333="","Missing Typology",""),IF([1]DATABASE!AJ333="","Missing Development",""))</f>
        <v/>
      </c>
      <c r="F372" s="82" t="str">
        <f>_xlfn.TEXTJOIN("; ",TRUE,IF(AND(OR(TRIM([1]DATABASE!Q333)="RESERVED",TRIM([1]DATABASE!Q333)="PRE-RESERVED",TRIM([1]DATABASE!Q333)="PSPA"),[1]DATABASE!AA333=""),"Reserved/PSPA no PSPA Date",""),IF(AND(TRIM([1]DATABASE!Q333)="AVAILABLE",[1]DATABASE!AA333&lt;&gt;""),"Available has PSPA Date",""))</f>
        <v>Reserved/PSPA no PSPA Date</v>
      </c>
      <c r="G372" s="82" t="str">
        <f>_xlfn.TEXTJOIN("; ",TRUE,IF(AND([1]DATABASE!T333&lt;0.8*[1]DATABASE!S333,[1]DATABASE!T333&gt;0,[1]DATABASE!S333&gt;0),"Heavy Price Cut &gt;20%",""),IF(AND(OR(TRIM([1]DATABASE!Q333)="AVAILABLE",TRIM([1]DATABASE!Q333)="UPON REQUEST"),OR([1]DATABASE!T333="",[1]DATABASE!T333=0)),"Active Unit no Price",""),IF(AND(OR(TRIM([1]DATABASE!Q333)="AVAILABLE",TRIM([1]DATABASE!Q333)="RESERVED",TRIM([1]DATABASE!Q333)="PRE-RESERVED",TRIM([1]DATABASE!Q333)="PSPA"),[1]DATABASE!AC333=""),"Active no Owner",""),IF(OR([1]DATABASE!F333="",[1]DATABASE!F333&lt;=0),"Missing/Invalid Area",""),IF(AND([1]DATABASE!T333&gt;0,ABS([1]DATABASE!T333-[1]DATABASE!W333-[1]DATABASE!U333-[1]DATABASE!V333)&gt;1),"Price Bridge Mismatch",""))</f>
        <v/>
      </c>
      <c r="H372" t="str">
        <f t="shared" si="8"/>
        <v>REVIEW</v>
      </c>
      <c r="I372" s="90">
        <f>[1]DATABASE!T333</f>
        <v>1070000</v>
      </c>
      <c r="J372" t="str">
        <f>[1]DATABASE!AC333</f>
        <v>Ana Damásio</v>
      </c>
    </row>
    <row r="373" spans="1:10" ht="13.95" customHeight="1" x14ac:dyDescent="0.3">
      <c r="A373">
        <f>ROW([1]DATABASE!A334)</f>
        <v>334</v>
      </c>
      <c r="B373" t="str">
        <f>[1]DATABASE!AJ334</f>
        <v>Botanica</v>
      </c>
      <c r="C373" t="str">
        <f>[1]DATABASE!C334</f>
        <v>AD</v>
      </c>
      <c r="D373" t="str">
        <f>TRIM([1]DATABASE!Q334)</f>
        <v>RESERVED</v>
      </c>
      <c r="E373" s="82" t="str">
        <f>_xlfn.TEXTJOIN("; ",TRUE,IF([1]DATABASE!X334&lt;0,"Negative Discount",""),IF(AND([1]DATABASE!Y334&gt;[1]DATABASE!T334,[1]DATABASE!Y334&gt;0,[1]DATABASE!T334&gt;0),"Sell Price &gt; Current",""),IF(AND(TRIM([1]DATABASE!Q334)="DEED",[1]DATABASE!AA334=""),"Deeded no PSPA Date",""),IF([1]DATABASE!E334="","Missing Typology",""),IF([1]DATABASE!AJ334="","Missing Development",""))</f>
        <v/>
      </c>
      <c r="F373" s="82" t="str">
        <f>_xlfn.TEXTJOIN("; ",TRUE,IF(AND(OR(TRIM([1]DATABASE!Q334)="RESERVED",TRIM([1]DATABASE!Q334)="PRE-RESERVED",TRIM([1]DATABASE!Q334)="PSPA"),[1]DATABASE!AA334=""),"Reserved/PSPA no PSPA Date",""),IF(AND(TRIM([1]DATABASE!Q334)="AVAILABLE",[1]DATABASE!AA334&lt;&gt;""),"Available has PSPA Date",""))</f>
        <v>Reserved/PSPA no PSPA Date</v>
      </c>
      <c r="G373" s="82" t="str">
        <f>_xlfn.TEXTJOIN("; ",TRUE,IF(AND([1]DATABASE!T334&lt;0.8*[1]DATABASE!S334,[1]DATABASE!T334&gt;0,[1]DATABASE!S334&gt;0),"Heavy Price Cut &gt;20%",""),IF(AND(OR(TRIM([1]DATABASE!Q334)="AVAILABLE",TRIM([1]DATABASE!Q334)="UPON REQUEST"),OR([1]DATABASE!T334="",[1]DATABASE!T334=0)),"Active Unit no Price",""),IF(AND(OR(TRIM([1]DATABASE!Q334)="AVAILABLE",TRIM([1]DATABASE!Q334)="RESERVED",TRIM([1]DATABASE!Q334)="PRE-RESERVED",TRIM([1]DATABASE!Q334)="PSPA"),[1]DATABASE!AC334=""),"Active no Owner",""),IF(OR([1]DATABASE!F334="",[1]DATABASE!F334&lt;=0),"Missing/Invalid Area",""),IF(AND([1]DATABASE!T334&gt;0,ABS([1]DATABASE!T334-[1]DATABASE!W334-[1]DATABASE!U334-[1]DATABASE!V334)&gt;1),"Price Bridge Mismatch",""))</f>
        <v/>
      </c>
      <c r="H373" t="str">
        <f t="shared" si="8"/>
        <v>REVIEW</v>
      </c>
      <c r="I373" s="90">
        <f>[1]DATABASE!T334</f>
        <v>1070000</v>
      </c>
      <c r="J373" t="str">
        <f>[1]DATABASE!AC334</f>
        <v>Ana Damásio</v>
      </c>
    </row>
    <row r="374" spans="1:10" ht="13.95" customHeight="1" x14ac:dyDescent="0.3">
      <c r="A374">
        <f>ROW([1]DATABASE!A335)</f>
        <v>335</v>
      </c>
      <c r="B374" t="str">
        <f>[1]DATABASE!AJ335</f>
        <v>Terracota</v>
      </c>
      <c r="C374" t="str">
        <f>[1]DATABASE!C335</f>
        <v>AN</v>
      </c>
      <c r="D374" t="str">
        <f>TRIM([1]DATABASE!Q335)</f>
        <v>PSPA</v>
      </c>
      <c r="E374" s="82" t="str">
        <f>_xlfn.TEXTJOIN("; ",TRUE,IF([1]DATABASE!X335&lt;0,"Negative Discount",""),IF(AND([1]DATABASE!Y335&gt;[1]DATABASE!T335,[1]DATABASE!Y335&gt;0,[1]DATABASE!T335&gt;0),"Sell Price &gt; Current",""),IF(AND(TRIM([1]DATABASE!Q335)="DEED",[1]DATABASE!AA335=""),"Deeded no PSPA Date",""),IF([1]DATABASE!E335="","Missing Typology",""),IF([1]DATABASE!AJ335="","Missing Development",""))</f>
        <v/>
      </c>
      <c r="F374" s="82" t="str">
        <f>_xlfn.TEXTJOIN("; ",TRUE,IF(AND(OR(TRIM([1]DATABASE!Q335)="RESERVED",TRIM([1]DATABASE!Q335)="PRE-RESERVED",TRIM([1]DATABASE!Q335)="PSPA"),[1]DATABASE!AA335=""),"Reserved/PSPA no PSPA Date",""),IF(AND(TRIM([1]DATABASE!Q335)="AVAILABLE",[1]DATABASE!AA335&lt;&gt;""),"Available has PSPA Date",""))</f>
        <v/>
      </c>
      <c r="G374" s="82" t="str">
        <f>_xlfn.TEXTJOIN("; ",TRUE,IF(AND([1]DATABASE!T335&lt;0.8*[1]DATABASE!S335,[1]DATABASE!T335&gt;0,[1]DATABASE!S335&gt;0),"Heavy Price Cut &gt;20%",""),IF(AND(OR(TRIM([1]DATABASE!Q335)="AVAILABLE",TRIM([1]DATABASE!Q335)="UPON REQUEST"),OR([1]DATABASE!T335="",[1]DATABASE!T335=0)),"Active Unit no Price",""),IF(AND(OR(TRIM([1]DATABASE!Q335)="AVAILABLE",TRIM([1]DATABASE!Q335)="RESERVED",TRIM([1]DATABASE!Q335)="PRE-RESERVED",TRIM([1]DATABASE!Q335)="PSPA"),[1]DATABASE!AC335=""),"Active no Owner",""),IF(OR([1]DATABASE!F335="",[1]DATABASE!F335&lt;=0),"Missing/Invalid Area",""),IF(AND([1]DATABASE!T335&gt;0,ABS([1]DATABASE!T335-[1]DATABASE!W335-[1]DATABASE!U335-[1]DATABASE!V335)&gt;1),"Price Bridge Mismatch",""))</f>
        <v/>
      </c>
      <c r="H374" t="str">
        <f t="shared" si="8"/>
        <v>PASS</v>
      </c>
      <c r="I374" s="90">
        <f>[1]DATABASE!T335</f>
        <v>550000</v>
      </c>
      <c r="J374" t="str">
        <f>[1]DATABASE!AC335</f>
        <v>Ana Damásio</v>
      </c>
    </row>
    <row r="375" spans="1:10" ht="13.95" customHeight="1" x14ac:dyDescent="0.3">
      <c r="A375">
        <f>ROW([1]DATABASE!A336)</f>
        <v>336</v>
      </c>
      <c r="B375" t="str">
        <f>[1]DATABASE!AJ336</f>
        <v>Nobilus</v>
      </c>
      <c r="C375" t="str">
        <f>[1]DATABASE!C336</f>
        <v>AO</v>
      </c>
      <c r="D375" t="str">
        <f>TRIM([1]DATABASE!Q336)</f>
        <v>PSPA</v>
      </c>
      <c r="E375" s="82" t="str">
        <f>_xlfn.TEXTJOIN("; ",TRUE,IF([1]DATABASE!X336&lt;0,"Negative Discount",""),IF(AND([1]DATABASE!Y336&gt;[1]DATABASE!T336,[1]DATABASE!Y336&gt;0,[1]DATABASE!T336&gt;0),"Sell Price &gt; Current",""),IF(AND(TRIM([1]DATABASE!Q336)="DEED",[1]DATABASE!AA336=""),"Deeded no PSPA Date",""),IF([1]DATABASE!E336="","Missing Typology",""),IF([1]DATABASE!AJ336="","Missing Development",""))</f>
        <v/>
      </c>
      <c r="F375" s="82" t="str">
        <f>_xlfn.TEXTJOIN("; ",TRUE,IF(AND(OR(TRIM([1]DATABASE!Q336)="RESERVED",TRIM([1]DATABASE!Q336)="PRE-RESERVED",TRIM([1]DATABASE!Q336)="PSPA"),[1]DATABASE!AA336=""),"Reserved/PSPA no PSPA Date",""),IF(AND(TRIM([1]DATABASE!Q336)="AVAILABLE",[1]DATABASE!AA336&lt;&gt;""),"Available has PSPA Date",""))</f>
        <v/>
      </c>
      <c r="G375" s="82" t="str">
        <f>_xlfn.TEXTJOIN("; ",TRUE,IF(AND([1]DATABASE!T336&lt;0.8*[1]DATABASE!S336,[1]DATABASE!T336&gt;0,[1]DATABASE!S336&gt;0),"Heavy Price Cut &gt;20%",""),IF(AND(OR(TRIM([1]DATABASE!Q336)="AVAILABLE",TRIM([1]DATABASE!Q336)="UPON REQUEST"),OR([1]DATABASE!T336="",[1]DATABASE!T336=0)),"Active Unit no Price",""),IF(AND(OR(TRIM([1]DATABASE!Q336)="AVAILABLE",TRIM([1]DATABASE!Q336)="RESERVED",TRIM([1]DATABASE!Q336)="PRE-RESERVED",TRIM([1]DATABASE!Q336)="PSPA"),[1]DATABASE!AC336=""),"Active no Owner",""),IF(OR([1]DATABASE!F336="",[1]DATABASE!F336&lt;=0),"Missing/Invalid Area",""),IF(AND([1]DATABASE!T336&gt;0,ABS([1]DATABASE!T336-[1]DATABASE!W336-[1]DATABASE!U336-[1]DATABASE!V336)&gt;1),"Price Bridge Mismatch",""))</f>
        <v/>
      </c>
      <c r="H375" t="str">
        <f t="shared" si="8"/>
        <v>PASS</v>
      </c>
      <c r="I375" s="90">
        <f>[1]DATABASE!T336</f>
        <v>750000</v>
      </c>
      <c r="J375" t="str">
        <f>[1]DATABASE!AC336</f>
        <v>Ana Damásio</v>
      </c>
    </row>
    <row r="376" spans="1:10" ht="13.95" customHeight="1" x14ac:dyDescent="0.3">
      <c r="A376">
        <f>ROW([1]DATABASE!A337)</f>
        <v>337</v>
      </c>
      <c r="B376" t="str">
        <f>[1]DATABASE!AJ337</f>
        <v>Nobilus</v>
      </c>
      <c r="C376" t="str">
        <f>[1]DATABASE!C337</f>
        <v>B</v>
      </c>
      <c r="D376" t="str">
        <f>TRIM([1]DATABASE!Q337)</f>
        <v>PSPA</v>
      </c>
      <c r="E376" s="82" t="str">
        <f>_xlfn.TEXTJOIN("; ",TRUE,IF([1]DATABASE!X337&lt;0,"Negative Discount",""),IF(AND([1]DATABASE!Y337&gt;[1]DATABASE!T337,[1]DATABASE!Y337&gt;0,[1]DATABASE!T337&gt;0),"Sell Price &gt; Current",""),IF(AND(TRIM([1]DATABASE!Q337)="DEED",[1]DATABASE!AA337=""),"Deeded no PSPA Date",""),IF([1]DATABASE!E337="","Missing Typology",""),IF([1]DATABASE!AJ337="","Missing Development",""))</f>
        <v/>
      </c>
      <c r="F376" s="82" t="str">
        <f>_xlfn.TEXTJOIN("; ",TRUE,IF(AND(OR(TRIM([1]DATABASE!Q337)="RESERVED",TRIM([1]DATABASE!Q337)="PRE-RESERVED",TRIM([1]DATABASE!Q337)="PSPA"),[1]DATABASE!AA337=""),"Reserved/PSPA no PSPA Date",""),IF(AND(TRIM([1]DATABASE!Q337)="AVAILABLE",[1]DATABASE!AA337&lt;&gt;""),"Available has PSPA Date",""))</f>
        <v/>
      </c>
      <c r="G376" s="82" t="str">
        <f>_xlfn.TEXTJOIN("; ",TRUE,IF(AND([1]DATABASE!T337&lt;0.8*[1]DATABASE!S337,[1]DATABASE!T337&gt;0,[1]DATABASE!S337&gt;0),"Heavy Price Cut &gt;20%",""),IF(AND(OR(TRIM([1]DATABASE!Q337)="AVAILABLE",TRIM([1]DATABASE!Q337)="UPON REQUEST"),OR([1]DATABASE!T337="",[1]DATABASE!T337=0)),"Active Unit no Price",""),IF(AND(OR(TRIM([1]DATABASE!Q337)="AVAILABLE",TRIM([1]DATABASE!Q337)="RESERVED",TRIM([1]DATABASE!Q337)="PRE-RESERVED",TRIM([1]DATABASE!Q337)="PSPA"),[1]DATABASE!AC337=""),"Active no Owner",""),IF(OR([1]DATABASE!F337="",[1]DATABASE!F337&lt;=0),"Missing/Invalid Area",""),IF(AND([1]DATABASE!T337&gt;0,ABS([1]DATABASE!T337-[1]DATABASE!W337-[1]DATABASE!U337-[1]DATABASE!V337)&gt;1),"Price Bridge Mismatch",""))</f>
        <v/>
      </c>
      <c r="H376" t="str">
        <f t="shared" si="8"/>
        <v>PASS</v>
      </c>
      <c r="I376" s="90">
        <f>[1]DATABASE!T337</f>
        <v>685000</v>
      </c>
      <c r="J376" t="str">
        <f>[1]DATABASE!AC337</f>
        <v>Ana Damásio</v>
      </c>
    </row>
    <row r="377" spans="1:10" ht="13.95" customHeight="1" x14ac:dyDescent="0.3">
      <c r="A377">
        <f>ROW([1]DATABASE!A338)</f>
        <v>338</v>
      </c>
      <c r="B377" t="str">
        <f>[1]DATABASE!AJ338</f>
        <v>Aroeira Collections</v>
      </c>
      <c r="C377" t="str">
        <f>[1]DATABASE!C338</f>
        <v>09B</v>
      </c>
      <c r="D377" t="str">
        <f>TRIM([1]DATABASE!Q338)</f>
        <v>PSPA</v>
      </c>
      <c r="E377" s="82" t="str">
        <f>_xlfn.TEXTJOIN("; ",TRUE,IF([1]DATABASE!X338&lt;0,"Negative Discount",""),IF(AND([1]DATABASE!Y338&gt;[1]DATABASE!T338,[1]DATABASE!Y338&gt;0,[1]DATABASE!T338&gt;0),"Sell Price &gt; Current",""),IF(AND(TRIM([1]DATABASE!Q338)="DEED",[1]DATABASE!AA338=""),"Deeded no PSPA Date",""),IF([1]DATABASE!E338="","Missing Typology",""),IF([1]DATABASE!AJ338="","Missing Development",""))</f>
        <v/>
      </c>
      <c r="F377" s="82" t="str">
        <f>_xlfn.TEXTJOIN("; ",TRUE,IF(AND(OR(TRIM([1]DATABASE!Q338)="RESERVED",TRIM([1]DATABASE!Q338)="PRE-RESERVED",TRIM([1]DATABASE!Q338)="PSPA"),[1]DATABASE!AA338=""),"Reserved/PSPA no PSPA Date",""),IF(AND(TRIM([1]DATABASE!Q338)="AVAILABLE",[1]DATABASE!AA338&lt;&gt;""),"Available has PSPA Date",""))</f>
        <v/>
      </c>
      <c r="G377" s="82" t="str">
        <f>_xlfn.TEXTJOIN("; ",TRUE,IF(AND([1]DATABASE!T338&lt;0.8*[1]DATABASE!S338,[1]DATABASE!T338&gt;0,[1]DATABASE!S338&gt;0),"Heavy Price Cut &gt;20%",""),IF(AND(OR(TRIM([1]DATABASE!Q338)="AVAILABLE",TRIM([1]DATABASE!Q338)="UPON REQUEST"),OR([1]DATABASE!T338="",[1]DATABASE!T338=0)),"Active Unit no Price",""),IF(AND(OR(TRIM([1]DATABASE!Q338)="AVAILABLE",TRIM([1]DATABASE!Q338)="RESERVED",TRIM([1]DATABASE!Q338)="PRE-RESERVED",TRIM([1]DATABASE!Q338)="PSPA"),[1]DATABASE!AC338=""),"Active no Owner",""),IF(OR([1]DATABASE!F338="",[1]DATABASE!F338&lt;=0),"Missing/Invalid Area",""),IF(AND([1]DATABASE!T338&gt;0,ABS([1]DATABASE!T338-[1]DATABASE!W338-[1]DATABASE!U338-[1]DATABASE!V338)&gt;1),"Price Bridge Mismatch",""))</f>
        <v/>
      </c>
      <c r="H377" t="str">
        <f t="shared" si="8"/>
        <v>PASS</v>
      </c>
      <c r="I377" s="90">
        <f>[1]DATABASE!T338</f>
        <v>910000</v>
      </c>
      <c r="J377" t="str">
        <f>[1]DATABASE!AC338</f>
        <v>João Gameiro</v>
      </c>
    </row>
    <row r="378" spans="1:10" ht="13.95" customHeight="1" x14ac:dyDescent="0.3">
      <c r="A378">
        <f>ROW([1]DATABASE!A339)</f>
        <v>339</v>
      </c>
      <c r="B378" t="str">
        <f>[1]DATABASE!AJ339</f>
        <v>Aroeira Collections</v>
      </c>
      <c r="C378" t="str">
        <f>[1]DATABASE!C339</f>
        <v>334A</v>
      </c>
      <c r="D378" t="str">
        <f>TRIM([1]DATABASE!Q339)</f>
        <v>RESERVED</v>
      </c>
      <c r="E378" s="82" t="str">
        <f>_xlfn.TEXTJOIN("; ",TRUE,IF([1]DATABASE!X339&lt;0,"Negative Discount",""),IF(AND([1]DATABASE!Y339&gt;[1]DATABASE!T339,[1]DATABASE!Y339&gt;0,[1]DATABASE!T339&gt;0),"Sell Price &gt; Current",""),IF(AND(TRIM([1]DATABASE!Q339)="DEED",[1]DATABASE!AA339=""),"Deeded no PSPA Date",""),IF([1]DATABASE!E339="","Missing Typology",""),IF([1]DATABASE!AJ339="","Missing Development",""))</f>
        <v/>
      </c>
      <c r="F378" s="82" t="str">
        <f>_xlfn.TEXTJOIN("; ",TRUE,IF(AND(OR(TRIM([1]DATABASE!Q339)="RESERVED",TRIM([1]DATABASE!Q339)="PRE-RESERVED",TRIM([1]DATABASE!Q339)="PSPA"),[1]DATABASE!AA339=""),"Reserved/PSPA no PSPA Date",""),IF(AND(TRIM([1]DATABASE!Q339)="AVAILABLE",[1]DATABASE!AA339&lt;&gt;""),"Available has PSPA Date",""))</f>
        <v/>
      </c>
      <c r="G378" s="82" t="str">
        <f>_xlfn.TEXTJOIN("; ",TRUE,IF(AND([1]DATABASE!T339&lt;0.8*[1]DATABASE!S339,[1]DATABASE!T339&gt;0,[1]DATABASE!S339&gt;0),"Heavy Price Cut &gt;20%",""),IF(AND(OR(TRIM([1]DATABASE!Q339)="AVAILABLE",TRIM([1]DATABASE!Q339)="UPON REQUEST"),OR([1]DATABASE!T339="",[1]DATABASE!T339=0)),"Active Unit no Price",""),IF(AND(OR(TRIM([1]DATABASE!Q339)="AVAILABLE",TRIM([1]DATABASE!Q339)="RESERVED",TRIM([1]DATABASE!Q339)="PRE-RESERVED",TRIM([1]DATABASE!Q339)="PSPA"),[1]DATABASE!AC339=""),"Active no Owner",""),IF(OR([1]DATABASE!F339="",[1]DATABASE!F339&lt;=0),"Missing/Invalid Area",""),IF(AND([1]DATABASE!T339&gt;0,ABS([1]DATABASE!T339-[1]DATABASE!W339-[1]DATABASE!U339-[1]DATABASE!V339)&gt;1),"Price Bridge Mismatch",""))</f>
        <v>Heavy Price Cut &gt;20%</v>
      </c>
      <c r="H378" t="str">
        <f t="shared" si="8"/>
        <v>REVIEW</v>
      </c>
      <c r="I378" s="90">
        <f>[1]DATABASE!T339</f>
        <v>405000</v>
      </c>
      <c r="J378" t="str">
        <f>[1]DATABASE!AC339</f>
        <v>João Gameiro</v>
      </c>
    </row>
    <row r="379" spans="1:10" ht="13.95" customHeight="1" x14ac:dyDescent="0.3">
      <c r="A379">
        <f>ROW([1]DATABASE!A340)</f>
        <v>340</v>
      </c>
      <c r="B379" t="str">
        <f>[1]DATABASE!AJ340</f>
        <v>Zestia</v>
      </c>
      <c r="C379" t="str">
        <f>[1]DATABASE!C340</f>
        <v>AQ</v>
      </c>
      <c r="D379" t="str">
        <f>TRIM([1]DATABASE!Q340)</f>
        <v>PSPA</v>
      </c>
      <c r="E379" s="82" t="str">
        <f>_xlfn.TEXTJOIN("; ",TRUE,IF([1]DATABASE!X340&lt;0,"Negative Discount",""),IF(AND([1]DATABASE!Y340&gt;[1]DATABASE!T340,[1]DATABASE!Y340&gt;0,[1]DATABASE!T340&gt;0),"Sell Price &gt; Current",""),IF(AND(TRIM([1]DATABASE!Q340)="DEED",[1]DATABASE!AA340=""),"Deeded no PSPA Date",""),IF([1]DATABASE!E340="","Missing Typology",""),IF([1]DATABASE!AJ340="","Missing Development",""))</f>
        <v/>
      </c>
      <c r="F379" s="82" t="str">
        <f>_xlfn.TEXTJOIN("; ",TRUE,IF(AND(OR(TRIM([1]DATABASE!Q340)="RESERVED",TRIM([1]DATABASE!Q340)="PRE-RESERVED",TRIM([1]DATABASE!Q340)="PSPA"),[1]DATABASE!AA340=""),"Reserved/PSPA no PSPA Date",""),IF(AND(TRIM([1]DATABASE!Q340)="AVAILABLE",[1]DATABASE!AA340&lt;&gt;""),"Available has PSPA Date",""))</f>
        <v/>
      </c>
      <c r="G379" s="82" t="str">
        <f>_xlfn.TEXTJOIN("; ",TRUE,IF(AND([1]DATABASE!T340&lt;0.8*[1]DATABASE!S340,[1]DATABASE!T340&gt;0,[1]DATABASE!S340&gt;0),"Heavy Price Cut &gt;20%",""),IF(AND(OR(TRIM([1]DATABASE!Q340)="AVAILABLE",TRIM([1]DATABASE!Q340)="UPON REQUEST"),OR([1]DATABASE!T340="",[1]DATABASE!T340=0)),"Active Unit no Price",""),IF(AND(OR(TRIM([1]DATABASE!Q340)="AVAILABLE",TRIM([1]DATABASE!Q340)="RESERVED",TRIM([1]DATABASE!Q340)="PRE-RESERVED",TRIM([1]DATABASE!Q340)="PSPA"),[1]DATABASE!AC340=""),"Active no Owner",""),IF(OR([1]DATABASE!F340="",[1]DATABASE!F340&lt;=0),"Missing/Invalid Area",""),IF(AND([1]DATABASE!T340&gt;0,ABS([1]DATABASE!T340-[1]DATABASE!W340-[1]DATABASE!U340-[1]DATABASE!V340)&gt;1),"Price Bridge Mismatch",""))</f>
        <v/>
      </c>
      <c r="H379" t="str">
        <f t="shared" si="8"/>
        <v>PASS</v>
      </c>
      <c r="I379" s="90">
        <f>[1]DATABASE!T340</f>
        <v>600000</v>
      </c>
      <c r="J379" t="str">
        <f>[1]DATABASE!AC340</f>
        <v>Ana Damásio</v>
      </c>
    </row>
    <row r="380" spans="1:10" ht="13.95" customHeight="1" x14ac:dyDescent="0.3">
      <c r="A380">
        <f>ROW([1]DATABASE!A341)</f>
        <v>341</v>
      </c>
      <c r="B380" t="str">
        <f>[1]DATABASE!AJ341</f>
        <v>Rivus</v>
      </c>
      <c r="C380" t="str">
        <f>[1]DATABASE!C341</f>
        <v>L</v>
      </c>
      <c r="D380" t="str">
        <f>TRIM([1]DATABASE!Q341)</f>
        <v>RESERVED</v>
      </c>
      <c r="E380" s="82" t="str">
        <f>_xlfn.TEXTJOIN("; ",TRUE,IF([1]DATABASE!X341&lt;0,"Negative Discount",""),IF(AND([1]DATABASE!Y341&gt;[1]DATABASE!T341,[1]DATABASE!Y341&gt;0,[1]DATABASE!T341&gt;0),"Sell Price &gt; Current",""),IF(AND(TRIM([1]DATABASE!Q341)="DEED",[1]DATABASE!AA341=""),"Deeded no PSPA Date",""),IF([1]DATABASE!E341="","Missing Typology",""),IF([1]DATABASE!AJ341="","Missing Development",""))</f>
        <v/>
      </c>
      <c r="F380" s="82" t="str">
        <f>_xlfn.TEXTJOIN("; ",TRUE,IF(AND(OR(TRIM([1]DATABASE!Q341)="RESERVED",TRIM([1]DATABASE!Q341)="PRE-RESERVED",TRIM([1]DATABASE!Q341)="PSPA"),[1]DATABASE!AA341=""),"Reserved/PSPA no PSPA Date",""),IF(AND(TRIM([1]DATABASE!Q341)="AVAILABLE",[1]DATABASE!AA341&lt;&gt;""),"Available has PSPA Date",""))</f>
        <v>Reserved/PSPA no PSPA Date</v>
      </c>
      <c r="G380" s="82" t="str">
        <f>_xlfn.TEXTJOIN("; ",TRUE,IF(AND([1]DATABASE!T341&lt;0.8*[1]DATABASE!S341,[1]DATABASE!T341&gt;0,[1]DATABASE!S341&gt;0),"Heavy Price Cut &gt;20%",""),IF(AND(OR(TRIM([1]DATABASE!Q341)="AVAILABLE",TRIM([1]DATABASE!Q341)="UPON REQUEST"),OR([1]DATABASE!T341="",[1]DATABASE!T341=0)),"Active Unit no Price",""),IF(AND(OR(TRIM([1]DATABASE!Q341)="AVAILABLE",TRIM([1]DATABASE!Q341)="RESERVED",TRIM([1]DATABASE!Q341)="PRE-RESERVED",TRIM([1]DATABASE!Q341)="PSPA"),[1]DATABASE!AC341=""),"Active no Owner",""),IF(OR([1]DATABASE!F341="",[1]DATABASE!F341&lt;=0),"Missing/Invalid Area",""),IF(AND([1]DATABASE!T341&gt;0,ABS([1]DATABASE!T341-[1]DATABASE!W341-[1]DATABASE!U341-[1]DATABASE!V341)&gt;1),"Price Bridge Mismatch",""))</f>
        <v>Missing/Invalid Area</v>
      </c>
      <c r="H380" t="str">
        <f t="shared" si="8"/>
        <v>REVIEW</v>
      </c>
      <c r="I380" s="90">
        <f>[1]DATABASE!T341</f>
        <v>1090000</v>
      </c>
      <c r="J380" t="str">
        <f>[1]DATABASE!AC341</f>
        <v>Ana Damásio</v>
      </c>
    </row>
    <row r="381" spans="1:10" ht="13.95" customHeight="1" x14ac:dyDescent="0.3">
      <c r="A381">
        <f>ROW([1]DATABASE!A342)</f>
        <v>342</v>
      </c>
      <c r="B381" t="str">
        <f>[1]DATABASE!AJ342</f>
        <v>Springs - At the Els</v>
      </c>
      <c r="C381" t="str">
        <f>[1]DATABASE!C342</f>
        <v>A</v>
      </c>
      <c r="D381" t="str">
        <f>TRIM([1]DATABASE!Q342)</f>
        <v>PSPA</v>
      </c>
      <c r="E381" s="82" t="str">
        <f>_xlfn.TEXTJOIN("; ",TRUE,IF([1]DATABASE!X342&lt;0,"Negative Discount",""),IF(AND([1]DATABASE!Y342&gt;[1]DATABASE!T342,[1]DATABASE!Y342&gt;0,[1]DATABASE!T342&gt;0),"Sell Price &gt; Current",""),IF(AND(TRIM([1]DATABASE!Q342)="DEED",[1]DATABASE!AA342=""),"Deeded no PSPA Date",""),IF([1]DATABASE!E342="","Missing Typology",""),IF([1]DATABASE!AJ342="","Missing Development",""))</f>
        <v/>
      </c>
      <c r="F381" s="82" t="str">
        <f>_xlfn.TEXTJOIN("; ",TRUE,IF(AND(OR(TRIM([1]DATABASE!Q342)="RESERVED",TRIM([1]DATABASE!Q342)="PRE-RESERVED",TRIM([1]DATABASE!Q342)="PSPA"),[1]DATABASE!AA342=""),"Reserved/PSPA no PSPA Date",""),IF(AND(TRIM([1]DATABASE!Q342)="AVAILABLE",[1]DATABASE!AA342&lt;&gt;""),"Available has PSPA Date",""))</f>
        <v/>
      </c>
      <c r="G381" s="82" t="str">
        <f>_xlfn.TEXTJOIN("; ",TRUE,IF(AND([1]DATABASE!T342&lt;0.8*[1]DATABASE!S342,[1]DATABASE!T342&gt;0,[1]DATABASE!S342&gt;0),"Heavy Price Cut &gt;20%",""),IF(AND(OR(TRIM([1]DATABASE!Q342)="AVAILABLE",TRIM([1]DATABASE!Q342)="UPON REQUEST"),OR([1]DATABASE!T342="",[1]DATABASE!T342=0)),"Active Unit no Price",""),IF(AND(OR(TRIM([1]DATABASE!Q342)="AVAILABLE",TRIM([1]DATABASE!Q342)="RESERVED",TRIM([1]DATABASE!Q342)="PRE-RESERVED",TRIM([1]DATABASE!Q342)="PSPA"),[1]DATABASE!AC342=""),"Active no Owner",""),IF(OR([1]DATABASE!F342="",[1]DATABASE!F342&lt;=0),"Missing/Invalid Area",""),IF(AND([1]DATABASE!T342&gt;0,ABS([1]DATABASE!T342-[1]DATABASE!W342-[1]DATABASE!U342-[1]DATABASE!V342)&gt;1),"Price Bridge Mismatch",""))</f>
        <v/>
      </c>
      <c r="H381" t="str">
        <f t="shared" si="8"/>
        <v>PASS</v>
      </c>
      <c r="I381" s="90">
        <f>[1]DATABASE!T342</f>
        <v>2000000</v>
      </c>
      <c r="J381" t="str">
        <f>[1]DATABASE!AC342</f>
        <v>Ana Damásio</v>
      </c>
    </row>
    <row r="382" spans="1:10" ht="13.95" customHeight="1" x14ac:dyDescent="0.3">
      <c r="A382">
        <f>ROW([1]DATABASE!A343)</f>
        <v>343</v>
      </c>
      <c r="B382" t="str">
        <f>[1]DATABASE!AJ343</f>
        <v>Rivus</v>
      </c>
      <c r="C382" t="str">
        <f>[1]DATABASE!C343</f>
        <v>E</v>
      </c>
      <c r="D382" t="str">
        <f>TRIM([1]DATABASE!Q343)</f>
        <v>RESERVED</v>
      </c>
      <c r="E382" s="82" t="str">
        <f>_xlfn.TEXTJOIN("; ",TRUE,IF([1]DATABASE!X343&lt;0,"Negative Discount",""),IF(AND([1]DATABASE!Y343&gt;[1]DATABASE!T343,[1]DATABASE!Y343&gt;0,[1]DATABASE!T343&gt;0),"Sell Price &gt; Current",""),IF(AND(TRIM([1]DATABASE!Q343)="DEED",[1]DATABASE!AA343=""),"Deeded no PSPA Date",""),IF([1]DATABASE!E343="","Missing Typology",""),IF([1]DATABASE!AJ343="","Missing Development",""))</f>
        <v/>
      </c>
      <c r="F382" s="82" t="str">
        <f>_xlfn.TEXTJOIN("; ",TRUE,IF(AND(OR(TRIM([1]DATABASE!Q343)="RESERVED",TRIM([1]DATABASE!Q343)="PRE-RESERVED",TRIM([1]DATABASE!Q343)="PSPA"),[1]DATABASE!AA343=""),"Reserved/PSPA no PSPA Date",""),IF(AND(TRIM([1]DATABASE!Q343)="AVAILABLE",[1]DATABASE!AA343&lt;&gt;""),"Available has PSPA Date",""))</f>
        <v>Reserved/PSPA no PSPA Date</v>
      </c>
      <c r="G382" s="82" t="str">
        <f>_xlfn.TEXTJOIN("; ",TRUE,IF(AND([1]DATABASE!T343&lt;0.8*[1]DATABASE!S343,[1]DATABASE!T343&gt;0,[1]DATABASE!S343&gt;0),"Heavy Price Cut &gt;20%",""),IF(AND(OR(TRIM([1]DATABASE!Q343)="AVAILABLE",TRIM([1]DATABASE!Q343)="UPON REQUEST"),OR([1]DATABASE!T343="",[1]DATABASE!T343=0)),"Active Unit no Price",""),IF(AND(OR(TRIM([1]DATABASE!Q343)="AVAILABLE",TRIM([1]DATABASE!Q343)="RESERVED",TRIM([1]DATABASE!Q343)="PRE-RESERVED",TRIM([1]DATABASE!Q343)="PSPA"),[1]DATABASE!AC343=""),"Active no Owner",""),IF(OR([1]DATABASE!F343="",[1]DATABASE!F343&lt;=0),"Missing/Invalid Area",""),IF(AND([1]DATABASE!T343&gt;0,ABS([1]DATABASE!T343-[1]DATABASE!W343-[1]DATABASE!U343-[1]DATABASE!V343)&gt;1),"Price Bridge Mismatch",""))</f>
        <v>Missing/Invalid Area</v>
      </c>
      <c r="H382" t="str">
        <f t="shared" si="8"/>
        <v>REVIEW</v>
      </c>
      <c r="I382" s="90">
        <f>[1]DATABASE!T343</f>
        <v>1020000</v>
      </c>
      <c r="J382" t="str">
        <f>[1]DATABASE!AC343</f>
        <v>Ana Damásio</v>
      </c>
    </row>
    <row r="383" spans="1:10" ht="13.95" customHeight="1" x14ac:dyDescent="0.3">
      <c r="A383">
        <f>ROW([1]DATABASE!A344)</f>
        <v>344</v>
      </c>
      <c r="B383" t="str">
        <f>[1]DATABASE!AJ344</f>
        <v>Rivus</v>
      </c>
      <c r="C383" t="str">
        <f>[1]DATABASE!C344</f>
        <v>F</v>
      </c>
      <c r="D383" t="str">
        <f>TRIM([1]DATABASE!Q344)</f>
        <v>RESERVED</v>
      </c>
      <c r="E383" s="82" t="str">
        <f>_xlfn.TEXTJOIN("; ",TRUE,IF([1]DATABASE!X344&lt;0,"Negative Discount",""),IF(AND([1]DATABASE!Y344&gt;[1]DATABASE!T344,[1]DATABASE!Y344&gt;0,[1]DATABASE!T344&gt;0),"Sell Price &gt; Current",""),IF(AND(TRIM([1]DATABASE!Q344)="DEED",[1]DATABASE!AA344=""),"Deeded no PSPA Date",""),IF([1]DATABASE!E344="","Missing Typology",""),IF([1]DATABASE!AJ344="","Missing Development",""))</f>
        <v/>
      </c>
      <c r="F383" s="82" t="str">
        <f>_xlfn.TEXTJOIN("; ",TRUE,IF(AND(OR(TRIM([1]DATABASE!Q344)="RESERVED",TRIM([1]DATABASE!Q344)="PRE-RESERVED",TRIM([1]DATABASE!Q344)="PSPA"),[1]DATABASE!AA344=""),"Reserved/PSPA no PSPA Date",""),IF(AND(TRIM([1]DATABASE!Q344)="AVAILABLE",[1]DATABASE!AA344&lt;&gt;""),"Available has PSPA Date",""))</f>
        <v>Reserved/PSPA no PSPA Date</v>
      </c>
      <c r="G383" s="82" t="str">
        <f>_xlfn.TEXTJOIN("; ",TRUE,IF(AND([1]DATABASE!T344&lt;0.8*[1]DATABASE!S344,[1]DATABASE!T344&gt;0,[1]DATABASE!S344&gt;0),"Heavy Price Cut &gt;20%",""),IF(AND(OR(TRIM([1]DATABASE!Q344)="AVAILABLE",TRIM([1]DATABASE!Q344)="UPON REQUEST"),OR([1]DATABASE!T344="",[1]DATABASE!T344=0)),"Active Unit no Price",""),IF(AND(OR(TRIM([1]DATABASE!Q344)="AVAILABLE",TRIM([1]DATABASE!Q344)="RESERVED",TRIM([1]DATABASE!Q344)="PRE-RESERVED",TRIM([1]DATABASE!Q344)="PSPA"),[1]DATABASE!AC344=""),"Active no Owner",""),IF(OR([1]DATABASE!F344="",[1]DATABASE!F344&lt;=0),"Missing/Invalid Area",""),IF(AND([1]DATABASE!T344&gt;0,ABS([1]DATABASE!T344-[1]DATABASE!W344-[1]DATABASE!U344-[1]DATABASE!V344)&gt;1),"Price Bridge Mismatch",""))</f>
        <v>Missing/Invalid Area</v>
      </c>
      <c r="H383" t="str">
        <f t="shared" si="8"/>
        <v>REVIEW</v>
      </c>
      <c r="I383" s="90">
        <f>[1]DATABASE!T344</f>
        <v>760000</v>
      </c>
      <c r="J383" t="str">
        <f>[1]DATABASE!AC344</f>
        <v>Ana Damásio</v>
      </c>
    </row>
    <row r="384" spans="1:10" ht="13.95" customHeight="1" x14ac:dyDescent="0.3">
      <c r="A384">
        <f>ROW([1]DATABASE!A345)</f>
        <v>345</v>
      </c>
      <c r="B384" t="str">
        <f>[1]DATABASE!AJ345</f>
        <v>Terracota</v>
      </c>
      <c r="C384" t="str">
        <f>[1]DATABASE!C345</f>
        <v>AG</v>
      </c>
      <c r="D384" t="str">
        <f>TRIM([1]DATABASE!Q345)</f>
        <v>PSPA</v>
      </c>
      <c r="E384" s="82" t="str">
        <f>_xlfn.TEXTJOIN("; ",TRUE,IF([1]DATABASE!X345&lt;0,"Negative Discount",""),IF(AND([1]DATABASE!Y345&gt;[1]DATABASE!T345,[1]DATABASE!Y345&gt;0,[1]DATABASE!T345&gt;0),"Sell Price &gt; Current",""),IF(AND(TRIM([1]DATABASE!Q345)="DEED",[1]DATABASE!AA345=""),"Deeded no PSPA Date",""),IF([1]DATABASE!E345="","Missing Typology",""),IF([1]DATABASE!AJ345="","Missing Development",""))</f>
        <v/>
      </c>
      <c r="F384" s="82" t="str">
        <f>_xlfn.TEXTJOIN("; ",TRUE,IF(AND(OR(TRIM([1]DATABASE!Q345)="RESERVED",TRIM([1]DATABASE!Q345)="PRE-RESERVED",TRIM([1]DATABASE!Q345)="PSPA"),[1]DATABASE!AA345=""),"Reserved/PSPA no PSPA Date",""),IF(AND(TRIM([1]DATABASE!Q345)="AVAILABLE",[1]DATABASE!AA345&lt;&gt;""),"Available has PSPA Date",""))</f>
        <v/>
      </c>
      <c r="G384" s="82" t="str">
        <f>_xlfn.TEXTJOIN("; ",TRUE,IF(AND([1]DATABASE!T345&lt;0.8*[1]DATABASE!S345,[1]DATABASE!T345&gt;0,[1]DATABASE!S345&gt;0),"Heavy Price Cut &gt;20%",""),IF(AND(OR(TRIM([1]DATABASE!Q345)="AVAILABLE",TRIM([1]DATABASE!Q345)="UPON REQUEST"),OR([1]DATABASE!T345="",[1]DATABASE!T345=0)),"Active Unit no Price",""),IF(AND(OR(TRIM([1]DATABASE!Q345)="AVAILABLE",TRIM([1]DATABASE!Q345)="RESERVED",TRIM([1]DATABASE!Q345)="PRE-RESERVED",TRIM([1]DATABASE!Q345)="PSPA"),[1]DATABASE!AC345=""),"Active no Owner",""),IF(OR([1]DATABASE!F345="",[1]DATABASE!F345&lt;=0),"Missing/Invalid Area",""),IF(AND([1]DATABASE!T345&gt;0,ABS([1]DATABASE!T345-[1]DATABASE!W345-[1]DATABASE!U345-[1]DATABASE!V345)&gt;1),"Price Bridge Mismatch",""))</f>
        <v/>
      </c>
      <c r="H384" t="str">
        <f t="shared" si="8"/>
        <v>PASS</v>
      </c>
      <c r="I384" s="90">
        <f>[1]DATABASE!T345</f>
        <v>555000</v>
      </c>
      <c r="J384" t="str">
        <f>[1]DATABASE!AC345</f>
        <v>Ana Damásio</v>
      </c>
    </row>
    <row r="385" spans="1:10" ht="13.95" customHeight="1" x14ac:dyDescent="0.3">
      <c r="A385">
        <f>ROW([1]DATABASE!A346)</f>
        <v>346</v>
      </c>
      <c r="B385" t="str">
        <f>[1]DATABASE!AJ346</f>
        <v>Aroeira Collections</v>
      </c>
      <c r="C385" t="str">
        <f>[1]DATABASE!C346</f>
        <v>10C</v>
      </c>
      <c r="D385" t="str">
        <f>TRIM([1]DATABASE!Q346)</f>
        <v>PSPA</v>
      </c>
      <c r="E385" s="82" t="str">
        <f>_xlfn.TEXTJOIN("; ",TRUE,IF([1]DATABASE!X346&lt;0,"Negative Discount",""),IF(AND([1]DATABASE!Y346&gt;[1]DATABASE!T346,[1]DATABASE!Y346&gt;0,[1]DATABASE!T346&gt;0),"Sell Price &gt; Current",""),IF(AND(TRIM([1]DATABASE!Q346)="DEED",[1]DATABASE!AA346=""),"Deeded no PSPA Date",""),IF([1]DATABASE!E346="","Missing Typology",""),IF([1]DATABASE!AJ346="","Missing Development",""))</f>
        <v/>
      </c>
      <c r="F385" s="82" t="str">
        <f>_xlfn.TEXTJOIN("; ",TRUE,IF(AND(OR(TRIM([1]DATABASE!Q346)="RESERVED",TRIM([1]DATABASE!Q346)="PRE-RESERVED",TRIM([1]DATABASE!Q346)="PSPA"),[1]DATABASE!AA346=""),"Reserved/PSPA no PSPA Date",""),IF(AND(TRIM([1]DATABASE!Q346)="AVAILABLE",[1]DATABASE!AA346&lt;&gt;""),"Available has PSPA Date",""))</f>
        <v/>
      </c>
      <c r="G385" s="82" t="str">
        <f>_xlfn.TEXTJOIN("; ",TRUE,IF(AND([1]DATABASE!T346&lt;0.8*[1]DATABASE!S346,[1]DATABASE!T346&gt;0,[1]DATABASE!S346&gt;0),"Heavy Price Cut &gt;20%",""),IF(AND(OR(TRIM([1]DATABASE!Q346)="AVAILABLE",TRIM([1]DATABASE!Q346)="UPON REQUEST"),OR([1]DATABASE!T346="",[1]DATABASE!T346=0)),"Active Unit no Price",""),IF(AND(OR(TRIM([1]DATABASE!Q346)="AVAILABLE",TRIM([1]DATABASE!Q346)="RESERVED",TRIM([1]DATABASE!Q346)="PRE-RESERVED",TRIM([1]DATABASE!Q346)="PSPA"),[1]DATABASE!AC346=""),"Active no Owner",""),IF(OR([1]DATABASE!F346="",[1]DATABASE!F346&lt;=0),"Missing/Invalid Area",""),IF(AND([1]DATABASE!T346&gt;0,ABS([1]DATABASE!T346-[1]DATABASE!W346-[1]DATABASE!U346-[1]DATABASE!V346)&gt;1),"Price Bridge Mismatch",""))</f>
        <v/>
      </c>
      <c r="H385" t="str">
        <f t="shared" si="8"/>
        <v>PASS</v>
      </c>
      <c r="I385" s="90">
        <f>[1]DATABASE!T346</f>
        <v>1380000</v>
      </c>
      <c r="J385" t="str">
        <f>[1]DATABASE!AC346</f>
        <v>João Gameiro</v>
      </c>
    </row>
    <row r="386" spans="1:10" ht="13.95" customHeight="1" x14ac:dyDescent="0.3">
      <c r="A386">
        <f>ROW([1]DATABASE!A347)</f>
        <v>347</v>
      </c>
      <c r="B386" t="str">
        <f>[1]DATABASE!AJ347</f>
        <v>Aroeira Collections</v>
      </c>
      <c r="C386" t="str">
        <f>[1]DATABASE!C347</f>
        <v>16B</v>
      </c>
      <c r="D386" t="str">
        <f>TRIM([1]DATABASE!Q347)</f>
        <v>PSPA</v>
      </c>
      <c r="E386" s="82" t="str">
        <f>_xlfn.TEXTJOIN("; ",TRUE,IF([1]DATABASE!X347&lt;0,"Negative Discount",""),IF(AND([1]DATABASE!Y347&gt;[1]DATABASE!T347,[1]DATABASE!Y347&gt;0,[1]DATABASE!T347&gt;0),"Sell Price &gt; Current",""),IF(AND(TRIM([1]DATABASE!Q347)="DEED",[1]DATABASE!AA347=""),"Deeded no PSPA Date",""),IF([1]DATABASE!E347="","Missing Typology",""),IF([1]DATABASE!AJ347="","Missing Development",""))</f>
        <v/>
      </c>
      <c r="F386" s="82" t="str">
        <f>_xlfn.TEXTJOIN("; ",TRUE,IF(AND(OR(TRIM([1]DATABASE!Q347)="RESERVED",TRIM([1]DATABASE!Q347)="PRE-RESERVED",TRIM([1]DATABASE!Q347)="PSPA"),[1]DATABASE!AA347=""),"Reserved/PSPA no PSPA Date",""),IF(AND(TRIM([1]DATABASE!Q347)="AVAILABLE",[1]DATABASE!AA347&lt;&gt;""),"Available has PSPA Date",""))</f>
        <v/>
      </c>
      <c r="G386" s="82" t="str">
        <f>_xlfn.TEXTJOIN("; ",TRUE,IF(AND([1]DATABASE!T347&lt;0.8*[1]DATABASE!S347,[1]DATABASE!T347&gt;0,[1]DATABASE!S347&gt;0),"Heavy Price Cut &gt;20%",""),IF(AND(OR(TRIM([1]DATABASE!Q347)="AVAILABLE",TRIM([1]DATABASE!Q347)="UPON REQUEST"),OR([1]DATABASE!T347="",[1]DATABASE!T347=0)),"Active Unit no Price",""),IF(AND(OR(TRIM([1]DATABASE!Q347)="AVAILABLE",TRIM([1]DATABASE!Q347)="RESERVED",TRIM([1]DATABASE!Q347)="PRE-RESERVED",TRIM([1]DATABASE!Q347)="PSPA"),[1]DATABASE!AC347=""),"Active no Owner",""),IF(OR([1]DATABASE!F347="",[1]DATABASE!F347&lt;=0),"Missing/Invalid Area",""),IF(AND([1]DATABASE!T347&gt;0,ABS([1]DATABASE!T347-[1]DATABASE!W347-[1]DATABASE!U347-[1]DATABASE!V347)&gt;1),"Price Bridge Mismatch",""))</f>
        <v/>
      </c>
      <c r="H386" t="str">
        <f t="shared" si="8"/>
        <v>PASS</v>
      </c>
      <c r="I386" s="90">
        <f>[1]DATABASE!T347</f>
        <v>795000</v>
      </c>
      <c r="J386" t="str">
        <f>[1]DATABASE!AC347</f>
        <v>João Gameiro</v>
      </c>
    </row>
    <row r="387" spans="1:10" ht="13.95" customHeight="1" x14ac:dyDescent="0.3">
      <c r="A387">
        <f>ROW([1]DATABASE!A348)</f>
        <v>348</v>
      </c>
      <c r="B387" t="str">
        <f>[1]DATABASE!AJ348</f>
        <v>Rivus</v>
      </c>
      <c r="C387" t="str">
        <f>[1]DATABASE!C348</f>
        <v>V</v>
      </c>
      <c r="D387" t="str">
        <f>TRIM([1]DATABASE!Q348)</f>
        <v>RESERVED</v>
      </c>
      <c r="E387" s="82" t="str">
        <f>_xlfn.TEXTJOIN("; ",TRUE,IF([1]DATABASE!X348&lt;0,"Negative Discount",""),IF(AND([1]DATABASE!Y348&gt;[1]DATABASE!T348,[1]DATABASE!Y348&gt;0,[1]DATABASE!T348&gt;0),"Sell Price &gt; Current",""),IF(AND(TRIM([1]DATABASE!Q348)="DEED",[1]DATABASE!AA348=""),"Deeded no PSPA Date",""),IF([1]DATABASE!E348="","Missing Typology",""),IF([1]DATABASE!AJ348="","Missing Development",""))</f>
        <v/>
      </c>
      <c r="F387" s="82" t="str">
        <f>_xlfn.TEXTJOIN("; ",TRUE,IF(AND(OR(TRIM([1]DATABASE!Q348)="RESERVED",TRIM([1]DATABASE!Q348)="PRE-RESERVED",TRIM([1]DATABASE!Q348)="PSPA"),[1]DATABASE!AA348=""),"Reserved/PSPA no PSPA Date",""),IF(AND(TRIM([1]DATABASE!Q348)="AVAILABLE",[1]DATABASE!AA348&lt;&gt;""),"Available has PSPA Date",""))</f>
        <v>Reserved/PSPA no PSPA Date</v>
      </c>
      <c r="G387" s="82" t="str">
        <f>_xlfn.TEXTJOIN("; ",TRUE,IF(AND([1]DATABASE!T348&lt;0.8*[1]DATABASE!S348,[1]DATABASE!T348&gt;0,[1]DATABASE!S348&gt;0),"Heavy Price Cut &gt;20%",""),IF(AND(OR(TRIM([1]DATABASE!Q348)="AVAILABLE",TRIM([1]DATABASE!Q348)="UPON REQUEST"),OR([1]DATABASE!T348="",[1]DATABASE!T348=0)),"Active Unit no Price",""),IF(AND(OR(TRIM([1]DATABASE!Q348)="AVAILABLE",TRIM([1]DATABASE!Q348)="RESERVED",TRIM([1]DATABASE!Q348)="PRE-RESERVED",TRIM([1]DATABASE!Q348)="PSPA"),[1]DATABASE!AC348=""),"Active no Owner",""),IF(OR([1]DATABASE!F348="",[1]DATABASE!F348&lt;=0),"Missing/Invalid Area",""),IF(AND([1]DATABASE!T348&gt;0,ABS([1]DATABASE!T348-[1]DATABASE!W348-[1]DATABASE!U348-[1]DATABASE!V348)&gt;1),"Price Bridge Mismatch",""))</f>
        <v>Missing/Invalid Area</v>
      </c>
      <c r="H387" t="str">
        <f t="shared" si="8"/>
        <v>REVIEW</v>
      </c>
      <c r="I387" s="90">
        <f>[1]DATABASE!T348</f>
        <v>800000</v>
      </c>
      <c r="J387" t="str">
        <f>[1]DATABASE!AC348</f>
        <v>Ana Damásio</v>
      </c>
    </row>
    <row r="388" spans="1:10" ht="13.95" customHeight="1" x14ac:dyDescent="0.3">
      <c r="A388">
        <f>ROW([1]DATABASE!A349)</f>
        <v>349</v>
      </c>
      <c r="B388" t="str">
        <f>[1]DATABASE!AJ349</f>
        <v>Aroeira Collections</v>
      </c>
      <c r="C388" t="str">
        <f>[1]DATABASE!C349</f>
        <v>134A</v>
      </c>
      <c r="D388" t="str">
        <f>TRIM([1]DATABASE!Q349)</f>
        <v>RESERVED</v>
      </c>
      <c r="E388" s="82" t="str">
        <f>_xlfn.TEXTJOIN("; ",TRUE,IF([1]DATABASE!X349&lt;0,"Negative Discount",""),IF(AND([1]DATABASE!Y349&gt;[1]DATABASE!T349,[1]DATABASE!Y349&gt;0,[1]DATABASE!T349&gt;0),"Sell Price &gt; Current",""),IF(AND(TRIM([1]DATABASE!Q349)="DEED",[1]DATABASE!AA349=""),"Deeded no PSPA Date",""),IF([1]DATABASE!E349="","Missing Typology",""),IF([1]DATABASE!AJ349="","Missing Development",""))</f>
        <v/>
      </c>
      <c r="F388" s="82" t="str">
        <f>_xlfn.TEXTJOIN("; ",TRUE,IF(AND(OR(TRIM([1]DATABASE!Q349)="RESERVED",TRIM([1]DATABASE!Q349)="PRE-RESERVED",TRIM([1]DATABASE!Q349)="PSPA"),[1]DATABASE!AA349=""),"Reserved/PSPA no PSPA Date",""),IF(AND(TRIM([1]DATABASE!Q349)="AVAILABLE",[1]DATABASE!AA349&lt;&gt;""),"Available has PSPA Date",""))</f>
        <v/>
      </c>
      <c r="G388" s="82" t="str">
        <f>_xlfn.TEXTJOIN("; ",TRUE,IF(AND([1]DATABASE!T349&lt;0.8*[1]DATABASE!S349,[1]DATABASE!T349&gt;0,[1]DATABASE!S349&gt;0),"Heavy Price Cut &gt;20%",""),IF(AND(OR(TRIM([1]DATABASE!Q349)="AVAILABLE",TRIM([1]DATABASE!Q349)="UPON REQUEST"),OR([1]DATABASE!T349="",[1]DATABASE!T349=0)),"Active Unit no Price",""),IF(AND(OR(TRIM([1]DATABASE!Q349)="AVAILABLE",TRIM([1]DATABASE!Q349)="RESERVED",TRIM([1]DATABASE!Q349)="PRE-RESERVED",TRIM([1]DATABASE!Q349)="PSPA"),[1]DATABASE!AC349=""),"Active no Owner",""),IF(OR([1]DATABASE!F349="",[1]DATABASE!F349&lt;=0),"Missing/Invalid Area",""),IF(AND([1]DATABASE!T349&gt;0,ABS([1]DATABASE!T349-[1]DATABASE!W349-[1]DATABASE!U349-[1]DATABASE!V349)&gt;1),"Price Bridge Mismatch",""))</f>
        <v>Heavy Price Cut &gt;20%</v>
      </c>
      <c r="H388" t="str">
        <f t="shared" si="8"/>
        <v>REVIEW</v>
      </c>
      <c r="I388" s="90">
        <f>[1]DATABASE!T349</f>
        <v>370000</v>
      </c>
      <c r="J388" t="str">
        <f>[1]DATABASE!AC349</f>
        <v>João Gameiro</v>
      </c>
    </row>
    <row r="389" spans="1:10" ht="13.95" customHeight="1" x14ac:dyDescent="0.3">
      <c r="A389">
        <f>ROW([1]DATABASE!A350)</f>
        <v>350</v>
      </c>
      <c r="B389" t="str">
        <f>[1]DATABASE!AJ350</f>
        <v>Aroeira Collections</v>
      </c>
      <c r="C389" t="str">
        <f>[1]DATABASE!C350</f>
        <v>137A</v>
      </c>
      <c r="D389" t="str">
        <f>TRIM([1]DATABASE!Q350)</f>
        <v>RESERVED</v>
      </c>
      <c r="E389" s="82" t="str">
        <f>_xlfn.TEXTJOIN("; ",TRUE,IF([1]DATABASE!X350&lt;0,"Negative Discount",""),IF(AND([1]DATABASE!Y350&gt;[1]DATABASE!T350,[1]DATABASE!Y350&gt;0,[1]DATABASE!T350&gt;0),"Sell Price &gt; Current",""),IF(AND(TRIM([1]DATABASE!Q350)="DEED",[1]DATABASE!AA350=""),"Deeded no PSPA Date",""),IF([1]DATABASE!E350="","Missing Typology",""),IF([1]DATABASE!AJ350="","Missing Development",""))</f>
        <v/>
      </c>
      <c r="F389" s="82" t="str">
        <f>_xlfn.TEXTJOIN("; ",TRUE,IF(AND(OR(TRIM([1]DATABASE!Q350)="RESERVED",TRIM([1]DATABASE!Q350)="PRE-RESERVED",TRIM([1]DATABASE!Q350)="PSPA"),[1]DATABASE!AA350=""),"Reserved/PSPA no PSPA Date",""),IF(AND(TRIM([1]DATABASE!Q350)="AVAILABLE",[1]DATABASE!AA350&lt;&gt;""),"Available has PSPA Date",""))</f>
        <v/>
      </c>
      <c r="G389" s="82" t="str">
        <f>_xlfn.TEXTJOIN("; ",TRUE,IF(AND([1]DATABASE!T350&lt;0.8*[1]DATABASE!S350,[1]DATABASE!T350&gt;0,[1]DATABASE!S350&gt;0),"Heavy Price Cut &gt;20%",""),IF(AND(OR(TRIM([1]DATABASE!Q350)="AVAILABLE",TRIM([1]DATABASE!Q350)="UPON REQUEST"),OR([1]DATABASE!T350="",[1]DATABASE!T350=0)),"Active Unit no Price",""),IF(AND(OR(TRIM([1]DATABASE!Q350)="AVAILABLE",TRIM([1]DATABASE!Q350)="RESERVED",TRIM([1]DATABASE!Q350)="PRE-RESERVED",TRIM([1]DATABASE!Q350)="PSPA"),[1]DATABASE!AC350=""),"Active no Owner",""),IF(OR([1]DATABASE!F350="",[1]DATABASE!F350&lt;=0),"Missing/Invalid Area",""),IF(AND([1]DATABASE!T350&gt;0,ABS([1]DATABASE!T350-[1]DATABASE!W350-[1]DATABASE!U350-[1]DATABASE!V350)&gt;1),"Price Bridge Mismatch",""))</f>
        <v>Heavy Price Cut &gt;20%</v>
      </c>
      <c r="H389" t="str">
        <f t="shared" si="8"/>
        <v>REVIEW</v>
      </c>
      <c r="I389" s="90">
        <f>[1]DATABASE!T350</f>
        <v>370000</v>
      </c>
      <c r="J389" t="str">
        <f>[1]DATABASE!AC350</f>
        <v>João Gameiro</v>
      </c>
    </row>
    <row r="390" spans="1:10" ht="13.95" customHeight="1" x14ac:dyDescent="0.3">
      <c r="A390">
        <f>ROW([1]DATABASE!A351)</f>
        <v>351</v>
      </c>
      <c r="B390" t="str">
        <f>[1]DATABASE!AJ351</f>
        <v>Aroeira Collections</v>
      </c>
      <c r="C390" t="str">
        <f>[1]DATABASE!C351</f>
        <v>216B</v>
      </c>
      <c r="D390" t="str">
        <f>TRIM([1]DATABASE!Q351)</f>
        <v>RESERVED</v>
      </c>
      <c r="E390" s="82" t="str">
        <f>_xlfn.TEXTJOIN("; ",TRUE,IF([1]DATABASE!X351&lt;0,"Negative Discount",""),IF(AND([1]DATABASE!Y351&gt;[1]DATABASE!T351,[1]DATABASE!Y351&gt;0,[1]DATABASE!T351&gt;0),"Sell Price &gt; Current",""),IF(AND(TRIM([1]DATABASE!Q351)="DEED",[1]DATABASE!AA351=""),"Deeded no PSPA Date",""),IF([1]DATABASE!E351="","Missing Typology",""),IF([1]DATABASE!AJ351="","Missing Development",""))</f>
        <v/>
      </c>
      <c r="F390" s="82" t="str">
        <f>_xlfn.TEXTJOIN("; ",TRUE,IF(AND(OR(TRIM([1]DATABASE!Q351)="RESERVED",TRIM([1]DATABASE!Q351)="PRE-RESERVED",TRIM([1]DATABASE!Q351)="PSPA"),[1]DATABASE!AA351=""),"Reserved/PSPA no PSPA Date",""),IF(AND(TRIM([1]DATABASE!Q351)="AVAILABLE",[1]DATABASE!AA351&lt;&gt;""),"Available has PSPA Date",""))</f>
        <v/>
      </c>
      <c r="G390" s="82" t="str">
        <f>_xlfn.TEXTJOIN("; ",TRUE,IF(AND([1]DATABASE!T351&lt;0.8*[1]DATABASE!S351,[1]DATABASE!T351&gt;0,[1]DATABASE!S351&gt;0),"Heavy Price Cut &gt;20%",""),IF(AND(OR(TRIM([1]DATABASE!Q351)="AVAILABLE",TRIM([1]DATABASE!Q351)="UPON REQUEST"),OR([1]DATABASE!T351="",[1]DATABASE!T351=0)),"Active Unit no Price",""),IF(AND(OR(TRIM([1]DATABASE!Q351)="AVAILABLE",TRIM([1]DATABASE!Q351)="RESERVED",TRIM([1]DATABASE!Q351)="PRE-RESERVED",TRIM([1]DATABASE!Q351)="PSPA"),[1]DATABASE!AC351=""),"Active no Owner",""),IF(OR([1]DATABASE!F351="",[1]DATABASE!F351&lt;=0),"Missing/Invalid Area",""),IF(AND([1]DATABASE!T351&gt;0,ABS([1]DATABASE!T351-[1]DATABASE!W351-[1]DATABASE!U351-[1]DATABASE!V351)&gt;1),"Price Bridge Mismatch",""))</f>
        <v/>
      </c>
      <c r="H390" t="str">
        <f t="shared" si="8"/>
        <v>PASS</v>
      </c>
      <c r="I390" s="90">
        <f>[1]DATABASE!T351</f>
        <v>695000</v>
      </c>
      <c r="J390" t="str">
        <f>[1]DATABASE!AC351</f>
        <v>João Gameiro</v>
      </c>
    </row>
    <row r="391" spans="1:10" ht="13.95" customHeight="1" x14ac:dyDescent="0.3">
      <c r="A391">
        <f>ROW([1]DATABASE!A352)</f>
        <v>352</v>
      </c>
      <c r="B391" t="str">
        <f>[1]DATABASE!AJ352</f>
        <v>Aroeira Collections</v>
      </c>
      <c r="C391" t="str">
        <f>[1]DATABASE!C352</f>
        <v>225B</v>
      </c>
      <c r="D391" t="str">
        <f>TRIM([1]DATABASE!Q352)</f>
        <v>RESERVED</v>
      </c>
      <c r="E391" s="82" t="str">
        <f>_xlfn.TEXTJOIN("; ",TRUE,IF([1]DATABASE!X352&lt;0,"Negative Discount",""),IF(AND([1]DATABASE!Y352&gt;[1]DATABASE!T352,[1]DATABASE!Y352&gt;0,[1]DATABASE!T352&gt;0),"Sell Price &gt; Current",""),IF(AND(TRIM([1]DATABASE!Q352)="DEED",[1]DATABASE!AA352=""),"Deeded no PSPA Date",""),IF([1]DATABASE!E352="","Missing Typology",""),IF([1]DATABASE!AJ352="","Missing Development",""))</f>
        <v/>
      </c>
      <c r="F391" s="82" t="str">
        <f>_xlfn.TEXTJOIN("; ",TRUE,IF(AND(OR(TRIM([1]DATABASE!Q352)="RESERVED",TRIM([1]DATABASE!Q352)="PRE-RESERVED",TRIM([1]DATABASE!Q352)="PSPA"),[1]DATABASE!AA352=""),"Reserved/PSPA no PSPA Date",""),IF(AND(TRIM([1]DATABASE!Q352)="AVAILABLE",[1]DATABASE!AA352&lt;&gt;""),"Available has PSPA Date",""))</f>
        <v/>
      </c>
      <c r="G391" s="82" t="str">
        <f>_xlfn.TEXTJOIN("; ",TRUE,IF(AND([1]DATABASE!T352&lt;0.8*[1]DATABASE!S352,[1]DATABASE!T352&gt;0,[1]DATABASE!S352&gt;0),"Heavy Price Cut &gt;20%",""),IF(AND(OR(TRIM([1]DATABASE!Q352)="AVAILABLE",TRIM([1]DATABASE!Q352)="UPON REQUEST"),OR([1]DATABASE!T352="",[1]DATABASE!T352=0)),"Active Unit no Price",""),IF(AND(OR(TRIM([1]DATABASE!Q352)="AVAILABLE",TRIM([1]DATABASE!Q352)="RESERVED",TRIM([1]DATABASE!Q352)="PRE-RESERVED",TRIM([1]DATABASE!Q352)="PSPA"),[1]DATABASE!AC352=""),"Active no Owner",""),IF(OR([1]DATABASE!F352="",[1]DATABASE!F352&lt;=0),"Missing/Invalid Area",""),IF(AND([1]DATABASE!T352&gt;0,ABS([1]DATABASE!T352-[1]DATABASE!W352-[1]DATABASE!U352-[1]DATABASE!V352)&gt;1),"Price Bridge Mismatch",""))</f>
        <v/>
      </c>
      <c r="H391" t="str">
        <f t="shared" si="8"/>
        <v>PASS</v>
      </c>
      <c r="I391" s="90">
        <f>[1]DATABASE!T352</f>
        <v>645000</v>
      </c>
      <c r="J391" t="str">
        <f>[1]DATABASE!AC352</f>
        <v>João Gameiro</v>
      </c>
    </row>
    <row r="392" spans="1:10" ht="13.95" customHeight="1" x14ac:dyDescent="0.3">
      <c r="A392">
        <f>ROW([1]DATABASE!A353)</f>
        <v>353</v>
      </c>
      <c r="B392" t="str">
        <f>[1]DATABASE!AJ353</f>
        <v>Rivus</v>
      </c>
      <c r="C392" t="str">
        <f>[1]DATABASE!C353</f>
        <v>D</v>
      </c>
      <c r="D392" t="str">
        <f>TRIM([1]DATABASE!Q353)</f>
        <v>PSPA</v>
      </c>
      <c r="E392" s="82" t="str">
        <f>_xlfn.TEXTJOIN("; ",TRUE,IF([1]DATABASE!X353&lt;0,"Negative Discount",""),IF(AND([1]DATABASE!Y353&gt;[1]DATABASE!T353,[1]DATABASE!Y353&gt;0,[1]DATABASE!T353&gt;0),"Sell Price &gt; Current",""),IF(AND(TRIM([1]DATABASE!Q353)="DEED",[1]DATABASE!AA353=""),"Deeded no PSPA Date",""),IF([1]DATABASE!E353="","Missing Typology",""),IF([1]DATABASE!AJ353="","Missing Development",""))</f>
        <v/>
      </c>
      <c r="F392" s="82" t="str">
        <f>_xlfn.TEXTJOIN("; ",TRUE,IF(AND(OR(TRIM([1]DATABASE!Q353)="RESERVED",TRIM([1]DATABASE!Q353)="PRE-RESERVED",TRIM([1]DATABASE!Q353)="PSPA"),[1]DATABASE!AA353=""),"Reserved/PSPA no PSPA Date",""),IF(AND(TRIM([1]DATABASE!Q353)="AVAILABLE",[1]DATABASE!AA353&lt;&gt;""),"Available has PSPA Date",""))</f>
        <v/>
      </c>
      <c r="G392" s="82" t="str">
        <f>_xlfn.TEXTJOIN("; ",TRUE,IF(AND([1]DATABASE!T353&lt;0.8*[1]DATABASE!S353,[1]DATABASE!T353&gt;0,[1]DATABASE!S353&gt;0),"Heavy Price Cut &gt;20%",""),IF(AND(OR(TRIM([1]DATABASE!Q353)="AVAILABLE",TRIM([1]DATABASE!Q353)="UPON REQUEST"),OR([1]DATABASE!T353="",[1]DATABASE!T353=0)),"Active Unit no Price",""),IF(AND(OR(TRIM([1]DATABASE!Q353)="AVAILABLE",TRIM([1]DATABASE!Q353)="RESERVED",TRIM([1]DATABASE!Q353)="PRE-RESERVED",TRIM([1]DATABASE!Q353)="PSPA"),[1]DATABASE!AC353=""),"Active no Owner",""),IF(OR([1]DATABASE!F353="",[1]DATABASE!F353&lt;=0),"Missing/Invalid Area",""),IF(AND([1]DATABASE!T353&gt;0,ABS([1]DATABASE!T353-[1]DATABASE!W353-[1]DATABASE!U353-[1]DATABASE!V353)&gt;1),"Price Bridge Mismatch",""))</f>
        <v>Missing/Invalid Area</v>
      </c>
      <c r="H392" t="str">
        <f t="shared" si="8"/>
        <v>REVIEW</v>
      </c>
      <c r="I392" s="90">
        <f>[1]DATABASE!T353</f>
        <v>920000</v>
      </c>
      <c r="J392" t="str">
        <f>[1]DATABASE!AC353</f>
        <v>Ana Damásio</v>
      </c>
    </row>
    <row r="393" spans="1:10" ht="13.95" customHeight="1" x14ac:dyDescent="0.3">
      <c r="A393">
        <f>ROW([1]DATABASE!A354)</f>
        <v>354</v>
      </c>
      <c r="B393" t="str">
        <f>[1]DATABASE!AJ354</f>
        <v>Springs - At the Els</v>
      </c>
      <c r="C393" t="str">
        <f>[1]DATABASE!C354</f>
        <v>BO</v>
      </c>
      <c r="D393" t="str">
        <f>TRIM([1]DATABASE!Q354)</f>
        <v>PSPA</v>
      </c>
      <c r="E393" s="82" t="str">
        <f>_xlfn.TEXTJOIN("; ",TRUE,IF([1]DATABASE!X354&lt;0,"Negative Discount",""),IF(AND([1]DATABASE!Y354&gt;[1]DATABASE!T354,[1]DATABASE!Y354&gt;0,[1]DATABASE!T354&gt;0),"Sell Price &gt; Current",""),IF(AND(TRIM([1]DATABASE!Q354)="DEED",[1]DATABASE!AA354=""),"Deeded no PSPA Date",""),IF([1]DATABASE!E354="","Missing Typology",""),IF([1]DATABASE!AJ354="","Missing Development",""))</f>
        <v/>
      </c>
      <c r="F393" s="82" t="str">
        <f>_xlfn.TEXTJOIN("; ",TRUE,IF(AND(OR(TRIM([1]DATABASE!Q354)="RESERVED",TRIM([1]DATABASE!Q354)="PRE-RESERVED",TRIM([1]DATABASE!Q354)="PSPA"),[1]DATABASE!AA354=""),"Reserved/PSPA no PSPA Date",""),IF(AND(TRIM([1]DATABASE!Q354)="AVAILABLE",[1]DATABASE!AA354&lt;&gt;""),"Available has PSPA Date",""))</f>
        <v/>
      </c>
      <c r="G393" s="82" t="str">
        <f>_xlfn.TEXTJOIN("; ",TRUE,IF(AND([1]DATABASE!T354&lt;0.8*[1]DATABASE!S354,[1]DATABASE!T354&gt;0,[1]DATABASE!S354&gt;0),"Heavy Price Cut &gt;20%",""),IF(AND(OR(TRIM([1]DATABASE!Q354)="AVAILABLE",TRIM([1]DATABASE!Q354)="UPON REQUEST"),OR([1]DATABASE!T354="",[1]DATABASE!T354=0)),"Active Unit no Price",""),IF(AND(OR(TRIM([1]DATABASE!Q354)="AVAILABLE",TRIM([1]DATABASE!Q354)="RESERVED",TRIM([1]DATABASE!Q354)="PRE-RESERVED",TRIM([1]DATABASE!Q354)="PSPA"),[1]DATABASE!AC354=""),"Active no Owner",""),IF(OR([1]DATABASE!F354="",[1]DATABASE!F354&lt;=0),"Missing/Invalid Area",""),IF(AND([1]DATABASE!T354&gt;0,ABS([1]DATABASE!T354-[1]DATABASE!W354-[1]DATABASE!U354-[1]DATABASE!V354)&gt;1),"Price Bridge Mismatch",""))</f>
        <v/>
      </c>
      <c r="H393" t="str">
        <f t="shared" si="8"/>
        <v>PASS</v>
      </c>
      <c r="I393" s="90">
        <f>[1]DATABASE!T354</f>
        <v>1280000</v>
      </c>
      <c r="J393" t="str">
        <f>[1]DATABASE!AC354</f>
        <v>Ana Damásio</v>
      </c>
    </row>
    <row r="394" spans="1:10" ht="13.95" customHeight="1" x14ac:dyDescent="0.3">
      <c r="A394">
        <f>ROW([1]DATABASE!A355)</f>
        <v>355</v>
      </c>
      <c r="B394" t="str">
        <f>[1]DATABASE!AJ355</f>
        <v>Rivus</v>
      </c>
      <c r="C394" t="str">
        <f>[1]DATABASE!C355</f>
        <v>AD</v>
      </c>
      <c r="D394" t="str">
        <f>TRIM([1]DATABASE!Q355)</f>
        <v>RESERVED</v>
      </c>
      <c r="E394" s="82" t="str">
        <f>_xlfn.TEXTJOIN("; ",TRUE,IF([1]DATABASE!X355&lt;0,"Negative Discount",""),IF(AND([1]DATABASE!Y355&gt;[1]DATABASE!T355,[1]DATABASE!Y355&gt;0,[1]DATABASE!T355&gt;0),"Sell Price &gt; Current",""),IF(AND(TRIM([1]DATABASE!Q355)="DEED",[1]DATABASE!AA355=""),"Deeded no PSPA Date",""),IF([1]DATABASE!E355="","Missing Typology",""),IF([1]DATABASE!AJ355="","Missing Development",""))</f>
        <v/>
      </c>
      <c r="F394" s="82" t="str">
        <f>_xlfn.TEXTJOIN("; ",TRUE,IF(AND(OR(TRIM([1]DATABASE!Q355)="RESERVED",TRIM([1]DATABASE!Q355)="PRE-RESERVED",TRIM([1]DATABASE!Q355)="PSPA"),[1]DATABASE!AA355=""),"Reserved/PSPA no PSPA Date",""),IF(AND(TRIM([1]DATABASE!Q355)="AVAILABLE",[1]DATABASE!AA355&lt;&gt;""),"Available has PSPA Date",""))</f>
        <v/>
      </c>
      <c r="G394" s="82" t="str">
        <f>_xlfn.TEXTJOIN("; ",TRUE,IF(AND([1]DATABASE!T355&lt;0.8*[1]DATABASE!S355,[1]DATABASE!T355&gt;0,[1]DATABASE!S355&gt;0),"Heavy Price Cut &gt;20%",""),IF(AND(OR(TRIM([1]DATABASE!Q355)="AVAILABLE",TRIM([1]DATABASE!Q355)="UPON REQUEST"),OR([1]DATABASE!T355="",[1]DATABASE!T355=0)),"Active Unit no Price",""),IF(AND(OR(TRIM([1]DATABASE!Q355)="AVAILABLE",TRIM([1]DATABASE!Q355)="RESERVED",TRIM([1]DATABASE!Q355)="PRE-RESERVED",TRIM([1]DATABASE!Q355)="PSPA"),[1]DATABASE!AC355=""),"Active no Owner",""),IF(OR([1]DATABASE!F355="",[1]DATABASE!F355&lt;=0),"Missing/Invalid Area",""),IF(AND([1]DATABASE!T355&gt;0,ABS([1]DATABASE!T355-[1]DATABASE!W355-[1]DATABASE!U355-[1]DATABASE!V355)&gt;1),"Price Bridge Mismatch",""))</f>
        <v>Missing/Invalid Area</v>
      </c>
      <c r="H394" t="str">
        <f t="shared" si="8"/>
        <v>REVIEW</v>
      </c>
      <c r="I394" s="90">
        <f>[1]DATABASE!T355</f>
        <v>1040000</v>
      </c>
      <c r="J394" t="str">
        <f>[1]DATABASE!AC355</f>
        <v>Ana Damásio</v>
      </c>
    </row>
    <row r="395" spans="1:10" ht="13.95" customHeight="1" x14ac:dyDescent="0.3">
      <c r="A395">
        <f>ROW([1]DATABASE!A356)</f>
        <v>356</v>
      </c>
      <c r="B395" t="str">
        <f>[1]DATABASE!AJ356</f>
        <v>Rivus</v>
      </c>
      <c r="C395" t="str">
        <f>[1]DATABASE!C356</f>
        <v>AI</v>
      </c>
      <c r="D395" t="str">
        <f>TRIM([1]DATABASE!Q356)</f>
        <v>RESERVED</v>
      </c>
      <c r="E395" s="82" t="str">
        <f>_xlfn.TEXTJOIN("; ",TRUE,IF([1]DATABASE!X356&lt;0,"Negative Discount",""),IF(AND([1]DATABASE!Y356&gt;[1]DATABASE!T356,[1]DATABASE!Y356&gt;0,[1]DATABASE!T356&gt;0),"Sell Price &gt; Current",""),IF(AND(TRIM([1]DATABASE!Q356)="DEED",[1]DATABASE!AA356=""),"Deeded no PSPA Date",""),IF([1]DATABASE!E356="","Missing Typology",""),IF([1]DATABASE!AJ356="","Missing Development",""))</f>
        <v/>
      </c>
      <c r="F395" s="82" t="str">
        <f>_xlfn.TEXTJOIN("; ",TRUE,IF(AND(OR(TRIM([1]DATABASE!Q356)="RESERVED",TRIM([1]DATABASE!Q356)="PRE-RESERVED",TRIM([1]DATABASE!Q356)="PSPA"),[1]DATABASE!AA356=""),"Reserved/PSPA no PSPA Date",""),IF(AND(TRIM([1]DATABASE!Q356)="AVAILABLE",[1]DATABASE!AA356&lt;&gt;""),"Available has PSPA Date",""))</f>
        <v/>
      </c>
      <c r="G395" s="82" t="str">
        <f>_xlfn.TEXTJOIN("; ",TRUE,IF(AND([1]DATABASE!T356&lt;0.8*[1]DATABASE!S356,[1]DATABASE!T356&gt;0,[1]DATABASE!S356&gt;0),"Heavy Price Cut &gt;20%",""),IF(AND(OR(TRIM([1]DATABASE!Q356)="AVAILABLE",TRIM([1]DATABASE!Q356)="UPON REQUEST"),OR([1]DATABASE!T356="",[1]DATABASE!T356=0)),"Active Unit no Price",""),IF(AND(OR(TRIM([1]DATABASE!Q356)="AVAILABLE",TRIM([1]DATABASE!Q356)="RESERVED",TRIM([1]DATABASE!Q356)="PRE-RESERVED",TRIM([1]DATABASE!Q356)="PSPA"),[1]DATABASE!AC356=""),"Active no Owner",""),IF(OR([1]DATABASE!F356="",[1]DATABASE!F356&lt;=0),"Missing/Invalid Area",""),IF(AND([1]DATABASE!T356&gt;0,ABS([1]DATABASE!T356-[1]DATABASE!W356-[1]DATABASE!U356-[1]DATABASE!V356)&gt;1),"Price Bridge Mismatch",""))</f>
        <v>Missing/Invalid Area</v>
      </c>
      <c r="H395" t="str">
        <f t="shared" si="8"/>
        <v>REVIEW</v>
      </c>
      <c r="I395" s="90">
        <f>[1]DATABASE!T356</f>
        <v>750000</v>
      </c>
      <c r="J395" t="str">
        <f>[1]DATABASE!AC356</f>
        <v>Ana Damásio</v>
      </c>
    </row>
    <row r="396" spans="1:10" ht="13.95" customHeight="1" x14ac:dyDescent="0.3">
      <c r="A396">
        <f>ROW([1]DATABASE!A357)</f>
        <v>357</v>
      </c>
      <c r="B396" t="str">
        <f>[1]DATABASE!AJ357</f>
        <v>Rivus</v>
      </c>
      <c r="C396" t="str">
        <f>[1]DATABASE!C357</f>
        <v>P</v>
      </c>
      <c r="D396" t="str">
        <f>TRIM([1]DATABASE!Q357)</f>
        <v>RESERVED</v>
      </c>
      <c r="E396" s="82" t="str">
        <f>_xlfn.TEXTJOIN("; ",TRUE,IF([1]DATABASE!X357&lt;0,"Negative Discount",""),IF(AND([1]DATABASE!Y357&gt;[1]DATABASE!T357,[1]DATABASE!Y357&gt;0,[1]DATABASE!T357&gt;0),"Sell Price &gt; Current",""),IF(AND(TRIM([1]DATABASE!Q357)="DEED",[1]DATABASE!AA357=""),"Deeded no PSPA Date",""),IF([1]DATABASE!E357="","Missing Typology",""),IF([1]DATABASE!AJ357="","Missing Development",""))</f>
        <v/>
      </c>
      <c r="F396" s="82" t="str">
        <f>_xlfn.TEXTJOIN("; ",TRUE,IF(AND(OR(TRIM([1]DATABASE!Q357)="RESERVED",TRIM([1]DATABASE!Q357)="PRE-RESERVED",TRIM([1]DATABASE!Q357)="PSPA"),[1]DATABASE!AA357=""),"Reserved/PSPA no PSPA Date",""),IF(AND(TRIM([1]DATABASE!Q357)="AVAILABLE",[1]DATABASE!AA357&lt;&gt;""),"Available has PSPA Date",""))</f>
        <v/>
      </c>
      <c r="G396" s="82" t="str">
        <f>_xlfn.TEXTJOIN("; ",TRUE,IF(AND([1]DATABASE!T357&lt;0.8*[1]DATABASE!S357,[1]DATABASE!T357&gt;0,[1]DATABASE!S357&gt;0),"Heavy Price Cut &gt;20%",""),IF(AND(OR(TRIM([1]DATABASE!Q357)="AVAILABLE",TRIM([1]DATABASE!Q357)="UPON REQUEST"),OR([1]DATABASE!T357="",[1]DATABASE!T357=0)),"Active Unit no Price",""),IF(AND(OR(TRIM([1]DATABASE!Q357)="AVAILABLE",TRIM([1]DATABASE!Q357)="RESERVED",TRIM([1]DATABASE!Q357)="PRE-RESERVED",TRIM([1]DATABASE!Q357)="PSPA"),[1]DATABASE!AC357=""),"Active no Owner",""),IF(OR([1]DATABASE!F357="",[1]DATABASE!F357&lt;=0),"Missing/Invalid Area",""),IF(AND([1]DATABASE!T357&gt;0,ABS([1]DATABASE!T357-[1]DATABASE!W357-[1]DATABASE!U357-[1]DATABASE!V357)&gt;1),"Price Bridge Mismatch",""))</f>
        <v>Missing/Invalid Area</v>
      </c>
      <c r="H396" t="str">
        <f t="shared" si="8"/>
        <v>REVIEW</v>
      </c>
      <c r="I396" s="90">
        <f>[1]DATABASE!T357</f>
        <v>780000</v>
      </c>
      <c r="J396" t="str">
        <f>[1]DATABASE!AC357</f>
        <v>Ana Damásio</v>
      </c>
    </row>
    <row r="397" spans="1:10" ht="13.95" customHeight="1" x14ac:dyDescent="0.3">
      <c r="A397">
        <f>ROW([1]DATABASE!A358)</f>
        <v>358</v>
      </c>
      <c r="B397" t="str">
        <f>[1]DATABASE!AJ358</f>
        <v>Rivus</v>
      </c>
      <c r="C397" t="str">
        <f>[1]DATABASE!C358</f>
        <v>S</v>
      </c>
      <c r="D397" t="str">
        <f>TRIM([1]DATABASE!Q358)</f>
        <v>RESERVED</v>
      </c>
      <c r="E397" s="82" t="str">
        <f>_xlfn.TEXTJOIN("; ",TRUE,IF([1]DATABASE!X358&lt;0,"Negative Discount",""),IF(AND([1]DATABASE!Y358&gt;[1]DATABASE!T358,[1]DATABASE!Y358&gt;0,[1]DATABASE!T358&gt;0),"Sell Price &gt; Current",""),IF(AND(TRIM([1]DATABASE!Q358)="DEED",[1]DATABASE!AA358=""),"Deeded no PSPA Date",""),IF([1]DATABASE!E358="","Missing Typology",""),IF([1]DATABASE!AJ358="","Missing Development",""))</f>
        <v/>
      </c>
      <c r="F397" s="82" t="str">
        <f>_xlfn.TEXTJOIN("; ",TRUE,IF(AND(OR(TRIM([1]DATABASE!Q358)="RESERVED",TRIM([1]DATABASE!Q358)="PRE-RESERVED",TRIM([1]DATABASE!Q358)="PSPA"),[1]DATABASE!AA358=""),"Reserved/PSPA no PSPA Date",""),IF(AND(TRIM([1]DATABASE!Q358)="AVAILABLE",[1]DATABASE!AA358&lt;&gt;""),"Available has PSPA Date",""))</f>
        <v/>
      </c>
      <c r="G397" s="82" t="str">
        <f>_xlfn.TEXTJOIN("; ",TRUE,IF(AND([1]DATABASE!T358&lt;0.8*[1]DATABASE!S358,[1]DATABASE!T358&gt;0,[1]DATABASE!S358&gt;0),"Heavy Price Cut &gt;20%",""),IF(AND(OR(TRIM([1]DATABASE!Q358)="AVAILABLE",TRIM([1]DATABASE!Q358)="UPON REQUEST"),OR([1]DATABASE!T358="",[1]DATABASE!T358=0)),"Active Unit no Price",""),IF(AND(OR(TRIM([1]DATABASE!Q358)="AVAILABLE",TRIM([1]DATABASE!Q358)="RESERVED",TRIM([1]DATABASE!Q358)="PRE-RESERVED",TRIM([1]DATABASE!Q358)="PSPA"),[1]DATABASE!AC358=""),"Active no Owner",""),IF(OR([1]DATABASE!F358="",[1]DATABASE!F358&lt;=0),"Missing/Invalid Area",""),IF(AND([1]DATABASE!T358&gt;0,ABS([1]DATABASE!T358-[1]DATABASE!W358-[1]DATABASE!U358-[1]DATABASE!V358)&gt;1),"Price Bridge Mismatch",""))</f>
        <v>Missing/Invalid Area</v>
      </c>
      <c r="H397" t="str">
        <f t="shared" si="8"/>
        <v>REVIEW</v>
      </c>
      <c r="I397" s="90">
        <f>[1]DATABASE!T358</f>
        <v>670000</v>
      </c>
      <c r="J397" t="str">
        <f>[1]DATABASE!AC358</f>
        <v>Ana Damásio</v>
      </c>
    </row>
    <row r="398" spans="1:10" ht="13.95" customHeight="1" x14ac:dyDescent="0.3">
      <c r="A398">
        <f>ROW([1]DATABASE!A359)</f>
        <v>359</v>
      </c>
      <c r="B398" t="str">
        <f>[1]DATABASE!AJ359</f>
        <v>Rivus</v>
      </c>
      <c r="C398" t="str">
        <f>[1]DATABASE!C359</f>
        <v>AE</v>
      </c>
      <c r="D398" t="str">
        <f>TRIM([1]DATABASE!Q359)</f>
        <v>PSPA</v>
      </c>
      <c r="E398" s="82" t="str">
        <f>_xlfn.TEXTJOIN("; ",TRUE,IF([1]DATABASE!X359&lt;0,"Negative Discount",""),IF(AND([1]DATABASE!Y359&gt;[1]DATABASE!T359,[1]DATABASE!Y359&gt;0,[1]DATABASE!T359&gt;0),"Sell Price &gt; Current",""),IF(AND(TRIM([1]DATABASE!Q359)="DEED",[1]DATABASE!AA359=""),"Deeded no PSPA Date",""),IF([1]DATABASE!E359="","Missing Typology",""),IF([1]DATABASE!AJ359="","Missing Development",""))</f>
        <v/>
      </c>
      <c r="F398" s="82" t="str">
        <f>_xlfn.TEXTJOIN("; ",TRUE,IF(AND(OR(TRIM([1]DATABASE!Q359)="RESERVED",TRIM([1]DATABASE!Q359)="PRE-RESERVED",TRIM([1]DATABASE!Q359)="PSPA"),[1]DATABASE!AA359=""),"Reserved/PSPA no PSPA Date",""),IF(AND(TRIM([1]DATABASE!Q359)="AVAILABLE",[1]DATABASE!AA359&lt;&gt;""),"Available has PSPA Date",""))</f>
        <v/>
      </c>
      <c r="G398" s="82" t="str">
        <f>_xlfn.TEXTJOIN("; ",TRUE,IF(AND([1]DATABASE!T359&lt;0.8*[1]DATABASE!S359,[1]DATABASE!T359&gt;0,[1]DATABASE!S359&gt;0),"Heavy Price Cut &gt;20%",""),IF(AND(OR(TRIM([1]DATABASE!Q359)="AVAILABLE",TRIM([1]DATABASE!Q359)="UPON REQUEST"),OR([1]DATABASE!T359="",[1]DATABASE!T359=0)),"Active Unit no Price",""),IF(AND(OR(TRIM([1]DATABASE!Q359)="AVAILABLE",TRIM([1]DATABASE!Q359)="RESERVED",TRIM([1]DATABASE!Q359)="PRE-RESERVED",TRIM([1]DATABASE!Q359)="PSPA"),[1]DATABASE!AC359=""),"Active no Owner",""),IF(OR([1]DATABASE!F359="",[1]DATABASE!F359&lt;=0),"Missing/Invalid Area",""),IF(AND([1]DATABASE!T359&gt;0,ABS([1]DATABASE!T359-[1]DATABASE!W359-[1]DATABASE!U359-[1]DATABASE!V359)&gt;1),"Price Bridge Mismatch",""))</f>
        <v>Missing/Invalid Area</v>
      </c>
      <c r="H398" t="str">
        <f t="shared" si="8"/>
        <v>REVIEW</v>
      </c>
      <c r="I398" s="90">
        <f>[1]DATABASE!T359</f>
        <v>1280000</v>
      </c>
      <c r="J398" t="str">
        <f>[1]DATABASE!AC359</f>
        <v>Ana Damásio</v>
      </c>
    </row>
    <row r="399" spans="1:10" ht="13.95" customHeight="1" x14ac:dyDescent="0.3">
      <c r="A399">
        <f>ROW([1]DATABASE!A360)</f>
        <v>360</v>
      </c>
      <c r="B399" t="str">
        <f>[1]DATABASE!AJ360</f>
        <v>Rivus</v>
      </c>
      <c r="C399" t="str">
        <f>[1]DATABASE!C360</f>
        <v>AH</v>
      </c>
      <c r="D399" t="str">
        <f>TRIM([1]DATABASE!Q360)</f>
        <v>PSPA</v>
      </c>
      <c r="E399" s="82" t="str">
        <f>_xlfn.TEXTJOIN("; ",TRUE,IF([1]DATABASE!X360&lt;0,"Negative Discount",""),IF(AND([1]DATABASE!Y360&gt;[1]DATABASE!T360,[1]DATABASE!Y360&gt;0,[1]DATABASE!T360&gt;0),"Sell Price &gt; Current",""),IF(AND(TRIM([1]DATABASE!Q360)="DEED",[1]DATABASE!AA360=""),"Deeded no PSPA Date",""),IF([1]DATABASE!E360="","Missing Typology",""),IF([1]DATABASE!AJ360="","Missing Development",""))</f>
        <v/>
      </c>
      <c r="F399" s="82" t="str">
        <f>_xlfn.TEXTJOIN("; ",TRUE,IF(AND(OR(TRIM([1]DATABASE!Q360)="RESERVED",TRIM([1]DATABASE!Q360)="PRE-RESERVED",TRIM([1]DATABASE!Q360)="PSPA"),[1]DATABASE!AA360=""),"Reserved/PSPA no PSPA Date",""),IF(AND(TRIM([1]DATABASE!Q360)="AVAILABLE",[1]DATABASE!AA360&lt;&gt;""),"Available has PSPA Date",""))</f>
        <v/>
      </c>
      <c r="G399" s="82" t="str">
        <f>_xlfn.TEXTJOIN("; ",TRUE,IF(AND([1]DATABASE!T360&lt;0.8*[1]DATABASE!S360,[1]DATABASE!T360&gt;0,[1]DATABASE!S360&gt;0),"Heavy Price Cut &gt;20%",""),IF(AND(OR(TRIM([1]DATABASE!Q360)="AVAILABLE",TRIM([1]DATABASE!Q360)="UPON REQUEST"),OR([1]DATABASE!T360="",[1]DATABASE!T360=0)),"Active Unit no Price",""),IF(AND(OR(TRIM([1]DATABASE!Q360)="AVAILABLE",TRIM([1]DATABASE!Q360)="RESERVED",TRIM([1]DATABASE!Q360)="PRE-RESERVED",TRIM([1]DATABASE!Q360)="PSPA"),[1]DATABASE!AC360=""),"Active no Owner",""),IF(OR([1]DATABASE!F360="",[1]DATABASE!F360&lt;=0),"Missing/Invalid Area",""),IF(AND([1]DATABASE!T360&gt;0,ABS([1]DATABASE!T360-[1]DATABASE!W360-[1]DATABASE!U360-[1]DATABASE!V360)&gt;1),"Price Bridge Mismatch",""))</f>
        <v>Missing/Invalid Area</v>
      </c>
      <c r="H399" t="str">
        <f t="shared" si="8"/>
        <v>REVIEW</v>
      </c>
      <c r="I399" s="90">
        <f>[1]DATABASE!T360</f>
        <v>860000</v>
      </c>
      <c r="J399" t="str">
        <f>[1]DATABASE!AC360</f>
        <v>Ana Damásio</v>
      </c>
    </row>
    <row r="400" spans="1:10" ht="13.95" customHeight="1" x14ac:dyDescent="0.3">
      <c r="A400">
        <f>ROW([1]DATABASE!A361)</f>
        <v>361</v>
      </c>
      <c r="B400" t="str">
        <f>[1]DATABASE!AJ361</f>
        <v>Nobilus</v>
      </c>
      <c r="C400" t="str">
        <f>[1]DATABASE!C361</f>
        <v>I</v>
      </c>
      <c r="D400" t="str">
        <f>TRIM([1]DATABASE!Q361)</f>
        <v>PSPA</v>
      </c>
      <c r="E400" s="82" t="str">
        <f>_xlfn.TEXTJOIN("; ",TRUE,IF([1]DATABASE!X361&lt;0,"Negative Discount",""),IF(AND([1]DATABASE!Y361&gt;[1]DATABASE!T361,[1]DATABASE!Y361&gt;0,[1]DATABASE!T361&gt;0),"Sell Price &gt; Current",""),IF(AND(TRIM([1]DATABASE!Q361)="DEED",[1]DATABASE!AA361=""),"Deeded no PSPA Date",""),IF([1]DATABASE!E361="","Missing Typology",""),IF([1]DATABASE!AJ361="","Missing Development",""))</f>
        <v/>
      </c>
      <c r="F400" s="82" t="str">
        <f>_xlfn.TEXTJOIN("; ",TRUE,IF(AND(OR(TRIM([1]DATABASE!Q361)="RESERVED",TRIM([1]DATABASE!Q361)="PRE-RESERVED",TRIM([1]DATABASE!Q361)="PSPA"),[1]DATABASE!AA361=""),"Reserved/PSPA no PSPA Date",""),IF(AND(TRIM([1]DATABASE!Q361)="AVAILABLE",[1]DATABASE!AA361&lt;&gt;""),"Available has PSPA Date",""))</f>
        <v/>
      </c>
      <c r="G400" s="82" t="str">
        <f>_xlfn.TEXTJOIN("; ",TRUE,IF(AND([1]DATABASE!T361&lt;0.8*[1]DATABASE!S361,[1]DATABASE!T361&gt;0,[1]DATABASE!S361&gt;0),"Heavy Price Cut &gt;20%",""),IF(AND(OR(TRIM([1]DATABASE!Q361)="AVAILABLE",TRIM([1]DATABASE!Q361)="UPON REQUEST"),OR([1]DATABASE!T361="",[1]DATABASE!T361=0)),"Active Unit no Price",""),IF(AND(OR(TRIM([1]DATABASE!Q361)="AVAILABLE",TRIM([1]DATABASE!Q361)="RESERVED",TRIM([1]DATABASE!Q361)="PRE-RESERVED",TRIM([1]DATABASE!Q361)="PSPA"),[1]DATABASE!AC361=""),"Active no Owner",""),IF(OR([1]DATABASE!F361="",[1]DATABASE!F361&lt;=0),"Missing/Invalid Area",""),IF(AND([1]DATABASE!T361&gt;0,ABS([1]DATABASE!T361-[1]DATABASE!W361-[1]DATABASE!U361-[1]DATABASE!V361)&gt;1),"Price Bridge Mismatch",""))</f>
        <v/>
      </c>
      <c r="H400" t="str">
        <f t="shared" si="8"/>
        <v>PASS</v>
      </c>
      <c r="I400" s="90">
        <f>[1]DATABASE!T361</f>
        <v>1130000</v>
      </c>
      <c r="J400" t="str">
        <f>[1]DATABASE!AC361</f>
        <v>Ana Damásio</v>
      </c>
    </row>
    <row r="401" spans="1:10" ht="13.95" customHeight="1" x14ac:dyDescent="0.3">
      <c r="A401">
        <f>ROW([1]DATABASE!A362)</f>
        <v>362</v>
      </c>
      <c r="B401" t="str">
        <f>[1]DATABASE!AJ362</f>
        <v>Rivus</v>
      </c>
      <c r="C401" t="str">
        <f>[1]DATABASE!C362</f>
        <v>AC</v>
      </c>
      <c r="D401" t="str">
        <f>TRIM([1]DATABASE!Q362)</f>
        <v>RESERVED</v>
      </c>
      <c r="E401" s="82" t="str">
        <f>_xlfn.TEXTJOIN("; ",TRUE,IF([1]DATABASE!X362&lt;0,"Negative Discount",""),IF(AND([1]DATABASE!Y362&gt;[1]DATABASE!T362,[1]DATABASE!Y362&gt;0,[1]DATABASE!T362&gt;0),"Sell Price &gt; Current",""),IF(AND(TRIM([1]DATABASE!Q362)="DEED",[1]DATABASE!AA362=""),"Deeded no PSPA Date",""),IF([1]DATABASE!E362="","Missing Typology",""),IF([1]DATABASE!AJ362="","Missing Development",""))</f>
        <v/>
      </c>
      <c r="F401" s="82" t="str">
        <f>_xlfn.TEXTJOIN("; ",TRUE,IF(AND(OR(TRIM([1]DATABASE!Q362)="RESERVED",TRIM([1]DATABASE!Q362)="PRE-RESERVED",TRIM([1]DATABASE!Q362)="PSPA"),[1]DATABASE!AA362=""),"Reserved/PSPA no PSPA Date",""),IF(AND(TRIM([1]DATABASE!Q362)="AVAILABLE",[1]DATABASE!AA362&lt;&gt;""),"Available has PSPA Date",""))</f>
        <v>Reserved/PSPA no PSPA Date</v>
      </c>
      <c r="G401" s="82" t="str">
        <f>_xlfn.TEXTJOIN("; ",TRUE,IF(AND([1]DATABASE!T362&lt;0.8*[1]DATABASE!S362,[1]DATABASE!T362&gt;0,[1]DATABASE!S362&gt;0),"Heavy Price Cut &gt;20%",""),IF(AND(OR(TRIM([1]DATABASE!Q362)="AVAILABLE",TRIM([1]DATABASE!Q362)="UPON REQUEST"),OR([1]DATABASE!T362="",[1]DATABASE!T362=0)),"Active Unit no Price",""),IF(AND(OR(TRIM([1]DATABASE!Q362)="AVAILABLE",TRIM([1]DATABASE!Q362)="RESERVED",TRIM([1]DATABASE!Q362)="PRE-RESERVED",TRIM([1]DATABASE!Q362)="PSPA"),[1]DATABASE!AC362=""),"Active no Owner",""),IF(OR([1]DATABASE!F362="",[1]DATABASE!F362&lt;=0),"Missing/Invalid Area",""),IF(AND([1]DATABASE!T362&gt;0,ABS([1]DATABASE!T362-[1]DATABASE!W362-[1]DATABASE!U362-[1]DATABASE!V362)&gt;1),"Price Bridge Mismatch",""))</f>
        <v>Missing/Invalid Area</v>
      </c>
      <c r="H401" t="str">
        <f t="shared" si="8"/>
        <v>REVIEW</v>
      </c>
      <c r="I401" s="90">
        <f>[1]DATABASE!T362</f>
        <v>750000</v>
      </c>
      <c r="J401" t="str">
        <f>[1]DATABASE!AC362</f>
        <v>Ana Damásio</v>
      </c>
    </row>
    <row r="402" spans="1:10" ht="13.95" customHeight="1" x14ac:dyDescent="0.3">
      <c r="A402">
        <f>ROW([1]DATABASE!A363)</f>
        <v>363</v>
      </c>
      <c r="B402" t="str">
        <f>[1]DATABASE!AJ363</f>
        <v>Palmares</v>
      </c>
      <c r="C402" t="str">
        <f>[1]DATABASE!C363</f>
        <v>22</v>
      </c>
      <c r="D402" t="str">
        <f>TRIM([1]DATABASE!Q363)</f>
        <v>DEED</v>
      </c>
      <c r="E402" s="82" t="str">
        <f>_xlfn.TEXTJOIN("; ",TRUE,IF([1]DATABASE!X363&lt;0,"Negative Discount",""),IF(AND([1]DATABASE!Y363&gt;[1]DATABASE!T363,[1]DATABASE!Y363&gt;0,[1]DATABASE!T363&gt;0),"Sell Price &gt; Current",""),IF(AND(TRIM([1]DATABASE!Q363)="DEED",[1]DATABASE!AA363=""),"Deeded no PSPA Date",""),IF([1]DATABASE!E363="","Missing Typology",""),IF([1]DATABASE!AJ363="","Missing Development",""))</f>
        <v/>
      </c>
      <c r="F402" s="82" t="str">
        <f>_xlfn.TEXTJOIN("; ",TRUE,IF(AND(OR(TRIM([1]DATABASE!Q363)="RESERVED",TRIM([1]DATABASE!Q363)="PRE-RESERVED",TRIM([1]DATABASE!Q363)="PSPA"),[1]DATABASE!AA363=""),"Reserved/PSPA no PSPA Date",""),IF(AND(TRIM([1]DATABASE!Q363)="AVAILABLE",[1]DATABASE!AA363&lt;&gt;""),"Available has PSPA Date",""))</f>
        <v/>
      </c>
      <c r="G402" s="82" t="str">
        <f>_xlfn.TEXTJOIN("; ",TRUE,IF(AND([1]DATABASE!T363&lt;0.8*[1]DATABASE!S363,[1]DATABASE!T363&gt;0,[1]DATABASE!S363&gt;0),"Heavy Price Cut &gt;20%",""),IF(AND(OR(TRIM([1]DATABASE!Q363)="AVAILABLE",TRIM([1]DATABASE!Q363)="UPON REQUEST"),OR([1]DATABASE!T363="",[1]DATABASE!T363=0)),"Active Unit no Price",""),IF(AND(OR(TRIM([1]DATABASE!Q363)="AVAILABLE",TRIM([1]DATABASE!Q363)="RESERVED",TRIM([1]DATABASE!Q363)="PRE-RESERVED",TRIM([1]DATABASE!Q363)="PSPA"),[1]DATABASE!AC363=""),"Active no Owner",""),IF(OR([1]DATABASE!F363="",[1]DATABASE!F363&lt;=0),"Missing/Invalid Area",""),IF(AND([1]DATABASE!T363&gt;0,ABS([1]DATABASE!T363-[1]DATABASE!W363-[1]DATABASE!U363-[1]DATABASE!V363)&gt;1),"Price Bridge Mismatch",""))</f>
        <v/>
      </c>
      <c r="H402" t="str">
        <f t="shared" si="8"/>
        <v>PASS</v>
      </c>
      <c r="I402" s="90">
        <f>[1]DATABASE!T363</f>
        <v>1750000</v>
      </c>
      <c r="J402" t="str">
        <f>[1]DATABASE!AC363</f>
        <v>Sandra Viegas</v>
      </c>
    </row>
    <row r="403" spans="1:10" ht="13.95" customHeight="1" x14ac:dyDescent="0.3">
      <c r="A403">
        <f>ROW([1]DATABASE!A364)</f>
        <v>364</v>
      </c>
      <c r="B403" t="str">
        <f>[1]DATABASE!AJ364</f>
        <v>Natura Village</v>
      </c>
      <c r="C403" t="str">
        <f>[1]DATABASE!C364</f>
        <v>G</v>
      </c>
      <c r="D403" t="str">
        <f>TRIM([1]DATABASE!Q364)</f>
        <v>DEED</v>
      </c>
      <c r="E403" s="82" t="str">
        <f>_xlfn.TEXTJOIN("; ",TRUE,IF([1]DATABASE!X364&lt;0,"Negative Discount",""),IF(AND([1]DATABASE!Y364&gt;[1]DATABASE!T364,[1]DATABASE!Y364&gt;0,[1]DATABASE!T364&gt;0),"Sell Price &gt; Current",""),IF(AND(TRIM([1]DATABASE!Q364)="DEED",[1]DATABASE!AA364=""),"Deeded no PSPA Date",""),IF([1]DATABASE!E364="","Missing Typology",""),IF([1]DATABASE!AJ364="","Missing Development",""))</f>
        <v/>
      </c>
      <c r="F403" s="82" t="str">
        <f>_xlfn.TEXTJOIN("; ",TRUE,IF(AND(OR(TRIM([1]DATABASE!Q364)="RESERVED",TRIM([1]DATABASE!Q364)="PRE-RESERVED",TRIM([1]DATABASE!Q364)="PSPA"),[1]DATABASE!AA364=""),"Reserved/PSPA no PSPA Date",""),IF(AND(TRIM([1]DATABASE!Q364)="AVAILABLE",[1]DATABASE!AA364&lt;&gt;""),"Available has PSPA Date",""))</f>
        <v/>
      </c>
      <c r="G403" s="82" t="str">
        <f>_xlfn.TEXTJOIN("; ",TRUE,IF(AND([1]DATABASE!T364&lt;0.8*[1]DATABASE!S364,[1]DATABASE!T364&gt;0,[1]DATABASE!S364&gt;0),"Heavy Price Cut &gt;20%",""),IF(AND(OR(TRIM([1]DATABASE!Q364)="AVAILABLE",TRIM([1]DATABASE!Q364)="UPON REQUEST"),OR([1]DATABASE!T364="",[1]DATABASE!T364=0)),"Active Unit no Price",""),IF(AND(OR(TRIM([1]DATABASE!Q364)="AVAILABLE",TRIM([1]DATABASE!Q364)="RESERVED",TRIM([1]DATABASE!Q364)="PRE-RESERVED",TRIM([1]DATABASE!Q364)="PSPA"),[1]DATABASE!AC364=""),"Active no Owner",""),IF(OR([1]DATABASE!F364="",[1]DATABASE!F364&lt;=0),"Missing/Invalid Area",""),IF(AND([1]DATABASE!T364&gt;0,ABS([1]DATABASE!T364-[1]DATABASE!W364-[1]DATABASE!U364-[1]DATABASE!V364)&gt;1),"Price Bridge Mismatch",""))</f>
        <v/>
      </c>
      <c r="H403" t="str">
        <f t="shared" si="8"/>
        <v>PASS</v>
      </c>
      <c r="I403" s="90">
        <f>[1]DATABASE!T364</f>
        <v>860000</v>
      </c>
      <c r="J403" t="str">
        <f>[1]DATABASE!AC364</f>
        <v>Ana Damásio</v>
      </c>
    </row>
    <row r="404" spans="1:10" ht="13.95" customHeight="1" x14ac:dyDescent="0.3">
      <c r="A404">
        <f>ROW([1]DATABASE!A365)</f>
        <v>365</v>
      </c>
      <c r="B404" t="str">
        <f>[1]DATABASE!AJ365</f>
        <v>Nobilus</v>
      </c>
      <c r="C404" t="str">
        <f>[1]DATABASE!C365</f>
        <v>H</v>
      </c>
      <c r="D404" t="str">
        <f>TRIM([1]DATABASE!Q365)</f>
        <v>PSPA</v>
      </c>
      <c r="E404" s="82" t="str">
        <f>_xlfn.TEXTJOIN("; ",TRUE,IF([1]DATABASE!X365&lt;0,"Negative Discount",""),IF(AND([1]DATABASE!Y365&gt;[1]DATABASE!T365,[1]DATABASE!Y365&gt;0,[1]DATABASE!T365&gt;0),"Sell Price &gt; Current",""),IF(AND(TRIM([1]DATABASE!Q365)="DEED",[1]DATABASE!AA365=""),"Deeded no PSPA Date",""),IF([1]DATABASE!E365="","Missing Typology",""),IF([1]DATABASE!AJ365="","Missing Development",""))</f>
        <v/>
      </c>
      <c r="F404" s="82" t="str">
        <f>_xlfn.TEXTJOIN("; ",TRUE,IF(AND(OR(TRIM([1]DATABASE!Q365)="RESERVED",TRIM([1]DATABASE!Q365)="PRE-RESERVED",TRIM([1]DATABASE!Q365)="PSPA"),[1]DATABASE!AA365=""),"Reserved/PSPA no PSPA Date",""),IF(AND(TRIM([1]DATABASE!Q365)="AVAILABLE",[1]DATABASE!AA365&lt;&gt;""),"Available has PSPA Date",""))</f>
        <v/>
      </c>
      <c r="G404" s="82" t="str">
        <f>_xlfn.TEXTJOIN("; ",TRUE,IF(AND([1]DATABASE!T365&lt;0.8*[1]DATABASE!S365,[1]DATABASE!T365&gt;0,[1]DATABASE!S365&gt;0),"Heavy Price Cut &gt;20%",""),IF(AND(OR(TRIM([1]DATABASE!Q365)="AVAILABLE",TRIM([1]DATABASE!Q365)="UPON REQUEST"),OR([1]DATABASE!T365="",[1]DATABASE!T365=0)),"Active Unit no Price",""),IF(AND(OR(TRIM([1]DATABASE!Q365)="AVAILABLE",TRIM([1]DATABASE!Q365)="RESERVED",TRIM([1]DATABASE!Q365)="PRE-RESERVED",TRIM([1]DATABASE!Q365)="PSPA"),[1]DATABASE!AC365=""),"Active no Owner",""),IF(OR([1]DATABASE!F365="",[1]DATABASE!F365&lt;=0),"Missing/Invalid Area",""),IF(AND([1]DATABASE!T365&gt;0,ABS([1]DATABASE!T365-[1]DATABASE!W365-[1]DATABASE!U365-[1]DATABASE!V365)&gt;1),"Price Bridge Mismatch",""))</f>
        <v/>
      </c>
      <c r="H404" t="str">
        <f t="shared" si="8"/>
        <v>PASS</v>
      </c>
      <c r="I404" s="90">
        <f>[1]DATABASE!T365</f>
        <v>1170000</v>
      </c>
      <c r="J404" t="str">
        <f>[1]DATABASE!AC365</f>
        <v>Ana Damásio</v>
      </c>
    </row>
    <row r="405" spans="1:10" ht="13.95" customHeight="1" x14ac:dyDescent="0.3">
      <c r="A405">
        <f>ROW([1]DATABASE!A366)</f>
        <v>366</v>
      </c>
      <c r="B405" t="str">
        <f>[1]DATABASE!AJ366</f>
        <v>Botanica</v>
      </c>
      <c r="C405" t="str">
        <f>[1]DATABASE!C366</f>
        <v>BC</v>
      </c>
      <c r="D405" t="str">
        <f>TRIM([1]DATABASE!Q366)</f>
        <v>RESERVED</v>
      </c>
      <c r="E405" s="82" t="str">
        <f>_xlfn.TEXTJOIN("; ",TRUE,IF([1]DATABASE!X366&lt;0,"Negative Discount",""),IF(AND([1]DATABASE!Y366&gt;[1]DATABASE!T366,[1]DATABASE!Y366&gt;0,[1]DATABASE!T366&gt;0),"Sell Price &gt; Current",""),IF(AND(TRIM([1]DATABASE!Q366)="DEED",[1]DATABASE!AA366=""),"Deeded no PSPA Date",""),IF([1]DATABASE!E366="","Missing Typology",""),IF([1]DATABASE!AJ366="","Missing Development",""))</f>
        <v/>
      </c>
      <c r="F405" s="82" t="str">
        <f>_xlfn.TEXTJOIN("; ",TRUE,IF(AND(OR(TRIM([1]DATABASE!Q366)="RESERVED",TRIM([1]DATABASE!Q366)="PRE-RESERVED",TRIM([1]DATABASE!Q366)="PSPA"),[1]DATABASE!AA366=""),"Reserved/PSPA no PSPA Date",""),IF(AND(TRIM([1]DATABASE!Q366)="AVAILABLE",[1]DATABASE!AA366&lt;&gt;""),"Available has PSPA Date",""))</f>
        <v>Reserved/PSPA no PSPA Date</v>
      </c>
      <c r="G405" s="82" t="str">
        <f>_xlfn.TEXTJOIN("; ",TRUE,IF(AND([1]DATABASE!T366&lt;0.8*[1]DATABASE!S366,[1]DATABASE!T366&gt;0,[1]DATABASE!S366&gt;0),"Heavy Price Cut &gt;20%",""),IF(AND(OR(TRIM([1]DATABASE!Q366)="AVAILABLE",TRIM([1]DATABASE!Q366)="UPON REQUEST"),OR([1]DATABASE!T366="",[1]DATABASE!T366=0)),"Active Unit no Price",""),IF(AND(OR(TRIM([1]DATABASE!Q366)="AVAILABLE",TRIM([1]DATABASE!Q366)="RESERVED",TRIM([1]DATABASE!Q366)="PRE-RESERVED",TRIM([1]DATABASE!Q366)="PSPA"),[1]DATABASE!AC366=""),"Active no Owner",""),IF(OR([1]DATABASE!F366="",[1]DATABASE!F366&lt;=0),"Missing/Invalid Area",""),IF(AND([1]DATABASE!T366&gt;0,ABS([1]DATABASE!T366-[1]DATABASE!W366-[1]DATABASE!U366-[1]DATABASE!V366)&gt;1),"Price Bridge Mismatch",""))</f>
        <v/>
      </c>
      <c r="H405" t="str">
        <f t="shared" si="8"/>
        <v>REVIEW</v>
      </c>
      <c r="I405" s="90">
        <f>[1]DATABASE!T366</f>
        <v>1800000</v>
      </c>
      <c r="J405" t="str">
        <f>[1]DATABASE!AC366</f>
        <v>Ana Damásio</v>
      </c>
    </row>
    <row r="406" spans="1:10" ht="13.95" customHeight="1" x14ac:dyDescent="0.3">
      <c r="A406">
        <f>ROW([1]DATABASE!A367)</f>
        <v>367</v>
      </c>
      <c r="B406" t="str">
        <f>[1]DATABASE!AJ367</f>
        <v>Botanica</v>
      </c>
      <c r="C406" t="str">
        <f>[1]DATABASE!C367</f>
        <v>AF</v>
      </c>
      <c r="D406" t="str">
        <f>TRIM([1]DATABASE!Q367)</f>
        <v>PSPA</v>
      </c>
      <c r="E406" s="82" t="str">
        <f>_xlfn.TEXTJOIN("; ",TRUE,IF([1]DATABASE!X367&lt;0,"Negative Discount",""),IF(AND([1]DATABASE!Y367&gt;[1]DATABASE!T367,[1]DATABASE!Y367&gt;0,[1]DATABASE!T367&gt;0),"Sell Price &gt; Current",""),IF(AND(TRIM([1]DATABASE!Q367)="DEED",[1]DATABASE!AA367=""),"Deeded no PSPA Date",""),IF([1]DATABASE!E367="","Missing Typology",""),IF([1]DATABASE!AJ367="","Missing Development",""))</f>
        <v/>
      </c>
      <c r="F406" s="82" t="str">
        <f>_xlfn.TEXTJOIN("; ",TRUE,IF(AND(OR(TRIM([1]DATABASE!Q367)="RESERVED",TRIM([1]DATABASE!Q367)="PRE-RESERVED",TRIM([1]DATABASE!Q367)="PSPA"),[1]DATABASE!AA367=""),"Reserved/PSPA no PSPA Date",""),IF(AND(TRIM([1]DATABASE!Q367)="AVAILABLE",[1]DATABASE!AA367&lt;&gt;""),"Available has PSPA Date",""))</f>
        <v/>
      </c>
      <c r="G406" s="82" t="str">
        <f>_xlfn.TEXTJOIN("; ",TRUE,IF(AND([1]DATABASE!T367&lt;0.8*[1]DATABASE!S367,[1]DATABASE!T367&gt;0,[1]DATABASE!S367&gt;0),"Heavy Price Cut &gt;20%",""),IF(AND(OR(TRIM([1]DATABASE!Q367)="AVAILABLE",TRIM([1]DATABASE!Q367)="UPON REQUEST"),OR([1]DATABASE!T367="",[1]DATABASE!T367=0)),"Active Unit no Price",""),IF(AND(OR(TRIM([1]DATABASE!Q367)="AVAILABLE",TRIM([1]DATABASE!Q367)="RESERVED",TRIM([1]DATABASE!Q367)="PRE-RESERVED",TRIM([1]DATABASE!Q367)="PSPA"),[1]DATABASE!AC367=""),"Active no Owner",""),IF(OR([1]DATABASE!F367="",[1]DATABASE!F367&lt;=0),"Missing/Invalid Area",""),IF(AND([1]DATABASE!T367&gt;0,ABS([1]DATABASE!T367-[1]DATABASE!W367-[1]DATABASE!U367-[1]DATABASE!V367)&gt;1),"Price Bridge Mismatch",""))</f>
        <v/>
      </c>
      <c r="H406" t="str">
        <f t="shared" si="8"/>
        <v>PASS</v>
      </c>
      <c r="I406" s="90">
        <f>[1]DATABASE!T367</f>
        <v>930000</v>
      </c>
      <c r="J406" t="str">
        <f>[1]DATABASE!AC367</f>
        <v>Ana Damásio</v>
      </c>
    </row>
    <row r="407" spans="1:10" ht="13.95" customHeight="1" x14ac:dyDescent="0.3">
      <c r="A407">
        <f>ROW([1]DATABASE!A368)</f>
        <v>368</v>
      </c>
      <c r="B407" t="str">
        <f>[1]DATABASE!AJ368</f>
        <v>Botanica</v>
      </c>
      <c r="C407" t="str">
        <f>[1]DATABASE!C368</f>
        <v>G</v>
      </c>
      <c r="D407" t="str">
        <f>TRIM([1]DATABASE!Q368)</f>
        <v>PSPA</v>
      </c>
      <c r="E407" s="82" t="str">
        <f>_xlfn.TEXTJOIN("; ",TRUE,IF([1]DATABASE!X368&lt;0,"Negative Discount",""),IF(AND([1]DATABASE!Y368&gt;[1]DATABASE!T368,[1]DATABASE!Y368&gt;0,[1]DATABASE!T368&gt;0),"Sell Price &gt; Current",""),IF(AND(TRIM([1]DATABASE!Q368)="DEED",[1]DATABASE!AA368=""),"Deeded no PSPA Date",""),IF([1]DATABASE!E368="","Missing Typology",""),IF([1]DATABASE!AJ368="","Missing Development",""))</f>
        <v/>
      </c>
      <c r="F407" s="82" t="str">
        <f>_xlfn.TEXTJOIN("; ",TRUE,IF(AND(OR(TRIM([1]DATABASE!Q368)="RESERVED",TRIM([1]DATABASE!Q368)="PRE-RESERVED",TRIM([1]DATABASE!Q368)="PSPA"),[1]DATABASE!AA368=""),"Reserved/PSPA no PSPA Date",""),IF(AND(TRIM([1]DATABASE!Q368)="AVAILABLE",[1]DATABASE!AA368&lt;&gt;""),"Available has PSPA Date",""))</f>
        <v/>
      </c>
      <c r="G407" s="82" t="str">
        <f>_xlfn.TEXTJOIN("; ",TRUE,IF(AND([1]DATABASE!T368&lt;0.8*[1]DATABASE!S368,[1]DATABASE!T368&gt;0,[1]DATABASE!S368&gt;0),"Heavy Price Cut &gt;20%",""),IF(AND(OR(TRIM([1]DATABASE!Q368)="AVAILABLE",TRIM([1]DATABASE!Q368)="UPON REQUEST"),OR([1]DATABASE!T368="",[1]DATABASE!T368=0)),"Active Unit no Price",""),IF(AND(OR(TRIM([1]DATABASE!Q368)="AVAILABLE",TRIM([1]DATABASE!Q368)="RESERVED",TRIM([1]DATABASE!Q368)="PRE-RESERVED",TRIM([1]DATABASE!Q368)="PSPA"),[1]DATABASE!AC368=""),"Active no Owner",""),IF(OR([1]DATABASE!F368="",[1]DATABASE!F368&lt;=0),"Missing/Invalid Area",""),IF(AND([1]DATABASE!T368&gt;0,ABS([1]DATABASE!T368-[1]DATABASE!W368-[1]DATABASE!U368-[1]DATABASE!V368)&gt;1),"Price Bridge Mismatch",""))</f>
        <v/>
      </c>
      <c r="H407" t="str">
        <f t="shared" si="8"/>
        <v>PASS</v>
      </c>
      <c r="I407" s="90">
        <f>[1]DATABASE!T368</f>
        <v>1050000</v>
      </c>
      <c r="J407" t="str">
        <f>[1]DATABASE!AC368</f>
        <v>Ana Damásio</v>
      </c>
    </row>
    <row r="408" spans="1:10" ht="13.95" customHeight="1" x14ac:dyDescent="0.3">
      <c r="A408">
        <f>ROW([1]DATABASE!A369)</f>
        <v>369</v>
      </c>
      <c r="B408" t="str">
        <f>[1]DATABASE!AJ369</f>
        <v>Botanica</v>
      </c>
      <c r="C408" t="str">
        <f>[1]DATABASE!C369</f>
        <v>H</v>
      </c>
      <c r="D408" t="str">
        <f>TRIM([1]DATABASE!Q369)</f>
        <v>PSPA</v>
      </c>
      <c r="E408" s="82" t="str">
        <f>_xlfn.TEXTJOIN("; ",TRUE,IF([1]DATABASE!X369&lt;0,"Negative Discount",""),IF(AND([1]DATABASE!Y369&gt;[1]DATABASE!T369,[1]DATABASE!Y369&gt;0,[1]DATABASE!T369&gt;0),"Sell Price &gt; Current",""),IF(AND(TRIM([1]DATABASE!Q369)="DEED",[1]DATABASE!AA369=""),"Deeded no PSPA Date",""),IF([1]DATABASE!E369="","Missing Typology",""),IF([1]DATABASE!AJ369="","Missing Development",""))</f>
        <v/>
      </c>
      <c r="F408" s="82" t="str">
        <f>_xlfn.TEXTJOIN("; ",TRUE,IF(AND(OR(TRIM([1]DATABASE!Q369)="RESERVED",TRIM([1]DATABASE!Q369)="PRE-RESERVED",TRIM([1]DATABASE!Q369)="PSPA"),[1]DATABASE!AA369=""),"Reserved/PSPA no PSPA Date",""),IF(AND(TRIM([1]DATABASE!Q369)="AVAILABLE",[1]DATABASE!AA369&lt;&gt;""),"Available has PSPA Date",""))</f>
        <v/>
      </c>
      <c r="G408" s="82" t="str">
        <f>_xlfn.TEXTJOIN("; ",TRUE,IF(AND([1]DATABASE!T369&lt;0.8*[1]DATABASE!S369,[1]DATABASE!T369&gt;0,[1]DATABASE!S369&gt;0),"Heavy Price Cut &gt;20%",""),IF(AND(OR(TRIM([1]DATABASE!Q369)="AVAILABLE",TRIM([1]DATABASE!Q369)="UPON REQUEST"),OR([1]DATABASE!T369="",[1]DATABASE!T369=0)),"Active Unit no Price",""),IF(AND(OR(TRIM([1]DATABASE!Q369)="AVAILABLE",TRIM([1]DATABASE!Q369)="RESERVED",TRIM([1]DATABASE!Q369)="PRE-RESERVED",TRIM([1]DATABASE!Q369)="PSPA"),[1]DATABASE!AC369=""),"Active no Owner",""),IF(OR([1]DATABASE!F369="",[1]DATABASE!F369&lt;=0),"Missing/Invalid Area",""),IF(AND([1]DATABASE!T369&gt;0,ABS([1]DATABASE!T369-[1]DATABASE!W369-[1]DATABASE!U369-[1]DATABASE!V369)&gt;1),"Price Bridge Mismatch",""))</f>
        <v/>
      </c>
      <c r="H408" t="str">
        <f t="shared" si="8"/>
        <v>PASS</v>
      </c>
      <c r="I408" s="90">
        <f>[1]DATABASE!T369</f>
        <v>1050000</v>
      </c>
      <c r="J408" t="str">
        <f>[1]DATABASE!AC369</f>
        <v>Ana Damásio</v>
      </c>
    </row>
    <row r="409" spans="1:10" ht="13.95" customHeight="1" x14ac:dyDescent="0.3">
      <c r="A409">
        <f>ROW([1]DATABASE!A370)</f>
        <v>370</v>
      </c>
      <c r="B409" t="str">
        <f>[1]DATABASE!AJ370</f>
        <v>Palmares</v>
      </c>
      <c r="C409" t="str">
        <f>[1]DATABASE!C370</f>
        <v>835B</v>
      </c>
      <c r="D409" t="str">
        <f>TRIM([1]DATABASE!Q370)</f>
        <v>PSPA</v>
      </c>
      <c r="E409" s="82" t="str">
        <f>_xlfn.TEXTJOIN("; ",TRUE,IF([1]DATABASE!X370&lt;0,"Negative Discount",""),IF(AND([1]DATABASE!Y370&gt;[1]DATABASE!T370,[1]DATABASE!Y370&gt;0,[1]DATABASE!T370&gt;0),"Sell Price &gt; Current",""),IF(AND(TRIM([1]DATABASE!Q370)="DEED",[1]DATABASE!AA370=""),"Deeded no PSPA Date",""),IF([1]DATABASE!E370="","Missing Typology",""),IF([1]DATABASE!AJ370="","Missing Development",""))</f>
        <v/>
      </c>
      <c r="F409" s="82" t="str">
        <f>_xlfn.TEXTJOIN("; ",TRUE,IF(AND(OR(TRIM([1]DATABASE!Q370)="RESERVED",TRIM([1]DATABASE!Q370)="PRE-RESERVED",TRIM([1]DATABASE!Q370)="PSPA"),[1]DATABASE!AA370=""),"Reserved/PSPA no PSPA Date",""),IF(AND(TRIM([1]DATABASE!Q370)="AVAILABLE",[1]DATABASE!AA370&lt;&gt;""),"Available has PSPA Date",""))</f>
        <v/>
      </c>
      <c r="G409" s="82" t="str">
        <f>_xlfn.TEXTJOIN("; ",TRUE,IF(AND([1]DATABASE!T370&lt;0.8*[1]DATABASE!S370,[1]DATABASE!T370&gt;0,[1]DATABASE!S370&gt;0),"Heavy Price Cut &gt;20%",""),IF(AND(OR(TRIM([1]DATABASE!Q370)="AVAILABLE",TRIM([1]DATABASE!Q370)="UPON REQUEST"),OR([1]DATABASE!T370="",[1]DATABASE!T370=0)),"Active Unit no Price",""),IF(AND(OR(TRIM([1]DATABASE!Q370)="AVAILABLE",TRIM([1]DATABASE!Q370)="RESERVED",TRIM([1]DATABASE!Q370)="PRE-RESERVED",TRIM([1]DATABASE!Q370)="PSPA"),[1]DATABASE!AC370=""),"Active no Owner",""),IF(OR([1]DATABASE!F370="",[1]DATABASE!F370&lt;=0),"Missing/Invalid Area",""),IF(AND([1]DATABASE!T370&gt;0,ABS([1]DATABASE!T370-[1]DATABASE!W370-[1]DATABASE!U370-[1]DATABASE!V370)&gt;1),"Price Bridge Mismatch",""))</f>
        <v>Active no Owner</v>
      </c>
      <c r="H409" t="str">
        <f t="shared" si="8"/>
        <v>REVIEW</v>
      </c>
      <c r="I409" s="90">
        <f>[1]DATABASE!T370</f>
        <v>1600000</v>
      </c>
      <c r="J409">
        <f>[1]DATABASE!AC370</f>
        <v>0</v>
      </c>
    </row>
    <row r="410" spans="1:10" ht="13.95" customHeight="1" x14ac:dyDescent="0.3">
      <c r="A410">
        <f>ROW([1]DATABASE!A371)</f>
        <v>371</v>
      </c>
      <c r="B410" t="str">
        <f>[1]DATABASE!AJ371</f>
        <v>Terracota</v>
      </c>
      <c r="C410" t="str">
        <f>[1]DATABASE!C371</f>
        <v>Q</v>
      </c>
      <c r="D410" t="str">
        <f>TRIM([1]DATABASE!Q371)</f>
        <v>PSPA</v>
      </c>
      <c r="E410" s="82" t="str">
        <f>_xlfn.TEXTJOIN("; ",TRUE,IF([1]DATABASE!X371&lt;0,"Negative Discount",""),IF(AND([1]DATABASE!Y371&gt;[1]DATABASE!T371,[1]DATABASE!Y371&gt;0,[1]DATABASE!T371&gt;0),"Sell Price &gt; Current",""),IF(AND(TRIM([1]DATABASE!Q371)="DEED",[1]DATABASE!AA371=""),"Deeded no PSPA Date",""),IF([1]DATABASE!E371="","Missing Typology",""),IF([1]DATABASE!AJ371="","Missing Development",""))</f>
        <v/>
      </c>
      <c r="F410" s="82" t="str">
        <f>_xlfn.TEXTJOIN("; ",TRUE,IF(AND(OR(TRIM([1]DATABASE!Q371)="RESERVED",TRIM([1]DATABASE!Q371)="PRE-RESERVED",TRIM([1]DATABASE!Q371)="PSPA"),[1]DATABASE!AA371=""),"Reserved/PSPA no PSPA Date",""),IF(AND(TRIM([1]DATABASE!Q371)="AVAILABLE",[1]DATABASE!AA371&lt;&gt;""),"Available has PSPA Date",""))</f>
        <v/>
      </c>
      <c r="G410" s="82" t="str">
        <f>_xlfn.TEXTJOIN("; ",TRUE,IF(AND([1]DATABASE!T371&lt;0.8*[1]DATABASE!S371,[1]DATABASE!T371&gt;0,[1]DATABASE!S371&gt;0),"Heavy Price Cut &gt;20%",""),IF(AND(OR(TRIM([1]DATABASE!Q371)="AVAILABLE",TRIM([1]DATABASE!Q371)="UPON REQUEST"),OR([1]DATABASE!T371="",[1]DATABASE!T371=0)),"Active Unit no Price",""),IF(AND(OR(TRIM([1]DATABASE!Q371)="AVAILABLE",TRIM([1]DATABASE!Q371)="RESERVED",TRIM([1]DATABASE!Q371)="PRE-RESERVED",TRIM([1]DATABASE!Q371)="PSPA"),[1]DATABASE!AC371=""),"Active no Owner",""),IF(OR([1]DATABASE!F371="",[1]DATABASE!F371&lt;=0),"Missing/Invalid Area",""),IF(AND([1]DATABASE!T371&gt;0,ABS([1]DATABASE!T371-[1]DATABASE!W371-[1]DATABASE!U371-[1]DATABASE!V371)&gt;1),"Price Bridge Mismatch",""))</f>
        <v/>
      </c>
      <c r="H410" t="str">
        <f t="shared" si="8"/>
        <v>PASS</v>
      </c>
      <c r="I410" s="90">
        <f>[1]DATABASE!T371</f>
        <v>725000</v>
      </c>
      <c r="J410" t="str">
        <f>[1]DATABASE!AC371</f>
        <v>Ana Damásio</v>
      </c>
    </row>
    <row r="411" spans="1:10" ht="13.95" customHeight="1" x14ac:dyDescent="0.3">
      <c r="A411">
        <f>ROW([1]DATABASE!A372)</f>
        <v>372</v>
      </c>
      <c r="B411" t="str">
        <f>[1]DATABASE!AJ372</f>
        <v>Sutaya</v>
      </c>
      <c r="C411" t="str">
        <f>[1]DATABASE!C372</f>
        <v>H</v>
      </c>
      <c r="D411" t="str">
        <f>TRIM([1]DATABASE!Q372)</f>
        <v>RESERVED</v>
      </c>
      <c r="E411" s="82" t="str">
        <f>_xlfn.TEXTJOIN("; ",TRUE,IF([1]DATABASE!X372&lt;0,"Negative Discount",""),IF(AND([1]DATABASE!Y372&gt;[1]DATABASE!T372,[1]DATABASE!Y372&gt;0,[1]DATABASE!T372&gt;0),"Sell Price &gt; Current",""),IF(AND(TRIM([1]DATABASE!Q372)="DEED",[1]DATABASE!AA372=""),"Deeded no PSPA Date",""),IF([1]DATABASE!E372="","Missing Typology",""),IF([1]DATABASE!AJ372="","Missing Development",""))</f>
        <v/>
      </c>
      <c r="F411" s="82" t="str">
        <f>_xlfn.TEXTJOIN("; ",TRUE,IF(AND(OR(TRIM([1]DATABASE!Q372)="RESERVED",TRIM([1]DATABASE!Q372)="PRE-RESERVED",TRIM([1]DATABASE!Q372)="PSPA"),[1]DATABASE!AA372=""),"Reserved/PSPA no PSPA Date",""),IF(AND(TRIM([1]DATABASE!Q372)="AVAILABLE",[1]DATABASE!AA372&lt;&gt;""),"Available has PSPA Date",""))</f>
        <v/>
      </c>
      <c r="G411" s="82" t="str">
        <f>_xlfn.TEXTJOIN("; ",TRUE,IF(AND([1]DATABASE!T372&lt;0.8*[1]DATABASE!S372,[1]DATABASE!T372&gt;0,[1]DATABASE!S372&gt;0),"Heavy Price Cut &gt;20%",""),IF(AND(OR(TRIM([1]DATABASE!Q372)="AVAILABLE",TRIM([1]DATABASE!Q372)="UPON REQUEST"),OR([1]DATABASE!T372="",[1]DATABASE!T372=0)),"Active Unit no Price",""),IF(AND(OR(TRIM([1]DATABASE!Q372)="AVAILABLE",TRIM([1]DATABASE!Q372)="RESERVED",TRIM([1]DATABASE!Q372)="PRE-RESERVED",TRIM([1]DATABASE!Q372)="PSPA"),[1]DATABASE!AC372=""),"Active no Owner",""),IF(OR([1]DATABASE!F372="",[1]DATABASE!F372&lt;=0),"Missing/Invalid Area",""),IF(AND([1]DATABASE!T372&gt;0,ABS([1]DATABASE!T372-[1]DATABASE!W372-[1]DATABASE!U372-[1]DATABASE!V372)&gt;1),"Price Bridge Mismatch",""))</f>
        <v/>
      </c>
      <c r="H411" t="str">
        <f t="shared" si="8"/>
        <v>PASS</v>
      </c>
      <c r="I411" s="90">
        <f>[1]DATABASE!T372</f>
        <v>4500000</v>
      </c>
      <c r="J411" t="str">
        <f>[1]DATABASE!AC372</f>
        <v>Sandra Viegas</v>
      </c>
    </row>
    <row r="412" spans="1:10" ht="13.95" customHeight="1" x14ac:dyDescent="0.3">
      <c r="A412">
        <f>ROW([1]DATABASE!A373)</f>
        <v>373</v>
      </c>
      <c r="B412" t="str">
        <f>[1]DATABASE!AJ373</f>
        <v>Zestia</v>
      </c>
      <c r="C412" t="str">
        <f>[1]DATABASE!C373</f>
        <v>AB</v>
      </c>
      <c r="D412" t="str">
        <f>TRIM([1]DATABASE!Q373)</f>
        <v>PSPA</v>
      </c>
      <c r="E412" s="82" t="str">
        <f>_xlfn.TEXTJOIN("; ",TRUE,IF([1]DATABASE!X373&lt;0,"Negative Discount",""),IF(AND([1]DATABASE!Y373&gt;[1]DATABASE!T373,[1]DATABASE!Y373&gt;0,[1]DATABASE!T373&gt;0),"Sell Price &gt; Current",""),IF(AND(TRIM([1]DATABASE!Q373)="DEED",[1]DATABASE!AA373=""),"Deeded no PSPA Date",""),IF([1]DATABASE!E373="","Missing Typology",""),IF([1]DATABASE!AJ373="","Missing Development",""))</f>
        <v/>
      </c>
      <c r="F412" s="82" t="str">
        <f>_xlfn.TEXTJOIN("; ",TRUE,IF(AND(OR(TRIM([1]DATABASE!Q373)="RESERVED",TRIM([1]DATABASE!Q373)="PRE-RESERVED",TRIM([1]DATABASE!Q373)="PSPA"),[1]DATABASE!AA373=""),"Reserved/PSPA no PSPA Date",""),IF(AND(TRIM([1]DATABASE!Q373)="AVAILABLE",[1]DATABASE!AA373&lt;&gt;""),"Available has PSPA Date",""))</f>
        <v/>
      </c>
      <c r="G412" s="82" t="str">
        <f>_xlfn.TEXTJOIN("; ",TRUE,IF(AND([1]DATABASE!T373&lt;0.8*[1]DATABASE!S373,[1]DATABASE!T373&gt;0,[1]DATABASE!S373&gt;0),"Heavy Price Cut &gt;20%",""),IF(AND(OR(TRIM([1]DATABASE!Q373)="AVAILABLE",TRIM([1]DATABASE!Q373)="UPON REQUEST"),OR([1]DATABASE!T373="",[1]DATABASE!T373=0)),"Active Unit no Price",""),IF(AND(OR(TRIM([1]DATABASE!Q373)="AVAILABLE",TRIM([1]DATABASE!Q373)="RESERVED",TRIM([1]DATABASE!Q373)="PRE-RESERVED",TRIM([1]DATABASE!Q373)="PSPA"),[1]DATABASE!AC373=""),"Active no Owner",""),IF(OR([1]DATABASE!F373="",[1]DATABASE!F373&lt;=0),"Missing/Invalid Area",""),IF(AND([1]DATABASE!T373&gt;0,ABS([1]DATABASE!T373-[1]DATABASE!W373-[1]DATABASE!U373-[1]DATABASE!V373)&gt;1),"Price Bridge Mismatch",""))</f>
        <v/>
      </c>
      <c r="H412" t="str">
        <f t="shared" si="8"/>
        <v>PASS</v>
      </c>
      <c r="I412" s="90">
        <f>[1]DATABASE!T373</f>
        <v>570000</v>
      </c>
      <c r="J412" t="str">
        <f>[1]DATABASE!AC373</f>
        <v>Ana Damásio</v>
      </c>
    </row>
    <row r="413" spans="1:10" ht="13.95" customHeight="1" x14ac:dyDescent="0.3">
      <c r="A413">
        <f>ROW([1]DATABASE!A374)</f>
        <v>374</v>
      </c>
      <c r="B413" t="str">
        <f>[1]DATABASE!AJ374</f>
        <v>Terracota</v>
      </c>
      <c r="C413" t="str">
        <f>[1]DATABASE!C374</f>
        <v>AY</v>
      </c>
      <c r="D413" t="str">
        <f>TRIM([1]DATABASE!Q374)</f>
        <v>PSPA</v>
      </c>
      <c r="E413" s="82" t="str">
        <f>_xlfn.TEXTJOIN("; ",TRUE,IF([1]DATABASE!X374&lt;0,"Negative Discount",""),IF(AND([1]DATABASE!Y374&gt;[1]DATABASE!T374,[1]DATABASE!Y374&gt;0,[1]DATABASE!T374&gt;0),"Sell Price &gt; Current",""),IF(AND(TRIM([1]DATABASE!Q374)="DEED",[1]DATABASE!AA374=""),"Deeded no PSPA Date",""),IF([1]DATABASE!E374="","Missing Typology",""),IF([1]DATABASE!AJ374="","Missing Development",""))</f>
        <v/>
      </c>
      <c r="F413" s="82" t="str">
        <f>_xlfn.TEXTJOIN("; ",TRUE,IF(AND(OR(TRIM([1]DATABASE!Q374)="RESERVED",TRIM([1]DATABASE!Q374)="PRE-RESERVED",TRIM([1]DATABASE!Q374)="PSPA"),[1]DATABASE!AA374=""),"Reserved/PSPA no PSPA Date",""),IF(AND(TRIM([1]DATABASE!Q374)="AVAILABLE",[1]DATABASE!AA374&lt;&gt;""),"Available has PSPA Date",""))</f>
        <v/>
      </c>
      <c r="G413" s="82" t="str">
        <f>_xlfn.TEXTJOIN("; ",TRUE,IF(AND([1]DATABASE!T374&lt;0.8*[1]DATABASE!S374,[1]DATABASE!T374&gt;0,[1]DATABASE!S374&gt;0),"Heavy Price Cut &gt;20%",""),IF(AND(OR(TRIM([1]DATABASE!Q374)="AVAILABLE",TRIM([1]DATABASE!Q374)="UPON REQUEST"),OR([1]DATABASE!T374="",[1]DATABASE!T374=0)),"Active Unit no Price",""),IF(AND(OR(TRIM([1]DATABASE!Q374)="AVAILABLE",TRIM([1]DATABASE!Q374)="RESERVED",TRIM([1]DATABASE!Q374)="PRE-RESERVED",TRIM([1]DATABASE!Q374)="PSPA"),[1]DATABASE!AC374=""),"Active no Owner",""),IF(OR([1]DATABASE!F374="",[1]DATABASE!F374&lt;=0),"Missing/Invalid Area",""),IF(AND([1]DATABASE!T374&gt;0,ABS([1]DATABASE!T374-[1]DATABASE!W374-[1]DATABASE!U374-[1]DATABASE!V374)&gt;1),"Price Bridge Mismatch",""))</f>
        <v/>
      </c>
      <c r="H413" t="str">
        <f t="shared" si="8"/>
        <v>PASS</v>
      </c>
      <c r="I413" s="90">
        <f>[1]DATABASE!T374</f>
        <v>470000</v>
      </c>
      <c r="J413" t="str">
        <f>[1]DATABASE!AC374</f>
        <v>Ana Damásio</v>
      </c>
    </row>
    <row r="414" spans="1:10" ht="13.95" customHeight="1" x14ac:dyDescent="0.3">
      <c r="A414">
        <f>ROW([1]DATABASE!A375)</f>
        <v>375</v>
      </c>
      <c r="B414" t="str">
        <f>[1]DATABASE!AJ375</f>
        <v>Terracota</v>
      </c>
      <c r="C414" t="str">
        <f>[1]DATABASE!C375</f>
        <v>CL</v>
      </c>
      <c r="D414" t="str">
        <f>TRIM([1]DATABASE!Q375)</f>
        <v>PSPA</v>
      </c>
      <c r="E414" s="82" t="str">
        <f>_xlfn.TEXTJOIN("; ",TRUE,IF([1]DATABASE!X375&lt;0,"Negative Discount",""),IF(AND([1]DATABASE!Y375&gt;[1]DATABASE!T375,[1]DATABASE!Y375&gt;0,[1]DATABASE!T375&gt;0),"Sell Price &gt; Current",""),IF(AND(TRIM([1]DATABASE!Q375)="DEED",[1]DATABASE!AA375=""),"Deeded no PSPA Date",""),IF([1]DATABASE!E375="","Missing Typology",""),IF([1]DATABASE!AJ375="","Missing Development",""))</f>
        <v/>
      </c>
      <c r="F414" s="82" t="str">
        <f>_xlfn.TEXTJOIN("; ",TRUE,IF(AND(OR(TRIM([1]DATABASE!Q375)="RESERVED",TRIM([1]DATABASE!Q375)="PRE-RESERVED",TRIM([1]DATABASE!Q375)="PSPA"),[1]DATABASE!AA375=""),"Reserved/PSPA no PSPA Date",""),IF(AND(TRIM([1]DATABASE!Q375)="AVAILABLE",[1]DATABASE!AA375&lt;&gt;""),"Available has PSPA Date",""))</f>
        <v/>
      </c>
      <c r="G414" s="82" t="str">
        <f>_xlfn.TEXTJOIN("; ",TRUE,IF(AND([1]DATABASE!T375&lt;0.8*[1]DATABASE!S375,[1]DATABASE!T375&gt;0,[1]DATABASE!S375&gt;0),"Heavy Price Cut &gt;20%",""),IF(AND(OR(TRIM([1]DATABASE!Q375)="AVAILABLE",TRIM([1]DATABASE!Q375)="UPON REQUEST"),OR([1]DATABASE!T375="",[1]DATABASE!T375=0)),"Active Unit no Price",""),IF(AND(OR(TRIM([1]DATABASE!Q375)="AVAILABLE",TRIM([1]DATABASE!Q375)="RESERVED",TRIM([1]DATABASE!Q375)="PRE-RESERVED",TRIM([1]DATABASE!Q375)="PSPA"),[1]DATABASE!AC375=""),"Active no Owner",""),IF(OR([1]DATABASE!F375="",[1]DATABASE!F375&lt;=0),"Missing/Invalid Area",""),IF(AND([1]DATABASE!T375&gt;0,ABS([1]DATABASE!T375-[1]DATABASE!W375-[1]DATABASE!U375-[1]DATABASE!V375)&gt;1),"Price Bridge Mismatch",""))</f>
        <v/>
      </c>
      <c r="H414" t="str">
        <f t="shared" si="8"/>
        <v>PASS</v>
      </c>
      <c r="I414" s="90">
        <f>[1]DATABASE!T375</f>
        <v>770000</v>
      </c>
      <c r="J414" t="str">
        <f>[1]DATABASE!AC375</f>
        <v>Ana Damásio</v>
      </c>
    </row>
    <row r="415" spans="1:10" ht="13.95" customHeight="1" x14ac:dyDescent="0.3">
      <c r="A415">
        <f>ROW([1]DATABASE!A376)</f>
        <v>376</v>
      </c>
      <c r="B415" t="str">
        <f>[1]DATABASE!AJ376</f>
        <v>Botanica</v>
      </c>
      <c r="C415" t="str">
        <f>[1]DATABASE!C376</f>
        <v>AV</v>
      </c>
      <c r="D415" t="str">
        <f>TRIM([1]DATABASE!Q376)</f>
        <v>RESERVED</v>
      </c>
      <c r="E415" s="82" t="str">
        <f>_xlfn.TEXTJOIN("; ",TRUE,IF([1]DATABASE!X376&lt;0,"Negative Discount",""),IF(AND([1]DATABASE!Y376&gt;[1]DATABASE!T376,[1]DATABASE!Y376&gt;0,[1]DATABASE!T376&gt;0),"Sell Price &gt; Current",""),IF(AND(TRIM([1]DATABASE!Q376)="DEED",[1]DATABASE!AA376=""),"Deeded no PSPA Date",""),IF([1]DATABASE!E376="","Missing Typology",""),IF([1]DATABASE!AJ376="","Missing Development",""))</f>
        <v/>
      </c>
      <c r="F415" s="82" t="str">
        <f>_xlfn.TEXTJOIN("; ",TRUE,IF(AND(OR(TRIM([1]DATABASE!Q376)="RESERVED",TRIM([1]DATABASE!Q376)="PRE-RESERVED",TRIM([1]DATABASE!Q376)="PSPA"),[1]DATABASE!AA376=""),"Reserved/PSPA no PSPA Date",""),IF(AND(TRIM([1]DATABASE!Q376)="AVAILABLE",[1]DATABASE!AA376&lt;&gt;""),"Available has PSPA Date",""))</f>
        <v>Reserved/PSPA no PSPA Date</v>
      </c>
      <c r="G415" s="82" t="str">
        <f>_xlfn.TEXTJOIN("; ",TRUE,IF(AND([1]DATABASE!T376&lt;0.8*[1]DATABASE!S376,[1]DATABASE!T376&gt;0,[1]DATABASE!S376&gt;0),"Heavy Price Cut &gt;20%",""),IF(AND(OR(TRIM([1]DATABASE!Q376)="AVAILABLE",TRIM([1]DATABASE!Q376)="UPON REQUEST"),OR([1]DATABASE!T376="",[1]DATABASE!T376=0)),"Active Unit no Price",""),IF(AND(OR(TRIM([1]DATABASE!Q376)="AVAILABLE",TRIM([1]DATABASE!Q376)="RESERVED",TRIM([1]DATABASE!Q376)="PRE-RESERVED",TRIM([1]DATABASE!Q376)="PSPA"),[1]DATABASE!AC376=""),"Active no Owner",""),IF(OR([1]DATABASE!F376="",[1]DATABASE!F376&lt;=0),"Missing/Invalid Area",""),IF(AND([1]DATABASE!T376&gt;0,ABS([1]DATABASE!T376-[1]DATABASE!W376-[1]DATABASE!U376-[1]DATABASE!V376)&gt;1),"Price Bridge Mismatch",""))</f>
        <v/>
      </c>
      <c r="H415" t="str">
        <f t="shared" si="8"/>
        <v>REVIEW</v>
      </c>
      <c r="I415" s="90">
        <f>[1]DATABASE!T376</f>
        <v>1010000</v>
      </c>
      <c r="J415" t="str">
        <f>[1]DATABASE!AC376</f>
        <v>Ana Damásio</v>
      </c>
    </row>
    <row r="416" spans="1:10" ht="13.95" customHeight="1" x14ac:dyDescent="0.3">
      <c r="A416">
        <f>ROW([1]DATABASE!A377)</f>
        <v>377</v>
      </c>
      <c r="B416" t="str">
        <f>[1]DATABASE!AJ377</f>
        <v>Botanica</v>
      </c>
      <c r="C416" t="str">
        <f>[1]DATABASE!C377</f>
        <v>AW</v>
      </c>
      <c r="D416" t="str">
        <f>TRIM([1]DATABASE!Q377)</f>
        <v>RESERVED</v>
      </c>
      <c r="E416" s="82" t="str">
        <f>_xlfn.TEXTJOIN("; ",TRUE,IF([1]DATABASE!X377&lt;0,"Negative Discount",""),IF(AND([1]DATABASE!Y377&gt;[1]DATABASE!T377,[1]DATABASE!Y377&gt;0,[1]DATABASE!T377&gt;0),"Sell Price &gt; Current",""),IF(AND(TRIM([1]DATABASE!Q377)="DEED",[1]DATABASE!AA377=""),"Deeded no PSPA Date",""),IF([1]DATABASE!E377="","Missing Typology",""),IF([1]DATABASE!AJ377="","Missing Development",""))</f>
        <v/>
      </c>
      <c r="F416" s="82" t="str">
        <f>_xlfn.TEXTJOIN("; ",TRUE,IF(AND(OR(TRIM([1]DATABASE!Q377)="RESERVED",TRIM([1]DATABASE!Q377)="PRE-RESERVED",TRIM([1]DATABASE!Q377)="PSPA"),[1]DATABASE!AA377=""),"Reserved/PSPA no PSPA Date",""),IF(AND(TRIM([1]DATABASE!Q377)="AVAILABLE",[1]DATABASE!AA377&lt;&gt;""),"Available has PSPA Date",""))</f>
        <v>Reserved/PSPA no PSPA Date</v>
      </c>
      <c r="G416" s="82" t="str">
        <f>_xlfn.TEXTJOIN("; ",TRUE,IF(AND([1]DATABASE!T377&lt;0.8*[1]DATABASE!S377,[1]DATABASE!T377&gt;0,[1]DATABASE!S377&gt;0),"Heavy Price Cut &gt;20%",""),IF(AND(OR(TRIM([1]DATABASE!Q377)="AVAILABLE",TRIM([1]DATABASE!Q377)="UPON REQUEST"),OR([1]DATABASE!T377="",[1]DATABASE!T377=0)),"Active Unit no Price",""),IF(AND(OR(TRIM([1]DATABASE!Q377)="AVAILABLE",TRIM([1]DATABASE!Q377)="RESERVED",TRIM([1]DATABASE!Q377)="PRE-RESERVED",TRIM([1]DATABASE!Q377)="PSPA"),[1]DATABASE!AC377=""),"Active no Owner",""),IF(OR([1]DATABASE!F377="",[1]DATABASE!F377&lt;=0),"Missing/Invalid Area",""),IF(AND([1]DATABASE!T377&gt;0,ABS([1]DATABASE!T377-[1]DATABASE!W377-[1]DATABASE!U377-[1]DATABASE!V377)&gt;1),"Price Bridge Mismatch",""))</f>
        <v/>
      </c>
      <c r="H416" t="str">
        <f t="shared" si="8"/>
        <v>REVIEW</v>
      </c>
      <c r="I416" s="90">
        <f>[1]DATABASE!T377</f>
        <v>1010000</v>
      </c>
      <c r="J416" t="str">
        <f>[1]DATABASE!AC377</f>
        <v>Ana Damásio</v>
      </c>
    </row>
    <row r="417" spans="1:10" ht="13.95" customHeight="1" x14ac:dyDescent="0.3">
      <c r="A417">
        <f>ROW([1]DATABASE!A378)</f>
        <v>378</v>
      </c>
      <c r="B417" t="str">
        <f>[1]DATABASE!AJ378</f>
        <v>Botanica</v>
      </c>
      <c r="C417" t="str">
        <f>[1]DATABASE!C378</f>
        <v>BF</v>
      </c>
      <c r="D417" t="str">
        <f>TRIM([1]DATABASE!Q378)</f>
        <v>RESERVED</v>
      </c>
      <c r="E417" s="82" t="str">
        <f>_xlfn.TEXTJOIN("; ",TRUE,IF([1]DATABASE!X378&lt;0,"Negative Discount",""),IF(AND([1]DATABASE!Y378&gt;[1]DATABASE!T378,[1]DATABASE!Y378&gt;0,[1]DATABASE!T378&gt;0),"Sell Price &gt; Current",""),IF(AND(TRIM([1]DATABASE!Q378)="DEED",[1]DATABASE!AA378=""),"Deeded no PSPA Date",""),IF([1]DATABASE!E378="","Missing Typology",""),IF([1]DATABASE!AJ378="","Missing Development",""))</f>
        <v/>
      </c>
      <c r="F417" s="82" t="str">
        <f>_xlfn.TEXTJOIN("; ",TRUE,IF(AND(OR(TRIM([1]DATABASE!Q378)="RESERVED",TRIM([1]DATABASE!Q378)="PRE-RESERVED",TRIM([1]DATABASE!Q378)="PSPA"),[1]DATABASE!AA378=""),"Reserved/PSPA no PSPA Date",""),IF(AND(TRIM([1]DATABASE!Q378)="AVAILABLE",[1]DATABASE!AA378&lt;&gt;""),"Available has PSPA Date",""))</f>
        <v>Reserved/PSPA no PSPA Date</v>
      </c>
      <c r="G417" s="82" t="str">
        <f>_xlfn.TEXTJOIN("; ",TRUE,IF(AND([1]DATABASE!T378&lt;0.8*[1]DATABASE!S378,[1]DATABASE!T378&gt;0,[1]DATABASE!S378&gt;0),"Heavy Price Cut &gt;20%",""),IF(AND(OR(TRIM([1]DATABASE!Q378)="AVAILABLE",TRIM([1]DATABASE!Q378)="UPON REQUEST"),OR([1]DATABASE!T378="",[1]DATABASE!T378=0)),"Active Unit no Price",""),IF(AND(OR(TRIM([1]DATABASE!Q378)="AVAILABLE",TRIM([1]DATABASE!Q378)="RESERVED",TRIM([1]DATABASE!Q378)="PRE-RESERVED",TRIM([1]DATABASE!Q378)="PSPA"),[1]DATABASE!AC378=""),"Active no Owner",""),IF(OR([1]DATABASE!F378="",[1]DATABASE!F378&lt;=0),"Missing/Invalid Area",""),IF(AND([1]DATABASE!T378&gt;0,ABS([1]DATABASE!T378-[1]DATABASE!W378-[1]DATABASE!U378-[1]DATABASE!V378)&gt;1),"Price Bridge Mismatch",""))</f>
        <v/>
      </c>
      <c r="H417" t="str">
        <f t="shared" si="8"/>
        <v>REVIEW</v>
      </c>
      <c r="I417" s="90">
        <f>[1]DATABASE!T378</f>
        <v>1050000</v>
      </c>
      <c r="J417" t="str">
        <f>[1]DATABASE!AC378</f>
        <v>Ana Damásio</v>
      </c>
    </row>
    <row r="418" spans="1:10" ht="13.95" customHeight="1" x14ac:dyDescent="0.3">
      <c r="A418">
        <f>ROW([1]DATABASE!A379)</f>
        <v>379</v>
      </c>
      <c r="B418" t="str">
        <f>[1]DATABASE!AJ379</f>
        <v>Palmares</v>
      </c>
      <c r="C418" t="str">
        <f>[1]DATABASE!C379</f>
        <v>1</v>
      </c>
      <c r="D418" t="str">
        <f>TRIM([1]DATABASE!Q379)</f>
        <v>RESERVED</v>
      </c>
      <c r="E418" s="82" t="str">
        <f>_xlfn.TEXTJOIN("; ",TRUE,IF([1]DATABASE!X379&lt;0,"Negative Discount",""),IF(AND([1]DATABASE!Y379&gt;[1]DATABASE!T379,[1]DATABASE!Y379&gt;0,[1]DATABASE!T379&gt;0),"Sell Price &gt; Current",""),IF(AND(TRIM([1]DATABASE!Q379)="DEED",[1]DATABASE!AA379=""),"Deeded no PSPA Date",""),IF([1]DATABASE!E379="","Missing Typology",""),IF([1]DATABASE!AJ379="","Missing Development",""))</f>
        <v/>
      </c>
      <c r="F418" s="82" t="str">
        <f>_xlfn.TEXTJOIN("; ",TRUE,IF(AND(OR(TRIM([1]DATABASE!Q379)="RESERVED",TRIM([1]DATABASE!Q379)="PRE-RESERVED",TRIM([1]DATABASE!Q379)="PSPA"),[1]DATABASE!AA379=""),"Reserved/PSPA no PSPA Date",""),IF(AND(TRIM([1]DATABASE!Q379)="AVAILABLE",[1]DATABASE!AA379&lt;&gt;""),"Available has PSPA Date",""))</f>
        <v/>
      </c>
      <c r="G418" s="82" t="str">
        <f>_xlfn.TEXTJOIN("; ",TRUE,IF(AND([1]DATABASE!T379&lt;0.8*[1]DATABASE!S379,[1]DATABASE!T379&gt;0,[1]DATABASE!S379&gt;0),"Heavy Price Cut &gt;20%",""),IF(AND(OR(TRIM([1]DATABASE!Q379)="AVAILABLE",TRIM([1]DATABASE!Q379)="UPON REQUEST"),OR([1]DATABASE!T379="",[1]DATABASE!T379=0)),"Active Unit no Price",""),IF(AND(OR(TRIM([1]DATABASE!Q379)="AVAILABLE",TRIM([1]DATABASE!Q379)="RESERVED",TRIM([1]DATABASE!Q379)="PRE-RESERVED",TRIM([1]DATABASE!Q379)="PSPA"),[1]DATABASE!AC379=""),"Active no Owner",""),IF(OR([1]DATABASE!F379="",[1]DATABASE!F379&lt;=0),"Missing/Invalid Area",""),IF(AND([1]DATABASE!T379&gt;0,ABS([1]DATABASE!T379-[1]DATABASE!W379-[1]DATABASE!U379-[1]DATABASE!V379)&gt;1),"Price Bridge Mismatch",""))</f>
        <v/>
      </c>
      <c r="H418" t="str">
        <f t="shared" si="8"/>
        <v>PASS</v>
      </c>
      <c r="I418" s="90">
        <f>[1]DATABASE!T379</f>
        <v>1800000</v>
      </c>
      <c r="J418" t="str">
        <f>[1]DATABASE!AC379</f>
        <v>Sandra Viegas</v>
      </c>
    </row>
    <row r="419" spans="1:10" ht="13.95" customHeight="1" x14ac:dyDescent="0.3">
      <c r="A419">
        <f>ROW([1]DATABASE!A380)</f>
        <v>380</v>
      </c>
      <c r="B419" t="str">
        <f>[1]DATABASE!AJ380</f>
        <v>The Nine</v>
      </c>
      <c r="C419" t="str">
        <f>[1]DATABASE!C380</f>
        <v>AS</v>
      </c>
      <c r="D419" t="str">
        <f>TRIM([1]DATABASE!Q380)</f>
        <v>DEED</v>
      </c>
      <c r="E419" s="82" t="str">
        <f>_xlfn.TEXTJOIN("; ",TRUE,IF([1]DATABASE!X380&lt;0,"Negative Discount",""),IF(AND([1]DATABASE!Y380&gt;[1]DATABASE!T380,[1]DATABASE!Y380&gt;0,[1]DATABASE!T380&gt;0),"Sell Price &gt; Current",""),IF(AND(TRIM([1]DATABASE!Q380)="DEED",[1]DATABASE!AA380=""),"Deeded no PSPA Date",""),IF([1]DATABASE!E380="","Missing Typology",""),IF([1]DATABASE!AJ380="","Missing Development",""))</f>
        <v/>
      </c>
      <c r="F419" s="82" t="str">
        <f>_xlfn.TEXTJOIN("; ",TRUE,IF(AND(OR(TRIM([1]DATABASE!Q380)="RESERVED",TRIM([1]DATABASE!Q380)="PRE-RESERVED",TRIM([1]DATABASE!Q380)="PSPA"),[1]DATABASE!AA380=""),"Reserved/PSPA no PSPA Date",""),IF(AND(TRIM([1]DATABASE!Q380)="AVAILABLE",[1]DATABASE!AA380&lt;&gt;""),"Available has PSPA Date",""))</f>
        <v/>
      </c>
      <c r="G419" s="82" t="str">
        <f>_xlfn.TEXTJOIN("; ",TRUE,IF(AND([1]DATABASE!T380&lt;0.8*[1]DATABASE!S380,[1]DATABASE!T380&gt;0,[1]DATABASE!S380&gt;0),"Heavy Price Cut &gt;20%",""),IF(AND(OR(TRIM([1]DATABASE!Q380)="AVAILABLE",TRIM([1]DATABASE!Q380)="UPON REQUEST"),OR([1]DATABASE!T380="",[1]DATABASE!T380=0)),"Active Unit no Price",""),IF(AND(OR(TRIM([1]DATABASE!Q380)="AVAILABLE",TRIM([1]DATABASE!Q380)="RESERVED",TRIM([1]DATABASE!Q380)="PRE-RESERVED",TRIM([1]DATABASE!Q380)="PSPA"),[1]DATABASE!AC380=""),"Active no Owner",""),IF(OR([1]DATABASE!F380="",[1]DATABASE!F380&lt;=0),"Missing/Invalid Area",""),IF(AND([1]DATABASE!T380&gt;0,ABS([1]DATABASE!T380-[1]DATABASE!W380-[1]DATABASE!U380-[1]DATABASE!V380)&gt;1),"Price Bridge Mismatch",""))</f>
        <v/>
      </c>
      <c r="H419" t="str">
        <f t="shared" si="8"/>
        <v>PASS</v>
      </c>
      <c r="I419" s="90">
        <f>[1]DATABASE!T380</f>
        <v>830000</v>
      </c>
      <c r="J419" t="str">
        <f>[1]DATABASE!AC380</f>
        <v>Ana Damásio</v>
      </c>
    </row>
    <row r="420" spans="1:10" ht="13.95" customHeight="1" x14ac:dyDescent="0.3">
      <c r="A420">
        <f>ROW([1]DATABASE!A381)</f>
        <v>381</v>
      </c>
      <c r="B420" t="str">
        <f>[1]DATABASE!AJ381</f>
        <v>Natura Village</v>
      </c>
      <c r="C420" t="str">
        <f>[1]DATABASE!C381</f>
        <v>E</v>
      </c>
      <c r="D420" t="str">
        <f>TRIM([1]DATABASE!Q381)</f>
        <v>DEED</v>
      </c>
      <c r="E420" s="82" t="str">
        <f>_xlfn.TEXTJOIN("; ",TRUE,IF([1]DATABASE!X381&lt;0,"Negative Discount",""),IF(AND([1]DATABASE!Y381&gt;[1]DATABASE!T381,[1]DATABASE!Y381&gt;0,[1]DATABASE!T381&gt;0),"Sell Price &gt; Current",""),IF(AND(TRIM([1]DATABASE!Q381)="DEED",[1]DATABASE!AA381=""),"Deeded no PSPA Date",""),IF([1]DATABASE!E381="","Missing Typology",""),IF([1]DATABASE!AJ381="","Missing Development",""))</f>
        <v/>
      </c>
      <c r="F420" s="82" t="str">
        <f>_xlfn.TEXTJOIN("; ",TRUE,IF(AND(OR(TRIM([1]DATABASE!Q381)="RESERVED",TRIM([1]DATABASE!Q381)="PRE-RESERVED",TRIM([1]DATABASE!Q381)="PSPA"),[1]DATABASE!AA381=""),"Reserved/PSPA no PSPA Date",""),IF(AND(TRIM([1]DATABASE!Q381)="AVAILABLE",[1]DATABASE!AA381&lt;&gt;""),"Available has PSPA Date",""))</f>
        <v/>
      </c>
      <c r="G420" s="82" t="str">
        <f>_xlfn.TEXTJOIN("; ",TRUE,IF(AND([1]DATABASE!T381&lt;0.8*[1]DATABASE!S381,[1]DATABASE!T381&gt;0,[1]DATABASE!S381&gt;0),"Heavy Price Cut &gt;20%",""),IF(AND(OR(TRIM([1]DATABASE!Q381)="AVAILABLE",TRIM([1]DATABASE!Q381)="UPON REQUEST"),OR([1]DATABASE!T381="",[1]DATABASE!T381=0)),"Active Unit no Price",""),IF(AND(OR(TRIM([1]DATABASE!Q381)="AVAILABLE",TRIM([1]DATABASE!Q381)="RESERVED",TRIM([1]DATABASE!Q381)="PRE-RESERVED",TRIM([1]DATABASE!Q381)="PSPA"),[1]DATABASE!AC381=""),"Active no Owner",""),IF(OR([1]DATABASE!F381="",[1]DATABASE!F381&lt;=0),"Missing/Invalid Area",""),IF(AND([1]DATABASE!T381&gt;0,ABS([1]DATABASE!T381-[1]DATABASE!W381-[1]DATABASE!U381-[1]DATABASE!V381)&gt;1),"Price Bridge Mismatch",""))</f>
        <v/>
      </c>
      <c r="H420" t="str">
        <f t="shared" si="8"/>
        <v>PASS</v>
      </c>
      <c r="I420" s="90">
        <f>[1]DATABASE!T381</f>
        <v>960000</v>
      </c>
      <c r="J420" t="str">
        <f>[1]DATABASE!AC381</f>
        <v>Ana Damásio</v>
      </c>
    </row>
    <row r="421" spans="1:10" ht="13.95" customHeight="1" x14ac:dyDescent="0.3">
      <c r="A421">
        <f>ROW([1]DATABASE!A382)</f>
        <v>382</v>
      </c>
      <c r="B421" t="str">
        <f>[1]DATABASE!AJ382</f>
        <v>Zestia</v>
      </c>
      <c r="C421" t="str">
        <f>[1]DATABASE!C382</f>
        <v>P</v>
      </c>
      <c r="D421" t="str">
        <f>TRIM([1]DATABASE!Q382)</f>
        <v>PSPA</v>
      </c>
      <c r="E421" s="82" t="str">
        <f>_xlfn.TEXTJOIN("; ",TRUE,IF([1]DATABASE!X382&lt;0,"Negative Discount",""),IF(AND([1]DATABASE!Y382&gt;[1]DATABASE!T382,[1]DATABASE!Y382&gt;0,[1]DATABASE!T382&gt;0),"Sell Price &gt; Current",""),IF(AND(TRIM([1]DATABASE!Q382)="DEED",[1]DATABASE!AA382=""),"Deeded no PSPA Date",""),IF([1]DATABASE!E382="","Missing Typology",""),IF([1]DATABASE!AJ382="","Missing Development",""))</f>
        <v/>
      </c>
      <c r="F421" s="82" t="str">
        <f>_xlfn.TEXTJOIN("; ",TRUE,IF(AND(OR(TRIM([1]DATABASE!Q382)="RESERVED",TRIM([1]DATABASE!Q382)="PRE-RESERVED",TRIM([1]DATABASE!Q382)="PSPA"),[1]DATABASE!AA382=""),"Reserved/PSPA no PSPA Date",""),IF(AND(TRIM([1]DATABASE!Q382)="AVAILABLE",[1]DATABASE!AA382&lt;&gt;""),"Available has PSPA Date",""))</f>
        <v/>
      </c>
      <c r="G421" s="82" t="str">
        <f>_xlfn.TEXTJOIN("; ",TRUE,IF(AND([1]DATABASE!T382&lt;0.8*[1]DATABASE!S382,[1]DATABASE!T382&gt;0,[1]DATABASE!S382&gt;0),"Heavy Price Cut &gt;20%",""),IF(AND(OR(TRIM([1]DATABASE!Q382)="AVAILABLE",TRIM([1]DATABASE!Q382)="UPON REQUEST"),OR([1]DATABASE!T382="",[1]DATABASE!T382=0)),"Active Unit no Price",""),IF(AND(OR(TRIM([1]DATABASE!Q382)="AVAILABLE",TRIM([1]DATABASE!Q382)="RESERVED",TRIM([1]DATABASE!Q382)="PRE-RESERVED",TRIM([1]DATABASE!Q382)="PSPA"),[1]DATABASE!AC382=""),"Active no Owner",""),IF(OR([1]DATABASE!F382="",[1]DATABASE!F382&lt;=0),"Missing/Invalid Area",""),IF(AND([1]DATABASE!T382&gt;0,ABS([1]DATABASE!T382-[1]DATABASE!W382-[1]DATABASE!U382-[1]DATABASE!V382)&gt;1),"Price Bridge Mismatch",""))</f>
        <v/>
      </c>
      <c r="H421" t="str">
        <f t="shared" si="8"/>
        <v>PASS</v>
      </c>
      <c r="I421" s="90">
        <f>[1]DATABASE!T382</f>
        <v>840000</v>
      </c>
      <c r="J421" t="str">
        <f>[1]DATABASE!AC382</f>
        <v>Ana Damásio</v>
      </c>
    </row>
    <row r="422" spans="1:10" ht="13.95" customHeight="1" x14ac:dyDescent="0.3">
      <c r="A422">
        <f>ROW([1]DATABASE!A383)</f>
        <v>383</v>
      </c>
      <c r="B422" t="str">
        <f>[1]DATABASE!AJ383</f>
        <v>The Uncommon</v>
      </c>
      <c r="C422" t="str">
        <f>[1]DATABASE!C383</f>
        <v>202</v>
      </c>
      <c r="D422" t="str">
        <f>TRIM([1]DATABASE!Q383)</f>
        <v>PSPA</v>
      </c>
      <c r="E422" s="82" t="str">
        <f>_xlfn.TEXTJOIN("; ",TRUE,IF([1]DATABASE!X383&lt;0,"Negative Discount",""),IF(AND([1]DATABASE!Y383&gt;[1]DATABASE!T383,[1]DATABASE!Y383&gt;0,[1]DATABASE!T383&gt;0),"Sell Price &gt; Current",""),IF(AND(TRIM([1]DATABASE!Q383)="DEED",[1]DATABASE!AA383=""),"Deeded no PSPA Date",""),IF([1]DATABASE!E383="","Missing Typology",""),IF([1]DATABASE!AJ383="","Missing Development",""))</f>
        <v/>
      </c>
      <c r="F422" s="82" t="str">
        <f>_xlfn.TEXTJOIN("; ",TRUE,IF(AND(OR(TRIM([1]DATABASE!Q383)="RESERVED",TRIM([1]DATABASE!Q383)="PRE-RESERVED",TRIM([1]DATABASE!Q383)="PSPA"),[1]DATABASE!AA383=""),"Reserved/PSPA no PSPA Date",""),IF(AND(TRIM([1]DATABASE!Q383)="AVAILABLE",[1]DATABASE!AA383&lt;&gt;""),"Available has PSPA Date",""))</f>
        <v/>
      </c>
      <c r="G422" s="82" t="str">
        <f>_xlfn.TEXTJOIN("; ",TRUE,IF(AND([1]DATABASE!T383&lt;0.8*[1]DATABASE!S383,[1]DATABASE!T383&gt;0,[1]DATABASE!S383&gt;0),"Heavy Price Cut &gt;20%",""),IF(AND(OR(TRIM([1]DATABASE!Q383)="AVAILABLE",TRIM([1]DATABASE!Q383)="UPON REQUEST"),OR([1]DATABASE!T383="",[1]DATABASE!T383=0)),"Active Unit no Price",""),IF(AND(OR(TRIM([1]DATABASE!Q383)="AVAILABLE",TRIM([1]DATABASE!Q383)="RESERVED",TRIM([1]DATABASE!Q383)="PRE-RESERVED",TRIM([1]DATABASE!Q383)="PSPA"),[1]DATABASE!AC383=""),"Active no Owner",""),IF(OR([1]DATABASE!F383="",[1]DATABASE!F383&lt;=0),"Missing/Invalid Area",""),IF(AND([1]DATABASE!T383&gt;0,ABS([1]DATABASE!T383-[1]DATABASE!W383-[1]DATABASE!U383-[1]DATABASE!V383)&gt;1),"Price Bridge Mismatch",""))</f>
        <v/>
      </c>
      <c r="H422" t="str">
        <f t="shared" si="8"/>
        <v>PASS</v>
      </c>
      <c r="I422" s="90">
        <f>[1]DATABASE!T383</f>
        <v>1230000</v>
      </c>
      <c r="J422" t="str">
        <f>[1]DATABASE!AC383</f>
        <v>Ana Damásio</v>
      </c>
    </row>
    <row r="423" spans="1:10" ht="13.95" customHeight="1" x14ac:dyDescent="0.3">
      <c r="A423">
        <f>ROW([1]DATABASE!A384)</f>
        <v>384</v>
      </c>
      <c r="B423" t="str">
        <f>[1]DATABASE!AJ384</f>
        <v>Springs - At the Els</v>
      </c>
      <c r="C423" t="str">
        <f>[1]DATABASE!C384</f>
        <v>L</v>
      </c>
      <c r="D423" t="str">
        <f>TRIM([1]DATABASE!Q384)</f>
        <v>PRE-RESERVED</v>
      </c>
      <c r="E423" s="82" t="str">
        <f>_xlfn.TEXTJOIN("; ",TRUE,IF([1]DATABASE!X384&lt;0,"Negative Discount",""),IF(AND([1]DATABASE!Y384&gt;[1]DATABASE!T384,[1]DATABASE!Y384&gt;0,[1]DATABASE!T384&gt;0),"Sell Price &gt; Current",""),IF(AND(TRIM([1]DATABASE!Q384)="DEED",[1]DATABASE!AA384=""),"Deeded no PSPA Date",""),IF([1]DATABASE!E384="","Missing Typology",""),IF([1]DATABASE!AJ384="","Missing Development",""))</f>
        <v/>
      </c>
      <c r="F423" s="82" t="str">
        <f>_xlfn.TEXTJOIN("; ",TRUE,IF(AND(OR(TRIM([1]DATABASE!Q384)="RESERVED",TRIM([1]DATABASE!Q384)="PRE-RESERVED",TRIM([1]DATABASE!Q384)="PSPA"),[1]DATABASE!AA384=""),"Reserved/PSPA no PSPA Date",""),IF(AND(TRIM([1]DATABASE!Q384)="AVAILABLE",[1]DATABASE!AA384&lt;&gt;""),"Available has PSPA Date",""))</f>
        <v/>
      </c>
      <c r="G423" s="82" t="str">
        <f>_xlfn.TEXTJOIN("; ",TRUE,IF(AND([1]DATABASE!T384&lt;0.8*[1]DATABASE!S384,[1]DATABASE!T384&gt;0,[1]DATABASE!S384&gt;0),"Heavy Price Cut &gt;20%",""),IF(AND(OR(TRIM([1]DATABASE!Q384)="AVAILABLE",TRIM([1]DATABASE!Q384)="UPON REQUEST"),OR([1]DATABASE!T384="",[1]DATABASE!T384=0)),"Active Unit no Price",""),IF(AND(OR(TRIM([1]DATABASE!Q384)="AVAILABLE",TRIM([1]DATABASE!Q384)="RESERVED",TRIM([1]DATABASE!Q384)="PRE-RESERVED",TRIM([1]DATABASE!Q384)="PSPA"),[1]DATABASE!AC384=""),"Active no Owner",""),IF(OR([1]DATABASE!F384="",[1]DATABASE!F384&lt;=0),"Missing/Invalid Area",""),IF(AND([1]DATABASE!T384&gt;0,ABS([1]DATABASE!T384-[1]DATABASE!W384-[1]DATABASE!U384-[1]DATABASE!V384)&gt;1),"Price Bridge Mismatch",""))</f>
        <v/>
      </c>
      <c r="H423" t="str">
        <f t="shared" si="8"/>
        <v>PASS</v>
      </c>
      <c r="I423" s="90">
        <f>[1]DATABASE!T384</f>
        <v>2400000</v>
      </c>
      <c r="J423" t="str">
        <f>[1]DATABASE!AC384</f>
        <v>Ana Damásio</v>
      </c>
    </row>
    <row r="424" spans="1:10" ht="13.95" customHeight="1" x14ac:dyDescent="0.3">
      <c r="A424">
        <f>ROW([1]DATABASE!A385)</f>
        <v>385</v>
      </c>
      <c r="B424" t="str">
        <f>[1]DATABASE!AJ385</f>
        <v>Palmares</v>
      </c>
      <c r="C424" t="str">
        <f>[1]DATABASE!C385</f>
        <v>836C</v>
      </c>
      <c r="D424" t="str">
        <f>TRIM([1]DATABASE!Q385)</f>
        <v>PSPA</v>
      </c>
      <c r="E424" s="82" t="str">
        <f>_xlfn.TEXTJOIN("; ",TRUE,IF([1]DATABASE!X385&lt;0,"Negative Discount",""),IF(AND([1]DATABASE!Y385&gt;[1]DATABASE!T385,[1]DATABASE!Y385&gt;0,[1]DATABASE!T385&gt;0),"Sell Price &gt; Current",""),IF(AND(TRIM([1]DATABASE!Q385)="DEED",[1]DATABASE!AA385=""),"Deeded no PSPA Date",""),IF([1]DATABASE!E385="","Missing Typology",""),IF([1]DATABASE!AJ385="","Missing Development",""))</f>
        <v/>
      </c>
      <c r="F424" s="82" t="str">
        <f>_xlfn.TEXTJOIN("; ",TRUE,IF(AND(OR(TRIM([1]DATABASE!Q385)="RESERVED",TRIM([1]DATABASE!Q385)="PRE-RESERVED",TRIM([1]DATABASE!Q385)="PSPA"),[1]DATABASE!AA385=""),"Reserved/PSPA no PSPA Date",""),IF(AND(TRIM([1]DATABASE!Q385)="AVAILABLE",[1]DATABASE!AA385&lt;&gt;""),"Available has PSPA Date",""))</f>
        <v/>
      </c>
      <c r="G424" s="82" t="str">
        <f>_xlfn.TEXTJOIN("; ",TRUE,IF(AND([1]DATABASE!T385&lt;0.8*[1]DATABASE!S385,[1]DATABASE!T385&gt;0,[1]DATABASE!S385&gt;0),"Heavy Price Cut &gt;20%",""),IF(AND(OR(TRIM([1]DATABASE!Q385)="AVAILABLE",TRIM([1]DATABASE!Q385)="UPON REQUEST"),OR([1]DATABASE!T385="",[1]DATABASE!T385=0)),"Active Unit no Price",""),IF(AND(OR(TRIM([1]DATABASE!Q385)="AVAILABLE",TRIM([1]DATABASE!Q385)="RESERVED",TRIM([1]DATABASE!Q385)="PRE-RESERVED",TRIM([1]DATABASE!Q385)="PSPA"),[1]DATABASE!AC385=""),"Active no Owner",""),IF(OR([1]DATABASE!F385="",[1]DATABASE!F385&lt;=0),"Missing/Invalid Area",""),IF(AND([1]DATABASE!T385&gt;0,ABS([1]DATABASE!T385-[1]DATABASE!W385-[1]DATABASE!U385-[1]DATABASE!V385)&gt;1),"Price Bridge Mismatch",""))</f>
        <v>Active no Owner</v>
      </c>
      <c r="H424" t="str">
        <f t="shared" si="8"/>
        <v>REVIEW</v>
      </c>
      <c r="I424" s="90">
        <f>[1]DATABASE!T385</f>
        <v>650000</v>
      </c>
      <c r="J424">
        <f>[1]DATABASE!AC385</f>
        <v>0</v>
      </c>
    </row>
    <row r="425" spans="1:10" ht="13.95" customHeight="1" x14ac:dyDescent="0.3">
      <c r="A425">
        <f>ROW([1]DATABASE!A386)</f>
        <v>386</v>
      </c>
      <c r="B425" t="str">
        <f>[1]DATABASE!AJ386</f>
        <v>Botanica</v>
      </c>
      <c r="C425" t="str">
        <f>[1]DATABASE!C386</f>
        <v>AA</v>
      </c>
      <c r="D425" t="str">
        <f>TRIM([1]DATABASE!Q386)</f>
        <v>RESERVED</v>
      </c>
      <c r="E425" s="82" t="str">
        <f>_xlfn.TEXTJOIN("; ",TRUE,IF([1]DATABASE!X386&lt;0,"Negative Discount",""),IF(AND([1]DATABASE!Y386&gt;[1]DATABASE!T386,[1]DATABASE!Y386&gt;0,[1]DATABASE!T386&gt;0),"Sell Price &gt; Current",""),IF(AND(TRIM([1]DATABASE!Q386)="DEED",[1]DATABASE!AA386=""),"Deeded no PSPA Date",""),IF([1]DATABASE!E386="","Missing Typology",""),IF([1]DATABASE!AJ386="","Missing Development",""))</f>
        <v/>
      </c>
      <c r="F425" s="82" t="str">
        <f>_xlfn.TEXTJOIN("; ",TRUE,IF(AND(OR(TRIM([1]DATABASE!Q386)="RESERVED",TRIM([1]DATABASE!Q386)="PRE-RESERVED",TRIM([1]DATABASE!Q386)="PSPA"),[1]DATABASE!AA386=""),"Reserved/PSPA no PSPA Date",""),IF(AND(TRIM([1]DATABASE!Q386)="AVAILABLE",[1]DATABASE!AA386&lt;&gt;""),"Available has PSPA Date",""))</f>
        <v/>
      </c>
      <c r="G425" s="82" t="str">
        <f>_xlfn.TEXTJOIN("; ",TRUE,IF(AND([1]DATABASE!T386&lt;0.8*[1]DATABASE!S386,[1]DATABASE!T386&gt;0,[1]DATABASE!S386&gt;0),"Heavy Price Cut &gt;20%",""),IF(AND(OR(TRIM([1]DATABASE!Q386)="AVAILABLE",TRIM([1]DATABASE!Q386)="UPON REQUEST"),OR([1]DATABASE!T386="",[1]DATABASE!T386=0)),"Active Unit no Price",""),IF(AND(OR(TRIM([1]DATABASE!Q386)="AVAILABLE",TRIM([1]DATABASE!Q386)="RESERVED",TRIM([1]DATABASE!Q386)="PRE-RESERVED",TRIM([1]DATABASE!Q386)="PSPA"),[1]DATABASE!AC386=""),"Active no Owner",""),IF(OR([1]DATABASE!F386="",[1]DATABASE!F386&lt;=0),"Missing/Invalid Area",""),IF(AND([1]DATABASE!T386&gt;0,ABS([1]DATABASE!T386-[1]DATABASE!W386-[1]DATABASE!U386-[1]DATABASE!V386)&gt;1),"Price Bridge Mismatch",""))</f>
        <v/>
      </c>
      <c r="H425" t="str">
        <f t="shared" si="8"/>
        <v>PASS</v>
      </c>
      <c r="I425" s="90">
        <f>[1]DATABASE!T386</f>
        <v>1070000</v>
      </c>
      <c r="J425" t="str">
        <f>[1]DATABASE!AC386</f>
        <v>Ana Damásio</v>
      </c>
    </row>
    <row r="426" spans="1:10" ht="13.95" customHeight="1" x14ac:dyDescent="0.3">
      <c r="A426">
        <f>ROW([1]DATABASE!A387)</f>
        <v>387</v>
      </c>
      <c r="B426" t="str">
        <f>[1]DATABASE!AJ387</f>
        <v>Botanica</v>
      </c>
      <c r="C426" t="str">
        <f>[1]DATABASE!C387</f>
        <v>AK</v>
      </c>
      <c r="D426" t="str">
        <f>TRIM([1]DATABASE!Q387)</f>
        <v>RESERVED</v>
      </c>
      <c r="E426" s="82" t="str">
        <f>_xlfn.TEXTJOIN("; ",TRUE,IF([1]DATABASE!X387&lt;0,"Negative Discount",""),IF(AND([1]DATABASE!Y387&gt;[1]DATABASE!T387,[1]DATABASE!Y387&gt;0,[1]DATABASE!T387&gt;0),"Sell Price &gt; Current",""),IF(AND(TRIM([1]DATABASE!Q387)="DEED",[1]DATABASE!AA387=""),"Deeded no PSPA Date",""),IF([1]DATABASE!E387="","Missing Typology",""),IF([1]DATABASE!AJ387="","Missing Development",""))</f>
        <v/>
      </c>
      <c r="F426" s="82" t="str">
        <f>_xlfn.TEXTJOIN("; ",TRUE,IF(AND(OR(TRIM([1]DATABASE!Q387)="RESERVED",TRIM([1]DATABASE!Q387)="PRE-RESERVED",TRIM([1]DATABASE!Q387)="PSPA"),[1]DATABASE!AA387=""),"Reserved/PSPA no PSPA Date",""),IF(AND(TRIM([1]DATABASE!Q387)="AVAILABLE",[1]DATABASE!AA387&lt;&gt;""),"Available has PSPA Date",""))</f>
        <v>Reserved/PSPA no PSPA Date</v>
      </c>
      <c r="G426" s="82" t="str">
        <f>_xlfn.TEXTJOIN("; ",TRUE,IF(AND([1]DATABASE!T387&lt;0.8*[1]DATABASE!S387,[1]DATABASE!T387&gt;0,[1]DATABASE!S387&gt;0),"Heavy Price Cut &gt;20%",""),IF(AND(OR(TRIM([1]DATABASE!Q387)="AVAILABLE",TRIM([1]DATABASE!Q387)="UPON REQUEST"),OR([1]DATABASE!T387="",[1]DATABASE!T387=0)),"Active Unit no Price",""),IF(AND(OR(TRIM([1]DATABASE!Q387)="AVAILABLE",TRIM([1]DATABASE!Q387)="RESERVED",TRIM([1]DATABASE!Q387)="PRE-RESERVED",TRIM([1]DATABASE!Q387)="PSPA"),[1]DATABASE!AC387=""),"Active no Owner",""),IF(OR([1]DATABASE!F387="",[1]DATABASE!F387&lt;=0),"Missing/Invalid Area",""),IF(AND([1]DATABASE!T387&gt;0,ABS([1]DATABASE!T387-[1]DATABASE!W387-[1]DATABASE!U387-[1]DATABASE!V387)&gt;1),"Price Bridge Mismatch",""))</f>
        <v/>
      </c>
      <c r="H426" t="str">
        <f t="shared" ref="H426:H489" si="9">IF(LEN(E426&amp;F426&amp;G426)&gt;0,"REVIEW","PASS")</f>
        <v>REVIEW</v>
      </c>
      <c r="I426" s="90">
        <f>[1]DATABASE!T387</f>
        <v>960000</v>
      </c>
      <c r="J426" t="str">
        <f>[1]DATABASE!AC387</f>
        <v>Ana Damásio</v>
      </c>
    </row>
    <row r="427" spans="1:10" ht="13.95" customHeight="1" x14ac:dyDescent="0.3">
      <c r="A427">
        <f>ROW([1]DATABASE!A388)</f>
        <v>388</v>
      </c>
      <c r="B427" t="str">
        <f>[1]DATABASE!AJ388</f>
        <v>Palmares</v>
      </c>
      <c r="C427" t="str">
        <f>[1]DATABASE!C388</f>
        <v>18</v>
      </c>
      <c r="D427" t="str">
        <f>TRIM([1]DATABASE!Q388)</f>
        <v>PSPA</v>
      </c>
      <c r="E427" s="82" t="str">
        <f>_xlfn.TEXTJOIN("; ",TRUE,IF([1]DATABASE!X388&lt;0,"Negative Discount",""),IF(AND([1]DATABASE!Y388&gt;[1]DATABASE!T388,[1]DATABASE!Y388&gt;0,[1]DATABASE!T388&gt;0),"Sell Price &gt; Current",""),IF(AND(TRIM([1]DATABASE!Q388)="DEED",[1]DATABASE!AA388=""),"Deeded no PSPA Date",""),IF([1]DATABASE!E388="","Missing Typology",""),IF([1]DATABASE!AJ388="","Missing Development",""))</f>
        <v/>
      </c>
      <c r="F427" s="82" t="str">
        <f>_xlfn.TEXTJOIN("; ",TRUE,IF(AND(OR(TRIM([1]DATABASE!Q388)="RESERVED",TRIM([1]DATABASE!Q388)="PRE-RESERVED",TRIM([1]DATABASE!Q388)="PSPA"),[1]DATABASE!AA388=""),"Reserved/PSPA no PSPA Date",""),IF(AND(TRIM([1]DATABASE!Q388)="AVAILABLE",[1]DATABASE!AA388&lt;&gt;""),"Available has PSPA Date",""))</f>
        <v/>
      </c>
      <c r="G427" s="82" t="str">
        <f>_xlfn.TEXTJOIN("; ",TRUE,IF(AND([1]DATABASE!T388&lt;0.8*[1]DATABASE!S388,[1]DATABASE!T388&gt;0,[1]DATABASE!S388&gt;0),"Heavy Price Cut &gt;20%",""),IF(AND(OR(TRIM([1]DATABASE!Q388)="AVAILABLE",TRIM([1]DATABASE!Q388)="UPON REQUEST"),OR([1]DATABASE!T388="",[1]DATABASE!T388=0)),"Active Unit no Price",""),IF(AND(OR(TRIM([1]DATABASE!Q388)="AVAILABLE",TRIM([1]DATABASE!Q388)="RESERVED",TRIM([1]DATABASE!Q388)="PRE-RESERVED",TRIM([1]DATABASE!Q388)="PSPA"),[1]DATABASE!AC388=""),"Active no Owner",""),IF(OR([1]DATABASE!F388="",[1]DATABASE!F388&lt;=0),"Missing/Invalid Area",""),IF(AND([1]DATABASE!T388&gt;0,ABS([1]DATABASE!T388-[1]DATABASE!W388-[1]DATABASE!U388-[1]DATABASE!V388)&gt;1),"Price Bridge Mismatch",""))</f>
        <v/>
      </c>
      <c r="H427" t="str">
        <f t="shared" si="9"/>
        <v>PASS</v>
      </c>
      <c r="I427" s="90">
        <f>[1]DATABASE!T388</f>
        <v>1200000</v>
      </c>
      <c r="J427" t="str">
        <f>[1]DATABASE!AC388</f>
        <v>Sandra Viegas</v>
      </c>
    </row>
    <row r="428" spans="1:10" ht="13.95" customHeight="1" x14ac:dyDescent="0.3">
      <c r="A428">
        <f>ROW([1]DATABASE!A389)</f>
        <v>389</v>
      </c>
      <c r="B428" t="str">
        <f>[1]DATABASE!AJ389</f>
        <v>Monte Rei</v>
      </c>
      <c r="C428" t="str">
        <f>[1]DATABASE!C389</f>
        <v>AI</v>
      </c>
      <c r="D428" t="str">
        <f>TRIM([1]DATABASE!Q389)</f>
        <v>PRE-RESERVED</v>
      </c>
      <c r="E428" s="82" t="str">
        <f>_xlfn.TEXTJOIN("; ",TRUE,IF([1]DATABASE!X389&lt;0,"Negative Discount",""),IF(AND([1]DATABASE!Y389&gt;[1]DATABASE!T389,[1]DATABASE!Y389&gt;0,[1]DATABASE!T389&gt;0),"Sell Price &gt; Current",""),IF(AND(TRIM([1]DATABASE!Q389)="DEED",[1]DATABASE!AA389=""),"Deeded no PSPA Date",""),IF([1]DATABASE!E389="","Missing Typology",""),IF([1]DATABASE!AJ389="","Missing Development",""))</f>
        <v/>
      </c>
      <c r="F428" s="82" t="str">
        <f>_xlfn.TEXTJOIN("; ",TRUE,IF(AND(OR(TRIM([1]DATABASE!Q389)="RESERVED",TRIM([1]DATABASE!Q389)="PRE-RESERVED",TRIM([1]DATABASE!Q389)="PSPA"),[1]DATABASE!AA389=""),"Reserved/PSPA no PSPA Date",""),IF(AND(TRIM([1]DATABASE!Q389)="AVAILABLE",[1]DATABASE!AA389&lt;&gt;""),"Available has PSPA Date",""))</f>
        <v/>
      </c>
      <c r="G428" s="82" t="str">
        <f>_xlfn.TEXTJOIN("; ",TRUE,IF(AND([1]DATABASE!T389&lt;0.8*[1]DATABASE!S389,[1]DATABASE!T389&gt;0,[1]DATABASE!S389&gt;0),"Heavy Price Cut &gt;20%",""),IF(AND(OR(TRIM([1]DATABASE!Q389)="AVAILABLE",TRIM([1]DATABASE!Q389)="UPON REQUEST"),OR([1]DATABASE!T389="",[1]DATABASE!T389=0)),"Active Unit no Price",""),IF(AND(OR(TRIM([1]DATABASE!Q389)="AVAILABLE",TRIM([1]DATABASE!Q389)="RESERVED",TRIM([1]DATABASE!Q389)="PRE-RESERVED",TRIM([1]DATABASE!Q389)="PSPA"),[1]DATABASE!AC389=""),"Active no Owner",""),IF(OR([1]DATABASE!F389="",[1]DATABASE!F389&lt;=0),"Missing/Invalid Area",""),IF(AND([1]DATABASE!T389&gt;0,ABS([1]DATABASE!T389-[1]DATABASE!W389-[1]DATABASE!U389-[1]DATABASE!V389)&gt;1),"Price Bridge Mismatch",""))</f>
        <v/>
      </c>
      <c r="H428" t="str">
        <f t="shared" si="9"/>
        <v>PASS</v>
      </c>
      <c r="I428" s="90">
        <f>[1]DATABASE!T389</f>
        <v>1120000</v>
      </c>
      <c r="J428" t="str">
        <f>[1]DATABASE!AC389</f>
        <v>Sandra Viegas</v>
      </c>
    </row>
    <row r="429" spans="1:10" ht="13.95" customHeight="1" x14ac:dyDescent="0.3">
      <c r="A429">
        <f>ROW([1]DATABASE!A390)</f>
        <v>390</v>
      </c>
      <c r="B429" t="str">
        <f>[1]DATABASE!AJ390</f>
        <v>Palmares</v>
      </c>
      <c r="C429" t="str">
        <f>[1]DATABASE!C390</f>
        <v>2</v>
      </c>
      <c r="D429" t="str">
        <f>TRIM([1]DATABASE!Q390)</f>
        <v>DEED</v>
      </c>
      <c r="E429" s="82" t="str">
        <f>_xlfn.TEXTJOIN("; ",TRUE,IF([1]DATABASE!X390&lt;0,"Negative Discount",""),IF(AND([1]DATABASE!Y390&gt;[1]DATABASE!T390,[1]DATABASE!Y390&gt;0,[1]DATABASE!T390&gt;0),"Sell Price &gt; Current",""),IF(AND(TRIM([1]DATABASE!Q390)="DEED",[1]DATABASE!AA390=""),"Deeded no PSPA Date",""),IF([1]DATABASE!E390="","Missing Typology",""),IF([1]DATABASE!AJ390="","Missing Development",""))</f>
        <v>Deeded no PSPA Date</v>
      </c>
      <c r="F429" s="82" t="str">
        <f>_xlfn.TEXTJOIN("; ",TRUE,IF(AND(OR(TRIM([1]DATABASE!Q390)="RESERVED",TRIM([1]DATABASE!Q390)="PRE-RESERVED",TRIM([1]DATABASE!Q390)="PSPA"),[1]DATABASE!AA390=""),"Reserved/PSPA no PSPA Date",""),IF(AND(TRIM([1]DATABASE!Q390)="AVAILABLE",[1]DATABASE!AA390&lt;&gt;""),"Available has PSPA Date",""))</f>
        <v/>
      </c>
      <c r="G429" s="82" t="str">
        <f>_xlfn.TEXTJOIN("; ",TRUE,IF(AND([1]DATABASE!T390&lt;0.8*[1]DATABASE!S390,[1]DATABASE!T390&gt;0,[1]DATABASE!S390&gt;0),"Heavy Price Cut &gt;20%",""),IF(AND(OR(TRIM([1]DATABASE!Q390)="AVAILABLE",TRIM([1]DATABASE!Q390)="UPON REQUEST"),OR([1]DATABASE!T390="",[1]DATABASE!T390=0)),"Active Unit no Price",""),IF(AND(OR(TRIM([1]DATABASE!Q390)="AVAILABLE",TRIM([1]DATABASE!Q390)="RESERVED",TRIM([1]DATABASE!Q390)="PRE-RESERVED",TRIM([1]DATABASE!Q390)="PSPA"),[1]DATABASE!AC390=""),"Active no Owner",""),IF(OR([1]DATABASE!F390="",[1]DATABASE!F390&lt;=0),"Missing/Invalid Area",""),IF(AND([1]DATABASE!T390&gt;0,ABS([1]DATABASE!T390-[1]DATABASE!W390-[1]DATABASE!U390-[1]DATABASE!V390)&gt;1),"Price Bridge Mismatch",""))</f>
        <v/>
      </c>
      <c r="H429" t="str">
        <f t="shared" si="9"/>
        <v>REVIEW</v>
      </c>
      <c r="I429" s="90">
        <f>[1]DATABASE!T390</f>
        <v>2500000</v>
      </c>
      <c r="J429" t="str">
        <f>[1]DATABASE!AC390</f>
        <v>Sandra Viegas</v>
      </c>
    </row>
    <row r="430" spans="1:10" ht="13.95" customHeight="1" x14ac:dyDescent="0.3">
      <c r="A430">
        <f>ROW([1]DATABASE!A391)</f>
        <v>391</v>
      </c>
      <c r="B430" t="str">
        <f>[1]DATABASE!AJ391</f>
        <v>Botanica</v>
      </c>
      <c r="C430" t="str">
        <f>[1]DATABASE!C391</f>
        <v>BB</v>
      </c>
      <c r="D430" t="str">
        <f>TRIM([1]DATABASE!Q391)</f>
        <v>RESERVED</v>
      </c>
      <c r="E430" s="82" t="str">
        <f>_xlfn.TEXTJOIN("; ",TRUE,IF([1]DATABASE!X391&lt;0,"Negative Discount",""),IF(AND([1]DATABASE!Y391&gt;[1]DATABASE!T391,[1]DATABASE!Y391&gt;0,[1]DATABASE!T391&gt;0),"Sell Price &gt; Current",""),IF(AND(TRIM([1]DATABASE!Q391)="DEED",[1]DATABASE!AA391=""),"Deeded no PSPA Date",""),IF([1]DATABASE!E391="","Missing Typology",""),IF([1]DATABASE!AJ391="","Missing Development",""))</f>
        <v/>
      </c>
      <c r="F430" s="82" t="str">
        <f>_xlfn.TEXTJOIN("; ",TRUE,IF(AND(OR(TRIM([1]DATABASE!Q391)="RESERVED",TRIM([1]DATABASE!Q391)="PRE-RESERVED",TRIM([1]DATABASE!Q391)="PSPA"),[1]DATABASE!AA391=""),"Reserved/PSPA no PSPA Date",""),IF(AND(TRIM([1]DATABASE!Q391)="AVAILABLE",[1]DATABASE!AA391&lt;&gt;""),"Available has PSPA Date",""))</f>
        <v>Reserved/PSPA no PSPA Date</v>
      </c>
      <c r="G430" s="82" t="str">
        <f>_xlfn.TEXTJOIN("; ",TRUE,IF(AND([1]DATABASE!T391&lt;0.8*[1]DATABASE!S391,[1]DATABASE!T391&gt;0,[1]DATABASE!S391&gt;0),"Heavy Price Cut &gt;20%",""),IF(AND(OR(TRIM([1]DATABASE!Q391)="AVAILABLE",TRIM([1]DATABASE!Q391)="UPON REQUEST"),OR([1]DATABASE!T391="",[1]DATABASE!T391=0)),"Active Unit no Price",""),IF(AND(OR(TRIM([1]DATABASE!Q391)="AVAILABLE",TRIM([1]DATABASE!Q391)="RESERVED",TRIM([1]DATABASE!Q391)="PRE-RESERVED",TRIM([1]DATABASE!Q391)="PSPA"),[1]DATABASE!AC391=""),"Active no Owner",""),IF(OR([1]DATABASE!F391="",[1]DATABASE!F391&lt;=0),"Missing/Invalid Area",""),IF(AND([1]DATABASE!T391&gt;0,ABS([1]DATABASE!T391-[1]DATABASE!W391-[1]DATABASE!U391-[1]DATABASE!V391)&gt;1),"Price Bridge Mismatch",""))</f>
        <v/>
      </c>
      <c r="H430" t="str">
        <f t="shared" si="9"/>
        <v>REVIEW</v>
      </c>
      <c r="I430" s="90">
        <f>[1]DATABASE!T391</f>
        <v>1160000</v>
      </c>
      <c r="J430" t="str">
        <f>[1]DATABASE!AC391</f>
        <v>Ana Damásio</v>
      </c>
    </row>
    <row r="431" spans="1:10" ht="13.95" customHeight="1" x14ac:dyDescent="0.3">
      <c r="A431">
        <f>ROW([1]DATABASE!A392)</f>
        <v>392</v>
      </c>
      <c r="B431" t="str">
        <f>[1]DATABASE!AJ392</f>
        <v>Monte Rei</v>
      </c>
      <c r="C431" t="str">
        <f>[1]DATABASE!C392</f>
        <v>AH</v>
      </c>
      <c r="D431" t="str">
        <f>TRIM([1]DATABASE!Q392)</f>
        <v>PRE-RESERVED</v>
      </c>
      <c r="E431" s="82" t="str">
        <f>_xlfn.TEXTJOIN("; ",TRUE,IF([1]DATABASE!X392&lt;0,"Negative Discount",""),IF(AND([1]DATABASE!Y392&gt;[1]DATABASE!T392,[1]DATABASE!Y392&gt;0,[1]DATABASE!T392&gt;0),"Sell Price &gt; Current",""),IF(AND(TRIM([1]DATABASE!Q392)="DEED",[1]DATABASE!AA392=""),"Deeded no PSPA Date",""),IF([1]DATABASE!E392="","Missing Typology",""),IF([1]DATABASE!AJ392="","Missing Development",""))</f>
        <v/>
      </c>
      <c r="F431" s="82" t="str">
        <f>_xlfn.TEXTJOIN("; ",TRUE,IF(AND(OR(TRIM([1]DATABASE!Q392)="RESERVED",TRIM([1]DATABASE!Q392)="PRE-RESERVED",TRIM([1]DATABASE!Q392)="PSPA"),[1]DATABASE!AA392=""),"Reserved/PSPA no PSPA Date",""),IF(AND(TRIM([1]DATABASE!Q392)="AVAILABLE",[1]DATABASE!AA392&lt;&gt;""),"Available has PSPA Date",""))</f>
        <v/>
      </c>
      <c r="G431" s="82" t="str">
        <f>_xlfn.TEXTJOIN("; ",TRUE,IF(AND([1]DATABASE!T392&lt;0.8*[1]DATABASE!S392,[1]DATABASE!T392&gt;0,[1]DATABASE!S392&gt;0),"Heavy Price Cut &gt;20%",""),IF(AND(OR(TRIM([1]DATABASE!Q392)="AVAILABLE",TRIM([1]DATABASE!Q392)="UPON REQUEST"),OR([1]DATABASE!T392="",[1]DATABASE!T392=0)),"Active Unit no Price",""),IF(AND(OR(TRIM([1]DATABASE!Q392)="AVAILABLE",TRIM([1]DATABASE!Q392)="RESERVED",TRIM([1]DATABASE!Q392)="PRE-RESERVED",TRIM([1]DATABASE!Q392)="PSPA"),[1]DATABASE!AC392=""),"Active no Owner",""),IF(OR([1]DATABASE!F392="",[1]DATABASE!F392&lt;=0),"Missing/Invalid Area",""),IF(AND([1]DATABASE!T392&gt;0,ABS([1]DATABASE!T392-[1]DATABASE!W392-[1]DATABASE!U392-[1]DATABASE!V392)&gt;1),"Price Bridge Mismatch",""))</f>
        <v/>
      </c>
      <c r="H431" t="str">
        <f t="shared" si="9"/>
        <v>PASS</v>
      </c>
      <c r="I431" s="90">
        <f>[1]DATABASE!T392</f>
        <v>1150000</v>
      </c>
      <c r="J431" t="str">
        <f>[1]DATABASE!AC392</f>
        <v>Sandra Viegas</v>
      </c>
    </row>
    <row r="432" spans="1:10" ht="13.95" customHeight="1" x14ac:dyDescent="0.3">
      <c r="A432">
        <f>ROW([1]DATABASE!A393)</f>
        <v>393</v>
      </c>
      <c r="B432" t="str">
        <f>[1]DATABASE!AJ393</f>
        <v>The Nine</v>
      </c>
      <c r="C432" t="str">
        <f>[1]DATABASE!C393</f>
        <v>AE</v>
      </c>
      <c r="D432" t="str">
        <f>TRIM([1]DATABASE!Q393)</f>
        <v>DEED</v>
      </c>
      <c r="E432" s="82" t="str">
        <f>_xlfn.TEXTJOIN("; ",TRUE,IF([1]DATABASE!X393&lt;0,"Negative Discount",""),IF(AND([1]DATABASE!Y393&gt;[1]DATABASE!T393,[1]DATABASE!Y393&gt;0,[1]DATABASE!T393&gt;0),"Sell Price &gt; Current",""),IF(AND(TRIM([1]DATABASE!Q393)="DEED",[1]DATABASE!AA393=""),"Deeded no PSPA Date",""),IF([1]DATABASE!E393="","Missing Typology",""),IF([1]DATABASE!AJ393="","Missing Development",""))</f>
        <v>Deeded no PSPA Date</v>
      </c>
      <c r="F432" s="82" t="str">
        <f>_xlfn.TEXTJOIN("; ",TRUE,IF(AND(OR(TRIM([1]DATABASE!Q393)="RESERVED",TRIM([1]DATABASE!Q393)="PRE-RESERVED",TRIM([1]DATABASE!Q393)="PSPA"),[1]DATABASE!AA393=""),"Reserved/PSPA no PSPA Date",""),IF(AND(TRIM([1]DATABASE!Q393)="AVAILABLE",[1]DATABASE!AA393&lt;&gt;""),"Available has PSPA Date",""))</f>
        <v/>
      </c>
      <c r="G432" s="82" t="str">
        <f>_xlfn.TEXTJOIN("; ",TRUE,IF(AND([1]DATABASE!T393&lt;0.8*[1]DATABASE!S393,[1]DATABASE!T393&gt;0,[1]DATABASE!S393&gt;0),"Heavy Price Cut &gt;20%",""),IF(AND(OR(TRIM([1]DATABASE!Q393)="AVAILABLE",TRIM([1]DATABASE!Q393)="UPON REQUEST"),OR([1]DATABASE!T393="",[1]DATABASE!T393=0)),"Active Unit no Price",""),IF(AND(OR(TRIM([1]DATABASE!Q393)="AVAILABLE",TRIM([1]DATABASE!Q393)="RESERVED",TRIM([1]DATABASE!Q393)="PRE-RESERVED",TRIM([1]DATABASE!Q393)="PSPA"),[1]DATABASE!AC393=""),"Active no Owner",""),IF(OR([1]DATABASE!F393="",[1]DATABASE!F393&lt;=0),"Missing/Invalid Area",""),IF(AND([1]DATABASE!T393&gt;0,ABS([1]DATABASE!T393-[1]DATABASE!W393-[1]DATABASE!U393-[1]DATABASE!V393)&gt;1),"Price Bridge Mismatch",""))</f>
        <v/>
      </c>
      <c r="H432" t="str">
        <f t="shared" si="9"/>
        <v>REVIEW</v>
      </c>
      <c r="I432" s="90">
        <f>[1]DATABASE!T393</f>
        <v>630000</v>
      </c>
      <c r="J432" t="str">
        <f>[1]DATABASE!AC393</f>
        <v>Ana Damásio</v>
      </c>
    </row>
    <row r="433" spans="1:10" ht="13.95" customHeight="1" x14ac:dyDescent="0.3">
      <c r="A433">
        <f>ROW([1]DATABASE!A394)</f>
        <v>394</v>
      </c>
      <c r="B433" t="str">
        <f>[1]DATABASE!AJ394</f>
        <v>The Nine</v>
      </c>
      <c r="C433" t="str">
        <f>[1]DATABASE!C394</f>
        <v>AF</v>
      </c>
      <c r="D433" t="str">
        <f>TRIM([1]DATABASE!Q394)</f>
        <v>DEED</v>
      </c>
      <c r="E433" s="82" t="str">
        <f>_xlfn.TEXTJOIN("; ",TRUE,IF([1]DATABASE!X394&lt;0,"Negative Discount",""),IF(AND([1]DATABASE!Y394&gt;[1]DATABASE!T394,[1]DATABASE!Y394&gt;0,[1]DATABASE!T394&gt;0),"Sell Price &gt; Current",""),IF(AND(TRIM([1]DATABASE!Q394)="DEED",[1]DATABASE!AA394=""),"Deeded no PSPA Date",""),IF([1]DATABASE!E394="","Missing Typology",""),IF([1]DATABASE!AJ394="","Missing Development",""))</f>
        <v/>
      </c>
      <c r="F433" s="82" t="str">
        <f>_xlfn.TEXTJOIN("; ",TRUE,IF(AND(OR(TRIM([1]DATABASE!Q394)="RESERVED",TRIM([1]DATABASE!Q394)="PRE-RESERVED",TRIM([1]DATABASE!Q394)="PSPA"),[1]DATABASE!AA394=""),"Reserved/PSPA no PSPA Date",""),IF(AND(TRIM([1]DATABASE!Q394)="AVAILABLE",[1]DATABASE!AA394&lt;&gt;""),"Available has PSPA Date",""))</f>
        <v/>
      </c>
      <c r="G433" s="82" t="str">
        <f>_xlfn.TEXTJOIN("; ",TRUE,IF(AND([1]DATABASE!T394&lt;0.8*[1]DATABASE!S394,[1]DATABASE!T394&gt;0,[1]DATABASE!S394&gt;0),"Heavy Price Cut &gt;20%",""),IF(AND(OR(TRIM([1]DATABASE!Q394)="AVAILABLE",TRIM([1]DATABASE!Q394)="UPON REQUEST"),OR([1]DATABASE!T394="",[1]DATABASE!T394=0)),"Active Unit no Price",""),IF(AND(OR(TRIM([1]DATABASE!Q394)="AVAILABLE",TRIM([1]DATABASE!Q394)="RESERVED",TRIM([1]DATABASE!Q394)="PRE-RESERVED",TRIM([1]DATABASE!Q394)="PSPA"),[1]DATABASE!AC394=""),"Active no Owner",""),IF(OR([1]DATABASE!F394="",[1]DATABASE!F394&lt;=0),"Missing/Invalid Area",""),IF(AND([1]DATABASE!T394&gt;0,ABS([1]DATABASE!T394-[1]DATABASE!W394-[1]DATABASE!U394-[1]DATABASE!V394)&gt;1),"Price Bridge Mismatch",""))</f>
        <v/>
      </c>
      <c r="H433" t="str">
        <f t="shared" si="9"/>
        <v>PASS</v>
      </c>
      <c r="I433" s="90">
        <f>[1]DATABASE!T394</f>
        <v>630000</v>
      </c>
      <c r="J433" t="str">
        <f>[1]DATABASE!AC394</f>
        <v>Ana Damásio</v>
      </c>
    </row>
    <row r="434" spans="1:10" ht="13.95" customHeight="1" x14ac:dyDescent="0.3">
      <c r="A434">
        <f>ROW([1]DATABASE!A395)</f>
        <v>395</v>
      </c>
      <c r="B434" t="str">
        <f>[1]DATABASE!AJ395</f>
        <v>The Nine</v>
      </c>
      <c r="C434" t="str">
        <f>[1]DATABASE!C395</f>
        <v>AH</v>
      </c>
      <c r="D434" t="str">
        <f>TRIM([1]DATABASE!Q395)</f>
        <v>DEED</v>
      </c>
      <c r="E434" s="82" t="str">
        <f>_xlfn.TEXTJOIN("; ",TRUE,IF([1]DATABASE!X395&lt;0,"Negative Discount",""),IF(AND([1]DATABASE!Y395&gt;[1]DATABASE!T395,[1]DATABASE!Y395&gt;0,[1]DATABASE!T395&gt;0),"Sell Price &gt; Current",""),IF(AND(TRIM([1]DATABASE!Q395)="DEED",[1]DATABASE!AA395=""),"Deeded no PSPA Date",""),IF([1]DATABASE!E395="","Missing Typology",""),IF([1]DATABASE!AJ395="","Missing Development",""))</f>
        <v>Deeded no PSPA Date</v>
      </c>
      <c r="F434" s="82" t="str">
        <f>_xlfn.TEXTJOIN("; ",TRUE,IF(AND(OR(TRIM([1]DATABASE!Q395)="RESERVED",TRIM([1]DATABASE!Q395)="PRE-RESERVED",TRIM([1]DATABASE!Q395)="PSPA"),[1]DATABASE!AA395=""),"Reserved/PSPA no PSPA Date",""),IF(AND(TRIM([1]DATABASE!Q395)="AVAILABLE",[1]DATABASE!AA395&lt;&gt;""),"Available has PSPA Date",""))</f>
        <v/>
      </c>
      <c r="G434" s="82" t="str">
        <f>_xlfn.TEXTJOIN("; ",TRUE,IF(AND([1]DATABASE!T395&lt;0.8*[1]DATABASE!S395,[1]DATABASE!T395&gt;0,[1]DATABASE!S395&gt;0),"Heavy Price Cut &gt;20%",""),IF(AND(OR(TRIM([1]DATABASE!Q395)="AVAILABLE",TRIM([1]DATABASE!Q395)="UPON REQUEST"),OR([1]DATABASE!T395="",[1]DATABASE!T395=0)),"Active Unit no Price",""),IF(AND(OR(TRIM([1]DATABASE!Q395)="AVAILABLE",TRIM([1]DATABASE!Q395)="RESERVED",TRIM([1]DATABASE!Q395)="PRE-RESERVED",TRIM([1]DATABASE!Q395)="PSPA"),[1]DATABASE!AC395=""),"Active no Owner",""),IF(OR([1]DATABASE!F395="",[1]DATABASE!F395&lt;=0),"Missing/Invalid Area",""),IF(AND([1]DATABASE!T395&gt;0,ABS([1]DATABASE!T395-[1]DATABASE!W395-[1]DATABASE!U395-[1]DATABASE!V395)&gt;1),"Price Bridge Mismatch",""))</f>
        <v/>
      </c>
      <c r="H434" t="str">
        <f t="shared" si="9"/>
        <v>REVIEW</v>
      </c>
      <c r="I434" s="90">
        <f>[1]DATABASE!T395</f>
        <v>630000</v>
      </c>
      <c r="J434" t="str">
        <f>[1]DATABASE!AC395</f>
        <v>Ana Damásio</v>
      </c>
    </row>
    <row r="435" spans="1:10" ht="13.95" customHeight="1" x14ac:dyDescent="0.3">
      <c r="A435">
        <f>ROW([1]DATABASE!A396)</f>
        <v>396</v>
      </c>
      <c r="B435" t="str">
        <f>[1]DATABASE!AJ396</f>
        <v>The Nine</v>
      </c>
      <c r="C435" t="str">
        <f>[1]DATABASE!C396</f>
        <v>I</v>
      </c>
      <c r="D435" t="str">
        <f>TRIM([1]DATABASE!Q396)</f>
        <v>DEED</v>
      </c>
      <c r="E435" s="82" t="str">
        <f>_xlfn.TEXTJOIN("; ",TRUE,IF([1]DATABASE!X396&lt;0,"Negative Discount",""),IF(AND([1]DATABASE!Y396&gt;[1]DATABASE!T396,[1]DATABASE!Y396&gt;0,[1]DATABASE!T396&gt;0),"Sell Price &gt; Current",""),IF(AND(TRIM([1]DATABASE!Q396)="DEED",[1]DATABASE!AA396=""),"Deeded no PSPA Date",""),IF([1]DATABASE!E396="","Missing Typology",""),IF([1]DATABASE!AJ396="","Missing Development",""))</f>
        <v/>
      </c>
      <c r="F435" s="82" t="str">
        <f>_xlfn.TEXTJOIN("; ",TRUE,IF(AND(OR(TRIM([1]DATABASE!Q396)="RESERVED",TRIM([1]DATABASE!Q396)="PRE-RESERVED",TRIM([1]DATABASE!Q396)="PSPA"),[1]DATABASE!AA396=""),"Reserved/PSPA no PSPA Date",""),IF(AND(TRIM([1]DATABASE!Q396)="AVAILABLE",[1]DATABASE!AA396&lt;&gt;""),"Available has PSPA Date",""))</f>
        <v/>
      </c>
      <c r="G435" s="82" t="str">
        <f>_xlfn.TEXTJOIN("; ",TRUE,IF(AND([1]DATABASE!T396&lt;0.8*[1]DATABASE!S396,[1]DATABASE!T396&gt;0,[1]DATABASE!S396&gt;0),"Heavy Price Cut &gt;20%",""),IF(AND(OR(TRIM([1]DATABASE!Q396)="AVAILABLE",TRIM([1]DATABASE!Q396)="UPON REQUEST"),OR([1]DATABASE!T396="",[1]DATABASE!T396=0)),"Active Unit no Price",""),IF(AND(OR(TRIM([1]DATABASE!Q396)="AVAILABLE",TRIM([1]DATABASE!Q396)="RESERVED",TRIM([1]DATABASE!Q396)="PRE-RESERVED",TRIM([1]DATABASE!Q396)="PSPA"),[1]DATABASE!AC396=""),"Active no Owner",""),IF(OR([1]DATABASE!F396="",[1]DATABASE!F396&lt;=0),"Missing/Invalid Area",""),IF(AND([1]DATABASE!T396&gt;0,ABS([1]DATABASE!T396-[1]DATABASE!W396-[1]DATABASE!U396-[1]DATABASE!V396)&gt;1),"Price Bridge Mismatch",""))</f>
        <v/>
      </c>
      <c r="H435" t="str">
        <f t="shared" si="9"/>
        <v>PASS</v>
      </c>
      <c r="I435" s="90">
        <f>[1]DATABASE!T396</f>
        <v>630000</v>
      </c>
      <c r="J435" t="str">
        <f>[1]DATABASE!AC396</f>
        <v>Ana Damásio</v>
      </c>
    </row>
    <row r="436" spans="1:10" ht="13.95" customHeight="1" x14ac:dyDescent="0.3">
      <c r="A436">
        <f>ROW([1]DATABASE!A397)</f>
        <v>397</v>
      </c>
      <c r="B436" t="str">
        <f>[1]DATABASE!AJ397</f>
        <v>The Nine</v>
      </c>
      <c r="C436" t="str">
        <f>[1]DATABASE!C397</f>
        <v>W</v>
      </c>
      <c r="D436" t="str">
        <f>TRIM([1]DATABASE!Q397)</f>
        <v>DEED</v>
      </c>
      <c r="E436" s="82" t="str">
        <f>_xlfn.TEXTJOIN("; ",TRUE,IF([1]DATABASE!X397&lt;0,"Negative Discount",""),IF(AND([1]DATABASE!Y397&gt;[1]DATABASE!T397,[1]DATABASE!Y397&gt;0,[1]DATABASE!T397&gt;0),"Sell Price &gt; Current",""),IF(AND(TRIM([1]DATABASE!Q397)="DEED",[1]DATABASE!AA397=""),"Deeded no PSPA Date",""),IF([1]DATABASE!E397="","Missing Typology",""),IF([1]DATABASE!AJ397="","Missing Development",""))</f>
        <v/>
      </c>
      <c r="F436" s="82" t="str">
        <f>_xlfn.TEXTJOIN("; ",TRUE,IF(AND(OR(TRIM([1]DATABASE!Q397)="RESERVED",TRIM([1]DATABASE!Q397)="PRE-RESERVED",TRIM([1]DATABASE!Q397)="PSPA"),[1]DATABASE!AA397=""),"Reserved/PSPA no PSPA Date",""),IF(AND(TRIM([1]DATABASE!Q397)="AVAILABLE",[1]DATABASE!AA397&lt;&gt;""),"Available has PSPA Date",""))</f>
        <v/>
      </c>
      <c r="G436" s="82" t="str">
        <f>_xlfn.TEXTJOIN("; ",TRUE,IF(AND([1]DATABASE!T397&lt;0.8*[1]DATABASE!S397,[1]DATABASE!T397&gt;0,[1]DATABASE!S397&gt;0),"Heavy Price Cut &gt;20%",""),IF(AND(OR(TRIM([1]DATABASE!Q397)="AVAILABLE",TRIM([1]DATABASE!Q397)="UPON REQUEST"),OR([1]DATABASE!T397="",[1]DATABASE!T397=0)),"Active Unit no Price",""),IF(AND(OR(TRIM([1]DATABASE!Q397)="AVAILABLE",TRIM([1]DATABASE!Q397)="RESERVED",TRIM([1]DATABASE!Q397)="PRE-RESERVED",TRIM([1]DATABASE!Q397)="PSPA"),[1]DATABASE!AC397=""),"Active no Owner",""),IF(OR([1]DATABASE!F397="",[1]DATABASE!F397&lt;=0),"Missing/Invalid Area",""),IF(AND([1]DATABASE!T397&gt;0,ABS([1]DATABASE!T397-[1]DATABASE!W397-[1]DATABASE!U397-[1]DATABASE!V397)&gt;1),"Price Bridge Mismatch",""))</f>
        <v/>
      </c>
      <c r="H436" t="str">
        <f t="shared" si="9"/>
        <v>PASS</v>
      </c>
      <c r="I436" s="90">
        <f>[1]DATABASE!T397</f>
        <v>610000</v>
      </c>
      <c r="J436" t="str">
        <f>[1]DATABASE!AC397</f>
        <v>Ana Damásio</v>
      </c>
    </row>
    <row r="437" spans="1:10" ht="13.95" customHeight="1" x14ac:dyDescent="0.3">
      <c r="A437">
        <f>ROW([1]DATABASE!A398)</f>
        <v>398</v>
      </c>
      <c r="B437" t="str">
        <f>[1]DATABASE!AJ398</f>
        <v>The Nine</v>
      </c>
      <c r="C437" t="str">
        <f>[1]DATABASE!C398</f>
        <v>X</v>
      </c>
      <c r="D437" t="str">
        <f>TRIM([1]DATABASE!Q398)</f>
        <v>DEED</v>
      </c>
      <c r="E437" s="82" t="str">
        <f>_xlfn.TEXTJOIN("; ",TRUE,IF([1]DATABASE!X398&lt;0,"Negative Discount",""),IF(AND([1]DATABASE!Y398&gt;[1]DATABASE!T398,[1]DATABASE!Y398&gt;0,[1]DATABASE!T398&gt;0),"Sell Price &gt; Current",""),IF(AND(TRIM([1]DATABASE!Q398)="DEED",[1]DATABASE!AA398=""),"Deeded no PSPA Date",""),IF([1]DATABASE!E398="","Missing Typology",""),IF([1]DATABASE!AJ398="","Missing Development",""))</f>
        <v/>
      </c>
      <c r="F437" s="82" t="str">
        <f>_xlfn.TEXTJOIN("; ",TRUE,IF(AND(OR(TRIM([1]DATABASE!Q398)="RESERVED",TRIM([1]DATABASE!Q398)="PRE-RESERVED",TRIM([1]DATABASE!Q398)="PSPA"),[1]DATABASE!AA398=""),"Reserved/PSPA no PSPA Date",""),IF(AND(TRIM([1]DATABASE!Q398)="AVAILABLE",[1]DATABASE!AA398&lt;&gt;""),"Available has PSPA Date",""))</f>
        <v/>
      </c>
      <c r="G437" s="82" t="str">
        <f>_xlfn.TEXTJOIN("; ",TRUE,IF(AND([1]DATABASE!T398&lt;0.8*[1]DATABASE!S398,[1]DATABASE!T398&gt;0,[1]DATABASE!S398&gt;0),"Heavy Price Cut &gt;20%",""),IF(AND(OR(TRIM([1]DATABASE!Q398)="AVAILABLE",TRIM([1]DATABASE!Q398)="UPON REQUEST"),OR([1]DATABASE!T398="",[1]DATABASE!T398=0)),"Active Unit no Price",""),IF(AND(OR(TRIM([1]DATABASE!Q398)="AVAILABLE",TRIM([1]DATABASE!Q398)="RESERVED",TRIM([1]DATABASE!Q398)="PRE-RESERVED",TRIM([1]DATABASE!Q398)="PSPA"),[1]DATABASE!AC398=""),"Active no Owner",""),IF(OR([1]DATABASE!F398="",[1]DATABASE!F398&lt;=0),"Missing/Invalid Area",""),IF(AND([1]DATABASE!T398&gt;0,ABS([1]DATABASE!T398-[1]DATABASE!W398-[1]DATABASE!U398-[1]DATABASE!V398)&gt;1),"Price Bridge Mismatch",""))</f>
        <v/>
      </c>
      <c r="H437" t="str">
        <f t="shared" si="9"/>
        <v>PASS</v>
      </c>
      <c r="I437" s="90">
        <f>[1]DATABASE!T398</f>
        <v>610000</v>
      </c>
      <c r="J437" t="str">
        <f>[1]DATABASE!AC398</f>
        <v>Ana Damásio</v>
      </c>
    </row>
    <row r="438" spans="1:10" ht="13.95" customHeight="1" x14ac:dyDescent="0.3">
      <c r="A438">
        <f>ROW([1]DATABASE!A399)</f>
        <v>399</v>
      </c>
      <c r="B438" t="str">
        <f>[1]DATABASE!AJ399</f>
        <v>The Nine</v>
      </c>
      <c r="C438" t="str">
        <f>[1]DATABASE!C399</f>
        <v>AK</v>
      </c>
      <c r="D438" t="str">
        <f>TRIM([1]DATABASE!Q399)</f>
        <v>DEED</v>
      </c>
      <c r="E438" s="82" t="str">
        <f>_xlfn.TEXTJOIN("; ",TRUE,IF([1]DATABASE!X399&lt;0,"Negative Discount",""),IF(AND([1]DATABASE!Y399&gt;[1]DATABASE!T399,[1]DATABASE!Y399&gt;0,[1]DATABASE!T399&gt;0),"Sell Price &gt; Current",""),IF(AND(TRIM([1]DATABASE!Q399)="DEED",[1]DATABASE!AA399=""),"Deeded no PSPA Date",""),IF([1]DATABASE!E399="","Missing Typology",""),IF([1]DATABASE!AJ399="","Missing Development",""))</f>
        <v/>
      </c>
      <c r="F438" s="82" t="str">
        <f>_xlfn.TEXTJOIN("; ",TRUE,IF(AND(OR(TRIM([1]DATABASE!Q399)="RESERVED",TRIM([1]DATABASE!Q399)="PRE-RESERVED",TRIM([1]DATABASE!Q399)="PSPA"),[1]DATABASE!AA399=""),"Reserved/PSPA no PSPA Date",""),IF(AND(TRIM([1]DATABASE!Q399)="AVAILABLE",[1]DATABASE!AA399&lt;&gt;""),"Available has PSPA Date",""))</f>
        <v/>
      </c>
      <c r="G438" s="82" t="str">
        <f>_xlfn.TEXTJOIN("; ",TRUE,IF(AND([1]DATABASE!T399&lt;0.8*[1]DATABASE!S399,[1]DATABASE!T399&gt;0,[1]DATABASE!S399&gt;0),"Heavy Price Cut &gt;20%",""),IF(AND(OR(TRIM([1]DATABASE!Q399)="AVAILABLE",TRIM([1]DATABASE!Q399)="UPON REQUEST"),OR([1]DATABASE!T399="",[1]DATABASE!T399=0)),"Active Unit no Price",""),IF(AND(OR(TRIM([1]DATABASE!Q399)="AVAILABLE",TRIM([1]DATABASE!Q399)="RESERVED",TRIM([1]DATABASE!Q399)="PRE-RESERVED",TRIM([1]DATABASE!Q399)="PSPA"),[1]DATABASE!AC399=""),"Active no Owner",""),IF(OR([1]DATABASE!F399="",[1]DATABASE!F399&lt;=0),"Missing/Invalid Area",""),IF(AND([1]DATABASE!T399&gt;0,ABS([1]DATABASE!T399-[1]DATABASE!W399-[1]DATABASE!U399-[1]DATABASE!V399)&gt;1),"Price Bridge Mismatch",""))</f>
        <v/>
      </c>
      <c r="H438" t="str">
        <f t="shared" si="9"/>
        <v>PASS</v>
      </c>
      <c r="I438" s="90">
        <f>[1]DATABASE!T399</f>
        <v>640000</v>
      </c>
      <c r="J438" t="str">
        <f>[1]DATABASE!AC399</f>
        <v>Ana Damásio</v>
      </c>
    </row>
    <row r="439" spans="1:10" ht="13.95" customHeight="1" x14ac:dyDescent="0.3">
      <c r="A439">
        <f>ROW([1]DATABASE!A400)</f>
        <v>400</v>
      </c>
      <c r="B439" t="str">
        <f>[1]DATABASE!AJ400</f>
        <v>The Nine</v>
      </c>
      <c r="C439" t="str">
        <f>[1]DATABASE!C400</f>
        <v>AL</v>
      </c>
      <c r="D439" t="str">
        <f>TRIM([1]DATABASE!Q400)</f>
        <v>DEED</v>
      </c>
      <c r="E439" s="82" t="str">
        <f>_xlfn.TEXTJOIN("; ",TRUE,IF([1]DATABASE!X400&lt;0,"Negative Discount",""),IF(AND([1]DATABASE!Y400&gt;[1]DATABASE!T400,[1]DATABASE!Y400&gt;0,[1]DATABASE!T400&gt;0),"Sell Price &gt; Current",""),IF(AND(TRIM([1]DATABASE!Q400)="DEED",[1]DATABASE!AA400=""),"Deeded no PSPA Date",""),IF([1]DATABASE!E400="","Missing Typology",""),IF([1]DATABASE!AJ400="","Missing Development",""))</f>
        <v/>
      </c>
      <c r="F439" s="82" t="str">
        <f>_xlfn.TEXTJOIN("; ",TRUE,IF(AND(OR(TRIM([1]DATABASE!Q400)="RESERVED",TRIM([1]DATABASE!Q400)="PRE-RESERVED",TRIM([1]DATABASE!Q400)="PSPA"),[1]DATABASE!AA400=""),"Reserved/PSPA no PSPA Date",""),IF(AND(TRIM([1]DATABASE!Q400)="AVAILABLE",[1]DATABASE!AA400&lt;&gt;""),"Available has PSPA Date",""))</f>
        <v/>
      </c>
      <c r="G439" s="82" t="str">
        <f>_xlfn.TEXTJOIN("; ",TRUE,IF(AND([1]DATABASE!T400&lt;0.8*[1]DATABASE!S400,[1]DATABASE!T400&gt;0,[1]DATABASE!S400&gt;0),"Heavy Price Cut &gt;20%",""),IF(AND(OR(TRIM([1]DATABASE!Q400)="AVAILABLE",TRIM([1]DATABASE!Q400)="UPON REQUEST"),OR([1]DATABASE!T400="",[1]DATABASE!T400=0)),"Active Unit no Price",""),IF(AND(OR(TRIM([1]DATABASE!Q400)="AVAILABLE",TRIM([1]DATABASE!Q400)="RESERVED",TRIM([1]DATABASE!Q400)="PRE-RESERVED",TRIM([1]DATABASE!Q400)="PSPA"),[1]DATABASE!AC400=""),"Active no Owner",""),IF(OR([1]DATABASE!F400="",[1]DATABASE!F400&lt;=0),"Missing/Invalid Area",""),IF(AND([1]DATABASE!T400&gt;0,ABS([1]DATABASE!T400-[1]DATABASE!W400-[1]DATABASE!U400-[1]DATABASE!V400)&gt;1),"Price Bridge Mismatch",""))</f>
        <v/>
      </c>
      <c r="H439" t="str">
        <f t="shared" si="9"/>
        <v>PASS</v>
      </c>
      <c r="I439" s="90">
        <f>[1]DATABASE!T400</f>
        <v>640000</v>
      </c>
      <c r="J439" t="str">
        <f>[1]DATABASE!AC400</f>
        <v>Ana Damásio</v>
      </c>
    </row>
    <row r="440" spans="1:10" ht="13.95" customHeight="1" x14ac:dyDescent="0.3">
      <c r="A440">
        <f>ROW([1]DATABASE!A401)</f>
        <v>401</v>
      </c>
      <c r="B440" t="str">
        <f>[1]DATABASE!AJ401</f>
        <v>The Uncommon</v>
      </c>
      <c r="C440" t="str">
        <f>[1]DATABASE!C401</f>
        <v>502</v>
      </c>
      <c r="D440" t="str">
        <f>TRIM([1]DATABASE!Q401)</f>
        <v>PSPA</v>
      </c>
      <c r="E440" s="82" t="str">
        <f>_xlfn.TEXTJOIN("; ",TRUE,IF([1]DATABASE!X401&lt;0,"Negative Discount",""),IF(AND([1]DATABASE!Y401&gt;[1]DATABASE!T401,[1]DATABASE!Y401&gt;0,[1]DATABASE!T401&gt;0),"Sell Price &gt; Current",""),IF(AND(TRIM([1]DATABASE!Q401)="DEED",[1]DATABASE!AA401=""),"Deeded no PSPA Date",""),IF([1]DATABASE!E401="","Missing Typology",""),IF([1]DATABASE!AJ401="","Missing Development",""))</f>
        <v/>
      </c>
      <c r="F440" s="82" t="str">
        <f>_xlfn.TEXTJOIN("; ",TRUE,IF(AND(OR(TRIM([1]DATABASE!Q401)="RESERVED",TRIM([1]DATABASE!Q401)="PRE-RESERVED",TRIM([1]DATABASE!Q401)="PSPA"),[1]DATABASE!AA401=""),"Reserved/PSPA no PSPA Date",""),IF(AND(TRIM([1]DATABASE!Q401)="AVAILABLE",[1]DATABASE!AA401&lt;&gt;""),"Available has PSPA Date",""))</f>
        <v/>
      </c>
      <c r="G440" s="82" t="str">
        <f>_xlfn.TEXTJOIN("; ",TRUE,IF(AND([1]DATABASE!T401&lt;0.8*[1]DATABASE!S401,[1]DATABASE!T401&gt;0,[1]DATABASE!S401&gt;0),"Heavy Price Cut &gt;20%",""),IF(AND(OR(TRIM([1]DATABASE!Q401)="AVAILABLE",TRIM([1]DATABASE!Q401)="UPON REQUEST"),OR([1]DATABASE!T401="",[1]DATABASE!T401=0)),"Active Unit no Price",""),IF(AND(OR(TRIM([1]DATABASE!Q401)="AVAILABLE",TRIM([1]DATABASE!Q401)="RESERVED",TRIM([1]DATABASE!Q401)="PRE-RESERVED",TRIM([1]DATABASE!Q401)="PSPA"),[1]DATABASE!AC401=""),"Active no Owner",""),IF(OR([1]DATABASE!F401="",[1]DATABASE!F401&lt;=0),"Missing/Invalid Area",""),IF(AND([1]DATABASE!T401&gt;0,ABS([1]DATABASE!T401-[1]DATABASE!W401-[1]DATABASE!U401-[1]DATABASE!V401)&gt;1),"Price Bridge Mismatch",""))</f>
        <v/>
      </c>
      <c r="H440" t="str">
        <f t="shared" si="9"/>
        <v>PASS</v>
      </c>
      <c r="I440" s="90">
        <f>[1]DATABASE!T401</f>
        <v>1440000</v>
      </c>
      <c r="J440" t="str">
        <f>[1]DATABASE!AC401</f>
        <v>Ana Damásio</v>
      </c>
    </row>
    <row r="441" spans="1:10" ht="13.95" customHeight="1" x14ac:dyDescent="0.3">
      <c r="A441">
        <f>ROW([1]DATABASE!A402)</f>
        <v>402</v>
      </c>
      <c r="B441" t="str">
        <f>[1]DATABASE!AJ402</f>
        <v>Aroeira Collections</v>
      </c>
      <c r="C441" t="str">
        <f>[1]DATABASE!C402</f>
        <v>03E</v>
      </c>
      <c r="D441" t="str">
        <f>TRIM([1]DATABASE!Q402)</f>
        <v>AVAILABLE</v>
      </c>
      <c r="E441" s="82" t="str">
        <f>_xlfn.TEXTJOIN("; ",TRUE,IF([1]DATABASE!X402&lt;0,"Negative Discount",""),IF(AND([1]DATABASE!Y402&gt;[1]DATABASE!T402,[1]DATABASE!Y402&gt;0,[1]DATABASE!T402&gt;0),"Sell Price &gt; Current",""),IF(AND(TRIM([1]DATABASE!Q402)="DEED",[1]DATABASE!AA402=""),"Deeded no PSPA Date",""),IF([1]DATABASE!E402="","Missing Typology",""),IF([1]DATABASE!AJ402="","Missing Development",""))</f>
        <v/>
      </c>
      <c r="F441" s="82" t="str">
        <f>_xlfn.TEXTJOIN("; ",TRUE,IF(AND(OR(TRIM([1]DATABASE!Q402)="RESERVED",TRIM([1]DATABASE!Q402)="PRE-RESERVED",TRIM([1]DATABASE!Q402)="PSPA"),[1]DATABASE!AA402=""),"Reserved/PSPA no PSPA Date",""),IF(AND(TRIM([1]DATABASE!Q402)="AVAILABLE",[1]DATABASE!AA402&lt;&gt;""),"Available has PSPA Date",""))</f>
        <v/>
      </c>
      <c r="G441" s="82" t="str">
        <f>_xlfn.TEXTJOIN("; ",TRUE,IF(AND([1]DATABASE!T402&lt;0.8*[1]DATABASE!S402,[1]DATABASE!T402&gt;0,[1]DATABASE!S402&gt;0),"Heavy Price Cut &gt;20%",""),IF(AND(OR(TRIM([1]DATABASE!Q402)="AVAILABLE",TRIM([1]DATABASE!Q402)="UPON REQUEST"),OR([1]DATABASE!T402="",[1]DATABASE!T402=0)),"Active Unit no Price",""),IF(AND(OR(TRIM([1]DATABASE!Q402)="AVAILABLE",TRIM([1]DATABASE!Q402)="RESERVED",TRIM([1]DATABASE!Q402)="PRE-RESERVED",TRIM([1]DATABASE!Q402)="PSPA"),[1]DATABASE!AC402=""),"Active no Owner",""),IF(OR([1]DATABASE!F402="",[1]DATABASE!F402&lt;=0),"Missing/Invalid Area",""),IF(AND([1]DATABASE!T402&gt;0,ABS([1]DATABASE!T402-[1]DATABASE!W402-[1]DATABASE!U402-[1]DATABASE!V402)&gt;1),"Price Bridge Mismatch",""))</f>
        <v/>
      </c>
      <c r="H441" t="str">
        <f t="shared" si="9"/>
        <v>PASS</v>
      </c>
      <c r="I441" s="90">
        <f>[1]DATABASE!T402</f>
        <v>3225000</v>
      </c>
      <c r="J441" t="str">
        <f>[1]DATABASE!AC402</f>
        <v>João Gameiro</v>
      </c>
    </row>
    <row r="442" spans="1:10" ht="13.95" customHeight="1" x14ac:dyDescent="0.3">
      <c r="A442">
        <f>ROW([1]DATABASE!A403)</f>
        <v>403</v>
      </c>
      <c r="B442" t="str">
        <f>[1]DATABASE!AJ403</f>
        <v>Aroeira Collections</v>
      </c>
      <c r="C442" t="str">
        <f>[1]DATABASE!C403</f>
        <v>06D</v>
      </c>
      <c r="D442" t="str">
        <f>TRIM([1]DATABASE!Q403)</f>
        <v>AVAILABLE</v>
      </c>
      <c r="E442" s="82" t="str">
        <f>_xlfn.TEXTJOIN("; ",TRUE,IF([1]DATABASE!X403&lt;0,"Negative Discount",""),IF(AND([1]DATABASE!Y403&gt;[1]DATABASE!T403,[1]DATABASE!Y403&gt;0,[1]DATABASE!T403&gt;0),"Sell Price &gt; Current",""),IF(AND(TRIM([1]DATABASE!Q403)="DEED",[1]DATABASE!AA403=""),"Deeded no PSPA Date",""),IF([1]DATABASE!E403="","Missing Typology",""),IF([1]DATABASE!AJ403="","Missing Development",""))</f>
        <v/>
      </c>
      <c r="F442" s="82" t="str">
        <f>_xlfn.TEXTJOIN("; ",TRUE,IF(AND(OR(TRIM([1]DATABASE!Q403)="RESERVED",TRIM([1]DATABASE!Q403)="PRE-RESERVED",TRIM([1]DATABASE!Q403)="PSPA"),[1]DATABASE!AA403=""),"Reserved/PSPA no PSPA Date",""),IF(AND(TRIM([1]DATABASE!Q403)="AVAILABLE",[1]DATABASE!AA403&lt;&gt;""),"Available has PSPA Date",""))</f>
        <v/>
      </c>
      <c r="G442" s="82" t="str">
        <f>_xlfn.TEXTJOIN("; ",TRUE,IF(AND([1]DATABASE!T403&lt;0.8*[1]DATABASE!S403,[1]DATABASE!T403&gt;0,[1]DATABASE!S403&gt;0),"Heavy Price Cut &gt;20%",""),IF(AND(OR(TRIM([1]DATABASE!Q403)="AVAILABLE",TRIM([1]DATABASE!Q403)="UPON REQUEST"),OR([1]DATABASE!T403="",[1]DATABASE!T403=0)),"Active Unit no Price",""),IF(AND(OR(TRIM([1]DATABASE!Q403)="AVAILABLE",TRIM([1]DATABASE!Q403)="RESERVED",TRIM([1]DATABASE!Q403)="PRE-RESERVED",TRIM([1]DATABASE!Q403)="PSPA"),[1]DATABASE!AC403=""),"Active no Owner",""),IF(OR([1]DATABASE!F403="",[1]DATABASE!F403&lt;=0),"Missing/Invalid Area",""),IF(AND([1]DATABASE!T403&gt;0,ABS([1]DATABASE!T403-[1]DATABASE!W403-[1]DATABASE!U403-[1]DATABASE!V403)&gt;1),"Price Bridge Mismatch",""))</f>
        <v/>
      </c>
      <c r="H442" t="str">
        <f t="shared" si="9"/>
        <v>PASS</v>
      </c>
      <c r="I442" s="90">
        <f>[1]DATABASE!T403</f>
        <v>2570000</v>
      </c>
      <c r="J442" t="str">
        <f>[1]DATABASE!AC403</f>
        <v>João Gameiro</v>
      </c>
    </row>
    <row r="443" spans="1:10" ht="13.95" customHeight="1" x14ac:dyDescent="0.3">
      <c r="A443">
        <f>ROW([1]DATABASE!A404)</f>
        <v>404</v>
      </c>
      <c r="B443" t="str">
        <f>[1]DATABASE!AJ404</f>
        <v>Aroeira Collections</v>
      </c>
      <c r="C443" t="str">
        <f>[1]DATABASE!C404</f>
        <v>07D</v>
      </c>
      <c r="D443" t="str">
        <f>TRIM([1]DATABASE!Q404)</f>
        <v>AVAILABLE</v>
      </c>
      <c r="E443" s="82" t="str">
        <f>_xlfn.TEXTJOIN("; ",TRUE,IF([1]DATABASE!X404&lt;0,"Negative Discount",""),IF(AND([1]DATABASE!Y404&gt;[1]DATABASE!T404,[1]DATABASE!Y404&gt;0,[1]DATABASE!T404&gt;0),"Sell Price &gt; Current",""),IF(AND(TRIM([1]DATABASE!Q404)="DEED",[1]DATABASE!AA404=""),"Deeded no PSPA Date",""),IF([1]DATABASE!E404="","Missing Typology",""),IF([1]DATABASE!AJ404="","Missing Development",""))</f>
        <v/>
      </c>
      <c r="F443" s="82" t="str">
        <f>_xlfn.TEXTJOIN("; ",TRUE,IF(AND(OR(TRIM([1]DATABASE!Q404)="RESERVED",TRIM([1]DATABASE!Q404)="PRE-RESERVED",TRIM([1]DATABASE!Q404)="PSPA"),[1]DATABASE!AA404=""),"Reserved/PSPA no PSPA Date",""),IF(AND(TRIM([1]DATABASE!Q404)="AVAILABLE",[1]DATABASE!AA404&lt;&gt;""),"Available has PSPA Date",""))</f>
        <v/>
      </c>
      <c r="G443" s="82" t="str">
        <f>_xlfn.TEXTJOIN("; ",TRUE,IF(AND([1]DATABASE!T404&lt;0.8*[1]DATABASE!S404,[1]DATABASE!T404&gt;0,[1]DATABASE!S404&gt;0),"Heavy Price Cut &gt;20%",""),IF(AND(OR(TRIM([1]DATABASE!Q404)="AVAILABLE",TRIM([1]DATABASE!Q404)="UPON REQUEST"),OR([1]DATABASE!T404="",[1]DATABASE!T404=0)),"Active Unit no Price",""),IF(AND(OR(TRIM([1]DATABASE!Q404)="AVAILABLE",TRIM([1]DATABASE!Q404)="RESERVED",TRIM([1]DATABASE!Q404)="PRE-RESERVED",TRIM([1]DATABASE!Q404)="PSPA"),[1]DATABASE!AC404=""),"Active no Owner",""),IF(OR([1]DATABASE!F404="",[1]DATABASE!F404&lt;=0),"Missing/Invalid Area",""),IF(AND([1]DATABASE!T404&gt;0,ABS([1]DATABASE!T404-[1]DATABASE!W404-[1]DATABASE!U404-[1]DATABASE!V404)&gt;1),"Price Bridge Mismatch",""))</f>
        <v/>
      </c>
      <c r="H443" t="str">
        <f t="shared" si="9"/>
        <v>PASS</v>
      </c>
      <c r="I443" s="90">
        <f>[1]DATABASE!T404</f>
        <v>2600000</v>
      </c>
      <c r="J443" t="str">
        <f>[1]DATABASE!AC404</f>
        <v>João Gameiro</v>
      </c>
    </row>
    <row r="444" spans="1:10" ht="13.95" customHeight="1" x14ac:dyDescent="0.3">
      <c r="A444">
        <f>ROW([1]DATABASE!A405)</f>
        <v>405</v>
      </c>
      <c r="B444" t="str">
        <f>[1]DATABASE!AJ405</f>
        <v>Aroeira Collections</v>
      </c>
      <c r="C444" t="str">
        <f>[1]DATABASE!C405</f>
        <v>08B</v>
      </c>
      <c r="D444" t="str">
        <f>TRIM([1]DATABASE!Q405)</f>
        <v>AVAILABLE</v>
      </c>
      <c r="E444" s="82" t="str">
        <f>_xlfn.TEXTJOIN("; ",TRUE,IF([1]DATABASE!X405&lt;0,"Negative Discount",""),IF(AND([1]DATABASE!Y405&gt;[1]DATABASE!T405,[1]DATABASE!Y405&gt;0,[1]DATABASE!T405&gt;0),"Sell Price &gt; Current",""),IF(AND(TRIM([1]DATABASE!Q405)="DEED",[1]DATABASE!AA405=""),"Deeded no PSPA Date",""),IF([1]DATABASE!E405="","Missing Typology",""),IF([1]DATABASE!AJ405="","Missing Development",""))</f>
        <v/>
      </c>
      <c r="F444" s="82" t="str">
        <f>_xlfn.TEXTJOIN("; ",TRUE,IF(AND(OR(TRIM([1]DATABASE!Q405)="RESERVED",TRIM([1]DATABASE!Q405)="PRE-RESERVED",TRIM([1]DATABASE!Q405)="PSPA"),[1]DATABASE!AA405=""),"Reserved/PSPA no PSPA Date",""),IF(AND(TRIM([1]DATABASE!Q405)="AVAILABLE",[1]DATABASE!AA405&lt;&gt;""),"Available has PSPA Date",""))</f>
        <v/>
      </c>
      <c r="G444" s="82" t="str">
        <f>_xlfn.TEXTJOIN("; ",TRUE,IF(AND([1]DATABASE!T405&lt;0.8*[1]DATABASE!S405,[1]DATABASE!T405&gt;0,[1]DATABASE!S405&gt;0),"Heavy Price Cut &gt;20%",""),IF(AND(OR(TRIM([1]DATABASE!Q405)="AVAILABLE",TRIM([1]DATABASE!Q405)="UPON REQUEST"),OR([1]DATABASE!T405="",[1]DATABASE!T405=0)),"Active Unit no Price",""),IF(AND(OR(TRIM([1]DATABASE!Q405)="AVAILABLE",TRIM([1]DATABASE!Q405)="RESERVED",TRIM([1]DATABASE!Q405)="PRE-RESERVED",TRIM([1]DATABASE!Q405)="PSPA"),[1]DATABASE!AC405=""),"Active no Owner",""),IF(OR([1]DATABASE!F405="",[1]DATABASE!F405&lt;=0),"Missing/Invalid Area",""),IF(AND([1]DATABASE!T405&gt;0,ABS([1]DATABASE!T405-[1]DATABASE!W405-[1]DATABASE!U405-[1]DATABASE!V405)&gt;1),"Price Bridge Mismatch",""))</f>
        <v/>
      </c>
      <c r="H444" t="str">
        <f t="shared" si="9"/>
        <v>PASS</v>
      </c>
      <c r="I444" s="90">
        <f>[1]DATABASE!T405</f>
        <v>1140000</v>
      </c>
      <c r="J444" t="str">
        <f>[1]DATABASE!AC405</f>
        <v>João Gameiro</v>
      </c>
    </row>
    <row r="445" spans="1:10" ht="13.95" customHeight="1" x14ac:dyDescent="0.3">
      <c r="A445">
        <f>ROW([1]DATABASE!A406)</f>
        <v>406</v>
      </c>
      <c r="B445" t="str">
        <f>[1]DATABASE!AJ406</f>
        <v>Aroeira Collections</v>
      </c>
      <c r="C445" t="str">
        <f>[1]DATABASE!C406</f>
        <v>08D</v>
      </c>
      <c r="D445" t="str">
        <f>TRIM([1]DATABASE!Q406)</f>
        <v>AVAILABLE</v>
      </c>
      <c r="E445" s="82" t="str">
        <f>_xlfn.TEXTJOIN("; ",TRUE,IF([1]DATABASE!X406&lt;0,"Negative Discount",""),IF(AND([1]DATABASE!Y406&gt;[1]DATABASE!T406,[1]DATABASE!Y406&gt;0,[1]DATABASE!T406&gt;0),"Sell Price &gt; Current",""),IF(AND(TRIM([1]DATABASE!Q406)="DEED",[1]DATABASE!AA406=""),"Deeded no PSPA Date",""),IF([1]DATABASE!E406="","Missing Typology",""),IF([1]DATABASE!AJ406="","Missing Development",""))</f>
        <v/>
      </c>
      <c r="F445" s="82" t="str">
        <f>_xlfn.TEXTJOIN("; ",TRUE,IF(AND(OR(TRIM([1]DATABASE!Q406)="RESERVED",TRIM([1]DATABASE!Q406)="PRE-RESERVED",TRIM([1]DATABASE!Q406)="PSPA"),[1]DATABASE!AA406=""),"Reserved/PSPA no PSPA Date",""),IF(AND(TRIM([1]DATABASE!Q406)="AVAILABLE",[1]DATABASE!AA406&lt;&gt;""),"Available has PSPA Date",""))</f>
        <v/>
      </c>
      <c r="G445" s="82" t="str">
        <f>_xlfn.TEXTJOIN("; ",TRUE,IF(AND([1]DATABASE!T406&lt;0.8*[1]DATABASE!S406,[1]DATABASE!T406&gt;0,[1]DATABASE!S406&gt;0),"Heavy Price Cut &gt;20%",""),IF(AND(OR(TRIM([1]DATABASE!Q406)="AVAILABLE",TRIM([1]DATABASE!Q406)="UPON REQUEST"),OR([1]DATABASE!T406="",[1]DATABASE!T406=0)),"Active Unit no Price",""),IF(AND(OR(TRIM([1]DATABASE!Q406)="AVAILABLE",TRIM([1]DATABASE!Q406)="RESERVED",TRIM([1]DATABASE!Q406)="PRE-RESERVED",TRIM([1]DATABASE!Q406)="PSPA"),[1]DATABASE!AC406=""),"Active no Owner",""),IF(OR([1]DATABASE!F406="",[1]DATABASE!F406&lt;=0),"Missing/Invalid Area",""),IF(AND([1]DATABASE!T406&gt;0,ABS([1]DATABASE!T406-[1]DATABASE!W406-[1]DATABASE!U406-[1]DATABASE!V406)&gt;1),"Price Bridge Mismatch",""))</f>
        <v/>
      </c>
      <c r="H445" t="str">
        <f t="shared" si="9"/>
        <v>PASS</v>
      </c>
      <c r="I445" s="90">
        <f>[1]DATABASE!T406</f>
        <v>2600000</v>
      </c>
      <c r="J445" t="str">
        <f>[1]DATABASE!AC406</f>
        <v>João Gameiro</v>
      </c>
    </row>
    <row r="446" spans="1:10" ht="13.95" customHeight="1" x14ac:dyDescent="0.3">
      <c r="A446">
        <f>ROW([1]DATABASE!A407)</f>
        <v>407</v>
      </c>
      <c r="B446" t="str">
        <f>[1]DATABASE!AJ407</f>
        <v>Aroeira Collections</v>
      </c>
      <c r="C446" t="str">
        <f>[1]DATABASE!C407</f>
        <v>09E</v>
      </c>
      <c r="D446" t="str">
        <f>TRIM([1]DATABASE!Q407)</f>
        <v>AVAILABLE</v>
      </c>
      <c r="E446" s="82" t="str">
        <f>_xlfn.TEXTJOIN("; ",TRUE,IF([1]DATABASE!X407&lt;0,"Negative Discount",""),IF(AND([1]DATABASE!Y407&gt;[1]DATABASE!T407,[1]DATABASE!Y407&gt;0,[1]DATABASE!T407&gt;0),"Sell Price &gt; Current",""),IF(AND(TRIM([1]DATABASE!Q407)="DEED",[1]DATABASE!AA407=""),"Deeded no PSPA Date",""),IF([1]DATABASE!E407="","Missing Typology",""),IF([1]DATABASE!AJ407="","Missing Development",""))</f>
        <v/>
      </c>
      <c r="F446" s="82" t="str">
        <f>_xlfn.TEXTJOIN("; ",TRUE,IF(AND(OR(TRIM([1]DATABASE!Q407)="RESERVED",TRIM([1]DATABASE!Q407)="PRE-RESERVED",TRIM([1]DATABASE!Q407)="PSPA"),[1]DATABASE!AA407=""),"Reserved/PSPA no PSPA Date",""),IF(AND(TRIM([1]DATABASE!Q407)="AVAILABLE",[1]DATABASE!AA407&lt;&gt;""),"Available has PSPA Date",""))</f>
        <v/>
      </c>
      <c r="G446" s="82" t="str">
        <f>_xlfn.TEXTJOIN("; ",TRUE,IF(AND([1]DATABASE!T407&lt;0.8*[1]DATABASE!S407,[1]DATABASE!T407&gt;0,[1]DATABASE!S407&gt;0),"Heavy Price Cut &gt;20%",""),IF(AND(OR(TRIM([1]DATABASE!Q407)="AVAILABLE",TRIM([1]DATABASE!Q407)="UPON REQUEST"),OR([1]DATABASE!T407="",[1]DATABASE!T407=0)),"Active Unit no Price",""),IF(AND(OR(TRIM([1]DATABASE!Q407)="AVAILABLE",TRIM([1]DATABASE!Q407)="RESERVED",TRIM([1]DATABASE!Q407)="PRE-RESERVED",TRIM([1]DATABASE!Q407)="PSPA"),[1]DATABASE!AC407=""),"Active no Owner",""),IF(OR([1]DATABASE!F407="",[1]DATABASE!F407&lt;=0),"Missing/Invalid Area",""),IF(AND([1]DATABASE!T407&gt;0,ABS([1]DATABASE!T407-[1]DATABASE!W407-[1]DATABASE!U407-[1]DATABASE!V407)&gt;1),"Price Bridge Mismatch",""))</f>
        <v/>
      </c>
      <c r="H446" t="str">
        <f t="shared" si="9"/>
        <v>PASS</v>
      </c>
      <c r="I446" s="90">
        <f>[1]DATABASE!T407</f>
        <v>3140000</v>
      </c>
      <c r="J446" t="str">
        <f>[1]DATABASE!AC407</f>
        <v>João Gameiro</v>
      </c>
    </row>
    <row r="447" spans="1:10" ht="13.95" customHeight="1" x14ac:dyDescent="0.3">
      <c r="A447">
        <f>ROW([1]DATABASE!A408)</f>
        <v>408</v>
      </c>
      <c r="B447" t="str">
        <f>[1]DATABASE!AJ408</f>
        <v>Aroeira Collections</v>
      </c>
      <c r="C447" t="str">
        <f>[1]DATABASE!C408</f>
        <v>101B</v>
      </c>
      <c r="D447" t="str">
        <f>TRIM([1]DATABASE!Q408)</f>
        <v>AVAILABLE</v>
      </c>
      <c r="E447" s="82" t="str">
        <f>_xlfn.TEXTJOIN("; ",TRUE,IF([1]DATABASE!X408&lt;0,"Negative Discount",""),IF(AND([1]DATABASE!Y408&gt;[1]DATABASE!T408,[1]DATABASE!Y408&gt;0,[1]DATABASE!T408&gt;0),"Sell Price &gt; Current",""),IF(AND(TRIM([1]DATABASE!Q408)="DEED",[1]DATABASE!AA408=""),"Deeded no PSPA Date",""),IF([1]DATABASE!E408="","Missing Typology",""),IF([1]DATABASE!AJ408="","Missing Development",""))</f>
        <v/>
      </c>
      <c r="F447" s="82" t="str">
        <f>_xlfn.TEXTJOIN("; ",TRUE,IF(AND(OR(TRIM([1]DATABASE!Q408)="RESERVED",TRIM([1]DATABASE!Q408)="PRE-RESERVED",TRIM([1]DATABASE!Q408)="PSPA"),[1]DATABASE!AA408=""),"Reserved/PSPA no PSPA Date",""),IF(AND(TRIM([1]DATABASE!Q408)="AVAILABLE",[1]DATABASE!AA408&lt;&gt;""),"Available has PSPA Date",""))</f>
        <v/>
      </c>
      <c r="G447" s="82" t="str">
        <f>_xlfn.TEXTJOIN("; ",TRUE,IF(AND([1]DATABASE!T408&lt;0.8*[1]DATABASE!S408,[1]DATABASE!T408&gt;0,[1]DATABASE!S408&gt;0),"Heavy Price Cut &gt;20%",""),IF(AND(OR(TRIM([1]DATABASE!Q408)="AVAILABLE",TRIM([1]DATABASE!Q408)="UPON REQUEST"),OR([1]DATABASE!T408="",[1]DATABASE!T408=0)),"Active Unit no Price",""),IF(AND(OR(TRIM([1]DATABASE!Q408)="AVAILABLE",TRIM([1]DATABASE!Q408)="RESERVED",TRIM([1]DATABASE!Q408)="PRE-RESERVED",TRIM([1]DATABASE!Q408)="PSPA"),[1]DATABASE!AC408=""),"Active no Owner",""),IF(OR([1]DATABASE!F408="",[1]DATABASE!F408&lt;=0),"Missing/Invalid Area",""),IF(AND([1]DATABASE!T408&gt;0,ABS([1]DATABASE!T408-[1]DATABASE!W408-[1]DATABASE!U408-[1]DATABASE!V408)&gt;1),"Price Bridge Mismatch",""))</f>
        <v/>
      </c>
      <c r="H447" t="str">
        <f t="shared" si="9"/>
        <v>PASS</v>
      </c>
      <c r="I447" s="90">
        <f>[1]DATABASE!T408</f>
        <v>595000</v>
      </c>
      <c r="J447" t="str">
        <f>[1]DATABASE!AC408</f>
        <v>João Gameiro</v>
      </c>
    </row>
    <row r="448" spans="1:10" ht="13.95" customHeight="1" x14ac:dyDescent="0.3">
      <c r="A448">
        <f>ROW([1]DATABASE!A409)</f>
        <v>409</v>
      </c>
      <c r="B448" t="str">
        <f>[1]DATABASE!AJ409</f>
        <v>Aroeira Collections</v>
      </c>
      <c r="C448" t="str">
        <f>[1]DATABASE!C409</f>
        <v>101B</v>
      </c>
      <c r="D448" t="str">
        <f>TRIM([1]DATABASE!Q409)</f>
        <v>NOT FOR SALE</v>
      </c>
      <c r="E448" s="82" t="str">
        <f>_xlfn.TEXTJOIN("; ",TRUE,IF([1]DATABASE!X409&lt;0,"Negative Discount",""),IF(AND([1]DATABASE!Y409&gt;[1]DATABASE!T409,[1]DATABASE!Y409&gt;0,[1]DATABASE!T409&gt;0),"Sell Price &gt; Current",""),IF(AND(TRIM([1]DATABASE!Q409)="DEED",[1]DATABASE!AA409=""),"Deeded no PSPA Date",""),IF([1]DATABASE!E409="","Missing Typology",""),IF([1]DATABASE!AJ409="","Missing Development",""))</f>
        <v/>
      </c>
      <c r="F448" s="82" t="str">
        <f>_xlfn.TEXTJOIN("; ",TRUE,IF(AND(OR(TRIM([1]DATABASE!Q409)="RESERVED",TRIM([1]DATABASE!Q409)="PRE-RESERVED",TRIM([1]DATABASE!Q409)="PSPA"),[1]DATABASE!AA409=""),"Reserved/PSPA no PSPA Date",""),IF(AND(TRIM([1]DATABASE!Q409)="AVAILABLE",[1]DATABASE!AA409&lt;&gt;""),"Available has PSPA Date",""))</f>
        <v/>
      </c>
      <c r="G448" s="82" t="str">
        <f>_xlfn.TEXTJOIN("; ",TRUE,IF(AND([1]DATABASE!T409&lt;0.8*[1]DATABASE!S409,[1]DATABASE!T409&gt;0,[1]DATABASE!S409&gt;0),"Heavy Price Cut &gt;20%",""),IF(AND(OR(TRIM([1]DATABASE!Q409)="AVAILABLE",TRIM([1]DATABASE!Q409)="UPON REQUEST"),OR([1]DATABASE!T409="",[1]DATABASE!T409=0)),"Active Unit no Price",""),IF(AND(OR(TRIM([1]DATABASE!Q409)="AVAILABLE",TRIM([1]DATABASE!Q409)="RESERVED",TRIM([1]DATABASE!Q409)="PRE-RESERVED",TRIM([1]DATABASE!Q409)="PSPA"),[1]DATABASE!AC409=""),"Active no Owner",""),IF(OR([1]DATABASE!F409="",[1]DATABASE!F409&lt;=0),"Missing/Invalid Area",""),IF(AND([1]DATABASE!T409&gt;0,ABS([1]DATABASE!T409-[1]DATABASE!W409-[1]DATABASE!U409-[1]DATABASE!V409)&gt;1),"Price Bridge Mismatch",""))</f>
        <v/>
      </c>
      <c r="H448" t="str">
        <f t="shared" si="9"/>
        <v>PASS</v>
      </c>
      <c r="I448" s="90">
        <f>[1]DATABASE!T409</f>
        <v>825000</v>
      </c>
      <c r="J448" t="str">
        <f>[1]DATABASE!AC409</f>
        <v>João Gameiro</v>
      </c>
    </row>
    <row r="449" spans="1:10" ht="13.95" customHeight="1" x14ac:dyDescent="0.3">
      <c r="A449">
        <f>ROW([1]DATABASE!A410)</f>
        <v>410</v>
      </c>
      <c r="B449" t="str">
        <f>[1]DATABASE!AJ410</f>
        <v>Aroeira Collections</v>
      </c>
      <c r="C449" t="str">
        <f>[1]DATABASE!C410</f>
        <v>102A</v>
      </c>
      <c r="D449" t="str">
        <f>TRIM([1]DATABASE!Q410)</f>
        <v>AVAILABLE</v>
      </c>
      <c r="E449" s="82" t="str">
        <f>_xlfn.TEXTJOIN("; ",TRUE,IF([1]DATABASE!X410&lt;0,"Negative Discount",""),IF(AND([1]DATABASE!Y410&gt;[1]DATABASE!T410,[1]DATABASE!Y410&gt;0,[1]DATABASE!T410&gt;0),"Sell Price &gt; Current",""),IF(AND(TRIM([1]DATABASE!Q410)="DEED",[1]DATABASE!AA410=""),"Deeded no PSPA Date",""),IF([1]DATABASE!E410="","Missing Typology",""),IF([1]DATABASE!AJ410="","Missing Development",""))</f>
        <v/>
      </c>
      <c r="F449" s="82" t="str">
        <f>_xlfn.TEXTJOIN("; ",TRUE,IF(AND(OR(TRIM([1]DATABASE!Q410)="RESERVED",TRIM([1]DATABASE!Q410)="PRE-RESERVED",TRIM([1]DATABASE!Q410)="PSPA"),[1]DATABASE!AA410=""),"Reserved/PSPA no PSPA Date",""),IF(AND(TRIM([1]DATABASE!Q410)="AVAILABLE",[1]DATABASE!AA410&lt;&gt;""),"Available has PSPA Date",""))</f>
        <v/>
      </c>
      <c r="G449" s="82" t="str">
        <f>_xlfn.TEXTJOIN("; ",TRUE,IF(AND([1]DATABASE!T410&lt;0.8*[1]DATABASE!S410,[1]DATABASE!T410&gt;0,[1]DATABASE!S410&gt;0),"Heavy Price Cut &gt;20%",""),IF(AND(OR(TRIM([1]DATABASE!Q410)="AVAILABLE",TRIM([1]DATABASE!Q410)="UPON REQUEST"),OR([1]DATABASE!T410="",[1]DATABASE!T410=0)),"Active Unit no Price",""),IF(AND(OR(TRIM([1]DATABASE!Q410)="AVAILABLE",TRIM([1]DATABASE!Q410)="RESERVED",TRIM([1]DATABASE!Q410)="PRE-RESERVED",TRIM([1]DATABASE!Q410)="PSPA"),[1]DATABASE!AC410=""),"Active no Owner",""),IF(OR([1]DATABASE!F410="",[1]DATABASE!F410&lt;=0),"Missing/Invalid Area",""),IF(AND([1]DATABASE!T410&gt;0,ABS([1]DATABASE!T410-[1]DATABASE!W410-[1]DATABASE!U410-[1]DATABASE!V410)&gt;1),"Price Bridge Mismatch",""))</f>
        <v>Heavy Price Cut &gt;20%</v>
      </c>
      <c r="H449" t="str">
        <f t="shared" si="9"/>
        <v>REVIEW</v>
      </c>
      <c r="I449" s="90">
        <f>[1]DATABASE!T410</f>
        <v>415000</v>
      </c>
      <c r="J449" t="str">
        <f>[1]DATABASE!AC410</f>
        <v>João Gameiro</v>
      </c>
    </row>
    <row r="450" spans="1:10" ht="13.95" customHeight="1" x14ac:dyDescent="0.3">
      <c r="A450">
        <f>ROW([1]DATABASE!A411)</f>
        <v>411</v>
      </c>
      <c r="B450" t="str">
        <f>[1]DATABASE!AJ411</f>
        <v>Aroeira Collections</v>
      </c>
      <c r="C450" t="str">
        <f>[1]DATABASE!C411</f>
        <v>102B</v>
      </c>
      <c r="D450" t="str">
        <f>TRIM([1]DATABASE!Q411)</f>
        <v>AVAILABLE</v>
      </c>
      <c r="E450" s="82" t="str">
        <f>_xlfn.TEXTJOIN("; ",TRUE,IF([1]DATABASE!X411&lt;0,"Negative Discount",""),IF(AND([1]DATABASE!Y411&gt;[1]DATABASE!T411,[1]DATABASE!Y411&gt;0,[1]DATABASE!T411&gt;0),"Sell Price &gt; Current",""),IF(AND(TRIM([1]DATABASE!Q411)="DEED",[1]DATABASE!AA411=""),"Deeded no PSPA Date",""),IF([1]DATABASE!E411="","Missing Typology",""),IF([1]DATABASE!AJ411="","Missing Development",""))</f>
        <v/>
      </c>
      <c r="F450" s="82" t="str">
        <f>_xlfn.TEXTJOIN("; ",TRUE,IF(AND(OR(TRIM([1]DATABASE!Q411)="RESERVED",TRIM([1]DATABASE!Q411)="PRE-RESERVED",TRIM([1]DATABASE!Q411)="PSPA"),[1]DATABASE!AA411=""),"Reserved/PSPA no PSPA Date",""),IF(AND(TRIM([1]DATABASE!Q411)="AVAILABLE",[1]DATABASE!AA411&lt;&gt;""),"Available has PSPA Date",""))</f>
        <v/>
      </c>
      <c r="G450" s="82" t="str">
        <f>_xlfn.TEXTJOIN("; ",TRUE,IF(AND([1]DATABASE!T411&lt;0.8*[1]DATABASE!S411,[1]DATABASE!T411&gt;0,[1]DATABASE!S411&gt;0),"Heavy Price Cut &gt;20%",""),IF(AND(OR(TRIM([1]DATABASE!Q411)="AVAILABLE",TRIM([1]DATABASE!Q411)="UPON REQUEST"),OR([1]DATABASE!T411="",[1]DATABASE!T411=0)),"Active Unit no Price",""),IF(AND(OR(TRIM([1]DATABASE!Q411)="AVAILABLE",TRIM([1]DATABASE!Q411)="RESERVED",TRIM([1]DATABASE!Q411)="PRE-RESERVED",TRIM([1]DATABASE!Q411)="PSPA"),[1]DATABASE!AC411=""),"Active no Owner",""),IF(OR([1]DATABASE!F411="",[1]DATABASE!F411&lt;=0),"Missing/Invalid Area",""),IF(AND([1]DATABASE!T411&gt;0,ABS([1]DATABASE!T411-[1]DATABASE!W411-[1]DATABASE!U411-[1]DATABASE!V411)&gt;1),"Price Bridge Mismatch",""))</f>
        <v/>
      </c>
      <c r="H450" t="str">
        <f t="shared" si="9"/>
        <v>PASS</v>
      </c>
      <c r="I450" s="90">
        <f>[1]DATABASE!T411</f>
        <v>820000</v>
      </c>
      <c r="J450" t="str">
        <f>[1]DATABASE!AC411</f>
        <v>João Gameiro</v>
      </c>
    </row>
    <row r="451" spans="1:10" ht="13.95" customHeight="1" x14ac:dyDescent="0.3">
      <c r="A451">
        <f>ROW([1]DATABASE!A412)</f>
        <v>412</v>
      </c>
      <c r="B451" t="str">
        <f>[1]DATABASE!AJ412</f>
        <v>Aroeira Collections</v>
      </c>
      <c r="C451" t="str">
        <f>[1]DATABASE!C412</f>
        <v>103B</v>
      </c>
      <c r="D451" t="str">
        <f>TRIM([1]DATABASE!Q412)</f>
        <v>NOT FOR SALE</v>
      </c>
      <c r="E451" s="82" t="str">
        <f>_xlfn.TEXTJOIN("; ",TRUE,IF([1]DATABASE!X412&lt;0,"Negative Discount",""),IF(AND([1]DATABASE!Y412&gt;[1]DATABASE!T412,[1]DATABASE!Y412&gt;0,[1]DATABASE!T412&gt;0),"Sell Price &gt; Current",""),IF(AND(TRIM([1]DATABASE!Q412)="DEED",[1]DATABASE!AA412=""),"Deeded no PSPA Date",""),IF([1]DATABASE!E412="","Missing Typology",""),IF([1]DATABASE!AJ412="","Missing Development",""))</f>
        <v/>
      </c>
      <c r="F451" s="82" t="str">
        <f>_xlfn.TEXTJOIN("; ",TRUE,IF(AND(OR(TRIM([1]DATABASE!Q412)="RESERVED",TRIM([1]DATABASE!Q412)="PRE-RESERVED",TRIM([1]DATABASE!Q412)="PSPA"),[1]DATABASE!AA412=""),"Reserved/PSPA no PSPA Date",""),IF(AND(TRIM([1]DATABASE!Q412)="AVAILABLE",[1]DATABASE!AA412&lt;&gt;""),"Available has PSPA Date",""))</f>
        <v/>
      </c>
      <c r="G451" s="82" t="str">
        <f>_xlfn.TEXTJOIN("; ",TRUE,IF(AND([1]DATABASE!T412&lt;0.8*[1]DATABASE!S412,[1]DATABASE!T412&gt;0,[1]DATABASE!S412&gt;0),"Heavy Price Cut &gt;20%",""),IF(AND(OR(TRIM([1]DATABASE!Q412)="AVAILABLE",TRIM([1]DATABASE!Q412)="UPON REQUEST"),OR([1]DATABASE!T412="",[1]DATABASE!T412=0)),"Active Unit no Price",""),IF(AND(OR(TRIM([1]DATABASE!Q412)="AVAILABLE",TRIM([1]DATABASE!Q412)="RESERVED",TRIM([1]DATABASE!Q412)="PRE-RESERVED",TRIM([1]DATABASE!Q412)="PSPA"),[1]DATABASE!AC412=""),"Active no Owner",""),IF(OR([1]DATABASE!F412="",[1]DATABASE!F412&lt;=0),"Missing/Invalid Area",""),IF(AND([1]DATABASE!T412&gt;0,ABS([1]DATABASE!T412-[1]DATABASE!W412-[1]DATABASE!U412-[1]DATABASE!V412)&gt;1),"Price Bridge Mismatch",""))</f>
        <v/>
      </c>
      <c r="H451" t="str">
        <f t="shared" si="9"/>
        <v>PASS</v>
      </c>
      <c r="I451" s="90">
        <f>[1]DATABASE!T412</f>
        <v>830000</v>
      </c>
      <c r="J451" t="str">
        <f>[1]DATABASE!AC412</f>
        <v>João Gameiro</v>
      </c>
    </row>
    <row r="452" spans="1:10" ht="13.95" customHeight="1" x14ac:dyDescent="0.3">
      <c r="A452">
        <f>ROW([1]DATABASE!A413)</f>
        <v>413</v>
      </c>
      <c r="B452" t="str">
        <f>[1]DATABASE!AJ413</f>
        <v>Aroeira Collections</v>
      </c>
      <c r="C452" t="str">
        <f>[1]DATABASE!C413</f>
        <v>104A</v>
      </c>
      <c r="D452" t="str">
        <f>TRIM([1]DATABASE!Q413)</f>
        <v>AVAILABLE</v>
      </c>
      <c r="E452" s="82" t="str">
        <f>_xlfn.TEXTJOIN("; ",TRUE,IF([1]DATABASE!X413&lt;0,"Negative Discount",""),IF(AND([1]DATABASE!Y413&gt;[1]DATABASE!T413,[1]DATABASE!Y413&gt;0,[1]DATABASE!T413&gt;0),"Sell Price &gt; Current",""),IF(AND(TRIM([1]DATABASE!Q413)="DEED",[1]DATABASE!AA413=""),"Deeded no PSPA Date",""),IF([1]DATABASE!E413="","Missing Typology",""),IF([1]DATABASE!AJ413="","Missing Development",""))</f>
        <v/>
      </c>
      <c r="F452" s="82" t="str">
        <f>_xlfn.TEXTJOIN("; ",TRUE,IF(AND(OR(TRIM([1]DATABASE!Q413)="RESERVED",TRIM([1]DATABASE!Q413)="PRE-RESERVED",TRIM([1]DATABASE!Q413)="PSPA"),[1]DATABASE!AA413=""),"Reserved/PSPA no PSPA Date",""),IF(AND(TRIM([1]DATABASE!Q413)="AVAILABLE",[1]DATABASE!AA413&lt;&gt;""),"Available has PSPA Date",""))</f>
        <v/>
      </c>
      <c r="G452" s="82" t="str">
        <f>_xlfn.TEXTJOIN("; ",TRUE,IF(AND([1]DATABASE!T413&lt;0.8*[1]DATABASE!S413,[1]DATABASE!T413&gt;0,[1]DATABASE!S413&gt;0),"Heavy Price Cut &gt;20%",""),IF(AND(OR(TRIM([1]DATABASE!Q413)="AVAILABLE",TRIM([1]DATABASE!Q413)="UPON REQUEST"),OR([1]DATABASE!T413="",[1]DATABASE!T413=0)),"Active Unit no Price",""),IF(AND(OR(TRIM([1]DATABASE!Q413)="AVAILABLE",TRIM([1]DATABASE!Q413)="RESERVED",TRIM([1]DATABASE!Q413)="PRE-RESERVED",TRIM([1]DATABASE!Q413)="PSPA"),[1]DATABASE!AC413=""),"Active no Owner",""),IF(OR([1]DATABASE!F413="",[1]DATABASE!F413&lt;=0),"Missing/Invalid Area",""),IF(AND([1]DATABASE!T413&gt;0,ABS([1]DATABASE!T413-[1]DATABASE!W413-[1]DATABASE!U413-[1]DATABASE!V413)&gt;1),"Price Bridge Mismatch",""))</f>
        <v>Heavy Price Cut &gt;20%</v>
      </c>
      <c r="H452" t="str">
        <f t="shared" si="9"/>
        <v>REVIEW</v>
      </c>
      <c r="I452" s="90">
        <f>[1]DATABASE!T413</f>
        <v>415000</v>
      </c>
      <c r="J452" t="str">
        <f>[1]DATABASE!AC413</f>
        <v>João Gameiro</v>
      </c>
    </row>
    <row r="453" spans="1:10" ht="13.95" customHeight="1" x14ac:dyDescent="0.3">
      <c r="A453">
        <f>ROW([1]DATABASE!A414)</f>
        <v>414</v>
      </c>
      <c r="B453" t="str">
        <f>[1]DATABASE!AJ414</f>
        <v>Aroeira Collections</v>
      </c>
      <c r="C453" t="str">
        <f>[1]DATABASE!C414</f>
        <v>104B</v>
      </c>
      <c r="D453" t="str">
        <f>TRIM([1]DATABASE!Q414)</f>
        <v>AVAILABLE</v>
      </c>
      <c r="E453" s="82" t="str">
        <f>_xlfn.TEXTJOIN("; ",TRUE,IF([1]DATABASE!X414&lt;0,"Negative Discount",""),IF(AND([1]DATABASE!Y414&gt;[1]DATABASE!T414,[1]DATABASE!Y414&gt;0,[1]DATABASE!T414&gt;0),"Sell Price &gt; Current",""),IF(AND(TRIM([1]DATABASE!Q414)="DEED",[1]DATABASE!AA414=""),"Deeded no PSPA Date",""),IF([1]DATABASE!E414="","Missing Typology",""),IF([1]DATABASE!AJ414="","Missing Development",""))</f>
        <v/>
      </c>
      <c r="F453" s="82" t="str">
        <f>_xlfn.TEXTJOIN("; ",TRUE,IF(AND(OR(TRIM([1]DATABASE!Q414)="RESERVED",TRIM([1]DATABASE!Q414)="PRE-RESERVED",TRIM([1]DATABASE!Q414)="PSPA"),[1]DATABASE!AA414=""),"Reserved/PSPA no PSPA Date",""),IF(AND(TRIM([1]DATABASE!Q414)="AVAILABLE",[1]DATABASE!AA414&lt;&gt;""),"Available has PSPA Date",""))</f>
        <v/>
      </c>
      <c r="G453" s="82" t="str">
        <f>_xlfn.TEXTJOIN("; ",TRUE,IF(AND([1]DATABASE!T414&lt;0.8*[1]DATABASE!S414,[1]DATABASE!T414&gt;0,[1]DATABASE!S414&gt;0),"Heavy Price Cut &gt;20%",""),IF(AND(OR(TRIM([1]DATABASE!Q414)="AVAILABLE",TRIM([1]DATABASE!Q414)="UPON REQUEST"),OR([1]DATABASE!T414="",[1]DATABASE!T414=0)),"Active Unit no Price",""),IF(AND(OR(TRIM([1]DATABASE!Q414)="AVAILABLE",TRIM([1]DATABASE!Q414)="RESERVED",TRIM([1]DATABASE!Q414)="PRE-RESERVED",TRIM([1]DATABASE!Q414)="PSPA"),[1]DATABASE!AC414=""),"Active no Owner",""),IF(OR([1]DATABASE!F414="",[1]DATABASE!F414&lt;=0),"Missing/Invalid Area",""),IF(AND([1]DATABASE!T414&gt;0,ABS([1]DATABASE!T414-[1]DATABASE!W414-[1]DATABASE!U414-[1]DATABASE!V414)&gt;1),"Price Bridge Mismatch",""))</f>
        <v/>
      </c>
      <c r="H453" t="str">
        <f t="shared" si="9"/>
        <v>PASS</v>
      </c>
      <c r="I453" s="90">
        <f>[1]DATABASE!T414</f>
        <v>835000</v>
      </c>
      <c r="J453" t="str">
        <f>[1]DATABASE!AC414</f>
        <v>João Gameiro</v>
      </c>
    </row>
    <row r="454" spans="1:10" ht="13.95" customHeight="1" x14ac:dyDescent="0.3">
      <c r="A454">
        <f>ROW([1]DATABASE!A415)</f>
        <v>415</v>
      </c>
      <c r="B454" t="str">
        <f>[1]DATABASE!AJ415</f>
        <v>Palmares</v>
      </c>
      <c r="C454" t="str">
        <f>[1]DATABASE!C415</f>
        <v>16C</v>
      </c>
      <c r="D454" t="str">
        <f>TRIM([1]DATABASE!Q415)</f>
        <v>RESERVED</v>
      </c>
      <c r="E454" s="82" t="str">
        <f>_xlfn.TEXTJOIN("; ",TRUE,IF([1]DATABASE!X415&lt;0,"Negative Discount",""),IF(AND([1]DATABASE!Y415&gt;[1]DATABASE!T415,[1]DATABASE!Y415&gt;0,[1]DATABASE!T415&gt;0),"Sell Price &gt; Current",""),IF(AND(TRIM([1]DATABASE!Q415)="DEED",[1]DATABASE!AA415=""),"Deeded no PSPA Date",""),IF([1]DATABASE!E415="","Missing Typology",""),IF([1]DATABASE!AJ415="","Missing Development",""))</f>
        <v/>
      </c>
      <c r="F454" s="82" t="str">
        <f>_xlfn.TEXTJOIN("; ",TRUE,IF(AND(OR(TRIM([1]DATABASE!Q415)="RESERVED",TRIM([1]DATABASE!Q415)="PRE-RESERVED",TRIM([1]DATABASE!Q415)="PSPA"),[1]DATABASE!AA415=""),"Reserved/PSPA no PSPA Date",""),IF(AND(TRIM([1]DATABASE!Q415)="AVAILABLE",[1]DATABASE!AA415&lt;&gt;""),"Available has PSPA Date",""))</f>
        <v/>
      </c>
      <c r="G454" s="82" t="str">
        <f>_xlfn.TEXTJOIN("; ",TRUE,IF(AND([1]DATABASE!T415&lt;0.8*[1]DATABASE!S415,[1]DATABASE!T415&gt;0,[1]DATABASE!S415&gt;0),"Heavy Price Cut &gt;20%",""),IF(AND(OR(TRIM([1]DATABASE!Q415)="AVAILABLE",TRIM([1]DATABASE!Q415)="UPON REQUEST"),OR([1]DATABASE!T415="",[1]DATABASE!T415=0)),"Active Unit no Price",""),IF(AND(OR(TRIM([1]DATABASE!Q415)="AVAILABLE",TRIM([1]DATABASE!Q415)="RESERVED",TRIM([1]DATABASE!Q415)="PRE-RESERVED",TRIM([1]DATABASE!Q415)="PSPA"),[1]DATABASE!AC415=""),"Active no Owner",""),IF(OR([1]DATABASE!F415="",[1]DATABASE!F415&lt;=0),"Missing/Invalid Area",""),IF(AND([1]DATABASE!T415&gt;0,ABS([1]DATABASE!T415-[1]DATABASE!W415-[1]DATABASE!U415-[1]DATABASE!V415)&gt;1),"Price Bridge Mismatch",""))</f>
        <v>Active no Owner</v>
      </c>
      <c r="H454" t="str">
        <f t="shared" si="9"/>
        <v>REVIEW</v>
      </c>
      <c r="I454" s="90">
        <f>[1]DATABASE!T415</f>
        <v>730000</v>
      </c>
      <c r="J454">
        <f>[1]DATABASE!AC415</f>
        <v>0</v>
      </c>
    </row>
    <row r="455" spans="1:10" ht="13.95" customHeight="1" x14ac:dyDescent="0.3">
      <c r="A455">
        <f>ROW([1]DATABASE!A416)</f>
        <v>416</v>
      </c>
      <c r="B455" t="str">
        <f>[1]DATABASE!AJ416</f>
        <v>Palmares</v>
      </c>
      <c r="C455" t="str">
        <f>[1]DATABASE!C416</f>
        <v>1A</v>
      </c>
      <c r="D455" t="str">
        <f>TRIM([1]DATABASE!Q416)</f>
        <v>RESERVED</v>
      </c>
      <c r="E455" s="82" t="str">
        <f>_xlfn.TEXTJOIN("; ",TRUE,IF([1]DATABASE!X416&lt;0,"Negative Discount",""),IF(AND([1]DATABASE!Y416&gt;[1]DATABASE!T416,[1]DATABASE!Y416&gt;0,[1]DATABASE!T416&gt;0),"Sell Price &gt; Current",""),IF(AND(TRIM([1]DATABASE!Q416)="DEED",[1]DATABASE!AA416=""),"Deeded no PSPA Date",""),IF([1]DATABASE!E416="","Missing Typology",""),IF([1]DATABASE!AJ416="","Missing Development",""))</f>
        <v/>
      </c>
      <c r="F455" s="82" t="str">
        <f>_xlfn.TEXTJOIN("; ",TRUE,IF(AND(OR(TRIM([1]DATABASE!Q416)="RESERVED",TRIM([1]DATABASE!Q416)="PRE-RESERVED",TRIM([1]DATABASE!Q416)="PSPA"),[1]DATABASE!AA416=""),"Reserved/PSPA no PSPA Date",""),IF(AND(TRIM([1]DATABASE!Q416)="AVAILABLE",[1]DATABASE!AA416&lt;&gt;""),"Available has PSPA Date",""))</f>
        <v>Reserved/PSPA no PSPA Date</v>
      </c>
      <c r="G455" s="82" t="str">
        <f>_xlfn.TEXTJOIN("; ",TRUE,IF(AND([1]DATABASE!T416&lt;0.8*[1]DATABASE!S416,[1]DATABASE!T416&gt;0,[1]DATABASE!S416&gt;0),"Heavy Price Cut &gt;20%",""),IF(AND(OR(TRIM([1]DATABASE!Q416)="AVAILABLE",TRIM([1]DATABASE!Q416)="UPON REQUEST"),OR([1]DATABASE!T416="",[1]DATABASE!T416=0)),"Active Unit no Price",""),IF(AND(OR(TRIM([1]DATABASE!Q416)="AVAILABLE",TRIM([1]DATABASE!Q416)="RESERVED",TRIM([1]DATABASE!Q416)="PRE-RESERVED",TRIM([1]DATABASE!Q416)="PSPA"),[1]DATABASE!AC416=""),"Active no Owner",""),IF(OR([1]DATABASE!F416="",[1]DATABASE!F416&lt;=0),"Missing/Invalid Area",""),IF(AND([1]DATABASE!T416&gt;0,ABS([1]DATABASE!T416-[1]DATABASE!W416-[1]DATABASE!U416-[1]DATABASE!V416)&gt;1),"Price Bridge Mismatch",""))</f>
        <v>Active no Owner</v>
      </c>
      <c r="H455" t="str">
        <f t="shared" si="9"/>
        <v>REVIEW</v>
      </c>
      <c r="I455" s="90">
        <f>[1]DATABASE!T416</f>
        <v>820000</v>
      </c>
      <c r="J455">
        <f>[1]DATABASE!AC416</f>
        <v>0</v>
      </c>
    </row>
    <row r="456" spans="1:10" ht="13.95" customHeight="1" x14ac:dyDescent="0.3">
      <c r="A456">
        <f>ROW([1]DATABASE!A417)</f>
        <v>417</v>
      </c>
      <c r="B456" t="str">
        <f>[1]DATABASE!AJ417</f>
        <v>Palmares</v>
      </c>
      <c r="C456" t="str">
        <f>[1]DATABASE!C417</f>
        <v>8A</v>
      </c>
      <c r="D456" t="str">
        <f>TRIM([1]DATABASE!Q417)</f>
        <v>RESERVED</v>
      </c>
      <c r="E456" s="82" t="str">
        <f>_xlfn.TEXTJOIN("; ",TRUE,IF([1]DATABASE!X417&lt;0,"Negative Discount",""),IF(AND([1]DATABASE!Y417&gt;[1]DATABASE!T417,[1]DATABASE!Y417&gt;0,[1]DATABASE!T417&gt;0),"Sell Price &gt; Current",""),IF(AND(TRIM([1]DATABASE!Q417)="DEED",[1]DATABASE!AA417=""),"Deeded no PSPA Date",""),IF([1]DATABASE!E417="","Missing Typology",""),IF([1]DATABASE!AJ417="","Missing Development",""))</f>
        <v/>
      </c>
      <c r="F456" s="82" t="str">
        <f>_xlfn.TEXTJOIN("; ",TRUE,IF(AND(OR(TRIM([1]DATABASE!Q417)="RESERVED",TRIM([1]DATABASE!Q417)="PRE-RESERVED",TRIM([1]DATABASE!Q417)="PSPA"),[1]DATABASE!AA417=""),"Reserved/PSPA no PSPA Date",""),IF(AND(TRIM([1]DATABASE!Q417)="AVAILABLE",[1]DATABASE!AA417&lt;&gt;""),"Available has PSPA Date",""))</f>
        <v>Reserved/PSPA no PSPA Date</v>
      </c>
      <c r="G456" s="82" t="str">
        <f>_xlfn.TEXTJOIN("; ",TRUE,IF(AND([1]DATABASE!T417&lt;0.8*[1]DATABASE!S417,[1]DATABASE!T417&gt;0,[1]DATABASE!S417&gt;0),"Heavy Price Cut &gt;20%",""),IF(AND(OR(TRIM([1]DATABASE!Q417)="AVAILABLE",TRIM([1]DATABASE!Q417)="UPON REQUEST"),OR([1]DATABASE!T417="",[1]DATABASE!T417=0)),"Active Unit no Price",""),IF(AND(OR(TRIM([1]DATABASE!Q417)="AVAILABLE",TRIM([1]DATABASE!Q417)="RESERVED",TRIM([1]DATABASE!Q417)="PRE-RESERVED",TRIM([1]DATABASE!Q417)="PSPA"),[1]DATABASE!AC417=""),"Active no Owner",""),IF(OR([1]DATABASE!F417="",[1]DATABASE!F417&lt;=0),"Missing/Invalid Area",""),IF(AND([1]DATABASE!T417&gt;0,ABS([1]DATABASE!T417-[1]DATABASE!W417-[1]DATABASE!U417-[1]DATABASE!V417)&gt;1),"Price Bridge Mismatch",""))</f>
        <v>Active no Owner</v>
      </c>
      <c r="H456" t="str">
        <f t="shared" si="9"/>
        <v>REVIEW</v>
      </c>
      <c r="I456" s="90">
        <f>[1]DATABASE!T417</f>
        <v>800000</v>
      </c>
      <c r="J456">
        <f>[1]DATABASE!AC417</f>
        <v>0</v>
      </c>
    </row>
    <row r="457" spans="1:10" ht="13.95" customHeight="1" x14ac:dyDescent="0.3">
      <c r="A457">
        <f>ROW([1]DATABASE!A418)</f>
        <v>418</v>
      </c>
      <c r="B457" t="str">
        <f>[1]DATABASE!AJ418</f>
        <v>Aroeira Collections</v>
      </c>
      <c r="C457" t="str">
        <f>[1]DATABASE!C418</f>
        <v>105A</v>
      </c>
      <c r="D457" t="str">
        <f>TRIM([1]DATABASE!Q418)</f>
        <v>AVAILABLE</v>
      </c>
      <c r="E457" s="82" t="str">
        <f>_xlfn.TEXTJOIN("; ",TRUE,IF([1]DATABASE!X418&lt;0,"Negative Discount",""),IF(AND([1]DATABASE!Y418&gt;[1]DATABASE!T418,[1]DATABASE!Y418&gt;0,[1]DATABASE!T418&gt;0),"Sell Price &gt; Current",""),IF(AND(TRIM([1]DATABASE!Q418)="DEED",[1]DATABASE!AA418=""),"Deeded no PSPA Date",""),IF([1]DATABASE!E418="","Missing Typology",""),IF([1]DATABASE!AJ418="","Missing Development",""))</f>
        <v/>
      </c>
      <c r="F457" s="82" t="str">
        <f>_xlfn.TEXTJOIN("; ",TRUE,IF(AND(OR(TRIM([1]DATABASE!Q418)="RESERVED",TRIM([1]DATABASE!Q418)="PRE-RESERVED",TRIM([1]DATABASE!Q418)="PSPA"),[1]DATABASE!AA418=""),"Reserved/PSPA no PSPA Date",""),IF(AND(TRIM([1]DATABASE!Q418)="AVAILABLE",[1]DATABASE!AA418&lt;&gt;""),"Available has PSPA Date",""))</f>
        <v/>
      </c>
      <c r="G457" s="82" t="str">
        <f>_xlfn.TEXTJOIN("; ",TRUE,IF(AND([1]DATABASE!T418&lt;0.8*[1]DATABASE!S418,[1]DATABASE!T418&gt;0,[1]DATABASE!S418&gt;0),"Heavy Price Cut &gt;20%",""),IF(AND(OR(TRIM([1]DATABASE!Q418)="AVAILABLE",TRIM([1]DATABASE!Q418)="UPON REQUEST"),OR([1]DATABASE!T418="",[1]DATABASE!T418=0)),"Active Unit no Price",""),IF(AND(OR(TRIM([1]DATABASE!Q418)="AVAILABLE",TRIM([1]DATABASE!Q418)="RESERVED",TRIM([1]DATABASE!Q418)="PRE-RESERVED",TRIM([1]DATABASE!Q418)="PSPA"),[1]DATABASE!AC418=""),"Active no Owner",""),IF(OR([1]DATABASE!F418="",[1]DATABASE!F418&lt;=0),"Missing/Invalid Area",""),IF(AND([1]DATABASE!T418&gt;0,ABS([1]DATABASE!T418-[1]DATABASE!W418-[1]DATABASE!U418-[1]DATABASE!V418)&gt;1),"Price Bridge Mismatch",""))</f>
        <v>Heavy Price Cut &gt;20%</v>
      </c>
      <c r="H457" t="str">
        <f t="shared" si="9"/>
        <v>REVIEW</v>
      </c>
      <c r="I457" s="90">
        <f>[1]DATABASE!T418</f>
        <v>415000</v>
      </c>
      <c r="J457" t="str">
        <f>[1]DATABASE!AC418</f>
        <v>João Gameiro</v>
      </c>
    </row>
    <row r="458" spans="1:10" ht="13.95" customHeight="1" x14ac:dyDescent="0.3">
      <c r="A458">
        <f>ROW([1]DATABASE!A419)</f>
        <v>419</v>
      </c>
      <c r="B458" t="str">
        <f>[1]DATABASE!AJ419</f>
        <v>Aroeira Collections</v>
      </c>
      <c r="C458" t="str">
        <f>[1]DATABASE!C419</f>
        <v>106A</v>
      </c>
      <c r="D458" t="str">
        <f>TRIM([1]DATABASE!Q419)</f>
        <v>AVAILABLE</v>
      </c>
      <c r="E458" s="82" t="str">
        <f>_xlfn.TEXTJOIN("; ",TRUE,IF([1]DATABASE!X419&lt;0,"Negative Discount",""),IF(AND([1]DATABASE!Y419&gt;[1]DATABASE!T419,[1]DATABASE!Y419&gt;0,[1]DATABASE!T419&gt;0),"Sell Price &gt; Current",""),IF(AND(TRIM([1]DATABASE!Q419)="DEED",[1]DATABASE!AA419=""),"Deeded no PSPA Date",""),IF([1]DATABASE!E419="","Missing Typology",""),IF([1]DATABASE!AJ419="","Missing Development",""))</f>
        <v/>
      </c>
      <c r="F458" s="82" t="str">
        <f>_xlfn.TEXTJOIN("; ",TRUE,IF(AND(OR(TRIM([1]DATABASE!Q419)="RESERVED",TRIM([1]DATABASE!Q419)="PRE-RESERVED",TRIM([1]DATABASE!Q419)="PSPA"),[1]DATABASE!AA419=""),"Reserved/PSPA no PSPA Date",""),IF(AND(TRIM([1]DATABASE!Q419)="AVAILABLE",[1]DATABASE!AA419&lt;&gt;""),"Available has PSPA Date",""))</f>
        <v/>
      </c>
      <c r="G458" s="82" t="str">
        <f>_xlfn.TEXTJOIN("; ",TRUE,IF(AND([1]DATABASE!T419&lt;0.8*[1]DATABASE!S419,[1]DATABASE!T419&gt;0,[1]DATABASE!S419&gt;0),"Heavy Price Cut &gt;20%",""),IF(AND(OR(TRIM([1]DATABASE!Q419)="AVAILABLE",TRIM([1]DATABASE!Q419)="UPON REQUEST"),OR([1]DATABASE!T419="",[1]DATABASE!T419=0)),"Active Unit no Price",""),IF(AND(OR(TRIM([1]DATABASE!Q419)="AVAILABLE",TRIM([1]DATABASE!Q419)="RESERVED",TRIM([1]DATABASE!Q419)="PRE-RESERVED",TRIM([1]DATABASE!Q419)="PSPA"),[1]DATABASE!AC419=""),"Active no Owner",""),IF(OR([1]DATABASE!F419="",[1]DATABASE!F419&lt;=0),"Missing/Invalid Area",""),IF(AND([1]DATABASE!T419&gt;0,ABS([1]DATABASE!T419-[1]DATABASE!W419-[1]DATABASE!U419-[1]DATABASE!V419)&gt;1),"Price Bridge Mismatch",""))</f>
        <v>Heavy Price Cut &gt;20%</v>
      </c>
      <c r="H458" t="str">
        <f t="shared" si="9"/>
        <v>REVIEW</v>
      </c>
      <c r="I458" s="90">
        <f>[1]DATABASE!T419</f>
        <v>415000</v>
      </c>
      <c r="J458" t="str">
        <f>[1]DATABASE!AC419</f>
        <v>João Gameiro</v>
      </c>
    </row>
    <row r="459" spans="1:10" ht="13.95" customHeight="1" x14ac:dyDescent="0.3">
      <c r="A459">
        <f>ROW([1]DATABASE!A420)</f>
        <v>420</v>
      </c>
      <c r="B459" t="str">
        <f>[1]DATABASE!AJ420</f>
        <v>Aroeira Collections</v>
      </c>
      <c r="C459" t="str">
        <f>[1]DATABASE!C420</f>
        <v>107A</v>
      </c>
      <c r="D459" t="str">
        <f>TRIM([1]DATABASE!Q420)</f>
        <v>AVAILABLE</v>
      </c>
      <c r="E459" s="82" t="str">
        <f>_xlfn.TEXTJOIN("; ",TRUE,IF([1]DATABASE!X420&lt;0,"Negative Discount",""),IF(AND([1]DATABASE!Y420&gt;[1]DATABASE!T420,[1]DATABASE!Y420&gt;0,[1]DATABASE!T420&gt;0),"Sell Price &gt; Current",""),IF(AND(TRIM([1]DATABASE!Q420)="DEED",[1]DATABASE!AA420=""),"Deeded no PSPA Date",""),IF([1]DATABASE!E420="","Missing Typology",""),IF([1]DATABASE!AJ420="","Missing Development",""))</f>
        <v/>
      </c>
      <c r="F459" s="82" t="str">
        <f>_xlfn.TEXTJOIN("; ",TRUE,IF(AND(OR(TRIM([1]DATABASE!Q420)="RESERVED",TRIM([1]DATABASE!Q420)="PRE-RESERVED",TRIM([1]DATABASE!Q420)="PSPA"),[1]DATABASE!AA420=""),"Reserved/PSPA no PSPA Date",""),IF(AND(TRIM([1]DATABASE!Q420)="AVAILABLE",[1]DATABASE!AA420&lt;&gt;""),"Available has PSPA Date",""))</f>
        <v/>
      </c>
      <c r="G459" s="82" t="str">
        <f>_xlfn.TEXTJOIN("; ",TRUE,IF(AND([1]DATABASE!T420&lt;0.8*[1]DATABASE!S420,[1]DATABASE!T420&gt;0,[1]DATABASE!S420&gt;0),"Heavy Price Cut &gt;20%",""),IF(AND(OR(TRIM([1]DATABASE!Q420)="AVAILABLE",TRIM([1]DATABASE!Q420)="UPON REQUEST"),OR([1]DATABASE!T420="",[1]DATABASE!T420=0)),"Active Unit no Price",""),IF(AND(OR(TRIM([1]DATABASE!Q420)="AVAILABLE",TRIM([1]DATABASE!Q420)="RESERVED",TRIM([1]DATABASE!Q420)="PRE-RESERVED",TRIM([1]DATABASE!Q420)="PSPA"),[1]DATABASE!AC420=""),"Active no Owner",""),IF(OR([1]DATABASE!F420="",[1]DATABASE!F420&lt;=0),"Missing/Invalid Area",""),IF(AND([1]DATABASE!T420&gt;0,ABS([1]DATABASE!T420-[1]DATABASE!W420-[1]DATABASE!U420-[1]DATABASE!V420)&gt;1),"Price Bridge Mismatch",""))</f>
        <v>Heavy Price Cut &gt;20%</v>
      </c>
      <c r="H459" t="str">
        <f t="shared" si="9"/>
        <v>REVIEW</v>
      </c>
      <c r="I459" s="90">
        <f>[1]DATABASE!T420</f>
        <v>415000</v>
      </c>
      <c r="J459" t="str">
        <f>[1]DATABASE!AC420</f>
        <v>João Gameiro</v>
      </c>
    </row>
    <row r="460" spans="1:10" ht="13.95" customHeight="1" x14ac:dyDescent="0.3">
      <c r="A460">
        <f>ROW([1]DATABASE!A421)</f>
        <v>421</v>
      </c>
      <c r="B460" t="str">
        <f>[1]DATABASE!AJ421</f>
        <v>Aroeira Collections</v>
      </c>
      <c r="C460" t="str">
        <f>[1]DATABASE!C421</f>
        <v>107B</v>
      </c>
      <c r="D460" t="str">
        <f>TRIM([1]DATABASE!Q421)</f>
        <v>NOT FOR SALE</v>
      </c>
      <c r="E460" s="82" t="str">
        <f>_xlfn.TEXTJOIN("; ",TRUE,IF([1]DATABASE!X421&lt;0,"Negative Discount",""),IF(AND([1]DATABASE!Y421&gt;[1]DATABASE!T421,[1]DATABASE!Y421&gt;0,[1]DATABASE!T421&gt;0),"Sell Price &gt; Current",""),IF(AND(TRIM([1]DATABASE!Q421)="DEED",[1]DATABASE!AA421=""),"Deeded no PSPA Date",""),IF([1]DATABASE!E421="","Missing Typology",""),IF([1]DATABASE!AJ421="","Missing Development",""))</f>
        <v/>
      </c>
      <c r="F460" s="82" t="str">
        <f>_xlfn.TEXTJOIN("; ",TRUE,IF(AND(OR(TRIM([1]DATABASE!Q421)="RESERVED",TRIM([1]DATABASE!Q421)="PRE-RESERVED",TRIM([1]DATABASE!Q421)="PSPA"),[1]DATABASE!AA421=""),"Reserved/PSPA no PSPA Date",""),IF(AND(TRIM([1]DATABASE!Q421)="AVAILABLE",[1]DATABASE!AA421&lt;&gt;""),"Available has PSPA Date",""))</f>
        <v/>
      </c>
      <c r="G460" s="82" t="str">
        <f>_xlfn.TEXTJOIN("; ",TRUE,IF(AND([1]DATABASE!T421&lt;0.8*[1]DATABASE!S421,[1]DATABASE!T421&gt;0,[1]DATABASE!S421&gt;0),"Heavy Price Cut &gt;20%",""),IF(AND(OR(TRIM([1]DATABASE!Q421)="AVAILABLE",TRIM([1]DATABASE!Q421)="UPON REQUEST"),OR([1]DATABASE!T421="",[1]DATABASE!T421=0)),"Active Unit no Price",""),IF(AND(OR(TRIM([1]DATABASE!Q421)="AVAILABLE",TRIM([1]DATABASE!Q421)="RESERVED",TRIM([1]DATABASE!Q421)="PRE-RESERVED",TRIM([1]DATABASE!Q421)="PSPA"),[1]DATABASE!AC421=""),"Active no Owner",""),IF(OR([1]DATABASE!F421="",[1]DATABASE!F421&lt;=0),"Missing/Invalid Area",""),IF(AND([1]DATABASE!T421&gt;0,ABS([1]DATABASE!T421-[1]DATABASE!W421-[1]DATABASE!U421-[1]DATABASE!V421)&gt;1),"Price Bridge Mismatch",""))</f>
        <v/>
      </c>
      <c r="H460" t="str">
        <f t="shared" si="9"/>
        <v>PASS</v>
      </c>
      <c r="I460" s="90">
        <f>[1]DATABASE!T421</f>
        <v>850000</v>
      </c>
      <c r="J460" t="str">
        <f>[1]DATABASE!AC421</f>
        <v>João Gameiro</v>
      </c>
    </row>
    <row r="461" spans="1:10" ht="13.95" customHeight="1" x14ac:dyDescent="0.3">
      <c r="A461">
        <f>ROW([1]DATABASE!A422)</f>
        <v>422</v>
      </c>
      <c r="B461" t="str">
        <f>[1]DATABASE!AJ422</f>
        <v>Aroeira Collections</v>
      </c>
      <c r="C461" t="str">
        <f>[1]DATABASE!C422</f>
        <v>108A</v>
      </c>
      <c r="D461" t="str">
        <f>TRIM([1]DATABASE!Q422)</f>
        <v>AVAILABLE</v>
      </c>
      <c r="E461" s="82" t="str">
        <f>_xlfn.TEXTJOIN("; ",TRUE,IF([1]DATABASE!X422&lt;0,"Negative Discount",""),IF(AND([1]DATABASE!Y422&gt;[1]DATABASE!T422,[1]DATABASE!Y422&gt;0,[1]DATABASE!T422&gt;0),"Sell Price &gt; Current",""),IF(AND(TRIM([1]DATABASE!Q422)="DEED",[1]DATABASE!AA422=""),"Deeded no PSPA Date",""),IF([1]DATABASE!E422="","Missing Typology",""),IF([1]DATABASE!AJ422="","Missing Development",""))</f>
        <v/>
      </c>
      <c r="F461" s="82" t="str">
        <f>_xlfn.TEXTJOIN("; ",TRUE,IF(AND(OR(TRIM([1]DATABASE!Q422)="RESERVED",TRIM([1]DATABASE!Q422)="PRE-RESERVED",TRIM([1]DATABASE!Q422)="PSPA"),[1]DATABASE!AA422=""),"Reserved/PSPA no PSPA Date",""),IF(AND(TRIM([1]DATABASE!Q422)="AVAILABLE",[1]DATABASE!AA422&lt;&gt;""),"Available has PSPA Date",""))</f>
        <v/>
      </c>
      <c r="G461" s="82" t="str">
        <f>_xlfn.TEXTJOIN("; ",TRUE,IF(AND([1]DATABASE!T422&lt;0.8*[1]DATABASE!S422,[1]DATABASE!T422&gt;0,[1]DATABASE!S422&gt;0),"Heavy Price Cut &gt;20%",""),IF(AND(OR(TRIM([1]DATABASE!Q422)="AVAILABLE",TRIM([1]DATABASE!Q422)="UPON REQUEST"),OR([1]DATABASE!T422="",[1]DATABASE!T422=0)),"Active Unit no Price",""),IF(AND(OR(TRIM([1]DATABASE!Q422)="AVAILABLE",TRIM([1]DATABASE!Q422)="RESERVED",TRIM([1]DATABASE!Q422)="PRE-RESERVED",TRIM([1]DATABASE!Q422)="PSPA"),[1]DATABASE!AC422=""),"Active no Owner",""),IF(OR([1]DATABASE!F422="",[1]DATABASE!F422&lt;=0),"Missing/Invalid Area",""),IF(AND([1]DATABASE!T422&gt;0,ABS([1]DATABASE!T422-[1]DATABASE!W422-[1]DATABASE!U422-[1]DATABASE!V422)&gt;1),"Price Bridge Mismatch",""))</f>
        <v>Heavy Price Cut &gt;20%</v>
      </c>
      <c r="H461" t="str">
        <f t="shared" si="9"/>
        <v>REVIEW</v>
      </c>
      <c r="I461" s="90">
        <f>[1]DATABASE!T422</f>
        <v>415000</v>
      </c>
      <c r="J461" t="str">
        <f>[1]DATABASE!AC422</f>
        <v>João Gameiro</v>
      </c>
    </row>
    <row r="462" spans="1:10" ht="13.95" customHeight="1" x14ac:dyDescent="0.3">
      <c r="A462">
        <f>ROW([1]DATABASE!A423)</f>
        <v>423</v>
      </c>
      <c r="B462" t="str">
        <f>[1]DATABASE!AJ423</f>
        <v>Aroeira Collections</v>
      </c>
      <c r="C462" t="str">
        <f>[1]DATABASE!C423</f>
        <v>108B</v>
      </c>
      <c r="D462" t="str">
        <f>TRIM([1]DATABASE!Q423)</f>
        <v>NOT FOR SALE</v>
      </c>
      <c r="E462" s="82" t="str">
        <f>_xlfn.TEXTJOIN("; ",TRUE,IF([1]DATABASE!X423&lt;0,"Negative Discount",""),IF(AND([1]DATABASE!Y423&gt;[1]DATABASE!T423,[1]DATABASE!Y423&gt;0,[1]DATABASE!T423&gt;0),"Sell Price &gt; Current",""),IF(AND(TRIM([1]DATABASE!Q423)="DEED",[1]DATABASE!AA423=""),"Deeded no PSPA Date",""),IF([1]DATABASE!E423="","Missing Typology",""),IF([1]DATABASE!AJ423="","Missing Development",""))</f>
        <v/>
      </c>
      <c r="F462" s="82" t="str">
        <f>_xlfn.TEXTJOIN("; ",TRUE,IF(AND(OR(TRIM([1]DATABASE!Q423)="RESERVED",TRIM([1]DATABASE!Q423)="PRE-RESERVED",TRIM([1]DATABASE!Q423)="PSPA"),[1]DATABASE!AA423=""),"Reserved/PSPA no PSPA Date",""),IF(AND(TRIM([1]DATABASE!Q423)="AVAILABLE",[1]DATABASE!AA423&lt;&gt;""),"Available has PSPA Date",""))</f>
        <v/>
      </c>
      <c r="G462" s="82" t="str">
        <f>_xlfn.TEXTJOIN("; ",TRUE,IF(AND([1]DATABASE!T423&lt;0.8*[1]DATABASE!S423,[1]DATABASE!T423&gt;0,[1]DATABASE!S423&gt;0),"Heavy Price Cut &gt;20%",""),IF(AND(OR(TRIM([1]DATABASE!Q423)="AVAILABLE",TRIM([1]DATABASE!Q423)="UPON REQUEST"),OR([1]DATABASE!T423="",[1]DATABASE!T423=0)),"Active Unit no Price",""),IF(AND(OR(TRIM([1]DATABASE!Q423)="AVAILABLE",TRIM([1]DATABASE!Q423)="RESERVED",TRIM([1]DATABASE!Q423)="PRE-RESERVED",TRIM([1]DATABASE!Q423)="PSPA"),[1]DATABASE!AC423=""),"Active no Owner",""),IF(OR([1]DATABASE!F423="",[1]DATABASE!F423&lt;=0),"Missing/Invalid Area",""),IF(AND([1]DATABASE!T423&gt;0,ABS([1]DATABASE!T423-[1]DATABASE!W423-[1]DATABASE!U423-[1]DATABASE!V423)&gt;1),"Price Bridge Mismatch",""))</f>
        <v/>
      </c>
      <c r="H462" t="str">
        <f t="shared" si="9"/>
        <v>PASS</v>
      </c>
      <c r="I462" s="90">
        <f>[1]DATABASE!T423</f>
        <v>850000</v>
      </c>
      <c r="J462" t="str">
        <f>[1]DATABASE!AC423</f>
        <v>João Gameiro</v>
      </c>
    </row>
    <row r="463" spans="1:10" ht="13.95" customHeight="1" x14ac:dyDescent="0.3">
      <c r="A463">
        <f>ROW([1]DATABASE!A424)</f>
        <v>424</v>
      </c>
      <c r="B463" t="str">
        <f>[1]DATABASE!AJ424</f>
        <v>Aroeira Collections</v>
      </c>
      <c r="C463" t="str">
        <f>[1]DATABASE!C424</f>
        <v>109B</v>
      </c>
      <c r="D463" t="str">
        <f>TRIM([1]DATABASE!Q424)</f>
        <v>AVAILABLE</v>
      </c>
      <c r="E463" s="82" t="str">
        <f>_xlfn.TEXTJOIN("; ",TRUE,IF([1]DATABASE!X424&lt;0,"Negative Discount",""),IF(AND([1]DATABASE!Y424&gt;[1]DATABASE!T424,[1]DATABASE!Y424&gt;0,[1]DATABASE!T424&gt;0),"Sell Price &gt; Current",""),IF(AND(TRIM([1]DATABASE!Q424)="DEED",[1]DATABASE!AA424=""),"Deeded no PSPA Date",""),IF([1]DATABASE!E424="","Missing Typology",""),IF([1]DATABASE!AJ424="","Missing Development",""))</f>
        <v/>
      </c>
      <c r="F463" s="82" t="str">
        <f>_xlfn.TEXTJOIN("; ",TRUE,IF(AND(OR(TRIM([1]DATABASE!Q424)="RESERVED",TRIM([1]DATABASE!Q424)="PRE-RESERVED",TRIM([1]DATABASE!Q424)="PSPA"),[1]DATABASE!AA424=""),"Reserved/PSPA no PSPA Date",""),IF(AND(TRIM([1]DATABASE!Q424)="AVAILABLE",[1]DATABASE!AA424&lt;&gt;""),"Available has PSPA Date",""))</f>
        <v/>
      </c>
      <c r="G463" s="82" t="str">
        <f>_xlfn.TEXTJOIN("; ",TRUE,IF(AND([1]DATABASE!T424&lt;0.8*[1]DATABASE!S424,[1]DATABASE!T424&gt;0,[1]DATABASE!S424&gt;0),"Heavy Price Cut &gt;20%",""),IF(AND(OR(TRIM([1]DATABASE!Q424)="AVAILABLE",TRIM([1]DATABASE!Q424)="UPON REQUEST"),OR([1]DATABASE!T424="",[1]DATABASE!T424=0)),"Active Unit no Price",""),IF(AND(OR(TRIM([1]DATABASE!Q424)="AVAILABLE",TRIM([1]DATABASE!Q424)="RESERVED",TRIM([1]DATABASE!Q424)="PRE-RESERVED",TRIM([1]DATABASE!Q424)="PSPA"),[1]DATABASE!AC424=""),"Active no Owner",""),IF(OR([1]DATABASE!F424="",[1]DATABASE!F424&lt;=0),"Missing/Invalid Area",""),IF(AND([1]DATABASE!T424&gt;0,ABS([1]DATABASE!T424-[1]DATABASE!W424-[1]DATABASE!U424-[1]DATABASE!V424)&gt;1),"Price Bridge Mismatch",""))</f>
        <v/>
      </c>
      <c r="H463" t="str">
        <f t="shared" si="9"/>
        <v>PASS</v>
      </c>
      <c r="I463" s="90">
        <f>[1]DATABASE!T424</f>
        <v>595000</v>
      </c>
      <c r="J463" t="str">
        <f>[1]DATABASE!AC424</f>
        <v>João Gameiro</v>
      </c>
    </row>
    <row r="464" spans="1:10" ht="13.95" customHeight="1" x14ac:dyDescent="0.3">
      <c r="A464">
        <f>ROW([1]DATABASE!A425)</f>
        <v>425</v>
      </c>
      <c r="B464" t="str">
        <f>[1]DATABASE!AJ425</f>
        <v>Aroeira Collections</v>
      </c>
      <c r="C464" t="str">
        <f>[1]DATABASE!C425</f>
        <v>10E</v>
      </c>
      <c r="D464" t="str">
        <f>TRIM([1]DATABASE!Q425)</f>
        <v>AVAILABLE</v>
      </c>
      <c r="E464" s="82" t="str">
        <f>_xlfn.TEXTJOIN("; ",TRUE,IF([1]DATABASE!X425&lt;0,"Negative Discount",""),IF(AND([1]DATABASE!Y425&gt;[1]DATABASE!T425,[1]DATABASE!Y425&gt;0,[1]DATABASE!T425&gt;0),"Sell Price &gt; Current",""),IF(AND(TRIM([1]DATABASE!Q425)="DEED",[1]DATABASE!AA425=""),"Deeded no PSPA Date",""),IF([1]DATABASE!E425="","Missing Typology",""),IF([1]DATABASE!AJ425="","Missing Development",""))</f>
        <v/>
      </c>
      <c r="F464" s="82" t="str">
        <f>_xlfn.TEXTJOIN("; ",TRUE,IF(AND(OR(TRIM([1]DATABASE!Q425)="RESERVED",TRIM([1]DATABASE!Q425)="PRE-RESERVED",TRIM([1]DATABASE!Q425)="PSPA"),[1]DATABASE!AA425=""),"Reserved/PSPA no PSPA Date",""),IF(AND(TRIM([1]DATABASE!Q425)="AVAILABLE",[1]DATABASE!AA425&lt;&gt;""),"Available has PSPA Date",""))</f>
        <v/>
      </c>
      <c r="G464" s="82" t="str">
        <f>_xlfn.TEXTJOIN("; ",TRUE,IF(AND([1]DATABASE!T425&lt;0.8*[1]DATABASE!S425,[1]DATABASE!T425&gt;0,[1]DATABASE!S425&gt;0),"Heavy Price Cut &gt;20%",""),IF(AND(OR(TRIM([1]DATABASE!Q425)="AVAILABLE",TRIM([1]DATABASE!Q425)="UPON REQUEST"),OR([1]DATABASE!T425="",[1]DATABASE!T425=0)),"Active Unit no Price",""),IF(AND(OR(TRIM([1]DATABASE!Q425)="AVAILABLE",TRIM([1]DATABASE!Q425)="RESERVED",TRIM([1]DATABASE!Q425)="PRE-RESERVED",TRIM([1]DATABASE!Q425)="PSPA"),[1]DATABASE!AC425=""),"Active no Owner",""),IF(OR([1]DATABASE!F425="",[1]DATABASE!F425&lt;=0),"Missing/Invalid Area",""),IF(AND([1]DATABASE!T425&gt;0,ABS([1]DATABASE!T425-[1]DATABASE!W425-[1]DATABASE!U425-[1]DATABASE!V425)&gt;1),"Price Bridge Mismatch",""))</f>
        <v/>
      </c>
      <c r="H464" t="str">
        <f t="shared" si="9"/>
        <v>PASS</v>
      </c>
      <c r="I464" s="90">
        <f>[1]DATABASE!T425</f>
        <v>2955000</v>
      </c>
      <c r="J464" t="str">
        <f>[1]DATABASE!AC425</f>
        <v>João Gameiro</v>
      </c>
    </row>
    <row r="465" spans="1:10" ht="13.95" customHeight="1" x14ac:dyDescent="0.3">
      <c r="A465">
        <f>ROW([1]DATABASE!A426)</f>
        <v>426</v>
      </c>
      <c r="B465" t="str">
        <f>[1]DATABASE!AJ426</f>
        <v>Aroeira Collections</v>
      </c>
      <c r="C465" t="str">
        <f>[1]DATABASE!C426</f>
        <v>110A</v>
      </c>
      <c r="D465" t="str">
        <f>TRIM([1]DATABASE!Q426)</f>
        <v>AVAILABLE</v>
      </c>
      <c r="E465" s="82" t="str">
        <f>_xlfn.TEXTJOIN("; ",TRUE,IF([1]DATABASE!X426&lt;0,"Negative Discount",""),IF(AND([1]DATABASE!Y426&gt;[1]DATABASE!T426,[1]DATABASE!Y426&gt;0,[1]DATABASE!T426&gt;0),"Sell Price &gt; Current",""),IF(AND(TRIM([1]DATABASE!Q426)="DEED",[1]DATABASE!AA426=""),"Deeded no PSPA Date",""),IF([1]DATABASE!E426="","Missing Typology",""),IF([1]DATABASE!AJ426="","Missing Development",""))</f>
        <v/>
      </c>
      <c r="F465" s="82" t="str">
        <f>_xlfn.TEXTJOIN("; ",TRUE,IF(AND(OR(TRIM([1]DATABASE!Q426)="RESERVED",TRIM([1]DATABASE!Q426)="PRE-RESERVED",TRIM([1]DATABASE!Q426)="PSPA"),[1]DATABASE!AA426=""),"Reserved/PSPA no PSPA Date",""),IF(AND(TRIM([1]DATABASE!Q426)="AVAILABLE",[1]DATABASE!AA426&lt;&gt;""),"Available has PSPA Date",""))</f>
        <v/>
      </c>
      <c r="G465" s="82" t="str">
        <f>_xlfn.TEXTJOIN("; ",TRUE,IF(AND([1]DATABASE!T426&lt;0.8*[1]DATABASE!S426,[1]DATABASE!T426&gt;0,[1]DATABASE!S426&gt;0),"Heavy Price Cut &gt;20%",""),IF(AND(OR(TRIM([1]DATABASE!Q426)="AVAILABLE",TRIM([1]DATABASE!Q426)="UPON REQUEST"),OR([1]DATABASE!T426="",[1]DATABASE!T426=0)),"Active Unit no Price",""),IF(AND(OR(TRIM([1]DATABASE!Q426)="AVAILABLE",TRIM([1]DATABASE!Q426)="RESERVED",TRIM([1]DATABASE!Q426)="PRE-RESERVED",TRIM([1]DATABASE!Q426)="PSPA"),[1]DATABASE!AC426=""),"Active no Owner",""),IF(OR([1]DATABASE!F426="",[1]DATABASE!F426&lt;=0),"Missing/Invalid Area",""),IF(AND([1]DATABASE!T426&gt;0,ABS([1]DATABASE!T426-[1]DATABASE!W426-[1]DATABASE!U426-[1]DATABASE!V426)&gt;1),"Price Bridge Mismatch",""))</f>
        <v/>
      </c>
      <c r="H465" t="str">
        <f t="shared" si="9"/>
        <v>PASS</v>
      </c>
      <c r="I465" s="90">
        <f>[1]DATABASE!T426</f>
        <v>460000</v>
      </c>
      <c r="J465" t="str">
        <f>[1]DATABASE!AC426</f>
        <v>João Gameiro</v>
      </c>
    </row>
    <row r="466" spans="1:10" ht="13.95" customHeight="1" x14ac:dyDescent="0.3">
      <c r="A466">
        <f>ROW([1]DATABASE!A427)</f>
        <v>427</v>
      </c>
      <c r="B466" t="str">
        <f>[1]DATABASE!AJ427</f>
        <v>Aroeira Collections</v>
      </c>
      <c r="C466" t="str">
        <f>[1]DATABASE!C427</f>
        <v>111B</v>
      </c>
      <c r="D466" t="str">
        <f>TRIM([1]DATABASE!Q427)</f>
        <v>AVAILABLE</v>
      </c>
      <c r="E466" s="82" t="str">
        <f>_xlfn.TEXTJOIN("; ",TRUE,IF([1]DATABASE!X427&lt;0,"Negative Discount",""),IF(AND([1]DATABASE!Y427&gt;[1]DATABASE!T427,[1]DATABASE!Y427&gt;0,[1]DATABASE!T427&gt;0),"Sell Price &gt; Current",""),IF(AND(TRIM([1]DATABASE!Q427)="DEED",[1]DATABASE!AA427=""),"Deeded no PSPA Date",""),IF([1]DATABASE!E427="","Missing Typology",""),IF([1]DATABASE!AJ427="","Missing Development",""))</f>
        <v/>
      </c>
      <c r="F466" s="82" t="str">
        <f>_xlfn.TEXTJOIN("; ",TRUE,IF(AND(OR(TRIM([1]DATABASE!Q427)="RESERVED",TRIM([1]DATABASE!Q427)="PRE-RESERVED",TRIM([1]DATABASE!Q427)="PSPA"),[1]DATABASE!AA427=""),"Reserved/PSPA no PSPA Date",""),IF(AND(TRIM([1]DATABASE!Q427)="AVAILABLE",[1]DATABASE!AA427&lt;&gt;""),"Available has PSPA Date",""))</f>
        <v/>
      </c>
      <c r="G466" s="82" t="str">
        <f>_xlfn.TEXTJOIN("; ",TRUE,IF(AND([1]DATABASE!T427&lt;0.8*[1]DATABASE!S427,[1]DATABASE!T427&gt;0,[1]DATABASE!S427&gt;0),"Heavy Price Cut &gt;20%",""),IF(AND(OR(TRIM([1]DATABASE!Q427)="AVAILABLE",TRIM([1]DATABASE!Q427)="UPON REQUEST"),OR([1]DATABASE!T427="",[1]DATABASE!T427=0)),"Active Unit no Price",""),IF(AND(OR(TRIM([1]DATABASE!Q427)="AVAILABLE",TRIM([1]DATABASE!Q427)="RESERVED",TRIM([1]DATABASE!Q427)="PRE-RESERVED",TRIM([1]DATABASE!Q427)="PSPA"),[1]DATABASE!AC427=""),"Active no Owner",""),IF(OR([1]DATABASE!F427="",[1]DATABASE!F427&lt;=0),"Missing/Invalid Area",""),IF(AND([1]DATABASE!T427&gt;0,ABS([1]DATABASE!T427-[1]DATABASE!W427-[1]DATABASE!U427-[1]DATABASE!V427)&gt;1),"Price Bridge Mismatch",""))</f>
        <v/>
      </c>
      <c r="H466" t="str">
        <f t="shared" si="9"/>
        <v>PASS</v>
      </c>
      <c r="I466" s="90">
        <f>[1]DATABASE!T427</f>
        <v>620000</v>
      </c>
      <c r="J466" t="str">
        <f>[1]DATABASE!AC427</f>
        <v>João Gameiro</v>
      </c>
    </row>
    <row r="467" spans="1:10" ht="13.95" customHeight="1" x14ac:dyDescent="0.3">
      <c r="A467">
        <f>ROW([1]DATABASE!A428)</f>
        <v>428</v>
      </c>
      <c r="B467" t="str">
        <f>[1]DATABASE!AJ428</f>
        <v>Aroeira Collections</v>
      </c>
      <c r="C467" t="str">
        <f>[1]DATABASE!C428</f>
        <v>111B</v>
      </c>
      <c r="D467" t="str">
        <f>TRIM([1]DATABASE!Q428)</f>
        <v>AVAILABLE</v>
      </c>
      <c r="E467" s="82" t="str">
        <f>_xlfn.TEXTJOIN("; ",TRUE,IF([1]DATABASE!X428&lt;0,"Negative Discount",""),IF(AND([1]DATABASE!Y428&gt;[1]DATABASE!T428,[1]DATABASE!Y428&gt;0,[1]DATABASE!T428&gt;0),"Sell Price &gt; Current",""),IF(AND(TRIM([1]DATABASE!Q428)="DEED",[1]DATABASE!AA428=""),"Deeded no PSPA Date",""),IF([1]DATABASE!E428="","Missing Typology",""),IF([1]DATABASE!AJ428="","Missing Development",""))</f>
        <v/>
      </c>
      <c r="F467" s="82" t="str">
        <f>_xlfn.TEXTJOIN("; ",TRUE,IF(AND(OR(TRIM([1]DATABASE!Q428)="RESERVED",TRIM([1]DATABASE!Q428)="PRE-RESERVED",TRIM([1]DATABASE!Q428)="PSPA"),[1]DATABASE!AA428=""),"Reserved/PSPA no PSPA Date",""),IF(AND(TRIM([1]DATABASE!Q428)="AVAILABLE",[1]DATABASE!AA428&lt;&gt;""),"Available has PSPA Date",""))</f>
        <v/>
      </c>
      <c r="G467" s="82" t="str">
        <f>_xlfn.TEXTJOIN("; ",TRUE,IF(AND([1]DATABASE!T428&lt;0.8*[1]DATABASE!S428,[1]DATABASE!T428&gt;0,[1]DATABASE!S428&gt;0),"Heavy Price Cut &gt;20%",""),IF(AND(OR(TRIM([1]DATABASE!Q428)="AVAILABLE",TRIM([1]DATABASE!Q428)="UPON REQUEST"),OR([1]DATABASE!T428="",[1]DATABASE!T428=0)),"Active Unit no Price",""),IF(AND(OR(TRIM([1]DATABASE!Q428)="AVAILABLE",TRIM([1]DATABASE!Q428)="RESERVED",TRIM([1]DATABASE!Q428)="PRE-RESERVED",TRIM([1]DATABASE!Q428)="PSPA"),[1]DATABASE!AC428=""),"Active no Owner",""),IF(OR([1]DATABASE!F428="",[1]DATABASE!F428&lt;=0),"Missing/Invalid Area",""),IF(AND([1]DATABASE!T428&gt;0,ABS([1]DATABASE!T428-[1]DATABASE!W428-[1]DATABASE!U428-[1]DATABASE!V428)&gt;1),"Price Bridge Mismatch",""))</f>
        <v/>
      </c>
      <c r="H467" t="str">
        <f t="shared" si="9"/>
        <v>PASS</v>
      </c>
      <c r="I467" s="90">
        <f>[1]DATABASE!T428</f>
        <v>850000</v>
      </c>
      <c r="J467" t="str">
        <f>[1]DATABASE!AC428</f>
        <v>João Gameiro</v>
      </c>
    </row>
    <row r="468" spans="1:10" ht="13.95" customHeight="1" x14ac:dyDescent="0.3">
      <c r="A468">
        <f>ROW([1]DATABASE!A429)</f>
        <v>429</v>
      </c>
      <c r="B468" t="str">
        <f>[1]DATABASE!AJ429</f>
        <v>Aroeira Collections</v>
      </c>
      <c r="C468" t="str">
        <f>[1]DATABASE!C429</f>
        <v>112B</v>
      </c>
      <c r="D468" t="str">
        <f>TRIM([1]DATABASE!Q429)</f>
        <v>AVAILABLE</v>
      </c>
      <c r="E468" s="82" t="str">
        <f>_xlfn.TEXTJOIN("; ",TRUE,IF([1]DATABASE!X429&lt;0,"Negative Discount",""),IF(AND([1]DATABASE!Y429&gt;[1]DATABASE!T429,[1]DATABASE!Y429&gt;0,[1]DATABASE!T429&gt;0),"Sell Price &gt; Current",""),IF(AND(TRIM([1]DATABASE!Q429)="DEED",[1]DATABASE!AA429=""),"Deeded no PSPA Date",""),IF([1]DATABASE!E429="","Missing Typology",""),IF([1]DATABASE!AJ429="","Missing Development",""))</f>
        <v/>
      </c>
      <c r="F468" s="82" t="str">
        <f>_xlfn.TEXTJOIN("; ",TRUE,IF(AND(OR(TRIM([1]DATABASE!Q429)="RESERVED",TRIM([1]DATABASE!Q429)="PRE-RESERVED",TRIM([1]DATABASE!Q429)="PSPA"),[1]DATABASE!AA429=""),"Reserved/PSPA no PSPA Date",""),IF(AND(TRIM([1]DATABASE!Q429)="AVAILABLE",[1]DATABASE!AA429&lt;&gt;""),"Available has PSPA Date",""))</f>
        <v/>
      </c>
      <c r="G468" s="82" t="str">
        <f>_xlfn.TEXTJOIN("; ",TRUE,IF(AND([1]DATABASE!T429&lt;0.8*[1]DATABASE!S429,[1]DATABASE!T429&gt;0,[1]DATABASE!S429&gt;0),"Heavy Price Cut &gt;20%",""),IF(AND(OR(TRIM([1]DATABASE!Q429)="AVAILABLE",TRIM([1]DATABASE!Q429)="UPON REQUEST"),OR([1]DATABASE!T429="",[1]DATABASE!T429=0)),"Active Unit no Price",""),IF(AND(OR(TRIM([1]DATABASE!Q429)="AVAILABLE",TRIM([1]DATABASE!Q429)="RESERVED",TRIM([1]DATABASE!Q429)="PRE-RESERVED",TRIM([1]DATABASE!Q429)="PSPA"),[1]DATABASE!AC429=""),"Active no Owner",""),IF(OR([1]DATABASE!F429="",[1]DATABASE!F429&lt;=0),"Missing/Invalid Area",""),IF(AND([1]DATABASE!T429&gt;0,ABS([1]DATABASE!T429-[1]DATABASE!W429-[1]DATABASE!U429-[1]DATABASE!V429)&gt;1),"Price Bridge Mismatch",""))</f>
        <v/>
      </c>
      <c r="H468" t="str">
        <f t="shared" si="9"/>
        <v>PASS</v>
      </c>
      <c r="I468" s="90">
        <f>[1]DATABASE!T429</f>
        <v>620000</v>
      </c>
      <c r="J468" t="str">
        <f>[1]DATABASE!AC429</f>
        <v>João Gameiro</v>
      </c>
    </row>
    <row r="469" spans="1:10" ht="13.95" customHeight="1" x14ac:dyDescent="0.3">
      <c r="A469">
        <f>ROW([1]DATABASE!A430)</f>
        <v>430</v>
      </c>
      <c r="B469" t="str">
        <f>[1]DATABASE!AJ430</f>
        <v>Aroeira Collections</v>
      </c>
      <c r="C469" t="str">
        <f>[1]DATABASE!C430</f>
        <v>113B</v>
      </c>
      <c r="D469" t="str">
        <f>TRIM([1]DATABASE!Q430)</f>
        <v>AVAILABLE</v>
      </c>
      <c r="E469" s="82" t="str">
        <f>_xlfn.TEXTJOIN("; ",TRUE,IF([1]DATABASE!X430&lt;0,"Negative Discount",""),IF(AND([1]DATABASE!Y430&gt;[1]DATABASE!T430,[1]DATABASE!Y430&gt;0,[1]DATABASE!T430&gt;0),"Sell Price &gt; Current",""),IF(AND(TRIM([1]DATABASE!Q430)="DEED",[1]DATABASE!AA430=""),"Deeded no PSPA Date",""),IF([1]DATABASE!E430="","Missing Typology",""),IF([1]DATABASE!AJ430="","Missing Development",""))</f>
        <v/>
      </c>
      <c r="F469" s="82" t="str">
        <f>_xlfn.TEXTJOIN("; ",TRUE,IF(AND(OR(TRIM([1]DATABASE!Q430)="RESERVED",TRIM([1]DATABASE!Q430)="PRE-RESERVED",TRIM([1]DATABASE!Q430)="PSPA"),[1]DATABASE!AA430=""),"Reserved/PSPA no PSPA Date",""),IF(AND(TRIM([1]DATABASE!Q430)="AVAILABLE",[1]DATABASE!AA430&lt;&gt;""),"Available has PSPA Date",""))</f>
        <v/>
      </c>
      <c r="G469" s="82" t="str">
        <f>_xlfn.TEXTJOIN("; ",TRUE,IF(AND([1]DATABASE!T430&lt;0.8*[1]DATABASE!S430,[1]DATABASE!T430&gt;0,[1]DATABASE!S430&gt;0),"Heavy Price Cut &gt;20%",""),IF(AND(OR(TRIM([1]DATABASE!Q430)="AVAILABLE",TRIM([1]DATABASE!Q430)="UPON REQUEST"),OR([1]DATABASE!T430="",[1]DATABASE!T430=0)),"Active Unit no Price",""),IF(AND(OR(TRIM([1]DATABASE!Q430)="AVAILABLE",TRIM([1]DATABASE!Q430)="RESERVED",TRIM([1]DATABASE!Q430)="PRE-RESERVED",TRIM([1]DATABASE!Q430)="PSPA"),[1]DATABASE!AC430=""),"Active no Owner",""),IF(OR([1]DATABASE!F430="",[1]DATABASE!F430&lt;=0),"Missing/Invalid Area",""),IF(AND([1]DATABASE!T430&gt;0,ABS([1]DATABASE!T430-[1]DATABASE!W430-[1]DATABASE!U430-[1]DATABASE!V430)&gt;1),"Price Bridge Mismatch",""))</f>
        <v/>
      </c>
      <c r="H469" t="str">
        <f t="shared" si="9"/>
        <v>PASS</v>
      </c>
      <c r="I469" s="90">
        <f>[1]DATABASE!T430</f>
        <v>620000</v>
      </c>
      <c r="J469" t="str">
        <f>[1]DATABASE!AC430</f>
        <v>João Gameiro</v>
      </c>
    </row>
    <row r="470" spans="1:10" ht="13.95" customHeight="1" x14ac:dyDescent="0.3">
      <c r="A470">
        <f>ROW([1]DATABASE!A431)</f>
        <v>431</v>
      </c>
      <c r="B470" t="str">
        <f>[1]DATABASE!AJ431</f>
        <v>Aroeira Collections</v>
      </c>
      <c r="C470" t="str">
        <f>[1]DATABASE!C431</f>
        <v>113C</v>
      </c>
      <c r="D470" t="str">
        <f>TRIM([1]DATABASE!Q431)</f>
        <v>AVAILABLE</v>
      </c>
      <c r="E470" s="82" t="str">
        <f>_xlfn.TEXTJOIN("; ",TRUE,IF([1]DATABASE!X431&lt;0,"Negative Discount",""),IF(AND([1]DATABASE!Y431&gt;[1]DATABASE!T431,[1]DATABASE!Y431&gt;0,[1]DATABASE!T431&gt;0),"Sell Price &gt; Current",""),IF(AND(TRIM([1]DATABASE!Q431)="DEED",[1]DATABASE!AA431=""),"Deeded no PSPA Date",""),IF([1]DATABASE!E431="","Missing Typology",""),IF([1]DATABASE!AJ431="","Missing Development",""))</f>
        <v/>
      </c>
      <c r="F470" s="82" t="str">
        <f>_xlfn.TEXTJOIN("; ",TRUE,IF(AND(OR(TRIM([1]DATABASE!Q431)="RESERVED",TRIM([1]DATABASE!Q431)="PRE-RESERVED",TRIM([1]DATABASE!Q431)="PSPA"),[1]DATABASE!AA431=""),"Reserved/PSPA no PSPA Date",""),IF(AND(TRIM([1]DATABASE!Q431)="AVAILABLE",[1]DATABASE!AA431&lt;&gt;""),"Available has PSPA Date",""))</f>
        <v/>
      </c>
      <c r="G470" s="82" t="str">
        <f>_xlfn.TEXTJOIN("; ",TRUE,IF(AND([1]DATABASE!T431&lt;0.8*[1]DATABASE!S431,[1]DATABASE!T431&gt;0,[1]DATABASE!S431&gt;0),"Heavy Price Cut &gt;20%",""),IF(AND(OR(TRIM([1]DATABASE!Q431)="AVAILABLE",TRIM([1]DATABASE!Q431)="UPON REQUEST"),OR([1]DATABASE!T431="",[1]DATABASE!T431=0)),"Active Unit no Price",""),IF(AND(OR(TRIM([1]DATABASE!Q431)="AVAILABLE",TRIM([1]DATABASE!Q431)="RESERVED",TRIM([1]DATABASE!Q431)="PRE-RESERVED",TRIM([1]DATABASE!Q431)="PSPA"),[1]DATABASE!AC431=""),"Active no Owner",""),IF(OR([1]DATABASE!F431="",[1]DATABASE!F431&lt;=0),"Missing/Invalid Area",""),IF(AND([1]DATABASE!T431&gt;0,ABS([1]DATABASE!T431-[1]DATABASE!W431-[1]DATABASE!U431-[1]DATABASE!V431)&gt;1),"Price Bridge Mismatch",""))</f>
        <v/>
      </c>
      <c r="H470" t="str">
        <f t="shared" si="9"/>
        <v>PASS</v>
      </c>
      <c r="I470" s="90">
        <f>[1]DATABASE!T431</f>
        <v>1220000</v>
      </c>
      <c r="J470" t="str">
        <f>[1]DATABASE!AC431</f>
        <v>João Gameiro</v>
      </c>
    </row>
    <row r="471" spans="1:10" ht="13.95" customHeight="1" x14ac:dyDescent="0.3">
      <c r="A471">
        <f>ROW([1]DATABASE!A432)</f>
        <v>432</v>
      </c>
      <c r="B471" t="str">
        <f>[1]DATABASE!AJ432</f>
        <v>Aroeira Collections</v>
      </c>
      <c r="C471" t="str">
        <f>[1]DATABASE!C432</f>
        <v>114A</v>
      </c>
      <c r="D471" t="str">
        <f>TRIM([1]DATABASE!Q432)</f>
        <v>AVAILABLE</v>
      </c>
      <c r="E471" s="82" t="str">
        <f>_xlfn.TEXTJOIN("; ",TRUE,IF([1]DATABASE!X432&lt;0,"Negative Discount",""),IF(AND([1]DATABASE!Y432&gt;[1]DATABASE!T432,[1]DATABASE!Y432&gt;0,[1]DATABASE!T432&gt;0),"Sell Price &gt; Current",""),IF(AND(TRIM([1]DATABASE!Q432)="DEED",[1]DATABASE!AA432=""),"Deeded no PSPA Date",""),IF([1]DATABASE!E432="","Missing Typology",""),IF([1]DATABASE!AJ432="","Missing Development",""))</f>
        <v/>
      </c>
      <c r="F471" s="82" t="str">
        <f>_xlfn.TEXTJOIN("; ",TRUE,IF(AND(OR(TRIM([1]DATABASE!Q432)="RESERVED",TRIM([1]DATABASE!Q432)="PRE-RESERVED",TRIM([1]DATABASE!Q432)="PSPA"),[1]DATABASE!AA432=""),"Reserved/PSPA no PSPA Date",""),IF(AND(TRIM([1]DATABASE!Q432)="AVAILABLE",[1]DATABASE!AA432&lt;&gt;""),"Available has PSPA Date",""))</f>
        <v/>
      </c>
      <c r="G471" s="82" t="str">
        <f>_xlfn.TEXTJOIN("; ",TRUE,IF(AND([1]DATABASE!T432&lt;0.8*[1]DATABASE!S432,[1]DATABASE!T432&gt;0,[1]DATABASE!S432&gt;0),"Heavy Price Cut &gt;20%",""),IF(AND(OR(TRIM([1]DATABASE!Q432)="AVAILABLE",TRIM([1]DATABASE!Q432)="UPON REQUEST"),OR([1]DATABASE!T432="",[1]DATABASE!T432=0)),"Active Unit no Price",""),IF(AND(OR(TRIM([1]DATABASE!Q432)="AVAILABLE",TRIM([1]DATABASE!Q432)="RESERVED",TRIM([1]DATABASE!Q432)="PRE-RESERVED",TRIM([1]DATABASE!Q432)="PSPA"),[1]DATABASE!AC432=""),"Active no Owner",""),IF(OR([1]DATABASE!F432="",[1]DATABASE!F432&lt;=0),"Missing/Invalid Area",""),IF(AND([1]DATABASE!T432&gt;0,ABS([1]DATABASE!T432-[1]DATABASE!W432-[1]DATABASE!U432-[1]DATABASE!V432)&gt;1),"Price Bridge Mismatch",""))</f>
        <v/>
      </c>
      <c r="H471" t="str">
        <f t="shared" si="9"/>
        <v>PASS</v>
      </c>
      <c r="I471" s="90">
        <f>[1]DATABASE!T432</f>
        <v>460000</v>
      </c>
      <c r="J471" t="str">
        <f>[1]DATABASE!AC432</f>
        <v>João Gameiro</v>
      </c>
    </row>
    <row r="472" spans="1:10" ht="13.95" customHeight="1" x14ac:dyDescent="0.3">
      <c r="A472">
        <f>ROW([1]DATABASE!A433)</f>
        <v>433</v>
      </c>
      <c r="B472" t="str">
        <f>[1]DATABASE!AJ433</f>
        <v>Aroeira Collections</v>
      </c>
      <c r="C472" t="str">
        <f>[1]DATABASE!C433</f>
        <v>114B</v>
      </c>
      <c r="D472" t="str">
        <f>TRIM([1]DATABASE!Q433)</f>
        <v>NOT FOR SALE</v>
      </c>
      <c r="E472" s="82" t="str">
        <f>_xlfn.TEXTJOIN("; ",TRUE,IF([1]DATABASE!X433&lt;0,"Negative Discount",""),IF(AND([1]DATABASE!Y433&gt;[1]DATABASE!T433,[1]DATABASE!Y433&gt;0,[1]DATABASE!T433&gt;0),"Sell Price &gt; Current",""),IF(AND(TRIM([1]DATABASE!Q433)="DEED",[1]DATABASE!AA433=""),"Deeded no PSPA Date",""),IF([1]DATABASE!E433="","Missing Typology",""),IF([1]DATABASE!AJ433="","Missing Development",""))</f>
        <v/>
      </c>
      <c r="F472" s="82" t="str">
        <f>_xlfn.TEXTJOIN("; ",TRUE,IF(AND(OR(TRIM([1]DATABASE!Q433)="RESERVED",TRIM([1]DATABASE!Q433)="PRE-RESERVED",TRIM([1]DATABASE!Q433)="PSPA"),[1]DATABASE!AA433=""),"Reserved/PSPA no PSPA Date",""),IF(AND(TRIM([1]DATABASE!Q433)="AVAILABLE",[1]DATABASE!AA433&lt;&gt;""),"Available has PSPA Date",""))</f>
        <v/>
      </c>
      <c r="G472" s="82" t="str">
        <f>_xlfn.TEXTJOIN("; ",TRUE,IF(AND([1]DATABASE!T433&lt;0.8*[1]DATABASE!S433,[1]DATABASE!T433&gt;0,[1]DATABASE!S433&gt;0),"Heavy Price Cut &gt;20%",""),IF(AND(OR(TRIM([1]DATABASE!Q433)="AVAILABLE",TRIM([1]DATABASE!Q433)="UPON REQUEST"),OR([1]DATABASE!T433="",[1]DATABASE!T433=0)),"Active Unit no Price",""),IF(AND(OR(TRIM([1]DATABASE!Q433)="AVAILABLE",TRIM([1]DATABASE!Q433)="RESERVED",TRIM([1]DATABASE!Q433)="PRE-RESERVED",TRIM([1]DATABASE!Q433)="PSPA"),[1]DATABASE!AC433=""),"Active no Owner",""),IF(OR([1]DATABASE!F433="",[1]DATABASE!F433&lt;=0),"Missing/Invalid Area",""),IF(AND([1]DATABASE!T433&gt;0,ABS([1]DATABASE!T433-[1]DATABASE!W433-[1]DATABASE!U433-[1]DATABASE!V433)&gt;1),"Price Bridge Mismatch",""))</f>
        <v/>
      </c>
      <c r="H472" t="str">
        <f t="shared" si="9"/>
        <v>PASS</v>
      </c>
      <c r="I472" s="90">
        <f>[1]DATABASE!T433</f>
        <v>910000</v>
      </c>
      <c r="J472" t="str">
        <f>[1]DATABASE!AC433</f>
        <v>João Gameiro</v>
      </c>
    </row>
    <row r="473" spans="1:10" ht="13.95" customHeight="1" x14ac:dyDescent="0.3">
      <c r="A473">
        <f>ROW([1]DATABASE!A434)</f>
        <v>434</v>
      </c>
      <c r="B473" t="str">
        <f>[1]DATABASE!AJ434</f>
        <v>Aroeira Collections</v>
      </c>
      <c r="C473" t="str">
        <f>[1]DATABASE!C434</f>
        <v>115B</v>
      </c>
      <c r="D473" t="str">
        <f>TRIM([1]DATABASE!Q434)</f>
        <v>AVAILABLE</v>
      </c>
      <c r="E473" s="82" t="str">
        <f>_xlfn.TEXTJOIN("; ",TRUE,IF([1]DATABASE!X434&lt;0,"Negative Discount",""),IF(AND([1]DATABASE!Y434&gt;[1]DATABASE!T434,[1]DATABASE!Y434&gt;0,[1]DATABASE!T434&gt;0),"Sell Price &gt; Current",""),IF(AND(TRIM([1]DATABASE!Q434)="DEED",[1]DATABASE!AA434=""),"Deeded no PSPA Date",""),IF([1]DATABASE!E434="","Missing Typology",""),IF([1]DATABASE!AJ434="","Missing Development",""))</f>
        <v/>
      </c>
      <c r="F473" s="82" t="str">
        <f>_xlfn.TEXTJOIN("; ",TRUE,IF(AND(OR(TRIM([1]DATABASE!Q434)="RESERVED",TRIM([1]DATABASE!Q434)="PRE-RESERVED",TRIM([1]DATABASE!Q434)="PSPA"),[1]DATABASE!AA434=""),"Reserved/PSPA no PSPA Date",""),IF(AND(TRIM([1]DATABASE!Q434)="AVAILABLE",[1]DATABASE!AA434&lt;&gt;""),"Available has PSPA Date",""))</f>
        <v/>
      </c>
      <c r="G473" s="82" t="str">
        <f>_xlfn.TEXTJOIN("; ",TRUE,IF(AND([1]DATABASE!T434&lt;0.8*[1]DATABASE!S434,[1]DATABASE!T434&gt;0,[1]DATABASE!S434&gt;0),"Heavy Price Cut &gt;20%",""),IF(AND(OR(TRIM([1]DATABASE!Q434)="AVAILABLE",TRIM([1]DATABASE!Q434)="UPON REQUEST"),OR([1]DATABASE!T434="",[1]DATABASE!T434=0)),"Active Unit no Price",""),IF(AND(OR(TRIM([1]DATABASE!Q434)="AVAILABLE",TRIM([1]DATABASE!Q434)="RESERVED",TRIM([1]DATABASE!Q434)="PRE-RESERVED",TRIM([1]DATABASE!Q434)="PSPA"),[1]DATABASE!AC434=""),"Active no Owner",""),IF(OR([1]DATABASE!F434="",[1]DATABASE!F434&lt;=0),"Missing/Invalid Area",""),IF(AND([1]DATABASE!T434&gt;0,ABS([1]DATABASE!T434-[1]DATABASE!W434-[1]DATABASE!U434-[1]DATABASE!V434)&gt;1),"Price Bridge Mismatch",""))</f>
        <v/>
      </c>
      <c r="H473" t="str">
        <f t="shared" si="9"/>
        <v>PASS</v>
      </c>
      <c r="I473" s="90">
        <f>[1]DATABASE!T434</f>
        <v>635000</v>
      </c>
      <c r="J473" t="str">
        <f>[1]DATABASE!AC434</f>
        <v>João Gameiro</v>
      </c>
    </row>
    <row r="474" spans="1:10" ht="13.95" customHeight="1" x14ac:dyDescent="0.3">
      <c r="A474">
        <f>ROW([1]DATABASE!A435)</f>
        <v>435</v>
      </c>
      <c r="B474" t="str">
        <f>[1]DATABASE!AJ435</f>
        <v>Aroeira Collections</v>
      </c>
      <c r="C474" t="str">
        <f>[1]DATABASE!C435</f>
        <v>115C</v>
      </c>
      <c r="D474" t="str">
        <f>TRIM([1]DATABASE!Q435)</f>
        <v>NOT FOR SALE</v>
      </c>
      <c r="E474" s="82" t="str">
        <f>_xlfn.TEXTJOIN("; ",TRUE,IF([1]DATABASE!X435&lt;0,"Negative Discount",""),IF(AND([1]DATABASE!Y435&gt;[1]DATABASE!T435,[1]DATABASE!Y435&gt;0,[1]DATABASE!T435&gt;0),"Sell Price &gt; Current",""),IF(AND(TRIM([1]DATABASE!Q435)="DEED",[1]DATABASE!AA435=""),"Deeded no PSPA Date",""),IF([1]DATABASE!E435="","Missing Typology",""),IF([1]DATABASE!AJ435="","Missing Development",""))</f>
        <v/>
      </c>
      <c r="F474" s="82" t="str">
        <f>_xlfn.TEXTJOIN("; ",TRUE,IF(AND(OR(TRIM([1]DATABASE!Q435)="RESERVED",TRIM([1]DATABASE!Q435)="PRE-RESERVED",TRIM([1]DATABASE!Q435)="PSPA"),[1]DATABASE!AA435=""),"Reserved/PSPA no PSPA Date",""),IF(AND(TRIM([1]DATABASE!Q435)="AVAILABLE",[1]DATABASE!AA435&lt;&gt;""),"Available has PSPA Date",""))</f>
        <v/>
      </c>
      <c r="G474" s="82" t="str">
        <f>_xlfn.TEXTJOIN("; ",TRUE,IF(AND([1]DATABASE!T435&lt;0.8*[1]DATABASE!S435,[1]DATABASE!T435&gt;0,[1]DATABASE!S435&gt;0),"Heavy Price Cut &gt;20%",""),IF(AND(OR(TRIM([1]DATABASE!Q435)="AVAILABLE",TRIM([1]DATABASE!Q435)="UPON REQUEST"),OR([1]DATABASE!T435="",[1]DATABASE!T435=0)),"Active Unit no Price",""),IF(AND(OR(TRIM([1]DATABASE!Q435)="AVAILABLE",TRIM([1]DATABASE!Q435)="RESERVED",TRIM([1]DATABASE!Q435)="PRE-RESERVED",TRIM([1]DATABASE!Q435)="PSPA"),[1]DATABASE!AC435=""),"Active no Owner",""),IF(OR([1]DATABASE!F435="",[1]DATABASE!F435&lt;=0),"Missing/Invalid Area",""),IF(AND([1]DATABASE!T435&gt;0,ABS([1]DATABASE!T435-[1]DATABASE!W435-[1]DATABASE!U435-[1]DATABASE!V435)&gt;1),"Price Bridge Mismatch",""))</f>
        <v/>
      </c>
      <c r="H474" t="str">
        <f t="shared" si="9"/>
        <v>PASS</v>
      </c>
      <c r="I474" s="90">
        <f>[1]DATABASE!T435</f>
        <v>1280000</v>
      </c>
      <c r="J474" t="str">
        <f>[1]DATABASE!AC435</f>
        <v>João Gameiro</v>
      </c>
    </row>
    <row r="475" spans="1:10" ht="13.95" customHeight="1" x14ac:dyDescent="0.3">
      <c r="A475">
        <f>ROW([1]DATABASE!A436)</f>
        <v>436</v>
      </c>
      <c r="B475" t="str">
        <f>[1]DATABASE!AJ436</f>
        <v>Aroeira Collections</v>
      </c>
      <c r="C475" t="str">
        <f>[1]DATABASE!C436</f>
        <v>116B</v>
      </c>
      <c r="D475" t="str">
        <f>TRIM([1]DATABASE!Q436)</f>
        <v>NOT FOR SALE</v>
      </c>
      <c r="E475" s="82" t="str">
        <f>_xlfn.TEXTJOIN("; ",TRUE,IF([1]DATABASE!X436&lt;0,"Negative Discount",""),IF(AND([1]DATABASE!Y436&gt;[1]DATABASE!T436,[1]DATABASE!Y436&gt;0,[1]DATABASE!T436&gt;0),"Sell Price &gt; Current",""),IF(AND(TRIM([1]DATABASE!Q436)="DEED",[1]DATABASE!AA436=""),"Deeded no PSPA Date",""),IF([1]DATABASE!E436="","Missing Typology",""),IF([1]DATABASE!AJ436="","Missing Development",""))</f>
        <v/>
      </c>
      <c r="F475" s="82" t="str">
        <f>_xlfn.TEXTJOIN("; ",TRUE,IF(AND(OR(TRIM([1]DATABASE!Q436)="RESERVED",TRIM([1]DATABASE!Q436)="PRE-RESERVED",TRIM([1]DATABASE!Q436)="PSPA"),[1]DATABASE!AA436=""),"Reserved/PSPA no PSPA Date",""),IF(AND(TRIM([1]DATABASE!Q436)="AVAILABLE",[1]DATABASE!AA436&lt;&gt;""),"Available has PSPA Date",""))</f>
        <v/>
      </c>
      <c r="G475" s="82" t="str">
        <f>_xlfn.TEXTJOIN("; ",TRUE,IF(AND([1]DATABASE!T436&lt;0.8*[1]DATABASE!S436,[1]DATABASE!T436&gt;0,[1]DATABASE!S436&gt;0),"Heavy Price Cut &gt;20%",""),IF(AND(OR(TRIM([1]DATABASE!Q436)="AVAILABLE",TRIM([1]DATABASE!Q436)="UPON REQUEST"),OR([1]DATABASE!T436="",[1]DATABASE!T436=0)),"Active Unit no Price",""),IF(AND(OR(TRIM([1]DATABASE!Q436)="AVAILABLE",TRIM([1]DATABASE!Q436)="RESERVED",TRIM([1]DATABASE!Q436)="PRE-RESERVED",TRIM([1]DATABASE!Q436)="PSPA"),[1]DATABASE!AC436=""),"Active no Owner",""),IF(OR([1]DATABASE!F436="",[1]DATABASE!F436&lt;=0),"Missing/Invalid Area",""),IF(AND([1]DATABASE!T436&gt;0,ABS([1]DATABASE!T436-[1]DATABASE!W436-[1]DATABASE!U436-[1]DATABASE!V436)&gt;1),"Price Bridge Mismatch",""))</f>
        <v/>
      </c>
      <c r="H475" t="str">
        <f t="shared" si="9"/>
        <v>PASS</v>
      </c>
      <c r="I475" s="90">
        <f>[1]DATABASE!T436</f>
        <v>910000</v>
      </c>
      <c r="J475" t="str">
        <f>[1]DATABASE!AC436</f>
        <v>João Gameiro</v>
      </c>
    </row>
    <row r="476" spans="1:10" ht="13.95" customHeight="1" x14ac:dyDescent="0.3">
      <c r="A476">
        <f>ROW([1]DATABASE!A437)</f>
        <v>437</v>
      </c>
      <c r="B476" t="str">
        <f>[1]DATABASE!AJ437</f>
        <v>Aroeira Collections</v>
      </c>
      <c r="C476" t="str">
        <f>[1]DATABASE!C437</f>
        <v>117A</v>
      </c>
      <c r="D476" t="str">
        <f>TRIM([1]DATABASE!Q437)</f>
        <v>AVAILABLE</v>
      </c>
      <c r="E476" s="82" t="str">
        <f>_xlfn.TEXTJOIN("; ",TRUE,IF([1]DATABASE!X437&lt;0,"Negative Discount",""),IF(AND([1]DATABASE!Y437&gt;[1]DATABASE!T437,[1]DATABASE!Y437&gt;0,[1]DATABASE!T437&gt;0),"Sell Price &gt; Current",""),IF(AND(TRIM([1]DATABASE!Q437)="DEED",[1]DATABASE!AA437=""),"Deeded no PSPA Date",""),IF([1]DATABASE!E437="","Missing Typology",""),IF([1]DATABASE!AJ437="","Missing Development",""))</f>
        <v/>
      </c>
      <c r="F476" s="82" t="str">
        <f>_xlfn.TEXTJOIN("; ",TRUE,IF(AND(OR(TRIM([1]DATABASE!Q437)="RESERVED",TRIM([1]DATABASE!Q437)="PRE-RESERVED",TRIM([1]DATABASE!Q437)="PSPA"),[1]DATABASE!AA437=""),"Reserved/PSPA no PSPA Date",""),IF(AND(TRIM([1]DATABASE!Q437)="AVAILABLE",[1]DATABASE!AA437&lt;&gt;""),"Available has PSPA Date",""))</f>
        <v/>
      </c>
      <c r="G476" s="82" t="str">
        <f>_xlfn.TEXTJOIN("; ",TRUE,IF(AND([1]DATABASE!T437&lt;0.8*[1]DATABASE!S437,[1]DATABASE!T437&gt;0,[1]DATABASE!S437&gt;0),"Heavy Price Cut &gt;20%",""),IF(AND(OR(TRIM([1]DATABASE!Q437)="AVAILABLE",TRIM([1]DATABASE!Q437)="UPON REQUEST"),OR([1]DATABASE!T437="",[1]DATABASE!T437=0)),"Active Unit no Price",""),IF(AND(OR(TRIM([1]DATABASE!Q437)="AVAILABLE",TRIM([1]DATABASE!Q437)="RESERVED",TRIM([1]DATABASE!Q437)="PRE-RESERVED",TRIM([1]DATABASE!Q437)="PSPA"),[1]DATABASE!AC437=""),"Active no Owner",""),IF(OR([1]DATABASE!F437="",[1]DATABASE!F437&lt;=0),"Missing/Invalid Area",""),IF(AND([1]DATABASE!T437&gt;0,ABS([1]DATABASE!T437-[1]DATABASE!W437-[1]DATABASE!U437-[1]DATABASE!V437)&gt;1),"Price Bridge Mismatch",""))</f>
        <v/>
      </c>
      <c r="H476" t="str">
        <f t="shared" si="9"/>
        <v>PASS</v>
      </c>
      <c r="I476" s="90">
        <f>[1]DATABASE!T437</f>
        <v>430000</v>
      </c>
      <c r="J476" t="str">
        <f>[1]DATABASE!AC437</f>
        <v>João Gameiro</v>
      </c>
    </row>
    <row r="477" spans="1:10" ht="13.95" customHeight="1" x14ac:dyDescent="0.3">
      <c r="A477">
        <f>ROW([1]DATABASE!A438)</f>
        <v>438</v>
      </c>
      <c r="B477" t="str">
        <f>[1]DATABASE!AJ438</f>
        <v>Aroeira Collections</v>
      </c>
      <c r="C477" t="str">
        <f>[1]DATABASE!C438</f>
        <v>117C</v>
      </c>
      <c r="D477" t="str">
        <f>TRIM([1]DATABASE!Q438)</f>
        <v>AVAILABLE</v>
      </c>
      <c r="E477" s="82" t="str">
        <f>_xlfn.TEXTJOIN("; ",TRUE,IF([1]DATABASE!X438&lt;0,"Negative Discount",""),IF(AND([1]DATABASE!Y438&gt;[1]DATABASE!T438,[1]DATABASE!Y438&gt;0,[1]DATABASE!T438&gt;0),"Sell Price &gt; Current",""),IF(AND(TRIM([1]DATABASE!Q438)="DEED",[1]DATABASE!AA438=""),"Deeded no PSPA Date",""),IF([1]DATABASE!E438="","Missing Typology",""),IF([1]DATABASE!AJ438="","Missing Development",""))</f>
        <v/>
      </c>
      <c r="F477" s="82" t="str">
        <f>_xlfn.TEXTJOIN("; ",TRUE,IF(AND(OR(TRIM([1]DATABASE!Q438)="RESERVED",TRIM([1]DATABASE!Q438)="PRE-RESERVED",TRIM([1]DATABASE!Q438)="PSPA"),[1]DATABASE!AA438=""),"Reserved/PSPA no PSPA Date",""),IF(AND(TRIM([1]DATABASE!Q438)="AVAILABLE",[1]DATABASE!AA438&lt;&gt;""),"Available has PSPA Date",""))</f>
        <v/>
      </c>
      <c r="G477" s="82" t="str">
        <f>_xlfn.TEXTJOIN("; ",TRUE,IF(AND([1]DATABASE!T438&lt;0.8*[1]DATABASE!S438,[1]DATABASE!T438&gt;0,[1]DATABASE!S438&gt;0),"Heavy Price Cut &gt;20%",""),IF(AND(OR(TRIM([1]DATABASE!Q438)="AVAILABLE",TRIM([1]DATABASE!Q438)="UPON REQUEST"),OR([1]DATABASE!T438="",[1]DATABASE!T438=0)),"Active Unit no Price",""),IF(AND(OR(TRIM([1]DATABASE!Q438)="AVAILABLE",TRIM([1]DATABASE!Q438)="RESERVED",TRIM([1]DATABASE!Q438)="PRE-RESERVED",TRIM([1]DATABASE!Q438)="PSPA"),[1]DATABASE!AC438=""),"Active no Owner",""),IF(OR([1]DATABASE!F438="",[1]DATABASE!F438&lt;=0),"Missing/Invalid Area",""),IF(AND([1]DATABASE!T438&gt;0,ABS([1]DATABASE!T438-[1]DATABASE!W438-[1]DATABASE!U438-[1]DATABASE!V438)&gt;1),"Price Bridge Mismatch",""))</f>
        <v/>
      </c>
      <c r="H477" t="str">
        <f t="shared" si="9"/>
        <v>PASS</v>
      </c>
      <c r="I477" s="90">
        <f>[1]DATABASE!T438</f>
        <v>1250000</v>
      </c>
      <c r="J477" t="str">
        <f>[1]DATABASE!AC438</f>
        <v>João Gameiro</v>
      </c>
    </row>
    <row r="478" spans="1:10" ht="13.95" customHeight="1" x14ac:dyDescent="0.3">
      <c r="A478">
        <f>ROW([1]DATABASE!A439)</f>
        <v>439</v>
      </c>
      <c r="B478" t="str">
        <f>[1]DATABASE!AJ439</f>
        <v>Aroeira Collections</v>
      </c>
      <c r="C478" t="str">
        <f>[1]DATABASE!C439</f>
        <v>118A</v>
      </c>
      <c r="D478" t="str">
        <f>TRIM([1]DATABASE!Q439)</f>
        <v>AVAILABLE</v>
      </c>
      <c r="E478" s="82" t="str">
        <f>_xlfn.TEXTJOIN("; ",TRUE,IF([1]DATABASE!X439&lt;0,"Negative Discount",""),IF(AND([1]DATABASE!Y439&gt;[1]DATABASE!T439,[1]DATABASE!Y439&gt;0,[1]DATABASE!T439&gt;0),"Sell Price &gt; Current",""),IF(AND(TRIM([1]DATABASE!Q439)="DEED",[1]DATABASE!AA439=""),"Deeded no PSPA Date",""),IF([1]DATABASE!E439="","Missing Typology",""),IF([1]DATABASE!AJ439="","Missing Development",""))</f>
        <v/>
      </c>
      <c r="F478" s="82" t="str">
        <f>_xlfn.TEXTJOIN("; ",TRUE,IF(AND(OR(TRIM([1]DATABASE!Q439)="RESERVED",TRIM([1]DATABASE!Q439)="PRE-RESERVED",TRIM([1]DATABASE!Q439)="PSPA"),[1]DATABASE!AA439=""),"Reserved/PSPA no PSPA Date",""),IF(AND(TRIM([1]DATABASE!Q439)="AVAILABLE",[1]DATABASE!AA439&lt;&gt;""),"Available has PSPA Date",""))</f>
        <v/>
      </c>
      <c r="G478" s="82" t="str">
        <f>_xlfn.TEXTJOIN("; ",TRUE,IF(AND([1]DATABASE!T439&lt;0.8*[1]DATABASE!S439,[1]DATABASE!T439&gt;0,[1]DATABASE!S439&gt;0),"Heavy Price Cut &gt;20%",""),IF(AND(OR(TRIM([1]DATABASE!Q439)="AVAILABLE",TRIM([1]DATABASE!Q439)="UPON REQUEST"),OR([1]DATABASE!T439="",[1]DATABASE!T439=0)),"Active Unit no Price",""),IF(AND(OR(TRIM([1]DATABASE!Q439)="AVAILABLE",TRIM([1]DATABASE!Q439)="RESERVED",TRIM([1]DATABASE!Q439)="PRE-RESERVED",TRIM([1]DATABASE!Q439)="PSPA"),[1]DATABASE!AC439=""),"Active no Owner",""),IF(OR([1]DATABASE!F439="",[1]DATABASE!F439&lt;=0),"Missing/Invalid Area",""),IF(AND([1]DATABASE!T439&gt;0,ABS([1]DATABASE!T439-[1]DATABASE!W439-[1]DATABASE!U439-[1]DATABASE!V439)&gt;1),"Price Bridge Mismatch",""))</f>
        <v/>
      </c>
      <c r="H478" t="str">
        <f t="shared" si="9"/>
        <v>PASS</v>
      </c>
      <c r="I478" s="90">
        <f>[1]DATABASE!T439</f>
        <v>430000</v>
      </c>
      <c r="J478" t="str">
        <f>[1]DATABASE!AC439</f>
        <v>João Gameiro</v>
      </c>
    </row>
    <row r="479" spans="1:10" ht="13.95" customHeight="1" x14ac:dyDescent="0.3">
      <c r="A479">
        <f>ROW([1]DATABASE!A440)</f>
        <v>440</v>
      </c>
      <c r="B479" t="str">
        <f>[1]DATABASE!AJ440</f>
        <v>Aroeira Collections</v>
      </c>
      <c r="C479" t="str">
        <f>[1]DATABASE!C440</f>
        <v>118B</v>
      </c>
      <c r="D479" t="str">
        <f>TRIM([1]DATABASE!Q440)</f>
        <v>NOT FOR SALE</v>
      </c>
      <c r="E479" s="82" t="str">
        <f>_xlfn.TEXTJOIN("; ",TRUE,IF([1]DATABASE!X440&lt;0,"Negative Discount",""),IF(AND([1]DATABASE!Y440&gt;[1]DATABASE!T440,[1]DATABASE!Y440&gt;0,[1]DATABASE!T440&gt;0),"Sell Price &gt; Current",""),IF(AND(TRIM([1]DATABASE!Q440)="DEED",[1]DATABASE!AA440=""),"Deeded no PSPA Date",""),IF([1]DATABASE!E440="","Missing Typology",""),IF([1]DATABASE!AJ440="","Missing Development",""))</f>
        <v/>
      </c>
      <c r="F479" s="82" t="str">
        <f>_xlfn.TEXTJOIN("; ",TRUE,IF(AND(OR(TRIM([1]DATABASE!Q440)="RESERVED",TRIM([1]DATABASE!Q440)="PRE-RESERVED",TRIM([1]DATABASE!Q440)="PSPA"),[1]DATABASE!AA440=""),"Reserved/PSPA no PSPA Date",""),IF(AND(TRIM([1]DATABASE!Q440)="AVAILABLE",[1]DATABASE!AA440&lt;&gt;""),"Available has PSPA Date",""))</f>
        <v/>
      </c>
      <c r="G479" s="82" t="str">
        <f>_xlfn.TEXTJOIN("; ",TRUE,IF(AND([1]DATABASE!T440&lt;0.8*[1]DATABASE!S440,[1]DATABASE!T440&gt;0,[1]DATABASE!S440&gt;0),"Heavy Price Cut &gt;20%",""),IF(AND(OR(TRIM([1]DATABASE!Q440)="AVAILABLE",TRIM([1]DATABASE!Q440)="UPON REQUEST"),OR([1]DATABASE!T440="",[1]DATABASE!T440=0)),"Active Unit no Price",""),IF(AND(OR(TRIM([1]DATABASE!Q440)="AVAILABLE",TRIM([1]DATABASE!Q440)="RESERVED",TRIM([1]DATABASE!Q440)="PRE-RESERVED",TRIM([1]DATABASE!Q440)="PSPA"),[1]DATABASE!AC440=""),"Active no Owner",""),IF(OR([1]DATABASE!F440="",[1]DATABASE!F440&lt;=0),"Missing/Invalid Area",""),IF(AND([1]DATABASE!T440&gt;0,ABS([1]DATABASE!T440-[1]DATABASE!W440-[1]DATABASE!U440-[1]DATABASE!V440)&gt;1),"Price Bridge Mismatch",""))</f>
        <v/>
      </c>
      <c r="H479" t="str">
        <f t="shared" si="9"/>
        <v>PASS</v>
      </c>
      <c r="I479" s="90">
        <f>[1]DATABASE!T440</f>
        <v>915000</v>
      </c>
      <c r="J479" t="str">
        <f>[1]DATABASE!AC440</f>
        <v>João Gameiro</v>
      </c>
    </row>
    <row r="480" spans="1:10" ht="13.95" customHeight="1" x14ac:dyDescent="0.3">
      <c r="A480">
        <f>ROW([1]DATABASE!A441)</f>
        <v>441</v>
      </c>
      <c r="B480" t="str">
        <f>[1]DATABASE!AJ441</f>
        <v>Monte Rei</v>
      </c>
      <c r="C480" t="str">
        <f>[1]DATABASE!C441</f>
        <v>T</v>
      </c>
      <c r="D480" t="str">
        <f>TRIM([1]DATABASE!Q441)</f>
        <v>AVAILABLE</v>
      </c>
      <c r="E480" s="82" t="str">
        <f>_xlfn.TEXTJOIN("; ",TRUE,IF([1]DATABASE!X441&lt;0,"Negative Discount",""),IF(AND([1]DATABASE!Y441&gt;[1]DATABASE!T441,[1]DATABASE!Y441&gt;0,[1]DATABASE!T441&gt;0),"Sell Price &gt; Current",""),IF(AND(TRIM([1]DATABASE!Q441)="DEED",[1]DATABASE!AA441=""),"Deeded no PSPA Date",""),IF([1]DATABASE!E441="","Missing Typology",""),IF([1]DATABASE!AJ441="","Missing Development",""))</f>
        <v/>
      </c>
      <c r="F480" s="82" t="str">
        <f>_xlfn.TEXTJOIN("; ",TRUE,IF(AND(OR(TRIM([1]DATABASE!Q441)="RESERVED",TRIM([1]DATABASE!Q441)="PRE-RESERVED",TRIM([1]DATABASE!Q441)="PSPA"),[1]DATABASE!AA441=""),"Reserved/PSPA no PSPA Date",""),IF(AND(TRIM([1]DATABASE!Q441)="AVAILABLE",[1]DATABASE!AA441&lt;&gt;""),"Available has PSPA Date",""))</f>
        <v/>
      </c>
      <c r="G480" s="82" t="str">
        <f>_xlfn.TEXTJOIN("; ",TRUE,IF(AND([1]DATABASE!T441&lt;0.8*[1]DATABASE!S441,[1]DATABASE!T441&gt;0,[1]DATABASE!S441&gt;0),"Heavy Price Cut &gt;20%",""),IF(AND(OR(TRIM([1]DATABASE!Q441)="AVAILABLE",TRIM([1]DATABASE!Q441)="UPON REQUEST"),OR([1]DATABASE!T441="",[1]DATABASE!T441=0)),"Active Unit no Price",""),IF(AND(OR(TRIM([1]DATABASE!Q441)="AVAILABLE",TRIM([1]DATABASE!Q441)="RESERVED",TRIM([1]DATABASE!Q441)="PRE-RESERVED",TRIM([1]DATABASE!Q441)="PSPA"),[1]DATABASE!AC441=""),"Active no Owner",""),IF(OR([1]DATABASE!F441="",[1]DATABASE!F441&lt;=0),"Missing/Invalid Area",""),IF(AND([1]DATABASE!T441&gt;0,ABS([1]DATABASE!T441-[1]DATABASE!W441-[1]DATABASE!U441-[1]DATABASE!V441)&gt;1),"Price Bridge Mismatch",""))</f>
        <v/>
      </c>
      <c r="H480" t="str">
        <f t="shared" si="9"/>
        <v>PASS</v>
      </c>
      <c r="I480" s="90">
        <f>[1]DATABASE!T441</f>
        <v>1160000</v>
      </c>
      <c r="J480" t="str">
        <f>[1]DATABASE!AC441</f>
        <v>Sandra Viegas</v>
      </c>
    </row>
    <row r="481" spans="1:10" ht="13.95" customHeight="1" x14ac:dyDescent="0.3">
      <c r="A481">
        <f>ROW([1]DATABASE!A442)</f>
        <v>442</v>
      </c>
      <c r="B481" t="str">
        <f>[1]DATABASE!AJ442</f>
        <v>Aroeira Collections</v>
      </c>
      <c r="C481" t="str">
        <f>[1]DATABASE!C442</f>
        <v>119B</v>
      </c>
      <c r="D481" t="str">
        <f>TRIM([1]DATABASE!Q442)</f>
        <v>NOT FOR SALE</v>
      </c>
      <c r="E481" s="82" t="str">
        <f>_xlfn.TEXTJOIN("; ",TRUE,IF([1]DATABASE!X442&lt;0,"Negative Discount",""),IF(AND([1]DATABASE!Y442&gt;[1]DATABASE!T442,[1]DATABASE!Y442&gt;0,[1]DATABASE!T442&gt;0),"Sell Price &gt; Current",""),IF(AND(TRIM([1]DATABASE!Q442)="DEED",[1]DATABASE!AA442=""),"Deeded no PSPA Date",""),IF([1]DATABASE!E442="","Missing Typology",""),IF([1]DATABASE!AJ442="","Missing Development",""))</f>
        <v/>
      </c>
      <c r="F481" s="82" t="str">
        <f>_xlfn.TEXTJOIN("; ",TRUE,IF(AND(OR(TRIM([1]DATABASE!Q442)="RESERVED",TRIM([1]DATABASE!Q442)="PRE-RESERVED",TRIM([1]DATABASE!Q442)="PSPA"),[1]DATABASE!AA442=""),"Reserved/PSPA no PSPA Date",""),IF(AND(TRIM([1]DATABASE!Q442)="AVAILABLE",[1]DATABASE!AA442&lt;&gt;""),"Available has PSPA Date",""))</f>
        <v/>
      </c>
      <c r="G481" s="82" t="str">
        <f>_xlfn.TEXTJOIN("; ",TRUE,IF(AND([1]DATABASE!T442&lt;0.8*[1]DATABASE!S442,[1]DATABASE!T442&gt;0,[1]DATABASE!S442&gt;0),"Heavy Price Cut &gt;20%",""),IF(AND(OR(TRIM([1]DATABASE!Q442)="AVAILABLE",TRIM([1]DATABASE!Q442)="UPON REQUEST"),OR([1]DATABASE!T442="",[1]DATABASE!T442=0)),"Active Unit no Price",""),IF(AND(OR(TRIM([1]DATABASE!Q442)="AVAILABLE",TRIM([1]DATABASE!Q442)="RESERVED",TRIM([1]DATABASE!Q442)="PRE-RESERVED",TRIM([1]DATABASE!Q442)="PSPA"),[1]DATABASE!AC442=""),"Active no Owner",""),IF(OR([1]DATABASE!F442="",[1]DATABASE!F442&lt;=0),"Missing/Invalid Area",""),IF(AND([1]DATABASE!T442&gt;0,ABS([1]DATABASE!T442-[1]DATABASE!W442-[1]DATABASE!U442-[1]DATABASE!V442)&gt;1),"Price Bridge Mismatch",""))</f>
        <v/>
      </c>
      <c r="H481" t="str">
        <f t="shared" si="9"/>
        <v>PASS</v>
      </c>
      <c r="I481" s="90">
        <f>[1]DATABASE!T442</f>
        <v>900000</v>
      </c>
      <c r="J481" t="str">
        <f>[1]DATABASE!AC442</f>
        <v>João Gameiro</v>
      </c>
    </row>
    <row r="482" spans="1:10" ht="13.95" customHeight="1" x14ac:dyDescent="0.3">
      <c r="A482">
        <f>ROW([1]DATABASE!A443)</f>
        <v>443</v>
      </c>
      <c r="B482" t="str">
        <f>[1]DATABASE!AJ443</f>
        <v>Aroeira Collections</v>
      </c>
      <c r="C482" t="str">
        <f>[1]DATABASE!C443</f>
        <v>11D</v>
      </c>
      <c r="D482" t="str">
        <f>TRIM([1]DATABASE!Q443)</f>
        <v>AVAILABLE</v>
      </c>
      <c r="E482" s="82" t="str">
        <f>_xlfn.TEXTJOIN("; ",TRUE,IF([1]DATABASE!X443&lt;0,"Negative Discount",""),IF(AND([1]DATABASE!Y443&gt;[1]DATABASE!T443,[1]DATABASE!Y443&gt;0,[1]DATABASE!T443&gt;0),"Sell Price &gt; Current",""),IF(AND(TRIM([1]DATABASE!Q443)="DEED",[1]DATABASE!AA443=""),"Deeded no PSPA Date",""),IF([1]DATABASE!E443="","Missing Typology",""),IF([1]DATABASE!AJ443="","Missing Development",""))</f>
        <v/>
      </c>
      <c r="F482" s="82" t="str">
        <f>_xlfn.TEXTJOIN("; ",TRUE,IF(AND(OR(TRIM([1]DATABASE!Q443)="RESERVED",TRIM([1]DATABASE!Q443)="PRE-RESERVED",TRIM([1]DATABASE!Q443)="PSPA"),[1]DATABASE!AA443=""),"Reserved/PSPA no PSPA Date",""),IF(AND(TRIM([1]DATABASE!Q443)="AVAILABLE",[1]DATABASE!AA443&lt;&gt;""),"Available has PSPA Date",""))</f>
        <v/>
      </c>
      <c r="G482" s="82" t="str">
        <f>_xlfn.TEXTJOIN("; ",TRUE,IF(AND([1]DATABASE!T443&lt;0.8*[1]DATABASE!S443,[1]DATABASE!T443&gt;0,[1]DATABASE!S443&gt;0),"Heavy Price Cut &gt;20%",""),IF(AND(OR(TRIM([1]DATABASE!Q443)="AVAILABLE",TRIM([1]DATABASE!Q443)="UPON REQUEST"),OR([1]DATABASE!T443="",[1]DATABASE!T443=0)),"Active Unit no Price",""),IF(AND(OR(TRIM([1]DATABASE!Q443)="AVAILABLE",TRIM([1]DATABASE!Q443)="RESERVED",TRIM([1]DATABASE!Q443)="PRE-RESERVED",TRIM([1]DATABASE!Q443)="PSPA"),[1]DATABASE!AC443=""),"Active no Owner",""),IF(OR([1]DATABASE!F443="",[1]DATABASE!F443&lt;=0),"Missing/Invalid Area",""),IF(AND([1]DATABASE!T443&gt;0,ABS([1]DATABASE!T443-[1]DATABASE!W443-[1]DATABASE!U443-[1]DATABASE!V443)&gt;1),"Price Bridge Mismatch",""))</f>
        <v/>
      </c>
      <c r="H482" t="str">
        <f t="shared" si="9"/>
        <v>PASS</v>
      </c>
      <c r="I482" s="90">
        <f>[1]DATABASE!T443</f>
        <v>1965000</v>
      </c>
      <c r="J482" t="str">
        <f>[1]DATABASE!AC443</f>
        <v>João Gameiro</v>
      </c>
    </row>
    <row r="483" spans="1:10" ht="13.95" customHeight="1" x14ac:dyDescent="0.3">
      <c r="A483">
        <f>ROW([1]DATABASE!A444)</f>
        <v>444</v>
      </c>
      <c r="B483" t="str">
        <f>[1]DATABASE!AJ444</f>
        <v>Aroeira Collections</v>
      </c>
      <c r="C483" t="str">
        <f>[1]DATABASE!C444</f>
        <v>11D</v>
      </c>
      <c r="D483" t="str">
        <f>TRIM([1]DATABASE!Q444)</f>
        <v>AVAILABLE</v>
      </c>
      <c r="E483" s="82" t="str">
        <f>_xlfn.TEXTJOIN("; ",TRUE,IF([1]DATABASE!X444&lt;0,"Negative Discount",""),IF(AND([1]DATABASE!Y444&gt;[1]DATABASE!T444,[1]DATABASE!Y444&gt;0,[1]DATABASE!T444&gt;0),"Sell Price &gt; Current",""),IF(AND(TRIM([1]DATABASE!Q444)="DEED",[1]DATABASE!AA444=""),"Deeded no PSPA Date",""),IF([1]DATABASE!E444="","Missing Typology",""),IF([1]DATABASE!AJ444="","Missing Development",""))</f>
        <v/>
      </c>
      <c r="F483" s="82" t="str">
        <f>_xlfn.TEXTJOIN("; ",TRUE,IF(AND(OR(TRIM([1]DATABASE!Q444)="RESERVED",TRIM([1]DATABASE!Q444)="PRE-RESERVED",TRIM([1]DATABASE!Q444)="PSPA"),[1]DATABASE!AA444=""),"Reserved/PSPA no PSPA Date",""),IF(AND(TRIM([1]DATABASE!Q444)="AVAILABLE",[1]DATABASE!AA444&lt;&gt;""),"Available has PSPA Date",""))</f>
        <v/>
      </c>
      <c r="G483" s="82" t="str">
        <f>_xlfn.TEXTJOIN("; ",TRUE,IF(AND([1]DATABASE!T444&lt;0.8*[1]DATABASE!S444,[1]DATABASE!T444&gt;0,[1]DATABASE!S444&gt;0),"Heavy Price Cut &gt;20%",""),IF(AND(OR(TRIM([1]DATABASE!Q444)="AVAILABLE",TRIM([1]DATABASE!Q444)="UPON REQUEST"),OR([1]DATABASE!T444="",[1]DATABASE!T444=0)),"Active Unit no Price",""),IF(AND(OR(TRIM([1]DATABASE!Q444)="AVAILABLE",TRIM([1]DATABASE!Q444)="RESERVED",TRIM([1]DATABASE!Q444)="PRE-RESERVED",TRIM([1]DATABASE!Q444)="PSPA"),[1]DATABASE!AC444=""),"Active no Owner",""),IF(OR([1]DATABASE!F444="",[1]DATABASE!F444&lt;=0),"Missing/Invalid Area",""),IF(AND([1]DATABASE!T444&gt;0,ABS([1]DATABASE!T444-[1]DATABASE!W444-[1]DATABASE!U444-[1]DATABASE!V444)&gt;1),"Price Bridge Mismatch",""))</f>
        <v/>
      </c>
      <c r="H483" t="str">
        <f t="shared" si="9"/>
        <v>PASS</v>
      </c>
      <c r="I483" s="90">
        <f>[1]DATABASE!T444</f>
        <v>1980000</v>
      </c>
      <c r="J483" t="str">
        <f>[1]DATABASE!AC444</f>
        <v>João Gameiro</v>
      </c>
    </row>
    <row r="484" spans="1:10" ht="13.95" customHeight="1" x14ac:dyDescent="0.3">
      <c r="A484">
        <f>ROW([1]DATABASE!A445)</f>
        <v>445</v>
      </c>
      <c r="B484" t="str">
        <f>[1]DATABASE!AJ445</f>
        <v>Aroeira Collections</v>
      </c>
      <c r="C484" t="str">
        <f>[1]DATABASE!C445</f>
        <v>120A</v>
      </c>
      <c r="D484" t="str">
        <f>TRIM([1]DATABASE!Q445)</f>
        <v>AVAILABLE</v>
      </c>
      <c r="E484" s="82" t="str">
        <f>_xlfn.TEXTJOIN("; ",TRUE,IF([1]DATABASE!X445&lt;0,"Negative Discount",""),IF(AND([1]DATABASE!Y445&gt;[1]DATABASE!T445,[1]DATABASE!Y445&gt;0,[1]DATABASE!T445&gt;0),"Sell Price &gt; Current",""),IF(AND(TRIM([1]DATABASE!Q445)="DEED",[1]DATABASE!AA445=""),"Deeded no PSPA Date",""),IF([1]DATABASE!E445="","Missing Typology",""),IF([1]DATABASE!AJ445="","Missing Development",""))</f>
        <v/>
      </c>
      <c r="F484" s="82" t="str">
        <f>_xlfn.TEXTJOIN("; ",TRUE,IF(AND(OR(TRIM([1]DATABASE!Q445)="RESERVED",TRIM([1]DATABASE!Q445)="PRE-RESERVED",TRIM([1]DATABASE!Q445)="PSPA"),[1]DATABASE!AA445=""),"Reserved/PSPA no PSPA Date",""),IF(AND(TRIM([1]DATABASE!Q445)="AVAILABLE",[1]DATABASE!AA445&lt;&gt;""),"Available has PSPA Date",""))</f>
        <v/>
      </c>
      <c r="G484" s="82" t="str">
        <f>_xlfn.TEXTJOIN("; ",TRUE,IF(AND([1]DATABASE!T445&lt;0.8*[1]DATABASE!S445,[1]DATABASE!T445&gt;0,[1]DATABASE!S445&gt;0),"Heavy Price Cut &gt;20%",""),IF(AND(OR(TRIM([1]DATABASE!Q445)="AVAILABLE",TRIM([1]DATABASE!Q445)="UPON REQUEST"),OR([1]DATABASE!T445="",[1]DATABASE!T445=0)),"Active Unit no Price",""),IF(AND(OR(TRIM([1]DATABASE!Q445)="AVAILABLE",TRIM([1]DATABASE!Q445)="RESERVED",TRIM([1]DATABASE!Q445)="PRE-RESERVED",TRIM([1]DATABASE!Q445)="PSPA"),[1]DATABASE!AC445=""),"Active no Owner",""),IF(OR([1]DATABASE!F445="",[1]DATABASE!F445&lt;=0),"Missing/Invalid Area",""),IF(AND([1]DATABASE!T445&gt;0,ABS([1]DATABASE!T445-[1]DATABASE!W445-[1]DATABASE!U445-[1]DATABASE!V445)&gt;1),"Price Bridge Mismatch",""))</f>
        <v/>
      </c>
      <c r="H484" t="str">
        <f t="shared" si="9"/>
        <v>PASS</v>
      </c>
      <c r="I484" s="90">
        <f>[1]DATABASE!T445</f>
        <v>430000</v>
      </c>
      <c r="J484" t="str">
        <f>[1]DATABASE!AC445</f>
        <v>João Gameiro</v>
      </c>
    </row>
    <row r="485" spans="1:10" ht="13.95" customHeight="1" x14ac:dyDescent="0.3">
      <c r="A485">
        <f>ROW([1]DATABASE!A446)</f>
        <v>446</v>
      </c>
      <c r="B485" t="str">
        <f>[1]DATABASE!AJ446</f>
        <v>Aroeira Collections</v>
      </c>
      <c r="C485" t="str">
        <f>[1]DATABASE!C446</f>
        <v>122A</v>
      </c>
      <c r="D485" t="str">
        <f>TRIM([1]DATABASE!Q446)</f>
        <v>AVAILABLE</v>
      </c>
      <c r="E485" s="82" t="str">
        <f>_xlfn.TEXTJOIN("; ",TRUE,IF([1]DATABASE!X446&lt;0,"Negative Discount",""),IF(AND([1]DATABASE!Y446&gt;[1]DATABASE!T446,[1]DATABASE!Y446&gt;0,[1]DATABASE!T446&gt;0),"Sell Price &gt; Current",""),IF(AND(TRIM([1]DATABASE!Q446)="DEED",[1]DATABASE!AA446=""),"Deeded no PSPA Date",""),IF([1]DATABASE!E446="","Missing Typology",""),IF([1]DATABASE!AJ446="","Missing Development",""))</f>
        <v/>
      </c>
      <c r="F485" s="82" t="str">
        <f>_xlfn.TEXTJOIN("; ",TRUE,IF(AND(OR(TRIM([1]DATABASE!Q446)="RESERVED",TRIM([1]DATABASE!Q446)="PRE-RESERVED",TRIM([1]DATABASE!Q446)="PSPA"),[1]DATABASE!AA446=""),"Reserved/PSPA no PSPA Date",""),IF(AND(TRIM([1]DATABASE!Q446)="AVAILABLE",[1]DATABASE!AA446&lt;&gt;""),"Available has PSPA Date",""))</f>
        <v/>
      </c>
      <c r="G485" s="82" t="str">
        <f>_xlfn.TEXTJOIN("; ",TRUE,IF(AND([1]DATABASE!T446&lt;0.8*[1]DATABASE!S446,[1]DATABASE!T446&gt;0,[1]DATABASE!S446&gt;0),"Heavy Price Cut &gt;20%",""),IF(AND(OR(TRIM([1]DATABASE!Q446)="AVAILABLE",TRIM([1]DATABASE!Q446)="UPON REQUEST"),OR([1]DATABASE!T446="",[1]DATABASE!T446=0)),"Active Unit no Price",""),IF(AND(OR(TRIM([1]DATABASE!Q446)="AVAILABLE",TRIM([1]DATABASE!Q446)="RESERVED",TRIM([1]DATABASE!Q446)="PRE-RESERVED",TRIM([1]DATABASE!Q446)="PSPA"),[1]DATABASE!AC446=""),"Active no Owner",""),IF(OR([1]DATABASE!F446="",[1]DATABASE!F446&lt;=0),"Missing/Invalid Area",""),IF(AND([1]DATABASE!T446&gt;0,ABS([1]DATABASE!T446-[1]DATABASE!W446-[1]DATABASE!U446-[1]DATABASE!V446)&gt;1),"Price Bridge Mismatch",""))</f>
        <v/>
      </c>
      <c r="H485" t="str">
        <f t="shared" si="9"/>
        <v>PASS</v>
      </c>
      <c r="I485" s="90">
        <f>[1]DATABASE!T446</f>
        <v>430000</v>
      </c>
      <c r="J485" t="str">
        <f>[1]DATABASE!AC446</f>
        <v>João Gameiro</v>
      </c>
    </row>
    <row r="486" spans="1:10" ht="13.95" customHeight="1" x14ac:dyDescent="0.3">
      <c r="A486">
        <f>ROW([1]DATABASE!A447)</f>
        <v>447</v>
      </c>
      <c r="B486" t="str">
        <f>[1]DATABASE!AJ447</f>
        <v>Aroeira Collections</v>
      </c>
      <c r="C486" t="str">
        <f>[1]DATABASE!C447</f>
        <v>123B</v>
      </c>
      <c r="D486" t="str">
        <f>TRIM([1]DATABASE!Q447)</f>
        <v>AVAILABLE</v>
      </c>
      <c r="E486" s="82" t="str">
        <f>_xlfn.TEXTJOIN("; ",TRUE,IF([1]DATABASE!X447&lt;0,"Negative Discount",""),IF(AND([1]DATABASE!Y447&gt;[1]DATABASE!T447,[1]DATABASE!Y447&gt;0,[1]DATABASE!T447&gt;0),"Sell Price &gt; Current",""),IF(AND(TRIM([1]DATABASE!Q447)="DEED",[1]DATABASE!AA447=""),"Deeded no PSPA Date",""),IF([1]DATABASE!E447="","Missing Typology",""),IF([1]DATABASE!AJ447="","Missing Development",""))</f>
        <v/>
      </c>
      <c r="F486" s="82" t="str">
        <f>_xlfn.TEXTJOIN("; ",TRUE,IF(AND(OR(TRIM([1]DATABASE!Q447)="RESERVED",TRIM([1]DATABASE!Q447)="PRE-RESERVED",TRIM([1]DATABASE!Q447)="PSPA"),[1]DATABASE!AA447=""),"Reserved/PSPA no PSPA Date",""),IF(AND(TRIM([1]DATABASE!Q447)="AVAILABLE",[1]DATABASE!AA447&lt;&gt;""),"Available has PSPA Date",""))</f>
        <v/>
      </c>
      <c r="G486" s="82" t="str">
        <f>_xlfn.TEXTJOIN("; ",TRUE,IF(AND([1]DATABASE!T447&lt;0.8*[1]DATABASE!S447,[1]DATABASE!T447&gt;0,[1]DATABASE!S447&gt;0),"Heavy Price Cut &gt;20%",""),IF(AND(OR(TRIM([1]DATABASE!Q447)="AVAILABLE",TRIM([1]DATABASE!Q447)="UPON REQUEST"),OR([1]DATABASE!T447="",[1]DATABASE!T447=0)),"Active Unit no Price",""),IF(AND(OR(TRIM([1]DATABASE!Q447)="AVAILABLE",TRIM([1]DATABASE!Q447)="RESERVED",TRIM([1]DATABASE!Q447)="PRE-RESERVED",TRIM([1]DATABASE!Q447)="PSPA"),[1]DATABASE!AC447=""),"Active no Owner",""),IF(OR([1]DATABASE!F447="",[1]DATABASE!F447&lt;=0),"Missing/Invalid Area",""),IF(AND([1]DATABASE!T447&gt;0,ABS([1]DATABASE!T447-[1]DATABASE!W447-[1]DATABASE!U447-[1]DATABASE!V447)&gt;1),"Price Bridge Mismatch",""))</f>
        <v/>
      </c>
      <c r="H486" t="str">
        <f t="shared" si="9"/>
        <v>PASS</v>
      </c>
      <c r="I486" s="90">
        <f>[1]DATABASE!T447</f>
        <v>635000</v>
      </c>
      <c r="J486" t="str">
        <f>[1]DATABASE!AC447</f>
        <v>João Gameiro</v>
      </c>
    </row>
    <row r="487" spans="1:10" ht="13.95" customHeight="1" x14ac:dyDescent="0.3">
      <c r="A487">
        <f>ROW([1]DATABASE!A448)</f>
        <v>448</v>
      </c>
      <c r="B487" t="str">
        <f>[1]DATABASE!AJ448</f>
        <v>Aroeira Collections</v>
      </c>
      <c r="C487" t="str">
        <f>[1]DATABASE!C448</f>
        <v>124A</v>
      </c>
      <c r="D487" t="str">
        <f>TRIM([1]DATABASE!Q448)</f>
        <v>AVAILABLE</v>
      </c>
      <c r="E487" s="82" t="str">
        <f>_xlfn.TEXTJOIN("; ",TRUE,IF([1]DATABASE!X448&lt;0,"Negative Discount",""),IF(AND([1]DATABASE!Y448&gt;[1]DATABASE!T448,[1]DATABASE!Y448&gt;0,[1]DATABASE!T448&gt;0),"Sell Price &gt; Current",""),IF(AND(TRIM([1]DATABASE!Q448)="DEED",[1]DATABASE!AA448=""),"Deeded no PSPA Date",""),IF([1]DATABASE!E448="","Missing Typology",""),IF([1]DATABASE!AJ448="","Missing Development",""))</f>
        <v/>
      </c>
      <c r="F487" s="82" t="str">
        <f>_xlfn.TEXTJOIN("; ",TRUE,IF(AND(OR(TRIM([1]DATABASE!Q448)="RESERVED",TRIM([1]DATABASE!Q448)="PRE-RESERVED",TRIM([1]DATABASE!Q448)="PSPA"),[1]DATABASE!AA448=""),"Reserved/PSPA no PSPA Date",""),IF(AND(TRIM([1]DATABASE!Q448)="AVAILABLE",[1]DATABASE!AA448&lt;&gt;""),"Available has PSPA Date",""))</f>
        <v/>
      </c>
      <c r="G487" s="82" t="str">
        <f>_xlfn.TEXTJOIN("; ",TRUE,IF(AND([1]DATABASE!T448&lt;0.8*[1]DATABASE!S448,[1]DATABASE!T448&gt;0,[1]DATABASE!S448&gt;0),"Heavy Price Cut &gt;20%",""),IF(AND(OR(TRIM([1]DATABASE!Q448)="AVAILABLE",TRIM([1]DATABASE!Q448)="UPON REQUEST"),OR([1]DATABASE!T448="",[1]DATABASE!T448=0)),"Active Unit no Price",""),IF(AND(OR(TRIM([1]DATABASE!Q448)="AVAILABLE",TRIM([1]DATABASE!Q448)="RESERVED",TRIM([1]DATABASE!Q448)="PRE-RESERVED",TRIM([1]DATABASE!Q448)="PSPA"),[1]DATABASE!AC448=""),"Active no Owner",""),IF(OR([1]DATABASE!F448="",[1]DATABASE!F448&lt;=0),"Missing/Invalid Area",""),IF(AND([1]DATABASE!T448&gt;0,ABS([1]DATABASE!T448-[1]DATABASE!W448-[1]DATABASE!U448-[1]DATABASE!V448)&gt;1),"Price Bridge Mismatch",""))</f>
        <v/>
      </c>
      <c r="H487" t="str">
        <f t="shared" si="9"/>
        <v>PASS</v>
      </c>
      <c r="I487" s="90">
        <f>[1]DATABASE!T448</f>
        <v>460000</v>
      </c>
      <c r="J487" t="str">
        <f>[1]DATABASE!AC448</f>
        <v>João Gameiro</v>
      </c>
    </row>
    <row r="488" spans="1:10" ht="13.95" customHeight="1" x14ac:dyDescent="0.3">
      <c r="A488">
        <f>ROW([1]DATABASE!A449)</f>
        <v>449</v>
      </c>
      <c r="B488" t="str">
        <f>[1]DATABASE!AJ449</f>
        <v>Aroeira Collections</v>
      </c>
      <c r="C488" t="str">
        <f>[1]DATABASE!C449</f>
        <v>125B</v>
      </c>
      <c r="D488" t="str">
        <f>TRIM([1]DATABASE!Q449)</f>
        <v>AVAILABLE</v>
      </c>
      <c r="E488" s="82" t="str">
        <f>_xlfn.TEXTJOIN("; ",TRUE,IF([1]DATABASE!X449&lt;0,"Negative Discount",""),IF(AND([1]DATABASE!Y449&gt;[1]DATABASE!T449,[1]DATABASE!Y449&gt;0,[1]DATABASE!T449&gt;0),"Sell Price &gt; Current",""),IF(AND(TRIM([1]DATABASE!Q449)="DEED",[1]DATABASE!AA449=""),"Deeded no PSPA Date",""),IF([1]DATABASE!E449="","Missing Typology",""),IF([1]DATABASE!AJ449="","Missing Development",""))</f>
        <v/>
      </c>
      <c r="F488" s="82" t="str">
        <f>_xlfn.TEXTJOIN("; ",TRUE,IF(AND(OR(TRIM([1]DATABASE!Q449)="RESERVED",TRIM([1]DATABASE!Q449)="PRE-RESERVED",TRIM([1]DATABASE!Q449)="PSPA"),[1]DATABASE!AA449=""),"Reserved/PSPA no PSPA Date",""),IF(AND(TRIM([1]DATABASE!Q449)="AVAILABLE",[1]DATABASE!AA449&lt;&gt;""),"Available has PSPA Date",""))</f>
        <v/>
      </c>
      <c r="G488" s="82" t="str">
        <f>_xlfn.TEXTJOIN("; ",TRUE,IF(AND([1]DATABASE!T449&lt;0.8*[1]DATABASE!S449,[1]DATABASE!T449&gt;0,[1]DATABASE!S449&gt;0),"Heavy Price Cut &gt;20%",""),IF(AND(OR(TRIM([1]DATABASE!Q449)="AVAILABLE",TRIM([1]DATABASE!Q449)="UPON REQUEST"),OR([1]DATABASE!T449="",[1]DATABASE!T449=0)),"Active Unit no Price",""),IF(AND(OR(TRIM([1]DATABASE!Q449)="AVAILABLE",TRIM([1]DATABASE!Q449)="RESERVED",TRIM([1]DATABASE!Q449)="PRE-RESERVED",TRIM([1]DATABASE!Q449)="PSPA"),[1]DATABASE!AC449=""),"Active no Owner",""),IF(OR([1]DATABASE!F449="",[1]DATABASE!F449&lt;=0),"Missing/Invalid Area",""),IF(AND([1]DATABASE!T449&gt;0,ABS([1]DATABASE!T449-[1]DATABASE!W449-[1]DATABASE!U449-[1]DATABASE!V449)&gt;1),"Price Bridge Mismatch",""))</f>
        <v/>
      </c>
      <c r="H488" t="str">
        <f t="shared" si="9"/>
        <v>PASS</v>
      </c>
      <c r="I488" s="90">
        <f>[1]DATABASE!T449</f>
        <v>620000</v>
      </c>
      <c r="J488" t="str">
        <f>[1]DATABASE!AC449</f>
        <v>João Gameiro</v>
      </c>
    </row>
    <row r="489" spans="1:10" ht="13.95" customHeight="1" x14ac:dyDescent="0.3">
      <c r="A489">
        <f>ROW([1]DATABASE!A450)</f>
        <v>450</v>
      </c>
      <c r="B489" t="str">
        <f>[1]DATABASE!AJ450</f>
        <v>Aroeira Collections</v>
      </c>
      <c r="C489" t="str">
        <f>[1]DATABASE!C450</f>
        <v>126B</v>
      </c>
      <c r="D489" t="str">
        <f>TRIM([1]DATABASE!Q450)</f>
        <v>AVAILABLE</v>
      </c>
      <c r="E489" s="82" t="str">
        <f>_xlfn.TEXTJOIN("; ",TRUE,IF([1]DATABASE!X450&lt;0,"Negative Discount",""),IF(AND([1]DATABASE!Y450&gt;[1]DATABASE!T450,[1]DATABASE!Y450&gt;0,[1]DATABASE!T450&gt;0),"Sell Price &gt; Current",""),IF(AND(TRIM([1]DATABASE!Q450)="DEED",[1]DATABASE!AA450=""),"Deeded no PSPA Date",""),IF([1]DATABASE!E450="","Missing Typology",""),IF([1]DATABASE!AJ450="","Missing Development",""))</f>
        <v/>
      </c>
      <c r="F489" s="82" t="str">
        <f>_xlfn.TEXTJOIN("; ",TRUE,IF(AND(OR(TRIM([1]DATABASE!Q450)="RESERVED",TRIM([1]DATABASE!Q450)="PRE-RESERVED",TRIM([1]DATABASE!Q450)="PSPA"),[1]DATABASE!AA450=""),"Reserved/PSPA no PSPA Date",""),IF(AND(TRIM([1]DATABASE!Q450)="AVAILABLE",[1]DATABASE!AA450&lt;&gt;""),"Available has PSPA Date",""))</f>
        <v/>
      </c>
      <c r="G489" s="82" t="str">
        <f>_xlfn.TEXTJOIN("; ",TRUE,IF(AND([1]DATABASE!T450&lt;0.8*[1]DATABASE!S450,[1]DATABASE!T450&gt;0,[1]DATABASE!S450&gt;0),"Heavy Price Cut &gt;20%",""),IF(AND(OR(TRIM([1]DATABASE!Q450)="AVAILABLE",TRIM([1]DATABASE!Q450)="UPON REQUEST"),OR([1]DATABASE!T450="",[1]DATABASE!T450=0)),"Active Unit no Price",""),IF(AND(OR(TRIM([1]DATABASE!Q450)="AVAILABLE",TRIM([1]DATABASE!Q450)="RESERVED",TRIM([1]DATABASE!Q450)="PRE-RESERVED",TRIM([1]DATABASE!Q450)="PSPA"),[1]DATABASE!AC450=""),"Active no Owner",""),IF(OR([1]DATABASE!F450="",[1]DATABASE!F450&lt;=0),"Missing/Invalid Area",""),IF(AND([1]DATABASE!T450&gt;0,ABS([1]DATABASE!T450-[1]DATABASE!W450-[1]DATABASE!U450-[1]DATABASE!V450)&gt;1),"Price Bridge Mismatch",""))</f>
        <v/>
      </c>
      <c r="H489" t="str">
        <f t="shared" si="9"/>
        <v>PASS</v>
      </c>
      <c r="I489" s="90">
        <f>[1]DATABASE!T450</f>
        <v>620000</v>
      </c>
      <c r="J489" t="str">
        <f>[1]DATABASE!AC450</f>
        <v>João Gameiro</v>
      </c>
    </row>
    <row r="490" spans="1:10" ht="13.95" customHeight="1" x14ac:dyDescent="0.3">
      <c r="A490">
        <f>ROW([1]DATABASE!A451)</f>
        <v>451</v>
      </c>
      <c r="B490" t="str">
        <f>[1]DATABASE!AJ451</f>
        <v>Aroeira Collections</v>
      </c>
      <c r="C490" t="str">
        <f>[1]DATABASE!C451</f>
        <v>127B</v>
      </c>
      <c r="D490" t="str">
        <f>TRIM([1]DATABASE!Q451)</f>
        <v>AVAILABLE</v>
      </c>
      <c r="E490" s="82" t="str">
        <f>_xlfn.TEXTJOIN("; ",TRUE,IF([1]DATABASE!X451&lt;0,"Negative Discount",""),IF(AND([1]DATABASE!Y451&gt;[1]DATABASE!T451,[1]DATABASE!Y451&gt;0,[1]DATABASE!T451&gt;0),"Sell Price &gt; Current",""),IF(AND(TRIM([1]DATABASE!Q451)="DEED",[1]DATABASE!AA451=""),"Deeded no PSPA Date",""),IF([1]DATABASE!E451="","Missing Typology",""),IF([1]DATABASE!AJ451="","Missing Development",""))</f>
        <v/>
      </c>
      <c r="F490" s="82" t="str">
        <f>_xlfn.TEXTJOIN("; ",TRUE,IF(AND(OR(TRIM([1]DATABASE!Q451)="RESERVED",TRIM([1]DATABASE!Q451)="PRE-RESERVED",TRIM([1]DATABASE!Q451)="PSPA"),[1]DATABASE!AA451=""),"Reserved/PSPA no PSPA Date",""),IF(AND(TRIM([1]DATABASE!Q451)="AVAILABLE",[1]DATABASE!AA451&lt;&gt;""),"Available has PSPA Date",""))</f>
        <v/>
      </c>
      <c r="G490" s="82" t="str">
        <f>_xlfn.TEXTJOIN("; ",TRUE,IF(AND([1]DATABASE!T451&lt;0.8*[1]DATABASE!S451,[1]DATABASE!T451&gt;0,[1]DATABASE!S451&gt;0),"Heavy Price Cut &gt;20%",""),IF(AND(OR(TRIM([1]DATABASE!Q451)="AVAILABLE",TRIM([1]DATABASE!Q451)="UPON REQUEST"),OR([1]DATABASE!T451="",[1]DATABASE!T451=0)),"Active Unit no Price",""),IF(AND(OR(TRIM([1]DATABASE!Q451)="AVAILABLE",TRIM([1]DATABASE!Q451)="RESERVED",TRIM([1]DATABASE!Q451)="PRE-RESERVED",TRIM([1]DATABASE!Q451)="PSPA"),[1]DATABASE!AC451=""),"Active no Owner",""),IF(OR([1]DATABASE!F451="",[1]DATABASE!F451&lt;=0),"Missing/Invalid Area",""),IF(AND([1]DATABASE!T451&gt;0,ABS([1]DATABASE!T451-[1]DATABASE!W451-[1]DATABASE!U451-[1]DATABASE!V451)&gt;1),"Price Bridge Mismatch",""))</f>
        <v/>
      </c>
      <c r="H490" t="str">
        <f t="shared" ref="H490:H553" si="10">IF(LEN(E490&amp;F490&amp;G490)&gt;0,"REVIEW","PASS")</f>
        <v>PASS</v>
      </c>
      <c r="I490" s="90">
        <f>[1]DATABASE!T451</f>
        <v>620000</v>
      </c>
      <c r="J490" t="str">
        <f>[1]DATABASE!AC451</f>
        <v>João Gameiro</v>
      </c>
    </row>
    <row r="491" spans="1:10" ht="13.95" customHeight="1" x14ac:dyDescent="0.3">
      <c r="A491">
        <f>ROW([1]DATABASE!A452)</f>
        <v>452</v>
      </c>
      <c r="B491" t="str">
        <f>[1]DATABASE!AJ452</f>
        <v>Aroeira Collections</v>
      </c>
      <c r="C491" t="str">
        <f>[1]DATABASE!C452</f>
        <v>128A</v>
      </c>
      <c r="D491" t="str">
        <f>TRIM([1]DATABASE!Q452)</f>
        <v>AVAILABLE</v>
      </c>
      <c r="E491" s="82" t="str">
        <f>_xlfn.TEXTJOIN("; ",TRUE,IF([1]DATABASE!X452&lt;0,"Negative Discount",""),IF(AND([1]DATABASE!Y452&gt;[1]DATABASE!T452,[1]DATABASE!Y452&gt;0,[1]DATABASE!T452&gt;0),"Sell Price &gt; Current",""),IF(AND(TRIM([1]DATABASE!Q452)="DEED",[1]DATABASE!AA452=""),"Deeded no PSPA Date",""),IF([1]DATABASE!E452="","Missing Typology",""),IF([1]DATABASE!AJ452="","Missing Development",""))</f>
        <v/>
      </c>
      <c r="F491" s="82" t="str">
        <f>_xlfn.TEXTJOIN("; ",TRUE,IF(AND(OR(TRIM([1]DATABASE!Q452)="RESERVED",TRIM([1]DATABASE!Q452)="PRE-RESERVED",TRIM([1]DATABASE!Q452)="PSPA"),[1]DATABASE!AA452=""),"Reserved/PSPA no PSPA Date",""),IF(AND(TRIM([1]DATABASE!Q452)="AVAILABLE",[1]DATABASE!AA452&lt;&gt;""),"Available has PSPA Date",""))</f>
        <v/>
      </c>
      <c r="G491" s="82" t="str">
        <f>_xlfn.TEXTJOIN("; ",TRUE,IF(AND([1]DATABASE!T452&lt;0.8*[1]DATABASE!S452,[1]DATABASE!T452&gt;0,[1]DATABASE!S452&gt;0),"Heavy Price Cut &gt;20%",""),IF(AND(OR(TRIM([1]DATABASE!Q452)="AVAILABLE",TRIM([1]DATABASE!Q452)="UPON REQUEST"),OR([1]DATABASE!T452="",[1]DATABASE!T452=0)),"Active Unit no Price",""),IF(AND(OR(TRIM([1]DATABASE!Q452)="AVAILABLE",TRIM([1]DATABASE!Q452)="RESERVED",TRIM([1]DATABASE!Q452)="PRE-RESERVED",TRIM([1]DATABASE!Q452)="PSPA"),[1]DATABASE!AC452=""),"Active no Owner",""),IF(OR([1]DATABASE!F452="",[1]DATABASE!F452&lt;=0),"Missing/Invalid Area",""),IF(AND([1]DATABASE!T452&gt;0,ABS([1]DATABASE!T452-[1]DATABASE!W452-[1]DATABASE!U452-[1]DATABASE!V452)&gt;1),"Price Bridge Mismatch",""))</f>
        <v/>
      </c>
      <c r="H491" t="str">
        <f t="shared" si="10"/>
        <v>PASS</v>
      </c>
      <c r="I491" s="90">
        <f>[1]DATABASE!T452</f>
        <v>460000</v>
      </c>
      <c r="J491" t="str">
        <f>[1]DATABASE!AC452</f>
        <v>João Gameiro</v>
      </c>
    </row>
    <row r="492" spans="1:10" ht="13.95" customHeight="1" x14ac:dyDescent="0.3">
      <c r="A492">
        <f>ROW([1]DATABASE!A453)</f>
        <v>453</v>
      </c>
      <c r="B492" t="str">
        <f>[1]DATABASE!AJ453</f>
        <v>Aroeira Collections</v>
      </c>
      <c r="C492" t="str">
        <f>[1]DATABASE!C453</f>
        <v>129A</v>
      </c>
      <c r="D492" t="str">
        <f>TRIM([1]DATABASE!Q453)</f>
        <v>AVAILABLE</v>
      </c>
      <c r="E492" s="82" t="str">
        <f>_xlfn.TEXTJOIN("; ",TRUE,IF([1]DATABASE!X453&lt;0,"Negative Discount",""),IF(AND([1]DATABASE!Y453&gt;[1]DATABASE!T453,[1]DATABASE!Y453&gt;0,[1]DATABASE!T453&gt;0),"Sell Price &gt; Current",""),IF(AND(TRIM([1]DATABASE!Q453)="DEED",[1]DATABASE!AA453=""),"Deeded no PSPA Date",""),IF([1]DATABASE!E453="","Missing Typology",""),IF([1]DATABASE!AJ453="","Missing Development",""))</f>
        <v/>
      </c>
      <c r="F492" s="82" t="str">
        <f>_xlfn.TEXTJOIN("; ",TRUE,IF(AND(OR(TRIM([1]DATABASE!Q453)="RESERVED",TRIM([1]DATABASE!Q453)="PRE-RESERVED",TRIM([1]DATABASE!Q453)="PSPA"),[1]DATABASE!AA453=""),"Reserved/PSPA no PSPA Date",""),IF(AND(TRIM([1]DATABASE!Q453)="AVAILABLE",[1]DATABASE!AA453&lt;&gt;""),"Available has PSPA Date",""))</f>
        <v/>
      </c>
      <c r="G492" s="82" t="str">
        <f>_xlfn.TEXTJOIN("; ",TRUE,IF(AND([1]DATABASE!T453&lt;0.8*[1]DATABASE!S453,[1]DATABASE!T453&gt;0,[1]DATABASE!S453&gt;0),"Heavy Price Cut &gt;20%",""),IF(AND(OR(TRIM([1]DATABASE!Q453)="AVAILABLE",TRIM([1]DATABASE!Q453)="UPON REQUEST"),OR([1]DATABASE!T453="",[1]DATABASE!T453=0)),"Active Unit no Price",""),IF(AND(OR(TRIM([1]DATABASE!Q453)="AVAILABLE",TRIM([1]DATABASE!Q453)="RESERVED",TRIM([1]DATABASE!Q453)="PRE-RESERVED",TRIM([1]DATABASE!Q453)="PSPA"),[1]DATABASE!AC453=""),"Active no Owner",""),IF(OR([1]DATABASE!F453="",[1]DATABASE!F453&lt;=0),"Missing/Invalid Area",""),IF(AND([1]DATABASE!T453&gt;0,ABS([1]DATABASE!T453-[1]DATABASE!W453-[1]DATABASE!U453-[1]DATABASE!V453)&gt;1),"Price Bridge Mismatch",""))</f>
        <v>Heavy Price Cut &gt;20%</v>
      </c>
      <c r="H492" t="str">
        <f t="shared" si="10"/>
        <v>REVIEW</v>
      </c>
      <c r="I492" s="90">
        <f>[1]DATABASE!T453</f>
        <v>410000</v>
      </c>
      <c r="J492" t="str">
        <f>[1]DATABASE!AC453</f>
        <v>João Gameiro</v>
      </c>
    </row>
    <row r="493" spans="1:10" ht="13.95" customHeight="1" x14ac:dyDescent="0.3">
      <c r="A493">
        <f>ROW([1]DATABASE!A454)</f>
        <v>454</v>
      </c>
      <c r="B493" t="str">
        <f>[1]DATABASE!AJ454</f>
        <v>Aroeira Collections</v>
      </c>
      <c r="C493" t="str">
        <f>[1]DATABASE!C454</f>
        <v>12C</v>
      </c>
      <c r="D493" t="str">
        <f>TRIM([1]DATABASE!Q454)</f>
        <v>AVAILABLE</v>
      </c>
      <c r="E493" s="82" t="str">
        <f>_xlfn.TEXTJOIN("; ",TRUE,IF([1]DATABASE!X454&lt;0,"Negative Discount",""),IF(AND([1]DATABASE!Y454&gt;[1]DATABASE!T454,[1]DATABASE!Y454&gt;0,[1]DATABASE!T454&gt;0),"Sell Price &gt; Current",""),IF(AND(TRIM([1]DATABASE!Q454)="DEED",[1]DATABASE!AA454=""),"Deeded no PSPA Date",""),IF([1]DATABASE!E454="","Missing Typology",""),IF([1]DATABASE!AJ454="","Missing Development",""))</f>
        <v/>
      </c>
      <c r="F493" s="82" t="str">
        <f>_xlfn.TEXTJOIN("; ",TRUE,IF(AND(OR(TRIM([1]DATABASE!Q454)="RESERVED",TRIM([1]DATABASE!Q454)="PRE-RESERVED",TRIM([1]DATABASE!Q454)="PSPA"),[1]DATABASE!AA454=""),"Reserved/PSPA no PSPA Date",""),IF(AND(TRIM([1]DATABASE!Q454)="AVAILABLE",[1]DATABASE!AA454&lt;&gt;""),"Available has PSPA Date",""))</f>
        <v/>
      </c>
      <c r="G493" s="82" t="str">
        <f>_xlfn.TEXTJOIN("; ",TRUE,IF(AND([1]DATABASE!T454&lt;0.8*[1]DATABASE!S454,[1]DATABASE!T454&gt;0,[1]DATABASE!S454&gt;0),"Heavy Price Cut &gt;20%",""),IF(AND(OR(TRIM([1]DATABASE!Q454)="AVAILABLE",TRIM([1]DATABASE!Q454)="UPON REQUEST"),OR([1]DATABASE!T454="",[1]DATABASE!T454=0)),"Active Unit no Price",""),IF(AND(OR(TRIM([1]DATABASE!Q454)="AVAILABLE",TRIM([1]DATABASE!Q454)="RESERVED",TRIM([1]DATABASE!Q454)="PRE-RESERVED",TRIM([1]DATABASE!Q454)="PSPA"),[1]DATABASE!AC454=""),"Active no Owner",""),IF(OR([1]DATABASE!F454="",[1]DATABASE!F454&lt;=0),"Missing/Invalid Area",""),IF(AND([1]DATABASE!T454&gt;0,ABS([1]DATABASE!T454-[1]DATABASE!W454-[1]DATABASE!U454-[1]DATABASE!V454)&gt;1),"Price Bridge Mismatch",""))</f>
        <v/>
      </c>
      <c r="H493" t="str">
        <f t="shared" si="10"/>
        <v>PASS</v>
      </c>
      <c r="I493" s="90">
        <f>[1]DATABASE!T454</f>
        <v>1410000</v>
      </c>
      <c r="J493" t="str">
        <f>[1]DATABASE!AC454</f>
        <v>João Gameiro</v>
      </c>
    </row>
    <row r="494" spans="1:10" ht="13.95" customHeight="1" x14ac:dyDescent="0.3">
      <c r="A494">
        <f>ROW([1]DATABASE!A455)</f>
        <v>455</v>
      </c>
      <c r="B494" t="str">
        <f>[1]DATABASE!AJ455</f>
        <v>Aroeira Collections</v>
      </c>
      <c r="C494" t="str">
        <f>[1]DATABASE!C455</f>
        <v>12D</v>
      </c>
      <c r="D494" t="str">
        <f>TRIM([1]DATABASE!Q455)</f>
        <v>AVAILABLE</v>
      </c>
      <c r="E494" s="82" t="str">
        <f>_xlfn.TEXTJOIN("; ",TRUE,IF([1]DATABASE!X455&lt;0,"Negative Discount",""),IF(AND([1]DATABASE!Y455&gt;[1]DATABASE!T455,[1]DATABASE!Y455&gt;0,[1]DATABASE!T455&gt;0),"Sell Price &gt; Current",""),IF(AND(TRIM([1]DATABASE!Q455)="DEED",[1]DATABASE!AA455=""),"Deeded no PSPA Date",""),IF([1]DATABASE!E455="","Missing Typology",""),IF([1]DATABASE!AJ455="","Missing Development",""))</f>
        <v/>
      </c>
      <c r="F494" s="82" t="str">
        <f>_xlfn.TEXTJOIN("; ",TRUE,IF(AND(OR(TRIM([1]DATABASE!Q455)="RESERVED",TRIM([1]DATABASE!Q455)="PRE-RESERVED",TRIM([1]DATABASE!Q455)="PSPA"),[1]DATABASE!AA455=""),"Reserved/PSPA no PSPA Date",""),IF(AND(TRIM([1]DATABASE!Q455)="AVAILABLE",[1]DATABASE!AA455&lt;&gt;""),"Available has PSPA Date",""))</f>
        <v/>
      </c>
      <c r="G494" s="82" t="str">
        <f>_xlfn.TEXTJOIN("; ",TRUE,IF(AND([1]DATABASE!T455&lt;0.8*[1]DATABASE!S455,[1]DATABASE!T455&gt;0,[1]DATABASE!S455&gt;0),"Heavy Price Cut &gt;20%",""),IF(AND(OR(TRIM([1]DATABASE!Q455)="AVAILABLE",TRIM([1]DATABASE!Q455)="UPON REQUEST"),OR([1]DATABASE!T455="",[1]DATABASE!T455=0)),"Active Unit no Price",""),IF(AND(OR(TRIM([1]DATABASE!Q455)="AVAILABLE",TRIM([1]DATABASE!Q455)="RESERVED",TRIM([1]DATABASE!Q455)="PRE-RESERVED",TRIM([1]DATABASE!Q455)="PSPA"),[1]DATABASE!AC455=""),"Active no Owner",""),IF(OR([1]DATABASE!F455="",[1]DATABASE!F455&lt;=0),"Missing/Invalid Area",""),IF(AND([1]DATABASE!T455&gt;0,ABS([1]DATABASE!T455-[1]DATABASE!W455-[1]DATABASE!U455-[1]DATABASE!V455)&gt;1),"Price Bridge Mismatch",""))</f>
        <v/>
      </c>
      <c r="H494" t="str">
        <f t="shared" si="10"/>
        <v>PASS</v>
      </c>
      <c r="I494" s="90">
        <f>[1]DATABASE!T455</f>
        <v>2170000</v>
      </c>
      <c r="J494" t="str">
        <f>[1]DATABASE!AC455</f>
        <v>João Gameiro</v>
      </c>
    </row>
    <row r="495" spans="1:10" ht="13.95" customHeight="1" x14ac:dyDescent="0.3">
      <c r="A495">
        <f>ROW([1]DATABASE!A456)</f>
        <v>456</v>
      </c>
      <c r="B495" t="str">
        <f>[1]DATABASE!AJ456</f>
        <v>Aroeira Collections</v>
      </c>
      <c r="C495" t="str">
        <f>[1]DATABASE!C456</f>
        <v>138A</v>
      </c>
      <c r="D495" t="str">
        <f>TRIM([1]DATABASE!Q456)</f>
        <v>AVAILABLE</v>
      </c>
      <c r="E495" s="82" t="str">
        <f>_xlfn.TEXTJOIN("; ",TRUE,IF([1]DATABASE!X456&lt;0,"Negative Discount",""),IF(AND([1]DATABASE!Y456&gt;[1]DATABASE!T456,[1]DATABASE!Y456&gt;0,[1]DATABASE!T456&gt;0),"Sell Price &gt; Current",""),IF(AND(TRIM([1]DATABASE!Q456)="DEED",[1]DATABASE!AA456=""),"Deeded no PSPA Date",""),IF([1]DATABASE!E456="","Missing Typology",""),IF([1]DATABASE!AJ456="","Missing Development",""))</f>
        <v/>
      </c>
      <c r="F495" s="82" t="str">
        <f>_xlfn.TEXTJOIN("; ",TRUE,IF(AND(OR(TRIM([1]DATABASE!Q456)="RESERVED",TRIM([1]DATABASE!Q456)="PRE-RESERVED",TRIM([1]DATABASE!Q456)="PSPA"),[1]DATABASE!AA456=""),"Reserved/PSPA no PSPA Date",""),IF(AND(TRIM([1]DATABASE!Q456)="AVAILABLE",[1]DATABASE!AA456&lt;&gt;""),"Available has PSPA Date",""))</f>
        <v/>
      </c>
      <c r="G495" s="82" t="str">
        <f>_xlfn.TEXTJOIN("; ",TRUE,IF(AND([1]DATABASE!T456&lt;0.8*[1]DATABASE!S456,[1]DATABASE!T456&gt;0,[1]DATABASE!S456&gt;0),"Heavy Price Cut &gt;20%",""),IF(AND(OR(TRIM([1]DATABASE!Q456)="AVAILABLE",TRIM([1]DATABASE!Q456)="UPON REQUEST"),OR([1]DATABASE!T456="",[1]DATABASE!T456=0)),"Active Unit no Price",""),IF(AND(OR(TRIM([1]DATABASE!Q456)="AVAILABLE",TRIM([1]DATABASE!Q456)="RESERVED",TRIM([1]DATABASE!Q456)="PRE-RESERVED",TRIM([1]DATABASE!Q456)="PSPA"),[1]DATABASE!AC456=""),"Active no Owner",""),IF(OR([1]DATABASE!F456="",[1]DATABASE!F456&lt;=0),"Missing/Invalid Area",""),IF(AND([1]DATABASE!T456&gt;0,ABS([1]DATABASE!T456-[1]DATABASE!W456-[1]DATABASE!U456-[1]DATABASE!V456)&gt;1),"Price Bridge Mismatch",""))</f>
        <v>Heavy Price Cut &gt;20%</v>
      </c>
      <c r="H495" t="str">
        <f t="shared" si="10"/>
        <v>REVIEW</v>
      </c>
      <c r="I495" s="90">
        <f>[1]DATABASE!T456</f>
        <v>390000</v>
      </c>
      <c r="J495" t="str">
        <f>[1]DATABASE!AC456</f>
        <v>João Gameiro</v>
      </c>
    </row>
    <row r="496" spans="1:10" ht="13.95" customHeight="1" x14ac:dyDescent="0.3">
      <c r="A496">
        <f>ROW([1]DATABASE!A457)</f>
        <v>457</v>
      </c>
      <c r="B496" t="str">
        <f>[1]DATABASE!AJ457</f>
        <v>Palmares</v>
      </c>
      <c r="C496" t="str">
        <f>[1]DATABASE!C457</f>
        <v>101</v>
      </c>
      <c r="D496" t="str">
        <f>TRIM([1]DATABASE!Q457)</f>
        <v>AVAILABLE</v>
      </c>
      <c r="E496" s="82" t="str">
        <f>_xlfn.TEXTJOIN("; ",TRUE,IF([1]DATABASE!X457&lt;0,"Negative Discount",""),IF(AND([1]DATABASE!Y457&gt;[1]DATABASE!T457,[1]DATABASE!Y457&gt;0,[1]DATABASE!T457&gt;0),"Sell Price &gt; Current",""),IF(AND(TRIM([1]DATABASE!Q457)="DEED",[1]DATABASE!AA457=""),"Deeded no PSPA Date",""),IF([1]DATABASE!E457="","Missing Typology",""),IF([1]DATABASE!AJ457="","Missing Development",""))</f>
        <v/>
      </c>
      <c r="F496" s="82" t="str">
        <f>_xlfn.TEXTJOIN("; ",TRUE,IF(AND(OR(TRIM([1]DATABASE!Q457)="RESERVED",TRIM([1]DATABASE!Q457)="PRE-RESERVED",TRIM([1]DATABASE!Q457)="PSPA"),[1]DATABASE!AA457=""),"Reserved/PSPA no PSPA Date",""),IF(AND(TRIM([1]DATABASE!Q457)="AVAILABLE",[1]DATABASE!AA457&lt;&gt;""),"Available has PSPA Date",""))</f>
        <v/>
      </c>
      <c r="G496" s="82" t="str">
        <f>_xlfn.TEXTJOIN("; ",TRUE,IF(AND([1]DATABASE!T457&lt;0.8*[1]DATABASE!S457,[1]DATABASE!T457&gt;0,[1]DATABASE!S457&gt;0),"Heavy Price Cut &gt;20%",""),IF(AND(OR(TRIM([1]DATABASE!Q457)="AVAILABLE",TRIM([1]DATABASE!Q457)="UPON REQUEST"),OR([1]DATABASE!T457="",[1]DATABASE!T457=0)),"Active Unit no Price",""),IF(AND(OR(TRIM([1]DATABASE!Q457)="AVAILABLE",TRIM([1]DATABASE!Q457)="RESERVED",TRIM([1]DATABASE!Q457)="PRE-RESERVED",TRIM([1]DATABASE!Q457)="PSPA"),[1]DATABASE!AC457=""),"Active no Owner",""),IF(OR([1]DATABASE!F457="",[1]DATABASE!F457&lt;=0),"Missing/Invalid Area",""),IF(AND([1]DATABASE!T457&gt;0,ABS([1]DATABASE!T457-[1]DATABASE!W457-[1]DATABASE!U457-[1]DATABASE!V457)&gt;1),"Price Bridge Mismatch",""))</f>
        <v/>
      </c>
      <c r="H496" t="str">
        <f t="shared" si="10"/>
        <v>PASS</v>
      </c>
      <c r="I496" s="90">
        <f>[1]DATABASE!T457</f>
        <v>1600000</v>
      </c>
      <c r="J496" t="str">
        <f>[1]DATABASE!AC457</f>
        <v>Sandra Viegas</v>
      </c>
    </row>
    <row r="497" spans="1:10" ht="13.95" customHeight="1" x14ac:dyDescent="0.3">
      <c r="A497">
        <f>ROW([1]DATABASE!A458)</f>
        <v>458</v>
      </c>
      <c r="B497" t="str">
        <f>[1]DATABASE!AJ458</f>
        <v>Springs - At the Els</v>
      </c>
      <c r="C497" t="str">
        <f>[1]DATABASE!C458</f>
        <v>1</v>
      </c>
      <c r="D497" t="str">
        <f>TRIM([1]DATABASE!Q458)</f>
        <v>AVAILABLE</v>
      </c>
      <c r="E497" s="82" t="str">
        <f>_xlfn.TEXTJOIN("; ",TRUE,IF([1]DATABASE!X458&lt;0,"Negative Discount",""),IF(AND([1]DATABASE!Y458&gt;[1]DATABASE!T458,[1]DATABASE!Y458&gt;0,[1]DATABASE!T458&gt;0),"Sell Price &gt; Current",""),IF(AND(TRIM([1]DATABASE!Q458)="DEED",[1]DATABASE!AA458=""),"Deeded no PSPA Date",""),IF([1]DATABASE!E458="","Missing Typology",""),IF([1]DATABASE!AJ458="","Missing Development",""))</f>
        <v/>
      </c>
      <c r="F497" s="82" t="str">
        <f>_xlfn.TEXTJOIN("; ",TRUE,IF(AND(OR(TRIM([1]DATABASE!Q458)="RESERVED",TRIM([1]DATABASE!Q458)="PRE-RESERVED",TRIM([1]DATABASE!Q458)="PSPA"),[1]DATABASE!AA458=""),"Reserved/PSPA no PSPA Date",""),IF(AND(TRIM([1]DATABASE!Q458)="AVAILABLE",[1]DATABASE!AA458&lt;&gt;""),"Available has PSPA Date",""))</f>
        <v/>
      </c>
      <c r="G497" s="82" t="str">
        <f>_xlfn.TEXTJOIN("; ",TRUE,IF(AND([1]DATABASE!T458&lt;0.8*[1]DATABASE!S458,[1]DATABASE!T458&gt;0,[1]DATABASE!S458&gt;0),"Heavy Price Cut &gt;20%",""),IF(AND(OR(TRIM([1]DATABASE!Q458)="AVAILABLE",TRIM([1]DATABASE!Q458)="UPON REQUEST"),OR([1]DATABASE!T458="",[1]DATABASE!T458=0)),"Active Unit no Price",""),IF(AND(OR(TRIM([1]DATABASE!Q458)="AVAILABLE",TRIM([1]DATABASE!Q458)="RESERVED",TRIM([1]DATABASE!Q458)="PRE-RESERVED",TRIM([1]DATABASE!Q458)="PSPA"),[1]DATABASE!AC458=""),"Active no Owner",""),IF(OR([1]DATABASE!F458="",[1]DATABASE!F458&lt;=0),"Missing/Invalid Area",""),IF(AND([1]DATABASE!T458&gt;0,ABS([1]DATABASE!T458-[1]DATABASE!W458-[1]DATABASE!U458-[1]DATABASE!V458)&gt;1),"Price Bridge Mismatch",""))</f>
        <v/>
      </c>
      <c r="H497" t="str">
        <f t="shared" si="10"/>
        <v>PASS</v>
      </c>
      <c r="I497" s="90">
        <f>[1]DATABASE!T458</f>
        <v>2580000</v>
      </c>
      <c r="J497" t="str">
        <f>[1]DATABASE!AC458</f>
        <v>Ana Damásio</v>
      </c>
    </row>
    <row r="498" spans="1:10" ht="13.95" customHeight="1" x14ac:dyDescent="0.3">
      <c r="A498">
        <f>ROW([1]DATABASE!A459)</f>
        <v>459</v>
      </c>
      <c r="B498" t="str">
        <f>[1]DATABASE!AJ459</f>
        <v>The Uncommon</v>
      </c>
      <c r="C498" t="str">
        <f>[1]DATABASE!C459</f>
        <v>1</v>
      </c>
      <c r="D498" t="str">
        <f>TRIM([1]DATABASE!Q459)</f>
        <v>AVAILABLE</v>
      </c>
      <c r="E498" s="82" t="str">
        <f>_xlfn.TEXTJOIN("; ",TRUE,IF([1]DATABASE!X459&lt;0,"Negative Discount",""),IF(AND([1]DATABASE!Y459&gt;[1]DATABASE!T459,[1]DATABASE!Y459&gt;0,[1]DATABASE!T459&gt;0),"Sell Price &gt; Current",""),IF(AND(TRIM([1]DATABASE!Q459)="DEED",[1]DATABASE!AA459=""),"Deeded no PSPA Date",""),IF([1]DATABASE!E459="","Missing Typology",""),IF([1]DATABASE!AJ459="","Missing Development",""))</f>
        <v/>
      </c>
      <c r="F498" s="82" t="str">
        <f>_xlfn.TEXTJOIN("; ",TRUE,IF(AND(OR(TRIM([1]DATABASE!Q459)="RESERVED",TRIM([1]DATABASE!Q459)="PRE-RESERVED",TRIM([1]DATABASE!Q459)="PSPA"),[1]DATABASE!AA459=""),"Reserved/PSPA no PSPA Date",""),IF(AND(TRIM([1]DATABASE!Q459)="AVAILABLE",[1]DATABASE!AA459&lt;&gt;""),"Available has PSPA Date",""))</f>
        <v/>
      </c>
      <c r="G498" s="82" t="str">
        <f>_xlfn.TEXTJOIN("; ",TRUE,IF(AND([1]DATABASE!T459&lt;0.8*[1]DATABASE!S459,[1]DATABASE!T459&gt;0,[1]DATABASE!S459&gt;0),"Heavy Price Cut &gt;20%",""),IF(AND(OR(TRIM([1]DATABASE!Q459)="AVAILABLE",TRIM([1]DATABASE!Q459)="UPON REQUEST"),OR([1]DATABASE!T459="",[1]DATABASE!T459=0)),"Active Unit no Price",""),IF(AND(OR(TRIM([1]DATABASE!Q459)="AVAILABLE",TRIM([1]DATABASE!Q459)="RESERVED",TRIM([1]DATABASE!Q459)="PRE-RESERVED",TRIM([1]DATABASE!Q459)="PSPA"),[1]DATABASE!AC459=""),"Active no Owner",""),IF(OR([1]DATABASE!F459="",[1]DATABASE!F459&lt;=0),"Missing/Invalid Area",""),IF(AND([1]DATABASE!T459&gt;0,ABS([1]DATABASE!T459-[1]DATABASE!W459-[1]DATABASE!U459-[1]DATABASE!V459)&gt;1),"Price Bridge Mismatch",""))</f>
        <v/>
      </c>
      <c r="H498" t="str">
        <f t="shared" si="10"/>
        <v>PASS</v>
      </c>
      <c r="I498" s="90">
        <f>[1]DATABASE!T459</f>
        <v>2020000</v>
      </c>
      <c r="J498" t="str">
        <f>[1]DATABASE!AC459</f>
        <v>Ana Damásio</v>
      </c>
    </row>
    <row r="499" spans="1:10" ht="13.95" customHeight="1" x14ac:dyDescent="0.3">
      <c r="A499">
        <f>ROW([1]DATABASE!A460)</f>
        <v>460</v>
      </c>
      <c r="B499" t="str">
        <f>[1]DATABASE!AJ460</f>
        <v>Springs - At the Els</v>
      </c>
      <c r="C499" t="str">
        <f>[1]DATABASE!C460</f>
        <v>10</v>
      </c>
      <c r="D499" t="str">
        <f>TRIM([1]DATABASE!Q460)</f>
        <v>AVAILABLE</v>
      </c>
      <c r="E499" s="82" t="str">
        <f>_xlfn.TEXTJOIN("; ",TRUE,IF([1]DATABASE!X460&lt;0,"Negative Discount",""),IF(AND([1]DATABASE!Y460&gt;[1]DATABASE!T460,[1]DATABASE!Y460&gt;0,[1]DATABASE!T460&gt;0),"Sell Price &gt; Current",""),IF(AND(TRIM([1]DATABASE!Q460)="DEED",[1]DATABASE!AA460=""),"Deeded no PSPA Date",""),IF([1]DATABASE!E460="","Missing Typology",""),IF([1]DATABASE!AJ460="","Missing Development",""))</f>
        <v/>
      </c>
      <c r="F499" s="82" t="str">
        <f>_xlfn.TEXTJOIN("; ",TRUE,IF(AND(OR(TRIM([1]DATABASE!Q460)="RESERVED",TRIM([1]DATABASE!Q460)="PRE-RESERVED",TRIM([1]DATABASE!Q460)="PSPA"),[1]DATABASE!AA460=""),"Reserved/PSPA no PSPA Date",""),IF(AND(TRIM([1]DATABASE!Q460)="AVAILABLE",[1]DATABASE!AA460&lt;&gt;""),"Available has PSPA Date",""))</f>
        <v/>
      </c>
      <c r="G499" s="82" t="str">
        <f>_xlfn.TEXTJOIN("; ",TRUE,IF(AND([1]DATABASE!T460&lt;0.8*[1]DATABASE!S460,[1]DATABASE!T460&gt;0,[1]DATABASE!S460&gt;0),"Heavy Price Cut &gt;20%",""),IF(AND(OR(TRIM([1]DATABASE!Q460)="AVAILABLE",TRIM([1]DATABASE!Q460)="UPON REQUEST"),OR([1]DATABASE!T460="",[1]DATABASE!T460=0)),"Active Unit no Price",""),IF(AND(OR(TRIM([1]DATABASE!Q460)="AVAILABLE",TRIM([1]DATABASE!Q460)="RESERVED",TRIM([1]DATABASE!Q460)="PRE-RESERVED",TRIM([1]DATABASE!Q460)="PSPA"),[1]DATABASE!AC460=""),"Active no Owner",""),IF(OR([1]DATABASE!F460="",[1]DATABASE!F460&lt;=0),"Missing/Invalid Area",""),IF(AND([1]DATABASE!T460&gt;0,ABS([1]DATABASE!T460-[1]DATABASE!W460-[1]DATABASE!U460-[1]DATABASE!V460)&gt;1),"Price Bridge Mismatch",""))</f>
        <v>Heavy Price Cut &gt;20%</v>
      </c>
      <c r="H499" t="str">
        <f t="shared" si="10"/>
        <v>REVIEW</v>
      </c>
      <c r="I499" s="90">
        <f>[1]DATABASE!T460</f>
        <v>1350000</v>
      </c>
      <c r="J499" t="str">
        <f>[1]DATABASE!AC460</f>
        <v>Ana Damásio</v>
      </c>
    </row>
    <row r="500" spans="1:10" ht="13.95" customHeight="1" x14ac:dyDescent="0.3">
      <c r="A500">
        <f>ROW([1]DATABASE!A461)</f>
        <v>461</v>
      </c>
      <c r="B500" t="str">
        <f>[1]DATABASE!AJ461</f>
        <v>The Uncommon</v>
      </c>
      <c r="C500" t="str">
        <f>[1]DATABASE!C461</f>
        <v>10</v>
      </c>
      <c r="D500" t="str">
        <f>TRIM([1]DATABASE!Q461)</f>
        <v>AVAILABLE</v>
      </c>
      <c r="E500" s="82" t="str">
        <f>_xlfn.TEXTJOIN("; ",TRUE,IF([1]DATABASE!X461&lt;0,"Negative Discount",""),IF(AND([1]DATABASE!Y461&gt;[1]DATABASE!T461,[1]DATABASE!Y461&gt;0,[1]DATABASE!T461&gt;0),"Sell Price &gt; Current",""),IF(AND(TRIM([1]DATABASE!Q461)="DEED",[1]DATABASE!AA461=""),"Deeded no PSPA Date",""),IF([1]DATABASE!E461="","Missing Typology",""),IF([1]DATABASE!AJ461="","Missing Development",""))</f>
        <v/>
      </c>
      <c r="F500" s="82" t="str">
        <f>_xlfn.TEXTJOIN("; ",TRUE,IF(AND(OR(TRIM([1]DATABASE!Q461)="RESERVED",TRIM([1]DATABASE!Q461)="PRE-RESERVED",TRIM([1]DATABASE!Q461)="PSPA"),[1]DATABASE!AA461=""),"Reserved/PSPA no PSPA Date",""),IF(AND(TRIM([1]DATABASE!Q461)="AVAILABLE",[1]DATABASE!AA461&lt;&gt;""),"Available has PSPA Date",""))</f>
        <v/>
      </c>
      <c r="G500" s="82" t="str">
        <f>_xlfn.TEXTJOIN("; ",TRUE,IF(AND([1]DATABASE!T461&lt;0.8*[1]DATABASE!S461,[1]DATABASE!T461&gt;0,[1]DATABASE!S461&gt;0),"Heavy Price Cut &gt;20%",""),IF(AND(OR(TRIM([1]DATABASE!Q461)="AVAILABLE",TRIM([1]DATABASE!Q461)="UPON REQUEST"),OR([1]DATABASE!T461="",[1]DATABASE!T461=0)),"Active Unit no Price",""),IF(AND(OR(TRIM([1]DATABASE!Q461)="AVAILABLE",TRIM([1]DATABASE!Q461)="RESERVED",TRIM([1]DATABASE!Q461)="PRE-RESERVED",TRIM([1]DATABASE!Q461)="PSPA"),[1]DATABASE!AC461=""),"Active no Owner",""),IF(OR([1]DATABASE!F461="",[1]DATABASE!F461&lt;=0),"Missing/Invalid Area",""),IF(AND([1]DATABASE!T461&gt;0,ABS([1]DATABASE!T461-[1]DATABASE!W461-[1]DATABASE!U461-[1]DATABASE!V461)&gt;1),"Price Bridge Mismatch",""))</f>
        <v/>
      </c>
      <c r="H500" t="str">
        <f t="shared" si="10"/>
        <v>PASS</v>
      </c>
      <c r="I500" s="90">
        <f>[1]DATABASE!T461</f>
        <v>2410000</v>
      </c>
      <c r="J500" t="str">
        <f>[1]DATABASE!AC461</f>
        <v>Ana Damásio</v>
      </c>
    </row>
    <row r="501" spans="1:10" ht="13.95" customHeight="1" x14ac:dyDescent="0.3">
      <c r="A501">
        <f>ROW([1]DATABASE!A462)</f>
        <v>462</v>
      </c>
      <c r="B501" t="str">
        <f>[1]DATABASE!AJ462</f>
        <v>The Uncommon</v>
      </c>
      <c r="C501" t="str">
        <f>[1]DATABASE!C462</f>
        <v>101</v>
      </c>
      <c r="D501" t="str">
        <f>TRIM([1]DATABASE!Q462)</f>
        <v>AVAILABLE</v>
      </c>
      <c r="E501" s="82" t="str">
        <f>_xlfn.TEXTJOIN("; ",TRUE,IF([1]DATABASE!X462&lt;0,"Negative Discount",""),IF(AND([1]DATABASE!Y462&gt;[1]DATABASE!T462,[1]DATABASE!Y462&gt;0,[1]DATABASE!T462&gt;0),"Sell Price &gt; Current",""),IF(AND(TRIM([1]DATABASE!Q462)="DEED",[1]DATABASE!AA462=""),"Deeded no PSPA Date",""),IF([1]DATABASE!E462="","Missing Typology",""),IF([1]DATABASE!AJ462="","Missing Development",""))</f>
        <v/>
      </c>
      <c r="F501" s="82" t="str">
        <f>_xlfn.TEXTJOIN("; ",TRUE,IF(AND(OR(TRIM([1]DATABASE!Q462)="RESERVED",TRIM([1]DATABASE!Q462)="PRE-RESERVED",TRIM([1]DATABASE!Q462)="PSPA"),[1]DATABASE!AA462=""),"Reserved/PSPA no PSPA Date",""),IF(AND(TRIM([1]DATABASE!Q462)="AVAILABLE",[1]DATABASE!AA462&lt;&gt;""),"Available has PSPA Date",""))</f>
        <v/>
      </c>
      <c r="G501" s="82" t="str">
        <f>_xlfn.TEXTJOIN("; ",TRUE,IF(AND([1]DATABASE!T462&lt;0.8*[1]DATABASE!S462,[1]DATABASE!T462&gt;0,[1]DATABASE!S462&gt;0),"Heavy Price Cut &gt;20%",""),IF(AND(OR(TRIM([1]DATABASE!Q462)="AVAILABLE",TRIM([1]DATABASE!Q462)="UPON REQUEST"),OR([1]DATABASE!T462="",[1]DATABASE!T462=0)),"Active Unit no Price",""),IF(AND(OR(TRIM([1]DATABASE!Q462)="AVAILABLE",TRIM([1]DATABASE!Q462)="RESERVED",TRIM([1]DATABASE!Q462)="PRE-RESERVED",TRIM([1]DATABASE!Q462)="PSPA"),[1]DATABASE!AC462=""),"Active no Owner",""),IF(OR([1]DATABASE!F462="",[1]DATABASE!F462&lt;=0),"Missing/Invalid Area",""),IF(AND([1]DATABASE!T462&gt;0,ABS([1]DATABASE!T462-[1]DATABASE!W462-[1]DATABASE!U462-[1]DATABASE!V462)&gt;1),"Price Bridge Mismatch",""))</f>
        <v/>
      </c>
      <c r="H501" t="str">
        <f t="shared" si="10"/>
        <v>PASS</v>
      </c>
      <c r="I501" s="90">
        <f>[1]DATABASE!T462</f>
        <v>2070000</v>
      </c>
      <c r="J501" t="str">
        <f>[1]DATABASE!AC462</f>
        <v>Ana Damásio</v>
      </c>
    </row>
    <row r="502" spans="1:10" ht="13.95" customHeight="1" x14ac:dyDescent="0.3">
      <c r="A502">
        <f>ROW([1]DATABASE!A463)</f>
        <v>463</v>
      </c>
      <c r="B502" t="str">
        <f>[1]DATABASE!AJ463</f>
        <v>Aroeira Collections</v>
      </c>
      <c r="C502" t="str">
        <f>[1]DATABASE!C463</f>
        <v>13D</v>
      </c>
      <c r="D502" t="str">
        <f>TRIM([1]DATABASE!Q463)</f>
        <v>AVAILABLE</v>
      </c>
      <c r="E502" s="82" t="str">
        <f>_xlfn.TEXTJOIN("; ",TRUE,IF([1]DATABASE!X463&lt;0,"Negative Discount",""),IF(AND([1]DATABASE!Y463&gt;[1]DATABASE!T463,[1]DATABASE!Y463&gt;0,[1]DATABASE!T463&gt;0),"Sell Price &gt; Current",""),IF(AND(TRIM([1]DATABASE!Q463)="DEED",[1]DATABASE!AA463=""),"Deeded no PSPA Date",""),IF([1]DATABASE!E463="","Missing Typology",""),IF([1]DATABASE!AJ463="","Missing Development",""))</f>
        <v/>
      </c>
      <c r="F502" s="82" t="str">
        <f>_xlfn.TEXTJOIN("; ",TRUE,IF(AND(OR(TRIM([1]DATABASE!Q463)="RESERVED",TRIM([1]DATABASE!Q463)="PRE-RESERVED",TRIM([1]DATABASE!Q463)="PSPA"),[1]DATABASE!AA463=""),"Reserved/PSPA no PSPA Date",""),IF(AND(TRIM([1]DATABASE!Q463)="AVAILABLE",[1]DATABASE!AA463&lt;&gt;""),"Available has PSPA Date",""))</f>
        <v/>
      </c>
      <c r="G502" s="82" t="str">
        <f>_xlfn.TEXTJOIN("; ",TRUE,IF(AND([1]DATABASE!T463&lt;0.8*[1]DATABASE!S463,[1]DATABASE!T463&gt;0,[1]DATABASE!S463&gt;0),"Heavy Price Cut &gt;20%",""),IF(AND(OR(TRIM([1]DATABASE!Q463)="AVAILABLE",TRIM([1]DATABASE!Q463)="UPON REQUEST"),OR([1]DATABASE!T463="",[1]DATABASE!T463=0)),"Active Unit no Price",""),IF(AND(OR(TRIM([1]DATABASE!Q463)="AVAILABLE",TRIM([1]DATABASE!Q463)="RESERVED",TRIM([1]DATABASE!Q463)="PRE-RESERVED",TRIM([1]DATABASE!Q463)="PSPA"),[1]DATABASE!AC463=""),"Active no Owner",""),IF(OR([1]DATABASE!F463="",[1]DATABASE!F463&lt;=0),"Missing/Invalid Area",""),IF(AND([1]DATABASE!T463&gt;0,ABS([1]DATABASE!T463-[1]DATABASE!W463-[1]DATABASE!U463-[1]DATABASE!V463)&gt;1),"Price Bridge Mismatch",""))</f>
        <v/>
      </c>
      <c r="H502" t="str">
        <f t="shared" si="10"/>
        <v>PASS</v>
      </c>
      <c r="I502" s="90">
        <f>[1]DATABASE!T463</f>
        <v>1925000</v>
      </c>
      <c r="J502" t="str">
        <f>[1]DATABASE!AC463</f>
        <v>João Gameiro</v>
      </c>
    </row>
    <row r="503" spans="1:10" ht="13.95" customHeight="1" x14ac:dyDescent="0.3">
      <c r="A503">
        <f>ROW([1]DATABASE!A464)</f>
        <v>464</v>
      </c>
      <c r="B503" t="str">
        <f>[1]DATABASE!AJ464</f>
        <v>Aroeira Collections</v>
      </c>
      <c r="C503" t="str">
        <f>[1]DATABASE!C464</f>
        <v>13D</v>
      </c>
      <c r="D503" t="str">
        <f>TRIM([1]DATABASE!Q464)</f>
        <v>AVAILABLE</v>
      </c>
      <c r="E503" s="82" t="str">
        <f>_xlfn.TEXTJOIN("; ",TRUE,IF([1]DATABASE!X464&lt;0,"Negative Discount",""),IF(AND([1]DATABASE!Y464&gt;[1]DATABASE!T464,[1]DATABASE!Y464&gt;0,[1]DATABASE!T464&gt;0),"Sell Price &gt; Current",""),IF(AND(TRIM([1]DATABASE!Q464)="DEED",[1]DATABASE!AA464=""),"Deeded no PSPA Date",""),IF([1]DATABASE!E464="","Missing Typology",""),IF([1]DATABASE!AJ464="","Missing Development",""))</f>
        <v/>
      </c>
      <c r="F503" s="82" t="str">
        <f>_xlfn.TEXTJOIN("; ",TRUE,IF(AND(OR(TRIM([1]DATABASE!Q464)="RESERVED",TRIM([1]DATABASE!Q464)="PRE-RESERVED",TRIM([1]DATABASE!Q464)="PSPA"),[1]DATABASE!AA464=""),"Reserved/PSPA no PSPA Date",""),IF(AND(TRIM([1]DATABASE!Q464)="AVAILABLE",[1]DATABASE!AA464&lt;&gt;""),"Available has PSPA Date",""))</f>
        <v/>
      </c>
      <c r="G503" s="82" t="str">
        <f>_xlfn.TEXTJOIN("; ",TRUE,IF(AND([1]DATABASE!T464&lt;0.8*[1]DATABASE!S464,[1]DATABASE!T464&gt;0,[1]DATABASE!S464&gt;0),"Heavy Price Cut &gt;20%",""),IF(AND(OR(TRIM([1]DATABASE!Q464)="AVAILABLE",TRIM([1]DATABASE!Q464)="UPON REQUEST"),OR([1]DATABASE!T464="",[1]DATABASE!T464=0)),"Active Unit no Price",""),IF(AND(OR(TRIM([1]DATABASE!Q464)="AVAILABLE",TRIM([1]DATABASE!Q464)="RESERVED",TRIM([1]DATABASE!Q464)="PRE-RESERVED",TRIM([1]DATABASE!Q464)="PSPA"),[1]DATABASE!AC464=""),"Active no Owner",""),IF(OR([1]DATABASE!F464="",[1]DATABASE!F464&lt;=0),"Missing/Invalid Area",""),IF(AND([1]DATABASE!T464&gt;0,ABS([1]DATABASE!T464-[1]DATABASE!W464-[1]DATABASE!U464-[1]DATABASE!V464)&gt;1),"Price Bridge Mismatch",""))</f>
        <v/>
      </c>
      <c r="H503" t="str">
        <f t="shared" si="10"/>
        <v>PASS</v>
      </c>
      <c r="I503" s="90">
        <f>[1]DATABASE!T464</f>
        <v>1965000</v>
      </c>
      <c r="J503" t="str">
        <f>[1]DATABASE!AC464</f>
        <v>João Gameiro</v>
      </c>
    </row>
    <row r="504" spans="1:10" ht="13.95" customHeight="1" x14ac:dyDescent="0.3">
      <c r="A504">
        <f>ROW([1]DATABASE!A465)</f>
        <v>465</v>
      </c>
      <c r="B504" t="str">
        <f>[1]DATABASE!AJ465</f>
        <v>Aroeira Collections</v>
      </c>
      <c r="C504" t="str">
        <f>[1]DATABASE!C465</f>
        <v>14D</v>
      </c>
      <c r="D504" t="str">
        <f>TRIM([1]DATABASE!Q465)</f>
        <v>AVAILABLE</v>
      </c>
      <c r="E504" s="82" t="str">
        <f>_xlfn.TEXTJOIN("; ",TRUE,IF([1]DATABASE!X465&lt;0,"Negative Discount",""),IF(AND([1]DATABASE!Y465&gt;[1]DATABASE!T465,[1]DATABASE!Y465&gt;0,[1]DATABASE!T465&gt;0),"Sell Price &gt; Current",""),IF(AND(TRIM([1]DATABASE!Q465)="DEED",[1]DATABASE!AA465=""),"Deeded no PSPA Date",""),IF([1]DATABASE!E465="","Missing Typology",""),IF([1]DATABASE!AJ465="","Missing Development",""))</f>
        <v/>
      </c>
      <c r="F504" s="82" t="str">
        <f>_xlfn.TEXTJOIN("; ",TRUE,IF(AND(OR(TRIM([1]DATABASE!Q465)="RESERVED",TRIM([1]DATABASE!Q465)="PRE-RESERVED",TRIM([1]DATABASE!Q465)="PSPA"),[1]DATABASE!AA465=""),"Reserved/PSPA no PSPA Date",""),IF(AND(TRIM([1]DATABASE!Q465)="AVAILABLE",[1]DATABASE!AA465&lt;&gt;""),"Available has PSPA Date",""))</f>
        <v/>
      </c>
      <c r="G504" s="82" t="str">
        <f>_xlfn.TEXTJOIN("; ",TRUE,IF(AND([1]DATABASE!T465&lt;0.8*[1]DATABASE!S465,[1]DATABASE!T465&gt;0,[1]DATABASE!S465&gt;0),"Heavy Price Cut &gt;20%",""),IF(AND(OR(TRIM([1]DATABASE!Q465)="AVAILABLE",TRIM([1]DATABASE!Q465)="UPON REQUEST"),OR([1]DATABASE!T465="",[1]DATABASE!T465=0)),"Active Unit no Price",""),IF(AND(OR(TRIM([1]DATABASE!Q465)="AVAILABLE",TRIM([1]DATABASE!Q465)="RESERVED",TRIM([1]DATABASE!Q465)="PRE-RESERVED",TRIM([1]DATABASE!Q465)="PSPA"),[1]DATABASE!AC465=""),"Active no Owner",""),IF(OR([1]DATABASE!F465="",[1]DATABASE!F465&lt;=0),"Missing/Invalid Area",""),IF(AND([1]DATABASE!T465&gt;0,ABS([1]DATABASE!T465-[1]DATABASE!W465-[1]DATABASE!U465-[1]DATABASE!V465)&gt;1),"Price Bridge Mismatch",""))</f>
        <v/>
      </c>
      <c r="H504" t="str">
        <f t="shared" si="10"/>
        <v>PASS</v>
      </c>
      <c r="I504" s="90">
        <f>[1]DATABASE!T465</f>
        <v>2000000</v>
      </c>
      <c r="J504" t="str">
        <f>[1]DATABASE!AC465</f>
        <v>João Gameiro</v>
      </c>
    </row>
    <row r="505" spans="1:10" ht="13.95" customHeight="1" x14ac:dyDescent="0.3">
      <c r="A505">
        <f>ROW([1]DATABASE!A466)</f>
        <v>466</v>
      </c>
      <c r="B505" t="str">
        <f>[1]DATABASE!AJ466</f>
        <v>Aroeira Collections</v>
      </c>
      <c r="C505" t="str">
        <f>[1]DATABASE!C466</f>
        <v>14D</v>
      </c>
      <c r="D505" t="str">
        <f>TRIM([1]DATABASE!Q466)</f>
        <v>AVAILABLE</v>
      </c>
      <c r="E505" s="82" t="str">
        <f>_xlfn.TEXTJOIN("; ",TRUE,IF([1]DATABASE!X466&lt;0,"Negative Discount",""),IF(AND([1]DATABASE!Y466&gt;[1]DATABASE!T466,[1]DATABASE!Y466&gt;0,[1]DATABASE!T466&gt;0),"Sell Price &gt; Current",""),IF(AND(TRIM([1]DATABASE!Q466)="DEED",[1]DATABASE!AA466=""),"Deeded no PSPA Date",""),IF([1]DATABASE!E466="","Missing Typology",""),IF([1]DATABASE!AJ466="","Missing Development",""))</f>
        <v/>
      </c>
      <c r="F505" s="82" t="str">
        <f>_xlfn.TEXTJOIN("; ",TRUE,IF(AND(OR(TRIM([1]DATABASE!Q466)="RESERVED",TRIM([1]DATABASE!Q466)="PRE-RESERVED",TRIM([1]DATABASE!Q466)="PSPA"),[1]DATABASE!AA466=""),"Reserved/PSPA no PSPA Date",""),IF(AND(TRIM([1]DATABASE!Q466)="AVAILABLE",[1]DATABASE!AA466&lt;&gt;""),"Available has PSPA Date",""))</f>
        <v/>
      </c>
      <c r="G505" s="82" t="str">
        <f>_xlfn.TEXTJOIN("; ",TRUE,IF(AND([1]DATABASE!T466&lt;0.8*[1]DATABASE!S466,[1]DATABASE!T466&gt;0,[1]DATABASE!S466&gt;0),"Heavy Price Cut &gt;20%",""),IF(AND(OR(TRIM([1]DATABASE!Q466)="AVAILABLE",TRIM([1]DATABASE!Q466)="UPON REQUEST"),OR([1]DATABASE!T466="",[1]DATABASE!T466=0)),"Active Unit no Price",""),IF(AND(OR(TRIM([1]DATABASE!Q466)="AVAILABLE",TRIM([1]DATABASE!Q466)="RESERVED",TRIM([1]DATABASE!Q466)="PRE-RESERVED",TRIM([1]DATABASE!Q466)="PSPA"),[1]DATABASE!AC466=""),"Active no Owner",""),IF(OR([1]DATABASE!F466="",[1]DATABASE!F466&lt;=0),"Missing/Invalid Area",""),IF(AND([1]DATABASE!T466&gt;0,ABS([1]DATABASE!T466-[1]DATABASE!W466-[1]DATABASE!U466-[1]DATABASE!V466)&gt;1),"Price Bridge Mismatch",""))</f>
        <v/>
      </c>
      <c r="H505" t="str">
        <f t="shared" si="10"/>
        <v>PASS</v>
      </c>
      <c r="I505" s="90">
        <f>[1]DATABASE!T466</f>
        <v>2045000</v>
      </c>
      <c r="J505" t="str">
        <f>[1]DATABASE!AC466</f>
        <v>João Gameiro</v>
      </c>
    </row>
    <row r="506" spans="1:10" ht="13.95" customHeight="1" x14ac:dyDescent="0.3">
      <c r="A506">
        <f>ROW([1]DATABASE!A467)</f>
        <v>467</v>
      </c>
      <c r="B506" t="str">
        <f>[1]DATABASE!AJ467</f>
        <v>Aroeira Collections</v>
      </c>
      <c r="C506" t="str">
        <f>[1]DATABASE!C467</f>
        <v>15D</v>
      </c>
      <c r="D506" t="str">
        <f>TRIM([1]DATABASE!Q467)</f>
        <v>AVAILABLE</v>
      </c>
      <c r="E506" s="82" t="str">
        <f>_xlfn.TEXTJOIN("; ",TRUE,IF([1]DATABASE!X467&lt;0,"Negative Discount",""),IF(AND([1]DATABASE!Y467&gt;[1]DATABASE!T467,[1]DATABASE!Y467&gt;0,[1]DATABASE!T467&gt;0),"Sell Price &gt; Current",""),IF(AND(TRIM([1]DATABASE!Q467)="DEED",[1]DATABASE!AA467=""),"Deeded no PSPA Date",""),IF([1]DATABASE!E467="","Missing Typology",""),IF([1]DATABASE!AJ467="","Missing Development",""))</f>
        <v/>
      </c>
      <c r="F506" s="82" t="str">
        <f>_xlfn.TEXTJOIN("; ",TRUE,IF(AND(OR(TRIM([1]DATABASE!Q467)="RESERVED",TRIM([1]DATABASE!Q467)="PRE-RESERVED",TRIM([1]DATABASE!Q467)="PSPA"),[1]DATABASE!AA467=""),"Reserved/PSPA no PSPA Date",""),IF(AND(TRIM([1]DATABASE!Q467)="AVAILABLE",[1]DATABASE!AA467&lt;&gt;""),"Available has PSPA Date",""))</f>
        <v/>
      </c>
      <c r="G506" s="82" t="str">
        <f>_xlfn.TEXTJOIN("; ",TRUE,IF(AND([1]DATABASE!T467&lt;0.8*[1]DATABASE!S467,[1]DATABASE!T467&gt;0,[1]DATABASE!S467&gt;0),"Heavy Price Cut &gt;20%",""),IF(AND(OR(TRIM([1]DATABASE!Q467)="AVAILABLE",TRIM([1]DATABASE!Q467)="UPON REQUEST"),OR([1]DATABASE!T467="",[1]DATABASE!T467=0)),"Active Unit no Price",""),IF(AND(OR(TRIM([1]DATABASE!Q467)="AVAILABLE",TRIM([1]DATABASE!Q467)="RESERVED",TRIM([1]DATABASE!Q467)="PRE-RESERVED",TRIM([1]DATABASE!Q467)="PSPA"),[1]DATABASE!AC467=""),"Active no Owner",""),IF(OR([1]DATABASE!F467="",[1]DATABASE!F467&lt;=0),"Missing/Invalid Area",""),IF(AND([1]DATABASE!T467&gt;0,ABS([1]DATABASE!T467-[1]DATABASE!W467-[1]DATABASE!U467-[1]DATABASE!V467)&gt;1),"Price Bridge Mismatch",""))</f>
        <v/>
      </c>
      <c r="H506" t="str">
        <f t="shared" si="10"/>
        <v>PASS</v>
      </c>
      <c r="I506" s="90">
        <f>[1]DATABASE!T467</f>
        <v>2015000</v>
      </c>
      <c r="J506" t="str">
        <f>[1]DATABASE!AC467</f>
        <v>João Gameiro</v>
      </c>
    </row>
    <row r="507" spans="1:10" ht="13.95" customHeight="1" x14ac:dyDescent="0.3">
      <c r="A507">
        <f>ROW([1]DATABASE!A468)</f>
        <v>468</v>
      </c>
      <c r="B507" t="str">
        <f>[1]DATABASE!AJ468</f>
        <v>Aroeira Collections</v>
      </c>
      <c r="C507" t="str">
        <f>[1]DATABASE!C468</f>
        <v>16D</v>
      </c>
      <c r="D507" t="str">
        <f>TRIM([1]DATABASE!Q468)</f>
        <v>AVAILABLE</v>
      </c>
      <c r="E507" s="82" t="str">
        <f>_xlfn.TEXTJOIN("; ",TRUE,IF([1]DATABASE!X468&lt;0,"Negative Discount",""),IF(AND([1]DATABASE!Y468&gt;[1]DATABASE!T468,[1]DATABASE!Y468&gt;0,[1]DATABASE!T468&gt;0),"Sell Price &gt; Current",""),IF(AND(TRIM([1]DATABASE!Q468)="DEED",[1]DATABASE!AA468=""),"Deeded no PSPA Date",""),IF([1]DATABASE!E468="","Missing Typology",""),IF([1]DATABASE!AJ468="","Missing Development",""))</f>
        <v/>
      </c>
      <c r="F507" s="82" t="str">
        <f>_xlfn.TEXTJOIN("; ",TRUE,IF(AND(OR(TRIM([1]DATABASE!Q468)="RESERVED",TRIM([1]DATABASE!Q468)="PRE-RESERVED",TRIM([1]DATABASE!Q468)="PSPA"),[1]DATABASE!AA468=""),"Reserved/PSPA no PSPA Date",""),IF(AND(TRIM([1]DATABASE!Q468)="AVAILABLE",[1]DATABASE!AA468&lt;&gt;""),"Available has PSPA Date",""))</f>
        <v/>
      </c>
      <c r="G507" s="82" t="str">
        <f>_xlfn.TEXTJOIN("; ",TRUE,IF(AND([1]DATABASE!T468&lt;0.8*[1]DATABASE!S468,[1]DATABASE!T468&gt;0,[1]DATABASE!S468&gt;0),"Heavy Price Cut &gt;20%",""),IF(AND(OR(TRIM([1]DATABASE!Q468)="AVAILABLE",TRIM([1]DATABASE!Q468)="UPON REQUEST"),OR([1]DATABASE!T468="",[1]DATABASE!T468=0)),"Active Unit no Price",""),IF(AND(OR(TRIM([1]DATABASE!Q468)="AVAILABLE",TRIM([1]DATABASE!Q468)="RESERVED",TRIM([1]DATABASE!Q468)="PRE-RESERVED",TRIM([1]DATABASE!Q468)="PSPA"),[1]DATABASE!AC468=""),"Active no Owner",""),IF(OR([1]DATABASE!F468="",[1]DATABASE!F468&lt;=0),"Missing/Invalid Area",""),IF(AND([1]DATABASE!T468&gt;0,ABS([1]DATABASE!T468-[1]DATABASE!W468-[1]DATABASE!U468-[1]DATABASE!V468)&gt;1),"Price Bridge Mismatch",""))</f>
        <v/>
      </c>
      <c r="H507" t="str">
        <f t="shared" si="10"/>
        <v>PASS</v>
      </c>
      <c r="I507" s="90">
        <f>[1]DATABASE!T468</f>
        <v>2035000</v>
      </c>
      <c r="J507" t="str">
        <f>[1]DATABASE!AC468</f>
        <v>João Gameiro</v>
      </c>
    </row>
    <row r="508" spans="1:10" ht="13.95" customHeight="1" x14ac:dyDescent="0.3">
      <c r="A508">
        <f>ROW([1]DATABASE!A469)</f>
        <v>469</v>
      </c>
      <c r="B508" t="str">
        <f>[1]DATABASE!AJ469</f>
        <v>Aroeira Collections</v>
      </c>
      <c r="C508" t="str">
        <f>[1]DATABASE!C469</f>
        <v>17C</v>
      </c>
      <c r="D508" t="str">
        <f>TRIM([1]DATABASE!Q469)</f>
        <v>AVAILABLE</v>
      </c>
      <c r="E508" s="82" t="str">
        <f>_xlfn.TEXTJOIN("; ",TRUE,IF([1]DATABASE!X469&lt;0,"Negative Discount",""),IF(AND([1]DATABASE!Y469&gt;[1]DATABASE!T469,[1]DATABASE!Y469&gt;0,[1]DATABASE!T469&gt;0),"Sell Price &gt; Current",""),IF(AND(TRIM([1]DATABASE!Q469)="DEED",[1]DATABASE!AA469=""),"Deeded no PSPA Date",""),IF([1]DATABASE!E469="","Missing Typology",""),IF([1]DATABASE!AJ469="","Missing Development",""))</f>
        <v/>
      </c>
      <c r="F508" s="82" t="str">
        <f>_xlfn.TEXTJOIN("; ",TRUE,IF(AND(OR(TRIM([1]DATABASE!Q469)="RESERVED",TRIM([1]DATABASE!Q469)="PRE-RESERVED",TRIM([1]DATABASE!Q469)="PSPA"),[1]DATABASE!AA469=""),"Reserved/PSPA no PSPA Date",""),IF(AND(TRIM([1]DATABASE!Q469)="AVAILABLE",[1]DATABASE!AA469&lt;&gt;""),"Available has PSPA Date",""))</f>
        <v/>
      </c>
      <c r="G508" s="82" t="str">
        <f>_xlfn.TEXTJOIN("; ",TRUE,IF(AND([1]DATABASE!T469&lt;0.8*[1]DATABASE!S469,[1]DATABASE!T469&gt;0,[1]DATABASE!S469&gt;0),"Heavy Price Cut &gt;20%",""),IF(AND(OR(TRIM([1]DATABASE!Q469)="AVAILABLE",TRIM([1]DATABASE!Q469)="UPON REQUEST"),OR([1]DATABASE!T469="",[1]DATABASE!T469=0)),"Active Unit no Price",""),IF(AND(OR(TRIM([1]DATABASE!Q469)="AVAILABLE",TRIM([1]DATABASE!Q469)="RESERVED",TRIM([1]DATABASE!Q469)="PRE-RESERVED",TRIM([1]DATABASE!Q469)="PSPA"),[1]DATABASE!AC469=""),"Active no Owner",""),IF(OR([1]DATABASE!F469="",[1]DATABASE!F469&lt;=0),"Missing/Invalid Area",""),IF(AND([1]DATABASE!T469&gt;0,ABS([1]DATABASE!T469-[1]DATABASE!W469-[1]DATABASE!U469-[1]DATABASE!V469)&gt;1),"Price Bridge Mismatch",""))</f>
        <v/>
      </c>
      <c r="H508" t="str">
        <f t="shared" si="10"/>
        <v>PASS</v>
      </c>
      <c r="I508" s="90">
        <f>[1]DATABASE!T469</f>
        <v>1380000</v>
      </c>
      <c r="J508" t="str">
        <f>[1]DATABASE!AC469</f>
        <v>João Gameiro</v>
      </c>
    </row>
    <row r="509" spans="1:10" ht="13.95" customHeight="1" x14ac:dyDescent="0.3">
      <c r="A509">
        <f>ROW([1]DATABASE!A470)</f>
        <v>470</v>
      </c>
      <c r="B509" t="str">
        <f>[1]DATABASE!AJ470</f>
        <v>Aroeira Collections</v>
      </c>
      <c r="C509" t="str">
        <f>[1]DATABASE!C470</f>
        <v>17D</v>
      </c>
      <c r="D509" t="str">
        <f>TRIM([1]DATABASE!Q470)</f>
        <v>AVAILABLE</v>
      </c>
      <c r="E509" s="82" t="str">
        <f>_xlfn.TEXTJOIN("; ",TRUE,IF([1]DATABASE!X470&lt;0,"Negative Discount",""),IF(AND([1]DATABASE!Y470&gt;[1]DATABASE!T470,[1]DATABASE!Y470&gt;0,[1]DATABASE!T470&gt;0),"Sell Price &gt; Current",""),IF(AND(TRIM([1]DATABASE!Q470)="DEED",[1]DATABASE!AA470=""),"Deeded no PSPA Date",""),IF([1]DATABASE!E470="","Missing Typology",""),IF([1]DATABASE!AJ470="","Missing Development",""))</f>
        <v/>
      </c>
      <c r="F509" s="82" t="str">
        <f>_xlfn.TEXTJOIN("; ",TRUE,IF(AND(OR(TRIM([1]DATABASE!Q470)="RESERVED",TRIM([1]DATABASE!Q470)="PRE-RESERVED",TRIM([1]DATABASE!Q470)="PSPA"),[1]DATABASE!AA470=""),"Reserved/PSPA no PSPA Date",""),IF(AND(TRIM([1]DATABASE!Q470)="AVAILABLE",[1]DATABASE!AA470&lt;&gt;""),"Available has PSPA Date",""))</f>
        <v/>
      </c>
      <c r="G509" s="82" t="str">
        <f>_xlfn.TEXTJOIN("; ",TRUE,IF(AND([1]DATABASE!T470&lt;0.8*[1]DATABASE!S470,[1]DATABASE!T470&gt;0,[1]DATABASE!S470&gt;0),"Heavy Price Cut &gt;20%",""),IF(AND(OR(TRIM([1]DATABASE!Q470)="AVAILABLE",TRIM([1]DATABASE!Q470)="UPON REQUEST"),OR([1]DATABASE!T470="",[1]DATABASE!T470=0)),"Active Unit no Price",""),IF(AND(OR(TRIM([1]DATABASE!Q470)="AVAILABLE",TRIM([1]DATABASE!Q470)="RESERVED",TRIM([1]DATABASE!Q470)="PRE-RESERVED",TRIM([1]DATABASE!Q470)="PSPA"),[1]DATABASE!AC470=""),"Active no Owner",""),IF(OR([1]DATABASE!F470="",[1]DATABASE!F470&lt;=0),"Missing/Invalid Area",""),IF(AND([1]DATABASE!T470&gt;0,ABS([1]DATABASE!T470-[1]DATABASE!W470-[1]DATABASE!U470-[1]DATABASE!V470)&gt;1),"Price Bridge Mismatch",""))</f>
        <v/>
      </c>
      <c r="H509" t="str">
        <f t="shared" si="10"/>
        <v>PASS</v>
      </c>
      <c r="I509" s="90">
        <f>[1]DATABASE!T470</f>
        <v>2045000</v>
      </c>
      <c r="J509" t="str">
        <f>[1]DATABASE!AC470</f>
        <v>João Gameiro</v>
      </c>
    </row>
    <row r="510" spans="1:10" ht="13.95" customHeight="1" x14ac:dyDescent="0.3">
      <c r="A510">
        <f>ROW([1]DATABASE!A471)</f>
        <v>471</v>
      </c>
      <c r="B510" t="str">
        <f>[1]DATABASE!AJ471</f>
        <v>Aroeira Collections</v>
      </c>
      <c r="C510" t="str">
        <f>[1]DATABASE!C471</f>
        <v>18C</v>
      </c>
      <c r="D510" t="str">
        <f>TRIM([1]DATABASE!Q471)</f>
        <v>AVAILABLE</v>
      </c>
      <c r="E510" s="82" t="str">
        <f>_xlfn.TEXTJOIN("; ",TRUE,IF([1]DATABASE!X471&lt;0,"Negative Discount",""),IF(AND([1]DATABASE!Y471&gt;[1]DATABASE!T471,[1]DATABASE!Y471&gt;0,[1]DATABASE!T471&gt;0),"Sell Price &gt; Current",""),IF(AND(TRIM([1]DATABASE!Q471)="DEED",[1]DATABASE!AA471=""),"Deeded no PSPA Date",""),IF([1]DATABASE!E471="","Missing Typology",""),IF([1]DATABASE!AJ471="","Missing Development",""))</f>
        <v/>
      </c>
      <c r="F510" s="82" t="str">
        <f>_xlfn.TEXTJOIN("; ",TRUE,IF(AND(OR(TRIM([1]DATABASE!Q471)="RESERVED",TRIM([1]DATABASE!Q471)="PRE-RESERVED",TRIM([1]DATABASE!Q471)="PSPA"),[1]DATABASE!AA471=""),"Reserved/PSPA no PSPA Date",""),IF(AND(TRIM([1]DATABASE!Q471)="AVAILABLE",[1]DATABASE!AA471&lt;&gt;""),"Available has PSPA Date",""))</f>
        <v/>
      </c>
      <c r="G510" s="82" t="str">
        <f>_xlfn.TEXTJOIN("; ",TRUE,IF(AND([1]DATABASE!T471&lt;0.8*[1]DATABASE!S471,[1]DATABASE!T471&gt;0,[1]DATABASE!S471&gt;0),"Heavy Price Cut &gt;20%",""),IF(AND(OR(TRIM([1]DATABASE!Q471)="AVAILABLE",TRIM([1]DATABASE!Q471)="UPON REQUEST"),OR([1]DATABASE!T471="",[1]DATABASE!T471=0)),"Active Unit no Price",""),IF(AND(OR(TRIM([1]DATABASE!Q471)="AVAILABLE",TRIM([1]DATABASE!Q471)="RESERVED",TRIM([1]DATABASE!Q471)="PRE-RESERVED",TRIM([1]DATABASE!Q471)="PSPA"),[1]DATABASE!AC471=""),"Active no Owner",""),IF(OR([1]DATABASE!F471="",[1]DATABASE!F471&lt;=0),"Missing/Invalid Area",""),IF(AND([1]DATABASE!T471&gt;0,ABS([1]DATABASE!T471-[1]DATABASE!W471-[1]DATABASE!U471-[1]DATABASE!V471)&gt;1),"Price Bridge Mismatch",""))</f>
        <v/>
      </c>
      <c r="H510" t="str">
        <f t="shared" si="10"/>
        <v>PASS</v>
      </c>
      <c r="I510" s="90">
        <f>[1]DATABASE!T471</f>
        <v>1380000</v>
      </c>
      <c r="J510" t="str">
        <f>[1]DATABASE!AC471</f>
        <v>João Gameiro</v>
      </c>
    </row>
    <row r="511" spans="1:10" ht="13.95" customHeight="1" x14ac:dyDescent="0.3">
      <c r="A511">
        <f>ROW([1]DATABASE!A472)</f>
        <v>472</v>
      </c>
      <c r="B511" t="str">
        <f>[1]DATABASE!AJ472</f>
        <v>Aroeira Collections</v>
      </c>
      <c r="C511" t="str">
        <f>[1]DATABASE!C472</f>
        <v>18D</v>
      </c>
      <c r="D511" t="str">
        <f>TRIM([1]DATABASE!Q472)</f>
        <v>AVAILABLE</v>
      </c>
      <c r="E511" s="82" t="str">
        <f>_xlfn.TEXTJOIN("; ",TRUE,IF([1]DATABASE!X472&lt;0,"Negative Discount",""),IF(AND([1]DATABASE!Y472&gt;[1]DATABASE!T472,[1]DATABASE!Y472&gt;0,[1]DATABASE!T472&gt;0),"Sell Price &gt; Current",""),IF(AND(TRIM([1]DATABASE!Q472)="DEED",[1]DATABASE!AA472=""),"Deeded no PSPA Date",""),IF([1]DATABASE!E472="","Missing Typology",""),IF([1]DATABASE!AJ472="","Missing Development",""))</f>
        <v/>
      </c>
      <c r="F511" s="82" t="str">
        <f>_xlfn.TEXTJOIN("; ",TRUE,IF(AND(OR(TRIM([1]DATABASE!Q472)="RESERVED",TRIM([1]DATABASE!Q472)="PRE-RESERVED",TRIM([1]DATABASE!Q472)="PSPA"),[1]DATABASE!AA472=""),"Reserved/PSPA no PSPA Date",""),IF(AND(TRIM([1]DATABASE!Q472)="AVAILABLE",[1]DATABASE!AA472&lt;&gt;""),"Available has PSPA Date",""))</f>
        <v/>
      </c>
      <c r="G511" s="82" t="str">
        <f>_xlfn.TEXTJOIN("; ",TRUE,IF(AND([1]DATABASE!T472&lt;0.8*[1]DATABASE!S472,[1]DATABASE!T472&gt;0,[1]DATABASE!S472&gt;0),"Heavy Price Cut &gt;20%",""),IF(AND(OR(TRIM([1]DATABASE!Q472)="AVAILABLE",TRIM([1]DATABASE!Q472)="UPON REQUEST"),OR([1]DATABASE!T472="",[1]DATABASE!T472=0)),"Active Unit no Price",""),IF(AND(OR(TRIM([1]DATABASE!Q472)="AVAILABLE",TRIM([1]DATABASE!Q472)="RESERVED",TRIM([1]DATABASE!Q472)="PRE-RESERVED",TRIM([1]DATABASE!Q472)="PSPA"),[1]DATABASE!AC472=""),"Active no Owner",""),IF(OR([1]DATABASE!F472="",[1]DATABASE!F472&lt;=0),"Missing/Invalid Area",""),IF(AND([1]DATABASE!T472&gt;0,ABS([1]DATABASE!T472-[1]DATABASE!W472-[1]DATABASE!U472-[1]DATABASE!V472)&gt;1),"Price Bridge Mismatch",""))</f>
        <v/>
      </c>
      <c r="H511" t="str">
        <f t="shared" si="10"/>
        <v>PASS</v>
      </c>
      <c r="I511" s="90">
        <f>[1]DATABASE!T472</f>
        <v>2065000</v>
      </c>
      <c r="J511" t="str">
        <f>[1]DATABASE!AC472</f>
        <v>João Gameiro</v>
      </c>
    </row>
    <row r="512" spans="1:10" ht="13.95" customHeight="1" x14ac:dyDescent="0.3">
      <c r="A512">
        <f>ROW([1]DATABASE!A473)</f>
        <v>473</v>
      </c>
      <c r="B512" t="str">
        <f>[1]DATABASE!AJ473</f>
        <v>Aroeira Collections</v>
      </c>
      <c r="C512" t="str">
        <f>[1]DATABASE!C473</f>
        <v>19C</v>
      </c>
      <c r="D512" t="str">
        <f>TRIM([1]DATABASE!Q473)</f>
        <v>AVAILABLE</v>
      </c>
      <c r="E512" s="82" t="str">
        <f>_xlfn.TEXTJOIN("; ",TRUE,IF([1]DATABASE!X473&lt;0,"Negative Discount",""),IF(AND([1]DATABASE!Y473&gt;[1]DATABASE!T473,[1]DATABASE!Y473&gt;0,[1]DATABASE!T473&gt;0),"Sell Price &gt; Current",""),IF(AND(TRIM([1]DATABASE!Q473)="DEED",[1]DATABASE!AA473=""),"Deeded no PSPA Date",""),IF([1]DATABASE!E473="","Missing Typology",""),IF([1]DATABASE!AJ473="","Missing Development",""))</f>
        <v/>
      </c>
      <c r="F512" s="82" t="str">
        <f>_xlfn.TEXTJOIN("; ",TRUE,IF(AND(OR(TRIM([1]DATABASE!Q473)="RESERVED",TRIM([1]DATABASE!Q473)="PRE-RESERVED",TRIM([1]DATABASE!Q473)="PSPA"),[1]DATABASE!AA473=""),"Reserved/PSPA no PSPA Date",""),IF(AND(TRIM([1]DATABASE!Q473)="AVAILABLE",[1]DATABASE!AA473&lt;&gt;""),"Available has PSPA Date",""))</f>
        <v/>
      </c>
      <c r="G512" s="82" t="str">
        <f>_xlfn.TEXTJOIN("; ",TRUE,IF(AND([1]DATABASE!T473&lt;0.8*[1]DATABASE!S473,[1]DATABASE!T473&gt;0,[1]DATABASE!S473&gt;0),"Heavy Price Cut &gt;20%",""),IF(AND(OR(TRIM([1]DATABASE!Q473)="AVAILABLE",TRIM([1]DATABASE!Q473)="UPON REQUEST"),OR([1]DATABASE!T473="",[1]DATABASE!T473=0)),"Active Unit no Price",""),IF(AND(OR(TRIM([1]DATABASE!Q473)="AVAILABLE",TRIM([1]DATABASE!Q473)="RESERVED",TRIM([1]DATABASE!Q473)="PRE-RESERVED",TRIM([1]DATABASE!Q473)="PSPA"),[1]DATABASE!AC473=""),"Active no Owner",""),IF(OR([1]DATABASE!F473="",[1]DATABASE!F473&lt;=0),"Missing/Invalid Area",""),IF(AND([1]DATABASE!T473&gt;0,ABS([1]DATABASE!T473-[1]DATABASE!W473-[1]DATABASE!U473-[1]DATABASE!V473)&gt;1),"Price Bridge Mismatch",""))</f>
        <v/>
      </c>
      <c r="H512" t="str">
        <f t="shared" si="10"/>
        <v>PASS</v>
      </c>
      <c r="I512" s="90">
        <f>[1]DATABASE!T473</f>
        <v>1495000</v>
      </c>
      <c r="J512" t="str">
        <f>[1]DATABASE!AC473</f>
        <v>João Gameiro</v>
      </c>
    </row>
    <row r="513" spans="1:10" ht="13.95" customHeight="1" x14ac:dyDescent="0.3">
      <c r="A513">
        <f>ROW([1]DATABASE!A474)</f>
        <v>474</v>
      </c>
      <c r="B513" t="str">
        <f>[1]DATABASE!AJ474</f>
        <v>The Uncommon</v>
      </c>
      <c r="C513" t="str">
        <f>[1]DATABASE!C474</f>
        <v>102</v>
      </c>
      <c r="D513" t="str">
        <f>TRIM([1]DATABASE!Q474)</f>
        <v>AVAILABLE</v>
      </c>
      <c r="E513" s="82" t="str">
        <f>_xlfn.TEXTJOIN("; ",TRUE,IF([1]DATABASE!X474&lt;0,"Negative Discount",""),IF(AND([1]DATABASE!Y474&gt;[1]DATABASE!T474,[1]DATABASE!Y474&gt;0,[1]DATABASE!T474&gt;0),"Sell Price &gt; Current",""),IF(AND(TRIM([1]DATABASE!Q474)="DEED",[1]DATABASE!AA474=""),"Deeded no PSPA Date",""),IF([1]DATABASE!E474="","Missing Typology",""),IF([1]DATABASE!AJ474="","Missing Development",""))</f>
        <v/>
      </c>
      <c r="F513" s="82" t="str">
        <f>_xlfn.TEXTJOIN("; ",TRUE,IF(AND(OR(TRIM([1]DATABASE!Q474)="RESERVED",TRIM([1]DATABASE!Q474)="PRE-RESERVED",TRIM([1]DATABASE!Q474)="PSPA"),[1]DATABASE!AA474=""),"Reserved/PSPA no PSPA Date",""),IF(AND(TRIM([1]DATABASE!Q474)="AVAILABLE",[1]DATABASE!AA474&lt;&gt;""),"Available has PSPA Date",""))</f>
        <v/>
      </c>
      <c r="G513" s="82" t="str">
        <f>_xlfn.TEXTJOIN("; ",TRUE,IF(AND([1]DATABASE!T474&lt;0.8*[1]DATABASE!S474,[1]DATABASE!T474&gt;0,[1]DATABASE!S474&gt;0),"Heavy Price Cut &gt;20%",""),IF(AND(OR(TRIM([1]DATABASE!Q474)="AVAILABLE",TRIM([1]DATABASE!Q474)="UPON REQUEST"),OR([1]DATABASE!T474="",[1]DATABASE!T474=0)),"Active Unit no Price",""),IF(AND(OR(TRIM([1]DATABASE!Q474)="AVAILABLE",TRIM([1]DATABASE!Q474)="RESERVED",TRIM([1]DATABASE!Q474)="PRE-RESERVED",TRIM([1]DATABASE!Q474)="PSPA"),[1]DATABASE!AC474=""),"Active no Owner",""),IF(OR([1]DATABASE!F474="",[1]DATABASE!F474&lt;=0),"Missing/Invalid Area",""),IF(AND([1]DATABASE!T474&gt;0,ABS([1]DATABASE!T474-[1]DATABASE!W474-[1]DATABASE!U474-[1]DATABASE!V474)&gt;1),"Price Bridge Mismatch",""))</f>
        <v/>
      </c>
      <c r="H513" t="str">
        <f t="shared" si="10"/>
        <v>PASS</v>
      </c>
      <c r="I513" s="90">
        <f>[1]DATABASE!T474</f>
        <v>1150000</v>
      </c>
      <c r="J513" t="str">
        <f>[1]DATABASE!AC474</f>
        <v>Ana Damásio</v>
      </c>
    </row>
    <row r="514" spans="1:10" ht="13.95" customHeight="1" x14ac:dyDescent="0.3">
      <c r="A514">
        <f>ROW([1]DATABASE!A475)</f>
        <v>475</v>
      </c>
      <c r="B514" t="str">
        <f>[1]DATABASE!AJ475</f>
        <v>The Uncommon</v>
      </c>
      <c r="C514" t="str">
        <f>[1]DATABASE!C475</f>
        <v>103</v>
      </c>
      <c r="D514" t="str">
        <f>TRIM([1]DATABASE!Q475)</f>
        <v>AVAILABLE</v>
      </c>
      <c r="E514" s="82" t="str">
        <f>_xlfn.TEXTJOIN("; ",TRUE,IF([1]DATABASE!X475&lt;0,"Negative Discount",""),IF(AND([1]DATABASE!Y475&gt;[1]DATABASE!T475,[1]DATABASE!Y475&gt;0,[1]DATABASE!T475&gt;0),"Sell Price &gt; Current",""),IF(AND(TRIM([1]DATABASE!Q475)="DEED",[1]DATABASE!AA475=""),"Deeded no PSPA Date",""),IF([1]DATABASE!E475="","Missing Typology",""),IF([1]DATABASE!AJ475="","Missing Development",""))</f>
        <v/>
      </c>
      <c r="F514" s="82" t="str">
        <f>_xlfn.TEXTJOIN("; ",TRUE,IF(AND(OR(TRIM([1]DATABASE!Q475)="RESERVED",TRIM([1]DATABASE!Q475)="PRE-RESERVED",TRIM([1]DATABASE!Q475)="PSPA"),[1]DATABASE!AA475=""),"Reserved/PSPA no PSPA Date",""),IF(AND(TRIM([1]DATABASE!Q475)="AVAILABLE",[1]DATABASE!AA475&lt;&gt;""),"Available has PSPA Date",""))</f>
        <v/>
      </c>
      <c r="G514" s="82" t="str">
        <f>_xlfn.TEXTJOIN("; ",TRUE,IF(AND([1]DATABASE!T475&lt;0.8*[1]DATABASE!S475,[1]DATABASE!T475&gt;0,[1]DATABASE!S475&gt;0),"Heavy Price Cut &gt;20%",""),IF(AND(OR(TRIM([1]DATABASE!Q475)="AVAILABLE",TRIM([1]DATABASE!Q475)="UPON REQUEST"),OR([1]DATABASE!T475="",[1]DATABASE!T475=0)),"Active Unit no Price",""),IF(AND(OR(TRIM([1]DATABASE!Q475)="AVAILABLE",TRIM([1]DATABASE!Q475)="RESERVED",TRIM([1]DATABASE!Q475)="PRE-RESERVED",TRIM([1]DATABASE!Q475)="PSPA"),[1]DATABASE!AC475=""),"Active no Owner",""),IF(OR([1]DATABASE!F475="",[1]DATABASE!F475&lt;=0),"Missing/Invalid Area",""),IF(AND([1]DATABASE!T475&gt;0,ABS([1]DATABASE!T475-[1]DATABASE!W475-[1]DATABASE!U475-[1]DATABASE!V475)&gt;1),"Price Bridge Mismatch",""))</f>
        <v/>
      </c>
      <c r="H514" t="str">
        <f t="shared" si="10"/>
        <v>PASS</v>
      </c>
      <c r="I514" s="90">
        <f>[1]DATABASE!T475</f>
        <v>1060000</v>
      </c>
      <c r="J514" t="str">
        <f>[1]DATABASE!AC475</f>
        <v>Ana Damásio</v>
      </c>
    </row>
    <row r="515" spans="1:10" ht="13.95" customHeight="1" x14ac:dyDescent="0.3">
      <c r="A515">
        <f>ROW([1]DATABASE!A476)</f>
        <v>476</v>
      </c>
      <c r="B515" t="str">
        <f>[1]DATABASE!AJ476</f>
        <v>Palmares</v>
      </c>
      <c r="C515" t="str">
        <f>[1]DATABASE!C476</f>
        <v>102</v>
      </c>
      <c r="D515" t="str">
        <f>TRIM([1]DATABASE!Q476)</f>
        <v>AVAILABLE</v>
      </c>
      <c r="E515" s="82" t="str">
        <f>_xlfn.TEXTJOIN("; ",TRUE,IF([1]DATABASE!X476&lt;0,"Negative Discount",""),IF(AND([1]DATABASE!Y476&gt;[1]DATABASE!T476,[1]DATABASE!Y476&gt;0,[1]DATABASE!T476&gt;0),"Sell Price &gt; Current",""),IF(AND(TRIM([1]DATABASE!Q476)="DEED",[1]DATABASE!AA476=""),"Deeded no PSPA Date",""),IF([1]DATABASE!E476="","Missing Typology",""),IF([1]DATABASE!AJ476="","Missing Development",""))</f>
        <v/>
      </c>
      <c r="F515" s="82" t="str">
        <f>_xlfn.TEXTJOIN("; ",TRUE,IF(AND(OR(TRIM([1]DATABASE!Q476)="RESERVED",TRIM([1]DATABASE!Q476)="PRE-RESERVED",TRIM([1]DATABASE!Q476)="PSPA"),[1]DATABASE!AA476=""),"Reserved/PSPA no PSPA Date",""),IF(AND(TRIM([1]DATABASE!Q476)="AVAILABLE",[1]DATABASE!AA476&lt;&gt;""),"Available has PSPA Date",""))</f>
        <v/>
      </c>
      <c r="G515" s="82" t="str">
        <f>_xlfn.TEXTJOIN("; ",TRUE,IF(AND([1]DATABASE!T476&lt;0.8*[1]DATABASE!S476,[1]DATABASE!T476&gt;0,[1]DATABASE!S476&gt;0),"Heavy Price Cut &gt;20%",""),IF(AND(OR(TRIM([1]DATABASE!Q476)="AVAILABLE",TRIM([1]DATABASE!Q476)="UPON REQUEST"),OR([1]DATABASE!T476="",[1]DATABASE!T476=0)),"Active Unit no Price",""),IF(AND(OR(TRIM([1]DATABASE!Q476)="AVAILABLE",TRIM([1]DATABASE!Q476)="RESERVED",TRIM([1]DATABASE!Q476)="PRE-RESERVED",TRIM([1]DATABASE!Q476)="PSPA"),[1]DATABASE!AC476=""),"Active no Owner",""),IF(OR([1]DATABASE!F476="",[1]DATABASE!F476&lt;=0),"Missing/Invalid Area",""),IF(AND([1]DATABASE!T476&gt;0,ABS([1]DATABASE!T476-[1]DATABASE!W476-[1]DATABASE!U476-[1]DATABASE!V476)&gt;1),"Price Bridge Mismatch",""))</f>
        <v/>
      </c>
      <c r="H515" t="str">
        <f t="shared" si="10"/>
        <v>PASS</v>
      </c>
      <c r="I515" s="90">
        <f>[1]DATABASE!T476</f>
        <v>1800000</v>
      </c>
      <c r="J515" t="str">
        <f>[1]DATABASE!AC476</f>
        <v>Sandra Viegas</v>
      </c>
    </row>
    <row r="516" spans="1:10" ht="13.95" customHeight="1" x14ac:dyDescent="0.3">
      <c r="A516">
        <f>ROW([1]DATABASE!A477)</f>
        <v>477</v>
      </c>
      <c r="B516" t="str">
        <f>[1]DATABASE!AJ477</f>
        <v>Palmares</v>
      </c>
      <c r="C516" t="str">
        <f>[1]DATABASE!C477</f>
        <v>103</v>
      </c>
      <c r="D516" t="str">
        <f>TRIM([1]DATABASE!Q477)</f>
        <v>AVAILABLE</v>
      </c>
      <c r="E516" s="82" t="str">
        <f>_xlfn.TEXTJOIN("; ",TRUE,IF([1]DATABASE!X477&lt;0,"Negative Discount",""),IF(AND([1]DATABASE!Y477&gt;[1]DATABASE!T477,[1]DATABASE!Y477&gt;0,[1]DATABASE!T477&gt;0),"Sell Price &gt; Current",""),IF(AND(TRIM([1]DATABASE!Q477)="DEED",[1]DATABASE!AA477=""),"Deeded no PSPA Date",""),IF([1]DATABASE!E477="","Missing Typology",""),IF([1]DATABASE!AJ477="","Missing Development",""))</f>
        <v/>
      </c>
      <c r="F516" s="82" t="str">
        <f>_xlfn.TEXTJOIN("; ",TRUE,IF(AND(OR(TRIM([1]DATABASE!Q477)="RESERVED",TRIM([1]DATABASE!Q477)="PRE-RESERVED",TRIM([1]DATABASE!Q477)="PSPA"),[1]DATABASE!AA477=""),"Reserved/PSPA no PSPA Date",""),IF(AND(TRIM([1]DATABASE!Q477)="AVAILABLE",[1]DATABASE!AA477&lt;&gt;""),"Available has PSPA Date",""))</f>
        <v/>
      </c>
      <c r="G516" s="82" t="str">
        <f>_xlfn.TEXTJOIN("; ",TRUE,IF(AND([1]DATABASE!T477&lt;0.8*[1]DATABASE!S477,[1]DATABASE!T477&gt;0,[1]DATABASE!S477&gt;0),"Heavy Price Cut &gt;20%",""),IF(AND(OR(TRIM([1]DATABASE!Q477)="AVAILABLE",TRIM([1]DATABASE!Q477)="UPON REQUEST"),OR([1]DATABASE!T477="",[1]DATABASE!T477=0)),"Active Unit no Price",""),IF(AND(OR(TRIM([1]DATABASE!Q477)="AVAILABLE",TRIM([1]DATABASE!Q477)="RESERVED",TRIM([1]DATABASE!Q477)="PRE-RESERVED",TRIM([1]DATABASE!Q477)="PSPA"),[1]DATABASE!AC477=""),"Active no Owner",""),IF(OR([1]DATABASE!F477="",[1]DATABASE!F477&lt;=0),"Missing/Invalid Area",""),IF(AND([1]DATABASE!T477&gt;0,ABS([1]DATABASE!T477-[1]DATABASE!W477-[1]DATABASE!U477-[1]DATABASE!V477)&gt;1),"Price Bridge Mismatch",""))</f>
        <v/>
      </c>
      <c r="H516" t="str">
        <f t="shared" si="10"/>
        <v>PASS</v>
      </c>
      <c r="I516" s="90">
        <f>[1]DATABASE!T477</f>
        <v>2400000</v>
      </c>
      <c r="J516" t="str">
        <f>[1]DATABASE!AC477</f>
        <v>Sandra Viegas</v>
      </c>
    </row>
    <row r="517" spans="1:10" ht="13.95" customHeight="1" x14ac:dyDescent="0.3">
      <c r="A517">
        <f>ROW([1]DATABASE!A478)</f>
        <v>478</v>
      </c>
      <c r="B517" t="str">
        <f>[1]DATABASE!AJ478</f>
        <v>Palmares</v>
      </c>
      <c r="C517" t="str">
        <f>[1]DATABASE!C478</f>
        <v>10B</v>
      </c>
      <c r="D517" t="str">
        <f>TRIM([1]DATABASE!Q478)</f>
        <v>AVAILABLE</v>
      </c>
      <c r="E517" s="82" t="str">
        <f>_xlfn.TEXTJOIN("; ",TRUE,IF([1]DATABASE!X478&lt;0,"Negative Discount",""),IF(AND([1]DATABASE!Y478&gt;[1]DATABASE!T478,[1]DATABASE!Y478&gt;0,[1]DATABASE!T478&gt;0),"Sell Price &gt; Current",""),IF(AND(TRIM([1]DATABASE!Q478)="DEED",[1]DATABASE!AA478=""),"Deeded no PSPA Date",""),IF([1]DATABASE!E478="","Missing Typology",""),IF([1]DATABASE!AJ478="","Missing Development",""))</f>
        <v/>
      </c>
      <c r="F517" s="82" t="str">
        <f>_xlfn.TEXTJOIN("; ",TRUE,IF(AND(OR(TRIM([1]DATABASE!Q478)="RESERVED",TRIM([1]DATABASE!Q478)="PRE-RESERVED",TRIM([1]DATABASE!Q478)="PSPA"),[1]DATABASE!AA478=""),"Reserved/PSPA no PSPA Date",""),IF(AND(TRIM([1]DATABASE!Q478)="AVAILABLE",[1]DATABASE!AA478&lt;&gt;""),"Available has PSPA Date",""))</f>
        <v/>
      </c>
      <c r="G517" s="82" t="str">
        <f>_xlfn.TEXTJOIN("; ",TRUE,IF(AND([1]DATABASE!T478&lt;0.8*[1]DATABASE!S478,[1]DATABASE!T478&gt;0,[1]DATABASE!S478&gt;0),"Heavy Price Cut &gt;20%",""),IF(AND(OR(TRIM([1]DATABASE!Q478)="AVAILABLE",TRIM([1]DATABASE!Q478)="UPON REQUEST"),OR([1]DATABASE!T478="",[1]DATABASE!T478=0)),"Active Unit no Price",""),IF(AND(OR(TRIM([1]DATABASE!Q478)="AVAILABLE",TRIM([1]DATABASE!Q478)="RESERVED",TRIM([1]DATABASE!Q478)="PRE-RESERVED",TRIM([1]DATABASE!Q478)="PSPA"),[1]DATABASE!AC478=""),"Active no Owner",""),IF(OR([1]DATABASE!F478="",[1]DATABASE!F478&lt;=0),"Missing/Invalid Area",""),IF(AND([1]DATABASE!T478&gt;0,ABS([1]DATABASE!T478-[1]DATABASE!W478-[1]DATABASE!U478-[1]DATABASE!V478)&gt;1),"Price Bridge Mismatch",""))</f>
        <v>Active no Owner</v>
      </c>
      <c r="H517" t="str">
        <f t="shared" si="10"/>
        <v>REVIEW</v>
      </c>
      <c r="I517" s="90">
        <f>[1]DATABASE!T478</f>
        <v>2080000</v>
      </c>
      <c r="J517">
        <f>[1]DATABASE!AC478</f>
        <v>0</v>
      </c>
    </row>
    <row r="518" spans="1:10" ht="13.95" customHeight="1" x14ac:dyDescent="0.3">
      <c r="A518">
        <f>ROW([1]DATABASE!A479)</f>
        <v>479</v>
      </c>
      <c r="B518" t="str">
        <f>[1]DATABASE!AJ479</f>
        <v>Palmares</v>
      </c>
      <c r="C518" t="str">
        <f>[1]DATABASE!C479</f>
        <v>11B</v>
      </c>
      <c r="D518" t="str">
        <f>TRIM([1]DATABASE!Q479)</f>
        <v>AVAILABLE</v>
      </c>
      <c r="E518" s="82" t="str">
        <f>_xlfn.TEXTJOIN("; ",TRUE,IF([1]DATABASE!X479&lt;0,"Negative Discount",""),IF(AND([1]DATABASE!Y479&gt;[1]DATABASE!T479,[1]DATABASE!Y479&gt;0,[1]DATABASE!T479&gt;0),"Sell Price &gt; Current",""),IF(AND(TRIM([1]DATABASE!Q479)="DEED",[1]DATABASE!AA479=""),"Deeded no PSPA Date",""),IF([1]DATABASE!E479="","Missing Typology",""),IF([1]DATABASE!AJ479="","Missing Development",""))</f>
        <v/>
      </c>
      <c r="F518" s="82" t="str">
        <f>_xlfn.TEXTJOIN("; ",TRUE,IF(AND(OR(TRIM([1]DATABASE!Q479)="RESERVED",TRIM([1]DATABASE!Q479)="PRE-RESERVED",TRIM([1]DATABASE!Q479)="PSPA"),[1]DATABASE!AA479=""),"Reserved/PSPA no PSPA Date",""),IF(AND(TRIM([1]DATABASE!Q479)="AVAILABLE",[1]DATABASE!AA479&lt;&gt;""),"Available has PSPA Date",""))</f>
        <v/>
      </c>
      <c r="G518" s="82" t="str">
        <f>_xlfn.TEXTJOIN("; ",TRUE,IF(AND([1]DATABASE!T479&lt;0.8*[1]DATABASE!S479,[1]DATABASE!T479&gt;0,[1]DATABASE!S479&gt;0),"Heavy Price Cut &gt;20%",""),IF(AND(OR(TRIM([1]DATABASE!Q479)="AVAILABLE",TRIM([1]DATABASE!Q479)="UPON REQUEST"),OR([1]DATABASE!T479="",[1]DATABASE!T479=0)),"Active Unit no Price",""),IF(AND(OR(TRIM([1]DATABASE!Q479)="AVAILABLE",TRIM([1]DATABASE!Q479)="RESERVED",TRIM([1]DATABASE!Q479)="PRE-RESERVED",TRIM([1]DATABASE!Q479)="PSPA"),[1]DATABASE!AC479=""),"Active no Owner",""),IF(OR([1]DATABASE!F479="",[1]DATABASE!F479&lt;=0),"Missing/Invalid Area",""),IF(AND([1]DATABASE!T479&gt;0,ABS([1]DATABASE!T479-[1]DATABASE!W479-[1]DATABASE!U479-[1]DATABASE!V479)&gt;1),"Price Bridge Mismatch",""))</f>
        <v>Active no Owner</v>
      </c>
      <c r="H518" t="str">
        <f t="shared" si="10"/>
        <v>REVIEW</v>
      </c>
      <c r="I518" s="90">
        <f>[1]DATABASE!T479</f>
        <v>2060000</v>
      </c>
      <c r="J518">
        <f>[1]DATABASE!AC479</f>
        <v>0</v>
      </c>
    </row>
    <row r="519" spans="1:10" ht="13.95" customHeight="1" x14ac:dyDescent="0.3">
      <c r="A519">
        <f>ROW([1]DATABASE!A480)</f>
        <v>480</v>
      </c>
      <c r="B519" t="str">
        <f>[1]DATABASE!AJ480</f>
        <v>Palmares</v>
      </c>
      <c r="C519" t="str">
        <f>[1]DATABASE!C480</f>
        <v>12B</v>
      </c>
      <c r="D519" t="str">
        <f>TRIM([1]DATABASE!Q480)</f>
        <v>AVAILABLE</v>
      </c>
      <c r="E519" s="82" t="str">
        <f>_xlfn.TEXTJOIN("; ",TRUE,IF([1]DATABASE!X480&lt;0,"Negative Discount",""),IF(AND([1]DATABASE!Y480&gt;[1]DATABASE!T480,[1]DATABASE!Y480&gt;0,[1]DATABASE!T480&gt;0),"Sell Price &gt; Current",""),IF(AND(TRIM([1]DATABASE!Q480)="DEED",[1]DATABASE!AA480=""),"Deeded no PSPA Date",""),IF([1]DATABASE!E480="","Missing Typology",""),IF([1]DATABASE!AJ480="","Missing Development",""))</f>
        <v/>
      </c>
      <c r="F519" s="82" t="str">
        <f>_xlfn.TEXTJOIN("; ",TRUE,IF(AND(OR(TRIM([1]DATABASE!Q480)="RESERVED",TRIM([1]DATABASE!Q480)="PRE-RESERVED",TRIM([1]DATABASE!Q480)="PSPA"),[1]DATABASE!AA480=""),"Reserved/PSPA no PSPA Date",""),IF(AND(TRIM([1]DATABASE!Q480)="AVAILABLE",[1]DATABASE!AA480&lt;&gt;""),"Available has PSPA Date",""))</f>
        <v/>
      </c>
      <c r="G519" s="82" t="str">
        <f>_xlfn.TEXTJOIN("; ",TRUE,IF(AND([1]DATABASE!T480&lt;0.8*[1]DATABASE!S480,[1]DATABASE!T480&gt;0,[1]DATABASE!S480&gt;0),"Heavy Price Cut &gt;20%",""),IF(AND(OR(TRIM([1]DATABASE!Q480)="AVAILABLE",TRIM([1]DATABASE!Q480)="UPON REQUEST"),OR([1]DATABASE!T480="",[1]DATABASE!T480=0)),"Active Unit no Price",""),IF(AND(OR(TRIM([1]DATABASE!Q480)="AVAILABLE",TRIM([1]DATABASE!Q480)="RESERVED",TRIM([1]DATABASE!Q480)="PRE-RESERVED",TRIM([1]DATABASE!Q480)="PSPA"),[1]DATABASE!AC480=""),"Active no Owner",""),IF(OR([1]DATABASE!F480="",[1]DATABASE!F480&lt;=0),"Missing/Invalid Area",""),IF(AND([1]DATABASE!T480&gt;0,ABS([1]DATABASE!T480-[1]DATABASE!W480-[1]DATABASE!U480-[1]DATABASE!V480)&gt;1),"Price Bridge Mismatch",""))</f>
        <v>Active no Owner</v>
      </c>
      <c r="H519" t="str">
        <f t="shared" si="10"/>
        <v>REVIEW</v>
      </c>
      <c r="I519" s="90">
        <f>[1]DATABASE!T480</f>
        <v>2050000</v>
      </c>
      <c r="J519">
        <f>[1]DATABASE!AC480</f>
        <v>0</v>
      </c>
    </row>
    <row r="520" spans="1:10" ht="13.95" customHeight="1" x14ac:dyDescent="0.3">
      <c r="A520">
        <f>ROW([1]DATABASE!A481)</f>
        <v>481</v>
      </c>
      <c r="B520" t="str">
        <f>[1]DATABASE!AJ481</f>
        <v>Palmares</v>
      </c>
      <c r="C520" t="str">
        <f>[1]DATABASE!C481</f>
        <v>13B</v>
      </c>
      <c r="D520" t="str">
        <f>TRIM([1]DATABASE!Q481)</f>
        <v>AVAILABLE</v>
      </c>
      <c r="E520" s="82" t="str">
        <f>_xlfn.TEXTJOIN("; ",TRUE,IF([1]DATABASE!X481&lt;0,"Negative Discount",""),IF(AND([1]DATABASE!Y481&gt;[1]DATABASE!T481,[1]DATABASE!Y481&gt;0,[1]DATABASE!T481&gt;0),"Sell Price &gt; Current",""),IF(AND(TRIM([1]DATABASE!Q481)="DEED",[1]DATABASE!AA481=""),"Deeded no PSPA Date",""),IF([1]DATABASE!E481="","Missing Typology",""),IF([1]DATABASE!AJ481="","Missing Development",""))</f>
        <v/>
      </c>
      <c r="F520" s="82" t="str">
        <f>_xlfn.TEXTJOIN("; ",TRUE,IF(AND(OR(TRIM([1]DATABASE!Q481)="RESERVED",TRIM([1]DATABASE!Q481)="PRE-RESERVED",TRIM([1]DATABASE!Q481)="PSPA"),[1]DATABASE!AA481=""),"Reserved/PSPA no PSPA Date",""),IF(AND(TRIM([1]DATABASE!Q481)="AVAILABLE",[1]DATABASE!AA481&lt;&gt;""),"Available has PSPA Date",""))</f>
        <v/>
      </c>
      <c r="G520" s="82" t="str">
        <f>_xlfn.TEXTJOIN("; ",TRUE,IF(AND([1]DATABASE!T481&lt;0.8*[1]DATABASE!S481,[1]DATABASE!T481&gt;0,[1]DATABASE!S481&gt;0),"Heavy Price Cut &gt;20%",""),IF(AND(OR(TRIM([1]DATABASE!Q481)="AVAILABLE",TRIM([1]DATABASE!Q481)="UPON REQUEST"),OR([1]DATABASE!T481="",[1]DATABASE!T481=0)),"Active Unit no Price",""),IF(AND(OR(TRIM([1]DATABASE!Q481)="AVAILABLE",TRIM([1]DATABASE!Q481)="RESERVED",TRIM([1]DATABASE!Q481)="PRE-RESERVED",TRIM([1]DATABASE!Q481)="PSPA"),[1]DATABASE!AC481=""),"Active no Owner",""),IF(OR([1]DATABASE!F481="",[1]DATABASE!F481&lt;=0),"Missing/Invalid Area",""),IF(AND([1]DATABASE!T481&gt;0,ABS([1]DATABASE!T481-[1]DATABASE!W481-[1]DATABASE!U481-[1]DATABASE!V481)&gt;1),"Price Bridge Mismatch",""))</f>
        <v>Active no Owner</v>
      </c>
      <c r="H520" t="str">
        <f t="shared" si="10"/>
        <v>REVIEW</v>
      </c>
      <c r="I520" s="90">
        <f>[1]DATABASE!T481</f>
        <v>1990000</v>
      </c>
      <c r="J520">
        <f>[1]DATABASE!AC481</f>
        <v>0</v>
      </c>
    </row>
    <row r="521" spans="1:10" ht="13.95" customHeight="1" x14ac:dyDescent="0.3">
      <c r="A521">
        <f>ROW([1]DATABASE!A482)</f>
        <v>482</v>
      </c>
      <c r="B521" t="str">
        <f>[1]DATABASE!AJ482</f>
        <v>The Uncommon</v>
      </c>
      <c r="C521" t="str">
        <f>[1]DATABASE!C482</f>
        <v>104</v>
      </c>
      <c r="D521" t="str">
        <f>TRIM([1]DATABASE!Q482)</f>
        <v>AVAILABLE</v>
      </c>
      <c r="E521" s="82" t="str">
        <f>_xlfn.TEXTJOIN("; ",TRUE,IF([1]DATABASE!X482&lt;0,"Negative Discount",""),IF(AND([1]DATABASE!Y482&gt;[1]DATABASE!T482,[1]DATABASE!Y482&gt;0,[1]DATABASE!T482&gt;0),"Sell Price &gt; Current",""),IF(AND(TRIM([1]DATABASE!Q482)="DEED",[1]DATABASE!AA482=""),"Deeded no PSPA Date",""),IF([1]DATABASE!E482="","Missing Typology",""),IF([1]DATABASE!AJ482="","Missing Development",""))</f>
        <v/>
      </c>
      <c r="F521" s="82" t="str">
        <f>_xlfn.TEXTJOIN("; ",TRUE,IF(AND(OR(TRIM([1]DATABASE!Q482)="RESERVED",TRIM([1]DATABASE!Q482)="PRE-RESERVED",TRIM([1]DATABASE!Q482)="PSPA"),[1]DATABASE!AA482=""),"Reserved/PSPA no PSPA Date",""),IF(AND(TRIM([1]DATABASE!Q482)="AVAILABLE",[1]DATABASE!AA482&lt;&gt;""),"Available has PSPA Date",""))</f>
        <v/>
      </c>
      <c r="G521" s="82" t="str">
        <f>_xlfn.TEXTJOIN("; ",TRUE,IF(AND([1]DATABASE!T482&lt;0.8*[1]DATABASE!S482,[1]DATABASE!T482&gt;0,[1]DATABASE!S482&gt;0),"Heavy Price Cut &gt;20%",""),IF(AND(OR(TRIM([1]DATABASE!Q482)="AVAILABLE",TRIM([1]DATABASE!Q482)="UPON REQUEST"),OR([1]DATABASE!T482="",[1]DATABASE!T482=0)),"Active Unit no Price",""),IF(AND(OR(TRIM([1]DATABASE!Q482)="AVAILABLE",TRIM([1]DATABASE!Q482)="RESERVED",TRIM([1]DATABASE!Q482)="PRE-RESERVED",TRIM([1]DATABASE!Q482)="PSPA"),[1]DATABASE!AC482=""),"Active no Owner",""),IF(OR([1]DATABASE!F482="",[1]DATABASE!F482&lt;=0),"Missing/Invalid Area",""),IF(AND([1]DATABASE!T482&gt;0,ABS([1]DATABASE!T482-[1]DATABASE!W482-[1]DATABASE!U482-[1]DATABASE!V482)&gt;1),"Price Bridge Mismatch",""))</f>
        <v/>
      </c>
      <c r="H521" t="str">
        <f t="shared" si="10"/>
        <v>PASS</v>
      </c>
      <c r="I521" s="90">
        <f>[1]DATABASE!T482</f>
        <v>980000</v>
      </c>
      <c r="J521" t="str">
        <f>[1]DATABASE!AC482</f>
        <v>Ana Damásio</v>
      </c>
    </row>
    <row r="522" spans="1:10" ht="13.95" customHeight="1" x14ac:dyDescent="0.3">
      <c r="A522">
        <f>ROW([1]DATABASE!A483)</f>
        <v>483</v>
      </c>
      <c r="B522" t="str">
        <f>[1]DATABASE!AJ483</f>
        <v>The Uncommon</v>
      </c>
      <c r="C522" t="str">
        <f>[1]DATABASE!C483</f>
        <v>105</v>
      </c>
      <c r="D522" t="str">
        <f>TRIM([1]DATABASE!Q483)</f>
        <v>AVAILABLE</v>
      </c>
      <c r="E522" s="82" t="str">
        <f>_xlfn.TEXTJOIN("; ",TRUE,IF([1]DATABASE!X483&lt;0,"Negative Discount",""),IF(AND([1]DATABASE!Y483&gt;[1]DATABASE!T483,[1]DATABASE!Y483&gt;0,[1]DATABASE!T483&gt;0),"Sell Price &gt; Current",""),IF(AND(TRIM([1]DATABASE!Q483)="DEED",[1]DATABASE!AA483=""),"Deeded no PSPA Date",""),IF([1]DATABASE!E483="","Missing Typology",""),IF([1]DATABASE!AJ483="","Missing Development",""))</f>
        <v/>
      </c>
      <c r="F522" s="82" t="str">
        <f>_xlfn.TEXTJOIN("; ",TRUE,IF(AND(OR(TRIM([1]DATABASE!Q483)="RESERVED",TRIM([1]DATABASE!Q483)="PRE-RESERVED",TRIM([1]DATABASE!Q483)="PSPA"),[1]DATABASE!AA483=""),"Reserved/PSPA no PSPA Date",""),IF(AND(TRIM([1]DATABASE!Q483)="AVAILABLE",[1]DATABASE!AA483&lt;&gt;""),"Available has PSPA Date",""))</f>
        <v/>
      </c>
      <c r="G522" s="82" t="str">
        <f>_xlfn.TEXTJOIN("; ",TRUE,IF(AND([1]DATABASE!T483&lt;0.8*[1]DATABASE!S483,[1]DATABASE!T483&gt;0,[1]DATABASE!S483&gt;0),"Heavy Price Cut &gt;20%",""),IF(AND(OR(TRIM([1]DATABASE!Q483)="AVAILABLE",TRIM([1]DATABASE!Q483)="UPON REQUEST"),OR([1]DATABASE!T483="",[1]DATABASE!T483=0)),"Active Unit no Price",""),IF(AND(OR(TRIM([1]DATABASE!Q483)="AVAILABLE",TRIM([1]DATABASE!Q483)="RESERVED",TRIM([1]DATABASE!Q483)="PRE-RESERVED",TRIM([1]DATABASE!Q483)="PSPA"),[1]DATABASE!AC483=""),"Active no Owner",""),IF(OR([1]DATABASE!F483="",[1]DATABASE!F483&lt;=0),"Missing/Invalid Area",""),IF(AND([1]DATABASE!T483&gt;0,ABS([1]DATABASE!T483-[1]DATABASE!W483-[1]DATABASE!U483-[1]DATABASE!V483)&gt;1),"Price Bridge Mismatch",""))</f>
        <v/>
      </c>
      <c r="H522" t="str">
        <f t="shared" si="10"/>
        <v>PASS</v>
      </c>
      <c r="I522" s="90">
        <f>[1]DATABASE!T483</f>
        <v>1060000</v>
      </c>
      <c r="J522" t="str">
        <f>[1]DATABASE!AC483</f>
        <v>Ana Damásio</v>
      </c>
    </row>
    <row r="523" spans="1:10" ht="13.95" customHeight="1" x14ac:dyDescent="0.3">
      <c r="A523">
        <f>ROW([1]DATABASE!A484)</f>
        <v>484</v>
      </c>
      <c r="B523" t="str">
        <f>[1]DATABASE!AJ484</f>
        <v>The Uncommon</v>
      </c>
      <c r="C523" t="str">
        <f>[1]DATABASE!C484</f>
        <v>106</v>
      </c>
      <c r="D523" t="str">
        <f>TRIM([1]DATABASE!Q484)</f>
        <v>AVAILABLE</v>
      </c>
      <c r="E523" s="82" t="str">
        <f>_xlfn.TEXTJOIN("; ",TRUE,IF([1]DATABASE!X484&lt;0,"Negative Discount",""),IF(AND([1]DATABASE!Y484&gt;[1]DATABASE!T484,[1]DATABASE!Y484&gt;0,[1]DATABASE!T484&gt;0),"Sell Price &gt; Current",""),IF(AND(TRIM([1]DATABASE!Q484)="DEED",[1]DATABASE!AA484=""),"Deeded no PSPA Date",""),IF([1]DATABASE!E484="","Missing Typology",""),IF([1]DATABASE!AJ484="","Missing Development",""))</f>
        <v/>
      </c>
      <c r="F523" s="82" t="str">
        <f>_xlfn.TEXTJOIN("; ",TRUE,IF(AND(OR(TRIM([1]DATABASE!Q484)="RESERVED",TRIM([1]DATABASE!Q484)="PRE-RESERVED",TRIM([1]DATABASE!Q484)="PSPA"),[1]DATABASE!AA484=""),"Reserved/PSPA no PSPA Date",""),IF(AND(TRIM([1]DATABASE!Q484)="AVAILABLE",[1]DATABASE!AA484&lt;&gt;""),"Available has PSPA Date",""))</f>
        <v/>
      </c>
      <c r="G523" s="82" t="str">
        <f>_xlfn.TEXTJOIN("; ",TRUE,IF(AND([1]DATABASE!T484&lt;0.8*[1]DATABASE!S484,[1]DATABASE!T484&gt;0,[1]DATABASE!S484&gt;0),"Heavy Price Cut &gt;20%",""),IF(AND(OR(TRIM([1]DATABASE!Q484)="AVAILABLE",TRIM([1]DATABASE!Q484)="UPON REQUEST"),OR([1]DATABASE!T484="",[1]DATABASE!T484=0)),"Active Unit no Price",""),IF(AND(OR(TRIM([1]DATABASE!Q484)="AVAILABLE",TRIM([1]DATABASE!Q484)="RESERVED",TRIM([1]DATABASE!Q484)="PRE-RESERVED",TRIM([1]DATABASE!Q484)="PSPA"),[1]DATABASE!AC484=""),"Active no Owner",""),IF(OR([1]DATABASE!F484="",[1]DATABASE!F484&lt;=0),"Missing/Invalid Area",""),IF(AND([1]DATABASE!T484&gt;0,ABS([1]DATABASE!T484-[1]DATABASE!W484-[1]DATABASE!U484-[1]DATABASE!V484)&gt;1),"Price Bridge Mismatch",""))</f>
        <v/>
      </c>
      <c r="H523" t="str">
        <f t="shared" si="10"/>
        <v>PASS</v>
      </c>
      <c r="I523" s="90">
        <f>[1]DATABASE!T484</f>
        <v>1150000</v>
      </c>
      <c r="J523" t="str">
        <f>[1]DATABASE!AC484</f>
        <v>Ana Damásio</v>
      </c>
    </row>
    <row r="524" spans="1:10" ht="13.95" customHeight="1" x14ac:dyDescent="0.3">
      <c r="A524">
        <f>ROW([1]DATABASE!A485)</f>
        <v>485</v>
      </c>
      <c r="B524" t="str">
        <f>[1]DATABASE!AJ485</f>
        <v>The Uncommon</v>
      </c>
      <c r="C524" t="str">
        <f>[1]DATABASE!C485</f>
        <v>107</v>
      </c>
      <c r="D524" t="str">
        <f>TRIM([1]DATABASE!Q485)</f>
        <v>AVAILABLE</v>
      </c>
      <c r="E524" s="82" t="str">
        <f>_xlfn.TEXTJOIN("; ",TRUE,IF([1]DATABASE!X485&lt;0,"Negative Discount",""),IF(AND([1]DATABASE!Y485&gt;[1]DATABASE!T485,[1]DATABASE!Y485&gt;0,[1]DATABASE!T485&gt;0),"Sell Price &gt; Current",""),IF(AND(TRIM([1]DATABASE!Q485)="DEED",[1]DATABASE!AA485=""),"Deeded no PSPA Date",""),IF([1]DATABASE!E485="","Missing Typology",""),IF([1]DATABASE!AJ485="","Missing Development",""))</f>
        <v/>
      </c>
      <c r="F524" s="82" t="str">
        <f>_xlfn.TEXTJOIN("; ",TRUE,IF(AND(OR(TRIM([1]DATABASE!Q485)="RESERVED",TRIM([1]DATABASE!Q485)="PRE-RESERVED",TRIM([1]DATABASE!Q485)="PSPA"),[1]DATABASE!AA485=""),"Reserved/PSPA no PSPA Date",""),IF(AND(TRIM([1]DATABASE!Q485)="AVAILABLE",[1]DATABASE!AA485&lt;&gt;""),"Available has PSPA Date",""))</f>
        <v/>
      </c>
      <c r="G524" s="82" t="str">
        <f>_xlfn.TEXTJOIN("; ",TRUE,IF(AND([1]DATABASE!T485&lt;0.8*[1]DATABASE!S485,[1]DATABASE!T485&gt;0,[1]DATABASE!S485&gt;0),"Heavy Price Cut &gt;20%",""),IF(AND(OR(TRIM([1]DATABASE!Q485)="AVAILABLE",TRIM([1]DATABASE!Q485)="UPON REQUEST"),OR([1]DATABASE!T485="",[1]DATABASE!T485=0)),"Active Unit no Price",""),IF(AND(OR(TRIM([1]DATABASE!Q485)="AVAILABLE",TRIM([1]DATABASE!Q485)="RESERVED",TRIM([1]DATABASE!Q485)="PRE-RESERVED",TRIM([1]DATABASE!Q485)="PSPA"),[1]DATABASE!AC485=""),"Active no Owner",""),IF(OR([1]DATABASE!F485="",[1]DATABASE!F485&lt;=0),"Missing/Invalid Area",""),IF(AND([1]DATABASE!T485&gt;0,ABS([1]DATABASE!T485-[1]DATABASE!W485-[1]DATABASE!U485-[1]DATABASE!V485)&gt;1),"Price Bridge Mismatch",""))</f>
        <v/>
      </c>
      <c r="H524" t="str">
        <f t="shared" si="10"/>
        <v>PASS</v>
      </c>
      <c r="I524" s="90">
        <f>[1]DATABASE!T485</f>
        <v>1230000</v>
      </c>
      <c r="J524" t="str">
        <f>[1]DATABASE!AC485</f>
        <v>Ana Damásio</v>
      </c>
    </row>
    <row r="525" spans="1:10" ht="13.95" customHeight="1" x14ac:dyDescent="0.3">
      <c r="A525">
        <f>ROW([1]DATABASE!A486)</f>
        <v>486</v>
      </c>
      <c r="B525" t="str">
        <f>[1]DATABASE!AJ486</f>
        <v>The Uncommon</v>
      </c>
      <c r="C525" t="str">
        <f>[1]DATABASE!C486</f>
        <v>108</v>
      </c>
      <c r="D525" t="str">
        <f>TRIM([1]DATABASE!Q486)</f>
        <v>AVAILABLE</v>
      </c>
      <c r="E525" s="82" t="str">
        <f>_xlfn.TEXTJOIN("; ",TRUE,IF([1]DATABASE!X486&lt;0,"Negative Discount",""),IF(AND([1]DATABASE!Y486&gt;[1]DATABASE!T486,[1]DATABASE!Y486&gt;0,[1]DATABASE!T486&gt;0),"Sell Price &gt; Current",""),IF(AND(TRIM([1]DATABASE!Q486)="DEED",[1]DATABASE!AA486=""),"Deeded no PSPA Date",""),IF([1]DATABASE!E486="","Missing Typology",""),IF([1]DATABASE!AJ486="","Missing Development",""))</f>
        <v/>
      </c>
      <c r="F525" s="82" t="str">
        <f>_xlfn.TEXTJOIN("; ",TRUE,IF(AND(OR(TRIM([1]DATABASE!Q486)="RESERVED",TRIM([1]DATABASE!Q486)="PRE-RESERVED",TRIM([1]DATABASE!Q486)="PSPA"),[1]DATABASE!AA486=""),"Reserved/PSPA no PSPA Date",""),IF(AND(TRIM([1]DATABASE!Q486)="AVAILABLE",[1]DATABASE!AA486&lt;&gt;""),"Available has PSPA Date",""))</f>
        <v/>
      </c>
      <c r="G525" s="82" t="str">
        <f>_xlfn.TEXTJOIN("; ",TRUE,IF(AND([1]DATABASE!T486&lt;0.8*[1]DATABASE!S486,[1]DATABASE!T486&gt;0,[1]DATABASE!S486&gt;0),"Heavy Price Cut &gt;20%",""),IF(AND(OR(TRIM([1]DATABASE!Q486)="AVAILABLE",TRIM([1]DATABASE!Q486)="UPON REQUEST"),OR([1]DATABASE!T486="",[1]DATABASE!T486=0)),"Active Unit no Price",""),IF(AND(OR(TRIM([1]DATABASE!Q486)="AVAILABLE",TRIM([1]DATABASE!Q486)="RESERVED",TRIM([1]DATABASE!Q486)="PRE-RESERVED",TRIM([1]DATABASE!Q486)="PSPA"),[1]DATABASE!AC486=""),"Active no Owner",""),IF(OR([1]DATABASE!F486="",[1]DATABASE!F486&lt;=0),"Missing/Invalid Area",""),IF(AND([1]DATABASE!T486&gt;0,ABS([1]DATABASE!T486-[1]DATABASE!W486-[1]DATABASE!U486-[1]DATABASE!V486)&gt;1),"Price Bridge Mismatch",""))</f>
        <v/>
      </c>
      <c r="H525" t="str">
        <f t="shared" si="10"/>
        <v>PASS</v>
      </c>
      <c r="I525" s="90">
        <f>[1]DATABASE!T486</f>
        <v>1290000</v>
      </c>
      <c r="J525" t="str">
        <f>[1]DATABASE!AC486</f>
        <v>Ana Damásio</v>
      </c>
    </row>
    <row r="526" spans="1:10" ht="13.95" customHeight="1" x14ac:dyDescent="0.3">
      <c r="A526">
        <f>ROW([1]DATABASE!A487)</f>
        <v>487</v>
      </c>
      <c r="B526" t="str">
        <f>[1]DATABASE!AJ487</f>
        <v>The Uncommon</v>
      </c>
      <c r="C526" t="str">
        <f>[1]DATABASE!C487</f>
        <v>109</v>
      </c>
      <c r="D526" t="str">
        <f>TRIM([1]DATABASE!Q487)</f>
        <v>AVAILABLE</v>
      </c>
      <c r="E526" s="82" t="str">
        <f>_xlfn.TEXTJOIN("; ",TRUE,IF([1]DATABASE!X487&lt;0,"Negative Discount",""),IF(AND([1]DATABASE!Y487&gt;[1]DATABASE!T487,[1]DATABASE!Y487&gt;0,[1]DATABASE!T487&gt;0),"Sell Price &gt; Current",""),IF(AND(TRIM([1]DATABASE!Q487)="DEED",[1]DATABASE!AA487=""),"Deeded no PSPA Date",""),IF([1]DATABASE!E487="","Missing Typology",""),IF([1]DATABASE!AJ487="","Missing Development",""))</f>
        <v/>
      </c>
      <c r="F526" s="82" t="str">
        <f>_xlfn.TEXTJOIN("; ",TRUE,IF(AND(OR(TRIM([1]DATABASE!Q487)="RESERVED",TRIM([1]DATABASE!Q487)="PRE-RESERVED",TRIM([1]DATABASE!Q487)="PSPA"),[1]DATABASE!AA487=""),"Reserved/PSPA no PSPA Date",""),IF(AND(TRIM([1]DATABASE!Q487)="AVAILABLE",[1]DATABASE!AA487&lt;&gt;""),"Available has PSPA Date",""))</f>
        <v/>
      </c>
      <c r="G526" s="82" t="str">
        <f>_xlfn.TEXTJOIN("; ",TRUE,IF(AND([1]DATABASE!T487&lt;0.8*[1]DATABASE!S487,[1]DATABASE!T487&gt;0,[1]DATABASE!S487&gt;0),"Heavy Price Cut &gt;20%",""),IF(AND(OR(TRIM([1]DATABASE!Q487)="AVAILABLE",TRIM([1]DATABASE!Q487)="UPON REQUEST"),OR([1]DATABASE!T487="",[1]DATABASE!T487=0)),"Active Unit no Price",""),IF(AND(OR(TRIM([1]DATABASE!Q487)="AVAILABLE",TRIM([1]DATABASE!Q487)="RESERVED",TRIM([1]DATABASE!Q487)="PRE-RESERVED",TRIM([1]DATABASE!Q487)="PSPA"),[1]DATABASE!AC487=""),"Active no Owner",""),IF(OR([1]DATABASE!F487="",[1]DATABASE!F487&lt;=0),"Missing/Invalid Area",""),IF(AND([1]DATABASE!T487&gt;0,ABS([1]DATABASE!T487-[1]DATABASE!W487-[1]DATABASE!U487-[1]DATABASE!V487)&gt;1),"Price Bridge Mismatch",""))</f>
        <v/>
      </c>
      <c r="H526" t="str">
        <f t="shared" si="10"/>
        <v>PASS</v>
      </c>
      <c r="I526" s="90">
        <f>[1]DATABASE!T487</f>
        <v>1350000</v>
      </c>
      <c r="J526" t="str">
        <f>[1]DATABASE!AC487</f>
        <v>Ana Damásio</v>
      </c>
    </row>
    <row r="527" spans="1:10" ht="13.95" customHeight="1" x14ac:dyDescent="0.3">
      <c r="A527">
        <f>ROW([1]DATABASE!A488)</f>
        <v>488</v>
      </c>
      <c r="B527" t="str">
        <f>[1]DATABASE!AJ488</f>
        <v>Aroeira Collections</v>
      </c>
      <c r="C527" t="str">
        <f>[1]DATABASE!C488</f>
        <v>201B</v>
      </c>
      <c r="D527" t="str">
        <f>TRIM([1]DATABASE!Q488)</f>
        <v>AVAILABLE</v>
      </c>
      <c r="E527" s="82" t="str">
        <f>_xlfn.TEXTJOIN("; ",TRUE,IF([1]DATABASE!X488&lt;0,"Negative Discount",""),IF(AND([1]DATABASE!Y488&gt;[1]DATABASE!T488,[1]DATABASE!Y488&gt;0,[1]DATABASE!T488&gt;0),"Sell Price &gt; Current",""),IF(AND(TRIM([1]DATABASE!Q488)="DEED",[1]DATABASE!AA488=""),"Deeded no PSPA Date",""),IF([1]DATABASE!E488="","Missing Typology",""),IF([1]DATABASE!AJ488="","Missing Development",""))</f>
        <v/>
      </c>
      <c r="F527" s="82" t="str">
        <f>_xlfn.TEXTJOIN("; ",TRUE,IF(AND(OR(TRIM([1]DATABASE!Q488)="RESERVED",TRIM([1]DATABASE!Q488)="PRE-RESERVED",TRIM([1]DATABASE!Q488)="PSPA"),[1]DATABASE!AA488=""),"Reserved/PSPA no PSPA Date",""),IF(AND(TRIM([1]DATABASE!Q488)="AVAILABLE",[1]DATABASE!AA488&lt;&gt;""),"Available has PSPA Date",""))</f>
        <v/>
      </c>
      <c r="G527" s="82" t="str">
        <f>_xlfn.TEXTJOIN("; ",TRUE,IF(AND([1]DATABASE!T488&lt;0.8*[1]DATABASE!S488,[1]DATABASE!T488&gt;0,[1]DATABASE!S488&gt;0),"Heavy Price Cut &gt;20%",""),IF(AND(OR(TRIM([1]DATABASE!Q488)="AVAILABLE",TRIM([1]DATABASE!Q488)="UPON REQUEST"),OR([1]DATABASE!T488="",[1]DATABASE!T488=0)),"Active Unit no Price",""),IF(AND(OR(TRIM([1]DATABASE!Q488)="AVAILABLE",TRIM([1]DATABASE!Q488)="RESERVED",TRIM([1]DATABASE!Q488)="PRE-RESERVED",TRIM([1]DATABASE!Q488)="PSPA"),[1]DATABASE!AC488=""),"Active no Owner",""),IF(OR([1]DATABASE!F488="",[1]DATABASE!F488&lt;=0),"Missing/Invalid Area",""),IF(AND([1]DATABASE!T488&gt;0,ABS([1]DATABASE!T488-[1]DATABASE!W488-[1]DATABASE!U488-[1]DATABASE!V488)&gt;1),"Price Bridge Mismatch",""))</f>
        <v/>
      </c>
      <c r="H527" t="str">
        <f t="shared" si="10"/>
        <v>PASS</v>
      </c>
      <c r="I527" s="90">
        <f>[1]DATABASE!T488</f>
        <v>640000</v>
      </c>
      <c r="J527" t="str">
        <f>[1]DATABASE!AC488</f>
        <v>João Gameiro</v>
      </c>
    </row>
    <row r="528" spans="1:10" ht="13.95" customHeight="1" x14ac:dyDescent="0.3">
      <c r="A528">
        <f>ROW([1]DATABASE!A489)</f>
        <v>489</v>
      </c>
      <c r="B528" t="str">
        <f>[1]DATABASE!AJ489</f>
        <v>Aroeira Collections</v>
      </c>
      <c r="C528" t="str">
        <f>[1]DATABASE!C489</f>
        <v>201B</v>
      </c>
      <c r="D528" t="str">
        <f>TRIM([1]DATABASE!Q489)</f>
        <v>NOT FOR SALE</v>
      </c>
      <c r="E528" s="82" t="str">
        <f>_xlfn.TEXTJOIN("; ",TRUE,IF([1]DATABASE!X489&lt;0,"Negative Discount",""),IF(AND([1]DATABASE!Y489&gt;[1]DATABASE!T489,[1]DATABASE!Y489&gt;0,[1]DATABASE!T489&gt;0),"Sell Price &gt; Current",""),IF(AND(TRIM([1]DATABASE!Q489)="DEED",[1]DATABASE!AA489=""),"Deeded no PSPA Date",""),IF([1]DATABASE!E489="","Missing Typology",""),IF([1]DATABASE!AJ489="","Missing Development",""))</f>
        <v/>
      </c>
      <c r="F528" s="82" t="str">
        <f>_xlfn.TEXTJOIN("; ",TRUE,IF(AND(OR(TRIM([1]DATABASE!Q489)="RESERVED",TRIM([1]DATABASE!Q489)="PRE-RESERVED",TRIM([1]DATABASE!Q489)="PSPA"),[1]DATABASE!AA489=""),"Reserved/PSPA no PSPA Date",""),IF(AND(TRIM([1]DATABASE!Q489)="AVAILABLE",[1]DATABASE!AA489&lt;&gt;""),"Available has PSPA Date",""))</f>
        <v/>
      </c>
      <c r="G528" s="82" t="str">
        <f>_xlfn.TEXTJOIN("; ",TRUE,IF(AND([1]DATABASE!T489&lt;0.8*[1]DATABASE!S489,[1]DATABASE!T489&gt;0,[1]DATABASE!S489&gt;0),"Heavy Price Cut &gt;20%",""),IF(AND(OR(TRIM([1]DATABASE!Q489)="AVAILABLE",TRIM([1]DATABASE!Q489)="UPON REQUEST"),OR([1]DATABASE!T489="",[1]DATABASE!T489=0)),"Active Unit no Price",""),IF(AND(OR(TRIM([1]DATABASE!Q489)="AVAILABLE",TRIM([1]DATABASE!Q489)="RESERVED",TRIM([1]DATABASE!Q489)="PRE-RESERVED",TRIM([1]DATABASE!Q489)="PSPA"),[1]DATABASE!AC489=""),"Active no Owner",""),IF(OR([1]DATABASE!F489="",[1]DATABASE!F489&lt;=0),"Missing/Invalid Area",""),IF(AND([1]DATABASE!T489&gt;0,ABS([1]DATABASE!T489-[1]DATABASE!W489-[1]DATABASE!U489-[1]DATABASE!V489)&gt;1),"Price Bridge Mismatch",""))</f>
        <v/>
      </c>
      <c r="H528" t="str">
        <f t="shared" si="10"/>
        <v>PASS</v>
      </c>
      <c r="I528" s="90">
        <f>[1]DATABASE!T489</f>
        <v>765000</v>
      </c>
      <c r="J528" t="str">
        <f>[1]DATABASE!AC489</f>
        <v>João Gameiro</v>
      </c>
    </row>
    <row r="529" spans="1:10" ht="13.95" customHeight="1" x14ac:dyDescent="0.3">
      <c r="A529">
        <f>ROW([1]DATABASE!A490)</f>
        <v>490</v>
      </c>
      <c r="B529" t="str">
        <f>[1]DATABASE!AJ490</f>
        <v>Aroeira Collections</v>
      </c>
      <c r="C529" t="str">
        <f>[1]DATABASE!C490</f>
        <v>202A</v>
      </c>
      <c r="D529" t="str">
        <f>TRIM([1]DATABASE!Q490)</f>
        <v>AVAILABLE</v>
      </c>
      <c r="E529" s="82" t="str">
        <f>_xlfn.TEXTJOIN("; ",TRUE,IF([1]DATABASE!X490&lt;0,"Negative Discount",""),IF(AND([1]DATABASE!Y490&gt;[1]DATABASE!T490,[1]DATABASE!Y490&gt;0,[1]DATABASE!T490&gt;0),"Sell Price &gt; Current",""),IF(AND(TRIM([1]DATABASE!Q490)="DEED",[1]DATABASE!AA490=""),"Deeded no PSPA Date",""),IF([1]DATABASE!E490="","Missing Typology",""),IF([1]DATABASE!AJ490="","Missing Development",""))</f>
        <v/>
      </c>
      <c r="F529" s="82" t="str">
        <f>_xlfn.TEXTJOIN("; ",TRUE,IF(AND(OR(TRIM([1]DATABASE!Q490)="RESERVED",TRIM([1]DATABASE!Q490)="PRE-RESERVED",TRIM([1]DATABASE!Q490)="PSPA"),[1]DATABASE!AA490=""),"Reserved/PSPA no PSPA Date",""),IF(AND(TRIM([1]DATABASE!Q490)="AVAILABLE",[1]DATABASE!AA490&lt;&gt;""),"Available has PSPA Date",""))</f>
        <v/>
      </c>
      <c r="G529" s="82" t="str">
        <f>_xlfn.TEXTJOIN("; ",TRUE,IF(AND([1]DATABASE!T490&lt;0.8*[1]DATABASE!S490,[1]DATABASE!T490&gt;0,[1]DATABASE!S490&gt;0),"Heavy Price Cut &gt;20%",""),IF(AND(OR(TRIM([1]DATABASE!Q490)="AVAILABLE",TRIM([1]DATABASE!Q490)="UPON REQUEST"),OR([1]DATABASE!T490="",[1]DATABASE!T490=0)),"Active Unit no Price",""),IF(AND(OR(TRIM([1]DATABASE!Q490)="AVAILABLE",TRIM([1]DATABASE!Q490)="RESERVED",TRIM([1]DATABASE!Q490)="PRE-RESERVED",TRIM([1]DATABASE!Q490)="PSPA"),[1]DATABASE!AC490=""),"Active no Owner",""),IF(OR([1]DATABASE!F490="",[1]DATABASE!F490&lt;=0),"Missing/Invalid Area",""),IF(AND([1]DATABASE!T490&gt;0,ABS([1]DATABASE!T490-[1]DATABASE!W490-[1]DATABASE!U490-[1]DATABASE!V490)&gt;1),"Price Bridge Mismatch",""))</f>
        <v/>
      </c>
      <c r="H529" t="str">
        <f t="shared" si="10"/>
        <v>PASS</v>
      </c>
      <c r="I529" s="90">
        <f>[1]DATABASE!T490</f>
        <v>435000</v>
      </c>
      <c r="J529" t="str">
        <f>[1]DATABASE!AC490</f>
        <v>João Gameiro</v>
      </c>
    </row>
    <row r="530" spans="1:10" ht="13.95" customHeight="1" x14ac:dyDescent="0.3">
      <c r="A530">
        <f>ROW([1]DATABASE!A491)</f>
        <v>491</v>
      </c>
      <c r="B530" t="str">
        <f>[1]DATABASE!AJ491</f>
        <v>Aroeira Collections</v>
      </c>
      <c r="C530" t="str">
        <f>[1]DATABASE!C491</f>
        <v>202B</v>
      </c>
      <c r="D530" t="str">
        <f>TRIM([1]DATABASE!Q491)</f>
        <v>NOT FOR SALE</v>
      </c>
      <c r="E530" s="82" t="str">
        <f>_xlfn.TEXTJOIN("; ",TRUE,IF([1]DATABASE!X491&lt;0,"Negative Discount",""),IF(AND([1]DATABASE!Y491&gt;[1]DATABASE!T491,[1]DATABASE!Y491&gt;0,[1]DATABASE!T491&gt;0),"Sell Price &gt; Current",""),IF(AND(TRIM([1]DATABASE!Q491)="DEED",[1]DATABASE!AA491=""),"Deeded no PSPA Date",""),IF([1]DATABASE!E491="","Missing Typology",""),IF([1]DATABASE!AJ491="","Missing Development",""))</f>
        <v/>
      </c>
      <c r="F530" s="82" t="str">
        <f>_xlfn.TEXTJOIN("; ",TRUE,IF(AND(OR(TRIM([1]DATABASE!Q491)="RESERVED",TRIM([1]DATABASE!Q491)="PRE-RESERVED",TRIM([1]DATABASE!Q491)="PSPA"),[1]DATABASE!AA491=""),"Reserved/PSPA no PSPA Date",""),IF(AND(TRIM([1]DATABASE!Q491)="AVAILABLE",[1]DATABASE!AA491&lt;&gt;""),"Available has PSPA Date",""))</f>
        <v/>
      </c>
      <c r="G530" s="82" t="str">
        <f>_xlfn.TEXTJOIN("; ",TRUE,IF(AND([1]DATABASE!T491&lt;0.8*[1]DATABASE!S491,[1]DATABASE!T491&gt;0,[1]DATABASE!S491&gt;0),"Heavy Price Cut &gt;20%",""),IF(AND(OR(TRIM([1]DATABASE!Q491)="AVAILABLE",TRIM([1]DATABASE!Q491)="UPON REQUEST"),OR([1]DATABASE!T491="",[1]DATABASE!T491=0)),"Active Unit no Price",""),IF(AND(OR(TRIM([1]DATABASE!Q491)="AVAILABLE",TRIM([1]DATABASE!Q491)="RESERVED",TRIM([1]DATABASE!Q491)="PRE-RESERVED",TRIM([1]DATABASE!Q491)="PSPA"),[1]DATABASE!AC491=""),"Active no Owner",""),IF(OR([1]DATABASE!F491="",[1]DATABASE!F491&lt;=0),"Missing/Invalid Area",""),IF(AND([1]DATABASE!T491&gt;0,ABS([1]DATABASE!T491-[1]DATABASE!W491-[1]DATABASE!U491-[1]DATABASE!V491)&gt;1),"Price Bridge Mismatch",""))</f>
        <v/>
      </c>
      <c r="H530" t="str">
        <f t="shared" si="10"/>
        <v>PASS</v>
      </c>
      <c r="I530" s="90">
        <f>[1]DATABASE!T491</f>
        <v>755000</v>
      </c>
      <c r="J530" t="str">
        <f>[1]DATABASE!AC491</f>
        <v>João Gameiro</v>
      </c>
    </row>
    <row r="531" spans="1:10" ht="13.95" customHeight="1" x14ac:dyDescent="0.3">
      <c r="A531">
        <f>ROW([1]DATABASE!A492)</f>
        <v>492</v>
      </c>
      <c r="B531" t="str">
        <f>[1]DATABASE!AJ492</f>
        <v>Aroeira Collections</v>
      </c>
      <c r="C531" t="str">
        <f>[1]DATABASE!C492</f>
        <v>203A</v>
      </c>
      <c r="D531" t="str">
        <f>TRIM([1]DATABASE!Q492)</f>
        <v>AVAILABLE</v>
      </c>
      <c r="E531" s="82" t="str">
        <f>_xlfn.TEXTJOIN("; ",TRUE,IF([1]DATABASE!X492&lt;0,"Negative Discount",""),IF(AND([1]DATABASE!Y492&gt;[1]DATABASE!T492,[1]DATABASE!Y492&gt;0,[1]DATABASE!T492&gt;0),"Sell Price &gt; Current",""),IF(AND(TRIM([1]DATABASE!Q492)="DEED",[1]DATABASE!AA492=""),"Deeded no PSPA Date",""),IF([1]DATABASE!E492="","Missing Typology",""),IF([1]DATABASE!AJ492="","Missing Development",""))</f>
        <v/>
      </c>
      <c r="F531" s="82" t="str">
        <f>_xlfn.TEXTJOIN("; ",TRUE,IF(AND(OR(TRIM([1]DATABASE!Q492)="RESERVED",TRIM([1]DATABASE!Q492)="PRE-RESERVED",TRIM([1]DATABASE!Q492)="PSPA"),[1]DATABASE!AA492=""),"Reserved/PSPA no PSPA Date",""),IF(AND(TRIM([1]DATABASE!Q492)="AVAILABLE",[1]DATABASE!AA492&lt;&gt;""),"Available has PSPA Date",""))</f>
        <v/>
      </c>
      <c r="G531" s="82" t="str">
        <f>_xlfn.TEXTJOIN("; ",TRUE,IF(AND([1]DATABASE!T492&lt;0.8*[1]DATABASE!S492,[1]DATABASE!T492&gt;0,[1]DATABASE!S492&gt;0),"Heavy Price Cut &gt;20%",""),IF(AND(OR(TRIM([1]DATABASE!Q492)="AVAILABLE",TRIM([1]DATABASE!Q492)="UPON REQUEST"),OR([1]DATABASE!T492="",[1]DATABASE!T492=0)),"Active Unit no Price",""),IF(AND(OR(TRIM([1]DATABASE!Q492)="AVAILABLE",TRIM([1]DATABASE!Q492)="RESERVED",TRIM([1]DATABASE!Q492)="PRE-RESERVED",TRIM([1]DATABASE!Q492)="PSPA"),[1]DATABASE!AC492=""),"Active no Owner",""),IF(OR([1]DATABASE!F492="",[1]DATABASE!F492&lt;=0),"Missing/Invalid Area",""),IF(AND([1]DATABASE!T492&gt;0,ABS([1]DATABASE!T492-[1]DATABASE!W492-[1]DATABASE!U492-[1]DATABASE!V492)&gt;1),"Price Bridge Mismatch",""))</f>
        <v/>
      </c>
      <c r="H531" t="str">
        <f t="shared" si="10"/>
        <v>PASS</v>
      </c>
      <c r="I531" s="90">
        <f>[1]DATABASE!T492</f>
        <v>435000</v>
      </c>
      <c r="J531" t="str">
        <f>[1]DATABASE!AC492</f>
        <v>João Gameiro</v>
      </c>
    </row>
    <row r="532" spans="1:10" ht="13.95" customHeight="1" x14ac:dyDescent="0.3">
      <c r="A532">
        <f>ROW([1]DATABASE!A493)</f>
        <v>493</v>
      </c>
      <c r="B532" t="str">
        <f>[1]DATABASE!AJ493</f>
        <v>Aroeira Collections</v>
      </c>
      <c r="C532" t="str">
        <f>[1]DATABASE!C493</f>
        <v>203B</v>
      </c>
      <c r="D532" t="str">
        <f>TRIM([1]DATABASE!Q493)</f>
        <v>NOT FOR SALE</v>
      </c>
      <c r="E532" s="82" t="str">
        <f>_xlfn.TEXTJOIN("; ",TRUE,IF([1]DATABASE!X493&lt;0,"Negative Discount",""),IF(AND([1]DATABASE!Y493&gt;[1]DATABASE!T493,[1]DATABASE!Y493&gt;0,[1]DATABASE!T493&gt;0),"Sell Price &gt; Current",""),IF(AND(TRIM([1]DATABASE!Q493)="DEED",[1]DATABASE!AA493=""),"Deeded no PSPA Date",""),IF([1]DATABASE!E493="","Missing Typology",""),IF([1]DATABASE!AJ493="","Missing Development",""))</f>
        <v/>
      </c>
      <c r="F532" s="82" t="str">
        <f>_xlfn.TEXTJOIN("; ",TRUE,IF(AND(OR(TRIM([1]DATABASE!Q493)="RESERVED",TRIM([1]DATABASE!Q493)="PRE-RESERVED",TRIM([1]DATABASE!Q493)="PSPA"),[1]DATABASE!AA493=""),"Reserved/PSPA no PSPA Date",""),IF(AND(TRIM([1]DATABASE!Q493)="AVAILABLE",[1]DATABASE!AA493&lt;&gt;""),"Available has PSPA Date",""))</f>
        <v/>
      </c>
      <c r="G532" s="82" t="str">
        <f>_xlfn.TEXTJOIN("; ",TRUE,IF(AND([1]DATABASE!T493&lt;0.8*[1]DATABASE!S493,[1]DATABASE!T493&gt;0,[1]DATABASE!S493&gt;0),"Heavy Price Cut &gt;20%",""),IF(AND(OR(TRIM([1]DATABASE!Q493)="AVAILABLE",TRIM([1]DATABASE!Q493)="UPON REQUEST"),OR([1]DATABASE!T493="",[1]DATABASE!T493=0)),"Active Unit no Price",""),IF(AND(OR(TRIM([1]DATABASE!Q493)="AVAILABLE",TRIM([1]DATABASE!Q493)="RESERVED",TRIM([1]DATABASE!Q493)="PRE-RESERVED",TRIM([1]DATABASE!Q493)="PSPA"),[1]DATABASE!AC493=""),"Active no Owner",""),IF(OR([1]DATABASE!F493="",[1]DATABASE!F493&lt;=0),"Missing/Invalid Area",""),IF(AND([1]DATABASE!T493&gt;0,ABS([1]DATABASE!T493-[1]DATABASE!W493-[1]DATABASE!U493-[1]DATABASE!V493)&gt;1),"Price Bridge Mismatch",""))</f>
        <v/>
      </c>
      <c r="H532" t="str">
        <f t="shared" si="10"/>
        <v>PASS</v>
      </c>
      <c r="I532" s="90">
        <f>[1]DATABASE!T493</f>
        <v>755000</v>
      </c>
      <c r="J532" t="str">
        <f>[1]DATABASE!AC493</f>
        <v>João Gameiro</v>
      </c>
    </row>
    <row r="533" spans="1:10" ht="13.95" customHeight="1" x14ac:dyDescent="0.3">
      <c r="A533">
        <f>ROW([1]DATABASE!A494)</f>
        <v>494</v>
      </c>
      <c r="B533" t="str">
        <f>[1]DATABASE!AJ494</f>
        <v>Aroeira Collections</v>
      </c>
      <c r="C533" t="str">
        <f>[1]DATABASE!C494</f>
        <v>204A</v>
      </c>
      <c r="D533" t="str">
        <f>TRIM([1]DATABASE!Q494)</f>
        <v>AVAILABLE</v>
      </c>
      <c r="E533" s="82" t="str">
        <f>_xlfn.TEXTJOIN("; ",TRUE,IF([1]DATABASE!X494&lt;0,"Negative Discount",""),IF(AND([1]DATABASE!Y494&gt;[1]DATABASE!T494,[1]DATABASE!Y494&gt;0,[1]DATABASE!T494&gt;0),"Sell Price &gt; Current",""),IF(AND(TRIM([1]DATABASE!Q494)="DEED",[1]DATABASE!AA494=""),"Deeded no PSPA Date",""),IF([1]DATABASE!E494="","Missing Typology",""),IF([1]DATABASE!AJ494="","Missing Development",""))</f>
        <v/>
      </c>
      <c r="F533" s="82" t="str">
        <f>_xlfn.TEXTJOIN("; ",TRUE,IF(AND(OR(TRIM([1]DATABASE!Q494)="RESERVED",TRIM([1]DATABASE!Q494)="PRE-RESERVED",TRIM([1]DATABASE!Q494)="PSPA"),[1]DATABASE!AA494=""),"Reserved/PSPA no PSPA Date",""),IF(AND(TRIM([1]DATABASE!Q494)="AVAILABLE",[1]DATABASE!AA494&lt;&gt;""),"Available has PSPA Date",""))</f>
        <v/>
      </c>
      <c r="G533" s="82" t="str">
        <f>_xlfn.TEXTJOIN("; ",TRUE,IF(AND([1]DATABASE!T494&lt;0.8*[1]DATABASE!S494,[1]DATABASE!T494&gt;0,[1]DATABASE!S494&gt;0),"Heavy Price Cut &gt;20%",""),IF(AND(OR(TRIM([1]DATABASE!Q494)="AVAILABLE",TRIM([1]DATABASE!Q494)="UPON REQUEST"),OR([1]DATABASE!T494="",[1]DATABASE!T494=0)),"Active Unit no Price",""),IF(AND(OR(TRIM([1]DATABASE!Q494)="AVAILABLE",TRIM([1]DATABASE!Q494)="RESERVED",TRIM([1]DATABASE!Q494)="PRE-RESERVED",TRIM([1]DATABASE!Q494)="PSPA"),[1]DATABASE!AC494=""),"Active no Owner",""),IF(OR([1]DATABASE!F494="",[1]DATABASE!F494&lt;=0),"Missing/Invalid Area",""),IF(AND([1]DATABASE!T494&gt;0,ABS([1]DATABASE!T494-[1]DATABASE!W494-[1]DATABASE!U494-[1]DATABASE!V494)&gt;1),"Price Bridge Mismatch",""))</f>
        <v/>
      </c>
      <c r="H533" t="str">
        <f t="shared" si="10"/>
        <v>PASS</v>
      </c>
      <c r="I533" s="90">
        <f>[1]DATABASE!T494</f>
        <v>435000</v>
      </c>
      <c r="J533" t="str">
        <f>[1]DATABASE!AC494</f>
        <v>João Gameiro</v>
      </c>
    </row>
    <row r="534" spans="1:10" ht="13.95" customHeight="1" x14ac:dyDescent="0.3">
      <c r="A534">
        <f>ROW([1]DATABASE!A495)</f>
        <v>495</v>
      </c>
      <c r="B534" t="str">
        <f>[1]DATABASE!AJ495</f>
        <v>Aroeira Collections</v>
      </c>
      <c r="C534" t="str">
        <f>[1]DATABASE!C495</f>
        <v>205A</v>
      </c>
      <c r="D534" t="str">
        <f>TRIM([1]DATABASE!Q495)</f>
        <v>AVAILABLE</v>
      </c>
      <c r="E534" s="82" t="str">
        <f>_xlfn.TEXTJOIN("; ",TRUE,IF([1]DATABASE!X495&lt;0,"Negative Discount",""),IF(AND([1]DATABASE!Y495&gt;[1]DATABASE!T495,[1]DATABASE!Y495&gt;0,[1]DATABASE!T495&gt;0),"Sell Price &gt; Current",""),IF(AND(TRIM([1]DATABASE!Q495)="DEED",[1]DATABASE!AA495=""),"Deeded no PSPA Date",""),IF([1]DATABASE!E495="","Missing Typology",""),IF([1]DATABASE!AJ495="","Missing Development",""))</f>
        <v/>
      </c>
      <c r="F534" s="82" t="str">
        <f>_xlfn.TEXTJOIN("; ",TRUE,IF(AND(OR(TRIM([1]DATABASE!Q495)="RESERVED",TRIM([1]DATABASE!Q495)="PRE-RESERVED",TRIM([1]DATABASE!Q495)="PSPA"),[1]DATABASE!AA495=""),"Reserved/PSPA no PSPA Date",""),IF(AND(TRIM([1]DATABASE!Q495)="AVAILABLE",[1]DATABASE!AA495&lt;&gt;""),"Available has PSPA Date",""))</f>
        <v/>
      </c>
      <c r="G534" s="82" t="str">
        <f>_xlfn.TEXTJOIN("; ",TRUE,IF(AND([1]DATABASE!T495&lt;0.8*[1]DATABASE!S495,[1]DATABASE!T495&gt;0,[1]DATABASE!S495&gt;0),"Heavy Price Cut &gt;20%",""),IF(AND(OR(TRIM([1]DATABASE!Q495)="AVAILABLE",TRIM([1]DATABASE!Q495)="UPON REQUEST"),OR([1]DATABASE!T495="",[1]DATABASE!T495=0)),"Active Unit no Price",""),IF(AND(OR(TRIM([1]DATABASE!Q495)="AVAILABLE",TRIM([1]DATABASE!Q495)="RESERVED",TRIM([1]DATABASE!Q495)="PRE-RESERVED",TRIM([1]DATABASE!Q495)="PSPA"),[1]DATABASE!AC495=""),"Active no Owner",""),IF(OR([1]DATABASE!F495="",[1]DATABASE!F495&lt;=0),"Missing/Invalid Area",""),IF(AND([1]DATABASE!T495&gt;0,ABS([1]DATABASE!T495-[1]DATABASE!W495-[1]DATABASE!U495-[1]DATABASE!V495)&gt;1),"Price Bridge Mismatch",""))</f>
        <v/>
      </c>
      <c r="H534" t="str">
        <f t="shared" si="10"/>
        <v>PASS</v>
      </c>
      <c r="I534" s="90">
        <f>[1]DATABASE!T495</f>
        <v>435000</v>
      </c>
      <c r="J534" t="str">
        <f>[1]DATABASE!AC495</f>
        <v>João Gameiro</v>
      </c>
    </row>
    <row r="535" spans="1:10" ht="13.95" customHeight="1" x14ac:dyDescent="0.3">
      <c r="A535">
        <f>ROW([1]DATABASE!A496)</f>
        <v>496</v>
      </c>
      <c r="B535" t="str">
        <f>[1]DATABASE!AJ496</f>
        <v>Aroeira Collections</v>
      </c>
      <c r="C535" t="str">
        <f>[1]DATABASE!C496</f>
        <v>205B</v>
      </c>
      <c r="D535" t="str">
        <f>TRIM([1]DATABASE!Q496)</f>
        <v>AVAILABLE</v>
      </c>
      <c r="E535" s="82" t="str">
        <f>_xlfn.TEXTJOIN("; ",TRUE,IF([1]DATABASE!X496&lt;0,"Negative Discount",""),IF(AND([1]DATABASE!Y496&gt;[1]DATABASE!T496,[1]DATABASE!Y496&gt;0,[1]DATABASE!T496&gt;0),"Sell Price &gt; Current",""),IF(AND(TRIM([1]DATABASE!Q496)="DEED",[1]DATABASE!AA496=""),"Deeded no PSPA Date",""),IF([1]DATABASE!E496="","Missing Typology",""),IF([1]DATABASE!AJ496="","Missing Development",""))</f>
        <v/>
      </c>
      <c r="F535" s="82" t="str">
        <f>_xlfn.TEXTJOIN("; ",TRUE,IF(AND(OR(TRIM([1]DATABASE!Q496)="RESERVED",TRIM([1]DATABASE!Q496)="PRE-RESERVED",TRIM([1]DATABASE!Q496)="PSPA"),[1]DATABASE!AA496=""),"Reserved/PSPA no PSPA Date",""),IF(AND(TRIM([1]DATABASE!Q496)="AVAILABLE",[1]DATABASE!AA496&lt;&gt;""),"Available has PSPA Date",""))</f>
        <v/>
      </c>
      <c r="G535" s="82" t="str">
        <f>_xlfn.TEXTJOIN("; ",TRUE,IF(AND([1]DATABASE!T496&lt;0.8*[1]DATABASE!S496,[1]DATABASE!T496&gt;0,[1]DATABASE!S496&gt;0),"Heavy Price Cut &gt;20%",""),IF(AND(OR(TRIM([1]DATABASE!Q496)="AVAILABLE",TRIM([1]DATABASE!Q496)="UPON REQUEST"),OR([1]DATABASE!T496="",[1]DATABASE!T496=0)),"Active Unit no Price",""),IF(AND(OR(TRIM([1]DATABASE!Q496)="AVAILABLE",TRIM([1]DATABASE!Q496)="RESERVED",TRIM([1]DATABASE!Q496)="PRE-RESERVED",TRIM([1]DATABASE!Q496)="PSPA"),[1]DATABASE!AC496=""),"Active no Owner",""),IF(OR([1]DATABASE!F496="",[1]DATABASE!F496&lt;=0),"Missing/Invalid Area",""),IF(AND([1]DATABASE!T496&gt;0,ABS([1]DATABASE!T496-[1]DATABASE!W496-[1]DATABASE!U496-[1]DATABASE!V496)&gt;1),"Price Bridge Mismatch",""))</f>
        <v/>
      </c>
      <c r="H535" t="str">
        <f t="shared" si="10"/>
        <v>PASS</v>
      </c>
      <c r="I535" s="90">
        <f>[1]DATABASE!T496</f>
        <v>755000</v>
      </c>
      <c r="J535" t="str">
        <f>[1]DATABASE!AC496</f>
        <v>João Gameiro</v>
      </c>
    </row>
    <row r="536" spans="1:10" ht="13.95" customHeight="1" x14ac:dyDescent="0.3">
      <c r="A536">
        <f>ROW([1]DATABASE!A497)</f>
        <v>497</v>
      </c>
      <c r="B536" t="str">
        <f>[1]DATABASE!AJ497</f>
        <v>Aroeira Collections</v>
      </c>
      <c r="C536" t="str">
        <f>[1]DATABASE!C497</f>
        <v>206A</v>
      </c>
      <c r="D536" t="str">
        <f>TRIM([1]DATABASE!Q497)</f>
        <v>AVAILABLE</v>
      </c>
      <c r="E536" s="82" t="str">
        <f>_xlfn.TEXTJOIN("; ",TRUE,IF([1]DATABASE!X497&lt;0,"Negative Discount",""),IF(AND([1]DATABASE!Y497&gt;[1]DATABASE!T497,[1]DATABASE!Y497&gt;0,[1]DATABASE!T497&gt;0),"Sell Price &gt; Current",""),IF(AND(TRIM([1]DATABASE!Q497)="DEED",[1]DATABASE!AA497=""),"Deeded no PSPA Date",""),IF([1]DATABASE!E497="","Missing Typology",""),IF([1]DATABASE!AJ497="","Missing Development",""))</f>
        <v/>
      </c>
      <c r="F536" s="82" t="str">
        <f>_xlfn.TEXTJOIN("; ",TRUE,IF(AND(OR(TRIM([1]DATABASE!Q497)="RESERVED",TRIM([1]DATABASE!Q497)="PRE-RESERVED",TRIM([1]DATABASE!Q497)="PSPA"),[1]DATABASE!AA497=""),"Reserved/PSPA no PSPA Date",""),IF(AND(TRIM([1]DATABASE!Q497)="AVAILABLE",[1]DATABASE!AA497&lt;&gt;""),"Available has PSPA Date",""))</f>
        <v/>
      </c>
      <c r="G536" s="82" t="str">
        <f>_xlfn.TEXTJOIN("; ",TRUE,IF(AND([1]DATABASE!T497&lt;0.8*[1]DATABASE!S497,[1]DATABASE!T497&gt;0,[1]DATABASE!S497&gt;0),"Heavy Price Cut &gt;20%",""),IF(AND(OR(TRIM([1]DATABASE!Q497)="AVAILABLE",TRIM([1]DATABASE!Q497)="UPON REQUEST"),OR([1]DATABASE!T497="",[1]DATABASE!T497=0)),"Active Unit no Price",""),IF(AND(OR(TRIM([1]DATABASE!Q497)="AVAILABLE",TRIM([1]DATABASE!Q497)="RESERVED",TRIM([1]DATABASE!Q497)="PRE-RESERVED",TRIM([1]DATABASE!Q497)="PSPA"),[1]DATABASE!AC497=""),"Active no Owner",""),IF(OR([1]DATABASE!F497="",[1]DATABASE!F497&lt;=0),"Missing/Invalid Area",""),IF(AND([1]DATABASE!T497&gt;0,ABS([1]DATABASE!T497-[1]DATABASE!W497-[1]DATABASE!U497-[1]DATABASE!V497)&gt;1),"Price Bridge Mismatch",""))</f>
        <v/>
      </c>
      <c r="H536" t="str">
        <f t="shared" si="10"/>
        <v>PASS</v>
      </c>
      <c r="I536" s="90">
        <f>[1]DATABASE!T497</f>
        <v>435000</v>
      </c>
      <c r="J536" t="str">
        <f>[1]DATABASE!AC497</f>
        <v>João Gameiro</v>
      </c>
    </row>
    <row r="537" spans="1:10" ht="13.95" customHeight="1" x14ac:dyDescent="0.3">
      <c r="A537">
        <f>ROW([1]DATABASE!A498)</f>
        <v>498</v>
      </c>
      <c r="B537" t="str">
        <f>[1]DATABASE!AJ498</f>
        <v>Aroeira Collections</v>
      </c>
      <c r="C537" t="str">
        <f>[1]DATABASE!C498</f>
        <v>206B</v>
      </c>
      <c r="D537" t="str">
        <f>TRIM([1]DATABASE!Q498)</f>
        <v>AVAILABLE</v>
      </c>
      <c r="E537" s="82" t="str">
        <f>_xlfn.TEXTJOIN("; ",TRUE,IF([1]DATABASE!X498&lt;0,"Negative Discount",""),IF(AND([1]DATABASE!Y498&gt;[1]DATABASE!T498,[1]DATABASE!Y498&gt;0,[1]DATABASE!T498&gt;0),"Sell Price &gt; Current",""),IF(AND(TRIM([1]DATABASE!Q498)="DEED",[1]DATABASE!AA498=""),"Deeded no PSPA Date",""),IF([1]DATABASE!E498="","Missing Typology",""),IF([1]DATABASE!AJ498="","Missing Development",""))</f>
        <v/>
      </c>
      <c r="F537" s="82" t="str">
        <f>_xlfn.TEXTJOIN("; ",TRUE,IF(AND(OR(TRIM([1]DATABASE!Q498)="RESERVED",TRIM([1]DATABASE!Q498)="PRE-RESERVED",TRIM([1]DATABASE!Q498)="PSPA"),[1]DATABASE!AA498=""),"Reserved/PSPA no PSPA Date",""),IF(AND(TRIM([1]DATABASE!Q498)="AVAILABLE",[1]DATABASE!AA498&lt;&gt;""),"Available has PSPA Date",""))</f>
        <v/>
      </c>
      <c r="G537" s="82" t="str">
        <f>_xlfn.TEXTJOIN("; ",TRUE,IF(AND([1]DATABASE!T498&lt;0.8*[1]DATABASE!S498,[1]DATABASE!T498&gt;0,[1]DATABASE!S498&gt;0),"Heavy Price Cut &gt;20%",""),IF(AND(OR(TRIM([1]DATABASE!Q498)="AVAILABLE",TRIM([1]DATABASE!Q498)="UPON REQUEST"),OR([1]DATABASE!T498="",[1]DATABASE!T498=0)),"Active Unit no Price",""),IF(AND(OR(TRIM([1]DATABASE!Q498)="AVAILABLE",TRIM([1]DATABASE!Q498)="RESERVED",TRIM([1]DATABASE!Q498)="PRE-RESERVED",TRIM([1]DATABASE!Q498)="PSPA"),[1]DATABASE!AC498=""),"Active no Owner",""),IF(OR([1]DATABASE!F498="",[1]DATABASE!F498&lt;=0),"Missing/Invalid Area",""),IF(AND([1]DATABASE!T498&gt;0,ABS([1]DATABASE!T498-[1]DATABASE!W498-[1]DATABASE!U498-[1]DATABASE!V498)&gt;1),"Price Bridge Mismatch",""))</f>
        <v/>
      </c>
      <c r="H537" t="str">
        <f t="shared" si="10"/>
        <v>PASS</v>
      </c>
      <c r="I537" s="90">
        <f>[1]DATABASE!T498</f>
        <v>755000</v>
      </c>
      <c r="J537" t="str">
        <f>[1]DATABASE!AC498</f>
        <v>João Gameiro</v>
      </c>
    </row>
    <row r="538" spans="1:10" ht="13.95" customHeight="1" x14ac:dyDescent="0.3">
      <c r="A538">
        <f>ROW([1]DATABASE!A499)</f>
        <v>499</v>
      </c>
      <c r="B538" t="str">
        <f>[1]DATABASE!AJ499</f>
        <v>Aroeira Collections</v>
      </c>
      <c r="C538" t="str">
        <f>[1]DATABASE!C499</f>
        <v>207A</v>
      </c>
      <c r="D538" t="str">
        <f>TRIM([1]DATABASE!Q499)</f>
        <v>AVAILABLE</v>
      </c>
      <c r="E538" s="82" t="str">
        <f>_xlfn.TEXTJOIN("; ",TRUE,IF([1]DATABASE!X499&lt;0,"Negative Discount",""),IF(AND([1]DATABASE!Y499&gt;[1]DATABASE!T499,[1]DATABASE!Y499&gt;0,[1]DATABASE!T499&gt;0),"Sell Price &gt; Current",""),IF(AND(TRIM([1]DATABASE!Q499)="DEED",[1]DATABASE!AA499=""),"Deeded no PSPA Date",""),IF([1]DATABASE!E499="","Missing Typology",""),IF([1]DATABASE!AJ499="","Missing Development",""))</f>
        <v/>
      </c>
      <c r="F538" s="82" t="str">
        <f>_xlfn.TEXTJOIN("; ",TRUE,IF(AND(OR(TRIM([1]DATABASE!Q499)="RESERVED",TRIM([1]DATABASE!Q499)="PRE-RESERVED",TRIM([1]DATABASE!Q499)="PSPA"),[1]DATABASE!AA499=""),"Reserved/PSPA no PSPA Date",""),IF(AND(TRIM([1]DATABASE!Q499)="AVAILABLE",[1]DATABASE!AA499&lt;&gt;""),"Available has PSPA Date",""))</f>
        <v/>
      </c>
      <c r="G538" s="82" t="str">
        <f>_xlfn.TEXTJOIN("; ",TRUE,IF(AND([1]DATABASE!T499&lt;0.8*[1]DATABASE!S499,[1]DATABASE!T499&gt;0,[1]DATABASE!S499&gt;0),"Heavy Price Cut &gt;20%",""),IF(AND(OR(TRIM([1]DATABASE!Q499)="AVAILABLE",TRIM([1]DATABASE!Q499)="UPON REQUEST"),OR([1]DATABASE!T499="",[1]DATABASE!T499=0)),"Active Unit no Price",""),IF(AND(OR(TRIM([1]DATABASE!Q499)="AVAILABLE",TRIM([1]DATABASE!Q499)="RESERVED",TRIM([1]DATABASE!Q499)="PRE-RESERVED",TRIM([1]DATABASE!Q499)="PSPA"),[1]DATABASE!AC499=""),"Active no Owner",""),IF(OR([1]DATABASE!F499="",[1]DATABASE!F499&lt;=0),"Missing/Invalid Area",""),IF(AND([1]DATABASE!T499&gt;0,ABS([1]DATABASE!T499-[1]DATABASE!W499-[1]DATABASE!U499-[1]DATABASE!V499)&gt;1),"Price Bridge Mismatch",""))</f>
        <v/>
      </c>
      <c r="H538" t="str">
        <f t="shared" si="10"/>
        <v>PASS</v>
      </c>
      <c r="I538" s="90">
        <f>[1]DATABASE!T499</f>
        <v>435000</v>
      </c>
      <c r="J538" t="str">
        <f>[1]DATABASE!AC499</f>
        <v>João Gameiro</v>
      </c>
    </row>
    <row r="539" spans="1:10" ht="13.95" customHeight="1" x14ac:dyDescent="0.3">
      <c r="A539">
        <f>ROW([1]DATABASE!A500)</f>
        <v>500</v>
      </c>
      <c r="B539" t="str">
        <f>[1]DATABASE!AJ500</f>
        <v>Aroeira Collections</v>
      </c>
      <c r="C539" t="str">
        <f>[1]DATABASE!C500</f>
        <v>207B</v>
      </c>
      <c r="D539" t="str">
        <f>TRIM([1]DATABASE!Q500)</f>
        <v>NOT FOR SALE</v>
      </c>
      <c r="E539" s="82" t="str">
        <f>_xlfn.TEXTJOIN("; ",TRUE,IF([1]DATABASE!X500&lt;0,"Negative Discount",""),IF(AND([1]DATABASE!Y500&gt;[1]DATABASE!T500,[1]DATABASE!Y500&gt;0,[1]DATABASE!T500&gt;0),"Sell Price &gt; Current",""),IF(AND(TRIM([1]DATABASE!Q500)="DEED",[1]DATABASE!AA500=""),"Deeded no PSPA Date",""),IF([1]DATABASE!E500="","Missing Typology",""),IF([1]DATABASE!AJ500="","Missing Development",""))</f>
        <v/>
      </c>
      <c r="F539" s="82" t="str">
        <f>_xlfn.TEXTJOIN("; ",TRUE,IF(AND(OR(TRIM([1]DATABASE!Q500)="RESERVED",TRIM([1]DATABASE!Q500)="PRE-RESERVED",TRIM([1]DATABASE!Q500)="PSPA"),[1]DATABASE!AA500=""),"Reserved/PSPA no PSPA Date",""),IF(AND(TRIM([1]DATABASE!Q500)="AVAILABLE",[1]DATABASE!AA500&lt;&gt;""),"Available has PSPA Date",""))</f>
        <v/>
      </c>
      <c r="G539" s="82" t="str">
        <f>_xlfn.TEXTJOIN("; ",TRUE,IF(AND([1]DATABASE!T500&lt;0.8*[1]DATABASE!S500,[1]DATABASE!T500&gt;0,[1]DATABASE!S500&gt;0),"Heavy Price Cut &gt;20%",""),IF(AND(OR(TRIM([1]DATABASE!Q500)="AVAILABLE",TRIM([1]DATABASE!Q500)="UPON REQUEST"),OR([1]DATABASE!T500="",[1]DATABASE!T500=0)),"Active Unit no Price",""),IF(AND(OR(TRIM([1]DATABASE!Q500)="AVAILABLE",TRIM([1]DATABASE!Q500)="RESERVED",TRIM([1]DATABASE!Q500)="PRE-RESERVED",TRIM([1]DATABASE!Q500)="PSPA"),[1]DATABASE!AC500=""),"Active no Owner",""),IF(OR([1]DATABASE!F500="",[1]DATABASE!F500&lt;=0),"Missing/Invalid Area",""),IF(AND([1]DATABASE!T500&gt;0,ABS([1]DATABASE!T500-[1]DATABASE!W500-[1]DATABASE!U500-[1]DATABASE!V500)&gt;1),"Price Bridge Mismatch",""))</f>
        <v/>
      </c>
      <c r="H539" t="str">
        <f t="shared" si="10"/>
        <v>PASS</v>
      </c>
      <c r="I539" s="90">
        <f>[1]DATABASE!T500</f>
        <v>765000</v>
      </c>
      <c r="J539" t="str">
        <f>[1]DATABASE!AC500</f>
        <v>João Gameiro</v>
      </c>
    </row>
    <row r="540" spans="1:10" ht="13.95" customHeight="1" x14ac:dyDescent="0.3">
      <c r="A540">
        <f>ROW([1]DATABASE!A501)</f>
        <v>501</v>
      </c>
      <c r="B540" t="str">
        <f>[1]DATABASE!AJ501</f>
        <v>Aroeira Collections</v>
      </c>
      <c r="C540" t="str">
        <f>[1]DATABASE!C501</f>
        <v>208A</v>
      </c>
      <c r="D540" t="str">
        <f>TRIM([1]DATABASE!Q501)</f>
        <v>AVAILABLE</v>
      </c>
      <c r="E540" s="82" t="str">
        <f>_xlfn.TEXTJOIN("; ",TRUE,IF([1]DATABASE!X501&lt;0,"Negative Discount",""),IF(AND([1]DATABASE!Y501&gt;[1]DATABASE!T501,[1]DATABASE!Y501&gt;0,[1]DATABASE!T501&gt;0),"Sell Price &gt; Current",""),IF(AND(TRIM([1]DATABASE!Q501)="DEED",[1]DATABASE!AA501=""),"Deeded no PSPA Date",""),IF([1]DATABASE!E501="","Missing Typology",""),IF([1]DATABASE!AJ501="","Missing Development",""))</f>
        <v/>
      </c>
      <c r="F540" s="82" t="str">
        <f>_xlfn.TEXTJOIN("; ",TRUE,IF(AND(OR(TRIM([1]DATABASE!Q501)="RESERVED",TRIM([1]DATABASE!Q501)="PRE-RESERVED",TRIM([1]DATABASE!Q501)="PSPA"),[1]DATABASE!AA501=""),"Reserved/PSPA no PSPA Date",""),IF(AND(TRIM([1]DATABASE!Q501)="AVAILABLE",[1]DATABASE!AA501&lt;&gt;""),"Available has PSPA Date",""))</f>
        <v/>
      </c>
      <c r="G540" s="82" t="str">
        <f>_xlfn.TEXTJOIN("; ",TRUE,IF(AND([1]DATABASE!T501&lt;0.8*[1]DATABASE!S501,[1]DATABASE!T501&gt;0,[1]DATABASE!S501&gt;0),"Heavy Price Cut &gt;20%",""),IF(AND(OR(TRIM([1]DATABASE!Q501)="AVAILABLE",TRIM([1]DATABASE!Q501)="UPON REQUEST"),OR([1]DATABASE!T501="",[1]DATABASE!T501=0)),"Active Unit no Price",""),IF(AND(OR(TRIM([1]DATABASE!Q501)="AVAILABLE",TRIM([1]DATABASE!Q501)="RESERVED",TRIM([1]DATABASE!Q501)="PRE-RESERVED",TRIM([1]DATABASE!Q501)="PSPA"),[1]DATABASE!AC501=""),"Active no Owner",""),IF(OR([1]DATABASE!F501="",[1]DATABASE!F501&lt;=0),"Missing/Invalid Area",""),IF(AND([1]DATABASE!T501&gt;0,ABS([1]DATABASE!T501-[1]DATABASE!W501-[1]DATABASE!U501-[1]DATABASE!V501)&gt;1),"Price Bridge Mismatch",""))</f>
        <v/>
      </c>
      <c r="H540" t="str">
        <f t="shared" si="10"/>
        <v>PASS</v>
      </c>
      <c r="I540" s="90">
        <f>[1]DATABASE!T501</f>
        <v>435000</v>
      </c>
      <c r="J540" t="str">
        <f>[1]DATABASE!AC501</f>
        <v>João Gameiro</v>
      </c>
    </row>
    <row r="541" spans="1:10" ht="13.95" customHeight="1" x14ac:dyDescent="0.3">
      <c r="A541">
        <f>ROW([1]DATABASE!A502)</f>
        <v>502</v>
      </c>
      <c r="B541" t="str">
        <f>[1]DATABASE!AJ502</f>
        <v>Aroeira Collections</v>
      </c>
      <c r="C541" t="str">
        <f>[1]DATABASE!C502</f>
        <v>208B</v>
      </c>
      <c r="D541" t="str">
        <f>TRIM([1]DATABASE!Q502)</f>
        <v>AVAILABLE</v>
      </c>
      <c r="E541" s="82" t="str">
        <f>_xlfn.TEXTJOIN("; ",TRUE,IF([1]DATABASE!X502&lt;0,"Negative Discount",""),IF(AND([1]DATABASE!Y502&gt;[1]DATABASE!T502,[1]DATABASE!Y502&gt;0,[1]DATABASE!T502&gt;0),"Sell Price &gt; Current",""),IF(AND(TRIM([1]DATABASE!Q502)="DEED",[1]DATABASE!AA502=""),"Deeded no PSPA Date",""),IF([1]DATABASE!E502="","Missing Typology",""),IF([1]DATABASE!AJ502="","Missing Development",""))</f>
        <v/>
      </c>
      <c r="F541" s="82" t="str">
        <f>_xlfn.TEXTJOIN("; ",TRUE,IF(AND(OR(TRIM([1]DATABASE!Q502)="RESERVED",TRIM([1]DATABASE!Q502)="PRE-RESERVED",TRIM([1]DATABASE!Q502)="PSPA"),[1]DATABASE!AA502=""),"Reserved/PSPA no PSPA Date",""),IF(AND(TRIM([1]DATABASE!Q502)="AVAILABLE",[1]DATABASE!AA502&lt;&gt;""),"Available has PSPA Date",""))</f>
        <v/>
      </c>
      <c r="G541" s="82" t="str">
        <f>_xlfn.TEXTJOIN("; ",TRUE,IF(AND([1]DATABASE!T502&lt;0.8*[1]DATABASE!S502,[1]DATABASE!T502&gt;0,[1]DATABASE!S502&gt;0),"Heavy Price Cut &gt;20%",""),IF(AND(OR(TRIM([1]DATABASE!Q502)="AVAILABLE",TRIM([1]DATABASE!Q502)="UPON REQUEST"),OR([1]DATABASE!T502="",[1]DATABASE!T502=0)),"Active Unit no Price",""),IF(AND(OR(TRIM([1]DATABASE!Q502)="AVAILABLE",TRIM([1]DATABASE!Q502)="RESERVED",TRIM([1]DATABASE!Q502)="PRE-RESERVED",TRIM([1]DATABASE!Q502)="PSPA"),[1]DATABASE!AC502=""),"Active no Owner",""),IF(OR([1]DATABASE!F502="",[1]DATABASE!F502&lt;=0),"Missing/Invalid Area",""),IF(AND([1]DATABASE!T502&gt;0,ABS([1]DATABASE!T502-[1]DATABASE!W502-[1]DATABASE!U502-[1]DATABASE!V502)&gt;1),"Price Bridge Mismatch",""))</f>
        <v/>
      </c>
      <c r="H541" t="str">
        <f t="shared" si="10"/>
        <v>PASS</v>
      </c>
      <c r="I541" s="90">
        <f>[1]DATABASE!T502</f>
        <v>765000</v>
      </c>
      <c r="J541" t="str">
        <f>[1]DATABASE!AC502</f>
        <v>João Gameiro</v>
      </c>
    </row>
    <row r="542" spans="1:10" ht="13.95" customHeight="1" x14ac:dyDescent="0.3">
      <c r="A542">
        <f>ROW([1]DATABASE!A503)</f>
        <v>503</v>
      </c>
      <c r="B542" t="str">
        <f>[1]DATABASE!AJ503</f>
        <v>Aroeira Collections</v>
      </c>
      <c r="C542" t="str">
        <f>[1]DATABASE!C503</f>
        <v>209B</v>
      </c>
      <c r="D542" t="str">
        <f>TRIM([1]DATABASE!Q503)</f>
        <v>AVAILABLE</v>
      </c>
      <c r="E542" s="82" t="str">
        <f>_xlfn.TEXTJOIN("; ",TRUE,IF([1]DATABASE!X503&lt;0,"Negative Discount",""),IF(AND([1]DATABASE!Y503&gt;[1]DATABASE!T503,[1]DATABASE!Y503&gt;0,[1]DATABASE!T503&gt;0),"Sell Price &gt; Current",""),IF(AND(TRIM([1]DATABASE!Q503)="DEED",[1]DATABASE!AA503=""),"Deeded no PSPA Date",""),IF([1]DATABASE!E503="","Missing Typology",""),IF([1]DATABASE!AJ503="","Missing Development",""))</f>
        <v/>
      </c>
      <c r="F542" s="82" t="str">
        <f>_xlfn.TEXTJOIN("; ",TRUE,IF(AND(OR(TRIM([1]DATABASE!Q503)="RESERVED",TRIM([1]DATABASE!Q503)="PRE-RESERVED",TRIM([1]DATABASE!Q503)="PSPA"),[1]DATABASE!AA503=""),"Reserved/PSPA no PSPA Date",""),IF(AND(TRIM([1]DATABASE!Q503)="AVAILABLE",[1]DATABASE!AA503&lt;&gt;""),"Available has PSPA Date",""))</f>
        <v/>
      </c>
      <c r="G542" s="82" t="str">
        <f>_xlfn.TEXTJOIN("; ",TRUE,IF(AND([1]DATABASE!T503&lt;0.8*[1]DATABASE!S503,[1]DATABASE!T503&gt;0,[1]DATABASE!S503&gt;0),"Heavy Price Cut &gt;20%",""),IF(AND(OR(TRIM([1]DATABASE!Q503)="AVAILABLE",TRIM([1]DATABASE!Q503)="UPON REQUEST"),OR([1]DATABASE!T503="",[1]DATABASE!T503=0)),"Active Unit no Price",""),IF(AND(OR(TRIM([1]DATABASE!Q503)="AVAILABLE",TRIM([1]DATABASE!Q503)="RESERVED",TRIM([1]DATABASE!Q503)="PRE-RESERVED",TRIM([1]DATABASE!Q503)="PSPA"),[1]DATABASE!AC503=""),"Active no Owner",""),IF(OR([1]DATABASE!F503="",[1]DATABASE!F503&lt;=0),"Missing/Invalid Area",""),IF(AND([1]DATABASE!T503&gt;0,ABS([1]DATABASE!T503-[1]DATABASE!W503-[1]DATABASE!U503-[1]DATABASE!V503)&gt;1),"Price Bridge Mismatch",""))</f>
        <v/>
      </c>
      <c r="H542" t="str">
        <f t="shared" si="10"/>
        <v>PASS</v>
      </c>
      <c r="I542" s="90">
        <f>[1]DATABASE!T503</f>
        <v>755000</v>
      </c>
      <c r="J542" t="str">
        <f>[1]DATABASE!AC503</f>
        <v>João Gameiro</v>
      </c>
    </row>
    <row r="543" spans="1:10" ht="13.95" customHeight="1" x14ac:dyDescent="0.3">
      <c r="A543">
        <f>ROW([1]DATABASE!A504)</f>
        <v>504</v>
      </c>
      <c r="B543" t="str">
        <f>[1]DATABASE!AJ504</f>
        <v>The Uncommon</v>
      </c>
      <c r="C543" t="str">
        <f>[1]DATABASE!C504</f>
        <v>11</v>
      </c>
      <c r="D543" t="str">
        <f>TRIM([1]DATABASE!Q504)</f>
        <v>AVAILABLE</v>
      </c>
      <c r="E543" s="82" t="str">
        <f>_xlfn.TEXTJOIN("; ",TRUE,IF([1]DATABASE!X504&lt;0,"Negative Discount",""),IF(AND([1]DATABASE!Y504&gt;[1]DATABASE!T504,[1]DATABASE!Y504&gt;0,[1]DATABASE!T504&gt;0),"Sell Price &gt; Current",""),IF(AND(TRIM([1]DATABASE!Q504)="DEED",[1]DATABASE!AA504=""),"Deeded no PSPA Date",""),IF([1]DATABASE!E504="","Missing Typology",""),IF([1]DATABASE!AJ504="","Missing Development",""))</f>
        <v/>
      </c>
      <c r="F543" s="82" t="str">
        <f>_xlfn.TEXTJOIN("; ",TRUE,IF(AND(OR(TRIM([1]DATABASE!Q504)="RESERVED",TRIM([1]DATABASE!Q504)="PRE-RESERVED",TRIM([1]DATABASE!Q504)="PSPA"),[1]DATABASE!AA504=""),"Reserved/PSPA no PSPA Date",""),IF(AND(TRIM([1]DATABASE!Q504)="AVAILABLE",[1]DATABASE!AA504&lt;&gt;""),"Available has PSPA Date",""))</f>
        <v/>
      </c>
      <c r="G543" s="82" t="str">
        <f>_xlfn.TEXTJOIN("; ",TRUE,IF(AND([1]DATABASE!T504&lt;0.8*[1]DATABASE!S504,[1]DATABASE!T504&gt;0,[1]DATABASE!S504&gt;0),"Heavy Price Cut &gt;20%",""),IF(AND(OR(TRIM([1]DATABASE!Q504)="AVAILABLE",TRIM([1]DATABASE!Q504)="UPON REQUEST"),OR([1]DATABASE!T504="",[1]DATABASE!T504=0)),"Active Unit no Price",""),IF(AND(OR(TRIM([1]DATABASE!Q504)="AVAILABLE",TRIM([1]DATABASE!Q504)="RESERVED",TRIM([1]DATABASE!Q504)="PRE-RESERVED",TRIM([1]DATABASE!Q504)="PSPA"),[1]DATABASE!AC504=""),"Active no Owner",""),IF(OR([1]DATABASE!F504="",[1]DATABASE!F504&lt;=0),"Missing/Invalid Area",""),IF(AND([1]DATABASE!T504&gt;0,ABS([1]DATABASE!T504-[1]DATABASE!W504-[1]DATABASE!U504-[1]DATABASE!V504)&gt;1),"Price Bridge Mismatch",""))</f>
        <v/>
      </c>
      <c r="H543" t="str">
        <f t="shared" si="10"/>
        <v>PASS</v>
      </c>
      <c r="I543" s="90">
        <f>[1]DATABASE!T504</f>
        <v>710000</v>
      </c>
      <c r="J543" t="str">
        <f>[1]DATABASE!AC504</f>
        <v>Ana Damásio</v>
      </c>
    </row>
    <row r="544" spans="1:10" ht="13.95" customHeight="1" x14ac:dyDescent="0.3">
      <c r="A544">
        <f>ROW([1]DATABASE!A505)</f>
        <v>505</v>
      </c>
      <c r="B544" t="str">
        <f>[1]DATABASE!AJ505</f>
        <v>The Uncommon</v>
      </c>
      <c r="C544" t="str">
        <f>[1]DATABASE!C505</f>
        <v>110</v>
      </c>
      <c r="D544" t="str">
        <f>TRIM([1]DATABASE!Q505)</f>
        <v>AVAILABLE</v>
      </c>
      <c r="E544" s="82" t="str">
        <f>_xlfn.TEXTJOIN("; ",TRUE,IF([1]DATABASE!X505&lt;0,"Negative Discount",""),IF(AND([1]DATABASE!Y505&gt;[1]DATABASE!T505,[1]DATABASE!Y505&gt;0,[1]DATABASE!T505&gt;0),"Sell Price &gt; Current",""),IF(AND(TRIM([1]DATABASE!Q505)="DEED",[1]DATABASE!AA505=""),"Deeded no PSPA Date",""),IF([1]DATABASE!E505="","Missing Typology",""),IF([1]DATABASE!AJ505="","Missing Development",""))</f>
        <v/>
      </c>
      <c r="F544" s="82" t="str">
        <f>_xlfn.TEXTJOIN("; ",TRUE,IF(AND(OR(TRIM([1]DATABASE!Q505)="RESERVED",TRIM([1]DATABASE!Q505)="PRE-RESERVED",TRIM([1]DATABASE!Q505)="PSPA"),[1]DATABASE!AA505=""),"Reserved/PSPA no PSPA Date",""),IF(AND(TRIM([1]DATABASE!Q505)="AVAILABLE",[1]DATABASE!AA505&lt;&gt;""),"Available has PSPA Date",""))</f>
        <v/>
      </c>
      <c r="G544" s="82" t="str">
        <f>_xlfn.TEXTJOIN("; ",TRUE,IF(AND([1]DATABASE!T505&lt;0.8*[1]DATABASE!S505,[1]DATABASE!T505&gt;0,[1]DATABASE!S505&gt;0),"Heavy Price Cut &gt;20%",""),IF(AND(OR(TRIM([1]DATABASE!Q505)="AVAILABLE",TRIM([1]DATABASE!Q505)="UPON REQUEST"),OR([1]DATABASE!T505="",[1]DATABASE!T505=0)),"Active Unit no Price",""),IF(AND(OR(TRIM([1]DATABASE!Q505)="AVAILABLE",TRIM([1]DATABASE!Q505)="RESERVED",TRIM([1]DATABASE!Q505)="PRE-RESERVED",TRIM([1]DATABASE!Q505)="PSPA"),[1]DATABASE!AC505=""),"Active no Owner",""),IF(OR([1]DATABASE!F505="",[1]DATABASE!F505&lt;=0),"Missing/Invalid Area",""),IF(AND([1]DATABASE!T505&gt;0,ABS([1]DATABASE!T505-[1]DATABASE!W505-[1]DATABASE!U505-[1]DATABASE!V505)&gt;1),"Price Bridge Mismatch",""))</f>
        <v/>
      </c>
      <c r="H544" t="str">
        <f t="shared" si="10"/>
        <v>PASS</v>
      </c>
      <c r="I544" s="90">
        <f>[1]DATABASE!T505</f>
        <v>2220000</v>
      </c>
      <c r="J544" t="str">
        <f>[1]DATABASE!AC505</f>
        <v>Ana Damásio</v>
      </c>
    </row>
    <row r="545" spans="1:10" ht="13.95" customHeight="1" x14ac:dyDescent="0.3">
      <c r="A545">
        <f>ROW([1]DATABASE!A506)</f>
        <v>506</v>
      </c>
      <c r="B545" t="str">
        <f>[1]DATABASE!AJ506</f>
        <v>Aroeira Collections</v>
      </c>
      <c r="C545" t="str">
        <f>[1]DATABASE!C506</f>
        <v>20C</v>
      </c>
      <c r="D545" t="str">
        <f>TRIM([1]DATABASE!Q506)</f>
        <v>AVAILABLE</v>
      </c>
      <c r="E545" s="82" t="str">
        <f>_xlfn.TEXTJOIN("; ",TRUE,IF([1]DATABASE!X506&lt;0,"Negative Discount",""),IF(AND([1]DATABASE!Y506&gt;[1]DATABASE!T506,[1]DATABASE!Y506&gt;0,[1]DATABASE!T506&gt;0),"Sell Price &gt; Current",""),IF(AND(TRIM([1]DATABASE!Q506)="DEED",[1]DATABASE!AA506=""),"Deeded no PSPA Date",""),IF([1]DATABASE!E506="","Missing Typology",""),IF([1]DATABASE!AJ506="","Missing Development",""))</f>
        <v/>
      </c>
      <c r="F545" s="82" t="str">
        <f>_xlfn.TEXTJOIN("; ",TRUE,IF(AND(OR(TRIM([1]DATABASE!Q506)="RESERVED",TRIM([1]DATABASE!Q506)="PRE-RESERVED",TRIM([1]DATABASE!Q506)="PSPA"),[1]DATABASE!AA506=""),"Reserved/PSPA no PSPA Date",""),IF(AND(TRIM([1]DATABASE!Q506)="AVAILABLE",[1]DATABASE!AA506&lt;&gt;""),"Available has PSPA Date",""))</f>
        <v/>
      </c>
      <c r="G545" s="82" t="str">
        <f>_xlfn.TEXTJOIN("; ",TRUE,IF(AND([1]DATABASE!T506&lt;0.8*[1]DATABASE!S506,[1]DATABASE!T506&gt;0,[1]DATABASE!S506&gt;0),"Heavy Price Cut &gt;20%",""),IF(AND(OR(TRIM([1]DATABASE!Q506)="AVAILABLE",TRIM([1]DATABASE!Q506)="UPON REQUEST"),OR([1]DATABASE!T506="",[1]DATABASE!T506=0)),"Active Unit no Price",""),IF(AND(OR(TRIM([1]DATABASE!Q506)="AVAILABLE",TRIM([1]DATABASE!Q506)="RESERVED",TRIM([1]DATABASE!Q506)="PRE-RESERVED",TRIM([1]DATABASE!Q506)="PSPA"),[1]DATABASE!AC506=""),"Active no Owner",""),IF(OR([1]DATABASE!F506="",[1]DATABASE!F506&lt;=0),"Missing/Invalid Area",""),IF(AND([1]DATABASE!T506&gt;0,ABS([1]DATABASE!T506-[1]DATABASE!W506-[1]DATABASE!U506-[1]DATABASE!V506)&gt;1),"Price Bridge Mismatch",""))</f>
        <v/>
      </c>
      <c r="H545" t="str">
        <f t="shared" si="10"/>
        <v>PASS</v>
      </c>
      <c r="I545" s="90">
        <f>[1]DATABASE!T506</f>
        <v>1450000</v>
      </c>
      <c r="J545" t="str">
        <f>[1]DATABASE!AC506</f>
        <v>João Gameiro</v>
      </c>
    </row>
    <row r="546" spans="1:10" ht="13.95" customHeight="1" x14ac:dyDescent="0.3">
      <c r="A546">
        <f>ROW([1]DATABASE!A507)</f>
        <v>507</v>
      </c>
      <c r="B546" t="str">
        <f>[1]DATABASE!AJ507</f>
        <v>Aroeira Collections</v>
      </c>
      <c r="C546" t="str">
        <f>[1]DATABASE!C507</f>
        <v>20C</v>
      </c>
      <c r="D546" t="str">
        <f>TRIM([1]DATABASE!Q507)</f>
        <v>AVAILABLE</v>
      </c>
      <c r="E546" s="82" t="str">
        <f>_xlfn.TEXTJOIN("; ",TRUE,IF([1]DATABASE!X507&lt;0,"Negative Discount",""),IF(AND([1]DATABASE!Y507&gt;[1]DATABASE!T507,[1]DATABASE!Y507&gt;0,[1]DATABASE!T507&gt;0),"Sell Price &gt; Current",""),IF(AND(TRIM([1]DATABASE!Q507)="DEED",[1]DATABASE!AA507=""),"Deeded no PSPA Date",""),IF([1]DATABASE!E507="","Missing Typology",""),IF([1]DATABASE!AJ507="","Missing Development",""))</f>
        <v/>
      </c>
      <c r="F546" s="82" t="str">
        <f>_xlfn.TEXTJOIN("; ",TRUE,IF(AND(OR(TRIM([1]DATABASE!Q507)="RESERVED",TRIM([1]DATABASE!Q507)="PRE-RESERVED",TRIM([1]DATABASE!Q507)="PSPA"),[1]DATABASE!AA507=""),"Reserved/PSPA no PSPA Date",""),IF(AND(TRIM([1]DATABASE!Q507)="AVAILABLE",[1]DATABASE!AA507&lt;&gt;""),"Available has PSPA Date",""))</f>
        <v/>
      </c>
      <c r="G546" s="82" t="str">
        <f>_xlfn.TEXTJOIN("; ",TRUE,IF(AND([1]DATABASE!T507&lt;0.8*[1]DATABASE!S507,[1]DATABASE!T507&gt;0,[1]DATABASE!S507&gt;0),"Heavy Price Cut &gt;20%",""),IF(AND(OR(TRIM([1]DATABASE!Q507)="AVAILABLE",TRIM([1]DATABASE!Q507)="UPON REQUEST"),OR([1]DATABASE!T507="",[1]DATABASE!T507=0)),"Active Unit no Price",""),IF(AND(OR(TRIM([1]DATABASE!Q507)="AVAILABLE",TRIM([1]DATABASE!Q507)="RESERVED",TRIM([1]DATABASE!Q507)="PRE-RESERVED",TRIM([1]DATABASE!Q507)="PSPA"),[1]DATABASE!AC507=""),"Active no Owner",""),IF(OR([1]DATABASE!F507="",[1]DATABASE!F507&lt;=0),"Missing/Invalid Area",""),IF(AND([1]DATABASE!T507&gt;0,ABS([1]DATABASE!T507-[1]DATABASE!W507-[1]DATABASE!U507-[1]DATABASE!V507)&gt;1),"Price Bridge Mismatch",""))</f>
        <v/>
      </c>
      <c r="H546" t="str">
        <f t="shared" si="10"/>
        <v>PASS</v>
      </c>
      <c r="I546" s="90">
        <f>[1]DATABASE!T507</f>
        <v>1595000</v>
      </c>
      <c r="J546" t="str">
        <f>[1]DATABASE!AC507</f>
        <v>João Gameiro</v>
      </c>
    </row>
    <row r="547" spans="1:10" ht="13.95" customHeight="1" x14ac:dyDescent="0.3">
      <c r="A547">
        <f>ROW([1]DATABASE!A508)</f>
        <v>508</v>
      </c>
      <c r="B547" t="str">
        <f>[1]DATABASE!AJ508</f>
        <v>Aroeira Collections</v>
      </c>
      <c r="C547" t="str">
        <f>[1]DATABASE!C508</f>
        <v>210B</v>
      </c>
      <c r="D547" t="str">
        <f>TRIM([1]DATABASE!Q508)</f>
        <v>NOT FOR SALE</v>
      </c>
      <c r="E547" s="82" t="str">
        <f>_xlfn.TEXTJOIN("; ",TRUE,IF([1]DATABASE!X508&lt;0,"Negative Discount",""),IF(AND([1]DATABASE!Y508&gt;[1]DATABASE!T508,[1]DATABASE!Y508&gt;0,[1]DATABASE!T508&gt;0),"Sell Price &gt; Current",""),IF(AND(TRIM([1]DATABASE!Q508)="DEED",[1]DATABASE!AA508=""),"Deeded no PSPA Date",""),IF([1]DATABASE!E508="","Missing Typology",""),IF([1]DATABASE!AJ508="","Missing Development",""))</f>
        <v/>
      </c>
      <c r="F547" s="82" t="str">
        <f>_xlfn.TEXTJOIN("; ",TRUE,IF(AND(OR(TRIM([1]DATABASE!Q508)="RESERVED",TRIM([1]DATABASE!Q508)="PRE-RESERVED",TRIM([1]DATABASE!Q508)="PSPA"),[1]DATABASE!AA508=""),"Reserved/PSPA no PSPA Date",""),IF(AND(TRIM([1]DATABASE!Q508)="AVAILABLE",[1]DATABASE!AA508&lt;&gt;""),"Available has PSPA Date",""))</f>
        <v/>
      </c>
      <c r="G547" s="82" t="str">
        <f>_xlfn.TEXTJOIN("; ",TRUE,IF(AND([1]DATABASE!T508&lt;0.8*[1]DATABASE!S508,[1]DATABASE!T508&gt;0,[1]DATABASE!S508&gt;0),"Heavy Price Cut &gt;20%",""),IF(AND(OR(TRIM([1]DATABASE!Q508)="AVAILABLE",TRIM([1]DATABASE!Q508)="UPON REQUEST"),OR([1]DATABASE!T508="",[1]DATABASE!T508=0)),"Active Unit no Price",""),IF(AND(OR(TRIM([1]DATABASE!Q508)="AVAILABLE",TRIM([1]DATABASE!Q508)="RESERVED",TRIM([1]DATABASE!Q508)="PRE-RESERVED",TRIM([1]DATABASE!Q508)="PSPA"),[1]DATABASE!AC508=""),"Active no Owner",""),IF(OR([1]DATABASE!F508="",[1]DATABASE!F508&lt;=0),"Missing/Invalid Area",""),IF(AND([1]DATABASE!T508&gt;0,ABS([1]DATABASE!T508-[1]DATABASE!W508-[1]DATABASE!U508-[1]DATABASE!V508)&gt;1),"Price Bridge Mismatch",""))</f>
        <v/>
      </c>
      <c r="H547" t="str">
        <f t="shared" si="10"/>
        <v>PASS</v>
      </c>
      <c r="I547" s="90">
        <f>[1]DATABASE!T508</f>
        <v>765000</v>
      </c>
      <c r="J547" t="str">
        <f>[1]DATABASE!AC508</f>
        <v>João Gameiro</v>
      </c>
    </row>
    <row r="548" spans="1:10" ht="13.95" customHeight="1" x14ac:dyDescent="0.3">
      <c r="A548">
        <f>ROW([1]DATABASE!A509)</f>
        <v>509</v>
      </c>
      <c r="B548" t="str">
        <f>[1]DATABASE!AJ509</f>
        <v>Palmares</v>
      </c>
      <c r="C548" t="str">
        <f>[1]DATABASE!C509</f>
        <v>14B</v>
      </c>
      <c r="D548" t="str">
        <f>TRIM([1]DATABASE!Q509)</f>
        <v>AVAILABLE</v>
      </c>
      <c r="E548" s="82" t="str">
        <f>_xlfn.TEXTJOIN("; ",TRUE,IF([1]DATABASE!X509&lt;0,"Negative Discount",""),IF(AND([1]DATABASE!Y509&gt;[1]DATABASE!T509,[1]DATABASE!Y509&gt;0,[1]DATABASE!T509&gt;0),"Sell Price &gt; Current",""),IF(AND(TRIM([1]DATABASE!Q509)="DEED",[1]DATABASE!AA509=""),"Deeded no PSPA Date",""),IF([1]DATABASE!E509="","Missing Typology",""),IF([1]DATABASE!AJ509="","Missing Development",""))</f>
        <v/>
      </c>
      <c r="F548" s="82" t="str">
        <f>_xlfn.TEXTJOIN("; ",TRUE,IF(AND(OR(TRIM([1]DATABASE!Q509)="RESERVED",TRIM([1]DATABASE!Q509)="PRE-RESERVED",TRIM([1]DATABASE!Q509)="PSPA"),[1]DATABASE!AA509=""),"Reserved/PSPA no PSPA Date",""),IF(AND(TRIM([1]DATABASE!Q509)="AVAILABLE",[1]DATABASE!AA509&lt;&gt;""),"Available has PSPA Date",""))</f>
        <v/>
      </c>
      <c r="G548" s="82" t="str">
        <f>_xlfn.TEXTJOIN("; ",TRUE,IF(AND([1]DATABASE!T509&lt;0.8*[1]DATABASE!S509,[1]DATABASE!T509&gt;0,[1]DATABASE!S509&gt;0),"Heavy Price Cut &gt;20%",""),IF(AND(OR(TRIM([1]DATABASE!Q509)="AVAILABLE",TRIM([1]DATABASE!Q509)="UPON REQUEST"),OR([1]DATABASE!T509="",[1]DATABASE!T509=0)),"Active Unit no Price",""),IF(AND(OR(TRIM([1]DATABASE!Q509)="AVAILABLE",TRIM([1]DATABASE!Q509)="RESERVED",TRIM([1]DATABASE!Q509)="PRE-RESERVED",TRIM([1]DATABASE!Q509)="PSPA"),[1]DATABASE!AC509=""),"Active no Owner",""),IF(OR([1]DATABASE!F509="",[1]DATABASE!F509&lt;=0),"Missing/Invalid Area",""),IF(AND([1]DATABASE!T509&gt;0,ABS([1]DATABASE!T509-[1]DATABASE!W509-[1]DATABASE!U509-[1]DATABASE!V509)&gt;1),"Price Bridge Mismatch",""))</f>
        <v>Active no Owner</v>
      </c>
      <c r="H548" t="str">
        <f t="shared" si="10"/>
        <v>REVIEW</v>
      </c>
      <c r="I548" s="90">
        <f>[1]DATABASE!T509</f>
        <v>1980000</v>
      </c>
      <c r="J548">
        <f>[1]DATABASE!AC509</f>
        <v>0</v>
      </c>
    </row>
    <row r="549" spans="1:10" ht="13.95" customHeight="1" x14ac:dyDescent="0.3">
      <c r="A549">
        <f>ROW([1]DATABASE!A510)</f>
        <v>510</v>
      </c>
      <c r="B549" t="str">
        <f>[1]DATABASE!AJ510</f>
        <v>Palmares</v>
      </c>
      <c r="C549" t="str">
        <f>[1]DATABASE!C510</f>
        <v>17D</v>
      </c>
      <c r="D549" t="str">
        <f>TRIM([1]DATABASE!Q510)</f>
        <v>AVAILABLE</v>
      </c>
      <c r="E549" s="82" t="str">
        <f>_xlfn.TEXTJOIN("; ",TRUE,IF([1]DATABASE!X510&lt;0,"Negative Discount",""),IF(AND([1]DATABASE!Y510&gt;[1]DATABASE!T510,[1]DATABASE!Y510&gt;0,[1]DATABASE!T510&gt;0),"Sell Price &gt; Current",""),IF(AND(TRIM([1]DATABASE!Q510)="DEED",[1]DATABASE!AA510=""),"Deeded no PSPA Date",""),IF([1]DATABASE!E510="","Missing Typology",""),IF([1]DATABASE!AJ510="","Missing Development",""))</f>
        <v/>
      </c>
      <c r="F549" s="82" t="str">
        <f>_xlfn.TEXTJOIN("; ",TRUE,IF(AND(OR(TRIM([1]DATABASE!Q510)="RESERVED",TRIM([1]DATABASE!Q510)="PRE-RESERVED",TRIM([1]DATABASE!Q510)="PSPA"),[1]DATABASE!AA510=""),"Reserved/PSPA no PSPA Date",""),IF(AND(TRIM([1]DATABASE!Q510)="AVAILABLE",[1]DATABASE!AA510&lt;&gt;""),"Available has PSPA Date",""))</f>
        <v/>
      </c>
      <c r="G549" s="82" t="str">
        <f>_xlfn.TEXTJOIN("; ",TRUE,IF(AND([1]DATABASE!T510&lt;0.8*[1]DATABASE!S510,[1]DATABASE!T510&gt;0,[1]DATABASE!S510&gt;0),"Heavy Price Cut &gt;20%",""),IF(AND(OR(TRIM([1]DATABASE!Q510)="AVAILABLE",TRIM([1]DATABASE!Q510)="UPON REQUEST"),OR([1]DATABASE!T510="",[1]DATABASE!T510=0)),"Active Unit no Price",""),IF(AND(OR(TRIM([1]DATABASE!Q510)="AVAILABLE",TRIM([1]DATABASE!Q510)="RESERVED",TRIM([1]DATABASE!Q510)="PRE-RESERVED",TRIM([1]DATABASE!Q510)="PSPA"),[1]DATABASE!AC510=""),"Active no Owner",""),IF(OR([1]DATABASE!F510="",[1]DATABASE!F510&lt;=0),"Missing/Invalid Area",""),IF(AND([1]DATABASE!T510&gt;0,ABS([1]DATABASE!T510-[1]DATABASE!W510-[1]DATABASE!U510-[1]DATABASE!V510)&gt;1),"Price Bridge Mismatch",""))</f>
        <v>Active no Owner</v>
      </c>
      <c r="H549" t="str">
        <f t="shared" si="10"/>
        <v>REVIEW</v>
      </c>
      <c r="I549" s="90">
        <f>[1]DATABASE!T510</f>
        <v>2880000</v>
      </c>
      <c r="J549">
        <f>[1]DATABASE!AC510</f>
        <v>0</v>
      </c>
    </row>
    <row r="550" spans="1:10" ht="13.95" customHeight="1" x14ac:dyDescent="0.3">
      <c r="A550">
        <f>ROW([1]DATABASE!A511)</f>
        <v>511</v>
      </c>
      <c r="B550" t="str">
        <f>[1]DATABASE!AJ511</f>
        <v>The Uncommon</v>
      </c>
      <c r="C550" t="str">
        <f>[1]DATABASE!C511</f>
        <v>111</v>
      </c>
      <c r="D550" t="str">
        <f>TRIM([1]DATABASE!Q511)</f>
        <v>AVAILABLE</v>
      </c>
      <c r="E550" s="82" t="str">
        <f>_xlfn.TEXTJOIN("; ",TRUE,IF([1]DATABASE!X511&lt;0,"Negative Discount",""),IF(AND([1]DATABASE!Y511&gt;[1]DATABASE!T511,[1]DATABASE!Y511&gt;0,[1]DATABASE!T511&gt;0),"Sell Price &gt; Current",""),IF(AND(TRIM([1]DATABASE!Q511)="DEED",[1]DATABASE!AA511=""),"Deeded no PSPA Date",""),IF([1]DATABASE!E511="","Missing Typology",""),IF([1]DATABASE!AJ511="","Missing Development",""))</f>
        <v/>
      </c>
      <c r="F550" s="82" t="str">
        <f>_xlfn.TEXTJOIN("; ",TRUE,IF(AND(OR(TRIM([1]DATABASE!Q511)="RESERVED",TRIM([1]DATABASE!Q511)="PRE-RESERVED",TRIM([1]DATABASE!Q511)="PSPA"),[1]DATABASE!AA511=""),"Reserved/PSPA no PSPA Date",""),IF(AND(TRIM([1]DATABASE!Q511)="AVAILABLE",[1]DATABASE!AA511&lt;&gt;""),"Available has PSPA Date",""))</f>
        <v/>
      </c>
      <c r="G550" s="82" t="str">
        <f>_xlfn.TEXTJOIN("; ",TRUE,IF(AND([1]DATABASE!T511&lt;0.8*[1]DATABASE!S511,[1]DATABASE!T511&gt;0,[1]DATABASE!S511&gt;0),"Heavy Price Cut &gt;20%",""),IF(AND(OR(TRIM([1]DATABASE!Q511)="AVAILABLE",TRIM([1]DATABASE!Q511)="UPON REQUEST"),OR([1]DATABASE!T511="",[1]DATABASE!T511=0)),"Active Unit no Price",""),IF(AND(OR(TRIM([1]DATABASE!Q511)="AVAILABLE",TRIM([1]DATABASE!Q511)="RESERVED",TRIM([1]DATABASE!Q511)="PRE-RESERVED",TRIM([1]DATABASE!Q511)="PSPA"),[1]DATABASE!AC511=""),"Active no Owner",""),IF(OR([1]DATABASE!F511="",[1]DATABASE!F511&lt;=0),"Missing/Invalid Area",""),IF(AND([1]DATABASE!T511&gt;0,ABS([1]DATABASE!T511-[1]DATABASE!W511-[1]DATABASE!U511-[1]DATABASE!V511)&gt;1),"Price Bridge Mismatch",""))</f>
        <v/>
      </c>
      <c r="H550" t="str">
        <f t="shared" si="10"/>
        <v>PASS</v>
      </c>
      <c r="I550" s="90">
        <f>[1]DATABASE!T511</f>
        <v>700000</v>
      </c>
      <c r="J550" t="str">
        <f>[1]DATABASE!AC511</f>
        <v>Ana Damásio</v>
      </c>
    </row>
    <row r="551" spans="1:10" ht="13.95" customHeight="1" x14ac:dyDescent="0.3">
      <c r="A551">
        <f>ROW([1]DATABASE!A512)</f>
        <v>512</v>
      </c>
      <c r="B551" t="str">
        <f>[1]DATABASE!AJ512</f>
        <v>The Uncommon</v>
      </c>
      <c r="C551" t="str">
        <f>[1]DATABASE!C512</f>
        <v>112</v>
      </c>
      <c r="D551" t="str">
        <f>TRIM([1]DATABASE!Q512)</f>
        <v>AVAILABLE</v>
      </c>
      <c r="E551" s="82" t="str">
        <f>_xlfn.TEXTJOIN("; ",TRUE,IF([1]DATABASE!X512&lt;0,"Negative Discount",""),IF(AND([1]DATABASE!Y512&gt;[1]DATABASE!T512,[1]DATABASE!Y512&gt;0,[1]DATABASE!T512&gt;0),"Sell Price &gt; Current",""),IF(AND(TRIM([1]DATABASE!Q512)="DEED",[1]DATABASE!AA512=""),"Deeded no PSPA Date",""),IF([1]DATABASE!E512="","Missing Typology",""),IF([1]DATABASE!AJ512="","Missing Development",""))</f>
        <v/>
      </c>
      <c r="F551" s="82" t="str">
        <f>_xlfn.TEXTJOIN("; ",TRUE,IF(AND(OR(TRIM([1]DATABASE!Q512)="RESERVED",TRIM([1]DATABASE!Q512)="PRE-RESERVED",TRIM([1]DATABASE!Q512)="PSPA"),[1]DATABASE!AA512=""),"Reserved/PSPA no PSPA Date",""),IF(AND(TRIM([1]DATABASE!Q512)="AVAILABLE",[1]DATABASE!AA512&lt;&gt;""),"Available has PSPA Date",""))</f>
        <v/>
      </c>
      <c r="G551" s="82" t="str">
        <f>_xlfn.TEXTJOIN("; ",TRUE,IF(AND([1]DATABASE!T512&lt;0.8*[1]DATABASE!S512,[1]DATABASE!T512&gt;0,[1]DATABASE!S512&gt;0),"Heavy Price Cut &gt;20%",""),IF(AND(OR(TRIM([1]DATABASE!Q512)="AVAILABLE",TRIM([1]DATABASE!Q512)="UPON REQUEST"),OR([1]DATABASE!T512="",[1]DATABASE!T512=0)),"Active Unit no Price",""),IF(AND(OR(TRIM([1]DATABASE!Q512)="AVAILABLE",TRIM([1]DATABASE!Q512)="RESERVED",TRIM([1]DATABASE!Q512)="PRE-RESERVED",TRIM([1]DATABASE!Q512)="PSPA"),[1]DATABASE!AC512=""),"Active no Owner",""),IF(OR([1]DATABASE!F512="",[1]DATABASE!F512&lt;=0),"Missing/Invalid Area",""),IF(AND([1]DATABASE!T512&gt;0,ABS([1]DATABASE!T512-[1]DATABASE!W512-[1]DATABASE!U512-[1]DATABASE!V512)&gt;1),"Price Bridge Mismatch",""))</f>
        <v/>
      </c>
      <c r="H551" t="str">
        <f t="shared" si="10"/>
        <v>PASS</v>
      </c>
      <c r="I551" s="90">
        <f>[1]DATABASE!T512</f>
        <v>740000</v>
      </c>
      <c r="J551" t="str">
        <f>[1]DATABASE!AC512</f>
        <v>Ana Damásio</v>
      </c>
    </row>
    <row r="552" spans="1:10" ht="13.95" customHeight="1" x14ac:dyDescent="0.3">
      <c r="A552">
        <f>ROW([1]DATABASE!A513)</f>
        <v>513</v>
      </c>
      <c r="B552" t="str">
        <f>[1]DATABASE!AJ513</f>
        <v>The Uncommon</v>
      </c>
      <c r="C552" t="str">
        <f>[1]DATABASE!C513</f>
        <v>113</v>
      </c>
      <c r="D552" t="str">
        <f>TRIM([1]DATABASE!Q513)</f>
        <v>AVAILABLE</v>
      </c>
      <c r="E552" s="82" t="str">
        <f>_xlfn.TEXTJOIN("; ",TRUE,IF([1]DATABASE!X513&lt;0,"Negative Discount",""),IF(AND([1]DATABASE!Y513&gt;[1]DATABASE!T513,[1]DATABASE!Y513&gt;0,[1]DATABASE!T513&gt;0),"Sell Price &gt; Current",""),IF(AND(TRIM([1]DATABASE!Q513)="DEED",[1]DATABASE!AA513=""),"Deeded no PSPA Date",""),IF([1]DATABASE!E513="","Missing Typology",""),IF([1]DATABASE!AJ513="","Missing Development",""))</f>
        <v/>
      </c>
      <c r="F552" s="82" t="str">
        <f>_xlfn.TEXTJOIN("; ",TRUE,IF(AND(OR(TRIM([1]DATABASE!Q513)="RESERVED",TRIM([1]DATABASE!Q513)="PRE-RESERVED",TRIM([1]DATABASE!Q513)="PSPA"),[1]DATABASE!AA513=""),"Reserved/PSPA no PSPA Date",""),IF(AND(TRIM([1]DATABASE!Q513)="AVAILABLE",[1]DATABASE!AA513&lt;&gt;""),"Available has PSPA Date",""))</f>
        <v/>
      </c>
      <c r="G552" s="82" t="str">
        <f>_xlfn.TEXTJOIN("; ",TRUE,IF(AND([1]DATABASE!T513&lt;0.8*[1]DATABASE!S513,[1]DATABASE!T513&gt;0,[1]DATABASE!S513&gt;0),"Heavy Price Cut &gt;20%",""),IF(AND(OR(TRIM([1]DATABASE!Q513)="AVAILABLE",TRIM([1]DATABASE!Q513)="UPON REQUEST"),OR([1]DATABASE!T513="",[1]DATABASE!T513=0)),"Active Unit no Price",""),IF(AND(OR(TRIM([1]DATABASE!Q513)="AVAILABLE",TRIM([1]DATABASE!Q513)="RESERVED",TRIM([1]DATABASE!Q513)="PRE-RESERVED",TRIM([1]DATABASE!Q513)="PSPA"),[1]DATABASE!AC513=""),"Active no Owner",""),IF(OR([1]DATABASE!F513="",[1]DATABASE!F513&lt;=0),"Missing/Invalid Area",""),IF(AND([1]DATABASE!T513&gt;0,ABS([1]DATABASE!T513-[1]DATABASE!W513-[1]DATABASE!U513-[1]DATABASE!V513)&gt;1),"Price Bridge Mismatch",""))</f>
        <v/>
      </c>
      <c r="H552" t="str">
        <f t="shared" si="10"/>
        <v>PASS</v>
      </c>
      <c r="I552" s="90">
        <f>[1]DATABASE!T513</f>
        <v>780000</v>
      </c>
      <c r="J552" t="str">
        <f>[1]DATABASE!AC513</f>
        <v>Ana Damásio</v>
      </c>
    </row>
    <row r="553" spans="1:10" ht="13.95" customHeight="1" x14ac:dyDescent="0.3">
      <c r="A553">
        <f>ROW([1]DATABASE!A514)</f>
        <v>514</v>
      </c>
      <c r="B553" t="str">
        <f>[1]DATABASE!AJ514</f>
        <v>The Uncommon</v>
      </c>
      <c r="C553" t="str">
        <f>[1]DATABASE!C514</f>
        <v>114</v>
      </c>
      <c r="D553" t="str">
        <f>TRIM([1]DATABASE!Q514)</f>
        <v>AVAILABLE</v>
      </c>
      <c r="E553" s="82" t="str">
        <f>_xlfn.TEXTJOIN("; ",TRUE,IF([1]DATABASE!X514&lt;0,"Negative Discount",""),IF(AND([1]DATABASE!Y514&gt;[1]DATABASE!T514,[1]DATABASE!Y514&gt;0,[1]DATABASE!T514&gt;0),"Sell Price &gt; Current",""),IF(AND(TRIM([1]DATABASE!Q514)="DEED",[1]DATABASE!AA514=""),"Deeded no PSPA Date",""),IF([1]DATABASE!E514="","Missing Typology",""),IF([1]DATABASE!AJ514="","Missing Development",""))</f>
        <v/>
      </c>
      <c r="F553" s="82" t="str">
        <f>_xlfn.TEXTJOIN("; ",TRUE,IF(AND(OR(TRIM([1]DATABASE!Q514)="RESERVED",TRIM([1]DATABASE!Q514)="PRE-RESERVED",TRIM([1]DATABASE!Q514)="PSPA"),[1]DATABASE!AA514=""),"Reserved/PSPA no PSPA Date",""),IF(AND(TRIM([1]DATABASE!Q514)="AVAILABLE",[1]DATABASE!AA514&lt;&gt;""),"Available has PSPA Date",""))</f>
        <v/>
      </c>
      <c r="G553" s="82" t="str">
        <f>_xlfn.TEXTJOIN("; ",TRUE,IF(AND([1]DATABASE!T514&lt;0.8*[1]DATABASE!S514,[1]DATABASE!T514&gt;0,[1]DATABASE!S514&gt;0),"Heavy Price Cut &gt;20%",""),IF(AND(OR(TRIM([1]DATABASE!Q514)="AVAILABLE",TRIM([1]DATABASE!Q514)="UPON REQUEST"),OR([1]DATABASE!T514="",[1]DATABASE!T514=0)),"Active Unit no Price",""),IF(AND(OR(TRIM([1]DATABASE!Q514)="AVAILABLE",TRIM([1]DATABASE!Q514)="RESERVED",TRIM([1]DATABASE!Q514)="PRE-RESERVED",TRIM([1]DATABASE!Q514)="PSPA"),[1]DATABASE!AC514=""),"Active no Owner",""),IF(OR([1]DATABASE!F514="",[1]DATABASE!F514&lt;=0),"Missing/Invalid Area",""),IF(AND([1]DATABASE!T514&gt;0,ABS([1]DATABASE!T514-[1]DATABASE!W514-[1]DATABASE!U514-[1]DATABASE!V514)&gt;1),"Price Bridge Mismatch",""))</f>
        <v/>
      </c>
      <c r="H553" t="str">
        <f t="shared" si="10"/>
        <v>PASS</v>
      </c>
      <c r="I553" s="90">
        <f>[1]DATABASE!T514</f>
        <v>830000</v>
      </c>
      <c r="J553" t="str">
        <f>[1]DATABASE!AC514</f>
        <v>Ana Damásio</v>
      </c>
    </row>
    <row r="554" spans="1:10" ht="13.95" customHeight="1" x14ac:dyDescent="0.3">
      <c r="A554">
        <f>ROW([1]DATABASE!A515)</f>
        <v>515</v>
      </c>
      <c r="B554" t="str">
        <f>[1]DATABASE!AJ515</f>
        <v>The Uncommon</v>
      </c>
      <c r="C554" t="str">
        <f>[1]DATABASE!C515</f>
        <v>115</v>
      </c>
      <c r="D554" t="str">
        <f>TRIM([1]DATABASE!Q515)</f>
        <v>AVAILABLE</v>
      </c>
      <c r="E554" s="82" t="str">
        <f>_xlfn.TEXTJOIN("; ",TRUE,IF([1]DATABASE!X515&lt;0,"Negative Discount",""),IF(AND([1]DATABASE!Y515&gt;[1]DATABASE!T515,[1]DATABASE!Y515&gt;0,[1]DATABASE!T515&gt;0),"Sell Price &gt; Current",""),IF(AND(TRIM([1]DATABASE!Q515)="DEED",[1]DATABASE!AA515=""),"Deeded no PSPA Date",""),IF([1]DATABASE!E515="","Missing Typology",""),IF([1]DATABASE!AJ515="","Missing Development",""))</f>
        <v/>
      </c>
      <c r="F554" s="82" t="str">
        <f>_xlfn.TEXTJOIN("; ",TRUE,IF(AND(OR(TRIM([1]DATABASE!Q515)="RESERVED",TRIM([1]DATABASE!Q515)="PRE-RESERVED",TRIM([1]DATABASE!Q515)="PSPA"),[1]DATABASE!AA515=""),"Reserved/PSPA no PSPA Date",""),IF(AND(TRIM([1]DATABASE!Q515)="AVAILABLE",[1]DATABASE!AA515&lt;&gt;""),"Available has PSPA Date",""))</f>
        <v/>
      </c>
      <c r="G554" s="82" t="str">
        <f>_xlfn.TEXTJOIN("; ",TRUE,IF(AND([1]DATABASE!T515&lt;0.8*[1]DATABASE!S515,[1]DATABASE!T515&gt;0,[1]DATABASE!S515&gt;0),"Heavy Price Cut &gt;20%",""),IF(AND(OR(TRIM([1]DATABASE!Q515)="AVAILABLE",TRIM([1]DATABASE!Q515)="UPON REQUEST"),OR([1]DATABASE!T515="",[1]DATABASE!T515=0)),"Active Unit no Price",""),IF(AND(OR(TRIM([1]DATABASE!Q515)="AVAILABLE",TRIM([1]DATABASE!Q515)="RESERVED",TRIM([1]DATABASE!Q515)="PRE-RESERVED",TRIM([1]DATABASE!Q515)="PSPA"),[1]DATABASE!AC515=""),"Active no Owner",""),IF(OR([1]DATABASE!F515="",[1]DATABASE!F515&lt;=0),"Missing/Invalid Area",""),IF(AND([1]DATABASE!T515&gt;0,ABS([1]DATABASE!T515-[1]DATABASE!W515-[1]DATABASE!U515-[1]DATABASE!V515)&gt;1),"Price Bridge Mismatch",""))</f>
        <v/>
      </c>
      <c r="H554" t="str">
        <f t="shared" ref="H554:H617" si="11">IF(LEN(E554&amp;F554&amp;G554)&gt;0,"REVIEW","PASS")</f>
        <v>PASS</v>
      </c>
      <c r="I554" s="90">
        <f>[1]DATABASE!T515</f>
        <v>890000</v>
      </c>
      <c r="J554" t="str">
        <f>[1]DATABASE!AC515</f>
        <v>Ana Damásio</v>
      </c>
    </row>
    <row r="555" spans="1:10" ht="13.95" customHeight="1" x14ac:dyDescent="0.3">
      <c r="A555">
        <f>ROW([1]DATABASE!A516)</f>
        <v>516</v>
      </c>
      <c r="B555" t="str">
        <f>[1]DATABASE!AJ516</f>
        <v>Aroeira Collections</v>
      </c>
      <c r="C555" t="str">
        <f>[1]DATABASE!C516</f>
        <v>211B</v>
      </c>
      <c r="D555" t="str">
        <f>TRIM([1]DATABASE!Q516)</f>
        <v>AVAILABLE</v>
      </c>
      <c r="E555" s="82" t="str">
        <f>_xlfn.TEXTJOIN("; ",TRUE,IF([1]DATABASE!X516&lt;0,"Negative Discount",""),IF(AND([1]DATABASE!Y516&gt;[1]DATABASE!T516,[1]DATABASE!Y516&gt;0,[1]DATABASE!T516&gt;0),"Sell Price &gt; Current",""),IF(AND(TRIM([1]DATABASE!Q516)="DEED",[1]DATABASE!AA516=""),"Deeded no PSPA Date",""),IF([1]DATABASE!E516="","Missing Typology",""),IF([1]DATABASE!AJ516="","Missing Development",""))</f>
        <v/>
      </c>
      <c r="F555" s="82" t="str">
        <f>_xlfn.TEXTJOIN("; ",TRUE,IF(AND(OR(TRIM([1]DATABASE!Q516)="RESERVED",TRIM([1]DATABASE!Q516)="PRE-RESERVED",TRIM([1]DATABASE!Q516)="PSPA"),[1]DATABASE!AA516=""),"Reserved/PSPA no PSPA Date",""),IF(AND(TRIM([1]DATABASE!Q516)="AVAILABLE",[1]DATABASE!AA516&lt;&gt;""),"Available has PSPA Date",""))</f>
        <v/>
      </c>
      <c r="G555" s="82" t="str">
        <f>_xlfn.TEXTJOIN("; ",TRUE,IF(AND([1]DATABASE!T516&lt;0.8*[1]DATABASE!S516,[1]DATABASE!T516&gt;0,[1]DATABASE!S516&gt;0),"Heavy Price Cut &gt;20%",""),IF(AND(OR(TRIM([1]DATABASE!Q516)="AVAILABLE",TRIM([1]DATABASE!Q516)="UPON REQUEST"),OR([1]DATABASE!T516="",[1]DATABASE!T516=0)),"Active Unit no Price",""),IF(AND(OR(TRIM([1]DATABASE!Q516)="AVAILABLE",TRIM([1]DATABASE!Q516)="RESERVED",TRIM([1]DATABASE!Q516)="PRE-RESERVED",TRIM([1]DATABASE!Q516)="PSPA"),[1]DATABASE!AC516=""),"Active no Owner",""),IF(OR([1]DATABASE!F516="",[1]DATABASE!F516&lt;=0),"Missing/Invalid Area",""),IF(AND([1]DATABASE!T516&gt;0,ABS([1]DATABASE!T516-[1]DATABASE!W516-[1]DATABASE!U516-[1]DATABASE!V516)&gt;1),"Price Bridge Mismatch",""))</f>
        <v/>
      </c>
      <c r="H555" t="str">
        <f t="shared" si="11"/>
        <v>PASS</v>
      </c>
      <c r="I555" s="90">
        <f>[1]DATABASE!T516</f>
        <v>645000</v>
      </c>
      <c r="J555" t="str">
        <f>[1]DATABASE!AC516</f>
        <v>João Gameiro</v>
      </c>
    </row>
    <row r="556" spans="1:10" ht="13.95" customHeight="1" x14ac:dyDescent="0.3">
      <c r="A556">
        <f>ROW([1]DATABASE!A517)</f>
        <v>517</v>
      </c>
      <c r="B556" t="str">
        <f>[1]DATABASE!AJ517</f>
        <v>Aroeira Collections</v>
      </c>
      <c r="C556" t="str">
        <f>[1]DATABASE!C517</f>
        <v>211B</v>
      </c>
      <c r="D556" t="str">
        <f>TRIM([1]DATABASE!Q517)</f>
        <v>NOT FOR SALE</v>
      </c>
      <c r="E556" s="82" t="str">
        <f>_xlfn.TEXTJOIN("; ",TRUE,IF([1]DATABASE!X517&lt;0,"Negative Discount",""),IF(AND([1]DATABASE!Y517&gt;[1]DATABASE!T517,[1]DATABASE!Y517&gt;0,[1]DATABASE!T517&gt;0),"Sell Price &gt; Current",""),IF(AND(TRIM([1]DATABASE!Q517)="DEED",[1]DATABASE!AA517=""),"Deeded no PSPA Date",""),IF([1]DATABASE!E517="","Missing Typology",""),IF([1]DATABASE!AJ517="","Missing Development",""))</f>
        <v/>
      </c>
      <c r="F556" s="82" t="str">
        <f>_xlfn.TEXTJOIN("; ",TRUE,IF(AND(OR(TRIM([1]DATABASE!Q517)="RESERVED",TRIM([1]DATABASE!Q517)="PRE-RESERVED",TRIM([1]DATABASE!Q517)="PSPA"),[1]DATABASE!AA517=""),"Reserved/PSPA no PSPA Date",""),IF(AND(TRIM([1]DATABASE!Q517)="AVAILABLE",[1]DATABASE!AA517&lt;&gt;""),"Available has PSPA Date",""))</f>
        <v/>
      </c>
      <c r="G556" s="82" t="str">
        <f>_xlfn.TEXTJOIN("; ",TRUE,IF(AND([1]DATABASE!T517&lt;0.8*[1]DATABASE!S517,[1]DATABASE!T517&gt;0,[1]DATABASE!S517&gt;0),"Heavy Price Cut &gt;20%",""),IF(AND(OR(TRIM([1]DATABASE!Q517)="AVAILABLE",TRIM([1]DATABASE!Q517)="UPON REQUEST"),OR([1]DATABASE!T517="",[1]DATABASE!T517=0)),"Active Unit no Price",""),IF(AND(OR(TRIM([1]DATABASE!Q517)="AVAILABLE",TRIM([1]DATABASE!Q517)="RESERVED",TRIM([1]DATABASE!Q517)="PRE-RESERVED",TRIM([1]DATABASE!Q517)="PSPA"),[1]DATABASE!AC517=""),"Active no Owner",""),IF(OR([1]DATABASE!F517="",[1]DATABASE!F517&lt;=0),"Missing/Invalid Area",""),IF(AND([1]DATABASE!T517&gt;0,ABS([1]DATABASE!T517-[1]DATABASE!W517-[1]DATABASE!U517-[1]DATABASE!V517)&gt;1),"Price Bridge Mismatch",""))</f>
        <v/>
      </c>
      <c r="H556" t="str">
        <f t="shared" si="11"/>
        <v>PASS</v>
      </c>
      <c r="I556" s="90">
        <f>[1]DATABASE!T517</f>
        <v>780000</v>
      </c>
      <c r="J556" t="str">
        <f>[1]DATABASE!AC517</f>
        <v>João Gameiro</v>
      </c>
    </row>
    <row r="557" spans="1:10" ht="13.95" customHeight="1" x14ac:dyDescent="0.3">
      <c r="A557">
        <f>ROW([1]DATABASE!A518)</f>
        <v>518</v>
      </c>
      <c r="B557" t="str">
        <f>[1]DATABASE!AJ518</f>
        <v>Aroeira Collections</v>
      </c>
      <c r="C557" t="str">
        <f>[1]DATABASE!C518</f>
        <v>212B</v>
      </c>
      <c r="D557" t="str">
        <f>TRIM([1]DATABASE!Q518)</f>
        <v>AVAILABLE</v>
      </c>
      <c r="E557" s="82" t="str">
        <f>_xlfn.TEXTJOIN("; ",TRUE,IF([1]DATABASE!X518&lt;0,"Negative Discount",""),IF(AND([1]DATABASE!Y518&gt;[1]DATABASE!T518,[1]DATABASE!Y518&gt;0,[1]DATABASE!T518&gt;0),"Sell Price &gt; Current",""),IF(AND(TRIM([1]DATABASE!Q518)="DEED",[1]DATABASE!AA518=""),"Deeded no PSPA Date",""),IF([1]DATABASE!E518="","Missing Typology",""),IF([1]DATABASE!AJ518="","Missing Development",""))</f>
        <v/>
      </c>
      <c r="F557" s="82" t="str">
        <f>_xlfn.TEXTJOIN("; ",TRUE,IF(AND(OR(TRIM([1]DATABASE!Q518)="RESERVED",TRIM([1]DATABASE!Q518)="PRE-RESERVED",TRIM([1]DATABASE!Q518)="PSPA"),[1]DATABASE!AA518=""),"Reserved/PSPA no PSPA Date",""),IF(AND(TRIM([1]DATABASE!Q518)="AVAILABLE",[1]DATABASE!AA518&lt;&gt;""),"Available has PSPA Date",""))</f>
        <v/>
      </c>
      <c r="G557" s="82" t="str">
        <f>_xlfn.TEXTJOIN("; ",TRUE,IF(AND([1]DATABASE!T518&lt;0.8*[1]DATABASE!S518,[1]DATABASE!T518&gt;0,[1]DATABASE!S518&gt;0),"Heavy Price Cut &gt;20%",""),IF(AND(OR(TRIM([1]DATABASE!Q518)="AVAILABLE",TRIM([1]DATABASE!Q518)="UPON REQUEST"),OR([1]DATABASE!T518="",[1]DATABASE!T518=0)),"Active Unit no Price",""),IF(AND(OR(TRIM([1]DATABASE!Q518)="AVAILABLE",TRIM([1]DATABASE!Q518)="RESERVED",TRIM([1]DATABASE!Q518)="PRE-RESERVED",TRIM([1]DATABASE!Q518)="PSPA"),[1]DATABASE!AC518=""),"Active no Owner",""),IF(OR([1]DATABASE!F518="",[1]DATABASE!F518&lt;=0),"Missing/Invalid Area",""),IF(AND([1]DATABASE!T518&gt;0,ABS([1]DATABASE!T518-[1]DATABASE!W518-[1]DATABASE!U518-[1]DATABASE!V518)&gt;1),"Price Bridge Mismatch",""))</f>
        <v/>
      </c>
      <c r="H557" t="str">
        <f t="shared" si="11"/>
        <v>PASS</v>
      </c>
      <c r="I557" s="90">
        <f>[1]DATABASE!T518</f>
        <v>645000</v>
      </c>
      <c r="J557" t="str">
        <f>[1]DATABASE!AC518</f>
        <v>João Gameiro</v>
      </c>
    </row>
    <row r="558" spans="1:10" ht="13.95" customHeight="1" x14ac:dyDescent="0.3">
      <c r="A558">
        <f>ROW([1]DATABASE!A519)</f>
        <v>519</v>
      </c>
      <c r="B558" t="str">
        <f>[1]DATABASE!AJ519</f>
        <v>Aroeira Collections</v>
      </c>
      <c r="C558" t="str">
        <f>[1]DATABASE!C519</f>
        <v>212B</v>
      </c>
      <c r="D558" t="str">
        <f>TRIM([1]DATABASE!Q519)</f>
        <v>NOT FOR SALE</v>
      </c>
      <c r="E558" s="82" t="str">
        <f>_xlfn.TEXTJOIN("; ",TRUE,IF([1]DATABASE!X519&lt;0,"Negative Discount",""),IF(AND([1]DATABASE!Y519&gt;[1]DATABASE!T519,[1]DATABASE!Y519&gt;0,[1]DATABASE!T519&gt;0),"Sell Price &gt; Current",""),IF(AND(TRIM([1]DATABASE!Q519)="DEED",[1]DATABASE!AA519=""),"Deeded no PSPA Date",""),IF([1]DATABASE!E519="","Missing Typology",""),IF([1]DATABASE!AJ519="","Missing Development",""))</f>
        <v/>
      </c>
      <c r="F558" s="82" t="str">
        <f>_xlfn.TEXTJOIN("; ",TRUE,IF(AND(OR(TRIM([1]DATABASE!Q519)="RESERVED",TRIM([1]DATABASE!Q519)="PRE-RESERVED",TRIM([1]DATABASE!Q519)="PSPA"),[1]DATABASE!AA519=""),"Reserved/PSPA no PSPA Date",""),IF(AND(TRIM([1]DATABASE!Q519)="AVAILABLE",[1]DATABASE!AA519&lt;&gt;""),"Available has PSPA Date",""))</f>
        <v/>
      </c>
      <c r="G558" s="82" t="str">
        <f>_xlfn.TEXTJOIN("; ",TRUE,IF(AND([1]DATABASE!T519&lt;0.8*[1]DATABASE!S519,[1]DATABASE!T519&gt;0,[1]DATABASE!S519&gt;0),"Heavy Price Cut &gt;20%",""),IF(AND(OR(TRIM([1]DATABASE!Q519)="AVAILABLE",TRIM([1]DATABASE!Q519)="UPON REQUEST"),OR([1]DATABASE!T519="",[1]DATABASE!T519=0)),"Active Unit no Price",""),IF(AND(OR(TRIM([1]DATABASE!Q519)="AVAILABLE",TRIM([1]DATABASE!Q519)="RESERVED",TRIM([1]DATABASE!Q519)="PRE-RESERVED",TRIM([1]DATABASE!Q519)="PSPA"),[1]DATABASE!AC519=""),"Active no Owner",""),IF(OR([1]DATABASE!F519="",[1]DATABASE!F519&lt;=0),"Missing/Invalid Area",""),IF(AND([1]DATABASE!T519&gt;0,ABS([1]DATABASE!T519-[1]DATABASE!W519-[1]DATABASE!U519-[1]DATABASE!V519)&gt;1),"Price Bridge Mismatch",""))</f>
        <v/>
      </c>
      <c r="H558" t="str">
        <f t="shared" si="11"/>
        <v>PASS</v>
      </c>
      <c r="I558" s="90">
        <f>[1]DATABASE!T519</f>
        <v>770000</v>
      </c>
      <c r="J558" t="str">
        <f>[1]DATABASE!AC519</f>
        <v>João Gameiro</v>
      </c>
    </row>
    <row r="559" spans="1:10" ht="13.95" customHeight="1" x14ac:dyDescent="0.3">
      <c r="A559">
        <f>ROW([1]DATABASE!A520)</f>
        <v>520</v>
      </c>
      <c r="B559" t="str">
        <f>[1]DATABASE!AJ520</f>
        <v>Aroeira Collections</v>
      </c>
      <c r="C559" t="str">
        <f>[1]DATABASE!C520</f>
        <v>213B</v>
      </c>
      <c r="D559" t="str">
        <f>TRIM([1]DATABASE!Q520)</f>
        <v>AVAILABLE</v>
      </c>
      <c r="E559" s="82" t="str">
        <f>_xlfn.TEXTJOIN("; ",TRUE,IF([1]DATABASE!X520&lt;0,"Negative Discount",""),IF(AND([1]DATABASE!Y520&gt;[1]DATABASE!T520,[1]DATABASE!Y520&gt;0,[1]DATABASE!T520&gt;0),"Sell Price &gt; Current",""),IF(AND(TRIM([1]DATABASE!Q520)="DEED",[1]DATABASE!AA520=""),"Deeded no PSPA Date",""),IF([1]DATABASE!E520="","Missing Typology",""),IF([1]DATABASE!AJ520="","Missing Development",""))</f>
        <v/>
      </c>
      <c r="F559" s="82" t="str">
        <f>_xlfn.TEXTJOIN("; ",TRUE,IF(AND(OR(TRIM([1]DATABASE!Q520)="RESERVED",TRIM([1]DATABASE!Q520)="PRE-RESERVED",TRIM([1]DATABASE!Q520)="PSPA"),[1]DATABASE!AA520=""),"Reserved/PSPA no PSPA Date",""),IF(AND(TRIM([1]DATABASE!Q520)="AVAILABLE",[1]DATABASE!AA520&lt;&gt;""),"Available has PSPA Date",""))</f>
        <v/>
      </c>
      <c r="G559" s="82" t="str">
        <f>_xlfn.TEXTJOIN("; ",TRUE,IF(AND([1]DATABASE!T520&lt;0.8*[1]DATABASE!S520,[1]DATABASE!T520&gt;0,[1]DATABASE!S520&gt;0),"Heavy Price Cut &gt;20%",""),IF(AND(OR(TRIM([1]DATABASE!Q520)="AVAILABLE",TRIM([1]DATABASE!Q520)="UPON REQUEST"),OR([1]DATABASE!T520="",[1]DATABASE!T520=0)),"Active Unit no Price",""),IF(AND(OR(TRIM([1]DATABASE!Q520)="AVAILABLE",TRIM([1]DATABASE!Q520)="RESERVED",TRIM([1]DATABASE!Q520)="PRE-RESERVED",TRIM([1]DATABASE!Q520)="PSPA"),[1]DATABASE!AC520=""),"Active no Owner",""),IF(OR([1]DATABASE!F520="",[1]DATABASE!F520&lt;=0),"Missing/Invalid Area",""),IF(AND([1]DATABASE!T520&gt;0,ABS([1]DATABASE!T520-[1]DATABASE!W520-[1]DATABASE!U520-[1]DATABASE!V520)&gt;1),"Price Bridge Mismatch",""))</f>
        <v/>
      </c>
      <c r="H559" t="str">
        <f t="shared" si="11"/>
        <v>PASS</v>
      </c>
      <c r="I559" s="90">
        <f>[1]DATABASE!T520</f>
        <v>645000</v>
      </c>
      <c r="J559" t="str">
        <f>[1]DATABASE!AC520</f>
        <v>João Gameiro</v>
      </c>
    </row>
    <row r="560" spans="1:10" ht="13.95" customHeight="1" x14ac:dyDescent="0.3">
      <c r="A560">
        <f>ROW([1]DATABASE!A521)</f>
        <v>521</v>
      </c>
      <c r="B560" t="str">
        <f>[1]DATABASE!AJ521</f>
        <v>Aroeira Collections</v>
      </c>
      <c r="C560" t="str">
        <f>[1]DATABASE!C521</f>
        <v>213C</v>
      </c>
      <c r="D560" t="str">
        <f>TRIM([1]DATABASE!Q521)</f>
        <v>AVAILABLE</v>
      </c>
      <c r="E560" s="82" t="str">
        <f>_xlfn.TEXTJOIN("; ",TRUE,IF([1]DATABASE!X521&lt;0,"Negative Discount",""),IF(AND([1]DATABASE!Y521&gt;[1]DATABASE!T521,[1]DATABASE!Y521&gt;0,[1]DATABASE!T521&gt;0),"Sell Price &gt; Current",""),IF(AND(TRIM([1]DATABASE!Q521)="DEED",[1]DATABASE!AA521=""),"Deeded no PSPA Date",""),IF([1]DATABASE!E521="","Missing Typology",""),IF([1]DATABASE!AJ521="","Missing Development",""))</f>
        <v/>
      </c>
      <c r="F560" s="82" t="str">
        <f>_xlfn.TEXTJOIN("; ",TRUE,IF(AND(OR(TRIM([1]DATABASE!Q521)="RESERVED",TRIM([1]DATABASE!Q521)="PRE-RESERVED",TRIM([1]DATABASE!Q521)="PSPA"),[1]DATABASE!AA521=""),"Reserved/PSPA no PSPA Date",""),IF(AND(TRIM([1]DATABASE!Q521)="AVAILABLE",[1]DATABASE!AA521&lt;&gt;""),"Available has PSPA Date",""))</f>
        <v/>
      </c>
      <c r="G560" s="82" t="str">
        <f>_xlfn.TEXTJOIN("; ",TRUE,IF(AND([1]DATABASE!T521&lt;0.8*[1]DATABASE!S521,[1]DATABASE!T521&gt;0,[1]DATABASE!S521&gt;0),"Heavy Price Cut &gt;20%",""),IF(AND(OR(TRIM([1]DATABASE!Q521)="AVAILABLE",TRIM([1]DATABASE!Q521)="UPON REQUEST"),OR([1]DATABASE!T521="",[1]DATABASE!T521=0)),"Active Unit no Price",""),IF(AND(OR(TRIM([1]DATABASE!Q521)="AVAILABLE",TRIM([1]DATABASE!Q521)="RESERVED",TRIM([1]DATABASE!Q521)="PRE-RESERVED",TRIM([1]DATABASE!Q521)="PSPA"),[1]DATABASE!AC521=""),"Active no Owner",""),IF(OR([1]DATABASE!F521="",[1]DATABASE!F521&lt;=0),"Missing/Invalid Area",""),IF(AND([1]DATABASE!T521&gt;0,ABS([1]DATABASE!T521-[1]DATABASE!W521-[1]DATABASE!U521-[1]DATABASE!V521)&gt;1),"Price Bridge Mismatch",""))</f>
        <v/>
      </c>
      <c r="H560" t="str">
        <f t="shared" si="11"/>
        <v>PASS</v>
      </c>
      <c r="I560" s="90">
        <f>[1]DATABASE!T521</f>
        <v>925000</v>
      </c>
      <c r="J560" t="str">
        <f>[1]DATABASE!AC521</f>
        <v>João Gameiro</v>
      </c>
    </row>
    <row r="561" spans="1:10" ht="13.95" customHeight="1" x14ac:dyDescent="0.3">
      <c r="A561">
        <f>ROW([1]DATABASE!A522)</f>
        <v>522</v>
      </c>
      <c r="B561" t="str">
        <f>[1]DATABASE!AJ522</f>
        <v>Aroeira Collections</v>
      </c>
      <c r="C561" t="str">
        <f>[1]DATABASE!C522</f>
        <v>214A</v>
      </c>
      <c r="D561" t="str">
        <f>TRIM([1]DATABASE!Q522)</f>
        <v>AVAILABLE</v>
      </c>
      <c r="E561" s="82" t="str">
        <f>_xlfn.TEXTJOIN("; ",TRUE,IF([1]DATABASE!X522&lt;0,"Negative Discount",""),IF(AND([1]DATABASE!Y522&gt;[1]DATABASE!T522,[1]DATABASE!Y522&gt;0,[1]DATABASE!T522&gt;0),"Sell Price &gt; Current",""),IF(AND(TRIM([1]DATABASE!Q522)="DEED",[1]DATABASE!AA522=""),"Deeded no PSPA Date",""),IF([1]DATABASE!E522="","Missing Typology",""),IF([1]DATABASE!AJ522="","Missing Development",""))</f>
        <v/>
      </c>
      <c r="F561" s="82" t="str">
        <f>_xlfn.TEXTJOIN("; ",TRUE,IF(AND(OR(TRIM([1]DATABASE!Q522)="RESERVED",TRIM([1]DATABASE!Q522)="PRE-RESERVED",TRIM([1]DATABASE!Q522)="PSPA"),[1]DATABASE!AA522=""),"Reserved/PSPA no PSPA Date",""),IF(AND(TRIM([1]DATABASE!Q522)="AVAILABLE",[1]DATABASE!AA522&lt;&gt;""),"Available has PSPA Date",""))</f>
        <v/>
      </c>
      <c r="G561" s="82" t="str">
        <f>_xlfn.TEXTJOIN("; ",TRUE,IF(AND([1]DATABASE!T522&lt;0.8*[1]DATABASE!S522,[1]DATABASE!T522&gt;0,[1]DATABASE!S522&gt;0),"Heavy Price Cut &gt;20%",""),IF(AND(OR(TRIM([1]DATABASE!Q522)="AVAILABLE",TRIM([1]DATABASE!Q522)="UPON REQUEST"),OR([1]DATABASE!T522="",[1]DATABASE!T522=0)),"Active Unit no Price",""),IF(AND(OR(TRIM([1]DATABASE!Q522)="AVAILABLE",TRIM([1]DATABASE!Q522)="RESERVED",TRIM([1]DATABASE!Q522)="PRE-RESERVED",TRIM([1]DATABASE!Q522)="PSPA"),[1]DATABASE!AC522=""),"Active no Owner",""),IF(OR([1]DATABASE!F522="",[1]DATABASE!F522&lt;=0),"Missing/Invalid Area",""),IF(AND([1]DATABASE!T522&gt;0,ABS([1]DATABASE!T522-[1]DATABASE!W522-[1]DATABASE!U522-[1]DATABASE!V522)&gt;1),"Price Bridge Mismatch",""))</f>
        <v/>
      </c>
      <c r="H561" t="str">
        <f t="shared" si="11"/>
        <v>PASS</v>
      </c>
      <c r="I561" s="90">
        <f>[1]DATABASE!T522</f>
        <v>480000</v>
      </c>
      <c r="J561" t="str">
        <f>[1]DATABASE!AC522</f>
        <v>João Gameiro</v>
      </c>
    </row>
    <row r="562" spans="1:10" ht="13.95" customHeight="1" x14ac:dyDescent="0.3">
      <c r="A562">
        <f>ROW([1]DATABASE!A523)</f>
        <v>523</v>
      </c>
      <c r="B562" t="str">
        <f>[1]DATABASE!AJ523</f>
        <v>The Uncommon</v>
      </c>
      <c r="C562" t="str">
        <f>[1]DATABASE!C523</f>
        <v>116</v>
      </c>
      <c r="D562" t="str">
        <f>TRIM([1]DATABASE!Q523)</f>
        <v>AVAILABLE</v>
      </c>
      <c r="E562" s="82" t="str">
        <f>_xlfn.TEXTJOIN("; ",TRUE,IF([1]DATABASE!X523&lt;0,"Negative Discount",""),IF(AND([1]DATABASE!Y523&gt;[1]DATABASE!T523,[1]DATABASE!Y523&gt;0,[1]DATABASE!T523&gt;0),"Sell Price &gt; Current",""),IF(AND(TRIM([1]DATABASE!Q523)="DEED",[1]DATABASE!AA523=""),"Deeded no PSPA Date",""),IF([1]DATABASE!E523="","Missing Typology",""),IF([1]DATABASE!AJ523="","Missing Development",""))</f>
        <v/>
      </c>
      <c r="F562" s="82" t="str">
        <f>_xlfn.TEXTJOIN("; ",TRUE,IF(AND(OR(TRIM([1]DATABASE!Q523)="RESERVED",TRIM([1]DATABASE!Q523)="PRE-RESERVED",TRIM([1]DATABASE!Q523)="PSPA"),[1]DATABASE!AA523=""),"Reserved/PSPA no PSPA Date",""),IF(AND(TRIM([1]DATABASE!Q523)="AVAILABLE",[1]DATABASE!AA523&lt;&gt;""),"Available has PSPA Date",""))</f>
        <v/>
      </c>
      <c r="G562" s="82" t="str">
        <f>_xlfn.TEXTJOIN("; ",TRUE,IF(AND([1]DATABASE!T523&lt;0.8*[1]DATABASE!S523,[1]DATABASE!T523&gt;0,[1]DATABASE!S523&gt;0),"Heavy Price Cut &gt;20%",""),IF(AND(OR(TRIM([1]DATABASE!Q523)="AVAILABLE",TRIM([1]DATABASE!Q523)="UPON REQUEST"),OR([1]DATABASE!T523="",[1]DATABASE!T523=0)),"Active Unit no Price",""),IF(AND(OR(TRIM([1]DATABASE!Q523)="AVAILABLE",TRIM([1]DATABASE!Q523)="RESERVED",TRIM([1]DATABASE!Q523)="PRE-RESERVED",TRIM([1]DATABASE!Q523)="PSPA"),[1]DATABASE!AC523=""),"Active no Owner",""),IF(OR([1]DATABASE!F523="",[1]DATABASE!F523&lt;=0),"Missing/Invalid Area",""),IF(AND([1]DATABASE!T523&gt;0,ABS([1]DATABASE!T523-[1]DATABASE!W523-[1]DATABASE!U523-[1]DATABASE!V523)&gt;1),"Price Bridge Mismatch",""))</f>
        <v/>
      </c>
      <c r="H562" t="str">
        <f t="shared" si="11"/>
        <v>PASS</v>
      </c>
      <c r="I562" s="90">
        <f>[1]DATABASE!T523</f>
        <v>2260000</v>
      </c>
      <c r="J562" t="str">
        <f>[1]DATABASE!AC523</f>
        <v>Ana Damásio</v>
      </c>
    </row>
    <row r="563" spans="1:10" ht="13.95" customHeight="1" x14ac:dyDescent="0.3">
      <c r="A563">
        <f>ROW([1]DATABASE!A524)</f>
        <v>524</v>
      </c>
      <c r="B563" t="str">
        <f>[1]DATABASE!AJ524</f>
        <v>Springs - At the Els</v>
      </c>
      <c r="C563" t="str">
        <f>[1]DATABASE!C524</f>
        <v>12</v>
      </c>
      <c r="D563" t="str">
        <f>TRIM([1]DATABASE!Q524)</f>
        <v>AVAILABLE</v>
      </c>
      <c r="E563" s="82" t="str">
        <f>_xlfn.TEXTJOIN("; ",TRUE,IF([1]DATABASE!X524&lt;0,"Negative Discount",""),IF(AND([1]DATABASE!Y524&gt;[1]DATABASE!T524,[1]DATABASE!Y524&gt;0,[1]DATABASE!T524&gt;0),"Sell Price &gt; Current",""),IF(AND(TRIM([1]DATABASE!Q524)="DEED",[1]DATABASE!AA524=""),"Deeded no PSPA Date",""),IF([1]DATABASE!E524="","Missing Typology",""),IF([1]DATABASE!AJ524="","Missing Development",""))</f>
        <v/>
      </c>
      <c r="F563" s="82" t="str">
        <f>_xlfn.TEXTJOIN("; ",TRUE,IF(AND(OR(TRIM([1]DATABASE!Q524)="RESERVED",TRIM([1]DATABASE!Q524)="PRE-RESERVED",TRIM([1]DATABASE!Q524)="PSPA"),[1]DATABASE!AA524=""),"Reserved/PSPA no PSPA Date",""),IF(AND(TRIM([1]DATABASE!Q524)="AVAILABLE",[1]DATABASE!AA524&lt;&gt;""),"Available has PSPA Date",""))</f>
        <v/>
      </c>
      <c r="G563" s="82" t="str">
        <f>_xlfn.TEXTJOIN("; ",TRUE,IF(AND([1]DATABASE!T524&lt;0.8*[1]DATABASE!S524,[1]DATABASE!T524&gt;0,[1]DATABASE!S524&gt;0),"Heavy Price Cut &gt;20%",""),IF(AND(OR(TRIM([1]DATABASE!Q524)="AVAILABLE",TRIM([1]DATABASE!Q524)="UPON REQUEST"),OR([1]DATABASE!T524="",[1]DATABASE!T524=0)),"Active Unit no Price",""),IF(AND(OR(TRIM([1]DATABASE!Q524)="AVAILABLE",TRIM([1]DATABASE!Q524)="RESERVED",TRIM([1]DATABASE!Q524)="PRE-RESERVED",TRIM([1]DATABASE!Q524)="PSPA"),[1]DATABASE!AC524=""),"Active no Owner",""),IF(OR([1]DATABASE!F524="",[1]DATABASE!F524&lt;=0),"Missing/Invalid Area",""),IF(AND([1]DATABASE!T524&gt;0,ABS([1]DATABASE!T524-[1]DATABASE!W524-[1]DATABASE!U524-[1]DATABASE!V524)&gt;1),"Price Bridge Mismatch",""))</f>
        <v>Heavy Price Cut &gt;20%</v>
      </c>
      <c r="H563" t="str">
        <f t="shared" si="11"/>
        <v>REVIEW</v>
      </c>
      <c r="I563" s="90">
        <f>[1]DATABASE!T524</f>
        <v>1220000</v>
      </c>
      <c r="J563" t="str">
        <f>[1]DATABASE!AC524</f>
        <v>Ana Damásio</v>
      </c>
    </row>
    <row r="564" spans="1:10" ht="13.95" customHeight="1" x14ac:dyDescent="0.3">
      <c r="A564">
        <f>ROW([1]DATABASE!A525)</f>
        <v>525</v>
      </c>
      <c r="B564" t="str">
        <f>[1]DATABASE!AJ525</f>
        <v>Palmares</v>
      </c>
      <c r="C564" t="str">
        <f>[1]DATABASE!C525</f>
        <v>100</v>
      </c>
      <c r="D564" t="str">
        <f>TRIM([1]DATABASE!Q525)</f>
        <v>AVAILABLE</v>
      </c>
      <c r="E564" s="82" t="str">
        <f>_xlfn.TEXTJOIN("; ",TRUE,IF([1]DATABASE!X525&lt;0,"Negative Discount",""),IF(AND([1]DATABASE!Y525&gt;[1]DATABASE!T525,[1]DATABASE!Y525&gt;0,[1]DATABASE!T525&gt;0),"Sell Price &gt; Current",""),IF(AND(TRIM([1]DATABASE!Q525)="DEED",[1]DATABASE!AA525=""),"Deeded no PSPA Date",""),IF([1]DATABASE!E525="","Missing Typology",""),IF([1]DATABASE!AJ525="","Missing Development",""))</f>
        <v/>
      </c>
      <c r="F564" s="82" t="str">
        <f>_xlfn.TEXTJOIN("; ",TRUE,IF(AND(OR(TRIM([1]DATABASE!Q525)="RESERVED",TRIM([1]DATABASE!Q525)="PRE-RESERVED",TRIM([1]DATABASE!Q525)="PSPA"),[1]DATABASE!AA525=""),"Reserved/PSPA no PSPA Date",""),IF(AND(TRIM([1]DATABASE!Q525)="AVAILABLE",[1]DATABASE!AA525&lt;&gt;""),"Available has PSPA Date",""))</f>
        <v/>
      </c>
      <c r="G564" s="82" t="str">
        <f>_xlfn.TEXTJOIN("; ",TRUE,IF(AND([1]DATABASE!T525&lt;0.8*[1]DATABASE!S525,[1]DATABASE!T525&gt;0,[1]DATABASE!S525&gt;0),"Heavy Price Cut &gt;20%",""),IF(AND(OR(TRIM([1]DATABASE!Q525)="AVAILABLE",TRIM([1]DATABASE!Q525)="UPON REQUEST"),OR([1]DATABASE!T525="",[1]DATABASE!T525=0)),"Active Unit no Price",""),IF(AND(OR(TRIM([1]DATABASE!Q525)="AVAILABLE",TRIM([1]DATABASE!Q525)="RESERVED",TRIM([1]DATABASE!Q525)="PRE-RESERVED",TRIM([1]DATABASE!Q525)="PSPA"),[1]DATABASE!AC525=""),"Active no Owner",""),IF(OR([1]DATABASE!F525="",[1]DATABASE!F525&lt;=0),"Missing/Invalid Area",""),IF(AND([1]DATABASE!T525&gt;0,ABS([1]DATABASE!T525-[1]DATABASE!W525-[1]DATABASE!U525-[1]DATABASE!V525)&gt;1),"Price Bridge Mismatch",""))</f>
        <v/>
      </c>
      <c r="H564" t="str">
        <f t="shared" si="11"/>
        <v>PASS</v>
      </c>
      <c r="I564" s="90">
        <f>[1]DATABASE!T525</f>
        <v>3000000</v>
      </c>
      <c r="J564" t="str">
        <f>[1]DATABASE!AC525</f>
        <v>Sandra Viegas</v>
      </c>
    </row>
    <row r="565" spans="1:10" ht="13.95" customHeight="1" x14ac:dyDescent="0.3">
      <c r="A565">
        <f>ROW([1]DATABASE!A526)</f>
        <v>526</v>
      </c>
      <c r="B565" t="str">
        <f>[1]DATABASE!AJ526</f>
        <v>Palmares</v>
      </c>
      <c r="C565" t="str">
        <f>[1]DATABASE!C526</f>
        <v>18D</v>
      </c>
      <c r="D565" t="str">
        <f>TRIM([1]DATABASE!Q526)</f>
        <v>AVAILABLE</v>
      </c>
      <c r="E565" s="82" t="str">
        <f>_xlfn.TEXTJOIN("; ",TRUE,IF([1]DATABASE!X526&lt;0,"Negative Discount",""),IF(AND([1]DATABASE!Y526&gt;[1]DATABASE!T526,[1]DATABASE!Y526&gt;0,[1]DATABASE!T526&gt;0),"Sell Price &gt; Current",""),IF(AND(TRIM([1]DATABASE!Q526)="DEED",[1]DATABASE!AA526=""),"Deeded no PSPA Date",""),IF([1]DATABASE!E526="","Missing Typology",""),IF([1]DATABASE!AJ526="","Missing Development",""))</f>
        <v/>
      </c>
      <c r="F565" s="82" t="str">
        <f>_xlfn.TEXTJOIN("; ",TRUE,IF(AND(OR(TRIM([1]DATABASE!Q526)="RESERVED",TRIM([1]DATABASE!Q526)="PRE-RESERVED",TRIM([1]DATABASE!Q526)="PSPA"),[1]DATABASE!AA526=""),"Reserved/PSPA no PSPA Date",""),IF(AND(TRIM([1]DATABASE!Q526)="AVAILABLE",[1]DATABASE!AA526&lt;&gt;""),"Available has PSPA Date",""))</f>
        <v/>
      </c>
      <c r="G565" s="82" t="str">
        <f>_xlfn.TEXTJOIN("; ",TRUE,IF(AND([1]DATABASE!T526&lt;0.8*[1]DATABASE!S526,[1]DATABASE!T526&gt;0,[1]DATABASE!S526&gt;0),"Heavy Price Cut &gt;20%",""),IF(AND(OR(TRIM([1]DATABASE!Q526)="AVAILABLE",TRIM([1]DATABASE!Q526)="UPON REQUEST"),OR([1]DATABASE!T526="",[1]DATABASE!T526=0)),"Active Unit no Price",""),IF(AND(OR(TRIM([1]DATABASE!Q526)="AVAILABLE",TRIM([1]DATABASE!Q526)="RESERVED",TRIM([1]DATABASE!Q526)="PRE-RESERVED",TRIM([1]DATABASE!Q526)="PSPA"),[1]DATABASE!AC526=""),"Active no Owner",""),IF(OR([1]DATABASE!F526="",[1]DATABASE!F526&lt;=0),"Missing/Invalid Area",""),IF(AND([1]DATABASE!T526&gt;0,ABS([1]DATABASE!T526-[1]DATABASE!W526-[1]DATABASE!U526-[1]DATABASE!V526)&gt;1),"Price Bridge Mismatch",""))</f>
        <v>Active no Owner</v>
      </c>
      <c r="H565" t="str">
        <f t="shared" si="11"/>
        <v>REVIEW</v>
      </c>
      <c r="I565" s="90">
        <f>[1]DATABASE!T526</f>
        <v>2090000</v>
      </c>
      <c r="J565">
        <f>[1]DATABASE!AC526</f>
        <v>0</v>
      </c>
    </row>
    <row r="566" spans="1:10" ht="13.95" customHeight="1" x14ac:dyDescent="0.3">
      <c r="A566">
        <f>ROW([1]DATABASE!A527)</f>
        <v>527</v>
      </c>
      <c r="B566" t="str">
        <f>[1]DATABASE!AJ527</f>
        <v>Palmares</v>
      </c>
      <c r="C566" t="str">
        <f>[1]DATABASE!C527</f>
        <v>91</v>
      </c>
      <c r="D566" t="str">
        <f>TRIM([1]DATABASE!Q527)</f>
        <v>AVAILABLE</v>
      </c>
      <c r="E566" s="82" t="str">
        <f>_xlfn.TEXTJOIN("; ",TRUE,IF([1]DATABASE!X527&lt;0,"Negative Discount",""),IF(AND([1]DATABASE!Y527&gt;[1]DATABASE!T527,[1]DATABASE!Y527&gt;0,[1]DATABASE!T527&gt;0),"Sell Price &gt; Current",""),IF(AND(TRIM([1]DATABASE!Q527)="DEED",[1]DATABASE!AA527=""),"Deeded no PSPA Date",""),IF([1]DATABASE!E527="","Missing Typology",""),IF([1]DATABASE!AJ527="","Missing Development",""))</f>
        <v/>
      </c>
      <c r="F566" s="82" t="str">
        <f>_xlfn.TEXTJOIN("; ",TRUE,IF(AND(OR(TRIM([1]DATABASE!Q527)="RESERVED",TRIM([1]DATABASE!Q527)="PRE-RESERVED",TRIM([1]DATABASE!Q527)="PSPA"),[1]DATABASE!AA527=""),"Reserved/PSPA no PSPA Date",""),IF(AND(TRIM([1]DATABASE!Q527)="AVAILABLE",[1]DATABASE!AA527&lt;&gt;""),"Available has PSPA Date",""))</f>
        <v/>
      </c>
      <c r="G566" s="82" t="str">
        <f>_xlfn.TEXTJOIN("; ",TRUE,IF(AND([1]DATABASE!T527&lt;0.8*[1]DATABASE!S527,[1]DATABASE!T527&gt;0,[1]DATABASE!S527&gt;0),"Heavy Price Cut &gt;20%",""),IF(AND(OR(TRIM([1]DATABASE!Q527)="AVAILABLE",TRIM([1]DATABASE!Q527)="UPON REQUEST"),OR([1]DATABASE!T527="",[1]DATABASE!T527=0)),"Active Unit no Price",""),IF(AND(OR(TRIM([1]DATABASE!Q527)="AVAILABLE",TRIM([1]DATABASE!Q527)="RESERVED",TRIM([1]DATABASE!Q527)="PRE-RESERVED",TRIM([1]DATABASE!Q527)="PSPA"),[1]DATABASE!AC527=""),"Active no Owner",""),IF(OR([1]DATABASE!F527="",[1]DATABASE!F527&lt;=0),"Missing/Invalid Area",""),IF(AND([1]DATABASE!T527&gt;0,ABS([1]DATABASE!T527-[1]DATABASE!W527-[1]DATABASE!U527-[1]DATABASE!V527)&gt;1),"Price Bridge Mismatch",""))</f>
        <v/>
      </c>
      <c r="H566" t="str">
        <f t="shared" si="11"/>
        <v>PASS</v>
      </c>
      <c r="I566" s="90">
        <f>[1]DATABASE!T527</f>
        <v>1000000</v>
      </c>
      <c r="J566" t="str">
        <f>[1]DATABASE!AC527</f>
        <v>Sandra Viegas</v>
      </c>
    </row>
    <row r="567" spans="1:10" ht="13.95" customHeight="1" x14ac:dyDescent="0.3">
      <c r="A567">
        <f>ROW([1]DATABASE!A528)</f>
        <v>528</v>
      </c>
      <c r="B567" t="str">
        <f>[1]DATABASE!AJ528</f>
        <v>Palmares</v>
      </c>
      <c r="C567" t="str">
        <f>[1]DATABASE!C528</f>
        <v>92</v>
      </c>
      <c r="D567" t="str">
        <f>TRIM([1]DATABASE!Q528)</f>
        <v>AVAILABLE</v>
      </c>
      <c r="E567" s="82" t="str">
        <f>_xlfn.TEXTJOIN("; ",TRUE,IF([1]DATABASE!X528&lt;0,"Negative Discount",""),IF(AND([1]DATABASE!Y528&gt;[1]DATABASE!T528,[1]DATABASE!Y528&gt;0,[1]DATABASE!T528&gt;0),"Sell Price &gt; Current",""),IF(AND(TRIM([1]DATABASE!Q528)="DEED",[1]DATABASE!AA528=""),"Deeded no PSPA Date",""),IF([1]DATABASE!E528="","Missing Typology",""),IF([1]DATABASE!AJ528="","Missing Development",""))</f>
        <v/>
      </c>
      <c r="F567" s="82" t="str">
        <f>_xlfn.TEXTJOIN("; ",TRUE,IF(AND(OR(TRIM([1]DATABASE!Q528)="RESERVED",TRIM([1]DATABASE!Q528)="PRE-RESERVED",TRIM([1]DATABASE!Q528)="PSPA"),[1]DATABASE!AA528=""),"Reserved/PSPA no PSPA Date",""),IF(AND(TRIM([1]DATABASE!Q528)="AVAILABLE",[1]DATABASE!AA528&lt;&gt;""),"Available has PSPA Date",""))</f>
        <v/>
      </c>
      <c r="G567" s="82" t="str">
        <f>_xlfn.TEXTJOIN("; ",TRUE,IF(AND([1]DATABASE!T528&lt;0.8*[1]DATABASE!S528,[1]DATABASE!T528&gt;0,[1]DATABASE!S528&gt;0),"Heavy Price Cut &gt;20%",""),IF(AND(OR(TRIM([1]DATABASE!Q528)="AVAILABLE",TRIM([1]DATABASE!Q528)="UPON REQUEST"),OR([1]DATABASE!T528="",[1]DATABASE!T528=0)),"Active Unit no Price",""),IF(AND(OR(TRIM([1]DATABASE!Q528)="AVAILABLE",TRIM([1]DATABASE!Q528)="RESERVED",TRIM([1]DATABASE!Q528)="PRE-RESERVED",TRIM([1]DATABASE!Q528)="PSPA"),[1]DATABASE!AC528=""),"Active no Owner",""),IF(OR([1]DATABASE!F528="",[1]DATABASE!F528&lt;=0),"Missing/Invalid Area",""),IF(AND([1]DATABASE!T528&gt;0,ABS([1]DATABASE!T528-[1]DATABASE!W528-[1]DATABASE!U528-[1]DATABASE!V528)&gt;1),"Price Bridge Mismatch",""))</f>
        <v/>
      </c>
      <c r="H567" t="str">
        <f t="shared" si="11"/>
        <v>PASS</v>
      </c>
      <c r="I567" s="90">
        <f>[1]DATABASE!T528</f>
        <v>900000</v>
      </c>
      <c r="J567" t="str">
        <f>[1]DATABASE!AC528</f>
        <v>Sandra Viegas</v>
      </c>
    </row>
    <row r="568" spans="1:10" ht="13.95" customHeight="1" x14ac:dyDescent="0.3">
      <c r="A568">
        <f>ROW([1]DATABASE!A529)</f>
        <v>529</v>
      </c>
      <c r="B568" t="str">
        <f>[1]DATABASE!AJ529</f>
        <v>The Uncommon</v>
      </c>
      <c r="C568" t="str">
        <f>[1]DATABASE!C529</f>
        <v>12</v>
      </c>
      <c r="D568" t="str">
        <f>TRIM([1]DATABASE!Q529)</f>
        <v>AVAILABLE</v>
      </c>
      <c r="E568" s="82" t="str">
        <f>_xlfn.TEXTJOIN("; ",TRUE,IF([1]DATABASE!X529&lt;0,"Negative Discount",""),IF(AND([1]DATABASE!Y529&gt;[1]DATABASE!T529,[1]DATABASE!Y529&gt;0,[1]DATABASE!T529&gt;0),"Sell Price &gt; Current",""),IF(AND(TRIM([1]DATABASE!Q529)="DEED",[1]DATABASE!AA529=""),"Deeded no PSPA Date",""),IF([1]DATABASE!E529="","Missing Typology",""),IF([1]DATABASE!AJ529="","Missing Development",""))</f>
        <v/>
      </c>
      <c r="F568" s="82" t="str">
        <f>_xlfn.TEXTJOIN("; ",TRUE,IF(AND(OR(TRIM([1]DATABASE!Q529)="RESERVED",TRIM([1]DATABASE!Q529)="PRE-RESERVED",TRIM([1]DATABASE!Q529)="PSPA"),[1]DATABASE!AA529=""),"Reserved/PSPA no PSPA Date",""),IF(AND(TRIM([1]DATABASE!Q529)="AVAILABLE",[1]DATABASE!AA529&lt;&gt;""),"Available has PSPA Date",""))</f>
        <v/>
      </c>
      <c r="G568" s="82" t="str">
        <f>_xlfn.TEXTJOIN("; ",TRUE,IF(AND([1]DATABASE!T529&lt;0.8*[1]DATABASE!S529,[1]DATABASE!T529&gt;0,[1]DATABASE!S529&gt;0),"Heavy Price Cut &gt;20%",""),IF(AND(OR(TRIM([1]DATABASE!Q529)="AVAILABLE",TRIM([1]DATABASE!Q529)="UPON REQUEST"),OR([1]DATABASE!T529="",[1]DATABASE!T529=0)),"Active Unit no Price",""),IF(AND(OR(TRIM([1]DATABASE!Q529)="AVAILABLE",TRIM([1]DATABASE!Q529)="RESERVED",TRIM([1]DATABASE!Q529)="PRE-RESERVED",TRIM([1]DATABASE!Q529)="PSPA"),[1]DATABASE!AC529=""),"Active no Owner",""),IF(OR([1]DATABASE!F529="",[1]DATABASE!F529&lt;=0),"Missing/Invalid Area",""),IF(AND([1]DATABASE!T529&gt;0,ABS([1]DATABASE!T529-[1]DATABASE!W529-[1]DATABASE!U529-[1]DATABASE!V529)&gt;1),"Price Bridge Mismatch",""))</f>
        <v/>
      </c>
      <c r="H568" t="str">
        <f t="shared" si="11"/>
        <v>PASS</v>
      </c>
      <c r="I568" s="90">
        <f>[1]DATABASE!T529</f>
        <v>750000</v>
      </c>
      <c r="J568" t="str">
        <f>[1]DATABASE!AC529</f>
        <v>Ana Damásio</v>
      </c>
    </row>
    <row r="569" spans="1:10" ht="13.95" customHeight="1" x14ac:dyDescent="0.3">
      <c r="A569">
        <f>ROW([1]DATABASE!A530)</f>
        <v>530</v>
      </c>
      <c r="B569" t="str">
        <f>[1]DATABASE!AJ530</f>
        <v>Aroeira Collections</v>
      </c>
      <c r="C569" t="str">
        <f>[1]DATABASE!C530</f>
        <v>214B</v>
      </c>
      <c r="D569" t="str">
        <f>TRIM([1]DATABASE!Q530)</f>
        <v>NOT FOR SALE</v>
      </c>
      <c r="E569" s="82" t="str">
        <f>_xlfn.TEXTJOIN("; ",TRUE,IF([1]DATABASE!X530&lt;0,"Negative Discount",""),IF(AND([1]DATABASE!Y530&gt;[1]DATABASE!T530,[1]DATABASE!Y530&gt;0,[1]DATABASE!T530&gt;0),"Sell Price &gt; Current",""),IF(AND(TRIM([1]DATABASE!Q530)="DEED",[1]DATABASE!AA530=""),"Deeded no PSPA Date",""),IF([1]DATABASE!E530="","Missing Typology",""),IF([1]DATABASE!AJ530="","Missing Development",""))</f>
        <v/>
      </c>
      <c r="F569" s="82" t="str">
        <f>_xlfn.TEXTJOIN("; ",TRUE,IF(AND(OR(TRIM([1]DATABASE!Q530)="RESERVED",TRIM([1]DATABASE!Q530)="PRE-RESERVED",TRIM([1]DATABASE!Q530)="PSPA"),[1]DATABASE!AA530=""),"Reserved/PSPA no PSPA Date",""),IF(AND(TRIM([1]DATABASE!Q530)="AVAILABLE",[1]DATABASE!AA530&lt;&gt;""),"Available has PSPA Date",""))</f>
        <v/>
      </c>
      <c r="G569" s="82" t="str">
        <f>_xlfn.TEXTJOIN("; ",TRUE,IF(AND([1]DATABASE!T530&lt;0.8*[1]DATABASE!S530,[1]DATABASE!T530&gt;0,[1]DATABASE!S530&gt;0),"Heavy Price Cut &gt;20%",""),IF(AND(OR(TRIM([1]DATABASE!Q530)="AVAILABLE",TRIM([1]DATABASE!Q530)="UPON REQUEST"),OR([1]DATABASE!T530="",[1]DATABASE!T530=0)),"Active Unit no Price",""),IF(AND(OR(TRIM([1]DATABASE!Q530)="AVAILABLE",TRIM([1]DATABASE!Q530)="RESERVED",TRIM([1]DATABASE!Q530)="PRE-RESERVED",TRIM([1]DATABASE!Q530)="PSPA"),[1]DATABASE!AC530=""),"Active no Owner",""),IF(OR([1]DATABASE!F530="",[1]DATABASE!F530&lt;=0),"Missing/Invalid Area",""),IF(AND([1]DATABASE!T530&gt;0,ABS([1]DATABASE!T530-[1]DATABASE!W530-[1]DATABASE!U530-[1]DATABASE!V530)&gt;1),"Price Bridge Mismatch",""))</f>
        <v/>
      </c>
      <c r="H569" t="str">
        <f t="shared" si="11"/>
        <v>PASS</v>
      </c>
      <c r="I569" s="90">
        <f>[1]DATABASE!T530</f>
        <v>770000</v>
      </c>
      <c r="J569" t="str">
        <f>[1]DATABASE!AC530</f>
        <v>João Gameiro</v>
      </c>
    </row>
    <row r="570" spans="1:10" ht="13.95" customHeight="1" x14ac:dyDescent="0.3">
      <c r="A570">
        <f>ROW([1]DATABASE!A531)</f>
        <v>531</v>
      </c>
      <c r="B570" t="str">
        <f>[1]DATABASE!AJ531</f>
        <v>Aroeira Collections</v>
      </c>
      <c r="C570" t="str">
        <f>[1]DATABASE!C531</f>
        <v>215C</v>
      </c>
      <c r="D570" t="str">
        <f>TRIM([1]DATABASE!Q531)</f>
        <v>NOT FOR SALE</v>
      </c>
      <c r="E570" s="82" t="str">
        <f>_xlfn.TEXTJOIN("; ",TRUE,IF([1]DATABASE!X531&lt;0,"Negative Discount",""),IF(AND([1]DATABASE!Y531&gt;[1]DATABASE!T531,[1]DATABASE!Y531&gt;0,[1]DATABASE!T531&gt;0),"Sell Price &gt; Current",""),IF(AND(TRIM([1]DATABASE!Q531)="DEED",[1]DATABASE!AA531=""),"Deeded no PSPA Date",""),IF([1]DATABASE!E531="","Missing Typology",""),IF([1]DATABASE!AJ531="","Missing Development",""))</f>
        <v/>
      </c>
      <c r="F570" s="82" t="str">
        <f>_xlfn.TEXTJOIN("; ",TRUE,IF(AND(OR(TRIM([1]DATABASE!Q531)="RESERVED",TRIM([1]DATABASE!Q531)="PRE-RESERVED",TRIM([1]DATABASE!Q531)="PSPA"),[1]DATABASE!AA531=""),"Reserved/PSPA no PSPA Date",""),IF(AND(TRIM([1]DATABASE!Q531)="AVAILABLE",[1]DATABASE!AA531&lt;&gt;""),"Available has PSPA Date",""))</f>
        <v/>
      </c>
      <c r="G570" s="82" t="str">
        <f>_xlfn.TEXTJOIN("; ",TRUE,IF(AND([1]DATABASE!T531&lt;0.8*[1]DATABASE!S531,[1]DATABASE!T531&gt;0,[1]DATABASE!S531&gt;0),"Heavy Price Cut &gt;20%",""),IF(AND(OR(TRIM([1]DATABASE!Q531)="AVAILABLE",TRIM([1]DATABASE!Q531)="UPON REQUEST"),OR([1]DATABASE!T531="",[1]DATABASE!T531=0)),"Active Unit no Price",""),IF(AND(OR(TRIM([1]DATABASE!Q531)="AVAILABLE",TRIM([1]DATABASE!Q531)="RESERVED",TRIM([1]DATABASE!Q531)="PRE-RESERVED",TRIM([1]DATABASE!Q531)="PSPA"),[1]DATABASE!AC531=""),"Active no Owner",""),IF(OR([1]DATABASE!F531="",[1]DATABASE!F531&lt;=0),"Missing/Invalid Area",""),IF(AND([1]DATABASE!T531&gt;0,ABS([1]DATABASE!T531-[1]DATABASE!W531-[1]DATABASE!U531-[1]DATABASE!V531)&gt;1),"Price Bridge Mismatch",""))</f>
        <v/>
      </c>
      <c r="H570" t="str">
        <f t="shared" si="11"/>
        <v>PASS</v>
      </c>
      <c r="I570" s="90">
        <f>[1]DATABASE!T531</f>
        <v>985000</v>
      </c>
      <c r="J570" t="str">
        <f>[1]DATABASE!AC531</f>
        <v>João Gameiro</v>
      </c>
    </row>
    <row r="571" spans="1:10" ht="13.95" customHeight="1" x14ac:dyDescent="0.3">
      <c r="A571">
        <f>ROW([1]DATABASE!A532)</f>
        <v>532</v>
      </c>
      <c r="B571" t="str">
        <f>[1]DATABASE!AJ532</f>
        <v>Springs - At the Els</v>
      </c>
      <c r="C571" t="str">
        <f>[1]DATABASE!C532</f>
        <v>13</v>
      </c>
      <c r="D571" t="str">
        <f>TRIM([1]DATABASE!Q532)</f>
        <v>AVAILABLE</v>
      </c>
      <c r="E571" s="82" t="str">
        <f>_xlfn.TEXTJOIN("; ",TRUE,IF([1]DATABASE!X532&lt;0,"Negative Discount",""),IF(AND([1]DATABASE!Y532&gt;[1]DATABASE!T532,[1]DATABASE!Y532&gt;0,[1]DATABASE!T532&gt;0),"Sell Price &gt; Current",""),IF(AND(TRIM([1]DATABASE!Q532)="DEED",[1]DATABASE!AA532=""),"Deeded no PSPA Date",""),IF([1]DATABASE!E532="","Missing Typology",""),IF([1]DATABASE!AJ532="","Missing Development",""))</f>
        <v/>
      </c>
      <c r="F571" s="82" t="str">
        <f>_xlfn.TEXTJOIN("; ",TRUE,IF(AND(OR(TRIM([1]DATABASE!Q532)="RESERVED",TRIM([1]DATABASE!Q532)="PRE-RESERVED",TRIM([1]DATABASE!Q532)="PSPA"),[1]DATABASE!AA532=""),"Reserved/PSPA no PSPA Date",""),IF(AND(TRIM([1]DATABASE!Q532)="AVAILABLE",[1]DATABASE!AA532&lt;&gt;""),"Available has PSPA Date",""))</f>
        <v/>
      </c>
      <c r="G571" s="82" t="str">
        <f>_xlfn.TEXTJOIN("; ",TRUE,IF(AND([1]DATABASE!T532&lt;0.8*[1]DATABASE!S532,[1]DATABASE!T532&gt;0,[1]DATABASE!S532&gt;0),"Heavy Price Cut &gt;20%",""),IF(AND(OR(TRIM([1]DATABASE!Q532)="AVAILABLE",TRIM([1]DATABASE!Q532)="UPON REQUEST"),OR([1]DATABASE!T532="",[1]DATABASE!T532=0)),"Active Unit no Price",""),IF(AND(OR(TRIM([1]DATABASE!Q532)="AVAILABLE",TRIM([1]DATABASE!Q532)="RESERVED",TRIM([1]DATABASE!Q532)="PRE-RESERVED",TRIM([1]DATABASE!Q532)="PSPA"),[1]DATABASE!AC532=""),"Active no Owner",""),IF(OR([1]DATABASE!F532="",[1]DATABASE!F532&lt;=0),"Missing/Invalid Area",""),IF(AND([1]DATABASE!T532&gt;0,ABS([1]DATABASE!T532-[1]DATABASE!W532-[1]DATABASE!U532-[1]DATABASE!V532)&gt;1),"Price Bridge Mismatch",""))</f>
        <v>Heavy Price Cut &gt;20%</v>
      </c>
      <c r="H571" t="str">
        <f t="shared" si="11"/>
        <v>REVIEW</v>
      </c>
      <c r="I571" s="90">
        <f>[1]DATABASE!T532</f>
        <v>2630000</v>
      </c>
      <c r="J571" t="str">
        <f>[1]DATABASE!AC532</f>
        <v>Ana Damásio</v>
      </c>
    </row>
    <row r="572" spans="1:10" ht="13.95" customHeight="1" x14ac:dyDescent="0.3">
      <c r="A572">
        <f>ROW([1]DATABASE!A533)</f>
        <v>533</v>
      </c>
      <c r="B572" t="str">
        <f>[1]DATABASE!AJ533</f>
        <v>The Uncommon</v>
      </c>
      <c r="C572" t="str">
        <f>[1]DATABASE!C533</f>
        <v>13</v>
      </c>
      <c r="D572" t="str">
        <f>TRIM([1]DATABASE!Q533)</f>
        <v>AVAILABLE</v>
      </c>
      <c r="E572" s="82" t="str">
        <f>_xlfn.TEXTJOIN("; ",TRUE,IF([1]DATABASE!X533&lt;0,"Negative Discount",""),IF(AND([1]DATABASE!Y533&gt;[1]DATABASE!T533,[1]DATABASE!Y533&gt;0,[1]DATABASE!T533&gt;0),"Sell Price &gt; Current",""),IF(AND(TRIM([1]DATABASE!Q533)="DEED",[1]DATABASE!AA533=""),"Deeded no PSPA Date",""),IF([1]DATABASE!E533="","Missing Typology",""),IF([1]DATABASE!AJ533="","Missing Development",""))</f>
        <v/>
      </c>
      <c r="F572" s="82" t="str">
        <f>_xlfn.TEXTJOIN("; ",TRUE,IF(AND(OR(TRIM([1]DATABASE!Q533)="RESERVED",TRIM([1]DATABASE!Q533)="PRE-RESERVED",TRIM([1]DATABASE!Q533)="PSPA"),[1]DATABASE!AA533=""),"Reserved/PSPA no PSPA Date",""),IF(AND(TRIM([1]DATABASE!Q533)="AVAILABLE",[1]DATABASE!AA533&lt;&gt;""),"Available has PSPA Date",""))</f>
        <v/>
      </c>
      <c r="G572" s="82" t="str">
        <f>_xlfn.TEXTJOIN("; ",TRUE,IF(AND([1]DATABASE!T533&lt;0.8*[1]DATABASE!S533,[1]DATABASE!T533&gt;0,[1]DATABASE!S533&gt;0),"Heavy Price Cut &gt;20%",""),IF(AND(OR(TRIM([1]DATABASE!Q533)="AVAILABLE",TRIM([1]DATABASE!Q533)="UPON REQUEST"),OR([1]DATABASE!T533="",[1]DATABASE!T533=0)),"Active Unit no Price",""),IF(AND(OR(TRIM([1]DATABASE!Q533)="AVAILABLE",TRIM([1]DATABASE!Q533)="RESERVED",TRIM([1]DATABASE!Q533)="PRE-RESERVED",TRIM([1]DATABASE!Q533)="PSPA"),[1]DATABASE!AC533=""),"Active no Owner",""),IF(OR([1]DATABASE!F533="",[1]DATABASE!F533&lt;=0),"Missing/Invalid Area",""),IF(AND([1]DATABASE!T533&gt;0,ABS([1]DATABASE!T533-[1]DATABASE!W533-[1]DATABASE!U533-[1]DATABASE!V533)&gt;1),"Price Bridge Mismatch",""))</f>
        <v/>
      </c>
      <c r="H572" t="str">
        <f t="shared" si="11"/>
        <v>PASS</v>
      </c>
      <c r="I572" s="90">
        <f>[1]DATABASE!T533</f>
        <v>800000</v>
      </c>
      <c r="J572" t="str">
        <f>[1]DATABASE!AC533</f>
        <v>Ana Damásio</v>
      </c>
    </row>
    <row r="573" spans="1:10" ht="13.95" customHeight="1" x14ac:dyDescent="0.3">
      <c r="A573">
        <f>ROW([1]DATABASE!A534)</f>
        <v>534</v>
      </c>
      <c r="B573" t="str">
        <f>[1]DATABASE!AJ534</f>
        <v>Springs - At the Els</v>
      </c>
      <c r="C573" t="str">
        <f>[1]DATABASE!C534</f>
        <v>14</v>
      </c>
      <c r="D573" t="str">
        <f>TRIM([1]DATABASE!Q534)</f>
        <v>AVAILABLE</v>
      </c>
      <c r="E573" s="82" t="str">
        <f>_xlfn.TEXTJOIN("; ",TRUE,IF([1]DATABASE!X534&lt;0,"Negative Discount",""),IF(AND([1]DATABASE!Y534&gt;[1]DATABASE!T534,[1]DATABASE!Y534&gt;0,[1]DATABASE!T534&gt;0),"Sell Price &gt; Current",""),IF(AND(TRIM([1]DATABASE!Q534)="DEED",[1]DATABASE!AA534=""),"Deeded no PSPA Date",""),IF([1]DATABASE!E534="","Missing Typology",""),IF([1]DATABASE!AJ534="","Missing Development",""))</f>
        <v/>
      </c>
      <c r="F573" s="82" t="str">
        <f>_xlfn.TEXTJOIN("; ",TRUE,IF(AND(OR(TRIM([1]DATABASE!Q534)="RESERVED",TRIM([1]DATABASE!Q534)="PRE-RESERVED",TRIM([1]DATABASE!Q534)="PSPA"),[1]DATABASE!AA534=""),"Reserved/PSPA no PSPA Date",""),IF(AND(TRIM([1]DATABASE!Q534)="AVAILABLE",[1]DATABASE!AA534&lt;&gt;""),"Available has PSPA Date",""))</f>
        <v/>
      </c>
      <c r="G573" s="82" t="str">
        <f>_xlfn.TEXTJOIN("; ",TRUE,IF(AND([1]DATABASE!T534&lt;0.8*[1]DATABASE!S534,[1]DATABASE!T534&gt;0,[1]DATABASE!S534&gt;0),"Heavy Price Cut &gt;20%",""),IF(AND(OR(TRIM([1]DATABASE!Q534)="AVAILABLE",TRIM([1]DATABASE!Q534)="UPON REQUEST"),OR([1]DATABASE!T534="",[1]DATABASE!T534=0)),"Active Unit no Price",""),IF(AND(OR(TRIM([1]DATABASE!Q534)="AVAILABLE",TRIM([1]DATABASE!Q534)="RESERVED",TRIM([1]DATABASE!Q534)="PRE-RESERVED",TRIM([1]DATABASE!Q534)="PSPA"),[1]DATABASE!AC534=""),"Active no Owner",""),IF(OR([1]DATABASE!F534="",[1]DATABASE!F534&lt;=0),"Missing/Invalid Area",""),IF(AND([1]DATABASE!T534&gt;0,ABS([1]DATABASE!T534-[1]DATABASE!W534-[1]DATABASE!U534-[1]DATABASE!V534)&gt;1),"Price Bridge Mismatch",""))</f>
        <v/>
      </c>
      <c r="H573" t="str">
        <f t="shared" si="11"/>
        <v>PASS</v>
      </c>
      <c r="I573" s="90">
        <f>[1]DATABASE!T534</f>
        <v>2610000</v>
      </c>
      <c r="J573" t="str">
        <f>[1]DATABASE!AC534</f>
        <v>Ana Damásio</v>
      </c>
    </row>
    <row r="574" spans="1:10" ht="13.95" customHeight="1" x14ac:dyDescent="0.3">
      <c r="A574">
        <f>ROW([1]DATABASE!A535)</f>
        <v>535</v>
      </c>
      <c r="B574" t="str">
        <f>[1]DATABASE!AJ535</f>
        <v>Aroeira Collections</v>
      </c>
      <c r="C574" t="str">
        <f>[1]DATABASE!C535</f>
        <v>216A</v>
      </c>
      <c r="D574" t="str">
        <f>TRIM([1]DATABASE!Q535)</f>
        <v>AVAILABLE</v>
      </c>
      <c r="E574" s="82" t="str">
        <f>_xlfn.TEXTJOIN("; ",TRUE,IF([1]DATABASE!X535&lt;0,"Negative Discount",""),IF(AND([1]DATABASE!Y535&gt;[1]DATABASE!T535,[1]DATABASE!Y535&gt;0,[1]DATABASE!T535&gt;0),"Sell Price &gt; Current",""),IF(AND(TRIM([1]DATABASE!Q535)="DEED",[1]DATABASE!AA535=""),"Deeded no PSPA Date",""),IF([1]DATABASE!E535="","Missing Typology",""),IF([1]DATABASE!AJ535="","Missing Development",""))</f>
        <v/>
      </c>
      <c r="F574" s="82" t="str">
        <f>_xlfn.TEXTJOIN("; ",TRUE,IF(AND(OR(TRIM([1]DATABASE!Q535)="RESERVED",TRIM([1]DATABASE!Q535)="PRE-RESERVED",TRIM([1]DATABASE!Q535)="PSPA"),[1]DATABASE!AA535=""),"Reserved/PSPA no PSPA Date",""),IF(AND(TRIM([1]DATABASE!Q535)="AVAILABLE",[1]DATABASE!AA535&lt;&gt;""),"Available has PSPA Date",""))</f>
        <v/>
      </c>
      <c r="G574" s="82" t="str">
        <f>_xlfn.TEXTJOIN("; ",TRUE,IF(AND([1]DATABASE!T535&lt;0.8*[1]DATABASE!S535,[1]DATABASE!T535&gt;0,[1]DATABASE!S535&gt;0),"Heavy Price Cut &gt;20%",""),IF(AND(OR(TRIM([1]DATABASE!Q535)="AVAILABLE",TRIM([1]DATABASE!Q535)="UPON REQUEST"),OR([1]DATABASE!T535="",[1]DATABASE!T535=0)),"Active Unit no Price",""),IF(AND(OR(TRIM([1]DATABASE!Q535)="AVAILABLE",TRIM([1]DATABASE!Q535)="RESERVED",TRIM([1]DATABASE!Q535)="PRE-RESERVED",TRIM([1]DATABASE!Q535)="PSPA"),[1]DATABASE!AC535=""),"Active no Owner",""),IF(OR([1]DATABASE!F535="",[1]DATABASE!F535&lt;=0),"Missing/Invalid Area",""),IF(AND([1]DATABASE!T535&gt;0,ABS([1]DATABASE!T535-[1]DATABASE!W535-[1]DATABASE!U535-[1]DATABASE!V535)&gt;1),"Price Bridge Mismatch",""))</f>
        <v/>
      </c>
      <c r="H574" t="str">
        <f t="shared" si="11"/>
        <v>PASS</v>
      </c>
      <c r="I574" s="90">
        <f>[1]DATABASE!T535</f>
        <v>450000</v>
      </c>
      <c r="J574" t="str">
        <f>[1]DATABASE!AC535</f>
        <v>João Gameiro</v>
      </c>
    </row>
    <row r="575" spans="1:10" ht="13.95" customHeight="1" x14ac:dyDescent="0.3">
      <c r="A575">
        <f>ROW([1]DATABASE!A536)</f>
        <v>536</v>
      </c>
      <c r="B575" t="str">
        <f>[1]DATABASE!AJ536</f>
        <v>The Uncommon</v>
      </c>
      <c r="C575" t="str">
        <f>[1]DATABASE!C536</f>
        <v>14</v>
      </c>
      <c r="D575" t="str">
        <f>TRIM([1]DATABASE!Q536)</f>
        <v>AVAILABLE</v>
      </c>
      <c r="E575" s="82" t="str">
        <f>_xlfn.TEXTJOIN("; ",TRUE,IF([1]DATABASE!X536&lt;0,"Negative Discount",""),IF(AND([1]DATABASE!Y536&gt;[1]DATABASE!T536,[1]DATABASE!Y536&gt;0,[1]DATABASE!T536&gt;0),"Sell Price &gt; Current",""),IF(AND(TRIM([1]DATABASE!Q536)="DEED",[1]DATABASE!AA536=""),"Deeded no PSPA Date",""),IF([1]DATABASE!E536="","Missing Typology",""),IF([1]DATABASE!AJ536="","Missing Development",""))</f>
        <v/>
      </c>
      <c r="F575" s="82" t="str">
        <f>_xlfn.TEXTJOIN("; ",TRUE,IF(AND(OR(TRIM([1]DATABASE!Q536)="RESERVED",TRIM([1]DATABASE!Q536)="PRE-RESERVED",TRIM([1]DATABASE!Q536)="PSPA"),[1]DATABASE!AA536=""),"Reserved/PSPA no PSPA Date",""),IF(AND(TRIM([1]DATABASE!Q536)="AVAILABLE",[1]DATABASE!AA536&lt;&gt;""),"Available has PSPA Date",""))</f>
        <v/>
      </c>
      <c r="G575" s="82" t="str">
        <f>_xlfn.TEXTJOIN("; ",TRUE,IF(AND([1]DATABASE!T536&lt;0.8*[1]DATABASE!S536,[1]DATABASE!T536&gt;0,[1]DATABASE!S536&gt;0),"Heavy Price Cut &gt;20%",""),IF(AND(OR(TRIM([1]DATABASE!Q536)="AVAILABLE",TRIM([1]DATABASE!Q536)="UPON REQUEST"),OR([1]DATABASE!T536="",[1]DATABASE!T536=0)),"Active Unit no Price",""),IF(AND(OR(TRIM([1]DATABASE!Q536)="AVAILABLE",TRIM([1]DATABASE!Q536)="RESERVED",TRIM([1]DATABASE!Q536)="PRE-RESERVED",TRIM([1]DATABASE!Q536)="PSPA"),[1]DATABASE!AC536=""),"Active no Owner",""),IF(OR([1]DATABASE!F536="",[1]DATABASE!F536&lt;=0),"Missing/Invalid Area",""),IF(AND([1]DATABASE!T536&gt;0,ABS([1]DATABASE!T536-[1]DATABASE!W536-[1]DATABASE!U536-[1]DATABASE!V536)&gt;1),"Price Bridge Mismatch",""))</f>
        <v/>
      </c>
      <c r="H575" t="str">
        <f t="shared" si="11"/>
        <v>PASS</v>
      </c>
      <c r="I575" s="90">
        <f>[1]DATABASE!T536</f>
        <v>850000</v>
      </c>
      <c r="J575" t="str">
        <f>[1]DATABASE!AC536</f>
        <v>Ana Damásio</v>
      </c>
    </row>
    <row r="576" spans="1:10" ht="13.95" customHeight="1" x14ac:dyDescent="0.3">
      <c r="A576">
        <f>ROW([1]DATABASE!A537)</f>
        <v>537</v>
      </c>
      <c r="B576" t="str">
        <f>[1]DATABASE!AJ537</f>
        <v>The Uncommon</v>
      </c>
      <c r="C576" t="str">
        <f>[1]DATABASE!C537</f>
        <v>15</v>
      </c>
      <c r="D576" t="str">
        <f>TRIM([1]DATABASE!Q537)</f>
        <v>AVAILABLE</v>
      </c>
      <c r="E576" s="82" t="str">
        <f>_xlfn.TEXTJOIN("; ",TRUE,IF([1]DATABASE!X537&lt;0,"Negative Discount",""),IF(AND([1]DATABASE!Y537&gt;[1]DATABASE!T537,[1]DATABASE!Y537&gt;0,[1]DATABASE!T537&gt;0),"Sell Price &gt; Current",""),IF(AND(TRIM([1]DATABASE!Q537)="DEED",[1]DATABASE!AA537=""),"Deeded no PSPA Date",""),IF([1]DATABASE!E537="","Missing Typology",""),IF([1]DATABASE!AJ537="","Missing Development",""))</f>
        <v/>
      </c>
      <c r="F576" s="82" t="str">
        <f>_xlfn.TEXTJOIN("; ",TRUE,IF(AND(OR(TRIM([1]DATABASE!Q537)="RESERVED",TRIM([1]DATABASE!Q537)="PRE-RESERVED",TRIM([1]DATABASE!Q537)="PSPA"),[1]DATABASE!AA537=""),"Reserved/PSPA no PSPA Date",""),IF(AND(TRIM([1]DATABASE!Q537)="AVAILABLE",[1]DATABASE!AA537&lt;&gt;""),"Available has PSPA Date",""))</f>
        <v/>
      </c>
      <c r="G576" s="82" t="str">
        <f>_xlfn.TEXTJOIN("; ",TRUE,IF(AND([1]DATABASE!T537&lt;0.8*[1]DATABASE!S537,[1]DATABASE!T537&gt;0,[1]DATABASE!S537&gt;0),"Heavy Price Cut &gt;20%",""),IF(AND(OR(TRIM([1]DATABASE!Q537)="AVAILABLE",TRIM([1]DATABASE!Q537)="UPON REQUEST"),OR([1]DATABASE!T537="",[1]DATABASE!T537=0)),"Active Unit no Price",""),IF(AND(OR(TRIM([1]DATABASE!Q537)="AVAILABLE",TRIM([1]DATABASE!Q537)="RESERVED",TRIM([1]DATABASE!Q537)="PRE-RESERVED",TRIM([1]DATABASE!Q537)="PSPA"),[1]DATABASE!AC537=""),"Active no Owner",""),IF(OR([1]DATABASE!F537="",[1]DATABASE!F537&lt;=0),"Missing/Invalid Area",""),IF(AND([1]DATABASE!T537&gt;0,ABS([1]DATABASE!T537-[1]DATABASE!W537-[1]DATABASE!U537-[1]DATABASE!V537)&gt;1),"Price Bridge Mismatch",""))</f>
        <v/>
      </c>
      <c r="H576" t="str">
        <f t="shared" si="11"/>
        <v>PASS</v>
      </c>
      <c r="I576" s="90">
        <f>[1]DATABASE!T537</f>
        <v>900000</v>
      </c>
      <c r="J576" t="str">
        <f>[1]DATABASE!AC537</f>
        <v>Ana Damásio</v>
      </c>
    </row>
    <row r="577" spans="1:10" ht="13.95" customHeight="1" x14ac:dyDescent="0.3">
      <c r="A577">
        <f>ROW([1]DATABASE!A538)</f>
        <v>538</v>
      </c>
      <c r="B577" t="str">
        <f>[1]DATABASE!AJ538</f>
        <v>Palmares</v>
      </c>
      <c r="C577" t="str">
        <f>[1]DATABASE!C538</f>
        <v>93</v>
      </c>
      <c r="D577" t="str">
        <f>TRIM([1]DATABASE!Q538)</f>
        <v>AVAILABLE</v>
      </c>
      <c r="E577" s="82" t="str">
        <f>_xlfn.TEXTJOIN("; ",TRUE,IF([1]DATABASE!X538&lt;0,"Negative Discount",""),IF(AND([1]DATABASE!Y538&gt;[1]DATABASE!T538,[1]DATABASE!Y538&gt;0,[1]DATABASE!T538&gt;0),"Sell Price &gt; Current",""),IF(AND(TRIM([1]DATABASE!Q538)="DEED",[1]DATABASE!AA538=""),"Deeded no PSPA Date",""),IF([1]DATABASE!E538="","Missing Typology",""),IF([1]DATABASE!AJ538="","Missing Development",""))</f>
        <v/>
      </c>
      <c r="F577" s="82" t="str">
        <f>_xlfn.TEXTJOIN("; ",TRUE,IF(AND(OR(TRIM([1]DATABASE!Q538)="RESERVED",TRIM([1]DATABASE!Q538)="PRE-RESERVED",TRIM([1]DATABASE!Q538)="PSPA"),[1]DATABASE!AA538=""),"Reserved/PSPA no PSPA Date",""),IF(AND(TRIM([1]DATABASE!Q538)="AVAILABLE",[1]DATABASE!AA538&lt;&gt;""),"Available has PSPA Date",""))</f>
        <v/>
      </c>
      <c r="G577" s="82" t="str">
        <f>_xlfn.TEXTJOIN("; ",TRUE,IF(AND([1]DATABASE!T538&lt;0.8*[1]DATABASE!S538,[1]DATABASE!T538&gt;0,[1]DATABASE!S538&gt;0),"Heavy Price Cut &gt;20%",""),IF(AND(OR(TRIM([1]DATABASE!Q538)="AVAILABLE",TRIM([1]DATABASE!Q538)="UPON REQUEST"),OR([1]DATABASE!T538="",[1]DATABASE!T538=0)),"Active Unit no Price",""),IF(AND(OR(TRIM([1]DATABASE!Q538)="AVAILABLE",TRIM([1]DATABASE!Q538)="RESERVED",TRIM([1]DATABASE!Q538)="PRE-RESERVED",TRIM([1]DATABASE!Q538)="PSPA"),[1]DATABASE!AC538=""),"Active no Owner",""),IF(OR([1]DATABASE!F538="",[1]DATABASE!F538&lt;=0),"Missing/Invalid Area",""),IF(AND([1]DATABASE!T538&gt;0,ABS([1]DATABASE!T538-[1]DATABASE!W538-[1]DATABASE!U538-[1]DATABASE!V538)&gt;1),"Price Bridge Mismatch",""))</f>
        <v/>
      </c>
      <c r="H577" t="str">
        <f t="shared" si="11"/>
        <v>PASS</v>
      </c>
      <c r="I577" s="90">
        <f>[1]DATABASE!T538</f>
        <v>1300000</v>
      </c>
      <c r="J577" t="str">
        <f>[1]DATABASE!AC538</f>
        <v>Sandra Viegas</v>
      </c>
    </row>
    <row r="578" spans="1:10" ht="13.95" customHeight="1" x14ac:dyDescent="0.3">
      <c r="A578">
        <f>ROW([1]DATABASE!A539)</f>
        <v>539</v>
      </c>
      <c r="B578" t="str">
        <f>[1]DATABASE!AJ539</f>
        <v>Palmares</v>
      </c>
      <c r="C578" t="str">
        <f>[1]DATABASE!C539</f>
        <v>19D</v>
      </c>
      <c r="D578" t="str">
        <f>TRIM([1]DATABASE!Q539)</f>
        <v>AVAILABLE</v>
      </c>
      <c r="E578" s="82" t="str">
        <f>_xlfn.TEXTJOIN("; ",TRUE,IF([1]DATABASE!X539&lt;0,"Negative Discount",""),IF(AND([1]DATABASE!Y539&gt;[1]DATABASE!T539,[1]DATABASE!Y539&gt;0,[1]DATABASE!T539&gt;0),"Sell Price &gt; Current",""),IF(AND(TRIM([1]DATABASE!Q539)="DEED",[1]DATABASE!AA539=""),"Deeded no PSPA Date",""),IF([1]DATABASE!E539="","Missing Typology",""),IF([1]DATABASE!AJ539="","Missing Development",""))</f>
        <v/>
      </c>
      <c r="F578" s="82" t="str">
        <f>_xlfn.TEXTJOIN("; ",TRUE,IF(AND(OR(TRIM([1]DATABASE!Q539)="RESERVED",TRIM([1]DATABASE!Q539)="PRE-RESERVED",TRIM([1]DATABASE!Q539)="PSPA"),[1]DATABASE!AA539=""),"Reserved/PSPA no PSPA Date",""),IF(AND(TRIM([1]DATABASE!Q539)="AVAILABLE",[1]DATABASE!AA539&lt;&gt;""),"Available has PSPA Date",""))</f>
        <v/>
      </c>
      <c r="G578" s="82" t="str">
        <f>_xlfn.TEXTJOIN("; ",TRUE,IF(AND([1]DATABASE!T539&lt;0.8*[1]DATABASE!S539,[1]DATABASE!T539&gt;0,[1]DATABASE!S539&gt;0),"Heavy Price Cut &gt;20%",""),IF(AND(OR(TRIM([1]DATABASE!Q539)="AVAILABLE",TRIM([1]DATABASE!Q539)="UPON REQUEST"),OR([1]DATABASE!T539="",[1]DATABASE!T539=0)),"Active Unit no Price",""),IF(AND(OR(TRIM([1]DATABASE!Q539)="AVAILABLE",TRIM([1]DATABASE!Q539)="RESERVED",TRIM([1]DATABASE!Q539)="PRE-RESERVED",TRIM([1]DATABASE!Q539)="PSPA"),[1]DATABASE!AC539=""),"Active no Owner",""),IF(OR([1]DATABASE!F539="",[1]DATABASE!F539&lt;=0),"Missing/Invalid Area",""),IF(AND([1]DATABASE!T539&gt;0,ABS([1]DATABASE!T539-[1]DATABASE!W539-[1]DATABASE!U539-[1]DATABASE!V539)&gt;1),"Price Bridge Mismatch",""))</f>
        <v>Active no Owner</v>
      </c>
      <c r="H578" t="str">
        <f t="shared" si="11"/>
        <v>REVIEW</v>
      </c>
      <c r="I578" s="90">
        <f>[1]DATABASE!T539</f>
        <v>2080000</v>
      </c>
      <c r="J578">
        <f>[1]DATABASE!AC539</f>
        <v>0</v>
      </c>
    </row>
    <row r="579" spans="1:10" ht="13.95" customHeight="1" x14ac:dyDescent="0.3">
      <c r="A579">
        <f>ROW([1]DATABASE!A540)</f>
        <v>540</v>
      </c>
      <c r="B579" t="str">
        <f>[1]DATABASE!AJ540</f>
        <v>Palmares</v>
      </c>
      <c r="C579" t="str">
        <f>[1]DATABASE!C540</f>
        <v>88</v>
      </c>
      <c r="D579" t="str">
        <f>TRIM([1]DATABASE!Q540)</f>
        <v>AVAILABLE</v>
      </c>
      <c r="E579" s="82" t="str">
        <f>_xlfn.TEXTJOIN("; ",TRUE,IF([1]DATABASE!X540&lt;0,"Negative Discount",""),IF(AND([1]DATABASE!Y540&gt;[1]DATABASE!T540,[1]DATABASE!Y540&gt;0,[1]DATABASE!T540&gt;0),"Sell Price &gt; Current",""),IF(AND(TRIM([1]DATABASE!Q540)="DEED",[1]DATABASE!AA540=""),"Deeded no PSPA Date",""),IF([1]DATABASE!E540="","Missing Typology",""),IF([1]DATABASE!AJ540="","Missing Development",""))</f>
        <v/>
      </c>
      <c r="F579" s="82" t="str">
        <f>_xlfn.TEXTJOIN("; ",TRUE,IF(AND(OR(TRIM([1]DATABASE!Q540)="RESERVED",TRIM([1]DATABASE!Q540)="PRE-RESERVED",TRIM([1]DATABASE!Q540)="PSPA"),[1]DATABASE!AA540=""),"Reserved/PSPA no PSPA Date",""),IF(AND(TRIM([1]DATABASE!Q540)="AVAILABLE",[1]DATABASE!AA540&lt;&gt;""),"Available has PSPA Date",""))</f>
        <v/>
      </c>
      <c r="G579" s="82" t="str">
        <f>_xlfn.TEXTJOIN("; ",TRUE,IF(AND([1]DATABASE!T540&lt;0.8*[1]DATABASE!S540,[1]DATABASE!T540&gt;0,[1]DATABASE!S540&gt;0),"Heavy Price Cut &gt;20%",""),IF(AND(OR(TRIM([1]DATABASE!Q540)="AVAILABLE",TRIM([1]DATABASE!Q540)="UPON REQUEST"),OR([1]DATABASE!T540="",[1]DATABASE!T540=0)),"Active Unit no Price",""),IF(AND(OR(TRIM([1]DATABASE!Q540)="AVAILABLE",TRIM([1]DATABASE!Q540)="RESERVED",TRIM([1]DATABASE!Q540)="PRE-RESERVED",TRIM([1]DATABASE!Q540)="PSPA"),[1]DATABASE!AC540=""),"Active no Owner",""),IF(OR([1]DATABASE!F540="",[1]DATABASE!F540&lt;=0),"Missing/Invalid Area",""),IF(AND([1]DATABASE!T540&gt;0,ABS([1]DATABASE!T540-[1]DATABASE!W540-[1]DATABASE!U540-[1]DATABASE!V540)&gt;1),"Price Bridge Mismatch",""))</f>
        <v/>
      </c>
      <c r="H579" t="str">
        <f t="shared" si="11"/>
        <v>PASS</v>
      </c>
      <c r="I579" s="90">
        <f>[1]DATABASE!T540</f>
        <v>1500000</v>
      </c>
      <c r="J579" t="str">
        <f>[1]DATABASE!AC540</f>
        <v>Sandra Viegas</v>
      </c>
    </row>
    <row r="580" spans="1:10" ht="13.95" customHeight="1" x14ac:dyDescent="0.3">
      <c r="A580">
        <f>ROW([1]DATABASE!A541)</f>
        <v>541</v>
      </c>
      <c r="B580" t="str">
        <f>[1]DATABASE!AJ541</f>
        <v>Palmares</v>
      </c>
      <c r="C580" t="str">
        <f>[1]DATABASE!C541</f>
        <v>94</v>
      </c>
      <c r="D580" t="str">
        <f>TRIM([1]DATABASE!Q541)</f>
        <v>AVAILABLE</v>
      </c>
      <c r="E580" s="82" t="str">
        <f>_xlfn.TEXTJOIN("; ",TRUE,IF([1]DATABASE!X541&lt;0,"Negative Discount",""),IF(AND([1]DATABASE!Y541&gt;[1]DATABASE!T541,[1]DATABASE!Y541&gt;0,[1]DATABASE!T541&gt;0),"Sell Price &gt; Current",""),IF(AND(TRIM([1]DATABASE!Q541)="DEED",[1]DATABASE!AA541=""),"Deeded no PSPA Date",""),IF([1]DATABASE!E541="","Missing Typology",""),IF([1]DATABASE!AJ541="","Missing Development",""))</f>
        <v/>
      </c>
      <c r="F580" s="82" t="str">
        <f>_xlfn.TEXTJOIN("; ",TRUE,IF(AND(OR(TRIM([1]DATABASE!Q541)="RESERVED",TRIM([1]DATABASE!Q541)="PRE-RESERVED",TRIM([1]DATABASE!Q541)="PSPA"),[1]DATABASE!AA541=""),"Reserved/PSPA no PSPA Date",""),IF(AND(TRIM([1]DATABASE!Q541)="AVAILABLE",[1]DATABASE!AA541&lt;&gt;""),"Available has PSPA Date",""))</f>
        <v/>
      </c>
      <c r="G580" s="82" t="str">
        <f>_xlfn.TEXTJOIN("; ",TRUE,IF(AND([1]DATABASE!T541&lt;0.8*[1]DATABASE!S541,[1]DATABASE!T541&gt;0,[1]DATABASE!S541&gt;0),"Heavy Price Cut &gt;20%",""),IF(AND(OR(TRIM([1]DATABASE!Q541)="AVAILABLE",TRIM([1]DATABASE!Q541)="UPON REQUEST"),OR([1]DATABASE!T541="",[1]DATABASE!T541=0)),"Active Unit no Price",""),IF(AND(OR(TRIM([1]DATABASE!Q541)="AVAILABLE",TRIM([1]DATABASE!Q541)="RESERVED",TRIM([1]DATABASE!Q541)="PRE-RESERVED",TRIM([1]DATABASE!Q541)="PSPA"),[1]DATABASE!AC541=""),"Active no Owner",""),IF(OR([1]DATABASE!F541="",[1]DATABASE!F541&lt;=0),"Missing/Invalid Area",""),IF(AND([1]DATABASE!T541&gt;0,ABS([1]DATABASE!T541-[1]DATABASE!W541-[1]DATABASE!U541-[1]DATABASE!V541)&gt;1),"Price Bridge Mismatch",""))</f>
        <v/>
      </c>
      <c r="H580" t="str">
        <f t="shared" si="11"/>
        <v>PASS</v>
      </c>
      <c r="I580" s="90">
        <f>[1]DATABASE!T541</f>
        <v>1300000</v>
      </c>
      <c r="J580" t="str">
        <f>[1]DATABASE!AC541</f>
        <v>Sandra Viegas</v>
      </c>
    </row>
    <row r="581" spans="1:10" ht="13.95" customHeight="1" x14ac:dyDescent="0.3">
      <c r="A581">
        <f>ROW([1]DATABASE!A542)</f>
        <v>542</v>
      </c>
      <c r="B581" t="str">
        <f>[1]DATABASE!AJ542</f>
        <v>Palmares</v>
      </c>
      <c r="C581" t="str">
        <f>[1]DATABASE!C542</f>
        <v>20D</v>
      </c>
      <c r="D581" t="str">
        <f>TRIM([1]DATABASE!Q542)</f>
        <v>AVAILABLE</v>
      </c>
      <c r="E581" s="82" t="str">
        <f>_xlfn.TEXTJOIN("; ",TRUE,IF([1]DATABASE!X542&lt;0,"Negative Discount",""),IF(AND([1]DATABASE!Y542&gt;[1]DATABASE!T542,[1]DATABASE!Y542&gt;0,[1]DATABASE!T542&gt;0),"Sell Price &gt; Current",""),IF(AND(TRIM([1]DATABASE!Q542)="DEED",[1]DATABASE!AA542=""),"Deeded no PSPA Date",""),IF([1]DATABASE!E542="","Missing Typology",""),IF([1]DATABASE!AJ542="","Missing Development",""))</f>
        <v/>
      </c>
      <c r="F581" s="82" t="str">
        <f>_xlfn.TEXTJOIN("; ",TRUE,IF(AND(OR(TRIM([1]DATABASE!Q542)="RESERVED",TRIM([1]DATABASE!Q542)="PRE-RESERVED",TRIM([1]DATABASE!Q542)="PSPA"),[1]DATABASE!AA542=""),"Reserved/PSPA no PSPA Date",""),IF(AND(TRIM([1]DATABASE!Q542)="AVAILABLE",[1]DATABASE!AA542&lt;&gt;""),"Available has PSPA Date",""))</f>
        <v/>
      </c>
      <c r="G581" s="82" t="str">
        <f>_xlfn.TEXTJOIN("; ",TRUE,IF(AND([1]DATABASE!T542&lt;0.8*[1]DATABASE!S542,[1]DATABASE!T542&gt;0,[1]DATABASE!S542&gt;0),"Heavy Price Cut &gt;20%",""),IF(AND(OR(TRIM([1]DATABASE!Q542)="AVAILABLE",TRIM([1]DATABASE!Q542)="UPON REQUEST"),OR([1]DATABASE!T542="",[1]DATABASE!T542=0)),"Active Unit no Price",""),IF(AND(OR(TRIM([1]DATABASE!Q542)="AVAILABLE",TRIM([1]DATABASE!Q542)="RESERVED",TRIM([1]DATABASE!Q542)="PRE-RESERVED",TRIM([1]DATABASE!Q542)="PSPA"),[1]DATABASE!AC542=""),"Active no Owner",""),IF(OR([1]DATABASE!F542="",[1]DATABASE!F542&lt;=0),"Missing/Invalid Area",""),IF(AND([1]DATABASE!T542&gt;0,ABS([1]DATABASE!T542-[1]DATABASE!W542-[1]DATABASE!U542-[1]DATABASE!V542)&gt;1),"Price Bridge Mismatch",""))</f>
        <v>Active no Owner</v>
      </c>
      <c r="H581" t="str">
        <f t="shared" si="11"/>
        <v>REVIEW</v>
      </c>
      <c r="I581" s="90">
        <f>[1]DATABASE!T542</f>
        <v>2070000</v>
      </c>
      <c r="J581">
        <f>[1]DATABASE!AC542</f>
        <v>0</v>
      </c>
    </row>
    <row r="582" spans="1:10" ht="13.95" customHeight="1" x14ac:dyDescent="0.3">
      <c r="A582">
        <f>ROW([1]DATABASE!A543)</f>
        <v>543</v>
      </c>
      <c r="B582" t="str">
        <f>[1]DATABASE!AJ543</f>
        <v>Palmares</v>
      </c>
      <c r="C582" t="str">
        <f>[1]DATABASE!C543</f>
        <v>21D</v>
      </c>
      <c r="D582" t="str">
        <f>TRIM([1]DATABASE!Q543)</f>
        <v>AVAILABLE</v>
      </c>
      <c r="E582" s="82" t="str">
        <f>_xlfn.TEXTJOIN("; ",TRUE,IF([1]DATABASE!X543&lt;0,"Negative Discount",""),IF(AND([1]DATABASE!Y543&gt;[1]DATABASE!T543,[1]DATABASE!Y543&gt;0,[1]DATABASE!T543&gt;0),"Sell Price &gt; Current",""),IF(AND(TRIM([1]DATABASE!Q543)="DEED",[1]DATABASE!AA543=""),"Deeded no PSPA Date",""),IF([1]DATABASE!E543="","Missing Typology",""),IF([1]DATABASE!AJ543="","Missing Development",""))</f>
        <v/>
      </c>
      <c r="F582" s="82" t="str">
        <f>_xlfn.TEXTJOIN("; ",TRUE,IF(AND(OR(TRIM([1]DATABASE!Q543)="RESERVED",TRIM([1]DATABASE!Q543)="PRE-RESERVED",TRIM([1]DATABASE!Q543)="PSPA"),[1]DATABASE!AA543=""),"Reserved/PSPA no PSPA Date",""),IF(AND(TRIM([1]DATABASE!Q543)="AVAILABLE",[1]DATABASE!AA543&lt;&gt;""),"Available has PSPA Date",""))</f>
        <v/>
      </c>
      <c r="G582" s="82" t="str">
        <f>_xlfn.TEXTJOIN("; ",TRUE,IF(AND([1]DATABASE!T543&lt;0.8*[1]DATABASE!S543,[1]DATABASE!T543&gt;0,[1]DATABASE!S543&gt;0),"Heavy Price Cut &gt;20%",""),IF(AND(OR(TRIM([1]DATABASE!Q543)="AVAILABLE",TRIM([1]DATABASE!Q543)="UPON REQUEST"),OR([1]DATABASE!T543="",[1]DATABASE!T543=0)),"Active Unit no Price",""),IF(AND(OR(TRIM([1]DATABASE!Q543)="AVAILABLE",TRIM([1]DATABASE!Q543)="RESERVED",TRIM([1]DATABASE!Q543)="PRE-RESERVED",TRIM([1]DATABASE!Q543)="PSPA"),[1]DATABASE!AC543=""),"Active no Owner",""),IF(OR([1]DATABASE!F543="",[1]DATABASE!F543&lt;=0),"Missing/Invalid Area",""),IF(AND([1]DATABASE!T543&gt;0,ABS([1]DATABASE!T543-[1]DATABASE!W543-[1]DATABASE!U543-[1]DATABASE!V543)&gt;1),"Price Bridge Mismatch",""))</f>
        <v>Active no Owner</v>
      </c>
      <c r="H582" t="str">
        <f t="shared" si="11"/>
        <v>REVIEW</v>
      </c>
      <c r="I582" s="90">
        <f>[1]DATABASE!T543</f>
        <v>2050000</v>
      </c>
      <c r="J582">
        <f>[1]DATABASE!AC543</f>
        <v>0</v>
      </c>
    </row>
    <row r="583" spans="1:10" ht="13.95" customHeight="1" x14ac:dyDescent="0.3">
      <c r="A583">
        <f>ROW([1]DATABASE!A544)</f>
        <v>544</v>
      </c>
      <c r="B583" t="str">
        <f>[1]DATABASE!AJ544</f>
        <v>Palmares</v>
      </c>
      <c r="C583" t="str">
        <f>[1]DATABASE!C544</f>
        <v>22D</v>
      </c>
      <c r="D583" t="str">
        <f>TRIM([1]DATABASE!Q544)</f>
        <v>AVAILABLE</v>
      </c>
      <c r="E583" s="82" t="str">
        <f>_xlfn.TEXTJOIN("; ",TRUE,IF([1]DATABASE!X544&lt;0,"Negative Discount",""),IF(AND([1]DATABASE!Y544&gt;[1]DATABASE!T544,[1]DATABASE!Y544&gt;0,[1]DATABASE!T544&gt;0),"Sell Price &gt; Current",""),IF(AND(TRIM([1]DATABASE!Q544)="DEED",[1]DATABASE!AA544=""),"Deeded no PSPA Date",""),IF([1]DATABASE!E544="","Missing Typology",""),IF([1]DATABASE!AJ544="","Missing Development",""))</f>
        <v/>
      </c>
      <c r="F583" s="82" t="str">
        <f>_xlfn.TEXTJOIN("; ",TRUE,IF(AND(OR(TRIM([1]DATABASE!Q544)="RESERVED",TRIM([1]DATABASE!Q544)="PRE-RESERVED",TRIM([1]DATABASE!Q544)="PSPA"),[1]DATABASE!AA544=""),"Reserved/PSPA no PSPA Date",""),IF(AND(TRIM([1]DATABASE!Q544)="AVAILABLE",[1]DATABASE!AA544&lt;&gt;""),"Available has PSPA Date",""))</f>
        <v/>
      </c>
      <c r="G583" s="82" t="str">
        <f>_xlfn.TEXTJOIN("; ",TRUE,IF(AND([1]DATABASE!T544&lt;0.8*[1]DATABASE!S544,[1]DATABASE!T544&gt;0,[1]DATABASE!S544&gt;0),"Heavy Price Cut &gt;20%",""),IF(AND(OR(TRIM([1]DATABASE!Q544)="AVAILABLE",TRIM([1]DATABASE!Q544)="UPON REQUEST"),OR([1]DATABASE!T544="",[1]DATABASE!T544=0)),"Active Unit no Price",""),IF(AND(OR(TRIM([1]DATABASE!Q544)="AVAILABLE",TRIM([1]DATABASE!Q544)="RESERVED",TRIM([1]DATABASE!Q544)="PRE-RESERVED",TRIM([1]DATABASE!Q544)="PSPA"),[1]DATABASE!AC544=""),"Active no Owner",""),IF(OR([1]DATABASE!F544="",[1]DATABASE!F544&lt;=0),"Missing/Invalid Area",""),IF(AND([1]DATABASE!T544&gt;0,ABS([1]DATABASE!T544-[1]DATABASE!W544-[1]DATABASE!U544-[1]DATABASE!V544)&gt;1),"Price Bridge Mismatch",""))</f>
        <v>Active no Owner</v>
      </c>
      <c r="H583" t="str">
        <f t="shared" si="11"/>
        <v>REVIEW</v>
      </c>
      <c r="I583" s="90">
        <f>[1]DATABASE!T544</f>
        <v>2040000</v>
      </c>
      <c r="J583">
        <f>[1]DATABASE!AC544</f>
        <v>0</v>
      </c>
    </row>
    <row r="584" spans="1:10" ht="13.95" customHeight="1" x14ac:dyDescent="0.3">
      <c r="A584">
        <f>ROW([1]DATABASE!A545)</f>
        <v>545</v>
      </c>
      <c r="B584" t="str">
        <f>[1]DATABASE!AJ545</f>
        <v>Springs - At the Els</v>
      </c>
      <c r="C584" t="str">
        <f>[1]DATABASE!C545</f>
        <v>16</v>
      </c>
      <c r="D584" t="str">
        <f>TRIM([1]DATABASE!Q545)</f>
        <v>AVAILABLE</v>
      </c>
      <c r="E584" s="82" t="str">
        <f>_xlfn.TEXTJOIN("; ",TRUE,IF([1]DATABASE!X545&lt;0,"Negative Discount",""),IF(AND([1]DATABASE!Y545&gt;[1]DATABASE!T545,[1]DATABASE!Y545&gt;0,[1]DATABASE!T545&gt;0),"Sell Price &gt; Current",""),IF(AND(TRIM([1]DATABASE!Q545)="DEED",[1]DATABASE!AA545=""),"Deeded no PSPA Date",""),IF([1]DATABASE!E545="","Missing Typology",""),IF([1]DATABASE!AJ545="","Missing Development",""))</f>
        <v/>
      </c>
      <c r="F584" s="82" t="str">
        <f>_xlfn.TEXTJOIN("; ",TRUE,IF(AND(OR(TRIM([1]DATABASE!Q545)="RESERVED",TRIM([1]DATABASE!Q545)="PRE-RESERVED",TRIM([1]DATABASE!Q545)="PSPA"),[1]DATABASE!AA545=""),"Reserved/PSPA no PSPA Date",""),IF(AND(TRIM([1]DATABASE!Q545)="AVAILABLE",[1]DATABASE!AA545&lt;&gt;""),"Available has PSPA Date",""))</f>
        <v/>
      </c>
      <c r="G584" s="82" t="str">
        <f>_xlfn.TEXTJOIN("; ",TRUE,IF(AND([1]DATABASE!T545&lt;0.8*[1]DATABASE!S545,[1]DATABASE!T545&gt;0,[1]DATABASE!S545&gt;0),"Heavy Price Cut &gt;20%",""),IF(AND(OR(TRIM([1]DATABASE!Q545)="AVAILABLE",TRIM([1]DATABASE!Q545)="UPON REQUEST"),OR([1]DATABASE!T545="",[1]DATABASE!T545=0)),"Active Unit no Price",""),IF(AND(OR(TRIM([1]DATABASE!Q545)="AVAILABLE",TRIM([1]DATABASE!Q545)="RESERVED",TRIM([1]DATABASE!Q545)="PRE-RESERVED",TRIM([1]DATABASE!Q545)="PSPA"),[1]DATABASE!AC545=""),"Active no Owner",""),IF(OR([1]DATABASE!F545="",[1]DATABASE!F545&lt;=0),"Missing/Invalid Area",""),IF(AND([1]DATABASE!T545&gt;0,ABS([1]DATABASE!T545-[1]DATABASE!W545-[1]DATABASE!U545-[1]DATABASE!V545)&gt;1),"Price Bridge Mismatch",""))</f>
        <v>Heavy Price Cut &gt;20%</v>
      </c>
      <c r="H584" t="str">
        <f t="shared" si="11"/>
        <v>REVIEW</v>
      </c>
      <c r="I584" s="90">
        <f>[1]DATABASE!T545</f>
        <v>2160000</v>
      </c>
      <c r="J584" t="str">
        <f>[1]DATABASE!AC545</f>
        <v>Ana Damásio</v>
      </c>
    </row>
    <row r="585" spans="1:10" ht="13.95" customHeight="1" x14ac:dyDescent="0.3">
      <c r="A585">
        <f>ROW([1]DATABASE!A546)</f>
        <v>546</v>
      </c>
      <c r="B585" t="str">
        <f>[1]DATABASE!AJ546</f>
        <v>The Uncommon</v>
      </c>
      <c r="C585" t="str">
        <f>[1]DATABASE!C546</f>
        <v>16</v>
      </c>
      <c r="D585" t="str">
        <f>TRIM([1]DATABASE!Q546)</f>
        <v>AVAILABLE</v>
      </c>
      <c r="E585" s="82" t="str">
        <f>_xlfn.TEXTJOIN("; ",TRUE,IF([1]DATABASE!X546&lt;0,"Negative Discount",""),IF(AND([1]DATABASE!Y546&gt;[1]DATABASE!T546,[1]DATABASE!Y546&gt;0,[1]DATABASE!T546&gt;0),"Sell Price &gt; Current",""),IF(AND(TRIM([1]DATABASE!Q546)="DEED",[1]DATABASE!AA546=""),"Deeded no PSPA Date",""),IF([1]DATABASE!E546="","Missing Typology",""),IF([1]DATABASE!AJ546="","Missing Development",""))</f>
        <v/>
      </c>
      <c r="F585" s="82" t="str">
        <f>_xlfn.TEXTJOIN("; ",TRUE,IF(AND(OR(TRIM([1]DATABASE!Q546)="RESERVED",TRIM([1]DATABASE!Q546)="PRE-RESERVED",TRIM([1]DATABASE!Q546)="PSPA"),[1]DATABASE!AA546=""),"Reserved/PSPA no PSPA Date",""),IF(AND(TRIM([1]DATABASE!Q546)="AVAILABLE",[1]DATABASE!AA546&lt;&gt;""),"Available has PSPA Date",""))</f>
        <v/>
      </c>
      <c r="G585" s="82" t="str">
        <f>_xlfn.TEXTJOIN("; ",TRUE,IF(AND([1]DATABASE!T546&lt;0.8*[1]DATABASE!S546,[1]DATABASE!T546&gt;0,[1]DATABASE!S546&gt;0),"Heavy Price Cut &gt;20%",""),IF(AND(OR(TRIM([1]DATABASE!Q546)="AVAILABLE",TRIM([1]DATABASE!Q546)="UPON REQUEST"),OR([1]DATABASE!T546="",[1]DATABASE!T546=0)),"Active Unit no Price",""),IF(AND(OR(TRIM([1]DATABASE!Q546)="AVAILABLE",TRIM([1]DATABASE!Q546)="RESERVED",TRIM([1]DATABASE!Q546)="PRE-RESERVED",TRIM([1]DATABASE!Q546)="PSPA"),[1]DATABASE!AC546=""),"Active no Owner",""),IF(OR([1]DATABASE!F546="",[1]DATABASE!F546&lt;=0),"Missing/Invalid Area",""),IF(AND([1]DATABASE!T546&gt;0,ABS([1]DATABASE!T546-[1]DATABASE!W546-[1]DATABASE!U546-[1]DATABASE!V546)&gt;1),"Price Bridge Mismatch",""))</f>
        <v/>
      </c>
      <c r="H585" t="str">
        <f t="shared" si="11"/>
        <v>PASS</v>
      </c>
      <c r="I585" s="90">
        <f>[1]DATABASE!T546</f>
        <v>2090000</v>
      </c>
      <c r="J585" t="str">
        <f>[1]DATABASE!AC546</f>
        <v>Ana Damásio</v>
      </c>
    </row>
    <row r="586" spans="1:10" ht="13.95" customHeight="1" x14ac:dyDescent="0.3">
      <c r="A586">
        <f>ROW([1]DATABASE!A547)</f>
        <v>547</v>
      </c>
      <c r="B586" t="str">
        <f>[1]DATABASE!AJ547</f>
        <v>Springs - At the Els</v>
      </c>
      <c r="C586" t="str">
        <f>[1]DATABASE!C547</f>
        <v>17</v>
      </c>
      <c r="D586" t="str">
        <f>TRIM([1]DATABASE!Q547)</f>
        <v>AVAILABLE</v>
      </c>
      <c r="E586" s="82" t="str">
        <f>_xlfn.TEXTJOIN("; ",TRUE,IF([1]DATABASE!X547&lt;0,"Negative Discount",""),IF(AND([1]DATABASE!Y547&gt;[1]DATABASE!T547,[1]DATABASE!Y547&gt;0,[1]DATABASE!T547&gt;0),"Sell Price &gt; Current",""),IF(AND(TRIM([1]DATABASE!Q547)="DEED",[1]DATABASE!AA547=""),"Deeded no PSPA Date",""),IF([1]DATABASE!E547="","Missing Typology",""),IF([1]DATABASE!AJ547="","Missing Development",""))</f>
        <v/>
      </c>
      <c r="F586" s="82" t="str">
        <f>_xlfn.TEXTJOIN("; ",TRUE,IF(AND(OR(TRIM([1]DATABASE!Q547)="RESERVED",TRIM([1]DATABASE!Q547)="PRE-RESERVED",TRIM([1]DATABASE!Q547)="PSPA"),[1]DATABASE!AA547=""),"Reserved/PSPA no PSPA Date",""),IF(AND(TRIM([1]DATABASE!Q547)="AVAILABLE",[1]DATABASE!AA547&lt;&gt;""),"Available has PSPA Date",""))</f>
        <v/>
      </c>
      <c r="G586" s="82" t="str">
        <f>_xlfn.TEXTJOIN("; ",TRUE,IF(AND([1]DATABASE!T547&lt;0.8*[1]DATABASE!S547,[1]DATABASE!T547&gt;0,[1]DATABASE!S547&gt;0),"Heavy Price Cut &gt;20%",""),IF(AND(OR(TRIM([1]DATABASE!Q547)="AVAILABLE",TRIM([1]DATABASE!Q547)="UPON REQUEST"),OR([1]DATABASE!T547="",[1]DATABASE!T547=0)),"Active Unit no Price",""),IF(AND(OR(TRIM([1]DATABASE!Q547)="AVAILABLE",TRIM([1]DATABASE!Q547)="RESERVED",TRIM([1]DATABASE!Q547)="PRE-RESERVED",TRIM([1]DATABASE!Q547)="PSPA"),[1]DATABASE!AC547=""),"Active no Owner",""),IF(OR([1]DATABASE!F547="",[1]DATABASE!F547&lt;=0),"Missing/Invalid Area",""),IF(AND([1]DATABASE!T547&gt;0,ABS([1]DATABASE!T547-[1]DATABASE!W547-[1]DATABASE!U547-[1]DATABASE!V547)&gt;1),"Price Bridge Mismatch",""))</f>
        <v>Heavy Price Cut &gt;20%</v>
      </c>
      <c r="H586" t="str">
        <f t="shared" si="11"/>
        <v>REVIEW</v>
      </c>
      <c r="I586" s="90">
        <f>[1]DATABASE!T547</f>
        <v>980000</v>
      </c>
      <c r="J586" t="str">
        <f>[1]DATABASE!AC547</f>
        <v>Ana Damásio</v>
      </c>
    </row>
    <row r="587" spans="1:10" ht="13.95" customHeight="1" x14ac:dyDescent="0.3">
      <c r="A587">
        <f>ROW([1]DATABASE!A548)</f>
        <v>548</v>
      </c>
      <c r="B587" t="str">
        <f>[1]DATABASE!AJ548</f>
        <v>Springs - At the Els</v>
      </c>
      <c r="C587" t="str">
        <f>[1]DATABASE!C548</f>
        <v>18</v>
      </c>
      <c r="D587" t="str">
        <f>TRIM([1]DATABASE!Q548)</f>
        <v>AVAILABLE</v>
      </c>
      <c r="E587" s="82" t="str">
        <f>_xlfn.TEXTJOIN("; ",TRUE,IF([1]DATABASE!X548&lt;0,"Negative Discount",""),IF(AND([1]DATABASE!Y548&gt;[1]DATABASE!T548,[1]DATABASE!Y548&gt;0,[1]DATABASE!T548&gt;0),"Sell Price &gt; Current",""),IF(AND(TRIM([1]DATABASE!Q548)="DEED",[1]DATABASE!AA548=""),"Deeded no PSPA Date",""),IF([1]DATABASE!E548="","Missing Typology",""),IF([1]DATABASE!AJ548="","Missing Development",""))</f>
        <v/>
      </c>
      <c r="F587" s="82" t="str">
        <f>_xlfn.TEXTJOIN("; ",TRUE,IF(AND(OR(TRIM([1]DATABASE!Q548)="RESERVED",TRIM([1]DATABASE!Q548)="PRE-RESERVED",TRIM([1]DATABASE!Q548)="PSPA"),[1]DATABASE!AA548=""),"Reserved/PSPA no PSPA Date",""),IF(AND(TRIM([1]DATABASE!Q548)="AVAILABLE",[1]DATABASE!AA548&lt;&gt;""),"Available has PSPA Date",""))</f>
        <v/>
      </c>
      <c r="G587" s="82" t="str">
        <f>_xlfn.TEXTJOIN("; ",TRUE,IF(AND([1]DATABASE!T548&lt;0.8*[1]DATABASE!S548,[1]DATABASE!T548&gt;0,[1]DATABASE!S548&gt;0),"Heavy Price Cut &gt;20%",""),IF(AND(OR(TRIM([1]DATABASE!Q548)="AVAILABLE",TRIM([1]DATABASE!Q548)="UPON REQUEST"),OR([1]DATABASE!T548="",[1]DATABASE!T548=0)),"Active Unit no Price",""),IF(AND(OR(TRIM([1]DATABASE!Q548)="AVAILABLE",TRIM([1]DATABASE!Q548)="RESERVED",TRIM([1]DATABASE!Q548)="PRE-RESERVED",TRIM([1]DATABASE!Q548)="PSPA"),[1]DATABASE!AC548=""),"Active no Owner",""),IF(OR([1]DATABASE!F548="",[1]DATABASE!F548&lt;=0),"Missing/Invalid Area",""),IF(AND([1]DATABASE!T548&gt;0,ABS([1]DATABASE!T548-[1]DATABASE!W548-[1]DATABASE!U548-[1]DATABASE!V548)&gt;1),"Price Bridge Mismatch",""))</f>
        <v>Heavy Price Cut &gt;20%</v>
      </c>
      <c r="H587" t="str">
        <f t="shared" si="11"/>
        <v>REVIEW</v>
      </c>
      <c r="I587" s="90">
        <f>[1]DATABASE!T548</f>
        <v>990000</v>
      </c>
      <c r="J587" t="str">
        <f>[1]DATABASE!AC548</f>
        <v>Ana Damásio</v>
      </c>
    </row>
    <row r="588" spans="1:10" ht="13.95" customHeight="1" x14ac:dyDescent="0.3">
      <c r="A588">
        <f>ROW([1]DATABASE!A549)</f>
        <v>549</v>
      </c>
      <c r="B588" t="str">
        <f>[1]DATABASE!AJ549</f>
        <v>Palmares</v>
      </c>
      <c r="C588" t="str">
        <f>[1]DATABASE!C549</f>
        <v>23D</v>
      </c>
      <c r="D588" t="str">
        <f>TRIM([1]DATABASE!Q549)</f>
        <v>AVAILABLE</v>
      </c>
      <c r="E588" s="82" t="str">
        <f>_xlfn.TEXTJOIN("; ",TRUE,IF([1]DATABASE!X549&lt;0,"Negative Discount",""),IF(AND([1]DATABASE!Y549&gt;[1]DATABASE!T549,[1]DATABASE!Y549&gt;0,[1]DATABASE!T549&gt;0),"Sell Price &gt; Current",""),IF(AND(TRIM([1]DATABASE!Q549)="DEED",[1]DATABASE!AA549=""),"Deeded no PSPA Date",""),IF([1]DATABASE!E549="","Missing Typology",""),IF([1]DATABASE!AJ549="","Missing Development",""))</f>
        <v/>
      </c>
      <c r="F588" s="82" t="str">
        <f>_xlfn.TEXTJOIN("; ",TRUE,IF(AND(OR(TRIM([1]DATABASE!Q549)="RESERVED",TRIM([1]DATABASE!Q549)="PRE-RESERVED",TRIM([1]DATABASE!Q549)="PSPA"),[1]DATABASE!AA549=""),"Reserved/PSPA no PSPA Date",""),IF(AND(TRIM([1]DATABASE!Q549)="AVAILABLE",[1]DATABASE!AA549&lt;&gt;""),"Available has PSPA Date",""))</f>
        <v/>
      </c>
      <c r="G588" s="82" t="str">
        <f>_xlfn.TEXTJOIN("; ",TRUE,IF(AND([1]DATABASE!T549&lt;0.8*[1]DATABASE!S549,[1]DATABASE!T549&gt;0,[1]DATABASE!S549&gt;0),"Heavy Price Cut &gt;20%",""),IF(AND(OR(TRIM([1]DATABASE!Q549)="AVAILABLE",TRIM([1]DATABASE!Q549)="UPON REQUEST"),OR([1]DATABASE!T549="",[1]DATABASE!T549=0)),"Active Unit no Price",""),IF(AND(OR(TRIM([1]DATABASE!Q549)="AVAILABLE",TRIM([1]DATABASE!Q549)="RESERVED",TRIM([1]DATABASE!Q549)="PRE-RESERVED",TRIM([1]DATABASE!Q549)="PSPA"),[1]DATABASE!AC549=""),"Active no Owner",""),IF(OR([1]DATABASE!F549="",[1]DATABASE!F549&lt;=0),"Missing/Invalid Area",""),IF(AND([1]DATABASE!T549&gt;0,ABS([1]DATABASE!T549-[1]DATABASE!W549-[1]DATABASE!U549-[1]DATABASE!V549)&gt;1),"Price Bridge Mismatch",""))</f>
        <v>Active no Owner</v>
      </c>
      <c r="H588" t="str">
        <f t="shared" si="11"/>
        <v>REVIEW</v>
      </c>
      <c r="I588" s="90">
        <f>[1]DATABASE!T549</f>
        <v>2040000</v>
      </c>
      <c r="J588">
        <f>[1]DATABASE!AC549</f>
        <v>0</v>
      </c>
    </row>
    <row r="589" spans="1:10" ht="13.95" customHeight="1" x14ac:dyDescent="0.3">
      <c r="A589">
        <f>ROW([1]DATABASE!A550)</f>
        <v>550</v>
      </c>
      <c r="B589" t="str">
        <f>[1]DATABASE!AJ550</f>
        <v>Palmares</v>
      </c>
      <c r="C589" t="str">
        <f>[1]DATABASE!C550</f>
        <v>24D</v>
      </c>
      <c r="D589" t="str">
        <f>TRIM([1]DATABASE!Q550)</f>
        <v>AVAILABLE</v>
      </c>
      <c r="E589" s="82" t="str">
        <f>_xlfn.TEXTJOIN("; ",TRUE,IF([1]DATABASE!X550&lt;0,"Negative Discount",""),IF(AND([1]DATABASE!Y550&gt;[1]DATABASE!T550,[1]DATABASE!Y550&gt;0,[1]DATABASE!T550&gt;0),"Sell Price &gt; Current",""),IF(AND(TRIM([1]DATABASE!Q550)="DEED",[1]DATABASE!AA550=""),"Deeded no PSPA Date",""),IF([1]DATABASE!E550="","Missing Typology",""),IF([1]DATABASE!AJ550="","Missing Development",""))</f>
        <v/>
      </c>
      <c r="F589" s="82" t="str">
        <f>_xlfn.TEXTJOIN("; ",TRUE,IF(AND(OR(TRIM([1]DATABASE!Q550)="RESERVED",TRIM([1]DATABASE!Q550)="PRE-RESERVED",TRIM([1]DATABASE!Q550)="PSPA"),[1]DATABASE!AA550=""),"Reserved/PSPA no PSPA Date",""),IF(AND(TRIM([1]DATABASE!Q550)="AVAILABLE",[1]DATABASE!AA550&lt;&gt;""),"Available has PSPA Date",""))</f>
        <v/>
      </c>
      <c r="G589" s="82" t="str">
        <f>_xlfn.TEXTJOIN("; ",TRUE,IF(AND([1]DATABASE!T550&lt;0.8*[1]DATABASE!S550,[1]DATABASE!T550&gt;0,[1]DATABASE!S550&gt;0),"Heavy Price Cut &gt;20%",""),IF(AND(OR(TRIM([1]DATABASE!Q550)="AVAILABLE",TRIM([1]DATABASE!Q550)="UPON REQUEST"),OR([1]DATABASE!T550="",[1]DATABASE!T550=0)),"Active Unit no Price",""),IF(AND(OR(TRIM([1]DATABASE!Q550)="AVAILABLE",TRIM([1]DATABASE!Q550)="RESERVED",TRIM([1]DATABASE!Q550)="PRE-RESERVED",TRIM([1]DATABASE!Q550)="PSPA"),[1]DATABASE!AC550=""),"Active no Owner",""),IF(OR([1]DATABASE!F550="",[1]DATABASE!F550&lt;=0),"Missing/Invalid Area",""),IF(AND([1]DATABASE!T550&gt;0,ABS([1]DATABASE!T550-[1]DATABASE!W550-[1]DATABASE!U550-[1]DATABASE!V550)&gt;1),"Price Bridge Mismatch",""))</f>
        <v>Active no Owner</v>
      </c>
      <c r="H589" t="str">
        <f t="shared" si="11"/>
        <v>REVIEW</v>
      </c>
      <c r="I589" s="90">
        <f>[1]DATABASE!T550</f>
        <v>1430000</v>
      </c>
      <c r="J589">
        <f>[1]DATABASE!AC550</f>
        <v>0</v>
      </c>
    </row>
    <row r="590" spans="1:10" ht="13.95" customHeight="1" x14ac:dyDescent="0.3">
      <c r="A590">
        <f>ROW([1]DATABASE!A551)</f>
        <v>551</v>
      </c>
      <c r="B590" t="str">
        <f>[1]DATABASE!AJ551</f>
        <v>Palmares</v>
      </c>
      <c r="C590" t="str">
        <f>[1]DATABASE!C551</f>
        <v>25E</v>
      </c>
      <c r="D590" t="str">
        <f>TRIM([1]DATABASE!Q551)</f>
        <v>AVAILABLE</v>
      </c>
      <c r="E590" s="82" t="str">
        <f>_xlfn.TEXTJOIN("; ",TRUE,IF([1]DATABASE!X551&lt;0,"Negative Discount",""),IF(AND([1]DATABASE!Y551&gt;[1]DATABASE!T551,[1]DATABASE!Y551&gt;0,[1]DATABASE!T551&gt;0),"Sell Price &gt; Current",""),IF(AND(TRIM([1]DATABASE!Q551)="DEED",[1]DATABASE!AA551=""),"Deeded no PSPA Date",""),IF([1]DATABASE!E551="","Missing Typology",""),IF([1]DATABASE!AJ551="","Missing Development",""))</f>
        <v/>
      </c>
      <c r="F590" s="82" t="str">
        <f>_xlfn.TEXTJOIN("; ",TRUE,IF(AND(OR(TRIM([1]DATABASE!Q551)="RESERVED",TRIM([1]DATABASE!Q551)="PRE-RESERVED",TRIM([1]DATABASE!Q551)="PSPA"),[1]DATABASE!AA551=""),"Reserved/PSPA no PSPA Date",""),IF(AND(TRIM([1]DATABASE!Q551)="AVAILABLE",[1]DATABASE!AA551&lt;&gt;""),"Available has PSPA Date",""))</f>
        <v/>
      </c>
      <c r="G590" s="82" t="str">
        <f>_xlfn.TEXTJOIN("; ",TRUE,IF(AND([1]DATABASE!T551&lt;0.8*[1]DATABASE!S551,[1]DATABASE!T551&gt;0,[1]DATABASE!S551&gt;0),"Heavy Price Cut &gt;20%",""),IF(AND(OR(TRIM([1]DATABASE!Q551)="AVAILABLE",TRIM([1]DATABASE!Q551)="UPON REQUEST"),OR([1]DATABASE!T551="",[1]DATABASE!T551=0)),"Active Unit no Price",""),IF(AND(OR(TRIM([1]DATABASE!Q551)="AVAILABLE",TRIM([1]DATABASE!Q551)="RESERVED",TRIM([1]DATABASE!Q551)="PRE-RESERVED",TRIM([1]DATABASE!Q551)="PSPA"),[1]DATABASE!AC551=""),"Active no Owner",""),IF(OR([1]DATABASE!F551="",[1]DATABASE!F551&lt;=0),"Missing/Invalid Area",""),IF(AND([1]DATABASE!T551&gt;0,ABS([1]DATABASE!T551-[1]DATABASE!W551-[1]DATABASE!U551-[1]DATABASE!V551)&gt;1),"Price Bridge Mismatch",""))</f>
        <v>Active no Owner</v>
      </c>
      <c r="H590" t="str">
        <f t="shared" si="11"/>
        <v>REVIEW</v>
      </c>
      <c r="I590" s="90">
        <f>[1]DATABASE!T551</f>
        <v>3060000</v>
      </c>
      <c r="J590">
        <f>[1]DATABASE!AC551</f>
        <v>0</v>
      </c>
    </row>
    <row r="591" spans="1:10" ht="13.95" customHeight="1" x14ac:dyDescent="0.3">
      <c r="A591">
        <f>ROW([1]DATABASE!A552)</f>
        <v>552</v>
      </c>
      <c r="B591" t="str">
        <f>[1]DATABASE!AJ552</f>
        <v>Palmares</v>
      </c>
      <c r="C591" t="str">
        <f>[1]DATABASE!C552</f>
        <v>26E</v>
      </c>
      <c r="D591" t="str">
        <f>TRIM([1]DATABASE!Q552)</f>
        <v>AVAILABLE</v>
      </c>
      <c r="E591" s="82" t="str">
        <f>_xlfn.TEXTJOIN("; ",TRUE,IF([1]DATABASE!X552&lt;0,"Negative Discount",""),IF(AND([1]DATABASE!Y552&gt;[1]DATABASE!T552,[1]DATABASE!Y552&gt;0,[1]DATABASE!T552&gt;0),"Sell Price &gt; Current",""),IF(AND(TRIM([1]DATABASE!Q552)="DEED",[1]DATABASE!AA552=""),"Deeded no PSPA Date",""),IF([1]DATABASE!E552="","Missing Typology",""),IF([1]DATABASE!AJ552="","Missing Development",""))</f>
        <v/>
      </c>
      <c r="F591" s="82" t="str">
        <f>_xlfn.TEXTJOIN("; ",TRUE,IF(AND(OR(TRIM([1]DATABASE!Q552)="RESERVED",TRIM([1]DATABASE!Q552)="PRE-RESERVED",TRIM([1]DATABASE!Q552)="PSPA"),[1]DATABASE!AA552=""),"Reserved/PSPA no PSPA Date",""),IF(AND(TRIM([1]DATABASE!Q552)="AVAILABLE",[1]DATABASE!AA552&lt;&gt;""),"Available has PSPA Date",""))</f>
        <v/>
      </c>
      <c r="G591" s="82" t="str">
        <f>_xlfn.TEXTJOIN("; ",TRUE,IF(AND([1]DATABASE!T552&lt;0.8*[1]DATABASE!S552,[1]DATABASE!T552&gt;0,[1]DATABASE!S552&gt;0),"Heavy Price Cut &gt;20%",""),IF(AND(OR(TRIM([1]DATABASE!Q552)="AVAILABLE",TRIM([1]DATABASE!Q552)="UPON REQUEST"),OR([1]DATABASE!T552="",[1]DATABASE!T552=0)),"Active Unit no Price",""),IF(AND(OR(TRIM([1]DATABASE!Q552)="AVAILABLE",TRIM([1]DATABASE!Q552)="RESERVED",TRIM([1]DATABASE!Q552)="PRE-RESERVED",TRIM([1]DATABASE!Q552)="PSPA"),[1]DATABASE!AC552=""),"Active no Owner",""),IF(OR([1]DATABASE!F552="",[1]DATABASE!F552&lt;=0),"Missing/Invalid Area",""),IF(AND([1]DATABASE!T552&gt;0,ABS([1]DATABASE!T552-[1]DATABASE!W552-[1]DATABASE!U552-[1]DATABASE!V552)&gt;1),"Price Bridge Mismatch",""))</f>
        <v>Active no Owner</v>
      </c>
      <c r="H591" t="str">
        <f t="shared" si="11"/>
        <v>REVIEW</v>
      </c>
      <c r="I591" s="90">
        <f>[1]DATABASE!T552</f>
        <v>2990000</v>
      </c>
      <c r="J591">
        <f>[1]DATABASE!AC552</f>
        <v>0</v>
      </c>
    </row>
    <row r="592" spans="1:10" ht="13.95" customHeight="1" x14ac:dyDescent="0.3">
      <c r="A592">
        <f>ROW([1]DATABASE!A553)</f>
        <v>553</v>
      </c>
      <c r="B592" t="str">
        <f>[1]DATABASE!AJ553</f>
        <v>Palmares</v>
      </c>
      <c r="C592" t="str">
        <f>[1]DATABASE!C553</f>
        <v>27E</v>
      </c>
      <c r="D592" t="str">
        <f>TRIM([1]DATABASE!Q553)</f>
        <v>AVAILABLE</v>
      </c>
      <c r="E592" s="82" t="str">
        <f>_xlfn.TEXTJOIN("; ",TRUE,IF([1]DATABASE!X553&lt;0,"Negative Discount",""),IF(AND([1]DATABASE!Y553&gt;[1]DATABASE!T553,[1]DATABASE!Y553&gt;0,[1]DATABASE!T553&gt;0),"Sell Price &gt; Current",""),IF(AND(TRIM([1]DATABASE!Q553)="DEED",[1]DATABASE!AA553=""),"Deeded no PSPA Date",""),IF([1]DATABASE!E553="","Missing Typology",""),IF([1]DATABASE!AJ553="","Missing Development",""))</f>
        <v/>
      </c>
      <c r="F592" s="82" t="str">
        <f>_xlfn.TEXTJOIN("; ",TRUE,IF(AND(OR(TRIM([1]DATABASE!Q553)="RESERVED",TRIM([1]DATABASE!Q553)="PRE-RESERVED",TRIM([1]DATABASE!Q553)="PSPA"),[1]DATABASE!AA553=""),"Reserved/PSPA no PSPA Date",""),IF(AND(TRIM([1]DATABASE!Q553)="AVAILABLE",[1]DATABASE!AA553&lt;&gt;""),"Available has PSPA Date",""))</f>
        <v/>
      </c>
      <c r="G592" s="82" t="str">
        <f>_xlfn.TEXTJOIN("; ",TRUE,IF(AND([1]DATABASE!T553&lt;0.8*[1]DATABASE!S553,[1]DATABASE!T553&gt;0,[1]DATABASE!S553&gt;0),"Heavy Price Cut &gt;20%",""),IF(AND(OR(TRIM([1]DATABASE!Q553)="AVAILABLE",TRIM([1]DATABASE!Q553)="UPON REQUEST"),OR([1]DATABASE!T553="",[1]DATABASE!T553=0)),"Active Unit no Price",""),IF(AND(OR(TRIM([1]DATABASE!Q553)="AVAILABLE",TRIM([1]DATABASE!Q553)="RESERVED",TRIM([1]DATABASE!Q553)="PRE-RESERVED",TRIM([1]DATABASE!Q553)="PSPA"),[1]DATABASE!AC553=""),"Active no Owner",""),IF(OR([1]DATABASE!F553="",[1]DATABASE!F553&lt;=0),"Missing/Invalid Area",""),IF(AND([1]DATABASE!T553&gt;0,ABS([1]DATABASE!T553-[1]DATABASE!W553-[1]DATABASE!U553-[1]DATABASE!V553)&gt;1),"Price Bridge Mismatch",""))</f>
        <v>Active no Owner</v>
      </c>
      <c r="H592" t="str">
        <f t="shared" si="11"/>
        <v>REVIEW</v>
      </c>
      <c r="I592" s="90">
        <f>[1]DATABASE!T553</f>
        <v>2890000</v>
      </c>
      <c r="J592">
        <f>[1]DATABASE!AC553</f>
        <v>0</v>
      </c>
    </row>
    <row r="593" spans="1:10" ht="13.95" customHeight="1" x14ac:dyDescent="0.3">
      <c r="A593">
        <f>ROW([1]DATABASE!A554)</f>
        <v>554</v>
      </c>
      <c r="B593" t="str">
        <f>[1]DATABASE!AJ554</f>
        <v>Palmares</v>
      </c>
      <c r="C593" t="str">
        <f>[1]DATABASE!C554</f>
        <v>28E</v>
      </c>
      <c r="D593" t="str">
        <f>TRIM([1]DATABASE!Q554)</f>
        <v>AVAILABLE</v>
      </c>
      <c r="E593" s="82" t="str">
        <f>_xlfn.TEXTJOIN("; ",TRUE,IF([1]DATABASE!X554&lt;0,"Negative Discount",""),IF(AND([1]DATABASE!Y554&gt;[1]DATABASE!T554,[1]DATABASE!Y554&gt;0,[1]DATABASE!T554&gt;0),"Sell Price &gt; Current",""),IF(AND(TRIM([1]DATABASE!Q554)="DEED",[1]DATABASE!AA554=""),"Deeded no PSPA Date",""),IF([1]DATABASE!E554="","Missing Typology",""),IF([1]DATABASE!AJ554="","Missing Development",""))</f>
        <v/>
      </c>
      <c r="F593" s="82" t="str">
        <f>_xlfn.TEXTJOIN("; ",TRUE,IF(AND(OR(TRIM([1]DATABASE!Q554)="RESERVED",TRIM([1]DATABASE!Q554)="PRE-RESERVED",TRIM([1]DATABASE!Q554)="PSPA"),[1]DATABASE!AA554=""),"Reserved/PSPA no PSPA Date",""),IF(AND(TRIM([1]DATABASE!Q554)="AVAILABLE",[1]DATABASE!AA554&lt;&gt;""),"Available has PSPA Date",""))</f>
        <v/>
      </c>
      <c r="G593" s="82" t="str">
        <f>_xlfn.TEXTJOIN("; ",TRUE,IF(AND([1]DATABASE!T554&lt;0.8*[1]DATABASE!S554,[1]DATABASE!T554&gt;0,[1]DATABASE!S554&gt;0),"Heavy Price Cut &gt;20%",""),IF(AND(OR(TRIM([1]DATABASE!Q554)="AVAILABLE",TRIM([1]DATABASE!Q554)="UPON REQUEST"),OR([1]DATABASE!T554="",[1]DATABASE!T554=0)),"Active Unit no Price",""),IF(AND(OR(TRIM([1]DATABASE!Q554)="AVAILABLE",TRIM([1]DATABASE!Q554)="RESERVED",TRIM([1]DATABASE!Q554)="PRE-RESERVED",TRIM([1]DATABASE!Q554)="PSPA"),[1]DATABASE!AC554=""),"Active no Owner",""),IF(OR([1]DATABASE!F554="",[1]DATABASE!F554&lt;=0),"Missing/Invalid Area",""),IF(AND([1]DATABASE!T554&gt;0,ABS([1]DATABASE!T554-[1]DATABASE!W554-[1]DATABASE!U554-[1]DATABASE!V554)&gt;1),"Price Bridge Mismatch",""))</f>
        <v>Active no Owner</v>
      </c>
      <c r="H593" t="str">
        <f t="shared" si="11"/>
        <v>REVIEW</v>
      </c>
      <c r="I593" s="90">
        <f>[1]DATABASE!T554</f>
        <v>1930000</v>
      </c>
      <c r="J593">
        <f>[1]DATABASE!AC554</f>
        <v>0</v>
      </c>
    </row>
    <row r="594" spans="1:10" ht="13.95" customHeight="1" x14ac:dyDescent="0.3">
      <c r="A594">
        <f>ROW([1]DATABASE!A555)</f>
        <v>555</v>
      </c>
      <c r="B594" t="str">
        <f>[1]DATABASE!AJ555</f>
        <v>Palmares</v>
      </c>
      <c r="C594" t="str">
        <f>[1]DATABASE!C555</f>
        <v>29E</v>
      </c>
      <c r="D594" t="str">
        <f>TRIM([1]DATABASE!Q555)</f>
        <v>AVAILABLE</v>
      </c>
      <c r="E594" s="82" t="str">
        <f>_xlfn.TEXTJOIN("; ",TRUE,IF([1]DATABASE!X555&lt;0,"Negative Discount",""),IF(AND([1]DATABASE!Y555&gt;[1]DATABASE!T555,[1]DATABASE!Y555&gt;0,[1]DATABASE!T555&gt;0),"Sell Price &gt; Current",""),IF(AND(TRIM([1]DATABASE!Q555)="DEED",[1]DATABASE!AA555=""),"Deeded no PSPA Date",""),IF([1]DATABASE!E555="","Missing Typology",""),IF([1]DATABASE!AJ555="","Missing Development",""))</f>
        <v/>
      </c>
      <c r="F594" s="82" t="str">
        <f>_xlfn.TEXTJOIN("; ",TRUE,IF(AND(OR(TRIM([1]DATABASE!Q555)="RESERVED",TRIM([1]DATABASE!Q555)="PRE-RESERVED",TRIM([1]DATABASE!Q555)="PSPA"),[1]DATABASE!AA555=""),"Reserved/PSPA no PSPA Date",""),IF(AND(TRIM([1]DATABASE!Q555)="AVAILABLE",[1]DATABASE!AA555&lt;&gt;""),"Available has PSPA Date",""))</f>
        <v/>
      </c>
      <c r="G594" s="82" t="str">
        <f>_xlfn.TEXTJOIN("; ",TRUE,IF(AND([1]DATABASE!T555&lt;0.8*[1]DATABASE!S555,[1]DATABASE!T555&gt;0,[1]DATABASE!S555&gt;0),"Heavy Price Cut &gt;20%",""),IF(AND(OR(TRIM([1]DATABASE!Q555)="AVAILABLE",TRIM([1]DATABASE!Q555)="UPON REQUEST"),OR([1]DATABASE!T555="",[1]DATABASE!T555=0)),"Active Unit no Price",""),IF(AND(OR(TRIM([1]DATABASE!Q555)="AVAILABLE",TRIM([1]DATABASE!Q555)="RESERVED",TRIM([1]DATABASE!Q555)="PRE-RESERVED",TRIM([1]DATABASE!Q555)="PSPA"),[1]DATABASE!AC555=""),"Active no Owner",""),IF(OR([1]DATABASE!F555="",[1]DATABASE!F555&lt;=0),"Missing/Invalid Area",""),IF(AND([1]DATABASE!T555&gt;0,ABS([1]DATABASE!T555-[1]DATABASE!W555-[1]DATABASE!U555-[1]DATABASE!V555)&gt;1),"Price Bridge Mismatch",""))</f>
        <v>Active no Owner</v>
      </c>
      <c r="H594" t="str">
        <f t="shared" si="11"/>
        <v>REVIEW</v>
      </c>
      <c r="I594" s="90">
        <f>[1]DATABASE!T555</f>
        <v>1340000</v>
      </c>
      <c r="J594">
        <f>[1]DATABASE!AC555</f>
        <v>0</v>
      </c>
    </row>
    <row r="595" spans="1:10" ht="13.95" customHeight="1" x14ac:dyDescent="0.3">
      <c r="A595">
        <f>ROW([1]DATABASE!A556)</f>
        <v>556</v>
      </c>
      <c r="B595" t="str">
        <f>[1]DATABASE!AJ556</f>
        <v>Palmares</v>
      </c>
      <c r="C595" t="str">
        <f>[1]DATABASE!C556</f>
        <v>2A</v>
      </c>
      <c r="D595" t="str">
        <f>TRIM([1]DATABASE!Q556)</f>
        <v>AVAILABLE</v>
      </c>
      <c r="E595" s="82" t="str">
        <f>_xlfn.TEXTJOIN("; ",TRUE,IF([1]DATABASE!X556&lt;0,"Negative Discount",""),IF(AND([1]DATABASE!Y556&gt;[1]DATABASE!T556,[1]DATABASE!Y556&gt;0,[1]DATABASE!T556&gt;0),"Sell Price &gt; Current",""),IF(AND(TRIM([1]DATABASE!Q556)="DEED",[1]DATABASE!AA556=""),"Deeded no PSPA Date",""),IF([1]DATABASE!E556="","Missing Typology",""),IF([1]DATABASE!AJ556="","Missing Development",""))</f>
        <v/>
      </c>
      <c r="F595" s="82" t="str">
        <f>_xlfn.TEXTJOIN("; ",TRUE,IF(AND(OR(TRIM([1]DATABASE!Q556)="RESERVED",TRIM([1]DATABASE!Q556)="PRE-RESERVED",TRIM([1]DATABASE!Q556)="PSPA"),[1]DATABASE!AA556=""),"Reserved/PSPA no PSPA Date",""),IF(AND(TRIM([1]DATABASE!Q556)="AVAILABLE",[1]DATABASE!AA556&lt;&gt;""),"Available has PSPA Date",""))</f>
        <v/>
      </c>
      <c r="G595" s="82" t="str">
        <f>_xlfn.TEXTJOIN("; ",TRUE,IF(AND([1]DATABASE!T556&lt;0.8*[1]DATABASE!S556,[1]DATABASE!T556&gt;0,[1]DATABASE!S556&gt;0),"Heavy Price Cut &gt;20%",""),IF(AND(OR(TRIM([1]DATABASE!Q556)="AVAILABLE",TRIM([1]DATABASE!Q556)="UPON REQUEST"),OR([1]DATABASE!T556="",[1]DATABASE!T556=0)),"Active Unit no Price",""),IF(AND(OR(TRIM([1]DATABASE!Q556)="AVAILABLE",TRIM([1]DATABASE!Q556)="RESERVED",TRIM([1]DATABASE!Q556)="PRE-RESERVED",TRIM([1]DATABASE!Q556)="PSPA"),[1]DATABASE!AC556=""),"Active no Owner",""),IF(OR([1]DATABASE!F556="",[1]DATABASE!F556&lt;=0),"Missing/Invalid Area",""),IF(AND([1]DATABASE!T556&gt;0,ABS([1]DATABASE!T556-[1]DATABASE!W556-[1]DATABASE!U556-[1]DATABASE!V556)&gt;1),"Price Bridge Mismatch",""))</f>
        <v>Active no Owner</v>
      </c>
      <c r="H595" t="str">
        <f t="shared" si="11"/>
        <v>REVIEW</v>
      </c>
      <c r="I595" s="90">
        <f>[1]DATABASE!T556</f>
        <v>660000</v>
      </c>
      <c r="J595">
        <f>[1]DATABASE!AC556</f>
        <v>0</v>
      </c>
    </row>
    <row r="596" spans="1:10" ht="13.95" customHeight="1" x14ac:dyDescent="0.3">
      <c r="A596">
        <f>ROW([1]DATABASE!A557)</f>
        <v>557</v>
      </c>
      <c r="B596" t="str">
        <f>[1]DATABASE!AJ557</f>
        <v>Palmares</v>
      </c>
      <c r="C596" t="str">
        <f>[1]DATABASE!C557</f>
        <v>3A</v>
      </c>
      <c r="D596" t="str">
        <f>TRIM([1]DATABASE!Q557)</f>
        <v>AVAILABLE</v>
      </c>
      <c r="E596" s="82" t="str">
        <f>_xlfn.TEXTJOIN("; ",TRUE,IF([1]DATABASE!X557&lt;0,"Negative Discount",""),IF(AND([1]DATABASE!Y557&gt;[1]DATABASE!T557,[1]DATABASE!Y557&gt;0,[1]DATABASE!T557&gt;0),"Sell Price &gt; Current",""),IF(AND(TRIM([1]DATABASE!Q557)="DEED",[1]DATABASE!AA557=""),"Deeded no PSPA Date",""),IF([1]DATABASE!E557="","Missing Typology",""),IF([1]DATABASE!AJ557="","Missing Development",""))</f>
        <v/>
      </c>
      <c r="F596" s="82" t="str">
        <f>_xlfn.TEXTJOIN("; ",TRUE,IF(AND(OR(TRIM([1]DATABASE!Q557)="RESERVED",TRIM([1]DATABASE!Q557)="PRE-RESERVED",TRIM([1]DATABASE!Q557)="PSPA"),[1]DATABASE!AA557=""),"Reserved/PSPA no PSPA Date",""),IF(AND(TRIM([1]DATABASE!Q557)="AVAILABLE",[1]DATABASE!AA557&lt;&gt;""),"Available has PSPA Date",""))</f>
        <v/>
      </c>
      <c r="G596" s="82" t="str">
        <f>_xlfn.TEXTJOIN("; ",TRUE,IF(AND([1]DATABASE!T557&lt;0.8*[1]DATABASE!S557,[1]DATABASE!T557&gt;0,[1]DATABASE!S557&gt;0),"Heavy Price Cut &gt;20%",""),IF(AND(OR(TRIM([1]DATABASE!Q557)="AVAILABLE",TRIM([1]DATABASE!Q557)="UPON REQUEST"),OR([1]DATABASE!T557="",[1]DATABASE!T557=0)),"Active Unit no Price",""),IF(AND(OR(TRIM([1]DATABASE!Q557)="AVAILABLE",TRIM([1]DATABASE!Q557)="RESERVED",TRIM([1]DATABASE!Q557)="PRE-RESERVED",TRIM([1]DATABASE!Q557)="PSPA"),[1]DATABASE!AC557=""),"Active no Owner",""),IF(OR([1]DATABASE!F557="",[1]DATABASE!F557&lt;=0),"Missing/Invalid Area",""),IF(AND([1]DATABASE!T557&gt;0,ABS([1]DATABASE!T557-[1]DATABASE!W557-[1]DATABASE!U557-[1]DATABASE!V557)&gt;1),"Price Bridge Mismatch",""))</f>
        <v>Active no Owner</v>
      </c>
      <c r="H596" t="str">
        <f t="shared" si="11"/>
        <v>REVIEW</v>
      </c>
      <c r="I596" s="90">
        <f>[1]DATABASE!T557</f>
        <v>640000</v>
      </c>
      <c r="J596">
        <f>[1]DATABASE!AC557</f>
        <v>0</v>
      </c>
    </row>
    <row r="597" spans="1:10" ht="13.95" customHeight="1" x14ac:dyDescent="0.3">
      <c r="A597">
        <f>ROW([1]DATABASE!A558)</f>
        <v>558</v>
      </c>
      <c r="B597" t="str">
        <f>[1]DATABASE!AJ558</f>
        <v>Springs - At the Els</v>
      </c>
      <c r="C597" t="str">
        <f>[1]DATABASE!C558</f>
        <v>19</v>
      </c>
      <c r="D597" t="str">
        <f>TRIM([1]DATABASE!Q558)</f>
        <v>AVAILABLE</v>
      </c>
      <c r="E597" s="82" t="str">
        <f>_xlfn.TEXTJOIN("; ",TRUE,IF([1]DATABASE!X558&lt;0,"Negative Discount",""),IF(AND([1]DATABASE!Y558&gt;[1]DATABASE!T558,[1]DATABASE!Y558&gt;0,[1]DATABASE!T558&gt;0),"Sell Price &gt; Current",""),IF(AND(TRIM([1]DATABASE!Q558)="DEED",[1]DATABASE!AA558=""),"Deeded no PSPA Date",""),IF([1]DATABASE!E558="","Missing Typology",""),IF([1]DATABASE!AJ558="","Missing Development",""))</f>
        <v/>
      </c>
      <c r="F597" s="82" t="str">
        <f>_xlfn.TEXTJOIN("; ",TRUE,IF(AND(OR(TRIM([1]DATABASE!Q558)="RESERVED",TRIM([1]DATABASE!Q558)="PRE-RESERVED",TRIM([1]DATABASE!Q558)="PSPA"),[1]DATABASE!AA558=""),"Reserved/PSPA no PSPA Date",""),IF(AND(TRIM([1]DATABASE!Q558)="AVAILABLE",[1]DATABASE!AA558&lt;&gt;""),"Available has PSPA Date",""))</f>
        <v/>
      </c>
      <c r="G597" s="82" t="str">
        <f>_xlfn.TEXTJOIN("; ",TRUE,IF(AND([1]DATABASE!T558&lt;0.8*[1]DATABASE!S558,[1]DATABASE!T558&gt;0,[1]DATABASE!S558&gt;0),"Heavy Price Cut &gt;20%",""),IF(AND(OR(TRIM([1]DATABASE!Q558)="AVAILABLE",TRIM([1]DATABASE!Q558)="UPON REQUEST"),OR([1]DATABASE!T558="",[1]DATABASE!T558=0)),"Active Unit no Price",""),IF(AND(OR(TRIM([1]DATABASE!Q558)="AVAILABLE",TRIM([1]DATABASE!Q558)="RESERVED",TRIM([1]DATABASE!Q558)="PRE-RESERVED",TRIM([1]DATABASE!Q558)="PSPA"),[1]DATABASE!AC558=""),"Active no Owner",""),IF(OR([1]DATABASE!F558="",[1]DATABASE!F558&lt;=0),"Missing/Invalid Area",""),IF(AND([1]DATABASE!T558&gt;0,ABS([1]DATABASE!T558-[1]DATABASE!W558-[1]DATABASE!U558-[1]DATABASE!V558)&gt;1),"Price Bridge Mismatch",""))</f>
        <v>Heavy Price Cut &gt;20%</v>
      </c>
      <c r="H597" t="str">
        <f t="shared" si="11"/>
        <v>REVIEW</v>
      </c>
      <c r="I597" s="90">
        <f>[1]DATABASE!T558</f>
        <v>660000</v>
      </c>
      <c r="J597" t="str">
        <f>[1]DATABASE!AC558</f>
        <v>Ana Damásio</v>
      </c>
    </row>
    <row r="598" spans="1:10" ht="13.95" customHeight="1" x14ac:dyDescent="0.3">
      <c r="A598">
        <f>ROW([1]DATABASE!A559)</f>
        <v>559</v>
      </c>
      <c r="B598" t="str">
        <f>[1]DATABASE!AJ559</f>
        <v>Springs - At the Els</v>
      </c>
      <c r="C598" t="str">
        <f>[1]DATABASE!C559</f>
        <v>2</v>
      </c>
      <c r="D598" t="str">
        <f>TRIM([1]DATABASE!Q559)</f>
        <v>AVAILABLE</v>
      </c>
      <c r="E598" s="82" t="str">
        <f>_xlfn.TEXTJOIN("; ",TRUE,IF([1]DATABASE!X559&lt;0,"Negative Discount",""),IF(AND([1]DATABASE!Y559&gt;[1]DATABASE!T559,[1]DATABASE!Y559&gt;0,[1]DATABASE!T559&gt;0),"Sell Price &gt; Current",""),IF(AND(TRIM([1]DATABASE!Q559)="DEED",[1]DATABASE!AA559=""),"Deeded no PSPA Date",""),IF([1]DATABASE!E559="","Missing Typology",""),IF([1]DATABASE!AJ559="","Missing Development",""))</f>
        <v/>
      </c>
      <c r="F598" s="82" t="str">
        <f>_xlfn.TEXTJOIN("; ",TRUE,IF(AND(OR(TRIM([1]DATABASE!Q559)="RESERVED",TRIM([1]DATABASE!Q559)="PRE-RESERVED",TRIM([1]DATABASE!Q559)="PSPA"),[1]DATABASE!AA559=""),"Reserved/PSPA no PSPA Date",""),IF(AND(TRIM([1]DATABASE!Q559)="AVAILABLE",[1]DATABASE!AA559&lt;&gt;""),"Available has PSPA Date",""))</f>
        <v/>
      </c>
      <c r="G598" s="82" t="str">
        <f>_xlfn.TEXTJOIN("; ",TRUE,IF(AND([1]DATABASE!T559&lt;0.8*[1]DATABASE!S559,[1]DATABASE!T559&gt;0,[1]DATABASE!S559&gt;0),"Heavy Price Cut &gt;20%",""),IF(AND(OR(TRIM([1]DATABASE!Q559)="AVAILABLE",TRIM([1]DATABASE!Q559)="UPON REQUEST"),OR([1]DATABASE!T559="",[1]DATABASE!T559=0)),"Active Unit no Price",""),IF(AND(OR(TRIM([1]DATABASE!Q559)="AVAILABLE",TRIM([1]DATABASE!Q559)="RESERVED",TRIM([1]DATABASE!Q559)="PRE-RESERVED",TRIM([1]DATABASE!Q559)="PSPA"),[1]DATABASE!AC559=""),"Active no Owner",""),IF(OR([1]DATABASE!F559="",[1]DATABASE!F559&lt;=0),"Missing/Invalid Area",""),IF(AND([1]DATABASE!T559&gt;0,ABS([1]DATABASE!T559-[1]DATABASE!W559-[1]DATABASE!U559-[1]DATABASE!V559)&gt;1),"Price Bridge Mismatch",""))</f>
        <v>Heavy Price Cut &gt;20%</v>
      </c>
      <c r="H598" t="str">
        <f t="shared" si="11"/>
        <v>REVIEW</v>
      </c>
      <c r="I598" s="90">
        <f>[1]DATABASE!T559</f>
        <v>1510000</v>
      </c>
      <c r="J598" t="str">
        <f>[1]DATABASE!AC559</f>
        <v>Ana Damásio</v>
      </c>
    </row>
    <row r="599" spans="1:10" ht="13.95" customHeight="1" x14ac:dyDescent="0.3">
      <c r="A599">
        <f>ROW([1]DATABASE!A560)</f>
        <v>560</v>
      </c>
      <c r="B599" t="str">
        <f>[1]DATABASE!AJ560</f>
        <v>The Uncommon</v>
      </c>
      <c r="C599" t="str">
        <f>[1]DATABASE!C560</f>
        <v>2</v>
      </c>
      <c r="D599" t="str">
        <f>TRIM([1]DATABASE!Q560)</f>
        <v>AVAILABLE</v>
      </c>
      <c r="E599" s="82" t="str">
        <f>_xlfn.TEXTJOIN("; ",TRUE,IF([1]DATABASE!X560&lt;0,"Negative Discount",""),IF(AND([1]DATABASE!Y560&gt;[1]DATABASE!T560,[1]DATABASE!Y560&gt;0,[1]DATABASE!T560&gt;0),"Sell Price &gt; Current",""),IF(AND(TRIM([1]DATABASE!Q560)="DEED",[1]DATABASE!AA560=""),"Deeded no PSPA Date",""),IF([1]DATABASE!E560="","Missing Typology",""),IF([1]DATABASE!AJ560="","Missing Development",""))</f>
        <v/>
      </c>
      <c r="F599" s="82" t="str">
        <f>_xlfn.TEXTJOIN("; ",TRUE,IF(AND(OR(TRIM([1]DATABASE!Q560)="RESERVED",TRIM([1]DATABASE!Q560)="PRE-RESERVED",TRIM([1]DATABASE!Q560)="PSPA"),[1]DATABASE!AA560=""),"Reserved/PSPA no PSPA Date",""),IF(AND(TRIM([1]DATABASE!Q560)="AVAILABLE",[1]DATABASE!AA560&lt;&gt;""),"Available has PSPA Date",""))</f>
        <v/>
      </c>
      <c r="G599" s="82" t="str">
        <f>_xlfn.TEXTJOIN("; ",TRUE,IF(AND([1]DATABASE!T560&lt;0.8*[1]DATABASE!S560,[1]DATABASE!T560&gt;0,[1]DATABASE!S560&gt;0),"Heavy Price Cut &gt;20%",""),IF(AND(OR(TRIM([1]DATABASE!Q560)="AVAILABLE",TRIM([1]DATABASE!Q560)="UPON REQUEST"),OR([1]DATABASE!T560="",[1]DATABASE!T560=0)),"Active Unit no Price",""),IF(AND(OR(TRIM([1]DATABASE!Q560)="AVAILABLE",TRIM([1]DATABASE!Q560)="RESERVED",TRIM([1]DATABASE!Q560)="PRE-RESERVED",TRIM([1]DATABASE!Q560)="PSPA"),[1]DATABASE!AC560=""),"Active no Owner",""),IF(OR([1]DATABASE!F560="",[1]DATABASE!F560&lt;=0),"Missing/Invalid Area",""),IF(AND([1]DATABASE!T560&gt;0,ABS([1]DATABASE!T560-[1]DATABASE!W560-[1]DATABASE!U560-[1]DATABASE!V560)&gt;1),"Price Bridge Mismatch",""))</f>
        <v/>
      </c>
      <c r="H599" t="str">
        <f t="shared" si="11"/>
        <v>PASS</v>
      </c>
      <c r="I599" s="90">
        <f>[1]DATABASE!T560</f>
        <v>1180000</v>
      </c>
      <c r="J599" t="str">
        <f>[1]DATABASE!AC560</f>
        <v>Ana Damásio</v>
      </c>
    </row>
    <row r="600" spans="1:10" ht="13.95" customHeight="1" x14ac:dyDescent="0.3">
      <c r="A600">
        <f>ROW([1]DATABASE!A561)</f>
        <v>561</v>
      </c>
      <c r="B600" t="str">
        <f>[1]DATABASE!AJ561</f>
        <v>Springs - At the Els</v>
      </c>
      <c r="C600" t="str">
        <f>[1]DATABASE!C561</f>
        <v>20</v>
      </c>
      <c r="D600" t="str">
        <f>TRIM([1]DATABASE!Q561)</f>
        <v>AVAILABLE</v>
      </c>
      <c r="E600" s="82" t="str">
        <f>_xlfn.TEXTJOIN("; ",TRUE,IF([1]DATABASE!X561&lt;0,"Negative Discount",""),IF(AND([1]DATABASE!Y561&gt;[1]DATABASE!T561,[1]DATABASE!Y561&gt;0,[1]DATABASE!T561&gt;0),"Sell Price &gt; Current",""),IF(AND(TRIM([1]DATABASE!Q561)="DEED",[1]DATABASE!AA561=""),"Deeded no PSPA Date",""),IF([1]DATABASE!E561="","Missing Typology",""),IF([1]DATABASE!AJ561="","Missing Development",""))</f>
        <v/>
      </c>
      <c r="F600" s="82" t="str">
        <f>_xlfn.TEXTJOIN("; ",TRUE,IF(AND(OR(TRIM([1]DATABASE!Q561)="RESERVED",TRIM([1]DATABASE!Q561)="PRE-RESERVED",TRIM([1]DATABASE!Q561)="PSPA"),[1]DATABASE!AA561=""),"Reserved/PSPA no PSPA Date",""),IF(AND(TRIM([1]DATABASE!Q561)="AVAILABLE",[1]DATABASE!AA561&lt;&gt;""),"Available has PSPA Date",""))</f>
        <v/>
      </c>
      <c r="G600" s="82" t="str">
        <f>_xlfn.TEXTJOIN("; ",TRUE,IF(AND([1]DATABASE!T561&lt;0.8*[1]DATABASE!S561,[1]DATABASE!T561&gt;0,[1]DATABASE!S561&gt;0),"Heavy Price Cut &gt;20%",""),IF(AND(OR(TRIM([1]DATABASE!Q561)="AVAILABLE",TRIM([1]DATABASE!Q561)="UPON REQUEST"),OR([1]DATABASE!T561="",[1]DATABASE!T561=0)),"Active Unit no Price",""),IF(AND(OR(TRIM([1]DATABASE!Q561)="AVAILABLE",TRIM([1]DATABASE!Q561)="RESERVED",TRIM([1]DATABASE!Q561)="PRE-RESERVED",TRIM([1]DATABASE!Q561)="PSPA"),[1]DATABASE!AC561=""),"Active no Owner",""),IF(OR([1]DATABASE!F561="",[1]DATABASE!F561&lt;=0),"Missing/Invalid Area",""),IF(AND([1]DATABASE!T561&gt;0,ABS([1]DATABASE!T561-[1]DATABASE!W561-[1]DATABASE!U561-[1]DATABASE!V561)&gt;1),"Price Bridge Mismatch",""))</f>
        <v>Heavy Price Cut &gt;20%</v>
      </c>
      <c r="H600" t="str">
        <f t="shared" si="11"/>
        <v>REVIEW</v>
      </c>
      <c r="I600" s="90">
        <f>[1]DATABASE!T561</f>
        <v>640000</v>
      </c>
      <c r="J600" t="str">
        <f>[1]DATABASE!AC561</f>
        <v>Ana Damásio</v>
      </c>
    </row>
    <row r="601" spans="1:10" ht="13.95" customHeight="1" x14ac:dyDescent="0.3">
      <c r="A601">
        <f>ROW([1]DATABASE!A562)</f>
        <v>562</v>
      </c>
      <c r="B601" t="str">
        <f>[1]DATABASE!AJ562</f>
        <v>The Uncommon</v>
      </c>
      <c r="C601" t="str">
        <f>[1]DATABASE!C562</f>
        <v>201</v>
      </c>
      <c r="D601" t="str">
        <f>TRIM([1]DATABASE!Q562)</f>
        <v>AVAILABLE</v>
      </c>
      <c r="E601" s="82" t="str">
        <f>_xlfn.TEXTJOIN("; ",TRUE,IF([1]DATABASE!X562&lt;0,"Negative Discount",""),IF(AND([1]DATABASE!Y562&gt;[1]DATABASE!T562,[1]DATABASE!Y562&gt;0,[1]DATABASE!T562&gt;0),"Sell Price &gt; Current",""),IF(AND(TRIM([1]DATABASE!Q562)="DEED",[1]DATABASE!AA562=""),"Deeded no PSPA Date",""),IF([1]DATABASE!E562="","Missing Typology",""),IF([1]DATABASE!AJ562="","Missing Development",""))</f>
        <v/>
      </c>
      <c r="F601" s="82" t="str">
        <f>_xlfn.TEXTJOIN("; ",TRUE,IF(AND(OR(TRIM([1]DATABASE!Q562)="RESERVED",TRIM([1]DATABASE!Q562)="PRE-RESERVED",TRIM([1]DATABASE!Q562)="PSPA"),[1]DATABASE!AA562=""),"Reserved/PSPA no PSPA Date",""),IF(AND(TRIM([1]DATABASE!Q562)="AVAILABLE",[1]DATABASE!AA562&lt;&gt;""),"Available has PSPA Date",""))</f>
        <v/>
      </c>
      <c r="G601" s="82" t="str">
        <f>_xlfn.TEXTJOIN("; ",TRUE,IF(AND([1]DATABASE!T562&lt;0.8*[1]DATABASE!S562,[1]DATABASE!T562&gt;0,[1]DATABASE!S562&gt;0),"Heavy Price Cut &gt;20%",""),IF(AND(OR(TRIM([1]DATABASE!Q562)="AVAILABLE",TRIM([1]DATABASE!Q562)="UPON REQUEST"),OR([1]DATABASE!T562="",[1]DATABASE!T562=0)),"Active Unit no Price",""),IF(AND(OR(TRIM([1]DATABASE!Q562)="AVAILABLE",TRIM([1]DATABASE!Q562)="RESERVED",TRIM([1]DATABASE!Q562)="PRE-RESERVED",TRIM([1]DATABASE!Q562)="PSPA"),[1]DATABASE!AC562=""),"Active no Owner",""),IF(OR([1]DATABASE!F562="",[1]DATABASE!F562&lt;=0),"Missing/Invalid Area",""),IF(AND([1]DATABASE!T562&gt;0,ABS([1]DATABASE!T562-[1]DATABASE!W562-[1]DATABASE!U562-[1]DATABASE!V562)&gt;1),"Price Bridge Mismatch",""))</f>
        <v/>
      </c>
      <c r="H601" t="str">
        <f t="shared" si="11"/>
        <v>PASS</v>
      </c>
      <c r="I601" s="90">
        <f>[1]DATABASE!T562</f>
        <v>2160000</v>
      </c>
      <c r="J601" t="str">
        <f>[1]DATABASE!AC562</f>
        <v>Ana Damásio</v>
      </c>
    </row>
    <row r="602" spans="1:10" ht="13.95" customHeight="1" x14ac:dyDescent="0.3">
      <c r="A602">
        <f>ROW([1]DATABASE!A563)</f>
        <v>563</v>
      </c>
      <c r="B602" t="str">
        <f>[1]DATABASE!AJ563</f>
        <v>The Uncommon</v>
      </c>
      <c r="C602" t="str">
        <f>[1]DATABASE!C563</f>
        <v>203</v>
      </c>
      <c r="D602" t="str">
        <f>TRIM([1]DATABASE!Q563)</f>
        <v>AVAILABLE</v>
      </c>
      <c r="E602" s="82" t="str">
        <f>_xlfn.TEXTJOIN("; ",TRUE,IF([1]DATABASE!X563&lt;0,"Negative Discount",""),IF(AND([1]DATABASE!Y563&gt;[1]DATABASE!T563,[1]DATABASE!Y563&gt;0,[1]DATABASE!T563&gt;0),"Sell Price &gt; Current",""),IF(AND(TRIM([1]DATABASE!Q563)="DEED",[1]DATABASE!AA563=""),"Deeded no PSPA Date",""),IF([1]DATABASE!E563="","Missing Typology",""),IF([1]DATABASE!AJ563="","Missing Development",""))</f>
        <v/>
      </c>
      <c r="F602" s="82" t="str">
        <f>_xlfn.TEXTJOIN("; ",TRUE,IF(AND(OR(TRIM([1]DATABASE!Q563)="RESERVED",TRIM([1]DATABASE!Q563)="PRE-RESERVED",TRIM([1]DATABASE!Q563)="PSPA"),[1]DATABASE!AA563=""),"Reserved/PSPA no PSPA Date",""),IF(AND(TRIM([1]DATABASE!Q563)="AVAILABLE",[1]DATABASE!AA563&lt;&gt;""),"Available has PSPA Date",""))</f>
        <v/>
      </c>
      <c r="G602" s="82" t="str">
        <f>_xlfn.TEXTJOIN("; ",TRUE,IF(AND([1]DATABASE!T563&lt;0.8*[1]DATABASE!S563,[1]DATABASE!T563&gt;0,[1]DATABASE!S563&gt;0),"Heavy Price Cut &gt;20%",""),IF(AND(OR(TRIM([1]DATABASE!Q563)="AVAILABLE",TRIM([1]DATABASE!Q563)="UPON REQUEST"),OR([1]DATABASE!T563="",[1]DATABASE!T563=0)),"Active Unit no Price",""),IF(AND(OR(TRIM([1]DATABASE!Q563)="AVAILABLE",TRIM([1]DATABASE!Q563)="RESERVED",TRIM([1]DATABASE!Q563)="PRE-RESERVED",TRIM([1]DATABASE!Q563)="PSPA"),[1]DATABASE!AC563=""),"Active no Owner",""),IF(OR([1]DATABASE!F563="",[1]DATABASE!F563&lt;=0),"Missing/Invalid Area",""),IF(AND([1]DATABASE!T563&gt;0,ABS([1]DATABASE!T563-[1]DATABASE!W563-[1]DATABASE!U563-[1]DATABASE!V563)&gt;1),"Price Bridge Mismatch",""))</f>
        <v/>
      </c>
      <c r="H602" t="str">
        <f t="shared" si="11"/>
        <v>PASS</v>
      </c>
      <c r="I602" s="90">
        <f>[1]DATABASE!T563</f>
        <v>1120000</v>
      </c>
      <c r="J602" t="str">
        <f>[1]DATABASE!AC563</f>
        <v>Ana Damásio</v>
      </c>
    </row>
    <row r="603" spans="1:10" ht="13.95" customHeight="1" x14ac:dyDescent="0.3">
      <c r="A603">
        <f>ROW([1]DATABASE!A564)</f>
        <v>564</v>
      </c>
      <c r="B603" t="str">
        <f>[1]DATABASE!AJ564</f>
        <v>The Uncommon</v>
      </c>
      <c r="C603" t="str">
        <f>[1]DATABASE!C564</f>
        <v>204</v>
      </c>
      <c r="D603" t="str">
        <f>TRIM([1]DATABASE!Q564)</f>
        <v>AVAILABLE</v>
      </c>
      <c r="E603" s="82" t="str">
        <f>_xlfn.TEXTJOIN("; ",TRUE,IF([1]DATABASE!X564&lt;0,"Negative Discount",""),IF(AND([1]DATABASE!Y564&gt;[1]DATABASE!T564,[1]DATABASE!Y564&gt;0,[1]DATABASE!T564&gt;0),"Sell Price &gt; Current",""),IF(AND(TRIM([1]DATABASE!Q564)="DEED",[1]DATABASE!AA564=""),"Deeded no PSPA Date",""),IF([1]DATABASE!E564="","Missing Typology",""),IF([1]DATABASE!AJ564="","Missing Development",""))</f>
        <v/>
      </c>
      <c r="F603" s="82" t="str">
        <f>_xlfn.TEXTJOIN("; ",TRUE,IF(AND(OR(TRIM([1]DATABASE!Q564)="RESERVED",TRIM([1]DATABASE!Q564)="PRE-RESERVED",TRIM([1]DATABASE!Q564)="PSPA"),[1]DATABASE!AA564=""),"Reserved/PSPA no PSPA Date",""),IF(AND(TRIM([1]DATABASE!Q564)="AVAILABLE",[1]DATABASE!AA564&lt;&gt;""),"Available has PSPA Date",""))</f>
        <v/>
      </c>
      <c r="G603" s="82" t="str">
        <f>_xlfn.TEXTJOIN("; ",TRUE,IF(AND([1]DATABASE!T564&lt;0.8*[1]DATABASE!S564,[1]DATABASE!T564&gt;0,[1]DATABASE!S564&gt;0),"Heavy Price Cut &gt;20%",""),IF(AND(OR(TRIM([1]DATABASE!Q564)="AVAILABLE",TRIM([1]DATABASE!Q564)="UPON REQUEST"),OR([1]DATABASE!T564="",[1]DATABASE!T564=0)),"Active Unit no Price",""),IF(AND(OR(TRIM([1]DATABASE!Q564)="AVAILABLE",TRIM([1]DATABASE!Q564)="RESERVED",TRIM([1]DATABASE!Q564)="PRE-RESERVED",TRIM([1]DATABASE!Q564)="PSPA"),[1]DATABASE!AC564=""),"Active no Owner",""),IF(OR([1]DATABASE!F564="",[1]DATABASE!F564&lt;=0),"Missing/Invalid Area",""),IF(AND([1]DATABASE!T564&gt;0,ABS([1]DATABASE!T564-[1]DATABASE!W564-[1]DATABASE!U564-[1]DATABASE!V564)&gt;1),"Price Bridge Mismatch",""))</f>
        <v/>
      </c>
      <c r="H603" t="str">
        <f t="shared" si="11"/>
        <v>PASS</v>
      </c>
      <c r="I603" s="90">
        <f>[1]DATABASE!T564</f>
        <v>1020000</v>
      </c>
      <c r="J603" t="str">
        <f>[1]DATABASE!AC564</f>
        <v>Ana Damásio</v>
      </c>
    </row>
    <row r="604" spans="1:10" ht="13.95" customHeight="1" x14ac:dyDescent="0.3">
      <c r="A604">
        <f>ROW([1]DATABASE!A565)</f>
        <v>565</v>
      </c>
      <c r="B604" t="str">
        <f>[1]DATABASE!AJ565</f>
        <v>The Uncommon</v>
      </c>
      <c r="C604" t="str">
        <f>[1]DATABASE!C565</f>
        <v>205</v>
      </c>
      <c r="D604" t="str">
        <f>TRIM([1]DATABASE!Q565)</f>
        <v>AVAILABLE</v>
      </c>
      <c r="E604" s="82" t="str">
        <f>_xlfn.TEXTJOIN("; ",TRUE,IF([1]DATABASE!X565&lt;0,"Negative Discount",""),IF(AND([1]DATABASE!Y565&gt;[1]DATABASE!T565,[1]DATABASE!Y565&gt;0,[1]DATABASE!T565&gt;0),"Sell Price &gt; Current",""),IF(AND(TRIM([1]DATABASE!Q565)="DEED",[1]DATABASE!AA565=""),"Deeded no PSPA Date",""),IF([1]DATABASE!E565="","Missing Typology",""),IF([1]DATABASE!AJ565="","Missing Development",""))</f>
        <v/>
      </c>
      <c r="F604" s="82" t="str">
        <f>_xlfn.TEXTJOIN("; ",TRUE,IF(AND(OR(TRIM([1]DATABASE!Q565)="RESERVED",TRIM([1]DATABASE!Q565)="PRE-RESERVED",TRIM([1]DATABASE!Q565)="PSPA"),[1]DATABASE!AA565=""),"Reserved/PSPA no PSPA Date",""),IF(AND(TRIM([1]DATABASE!Q565)="AVAILABLE",[1]DATABASE!AA565&lt;&gt;""),"Available has PSPA Date",""))</f>
        <v/>
      </c>
      <c r="G604" s="82" t="str">
        <f>_xlfn.TEXTJOIN("; ",TRUE,IF(AND([1]DATABASE!T565&lt;0.8*[1]DATABASE!S565,[1]DATABASE!T565&gt;0,[1]DATABASE!S565&gt;0),"Heavy Price Cut &gt;20%",""),IF(AND(OR(TRIM([1]DATABASE!Q565)="AVAILABLE",TRIM([1]DATABASE!Q565)="UPON REQUEST"),OR([1]DATABASE!T565="",[1]DATABASE!T565=0)),"Active Unit no Price",""),IF(AND(OR(TRIM([1]DATABASE!Q565)="AVAILABLE",TRIM([1]DATABASE!Q565)="RESERVED",TRIM([1]DATABASE!Q565)="PRE-RESERVED",TRIM([1]DATABASE!Q565)="PSPA"),[1]DATABASE!AC565=""),"Active no Owner",""),IF(OR([1]DATABASE!F565="",[1]DATABASE!F565&lt;=0),"Missing/Invalid Area",""),IF(AND([1]DATABASE!T565&gt;0,ABS([1]DATABASE!T565-[1]DATABASE!W565-[1]DATABASE!U565-[1]DATABASE!V565)&gt;1),"Price Bridge Mismatch",""))</f>
        <v/>
      </c>
      <c r="H604" t="str">
        <f t="shared" si="11"/>
        <v>PASS</v>
      </c>
      <c r="I604" s="90">
        <f>[1]DATABASE!T565</f>
        <v>1140000</v>
      </c>
      <c r="J604" t="str">
        <f>[1]DATABASE!AC565</f>
        <v>Ana Damásio</v>
      </c>
    </row>
    <row r="605" spans="1:10" ht="13.95" customHeight="1" x14ac:dyDescent="0.3">
      <c r="A605">
        <f>ROW([1]DATABASE!A566)</f>
        <v>566</v>
      </c>
      <c r="B605" t="str">
        <f>[1]DATABASE!AJ566</f>
        <v>The Uncommon</v>
      </c>
      <c r="C605" t="str">
        <f>[1]DATABASE!C566</f>
        <v>206</v>
      </c>
      <c r="D605" t="str">
        <f>TRIM([1]DATABASE!Q566)</f>
        <v>AVAILABLE</v>
      </c>
      <c r="E605" s="82" t="str">
        <f>_xlfn.TEXTJOIN("; ",TRUE,IF([1]DATABASE!X566&lt;0,"Negative Discount",""),IF(AND([1]DATABASE!Y566&gt;[1]DATABASE!T566,[1]DATABASE!Y566&gt;0,[1]DATABASE!T566&gt;0),"Sell Price &gt; Current",""),IF(AND(TRIM([1]DATABASE!Q566)="DEED",[1]DATABASE!AA566=""),"Deeded no PSPA Date",""),IF([1]DATABASE!E566="","Missing Typology",""),IF([1]DATABASE!AJ566="","Missing Development",""))</f>
        <v/>
      </c>
      <c r="F605" s="82" t="str">
        <f>_xlfn.TEXTJOIN("; ",TRUE,IF(AND(OR(TRIM([1]DATABASE!Q566)="RESERVED",TRIM([1]DATABASE!Q566)="PRE-RESERVED",TRIM([1]DATABASE!Q566)="PSPA"),[1]DATABASE!AA566=""),"Reserved/PSPA no PSPA Date",""),IF(AND(TRIM([1]DATABASE!Q566)="AVAILABLE",[1]DATABASE!AA566&lt;&gt;""),"Available has PSPA Date",""))</f>
        <v/>
      </c>
      <c r="G605" s="82" t="str">
        <f>_xlfn.TEXTJOIN("; ",TRUE,IF(AND([1]DATABASE!T566&lt;0.8*[1]DATABASE!S566,[1]DATABASE!T566&gt;0,[1]DATABASE!S566&gt;0),"Heavy Price Cut &gt;20%",""),IF(AND(OR(TRIM([1]DATABASE!Q566)="AVAILABLE",TRIM([1]DATABASE!Q566)="UPON REQUEST"),OR([1]DATABASE!T566="",[1]DATABASE!T566=0)),"Active Unit no Price",""),IF(AND(OR(TRIM([1]DATABASE!Q566)="AVAILABLE",TRIM([1]DATABASE!Q566)="RESERVED",TRIM([1]DATABASE!Q566)="PRE-RESERVED",TRIM([1]DATABASE!Q566)="PSPA"),[1]DATABASE!AC566=""),"Active no Owner",""),IF(OR([1]DATABASE!F566="",[1]DATABASE!F566&lt;=0),"Missing/Invalid Area",""),IF(AND([1]DATABASE!T566&gt;0,ABS([1]DATABASE!T566-[1]DATABASE!W566-[1]DATABASE!U566-[1]DATABASE!V566)&gt;1),"Price Bridge Mismatch",""))</f>
        <v/>
      </c>
      <c r="H605" t="str">
        <f t="shared" si="11"/>
        <v>PASS</v>
      </c>
      <c r="I605" s="90">
        <f>[1]DATABASE!T566</f>
        <v>1200000</v>
      </c>
      <c r="J605" t="str">
        <f>[1]DATABASE!AC566</f>
        <v>Ana Damásio</v>
      </c>
    </row>
    <row r="606" spans="1:10" ht="13.95" customHeight="1" x14ac:dyDescent="0.3">
      <c r="A606">
        <f>ROW([1]DATABASE!A567)</f>
        <v>567</v>
      </c>
      <c r="B606" t="str">
        <f>[1]DATABASE!AJ567</f>
        <v>The Uncommon</v>
      </c>
      <c r="C606" t="str">
        <f>[1]DATABASE!C567</f>
        <v>207</v>
      </c>
      <c r="D606" t="str">
        <f>TRIM([1]DATABASE!Q567)</f>
        <v>AVAILABLE</v>
      </c>
      <c r="E606" s="82" t="str">
        <f>_xlfn.TEXTJOIN("; ",TRUE,IF([1]DATABASE!X567&lt;0,"Negative Discount",""),IF(AND([1]DATABASE!Y567&gt;[1]DATABASE!T567,[1]DATABASE!Y567&gt;0,[1]DATABASE!T567&gt;0),"Sell Price &gt; Current",""),IF(AND(TRIM([1]DATABASE!Q567)="DEED",[1]DATABASE!AA567=""),"Deeded no PSPA Date",""),IF([1]DATABASE!E567="","Missing Typology",""),IF([1]DATABASE!AJ567="","Missing Development",""))</f>
        <v/>
      </c>
      <c r="F606" s="82" t="str">
        <f>_xlfn.TEXTJOIN("; ",TRUE,IF(AND(OR(TRIM([1]DATABASE!Q567)="RESERVED",TRIM([1]DATABASE!Q567)="PRE-RESERVED",TRIM([1]DATABASE!Q567)="PSPA"),[1]DATABASE!AA567=""),"Reserved/PSPA no PSPA Date",""),IF(AND(TRIM([1]DATABASE!Q567)="AVAILABLE",[1]DATABASE!AA567&lt;&gt;""),"Available has PSPA Date",""))</f>
        <v/>
      </c>
      <c r="G606" s="82" t="str">
        <f>_xlfn.TEXTJOIN("; ",TRUE,IF(AND([1]DATABASE!T567&lt;0.8*[1]DATABASE!S567,[1]DATABASE!T567&gt;0,[1]DATABASE!S567&gt;0),"Heavy Price Cut &gt;20%",""),IF(AND(OR(TRIM([1]DATABASE!Q567)="AVAILABLE",TRIM([1]DATABASE!Q567)="UPON REQUEST"),OR([1]DATABASE!T567="",[1]DATABASE!T567=0)),"Active Unit no Price",""),IF(AND(OR(TRIM([1]DATABASE!Q567)="AVAILABLE",TRIM([1]DATABASE!Q567)="RESERVED",TRIM([1]DATABASE!Q567)="PRE-RESERVED",TRIM([1]DATABASE!Q567)="PSPA"),[1]DATABASE!AC567=""),"Active no Owner",""),IF(OR([1]DATABASE!F567="",[1]DATABASE!F567&lt;=0),"Missing/Invalid Area",""),IF(AND([1]DATABASE!T567&gt;0,ABS([1]DATABASE!T567-[1]DATABASE!W567-[1]DATABASE!U567-[1]DATABASE!V567)&gt;1),"Price Bridge Mismatch",""))</f>
        <v/>
      </c>
      <c r="H606" t="str">
        <f t="shared" si="11"/>
        <v>PASS</v>
      </c>
      <c r="I606" s="90">
        <f>[1]DATABASE!T567</f>
        <v>1280000</v>
      </c>
      <c r="J606" t="str">
        <f>[1]DATABASE!AC567</f>
        <v>Ana Damásio</v>
      </c>
    </row>
    <row r="607" spans="1:10" ht="13.95" customHeight="1" x14ac:dyDescent="0.3">
      <c r="A607">
        <f>ROW([1]DATABASE!A568)</f>
        <v>568</v>
      </c>
      <c r="B607" t="str">
        <f>[1]DATABASE!AJ568</f>
        <v>The Uncommon</v>
      </c>
      <c r="C607" t="str">
        <f>[1]DATABASE!C568</f>
        <v>208</v>
      </c>
      <c r="D607" t="str">
        <f>TRIM([1]DATABASE!Q568)</f>
        <v>AVAILABLE</v>
      </c>
      <c r="E607" s="82" t="str">
        <f>_xlfn.TEXTJOIN("; ",TRUE,IF([1]DATABASE!X568&lt;0,"Negative Discount",""),IF(AND([1]DATABASE!Y568&gt;[1]DATABASE!T568,[1]DATABASE!Y568&gt;0,[1]DATABASE!T568&gt;0),"Sell Price &gt; Current",""),IF(AND(TRIM([1]DATABASE!Q568)="DEED",[1]DATABASE!AA568=""),"Deeded no PSPA Date",""),IF([1]DATABASE!E568="","Missing Typology",""),IF([1]DATABASE!AJ568="","Missing Development",""))</f>
        <v/>
      </c>
      <c r="F607" s="82" t="str">
        <f>_xlfn.TEXTJOIN("; ",TRUE,IF(AND(OR(TRIM([1]DATABASE!Q568)="RESERVED",TRIM([1]DATABASE!Q568)="PRE-RESERVED",TRIM([1]DATABASE!Q568)="PSPA"),[1]DATABASE!AA568=""),"Reserved/PSPA no PSPA Date",""),IF(AND(TRIM([1]DATABASE!Q568)="AVAILABLE",[1]DATABASE!AA568&lt;&gt;""),"Available has PSPA Date",""))</f>
        <v/>
      </c>
      <c r="G607" s="82" t="str">
        <f>_xlfn.TEXTJOIN("; ",TRUE,IF(AND([1]DATABASE!T568&lt;0.8*[1]DATABASE!S568,[1]DATABASE!T568&gt;0,[1]DATABASE!S568&gt;0),"Heavy Price Cut &gt;20%",""),IF(AND(OR(TRIM([1]DATABASE!Q568)="AVAILABLE",TRIM([1]DATABASE!Q568)="UPON REQUEST"),OR([1]DATABASE!T568="",[1]DATABASE!T568=0)),"Active Unit no Price",""),IF(AND(OR(TRIM([1]DATABASE!Q568)="AVAILABLE",TRIM([1]DATABASE!Q568)="RESERVED",TRIM([1]DATABASE!Q568)="PRE-RESERVED",TRIM([1]DATABASE!Q568)="PSPA"),[1]DATABASE!AC568=""),"Active no Owner",""),IF(OR([1]DATABASE!F568="",[1]DATABASE!F568&lt;=0),"Missing/Invalid Area",""),IF(AND([1]DATABASE!T568&gt;0,ABS([1]DATABASE!T568-[1]DATABASE!W568-[1]DATABASE!U568-[1]DATABASE!V568)&gt;1),"Price Bridge Mismatch",""))</f>
        <v/>
      </c>
      <c r="H607" t="str">
        <f t="shared" si="11"/>
        <v>PASS</v>
      </c>
      <c r="I607" s="90">
        <f>[1]DATABASE!T568</f>
        <v>1330000</v>
      </c>
      <c r="J607" t="str">
        <f>[1]DATABASE!AC568</f>
        <v>Ana Damásio</v>
      </c>
    </row>
    <row r="608" spans="1:10" ht="13.95" customHeight="1" x14ac:dyDescent="0.3">
      <c r="A608">
        <f>ROW([1]DATABASE!A569)</f>
        <v>569</v>
      </c>
      <c r="B608" t="str">
        <f>[1]DATABASE!AJ569</f>
        <v>The Uncommon</v>
      </c>
      <c r="C608" t="str">
        <f>[1]DATABASE!C569</f>
        <v>209</v>
      </c>
      <c r="D608" t="str">
        <f>TRIM([1]DATABASE!Q569)</f>
        <v>AVAILABLE</v>
      </c>
      <c r="E608" s="82" t="str">
        <f>_xlfn.TEXTJOIN("; ",TRUE,IF([1]DATABASE!X569&lt;0,"Negative Discount",""),IF(AND([1]DATABASE!Y569&gt;[1]DATABASE!T569,[1]DATABASE!Y569&gt;0,[1]DATABASE!T569&gt;0),"Sell Price &gt; Current",""),IF(AND(TRIM([1]DATABASE!Q569)="DEED",[1]DATABASE!AA569=""),"Deeded no PSPA Date",""),IF([1]DATABASE!E569="","Missing Typology",""),IF([1]DATABASE!AJ569="","Missing Development",""))</f>
        <v/>
      </c>
      <c r="F608" s="82" t="str">
        <f>_xlfn.TEXTJOIN("; ",TRUE,IF(AND(OR(TRIM([1]DATABASE!Q569)="RESERVED",TRIM([1]DATABASE!Q569)="PRE-RESERVED",TRIM([1]DATABASE!Q569)="PSPA"),[1]DATABASE!AA569=""),"Reserved/PSPA no PSPA Date",""),IF(AND(TRIM([1]DATABASE!Q569)="AVAILABLE",[1]DATABASE!AA569&lt;&gt;""),"Available has PSPA Date",""))</f>
        <v/>
      </c>
      <c r="G608" s="82" t="str">
        <f>_xlfn.TEXTJOIN("; ",TRUE,IF(AND([1]DATABASE!T569&lt;0.8*[1]DATABASE!S569,[1]DATABASE!T569&gt;0,[1]DATABASE!S569&gt;0),"Heavy Price Cut &gt;20%",""),IF(AND(OR(TRIM([1]DATABASE!Q569)="AVAILABLE",TRIM([1]DATABASE!Q569)="UPON REQUEST"),OR([1]DATABASE!T569="",[1]DATABASE!T569=0)),"Active Unit no Price",""),IF(AND(OR(TRIM([1]DATABASE!Q569)="AVAILABLE",TRIM([1]DATABASE!Q569)="RESERVED",TRIM([1]DATABASE!Q569)="PRE-RESERVED",TRIM([1]DATABASE!Q569)="PSPA"),[1]DATABASE!AC569=""),"Active no Owner",""),IF(OR([1]DATABASE!F569="",[1]DATABASE!F569&lt;=0),"Missing/Invalid Area",""),IF(AND([1]DATABASE!T569&gt;0,ABS([1]DATABASE!T569-[1]DATABASE!W569-[1]DATABASE!U569-[1]DATABASE!V569)&gt;1),"Price Bridge Mismatch",""))</f>
        <v/>
      </c>
      <c r="H608" t="str">
        <f t="shared" si="11"/>
        <v>PASS</v>
      </c>
      <c r="I608" s="90">
        <f>[1]DATABASE!T569</f>
        <v>1390000</v>
      </c>
      <c r="J608" t="str">
        <f>[1]DATABASE!AC569</f>
        <v>Ana Damásio</v>
      </c>
    </row>
    <row r="609" spans="1:10" ht="13.95" customHeight="1" x14ac:dyDescent="0.3">
      <c r="A609">
        <f>ROW([1]DATABASE!A570)</f>
        <v>570</v>
      </c>
      <c r="B609" t="str">
        <f>[1]DATABASE!AJ570</f>
        <v>Springs - At the Els</v>
      </c>
      <c r="C609" t="str">
        <f>[1]DATABASE!C570</f>
        <v>21</v>
      </c>
      <c r="D609" t="str">
        <f>TRIM([1]DATABASE!Q570)</f>
        <v>AVAILABLE</v>
      </c>
      <c r="E609" s="82" t="str">
        <f>_xlfn.TEXTJOIN("; ",TRUE,IF([1]DATABASE!X570&lt;0,"Negative Discount",""),IF(AND([1]DATABASE!Y570&gt;[1]DATABASE!T570,[1]DATABASE!Y570&gt;0,[1]DATABASE!T570&gt;0),"Sell Price &gt; Current",""),IF(AND(TRIM([1]DATABASE!Q570)="DEED",[1]DATABASE!AA570=""),"Deeded no PSPA Date",""),IF([1]DATABASE!E570="","Missing Typology",""),IF([1]DATABASE!AJ570="","Missing Development",""))</f>
        <v/>
      </c>
      <c r="F609" s="82" t="str">
        <f>_xlfn.TEXTJOIN("; ",TRUE,IF(AND(OR(TRIM([1]DATABASE!Q570)="RESERVED",TRIM([1]DATABASE!Q570)="PRE-RESERVED",TRIM([1]DATABASE!Q570)="PSPA"),[1]DATABASE!AA570=""),"Reserved/PSPA no PSPA Date",""),IF(AND(TRIM([1]DATABASE!Q570)="AVAILABLE",[1]DATABASE!AA570&lt;&gt;""),"Available has PSPA Date",""))</f>
        <v/>
      </c>
      <c r="G609" s="82" t="str">
        <f>_xlfn.TEXTJOIN("; ",TRUE,IF(AND([1]DATABASE!T570&lt;0.8*[1]DATABASE!S570,[1]DATABASE!T570&gt;0,[1]DATABASE!S570&gt;0),"Heavy Price Cut &gt;20%",""),IF(AND(OR(TRIM([1]DATABASE!Q570)="AVAILABLE",TRIM([1]DATABASE!Q570)="UPON REQUEST"),OR([1]DATABASE!T570="",[1]DATABASE!T570=0)),"Active Unit no Price",""),IF(AND(OR(TRIM([1]DATABASE!Q570)="AVAILABLE",TRIM([1]DATABASE!Q570)="RESERVED",TRIM([1]DATABASE!Q570)="PRE-RESERVED",TRIM([1]DATABASE!Q570)="PSPA"),[1]DATABASE!AC570=""),"Active no Owner",""),IF(OR([1]DATABASE!F570="",[1]DATABASE!F570&lt;=0),"Missing/Invalid Area",""),IF(AND([1]DATABASE!T570&gt;0,ABS([1]DATABASE!T570-[1]DATABASE!W570-[1]DATABASE!U570-[1]DATABASE!V570)&gt;1),"Price Bridge Mismatch",""))</f>
        <v>Heavy Price Cut &gt;20%</v>
      </c>
      <c r="H609" t="str">
        <f t="shared" si="11"/>
        <v>REVIEW</v>
      </c>
      <c r="I609" s="90">
        <f>[1]DATABASE!T570</f>
        <v>660000</v>
      </c>
      <c r="J609" t="str">
        <f>[1]DATABASE!AC570</f>
        <v>Ana Damásio</v>
      </c>
    </row>
    <row r="610" spans="1:10" ht="13.95" customHeight="1" x14ac:dyDescent="0.3">
      <c r="A610">
        <f>ROW([1]DATABASE!A571)</f>
        <v>571</v>
      </c>
      <c r="B610" t="str">
        <f>[1]DATABASE!AJ571</f>
        <v>Palmares</v>
      </c>
      <c r="C610" t="str">
        <f>[1]DATABASE!C571</f>
        <v>4A</v>
      </c>
      <c r="D610" t="str">
        <f>TRIM([1]DATABASE!Q571)</f>
        <v>AVAILABLE</v>
      </c>
      <c r="E610" s="82" t="str">
        <f>_xlfn.TEXTJOIN("; ",TRUE,IF([1]DATABASE!X571&lt;0,"Negative Discount",""),IF(AND([1]DATABASE!Y571&gt;[1]DATABASE!T571,[1]DATABASE!Y571&gt;0,[1]DATABASE!T571&gt;0),"Sell Price &gt; Current",""),IF(AND(TRIM([1]DATABASE!Q571)="DEED",[1]DATABASE!AA571=""),"Deeded no PSPA Date",""),IF([1]DATABASE!E571="","Missing Typology",""),IF([1]DATABASE!AJ571="","Missing Development",""))</f>
        <v/>
      </c>
      <c r="F610" s="82" t="str">
        <f>_xlfn.TEXTJOIN("; ",TRUE,IF(AND(OR(TRIM([1]DATABASE!Q571)="RESERVED",TRIM([1]DATABASE!Q571)="PRE-RESERVED",TRIM([1]DATABASE!Q571)="PSPA"),[1]DATABASE!AA571=""),"Reserved/PSPA no PSPA Date",""),IF(AND(TRIM([1]DATABASE!Q571)="AVAILABLE",[1]DATABASE!AA571&lt;&gt;""),"Available has PSPA Date",""))</f>
        <v/>
      </c>
      <c r="G610" s="82" t="str">
        <f>_xlfn.TEXTJOIN("; ",TRUE,IF(AND([1]DATABASE!T571&lt;0.8*[1]DATABASE!S571,[1]DATABASE!T571&gt;0,[1]DATABASE!S571&gt;0),"Heavy Price Cut &gt;20%",""),IF(AND(OR(TRIM([1]DATABASE!Q571)="AVAILABLE",TRIM([1]DATABASE!Q571)="UPON REQUEST"),OR([1]DATABASE!T571="",[1]DATABASE!T571=0)),"Active Unit no Price",""),IF(AND(OR(TRIM([1]DATABASE!Q571)="AVAILABLE",TRIM([1]DATABASE!Q571)="RESERVED",TRIM([1]DATABASE!Q571)="PRE-RESERVED",TRIM([1]DATABASE!Q571)="PSPA"),[1]DATABASE!AC571=""),"Active no Owner",""),IF(OR([1]DATABASE!F571="",[1]DATABASE!F571&lt;=0),"Missing/Invalid Area",""),IF(AND([1]DATABASE!T571&gt;0,ABS([1]DATABASE!T571-[1]DATABASE!W571-[1]DATABASE!U571-[1]DATABASE!V571)&gt;1),"Price Bridge Mismatch",""))</f>
        <v>Active no Owner</v>
      </c>
      <c r="H610" t="str">
        <f t="shared" si="11"/>
        <v>REVIEW</v>
      </c>
      <c r="I610" s="90">
        <f>[1]DATABASE!T571</f>
        <v>660000</v>
      </c>
      <c r="J610">
        <f>[1]DATABASE!AC571</f>
        <v>0</v>
      </c>
    </row>
    <row r="611" spans="1:10" ht="13.95" customHeight="1" x14ac:dyDescent="0.3">
      <c r="A611">
        <f>ROW([1]DATABASE!A572)</f>
        <v>572</v>
      </c>
      <c r="B611" t="str">
        <f>[1]DATABASE!AJ572</f>
        <v>Palmares</v>
      </c>
      <c r="C611" t="str">
        <f>[1]DATABASE!C572</f>
        <v>42</v>
      </c>
      <c r="D611" t="str">
        <f>TRIM([1]DATABASE!Q572)</f>
        <v>AVAILABLE</v>
      </c>
      <c r="E611" s="82" t="str">
        <f>_xlfn.TEXTJOIN("; ",TRUE,IF([1]DATABASE!X572&lt;0,"Negative Discount",""),IF(AND([1]DATABASE!Y572&gt;[1]DATABASE!T572,[1]DATABASE!Y572&gt;0,[1]DATABASE!T572&gt;0),"Sell Price &gt; Current",""),IF(AND(TRIM([1]DATABASE!Q572)="DEED",[1]DATABASE!AA572=""),"Deeded no PSPA Date",""),IF([1]DATABASE!E572="","Missing Typology",""),IF([1]DATABASE!AJ572="","Missing Development",""))</f>
        <v/>
      </c>
      <c r="F611" s="82" t="str">
        <f>_xlfn.TEXTJOIN("; ",TRUE,IF(AND(OR(TRIM([1]DATABASE!Q572)="RESERVED",TRIM([1]DATABASE!Q572)="PRE-RESERVED",TRIM([1]DATABASE!Q572)="PSPA"),[1]DATABASE!AA572=""),"Reserved/PSPA no PSPA Date",""),IF(AND(TRIM([1]DATABASE!Q572)="AVAILABLE",[1]DATABASE!AA572&lt;&gt;""),"Available has PSPA Date",""))</f>
        <v/>
      </c>
      <c r="G611" s="82" t="str">
        <f>_xlfn.TEXTJOIN("; ",TRUE,IF(AND([1]DATABASE!T572&lt;0.8*[1]DATABASE!S572,[1]DATABASE!T572&gt;0,[1]DATABASE!S572&gt;0),"Heavy Price Cut &gt;20%",""),IF(AND(OR(TRIM([1]DATABASE!Q572)="AVAILABLE",TRIM([1]DATABASE!Q572)="UPON REQUEST"),OR([1]DATABASE!T572="",[1]DATABASE!T572=0)),"Active Unit no Price",""),IF(AND(OR(TRIM([1]DATABASE!Q572)="AVAILABLE",TRIM([1]DATABASE!Q572)="RESERVED",TRIM([1]DATABASE!Q572)="PRE-RESERVED",TRIM([1]DATABASE!Q572)="PSPA"),[1]DATABASE!AC572=""),"Active no Owner",""),IF(OR([1]DATABASE!F572="",[1]DATABASE!F572&lt;=0),"Missing/Invalid Area",""),IF(AND([1]DATABASE!T572&gt;0,ABS([1]DATABASE!T572-[1]DATABASE!W572-[1]DATABASE!U572-[1]DATABASE!V572)&gt;1),"Price Bridge Mismatch",""))</f>
        <v/>
      </c>
      <c r="H611" t="str">
        <f t="shared" si="11"/>
        <v>PASS</v>
      </c>
      <c r="I611" s="90">
        <f>[1]DATABASE!T572</f>
        <v>1250000</v>
      </c>
      <c r="J611" t="str">
        <f>[1]DATABASE!AC572</f>
        <v>Sandra Viegas</v>
      </c>
    </row>
    <row r="612" spans="1:10" ht="13.95" customHeight="1" x14ac:dyDescent="0.3">
      <c r="A612">
        <f>ROW([1]DATABASE!A573)</f>
        <v>573</v>
      </c>
      <c r="B612" t="str">
        <f>[1]DATABASE!AJ573</f>
        <v>Palmares</v>
      </c>
      <c r="C612" t="str">
        <f>[1]DATABASE!C573</f>
        <v>44</v>
      </c>
      <c r="D612" t="str">
        <f>TRIM([1]DATABASE!Q573)</f>
        <v>AVAILABLE</v>
      </c>
      <c r="E612" s="82" t="str">
        <f>_xlfn.TEXTJOIN("; ",TRUE,IF([1]DATABASE!X573&lt;0,"Negative Discount",""),IF(AND([1]DATABASE!Y573&gt;[1]DATABASE!T573,[1]DATABASE!Y573&gt;0,[1]DATABASE!T573&gt;0),"Sell Price &gt; Current",""),IF(AND(TRIM([1]DATABASE!Q573)="DEED",[1]DATABASE!AA573=""),"Deeded no PSPA Date",""),IF([1]DATABASE!E573="","Missing Typology",""),IF([1]DATABASE!AJ573="","Missing Development",""))</f>
        <v/>
      </c>
      <c r="F612" s="82" t="str">
        <f>_xlfn.TEXTJOIN("; ",TRUE,IF(AND(OR(TRIM([1]DATABASE!Q573)="RESERVED",TRIM([1]DATABASE!Q573)="PRE-RESERVED",TRIM([1]DATABASE!Q573)="PSPA"),[1]DATABASE!AA573=""),"Reserved/PSPA no PSPA Date",""),IF(AND(TRIM([1]DATABASE!Q573)="AVAILABLE",[1]DATABASE!AA573&lt;&gt;""),"Available has PSPA Date",""))</f>
        <v/>
      </c>
      <c r="G612" s="82" t="str">
        <f>_xlfn.TEXTJOIN("; ",TRUE,IF(AND([1]DATABASE!T573&lt;0.8*[1]DATABASE!S573,[1]DATABASE!T573&gt;0,[1]DATABASE!S573&gt;0),"Heavy Price Cut &gt;20%",""),IF(AND(OR(TRIM([1]DATABASE!Q573)="AVAILABLE",TRIM([1]DATABASE!Q573)="UPON REQUEST"),OR([1]DATABASE!T573="",[1]DATABASE!T573=0)),"Active Unit no Price",""),IF(AND(OR(TRIM([1]DATABASE!Q573)="AVAILABLE",TRIM([1]DATABASE!Q573)="RESERVED",TRIM([1]DATABASE!Q573)="PRE-RESERVED",TRIM([1]DATABASE!Q573)="PSPA"),[1]DATABASE!AC573=""),"Active no Owner",""),IF(OR([1]DATABASE!F573="",[1]DATABASE!F573&lt;=0),"Missing/Invalid Area",""),IF(AND([1]DATABASE!T573&gt;0,ABS([1]DATABASE!T573-[1]DATABASE!W573-[1]DATABASE!U573-[1]DATABASE!V573)&gt;1),"Price Bridge Mismatch",""))</f>
        <v/>
      </c>
      <c r="H612" t="str">
        <f t="shared" si="11"/>
        <v>PASS</v>
      </c>
      <c r="I612" s="90">
        <f>[1]DATABASE!T573</f>
        <v>1350000</v>
      </c>
      <c r="J612" t="str">
        <f>[1]DATABASE!AC573</f>
        <v>Sandra Viegas</v>
      </c>
    </row>
    <row r="613" spans="1:10" ht="13.95" customHeight="1" x14ac:dyDescent="0.3">
      <c r="A613">
        <f>ROW([1]DATABASE!A574)</f>
        <v>574</v>
      </c>
      <c r="B613" t="str">
        <f>[1]DATABASE!AJ574</f>
        <v>The Uncommon</v>
      </c>
      <c r="C613" t="str">
        <f>[1]DATABASE!C574</f>
        <v>210</v>
      </c>
      <c r="D613" t="str">
        <f>TRIM([1]DATABASE!Q574)</f>
        <v>AVAILABLE</v>
      </c>
      <c r="E613" s="82" t="str">
        <f>_xlfn.TEXTJOIN("; ",TRUE,IF([1]DATABASE!X574&lt;0,"Negative Discount",""),IF(AND([1]DATABASE!Y574&gt;[1]DATABASE!T574,[1]DATABASE!Y574&gt;0,[1]DATABASE!T574&gt;0),"Sell Price &gt; Current",""),IF(AND(TRIM([1]DATABASE!Q574)="DEED",[1]DATABASE!AA574=""),"Deeded no PSPA Date",""),IF([1]DATABASE!E574="","Missing Typology",""),IF([1]DATABASE!AJ574="","Missing Development",""))</f>
        <v/>
      </c>
      <c r="F613" s="82" t="str">
        <f>_xlfn.TEXTJOIN("; ",TRUE,IF(AND(OR(TRIM([1]DATABASE!Q574)="RESERVED",TRIM([1]DATABASE!Q574)="PRE-RESERVED",TRIM([1]DATABASE!Q574)="PSPA"),[1]DATABASE!AA574=""),"Reserved/PSPA no PSPA Date",""),IF(AND(TRIM([1]DATABASE!Q574)="AVAILABLE",[1]DATABASE!AA574&lt;&gt;""),"Available has PSPA Date",""))</f>
        <v/>
      </c>
      <c r="G613" s="82" t="str">
        <f>_xlfn.TEXTJOIN("; ",TRUE,IF(AND([1]DATABASE!T574&lt;0.8*[1]DATABASE!S574,[1]DATABASE!T574&gt;0,[1]DATABASE!S574&gt;0),"Heavy Price Cut &gt;20%",""),IF(AND(OR(TRIM([1]DATABASE!Q574)="AVAILABLE",TRIM([1]DATABASE!Q574)="UPON REQUEST"),OR([1]DATABASE!T574="",[1]DATABASE!T574=0)),"Active Unit no Price",""),IF(AND(OR(TRIM([1]DATABASE!Q574)="AVAILABLE",TRIM([1]DATABASE!Q574)="RESERVED",TRIM([1]DATABASE!Q574)="PRE-RESERVED",TRIM([1]DATABASE!Q574)="PSPA"),[1]DATABASE!AC574=""),"Active no Owner",""),IF(OR([1]DATABASE!F574="",[1]DATABASE!F574&lt;=0),"Missing/Invalid Area",""),IF(AND([1]DATABASE!T574&gt;0,ABS([1]DATABASE!T574-[1]DATABASE!W574-[1]DATABASE!U574-[1]DATABASE!V574)&gt;1),"Price Bridge Mismatch",""))</f>
        <v/>
      </c>
      <c r="H613" t="str">
        <f t="shared" si="11"/>
        <v>PASS</v>
      </c>
      <c r="I613" s="90">
        <f>[1]DATABASE!T574</f>
        <v>3930000</v>
      </c>
      <c r="J613" t="str">
        <f>[1]DATABASE!AC574</f>
        <v>Ana Damásio</v>
      </c>
    </row>
    <row r="614" spans="1:10" ht="13.95" customHeight="1" x14ac:dyDescent="0.3">
      <c r="A614">
        <f>ROW([1]DATABASE!A575)</f>
        <v>575</v>
      </c>
      <c r="B614" t="str">
        <f>[1]DATABASE!AJ575</f>
        <v>The Uncommon</v>
      </c>
      <c r="C614" t="str">
        <f>[1]DATABASE!C575</f>
        <v>211</v>
      </c>
      <c r="D614" t="str">
        <f>TRIM([1]DATABASE!Q575)</f>
        <v>AVAILABLE</v>
      </c>
      <c r="E614" s="82" t="str">
        <f>_xlfn.TEXTJOIN("; ",TRUE,IF([1]DATABASE!X575&lt;0,"Negative Discount",""),IF(AND([1]DATABASE!Y575&gt;[1]DATABASE!T575,[1]DATABASE!Y575&gt;0,[1]DATABASE!T575&gt;0),"Sell Price &gt; Current",""),IF(AND(TRIM([1]DATABASE!Q575)="DEED",[1]DATABASE!AA575=""),"Deeded no PSPA Date",""),IF([1]DATABASE!E575="","Missing Typology",""),IF([1]DATABASE!AJ575="","Missing Development",""))</f>
        <v/>
      </c>
      <c r="F614" s="82" t="str">
        <f>_xlfn.TEXTJOIN("; ",TRUE,IF(AND(OR(TRIM([1]DATABASE!Q575)="RESERVED",TRIM([1]DATABASE!Q575)="PRE-RESERVED",TRIM([1]DATABASE!Q575)="PSPA"),[1]DATABASE!AA575=""),"Reserved/PSPA no PSPA Date",""),IF(AND(TRIM([1]DATABASE!Q575)="AVAILABLE",[1]DATABASE!AA575&lt;&gt;""),"Available has PSPA Date",""))</f>
        <v/>
      </c>
      <c r="G614" s="82" t="str">
        <f>_xlfn.TEXTJOIN("; ",TRUE,IF(AND([1]DATABASE!T575&lt;0.8*[1]DATABASE!S575,[1]DATABASE!T575&gt;0,[1]DATABASE!S575&gt;0),"Heavy Price Cut &gt;20%",""),IF(AND(OR(TRIM([1]DATABASE!Q575)="AVAILABLE",TRIM([1]DATABASE!Q575)="UPON REQUEST"),OR([1]DATABASE!T575="",[1]DATABASE!T575=0)),"Active Unit no Price",""),IF(AND(OR(TRIM([1]DATABASE!Q575)="AVAILABLE",TRIM([1]DATABASE!Q575)="RESERVED",TRIM([1]DATABASE!Q575)="PRE-RESERVED",TRIM([1]DATABASE!Q575)="PSPA"),[1]DATABASE!AC575=""),"Active no Owner",""),IF(OR([1]DATABASE!F575="",[1]DATABASE!F575&lt;=0),"Missing/Invalid Area",""),IF(AND([1]DATABASE!T575&gt;0,ABS([1]DATABASE!T575-[1]DATABASE!W575-[1]DATABASE!U575-[1]DATABASE!V575)&gt;1),"Price Bridge Mismatch",""))</f>
        <v/>
      </c>
      <c r="H614" t="str">
        <f t="shared" si="11"/>
        <v>PASS</v>
      </c>
      <c r="I614" s="90">
        <f>[1]DATABASE!T575</f>
        <v>750000</v>
      </c>
      <c r="J614" t="str">
        <f>[1]DATABASE!AC575</f>
        <v>Ana Damásio</v>
      </c>
    </row>
    <row r="615" spans="1:10" ht="13.95" customHeight="1" x14ac:dyDescent="0.3">
      <c r="A615">
        <f>ROW([1]DATABASE!A576)</f>
        <v>576</v>
      </c>
      <c r="B615" t="str">
        <f>[1]DATABASE!AJ576</f>
        <v>The Uncommon</v>
      </c>
      <c r="C615" t="str">
        <f>[1]DATABASE!C576</f>
        <v>212</v>
      </c>
      <c r="D615" t="str">
        <f>TRIM([1]DATABASE!Q576)</f>
        <v>AVAILABLE</v>
      </c>
      <c r="E615" s="82" t="str">
        <f>_xlfn.TEXTJOIN("; ",TRUE,IF([1]DATABASE!X576&lt;0,"Negative Discount",""),IF(AND([1]DATABASE!Y576&gt;[1]DATABASE!T576,[1]DATABASE!Y576&gt;0,[1]DATABASE!T576&gt;0),"Sell Price &gt; Current",""),IF(AND(TRIM([1]DATABASE!Q576)="DEED",[1]DATABASE!AA576=""),"Deeded no PSPA Date",""),IF([1]DATABASE!E576="","Missing Typology",""),IF([1]DATABASE!AJ576="","Missing Development",""))</f>
        <v/>
      </c>
      <c r="F615" s="82" t="str">
        <f>_xlfn.TEXTJOIN("; ",TRUE,IF(AND(OR(TRIM([1]DATABASE!Q576)="RESERVED",TRIM([1]DATABASE!Q576)="PRE-RESERVED",TRIM([1]DATABASE!Q576)="PSPA"),[1]DATABASE!AA576=""),"Reserved/PSPA no PSPA Date",""),IF(AND(TRIM([1]DATABASE!Q576)="AVAILABLE",[1]DATABASE!AA576&lt;&gt;""),"Available has PSPA Date",""))</f>
        <v/>
      </c>
      <c r="G615" s="82" t="str">
        <f>_xlfn.TEXTJOIN("; ",TRUE,IF(AND([1]DATABASE!T576&lt;0.8*[1]DATABASE!S576,[1]DATABASE!T576&gt;0,[1]DATABASE!S576&gt;0),"Heavy Price Cut &gt;20%",""),IF(AND(OR(TRIM([1]DATABASE!Q576)="AVAILABLE",TRIM([1]DATABASE!Q576)="UPON REQUEST"),OR([1]DATABASE!T576="",[1]DATABASE!T576=0)),"Active Unit no Price",""),IF(AND(OR(TRIM([1]DATABASE!Q576)="AVAILABLE",TRIM([1]DATABASE!Q576)="RESERVED",TRIM([1]DATABASE!Q576)="PRE-RESERVED",TRIM([1]DATABASE!Q576)="PSPA"),[1]DATABASE!AC576=""),"Active no Owner",""),IF(OR([1]DATABASE!F576="",[1]DATABASE!F576&lt;=0),"Missing/Invalid Area",""),IF(AND([1]DATABASE!T576&gt;0,ABS([1]DATABASE!T576-[1]DATABASE!W576-[1]DATABASE!U576-[1]DATABASE!V576)&gt;1),"Price Bridge Mismatch",""))</f>
        <v/>
      </c>
      <c r="H615" t="str">
        <f t="shared" si="11"/>
        <v>PASS</v>
      </c>
      <c r="I615" s="90">
        <f>[1]DATABASE!T576</f>
        <v>770000</v>
      </c>
      <c r="J615" t="str">
        <f>[1]DATABASE!AC576</f>
        <v>Ana Damásio</v>
      </c>
    </row>
    <row r="616" spans="1:10" ht="13.95" customHeight="1" x14ac:dyDescent="0.3">
      <c r="A616">
        <f>ROW([1]DATABASE!A577)</f>
        <v>577</v>
      </c>
      <c r="B616" t="str">
        <f>[1]DATABASE!AJ577</f>
        <v>The Uncommon</v>
      </c>
      <c r="C616" t="str">
        <f>[1]DATABASE!C577</f>
        <v>213</v>
      </c>
      <c r="D616" t="str">
        <f>TRIM([1]DATABASE!Q577)</f>
        <v>AVAILABLE</v>
      </c>
      <c r="E616" s="82" t="str">
        <f>_xlfn.TEXTJOIN("; ",TRUE,IF([1]DATABASE!X577&lt;0,"Negative Discount",""),IF(AND([1]DATABASE!Y577&gt;[1]DATABASE!T577,[1]DATABASE!Y577&gt;0,[1]DATABASE!T577&gt;0),"Sell Price &gt; Current",""),IF(AND(TRIM([1]DATABASE!Q577)="DEED",[1]DATABASE!AA577=""),"Deeded no PSPA Date",""),IF([1]DATABASE!E577="","Missing Typology",""),IF([1]DATABASE!AJ577="","Missing Development",""))</f>
        <v/>
      </c>
      <c r="F616" s="82" t="str">
        <f>_xlfn.TEXTJOIN("; ",TRUE,IF(AND(OR(TRIM([1]DATABASE!Q577)="RESERVED",TRIM([1]DATABASE!Q577)="PRE-RESERVED",TRIM([1]DATABASE!Q577)="PSPA"),[1]DATABASE!AA577=""),"Reserved/PSPA no PSPA Date",""),IF(AND(TRIM([1]DATABASE!Q577)="AVAILABLE",[1]DATABASE!AA577&lt;&gt;""),"Available has PSPA Date",""))</f>
        <v/>
      </c>
      <c r="G616" s="82" t="str">
        <f>_xlfn.TEXTJOIN("; ",TRUE,IF(AND([1]DATABASE!T577&lt;0.8*[1]DATABASE!S577,[1]DATABASE!T577&gt;0,[1]DATABASE!S577&gt;0),"Heavy Price Cut &gt;20%",""),IF(AND(OR(TRIM([1]DATABASE!Q577)="AVAILABLE",TRIM([1]DATABASE!Q577)="UPON REQUEST"),OR([1]DATABASE!T577="",[1]DATABASE!T577=0)),"Active Unit no Price",""),IF(AND(OR(TRIM([1]DATABASE!Q577)="AVAILABLE",TRIM([1]DATABASE!Q577)="RESERVED",TRIM([1]DATABASE!Q577)="PRE-RESERVED",TRIM([1]DATABASE!Q577)="PSPA"),[1]DATABASE!AC577=""),"Active no Owner",""),IF(OR([1]DATABASE!F577="",[1]DATABASE!F577&lt;=0),"Missing/Invalid Area",""),IF(AND([1]DATABASE!T577&gt;0,ABS([1]DATABASE!T577-[1]DATABASE!W577-[1]DATABASE!U577-[1]DATABASE!V577)&gt;1),"Price Bridge Mismatch",""))</f>
        <v/>
      </c>
      <c r="H616" t="str">
        <f t="shared" si="11"/>
        <v>PASS</v>
      </c>
      <c r="I616" s="90">
        <f>[1]DATABASE!T577</f>
        <v>820000</v>
      </c>
      <c r="J616" t="str">
        <f>[1]DATABASE!AC577</f>
        <v>Ana Damásio</v>
      </c>
    </row>
    <row r="617" spans="1:10" ht="13.95" customHeight="1" x14ac:dyDescent="0.3">
      <c r="A617">
        <f>ROW([1]DATABASE!A578)</f>
        <v>578</v>
      </c>
      <c r="B617" t="str">
        <f>[1]DATABASE!AJ578</f>
        <v>The Uncommon</v>
      </c>
      <c r="C617" t="str">
        <f>[1]DATABASE!C578</f>
        <v>214</v>
      </c>
      <c r="D617" t="str">
        <f>TRIM([1]DATABASE!Q578)</f>
        <v>AVAILABLE</v>
      </c>
      <c r="E617" s="82" t="str">
        <f>_xlfn.TEXTJOIN("; ",TRUE,IF([1]DATABASE!X578&lt;0,"Negative Discount",""),IF(AND([1]DATABASE!Y578&gt;[1]DATABASE!T578,[1]DATABASE!Y578&gt;0,[1]DATABASE!T578&gt;0),"Sell Price &gt; Current",""),IF(AND(TRIM([1]DATABASE!Q578)="DEED",[1]DATABASE!AA578=""),"Deeded no PSPA Date",""),IF([1]DATABASE!E578="","Missing Typology",""),IF([1]DATABASE!AJ578="","Missing Development",""))</f>
        <v/>
      </c>
      <c r="F617" s="82" t="str">
        <f>_xlfn.TEXTJOIN("; ",TRUE,IF(AND(OR(TRIM([1]DATABASE!Q578)="RESERVED",TRIM([1]DATABASE!Q578)="PRE-RESERVED",TRIM([1]DATABASE!Q578)="PSPA"),[1]DATABASE!AA578=""),"Reserved/PSPA no PSPA Date",""),IF(AND(TRIM([1]DATABASE!Q578)="AVAILABLE",[1]DATABASE!AA578&lt;&gt;""),"Available has PSPA Date",""))</f>
        <v/>
      </c>
      <c r="G617" s="82" t="str">
        <f>_xlfn.TEXTJOIN("; ",TRUE,IF(AND([1]DATABASE!T578&lt;0.8*[1]DATABASE!S578,[1]DATABASE!T578&gt;0,[1]DATABASE!S578&gt;0),"Heavy Price Cut &gt;20%",""),IF(AND(OR(TRIM([1]DATABASE!Q578)="AVAILABLE",TRIM([1]DATABASE!Q578)="UPON REQUEST"),OR([1]DATABASE!T578="",[1]DATABASE!T578=0)),"Active Unit no Price",""),IF(AND(OR(TRIM([1]DATABASE!Q578)="AVAILABLE",TRIM([1]DATABASE!Q578)="RESERVED",TRIM([1]DATABASE!Q578)="PRE-RESERVED",TRIM([1]DATABASE!Q578)="PSPA"),[1]DATABASE!AC578=""),"Active no Owner",""),IF(OR([1]DATABASE!F578="",[1]DATABASE!F578&lt;=0),"Missing/Invalid Area",""),IF(AND([1]DATABASE!T578&gt;0,ABS([1]DATABASE!T578-[1]DATABASE!W578-[1]DATABASE!U578-[1]DATABASE!V578)&gt;1),"Price Bridge Mismatch",""))</f>
        <v/>
      </c>
      <c r="H617" t="str">
        <f t="shared" si="11"/>
        <v>PASS</v>
      </c>
      <c r="I617" s="90">
        <f>[1]DATABASE!T578</f>
        <v>860000</v>
      </c>
      <c r="J617" t="str">
        <f>[1]DATABASE!AC578</f>
        <v>Ana Damásio</v>
      </c>
    </row>
    <row r="618" spans="1:10" ht="13.95" customHeight="1" x14ac:dyDescent="0.3">
      <c r="A618">
        <f>ROW([1]DATABASE!A579)</f>
        <v>579</v>
      </c>
      <c r="B618" t="str">
        <f>[1]DATABASE!AJ579</f>
        <v>The Uncommon</v>
      </c>
      <c r="C618" t="str">
        <f>[1]DATABASE!C579</f>
        <v>215</v>
      </c>
      <c r="D618" t="str">
        <f>TRIM([1]DATABASE!Q579)</f>
        <v>AVAILABLE</v>
      </c>
      <c r="E618" s="82" t="str">
        <f>_xlfn.TEXTJOIN("; ",TRUE,IF([1]DATABASE!X579&lt;0,"Negative Discount",""),IF(AND([1]DATABASE!Y579&gt;[1]DATABASE!T579,[1]DATABASE!Y579&gt;0,[1]DATABASE!T579&gt;0),"Sell Price &gt; Current",""),IF(AND(TRIM([1]DATABASE!Q579)="DEED",[1]DATABASE!AA579=""),"Deeded no PSPA Date",""),IF([1]DATABASE!E579="","Missing Typology",""),IF([1]DATABASE!AJ579="","Missing Development",""))</f>
        <v/>
      </c>
      <c r="F618" s="82" t="str">
        <f>_xlfn.TEXTJOIN("; ",TRUE,IF(AND(OR(TRIM([1]DATABASE!Q579)="RESERVED",TRIM([1]DATABASE!Q579)="PRE-RESERVED",TRIM([1]DATABASE!Q579)="PSPA"),[1]DATABASE!AA579=""),"Reserved/PSPA no PSPA Date",""),IF(AND(TRIM([1]DATABASE!Q579)="AVAILABLE",[1]DATABASE!AA579&lt;&gt;""),"Available has PSPA Date",""))</f>
        <v/>
      </c>
      <c r="G618" s="82" t="str">
        <f>_xlfn.TEXTJOIN("; ",TRUE,IF(AND([1]DATABASE!T579&lt;0.8*[1]DATABASE!S579,[1]DATABASE!T579&gt;0,[1]DATABASE!S579&gt;0),"Heavy Price Cut &gt;20%",""),IF(AND(OR(TRIM([1]DATABASE!Q579)="AVAILABLE",TRIM([1]DATABASE!Q579)="UPON REQUEST"),OR([1]DATABASE!T579="",[1]DATABASE!T579=0)),"Active Unit no Price",""),IF(AND(OR(TRIM([1]DATABASE!Q579)="AVAILABLE",TRIM([1]DATABASE!Q579)="RESERVED",TRIM([1]DATABASE!Q579)="PRE-RESERVED",TRIM([1]DATABASE!Q579)="PSPA"),[1]DATABASE!AC579=""),"Active no Owner",""),IF(OR([1]DATABASE!F579="",[1]DATABASE!F579&lt;=0),"Missing/Invalid Area",""),IF(AND([1]DATABASE!T579&gt;0,ABS([1]DATABASE!T579-[1]DATABASE!W579-[1]DATABASE!U579-[1]DATABASE!V579)&gt;1),"Price Bridge Mismatch",""))</f>
        <v/>
      </c>
      <c r="H618" t="str">
        <f t="shared" ref="H618:H681" si="12">IF(LEN(E618&amp;F618&amp;G618)&gt;0,"REVIEW","PASS")</f>
        <v>PASS</v>
      </c>
      <c r="I618" s="90">
        <f>[1]DATABASE!T579</f>
        <v>930000</v>
      </c>
      <c r="J618" t="str">
        <f>[1]DATABASE!AC579</f>
        <v>Ana Damásio</v>
      </c>
    </row>
    <row r="619" spans="1:10" ht="13.95" customHeight="1" x14ac:dyDescent="0.3">
      <c r="A619">
        <f>ROW([1]DATABASE!A580)</f>
        <v>580</v>
      </c>
      <c r="B619" t="str">
        <f>[1]DATABASE!AJ580</f>
        <v>The Uncommon</v>
      </c>
      <c r="C619" t="str">
        <f>[1]DATABASE!C580</f>
        <v>216</v>
      </c>
      <c r="D619" t="str">
        <f>TRIM([1]DATABASE!Q580)</f>
        <v>AVAILABLE</v>
      </c>
      <c r="E619" s="82" t="str">
        <f>_xlfn.TEXTJOIN("; ",TRUE,IF([1]DATABASE!X580&lt;0,"Negative Discount",""),IF(AND([1]DATABASE!Y580&gt;[1]DATABASE!T580,[1]DATABASE!Y580&gt;0,[1]DATABASE!T580&gt;0),"Sell Price &gt; Current",""),IF(AND(TRIM([1]DATABASE!Q580)="DEED",[1]DATABASE!AA580=""),"Deeded no PSPA Date",""),IF([1]DATABASE!E580="","Missing Typology",""),IF([1]DATABASE!AJ580="","Missing Development",""))</f>
        <v/>
      </c>
      <c r="F619" s="82" t="str">
        <f>_xlfn.TEXTJOIN("; ",TRUE,IF(AND(OR(TRIM([1]DATABASE!Q580)="RESERVED",TRIM([1]DATABASE!Q580)="PRE-RESERVED",TRIM([1]DATABASE!Q580)="PSPA"),[1]DATABASE!AA580=""),"Reserved/PSPA no PSPA Date",""),IF(AND(TRIM([1]DATABASE!Q580)="AVAILABLE",[1]DATABASE!AA580&lt;&gt;""),"Available has PSPA Date",""))</f>
        <v/>
      </c>
      <c r="G619" s="82" t="str">
        <f>_xlfn.TEXTJOIN("; ",TRUE,IF(AND([1]DATABASE!T580&lt;0.8*[1]DATABASE!S580,[1]DATABASE!T580&gt;0,[1]DATABASE!S580&gt;0),"Heavy Price Cut &gt;20%",""),IF(AND(OR(TRIM([1]DATABASE!Q580)="AVAILABLE",TRIM([1]DATABASE!Q580)="UPON REQUEST"),OR([1]DATABASE!T580="",[1]DATABASE!T580=0)),"Active Unit no Price",""),IF(AND(OR(TRIM([1]DATABASE!Q580)="AVAILABLE",TRIM([1]DATABASE!Q580)="RESERVED",TRIM([1]DATABASE!Q580)="PRE-RESERVED",TRIM([1]DATABASE!Q580)="PSPA"),[1]DATABASE!AC580=""),"Active no Owner",""),IF(OR([1]DATABASE!F580="",[1]DATABASE!F580&lt;=0),"Missing/Invalid Area",""),IF(AND([1]DATABASE!T580&gt;0,ABS([1]DATABASE!T580-[1]DATABASE!W580-[1]DATABASE!U580-[1]DATABASE!V580)&gt;1),"Price Bridge Mismatch",""))</f>
        <v/>
      </c>
      <c r="H619" t="str">
        <f t="shared" si="12"/>
        <v>PASS</v>
      </c>
      <c r="I619" s="90">
        <f>[1]DATABASE!T580</f>
        <v>3740000</v>
      </c>
      <c r="J619" t="str">
        <f>[1]DATABASE!AC580</f>
        <v>Ana Damásio</v>
      </c>
    </row>
    <row r="620" spans="1:10" ht="13.95" customHeight="1" x14ac:dyDescent="0.3">
      <c r="A620">
        <f>ROW([1]DATABASE!A581)</f>
        <v>581</v>
      </c>
      <c r="B620" t="str">
        <f>[1]DATABASE!AJ581</f>
        <v>Springs - At the Els</v>
      </c>
      <c r="C620" t="str">
        <f>[1]DATABASE!C581</f>
        <v>22</v>
      </c>
      <c r="D620" t="str">
        <f>TRIM([1]DATABASE!Q581)</f>
        <v>AVAILABLE</v>
      </c>
      <c r="E620" s="82" t="str">
        <f>_xlfn.TEXTJOIN("; ",TRUE,IF([1]DATABASE!X581&lt;0,"Negative Discount",""),IF(AND([1]DATABASE!Y581&gt;[1]DATABASE!T581,[1]DATABASE!Y581&gt;0,[1]DATABASE!T581&gt;0),"Sell Price &gt; Current",""),IF(AND(TRIM([1]DATABASE!Q581)="DEED",[1]DATABASE!AA581=""),"Deeded no PSPA Date",""),IF([1]DATABASE!E581="","Missing Typology",""),IF([1]DATABASE!AJ581="","Missing Development",""))</f>
        <v/>
      </c>
      <c r="F620" s="82" t="str">
        <f>_xlfn.TEXTJOIN("; ",TRUE,IF(AND(OR(TRIM([1]DATABASE!Q581)="RESERVED",TRIM([1]DATABASE!Q581)="PRE-RESERVED",TRIM([1]DATABASE!Q581)="PSPA"),[1]DATABASE!AA581=""),"Reserved/PSPA no PSPA Date",""),IF(AND(TRIM([1]DATABASE!Q581)="AVAILABLE",[1]DATABASE!AA581&lt;&gt;""),"Available has PSPA Date",""))</f>
        <v/>
      </c>
      <c r="G620" s="82" t="str">
        <f>_xlfn.TEXTJOIN("; ",TRUE,IF(AND([1]DATABASE!T581&lt;0.8*[1]DATABASE!S581,[1]DATABASE!T581&gt;0,[1]DATABASE!S581&gt;0),"Heavy Price Cut &gt;20%",""),IF(AND(OR(TRIM([1]DATABASE!Q581)="AVAILABLE",TRIM([1]DATABASE!Q581)="UPON REQUEST"),OR([1]DATABASE!T581="",[1]DATABASE!T581=0)),"Active Unit no Price",""),IF(AND(OR(TRIM([1]DATABASE!Q581)="AVAILABLE",TRIM([1]DATABASE!Q581)="RESERVED",TRIM([1]DATABASE!Q581)="PRE-RESERVED",TRIM([1]DATABASE!Q581)="PSPA"),[1]DATABASE!AC581=""),"Active no Owner",""),IF(OR([1]DATABASE!F581="",[1]DATABASE!F581&lt;=0),"Missing/Invalid Area",""),IF(AND([1]DATABASE!T581&gt;0,ABS([1]DATABASE!T581-[1]DATABASE!W581-[1]DATABASE!U581-[1]DATABASE!V581)&gt;1),"Price Bridge Mismatch",""))</f>
        <v>Heavy Price Cut &gt;20%</v>
      </c>
      <c r="H620" t="str">
        <f t="shared" si="12"/>
        <v>REVIEW</v>
      </c>
      <c r="I620" s="90">
        <f>[1]DATABASE!T581</f>
        <v>650000</v>
      </c>
      <c r="J620" t="str">
        <f>[1]DATABASE!AC581</f>
        <v>Ana Damásio</v>
      </c>
    </row>
    <row r="621" spans="1:10" ht="13.95" customHeight="1" x14ac:dyDescent="0.3">
      <c r="A621">
        <f>ROW([1]DATABASE!A582)</f>
        <v>582</v>
      </c>
      <c r="B621" t="str">
        <f>[1]DATABASE!AJ582</f>
        <v>Springs - At the Els</v>
      </c>
      <c r="C621" t="str">
        <f>[1]DATABASE!C582</f>
        <v>3</v>
      </c>
      <c r="D621" t="str">
        <f>TRIM([1]DATABASE!Q582)</f>
        <v>AVAILABLE</v>
      </c>
      <c r="E621" s="82" t="str">
        <f>_xlfn.TEXTJOIN("; ",TRUE,IF([1]DATABASE!X582&lt;0,"Negative Discount",""),IF(AND([1]DATABASE!Y582&gt;[1]DATABASE!T582,[1]DATABASE!Y582&gt;0,[1]DATABASE!T582&gt;0),"Sell Price &gt; Current",""),IF(AND(TRIM([1]DATABASE!Q582)="DEED",[1]DATABASE!AA582=""),"Deeded no PSPA Date",""),IF([1]DATABASE!E582="","Missing Typology",""),IF([1]DATABASE!AJ582="","Missing Development",""))</f>
        <v/>
      </c>
      <c r="F621" s="82" t="str">
        <f>_xlfn.TEXTJOIN("; ",TRUE,IF(AND(OR(TRIM([1]DATABASE!Q582)="RESERVED",TRIM([1]DATABASE!Q582)="PRE-RESERVED",TRIM([1]DATABASE!Q582)="PSPA"),[1]DATABASE!AA582=""),"Reserved/PSPA no PSPA Date",""),IF(AND(TRIM([1]DATABASE!Q582)="AVAILABLE",[1]DATABASE!AA582&lt;&gt;""),"Available has PSPA Date",""))</f>
        <v/>
      </c>
      <c r="G621" s="82" t="str">
        <f>_xlfn.TEXTJOIN("; ",TRUE,IF(AND([1]DATABASE!T582&lt;0.8*[1]DATABASE!S582,[1]DATABASE!T582&gt;0,[1]DATABASE!S582&gt;0),"Heavy Price Cut &gt;20%",""),IF(AND(OR(TRIM([1]DATABASE!Q582)="AVAILABLE",TRIM([1]DATABASE!Q582)="UPON REQUEST"),OR([1]DATABASE!T582="",[1]DATABASE!T582=0)),"Active Unit no Price",""),IF(AND(OR(TRIM([1]DATABASE!Q582)="AVAILABLE",TRIM([1]DATABASE!Q582)="RESERVED",TRIM([1]DATABASE!Q582)="PRE-RESERVED",TRIM([1]DATABASE!Q582)="PSPA"),[1]DATABASE!AC582=""),"Active no Owner",""),IF(OR([1]DATABASE!F582="",[1]DATABASE!F582&lt;=0),"Missing/Invalid Area",""),IF(AND([1]DATABASE!T582&gt;0,ABS([1]DATABASE!T582-[1]DATABASE!W582-[1]DATABASE!U582-[1]DATABASE!V582)&gt;1),"Price Bridge Mismatch",""))</f>
        <v/>
      </c>
      <c r="H621" t="str">
        <f t="shared" si="12"/>
        <v>PASS</v>
      </c>
      <c r="I621" s="90">
        <f>[1]DATABASE!T582</f>
        <v>2390000</v>
      </c>
      <c r="J621" t="str">
        <f>[1]DATABASE!AC582</f>
        <v>Ana Damásio</v>
      </c>
    </row>
    <row r="622" spans="1:10" ht="13.95" customHeight="1" x14ac:dyDescent="0.3">
      <c r="A622">
        <f>ROW([1]DATABASE!A583)</f>
        <v>583</v>
      </c>
      <c r="B622" t="str">
        <f>[1]DATABASE!AJ583</f>
        <v>Palmares</v>
      </c>
      <c r="C622" t="str">
        <f>[1]DATABASE!C583</f>
        <v>5A</v>
      </c>
      <c r="D622" t="str">
        <f>TRIM([1]DATABASE!Q583)</f>
        <v>AVAILABLE</v>
      </c>
      <c r="E622" s="82" t="str">
        <f>_xlfn.TEXTJOIN("; ",TRUE,IF([1]DATABASE!X583&lt;0,"Negative Discount",""),IF(AND([1]DATABASE!Y583&gt;[1]DATABASE!T583,[1]DATABASE!Y583&gt;0,[1]DATABASE!T583&gt;0),"Sell Price &gt; Current",""),IF(AND(TRIM([1]DATABASE!Q583)="DEED",[1]DATABASE!AA583=""),"Deeded no PSPA Date",""),IF([1]DATABASE!E583="","Missing Typology",""),IF([1]DATABASE!AJ583="","Missing Development",""))</f>
        <v/>
      </c>
      <c r="F622" s="82" t="str">
        <f>_xlfn.TEXTJOIN("; ",TRUE,IF(AND(OR(TRIM([1]DATABASE!Q583)="RESERVED",TRIM([1]DATABASE!Q583)="PRE-RESERVED",TRIM([1]DATABASE!Q583)="PSPA"),[1]DATABASE!AA583=""),"Reserved/PSPA no PSPA Date",""),IF(AND(TRIM([1]DATABASE!Q583)="AVAILABLE",[1]DATABASE!AA583&lt;&gt;""),"Available has PSPA Date",""))</f>
        <v/>
      </c>
      <c r="G622" s="82" t="str">
        <f>_xlfn.TEXTJOIN("; ",TRUE,IF(AND([1]DATABASE!T583&lt;0.8*[1]DATABASE!S583,[1]DATABASE!T583&gt;0,[1]DATABASE!S583&gt;0),"Heavy Price Cut &gt;20%",""),IF(AND(OR(TRIM([1]DATABASE!Q583)="AVAILABLE",TRIM([1]DATABASE!Q583)="UPON REQUEST"),OR([1]DATABASE!T583="",[1]DATABASE!T583=0)),"Active Unit no Price",""),IF(AND(OR(TRIM([1]DATABASE!Q583)="AVAILABLE",TRIM([1]DATABASE!Q583)="RESERVED",TRIM([1]DATABASE!Q583)="PRE-RESERVED",TRIM([1]DATABASE!Q583)="PSPA"),[1]DATABASE!AC583=""),"Active no Owner",""),IF(OR([1]DATABASE!F583="",[1]DATABASE!F583&lt;=0),"Missing/Invalid Area",""),IF(AND([1]DATABASE!T583&gt;0,ABS([1]DATABASE!T583-[1]DATABASE!W583-[1]DATABASE!U583-[1]DATABASE!V583)&gt;1),"Price Bridge Mismatch",""))</f>
        <v>Active no Owner</v>
      </c>
      <c r="H622" t="str">
        <f t="shared" si="12"/>
        <v>REVIEW</v>
      </c>
      <c r="I622" s="90">
        <f>[1]DATABASE!T583</f>
        <v>640000</v>
      </c>
      <c r="J622">
        <f>[1]DATABASE!AC583</f>
        <v>0</v>
      </c>
    </row>
    <row r="623" spans="1:10" ht="13.95" customHeight="1" x14ac:dyDescent="0.3">
      <c r="A623">
        <f>ROW([1]DATABASE!A584)</f>
        <v>584</v>
      </c>
      <c r="B623" t="str">
        <f>[1]DATABASE!AJ584</f>
        <v>The Uncommon</v>
      </c>
      <c r="C623" t="str">
        <f>[1]DATABASE!C584</f>
        <v>3</v>
      </c>
      <c r="D623" t="str">
        <f>TRIM([1]DATABASE!Q584)</f>
        <v>AVAILABLE</v>
      </c>
      <c r="E623" s="82" t="str">
        <f>_xlfn.TEXTJOIN("; ",TRUE,IF([1]DATABASE!X584&lt;0,"Negative Discount",""),IF(AND([1]DATABASE!Y584&gt;[1]DATABASE!T584,[1]DATABASE!Y584&gt;0,[1]DATABASE!T584&gt;0),"Sell Price &gt; Current",""),IF(AND(TRIM([1]DATABASE!Q584)="DEED",[1]DATABASE!AA584=""),"Deeded no PSPA Date",""),IF([1]DATABASE!E584="","Missing Typology",""),IF([1]DATABASE!AJ584="","Missing Development",""))</f>
        <v/>
      </c>
      <c r="F623" s="82" t="str">
        <f>_xlfn.TEXTJOIN("; ",TRUE,IF(AND(OR(TRIM([1]DATABASE!Q584)="RESERVED",TRIM([1]DATABASE!Q584)="PRE-RESERVED",TRIM([1]DATABASE!Q584)="PSPA"),[1]DATABASE!AA584=""),"Reserved/PSPA no PSPA Date",""),IF(AND(TRIM([1]DATABASE!Q584)="AVAILABLE",[1]DATABASE!AA584&lt;&gt;""),"Available has PSPA Date",""))</f>
        <v/>
      </c>
      <c r="G623" s="82" t="str">
        <f>_xlfn.TEXTJOIN("; ",TRUE,IF(AND([1]DATABASE!T584&lt;0.8*[1]DATABASE!S584,[1]DATABASE!T584&gt;0,[1]DATABASE!S584&gt;0),"Heavy Price Cut &gt;20%",""),IF(AND(OR(TRIM([1]DATABASE!Q584)="AVAILABLE",TRIM([1]DATABASE!Q584)="UPON REQUEST"),OR([1]DATABASE!T584="",[1]DATABASE!T584=0)),"Active Unit no Price",""),IF(AND(OR(TRIM([1]DATABASE!Q584)="AVAILABLE",TRIM([1]DATABASE!Q584)="RESERVED",TRIM([1]DATABASE!Q584)="PRE-RESERVED",TRIM([1]DATABASE!Q584)="PSPA"),[1]DATABASE!AC584=""),"Active no Owner",""),IF(OR([1]DATABASE!F584="",[1]DATABASE!F584&lt;=0),"Missing/Invalid Area",""),IF(AND([1]DATABASE!T584&gt;0,ABS([1]DATABASE!T584-[1]DATABASE!W584-[1]DATABASE!U584-[1]DATABASE!V584)&gt;1),"Price Bridge Mismatch",""))</f>
        <v/>
      </c>
      <c r="H623" t="str">
        <f t="shared" si="12"/>
        <v>PASS</v>
      </c>
      <c r="I623" s="90">
        <f>[1]DATABASE!T584</f>
        <v>1100000</v>
      </c>
      <c r="J623" t="str">
        <f>[1]DATABASE!AC584</f>
        <v>Ana Damásio</v>
      </c>
    </row>
    <row r="624" spans="1:10" ht="13.95" customHeight="1" x14ac:dyDescent="0.3">
      <c r="A624">
        <f>ROW([1]DATABASE!A585)</f>
        <v>585</v>
      </c>
      <c r="B624" t="str">
        <f>[1]DATABASE!AJ585</f>
        <v>The Uncommon</v>
      </c>
      <c r="C624" t="str">
        <f>[1]DATABASE!C585</f>
        <v>301</v>
      </c>
      <c r="D624" t="str">
        <f>TRIM([1]DATABASE!Q585)</f>
        <v>AVAILABLE</v>
      </c>
      <c r="E624" s="82" t="str">
        <f>_xlfn.TEXTJOIN("; ",TRUE,IF([1]DATABASE!X585&lt;0,"Negative Discount",""),IF(AND([1]DATABASE!Y585&gt;[1]DATABASE!T585,[1]DATABASE!Y585&gt;0,[1]DATABASE!T585&gt;0),"Sell Price &gt; Current",""),IF(AND(TRIM([1]DATABASE!Q585)="DEED",[1]DATABASE!AA585=""),"Deeded no PSPA Date",""),IF([1]DATABASE!E585="","Missing Typology",""),IF([1]DATABASE!AJ585="","Missing Development",""))</f>
        <v/>
      </c>
      <c r="F624" s="82" t="str">
        <f>_xlfn.TEXTJOIN("; ",TRUE,IF(AND(OR(TRIM([1]DATABASE!Q585)="RESERVED",TRIM([1]DATABASE!Q585)="PRE-RESERVED",TRIM([1]DATABASE!Q585)="PSPA"),[1]DATABASE!AA585=""),"Reserved/PSPA no PSPA Date",""),IF(AND(TRIM([1]DATABASE!Q585)="AVAILABLE",[1]DATABASE!AA585&lt;&gt;""),"Available has PSPA Date",""))</f>
        <v/>
      </c>
      <c r="G624" s="82" t="str">
        <f>_xlfn.TEXTJOIN("; ",TRUE,IF(AND([1]DATABASE!T585&lt;0.8*[1]DATABASE!S585,[1]DATABASE!T585&gt;0,[1]DATABASE!S585&gt;0),"Heavy Price Cut &gt;20%",""),IF(AND(OR(TRIM([1]DATABASE!Q585)="AVAILABLE",TRIM([1]DATABASE!Q585)="UPON REQUEST"),OR([1]DATABASE!T585="",[1]DATABASE!T585=0)),"Active Unit no Price",""),IF(AND(OR(TRIM([1]DATABASE!Q585)="AVAILABLE",TRIM([1]DATABASE!Q585)="RESERVED",TRIM([1]DATABASE!Q585)="PRE-RESERVED",TRIM([1]DATABASE!Q585)="PSPA"),[1]DATABASE!AC585=""),"Active no Owner",""),IF(OR([1]DATABASE!F585="",[1]DATABASE!F585&lt;=0),"Missing/Invalid Area",""),IF(AND([1]DATABASE!T585&gt;0,ABS([1]DATABASE!T585-[1]DATABASE!W585-[1]DATABASE!U585-[1]DATABASE!V585)&gt;1),"Price Bridge Mismatch",""))</f>
        <v/>
      </c>
      <c r="H624" t="str">
        <f t="shared" si="12"/>
        <v>PASS</v>
      </c>
      <c r="I624" s="90">
        <f>[1]DATABASE!T585</f>
        <v>2270000</v>
      </c>
      <c r="J624" t="str">
        <f>[1]DATABASE!AC585</f>
        <v>Ana Damásio</v>
      </c>
    </row>
    <row r="625" spans="1:10" ht="13.95" customHeight="1" x14ac:dyDescent="0.3">
      <c r="A625">
        <f>ROW([1]DATABASE!A586)</f>
        <v>586</v>
      </c>
      <c r="B625" t="str">
        <f>[1]DATABASE!AJ586</f>
        <v>The Uncommon</v>
      </c>
      <c r="C625" t="str">
        <f>[1]DATABASE!C586</f>
        <v>302</v>
      </c>
      <c r="D625" t="str">
        <f>TRIM([1]DATABASE!Q586)</f>
        <v>AVAILABLE</v>
      </c>
      <c r="E625" s="82" t="str">
        <f>_xlfn.TEXTJOIN("; ",TRUE,IF([1]DATABASE!X586&lt;0,"Negative Discount",""),IF(AND([1]DATABASE!Y586&gt;[1]DATABASE!T586,[1]DATABASE!Y586&gt;0,[1]DATABASE!T586&gt;0),"Sell Price &gt; Current",""),IF(AND(TRIM([1]DATABASE!Q586)="DEED",[1]DATABASE!AA586=""),"Deeded no PSPA Date",""),IF([1]DATABASE!E586="","Missing Typology",""),IF([1]DATABASE!AJ586="","Missing Development",""))</f>
        <v/>
      </c>
      <c r="F625" s="82" t="str">
        <f>_xlfn.TEXTJOIN("; ",TRUE,IF(AND(OR(TRIM([1]DATABASE!Q586)="RESERVED",TRIM([1]DATABASE!Q586)="PRE-RESERVED",TRIM([1]DATABASE!Q586)="PSPA"),[1]DATABASE!AA586=""),"Reserved/PSPA no PSPA Date",""),IF(AND(TRIM([1]DATABASE!Q586)="AVAILABLE",[1]DATABASE!AA586&lt;&gt;""),"Available has PSPA Date",""))</f>
        <v/>
      </c>
      <c r="G625" s="82" t="str">
        <f>_xlfn.TEXTJOIN("; ",TRUE,IF(AND([1]DATABASE!T586&lt;0.8*[1]DATABASE!S586,[1]DATABASE!T586&gt;0,[1]DATABASE!S586&gt;0),"Heavy Price Cut &gt;20%",""),IF(AND(OR(TRIM([1]DATABASE!Q586)="AVAILABLE",TRIM([1]DATABASE!Q586)="UPON REQUEST"),OR([1]DATABASE!T586="",[1]DATABASE!T586=0)),"Active Unit no Price",""),IF(AND(OR(TRIM([1]DATABASE!Q586)="AVAILABLE",TRIM([1]DATABASE!Q586)="RESERVED",TRIM([1]DATABASE!Q586)="PRE-RESERVED",TRIM([1]DATABASE!Q586)="PSPA"),[1]DATABASE!AC586=""),"Active no Owner",""),IF(OR([1]DATABASE!F586="",[1]DATABASE!F586&lt;=0),"Missing/Invalid Area",""),IF(AND([1]DATABASE!T586&gt;0,ABS([1]DATABASE!T586-[1]DATABASE!W586-[1]DATABASE!U586-[1]DATABASE!V586)&gt;1),"Price Bridge Mismatch",""))</f>
        <v/>
      </c>
      <c r="H625" t="str">
        <f t="shared" si="12"/>
        <v>PASS</v>
      </c>
      <c r="I625" s="90">
        <f>[1]DATABASE!T586</f>
        <v>1240000</v>
      </c>
      <c r="J625" t="str">
        <f>[1]DATABASE!AC586</f>
        <v>Ana Damásio</v>
      </c>
    </row>
    <row r="626" spans="1:10" ht="13.95" customHeight="1" x14ac:dyDescent="0.3">
      <c r="A626">
        <f>ROW([1]DATABASE!A587)</f>
        <v>587</v>
      </c>
      <c r="B626" t="str">
        <f>[1]DATABASE!AJ587</f>
        <v>The Uncommon</v>
      </c>
      <c r="C626" t="str">
        <f>[1]DATABASE!C587</f>
        <v>303</v>
      </c>
      <c r="D626" t="str">
        <f>TRIM([1]DATABASE!Q587)</f>
        <v>AVAILABLE</v>
      </c>
      <c r="E626" s="82" t="str">
        <f>_xlfn.TEXTJOIN("; ",TRUE,IF([1]DATABASE!X587&lt;0,"Negative Discount",""),IF(AND([1]DATABASE!Y587&gt;[1]DATABASE!T587,[1]DATABASE!Y587&gt;0,[1]DATABASE!T587&gt;0),"Sell Price &gt; Current",""),IF(AND(TRIM([1]DATABASE!Q587)="DEED",[1]DATABASE!AA587=""),"Deeded no PSPA Date",""),IF([1]DATABASE!E587="","Missing Typology",""),IF([1]DATABASE!AJ587="","Missing Development",""))</f>
        <v/>
      </c>
      <c r="F626" s="82" t="str">
        <f>_xlfn.TEXTJOIN("; ",TRUE,IF(AND(OR(TRIM([1]DATABASE!Q587)="RESERVED",TRIM([1]DATABASE!Q587)="PRE-RESERVED",TRIM([1]DATABASE!Q587)="PSPA"),[1]DATABASE!AA587=""),"Reserved/PSPA no PSPA Date",""),IF(AND(TRIM([1]DATABASE!Q587)="AVAILABLE",[1]DATABASE!AA587&lt;&gt;""),"Available has PSPA Date",""))</f>
        <v/>
      </c>
      <c r="G626" s="82" t="str">
        <f>_xlfn.TEXTJOIN("; ",TRUE,IF(AND([1]DATABASE!T587&lt;0.8*[1]DATABASE!S587,[1]DATABASE!T587&gt;0,[1]DATABASE!S587&gt;0),"Heavy Price Cut &gt;20%",""),IF(AND(OR(TRIM([1]DATABASE!Q587)="AVAILABLE",TRIM([1]DATABASE!Q587)="UPON REQUEST"),OR([1]DATABASE!T587="",[1]DATABASE!T587=0)),"Active Unit no Price",""),IF(AND(OR(TRIM([1]DATABASE!Q587)="AVAILABLE",TRIM([1]DATABASE!Q587)="RESERVED",TRIM([1]DATABASE!Q587)="PRE-RESERVED",TRIM([1]DATABASE!Q587)="PSPA"),[1]DATABASE!AC587=""),"Active no Owner",""),IF(OR([1]DATABASE!F587="",[1]DATABASE!F587&lt;=0),"Missing/Invalid Area",""),IF(AND([1]DATABASE!T587&gt;0,ABS([1]DATABASE!T587-[1]DATABASE!W587-[1]DATABASE!U587-[1]DATABASE!V587)&gt;1),"Price Bridge Mismatch",""))</f>
        <v/>
      </c>
      <c r="H626" t="str">
        <f t="shared" si="12"/>
        <v>PASS</v>
      </c>
      <c r="I626" s="90">
        <f>[1]DATABASE!T587</f>
        <v>1160000</v>
      </c>
      <c r="J626" t="str">
        <f>[1]DATABASE!AC587</f>
        <v>Ana Damásio</v>
      </c>
    </row>
    <row r="627" spans="1:10" ht="13.95" customHeight="1" x14ac:dyDescent="0.3">
      <c r="A627">
        <f>ROW([1]DATABASE!A588)</f>
        <v>588</v>
      </c>
      <c r="B627" t="str">
        <f>[1]DATABASE!AJ588</f>
        <v>The Uncommon</v>
      </c>
      <c r="C627" t="str">
        <f>[1]DATABASE!C588</f>
        <v>304</v>
      </c>
      <c r="D627" t="str">
        <f>TRIM([1]DATABASE!Q588)</f>
        <v>AVAILABLE</v>
      </c>
      <c r="E627" s="82" t="str">
        <f>_xlfn.TEXTJOIN("; ",TRUE,IF([1]DATABASE!X588&lt;0,"Negative Discount",""),IF(AND([1]DATABASE!Y588&gt;[1]DATABASE!T588,[1]DATABASE!Y588&gt;0,[1]DATABASE!T588&gt;0),"Sell Price &gt; Current",""),IF(AND(TRIM([1]DATABASE!Q588)="DEED",[1]DATABASE!AA588=""),"Deeded no PSPA Date",""),IF([1]DATABASE!E588="","Missing Typology",""),IF([1]DATABASE!AJ588="","Missing Development",""))</f>
        <v/>
      </c>
      <c r="F627" s="82" t="str">
        <f>_xlfn.TEXTJOIN("; ",TRUE,IF(AND(OR(TRIM([1]DATABASE!Q588)="RESERVED",TRIM([1]DATABASE!Q588)="PRE-RESERVED",TRIM([1]DATABASE!Q588)="PSPA"),[1]DATABASE!AA588=""),"Reserved/PSPA no PSPA Date",""),IF(AND(TRIM([1]DATABASE!Q588)="AVAILABLE",[1]DATABASE!AA588&lt;&gt;""),"Available has PSPA Date",""))</f>
        <v/>
      </c>
      <c r="G627" s="82" t="str">
        <f>_xlfn.TEXTJOIN("; ",TRUE,IF(AND([1]DATABASE!T588&lt;0.8*[1]DATABASE!S588,[1]DATABASE!T588&gt;0,[1]DATABASE!S588&gt;0),"Heavy Price Cut &gt;20%",""),IF(AND(OR(TRIM([1]DATABASE!Q588)="AVAILABLE",TRIM([1]DATABASE!Q588)="UPON REQUEST"),OR([1]DATABASE!T588="",[1]DATABASE!T588=0)),"Active Unit no Price",""),IF(AND(OR(TRIM([1]DATABASE!Q588)="AVAILABLE",TRIM([1]DATABASE!Q588)="RESERVED",TRIM([1]DATABASE!Q588)="PRE-RESERVED",TRIM([1]DATABASE!Q588)="PSPA"),[1]DATABASE!AC588=""),"Active no Owner",""),IF(OR([1]DATABASE!F588="",[1]DATABASE!F588&lt;=0),"Missing/Invalid Area",""),IF(AND([1]DATABASE!T588&gt;0,ABS([1]DATABASE!T588-[1]DATABASE!W588-[1]DATABASE!U588-[1]DATABASE!V588)&gt;1),"Price Bridge Mismatch",""))</f>
        <v/>
      </c>
      <c r="H627" t="str">
        <f t="shared" si="12"/>
        <v>PASS</v>
      </c>
      <c r="I627" s="90">
        <f>[1]DATABASE!T588</f>
        <v>1070000</v>
      </c>
      <c r="J627" t="str">
        <f>[1]DATABASE!AC588</f>
        <v>Ana Damásio</v>
      </c>
    </row>
    <row r="628" spans="1:10" ht="13.95" customHeight="1" x14ac:dyDescent="0.3">
      <c r="A628">
        <f>ROW([1]DATABASE!A589)</f>
        <v>589</v>
      </c>
      <c r="B628" t="str">
        <f>[1]DATABASE!AJ589</f>
        <v>The Uncommon</v>
      </c>
      <c r="C628" t="str">
        <f>[1]DATABASE!C589</f>
        <v>305</v>
      </c>
      <c r="D628" t="str">
        <f>TRIM([1]DATABASE!Q589)</f>
        <v>AVAILABLE</v>
      </c>
      <c r="E628" s="82" t="str">
        <f>_xlfn.TEXTJOIN("; ",TRUE,IF([1]DATABASE!X589&lt;0,"Negative Discount",""),IF(AND([1]DATABASE!Y589&gt;[1]DATABASE!T589,[1]DATABASE!Y589&gt;0,[1]DATABASE!T589&gt;0),"Sell Price &gt; Current",""),IF(AND(TRIM([1]DATABASE!Q589)="DEED",[1]DATABASE!AA589=""),"Deeded no PSPA Date",""),IF([1]DATABASE!E589="","Missing Typology",""),IF([1]DATABASE!AJ589="","Missing Development",""))</f>
        <v/>
      </c>
      <c r="F628" s="82" t="str">
        <f>_xlfn.TEXTJOIN("; ",TRUE,IF(AND(OR(TRIM([1]DATABASE!Q589)="RESERVED",TRIM([1]DATABASE!Q589)="PRE-RESERVED",TRIM([1]DATABASE!Q589)="PSPA"),[1]DATABASE!AA589=""),"Reserved/PSPA no PSPA Date",""),IF(AND(TRIM([1]DATABASE!Q589)="AVAILABLE",[1]DATABASE!AA589&lt;&gt;""),"Available has PSPA Date",""))</f>
        <v/>
      </c>
      <c r="G628" s="82" t="str">
        <f>_xlfn.TEXTJOIN("; ",TRUE,IF(AND([1]DATABASE!T589&lt;0.8*[1]DATABASE!S589,[1]DATABASE!T589&gt;0,[1]DATABASE!S589&gt;0),"Heavy Price Cut &gt;20%",""),IF(AND(OR(TRIM([1]DATABASE!Q589)="AVAILABLE",TRIM([1]DATABASE!Q589)="UPON REQUEST"),OR([1]DATABASE!T589="",[1]DATABASE!T589=0)),"Active Unit no Price",""),IF(AND(OR(TRIM([1]DATABASE!Q589)="AVAILABLE",TRIM([1]DATABASE!Q589)="RESERVED",TRIM([1]DATABASE!Q589)="PRE-RESERVED",TRIM([1]DATABASE!Q589)="PSPA"),[1]DATABASE!AC589=""),"Active no Owner",""),IF(OR([1]DATABASE!F589="",[1]DATABASE!F589&lt;=0),"Missing/Invalid Area",""),IF(AND([1]DATABASE!T589&gt;0,ABS([1]DATABASE!T589-[1]DATABASE!W589-[1]DATABASE!U589-[1]DATABASE!V589)&gt;1),"Price Bridge Mismatch",""))</f>
        <v/>
      </c>
      <c r="H628" t="str">
        <f t="shared" si="12"/>
        <v>PASS</v>
      </c>
      <c r="I628" s="90">
        <f>[1]DATABASE!T589</f>
        <v>1160000</v>
      </c>
      <c r="J628" t="str">
        <f>[1]DATABASE!AC589</f>
        <v>Ana Damásio</v>
      </c>
    </row>
    <row r="629" spans="1:10" ht="13.95" customHeight="1" x14ac:dyDescent="0.3">
      <c r="A629">
        <f>ROW([1]DATABASE!A590)</f>
        <v>590</v>
      </c>
      <c r="B629" t="str">
        <f>[1]DATABASE!AJ590</f>
        <v>Palmares</v>
      </c>
      <c r="C629" t="str">
        <f>[1]DATABASE!C590</f>
        <v>6A</v>
      </c>
      <c r="D629" t="str">
        <f>TRIM([1]DATABASE!Q590)</f>
        <v>AVAILABLE</v>
      </c>
      <c r="E629" s="82" t="str">
        <f>_xlfn.TEXTJOIN("; ",TRUE,IF([1]DATABASE!X590&lt;0,"Negative Discount",""),IF(AND([1]DATABASE!Y590&gt;[1]DATABASE!T590,[1]DATABASE!Y590&gt;0,[1]DATABASE!T590&gt;0),"Sell Price &gt; Current",""),IF(AND(TRIM([1]DATABASE!Q590)="DEED",[1]DATABASE!AA590=""),"Deeded no PSPA Date",""),IF([1]DATABASE!E590="","Missing Typology",""),IF([1]DATABASE!AJ590="","Missing Development",""))</f>
        <v/>
      </c>
      <c r="F629" s="82" t="str">
        <f>_xlfn.TEXTJOIN("; ",TRUE,IF(AND(OR(TRIM([1]DATABASE!Q590)="RESERVED",TRIM([1]DATABASE!Q590)="PRE-RESERVED",TRIM([1]DATABASE!Q590)="PSPA"),[1]DATABASE!AA590=""),"Reserved/PSPA no PSPA Date",""),IF(AND(TRIM([1]DATABASE!Q590)="AVAILABLE",[1]DATABASE!AA590&lt;&gt;""),"Available has PSPA Date",""))</f>
        <v/>
      </c>
      <c r="G629" s="82" t="str">
        <f>_xlfn.TEXTJOIN("; ",TRUE,IF(AND([1]DATABASE!T590&lt;0.8*[1]DATABASE!S590,[1]DATABASE!T590&gt;0,[1]DATABASE!S590&gt;0),"Heavy Price Cut &gt;20%",""),IF(AND(OR(TRIM([1]DATABASE!Q590)="AVAILABLE",TRIM([1]DATABASE!Q590)="UPON REQUEST"),OR([1]DATABASE!T590="",[1]DATABASE!T590=0)),"Active Unit no Price",""),IF(AND(OR(TRIM([1]DATABASE!Q590)="AVAILABLE",TRIM([1]DATABASE!Q590)="RESERVED",TRIM([1]DATABASE!Q590)="PRE-RESERVED",TRIM([1]DATABASE!Q590)="PSPA"),[1]DATABASE!AC590=""),"Active no Owner",""),IF(OR([1]DATABASE!F590="",[1]DATABASE!F590&lt;=0),"Missing/Invalid Area",""),IF(AND([1]DATABASE!T590&gt;0,ABS([1]DATABASE!T590-[1]DATABASE!W590-[1]DATABASE!U590-[1]DATABASE!V590)&gt;1),"Price Bridge Mismatch",""))</f>
        <v>Active no Owner</v>
      </c>
      <c r="H629" t="str">
        <f t="shared" si="12"/>
        <v>REVIEW</v>
      </c>
      <c r="I629" s="90">
        <f>[1]DATABASE!T590</f>
        <v>660000</v>
      </c>
      <c r="J629">
        <f>[1]DATABASE!AC590</f>
        <v>0</v>
      </c>
    </row>
    <row r="630" spans="1:10" ht="13.95" customHeight="1" x14ac:dyDescent="0.3">
      <c r="A630">
        <f>ROW([1]DATABASE!A591)</f>
        <v>591</v>
      </c>
      <c r="B630" t="str">
        <f>[1]DATABASE!AJ591</f>
        <v>Palmares</v>
      </c>
      <c r="C630" t="str">
        <f>[1]DATABASE!C591</f>
        <v>95</v>
      </c>
      <c r="D630" t="str">
        <f>TRIM([1]DATABASE!Q591)</f>
        <v>AVAILABLE</v>
      </c>
      <c r="E630" s="82" t="str">
        <f>_xlfn.TEXTJOIN("; ",TRUE,IF([1]DATABASE!X591&lt;0,"Negative Discount",""),IF(AND([1]DATABASE!Y591&gt;[1]DATABASE!T591,[1]DATABASE!Y591&gt;0,[1]DATABASE!T591&gt;0),"Sell Price &gt; Current",""),IF(AND(TRIM([1]DATABASE!Q591)="DEED",[1]DATABASE!AA591=""),"Deeded no PSPA Date",""),IF([1]DATABASE!E591="","Missing Typology",""),IF([1]DATABASE!AJ591="","Missing Development",""))</f>
        <v/>
      </c>
      <c r="F630" s="82" t="str">
        <f>_xlfn.TEXTJOIN("; ",TRUE,IF(AND(OR(TRIM([1]DATABASE!Q591)="RESERVED",TRIM([1]DATABASE!Q591)="PRE-RESERVED",TRIM([1]DATABASE!Q591)="PSPA"),[1]DATABASE!AA591=""),"Reserved/PSPA no PSPA Date",""),IF(AND(TRIM([1]DATABASE!Q591)="AVAILABLE",[1]DATABASE!AA591&lt;&gt;""),"Available has PSPA Date",""))</f>
        <v/>
      </c>
      <c r="G630" s="82" t="str">
        <f>_xlfn.TEXTJOIN("; ",TRUE,IF(AND([1]DATABASE!T591&lt;0.8*[1]DATABASE!S591,[1]DATABASE!T591&gt;0,[1]DATABASE!S591&gt;0),"Heavy Price Cut &gt;20%",""),IF(AND(OR(TRIM([1]DATABASE!Q591)="AVAILABLE",TRIM([1]DATABASE!Q591)="UPON REQUEST"),OR([1]DATABASE!T591="",[1]DATABASE!T591=0)),"Active Unit no Price",""),IF(AND(OR(TRIM([1]DATABASE!Q591)="AVAILABLE",TRIM([1]DATABASE!Q591)="RESERVED",TRIM([1]DATABASE!Q591)="PRE-RESERVED",TRIM([1]DATABASE!Q591)="PSPA"),[1]DATABASE!AC591=""),"Active no Owner",""),IF(OR([1]DATABASE!F591="",[1]DATABASE!F591&lt;=0),"Missing/Invalid Area",""),IF(AND([1]DATABASE!T591&gt;0,ABS([1]DATABASE!T591-[1]DATABASE!W591-[1]DATABASE!U591-[1]DATABASE!V591)&gt;1),"Price Bridge Mismatch",""))</f>
        <v/>
      </c>
      <c r="H630" t="str">
        <f t="shared" si="12"/>
        <v>PASS</v>
      </c>
      <c r="I630" s="90">
        <f>[1]DATABASE!T591</f>
        <v>1300000</v>
      </c>
      <c r="J630" t="str">
        <f>[1]DATABASE!AC591</f>
        <v>Sandra Viegas</v>
      </c>
    </row>
    <row r="631" spans="1:10" ht="13.95" customHeight="1" x14ac:dyDescent="0.3">
      <c r="A631">
        <f>ROW([1]DATABASE!A592)</f>
        <v>592</v>
      </c>
      <c r="B631" t="str">
        <f>[1]DATABASE!AJ592</f>
        <v>Palmares</v>
      </c>
      <c r="C631" t="str">
        <f>[1]DATABASE!C592</f>
        <v>96</v>
      </c>
      <c r="D631" t="str">
        <f>TRIM([1]DATABASE!Q592)</f>
        <v>AVAILABLE</v>
      </c>
      <c r="E631" s="82" t="str">
        <f>_xlfn.TEXTJOIN("; ",TRUE,IF([1]DATABASE!X592&lt;0,"Negative Discount",""),IF(AND([1]DATABASE!Y592&gt;[1]DATABASE!T592,[1]DATABASE!Y592&gt;0,[1]DATABASE!T592&gt;0),"Sell Price &gt; Current",""),IF(AND(TRIM([1]DATABASE!Q592)="DEED",[1]DATABASE!AA592=""),"Deeded no PSPA Date",""),IF([1]DATABASE!E592="","Missing Typology",""),IF([1]DATABASE!AJ592="","Missing Development",""))</f>
        <v/>
      </c>
      <c r="F631" s="82" t="str">
        <f>_xlfn.TEXTJOIN("; ",TRUE,IF(AND(OR(TRIM([1]DATABASE!Q592)="RESERVED",TRIM([1]DATABASE!Q592)="PRE-RESERVED",TRIM([1]DATABASE!Q592)="PSPA"),[1]DATABASE!AA592=""),"Reserved/PSPA no PSPA Date",""),IF(AND(TRIM([1]DATABASE!Q592)="AVAILABLE",[1]DATABASE!AA592&lt;&gt;""),"Available has PSPA Date",""))</f>
        <v/>
      </c>
      <c r="G631" s="82" t="str">
        <f>_xlfn.TEXTJOIN("; ",TRUE,IF(AND([1]DATABASE!T592&lt;0.8*[1]DATABASE!S592,[1]DATABASE!T592&gt;0,[1]DATABASE!S592&gt;0),"Heavy Price Cut &gt;20%",""),IF(AND(OR(TRIM([1]DATABASE!Q592)="AVAILABLE",TRIM([1]DATABASE!Q592)="UPON REQUEST"),OR([1]DATABASE!T592="",[1]DATABASE!T592=0)),"Active Unit no Price",""),IF(AND(OR(TRIM([1]DATABASE!Q592)="AVAILABLE",TRIM([1]DATABASE!Q592)="RESERVED",TRIM([1]DATABASE!Q592)="PRE-RESERVED",TRIM([1]DATABASE!Q592)="PSPA"),[1]DATABASE!AC592=""),"Active no Owner",""),IF(OR([1]DATABASE!F592="",[1]DATABASE!F592&lt;=0),"Missing/Invalid Area",""),IF(AND([1]DATABASE!T592&gt;0,ABS([1]DATABASE!T592-[1]DATABASE!W592-[1]DATABASE!U592-[1]DATABASE!V592)&gt;1),"Price Bridge Mismatch",""))</f>
        <v/>
      </c>
      <c r="H631" t="str">
        <f t="shared" si="12"/>
        <v>PASS</v>
      </c>
      <c r="I631" s="90">
        <f>[1]DATABASE!T592</f>
        <v>1300000</v>
      </c>
      <c r="J631" t="str">
        <f>[1]DATABASE!AC592</f>
        <v>Sandra Viegas</v>
      </c>
    </row>
    <row r="632" spans="1:10" ht="13.95" customHeight="1" x14ac:dyDescent="0.3">
      <c r="A632">
        <f>ROW([1]DATABASE!A593)</f>
        <v>593</v>
      </c>
      <c r="B632" t="str">
        <f>[1]DATABASE!AJ593</f>
        <v>Palmares</v>
      </c>
      <c r="C632" t="str">
        <f>[1]DATABASE!C593</f>
        <v>71</v>
      </c>
      <c r="D632" t="str">
        <f>TRIM([1]DATABASE!Q593)</f>
        <v>AVAILABLE</v>
      </c>
      <c r="E632" s="82" t="str">
        <f>_xlfn.TEXTJOIN("; ",TRUE,IF([1]DATABASE!X593&lt;0,"Negative Discount",""),IF(AND([1]DATABASE!Y593&gt;[1]DATABASE!T593,[1]DATABASE!Y593&gt;0,[1]DATABASE!T593&gt;0),"Sell Price &gt; Current",""),IF(AND(TRIM([1]DATABASE!Q593)="DEED",[1]DATABASE!AA593=""),"Deeded no PSPA Date",""),IF([1]DATABASE!E593="","Missing Typology",""),IF([1]DATABASE!AJ593="","Missing Development",""))</f>
        <v/>
      </c>
      <c r="F632" s="82" t="str">
        <f>_xlfn.TEXTJOIN("; ",TRUE,IF(AND(OR(TRIM([1]DATABASE!Q593)="RESERVED",TRIM([1]DATABASE!Q593)="PRE-RESERVED",TRIM([1]DATABASE!Q593)="PSPA"),[1]DATABASE!AA593=""),"Reserved/PSPA no PSPA Date",""),IF(AND(TRIM([1]DATABASE!Q593)="AVAILABLE",[1]DATABASE!AA593&lt;&gt;""),"Available has PSPA Date",""))</f>
        <v/>
      </c>
      <c r="G632" s="82" t="str">
        <f>_xlfn.TEXTJOIN("; ",TRUE,IF(AND([1]DATABASE!T593&lt;0.8*[1]DATABASE!S593,[1]DATABASE!T593&gt;0,[1]DATABASE!S593&gt;0),"Heavy Price Cut &gt;20%",""),IF(AND(OR(TRIM([1]DATABASE!Q593)="AVAILABLE",TRIM([1]DATABASE!Q593)="UPON REQUEST"),OR([1]DATABASE!T593="",[1]DATABASE!T593=0)),"Active Unit no Price",""),IF(AND(OR(TRIM([1]DATABASE!Q593)="AVAILABLE",TRIM([1]DATABASE!Q593)="RESERVED",TRIM([1]DATABASE!Q593)="PRE-RESERVED",TRIM([1]DATABASE!Q593)="PSPA"),[1]DATABASE!AC593=""),"Active no Owner",""),IF(OR([1]DATABASE!F593="",[1]DATABASE!F593&lt;=0),"Missing/Invalid Area",""),IF(AND([1]DATABASE!T593&gt;0,ABS([1]DATABASE!T593-[1]DATABASE!W593-[1]DATABASE!U593-[1]DATABASE!V593)&gt;1),"Price Bridge Mismatch",""))</f>
        <v/>
      </c>
      <c r="H632" t="str">
        <f t="shared" si="12"/>
        <v>PASS</v>
      </c>
      <c r="I632" s="90">
        <f>[1]DATABASE!T593</f>
        <v>3400000</v>
      </c>
      <c r="J632" t="str">
        <f>[1]DATABASE!AC593</f>
        <v>Sandra Viegas</v>
      </c>
    </row>
    <row r="633" spans="1:10" ht="13.95" customHeight="1" x14ac:dyDescent="0.3">
      <c r="A633">
        <f>ROW([1]DATABASE!A594)</f>
        <v>594</v>
      </c>
      <c r="B633" t="str">
        <f>[1]DATABASE!AJ594</f>
        <v>Palmares</v>
      </c>
      <c r="C633" t="str">
        <f>[1]DATABASE!C594</f>
        <v>72</v>
      </c>
      <c r="D633" t="str">
        <f>TRIM([1]DATABASE!Q594)</f>
        <v>AVAILABLE</v>
      </c>
      <c r="E633" s="82" t="str">
        <f>_xlfn.TEXTJOIN("; ",TRUE,IF([1]DATABASE!X594&lt;0,"Negative Discount",""),IF(AND([1]DATABASE!Y594&gt;[1]DATABASE!T594,[1]DATABASE!Y594&gt;0,[1]DATABASE!T594&gt;0),"Sell Price &gt; Current",""),IF(AND(TRIM([1]DATABASE!Q594)="DEED",[1]DATABASE!AA594=""),"Deeded no PSPA Date",""),IF([1]DATABASE!E594="","Missing Typology",""),IF([1]DATABASE!AJ594="","Missing Development",""))</f>
        <v/>
      </c>
      <c r="F633" s="82" t="str">
        <f>_xlfn.TEXTJOIN("; ",TRUE,IF(AND(OR(TRIM([1]DATABASE!Q594)="RESERVED",TRIM([1]DATABASE!Q594)="PRE-RESERVED",TRIM([1]DATABASE!Q594)="PSPA"),[1]DATABASE!AA594=""),"Reserved/PSPA no PSPA Date",""),IF(AND(TRIM([1]DATABASE!Q594)="AVAILABLE",[1]DATABASE!AA594&lt;&gt;""),"Available has PSPA Date",""))</f>
        <v/>
      </c>
      <c r="G633" s="82" t="str">
        <f>_xlfn.TEXTJOIN("; ",TRUE,IF(AND([1]DATABASE!T594&lt;0.8*[1]DATABASE!S594,[1]DATABASE!T594&gt;0,[1]DATABASE!S594&gt;0),"Heavy Price Cut &gt;20%",""),IF(AND(OR(TRIM([1]DATABASE!Q594)="AVAILABLE",TRIM([1]DATABASE!Q594)="UPON REQUEST"),OR([1]DATABASE!T594="",[1]DATABASE!T594=0)),"Active Unit no Price",""),IF(AND(OR(TRIM([1]DATABASE!Q594)="AVAILABLE",TRIM([1]DATABASE!Q594)="RESERVED",TRIM([1]DATABASE!Q594)="PRE-RESERVED",TRIM([1]DATABASE!Q594)="PSPA"),[1]DATABASE!AC594=""),"Active no Owner",""),IF(OR([1]DATABASE!F594="",[1]DATABASE!F594&lt;=0),"Missing/Invalid Area",""),IF(AND([1]DATABASE!T594&gt;0,ABS([1]DATABASE!T594-[1]DATABASE!W594-[1]DATABASE!U594-[1]DATABASE!V594)&gt;1),"Price Bridge Mismatch",""))</f>
        <v/>
      </c>
      <c r="H633" t="str">
        <f t="shared" si="12"/>
        <v>PASS</v>
      </c>
      <c r="I633" s="90">
        <f>[1]DATABASE!T594</f>
        <v>1700000</v>
      </c>
      <c r="J633" t="str">
        <f>[1]DATABASE!AC594</f>
        <v>Sandra Viegas</v>
      </c>
    </row>
    <row r="634" spans="1:10" ht="13.95" customHeight="1" x14ac:dyDescent="0.3">
      <c r="A634">
        <f>ROW([1]DATABASE!A595)</f>
        <v>595</v>
      </c>
      <c r="B634" t="str">
        <f>[1]DATABASE!AJ595</f>
        <v>Palmares</v>
      </c>
      <c r="C634" t="str">
        <f>[1]DATABASE!C595</f>
        <v>74</v>
      </c>
      <c r="D634" t="str">
        <f>TRIM([1]DATABASE!Q595)</f>
        <v>AVAILABLE</v>
      </c>
      <c r="E634" s="82" t="str">
        <f>_xlfn.TEXTJOIN("; ",TRUE,IF([1]DATABASE!X595&lt;0,"Negative Discount",""),IF(AND([1]DATABASE!Y595&gt;[1]DATABASE!T595,[1]DATABASE!Y595&gt;0,[1]DATABASE!T595&gt;0),"Sell Price &gt; Current",""),IF(AND(TRIM([1]DATABASE!Q595)="DEED",[1]DATABASE!AA595=""),"Deeded no PSPA Date",""),IF([1]DATABASE!E595="","Missing Typology",""),IF([1]DATABASE!AJ595="","Missing Development",""))</f>
        <v/>
      </c>
      <c r="F634" s="82" t="str">
        <f>_xlfn.TEXTJOIN("; ",TRUE,IF(AND(OR(TRIM([1]DATABASE!Q595)="RESERVED",TRIM([1]DATABASE!Q595)="PRE-RESERVED",TRIM([1]DATABASE!Q595)="PSPA"),[1]DATABASE!AA595=""),"Reserved/PSPA no PSPA Date",""),IF(AND(TRIM([1]DATABASE!Q595)="AVAILABLE",[1]DATABASE!AA595&lt;&gt;""),"Available has PSPA Date",""))</f>
        <v/>
      </c>
      <c r="G634" s="82" t="str">
        <f>_xlfn.TEXTJOIN("; ",TRUE,IF(AND([1]DATABASE!T595&lt;0.8*[1]DATABASE!S595,[1]DATABASE!T595&gt;0,[1]DATABASE!S595&gt;0),"Heavy Price Cut &gt;20%",""),IF(AND(OR(TRIM([1]DATABASE!Q595)="AVAILABLE",TRIM([1]DATABASE!Q595)="UPON REQUEST"),OR([1]DATABASE!T595="",[1]DATABASE!T595=0)),"Active Unit no Price",""),IF(AND(OR(TRIM([1]DATABASE!Q595)="AVAILABLE",TRIM([1]DATABASE!Q595)="RESERVED",TRIM([1]DATABASE!Q595)="PRE-RESERVED",TRIM([1]DATABASE!Q595)="PSPA"),[1]DATABASE!AC595=""),"Active no Owner",""),IF(OR([1]DATABASE!F595="",[1]DATABASE!F595&lt;=0),"Missing/Invalid Area",""),IF(AND([1]DATABASE!T595&gt;0,ABS([1]DATABASE!T595-[1]DATABASE!W595-[1]DATABASE!U595-[1]DATABASE!V595)&gt;1),"Price Bridge Mismatch",""))</f>
        <v/>
      </c>
      <c r="H634" t="str">
        <f t="shared" si="12"/>
        <v>PASS</v>
      </c>
      <c r="I634" s="90">
        <f>[1]DATABASE!T595</f>
        <v>1500000</v>
      </c>
      <c r="J634" t="str">
        <f>[1]DATABASE!AC595</f>
        <v>Sandra Viegas</v>
      </c>
    </row>
    <row r="635" spans="1:10" ht="13.95" customHeight="1" x14ac:dyDescent="0.3">
      <c r="A635">
        <f>ROW([1]DATABASE!A596)</f>
        <v>596</v>
      </c>
      <c r="B635" t="str">
        <f>[1]DATABASE!AJ596</f>
        <v>Palmares</v>
      </c>
      <c r="C635" t="str">
        <f>[1]DATABASE!C596</f>
        <v>75</v>
      </c>
      <c r="D635" t="str">
        <f>TRIM([1]DATABASE!Q596)</f>
        <v>AVAILABLE</v>
      </c>
      <c r="E635" s="82" t="str">
        <f>_xlfn.TEXTJOIN("; ",TRUE,IF([1]DATABASE!X596&lt;0,"Negative Discount",""),IF(AND([1]DATABASE!Y596&gt;[1]DATABASE!T596,[1]DATABASE!Y596&gt;0,[1]DATABASE!T596&gt;0),"Sell Price &gt; Current",""),IF(AND(TRIM([1]DATABASE!Q596)="DEED",[1]DATABASE!AA596=""),"Deeded no PSPA Date",""),IF([1]DATABASE!E596="","Missing Typology",""),IF([1]DATABASE!AJ596="","Missing Development",""))</f>
        <v/>
      </c>
      <c r="F635" s="82" t="str">
        <f>_xlfn.TEXTJOIN("; ",TRUE,IF(AND(OR(TRIM([1]DATABASE!Q596)="RESERVED",TRIM([1]DATABASE!Q596)="PRE-RESERVED",TRIM([1]DATABASE!Q596)="PSPA"),[1]DATABASE!AA596=""),"Reserved/PSPA no PSPA Date",""),IF(AND(TRIM([1]DATABASE!Q596)="AVAILABLE",[1]DATABASE!AA596&lt;&gt;""),"Available has PSPA Date",""))</f>
        <v/>
      </c>
      <c r="G635" s="82" t="str">
        <f>_xlfn.TEXTJOIN("; ",TRUE,IF(AND([1]DATABASE!T596&lt;0.8*[1]DATABASE!S596,[1]DATABASE!T596&gt;0,[1]DATABASE!S596&gt;0),"Heavy Price Cut &gt;20%",""),IF(AND(OR(TRIM([1]DATABASE!Q596)="AVAILABLE",TRIM([1]DATABASE!Q596)="UPON REQUEST"),OR([1]DATABASE!T596="",[1]DATABASE!T596=0)),"Active Unit no Price",""),IF(AND(OR(TRIM([1]DATABASE!Q596)="AVAILABLE",TRIM([1]DATABASE!Q596)="RESERVED",TRIM([1]DATABASE!Q596)="PRE-RESERVED",TRIM([1]DATABASE!Q596)="PSPA"),[1]DATABASE!AC596=""),"Active no Owner",""),IF(OR([1]DATABASE!F596="",[1]DATABASE!F596&lt;=0),"Missing/Invalid Area",""),IF(AND([1]DATABASE!T596&gt;0,ABS([1]DATABASE!T596-[1]DATABASE!W596-[1]DATABASE!U596-[1]DATABASE!V596)&gt;1),"Price Bridge Mismatch",""))</f>
        <v/>
      </c>
      <c r="H635" t="str">
        <f t="shared" si="12"/>
        <v>PASS</v>
      </c>
      <c r="I635" s="90">
        <f>[1]DATABASE!T596</f>
        <v>1600000</v>
      </c>
      <c r="J635" t="str">
        <f>[1]DATABASE!AC596</f>
        <v>Sandra Viegas</v>
      </c>
    </row>
    <row r="636" spans="1:10" ht="13.95" customHeight="1" x14ac:dyDescent="0.3">
      <c r="A636">
        <f>ROW([1]DATABASE!A597)</f>
        <v>597</v>
      </c>
      <c r="B636" t="str">
        <f>[1]DATABASE!AJ597</f>
        <v>The Uncommon</v>
      </c>
      <c r="C636" t="str">
        <f>[1]DATABASE!C597</f>
        <v>306</v>
      </c>
      <c r="D636" t="str">
        <f>TRIM([1]DATABASE!Q597)</f>
        <v>AVAILABLE</v>
      </c>
      <c r="E636" s="82" t="str">
        <f>_xlfn.TEXTJOIN("; ",TRUE,IF([1]DATABASE!X597&lt;0,"Negative Discount",""),IF(AND([1]DATABASE!Y597&gt;[1]DATABASE!T597,[1]DATABASE!Y597&gt;0,[1]DATABASE!T597&gt;0),"Sell Price &gt; Current",""),IF(AND(TRIM([1]DATABASE!Q597)="DEED",[1]DATABASE!AA597=""),"Deeded no PSPA Date",""),IF([1]DATABASE!E597="","Missing Typology",""),IF([1]DATABASE!AJ597="","Missing Development",""))</f>
        <v/>
      </c>
      <c r="F636" s="82" t="str">
        <f>_xlfn.TEXTJOIN("; ",TRUE,IF(AND(OR(TRIM([1]DATABASE!Q597)="RESERVED",TRIM([1]DATABASE!Q597)="PRE-RESERVED",TRIM([1]DATABASE!Q597)="PSPA"),[1]DATABASE!AA597=""),"Reserved/PSPA no PSPA Date",""),IF(AND(TRIM([1]DATABASE!Q597)="AVAILABLE",[1]DATABASE!AA597&lt;&gt;""),"Available has PSPA Date",""))</f>
        <v/>
      </c>
      <c r="G636" s="82" t="str">
        <f>_xlfn.TEXTJOIN("; ",TRUE,IF(AND([1]DATABASE!T597&lt;0.8*[1]DATABASE!S597,[1]DATABASE!T597&gt;0,[1]DATABASE!S597&gt;0),"Heavy Price Cut &gt;20%",""),IF(AND(OR(TRIM([1]DATABASE!Q597)="AVAILABLE",TRIM([1]DATABASE!Q597)="UPON REQUEST"),OR([1]DATABASE!T597="",[1]DATABASE!T597=0)),"Active Unit no Price",""),IF(AND(OR(TRIM([1]DATABASE!Q597)="AVAILABLE",TRIM([1]DATABASE!Q597)="RESERVED",TRIM([1]DATABASE!Q597)="PRE-RESERVED",TRIM([1]DATABASE!Q597)="PSPA"),[1]DATABASE!AC597=""),"Active no Owner",""),IF(OR([1]DATABASE!F597="",[1]DATABASE!F597&lt;=0),"Missing/Invalid Area",""),IF(AND([1]DATABASE!T597&gt;0,ABS([1]DATABASE!T597-[1]DATABASE!W597-[1]DATABASE!U597-[1]DATABASE!V597)&gt;1),"Price Bridge Mismatch",""))</f>
        <v/>
      </c>
      <c r="H636" t="str">
        <f t="shared" si="12"/>
        <v>PASS</v>
      </c>
      <c r="I636" s="90">
        <f>[1]DATABASE!T597</f>
        <v>1240000</v>
      </c>
      <c r="J636" t="str">
        <f>[1]DATABASE!AC597</f>
        <v>Ana Damásio</v>
      </c>
    </row>
    <row r="637" spans="1:10" ht="13.95" customHeight="1" x14ac:dyDescent="0.3">
      <c r="A637">
        <f>ROW([1]DATABASE!A598)</f>
        <v>598</v>
      </c>
      <c r="B637" t="str">
        <f>[1]DATABASE!AJ598</f>
        <v>The Uncommon</v>
      </c>
      <c r="C637" t="str">
        <f>[1]DATABASE!C598</f>
        <v>307</v>
      </c>
      <c r="D637" t="str">
        <f>TRIM([1]DATABASE!Q598)</f>
        <v>AVAILABLE</v>
      </c>
      <c r="E637" s="82" t="str">
        <f>_xlfn.TEXTJOIN("; ",TRUE,IF([1]DATABASE!X598&lt;0,"Negative Discount",""),IF(AND([1]DATABASE!Y598&gt;[1]DATABASE!T598,[1]DATABASE!Y598&gt;0,[1]DATABASE!T598&gt;0),"Sell Price &gt; Current",""),IF(AND(TRIM([1]DATABASE!Q598)="DEED",[1]DATABASE!AA598=""),"Deeded no PSPA Date",""),IF([1]DATABASE!E598="","Missing Typology",""),IF([1]DATABASE!AJ598="","Missing Development",""))</f>
        <v/>
      </c>
      <c r="F637" s="82" t="str">
        <f>_xlfn.TEXTJOIN("; ",TRUE,IF(AND(OR(TRIM([1]DATABASE!Q598)="RESERVED",TRIM([1]DATABASE!Q598)="PRE-RESERVED",TRIM([1]DATABASE!Q598)="PSPA"),[1]DATABASE!AA598=""),"Reserved/PSPA no PSPA Date",""),IF(AND(TRIM([1]DATABASE!Q598)="AVAILABLE",[1]DATABASE!AA598&lt;&gt;""),"Available has PSPA Date",""))</f>
        <v/>
      </c>
      <c r="G637" s="82" t="str">
        <f>_xlfn.TEXTJOIN("; ",TRUE,IF(AND([1]DATABASE!T598&lt;0.8*[1]DATABASE!S598,[1]DATABASE!T598&gt;0,[1]DATABASE!S598&gt;0),"Heavy Price Cut &gt;20%",""),IF(AND(OR(TRIM([1]DATABASE!Q598)="AVAILABLE",TRIM([1]DATABASE!Q598)="UPON REQUEST"),OR([1]DATABASE!T598="",[1]DATABASE!T598=0)),"Active Unit no Price",""),IF(AND(OR(TRIM([1]DATABASE!Q598)="AVAILABLE",TRIM([1]DATABASE!Q598)="RESERVED",TRIM([1]DATABASE!Q598)="PRE-RESERVED",TRIM([1]DATABASE!Q598)="PSPA"),[1]DATABASE!AC598=""),"Active no Owner",""),IF(OR([1]DATABASE!F598="",[1]DATABASE!F598&lt;=0),"Missing/Invalid Area",""),IF(AND([1]DATABASE!T598&gt;0,ABS([1]DATABASE!T598-[1]DATABASE!W598-[1]DATABASE!U598-[1]DATABASE!V598)&gt;1),"Price Bridge Mismatch",""))</f>
        <v/>
      </c>
      <c r="H637" t="str">
        <f t="shared" si="12"/>
        <v>PASS</v>
      </c>
      <c r="I637" s="90">
        <f>[1]DATABASE!T598</f>
        <v>1320000</v>
      </c>
      <c r="J637" t="str">
        <f>[1]DATABASE!AC598</f>
        <v>Ana Damásio</v>
      </c>
    </row>
    <row r="638" spans="1:10" ht="13.95" customHeight="1" x14ac:dyDescent="0.3">
      <c r="A638">
        <f>ROW([1]DATABASE!A599)</f>
        <v>599</v>
      </c>
      <c r="B638" t="str">
        <f>[1]DATABASE!AJ599</f>
        <v>The Uncommon</v>
      </c>
      <c r="C638" t="str">
        <f>[1]DATABASE!C599</f>
        <v>308</v>
      </c>
      <c r="D638" t="str">
        <f>TRIM([1]DATABASE!Q599)</f>
        <v>AVAILABLE</v>
      </c>
      <c r="E638" s="82" t="str">
        <f>_xlfn.TEXTJOIN("; ",TRUE,IF([1]DATABASE!X599&lt;0,"Negative Discount",""),IF(AND([1]DATABASE!Y599&gt;[1]DATABASE!T599,[1]DATABASE!Y599&gt;0,[1]DATABASE!T599&gt;0),"Sell Price &gt; Current",""),IF(AND(TRIM([1]DATABASE!Q599)="DEED",[1]DATABASE!AA599=""),"Deeded no PSPA Date",""),IF([1]DATABASE!E599="","Missing Typology",""),IF([1]DATABASE!AJ599="","Missing Development",""))</f>
        <v/>
      </c>
      <c r="F638" s="82" t="str">
        <f>_xlfn.TEXTJOIN("; ",TRUE,IF(AND(OR(TRIM([1]DATABASE!Q599)="RESERVED",TRIM([1]DATABASE!Q599)="PRE-RESERVED",TRIM([1]DATABASE!Q599)="PSPA"),[1]DATABASE!AA599=""),"Reserved/PSPA no PSPA Date",""),IF(AND(TRIM([1]DATABASE!Q599)="AVAILABLE",[1]DATABASE!AA599&lt;&gt;""),"Available has PSPA Date",""))</f>
        <v/>
      </c>
      <c r="G638" s="82" t="str">
        <f>_xlfn.TEXTJOIN("; ",TRUE,IF(AND([1]DATABASE!T599&lt;0.8*[1]DATABASE!S599,[1]DATABASE!T599&gt;0,[1]DATABASE!S599&gt;0),"Heavy Price Cut &gt;20%",""),IF(AND(OR(TRIM([1]DATABASE!Q599)="AVAILABLE",TRIM([1]DATABASE!Q599)="UPON REQUEST"),OR([1]DATABASE!T599="",[1]DATABASE!T599=0)),"Active Unit no Price",""),IF(AND(OR(TRIM([1]DATABASE!Q599)="AVAILABLE",TRIM([1]DATABASE!Q599)="RESERVED",TRIM([1]DATABASE!Q599)="PRE-RESERVED",TRIM([1]DATABASE!Q599)="PSPA"),[1]DATABASE!AC599=""),"Active no Owner",""),IF(OR([1]DATABASE!F599="",[1]DATABASE!F599&lt;=0),"Missing/Invalid Area",""),IF(AND([1]DATABASE!T599&gt;0,ABS([1]DATABASE!T599-[1]DATABASE!W599-[1]DATABASE!U599-[1]DATABASE!V599)&gt;1),"Price Bridge Mismatch",""))</f>
        <v/>
      </c>
      <c r="H638" t="str">
        <f t="shared" si="12"/>
        <v>PASS</v>
      </c>
      <c r="I638" s="90">
        <f>[1]DATABASE!T599</f>
        <v>1380000</v>
      </c>
      <c r="J638" t="str">
        <f>[1]DATABASE!AC599</f>
        <v>Ana Damásio</v>
      </c>
    </row>
    <row r="639" spans="1:10" ht="13.95" customHeight="1" x14ac:dyDescent="0.3">
      <c r="A639">
        <f>ROW([1]DATABASE!A600)</f>
        <v>600</v>
      </c>
      <c r="B639" t="str">
        <f>[1]DATABASE!AJ600</f>
        <v>The Uncommon</v>
      </c>
      <c r="C639" t="str">
        <f>[1]DATABASE!C600</f>
        <v>309</v>
      </c>
      <c r="D639" t="str">
        <f>TRIM([1]DATABASE!Q600)</f>
        <v>AVAILABLE</v>
      </c>
      <c r="E639" s="82" t="str">
        <f>_xlfn.TEXTJOIN("; ",TRUE,IF([1]DATABASE!X600&lt;0,"Negative Discount",""),IF(AND([1]DATABASE!Y600&gt;[1]DATABASE!T600,[1]DATABASE!Y600&gt;0,[1]DATABASE!T600&gt;0),"Sell Price &gt; Current",""),IF(AND(TRIM([1]DATABASE!Q600)="DEED",[1]DATABASE!AA600=""),"Deeded no PSPA Date",""),IF([1]DATABASE!E600="","Missing Typology",""),IF([1]DATABASE!AJ600="","Missing Development",""))</f>
        <v/>
      </c>
      <c r="F639" s="82" t="str">
        <f>_xlfn.TEXTJOIN("; ",TRUE,IF(AND(OR(TRIM([1]DATABASE!Q600)="RESERVED",TRIM([1]DATABASE!Q600)="PRE-RESERVED",TRIM([1]DATABASE!Q600)="PSPA"),[1]DATABASE!AA600=""),"Reserved/PSPA no PSPA Date",""),IF(AND(TRIM([1]DATABASE!Q600)="AVAILABLE",[1]DATABASE!AA600&lt;&gt;""),"Available has PSPA Date",""))</f>
        <v/>
      </c>
      <c r="G639" s="82" t="str">
        <f>_xlfn.TEXTJOIN("; ",TRUE,IF(AND([1]DATABASE!T600&lt;0.8*[1]DATABASE!S600,[1]DATABASE!T600&gt;0,[1]DATABASE!S600&gt;0),"Heavy Price Cut &gt;20%",""),IF(AND(OR(TRIM([1]DATABASE!Q600)="AVAILABLE",TRIM([1]DATABASE!Q600)="UPON REQUEST"),OR([1]DATABASE!T600="",[1]DATABASE!T600=0)),"Active Unit no Price",""),IF(AND(OR(TRIM([1]DATABASE!Q600)="AVAILABLE",TRIM([1]DATABASE!Q600)="RESERVED",TRIM([1]DATABASE!Q600)="PRE-RESERVED",TRIM([1]DATABASE!Q600)="PSPA"),[1]DATABASE!AC600=""),"Active no Owner",""),IF(OR([1]DATABASE!F600="",[1]DATABASE!F600&lt;=0),"Missing/Invalid Area",""),IF(AND([1]DATABASE!T600&gt;0,ABS([1]DATABASE!T600-[1]DATABASE!W600-[1]DATABASE!U600-[1]DATABASE!V600)&gt;1),"Price Bridge Mismatch",""))</f>
        <v/>
      </c>
      <c r="H639" t="str">
        <f t="shared" si="12"/>
        <v>PASS</v>
      </c>
      <c r="I639" s="90">
        <f>[1]DATABASE!T600</f>
        <v>1440000</v>
      </c>
      <c r="J639" t="str">
        <f>[1]DATABASE!AC600</f>
        <v>Ana Damásio</v>
      </c>
    </row>
    <row r="640" spans="1:10" ht="13.95" customHeight="1" x14ac:dyDescent="0.3">
      <c r="A640">
        <f>ROW([1]DATABASE!A601)</f>
        <v>601</v>
      </c>
      <c r="B640" t="str">
        <f>[1]DATABASE!AJ601</f>
        <v>The Uncommon</v>
      </c>
      <c r="C640" t="str">
        <f>[1]DATABASE!C601</f>
        <v>311</v>
      </c>
      <c r="D640" t="str">
        <f>TRIM([1]DATABASE!Q601)</f>
        <v>AVAILABLE</v>
      </c>
      <c r="E640" s="82" t="str">
        <f>_xlfn.TEXTJOIN("; ",TRUE,IF([1]DATABASE!X601&lt;0,"Negative Discount",""),IF(AND([1]DATABASE!Y601&gt;[1]DATABASE!T601,[1]DATABASE!Y601&gt;0,[1]DATABASE!T601&gt;0),"Sell Price &gt; Current",""),IF(AND(TRIM([1]DATABASE!Q601)="DEED",[1]DATABASE!AA601=""),"Deeded no PSPA Date",""),IF([1]DATABASE!E601="","Missing Typology",""),IF([1]DATABASE!AJ601="","Missing Development",""))</f>
        <v/>
      </c>
      <c r="F640" s="82" t="str">
        <f>_xlfn.TEXTJOIN("; ",TRUE,IF(AND(OR(TRIM([1]DATABASE!Q601)="RESERVED",TRIM([1]DATABASE!Q601)="PRE-RESERVED",TRIM([1]DATABASE!Q601)="PSPA"),[1]DATABASE!AA601=""),"Reserved/PSPA no PSPA Date",""),IF(AND(TRIM([1]DATABASE!Q601)="AVAILABLE",[1]DATABASE!AA601&lt;&gt;""),"Available has PSPA Date",""))</f>
        <v/>
      </c>
      <c r="G640" s="82" t="str">
        <f>_xlfn.TEXTJOIN("; ",TRUE,IF(AND([1]DATABASE!T601&lt;0.8*[1]DATABASE!S601,[1]DATABASE!T601&gt;0,[1]DATABASE!S601&gt;0),"Heavy Price Cut &gt;20%",""),IF(AND(OR(TRIM([1]DATABASE!Q601)="AVAILABLE",TRIM([1]DATABASE!Q601)="UPON REQUEST"),OR([1]DATABASE!T601="",[1]DATABASE!T601=0)),"Active Unit no Price",""),IF(AND(OR(TRIM([1]DATABASE!Q601)="AVAILABLE",TRIM([1]DATABASE!Q601)="RESERVED",TRIM([1]DATABASE!Q601)="PRE-RESERVED",TRIM([1]DATABASE!Q601)="PSPA"),[1]DATABASE!AC601=""),"Active no Owner",""),IF(OR([1]DATABASE!F601="",[1]DATABASE!F601&lt;=0),"Missing/Invalid Area",""),IF(AND([1]DATABASE!T601&gt;0,ABS([1]DATABASE!T601-[1]DATABASE!W601-[1]DATABASE!U601-[1]DATABASE!V601)&gt;1),"Price Bridge Mismatch",""))</f>
        <v/>
      </c>
      <c r="H640" t="str">
        <f t="shared" si="12"/>
        <v>PASS</v>
      </c>
      <c r="I640" s="90">
        <f>[1]DATABASE!T601</f>
        <v>770000</v>
      </c>
      <c r="J640" t="str">
        <f>[1]DATABASE!AC601</f>
        <v>Ana Damásio</v>
      </c>
    </row>
    <row r="641" spans="1:10" ht="13.95" customHeight="1" x14ac:dyDescent="0.3">
      <c r="A641">
        <f>ROW([1]DATABASE!A602)</f>
        <v>602</v>
      </c>
      <c r="B641" t="str">
        <f>[1]DATABASE!AJ602</f>
        <v>The Uncommon</v>
      </c>
      <c r="C641" t="str">
        <f>[1]DATABASE!C602</f>
        <v>312</v>
      </c>
      <c r="D641" t="str">
        <f>TRIM([1]DATABASE!Q602)</f>
        <v>AVAILABLE</v>
      </c>
      <c r="E641" s="82" t="str">
        <f>_xlfn.TEXTJOIN("; ",TRUE,IF([1]DATABASE!X602&lt;0,"Negative Discount",""),IF(AND([1]DATABASE!Y602&gt;[1]DATABASE!T602,[1]DATABASE!Y602&gt;0,[1]DATABASE!T602&gt;0),"Sell Price &gt; Current",""),IF(AND(TRIM([1]DATABASE!Q602)="DEED",[1]DATABASE!AA602=""),"Deeded no PSPA Date",""),IF([1]DATABASE!E602="","Missing Typology",""),IF([1]DATABASE!AJ602="","Missing Development",""))</f>
        <v/>
      </c>
      <c r="F641" s="82" t="str">
        <f>_xlfn.TEXTJOIN("; ",TRUE,IF(AND(OR(TRIM([1]DATABASE!Q602)="RESERVED",TRIM([1]DATABASE!Q602)="PRE-RESERVED",TRIM([1]DATABASE!Q602)="PSPA"),[1]DATABASE!AA602=""),"Reserved/PSPA no PSPA Date",""),IF(AND(TRIM([1]DATABASE!Q602)="AVAILABLE",[1]DATABASE!AA602&lt;&gt;""),"Available has PSPA Date",""))</f>
        <v/>
      </c>
      <c r="G641" s="82" t="str">
        <f>_xlfn.TEXTJOIN("; ",TRUE,IF(AND([1]DATABASE!T602&lt;0.8*[1]DATABASE!S602,[1]DATABASE!T602&gt;0,[1]DATABASE!S602&gt;0),"Heavy Price Cut &gt;20%",""),IF(AND(OR(TRIM([1]DATABASE!Q602)="AVAILABLE",TRIM([1]DATABASE!Q602)="UPON REQUEST"),OR([1]DATABASE!T602="",[1]DATABASE!T602=0)),"Active Unit no Price",""),IF(AND(OR(TRIM([1]DATABASE!Q602)="AVAILABLE",TRIM([1]DATABASE!Q602)="RESERVED",TRIM([1]DATABASE!Q602)="PRE-RESERVED",TRIM([1]DATABASE!Q602)="PSPA"),[1]DATABASE!AC602=""),"Active no Owner",""),IF(OR([1]DATABASE!F602="",[1]DATABASE!F602&lt;=0),"Missing/Invalid Area",""),IF(AND([1]DATABASE!T602&gt;0,ABS([1]DATABASE!T602-[1]DATABASE!W602-[1]DATABASE!U602-[1]DATABASE!V602)&gt;1),"Price Bridge Mismatch",""))</f>
        <v/>
      </c>
      <c r="H641" t="str">
        <f t="shared" si="12"/>
        <v>PASS</v>
      </c>
      <c r="I641" s="90">
        <f>[1]DATABASE!T602</f>
        <v>810000</v>
      </c>
      <c r="J641" t="str">
        <f>[1]DATABASE!AC602</f>
        <v>Ana Damásio</v>
      </c>
    </row>
    <row r="642" spans="1:10" ht="13.95" customHeight="1" x14ac:dyDescent="0.3">
      <c r="A642">
        <f>ROW([1]DATABASE!A603)</f>
        <v>603</v>
      </c>
      <c r="B642" t="str">
        <f>[1]DATABASE!AJ603</f>
        <v>The Uncommon</v>
      </c>
      <c r="C642" t="str">
        <f>[1]DATABASE!C603</f>
        <v>313</v>
      </c>
      <c r="D642" t="str">
        <f>TRIM([1]DATABASE!Q603)</f>
        <v>AVAILABLE</v>
      </c>
      <c r="E642" s="82" t="str">
        <f>_xlfn.TEXTJOIN("; ",TRUE,IF([1]DATABASE!X603&lt;0,"Negative Discount",""),IF(AND([1]DATABASE!Y603&gt;[1]DATABASE!T603,[1]DATABASE!Y603&gt;0,[1]DATABASE!T603&gt;0),"Sell Price &gt; Current",""),IF(AND(TRIM([1]DATABASE!Q603)="DEED",[1]DATABASE!AA603=""),"Deeded no PSPA Date",""),IF([1]DATABASE!E603="","Missing Typology",""),IF([1]DATABASE!AJ603="","Missing Development",""))</f>
        <v/>
      </c>
      <c r="F642" s="82" t="str">
        <f>_xlfn.TEXTJOIN("; ",TRUE,IF(AND(OR(TRIM([1]DATABASE!Q603)="RESERVED",TRIM([1]DATABASE!Q603)="PRE-RESERVED",TRIM([1]DATABASE!Q603)="PSPA"),[1]DATABASE!AA603=""),"Reserved/PSPA no PSPA Date",""),IF(AND(TRIM([1]DATABASE!Q603)="AVAILABLE",[1]DATABASE!AA603&lt;&gt;""),"Available has PSPA Date",""))</f>
        <v/>
      </c>
      <c r="G642" s="82" t="str">
        <f>_xlfn.TEXTJOIN("; ",TRUE,IF(AND([1]DATABASE!T603&lt;0.8*[1]DATABASE!S603,[1]DATABASE!T603&gt;0,[1]DATABASE!S603&gt;0),"Heavy Price Cut &gt;20%",""),IF(AND(OR(TRIM([1]DATABASE!Q603)="AVAILABLE",TRIM([1]DATABASE!Q603)="UPON REQUEST"),OR([1]DATABASE!T603="",[1]DATABASE!T603=0)),"Active Unit no Price",""),IF(AND(OR(TRIM([1]DATABASE!Q603)="AVAILABLE",TRIM([1]DATABASE!Q603)="RESERVED",TRIM([1]DATABASE!Q603)="PRE-RESERVED",TRIM([1]DATABASE!Q603)="PSPA"),[1]DATABASE!AC603=""),"Active no Owner",""),IF(OR([1]DATABASE!F603="",[1]DATABASE!F603&lt;=0),"Missing/Invalid Area",""),IF(AND([1]DATABASE!T603&gt;0,ABS([1]DATABASE!T603-[1]DATABASE!W603-[1]DATABASE!U603-[1]DATABASE!V603)&gt;1),"Price Bridge Mismatch",""))</f>
        <v/>
      </c>
      <c r="H642" t="str">
        <f t="shared" si="12"/>
        <v>PASS</v>
      </c>
      <c r="I642" s="90">
        <f>[1]DATABASE!T603</f>
        <v>850000</v>
      </c>
      <c r="J642" t="str">
        <f>[1]DATABASE!AC603</f>
        <v>Ana Damásio</v>
      </c>
    </row>
    <row r="643" spans="1:10" ht="13.95" customHeight="1" x14ac:dyDescent="0.3">
      <c r="A643">
        <f>ROW([1]DATABASE!A604)</f>
        <v>604</v>
      </c>
      <c r="B643" t="str">
        <f>[1]DATABASE!AJ604</f>
        <v>The Uncommon</v>
      </c>
      <c r="C643" t="str">
        <f>[1]DATABASE!C604</f>
        <v>314</v>
      </c>
      <c r="D643" t="str">
        <f>TRIM([1]DATABASE!Q604)</f>
        <v>AVAILABLE</v>
      </c>
      <c r="E643" s="82" t="str">
        <f>_xlfn.TEXTJOIN("; ",TRUE,IF([1]DATABASE!X604&lt;0,"Negative Discount",""),IF(AND([1]DATABASE!Y604&gt;[1]DATABASE!T604,[1]DATABASE!Y604&gt;0,[1]DATABASE!T604&gt;0),"Sell Price &gt; Current",""),IF(AND(TRIM([1]DATABASE!Q604)="DEED",[1]DATABASE!AA604=""),"Deeded no PSPA Date",""),IF([1]DATABASE!E604="","Missing Typology",""),IF([1]DATABASE!AJ604="","Missing Development",""))</f>
        <v/>
      </c>
      <c r="F643" s="82" t="str">
        <f>_xlfn.TEXTJOIN("; ",TRUE,IF(AND(OR(TRIM([1]DATABASE!Q604)="RESERVED",TRIM([1]DATABASE!Q604)="PRE-RESERVED",TRIM([1]DATABASE!Q604)="PSPA"),[1]DATABASE!AA604=""),"Reserved/PSPA no PSPA Date",""),IF(AND(TRIM([1]DATABASE!Q604)="AVAILABLE",[1]DATABASE!AA604&lt;&gt;""),"Available has PSPA Date",""))</f>
        <v/>
      </c>
      <c r="G643" s="82" t="str">
        <f>_xlfn.TEXTJOIN("; ",TRUE,IF(AND([1]DATABASE!T604&lt;0.8*[1]DATABASE!S604,[1]DATABASE!T604&gt;0,[1]DATABASE!S604&gt;0),"Heavy Price Cut &gt;20%",""),IF(AND(OR(TRIM([1]DATABASE!Q604)="AVAILABLE",TRIM([1]DATABASE!Q604)="UPON REQUEST"),OR([1]DATABASE!T604="",[1]DATABASE!T604=0)),"Active Unit no Price",""),IF(AND(OR(TRIM([1]DATABASE!Q604)="AVAILABLE",TRIM([1]DATABASE!Q604)="RESERVED",TRIM([1]DATABASE!Q604)="PRE-RESERVED",TRIM([1]DATABASE!Q604)="PSPA"),[1]DATABASE!AC604=""),"Active no Owner",""),IF(OR([1]DATABASE!F604="",[1]DATABASE!F604&lt;=0),"Missing/Invalid Area",""),IF(AND([1]DATABASE!T604&gt;0,ABS([1]DATABASE!T604-[1]DATABASE!W604-[1]DATABASE!U604-[1]DATABASE!V604)&gt;1),"Price Bridge Mismatch",""))</f>
        <v/>
      </c>
      <c r="H643" t="str">
        <f t="shared" si="12"/>
        <v>PASS</v>
      </c>
      <c r="I643" s="90">
        <f>[1]DATABASE!T604</f>
        <v>900000</v>
      </c>
      <c r="J643" t="str">
        <f>[1]DATABASE!AC604</f>
        <v>Ana Damásio</v>
      </c>
    </row>
    <row r="644" spans="1:10" ht="13.95" customHeight="1" x14ac:dyDescent="0.3">
      <c r="A644">
        <f>ROW([1]DATABASE!A605)</f>
        <v>605</v>
      </c>
      <c r="B644" t="str">
        <f>[1]DATABASE!AJ605</f>
        <v>The Uncommon</v>
      </c>
      <c r="C644" t="str">
        <f>[1]DATABASE!C605</f>
        <v>315</v>
      </c>
      <c r="D644" t="str">
        <f>TRIM([1]DATABASE!Q605)</f>
        <v>AVAILABLE</v>
      </c>
      <c r="E644" s="82" t="str">
        <f>_xlfn.TEXTJOIN("; ",TRUE,IF([1]DATABASE!X605&lt;0,"Negative Discount",""),IF(AND([1]DATABASE!Y605&gt;[1]DATABASE!T605,[1]DATABASE!Y605&gt;0,[1]DATABASE!T605&gt;0),"Sell Price &gt; Current",""),IF(AND(TRIM([1]DATABASE!Q605)="DEED",[1]DATABASE!AA605=""),"Deeded no PSPA Date",""),IF([1]DATABASE!E605="","Missing Typology",""),IF([1]DATABASE!AJ605="","Missing Development",""))</f>
        <v/>
      </c>
      <c r="F644" s="82" t="str">
        <f>_xlfn.TEXTJOIN("; ",TRUE,IF(AND(OR(TRIM([1]DATABASE!Q605)="RESERVED",TRIM([1]DATABASE!Q605)="PRE-RESERVED",TRIM([1]DATABASE!Q605)="PSPA"),[1]DATABASE!AA605=""),"Reserved/PSPA no PSPA Date",""),IF(AND(TRIM([1]DATABASE!Q605)="AVAILABLE",[1]DATABASE!AA605&lt;&gt;""),"Available has PSPA Date",""))</f>
        <v/>
      </c>
      <c r="G644" s="82" t="str">
        <f>_xlfn.TEXTJOIN("; ",TRUE,IF(AND([1]DATABASE!T605&lt;0.8*[1]DATABASE!S605,[1]DATABASE!T605&gt;0,[1]DATABASE!S605&gt;0),"Heavy Price Cut &gt;20%",""),IF(AND(OR(TRIM([1]DATABASE!Q605)="AVAILABLE",TRIM([1]DATABASE!Q605)="UPON REQUEST"),OR([1]DATABASE!T605="",[1]DATABASE!T605=0)),"Active Unit no Price",""),IF(AND(OR(TRIM([1]DATABASE!Q605)="AVAILABLE",TRIM([1]DATABASE!Q605)="RESERVED",TRIM([1]DATABASE!Q605)="PRE-RESERVED",TRIM([1]DATABASE!Q605)="PSPA"),[1]DATABASE!AC605=""),"Active no Owner",""),IF(OR([1]DATABASE!F605="",[1]DATABASE!F605&lt;=0),"Missing/Invalid Area",""),IF(AND([1]DATABASE!T605&gt;0,ABS([1]DATABASE!T605-[1]DATABASE!W605-[1]DATABASE!U605-[1]DATABASE!V605)&gt;1),"Price Bridge Mismatch",""))</f>
        <v/>
      </c>
      <c r="H644" t="str">
        <f t="shared" si="12"/>
        <v>PASS</v>
      </c>
      <c r="I644" s="90">
        <f>[1]DATABASE!T605</f>
        <v>960000</v>
      </c>
      <c r="J644" t="str">
        <f>[1]DATABASE!AC605</f>
        <v>Ana Damásio</v>
      </c>
    </row>
    <row r="645" spans="1:10" ht="13.95" customHeight="1" x14ac:dyDescent="0.3">
      <c r="A645">
        <f>ROW([1]DATABASE!A606)</f>
        <v>606</v>
      </c>
      <c r="B645" t="str">
        <f>[1]DATABASE!AJ606</f>
        <v>Springs - At the Els</v>
      </c>
      <c r="C645" t="str">
        <f>[1]DATABASE!C606</f>
        <v>4</v>
      </c>
      <c r="D645" t="str">
        <f>TRIM([1]DATABASE!Q606)</f>
        <v>AVAILABLE</v>
      </c>
      <c r="E645" s="82" t="str">
        <f>_xlfn.TEXTJOIN("; ",TRUE,IF([1]DATABASE!X606&lt;0,"Negative Discount",""),IF(AND([1]DATABASE!Y606&gt;[1]DATABASE!T606,[1]DATABASE!Y606&gt;0,[1]DATABASE!T606&gt;0),"Sell Price &gt; Current",""),IF(AND(TRIM([1]DATABASE!Q606)="DEED",[1]DATABASE!AA606=""),"Deeded no PSPA Date",""),IF([1]DATABASE!E606="","Missing Typology",""),IF([1]DATABASE!AJ606="","Missing Development",""))</f>
        <v/>
      </c>
      <c r="F645" s="82" t="str">
        <f>_xlfn.TEXTJOIN("; ",TRUE,IF(AND(OR(TRIM([1]DATABASE!Q606)="RESERVED",TRIM([1]DATABASE!Q606)="PRE-RESERVED",TRIM([1]DATABASE!Q606)="PSPA"),[1]DATABASE!AA606=""),"Reserved/PSPA no PSPA Date",""),IF(AND(TRIM([1]DATABASE!Q606)="AVAILABLE",[1]DATABASE!AA606&lt;&gt;""),"Available has PSPA Date",""))</f>
        <v/>
      </c>
      <c r="G645" s="82" t="str">
        <f>_xlfn.TEXTJOIN("; ",TRUE,IF(AND([1]DATABASE!T606&lt;0.8*[1]DATABASE!S606,[1]DATABASE!T606&gt;0,[1]DATABASE!S606&gt;0),"Heavy Price Cut &gt;20%",""),IF(AND(OR(TRIM([1]DATABASE!Q606)="AVAILABLE",TRIM([1]DATABASE!Q606)="UPON REQUEST"),OR([1]DATABASE!T606="",[1]DATABASE!T606=0)),"Active Unit no Price",""),IF(AND(OR(TRIM([1]DATABASE!Q606)="AVAILABLE",TRIM([1]DATABASE!Q606)="RESERVED",TRIM([1]DATABASE!Q606)="PRE-RESERVED",TRIM([1]DATABASE!Q606)="PSPA"),[1]DATABASE!AC606=""),"Active no Owner",""),IF(OR([1]DATABASE!F606="",[1]DATABASE!F606&lt;=0),"Missing/Invalid Area",""),IF(AND([1]DATABASE!T606&gt;0,ABS([1]DATABASE!T606-[1]DATABASE!W606-[1]DATABASE!U606-[1]DATABASE!V606)&gt;1),"Price Bridge Mismatch",""))</f>
        <v/>
      </c>
      <c r="H645" t="str">
        <f t="shared" si="12"/>
        <v>PASS</v>
      </c>
      <c r="I645" s="90">
        <f>[1]DATABASE!T606</f>
        <v>2280000</v>
      </c>
      <c r="J645" t="str">
        <f>[1]DATABASE!AC606</f>
        <v>Ana Damásio</v>
      </c>
    </row>
    <row r="646" spans="1:10" ht="13.95" customHeight="1" x14ac:dyDescent="0.3">
      <c r="A646">
        <f>ROW([1]DATABASE!A607)</f>
        <v>607</v>
      </c>
      <c r="B646" t="str">
        <f>[1]DATABASE!AJ607</f>
        <v>The Uncommon</v>
      </c>
      <c r="C646" t="str">
        <f>[1]DATABASE!C607</f>
        <v>4</v>
      </c>
      <c r="D646" t="str">
        <f>TRIM([1]DATABASE!Q607)</f>
        <v>AVAILABLE</v>
      </c>
      <c r="E646" s="82" t="str">
        <f>_xlfn.TEXTJOIN("; ",TRUE,IF([1]DATABASE!X607&lt;0,"Negative Discount",""),IF(AND([1]DATABASE!Y607&gt;[1]DATABASE!T607,[1]DATABASE!Y607&gt;0,[1]DATABASE!T607&gt;0),"Sell Price &gt; Current",""),IF(AND(TRIM([1]DATABASE!Q607)="DEED",[1]DATABASE!AA607=""),"Deeded no PSPA Date",""),IF([1]DATABASE!E607="","Missing Typology",""),IF([1]DATABASE!AJ607="","Missing Development",""))</f>
        <v/>
      </c>
      <c r="F646" s="82" t="str">
        <f>_xlfn.TEXTJOIN("; ",TRUE,IF(AND(OR(TRIM([1]DATABASE!Q607)="RESERVED",TRIM([1]DATABASE!Q607)="PRE-RESERVED",TRIM([1]DATABASE!Q607)="PSPA"),[1]DATABASE!AA607=""),"Reserved/PSPA no PSPA Date",""),IF(AND(TRIM([1]DATABASE!Q607)="AVAILABLE",[1]DATABASE!AA607&lt;&gt;""),"Available has PSPA Date",""))</f>
        <v/>
      </c>
      <c r="G646" s="82" t="str">
        <f>_xlfn.TEXTJOIN("; ",TRUE,IF(AND([1]DATABASE!T607&lt;0.8*[1]DATABASE!S607,[1]DATABASE!T607&gt;0,[1]DATABASE!S607&gt;0),"Heavy Price Cut &gt;20%",""),IF(AND(OR(TRIM([1]DATABASE!Q607)="AVAILABLE",TRIM([1]DATABASE!Q607)="UPON REQUEST"),OR([1]DATABASE!T607="",[1]DATABASE!T607=0)),"Active Unit no Price",""),IF(AND(OR(TRIM([1]DATABASE!Q607)="AVAILABLE",TRIM([1]DATABASE!Q607)="RESERVED",TRIM([1]DATABASE!Q607)="PRE-RESERVED",TRIM([1]DATABASE!Q607)="PSPA"),[1]DATABASE!AC607=""),"Active no Owner",""),IF(OR([1]DATABASE!F607="",[1]DATABASE!F607&lt;=0),"Missing/Invalid Area",""),IF(AND([1]DATABASE!T607&gt;0,ABS([1]DATABASE!T607-[1]DATABASE!W607-[1]DATABASE!U607-[1]DATABASE!V607)&gt;1),"Price Bridge Mismatch",""))</f>
        <v/>
      </c>
      <c r="H646" t="str">
        <f t="shared" si="12"/>
        <v>PASS</v>
      </c>
      <c r="I646" s="90">
        <f>[1]DATABASE!T607</f>
        <v>980000</v>
      </c>
      <c r="J646" t="str">
        <f>[1]DATABASE!AC607</f>
        <v>Ana Damásio</v>
      </c>
    </row>
    <row r="647" spans="1:10" ht="13.95" customHeight="1" x14ac:dyDescent="0.3">
      <c r="A647">
        <f>ROW([1]DATABASE!A608)</f>
        <v>608</v>
      </c>
      <c r="B647" t="str">
        <f>[1]DATABASE!AJ608</f>
        <v>The Uncommon</v>
      </c>
      <c r="C647" t="str">
        <f>[1]DATABASE!C608</f>
        <v>401</v>
      </c>
      <c r="D647" t="str">
        <f>TRIM([1]DATABASE!Q608)</f>
        <v>AVAILABLE</v>
      </c>
      <c r="E647" s="82" t="str">
        <f>_xlfn.TEXTJOIN("; ",TRUE,IF([1]DATABASE!X608&lt;0,"Negative Discount",""),IF(AND([1]DATABASE!Y608&gt;[1]DATABASE!T608,[1]DATABASE!Y608&gt;0,[1]DATABASE!T608&gt;0),"Sell Price &gt; Current",""),IF(AND(TRIM([1]DATABASE!Q608)="DEED",[1]DATABASE!AA608=""),"Deeded no PSPA Date",""),IF([1]DATABASE!E608="","Missing Typology",""),IF([1]DATABASE!AJ608="","Missing Development",""))</f>
        <v/>
      </c>
      <c r="F647" s="82" t="str">
        <f>_xlfn.TEXTJOIN("; ",TRUE,IF(AND(OR(TRIM([1]DATABASE!Q608)="RESERVED",TRIM([1]DATABASE!Q608)="PRE-RESERVED",TRIM([1]DATABASE!Q608)="PSPA"),[1]DATABASE!AA608=""),"Reserved/PSPA no PSPA Date",""),IF(AND(TRIM([1]DATABASE!Q608)="AVAILABLE",[1]DATABASE!AA608&lt;&gt;""),"Available has PSPA Date",""))</f>
        <v/>
      </c>
      <c r="G647" s="82" t="str">
        <f>_xlfn.TEXTJOIN("; ",TRUE,IF(AND([1]DATABASE!T608&lt;0.8*[1]DATABASE!S608,[1]DATABASE!T608&gt;0,[1]DATABASE!S608&gt;0),"Heavy Price Cut &gt;20%",""),IF(AND(OR(TRIM([1]DATABASE!Q608)="AVAILABLE",TRIM([1]DATABASE!Q608)="UPON REQUEST"),OR([1]DATABASE!T608="",[1]DATABASE!T608=0)),"Active Unit no Price",""),IF(AND(OR(TRIM([1]DATABASE!Q608)="AVAILABLE",TRIM([1]DATABASE!Q608)="RESERVED",TRIM([1]DATABASE!Q608)="PRE-RESERVED",TRIM([1]DATABASE!Q608)="PSPA"),[1]DATABASE!AC608=""),"Active no Owner",""),IF(OR([1]DATABASE!F608="",[1]DATABASE!F608&lt;=0),"Missing/Invalid Area",""),IF(AND([1]DATABASE!T608&gt;0,ABS([1]DATABASE!T608-[1]DATABASE!W608-[1]DATABASE!U608-[1]DATABASE!V608)&gt;1),"Price Bridge Mismatch",""))</f>
        <v/>
      </c>
      <c r="H647" t="str">
        <f t="shared" si="12"/>
        <v>PASS</v>
      </c>
      <c r="I647" s="90">
        <f>[1]DATABASE!T608</f>
        <v>2350000</v>
      </c>
      <c r="J647" t="str">
        <f>[1]DATABASE!AC608</f>
        <v>Ana Damásio</v>
      </c>
    </row>
    <row r="648" spans="1:10" ht="13.95" customHeight="1" x14ac:dyDescent="0.3">
      <c r="A648">
        <f>ROW([1]DATABASE!A609)</f>
        <v>609</v>
      </c>
      <c r="B648" t="str">
        <f>[1]DATABASE!AJ609</f>
        <v>The Uncommon</v>
      </c>
      <c r="C648" t="str">
        <f>[1]DATABASE!C609</f>
        <v>402</v>
      </c>
      <c r="D648" t="str">
        <f>TRIM([1]DATABASE!Q609)</f>
        <v>AVAILABLE</v>
      </c>
      <c r="E648" s="82" t="str">
        <f>_xlfn.TEXTJOIN("; ",TRUE,IF([1]DATABASE!X609&lt;0,"Negative Discount",""),IF(AND([1]DATABASE!Y609&gt;[1]DATABASE!T609,[1]DATABASE!Y609&gt;0,[1]DATABASE!T609&gt;0),"Sell Price &gt; Current",""),IF(AND(TRIM([1]DATABASE!Q609)="DEED",[1]DATABASE!AA609=""),"Deeded no PSPA Date",""),IF([1]DATABASE!E609="","Missing Typology",""),IF([1]DATABASE!AJ609="","Missing Development",""))</f>
        <v/>
      </c>
      <c r="F648" s="82" t="str">
        <f>_xlfn.TEXTJOIN("; ",TRUE,IF(AND(OR(TRIM([1]DATABASE!Q609)="RESERVED",TRIM([1]DATABASE!Q609)="PRE-RESERVED",TRIM([1]DATABASE!Q609)="PSPA"),[1]DATABASE!AA609=""),"Reserved/PSPA no PSPA Date",""),IF(AND(TRIM([1]DATABASE!Q609)="AVAILABLE",[1]DATABASE!AA609&lt;&gt;""),"Available has PSPA Date",""))</f>
        <v/>
      </c>
      <c r="G648" s="82" t="str">
        <f>_xlfn.TEXTJOIN("; ",TRUE,IF(AND([1]DATABASE!T609&lt;0.8*[1]DATABASE!S609,[1]DATABASE!T609&gt;0,[1]DATABASE!S609&gt;0),"Heavy Price Cut &gt;20%",""),IF(AND(OR(TRIM([1]DATABASE!Q609)="AVAILABLE",TRIM([1]DATABASE!Q609)="UPON REQUEST"),OR([1]DATABASE!T609="",[1]DATABASE!T609=0)),"Active Unit no Price",""),IF(AND(OR(TRIM([1]DATABASE!Q609)="AVAILABLE",TRIM([1]DATABASE!Q609)="RESERVED",TRIM([1]DATABASE!Q609)="PRE-RESERVED",TRIM([1]DATABASE!Q609)="PSPA"),[1]DATABASE!AC609=""),"Active no Owner",""),IF(OR([1]DATABASE!F609="",[1]DATABASE!F609&lt;=0),"Missing/Invalid Area",""),IF(AND([1]DATABASE!T609&gt;0,ABS([1]DATABASE!T609-[1]DATABASE!W609-[1]DATABASE!U609-[1]DATABASE!V609)&gt;1),"Price Bridge Mismatch",""))</f>
        <v/>
      </c>
      <c r="H648" t="str">
        <f t="shared" si="12"/>
        <v>PASS</v>
      </c>
      <c r="I648" s="90">
        <f>[1]DATABASE!T609</f>
        <v>1290000</v>
      </c>
      <c r="J648" t="str">
        <f>[1]DATABASE!AC609</f>
        <v>Ana Damásio</v>
      </c>
    </row>
    <row r="649" spans="1:10" ht="13.95" customHeight="1" x14ac:dyDescent="0.3">
      <c r="A649">
        <f>ROW([1]DATABASE!A610)</f>
        <v>610</v>
      </c>
      <c r="B649" t="str">
        <f>[1]DATABASE!AJ610</f>
        <v>Aroeira Collections</v>
      </c>
      <c r="C649" t="str">
        <f>[1]DATABASE!C610</f>
        <v>218A</v>
      </c>
      <c r="D649" t="str">
        <f>TRIM([1]DATABASE!Q610)</f>
        <v>AVAILABLE</v>
      </c>
      <c r="E649" s="82" t="str">
        <f>_xlfn.TEXTJOIN("; ",TRUE,IF([1]DATABASE!X610&lt;0,"Negative Discount",""),IF(AND([1]DATABASE!Y610&gt;[1]DATABASE!T610,[1]DATABASE!Y610&gt;0,[1]DATABASE!T610&gt;0),"Sell Price &gt; Current",""),IF(AND(TRIM([1]DATABASE!Q610)="DEED",[1]DATABASE!AA610=""),"Deeded no PSPA Date",""),IF([1]DATABASE!E610="","Missing Typology",""),IF([1]DATABASE!AJ610="","Missing Development",""))</f>
        <v/>
      </c>
      <c r="F649" s="82" t="str">
        <f>_xlfn.TEXTJOIN("; ",TRUE,IF(AND(OR(TRIM([1]DATABASE!Q610)="RESERVED",TRIM([1]DATABASE!Q610)="PRE-RESERVED",TRIM([1]DATABASE!Q610)="PSPA"),[1]DATABASE!AA610=""),"Reserved/PSPA no PSPA Date",""),IF(AND(TRIM([1]DATABASE!Q610)="AVAILABLE",[1]DATABASE!AA610&lt;&gt;""),"Available has PSPA Date",""))</f>
        <v/>
      </c>
      <c r="G649" s="82" t="str">
        <f>_xlfn.TEXTJOIN("; ",TRUE,IF(AND([1]DATABASE!T610&lt;0.8*[1]DATABASE!S610,[1]DATABASE!T610&gt;0,[1]DATABASE!S610&gt;0),"Heavy Price Cut &gt;20%",""),IF(AND(OR(TRIM([1]DATABASE!Q610)="AVAILABLE",TRIM([1]DATABASE!Q610)="UPON REQUEST"),OR([1]DATABASE!T610="",[1]DATABASE!T610=0)),"Active Unit no Price",""),IF(AND(OR(TRIM([1]DATABASE!Q610)="AVAILABLE",TRIM([1]DATABASE!Q610)="RESERVED",TRIM([1]DATABASE!Q610)="PRE-RESERVED",TRIM([1]DATABASE!Q610)="PSPA"),[1]DATABASE!AC610=""),"Active no Owner",""),IF(OR([1]DATABASE!F610="",[1]DATABASE!F610&lt;=0),"Missing/Invalid Area",""),IF(AND([1]DATABASE!T610&gt;0,ABS([1]DATABASE!T610-[1]DATABASE!W610-[1]DATABASE!U610-[1]DATABASE!V610)&gt;1),"Price Bridge Mismatch",""))</f>
        <v/>
      </c>
      <c r="H649" t="str">
        <f t="shared" si="12"/>
        <v>PASS</v>
      </c>
      <c r="I649" s="90">
        <f>[1]DATABASE!T610</f>
        <v>450000</v>
      </c>
      <c r="J649" t="str">
        <f>[1]DATABASE!AC610</f>
        <v>João Gameiro</v>
      </c>
    </row>
    <row r="650" spans="1:10" ht="13.95" customHeight="1" x14ac:dyDescent="0.3">
      <c r="A650">
        <f>ROW([1]DATABASE!A611)</f>
        <v>611</v>
      </c>
      <c r="B650" t="str">
        <f>[1]DATABASE!AJ611</f>
        <v>The Uncommon</v>
      </c>
      <c r="C650" t="str">
        <f>[1]DATABASE!C611</f>
        <v>403</v>
      </c>
      <c r="D650" t="str">
        <f>TRIM([1]DATABASE!Q611)</f>
        <v>AVAILABLE</v>
      </c>
      <c r="E650" s="82" t="str">
        <f>_xlfn.TEXTJOIN("; ",TRUE,IF([1]DATABASE!X611&lt;0,"Negative Discount",""),IF(AND([1]DATABASE!Y611&gt;[1]DATABASE!T611,[1]DATABASE!Y611&gt;0,[1]DATABASE!T611&gt;0),"Sell Price &gt; Current",""),IF(AND(TRIM([1]DATABASE!Q611)="DEED",[1]DATABASE!AA611=""),"Deeded no PSPA Date",""),IF([1]DATABASE!E611="","Missing Typology",""),IF([1]DATABASE!AJ611="","Missing Development",""))</f>
        <v/>
      </c>
      <c r="F650" s="82" t="str">
        <f>_xlfn.TEXTJOIN("; ",TRUE,IF(AND(OR(TRIM([1]DATABASE!Q611)="RESERVED",TRIM([1]DATABASE!Q611)="PRE-RESERVED",TRIM([1]DATABASE!Q611)="PSPA"),[1]DATABASE!AA611=""),"Reserved/PSPA no PSPA Date",""),IF(AND(TRIM([1]DATABASE!Q611)="AVAILABLE",[1]DATABASE!AA611&lt;&gt;""),"Available has PSPA Date",""))</f>
        <v/>
      </c>
      <c r="G650" s="82" t="str">
        <f>_xlfn.TEXTJOIN("; ",TRUE,IF(AND([1]DATABASE!T611&lt;0.8*[1]DATABASE!S611,[1]DATABASE!T611&gt;0,[1]DATABASE!S611&gt;0),"Heavy Price Cut &gt;20%",""),IF(AND(OR(TRIM([1]DATABASE!Q611)="AVAILABLE",TRIM([1]DATABASE!Q611)="UPON REQUEST"),OR([1]DATABASE!T611="",[1]DATABASE!T611=0)),"Active Unit no Price",""),IF(AND(OR(TRIM([1]DATABASE!Q611)="AVAILABLE",TRIM([1]DATABASE!Q611)="RESERVED",TRIM([1]DATABASE!Q611)="PRE-RESERVED",TRIM([1]DATABASE!Q611)="PSPA"),[1]DATABASE!AC611=""),"Active no Owner",""),IF(OR([1]DATABASE!F611="",[1]DATABASE!F611&lt;=0),"Missing/Invalid Area",""),IF(AND([1]DATABASE!T611&gt;0,ABS([1]DATABASE!T611-[1]DATABASE!W611-[1]DATABASE!U611-[1]DATABASE!V611)&gt;1),"Price Bridge Mismatch",""))</f>
        <v/>
      </c>
      <c r="H650" t="str">
        <f t="shared" si="12"/>
        <v>PASS</v>
      </c>
      <c r="I650" s="90">
        <f>[1]DATABASE!T611</f>
        <v>1210000</v>
      </c>
      <c r="J650" t="str">
        <f>[1]DATABASE!AC611</f>
        <v>Ana Damásio</v>
      </c>
    </row>
    <row r="651" spans="1:10" ht="13.95" customHeight="1" x14ac:dyDescent="0.3">
      <c r="A651">
        <f>ROW([1]DATABASE!A612)</f>
        <v>612</v>
      </c>
      <c r="B651" t="str">
        <f>[1]DATABASE!AJ612</f>
        <v>The Uncommon</v>
      </c>
      <c r="C651" t="str">
        <f>[1]DATABASE!C612</f>
        <v>404</v>
      </c>
      <c r="D651" t="str">
        <f>TRIM([1]DATABASE!Q612)</f>
        <v>AVAILABLE</v>
      </c>
      <c r="E651" s="82" t="str">
        <f>_xlfn.TEXTJOIN("; ",TRUE,IF([1]DATABASE!X612&lt;0,"Negative Discount",""),IF(AND([1]DATABASE!Y612&gt;[1]DATABASE!T612,[1]DATABASE!Y612&gt;0,[1]DATABASE!T612&gt;0),"Sell Price &gt; Current",""),IF(AND(TRIM([1]DATABASE!Q612)="DEED",[1]DATABASE!AA612=""),"Deeded no PSPA Date",""),IF([1]DATABASE!E612="","Missing Typology",""),IF([1]DATABASE!AJ612="","Missing Development",""))</f>
        <v/>
      </c>
      <c r="F651" s="82" t="str">
        <f>_xlfn.TEXTJOIN("; ",TRUE,IF(AND(OR(TRIM([1]DATABASE!Q612)="RESERVED",TRIM([1]DATABASE!Q612)="PRE-RESERVED",TRIM([1]DATABASE!Q612)="PSPA"),[1]DATABASE!AA612=""),"Reserved/PSPA no PSPA Date",""),IF(AND(TRIM([1]DATABASE!Q612)="AVAILABLE",[1]DATABASE!AA612&lt;&gt;""),"Available has PSPA Date",""))</f>
        <v/>
      </c>
      <c r="G651" s="82" t="str">
        <f>_xlfn.TEXTJOIN("; ",TRUE,IF(AND([1]DATABASE!T612&lt;0.8*[1]DATABASE!S612,[1]DATABASE!T612&gt;0,[1]DATABASE!S612&gt;0),"Heavy Price Cut &gt;20%",""),IF(AND(OR(TRIM([1]DATABASE!Q612)="AVAILABLE",TRIM([1]DATABASE!Q612)="UPON REQUEST"),OR([1]DATABASE!T612="",[1]DATABASE!T612=0)),"Active Unit no Price",""),IF(AND(OR(TRIM([1]DATABASE!Q612)="AVAILABLE",TRIM([1]DATABASE!Q612)="RESERVED",TRIM([1]DATABASE!Q612)="PRE-RESERVED",TRIM([1]DATABASE!Q612)="PSPA"),[1]DATABASE!AC612=""),"Active no Owner",""),IF(OR([1]DATABASE!F612="",[1]DATABASE!F612&lt;=0),"Missing/Invalid Area",""),IF(AND([1]DATABASE!T612&gt;0,ABS([1]DATABASE!T612-[1]DATABASE!W612-[1]DATABASE!U612-[1]DATABASE!V612)&gt;1),"Price Bridge Mismatch",""))</f>
        <v/>
      </c>
      <c r="H651" t="str">
        <f t="shared" si="12"/>
        <v>PASS</v>
      </c>
      <c r="I651" s="90">
        <f>[1]DATABASE!T612</f>
        <v>1120000</v>
      </c>
      <c r="J651" t="str">
        <f>[1]DATABASE!AC612</f>
        <v>Ana Damásio</v>
      </c>
    </row>
    <row r="652" spans="1:10" ht="13.95" customHeight="1" x14ac:dyDescent="0.3">
      <c r="A652">
        <f>ROW([1]DATABASE!A613)</f>
        <v>613</v>
      </c>
      <c r="B652" t="str">
        <f>[1]DATABASE!AJ613</f>
        <v>The Uncommon</v>
      </c>
      <c r="C652" t="str">
        <f>[1]DATABASE!C613</f>
        <v>405</v>
      </c>
      <c r="D652" t="str">
        <f>TRIM([1]DATABASE!Q613)</f>
        <v>AVAILABLE</v>
      </c>
      <c r="E652" s="82" t="str">
        <f>_xlfn.TEXTJOIN("; ",TRUE,IF([1]DATABASE!X613&lt;0,"Negative Discount",""),IF(AND([1]DATABASE!Y613&gt;[1]DATABASE!T613,[1]DATABASE!Y613&gt;0,[1]DATABASE!T613&gt;0),"Sell Price &gt; Current",""),IF(AND(TRIM([1]DATABASE!Q613)="DEED",[1]DATABASE!AA613=""),"Deeded no PSPA Date",""),IF([1]DATABASE!E613="","Missing Typology",""),IF([1]DATABASE!AJ613="","Missing Development",""))</f>
        <v/>
      </c>
      <c r="F652" s="82" t="str">
        <f>_xlfn.TEXTJOIN("; ",TRUE,IF(AND(OR(TRIM([1]DATABASE!Q613)="RESERVED",TRIM([1]DATABASE!Q613)="PRE-RESERVED",TRIM([1]DATABASE!Q613)="PSPA"),[1]DATABASE!AA613=""),"Reserved/PSPA no PSPA Date",""),IF(AND(TRIM([1]DATABASE!Q613)="AVAILABLE",[1]DATABASE!AA613&lt;&gt;""),"Available has PSPA Date",""))</f>
        <v/>
      </c>
      <c r="G652" s="82" t="str">
        <f>_xlfn.TEXTJOIN("; ",TRUE,IF(AND([1]DATABASE!T613&lt;0.8*[1]DATABASE!S613,[1]DATABASE!T613&gt;0,[1]DATABASE!S613&gt;0),"Heavy Price Cut &gt;20%",""),IF(AND(OR(TRIM([1]DATABASE!Q613)="AVAILABLE",TRIM([1]DATABASE!Q613)="UPON REQUEST"),OR([1]DATABASE!T613="",[1]DATABASE!T613=0)),"Active Unit no Price",""),IF(AND(OR(TRIM([1]DATABASE!Q613)="AVAILABLE",TRIM([1]DATABASE!Q613)="RESERVED",TRIM([1]DATABASE!Q613)="PRE-RESERVED",TRIM([1]DATABASE!Q613)="PSPA"),[1]DATABASE!AC613=""),"Active no Owner",""),IF(OR([1]DATABASE!F613="",[1]DATABASE!F613&lt;=0),"Missing/Invalid Area",""),IF(AND([1]DATABASE!T613&gt;0,ABS([1]DATABASE!T613-[1]DATABASE!W613-[1]DATABASE!U613-[1]DATABASE!V613)&gt;1),"Price Bridge Mismatch",""))</f>
        <v/>
      </c>
      <c r="H652" t="str">
        <f t="shared" si="12"/>
        <v>PASS</v>
      </c>
      <c r="I652" s="90">
        <f>[1]DATABASE!T613</f>
        <v>1200000</v>
      </c>
      <c r="J652" t="str">
        <f>[1]DATABASE!AC613</f>
        <v>Ana Damásio</v>
      </c>
    </row>
    <row r="653" spans="1:10" ht="13.95" customHeight="1" x14ac:dyDescent="0.3">
      <c r="A653">
        <f>ROW([1]DATABASE!A614)</f>
        <v>614</v>
      </c>
      <c r="B653" t="str">
        <f>[1]DATABASE!AJ614</f>
        <v>The Uncommon</v>
      </c>
      <c r="C653" t="str">
        <f>[1]DATABASE!C614</f>
        <v>406</v>
      </c>
      <c r="D653" t="str">
        <f>TRIM([1]DATABASE!Q614)</f>
        <v>AVAILABLE</v>
      </c>
      <c r="E653" s="82" t="str">
        <f>_xlfn.TEXTJOIN("; ",TRUE,IF([1]DATABASE!X614&lt;0,"Negative Discount",""),IF(AND([1]DATABASE!Y614&gt;[1]DATABASE!T614,[1]DATABASE!Y614&gt;0,[1]DATABASE!T614&gt;0),"Sell Price &gt; Current",""),IF(AND(TRIM([1]DATABASE!Q614)="DEED",[1]DATABASE!AA614=""),"Deeded no PSPA Date",""),IF([1]DATABASE!E614="","Missing Typology",""),IF([1]DATABASE!AJ614="","Missing Development",""))</f>
        <v/>
      </c>
      <c r="F653" s="82" t="str">
        <f>_xlfn.TEXTJOIN("; ",TRUE,IF(AND(OR(TRIM([1]DATABASE!Q614)="RESERVED",TRIM([1]DATABASE!Q614)="PRE-RESERVED",TRIM([1]DATABASE!Q614)="PSPA"),[1]DATABASE!AA614=""),"Reserved/PSPA no PSPA Date",""),IF(AND(TRIM([1]DATABASE!Q614)="AVAILABLE",[1]DATABASE!AA614&lt;&gt;""),"Available has PSPA Date",""))</f>
        <v/>
      </c>
      <c r="G653" s="82" t="str">
        <f>_xlfn.TEXTJOIN("; ",TRUE,IF(AND([1]DATABASE!T614&lt;0.8*[1]DATABASE!S614,[1]DATABASE!T614&gt;0,[1]DATABASE!S614&gt;0),"Heavy Price Cut &gt;20%",""),IF(AND(OR(TRIM([1]DATABASE!Q614)="AVAILABLE",TRIM([1]DATABASE!Q614)="UPON REQUEST"),OR([1]DATABASE!T614="",[1]DATABASE!T614=0)),"Active Unit no Price",""),IF(AND(OR(TRIM([1]DATABASE!Q614)="AVAILABLE",TRIM([1]DATABASE!Q614)="RESERVED",TRIM([1]DATABASE!Q614)="PRE-RESERVED",TRIM([1]DATABASE!Q614)="PSPA"),[1]DATABASE!AC614=""),"Active no Owner",""),IF(OR([1]DATABASE!F614="",[1]DATABASE!F614&lt;=0),"Missing/Invalid Area",""),IF(AND([1]DATABASE!T614&gt;0,ABS([1]DATABASE!T614-[1]DATABASE!W614-[1]DATABASE!U614-[1]DATABASE!V614)&gt;1),"Price Bridge Mismatch",""))</f>
        <v/>
      </c>
      <c r="H653" t="str">
        <f t="shared" si="12"/>
        <v>PASS</v>
      </c>
      <c r="I653" s="90">
        <f>[1]DATABASE!T614</f>
        <v>1290000</v>
      </c>
      <c r="J653" t="str">
        <f>[1]DATABASE!AC614</f>
        <v>Ana Damásio</v>
      </c>
    </row>
    <row r="654" spans="1:10" ht="13.95" customHeight="1" x14ac:dyDescent="0.3">
      <c r="A654">
        <f>ROW([1]DATABASE!A615)</f>
        <v>615</v>
      </c>
      <c r="B654" t="str">
        <f>[1]DATABASE!AJ615</f>
        <v>The Uncommon</v>
      </c>
      <c r="C654" t="str">
        <f>[1]DATABASE!C615</f>
        <v>407</v>
      </c>
      <c r="D654" t="str">
        <f>TRIM([1]DATABASE!Q615)</f>
        <v>AVAILABLE</v>
      </c>
      <c r="E654" s="82" t="str">
        <f>_xlfn.TEXTJOIN("; ",TRUE,IF([1]DATABASE!X615&lt;0,"Negative Discount",""),IF(AND([1]DATABASE!Y615&gt;[1]DATABASE!T615,[1]DATABASE!Y615&gt;0,[1]DATABASE!T615&gt;0),"Sell Price &gt; Current",""),IF(AND(TRIM([1]DATABASE!Q615)="DEED",[1]DATABASE!AA615=""),"Deeded no PSPA Date",""),IF([1]DATABASE!E615="","Missing Typology",""),IF([1]DATABASE!AJ615="","Missing Development",""))</f>
        <v/>
      </c>
      <c r="F654" s="82" t="str">
        <f>_xlfn.TEXTJOIN("; ",TRUE,IF(AND(OR(TRIM([1]DATABASE!Q615)="RESERVED",TRIM([1]DATABASE!Q615)="PRE-RESERVED",TRIM([1]DATABASE!Q615)="PSPA"),[1]DATABASE!AA615=""),"Reserved/PSPA no PSPA Date",""),IF(AND(TRIM([1]DATABASE!Q615)="AVAILABLE",[1]DATABASE!AA615&lt;&gt;""),"Available has PSPA Date",""))</f>
        <v/>
      </c>
      <c r="G654" s="82" t="str">
        <f>_xlfn.TEXTJOIN("; ",TRUE,IF(AND([1]DATABASE!T615&lt;0.8*[1]DATABASE!S615,[1]DATABASE!T615&gt;0,[1]DATABASE!S615&gt;0),"Heavy Price Cut &gt;20%",""),IF(AND(OR(TRIM([1]DATABASE!Q615)="AVAILABLE",TRIM([1]DATABASE!Q615)="UPON REQUEST"),OR([1]DATABASE!T615="",[1]DATABASE!T615=0)),"Active Unit no Price",""),IF(AND(OR(TRIM([1]DATABASE!Q615)="AVAILABLE",TRIM([1]DATABASE!Q615)="RESERVED",TRIM([1]DATABASE!Q615)="PRE-RESERVED",TRIM([1]DATABASE!Q615)="PSPA"),[1]DATABASE!AC615=""),"Active no Owner",""),IF(OR([1]DATABASE!F615="",[1]DATABASE!F615&lt;=0),"Missing/Invalid Area",""),IF(AND([1]DATABASE!T615&gt;0,ABS([1]DATABASE!T615-[1]DATABASE!W615-[1]DATABASE!U615-[1]DATABASE!V615)&gt;1),"Price Bridge Mismatch",""))</f>
        <v/>
      </c>
      <c r="H654" t="str">
        <f t="shared" si="12"/>
        <v>PASS</v>
      </c>
      <c r="I654" s="90">
        <f>[1]DATABASE!T615</f>
        <v>1370000</v>
      </c>
      <c r="J654" t="str">
        <f>[1]DATABASE!AC615</f>
        <v>Ana Damásio</v>
      </c>
    </row>
    <row r="655" spans="1:10" ht="13.95" customHeight="1" x14ac:dyDescent="0.3">
      <c r="A655">
        <f>ROW([1]DATABASE!A616)</f>
        <v>616</v>
      </c>
      <c r="B655" t="str">
        <f>[1]DATABASE!AJ616</f>
        <v>The Uncommon</v>
      </c>
      <c r="C655" t="str">
        <f>[1]DATABASE!C616</f>
        <v>408</v>
      </c>
      <c r="D655" t="str">
        <f>TRIM([1]DATABASE!Q616)</f>
        <v>AVAILABLE</v>
      </c>
      <c r="E655" s="82" t="str">
        <f>_xlfn.TEXTJOIN("; ",TRUE,IF([1]DATABASE!X616&lt;0,"Negative Discount",""),IF(AND([1]DATABASE!Y616&gt;[1]DATABASE!T616,[1]DATABASE!Y616&gt;0,[1]DATABASE!T616&gt;0),"Sell Price &gt; Current",""),IF(AND(TRIM([1]DATABASE!Q616)="DEED",[1]DATABASE!AA616=""),"Deeded no PSPA Date",""),IF([1]DATABASE!E616="","Missing Typology",""),IF([1]DATABASE!AJ616="","Missing Development",""))</f>
        <v/>
      </c>
      <c r="F655" s="82" t="str">
        <f>_xlfn.TEXTJOIN("; ",TRUE,IF(AND(OR(TRIM([1]DATABASE!Q616)="RESERVED",TRIM([1]DATABASE!Q616)="PRE-RESERVED",TRIM([1]DATABASE!Q616)="PSPA"),[1]DATABASE!AA616=""),"Reserved/PSPA no PSPA Date",""),IF(AND(TRIM([1]DATABASE!Q616)="AVAILABLE",[1]DATABASE!AA616&lt;&gt;""),"Available has PSPA Date",""))</f>
        <v/>
      </c>
      <c r="G655" s="82" t="str">
        <f>_xlfn.TEXTJOIN("; ",TRUE,IF(AND([1]DATABASE!T616&lt;0.8*[1]DATABASE!S616,[1]DATABASE!T616&gt;0,[1]DATABASE!S616&gt;0),"Heavy Price Cut &gt;20%",""),IF(AND(OR(TRIM([1]DATABASE!Q616)="AVAILABLE",TRIM([1]DATABASE!Q616)="UPON REQUEST"),OR([1]DATABASE!T616="",[1]DATABASE!T616=0)),"Active Unit no Price",""),IF(AND(OR(TRIM([1]DATABASE!Q616)="AVAILABLE",TRIM([1]DATABASE!Q616)="RESERVED",TRIM([1]DATABASE!Q616)="PRE-RESERVED",TRIM([1]DATABASE!Q616)="PSPA"),[1]DATABASE!AC616=""),"Active no Owner",""),IF(OR([1]DATABASE!F616="",[1]DATABASE!F616&lt;=0),"Missing/Invalid Area",""),IF(AND([1]DATABASE!T616&gt;0,ABS([1]DATABASE!T616-[1]DATABASE!W616-[1]DATABASE!U616-[1]DATABASE!V616)&gt;1),"Price Bridge Mismatch",""))</f>
        <v/>
      </c>
      <c r="H655" t="str">
        <f t="shared" si="12"/>
        <v>PASS</v>
      </c>
      <c r="I655" s="90">
        <f>[1]DATABASE!T616</f>
        <v>1430000</v>
      </c>
      <c r="J655" t="str">
        <f>[1]DATABASE!AC616</f>
        <v>Ana Damásio</v>
      </c>
    </row>
    <row r="656" spans="1:10" ht="13.95" customHeight="1" x14ac:dyDescent="0.3">
      <c r="A656">
        <f>ROW([1]DATABASE!A617)</f>
        <v>617</v>
      </c>
      <c r="B656" t="str">
        <f>[1]DATABASE!AJ617</f>
        <v>Palmares</v>
      </c>
      <c r="C656" t="str">
        <f>[1]DATABASE!C617</f>
        <v>76</v>
      </c>
      <c r="D656" t="str">
        <f>TRIM([1]DATABASE!Q617)</f>
        <v>AVAILABLE</v>
      </c>
      <c r="E656" s="82" t="str">
        <f>_xlfn.TEXTJOIN("; ",TRUE,IF([1]DATABASE!X617&lt;0,"Negative Discount",""),IF(AND([1]DATABASE!Y617&gt;[1]DATABASE!T617,[1]DATABASE!Y617&gt;0,[1]DATABASE!T617&gt;0),"Sell Price &gt; Current",""),IF(AND(TRIM([1]DATABASE!Q617)="DEED",[1]DATABASE!AA617=""),"Deeded no PSPA Date",""),IF([1]DATABASE!E617="","Missing Typology",""),IF([1]DATABASE!AJ617="","Missing Development",""))</f>
        <v/>
      </c>
      <c r="F656" s="82" t="str">
        <f>_xlfn.TEXTJOIN("; ",TRUE,IF(AND(OR(TRIM([1]DATABASE!Q617)="RESERVED",TRIM([1]DATABASE!Q617)="PRE-RESERVED",TRIM([1]DATABASE!Q617)="PSPA"),[1]DATABASE!AA617=""),"Reserved/PSPA no PSPA Date",""),IF(AND(TRIM([1]DATABASE!Q617)="AVAILABLE",[1]DATABASE!AA617&lt;&gt;""),"Available has PSPA Date",""))</f>
        <v/>
      </c>
      <c r="G656" s="82" t="str">
        <f>_xlfn.TEXTJOIN("; ",TRUE,IF(AND([1]DATABASE!T617&lt;0.8*[1]DATABASE!S617,[1]DATABASE!T617&gt;0,[1]DATABASE!S617&gt;0),"Heavy Price Cut &gt;20%",""),IF(AND(OR(TRIM([1]DATABASE!Q617)="AVAILABLE",TRIM([1]DATABASE!Q617)="UPON REQUEST"),OR([1]DATABASE!T617="",[1]DATABASE!T617=0)),"Active Unit no Price",""),IF(AND(OR(TRIM([1]DATABASE!Q617)="AVAILABLE",TRIM([1]DATABASE!Q617)="RESERVED",TRIM([1]DATABASE!Q617)="PRE-RESERVED",TRIM([1]DATABASE!Q617)="PSPA"),[1]DATABASE!AC617=""),"Active no Owner",""),IF(OR([1]DATABASE!F617="",[1]DATABASE!F617&lt;=0),"Missing/Invalid Area",""),IF(AND([1]DATABASE!T617&gt;0,ABS([1]DATABASE!T617-[1]DATABASE!W617-[1]DATABASE!U617-[1]DATABASE!V617)&gt;1),"Price Bridge Mismatch",""))</f>
        <v/>
      </c>
      <c r="H656" t="str">
        <f t="shared" si="12"/>
        <v>PASS</v>
      </c>
      <c r="I656" s="90">
        <f>[1]DATABASE!T617</f>
        <v>1600000</v>
      </c>
      <c r="J656" t="str">
        <f>[1]DATABASE!AC617</f>
        <v>Sandra Viegas</v>
      </c>
    </row>
    <row r="657" spans="1:10" ht="13.95" customHeight="1" x14ac:dyDescent="0.3">
      <c r="A657">
        <f>ROW([1]DATABASE!A618)</f>
        <v>618</v>
      </c>
      <c r="B657" t="str">
        <f>[1]DATABASE!AJ618</f>
        <v>Palmares</v>
      </c>
      <c r="C657" t="str">
        <f>[1]DATABASE!C618</f>
        <v>97</v>
      </c>
      <c r="D657" t="str">
        <f>TRIM([1]DATABASE!Q618)</f>
        <v>AVAILABLE</v>
      </c>
      <c r="E657" s="82" t="str">
        <f>_xlfn.TEXTJOIN("; ",TRUE,IF([1]DATABASE!X618&lt;0,"Negative Discount",""),IF(AND([1]DATABASE!Y618&gt;[1]DATABASE!T618,[1]DATABASE!Y618&gt;0,[1]DATABASE!T618&gt;0),"Sell Price &gt; Current",""),IF(AND(TRIM([1]DATABASE!Q618)="DEED",[1]DATABASE!AA618=""),"Deeded no PSPA Date",""),IF([1]DATABASE!E618="","Missing Typology",""),IF([1]DATABASE!AJ618="","Missing Development",""))</f>
        <v/>
      </c>
      <c r="F657" s="82" t="str">
        <f>_xlfn.TEXTJOIN("; ",TRUE,IF(AND(OR(TRIM([1]DATABASE!Q618)="RESERVED",TRIM([1]DATABASE!Q618)="PRE-RESERVED",TRIM([1]DATABASE!Q618)="PSPA"),[1]DATABASE!AA618=""),"Reserved/PSPA no PSPA Date",""),IF(AND(TRIM([1]DATABASE!Q618)="AVAILABLE",[1]DATABASE!AA618&lt;&gt;""),"Available has PSPA Date",""))</f>
        <v/>
      </c>
      <c r="G657" s="82" t="str">
        <f>_xlfn.TEXTJOIN("; ",TRUE,IF(AND([1]DATABASE!T618&lt;0.8*[1]DATABASE!S618,[1]DATABASE!T618&gt;0,[1]DATABASE!S618&gt;0),"Heavy Price Cut &gt;20%",""),IF(AND(OR(TRIM([1]DATABASE!Q618)="AVAILABLE",TRIM([1]DATABASE!Q618)="UPON REQUEST"),OR([1]DATABASE!T618="",[1]DATABASE!T618=0)),"Active Unit no Price",""),IF(AND(OR(TRIM([1]DATABASE!Q618)="AVAILABLE",TRIM([1]DATABASE!Q618)="RESERVED",TRIM([1]DATABASE!Q618)="PRE-RESERVED",TRIM([1]DATABASE!Q618)="PSPA"),[1]DATABASE!AC618=""),"Active no Owner",""),IF(OR([1]DATABASE!F618="",[1]DATABASE!F618&lt;=0),"Missing/Invalid Area",""),IF(AND([1]DATABASE!T618&gt;0,ABS([1]DATABASE!T618-[1]DATABASE!W618-[1]DATABASE!U618-[1]DATABASE!V618)&gt;1),"Price Bridge Mismatch",""))</f>
        <v/>
      </c>
      <c r="H657" t="str">
        <f t="shared" si="12"/>
        <v>PASS</v>
      </c>
      <c r="I657" s="90">
        <f>[1]DATABASE!T618</f>
        <v>1300000</v>
      </c>
      <c r="J657" t="str">
        <f>[1]DATABASE!AC618</f>
        <v>Sandra Viegas</v>
      </c>
    </row>
    <row r="658" spans="1:10" ht="13.95" customHeight="1" x14ac:dyDescent="0.3">
      <c r="A658">
        <f>ROW([1]DATABASE!A619)</f>
        <v>619</v>
      </c>
      <c r="B658" t="str">
        <f>[1]DATABASE!AJ619</f>
        <v>Aroeira Collections</v>
      </c>
      <c r="C658" t="str">
        <f>[1]DATABASE!C619</f>
        <v>218B</v>
      </c>
      <c r="D658" t="str">
        <f>TRIM([1]DATABASE!Q619)</f>
        <v>NOT FOR SALE</v>
      </c>
      <c r="E658" s="82" t="str">
        <f>_xlfn.TEXTJOIN("; ",TRUE,IF([1]DATABASE!X619&lt;0,"Negative Discount",""),IF(AND([1]DATABASE!Y619&gt;[1]DATABASE!T619,[1]DATABASE!Y619&gt;0,[1]DATABASE!T619&gt;0),"Sell Price &gt; Current",""),IF(AND(TRIM([1]DATABASE!Q619)="DEED",[1]DATABASE!AA619=""),"Deeded no PSPA Date",""),IF([1]DATABASE!E619="","Missing Typology",""),IF([1]DATABASE!AJ619="","Missing Development",""))</f>
        <v/>
      </c>
      <c r="F658" s="82" t="str">
        <f>_xlfn.TEXTJOIN("; ",TRUE,IF(AND(OR(TRIM([1]DATABASE!Q619)="RESERVED",TRIM([1]DATABASE!Q619)="PRE-RESERVED",TRIM([1]DATABASE!Q619)="PSPA"),[1]DATABASE!AA619=""),"Reserved/PSPA no PSPA Date",""),IF(AND(TRIM([1]DATABASE!Q619)="AVAILABLE",[1]DATABASE!AA619&lt;&gt;""),"Available has PSPA Date",""))</f>
        <v/>
      </c>
      <c r="G658" s="82" t="str">
        <f>_xlfn.TEXTJOIN("; ",TRUE,IF(AND([1]DATABASE!T619&lt;0.8*[1]DATABASE!S619,[1]DATABASE!T619&gt;0,[1]DATABASE!S619&gt;0),"Heavy Price Cut &gt;20%",""),IF(AND(OR(TRIM([1]DATABASE!Q619)="AVAILABLE",TRIM([1]DATABASE!Q619)="UPON REQUEST"),OR([1]DATABASE!T619="",[1]DATABASE!T619=0)),"Active Unit no Price",""),IF(AND(OR(TRIM([1]DATABASE!Q619)="AVAILABLE",TRIM([1]DATABASE!Q619)="RESERVED",TRIM([1]DATABASE!Q619)="PRE-RESERVED",TRIM([1]DATABASE!Q619)="PSPA"),[1]DATABASE!AC619=""),"Active no Owner",""),IF(OR([1]DATABASE!F619="",[1]DATABASE!F619&lt;=0),"Missing/Invalid Area",""),IF(AND([1]DATABASE!T619&gt;0,ABS([1]DATABASE!T619-[1]DATABASE!W619-[1]DATABASE!U619-[1]DATABASE!V619)&gt;1),"Price Bridge Mismatch",""))</f>
        <v/>
      </c>
      <c r="H658" t="str">
        <f t="shared" si="12"/>
        <v>PASS</v>
      </c>
      <c r="I658" s="90">
        <f>[1]DATABASE!T619</f>
        <v>780000</v>
      </c>
      <c r="J658" t="str">
        <f>[1]DATABASE!AC619</f>
        <v>João Gameiro</v>
      </c>
    </row>
    <row r="659" spans="1:10" ht="13.95" customHeight="1" x14ac:dyDescent="0.3">
      <c r="A659">
        <f>ROW([1]DATABASE!A620)</f>
        <v>620</v>
      </c>
      <c r="B659" t="str">
        <f>[1]DATABASE!AJ620</f>
        <v>Aroeira Collections</v>
      </c>
      <c r="C659" t="str">
        <f>[1]DATABASE!C620</f>
        <v>219A</v>
      </c>
      <c r="D659" t="str">
        <f>TRIM([1]DATABASE!Q620)</f>
        <v>AVAILABLE</v>
      </c>
      <c r="E659" s="82" t="str">
        <f>_xlfn.TEXTJOIN("; ",TRUE,IF([1]DATABASE!X620&lt;0,"Negative Discount",""),IF(AND([1]DATABASE!Y620&gt;[1]DATABASE!T620,[1]DATABASE!Y620&gt;0,[1]DATABASE!T620&gt;0),"Sell Price &gt; Current",""),IF(AND(TRIM([1]DATABASE!Q620)="DEED",[1]DATABASE!AA620=""),"Deeded no PSPA Date",""),IF([1]DATABASE!E620="","Missing Typology",""),IF([1]DATABASE!AJ620="","Missing Development",""))</f>
        <v/>
      </c>
      <c r="F659" s="82" t="str">
        <f>_xlfn.TEXTJOIN("; ",TRUE,IF(AND(OR(TRIM([1]DATABASE!Q620)="RESERVED",TRIM([1]DATABASE!Q620)="PRE-RESERVED",TRIM([1]DATABASE!Q620)="PSPA"),[1]DATABASE!AA620=""),"Reserved/PSPA no PSPA Date",""),IF(AND(TRIM([1]DATABASE!Q620)="AVAILABLE",[1]DATABASE!AA620&lt;&gt;""),"Available has PSPA Date",""))</f>
        <v/>
      </c>
      <c r="G659" s="82" t="str">
        <f>_xlfn.TEXTJOIN("; ",TRUE,IF(AND([1]DATABASE!T620&lt;0.8*[1]DATABASE!S620,[1]DATABASE!T620&gt;0,[1]DATABASE!S620&gt;0),"Heavy Price Cut &gt;20%",""),IF(AND(OR(TRIM([1]DATABASE!Q620)="AVAILABLE",TRIM([1]DATABASE!Q620)="UPON REQUEST"),OR([1]DATABASE!T620="",[1]DATABASE!T620=0)),"Active Unit no Price",""),IF(AND(OR(TRIM([1]DATABASE!Q620)="AVAILABLE",TRIM([1]DATABASE!Q620)="RESERVED",TRIM([1]DATABASE!Q620)="PRE-RESERVED",TRIM([1]DATABASE!Q620)="PSPA"),[1]DATABASE!AC620=""),"Active no Owner",""),IF(OR([1]DATABASE!F620="",[1]DATABASE!F620&lt;=0),"Missing/Invalid Area",""),IF(AND([1]DATABASE!T620&gt;0,ABS([1]DATABASE!T620-[1]DATABASE!W620-[1]DATABASE!U620-[1]DATABASE!V620)&gt;1),"Price Bridge Mismatch",""))</f>
        <v/>
      </c>
      <c r="H659" t="str">
        <f t="shared" si="12"/>
        <v>PASS</v>
      </c>
      <c r="I659" s="90">
        <f>[1]DATABASE!T620</f>
        <v>450000</v>
      </c>
      <c r="J659" t="str">
        <f>[1]DATABASE!AC620</f>
        <v>João Gameiro</v>
      </c>
    </row>
    <row r="660" spans="1:10" ht="13.95" customHeight="1" x14ac:dyDescent="0.3">
      <c r="A660">
        <f>ROW([1]DATABASE!A621)</f>
        <v>621</v>
      </c>
      <c r="B660" t="str">
        <f>[1]DATABASE!AJ621</f>
        <v>Aroeira Collections</v>
      </c>
      <c r="C660" t="str">
        <f>[1]DATABASE!C621</f>
        <v>219B</v>
      </c>
      <c r="D660" t="str">
        <f>TRIM([1]DATABASE!Q621)</f>
        <v>AVAILABLE</v>
      </c>
      <c r="E660" s="82" t="str">
        <f>_xlfn.TEXTJOIN("; ",TRUE,IF([1]DATABASE!X621&lt;0,"Negative Discount",""),IF(AND([1]DATABASE!Y621&gt;[1]DATABASE!T621,[1]DATABASE!Y621&gt;0,[1]DATABASE!T621&gt;0),"Sell Price &gt; Current",""),IF(AND(TRIM([1]DATABASE!Q621)="DEED",[1]DATABASE!AA621=""),"Deeded no PSPA Date",""),IF([1]DATABASE!E621="","Missing Typology",""),IF([1]DATABASE!AJ621="","Missing Development",""))</f>
        <v/>
      </c>
      <c r="F660" s="82" t="str">
        <f>_xlfn.TEXTJOIN("; ",TRUE,IF(AND(OR(TRIM([1]DATABASE!Q621)="RESERVED",TRIM([1]DATABASE!Q621)="PRE-RESERVED",TRIM([1]DATABASE!Q621)="PSPA"),[1]DATABASE!AA621=""),"Reserved/PSPA no PSPA Date",""),IF(AND(TRIM([1]DATABASE!Q621)="AVAILABLE",[1]DATABASE!AA621&lt;&gt;""),"Available has PSPA Date",""))</f>
        <v>Available has PSPA Date</v>
      </c>
      <c r="G660" s="82" t="str">
        <f>_xlfn.TEXTJOIN("; ",TRUE,IF(AND([1]DATABASE!T621&lt;0.8*[1]DATABASE!S621,[1]DATABASE!T621&gt;0,[1]DATABASE!S621&gt;0),"Heavy Price Cut &gt;20%",""),IF(AND(OR(TRIM([1]DATABASE!Q621)="AVAILABLE",TRIM([1]DATABASE!Q621)="UPON REQUEST"),OR([1]DATABASE!T621="",[1]DATABASE!T621=0)),"Active Unit no Price",""),IF(AND(OR(TRIM([1]DATABASE!Q621)="AVAILABLE",TRIM([1]DATABASE!Q621)="RESERVED",TRIM([1]DATABASE!Q621)="PRE-RESERVED",TRIM([1]DATABASE!Q621)="PSPA"),[1]DATABASE!AC621=""),"Active no Owner",""),IF(OR([1]DATABASE!F621="",[1]DATABASE!F621&lt;=0),"Missing/Invalid Area",""),IF(AND([1]DATABASE!T621&gt;0,ABS([1]DATABASE!T621-[1]DATABASE!W621-[1]DATABASE!U621-[1]DATABASE!V621)&gt;1),"Price Bridge Mismatch",""))</f>
        <v/>
      </c>
      <c r="H660" t="str">
        <f t="shared" si="12"/>
        <v>REVIEW</v>
      </c>
      <c r="I660" s="90">
        <f>[1]DATABASE!T621</f>
        <v>695000</v>
      </c>
      <c r="J660" t="str">
        <f>[1]DATABASE!AC621</f>
        <v>João Gameiro</v>
      </c>
    </row>
    <row r="661" spans="1:10" ht="13.95" customHeight="1" x14ac:dyDescent="0.3">
      <c r="A661">
        <f>ROW([1]DATABASE!A622)</f>
        <v>622</v>
      </c>
      <c r="B661" t="str">
        <f>[1]DATABASE!AJ622</f>
        <v>Aroeira Collections</v>
      </c>
      <c r="C661" t="str">
        <f>[1]DATABASE!C622</f>
        <v>21B</v>
      </c>
      <c r="D661" t="str">
        <f>TRIM([1]DATABASE!Q622)</f>
        <v>AVAILABLE</v>
      </c>
      <c r="E661" s="82" t="str">
        <f>_xlfn.TEXTJOIN("; ",TRUE,IF([1]DATABASE!X622&lt;0,"Negative Discount",""),IF(AND([1]DATABASE!Y622&gt;[1]DATABASE!T622,[1]DATABASE!Y622&gt;0,[1]DATABASE!T622&gt;0),"Sell Price &gt; Current",""),IF(AND(TRIM([1]DATABASE!Q622)="DEED",[1]DATABASE!AA622=""),"Deeded no PSPA Date",""),IF([1]DATABASE!E622="","Missing Typology",""),IF([1]DATABASE!AJ622="","Missing Development",""))</f>
        <v/>
      </c>
      <c r="F661" s="82" t="str">
        <f>_xlfn.TEXTJOIN("; ",TRUE,IF(AND(OR(TRIM([1]DATABASE!Q622)="RESERVED",TRIM([1]DATABASE!Q622)="PRE-RESERVED",TRIM([1]DATABASE!Q622)="PSPA"),[1]DATABASE!AA622=""),"Reserved/PSPA no PSPA Date",""),IF(AND(TRIM([1]DATABASE!Q622)="AVAILABLE",[1]DATABASE!AA622&lt;&gt;""),"Available has PSPA Date",""))</f>
        <v/>
      </c>
      <c r="G661" s="82" t="str">
        <f>_xlfn.TEXTJOIN("; ",TRUE,IF(AND([1]DATABASE!T622&lt;0.8*[1]DATABASE!S622,[1]DATABASE!T622&gt;0,[1]DATABASE!S622&gt;0),"Heavy Price Cut &gt;20%",""),IF(AND(OR(TRIM([1]DATABASE!Q622)="AVAILABLE",TRIM([1]DATABASE!Q622)="UPON REQUEST"),OR([1]DATABASE!T622="",[1]DATABASE!T622=0)),"Active Unit no Price",""),IF(AND(OR(TRIM([1]DATABASE!Q622)="AVAILABLE",TRIM([1]DATABASE!Q622)="RESERVED",TRIM([1]DATABASE!Q622)="PRE-RESERVED",TRIM([1]DATABASE!Q622)="PSPA"),[1]DATABASE!AC622=""),"Active no Owner",""),IF(OR([1]DATABASE!F622="",[1]DATABASE!F622&lt;=0),"Missing/Invalid Area",""),IF(AND([1]DATABASE!T622&gt;0,ABS([1]DATABASE!T622-[1]DATABASE!W622-[1]DATABASE!U622-[1]DATABASE!V622)&gt;1),"Price Bridge Mismatch",""))</f>
        <v/>
      </c>
      <c r="H661" t="str">
        <f t="shared" si="12"/>
        <v>PASS</v>
      </c>
      <c r="I661" s="90">
        <f>[1]DATABASE!T622</f>
        <v>1150000</v>
      </c>
      <c r="J661" t="str">
        <f>[1]DATABASE!AC622</f>
        <v>João Gameiro</v>
      </c>
    </row>
    <row r="662" spans="1:10" ht="13.95" customHeight="1" x14ac:dyDescent="0.3">
      <c r="A662">
        <f>ROW([1]DATABASE!A623)</f>
        <v>623</v>
      </c>
      <c r="B662" t="str">
        <f>[1]DATABASE!AJ623</f>
        <v>Aroeira Collections</v>
      </c>
      <c r="C662" t="str">
        <f>[1]DATABASE!C623</f>
        <v>21C</v>
      </c>
      <c r="D662" t="str">
        <f>TRIM([1]DATABASE!Q623)</f>
        <v>AVAILABLE</v>
      </c>
      <c r="E662" s="82" t="str">
        <f>_xlfn.TEXTJOIN("; ",TRUE,IF([1]DATABASE!X623&lt;0,"Negative Discount",""),IF(AND([1]DATABASE!Y623&gt;[1]DATABASE!T623,[1]DATABASE!Y623&gt;0,[1]DATABASE!T623&gt;0),"Sell Price &gt; Current",""),IF(AND(TRIM([1]DATABASE!Q623)="DEED",[1]DATABASE!AA623=""),"Deeded no PSPA Date",""),IF([1]DATABASE!E623="","Missing Typology",""),IF([1]DATABASE!AJ623="","Missing Development",""))</f>
        <v/>
      </c>
      <c r="F662" s="82" t="str">
        <f>_xlfn.TEXTJOIN("; ",TRUE,IF(AND(OR(TRIM([1]DATABASE!Q623)="RESERVED",TRIM([1]DATABASE!Q623)="PRE-RESERVED",TRIM([1]DATABASE!Q623)="PSPA"),[1]DATABASE!AA623=""),"Reserved/PSPA no PSPA Date",""),IF(AND(TRIM([1]DATABASE!Q623)="AVAILABLE",[1]DATABASE!AA623&lt;&gt;""),"Available has PSPA Date",""))</f>
        <v/>
      </c>
      <c r="G662" s="82" t="str">
        <f>_xlfn.TEXTJOIN("; ",TRUE,IF(AND([1]DATABASE!T623&lt;0.8*[1]DATABASE!S623,[1]DATABASE!T623&gt;0,[1]DATABASE!S623&gt;0),"Heavy Price Cut &gt;20%",""),IF(AND(OR(TRIM([1]DATABASE!Q623)="AVAILABLE",TRIM([1]DATABASE!Q623)="UPON REQUEST"),OR([1]DATABASE!T623="",[1]DATABASE!T623=0)),"Active Unit no Price",""),IF(AND(OR(TRIM([1]DATABASE!Q623)="AVAILABLE",TRIM([1]DATABASE!Q623)="RESERVED",TRIM([1]DATABASE!Q623)="PRE-RESERVED",TRIM([1]DATABASE!Q623)="PSPA"),[1]DATABASE!AC623=""),"Active no Owner",""),IF(OR([1]DATABASE!F623="",[1]DATABASE!F623&lt;=0),"Missing/Invalid Area",""),IF(AND([1]DATABASE!T623&gt;0,ABS([1]DATABASE!T623-[1]DATABASE!W623-[1]DATABASE!U623-[1]DATABASE!V623)&gt;1),"Price Bridge Mismatch",""))</f>
        <v/>
      </c>
      <c r="H662" t="str">
        <f t="shared" si="12"/>
        <v>PASS</v>
      </c>
      <c r="I662" s="90">
        <f>[1]DATABASE!T623</f>
        <v>1595000</v>
      </c>
      <c r="J662" t="str">
        <f>[1]DATABASE!AC623</f>
        <v>João Gameiro</v>
      </c>
    </row>
    <row r="663" spans="1:10" ht="13.95" customHeight="1" x14ac:dyDescent="0.3">
      <c r="A663">
        <f>ROW([1]DATABASE!A624)</f>
        <v>624</v>
      </c>
      <c r="B663" t="str">
        <f>[1]DATABASE!AJ624</f>
        <v>Aroeira Collections</v>
      </c>
      <c r="C663" t="str">
        <f>[1]DATABASE!C624</f>
        <v>220A</v>
      </c>
      <c r="D663" t="str">
        <f>TRIM([1]DATABASE!Q624)</f>
        <v>AVAILABLE</v>
      </c>
      <c r="E663" s="82" t="str">
        <f>_xlfn.TEXTJOIN("; ",TRUE,IF([1]DATABASE!X624&lt;0,"Negative Discount",""),IF(AND([1]DATABASE!Y624&gt;[1]DATABASE!T624,[1]DATABASE!Y624&gt;0,[1]DATABASE!T624&gt;0),"Sell Price &gt; Current",""),IF(AND(TRIM([1]DATABASE!Q624)="DEED",[1]DATABASE!AA624=""),"Deeded no PSPA Date",""),IF([1]DATABASE!E624="","Missing Typology",""),IF([1]DATABASE!AJ624="","Missing Development",""))</f>
        <v/>
      </c>
      <c r="F663" s="82" t="str">
        <f>_xlfn.TEXTJOIN("; ",TRUE,IF(AND(OR(TRIM([1]DATABASE!Q624)="RESERVED",TRIM([1]DATABASE!Q624)="PRE-RESERVED",TRIM([1]DATABASE!Q624)="PSPA"),[1]DATABASE!AA624=""),"Reserved/PSPA no PSPA Date",""),IF(AND(TRIM([1]DATABASE!Q624)="AVAILABLE",[1]DATABASE!AA624&lt;&gt;""),"Available has PSPA Date",""))</f>
        <v/>
      </c>
      <c r="G663" s="82" t="str">
        <f>_xlfn.TEXTJOIN("; ",TRUE,IF(AND([1]DATABASE!T624&lt;0.8*[1]DATABASE!S624,[1]DATABASE!T624&gt;0,[1]DATABASE!S624&gt;0),"Heavy Price Cut &gt;20%",""),IF(AND(OR(TRIM([1]DATABASE!Q624)="AVAILABLE",TRIM([1]DATABASE!Q624)="UPON REQUEST"),OR([1]DATABASE!T624="",[1]DATABASE!T624=0)),"Active Unit no Price",""),IF(AND(OR(TRIM([1]DATABASE!Q624)="AVAILABLE",TRIM([1]DATABASE!Q624)="RESERVED",TRIM([1]DATABASE!Q624)="PRE-RESERVED",TRIM([1]DATABASE!Q624)="PSPA"),[1]DATABASE!AC624=""),"Active no Owner",""),IF(OR([1]DATABASE!F624="",[1]DATABASE!F624&lt;=0),"Missing/Invalid Area",""),IF(AND([1]DATABASE!T624&gt;0,ABS([1]DATABASE!T624-[1]DATABASE!W624-[1]DATABASE!U624-[1]DATABASE!V624)&gt;1),"Price Bridge Mismatch",""))</f>
        <v/>
      </c>
      <c r="H663" t="str">
        <f t="shared" si="12"/>
        <v>PASS</v>
      </c>
      <c r="I663" s="90">
        <f>[1]DATABASE!T624</f>
        <v>450000</v>
      </c>
      <c r="J663" t="str">
        <f>[1]DATABASE!AC624</f>
        <v>João Gameiro</v>
      </c>
    </row>
    <row r="664" spans="1:10" ht="13.95" customHeight="1" x14ac:dyDescent="0.3">
      <c r="A664">
        <f>ROW([1]DATABASE!A625)</f>
        <v>625</v>
      </c>
      <c r="B664" t="str">
        <f>[1]DATABASE!AJ625</f>
        <v>The Uncommon</v>
      </c>
      <c r="C664" t="str">
        <f>[1]DATABASE!C625</f>
        <v>409</v>
      </c>
      <c r="D664" t="str">
        <f>TRIM([1]DATABASE!Q625)</f>
        <v>AVAILABLE</v>
      </c>
      <c r="E664" s="82" t="str">
        <f>_xlfn.TEXTJOIN("; ",TRUE,IF([1]DATABASE!X625&lt;0,"Negative Discount",""),IF(AND([1]DATABASE!Y625&gt;[1]DATABASE!T625,[1]DATABASE!Y625&gt;0,[1]DATABASE!T625&gt;0),"Sell Price &gt; Current",""),IF(AND(TRIM([1]DATABASE!Q625)="DEED",[1]DATABASE!AA625=""),"Deeded no PSPA Date",""),IF([1]DATABASE!E625="","Missing Typology",""),IF([1]DATABASE!AJ625="","Missing Development",""))</f>
        <v/>
      </c>
      <c r="F664" s="82" t="str">
        <f>_xlfn.TEXTJOIN("; ",TRUE,IF(AND(OR(TRIM([1]DATABASE!Q625)="RESERVED",TRIM([1]DATABASE!Q625)="PRE-RESERVED",TRIM([1]DATABASE!Q625)="PSPA"),[1]DATABASE!AA625=""),"Reserved/PSPA no PSPA Date",""),IF(AND(TRIM([1]DATABASE!Q625)="AVAILABLE",[1]DATABASE!AA625&lt;&gt;""),"Available has PSPA Date",""))</f>
        <v/>
      </c>
      <c r="G664" s="82" t="str">
        <f>_xlfn.TEXTJOIN("; ",TRUE,IF(AND([1]DATABASE!T625&lt;0.8*[1]DATABASE!S625,[1]DATABASE!T625&gt;0,[1]DATABASE!S625&gt;0),"Heavy Price Cut &gt;20%",""),IF(AND(OR(TRIM([1]DATABASE!Q625)="AVAILABLE",TRIM([1]DATABASE!Q625)="UPON REQUEST"),OR([1]DATABASE!T625="",[1]DATABASE!T625=0)),"Active Unit no Price",""),IF(AND(OR(TRIM([1]DATABASE!Q625)="AVAILABLE",TRIM([1]DATABASE!Q625)="RESERVED",TRIM([1]DATABASE!Q625)="PRE-RESERVED",TRIM([1]DATABASE!Q625)="PSPA"),[1]DATABASE!AC625=""),"Active no Owner",""),IF(OR([1]DATABASE!F625="",[1]DATABASE!F625&lt;=0),"Missing/Invalid Area",""),IF(AND([1]DATABASE!T625&gt;0,ABS([1]DATABASE!T625-[1]DATABASE!W625-[1]DATABASE!U625-[1]DATABASE!V625)&gt;1),"Price Bridge Mismatch",""))</f>
        <v/>
      </c>
      <c r="H664" t="str">
        <f t="shared" si="12"/>
        <v>PASS</v>
      </c>
      <c r="I664" s="90">
        <f>[1]DATABASE!T625</f>
        <v>1480000</v>
      </c>
      <c r="J664" t="str">
        <f>[1]DATABASE!AC625</f>
        <v>Ana Damásio</v>
      </c>
    </row>
    <row r="665" spans="1:10" ht="13.95" customHeight="1" x14ac:dyDescent="0.3">
      <c r="A665">
        <f>ROW([1]DATABASE!A626)</f>
        <v>626</v>
      </c>
      <c r="B665" t="str">
        <f>[1]DATABASE!AJ626</f>
        <v>The Uncommon</v>
      </c>
      <c r="C665" t="str">
        <f>[1]DATABASE!C626</f>
        <v>410</v>
      </c>
      <c r="D665" t="str">
        <f>TRIM([1]DATABASE!Q626)</f>
        <v>AVAILABLE</v>
      </c>
      <c r="E665" s="82" t="str">
        <f>_xlfn.TEXTJOIN("; ",TRUE,IF([1]DATABASE!X626&lt;0,"Negative Discount",""),IF(AND([1]DATABASE!Y626&gt;[1]DATABASE!T626,[1]DATABASE!Y626&gt;0,[1]DATABASE!T626&gt;0),"Sell Price &gt; Current",""),IF(AND(TRIM([1]DATABASE!Q626)="DEED",[1]DATABASE!AA626=""),"Deeded no PSPA Date",""),IF([1]DATABASE!E626="","Missing Typology",""),IF([1]DATABASE!AJ626="","Missing Development",""))</f>
        <v/>
      </c>
      <c r="F665" s="82" t="str">
        <f>_xlfn.TEXTJOIN("; ",TRUE,IF(AND(OR(TRIM([1]DATABASE!Q626)="RESERVED",TRIM([1]DATABASE!Q626)="PRE-RESERVED",TRIM([1]DATABASE!Q626)="PSPA"),[1]DATABASE!AA626=""),"Reserved/PSPA no PSPA Date",""),IF(AND(TRIM([1]DATABASE!Q626)="AVAILABLE",[1]DATABASE!AA626&lt;&gt;""),"Available has PSPA Date",""))</f>
        <v/>
      </c>
      <c r="G665" s="82" t="str">
        <f>_xlfn.TEXTJOIN("; ",TRUE,IF(AND([1]DATABASE!T626&lt;0.8*[1]DATABASE!S626,[1]DATABASE!T626&gt;0,[1]DATABASE!S626&gt;0),"Heavy Price Cut &gt;20%",""),IF(AND(OR(TRIM([1]DATABASE!Q626)="AVAILABLE",TRIM([1]DATABASE!Q626)="UPON REQUEST"),OR([1]DATABASE!T626="",[1]DATABASE!T626=0)),"Active Unit no Price",""),IF(AND(OR(TRIM([1]DATABASE!Q626)="AVAILABLE",TRIM([1]DATABASE!Q626)="RESERVED",TRIM([1]DATABASE!Q626)="PRE-RESERVED",TRIM([1]DATABASE!Q626)="PSPA"),[1]DATABASE!AC626=""),"Active no Owner",""),IF(OR([1]DATABASE!F626="",[1]DATABASE!F626&lt;=0),"Missing/Invalid Area",""),IF(AND([1]DATABASE!T626&gt;0,ABS([1]DATABASE!T626-[1]DATABASE!W626-[1]DATABASE!U626-[1]DATABASE!V626)&gt;1),"Price Bridge Mismatch",""))</f>
        <v/>
      </c>
      <c r="H665" t="str">
        <f t="shared" si="12"/>
        <v>PASS</v>
      </c>
      <c r="I665" s="90">
        <f>[1]DATABASE!T626</f>
        <v>4750000</v>
      </c>
      <c r="J665" t="str">
        <f>[1]DATABASE!AC626</f>
        <v>Ana Damásio</v>
      </c>
    </row>
    <row r="666" spans="1:10" ht="13.95" customHeight="1" x14ac:dyDescent="0.3">
      <c r="A666">
        <f>ROW([1]DATABASE!A627)</f>
        <v>627</v>
      </c>
      <c r="B666" t="str">
        <f>[1]DATABASE!AJ627</f>
        <v>The Uncommon</v>
      </c>
      <c r="C666" t="str">
        <f>[1]DATABASE!C627</f>
        <v>411</v>
      </c>
      <c r="D666" t="str">
        <f>TRIM([1]DATABASE!Q627)</f>
        <v>AVAILABLE</v>
      </c>
      <c r="E666" s="82" t="str">
        <f>_xlfn.TEXTJOIN("; ",TRUE,IF([1]DATABASE!X627&lt;0,"Negative Discount",""),IF(AND([1]DATABASE!Y627&gt;[1]DATABASE!T627,[1]DATABASE!Y627&gt;0,[1]DATABASE!T627&gt;0),"Sell Price &gt; Current",""),IF(AND(TRIM([1]DATABASE!Q627)="DEED",[1]DATABASE!AA627=""),"Deeded no PSPA Date",""),IF([1]DATABASE!E627="","Missing Typology",""),IF([1]DATABASE!AJ627="","Missing Development",""))</f>
        <v/>
      </c>
      <c r="F666" s="82" t="str">
        <f>_xlfn.TEXTJOIN("; ",TRUE,IF(AND(OR(TRIM([1]DATABASE!Q627)="RESERVED",TRIM([1]DATABASE!Q627)="PRE-RESERVED",TRIM([1]DATABASE!Q627)="PSPA"),[1]DATABASE!AA627=""),"Reserved/PSPA no PSPA Date",""),IF(AND(TRIM([1]DATABASE!Q627)="AVAILABLE",[1]DATABASE!AA627&lt;&gt;""),"Available has PSPA Date",""))</f>
        <v/>
      </c>
      <c r="G666" s="82" t="str">
        <f>_xlfn.TEXTJOIN("; ",TRUE,IF(AND([1]DATABASE!T627&lt;0.8*[1]DATABASE!S627,[1]DATABASE!T627&gt;0,[1]DATABASE!S627&gt;0),"Heavy Price Cut &gt;20%",""),IF(AND(OR(TRIM([1]DATABASE!Q627)="AVAILABLE",TRIM([1]DATABASE!Q627)="UPON REQUEST"),OR([1]DATABASE!T627="",[1]DATABASE!T627=0)),"Active Unit no Price",""),IF(AND(OR(TRIM([1]DATABASE!Q627)="AVAILABLE",TRIM([1]DATABASE!Q627)="RESERVED",TRIM([1]DATABASE!Q627)="PRE-RESERVED",TRIM([1]DATABASE!Q627)="PSPA"),[1]DATABASE!AC627=""),"Active no Owner",""),IF(OR([1]DATABASE!F627="",[1]DATABASE!F627&lt;=0),"Missing/Invalid Area",""),IF(AND([1]DATABASE!T627&gt;0,ABS([1]DATABASE!T627-[1]DATABASE!W627-[1]DATABASE!U627-[1]DATABASE!V627)&gt;1),"Price Bridge Mismatch",""))</f>
        <v/>
      </c>
      <c r="H666" t="str">
        <f t="shared" si="12"/>
        <v>PASS</v>
      </c>
      <c r="I666" s="90">
        <f>[1]DATABASE!T627</f>
        <v>810000</v>
      </c>
      <c r="J666" t="str">
        <f>[1]DATABASE!AC627</f>
        <v>Ana Damásio</v>
      </c>
    </row>
    <row r="667" spans="1:10" ht="13.95" customHeight="1" x14ac:dyDescent="0.3">
      <c r="A667">
        <f>ROW([1]DATABASE!A628)</f>
        <v>628</v>
      </c>
      <c r="B667" t="str">
        <f>[1]DATABASE!AJ628</f>
        <v>The Uncommon</v>
      </c>
      <c r="C667" t="str">
        <f>[1]DATABASE!C628</f>
        <v>412</v>
      </c>
      <c r="D667" t="str">
        <f>TRIM([1]DATABASE!Q628)</f>
        <v>AVAILABLE</v>
      </c>
      <c r="E667" s="82" t="str">
        <f>_xlfn.TEXTJOIN("; ",TRUE,IF([1]DATABASE!X628&lt;0,"Negative Discount",""),IF(AND([1]DATABASE!Y628&gt;[1]DATABASE!T628,[1]DATABASE!Y628&gt;0,[1]DATABASE!T628&gt;0),"Sell Price &gt; Current",""),IF(AND(TRIM([1]DATABASE!Q628)="DEED",[1]DATABASE!AA628=""),"Deeded no PSPA Date",""),IF([1]DATABASE!E628="","Missing Typology",""),IF([1]DATABASE!AJ628="","Missing Development",""))</f>
        <v/>
      </c>
      <c r="F667" s="82" t="str">
        <f>_xlfn.TEXTJOIN("; ",TRUE,IF(AND(OR(TRIM([1]DATABASE!Q628)="RESERVED",TRIM([1]DATABASE!Q628)="PRE-RESERVED",TRIM([1]DATABASE!Q628)="PSPA"),[1]DATABASE!AA628=""),"Reserved/PSPA no PSPA Date",""),IF(AND(TRIM([1]DATABASE!Q628)="AVAILABLE",[1]DATABASE!AA628&lt;&gt;""),"Available has PSPA Date",""))</f>
        <v/>
      </c>
      <c r="G667" s="82" t="str">
        <f>_xlfn.TEXTJOIN("; ",TRUE,IF(AND([1]DATABASE!T628&lt;0.8*[1]DATABASE!S628,[1]DATABASE!T628&gt;0,[1]DATABASE!S628&gt;0),"Heavy Price Cut &gt;20%",""),IF(AND(OR(TRIM([1]DATABASE!Q628)="AVAILABLE",TRIM([1]DATABASE!Q628)="UPON REQUEST"),OR([1]DATABASE!T628="",[1]DATABASE!T628=0)),"Active Unit no Price",""),IF(AND(OR(TRIM([1]DATABASE!Q628)="AVAILABLE",TRIM([1]DATABASE!Q628)="RESERVED",TRIM([1]DATABASE!Q628)="PRE-RESERVED",TRIM([1]DATABASE!Q628)="PSPA"),[1]DATABASE!AC628=""),"Active no Owner",""),IF(OR([1]DATABASE!F628="",[1]DATABASE!F628&lt;=0),"Missing/Invalid Area",""),IF(AND([1]DATABASE!T628&gt;0,ABS([1]DATABASE!T628-[1]DATABASE!W628-[1]DATABASE!U628-[1]DATABASE!V628)&gt;1),"Price Bridge Mismatch",""))</f>
        <v/>
      </c>
      <c r="H667" t="str">
        <f t="shared" si="12"/>
        <v>PASS</v>
      </c>
      <c r="I667" s="90">
        <f>[1]DATABASE!T628</f>
        <v>850000</v>
      </c>
      <c r="J667" t="str">
        <f>[1]DATABASE!AC628</f>
        <v>Ana Damásio</v>
      </c>
    </row>
    <row r="668" spans="1:10" ht="13.95" customHeight="1" x14ac:dyDescent="0.3">
      <c r="A668">
        <f>ROW([1]DATABASE!A629)</f>
        <v>629</v>
      </c>
      <c r="B668" t="str">
        <f>[1]DATABASE!AJ629</f>
        <v>The Uncommon</v>
      </c>
      <c r="C668" t="str">
        <f>[1]DATABASE!C629</f>
        <v>413</v>
      </c>
      <c r="D668" t="str">
        <f>TRIM([1]DATABASE!Q629)</f>
        <v>AVAILABLE</v>
      </c>
      <c r="E668" s="82" t="str">
        <f>_xlfn.TEXTJOIN("; ",TRUE,IF([1]DATABASE!X629&lt;0,"Negative Discount",""),IF(AND([1]DATABASE!Y629&gt;[1]DATABASE!T629,[1]DATABASE!Y629&gt;0,[1]DATABASE!T629&gt;0),"Sell Price &gt; Current",""),IF(AND(TRIM([1]DATABASE!Q629)="DEED",[1]DATABASE!AA629=""),"Deeded no PSPA Date",""),IF([1]DATABASE!E629="","Missing Typology",""),IF([1]DATABASE!AJ629="","Missing Development",""))</f>
        <v/>
      </c>
      <c r="F668" s="82" t="str">
        <f>_xlfn.TEXTJOIN("; ",TRUE,IF(AND(OR(TRIM([1]DATABASE!Q629)="RESERVED",TRIM([1]DATABASE!Q629)="PRE-RESERVED",TRIM([1]DATABASE!Q629)="PSPA"),[1]DATABASE!AA629=""),"Reserved/PSPA no PSPA Date",""),IF(AND(TRIM([1]DATABASE!Q629)="AVAILABLE",[1]DATABASE!AA629&lt;&gt;""),"Available has PSPA Date",""))</f>
        <v/>
      </c>
      <c r="G668" s="82" t="str">
        <f>_xlfn.TEXTJOIN("; ",TRUE,IF(AND([1]DATABASE!T629&lt;0.8*[1]DATABASE!S629,[1]DATABASE!T629&gt;0,[1]DATABASE!S629&gt;0),"Heavy Price Cut &gt;20%",""),IF(AND(OR(TRIM([1]DATABASE!Q629)="AVAILABLE",TRIM([1]DATABASE!Q629)="UPON REQUEST"),OR([1]DATABASE!T629="",[1]DATABASE!T629=0)),"Active Unit no Price",""),IF(AND(OR(TRIM([1]DATABASE!Q629)="AVAILABLE",TRIM([1]DATABASE!Q629)="RESERVED",TRIM([1]DATABASE!Q629)="PRE-RESERVED",TRIM([1]DATABASE!Q629)="PSPA"),[1]DATABASE!AC629=""),"Active no Owner",""),IF(OR([1]DATABASE!F629="",[1]DATABASE!F629&lt;=0),"Missing/Invalid Area",""),IF(AND([1]DATABASE!T629&gt;0,ABS([1]DATABASE!T629-[1]DATABASE!W629-[1]DATABASE!U629-[1]DATABASE!V629)&gt;1),"Price Bridge Mismatch",""))</f>
        <v/>
      </c>
      <c r="H668" t="str">
        <f t="shared" si="12"/>
        <v>PASS</v>
      </c>
      <c r="I668" s="90">
        <f>[1]DATABASE!T629</f>
        <v>890000</v>
      </c>
      <c r="J668" t="str">
        <f>[1]DATABASE!AC629</f>
        <v>Ana Damásio</v>
      </c>
    </row>
    <row r="669" spans="1:10" ht="13.95" customHeight="1" x14ac:dyDescent="0.3">
      <c r="A669">
        <f>ROW([1]DATABASE!A630)</f>
        <v>630</v>
      </c>
      <c r="B669" t="str">
        <f>[1]DATABASE!AJ630</f>
        <v>The Uncommon</v>
      </c>
      <c r="C669" t="str">
        <f>[1]DATABASE!C630</f>
        <v>414</v>
      </c>
      <c r="D669" t="str">
        <f>TRIM([1]DATABASE!Q630)</f>
        <v>AVAILABLE</v>
      </c>
      <c r="E669" s="82" t="str">
        <f>_xlfn.TEXTJOIN("; ",TRUE,IF([1]DATABASE!X630&lt;0,"Negative Discount",""),IF(AND([1]DATABASE!Y630&gt;[1]DATABASE!T630,[1]DATABASE!Y630&gt;0,[1]DATABASE!T630&gt;0),"Sell Price &gt; Current",""),IF(AND(TRIM([1]DATABASE!Q630)="DEED",[1]DATABASE!AA630=""),"Deeded no PSPA Date",""),IF([1]DATABASE!E630="","Missing Typology",""),IF([1]DATABASE!AJ630="","Missing Development",""))</f>
        <v/>
      </c>
      <c r="F669" s="82" t="str">
        <f>_xlfn.TEXTJOIN("; ",TRUE,IF(AND(OR(TRIM([1]DATABASE!Q630)="RESERVED",TRIM([1]DATABASE!Q630)="PRE-RESERVED",TRIM([1]DATABASE!Q630)="PSPA"),[1]DATABASE!AA630=""),"Reserved/PSPA no PSPA Date",""),IF(AND(TRIM([1]DATABASE!Q630)="AVAILABLE",[1]DATABASE!AA630&lt;&gt;""),"Available has PSPA Date",""))</f>
        <v/>
      </c>
      <c r="G669" s="82" t="str">
        <f>_xlfn.TEXTJOIN("; ",TRUE,IF(AND([1]DATABASE!T630&lt;0.8*[1]DATABASE!S630,[1]DATABASE!T630&gt;0,[1]DATABASE!S630&gt;0),"Heavy Price Cut &gt;20%",""),IF(AND(OR(TRIM([1]DATABASE!Q630)="AVAILABLE",TRIM([1]DATABASE!Q630)="UPON REQUEST"),OR([1]DATABASE!T630="",[1]DATABASE!T630=0)),"Active Unit no Price",""),IF(AND(OR(TRIM([1]DATABASE!Q630)="AVAILABLE",TRIM([1]DATABASE!Q630)="RESERVED",TRIM([1]DATABASE!Q630)="PRE-RESERVED",TRIM([1]DATABASE!Q630)="PSPA"),[1]DATABASE!AC630=""),"Active no Owner",""),IF(OR([1]DATABASE!F630="",[1]DATABASE!F630&lt;=0),"Missing/Invalid Area",""),IF(AND([1]DATABASE!T630&gt;0,ABS([1]DATABASE!T630-[1]DATABASE!W630-[1]DATABASE!U630-[1]DATABASE!V630)&gt;1),"Price Bridge Mismatch",""))</f>
        <v/>
      </c>
      <c r="H669" t="str">
        <f t="shared" si="12"/>
        <v>PASS</v>
      </c>
      <c r="I669" s="90">
        <f>[1]DATABASE!T630</f>
        <v>930000</v>
      </c>
      <c r="J669" t="str">
        <f>[1]DATABASE!AC630</f>
        <v>Ana Damásio</v>
      </c>
    </row>
    <row r="670" spans="1:10" ht="13.95" customHeight="1" x14ac:dyDescent="0.3">
      <c r="A670">
        <f>ROW([1]DATABASE!A631)</f>
        <v>631</v>
      </c>
      <c r="B670" t="str">
        <f>[1]DATABASE!AJ631</f>
        <v>Palmares</v>
      </c>
      <c r="C670" t="str">
        <f>[1]DATABASE!C631</f>
        <v>98</v>
      </c>
      <c r="D670" t="str">
        <f>TRIM([1]DATABASE!Q631)</f>
        <v>AVAILABLE</v>
      </c>
      <c r="E670" s="82" t="str">
        <f>_xlfn.TEXTJOIN("; ",TRUE,IF([1]DATABASE!X631&lt;0,"Negative Discount",""),IF(AND([1]DATABASE!Y631&gt;[1]DATABASE!T631,[1]DATABASE!Y631&gt;0,[1]DATABASE!T631&gt;0),"Sell Price &gt; Current",""),IF(AND(TRIM([1]DATABASE!Q631)="DEED",[1]DATABASE!AA631=""),"Deeded no PSPA Date",""),IF([1]DATABASE!E631="","Missing Typology",""),IF([1]DATABASE!AJ631="","Missing Development",""))</f>
        <v/>
      </c>
      <c r="F670" s="82" t="str">
        <f>_xlfn.TEXTJOIN("; ",TRUE,IF(AND(OR(TRIM([1]DATABASE!Q631)="RESERVED",TRIM([1]DATABASE!Q631)="PRE-RESERVED",TRIM([1]DATABASE!Q631)="PSPA"),[1]DATABASE!AA631=""),"Reserved/PSPA no PSPA Date",""),IF(AND(TRIM([1]DATABASE!Q631)="AVAILABLE",[1]DATABASE!AA631&lt;&gt;""),"Available has PSPA Date",""))</f>
        <v/>
      </c>
      <c r="G670" s="82" t="str">
        <f>_xlfn.TEXTJOIN("; ",TRUE,IF(AND([1]DATABASE!T631&lt;0.8*[1]DATABASE!S631,[1]DATABASE!T631&gt;0,[1]DATABASE!S631&gt;0),"Heavy Price Cut &gt;20%",""),IF(AND(OR(TRIM([1]DATABASE!Q631)="AVAILABLE",TRIM([1]DATABASE!Q631)="UPON REQUEST"),OR([1]DATABASE!T631="",[1]DATABASE!T631=0)),"Active Unit no Price",""),IF(AND(OR(TRIM([1]DATABASE!Q631)="AVAILABLE",TRIM([1]DATABASE!Q631)="RESERVED",TRIM([1]DATABASE!Q631)="PRE-RESERVED",TRIM([1]DATABASE!Q631)="PSPA"),[1]DATABASE!AC631=""),"Active no Owner",""),IF(OR([1]DATABASE!F631="",[1]DATABASE!F631&lt;=0),"Missing/Invalid Area",""),IF(AND([1]DATABASE!T631&gt;0,ABS([1]DATABASE!T631-[1]DATABASE!W631-[1]DATABASE!U631-[1]DATABASE!V631)&gt;1),"Price Bridge Mismatch",""))</f>
        <v/>
      </c>
      <c r="H670" t="str">
        <f t="shared" si="12"/>
        <v>PASS</v>
      </c>
      <c r="I670" s="90">
        <f>[1]DATABASE!T631</f>
        <v>1300000</v>
      </c>
      <c r="J670" t="str">
        <f>[1]DATABASE!AC631</f>
        <v>Sandra Viegas</v>
      </c>
    </row>
    <row r="671" spans="1:10" ht="13.95" customHeight="1" x14ac:dyDescent="0.3">
      <c r="A671">
        <f>ROW([1]DATABASE!A632)</f>
        <v>632</v>
      </c>
      <c r="B671" t="str">
        <f>[1]DATABASE!AJ632</f>
        <v>The Uncommon</v>
      </c>
      <c r="C671" t="str">
        <f>[1]DATABASE!C632</f>
        <v>415</v>
      </c>
      <c r="D671" t="str">
        <f>TRIM([1]DATABASE!Q632)</f>
        <v>AVAILABLE</v>
      </c>
      <c r="E671" s="82" t="str">
        <f>_xlfn.TEXTJOIN("; ",TRUE,IF([1]DATABASE!X632&lt;0,"Negative Discount",""),IF(AND([1]DATABASE!Y632&gt;[1]DATABASE!T632,[1]DATABASE!Y632&gt;0,[1]DATABASE!T632&gt;0),"Sell Price &gt; Current",""),IF(AND(TRIM([1]DATABASE!Q632)="DEED",[1]DATABASE!AA632=""),"Deeded no PSPA Date",""),IF([1]DATABASE!E632="","Missing Typology",""),IF([1]DATABASE!AJ632="","Missing Development",""))</f>
        <v/>
      </c>
      <c r="F671" s="82" t="str">
        <f>_xlfn.TEXTJOIN("; ",TRUE,IF(AND(OR(TRIM([1]DATABASE!Q632)="RESERVED",TRIM([1]DATABASE!Q632)="PRE-RESERVED",TRIM([1]DATABASE!Q632)="PSPA"),[1]DATABASE!AA632=""),"Reserved/PSPA no PSPA Date",""),IF(AND(TRIM([1]DATABASE!Q632)="AVAILABLE",[1]DATABASE!AA632&lt;&gt;""),"Available has PSPA Date",""))</f>
        <v/>
      </c>
      <c r="G671" s="82" t="str">
        <f>_xlfn.TEXTJOIN("; ",TRUE,IF(AND([1]DATABASE!T632&lt;0.8*[1]DATABASE!S632,[1]DATABASE!T632&gt;0,[1]DATABASE!S632&gt;0),"Heavy Price Cut &gt;20%",""),IF(AND(OR(TRIM([1]DATABASE!Q632)="AVAILABLE",TRIM([1]DATABASE!Q632)="UPON REQUEST"),OR([1]DATABASE!T632="",[1]DATABASE!T632=0)),"Active Unit no Price",""),IF(AND(OR(TRIM([1]DATABASE!Q632)="AVAILABLE",TRIM([1]DATABASE!Q632)="RESERVED",TRIM([1]DATABASE!Q632)="PRE-RESERVED",TRIM([1]DATABASE!Q632)="PSPA"),[1]DATABASE!AC632=""),"Active no Owner",""),IF(OR([1]DATABASE!F632="",[1]DATABASE!F632&lt;=0),"Missing/Invalid Area",""),IF(AND([1]DATABASE!T632&gt;0,ABS([1]DATABASE!T632-[1]DATABASE!W632-[1]DATABASE!U632-[1]DATABASE!V632)&gt;1),"Price Bridge Mismatch",""))</f>
        <v/>
      </c>
      <c r="H671" t="str">
        <f t="shared" si="12"/>
        <v>PASS</v>
      </c>
      <c r="I671" s="90">
        <f>[1]DATABASE!T632</f>
        <v>1000000</v>
      </c>
      <c r="J671" t="str">
        <f>[1]DATABASE!AC632</f>
        <v>Ana Damásio</v>
      </c>
    </row>
    <row r="672" spans="1:10" ht="13.95" customHeight="1" x14ac:dyDescent="0.3">
      <c r="A672">
        <f>ROW([1]DATABASE!A633)</f>
        <v>633</v>
      </c>
      <c r="B672" t="str">
        <f>[1]DATABASE!AJ633</f>
        <v>The Uncommon</v>
      </c>
      <c r="C672" t="str">
        <f>[1]DATABASE!C633</f>
        <v>416</v>
      </c>
      <c r="D672" t="str">
        <f>TRIM([1]DATABASE!Q633)</f>
        <v>AVAILABLE</v>
      </c>
      <c r="E672" s="82" t="str">
        <f>_xlfn.TEXTJOIN("; ",TRUE,IF([1]DATABASE!X633&lt;0,"Negative Discount",""),IF(AND([1]DATABASE!Y633&gt;[1]DATABASE!T633,[1]DATABASE!Y633&gt;0,[1]DATABASE!T633&gt;0),"Sell Price &gt; Current",""),IF(AND(TRIM([1]DATABASE!Q633)="DEED",[1]DATABASE!AA633=""),"Deeded no PSPA Date",""),IF([1]DATABASE!E633="","Missing Typology",""),IF([1]DATABASE!AJ633="","Missing Development",""))</f>
        <v/>
      </c>
      <c r="F672" s="82" t="str">
        <f>_xlfn.TEXTJOIN("; ",TRUE,IF(AND(OR(TRIM([1]DATABASE!Q633)="RESERVED",TRIM([1]DATABASE!Q633)="PRE-RESERVED",TRIM([1]DATABASE!Q633)="PSPA"),[1]DATABASE!AA633=""),"Reserved/PSPA no PSPA Date",""),IF(AND(TRIM([1]DATABASE!Q633)="AVAILABLE",[1]DATABASE!AA633&lt;&gt;""),"Available has PSPA Date",""))</f>
        <v/>
      </c>
      <c r="G672" s="82" t="str">
        <f>_xlfn.TEXTJOIN("; ",TRUE,IF(AND([1]DATABASE!T633&lt;0.8*[1]DATABASE!S633,[1]DATABASE!T633&gt;0,[1]DATABASE!S633&gt;0),"Heavy Price Cut &gt;20%",""),IF(AND(OR(TRIM([1]DATABASE!Q633)="AVAILABLE",TRIM([1]DATABASE!Q633)="UPON REQUEST"),OR([1]DATABASE!T633="",[1]DATABASE!T633=0)),"Active Unit no Price",""),IF(AND(OR(TRIM([1]DATABASE!Q633)="AVAILABLE",TRIM([1]DATABASE!Q633)="RESERVED",TRIM([1]DATABASE!Q633)="PRE-RESERVED",TRIM([1]DATABASE!Q633)="PSPA"),[1]DATABASE!AC633=""),"Active no Owner",""),IF(OR([1]DATABASE!F633="",[1]DATABASE!F633&lt;=0),"Missing/Invalid Area",""),IF(AND([1]DATABASE!T633&gt;0,ABS([1]DATABASE!T633-[1]DATABASE!W633-[1]DATABASE!U633-[1]DATABASE!V633)&gt;1),"Price Bridge Mismatch",""))</f>
        <v/>
      </c>
      <c r="H672" t="str">
        <f t="shared" si="12"/>
        <v>PASS</v>
      </c>
      <c r="I672" s="90">
        <f>[1]DATABASE!T633</f>
        <v>4630000</v>
      </c>
      <c r="J672" t="str">
        <f>[1]DATABASE!AC633</f>
        <v>Ana Damásio</v>
      </c>
    </row>
    <row r="673" spans="1:10" ht="13.95" customHeight="1" x14ac:dyDescent="0.3">
      <c r="A673">
        <f>ROW([1]DATABASE!A634)</f>
        <v>634</v>
      </c>
      <c r="B673" t="str">
        <f>[1]DATABASE!AJ634</f>
        <v>Springs - At the Els</v>
      </c>
      <c r="C673" t="str">
        <f>[1]DATABASE!C634</f>
        <v>5</v>
      </c>
      <c r="D673" t="str">
        <f>TRIM([1]DATABASE!Q634)</f>
        <v>AVAILABLE</v>
      </c>
      <c r="E673" s="82" t="str">
        <f>_xlfn.TEXTJOIN("; ",TRUE,IF([1]DATABASE!X634&lt;0,"Negative Discount",""),IF(AND([1]DATABASE!Y634&gt;[1]DATABASE!T634,[1]DATABASE!Y634&gt;0,[1]DATABASE!T634&gt;0),"Sell Price &gt; Current",""),IF(AND(TRIM([1]DATABASE!Q634)="DEED",[1]DATABASE!AA634=""),"Deeded no PSPA Date",""),IF([1]DATABASE!E634="","Missing Typology",""),IF([1]DATABASE!AJ634="","Missing Development",""))</f>
        <v/>
      </c>
      <c r="F673" s="82" t="str">
        <f>_xlfn.TEXTJOIN("; ",TRUE,IF(AND(OR(TRIM([1]DATABASE!Q634)="RESERVED",TRIM([1]DATABASE!Q634)="PRE-RESERVED",TRIM([1]DATABASE!Q634)="PSPA"),[1]DATABASE!AA634=""),"Reserved/PSPA no PSPA Date",""),IF(AND(TRIM([1]DATABASE!Q634)="AVAILABLE",[1]DATABASE!AA634&lt;&gt;""),"Available has PSPA Date",""))</f>
        <v/>
      </c>
      <c r="G673" s="82" t="str">
        <f>_xlfn.TEXTJOIN("; ",TRUE,IF(AND([1]DATABASE!T634&lt;0.8*[1]DATABASE!S634,[1]DATABASE!T634&gt;0,[1]DATABASE!S634&gt;0),"Heavy Price Cut &gt;20%",""),IF(AND(OR(TRIM([1]DATABASE!Q634)="AVAILABLE",TRIM([1]DATABASE!Q634)="UPON REQUEST"),OR([1]DATABASE!T634="",[1]DATABASE!T634=0)),"Active Unit no Price",""),IF(AND(OR(TRIM([1]DATABASE!Q634)="AVAILABLE",TRIM([1]DATABASE!Q634)="RESERVED",TRIM([1]DATABASE!Q634)="PRE-RESERVED",TRIM([1]DATABASE!Q634)="PSPA"),[1]DATABASE!AC634=""),"Active no Owner",""),IF(OR([1]DATABASE!F634="",[1]DATABASE!F634&lt;=0),"Missing/Invalid Area",""),IF(AND([1]DATABASE!T634&gt;0,ABS([1]DATABASE!T634-[1]DATABASE!W634-[1]DATABASE!U634-[1]DATABASE!V634)&gt;1),"Price Bridge Mismatch",""))</f>
        <v/>
      </c>
      <c r="H673" t="str">
        <f t="shared" si="12"/>
        <v>PASS</v>
      </c>
      <c r="I673" s="90">
        <f>[1]DATABASE!T634</f>
        <v>2540000</v>
      </c>
      <c r="J673" t="str">
        <f>[1]DATABASE!AC634</f>
        <v>Ana Damásio</v>
      </c>
    </row>
    <row r="674" spans="1:10" ht="13.95" customHeight="1" x14ac:dyDescent="0.3">
      <c r="A674">
        <f>ROW([1]DATABASE!A635)</f>
        <v>635</v>
      </c>
      <c r="B674" t="str">
        <f>[1]DATABASE!AJ635</f>
        <v>Aroeira Collections</v>
      </c>
      <c r="C674" t="str">
        <f>[1]DATABASE!C635</f>
        <v>220B</v>
      </c>
      <c r="D674" t="str">
        <f>TRIM([1]DATABASE!Q635)</f>
        <v>NOT FOR SALE</v>
      </c>
      <c r="E674" s="82" t="str">
        <f>_xlfn.TEXTJOIN("; ",TRUE,IF([1]DATABASE!X635&lt;0,"Negative Discount",""),IF(AND([1]DATABASE!Y635&gt;[1]DATABASE!T635,[1]DATABASE!Y635&gt;0,[1]DATABASE!T635&gt;0),"Sell Price &gt; Current",""),IF(AND(TRIM([1]DATABASE!Q635)="DEED",[1]DATABASE!AA635=""),"Deeded no PSPA Date",""),IF([1]DATABASE!E635="","Missing Typology",""),IF([1]DATABASE!AJ635="","Missing Development",""))</f>
        <v/>
      </c>
      <c r="F674" s="82" t="str">
        <f>_xlfn.TEXTJOIN("; ",TRUE,IF(AND(OR(TRIM([1]DATABASE!Q635)="RESERVED",TRIM([1]DATABASE!Q635)="PRE-RESERVED",TRIM([1]DATABASE!Q635)="PSPA"),[1]DATABASE!AA635=""),"Reserved/PSPA no PSPA Date",""),IF(AND(TRIM([1]DATABASE!Q635)="AVAILABLE",[1]DATABASE!AA635&lt;&gt;""),"Available has PSPA Date",""))</f>
        <v/>
      </c>
      <c r="G674" s="82" t="str">
        <f>_xlfn.TEXTJOIN("; ",TRUE,IF(AND([1]DATABASE!T635&lt;0.8*[1]DATABASE!S635,[1]DATABASE!T635&gt;0,[1]DATABASE!S635&gt;0),"Heavy Price Cut &gt;20%",""),IF(AND(OR(TRIM([1]DATABASE!Q635)="AVAILABLE",TRIM([1]DATABASE!Q635)="UPON REQUEST"),OR([1]DATABASE!T635="",[1]DATABASE!T635=0)),"Active Unit no Price",""),IF(AND(OR(TRIM([1]DATABASE!Q635)="AVAILABLE",TRIM([1]DATABASE!Q635)="RESERVED",TRIM([1]DATABASE!Q635)="PRE-RESERVED",TRIM([1]DATABASE!Q635)="PSPA"),[1]DATABASE!AC635=""),"Active no Owner",""),IF(OR([1]DATABASE!F635="",[1]DATABASE!F635&lt;=0),"Missing/Invalid Area",""),IF(AND([1]DATABASE!T635&gt;0,ABS([1]DATABASE!T635-[1]DATABASE!W635-[1]DATABASE!U635-[1]DATABASE!V635)&gt;1),"Price Bridge Mismatch",""))</f>
        <v/>
      </c>
      <c r="H674" t="str">
        <f t="shared" si="12"/>
        <v>PASS</v>
      </c>
      <c r="I674" s="90">
        <f>[1]DATABASE!T635</f>
        <v>705000</v>
      </c>
      <c r="J674" t="str">
        <f>[1]DATABASE!AC635</f>
        <v>João Gameiro</v>
      </c>
    </row>
    <row r="675" spans="1:10" ht="13.95" customHeight="1" x14ac:dyDescent="0.3">
      <c r="A675">
        <f>ROW([1]DATABASE!A636)</f>
        <v>636</v>
      </c>
      <c r="B675" t="str">
        <f>[1]DATABASE!AJ636</f>
        <v>Aroeira Collections</v>
      </c>
      <c r="C675" t="str">
        <f>[1]DATABASE!C636</f>
        <v>221A</v>
      </c>
      <c r="D675" t="str">
        <f>TRIM([1]DATABASE!Q636)</f>
        <v>AVAILABLE</v>
      </c>
      <c r="E675" s="82" t="str">
        <f>_xlfn.TEXTJOIN("; ",TRUE,IF([1]DATABASE!X636&lt;0,"Negative Discount",""),IF(AND([1]DATABASE!Y636&gt;[1]DATABASE!T636,[1]DATABASE!Y636&gt;0,[1]DATABASE!T636&gt;0),"Sell Price &gt; Current",""),IF(AND(TRIM([1]DATABASE!Q636)="DEED",[1]DATABASE!AA636=""),"Deeded no PSPA Date",""),IF([1]DATABASE!E636="","Missing Typology",""),IF([1]DATABASE!AJ636="","Missing Development",""))</f>
        <v/>
      </c>
      <c r="F675" s="82" t="str">
        <f>_xlfn.TEXTJOIN("; ",TRUE,IF(AND(OR(TRIM([1]DATABASE!Q636)="RESERVED",TRIM([1]DATABASE!Q636)="PRE-RESERVED",TRIM([1]DATABASE!Q636)="PSPA"),[1]DATABASE!AA636=""),"Reserved/PSPA no PSPA Date",""),IF(AND(TRIM([1]DATABASE!Q636)="AVAILABLE",[1]DATABASE!AA636&lt;&gt;""),"Available has PSPA Date",""))</f>
        <v/>
      </c>
      <c r="G675" s="82" t="str">
        <f>_xlfn.TEXTJOIN("; ",TRUE,IF(AND([1]DATABASE!T636&lt;0.8*[1]DATABASE!S636,[1]DATABASE!T636&gt;0,[1]DATABASE!S636&gt;0),"Heavy Price Cut &gt;20%",""),IF(AND(OR(TRIM([1]DATABASE!Q636)="AVAILABLE",TRIM([1]DATABASE!Q636)="UPON REQUEST"),OR([1]DATABASE!T636="",[1]DATABASE!T636=0)),"Active Unit no Price",""),IF(AND(OR(TRIM([1]DATABASE!Q636)="AVAILABLE",TRIM([1]DATABASE!Q636)="RESERVED",TRIM([1]DATABASE!Q636)="PRE-RESERVED",TRIM([1]DATABASE!Q636)="PSPA"),[1]DATABASE!AC636=""),"Active no Owner",""),IF(OR([1]DATABASE!F636="",[1]DATABASE!F636&lt;=0),"Missing/Invalid Area",""),IF(AND([1]DATABASE!T636&gt;0,ABS([1]DATABASE!T636-[1]DATABASE!W636-[1]DATABASE!U636-[1]DATABASE!V636)&gt;1),"Price Bridge Mismatch",""))</f>
        <v/>
      </c>
      <c r="H675" t="str">
        <f t="shared" si="12"/>
        <v>PASS</v>
      </c>
      <c r="I675" s="90">
        <f>[1]DATABASE!T636</f>
        <v>450000</v>
      </c>
      <c r="J675" t="str">
        <f>[1]DATABASE!AC636</f>
        <v>João Gameiro</v>
      </c>
    </row>
    <row r="676" spans="1:10" ht="13.95" customHeight="1" x14ac:dyDescent="0.3">
      <c r="A676">
        <f>ROW([1]DATABASE!A637)</f>
        <v>637</v>
      </c>
      <c r="B676" t="str">
        <f>[1]DATABASE!AJ637</f>
        <v>The Uncommon</v>
      </c>
      <c r="C676" t="str">
        <f>[1]DATABASE!C637</f>
        <v>5</v>
      </c>
      <c r="D676" t="str">
        <f>TRIM([1]DATABASE!Q637)</f>
        <v>AVAILABLE</v>
      </c>
      <c r="E676" s="82" t="str">
        <f>_xlfn.TEXTJOIN("; ",TRUE,IF([1]DATABASE!X637&lt;0,"Negative Discount",""),IF(AND([1]DATABASE!Y637&gt;[1]DATABASE!T637,[1]DATABASE!Y637&gt;0,[1]DATABASE!T637&gt;0),"Sell Price &gt; Current",""),IF(AND(TRIM([1]DATABASE!Q637)="DEED",[1]DATABASE!AA637=""),"Deeded no PSPA Date",""),IF([1]DATABASE!E637="","Missing Typology",""),IF([1]DATABASE!AJ637="","Missing Development",""))</f>
        <v/>
      </c>
      <c r="F676" s="82" t="str">
        <f>_xlfn.TEXTJOIN("; ",TRUE,IF(AND(OR(TRIM([1]DATABASE!Q637)="RESERVED",TRIM([1]DATABASE!Q637)="PRE-RESERVED",TRIM([1]DATABASE!Q637)="PSPA"),[1]DATABASE!AA637=""),"Reserved/PSPA no PSPA Date",""),IF(AND(TRIM([1]DATABASE!Q637)="AVAILABLE",[1]DATABASE!AA637&lt;&gt;""),"Available has PSPA Date",""))</f>
        <v/>
      </c>
      <c r="G676" s="82" t="str">
        <f>_xlfn.TEXTJOIN("; ",TRUE,IF(AND([1]DATABASE!T637&lt;0.8*[1]DATABASE!S637,[1]DATABASE!T637&gt;0,[1]DATABASE!S637&gt;0),"Heavy Price Cut &gt;20%",""),IF(AND(OR(TRIM([1]DATABASE!Q637)="AVAILABLE",TRIM([1]DATABASE!Q637)="UPON REQUEST"),OR([1]DATABASE!T637="",[1]DATABASE!T637=0)),"Active Unit no Price",""),IF(AND(OR(TRIM([1]DATABASE!Q637)="AVAILABLE",TRIM([1]DATABASE!Q637)="RESERVED",TRIM([1]DATABASE!Q637)="PRE-RESERVED",TRIM([1]DATABASE!Q637)="PSPA"),[1]DATABASE!AC637=""),"Active no Owner",""),IF(OR([1]DATABASE!F637="",[1]DATABASE!F637&lt;=0),"Missing/Invalid Area",""),IF(AND([1]DATABASE!T637&gt;0,ABS([1]DATABASE!T637-[1]DATABASE!W637-[1]DATABASE!U637-[1]DATABASE!V637)&gt;1),"Price Bridge Mismatch",""))</f>
        <v/>
      </c>
      <c r="H676" t="str">
        <f t="shared" si="12"/>
        <v>PASS</v>
      </c>
      <c r="I676" s="90">
        <f>[1]DATABASE!T637</f>
        <v>1080000</v>
      </c>
      <c r="J676" t="str">
        <f>[1]DATABASE!AC637</f>
        <v>Ana Damásio</v>
      </c>
    </row>
    <row r="677" spans="1:10" ht="13.95" customHeight="1" x14ac:dyDescent="0.3">
      <c r="A677">
        <f>ROW([1]DATABASE!A638)</f>
        <v>638</v>
      </c>
      <c r="B677" t="str">
        <f>[1]DATABASE!AJ638</f>
        <v>Aroeira Collections</v>
      </c>
      <c r="C677" t="str">
        <f>[1]DATABASE!C638</f>
        <v>222A</v>
      </c>
      <c r="D677" t="str">
        <f>TRIM([1]DATABASE!Q638)</f>
        <v>AVAILABLE</v>
      </c>
      <c r="E677" s="82" t="str">
        <f>_xlfn.TEXTJOIN("; ",TRUE,IF([1]DATABASE!X638&lt;0,"Negative Discount",""),IF(AND([1]DATABASE!Y638&gt;[1]DATABASE!T638,[1]DATABASE!Y638&gt;0,[1]DATABASE!T638&gt;0),"Sell Price &gt; Current",""),IF(AND(TRIM([1]DATABASE!Q638)="DEED",[1]DATABASE!AA638=""),"Deeded no PSPA Date",""),IF([1]DATABASE!E638="","Missing Typology",""),IF([1]DATABASE!AJ638="","Missing Development",""))</f>
        <v/>
      </c>
      <c r="F677" s="82" t="str">
        <f>_xlfn.TEXTJOIN("; ",TRUE,IF(AND(OR(TRIM([1]DATABASE!Q638)="RESERVED",TRIM([1]DATABASE!Q638)="PRE-RESERVED",TRIM([1]DATABASE!Q638)="PSPA"),[1]DATABASE!AA638=""),"Reserved/PSPA no PSPA Date",""),IF(AND(TRIM([1]DATABASE!Q638)="AVAILABLE",[1]DATABASE!AA638&lt;&gt;""),"Available has PSPA Date",""))</f>
        <v/>
      </c>
      <c r="G677" s="82" t="str">
        <f>_xlfn.TEXTJOIN("; ",TRUE,IF(AND([1]DATABASE!T638&lt;0.8*[1]DATABASE!S638,[1]DATABASE!T638&gt;0,[1]DATABASE!S638&gt;0),"Heavy Price Cut &gt;20%",""),IF(AND(OR(TRIM([1]DATABASE!Q638)="AVAILABLE",TRIM([1]DATABASE!Q638)="UPON REQUEST"),OR([1]DATABASE!T638="",[1]DATABASE!T638=0)),"Active Unit no Price",""),IF(AND(OR(TRIM([1]DATABASE!Q638)="AVAILABLE",TRIM([1]DATABASE!Q638)="RESERVED",TRIM([1]DATABASE!Q638)="PRE-RESERVED",TRIM([1]DATABASE!Q638)="PSPA"),[1]DATABASE!AC638=""),"Active no Owner",""),IF(OR([1]DATABASE!F638="",[1]DATABASE!F638&lt;=0),"Missing/Invalid Area",""),IF(AND([1]DATABASE!T638&gt;0,ABS([1]DATABASE!T638-[1]DATABASE!W638-[1]DATABASE!U638-[1]DATABASE!V638)&gt;1),"Price Bridge Mismatch",""))</f>
        <v/>
      </c>
      <c r="H677" t="str">
        <f t="shared" si="12"/>
        <v>PASS</v>
      </c>
      <c r="I677" s="90">
        <f>[1]DATABASE!T638</f>
        <v>450000</v>
      </c>
      <c r="J677" t="str">
        <f>[1]DATABASE!AC638</f>
        <v>João Gameiro</v>
      </c>
    </row>
    <row r="678" spans="1:10" ht="13.95" customHeight="1" x14ac:dyDescent="0.3">
      <c r="A678">
        <f>ROW([1]DATABASE!A639)</f>
        <v>639</v>
      </c>
      <c r="B678" t="str">
        <f>[1]DATABASE!AJ639</f>
        <v>The Uncommon</v>
      </c>
      <c r="C678" t="str">
        <f>[1]DATABASE!C639</f>
        <v>501</v>
      </c>
      <c r="D678" t="str">
        <f>TRIM([1]DATABASE!Q639)</f>
        <v>AVAILABLE</v>
      </c>
      <c r="E678" s="82" t="str">
        <f>_xlfn.TEXTJOIN("; ",TRUE,IF([1]DATABASE!X639&lt;0,"Negative Discount",""),IF(AND([1]DATABASE!Y639&gt;[1]DATABASE!T639,[1]DATABASE!Y639&gt;0,[1]DATABASE!T639&gt;0),"Sell Price &gt; Current",""),IF(AND(TRIM([1]DATABASE!Q639)="DEED",[1]DATABASE!AA639=""),"Deeded no PSPA Date",""),IF([1]DATABASE!E639="","Missing Typology",""),IF([1]DATABASE!AJ639="","Missing Development",""))</f>
        <v/>
      </c>
      <c r="F678" s="82" t="str">
        <f>_xlfn.TEXTJOIN("; ",TRUE,IF(AND(OR(TRIM([1]DATABASE!Q639)="RESERVED",TRIM([1]DATABASE!Q639)="PRE-RESERVED",TRIM([1]DATABASE!Q639)="PSPA"),[1]DATABASE!AA639=""),"Reserved/PSPA no PSPA Date",""),IF(AND(TRIM([1]DATABASE!Q639)="AVAILABLE",[1]DATABASE!AA639&lt;&gt;""),"Available has PSPA Date",""))</f>
        <v/>
      </c>
      <c r="G678" s="82" t="str">
        <f>_xlfn.TEXTJOIN("; ",TRUE,IF(AND([1]DATABASE!T639&lt;0.8*[1]DATABASE!S639,[1]DATABASE!T639&gt;0,[1]DATABASE!S639&gt;0),"Heavy Price Cut &gt;20%",""),IF(AND(OR(TRIM([1]DATABASE!Q639)="AVAILABLE",TRIM([1]DATABASE!Q639)="UPON REQUEST"),OR([1]DATABASE!T639="",[1]DATABASE!T639=0)),"Active Unit no Price",""),IF(AND(OR(TRIM([1]DATABASE!Q639)="AVAILABLE",TRIM([1]DATABASE!Q639)="RESERVED",TRIM([1]DATABASE!Q639)="PRE-RESERVED",TRIM([1]DATABASE!Q639)="PSPA"),[1]DATABASE!AC639=""),"Active no Owner",""),IF(OR([1]DATABASE!F639="",[1]DATABASE!F639&lt;=0),"Missing/Invalid Area",""),IF(AND([1]DATABASE!T639&gt;0,ABS([1]DATABASE!T639-[1]DATABASE!W639-[1]DATABASE!U639-[1]DATABASE!V639)&gt;1),"Price Bridge Mismatch",""))</f>
        <v/>
      </c>
      <c r="H678" t="str">
        <f t="shared" si="12"/>
        <v>PASS</v>
      </c>
      <c r="I678" s="90">
        <f>[1]DATABASE!T639</f>
        <v>2580000</v>
      </c>
      <c r="J678" t="str">
        <f>[1]DATABASE!AC639</f>
        <v>Ana Damásio</v>
      </c>
    </row>
    <row r="679" spans="1:10" ht="13.95" customHeight="1" x14ac:dyDescent="0.3">
      <c r="A679">
        <f>ROW([1]DATABASE!A640)</f>
        <v>640</v>
      </c>
      <c r="B679" t="str">
        <f>[1]DATABASE!AJ640</f>
        <v>Aroeira Collections</v>
      </c>
      <c r="C679" t="str">
        <f>[1]DATABASE!C640</f>
        <v>223B</v>
      </c>
      <c r="D679" t="str">
        <f>TRIM([1]DATABASE!Q640)</f>
        <v>AVAILABLE</v>
      </c>
      <c r="E679" s="82" t="str">
        <f>_xlfn.TEXTJOIN("; ",TRUE,IF([1]DATABASE!X640&lt;0,"Negative Discount",""),IF(AND([1]DATABASE!Y640&gt;[1]DATABASE!T640,[1]DATABASE!Y640&gt;0,[1]DATABASE!T640&gt;0),"Sell Price &gt; Current",""),IF(AND(TRIM([1]DATABASE!Q640)="DEED",[1]DATABASE!AA640=""),"Deeded no PSPA Date",""),IF([1]DATABASE!E640="","Missing Typology",""),IF([1]DATABASE!AJ640="","Missing Development",""))</f>
        <v/>
      </c>
      <c r="F679" s="82" t="str">
        <f>_xlfn.TEXTJOIN("; ",TRUE,IF(AND(OR(TRIM([1]DATABASE!Q640)="RESERVED",TRIM([1]DATABASE!Q640)="PRE-RESERVED",TRIM([1]DATABASE!Q640)="PSPA"),[1]DATABASE!AA640=""),"Reserved/PSPA no PSPA Date",""),IF(AND(TRIM([1]DATABASE!Q640)="AVAILABLE",[1]DATABASE!AA640&lt;&gt;""),"Available has PSPA Date",""))</f>
        <v/>
      </c>
      <c r="G679" s="82" t="str">
        <f>_xlfn.TEXTJOIN("; ",TRUE,IF(AND([1]DATABASE!T640&lt;0.8*[1]DATABASE!S640,[1]DATABASE!T640&gt;0,[1]DATABASE!S640&gt;0),"Heavy Price Cut &gt;20%",""),IF(AND(OR(TRIM([1]DATABASE!Q640)="AVAILABLE",TRIM([1]DATABASE!Q640)="UPON REQUEST"),OR([1]DATABASE!T640="",[1]DATABASE!T640=0)),"Active Unit no Price",""),IF(AND(OR(TRIM([1]DATABASE!Q640)="AVAILABLE",TRIM([1]DATABASE!Q640)="RESERVED",TRIM([1]DATABASE!Q640)="PRE-RESERVED",TRIM([1]DATABASE!Q640)="PSPA"),[1]DATABASE!AC640=""),"Active no Owner",""),IF(OR([1]DATABASE!F640="",[1]DATABASE!F640&lt;=0),"Missing/Invalid Area",""),IF(AND([1]DATABASE!T640&gt;0,ABS([1]DATABASE!T640-[1]DATABASE!W640-[1]DATABASE!U640-[1]DATABASE!V640)&gt;1),"Price Bridge Mismatch",""))</f>
        <v/>
      </c>
      <c r="H679" t="str">
        <f t="shared" si="12"/>
        <v>PASS</v>
      </c>
      <c r="I679" s="90">
        <f>[1]DATABASE!T640</f>
        <v>665000</v>
      </c>
      <c r="J679" t="str">
        <f>[1]DATABASE!AC640</f>
        <v>João Gameiro</v>
      </c>
    </row>
    <row r="680" spans="1:10" ht="13.95" customHeight="1" x14ac:dyDescent="0.3">
      <c r="A680">
        <f>ROW([1]DATABASE!A641)</f>
        <v>641</v>
      </c>
      <c r="B680" t="str">
        <f>[1]DATABASE!AJ641</f>
        <v>Aroeira Collections</v>
      </c>
      <c r="C680" t="str">
        <f>[1]DATABASE!C641</f>
        <v>224A</v>
      </c>
      <c r="D680" t="str">
        <f>TRIM([1]DATABASE!Q641)</f>
        <v>AVAILABLE</v>
      </c>
      <c r="E680" s="82" t="str">
        <f>_xlfn.TEXTJOIN("; ",TRUE,IF([1]DATABASE!X641&lt;0,"Negative Discount",""),IF(AND([1]DATABASE!Y641&gt;[1]DATABASE!T641,[1]DATABASE!Y641&gt;0,[1]DATABASE!T641&gt;0),"Sell Price &gt; Current",""),IF(AND(TRIM([1]DATABASE!Q641)="DEED",[1]DATABASE!AA641=""),"Deeded no PSPA Date",""),IF([1]DATABASE!E641="","Missing Typology",""),IF([1]DATABASE!AJ641="","Missing Development",""))</f>
        <v/>
      </c>
      <c r="F680" s="82" t="str">
        <f>_xlfn.TEXTJOIN("; ",TRUE,IF(AND(OR(TRIM([1]DATABASE!Q641)="RESERVED",TRIM([1]DATABASE!Q641)="PRE-RESERVED",TRIM([1]DATABASE!Q641)="PSPA"),[1]DATABASE!AA641=""),"Reserved/PSPA no PSPA Date",""),IF(AND(TRIM([1]DATABASE!Q641)="AVAILABLE",[1]DATABASE!AA641&lt;&gt;""),"Available has PSPA Date",""))</f>
        <v/>
      </c>
      <c r="G680" s="82" t="str">
        <f>_xlfn.TEXTJOIN("; ",TRUE,IF(AND([1]DATABASE!T641&lt;0.8*[1]DATABASE!S641,[1]DATABASE!T641&gt;0,[1]DATABASE!S641&gt;0),"Heavy Price Cut &gt;20%",""),IF(AND(OR(TRIM([1]DATABASE!Q641)="AVAILABLE",TRIM([1]DATABASE!Q641)="UPON REQUEST"),OR([1]DATABASE!T641="",[1]DATABASE!T641=0)),"Active Unit no Price",""),IF(AND(OR(TRIM([1]DATABASE!Q641)="AVAILABLE",TRIM([1]DATABASE!Q641)="RESERVED",TRIM([1]DATABASE!Q641)="PRE-RESERVED",TRIM([1]DATABASE!Q641)="PSPA"),[1]DATABASE!AC641=""),"Active no Owner",""),IF(OR([1]DATABASE!F641="",[1]DATABASE!F641&lt;=0),"Missing/Invalid Area",""),IF(AND([1]DATABASE!T641&gt;0,ABS([1]DATABASE!T641-[1]DATABASE!W641-[1]DATABASE!U641-[1]DATABASE!V641)&gt;1),"Price Bridge Mismatch",""))</f>
        <v/>
      </c>
      <c r="H680" t="str">
        <f t="shared" si="12"/>
        <v>PASS</v>
      </c>
      <c r="I680" s="90">
        <f>[1]DATABASE!T641</f>
        <v>480000</v>
      </c>
      <c r="J680" t="str">
        <f>[1]DATABASE!AC641</f>
        <v>João Gameiro</v>
      </c>
    </row>
    <row r="681" spans="1:10" ht="13.95" customHeight="1" x14ac:dyDescent="0.3">
      <c r="A681">
        <f>ROW([1]DATABASE!A642)</f>
        <v>642</v>
      </c>
      <c r="B681" t="str">
        <f>[1]DATABASE!AJ642</f>
        <v>Aroeira Collections</v>
      </c>
      <c r="C681" t="str">
        <f>[1]DATABASE!C642</f>
        <v>226B</v>
      </c>
      <c r="D681" t="str">
        <f>TRIM([1]DATABASE!Q642)</f>
        <v>AVAILABLE</v>
      </c>
      <c r="E681" s="82" t="str">
        <f>_xlfn.TEXTJOIN("; ",TRUE,IF([1]DATABASE!X642&lt;0,"Negative Discount",""),IF(AND([1]DATABASE!Y642&gt;[1]DATABASE!T642,[1]DATABASE!Y642&gt;0,[1]DATABASE!T642&gt;0),"Sell Price &gt; Current",""),IF(AND(TRIM([1]DATABASE!Q642)="DEED",[1]DATABASE!AA642=""),"Deeded no PSPA Date",""),IF([1]DATABASE!E642="","Missing Typology",""),IF([1]DATABASE!AJ642="","Missing Development",""))</f>
        <v/>
      </c>
      <c r="F681" s="82" t="str">
        <f>_xlfn.TEXTJOIN("; ",TRUE,IF(AND(OR(TRIM([1]DATABASE!Q642)="RESERVED",TRIM([1]DATABASE!Q642)="PRE-RESERVED",TRIM([1]DATABASE!Q642)="PSPA"),[1]DATABASE!AA642=""),"Reserved/PSPA no PSPA Date",""),IF(AND(TRIM([1]DATABASE!Q642)="AVAILABLE",[1]DATABASE!AA642&lt;&gt;""),"Available has PSPA Date",""))</f>
        <v/>
      </c>
      <c r="G681" s="82" t="str">
        <f>_xlfn.TEXTJOIN("; ",TRUE,IF(AND([1]DATABASE!T642&lt;0.8*[1]DATABASE!S642,[1]DATABASE!T642&gt;0,[1]DATABASE!S642&gt;0),"Heavy Price Cut &gt;20%",""),IF(AND(OR(TRIM([1]DATABASE!Q642)="AVAILABLE",TRIM([1]DATABASE!Q642)="UPON REQUEST"),OR([1]DATABASE!T642="",[1]DATABASE!T642=0)),"Active Unit no Price",""),IF(AND(OR(TRIM([1]DATABASE!Q642)="AVAILABLE",TRIM([1]DATABASE!Q642)="RESERVED",TRIM([1]DATABASE!Q642)="PRE-RESERVED",TRIM([1]DATABASE!Q642)="PSPA"),[1]DATABASE!AC642=""),"Active no Owner",""),IF(OR([1]DATABASE!F642="",[1]DATABASE!F642&lt;=0),"Missing/Invalid Area",""),IF(AND([1]DATABASE!T642&gt;0,ABS([1]DATABASE!T642-[1]DATABASE!W642-[1]DATABASE!U642-[1]DATABASE!V642)&gt;1),"Price Bridge Mismatch",""))</f>
        <v/>
      </c>
      <c r="H681" t="str">
        <f t="shared" si="12"/>
        <v>PASS</v>
      </c>
      <c r="I681" s="90">
        <f>[1]DATABASE!T642</f>
        <v>645000</v>
      </c>
      <c r="J681" t="str">
        <f>[1]DATABASE!AC642</f>
        <v>João Gameiro</v>
      </c>
    </row>
    <row r="682" spans="1:10" ht="13.95" customHeight="1" x14ac:dyDescent="0.3">
      <c r="A682">
        <f>ROW([1]DATABASE!A643)</f>
        <v>643</v>
      </c>
      <c r="B682" t="str">
        <f>[1]DATABASE!AJ643</f>
        <v>Aroeira Collections</v>
      </c>
      <c r="C682" t="str">
        <f>[1]DATABASE!C643</f>
        <v>227B</v>
      </c>
      <c r="D682" t="str">
        <f>TRIM([1]DATABASE!Q643)</f>
        <v>AVAILABLE</v>
      </c>
      <c r="E682" s="82" t="str">
        <f>_xlfn.TEXTJOIN("; ",TRUE,IF([1]DATABASE!X643&lt;0,"Negative Discount",""),IF(AND([1]DATABASE!Y643&gt;[1]DATABASE!T643,[1]DATABASE!Y643&gt;0,[1]DATABASE!T643&gt;0),"Sell Price &gt; Current",""),IF(AND(TRIM([1]DATABASE!Q643)="DEED",[1]DATABASE!AA643=""),"Deeded no PSPA Date",""),IF([1]DATABASE!E643="","Missing Typology",""),IF([1]DATABASE!AJ643="","Missing Development",""))</f>
        <v/>
      </c>
      <c r="F682" s="82" t="str">
        <f>_xlfn.TEXTJOIN("; ",TRUE,IF(AND(OR(TRIM([1]DATABASE!Q643)="RESERVED",TRIM([1]DATABASE!Q643)="PRE-RESERVED",TRIM([1]DATABASE!Q643)="PSPA"),[1]DATABASE!AA643=""),"Reserved/PSPA no PSPA Date",""),IF(AND(TRIM([1]DATABASE!Q643)="AVAILABLE",[1]DATABASE!AA643&lt;&gt;""),"Available has PSPA Date",""))</f>
        <v/>
      </c>
      <c r="G682" s="82" t="str">
        <f>_xlfn.TEXTJOIN("; ",TRUE,IF(AND([1]DATABASE!T643&lt;0.8*[1]DATABASE!S643,[1]DATABASE!T643&gt;0,[1]DATABASE!S643&gt;0),"Heavy Price Cut &gt;20%",""),IF(AND(OR(TRIM([1]DATABASE!Q643)="AVAILABLE",TRIM([1]DATABASE!Q643)="UPON REQUEST"),OR([1]DATABASE!T643="",[1]DATABASE!T643=0)),"Active Unit no Price",""),IF(AND(OR(TRIM([1]DATABASE!Q643)="AVAILABLE",TRIM([1]DATABASE!Q643)="RESERVED",TRIM([1]DATABASE!Q643)="PRE-RESERVED",TRIM([1]DATABASE!Q643)="PSPA"),[1]DATABASE!AC643=""),"Active no Owner",""),IF(OR([1]DATABASE!F643="",[1]DATABASE!F643&lt;=0),"Missing/Invalid Area",""),IF(AND([1]DATABASE!T643&gt;0,ABS([1]DATABASE!T643-[1]DATABASE!W643-[1]DATABASE!U643-[1]DATABASE!V643)&gt;1),"Price Bridge Mismatch",""))</f>
        <v/>
      </c>
      <c r="H682" t="str">
        <f t="shared" ref="H682:H745" si="13">IF(LEN(E682&amp;F682&amp;G682)&gt;0,"REVIEW","PASS")</f>
        <v>PASS</v>
      </c>
      <c r="I682" s="90">
        <f>[1]DATABASE!T643</f>
        <v>645000</v>
      </c>
      <c r="J682" t="str">
        <f>[1]DATABASE!AC643</f>
        <v>João Gameiro</v>
      </c>
    </row>
    <row r="683" spans="1:10" ht="13.95" customHeight="1" x14ac:dyDescent="0.3">
      <c r="A683">
        <f>ROW([1]DATABASE!A644)</f>
        <v>644</v>
      </c>
      <c r="B683" t="str">
        <f>[1]DATABASE!AJ644</f>
        <v>Palmares</v>
      </c>
      <c r="C683" t="str">
        <f>[1]DATABASE!C644</f>
        <v>7A</v>
      </c>
      <c r="D683" t="str">
        <f>TRIM([1]DATABASE!Q644)</f>
        <v>AVAILABLE</v>
      </c>
      <c r="E683" s="82" t="str">
        <f>_xlfn.TEXTJOIN("; ",TRUE,IF([1]DATABASE!X644&lt;0,"Negative Discount",""),IF(AND([1]DATABASE!Y644&gt;[1]DATABASE!T644,[1]DATABASE!Y644&gt;0,[1]DATABASE!T644&gt;0),"Sell Price &gt; Current",""),IF(AND(TRIM([1]DATABASE!Q644)="DEED",[1]DATABASE!AA644=""),"Deeded no PSPA Date",""),IF([1]DATABASE!E644="","Missing Typology",""),IF([1]DATABASE!AJ644="","Missing Development",""))</f>
        <v/>
      </c>
      <c r="F683" s="82" t="str">
        <f>_xlfn.TEXTJOIN("; ",TRUE,IF(AND(OR(TRIM([1]DATABASE!Q644)="RESERVED",TRIM([1]DATABASE!Q644)="PRE-RESERVED",TRIM([1]DATABASE!Q644)="PSPA"),[1]DATABASE!AA644=""),"Reserved/PSPA no PSPA Date",""),IF(AND(TRIM([1]DATABASE!Q644)="AVAILABLE",[1]DATABASE!AA644&lt;&gt;""),"Available has PSPA Date",""))</f>
        <v/>
      </c>
      <c r="G683" s="82" t="str">
        <f>_xlfn.TEXTJOIN("; ",TRUE,IF(AND([1]DATABASE!T644&lt;0.8*[1]DATABASE!S644,[1]DATABASE!T644&gt;0,[1]DATABASE!S644&gt;0),"Heavy Price Cut &gt;20%",""),IF(AND(OR(TRIM([1]DATABASE!Q644)="AVAILABLE",TRIM([1]DATABASE!Q644)="UPON REQUEST"),OR([1]DATABASE!T644="",[1]DATABASE!T644=0)),"Active Unit no Price",""),IF(AND(OR(TRIM([1]DATABASE!Q644)="AVAILABLE",TRIM([1]DATABASE!Q644)="RESERVED",TRIM([1]DATABASE!Q644)="PRE-RESERVED",TRIM([1]DATABASE!Q644)="PSPA"),[1]DATABASE!AC644=""),"Active no Owner",""),IF(OR([1]DATABASE!F644="",[1]DATABASE!F644&lt;=0),"Missing/Invalid Area",""),IF(AND([1]DATABASE!T644&gt;0,ABS([1]DATABASE!T644-[1]DATABASE!W644-[1]DATABASE!U644-[1]DATABASE!V644)&gt;1),"Price Bridge Mismatch",""))</f>
        <v>Active no Owner</v>
      </c>
      <c r="H683" t="str">
        <f t="shared" si="13"/>
        <v>REVIEW</v>
      </c>
      <c r="I683" s="90">
        <f>[1]DATABASE!T644</f>
        <v>630000</v>
      </c>
      <c r="J683">
        <f>[1]DATABASE!AC644</f>
        <v>0</v>
      </c>
    </row>
    <row r="684" spans="1:10" ht="13.95" customHeight="1" x14ac:dyDescent="0.3">
      <c r="A684">
        <f>ROW([1]DATABASE!A645)</f>
        <v>645</v>
      </c>
      <c r="B684" t="str">
        <f>[1]DATABASE!AJ645</f>
        <v>Palmares</v>
      </c>
      <c r="C684" t="str">
        <f>[1]DATABASE!C645</f>
        <v>803A</v>
      </c>
      <c r="D684" t="str">
        <f>TRIM([1]DATABASE!Q645)</f>
        <v>AVAILABLE</v>
      </c>
      <c r="E684" s="82" t="str">
        <f>_xlfn.TEXTJOIN("; ",TRUE,IF([1]DATABASE!X645&lt;0,"Negative Discount",""),IF(AND([1]DATABASE!Y645&gt;[1]DATABASE!T645,[1]DATABASE!Y645&gt;0,[1]DATABASE!T645&gt;0),"Sell Price &gt; Current",""),IF(AND(TRIM([1]DATABASE!Q645)="DEED",[1]DATABASE!AA645=""),"Deeded no PSPA Date",""),IF([1]DATABASE!E645="","Missing Typology",""),IF([1]DATABASE!AJ645="","Missing Development",""))</f>
        <v/>
      </c>
      <c r="F684" s="82" t="str">
        <f>_xlfn.TEXTJOIN("; ",TRUE,IF(AND(OR(TRIM([1]DATABASE!Q645)="RESERVED",TRIM([1]DATABASE!Q645)="PRE-RESERVED",TRIM([1]DATABASE!Q645)="PSPA"),[1]DATABASE!AA645=""),"Reserved/PSPA no PSPA Date",""),IF(AND(TRIM([1]DATABASE!Q645)="AVAILABLE",[1]DATABASE!AA645&lt;&gt;""),"Available has PSPA Date",""))</f>
        <v/>
      </c>
      <c r="G684" s="82" t="str">
        <f>_xlfn.TEXTJOIN("; ",TRUE,IF(AND([1]DATABASE!T645&lt;0.8*[1]DATABASE!S645,[1]DATABASE!T645&gt;0,[1]DATABASE!S645&gt;0),"Heavy Price Cut &gt;20%",""),IF(AND(OR(TRIM([1]DATABASE!Q645)="AVAILABLE",TRIM([1]DATABASE!Q645)="UPON REQUEST"),OR([1]DATABASE!T645="",[1]DATABASE!T645=0)),"Active Unit no Price",""),IF(AND(OR(TRIM([1]DATABASE!Q645)="AVAILABLE",TRIM([1]DATABASE!Q645)="RESERVED",TRIM([1]DATABASE!Q645)="PRE-RESERVED",TRIM([1]DATABASE!Q645)="PSPA"),[1]DATABASE!AC645=""),"Active no Owner",""),IF(OR([1]DATABASE!F645="",[1]DATABASE!F645&lt;=0),"Missing/Invalid Area",""),IF(AND([1]DATABASE!T645&gt;0,ABS([1]DATABASE!T645-[1]DATABASE!W645-[1]DATABASE!U645-[1]DATABASE!V645)&gt;1),"Price Bridge Mismatch",""))</f>
        <v>Active no Owner</v>
      </c>
      <c r="H684" t="str">
        <f t="shared" si="13"/>
        <v>REVIEW</v>
      </c>
      <c r="I684" s="90">
        <f>[1]DATABASE!T645</f>
        <v>1100000</v>
      </c>
      <c r="J684">
        <f>[1]DATABASE!AC645</f>
        <v>0</v>
      </c>
    </row>
    <row r="685" spans="1:10" ht="13.95" customHeight="1" x14ac:dyDescent="0.3">
      <c r="A685">
        <f>ROW([1]DATABASE!A646)</f>
        <v>646</v>
      </c>
      <c r="B685" t="str">
        <f>[1]DATABASE!AJ646</f>
        <v>The Uncommon</v>
      </c>
      <c r="C685" t="str">
        <f>[1]DATABASE!C646</f>
        <v>504</v>
      </c>
      <c r="D685" t="str">
        <f>TRIM([1]DATABASE!Q646)</f>
        <v>AVAILABLE</v>
      </c>
      <c r="E685" s="82" t="str">
        <f>_xlfn.TEXTJOIN("; ",TRUE,IF([1]DATABASE!X646&lt;0,"Negative Discount",""),IF(AND([1]DATABASE!Y646&gt;[1]DATABASE!T646,[1]DATABASE!Y646&gt;0,[1]DATABASE!T646&gt;0),"Sell Price &gt; Current",""),IF(AND(TRIM([1]DATABASE!Q646)="DEED",[1]DATABASE!AA646=""),"Deeded no PSPA Date",""),IF([1]DATABASE!E646="","Missing Typology",""),IF([1]DATABASE!AJ646="","Missing Development",""))</f>
        <v/>
      </c>
      <c r="F685" s="82" t="str">
        <f>_xlfn.TEXTJOIN("; ",TRUE,IF(AND(OR(TRIM([1]DATABASE!Q646)="RESERVED",TRIM([1]DATABASE!Q646)="PRE-RESERVED",TRIM([1]DATABASE!Q646)="PSPA"),[1]DATABASE!AA646=""),"Reserved/PSPA no PSPA Date",""),IF(AND(TRIM([1]DATABASE!Q646)="AVAILABLE",[1]DATABASE!AA646&lt;&gt;""),"Available has PSPA Date",""))</f>
        <v/>
      </c>
      <c r="G685" s="82" t="str">
        <f>_xlfn.TEXTJOIN("; ",TRUE,IF(AND([1]DATABASE!T646&lt;0.8*[1]DATABASE!S646,[1]DATABASE!T646&gt;0,[1]DATABASE!S646&gt;0),"Heavy Price Cut &gt;20%",""),IF(AND(OR(TRIM([1]DATABASE!Q646)="AVAILABLE",TRIM([1]DATABASE!Q646)="UPON REQUEST"),OR([1]DATABASE!T646="",[1]DATABASE!T646=0)),"Active Unit no Price",""),IF(AND(OR(TRIM([1]DATABASE!Q646)="AVAILABLE",TRIM([1]DATABASE!Q646)="RESERVED",TRIM([1]DATABASE!Q646)="PRE-RESERVED",TRIM([1]DATABASE!Q646)="PSPA"),[1]DATABASE!AC646=""),"Active no Owner",""),IF(OR([1]DATABASE!F646="",[1]DATABASE!F646&lt;=0),"Missing/Invalid Area",""),IF(AND([1]DATABASE!T646&gt;0,ABS([1]DATABASE!T646-[1]DATABASE!W646-[1]DATABASE!U646-[1]DATABASE!V646)&gt;1),"Price Bridge Mismatch",""))</f>
        <v/>
      </c>
      <c r="H685" t="str">
        <f t="shared" si="13"/>
        <v>PASS</v>
      </c>
      <c r="I685" s="90">
        <f>[1]DATABASE!T646</f>
        <v>1230000</v>
      </c>
      <c r="J685" t="str">
        <f>[1]DATABASE!AC646</f>
        <v>Ana Damásio</v>
      </c>
    </row>
    <row r="686" spans="1:10" ht="13.95" customHeight="1" x14ac:dyDescent="0.3">
      <c r="A686">
        <f>ROW([1]DATABASE!A647)</f>
        <v>647</v>
      </c>
      <c r="B686" t="str">
        <f>[1]DATABASE!AJ647</f>
        <v>The Uncommon</v>
      </c>
      <c r="C686" t="str">
        <f>[1]DATABASE!C647</f>
        <v>505</v>
      </c>
      <c r="D686" t="str">
        <f>TRIM([1]DATABASE!Q647)</f>
        <v>AVAILABLE</v>
      </c>
      <c r="E686" s="82" t="str">
        <f>_xlfn.TEXTJOIN("; ",TRUE,IF([1]DATABASE!X647&lt;0,"Negative Discount",""),IF(AND([1]DATABASE!Y647&gt;[1]DATABASE!T647,[1]DATABASE!Y647&gt;0,[1]DATABASE!T647&gt;0),"Sell Price &gt; Current",""),IF(AND(TRIM([1]DATABASE!Q647)="DEED",[1]DATABASE!AA647=""),"Deeded no PSPA Date",""),IF([1]DATABASE!E647="","Missing Typology",""),IF([1]DATABASE!AJ647="","Missing Development",""))</f>
        <v/>
      </c>
      <c r="F686" s="82" t="str">
        <f>_xlfn.TEXTJOIN("; ",TRUE,IF(AND(OR(TRIM([1]DATABASE!Q647)="RESERVED",TRIM([1]DATABASE!Q647)="PRE-RESERVED",TRIM([1]DATABASE!Q647)="PSPA"),[1]DATABASE!AA647=""),"Reserved/PSPA no PSPA Date",""),IF(AND(TRIM([1]DATABASE!Q647)="AVAILABLE",[1]DATABASE!AA647&lt;&gt;""),"Available has PSPA Date",""))</f>
        <v/>
      </c>
      <c r="G686" s="82" t="str">
        <f>_xlfn.TEXTJOIN("; ",TRUE,IF(AND([1]DATABASE!T647&lt;0.8*[1]DATABASE!S647,[1]DATABASE!T647&gt;0,[1]DATABASE!S647&gt;0),"Heavy Price Cut &gt;20%",""),IF(AND(OR(TRIM([1]DATABASE!Q647)="AVAILABLE",TRIM([1]DATABASE!Q647)="UPON REQUEST"),OR([1]DATABASE!T647="",[1]DATABASE!T647=0)),"Active Unit no Price",""),IF(AND(OR(TRIM([1]DATABASE!Q647)="AVAILABLE",TRIM([1]DATABASE!Q647)="RESERVED",TRIM([1]DATABASE!Q647)="PRE-RESERVED",TRIM([1]DATABASE!Q647)="PSPA"),[1]DATABASE!AC647=""),"Active no Owner",""),IF(OR([1]DATABASE!F647="",[1]DATABASE!F647&lt;=0),"Missing/Invalid Area",""),IF(AND([1]DATABASE!T647&gt;0,ABS([1]DATABASE!T647-[1]DATABASE!W647-[1]DATABASE!U647-[1]DATABASE!V647)&gt;1),"Price Bridge Mismatch",""))</f>
        <v/>
      </c>
      <c r="H686" t="str">
        <f t="shared" si="13"/>
        <v>PASS</v>
      </c>
      <c r="I686" s="90">
        <f>[1]DATABASE!T647</f>
        <v>1320000</v>
      </c>
      <c r="J686" t="str">
        <f>[1]DATABASE!AC647</f>
        <v>Ana Damásio</v>
      </c>
    </row>
    <row r="687" spans="1:10" ht="13.95" customHeight="1" x14ac:dyDescent="0.3">
      <c r="A687">
        <f>ROW([1]DATABASE!A648)</f>
        <v>648</v>
      </c>
      <c r="B687" t="str">
        <f>[1]DATABASE!AJ648</f>
        <v>Palmares</v>
      </c>
      <c r="C687" t="str">
        <f>[1]DATABASE!C648</f>
        <v>805A</v>
      </c>
      <c r="D687" t="str">
        <f>TRIM([1]DATABASE!Q648)</f>
        <v>AVAILABLE</v>
      </c>
      <c r="E687" s="82" t="str">
        <f>_xlfn.TEXTJOIN("; ",TRUE,IF([1]DATABASE!X648&lt;0,"Negative Discount",""),IF(AND([1]DATABASE!Y648&gt;[1]DATABASE!T648,[1]DATABASE!Y648&gt;0,[1]DATABASE!T648&gt;0),"Sell Price &gt; Current",""),IF(AND(TRIM([1]DATABASE!Q648)="DEED",[1]DATABASE!AA648=""),"Deeded no PSPA Date",""),IF([1]DATABASE!E648="","Missing Typology",""),IF([1]DATABASE!AJ648="","Missing Development",""))</f>
        <v/>
      </c>
      <c r="F687" s="82" t="str">
        <f>_xlfn.TEXTJOIN("; ",TRUE,IF(AND(OR(TRIM([1]DATABASE!Q648)="RESERVED",TRIM([1]DATABASE!Q648)="PRE-RESERVED",TRIM([1]DATABASE!Q648)="PSPA"),[1]DATABASE!AA648=""),"Reserved/PSPA no PSPA Date",""),IF(AND(TRIM([1]DATABASE!Q648)="AVAILABLE",[1]DATABASE!AA648&lt;&gt;""),"Available has PSPA Date",""))</f>
        <v/>
      </c>
      <c r="G687" s="82" t="str">
        <f>_xlfn.TEXTJOIN("; ",TRUE,IF(AND([1]DATABASE!T648&lt;0.8*[1]DATABASE!S648,[1]DATABASE!T648&gt;0,[1]DATABASE!S648&gt;0),"Heavy Price Cut &gt;20%",""),IF(AND(OR(TRIM([1]DATABASE!Q648)="AVAILABLE",TRIM([1]DATABASE!Q648)="UPON REQUEST"),OR([1]DATABASE!T648="",[1]DATABASE!T648=0)),"Active Unit no Price",""),IF(AND(OR(TRIM([1]DATABASE!Q648)="AVAILABLE",TRIM([1]DATABASE!Q648)="RESERVED",TRIM([1]DATABASE!Q648)="PRE-RESERVED",TRIM([1]DATABASE!Q648)="PSPA"),[1]DATABASE!AC648=""),"Active no Owner",""),IF(OR([1]DATABASE!F648="",[1]DATABASE!F648&lt;=0),"Missing/Invalid Area",""),IF(AND([1]DATABASE!T648&gt;0,ABS([1]DATABASE!T648-[1]DATABASE!W648-[1]DATABASE!U648-[1]DATABASE!V648)&gt;1),"Price Bridge Mismatch",""))</f>
        <v>Active no Owner</v>
      </c>
      <c r="H687" t="str">
        <f t="shared" si="13"/>
        <v>REVIEW</v>
      </c>
      <c r="I687" s="90">
        <f>[1]DATABASE!T648</f>
        <v>1100000</v>
      </c>
      <c r="J687">
        <f>[1]DATABASE!AC648</f>
        <v>0</v>
      </c>
    </row>
    <row r="688" spans="1:10" ht="13.95" customHeight="1" x14ac:dyDescent="0.3">
      <c r="A688">
        <f>ROW([1]DATABASE!A649)</f>
        <v>649</v>
      </c>
      <c r="B688" t="str">
        <f>[1]DATABASE!AJ649</f>
        <v>Palmares</v>
      </c>
      <c r="C688" t="str">
        <f>[1]DATABASE!C649</f>
        <v>83</v>
      </c>
      <c r="D688" t="str">
        <f>TRIM([1]DATABASE!Q649)</f>
        <v>AVAILABLE</v>
      </c>
      <c r="E688" s="82" t="str">
        <f>_xlfn.TEXTJOIN("; ",TRUE,IF([1]DATABASE!X649&lt;0,"Negative Discount",""),IF(AND([1]DATABASE!Y649&gt;[1]DATABASE!T649,[1]DATABASE!Y649&gt;0,[1]DATABASE!T649&gt;0),"Sell Price &gt; Current",""),IF(AND(TRIM([1]DATABASE!Q649)="DEED",[1]DATABASE!AA649=""),"Deeded no PSPA Date",""),IF([1]DATABASE!E649="","Missing Typology",""),IF([1]DATABASE!AJ649="","Missing Development",""))</f>
        <v/>
      </c>
      <c r="F688" s="82" t="str">
        <f>_xlfn.TEXTJOIN("; ",TRUE,IF(AND(OR(TRIM([1]DATABASE!Q649)="RESERVED",TRIM([1]DATABASE!Q649)="PRE-RESERVED",TRIM([1]DATABASE!Q649)="PSPA"),[1]DATABASE!AA649=""),"Reserved/PSPA no PSPA Date",""),IF(AND(TRIM([1]DATABASE!Q649)="AVAILABLE",[1]DATABASE!AA649&lt;&gt;""),"Available has PSPA Date",""))</f>
        <v/>
      </c>
      <c r="G688" s="82" t="str">
        <f>_xlfn.TEXTJOIN("; ",TRUE,IF(AND([1]DATABASE!T649&lt;0.8*[1]DATABASE!S649,[1]DATABASE!T649&gt;0,[1]DATABASE!S649&gt;0),"Heavy Price Cut &gt;20%",""),IF(AND(OR(TRIM([1]DATABASE!Q649)="AVAILABLE",TRIM([1]DATABASE!Q649)="UPON REQUEST"),OR([1]DATABASE!T649="",[1]DATABASE!T649=0)),"Active Unit no Price",""),IF(AND(OR(TRIM([1]DATABASE!Q649)="AVAILABLE",TRIM([1]DATABASE!Q649)="RESERVED",TRIM([1]DATABASE!Q649)="PRE-RESERVED",TRIM([1]DATABASE!Q649)="PSPA"),[1]DATABASE!AC649=""),"Active no Owner",""),IF(OR([1]DATABASE!F649="",[1]DATABASE!F649&lt;=0),"Missing/Invalid Area",""),IF(AND([1]DATABASE!T649&gt;0,ABS([1]DATABASE!T649-[1]DATABASE!W649-[1]DATABASE!U649-[1]DATABASE!V649)&gt;1),"Price Bridge Mismatch",""))</f>
        <v/>
      </c>
      <c r="H688" t="str">
        <f t="shared" si="13"/>
        <v>PASS</v>
      </c>
      <c r="I688" s="90">
        <f>[1]DATABASE!T649</f>
        <v>1700000</v>
      </c>
      <c r="J688" t="str">
        <f>[1]DATABASE!AC649</f>
        <v>Sandra Viegas</v>
      </c>
    </row>
    <row r="689" spans="1:10" ht="13.95" customHeight="1" x14ac:dyDescent="0.3">
      <c r="A689">
        <f>ROW([1]DATABASE!A650)</f>
        <v>650</v>
      </c>
      <c r="B689" t="str">
        <f>[1]DATABASE!AJ650</f>
        <v>Palmares</v>
      </c>
      <c r="C689" t="str">
        <f>[1]DATABASE!C650</f>
        <v>809A</v>
      </c>
      <c r="D689" t="str">
        <f>TRIM([1]DATABASE!Q650)</f>
        <v>AVAILABLE</v>
      </c>
      <c r="E689" s="82" t="str">
        <f>_xlfn.TEXTJOIN("; ",TRUE,IF([1]DATABASE!X650&lt;0,"Negative Discount",""),IF(AND([1]DATABASE!Y650&gt;[1]DATABASE!T650,[1]DATABASE!Y650&gt;0,[1]DATABASE!T650&gt;0),"Sell Price &gt; Current",""),IF(AND(TRIM([1]DATABASE!Q650)="DEED",[1]DATABASE!AA650=""),"Deeded no PSPA Date",""),IF([1]DATABASE!E650="","Missing Typology",""),IF([1]DATABASE!AJ650="","Missing Development",""))</f>
        <v/>
      </c>
      <c r="F689" s="82" t="str">
        <f>_xlfn.TEXTJOIN("; ",TRUE,IF(AND(OR(TRIM([1]DATABASE!Q650)="RESERVED",TRIM([1]DATABASE!Q650)="PRE-RESERVED",TRIM([1]DATABASE!Q650)="PSPA"),[1]DATABASE!AA650=""),"Reserved/PSPA no PSPA Date",""),IF(AND(TRIM([1]DATABASE!Q650)="AVAILABLE",[1]DATABASE!AA650&lt;&gt;""),"Available has PSPA Date",""))</f>
        <v/>
      </c>
      <c r="G689" s="82" t="str">
        <f>_xlfn.TEXTJOIN("; ",TRUE,IF(AND([1]DATABASE!T650&lt;0.8*[1]DATABASE!S650,[1]DATABASE!T650&gt;0,[1]DATABASE!S650&gt;0),"Heavy Price Cut &gt;20%",""),IF(AND(OR(TRIM([1]DATABASE!Q650)="AVAILABLE",TRIM([1]DATABASE!Q650)="UPON REQUEST"),OR([1]DATABASE!T650="",[1]DATABASE!T650=0)),"Active Unit no Price",""),IF(AND(OR(TRIM([1]DATABASE!Q650)="AVAILABLE",TRIM([1]DATABASE!Q650)="RESERVED",TRIM([1]DATABASE!Q650)="PRE-RESERVED",TRIM([1]DATABASE!Q650)="PSPA"),[1]DATABASE!AC650=""),"Active no Owner",""),IF(OR([1]DATABASE!F650="",[1]DATABASE!F650&lt;=0),"Missing/Invalid Area",""),IF(AND([1]DATABASE!T650&gt;0,ABS([1]DATABASE!T650-[1]DATABASE!W650-[1]DATABASE!U650-[1]DATABASE!V650)&gt;1),"Price Bridge Mismatch",""))</f>
        <v>Active no Owner</v>
      </c>
      <c r="H689" t="str">
        <f t="shared" si="13"/>
        <v>REVIEW</v>
      </c>
      <c r="I689" s="90">
        <f>[1]DATABASE!T650</f>
        <v>1200000</v>
      </c>
      <c r="J689">
        <f>[1]DATABASE!AC650</f>
        <v>0</v>
      </c>
    </row>
    <row r="690" spans="1:10" ht="13.95" customHeight="1" x14ac:dyDescent="0.3">
      <c r="A690">
        <f>ROW([1]DATABASE!A651)</f>
        <v>651</v>
      </c>
      <c r="B690" t="str">
        <f>[1]DATABASE!AJ651</f>
        <v>Palmares</v>
      </c>
      <c r="C690" t="str">
        <f>[1]DATABASE!C651</f>
        <v>810B</v>
      </c>
      <c r="D690" t="str">
        <f>TRIM([1]DATABASE!Q651)</f>
        <v>AVAILABLE</v>
      </c>
      <c r="E690" s="82" t="str">
        <f>_xlfn.TEXTJOIN("; ",TRUE,IF([1]DATABASE!X651&lt;0,"Negative Discount",""),IF(AND([1]DATABASE!Y651&gt;[1]DATABASE!T651,[1]DATABASE!Y651&gt;0,[1]DATABASE!T651&gt;0),"Sell Price &gt; Current",""),IF(AND(TRIM([1]DATABASE!Q651)="DEED",[1]DATABASE!AA651=""),"Deeded no PSPA Date",""),IF([1]DATABASE!E651="","Missing Typology",""),IF([1]DATABASE!AJ651="","Missing Development",""))</f>
        <v/>
      </c>
      <c r="F690" s="82" t="str">
        <f>_xlfn.TEXTJOIN("; ",TRUE,IF(AND(OR(TRIM([1]DATABASE!Q651)="RESERVED",TRIM([1]DATABASE!Q651)="PRE-RESERVED",TRIM([1]DATABASE!Q651)="PSPA"),[1]DATABASE!AA651=""),"Reserved/PSPA no PSPA Date",""),IF(AND(TRIM([1]DATABASE!Q651)="AVAILABLE",[1]DATABASE!AA651&lt;&gt;""),"Available has PSPA Date",""))</f>
        <v/>
      </c>
      <c r="G690" s="82" t="str">
        <f>_xlfn.TEXTJOIN("; ",TRUE,IF(AND([1]DATABASE!T651&lt;0.8*[1]DATABASE!S651,[1]DATABASE!T651&gt;0,[1]DATABASE!S651&gt;0),"Heavy Price Cut &gt;20%",""),IF(AND(OR(TRIM([1]DATABASE!Q651)="AVAILABLE",TRIM([1]DATABASE!Q651)="UPON REQUEST"),OR([1]DATABASE!T651="",[1]DATABASE!T651=0)),"Active Unit no Price",""),IF(AND(OR(TRIM([1]DATABASE!Q651)="AVAILABLE",TRIM([1]DATABASE!Q651)="RESERVED",TRIM([1]DATABASE!Q651)="PRE-RESERVED",TRIM([1]DATABASE!Q651)="PSPA"),[1]DATABASE!AC651=""),"Active no Owner",""),IF(OR([1]DATABASE!F651="",[1]DATABASE!F651&lt;=0),"Missing/Invalid Area",""),IF(AND([1]DATABASE!T651&gt;0,ABS([1]DATABASE!T651-[1]DATABASE!W651-[1]DATABASE!U651-[1]DATABASE!V651)&gt;1),"Price Bridge Mismatch",""))</f>
        <v>Active no Owner</v>
      </c>
      <c r="H690" t="str">
        <f t="shared" si="13"/>
        <v>REVIEW</v>
      </c>
      <c r="I690" s="90">
        <f>[1]DATABASE!T651</f>
        <v>700000</v>
      </c>
      <c r="J690">
        <f>[1]DATABASE!AC651</f>
        <v>0</v>
      </c>
    </row>
    <row r="691" spans="1:10" ht="13.95" customHeight="1" x14ac:dyDescent="0.3">
      <c r="A691">
        <f>ROW([1]DATABASE!A652)</f>
        <v>652</v>
      </c>
      <c r="B691" t="str">
        <f>[1]DATABASE!AJ652</f>
        <v>The Uncommon</v>
      </c>
      <c r="C691" t="str">
        <f>[1]DATABASE!C652</f>
        <v>506</v>
      </c>
      <c r="D691" t="str">
        <f>TRIM([1]DATABASE!Q652)</f>
        <v>AVAILABLE</v>
      </c>
      <c r="E691" s="82" t="str">
        <f>_xlfn.TEXTJOIN("; ",TRUE,IF([1]DATABASE!X652&lt;0,"Negative Discount",""),IF(AND([1]DATABASE!Y652&gt;[1]DATABASE!T652,[1]DATABASE!Y652&gt;0,[1]DATABASE!T652&gt;0),"Sell Price &gt; Current",""),IF(AND(TRIM([1]DATABASE!Q652)="DEED",[1]DATABASE!AA652=""),"Deeded no PSPA Date",""),IF([1]DATABASE!E652="","Missing Typology",""),IF([1]DATABASE!AJ652="","Missing Development",""))</f>
        <v/>
      </c>
      <c r="F691" s="82" t="str">
        <f>_xlfn.TEXTJOIN("; ",TRUE,IF(AND(OR(TRIM([1]DATABASE!Q652)="RESERVED",TRIM([1]DATABASE!Q652)="PRE-RESERVED",TRIM([1]DATABASE!Q652)="PSPA"),[1]DATABASE!AA652=""),"Reserved/PSPA no PSPA Date",""),IF(AND(TRIM([1]DATABASE!Q652)="AVAILABLE",[1]DATABASE!AA652&lt;&gt;""),"Available has PSPA Date",""))</f>
        <v/>
      </c>
      <c r="G691" s="82" t="str">
        <f>_xlfn.TEXTJOIN("; ",TRUE,IF(AND([1]DATABASE!T652&lt;0.8*[1]DATABASE!S652,[1]DATABASE!T652&gt;0,[1]DATABASE!S652&gt;0),"Heavy Price Cut &gt;20%",""),IF(AND(OR(TRIM([1]DATABASE!Q652)="AVAILABLE",TRIM([1]DATABASE!Q652)="UPON REQUEST"),OR([1]DATABASE!T652="",[1]DATABASE!T652=0)),"Active Unit no Price",""),IF(AND(OR(TRIM([1]DATABASE!Q652)="AVAILABLE",TRIM([1]DATABASE!Q652)="RESERVED",TRIM([1]DATABASE!Q652)="PRE-RESERVED",TRIM([1]DATABASE!Q652)="PSPA"),[1]DATABASE!AC652=""),"Active no Owner",""),IF(OR([1]DATABASE!F652="",[1]DATABASE!F652&lt;=0),"Missing/Invalid Area",""),IF(AND([1]DATABASE!T652&gt;0,ABS([1]DATABASE!T652-[1]DATABASE!W652-[1]DATABASE!U652-[1]DATABASE!V652)&gt;1),"Price Bridge Mismatch",""))</f>
        <v/>
      </c>
      <c r="H691" t="str">
        <f t="shared" si="13"/>
        <v>PASS</v>
      </c>
      <c r="I691" s="90">
        <f>[1]DATABASE!T652</f>
        <v>1410000</v>
      </c>
      <c r="J691" t="str">
        <f>[1]DATABASE!AC652</f>
        <v>Ana Damásio</v>
      </c>
    </row>
    <row r="692" spans="1:10" ht="13.95" customHeight="1" x14ac:dyDescent="0.3">
      <c r="A692">
        <f>ROW([1]DATABASE!A653)</f>
        <v>653</v>
      </c>
      <c r="B692" t="str">
        <f>[1]DATABASE!AJ653</f>
        <v>The Uncommon</v>
      </c>
      <c r="C692" t="str">
        <f>[1]DATABASE!C653</f>
        <v>507</v>
      </c>
      <c r="D692" t="str">
        <f>TRIM([1]DATABASE!Q653)</f>
        <v>AVAILABLE</v>
      </c>
      <c r="E692" s="82" t="str">
        <f>_xlfn.TEXTJOIN("; ",TRUE,IF([1]DATABASE!X653&lt;0,"Negative Discount",""),IF(AND([1]DATABASE!Y653&gt;[1]DATABASE!T653,[1]DATABASE!Y653&gt;0,[1]DATABASE!T653&gt;0),"Sell Price &gt; Current",""),IF(AND(TRIM([1]DATABASE!Q653)="DEED",[1]DATABASE!AA653=""),"Deeded no PSPA Date",""),IF([1]DATABASE!E653="","Missing Typology",""),IF([1]DATABASE!AJ653="","Missing Development",""))</f>
        <v/>
      </c>
      <c r="F692" s="82" t="str">
        <f>_xlfn.TEXTJOIN("; ",TRUE,IF(AND(OR(TRIM([1]DATABASE!Q653)="RESERVED",TRIM([1]DATABASE!Q653)="PRE-RESERVED",TRIM([1]DATABASE!Q653)="PSPA"),[1]DATABASE!AA653=""),"Reserved/PSPA no PSPA Date",""),IF(AND(TRIM([1]DATABASE!Q653)="AVAILABLE",[1]DATABASE!AA653&lt;&gt;""),"Available has PSPA Date",""))</f>
        <v/>
      </c>
      <c r="G692" s="82" t="str">
        <f>_xlfn.TEXTJOIN("; ",TRUE,IF(AND([1]DATABASE!T653&lt;0.8*[1]DATABASE!S653,[1]DATABASE!T653&gt;0,[1]DATABASE!S653&gt;0),"Heavy Price Cut &gt;20%",""),IF(AND(OR(TRIM([1]DATABASE!Q653)="AVAILABLE",TRIM([1]DATABASE!Q653)="UPON REQUEST"),OR([1]DATABASE!T653="",[1]DATABASE!T653=0)),"Active Unit no Price",""),IF(AND(OR(TRIM([1]DATABASE!Q653)="AVAILABLE",TRIM([1]DATABASE!Q653)="RESERVED",TRIM([1]DATABASE!Q653)="PRE-RESERVED",TRIM([1]DATABASE!Q653)="PSPA"),[1]DATABASE!AC653=""),"Active no Owner",""),IF(OR([1]DATABASE!F653="",[1]DATABASE!F653&lt;=0),"Missing/Invalid Area",""),IF(AND([1]DATABASE!T653&gt;0,ABS([1]DATABASE!T653-[1]DATABASE!W653-[1]DATABASE!U653-[1]DATABASE!V653)&gt;1),"Price Bridge Mismatch",""))</f>
        <v/>
      </c>
      <c r="H692" t="str">
        <f t="shared" si="13"/>
        <v>PASS</v>
      </c>
      <c r="I692" s="90">
        <f>[1]DATABASE!T653</f>
        <v>1490000</v>
      </c>
      <c r="J692" t="str">
        <f>[1]DATABASE!AC653</f>
        <v>Ana Damásio</v>
      </c>
    </row>
    <row r="693" spans="1:10" ht="13.95" customHeight="1" x14ac:dyDescent="0.3">
      <c r="A693">
        <f>ROW([1]DATABASE!A654)</f>
        <v>654</v>
      </c>
      <c r="B693" t="str">
        <f>[1]DATABASE!AJ654</f>
        <v>The Uncommon</v>
      </c>
      <c r="C693" t="str">
        <f>[1]DATABASE!C654</f>
        <v>508</v>
      </c>
      <c r="D693" t="str">
        <f>TRIM([1]DATABASE!Q654)</f>
        <v>AVAILABLE</v>
      </c>
      <c r="E693" s="82" t="str">
        <f>_xlfn.TEXTJOIN("; ",TRUE,IF([1]DATABASE!X654&lt;0,"Negative Discount",""),IF(AND([1]DATABASE!Y654&gt;[1]DATABASE!T654,[1]DATABASE!Y654&gt;0,[1]DATABASE!T654&gt;0),"Sell Price &gt; Current",""),IF(AND(TRIM([1]DATABASE!Q654)="DEED",[1]DATABASE!AA654=""),"Deeded no PSPA Date",""),IF([1]DATABASE!E654="","Missing Typology",""),IF([1]DATABASE!AJ654="","Missing Development",""))</f>
        <v/>
      </c>
      <c r="F693" s="82" t="str">
        <f>_xlfn.TEXTJOIN("; ",TRUE,IF(AND(OR(TRIM([1]DATABASE!Q654)="RESERVED",TRIM([1]DATABASE!Q654)="PRE-RESERVED",TRIM([1]DATABASE!Q654)="PSPA"),[1]DATABASE!AA654=""),"Reserved/PSPA no PSPA Date",""),IF(AND(TRIM([1]DATABASE!Q654)="AVAILABLE",[1]DATABASE!AA654&lt;&gt;""),"Available has PSPA Date",""))</f>
        <v/>
      </c>
      <c r="G693" s="82" t="str">
        <f>_xlfn.TEXTJOIN("; ",TRUE,IF(AND([1]DATABASE!T654&lt;0.8*[1]DATABASE!S654,[1]DATABASE!T654&gt;0,[1]DATABASE!S654&gt;0),"Heavy Price Cut &gt;20%",""),IF(AND(OR(TRIM([1]DATABASE!Q654)="AVAILABLE",TRIM([1]DATABASE!Q654)="UPON REQUEST"),OR([1]DATABASE!T654="",[1]DATABASE!T654=0)),"Active Unit no Price",""),IF(AND(OR(TRIM([1]DATABASE!Q654)="AVAILABLE",TRIM([1]DATABASE!Q654)="RESERVED",TRIM([1]DATABASE!Q654)="PRE-RESERVED",TRIM([1]DATABASE!Q654)="PSPA"),[1]DATABASE!AC654=""),"Active no Owner",""),IF(OR([1]DATABASE!F654="",[1]DATABASE!F654&lt;=0),"Missing/Invalid Area",""),IF(AND([1]DATABASE!T654&gt;0,ABS([1]DATABASE!T654-[1]DATABASE!W654-[1]DATABASE!U654-[1]DATABASE!V654)&gt;1),"Price Bridge Mismatch",""))</f>
        <v/>
      </c>
      <c r="H693" t="str">
        <f t="shared" si="13"/>
        <v>PASS</v>
      </c>
      <c r="I693" s="90">
        <f>[1]DATABASE!T654</f>
        <v>1550000</v>
      </c>
      <c r="J693" t="str">
        <f>[1]DATABASE!AC654</f>
        <v>Ana Damásio</v>
      </c>
    </row>
    <row r="694" spans="1:10" ht="13.95" customHeight="1" x14ac:dyDescent="0.3">
      <c r="A694">
        <f>ROW([1]DATABASE!A655)</f>
        <v>655</v>
      </c>
      <c r="B694" t="str">
        <f>[1]DATABASE!AJ655</f>
        <v>The Uncommon</v>
      </c>
      <c r="C694" t="str">
        <f>[1]DATABASE!C655</f>
        <v>509</v>
      </c>
      <c r="D694" t="str">
        <f>TRIM([1]DATABASE!Q655)</f>
        <v>AVAILABLE</v>
      </c>
      <c r="E694" s="82" t="str">
        <f>_xlfn.TEXTJOIN("; ",TRUE,IF([1]DATABASE!X655&lt;0,"Negative Discount",""),IF(AND([1]DATABASE!Y655&gt;[1]DATABASE!T655,[1]DATABASE!Y655&gt;0,[1]DATABASE!T655&gt;0),"Sell Price &gt; Current",""),IF(AND(TRIM([1]DATABASE!Q655)="DEED",[1]DATABASE!AA655=""),"Deeded no PSPA Date",""),IF([1]DATABASE!E655="","Missing Typology",""),IF([1]DATABASE!AJ655="","Missing Development",""))</f>
        <v/>
      </c>
      <c r="F694" s="82" t="str">
        <f>_xlfn.TEXTJOIN("; ",TRUE,IF(AND(OR(TRIM([1]DATABASE!Q655)="RESERVED",TRIM([1]DATABASE!Q655)="PRE-RESERVED",TRIM([1]DATABASE!Q655)="PSPA"),[1]DATABASE!AA655=""),"Reserved/PSPA no PSPA Date",""),IF(AND(TRIM([1]DATABASE!Q655)="AVAILABLE",[1]DATABASE!AA655&lt;&gt;""),"Available has PSPA Date",""))</f>
        <v/>
      </c>
      <c r="G694" s="82" t="str">
        <f>_xlfn.TEXTJOIN("; ",TRUE,IF(AND([1]DATABASE!T655&lt;0.8*[1]DATABASE!S655,[1]DATABASE!T655&gt;0,[1]DATABASE!S655&gt;0),"Heavy Price Cut &gt;20%",""),IF(AND(OR(TRIM([1]DATABASE!Q655)="AVAILABLE",TRIM([1]DATABASE!Q655)="UPON REQUEST"),OR([1]DATABASE!T655="",[1]DATABASE!T655=0)),"Active Unit no Price",""),IF(AND(OR(TRIM([1]DATABASE!Q655)="AVAILABLE",TRIM([1]DATABASE!Q655)="RESERVED",TRIM([1]DATABASE!Q655)="PRE-RESERVED",TRIM([1]DATABASE!Q655)="PSPA"),[1]DATABASE!AC655=""),"Active no Owner",""),IF(OR([1]DATABASE!F655="",[1]DATABASE!F655&lt;=0),"Missing/Invalid Area",""),IF(AND([1]DATABASE!T655&gt;0,ABS([1]DATABASE!T655-[1]DATABASE!W655-[1]DATABASE!U655-[1]DATABASE!V655)&gt;1),"Price Bridge Mismatch",""))</f>
        <v/>
      </c>
      <c r="H694" t="str">
        <f t="shared" si="13"/>
        <v>PASS</v>
      </c>
      <c r="I694" s="90">
        <f>[1]DATABASE!T655</f>
        <v>1610000</v>
      </c>
      <c r="J694" t="str">
        <f>[1]DATABASE!AC655</f>
        <v>Ana Damásio</v>
      </c>
    </row>
    <row r="695" spans="1:10" ht="13.95" customHeight="1" x14ac:dyDescent="0.3">
      <c r="A695">
        <f>ROW([1]DATABASE!A656)</f>
        <v>656</v>
      </c>
      <c r="B695" t="str">
        <f>[1]DATABASE!AJ656</f>
        <v>The Uncommon</v>
      </c>
      <c r="C695" t="str">
        <f>[1]DATABASE!C656</f>
        <v>511</v>
      </c>
      <c r="D695" t="str">
        <f>TRIM([1]DATABASE!Q656)</f>
        <v>AVAILABLE</v>
      </c>
      <c r="E695" s="82" t="str">
        <f>_xlfn.TEXTJOIN("; ",TRUE,IF([1]DATABASE!X656&lt;0,"Negative Discount",""),IF(AND([1]DATABASE!Y656&gt;[1]DATABASE!T656,[1]DATABASE!Y656&gt;0,[1]DATABASE!T656&gt;0),"Sell Price &gt; Current",""),IF(AND(TRIM([1]DATABASE!Q656)="DEED",[1]DATABASE!AA656=""),"Deeded no PSPA Date",""),IF([1]DATABASE!E656="","Missing Typology",""),IF([1]DATABASE!AJ656="","Missing Development",""))</f>
        <v/>
      </c>
      <c r="F695" s="82" t="str">
        <f>_xlfn.TEXTJOIN("; ",TRUE,IF(AND(OR(TRIM([1]DATABASE!Q656)="RESERVED",TRIM([1]DATABASE!Q656)="PRE-RESERVED",TRIM([1]DATABASE!Q656)="PSPA"),[1]DATABASE!AA656=""),"Reserved/PSPA no PSPA Date",""),IF(AND(TRIM([1]DATABASE!Q656)="AVAILABLE",[1]DATABASE!AA656&lt;&gt;""),"Available has PSPA Date",""))</f>
        <v/>
      </c>
      <c r="G695" s="82" t="str">
        <f>_xlfn.TEXTJOIN("; ",TRUE,IF(AND([1]DATABASE!T656&lt;0.8*[1]DATABASE!S656,[1]DATABASE!T656&gt;0,[1]DATABASE!S656&gt;0),"Heavy Price Cut &gt;20%",""),IF(AND(OR(TRIM([1]DATABASE!Q656)="AVAILABLE",TRIM([1]DATABASE!Q656)="UPON REQUEST"),OR([1]DATABASE!T656="",[1]DATABASE!T656=0)),"Active Unit no Price",""),IF(AND(OR(TRIM([1]DATABASE!Q656)="AVAILABLE",TRIM([1]DATABASE!Q656)="RESERVED",TRIM([1]DATABASE!Q656)="PRE-RESERVED",TRIM([1]DATABASE!Q656)="PSPA"),[1]DATABASE!AC656=""),"Active no Owner",""),IF(OR([1]DATABASE!F656="",[1]DATABASE!F656&lt;=0),"Missing/Invalid Area",""),IF(AND([1]DATABASE!T656&gt;0,ABS([1]DATABASE!T656-[1]DATABASE!W656-[1]DATABASE!U656-[1]DATABASE!V656)&gt;1),"Price Bridge Mismatch",""))</f>
        <v/>
      </c>
      <c r="H695" t="str">
        <f t="shared" si="13"/>
        <v>PASS</v>
      </c>
      <c r="I695" s="90">
        <f>[1]DATABASE!T656</f>
        <v>890000</v>
      </c>
      <c r="J695" t="str">
        <f>[1]DATABASE!AC656</f>
        <v>Ana Damásio</v>
      </c>
    </row>
    <row r="696" spans="1:10" ht="13.95" customHeight="1" x14ac:dyDescent="0.3">
      <c r="A696">
        <f>ROW([1]DATABASE!A657)</f>
        <v>657</v>
      </c>
      <c r="B696" t="str">
        <f>[1]DATABASE!AJ657</f>
        <v>The Uncommon</v>
      </c>
      <c r="C696" t="str">
        <f>[1]DATABASE!C657</f>
        <v>512</v>
      </c>
      <c r="D696" t="str">
        <f>TRIM([1]DATABASE!Q657)</f>
        <v>AVAILABLE</v>
      </c>
      <c r="E696" s="82" t="str">
        <f>_xlfn.TEXTJOIN("; ",TRUE,IF([1]DATABASE!X657&lt;0,"Negative Discount",""),IF(AND([1]DATABASE!Y657&gt;[1]DATABASE!T657,[1]DATABASE!Y657&gt;0,[1]DATABASE!T657&gt;0),"Sell Price &gt; Current",""),IF(AND(TRIM([1]DATABASE!Q657)="DEED",[1]DATABASE!AA657=""),"Deeded no PSPA Date",""),IF([1]DATABASE!E657="","Missing Typology",""),IF([1]DATABASE!AJ657="","Missing Development",""))</f>
        <v/>
      </c>
      <c r="F696" s="82" t="str">
        <f>_xlfn.TEXTJOIN("; ",TRUE,IF(AND(OR(TRIM([1]DATABASE!Q657)="RESERVED",TRIM([1]DATABASE!Q657)="PRE-RESERVED",TRIM([1]DATABASE!Q657)="PSPA"),[1]DATABASE!AA657=""),"Reserved/PSPA no PSPA Date",""),IF(AND(TRIM([1]DATABASE!Q657)="AVAILABLE",[1]DATABASE!AA657&lt;&gt;""),"Available has PSPA Date",""))</f>
        <v/>
      </c>
      <c r="G696" s="82" t="str">
        <f>_xlfn.TEXTJOIN("; ",TRUE,IF(AND([1]DATABASE!T657&lt;0.8*[1]DATABASE!S657,[1]DATABASE!T657&gt;0,[1]DATABASE!S657&gt;0),"Heavy Price Cut &gt;20%",""),IF(AND(OR(TRIM([1]DATABASE!Q657)="AVAILABLE",TRIM([1]DATABASE!Q657)="UPON REQUEST"),OR([1]DATABASE!T657="",[1]DATABASE!T657=0)),"Active Unit no Price",""),IF(AND(OR(TRIM([1]DATABASE!Q657)="AVAILABLE",TRIM([1]DATABASE!Q657)="RESERVED",TRIM([1]DATABASE!Q657)="PRE-RESERVED",TRIM([1]DATABASE!Q657)="PSPA"),[1]DATABASE!AC657=""),"Active no Owner",""),IF(OR([1]DATABASE!F657="",[1]DATABASE!F657&lt;=0),"Missing/Invalid Area",""),IF(AND([1]DATABASE!T657&gt;0,ABS([1]DATABASE!T657-[1]DATABASE!W657-[1]DATABASE!U657-[1]DATABASE!V657)&gt;1),"Price Bridge Mismatch",""))</f>
        <v/>
      </c>
      <c r="H696" t="str">
        <f t="shared" si="13"/>
        <v>PASS</v>
      </c>
      <c r="I696" s="90">
        <f>[1]DATABASE!T657</f>
        <v>930000</v>
      </c>
      <c r="J696" t="str">
        <f>[1]DATABASE!AC657</f>
        <v>Ana Damásio</v>
      </c>
    </row>
    <row r="697" spans="1:10" ht="13.95" customHeight="1" x14ac:dyDescent="0.3">
      <c r="A697">
        <f>ROW([1]DATABASE!A658)</f>
        <v>658</v>
      </c>
      <c r="B697" t="str">
        <f>[1]DATABASE!AJ658</f>
        <v>The Uncommon</v>
      </c>
      <c r="C697" t="str">
        <f>[1]DATABASE!C658</f>
        <v>513</v>
      </c>
      <c r="D697" t="str">
        <f>TRIM([1]DATABASE!Q658)</f>
        <v>AVAILABLE</v>
      </c>
      <c r="E697" s="82" t="str">
        <f>_xlfn.TEXTJOIN("; ",TRUE,IF([1]DATABASE!X658&lt;0,"Negative Discount",""),IF(AND([1]DATABASE!Y658&gt;[1]DATABASE!T658,[1]DATABASE!Y658&gt;0,[1]DATABASE!T658&gt;0),"Sell Price &gt; Current",""),IF(AND(TRIM([1]DATABASE!Q658)="DEED",[1]DATABASE!AA658=""),"Deeded no PSPA Date",""),IF([1]DATABASE!E658="","Missing Typology",""),IF([1]DATABASE!AJ658="","Missing Development",""))</f>
        <v/>
      </c>
      <c r="F697" s="82" t="str">
        <f>_xlfn.TEXTJOIN("; ",TRUE,IF(AND(OR(TRIM([1]DATABASE!Q658)="RESERVED",TRIM([1]DATABASE!Q658)="PRE-RESERVED",TRIM([1]DATABASE!Q658)="PSPA"),[1]DATABASE!AA658=""),"Reserved/PSPA no PSPA Date",""),IF(AND(TRIM([1]DATABASE!Q658)="AVAILABLE",[1]DATABASE!AA658&lt;&gt;""),"Available has PSPA Date",""))</f>
        <v/>
      </c>
      <c r="G697" s="82" t="str">
        <f>_xlfn.TEXTJOIN("; ",TRUE,IF(AND([1]DATABASE!T658&lt;0.8*[1]DATABASE!S658,[1]DATABASE!T658&gt;0,[1]DATABASE!S658&gt;0),"Heavy Price Cut &gt;20%",""),IF(AND(OR(TRIM([1]DATABASE!Q658)="AVAILABLE",TRIM([1]DATABASE!Q658)="UPON REQUEST"),OR([1]DATABASE!T658="",[1]DATABASE!T658=0)),"Active Unit no Price",""),IF(AND(OR(TRIM([1]DATABASE!Q658)="AVAILABLE",TRIM([1]DATABASE!Q658)="RESERVED",TRIM([1]DATABASE!Q658)="PRE-RESERVED",TRIM([1]DATABASE!Q658)="PSPA"),[1]DATABASE!AC658=""),"Active no Owner",""),IF(OR([1]DATABASE!F658="",[1]DATABASE!F658&lt;=0),"Missing/Invalid Area",""),IF(AND([1]DATABASE!T658&gt;0,ABS([1]DATABASE!T658-[1]DATABASE!W658-[1]DATABASE!U658-[1]DATABASE!V658)&gt;1),"Price Bridge Mismatch",""))</f>
        <v/>
      </c>
      <c r="H697" t="str">
        <f t="shared" si="13"/>
        <v>PASS</v>
      </c>
      <c r="I697" s="90">
        <f>[1]DATABASE!T658</f>
        <v>970000</v>
      </c>
      <c r="J697" t="str">
        <f>[1]DATABASE!AC658</f>
        <v>Ana Damásio</v>
      </c>
    </row>
    <row r="698" spans="1:10" ht="13.95" customHeight="1" x14ac:dyDescent="0.3">
      <c r="A698">
        <f>ROW([1]DATABASE!A659)</f>
        <v>659</v>
      </c>
      <c r="B698" t="str">
        <f>[1]DATABASE!AJ659</f>
        <v>The Uncommon</v>
      </c>
      <c r="C698" t="str">
        <f>[1]DATABASE!C659</f>
        <v>514</v>
      </c>
      <c r="D698" t="str">
        <f>TRIM([1]DATABASE!Q659)</f>
        <v>AVAILABLE</v>
      </c>
      <c r="E698" s="82" t="str">
        <f>_xlfn.TEXTJOIN("; ",TRUE,IF([1]DATABASE!X659&lt;0,"Negative Discount",""),IF(AND([1]DATABASE!Y659&gt;[1]DATABASE!T659,[1]DATABASE!Y659&gt;0,[1]DATABASE!T659&gt;0),"Sell Price &gt; Current",""),IF(AND(TRIM([1]DATABASE!Q659)="DEED",[1]DATABASE!AA659=""),"Deeded no PSPA Date",""),IF([1]DATABASE!E659="","Missing Typology",""),IF([1]DATABASE!AJ659="","Missing Development",""))</f>
        <v/>
      </c>
      <c r="F698" s="82" t="str">
        <f>_xlfn.TEXTJOIN("; ",TRUE,IF(AND(OR(TRIM([1]DATABASE!Q659)="RESERVED",TRIM([1]DATABASE!Q659)="PRE-RESERVED",TRIM([1]DATABASE!Q659)="PSPA"),[1]DATABASE!AA659=""),"Reserved/PSPA no PSPA Date",""),IF(AND(TRIM([1]DATABASE!Q659)="AVAILABLE",[1]DATABASE!AA659&lt;&gt;""),"Available has PSPA Date",""))</f>
        <v/>
      </c>
      <c r="G698" s="82" t="str">
        <f>_xlfn.TEXTJOIN("; ",TRUE,IF(AND([1]DATABASE!T659&lt;0.8*[1]DATABASE!S659,[1]DATABASE!T659&gt;0,[1]DATABASE!S659&gt;0),"Heavy Price Cut &gt;20%",""),IF(AND(OR(TRIM([1]DATABASE!Q659)="AVAILABLE",TRIM([1]DATABASE!Q659)="UPON REQUEST"),OR([1]DATABASE!T659="",[1]DATABASE!T659=0)),"Active Unit no Price",""),IF(AND(OR(TRIM([1]DATABASE!Q659)="AVAILABLE",TRIM([1]DATABASE!Q659)="RESERVED",TRIM([1]DATABASE!Q659)="PRE-RESERVED",TRIM([1]DATABASE!Q659)="PSPA"),[1]DATABASE!AC659=""),"Active no Owner",""),IF(OR([1]DATABASE!F659="",[1]DATABASE!F659&lt;=0),"Missing/Invalid Area",""),IF(AND([1]DATABASE!T659&gt;0,ABS([1]DATABASE!T659-[1]DATABASE!W659-[1]DATABASE!U659-[1]DATABASE!V659)&gt;1),"Price Bridge Mismatch",""))</f>
        <v/>
      </c>
      <c r="H698" t="str">
        <f t="shared" si="13"/>
        <v>PASS</v>
      </c>
      <c r="I698" s="90">
        <f>[1]DATABASE!T659</f>
        <v>1020000</v>
      </c>
      <c r="J698" t="str">
        <f>[1]DATABASE!AC659</f>
        <v>Ana Damásio</v>
      </c>
    </row>
    <row r="699" spans="1:10" ht="13.95" customHeight="1" x14ac:dyDescent="0.3">
      <c r="A699">
        <f>ROW([1]DATABASE!A660)</f>
        <v>660</v>
      </c>
      <c r="B699" t="str">
        <f>[1]DATABASE!AJ660</f>
        <v>The Uncommon</v>
      </c>
      <c r="C699" t="str">
        <f>[1]DATABASE!C660</f>
        <v>515</v>
      </c>
      <c r="D699" t="str">
        <f>TRIM([1]DATABASE!Q660)</f>
        <v>AVAILABLE</v>
      </c>
      <c r="E699" s="82" t="str">
        <f>_xlfn.TEXTJOIN("; ",TRUE,IF([1]DATABASE!X660&lt;0,"Negative Discount",""),IF(AND([1]DATABASE!Y660&gt;[1]DATABASE!T660,[1]DATABASE!Y660&gt;0,[1]DATABASE!T660&gt;0),"Sell Price &gt; Current",""),IF(AND(TRIM([1]DATABASE!Q660)="DEED",[1]DATABASE!AA660=""),"Deeded no PSPA Date",""),IF([1]DATABASE!E660="","Missing Typology",""),IF([1]DATABASE!AJ660="","Missing Development",""))</f>
        <v/>
      </c>
      <c r="F699" s="82" t="str">
        <f>_xlfn.TEXTJOIN("; ",TRUE,IF(AND(OR(TRIM([1]DATABASE!Q660)="RESERVED",TRIM([1]DATABASE!Q660)="PRE-RESERVED",TRIM([1]DATABASE!Q660)="PSPA"),[1]DATABASE!AA660=""),"Reserved/PSPA no PSPA Date",""),IF(AND(TRIM([1]DATABASE!Q660)="AVAILABLE",[1]DATABASE!AA660&lt;&gt;""),"Available has PSPA Date",""))</f>
        <v/>
      </c>
      <c r="G699" s="82" t="str">
        <f>_xlfn.TEXTJOIN("; ",TRUE,IF(AND([1]DATABASE!T660&lt;0.8*[1]DATABASE!S660,[1]DATABASE!T660&gt;0,[1]DATABASE!S660&gt;0),"Heavy Price Cut &gt;20%",""),IF(AND(OR(TRIM([1]DATABASE!Q660)="AVAILABLE",TRIM([1]DATABASE!Q660)="UPON REQUEST"),OR([1]DATABASE!T660="",[1]DATABASE!T660=0)),"Active Unit no Price",""),IF(AND(OR(TRIM([1]DATABASE!Q660)="AVAILABLE",TRIM([1]DATABASE!Q660)="RESERVED",TRIM([1]DATABASE!Q660)="PRE-RESERVED",TRIM([1]DATABASE!Q660)="PSPA"),[1]DATABASE!AC660=""),"Active no Owner",""),IF(OR([1]DATABASE!F660="",[1]DATABASE!F660&lt;=0),"Missing/Invalid Area",""),IF(AND([1]DATABASE!T660&gt;0,ABS([1]DATABASE!T660-[1]DATABASE!W660-[1]DATABASE!U660-[1]DATABASE!V660)&gt;1),"Price Bridge Mismatch",""))</f>
        <v/>
      </c>
      <c r="H699" t="str">
        <f t="shared" si="13"/>
        <v>PASS</v>
      </c>
      <c r="I699" s="90">
        <f>[1]DATABASE!T660</f>
        <v>1100000</v>
      </c>
      <c r="J699" t="str">
        <f>[1]DATABASE!AC660</f>
        <v>Ana Damásio</v>
      </c>
    </row>
    <row r="700" spans="1:10" ht="13.95" customHeight="1" x14ac:dyDescent="0.3">
      <c r="A700">
        <f>ROW([1]DATABASE!A661)</f>
        <v>661</v>
      </c>
      <c r="B700" t="str">
        <f>[1]DATABASE!AJ661</f>
        <v>Springs - At the Els</v>
      </c>
      <c r="C700" t="str">
        <f>[1]DATABASE!C661</f>
        <v>6</v>
      </c>
      <c r="D700" t="str">
        <f>TRIM([1]DATABASE!Q661)</f>
        <v>AVAILABLE</v>
      </c>
      <c r="E700" s="82" t="str">
        <f>_xlfn.TEXTJOIN("; ",TRUE,IF([1]DATABASE!X661&lt;0,"Negative Discount",""),IF(AND([1]DATABASE!Y661&gt;[1]DATABASE!T661,[1]DATABASE!Y661&gt;0,[1]DATABASE!T661&gt;0),"Sell Price &gt; Current",""),IF(AND(TRIM([1]DATABASE!Q661)="DEED",[1]DATABASE!AA661=""),"Deeded no PSPA Date",""),IF([1]DATABASE!E661="","Missing Typology",""),IF([1]DATABASE!AJ661="","Missing Development",""))</f>
        <v/>
      </c>
      <c r="F700" s="82" t="str">
        <f>_xlfn.TEXTJOIN("; ",TRUE,IF(AND(OR(TRIM([1]DATABASE!Q661)="RESERVED",TRIM([1]DATABASE!Q661)="PRE-RESERVED",TRIM([1]DATABASE!Q661)="PSPA"),[1]DATABASE!AA661=""),"Reserved/PSPA no PSPA Date",""),IF(AND(TRIM([1]DATABASE!Q661)="AVAILABLE",[1]DATABASE!AA661&lt;&gt;""),"Available has PSPA Date",""))</f>
        <v/>
      </c>
      <c r="G700" s="82" t="str">
        <f>_xlfn.TEXTJOIN("; ",TRUE,IF(AND([1]DATABASE!T661&lt;0.8*[1]DATABASE!S661,[1]DATABASE!T661&gt;0,[1]DATABASE!S661&gt;0),"Heavy Price Cut &gt;20%",""),IF(AND(OR(TRIM([1]DATABASE!Q661)="AVAILABLE",TRIM([1]DATABASE!Q661)="UPON REQUEST"),OR([1]DATABASE!T661="",[1]DATABASE!T661=0)),"Active Unit no Price",""),IF(AND(OR(TRIM([1]DATABASE!Q661)="AVAILABLE",TRIM([1]DATABASE!Q661)="RESERVED",TRIM([1]DATABASE!Q661)="PRE-RESERVED",TRIM([1]DATABASE!Q661)="PSPA"),[1]DATABASE!AC661=""),"Active no Owner",""),IF(OR([1]DATABASE!F661="",[1]DATABASE!F661&lt;=0),"Missing/Invalid Area",""),IF(AND([1]DATABASE!T661&gt;0,ABS([1]DATABASE!T661-[1]DATABASE!W661-[1]DATABASE!U661-[1]DATABASE!V661)&gt;1),"Price Bridge Mismatch",""))</f>
        <v/>
      </c>
      <c r="H700" t="str">
        <f t="shared" si="13"/>
        <v>PASS</v>
      </c>
      <c r="I700" s="90">
        <f>[1]DATABASE!T661</f>
        <v>2560000</v>
      </c>
      <c r="J700" t="str">
        <f>[1]DATABASE!AC661</f>
        <v>Ana Damásio</v>
      </c>
    </row>
    <row r="701" spans="1:10" ht="13.95" customHeight="1" x14ac:dyDescent="0.3">
      <c r="A701">
        <f>ROW([1]DATABASE!A662)</f>
        <v>662</v>
      </c>
      <c r="B701" t="str">
        <f>[1]DATABASE!AJ662</f>
        <v>The Uncommon</v>
      </c>
      <c r="C701" t="str">
        <f>[1]DATABASE!C662</f>
        <v>6</v>
      </c>
      <c r="D701" t="str">
        <f>TRIM([1]DATABASE!Q662)</f>
        <v>AVAILABLE</v>
      </c>
      <c r="E701" s="82" t="str">
        <f>_xlfn.TEXTJOIN("; ",TRUE,IF([1]DATABASE!X662&lt;0,"Negative Discount",""),IF(AND([1]DATABASE!Y662&gt;[1]DATABASE!T662,[1]DATABASE!Y662&gt;0,[1]DATABASE!T662&gt;0),"Sell Price &gt; Current",""),IF(AND(TRIM([1]DATABASE!Q662)="DEED",[1]DATABASE!AA662=""),"Deeded no PSPA Date",""),IF([1]DATABASE!E662="","Missing Typology",""),IF([1]DATABASE!AJ662="","Missing Development",""))</f>
        <v/>
      </c>
      <c r="F701" s="82" t="str">
        <f>_xlfn.TEXTJOIN("; ",TRUE,IF(AND(OR(TRIM([1]DATABASE!Q662)="RESERVED",TRIM([1]DATABASE!Q662)="PRE-RESERVED",TRIM([1]DATABASE!Q662)="PSPA"),[1]DATABASE!AA662=""),"Reserved/PSPA no PSPA Date",""),IF(AND(TRIM([1]DATABASE!Q662)="AVAILABLE",[1]DATABASE!AA662&lt;&gt;""),"Available has PSPA Date",""))</f>
        <v/>
      </c>
      <c r="G701" s="82" t="str">
        <f>_xlfn.TEXTJOIN("; ",TRUE,IF(AND([1]DATABASE!T662&lt;0.8*[1]DATABASE!S662,[1]DATABASE!T662&gt;0,[1]DATABASE!S662&gt;0),"Heavy Price Cut &gt;20%",""),IF(AND(OR(TRIM([1]DATABASE!Q662)="AVAILABLE",TRIM([1]DATABASE!Q662)="UPON REQUEST"),OR([1]DATABASE!T662="",[1]DATABASE!T662=0)),"Active Unit no Price",""),IF(AND(OR(TRIM([1]DATABASE!Q662)="AVAILABLE",TRIM([1]DATABASE!Q662)="RESERVED",TRIM([1]DATABASE!Q662)="PRE-RESERVED",TRIM([1]DATABASE!Q662)="PSPA"),[1]DATABASE!AC662=""),"Active no Owner",""),IF(OR([1]DATABASE!F662="",[1]DATABASE!F662&lt;=0),"Missing/Invalid Area",""),IF(AND([1]DATABASE!T662&gt;0,ABS([1]DATABASE!T662-[1]DATABASE!W662-[1]DATABASE!U662-[1]DATABASE!V662)&gt;1),"Price Bridge Mismatch",""))</f>
        <v/>
      </c>
      <c r="H701" t="str">
        <f t="shared" si="13"/>
        <v>PASS</v>
      </c>
      <c r="I701" s="90">
        <f>[1]DATABASE!T662</f>
        <v>1180000</v>
      </c>
      <c r="J701" t="str">
        <f>[1]DATABASE!AC662</f>
        <v>Ana Damásio</v>
      </c>
    </row>
    <row r="702" spans="1:10" ht="13.95" customHeight="1" x14ac:dyDescent="0.3">
      <c r="A702">
        <f>ROW([1]DATABASE!A663)</f>
        <v>663</v>
      </c>
      <c r="B702" t="str">
        <f>[1]DATABASE!AJ663</f>
        <v>Springs - At the Els</v>
      </c>
      <c r="C702" t="str">
        <f>[1]DATABASE!C663</f>
        <v>7</v>
      </c>
      <c r="D702" t="str">
        <f>TRIM([1]DATABASE!Q663)</f>
        <v>AVAILABLE</v>
      </c>
      <c r="E702" s="82" t="str">
        <f>_xlfn.TEXTJOIN("; ",TRUE,IF([1]DATABASE!X663&lt;0,"Negative Discount",""),IF(AND([1]DATABASE!Y663&gt;[1]DATABASE!T663,[1]DATABASE!Y663&gt;0,[1]DATABASE!T663&gt;0),"Sell Price &gt; Current",""),IF(AND(TRIM([1]DATABASE!Q663)="DEED",[1]DATABASE!AA663=""),"Deeded no PSPA Date",""),IF([1]DATABASE!E663="","Missing Typology",""),IF([1]DATABASE!AJ663="","Missing Development",""))</f>
        <v/>
      </c>
      <c r="F702" s="82" t="str">
        <f>_xlfn.TEXTJOIN("; ",TRUE,IF(AND(OR(TRIM([1]DATABASE!Q663)="RESERVED",TRIM([1]DATABASE!Q663)="PRE-RESERVED",TRIM([1]DATABASE!Q663)="PSPA"),[1]DATABASE!AA663=""),"Reserved/PSPA no PSPA Date",""),IF(AND(TRIM([1]DATABASE!Q663)="AVAILABLE",[1]DATABASE!AA663&lt;&gt;""),"Available has PSPA Date",""))</f>
        <v/>
      </c>
      <c r="G702" s="82" t="str">
        <f>_xlfn.TEXTJOIN("; ",TRUE,IF(AND([1]DATABASE!T663&lt;0.8*[1]DATABASE!S663,[1]DATABASE!T663&gt;0,[1]DATABASE!S663&gt;0),"Heavy Price Cut &gt;20%",""),IF(AND(OR(TRIM([1]DATABASE!Q663)="AVAILABLE",TRIM([1]DATABASE!Q663)="UPON REQUEST"),OR([1]DATABASE!T663="",[1]DATABASE!T663=0)),"Active Unit no Price",""),IF(AND(OR(TRIM([1]DATABASE!Q663)="AVAILABLE",TRIM([1]DATABASE!Q663)="RESERVED",TRIM([1]DATABASE!Q663)="PRE-RESERVED",TRIM([1]DATABASE!Q663)="PSPA"),[1]DATABASE!AC663=""),"Active no Owner",""),IF(OR([1]DATABASE!F663="",[1]DATABASE!F663&lt;=0),"Missing/Invalid Area",""),IF(AND([1]DATABASE!T663&gt;0,ABS([1]DATABASE!T663-[1]DATABASE!W663-[1]DATABASE!U663-[1]DATABASE!V663)&gt;1),"Price Bridge Mismatch",""))</f>
        <v/>
      </c>
      <c r="H702" t="str">
        <f t="shared" si="13"/>
        <v>PASS</v>
      </c>
      <c r="I702" s="90">
        <f>[1]DATABASE!T663</f>
        <v>2640000</v>
      </c>
      <c r="J702" t="str">
        <f>[1]DATABASE!AC663</f>
        <v>Ana Damásio</v>
      </c>
    </row>
    <row r="703" spans="1:10" ht="13.95" customHeight="1" x14ac:dyDescent="0.3">
      <c r="A703">
        <f>ROW([1]DATABASE!A664)</f>
        <v>664</v>
      </c>
      <c r="B703" t="str">
        <f>[1]DATABASE!AJ664</f>
        <v>The Uncommon</v>
      </c>
      <c r="C703" t="str">
        <f>[1]DATABASE!C664</f>
        <v>7</v>
      </c>
      <c r="D703" t="str">
        <f>TRIM([1]DATABASE!Q664)</f>
        <v>AVAILABLE</v>
      </c>
      <c r="E703" s="82" t="str">
        <f>_xlfn.TEXTJOIN("; ",TRUE,IF([1]DATABASE!X664&lt;0,"Negative Discount",""),IF(AND([1]DATABASE!Y664&gt;[1]DATABASE!T664,[1]DATABASE!Y664&gt;0,[1]DATABASE!T664&gt;0),"Sell Price &gt; Current",""),IF(AND(TRIM([1]DATABASE!Q664)="DEED",[1]DATABASE!AA664=""),"Deeded no PSPA Date",""),IF([1]DATABASE!E664="","Missing Typology",""),IF([1]DATABASE!AJ664="","Missing Development",""))</f>
        <v/>
      </c>
      <c r="F703" s="82" t="str">
        <f>_xlfn.TEXTJOIN("; ",TRUE,IF(AND(OR(TRIM([1]DATABASE!Q664)="RESERVED",TRIM([1]DATABASE!Q664)="PRE-RESERVED",TRIM([1]DATABASE!Q664)="PSPA"),[1]DATABASE!AA664=""),"Reserved/PSPA no PSPA Date",""),IF(AND(TRIM([1]DATABASE!Q664)="AVAILABLE",[1]DATABASE!AA664&lt;&gt;""),"Available has PSPA Date",""))</f>
        <v/>
      </c>
      <c r="G703" s="82" t="str">
        <f>_xlfn.TEXTJOIN("; ",TRUE,IF(AND([1]DATABASE!T664&lt;0.8*[1]DATABASE!S664,[1]DATABASE!T664&gt;0,[1]DATABASE!S664&gt;0),"Heavy Price Cut &gt;20%",""),IF(AND(OR(TRIM([1]DATABASE!Q664)="AVAILABLE",TRIM([1]DATABASE!Q664)="UPON REQUEST"),OR([1]DATABASE!T664="",[1]DATABASE!T664=0)),"Active Unit no Price",""),IF(AND(OR(TRIM([1]DATABASE!Q664)="AVAILABLE",TRIM([1]DATABASE!Q664)="RESERVED",TRIM([1]DATABASE!Q664)="PRE-RESERVED",TRIM([1]DATABASE!Q664)="PSPA"),[1]DATABASE!AC664=""),"Active no Owner",""),IF(OR([1]DATABASE!F664="",[1]DATABASE!F664&lt;=0),"Missing/Invalid Area",""),IF(AND([1]DATABASE!T664&gt;0,ABS([1]DATABASE!T664-[1]DATABASE!W664-[1]DATABASE!U664-[1]DATABASE!V664)&gt;1),"Price Bridge Mismatch",""))</f>
        <v/>
      </c>
      <c r="H703" t="str">
        <f t="shared" si="13"/>
        <v>PASS</v>
      </c>
      <c r="I703" s="90">
        <f>[1]DATABASE!T664</f>
        <v>1270000</v>
      </c>
      <c r="J703" t="str">
        <f>[1]DATABASE!AC664</f>
        <v>Ana Damásio</v>
      </c>
    </row>
    <row r="704" spans="1:10" ht="13.95" customHeight="1" x14ac:dyDescent="0.3">
      <c r="A704">
        <f>ROW([1]DATABASE!A665)</f>
        <v>665</v>
      </c>
      <c r="B704" t="str">
        <f>[1]DATABASE!AJ665</f>
        <v>Springs - At the Els</v>
      </c>
      <c r="C704" t="str">
        <f>[1]DATABASE!C665</f>
        <v>8</v>
      </c>
      <c r="D704" t="str">
        <f>TRIM([1]DATABASE!Q665)</f>
        <v>AVAILABLE</v>
      </c>
      <c r="E704" s="82" t="str">
        <f>_xlfn.TEXTJOIN("; ",TRUE,IF([1]DATABASE!X665&lt;0,"Negative Discount",""),IF(AND([1]DATABASE!Y665&gt;[1]DATABASE!T665,[1]DATABASE!Y665&gt;0,[1]DATABASE!T665&gt;0),"Sell Price &gt; Current",""),IF(AND(TRIM([1]DATABASE!Q665)="DEED",[1]DATABASE!AA665=""),"Deeded no PSPA Date",""),IF([1]DATABASE!E665="","Missing Typology",""),IF([1]DATABASE!AJ665="","Missing Development",""))</f>
        <v/>
      </c>
      <c r="F704" s="82" t="str">
        <f>_xlfn.TEXTJOIN("; ",TRUE,IF(AND(OR(TRIM([1]DATABASE!Q665)="RESERVED",TRIM([1]DATABASE!Q665)="PRE-RESERVED",TRIM([1]DATABASE!Q665)="PSPA"),[1]DATABASE!AA665=""),"Reserved/PSPA no PSPA Date",""),IF(AND(TRIM([1]DATABASE!Q665)="AVAILABLE",[1]DATABASE!AA665&lt;&gt;""),"Available has PSPA Date",""))</f>
        <v/>
      </c>
      <c r="G704" s="82" t="str">
        <f>_xlfn.TEXTJOIN("; ",TRUE,IF(AND([1]DATABASE!T665&lt;0.8*[1]DATABASE!S665,[1]DATABASE!T665&gt;0,[1]DATABASE!S665&gt;0),"Heavy Price Cut &gt;20%",""),IF(AND(OR(TRIM([1]DATABASE!Q665)="AVAILABLE",TRIM([1]DATABASE!Q665)="UPON REQUEST"),OR([1]DATABASE!T665="",[1]DATABASE!T665=0)),"Active Unit no Price",""),IF(AND(OR(TRIM([1]DATABASE!Q665)="AVAILABLE",TRIM([1]DATABASE!Q665)="RESERVED",TRIM([1]DATABASE!Q665)="PRE-RESERVED",TRIM([1]DATABASE!Q665)="PSPA"),[1]DATABASE!AC665=""),"Active no Owner",""),IF(OR([1]DATABASE!F665="",[1]DATABASE!F665&lt;=0),"Missing/Invalid Area",""),IF(AND([1]DATABASE!T665&gt;0,ABS([1]DATABASE!T665-[1]DATABASE!W665-[1]DATABASE!U665-[1]DATABASE!V665)&gt;1),"Price Bridge Mismatch",""))</f>
        <v/>
      </c>
      <c r="H704" t="str">
        <f t="shared" si="13"/>
        <v>PASS</v>
      </c>
      <c r="I704" s="90">
        <f>[1]DATABASE!T665</f>
        <v>2640000</v>
      </c>
      <c r="J704" t="str">
        <f>[1]DATABASE!AC665</f>
        <v>Ana Damásio</v>
      </c>
    </row>
    <row r="705" spans="1:10" ht="13.95" customHeight="1" x14ac:dyDescent="0.3">
      <c r="A705">
        <f>ROW([1]DATABASE!A666)</f>
        <v>666</v>
      </c>
      <c r="B705" t="str">
        <f>[1]DATABASE!AJ666</f>
        <v>The Uncommon</v>
      </c>
      <c r="C705" t="str">
        <f>[1]DATABASE!C666</f>
        <v>8</v>
      </c>
      <c r="D705" t="str">
        <f>TRIM([1]DATABASE!Q666)</f>
        <v>AVAILABLE</v>
      </c>
      <c r="E705" s="82" t="str">
        <f>_xlfn.TEXTJOIN("; ",TRUE,IF([1]DATABASE!X666&lt;0,"Negative Discount",""),IF(AND([1]DATABASE!Y666&gt;[1]DATABASE!T666,[1]DATABASE!Y666&gt;0,[1]DATABASE!T666&gt;0),"Sell Price &gt; Current",""),IF(AND(TRIM([1]DATABASE!Q666)="DEED",[1]DATABASE!AA666=""),"Deeded no PSPA Date",""),IF([1]DATABASE!E666="","Missing Typology",""),IF([1]DATABASE!AJ666="","Missing Development",""))</f>
        <v/>
      </c>
      <c r="F705" s="82" t="str">
        <f>_xlfn.TEXTJOIN("; ",TRUE,IF(AND(OR(TRIM([1]DATABASE!Q666)="RESERVED",TRIM([1]DATABASE!Q666)="PRE-RESERVED",TRIM([1]DATABASE!Q666)="PSPA"),[1]DATABASE!AA666=""),"Reserved/PSPA no PSPA Date",""),IF(AND(TRIM([1]DATABASE!Q666)="AVAILABLE",[1]DATABASE!AA666&lt;&gt;""),"Available has PSPA Date",""))</f>
        <v/>
      </c>
      <c r="G705" s="82" t="str">
        <f>_xlfn.TEXTJOIN("; ",TRUE,IF(AND([1]DATABASE!T666&lt;0.8*[1]DATABASE!S666,[1]DATABASE!T666&gt;0,[1]DATABASE!S666&gt;0),"Heavy Price Cut &gt;20%",""),IF(AND(OR(TRIM([1]DATABASE!Q666)="AVAILABLE",TRIM([1]DATABASE!Q666)="UPON REQUEST"),OR([1]DATABASE!T666="",[1]DATABASE!T666=0)),"Active Unit no Price",""),IF(AND(OR(TRIM([1]DATABASE!Q666)="AVAILABLE",TRIM([1]DATABASE!Q666)="RESERVED",TRIM([1]DATABASE!Q666)="PRE-RESERVED",TRIM([1]DATABASE!Q666)="PSPA"),[1]DATABASE!AC666=""),"Active no Owner",""),IF(OR([1]DATABASE!F666="",[1]DATABASE!F666&lt;=0),"Missing/Invalid Area",""),IF(AND([1]DATABASE!T666&gt;0,ABS([1]DATABASE!T666-[1]DATABASE!W666-[1]DATABASE!U666-[1]DATABASE!V666)&gt;1),"Price Bridge Mismatch",""))</f>
        <v/>
      </c>
      <c r="H705" t="str">
        <f t="shared" si="13"/>
        <v>PASS</v>
      </c>
      <c r="I705" s="90">
        <f>[1]DATABASE!T666</f>
        <v>1330000</v>
      </c>
      <c r="J705" t="str">
        <f>[1]DATABASE!AC666</f>
        <v>Ana Damásio</v>
      </c>
    </row>
    <row r="706" spans="1:10" ht="13.95" customHeight="1" x14ac:dyDescent="0.3">
      <c r="A706">
        <f>ROW([1]DATABASE!A667)</f>
        <v>667</v>
      </c>
      <c r="B706" t="str">
        <f>[1]DATABASE!AJ667</f>
        <v>Springs - At the Els</v>
      </c>
      <c r="C706" t="str">
        <f>[1]DATABASE!C667</f>
        <v>9</v>
      </c>
      <c r="D706" t="str">
        <f>TRIM([1]DATABASE!Q667)</f>
        <v>AVAILABLE</v>
      </c>
      <c r="E706" s="82" t="str">
        <f>_xlfn.TEXTJOIN("; ",TRUE,IF([1]DATABASE!X667&lt;0,"Negative Discount",""),IF(AND([1]DATABASE!Y667&gt;[1]DATABASE!T667,[1]DATABASE!Y667&gt;0,[1]DATABASE!T667&gt;0),"Sell Price &gt; Current",""),IF(AND(TRIM([1]DATABASE!Q667)="DEED",[1]DATABASE!AA667=""),"Deeded no PSPA Date",""),IF([1]DATABASE!E667="","Missing Typology",""),IF([1]DATABASE!AJ667="","Missing Development",""))</f>
        <v/>
      </c>
      <c r="F706" s="82" t="str">
        <f>_xlfn.TEXTJOIN("; ",TRUE,IF(AND(OR(TRIM([1]DATABASE!Q667)="RESERVED",TRIM([1]DATABASE!Q667)="PRE-RESERVED",TRIM([1]DATABASE!Q667)="PSPA"),[1]DATABASE!AA667=""),"Reserved/PSPA no PSPA Date",""),IF(AND(TRIM([1]DATABASE!Q667)="AVAILABLE",[1]DATABASE!AA667&lt;&gt;""),"Available has PSPA Date",""))</f>
        <v/>
      </c>
      <c r="G706" s="82" t="str">
        <f>_xlfn.TEXTJOIN("; ",TRUE,IF(AND([1]DATABASE!T667&lt;0.8*[1]DATABASE!S667,[1]DATABASE!T667&gt;0,[1]DATABASE!S667&gt;0),"Heavy Price Cut &gt;20%",""),IF(AND(OR(TRIM([1]DATABASE!Q667)="AVAILABLE",TRIM([1]DATABASE!Q667)="UPON REQUEST"),OR([1]DATABASE!T667="",[1]DATABASE!T667=0)),"Active Unit no Price",""),IF(AND(OR(TRIM([1]DATABASE!Q667)="AVAILABLE",TRIM([1]DATABASE!Q667)="RESERVED",TRIM([1]DATABASE!Q667)="PRE-RESERVED",TRIM([1]DATABASE!Q667)="PSPA"),[1]DATABASE!AC667=""),"Active no Owner",""),IF(OR([1]DATABASE!F667="",[1]DATABASE!F667&lt;=0),"Missing/Invalid Area",""),IF(AND([1]DATABASE!T667&gt;0,ABS([1]DATABASE!T667-[1]DATABASE!W667-[1]DATABASE!U667-[1]DATABASE!V667)&gt;1),"Price Bridge Mismatch",""))</f>
        <v/>
      </c>
      <c r="H706" t="str">
        <f t="shared" si="13"/>
        <v>PASS</v>
      </c>
      <c r="I706" s="90">
        <f>[1]DATABASE!T667</f>
        <v>1160000</v>
      </c>
      <c r="J706" t="str">
        <f>[1]DATABASE!AC667</f>
        <v>Ana Damásio</v>
      </c>
    </row>
    <row r="707" spans="1:10" ht="13.95" customHeight="1" x14ac:dyDescent="0.3">
      <c r="A707">
        <f>ROW([1]DATABASE!A668)</f>
        <v>668</v>
      </c>
      <c r="B707" t="str">
        <f>[1]DATABASE!AJ668</f>
        <v>Aroeira Collections</v>
      </c>
      <c r="C707" t="str">
        <f>[1]DATABASE!C668</f>
        <v>228A</v>
      </c>
      <c r="D707" t="str">
        <f>TRIM([1]DATABASE!Q668)</f>
        <v>AVAILABLE</v>
      </c>
      <c r="E707" s="82" t="str">
        <f>_xlfn.TEXTJOIN("; ",TRUE,IF([1]DATABASE!X668&lt;0,"Negative Discount",""),IF(AND([1]DATABASE!Y668&gt;[1]DATABASE!T668,[1]DATABASE!Y668&gt;0,[1]DATABASE!T668&gt;0),"Sell Price &gt; Current",""),IF(AND(TRIM([1]DATABASE!Q668)="DEED",[1]DATABASE!AA668=""),"Deeded no PSPA Date",""),IF([1]DATABASE!E668="","Missing Typology",""),IF([1]DATABASE!AJ668="","Missing Development",""))</f>
        <v/>
      </c>
      <c r="F707" s="82" t="str">
        <f>_xlfn.TEXTJOIN("; ",TRUE,IF(AND(OR(TRIM([1]DATABASE!Q668)="RESERVED",TRIM([1]DATABASE!Q668)="PRE-RESERVED",TRIM([1]DATABASE!Q668)="PSPA"),[1]DATABASE!AA668=""),"Reserved/PSPA no PSPA Date",""),IF(AND(TRIM([1]DATABASE!Q668)="AVAILABLE",[1]DATABASE!AA668&lt;&gt;""),"Available has PSPA Date",""))</f>
        <v/>
      </c>
      <c r="G707" s="82" t="str">
        <f>_xlfn.TEXTJOIN("; ",TRUE,IF(AND([1]DATABASE!T668&lt;0.8*[1]DATABASE!S668,[1]DATABASE!T668&gt;0,[1]DATABASE!S668&gt;0),"Heavy Price Cut &gt;20%",""),IF(AND(OR(TRIM([1]DATABASE!Q668)="AVAILABLE",TRIM([1]DATABASE!Q668)="UPON REQUEST"),OR([1]DATABASE!T668="",[1]DATABASE!T668=0)),"Active Unit no Price",""),IF(AND(OR(TRIM([1]DATABASE!Q668)="AVAILABLE",TRIM([1]DATABASE!Q668)="RESERVED",TRIM([1]DATABASE!Q668)="PRE-RESERVED",TRIM([1]DATABASE!Q668)="PSPA"),[1]DATABASE!AC668=""),"Active no Owner",""),IF(OR([1]DATABASE!F668="",[1]DATABASE!F668&lt;=0),"Missing/Invalid Area",""),IF(AND([1]DATABASE!T668&gt;0,ABS([1]DATABASE!T668-[1]DATABASE!W668-[1]DATABASE!U668-[1]DATABASE!V668)&gt;1),"Price Bridge Mismatch",""))</f>
        <v/>
      </c>
      <c r="H707" t="str">
        <f t="shared" si="13"/>
        <v>PASS</v>
      </c>
      <c r="I707" s="90">
        <f>[1]DATABASE!T668</f>
        <v>480000</v>
      </c>
      <c r="J707" t="str">
        <f>[1]DATABASE!AC668</f>
        <v>João Gameiro</v>
      </c>
    </row>
    <row r="708" spans="1:10" ht="13.95" customHeight="1" x14ac:dyDescent="0.3">
      <c r="A708">
        <f>ROW([1]DATABASE!A669)</f>
        <v>669</v>
      </c>
      <c r="B708" t="str">
        <f>[1]DATABASE!AJ669</f>
        <v>The Uncommon</v>
      </c>
      <c r="C708" t="str">
        <f>[1]DATABASE!C669</f>
        <v>9</v>
      </c>
      <c r="D708" t="str">
        <f>TRIM([1]DATABASE!Q669)</f>
        <v>AVAILABLE</v>
      </c>
      <c r="E708" s="82" t="str">
        <f>_xlfn.TEXTJOIN("; ",TRUE,IF([1]DATABASE!X669&lt;0,"Negative Discount",""),IF(AND([1]DATABASE!Y669&gt;[1]DATABASE!T669,[1]DATABASE!Y669&gt;0,[1]DATABASE!T669&gt;0),"Sell Price &gt; Current",""),IF(AND(TRIM([1]DATABASE!Q669)="DEED",[1]DATABASE!AA669=""),"Deeded no PSPA Date",""),IF([1]DATABASE!E669="","Missing Typology",""),IF([1]DATABASE!AJ669="","Missing Development",""))</f>
        <v/>
      </c>
      <c r="F708" s="82" t="str">
        <f>_xlfn.TEXTJOIN("; ",TRUE,IF(AND(OR(TRIM([1]DATABASE!Q669)="RESERVED",TRIM([1]DATABASE!Q669)="PRE-RESERVED",TRIM([1]DATABASE!Q669)="PSPA"),[1]DATABASE!AA669=""),"Reserved/PSPA no PSPA Date",""),IF(AND(TRIM([1]DATABASE!Q669)="AVAILABLE",[1]DATABASE!AA669&lt;&gt;""),"Available has PSPA Date",""))</f>
        <v/>
      </c>
      <c r="G708" s="82" t="str">
        <f>_xlfn.TEXTJOIN("; ",TRUE,IF(AND([1]DATABASE!T669&lt;0.8*[1]DATABASE!S669,[1]DATABASE!T669&gt;0,[1]DATABASE!S669&gt;0),"Heavy Price Cut &gt;20%",""),IF(AND(OR(TRIM([1]DATABASE!Q669)="AVAILABLE",TRIM([1]DATABASE!Q669)="UPON REQUEST"),OR([1]DATABASE!T669="",[1]DATABASE!T669=0)),"Active Unit no Price",""),IF(AND(OR(TRIM([1]DATABASE!Q669)="AVAILABLE",TRIM([1]DATABASE!Q669)="RESERVED",TRIM([1]DATABASE!Q669)="PRE-RESERVED",TRIM([1]DATABASE!Q669)="PSPA"),[1]DATABASE!AC669=""),"Active no Owner",""),IF(OR([1]DATABASE!F669="",[1]DATABASE!F669&lt;=0),"Missing/Invalid Area",""),IF(AND([1]DATABASE!T669&gt;0,ABS([1]DATABASE!T669-[1]DATABASE!W669-[1]DATABASE!U669-[1]DATABASE!V669)&gt;1),"Price Bridge Mismatch",""))</f>
        <v/>
      </c>
      <c r="H708" t="str">
        <f t="shared" si="13"/>
        <v>PASS</v>
      </c>
      <c r="I708" s="90">
        <f>[1]DATABASE!T669</f>
        <v>1390000</v>
      </c>
      <c r="J708" t="str">
        <f>[1]DATABASE!AC669</f>
        <v>Ana Damásio</v>
      </c>
    </row>
    <row r="709" spans="1:10" ht="13.95" customHeight="1" x14ac:dyDescent="0.3">
      <c r="A709">
        <f>ROW([1]DATABASE!A670)</f>
        <v>670</v>
      </c>
      <c r="B709" t="str">
        <f>[1]DATABASE!AJ670</f>
        <v>Aroeira Collections</v>
      </c>
      <c r="C709" t="str">
        <f>[1]DATABASE!C670</f>
        <v>229A</v>
      </c>
      <c r="D709" t="str">
        <f>TRIM([1]DATABASE!Q670)</f>
        <v>AVAILABLE</v>
      </c>
      <c r="E709" s="82" t="str">
        <f>_xlfn.TEXTJOIN("; ",TRUE,IF([1]DATABASE!X670&lt;0,"Negative Discount",""),IF(AND([1]DATABASE!Y670&gt;[1]DATABASE!T670,[1]DATABASE!Y670&gt;0,[1]DATABASE!T670&gt;0),"Sell Price &gt; Current",""),IF(AND(TRIM([1]DATABASE!Q670)="DEED",[1]DATABASE!AA670=""),"Deeded no PSPA Date",""),IF([1]DATABASE!E670="","Missing Typology",""),IF([1]DATABASE!AJ670="","Missing Development",""))</f>
        <v/>
      </c>
      <c r="F709" s="82" t="str">
        <f>_xlfn.TEXTJOIN("; ",TRUE,IF(AND(OR(TRIM([1]DATABASE!Q670)="RESERVED",TRIM([1]DATABASE!Q670)="PRE-RESERVED",TRIM([1]DATABASE!Q670)="PSPA"),[1]DATABASE!AA670=""),"Reserved/PSPA no PSPA Date",""),IF(AND(TRIM([1]DATABASE!Q670)="AVAILABLE",[1]DATABASE!AA670&lt;&gt;""),"Available has PSPA Date",""))</f>
        <v/>
      </c>
      <c r="G709" s="82" t="str">
        <f>_xlfn.TEXTJOIN("; ",TRUE,IF(AND([1]DATABASE!T670&lt;0.8*[1]DATABASE!S670,[1]DATABASE!T670&gt;0,[1]DATABASE!S670&gt;0),"Heavy Price Cut &gt;20%",""),IF(AND(OR(TRIM([1]DATABASE!Q670)="AVAILABLE",TRIM([1]DATABASE!Q670)="UPON REQUEST"),OR([1]DATABASE!T670="",[1]DATABASE!T670=0)),"Active Unit no Price",""),IF(AND(OR(TRIM([1]DATABASE!Q670)="AVAILABLE",TRIM([1]DATABASE!Q670)="RESERVED",TRIM([1]DATABASE!Q670)="PRE-RESERVED",TRIM([1]DATABASE!Q670)="PSPA"),[1]DATABASE!AC670=""),"Active no Owner",""),IF(OR([1]DATABASE!F670="",[1]DATABASE!F670&lt;=0),"Missing/Invalid Area",""),IF(AND([1]DATABASE!T670&gt;0,ABS([1]DATABASE!T670-[1]DATABASE!W670-[1]DATABASE!U670-[1]DATABASE!V670)&gt;1),"Price Bridge Mismatch",""))</f>
        <v/>
      </c>
      <c r="H709" t="str">
        <f t="shared" si="13"/>
        <v>PASS</v>
      </c>
      <c r="I709" s="90">
        <f>[1]DATABASE!T670</f>
        <v>425000</v>
      </c>
      <c r="J709" t="str">
        <f>[1]DATABASE!AC670</f>
        <v>João Gameiro</v>
      </c>
    </row>
    <row r="710" spans="1:10" ht="13.95" customHeight="1" x14ac:dyDescent="0.3">
      <c r="A710">
        <f>ROW([1]DATABASE!A671)</f>
        <v>671</v>
      </c>
      <c r="B710" t="str">
        <f>[1]DATABASE!AJ671</f>
        <v>Monte Rei</v>
      </c>
      <c r="C710" t="str">
        <f>[1]DATABASE!C671</f>
        <v>39</v>
      </c>
      <c r="D710" t="str">
        <f>TRIM([1]DATABASE!Q671)</f>
        <v>AVAILABLE</v>
      </c>
      <c r="E710" s="82" t="str">
        <f>_xlfn.TEXTJOIN("; ",TRUE,IF([1]DATABASE!X671&lt;0,"Negative Discount",""),IF(AND([1]DATABASE!Y671&gt;[1]DATABASE!T671,[1]DATABASE!Y671&gt;0,[1]DATABASE!T671&gt;0),"Sell Price &gt; Current",""),IF(AND(TRIM([1]DATABASE!Q671)="DEED",[1]DATABASE!AA671=""),"Deeded no PSPA Date",""),IF([1]DATABASE!E671="","Missing Typology",""),IF([1]DATABASE!AJ671="","Missing Development",""))</f>
        <v/>
      </c>
      <c r="F710" s="82" t="str">
        <f>_xlfn.TEXTJOIN("; ",TRUE,IF(AND(OR(TRIM([1]DATABASE!Q671)="RESERVED",TRIM([1]DATABASE!Q671)="PRE-RESERVED",TRIM([1]DATABASE!Q671)="PSPA"),[1]DATABASE!AA671=""),"Reserved/PSPA no PSPA Date",""),IF(AND(TRIM([1]DATABASE!Q671)="AVAILABLE",[1]DATABASE!AA671&lt;&gt;""),"Available has PSPA Date",""))</f>
        <v/>
      </c>
      <c r="G710" s="82" t="str">
        <f>_xlfn.TEXTJOIN("; ",TRUE,IF(AND([1]DATABASE!T671&lt;0.8*[1]DATABASE!S671,[1]DATABASE!T671&gt;0,[1]DATABASE!S671&gt;0),"Heavy Price Cut &gt;20%",""),IF(AND(OR(TRIM([1]DATABASE!Q671)="AVAILABLE",TRIM([1]DATABASE!Q671)="UPON REQUEST"),OR([1]DATABASE!T671="",[1]DATABASE!T671=0)),"Active Unit no Price",""),IF(AND(OR(TRIM([1]DATABASE!Q671)="AVAILABLE",TRIM([1]DATABASE!Q671)="RESERVED",TRIM([1]DATABASE!Q671)="PRE-RESERVED",TRIM([1]DATABASE!Q671)="PSPA"),[1]DATABASE!AC671=""),"Active no Owner",""),IF(OR([1]DATABASE!F671="",[1]DATABASE!F671&lt;=0),"Missing/Invalid Area",""),IF(AND([1]DATABASE!T671&gt;0,ABS([1]DATABASE!T671-[1]DATABASE!W671-[1]DATABASE!U671-[1]DATABASE!V671)&gt;1),"Price Bridge Mismatch",""))</f>
        <v/>
      </c>
      <c r="H710" t="str">
        <f t="shared" si="13"/>
        <v>PASS</v>
      </c>
      <c r="I710" s="90">
        <f>[1]DATABASE!T671</f>
        <v>550000</v>
      </c>
      <c r="J710" t="str">
        <f>[1]DATABASE!AC671</f>
        <v>Sandra Viegas</v>
      </c>
    </row>
    <row r="711" spans="1:10" ht="13.95" customHeight="1" x14ac:dyDescent="0.3">
      <c r="A711">
        <f>ROW([1]DATABASE!A672)</f>
        <v>672</v>
      </c>
      <c r="B711" t="str">
        <f>[1]DATABASE!AJ672</f>
        <v>Aroeira Collections</v>
      </c>
      <c r="C711" t="str">
        <f>[1]DATABASE!C672</f>
        <v>22C</v>
      </c>
      <c r="D711" t="str">
        <f>TRIM([1]DATABASE!Q672)</f>
        <v>AVAILABLE</v>
      </c>
      <c r="E711" s="82" t="str">
        <f>_xlfn.TEXTJOIN("; ",TRUE,IF([1]DATABASE!X672&lt;0,"Negative Discount",""),IF(AND([1]DATABASE!Y672&gt;[1]DATABASE!T672,[1]DATABASE!Y672&gt;0,[1]DATABASE!T672&gt;0),"Sell Price &gt; Current",""),IF(AND(TRIM([1]DATABASE!Q672)="DEED",[1]DATABASE!AA672=""),"Deeded no PSPA Date",""),IF([1]DATABASE!E672="","Missing Typology",""),IF([1]DATABASE!AJ672="","Missing Development",""))</f>
        <v/>
      </c>
      <c r="F711" s="82" t="str">
        <f>_xlfn.TEXTJOIN("; ",TRUE,IF(AND(OR(TRIM([1]DATABASE!Q672)="RESERVED",TRIM([1]DATABASE!Q672)="PRE-RESERVED",TRIM([1]DATABASE!Q672)="PSPA"),[1]DATABASE!AA672=""),"Reserved/PSPA no PSPA Date",""),IF(AND(TRIM([1]DATABASE!Q672)="AVAILABLE",[1]DATABASE!AA672&lt;&gt;""),"Available has PSPA Date",""))</f>
        <v/>
      </c>
      <c r="G711" s="82" t="str">
        <f>_xlfn.TEXTJOIN("; ",TRUE,IF(AND([1]DATABASE!T672&lt;0.8*[1]DATABASE!S672,[1]DATABASE!T672&gt;0,[1]DATABASE!S672&gt;0),"Heavy Price Cut &gt;20%",""),IF(AND(OR(TRIM([1]DATABASE!Q672)="AVAILABLE",TRIM([1]DATABASE!Q672)="UPON REQUEST"),OR([1]DATABASE!T672="",[1]DATABASE!T672=0)),"Active Unit no Price",""),IF(AND(OR(TRIM([1]DATABASE!Q672)="AVAILABLE",TRIM([1]DATABASE!Q672)="RESERVED",TRIM([1]DATABASE!Q672)="PRE-RESERVED",TRIM([1]DATABASE!Q672)="PSPA"),[1]DATABASE!AC672=""),"Active no Owner",""),IF(OR([1]DATABASE!F672="",[1]DATABASE!F672&lt;=0),"Missing/Invalid Area",""),IF(AND([1]DATABASE!T672&gt;0,ABS([1]DATABASE!T672-[1]DATABASE!W672-[1]DATABASE!U672-[1]DATABASE!V672)&gt;1),"Price Bridge Mismatch",""))</f>
        <v/>
      </c>
      <c r="H711" t="str">
        <f t="shared" si="13"/>
        <v>PASS</v>
      </c>
      <c r="I711" s="90">
        <f>[1]DATABASE!T672</f>
        <v>1595000</v>
      </c>
      <c r="J711" t="str">
        <f>[1]DATABASE!AC672</f>
        <v>João Gameiro</v>
      </c>
    </row>
    <row r="712" spans="1:10" ht="13.95" customHeight="1" x14ac:dyDescent="0.3">
      <c r="A712">
        <f>ROW([1]DATABASE!A673)</f>
        <v>673</v>
      </c>
      <c r="B712" t="str">
        <f>[1]DATABASE!AJ673</f>
        <v>Aroeira Collections</v>
      </c>
      <c r="C712" t="str">
        <f>[1]DATABASE!C673</f>
        <v>230A</v>
      </c>
      <c r="D712" t="str">
        <f>TRIM([1]DATABASE!Q673)</f>
        <v>AVAILABLE</v>
      </c>
      <c r="E712" s="82" t="str">
        <f>_xlfn.TEXTJOIN("; ",TRUE,IF([1]DATABASE!X673&lt;0,"Negative Discount",""),IF(AND([1]DATABASE!Y673&gt;[1]DATABASE!T673,[1]DATABASE!Y673&gt;0,[1]DATABASE!T673&gt;0),"Sell Price &gt; Current",""),IF(AND(TRIM([1]DATABASE!Q673)="DEED",[1]DATABASE!AA673=""),"Deeded no PSPA Date",""),IF([1]DATABASE!E673="","Missing Typology",""),IF([1]DATABASE!AJ673="","Missing Development",""))</f>
        <v/>
      </c>
      <c r="F712" s="82" t="str">
        <f>_xlfn.TEXTJOIN("; ",TRUE,IF(AND(OR(TRIM([1]DATABASE!Q673)="RESERVED",TRIM([1]DATABASE!Q673)="PRE-RESERVED",TRIM([1]DATABASE!Q673)="PSPA"),[1]DATABASE!AA673=""),"Reserved/PSPA no PSPA Date",""),IF(AND(TRIM([1]DATABASE!Q673)="AVAILABLE",[1]DATABASE!AA673&lt;&gt;""),"Available has PSPA Date",""))</f>
        <v/>
      </c>
      <c r="G712" s="82" t="str">
        <f>_xlfn.TEXTJOIN("; ",TRUE,IF(AND([1]DATABASE!T673&lt;0.8*[1]DATABASE!S673,[1]DATABASE!T673&gt;0,[1]DATABASE!S673&gt;0),"Heavy Price Cut &gt;20%",""),IF(AND(OR(TRIM([1]DATABASE!Q673)="AVAILABLE",TRIM([1]DATABASE!Q673)="UPON REQUEST"),OR([1]DATABASE!T673="",[1]DATABASE!T673=0)),"Active Unit no Price",""),IF(AND(OR(TRIM([1]DATABASE!Q673)="AVAILABLE",TRIM([1]DATABASE!Q673)="RESERVED",TRIM([1]DATABASE!Q673)="PRE-RESERVED",TRIM([1]DATABASE!Q673)="PSPA"),[1]DATABASE!AC673=""),"Active no Owner",""),IF(OR([1]DATABASE!F673="",[1]DATABASE!F673&lt;=0),"Missing/Invalid Area",""),IF(AND([1]DATABASE!T673&gt;0,ABS([1]DATABASE!T673-[1]DATABASE!W673-[1]DATABASE!U673-[1]DATABASE!V673)&gt;1),"Price Bridge Mismatch",""))</f>
        <v/>
      </c>
      <c r="H712" t="str">
        <f t="shared" si="13"/>
        <v>PASS</v>
      </c>
      <c r="I712" s="90">
        <f>[1]DATABASE!T673</f>
        <v>425000</v>
      </c>
      <c r="J712" t="str">
        <f>[1]DATABASE!AC673</f>
        <v>João Gameiro</v>
      </c>
    </row>
    <row r="713" spans="1:10" ht="13.95" customHeight="1" x14ac:dyDescent="0.3">
      <c r="A713">
        <f>ROW([1]DATABASE!A674)</f>
        <v>674</v>
      </c>
      <c r="B713" t="str">
        <f>[1]DATABASE!AJ674</f>
        <v>Aroeira Collections</v>
      </c>
      <c r="C713" t="str">
        <f>[1]DATABASE!C674</f>
        <v>231A</v>
      </c>
      <c r="D713" t="str">
        <f>TRIM([1]DATABASE!Q674)</f>
        <v>AVAILABLE</v>
      </c>
      <c r="E713" s="82" t="str">
        <f>_xlfn.TEXTJOIN("; ",TRUE,IF([1]DATABASE!X674&lt;0,"Negative Discount",""),IF(AND([1]DATABASE!Y674&gt;[1]DATABASE!T674,[1]DATABASE!Y674&gt;0,[1]DATABASE!T674&gt;0),"Sell Price &gt; Current",""),IF(AND(TRIM([1]DATABASE!Q674)="DEED",[1]DATABASE!AA674=""),"Deeded no PSPA Date",""),IF([1]DATABASE!E674="","Missing Typology",""),IF([1]DATABASE!AJ674="","Missing Development",""))</f>
        <v/>
      </c>
      <c r="F713" s="82" t="str">
        <f>_xlfn.TEXTJOIN("; ",TRUE,IF(AND(OR(TRIM([1]DATABASE!Q674)="RESERVED",TRIM([1]DATABASE!Q674)="PRE-RESERVED",TRIM([1]DATABASE!Q674)="PSPA"),[1]DATABASE!AA674=""),"Reserved/PSPA no PSPA Date",""),IF(AND(TRIM([1]DATABASE!Q674)="AVAILABLE",[1]DATABASE!AA674&lt;&gt;""),"Available has PSPA Date",""))</f>
        <v/>
      </c>
      <c r="G713" s="82" t="str">
        <f>_xlfn.TEXTJOIN("; ",TRUE,IF(AND([1]DATABASE!T674&lt;0.8*[1]DATABASE!S674,[1]DATABASE!T674&gt;0,[1]DATABASE!S674&gt;0),"Heavy Price Cut &gt;20%",""),IF(AND(OR(TRIM([1]DATABASE!Q674)="AVAILABLE",TRIM([1]DATABASE!Q674)="UPON REQUEST"),OR([1]DATABASE!T674="",[1]DATABASE!T674=0)),"Active Unit no Price",""),IF(AND(OR(TRIM([1]DATABASE!Q674)="AVAILABLE",TRIM([1]DATABASE!Q674)="RESERVED",TRIM([1]DATABASE!Q674)="PRE-RESERVED",TRIM([1]DATABASE!Q674)="PSPA"),[1]DATABASE!AC674=""),"Active no Owner",""),IF(OR([1]DATABASE!F674="",[1]DATABASE!F674&lt;=0),"Missing/Invalid Area",""),IF(AND([1]DATABASE!T674&gt;0,ABS([1]DATABASE!T674-[1]DATABASE!W674-[1]DATABASE!U674-[1]DATABASE!V674)&gt;1),"Price Bridge Mismatch",""))</f>
        <v/>
      </c>
      <c r="H713" t="str">
        <f t="shared" si="13"/>
        <v>PASS</v>
      </c>
      <c r="I713" s="90">
        <f>[1]DATABASE!T674</f>
        <v>425000</v>
      </c>
      <c r="J713" t="str">
        <f>[1]DATABASE!AC674</f>
        <v>João Gameiro</v>
      </c>
    </row>
    <row r="714" spans="1:10" ht="13.95" customHeight="1" x14ac:dyDescent="0.3">
      <c r="A714">
        <f>ROW([1]DATABASE!A675)</f>
        <v>675</v>
      </c>
      <c r="B714" t="str">
        <f>[1]DATABASE!AJ675</f>
        <v>Aroeira Collections</v>
      </c>
      <c r="C714" t="str">
        <f>[1]DATABASE!C675</f>
        <v>232A</v>
      </c>
      <c r="D714" t="str">
        <f>TRIM([1]DATABASE!Q675)</f>
        <v>AVAILABLE</v>
      </c>
      <c r="E714" s="82" t="str">
        <f>_xlfn.TEXTJOIN("; ",TRUE,IF([1]DATABASE!X675&lt;0,"Negative Discount",""),IF(AND([1]DATABASE!Y675&gt;[1]DATABASE!T675,[1]DATABASE!Y675&gt;0,[1]DATABASE!T675&gt;0),"Sell Price &gt; Current",""),IF(AND(TRIM([1]DATABASE!Q675)="DEED",[1]DATABASE!AA675=""),"Deeded no PSPA Date",""),IF([1]DATABASE!E675="","Missing Typology",""),IF([1]DATABASE!AJ675="","Missing Development",""))</f>
        <v/>
      </c>
      <c r="F714" s="82" t="str">
        <f>_xlfn.TEXTJOIN("; ",TRUE,IF(AND(OR(TRIM([1]DATABASE!Q675)="RESERVED",TRIM([1]DATABASE!Q675)="PRE-RESERVED",TRIM([1]DATABASE!Q675)="PSPA"),[1]DATABASE!AA675=""),"Reserved/PSPA no PSPA Date",""),IF(AND(TRIM([1]DATABASE!Q675)="AVAILABLE",[1]DATABASE!AA675&lt;&gt;""),"Available has PSPA Date",""))</f>
        <v/>
      </c>
      <c r="G714" s="82" t="str">
        <f>_xlfn.TEXTJOIN("; ",TRUE,IF(AND([1]DATABASE!T675&lt;0.8*[1]DATABASE!S675,[1]DATABASE!T675&gt;0,[1]DATABASE!S675&gt;0),"Heavy Price Cut &gt;20%",""),IF(AND(OR(TRIM([1]DATABASE!Q675)="AVAILABLE",TRIM([1]DATABASE!Q675)="UPON REQUEST"),OR([1]DATABASE!T675="",[1]DATABASE!T675=0)),"Active Unit no Price",""),IF(AND(OR(TRIM([1]DATABASE!Q675)="AVAILABLE",TRIM([1]DATABASE!Q675)="RESERVED",TRIM([1]DATABASE!Q675)="PRE-RESERVED",TRIM([1]DATABASE!Q675)="PSPA"),[1]DATABASE!AC675=""),"Active no Owner",""),IF(OR([1]DATABASE!F675="",[1]DATABASE!F675&lt;=0),"Missing/Invalid Area",""),IF(AND([1]DATABASE!T675&gt;0,ABS([1]DATABASE!T675-[1]DATABASE!W675-[1]DATABASE!U675-[1]DATABASE!V675)&gt;1),"Price Bridge Mismatch",""))</f>
        <v/>
      </c>
      <c r="H714" t="str">
        <f t="shared" si="13"/>
        <v>PASS</v>
      </c>
      <c r="I714" s="90">
        <f>[1]DATABASE!T675</f>
        <v>425000</v>
      </c>
      <c r="J714" t="str">
        <f>[1]DATABASE!AC675</f>
        <v>João Gameiro</v>
      </c>
    </row>
    <row r="715" spans="1:10" ht="13.95" customHeight="1" x14ac:dyDescent="0.3">
      <c r="A715">
        <f>ROW([1]DATABASE!A676)</f>
        <v>676</v>
      </c>
      <c r="B715" t="str">
        <f>[1]DATABASE!AJ676</f>
        <v>Aroeira Collections</v>
      </c>
      <c r="C715" t="str">
        <f>[1]DATABASE!C676</f>
        <v>233A</v>
      </c>
      <c r="D715" t="str">
        <f>TRIM([1]DATABASE!Q676)</f>
        <v>AVAILABLE</v>
      </c>
      <c r="E715" s="82" t="str">
        <f>_xlfn.TEXTJOIN("; ",TRUE,IF([1]DATABASE!X676&lt;0,"Negative Discount",""),IF(AND([1]DATABASE!Y676&gt;[1]DATABASE!T676,[1]DATABASE!Y676&gt;0,[1]DATABASE!T676&gt;0),"Sell Price &gt; Current",""),IF(AND(TRIM([1]DATABASE!Q676)="DEED",[1]DATABASE!AA676=""),"Deeded no PSPA Date",""),IF([1]DATABASE!E676="","Missing Typology",""),IF([1]DATABASE!AJ676="","Missing Development",""))</f>
        <v/>
      </c>
      <c r="F715" s="82" t="str">
        <f>_xlfn.TEXTJOIN("; ",TRUE,IF(AND(OR(TRIM([1]DATABASE!Q676)="RESERVED",TRIM([1]DATABASE!Q676)="PRE-RESERVED",TRIM([1]DATABASE!Q676)="PSPA"),[1]DATABASE!AA676=""),"Reserved/PSPA no PSPA Date",""),IF(AND(TRIM([1]DATABASE!Q676)="AVAILABLE",[1]DATABASE!AA676&lt;&gt;""),"Available has PSPA Date",""))</f>
        <v/>
      </c>
      <c r="G715" s="82" t="str">
        <f>_xlfn.TEXTJOIN("; ",TRUE,IF(AND([1]DATABASE!T676&lt;0.8*[1]DATABASE!S676,[1]DATABASE!T676&gt;0,[1]DATABASE!S676&gt;0),"Heavy Price Cut &gt;20%",""),IF(AND(OR(TRIM([1]DATABASE!Q676)="AVAILABLE",TRIM([1]DATABASE!Q676)="UPON REQUEST"),OR([1]DATABASE!T676="",[1]DATABASE!T676=0)),"Active Unit no Price",""),IF(AND(OR(TRIM([1]DATABASE!Q676)="AVAILABLE",TRIM([1]DATABASE!Q676)="RESERVED",TRIM([1]DATABASE!Q676)="PRE-RESERVED",TRIM([1]DATABASE!Q676)="PSPA"),[1]DATABASE!AC676=""),"Active no Owner",""),IF(OR([1]DATABASE!F676="",[1]DATABASE!F676&lt;=0),"Missing/Invalid Area",""),IF(AND([1]DATABASE!T676&gt;0,ABS([1]DATABASE!T676-[1]DATABASE!W676-[1]DATABASE!U676-[1]DATABASE!V676)&gt;1),"Price Bridge Mismatch",""))</f>
        <v/>
      </c>
      <c r="H715" t="str">
        <f t="shared" si="13"/>
        <v>PASS</v>
      </c>
      <c r="I715" s="90">
        <f>[1]DATABASE!T676</f>
        <v>425000</v>
      </c>
      <c r="J715" t="str">
        <f>[1]DATABASE!AC676</f>
        <v>João Gameiro</v>
      </c>
    </row>
    <row r="716" spans="1:10" ht="13.95" customHeight="1" x14ac:dyDescent="0.3">
      <c r="A716">
        <f>ROW([1]DATABASE!A677)</f>
        <v>677</v>
      </c>
      <c r="B716" t="str">
        <f>[1]DATABASE!AJ677</f>
        <v>Natura Village</v>
      </c>
      <c r="C716" t="str">
        <f>[1]DATABASE!C677</f>
        <v>A</v>
      </c>
      <c r="D716" t="str">
        <f>TRIM([1]DATABASE!Q677)</f>
        <v>AVAILABLE</v>
      </c>
      <c r="E716" s="82" t="str">
        <f>_xlfn.TEXTJOIN("; ",TRUE,IF([1]DATABASE!X677&lt;0,"Negative Discount",""),IF(AND([1]DATABASE!Y677&gt;[1]DATABASE!T677,[1]DATABASE!Y677&gt;0,[1]DATABASE!T677&gt;0),"Sell Price &gt; Current",""),IF(AND(TRIM([1]DATABASE!Q677)="DEED",[1]DATABASE!AA677=""),"Deeded no PSPA Date",""),IF([1]DATABASE!E677="","Missing Typology",""),IF([1]DATABASE!AJ677="","Missing Development",""))</f>
        <v/>
      </c>
      <c r="F716" s="82" t="str">
        <f>_xlfn.TEXTJOIN("; ",TRUE,IF(AND(OR(TRIM([1]DATABASE!Q677)="RESERVED",TRIM([1]DATABASE!Q677)="PRE-RESERVED",TRIM([1]DATABASE!Q677)="PSPA"),[1]DATABASE!AA677=""),"Reserved/PSPA no PSPA Date",""),IF(AND(TRIM([1]DATABASE!Q677)="AVAILABLE",[1]DATABASE!AA677&lt;&gt;""),"Available has PSPA Date",""))</f>
        <v/>
      </c>
      <c r="G716" s="82" t="str">
        <f>_xlfn.TEXTJOIN("; ",TRUE,IF(AND([1]DATABASE!T677&lt;0.8*[1]DATABASE!S677,[1]DATABASE!T677&gt;0,[1]DATABASE!S677&gt;0),"Heavy Price Cut &gt;20%",""),IF(AND(OR(TRIM([1]DATABASE!Q677)="AVAILABLE",TRIM([1]DATABASE!Q677)="UPON REQUEST"),OR([1]DATABASE!T677="",[1]DATABASE!T677=0)),"Active Unit no Price",""),IF(AND(OR(TRIM([1]DATABASE!Q677)="AVAILABLE",TRIM([1]DATABASE!Q677)="RESERVED",TRIM([1]DATABASE!Q677)="PRE-RESERVED",TRIM([1]DATABASE!Q677)="PSPA"),[1]DATABASE!AC677=""),"Active no Owner",""),IF(OR([1]DATABASE!F677="",[1]DATABASE!F677&lt;=0),"Missing/Invalid Area",""),IF(AND([1]DATABASE!T677&gt;0,ABS([1]DATABASE!T677-[1]DATABASE!W677-[1]DATABASE!U677-[1]DATABASE!V677)&gt;1),"Price Bridge Mismatch",""))</f>
        <v/>
      </c>
      <c r="H716" t="str">
        <f t="shared" si="13"/>
        <v>PASS</v>
      </c>
      <c r="I716" s="90">
        <f>[1]DATABASE!T677</f>
        <v>1230000</v>
      </c>
      <c r="J716" t="str">
        <f>[1]DATABASE!AC677</f>
        <v>Ana Damásio</v>
      </c>
    </row>
    <row r="717" spans="1:10" ht="13.95" customHeight="1" x14ac:dyDescent="0.3">
      <c r="A717">
        <f>ROW([1]DATABASE!A678)</f>
        <v>678</v>
      </c>
      <c r="B717" t="str">
        <f>[1]DATABASE!AJ678</f>
        <v>Palmares</v>
      </c>
      <c r="C717" t="str">
        <f>[1]DATABASE!C678</f>
        <v>812B</v>
      </c>
      <c r="D717" t="str">
        <f>TRIM([1]DATABASE!Q678)</f>
        <v>AVAILABLE</v>
      </c>
      <c r="E717" s="82" t="str">
        <f>_xlfn.TEXTJOIN("; ",TRUE,IF([1]DATABASE!X678&lt;0,"Negative Discount",""),IF(AND([1]DATABASE!Y678&gt;[1]DATABASE!T678,[1]DATABASE!Y678&gt;0,[1]DATABASE!T678&gt;0),"Sell Price &gt; Current",""),IF(AND(TRIM([1]DATABASE!Q678)="DEED",[1]DATABASE!AA678=""),"Deeded no PSPA Date",""),IF([1]DATABASE!E678="","Missing Typology",""),IF([1]DATABASE!AJ678="","Missing Development",""))</f>
        <v/>
      </c>
      <c r="F717" s="82" t="str">
        <f>_xlfn.TEXTJOIN("; ",TRUE,IF(AND(OR(TRIM([1]DATABASE!Q678)="RESERVED",TRIM([1]DATABASE!Q678)="PRE-RESERVED",TRIM([1]DATABASE!Q678)="PSPA"),[1]DATABASE!AA678=""),"Reserved/PSPA no PSPA Date",""),IF(AND(TRIM([1]DATABASE!Q678)="AVAILABLE",[1]DATABASE!AA678&lt;&gt;""),"Available has PSPA Date",""))</f>
        <v/>
      </c>
      <c r="G717" s="82" t="str">
        <f>_xlfn.TEXTJOIN("; ",TRUE,IF(AND([1]DATABASE!T678&lt;0.8*[1]DATABASE!S678,[1]DATABASE!T678&gt;0,[1]DATABASE!S678&gt;0),"Heavy Price Cut &gt;20%",""),IF(AND(OR(TRIM([1]DATABASE!Q678)="AVAILABLE",TRIM([1]DATABASE!Q678)="UPON REQUEST"),OR([1]DATABASE!T678="",[1]DATABASE!T678=0)),"Active Unit no Price",""),IF(AND(OR(TRIM([1]DATABASE!Q678)="AVAILABLE",TRIM([1]DATABASE!Q678)="RESERVED",TRIM([1]DATABASE!Q678)="PRE-RESERVED",TRIM([1]DATABASE!Q678)="PSPA"),[1]DATABASE!AC678=""),"Active no Owner",""),IF(OR([1]DATABASE!F678="",[1]DATABASE!F678&lt;=0),"Missing/Invalid Area",""),IF(AND([1]DATABASE!T678&gt;0,ABS([1]DATABASE!T678-[1]DATABASE!W678-[1]DATABASE!U678-[1]DATABASE!V678)&gt;1),"Price Bridge Mismatch",""))</f>
        <v>Active no Owner</v>
      </c>
      <c r="H717" t="str">
        <f t="shared" si="13"/>
        <v>REVIEW</v>
      </c>
      <c r="I717" s="90">
        <f>[1]DATABASE!T678</f>
        <v>700000</v>
      </c>
      <c r="J717">
        <f>[1]DATABASE!AC678</f>
        <v>0</v>
      </c>
    </row>
    <row r="718" spans="1:10" ht="13.95" customHeight="1" x14ac:dyDescent="0.3">
      <c r="A718">
        <f>ROW([1]DATABASE!A679)</f>
        <v>679</v>
      </c>
      <c r="B718" t="str">
        <f>[1]DATABASE!AJ679</f>
        <v>Rivus</v>
      </c>
      <c r="C718" t="str">
        <f>[1]DATABASE!C679</f>
        <v>A</v>
      </c>
      <c r="D718" t="str">
        <f>TRIM([1]DATABASE!Q679)</f>
        <v>AVAILABLE</v>
      </c>
      <c r="E718" s="82" t="str">
        <f>_xlfn.TEXTJOIN("; ",TRUE,IF([1]DATABASE!X679&lt;0,"Negative Discount",""),IF(AND([1]DATABASE!Y679&gt;[1]DATABASE!T679,[1]DATABASE!Y679&gt;0,[1]DATABASE!T679&gt;0),"Sell Price &gt; Current",""),IF(AND(TRIM([1]DATABASE!Q679)="DEED",[1]DATABASE!AA679=""),"Deeded no PSPA Date",""),IF([1]DATABASE!E679="","Missing Typology",""),IF([1]DATABASE!AJ679="","Missing Development",""))</f>
        <v/>
      </c>
      <c r="F718" s="82" t="str">
        <f>_xlfn.TEXTJOIN("; ",TRUE,IF(AND(OR(TRIM([1]DATABASE!Q679)="RESERVED",TRIM([1]DATABASE!Q679)="PRE-RESERVED",TRIM([1]DATABASE!Q679)="PSPA"),[1]DATABASE!AA679=""),"Reserved/PSPA no PSPA Date",""),IF(AND(TRIM([1]DATABASE!Q679)="AVAILABLE",[1]DATABASE!AA679&lt;&gt;""),"Available has PSPA Date",""))</f>
        <v>Available has PSPA Date</v>
      </c>
      <c r="G718" s="82" t="str">
        <f>_xlfn.TEXTJOIN("; ",TRUE,IF(AND([1]DATABASE!T679&lt;0.8*[1]DATABASE!S679,[1]DATABASE!T679&gt;0,[1]DATABASE!S679&gt;0),"Heavy Price Cut &gt;20%",""),IF(AND(OR(TRIM([1]DATABASE!Q679)="AVAILABLE",TRIM([1]DATABASE!Q679)="UPON REQUEST"),OR([1]DATABASE!T679="",[1]DATABASE!T679=0)),"Active Unit no Price",""),IF(AND(OR(TRIM([1]DATABASE!Q679)="AVAILABLE",TRIM([1]DATABASE!Q679)="RESERVED",TRIM([1]DATABASE!Q679)="PRE-RESERVED",TRIM([1]DATABASE!Q679)="PSPA"),[1]DATABASE!AC679=""),"Active no Owner",""),IF(OR([1]DATABASE!F679="",[1]DATABASE!F679&lt;=0),"Missing/Invalid Area",""),IF(AND([1]DATABASE!T679&gt;0,ABS([1]DATABASE!T679-[1]DATABASE!W679-[1]DATABASE!U679-[1]DATABASE!V679)&gt;1),"Price Bridge Mismatch",""))</f>
        <v>Missing/Invalid Area</v>
      </c>
      <c r="H718" t="str">
        <f t="shared" si="13"/>
        <v>REVIEW</v>
      </c>
      <c r="I718" s="90">
        <f>[1]DATABASE!T679</f>
        <v>840000</v>
      </c>
      <c r="J718" t="str">
        <f>[1]DATABASE!AC679</f>
        <v>Ana Damásio</v>
      </c>
    </row>
    <row r="719" spans="1:10" ht="13.95" customHeight="1" x14ac:dyDescent="0.3">
      <c r="A719">
        <f>ROW([1]DATABASE!A680)</f>
        <v>680</v>
      </c>
      <c r="B719" t="str">
        <f>[1]DATABASE!AJ680</f>
        <v>Aroeira Collections</v>
      </c>
      <c r="C719" t="str">
        <f>[1]DATABASE!C680</f>
        <v>234A</v>
      </c>
      <c r="D719" t="str">
        <f>TRIM([1]DATABASE!Q680)</f>
        <v>AVAILABLE</v>
      </c>
      <c r="E719" s="82" t="str">
        <f>_xlfn.TEXTJOIN("; ",TRUE,IF([1]DATABASE!X680&lt;0,"Negative Discount",""),IF(AND([1]DATABASE!Y680&gt;[1]DATABASE!T680,[1]DATABASE!Y680&gt;0,[1]DATABASE!T680&gt;0),"Sell Price &gt; Current",""),IF(AND(TRIM([1]DATABASE!Q680)="DEED",[1]DATABASE!AA680=""),"Deeded no PSPA Date",""),IF([1]DATABASE!E680="","Missing Typology",""),IF([1]DATABASE!AJ680="","Missing Development",""))</f>
        <v/>
      </c>
      <c r="F719" s="82" t="str">
        <f>_xlfn.TEXTJOIN("; ",TRUE,IF(AND(OR(TRIM([1]DATABASE!Q680)="RESERVED",TRIM([1]DATABASE!Q680)="PRE-RESERVED",TRIM([1]DATABASE!Q680)="PSPA"),[1]DATABASE!AA680=""),"Reserved/PSPA no PSPA Date",""),IF(AND(TRIM([1]DATABASE!Q680)="AVAILABLE",[1]DATABASE!AA680&lt;&gt;""),"Available has PSPA Date",""))</f>
        <v/>
      </c>
      <c r="G719" s="82" t="str">
        <f>_xlfn.TEXTJOIN("; ",TRUE,IF(AND([1]DATABASE!T680&lt;0.8*[1]DATABASE!S680,[1]DATABASE!T680&gt;0,[1]DATABASE!S680&gt;0),"Heavy Price Cut &gt;20%",""),IF(AND(OR(TRIM([1]DATABASE!Q680)="AVAILABLE",TRIM([1]DATABASE!Q680)="UPON REQUEST"),OR([1]DATABASE!T680="",[1]DATABASE!T680=0)),"Active Unit no Price",""),IF(AND(OR(TRIM([1]DATABASE!Q680)="AVAILABLE",TRIM([1]DATABASE!Q680)="RESERVED",TRIM([1]DATABASE!Q680)="PRE-RESERVED",TRIM([1]DATABASE!Q680)="PSPA"),[1]DATABASE!AC680=""),"Active no Owner",""),IF(OR([1]DATABASE!F680="",[1]DATABASE!F680&lt;=0),"Missing/Invalid Area",""),IF(AND([1]DATABASE!T680&gt;0,ABS([1]DATABASE!T680-[1]DATABASE!W680-[1]DATABASE!U680-[1]DATABASE!V680)&gt;1),"Price Bridge Mismatch",""))</f>
        <v>Heavy Price Cut &gt;20%</v>
      </c>
      <c r="H719" t="str">
        <f t="shared" si="13"/>
        <v>REVIEW</v>
      </c>
      <c r="I719" s="90">
        <f>[1]DATABASE!T680</f>
        <v>390000</v>
      </c>
      <c r="J719" t="str">
        <f>[1]DATABASE!AC680</f>
        <v>João Gameiro</v>
      </c>
    </row>
    <row r="720" spans="1:10" ht="13.95" customHeight="1" x14ac:dyDescent="0.3">
      <c r="A720">
        <f>ROW([1]DATABASE!A681)</f>
        <v>681</v>
      </c>
      <c r="B720" t="str">
        <f>[1]DATABASE!AJ681</f>
        <v>Aroeira Collections</v>
      </c>
      <c r="C720" t="str">
        <f>[1]DATABASE!C681</f>
        <v>237A</v>
      </c>
      <c r="D720" t="str">
        <f>TRIM([1]DATABASE!Q681)</f>
        <v>AVAILABLE</v>
      </c>
      <c r="E720" s="82" t="str">
        <f>_xlfn.TEXTJOIN("; ",TRUE,IF([1]DATABASE!X681&lt;0,"Negative Discount",""),IF(AND([1]DATABASE!Y681&gt;[1]DATABASE!T681,[1]DATABASE!Y681&gt;0,[1]DATABASE!T681&gt;0),"Sell Price &gt; Current",""),IF(AND(TRIM([1]DATABASE!Q681)="DEED",[1]DATABASE!AA681=""),"Deeded no PSPA Date",""),IF([1]DATABASE!E681="","Missing Typology",""),IF([1]DATABASE!AJ681="","Missing Development",""))</f>
        <v/>
      </c>
      <c r="F720" s="82" t="str">
        <f>_xlfn.TEXTJOIN("; ",TRUE,IF(AND(OR(TRIM([1]DATABASE!Q681)="RESERVED",TRIM([1]DATABASE!Q681)="PRE-RESERVED",TRIM([1]DATABASE!Q681)="PSPA"),[1]DATABASE!AA681=""),"Reserved/PSPA no PSPA Date",""),IF(AND(TRIM([1]DATABASE!Q681)="AVAILABLE",[1]DATABASE!AA681&lt;&gt;""),"Available has PSPA Date",""))</f>
        <v/>
      </c>
      <c r="G720" s="82" t="str">
        <f>_xlfn.TEXTJOIN("; ",TRUE,IF(AND([1]DATABASE!T681&lt;0.8*[1]DATABASE!S681,[1]DATABASE!T681&gt;0,[1]DATABASE!S681&gt;0),"Heavy Price Cut &gt;20%",""),IF(AND(OR(TRIM([1]DATABASE!Q681)="AVAILABLE",TRIM([1]DATABASE!Q681)="UPON REQUEST"),OR([1]DATABASE!T681="",[1]DATABASE!T681=0)),"Active Unit no Price",""),IF(AND(OR(TRIM([1]DATABASE!Q681)="AVAILABLE",TRIM([1]DATABASE!Q681)="RESERVED",TRIM([1]DATABASE!Q681)="PRE-RESERVED",TRIM([1]DATABASE!Q681)="PSPA"),[1]DATABASE!AC681=""),"Active no Owner",""),IF(OR([1]DATABASE!F681="",[1]DATABASE!F681&lt;=0),"Missing/Invalid Area",""),IF(AND([1]DATABASE!T681&gt;0,ABS([1]DATABASE!T681-[1]DATABASE!W681-[1]DATABASE!U681-[1]DATABASE!V681)&gt;1),"Price Bridge Mismatch",""))</f>
        <v>Heavy Price Cut &gt;20%</v>
      </c>
      <c r="H720" t="str">
        <f t="shared" si="13"/>
        <v>REVIEW</v>
      </c>
      <c r="I720" s="90">
        <f>[1]DATABASE!T681</f>
        <v>390000</v>
      </c>
      <c r="J720" t="str">
        <f>[1]DATABASE!AC681</f>
        <v>João Gameiro</v>
      </c>
    </row>
    <row r="721" spans="1:10" ht="13.95" customHeight="1" x14ac:dyDescent="0.3">
      <c r="A721">
        <f>ROW([1]DATABASE!A682)</f>
        <v>682</v>
      </c>
      <c r="B721" t="str">
        <f>[1]DATABASE!AJ682</f>
        <v>Aroeira Collections</v>
      </c>
      <c r="C721" t="str">
        <f>[1]DATABASE!C682</f>
        <v>238A</v>
      </c>
      <c r="D721" t="str">
        <f>TRIM([1]DATABASE!Q682)</f>
        <v>AVAILABLE</v>
      </c>
      <c r="E721" s="82" t="str">
        <f>_xlfn.TEXTJOIN("; ",TRUE,IF([1]DATABASE!X682&lt;0,"Negative Discount",""),IF(AND([1]DATABASE!Y682&gt;[1]DATABASE!T682,[1]DATABASE!Y682&gt;0,[1]DATABASE!T682&gt;0),"Sell Price &gt; Current",""),IF(AND(TRIM([1]DATABASE!Q682)="DEED",[1]DATABASE!AA682=""),"Deeded no PSPA Date",""),IF([1]DATABASE!E682="","Missing Typology",""),IF([1]DATABASE!AJ682="","Missing Development",""))</f>
        <v/>
      </c>
      <c r="F721" s="82" t="str">
        <f>_xlfn.TEXTJOIN("; ",TRUE,IF(AND(OR(TRIM([1]DATABASE!Q682)="RESERVED",TRIM([1]DATABASE!Q682)="PRE-RESERVED",TRIM([1]DATABASE!Q682)="PSPA"),[1]DATABASE!AA682=""),"Reserved/PSPA no PSPA Date",""),IF(AND(TRIM([1]DATABASE!Q682)="AVAILABLE",[1]DATABASE!AA682&lt;&gt;""),"Available has PSPA Date",""))</f>
        <v/>
      </c>
      <c r="G721" s="82" t="str">
        <f>_xlfn.TEXTJOIN("; ",TRUE,IF(AND([1]DATABASE!T682&lt;0.8*[1]DATABASE!S682,[1]DATABASE!T682&gt;0,[1]DATABASE!S682&gt;0),"Heavy Price Cut &gt;20%",""),IF(AND(OR(TRIM([1]DATABASE!Q682)="AVAILABLE",TRIM([1]DATABASE!Q682)="UPON REQUEST"),OR([1]DATABASE!T682="",[1]DATABASE!T682=0)),"Active Unit no Price",""),IF(AND(OR(TRIM([1]DATABASE!Q682)="AVAILABLE",TRIM([1]DATABASE!Q682)="RESERVED",TRIM([1]DATABASE!Q682)="PRE-RESERVED",TRIM([1]DATABASE!Q682)="PSPA"),[1]DATABASE!AC682=""),"Active no Owner",""),IF(OR([1]DATABASE!F682="",[1]DATABASE!F682&lt;=0),"Missing/Invalid Area",""),IF(AND([1]DATABASE!T682&gt;0,ABS([1]DATABASE!T682-[1]DATABASE!W682-[1]DATABASE!U682-[1]DATABASE!V682)&gt;1),"Price Bridge Mismatch",""))</f>
        <v>Heavy Price Cut &gt;20%</v>
      </c>
      <c r="H721" t="str">
        <f t="shared" si="13"/>
        <v>REVIEW</v>
      </c>
      <c r="I721" s="90">
        <f>[1]DATABASE!T682</f>
        <v>410000</v>
      </c>
      <c r="J721" t="str">
        <f>[1]DATABASE!AC682</f>
        <v>João Gameiro</v>
      </c>
    </row>
    <row r="722" spans="1:10" ht="13.95" customHeight="1" x14ac:dyDescent="0.3">
      <c r="A722">
        <f>ROW([1]DATABASE!A683)</f>
        <v>683</v>
      </c>
      <c r="B722" t="str">
        <f>[1]DATABASE!AJ683</f>
        <v>Zestia</v>
      </c>
      <c r="C722" t="str">
        <f>[1]DATABASE!C683</f>
        <v>A</v>
      </c>
      <c r="D722" t="str">
        <f>TRIM([1]DATABASE!Q683)</f>
        <v>AVAILABLE</v>
      </c>
      <c r="E722" s="82" t="str">
        <f>_xlfn.TEXTJOIN("; ",TRUE,IF([1]DATABASE!X683&lt;0,"Negative Discount",""),IF(AND([1]DATABASE!Y683&gt;[1]DATABASE!T683,[1]DATABASE!Y683&gt;0,[1]DATABASE!T683&gt;0),"Sell Price &gt; Current",""),IF(AND(TRIM([1]DATABASE!Q683)="DEED",[1]DATABASE!AA683=""),"Deeded no PSPA Date",""),IF([1]DATABASE!E683="","Missing Typology",""),IF([1]DATABASE!AJ683="","Missing Development",""))</f>
        <v/>
      </c>
      <c r="F722" s="82" t="str">
        <f>_xlfn.TEXTJOIN("; ",TRUE,IF(AND(OR(TRIM([1]DATABASE!Q683)="RESERVED",TRIM([1]DATABASE!Q683)="PRE-RESERVED",TRIM([1]DATABASE!Q683)="PSPA"),[1]DATABASE!AA683=""),"Reserved/PSPA no PSPA Date",""),IF(AND(TRIM([1]DATABASE!Q683)="AVAILABLE",[1]DATABASE!AA683&lt;&gt;""),"Available has PSPA Date",""))</f>
        <v>Available has PSPA Date</v>
      </c>
      <c r="G722" s="82" t="str">
        <f>_xlfn.TEXTJOIN("; ",TRUE,IF(AND([1]DATABASE!T683&lt;0.8*[1]DATABASE!S683,[1]DATABASE!T683&gt;0,[1]DATABASE!S683&gt;0),"Heavy Price Cut &gt;20%",""),IF(AND(OR(TRIM([1]DATABASE!Q683)="AVAILABLE",TRIM([1]DATABASE!Q683)="UPON REQUEST"),OR([1]DATABASE!T683="",[1]DATABASE!T683=0)),"Active Unit no Price",""),IF(AND(OR(TRIM([1]DATABASE!Q683)="AVAILABLE",TRIM([1]DATABASE!Q683)="RESERVED",TRIM([1]DATABASE!Q683)="PRE-RESERVED",TRIM([1]DATABASE!Q683)="PSPA"),[1]DATABASE!AC683=""),"Active no Owner",""),IF(OR([1]DATABASE!F683="",[1]DATABASE!F683&lt;=0),"Missing/Invalid Area",""),IF(AND([1]DATABASE!T683&gt;0,ABS([1]DATABASE!T683-[1]DATABASE!W683-[1]DATABASE!U683-[1]DATABASE!V683)&gt;1),"Price Bridge Mismatch",""))</f>
        <v/>
      </c>
      <c r="H722" t="str">
        <f t="shared" si="13"/>
        <v>REVIEW</v>
      </c>
      <c r="I722" s="90">
        <f>[1]DATABASE!T683</f>
        <v>790000</v>
      </c>
      <c r="J722" t="str">
        <f>[1]DATABASE!AC683</f>
        <v>Ana Damásio</v>
      </c>
    </row>
    <row r="723" spans="1:10" ht="13.95" customHeight="1" x14ac:dyDescent="0.3">
      <c r="A723">
        <f>ROW([1]DATABASE!A684)</f>
        <v>684</v>
      </c>
      <c r="B723" t="str">
        <f>[1]DATABASE!AJ684</f>
        <v>Nobilus</v>
      </c>
      <c r="C723" t="str">
        <f>[1]DATABASE!C684</f>
        <v>AA</v>
      </c>
      <c r="D723" t="str">
        <f>TRIM([1]DATABASE!Q684)</f>
        <v>AVAILABLE</v>
      </c>
      <c r="E723" s="82" t="str">
        <f>_xlfn.TEXTJOIN("; ",TRUE,IF([1]DATABASE!X684&lt;0,"Negative Discount",""),IF(AND([1]DATABASE!Y684&gt;[1]DATABASE!T684,[1]DATABASE!Y684&gt;0,[1]DATABASE!T684&gt;0),"Sell Price &gt; Current",""),IF(AND(TRIM([1]DATABASE!Q684)="DEED",[1]DATABASE!AA684=""),"Deeded no PSPA Date",""),IF([1]DATABASE!E684="","Missing Typology",""),IF([1]DATABASE!AJ684="","Missing Development",""))</f>
        <v/>
      </c>
      <c r="F723" s="82" t="str">
        <f>_xlfn.TEXTJOIN("; ",TRUE,IF(AND(OR(TRIM([1]DATABASE!Q684)="RESERVED",TRIM([1]DATABASE!Q684)="PRE-RESERVED",TRIM([1]DATABASE!Q684)="PSPA"),[1]DATABASE!AA684=""),"Reserved/PSPA no PSPA Date",""),IF(AND(TRIM([1]DATABASE!Q684)="AVAILABLE",[1]DATABASE!AA684&lt;&gt;""),"Available has PSPA Date",""))</f>
        <v/>
      </c>
      <c r="G723" s="82" t="str">
        <f>_xlfn.TEXTJOIN("; ",TRUE,IF(AND([1]DATABASE!T684&lt;0.8*[1]DATABASE!S684,[1]DATABASE!T684&gt;0,[1]DATABASE!S684&gt;0),"Heavy Price Cut &gt;20%",""),IF(AND(OR(TRIM([1]DATABASE!Q684)="AVAILABLE",TRIM([1]DATABASE!Q684)="UPON REQUEST"),OR([1]DATABASE!T684="",[1]DATABASE!T684=0)),"Active Unit no Price",""),IF(AND(OR(TRIM([1]DATABASE!Q684)="AVAILABLE",TRIM([1]DATABASE!Q684)="RESERVED",TRIM([1]DATABASE!Q684)="PRE-RESERVED",TRIM([1]DATABASE!Q684)="PSPA"),[1]DATABASE!AC684=""),"Active no Owner",""),IF(OR([1]DATABASE!F684="",[1]DATABASE!F684&lt;=0),"Missing/Invalid Area",""),IF(AND([1]DATABASE!T684&gt;0,ABS([1]DATABASE!T684-[1]DATABASE!W684-[1]DATABASE!U684-[1]DATABASE!V684)&gt;1),"Price Bridge Mismatch",""))</f>
        <v/>
      </c>
      <c r="H723" t="str">
        <f t="shared" si="13"/>
        <v>PASS</v>
      </c>
      <c r="I723" s="90">
        <f>[1]DATABASE!T684</f>
        <v>710000</v>
      </c>
      <c r="J723" t="str">
        <f>[1]DATABASE!AC684</f>
        <v>Ana Damásio</v>
      </c>
    </row>
    <row r="724" spans="1:10" ht="13.95" customHeight="1" x14ac:dyDescent="0.3">
      <c r="A724">
        <f>ROW([1]DATABASE!A685)</f>
        <v>685</v>
      </c>
      <c r="B724" t="str">
        <f>[1]DATABASE!AJ685</f>
        <v>Rivus</v>
      </c>
      <c r="C724" t="str">
        <f>[1]DATABASE!C685</f>
        <v>AA</v>
      </c>
      <c r="D724" t="str">
        <f>TRIM([1]DATABASE!Q685)</f>
        <v>AVAILABLE</v>
      </c>
      <c r="E724" s="82" t="str">
        <f>_xlfn.TEXTJOIN("; ",TRUE,IF([1]DATABASE!X685&lt;0,"Negative Discount",""),IF(AND([1]DATABASE!Y685&gt;[1]DATABASE!T685,[1]DATABASE!Y685&gt;0,[1]DATABASE!T685&gt;0),"Sell Price &gt; Current",""),IF(AND(TRIM([1]DATABASE!Q685)="DEED",[1]DATABASE!AA685=""),"Deeded no PSPA Date",""),IF([1]DATABASE!E685="","Missing Typology",""),IF([1]DATABASE!AJ685="","Missing Development",""))</f>
        <v/>
      </c>
      <c r="F724" s="82" t="str">
        <f>_xlfn.TEXTJOIN("; ",TRUE,IF(AND(OR(TRIM([1]DATABASE!Q685)="RESERVED",TRIM([1]DATABASE!Q685)="PRE-RESERVED",TRIM([1]DATABASE!Q685)="PSPA"),[1]DATABASE!AA685=""),"Reserved/PSPA no PSPA Date",""),IF(AND(TRIM([1]DATABASE!Q685)="AVAILABLE",[1]DATABASE!AA685&lt;&gt;""),"Available has PSPA Date",""))</f>
        <v/>
      </c>
      <c r="G724" s="82" t="str">
        <f>_xlfn.TEXTJOIN("; ",TRUE,IF(AND([1]DATABASE!T685&lt;0.8*[1]DATABASE!S685,[1]DATABASE!T685&gt;0,[1]DATABASE!S685&gt;0),"Heavy Price Cut &gt;20%",""),IF(AND(OR(TRIM([1]DATABASE!Q685)="AVAILABLE",TRIM([1]DATABASE!Q685)="UPON REQUEST"),OR([1]DATABASE!T685="",[1]DATABASE!T685=0)),"Active Unit no Price",""),IF(AND(OR(TRIM([1]DATABASE!Q685)="AVAILABLE",TRIM([1]DATABASE!Q685)="RESERVED",TRIM([1]DATABASE!Q685)="PRE-RESERVED",TRIM([1]DATABASE!Q685)="PSPA"),[1]DATABASE!AC685=""),"Active no Owner",""),IF(OR([1]DATABASE!F685="",[1]DATABASE!F685&lt;=0),"Missing/Invalid Area",""),IF(AND([1]DATABASE!T685&gt;0,ABS([1]DATABASE!T685-[1]DATABASE!W685-[1]DATABASE!U685-[1]DATABASE!V685)&gt;1),"Price Bridge Mismatch",""))</f>
        <v>Missing/Invalid Area</v>
      </c>
      <c r="H724" t="str">
        <f t="shared" si="13"/>
        <v>REVIEW</v>
      </c>
      <c r="I724" s="90">
        <f>[1]DATABASE!T685</f>
        <v>840000</v>
      </c>
      <c r="J724" t="str">
        <f>[1]DATABASE!AC685</f>
        <v>Ana Damásio</v>
      </c>
    </row>
    <row r="725" spans="1:10" ht="13.95" customHeight="1" x14ac:dyDescent="0.3">
      <c r="A725">
        <f>ROW([1]DATABASE!A686)</f>
        <v>686</v>
      </c>
      <c r="B725" t="str">
        <f>[1]DATABASE!AJ686</f>
        <v>Springs - At the Els</v>
      </c>
      <c r="C725" t="str">
        <f>[1]DATABASE!C686</f>
        <v>AA</v>
      </c>
      <c r="D725" t="str">
        <f>TRIM([1]DATABASE!Q686)</f>
        <v>AVAILABLE</v>
      </c>
      <c r="E725" s="82" t="str">
        <f>_xlfn.TEXTJOIN("; ",TRUE,IF([1]DATABASE!X686&lt;0,"Negative Discount",""),IF(AND([1]DATABASE!Y686&gt;[1]DATABASE!T686,[1]DATABASE!Y686&gt;0,[1]DATABASE!T686&gt;0),"Sell Price &gt; Current",""),IF(AND(TRIM([1]DATABASE!Q686)="DEED",[1]DATABASE!AA686=""),"Deeded no PSPA Date",""),IF([1]DATABASE!E686="","Missing Typology",""),IF([1]DATABASE!AJ686="","Missing Development",""))</f>
        <v/>
      </c>
      <c r="F725" s="82" t="str">
        <f>_xlfn.TEXTJOIN("; ",TRUE,IF(AND(OR(TRIM([1]DATABASE!Q686)="RESERVED",TRIM([1]DATABASE!Q686)="PRE-RESERVED",TRIM([1]DATABASE!Q686)="PSPA"),[1]DATABASE!AA686=""),"Reserved/PSPA no PSPA Date",""),IF(AND(TRIM([1]DATABASE!Q686)="AVAILABLE",[1]DATABASE!AA686&lt;&gt;""),"Available has PSPA Date",""))</f>
        <v/>
      </c>
      <c r="G725" s="82" t="str">
        <f>_xlfn.TEXTJOIN("; ",TRUE,IF(AND([1]DATABASE!T686&lt;0.8*[1]DATABASE!S686,[1]DATABASE!T686&gt;0,[1]DATABASE!S686&gt;0),"Heavy Price Cut &gt;20%",""),IF(AND(OR(TRIM([1]DATABASE!Q686)="AVAILABLE",TRIM([1]DATABASE!Q686)="UPON REQUEST"),OR([1]DATABASE!T686="",[1]DATABASE!T686=0)),"Active Unit no Price",""),IF(AND(OR(TRIM([1]DATABASE!Q686)="AVAILABLE",TRIM([1]DATABASE!Q686)="RESERVED",TRIM([1]DATABASE!Q686)="PRE-RESERVED",TRIM([1]DATABASE!Q686)="PSPA"),[1]DATABASE!AC686=""),"Active no Owner",""),IF(OR([1]DATABASE!F686="",[1]DATABASE!F686&lt;=0),"Missing/Invalid Area",""),IF(AND([1]DATABASE!T686&gt;0,ABS([1]DATABASE!T686-[1]DATABASE!W686-[1]DATABASE!U686-[1]DATABASE!V686)&gt;1),"Price Bridge Mismatch",""))</f>
        <v/>
      </c>
      <c r="H725" t="str">
        <f t="shared" si="13"/>
        <v>PASS</v>
      </c>
      <c r="I725" s="90">
        <f>[1]DATABASE!T686</f>
        <v>2830000</v>
      </c>
      <c r="J725" t="str">
        <f>[1]DATABASE!AC686</f>
        <v>Ana Damásio</v>
      </c>
    </row>
    <row r="726" spans="1:10" ht="13.95" customHeight="1" x14ac:dyDescent="0.3">
      <c r="A726">
        <f>ROW([1]DATABASE!A687)</f>
        <v>687</v>
      </c>
      <c r="B726" t="str">
        <f>[1]DATABASE!AJ687</f>
        <v>Aroeira Collections</v>
      </c>
      <c r="C726" t="str">
        <f>[1]DATABASE!C687</f>
        <v>239A</v>
      </c>
      <c r="D726" t="str">
        <f>TRIM([1]DATABASE!Q687)</f>
        <v>AVAILABLE</v>
      </c>
      <c r="E726" s="82" t="str">
        <f>_xlfn.TEXTJOIN("; ",TRUE,IF([1]DATABASE!X687&lt;0,"Negative Discount",""),IF(AND([1]DATABASE!Y687&gt;[1]DATABASE!T687,[1]DATABASE!Y687&gt;0,[1]DATABASE!T687&gt;0),"Sell Price &gt; Current",""),IF(AND(TRIM([1]DATABASE!Q687)="DEED",[1]DATABASE!AA687=""),"Deeded no PSPA Date",""),IF([1]DATABASE!E687="","Missing Typology",""),IF([1]DATABASE!AJ687="","Missing Development",""))</f>
        <v/>
      </c>
      <c r="F726" s="82" t="str">
        <f>_xlfn.TEXTJOIN("; ",TRUE,IF(AND(OR(TRIM([1]DATABASE!Q687)="RESERVED",TRIM([1]DATABASE!Q687)="PRE-RESERVED",TRIM([1]DATABASE!Q687)="PSPA"),[1]DATABASE!AA687=""),"Reserved/PSPA no PSPA Date",""),IF(AND(TRIM([1]DATABASE!Q687)="AVAILABLE",[1]DATABASE!AA687&lt;&gt;""),"Available has PSPA Date",""))</f>
        <v/>
      </c>
      <c r="G726" s="82" t="str">
        <f>_xlfn.TEXTJOIN("; ",TRUE,IF(AND([1]DATABASE!T687&lt;0.8*[1]DATABASE!S687,[1]DATABASE!T687&gt;0,[1]DATABASE!S687&gt;0),"Heavy Price Cut &gt;20%",""),IF(AND(OR(TRIM([1]DATABASE!Q687)="AVAILABLE",TRIM([1]DATABASE!Q687)="UPON REQUEST"),OR([1]DATABASE!T687="",[1]DATABASE!T687=0)),"Active Unit no Price",""),IF(AND(OR(TRIM([1]DATABASE!Q687)="AVAILABLE",TRIM([1]DATABASE!Q687)="RESERVED",TRIM([1]DATABASE!Q687)="PRE-RESERVED",TRIM([1]DATABASE!Q687)="PSPA"),[1]DATABASE!AC687=""),"Active no Owner",""),IF(OR([1]DATABASE!F687="",[1]DATABASE!F687&lt;=0),"Missing/Invalid Area",""),IF(AND([1]DATABASE!T687&gt;0,ABS([1]DATABASE!T687-[1]DATABASE!W687-[1]DATABASE!U687-[1]DATABASE!V687)&gt;1),"Price Bridge Mismatch",""))</f>
        <v>Heavy Price Cut &gt;20%</v>
      </c>
      <c r="H726" t="str">
        <f t="shared" si="13"/>
        <v>REVIEW</v>
      </c>
      <c r="I726" s="90">
        <f>[1]DATABASE!T687</f>
        <v>410000</v>
      </c>
      <c r="J726" t="str">
        <f>[1]DATABASE!AC687</f>
        <v>João Gameiro</v>
      </c>
    </row>
    <row r="727" spans="1:10" ht="13.95" customHeight="1" x14ac:dyDescent="0.3">
      <c r="A727">
        <f>ROW([1]DATABASE!A688)</f>
        <v>688</v>
      </c>
      <c r="B727" t="str">
        <f>[1]DATABASE!AJ688</f>
        <v>Aroeira Collections</v>
      </c>
      <c r="C727" t="str">
        <f>[1]DATABASE!C688</f>
        <v>23B</v>
      </c>
      <c r="D727" t="str">
        <f>TRIM([1]DATABASE!Q688)</f>
        <v>AVAILABLE</v>
      </c>
      <c r="E727" s="82" t="str">
        <f>_xlfn.TEXTJOIN("; ",TRUE,IF([1]DATABASE!X688&lt;0,"Negative Discount",""),IF(AND([1]DATABASE!Y688&gt;[1]DATABASE!T688,[1]DATABASE!Y688&gt;0,[1]DATABASE!T688&gt;0),"Sell Price &gt; Current",""),IF(AND(TRIM([1]DATABASE!Q688)="DEED",[1]DATABASE!AA688=""),"Deeded no PSPA Date",""),IF([1]DATABASE!E688="","Missing Typology",""),IF([1]DATABASE!AJ688="","Missing Development",""))</f>
        <v/>
      </c>
      <c r="F727" s="82" t="str">
        <f>_xlfn.TEXTJOIN("; ",TRUE,IF(AND(OR(TRIM([1]DATABASE!Q688)="RESERVED",TRIM([1]DATABASE!Q688)="PRE-RESERVED",TRIM([1]DATABASE!Q688)="PSPA"),[1]DATABASE!AA688=""),"Reserved/PSPA no PSPA Date",""),IF(AND(TRIM([1]DATABASE!Q688)="AVAILABLE",[1]DATABASE!AA688&lt;&gt;""),"Available has PSPA Date",""))</f>
        <v/>
      </c>
      <c r="G727" s="82" t="str">
        <f>_xlfn.TEXTJOIN("; ",TRUE,IF(AND([1]DATABASE!T688&lt;0.8*[1]DATABASE!S688,[1]DATABASE!T688&gt;0,[1]DATABASE!S688&gt;0),"Heavy Price Cut &gt;20%",""),IF(AND(OR(TRIM([1]DATABASE!Q688)="AVAILABLE",TRIM([1]DATABASE!Q688)="UPON REQUEST"),OR([1]DATABASE!T688="",[1]DATABASE!T688=0)),"Active Unit no Price",""),IF(AND(OR(TRIM([1]DATABASE!Q688)="AVAILABLE",TRIM([1]DATABASE!Q688)="RESERVED",TRIM([1]DATABASE!Q688)="PRE-RESERVED",TRIM([1]DATABASE!Q688)="PSPA"),[1]DATABASE!AC688=""),"Active no Owner",""),IF(OR([1]DATABASE!F688="",[1]DATABASE!F688&lt;=0),"Missing/Invalid Area",""),IF(AND([1]DATABASE!T688&gt;0,ABS([1]DATABASE!T688-[1]DATABASE!W688-[1]DATABASE!U688-[1]DATABASE!V688)&gt;1),"Price Bridge Mismatch",""))</f>
        <v/>
      </c>
      <c r="H727" t="str">
        <f t="shared" si="13"/>
        <v>PASS</v>
      </c>
      <c r="I727" s="90">
        <f>[1]DATABASE!T688</f>
        <v>1080000</v>
      </c>
      <c r="J727" t="str">
        <f>[1]DATABASE!AC688</f>
        <v>João Gameiro</v>
      </c>
    </row>
    <row r="728" spans="1:10" ht="13.95" customHeight="1" x14ac:dyDescent="0.3">
      <c r="A728">
        <f>ROW([1]DATABASE!A689)</f>
        <v>689</v>
      </c>
      <c r="B728" t="str">
        <f>[1]DATABASE!AJ689</f>
        <v>Aroeira Collections</v>
      </c>
      <c r="C728" t="str">
        <f>[1]DATABASE!C689</f>
        <v>23C</v>
      </c>
      <c r="D728" t="str">
        <f>TRIM([1]DATABASE!Q689)</f>
        <v>AVAILABLE</v>
      </c>
      <c r="E728" s="82" t="str">
        <f>_xlfn.TEXTJOIN("; ",TRUE,IF([1]DATABASE!X689&lt;0,"Negative Discount",""),IF(AND([1]DATABASE!Y689&gt;[1]DATABASE!T689,[1]DATABASE!Y689&gt;0,[1]DATABASE!T689&gt;0),"Sell Price &gt; Current",""),IF(AND(TRIM([1]DATABASE!Q689)="DEED",[1]DATABASE!AA689=""),"Deeded no PSPA Date",""),IF([1]DATABASE!E689="","Missing Typology",""),IF([1]DATABASE!AJ689="","Missing Development",""))</f>
        <v/>
      </c>
      <c r="F728" s="82" t="str">
        <f>_xlfn.TEXTJOIN("; ",TRUE,IF(AND(OR(TRIM([1]DATABASE!Q689)="RESERVED",TRIM([1]DATABASE!Q689)="PRE-RESERVED",TRIM([1]DATABASE!Q689)="PSPA"),[1]DATABASE!AA689=""),"Reserved/PSPA no PSPA Date",""),IF(AND(TRIM([1]DATABASE!Q689)="AVAILABLE",[1]DATABASE!AA689&lt;&gt;""),"Available has PSPA Date",""))</f>
        <v/>
      </c>
      <c r="G728" s="82" t="str">
        <f>_xlfn.TEXTJOIN("; ",TRUE,IF(AND([1]DATABASE!T689&lt;0.8*[1]DATABASE!S689,[1]DATABASE!T689&gt;0,[1]DATABASE!S689&gt;0),"Heavy Price Cut &gt;20%",""),IF(AND(OR(TRIM([1]DATABASE!Q689)="AVAILABLE",TRIM([1]DATABASE!Q689)="UPON REQUEST"),OR([1]DATABASE!T689="",[1]DATABASE!T689=0)),"Active Unit no Price",""),IF(AND(OR(TRIM([1]DATABASE!Q689)="AVAILABLE",TRIM([1]DATABASE!Q689)="RESERVED",TRIM([1]DATABASE!Q689)="PRE-RESERVED",TRIM([1]DATABASE!Q689)="PSPA"),[1]DATABASE!AC689=""),"Active no Owner",""),IF(OR([1]DATABASE!F689="",[1]DATABASE!F689&lt;=0),"Missing/Invalid Area",""),IF(AND([1]DATABASE!T689&gt;0,ABS([1]DATABASE!T689-[1]DATABASE!W689-[1]DATABASE!U689-[1]DATABASE!V689)&gt;1),"Price Bridge Mismatch",""))</f>
        <v/>
      </c>
      <c r="H728" t="str">
        <f t="shared" si="13"/>
        <v>PASS</v>
      </c>
      <c r="I728" s="90">
        <f>[1]DATABASE!T689</f>
        <v>1595000</v>
      </c>
      <c r="J728" t="str">
        <f>[1]DATABASE!AC689</f>
        <v>João Gameiro</v>
      </c>
    </row>
    <row r="729" spans="1:10" ht="13.95" customHeight="1" x14ac:dyDescent="0.3">
      <c r="A729">
        <f>ROW([1]DATABASE!A690)</f>
        <v>690</v>
      </c>
      <c r="B729" t="str">
        <f>[1]DATABASE!AJ690</f>
        <v>Zestia</v>
      </c>
      <c r="C729" t="str">
        <f>[1]DATABASE!C690</f>
        <v>AA</v>
      </c>
      <c r="D729" t="str">
        <f>TRIM([1]DATABASE!Q690)</f>
        <v>AVAILABLE</v>
      </c>
      <c r="E729" s="82" t="str">
        <f>_xlfn.TEXTJOIN("; ",TRUE,IF([1]DATABASE!X690&lt;0,"Negative Discount",""),IF(AND([1]DATABASE!Y690&gt;[1]DATABASE!T690,[1]DATABASE!Y690&gt;0,[1]DATABASE!T690&gt;0),"Sell Price &gt; Current",""),IF(AND(TRIM([1]DATABASE!Q690)="DEED",[1]DATABASE!AA690=""),"Deeded no PSPA Date",""),IF([1]DATABASE!E690="","Missing Typology",""),IF([1]DATABASE!AJ690="","Missing Development",""))</f>
        <v/>
      </c>
      <c r="F729" s="82" t="str">
        <f>_xlfn.TEXTJOIN("; ",TRUE,IF(AND(OR(TRIM([1]DATABASE!Q690)="RESERVED",TRIM([1]DATABASE!Q690)="PRE-RESERVED",TRIM([1]DATABASE!Q690)="PSPA"),[1]DATABASE!AA690=""),"Reserved/PSPA no PSPA Date",""),IF(AND(TRIM([1]DATABASE!Q690)="AVAILABLE",[1]DATABASE!AA690&lt;&gt;""),"Available has PSPA Date",""))</f>
        <v/>
      </c>
      <c r="G729" s="82" t="str">
        <f>_xlfn.TEXTJOIN("; ",TRUE,IF(AND([1]DATABASE!T690&lt;0.8*[1]DATABASE!S690,[1]DATABASE!T690&gt;0,[1]DATABASE!S690&gt;0),"Heavy Price Cut &gt;20%",""),IF(AND(OR(TRIM([1]DATABASE!Q690)="AVAILABLE",TRIM([1]DATABASE!Q690)="UPON REQUEST"),OR([1]DATABASE!T690="",[1]DATABASE!T690=0)),"Active Unit no Price",""),IF(AND(OR(TRIM([1]DATABASE!Q690)="AVAILABLE",TRIM([1]DATABASE!Q690)="RESERVED",TRIM([1]DATABASE!Q690)="PRE-RESERVED",TRIM([1]DATABASE!Q690)="PSPA"),[1]DATABASE!AC690=""),"Active no Owner",""),IF(OR([1]DATABASE!F690="",[1]DATABASE!F690&lt;=0),"Missing/Invalid Area",""),IF(AND([1]DATABASE!T690&gt;0,ABS([1]DATABASE!T690-[1]DATABASE!W690-[1]DATABASE!U690-[1]DATABASE!V690)&gt;1),"Price Bridge Mismatch",""))</f>
        <v/>
      </c>
      <c r="H729" t="str">
        <f t="shared" si="13"/>
        <v>PASS</v>
      </c>
      <c r="I729" s="90">
        <f>[1]DATABASE!T690</f>
        <v>650000</v>
      </c>
      <c r="J729" t="str">
        <f>[1]DATABASE!AC690</f>
        <v>Ana Damásio</v>
      </c>
    </row>
    <row r="730" spans="1:10" ht="13.95" customHeight="1" x14ac:dyDescent="0.3">
      <c r="A730">
        <f>ROW([1]DATABASE!A691)</f>
        <v>691</v>
      </c>
      <c r="B730" t="str">
        <f>[1]DATABASE!AJ691</f>
        <v>Botanica</v>
      </c>
      <c r="C730" t="str">
        <f>[1]DATABASE!C691</f>
        <v>AB</v>
      </c>
      <c r="D730" t="str">
        <f>TRIM([1]DATABASE!Q691)</f>
        <v>AVAILABLE</v>
      </c>
      <c r="E730" s="82" t="str">
        <f>_xlfn.TEXTJOIN("; ",TRUE,IF([1]DATABASE!X691&lt;0,"Negative Discount",""),IF(AND([1]DATABASE!Y691&gt;[1]DATABASE!T691,[1]DATABASE!Y691&gt;0,[1]DATABASE!T691&gt;0),"Sell Price &gt; Current",""),IF(AND(TRIM([1]DATABASE!Q691)="DEED",[1]DATABASE!AA691=""),"Deeded no PSPA Date",""),IF([1]DATABASE!E691="","Missing Typology",""),IF([1]DATABASE!AJ691="","Missing Development",""))</f>
        <v/>
      </c>
      <c r="F730" s="82" t="str">
        <f>_xlfn.TEXTJOIN("; ",TRUE,IF(AND(OR(TRIM([1]DATABASE!Q691)="RESERVED",TRIM([1]DATABASE!Q691)="PRE-RESERVED",TRIM([1]DATABASE!Q691)="PSPA"),[1]DATABASE!AA691=""),"Reserved/PSPA no PSPA Date",""),IF(AND(TRIM([1]DATABASE!Q691)="AVAILABLE",[1]DATABASE!AA691&lt;&gt;""),"Available has PSPA Date",""))</f>
        <v/>
      </c>
      <c r="G730" s="82" t="str">
        <f>_xlfn.TEXTJOIN("; ",TRUE,IF(AND([1]DATABASE!T691&lt;0.8*[1]DATABASE!S691,[1]DATABASE!T691&gt;0,[1]DATABASE!S691&gt;0),"Heavy Price Cut &gt;20%",""),IF(AND(OR(TRIM([1]DATABASE!Q691)="AVAILABLE",TRIM([1]DATABASE!Q691)="UPON REQUEST"),OR([1]DATABASE!T691="",[1]DATABASE!T691=0)),"Active Unit no Price",""),IF(AND(OR(TRIM([1]DATABASE!Q691)="AVAILABLE",TRIM([1]DATABASE!Q691)="RESERVED",TRIM([1]DATABASE!Q691)="PRE-RESERVED",TRIM([1]DATABASE!Q691)="PSPA"),[1]DATABASE!AC691=""),"Active no Owner",""),IF(OR([1]DATABASE!F691="",[1]DATABASE!F691&lt;=0),"Missing/Invalid Area",""),IF(AND([1]DATABASE!T691&gt;0,ABS([1]DATABASE!T691-[1]DATABASE!W691-[1]DATABASE!U691-[1]DATABASE!V691)&gt;1),"Price Bridge Mismatch",""))</f>
        <v/>
      </c>
      <c r="H730" t="str">
        <f t="shared" si="13"/>
        <v>PASS</v>
      </c>
      <c r="I730" s="90">
        <f>[1]DATABASE!T691</f>
        <v>1425000</v>
      </c>
      <c r="J730" t="str">
        <f>[1]DATABASE!AC691</f>
        <v>Ana Damásio</v>
      </c>
    </row>
    <row r="731" spans="1:10" ht="13.95" customHeight="1" x14ac:dyDescent="0.3">
      <c r="A731">
        <f>ROW([1]DATABASE!A692)</f>
        <v>692</v>
      </c>
      <c r="B731" t="str">
        <f>[1]DATABASE!AJ692</f>
        <v>Springs - At the Els</v>
      </c>
      <c r="C731" t="str">
        <f>[1]DATABASE!C692</f>
        <v>AB</v>
      </c>
      <c r="D731" t="str">
        <f>TRIM([1]DATABASE!Q692)</f>
        <v>AVAILABLE</v>
      </c>
      <c r="E731" s="82" t="str">
        <f>_xlfn.TEXTJOIN("; ",TRUE,IF([1]DATABASE!X692&lt;0,"Negative Discount",""),IF(AND([1]DATABASE!Y692&gt;[1]DATABASE!T692,[1]DATABASE!Y692&gt;0,[1]DATABASE!T692&gt;0),"Sell Price &gt; Current",""),IF(AND(TRIM([1]DATABASE!Q692)="DEED",[1]DATABASE!AA692=""),"Deeded no PSPA Date",""),IF([1]DATABASE!E692="","Missing Typology",""),IF([1]DATABASE!AJ692="","Missing Development",""))</f>
        <v/>
      </c>
      <c r="F731" s="82" t="str">
        <f>_xlfn.TEXTJOIN("; ",TRUE,IF(AND(OR(TRIM([1]DATABASE!Q692)="RESERVED",TRIM([1]DATABASE!Q692)="PRE-RESERVED",TRIM([1]DATABASE!Q692)="PSPA"),[1]DATABASE!AA692=""),"Reserved/PSPA no PSPA Date",""),IF(AND(TRIM([1]DATABASE!Q692)="AVAILABLE",[1]DATABASE!AA692&lt;&gt;""),"Available has PSPA Date",""))</f>
        <v/>
      </c>
      <c r="G731" s="82" t="str">
        <f>_xlfn.TEXTJOIN("; ",TRUE,IF(AND([1]DATABASE!T692&lt;0.8*[1]DATABASE!S692,[1]DATABASE!T692&gt;0,[1]DATABASE!S692&gt;0),"Heavy Price Cut &gt;20%",""),IF(AND(OR(TRIM([1]DATABASE!Q692)="AVAILABLE",TRIM([1]DATABASE!Q692)="UPON REQUEST"),OR([1]DATABASE!T692="",[1]DATABASE!T692=0)),"Active Unit no Price",""),IF(AND(OR(TRIM([1]DATABASE!Q692)="AVAILABLE",TRIM([1]DATABASE!Q692)="RESERVED",TRIM([1]DATABASE!Q692)="PRE-RESERVED",TRIM([1]DATABASE!Q692)="PSPA"),[1]DATABASE!AC692=""),"Active no Owner",""),IF(OR([1]DATABASE!F692="",[1]DATABASE!F692&lt;=0),"Missing/Invalid Area",""),IF(AND([1]DATABASE!T692&gt;0,ABS([1]DATABASE!T692-[1]DATABASE!W692-[1]DATABASE!U692-[1]DATABASE!V692)&gt;1),"Price Bridge Mismatch",""))</f>
        <v/>
      </c>
      <c r="H731" t="str">
        <f t="shared" si="13"/>
        <v>PASS</v>
      </c>
      <c r="I731" s="90">
        <f>[1]DATABASE!T692</f>
        <v>2830000</v>
      </c>
      <c r="J731" t="str">
        <f>[1]DATABASE!AC692</f>
        <v>Ana Damásio</v>
      </c>
    </row>
    <row r="732" spans="1:10" ht="13.95" customHeight="1" x14ac:dyDescent="0.3">
      <c r="A732">
        <f>ROW([1]DATABASE!A693)</f>
        <v>693</v>
      </c>
      <c r="B732" t="str">
        <f>[1]DATABASE!AJ693</f>
        <v>Nobilus</v>
      </c>
      <c r="C732" t="str">
        <f>[1]DATABASE!C693</f>
        <v>AC</v>
      </c>
      <c r="D732" t="str">
        <f>TRIM([1]DATABASE!Q693)</f>
        <v>AVAILABLE</v>
      </c>
      <c r="E732" s="82" t="str">
        <f>_xlfn.TEXTJOIN("; ",TRUE,IF([1]DATABASE!X693&lt;0,"Negative Discount",""),IF(AND([1]DATABASE!Y693&gt;[1]DATABASE!T693,[1]DATABASE!Y693&gt;0,[1]DATABASE!T693&gt;0),"Sell Price &gt; Current",""),IF(AND(TRIM([1]DATABASE!Q693)="DEED",[1]DATABASE!AA693=""),"Deeded no PSPA Date",""),IF([1]DATABASE!E693="","Missing Typology",""),IF([1]DATABASE!AJ693="","Missing Development",""))</f>
        <v/>
      </c>
      <c r="F732" s="82" t="str">
        <f>_xlfn.TEXTJOIN("; ",TRUE,IF(AND(OR(TRIM([1]DATABASE!Q693)="RESERVED",TRIM([1]DATABASE!Q693)="PRE-RESERVED",TRIM([1]DATABASE!Q693)="PSPA"),[1]DATABASE!AA693=""),"Reserved/PSPA no PSPA Date",""),IF(AND(TRIM([1]DATABASE!Q693)="AVAILABLE",[1]DATABASE!AA693&lt;&gt;""),"Available has PSPA Date",""))</f>
        <v/>
      </c>
      <c r="G732" s="82" t="str">
        <f>_xlfn.TEXTJOIN("; ",TRUE,IF(AND([1]DATABASE!T693&lt;0.8*[1]DATABASE!S693,[1]DATABASE!T693&gt;0,[1]DATABASE!S693&gt;0),"Heavy Price Cut &gt;20%",""),IF(AND(OR(TRIM([1]DATABASE!Q693)="AVAILABLE",TRIM([1]DATABASE!Q693)="UPON REQUEST"),OR([1]DATABASE!T693="",[1]DATABASE!T693=0)),"Active Unit no Price",""),IF(AND(OR(TRIM([1]DATABASE!Q693)="AVAILABLE",TRIM([1]DATABASE!Q693)="RESERVED",TRIM([1]DATABASE!Q693)="PRE-RESERVED",TRIM([1]DATABASE!Q693)="PSPA"),[1]DATABASE!AC693=""),"Active no Owner",""),IF(OR([1]DATABASE!F693="",[1]DATABASE!F693&lt;=0),"Missing/Invalid Area",""),IF(AND([1]DATABASE!T693&gt;0,ABS([1]DATABASE!T693-[1]DATABASE!W693-[1]DATABASE!U693-[1]DATABASE!V693)&gt;1),"Price Bridge Mismatch",""))</f>
        <v/>
      </c>
      <c r="H732" t="str">
        <f t="shared" si="13"/>
        <v>PASS</v>
      </c>
      <c r="I732" s="90">
        <f>[1]DATABASE!T693</f>
        <v>1150000</v>
      </c>
      <c r="J732" t="str">
        <f>[1]DATABASE!AC693</f>
        <v>Ana Damásio</v>
      </c>
    </row>
    <row r="733" spans="1:10" ht="13.95" customHeight="1" x14ac:dyDescent="0.3">
      <c r="A733">
        <f>ROW([1]DATABASE!A694)</f>
        <v>694</v>
      </c>
      <c r="B733" t="str">
        <f>[1]DATABASE!AJ694</f>
        <v>Springs - At the Els</v>
      </c>
      <c r="C733" t="str">
        <f>[1]DATABASE!C694</f>
        <v>AC</v>
      </c>
      <c r="D733" t="str">
        <f>TRIM([1]DATABASE!Q694)</f>
        <v>AVAILABLE</v>
      </c>
      <c r="E733" s="82" t="str">
        <f>_xlfn.TEXTJOIN("; ",TRUE,IF([1]DATABASE!X694&lt;0,"Negative Discount",""),IF(AND([1]DATABASE!Y694&gt;[1]DATABASE!T694,[1]DATABASE!Y694&gt;0,[1]DATABASE!T694&gt;0),"Sell Price &gt; Current",""),IF(AND(TRIM([1]DATABASE!Q694)="DEED",[1]DATABASE!AA694=""),"Deeded no PSPA Date",""),IF([1]DATABASE!E694="","Missing Typology",""),IF([1]DATABASE!AJ694="","Missing Development",""))</f>
        <v/>
      </c>
      <c r="F733" s="82" t="str">
        <f>_xlfn.TEXTJOIN("; ",TRUE,IF(AND(OR(TRIM([1]DATABASE!Q694)="RESERVED",TRIM([1]DATABASE!Q694)="PRE-RESERVED",TRIM([1]DATABASE!Q694)="PSPA"),[1]DATABASE!AA694=""),"Reserved/PSPA no PSPA Date",""),IF(AND(TRIM([1]DATABASE!Q694)="AVAILABLE",[1]DATABASE!AA694&lt;&gt;""),"Available has PSPA Date",""))</f>
        <v/>
      </c>
      <c r="G733" s="82" t="str">
        <f>_xlfn.TEXTJOIN("; ",TRUE,IF(AND([1]DATABASE!T694&lt;0.8*[1]DATABASE!S694,[1]DATABASE!T694&gt;0,[1]DATABASE!S694&gt;0),"Heavy Price Cut &gt;20%",""),IF(AND(OR(TRIM([1]DATABASE!Q694)="AVAILABLE",TRIM([1]DATABASE!Q694)="UPON REQUEST"),OR([1]DATABASE!T694="",[1]DATABASE!T694=0)),"Active Unit no Price",""),IF(AND(OR(TRIM([1]DATABASE!Q694)="AVAILABLE",TRIM([1]DATABASE!Q694)="RESERVED",TRIM([1]DATABASE!Q694)="PRE-RESERVED",TRIM([1]DATABASE!Q694)="PSPA"),[1]DATABASE!AC694=""),"Active no Owner",""),IF(OR([1]DATABASE!F694="",[1]DATABASE!F694&lt;=0),"Missing/Invalid Area",""),IF(AND([1]DATABASE!T694&gt;0,ABS([1]DATABASE!T694-[1]DATABASE!W694-[1]DATABASE!U694-[1]DATABASE!V694)&gt;1),"Price Bridge Mismatch",""))</f>
        <v/>
      </c>
      <c r="H733" t="str">
        <f t="shared" si="13"/>
        <v>PASS</v>
      </c>
      <c r="I733" s="90">
        <f>[1]DATABASE!T694</f>
        <v>2680000</v>
      </c>
      <c r="J733" t="str">
        <f>[1]DATABASE!AC694</f>
        <v>Ana Damásio</v>
      </c>
    </row>
    <row r="734" spans="1:10" ht="13.95" customHeight="1" x14ac:dyDescent="0.3">
      <c r="A734">
        <f>ROW([1]DATABASE!A695)</f>
        <v>695</v>
      </c>
      <c r="B734" t="str">
        <f>[1]DATABASE!AJ695</f>
        <v>Zestia</v>
      </c>
      <c r="C734" t="str">
        <f>[1]DATABASE!C695</f>
        <v>AC</v>
      </c>
      <c r="D734" t="str">
        <f>TRIM([1]DATABASE!Q695)</f>
        <v>AVAILABLE</v>
      </c>
      <c r="E734" s="82" t="str">
        <f>_xlfn.TEXTJOIN("; ",TRUE,IF([1]DATABASE!X695&lt;0,"Negative Discount",""),IF(AND([1]DATABASE!Y695&gt;[1]DATABASE!T695,[1]DATABASE!Y695&gt;0,[1]DATABASE!T695&gt;0),"Sell Price &gt; Current",""),IF(AND(TRIM([1]DATABASE!Q695)="DEED",[1]DATABASE!AA695=""),"Deeded no PSPA Date",""),IF([1]DATABASE!E695="","Missing Typology",""),IF([1]DATABASE!AJ695="","Missing Development",""))</f>
        <v/>
      </c>
      <c r="F734" s="82" t="str">
        <f>_xlfn.TEXTJOIN("; ",TRUE,IF(AND(OR(TRIM([1]DATABASE!Q695)="RESERVED",TRIM([1]DATABASE!Q695)="PRE-RESERVED",TRIM([1]DATABASE!Q695)="PSPA"),[1]DATABASE!AA695=""),"Reserved/PSPA no PSPA Date",""),IF(AND(TRIM([1]DATABASE!Q695)="AVAILABLE",[1]DATABASE!AA695&lt;&gt;""),"Available has PSPA Date",""))</f>
        <v>Available has PSPA Date</v>
      </c>
      <c r="G734" s="82" t="str">
        <f>_xlfn.TEXTJOIN("; ",TRUE,IF(AND([1]DATABASE!T695&lt;0.8*[1]DATABASE!S695,[1]DATABASE!T695&gt;0,[1]DATABASE!S695&gt;0),"Heavy Price Cut &gt;20%",""),IF(AND(OR(TRIM([1]DATABASE!Q695)="AVAILABLE",TRIM([1]DATABASE!Q695)="UPON REQUEST"),OR([1]DATABASE!T695="",[1]DATABASE!T695=0)),"Active Unit no Price",""),IF(AND(OR(TRIM([1]DATABASE!Q695)="AVAILABLE",TRIM([1]DATABASE!Q695)="RESERVED",TRIM([1]DATABASE!Q695)="PRE-RESERVED",TRIM([1]DATABASE!Q695)="PSPA"),[1]DATABASE!AC695=""),"Active no Owner",""),IF(OR([1]DATABASE!F695="",[1]DATABASE!F695&lt;=0),"Missing/Invalid Area",""),IF(AND([1]DATABASE!T695&gt;0,ABS([1]DATABASE!T695-[1]DATABASE!W695-[1]DATABASE!U695-[1]DATABASE!V695)&gt;1),"Price Bridge Mismatch",""))</f>
        <v/>
      </c>
      <c r="H734" t="str">
        <f t="shared" si="13"/>
        <v>REVIEW</v>
      </c>
      <c r="I734" s="90">
        <f>[1]DATABASE!T695</f>
        <v>900000</v>
      </c>
      <c r="J734" t="str">
        <f>[1]DATABASE!AC695</f>
        <v>Ana Damásio</v>
      </c>
    </row>
    <row r="735" spans="1:10" ht="13.95" customHeight="1" x14ac:dyDescent="0.3">
      <c r="A735">
        <f>ROW([1]DATABASE!A696)</f>
        <v>696</v>
      </c>
      <c r="B735" t="str">
        <f>[1]DATABASE!AJ696</f>
        <v>Nobilus</v>
      </c>
      <c r="C735" t="str">
        <f>[1]DATABASE!C696</f>
        <v>AD</v>
      </c>
      <c r="D735" t="str">
        <f>TRIM([1]DATABASE!Q696)</f>
        <v>AVAILABLE</v>
      </c>
      <c r="E735" s="82" t="str">
        <f>_xlfn.TEXTJOIN("; ",TRUE,IF([1]DATABASE!X696&lt;0,"Negative Discount",""),IF(AND([1]DATABASE!Y696&gt;[1]DATABASE!T696,[1]DATABASE!Y696&gt;0,[1]DATABASE!T696&gt;0),"Sell Price &gt; Current",""),IF(AND(TRIM([1]DATABASE!Q696)="DEED",[1]DATABASE!AA696=""),"Deeded no PSPA Date",""),IF([1]DATABASE!E696="","Missing Typology",""),IF([1]DATABASE!AJ696="","Missing Development",""))</f>
        <v/>
      </c>
      <c r="F735" s="82" t="str">
        <f>_xlfn.TEXTJOIN("; ",TRUE,IF(AND(OR(TRIM([1]DATABASE!Q696)="RESERVED",TRIM([1]DATABASE!Q696)="PRE-RESERVED",TRIM([1]DATABASE!Q696)="PSPA"),[1]DATABASE!AA696=""),"Reserved/PSPA no PSPA Date",""),IF(AND(TRIM([1]DATABASE!Q696)="AVAILABLE",[1]DATABASE!AA696&lt;&gt;""),"Available has PSPA Date",""))</f>
        <v>Available has PSPA Date</v>
      </c>
      <c r="G735" s="82" t="str">
        <f>_xlfn.TEXTJOIN("; ",TRUE,IF(AND([1]DATABASE!T696&lt;0.8*[1]DATABASE!S696,[1]DATABASE!T696&gt;0,[1]DATABASE!S696&gt;0),"Heavy Price Cut &gt;20%",""),IF(AND(OR(TRIM([1]DATABASE!Q696)="AVAILABLE",TRIM([1]DATABASE!Q696)="UPON REQUEST"),OR([1]DATABASE!T696="",[1]DATABASE!T696=0)),"Active Unit no Price",""),IF(AND(OR(TRIM([1]DATABASE!Q696)="AVAILABLE",TRIM([1]DATABASE!Q696)="RESERVED",TRIM([1]DATABASE!Q696)="PRE-RESERVED",TRIM([1]DATABASE!Q696)="PSPA"),[1]DATABASE!AC696=""),"Active no Owner",""),IF(OR([1]DATABASE!F696="",[1]DATABASE!F696&lt;=0),"Missing/Invalid Area",""),IF(AND([1]DATABASE!T696&gt;0,ABS([1]DATABASE!T696-[1]DATABASE!W696-[1]DATABASE!U696-[1]DATABASE!V696)&gt;1),"Price Bridge Mismatch",""))</f>
        <v/>
      </c>
      <c r="H735" t="str">
        <f t="shared" si="13"/>
        <v>REVIEW</v>
      </c>
      <c r="I735" s="90">
        <f>[1]DATABASE!T696</f>
        <v>1140000</v>
      </c>
      <c r="J735" t="str">
        <f>[1]DATABASE!AC696</f>
        <v>Ana Damásio</v>
      </c>
    </row>
    <row r="736" spans="1:10" ht="13.95" customHeight="1" x14ac:dyDescent="0.3">
      <c r="A736">
        <f>ROW([1]DATABASE!A697)</f>
        <v>697</v>
      </c>
      <c r="B736" t="str">
        <f>[1]DATABASE!AJ697</f>
        <v>Springs - At the Els</v>
      </c>
      <c r="C736" t="str">
        <f>[1]DATABASE!C697</f>
        <v>AD</v>
      </c>
      <c r="D736" t="str">
        <f>TRIM([1]DATABASE!Q697)</f>
        <v>AVAILABLE</v>
      </c>
      <c r="E736" s="82" t="str">
        <f>_xlfn.TEXTJOIN("; ",TRUE,IF([1]DATABASE!X697&lt;0,"Negative Discount",""),IF(AND([1]DATABASE!Y697&gt;[1]DATABASE!T697,[1]DATABASE!Y697&gt;0,[1]DATABASE!T697&gt;0),"Sell Price &gt; Current",""),IF(AND(TRIM([1]DATABASE!Q697)="DEED",[1]DATABASE!AA697=""),"Deeded no PSPA Date",""),IF([1]DATABASE!E697="","Missing Typology",""),IF([1]DATABASE!AJ697="","Missing Development",""))</f>
        <v/>
      </c>
      <c r="F736" s="82" t="str">
        <f>_xlfn.TEXTJOIN("; ",TRUE,IF(AND(OR(TRIM([1]DATABASE!Q697)="RESERVED",TRIM([1]DATABASE!Q697)="PRE-RESERVED",TRIM([1]DATABASE!Q697)="PSPA"),[1]DATABASE!AA697=""),"Reserved/PSPA no PSPA Date",""),IF(AND(TRIM([1]DATABASE!Q697)="AVAILABLE",[1]DATABASE!AA697&lt;&gt;""),"Available has PSPA Date",""))</f>
        <v/>
      </c>
      <c r="G736" s="82" t="str">
        <f>_xlfn.TEXTJOIN("; ",TRUE,IF(AND([1]DATABASE!T697&lt;0.8*[1]DATABASE!S697,[1]DATABASE!T697&gt;0,[1]DATABASE!S697&gt;0),"Heavy Price Cut &gt;20%",""),IF(AND(OR(TRIM([1]DATABASE!Q697)="AVAILABLE",TRIM([1]DATABASE!Q697)="UPON REQUEST"),OR([1]DATABASE!T697="",[1]DATABASE!T697=0)),"Active Unit no Price",""),IF(AND(OR(TRIM([1]DATABASE!Q697)="AVAILABLE",TRIM([1]DATABASE!Q697)="RESERVED",TRIM([1]DATABASE!Q697)="PRE-RESERVED",TRIM([1]DATABASE!Q697)="PSPA"),[1]DATABASE!AC697=""),"Active no Owner",""),IF(OR([1]DATABASE!F697="",[1]DATABASE!F697&lt;=0),"Missing/Invalid Area",""),IF(AND([1]DATABASE!T697&gt;0,ABS([1]DATABASE!T697-[1]DATABASE!W697-[1]DATABASE!U697-[1]DATABASE!V697)&gt;1),"Price Bridge Mismatch",""))</f>
        <v/>
      </c>
      <c r="H736" t="str">
        <f t="shared" si="13"/>
        <v>PASS</v>
      </c>
      <c r="I736" s="90">
        <f>[1]DATABASE!T697</f>
        <v>1550000</v>
      </c>
      <c r="J736" t="str">
        <f>[1]DATABASE!AC697</f>
        <v>Ana Damásio</v>
      </c>
    </row>
    <row r="737" spans="1:10" ht="13.95" customHeight="1" x14ac:dyDescent="0.3">
      <c r="A737">
        <f>ROW([1]DATABASE!A698)</f>
        <v>698</v>
      </c>
      <c r="B737" t="str">
        <f>[1]DATABASE!AJ698</f>
        <v>Zestia</v>
      </c>
      <c r="C737" t="str">
        <f>[1]DATABASE!C698</f>
        <v>AD</v>
      </c>
      <c r="D737" t="str">
        <f>TRIM([1]DATABASE!Q698)</f>
        <v>AVAILABLE</v>
      </c>
      <c r="E737" s="82" t="str">
        <f>_xlfn.TEXTJOIN("; ",TRUE,IF([1]DATABASE!X698&lt;0,"Negative Discount",""),IF(AND([1]DATABASE!Y698&gt;[1]DATABASE!T698,[1]DATABASE!Y698&gt;0,[1]DATABASE!T698&gt;0),"Sell Price &gt; Current",""),IF(AND(TRIM([1]DATABASE!Q698)="DEED",[1]DATABASE!AA698=""),"Deeded no PSPA Date",""),IF([1]DATABASE!E698="","Missing Typology",""),IF([1]DATABASE!AJ698="","Missing Development",""))</f>
        <v/>
      </c>
      <c r="F737" s="82" t="str">
        <f>_xlfn.TEXTJOIN("; ",TRUE,IF(AND(OR(TRIM([1]DATABASE!Q698)="RESERVED",TRIM([1]DATABASE!Q698)="PRE-RESERVED",TRIM([1]DATABASE!Q698)="PSPA"),[1]DATABASE!AA698=""),"Reserved/PSPA no PSPA Date",""),IF(AND(TRIM([1]DATABASE!Q698)="AVAILABLE",[1]DATABASE!AA698&lt;&gt;""),"Available has PSPA Date",""))</f>
        <v/>
      </c>
      <c r="G737" s="82" t="str">
        <f>_xlfn.TEXTJOIN("; ",TRUE,IF(AND([1]DATABASE!T698&lt;0.8*[1]DATABASE!S698,[1]DATABASE!T698&gt;0,[1]DATABASE!S698&gt;0),"Heavy Price Cut &gt;20%",""),IF(AND(OR(TRIM([1]DATABASE!Q698)="AVAILABLE",TRIM([1]DATABASE!Q698)="UPON REQUEST"),OR([1]DATABASE!T698="",[1]DATABASE!T698=0)),"Active Unit no Price",""),IF(AND(OR(TRIM([1]DATABASE!Q698)="AVAILABLE",TRIM([1]DATABASE!Q698)="RESERVED",TRIM([1]DATABASE!Q698)="PRE-RESERVED",TRIM([1]DATABASE!Q698)="PSPA"),[1]DATABASE!AC698=""),"Active no Owner",""),IF(OR([1]DATABASE!F698="",[1]DATABASE!F698&lt;=0),"Missing/Invalid Area",""),IF(AND([1]DATABASE!T698&gt;0,ABS([1]DATABASE!T698-[1]DATABASE!W698-[1]DATABASE!U698-[1]DATABASE!V698)&gt;1),"Price Bridge Mismatch",""))</f>
        <v/>
      </c>
      <c r="H737" t="str">
        <f t="shared" si="13"/>
        <v>PASS</v>
      </c>
      <c r="I737" s="90">
        <f>[1]DATABASE!T698</f>
        <v>920000</v>
      </c>
      <c r="J737" t="str">
        <f>[1]DATABASE!AC698</f>
        <v>Ana Damásio</v>
      </c>
    </row>
    <row r="738" spans="1:10" ht="13.95" customHeight="1" x14ac:dyDescent="0.3">
      <c r="A738">
        <f>ROW([1]DATABASE!A699)</f>
        <v>699</v>
      </c>
      <c r="B738" t="str">
        <f>[1]DATABASE!AJ699</f>
        <v>Botanica</v>
      </c>
      <c r="C738" t="str">
        <f>[1]DATABASE!C699</f>
        <v>AE</v>
      </c>
      <c r="D738" t="str">
        <f>TRIM([1]DATABASE!Q699)</f>
        <v>AVAILABLE</v>
      </c>
      <c r="E738" s="82" t="str">
        <f>_xlfn.TEXTJOIN("; ",TRUE,IF([1]DATABASE!X699&lt;0,"Negative Discount",""),IF(AND([1]DATABASE!Y699&gt;[1]DATABASE!T699,[1]DATABASE!Y699&gt;0,[1]DATABASE!T699&gt;0),"Sell Price &gt; Current",""),IF(AND(TRIM([1]DATABASE!Q699)="DEED",[1]DATABASE!AA699=""),"Deeded no PSPA Date",""),IF([1]DATABASE!E699="","Missing Typology",""),IF([1]DATABASE!AJ699="","Missing Development",""))</f>
        <v/>
      </c>
      <c r="F738" s="82" t="str">
        <f>_xlfn.TEXTJOIN("; ",TRUE,IF(AND(OR(TRIM([1]DATABASE!Q699)="RESERVED",TRIM([1]DATABASE!Q699)="PRE-RESERVED",TRIM([1]DATABASE!Q699)="PSPA"),[1]DATABASE!AA699=""),"Reserved/PSPA no PSPA Date",""),IF(AND(TRIM([1]DATABASE!Q699)="AVAILABLE",[1]DATABASE!AA699&lt;&gt;""),"Available has PSPA Date",""))</f>
        <v/>
      </c>
      <c r="G738" s="82" t="str">
        <f>_xlfn.TEXTJOIN("; ",TRUE,IF(AND([1]DATABASE!T699&lt;0.8*[1]DATABASE!S699,[1]DATABASE!T699&gt;0,[1]DATABASE!S699&gt;0),"Heavy Price Cut &gt;20%",""),IF(AND(OR(TRIM([1]DATABASE!Q699)="AVAILABLE",TRIM([1]DATABASE!Q699)="UPON REQUEST"),OR([1]DATABASE!T699="",[1]DATABASE!T699=0)),"Active Unit no Price",""),IF(AND(OR(TRIM([1]DATABASE!Q699)="AVAILABLE",TRIM([1]DATABASE!Q699)="RESERVED",TRIM([1]DATABASE!Q699)="PRE-RESERVED",TRIM([1]DATABASE!Q699)="PSPA"),[1]DATABASE!AC699=""),"Active no Owner",""),IF(OR([1]DATABASE!F699="",[1]DATABASE!F699&lt;=0),"Missing/Invalid Area",""),IF(AND([1]DATABASE!T699&gt;0,ABS([1]DATABASE!T699-[1]DATABASE!W699-[1]DATABASE!U699-[1]DATABASE!V699)&gt;1),"Price Bridge Mismatch",""))</f>
        <v/>
      </c>
      <c r="H738" t="str">
        <f t="shared" si="13"/>
        <v>PASS</v>
      </c>
      <c r="I738" s="90">
        <f>[1]DATABASE!T699</f>
        <v>1690000</v>
      </c>
      <c r="J738" t="str">
        <f>[1]DATABASE!AC699</f>
        <v>Ana Damásio</v>
      </c>
    </row>
    <row r="739" spans="1:10" ht="13.95" customHeight="1" x14ac:dyDescent="0.3">
      <c r="A739">
        <f>ROW([1]DATABASE!A700)</f>
        <v>700</v>
      </c>
      <c r="B739" t="str">
        <f>[1]DATABASE!AJ700</f>
        <v>Springs - At the Els</v>
      </c>
      <c r="C739" t="str">
        <f>[1]DATABASE!C700</f>
        <v>AE</v>
      </c>
      <c r="D739" t="str">
        <f>TRIM([1]DATABASE!Q700)</f>
        <v>AVAILABLE</v>
      </c>
      <c r="E739" s="82" t="str">
        <f>_xlfn.TEXTJOIN("; ",TRUE,IF([1]DATABASE!X700&lt;0,"Negative Discount",""),IF(AND([1]DATABASE!Y700&gt;[1]DATABASE!T700,[1]DATABASE!Y700&gt;0,[1]DATABASE!T700&gt;0),"Sell Price &gt; Current",""),IF(AND(TRIM([1]DATABASE!Q700)="DEED",[1]DATABASE!AA700=""),"Deeded no PSPA Date",""),IF([1]DATABASE!E700="","Missing Typology",""),IF([1]DATABASE!AJ700="","Missing Development",""))</f>
        <v/>
      </c>
      <c r="F739" s="82" t="str">
        <f>_xlfn.TEXTJOIN("; ",TRUE,IF(AND(OR(TRIM([1]DATABASE!Q700)="RESERVED",TRIM([1]DATABASE!Q700)="PRE-RESERVED",TRIM([1]DATABASE!Q700)="PSPA"),[1]DATABASE!AA700=""),"Reserved/PSPA no PSPA Date",""),IF(AND(TRIM([1]DATABASE!Q700)="AVAILABLE",[1]DATABASE!AA700&lt;&gt;""),"Available has PSPA Date",""))</f>
        <v/>
      </c>
      <c r="G739" s="82" t="str">
        <f>_xlfn.TEXTJOIN("; ",TRUE,IF(AND([1]DATABASE!T700&lt;0.8*[1]DATABASE!S700,[1]DATABASE!T700&gt;0,[1]DATABASE!S700&gt;0),"Heavy Price Cut &gt;20%",""),IF(AND(OR(TRIM([1]DATABASE!Q700)="AVAILABLE",TRIM([1]DATABASE!Q700)="UPON REQUEST"),OR([1]DATABASE!T700="",[1]DATABASE!T700=0)),"Active Unit no Price",""),IF(AND(OR(TRIM([1]DATABASE!Q700)="AVAILABLE",TRIM([1]DATABASE!Q700)="RESERVED",TRIM([1]DATABASE!Q700)="PRE-RESERVED",TRIM([1]DATABASE!Q700)="PSPA"),[1]DATABASE!AC700=""),"Active no Owner",""),IF(OR([1]DATABASE!F700="",[1]DATABASE!F700&lt;=0),"Missing/Invalid Area",""),IF(AND([1]DATABASE!T700&gt;0,ABS([1]DATABASE!T700-[1]DATABASE!W700-[1]DATABASE!U700-[1]DATABASE!V700)&gt;1),"Price Bridge Mismatch",""))</f>
        <v/>
      </c>
      <c r="H739" t="str">
        <f t="shared" si="13"/>
        <v>PASS</v>
      </c>
      <c r="I739" s="90">
        <f>[1]DATABASE!T700</f>
        <v>1410000</v>
      </c>
      <c r="J739" t="str">
        <f>[1]DATABASE!AC700</f>
        <v>Ana Damásio</v>
      </c>
    </row>
    <row r="740" spans="1:10" ht="13.95" customHeight="1" x14ac:dyDescent="0.3">
      <c r="A740">
        <f>ROW([1]DATABASE!A701)</f>
        <v>701</v>
      </c>
      <c r="B740" t="str">
        <f>[1]DATABASE!AJ701</f>
        <v>Zestia</v>
      </c>
      <c r="C740" t="str">
        <f>[1]DATABASE!C701</f>
        <v>AE</v>
      </c>
      <c r="D740" t="str">
        <f>TRIM([1]DATABASE!Q701)</f>
        <v>AVAILABLE</v>
      </c>
      <c r="E740" s="82" t="str">
        <f>_xlfn.TEXTJOIN("; ",TRUE,IF([1]DATABASE!X701&lt;0,"Negative Discount",""),IF(AND([1]DATABASE!Y701&gt;[1]DATABASE!T701,[1]DATABASE!Y701&gt;0,[1]DATABASE!T701&gt;0),"Sell Price &gt; Current",""),IF(AND(TRIM([1]DATABASE!Q701)="DEED",[1]DATABASE!AA701=""),"Deeded no PSPA Date",""),IF([1]DATABASE!E701="","Missing Typology",""),IF([1]DATABASE!AJ701="","Missing Development",""))</f>
        <v/>
      </c>
      <c r="F740" s="82" t="str">
        <f>_xlfn.TEXTJOIN("; ",TRUE,IF(AND(OR(TRIM([1]DATABASE!Q701)="RESERVED",TRIM([1]DATABASE!Q701)="PRE-RESERVED",TRIM([1]DATABASE!Q701)="PSPA"),[1]DATABASE!AA701=""),"Reserved/PSPA no PSPA Date",""),IF(AND(TRIM([1]DATABASE!Q701)="AVAILABLE",[1]DATABASE!AA701&lt;&gt;""),"Available has PSPA Date",""))</f>
        <v/>
      </c>
      <c r="G740" s="82" t="str">
        <f>_xlfn.TEXTJOIN("; ",TRUE,IF(AND([1]DATABASE!T701&lt;0.8*[1]DATABASE!S701,[1]DATABASE!T701&gt;0,[1]DATABASE!S701&gt;0),"Heavy Price Cut &gt;20%",""),IF(AND(OR(TRIM([1]DATABASE!Q701)="AVAILABLE",TRIM([1]DATABASE!Q701)="UPON REQUEST"),OR([1]DATABASE!T701="",[1]DATABASE!T701=0)),"Active Unit no Price",""),IF(AND(OR(TRIM([1]DATABASE!Q701)="AVAILABLE",TRIM([1]DATABASE!Q701)="RESERVED",TRIM([1]DATABASE!Q701)="PRE-RESERVED",TRIM([1]DATABASE!Q701)="PSPA"),[1]DATABASE!AC701=""),"Active no Owner",""),IF(OR([1]DATABASE!F701="",[1]DATABASE!F701&lt;=0),"Missing/Invalid Area",""),IF(AND([1]DATABASE!T701&gt;0,ABS([1]DATABASE!T701-[1]DATABASE!W701-[1]DATABASE!U701-[1]DATABASE!V701)&gt;1),"Price Bridge Mismatch",""))</f>
        <v/>
      </c>
      <c r="H740" t="str">
        <f t="shared" si="13"/>
        <v>PASS</v>
      </c>
      <c r="I740" s="90">
        <f>[1]DATABASE!T701</f>
        <v>820000</v>
      </c>
      <c r="J740" t="str">
        <f>[1]DATABASE!AC701</f>
        <v>Ana Damásio</v>
      </c>
    </row>
    <row r="741" spans="1:10" ht="13.95" customHeight="1" x14ac:dyDescent="0.3">
      <c r="A741">
        <f>ROW([1]DATABASE!A702)</f>
        <v>702</v>
      </c>
      <c r="B741" t="str">
        <f>[1]DATABASE!AJ702</f>
        <v>Nobilus</v>
      </c>
      <c r="C741" t="str">
        <f>[1]DATABASE!C702</f>
        <v>AF</v>
      </c>
      <c r="D741" t="str">
        <f>TRIM([1]DATABASE!Q702)</f>
        <v>AVAILABLE</v>
      </c>
      <c r="E741" s="82" t="str">
        <f>_xlfn.TEXTJOIN("; ",TRUE,IF([1]DATABASE!X702&lt;0,"Negative Discount",""),IF(AND([1]DATABASE!Y702&gt;[1]DATABASE!T702,[1]DATABASE!Y702&gt;0,[1]DATABASE!T702&gt;0),"Sell Price &gt; Current",""),IF(AND(TRIM([1]DATABASE!Q702)="DEED",[1]DATABASE!AA702=""),"Deeded no PSPA Date",""),IF([1]DATABASE!E702="","Missing Typology",""),IF([1]DATABASE!AJ702="","Missing Development",""))</f>
        <v/>
      </c>
      <c r="F741" s="82" t="str">
        <f>_xlfn.TEXTJOIN("; ",TRUE,IF(AND(OR(TRIM([1]DATABASE!Q702)="RESERVED",TRIM([1]DATABASE!Q702)="PRE-RESERVED",TRIM([1]DATABASE!Q702)="PSPA"),[1]DATABASE!AA702=""),"Reserved/PSPA no PSPA Date",""),IF(AND(TRIM([1]DATABASE!Q702)="AVAILABLE",[1]DATABASE!AA702&lt;&gt;""),"Available has PSPA Date",""))</f>
        <v>Available has PSPA Date</v>
      </c>
      <c r="G741" s="82" t="str">
        <f>_xlfn.TEXTJOIN("; ",TRUE,IF(AND([1]DATABASE!T702&lt;0.8*[1]DATABASE!S702,[1]DATABASE!T702&gt;0,[1]DATABASE!S702&gt;0),"Heavy Price Cut &gt;20%",""),IF(AND(OR(TRIM([1]DATABASE!Q702)="AVAILABLE",TRIM([1]DATABASE!Q702)="UPON REQUEST"),OR([1]DATABASE!T702="",[1]DATABASE!T702=0)),"Active Unit no Price",""),IF(AND(OR(TRIM([1]DATABASE!Q702)="AVAILABLE",TRIM([1]DATABASE!Q702)="RESERVED",TRIM([1]DATABASE!Q702)="PRE-RESERVED",TRIM([1]DATABASE!Q702)="PSPA"),[1]DATABASE!AC702=""),"Active no Owner",""),IF(OR([1]DATABASE!F702="",[1]DATABASE!F702&lt;=0),"Missing/Invalid Area",""),IF(AND([1]DATABASE!T702&gt;0,ABS([1]DATABASE!T702-[1]DATABASE!W702-[1]DATABASE!U702-[1]DATABASE!V702)&gt;1),"Price Bridge Mismatch",""))</f>
        <v/>
      </c>
      <c r="H741" t="str">
        <f t="shared" si="13"/>
        <v>REVIEW</v>
      </c>
      <c r="I741" s="90">
        <f>[1]DATABASE!T702</f>
        <v>710000</v>
      </c>
      <c r="J741" t="str">
        <f>[1]DATABASE!AC702</f>
        <v>Ana Damásio</v>
      </c>
    </row>
    <row r="742" spans="1:10" ht="13.95" customHeight="1" x14ac:dyDescent="0.3">
      <c r="A742">
        <f>ROW([1]DATABASE!A703)</f>
        <v>703</v>
      </c>
      <c r="B742" t="str">
        <f>[1]DATABASE!AJ703</f>
        <v>Springs - At the Els</v>
      </c>
      <c r="C742" t="str">
        <f>[1]DATABASE!C703</f>
        <v>AF</v>
      </c>
      <c r="D742" t="str">
        <f>TRIM([1]DATABASE!Q703)</f>
        <v>AVAILABLE</v>
      </c>
      <c r="E742" s="82" t="str">
        <f>_xlfn.TEXTJOIN("; ",TRUE,IF([1]DATABASE!X703&lt;0,"Negative Discount",""),IF(AND([1]DATABASE!Y703&gt;[1]DATABASE!T703,[1]DATABASE!Y703&gt;0,[1]DATABASE!T703&gt;0),"Sell Price &gt; Current",""),IF(AND(TRIM([1]DATABASE!Q703)="DEED",[1]DATABASE!AA703=""),"Deeded no PSPA Date",""),IF([1]DATABASE!E703="","Missing Typology",""),IF([1]DATABASE!AJ703="","Missing Development",""))</f>
        <v/>
      </c>
      <c r="F742" s="82" t="str">
        <f>_xlfn.TEXTJOIN("; ",TRUE,IF(AND(OR(TRIM([1]DATABASE!Q703)="RESERVED",TRIM([1]DATABASE!Q703)="PRE-RESERVED",TRIM([1]DATABASE!Q703)="PSPA"),[1]DATABASE!AA703=""),"Reserved/PSPA no PSPA Date",""),IF(AND(TRIM([1]DATABASE!Q703)="AVAILABLE",[1]DATABASE!AA703&lt;&gt;""),"Available has PSPA Date",""))</f>
        <v>Available has PSPA Date</v>
      </c>
      <c r="G742" s="82" t="str">
        <f>_xlfn.TEXTJOIN("; ",TRUE,IF(AND([1]DATABASE!T703&lt;0.8*[1]DATABASE!S703,[1]DATABASE!T703&gt;0,[1]DATABASE!S703&gt;0),"Heavy Price Cut &gt;20%",""),IF(AND(OR(TRIM([1]DATABASE!Q703)="AVAILABLE",TRIM([1]DATABASE!Q703)="UPON REQUEST"),OR([1]DATABASE!T703="",[1]DATABASE!T703=0)),"Active Unit no Price",""),IF(AND(OR(TRIM([1]DATABASE!Q703)="AVAILABLE",TRIM([1]DATABASE!Q703)="RESERVED",TRIM([1]DATABASE!Q703)="PRE-RESERVED",TRIM([1]DATABASE!Q703)="PSPA"),[1]DATABASE!AC703=""),"Active no Owner",""),IF(OR([1]DATABASE!F703="",[1]DATABASE!F703&lt;=0),"Missing/Invalid Area",""),IF(AND([1]DATABASE!T703&gt;0,ABS([1]DATABASE!T703-[1]DATABASE!W703-[1]DATABASE!U703-[1]DATABASE!V703)&gt;1),"Price Bridge Mismatch",""))</f>
        <v/>
      </c>
      <c r="H742" t="str">
        <f t="shared" si="13"/>
        <v>REVIEW</v>
      </c>
      <c r="I742" s="90">
        <f>[1]DATABASE!T703</f>
        <v>1430000</v>
      </c>
      <c r="J742" t="str">
        <f>[1]DATABASE!AC703</f>
        <v>Ana Damásio</v>
      </c>
    </row>
    <row r="743" spans="1:10" ht="13.95" customHeight="1" x14ac:dyDescent="0.3">
      <c r="A743">
        <f>ROW([1]DATABASE!A704)</f>
        <v>704</v>
      </c>
      <c r="B743" t="str">
        <f>[1]DATABASE!AJ704</f>
        <v>Zestia</v>
      </c>
      <c r="C743" t="str">
        <f>[1]DATABASE!C704</f>
        <v>AF</v>
      </c>
      <c r="D743" t="str">
        <f>TRIM([1]DATABASE!Q704)</f>
        <v>AVAILABLE</v>
      </c>
      <c r="E743" s="82" t="str">
        <f>_xlfn.TEXTJOIN("; ",TRUE,IF([1]DATABASE!X704&lt;0,"Negative Discount",""),IF(AND([1]DATABASE!Y704&gt;[1]DATABASE!T704,[1]DATABASE!Y704&gt;0,[1]DATABASE!T704&gt;0),"Sell Price &gt; Current",""),IF(AND(TRIM([1]DATABASE!Q704)="DEED",[1]DATABASE!AA704=""),"Deeded no PSPA Date",""),IF([1]DATABASE!E704="","Missing Typology",""),IF([1]DATABASE!AJ704="","Missing Development",""))</f>
        <v/>
      </c>
      <c r="F743" s="82" t="str">
        <f>_xlfn.TEXTJOIN("; ",TRUE,IF(AND(OR(TRIM([1]DATABASE!Q704)="RESERVED",TRIM([1]DATABASE!Q704)="PRE-RESERVED",TRIM([1]DATABASE!Q704)="PSPA"),[1]DATABASE!AA704=""),"Reserved/PSPA no PSPA Date",""),IF(AND(TRIM([1]DATABASE!Q704)="AVAILABLE",[1]DATABASE!AA704&lt;&gt;""),"Available has PSPA Date",""))</f>
        <v/>
      </c>
      <c r="G743" s="82" t="str">
        <f>_xlfn.TEXTJOIN("; ",TRUE,IF(AND([1]DATABASE!T704&lt;0.8*[1]DATABASE!S704,[1]DATABASE!T704&gt;0,[1]DATABASE!S704&gt;0),"Heavy Price Cut &gt;20%",""),IF(AND(OR(TRIM([1]DATABASE!Q704)="AVAILABLE",TRIM([1]DATABASE!Q704)="UPON REQUEST"),OR([1]DATABASE!T704="",[1]DATABASE!T704=0)),"Active Unit no Price",""),IF(AND(OR(TRIM([1]DATABASE!Q704)="AVAILABLE",TRIM([1]DATABASE!Q704)="RESERVED",TRIM([1]DATABASE!Q704)="PRE-RESERVED",TRIM([1]DATABASE!Q704)="PSPA"),[1]DATABASE!AC704=""),"Active no Owner",""),IF(OR([1]DATABASE!F704="",[1]DATABASE!F704&lt;=0),"Missing/Invalid Area",""),IF(AND([1]DATABASE!T704&gt;0,ABS([1]DATABASE!T704-[1]DATABASE!W704-[1]DATABASE!U704-[1]DATABASE!V704)&gt;1),"Price Bridge Mismatch",""))</f>
        <v/>
      </c>
      <c r="H743" t="str">
        <f t="shared" si="13"/>
        <v>PASS</v>
      </c>
      <c r="I743" s="90">
        <f>[1]DATABASE!T704</f>
        <v>1120000</v>
      </c>
      <c r="J743" t="str">
        <f>[1]DATABASE!AC704</f>
        <v>Ana Damásio</v>
      </c>
    </row>
    <row r="744" spans="1:10" ht="13.95" customHeight="1" x14ac:dyDescent="0.3">
      <c r="A744">
        <f>ROW([1]DATABASE!A705)</f>
        <v>705</v>
      </c>
      <c r="B744" t="str">
        <f>[1]DATABASE!AJ705</f>
        <v>Nobilus</v>
      </c>
      <c r="C744" t="str">
        <f>[1]DATABASE!C705</f>
        <v>AG</v>
      </c>
      <c r="D744" t="str">
        <f>TRIM([1]DATABASE!Q705)</f>
        <v>AVAILABLE</v>
      </c>
      <c r="E744" s="82" t="str">
        <f>_xlfn.TEXTJOIN("; ",TRUE,IF([1]DATABASE!X705&lt;0,"Negative Discount",""),IF(AND([1]DATABASE!Y705&gt;[1]DATABASE!T705,[1]DATABASE!Y705&gt;0,[1]DATABASE!T705&gt;0),"Sell Price &gt; Current",""),IF(AND(TRIM([1]DATABASE!Q705)="DEED",[1]DATABASE!AA705=""),"Deeded no PSPA Date",""),IF([1]DATABASE!E705="","Missing Typology",""),IF([1]DATABASE!AJ705="","Missing Development",""))</f>
        <v/>
      </c>
      <c r="F744" s="82" t="str">
        <f>_xlfn.TEXTJOIN("; ",TRUE,IF(AND(OR(TRIM([1]DATABASE!Q705)="RESERVED",TRIM([1]DATABASE!Q705)="PRE-RESERVED",TRIM([1]DATABASE!Q705)="PSPA"),[1]DATABASE!AA705=""),"Reserved/PSPA no PSPA Date",""),IF(AND(TRIM([1]DATABASE!Q705)="AVAILABLE",[1]DATABASE!AA705&lt;&gt;""),"Available has PSPA Date",""))</f>
        <v/>
      </c>
      <c r="G744" s="82" t="str">
        <f>_xlfn.TEXTJOIN("; ",TRUE,IF(AND([1]DATABASE!T705&lt;0.8*[1]DATABASE!S705,[1]DATABASE!T705&gt;0,[1]DATABASE!S705&gt;0),"Heavy Price Cut &gt;20%",""),IF(AND(OR(TRIM([1]DATABASE!Q705)="AVAILABLE",TRIM([1]DATABASE!Q705)="UPON REQUEST"),OR([1]DATABASE!T705="",[1]DATABASE!T705=0)),"Active Unit no Price",""),IF(AND(OR(TRIM([1]DATABASE!Q705)="AVAILABLE",TRIM([1]DATABASE!Q705)="RESERVED",TRIM([1]DATABASE!Q705)="PRE-RESERVED",TRIM([1]DATABASE!Q705)="PSPA"),[1]DATABASE!AC705=""),"Active no Owner",""),IF(OR([1]DATABASE!F705="",[1]DATABASE!F705&lt;=0),"Missing/Invalid Area",""),IF(AND([1]DATABASE!T705&gt;0,ABS([1]DATABASE!T705-[1]DATABASE!W705-[1]DATABASE!U705-[1]DATABASE!V705)&gt;1),"Price Bridge Mismatch",""))</f>
        <v/>
      </c>
      <c r="H744" t="str">
        <f t="shared" si="13"/>
        <v>PASS</v>
      </c>
      <c r="I744" s="90">
        <f>[1]DATABASE!T705</f>
        <v>980000</v>
      </c>
      <c r="J744" t="str">
        <f>[1]DATABASE!AC705</f>
        <v>Ana Damásio</v>
      </c>
    </row>
    <row r="745" spans="1:10" ht="13.95" customHeight="1" x14ac:dyDescent="0.3">
      <c r="A745">
        <f>ROW([1]DATABASE!A706)</f>
        <v>706</v>
      </c>
      <c r="B745" t="str">
        <f>[1]DATABASE!AJ706</f>
        <v>Aroeira Collections</v>
      </c>
      <c r="C745" t="str">
        <f>[1]DATABASE!C706</f>
        <v>240A</v>
      </c>
      <c r="D745" t="str">
        <f>TRIM([1]DATABASE!Q706)</f>
        <v>AVAILABLE</v>
      </c>
      <c r="E745" s="82" t="str">
        <f>_xlfn.TEXTJOIN("; ",TRUE,IF([1]DATABASE!X706&lt;0,"Negative Discount",""),IF(AND([1]DATABASE!Y706&gt;[1]DATABASE!T706,[1]DATABASE!Y706&gt;0,[1]DATABASE!T706&gt;0),"Sell Price &gt; Current",""),IF(AND(TRIM([1]DATABASE!Q706)="DEED",[1]DATABASE!AA706=""),"Deeded no PSPA Date",""),IF([1]DATABASE!E706="","Missing Typology",""),IF([1]DATABASE!AJ706="","Missing Development",""))</f>
        <v/>
      </c>
      <c r="F745" s="82" t="str">
        <f>_xlfn.TEXTJOIN("; ",TRUE,IF(AND(OR(TRIM([1]DATABASE!Q706)="RESERVED",TRIM([1]DATABASE!Q706)="PRE-RESERVED",TRIM([1]DATABASE!Q706)="PSPA"),[1]DATABASE!AA706=""),"Reserved/PSPA no PSPA Date",""),IF(AND(TRIM([1]DATABASE!Q706)="AVAILABLE",[1]DATABASE!AA706&lt;&gt;""),"Available has PSPA Date",""))</f>
        <v/>
      </c>
      <c r="G745" s="82" t="str">
        <f>_xlfn.TEXTJOIN("; ",TRUE,IF(AND([1]DATABASE!T706&lt;0.8*[1]DATABASE!S706,[1]DATABASE!T706&gt;0,[1]DATABASE!S706&gt;0),"Heavy Price Cut &gt;20%",""),IF(AND(OR(TRIM([1]DATABASE!Q706)="AVAILABLE",TRIM([1]DATABASE!Q706)="UPON REQUEST"),OR([1]DATABASE!T706="",[1]DATABASE!T706=0)),"Active Unit no Price",""),IF(AND(OR(TRIM([1]DATABASE!Q706)="AVAILABLE",TRIM([1]DATABASE!Q706)="RESERVED",TRIM([1]DATABASE!Q706)="PRE-RESERVED",TRIM([1]DATABASE!Q706)="PSPA"),[1]DATABASE!AC706=""),"Active no Owner",""),IF(OR([1]DATABASE!F706="",[1]DATABASE!F706&lt;=0),"Missing/Invalid Area",""),IF(AND([1]DATABASE!T706&gt;0,ABS([1]DATABASE!T706-[1]DATABASE!W706-[1]DATABASE!U706-[1]DATABASE!V706)&gt;1),"Price Bridge Mismatch",""))</f>
        <v>Heavy Price Cut &gt;20%</v>
      </c>
      <c r="H745" t="str">
        <f t="shared" si="13"/>
        <v>REVIEW</v>
      </c>
      <c r="I745" s="90">
        <f>[1]DATABASE!T706</f>
        <v>410000</v>
      </c>
      <c r="J745" t="str">
        <f>[1]DATABASE!AC706</f>
        <v>João Gameiro</v>
      </c>
    </row>
    <row r="746" spans="1:10" ht="13.95" customHeight="1" x14ac:dyDescent="0.3">
      <c r="A746">
        <f>ROW([1]DATABASE!A707)</f>
        <v>707</v>
      </c>
      <c r="B746" t="str">
        <f>[1]DATABASE!AJ707</f>
        <v>Aroeira Collections</v>
      </c>
      <c r="C746" t="str">
        <f>[1]DATABASE!C707</f>
        <v>241A</v>
      </c>
      <c r="D746" t="str">
        <f>TRIM([1]DATABASE!Q707)</f>
        <v>AVAILABLE</v>
      </c>
      <c r="E746" s="82" t="str">
        <f>_xlfn.TEXTJOIN("; ",TRUE,IF([1]DATABASE!X707&lt;0,"Negative Discount",""),IF(AND([1]DATABASE!Y707&gt;[1]DATABASE!T707,[1]DATABASE!Y707&gt;0,[1]DATABASE!T707&gt;0),"Sell Price &gt; Current",""),IF(AND(TRIM([1]DATABASE!Q707)="DEED",[1]DATABASE!AA707=""),"Deeded no PSPA Date",""),IF([1]DATABASE!E707="","Missing Typology",""),IF([1]DATABASE!AJ707="","Missing Development",""))</f>
        <v/>
      </c>
      <c r="F746" s="82" t="str">
        <f>_xlfn.TEXTJOIN("; ",TRUE,IF(AND(OR(TRIM([1]DATABASE!Q707)="RESERVED",TRIM([1]DATABASE!Q707)="PRE-RESERVED",TRIM([1]DATABASE!Q707)="PSPA"),[1]DATABASE!AA707=""),"Reserved/PSPA no PSPA Date",""),IF(AND(TRIM([1]DATABASE!Q707)="AVAILABLE",[1]DATABASE!AA707&lt;&gt;""),"Available has PSPA Date",""))</f>
        <v/>
      </c>
      <c r="G746" s="82" t="str">
        <f>_xlfn.TEXTJOIN("; ",TRUE,IF(AND([1]DATABASE!T707&lt;0.8*[1]DATABASE!S707,[1]DATABASE!T707&gt;0,[1]DATABASE!S707&gt;0),"Heavy Price Cut &gt;20%",""),IF(AND(OR(TRIM([1]DATABASE!Q707)="AVAILABLE",TRIM([1]DATABASE!Q707)="UPON REQUEST"),OR([1]DATABASE!T707="",[1]DATABASE!T707=0)),"Active Unit no Price",""),IF(AND(OR(TRIM([1]DATABASE!Q707)="AVAILABLE",TRIM([1]DATABASE!Q707)="RESERVED",TRIM([1]DATABASE!Q707)="PRE-RESERVED",TRIM([1]DATABASE!Q707)="PSPA"),[1]DATABASE!AC707=""),"Active no Owner",""),IF(OR([1]DATABASE!F707="",[1]DATABASE!F707&lt;=0),"Missing/Invalid Area",""),IF(AND([1]DATABASE!T707&gt;0,ABS([1]DATABASE!T707-[1]DATABASE!W707-[1]DATABASE!U707-[1]DATABASE!V707)&gt;1),"Price Bridge Mismatch",""))</f>
        <v>Heavy Price Cut &gt;20%</v>
      </c>
      <c r="H746" t="str">
        <f t="shared" ref="H746:H809" si="14">IF(LEN(E746&amp;F746&amp;G746)&gt;0,"REVIEW","PASS")</f>
        <v>REVIEW</v>
      </c>
      <c r="I746" s="90">
        <f>[1]DATABASE!T707</f>
        <v>410000</v>
      </c>
      <c r="J746" t="str">
        <f>[1]DATABASE!AC707</f>
        <v>João Gameiro</v>
      </c>
    </row>
    <row r="747" spans="1:10" ht="13.95" customHeight="1" x14ac:dyDescent="0.3">
      <c r="A747">
        <f>ROW([1]DATABASE!A708)</f>
        <v>708</v>
      </c>
      <c r="B747" t="str">
        <f>[1]DATABASE!AJ708</f>
        <v>Aroeira Collections</v>
      </c>
      <c r="C747" t="str">
        <f>[1]DATABASE!C708</f>
        <v>242A</v>
      </c>
      <c r="D747" t="str">
        <f>TRIM([1]DATABASE!Q708)</f>
        <v>AVAILABLE</v>
      </c>
      <c r="E747" s="82" t="str">
        <f>_xlfn.TEXTJOIN("; ",TRUE,IF([1]DATABASE!X708&lt;0,"Negative Discount",""),IF(AND([1]DATABASE!Y708&gt;[1]DATABASE!T708,[1]DATABASE!Y708&gt;0,[1]DATABASE!T708&gt;0),"Sell Price &gt; Current",""),IF(AND(TRIM([1]DATABASE!Q708)="DEED",[1]DATABASE!AA708=""),"Deeded no PSPA Date",""),IF([1]DATABASE!E708="","Missing Typology",""),IF([1]DATABASE!AJ708="","Missing Development",""))</f>
        <v/>
      </c>
      <c r="F747" s="82" t="str">
        <f>_xlfn.TEXTJOIN("; ",TRUE,IF(AND(OR(TRIM([1]DATABASE!Q708)="RESERVED",TRIM([1]DATABASE!Q708)="PRE-RESERVED",TRIM([1]DATABASE!Q708)="PSPA"),[1]DATABASE!AA708=""),"Reserved/PSPA no PSPA Date",""),IF(AND(TRIM([1]DATABASE!Q708)="AVAILABLE",[1]DATABASE!AA708&lt;&gt;""),"Available has PSPA Date",""))</f>
        <v/>
      </c>
      <c r="G747" s="82" t="str">
        <f>_xlfn.TEXTJOIN("; ",TRUE,IF(AND([1]DATABASE!T708&lt;0.8*[1]DATABASE!S708,[1]DATABASE!T708&gt;0,[1]DATABASE!S708&gt;0),"Heavy Price Cut &gt;20%",""),IF(AND(OR(TRIM([1]DATABASE!Q708)="AVAILABLE",TRIM([1]DATABASE!Q708)="UPON REQUEST"),OR([1]DATABASE!T708="",[1]DATABASE!T708=0)),"Active Unit no Price",""),IF(AND(OR(TRIM([1]DATABASE!Q708)="AVAILABLE",TRIM([1]DATABASE!Q708)="RESERVED",TRIM([1]DATABASE!Q708)="PRE-RESERVED",TRIM([1]DATABASE!Q708)="PSPA"),[1]DATABASE!AC708=""),"Active no Owner",""),IF(OR([1]DATABASE!F708="",[1]DATABASE!F708&lt;=0),"Missing/Invalid Area",""),IF(AND([1]DATABASE!T708&gt;0,ABS([1]DATABASE!T708-[1]DATABASE!W708-[1]DATABASE!U708-[1]DATABASE!V708)&gt;1),"Price Bridge Mismatch",""))</f>
        <v>Heavy Price Cut &gt;20%</v>
      </c>
      <c r="H747" t="str">
        <f t="shared" si="14"/>
        <v>REVIEW</v>
      </c>
      <c r="I747" s="90">
        <f>[1]DATABASE!T708</f>
        <v>410000</v>
      </c>
      <c r="J747" t="str">
        <f>[1]DATABASE!AC708</f>
        <v>João Gameiro</v>
      </c>
    </row>
    <row r="748" spans="1:10" ht="13.95" customHeight="1" x14ac:dyDescent="0.3">
      <c r="A748">
        <f>ROW([1]DATABASE!A709)</f>
        <v>709</v>
      </c>
      <c r="B748" t="str">
        <f>[1]DATABASE!AJ709</f>
        <v>Aroeira Collections</v>
      </c>
      <c r="C748" t="str">
        <f>[1]DATABASE!C709</f>
        <v>243A</v>
      </c>
      <c r="D748" t="str">
        <f>TRIM([1]DATABASE!Q709)</f>
        <v>AVAILABLE</v>
      </c>
      <c r="E748" s="82" t="str">
        <f>_xlfn.TEXTJOIN("; ",TRUE,IF([1]DATABASE!X709&lt;0,"Negative Discount",""),IF(AND([1]DATABASE!Y709&gt;[1]DATABASE!T709,[1]DATABASE!Y709&gt;0,[1]DATABASE!T709&gt;0),"Sell Price &gt; Current",""),IF(AND(TRIM([1]DATABASE!Q709)="DEED",[1]DATABASE!AA709=""),"Deeded no PSPA Date",""),IF([1]DATABASE!E709="","Missing Typology",""),IF([1]DATABASE!AJ709="","Missing Development",""))</f>
        <v/>
      </c>
      <c r="F748" s="82" t="str">
        <f>_xlfn.TEXTJOIN("; ",TRUE,IF(AND(OR(TRIM([1]DATABASE!Q709)="RESERVED",TRIM([1]DATABASE!Q709)="PRE-RESERVED",TRIM([1]DATABASE!Q709)="PSPA"),[1]DATABASE!AA709=""),"Reserved/PSPA no PSPA Date",""),IF(AND(TRIM([1]DATABASE!Q709)="AVAILABLE",[1]DATABASE!AA709&lt;&gt;""),"Available has PSPA Date",""))</f>
        <v/>
      </c>
      <c r="G748" s="82" t="str">
        <f>_xlfn.TEXTJOIN("; ",TRUE,IF(AND([1]DATABASE!T709&lt;0.8*[1]DATABASE!S709,[1]DATABASE!T709&gt;0,[1]DATABASE!S709&gt;0),"Heavy Price Cut &gt;20%",""),IF(AND(OR(TRIM([1]DATABASE!Q709)="AVAILABLE",TRIM([1]DATABASE!Q709)="UPON REQUEST"),OR([1]DATABASE!T709="",[1]DATABASE!T709=0)),"Active Unit no Price",""),IF(AND(OR(TRIM([1]DATABASE!Q709)="AVAILABLE",TRIM([1]DATABASE!Q709)="RESERVED",TRIM([1]DATABASE!Q709)="PRE-RESERVED",TRIM([1]DATABASE!Q709)="PSPA"),[1]DATABASE!AC709=""),"Active no Owner",""),IF(OR([1]DATABASE!F709="",[1]DATABASE!F709&lt;=0),"Missing/Invalid Area",""),IF(AND([1]DATABASE!T709&gt;0,ABS([1]DATABASE!T709-[1]DATABASE!W709-[1]DATABASE!U709-[1]DATABASE!V709)&gt;1),"Price Bridge Mismatch",""))</f>
        <v>Heavy Price Cut &gt;20%</v>
      </c>
      <c r="H748" t="str">
        <f t="shared" si="14"/>
        <v>REVIEW</v>
      </c>
      <c r="I748" s="90">
        <f>[1]DATABASE!T709</f>
        <v>390000</v>
      </c>
      <c r="J748" t="str">
        <f>[1]DATABASE!AC709</f>
        <v>João Gameiro</v>
      </c>
    </row>
    <row r="749" spans="1:10" ht="13.95" customHeight="1" x14ac:dyDescent="0.3">
      <c r="A749">
        <f>ROW([1]DATABASE!A710)</f>
        <v>710</v>
      </c>
      <c r="B749" t="str">
        <f>[1]DATABASE!AJ710</f>
        <v>Aroeira Collections</v>
      </c>
      <c r="C749" t="str">
        <f>[1]DATABASE!C710</f>
        <v>244A</v>
      </c>
      <c r="D749" t="str">
        <f>TRIM([1]DATABASE!Q710)</f>
        <v>AVAILABLE</v>
      </c>
      <c r="E749" s="82" t="str">
        <f>_xlfn.TEXTJOIN("; ",TRUE,IF([1]DATABASE!X710&lt;0,"Negative Discount",""),IF(AND([1]DATABASE!Y710&gt;[1]DATABASE!T710,[1]DATABASE!Y710&gt;0,[1]DATABASE!T710&gt;0),"Sell Price &gt; Current",""),IF(AND(TRIM([1]DATABASE!Q710)="DEED",[1]DATABASE!AA710=""),"Deeded no PSPA Date",""),IF([1]DATABASE!E710="","Missing Typology",""),IF([1]DATABASE!AJ710="","Missing Development",""))</f>
        <v/>
      </c>
      <c r="F749" s="82" t="str">
        <f>_xlfn.TEXTJOIN("; ",TRUE,IF(AND(OR(TRIM([1]DATABASE!Q710)="RESERVED",TRIM([1]DATABASE!Q710)="PRE-RESERVED",TRIM([1]DATABASE!Q710)="PSPA"),[1]DATABASE!AA710=""),"Reserved/PSPA no PSPA Date",""),IF(AND(TRIM([1]DATABASE!Q710)="AVAILABLE",[1]DATABASE!AA710&lt;&gt;""),"Available has PSPA Date",""))</f>
        <v/>
      </c>
      <c r="G749" s="82" t="str">
        <f>_xlfn.TEXTJOIN("; ",TRUE,IF(AND([1]DATABASE!T710&lt;0.8*[1]DATABASE!S710,[1]DATABASE!T710&gt;0,[1]DATABASE!S710&gt;0),"Heavy Price Cut &gt;20%",""),IF(AND(OR(TRIM([1]DATABASE!Q710)="AVAILABLE",TRIM([1]DATABASE!Q710)="UPON REQUEST"),OR([1]DATABASE!T710="",[1]DATABASE!T710=0)),"Active Unit no Price",""),IF(AND(OR(TRIM([1]DATABASE!Q710)="AVAILABLE",TRIM([1]DATABASE!Q710)="RESERVED",TRIM([1]DATABASE!Q710)="PRE-RESERVED",TRIM([1]DATABASE!Q710)="PSPA"),[1]DATABASE!AC710=""),"Active no Owner",""),IF(OR([1]DATABASE!F710="",[1]DATABASE!F710&lt;=0),"Missing/Invalid Area",""),IF(AND([1]DATABASE!T710&gt;0,ABS([1]DATABASE!T710-[1]DATABASE!W710-[1]DATABASE!U710-[1]DATABASE!V710)&gt;1),"Price Bridge Mismatch",""))</f>
        <v>Heavy Price Cut &gt;20%</v>
      </c>
      <c r="H749" t="str">
        <f t="shared" si="14"/>
        <v>REVIEW</v>
      </c>
      <c r="I749" s="90">
        <f>[1]DATABASE!T710</f>
        <v>390000</v>
      </c>
      <c r="J749" t="str">
        <f>[1]DATABASE!AC710</f>
        <v>João Gameiro</v>
      </c>
    </row>
    <row r="750" spans="1:10" ht="13.95" customHeight="1" x14ac:dyDescent="0.3">
      <c r="A750">
        <f>ROW([1]DATABASE!A711)</f>
        <v>711</v>
      </c>
      <c r="B750" t="str">
        <f>[1]DATABASE!AJ711</f>
        <v>Aroeira Collections</v>
      </c>
      <c r="C750" t="str">
        <f>[1]DATABASE!C711</f>
        <v>245A</v>
      </c>
      <c r="D750" t="str">
        <f>TRIM([1]DATABASE!Q711)</f>
        <v>AVAILABLE</v>
      </c>
      <c r="E750" s="82" t="str">
        <f>_xlfn.TEXTJOIN("; ",TRUE,IF([1]DATABASE!X711&lt;0,"Negative Discount",""),IF(AND([1]DATABASE!Y711&gt;[1]DATABASE!T711,[1]DATABASE!Y711&gt;0,[1]DATABASE!T711&gt;0),"Sell Price &gt; Current",""),IF(AND(TRIM([1]DATABASE!Q711)="DEED",[1]DATABASE!AA711=""),"Deeded no PSPA Date",""),IF([1]DATABASE!E711="","Missing Typology",""),IF([1]DATABASE!AJ711="","Missing Development",""))</f>
        <v/>
      </c>
      <c r="F750" s="82" t="str">
        <f>_xlfn.TEXTJOIN("; ",TRUE,IF(AND(OR(TRIM([1]DATABASE!Q711)="RESERVED",TRIM([1]DATABASE!Q711)="PRE-RESERVED",TRIM([1]DATABASE!Q711)="PSPA"),[1]DATABASE!AA711=""),"Reserved/PSPA no PSPA Date",""),IF(AND(TRIM([1]DATABASE!Q711)="AVAILABLE",[1]DATABASE!AA711&lt;&gt;""),"Available has PSPA Date",""))</f>
        <v/>
      </c>
      <c r="G750" s="82" t="str">
        <f>_xlfn.TEXTJOIN("; ",TRUE,IF(AND([1]DATABASE!T711&lt;0.8*[1]DATABASE!S711,[1]DATABASE!T711&gt;0,[1]DATABASE!S711&gt;0),"Heavy Price Cut &gt;20%",""),IF(AND(OR(TRIM([1]DATABASE!Q711)="AVAILABLE",TRIM([1]DATABASE!Q711)="UPON REQUEST"),OR([1]DATABASE!T711="",[1]DATABASE!T711=0)),"Active Unit no Price",""),IF(AND(OR(TRIM([1]DATABASE!Q711)="AVAILABLE",TRIM([1]DATABASE!Q711)="RESERVED",TRIM([1]DATABASE!Q711)="PRE-RESERVED",TRIM([1]DATABASE!Q711)="PSPA"),[1]DATABASE!AC711=""),"Active no Owner",""),IF(OR([1]DATABASE!F711="",[1]DATABASE!F711&lt;=0),"Missing/Invalid Area",""),IF(AND([1]DATABASE!T711&gt;0,ABS([1]DATABASE!T711-[1]DATABASE!W711-[1]DATABASE!U711-[1]DATABASE!V711)&gt;1),"Price Bridge Mismatch",""))</f>
        <v>Heavy Price Cut &gt;20%</v>
      </c>
      <c r="H750" t="str">
        <f t="shared" si="14"/>
        <v>REVIEW</v>
      </c>
      <c r="I750" s="90">
        <f>[1]DATABASE!T711</f>
        <v>390000</v>
      </c>
      <c r="J750" t="str">
        <f>[1]DATABASE!AC711</f>
        <v>João Gameiro</v>
      </c>
    </row>
    <row r="751" spans="1:10" ht="13.95" customHeight="1" x14ac:dyDescent="0.3">
      <c r="A751">
        <f>ROW([1]DATABASE!A712)</f>
        <v>712</v>
      </c>
      <c r="B751" t="str">
        <f>[1]DATABASE!AJ712</f>
        <v>Rivus</v>
      </c>
      <c r="C751" t="str">
        <f>[1]DATABASE!C712</f>
        <v>AG</v>
      </c>
      <c r="D751" t="str">
        <f>TRIM([1]DATABASE!Q712)</f>
        <v>AVAILABLE</v>
      </c>
      <c r="E751" s="82" t="str">
        <f>_xlfn.TEXTJOIN("; ",TRUE,IF([1]DATABASE!X712&lt;0,"Negative Discount",""),IF(AND([1]DATABASE!Y712&gt;[1]DATABASE!T712,[1]DATABASE!Y712&gt;0,[1]DATABASE!T712&gt;0),"Sell Price &gt; Current",""),IF(AND(TRIM([1]DATABASE!Q712)="DEED",[1]DATABASE!AA712=""),"Deeded no PSPA Date",""),IF([1]DATABASE!E712="","Missing Typology",""),IF([1]DATABASE!AJ712="","Missing Development",""))</f>
        <v/>
      </c>
      <c r="F751" s="82" t="str">
        <f>_xlfn.TEXTJOIN("; ",TRUE,IF(AND(OR(TRIM([1]DATABASE!Q712)="RESERVED",TRIM([1]DATABASE!Q712)="PRE-RESERVED",TRIM([1]DATABASE!Q712)="PSPA"),[1]DATABASE!AA712=""),"Reserved/PSPA no PSPA Date",""),IF(AND(TRIM([1]DATABASE!Q712)="AVAILABLE",[1]DATABASE!AA712&lt;&gt;""),"Available has PSPA Date",""))</f>
        <v/>
      </c>
      <c r="G751" s="82" t="str">
        <f>_xlfn.TEXTJOIN("; ",TRUE,IF(AND([1]DATABASE!T712&lt;0.8*[1]DATABASE!S712,[1]DATABASE!T712&gt;0,[1]DATABASE!S712&gt;0),"Heavy Price Cut &gt;20%",""),IF(AND(OR(TRIM([1]DATABASE!Q712)="AVAILABLE",TRIM([1]DATABASE!Q712)="UPON REQUEST"),OR([1]DATABASE!T712="",[1]DATABASE!T712=0)),"Active Unit no Price",""),IF(AND(OR(TRIM([1]DATABASE!Q712)="AVAILABLE",TRIM([1]DATABASE!Q712)="RESERVED",TRIM([1]DATABASE!Q712)="PRE-RESERVED",TRIM([1]DATABASE!Q712)="PSPA"),[1]DATABASE!AC712=""),"Active no Owner",""),IF(OR([1]DATABASE!F712="",[1]DATABASE!F712&lt;=0),"Missing/Invalid Area",""),IF(AND([1]DATABASE!T712&gt;0,ABS([1]DATABASE!T712-[1]DATABASE!W712-[1]DATABASE!U712-[1]DATABASE!V712)&gt;1),"Price Bridge Mismatch",""))</f>
        <v>Missing/Invalid Area</v>
      </c>
      <c r="H751" t="str">
        <f t="shared" si="14"/>
        <v>REVIEW</v>
      </c>
      <c r="I751" s="90">
        <f>[1]DATABASE!T712</f>
        <v>860000</v>
      </c>
      <c r="J751" t="str">
        <f>[1]DATABASE!AC712</f>
        <v>Ana Damásio</v>
      </c>
    </row>
    <row r="752" spans="1:10" ht="13.95" customHeight="1" x14ac:dyDescent="0.3">
      <c r="A752">
        <f>ROW([1]DATABASE!A713)</f>
        <v>713</v>
      </c>
      <c r="B752" t="str">
        <f>[1]DATABASE!AJ713</f>
        <v>Springs - At the Els</v>
      </c>
      <c r="C752" t="str">
        <f>[1]DATABASE!C713</f>
        <v>AG</v>
      </c>
      <c r="D752" t="str">
        <f>TRIM([1]DATABASE!Q713)</f>
        <v>AVAILABLE</v>
      </c>
      <c r="E752" s="82" t="str">
        <f>_xlfn.TEXTJOIN("; ",TRUE,IF([1]DATABASE!X713&lt;0,"Negative Discount",""),IF(AND([1]DATABASE!Y713&gt;[1]DATABASE!T713,[1]DATABASE!Y713&gt;0,[1]DATABASE!T713&gt;0),"Sell Price &gt; Current",""),IF(AND(TRIM([1]DATABASE!Q713)="DEED",[1]DATABASE!AA713=""),"Deeded no PSPA Date",""),IF([1]DATABASE!E713="","Missing Typology",""),IF([1]DATABASE!AJ713="","Missing Development",""))</f>
        <v/>
      </c>
      <c r="F752" s="82" t="str">
        <f>_xlfn.TEXTJOIN("; ",TRUE,IF(AND(OR(TRIM([1]DATABASE!Q713)="RESERVED",TRIM([1]DATABASE!Q713)="PRE-RESERVED",TRIM([1]DATABASE!Q713)="PSPA"),[1]DATABASE!AA713=""),"Reserved/PSPA no PSPA Date",""),IF(AND(TRIM([1]DATABASE!Q713)="AVAILABLE",[1]DATABASE!AA713&lt;&gt;""),"Available has PSPA Date",""))</f>
        <v/>
      </c>
      <c r="G752" s="82" t="str">
        <f>_xlfn.TEXTJOIN("; ",TRUE,IF(AND([1]DATABASE!T713&lt;0.8*[1]DATABASE!S713,[1]DATABASE!T713&gt;0,[1]DATABASE!S713&gt;0),"Heavy Price Cut &gt;20%",""),IF(AND(OR(TRIM([1]DATABASE!Q713)="AVAILABLE",TRIM([1]DATABASE!Q713)="UPON REQUEST"),OR([1]DATABASE!T713="",[1]DATABASE!T713=0)),"Active Unit no Price",""),IF(AND(OR(TRIM([1]DATABASE!Q713)="AVAILABLE",TRIM([1]DATABASE!Q713)="RESERVED",TRIM([1]DATABASE!Q713)="PRE-RESERVED",TRIM([1]DATABASE!Q713)="PSPA"),[1]DATABASE!AC713=""),"Active no Owner",""),IF(OR([1]DATABASE!F713="",[1]DATABASE!F713&lt;=0),"Missing/Invalid Area",""),IF(AND([1]DATABASE!T713&gt;0,ABS([1]DATABASE!T713-[1]DATABASE!W713-[1]DATABASE!U713-[1]DATABASE!V713)&gt;1),"Price Bridge Mismatch",""))</f>
        <v/>
      </c>
      <c r="H752" t="str">
        <f t="shared" si="14"/>
        <v>PASS</v>
      </c>
      <c r="I752" s="90">
        <f>[1]DATABASE!T713</f>
        <v>1530000</v>
      </c>
      <c r="J752" t="str">
        <f>[1]DATABASE!AC713</f>
        <v>Ana Damásio</v>
      </c>
    </row>
    <row r="753" spans="1:10" ht="13.95" customHeight="1" x14ac:dyDescent="0.3">
      <c r="A753">
        <f>ROW([1]DATABASE!A714)</f>
        <v>714</v>
      </c>
      <c r="B753" t="str">
        <f>[1]DATABASE!AJ714</f>
        <v>Palmares</v>
      </c>
      <c r="C753" t="str">
        <f>[1]DATABASE!C714</f>
        <v>817B</v>
      </c>
      <c r="D753" t="str">
        <f>TRIM([1]DATABASE!Q714)</f>
        <v>AVAILABLE</v>
      </c>
      <c r="E753" s="82" t="str">
        <f>_xlfn.TEXTJOIN("; ",TRUE,IF([1]DATABASE!X714&lt;0,"Negative Discount",""),IF(AND([1]DATABASE!Y714&gt;[1]DATABASE!T714,[1]DATABASE!Y714&gt;0,[1]DATABASE!T714&gt;0),"Sell Price &gt; Current",""),IF(AND(TRIM([1]DATABASE!Q714)="DEED",[1]DATABASE!AA714=""),"Deeded no PSPA Date",""),IF([1]DATABASE!E714="","Missing Typology",""),IF([1]DATABASE!AJ714="","Missing Development",""))</f>
        <v/>
      </c>
      <c r="F753" s="82" t="str">
        <f>_xlfn.TEXTJOIN("; ",TRUE,IF(AND(OR(TRIM([1]DATABASE!Q714)="RESERVED",TRIM([1]DATABASE!Q714)="PRE-RESERVED",TRIM([1]DATABASE!Q714)="PSPA"),[1]DATABASE!AA714=""),"Reserved/PSPA no PSPA Date",""),IF(AND(TRIM([1]DATABASE!Q714)="AVAILABLE",[1]DATABASE!AA714&lt;&gt;""),"Available has PSPA Date",""))</f>
        <v/>
      </c>
      <c r="G753" s="82" t="str">
        <f>_xlfn.TEXTJOIN("; ",TRUE,IF(AND([1]DATABASE!T714&lt;0.8*[1]DATABASE!S714,[1]DATABASE!T714&gt;0,[1]DATABASE!S714&gt;0),"Heavy Price Cut &gt;20%",""),IF(AND(OR(TRIM([1]DATABASE!Q714)="AVAILABLE",TRIM([1]DATABASE!Q714)="UPON REQUEST"),OR([1]DATABASE!T714="",[1]DATABASE!T714=0)),"Active Unit no Price",""),IF(AND(OR(TRIM([1]DATABASE!Q714)="AVAILABLE",TRIM([1]DATABASE!Q714)="RESERVED",TRIM([1]DATABASE!Q714)="PRE-RESERVED",TRIM([1]DATABASE!Q714)="PSPA"),[1]DATABASE!AC714=""),"Active no Owner",""),IF(OR([1]DATABASE!F714="",[1]DATABASE!F714&lt;=0),"Missing/Invalid Area",""),IF(AND([1]DATABASE!T714&gt;0,ABS([1]DATABASE!T714-[1]DATABASE!W714-[1]DATABASE!U714-[1]DATABASE!V714)&gt;1),"Price Bridge Mismatch",""))</f>
        <v>Active no Owner</v>
      </c>
      <c r="H753" t="str">
        <f t="shared" si="14"/>
        <v>REVIEW</v>
      </c>
      <c r="I753" s="90">
        <f>[1]DATABASE!T714</f>
        <v>690000</v>
      </c>
      <c r="J753">
        <f>[1]DATABASE!AC714</f>
        <v>0</v>
      </c>
    </row>
    <row r="754" spans="1:10" ht="13.95" customHeight="1" x14ac:dyDescent="0.3">
      <c r="A754">
        <f>ROW([1]DATABASE!A715)</f>
        <v>715</v>
      </c>
      <c r="B754" t="str">
        <f>[1]DATABASE!AJ715</f>
        <v>Aroeira Collections</v>
      </c>
      <c r="C754" t="str">
        <f>[1]DATABASE!C715</f>
        <v>246A</v>
      </c>
      <c r="D754" t="str">
        <f>TRIM([1]DATABASE!Q715)</f>
        <v>AVAILABLE</v>
      </c>
      <c r="E754" s="82" t="str">
        <f>_xlfn.TEXTJOIN("; ",TRUE,IF([1]DATABASE!X715&lt;0,"Negative Discount",""),IF(AND([1]DATABASE!Y715&gt;[1]DATABASE!T715,[1]DATABASE!Y715&gt;0,[1]DATABASE!T715&gt;0),"Sell Price &gt; Current",""),IF(AND(TRIM([1]DATABASE!Q715)="DEED",[1]DATABASE!AA715=""),"Deeded no PSPA Date",""),IF([1]DATABASE!E715="","Missing Typology",""),IF([1]DATABASE!AJ715="","Missing Development",""))</f>
        <v/>
      </c>
      <c r="F754" s="82" t="str">
        <f>_xlfn.TEXTJOIN("; ",TRUE,IF(AND(OR(TRIM([1]DATABASE!Q715)="RESERVED",TRIM([1]DATABASE!Q715)="PRE-RESERVED",TRIM([1]DATABASE!Q715)="PSPA"),[1]DATABASE!AA715=""),"Reserved/PSPA no PSPA Date",""),IF(AND(TRIM([1]DATABASE!Q715)="AVAILABLE",[1]DATABASE!AA715&lt;&gt;""),"Available has PSPA Date",""))</f>
        <v/>
      </c>
      <c r="G754" s="82" t="str">
        <f>_xlfn.TEXTJOIN("; ",TRUE,IF(AND([1]DATABASE!T715&lt;0.8*[1]DATABASE!S715,[1]DATABASE!T715&gt;0,[1]DATABASE!S715&gt;0),"Heavy Price Cut &gt;20%",""),IF(AND(OR(TRIM([1]DATABASE!Q715)="AVAILABLE",TRIM([1]DATABASE!Q715)="UPON REQUEST"),OR([1]DATABASE!T715="",[1]DATABASE!T715=0)),"Active Unit no Price",""),IF(AND(OR(TRIM([1]DATABASE!Q715)="AVAILABLE",TRIM([1]DATABASE!Q715)="RESERVED",TRIM([1]DATABASE!Q715)="PRE-RESERVED",TRIM([1]DATABASE!Q715)="PSPA"),[1]DATABASE!AC715=""),"Active no Owner",""),IF(OR([1]DATABASE!F715="",[1]DATABASE!F715&lt;=0),"Missing/Invalid Area",""),IF(AND([1]DATABASE!T715&gt;0,ABS([1]DATABASE!T715-[1]DATABASE!W715-[1]DATABASE!U715-[1]DATABASE!V715)&gt;1),"Price Bridge Mismatch",""))</f>
        <v>Heavy Price Cut &gt;20%</v>
      </c>
      <c r="H754" t="str">
        <f t="shared" si="14"/>
        <v>REVIEW</v>
      </c>
      <c r="I754" s="90">
        <f>[1]DATABASE!T715</f>
        <v>390000</v>
      </c>
      <c r="J754" t="str">
        <f>[1]DATABASE!AC715</f>
        <v>João Gameiro</v>
      </c>
    </row>
    <row r="755" spans="1:10" ht="13.95" customHeight="1" x14ac:dyDescent="0.3">
      <c r="A755">
        <f>ROW([1]DATABASE!A716)</f>
        <v>716</v>
      </c>
      <c r="B755" t="str">
        <f>[1]DATABASE!AJ716</f>
        <v>Aroeira Collections</v>
      </c>
      <c r="C755" t="str">
        <f>[1]DATABASE!C716</f>
        <v>24C</v>
      </c>
      <c r="D755" t="str">
        <f>TRIM([1]DATABASE!Q716)</f>
        <v>AVAILABLE</v>
      </c>
      <c r="E755" s="82" t="str">
        <f>_xlfn.TEXTJOIN("; ",TRUE,IF([1]DATABASE!X716&lt;0,"Negative Discount",""),IF(AND([1]DATABASE!Y716&gt;[1]DATABASE!T716,[1]DATABASE!Y716&gt;0,[1]DATABASE!T716&gt;0),"Sell Price &gt; Current",""),IF(AND(TRIM([1]DATABASE!Q716)="DEED",[1]DATABASE!AA716=""),"Deeded no PSPA Date",""),IF([1]DATABASE!E716="","Missing Typology",""),IF([1]DATABASE!AJ716="","Missing Development",""))</f>
        <v/>
      </c>
      <c r="F755" s="82" t="str">
        <f>_xlfn.TEXTJOIN("; ",TRUE,IF(AND(OR(TRIM([1]DATABASE!Q716)="RESERVED",TRIM([1]DATABASE!Q716)="PRE-RESERVED",TRIM([1]DATABASE!Q716)="PSPA"),[1]DATABASE!AA716=""),"Reserved/PSPA no PSPA Date",""),IF(AND(TRIM([1]DATABASE!Q716)="AVAILABLE",[1]DATABASE!AA716&lt;&gt;""),"Available has PSPA Date",""))</f>
        <v/>
      </c>
      <c r="G755" s="82" t="str">
        <f>_xlfn.TEXTJOIN("; ",TRUE,IF(AND([1]DATABASE!T716&lt;0.8*[1]DATABASE!S716,[1]DATABASE!T716&gt;0,[1]DATABASE!S716&gt;0),"Heavy Price Cut &gt;20%",""),IF(AND(OR(TRIM([1]DATABASE!Q716)="AVAILABLE",TRIM([1]DATABASE!Q716)="UPON REQUEST"),OR([1]DATABASE!T716="",[1]DATABASE!T716=0)),"Active Unit no Price",""),IF(AND(OR(TRIM([1]DATABASE!Q716)="AVAILABLE",TRIM([1]DATABASE!Q716)="RESERVED",TRIM([1]DATABASE!Q716)="PRE-RESERVED",TRIM([1]DATABASE!Q716)="PSPA"),[1]DATABASE!AC716=""),"Active no Owner",""),IF(OR([1]DATABASE!F716="",[1]DATABASE!F716&lt;=0),"Missing/Invalid Area",""),IF(AND([1]DATABASE!T716&gt;0,ABS([1]DATABASE!T716-[1]DATABASE!W716-[1]DATABASE!U716-[1]DATABASE!V716)&gt;1),"Price Bridge Mismatch",""))</f>
        <v/>
      </c>
      <c r="H755" t="str">
        <f t="shared" si="14"/>
        <v>PASS</v>
      </c>
      <c r="I755" s="90">
        <f>[1]DATABASE!T716</f>
        <v>1600000</v>
      </c>
      <c r="J755" t="str">
        <f>[1]DATABASE!AC716</f>
        <v>João Gameiro</v>
      </c>
    </row>
    <row r="756" spans="1:10" ht="13.95" customHeight="1" x14ac:dyDescent="0.3">
      <c r="A756">
        <f>ROW([1]DATABASE!A717)</f>
        <v>717</v>
      </c>
      <c r="B756" t="str">
        <f>[1]DATABASE!AJ717</f>
        <v>Aroeira Collections</v>
      </c>
      <c r="C756" t="str">
        <f>[1]DATABASE!C717</f>
        <v>25C</v>
      </c>
      <c r="D756" t="str">
        <f>TRIM([1]DATABASE!Q717)</f>
        <v>AVAILABLE</v>
      </c>
      <c r="E756" s="82" t="str">
        <f>_xlfn.TEXTJOIN("; ",TRUE,IF([1]DATABASE!X717&lt;0,"Negative Discount",""),IF(AND([1]DATABASE!Y717&gt;[1]DATABASE!T717,[1]DATABASE!Y717&gt;0,[1]DATABASE!T717&gt;0),"Sell Price &gt; Current",""),IF(AND(TRIM([1]DATABASE!Q717)="DEED",[1]DATABASE!AA717=""),"Deeded no PSPA Date",""),IF([1]DATABASE!E717="","Missing Typology",""),IF([1]DATABASE!AJ717="","Missing Development",""))</f>
        <v/>
      </c>
      <c r="F756" s="82" t="str">
        <f>_xlfn.TEXTJOIN("; ",TRUE,IF(AND(OR(TRIM([1]DATABASE!Q717)="RESERVED",TRIM([1]DATABASE!Q717)="PRE-RESERVED",TRIM([1]DATABASE!Q717)="PSPA"),[1]DATABASE!AA717=""),"Reserved/PSPA no PSPA Date",""),IF(AND(TRIM([1]DATABASE!Q717)="AVAILABLE",[1]DATABASE!AA717&lt;&gt;""),"Available has PSPA Date",""))</f>
        <v/>
      </c>
      <c r="G756" s="82" t="str">
        <f>_xlfn.TEXTJOIN("; ",TRUE,IF(AND([1]DATABASE!T717&lt;0.8*[1]DATABASE!S717,[1]DATABASE!T717&gt;0,[1]DATABASE!S717&gt;0),"Heavy Price Cut &gt;20%",""),IF(AND(OR(TRIM([1]DATABASE!Q717)="AVAILABLE",TRIM([1]DATABASE!Q717)="UPON REQUEST"),OR([1]DATABASE!T717="",[1]DATABASE!T717=0)),"Active Unit no Price",""),IF(AND(OR(TRIM([1]DATABASE!Q717)="AVAILABLE",TRIM([1]DATABASE!Q717)="RESERVED",TRIM([1]DATABASE!Q717)="PRE-RESERVED",TRIM([1]DATABASE!Q717)="PSPA"),[1]DATABASE!AC717=""),"Active no Owner",""),IF(OR([1]DATABASE!F717="",[1]DATABASE!F717&lt;=0),"Missing/Invalid Area",""),IF(AND([1]DATABASE!T717&gt;0,ABS([1]DATABASE!T717-[1]DATABASE!W717-[1]DATABASE!U717-[1]DATABASE!V717)&gt;1),"Price Bridge Mismatch",""))</f>
        <v/>
      </c>
      <c r="H756" t="str">
        <f t="shared" si="14"/>
        <v>PASS</v>
      </c>
      <c r="I756" s="90">
        <f>[1]DATABASE!T717</f>
        <v>1620000</v>
      </c>
      <c r="J756" t="str">
        <f>[1]DATABASE!AC717</f>
        <v>João Gameiro</v>
      </c>
    </row>
    <row r="757" spans="1:10" ht="13.95" customHeight="1" x14ac:dyDescent="0.3">
      <c r="A757">
        <f>ROW([1]DATABASE!A718)</f>
        <v>718</v>
      </c>
      <c r="B757" t="str">
        <f>[1]DATABASE!AJ718</f>
        <v>Zestia</v>
      </c>
      <c r="C757" t="str">
        <f>[1]DATABASE!C718</f>
        <v>AG</v>
      </c>
      <c r="D757" t="str">
        <f>TRIM([1]DATABASE!Q718)</f>
        <v>AVAILABLE</v>
      </c>
      <c r="E757" s="82" t="str">
        <f>_xlfn.TEXTJOIN("; ",TRUE,IF([1]DATABASE!X718&lt;0,"Negative Discount",""),IF(AND([1]DATABASE!Y718&gt;[1]DATABASE!T718,[1]DATABASE!Y718&gt;0,[1]DATABASE!T718&gt;0),"Sell Price &gt; Current",""),IF(AND(TRIM([1]DATABASE!Q718)="DEED",[1]DATABASE!AA718=""),"Deeded no PSPA Date",""),IF([1]DATABASE!E718="","Missing Typology",""),IF([1]DATABASE!AJ718="","Missing Development",""))</f>
        <v/>
      </c>
      <c r="F757" s="82" t="str">
        <f>_xlfn.TEXTJOIN("; ",TRUE,IF(AND(OR(TRIM([1]DATABASE!Q718)="RESERVED",TRIM([1]DATABASE!Q718)="PRE-RESERVED",TRIM([1]DATABASE!Q718)="PSPA"),[1]DATABASE!AA718=""),"Reserved/PSPA no PSPA Date",""),IF(AND(TRIM([1]DATABASE!Q718)="AVAILABLE",[1]DATABASE!AA718&lt;&gt;""),"Available has PSPA Date",""))</f>
        <v/>
      </c>
      <c r="G757" s="82" t="str">
        <f>_xlfn.TEXTJOIN("; ",TRUE,IF(AND([1]DATABASE!T718&lt;0.8*[1]DATABASE!S718,[1]DATABASE!T718&gt;0,[1]DATABASE!S718&gt;0),"Heavy Price Cut &gt;20%",""),IF(AND(OR(TRIM([1]DATABASE!Q718)="AVAILABLE",TRIM([1]DATABASE!Q718)="UPON REQUEST"),OR([1]DATABASE!T718="",[1]DATABASE!T718=0)),"Active Unit no Price",""),IF(AND(OR(TRIM([1]DATABASE!Q718)="AVAILABLE",TRIM([1]DATABASE!Q718)="RESERVED",TRIM([1]DATABASE!Q718)="PRE-RESERVED",TRIM([1]DATABASE!Q718)="PSPA"),[1]DATABASE!AC718=""),"Active no Owner",""),IF(OR([1]DATABASE!F718="",[1]DATABASE!F718&lt;=0),"Missing/Invalid Area",""),IF(AND([1]DATABASE!T718&gt;0,ABS([1]DATABASE!T718-[1]DATABASE!W718-[1]DATABASE!U718-[1]DATABASE!V718)&gt;1),"Price Bridge Mismatch",""))</f>
        <v/>
      </c>
      <c r="H757" t="str">
        <f t="shared" si="14"/>
        <v>PASS</v>
      </c>
      <c r="I757" s="90">
        <f>[1]DATABASE!T718</f>
        <v>840000</v>
      </c>
      <c r="J757" t="str">
        <f>[1]DATABASE!AC718</f>
        <v>Ana Damásio</v>
      </c>
    </row>
    <row r="758" spans="1:10" ht="13.95" customHeight="1" x14ac:dyDescent="0.3">
      <c r="A758">
        <f>ROW([1]DATABASE!A719)</f>
        <v>719</v>
      </c>
      <c r="B758" t="str">
        <f>[1]DATABASE!AJ719</f>
        <v>Botanica</v>
      </c>
      <c r="C758" t="str">
        <f>[1]DATABASE!C719</f>
        <v>AH</v>
      </c>
      <c r="D758" t="str">
        <f>TRIM([1]DATABASE!Q719)</f>
        <v>AVAILABLE</v>
      </c>
      <c r="E758" s="82" t="str">
        <f>_xlfn.TEXTJOIN("; ",TRUE,IF([1]DATABASE!X719&lt;0,"Negative Discount",""),IF(AND([1]DATABASE!Y719&gt;[1]DATABASE!T719,[1]DATABASE!Y719&gt;0,[1]DATABASE!T719&gt;0),"Sell Price &gt; Current",""),IF(AND(TRIM([1]DATABASE!Q719)="DEED",[1]DATABASE!AA719=""),"Deeded no PSPA Date",""),IF([1]DATABASE!E719="","Missing Typology",""),IF([1]DATABASE!AJ719="","Missing Development",""))</f>
        <v/>
      </c>
      <c r="F758" s="82" t="str">
        <f>_xlfn.TEXTJOIN("; ",TRUE,IF(AND(OR(TRIM([1]DATABASE!Q719)="RESERVED",TRIM([1]DATABASE!Q719)="PRE-RESERVED",TRIM([1]DATABASE!Q719)="PSPA"),[1]DATABASE!AA719=""),"Reserved/PSPA no PSPA Date",""),IF(AND(TRIM([1]DATABASE!Q719)="AVAILABLE",[1]DATABASE!AA719&lt;&gt;""),"Available has PSPA Date",""))</f>
        <v/>
      </c>
      <c r="G758" s="82" t="str">
        <f>_xlfn.TEXTJOIN("; ",TRUE,IF(AND([1]DATABASE!T719&lt;0.8*[1]DATABASE!S719,[1]DATABASE!T719&gt;0,[1]DATABASE!S719&gt;0),"Heavy Price Cut &gt;20%",""),IF(AND(OR(TRIM([1]DATABASE!Q719)="AVAILABLE",TRIM([1]DATABASE!Q719)="UPON REQUEST"),OR([1]DATABASE!T719="",[1]DATABASE!T719=0)),"Active Unit no Price",""),IF(AND(OR(TRIM([1]DATABASE!Q719)="AVAILABLE",TRIM([1]DATABASE!Q719)="RESERVED",TRIM([1]DATABASE!Q719)="PRE-RESERVED",TRIM([1]DATABASE!Q719)="PSPA"),[1]DATABASE!AC719=""),"Active no Owner",""),IF(OR([1]DATABASE!F719="",[1]DATABASE!F719&lt;=0),"Missing/Invalid Area",""),IF(AND([1]DATABASE!T719&gt;0,ABS([1]DATABASE!T719-[1]DATABASE!W719-[1]DATABASE!U719-[1]DATABASE!V719)&gt;1),"Price Bridge Mismatch",""))</f>
        <v/>
      </c>
      <c r="H758" t="str">
        <f t="shared" si="14"/>
        <v>PASS</v>
      </c>
      <c r="I758" s="90">
        <f>[1]DATABASE!T719</f>
        <v>950000</v>
      </c>
      <c r="J758" t="str">
        <f>[1]DATABASE!AC719</f>
        <v>Ana Damásio</v>
      </c>
    </row>
    <row r="759" spans="1:10" ht="13.95" customHeight="1" x14ac:dyDescent="0.3">
      <c r="A759">
        <f>ROW([1]DATABASE!A720)</f>
        <v>720</v>
      </c>
      <c r="B759" t="str">
        <f>[1]DATABASE!AJ720</f>
        <v>Nobilus</v>
      </c>
      <c r="C759" t="str">
        <f>[1]DATABASE!C720</f>
        <v>AH</v>
      </c>
      <c r="D759" t="str">
        <f>TRIM([1]DATABASE!Q720)</f>
        <v>AVAILABLE</v>
      </c>
      <c r="E759" s="82" t="str">
        <f>_xlfn.TEXTJOIN("; ",TRUE,IF([1]DATABASE!X720&lt;0,"Negative Discount",""),IF(AND([1]DATABASE!Y720&gt;[1]DATABASE!T720,[1]DATABASE!Y720&gt;0,[1]DATABASE!T720&gt;0),"Sell Price &gt; Current",""),IF(AND(TRIM([1]DATABASE!Q720)="DEED",[1]DATABASE!AA720=""),"Deeded no PSPA Date",""),IF([1]DATABASE!E720="","Missing Typology",""),IF([1]DATABASE!AJ720="","Missing Development",""))</f>
        <v/>
      </c>
      <c r="F759" s="82" t="str">
        <f>_xlfn.TEXTJOIN("; ",TRUE,IF(AND(OR(TRIM([1]DATABASE!Q720)="RESERVED",TRIM([1]DATABASE!Q720)="PRE-RESERVED",TRIM([1]DATABASE!Q720)="PSPA"),[1]DATABASE!AA720=""),"Reserved/PSPA no PSPA Date",""),IF(AND(TRIM([1]DATABASE!Q720)="AVAILABLE",[1]DATABASE!AA720&lt;&gt;""),"Available has PSPA Date",""))</f>
        <v/>
      </c>
      <c r="G759" s="82" t="str">
        <f>_xlfn.TEXTJOIN("; ",TRUE,IF(AND([1]DATABASE!T720&lt;0.8*[1]DATABASE!S720,[1]DATABASE!T720&gt;0,[1]DATABASE!S720&gt;0),"Heavy Price Cut &gt;20%",""),IF(AND(OR(TRIM([1]DATABASE!Q720)="AVAILABLE",TRIM([1]DATABASE!Q720)="UPON REQUEST"),OR([1]DATABASE!T720="",[1]DATABASE!T720=0)),"Active Unit no Price",""),IF(AND(OR(TRIM([1]DATABASE!Q720)="AVAILABLE",TRIM([1]DATABASE!Q720)="RESERVED",TRIM([1]DATABASE!Q720)="PRE-RESERVED",TRIM([1]DATABASE!Q720)="PSPA"),[1]DATABASE!AC720=""),"Active no Owner",""),IF(OR([1]DATABASE!F720="",[1]DATABASE!F720&lt;=0),"Missing/Invalid Area",""),IF(AND([1]DATABASE!T720&gt;0,ABS([1]DATABASE!T720-[1]DATABASE!W720-[1]DATABASE!U720-[1]DATABASE!V720)&gt;1),"Price Bridge Mismatch",""))</f>
        <v/>
      </c>
      <c r="H759" t="str">
        <f t="shared" si="14"/>
        <v>PASS</v>
      </c>
      <c r="I759" s="90">
        <f>[1]DATABASE!T720</f>
        <v>1005000</v>
      </c>
      <c r="J759" t="str">
        <f>[1]DATABASE!AC720</f>
        <v>Ana Damásio</v>
      </c>
    </row>
    <row r="760" spans="1:10" ht="13.95" customHeight="1" x14ac:dyDescent="0.3">
      <c r="A760">
        <f>ROW([1]DATABASE!A721)</f>
        <v>721</v>
      </c>
      <c r="B760" t="str">
        <f>[1]DATABASE!AJ721</f>
        <v>Springs - At the Els</v>
      </c>
      <c r="C760" t="str">
        <f>[1]DATABASE!C721</f>
        <v>AH</v>
      </c>
      <c r="D760" t="str">
        <f>TRIM([1]DATABASE!Q721)</f>
        <v>AVAILABLE</v>
      </c>
      <c r="E760" s="82" t="str">
        <f>_xlfn.TEXTJOIN("; ",TRUE,IF([1]DATABASE!X721&lt;0,"Negative Discount",""),IF(AND([1]DATABASE!Y721&gt;[1]DATABASE!T721,[1]DATABASE!Y721&gt;0,[1]DATABASE!T721&gt;0),"Sell Price &gt; Current",""),IF(AND(TRIM([1]DATABASE!Q721)="DEED",[1]DATABASE!AA721=""),"Deeded no PSPA Date",""),IF([1]DATABASE!E721="","Missing Typology",""),IF([1]DATABASE!AJ721="","Missing Development",""))</f>
        <v/>
      </c>
      <c r="F760" s="82" t="str">
        <f>_xlfn.TEXTJOIN("; ",TRUE,IF(AND(OR(TRIM([1]DATABASE!Q721)="RESERVED",TRIM([1]DATABASE!Q721)="PRE-RESERVED",TRIM([1]DATABASE!Q721)="PSPA"),[1]DATABASE!AA721=""),"Reserved/PSPA no PSPA Date",""),IF(AND(TRIM([1]DATABASE!Q721)="AVAILABLE",[1]DATABASE!AA721&lt;&gt;""),"Available has PSPA Date",""))</f>
        <v/>
      </c>
      <c r="G760" s="82" t="str">
        <f>_xlfn.TEXTJOIN("; ",TRUE,IF(AND([1]DATABASE!T721&lt;0.8*[1]DATABASE!S721,[1]DATABASE!T721&gt;0,[1]DATABASE!S721&gt;0),"Heavy Price Cut &gt;20%",""),IF(AND(OR(TRIM([1]DATABASE!Q721)="AVAILABLE",TRIM([1]DATABASE!Q721)="UPON REQUEST"),OR([1]DATABASE!T721="",[1]DATABASE!T721=0)),"Active Unit no Price",""),IF(AND(OR(TRIM([1]DATABASE!Q721)="AVAILABLE",TRIM([1]DATABASE!Q721)="RESERVED",TRIM([1]DATABASE!Q721)="PRE-RESERVED",TRIM([1]DATABASE!Q721)="PSPA"),[1]DATABASE!AC721=""),"Active no Owner",""),IF(OR([1]DATABASE!F721="",[1]DATABASE!F721&lt;=0),"Missing/Invalid Area",""),IF(AND([1]DATABASE!T721&gt;0,ABS([1]DATABASE!T721-[1]DATABASE!W721-[1]DATABASE!U721-[1]DATABASE!V721)&gt;1),"Price Bridge Mismatch",""))</f>
        <v/>
      </c>
      <c r="H760" t="str">
        <f t="shared" si="14"/>
        <v>PASS</v>
      </c>
      <c r="I760" s="90">
        <f>[1]DATABASE!T721</f>
        <v>1730000</v>
      </c>
      <c r="J760" t="str">
        <f>[1]DATABASE!AC721</f>
        <v>Ana Damásio</v>
      </c>
    </row>
    <row r="761" spans="1:10" ht="13.95" customHeight="1" x14ac:dyDescent="0.3">
      <c r="A761">
        <f>ROW([1]DATABASE!A722)</f>
        <v>722</v>
      </c>
      <c r="B761" t="str">
        <f>[1]DATABASE!AJ722</f>
        <v>Aroeira Collections</v>
      </c>
      <c r="C761" t="str">
        <f>[1]DATABASE!C722</f>
        <v>26C</v>
      </c>
      <c r="D761" t="str">
        <f>TRIM([1]DATABASE!Q722)</f>
        <v>AVAILABLE</v>
      </c>
      <c r="E761" s="82" t="str">
        <f>_xlfn.TEXTJOIN("; ",TRUE,IF([1]DATABASE!X722&lt;0,"Negative Discount",""),IF(AND([1]DATABASE!Y722&gt;[1]DATABASE!T722,[1]DATABASE!Y722&gt;0,[1]DATABASE!T722&gt;0),"Sell Price &gt; Current",""),IF(AND(TRIM([1]DATABASE!Q722)="DEED",[1]DATABASE!AA722=""),"Deeded no PSPA Date",""),IF([1]DATABASE!E722="","Missing Typology",""),IF([1]DATABASE!AJ722="","Missing Development",""))</f>
        <v/>
      </c>
      <c r="F761" s="82" t="str">
        <f>_xlfn.TEXTJOIN("; ",TRUE,IF(AND(OR(TRIM([1]DATABASE!Q722)="RESERVED",TRIM([1]DATABASE!Q722)="PRE-RESERVED",TRIM([1]DATABASE!Q722)="PSPA"),[1]DATABASE!AA722=""),"Reserved/PSPA no PSPA Date",""),IF(AND(TRIM([1]DATABASE!Q722)="AVAILABLE",[1]DATABASE!AA722&lt;&gt;""),"Available has PSPA Date",""))</f>
        <v/>
      </c>
      <c r="G761" s="82" t="str">
        <f>_xlfn.TEXTJOIN("; ",TRUE,IF(AND([1]DATABASE!T722&lt;0.8*[1]DATABASE!S722,[1]DATABASE!T722&gt;0,[1]DATABASE!S722&gt;0),"Heavy Price Cut &gt;20%",""),IF(AND(OR(TRIM([1]DATABASE!Q722)="AVAILABLE",TRIM([1]DATABASE!Q722)="UPON REQUEST"),OR([1]DATABASE!T722="",[1]DATABASE!T722=0)),"Active Unit no Price",""),IF(AND(OR(TRIM([1]DATABASE!Q722)="AVAILABLE",TRIM([1]DATABASE!Q722)="RESERVED",TRIM([1]DATABASE!Q722)="PRE-RESERVED",TRIM([1]DATABASE!Q722)="PSPA"),[1]DATABASE!AC722=""),"Active no Owner",""),IF(OR([1]DATABASE!F722="",[1]DATABASE!F722&lt;=0),"Missing/Invalid Area",""),IF(AND([1]DATABASE!T722&gt;0,ABS([1]DATABASE!T722-[1]DATABASE!W722-[1]DATABASE!U722-[1]DATABASE!V722)&gt;1),"Price Bridge Mismatch",""))</f>
        <v/>
      </c>
      <c r="H761" t="str">
        <f t="shared" si="14"/>
        <v>PASS</v>
      </c>
      <c r="I761" s="90">
        <f>[1]DATABASE!T722</f>
        <v>1690000</v>
      </c>
      <c r="J761" t="str">
        <f>[1]DATABASE!AC722</f>
        <v>João Gameiro</v>
      </c>
    </row>
    <row r="762" spans="1:10" ht="13.95" customHeight="1" x14ac:dyDescent="0.3">
      <c r="A762">
        <f>ROW([1]DATABASE!A723)</f>
        <v>723</v>
      </c>
      <c r="B762" t="str">
        <f>[1]DATABASE!AJ723</f>
        <v>Aroeira Collections</v>
      </c>
      <c r="C762" t="str">
        <f>[1]DATABASE!C723</f>
        <v>27C</v>
      </c>
      <c r="D762" t="str">
        <f>TRIM([1]DATABASE!Q723)</f>
        <v>AVAILABLE</v>
      </c>
      <c r="E762" s="82" t="str">
        <f>_xlfn.TEXTJOIN("; ",TRUE,IF([1]DATABASE!X723&lt;0,"Negative Discount",""),IF(AND([1]DATABASE!Y723&gt;[1]DATABASE!T723,[1]DATABASE!Y723&gt;0,[1]DATABASE!T723&gt;0),"Sell Price &gt; Current",""),IF(AND(TRIM([1]DATABASE!Q723)="DEED",[1]DATABASE!AA723=""),"Deeded no PSPA Date",""),IF([1]DATABASE!E723="","Missing Typology",""),IF([1]DATABASE!AJ723="","Missing Development",""))</f>
        <v/>
      </c>
      <c r="F762" s="82" t="str">
        <f>_xlfn.TEXTJOIN("; ",TRUE,IF(AND(OR(TRIM([1]DATABASE!Q723)="RESERVED",TRIM([1]DATABASE!Q723)="PRE-RESERVED",TRIM([1]DATABASE!Q723)="PSPA"),[1]DATABASE!AA723=""),"Reserved/PSPA no PSPA Date",""),IF(AND(TRIM([1]DATABASE!Q723)="AVAILABLE",[1]DATABASE!AA723&lt;&gt;""),"Available has PSPA Date",""))</f>
        <v/>
      </c>
      <c r="G762" s="82" t="str">
        <f>_xlfn.TEXTJOIN("; ",TRUE,IF(AND([1]DATABASE!T723&lt;0.8*[1]DATABASE!S723,[1]DATABASE!T723&gt;0,[1]DATABASE!S723&gt;0),"Heavy Price Cut &gt;20%",""),IF(AND(OR(TRIM([1]DATABASE!Q723)="AVAILABLE",TRIM([1]DATABASE!Q723)="UPON REQUEST"),OR([1]DATABASE!T723="",[1]DATABASE!T723=0)),"Active Unit no Price",""),IF(AND(OR(TRIM([1]DATABASE!Q723)="AVAILABLE",TRIM([1]DATABASE!Q723)="RESERVED",TRIM([1]DATABASE!Q723)="PRE-RESERVED",TRIM([1]DATABASE!Q723)="PSPA"),[1]DATABASE!AC723=""),"Active no Owner",""),IF(OR([1]DATABASE!F723="",[1]DATABASE!F723&lt;=0),"Missing/Invalid Area",""),IF(AND([1]DATABASE!T723&gt;0,ABS([1]DATABASE!T723-[1]DATABASE!W723-[1]DATABASE!U723-[1]DATABASE!V723)&gt;1),"Price Bridge Mismatch",""))</f>
        <v/>
      </c>
      <c r="H762" t="str">
        <f t="shared" si="14"/>
        <v>PASS</v>
      </c>
      <c r="I762" s="90">
        <f>[1]DATABASE!T723</f>
        <v>1690000</v>
      </c>
      <c r="J762" t="str">
        <f>[1]DATABASE!AC723</f>
        <v>João Gameiro</v>
      </c>
    </row>
    <row r="763" spans="1:10" ht="13.95" customHeight="1" x14ac:dyDescent="0.3">
      <c r="A763">
        <f>ROW([1]DATABASE!A724)</f>
        <v>724</v>
      </c>
      <c r="B763" t="str">
        <f>[1]DATABASE!AJ724</f>
        <v>Aroeira Collections</v>
      </c>
      <c r="C763" t="str">
        <f>[1]DATABASE!C724</f>
        <v>28C</v>
      </c>
      <c r="D763" t="str">
        <f>TRIM([1]DATABASE!Q724)</f>
        <v>AVAILABLE</v>
      </c>
      <c r="E763" s="82" t="str">
        <f>_xlfn.TEXTJOIN("; ",TRUE,IF([1]DATABASE!X724&lt;0,"Negative Discount",""),IF(AND([1]DATABASE!Y724&gt;[1]DATABASE!T724,[1]DATABASE!Y724&gt;0,[1]DATABASE!T724&gt;0),"Sell Price &gt; Current",""),IF(AND(TRIM([1]DATABASE!Q724)="DEED",[1]DATABASE!AA724=""),"Deeded no PSPA Date",""),IF([1]DATABASE!E724="","Missing Typology",""),IF([1]DATABASE!AJ724="","Missing Development",""))</f>
        <v/>
      </c>
      <c r="F763" s="82" t="str">
        <f>_xlfn.TEXTJOIN("; ",TRUE,IF(AND(OR(TRIM([1]DATABASE!Q724)="RESERVED",TRIM([1]DATABASE!Q724)="PRE-RESERVED",TRIM([1]DATABASE!Q724)="PSPA"),[1]DATABASE!AA724=""),"Reserved/PSPA no PSPA Date",""),IF(AND(TRIM([1]DATABASE!Q724)="AVAILABLE",[1]DATABASE!AA724&lt;&gt;""),"Available has PSPA Date",""))</f>
        <v/>
      </c>
      <c r="G763" s="82" t="str">
        <f>_xlfn.TEXTJOIN("; ",TRUE,IF(AND([1]DATABASE!T724&lt;0.8*[1]DATABASE!S724,[1]DATABASE!T724&gt;0,[1]DATABASE!S724&gt;0),"Heavy Price Cut &gt;20%",""),IF(AND(OR(TRIM([1]DATABASE!Q724)="AVAILABLE",TRIM([1]DATABASE!Q724)="UPON REQUEST"),OR([1]DATABASE!T724="",[1]DATABASE!T724=0)),"Active Unit no Price",""),IF(AND(OR(TRIM([1]DATABASE!Q724)="AVAILABLE",TRIM([1]DATABASE!Q724)="RESERVED",TRIM([1]DATABASE!Q724)="PRE-RESERVED",TRIM([1]DATABASE!Q724)="PSPA"),[1]DATABASE!AC724=""),"Active no Owner",""),IF(OR([1]DATABASE!F724="",[1]DATABASE!F724&lt;=0),"Missing/Invalid Area",""),IF(AND([1]DATABASE!T724&gt;0,ABS([1]DATABASE!T724-[1]DATABASE!W724-[1]DATABASE!U724-[1]DATABASE!V724)&gt;1),"Price Bridge Mismatch",""))</f>
        <v/>
      </c>
      <c r="H763" t="str">
        <f t="shared" si="14"/>
        <v>PASS</v>
      </c>
      <c r="I763" s="90">
        <f>[1]DATABASE!T724</f>
        <v>1705000</v>
      </c>
      <c r="J763" t="str">
        <f>[1]DATABASE!AC724</f>
        <v>João Gameiro</v>
      </c>
    </row>
    <row r="764" spans="1:10" ht="13.95" customHeight="1" x14ac:dyDescent="0.3">
      <c r="A764">
        <f>ROW([1]DATABASE!A725)</f>
        <v>725</v>
      </c>
      <c r="B764" t="str">
        <f>[1]DATABASE!AJ725</f>
        <v>Zestia</v>
      </c>
      <c r="C764" t="str">
        <f>[1]DATABASE!C725</f>
        <v>AH</v>
      </c>
      <c r="D764" t="str">
        <f>TRIM([1]DATABASE!Q725)</f>
        <v>AVAILABLE</v>
      </c>
      <c r="E764" s="82" t="str">
        <f>_xlfn.TEXTJOIN("; ",TRUE,IF([1]DATABASE!X725&lt;0,"Negative Discount",""),IF(AND([1]DATABASE!Y725&gt;[1]DATABASE!T725,[1]DATABASE!Y725&gt;0,[1]DATABASE!T725&gt;0),"Sell Price &gt; Current",""),IF(AND(TRIM([1]DATABASE!Q725)="DEED",[1]DATABASE!AA725=""),"Deeded no PSPA Date",""),IF([1]DATABASE!E725="","Missing Typology",""),IF([1]DATABASE!AJ725="","Missing Development",""))</f>
        <v/>
      </c>
      <c r="F764" s="82" t="str">
        <f>_xlfn.TEXTJOIN("; ",TRUE,IF(AND(OR(TRIM([1]DATABASE!Q725)="RESERVED",TRIM([1]DATABASE!Q725)="PRE-RESERVED",TRIM([1]DATABASE!Q725)="PSPA"),[1]DATABASE!AA725=""),"Reserved/PSPA no PSPA Date",""),IF(AND(TRIM([1]DATABASE!Q725)="AVAILABLE",[1]DATABASE!AA725&lt;&gt;""),"Available has PSPA Date",""))</f>
        <v/>
      </c>
      <c r="G764" s="82" t="str">
        <f>_xlfn.TEXTJOIN("; ",TRUE,IF(AND([1]DATABASE!T725&lt;0.8*[1]DATABASE!S725,[1]DATABASE!T725&gt;0,[1]DATABASE!S725&gt;0),"Heavy Price Cut &gt;20%",""),IF(AND(OR(TRIM([1]DATABASE!Q725)="AVAILABLE",TRIM([1]DATABASE!Q725)="UPON REQUEST"),OR([1]DATABASE!T725="",[1]DATABASE!T725=0)),"Active Unit no Price",""),IF(AND(OR(TRIM([1]DATABASE!Q725)="AVAILABLE",TRIM([1]DATABASE!Q725)="RESERVED",TRIM([1]DATABASE!Q725)="PRE-RESERVED",TRIM([1]DATABASE!Q725)="PSPA"),[1]DATABASE!AC725=""),"Active no Owner",""),IF(OR([1]DATABASE!F725="",[1]DATABASE!F725&lt;=0),"Missing/Invalid Area",""),IF(AND([1]DATABASE!T725&gt;0,ABS([1]DATABASE!T725-[1]DATABASE!W725-[1]DATABASE!U725-[1]DATABASE!V725)&gt;1),"Price Bridge Mismatch",""))</f>
        <v/>
      </c>
      <c r="H764" t="str">
        <f t="shared" si="14"/>
        <v>PASS</v>
      </c>
      <c r="I764" s="90">
        <f>[1]DATABASE!T725</f>
        <v>830000</v>
      </c>
      <c r="J764" t="str">
        <f>[1]DATABASE!AC725</f>
        <v>Ana Damásio</v>
      </c>
    </row>
    <row r="765" spans="1:10" ht="13.95" customHeight="1" x14ac:dyDescent="0.3">
      <c r="A765">
        <f>ROW([1]DATABASE!A726)</f>
        <v>726</v>
      </c>
      <c r="B765" t="str">
        <f>[1]DATABASE!AJ726</f>
        <v>Botanica</v>
      </c>
      <c r="C765" t="str">
        <f>[1]DATABASE!C726</f>
        <v>AI</v>
      </c>
      <c r="D765" t="str">
        <f>TRIM([1]DATABASE!Q726)</f>
        <v>AVAILABLE</v>
      </c>
      <c r="E765" s="82" t="str">
        <f>_xlfn.TEXTJOIN("; ",TRUE,IF([1]DATABASE!X726&lt;0,"Negative Discount",""),IF(AND([1]DATABASE!Y726&gt;[1]DATABASE!T726,[1]DATABASE!Y726&gt;0,[1]DATABASE!T726&gt;0),"Sell Price &gt; Current",""),IF(AND(TRIM([1]DATABASE!Q726)="DEED",[1]DATABASE!AA726=""),"Deeded no PSPA Date",""),IF([1]DATABASE!E726="","Missing Typology",""),IF([1]DATABASE!AJ726="","Missing Development",""))</f>
        <v/>
      </c>
      <c r="F765" s="82" t="str">
        <f>_xlfn.TEXTJOIN("; ",TRUE,IF(AND(OR(TRIM([1]DATABASE!Q726)="RESERVED",TRIM([1]DATABASE!Q726)="PRE-RESERVED",TRIM([1]DATABASE!Q726)="PSPA"),[1]DATABASE!AA726=""),"Reserved/PSPA no PSPA Date",""),IF(AND(TRIM([1]DATABASE!Q726)="AVAILABLE",[1]DATABASE!AA726&lt;&gt;""),"Available has PSPA Date",""))</f>
        <v/>
      </c>
      <c r="G765" s="82" t="str">
        <f>_xlfn.TEXTJOIN("; ",TRUE,IF(AND([1]DATABASE!T726&lt;0.8*[1]DATABASE!S726,[1]DATABASE!T726&gt;0,[1]DATABASE!S726&gt;0),"Heavy Price Cut &gt;20%",""),IF(AND(OR(TRIM([1]DATABASE!Q726)="AVAILABLE",TRIM([1]DATABASE!Q726)="UPON REQUEST"),OR([1]DATABASE!T726="",[1]DATABASE!T726=0)),"Active Unit no Price",""),IF(AND(OR(TRIM([1]DATABASE!Q726)="AVAILABLE",TRIM([1]DATABASE!Q726)="RESERVED",TRIM([1]DATABASE!Q726)="PRE-RESERVED",TRIM([1]DATABASE!Q726)="PSPA"),[1]DATABASE!AC726=""),"Active no Owner",""),IF(OR([1]DATABASE!F726="",[1]DATABASE!F726&lt;=0),"Missing/Invalid Area",""),IF(AND([1]DATABASE!T726&gt;0,ABS([1]DATABASE!T726-[1]DATABASE!W726-[1]DATABASE!U726-[1]DATABASE!V726)&gt;1),"Price Bridge Mismatch",""))</f>
        <v/>
      </c>
      <c r="H765" t="str">
        <f t="shared" si="14"/>
        <v>PASS</v>
      </c>
      <c r="I765" s="90">
        <f>[1]DATABASE!T726</f>
        <v>950000</v>
      </c>
      <c r="J765" t="str">
        <f>[1]DATABASE!AC726</f>
        <v>Ana Damásio</v>
      </c>
    </row>
    <row r="766" spans="1:10" ht="13.95" customHeight="1" x14ac:dyDescent="0.3">
      <c r="A766">
        <f>ROW([1]DATABASE!A727)</f>
        <v>727</v>
      </c>
      <c r="B766" t="str">
        <f>[1]DATABASE!AJ727</f>
        <v>Nobilus</v>
      </c>
      <c r="C766" t="str">
        <f>[1]DATABASE!C727</f>
        <v>AI</v>
      </c>
      <c r="D766" t="str">
        <f>TRIM([1]DATABASE!Q727)</f>
        <v>AVAILABLE</v>
      </c>
      <c r="E766" s="82" t="str">
        <f>_xlfn.TEXTJOIN("; ",TRUE,IF([1]DATABASE!X727&lt;0,"Negative Discount",""),IF(AND([1]DATABASE!Y727&gt;[1]DATABASE!T727,[1]DATABASE!Y727&gt;0,[1]DATABASE!T727&gt;0),"Sell Price &gt; Current",""),IF(AND(TRIM([1]DATABASE!Q727)="DEED",[1]DATABASE!AA727=""),"Deeded no PSPA Date",""),IF([1]DATABASE!E727="","Missing Typology",""),IF([1]DATABASE!AJ727="","Missing Development",""))</f>
        <v/>
      </c>
      <c r="F766" s="82" t="str">
        <f>_xlfn.TEXTJOIN("; ",TRUE,IF(AND(OR(TRIM([1]DATABASE!Q727)="RESERVED",TRIM([1]DATABASE!Q727)="PRE-RESERVED",TRIM([1]DATABASE!Q727)="PSPA"),[1]DATABASE!AA727=""),"Reserved/PSPA no PSPA Date",""),IF(AND(TRIM([1]DATABASE!Q727)="AVAILABLE",[1]DATABASE!AA727&lt;&gt;""),"Available has PSPA Date",""))</f>
        <v/>
      </c>
      <c r="G766" s="82" t="str">
        <f>_xlfn.TEXTJOIN("; ",TRUE,IF(AND([1]DATABASE!T727&lt;0.8*[1]DATABASE!S727,[1]DATABASE!T727&gt;0,[1]DATABASE!S727&gt;0),"Heavy Price Cut &gt;20%",""),IF(AND(OR(TRIM([1]DATABASE!Q727)="AVAILABLE",TRIM([1]DATABASE!Q727)="UPON REQUEST"),OR([1]DATABASE!T727="",[1]DATABASE!T727=0)),"Active Unit no Price",""),IF(AND(OR(TRIM([1]DATABASE!Q727)="AVAILABLE",TRIM([1]DATABASE!Q727)="RESERVED",TRIM([1]DATABASE!Q727)="PRE-RESERVED",TRIM([1]DATABASE!Q727)="PSPA"),[1]DATABASE!AC727=""),"Active no Owner",""),IF(OR([1]DATABASE!F727="",[1]DATABASE!F727&lt;=0),"Missing/Invalid Area",""),IF(AND([1]DATABASE!T727&gt;0,ABS([1]DATABASE!T727-[1]DATABASE!W727-[1]DATABASE!U727-[1]DATABASE!V727)&gt;1),"Price Bridge Mismatch",""))</f>
        <v/>
      </c>
      <c r="H766" t="str">
        <f t="shared" si="14"/>
        <v>PASS</v>
      </c>
      <c r="I766" s="90">
        <f>[1]DATABASE!T727</f>
        <v>1540000</v>
      </c>
      <c r="J766" t="str">
        <f>[1]DATABASE!AC727</f>
        <v>Ana Damásio</v>
      </c>
    </row>
    <row r="767" spans="1:10" ht="13.95" customHeight="1" x14ac:dyDescent="0.3">
      <c r="A767">
        <f>ROW([1]DATABASE!A728)</f>
        <v>728</v>
      </c>
      <c r="B767" t="str">
        <f>[1]DATABASE!AJ728</f>
        <v>Springs - At the Els</v>
      </c>
      <c r="C767" t="str">
        <f>[1]DATABASE!C728</f>
        <v>AI</v>
      </c>
      <c r="D767" t="str">
        <f>TRIM([1]DATABASE!Q728)</f>
        <v>AVAILABLE</v>
      </c>
      <c r="E767" s="82" t="str">
        <f>_xlfn.TEXTJOIN("; ",TRUE,IF([1]DATABASE!X728&lt;0,"Negative Discount",""),IF(AND([1]DATABASE!Y728&gt;[1]DATABASE!T728,[1]DATABASE!Y728&gt;0,[1]DATABASE!T728&gt;0),"Sell Price &gt; Current",""),IF(AND(TRIM([1]DATABASE!Q728)="DEED",[1]DATABASE!AA728=""),"Deeded no PSPA Date",""),IF([1]DATABASE!E728="","Missing Typology",""),IF([1]DATABASE!AJ728="","Missing Development",""))</f>
        <v/>
      </c>
      <c r="F767" s="82" t="str">
        <f>_xlfn.TEXTJOIN("; ",TRUE,IF(AND(OR(TRIM([1]DATABASE!Q728)="RESERVED",TRIM([1]DATABASE!Q728)="PRE-RESERVED",TRIM([1]DATABASE!Q728)="PSPA"),[1]DATABASE!AA728=""),"Reserved/PSPA no PSPA Date",""),IF(AND(TRIM([1]DATABASE!Q728)="AVAILABLE",[1]DATABASE!AA728&lt;&gt;""),"Available has PSPA Date",""))</f>
        <v/>
      </c>
      <c r="G767" s="82" t="str">
        <f>_xlfn.TEXTJOIN("; ",TRUE,IF(AND([1]DATABASE!T728&lt;0.8*[1]DATABASE!S728,[1]DATABASE!T728&gt;0,[1]DATABASE!S728&gt;0),"Heavy Price Cut &gt;20%",""),IF(AND(OR(TRIM([1]DATABASE!Q728)="AVAILABLE",TRIM([1]DATABASE!Q728)="UPON REQUEST"),OR([1]DATABASE!T728="",[1]DATABASE!T728=0)),"Active Unit no Price",""),IF(AND(OR(TRIM([1]DATABASE!Q728)="AVAILABLE",TRIM([1]DATABASE!Q728)="RESERVED",TRIM([1]DATABASE!Q728)="PRE-RESERVED",TRIM([1]DATABASE!Q728)="PSPA"),[1]DATABASE!AC728=""),"Active no Owner",""),IF(OR([1]DATABASE!F728="",[1]DATABASE!F728&lt;=0),"Missing/Invalid Area",""),IF(AND([1]DATABASE!T728&gt;0,ABS([1]DATABASE!T728-[1]DATABASE!W728-[1]DATABASE!U728-[1]DATABASE!V728)&gt;1),"Price Bridge Mismatch",""))</f>
        <v/>
      </c>
      <c r="H767" t="str">
        <f t="shared" si="14"/>
        <v>PASS</v>
      </c>
      <c r="I767" s="90">
        <f>[1]DATABASE!T728</f>
        <v>1730000</v>
      </c>
      <c r="J767" t="str">
        <f>[1]DATABASE!AC728</f>
        <v>Ana Damásio</v>
      </c>
    </row>
    <row r="768" spans="1:10" ht="13.95" customHeight="1" x14ac:dyDescent="0.3">
      <c r="A768">
        <f>ROW([1]DATABASE!A729)</f>
        <v>729</v>
      </c>
      <c r="B768" t="str">
        <f>[1]DATABASE!AJ729</f>
        <v>Aroeira Collections</v>
      </c>
      <c r="C768" t="str">
        <f>[1]DATABASE!C729</f>
        <v>302A</v>
      </c>
      <c r="D768" t="str">
        <f>TRIM([1]DATABASE!Q729)</f>
        <v>AVAILABLE</v>
      </c>
      <c r="E768" s="82" t="str">
        <f>_xlfn.TEXTJOIN("; ",TRUE,IF([1]DATABASE!X729&lt;0,"Negative Discount",""),IF(AND([1]DATABASE!Y729&gt;[1]DATABASE!T729,[1]DATABASE!Y729&gt;0,[1]DATABASE!T729&gt;0),"Sell Price &gt; Current",""),IF(AND(TRIM([1]DATABASE!Q729)="DEED",[1]DATABASE!AA729=""),"Deeded no PSPA Date",""),IF([1]DATABASE!E729="","Missing Typology",""),IF([1]DATABASE!AJ729="","Missing Development",""))</f>
        <v/>
      </c>
      <c r="F768" s="82" t="str">
        <f>_xlfn.TEXTJOIN("; ",TRUE,IF(AND(OR(TRIM([1]DATABASE!Q729)="RESERVED",TRIM([1]DATABASE!Q729)="PRE-RESERVED",TRIM([1]DATABASE!Q729)="PSPA"),[1]DATABASE!AA729=""),"Reserved/PSPA no PSPA Date",""),IF(AND(TRIM([1]DATABASE!Q729)="AVAILABLE",[1]DATABASE!AA729&lt;&gt;""),"Available has PSPA Date",""))</f>
        <v/>
      </c>
      <c r="G768" s="82" t="str">
        <f>_xlfn.TEXTJOIN("; ",TRUE,IF(AND([1]DATABASE!T729&lt;0.8*[1]DATABASE!S729,[1]DATABASE!T729&gt;0,[1]DATABASE!S729&gt;0),"Heavy Price Cut &gt;20%",""),IF(AND(OR(TRIM([1]DATABASE!Q729)="AVAILABLE",TRIM([1]DATABASE!Q729)="UPON REQUEST"),OR([1]DATABASE!T729="",[1]DATABASE!T729=0)),"Active Unit no Price",""),IF(AND(OR(TRIM([1]DATABASE!Q729)="AVAILABLE",TRIM([1]DATABASE!Q729)="RESERVED",TRIM([1]DATABASE!Q729)="PRE-RESERVED",TRIM([1]DATABASE!Q729)="PSPA"),[1]DATABASE!AC729=""),"Active no Owner",""),IF(OR([1]DATABASE!F729="",[1]DATABASE!F729&lt;=0),"Missing/Invalid Area",""),IF(AND([1]DATABASE!T729&gt;0,ABS([1]DATABASE!T729-[1]DATABASE!W729-[1]DATABASE!U729-[1]DATABASE!V729)&gt;1),"Price Bridge Mismatch",""))</f>
        <v/>
      </c>
      <c r="H768" t="str">
        <f t="shared" si="14"/>
        <v>PASS</v>
      </c>
      <c r="I768" s="90">
        <f>[1]DATABASE!T729</f>
        <v>450000</v>
      </c>
      <c r="J768" t="str">
        <f>[1]DATABASE!AC729</f>
        <v>João Gameiro</v>
      </c>
    </row>
    <row r="769" spans="1:10" ht="13.95" customHeight="1" x14ac:dyDescent="0.3">
      <c r="A769">
        <f>ROW([1]DATABASE!A730)</f>
        <v>730</v>
      </c>
      <c r="B769" t="str">
        <f>[1]DATABASE!AJ730</f>
        <v>Zestia</v>
      </c>
      <c r="C769" t="str">
        <f>[1]DATABASE!C730</f>
        <v>AI</v>
      </c>
      <c r="D769" t="str">
        <f>TRIM([1]DATABASE!Q730)</f>
        <v>AVAILABLE</v>
      </c>
      <c r="E769" s="82" t="str">
        <f>_xlfn.TEXTJOIN("; ",TRUE,IF([1]DATABASE!X730&lt;0,"Negative Discount",""),IF(AND([1]DATABASE!Y730&gt;[1]DATABASE!T730,[1]DATABASE!Y730&gt;0,[1]DATABASE!T730&gt;0),"Sell Price &gt; Current",""),IF(AND(TRIM([1]DATABASE!Q730)="DEED",[1]DATABASE!AA730=""),"Deeded no PSPA Date",""),IF([1]DATABASE!E730="","Missing Typology",""),IF([1]DATABASE!AJ730="","Missing Development",""))</f>
        <v/>
      </c>
      <c r="F769" s="82" t="str">
        <f>_xlfn.TEXTJOIN("; ",TRUE,IF(AND(OR(TRIM([1]DATABASE!Q730)="RESERVED",TRIM([1]DATABASE!Q730)="PRE-RESERVED",TRIM([1]DATABASE!Q730)="PSPA"),[1]DATABASE!AA730=""),"Reserved/PSPA no PSPA Date",""),IF(AND(TRIM([1]DATABASE!Q730)="AVAILABLE",[1]DATABASE!AA730&lt;&gt;""),"Available has PSPA Date",""))</f>
        <v/>
      </c>
      <c r="G769" s="82" t="str">
        <f>_xlfn.TEXTJOIN("; ",TRUE,IF(AND([1]DATABASE!T730&lt;0.8*[1]DATABASE!S730,[1]DATABASE!T730&gt;0,[1]DATABASE!S730&gt;0),"Heavy Price Cut &gt;20%",""),IF(AND(OR(TRIM([1]DATABASE!Q730)="AVAILABLE",TRIM([1]DATABASE!Q730)="UPON REQUEST"),OR([1]DATABASE!T730="",[1]DATABASE!T730=0)),"Active Unit no Price",""),IF(AND(OR(TRIM([1]DATABASE!Q730)="AVAILABLE",TRIM([1]DATABASE!Q730)="RESERVED",TRIM([1]DATABASE!Q730)="PRE-RESERVED",TRIM([1]DATABASE!Q730)="PSPA"),[1]DATABASE!AC730=""),"Active no Owner",""),IF(OR([1]DATABASE!F730="",[1]DATABASE!F730&lt;=0),"Missing/Invalid Area",""),IF(AND([1]DATABASE!T730&gt;0,ABS([1]DATABASE!T730-[1]DATABASE!W730-[1]DATABASE!U730-[1]DATABASE!V730)&gt;1),"Price Bridge Mismatch",""))</f>
        <v/>
      </c>
      <c r="H769" t="str">
        <f t="shared" si="14"/>
        <v>PASS</v>
      </c>
      <c r="I769" s="90">
        <f>[1]DATABASE!T730</f>
        <v>690000</v>
      </c>
      <c r="J769" t="str">
        <f>[1]DATABASE!AC730</f>
        <v>Ana Damásio</v>
      </c>
    </row>
    <row r="770" spans="1:10" ht="13.95" customHeight="1" x14ac:dyDescent="0.3">
      <c r="A770">
        <f>ROW([1]DATABASE!A731)</f>
        <v>731</v>
      </c>
      <c r="B770" t="str">
        <f>[1]DATABASE!AJ731</f>
        <v>Botanica</v>
      </c>
      <c r="C770" t="str">
        <f>[1]DATABASE!C731</f>
        <v>AJ</v>
      </c>
      <c r="D770" t="str">
        <f>TRIM([1]DATABASE!Q731)</f>
        <v>AVAILABLE</v>
      </c>
      <c r="E770" s="82" t="str">
        <f>_xlfn.TEXTJOIN("; ",TRUE,IF([1]DATABASE!X731&lt;0,"Negative Discount",""),IF(AND([1]DATABASE!Y731&gt;[1]DATABASE!T731,[1]DATABASE!Y731&gt;0,[1]DATABASE!T731&gt;0),"Sell Price &gt; Current",""),IF(AND(TRIM([1]DATABASE!Q731)="DEED",[1]DATABASE!AA731=""),"Deeded no PSPA Date",""),IF([1]DATABASE!E731="","Missing Typology",""),IF([1]DATABASE!AJ731="","Missing Development",""))</f>
        <v/>
      </c>
      <c r="F770" s="82" t="str">
        <f>_xlfn.TEXTJOIN("; ",TRUE,IF(AND(OR(TRIM([1]DATABASE!Q731)="RESERVED",TRIM([1]DATABASE!Q731)="PRE-RESERVED",TRIM([1]DATABASE!Q731)="PSPA"),[1]DATABASE!AA731=""),"Reserved/PSPA no PSPA Date",""),IF(AND(TRIM([1]DATABASE!Q731)="AVAILABLE",[1]DATABASE!AA731&lt;&gt;""),"Available has PSPA Date",""))</f>
        <v/>
      </c>
      <c r="G770" s="82" t="str">
        <f>_xlfn.TEXTJOIN("; ",TRUE,IF(AND([1]DATABASE!T731&lt;0.8*[1]DATABASE!S731,[1]DATABASE!T731&gt;0,[1]DATABASE!S731&gt;0),"Heavy Price Cut &gt;20%",""),IF(AND(OR(TRIM([1]DATABASE!Q731)="AVAILABLE",TRIM([1]DATABASE!Q731)="UPON REQUEST"),OR([1]DATABASE!T731="",[1]DATABASE!T731=0)),"Active Unit no Price",""),IF(AND(OR(TRIM([1]DATABASE!Q731)="AVAILABLE",TRIM([1]DATABASE!Q731)="RESERVED",TRIM([1]DATABASE!Q731)="PRE-RESERVED",TRIM([1]DATABASE!Q731)="PSPA"),[1]DATABASE!AC731=""),"Active no Owner",""),IF(OR([1]DATABASE!F731="",[1]DATABASE!F731&lt;=0),"Missing/Invalid Area",""),IF(AND([1]DATABASE!T731&gt;0,ABS([1]DATABASE!T731-[1]DATABASE!W731-[1]DATABASE!U731-[1]DATABASE!V731)&gt;1),"Price Bridge Mismatch",""))</f>
        <v/>
      </c>
      <c r="H770" t="str">
        <f t="shared" si="14"/>
        <v>PASS</v>
      </c>
      <c r="I770" s="90">
        <f>[1]DATABASE!T731</f>
        <v>995000</v>
      </c>
      <c r="J770" t="str">
        <f>[1]DATABASE!AC731</f>
        <v>Ana Damásio</v>
      </c>
    </row>
    <row r="771" spans="1:10" ht="13.95" customHeight="1" x14ac:dyDescent="0.3">
      <c r="A771">
        <f>ROW([1]DATABASE!A732)</f>
        <v>732</v>
      </c>
      <c r="B771" t="str">
        <f>[1]DATABASE!AJ732</f>
        <v>Palmares</v>
      </c>
      <c r="C771" t="str">
        <f>[1]DATABASE!C732</f>
        <v>15</v>
      </c>
      <c r="D771" t="str">
        <f>TRIM([1]DATABASE!Q732)</f>
        <v>AVAILABLE</v>
      </c>
      <c r="E771" s="82" t="str">
        <f>_xlfn.TEXTJOIN("; ",TRUE,IF([1]DATABASE!X732&lt;0,"Negative Discount",""),IF(AND([1]DATABASE!Y732&gt;[1]DATABASE!T732,[1]DATABASE!Y732&gt;0,[1]DATABASE!T732&gt;0),"Sell Price &gt; Current",""),IF(AND(TRIM([1]DATABASE!Q732)="DEED",[1]DATABASE!AA732=""),"Deeded no PSPA Date",""),IF([1]DATABASE!E732="","Missing Typology",""),IF([1]DATABASE!AJ732="","Missing Development",""))</f>
        <v/>
      </c>
      <c r="F771" s="82" t="str">
        <f>_xlfn.TEXTJOIN("; ",TRUE,IF(AND(OR(TRIM([1]DATABASE!Q732)="RESERVED",TRIM([1]DATABASE!Q732)="PRE-RESERVED",TRIM([1]DATABASE!Q732)="PSPA"),[1]DATABASE!AA732=""),"Reserved/PSPA no PSPA Date",""),IF(AND(TRIM([1]DATABASE!Q732)="AVAILABLE",[1]DATABASE!AA732&lt;&gt;""),"Available has PSPA Date",""))</f>
        <v/>
      </c>
      <c r="G771" s="82" t="str">
        <f>_xlfn.TEXTJOIN("; ",TRUE,IF(AND([1]DATABASE!T732&lt;0.8*[1]DATABASE!S732,[1]DATABASE!T732&gt;0,[1]DATABASE!S732&gt;0),"Heavy Price Cut &gt;20%",""),IF(AND(OR(TRIM([1]DATABASE!Q732)="AVAILABLE",TRIM([1]DATABASE!Q732)="UPON REQUEST"),OR([1]DATABASE!T732="",[1]DATABASE!T732=0)),"Active Unit no Price",""),IF(AND(OR(TRIM([1]DATABASE!Q732)="AVAILABLE",TRIM([1]DATABASE!Q732)="RESERVED",TRIM([1]DATABASE!Q732)="PRE-RESERVED",TRIM([1]DATABASE!Q732)="PSPA"),[1]DATABASE!AC732=""),"Active no Owner",""),IF(OR([1]DATABASE!F732="",[1]DATABASE!F732&lt;=0),"Missing/Invalid Area",""),IF(AND([1]DATABASE!T732&gt;0,ABS([1]DATABASE!T732-[1]DATABASE!W732-[1]DATABASE!U732-[1]DATABASE!V732)&gt;1),"Price Bridge Mismatch",""))</f>
        <v/>
      </c>
      <c r="H771" t="str">
        <f t="shared" si="14"/>
        <v>PASS</v>
      </c>
      <c r="I771" s="90">
        <f>[1]DATABASE!T732</f>
        <v>1100000</v>
      </c>
      <c r="J771" t="str">
        <f>[1]DATABASE!AC732</f>
        <v>Sandra Viegas</v>
      </c>
    </row>
    <row r="772" spans="1:10" ht="13.95" customHeight="1" x14ac:dyDescent="0.3">
      <c r="A772">
        <f>ROW([1]DATABASE!A733)</f>
        <v>733</v>
      </c>
      <c r="B772" t="str">
        <f>[1]DATABASE!AJ733</f>
        <v>Palmares</v>
      </c>
      <c r="C772" t="str">
        <f>[1]DATABASE!C733</f>
        <v>10</v>
      </c>
      <c r="D772" t="str">
        <f>TRIM([1]DATABASE!Q733)</f>
        <v>AVAILABLE</v>
      </c>
      <c r="E772" s="82" t="str">
        <f>_xlfn.TEXTJOIN("; ",TRUE,IF([1]DATABASE!X733&lt;0,"Negative Discount",""),IF(AND([1]DATABASE!Y733&gt;[1]DATABASE!T733,[1]DATABASE!Y733&gt;0,[1]DATABASE!T733&gt;0),"Sell Price &gt; Current",""),IF(AND(TRIM([1]DATABASE!Q733)="DEED",[1]DATABASE!AA733=""),"Deeded no PSPA Date",""),IF([1]DATABASE!E733="","Missing Typology",""),IF([1]DATABASE!AJ733="","Missing Development",""))</f>
        <v/>
      </c>
      <c r="F772" s="82" t="str">
        <f>_xlfn.TEXTJOIN("; ",TRUE,IF(AND(OR(TRIM([1]DATABASE!Q733)="RESERVED",TRIM([1]DATABASE!Q733)="PRE-RESERVED",TRIM([1]DATABASE!Q733)="PSPA"),[1]DATABASE!AA733=""),"Reserved/PSPA no PSPA Date",""),IF(AND(TRIM([1]DATABASE!Q733)="AVAILABLE",[1]DATABASE!AA733&lt;&gt;""),"Available has PSPA Date",""))</f>
        <v/>
      </c>
      <c r="G772" s="82" t="str">
        <f>_xlfn.TEXTJOIN("; ",TRUE,IF(AND([1]DATABASE!T733&lt;0.8*[1]DATABASE!S733,[1]DATABASE!T733&gt;0,[1]DATABASE!S733&gt;0),"Heavy Price Cut &gt;20%",""),IF(AND(OR(TRIM([1]DATABASE!Q733)="AVAILABLE",TRIM([1]DATABASE!Q733)="UPON REQUEST"),OR([1]DATABASE!T733="",[1]DATABASE!T733=0)),"Active Unit no Price",""),IF(AND(OR(TRIM([1]DATABASE!Q733)="AVAILABLE",TRIM([1]DATABASE!Q733)="RESERVED",TRIM([1]DATABASE!Q733)="PRE-RESERVED",TRIM([1]DATABASE!Q733)="PSPA"),[1]DATABASE!AC733=""),"Active no Owner",""),IF(OR([1]DATABASE!F733="",[1]DATABASE!F733&lt;=0),"Missing/Invalid Area",""),IF(AND([1]DATABASE!T733&gt;0,ABS([1]DATABASE!T733-[1]DATABASE!W733-[1]DATABASE!U733-[1]DATABASE!V733)&gt;1),"Price Bridge Mismatch",""))</f>
        <v/>
      </c>
      <c r="H772" t="str">
        <f t="shared" si="14"/>
        <v>PASS</v>
      </c>
      <c r="I772" s="90">
        <f>[1]DATABASE!T733</f>
        <v>1950000</v>
      </c>
      <c r="J772" t="str">
        <f>[1]DATABASE!AC733</f>
        <v>Sandra Viegas</v>
      </c>
    </row>
    <row r="773" spans="1:10" ht="13.95" customHeight="1" x14ac:dyDescent="0.3">
      <c r="A773">
        <f>ROW([1]DATABASE!A734)</f>
        <v>734</v>
      </c>
      <c r="B773" t="str">
        <f>[1]DATABASE!AJ734</f>
        <v>Nobilus</v>
      </c>
      <c r="C773" t="str">
        <f>[1]DATABASE!C734</f>
        <v>AJ</v>
      </c>
      <c r="D773" t="str">
        <f>TRIM([1]DATABASE!Q734)</f>
        <v>AVAILABLE</v>
      </c>
      <c r="E773" s="82" t="str">
        <f>_xlfn.TEXTJOIN("; ",TRUE,IF([1]DATABASE!X734&lt;0,"Negative Discount",""),IF(AND([1]DATABASE!Y734&gt;[1]DATABASE!T734,[1]DATABASE!Y734&gt;0,[1]DATABASE!T734&gt;0),"Sell Price &gt; Current",""),IF(AND(TRIM([1]DATABASE!Q734)="DEED",[1]DATABASE!AA734=""),"Deeded no PSPA Date",""),IF([1]DATABASE!E734="","Missing Typology",""),IF([1]DATABASE!AJ734="","Missing Development",""))</f>
        <v/>
      </c>
      <c r="F773" s="82" t="str">
        <f>_xlfn.TEXTJOIN("; ",TRUE,IF(AND(OR(TRIM([1]DATABASE!Q734)="RESERVED",TRIM([1]DATABASE!Q734)="PRE-RESERVED",TRIM([1]DATABASE!Q734)="PSPA"),[1]DATABASE!AA734=""),"Reserved/PSPA no PSPA Date",""),IF(AND(TRIM([1]DATABASE!Q734)="AVAILABLE",[1]DATABASE!AA734&lt;&gt;""),"Available has PSPA Date",""))</f>
        <v/>
      </c>
      <c r="G773" s="82" t="str">
        <f>_xlfn.TEXTJOIN("; ",TRUE,IF(AND([1]DATABASE!T734&lt;0.8*[1]DATABASE!S734,[1]DATABASE!T734&gt;0,[1]DATABASE!S734&gt;0),"Heavy Price Cut &gt;20%",""),IF(AND(OR(TRIM([1]DATABASE!Q734)="AVAILABLE",TRIM([1]DATABASE!Q734)="UPON REQUEST"),OR([1]DATABASE!T734="",[1]DATABASE!T734=0)),"Active Unit no Price",""),IF(AND(OR(TRIM([1]DATABASE!Q734)="AVAILABLE",TRIM([1]DATABASE!Q734)="RESERVED",TRIM([1]DATABASE!Q734)="PRE-RESERVED",TRIM([1]DATABASE!Q734)="PSPA"),[1]DATABASE!AC734=""),"Active no Owner",""),IF(OR([1]DATABASE!F734="",[1]DATABASE!F734&lt;=0),"Missing/Invalid Area",""),IF(AND([1]DATABASE!T734&gt;0,ABS([1]DATABASE!T734-[1]DATABASE!W734-[1]DATABASE!U734-[1]DATABASE!V734)&gt;1),"Price Bridge Mismatch",""))</f>
        <v/>
      </c>
      <c r="H773" t="str">
        <f t="shared" si="14"/>
        <v>PASS</v>
      </c>
      <c r="I773" s="90">
        <f>[1]DATABASE!T734</f>
        <v>1530000</v>
      </c>
      <c r="J773" t="str">
        <f>[1]DATABASE!AC734</f>
        <v>Ana Damásio</v>
      </c>
    </row>
    <row r="774" spans="1:10" ht="13.95" customHeight="1" x14ac:dyDescent="0.3">
      <c r="A774">
        <f>ROW([1]DATABASE!A735)</f>
        <v>735</v>
      </c>
      <c r="B774" t="str">
        <f>[1]DATABASE!AJ735</f>
        <v>Springs - At the Els</v>
      </c>
      <c r="C774" t="str">
        <f>[1]DATABASE!C735</f>
        <v>AJ</v>
      </c>
      <c r="D774" t="str">
        <f>TRIM([1]DATABASE!Q735)</f>
        <v>AVAILABLE</v>
      </c>
      <c r="E774" s="82" t="str">
        <f>_xlfn.TEXTJOIN("; ",TRUE,IF([1]DATABASE!X735&lt;0,"Negative Discount",""),IF(AND([1]DATABASE!Y735&gt;[1]DATABASE!T735,[1]DATABASE!Y735&gt;0,[1]DATABASE!T735&gt;0),"Sell Price &gt; Current",""),IF(AND(TRIM([1]DATABASE!Q735)="DEED",[1]DATABASE!AA735=""),"Deeded no PSPA Date",""),IF([1]DATABASE!E735="","Missing Typology",""),IF([1]DATABASE!AJ735="","Missing Development",""))</f>
        <v/>
      </c>
      <c r="F774" s="82" t="str">
        <f>_xlfn.TEXTJOIN("; ",TRUE,IF(AND(OR(TRIM([1]DATABASE!Q735)="RESERVED",TRIM([1]DATABASE!Q735)="PRE-RESERVED",TRIM([1]DATABASE!Q735)="PSPA"),[1]DATABASE!AA735=""),"Reserved/PSPA no PSPA Date",""),IF(AND(TRIM([1]DATABASE!Q735)="AVAILABLE",[1]DATABASE!AA735&lt;&gt;""),"Available has PSPA Date",""))</f>
        <v/>
      </c>
      <c r="G774" s="82" t="str">
        <f>_xlfn.TEXTJOIN("; ",TRUE,IF(AND([1]DATABASE!T735&lt;0.8*[1]DATABASE!S735,[1]DATABASE!T735&gt;0,[1]DATABASE!S735&gt;0),"Heavy Price Cut &gt;20%",""),IF(AND(OR(TRIM([1]DATABASE!Q735)="AVAILABLE",TRIM([1]DATABASE!Q735)="UPON REQUEST"),OR([1]DATABASE!T735="",[1]DATABASE!T735=0)),"Active Unit no Price",""),IF(AND(OR(TRIM([1]DATABASE!Q735)="AVAILABLE",TRIM([1]DATABASE!Q735)="RESERVED",TRIM([1]DATABASE!Q735)="PRE-RESERVED",TRIM([1]DATABASE!Q735)="PSPA"),[1]DATABASE!AC735=""),"Active no Owner",""),IF(OR([1]DATABASE!F735="",[1]DATABASE!F735&lt;=0),"Missing/Invalid Area",""),IF(AND([1]DATABASE!T735&gt;0,ABS([1]DATABASE!T735-[1]DATABASE!W735-[1]DATABASE!U735-[1]DATABASE!V735)&gt;1),"Price Bridge Mismatch",""))</f>
        <v/>
      </c>
      <c r="H774" t="str">
        <f t="shared" si="14"/>
        <v>PASS</v>
      </c>
      <c r="I774" s="90">
        <f>[1]DATABASE!T735</f>
        <v>1780000</v>
      </c>
      <c r="J774" t="str">
        <f>[1]DATABASE!AC735</f>
        <v>Ana Damásio</v>
      </c>
    </row>
    <row r="775" spans="1:10" ht="13.95" customHeight="1" x14ac:dyDescent="0.3">
      <c r="A775">
        <f>ROW([1]DATABASE!A736)</f>
        <v>736</v>
      </c>
      <c r="B775" t="str">
        <f>[1]DATABASE!AJ736</f>
        <v>Vale Pisão Grand Park</v>
      </c>
      <c r="C775" t="str">
        <f>[1]DATABASE!C736</f>
        <v>1B</v>
      </c>
      <c r="D775" t="str">
        <f>TRIM([1]DATABASE!Q736)</f>
        <v>AVAILABLE</v>
      </c>
      <c r="E775" s="82" t="str">
        <f>_xlfn.TEXTJOIN("; ",TRUE,IF([1]DATABASE!X736&lt;0,"Negative Discount",""),IF(AND([1]DATABASE!Y736&gt;[1]DATABASE!T736,[1]DATABASE!Y736&gt;0,[1]DATABASE!T736&gt;0),"Sell Price &gt; Current",""),IF(AND(TRIM([1]DATABASE!Q736)="DEED",[1]DATABASE!AA736=""),"Deeded no PSPA Date",""),IF([1]DATABASE!E736="","Missing Typology",""),IF([1]DATABASE!AJ736="","Missing Development",""))</f>
        <v/>
      </c>
      <c r="F775" s="82" t="str">
        <f>_xlfn.TEXTJOIN("; ",TRUE,IF(AND(OR(TRIM([1]DATABASE!Q736)="RESERVED",TRIM([1]DATABASE!Q736)="PRE-RESERVED",TRIM([1]DATABASE!Q736)="PSPA"),[1]DATABASE!AA736=""),"Reserved/PSPA no PSPA Date",""),IF(AND(TRIM([1]DATABASE!Q736)="AVAILABLE",[1]DATABASE!AA736&lt;&gt;""),"Available has PSPA Date",""))</f>
        <v/>
      </c>
      <c r="G775" s="82" t="str">
        <f>_xlfn.TEXTJOIN("; ",TRUE,IF(AND([1]DATABASE!T736&lt;0.8*[1]DATABASE!S736,[1]DATABASE!T736&gt;0,[1]DATABASE!S736&gt;0),"Heavy Price Cut &gt;20%",""),IF(AND(OR(TRIM([1]DATABASE!Q736)="AVAILABLE",TRIM([1]DATABASE!Q736)="UPON REQUEST"),OR([1]DATABASE!T736="",[1]DATABASE!T736=0)),"Active Unit no Price",""),IF(AND(OR(TRIM([1]DATABASE!Q736)="AVAILABLE",TRIM([1]DATABASE!Q736)="RESERVED",TRIM([1]DATABASE!Q736)="PRE-RESERVED",TRIM([1]DATABASE!Q736)="PSPA"),[1]DATABASE!AC736=""),"Active no Owner",""),IF(OR([1]DATABASE!F736="",[1]DATABASE!F736&lt;=0),"Missing/Invalid Area",""),IF(AND([1]DATABASE!T736&gt;0,ABS([1]DATABASE!T736-[1]DATABASE!W736-[1]DATABASE!U736-[1]DATABASE!V736)&gt;1),"Price Bridge Mismatch",""))</f>
        <v/>
      </c>
      <c r="H775" t="str">
        <f t="shared" si="14"/>
        <v>PASS</v>
      </c>
      <c r="I775" s="90">
        <f>[1]DATABASE!T736</f>
        <v>820000</v>
      </c>
      <c r="J775" t="str">
        <f>[1]DATABASE!AC736</f>
        <v>João Gameiro</v>
      </c>
    </row>
    <row r="776" spans="1:10" ht="13.95" customHeight="1" x14ac:dyDescent="0.3">
      <c r="A776">
        <f>ROW([1]DATABASE!A737)</f>
        <v>737</v>
      </c>
      <c r="B776" t="str">
        <f>[1]DATABASE!AJ737</f>
        <v>Zestia</v>
      </c>
      <c r="C776" t="str">
        <f>[1]DATABASE!C737</f>
        <v>AJ</v>
      </c>
      <c r="D776" t="str">
        <f>TRIM([1]DATABASE!Q737)</f>
        <v>AVAILABLE</v>
      </c>
      <c r="E776" s="82" t="str">
        <f>_xlfn.TEXTJOIN("; ",TRUE,IF([1]DATABASE!X737&lt;0,"Negative Discount",""),IF(AND([1]DATABASE!Y737&gt;[1]DATABASE!T737,[1]DATABASE!Y737&gt;0,[1]DATABASE!T737&gt;0),"Sell Price &gt; Current",""),IF(AND(TRIM([1]DATABASE!Q737)="DEED",[1]DATABASE!AA737=""),"Deeded no PSPA Date",""),IF([1]DATABASE!E737="","Missing Typology",""),IF([1]DATABASE!AJ737="","Missing Development",""))</f>
        <v/>
      </c>
      <c r="F776" s="82" t="str">
        <f>_xlfn.TEXTJOIN("; ",TRUE,IF(AND(OR(TRIM([1]DATABASE!Q737)="RESERVED",TRIM([1]DATABASE!Q737)="PRE-RESERVED",TRIM([1]DATABASE!Q737)="PSPA"),[1]DATABASE!AA737=""),"Reserved/PSPA no PSPA Date",""),IF(AND(TRIM([1]DATABASE!Q737)="AVAILABLE",[1]DATABASE!AA737&lt;&gt;""),"Available has PSPA Date",""))</f>
        <v/>
      </c>
      <c r="G776" s="82" t="str">
        <f>_xlfn.TEXTJOIN("; ",TRUE,IF(AND([1]DATABASE!T737&lt;0.8*[1]DATABASE!S737,[1]DATABASE!T737&gt;0,[1]DATABASE!S737&gt;0),"Heavy Price Cut &gt;20%",""),IF(AND(OR(TRIM([1]DATABASE!Q737)="AVAILABLE",TRIM([1]DATABASE!Q737)="UPON REQUEST"),OR([1]DATABASE!T737="",[1]DATABASE!T737=0)),"Active Unit no Price",""),IF(AND(OR(TRIM([1]DATABASE!Q737)="AVAILABLE",TRIM([1]DATABASE!Q737)="RESERVED",TRIM([1]DATABASE!Q737)="PRE-RESERVED",TRIM([1]DATABASE!Q737)="PSPA"),[1]DATABASE!AC737=""),"Active no Owner",""),IF(OR([1]DATABASE!F737="",[1]DATABASE!F737&lt;=0),"Missing/Invalid Area",""),IF(AND([1]DATABASE!T737&gt;0,ABS([1]DATABASE!T737-[1]DATABASE!W737-[1]DATABASE!U737-[1]DATABASE!V737)&gt;1),"Price Bridge Mismatch",""))</f>
        <v/>
      </c>
      <c r="H776" t="str">
        <f t="shared" si="14"/>
        <v>PASS</v>
      </c>
      <c r="I776" s="90">
        <f>[1]DATABASE!T737</f>
        <v>850000</v>
      </c>
      <c r="J776" t="str">
        <f>[1]DATABASE!AC737</f>
        <v>Ana Damásio</v>
      </c>
    </row>
    <row r="777" spans="1:10" ht="13.95" customHeight="1" x14ac:dyDescent="0.3">
      <c r="A777">
        <f>ROW([1]DATABASE!A738)</f>
        <v>738</v>
      </c>
      <c r="B777" t="str">
        <f>[1]DATABASE!AJ738</f>
        <v>Springs - At the Els</v>
      </c>
      <c r="C777" t="str">
        <f>[1]DATABASE!C738</f>
        <v>AK</v>
      </c>
      <c r="D777" t="str">
        <f>TRIM([1]DATABASE!Q738)</f>
        <v>AVAILABLE</v>
      </c>
      <c r="E777" s="82" t="str">
        <f>_xlfn.TEXTJOIN("; ",TRUE,IF([1]DATABASE!X738&lt;0,"Negative Discount",""),IF(AND([1]DATABASE!Y738&gt;[1]DATABASE!T738,[1]DATABASE!Y738&gt;0,[1]DATABASE!T738&gt;0),"Sell Price &gt; Current",""),IF(AND(TRIM([1]DATABASE!Q738)="DEED",[1]DATABASE!AA738=""),"Deeded no PSPA Date",""),IF([1]DATABASE!E738="","Missing Typology",""),IF([1]DATABASE!AJ738="","Missing Development",""))</f>
        <v/>
      </c>
      <c r="F777" s="82" t="str">
        <f>_xlfn.TEXTJOIN("; ",TRUE,IF(AND(OR(TRIM([1]DATABASE!Q738)="RESERVED",TRIM([1]DATABASE!Q738)="PRE-RESERVED",TRIM([1]DATABASE!Q738)="PSPA"),[1]DATABASE!AA738=""),"Reserved/PSPA no PSPA Date",""),IF(AND(TRIM([1]DATABASE!Q738)="AVAILABLE",[1]DATABASE!AA738&lt;&gt;""),"Available has PSPA Date",""))</f>
        <v/>
      </c>
      <c r="G777" s="82" t="str">
        <f>_xlfn.TEXTJOIN("; ",TRUE,IF(AND([1]DATABASE!T738&lt;0.8*[1]DATABASE!S738,[1]DATABASE!T738&gt;0,[1]DATABASE!S738&gt;0),"Heavy Price Cut &gt;20%",""),IF(AND(OR(TRIM([1]DATABASE!Q738)="AVAILABLE",TRIM([1]DATABASE!Q738)="UPON REQUEST"),OR([1]DATABASE!T738="",[1]DATABASE!T738=0)),"Active Unit no Price",""),IF(AND(OR(TRIM([1]DATABASE!Q738)="AVAILABLE",TRIM([1]DATABASE!Q738)="RESERVED",TRIM([1]DATABASE!Q738)="PRE-RESERVED",TRIM([1]DATABASE!Q738)="PSPA"),[1]DATABASE!AC738=""),"Active no Owner",""),IF(OR([1]DATABASE!F738="",[1]DATABASE!F738&lt;=0),"Missing/Invalid Area",""),IF(AND([1]DATABASE!T738&gt;0,ABS([1]DATABASE!T738-[1]DATABASE!W738-[1]DATABASE!U738-[1]DATABASE!V738)&gt;1),"Price Bridge Mismatch",""))</f>
        <v/>
      </c>
      <c r="H777" t="str">
        <f t="shared" si="14"/>
        <v>PASS</v>
      </c>
      <c r="I777" s="90">
        <f>[1]DATABASE!T738</f>
        <v>2010000</v>
      </c>
      <c r="J777" t="str">
        <f>[1]DATABASE!AC738</f>
        <v>Ana Damásio</v>
      </c>
    </row>
    <row r="778" spans="1:10" ht="13.95" customHeight="1" x14ac:dyDescent="0.3">
      <c r="A778">
        <f>ROW([1]DATABASE!A739)</f>
        <v>739</v>
      </c>
      <c r="B778" t="str">
        <f>[1]DATABASE!AJ739</f>
        <v>Zestia</v>
      </c>
      <c r="C778" t="str">
        <f>[1]DATABASE!C739</f>
        <v>AK</v>
      </c>
      <c r="D778" t="str">
        <f>TRIM([1]DATABASE!Q739)</f>
        <v>AVAILABLE</v>
      </c>
      <c r="E778" s="82" t="str">
        <f>_xlfn.TEXTJOIN("; ",TRUE,IF([1]DATABASE!X739&lt;0,"Negative Discount",""),IF(AND([1]DATABASE!Y739&gt;[1]DATABASE!T739,[1]DATABASE!Y739&gt;0,[1]DATABASE!T739&gt;0),"Sell Price &gt; Current",""),IF(AND(TRIM([1]DATABASE!Q739)="DEED",[1]DATABASE!AA739=""),"Deeded no PSPA Date",""),IF([1]DATABASE!E739="","Missing Typology",""),IF([1]DATABASE!AJ739="","Missing Development",""))</f>
        <v/>
      </c>
      <c r="F778" s="82" t="str">
        <f>_xlfn.TEXTJOIN("; ",TRUE,IF(AND(OR(TRIM([1]DATABASE!Q739)="RESERVED",TRIM([1]DATABASE!Q739)="PRE-RESERVED",TRIM([1]DATABASE!Q739)="PSPA"),[1]DATABASE!AA739=""),"Reserved/PSPA no PSPA Date",""),IF(AND(TRIM([1]DATABASE!Q739)="AVAILABLE",[1]DATABASE!AA739&lt;&gt;""),"Available has PSPA Date",""))</f>
        <v/>
      </c>
      <c r="G778" s="82" t="str">
        <f>_xlfn.TEXTJOIN("; ",TRUE,IF(AND([1]DATABASE!T739&lt;0.8*[1]DATABASE!S739,[1]DATABASE!T739&gt;0,[1]DATABASE!S739&gt;0),"Heavy Price Cut &gt;20%",""),IF(AND(OR(TRIM([1]DATABASE!Q739)="AVAILABLE",TRIM([1]DATABASE!Q739)="UPON REQUEST"),OR([1]DATABASE!T739="",[1]DATABASE!T739=0)),"Active Unit no Price",""),IF(AND(OR(TRIM([1]DATABASE!Q739)="AVAILABLE",TRIM([1]DATABASE!Q739)="RESERVED",TRIM([1]DATABASE!Q739)="PRE-RESERVED",TRIM([1]DATABASE!Q739)="PSPA"),[1]DATABASE!AC739=""),"Active no Owner",""),IF(OR([1]DATABASE!F739="",[1]DATABASE!F739&lt;=0),"Missing/Invalid Area",""),IF(AND([1]DATABASE!T739&gt;0,ABS([1]DATABASE!T739-[1]DATABASE!W739-[1]DATABASE!U739-[1]DATABASE!V739)&gt;1),"Price Bridge Mismatch",""))</f>
        <v/>
      </c>
      <c r="H778" t="str">
        <f t="shared" si="14"/>
        <v>PASS</v>
      </c>
      <c r="I778" s="90">
        <f>[1]DATABASE!T739</f>
        <v>860000</v>
      </c>
      <c r="J778" t="str">
        <f>[1]DATABASE!AC739</f>
        <v>Ana Damásio</v>
      </c>
    </row>
    <row r="779" spans="1:10" ht="13.95" customHeight="1" x14ac:dyDescent="0.3">
      <c r="A779">
        <f>ROW([1]DATABASE!A740)</f>
        <v>740</v>
      </c>
      <c r="B779" t="str">
        <f>[1]DATABASE!AJ740</f>
        <v>Botanica</v>
      </c>
      <c r="C779" t="str">
        <f>[1]DATABASE!C740</f>
        <v>AL</v>
      </c>
      <c r="D779" t="str">
        <f>TRIM([1]DATABASE!Q740)</f>
        <v>AVAILABLE</v>
      </c>
      <c r="E779" s="82" t="str">
        <f>_xlfn.TEXTJOIN("; ",TRUE,IF([1]DATABASE!X740&lt;0,"Negative Discount",""),IF(AND([1]DATABASE!Y740&gt;[1]DATABASE!T740,[1]DATABASE!Y740&gt;0,[1]DATABASE!T740&gt;0),"Sell Price &gt; Current",""),IF(AND(TRIM([1]DATABASE!Q740)="DEED",[1]DATABASE!AA740=""),"Deeded no PSPA Date",""),IF([1]DATABASE!E740="","Missing Typology",""),IF([1]DATABASE!AJ740="","Missing Development",""))</f>
        <v/>
      </c>
      <c r="F779" s="82" t="str">
        <f>_xlfn.TEXTJOIN("; ",TRUE,IF(AND(OR(TRIM([1]DATABASE!Q740)="RESERVED",TRIM([1]DATABASE!Q740)="PRE-RESERVED",TRIM([1]DATABASE!Q740)="PSPA"),[1]DATABASE!AA740=""),"Reserved/PSPA no PSPA Date",""),IF(AND(TRIM([1]DATABASE!Q740)="AVAILABLE",[1]DATABASE!AA740&lt;&gt;""),"Available has PSPA Date",""))</f>
        <v/>
      </c>
      <c r="G779" s="82" t="str">
        <f>_xlfn.TEXTJOIN("; ",TRUE,IF(AND([1]DATABASE!T740&lt;0.8*[1]DATABASE!S740,[1]DATABASE!T740&gt;0,[1]DATABASE!S740&gt;0),"Heavy Price Cut &gt;20%",""),IF(AND(OR(TRIM([1]DATABASE!Q740)="AVAILABLE",TRIM([1]DATABASE!Q740)="UPON REQUEST"),OR([1]DATABASE!T740="",[1]DATABASE!T740=0)),"Active Unit no Price",""),IF(AND(OR(TRIM([1]DATABASE!Q740)="AVAILABLE",TRIM([1]DATABASE!Q740)="RESERVED",TRIM([1]DATABASE!Q740)="PRE-RESERVED",TRIM([1]DATABASE!Q740)="PSPA"),[1]DATABASE!AC740=""),"Active no Owner",""),IF(OR([1]DATABASE!F740="",[1]DATABASE!F740&lt;=0),"Missing/Invalid Area",""),IF(AND([1]DATABASE!T740&gt;0,ABS([1]DATABASE!T740-[1]DATABASE!W740-[1]DATABASE!U740-[1]DATABASE!V740)&gt;1),"Price Bridge Mismatch",""))</f>
        <v/>
      </c>
      <c r="H779" t="str">
        <f t="shared" si="14"/>
        <v>PASS</v>
      </c>
      <c r="I779" s="90">
        <f>[1]DATABASE!T740</f>
        <v>1575000</v>
      </c>
      <c r="J779" t="str">
        <f>[1]DATABASE!AC740</f>
        <v>Ana Damásio</v>
      </c>
    </row>
    <row r="780" spans="1:10" ht="13.95" customHeight="1" x14ac:dyDescent="0.3">
      <c r="A780">
        <f>ROW([1]DATABASE!A741)</f>
        <v>741</v>
      </c>
      <c r="B780" t="str">
        <f>[1]DATABASE!AJ741</f>
        <v>Palmares</v>
      </c>
      <c r="C780" t="str">
        <f>[1]DATABASE!C741</f>
        <v>14</v>
      </c>
      <c r="D780" t="str">
        <f>TRIM([1]DATABASE!Q741)</f>
        <v>AVAILABLE</v>
      </c>
      <c r="E780" s="82" t="str">
        <f>_xlfn.TEXTJOIN("; ",TRUE,IF([1]DATABASE!X741&lt;0,"Negative Discount",""),IF(AND([1]DATABASE!Y741&gt;[1]DATABASE!T741,[1]DATABASE!Y741&gt;0,[1]DATABASE!T741&gt;0),"Sell Price &gt; Current",""),IF(AND(TRIM([1]DATABASE!Q741)="DEED",[1]DATABASE!AA741=""),"Deeded no PSPA Date",""),IF([1]DATABASE!E741="","Missing Typology",""),IF([1]DATABASE!AJ741="","Missing Development",""))</f>
        <v/>
      </c>
      <c r="F780" s="82" t="str">
        <f>_xlfn.TEXTJOIN("; ",TRUE,IF(AND(OR(TRIM([1]DATABASE!Q741)="RESERVED",TRIM([1]DATABASE!Q741)="PRE-RESERVED",TRIM([1]DATABASE!Q741)="PSPA"),[1]DATABASE!AA741=""),"Reserved/PSPA no PSPA Date",""),IF(AND(TRIM([1]DATABASE!Q741)="AVAILABLE",[1]DATABASE!AA741&lt;&gt;""),"Available has PSPA Date",""))</f>
        <v/>
      </c>
      <c r="G780" s="82" t="str">
        <f>_xlfn.TEXTJOIN("; ",TRUE,IF(AND([1]DATABASE!T741&lt;0.8*[1]DATABASE!S741,[1]DATABASE!T741&gt;0,[1]DATABASE!S741&gt;0),"Heavy Price Cut &gt;20%",""),IF(AND(OR(TRIM([1]DATABASE!Q741)="AVAILABLE",TRIM([1]DATABASE!Q741)="UPON REQUEST"),OR([1]DATABASE!T741="",[1]DATABASE!T741=0)),"Active Unit no Price",""),IF(AND(OR(TRIM([1]DATABASE!Q741)="AVAILABLE",TRIM([1]DATABASE!Q741)="RESERVED",TRIM([1]DATABASE!Q741)="PRE-RESERVED",TRIM([1]DATABASE!Q741)="PSPA"),[1]DATABASE!AC741=""),"Active no Owner",""),IF(OR([1]DATABASE!F741="",[1]DATABASE!F741&lt;=0),"Missing/Invalid Area",""),IF(AND([1]DATABASE!T741&gt;0,ABS([1]DATABASE!T741-[1]DATABASE!W741-[1]DATABASE!U741-[1]DATABASE!V741)&gt;1),"Price Bridge Mismatch",""))</f>
        <v/>
      </c>
      <c r="H780" t="str">
        <f t="shared" si="14"/>
        <v>PASS</v>
      </c>
      <c r="I780" s="90">
        <f>[1]DATABASE!T741</f>
        <v>1100000</v>
      </c>
      <c r="J780" t="str">
        <f>[1]DATABASE!AC741</f>
        <v>Sandra Viegas</v>
      </c>
    </row>
    <row r="781" spans="1:10" ht="13.95" customHeight="1" x14ac:dyDescent="0.3">
      <c r="A781">
        <f>ROW([1]DATABASE!A742)</f>
        <v>742</v>
      </c>
      <c r="B781" t="str">
        <f>[1]DATABASE!AJ742</f>
        <v>Palmares</v>
      </c>
      <c r="C781" t="str">
        <f>[1]DATABASE!C742</f>
        <v>24</v>
      </c>
      <c r="D781" t="str">
        <f>TRIM([1]DATABASE!Q742)</f>
        <v>AVAILABLE</v>
      </c>
      <c r="E781" s="82" t="str">
        <f>_xlfn.TEXTJOIN("; ",TRUE,IF([1]DATABASE!X742&lt;0,"Negative Discount",""),IF(AND([1]DATABASE!Y742&gt;[1]DATABASE!T742,[1]DATABASE!Y742&gt;0,[1]DATABASE!T742&gt;0),"Sell Price &gt; Current",""),IF(AND(TRIM([1]DATABASE!Q742)="DEED",[1]DATABASE!AA742=""),"Deeded no PSPA Date",""),IF([1]DATABASE!E742="","Missing Typology",""),IF([1]DATABASE!AJ742="","Missing Development",""))</f>
        <v/>
      </c>
      <c r="F781" s="82" t="str">
        <f>_xlfn.TEXTJOIN("; ",TRUE,IF(AND(OR(TRIM([1]DATABASE!Q742)="RESERVED",TRIM([1]DATABASE!Q742)="PRE-RESERVED",TRIM([1]DATABASE!Q742)="PSPA"),[1]DATABASE!AA742=""),"Reserved/PSPA no PSPA Date",""),IF(AND(TRIM([1]DATABASE!Q742)="AVAILABLE",[1]DATABASE!AA742&lt;&gt;""),"Available has PSPA Date",""))</f>
        <v/>
      </c>
      <c r="G781" s="82" t="str">
        <f>_xlfn.TEXTJOIN("; ",TRUE,IF(AND([1]DATABASE!T742&lt;0.8*[1]DATABASE!S742,[1]DATABASE!T742&gt;0,[1]DATABASE!S742&gt;0),"Heavy Price Cut &gt;20%",""),IF(AND(OR(TRIM([1]DATABASE!Q742)="AVAILABLE",TRIM([1]DATABASE!Q742)="UPON REQUEST"),OR([1]DATABASE!T742="",[1]DATABASE!T742=0)),"Active Unit no Price",""),IF(AND(OR(TRIM([1]DATABASE!Q742)="AVAILABLE",TRIM([1]DATABASE!Q742)="RESERVED",TRIM([1]DATABASE!Q742)="PRE-RESERVED",TRIM([1]DATABASE!Q742)="PSPA"),[1]DATABASE!AC742=""),"Active no Owner",""),IF(OR([1]DATABASE!F742="",[1]DATABASE!F742&lt;=0),"Missing/Invalid Area",""),IF(AND([1]DATABASE!T742&gt;0,ABS([1]DATABASE!T742-[1]DATABASE!W742-[1]DATABASE!U742-[1]DATABASE!V742)&gt;1),"Price Bridge Mismatch",""))</f>
        <v/>
      </c>
      <c r="H781" t="str">
        <f t="shared" si="14"/>
        <v>PASS</v>
      </c>
      <c r="I781" s="90">
        <f>[1]DATABASE!T742</f>
        <v>1700000</v>
      </c>
      <c r="J781" t="str">
        <f>[1]DATABASE!AC742</f>
        <v>Sandra Viegas</v>
      </c>
    </row>
    <row r="782" spans="1:10" ht="13.95" customHeight="1" x14ac:dyDescent="0.3">
      <c r="A782">
        <f>ROW([1]DATABASE!A743)</f>
        <v>743</v>
      </c>
      <c r="B782" t="str">
        <f>[1]DATABASE!AJ743</f>
        <v>Rivus</v>
      </c>
      <c r="C782" t="str">
        <f>[1]DATABASE!C743</f>
        <v>AL</v>
      </c>
      <c r="D782" t="str">
        <f>TRIM([1]DATABASE!Q743)</f>
        <v>AVAILABLE</v>
      </c>
      <c r="E782" s="82" t="str">
        <f>_xlfn.TEXTJOIN("; ",TRUE,IF([1]DATABASE!X743&lt;0,"Negative Discount",""),IF(AND([1]DATABASE!Y743&gt;[1]DATABASE!T743,[1]DATABASE!Y743&gt;0,[1]DATABASE!T743&gt;0),"Sell Price &gt; Current",""),IF(AND(TRIM([1]DATABASE!Q743)="DEED",[1]DATABASE!AA743=""),"Deeded no PSPA Date",""),IF([1]DATABASE!E743="","Missing Typology",""),IF([1]DATABASE!AJ743="","Missing Development",""))</f>
        <v/>
      </c>
      <c r="F782" s="82" t="str">
        <f>_xlfn.TEXTJOIN("; ",TRUE,IF(AND(OR(TRIM([1]DATABASE!Q743)="RESERVED",TRIM([1]DATABASE!Q743)="PRE-RESERVED",TRIM([1]DATABASE!Q743)="PSPA"),[1]DATABASE!AA743=""),"Reserved/PSPA no PSPA Date",""),IF(AND(TRIM([1]DATABASE!Q743)="AVAILABLE",[1]DATABASE!AA743&lt;&gt;""),"Available has PSPA Date",""))</f>
        <v/>
      </c>
      <c r="G782" s="82" t="str">
        <f>_xlfn.TEXTJOIN("; ",TRUE,IF(AND([1]DATABASE!T743&lt;0.8*[1]DATABASE!S743,[1]DATABASE!T743&gt;0,[1]DATABASE!S743&gt;0),"Heavy Price Cut &gt;20%",""),IF(AND(OR(TRIM([1]DATABASE!Q743)="AVAILABLE",TRIM([1]DATABASE!Q743)="UPON REQUEST"),OR([1]DATABASE!T743="",[1]DATABASE!T743=0)),"Active Unit no Price",""),IF(AND(OR(TRIM([1]DATABASE!Q743)="AVAILABLE",TRIM([1]DATABASE!Q743)="RESERVED",TRIM([1]DATABASE!Q743)="PRE-RESERVED",TRIM([1]DATABASE!Q743)="PSPA"),[1]DATABASE!AC743=""),"Active no Owner",""),IF(OR([1]DATABASE!F743="",[1]DATABASE!F743&lt;=0),"Missing/Invalid Area",""),IF(AND([1]DATABASE!T743&gt;0,ABS([1]DATABASE!T743-[1]DATABASE!W743-[1]DATABASE!U743-[1]DATABASE!V743)&gt;1),"Price Bridge Mismatch",""))</f>
        <v>Missing/Invalid Area</v>
      </c>
      <c r="H782" t="str">
        <f t="shared" si="14"/>
        <v>REVIEW</v>
      </c>
      <c r="I782" s="90">
        <f>[1]DATABASE!T743</f>
        <v>1760000</v>
      </c>
      <c r="J782" t="str">
        <f>[1]DATABASE!AC743</f>
        <v>Ana Damásio</v>
      </c>
    </row>
    <row r="783" spans="1:10" ht="13.95" customHeight="1" x14ac:dyDescent="0.3">
      <c r="A783">
        <f>ROW([1]DATABASE!A744)</f>
        <v>744</v>
      </c>
      <c r="B783" t="str">
        <f>[1]DATABASE!AJ744</f>
        <v>Springs - At the Els</v>
      </c>
      <c r="C783" t="str">
        <f>[1]DATABASE!C744</f>
        <v>AL</v>
      </c>
      <c r="D783" t="str">
        <f>TRIM([1]DATABASE!Q744)</f>
        <v>AVAILABLE</v>
      </c>
      <c r="E783" s="82" t="str">
        <f>_xlfn.TEXTJOIN("; ",TRUE,IF([1]DATABASE!X744&lt;0,"Negative Discount",""),IF(AND([1]DATABASE!Y744&gt;[1]DATABASE!T744,[1]DATABASE!Y744&gt;0,[1]DATABASE!T744&gt;0),"Sell Price &gt; Current",""),IF(AND(TRIM([1]DATABASE!Q744)="DEED",[1]DATABASE!AA744=""),"Deeded no PSPA Date",""),IF([1]DATABASE!E744="","Missing Typology",""),IF([1]DATABASE!AJ744="","Missing Development",""))</f>
        <v/>
      </c>
      <c r="F783" s="82" t="str">
        <f>_xlfn.TEXTJOIN("; ",TRUE,IF(AND(OR(TRIM([1]DATABASE!Q744)="RESERVED",TRIM([1]DATABASE!Q744)="PRE-RESERVED",TRIM([1]DATABASE!Q744)="PSPA"),[1]DATABASE!AA744=""),"Reserved/PSPA no PSPA Date",""),IF(AND(TRIM([1]DATABASE!Q744)="AVAILABLE",[1]DATABASE!AA744&lt;&gt;""),"Available has PSPA Date",""))</f>
        <v/>
      </c>
      <c r="G783" s="82" t="str">
        <f>_xlfn.TEXTJOIN("; ",TRUE,IF(AND([1]DATABASE!T744&lt;0.8*[1]DATABASE!S744,[1]DATABASE!T744&gt;0,[1]DATABASE!S744&gt;0),"Heavy Price Cut &gt;20%",""),IF(AND(OR(TRIM([1]DATABASE!Q744)="AVAILABLE",TRIM([1]DATABASE!Q744)="UPON REQUEST"),OR([1]DATABASE!T744="",[1]DATABASE!T744=0)),"Active Unit no Price",""),IF(AND(OR(TRIM([1]DATABASE!Q744)="AVAILABLE",TRIM([1]DATABASE!Q744)="RESERVED",TRIM([1]DATABASE!Q744)="PRE-RESERVED",TRIM([1]DATABASE!Q744)="PSPA"),[1]DATABASE!AC744=""),"Active no Owner",""),IF(OR([1]DATABASE!F744="",[1]DATABASE!F744&lt;=0),"Missing/Invalid Area",""),IF(AND([1]DATABASE!T744&gt;0,ABS([1]DATABASE!T744-[1]DATABASE!W744-[1]DATABASE!U744-[1]DATABASE!V744)&gt;1),"Price Bridge Mismatch",""))</f>
        <v/>
      </c>
      <c r="H783" t="str">
        <f t="shared" si="14"/>
        <v>PASS</v>
      </c>
      <c r="I783" s="90">
        <f>[1]DATABASE!T744</f>
        <v>2030000</v>
      </c>
      <c r="J783" t="str">
        <f>[1]DATABASE!AC744</f>
        <v>Ana Damásio</v>
      </c>
    </row>
    <row r="784" spans="1:10" ht="13.95" customHeight="1" x14ac:dyDescent="0.3">
      <c r="A784">
        <f>ROW([1]DATABASE!A745)</f>
        <v>745</v>
      </c>
      <c r="B784" t="str">
        <f>[1]DATABASE!AJ745</f>
        <v>Palmares</v>
      </c>
      <c r="C784" t="str">
        <f>[1]DATABASE!C745</f>
        <v>25</v>
      </c>
      <c r="D784" t="str">
        <f>TRIM([1]DATABASE!Q745)</f>
        <v>AVAILABLE</v>
      </c>
      <c r="E784" s="82" t="str">
        <f>_xlfn.TEXTJOIN("; ",TRUE,IF([1]DATABASE!X745&lt;0,"Negative Discount",""),IF(AND([1]DATABASE!Y745&gt;[1]DATABASE!T745,[1]DATABASE!Y745&gt;0,[1]DATABASE!T745&gt;0),"Sell Price &gt; Current",""),IF(AND(TRIM([1]DATABASE!Q745)="DEED",[1]DATABASE!AA745=""),"Deeded no PSPA Date",""),IF([1]DATABASE!E745="","Missing Typology",""),IF([1]DATABASE!AJ745="","Missing Development",""))</f>
        <v/>
      </c>
      <c r="F784" s="82" t="str">
        <f>_xlfn.TEXTJOIN("; ",TRUE,IF(AND(OR(TRIM([1]DATABASE!Q745)="RESERVED",TRIM([1]DATABASE!Q745)="PRE-RESERVED",TRIM([1]DATABASE!Q745)="PSPA"),[1]DATABASE!AA745=""),"Reserved/PSPA no PSPA Date",""),IF(AND(TRIM([1]DATABASE!Q745)="AVAILABLE",[1]DATABASE!AA745&lt;&gt;""),"Available has PSPA Date",""))</f>
        <v/>
      </c>
      <c r="G784" s="82" t="str">
        <f>_xlfn.TEXTJOIN("; ",TRUE,IF(AND([1]DATABASE!T745&lt;0.8*[1]DATABASE!S745,[1]DATABASE!T745&gt;0,[1]DATABASE!S745&gt;0),"Heavy Price Cut &gt;20%",""),IF(AND(OR(TRIM([1]DATABASE!Q745)="AVAILABLE",TRIM([1]DATABASE!Q745)="UPON REQUEST"),OR([1]DATABASE!T745="",[1]DATABASE!T745=0)),"Active Unit no Price",""),IF(AND(OR(TRIM([1]DATABASE!Q745)="AVAILABLE",TRIM([1]DATABASE!Q745)="RESERVED",TRIM([1]DATABASE!Q745)="PRE-RESERVED",TRIM([1]DATABASE!Q745)="PSPA"),[1]DATABASE!AC745=""),"Active no Owner",""),IF(OR([1]DATABASE!F745="",[1]DATABASE!F745&lt;=0),"Missing/Invalid Area",""),IF(AND([1]DATABASE!T745&gt;0,ABS([1]DATABASE!T745-[1]DATABASE!W745-[1]DATABASE!U745-[1]DATABASE!V745)&gt;1),"Price Bridge Mismatch",""))</f>
        <v/>
      </c>
      <c r="H784" t="str">
        <f t="shared" si="14"/>
        <v>PASS</v>
      </c>
      <c r="I784" s="90">
        <f>[1]DATABASE!T745</f>
        <v>1650000</v>
      </c>
      <c r="J784" t="str">
        <f>[1]DATABASE!AC745</f>
        <v>Sandra Viegas</v>
      </c>
    </row>
    <row r="785" spans="1:10" ht="13.95" customHeight="1" x14ac:dyDescent="0.3">
      <c r="A785">
        <f>ROW([1]DATABASE!A746)</f>
        <v>746</v>
      </c>
      <c r="B785" t="str">
        <f>[1]DATABASE!AJ746</f>
        <v>Vale Pisão Grand Park</v>
      </c>
      <c r="C785" t="str">
        <f>[1]DATABASE!C746</f>
        <v>4A</v>
      </c>
      <c r="D785" t="str">
        <f>TRIM([1]DATABASE!Q746)</f>
        <v>AVAILABLE</v>
      </c>
      <c r="E785" s="82" t="str">
        <f>_xlfn.TEXTJOIN("; ",TRUE,IF([1]DATABASE!X746&lt;0,"Negative Discount",""),IF(AND([1]DATABASE!Y746&gt;[1]DATABASE!T746,[1]DATABASE!Y746&gt;0,[1]DATABASE!T746&gt;0),"Sell Price &gt; Current",""),IF(AND(TRIM([1]DATABASE!Q746)="DEED",[1]DATABASE!AA746=""),"Deeded no PSPA Date",""),IF([1]DATABASE!E746="","Missing Typology",""),IF([1]DATABASE!AJ746="","Missing Development",""))</f>
        <v/>
      </c>
      <c r="F785" s="82" t="str">
        <f>_xlfn.TEXTJOIN("; ",TRUE,IF(AND(OR(TRIM([1]DATABASE!Q746)="RESERVED",TRIM([1]DATABASE!Q746)="PRE-RESERVED",TRIM([1]DATABASE!Q746)="PSPA"),[1]DATABASE!AA746=""),"Reserved/PSPA no PSPA Date",""),IF(AND(TRIM([1]DATABASE!Q746)="AVAILABLE",[1]DATABASE!AA746&lt;&gt;""),"Available has PSPA Date",""))</f>
        <v/>
      </c>
      <c r="G785" s="82" t="str">
        <f>_xlfn.TEXTJOIN("; ",TRUE,IF(AND([1]DATABASE!T746&lt;0.8*[1]DATABASE!S746,[1]DATABASE!T746&gt;0,[1]DATABASE!S746&gt;0),"Heavy Price Cut &gt;20%",""),IF(AND(OR(TRIM([1]DATABASE!Q746)="AVAILABLE",TRIM([1]DATABASE!Q746)="UPON REQUEST"),OR([1]DATABASE!T746="",[1]DATABASE!T746=0)),"Active Unit no Price",""),IF(AND(OR(TRIM([1]DATABASE!Q746)="AVAILABLE",TRIM([1]DATABASE!Q746)="RESERVED",TRIM([1]DATABASE!Q746)="PRE-RESERVED",TRIM([1]DATABASE!Q746)="PSPA"),[1]DATABASE!AC746=""),"Active no Owner",""),IF(OR([1]DATABASE!F746="",[1]DATABASE!F746&lt;=0),"Missing/Invalid Area",""),IF(AND([1]DATABASE!T746&gt;0,ABS([1]DATABASE!T746-[1]DATABASE!W746-[1]DATABASE!U746-[1]DATABASE!V746)&gt;1),"Price Bridge Mismatch",""))</f>
        <v/>
      </c>
      <c r="H785" t="str">
        <f t="shared" si="14"/>
        <v>PASS</v>
      </c>
      <c r="I785" s="90">
        <f>[1]DATABASE!T746</f>
        <v>870000</v>
      </c>
      <c r="J785" t="str">
        <f>[1]DATABASE!AC746</f>
        <v>João Gameiro</v>
      </c>
    </row>
    <row r="786" spans="1:10" ht="13.95" customHeight="1" x14ac:dyDescent="0.3">
      <c r="A786">
        <f>ROW([1]DATABASE!A747)</f>
        <v>747</v>
      </c>
      <c r="B786" t="str">
        <f>[1]DATABASE!AJ747</f>
        <v>Vale Pisão Grand Park</v>
      </c>
      <c r="C786" t="str">
        <f>[1]DATABASE!C747</f>
        <v>1A</v>
      </c>
      <c r="D786" t="str">
        <f>TRIM([1]DATABASE!Q747)</f>
        <v>UPON REQUEST</v>
      </c>
      <c r="E786" s="82" t="str">
        <f>_xlfn.TEXTJOIN("; ",TRUE,IF([1]DATABASE!X747&lt;0,"Negative Discount",""),IF(AND([1]DATABASE!Y747&gt;[1]DATABASE!T747,[1]DATABASE!Y747&gt;0,[1]DATABASE!T747&gt;0),"Sell Price &gt; Current",""),IF(AND(TRIM([1]DATABASE!Q747)="DEED",[1]DATABASE!AA747=""),"Deeded no PSPA Date",""),IF([1]DATABASE!E747="","Missing Typology",""),IF([1]DATABASE!AJ747="","Missing Development",""))</f>
        <v/>
      </c>
      <c r="F786" s="82" t="str">
        <f>_xlfn.TEXTJOIN("; ",TRUE,IF(AND(OR(TRIM([1]DATABASE!Q747)="RESERVED",TRIM([1]DATABASE!Q747)="PRE-RESERVED",TRIM([1]DATABASE!Q747)="PSPA"),[1]DATABASE!AA747=""),"Reserved/PSPA no PSPA Date",""),IF(AND(TRIM([1]DATABASE!Q747)="AVAILABLE",[1]DATABASE!AA747&lt;&gt;""),"Available has PSPA Date",""))</f>
        <v/>
      </c>
      <c r="G786" s="82" t="str">
        <f>_xlfn.TEXTJOIN("; ",TRUE,IF(AND([1]DATABASE!T747&lt;0.8*[1]DATABASE!S747,[1]DATABASE!T747&gt;0,[1]DATABASE!S747&gt;0),"Heavy Price Cut &gt;20%",""),IF(AND(OR(TRIM([1]DATABASE!Q747)="AVAILABLE",TRIM([1]DATABASE!Q747)="UPON REQUEST"),OR([1]DATABASE!T747="",[1]DATABASE!T747=0)),"Active Unit no Price",""),IF(AND(OR(TRIM([1]DATABASE!Q747)="AVAILABLE",TRIM([1]DATABASE!Q747)="RESERVED",TRIM([1]DATABASE!Q747)="PRE-RESERVED",TRIM([1]DATABASE!Q747)="PSPA"),[1]DATABASE!AC747=""),"Active no Owner",""),IF(OR([1]DATABASE!F747="",[1]DATABASE!F747&lt;=0),"Missing/Invalid Area",""),IF(AND([1]DATABASE!T747&gt;0,ABS([1]DATABASE!T747-[1]DATABASE!W747-[1]DATABASE!U747-[1]DATABASE!V747)&gt;1),"Price Bridge Mismatch",""))</f>
        <v/>
      </c>
      <c r="H786" t="str">
        <f t="shared" si="14"/>
        <v>PASS</v>
      </c>
      <c r="I786" s="90">
        <f>[1]DATABASE!T747</f>
        <v>840000</v>
      </c>
      <c r="J786" t="str">
        <f>[1]DATABASE!AC747</f>
        <v>João Gameiro</v>
      </c>
    </row>
    <row r="787" spans="1:10" ht="13.95" customHeight="1" x14ac:dyDescent="0.3">
      <c r="A787">
        <f>ROW([1]DATABASE!A748)</f>
        <v>748</v>
      </c>
      <c r="B787" t="str">
        <f>[1]DATABASE!AJ748</f>
        <v>Vale Pisão Grand Park</v>
      </c>
      <c r="C787" t="str">
        <f>[1]DATABASE!C748</f>
        <v>3A</v>
      </c>
      <c r="D787" t="str">
        <f>TRIM([1]DATABASE!Q748)</f>
        <v>UPON REQUEST</v>
      </c>
      <c r="E787" s="82" t="str">
        <f>_xlfn.TEXTJOIN("; ",TRUE,IF([1]DATABASE!X748&lt;0,"Negative Discount",""),IF(AND([1]DATABASE!Y748&gt;[1]DATABASE!T748,[1]DATABASE!Y748&gt;0,[1]DATABASE!T748&gt;0),"Sell Price &gt; Current",""),IF(AND(TRIM([1]DATABASE!Q748)="DEED",[1]DATABASE!AA748=""),"Deeded no PSPA Date",""),IF([1]DATABASE!E748="","Missing Typology",""),IF([1]DATABASE!AJ748="","Missing Development",""))</f>
        <v/>
      </c>
      <c r="F787" s="82" t="str">
        <f>_xlfn.TEXTJOIN("; ",TRUE,IF(AND(OR(TRIM([1]DATABASE!Q748)="RESERVED",TRIM([1]DATABASE!Q748)="PRE-RESERVED",TRIM([1]DATABASE!Q748)="PSPA"),[1]DATABASE!AA748=""),"Reserved/PSPA no PSPA Date",""),IF(AND(TRIM([1]DATABASE!Q748)="AVAILABLE",[1]DATABASE!AA748&lt;&gt;""),"Available has PSPA Date",""))</f>
        <v/>
      </c>
      <c r="G787" s="82" t="str">
        <f>_xlfn.TEXTJOIN("; ",TRUE,IF(AND([1]DATABASE!T748&lt;0.8*[1]DATABASE!S748,[1]DATABASE!T748&gt;0,[1]DATABASE!S748&gt;0),"Heavy Price Cut &gt;20%",""),IF(AND(OR(TRIM([1]DATABASE!Q748)="AVAILABLE",TRIM([1]DATABASE!Q748)="UPON REQUEST"),OR([1]DATABASE!T748="",[1]DATABASE!T748=0)),"Active Unit no Price",""),IF(AND(OR(TRIM([1]DATABASE!Q748)="AVAILABLE",TRIM([1]DATABASE!Q748)="RESERVED",TRIM([1]DATABASE!Q748)="PRE-RESERVED",TRIM([1]DATABASE!Q748)="PSPA"),[1]DATABASE!AC748=""),"Active no Owner",""),IF(OR([1]DATABASE!F748="",[1]DATABASE!F748&lt;=0),"Missing/Invalid Area",""),IF(AND([1]DATABASE!T748&gt;0,ABS([1]DATABASE!T748-[1]DATABASE!W748-[1]DATABASE!U748-[1]DATABASE!V748)&gt;1),"Price Bridge Mismatch",""))</f>
        <v/>
      </c>
      <c r="H787" t="str">
        <f t="shared" si="14"/>
        <v>PASS</v>
      </c>
      <c r="I787" s="90">
        <f>[1]DATABASE!T748</f>
        <v>840000</v>
      </c>
      <c r="J787" t="str">
        <f>[1]DATABASE!AC748</f>
        <v>João Gameiro</v>
      </c>
    </row>
    <row r="788" spans="1:10" ht="13.95" customHeight="1" x14ac:dyDescent="0.3">
      <c r="A788">
        <f>ROW([1]DATABASE!A749)</f>
        <v>749</v>
      </c>
      <c r="B788" t="str">
        <f>[1]DATABASE!AJ749</f>
        <v>Vale Pisão Grand Park</v>
      </c>
      <c r="C788" t="str">
        <f>[1]DATABASE!C749</f>
        <v>12A</v>
      </c>
      <c r="D788" t="str">
        <f>TRIM([1]DATABASE!Q749)</f>
        <v>UPON REQUEST</v>
      </c>
      <c r="E788" s="82" t="str">
        <f>_xlfn.TEXTJOIN("; ",TRUE,IF([1]DATABASE!X749&lt;0,"Negative Discount",""),IF(AND([1]DATABASE!Y749&gt;[1]DATABASE!T749,[1]DATABASE!Y749&gt;0,[1]DATABASE!T749&gt;0),"Sell Price &gt; Current",""),IF(AND(TRIM([1]DATABASE!Q749)="DEED",[1]DATABASE!AA749=""),"Deeded no PSPA Date",""),IF([1]DATABASE!E749="","Missing Typology",""),IF([1]DATABASE!AJ749="","Missing Development",""))</f>
        <v/>
      </c>
      <c r="F788" s="82" t="str">
        <f>_xlfn.TEXTJOIN("; ",TRUE,IF(AND(OR(TRIM([1]DATABASE!Q749)="RESERVED",TRIM([1]DATABASE!Q749)="PRE-RESERVED",TRIM([1]DATABASE!Q749)="PSPA"),[1]DATABASE!AA749=""),"Reserved/PSPA no PSPA Date",""),IF(AND(TRIM([1]DATABASE!Q749)="AVAILABLE",[1]DATABASE!AA749&lt;&gt;""),"Available has PSPA Date",""))</f>
        <v/>
      </c>
      <c r="G788" s="82" t="str">
        <f>_xlfn.TEXTJOIN("; ",TRUE,IF(AND([1]DATABASE!T749&lt;0.8*[1]DATABASE!S749,[1]DATABASE!T749&gt;0,[1]DATABASE!S749&gt;0),"Heavy Price Cut &gt;20%",""),IF(AND(OR(TRIM([1]DATABASE!Q749)="AVAILABLE",TRIM([1]DATABASE!Q749)="UPON REQUEST"),OR([1]DATABASE!T749="",[1]DATABASE!T749=0)),"Active Unit no Price",""),IF(AND(OR(TRIM([1]DATABASE!Q749)="AVAILABLE",TRIM([1]DATABASE!Q749)="RESERVED",TRIM([1]DATABASE!Q749)="PRE-RESERVED",TRIM([1]DATABASE!Q749)="PSPA"),[1]DATABASE!AC749=""),"Active no Owner",""),IF(OR([1]DATABASE!F749="",[1]DATABASE!F749&lt;=0),"Missing/Invalid Area",""),IF(AND([1]DATABASE!T749&gt;0,ABS([1]DATABASE!T749-[1]DATABASE!W749-[1]DATABASE!U749-[1]DATABASE!V749)&gt;1),"Price Bridge Mismatch",""))</f>
        <v/>
      </c>
      <c r="H788" t="str">
        <f t="shared" si="14"/>
        <v>PASS</v>
      </c>
      <c r="I788" s="90">
        <f>[1]DATABASE!T749</f>
        <v>860000</v>
      </c>
      <c r="J788" t="str">
        <f>[1]DATABASE!AC749</f>
        <v>João Gameiro</v>
      </c>
    </row>
    <row r="789" spans="1:10" ht="13.95" customHeight="1" x14ac:dyDescent="0.3">
      <c r="A789">
        <f>ROW([1]DATABASE!A750)</f>
        <v>750</v>
      </c>
      <c r="B789" t="str">
        <f>[1]DATABASE!AJ750</f>
        <v>Aroeira Collections</v>
      </c>
      <c r="C789" t="str">
        <f>[1]DATABASE!C750</f>
        <v>303A</v>
      </c>
      <c r="D789" t="str">
        <f>TRIM([1]DATABASE!Q750)</f>
        <v>AVAILABLE</v>
      </c>
      <c r="E789" s="82" t="str">
        <f>_xlfn.TEXTJOIN("; ",TRUE,IF([1]DATABASE!X750&lt;0,"Negative Discount",""),IF(AND([1]DATABASE!Y750&gt;[1]DATABASE!T750,[1]DATABASE!Y750&gt;0,[1]DATABASE!T750&gt;0),"Sell Price &gt; Current",""),IF(AND(TRIM([1]DATABASE!Q750)="DEED",[1]DATABASE!AA750=""),"Deeded no PSPA Date",""),IF([1]DATABASE!E750="","Missing Typology",""),IF([1]DATABASE!AJ750="","Missing Development",""))</f>
        <v/>
      </c>
      <c r="F789" s="82" t="str">
        <f>_xlfn.TEXTJOIN("; ",TRUE,IF(AND(OR(TRIM([1]DATABASE!Q750)="RESERVED",TRIM([1]DATABASE!Q750)="PRE-RESERVED",TRIM([1]DATABASE!Q750)="PSPA"),[1]DATABASE!AA750=""),"Reserved/PSPA no PSPA Date",""),IF(AND(TRIM([1]DATABASE!Q750)="AVAILABLE",[1]DATABASE!AA750&lt;&gt;""),"Available has PSPA Date",""))</f>
        <v/>
      </c>
      <c r="G789" s="82" t="str">
        <f>_xlfn.TEXTJOIN("; ",TRUE,IF(AND([1]DATABASE!T750&lt;0.8*[1]DATABASE!S750,[1]DATABASE!T750&gt;0,[1]DATABASE!S750&gt;0),"Heavy Price Cut &gt;20%",""),IF(AND(OR(TRIM([1]DATABASE!Q750)="AVAILABLE",TRIM([1]DATABASE!Q750)="UPON REQUEST"),OR([1]DATABASE!T750="",[1]DATABASE!T750=0)),"Active Unit no Price",""),IF(AND(OR(TRIM([1]DATABASE!Q750)="AVAILABLE",TRIM([1]DATABASE!Q750)="RESERVED",TRIM([1]DATABASE!Q750)="PRE-RESERVED",TRIM([1]DATABASE!Q750)="PSPA"),[1]DATABASE!AC750=""),"Active no Owner",""),IF(OR([1]DATABASE!F750="",[1]DATABASE!F750&lt;=0),"Missing/Invalid Area",""),IF(AND([1]DATABASE!T750&gt;0,ABS([1]DATABASE!T750-[1]DATABASE!W750-[1]DATABASE!U750-[1]DATABASE!V750)&gt;1),"Price Bridge Mismatch",""))</f>
        <v/>
      </c>
      <c r="H789" t="str">
        <f t="shared" si="14"/>
        <v>PASS</v>
      </c>
      <c r="I789" s="90">
        <f>[1]DATABASE!T750</f>
        <v>450000</v>
      </c>
      <c r="J789" t="str">
        <f>[1]DATABASE!AC750</f>
        <v>João Gameiro</v>
      </c>
    </row>
    <row r="790" spans="1:10" ht="13.95" customHeight="1" x14ac:dyDescent="0.3">
      <c r="A790">
        <f>ROW([1]DATABASE!A751)</f>
        <v>751</v>
      </c>
      <c r="B790" t="str">
        <f>[1]DATABASE!AJ751</f>
        <v>Palmares</v>
      </c>
      <c r="C790" t="str">
        <f>[1]DATABASE!C751</f>
        <v>11</v>
      </c>
      <c r="D790" t="str">
        <f>TRIM([1]DATABASE!Q751)</f>
        <v>AVAILABLE</v>
      </c>
      <c r="E790" s="82" t="str">
        <f>_xlfn.TEXTJOIN("; ",TRUE,IF([1]DATABASE!X751&lt;0,"Negative Discount",""),IF(AND([1]DATABASE!Y751&gt;[1]DATABASE!T751,[1]DATABASE!Y751&gt;0,[1]DATABASE!T751&gt;0),"Sell Price &gt; Current",""),IF(AND(TRIM([1]DATABASE!Q751)="DEED",[1]DATABASE!AA751=""),"Deeded no PSPA Date",""),IF([1]DATABASE!E751="","Missing Typology",""),IF([1]DATABASE!AJ751="","Missing Development",""))</f>
        <v/>
      </c>
      <c r="F790" s="82" t="str">
        <f>_xlfn.TEXTJOIN("; ",TRUE,IF(AND(OR(TRIM([1]DATABASE!Q751)="RESERVED",TRIM([1]DATABASE!Q751)="PRE-RESERVED",TRIM([1]DATABASE!Q751)="PSPA"),[1]DATABASE!AA751=""),"Reserved/PSPA no PSPA Date",""),IF(AND(TRIM([1]DATABASE!Q751)="AVAILABLE",[1]DATABASE!AA751&lt;&gt;""),"Available has PSPA Date",""))</f>
        <v/>
      </c>
      <c r="G790" s="82" t="str">
        <f>_xlfn.TEXTJOIN("; ",TRUE,IF(AND([1]DATABASE!T751&lt;0.8*[1]DATABASE!S751,[1]DATABASE!T751&gt;0,[1]DATABASE!S751&gt;0),"Heavy Price Cut &gt;20%",""),IF(AND(OR(TRIM([1]DATABASE!Q751)="AVAILABLE",TRIM([1]DATABASE!Q751)="UPON REQUEST"),OR([1]DATABASE!T751="",[1]DATABASE!T751=0)),"Active Unit no Price",""),IF(AND(OR(TRIM([1]DATABASE!Q751)="AVAILABLE",TRIM([1]DATABASE!Q751)="RESERVED",TRIM([1]DATABASE!Q751)="PRE-RESERVED",TRIM([1]DATABASE!Q751)="PSPA"),[1]DATABASE!AC751=""),"Active no Owner",""),IF(OR([1]DATABASE!F751="",[1]DATABASE!F751&lt;=0),"Missing/Invalid Area",""),IF(AND([1]DATABASE!T751&gt;0,ABS([1]DATABASE!T751-[1]DATABASE!W751-[1]DATABASE!U751-[1]DATABASE!V751)&gt;1),"Price Bridge Mismatch",""))</f>
        <v/>
      </c>
      <c r="H790" t="str">
        <f t="shared" si="14"/>
        <v>PASS</v>
      </c>
      <c r="I790" s="90">
        <f>[1]DATABASE!T751</f>
        <v>1950000</v>
      </c>
      <c r="J790" t="str">
        <f>[1]DATABASE!AC751</f>
        <v>Sandra Viegas</v>
      </c>
    </row>
    <row r="791" spans="1:10" ht="13.95" customHeight="1" x14ac:dyDescent="0.3">
      <c r="A791">
        <f>ROW([1]DATABASE!A752)</f>
        <v>752</v>
      </c>
      <c r="B791" t="str">
        <f>[1]DATABASE!AJ752</f>
        <v>Zestia</v>
      </c>
      <c r="C791" t="str">
        <f>[1]DATABASE!C752</f>
        <v>AL</v>
      </c>
      <c r="D791" t="str">
        <f>TRIM([1]DATABASE!Q752)</f>
        <v>AVAILABLE</v>
      </c>
      <c r="E791" s="82" t="str">
        <f>_xlfn.TEXTJOIN("; ",TRUE,IF([1]DATABASE!X752&lt;0,"Negative Discount",""),IF(AND([1]DATABASE!Y752&gt;[1]DATABASE!T752,[1]DATABASE!Y752&gt;0,[1]DATABASE!T752&gt;0),"Sell Price &gt; Current",""),IF(AND(TRIM([1]DATABASE!Q752)="DEED",[1]DATABASE!AA752=""),"Deeded no PSPA Date",""),IF([1]DATABASE!E752="","Missing Typology",""),IF([1]DATABASE!AJ752="","Missing Development",""))</f>
        <v/>
      </c>
      <c r="F791" s="82" t="str">
        <f>_xlfn.TEXTJOIN("; ",TRUE,IF(AND(OR(TRIM([1]DATABASE!Q752)="RESERVED",TRIM([1]DATABASE!Q752)="PRE-RESERVED",TRIM([1]DATABASE!Q752)="PSPA"),[1]DATABASE!AA752=""),"Reserved/PSPA no PSPA Date",""),IF(AND(TRIM([1]DATABASE!Q752)="AVAILABLE",[1]DATABASE!AA752&lt;&gt;""),"Available has PSPA Date",""))</f>
        <v/>
      </c>
      <c r="G791" s="82" t="str">
        <f>_xlfn.TEXTJOIN("; ",TRUE,IF(AND([1]DATABASE!T752&lt;0.8*[1]DATABASE!S752,[1]DATABASE!T752&gt;0,[1]DATABASE!S752&gt;0),"Heavy Price Cut &gt;20%",""),IF(AND(OR(TRIM([1]DATABASE!Q752)="AVAILABLE",TRIM([1]DATABASE!Q752)="UPON REQUEST"),OR([1]DATABASE!T752="",[1]DATABASE!T752=0)),"Active Unit no Price",""),IF(AND(OR(TRIM([1]DATABASE!Q752)="AVAILABLE",TRIM([1]DATABASE!Q752)="RESERVED",TRIM([1]DATABASE!Q752)="PRE-RESERVED",TRIM([1]DATABASE!Q752)="PSPA"),[1]DATABASE!AC752=""),"Active no Owner",""),IF(OR([1]DATABASE!F752="",[1]DATABASE!F752&lt;=0),"Missing/Invalid Area",""),IF(AND([1]DATABASE!T752&gt;0,ABS([1]DATABASE!T752-[1]DATABASE!W752-[1]DATABASE!U752-[1]DATABASE!V752)&gt;1),"Price Bridge Mismatch",""))</f>
        <v/>
      </c>
      <c r="H791" t="str">
        <f t="shared" si="14"/>
        <v>PASS</v>
      </c>
      <c r="I791" s="90">
        <f>[1]DATABASE!T752</f>
        <v>850000</v>
      </c>
      <c r="J791" t="str">
        <f>[1]DATABASE!AC752</f>
        <v>Ana Damásio</v>
      </c>
    </row>
    <row r="792" spans="1:10" ht="13.95" customHeight="1" x14ac:dyDescent="0.3">
      <c r="A792">
        <f>ROW([1]DATABASE!A753)</f>
        <v>753</v>
      </c>
      <c r="B792" t="str">
        <f>[1]DATABASE!AJ753</f>
        <v>Nobilus</v>
      </c>
      <c r="C792" t="str">
        <f>[1]DATABASE!C753</f>
        <v>AM</v>
      </c>
      <c r="D792" t="str">
        <f>TRIM([1]DATABASE!Q753)</f>
        <v>AVAILABLE</v>
      </c>
      <c r="E792" s="82" t="str">
        <f>_xlfn.TEXTJOIN("; ",TRUE,IF([1]DATABASE!X753&lt;0,"Negative Discount",""),IF(AND([1]DATABASE!Y753&gt;[1]DATABASE!T753,[1]DATABASE!Y753&gt;0,[1]DATABASE!T753&gt;0),"Sell Price &gt; Current",""),IF(AND(TRIM([1]DATABASE!Q753)="DEED",[1]DATABASE!AA753=""),"Deeded no PSPA Date",""),IF([1]DATABASE!E753="","Missing Typology",""),IF([1]DATABASE!AJ753="","Missing Development",""))</f>
        <v/>
      </c>
      <c r="F792" s="82" t="str">
        <f>_xlfn.TEXTJOIN("; ",TRUE,IF(AND(OR(TRIM([1]DATABASE!Q753)="RESERVED",TRIM([1]DATABASE!Q753)="PRE-RESERVED",TRIM([1]DATABASE!Q753)="PSPA"),[1]DATABASE!AA753=""),"Reserved/PSPA no PSPA Date",""),IF(AND(TRIM([1]DATABASE!Q753)="AVAILABLE",[1]DATABASE!AA753&lt;&gt;""),"Available has PSPA Date",""))</f>
        <v/>
      </c>
      <c r="G792" s="82" t="str">
        <f>_xlfn.TEXTJOIN("; ",TRUE,IF(AND([1]DATABASE!T753&lt;0.8*[1]DATABASE!S753,[1]DATABASE!T753&gt;0,[1]DATABASE!S753&gt;0),"Heavy Price Cut &gt;20%",""),IF(AND(OR(TRIM([1]DATABASE!Q753)="AVAILABLE",TRIM([1]DATABASE!Q753)="UPON REQUEST"),OR([1]DATABASE!T753="",[1]DATABASE!T753=0)),"Active Unit no Price",""),IF(AND(OR(TRIM([1]DATABASE!Q753)="AVAILABLE",TRIM([1]DATABASE!Q753)="RESERVED",TRIM([1]DATABASE!Q753)="PRE-RESERVED",TRIM([1]DATABASE!Q753)="PSPA"),[1]DATABASE!AC753=""),"Active no Owner",""),IF(OR([1]DATABASE!F753="",[1]DATABASE!F753&lt;=0),"Missing/Invalid Area",""),IF(AND([1]DATABASE!T753&gt;0,ABS([1]DATABASE!T753-[1]DATABASE!W753-[1]DATABASE!U753-[1]DATABASE!V753)&gt;1),"Price Bridge Mismatch",""))</f>
        <v/>
      </c>
      <c r="H792" t="str">
        <f t="shared" si="14"/>
        <v>PASS</v>
      </c>
      <c r="I792" s="90">
        <f>[1]DATABASE!T753</f>
        <v>720000</v>
      </c>
      <c r="J792" t="str">
        <f>[1]DATABASE!AC753</f>
        <v>Ana Damásio</v>
      </c>
    </row>
    <row r="793" spans="1:10" ht="13.95" customHeight="1" x14ac:dyDescent="0.3">
      <c r="A793">
        <f>ROW([1]DATABASE!A754)</f>
        <v>754</v>
      </c>
      <c r="B793" t="str">
        <f>[1]DATABASE!AJ754</f>
        <v>Rivus</v>
      </c>
      <c r="C793" t="str">
        <f>[1]DATABASE!C754</f>
        <v>AM</v>
      </c>
      <c r="D793" t="str">
        <f>TRIM([1]DATABASE!Q754)</f>
        <v>AVAILABLE</v>
      </c>
      <c r="E793" s="82" t="str">
        <f>_xlfn.TEXTJOIN("; ",TRUE,IF([1]DATABASE!X754&lt;0,"Negative Discount",""),IF(AND([1]DATABASE!Y754&gt;[1]DATABASE!T754,[1]DATABASE!Y754&gt;0,[1]DATABASE!T754&gt;0),"Sell Price &gt; Current",""),IF(AND(TRIM([1]DATABASE!Q754)="DEED",[1]DATABASE!AA754=""),"Deeded no PSPA Date",""),IF([1]DATABASE!E754="","Missing Typology",""),IF([1]DATABASE!AJ754="","Missing Development",""))</f>
        <v/>
      </c>
      <c r="F793" s="82" t="str">
        <f>_xlfn.TEXTJOIN("; ",TRUE,IF(AND(OR(TRIM([1]DATABASE!Q754)="RESERVED",TRIM([1]DATABASE!Q754)="PRE-RESERVED",TRIM([1]DATABASE!Q754)="PSPA"),[1]DATABASE!AA754=""),"Reserved/PSPA no PSPA Date",""),IF(AND(TRIM([1]DATABASE!Q754)="AVAILABLE",[1]DATABASE!AA754&lt;&gt;""),"Available has PSPA Date",""))</f>
        <v/>
      </c>
      <c r="G793" s="82" t="str">
        <f>_xlfn.TEXTJOIN("; ",TRUE,IF(AND([1]DATABASE!T754&lt;0.8*[1]DATABASE!S754,[1]DATABASE!T754&gt;0,[1]DATABASE!S754&gt;0),"Heavy Price Cut &gt;20%",""),IF(AND(OR(TRIM([1]DATABASE!Q754)="AVAILABLE",TRIM([1]DATABASE!Q754)="UPON REQUEST"),OR([1]DATABASE!T754="",[1]DATABASE!T754=0)),"Active Unit no Price",""),IF(AND(OR(TRIM([1]DATABASE!Q754)="AVAILABLE",TRIM([1]DATABASE!Q754)="RESERVED",TRIM([1]DATABASE!Q754)="PRE-RESERVED",TRIM([1]DATABASE!Q754)="PSPA"),[1]DATABASE!AC754=""),"Active no Owner",""),IF(OR([1]DATABASE!F754="",[1]DATABASE!F754&lt;=0),"Missing/Invalid Area",""),IF(AND([1]DATABASE!T754&gt;0,ABS([1]DATABASE!T754-[1]DATABASE!W754-[1]DATABASE!U754-[1]DATABASE!V754)&gt;1),"Price Bridge Mismatch",""))</f>
        <v>Missing/Invalid Area</v>
      </c>
      <c r="H793" t="str">
        <f t="shared" si="14"/>
        <v>REVIEW</v>
      </c>
      <c r="I793" s="90">
        <f>[1]DATABASE!T754</f>
        <v>1870000</v>
      </c>
      <c r="J793" t="str">
        <f>[1]DATABASE!AC754</f>
        <v>Ana Damásio</v>
      </c>
    </row>
    <row r="794" spans="1:10" ht="13.95" customHeight="1" x14ac:dyDescent="0.3">
      <c r="A794">
        <f>ROW([1]DATABASE!A755)</f>
        <v>755</v>
      </c>
      <c r="B794" t="str">
        <f>[1]DATABASE!AJ755</f>
        <v>Springs - At the Els</v>
      </c>
      <c r="C794" t="str">
        <f>[1]DATABASE!C755</f>
        <v>AM</v>
      </c>
      <c r="D794" t="str">
        <f>TRIM([1]DATABASE!Q755)</f>
        <v>AVAILABLE</v>
      </c>
      <c r="E794" s="82" t="str">
        <f>_xlfn.TEXTJOIN("; ",TRUE,IF([1]DATABASE!X755&lt;0,"Negative Discount",""),IF(AND([1]DATABASE!Y755&gt;[1]DATABASE!T755,[1]DATABASE!Y755&gt;0,[1]DATABASE!T755&gt;0),"Sell Price &gt; Current",""),IF(AND(TRIM([1]DATABASE!Q755)="DEED",[1]DATABASE!AA755=""),"Deeded no PSPA Date",""),IF([1]DATABASE!E755="","Missing Typology",""),IF([1]DATABASE!AJ755="","Missing Development",""))</f>
        <v/>
      </c>
      <c r="F794" s="82" t="str">
        <f>_xlfn.TEXTJOIN("; ",TRUE,IF(AND(OR(TRIM([1]DATABASE!Q755)="RESERVED",TRIM([1]DATABASE!Q755)="PRE-RESERVED",TRIM([1]DATABASE!Q755)="PSPA"),[1]DATABASE!AA755=""),"Reserved/PSPA no PSPA Date",""),IF(AND(TRIM([1]DATABASE!Q755)="AVAILABLE",[1]DATABASE!AA755&lt;&gt;""),"Available has PSPA Date",""))</f>
        <v/>
      </c>
      <c r="G794" s="82" t="str">
        <f>_xlfn.TEXTJOIN("; ",TRUE,IF(AND([1]DATABASE!T755&lt;0.8*[1]DATABASE!S755,[1]DATABASE!T755&gt;0,[1]DATABASE!S755&gt;0),"Heavy Price Cut &gt;20%",""),IF(AND(OR(TRIM([1]DATABASE!Q755)="AVAILABLE",TRIM([1]DATABASE!Q755)="UPON REQUEST"),OR([1]DATABASE!T755="",[1]DATABASE!T755=0)),"Active Unit no Price",""),IF(AND(OR(TRIM([1]DATABASE!Q755)="AVAILABLE",TRIM([1]DATABASE!Q755)="RESERVED",TRIM([1]DATABASE!Q755)="PRE-RESERVED",TRIM([1]DATABASE!Q755)="PSPA"),[1]DATABASE!AC755=""),"Active no Owner",""),IF(OR([1]DATABASE!F755="",[1]DATABASE!F755&lt;=0),"Missing/Invalid Area",""),IF(AND([1]DATABASE!T755&gt;0,ABS([1]DATABASE!T755-[1]DATABASE!W755-[1]DATABASE!U755-[1]DATABASE!V755)&gt;1),"Price Bridge Mismatch",""))</f>
        <v/>
      </c>
      <c r="H794" t="str">
        <f t="shared" si="14"/>
        <v>PASS</v>
      </c>
      <c r="I794" s="90">
        <f>[1]DATABASE!T755</f>
        <v>2230000</v>
      </c>
      <c r="J794" t="str">
        <f>[1]DATABASE!AC755</f>
        <v>Ana Damásio</v>
      </c>
    </row>
    <row r="795" spans="1:10" ht="13.95" customHeight="1" x14ac:dyDescent="0.3">
      <c r="A795">
        <f>ROW([1]DATABASE!A756)</f>
        <v>756</v>
      </c>
      <c r="B795" t="str">
        <f>[1]DATABASE!AJ756</f>
        <v>Vale Pisão Grand Park</v>
      </c>
      <c r="C795" t="str">
        <f>[1]DATABASE!C756</f>
        <v>5A</v>
      </c>
      <c r="D795" t="str">
        <f>TRIM([1]DATABASE!Q756)</f>
        <v>AVAILABLE</v>
      </c>
      <c r="E795" s="82" t="str">
        <f>_xlfn.TEXTJOIN("; ",TRUE,IF([1]DATABASE!X756&lt;0,"Negative Discount",""),IF(AND([1]DATABASE!Y756&gt;[1]DATABASE!T756,[1]DATABASE!Y756&gt;0,[1]DATABASE!T756&gt;0),"Sell Price &gt; Current",""),IF(AND(TRIM([1]DATABASE!Q756)="DEED",[1]DATABASE!AA756=""),"Deeded no PSPA Date",""),IF([1]DATABASE!E756="","Missing Typology",""),IF([1]DATABASE!AJ756="","Missing Development",""))</f>
        <v/>
      </c>
      <c r="F795" s="82" t="str">
        <f>_xlfn.TEXTJOIN("; ",TRUE,IF(AND(OR(TRIM([1]DATABASE!Q756)="RESERVED",TRIM([1]DATABASE!Q756)="PRE-RESERVED",TRIM([1]DATABASE!Q756)="PSPA"),[1]DATABASE!AA756=""),"Reserved/PSPA no PSPA Date",""),IF(AND(TRIM([1]DATABASE!Q756)="AVAILABLE",[1]DATABASE!AA756&lt;&gt;""),"Available has PSPA Date",""))</f>
        <v/>
      </c>
      <c r="G795" s="82" t="str">
        <f>_xlfn.TEXTJOIN("; ",TRUE,IF(AND([1]DATABASE!T756&lt;0.8*[1]DATABASE!S756,[1]DATABASE!T756&gt;0,[1]DATABASE!S756&gt;0),"Heavy Price Cut &gt;20%",""),IF(AND(OR(TRIM([1]DATABASE!Q756)="AVAILABLE",TRIM([1]DATABASE!Q756)="UPON REQUEST"),OR([1]DATABASE!T756="",[1]DATABASE!T756=0)),"Active Unit no Price",""),IF(AND(OR(TRIM([1]DATABASE!Q756)="AVAILABLE",TRIM([1]DATABASE!Q756)="RESERVED",TRIM([1]DATABASE!Q756)="PRE-RESERVED",TRIM([1]DATABASE!Q756)="PSPA"),[1]DATABASE!AC756=""),"Active no Owner",""),IF(OR([1]DATABASE!F756="",[1]DATABASE!F756&lt;=0),"Missing/Invalid Area",""),IF(AND([1]DATABASE!T756&gt;0,ABS([1]DATABASE!T756-[1]DATABASE!W756-[1]DATABASE!U756-[1]DATABASE!V756)&gt;1),"Price Bridge Mismatch",""))</f>
        <v/>
      </c>
      <c r="H795" t="str">
        <f t="shared" si="14"/>
        <v>PASS</v>
      </c>
      <c r="I795" s="90">
        <f>[1]DATABASE!T756</f>
        <v>890000</v>
      </c>
      <c r="J795" t="str">
        <f>[1]DATABASE!AC756</f>
        <v>João Gameiro</v>
      </c>
    </row>
    <row r="796" spans="1:10" ht="13.95" customHeight="1" x14ac:dyDescent="0.3">
      <c r="A796">
        <f>ROW([1]DATABASE!A757)</f>
        <v>757</v>
      </c>
      <c r="B796" t="str">
        <f>[1]DATABASE!AJ757</f>
        <v>Vale Pisão Grand Park</v>
      </c>
      <c r="C796" t="str">
        <f>[1]DATABASE!C757</f>
        <v>11A</v>
      </c>
      <c r="D796" t="str">
        <f>TRIM([1]DATABASE!Q757)</f>
        <v>AVAILABLE</v>
      </c>
      <c r="E796" s="82" t="str">
        <f>_xlfn.TEXTJOIN("; ",TRUE,IF([1]DATABASE!X757&lt;0,"Negative Discount",""),IF(AND([1]DATABASE!Y757&gt;[1]DATABASE!T757,[1]DATABASE!Y757&gt;0,[1]DATABASE!T757&gt;0),"Sell Price &gt; Current",""),IF(AND(TRIM([1]DATABASE!Q757)="DEED",[1]DATABASE!AA757=""),"Deeded no PSPA Date",""),IF([1]DATABASE!E757="","Missing Typology",""),IF([1]DATABASE!AJ757="","Missing Development",""))</f>
        <v/>
      </c>
      <c r="F796" s="82" t="str">
        <f>_xlfn.TEXTJOIN("; ",TRUE,IF(AND(OR(TRIM([1]DATABASE!Q757)="RESERVED",TRIM([1]DATABASE!Q757)="PRE-RESERVED",TRIM([1]DATABASE!Q757)="PSPA"),[1]DATABASE!AA757=""),"Reserved/PSPA no PSPA Date",""),IF(AND(TRIM([1]DATABASE!Q757)="AVAILABLE",[1]DATABASE!AA757&lt;&gt;""),"Available has PSPA Date",""))</f>
        <v/>
      </c>
      <c r="G796" s="82" t="str">
        <f>_xlfn.TEXTJOIN("; ",TRUE,IF(AND([1]DATABASE!T757&lt;0.8*[1]DATABASE!S757,[1]DATABASE!T757&gt;0,[1]DATABASE!S757&gt;0),"Heavy Price Cut &gt;20%",""),IF(AND(OR(TRIM([1]DATABASE!Q757)="AVAILABLE",TRIM([1]DATABASE!Q757)="UPON REQUEST"),OR([1]DATABASE!T757="",[1]DATABASE!T757=0)),"Active Unit no Price",""),IF(AND(OR(TRIM([1]DATABASE!Q757)="AVAILABLE",TRIM([1]DATABASE!Q757)="RESERVED",TRIM([1]DATABASE!Q757)="PRE-RESERVED",TRIM([1]DATABASE!Q757)="PSPA"),[1]DATABASE!AC757=""),"Active no Owner",""),IF(OR([1]DATABASE!F757="",[1]DATABASE!F757&lt;=0),"Missing/Invalid Area",""),IF(AND([1]DATABASE!T757&gt;0,ABS([1]DATABASE!T757-[1]DATABASE!W757-[1]DATABASE!U757-[1]DATABASE!V757)&gt;1),"Price Bridge Mismatch",""))</f>
        <v/>
      </c>
      <c r="H796" t="str">
        <f t="shared" si="14"/>
        <v>PASS</v>
      </c>
      <c r="I796" s="90">
        <f>[1]DATABASE!T757</f>
        <v>850000</v>
      </c>
      <c r="J796" t="str">
        <f>[1]DATABASE!AC757</f>
        <v>João Gameiro</v>
      </c>
    </row>
    <row r="797" spans="1:10" ht="13.95" customHeight="1" x14ac:dyDescent="0.3">
      <c r="A797">
        <f>ROW([1]DATABASE!A758)</f>
        <v>758</v>
      </c>
      <c r="B797" t="str">
        <f>[1]DATABASE!AJ758</f>
        <v>Vale Pisão Grand Park</v>
      </c>
      <c r="C797" t="str">
        <f>[1]DATABASE!C758</f>
        <v>2B</v>
      </c>
      <c r="D797" t="str">
        <f>TRIM([1]DATABASE!Q758)</f>
        <v>AVAILABLE</v>
      </c>
      <c r="E797" s="82" t="str">
        <f>_xlfn.TEXTJOIN("; ",TRUE,IF([1]DATABASE!X758&lt;0,"Negative Discount",""),IF(AND([1]DATABASE!Y758&gt;[1]DATABASE!T758,[1]DATABASE!Y758&gt;0,[1]DATABASE!T758&gt;0),"Sell Price &gt; Current",""),IF(AND(TRIM([1]DATABASE!Q758)="DEED",[1]DATABASE!AA758=""),"Deeded no PSPA Date",""),IF([1]DATABASE!E758="","Missing Typology",""),IF([1]DATABASE!AJ758="","Missing Development",""))</f>
        <v/>
      </c>
      <c r="F797" s="82" t="str">
        <f>_xlfn.TEXTJOIN("; ",TRUE,IF(AND(OR(TRIM([1]DATABASE!Q758)="RESERVED",TRIM([1]DATABASE!Q758)="PRE-RESERVED",TRIM([1]DATABASE!Q758)="PSPA"),[1]DATABASE!AA758=""),"Reserved/PSPA no PSPA Date",""),IF(AND(TRIM([1]DATABASE!Q758)="AVAILABLE",[1]DATABASE!AA758&lt;&gt;""),"Available has PSPA Date",""))</f>
        <v/>
      </c>
      <c r="G797" s="82" t="str">
        <f>_xlfn.TEXTJOIN("; ",TRUE,IF(AND([1]DATABASE!T758&lt;0.8*[1]DATABASE!S758,[1]DATABASE!T758&gt;0,[1]DATABASE!S758&gt;0),"Heavy Price Cut &gt;20%",""),IF(AND(OR(TRIM([1]DATABASE!Q758)="AVAILABLE",TRIM([1]DATABASE!Q758)="UPON REQUEST"),OR([1]DATABASE!T758="",[1]DATABASE!T758=0)),"Active Unit no Price",""),IF(AND(OR(TRIM([1]DATABASE!Q758)="AVAILABLE",TRIM([1]DATABASE!Q758)="RESERVED",TRIM([1]DATABASE!Q758)="PRE-RESERVED",TRIM([1]DATABASE!Q758)="PSPA"),[1]DATABASE!AC758=""),"Active no Owner",""),IF(OR([1]DATABASE!F758="",[1]DATABASE!F758&lt;=0),"Missing/Invalid Area",""),IF(AND([1]DATABASE!T758&gt;0,ABS([1]DATABASE!T758-[1]DATABASE!W758-[1]DATABASE!U758-[1]DATABASE!V758)&gt;1),"Price Bridge Mismatch",""))</f>
        <v/>
      </c>
      <c r="H797" t="str">
        <f t="shared" si="14"/>
        <v>PASS</v>
      </c>
      <c r="I797" s="90">
        <f>[1]DATABASE!T758</f>
        <v>850000</v>
      </c>
      <c r="J797" t="str">
        <f>[1]DATABASE!AC758</f>
        <v>João Gameiro</v>
      </c>
    </row>
    <row r="798" spans="1:10" ht="13.95" customHeight="1" x14ac:dyDescent="0.3">
      <c r="A798">
        <f>ROW([1]DATABASE!A759)</f>
        <v>759</v>
      </c>
      <c r="B798" t="str">
        <f>[1]DATABASE!AJ759</f>
        <v>Vale Pisão Grand Park</v>
      </c>
      <c r="C798" t="str">
        <f>[1]DATABASE!C759</f>
        <v>6A</v>
      </c>
      <c r="D798" t="str">
        <f>TRIM([1]DATABASE!Q759)</f>
        <v>UPON REQUEST</v>
      </c>
      <c r="E798" s="82" t="str">
        <f>_xlfn.TEXTJOIN("; ",TRUE,IF([1]DATABASE!X759&lt;0,"Negative Discount",""),IF(AND([1]DATABASE!Y759&gt;[1]DATABASE!T759,[1]DATABASE!Y759&gt;0,[1]DATABASE!T759&gt;0),"Sell Price &gt; Current",""),IF(AND(TRIM([1]DATABASE!Q759)="DEED",[1]DATABASE!AA759=""),"Deeded no PSPA Date",""),IF([1]DATABASE!E759="","Missing Typology",""),IF([1]DATABASE!AJ759="","Missing Development",""))</f>
        <v/>
      </c>
      <c r="F798" s="82" t="str">
        <f>_xlfn.TEXTJOIN("; ",TRUE,IF(AND(OR(TRIM([1]DATABASE!Q759)="RESERVED",TRIM([1]DATABASE!Q759)="PRE-RESERVED",TRIM([1]DATABASE!Q759)="PSPA"),[1]DATABASE!AA759=""),"Reserved/PSPA no PSPA Date",""),IF(AND(TRIM([1]DATABASE!Q759)="AVAILABLE",[1]DATABASE!AA759&lt;&gt;""),"Available has PSPA Date",""))</f>
        <v/>
      </c>
      <c r="G798" s="82" t="str">
        <f>_xlfn.TEXTJOIN("; ",TRUE,IF(AND([1]DATABASE!T759&lt;0.8*[1]DATABASE!S759,[1]DATABASE!T759&gt;0,[1]DATABASE!S759&gt;0),"Heavy Price Cut &gt;20%",""),IF(AND(OR(TRIM([1]DATABASE!Q759)="AVAILABLE",TRIM([1]DATABASE!Q759)="UPON REQUEST"),OR([1]DATABASE!T759="",[1]DATABASE!T759=0)),"Active Unit no Price",""),IF(AND(OR(TRIM([1]DATABASE!Q759)="AVAILABLE",TRIM([1]DATABASE!Q759)="RESERVED",TRIM([1]DATABASE!Q759)="PRE-RESERVED",TRIM([1]DATABASE!Q759)="PSPA"),[1]DATABASE!AC759=""),"Active no Owner",""),IF(OR([1]DATABASE!F759="",[1]DATABASE!F759&lt;=0),"Missing/Invalid Area",""),IF(AND([1]DATABASE!T759&gt;0,ABS([1]DATABASE!T759-[1]DATABASE!W759-[1]DATABASE!U759-[1]DATABASE!V759)&gt;1),"Price Bridge Mismatch",""))</f>
        <v/>
      </c>
      <c r="H798" t="str">
        <f t="shared" si="14"/>
        <v>PASS</v>
      </c>
      <c r="I798" s="90">
        <f>[1]DATABASE!T759</f>
        <v>850000</v>
      </c>
      <c r="J798" t="str">
        <f>[1]DATABASE!AC759</f>
        <v>João Gameiro</v>
      </c>
    </row>
    <row r="799" spans="1:10" ht="13.95" customHeight="1" x14ac:dyDescent="0.3">
      <c r="A799">
        <f>ROW([1]DATABASE!A760)</f>
        <v>760</v>
      </c>
      <c r="B799" t="str">
        <f>[1]DATABASE!AJ760</f>
        <v>Zestia</v>
      </c>
      <c r="C799" t="str">
        <f>[1]DATABASE!C760</f>
        <v>AM</v>
      </c>
      <c r="D799" t="str">
        <f>TRIM([1]DATABASE!Q760)</f>
        <v>AVAILABLE</v>
      </c>
      <c r="E799" s="82" t="str">
        <f>_xlfn.TEXTJOIN("; ",TRUE,IF([1]DATABASE!X760&lt;0,"Negative Discount",""),IF(AND([1]DATABASE!Y760&gt;[1]DATABASE!T760,[1]DATABASE!Y760&gt;0,[1]DATABASE!T760&gt;0),"Sell Price &gt; Current",""),IF(AND(TRIM([1]DATABASE!Q760)="DEED",[1]DATABASE!AA760=""),"Deeded no PSPA Date",""),IF([1]DATABASE!E760="","Missing Typology",""),IF([1]DATABASE!AJ760="","Missing Development",""))</f>
        <v/>
      </c>
      <c r="F799" s="82" t="str">
        <f>_xlfn.TEXTJOIN("; ",TRUE,IF(AND(OR(TRIM([1]DATABASE!Q760)="RESERVED",TRIM([1]DATABASE!Q760)="PRE-RESERVED",TRIM([1]DATABASE!Q760)="PSPA"),[1]DATABASE!AA760=""),"Reserved/PSPA no PSPA Date",""),IF(AND(TRIM([1]DATABASE!Q760)="AVAILABLE",[1]DATABASE!AA760&lt;&gt;""),"Available has PSPA Date",""))</f>
        <v/>
      </c>
      <c r="G799" s="82" t="str">
        <f>_xlfn.TEXTJOIN("; ",TRUE,IF(AND([1]DATABASE!T760&lt;0.8*[1]DATABASE!S760,[1]DATABASE!T760&gt;0,[1]DATABASE!S760&gt;0),"Heavy Price Cut &gt;20%",""),IF(AND(OR(TRIM([1]DATABASE!Q760)="AVAILABLE",TRIM([1]DATABASE!Q760)="UPON REQUEST"),OR([1]DATABASE!T760="",[1]DATABASE!T760=0)),"Active Unit no Price",""),IF(AND(OR(TRIM([1]DATABASE!Q760)="AVAILABLE",TRIM([1]DATABASE!Q760)="RESERVED",TRIM([1]DATABASE!Q760)="PRE-RESERVED",TRIM([1]DATABASE!Q760)="PSPA"),[1]DATABASE!AC760=""),"Active no Owner",""),IF(OR([1]DATABASE!F760="",[1]DATABASE!F760&lt;=0),"Missing/Invalid Area",""),IF(AND([1]DATABASE!T760&gt;0,ABS([1]DATABASE!T760-[1]DATABASE!W760-[1]DATABASE!U760-[1]DATABASE!V760)&gt;1),"Price Bridge Mismatch",""))</f>
        <v/>
      </c>
      <c r="H799" t="str">
        <f t="shared" si="14"/>
        <v>PASS</v>
      </c>
      <c r="I799" s="90">
        <f>[1]DATABASE!T760</f>
        <v>850000</v>
      </c>
      <c r="J799" t="str">
        <f>[1]DATABASE!AC760</f>
        <v>Ana Damásio</v>
      </c>
    </row>
    <row r="800" spans="1:10" ht="13.95" customHeight="1" x14ac:dyDescent="0.3">
      <c r="A800">
        <f>ROW([1]DATABASE!A761)</f>
        <v>761</v>
      </c>
      <c r="B800" t="str">
        <f>[1]DATABASE!AJ761</f>
        <v>Botanica</v>
      </c>
      <c r="C800" t="str">
        <f>[1]DATABASE!C761</f>
        <v>AN</v>
      </c>
      <c r="D800" t="str">
        <f>TRIM([1]DATABASE!Q761)</f>
        <v>AVAILABLE</v>
      </c>
      <c r="E800" s="82" t="str">
        <f>_xlfn.TEXTJOIN("; ",TRUE,IF([1]DATABASE!X761&lt;0,"Negative Discount",""),IF(AND([1]DATABASE!Y761&gt;[1]DATABASE!T761,[1]DATABASE!Y761&gt;0,[1]DATABASE!T761&gt;0),"Sell Price &gt; Current",""),IF(AND(TRIM([1]DATABASE!Q761)="DEED",[1]DATABASE!AA761=""),"Deeded no PSPA Date",""),IF([1]DATABASE!E761="","Missing Typology",""),IF([1]DATABASE!AJ761="","Missing Development",""))</f>
        <v/>
      </c>
      <c r="F800" s="82" t="str">
        <f>_xlfn.TEXTJOIN("; ",TRUE,IF(AND(OR(TRIM([1]DATABASE!Q761)="RESERVED",TRIM([1]DATABASE!Q761)="PRE-RESERVED",TRIM([1]DATABASE!Q761)="PSPA"),[1]DATABASE!AA761=""),"Reserved/PSPA no PSPA Date",""),IF(AND(TRIM([1]DATABASE!Q761)="AVAILABLE",[1]DATABASE!AA761&lt;&gt;""),"Available has PSPA Date",""))</f>
        <v/>
      </c>
      <c r="G800" s="82" t="str">
        <f>_xlfn.TEXTJOIN("; ",TRUE,IF(AND([1]DATABASE!T761&lt;0.8*[1]DATABASE!S761,[1]DATABASE!T761&gt;0,[1]DATABASE!S761&gt;0),"Heavy Price Cut &gt;20%",""),IF(AND(OR(TRIM([1]DATABASE!Q761)="AVAILABLE",TRIM([1]DATABASE!Q761)="UPON REQUEST"),OR([1]DATABASE!T761="",[1]DATABASE!T761=0)),"Active Unit no Price",""),IF(AND(OR(TRIM([1]DATABASE!Q761)="AVAILABLE",TRIM([1]DATABASE!Q761)="RESERVED",TRIM([1]DATABASE!Q761)="PRE-RESERVED",TRIM([1]DATABASE!Q761)="PSPA"),[1]DATABASE!AC761=""),"Active no Owner",""),IF(OR([1]DATABASE!F761="",[1]DATABASE!F761&lt;=0),"Missing/Invalid Area",""),IF(AND([1]DATABASE!T761&gt;0,ABS([1]DATABASE!T761-[1]DATABASE!W761-[1]DATABASE!U761-[1]DATABASE!V761)&gt;1),"Price Bridge Mismatch",""))</f>
        <v/>
      </c>
      <c r="H800" t="str">
        <f t="shared" si="14"/>
        <v>PASS</v>
      </c>
      <c r="I800" s="90">
        <f>[1]DATABASE!T761</f>
        <v>2375000</v>
      </c>
      <c r="J800" t="str">
        <f>[1]DATABASE!AC761</f>
        <v>Ana Damásio</v>
      </c>
    </row>
    <row r="801" spans="1:10" ht="13.95" customHeight="1" x14ac:dyDescent="0.3">
      <c r="A801">
        <f>ROW([1]DATABASE!A762)</f>
        <v>762</v>
      </c>
      <c r="B801" t="str">
        <f>[1]DATABASE!AJ762</f>
        <v>Nobilus</v>
      </c>
      <c r="C801" t="str">
        <f>[1]DATABASE!C762</f>
        <v>AN</v>
      </c>
      <c r="D801" t="str">
        <f>TRIM([1]DATABASE!Q762)</f>
        <v>AVAILABLE</v>
      </c>
      <c r="E801" s="82" t="str">
        <f>_xlfn.TEXTJOIN("; ",TRUE,IF([1]DATABASE!X762&lt;0,"Negative Discount",""),IF(AND([1]DATABASE!Y762&gt;[1]DATABASE!T762,[1]DATABASE!Y762&gt;0,[1]DATABASE!T762&gt;0),"Sell Price &gt; Current",""),IF(AND(TRIM([1]DATABASE!Q762)="DEED",[1]DATABASE!AA762=""),"Deeded no PSPA Date",""),IF([1]DATABASE!E762="","Missing Typology",""),IF([1]DATABASE!AJ762="","Missing Development",""))</f>
        <v/>
      </c>
      <c r="F801" s="82" t="str">
        <f>_xlfn.TEXTJOIN("; ",TRUE,IF(AND(OR(TRIM([1]DATABASE!Q762)="RESERVED",TRIM([1]DATABASE!Q762)="PRE-RESERVED",TRIM([1]DATABASE!Q762)="PSPA"),[1]DATABASE!AA762=""),"Reserved/PSPA no PSPA Date",""),IF(AND(TRIM([1]DATABASE!Q762)="AVAILABLE",[1]DATABASE!AA762&lt;&gt;""),"Available has PSPA Date",""))</f>
        <v/>
      </c>
      <c r="G801" s="82" t="str">
        <f>_xlfn.TEXTJOIN("; ",TRUE,IF(AND([1]DATABASE!T762&lt;0.8*[1]DATABASE!S762,[1]DATABASE!T762&gt;0,[1]DATABASE!S762&gt;0),"Heavy Price Cut &gt;20%",""),IF(AND(OR(TRIM([1]DATABASE!Q762)="AVAILABLE",TRIM([1]DATABASE!Q762)="UPON REQUEST"),OR([1]DATABASE!T762="",[1]DATABASE!T762=0)),"Active Unit no Price",""),IF(AND(OR(TRIM([1]DATABASE!Q762)="AVAILABLE",TRIM([1]DATABASE!Q762)="RESERVED",TRIM([1]DATABASE!Q762)="PRE-RESERVED",TRIM([1]DATABASE!Q762)="PSPA"),[1]DATABASE!AC762=""),"Active no Owner",""),IF(OR([1]DATABASE!F762="",[1]DATABASE!F762&lt;=0),"Missing/Invalid Area",""),IF(AND([1]DATABASE!T762&gt;0,ABS([1]DATABASE!T762-[1]DATABASE!W762-[1]DATABASE!U762-[1]DATABASE!V762)&gt;1),"Price Bridge Mismatch",""))</f>
        <v/>
      </c>
      <c r="H801" t="str">
        <f t="shared" si="14"/>
        <v>PASS</v>
      </c>
      <c r="I801" s="90">
        <f>[1]DATABASE!T762</f>
        <v>720000</v>
      </c>
      <c r="J801" t="str">
        <f>[1]DATABASE!AC762</f>
        <v>Ana Damásio</v>
      </c>
    </row>
    <row r="802" spans="1:10" ht="13.95" customHeight="1" x14ac:dyDescent="0.3">
      <c r="A802">
        <f>ROW([1]DATABASE!A763)</f>
        <v>763</v>
      </c>
      <c r="B802" t="str">
        <f>[1]DATABASE!AJ763</f>
        <v>Springs - At the Els</v>
      </c>
      <c r="C802" t="str">
        <f>[1]DATABASE!C763</f>
        <v>AN</v>
      </c>
      <c r="D802" t="str">
        <f>TRIM([1]DATABASE!Q763)</f>
        <v>AVAILABLE</v>
      </c>
      <c r="E802" s="82" t="str">
        <f>_xlfn.TEXTJOIN("; ",TRUE,IF([1]DATABASE!X763&lt;0,"Negative Discount",""),IF(AND([1]DATABASE!Y763&gt;[1]DATABASE!T763,[1]DATABASE!Y763&gt;0,[1]DATABASE!T763&gt;0),"Sell Price &gt; Current",""),IF(AND(TRIM([1]DATABASE!Q763)="DEED",[1]DATABASE!AA763=""),"Deeded no PSPA Date",""),IF([1]DATABASE!E763="","Missing Typology",""),IF([1]DATABASE!AJ763="","Missing Development",""))</f>
        <v/>
      </c>
      <c r="F802" s="82" t="str">
        <f>_xlfn.TEXTJOIN("; ",TRUE,IF(AND(OR(TRIM([1]DATABASE!Q763)="RESERVED",TRIM([1]DATABASE!Q763)="PRE-RESERVED",TRIM([1]DATABASE!Q763)="PSPA"),[1]DATABASE!AA763=""),"Reserved/PSPA no PSPA Date",""),IF(AND(TRIM([1]DATABASE!Q763)="AVAILABLE",[1]DATABASE!AA763&lt;&gt;""),"Available has PSPA Date",""))</f>
        <v/>
      </c>
      <c r="G802" s="82" t="str">
        <f>_xlfn.TEXTJOIN("; ",TRUE,IF(AND([1]DATABASE!T763&lt;0.8*[1]DATABASE!S763,[1]DATABASE!T763&gt;0,[1]DATABASE!S763&gt;0),"Heavy Price Cut &gt;20%",""),IF(AND(OR(TRIM([1]DATABASE!Q763)="AVAILABLE",TRIM([1]DATABASE!Q763)="UPON REQUEST"),OR([1]DATABASE!T763="",[1]DATABASE!T763=0)),"Active Unit no Price",""),IF(AND(OR(TRIM([1]DATABASE!Q763)="AVAILABLE",TRIM([1]DATABASE!Q763)="RESERVED",TRIM([1]DATABASE!Q763)="PRE-RESERVED",TRIM([1]DATABASE!Q763)="PSPA"),[1]DATABASE!AC763=""),"Active no Owner",""),IF(OR([1]DATABASE!F763="",[1]DATABASE!F763&lt;=0),"Missing/Invalid Area",""),IF(AND([1]DATABASE!T763&gt;0,ABS([1]DATABASE!T763-[1]DATABASE!W763-[1]DATABASE!U763-[1]DATABASE!V763)&gt;1),"Price Bridge Mismatch",""))</f>
        <v/>
      </c>
      <c r="H802" t="str">
        <f t="shared" si="14"/>
        <v>PASS</v>
      </c>
      <c r="I802" s="90">
        <f>[1]DATABASE!T763</f>
        <v>2130000</v>
      </c>
      <c r="J802" t="str">
        <f>[1]DATABASE!AC763</f>
        <v>Ana Damásio</v>
      </c>
    </row>
    <row r="803" spans="1:10" ht="13.95" customHeight="1" x14ac:dyDescent="0.3">
      <c r="A803">
        <f>ROW([1]DATABASE!A764)</f>
        <v>764</v>
      </c>
      <c r="B803" t="str">
        <f>[1]DATABASE!AJ764</f>
        <v>Vale Pisão Grand Park</v>
      </c>
      <c r="C803" t="str">
        <f>[1]DATABASE!C764</f>
        <v>2A</v>
      </c>
      <c r="D803" t="str">
        <f>TRIM([1]DATABASE!Q764)</f>
        <v>AVAILABLE</v>
      </c>
      <c r="E803" s="82" t="str">
        <f>_xlfn.TEXTJOIN("; ",TRUE,IF([1]DATABASE!X764&lt;0,"Negative Discount",""),IF(AND([1]DATABASE!Y764&gt;[1]DATABASE!T764,[1]DATABASE!Y764&gt;0,[1]DATABASE!T764&gt;0),"Sell Price &gt; Current",""),IF(AND(TRIM([1]DATABASE!Q764)="DEED",[1]DATABASE!AA764=""),"Deeded no PSPA Date",""),IF([1]DATABASE!E764="","Missing Typology",""),IF([1]DATABASE!AJ764="","Missing Development",""))</f>
        <v/>
      </c>
      <c r="F803" s="82" t="str">
        <f>_xlfn.TEXTJOIN("; ",TRUE,IF(AND(OR(TRIM([1]DATABASE!Q764)="RESERVED",TRIM([1]DATABASE!Q764)="PRE-RESERVED",TRIM([1]DATABASE!Q764)="PSPA"),[1]DATABASE!AA764=""),"Reserved/PSPA no PSPA Date",""),IF(AND(TRIM([1]DATABASE!Q764)="AVAILABLE",[1]DATABASE!AA764&lt;&gt;""),"Available has PSPA Date",""))</f>
        <v/>
      </c>
      <c r="G803" s="82" t="str">
        <f>_xlfn.TEXTJOIN("; ",TRUE,IF(AND([1]DATABASE!T764&lt;0.8*[1]DATABASE!S764,[1]DATABASE!T764&gt;0,[1]DATABASE!S764&gt;0),"Heavy Price Cut &gt;20%",""),IF(AND(OR(TRIM([1]DATABASE!Q764)="AVAILABLE",TRIM([1]DATABASE!Q764)="UPON REQUEST"),OR([1]DATABASE!T764="",[1]DATABASE!T764=0)),"Active Unit no Price",""),IF(AND(OR(TRIM([1]DATABASE!Q764)="AVAILABLE",TRIM([1]DATABASE!Q764)="RESERVED",TRIM([1]DATABASE!Q764)="PRE-RESERVED",TRIM([1]DATABASE!Q764)="PSPA"),[1]DATABASE!AC764=""),"Active no Owner",""),IF(OR([1]DATABASE!F764="",[1]DATABASE!F764&lt;=0),"Missing/Invalid Area",""),IF(AND([1]DATABASE!T764&gt;0,ABS([1]DATABASE!T764-[1]DATABASE!W764-[1]DATABASE!U764-[1]DATABASE!V764)&gt;1),"Price Bridge Mismatch",""))</f>
        <v/>
      </c>
      <c r="H803" t="str">
        <f t="shared" si="14"/>
        <v>PASS</v>
      </c>
      <c r="I803" s="90">
        <f>[1]DATABASE!T764</f>
        <v>860000</v>
      </c>
      <c r="J803" t="str">
        <f>[1]DATABASE!AC764</f>
        <v>João Gameiro</v>
      </c>
    </row>
    <row r="804" spans="1:10" ht="13.95" customHeight="1" x14ac:dyDescent="0.3">
      <c r="A804">
        <f>ROW([1]DATABASE!A765)</f>
        <v>765</v>
      </c>
      <c r="B804" t="str">
        <f>[1]DATABASE!AJ765</f>
        <v>Vale Pisão Grand Park</v>
      </c>
      <c r="C804" t="str">
        <f>[1]DATABASE!C765</f>
        <v>7A</v>
      </c>
      <c r="D804" t="str">
        <f>TRIM([1]DATABASE!Q765)</f>
        <v>AVAILABLE</v>
      </c>
      <c r="E804" s="82" t="str">
        <f>_xlfn.TEXTJOIN("; ",TRUE,IF([1]DATABASE!X765&lt;0,"Negative Discount",""),IF(AND([1]DATABASE!Y765&gt;[1]DATABASE!T765,[1]DATABASE!Y765&gt;0,[1]DATABASE!T765&gt;0),"Sell Price &gt; Current",""),IF(AND(TRIM([1]DATABASE!Q765)="DEED",[1]DATABASE!AA765=""),"Deeded no PSPA Date",""),IF([1]DATABASE!E765="","Missing Typology",""),IF([1]DATABASE!AJ765="","Missing Development",""))</f>
        <v/>
      </c>
      <c r="F804" s="82" t="str">
        <f>_xlfn.TEXTJOIN("; ",TRUE,IF(AND(OR(TRIM([1]DATABASE!Q765)="RESERVED",TRIM([1]DATABASE!Q765)="PRE-RESERVED",TRIM([1]DATABASE!Q765)="PSPA"),[1]DATABASE!AA765=""),"Reserved/PSPA no PSPA Date",""),IF(AND(TRIM([1]DATABASE!Q765)="AVAILABLE",[1]DATABASE!AA765&lt;&gt;""),"Available has PSPA Date",""))</f>
        <v/>
      </c>
      <c r="G804" s="82" t="str">
        <f>_xlfn.TEXTJOIN("; ",TRUE,IF(AND([1]DATABASE!T765&lt;0.8*[1]DATABASE!S765,[1]DATABASE!T765&gt;0,[1]DATABASE!S765&gt;0),"Heavy Price Cut &gt;20%",""),IF(AND(OR(TRIM([1]DATABASE!Q765)="AVAILABLE",TRIM([1]DATABASE!Q765)="UPON REQUEST"),OR([1]DATABASE!T765="",[1]DATABASE!T765=0)),"Active Unit no Price",""),IF(AND(OR(TRIM([1]DATABASE!Q765)="AVAILABLE",TRIM([1]DATABASE!Q765)="RESERVED",TRIM([1]DATABASE!Q765)="PRE-RESERVED",TRIM([1]DATABASE!Q765)="PSPA"),[1]DATABASE!AC765=""),"Active no Owner",""),IF(OR([1]DATABASE!F765="",[1]DATABASE!F765&lt;=0),"Missing/Invalid Area",""),IF(AND([1]DATABASE!T765&gt;0,ABS([1]DATABASE!T765-[1]DATABASE!W765-[1]DATABASE!U765-[1]DATABASE!V765)&gt;1),"Price Bridge Mismatch",""))</f>
        <v/>
      </c>
      <c r="H804" t="str">
        <f t="shared" si="14"/>
        <v>PASS</v>
      </c>
      <c r="I804" s="90">
        <f>[1]DATABASE!T765</f>
        <v>860000</v>
      </c>
      <c r="J804" t="str">
        <f>[1]DATABASE!AC765</f>
        <v>João Gameiro</v>
      </c>
    </row>
    <row r="805" spans="1:10" ht="13.95" customHeight="1" x14ac:dyDescent="0.3">
      <c r="A805">
        <f>ROW([1]DATABASE!A766)</f>
        <v>766</v>
      </c>
      <c r="B805" t="str">
        <f>[1]DATABASE!AJ766</f>
        <v>Vale Pisão Grand Park</v>
      </c>
      <c r="C805" t="str">
        <f>[1]DATABASE!C766</f>
        <v>8A</v>
      </c>
      <c r="D805" t="str">
        <f>TRIM([1]DATABASE!Q766)</f>
        <v>UPON REQUEST</v>
      </c>
      <c r="E805" s="82" t="str">
        <f>_xlfn.TEXTJOIN("; ",TRUE,IF([1]DATABASE!X766&lt;0,"Negative Discount",""),IF(AND([1]DATABASE!Y766&gt;[1]DATABASE!T766,[1]DATABASE!Y766&gt;0,[1]DATABASE!T766&gt;0),"Sell Price &gt; Current",""),IF(AND(TRIM([1]DATABASE!Q766)="DEED",[1]DATABASE!AA766=""),"Deeded no PSPA Date",""),IF([1]DATABASE!E766="","Missing Typology",""),IF([1]DATABASE!AJ766="","Missing Development",""))</f>
        <v/>
      </c>
      <c r="F805" s="82" t="str">
        <f>_xlfn.TEXTJOIN("; ",TRUE,IF(AND(OR(TRIM([1]DATABASE!Q766)="RESERVED",TRIM([1]DATABASE!Q766)="PRE-RESERVED",TRIM([1]DATABASE!Q766)="PSPA"),[1]DATABASE!AA766=""),"Reserved/PSPA no PSPA Date",""),IF(AND(TRIM([1]DATABASE!Q766)="AVAILABLE",[1]DATABASE!AA766&lt;&gt;""),"Available has PSPA Date",""))</f>
        <v/>
      </c>
      <c r="G805" s="82" t="str">
        <f>_xlfn.TEXTJOIN("; ",TRUE,IF(AND([1]DATABASE!T766&lt;0.8*[1]DATABASE!S766,[1]DATABASE!T766&gt;0,[1]DATABASE!S766&gt;0),"Heavy Price Cut &gt;20%",""),IF(AND(OR(TRIM([1]DATABASE!Q766)="AVAILABLE",TRIM([1]DATABASE!Q766)="UPON REQUEST"),OR([1]DATABASE!T766="",[1]DATABASE!T766=0)),"Active Unit no Price",""),IF(AND(OR(TRIM([1]DATABASE!Q766)="AVAILABLE",TRIM([1]DATABASE!Q766)="RESERVED",TRIM([1]DATABASE!Q766)="PRE-RESERVED",TRIM([1]DATABASE!Q766)="PSPA"),[1]DATABASE!AC766=""),"Active no Owner",""),IF(OR([1]DATABASE!F766="",[1]DATABASE!F766&lt;=0),"Missing/Invalid Area",""),IF(AND([1]DATABASE!T766&gt;0,ABS([1]DATABASE!T766-[1]DATABASE!W766-[1]DATABASE!U766-[1]DATABASE!V766)&gt;1),"Price Bridge Mismatch",""))</f>
        <v/>
      </c>
      <c r="H805" t="str">
        <f t="shared" si="14"/>
        <v>PASS</v>
      </c>
      <c r="I805" s="90">
        <f>[1]DATABASE!T766</f>
        <v>860000</v>
      </c>
      <c r="J805" t="str">
        <f>[1]DATABASE!AC766</f>
        <v>João Gameiro</v>
      </c>
    </row>
    <row r="806" spans="1:10" ht="13.95" customHeight="1" x14ac:dyDescent="0.3">
      <c r="A806">
        <f>ROW([1]DATABASE!A767)</f>
        <v>767</v>
      </c>
      <c r="B806" t="str">
        <f>[1]DATABASE!AJ767</f>
        <v>Vale Pisão Grand Park</v>
      </c>
      <c r="C806" t="str">
        <f>[1]DATABASE!C767</f>
        <v>9A</v>
      </c>
      <c r="D806" t="str">
        <f>TRIM([1]DATABASE!Q767)</f>
        <v>UPON REQUEST</v>
      </c>
      <c r="E806" s="82" t="str">
        <f>_xlfn.TEXTJOIN("; ",TRUE,IF([1]DATABASE!X767&lt;0,"Negative Discount",""),IF(AND([1]DATABASE!Y767&gt;[1]DATABASE!T767,[1]DATABASE!Y767&gt;0,[1]DATABASE!T767&gt;0),"Sell Price &gt; Current",""),IF(AND(TRIM([1]DATABASE!Q767)="DEED",[1]DATABASE!AA767=""),"Deeded no PSPA Date",""),IF([1]DATABASE!E767="","Missing Typology",""),IF([1]DATABASE!AJ767="","Missing Development",""))</f>
        <v/>
      </c>
      <c r="F806" s="82" t="str">
        <f>_xlfn.TEXTJOIN("; ",TRUE,IF(AND(OR(TRIM([1]DATABASE!Q767)="RESERVED",TRIM([1]DATABASE!Q767)="PRE-RESERVED",TRIM([1]DATABASE!Q767)="PSPA"),[1]DATABASE!AA767=""),"Reserved/PSPA no PSPA Date",""),IF(AND(TRIM([1]DATABASE!Q767)="AVAILABLE",[1]DATABASE!AA767&lt;&gt;""),"Available has PSPA Date",""))</f>
        <v/>
      </c>
      <c r="G806" s="82" t="str">
        <f>_xlfn.TEXTJOIN("; ",TRUE,IF(AND([1]DATABASE!T767&lt;0.8*[1]DATABASE!S767,[1]DATABASE!T767&gt;0,[1]DATABASE!S767&gt;0),"Heavy Price Cut &gt;20%",""),IF(AND(OR(TRIM([1]DATABASE!Q767)="AVAILABLE",TRIM([1]DATABASE!Q767)="UPON REQUEST"),OR([1]DATABASE!T767="",[1]DATABASE!T767=0)),"Active Unit no Price",""),IF(AND(OR(TRIM([1]DATABASE!Q767)="AVAILABLE",TRIM([1]DATABASE!Q767)="RESERVED",TRIM([1]DATABASE!Q767)="PRE-RESERVED",TRIM([1]DATABASE!Q767)="PSPA"),[1]DATABASE!AC767=""),"Active no Owner",""),IF(OR([1]DATABASE!F767="",[1]DATABASE!F767&lt;=0),"Missing/Invalid Area",""),IF(AND([1]DATABASE!T767&gt;0,ABS([1]DATABASE!T767-[1]DATABASE!W767-[1]DATABASE!U767-[1]DATABASE!V767)&gt;1),"Price Bridge Mismatch",""))</f>
        <v/>
      </c>
      <c r="H806" t="str">
        <f t="shared" si="14"/>
        <v>PASS</v>
      </c>
      <c r="I806" s="90">
        <f>[1]DATABASE!T767</f>
        <v>880000</v>
      </c>
      <c r="J806" t="str">
        <f>[1]DATABASE!AC767</f>
        <v>João Gameiro</v>
      </c>
    </row>
    <row r="807" spans="1:10" ht="13.95" customHeight="1" x14ac:dyDescent="0.3">
      <c r="A807">
        <f>ROW([1]DATABASE!A768)</f>
        <v>768</v>
      </c>
      <c r="B807" t="str">
        <f>[1]DATABASE!AJ768</f>
        <v>Zestia</v>
      </c>
      <c r="C807" t="str">
        <f>[1]DATABASE!C768</f>
        <v>AN</v>
      </c>
      <c r="D807" t="str">
        <f>TRIM([1]DATABASE!Q768)</f>
        <v>AVAILABLE</v>
      </c>
      <c r="E807" s="82" t="str">
        <f>_xlfn.TEXTJOIN("; ",TRUE,IF([1]DATABASE!X768&lt;0,"Negative Discount",""),IF(AND([1]DATABASE!Y768&gt;[1]DATABASE!T768,[1]DATABASE!Y768&gt;0,[1]DATABASE!T768&gt;0),"Sell Price &gt; Current",""),IF(AND(TRIM([1]DATABASE!Q768)="DEED",[1]DATABASE!AA768=""),"Deeded no PSPA Date",""),IF([1]DATABASE!E768="","Missing Typology",""),IF([1]DATABASE!AJ768="","Missing Development",""))</f>
        <v/>
      </c>
      <c r="F807" s="82" t="str">
        <f>_xlfn.TEXTJOIN("; ",TRUE,IF(AND(OR(TRIM([1]DATABASE!Q768)="RESERVED",TRIM([1]DATABASE!Q768)="PRE-RESERVED",TRIM([1]DATABASE!Q768)="PSPA"),[1]DATABASE!AA768=""),"Reserved/PSPA no PSPA Date",""),IF(AND(TRIM([1]DATABASE!Q768)="AVAILABLE",[1]DATABASE!AA768&lt;&gt;""),"Available has PSPA Date",""))</f>
        <v/>
      </c>
      <c r="G807" s="82" t="str">
        <f>_xlfn.TEXTJOIN("; ",TRUE,IF(AND([1]DATABASE!T768&lt;0.8*[1]DATABASE!S768,[1]DATABASE!T768&gt;0,[1]DATABASE!S768&gt;0),"Heavy Price Cut &gt;20%",""),IF(AND(OR(TRIM([1]DATABASE!Q768)="AVAILABLE",TRIM([1]DATABASE!Q768)="UPON REQUEST"),OR([1]DATABASE!T768="",[1]DATABASE!T768=0)),"Active Unit no Price",""),IF(AND(OR(TRIM([1]DATABASE!Q768)="AVAILABLE",TRIM([1]DATABASE!Q768)="RESERVED",TRIM([1]DATABASE!Q768)="PRE-RESERVED",TRIM([1]DATABASE!Q768)="PSPA"),[1]DATABASE!AC768=""),"Active no Owner",""),IF(OR([1]DATABASE!F768="",[1]DATABASE!F768&lt;=0),"Missing/Invalid Area",""),IF(AND([1]DATABASE!T768&gt;0,ABS([1]DATABASE!T768-[1]DATABASE!W768-[1]DATABASE!U768-[1]DATABASE!V768)&gt;1),"Price Bridge Mismatch",""))</f>
        <v/>
      </c>
      <c r="H807" t="str">
        <f t="shared" si="14"/>
        <v>PASS</v>
      </c>
      <c r="I807" s="90">
        <f>[1]DATABASE!T768</f>
        <v>840000</v>
      </c>
      <c r="J807" t="str">
        <f>[1]DATABASE!AC768</f>
        <v>Ana Damásio</v>
      </c>
    </row>
    <row r="808" spans="1:10" ht="13.95" customHeight="1" x14ac:dyDescent="0.3">
      <c r="A808">
        <f>ROW([1]DATABASE!A769)</f>
        <v>769</v>
      </c>
      <c r="B808" t="str">
        <f>[1]DATABASE!AJ769</f>
        <v>Palmares</v>
      </c>
      <c r="C808" t="str">
        <f>[1]DATABASE!C769</f>
        <v>21</v>
      </c>
      <c r="D808" t="str">
        <f>TRIM([1]DATABASE!Q769)</f>
        <v>AVAILABLE</v>
      </c>
      <c r="E808" s="82" t="str">
        <f>_xlfn.TEXTJOIN("; ",TRUE,IF([1]DATABASE!X769&lt;0,"Negative Discount",""),IF(AND([1]DATABASE!Y769&gt;[1]DATABASE!T769,[1]DATABASE!Y769&gt;0,[1]DATABASE!T769&gt;0),"Sell Price &gt; Current",""),IF(AND(TRIM([1]DATABASE!Q769)="DEED",[1]DATABASE!AA769=""),"Deeded no PSPA Date",""),IF([1]DATABASE!E769="","Missing Typology",""),IF([1]DATABASE!AJ769="","Missing Development",""))</f>
        <v/>
      </c>
      <c r="F808" s="82" t="str">
        <f>_xlfn.TEXTJOIN("; ",TRUE,IF(AND(OR(TRIM([1]DATABASE!Q769)="RESERVED",TRIM([1]DATABASE!Q769)="PRE-RESERVED",TRIM([1]DATABASE!Q769)="PSPA"),[1]DATABASE!AA769=""),"Reserved/PSPA no PSPA Date",""),IF(AND(TRIM([1]DATABASE!Q769)="AVAILABLE",[1]DATABASE!AA769&lt;&gt;""),"Available has PSPA Date",""))</f>
        <v/>
      </c>
      <c r="G808" s="82" t="str">
        <f>_xlfn.TEXTJOIN("; ",TRUE,IF(AND([1]DATABASE!T769&lt;0.8*[1]DATABASE!S769,[1]DATABASE!T769&gt;0,[1]DATABASE!S769&gt;0),"Heavy Price Cut &gt;20%",""),IF(AND(OR(TRIM([1]DATABASE!Q769)="AVAILABLE",TRIM([1]DATABASE!Q769)="UPON REQUEST"),OR([1]DATABASE!T769="",[1]DATABASE!T769=0)),"Active Unit no Price",""),IF(AND(OR(TRIM([1]DATABASE!Q769)="AVAILABLE",TRIM([1]DATABASE!Q769)="RESERVED",TRIM([1]DATABASE!Q769)="PRE-RESERVED",TRIM([1]DATABASE!Q769)="PSPA"),[1]DATABASE!AC769=""),"Active no Owner",""),IF(OR([1]DATABASE!F769="",[1]DATABASE!F769&lt;=0),"Missing/Invalid Area",""),IF(AND([1]DATABASE!T769&gt;0,ABS([1]DATABASE!T769-[1]DATABASE!W769-[1]DATABASE!U769-[1]DATABASE!V769)&gt;1),"Price Bridge Mismatch",""))</f>
        <v/>
      </c>
      <c r="H808" t="str">
        <f t="shared" si="14"/>
        <v>PASS</v>
      </c>
      <c r="I808" s="90">
        <f>[1]DATABASE!T769</f>
        <v>1750000</v>
      </c>
      <c r="J808" t="str">
        <f>[1]DATABASE!AC769</f>
        <v>Sandra Viegas</v>
      </c>
    </row>
    <row r="809" spans="1:10" ht="13.95" customHeight="1" x14ac:dyDescent="0.3">
      <c r="A809">
        <f>ROW([1]DATABASE!A770)</f>
        <v>770</v>
      </c>
      <c r="B809" t="str">
        <f>[1]DATABASE!AJ770</f>
        <v>Botanica</v>
      </c>
      <c r="C809" t="str">
        <f>[1]DATABASE!C770</f>
        <v>AO</v>
      </c>
      <c r="D809" t="str">
        <f>TRIM([1]DATABASE!Q770)</f>
        <v>AVAILABLE</v>
      </c>
      <c r="E809" s="82" t="str">
        <f>_xlfn.TEXTJOIN("; ",TRUE,IF([1]DATABASE!X770&lt;0,"Negative Discount",""),IF(AND([1]DATABASE!Y770&gt;[1]DATABASE!T770,[1]DATABASE!Y770&gt;0,[1]DATABASE!T770&gt;0),"Sell Price &gt; Current",""),IF(AND(TRIM([1]DATABASE!Q770)="DEED",[1]DATABASE!AA770=""),"Deeded no PSPA Date",""),IF([1]DATABASE!E770="","Missing Typology",""),IF([1]DATABASE!AJ770="","Missing Development",""))</f>
        <v/>
      </c>
      <c r="F809" s="82" t="str">
        <f>_xlfn.TEXTJOIN("; ",TRUE,IF(AND(OR(TRIM([1]DATABASE!Q770)="RESERVED",TRIM([1]DATABASE!Q770)="PRE-RESERVED",TRIM([1]DATABASE!Q770)="PSPA"),[1]DATABASE!AA770=""),"Reserved/PSPA no PSPA Date",""),IF(AND(TRIM([1]DATABASE!Q770)="AVAILABLE",[1]DATABASE!AA770&lt;&gt;""),"Available has PSPA Date",""))</f>
        <v/>
      </c>
      <c r="G809" s="82" t="str">
        <f>_xlfn.TEXTJOIN("; ",TRUE,IF(AND([1]DATABASE!T770&lt;0.8*[1]DATABASE!S770,[1]DATABASE!T770&gt;0,[1]DATABASE!S770&gt;0),"Heavy Price Cut &gt;20%",""),IF(AND(OR(TRIM([1]DATABASE!Q770)="AVAILABLE",TRIM([1]DATABASE!Q770)="UPON REQUEST"),OR([1]DATABASE!T770="",[1]DATABASE!T770=0)),"Active Unit no Price",""),IF(AND(OR(TRIM([1]DATABASE!Q770)="AVAILABLE",TRIM([1]DATABASE!Q770)="RESERVED",TRIM([1]DATABASE!Q770)="PRE-RESERVED",TRIM([1]DATABASE!Q770)="PSPA"),[1]DATABASE!AC770=""),"Active no Owner",""),IF(OR([1]DATABASE!F770="",[1]DATABASE!F770&lt;=0),"Missing/Invalid Area",""),IF(AND([1]DATABASE!T770&gt;0,ABS([1]DATABASE!T770-[1]DATABASE!W770-[1]DATABASE!U770-[1]DATABASE!V770)&gt;1),"Price Bridge Mismatch",""))</f>
        <v/>
      </c>
      <c r="H809" t="str">
        <f t="shared" si="14"/>
        <v>PASS</v>
      </c>
      <c r="I809" s="90">
        <f>[1]DATABASE!T770</f>
        <v>1500000</v>
      </c>
      <c r="J809" t="str">
        <f>[1]DATABASE!AC770</f>
        <v>Ana Damásio</v>
      </c>
    </row>
    <row r="810" spans="1:10" ht="13.95" customHeight="1" x14ac:dyDescent="0.3">
      <c r="A810">
        <f>ROW([1]DATABASE!A771)</f>
        <v>771</v>
      </c>
      <c r="B810" t="str">
        <f>[1]DATABASE!AJ771</f>
        <v>Palmares</v>
      </c>
      <c r="C810" t="str">
        <f>[1]DATABASE!C771</f>
        <v>26</v>
      </c>
      <c r="D810" t="str">
        <f>TRIM([1]DATABASE!Q771)</f>
        <v>AVAILABLE</v>
      </c>
      <c r="E810" s="82" t="str">
        <f>_xlfn.TEXTJOIN("; ",TRUE,IF([1]DATABASE!X771&lt;0,"Negative Discount",""),IF(AND([1]DATABASE!Y771&gt;[1]DATABASE!T771,[1]DATABASE!Y771&gt;0,[1]DATABASE!T771&gt;0),"Sell Price &gt; Current",""),IF(AND(TRIM([1]DATABASE!Q771)="DEED",[1]DATABASE!AA771=""),"Deeded no PSPA Date",""),IF([1]DATABASE!E771="","Missing Typology",""),IF([1]DATABASE!AJ771="","Missing Development",""))</f>
        <v/>
      </c>
      <c r="F810" s="82" t="str">
        <f>_xlfn.TEXTJOIN("; ",TRUE,IF(AND(OR(TRIM([1]DATABASE!Q771)="RESERVED",TRIM([1]DATABASE!Q771)="PRE-RESERVED",TRIM([1]DATABASE!Q771)="PSPA"),[1]DATABASE!AA771=""),"Reserved/PSPA no PSPA Date",""),IF(AND(TRIM([1]DATABASE!Q771)="AVAILABLE",[1]DATABASE!AA771&lt;&gt;""),"Available has PSPA Date",""))</f>
        <v/>
      </c>
      <c r="G810" s="82" t="str">
        <f>_xlfn.TEXTJOIN("; ",TRUE,IF(AND([1]DATABASE!T771&lt;0.8*[1]DATABASE!S771,[1]DATABASE!T771&gt;0,[1]DATABASE!S771&gt;0),"Heavy Price Cut &gt;20%",""),IF(AND(OR(TRIM([1]DATABASE!Q771)="AVAILABLE",TRIM([1]DATABASE!Q771)="UPON REQUEST"),OR([1]DATABASE!T771="",[1]DATABASE!T771=0)),"Active Unit no Price",""),IF(AND(OR(TRIM([1]DATABASE!Q771)="AVAILABLE",TRIM([1]DATABASE!Q771)="RESERVED",TRIM([1]DATABASE!Q771)="PRE-RESERVED",TRIM([1]DATABASE!Q771)="PSPA"),[1]DATABASE!AC771=""),"Active no Owner",""),IF(OR([1]DATABASE!F771="",[1]DATABASE!F771&lt;=0),"Missing/Invalid Area",""),IF(AND([1]DATABASE!T771&gt;0,ABS([1]DATABASE!T771-[1]DATABASE!W771-[1]DATABASE!U771-[1]DATABASE!V771)&gt;1),"Price Bridge Mismatch",""))</f>
        <v/>
      </c>
      <c r="H810" t="str">
        <f t="shared" ref="H810:H873" si="15">IF(LEN(E810&amp;F810&amp;G810)&gt;0,"REVIEW","PASS")</f>
        <v>PASS</v>
      </c>
      <c r="I810" s="90">
        <f>[1]DATABASE!T771</f>
        <v>1650000</v>
      </c>
      <c r="J810" t="str">
        <f>[1]DATABASE!AC771</f>
        <v>Sandra Viegas</v>
      </c>
    </row>
    <row r="811" spans="1:10" ht="13.95" customHeight="1" x14ac:dyDescent="0.3">
      <c r="A811">
        <f>ROW([1]DATABASE!A772)</f>
        <v>772</v>
      </c>
      <c r="B811" t="str">
        <f>[1]DATABASE!AJ772</f>
        <v>Springs - At the Els</v>
      </c>
      <c r="C811" t="str">
        <f>[1]DATABASE!C772</f>
        <v>AO</v>
      </c>
      <c r="D811" t="str">
        <f>TRIM([1]DATABASE!Q772)</f>
        <v>AVAILABLE</v>
      </c>
      <c r="E811" s="82" t="str">
        <f>_xlfn.TEXTJOIN("; ",TRUE,IF([1]DATABASE!X772&lt;0,"Negative Discount",""),IF(AND([1]DATABASE!Y772&gt;[1]DATABASE!T772,[1]DATABASE!Y772&gt;0,[1]DATABASE!T772&gt;0),"Sell Price &gt; Current",""),IF(AND(TRIM([1]DATABASE!Q772)="DEED",[1]DATABASE!AA772=""),"Deeded no PSPA Date",""),IF([1]DATABASE!E772="","Missing Typology",""),IF([1]DATABASE!AJ772="","Missing Development",""))</f>
        <v/>
      </c>
      <c r="F811" s="82" t="str">
        <f>_xlfn.TEXTJOIN("; ",TRUE,IF(AND(OR(TRIM([1]DATABASE!Q772)="RESERVED",TRIM([1]DATABASE!Q772)="PRE-RESERVED",TRIM([1]DATABASE!Q772)="PSPA"),[1]DATABASE!AA772=""),"Reserved/PSPA no PSPA Date",""),IF(AND(TRIM([1]DATABASE!Q772)="AVAILABLE",[1]DATABASE!AA772&lt;&gt;""),"Available has PSPA Date",""))</f>
        <v/>
      </c>
      <c r="G811" s="82" t="str">
        <f>_xlfn.TEXTJOIN("; ",TRUE,IF(AND([1]DATABASE!T772&lt;0.8*[1]DATABASE!S772,[1]DATABASE!T772&gt;0,[1]DATABASE!S772&gt;0),"Heavy Price Cut &gt;20%",""),IF(AND(OR(TRIM([1]DATABASE!Q772)="AVAILABLE",TRIM([1]DATABASE!Q772)="UPON REQUEST"),OR([1]DATABASE!T772="",[1]DATABASE!T772=0)),"Active Unit no Price",""),IF(AND(OR(TRIM([1]DATABASE!Q772)="AVAILABLE",TRIM([1]DATABASE!Q772)="RESERVED",TRIM([1]DATABASE!Q772)="PRE-RESERVED",TRIM([1]DATABASE!Q772)="PSPA"),[1]DATABASE!AC772=""),"Active no Owner",""),IF(OR([1]DATABASE!F772="",[1]DATABASE!F772&lt;=0),"Missing/Invalid Area",""),IF(AND([1]DATABASE!T772&gt;0,ABS([1]DATABASE!T772-[1]DATABASE!W772-[1]DATABASE!U772-[1]DATABASE!V772)&gt;1),"Price Bridge Mismatch",""))</f>
        <v/>
      </c>
      <c r="H811" t="str">
        <f t="shared" si="15"/>
        <v>PASS</v>
      </c>
      <c r="I811" s="90">
        <f>[1]DATABASE!T772</f>
        <v>1880000</v>
      </c>
      <c r="J811" t="str">
        <f>[1]DATABASE!AC772</f>
        <v>Ana Damásio</v>
      </c>
    </row>
    <row r="812" spans="1:10" ht="13.95" customHeight="1" x14ac:dyDescent="0.3">
      <c r="A812">
        <f>ROW([1]DATABASE!A773)</f>
        <v>773</v>
      </c>
      <c r="B812" t="str">
        <f>[1]DATABASE!AJ773</f>
        <v>Aroeira Collections</v>
      </c>
      <c r="C812" t="str">
        <f>[1]DATABASE!C773</f>
        <v>304A</v>
      </c>
      <c r="D812" t="str">
        <f>TRIM([1]DATABASE!Q773)</f>
        <v>AVAILABLE</v>
      </c>
      <c r="E812" s="82" t="str">
        <f>_xlfn.TEXTJOIN("; ",TRUE,IF([1]DATABASE!X773&lt;0,"Negative Discount",""),IF(AND([1]DATABASE!Y773&gt;[1]DATABASE!T773,[1]DATABASE!Y773&gt;0,[1]DATABASE!T773&gt;0),"Sell Price &gt; Current",""),IF(AND(TRIM([1]DATABASE!Q773)="DEED",[1]DATABASE!AA773=""),"Deeded no PSPA Date",""),IF([1]DATABASE!E773="","Missing Typology",""),IF([1]DATABASE!AJ773="","Missing Development",""))</f>
        <v/>
      </c>
      <c r="F812" s="82" t="str">
        <f>_xlfn.TEXTJOIN("; ",TRUE,IF(AND(OR(TRIM([1]DATABASE!Q773)="RESERVED",TRIM([1]DATABASE!Q773)="PRE-RESERVED",TRIM([1]DATABASE!Q773)="PSPA"),[1]DATABASE!AA773=""),"Reserved/PSPA no PSPA Date",""),IF(AND(TRIM([1]DATABASE!Q773)="AVAILABLE",[1]DATABASE!AA773&lt;&gt;""),"Available has PSPA Date",""))</f>
        <v/>
      </c>
      <c r="G812" s="82" t="str">
        <f>_xlfn.TEXTJOIN("; ",TRUE,IF(AND([1]DATABASE!T773&lt;0.8*[1]DATABASE!S773,[1]DATABASE!T773&gt;0,[1]DATABASE!S773&gt;0),"Heavy Price Cut &gt;20%",""),IF(AND(OR(TRIM([1]DATABASE!Q773)="AVAILABLE",TRIM([1]DATABASE!Q773)="UPON REQUEST"),OR([1]DATABASE!T773="",[1]DATABASE!T773=0)),"Active Unit no Price",""),IF(AND(OR(TRIM([1]DATABASE!Q773)="AVAILABLE",TRIM([1]DATABASE!Q773)="RESERVED",TRIM([1]DATABASE!Q773)="PRE-RESERVED",TRIM([1]DATABASE!Q773)="PSPA"),[1]DATABASE!AC773=""),"Active no Owner",""),IF(OR([1]DATABASE!F773="",[1]DATABASE!F773&lt;=0),"Missing/Invalid Area",""),IF(AND([1]DATABASE!T773&gt;0,ABS([1]DATABASE!T773-[1]DATABASE!W773-[1]DATABASE!U773-[1]DATABASE!V773)&gt;1),"Price Bridge Mismatch",""))</f>
        <v/>
      </c>
      <c r="H812" t="str">
        <f t="shared" si="15"/>
        <v>PASS</v>
      </c>
      <c r="I812" s="90">
        <f>[1]DATABASE!T773</f>
        <v>450000</v>
      </c>
      <c r="J812" t="str">
        <f>[1]DATABASE!AC773</f>
        <v>João Gameiro</v>
      </c>
    </row>
    <row r="813" spans="1:10" ht="13.95" customHeight="1" x14ac:dyDescent="0.3">
      <c r="A813">
        <f>ROW([1]DATABASE!A774)</f>
        <v>774</v>
      </c>
      <c r="B813" t="str">
        <f>[1]DATABASE!AJ774</f>
        <v>Monte Rei</v>
      </c>
      <c r="C813" t="str">
        <f>[1]DATABASE!C774</f>
        <v>12</v>
      </c>
      <c r="D813" t="str">
        <f>TRIM([1]DATABASE!Q774)</f>
        <v>AVAILABLE</v>
      </c>
      <c r="E813" s="82" t="str">
        <f>_xlfn.TEXTJOIN("; ",TRUE,IF([1]DATABASE!X774&lt;0,"Negative Discount",""),IF(AND([1]DATABASE!Y774&gt;[1]DATABASE!T774,[1]DATABASE!Y774&gt;0,[1]DATABASE!T774&gt;0),"Sell Price &gt; Current",""),IF(AND(TRIM([1]DATABASE!Q774)="DEED",[1]DATABASE!AA774=""),"Deeded no PSPA Date",""),IF([1]DATABASE!E774="","Missing Typology",""),IF([1]DATABASE!AJ774="","Missing Development",""))</f>
        <v/>
      </c>
      <c r="F813" s="82" t="str">
        <f>_xlfn.TEXTJOIN("; ",TRUE,IF(AND(OR(TRIM([1]DATABASE!Q774)="RESERVED",TRIM([1]DATABASE!Q774)="PRE-RESERVED",TRIM([1]DATABASE!Q774)="PSPA"),[1]DATABASE!AA774=""),"Reserved/PSPA no PSPA Date",""),IF(AND(TRIM([1]DATABASE!Q774)="AVAILABLE",[1]DATABASE!AA774&lt;&gt;""),"Available has PSPA Date",""))</f>
        <v/>
      </c>
      <c r="G813" s="82" t="str">
        <f>_xlfn.TEXTJOIN("; ",TRUE,IF(AND([1]DATABASE!T774&lt;0.8*[1]DATABASE!S774,[1]DATABASE!T774&gt;0,[1]DATABASE!S774&gt;0),"Heavy Price Cut &gt;20%",""),IF(AND(OR(TRIM([1]DATABASE!Q774)="AVAILABLE",TRIM([1]DATABASE!Q774)="UPON REQUEST"),OR([1]DATABASE!T774="",[1]DATABASE!T774=0)),"Active Unit no Price",""),IF(AND(OR(TRIM([1]DATABASE!Q774)="AVAILABLE",TRIM([1]DATABASE!Q774)="RESERVED",TRIM([1]DATABASE!Q774)="PRE-RESERVED",TRIM([1]DATABASE!Q774)="PSPA"),[1]DATABASE!AC774=""),"Active no Owner",""),IF(OR([1]DATABASE!F774="",[1]DATABASE!F774&lt;=0),"Missing/Invalid Area",""),IF(AND([1]DATABASE!T774&gt;0,ABS([1]DATABASE!T774-[1]DATABASE!W774-[1]DATABASE!U774-[1]DATABASE!V774)&gt;1),"Price Bridge Mismatch",""))</f>
        <v/>
      </c>
      <c r="H813" t="str">
        <f t="shared" si="15"/>
        <v>PASS</v>
      </c>
      <c r="I813" s="90">
        <f>[1]DATABASE!T774</f>
        <v>740000</v>
      </c>
      <c r="J813" t="str">
        <f>[1]DATABASE!AC774</f>
        <v>Sandra Viegas</v>
      </c>
    </row>
    <row r="814" spans="1:10" ht="13.95" customHeight="1" x14ac:dyDescent="0.3">
      <c r="A814">
        <f>ROW([1]DATABASE!A775)</f>
        <v>775</v>
      </c>
      <c r="B814" t="str">
        <f>[1]DATABASE!AJ775</f>
        <v>Monte Rei</v>
      </c>
      <c r="C814" t="str">
        <f>[1]DATABASE!C775</f>
        <v>18</v>
      </c>
      <c r="D814" t="str">
        <f>TRIM([1]DATABASE!Q775)</f>
        <v>AVAILABLE</v>
      </c>
      <c r="E814" s="82" t="str">
        <f>_xlfn.TEXTJOIN("; ",TRUE,IF([1]DATABASE!X775&lt;0,"Negative Discount",""),IF(AND([1]DATABASE!Y775&gt;[1]DATABASE!T775,[1]DATABASE!Y775&gt;0,[1]DATABASE!T775&gt;0),"Sell Price &gt; Current",""),IF(AND(TRIM([1]DATABASE!Q775)="DEED",[1]DATABASE!AA775=""),"Deeded no PSPA Date",""),IF([1]DATABASE!E775="","Missing Typology",""),IF([1]DATABASE!AJ775="","Missing Development",""))</f>
        <v/>
      </c>
      <c r="F814" s="82" t="str">
        <f>_xlfn.TEXTJOIN("; ",TRUE,IF(AND(OR(TRIM([1]DATABASE!Q775)="RESERVED",TRIM([1]DATABASE!Q775)="PRE-RESERVED",TRIM([1]DATABASE!Q775)="PSPA"),[1]DATABASE!AA775=""),"Reserved/PSPA no PSPA Date",""),IF(AND(TRIM([1]DATABASE!Q775)="AVAILABLE",[1]DATABASE!AA775&lt;&gt;""),"Available has PSPA Date",""))</f>
        <v/>
      </c>
      <c r="G814" s="82" t="str">
        <f>_xlfn.TEXTJOIN("; ",TRUE,IF(AND([1]DATABASE!T775&lt;0.8*[1]DATABASE!S775,[1]DATABASE!T775&gt;0,[1]DATABASE!S775&gt;0),"Heavy Price Cut &gt;20%",""),IF(AND(OR(TRIM([1]DATABASE!Q775)="AVAILABLE",TRIM([1]DATABASE!Q775)="UPON REQUEST"),OR([1]DATABASE!T775="",[1]DATABASE!T775=0)),"Active Unit no Price",""),IF(AND(OR(TRIM([1]DATABASE!Q775)="AVAILABLE",TRIM([1]DATABASE!Q775)="RESERVED",TRIM([1]DATABASE!Q775)="PRE-RESERVED",TRIM([1]DATABASE!Q775)="PSPA"),[1]DATABASE!AC775=""),"Active no Owner",""),IF(OR([1]DATABASE!F775="",[1]DATABASE!F775&lt;=0),"Missing/Invalid Area",""),IF(AND([1]DATABASE!T775&gt;0,ABS([1]DATABASE!T775-[1]DATABASE!W775-[1]DATABASE!U775-[1]DATABASE!V775)&gt;1),"Price Bridge Mismatch",""))</f>
        <v/>
      </c>
      <c r="H814" t="str">
        <f t="shared" si="15"/>
        <v>PASS</v>
      </c>
      <c r="I814" s="90">
        <f>[1]DATABASE!T775</f>
        <v>750000</v>
      </c>
      <c r="J814" t="str">
        <f>[1]DATABASE!AC775</f>
        <v>Sandra Viegas</v>
      </c>
    </row>
    <row r="815" spans="1:10" ht="13.95" customHeight="1" x14ac:dyDescent="0.3">
      <c r="A815">
        <f>ROW([1]DATABASE!A776)</f>
        <v>776</v>
      </c>
      <c r="B815" t="str">
        <f>[1]DATABASE!AJ776</f>
        <v>Monte Rei</v>
      </c>
      <c r="C815" t="str">
        <f>[1]DATABASE!C776</f>
        <v>19</v>
      </c>
      <c r="D815" t="str">
        <f>TRIM([1]DATABASE!Q776)</f>
        <v>AVAILABLE</v>
      </c>
      <c r="E815" s="82" t="str">
        <f>_xlfn.TEXTJOIN("; ",TRUE,IF([1]DATABASE!X776&lt;0,"Negative Discount",""),IF(AND([1]DATABASE!Y776&gt;[1]DATABASE!T776,[1]DATABASE!Y776&gt;0,[1]DATABASE!T776&gt;0),"Sell Price &gt; Current",""),IF(AND(TRIM([1]DATABASE!Q776)="DEED",[1]DATABASE!AA776=""),"Deeded no PSPA Date",""),IF([1]DATABASE!E776="","Missing Typology",""),IF([1]DATABASE!AJ776="","Missing Development",""))</f>
        <v/>
      </c>
      <c r="F815" s="82" t="str">
        <f>_xlfn.TEXTJOIN("; ",TRUE,IF(AND(OR(TRIM([1]DATABASE!Q776)="RESERVED",TRIM([1]DATABASE!Q776)="PRE-RESERVED",TRIM([1]DATABASE!Q776)="PSPA"),[1]DATABASE!AA776=""),"Reserved/PSPA no PSPA Date",""),IF(AND(TRIM([1]DATABASE!Q776)="AVAILABLE",[1]DATABASE!AA776&lt;&gt;""),"Available has PSPA Date",""))</f>
        <v/>
      </c>
      <c r="G815" s="82" t="str">
        <f>_xlfn.TEXTJOIN("; ",TRUE,IF(AND([1]DATABASE!T776&lt;0.8*[1]DATABASE!S776,[1]DATABASE!T776&gt;0,[1]DATABASE!S776&gt;0),"Heavy Price Cut &gt;20%",""),IF(AND(OR(TRIM([1]DATABASE!Q776)="AVAILABLE",TRIM([1]DATABASE!Q776)="UPON REQUEST"),OR([1]DATABASE!T776="",[1]DATABASE!T776=0)),"Active Unit no Price",""),IF(AND(OR(TRIM([1]DATABASE!Q776)="AVAILABLE",TRIM([1]DATABASE!Q776)="RESERVED",TRIM([1]DATABASE!Q776)="PRE-RESERVED",TRIM([1]DATABASE!Q776)="PSPA"),[1]DATABASE!AC776=""),"Active no Owner",""),IF(OR([1]DATABASE!F776="",[1]DATABASE!F776&lt;=0),"Missing/Invalid Area",""),IF(AND([1]DATABASE!T776&gt;0,ABS([1]DATABASE!T776-[1]DATABASE!W776-[1]DATABASE!U776-[1]DATABASE!V776)&gt;1),"Price Bridge Mismatch",""))</f>
        <v/>
      </c>
      <c r="H815" t="str">
        <f t="shared" si="15"/>
        <v>PASS</v>
      </c>
      <c r="I815" s="90">
        <f>[1]DATABASE!T776</f>
        <v>720000</v>
      </c>
      <c r="J815" t="str">
        <f>[1]DATABASE!AC776</f>
        <v>Sandra Viegas</v>
      </c>
    </row>
    <row r="816" spans="1:10" ht="13.95" customHeight="1" x14ac:dyDescent="0.3">
      <c r="A816">
        <f>ROW([1]DATABASE!A777)</f>
        <v>777</v>
      </c>
      <c r="B816" t="str">
        <f>[1]DATABASE!AJ777</f>
        <v>Aroeira Collections</v>
      </c>
      <c r="C816" t="str">
        <f>[1]DATABASE!C777</f>
        <v>305A</v>
      </c>
      <c r="D816" t="str">
        <f>TRIM([1]DATABASE!Q777)</f>
        <v>AVAILABLE</v>
      </c>
      <c r="E816" s="82" t="str">
        <f>_xlfn.TEXTJOIN("; ",TRUE,IF([1]DATABASE!X777&lt;0,"Negative Discount",""),IF(AND([1]DATABASE!Y777&gt;[1]DATABASE!T777,[1]DATABASE!Y777&gt;0,[1]DATABASE!T777&gt;0),"Sell Price &gt; Current",""),IF(AND(TRIM([1]DATABASE!Q777)="DEED",[1]DATABASE!AA777=""),"Deeded no PSPA Date",""),IF([1]DATABASE!E777="","Missing Typology",""),IF([1]DATABASE!AJ777="","Missing Development",""))</f>
        <v/>
      </c>
      <c r="F816" s="82" t="str">
        <f>_xlfn.TEXTJOIN("; ",TRUE,IF(AND(OR(TRIM([1]DATABASE!Q777)="RESERVED",TRIM([1]DATABASE!Q777)="PRE-RESERVED",TRIM([1]DATABASE!Q777)="PSPA"),[1]DATABASE!AA777=""),"Reserved/PSPA no PSPA Date",""),IF(AND(TRIM([1]DATABASE!Q777)="AVAILABLE",[1]DATABASE!AA777&lt;&gt;""),"Available has PSPA Date",""))</f>
        <v/>
      </c>
      <c r="G816" s="82" t="str">
        <f>_xlfn.TEXTJOIN("; ",TRUE,IF(AND([1]DATABASE!T777&lt;0.8*[1]DATABASE!S777,[1]DATABASE!T777&gt;0,[1]DATABASE!S777&gt;0),"Heavy Price Cut &gt;20%",""),IF(AND(OR(TRIM([1]DATABASE!Q777)="AVAILABLE",TRIM([1]DATABASE!Q777)="UPON REQUEST"),OR([1]DATABASE!T777="",[1]DATABASE!T777=0)),"Active Unit no Price",""),IF(AND(OR(TRIM([1]DATABASE!Q777)="AVAILABLE",TRIM([1]DATABASE!Q777)="RESERVED",TRIM([1]DATABASE!Q777)="PRE-RESERVED",TRIM([1]DATABASE!Q777)="PSPA"),[1]DATABASE!AC777=""),"Active no Owner",""),IF(OR([1]DATABASE!F777="",[1]DATABASE!F777&lt;=0),"Missing/Invalid Area",""),IF(AND([1]DATABASE!T777&gt;0,ABS([1]DATABASE!T777-[1]DATABASE!W777-[1]DATABASE!U777-[1]DATABASE!V777)&gt;1),"Price Bridge Mismatch",""))</f>
        <v/>
      </c>
      <c r="H816" t="str">
        <f t="shared" si="15"/>
        <v>PASS</v>
      </c>
      <c r="I816" s="90">
        <f>[1]DATABASE!T777</f>
        <v>450000</v>
      </c>
      <c r="J816" t="str">
        <f>[1]DATABASE!AC777</f>
        <v>João Gameiro</v>
      </c>
    </row>
    <row r="817" spans="1:10" ht="13.95" customHeight="1" x14ac:dyDescent="0.3">
      <c r="A817">
        <f>ROW([1]DATABASE!A778)</f>
        <v>778</v>
      </c>
      <c r="B817" t="str">
        <f>[1]DATABASE!AJ778</f>
        <v>Aroeira Collections</v>
      </c>
      <c r="C817" t="str">
        <f>[1]DATABASE!C778</f>
        <v>306A</v>
      </c>
      <c r="D817" t="str">
        <f>TRIM([1]DATABASE!Q778)</f>
        <v>AVAILABLE</v>
      </c>
      <c r="E817" s="82" t="str">
        <f>_xlfn.TEXTJOIN("; ",TRUE,IF([1]DATABASE!X778&lt;0,"Negative Discount",""),IF(AND([1]DATABASE!Y778&gt;[1]DATABASE!T778,[1]DATABASE!Y778&gt;0,[1]DATABASE!T778&gt;0),"Sell Price &gt; Current",""),IF(AND(TRIM([1]DATABASE!Q778)="DEED",[1]DATABASE!AA778=""),"Deeded no PSPA Date",""),IF([1]DATABASE!E778="","Missing Typology",""),IF([1]DATABASE!AJ778="","Missing Development",""))</f>
        <v/>
      </c>
      <c r="F817" s="82" t="str">
        <f>_xlfn.TEXTJOIN("; ",TRUE,IF(AND(OR(TRIM([1]DATABASE!Q778)="RESERVED",TRIM([1]DATABASE!Q778)="PRE-RESERVED",TRIM([1]DATABASE!Q778)="PSPA"),[1]DATABASE!AA778=""),"Reserved/PSPA no PSPA Date",""),IF(AND(TRIM([1]DATABASE!Q778)="AVAILABLE",[1]DATABASE!AA778&lt;&gt;""),"Available has PSPA Date",""))</f>
        <v/>
      </c>
      <c r="G817" s="82" t="str">
        <f>_xlfn.TEXTJOIN("; ",TRUE,IF(AND([1]DATABASE!T778&lt;0.8*[1]DATABASE!S778,[1]DATABASE!T778&gt;0,[1]DATABASE!S778&gt;0),"Heavy Price Cut &gt;20%",""),IF(AND(OR(TRIM([1]DATABASE!Q778)="AVAILABLE",TRIM([1]DATABASE!Q778)="UPON REQUEST"),OR([1]DATABASE!T778="",[1]DATABASE!T778=0)),"Active Unit no Price",""),IF(AND(OR(TRIM([1]DATABASE!Q778)="AVAILABLE",TRIM([1]DATABASE!Q778)="RESERVED",TRIM([1]DATABASE!Q778)="PRE-RESERVED",TRIM([1]DATABASE!Q778)="PSPA"),[1]DATABASE!AC778=""),"Active no Owner",""),IF(OR([1]DATABASE!F778="",[1]DATABASE!F778&lt;=0),"Missing/Invalid Area",""),IF(AND([1]DATABASE!T778&gt;0,ABS([1]DATABASE!T778-[1]DATABASE!W778-[1]DATABASE!U778-[1]DATABASE!V778)&gt;1),"Price Bridge Mismatch",""))</f>
        <v/>
      </c>
      <c r="H817" t="str">
        <f t="shared" si="15"/>
        <v>PASS</v>
      </c>
      <c r="I817" s="90">
        <f>[1]DATABASE!T778</f>
        <v>450000</v>
      </c>
      <c r="J817" t="str">
        <f>[1]DATABASE!AC778</f>
        <v>João Gameiro</v>
      </c>
    </row>
    <row r="818" spans="1:10" ht="13.95" customHeight="1" x14ac:dyDescent="0.3">
      <c r="A818">
        <f>ROW([1]DATABASE!A779)</f>
        <v>779</v>
      </c>
      <c r="B818" t="str">
        <f>[1]DATABASE!AJ779</f>
        <v>Zestia</v>
      </c>
      <c r="C818" t="str">
        <f>[1]DATABASE!C779</f>
        <v>AO</v>
      </c>
      <c r="D818" t="str">
        <f>TRIM([1]DATABASE!Q779)</f>
        <v>AVAILABLE</v>
      </c>
      <c r="E818" s="82" t="str">
        <f>_xlfn.TEXTJOIN("; ",TRUE,IF([1]DATABASE!X779&lt;0,"Negative Discount",""),IF(AND([1]DATABASE!Y779&gt;[1]DATABASE!T779,[1]DATABASE!Y779&gt;0,[1]DATABASE!T779&gt;0),"Sell Price &gt; Current",""),IF(AND(TRIM([1]DATABASE!Q779)="DEED",[1]DATABASE!AA779=""),"Deeded no PSPA Date",""),IF([1]DATABASE!E779="","Missing Typology",""),IF([1]DATABASE!AJ779="","Missing Development",""))</f>
        <v/>
      </c>
      <c r="F818" s="82" t="str">
        <f>_xlfn.TEXTJOIN("; ",TRUE,IF(AND(OR(TRIM([1]DATABASE!Q779)="RESERVED",TRIM([1]DATABASE!Q779)="PRE-RESERVED",TRIM([1]DATABASE!Q779)="PSPA"),[1]DATABASE!AA779=""),"Reserved/PSPA no PSPA Date",""),IF(AND(TRIM([1]DATABASE!Q779)="AVAILABLE",[1]DATABASE!AA779&lt;&gt;""),"Available has PSPA Date",""))</f>
        <v/>
      </c>
      <c r="G818" s="82" t="str">
        <f>_xlfn.TEXTJOIN("; ",TRUE,IF(AND([1]DATABASE!T779&lt;0.8*[1]DATABASE!S779,[1]DATABASE!T779&gt;0,[1]DATABASE!S779&gt;0),"Heavy Price Cut &gt;20%",""),IF(AND(OR(TRIM([1]DATABASE!Q779)="AVAILABLE",TRIM([1]DATABASE!Q779)="UPON REQUEST"),OR([1]DATABASE!T779="",[1]DATABASE!T779=0)),"Active Unit no Price",""),IF(AND(OR(TRIM([1]DATABASE!Q779)="AVAILABLE",TRIM([1]DATABASE!Q779)="RESERVED",TRIM([1]DATABASE!Q779)="PRE-RESERVED",TRIM([1]DATABASE!Q779)="PSPA"),[1]DATABASE!AC779=""),"Active no Owner",""),IF(OR([1]DATABASE!F779="",[1]DATABASE!F779&lt;=0),"Missing/Invalid Area",""),IF(AND([1]DATABASE!T779&gt;0,ABS([1]DATABASE!T779-[1]DATABASE!W779-[1]DATABASE!U779-[1]DATABASE!V779)&gt;1),"Price Bridge Mismatch",""))</f>
        <v/>
      </c>
      <c r="H818" t="str">
        <f t="shared" si="15"/>
        <v>PASS</v>
      </c>
      <c r="I818" s="90">
        <f>[1]DATABASE!T779</f>
        <v>850000</v>
      </c>
      <c r="J818" t="str">
        <f>[1]DATABASE!AC779</f>
        <v>Ana Damásio</v>
      </c>
    </row>
    <row r="819" spans="1:10" ht="13.95" customHeight="1" x14ac:dyDescent="0.3">
      <c r="A819">
        <f>ROW([1]DATABASE!A780)</f>
        <v>780</v>
      </c>
      <c r="B819" t="str">
        <f>[1]DATABASE!AJ780</f>
        <v>Aroeira Collections</v>
      </c>
      <c r="C819" t="str">
        <f>[1]DATABASE!C780</f>
        <v>307A</v>
      </c>
      <c r="D819" t="str">
        <f>TRIM([1]DATABASE!Q780)</f>
        <v>AVAILABLE</v>
      </c>
      <c r="E819" s="82" t="str">
        <f>_xlfn.TEXTJOIN("; ",TRUE,IF([1]DATABASE!X780&lt;0,"Negative Discount",""),IF(AND([1]DATABASE!Y780&gt;[1]DATABASE!T780,[1]DATABASE!Y780&gt;0,[1]DATABASE!T780&gt;0),"Sell Price &gt; Current",""),IF(AND(TRIM([1]DATABASE!Q780)="DEED",[1]DATABASE!AA780=""),"Deeded no PSPA Date",""),IF([1]DATABASE!E780="","Missing Typology",""),IF([1]DATABASE!AJ780="","Missing Development",""))</f>
        <v/>
      </c>
      <c r="F819" s="82" t="str">
        <f>_xlfn.TEXTJOIN("; ",TRUE,IF(AND(OR(TRIM([1]DATABASE!Q780)="RESERVED",TRIM([1]DATABASE!Q780)="PRE-RESERVED",TRIM([1]DATABASE!Q780)="PSPA"),[1]DATABASE!AA780=""),"Reserved/PSPA no PSPA Date",""),IF(AND(TRIM([1]DATABASE!Q780)="AVAILABLE",[1]DATABASE!AA780&lt;&gt;""),"Available has PSPA Date",""))</f>
        <v/>
      </c>
      <c r="G819" s="82" t="str">
        <f>_xlfn.TEXTJOIN("; ",TRUE,IF(AND([1]DATABASE!T780&lt;0.8*[1]DATABASE!S780,[1]DATABASE!T780&gt;0,[1]DATABASE!S780&gt;0),"Heavy Price Cut &gt;20%",""),IF(AND(OR(TRIM([1]DATABASE!Q780)="AVAILABLE",TRIM([1]DATABASE!Q780)="UPON REQUEST"),OR([1]DATABASE!T780="",[1]DATABASE!T780=0)),"Active Unit no Price",""),IF(AND(OR(TRIM([1]DATABASE!Q780)="AVAILABLE",TRIM([1]DATABASE!Q780)="RESERVED",TRIM([1]DATABASE!Q780)="PRE-RESERVED",TRIM([1]DATABASE!Q780)="PSPA"),[1]DATABASE!AC780=""),"Active no Owner",""),IF(OR([1]DATABASE!F780="",[1]DATABASE!F780&lt;=0),"Missing/Invalid Area",""),IF(AND([1]DATABASE!T780&gt;0,ABS([1]DATABASE!T780-[1]DATABASE!W780-[1]DATABASE!U780-[1]DATABASE!V780)&gt;1),"Price Bridge Mismatch",""))</f>
        <v/>
      </c>
      <c r="H819" t="str">
        <f t="shared" si="15"/>
        <v>PASS</v>
      </c>
      <c r="I819" s="90">
        <f>[1]DATABASE!T780</f>
        <v>450000</v>
      </c>
      <c r="J819" t="str">
        <f>[1]DATABASE!AC780</f>
        <v>João Gameiro</v>
      </c>
    </row>
    <row r="820" spans="1:10" ht="13.95" customHeight="1" x14ac:dyDescent="0.3">
      <c r="A820">
        <f>ROW([1]DATABASE!A781)</f>
        <v>781</v>
      </c>
      <c r="B820" t="str">
        <f>[1]DATABASE!AJ781</f>
        <v>Botanica</v>
      </c>
      <c r="C820" t="str">
        <f>[1]DATABASE!C781</f>
        <v>AP</v>
      </c>
      <c r="D820" t="str">
        <f>TRIM([1]DATABASE!Q781)</f>
        <v>AVAILABLE</v>
      </c>
      <c r="E820" s="82" t="str">
        <f>_xlfn.TEXTJOIN("; ",TRUE,IF([1]DATABASE!X781&lt;0,"Negative Discount",""),IF(AND([1]DATABASE!Y781&gt;[1]DATABASE!T781,[1]DATABASE!Y781&gt;0,[1]DATABASE!T781&gt;0),"Sell Price &gt; Current",""),IF(AND(TRIM([1]DATABASE!Q781)="DEED",[1]DATABASE!AA781=""),"Deeded no PSPA Date",""),IF([1]DATABASE!E781="","Missing Typology",""),IF([1]DATABASE!AJ781="","Missing Development",""))</f>
        <v/>
      </c>
      <c r="F820" s="82" t="str">
        <f>_xlfn.TEXTJOIN("; ",TRUE,IF(AND(OR(TRIM([1]DATABASE!Q781)="RESERVED",TRIM([1]DATABASE!Q781)="PRE-RESERVED",TRIM([1]DATABASE!Q781)="PSPA"),[1]DATABASE!AA781=""),"Reserved/PSPA no PSPA Date",""),IF(AND(TRIM([1]DATABASE!Q781)="AVAILABLE",[1]DATABASE!AA781&lt;&gt;""),"Available has PSPA Date",""))</f>
        <v/>
      </c>
      <c r="G820" s="82" t="str">
        <f>_xlfn.TEXTJOIN("; ",TRUE,IF(AND([1]DATABASE!T781&lt;0.8*[1]DATABASE!S781,[1]DATABASE!T781&gt;0,[1]DATABASE!S781&gt;0),"Heavy Price Cut &gt;20%",""),IF(AND(OR(TRIM([1]DATABASE!Q781)="AVAILABLE",TRIM([1]DATABASE!Q781)="UPON REQUEST"),OR([1]DATABASE!T781="",[1]DATABASE!T781=0)),"Active Unit no Price",""),IF(AND(OR(TRIM([1]DATABASE!Q781)="AVAILABLE",TRIM([1]DATABASE!Q781)="RESERVED",TRIM([1]DATABASE!Q781)="PRE-RESERVED",TRIM([1]DATABASE!Q781)="PSPA"),[1]DATABASE!AC781=""),"Active no Owner",""),IF(OR([1]DATABASE!F781="",[1]DATABASE!F781&lt;=0),"Missing/Invalid Area",""),IF(AND([1]DATABASE!T781&gt;0,ABS([1]DATABASE!T781-[1]DATABASE!W781-[1]DATABASE!U781-[1]DATABASE!V781)&gt;1),"Price Bridge Mismatch",""))</f>
        <v/>
      </c>
      <c r="H820" t="str">
        <f t="shared" si="15"/>
        <v>PASS</v>
      </c>
      <c r="I820" s="90">
        <f>[1]DATABASE!T781</f>
        <v>1175000</v>
      </c>
      <c r="J820" t="str">
        <f>[1]DATABASE!AC781</f>
        <v>Ana Damásio</v>
      </c>
    </row>
    <row r="821" spans="1:10" ht="13.95" customHeight="1" x14ac:dyDescent="0.3">
      <c r="A821">
        <f>ROW([1]DATABASE!A782)</f>
        <v>782</v>
      </c>
      <c r="B821" t="str">
        <f>[1]DATABASE!AJ782</f>
        <v>Nobilus</v>
      </c>
      <c r="C821" t="str">
        <f>[1]DATABASE!C782</f>
        <v>AP</v>
      </c>
      <c r="D821" t="str">
        <f>TRIM([1]DATABASE!Q782)</f>
        <v>AVAILABLE</v>
      </c>
      <c r="E821" s="82" t="str">
        <f>_xlfn.TEXTJOIN("; ",TRUE,IF([1]DATABASE!X782&lt;0,"Negative Discount",""),IF(AND([1]DATABASE!Y782&gt;[1]DATABASE!T782,[1]DATABASE!Y782&gt;0,[1]DATABASE!T782&gt;0),"Sell Price &gt; Current",""),IF(AND(TRIM([1]DATABASE!Q782)="DEED",[1]DATABASE!AA782=""),"Deeded no PSPA Date",""),IF([1]DATABASE!E782="","Missing Typology",""),IF([1]DATABASE!AJ782="","Missing Development",""))</f>
        <v/>
      </c>
      <c r="F821" s="82" t="str">
        <f>_xlfn.TEXTJOIN("; ",TRUE,IF(AND(OR(TRIM([1]DATABASE!Q782)="RESERVED",TRIM([1]DATABASE!Q782)="PRE-RESERVED",TRIM([1]DATABASE!Q782)="PSPA"),[1]DATABASE!AA782=""),"Reserved/PSPA no PSPA Date",""),IF(AND(TRIM([1]DATABASE!Q782)="AVAILABLE",[1]DATABASE!AA782&lt;&gt;""),"Available has PSPA Date",""))</f>
        <v/>
      </c>
      <c r="G821" s="82" t="str">
        <f>_xlfn.TEXTJOIN("; ",TRUE,IF(AND([1]DATABASE!T782&lt;0.8*[1]DATABASE!S782,[1]DATABASE!T782&gt;0,[1]DATABASE!S782&gt;0),"Heavy Price Cut &gt;20%",""),IF(AND(OR(TRIM([1]DATABASE!Q782)="AVAILABLE",TRIM([1]DATABASE!Q782)="UPON REQUEST"),OR([1]DATABASE!T782="",[1]DATABASE!T782=0)),"Active Unit no Price",""),IF(AND(OR(TRIM([1]DATABASE!Q782)="AVAILABLE",TRIM([1]DATABASE!Q782)="RESERVED",TRIM([1]DATABASE!Q782)="PRE-RESERVED",TRIM([1]DATABASE!Q782)="PSPA"),[1]DATABASE!AC782=""),"Active no Owner",""),IF(OR([1]DATABASE!F782="",[1]DATABASE!F782&lt;=0),"Missing/Invalid Area",""),IF(AND([1]DATABASE!T782&gt;0,ABS([1]DATABASE!T782-[1]DATABASE!W782-[1]DATABASE!U782-[1]DATABASE!V782)&gt;1),"Price Bridge Mismatch",""))</f>
        <v/>
      </c>
      <c r="H821" t="str">
        <f t="shared" si="15"/>
        <v>PASS</v>
      </c>
      <c r="I821" s="90">
        <f>[1]DATABASE!T782</f>
        <v>720000</v>
      </c>
      <c r="J821" t="str">
        <f>[1]DATABASE!AC782</f>
        <v>Ana Damásio</v>
      </c>
    </row>
    <row r="822" spans="1:10" ht="13.95" customHeight="1" x14ac:dyDescent="0.3">
      <c r="A822">
        <f>ROW([1]DATABASE!A783)</f>
        <v>783</v>
      </c>
      <c r="B822" t="str">
        <f>[1]DATABASE!AJ783</f>
        <v>Springs - At the Els</v>
      </c>
      <c r="C822" t="str">
        <f>[1]DATABASE!C783</f>
        <v>AP</v>
      </c>
      <c r="D822" t="str">
        <f>TRIM([1]DATABASE!Q783)</f>
        <v>AVAILABLE</v>
      </c>
      <c r="E822" s="82" t="str">
        <f>_xlfn.TEXTJOIN("; ",TRUE,IF([1]DATABASE!X783&lt;0,"Negative Discount",""),IF(AND([1]DATABASE!Y783&gt;[1]DATABASE!T783,[1]DATABASE!Y783&gt;0,[1]DATABASE!T783&gt;0),"Sell Price &gt; Current",""),IF(AND(TRIM([1]DATABASE!Q783)="DEED",[1]DATABASE!AA783=""),"Deeded no PSPA Date",""),IF([1]DATABASE!E783="","Missing Typology",""),IF([1]DATABASE!AJ783="","Missing Development",""))</f>
        <v/>
      </c>
      <c r="F822" s="82" t="str">
        <f>_xlfn.TEXTJOIN("; ",TRUE,IF(AND(OR(TRIM([1]DATABASE!Q783)="RESERVED",TRIM([1]DATABASE!Q783)="PRE-RESERVED",TRIM([1]DATABASE!Q783)="PSPA"),[1]DATABASE!AA783=""),"Reserved/PSPA no PSPA Date",""),IF(AND(TRIM([1]DATABASE!Q783)="AVAILABLE",[1]DATABASE!AA783&lt;&gt;""),"Available has PSPA Date",""))</f>
        <v/>
      </c>
      <c r="G822" s="82" t="str">
        <f>_xlfn.TEXTJOIN("; ",TRUE,IF(AND([1]DATABASE!T783&lt;0.8*[1]DATABASE!S783,[1]DATABASE!T783&gt;0,[1]DATABASE!S783&gt;0),"Heavy Price Cut &gt;20%",""),IF(AND(OR(TRIM([1]DATABASE!Q783)="AVAILABLE",TRIM([1]DATABASE!Q783)="UPON REQUEST"),OR([1]DATABASE!T783="",[1]DATABASE!T783=0)),"Active Unit no Price",""),IF(AND(OR(TRIM([1]DATABASE!Q783)="AVAILABLE",TRIM([1]DATABASE!Q783)="RESERVED",TRIM([1]DATABASE!Q783)="PRE-RESERVED",TRIM([1]DATABASE!Q783)="PSPA"),[1]DATABASE!AC783=""),"Active no Owner",""),IF(OR([1]DATABASE!F783="",[1]DATABASE!F783&lt;=0),"Missing/Invalid Area",""),IF(AND([1]DATABASE!T783&gt;0,ABS([1]DATABASE!T783-[1]DATABASE!W783-[1]DATABASE!U783-[1]DATABASE!V783)&gt;1),"Price Bridge Mismatch",""))</f>
        <v/>
      </c>
      <c r="H822" t="str">
        <f t="shared" si="15"/>
        <v>PASS</v>
      </c>
      <c r="I822" s="90">
        <f>[1]DATABASE!T783</f>
        <v>1860000</v>
      </c>
      <c r="J822" t="str">
        <f>[1]DATABASE!AC783</f>
        <v>Ana Damásio</v>
      </c>
    </row>
    <row r="823" spans="1:10" ht="13.95" customHeight="1" x14ac:dyDescent="0.3">
      <c r="A823">
        <f>ROW([1]DATABASE!A784)</f>
        <v>784</v>
      </c>
      <c r="B823" t="str">
        <f>[1]DATABASE!AJ784</f>
        <v>Monte Rei</v>
      </c>
      <c r="C823" t="str">
        <f>[1]DATABASE!C784</f>
        <v>AI</v>
      </c>
      <c r="D823" t="str">
        <f>TRIM([1]DATABASE!Q784)</f>
        <v>AVAILABLE</v>
      </c>
      <c r="E823" s="82" t="str">
        <f>_xlfn.TEXTJOIN("; ",TRUE,IF([1]DATABASE!X784&lt;0,"Negative Discount",""),IF(AND([1]DATABASE!Y784&gt;[1]DATABASE!T784,[1]DATABASE!Y784&gt;0,[1]DATABASE!T784&gt;0),"Sell Price &gt; Current",""),IF(AND(TRIM([1]DATABASE!Q784)="DEED",[1]DATABASE!AA784=""),"Deeded no PSPA Date",""),IF([1]DATABASE!E784="","Missing Typology",""),IF([1]DATABASE!AJ784="","Missing Development",""))</f>
        <v/>
      </c>
      <c r="F823" s="82" t="str">
        <f>_xlfn.TEXTJOIN("; ",TRUE,IF(AND(OR(TRIM([1]DATABASE!Q784)="RESERVED",TRIM([1]DATABASE!Q784)="PRE-RESERVED",TRIM([1]DATABASE!Q784)="PSPA"),[1]DATABASE!AA784=""),"Reserved/PSPA no PSPA Date",""),IF(AND(TRIM([1]DATABASE!Q784)="AVAILABLE",[1]DATABASE!AA784&lt;&gt;""),"Available has PSPA Date",""))</f>
        <v/>
      </c>
      <c r="G823" s="82" t="str">
        <f>_xlfn.TEXTJOIN("; ",TRUE,IF(AND([1]DATABASE!T784&lt;0.8*[1]DATABASE!S784,[1]DATABASE!T784&gt;0,[1]DATABASE!S784&gt;0),"Heavy Price Cut &gt;20%",""),IF(AND(OR(TRIM([1]DATABASE!Q784)="AVAILABLE",TRIM([1]DATABASE!Q784)="UPON REQUEST"),OR([1]DATABASE!T784="",[1]DATABASE!T784=0)),"Active Unit no Price",""),IF(AND(OR(TRIM([1]DATABASE!Q784)="AVAILABLE",TRIM([1]DATABASE!Q784)="RESERVED",TRIM([1]DATABASE!Q784)="PRE-RESERVED",TRIM([1]DATABASE!Q784)="PSPA"),[1]DATABASE!AC784=""),"Active no Owner",""),IF(OR([1]DATABASE!F784="",[1]DATABASE!F784&lt;=0),"Missing/Invalid Area",""),IF(AND([1]DATABASE!T784&gt;0,ABS([1]DATABASE!T784-[1]DATABASE!W784-[1]DATABASE!U784-[1]DATABASE!V784)&gt;1),"Price Bridge Mismatch",""))</f>
        <v/>
      </c>
      <c r="H823" t="str">
        <f t="shared" si="15"/>
        <v>PASS</v>
      </c>
      <c r="I823" s="90">
        <f>[1]DATABASE!T784</f>
        <v>790000</v>
      </c>
      <c r="J823" t="str">
        <f>[1]DATABASE!AC784</f>
        <v>Sandra Viegas</v>
      </c>
    </row>
    <row r="824" spans="1:10" ht="13.95" customHeight="1" x14ac:dyDescent="0.3">
      <c r="A824">
        <f>ROW([1]DATABASE!A785)</f>
        <v>785</v>
      </c>
      <c r="B824" t="str">
        <f>[1]DATABASE!AJ785</f>
        <v>Monte Rei</v>
      </c>
      <c r="C824" t="str">
        <f>[1]DATABASE!C785</f>
        <v>AJ</v>
      </c>
      <c r="D824" t="str">
        <f>TRIM([1]DATABASE!Q785)</f>
        <v>AVAILABLE</v>
      </c>
      <c r="E824" s="82" t="str">
        <f>_xlfn.TEXTJOIN("; ",TRUE,IF([1]DATABASE!X785&lt;0,"Negative Discount",""),IF(AND([1]DATABASE!Y785&gt;[1]DATABASE!T785,[1]DATABASE!Y785&gt;0,[1]DATABASE!T785&gt;0),"Sell Price &gt; Current",""),IF(AND(TRIM([1]DATABASE!Q785)="DEED",[1]DATABASE!AA785=""),"Deeded no PSPA Date",""),IF([1]DATABASE!E785="","Missing Typology",""),IF([1]DATABASE!AJ785="","Missing Development",""))</f>
        <v/>
      </c>
      <c r="F824" s="82" t="str">
        <f>_xlfn.TEXTJOIN("; ",TRUE,IF(AND(OR(TRIM([1]DATABASE!Q785)="RESERVED",TRIM([1]DATABASE!Q785)="PRE-RESERVED",TRIM([1]DATABASE!Q785)="PSPA"),[1]DATABASE!AA785=""),"Reserved/PSPA no PSPA Date",""),IF(AND(TRIM([1]DATABASE!Q785)="AVAILABLE",[1]DATABASE!AA785&lt;&gt;""),"Available has PSPA Date",""))</f>
        <v/>
      </c>
      <c r="G824" s="82" t="str">
        <f>_xlfn.TEXTJOIN("; ",TRUE,IF(AND([1]DATABASE!T785&lt;0.8*[1]DATABASE!S785,[1]DATABASE!T785&gt;0,[1]DATABASE!S785&gt;0),"Heavy Price Cut &gt;20%",""),IF(AND(OR(TRIM([1]DATABASE!Q785)="AVAILABLE",TRIM([1]DATABASE!Q785)="UPON REQUEST"),OR([1]DATABASE!T785="",[1]DATABASE!T785=0)),"Active Unit no Price",""),IF(AND(OR(TRIM([1]DATABASE!Q785)="AVAILABLE",TRIM([1]DATABASE!Q785)="RESERVED",TRIM([1]DATABASE!Q785)="PRE-RESERVED",TRIM([1]DATABASE!Q785)="PSPA"),[1]DATABASE!AC785=""),"Active no Owner",""),IF(OR([1]DATABASE!F785="",[1]DATABASE!F785&lt;=0),"Missing/Invalid Area",""),IF(AND([1]DATABASE!T785&gt;0,ABS([1]DATABASE!T785-[1]DATABASE!W785-[1]DATABASE!U785-[1]DATABASE!V785)&gt;1),"Price Bridge Mismatch",""))</f>
        <v/>
      </c>
      <c r="H824" t="str">
        <f t="shared" si="15"/>
        <v>PASS</v>
      </c>
      <c r="I824" s="90">
        <f>[1]DATABASE!T785</f>
        <v>850000</v>
      </c>
      <c r="J824" t="str">
        <f>[1]DATABASE!AC785</f>
        <v>Sandra Viegas</v>
      </c>
    </row>
    <row r="825" spans="1:10" ht="13.95" customHeight="1" x14ac:dyDescent="0.3">
      <c r="A825">
        <f>ROW([1]DATABASE!A786)</f>
        <v>786</v>
      </c>
      <c r="B825" t="str">
        <f>[1]DATABASE!AJ786</f>
        <v>Zestia</v>
      </c>
      <c r="C825" t="str">
        <f>[1]DATABASE!C786</f>
        <v>AP</v>
      </c>
      <c r="D825" t="str">
        <f>TRIM([1]DATABASE!Q786)</f>
        <v>AVAILABLE</v>
      </c>
      <c r="E825" s="82" t="str">
        <f>_xlfn.TEXTJOIN("; ",TRUE,IF([1]DATABASE!X786&lt;0,"Negative Discount",""),IF(AND([1]DATABASE!Y786&gt;[1]DATABASE!T786,[1]DATABASE!Y786&gt;0,[1]DATABASE!T786&gt;0),"Sell Price &gt; Current",""),IF(AND(TRIM([1]DATABASE!Q786)="DEED",[1]DATABASE!AA786=""),"Deeded no PSPA Date",""),IF([1]DATABASE!E786="","Missing Typology",""),IF([1]DATABASE!AJ786="","Missing Development",""))</f>
        <v/>
      </c>
      <c r="F825" s="82" t="str">
        <f>_xlfn.TEXTJOIN("; ",TRUE,IF(AND(OR(TRIM([1]DATABASE!Q786)="RESERVED",TRIM([1]DATABASE!Q786)="PRE-RESERVED",TRIM([1]DATABASE!Q786)="PSPA"),[1]DATABASE!AA786=""),"Reserved/PSPA no PSPA Date",""),IF(AND(TRIM([1]DATABASE!Q786)="AVAILABLE",[1]DATABASE!AA786&lt;&gt;""),"Available has PSPA Date",""))</f>
        <v/>
      </c>
      <c r="G825" s="82" t="str">
        <f>_xlfn.TEXTJOIN("; ",TRUE,IF(AND([1]DATABASE!T786&lt;0.8*[1]DATABASE!S786,[1]DATABASE!T786&gt;0,[1]DATABASE!S786&gt;0),"Heavy Price Cut &gt;20%",""),IF(AND(OR(TRIM([1]DATABASE!Q786)="AVAILABLE",TRIM([1]DATABASE!Q786)="UPON REQUEST"),OR([1]DATABASE!T786="",[1]DATABASE!T786=0)),"Active Unit no Price",""),IF(AND(OR(TRIM([1]DATABASE!Q786)="AVAILABLE",TRIM([1]DATABASE!Q786)="RESERVED",TRIM([1]DATABASE!Q786)="PRE-RESERVED",TRIM([1]DATABASE!Q786)="PSPA"),[1]DATABASE!AC786=""),"Active no Owner",""),IF(OR([1]DATABASE!F786="",[1]DATABASE!F786&lt;=0),"Missing/Invalid Area",""),IF(AND([1]DATABASE!T786&gt;0,ABS([1]DATABASE!T786-[1]DATABASE!W786-[1]DATABASE!U786-[1]DATABASE!V786)&gt;1),"Price Bridge Mismatch",""))</f>
        <v/>
      </c>
      <c r="H825" t="str">
        <f t="shared" si="15"/>
        <v>PASS</v>
      </c>
      <c r="I825" s="90">
        <f>[1]DATABASE!T786</f>
        <v>880000</v>
      </c>
      <c r="J825" t="str">
        <f>[1]DATABASE!AC786</f>
        <v>Ana Damásio</v>
      </c>
    </row>
    <row r="826" spans="1:10" ht="13.95" customHeight="1" x14ac:dyDescent="0.3">
      <c r="A826">
        <f>ROW([1]DATABASE!A787)</f>
        <v>787</v>
      </c>
      <c r="B826" t="str">
        <f>[1]DATABASE!AJ787</f>
        <v>Botanica</v>
      </c>
      <c r="C826" t="str">
        <f>[1]DATABASE!C787</f>
        <v>AQ</v>
      </c>
      <c r="D826" t="str">
        <f>TRIM([1]DATABASE!Q787)</f>
        <v>AVAILABLE</v>
      </c>
      <c r="E826" s="82" t="str">
        <f>_xlfn.TEXTJOIN("; ",TRUE,IF([1]DATABASE!X787&lt;0,"Negative Discount",""),IF(AND([1]DATABASE!Y787&gt;[1]DATABASE!T787,[1]DATABASE!Y787&gt;0,[1]DATABASE!T787&gt;0),"Sell Price &gt; Current",""),IF(AND(TRIM([1]DATABASE!Q787)="DEED",[1]DATABASE!AA787=""),"Deeded no PSPA Date",""),IF([1]DATABASE!E787="","Missing Typology",""),IF([1]DATABASE!AJ787="","Missing Development",""))</f>
        <v/>
      </c>
      <c r="F826" s="82" t="str">
        <f>_xlfn.TEXTJOIN("; ",TRUE,IF(AND(OR(TRIM([1]DATABASE!Q787)="RESERVED",TRIM([1]DATABASE!Q787)="PRE-RESERVED",TRIM([1]DATABASE!Q787)="PSPA"),[1]DATABASE!AA787=""),"Reserved/PSPA no PSPA Date",""),IF(AND(TRIM([1]DATABASE!Q787)="AVAILABLE",[1]DATABASE!AA787&lt;&gt;""),"Available has PSPA Date",""))</f>
        <v/>
      </c>
      <c r="G826" s="82" t="str">
        <f>_xlfn.TEXTJOIN("; ",TRUE,IF(AND([1]DATABASE!T787&lt;0.8*[1]DATABASE!S787,[1]DATABASE!T787&gt;0,[1]DATABASE!S787&gt;0),"Heavy Price Cut &gt;20%",""),IF(AND(OR(TRIM([1]DATABASE!Q787)="AVAILABLE",TRIM([1]DATABASE!Q787)="UPON REQUEST"),OR([1]DATABASE!T787="",[1]DATABASE!T787=0)),"Active Unit no Price",""),IF(AND(OR(TRIM([1]DATABASE!Q787)="AVAILABLE",TRIM([1]DATABASE!Q787)="RESERVED",TRIM([1]DATABASE!Q787)="PRE-RESERVED",TRIM([1]DATABASE!Q787)="PSPA"),[1]DATABASE!AC787=""),"Active no Owner",""),IF(OR([1]DATABASE!F787="",[1]DATABASE!F787&lt;=0),"Missing/Invalid Area",""),IF(AND([1]DATABASE!T787&gt;0,ABS([1]DATABASE!T787-[1]DATABASE!W787-[1]DATABASE!U787-[1]DATABASE!V787)&gt;1),"Price Bridge Mismatch",""))</f>
        <v/>
      </c>
      <c r="H826" t="str">
        <f t="shared" si="15"/>
        <v>PASS</v>
      </c>
      <c r="I826" s="90">
        <f>[1]DATABASE!T787</f>
        <v>2533800</v>
      </c>
      <c r="J826" t="str">
        <f>[1]DATABASE!AC787</f>
        <v>Ana Damásio</v>
      </c>
    </row>
    <row r="827" spans="1:10" ht="13.95" customHeight="1" x14ac:dyDescent="0.3">
      <c r="A827">
        <f>ROW([1]DATABASE!A788)</f>
        <v>788</v>
      </c>
      <c r="B827" t="str">
        <f>[1]DATABASE!AJ788</f>
        <v>Springs - At the Els</v>
      </c>
      <c r="C827" t="str">
        <f>[1]DATABASE!C788</f>
        <v>AQ</v>
      </c>
      <c r="D827" t="str">
        <f>TRIM([1]DATABASE!Q788)</f>
        <v>AVAILABLE</v>
      </c>
      <c r="E827" s="82" t="str">
        <f>_xlfn.TEXTJOIN("; ",TRUE,IF([1]DATABASE!X788&lt;0,"Negative Discount",""),IF(AND([1]DATABASE!Y788&gt;[1]DATABASE!T788,[1]DATABASE!Y788&gt;0,[1]DATABASE!T788&gt;0),"Sell Price &gt; Current",""),IF(AND(TRIM([1]DATABASE!Q788)="DEED",[1]DATABASE!AA788=""),"Deeded no PSPA Date",""),IF([1]DATABASE!E788="","Missing Typology",""),IF([1]DATABASE!AJ788="","Missing Development",""))</f>
        <v/>
      </c>
      <c r="F827" s="82" t="str">
        <f>_xlfn.TEXTJOIN("; ",TRUE,IF(AND(OR(TRIM([1]DATABASE!Q788)="RESERVED",TRIM([1]DATABASE!Q788)="PRE-RESERVED",TRIM([1]DATABASE!Q788)="PSPA"),[1]DATABASE!AA788=""),"Reserved/PSPA no PSPA Date",""),IF(AND(TRIM([1]DATABASE!Q788)="AVAILABLE",[1]DATABASE!AA788&lt;&gt;""),"Available has PSPA Date",""))</f>
        <v/>
      </c>
      <c r="G827" s="82" t="str">
        <f>_xlfn.TEXTJOIN("; ",TRUE,IF(AND([1]DATABASE!T788&lt;0.8*[1]DATABASE!S788,[1]DATABASE!T788&gt;0,[1]DATABASE!S788&gt;0),"Heavy Price Cut &gt;20%",""),IF(AND(OR(TRIM([1]DATABASE!Q788)="AVAILABLE",TRIM([1]DATABASE!Q788)="UPON REQUEST"),OR([1]DATABASE!T788="",[1]DATABASE!T788=0)),"Active Unit no Price",""),IF(AND(OR(TRIM([1]DATABASE!Q788)="AVAILABLE",TRIM([1]DATABASE!Q788)="RESERVED",TRIM([1]DATABASE!Q788)="PRE-RESERVED",TRIM([1]DATABASE!Q788)="PSPA"),[1]DATABASE!AC788=""),"Active no Owner",""),IF(OR([1]DATABASE!F788="",[1]DATABASE!F788&lt;=0),"Missing/Invalid Area",""),IF(AND([1]DATABASE!T788&gt;0,ABS([1]DATABASE!T788-[1]DATABASE!W788-[1]DATABASE!U788-[1]DATABASE!V788)&gt;1),"Price Bridge Mismatch",""))</f>
        <v/>
      </c>
      <c r="H827" t="str">
        <f t="shared" si="15"/>
        <v>PASS</v>
      </c>
      <c r="I827" s="90">
        <f>[1]DATABASE!T788</f>
        <v>1860000</v>
      </c>
      <c r="J827" t="str">
        <f>[1]DATABASE!AC788</f>
        <v>Ana Damásio</v>
      </c>
    </row>
    <row r="828" spans="1:10" ht="13.95" customHeight="1" x14ac:dyDescent="0.3">
      <c r="A828">
        <f>ROW([1]DATABASE!A789)</f>
        <v>789</v>
      </c>
      <c r="B828" t="str">
        <f>[1]DATABASE!AJ789</f>
        <v>Botanica</v>
      </c>
      <c r="C828" t="str">
        <f>[1]DATABASE!C789</f>
        <v>AR</v>
      </c>
      <c r="D828" t="str">
        <f>TRIM([1]DATABASE!Q789)</f>
        <v>AVAILABLE</v>
      </c>
      <c r="E828" s="82" t="str">
        <f>_xlfn.TEXTJOIN("; ",TRUE,IF([1]DATABASE!X789&lt;0,"Negative Discount",""),IF(AND([1]DATABASE!Y789&gt;[1]DATABASE!T789,[1]DATABASE!Y789&gt;0,[1]DATABASE!T789&gt;0),"Sell Price &gt; Current",""),IF(AND(TRIM([1]DATABASE!Q789)="DEED",[1]DATABASE!AA789=""),"Deeded no PSPA Date",""),IF([1]DATABASE!E789="","Missing Typology",""),IF([1]DATABASE!AJ789="","Missing Development",""))</f>
        <v/>
      </c>
      <c r="F828" s="82" t="str">
        <f>_xlfn.TEXTJOIN("; ",TRUE,IF(AND(OR(TRIM([1]DATABASE!Q789)="RESERVED",TRIM([1]DATABASE!Q789)="PRE-RESERVED",TRIM([1]DATABASE!Q789)="PSPA"),[1]DATABASE!AA789=""),"Reserved/PSPA no PSPA Date",""),IF(AND(TRIM([1]DATABASE!Q789)="AVAILABLE",[1]DATABASE!AA789&lt;&gt;""),"Available has PSPA Date",""))</f>
        <v/>
      </c>
      <c r="G828" s="82" t="str">
        <f>_xlfn.TEXTJOIN("; ",TRUE,IF(AND([1]DATABASE!T789&lt;0.8*[1]DATABASE!S789,[1]DATABASE!T789&gt;0,[1]DATABASE!S789&gt;0),"Heavy Price Cut &gt;20%",""),IF(AND(OR(TRIM([1]DATABASE!Q789)="AVAILABLE",TRIM([1]DATABASE!Q789)="UPON REQUEST"),OR([1]DATABASE!T789="",[1]DATABASE!T789=0)),"Active Unit no Price",""),IF(AND(OR(TRIM([1]DATABASE!Q789)="AVAILABLE",TRIM([1]DATABASE!Q789)="RESERVED",TRIM([1]DATABASE!Q789)="PRE-RESERVED",TRIM([1]DATABASE!Q789)="PSPA"),[1]DATABASE!AC789=""),"Active no Owner",""),IF(OR([1]DATABASE!F789="",[1]DATABASE!F789&lt;=0),"Missing/Invalid Area",""),IF(AND([1]DATABASE!T789&gt;0,ABS([1]DATABASE!T789-[1]DATABASE!W789-[1]DATABASE!U789-[1]DATABASE!V789)&gt;1),"Price Bridge Mismatch",""))</f>
        <v/>
      </c>
      <c r="H828" t="str">
        <f t="shared" si="15"/>
        <v>PASS</v>
      </c>
      <c r="I828" s="90">
        <f>[1]DATABASE!T789</f>
        <v>1675000</v>
      </c>
      <c r="J828" t="str">
        <f>[1]DATABASE!AC789</f>
        <v>Ana Damásio</v>
      </c>
    </row>
    <row r="829" spans="1:10" ht="13.95" customHeight="1" x14ac:dyDescent="0.3">
      <c r="A829">
        <f>ROW([1]DATABASE!A790)</f>
        <v>790</v>
      </c>
      <c r="B829" t="str">
        <f>[1]DATABASE!AJ790</f>
        <v>Monte Rei</v>
      </c>
      <c r="C829" t="str">
        <f>[1]DATABASE!C790</f>
        <v>AD</v>
      </c>
      <c r="D829" t="str">
        <f>TRIM([1]DATABASE!Q790)</f>
        <v>AVAILABLE</v>
      </c>
      <c r="E829" s="82" t="str">
        <f>_xlfn.TEXTJOIN("; ",TRUE,IF([1]DATABASE!X790&lt;0,"Negative Discount",""),IF(AND([1]DATABASE!Y790&gt;[1]DATABASE!T790,[1]DATABASE!Y790&gt;0,[1]DATABASE!T790&gt;0),"Sell Price &gt; Current",""),IF(AND(TRIM([1]DATABASE!Q790)="DEED",[1]DATABASE!AA790=""),"Deeded no PSPA Date",""),IF([1]DATABASE!E790="","Missing Typology",""),IF([1]DATABASE!AJ790="","Missing Development",""))</f>
        <v/>
      </c>
      <c r="F829" s="82" t="str">
        <f>_xlfn.TEXTJOIN("; ",TRUE,IF(AND(OR(TRIM([1]DATABASE!Q790)="RESERVED",TRIM([1]DATABASE!Q790)="PRE-RESERVED",TRIM([1]DATABASE!Q790)="PSPA"),[1]DATABASE!AA790=""),"Reserved/PSPA no PSPA Date",""),IF(AND(TRIM([1]DATABASE!Q790)="AVAILABLE",[1]DATABASE!AA790&lt;&gt;""),"Available has PSPA Date",""))</f>
        <v/>
      </c>
      <c r="G829" s="82" t="str">
        <f>_xlfn.TEXTJOIN("; ",TRUE,IF(AND([1]DATABASE!T790&lt;0.8*[1]DATABASE!S790,[1]DATABASE!T790&gt;0,[1]DATABASE!S790&gt;0),"Heavy Price Cut &gt;20%",""),IF(AND(OR(TRIM([1]DATABASE!Q790)="AVAILABLE",TRIM([1]DATABASE!Q790)="UPON REQUEST"),OR([1]DATABASE!T790="",[1]DATABASE!T790=0)),"Active Unit no Price",""),IF(AND(OR(TRIM([1]DATABASE!Q790)="AVAILABLE",TRIM([1]DATABASE!Q790)="RESERVED",TRIM([1]DATABASE!Q790)="PRE-RESERVED",TRIM([1]DATABASE!Q790)="PSPA"),[1]DATABASE!AC790=""),"Active no Owner",""),IF(OR([1]DATABASE!F790="",[1]DATABASE!F790&lt;=0),"Missing/Invalid Area",""),IF(AND([1]DATABASE!T790&gt;0,ABS([1]DATABASE!T790-[1]DATABASE!W790-[1]DATABASE!U790-[1]DATABASE!V790)&gt;1),"Price Bridge Mismatch",""))</f>
        <v/>
      </c>
      <c r="H829" t="str">
        <f t="shared" si="15"/>
        <v>PASS</v>
      </c>
      <c r="I829" s="90">
        <f>[1]DATABASE!T790</f>
        <v>840000</v>
      </c>
      <c r="J829" t="str">
        <f>[1]DATABASE!AC790</f>
        <v>Sandra Viegas</v>
      </c>
    </row>
    <row r="830" spans="1:10" ht="13.95" customHeight="1" x14ac:dyDescent="0.3">
      <c r="A830">
        <f>ROW([1]DATABASE!A791)</f>
        <v>791</v>
      </c>
      <c r="B830" t="str">
        <f>[1]DATABASE!AJ791</f>
        <v>Nobilus</v>
      </c>
      <c r="C830" t="str">
        <f>[1]DATABASE!C791</f>
        <v>AR</v>
      </c>
      <c r="D830" t="str">
        <f>TRIM([1]DATABASE!Q791)</f>
        <v>AVAILABLE</v>
      </c>
      <c r="E830" s="82" t="str">
        <f>_xlfn.TEXTJOIN("; ",TRUE,IF([1]DATABASE!X791&lt;0,"Negative Discount",""),IF(AND([1]DATABASE!Y791&gt;[1]DATABASE!T791,[1]DATABASE!Y791&gt;0,[1]DATABASE!T791&gt;0),"Sell Price &gt; Current",""),IF(AND(TRIM([1]DATABASE!Q791)="DEED",[1]DATABASE!AA791=""),"Deeded no PSPA Date",""),IF([1]DATABASE!E791="","Missing Typology",""),IF([1]DATABASE!AJ791="","Missing Development",""))</f>
        <v/>
      </c>
      <c r="F830" s="82" t="str">
        <f>_xlfn.TEXTJOIN("; ",TRUE,IF(AND(OR(TRIM([1]DATABASE!Q791)="RESERVED",TRIM([1]DATABASE!Q791)="PRE-RESERVED",TRIM([1]DATABASE!Q791)="PSPA"),[1]DATABASE!AA791=""),"Reserved/PSPA no PSPA Date",""),IF(AND(TRIM([1]DATABASE!Q791)="AVAILABLE",[1]DATABASE!AA791&lt;&gt;""),"Available has PSPA Date",""))</f>
        <v/>
      </c>
      <c r="G830" s="82" t="str">
        <f>_xlfn.TEXTJOIN("; ",TRUE,IF(AND([1]DATABASE!T791&lt;0.8*[1]DATABASE!S791,[1]DATABASE!T791&gt;0,[1]DATABASE!S791&gt;0),"Heavy Price Cut &gt;20%",""),IF(AND(OR(TRIM([1]DATABASE!Q791)="AVAILABLE",TRIM([1]DATABASE!Q791)="UPON REQUEST"),OR([1]DATABASE!T791="",[1]DATABASE!T791=0)),"Active Unit no Price",""),IF(AND(OR(TRIM([1]DATABASE!Q791)="AVAILABLE",TRIM([1]DATABASE!Q791)="RESERVED",TRIM([1]DATABASE!Q791)="PRE-RESERVED",TRIM([1]DATABASE!Q791)="PSPA"),[1]DATABASE!AC791=""),"Active no Owner",""),IF(OR([1]DATABASE!F791="",[1]DATABASE!F791&lt;=0),"Missing/Invalid Area",""),IF(AND([1]DATABASE!T791&gt;0,ABS([1]DATABASE!T791-[1]DATABASE!W791-[1]DATABASE!U791-[1]DATABASE!V791)&gt;1),"Price Bridge Mismatch",""))</f>
        <v/>
      </c>
      <c r="H830" t="str">
        <f t="shared" si="15"/>
        <v>PASS</v>
      </c>
      <c r="I830" s="90">
        <f>[1]DATABASE!T791</f>
        <v>1650000</v>
      </c>
      <c r="J830" t="str">
        <f>[1]DATABASE!AC791</f>
        <v>Ana Damásio</v>
      </c>
    </row>
    <row r="831" spans="1:10" ht="13.95" customHeight="1" x14ac:dyDescent="0.3">
      <c r="A831">
        <f>ROW([1]DATABASE!A792)</f>
        <v>792</v>
      </c>
      <c r="B831" t="str">
        <f>[1]DATABASE!AJ792</f>
        <v>Springs - At the Els</v>
      </c>
      <c r="C831" t="str">
        <f>[1]DATABASE!C792</f>
        <v>AR</v>
      </c>
      <c r="D831" t="str">
        <f>TRIM([1]DATABASE!Q792)</f>
        <v>AVAILABLE</v>
      </c>
      <c r="E831" s="82" t="str">
        <f>_xlfn.TEXTJOIN("; ",TRUE,IF([1]DATABASE!X792&lt;0,"Negative Discount",""),IF(AND([1]DATABASE!Y792&gt;[1]DATABASE!T792,[1]DATABASE!Y792&gt;0,[1]DATABASE!T792&gt;0),"Sell Price &gt; Current",""),IF(AND(TRIM([1]DATABASE!Q792)="DEED",[1]DATABASE!AA792=""),"Deeded no PSPA Date",""),IF([1]DATABASE!E792="","Missing Typology",""),IF([1]DATABASE!AJ792="","Missing Development",""))</f>
        <v/>
      </c>
      <c r="F831" s="82" t="str">
        <f>_xlfn.TEXTJOIN("; ",TRUE,IF(AND(OR(TRIM([1]DATABASE!Q792)="RESERVED",TRIM([1]DATABASE!Q792)="PRE-RESERVED",TRIM([1]DATABASE!Q792)="PSPA"),[1]DATABASE!AA792=""),"Reserved/PSPA no PSPA Date",""),IF(AND(TRIM([1]DATABASE!Q792)="AVAILABLE",[1]DATABASE!AA792&lt;&gt;""),"Available has PSPA Date",""))</f>
        <v/>
      </c>
      <c r="G831" s="82" t="str">
        <f>_xlfn.TEXTJOIN("; ",TRUE,IF(AND([1]DATABASE!T792&lt;0.8*[1]DATABASE!S792,[1]DATABASE!T792&gt;0,[1]DATABASE!S792&gt;0),"Heavy Price Cut &gt;20%",""),IF(AND(OR(TRIM([1]DATABASE!Q792)="AVAILABLE",TRIM([1]DATABASE!Q792)="UPON REQUEST"),OR([1]DATABASE!T792="",[1]DATABASE!T792=0)),"Active Unit no Price",""),IF(AND(OR(TRIM([1]DATABASE!Q792)="AVAILABLE",TRIM([1]DATABASE!Q792)="RESERVED",TRIM([1]DATABASE!Q792)="PRE-RESERVED",TRIM([1]DATABASE!Q792)="PSPA"),[1]DATABASE!AC792=""),"Active no Owner",""),IF(OR([1]DATABASE!F792="",[1]DATABASE!F792&lt;=0),"Missing/Invalid Area",""),IF(AND([1]DATABASE!T792&gt;0,ABS([1]DATABASE!T792-[1]DATABASE!W792-[1]DATABASE!U792-[1]DATABASE!V792)&gt;1),"Price Bridge Mismatch",""))</f>
        <v/>
      </c>
      <c r="H831" t="str">
        <f t="shared" si="15"/>
        <v>PASS</v>
      </c>
      <c r="I831" s="90">
        <f>[1]DATABASE!T792</f>
        <v>1650000</v>
      </c>
      <c r="J831" t="str">
        <f>[1]DATABASE!AC792</f>
        <v>Ana Damásio</v>
      </c>
    </row>
    <row r="832" spans="1:10" ht="13.95" customHeight="1" x14ac:dyDescent="0.3">
      <c r="A832">
        <f>ROW([1]DATABASE!A793)</f>
        <v>793</v>
      </c>
      <c r="B832" t="str">
        <f>[1]DATABASE!AJ793</f>
        <v>Zestia</v>
      </c>
      <c r="C832" t="str">
        <f>[1]DATABASE!C793</f>
        <v>AR</v>
      </c>
      <c r="D832" t="str">
        <f>TRIM([1]DATABASE!Q793)</f>
        <v>AVAILABLE</v>
      </c>
      <c r="E832" s="82" t="str">
        <f>_xlfn.TEXTJOIN("; ",TRUE,IF([1]DATABASE!X793&lt;0,"Negative Discount",""),IF(AND([1]DATABASE!Y793&gt;[1]DATABASE!T793,[1]DATABASE!Y793&gt;0,[1]DATABASE!T793&gt;0),"Sell Price &gt; Current",""),IF(AND(TRIM([1]DATABASE!Q793)="DEED",[1]DATABASE!AA793=""),"Deeded no PSPA Date",""),IF([1]DATABASE!E793="","Missing Typology",""),IF([1]DATABASE!AJ793="","Missing Development",""))</f>
        <v/>
      </c>
      <c r="F832" s="82" t="str">
        <f>_xlfn.TEXTJOIN("; ",TRUE,IF(AND(OR(TRIM([1]DATABASE!Q793)="RESERVED",TRIM([1]DATABASE!Q793)="PRE-RESERVED",TRIM([1]DATABASE!Q793)="PSPA"),[1]DATABASE!AA793=""),"Reserved/PSPA no PSPA Date",""),IF(AND(TRIM([1]DATABASE!Q793)="AVAILABLE",[1]DATABASE!AA793&lt;&gt;""),"Available has PSPA Date",""))</f>
        <v/>
      </c>
      <c r="G832" s="82" t="str">
        <f>_xlfn.TEXTJOIN("; ",TRUE,IF(AND([1]DATABASE!T793&lt;0.8*[1]DATABASE!S793,[1]DATABASE!T793&gt;0,[1]DATABASE!S793&gt;0),"Heavy Price Cut &gt;20%",""),IF(AND(OR(TRIM([1]DATABASE!Q793)="AVAILABLE",TRIM([1]DATABASE!Q793)="UPON REQUEST"),OR([1]DATABASE!T793="",[1]DATABASE!T793=0)),"Active Unit no Price",""),IF(AND(OR(TRIM([1]DATABASE!Q793)="AVAILABLE",TRIM([1]DATABASE!Q793)="RESERVED",TRIM([1]DATABASE!Q793)="PRE-RESERVED",TRIM([1]DATABASE!Q793)="PSPA"),[1]DATABASE!AC793=""),"Active no Owner",""),IF(OR([1]DATABASE!F793="",[1]DATABASE!F793&lt;=0),"Missing/Invalid Area",""),IF(AND([1]DATABASE!T793&gt;0,ABS([1]DATABASE!T793-[1]DATABASE!W793-[1]DATABASE!U793-[1]DATABASE!V793)&gt;1),"Price Bridge Mismatch",""))</f>
        <v/>
      </c>
      <c r="H832" t="str">
        <f t="shared" si="15"/>
        <v>PASS</v>
      </c>
      <c r="I832" s="90">
        <f>[1]DATABASE!T793</f>
        <v>840000</v>
      </c>
      <c r="J832" t="str">
        <f>[1]DATABASE!AC793</f>
        <v>Ana Damásio</v>
      </c>
    </row>
    <row r="833" spans="1:10" ht="13.95" customHeight="1" x14ac:dyDescent="0.3">
      <c r="A833">
        <f>ROW([1]DATABASE!A794)</f>
        <v>794</v>
      </c>
      <c r="B833" t="str">
        <f>[1]DATABASE!AJ794</f>
        <v>Botanica</v>
      </c>
      <c r="C833" t="str">
        <f>[1]DATABASE!C794</f>
        <v>AS</v>
      </c>
      <c r="D833" t="str">
        <f>TRIM([1]DATABASE!Q794)</f>
        <v>AVAILABLE</v>
      </c>
      <c r="E833" s="82" t="str">
        <f>_xlfn.TEXTJOIN("; ",TRUE,IF([1]DATABASE!X794&lt;0,"Negative Discount",""),IF(AND([1]DATABASE!Y794&gt;[1]DATABASE!T794,[1]DATABASE!Y794&gt;0,[1]DATABASE!T794&gt;0),"Sell Price &gt; Current",""),IF(AND(TRIM([1]DATABASE!Q794)="DEED",[1]DATABASE!AA794=""),"Deeded no PSPA Date",""),IF([1]DATABASE!E794="","Missing Typology",""),IF([1]DATABASE!AJ794="","Missing Development",""))</f>
        <v/>
      </c>
      <c r="F833" s="82" t="str">
        <f>_xlfn.TEXTJOIN("; ",TRUE,IF(AND(OR(TRIM([1]DATABASE!Q794)="RESERVED",TRIM([1]DATABASE!Q794)="PRE-RESERVED",TRIM([1]DATABASE!Q794)="PSPA"),[1]DATABASE!AA794=""),"Reserved/PSPA no PSPA Date",""),IF(AND(TRIM([1]DATABASE!Q794)="AVAILABLE",[1]DATABASE!AA794&lt;&gt;""),"Available has PSPA Date",""))</f>
        <v/>
      </c>
      <c r="G833" s="82" t="str">
        <f>_xlfn.TEXTJOIN("; ",TRUE,IF(AND([1]DATABASE!T794&lt;0.8*[1]DATABASE!S794,[1]DATABASE!T794&gt;0,[1]DATABASE!S794&gt;0),"Heavy Price Cut &gt;20%",""),IF(AND(OR(TRIM([1]DATABASE!Q794)="AVAILABLE",TRIM([1]DATABASE!Q794)="UPON REQUEST"),OR([1]DATABASE!T794="",[1]DATABASE!T794=0)),"Active Unit no Price",""),IF(AND(OR(TRIM([1]DATABASE!Q794)="AVAILABLE",TRIM([1]DATABASE!Q794)="RESERVED",TRIM([1]DATABASE!Q794)="PRE-RESERVED",TRIM([1]DATABASE!Q794)="PSPA"),[1]DATABASE!AC794=""),"Active no Owner",""),IF(OR([1]DATABASE!F794="",[1]DATABASE!F794&lt;=0),"Missing/Invalid Area",""),IF(AND([1]DATABASE!T794&gt;0,ABS([1]DATABASE!T794-[1]DATABASE!W794-[1]DATABASE!U794-[1]DATABASE!V794)&gt;1),"Price Bridge Mismatch",""))</f>
        <v/>
      </c>
      <c r="H833" t="str">
        <f t="shared" si="15"/>
        <v>PASS</v>
      </c>
      <c r="I833" s="90">
        <f>[1]DATABASE!T794</f>
        <v>980000</v>
      </c>
      <c r="J833" t="str">
        <f>[1]DATABASE!AC794</f>
        <v>Ana Damásio</v>
      </c>
    </row>
    <row r="834" spans="1:10" ht="13.95" customHeight="1" x14ac:dyDescent="0.3">
      <c r="A834">
        <f>ROW([1]DATABASE!A795)</f>
        <v>795</v>
      </c>
      <c r="B834" t="str">
        <f>[1]DATABASE!AJ795</f>
        <v>Nobilus</v>
      </c>
      <c r="C834" t="str">
        <f>[1]DATABASE!C795</f>
        <v>AS</v>
      </c>
      <c r="D834" t="str">
        <f>TRIM([1]DATABASE!Q795)</f>
        <v>AVAILABLE</v>
      </c>
      <c r="E834" s="82" t="str">
        <f>_xlfn.TEXTJOIN("; ",TRUE,IF([1]DATABASE!X795&lt;0,"Negative Discount",""),IF(AND([1]DATABASE!Y795&gt;[1]DATABASE!T795,[1]DATABASE!Y795&gt;0,[1]DATABASE!T795&gt;0),"Sell Price &gt; Current",""),IF(AND(TRIM([1]DATABASE!Q795)="DEED",[1]DATABASE!AA795=""),"Deeded no PSPA Date",""),IF([1]DATABASE!E795="","Missing Typology",""),IF([1]DATABASE!AJ795="","Missing Development",""))</f>
        <v/>
      </c>
      <c r="F834" s="82" t="str">
        <f>_xlfn.TEXTJOIN("; ",TRUE,IF(AND(OR(TRIM([1]DATABASE!Q795)="RESERVED",TRIM([1]DATABASE!Q795)="PRE-RESERVED",TRIM([1]DATABASE!Q795)="PSPA"),[1]DATABASE!AA795=""),"Reserved/PSPA no PSPA Date",""),IF(AND(TRIM([1]DATABASE!Q795)="AVAILABLE",[1]DATABASE!AA795&lt;&gt;""),"Available has PSPA Date",""))</f>
        <v/>
      </c>
      <c r="G834" s="82" t="str">
        <f>_xlfn.TEXTJOIN("; ",TRUE,IF(AND([1]DATABASE!T795&lt;0.8*[1]DATABASE!S795,[1]DATABASE!T795&gt;0,[1]DATABASE!S795&gt;0),"Heavy Price Cut &gt;20%",""),IF(AND(OR(TRIM([1]DATABASE!Q795)="AVAILABLE",TRIM([1]DATABASE!Q795)="UPON REQUEST"),OR([1]DATABASE!T795="",[1]DATABASE!T795=0)),"Active Unit no Price",""),IF(AND(OR(TRIM([1]DATABASE!Q795)="AVAILABLE",TRIM([1]DATABASE!Q795)="RESERVED",TRIM([1]DATABASE!Q795)="PRE-RESERVED",TRIM([1]DATABASE!Q795)="PSPA"),[1]DATABASE!AC795=""),"Active no Owner",""),IF(OR([1]DATABASE!F795="",[1]DATABASE!F795&lt;=0),"Missing/Invalid Area",""),IF(AND([1]DATABASE!T795&gt;0,ABS([1]DATABASE!T795-[1]DATABASE!W795-[1]DATABASE!U795-[1]DATABASE!V795)&gt;1),"Price Bridge Mismatch",""))</f>
        <v/>
      </c>
      <c r="H834" t="str">
        <f t="shared" si="15"/>
        <v>PASS</v>
      </c>
      <c r="I834" s="90">
        <f>[1]DATABASE!T795</f>
        <v>710000</v>
      </c>
      <c r="J834" t="str">
        <f>[1]DATABASE!AC795</f>
        <v>Ana Damásio</v>
      </c>
    </row>
    <row r="835" spans="1:10" ht="13.95" customHeight="1" x14ac:dyDescent="0.3">
      <c r="A835">
        <f>ROW([1]DATABASE!A796)</f>
        <v>796</v>
      </c>
      <c r="B835" t="str">
        <f>[1]DATABASE!AJ796</f>
        <v>Aroeira Collections</v>
      </c>
      <c r="C835" t="str">
        <f>[1]DATABASE!C796</f>
        <v>308A</v>
      </c>
      <c r="D835" t="str">
        <f>TRIM([1]DATABASE!Q796)</f>
        <v>AVAILABLE</v>
      </c>
      <c r="E835" s="82" t="str">
        <f>_xlfn.TEXTJOIN("; ",TRUE,IF([1]DATABASE!X796&lt;0,"Negative Discount",""),IF(AND([1]DATABASE!Y796&gt;[1]DATABASE!T796,[1]DATABASE!Y796&gt;0,[1]DATABASE!T796&gt;0),"Sell Price &gt; Current",""),IF(AND(TRIM([1]DATABASE!Q796)="DEED",[1]DATABASE!AA796=""),"Deeded no PSPA Date",""),IF([1]DATABASE!E796="","Missing Typology",""),IF([1]DATABASE!AJ796="","Missing Development",""))</f>
        <v/>
      </c>
      <c r="F835" s="82" t="str">
        <f>_xlfn.TEXTJOIN("; ",TRUE,IF(AND(OR(TRIM([1]DATABASE!Q796)="RESERVED",TRIM([1]DATABASE!Q796)="PRE-RESERVED",TRIM([1]DATABASE!Q796)="PSPA"),[1]DATABASE!AA796=""),"Reserved/PSPA no PSPA Date",""),IF(AND(TRIM([1]DATABASE!Q796)="AVAILABLE",[1]DATABASE!AA796&lt;&gt;""),"Available has PSPA Date",""))</f>
        <v/>
      </c>
      <c r="G835" s="82" t="str">
        <f>_xlfn.TEXTJOIN("; ",TRUE,IF(AND([1]DATABASE!T796&lt;0.8*[1]DATABASE!S796,[1]DATABASE!T796&gt;0,[1]DATABASE!S796&gt;0),"Heavy Price Cut &gt;20%",""),IF(AND(OR(TRIM([1]DATABASE!Q796)="AVAILABLE",TRIM([1]DATABASE!Q796)="UPON REQUEST"),OR([1]DATABASE!T796="",[1]DATABASE!T796=0)),"Active Unit no Price",""),IF(AND(OR(TRIM([1]DATABASE!Q796)="AVAILABLE",TRIM([1]DATABASE!Q796)="RESERVED",TRIM([1]DATABASE!Q796)="PRE-RESERVED",TRIM([1]DATABASE!Q796)="PSPA"),[1]DATABASE!AC796=""),"Active no Owner",""),IF(OR([1]DATABASE!F796="",[1]DATABASE!F796&lt;=0),"Missing/Invalid Area",""),IF(AND([1]DATABASE!T796&gt;0,ABS([1]DATABASE!T796-[1]DATABASE!W796-[1]DATABASE!U796-[1]DATABASE!V796)&gt;1),"Price Bridge Mismatch",""))</f>
        <v/>
      </c>
      <c r="H835" t="str">
        <f t="shared" si="15"/>
        <v>PASS</v>
      </c>
      <c r="I835" s="90">
        <f>[1]DATABASE!T796</f>
        <v>450000</v>
      </c>
      <c r="J835" t="str">
        <f>[1]DATABASE!AC796</f>
        <v>João Gameiro</v>
      </c>
    </row>
    <row r="836" spans="1:10" ht="13.95" customHeight="1" x14ac:dyDescent="0.3">
      <c r="A836">
        <f>ROW([1]DATABASE!A797)</f>
        <v>797</v>
      </c>
      <c r="B836" t="str">
        <f>[1]DATABASE!AJ797</f>
        <v>Aroeira Collections</v>
      </c>
      <c r="C836" t="str">
        <f>[1]DATABASE!C797</f>
        <v>309B</v>
      </c>
      <c r="D836" t="str">
        <f>TRIM([1]DATABASE!Q797)</f>
        <v>AVAILABLE</v>
      </c>
      <c r="E836" s="82" t="str">
        <f>_xlfn.TEXTJOIN("; ",TRUE,IF([1]DATABASE!X797&lt;0,"Negative Discount",""),IF(AND([1]DATABASE!Y797&gt;[1]DATABASE!T797,[1]DATABASE!Y797&gt;0,[1]DATABASE!T797&gt;0),"Sell Price &gt; Current",""),IF(AND(TRIM([1]DATABASE!Q797)="DEED",[1]DATABASE!AA797=""),"Deeded no PSPA Date",""),IF([1]DATABASE!E797="","Missing Typology",""),IF([1]DATABASE!AJ797="","Missing Development",""))</f>
        <v/>
      </c>
      <c r="F836" s="82" t="str">
        <f>_xlfn.TEXTJOIN("; ",TRUE,IF(AND(OR(TRIM([1]DATABASE!Q797)="RESERVED",TRIM([1]DATABASE!Q797)="PRE-RESERVED",TRIM([1]DATABASE!Q797)="PSPA"),[1]DATABASE!AA797=""),"Reserved/PSPA no PSPA Date",""),IF(AND(TRIM([1]DATABASE!Q797)="AVAILABLE",[1]DATABASE!AA797&lt;&gt;""),"Available has PSPA Date",""))</f>
        <v/>
      </c>
      <c r="G836" s="82" t="str">
        <f>_xlfn.TEXTJOIN("; ",TRUE,IF(AND([1]DATABASE!T797&lt;0.8*[1]DATABASE!S797,[1]DATABASE!T797&gt;0,[1]DATABASE!S797&gt;0),"Heavy Price Cut &gt;20%",""),IF(AND(OR(TRIM([1]DATABASE!Q797)="AVAILABLE",TRIM([1]DATABASE!Q797)="UPON REQUEST"),OR([1]DATABASE!T797="",[1]DATABASE!T797=0)),"Active Unit no Price",""),IF(AND(OR(TRIM([1]DATABASE!Q797)="AVAILABLE",TRIM([1]DATABASE!Q797)="RESERVED",TRIM([1]DATABASE!Q797)="PRE-RESERVED",TRIM([1]DATABASE!Q797)="PSPA"),[1]DATABASE!AC797=""),"Active no Owner",""),IF(OR([1]DATABASE!F797="",[1]DATABASE!F797&lt;=0),"Missing/Invalid Area",""),IF(AND([1]DATABASE!T797&gt;0,ABS([1]DATABASE!T797-[1]DATABASE!W797-[1]DATABASE!U797-[1]DATABASE!V797)&gt;1),"Price Bridge Mismatch",""))</f>
        <v/>
      </c>
      <c r="H836" t="str">
        <f t="shared" si="15"/>
        <v>PASS</v>
      </c>
      <c r="I836" s="90">
        <f>[1]DATABASE!T797</f>
        <v>670000</v>
      </c>
      <c r="J836" t="str">
        <f>[1]DATABASE!AC797</f>
        <v>João Gameiro</v>
      </c>
    </row>
    <row r="837" spans="1:10" ht="13.95" customHeight="1" x14ac:dyDescent="0.3">
      <c r="A837">
        <f>ROW([1]DATABASE!A798)</f>
        <v>798</v>
      </c>
      <c r="B837" t="str">
        <f>[1]DATABASE!AJ798</f>
        <v>Monte Rei</v>
      </c>
      <c r="C837" t="str">
        <f>[1]DATABASE!C798</f>
        <v>Z</v>
      </c>
      <c r="D837" t="str">
        <f>TRIM([1]DATABASE!Q798)</f>
        <v>AVAILABLE</v>
      </c>
      <c r="E837" s="82" t="str">
        <f>_xlfn.TEXTJOIN("; ",TRUE,IF([1]DATABASE!X798&lt;0,"Negative Discount",""),IF(AND([1]DATABASE!Y798&gt;[1]DATABASE!T798,[1]DATABASE!Y798&gt;0,[1]DATABASE!T798&gt;0),"Sell Price &gt; Current",""),IF(AND(TRIM([1]DATABASE!Q798)="DEED",[1]DATABASE!AA798=""),"Deeded no PSPA Date",""),IF([1]DATABASE!E798="","Missing Typology",""),IF([1]DATABASE!AJ798="","Missing Development",""))</f>
        <v/>
      </c>
      <c r="F837" s="82" t="str">
        <f>_xlfn.TEXTJOIN("; ",TRUE,IF(AND(OR(TRIM([1]DATABASE!Q798)="RESERVED",TRIM([1]DATABASE!Q798)="PRE-RESERVED",TRIM([1]DATABASE!Q798)="PSPA"),[1]DATABASE!AA798=""),"Reserved/PSPA no PSPA Date",""),IF(AND(TRIM([1]DATABASE!Q798)="AVAILABLE",[1]DATABASE!AA798&lt;&gt;""),"Available has PSPA Date",""))</f>
        <v/>
      </c>
      <c r="G837" s="82" t="str">
        <f>_xlfn.TEXTJOIN("; ",TRUE,IF(AND([1]DATABASE!T798&lt;0.8*[1]DATABASE!S798,[1]DATABASE!T798&gt;0,[1]DATABASE!S798&gt;0),"Heavy Price Cut &gt;20%",""),IF(AND(OR(TRIM([1]DATABASE!Q798)="AVAILABLE",TRIM([1]DATABASE!Q798)="UPON REQUEST"),OR([1]DATABASE!T798="",[1]DATABASE!T798=0)),"Active Unit no Price",""),IF(AND(OR(TRIM([1]DATABASE!Q798)="AVAILABLE",TRIM([1]DATABASE!Q798)="RESERVED",TRIM([1]DATABASE!Q798)="PRE-RESERVED",TRIM([1]DATABASE!Q798)="PSPA"),[1]DATABASE!AC798=""),"Active no Owner",""),IF(OR([1]DATABASE!F798="",[1]DATABASE!F798&lt;=0),"Missing/Invalid Area",""),IF(AND([1]DATABASE!T798&gt;0,ABS([1]DATABASE!T798-[1]DATABASE!W798-[1]DATABASE!U798-[1]DATABASE!V798)&gt;1),"Price Bridge Mismatch",""))</f>
        <v/>
      </c>
      <c r="H837" t="str">
        <f t="shared" si="15"/>
        <v>PASS</v>
      </c>
      <c r="I837" s="90">
        <f>[1]DATABASE!T798</f>
        <v>925000</v>
      </c>
      <c r="J837" t="str">
        <f>[1]DATABASE!AC798</f>
        <v>Sandra Viegas</v>
      </c>
    </row>
    <row r="838" spans="1:10" ht="13.95" customHeight="1" x14ac:dyDescent="0.3">
      <c r="A838">
        <f>ROW([1]DATABASE!A799)</f>
        <v>799</v>
      </c>
      <c r="B838" t="str">
        <f>[1]DATABASE!AJ799</f>
        <v>Springs - At the Els</v>
      </c>
      <c r="C838" t="str">
        <f>[1]DATABASE!C799</f>
        <v>AS</v>
      </c>
      <c r="D838" t="str">
        <f>TRIM([1]DATABASE!Q799)</f>
        <v>AVAILABLE</v>
      </c>
      <c r="E838" s="82" t="str">
        <f>_xlfn.TEXTJOIN("; ",TRUE,IF([1]DATABASE!X799&lt;0,"Negative Discount",""),IF(AND([1]DATABASE!Y799&gt;[1]DATABASE!T799,[1]DATABASE!Y799&gt;0,[1]DATABASE!T799&gt;0),"Sell Price &gt; Current",""),IF(AND(TRIM([1]DATABASE!Q799)="DEED",[1]DATABASE!AA799=""),"Deeded no PSPA Date",""),IF([1]DATABASE!E799="","Missing Typology",""),IF([1]DATABASE!AJ799="","Missing Development",""))</f>
        <v/>
      </c>
      <c r="F838" s="82" t="str">
        <f>_xlfn.TEXTJOIN("; ",TRUE,IF(AND(OR(TRIM([1]DATABASE!Q799)="RESERVED",TRIM([1]DATABASE!Q799)="PRE-RESERVED",TRIM([1]DATABASE!Q799)="PSPA"),[1]DATABASE!AA799=""),"Reserved/PSPA no PSPA Date",""),IF(AND(TRIM([1]DATABASE!Q799)="AVAILABLE",[1]DATABASE!AA799&lt;&gt;""),"Available has PSPA Date",""))</f>
        <v/>
      </c>
      <c r="G838" s="82" t="str">
        <f>_xlfn.TEXTJOIN("; ",TRUE,IF(AND([1]DATABASE!T799&lt;0.8*[1]DATABASE!S799,[1]DATABASE!T799&gt;0,[1]DATABASE!S799&gt;0),"Heavy Price Cut &gt;20%",""),IF(AND(OR(TRIM([1]DATABASE!Q799)="AVAILABLE",TRIM([1]DATABASE!Q799)="UPON REQUEST"),OR([1]DATABASE!T799="",[1]DATABASE!T799=0)),"Active Unit no Price",""),IF(AND(OR(TRIM([1]DATABASE!Q799)="AVAILABLE",TRIM([1]DATABASE!Q799)="RESERVED",TRIM([1]DATABASE!Q799)="PRE-RESERVED",TRIM([1]DATABASE!Q799)="PSPA"),[1]DATABASE!AC799=""),"Active no Owner",""),IF(OR([1]DATABASE!F799="",[1]DATABASE!F799&lt;=0),"Missing/Invalid Area",""),IF(AND([1]DATABASE!T799&gt;0,ABS([1]DATABASE!T799-[1]DATABASE!W799-[1]DATABASE!U799-[1]DATABASE!V799)&gt;1),"Price Bridge Mismatch",""))</f>
        <v/>
      </c>
      <c r="H838" t="str">
        <f t="shared" si="15"/>
        <v>PASS</v>
      </c>
      <c r="I838" s="90">
        <f>[1]DATABASE!T799</f>
        <v>1560000</v>
      </c>
      <c r="J838" t="str">
        <f>[1]DATABASE!AC799</f>
        <v>Ana Damásio</v>
      </c>
    </row>
    <row r="839" spans="1:10" ht="13.95" customHeight="1" x14ac:dyDescent="0.3">
      <c r="A839">
        <f>ROW([1]DATABASE!A800)</f>
        <v>800</v>
      </c>
      <c r="B839" t="str">
        <f>[1]DATABASE!AJ800</f>
        <v>Zestia</v>
      </c>
      <c r="C839" t="str">
        <f>[1]DATABASE!C800</f>
        <v>AS</v>
      </c>
      <c r="D839" t="str">
        <f>TRIM([1]DATABASE!Q800)</f>
        <v>AVAILABLE</v>
      </c>
      <c r="E839" s="82" t="str">
        <f>_xlfn.TEXTJOIN("; ",TRUE,IF([1]DATABASE!X800&lt;0,"Negative Discount",""),IF(AND([1]DATABASE!Y800&gt;[1]DATABASE!T800,[1]DATABASE!Y800&gt;0,[1]DATABASE!T800&gt;0),"Sell Price &gt; Current",""),IF(AND(TRIM([1]DATABASE!Q800)="DEED",[1]DATABASE!AA800=""),"Deeded no PSPA Date",""),IF([1]DATABASE!E800="","Missing Typology",""),IF([1]DATABASE!AJ800="","Missing Development",""))</f>
        <v/>
      </c>
      <c r="F839" s="82" t="str">
        <f>_xlfn.TEXTJOIN("; ",TRUE,IF(AND(OR(TRIM([1]DATABASE!Q800)="RESERVED",TRIM([1]DATABASE!Q800)="PRE-RESERVED",TRIM([1]DATABASE!Q800)="PSPA"),[1]DATABASE!AA800=""),"Reserved/PSPA no PSPA Date",""),IF(AND(TRIM([1]DATABASE!Q800)="AVAILABLE",[1]DATABASE!AA800&lt;&gt;""),"Available has PSPA Date",""))</f>
        <v/>
      </c>
      <c r="G839" s="82" t="str">
        <f>_xlfn.TEXTJOIN("; ",TRUE,IF(AND([1]DATABASE!T800&lt;0.8*[1]DATABASE!S800,[1]DATABASE!T800&gt;0,[1]DATABASE!S800&gt;0),"Heavy Price Cut &gt;20%",""),IF(AND(OR(TRIM([1]DATABASE!Q800)="AVAILABLE",TRIM([1]DATABASE!Q800)="UPON REQUEST"),OR([1]DATABASE!T800="",[1]DATABASE!T800=0)),"Active Unit no Price",""),IF(AND(OR(TRIM([1]DATABASE!Q800)="AVAILABLE",TRIM([1]DATABASE!Q800)="RESERVED",TRIM([1]DATABASE!Q800)="PRE-RESERVED",TRIM([1]DATABASE!Q800)="PSPA"),[1]DATABASE!AC800=""),"Active no Owner",""),IF(OR([1]DATABASE!F800="",[1]DATABASE!F800&lt;=0),"Missing/Invalid Area",""),IF(AND([1]DATABASE!T800&gt;0,ABS([1]DATABASE!T800-[1]DATABASE!W800-[1]DATABASE!U800-[1]DATABASE!V800)&gt;1),"Price Bridge Mismatch",""))</f>
        <v/>
      </c>
      <c r="H839" t="str">
        <f t="shared" si="15"/>
        <v>PASS</v>
      </c>
      <c r="I839" s="90">
        <f>[1]DATABASE!T800</f>
        <v>900000</v>
      </c>
      <c r="J839" t="str">
        <f>[1]DATABASE!AC800</f>
        <v>Ana Damásio</v>
      </c>
    </row>
    <row r="840" spans="1:10" ht="13.95" customHeight="1" x14ac:dyDescent="0.3">
      <c r="A840">
        <f>ROW([1]DATABASE!A801)</f>
        <v>801</v>
      </c>
      <c r="B840" t="str">
        <f>[1]DATABASE!AJ801</f>
        <v>Botanica</v>
      </c>
      <c r="C840" t="str">
        <f>[1]DATABASE!C801</f>
        <v>AT</v>
      </c>
      <c r="D840" t="str">
        <f>TRIM([1]DATABASE!Q801)</f>
        <v>AVAILABLE</v>
      </c>
      <c r="E840" s="82" t="str">
        <f>_xlfn.TEXTJOIN("; ",TRUE,IF([1]DATABASE!X801&lt;0,"Negative Discount",""),IF(AND([1]DATABASE!Y801&gt;[1]DATABASE!T801,[1]DATABASE!Y801&gt;0,[1]DATABASE!T801&gt;0),"Sell Price &gt; Current",""),IF(AND(TRIM([1]DATABASE!Q801)="DEED",[1]DATABASE!AA801=""),"Deeded no PSPA Date",""),IF([1]DATABASE!E801="","Missing Typology",""),IF([1]DATABASE!AJ801="","Missing Development",""))</f>
        <v/>
      </c>
      <c r="F840" s="82" t="str">
        <f>_xlfn.TEXTJOIN("; ",TRUE,IF(AND(OR(TRIM([1]DATABASE!Q801)="RESERVED",TRIM([1]DATABASE!Q801)="PRE-RESERVED",TRIM([1]DATABASE!Q801)="PSPA"),[1]DATABASE!AA801=""),"Reserved/PSPA no PSPA Date",""),IF(AND(TRIM([1]DATABASE!Q801)="AVAILABLE",[1]DATABASE!AA801&lt;&gt;""),"Available has PSPA Date",""))</f>
        <v/>
      </c>
      <c r="G840" s="82" t="str">
        <f>_xlfn.TEXTJOIN("; ",TRUE,IF(AND([1]DATABASE!T801&lt;0.8*[1]DATABASE!S801,[1]DATABASE!T801&gt;0,[1]DATABASE!S801&gt;0),"Heavy Price Cut &gt;20%",""),IF(AND(OR(TRIM([1]DATABASE!Q801)="AVAILABLE",TRIM([1]DATABASE!Q801)="UPON REQUEST"),OR([1]DATABASE!T801="",[1]DATABASE!T801=0)),"Active Unit no Price",""),IF(AND(OR(TRIM([1]DATABASE!Q801)="AVAILABLE",TRIM([1]DATABASE!Q801)="RESERVED",TRIM([1]DATABASE!Q801)="PRE-RESERVED",TRIM([1]DATABASE!Q801)="PSPA"),[1]DATABASE!AC801=""),"Active no Owner",""),IF(OR([1]DATABASE!F801="",[1]DATABASE!F801&lt;=0),"Missing/Invalid Area",""),IF(AND([1]DATABASE!T801&gt;0,ABS([1]DATABASE!T801-[1]DATABASE!W801-[1]DATABASE!U801-[1]DATABASE!V801)&gt;1),"Price Bridge Mismatch",""))</f>
        <v/>
      </c>
      <c r="H840" t="str">
        <f t="shared" si="15"/>
        <v>PASS</v>
      </c>
      <c r="I840" s="90">
        <f>[1]DATABASE!T801</f>
        <v>1050000</v>
      </c>
      <c r="J840" t="str">
        <f>[1]DATABASE!AC801</f>
        <v>Ana Damásio</v>
      </c>
    </row>
    <row r="841" spans="1:10" ht="13.95" customHeight="1" x14ac:dyDescent="0.3">
      <c r="A841">
        <f>ROW([1]DATABASE!A802)</f>
        <v>802</v>
      </c>
      <c r="B841" t="str">
        <f>[1]DATABASE!AJ802</f>
        <v>Nobilus</v>
      </c>
      <c r="C841" t="str">
        <f>[1]DATABASE!C802</f>
        <v>AT</v>
      </c>
      <c r="D841" t="str">
        <f>TRIM([1]DATABASE!Q802)</f>
        <v>AVAILABLE</v>
      </c>
      <c r="E841" s="82" t="str">
        <f>_xlfn.TEXTJOIN("; ",TRUE,IF([1]DATABASE!X802&lt;0,"Negative Discount",""),IF(AND([1]DATABASE!Y802&gt;[1]DATABASE!T802,[1]DATABASE!Y802&gt;0,[1]DATABASE!T802&gt;0),"Sell Price &gt; Current",""),IF(AND(TRIM([1]DATABASE!Q802)="DEED",[1]DATABASE!AA802=""),"Deeded no PSPA Date",""),IF([1]DATABASE!E802="","Missing Typology",""),IF([1]DATABASE!AJ802="","Missing Development",""))</f>
        <v/>
      </c>
      <c r="F841" s="82" t="str">
        <f>_xlfn.TEXTJOIN("; ",TRUE,IF(AND(OR(TRIM([1]DATABASE!Q802)="RESERVED",TRIM([1]DATABASE!Q802)="PRE-RESERVED",TRIM([1]DATABASE!Q802)="PSPA"),[1]DATABASE!AA802=""),"Reserved/PSPA no PSPA Date",""),IF(AND(TRIM([1]DATABASE!Q802)="AVAILABLE",[1]DATABASE!AA802&lt;&gt;""),"Available has PSPA Date",""))</f>
        <v/>
      </c>
      <c r="G841" s="82" t="str">
        <f>_xlfn.TEXTJOIN("; ",TRUE,IF(AND([1]DATABASE!T802&lt;0.8*[1]DATABASE!S802,[1]DATABASE!T802&gt;0,[1]DATABASE!S802&gt;0),"Heavy Price Cut &gt;20%",""),IF(AND(OR(TRIM([1]DATABASE!Q802)="AVAILABLE",TRIM([1]DATABASE!Q802)="UPON REQUEST"),OR([1]DATABASE!T802="",[1]DATABASE!T802=0)),"Active Unit no Price",""),IF(AND(OR(TRIM([1]DATABASE!Q802)="AVAILABLE",TRIM([1]DATABASE!Q802)="RESERVED",TRIM([1]DATABASE!Q802)="PRE-RESERVED",TRIM([1]DATABASE!Q802)="PSPA"),[1]DATABASE!AC802=""),"Active no Owner",""),IF(OR([1]DATABASE!F802="",[1]DATABASE!F802&lt;=0),"Missing/Invalid Area",""),IF(AND([1]DATABASE!T802&gt;0,ABS([1]DATABASE!T802-[1]DATABASE!W802-[1]DATABASE!U802-[1]DATABASE!V802)&gt;1),"Price Bridge Mismatch",""))</f>
        <v/>
      </c>
      <c r="H841" t="str">
        <f t="shared" si="15"/>
        <v>PASS</v>
      </c>
      <c r="I841" s="90">
        <f>[1]DATABASE!T802</f>
        <v>750000</v>
      </c>
      <c r="J841" t="str">
        <f>[1]DATABASE!AC802</f>
        <v>Ana Damásio</v>
      </c>
    </row>
    <row r="842" spans="1:10" ht="13.95" customHeight="1" x14ac:dyDescent="0.3">
      <c r="A842">
        <f>ROW([1]DATABASE!A803)</f>
        <v>803</v>
      </c>
      <c r="B842" t="str">
        <f>[1]DATABASE!AJ803</f>
        <v>Springs - At the Els</v>
      </c>
      <c r="C842" t="str">
        <f>[1]DATABASE!C803</f>
        <v>AT</v>
      </c>
      <c r="D842" t="str">
        <f>TRIM([1]DATABASE!Q803)</f>
        <v>AVAILABLE</v>
      </c>
      <c r="E842" s="82" t="str">
        <f>_xlfn.TEXTJOIN("; ",TRUE,IF([1]DATABASE!X803&lt;0,"Negative Discount",""),IF(AND([1]DATABASE!Y803&gt;[1]DATABASE!T803,[1]DATABASE!Y803&gt;0,[1]DATABASE!T803&gt;0),"Sell Price &gt; Current",""),IF(AND(TRIM([1]DATABASE!Q803)="DEED",[1]DATABASE!AA803=""),"Deeded no PSPA Date",""),IF([1]DATABASE!E803="","Missing Typology",""),IF([1]DATABASE!AJ803="","Missing Development",""))</f>
        <v/>
      </c>
      <c r="F842" s="82" t="str">
        <f>_xlfn.TEXTJOIN("; ",TRUE,IF(AND(OR(TRIM([1]DATABASE!Q803)="RESERVED",TRIM([1]DATABASE!Q803)="PRE-RESERVED",TRIM([1]DATABASE!Q803)="PSPA"),[1]DATABASE!AA803=""),"Reserved/PSPA no PSPA Date",""),IF(AND(TRIM([1]DATABASE!Q803)="AVAILABLE",[1]DATABASE!AA803&lt;&gt;""),"Available has PSPA Date",""))</f>
        <v/>
      </c>
      <c r="G842" s="82" t="str">
        <f>_xlfn.TEXTJOIN("; ",TRUE,IF(AND([1]DATABASE!T803&lt;0.8*[1]DATABASE!S803,[1]DATABASE!T803&gt;0,[1]DATABASE!S803&gt;0),"Heavy Price Cut &gt;20%",""),IF(AND(OR(TRIM([1]DATABASE!Q803)="AVAILABLE",TRIM([1]DATABASE!Q803)="UPON REQUEST"),OR([1]DATABASE!T803="",[1]DATABASE!T803=0)),"Active Unit no Price",""),IF(AND(OR(TRIM([1]DATABASE!Q803)="AVAILABLE",TRIM([1]DATABASE!Q803)="RESERVED",TRIM([1]DATABASE!Q803)="PRE-RESERVED",TRIM([1]DATABASE!Q803)="PSPA"),[1]DATABASE!AC803=""),"Active no Owner",""),IF(OR([1]DATABASE!F803="",[1]DATABASE!F803&lt;=0),"Missing/Invalid Area",""),IF(AND([1]DATABASE!T803&gt;0,ABS([1]DATABASE!T803-[1]DATABASE!W803-[1]DATABASE!U803-[1]DATABASE!V803)&gt;1),"Price Bridge Mismatch",""))</f>
        <v/>
      </c>
      <c r="H842" t="str">
        <f t="shared" si="15"/>
        <v>PASS</v>
      </c>
      <c r="I842" s="90">
        <f>[1]DATABASE!T803</f>
        <v>1540000</v>
      </c>
      <c r="J842" t="str">
        <f>[1]DATABASE!AC803</f>
        <v>Ana Damásio</v>
      </c>
    </row>
    <row r="843" spans="1:10" ht="13.95" customHeight="1" x14ac:dyDescent="0.3">
      <c r="A843">
        <f>ROW([1]DATABASE!A804)</f>
        <v>804</v>
      </c>
      <c r="B843" t="str">
        <f>[1]DATABASE!AJ804</f>
        <v>Monte Rei</v>
      </c>
      <c r="C843" t="str">
        <f>[1]DATABASE!C804</f>
        <v>G</v>
      </c>
      <c r="D843" t="str">
        <f>TRIM([1]DATABASE!Q804)</f>
        <v>AVAILABLE</v>
      </c>
      <c r="E843" s="82" t="str">
        <f>_xlfn.TEXTJOIN("; ",TRUE,IF([1]DATABASE!X804&lt;0,"Negative Discount",""),IF(AND([1]DATABASE!Y804&gt;[1]DATABASE!T804,[1]DATABASE!Y804&gt;0,[1]DATABASE!T804&gt;0),"Sell Price &gt; Current",""),IF(AND(TRIM([1]DATABASE!Q804)="DEED",[1]DATABASE!AA804=""),"Deeded no PSPA Date",""),IF([1]DATABASE!E804="","Missing Typology",""),IF([1]DATABASE!AJ804="","Missing Development",""))</f>
        <v/>
      </c>
      <c r="F843" s="82" t="str">
        <f>_xlfn.TEXTJOIN("; ",TRUE,IF(AND(OR(TRIM([1]DATABASE!Q804)="RESERVED",TRIM([1]DATABASE!Q804)="PRE-RESERVED",TRIM([1]DATABASE!Q804)="PSPA"),[1]DATABASE!AA804=""),"Reserved/PSPA no PSPA Date",""),IF(AND(TRIM([1]DATABASE!Q804)="AVAILABLE",[1]DATABASE!AA804&lt;&gt;""),"Available has PSPA Date",""))</f>
        <v/>
      </c>
      <c r="G843" s="82" t="str">
        <f>_xlfn.TEXTJOIN("; ",TRUE,IF(AND([1]DATABASE!T804&lt;0.8*[1]DATABASE!S804,[1]DATABASE!T804&gt;0,[1]DATABASE!S804&gt;0),"Heavy Price Cut &gt;20%",""),IF(AND(OR(TRIM([1]DATABASE!Q804)="AVAILABLE",TRIM([1]DATABASE!Q804)="UPON REQUEST"),OR([1]DATABASE!T804="",[1]DATABASE!T804=0)),"Active Unit no Price",""),IF(AND(OR(TRIM([1]DATABASE!Q804)="AVAILABLE",TRIM([1]DATABASE!Q804)="RESERVED",TRIM([1]DATABASE!Q804)="PRE-RESERVED",TRIM([1]DATABASE!Q804)="PSPA"),[1]DATABASE!AC804=""),"Active no Owner",""),IF(OR([1]DATABASE!F804="",[1]DATABASE!F804&lt;=0),"Missing/Invalid Area",""),IF(AND([1]DATABASE!T804&gt;0,ABS([1]DATABASE!T804-[1]DATABASE!W804-[1]DATABASE!U804-[1]DATABASE!V804)&gt;1),"Price Bridge Mismatch",""))</f>
        <v/>
      </c>
      <c r="H843" t="str">
        <f t="shared" si="15"/>
        <v>PASS</v>
      </c>
      <c r="I843" s="90">
        <f>[1]DATABASE!T804</f>
        <v>760000</v>
      </c>
      <c r="J843" t="str">
        <f>[1]DATABASE!AC804</f>
        <v>Sandra Viegas</v>
      </c>
    </row>
    <row r="844" spans="1:10" ht="13.95" customHeight="1" x14ac:dyDescent="0.3">
      <c r="A844">
        <f>ROW([1]DATABASE!A805)</f>
        <v>805</v>
      </c>
      <c r="B844" t="str">
        <f>[1]DATABASE!AJ805</f>
        <v>Monte Rei</v>
      </c>
      <c r="C844" t="str">
        <f>[1]DATABASE!C805</f>
        <v>L</v>
      </c>
      <c r="D844" t="str">
        <f>TRIM([1]DATABASE!Q805)</f>
        <v>AVAILABLE</v>
      </c>
      <c r="E844" s="82" t="str">
        <f>_xlfn.TEXTJOIN("; ",TRUE,IF([1]DATABASE!X805&lt;0,"Negative Discount",""),IF(AND([1]DATABASE!Y805&gt;[1]DATABASE!T805,[1]DATABASE!Y805&gt;0,[1]DATABASE!T805&gt;0),"Sell Price &gt; Current",""),IF(AND(TRIM([1]DATABASE!Q805)="DEED",[1]DATABASE!AA805=""),"Deeded no PSPA Date",""),IF([1]DATABASE!E805="","Missing Typology",""),IF([1]DATABASE!AJ805="","Missing Development",""))</f>
        <v/>
      </c>
      <c r="F844" s="82" t="str">
        <f>_xlfn.TEXTJOIN("; ",TRUE,IF(AND(OR(TRIM([1]DATABASE!Q805)="RESERVED",TRIM([1]DATABASE!Q805)="PRE-RESERVED",TRIM([1]DATABASE!Q805)="PSPA"),[1]DATABASE!AA805=""),"Reserved/PSPA no PSPA Date",""),IF(AND(TRIM([1]DATABASE!Q805)="AVAILABLE",[1]DATABASE!AA805&lt;&gt;""),"Available has PSPA Date",""))</f>
        <v/>
      </c>
      <c r="G844" s="82" t="str">
        <f>_xlfn.TEXTJOIN("; ",TRUE,IF(AND([1]DATABASE!T805&lt;0.8*[1]DATABASE!S805,[1]DATABASE!T805&gt;0,[1]DATABASE!S805&gt;0),"Heavy Price Cut &gt;20%",""),IF(AND(OR(TRIM([1]DATABASE!Q805)="AVAILABLE",TRIM([1]DATABASE!Q805)="UPON REQUEST"),OR([1]DATABASE!T805="",[1]DATABASE!T805=0)),"Active Unit no Price",""),IF(AND(OR(TRIM([1]DATABASE!Q805)="AVAILABLE",TRIM([1]DATABASE!Q805)="RESERVED",TRIM([1]DATABASE!Q805)="PRE-RESERVED",TRIM([1]DATABASE!Q805)="PSPA"),[1]DATABASE!AC805=""),"Active no Owner",""),IF(OR([1]DATABASE!F805="",[1]DATABASE!F805&lt;=0),"Missing/Invalid Area",""),IF(AND([1]DATABASE!T805&gt;0,ABS([1]DATABASE!T805-[1]DATABASE!W805-[1]DATABASE!U805-[1]DATABASE!V805)&gt;1),"Price Bridge Mismatch",""))</f>
        <v>Heavy Price Cut &gt;20%</v>
      </c>
      <c r="H844" t="str">
        <f t="shared" si="15"/>
        <v>REVIEW</v>
      </c>
      <c r="I844" s="90">
        <f>[1]DATABASE!T805</f>
        <v>720000</v>
      </c>
      <c r="J844" t="str">
        <f>[1]DATABASE!AC805</f>
        <v>Sandra Viegas</v>
      </c>
    </row>
    <row r="845" spans="1:10" ht="13.95" customHeight="1" x14ac:dyDescent="0.3">
      <c r="A845">
        <f>ROW([1]DATABASE!A806)</f>
        <v>806</v>
      </c>
      <c r="B845" t="str">
        <f>[1]DATABASE!AJ806</f>
        <v>Monte Rei</v>
      </c>
      <c r="C845" t="str">
        <f>[1]DATABASE!C806</f>
        <v>O</v>
      </c>
      <c r="D845" t="str">
        <f>TRIM([1]DATABASE!Q806)</f>
        <v>AVAILABLE</v>
      </c>
      <c r="E845" s="82" t="str">
        <f>_xlfn.TEXTJOIN("; ",TRUE,IF([1]DATABASE!X806&lt;0,"Negative Discount",""),IF(AND([1]DATABASE!Y806&gt;[1]DATABASE!T806,[1]DATABASE!Y806&gt;0,[1]DATABASE!T806&gt;0),"Sell Price &gt; Current",""),IF(AND(TRIM([1]DATABASE!Q806)="DEED",[1]DATABASE!AA806=""),"Deeded no PSPA Date",""),IF([1]DATABASE!E806="","Missing Typology",""),IF([1]DATABASE!AJ806="","Missing Development",""))</f>
        <v/>
      </c>
      <c r="F845" s="82" t="str">
        <f>_xlfn.TEXTJOIN("; ",TRUE,IF(AND(OR(TRIM([1]DATABASE!Q806)="RESERVED",TRIM([1]DATABASE!Q806)="PRE-RESERVED",TRIM([1]DATABASE!Q806)="PSPA"),[1]DATABASE!AA806=""),"Reserved/PSPA no PSPA Date",""),IF(AND(TRIM([1]DATABASE!Q806)="AVAILABLE",[1]DATABASE!AA806&lt;&gt;""),"Available has PSPA Date",""))</f>
        <v/>
      </c>
      <c r="G845" s="82" t="str">
        <f>_xlfn.TEXTJOIN("; ",TRUE,IF(AND([1]DATABASE!T806&lt;0.8*[1]DATABASE!S806,[1]DATABASE!T806&gt;0,[1]DATABASE!S806&gt;0),"Heavy Price Cut &gt;20%",""),IF(AND(OR(TRIM([1]DATABASE!Q806)="AVAILABLE",TRIM([1]DATABASE!Q806)="UPON REQUEST"),OR([1]DATABASE!T806="",[1]DATABASE!T806=0)),"Active Unit no Price",""),IF(AND(OR(TRIM([1]DATABASE!Q806)="AVAILABLE",TRIM([1]DATABASE!Q806)="RESERVED",TRIM([1]DATABASE!Q806)="PRE-RESERVED",TRIM([1]DATABASE!Q806)="PSPA"),[1]DATABASE!AC806=""),"Active no Owner",""),IF(OR([1]DATABASE!F806="",[1]DATABASE!F806&lt;=0),"Missing/Invalid Area",""),IF(AND([1]DATABASE!T806&gt;0,ABS([1]DATABASE!T806-[1]DATABASE!W806-[1]DATABASE!U806-[1]DATABASE!V806)&gt;1),"Price Bridge Mismatch",""))</f>
        <v>Heavy Price Cut &gt;20%</v>
      </c>
      <c r="H845" t="str">
        <f t="shared" si="15"/>
        <v>REVIEW</v>
      </c>
      <c r="I845" s="90">
        <f>[1]DATABASE!T806</f>
        <v>700000</v>
      </c>
      <c r="J845" t="str">
        <f>[1]DATABASE!AC806</f>
        <v>Sandra Viegas</v>
      </c>
    </row>
    <row r="846" spans="1:10" ht="13.95" customHeight="1" x14ac:dyDescent="0.3">
      <c r="A846">
        <f>ROW([1]DATABASE!A807)</f>
        <v>807</v>
      </c>
      <c r="B846" t="str">
        <f>[1]DATABASE!AJ807</f>
        <v>Monte Rei</v>
      </c>
      <c r="C846" t="str">
        <f>[1]DATABASE!C807</f>
        <v>P</v>
      </c>
      <c r="D846" t="str">
        <f>TRIM([1]DATABASE!Q807)</f>
        <v>AVAILABLE</v>
      </c>
      <c r="E846" s="82" t="str">
        <f>_xlfn.TEXTJOIN("; ",TRUE,IF([1]DATABASE!X807&lt;0,"Negative Discount",""),IF(AND([1]DATABASE!Y807&gt;[1]DATABASE!T807,[1]DATABASE!Y807&gt;0,[1]DATABASE!T807&gt;0),"Sell Price &gt; Current",""),IF(AND(TRIM([1]DATABASE!Q807)="DEED",[1]DATABASE!AA807=""),"Deeded no PSPA Date",""),IF([1]DATABASE!E807="","Missing Typology",""),IF([1]DATABASE!AJ807="","Missing Development",""))</f>
        <v/>
      </c>
      <c r="F846" s="82" t="str">
        <f>_xlfn.TEXTJOIN("; ",TRUE,IF(AND(OR(TRIM([1]DATABASE!Q807)="RESERVED",TRIM([1]DATABASE!Q807)="PRE-RESERVED",TRIM([1]DATABASE!Q807)="PSPA"),[1]DATABASE!AA807=""),"Reserved/PSPA no PSPA Date",""),IF(AND(TRIM([1]DATABASE!Q807)="AVAILABLE",[1]DATABASE!AA807&lt;&gt;""),"Available has PSPA Date",""))</f>
        <v/>
      </c>
      <c r="G846" s="82" t="str">
        <f>_xlfn.TEXTJOIN("; ",TRUE,IF(AND([1]DATABASE!T807&lt;0.8*[1]DATABASE!S807,[1]DATABASE!T807&gt;0,[1]DATABASE!S807&gt;0),"Heavy Price Cut &gt;20%",""),IF(AND(OR(TRIM([1]DATABASE!Q807)="AVAILABLE",TRIM([1]DATABASE!Q807)="UPON REQUEST"),OR([1]DATABASE!T807="",[1]DATABASE!T807=0)),"Active Unit no Price",""),IF(AND(OR(TRIM([1]DATABASE!Q807)="AVAILABLE",TRIM([1]DATABASE!Q807)="RESERVED",TRIM([1]DATABASE!Q807)="PRE-RESERVED",TRIM([1]DATABASE!Q807)="PSPA"),[1]DATABASE!AC807=""),"Active no Owner",""),IF(OR([1]DATABASE!F807="",[1]DATABASE!F807&lt;=0),"Missing/Invalid Area",""),IF(AND([1]DATABASE!T807&gt;0,ABS([1]DATABASE!T807-[1]DATABASE!W807-[1]DATABASE!U807-[1]DATABASE!V807)&gt;1),"Price Bridge Mismatch",""))</f>
        <v/>
      </c>
      <c r="H846" t="str">
        <f t="shared" si="15"/>
        <v>PASS</v>
      </c>
      <c r="I846" s="90">
        <f>[1]DATABASE!T807</f>
        <v>760000</v>
      </c>
      <c r="J846" t="str">
        <f>[1]DATABASE!AC807</f>
        <v>Sandra Viegas</v>
      </c>
    </row>
    <row r="847" spans="1:10" ht="13.95" customHeight="1" x14ac:dyDescent="0.3">
      <c r="A847">
        <f>ROW([1]DATABASE!A808)</f>
        <v>808</v>
      </c>
      <c r="B847" t="str">
        <f>[1]DATABASE!AJ808</f>
        <v>Zestia</v>
      </c>
      <c r="C847" t="str">
        <f>[1]DATABASE!C808</f>
        <v>AT</v>
      </c>
      <c r="D847" t="str">
        <f>TRIM([1]DATABASE!Q808)</f>
        <v>AVAILABLE</v>
      </c>
      <c r="E847" s="82" t="str">
        <f>_xlfn.TEXTJOIN("; ",TRUE,IF([1]DATABASE!X808&lt;0,"Negative Discount",""),IF(AND([1]DATABASE!Y808&gt;[1]DATABASE!T808,[1]DATABASE!Y808&gt;0,[1]DATABASE!T808&gt;0),"Sell Price &gt; Current",""),IF(AND(TRIM([1]DATABASE!Q808)="DEED",[1]DATABASE!AA808=""),"Deeded no PSPA Date",""),IF([1]DATABASE!E808="","Missing Typology",""),IF([1]DATABASE!AJ808="","Missing Development",""))</f>
        <v/>
      </c>
      <c r="F847" s="82" t="str">
        <f>_xlfn.TEXTJOIN("; ",TRUE,IF(AND(OR(TRIM([1]DATABASE!Q808)="RESERVED",TRIM([1]DATABASE!Q808)="PRE-RESERVED",TRIM([1]DATABASE!Q808)="PSPA"),[1]DATABASE!AA808=""),"Reserved/PSPA no PSPA Date",""),IF(AND(TRIM([1]DATABASE!Q808)="AVAILABLE",[1]DATABASE!AA808&lt;&gt;""),"Available has PSPA Date",""))</f>
        <v/>
      </c>
      <c r="G847" s="82" t="str">
        <f>_xlfn.TEXTJOIN("; ",TRUE,IF(AND([1]DATABASE!T808&lt;0.8*[1]DATABASE!S808,[1]DATABASE!T808&gt;0,[1]DATABASE!S808&gt;0),"Heavy Price Cut &gt;20%",""),IF(AND(OR(TRIM([1]DATABASE!Q808)="AVAILABLE",TRIM([1]DATABASE!Q808)="UPON REQUEST"),OR([1]DATABASE!T808="",[1]DATABASE!T808=0)),"Active Unit no Price",""),IF(AND(OR(TRIM([1]DATABASE!Q808)="AVAILABLE",TRIM([1]DATABASE!Q808)="RESERVED",TRIM([1]DATABASE!Q808)="PRE-RESERVED",TRIM([1]DATABASE!Q808)="PSPA"),[1]DATABASE!AC808=""),"Active no Owner",""),IF(OR([1]DATABASE!F808="",[1]DATABASE!F808&lt;=0),"Missing/Invalid Area",""),IF(AND([1]DATABASE!T808&gt;0,ABS([1]DATABASE!T808-[1]DATABASE!W808-[1]DATABASE!U808-[1]DATABASE!V808)&gt;1),"Price Bridge Mismatch",""))</f>
        <v/>
      </c>
      <c r="H847" t="str">
        <f t="shared" si="15"/>
        <v>PASS</v>
      </c>
      <c r="I847" s="90">
        <f>[1]DATABASE!T808</f>
        <v>890000</v>
      </c>
      <c r="J847" t="str">
        <f>[1]DATABASE!AC808</f>
        <v>Ana Damásio</v>
      </c>
    </row>
    <row r="848" spans="1:10" ht="13.95" customHeight="1" x14ac:dyDescent="0.3">
      <c r="A848">
        <f>ROW([1]DATABASE!A809)</f>
        <v>809</v>
      </c>
      <c r="B848" t="str">
        <f>[1]DATABASE!AJ809</f>
        <v>Botanica</v>
      </c>
      <c r="C848" t="str">
        <f>[1]DATABASE!C809</f>
        <v>AU</v>
      </c>
      <c r="D848" t="str">
        <f>TRIM([1]DATABASE!Q809)</f>
        <v>AVAILABLE</v>
      </c>
      <c r="E848" s="82" t="str">
        <f>_xlfn.TEXTJOIN("; ",TRUE,IF([1]DATABASE!X809&lt;0,"Negative Discount",""),IF(AND([1]DATABASE!Y809&gt;[1]DATABASE!T809,[1]DATABASE!Y809&gt;0,[1]DATABASE!T809&gt;0),"Sell Price &gt; Current",""),IF(AND(TRIM([1]DATABASE!Q809)="DEED",[1]DATABASE!AA809=""),"Deeded no PSPA Date",""),IF([1]DATABASE!E809="","Missing Typology",""),IF([1]DATABASE!AJ809="","Missing Development",""))</f>
        <v/>
      </c>
      <c r="F848" s="82" t="str">
        <f>_xlfn.TEXTJOIN("; ",TRUE,IF(AND(OR(TRIM([1]DATABASE!Q809)="RESERVED",TRIM([1]DATABASE!Q809)="PRE-RESERVED",TRIM([1]DATABASE!Q809)="PSPA"),[1]DATABASE!AA809=""),"Reserved/PSPA no PSPA Date",""),IF(AND(TRIM([1]DATABASE!Q809)="AVAILABLE",[1]DATABASE!AA809&lt;&gt;""),"Available has PSPA Date",""))</f>
        <v/>
      </c>
      <c r="G848" s="82" t="str">
        <f>_xlfn.TEXTJOIN("; ",TRUE,IF(AND([1]DATABASE!T809&lt;0.8*[1]DATABASE!S809,[1]DATABASE!T809&gt;0,[1]DATABASE!S809&gt;0),"Heavy Price Cut &gt;20%",""),IF(AND(OR(TRIM([1]DATABASE!Q809)="AVAILABLE",TRIM([1]DATABASE!Q809)="UPON REQUEST"),OR([1]DATABASE!T809="",[1]DATABASE!T809=0)),"Active Unit no Price",""),IF(AND(OR(TRIM([1]DATABASE!Q809)="AVAILABLE",TRIM([1]DATABASE!Q809)="RESERVED",TRIM([1]DATABASE!Q809)="PRE-RESERVED",TRIM([1]DATABASE!Q809)="PSPA"),[1]DATABASE!AC809=""),"Active no Owner",""),IF(OR([1]DATABASE!F809="",[1]DATABASE!F809&lt;=0),"Missing/Invalid Area",""),IF(AND([1]DATABASE!T809&gt;0,ABS([1]DATABASE!T809-[1]DATABASE!W809-[1]DATABASE!U809-[1]DATABASE!V809)&gt;1),"Price Bridge Mismatch",""))</f>
        <v/>
      </c>
      <c r="H848" t="str">
        <f t="shared" si="15"/>
        <v>PASS</v>
      </c>
      <c r="I848" s="90">
        <f>[1]DATABASE!T809</f>
        <v>2550000</v>
      </c>
      <c r="J848" t="str">
        <f>[1]DATABASE!AC809</f>
        <v>Ana Damásio</v>
      </c>
    </row>
    <row r="849" spans="1:10" ht="13.95" customHeight="1" x14ac:dyDescent="0.3">
      <c r="A849">
        <f>ROW([1]DATABASE!A810)</f>
        <v>810</v>
      </c>
      <c r="B849" t="str">
        <f>[1]DATABASE!AJ810</f>
        <v>Palmares</v>
      </c>
      <c r="C849" t="str">
        <f>[1]DATABASE!C810</f>
        <v>12</v>
      </c>
      <c r="D849" t="str">
        <f>TRIM([1]DATABASE!Q810)</f>
        <v>AVAILABLE</v>
      </c>
      <c r="E849" s="82" t="str">
        <f>_xlfn.TEXTJOIN("; ",TRUE,IF([1]DATABASE!X810&lt;0,"Negative Discount",""),IF(AND([1]DATABASE!Y810&gt;[1]DATABASE!T810,[1]DATABASE!Y810&gt;0,[1]DATABASE!T810&gt;0),"Sell Price &gt; Current",""),IF(AND(TRIM([1]DATABASE!Q810)="DEED",[1]DATABASE!AA810=""),"Deeded no PSPA Date",""),IF([1]DATABASE!E810="","Missing Typology",""),IF([1]DATABASE!AJ810="","Missing Development",""))</f>
        <v/>
      </c>
      <c r="F849" s="82" t="str">
        <f>_xlfn.TEXTJOIN("; ",TRUE,IF(AND(OR(TRIM([1]DATABASE!Q810)="RESERVED",TRIM([1]DATABASE!Q810)="PRE-RESERVED",TRIM([1]DATABASE!Q810)="PSPA"),[1]DATABASE!AA810=""),"Reserved/PSPA no PSPA Date",""),IF(AND(TRIM([1]DATABASE!Q810)="AVAILABLE",[1]DATABASE!AA810&lt;&gt;""),"Available has PSPA Date",""))</f>
        <v/>
      </c>
      <c r="G849" s="82" t="str">
        <f>_xlfn.TEXTJOIN("; ",TRUE,IF(AND([1]DATABASE!T810&lt;0.8*[1]DATABASE!S810,[1]DATABASE!T810&gt;0,[1]DATABASE!S810&gt;0),"Heavy Price Cut &gt;20%",""),IF(AND(OR(TRIM([1]DATABASE!Q810)="AVAILABLE",TRIM([1]DATABASE!Q810)="UPON REQUEST"),OR([1]DATABASE!T810="",[1]DATABASE!T810=0)),"Active Unit no Price",""),IF(AND(OR(TRIM([1]DATABASE!Q810)="AVAILABLE",TRIM([1]DATABASE!Q810)="RESERVED",TRIM([1]DATABASE!Q810)="PRE-RESERVED",TRIM([1]DATABASE!Q810)="PSPA"),[1]DATABASE!AC810=""),"Active no Owner",""),IF(OR([1]DATABASE!F810="",[1]DATABASE!F810&lt;=0),"Missing/Invalid Area",""),IF(AND([1]DATABASE!T810&gt;0,ABS([1]DATABASE!T810-[1]DATABASE!W810-[1]DATABASE!U810-[1]DATABASE!V810)&gt;1),"Price Bridge Mismatch",""))</f>
        <v/>
      </c>
      <c r="H849" t="str">
        <f t="shared" si="15"/>
        <v>PASS</v>
      </c>
      <c r="I849" s="90">
        <f>[1]DATABASE!T810</f>
        <v>1950000</v>
      </c>
      <c r="J849" t="str">
        <f>[1]DATABASE!AC810</f>
        <v>Sandra Viegas</v>
      </c>
    </row>
    <row r="850" spans="1:10" ht="13.95" customHeight="1" x14ac:dyDescent="0.3">
      <c r="A850">
        <f>ROW([1]DATABASE!A811)</f>
        <v>811</v>
      </c>
      <c r="B850" t="str">
        <f>[1]DATABASE!AJ811</f>
        <v>Nobilus</v>
      </c>
      <c r="C850" t="str">
        <f>[1]DATABASE!C811</f>
        <v>AU</v>
      </c>
      <c r="D850" t="str">
        <f>TRIM([1]DATABASE!Q811)</f>
        <v>AVAILABLE</v>
      </c>
      <c r="E850" s="82" t="str">
        <f>_xlfn.TEXTJOIN("; ",TRUE,IF([1]DATABASE!X811&lt;0,"Negative Discount",""),IF(AND([1]DATABASE!Y811&gt;[1]DATABASE!T811,[1]DATABASE!Y811&gt;0,[1]DATABASE!T811&gt;0),"Sell Price &gt; Current",""),IF(AND(TRIM([1]DATABASE!Q811)="DEED",[1]DATABASE!AA811=""),"Deeded no PSPA Date",""),IF([1]DATABASE!E811="","Missing Typology",""),IF([1]DATABASE!AJ811="","Missing Development",""))</f>
        <v/>
      </c>
      <c r="F850" s="82" t="str">
        <f>_xlfn.TEXTJOIN("; ",TRUE,IF(AND(OR(TRIM([1]DATABASE!Q811)="RESERVED",TRIM([1]DATABASE!Q811)="PRE-RESERVED",TRIM([1]DATABASE!Q811)="PSPA"),[1]DATABASE!AA811=""),"Reserved/PSPA no PSPA Date",""),IF(AND(TRIM([1]DATABASE!Q811)="AVAILABLE",[1]DATABASE!AA811&lt;&gt;""),"Available has PSPA Date",""))</f>
        <v/>
      </c>
      <c r="G850" s="82" t="str">
        <f>_xlfn.TEXTJOIN("; ",TRUE,IF(AND([1]DATABASE!T811&lt;0.8*[1]DATABASE!S811,[1]DATABASE!T811&gt;0,[1]DATABASE!S811&gt;0),"Heavy Price Cut &gt;20%",""),IF(AND(OR(TRIM([1]DATABASE!Q811)="AVAILABLE",TRIM([1]DATABASE!Q811)="UPON REQUEST"),OR([1]DATABASE!T811="",[1]DATABASE!T811=0)),"Active Unit no Price",""),IF(AND(OR(TRIM([1]DATABASE!Q811)="AVAILABLE",TRIM([1]DATABASE!Q811)="RESERVED",TRIM([1]DATABASE!Q811)="PRE-RESERVED",TRIM([1]DATABASE!Q811)="PSPA"),[1]DATABASE!AC811=""),"Active no Owner",""),IF(OR([1]DATABASE!F811="",[1]DATABASE!F811&lt;=0),"Missing/Invalid Area",""),IF(AND([1]DATABASE!T811&gt;0,ABS([1]DATABASE!T811-[1]DATABASE!W811-[1]DATABASE!U811-[1]DATABASE!V811)&gt;1),"Price Bridge Mismatch",""))</f>
        <v/>
      </c>
      <c r="H850" t="str">
        <f t="shared" si="15"/>
        <v>PASS</v>
      </c>
      <c r="I850" s="90">
        <f>[1]DATABASE!T811</f>
        <v>885000</v>
      </c>
      <c r="J850" t="str">
        <f>[1]DATABASE!AC811</f>
        <v>Ana Damásio</v>
      </c>
    </row>
    <row r="851" spans="1:10" ht="13.95" customHeight="1" x14ac:dyDescent="0.3">
      <c r="A851">
        <f>ROW([1]DATABASE!A812)</f>
        <v>812</v>
      </c>
      <c r="B851" t="str">
        <f>[1]DATABASE!AJ812</f>
        <v>Springs - At the Els</v>
      </c>
      <c r="C851" t="str">
        <f>[1]DATABASE!C812</f>
        <v>AU</v>
      </c>
      <c r="D851" t="str">
        <f>TRIM([1]DATABASE!Q812)</f>
        <v>AVAILABLE</v>
      </c>
      <c r="E851" s="82" t="str">
        <f>_xlfn.TEXTJOIN("; ",TRUE,IF([1]DATABASE!X812&lt;0,"Negative Discount",""),IF(AND([1]DATABASE!Y812&gt;[1]DATABASE!T812,[1]DATABASE!Y812&gt;0,[1]DATABASE!T812&gt;0),"Sell Price &gt; Current",""),IF(AND(TRIM([1]DATABASE!Q812)="DEED",[1]DATABASE!AA812=""),"Deeded no PSPA Date",""),IF([1]DATABASE!E812="","Missing Typology",""),IF([1]DATABASE!AJ812="","Missing Development",""))</f>
        <v/>
      </c>
      <c r="F851" s="82" t="str">
        <f>_xlfn.TEXTJOIN("; ",TRUE,IF(AND(OR(TRIM([1]DATABASE!Q812)="RESERVED",TRIM([1]DATABASE!Q812)="PRE-RESERVED",TRIM([1]DATABASE!Q812)="PSPA"),[1]DATABASE!AA812=""),"Reserved/PSPA no PSPA Date",""),IF(AND(TRIM([1]DATABASE!Q812)="AVAILABLE",[1]DATABASE!AA812&lt;&gt;""),"Available has PSPA Date",""))</f>
        <v/>
      </c>
      <c r="G851" s="82" t="str">
        <f>_xlfn.TEXTJOIN("; ",TRUE,IF(AND([1]DATABASE!T812&lt;0.8*[1]DATABASE!S812,[1]DATABASE!T812&gt;0,[1]DATABASE!S812&gt;0),"Heavy Price Cut &gt;20%",""),IF(AND(OR(TRIM([1]DATABASE!Q812)="AVAILABLE",TRIM([1]DATABASE!Q812)="UPON REQUEST"),OR([1]DATABASE!T812="",[1]DATABASE!T812=0)),"Active Unit no Price",""),IF(AND(OR(TRIM([1]DATABASE!Q812)="AVAILABLE",TRIM([1]DATABASE!Q812)="RESERVED",TRIM([1]DATABASE!Q812)="PRE-RESERVED",TRIM([1]DATABASE!Q812)="PSPA"),[1]DATABASE!AC812=""),"Active no Owner",""),IF(OR([1]DATABASE!F812="",[1]DATABASE!F812&lt;=0),"Missing/Invalid Area",""),IF(AND([1]DATABASE!T812&gt;0,ABS([1]DATABASE!T812-[1]DATABASE!W812-[1]DATABASE!U812-[1]DATABASE!V812)&gt;1),"Price Bridge Mismatch",""))</f>
        <v/>
      </c>
      <c r="H851" t="str">
        <f t="shared" si="15"/>
        <v>PASS</v>
      </c>
      <c r="I851" s="90">
        <f>[1]DATABASE!T812</f>
        <v>1730000</v>
      </c>
      <c r="J851" t="str">
        <f>[1]DATABASE!AC812</f>
        <v>Ana Damásio</v>
      </c>
    </row>
    <row r="852" spans="1:10" ht="13.95" customHeight="1" x14ac:dyDescent="0.3">
      <c r="A852">
        <f>ROW([1]DATABASE!A813)</f>
        <v>813</v>
      </c>
      <c r="B852" t="str">
        <f>[1]DATABASE!AJ813</f>
        <v>Palmares</v>
      </c>
      <c r="C852" t="str">
        <f>[1]DATABASE!C813</f>
        <v>16</v>
      </c>
      <c r="D852" t="str">
        <f>TRIM([1]DATABASE!Q813)</f>
        <v>AVAILABLE</v>
      </c>
      <c r="E852" s="82" t="str">
        <f>_xlfn.TEXTJOIN("; ",TRUE,IF([1]DATABASE!X813&lt;0,"Negative Discount",""),IF(AND([1]DATABASE!Y813&gt;[1]DATABASE!T813,[1]DATABASE!Y813&gt;0,[1]DATABASE!T813&gt;0),"Sell Price &gt; Current",""),IF(AND(TRIM([1]DATABASE!Q813)="DEED",[1]DATABASE!AA813=""),"Deeded no PSPA Date",""),IF([1]DATABASE!E813="","Missing Typology",""),IF([1]DATABASE!AJ813="","Missing Development",""))</f>
        <v/>
      </c>
      <c r="F852" s="82" t="str">
        <f>_xlfn.TEXTJOIN("; ",TRUE,IF(AND(OR(TRIM([1]DATABASE!Q813)="RESERVED",TRIM([1]DATABASE!Q813)="PRE-RESERVED",TRIM([1]DATABASE!Q813)="PSPA"),[1]DATABASE!AA813=""),"Reserved/PSPA no PSPA Date",""),IF(AND(TRIM([1]DATABASE!Q813)="AVAILABLE",[1]DATABASE!AA813&lt;&gt;""),"Available has PSPA Date",""))</f>
        <v/>
      </c>
      <c r="G852" s="82" t="str">
        <f>_xlfn.TEXTJOIN("; ",TRUE,IF(AND([1]DATABASE!T813&lt;0.8*[1]DATABASE!S813,[1]DATABASE!T813&gt;0,[1]DATABASE!S813&gt;0),"Heavy Price Cut &gt;20%",""),IF(AND(OR(TRIM([1]DATABASE!Q813)="AVAILABLE",TRIM([1]DATABASE!Q813)="UPON REQUEST"),OR([1]DATABASE!T813="",[1]DATABASE!T813=0)),"Active Unit no Price",""),IF(AND(OR(TRIM([1]DATABASE!Q813)="AVAILABLE",TRIM([1]DATABASE!Q813)="RESERVED",TRIM([1]DATABASE!Q813)="PRE-RESERVED",TRIM([1]DATABASE!Q813)="PSPA"),[1]DATABASE!AC813=""),"Active no Owner",""),IF(OR([1]DATABASE!F813="",[1]DATABASE!F813&lt;=0),"Missing/Invalid Area",""),IF(AND([1]DATABASE!T813&gt;0,ABS([1]DATABASE!T813-[1]DATABASE!W813-[1]DATABASE!U813-[1]DATABASE!V813)&gt;1),"Price Bridge Mismatch",""))</f>
        <v/>
      </c>
      <c r="H852" t="str">
        <f t="shared" si="15"/>
        <v>PASS</v>
      </c>
      <c r="I852" s="90">
        <f>[1]DATABASE!T813</f>
        <v>1100000</v>
      </c>
      <c r="J852" t="str">
        <f>[1]DATABASE!AC813</f>
        <v>Sandra Viegas</v>
      </c>
    </row>
    <row r="853" spans="1:10" ht="13.95" customHeight="1" x14ac:dyDescent="0.3">
      <c r="A853">
        <f>ROW([1]DATABASE!A814)</f>
        <v>814</v>
      </c>
      <c r="B853" t="str">
        <f>[1]DATABASE!AJ814</f>
        <v>Terracota</v>
      </c>
      <c r="C853" t="str">
        <f>[1]DATABASE!C814</f>
        <v>AU</v>
      </c>
      <c r="D853" t="str">
        <f>TRIM([1]DATABASE!Q814)</f>
        <v>AVAILABLE</v>
      </c>
      <c r="E853" s="82" t="str">
        <f>_xlfn.TEXTJOIN("; ",TRUE,IF([1]DATABASE!X814&lt;0,"Negative Discount",""),IF(AND([1]DATABASE!Y814&gt;[1]DATABASE!T814,[1]DATABASE!Y814&gt;0,[1]DATABASE!T814&gt;0),"Sell Price &gt; Current",""),IF(AND(TRIM([1]DATABASE!Q814)="DEED",[1]DATABASE!AA814=""),"Deeded no PSPA Date",""),IF([1]DATABASE!E814="","Missing Typology",""),IF([1]DATABASE!AJ814="","Missing Development",""))</f>
        <v/>
      </c>
      <c r="F853" s="82" t="str">
        <f>_xlfn.TEXTJOIN("; ",TRUE,IF(AND(OR(TRIM([1]DATABASE!Q814)="RESERVED",TRIM([1]DATABASE!Q814)="PRE-RESERVED",TRIM([1]DATABASE!Q814)="PSPA"),[1]DATABASE!AA814=""),"Reserved/PSPA no PSPA Date",""),IF(AND(TRIM([1]DATABASE!Q814)="AVAILABLE",[1]DATABASE!AA814&lt;&gt;""),"Available has PSPA Date",""))</f>
        <v/>
      </c>
      <c r="G853" s="82" t="str">
        <f>_xlfn.TEXTJOIN("; ",TRUE,IF(AND([1]DATABASE!T814&lt;0.8*[1]DATABASE!S814,[1]DATABASE!T814&gt;0,[1]DATABASE!S814&gt;0),"Heavy Price Cut &gt;20%",""),IF(AND(OR(TRIM([1]DATABASE!Q814)="AVAILABLE",TRIM([1]DATABASE!Q814)="UPON REQUEST"),OR([1]DATABASE!T814="",[1]DATABASE!T814=0)),"Active Unit no Price",""),IF(AND(OR(TRIM([1]DATABASE!Q814)="AVAILABLE",TRIM([1]DATABASE!Q814)="RESERVED",TRIM([1]DATABASE!Q814)="PRE-RESERVED",TRIM([1]DATABASE!Q814)="PSPA"),[1]DATABASE!AC814=""),"Active no Owner",""),IF(OR([1]DATABASE!F814="",[1]DATABASE!F814&lt;=0),"Missing/Invalid Area",""),IF(AND([1]DATABASE!T814&gt;0,ABS([1]DATABASE!T814-[1]DATABASE!W814-[1]DATABASE!U814-[1]DATABASE!V814)&gt;1),"Price Bridge Mismatch",""))</f>
        <v/>
      </c>
      <c r="H853" t="str">
        <f t="shared" si="15"/>
        <v>PASS</v>
      </c>
      <c r="I853" s="90">
        <f>[1]DATABASE!T814</f>
        <v>750000</v>
      </c>
      <c r="J853" t="str">
        <f>[1]DATABASE!AC814</f>
        <v>Ana Damásio</v>
      </c>
    </row>
    <row r="854" spans="1:10" ht="13.95" customHeight="1" x14ac:dyDescent="0.3">
      <c r="A854">
        <f>ROW([1]DATABASE!A815)</f>
        <v>815</v>
      </c>
      <c r="B854" t="str">
        <f>[1]DATABASE!AJ815</f>
        <v>Zestia</v>
      </c>
      <c r="C854" t="str">
        <f>[1]DATABASE!C815</f>
        <v>AU</v>
      </c>
      <c r="D854" t="str">
        <f>TRIM([1]DATABASE!Q815)</f>
        <v>AVAILABLE</v>
      </c>
      <c r="E854" s="82" t="str">
        <f>_xlfn.TEXTJOIN("; ",TRUE,IF([1]DATABASE!X815&lt;0,"Negative Discount",""),IF(AND([1]DATABASE!Y815&gt;[1]DATABASE!T815,[1]DATABASE!Y815&gt;0,[1]DATABASE!T815&gt;0),"Sell Price &gt; Current",""),IF(AND(TRIM([1]DATABASE!Q815)="DEED",[1]DATABASE!AA815=""),"Deeded no PSPA Date",""),IF([1]DATABASE!E815="","Missing Typology",""),IF([1]DATABASE!AJ815="","Missing Development",""))</f>
        <v/>
      </c>
      <c r="F854" s="82" t="str">
        <f>_xlfn.TEXTJOIN("; ",TRUE,IF(AND(OR(TRIM([1]DATABASE!Q815)="RESERVED",TRIM([1]DATABASE!Q815)="PRE-RESERVED",TRIM([1]DATABASE!Q815)="PSPA"),[1]DATABASE!AA815=""),"Reserved/PSPA no PSPA Date",""),IF(AND(TRIM([1]DATABASE!Q815)="AVAILABLE",[1]DATABASE!AA815&lt;&gt;""),"Available has PSPA Date",""))</f>
        <v/>
      </c>
      <c r="G854" s="82" t="str">
        <f>_xlfn.TEXTJOIN("; ",TRUE,IF(AND([1]DATABASE!T815&lt;0.8*[1]DATABASE!S815,[1]DATABASE!T815&gt;0,[1]DATABASE!S815&gt;0),"Heavy Price Cut &gt;20%",""),IF(AND(OR(TRIM([1]DATABASE!Q815)="AVAILABLE",TRIM([1]DATABASE!Q815)="UPON REQUEST"),OR([1]DATABASE!T815="",[1]DATABASE!T815=0)),"Active Unit no Price",""),IF(AND(OR(TRIM([1]DATABASE!Q815)="AVAILABLE",TRIM([1]DATABASE!Q815)="RESERVED",TRIM([1]DATABASE!Q815)="PRE-RESERVED",TRIM([1]DATABASE!Q815)="PSPA"),[1]DATABASE!AC815=""),"Active no Owner",""),IF(OR([1]DATABASE!F815="",[1]DATABASE!F815&lt;=0),"Missing/Invalid Area",""),IF(AND([1]DATABASE!T815&gt;0,ABS([1]DATABASE!T815-[1]DATABASE!W815-[1]DATABASE!U815-[1]DATABASE!V815)&gt;1),"Price Bridge Mismatch",""))</f>
        <v/>
      </c>
      <c r="H854" t="str">
        <f t="shared" si="15"/>
        <v>PASS</v>
      </c>
      <c r="I854" s="90">
        <f>[1]DATABASE!T815</f>
        <v>890000</v>
      </c>
      <c r="J854" t="str">
        <f>[1]DATABASE!AC815</f>
        <v>Ana Damásio</v>
      </c>
    </row>
    <row r="855" spans="1:10" ht="13.95" customHeight="1" x14ac:dyDescent="0.3">
      <c r="A855">
        <f>ROW([1]DATABASE!A816)</f>
        <v>816</v>
      </c>
      <c r="B855" t="str">
        <f>[1]DATABASE!AJ816</f>
        <v>Monte Rei</v>
      </c>
      <c r="C855" t="str">
        <f>[1]DATABASE!C816</f>
        <v>13</v>
      </c>
      <c r="D855" t="str">
        <f>TRIM([1]DATABASE!Q816)</f>
        <v>AVAILABLE</v>
      </c>
      <c r="E855" s="82" t="str">
        <f>_xlfn.TEXTJOIN("; ",TRUE,IF([1]DATABASE!X816&lt;0,"Negative Discount",""),IF(AND([1]DATABASE!Y816&gt;[1]DATABASE!T816,[1]DATABASE!Y816&gt;0,[1]DATABASE!T816&gt;0),"Sell Price &gt; Current",""),IF(AND(TRIM([1]DATABASE!Q816)="DEED",[1]DATABASE!AA816=""),"Deeded no PSPA Date",""),IF([1]DATABASE!E816="","Missing Typology",""),IF([1]DATABASE!AJ816="","Missing Development",""))</f>
        <v/>
      </c>
      <c r="F855" s="82" t="str">
        <f>_xlfn.TEXTJOIN("; ",TRUE,IF(AND(OR(TRIM([1]DATABASE!Q816)="RESERVED",TRIM([1]DATABASE!Q816)="PRE-RESERVED",TRIM([1]DATABASE!Q816)="PSPA"),[1]DATABASE!AA816=""),"Reserved/PSPA no PSPA Date",""),IF(AND(TRIM([1]DATABASE!Q816)="AVAILABLE",[1]DATABASE!AA816&lt;&gt;""),"Available has PSPA Date",""))</f>
        <v/>
      </c>
      <c r="G855" s="82" t="str">
        <f>_xlfn.TEXTJOIN("; ",TRUE,IF(AND([1]DATABASE!T816&lt;0.8*[1]DATABASE!S816,[1]DATABASE!T816&gt;0,[1]DATABASE!S816&gt;0),"Heavy Price Cut &gt;20%",""),IF(AND(OR(TRIM([1]DATABASE!Q816)="AVAILABLE",TRIM([1]DATABASE!Q816)="UPON REQUEST"),OR([1]DATABASE!T816="",[1]DATABASE!T816=0)),"Active Unit no Price",""),IF(AND(OR(TRIM([1]DATABASE!Q816)="AVAILABLE",TRIM([1]DATABASE!Q816)="RESERVED",TRIM([1]DATABASE!Q816)="PRE-RESERVED",TRIM([1]DATABASE!Q816)="PSPA"),[1]DATABASE!AC816=""),"Active no Owner",""),IF(OR([1]DATABASE!F816="",[1]DATABASE!F816&lt;=0),"Missing/Invalid Area",""),IF(AND([1]DATABASE!T816&gt;0,ABS([1]DATABASE!T816-[1]DATABASE!W816-[1]DATABASE!U816-[1]DATABASE!V816)&gt;1),"Price Bridge Mismatch",""))</f>
        <v/>
      </c>
      <c r="H855" t="str">
        <f t="shared" si="15"/>
        <v>PASS</v>
      </c>
      <c r="I855" s="90">
        <f>[1]DATABASE!T816</f>
        <v>810000</v>
      </c>
      <c r="J855" t="str">
        <f>[1]DATABASE!AC816</f>
        <v>Sandra Viegas</v>
      </c>
    </row>
    <row r="856" spans="1:10" ht="13.95" customHeight="1" x14ac:dyDescent="0.3">
      <c r="A856">
        <f>ROW([1]DATABASE!A817)</f>
        <v>817</v>
      </c>
      <c r="B856" t="str">
        <f>[1]DATABASE!AJ817</f>
        <v>Monte Rei</v>
      </c>
      <c r="C856" t="str">
        <f>[1]DATABASE!C817</f>
        <v>14</v>
      </c>
      <c r="D856" t="str">
        <f>TRIM([1]DATABASE!Q817)</f>
        <v>AVAILABLE</v>
      </c>
      <c r="E856" s="82" t="str">
        <f>_xlfn.TEXTJOIN("; ",TRUE,IF([1]DATABASE!X817&lt;0,"Negative Discount",""),IF(AND([1]DATABASE!Y817&gt;[1]DATABASE!T817,[1]DATABASE!Y817&gt;0,[1]DATABASE!T817&gt;0),"Sell Price &gt; Current",""),IF(AND(TRIM([1]DATABASE!Q817)="DEED",[1]DATABASE!AA817=""),"Deeded no PSPA Date",""),IF([1]DATABASE!E817="","Missing Typology",""),IF([1]DATABASE!AJ817="","Missing Development",""))</f>
        <v/>
      </c>
      <c r="F856" s="82" t="str">
        <f>_xlfn.TEXTJOIN("; ",TRUE,IF(AND(OR(TRIM([1]DATABASE!Q817)="RESERVED",TRIM([1]DATABASE!Q817)="PRE-RESERVED",TRIM([1]DATABASE!Q817)="PSPA"),[1]DATABASE!AA817=""),"Reserved/PSPA no PSPA Date",""),IF(AND(TRIM([1]DATABASE!Q817)="AVAILABLE",[1]DATABASE!AA817&lt;&gt;""),"Available has PSPA Date",""))</f>
        <v/>
      </c>
      <c r="G856" s="82" t="str">
        <f>_xlfn.TEXTJOIN("; ",TRUE,IF(AND([1]DATABASE!T817&lt;0.8*[1]DATABASE!S817,[1]DATABASE!T817&gt;0,[1]DATABASE!S817&gt;0),"Heavy Price Cut &gt;20%",""),IF(AND(OR(TRIM([1]DATABASE!Q817)="AVAILABLE",TRIM([1]DATABASE!Q817)="UPON REQUEST"),OR([1]DATABASE!T817="",[1]DATABASE!T817=0)),"Active Unit no Price",""),IF(AND(OR(TRIM([1]DATABASE!Q817)="AVAILABLE",TRIM([1]DATABASE!Q817)="RESERVED",TRIM([1]DATABASE!Q817)="PRE-RESERVED",TRIM([1]DATABASE!Q817)="PSPA"),[1]DATABASE!AC817=""),"Active no Owner",""),IF(OR([1]DATABASE!F817="",[1]DATABASE!F817&lt;=0),"Missing/Invalid Area",""),IF(AND([1]DATABASE!T817&gt;0,ABS([1]DATABASE!T817-[1]DATABASE!W817-[1]DATABASE!U817-[1]DATABASE!V817)&gt;1),"Price Bridge Mismatch",""))</f>
        <v/>
      </c>
      <c r="H856" t="str">
        <f t="shared" si="15"/>
        <v>PASS</v>
      </c>
      <c r="I856" s="90">
        <f>[1]DATABASE!T817</f>
        <v>820000</v>
      </c>
      <c r="J856" t="str">
        <f>[1]DATABASE!AC817</f>
        <v>Sandra Viegas</v>
      </c>
    </row>
    <row r="857" spans="1:10" ht="13.95" customHeight="1" x14ac:dyDescent="0.3">
      <c r="A857">
        <f>ROW([1]DATABASE!A818)</f>
        <v>818</v>
      </c>
      <c r="B857" t="str">
        <f>[1]DATABASE!AJ818</f>
        <v>Monte Rei</v>
      </c>
      <c r="C857" t="str">
        <f>[1]DATABASE!C818</f>
        <v>15</v>
      </c>
      <c r="D857" t="str">
        <f>TRIM([1]DATABASE!Q818)</f>
        <v>AVAILABLE</v>
      </c>
      <c r="E857" s="82" t="str">
        <f>_xlfn.TEXTJOIN("; ",TRUE,IF([1]DATABASE!X818&lt;0,"Negative Discount",""),IF(AND([1]DATABASE!Y818&gt;[1]DATABASE!T818,[1]DATABASE!Y818&gt;0,[1]DATABASE!T818&gt;0),"Sell Price &gt; Current",""),IF(AND(TRIM([1]DATABASE!Q818)="DEED",[1]DATABASE!AA818=""),"Deeded no PSPA Date",""),IF([1]DATABASE!E818="","Missing Typology",""),IF([1]DATABASE!AJ818="","Missing Development",""))</f>
        <v/>
      </c>
      <c r="F857" s="82" t="str">
        <f>_xlfn.TEXTJOIN("; ",TRUE,IF(AND(OR(TRIM([1]DATABASE!Q818)="RESERVED",TRIM([1]DATABASE!Q818)="PRE-RESERVED",TRIM([1]DATABASE!Q818)="PSPA"),[1]DATABASE!AA818=""),"Reserved/PSPA no PSPA Date",""),IF(AND(TRIM([1]DATABASE!Q818)="AVAILABLE",[1]DATABASE!AA818&lt;&gt;""),"Available has PSPA Date",""))</f>
        <v/>
      </c>
      <c r="G857" s="82" t="str">
        <f>_xlfn.TEXTJOIN("; ",TRUE,IF(AND([1]DATABASE!T818&lt;0.8*[1]DATABASE!S818,[1]DATABASE!T818&gt;0,[1]DATABASE!S818&gt;0),"Heavy Price Cut &gt;20%",""),IF(AND(OR(TRIM([1]DATABASE!Q818)="AVAILABLE",TRIM([1]DATABASE!Q818)="UPON REQUEST"),OR([1]DATABASE!T818="",[1]DATABASE!T818=0)),"Active Unit no Price",""),IF(AND(OR(TRIM([1]DATABASE!Q818)="AVAILABLE",TRIM([1]DATABASE!Q818)="RESERVED",TRIM([1]DATABASE!Q818)="PRE-RESERVED",TRIM([1]DATABASE!Q818)="PSPA"),[1]DATABASE!AC818=""),"Active no Owner",""),IF(OR([1]DATABASE!F818="",[1]DATABASE!F818&lt;=0),"Missing/Invalid Area",""),IF(AND([1]DATABASE!T818&gt;0,ABS([1]DATABASE!T818-[1]DATABASE!W818-[1]DATABASE!U818-[1]DATABASE!V818)&gt;1),"Price Bridge Mismatch",""))</f>
        <v/>
      </c>
      <c r="H857" t="str">
        <f t="shared" si="15"/>
        <v>PASS</v>
      </c>
      <c r="I857" s="90">
        <f>[1]DATABASE!T818</f>
        <v>810000</v>
      </c>
      <c r="J857" t="str">
        <f>[1]DATABASE!AC818</f>
        <v>Sandra Viegas</v>
      </c>
    </row>
    <row r="858" spans="1:10" ht="13.95" customHeight="1" x14ac:dyDescent="0.3">
      <c r="A858">
        <f>ROW([1]DATABASE!A819)</f>
        <v>819</v>
      </c>
      <c r="B858" t="str">
        <f>[1]DATABASE!AJ819</f>
        <v>Springs - At the Els</v>
      </c>
      <c r="C858" t="str">
        <f>[1]DATABASE!C819</f>
        <v>AV</v>
      </c>
      <c r="D858" t="str">
        <f>TRIM([1]DATABASE!Q819)</f>
        <v>AVAILABLE</v>
      </c>
      <c r="E858" s="82" t="str">
        <f>_xlfn.TEXTJOIN("; ",TRUE,IF([1]DATABASE!X819&lt;0,"Negative Discount",""),IF(AND([1]DATABASE!Y819&gt;[1]DATABASE!T819,[1]DATABASE!Y819&gt;0,[1]DATABASE!T819&gt;0),"Sell Price &gt; Current",""),IF(AND(TRIM([1]DATABASE!Q819)="DEED",[1]DATABASE!AA819=""),"Deeded no PSPA Date",""),IF([1]DATABASE!E819="","Missing Typology",""),IF([1]DATABASE!AJ819="","Missing Development",""))</f>
        <v/>
      </c>
      <c r="F858" s="82" t="str">
        <f>_xlfn.TEXTJOIN("; ",TRUE,IF(AND(OR(TRIM([1]DATABASE!Q819)="RESERVED",TRIM([1]DATABASE!Q819)="PRE-RESERVED",TRIM([1]DATABASE!Q819)="PSPA"),[1]DATABASE!AA819=""),"Reserved/PSPA no PSPA Date",""),IF(AND(TRIM([1]DATABASE!Q819)="AVAILABLE",[1]DATABASE!AA819&lt;&gt;""),"Available has PSPA Date",""))</f>
        <v/>
      </c>
      <c r="G858" s="82" t="str">
        <f>_xlfn.TEXTJOIN("; ",TRUE,IF(AND([1]DATABASE!T819&lt;0.8*[1]DATABASE!S819,[1]DATABASE!T819&gt;0,[1]DATABASE!S819&gt;0),"Heavy Price Cut &gt;20%",""),IF(AND(OR(TRIM([1]DATABASE!Q819)="AVAILABLE",TRIM([1]DATABASE!Q819)="UPON REQUEST"),OR([1]DATABASE!T819="",[1]DATABASE!T819=0)),"Active Unit no Price",""),IF(AND(OR(TRIM([1]DATABASE!Q819)="AVAILABLE",TRIM([1]DATABASE!Q819)="RESERVED",TRIM([1]DATABASE!Q819)="PRE-RESERVED",TRIM([1]DATABASE!Q819)="PSPA"),[1]DATABASE!AC819=""),"Active no Owner",""),IF(OR([1]DATABASE!F819="",[1]DATABASE!F819&lt;=0),"Missing/Invalid Area",""),IF(AND([1]DATABASE!T819&gt;0,ABS([1]DATABASE!T819-[1]DATABASE!W819-[1]DATABASE!U819-[1]DATABASE!V819)&gt;1),"Price Bridge Mismatch",""))</f>
        <v/>
      </c>
      <c r="H858" t="str">
        <f t="shared" si="15"/>
        <v>PASS</v>
      </c>
      <c r="I858" s="90">
        <f>[1]DATABASE!T819</f>
        <v>1530000</v>
      </c>
      <c r="J858" t="str">
        <f>[1]DATABASE!AC819</f>
        <v>Ana Damásio</v>
      </c>
    </row>
    <row r="859" spans="1:10" ht="13.95" customHeight="1" x14ac:dyDescent="0.3">
      <c r="A859">
        <f>ROW([1]DATABASE!A820)</f>
        <v>820</v>
      </c>
      <c r="B859" t="str">
        <f>[1]DATABASE!AJ820</f>
        <v>Zestia</v>
      </c>
      <c r="C859" t="str">
        <f>[1]DATABASE!C820</f>
        <v>AV</v>
      </c>
      <c r="D859" t="str">
        <f>TRIM([1]DATABASE!Q820)</f>
        <v>AVAILABLE</v>
      </c>
      <c r="E859" s="82" t="str">
        <f>_xlfn.TEXTJOIN("; ",TRUE,IF([1]DATABASE!X820&lt;0,"Negative Discount",""),IF(AND([1]DATABASE!Y820&gt;[1]DATABASE!T820,[1]DATABASE!Y820&gt;0,[1]DATABASE!T820&gt;0),"Sell Price &gt; Current",""),IF(AND(TRIM([1]DATABASE!Q820)="DEED",[1]DATABASE!AA820=""),"Deeded no PSPA Date",""),IF([1]DATABASE!E820="","Missing Typology",""),IF([1]DATABASE!AJ820="","Missing Development",""))</f>
        <v/>
      </c>
      <c r="F859" s="82" t="str">
        <f>_xlfn.TEXTJOIN("; ",TRUE,IF(AND(OR(TRIM([1]DATABASE!Q820)="RESERVED",TRIM([1]DATABASE!Q820)="PRE-RESERVED",TRIM([1]DATABASE!Q820)="PSPA"),[1]DATABASE!AA820=""),"Reserved/PSPA no PSPA Date",""),IF(AND(TRIM([1]DATABASE!Q820)="AVAILABLE",[1]DATABASE!AA820&lt;&gt;""),"Available has PSPA Date",""))</f>
        <v/>
      </c>
      <c r="G859" s="82" t="str">
        <f>_xlfn.TEXTJOIN("; ",TRUE,IF(AND([1]DATABASE!T820&lt;0.8*[1]DATABASE!S820,[1]DATABASE!T820&gt;0,[1]DATABASE!S820&gt;0),"Heavy Price Cut &gt;20%",""),IF(AND(OR(TRIM([1]DATABASE!Q820)="AVAILABLE",TRIM([1]DATABASE!Q820)="UPON REQUEST"),OR([1]DATABASE!T820="",[1]DATABASE!T820=0)),"Active Unit no Price",""),IF(AND(OR(TRIM([1]DATABASE!Q820)="AVAILABLE",TRIM([1]DATABASE!Q820)="RESERVED",TRIM([1]DATABASE!Q820)="PRE-RESERVED",TRIM([1]DATABASE!Q820)="PSPA"),[1]DATABASE!AC820=""),"Active no Owner",""),IF(OR([1]DATABASE!F820="",[1]DATABASE!F820&lt;=0),"Missing/Invalid Area",""),IF(AND([1]DATABASE!T820&gt;0,ABS([1]DATABASE!T820-[1]DATABASE!W820-[1]DATABASE!U820-[1]DATABASE!V820)&gt;1),"Price Bridge Mismatch",""))</f>
        <v/>
      </c>
      <c r="H859" t="str">
        <f t="shared" si="15"/>
        <v>PASS</v>
      </c>
      <c r="I859" s="90">
        <f>[1]DATABASE!T820</f>
        <v>890000</v>
      </c>
      <c r="J859" t="str">
        <f>[1]DATABASE!AC820</f>
        <v>Ana Damásio</v>
      </c>
    </row>
    <row r="860" spans="1:10" ht="13.95" customHeight="1" x14ac:dyDescent="0.3">
      <c r="A860">
        <f>ROW([1]DATABASE!A821)</f>
        <v>821</v>
      </c>
      <c r="B860" t="str">
        <f>[1]DATABASE!AJ821</f>
        <v>Vale Pisão Grand Park</v>
      </c>
      <c r="C860" t="str">
        <f>[1]DATABASE!C821</f>
        <v>4B</v>
      </c>
      <c r="D860" t="str">
        <f>TRIM([1]DATABASE!Q821)</f>
        <v>UPON REQUEST</v>
      </c>
      <c r="E860" s="82" t="str">
        <f>_xlfn.TEXTJOIN("; ",TRUE,IF([1]DATABASE!X821&lt;0,"Negative Discount",""),IF(AND([1]DATABASE!Y821&gt;[1]DATABASE!T821,[1]DATABASE!Y821&gt;0,[1]DATABASE!T821&gt;0),"Sell Price &gt; Current",""),IF(AND(TRIM([1]DATABASE!Q821)="DEED",[1]DATABASE!AA821=""),"Deeded no PSPA Date",""),IF([1]DATABASE!E821="","Missing Typology",""),IF([1]DATABASE!AJ821="","Missing Development",""))</f>
        <v/>
      </c>
      <c r="F860" s="82" t="str">
        <f>_xlfn.TEXTJOIN("; ",TRUE,IF(AND(OR(TRIM([1]DATABASE!Q821)="RESERVED",TRIM([1]DATABASE!Q821)="PRE-RESERVED",TRIM([1]DATABASE!Q821)="PSPA"),[1]DATABASE!AA821=""),"Reserved/PSPA no PSPA Date",""),IF(AND(TRIM([1]DATABASE!Q821)="AVAILABLE",[1]DATABASE!AA821&lt;&gt;""),"Available has PSPA Date",""))</f>
        <v/>
      </c>
      <c r="G860" s="82" t="str">
        <f>_xlfn.TEXTJOIN("; ",TRUE,IF(AND([1]DATABASE!T821&lt;0.8*[1]DATABASE!S821,[1]DATABASE!T821&gt;0,[1]DATABASE!S821&gt;0),"Heavy Price Cut &gt;20%",""),IF(AND(OR(TRIM([1]DATABASE!Q821)="AVAILABLE",TRIM([1]DATABASE!Q821)="UPON REQUEST"),OR([1]DATABASE!T821="",[1]DATABASE!T821=0)),"Active Unit no Price",""),IF(AND(OR(TRIM([1]DATABASE!Q821)="AVAILABLE",TRIM([1]DATABASE!Q821)="RESERVED",TRIM([1]DATABASE!Q821)="PRE-RESERVED",TRIM([1]DATABASE!Q821)="PSPA"),[1]DATABASE!AC821=""),"Active no Owner",""),IF(OR([1]DATABASE!F821="",[1]DATABASE!F821&lt;=0),"Missing/Invalid Area",""),IF(AND([1]DATABASE!T821&gt;0,ABS([1]DATABASE!T821-[1]DATABASE!W821-[1]DATABASE!U821-[1]DATABASE!V821)&gt;1),"Price Bridge Mismatch",""))</f>
        <v/>
      </c>
      <c r="H860" t="str">
        <f t="shared" si="15"/>
        <v>PASS</v>
      </c>
      <c r="I860" s="90">
        <f>[1]DATABASE!T821</f>
        <v>970000</v>
      </c>
      <c r="J860" t="str">
        <f>[1]DATABASE!AC821</f>
        <v>João Gameiro</v>
      </c>
    </row>
    <row r="861" spans="1:10" ht="13.95" customHeight="1" x14ac:dyDescent="0.3">
      <c r="A861">
        <f>ROW([1]DATABASE!A822)</f>
        <v>822</v>
      </c>
      <c r="B861" t="str">
        <f>[1]DATABASE!AJ822</f>
        <v>Vale Pisão Grand Park</v>
      </c>
      <c r="C861" t="str">
        <f>[1]DATABASE!C822</f>
        <v>5B</v>
      </c>
      <c r="D861" t="str">
        <f>TRIM([1]DATABASE!Q822)</f>
        <v>UPON REQUEST</v>
      </c>
      <c r="E861" s="82" t="str">
        <f>_xlfn.TEXTJOIN("; ",TRUE,IF([1]DATABASE!X822&lt;0,"Negative Discount",""),IF(AND([1]DATABASE!Y822&gt;[1]DATABASE!T822,[1]DATABASE!Y822&gt;0,[1]DATABASE!T822&gt;0),"Sell Price &gt; Current",""),IF(AND(TRIM([1]DATABASE!Q822)="DEED",[1]DATABASE!AA822=""),"Deeded no PSPA Date",""),IF([1]DATABASE!E822="","Missing Typology",""),IF([1]DATABASE!AJ822="","Missing Development",""))</f>
        <v/>
      </c>
      <c r="F861" s="82" t="str">
        <f>_xlfn.TEXTJOIN("; ",TRUE,IF(AND(OR(TRIM([1]DATABASE!Q822)="RESERVED",TRIM([1]DATABASE!Q822)="PRE-RESERVED",TRIM([1]DATABASE!Q822)="PSPA"),[1]DATABASE!AA822=""),"Reserved/PSPA no PSPA Date",""),IF(AND(TRIM([1]DATABASE!Q822)="AVAILABLE",[1]DATABASE!AA822&lt;&gt;""),"Available has PSPA Date",""))</f>
        <v/>
      </c>
      <c r="G861" s="82" t="str">
        <f>_xlfn.TEXTJOIN("; ",TRUE,IF(AND([1]DATABASE!T822&lt;0.8*[1]DATABASE!S822,[1]DATABASE!T822&gt;0,[1]DATABASE!S822&gt;0),"Heavy Price Cut &gt;20%",""),IF(AND(OR(TRIM([1]DATABASE!Q822)="AVAILABLE",TRIM([1]DATABASE!Q822)="UPON REQUEST"),OR([1]DATABASE!T822="",[1]DATABASE!T822=0)),"Active Unit no Price",""),IF(AND(OR(TRIM([1]DATABASE!Q822)="AVAILABLE",TRIM([1]DATABASE!Q822)="RESERVED",TRIM([1]DATABASE!Q822)="PRE-RESERVED",TRIM([1]DATABASE!Q822)="PSPA"),[1]DATABASE!AC822=""),"Active no Owner",""),IF(OR([1]DATABASE!F822="",[1]DATABASE!F822&lt;=0),"Missing/Invalid Area",""),IF(AND([1]DATABASE!T822&gt;0,ABS([1]DATABASE!T822-[1]DATABASE!W822-[1]DATABASE!U822-[1]DATABASE!V822)&gt;1),"Price Bridge Mismatch",""))</f>
        <v/>
      </c>
      <c r="H861" t="str">
        <f t="shared" si="15"/>
        <v>PASS</v>
      </c>
      <c r="I861" s="90">
        <f>[1]DATABASE!T822</f>
        <v>970000</v>
      </c>
      <c r="J861" t="str">
        <f>[1]DATABASE!AC822</f>
        <v>João Gameiro</v>
      </c>
    </row>
    <row r="862" spans="1:10" ht="13.95" customHeight="1" x14ac:dyDescent="0.3">
      <c r="A862">
        <f>ROW([1]DATABASE!A823)</f>
        <v>823</v>
      </c>
      <c r="B862" t="str">
        <f>[1]DATABASE!AJ823</f>
        <v>Springs - At the Els</v>
      </c>
      <c r="C862" t="str">
        <f>[1]DATABASE!C823</f>
        <v>AW</v>
      </c>
      <c r="D862" t="str">
        <f>TRIM([1]DATABASE!Q823)</f>
        <v>AVAILABLE</v>
      </c>
      <c r="E862" s="82" t="str">
        <f>_xlfn.TEXTJOIN("; ",TRUE,IF([1]DATABASE!X823&lt;0,"Negative Discount",""),IF(AND([1]DATABASE!Y823&gt;[1]DATABASE!T823,[1]DATABASE!Y823&gt;0,[1]DATABASE!T823&gt;0),"Sell Price &gt; Current",""),IF(AND(TRIM([1]DATABASE!Q823)="DEED",[1]DATABASE!AA823=""),"Deeded no PSPA Date",""),IF([1]DATABASE!E823="","Missing Typology",""),IF([1]DATABASE!AJ823="","Missing Development",""))</f>
        <v/>
      </c>
      <c r="F862" s="82" t="str">
        <f>_xlfn.TEXTJOIN("; ",TRUE,IF(AND(OR(TRIM([1]DATABASE!Q823)="RESERVED",TRIM([1]DATABASE!Q823)="PRE-RESERVED",TRIM([1]DATABASE!Q823)="PSPA"),[1]DATABASE!AA823=""),"Reserved/PSPA no PSPA Date",""),IF(AND(TRIM([1]DATABASE!Q823)="AVAILABLE",[1]DATABASE!AA823&lt;&gt;""),"Available has PSPA Date",""))</f>
        <v/>
      </c>
      <c r="G862" s="82" t="str">
        <f>_xlfn.TEXTJOIN("; ",TRUE,IF(AND([1]DATABASE!T823&lt;0.8*[1]DATABASE!S823,[1]DATABASE!T823&gt;0,[1]DATABASE!S823&gt;0),"Heavy Price Cut &gt;20%",""),IF(AND(OR(TRIM([1]DATABASE!Q823)="AVAILABLE",TRIM([1]DATABASE!Q823)="UPON REQUEST"),OR([1]DATABASE!T823="",[1]DATABASE!T823=0)),"Active Unit no Price",""),IF(AND(OR(TRIM([1]DATABASE!Q823)="AVAILABLE",TRIM([1]DATABASE!Q823)="RESERVED",TRIM([1]DATABASE!Q823)="PRE-RESERVED",TRIM([1]DATABASE!Q823)="PSPA"),[1]DATABASE!AC823=""),"Active no Owner",""),IF(OR([1]DATABASE!F823="",[1]DATABASE!F823&lt;=0),"Missing/Invalid Area",""),IF(AND([1]DATABASE!T823&gt;0,ABS([1]DATABASE!T823-[1]DATABASE!W823-[1]DATABASE!U823-[1]DATABASE!V823)&gt;1),"Price Bridge Mismatch",""))</f>
        <v/>
      </c>
      <c r="H862" t="str">
        <f t="shared" si="15"/>
        <v>PASS</v>
      </c>
      <c r="I862" s="90">
        <f>[1]DATABASE!T823</f>
        <v>1370000</v>
      </c>
      <c r="J862" t="str">
        <f>[1]DATABASE!AC823</f>
        <v>Ana Damásio</v>
      </c>
    </row>
    <row r="863" spans="1:10" ht="13.95" customHeight="1" x14ac:dyDescent="0.3">
      <c r="A863">
        <f>ROW([1]DATABASE!A824)</f>
        <v>824</v>
      </c>
      <c r="B863" t="str">
        <f>[1]DATABASE!AJ824</f>
        <v>Zestia</v>
      </c>
      <c r="C863" t="str">
        <f>[1]DATABASE!C824</f>
        <v>AW</v>
      </c>
      <c r="D863" t="str">
        <f>TRIM([1]DATABASE!Q824)</f>
        <v>AVAILABLE</v>
      </c>
      <c r="E863" s="82" t="str">
        <f>_xlfn.TEXTJOIN("; ",TRUE,IF([1]DATABASE!X824&lt;0,"Negative Discount",""),IF(AND([1]DATABASE!Y824&gt;[1]DATABASE!T824,[1]DATABASE!Y824&gt;0,[1]DATABASE!T824&gt;0),"Sell Price &gt; Current",""),IF(AND(TRIM([1]DATABASE!Q824)="DEED",[1]DATABASE!AA824=""),"Deeded no PSPA Date",""),IF([1]DATABASE!E824="","Missing Typology",""),IF([1]DATABASE!AJ824="","Missing Development",""))</f>
        <v/>
      </c>
      <c r="F863" s="82" t="str">
        <f>_xlfn.TEXTJOIN("; ",TRUE,IF(AND(OR(TRIM([1]DATABASE!Q824)="RESERVED",TRIM([1]DATABASE!Q824)="PRE-RESERVED",TRIM([1]DATABASE!Q824)="PSPA"),[1]DATABASE!AA824=""),"Reserved/PSPA no PSPA Date",""),IF(AND(TRIM([1]DATABASE!Q824)="AVAILABLE",[1]DATABASE!AA824&lt;&gt;""),"Available has PSPA Date",""))</f>
        <v/>
      </c>
      <c r="G863" s="82" t="str">
        <f>_xlfn.TEXTJOIN("; ",TRUE,IF(AND([1]DATABASE!T824&lt;0.8*[1]DATABASE!S824,[1]DATABASE!T824&gt;0,[1]DATABASE!S824&gt;0),"Heavy Price Cut &gt;20%",""),IF(AND(OR(TRIM([1]DATABASE!Q824)="AVAILABLE",TRIM([1]DATABASE!Q824)="UPON REQUEST"),OR([1]DATABASE!T824="",[1]DATABASE!T824=0)),"Active Unit no Price",""),IF(AND(OR(TRIM([1]DATABASE!Q824)="AVAILABLE",TRIM([1]DATABASE!Q824)="RESERVED",TRIM([1]DATABASE!Q824)="PRE-RESERVED",TRIM([1]DATABASE!Q824)="PSPA"),[1]DATABASE!AC824=""),"Active no Owner",""),IF(OR([1]DATABASE!F824="",[1]DATABASE!F824&lt;=0),"Missing/Invalid Area",""),IF(AND([1]DATABASE!T824&gt;0,ABS([1]DATABASE!T824-[1]DATABASE!W824-[1]DATABASE!U824-[1]DATABASE!V824)&gt;1),"Price Bridge Mismatch",""))</f>
        <v/>
      </c>
      <c r="H863" t="str">
        <f t="shared" si="15"/>
        <v>PASS</v>
      </c>
      <c r="I863" s="90">
        <f>[1]DATABASE!T824</f>
        <v>890000</v>
      </c>
      <c r="J863" t="str">
        <f>[1]DATABASE!AC824</f>
        <v>Ana Damásio</v>
      </c>
    </row>
    <row r="864" spans="1:10" ht="13.95" customHeight="1" x14ac:dyDescent="0.3">
      <c r="A864">
        <f>ROW([1]DATABASE!A825)</f>
        <v>825</v>
      </c>
      <c r="B864" t="str">
        <f>[1]DATABASE!AJ825</f>
        <v>Springs - At the Els</v>
      </c>
      <c r="C864" t="str">
        <f>[1]DATABASE!C825</f>
        <v>AX</v>
      </c>
      <c r="D864" t="str">
        <f>TRIM([1]DATABASE!Q825)</f>
        <v>AVAILABLE</v>
      </c>
      <c r="E864" s="82" t="str">
        <f>_xlfn.TEXTJOIN("; ",TRUE,IF([1]DATABASE!X825&lt;0,"Negative Discount",""),IF(AND([1]DATABASE!Y825&gt;[1]DATABASE!T825,[1]DATABASE!Y825&gt;0,[1]DATABASE!T825&gt;0),"Sell Price &gt; Current",""),IF(AND(TRIM([1]DATABASE!Q825)="DEED",[1]DATABASE!AA825=""),"Deeded no PSPA Date",""),IF([1]DATABASE!E825="","Missing Typology",""),IF([1]DATABASE!AJ825="","Missing Development",""))</f>
        <v/>
      </c>
      <c r="F864" s="82" t="str">
        <f>_xlfn.TEXTJOIN("; ",TRUE,IF(AND(OR(TRIM([1]DATABASE!Q825)="RESERVED",TRIM([1]DATABASE!Q825)="PRE-RESERVED",TRIM([1]DATABASE!Q825)="PSPA"),[1]DATABASE!AA825=""),"Reserved/PSPA no PSPA Date",""),IF(AND(TRIM([1]DATABASE!Q825)="AVAILABLE",[1]DATABASE!AA825&lt;&gt;""),"Available has PSPA Date",""))</f>
        <v/>
      </c>
      <c r="G864" s="82" t="str">
        <f>_xlfn.TEXTJOIN("; ",TRUE,IF(AND([1]DATABASE!T825&lt;0.8*[1]DATABASE!S825,[1]DATABASE!T825&gt;0,[1]DATABASE!S825&gt;0),"Heavy Price Cut &gt;20%",""),IF(AND(OR(TRIM([1]DATABASE!Q825)="AVAILABLE",TRIM([1]DATABASE!Q825)="UPON REQUEST"),OR([1]DATABASE!T825="",[1]DATABASE!T825=0)),"Active Unit no Price",""),IF(AND(OR(TRIM([1]DATABASE!Q825)="AVAILABLE",TRIM([1]DATABASE!Q825)="RESERVED",TRIM([1]DATABASE!Q825)="PRE-RESERVED",TRIM([1]DATABASE!Q825)="PSPA"),[1]DATABASE!AC825=""),"Active no Owner",""),IF(OR([1]DATABASE!F825="",[1]DATABASE!F825&lt;=0),"Missing/Invalid Area",""),IF(AND([1]DATABASE!T825&gt;0,ABS([1]DATABASE!T825-[1]DATABASE!W825-[1]DATABASE!U825-[1]DATABASE!V825)&gt;1),"Price Bridge Mismatch",""))</f>
        <v/>
      </c>
      <c r="H864" t="str">
        <f t="shared" si="15"/>
        <v>PASS</v>
      </c>
      <c r="I864" s="90">
        <f>[1]DATABASE!T825</f>
        <v>1470000</v>
      </c>
      <c r="J864" t="str">
        <f>[1]DATABASE!AC825</f>
        <v>Ana Damásio</v>
      </c>
    </row>
    <row r="865" spans="1:10" ht="13.95" customHeight="1" x14ac:dyDescent="0.3">
      <c r="A865">
        <f>ROW([1]DATABASE!A826)</f>
        <v>826</v>
      </c>
      <c r="B865" t="str">
        <f>[1]DATABASE!AJ826</f>
        <v>Zestia</v>
      </c>
      <c r="C865" t="str">
        <f>[1]DATABASE!C826</f>
        <v>AX</v>
      </c>
      <c r="D865" t="str">
        <f>TRIM([1]DATABASE!Q826)</f>
        <v>AVAILABLE</v>
      </c>
      <c r="E865" s="82" t="str">
        <f>_xlfn.TEXTJOIN("; ",TRUE,IF([1]DATABASE!X826&lt;0,"Negative Discount",""),IF(AND([1]DATABASE!Y826&gt;[1]DATABASE!T826,[1]DATABASE!Y826&gt;0,[1]DATABASE!T826&gt;0),"Sell Price &gt; Current",""),IF(AND(TRIM([1]DATABASE!Q826)="DEED",[1]DATABASE!AA826=""),"Deeded no PSPA Date",""),IF([1]DATABASE!E826="","Missing Typology",""),IF([1]DATABASE!AJ826="","Missing Development",""))</f>
        <v/>
      </c>
      <c r="F865" s="82" t="str">
        <f>_xlfn.TEXTJOIN("; ",TRUE,IF(AND(OR(TRIM([1]DATABASE!Q826)="RESERVED",TRIM([1]DATABASE!Q826)="PRE-RESERVED",TRIM([1]DATABASE!Q826)="PSPA"),[1]DATABASE!AA826=""),"Reserved/PSPA no PSPA Date",""),IF(AND(TRIM([1]DATABASE!Q826)="AVAILABLE",[1]DATABASE!AA826&lt;&gt;""),"Available has PSPA Date",""))</f>
        <v/>
      </c>
      <c r="G865" s="82" t="str">
        <f>_xlfn.TEXTJOIN("; ",TRUE,IF(AND([1]DATABASE!T826&lt;0.8*[1]DATABASE!S826,[1]DATABASE!T826&gt;0,[1]DATABASE!S826&gt;0),"Heavy Price Cut &gt;20%",""),IF(AND(OR(TRIM([1]DATABASE!Q826)="AVAILABLE",TRIM([1]DATABASE!Q826)="UPON REQUEST"),OR([1]DATABASE!T826="",[1]DATABASE!T826=0)),"Active Unit no Price",""),IF(AND(OR(TRIM([1]DATABASE!Q826)="AVAILABLE",TRIM([1]DATABASE!Q826)="RESERVED",TRIM([1]DATABASE!Q826)="PRE-RESERVED",TRIM([1]DATABASE!Q826)="PSPA"),[1]DATABASE!AC826=""),"Active no Owner",""),IF(OR([1]DATABASE!F826="",[1]DATABASE!F826&lt;=0),"Missing/Invalid Area",""),IF(AND([1]DATABASE!T826&gt;0,ABS([1]DATABASE!T826-[1]DATABASE!W826-[1]DATABASE!U826-[1]DATABASE!V826)&gt;1),"Price Bridge Mismatch",""))</f>
        <v/>
      </c>
      <c r="H865" t="str">
        <f t="shared" si="15"/>
        <v>PASS</v>
      </c>
      <c r="I865" s="90">
        <f>[1]DATABASE!T826</f>
        <v>1200000</v>
      </c>
      <c r="J865" t="str">
        <f>[1]DATABASE!AC826</f>
        <v>Ana Damásio</v>
      </c>
    </row>
    <row r="866" spans="1:10" ht="13.95" customHeight="1" x14ac:dyDescent="0.3">
      <c r="A866">
        <f>ROW([1]DATABASE!A827)</f>
        <v>827</v>
      </c>
      <c r="B866" t="str">
        <f>[1]DATABASE!AJ827</f>
        <v>Botanica</v>
      </c>
      <c r="C866" t="str">
        <f>[1]DATABASE!C827</f>
        <v>AY</v>
      </c>
      <c r="D866" t="str">
        <f>TRIM([1]DATABASE!Q827)</f>
        <v>AVAILABLE</v>
      </c>
      <c r="E866" s="82" t="str">
        <f>_xlfn.TEXTJOIN("; ",TRUE,IF([1]DATABASE!X827&lt;0,"Negative Discount",""),IF(AND([1]DATABASE!Y827&gt;[1]DATABASE!T827,[1]DATABASE!Y827&gt;0,[1]DATABASE!T827&gt;0),"Sell Price &gt; Current",""),IF(AND(TRIM([1]DATABASE!Q827)="DEED",[1]DATABASE!AA827=""),"Deeded no PSPA Date",""),IF([1]DATABASE!E827="","Missing Typology",""),IF([1]DATABASE!AJ827="","Missing Development",""))</f>
        <v/>
      </c>
      <c r="F866" s="82" t="str">
        <f>_xlfn.TEXTJOIN("; ",TRUE,IF(AND(OR(TRIM([1]DATABASE!Q827)="RESERVED",TRIM([1]DATABASE!Q827)="PRE-RESERVED",TRIM([1]DATABASE!Q827)="PSPA"),[1]DATABASE!AA827=""),"Reserved/PSPA no PSPA Date",""),IF(AND(TRIM([1]DATABASE!Q827)="AVAILABLE",[1]DATABASE!AA827&lt;&gt;""),"Available has PSPA Date",""))</f>
        <v/>
      </c>
      <c r="G866" s="82" t="str">
        <f>_xlfn.TEXTJOIN("; ",TRUE,IF(AND([1]DATABASE!T827&lt;0.8*[1]DATABASE!S827,[1]DATABASE!T827&gt;0,[1]DATABASE!S827&gt;0),"Heavy Price Cut &gt;20%",""),IF(AND(OR(TRIM([1]DATABASE!Q827)="AVAILABLE",TRIM([1]DATABASE!Q827)="UPON REQUEST"),OR([1]DATABASE!T827="",[1]DATABASE!T827=0)),"Active Unit no Price",""),IF(AND(OR(TRIM([1]DATABASE!Q827)="AVAILABLE",TRIM([1]DATABASE!Q827)="RESERVED",TRIM([1]DATABASE!Q827)="PRE-RESERVED",TRIM([1]DATABASE!Q827)="PSPA"),[1]DATABASE!AC827=""),"Active no Owner",""),IF(OR([1]DATABASE!F827="",[1]DATABASE!F827&lt;=0),"Missing/Invalid Area",""),IF(AND([1]DATABASE!T827&gt;0,ABS([1]DATABASE!T827-[1]DATABASE!W827-[1]DATABASE!U827-[1]DATABASE!V827)&gt;1),"Price Bridge Mismatch",""))</f>
        <v/>
      </c>
      <c r="H866" t="str">
        <f t="shared" si="15"/>
        <v>PASS</v>
      </c>
      <c r="I866" s="90">
        <f>[1]DATABASE!T827</f>
        <v>1725000</v>
      </c>
      <c r="J866" t="str">
        <f>[1]DATABASE!AC827</f>
        <v>Ana Damásio</v>
      </c>
    </row>
    <row r="867" spans="1:10" ht="13.95" customHeight="1" x14ac:dyDescent="0.3">
      <c r="A867">
        <f>ROW([1]DATABASE!A828)</f>
        <v>828</v>
      </c>
      <c r="B867" t="str">
        <f>[1]DATABASE!AJ828</f>
        <v>Vale Pisão Grand Park</v>
      </c>
      <c r="C867" t="str">
        <f>[1]DATABASE!C828</f>
        <v>3B</v>
      </c>
      <c r="D867" t="str">
        <f>TRIM([1]DATABASE!Q828)</f>
        <v>UPON REQUEST</v>
      </c>
      <c r="E867" s="82" t="str">
        <f>_xlfn.TEXTJOIN("; ",TRUE,IF([1]DATABASE!X828&lt;0,"Negative Discount",""),IF(AND([1]DATABASE!Y828&gt;[1]DATABASE!T828,[1]DATABASE!Y828&gt;0,[1]DATABASE!T828&gt;0),"Sell Price &gt; Current",""),IF(AND(TRIM([1]DATABASE!Q828)="DEED",[1]DATABASE!AA828=""),"Deeded no PSPA Date",""),IF([1]DATABASE!E828="","Missing Typology",""),IF([1]DATABASE!AJ828="","Missing Development",""))</f>
        <v/>
      </c>
      <c r="F867" s="82" t="str">
        <f>_xlfn.TEXTJOIN("; ",TRUE,IF(AND(OR(TRIM([1]DATABASE!Q828)="RESERVED",TRIM([1]DATABASE!Q828)="PRE-RESERVED",TRIM([1]DATABASE!Q828)="PSPA"),[1]DATABASE!AA828=""),"Reserved/PSPA no PSPA Date",""),IF(AND(TRIM([1]DATABASE!Q828)="AVAILABLE",[1]DATABASE!AA828&lt;&gt;""),"Available has PSPA Date",""))</f>
        <v/>
      </c>
      <c r="G867" s="82" t="str">
        <f>_xlfn.TEXTJOIN("; ",TRUE,IF(AND([1]DATABASE!T828&lt;0.8*[1]DATABASE!S828,[1]DATABASE!T828&gt;0,[1]DATABASE!S828&gt;0),"Heavy Price Cut &gt;20%",""),IF(AND(OR(TRIM([1]DATABASE!Q828)="AVAILABLE",TRIM([1]DATABASE!Q828)="UPON REQUEST"),OR([1]DATABASE!T828="",[1]DATABASE!T828=0)),"Active Unit no Price",""),IF(AND(OR(TRIM([1]DATABASE!Q828)="AVAILABLE",TRIM([1]DATABASE!Q828)="RESERVED",TRIM([1]DATABASE!Q828)="PRE-RESERVED",TRIM([1]DATABASE!Q828)="PSPA"),[1]DATABASE!AC828=""),"Active no Owner",""),IF(OR([1]DATABASE!F828="",[1]DATABASE!F828&lt;=0),"Missing/Invalid Area",""),IF(AND([1]DATABASE!T828&gt;0,ABS([1]DATABASE!T828-[1]DATABASE!W828-[1]DATABASE!U828-[1]DATABASE!V828)&gt;1),"Price Bridge Mismatch",""))</f>
        <v/>
      </c>
      <c r="H867" t="str">
        <f t="shared" si="15"/>
        <v>PASS</v>
      </c>
      <c r="I867" s="90">
        <f>[1]DATABASE!T828</f>
        <v>980000</v>
      </c>
      <c r="J867" t="str">
        <f>[1]DATABASE!AC828</f>
        <v>João Gameiro</v>
      </c>
    </row>
    <row r="868" spans="1:10" ht="13.95" customHeight="1" x14ac:dyDescent="0.3">
      <c r="A868">
        <f>ROW([1]DATABASE!A829)</f>
        <v>829</v>
      </c>
      <c r="B868" t="str">
        <f>[1]DATABASE!AJ829</f>
        <v>Springs - At the Els</v>
      </c>
      <c r="C868" t="str">
        <f>[1]DATABASE!C829</f>
        <v>AY</v>
      </c>
      <c r="D868" t="str">
        <f>TRIM([1]DATABASE!Q829)</f>
        <v>AVAILABLE</v>
      </c>
      <c r="E868" s="82" t="str">
        <f>_xlfn.TEXTJOIN("; ",TRUE,IF([1]DATABASE!X829&lt;0,"Negative Discount",""),IF(AND([1]DATABASE!Y829&gt;[1]DATABASE!T829,[1]DATABASE!Y829&gt;0,[1]DATABASE!T829&gt;0),"Sell Price &gt; Current",""),IF(AND(TRIM([1]DATABASE!Q829)="DEED",[1]DATABASE!AA829=""),"Deeded no PSPA Date",""),IF([1]DATABASE!E829="","Missing Typology",""),IF([1]DATABASE!AJ829="","Missing Development",""))</f>
        <v/>
      </c>
      <c r="F868" s="82" t="str">
        <f>_xlfn.TEXTJOIN("; ",TRUE,IF(AND(OR(TRIM([1]DATABASE!Q829)="RESERVED",TRIM([1]DATABASE!Q829)="PRE-RESERVED",TRIM([1]DATABASE!Q829)="PSPA"),[1]DATABASE!AA829=""),"Reserved/PSPA no PSPA Date",""),IF(AND(TRIM([1]DATABASE!Q829)="AVAILABLE",[1]DATABASE!AA829&lt;&gt;""),"Available has PSPA Date",""))</f>
        <v/>
      </c>
      <c r="G868" s="82" t="str">
        <f>_xlfn.TEXTJOIN("; ",TRUE,IF(AND([1]DATABASE!T829&lt;0.8*[1]DATABASE!S829,[1]DATABASE!T829&gt;0,[1]DATABASE!S829&gt;0),"Heavy Price Cut &gt;20%",""),IF(AND(OR(TRIM([1]DATABASE!Q829)="AVAILABLE",TRIM([1]DATABASE!Q829)="UPON REQUEST"),OR([1]DATABASE!T829="",[1]DATABASE!T829=0)),"Active Unit no Price",""),IF(AND(OR(TRIM([1]DATABASE!Q829)="AVAILABLE",TRIM([1]DATABASE!Q829)="RESERVED",TRIM([1]DATABASE!Q829)="PRE-RESERVED",TRIM([1]DATABASE!Q829)="PSPA"),[1]DATABASE!AC829=""),"Active no Owner",""),IF(OR([1]DATABASE!F829="",[1]DATABASE!F829&lt;=0),"Missing/Invalid Area",""),IF(AND([1]DATABASE!T829&gt;0,ABS([1]DATABASE!T829-[1]DATABASE!W829-[1]DATABASE!U829-[1]DATABASE!V829)&gt;1),"Price Bridge Mismatch",""))</f>
        <v/>
      </c>
      <c r="H868" t="str">
        <f t="shared" si="15"/>
        <v>PASS</v>
      </c>
      <c r="I868" s="90">
        <f>[1]DATABASE!T829</f>
        <v>1660000</v>
      </c>
      <c r="J868" t="str">
        <f>[1]DATABASE!AC829</f>
        <v>Ana Damásio</v>
      </c>
    </row>
    <row r="869" spans="1:10" ht="13.95" customHeight="1" x14ac:dyDescent="0.3">
      <c r="A869">
        <f>ROW([1]DATABASE!A830)</f>
        <v>830</v>
      </c>
      <c r="B869" t="str">
        <f>[1]DATABASE!AJ830</f>
        <v>Zestia</v>
      </c>
      <c r="C869" t="str">
        <f>[1]DATABASE!C830</f>
        <v>AY</v>
      </c>
      <c r="D869" t="str">
        <f>TRIM([1]DATABASE!Q830)</f>
        <v>AVAILABLE</v>
      </c>
      <c r="E869" s="82" t="str">
        <f>_xlfn.TEXTJOIN("; ",TRUE,IF([1]DATABASE!X830&lt;0,"Negative Discount",""),IF(AND([1]DATABASE!Y830&gt;[1]DATABASE!T830,[1]DATABASE!Y830&gt;0,[1]DATABASE!T830&gt;0),"Sell Price &gt; Current",""),IF(AND(TRIM([1]DATABASE!Q830)="DEED",[1]DATABASE!AA830=""),"Deeded no PSPA Date",""),IF([1]DATABASE!E830="","Missing Typology",""),IF([1]DATABASE!AJ830="","Missing Development",""))</f>
        <v/>
      </c>
      <c r="F869" s="82" t="str">
        <f>_xlfn.TEXTJOIN("; ",TRUE,IF(AND(OR(TRIM([1]DATABASE!Q830)="RESERVED",TRIM([1]DATABASE!Q830)="PRE-RESERVED",TRIM([1]DATABASE!Q830)="PSPA"),[1]DATABASE!AA830=""),"Reserved/PSPA no PSPA Date",""),IF(AND(TRIM([1]DATABASE!Q830)="AVAILABLE",[1]DATABASE!AA830&lt;&gt;""),"Available has PSPA Date",""))</f>
        <v/>
      </c>
      <c r="G869" s="82" t="str">
        <f>_xlfn.TEXTJOIN("; ",TRUE,IF(AND([1]DATABASE!T830&lt;0.8*[1]DATABASE!S830,[1]DATABASE!T830&gt;0,[1]DATABASE!S830&gt;0),"Heavy Price Cut &gt;20%",""),IF(AND(OR(TRIM([1]DATABASE!Q830)="AVAILABLE",TRIM([1]DATABASE!Q830)="UPON REQUEST"),OR([1]DATABASE!T830="",[1]DATABASE!T830=0)),"Active Unit no Price",""),IF(AND(OR(TRIM([1]DATABASE!Q830)="AVAILABLE",TRIM([1]DATABASE!Q830)="RESERVED",TRIM([1]DATABASE!Q830)="PRE-RESERVED",TRIM([1]DATABASE!Q830)="PSPA"),[1]DATABASE!AC830=""),"Active no Owner",""),IF(OR([1]DATABASE!F830="",[1]DATABASE!F830&lt;=0),"Missing/Invalid Area",""),IF(AND([1]DATABASE!T830&gt;0,ABS([1]DATABASE!T830-[1]DATABASE!W830-[1]DATABASE!U830-[1]DATABASE!V830)&gt;1),"Price Bridge Mismatch",""))</f>
        <v/>
      </c>
      <c r="H869" t="str">
        <f t="shared" si="15"/>
        <v>PASS</v>
      </c>
      <c r="I869" s="90">
        <f>[1]DATABASE!T830</f>
        <v>690000</v>
      </c>
      <c r="J869" t="str">
        <f>[1]DATABASE!AC830</f>
        <v>Ana Damásio</v>
      </c>
    </row>
    <row r="870" spans="1:10" ht="13.95" customHeight="1" x14ac:dyDescent="0.3">
      <c r="A870">
        <f>ROW([1]DATABASE!A831)</f>
        <v>831</v>
      </c>
      <c r="B870" t="str">
        <f>[1]DATABASE!AJ831</f>
        <v>Springs - At the Els</v>
      </c>
      <c r="C870" t="str">
        <f>[1]DATABASE!C831</f>
        <v>AZ</v>
      </c>
      <c r="D870" t="str">
        <f>TRIM([1]DATABASE!Q831)</f>
        <v>AVAILABLE</v>
      </c>
      <c r="E870" s="82" t="str">
        <f>_xlfn.TEXTJOIN("; ",TRUE,IF([1]DATABASE!X831&lt;0,"Negative Discount",""),IF(AND([1]DATABASE!Y831&gt;[1]DATABASE!T831,[1]DATABASE!Y831&gt;0,[1]DATABASE!T831&gt;0),"Sell Price &gt; Current",""),IF(AND(TRIM([1]DATABASE!Q831)="DEED",[1]DATABASE!AA831=""),"Deeded no PSPA Date",""),IF([1]DATABASE!E831="","Missing Typology",""),IF([1]DATABASE!AJ831="","Missing Development",""))</f>
        <v/>
      </c>
      <c r="F870" s="82" t="str">
        <f>_xlfn.TEXTJOIN("; ",TRUE,IF(AND(OR(TRIM([1]DATABASE!Q831)="RESERVED",TRIM([1]DATABASE!Q831)="PRE-RESERVED",TRIM([1]DATABASE!Q831)="PSPA"),[1]DATABASE!AA831=""),"Reserved/PSPA no PSPA Date",""),IF(AND(TRIM([1]DATABASE!Q831)="AVAILABLE",[1]DATABASE!AA831&lt;&gt;""),"Available has PSPA Date",""))</f>
        <v/>
      </c>
      <c r="G870" s="82" t="str">
        <f>_xlfn.TEXTJOIN("; ",TRUE,IF(AND([1]DATABASE!T831&lt;0.8*[1]DATABASE!S831,[1]DATABASE!T831&gt;0,[1]DATABASE!S831&gt;0),"Heavy Price Cut &gt;20%",""),IF(AND(OR(TRIM([1]DATABASE!Q831)="AVAILABLE",TRIM([1]DATABASE!Q831)="UPON REQUEST"),OR([1]DATABASE!T831="",[1]DATABASE!T831=0)),"Active Unit no Price",""),IF(AND(OR(TRIM([1]DATABASE!Q831)="AVAILABLE",TRIM([1]DATABASE!Q831)="RESERVED",TRIM([1]DATABASE!Q831)="PRE-RESERVED",TRIM([1]DATABASE!Q831)="PSPA"),[1]DATABASE!AC831=""),"Active no Owner",""),IF(OR([1]DATABASE!F831="",[1]DATABASE!F831&lt;=0),"Missing/Invalid Area",""),IF(AND([1]DATABASE!T831&gt;0,ABS([1]DATABASE!T831-[1]DATABASE!W831-[1]DATABASE!U831-[1]DATABASE!V831)&gt;1),"Price Bridge Mismatch",""))</f>
        <v/>
      </c>
      <c r="H870" t="str">
        <f t="shared" si="15"/>
        <v>PASS</v>
      </c>
      <c r="I870" s="90">
        <f>[1]DATABASE!T831</f>
        <v>1660000</v>
      </c>
      <c r="J870" t="str">
        <f>[1]DATABASE!AC831</f>
        <v>Ana Damásio</v>
      </c>
    </row>
    <row r="871" spans="1:10" ht="13.95" customHeight="1" x14ac:dyDescent="0.3">
      <c r="A871">
        <f>ROW([1]DATABASE!A832)</f>
        <v>832</v>
      </c>
      <c r="B871" t="str">
        <f>[1]DATABASE!AJ832</f>
        <v>Palmares</v>
      </c>
      <c r="C871" t="str">
        <f>[1]DATABASE!C832</f>
        <v>17</v>
      </c>
      <c r="D871" t="str">
        <f>TRIM([1]DATABASE!Q832)</f>
        <v>AVAILABLE</v>
      </c>
      <c r="E871" s="82" t="str">
        <f>_xlfn.TEXTJOIN("; ",TRUE,IF([1]DATABASE!X832&lt;0,"Negative Discount",""),IF(AND([1]DATABASE!Y832&gt;[1]DATABASE!T832,[1]DATABASE!Y832&gt;0,[1]DATABASE!T832&gt;0),"Sell Price &gt; Current",""),IF(AND(TRIM([1]DATABASE!Q832)="DEED",[1]DATABASE!AA832=""),"Deeded no PSPA Date",""),IF([1]DATABASE!E832="","Missing Typology",""),IF([1]DATABASE!AJ832="","Missing Development",""))</f>
        <v/>
      </c>
      <c r="F871" s="82" t="str">
        <f>_xlfn.TEXTJOIN("; ",TRUE,IF(AND(OR(TRIM([1]DATABASE!Q832)="RESERVED",TRIM([1]DATABASE!Q832)="PRE-RESERVED",TRIM([1]DATABASE!Q832)="PSPA"),[1]DATABASE!AA832=""),"Reserved/PSPA no PSPA Date",""),IF(AND(TRIM([1]DATABASE!Q832)="AVAILABLE",[1]DATABASE!AA832&lt;&gt;""),"Available has PSPA Date",""))</f>
        <v/>
      </c>
      <c r="G871" s="82" t="str">
        <f>_xlfn.TEXTJOIN("; ",TRUE,IF(AND([1]DATABASE!T832&lt;0.8*[1]DATABASE!S832,[1]DATABASE!T832&gt;0,[1]DATABASE!S832&gt;0),"Heavy Price Cut &gt;20%",""),IF(AND(OR(TRIM([1]DATABASE!Q832)="AVAILABLE",TRIM([1]DATABASE!Q832)="UPON REQUEST"),OR([1]DATABASE!T832="",[1]DATABASE!T832=0)),"Active Unit no Price",""),IF(AND(OR(TRIM([1]DATABASE!Q832)="AVAILABLE",TRIM([1]DATABASE!Q832)="RESERVED",TRIM([1]DATABASE!Q832)="PRE-RESERVED",TRIM([1]DATABASE!Q832)="PSPA"),[1]DATABASE!AC832=""),"Active no Owner",""),IF(OR([1]DATABASE!F832="",[1]DATABASE!F832&lt;=0),"Missing/Invalid Area",""),IF(AND([1]DATABASE!T832&gt;0,ABS([1]DATABASE!T832-[1]DATABASE!W832-[1]DATABASE!U832-[1]DATABASE!V832)&gt;1),"Price Bridge Mismatch",""))</f>
        <v/>
      </c>
      <c r="H871" t="str">
        <f t="shared" si="15"/>
        <v>PASS</v>
      </c>
      <c r="I871" s="90">
        <f>[1]DATABASE!T832</f>
        <v>1150000</v>
      </c>
      <c r="J871" t="str">
        <f>[1]DATABASE!AC832</f>
        <v>Sandra Viegas</v>
      </c>
    </row>
    <row r="872" spans="1:10" ht="13.95" customHeight="1" x14ac:dyDescent="0.3">
      <c r="A872">
        <f>ROW([1]DATABASE!A833)</f>
        <v>833</v>
      </c>
      <c r="B872" t="str">
        <f>[1]DATABASE!AJ833</f>
        <v>Natura Village</v>
      </c>
      <c r="C872" t="str">
        <f>[1]DATABASE!C833</f>
        <v>B</v>
      </c>
      <c r="D872" t="str">
        <f>TRIM([1]DATABASE!Q833)</f>
        <v>AVAILABLE</v>
      </c>
      <c r="E872" s="82" t="str">
        <f>_xlfn.TEXTJOIN("; ",TRUE,IF([1]DATABASE!X833&lt;0,"Negative Discount",""),IF(AND([1]DATABASE!Y833&gt;[1]DATABASE!T833,[1]DATABASE!Y833&gt;0,[1]DATABASE!T833&gt;0),"Sell Price &gt; Current",""),IF(AND(TRIM([1]DATABASE!Q833)="DEED",[1]DATABASE!AA833=""),"Deeded no PSPA Date",""),IF([1]DATABASE!E833="","Missing Typology",""),IF([1]DATABASE!AJ833="","Missing Development",""))</f>
        <v/>
      </c>
      <c r="F872" s="82" t="str">
        <f>_xlfn.TEXTJOIN("; ",TRUE,IF(AND(OR(TRIM([1]DATABASE!Q833)="RESERVED",TRIM([1]DATABASE!Q833)="PRE-RESERVED",TRIM([1]DATABASE!Q833)="PSPA"),[1]DATABASE!AA833=""),"Reserved/PSPA no PSPA Date",""),IF(AND(TRIM([1]DATABASE!Q833)="AVAILABLE",[1]DATABASE!AA833&lt;&gt;""),"Available has PSPA Date",""))</f>
        <v/>
      </c>
      <c r="G872" s="82" t="str">
        <f>_xlfn.TEXTJOIN("; ",TRUE,IF(AND([1]DATABASE!T833&lt;0.8*[1]DATABASE!S833,[1]DATABASE!T833&gt;0,[1]DATABASE!S833&gt;0),"Heavy Price Cut &gt;20%",""),IF(AND(OR(TRIM([1]DATABASE!Q833)="AVAILABLE",TRIM([1]DATABASE!Q833)="UPON REQUEST"),OR([1]DATABASE!T833="",[1]DATABASE!T833=0)),"Active Unit no Price",""),IF(AND(OR(TRIM([1]DATABASE!Q833)="AVAILABLE",TRIM([1]DATABASE!Q833)="RESERVED",TRIM([1]DATABASE!Q833)="PRE-RESERVED",TRIM([1]DATABASE!Q833)="PSPA"),[1]DATABASE!AC833=""),"Active no Owner",""),IF(OR([1]DATABASE!F833="",[1]DATABASE!F833&lt;=0),"Missing/Invalid Area",""),IF(AND([1]DATABASE!T833&gt;0,ABS([1]DATABASE!T833-[1]DATABASE!W833-[1]DATABASE!U833-[1]DATABASE!V833)&gt;1),"Price Bridge Mismatch",""))</f>
        <v/>
      </c>
      <c r="H872" t="str">
        <f t="shared" si="15"/>
        <v>PASS</v>
      </c>
      <c r="I872" s="90">
        <f>[1]DATABASE!T833</f>
        <v>1120000</v>
      </c>
      <c r="J872" t="str">
        <f>[1]DATABASE!AC833</f>
        <v>Ana Damásio</v>
      </c>
    </row>
    <row r="873" spans="1:10" ht="13.95" customHeight="1" x14ac:dyDescent="0.3">
      <c r="A873">
        <f>ROW([1]DATABASE!A834)</f>
        <v>834</v>
      </c>
      <c r="B873" t="str">
        <f>[1]DATABASE!AJ834</f>
        <v>Rivus</v>
      </c>
      <c r="C873" t="str">
        <f>[1]DATABASE!C834</f>
        <v>B</v>
      </c>
      <c r="D873" t="str">
        <f>TRIM([1]DATABASE!Q834)</f>
        <v>AVAILABLE</v>
      </c>
      <c r="E873" s="82" t="str">
        <f>_xlfn.TEXTJOIN("; ",TRUE,IF([1]DATABASE!X834&lt;0,"Negative Discount",""),IF(AND([1]DATABASE!Y834&gt;[1]DATABASE!T834,[1]DATABASE!Y834&gt;0,[1]DATABASE!T834&gt;0),"Sell Price &gt; Current",""),IF(AND(TRIM([1]DATABASE!Q834)="DEED",[1]DATABASE!AA834=""),"Deeded no PSPA Date",""),IF([1]DATABASE!E834="","Missing Typology",""),IF([1]DATABASE!AJ834="","Missing Development",""))</f>
        <v/>
      </c>
      <c r="F873" s="82" t="str">
        <f>_xlfn.TEXTJOIN("; ",TRUE,IF(AND(OR(TRIM([1]DATABASE!Q834)="RESERVED",TRIM([1]DATABASE!Q834)="PRE-RESERVED",TRIM([1]DATABASE!Q834)="PSPA"),[1]DATABASE!AA834=""),"Reserved/PSPA no PSPA Date",""),IF(AND(TRIM([1]DATABASE!Q834)="AVAILABLE",[1]DATABASE!AA834&lt;&gt;""),"Available has PSPA Date",""))</f>
        <v/>
      </c>
      <c r="G873" s="82" t="str">
        <f>_xlfn.TEXTJOIN("; ",TRUE,IF(AND([1]DATABASE!T834&lt;0.8*[1]DATABASE!S834,[1]DATABASE!T834&gt;0,[1]DATABASE!S834&gt;0),"Heavy Price Cut &gt;20%",""),IF(AND(OR(TRIM([1]DATABASE!Q834)="AVAILABLE",TRIM([1]DATABASE!Q834)="UPON REQUEST"),OR([1]DATABASE!T834="",[1]DATABASE!T834=0)),"Active Unit no Price",""),IF(AND(OR(TRIM([1]DATABASE!Q834)="AVAILABLE",TRIM([1]DATABASE!Q834)="RESERVED",TRIM([1]DATABASE!Q834)="PRE-RESERVED",TRIM([1]DATABASE!Q834)="PSPA"),[1]DATABASE!AC834=""),"Active no Owner",""),IF(OR([1]DATABASE!F834="",[1]DATABASE!F834&lt;=0),"Missing/Invalid Area",""),IF(AND([1]DATABASE!T834&gt;0,ABS([1]DATABASE!T834-[1]DATABASE!W834-[1]DATABASE!U834-[1]DATABASE!V834)&gt;1),"Price Bridge Mismatch",""))</f>
        <v>Missing/Invalid Area</v>
      </c>
      <c r="H873" t="str">
        <f t="shared" si="15"/>
        <v>REVIEW</v>
      </c>
      <c r="I873" s="90">
        <f>[1]DATABASE!T834</f>
        <v>950000</v>
      </c>
      <c r="J873" t="str">
        <f>[1]DATABASE!AC834</f>
        <v>Ana Damásio</v>
      </c>
    </row>
    <row r="874" spans="1:10" ht="13.95" customHeight="1" x14ac:dyDescent="0.3">
      <c r="A874">
        <f>ROW([1]DATABASE!A835)</f>
        <v>835</v>
      </c>
      <c r="B874" t="str">
        <f>[1]DATABASE!AJ835</f>
        <v>Springs - At the Els</v>
      </c>
      <c r="C874" t="str">
        <f>[1]DATABASE!C835</f>
        <v>B</v>
      </c>
      <c r="D874" t="str">
        <f>TRIM([1]DATABASE!Q835)</f>
        <v>AVAILABLE</v>
      </c>
      <c r="E874" s="82" t="str">
        <f>_xlfn.TEXTJOIN("; ",TRUE,IF([1]DATABASE!X835&lt;0,"Negative Discount",""),IF(AND([1]DATABASE!Y835&gt;[1]DATABASE!T835,[1]DATABASE!Y835&gt;0,[1]DATABASE!T835&gt;0),"Sell Price &gt; Current",""),IF(AND(TRIM([1]DATABASE!Q835)="DEED",[1]DATABASE!AA835=""),"Deeded no PSPA Date",""),IF([1]DATABASE!E835="","Missing Typology",""),IF([1]DATABASE!AJ835="","Missing Development",""))</f>
        <v/>
      </c>
      <c r="F874" s="82" t="str">
        <f>_xlfn.TEXTJOIN("; ",TRUE,IF(AND(OR(TRIM([1]DATABASE!Q835)="RESERVED",TRIM([1]DATABASE!Q835)="PRE-RESERVED",TRIM([1]DATABASE!Q835)="PSPA"),[1]DATABASE!AA835=""),"Reserved/PSPA no PSPA Date",""),IF(AND(TRIM([1]DATABASE!Q835)="AVAILABLE",[1]DATABASE!AA835&lt;&gt;""),"Available has PSPA Date",""))</f>
        <v/>
      </c>
      <c r="G874" s="82" t="str">
        <f>_xlfn.TEXTJOIN("; ",TRUE,IF(AND([1]DATABASE!T835&lt;0.8*[1]DATABASE!S835,[1]DATABASE!T835&gt;0,[1]DATABASE!S835&gt;0),"Heavy Price Cut &gt;20%",""),IF(AND(OR(TRIM([1]DATABASE!Q835)="AVAILABLE",TRIM([1]DATABASE!Q835)="UPON REQUEST"),OR([1]DATABASE!T835="",[1]DATABASE!T835=0)),"Active Unit no Price",""),IF(AND(OR(TRIM([1]DATABASE!Q835)="AVAILABLE",TRIM([1]DATABASE!Q835)="RESERVED",TRIM([1]DATABASE!Q835)="PRE-RESERVED",TRIM([1]DATABASE!Q835)="PSPA"),[1]DATABASE!AC835=""),"Active no Owner",""),IF(OR([1]DATABASE!F835="",[1]DATABASE!F835&lt;=0),"Missing/Invalid Area",""),IF(AND([1]DATABASE!T835&gt;0,ABS([1]DATABASE!T835-[1]DATABASE!W835-[1]DATABASE!U835-[1]DATABASE!V835)&gt;1),"Price Bridge Mismatch",""))</f>
        <v/>
      </c>
      <c r="H874" t="str">
        <f t="shared" ref="H874:H937" si="16">IF(LEN(E874&amp;F874&amp;G874)&gt;0,"REVIEW","PASS")</f>
        <v>PASS</v>
      </c>
      <c r="I874" s="90">
        <f>[1]DATABASE!T835</f>
        <v>1830000</v>
      </c>
      <c r="J874" t="str">
        <f>[1]DATABASE!AC835</f>
        <v>Ana Damásio</v>
      </c>
    </row>
    <row r="875" spans="1:10" ht="13.95" customHeight="1" x14ac:dyDescent="0.3">
      <c r="A875">
        <f>ROW([1]DATABASE!A836)</f>
        <v>836</v>
      </c>
      <c r="B875" t="str">
        <f>[1]DATABASE!AJ836</f>
        <v>Vale Pisão Grand Park</v>
      </c>
      <c r="C875" t="str">
        <f>[1]DATABASE!C836</f>
        <v>7B</v>
      </c>
      <c r="D875" t="str">
        <f>TRIM([1]DATABASE!Q836)</f>
        <v>AVAILABLE</v>
      </c>
      <c r="E875" s="82" t="str">
        <f>_xlfn.TEXTJOIN("; ",TRUE,IF([1]DATABASE!X836&lt;0,"Negative Discount",""),IF(AND([1]DATABASE!Y836&gt;[1]DATABASE!T836,[1]DATABASE!Y836&gt;0,[1]DATABASE!T836&gt;0),"Sell Price &gt; Current",""),IF(AND(TRIM([1]DATABASE!Q836)="DEED",[1]DATABASE!AA836=""),"Deeded no PSPA Date",""),IF([1]DATABASE!E836="","Missing Typology",""),IF([1]DATABASE!AJ836="","Missing Development",""))</f>
        <v/>
      </c>
      <c r="F875" s="82" t="str">
        <f>_xlfn.TEXTJOIN("; ",TRUE,IF(AND(OR(TRIM([1]DATABASE!Q836)="RESERVED",TRIM([1]DATABASE!Q836)="PRE-RESERVED",TRIM([1]DATABASE!Q836)="PSPA"),[1]DATABASE!AA836=""),"Reserved/PSPA no PSPA Date",""),IF(AND(TRIM([1]DATABASE!Q836)="AVAILABLE",[1]DATABASE!AA836&lt;&gt;""),"Available has PSPA Date",""))</f>
        <v/>
      </c>
      <c r="G875" s="82" t="str">
        <f>_xlfn.TEXTJOIN("; ",TRUE,IF(AND([1]DATABASE!T836&lt;0.8*[1]DATABASE!S836,[1]DATABASE!T836&gt;0,[1]DATABASE!S836&gt;0),"Heavy Price Cut &gt;20%",""),IF(AND(OR(TRIM([1]DATABASE!Q836)="AVAILABLE",TRIM([1]DATABASE!Q836)="UPON REQUEST"),OR([1]DATABASE!T836="",[1]DATABASE!T836=0)),"Active Unit no Price",""),IF(AND(OR(TRIM([1]DATABASE!Q836)="AVAILABLE",TRIM([1]DATABASE!Q836)="RESERVED",TRIM([1]DATABASE!Q836)="PRE-RESERVED",TRIM([1]DATABASE!Q836)="PSPA"),[1]DATABASE!AC836=""),"Active no Owner",""),IF(OR([1]DATABASE!F836="",[1]DATABASE!F836&lt;=0),"Missing/Invalid Area",""),IF(AND([1]DATABASE!T836&gt;0,ABS([1]DATABASE!T836-[1]DATABASE!W836-[1]DATABASE!U836-[1]DATABASE!V836)&gt;1),"Price Bridge Mismatch",""))</f>
        <v/>
      </c>
      <c r="H875" t="str">
        <f t="shared" si="16"/>
        <v>PASS</v>
      </c>
      <c r="I875" s="90">
        <f>[1]DATABASE!T836</f>
        <v>1060000</v>
      </c>
      <c r="J875" t="str">
        <f>[1]DATABASE!AC836</f>
        <v>João Gameiro</v>
      </c>
    </row>
    <row r="876" spans="1:10" ht="13.95" customHeight="1" x14ac:dyDescent="0.3">
      <c r="A876">
        <f>ROW([1]DATABASE!A837)</f>
        <v>837</v>
      </c>
      <c r="B876" t="str">
        <f>[1]DATABASE!AJ837</f>
        <v>Monte Rei</v>
      </c>
      <c r="C876" t="str">
        <f>[1]DATABASE!C837</f>
        <v>2</v>
      </c>
      <c r="D876" t="str">
        <f>TRIM([1]DATABASE!Q837)</f>
        <v>AVAILABLE</v>
      </c>
      <c r="E876" s="82" t="str">
        <f>_xlfn.TEXTJOIN("; ",TRUE,IF([1]DATABASE!X837&lt;0,"Negative Discount",""),IF(AND([1]DATABASE!Y837&gt;[1]DATABASE!T837,[1]DATABASE!Y837&gt;0,[1]DATABASE!T837&gt;0),"Sell Price &gt; Current",""),IF(AND(TRIM([1]DATABASE!Q837)="DEED",[1]DATABASE!AA837=""),"Deeded no PSPA Date",""),IF([1]DATABASE!E837="","Missing Typology",""),IF([1]DATABASE!AJ837="","Missing Development",""))</f>
        <v/>
      </c>
      <c r="F876" s="82" t="str">
        <f>_xlfn.TEXTJOIN("; ",TRUE,IF(AND(OR(TRIM([1]DATABASE!Q837)="RESERVED",TRIM([1]DATABASE!Q837)="PRE-RESERVED",TRIM([1]DATABASE!Q837)="PSPA"),[1]DATABASE!AA837=""),"Reserved/PSPA no PSPA Date",""),IF(AND(TRIM([1]DATABASE!Q837)="AVAILABLE",[1]DATABASE!AA837&lt;&gt;""),"Available has PSPA Date",""))</f>
        <v/>
      </c>
      <c r="G876" s="82" t="str">
        <f>_xlfn.TEXTJOIN("; ",TRUE,IF(AND([1]DATABASE!T837&lt;0.8*[1]DATABASE!S837,[1]DATABASE!T837&gt;0,[1]DATABASE!S837&gt;0),"Heavy Price Cut &gt;20%",""),IF(AND(OR(TRIM([1]DATABASE!Q837)="AVAILABLE",TRIM([1]DATABASE!Q837)="UPON REQUEST"),OR([1]DATABASE!T837="",[1]DATABASE!T837=0)),"Active Unit no Price",""),IF(AND(OR(TRIM([1]DATABASE!Q837)="AVAILABLE",TRIM([1]DATABASE!Q837)="RESERVED",TRIM([1]DATABASE!Q837)="PRE-RESERVED",TRIM([1]DATABASE!Q837)="PSPA"),[1]DATABASE!AC837=""),"Active no Owner",""),IF(OR([1]DATABASE!F837="",[1]DATABASE!F837&lt;=0),"Missing/Invalid Area",""),IF(AND([1]DATABASE!T837&gt;0,ABS([1]DATABASE!T837-[1]DATABASE!W837-[1]DATABASE!U837-[1]DATABASE!V837)&gt;1),"Price Bridge Mismatch",""))</f>
        <v/>
      </c>
      <c r="H876" t="str">
        <f t="shared" si="16"/>
        <v>PASS</v>
      </c>
      <c r="I876" s="90">
        <f>[1]DATABASE!T837</f>
        <v>860000</v>
      </c>
      <c r="J876" t="str">
        <f>[1]DATABASE!AC837</f>
        <v>Sandra Viegas</v>
      </c>
    </row>
    <row r="877" spans="1:10" ht="13.95" customHeight="1" x14ac:dyDescent="0.3">
      <c r="A877">
        <f>ROW([1]DATABASE!A838)</f>
        <v>838</v>
      </c>
      <c r="B877" t="str">
        <f>[1]DATABASE!AJ838</f>
        <v>Zestia</v>
      </c>
      <c r="C877" t="str">
        <f>[1]DATABASE!C838</f>
        <v>B</v>
      </c>
      <c r="D877" t="str">
        <f>TRIM([1]DATABASE!Q838)</f>
        <v>AVAILABLE</v>
      </c>
      <c r="E877" s="82" t="str">
        <f>_xlfn.TEXTJOIN("; ",TRUE,IF([1]DATABASE!X838&lt;0,"Negative Discount",""),IF(AND([1]DATABASE!Y838&gt;[1]DATABASE!T838,[1]DATABASE!Y838&gt;0,[1]DATABASE!T838&gt;0),"Sell Price &gt; Current",""),IF(AND(TRIM([1]DATABASE!Q838)="DEED",[1]DATABASE!AA838=""),"Deeded no PSPA Date",""),IF([1]DATABASE!E838="","Missing Typology",""),IF([1]DATABASE!AJ838="","Missing Development",""))</f>
        <v/>
      </c>
      <c r="F877" s="82" t="str">
        <f>_xlfn.TEXTJOIN("; ",TRUE,IF(AND(OR(TRIM([1]DATABASE!Q838)="RESERVED",TRIM([1]DATABASE!Q838)="PRE-RESERVED",TRIM([1]DATABASE!Q838)="PSPA"),[1]DATABASE!AA838=""),"Reserved/PSPA no PSPA Date",""),IF(AND(TRIM([1]DATABASE!Q838)="AVAILABLE",[1]DATABASE!AA838&lt;&gt;""),"Available has PSPA Date",""))</f>
        <v/>
      </c>
      <c r="G877" s="82" t="str">
        <f>_xlfn.TEXTJOIN("; ",TRUE,IF(AND([1]DATABASE!T838&lt;0.8*[1]DATABASE!S838,[1]DATABASE!T838&gt;0,[1]DATABASE!S838&gt;0),"Heavy Price Cut &gt;20%",""),IF(AND(OR(TRIM([1]DATABASE!Q838)="AVAILABLE",TRIM([1]DATABASE!Q838)="UPON REQUEST"),OR([1]DATABASE!T838="",[1]DATABASE!T838=0)),"Active Unit no Price",""),IF(AND(OR(TRIM([1]DATABASE!Q838)="AVAILABLE",TRIM([1]DATABASE!Q838)="RESERVED",TRIM([1]DATABASE!Q838)="PRE-RESERVED",TRIM([1]DATABASE!Q838)="PSPA"),[1]DATABASE!AC838=""),"Active no Owner",""),IF(OR([1]DATABASE!F838="",[1]DATABASE!F838&lt;=0),"Missing/Invalid Area",""),IF(AND([1]DATABASE!T838&gt;0,ABS([1]DATABASE!T838-[1]DATABASE!W838-[1]DATABASE!U838-[1]DATABASE!V838)&gt;1),"Price Bridge Mismatch",""))</f>
        <v/>
      </c>
      <c r="H877" t="str">
        <f t="shared" si="16"/>
        <v>PASS</v>
      </c>
      <c r="I877" s="90">
        <f>[1]DATABASE!T838</f>
        <v>790000</v>
      </c>
      <c r="J877" t="str">
        <f>[1]DATABASE!AC838</f>
        <v>Ana Damásio</v>
      </c>
    </row>
    <row r="878" spans="1:10" ht="13.95" customHeight="1" x14ac:dyDescent="0.3">
      <c r="A878">
        <f>ROW([1]DATABASE!A839)</f>
        <v>839</v>
      </c>
      <c r="B878" t="str">
        <f>[1]DATABASE!AJ839</f>
        <v>Monte Rei</v>
      </c>
      <c r="C878" t="str">
        <f>[1]DATABASE!C839</f>
        <v>1</v>
      </c>
      <c r="D878" t="str">
        <f>TRIM([1]DATABASE!Q839)</f>
        <v>AVAILABLE</v>
      </c>
      <c r="E878" s="82" t="str">
        <f>_xlfn.TEXTJOIN("; ",TRUE,IF([1]DATABASE!X839&lt;0,"Negative Discount",""),IF(AND([1]DATABASE!Y839&gt;[1]DATABASE!T839,[1]DATABASE!Y839&gt;0,[1]DATABASE!T839&gt;0),"Sell Price &gt; Current",""),IF(AND(TRIM([1]DATABASE!Q839)="DEED",[1]DATABASE!AA839=""),"Deeded no PSPA Date",""),IF([1]DATABASE!E839="","Missing Typology",""),IF([1]DATABASE!AJ839="","Missing Development",""))</f>
        <v/>
      </c>
      <c r="F878" s="82" t="str">
        <f>_xlfn.TEXTJOIN("; ",TRUE,IF(AND(OR(TRIM([1]DATABASE!Q839)="RESERVED",TRIM([1]DATABASE!Q839)="PRE-RESERVED",TRIM([1]DATABASE!Q839)="PSPA"),[1]DATABASE!AA839=""),"Reserved/PSPA no PSPA Date",""),IF(AND(TRIM([1]DATABASE!Q839)="AVAILABLE",[1]DATABASE!AA839&lt;&gt;""),"Available has PSPA Date",""))</f>
        <v/>
      </c>
      <c r="G878" s="82" t="str">
        <f>_xlfn.TEXTJOIN("; ",TRUE,IF(AND([1]DATABASE!T839&lt;0.8*[1]DATABASE!S839,[1]DATABASE!T839&gt;0,[1]DATABASE!S839&gt;0),"Heavy Price Cut &gt;20%",""),IF(AND(OR(TRIM([1]DATABASE!Q839)="AVAILABLE",TRIM([1]DATABASE!Q839)="UPON REQUEST"),OR([1]DATABASE!T839="",[1]DATABASE!T839=0)),"Active Unit no Price",""),IF(AND(OR(TRIM([1]DATABASE!Q839)="AVAILABLE",TRIM([1]DATABASE!Q839)="RESERVED",TRIM([1]DATABASE!Q839)="PRE-RESERVED",TRIM([1]DATABASE!Q839)="PSPA"),[1]DATABASE!AC839=""),"Active no Owner",""),IF(OR([1]DATABASE!F839="",[1]DATABASE!F839&lt;=0),"Missing/Invalid Area",""),IF(AND([1]DATABASE!T839&gt;0,ABS([1]DATABASE!T839-[1]DATABASE!W839-[1]DATABASE!U839-[1]DATABASE!V839)&gt;1),"Price Bridge Mismatch",""))</f>
        <v/>
      </c>
      <c r="H878" t="str">
        <f t="shared" si="16"/>
        <v>PASS</v>
      </c>
      <c r="I878" s="90">
        <f>[1]DATABASE!T839</f>
        <v>890000</v>
      </c>
      <c r="J878" t="str">
        <f>[1]DATABASE!AC839</f>
        <v>Sandra Viegas</v>
      </c>
    </row>
    <row r="879" spans="1:10" ht="13.95" customHeight="1" x14ac:dyDescent="0.3">
      <c r="A879">
        <f>ROW([1]DATABASE!A840)</f>
        <v>840</v>
      </c>
      <c r="B879" t="str">
        <f>[1]DATABASE!AJ840</f>
        <v>Monte Rei</v>
      </c>
      <c r="C879" t="str">
        <f>[1]DATABASE!C840</f>
        <v>2</v>
      </c>
      <c r="D879" t="str">
        <f>TRIM([1]DATABASE!Q840)</f>
        <v>AVAILABLE</v>
      </c>
      <c r="E879" s="82" t="str">
        <f>_xlfn.TEXTJOIN("; ",TRUE,IF([1]DATABASE!X840&lt;0,"Negative Discount",""),IF(AND([1]DATABASE!Y840&gt;[1]DATABASE!T840,[1]DATABASE!Y840&gt;0,[1]DATABASE!T840&gt;0),"Sell Price &gt; Current",""),IF(AND(TRIM([1]DATABASE!Q840)="DEED",[1]DATABASE!AA840=""),"Deeded no PSPA Date",""),IF([1]DATABASE!E840="","Missing Typology",""),IF([1]DATABASE!AJ840="","Missing Development",""))</f>
        <v/>
      </c>
      <c r="F879" s="82" t="str">
        <f>_xlfn.TEXTJOIN("; ",TRUE,IF(AND(OR(TRIM([1]DATABASE!Q840)="RESERVED",TRIM([1]DATABASE!Q840)="PRE-RESERVED",TRIM([1]DATABASE!Q840)="PSPA"),[1]DATABASE!AA840=""),"Reserved/PSPA no PSPA Date",""),IF(AND(TRIM([1]DATABASE!Q840)="AVAILABLE",[1]DATABASE!AA840&lt;&gt;""),"Available has PSPA Date",""))</f>
        <v/>
      </c>
      <c r="G879" s="82" t="str">
        <f>_xlfn.TEXTJOIN("; ",TRUE,IF(AND([1]DATABASE!T840&lt;0.8*[1]DATABASE!S840,[1]DATABASE!T840&gt;0,[1]DATABASE!S840&gt;0),"Heavy Price Cut &gt;20%",""),IF(AND(OR(TRIM([1]DATABASE!Q840)="AVAILABLE",TRIM([1]DATABASE!Q840)="UPON REQUEST"),OR([1]DATABASE!T840="",[1]DATABASE!T840=0)),"Active Unit no Price",""),IF(AND(OR(TRIM([1]DATABASE!Q840)="AVAILABLE",TRIM([1]DATABASE!Q840)="RESERVED",TRIM([1]DATABASE!Q840)="PRE-RESERVED",TRIM([1]DATABASE!Q840)="PSPA"),[1]DATABASE!AC840=""),"Active no Owner",""),IF(OR([1]DATABASE!F840="",[1]DATABASE!F840&lt;=0),"Missing/Invalid Area",""),IF(AND([1]DATABASE!T840&gt;0,ABS([1]DATABASE!T840-[1]DATABASE!W840-[1]DATABASE!U840-[1]DATABASE!V840)&gt;1),"Price Bridge Mismatch",""))</f>
        <v/>
      </c>
      <c r="H879" t="str">
        <f t="shared" si="16"/>
        <v>PASS</v>
      </c>
      <c r="I879" s="90">
        <f>[1]DATABASE!T840</f>
        <v>850000</v>
      </c>
      <c r="J879" t="str">
        <f>[1]DATABASE!AC840</f>
        <v>Sandra Viegas</v>
      </c>
    </row>
    <row r="880" spans="1:10" ht="13.95" customHeight="1" x14ac:dyDescent="0.3">
      <c r="A880">
        <f>ROW([1]DATABASE!A841)</f>
        <v>841</v>
      </c>
      <c r="B880" t="str">
        <f>[1]DATABASE!AJ841</f>
        <v>Monte Rei</v>
      </c>
      <c r="C880" t="str">
        <f>[1]DATABASE!C841</f>
        <v>3</v>
      </c>
      <c r="D880" t="str">
        <f>TRIM([1]DATABASE!Q841)</f>
        <v>AVAILABLE</v>
      </c>
      <c r="E880" s="82" t="str">
        <f>_xlfn.TEXTJOIN("; ",TRUE,IF([1]DATABASE!X841&lt;0,"Negative Discount",""),IF(AND([1]DATABASE!Y841&gt;[1]DATABASE!T841,[1]DATABASE!Y841&gt;0,[1]DATABASE!T841&gt;0),"Sell Price &gt; Current",""),IF(AND(TRIM([1]DATABASE!Q841)="DEED",[1]DATABASE!AA841=""),"Deeded no PSPA Date",""),IF([1]DATABASE!E841="","Missing Typology",""),IF([1]DATABASE!AJ841="","Missing Development",""))</f>
        <v/>
      </c>
      <c r="F880" s="82" t="str">
        <f>_xlfn.TEXTJOIN("; ",TRUE,IF(AND(OR(TRIM([1]DATABASE!Q841)="RESERVED",TRIM([1]DATABASE!Q841)="PRE-RESERVED",TRIM([1]DATABASE!Q841)="PSPA"),[1]DATABASE!AA841=""),"Reserved/PSPA no PSPA Date",""),IF(AND(TRIM([1]DATABASE!Q841)="AVAILABLE",[1]DATABASE!AA841&lt;&gt;""),"Available has PSPA Date",""))</f>
        <v/>
      </c>
      <c r="G880" s="82" t="str">
        <f>_xlfn.TEXTJOIN("; ",TRUE,IF(AND([1]DATABASE!T841&lt;0.8*[1]DATABASE!S841,[1]DATABASE!T841&gt;0,[1]DATABASE!S841&gt;0),"Heavy Price Cut &gt;20%",""),IF(AND(OR(TRIM([1]DATABASE!Q841)="AVAILABLE",TRIM([1]DATABASE!Q841)="UPON REQUEST"),OR([1]DATABASE!T841="",[1]DATABASE!T841=0)),"Active Unit no Price",""),IF(AND(OR(TRIM([1]DATABASE!Q841)="AVAILABLE",TRIM([1]DATABASE!Q841)="RESERVED",TRIM([1]DATABASE!Q841)="PRE-RESERVED",TRIM([1]DATABASE!Q841)="PSPA"),[1]DATABASE!AC841=""),"Active no Owner",""),IF(OR([1]DATABASE!F841="",[1]DATABASE!F841&lt;=0),"Missing/Invalid Area",""),IF(AND([1]DATABASE!T841&gt;0,ABS([1]DATABASE!T841-[1]DATABASE!W841-[1]DATABASE!U841-[1]DATABASE!V841)&gt;1),"Price Bridge Mismatch",""))</f>
        <v/>
      </c>
      <c r="H880" t="str">
        <f t="shared" si="16"/>
        <v>PASS</v>
      </c>
      <c r="I880" s="90">
        <f>[1]DATABASE!T841</f>
        <v>800000</v>
      </c>
      <c r="J880" t="str">
        <f>[1]DATABASE!AC841</f>
        <v>Sandra Viegas</v>
      </c>
    </row>
    <row r="881" spans="1:10" ht="13.95" customHeight="1" x14ac:dyDescent="0.3">
      <c r="A881">
        <f>ROW([1]DATABASE!A842)</f>
        <v>842</v>
      </c>
      <c r="B881" t="str">
        <f>[1]DATABASE!AJ842</f>
        <v>Monte Rei</v>
      </c>
      <c r="C881" t="str">
        <f>[1]DATABASE!C842</f>
        <v>4</v>
      </c>
      <c r="D881" t="str">
        <f>TRIM([1]DATABASE!Q842)</f>
        <v>AVAILABLE</v>
      </c>
      <c r="E881" s="82" t="str">
        <f>_xlfn.TEXTJOIN("; ",TRUE,IF([1]DATABASE!X842&lt;0,"Negative Discount",""),IF(AND([1]DATABASE!Y842&gt;[1]DATABASE!T842,[1]DATABASE!Y842&gt;0,[1]DATABASE!T842&gt;0),"Sell Price &gt; Current",""),IF(AND(TRIM([1]DATABASE!Q842)="DEED",[1]DATABASE!AA842=""),"Deeded no PSPA Date",""),IF([1]DATABASE!E842="","Missing Typology",""),IF([1]DATABASE!AJ842="","Missing Development",""))</f>
        <v/>
      </c>
      <c r="F881" s="82" t="str">
        <f>_xlfn.TEXTJOIN("; ",TRUE,IF(AND(OR(TRIM([1]DATABASE!Q842)="RESERVED",TRIM([1]DATABASE!Q842)="PRE-RESERVED",TRIM([1]DATABASE!Q842)="PSPA"),[1]DATABASE!AA842=""),"Reserved/PSPA no PSPA Date",""),IF(AND(TRIM([1]DATABASE!Q842)="AVAILABLE",[1]DATABASE!AA842&lt;&gt;""),"Available has PSPA Date",""))</f>
        <v/>
      </c>
      <c r="G881" s="82" t="str">
        <f>_xlfn.TEXTJOIN("; ",TRUE,IF(AND([1]DATABASE!T842&lt;0.8*[1]DATABASE!S842,[1]DATABASE!T842&gt;0,[1]DATABASE!S842&gt;0),"Heavy Price Cut &gt;20%",""),IF(AND(OR(TRIM([1]DATABASE!Q842)="AVAILABLE",TRIM([1]DATABASE!Q842)="UPON REQUEST"),OR([1]DATABASE!T842="",[1]DATABASE!T842=0)),"Active Unit no Price",""),IF(AND(OR(TRIM([1]DATABASE!Q842)="AVAILABLE",TRIM([1]DATABASE!Q842)="RESERVED",TRIM([1]DATABASE!Q842)="PRE-RESERVED",TRIM([1]DATABASE!Q842)="PSPA"),[1]DATABASE!AC842=""),"Active no Owner",""),IF(OR([1]DATABASE!F842="",[1]DATABASE!F842&lt;=0),"Missing/Invalid Area",""),IF(AND([1]DATABASE!T842&gt;0,ABS([1]DATABASE!T842-[1]DATABASE!W842-[1]DATABASE!U842-[1]DATABASE!V842)&gt;1),"Price Bridge Mismatch",""))</f>
        <v/>
      </c>
      <c r="H881" t="str">
        <f t="shared" si="16"/>
        <v>PASS</v>
      </c>
      <c r="I881" s="90">
        <f>[1]DATABASE!T842</f>
        <v>800000</v>
      </c>
      <c r="J881" t="str">
        <f>[1]DATABASE!AC842</f>
        <v>Sandra Viegas</v>
      </c>
    </row>
    <row r="882" spans="1:10" ht="13.95" customHeight="1" x14ac:dyDescent="0.3">
      <c r="A882">
        <f>ROW([1]DATABASE!A843)</f>
        <v>843</v>
      </c>
      <c r="B882" t="str">
        <f>[1]DATABASE!AJ843</f>
        <v>Monte Rei</v>
      </c>
      <c r="C882" t="str">
        <f>[1]DATABASE!C843</f>
        <v>5</v>
      </c>
      <c r="D882" t="str">
        <f>TRIM([1]DATABASE!Q843)</f>
        <v>AVAILABLE</v>
      </c>
      <c r="E882" s="82" t="str">
        <f>_xlfn.TEXTJOIN("; ",TRUE,IF([1]DATABASE!X843&lt;0,"Negative Discount",""),IF(AND([1]DATABASE!Y843&gt;[1]DATABASE!T843,[1]DATABASE!Y843&gt;0,[1]DATABASE!T843&gt;0),"Sell Price &gt; Current",""),IF(AND(TRIM([1]DATABASE!Q843)="DEED",[1]DATABASE!AA843=""),"Deeded no PSPA Date",""),IF([1]DATABASE!E843="","Missing Typology",""),IF([1]DATABASE!AJ843="","Missing Development",""))</f>
        <v/>
      </c>
      <c r="F882" s="82" t="str">
        <f>_xlfn.TEXTJOIN("; ",TRUE,IF(AND(OR(TRIM([1]DATABASE!Q843)="RESERVED",TRIM([1]DATABASE!Q843)="PRE-RESERVED",TRIM([1]DATABASE!Q843)="PSPA"),[1]DATABASE!AA843=""),"Reserved/PSPA no PSPA Date",""),IF(AND(TRIM([1]DATABASE!Q843)="AVAILABLE",[1]DATABASE!AA843&lt;&gt;""),"Available has PSPA Date",""))</f>
        <v/>
      </c>
      <c r="G882" s="82" t="str">
        <f>_xlfn.TEXTJOIN("; ",TRUE,IF(AND([1]DATABASE!T843&lt;0.8*[1]DATABASE!S843,[1]DATABASE!T843&gt;0,[1]DATABASE!S843&gt;0),"Heavy Price Cut &gt;20%",""),IF(AND(OR(TRIM([1]DATABASE!Q843)="AVAILABLE",TRIM([1]DATABASE!Q843)="UPON REQUEST"),OR([1]DATABASE!T843="",[1]DATABASE!T843=0)),"Active Unit no Price",""),IF(AND(OR(TRIM([1]DATABASE!Q843)="AVAILABLE",TRIM([1]DATABASE!Q843)="RESERVED",TRIM([1]DATABASE!Q843)="PRE-RESERVED",TRIM([1]DATABASE!Q843)="PSPA"),[1]DATABASE!AC843=""),"Active no Owner",""),IF(OR([1]DATABASE!F843="",[1]DATABASE!F843&lt;=0),"Missing/Invalid Area",""),IF(AND([1]DATABASE!T843&gt;0,ABS([1]DATABASE!T843-[1]DATABASE!W843-[1]DATABASE!U843-[1]DATABASE!V843)&gt;1),"Price Bridge Mismatch",""))</f>
        <v/>
      </c>
      <c r="H882" t="str">
        <f t="shared" si="16"/>
        <v>PASS</v>
      </c>
      <c r="I882" s="90">
        <f>[1]DATABASE!T843</f>
        <v>800000</v>
      </c>
      <c r="J882" t="str">
        <f>[1]DATABASE!AC843</f>
        <v>Sandra Viegas</v>
      </c>
    </row>
    <row r="883" spans="1:10" ht="13.95" customHeight="1" x14ac:dyDescent="0.3">
      <c r="A883">
        <f>ROW([1]DATABASE!A844)</f>
        <v>844</v>
      </c>
      <c r="B883" t="str">
        <f>[1]DATABASE!AJ844</f>
        <v>Monte Rei</v>
      </c>
      <c r="C883" t="str">
        <f>[1]DATABASE!C844</f>
        <v>6</v>
      </c>
      <c r="D883" t="str">
        <f>TRIM([1]DATABASE!Q844)</f>
        <v>AVAILABLE</v>
      </c>
      <c r="E883" s="82" t="str">
        <f>_xlfn.TEXTJOIN("; ",TRUE,IF([1]DATABASE!X844&lt;0,"Negative Discount",""),IF(AND([1]DATABASE!Y844&gt;[1]DATABASE!T844,[1]DATABASE!Y844&gt;0,[1]DATABASE!T844&gt;0),"Sell Price &gt; Current",""),IF(AND(TRIM([1]DATABASE!Q844)="DEED",[1]DATABASE!AA844=""),"Deeded no PSPA Date",""),IF([1]DATABASE!E844="","Missing Typology",""),IF([1]DATABASE!AJ844="","Missing Development",""))</f>
        <v/>
      </c>
      <c r="F883" s="82" t="str">
        <f>_xlfn.TEXTJOIN("; ",TRUE,IF(AND(OR(TRIM([1]DATABASE!Q844)="RESERVED",TRIM([1]DATABASE!Q844)="PRE-RESERVED",TRIM([1]DATABASE!Q844)="PSPA"),[1]DATABASE!AA844=""),"Reserved/PSPA no PSPA Date",""),IF(AND(TRIM([1]DATABASE!Q844)="AVAILABLE",[1]DATABASE!AA844&lt;&gt;""),"Available has PSPA Date",""))</f>
        <v/>
      </c>
      <c r="G883" s="82" t="str">
        <f>_xlfn.TEXTJOIN("; ",TRUE,IF(AND([1]DATABASE!T844&lt;0.8*[1]DATABASE!S844,[1]DATABASE!T844&gt;0,[1]DATABASE!S844&gt;0),"Heavy Price Cut &gt;20%",""),IF(AND(OR(TRIM([1]DATABASE!Q844)="AVAILABLE",TRIM([1]DATABASE!Q844)="UPON REQUEST"),OR([1]DATABASE!T844="",[1]DATABASE!T844=0)),"Active Unit no Price",""),IF(AND(OR(TRIM([1]DATABASE!Q844)="AVAILABLE",TRIM([1]DATABASE!Q844)="RESERVED",TRIM([1]DATABASE!Q844)="PRE-RESERVED",TRIM([1]DATABASE!Q844)="PSPA"),[1]DATABASE!AC844=""),"Active no Owner",""),IF(OR([1]DATABASE!F844="",[1]DATABASE!F844&lt;=0),"Missing/Invalid Area",""),IF(AND([1]DATABASE!T844&gt;0,ABS([1]DATABASE!T844-[1]DATABASE!W844-[1]DATABASE!U844-[1]DATABASE!V844)&gt;1),"Price Bridge Mismatch",""))</f>
        <v/>
      </c>
      <c r="H883" t="str">
        <f t="shared" si="16"/>
        <v>PASS</v>
      </c>
      <c r="I883" s="90">
        <f>[1]DATABASE!T844</f>
        <v>810000</v>
      </c>
      <c r="J883" t="str">
        <f>[1]DATABASE!AC844</f>
        <v>Sandra Viegas</v>
      </c>
    </row>
    <row r="884" spans="1:10" ht="13.95" customHeight="1" x14ac:dyDescent="0.3">
      <c r="A884">
        <f>ROW([1]DATABASE!A845)</f>
        <v>845</v>
      </c>
      <c r="B884" t="str">
        <f>[1]DATABASE!AJ845</f>
        <v>Monte Rei</v>
      </c>
      <c r="C884" t="str">
        <f>[1]DATABASE!C845</f>
        <v>7</v>
      </c>
      <c r="D884" t="str">
        <f>TRIM([1]DATABASE!Q845)</f>
        <v>AVAILABLE</v>
      </c>
      <c r="E884" s="82" t="str">
        <f>_xlfn.TEXTJOIN("; ",TRUE,IF([1]DATABASE!X845&lt;0,"Negative Discount",""),IF(AND([1]DATABASE!Y845&gt;[1]DATABASE!T845,[1]DATABASE!Y845&gt;0,[1]DATABASE!T845&gt;0),"Sell Price &gt; Current",""),IF(AND(TRIM([1]DATABASE!Q845)="DEED",[1]DATABASE!AA845=""),"Deeded no PSPA Date",""),IF([1]DATABASE!E845="","Missing Typology",""),IF([1]DATABASE!AJ845="","Missing Development",""))</f>
        <v/>
      </c>
      <c r="F884" s="82" t="str">
        <f>_xlfn.TEXTJOIN("; ",TRUE,IF(AND(OR(TRIM([1]DATABASE!Q845)="RESERVED",TRIM([1]DATABASE!Q845)="PRE-RESERVED",TRIM([1]DATABASE!Q845)="PSPA"),[1]DATABASE!AA845=""),"Reserved/PSPA no PSPA Date",""),IF(AND(TRIM([1]DATABASE!Q845)="AVAILABLE",[1]DATABASE!AA845&lt;&gt;""),"Available has PSPA Date",""))</f>
        <v/>
      </c>
      <c r="G884" s="82" t="str">
        <f>_xlfn.TEXTJOIN("; ",TRUE,IF(AND([1]DATABASE!T845&lt;0.8*[1]DATABASE!S845,[1]DATABASE!T845&gt;0,[1]DATABASE!S845&gt;0),"Heavy Price Cut &gt;20%",""),IF(AND(OR(TRIM([1]DATABASE!Q845)="AVAILABLE",TRIM([1]DATABASE!Q845)="UPON REQUEST"),OR([1]DATABASE!T845="",[1]DATABASE!T845=0)),"Active Unit no Price",""),IF(AND(OR(TRIM([1]DATABASE!Q845)="AVAILABLE",TRIM([1]DATABASE!Q845)="RESERVED",TRIM([1]DATABASE!Q845)="PRE-RESERVED",TRIM([1]DATABASE!Q845)="PSPA"),[1]DATABASE!AC845=""),"Active no Owner",""),IF(OR([1]DATABASE!F845="",[1]DATABASE!F845&lt;=0),"Missing/Invalid Area",""),IF(AND([1]DATABASE!T845&gt;0,ABS([1]DATABASE!T845-[1]DATABASE!W845-[1]DATABASE!U845-[1]DATABASE!V845)&gt;1),"Price Bridge Mismatch",""))</f>
        <v>Heavy Price Cut &gt;20%</v>
      </c>
      <c r="H884" t="str">
        <f t="shared" si="16"/>
        <v>REVIEW</v>
      </c>
      <c r="I884" s="90">
        <f>[1]DATABASE!T845</f>
        <v>790000</v>
      </c>
      <c r="J884" t="str">
        <f>[1]DATABASE!AC845</f>
        <v>Sandra Viegas</v>
      </c>
    </row>
    <row r="885" spans="1:10" ht="13.95" customHeight="1" x14ac:dyDescent="0.3">
      <c r="A885">
        <f>ROW([1]DATABASE!A846)</f>
        <v>846</v>
      </c>
      <c r="B885" t="str">
        <f>[1]DATABASE!AJ846</f>
        <v>Monte Rei</v>
      </c>
      <c r="C885" t="str">
        <f>[1]DATABASE!C846</f>
        <v>8</v>
      </c>
      <c r="D885" t="str">
        <f>TRIM([1]DATABASE!Q846)</f>
        <v>AVAILABLE</v>
      </c>
      <c r="E885" s="82" t="str">
        <f>_xlfn.TEXTJOIN("; ",TRUE,IF([1]DATABASE!X846&lt;0,"Negative Discount",""),IF(AND([1]DATABASE!Y846&gt;[1]DATABASE!T846,[1]DATABASE!Y846&gt;0,[1]DATABASE!T846&gt;0),"Sell Price &gt; Current",""),IF(AND(TRIM([1]DATABASE!Q846)="DEED",[1]DATABASE!AA846=""),"Deeded no PSPA Date",""),IF([1]DATABASE!E846="","Missing Typology",""),IF([1]DATABASE!AJ846="","Missing Development",""))</f>
        <v/>
      </c>
      <c r="F885" s="82" t="str">
        <f>_xlfn.TEXTJOIN("; ",TRUE,IF(AND(OR(TRIM([1]DATABASE!Q846)="RESERVED",TRIM([1]DATABASE!Q846)="PRE-RESERVED",TRIM([1]DATABASE!Q846)="PSPA"),[1]DATABASE!AA846=""),"Reserved/PSPA no PSPA Date",""),IF(AND(TRIM([1]DATABASE!Q846)="AVAILABLE",[1]DATABASE!AA846&lt;&gt;""),"Available has PSPA Date",""))</f>
        <v/>
      </c>
      <c r="G885" s="82" t="str">
        <f>_xlfn.TEXTJOIN("; ",TRUE,IF(AND([1]DATABASE!T846&lt;0.8*[1]DATABASE!S846,[1]DATABASE!T846&gt;0,[1]DATABASE!S846&gt;0),"Heavy Price Cut &gt;20%",""),IF(AND(OR(TRIM([1]DATABASE!Q846)="AVAILABLE",TRIM([1]DATABASE!Q846)="UPON REQUEST"),OR([1]DATABASE!T846="",[1]DATABASE!T846=0)),"Active Unit no Price",""),IF(AND(OR(TRIM([1]DATABASE!Q846)="AVAILABLE",TRIM([1]DATABASE!Q846)="RESERVED",TRIM([1]DATABASE!Q846)="PRE-RESERVED",TRIM([1]DATABASE!Q846)="PSPA"),[1]DATABASE!AC846=""),"Active no Owner",""),IF(OR([1]DATABASE!F846="",[1]DATABASE!F846&lt;=0),"Missing/Invalid Area",""),IF(AND([1]DATABASE!T846&gt;0,ABS([1]DATABASE!T846-[1]DATABASE!W846-[1]DATABASE!U846-[1]DATABASE!V846)&gt;1),"Price Bridge Mismatch",""))</f>
        <v>Heavy Price Cut &gt;20%</v>
      </c>
      <c r="H885" t="str">
        <f t="shared" si="16"/>
        <v>REVIEW</v>
      </c>
      <c r="I885" s="90">
        <f>[1]DATABASE!T846</f>
        <v>770000</v>
      </c>
      <c r="J885" t="str">
        <f>[1]DATABASE!AC846</f>
        <v>Sandra Viegas</v>
      </c>
    </row>
    <row r="886" spans="1:10" ht="13.95" customHeight="1" x14ac:dyDescent="0.3">
      <c r="A886">
        <f>ROW([1]DATABASE!A847)</f>
        <v>847</v>
      </c>
      <c r="B886" t="str">
        <f>[1]DATABASE!AJ847</f>
        <v>Monte Rei</v>
      </c>
      <c r="C886" t="str">
        <f>[1]DATABASE!C847</f>
        <v>9</v>
      </c>
      <c r="D886" t="str">
        <f>TRIM([1]DATABASE!Q847)</f>
        <v>AVAILABLE</v>
      </c>
      <c r="E886" s="82" t="str">
        <f>_xlfn.TEXTJOIN("; ",TRUE,IF([1]DATABASE!X847&lt;0,"Negative Discount",""),IF(AND([1]DATABASE!Y847&gt;[1]DATABASE!T847,[1]DATABASE!Y847&gt;0,[1]DATABASE!T847&gt;0),"Sell Price &gt; Current",""),IF(AND(TRIM([1]DATABASE!Q847)="DEED",[1]DATABASE!AA847=""),"Deeded no PSPA Date",""),IF([1]DATABASE!E847="","Missing Typology",""),IF([1]DATABASE!AJ847="","Missing Development",""))</f>
        <v/>
      </c>
      <c r="F886" s="82" t="str">
        <f>_xlfn.TEXTJOIN("; ",TRUE,IF(AND(OR(TRIM([1]DATABASE!Q847)="RESERVED",TRIM([1]DATABASE!Q847)="PRE-RESERVED",TRIM([1]DATABASE!Q847)="PSPA"),[1]DATABASE!AA847=""),"Reserved/PSPA no PSPA Date",""),IF(AND(TRIM([1]DATABASE!Q847)="AVAILABLE",[1]DATABASE!AA847&lt;&gt;""),"Available has PSPA Date",""))</f>
        <v/>
      </c>
      <c r="G886" s="82" t="str">
        <f>_xlfn.TEXTJOIN("; ",TRUE,IF(AND([1]DATABASE!T847&lt;0.8*[1]DATABASE!S847,[1]DATABASE!T847&gt;0,[1]DATABASE!S847&gt;0),"Heavy Price Cut &gt;20%",""),IF(AND(OR(TRIM([1]DATABASE!Q847)="AVAILABLE",TRIM([1]DATABASE!Q847)="UPON REQUEST"),OR([1]DATABASE!T847="",[1]DATABASE!T847=0)),"Active Unit no Price",""),IF(AND(OR(TRIM([1]DATABASE!Q847)="AVAILABLE",TRIM([1]DATABASE!Q847)="RESERVED",TRIM([1]DATABASE!Q847)="PRE-RESERVED",TRIM([1]DATABASE!Q847)="PSPA"),[1]DATABASE!AC847=""),"Active no Owner",""),IF(OR([1]DATABASE!F847="",[1]DATABASE!F847&lt;=0),"Missing/Invalid Area",""),IF(AND([1]DATABASE!T847&gt;0,ABS([1]DATABASE!T847-[1]DATABASE!W847-[1]DATABASE!U847-[1]DATABASE!V847)&gt;1),"Price Bridge Mismatch",""))</f>
        <v>Heavy Price Cut &gt;20%</v>
      </c>
      <c r="H886" t="str">
        <f t="shared" si="16"/>
        <v>REVIEW</v>
      </c>
      <c r="I886" s="90">
        <f>[1]DATABASE!T847</f>
        <v>780000</v>
      </c>
      <c r="J886" t="str">
        <f>[1]DATABASE!AC847</f>
        <v>Sandra Viegas</v>
      </c>
    </row>
    <row r="887" spans="1:10" ht="13.95" customHeight="1" x14ac:dyDescent="0.3">
      <c r="A887">
        <f>ROW([1]DATABASE!A848)</f>
        <v>848</v>
      </c>
      <c r="B887" t="str">
        <f>[1]DATABASE!AJ848</f>
        <v>Monte Rei</v>
      </c>
      <c r="C887" t="str">
        <f>[1]DATABASE!C848</f>
        <v>10</v>
      </c>
      <c r="D887" t="str">
        <f>TRIM([1]DATABASE!Q848)</f>
        <v>AVAILABLE</v>
      </c>
      <c r="E887" s="82" t="str">
        <f>_xlfn.TEXTJOIN("; ",TRUE,IF([1]DATABASE!X848&lt;0,"Negative Discount",""),IF(AND([1]DATABASE!Y848&gt;[1]DATABASE!T848,[1]DATABASE!Y848&gt;0,[1]DATABASE!T848&gt;0),"Sell Price &gt; Current",""),IF(AND(TRIM([1]DATABASE!Q848)="DEED",[1]DATABASE!AA848=""),"Deeded no PSPA Date",""),IF([1]DATABASE!E848="","Missing Typology",""),IF([1]DATABASE!AJ848="","Missing Development",""))</f>
        <v/>
      </c>
      <c r="F887" s="82" t="str">
        <f>_xlfn.TEXTJOIN("; ",TRUE,IF(AND(OR(TRIM([1]DATABASE!Q848)="RESERVED",TRIM([1]DATABASE!Q848)="PRE-RESERVED",TRIM([1]DATABASE!Q848)="PSPA"),[1]DATABASE!AA848=""),"Reserved/PSPA no PSPA Date",""),IF(AND(TRIM([1]DATABASE!Q848)="AVAILABLE",[1]DATABASE!AA848&lt;&gt;""),"Available has PSPA Date",""))</f>
        <v/>
      </c>
      <c r="G887" s="82" t="str">
        <f>_xlfn.TEXTJOIN("; ",TRUE,IF(AND([1]DATABASE!T848&lt;0.8*[1]DATABASE!S848,[1]DATABASE!T848&gt;0,[1]DATABASE!S848&gt;0),"Heavy Price Cut &gt;20%",""),IF(AND(OR(TRIM([1]DATABASE!Q848)="AVAILABLE",TRIM([1]DATABASE!Q848)="UPON REQUEST"),OR([1]DATABASE!T848="",[1]DATABASE!T848=0)),"Active Unit no Price",""),IF(AND(OR(TRIM([1]DATABASE!Q848)="AVAILABLE",TRIM([1]DATABASE!Q848)="RESERVED",TRIM([1]DATABASE!Q848)="PRE-RESERVED",TRIM([1]DATABASE!Q848)="PSPA"),[1]DATABASE!AC848=""),"Active no Owner",""),IF(OR([1]DATABASE!F848="",[1]DATABASE!F848&lt;=0),"Missing/Invalid Area",""),IF(AND([1]DATABASE!T848&gt;0,ABS([1]DATABASE!T848-[1]DATABASE!W848-[1]DATABASE!U848-[1]DATABASE!V848)&gt;1),"Price Bridge Mismatch",""))</f>
        <v>Heavy Price Cut &gt;20%</v>
      </c>
      <c r="H887" t="str">
        <f t="shared" si="16"/>
        <v>REVIEW</v>
      </c>
      <c r="I887" s="90">
        <f>[1]DATABASE!T848</f>
        <v>770000</v>
      </c>
      <c r="J887" t="str">
        <f>[1]DATABASE!AC848</f>
        <v>Sandra Viegas</v>
      </c>
    </row>
    <row r="888" spans="1:10" ht="13.95" customHeight="1" x14ac:dyDescent="0.3">
      <c r="A888">
        <f>ROW([1]DATABASE!A849)</f>
        <v>849</v>
      </c>
      <c r="B888" t="str">
        <f>[1]DATABASE!AJ849</f>
        <v>Monte Rei</v>
      </c>
      <c r="C888" t="str">
        <f>[1]DATABASE!C849</f>
        <v>11</v>
      </c>
      <c r="D888" t="str">
        <f>TRIM([1]DATABASE!Q849)</f>
        <v>AVAILABLE</v>
      </c>
      <c r="E888" s="82" t="str">
        <f>_xlfn.TEXTJOIN("; ",TRUE,IF([1]DATABASE!X849&lt;0,"Negative Discount",""),IF(AND([1]DATABASE!Y849&gt;[1]DATABASE!T849,[1]DATABASE!Y849&gt;0,[1]DATABASE!T849&gt;0),"Sell Price &gt; Current",""),IF(AND(TRIM([1]DATABASE!Q849)="DEED",[1]DATABASE!AA849=""),"Deeded no PSPA Date",""),IF([1]DATABASE!E849="","Missing Typology",""),IF([1]DATABASE!AJ849="","Missing Development",""))</f>
        <v/>
      </c>
      <c r="F888" s="82" t="str">
        <f>_xlfn.TEXTJOIN("; ",TRUE,IF(AND(OR(TRIM([1]DATABASE!Q849)="RESERVED",TRIM([1]DATABASE!Q849)="PRE-RESERVED",TRIM([1]DATABASE!Q849)="PSPA"),[1]DATABASE!AA849=""),"Reserved/PSPA no PSPA Date",""),IF(AND(TRIM([1]DATABASE!Q849)="AVAILABLE",[1]DATABASE!AA849&lt;&gt;""),"Available has PSPA Date",""))</f>
        <v/>
      </c>
      <c r="G888" s="82" t="str">
        <f>_xlfn.TEXTJOIN("; ",TRUE,IF(AND([1]DATABASE!T849&lt;0.8*[1]DATABASE!S849,[1]DATABASE!T849&gt;0,[1]DATABASE!S849&gt;0),"Heavy Price Cut &gt;20%",""),IF(AND(OR(TRIM([1]DATABASE!Q849)="AVAILABLE",TRIM([1]DATABASE!Q849)="UPON REQUEST"),OR([1]DATABASE!T849="",[1]DATABASE!T849=0)),"Active Unit no Price",""),IF(AND(OR(TRIM([1]DATABASE!Q849)="AVAILABLE",TRIM([1]DATABASE!Q849)="RESERVED",TRIM([1]DATABASE!Q849)="PRE-RESERVED",TRIM([1]DATABASE!Q849)="PSPA"),[1]DATABASE!AC849=""),"Active no Owner",""),IF(OR([1]DATABASE!F849="",[1]DATABASE!F849&lt;=0),"Missing/Invalid Area",""),IF(AND([1]DATABASE!T849&gt;0,ABS([1]DATABASE!T849-[1]DATABASE!W849-[1]DATABASE!U849-[1]DATABASE!V849)&gt;1),"Price Bridge Mismatch",""))</f>
        <v>Heavy Price Cut &gt;20%</v>
      </c>
      <c r="H888" t="str">
        <f t="shared" si="16"/>
        <v>REVIEW</v>
      </c>
      <c r="I888" s="90">
        <f>[1]DATABASE!T849</f>
        <v>710000</v>
      </c>
      <c r="J888" t="str">
        <f>[1]DATABASE!AC849</f>
        <v>Sandra Viegas</v>
      </c>
    </row>
    <row r="889" spans="1:10" ht="13.95" customHeight="1" x14ac:dyDescent="0.3">
      <c r="A889">
        <f>ROW([1]DATABASE!A850)</f>
        <v>850</v>
      </c>
      <c r="B889" t="str">
        <f>[1]DATABASE!AJ850</f>
        <v>Monte Rei</v>
      </c>
      <c r="C889" t="str">
        <f>[1]DATABASE!C850</f>
        <v>16</v>
      </c>
      <c r="D889" t="str">
        <f>TRIM([1]DATABASE!Q850)</f>
        <v>AVAILABLE</v>
      </c>
      <c r="E889" s="82" t="str">
        <f>_xlfn.TEXTJOIN("; ",TRUE,IF([1]DATABASE!X850&lt;0,"Negative Discount",""),IF(AND([1]DATABASE!Y850&gt;[1]DATABASE!T850,[1]DATABASE!Y850&gt;0,[1]DATABASE!T850&gt;0),"Sell Price &gt; Current",""),IF(AND(TRIM([1]DATABASE!Q850)="DEED",[1]DATABASE!AA850=""),"Deeded no PSPA Date",""),IF([1]DATABASE!E850="","Missing Typology",""),IF([1]DATABASE!AJ850="","Missing Development",""))</f>
        <v/>
      </c>
      <c r="F889" s="82" t="str">
        <f>_xlfn.TEXTJOIN("; ",TRUE,IF(AND(OR(TRIM([1]DATABASE!Q850)="RESERVED",TRIM([1]DATABASE!Q850)="PRE-RESERVED",TRIM([1]DATABASE!Q850)="PSPA"),[1]DATABASE!AA850=""),"Reserved/PSPA no PSPA Date",""),IF(AND(TRIM([1]DATABASE!Q850)="AVAILABLE",[1]DATABASE!AA850&lt;&gt;""),"Available has PSPA Date",""))</f>
        <v/>
      </c>
      <c r="G889" s="82" t="str">
        <f>_xlfn.TEXTJOIN("; ",TRUE,IF(AND([1]DATABASE!T850&lt;0.8*[1]DATABASE!S850,[1]DATABASE!T850&gt;0,[1]DATABASE!S850&gt;0),"Heavy Price Cut &gt;20%",""),IF(AND(OR(TRIM([1]DATABASE!Q850)="AVAILABLE",TRIM([1]DATABASE!Q850)="UPON REQUEST"),OR([1]DATABASE!T850="",[1]DATABASE!T850=0)),"Active Unit no Price",""),IF(AND(OR(TRIM([1]DATABASE!Q850)="AVAILABLE",TRIM([1]DATABASE!Q850)="RESERVED",TRIM([1]DATABASE!Q850)="PRE-RESERVED",TRIM([1]DATABASE!Q850)="PSPA"),[1]DATABASE!AC850=""),"Active no Owner",""),IF(OR([1]DATABASE!F850="",[1]DATABASE!F850&lt;=0),"Missing/Invalid Area",""),IF(AND([1]DATABASE!T850&gt;0,ABS([1]DATABASE!T850-[1]DATABASE!W850-[1]DATABASE!U850-[1]DATABASE!V850)&gt;1),"Price Bridge Mismatch",""))</f>
        <v/>
      </c>
      <c r="H889" t="str">
        <f t="shared" si="16"/>
        <v>PASS</v>
      </c>
      <c r="I889" s="90">
        <f>[1]DATABASE!T850</f>
        <v>820000</v>
      </c>
      <c r="J889" t="str">
        <f>[1]DATABASE!AC850</f>
        <v>Sandra Viegas</v>
      </c>
    </row>
    <row r="890" spans="1:10" ht="13.95" customHeight="1" x14ac:dyDescent="0.3">
      <c r="A890">
        <f>ROW([1]DATABASE!A851)</f>
        <v>851</v>
      </c>
      <c r="B890" t="str">
        <f>[1]DATABASE!AJ851</f>
        <v>Monte Rei</v>
      </c>
      <c r="C890" t="str">
        <f>[1]DATABASE!C851</f>
        <v>17</v>
      </c>
      <c r="D890" t="str">
        <f>TRIM([1]DATABASE!Q851)</f>
        <v>AVAILABLE</v>
      </c>
      <c r="E890" s="82" t="str">
        <f>_xlfn.TEXTJOIN("; ",TRUE,IF([1]DATABASE!X851&lt;0,"Negative Discount",""),IF(AND([1]DATABASE!Y851&gt;[1]DATABASE!T851,[1]DATABASE!Y851&gt;0,[1]DATABASE!T851&gt;0),"Sell Price &gt; Current",""),IF(AND(TRIM([1]DATABASE!Q851)="DEED",[1]DATABASE!AA851=""),"Deeded no PSPA Date",""),IF([1]DATABASE!E851="","Missing Typology",""),IF([1]DATABASE!AJ851="","Missing Development",""))</f>
        <v/>
      </c>
      <c r="F890" s="82" t="str">
        <f>_xlfn.TEXTJOIN("; ",TRUE,IF(AND(OR(TRIM([1]DATABASE!Q851)="RESERVED",TRIM([1]DATABASE!Q851)="PRE-RESERVED",TRIM([1]DATABASE!Q851)="PSPA"),[1]DATABASE!AA851=""),"Reserved/PSPA no PSPA Date",""),IF(AND(TRIM([1]DATABASE!Q851)="AVAILABLE",[1]DATABASE!AA851&lt;&gt;""),"Available has PSPA Date",""))</f>
        <v/>
      </c>
      <c r="G890" s="82" t="str">
        <f>_xlfn.TEXTJOIN("; ",TRUE,IF(AND([1]DATABASE!T851&lt;0.8*[1]DATABASE!S851,[1]DATABASE!T851&gt;0,[1]DATABASE!S851&gt;0),"Heavy Price Cut &gt;20%",""),IF(AND(OR(TRIM([1]DATABASE!Q851)="AVAILABLE",TRIM([1]DATABASE!Q851)="UPON REQUEST"),OR([1]DATABASE!T851="",[1]DATABASE!T851=0)),"Active Unit no Price",""),IF(AND(OR(TRIM([1]DATABASE!Q851)="AVAILABLE",TRIM([1]DATABASE!Q851)="RESERVED",TRIM([1]DATABASE!Q851)="PRE-RESERVED",TRIM([1]DATABASE!Q851)="PSPA"),[1]DATABASE!AC851=""),"Active no Owner",""),IF(OR([1]DATABASE!F851="",[1]DATABASE!F851&lt;=0),"Missing/Invalid Area",""),IF(AND([1]DATABASE!T851&gt;0,ABS([1]DATABASE!T851-[1]DATABASE!W851-[1]DATABASE!U851-[1]DATABASE!V851)&gt;1),"Price Bridge Mismatch",""))</f>
        <v/>
      </c>
      <c r="H890" t="str">
        <f t="shared" si="16"/>
        <v>PASS</v>
      </c>
      <c r="I890" s="90">
        <f>[1]DATABASE!T851</f>
        <v>840000</v>
      </c>
      <c r="J890" t="str">
        <f>[1]DATABASE!AC851</f>
        <v>Sandra Viegas</v>
      </c>
    </row>
    <row r="891" spans="1:10" ht="13.95" customHeight="1" x14ac:dyDescent="0.3">
      <c r="A891">
        <f>ROW([1]DATABASE!A852)</f>
        <v>852</v>
      </c>
      <c r="B891" t="str">
        <f>[1]DATABASE!AJ852</f>
        <v>Monte Rei</v>
      </c>
      <c r="C891" t="str">
        <f>[1]DATABASE!C852</f>
        <v>22</v>
      </c>
      <c r="D891" t="str">
        <f>TRIM([1]DATABASE!Q852)</f>
        <v>AVAILABLE</v>
      </c>
      <c r="E891" s="82" t="str">
        <f>_xlfn.TEXTJOIN("; ",TRUE,IF([1]DATABASE!X852&lt;0,"Negative Discount",""),IF(AND([1]DATABASE!Y852&gt;[1]DATABASE!T852,[1]DATABASE!Y852&gt;0,[1]DATABASE!T852&gt;0),"Sell Price &gt; Current",""),IF(AND(TRIM([1]DATABASE!Q852)="DEED",[1]DATABASE!AA852=""),"Deeded no PSPA Date",""),IF([1]DATABASE!E852="","Missing Typology",""),IF([1]DATABASE!AJ852="","Missing Development",""))</f>
        <v/>
      </c>
      <c r="F891" s="82" t="str">
        <f>_xlfn.TEXTJOIN("; ",TRUE,IF(AND(OR(TRIM([1]DATABASE!Q852)="RESERVED",TRIM([1]DATABASE!Q852)="PRE-RESERVED",TRIM([1]DATABASE!Q852)="PSPA"),[1]DATABASE!AA852=""),"Reserved/PSPA no PSPA Date",""),IF(AND(TRIM([1]DATABASE!Q852)="AVAILABLE",[1]DATABASE!AA852&lt;&gt;""),"Available has PSPA Date",""))</f>
        <v/>
      </c>
      <c r="G891" s="82" t="str">
        <f>_xlfn.TEXTJOIN("; ",TRUE,IF(AND([1]DATABASE!T852&lt;0.8*[1]DATABASE!S852,[1]DATABASE!T852&gt;0,[1]DATABASE!S852&gt;0),"Heavy Price Cut &gt;20%",""),IF(AND(OR(TRIM([1]DATABASE!Q852)="AVAILABLE",TRIM([1]DATABASE!Q852)="UPON REQUEST"),OR([1]DATABASE!T852="",[1]DATABASE!T852=0)),"Active Unit no Price",""),IF(AND(OR(TRIM([1]DATABASE!Q852)="AVAILABLE",TRIM([1]DATABASE!Q852)="RESERVED",TRIM([1]DATABASE!Q852)="PRE-RESERVED",TRIM([1]DATABASE!Q852)="PSPA"),[1]DATABASE!AC852=""),"Active no Owner",""),IF(OR([1]DATABASE!F852="",[1]DATABASE!F852&lt;=0),"Missing/Invalid Area",""),IF(AND([1]DATABASE!T852&gt;0,ABS([1]DATABASE!T852-[1]DATABASE!W852-[1]DATABASE!U852-[1]DATABASE!V852)&gt;1),"Price Bridge Mismatch",""))</f>
        <v/>
      </c>
      <c r="H891" t="str">
        <f t="shared" si="16"/>
        <v>PASS</v>
      </c>
      <c r="I891" s="90">
        <f>[1]DATABASE!T852</f>
        <v>860000</v>
      </c>
      <c r="J891" t="str">
        <f>[1]DATABASE!AC852</f>
        <v>Sandra Viegas</v>
      </c>
    </row>
    <row r="892" spans="1:10" ht="13.95" customHeight="1" x14ac:dyDescent="0.3">
      <c r="A892">
        <f>ROW([1]DATABASE!A853)</f>
        <v>853</v>
      </c>
      <c r="B892" t="str">
        <f>[1]DATABASE!AJ853</f>
        <v>Palmares</v>
      </c>
      <c r="C892" t="str">
        <f>[1]DATABASE!C853</f>
        <v>20</v>
      </c>
      <c r="D892" t="str">
        <f>TRIM([1]DATABASE!Q853)</f>
        <v>AVAILABLE</v>
      </c>
      <c r="E892" s="82" t="str">
        <f>_xlfn.TEXTJOIN("; ",TRUE,IF([1]DATABASE!X853&lt;0,"Negative Discount",""),IF(AND([1]DATABASE!Y853&gt;[1]DATABASE!T853,[1]DATABASE!Y853&gt;0,[1]DATABASE!T853&gt;0),"Sell Price &gt; Current",""),IF(AND(TRIM([1]DATABASE!Q853)="DEED",[1]DATABASE!AA853=""),"Deeded no PSPA Date",""),IF([1]DATABASE!E853="","Missing Typology",""),IF([1]DATABASE!AJ853="","Missing Development",""))</f>
        <v/>
      </c>
      <c r="F892" s="82" t="str">
        <f>_xlfn.TEXTJOIN("; ",TRUE,IF(AND(OR(TRIM([1]DATABASE!Q853)="RESERVED",TRIM([1]DATABASE!Q853)="PRE-RESERVED",TRIM([1]DATABASE!Q853)="PSPA"),[1]DATABASE!AA853=""),"Reserved/PSPA no PSPA Date",""),IF(AND(TRIM([1]DATABASE!Q853)="AVAILABLE",[1]DATABASE!AA853&lt;&gt;""),"Available has PSPA Date",""))</f>
        <v/>
      </c>
      <c r="G892" s="82" t="str">
        <f>_xlfn.TEXTJOIN("; ",TRUE,IF(AND([1]DATABASE!T853&lt;0.8*[1]DATABASE!S853,[1]DATABASE!T853&gt;0,[1]DATABASE!S853&gt;0),"Heavy Price Cut &gt;20%",""),IF(AND(OR(TRIM([1]DATABASE!Q853)="AVAILABLE",TRIM([1]DATABASE!Q853)="UPON REQUEST"),OR([1]DATABASE!T853="",[1]DATABASE!T853=0)),"Active Unit no Price",""),IF(AND(OR(TRIM([1]DATABASE!Q853)="AVAILABLE",TRIM([1]DATABASE!Q853)="RESERVED",TRIM([1]DATABASE!Q853)="PRE-RESERVED",TRIM([1]DATABASE!Q853)="PSPA"),[1]DATABASE!AC853=""),"Active no Owner",""),IF(OR([1]DATABASE!F853="",[1]DATABASE!F853&lt;=0),"Missing/Invalid Area",""),IF(AND([1]DATABASE!T853&gt;0,ABS([1]DATABASE!T853-[1]DATABASE!W853-[1]DATABASE!U853-[1]DATABASE!V853)&gt;1),"Price Bridge Mismatch",""))</f>
        <v/>
      </c>
      <c r="H892" t="str">
        <f t="shared" si="16"/>
        <v>PASS</v>
      </c>
      <c r="I892" s="90">
        <f>[1]DATABASE!T853</f>
        <v>1750000</v>
      </c>
      <c r="J892" t="str">
        <f>[1]DATABASE!AC853</f>
        <v>Sandra Viegas</v>
      </c>
    </row>
    <row r="893" spans="1:10" ht="13.95" customHeight="1" x14ac:dyDescent="0.3">
      <c r="A893">
        <f>ROW([1]DATABASE!A854)</f>
        <v>854</v>
      </c>
      <c r="B893" t="str">
        <f>[1]DATABASE!AJ854</f>
        <v>Botanica</v>
      </c>
      <c r="C893" t="str">
        <f>[1]DATABASE!C854</f>
        <v>BA</v>
      </c>
      <c r="D893" t="str">
        <f>TRIM([1]DATABASE!Q854)</f>
        <v>AVAILABLE</v>
      </c>
      <c r="E893" s="82" t="str">
        <f>_xlfn.TEXTJOIN("; ",TRUE,IF([1]DATABASE!X854&lt;0,"Negative Discount",""),IF(AND([1]DATABASE!Y854&gt;[1]DATABASE!T854,[1]DATABASE!Y854&gt;0,[1]DATABASE!T854&gt;0),"Sell Price &gt; Current",""),IF(AND(TRIM([1]DATABASE!Q854)="DEED",[1]DATABASE!AA854=""),"Deeded no PSPA Date",""),IF([1]DATABASE!E854="","Missing Typology",""),IF([1]DATABASE!AJ854="","Missing Development",""))</f>
        <v/>
      </c>
      <c r="F893" s="82" t="str">
        <f>_xlfn.TEXTJOIN("; ",TRUE,IF(AND(OR(TRIM([1]DATABASE!Q854)="RESERVED",TRIM([1]DATABASE!Q854)="PRE-RESERVED",TRIM([1]DATABASE!Q854)="PSPA"),[1]DATABASE!AA854=""),"Reserved/PSPA no PSPA Date",""),IF(AND(TRIM([1]DATABASE!Q854)="AVAILABLE",[1]DATABASE!AA854&lt;&gt;""),"Available has PSPA Date",""))</f>
        <v/>
      </c>
      <c r="G893" s="82" t="str">
        <f>_xlfn.TEXTJOIN("; ",TRUE,IF(AND([1]DATABASE!T854&lt;0.8*[1]DATABASE!S854,[1]DATABASE!T854&gt;0,[1]DATABASE!S854&gt;0),"Heavy Price Cut &gt;20%",""),IF(AND(OR(TRIM([1]DATABASE!Q854)="AVAILABLE",TRIM([1]DATABASE!Q854)="UPON REQUEST"),OR([1]DATABASE!T854="",[1]DATABASE!T854=0)),"Active Unit no Price",""),IF(AND(OR(TRIM([1]DATABASE!Q854)="AVAILABLE",TRIM([1]DATABASE!Q854)="RESERVED",TRIM([1]DATABASE!Q854)="PRE-RESERVED",TRIM([1]DATABASE!Q854)="PSPA"),[1]DATABASE!AC854=""),"Active no Owner",""),IF(OR([1]DATABASE!F854="",[1]DATABASE!F854&lt;=0),"Missing/Invalid Area",""),IF(AND([1]DATABASE!T854&gt;0,ABS([1]DATABASE!T854-[1]DATABASE!W854-[1]DATABASE!U854-[1]DATABASE!V854)&gt;1),"Price Bridge Mismatch",""))</f>
        <v/>
      </c>
      <c r="H893" t="str">
        <f t="shared" si="16"/>
        <v>PASS</v>
      </c>
      <c r="I893" s="90">
        <f>[1]DATABASE!T854</f>
        <v>1575000</v>
      </c>
      <c r="J893" t="str">
        <f>[1]DATABASE!AC854</f>
        <v>Ana Damásio</v>
      </c>
    </row>
    <row r="894" spans="1:10" ht="13.95" customHeight="1" x14ac:dyDescent="0.3">
      <c r="A894">
        <f>ROW([1]DATABASE!A855)</f>
        <v>855</v>
      </c>
      <c r="B894" t="str">
        <f>[1]DATABASE!AJ855</f>
        <v>Springs - At the Els</v>
      </c>
      <c r="C894" t="str">
        <f>[1]DATABASE!C855</f>
        <v>BA</v>
      </c>
      <c r="D894" t="str">
        <f>TRIM([1]DATABASE!Q855)</f>
        <v>AVAILABLE</v>
      </c>
      <c r="E894" s="82" t="str">
        <f>_xlfn.TEXTJOIN("; ",TRUE,IF([1]DATABASE!X855&lt;0,"Negative Discount",""),IF(AND([1]DATABASE!Y855&gt;[1]DATABASE!T855,[1]DATABASE!Y855&gt;0,[1]DATABASE!T855&gt;0),"Sell Price &gt; Current",""),IF(AND(TRIM([1]DATABASE!Q855)="DEED",[1]DATABASE!AA855=""),"Deeded no PSPA Date",""),IF([1]DATABASE!E855="","Missing Typology",""),IF([1]DATABASE!AJ855="","Missing Development",""))</f>
        <v/>
      </c>
      <c r="F894" s="82" t="str">
        <f>_xlfn.TEXTJOIN("; ",TRUE,IF(AND(OR(TRIM([1]DATABASE!Q855)="RESERVED",TRIM([1]DATABASE!Q855)="PRE-RESERVED",TRIM([1]DATABASE!Q855)="PSPA"),[1]DATABASE!AA855=""),"Reserved/PSPA no PSPA Date",""),IF(AND(TRIM([1]DATABASE!Q855)="AVAILABLE",[1]DATABASE!AA855&lt;&gt;""),"Available has PSPA Date",""))</f>
        <v/>
      </c>
      <c r="G894" s="82" t="str">
        <f>_xlfn.TEXTJOIN("; ",TRUE,IF(AND([1]DATABASE!T855&lt;0.8*[1]DATABASE!S855,[1]DATABASE!T855&gt;0,[1]DATABASE!S855&gt;0),"Heavy Price Cut &gt;20%",""),IF(AND(OR(TRIM([1]DATABASE!Q855)="AVAILABLE",TRIM([1]DATABASE!Q855)="UPON REQUEST"),OR([1]DATABASE!T855="",[1]DATABASE!T855=0)),"Active Unit no Price",""),IF(AND(OR(TRIM([1]DATABASE!Q855)="AVAILABLE",TRIM([1]DATABASE!Q855)="RESERVED",TRIM([1]DATABASE!Q855)="PRE-RESERVED",TRIM([1]DATABASE!Q855)="PSPA"),[1]DATABASE!AC855=""),"Active no Owner",""),IF(OR([1]DATABASE!F855="",[1]DATABASE!F855&lt;=0),"Missing/Invalid Area",""),IF(AND([1]DATABASE!T855&gt;0,ABS([1]DATABASE!T855-[1]DATABASE!W855-[1]DATABASE!U855-[1]DATABASE!V855)&gt;1),"Price Bridge Mismatch",""))</f>
        <v/>
      </c>
      <c r="H894" t="str">
        <f t="shared" si="16"/>
        <v>PASS</v>
      </c>
      <c r="I894" s="90">
        <f>[1]DATABASE!T855</f>
        <v>1680000</v>
      </c>
      <c r="J894" t="str">
        <f>[1]DATABASE!AC855</f>
        <v>Ana Damásio</v>
      </c>
    </row>
    <row r="895" spans="1:10" ht="13.95" customHeight="1" x14ac:dyDescent="0.3">
      <c r="A895">
        <f>ROW([1]DATABASE!A856)</f>
        <v>856</v>
      </c>
      <c r="B895" t="str">
        <f>[1]DATABASE!AJ856</f>
        <v>Zestia</v>
      </c>
      <c r="C895" t="str">
        <f>[1]DATABASE!C856</f>
        <v>BA</v>
      </c>
      <c r="D895" t="str">
        <f>TRIM([1]DATABASE!Q856)</f>
        <v>AVAILABLE</v>
      </c>
      <c r="E895" s="82" t="str">
        <f>_xlfn.TEXTJOIN("; ",TRUE,IF([1]DATABASE!X856&lt;0,"Negative Discount",""),IF(AND([1]DATABASE!Y856&gt;[1]DATABASE!T856,[1]DATABASE!Y856&gt;0,[1]DATABASE!T856&gt;0),"Sell Price &gt; Current",""),IF(AND(TRIM([1]DATABASE!Q856)="DEED",[1]DATABASE!AA856=""),"Deeded no PSPA Date",""),IF([1]DATABASE!E856="","Missing Typology",""),IF([1]DATABASE!AJ856="","Missing Development",""))</f>
        <v/>
      </c>
      <c r="F895" s="82" t="str">
        <f>_xlfn.TEXTJOIN("; ",TRUE,IF(AND(OR(TRIM([1]DATABASE!Q856)="RESERVED",TRIM([1]DATABASE!Q856)="PRE-RESERVED",TRIM([1]DATABASE!Q856)="PSPA"),[1]DATABASE!AA856=""),"Reserved/PSPA no PSPA Date",""),IF(AND(TRIM([1]DATABASE!Q856)="AVAILABLE",[1]DATABASE!AA856&lt;&gt;""),"Available has PSPA Date",""))</f>
        <v/>
      </c>
      <c r="G895" s="82" t="str">
        <f>_xlfn.TEXTJOIN("; ",TRUE,IF(AND([1]DATABASE!T856&lt;0.8*[1]DATABASE!S856,[1]DATABASE!T856&gt;0,[1]DATABASE!S856&gt;0),"Heavy Price Cut &gt;20%",""),IF(AND(OR(TRIM([1]DATABASE!Q856)="AVAILABLE",TRIM([1]DATABASE!Q856)="UPON REQUEST"),OR([1]DATABASE!T856="",[1]DATABASE!T856=0)),"Active Unit no Price",""),IF(AND(OR(TRIM([1]DATABASE!Q856)="AVAILABLE",TRIM([1]DATABASE!Q856)="RESERVED",TRIM([1]DATABASE!Q856)="PRE-RESERVED",TRIM([1]DATABASE!Q856)="PSPA"),[1]DATABASE!AC856=""),"Active no Owner",""),IF(OR([1]DATABASE!F856="",[1]DATABASE!F856&lt;=0),"Missing/Invalid Area",""),IF(AND([1]DATABASE!T856&gt;0,ABS([1]DATABASE!T856-[1]DATABASE!W856-[1]DATABASE!U856-[1]DATABASE!V856)&gt;1),"Price Bridge Mismatch",""))</f>
        <v/>
      </c>
      <c r="H895" t="str">
        <f t="shared" si="16"/>
        <v>PASS</v>
      </c>
      <c r="I895" s="90">
        <f>[1]DATABASE!T856</f>
        <v>940000</v>
      </c>
      <c r="J895" t="str">
        <f>[1]DATABASE!AC856</f>
        <v>Ana Damásio</v>
      </c>
    </row>
    <row r="896" spans="1:10" ht="13.95" customHeight="1" x14ac:dyDescent="0.3">
      <c r="A896">
        <f>ROW([1]DATABASE!A857)</f>
        <v>857</v>
      </c>
      <c r="B896" t="str">
        <f>[1]DATABASE!AJ857</f>
        <v>Springs - At the Els</v>
      </c>
      <c r="C896" t="str">
        <f>[1]DATABASE!C857</f>
        <v>BB</v>
      </c>
      <c r="D896" t="str">
        <f>TRIM([1]DATABASE!Q857)</f>
        <v>AVAILABLE</v>
      </c>
      <c r="E896" s="82" t="str">
        <f>_xlfn.TEXTJOIN("; ",TRUE,IF([1]DATABASE!X857&lt;0,"Negative Discount",""),IF(AND([1]DATABASE!Y857&gt;[1]DATABASE!T857,[1]DATABASE!Y857&gt;0,[1]DATABASE!T857&gt;0),"Sell Price &gt; Current",""),IF(AND(TRIM([1]DATABASE!Q857)="DEED",[1]DATABASE!AA857=""),"Deeded no PSPA Date",""),IF([1]DATABASE!E857="","Missing Typology",""),IF([1]DATABASE!AJ857="","Missing Development",""))</f>
        <v/>
      </c>
      <c r="F896" s="82" t="str">
        <f>_xlfn.TEXTJOIN("; ",TRUE,IF(AND(OR(TRIM([1]DATABASE!Q857)="RESERVED",TRIM([1]DATABASE!Q857)="PRE-RESERVED",TRIM([1]DATABASE!Q857)="PSPA"),[1]DATABASE!AA857=""),"Reserved/PSPA no PSPA Date",""),IF(AND(TRIM([1]DATABASE!Q857)="AVAILABLE",[1]DATABASE!AA857&lt;&gt;""),"Available has PSPA Date",""))</f>
        <v/>
      </c>
      <c r="G896" s="82" t="str">
        <f>_xlfn.TEXTJOIN("; ",TRUE,IF(AND([1]DATABASE!T857&lt;0.8*[1]DATABASE!S857,[1]DATABASE!T857&gt;0,[1]DATABASE!S857&gt;0),"Heavy Price Cut &gt;20%",""),IF(AND(OR(TRIM([1]DATABASE!Q857)="AVAILABLE",TRIM([1]DATABASE!Q857)="UPON REQUEST"),OR([1]DATABASE!T857="",[1]DATABASE!T857=0)),"Active Unit no Price",""),IF(AND(OR(TRIM([1]DATABASE!Q857)="AVAILABLE",TRIM([1]DATABASE!Q857)="RESERVED",TRIM([1]DATABASE!Q857)="PRE-RESERVED",TRIM([1]DATABASE!Q857)="PSPA"),[1]DATABASE!AC857=""),"Active no Owner",""),IF(OR([1]DATABASE!F857="",[1]DATABASE!F857&lt;=0),"Missing/Invalid Area",""),IF(AND([1]DATABASE!T857&gt;0,ABS([1]DATABASE!T857-[1]DATABASE!W857-[1]DATABASE!U857-[1]DATABASE!V857)&gt;1),"Price Bridge Mismatch",""))</f>
        <v/>
      </c>
      <c r="H896" t="str">
        <f t="shared" si="16"/>
        <v>PASS</v>
      </c>
      <c r="I896" s="90">
        <f>[1]DATABASE!T857</f>
        <v>1930000</v>
      </c>
      <c r="J896" t="str">
        <f>[1]DATABASE!AC857</f>
        <v>Ana Damásio</v>
      </c>
    </row>
    <row r="897" spans="1:10" ht="13.95" customHeight="1" x14ac:dyDescent="0.3">
      <c r="A897">
        <f>ROW([1]DATABASE!A858)</f>
        <v>858</v>
      </c>
      <c r="B897" t="str">
        <f>[1]DATABASE!AJ858</f>
        <v>Monte Rei</v>
      </c>
      <c r="C897" t="str">
        <f>[1]DATABASE!C858</f>
        <v>3</v>
      </c>
      <c r="D897" t="str">
        <f>TRIM([1]DATABASE!Q858)</f>
        <v>AVAILABLE</v>
      </c>
      <c r="E897" s="82" t="str">
        <f>_xlfn.TEXTJOIN("; ",TRUE,IF([1]DATABASE!X858&lt;0,"Negative Discount",""),IF(AND([1]DATABASE!Y858&gt;[1]DATABASE!T858,[1]DATABASE!Y858&gt;0,[1]DATABASE!T858&gt;0),"Sell Price &gt; Current",""),IF(AND(TRIM([1]DATABASE!Q858)="DEED",[1]DATABASE!AA858=""),"Deeded no PSPA Date",""),IF([1]DATABASE!E858="","Missing Typology",""),IF([1]DATABASE!AJ858="","Missing Development",""))</f>
        <v/>
      </c>
      <c r="F897" s="82" t="str">
        <f>_xlfn.TEXTJOIN("; ",TRUE,IF(AND(OR(TRIM([1]DATABASE!Q858)="RESERVED",TRIM([1]DATABASE!Q858)="PRE-RESERVED",TRIM([1]DATABASE!Q858)="PSPA"),[1]DATABASE!AA858=""),"Reserved/PSPA no PSPA Date",""),IF(AND(TRIM([1]DATABASE!Q858)="AVAILABLE",[1]DATABASE!AA858&lt;&gt;""),"Available has PSPA Date",""))</f>
        <v/>
      </c>
      <c r="G897" s="82" t="str">
        <f>_xlfn.TEXTJOIN("; ",TRUE,IF(AND([1]DATABASE!T858&lt;0.8*[1]DATABASE!S858,[1]DATABASE!T858&gt;0,[1]DATABASE!S858&gt;0),"Heavy Price Cut &gt;20%",""),IF(AND(OR(TRIM([1]DATABASE!Q858)="AVAILABLE",TRIM([1]DATABASE!Q858)="UPON REQUEST"),OR([1]DATABASE!T858="",[1]DATABASE!T858=0)),"Active Unit no Price",""),IF(AND(OR(TRIM([1]DATABASE!Q858)="AVAILABLE",TRIM([1]DATABASE!Q858)="RESERVED",TRIM([1]DATABASE!Q858)="PRE-RESERVED",TRIM([1]DATABASE!Q858)="PSPA"),[1]DATABASE!AC858=""),"Active no Owner",""),IF(OR([1]DATABASE!F858="",[1]DATABASE!F858&lt;=0),"Missing/Invalid Area",""),IF(AND([1]DATABASE!T858&gt;0,ABS([1]DATABASE!T858-[1]DATABASE!W858-[1]DATABASE!U858-[1]DATABASE!V858)&gt;1),"Price Bridge Mismatch",""))</f>
        <v/>
      </c>
      <c r="H897" t="str">
        <f t="shared" si="16"/>
        <v>PASS</v>
      </c>
      <c r="I897" s="90">
        <f>[1]DATABASE!T858</f>
        <v>860000</v>
      </c>
      <c r="J897" t="str">
        <f>[1]DATABASE!AC858</f>
        <v>Sandra Viegas</v>
      </c>
    </row>
    <row r="898" spans="1:10" ht="13.95" customHeight="1" x14ac:dyDescent="0.3">
      <c r="A898">
        <f>ROW([1]DATABASE!A859)</f>
        <v>859</v>
      </c>
      <c r="B898" t="str">
        <f>[1]DATABASE!AJ859</f>
        <v>Zestia</v>
      </c>
      <c r="C898" t="str">
        <f>[1]DATABASE!C859</f>
        <v>BB</v>
      </c>
      <c r="D898" t="str">
        <f>TRIM([1]DATABASE!Q859)</f>
        <v>AVAILABLE</v>
      </c>
      <c r="E898" s="82" t="str">
        <f>_xlfn.TEXTJOIN("; ",TRUE,IF([1]DATABASE!X859&lt;0,"Negative Discount",""),IF(AND([1]DATABASE!Y859&gt;[1]DATABASE!T859,[1]DATABASE!Y859&gt;0,[1]DATABASE!T859&gt;0),"Sell Price &gt; Current",""),IF(AND(TRIM([1]DATABASE!Q859)="DEED",[1]DATABASE!AA859=""),"Deeded no PSPA Date",""),IF([1]DATABASE!E859="","Missing Typology",""),IF([1]DATABASE!AJ859="","Missing Development",""))</f>
        <v/>
      </c>
      <c r="F898" s="82" t="str">
        <f>_xlfn.TEXTJOIN("; ",TRUE,IF(AND(OR(TRIM([1]DATABASE!Q859)="RESERVED",TRIM([1]DATABASE!Q859)="PRE-RESERVED",TRIM([1]DATABASE!Q859)="PSPA"),[1]DATABASE!AA859=""),"Reserved/PSPA no PSPA Date",""),IF(AND(TRIM([1]DATABASE!Q859)="AVAILABLE",[1]DATABASE!AA859&lt;&gt;""),"Available has PSPA Date",""))</f>
        <v/>
      </c>
      <c r="G898" s="82" t="str">
        <f>_xlfn.TEXTJOIN("; ",TRUE,IF(AND([1]DATABASE!T859&lt;0.8*[1]DATABASE!S859,[1]DATABASE!T859&gt;0,[1]DATABASE!S859&gt;0),"Heavy Price Cut &gt;20%",""),IF(AND(OR(TRIM([1]DATABASE!Q859)="AVAILABLE",TRIM([1]DATABASE!Q859)="UPON REQUEST"),OR([1]DATABASE!T859="",[1]DATABASE!T859=0)),"Active Unit no Price",""),IF(AND(OR(TRIM([1]DATABASE!Q859)="AVAILABLE",TRIM([1]DATABASE!Q859)="RESERVED",TRIM([1]DATABASE!Q859)="PRE-RESERVED",TRIM([1]DATABASE!Q859)="PSPA"),[1]DATABASE!AC859=""),"Active no Owner",""),IF(OR([1]DATABASE!F859="",[1]DATABASE!F859&lt;=0),"Missing/Invalid Area",""),IF(AND([1]DATABASE!T859&gt;0,ABS([1]DATABASE!T859-[1]DATABASE!W859-[1]DATABASE!U859-[1]DATABASE!V859)&gt;1),"Price Bridge Mismatch",""))</f>
        <v/>
      </c>
      <c r="H898" t="str">
        <f t="shared" si="16"/>
        <v>PASS</v>
      </c>
      <c r="I898" s="90">
        <f>[1]DATABASE!T859</f>
        <v>960000</v>
      </c>
      <c r="J898" t="str">
        <f>[1]DATABASE!AC859</f>
        <v>Ana Damásio</v>
      </c>
    </row>
    <row r="899" spans="1:10" ht="13.95" customHeight="1" x14ac:dyDescent="0.3">
      <c r="A899">
        <f>ROW([1]DATABASE!A860)</f>
        <v>860</v>
      </c>
      <c r="B899" t="str">
        <f>[1]DATABASE!AJ860</f>
        <v>Springs - At the Els</v>
      </c>
      <c r="C899" t="str">
        <f>[1]DATABASE!C860</f>
        <v>BC</v>
      </c>
      <c r="D899" t="str">
        <f>TRIM([1]DATABASE!Q860)</f>
        <v>AVAILABLE</v>
      </c>
      <c r="E899" s="82" t="str">
        <f>_xlfn.TEXTJOIN("; ",TRUE,IF([1]DATABASE!X860&lt;0,"Negative Discount",""),IF(AND([1]DATABASE!Y860&gt;[1]DATABASE!T860,[1]DATABASE!Y860&gt;0,[1]DATABASE!T860&gt;0),"Sell Price &gt; Current",""),IF(AND(TRIM([1]DATABASE!Q860)="DEED",[1]DATABASE!AA860=""),"Deeded no PSPA Date",""),IF([1]DATABASE!E860="","Missing Typology",""),IF([1]DATABASE!AJ860="","Missing Development",""))</f>
        <v/>
      </c>
      <c r="F899" s="82" t="str">
        <f>_xlfn.TEXTJOIN("; ",TRUE,IF(AND(OR(TRIM([1]DATABASE!Q860)="RESERVED",TRIM([1]DATABASE!Q860)="PRE-RESERVED",TRIM([1]DATABASE!Q860)="PSPA"),[1]DATABASE!AA860=""),"Reserved/PSPA no PSPA Date",""),IF(AND(TRIM([1]DATABASE!Q860)="AVAILABLE",[1]DATABASE!AA860&lt;&gt;""),"Available has PSPA Date",""))</f>
        <v/>
      </c>
      <c r="G899" s="82" t="str">
        <f>_xlfn.TEXTJOIN("; ",TRUE,IF(AND([1]DATABASE!T860&lt;0.8*[1]DATABASE!S860,[1]DATABASE!T860&gt;0,[1]DATABASE!S860&gt;0),"Heavy Price Cut &gt;20%",""),IF(AND(OR(TRIM([1]DATABASE!Q860)="AVAILABLE",TRIM([1]DATABASE!Q860)="UPON REQUEST"),OR([1]DATABASE!T860="",[1]DATABASE!T860=0)),"Active Unit no Price",""),IF(AND(OR(TRIM([1]DATABASE!Q860)="AVAILABLE",TRIM([1]DATABASE!Q860)="RESERVED",TRIM([1]DATABASE!Q860)="PRE-RESERVED",TRIM([1]DATABASE!Q860)="PSPA"),[1]DATABASE!AC860=""),"Active no Owner",""),IF(OR([1]DATABASE!F860="",[1]DATABASE!F860&lt;=0),"Missing/Invalid Area",""),IF(AND([1]DATABASE!T860&gt;0,ABS([1]DATABASE!T860-[1]DATABASE!W860-[1]DATABASE!U860-[1]DATABASE!V860)&gt;1),"Price Bridge Mismatch",""))</f>
        <v/>
      </c>
      <c r="H899" t="str">
        <f t="shared" si="16"/>
        <v>PASS</v>
      </c>
      <c r="I899" s="90">
        <f>[1]DATABASE!T860</f>
        <v>1990000</v>
      </c>
      <c r="J899" t="str">
        <f>[1]DATABASE!AC860</f>
        <v>Ana Damásio</v>
      </c>
    </row>
    <row r="900" spans="1:10" ht="13.95" customHeight="1" x14ac:dyDescent="0.3">
      <c r="A900">
        <f>ROW([1]DATABASE!A861)</f>
        <v>861</v>
      </c>
      <c r="B900" t="str">
        <f>[1]DATABASE!AJ861</f>
        <v>Monte Rei</v>
      </c>
      <c r="C900" t="str">
        <f>[1]DATABASE!C861</f>
        <v>4</v>
      </c>
      <c r="D900" t="str">
        <f>TRIM([1]DATABASE!Q861)</f>
        <v>AVAILABLE</v>
      </c>
      <c r="E900" s="82" t="str">
        <f>_xlfn.TEXTJOIN("; ",TRUE,IF([1]DATABASE!X861&lt;0,"Negative Discount",""),IF(AND([1]DATABASE!Y861&gt;[1]DATABASE!T861,[1]DATABASE!Y861&gt;0,[1]DATABASE!T861&gt;0),"Sell Price &gt; Current",""),IF(AND(TRIM([1]DATABASE!Q861)="DEED",[1]DATABASE!AA861=""),"Deeded no PSPA Date",""),IF([1]DATABASE!E861="","Missing Typology",""),IF([1]DATABASE!AJ861="","Missing Development",""))</f>
        <v/>
      </c>
      <c r="F900" s="82" t="str">
        <f>_xlfn.TEXTJOIN("; ",TRUE,IF(AND(OR(TRIM([1]DATABASE!Q861)="RESERVED",TRIM([1]DATABASE!Q861)="PRE-RESERVED",TRIM([1]DATABASE!Q861)="PSPA"),[1]DATABASE!AA861=""),"Reserved/PSPA no PSPA Date",""),IF(AND(TRIM([1]DATABASE!Q861)="AVAILABLE",[1]DATABASE!AA861&lt;&gt;""),"Available has PSPA Date",""))</f>
        <v/>
      </c>
      <c r="G900" s="82" t="str">
        <f>_xlfn.TEXTJOIN("; ",TRUE,IF(AND([1]DATABASE!T861&lt;0.8*[1]DATABASE!S861,[1]DATABASE!T861&gt;0,[1]DATABASE!S861&gt;0),"Heavy Price Cut &gt;20%",""),IF(AND(OR(TRIM([1]DATABASE!Q861)="AVAILABLE",TRIM([1]DATABASE!Q861)="UPON REQUEST"),OR([1]DATABASE!T861="",[1]DATABASE!T861=0)),"Active Unit no Price",""),IF(AND(OR(TRIM([1]DATABASE!Q861)="AVAILABLE",TRIM([1]DATABASE!Q861)="RESERVED",TRIM([1]DATABASE!Q861)="PRE-RESERVED",TRIM([1]DATABASE!Q861)="PSPA"),[1]DATABASE!AC861=""),"Active no Owner",""),IF(OR([1]DATABASE!F861="",[1]DATABASE!F861&lt;=0),"Missing/Invalid Area",""),IF(AND([1]DATABASE!T861&gt;0,ABS([1]DATABASE!T861-[1]DATABASE!W861-[1]DATABASE!U861-[1]DATABASE!V861)&gt;1),"Price Bridge Mismatch",""))</f>
        <v/>
      </c>
      <c r="H900" t="str">
        <f t="shared" si="16"/>
        <v>PASS</v>
      </c>
      <c r="I900" s="90">
        <f>[1]DATABASE!T861</f>
        <v>860000</v>
      </c>
      <c r="J900" t="str">
        <f>[1]DATABASE!AC861</f>
        <v>Sandra Viegas</v>
      </c>
    </row>
    <row r="901" spans="1:10" ht="13.95" customHeight="1" x14ac:dyDescent="0.3">
      <c r="A901">
        <f>ROW([1]DATABASE!A862)</f>
        <v>862</v>
      </c>
      <c r="B901" t="str">
        <f>[1]DATABASE!AJ862</f>
        <v>Botanica</v>
      </c>
      <c r="C901" t="str">
        <f>[1]DATABASE!C862</f>
        <v>BD</v>
      </c>
      <c r="D901" t="str">
        <f>TRIM([1]DATABASE!Q862)</f>
        <v>AVAILABLE</v>
      </c>
      <c r="E901" s="82" t="str">
        <f>_xlfn.TEXTJOIN("; ",TRUE,IF([1]DATABASE!X862&lt;0,"Negative Discount",""),IF(AND([1]DATABASE!Y862&gt;[1]DATABASE!T862,[1]DATABASE!Y862&gt;0,[1]DATABASE!T862&gt;0),"Sell Price &gt; Current",""),IF(AND(TRIM([1]DATABASE!Q862)="DEED",[1]DATABASE!AA862=""),"Deeded no PSPA Date",""),IF([1]DATABASE!E862="","Missing Typology",""),IF([1]DATABASE!AJ862="","Missing Development",""))</f>
        <v/>
      </c>
      <c r="F901" s="82" t="str">
        <f>_xlfn.TEXTJOIN("; ",TRUE,IF(AND(OR(TRIM([1]DATABASE!Q862)="RESERVED",TRIM([1]DATABASE!Q862)="PRE-RESERVED",TRIM([1]DATABASE!Q862)="PSPA"),[1]DATABASE!AA862=""),"Reserved/PSPA no PSPA Date",""),IF(AND(TRIM([1]DATABASE!Q862)="AVAILABLE",[1]DATABASE!AA862&lt;&gt;""),"Available has PSPA Date",""))</f>
        <v/>
      </c>
      <c r="G901" s="82" t="str">
        <f>_xlfn.TEXTJOIN("; ",TRUE,IF(AND([1]DATABASE!T862&lt;0.8*[1]DATABASE!S862,[1]DATABASE!T862&gt;0,[1]DATABASE!S862&gt;0),"Heavy Price Cut &gt;20%",""),IF(AND(OR(TRIM([1]DATABASE!Q862)="AVAILABLE",TRIM([1]DATABASE!Q862)="UPON REQUEST"),OR([1]DATABASE!T862="",[1]DATABASE!T862=0)),"Active Unit no Price",""),IF(AND(OR(TRIM([1]DATABASE!Q862)="AVAILABLE",TRIM([1]DATABASE!Q862)="RESERVED",TRIM([1]DATABASE!Q862)="PRE-RESERVED",TRIM([1]DATABASE!Q862)="PSPA"),[1]DATABASE!AC862=""),"Active no Owner",""),IF(OR([1]DATABASE!F862="",[1]DATABASE!F862&lt;=0),"Missing/Invalid Area",""),IF(AND([1]DATABASE!T862&gt;0,ABS([1]DATABASE!T862-[1]DATABASE!W862-[1]DATABASE!U862-[1]DATABASE!V862)&gt;1),"Price Bridge Mismatch",""))</f>
        <v/>
      </c>
      <c r="H901" t="str">
        <f t="shared" si="16"/>
        <v>PASS</v>
      </c>
      <c r="I901" s="90">
        <f>[1]DATABASE!T862</f>
        <v>1225000</v>
      </c>
      <c r="J901" t="str">
        <f>[1]DATABASE!AC862</f>
        <v>Ana Damásio</v>
      </c>
    </row>
    <row r="902" spans="1:10" ht="13.95" customHeight="1" x14ac:dyDescent="0.3">
      <c r="A902">
        <f>ROW([1]DATABASE!A863)</f>
        <v>863</v>
      </c>
      <c r="B902" t="str">
        <f>[1]DATABASE!AJ863</f>
        <v>Springs - At the Els</v>
      </c>
      <c r="C902" t="str">
        <f>[1]DATABASE!C863</f>
        <v>BD</v>
      </c>
      <c r="D902" t="str">
        <f>TRIM([1]DATABASE!Q863)</f>
        <v>AVAILABLE</v>
      </c>
      <c r="E902" s="82" t="str">
        <f>_xlfn.TEXTJOIN("; ",TRUE,IF([1]DATABASE!X863&lt;0,"Negative Discount",""),IF(AND([1]DATABASE!Y863&gt;[1]DATABASE!T863,[1]DATABASE!Y863&gt;0,[1]DATABASE!T863&gt;0),"Sell Price &gt; Current",""),IF(AND(TRIM([1]DATABASE!Q863)="DEED",[1]DATABASE!AA863=""),"Deeded no PSPA Date",""),IF([1]DATABASE!E863="","Missing Typology",""),IF([1]DATABASE!AJ863="","Missing Development",""))</f>
        <v/>
      </c>
      <c r="F902" s="82" t="str">
        <f>_xlfn.TEXTJOIN("; ",TRUE,IF(AND(OR(TRIM([1]DATABASE!Q863)="RESERVED",TRIM([1]DATABASE!Q863)="PRE-RESERVED",TRIM([1]DATABASE!Q863)="PSPA"),[1]DATABASE!AA863=""),"Reserved/PSPA no PSPA Date",""),IF(AND(TRIM([1]DATABASE!Q863)="AVAILABLE",[1]DATABASE!AA863&lt;&gt;""),"Available has PSPA Date",""))</f>
        <v/>
      </c>
      <c r="G902" s="82" t="str">
        <f>_xlfn.TEXTJOIN("; ",TRUE,IF(AND([1]DATABASE!T863&lt;0.8*[1]DATABASE!S863,[1]DATABASE!T863&gt;0,[1]DATABASE!S863&gt;0),"Heavy Price Cut &gt;20%",""),IF(AND(OR(TRIM([1]DATABASE!Q863)="AVAILABLE",TRIM([1]DATABASE!Q863)="UPON REQUEST"),OR([1]DATABASE!T863="",[1]DATABASE!T863=0)),"Active Unit no Price",""),IF(AND(OR(TRIM([1]DATABASE!Q863)="AVAILABLE",TRIM([1]DATABASE!Q863)="RESERVED",TRIM([1]DATABASE!Q863)="PRE-RESERVED",TRIM([1]DATABASE!Q863)="PSPA"),[1]DATABASE!AC863=""),"Active no Owner",""),IF(OR([1]DATABASE!F863="",[1]DATABASE!F863&lt;=0),"Missing/Invalid Area",""),IF(AND([1]DATABASE!T863&gt;0,ABS([1]DATABASE!T863-[1]DATABASE!W863-[1]DATABASE!U863-[1]DATABASE!V863)&gt;1),"Price Bridge Mismatch",""))</f>
        <v/>
      </c>
      <c r="H902" t="str">
        <f t="shared" si="16"/>
        <v>PASS</v>
      </c>
      <c r="I902" s="90">
        <f>[1]DATABASE!T863</f>
        <v>2080000</v>
      </c>
      <c r="J902" t="str">
        <f>[1]DATABASE!AC863</f>
        <v>Ana Damásio</v>
      </c>
    </row>
    <row r="903" spans="1:10" ht="13.95" customHeight="1" x14ac:dyDescent="0.3">
      <c r="A903">
        <f>ROW([1]DATABASE!A864)</f>
        <v>864</v>
      </c>
      <c r="B903" t="str">
        <f>[1]DATABASE!AJ864</f>
        <v>Zestia</v>
      </c>
      <c r="C903" t="str">
        <f>[1]DATABASE!C864</f>
        <v>BD</v>
      </c>
      <c r="D903" t="str">
        <f>TRIM([1]DATABASE!Q864)</f>
        <v>AVAILABLE</v>
      </c>
      <c r="E903" s="82" t="str">
        <f>_xlfn.TEXTJOIN("; ",TRUE,IF([1]DATABASE!X864&lt;0,"Negative Discount",""),IF(AND([1]DATABASE!Y864&gt;[1]DATABASE!T864,[1]DATABASE!Y864&gt;0,[1]DATABASE!T864&gt;0),"Sell Price &gt; Current",""),IF(AND(TRIM([1]DATABASE!Q864)="DEED",[1]DATABASE!AA864=""),"Deeded no PSPA Date",""),IF([1]DATABASE!E864="","Missing Typology",""),IF([1]DATABASE!AJ864="","Missing Development",""))</f>
        <v/>
      </c>
      <c r="F903" s="82" t="str">
        <f>_xlfn.TEXTJOIN("; ",TRUE,IF(AND(OR(TRIM([1]DATABASE!Q864)="RESERVED",TRIM([1]DATABASE!Q864)="PRE-RESERVED",TRIM([1]DATABASE!Q864)="PSPA"),[1]DATABASE!AA864=""),"Reserved/PSPA no PSPA Date",""),IF(AND(TRIM([1]DATABASE!Q864)="AVAILABLE",[1]DATABASE!AA864&lt;&gt;""),"Available has PSPA Date",""))</f>
        <v/>
      </c>
      <c r="G903" s="82" t="str">
        <f>_xlfn.TEXTJOIN("; ",TRUE,IF(AND([1]DATABASE!T864&lt;0.8*[1]DATABASE!S864,[1]DATABASE!T864&gt;0,[1]DATABASE!S864&gt;0),"Heavy Price Cut &gt;20%",""),IF(AND(OR(TRIM([1]DATABASE!Q864)="AVAILABLE",TRIM([1]DATABASE!Q864)="UPON REQUEST"),OR([1]DATABASE!T864="",[1]DATABASE!T864=0)),"Active Unit no Price",""),IF(AND(OR(TRIM([1]DATABASE!Q864)="AVAILABLE",TRIM([1]DATABASE!Q864)="RESERVED",TRIM([1]DATABASE!Q864)="PRE-RESERVED",TRIM([1]DATABASE!Q864)="PSPA"),[1]DATABASE!AC864=""),"Active no Owner",""),IF(OR([1]DATABASE!F864="",[1]DATABASE!F864&lt;=0),"Missing/Invalid Area",""),IF(AND([1]DATABASE!T864&gt;0,ABS([1]DATABASE!T864-[1]DATABASE!W864-[1]DATABASE!U864-[1]DATABASE!V864)&gt;1),"Price Bridge Mismatch",""))</f>
        <v/>
      </c>
      <c r="H903" t="str">
        <f t="shared" si="16"/>
        <v>PASS</v>
      </c>
      <c r="I903" s="90">
        <f>[1]DATABASE!T864</f>
        <v>890000</v>
      </c>
      <c r="J903" t="str">
        <f>[1]DATABASE!AC864</f>
        <v>Ana Damásio</v>
      </c>
    </row>
    <row r="904" spans="1:10" ht="13.95" customHeight="1" x14ac:dyDescent="0.3">
      <c r="A904">
        <f>ROW([1]DATABASE!A865)</f>
        <v>865</v>
      </c>
      <c r="B904" t="str">
        <f>[1]DATABASE!AJ865</f>
        <v>Botanica</v>
      </c>
      <c r="C904" t="str">
        <f>[1]DATABASE!C865</f>
        <v>BE</v>
      </c>
      <c r="D904" t="str">
        <f>TRIM([1]DATABASE!Q865)</f>
        <v>AVAILABLE</v>
      </c>
      <c r="E904" s="82" t="str">
        <f>_xlfn.TEXTJOIN("; ",TRUE,IF([1]DATABASE!X865&lt;0,"Negative Discount",""),IF(AND([1]DATABASE!Y865&gt;[1]DATABASE!T865,[1]DATABASE!Y865&gt;0,[1]DATABASE!T865&gt;0),"Sell Price &gt; Current",""),IF(AND(TRIM([1]DATABASE!Q865)="DEED",[1]DATABASE!AA865=""),"Deeded no PSPA Date",""),IF([1]DATABASE!E865="","Missing Typology",""),IF([1]DATABASE!AJ865="","Missing Development",""))</f>
        <v/>
      </c>
      <c r="F904" s="82" t="str">
        <f>_xlfn.TEXTJOIN("; ",TRUE,IF(AND(OR(TRIM([1]DATABASE!Q865)="RESERVED",TRIM([1]DATABASE!Q865)="PRE-RESERVED",TRIM([1]DATABASE!Q865)="PSPA"),[1]DATABASE!AA865=""),"Reserved/PSPA no PSPA Date",""),IF(AND(TRIM([1]DATABASE!Q865)="AVAILABLE",[1]DATABASE!AA865&lt;&gt;""),"Available has PSPA Date",""))</f>
        <v/>
      </c>
      <c r="G904" s="82" t="str">
        <f>_xlfn.TEXTJOIN("; ",TRUE,IF(AND([1]DATABASE!T865&lt;0.8*[1]DATABASE!S865,[1]DATABASE!T865&gt;0,[1]DATABASE!S865&gt;0),"Heavy Price Cut &gt;20%",""),IF(AND(OR(TRIM([1]DATABASE!Q865)="AVAILABLE",TRIM([1]DATABASE!Q865)="UPON REQUEST"),OR([1]DATABASE!T865="",[1]DATABASE!T865=0)),"Active Unit no Price",""),IF(AND(OR(TRIM([1]DATABASE!Q865)="AVAILABLE",TRIM([1]DATABASE!Q865)="RESERVED",TRIM([1]DATABASE!Q865)="PRE-RESERVED",TRIM([1]DATABASE!Q865)="PSPA"),[1]DATABASE!AC865=""),"Active no Owner",""),IF(OR([1]DATABASE!F865="",[1]DATABASE!F865&lt;=0),"Missing/Invalid Area",""),IF(AND([1]DATABASE!T865&gt;0,ABS([1]DATABASE!T865-[1]DATABASE!W865-[1]DATABASE!U865-[1]DATABASE!V865)&gt;1),"Price Bridge Mismatch",""))</f>
        <v/>
      </c>
      <c r="H904" t="str">
        <f t="shared" si="16"/>
        <v>PASS</v>
      </c>
      <c r="I904" s="90">
        <f>[1]DATABASE!T865</f>
        <v>1250000</v>
      </c>
      <c r="J904" t="str">
        <f>[1]DATABASE!AC865</f>
        <v>Ana Damásio</v>
      </c>
    </row>
    <row r="905" spans="1:10" ht="13.95" customHeight="1" x14ac:dyDescent="0.3">
      <c r="A905">
        <f>ROW([1]DATABASE!A866)</f>
        <v>866</v>
      </c>
      <c r="B905" t="str">
        <f>[1]DATABASE!AJ866</f>
        <v>Springs - At the Els</v>
      </c>
      <c r="C905" t="str">
        <f>[1]DATABASE!C866</f>
        <v>BE</v>
      </c>
      <c r="D905" t="str">
        <f>TRIM([1]DATABASE!Q866)</f>
        <v>AVAILABLE</v>
      </c>
      <c r="E905" s="82" t="str">
        <f>_xlfn.TEXTJOIN("; ",TRUE,IF([1]DATABASE!X866&lt;0,"Negative Discount",""),IF(AND([1]DATABASE!Y866&gt;[1]DATABASE!T866,[1]DATABASE!Y866&gt;0,[1]DATABASE!T866&gt;0),"Sell Price &gt; Current",""),IF(AND(TRIM([1]DATABASE!Q866)="DEED",[1]DATABASE!AA866=""),"Deeded no PSPA Date",""),IF([1]DATABASE!E866="","Missing Typology",""),IF([1]DATABASE!AJ866="","Missing Development",""))</f>
        <v/>
      </c>
      <c r="F905" s="82" t="str">
        <f>_xlfn.TEXTJOIN("; ",TRUE,IF(AND(OR(TRIM([1]DATABASE!Q866)="RESERVED",TRIM([1]DATABASE!Q866)="PRE-RESERVED",TRIM([1]DATABASE!Q866)="PSPA"),[1]DATABASE!AA866=""),"Reserved/PSPA no PSPA Date",""),IF(AND(TRIM([1]DATABASE!Q866)="AVAILABLE",[1]DATABASE!AA866&lt;&gt;""),"Available has PSPA Date",""))</f>
        <v/>
      </c>
      <c r="G905" s="82" t="str">
        <f>_xlfn.TEXTJOIN("; ",TRUE,IF(AND([1]DATABASE!T866&lt;0.8*[1]DATABASE!S866,[1]DATABASE!T866&gt;0,[1]DATABASE!S866&gt;0),"Heavy Price Cut &gt;20%",""),IF(AND(OR(TRIM([1]DATABASE!Q866)="AVAILABLE",TRIM([1]DATABASE!Q866)="UPON REQUEST"),OR([1]DATABASE!T866="",[1]DATABASE!T866=0)),"Active Unit no Price",""),IF(AND(OR(TRIM([1]DATABASE!Q866)="AVAILABLE",TRIM([1]DATABASE!Q866)="RESERVED",TRIM([1]DATABASE!Q866)="PRE-RESERVED",TRIM([1]DATABASE!Q866)="PSPA"),[1]DATABASE!AC866=""),"Active no Owner",""),IF(OR([1]DATABASE!F866="",[1]DATABASE!F866&lt;=0),"Missing/Invalid Area",""),IF(AND([1]DATABASE!T866&gt;0,ABS([1]DATABASE!T866-[1]DATABASE!W866-[1]DATABASE!U866-[1]DATABASE!V866)&gt;1),"Price Bridge Mismatch",""))</f>
        <v/>
      </c>
      <c r="H905" t="str">
        <f t="shared" si="16"/>
        <v>PASS</v>
      </c>
      <c r="I905" s="90">
        <f>[1]DATABASE!T866</f>
        <v>2050000</v>
      </c>
      <c r="J905" t="str">
        <f>[1]DATABASE!AC866</f>
        <v>Ana Damásio</v>
      </c>
    </row>
    <row r="906" spans="1:10" ht="13.95" customHeight="1" x14ac:dyDescent="0.3">
      <c r="A906">
        <f>ROW([1]DATABASE!A867)</f>
        <v>867</v>
      </c>
      <c r="B906" t="str">
        <f>[1]DATABASE!AJ867</f>
        <v>Terracota</v>
      </c>
      <c r="C906" t="str">
        <f>[1]DATABASE!C867</f>
        <v>BE</v>
      </c>
      <c r="D906" t="str">
        <f>TRIM([1]DATABASE!Q867)</f>
        <v>AVAILABLE</v>
      </c>
      <c r="E906" s="82" t="str">
        <f>_xlfn.TEXTJOIN("; ",TRUE,IF([1]DATABASE!X867&lt;0,"Negative Discount",""),IF(AND([1]DATABASE!Y867&gt;[1]DATABASE!T867,[1]DATABASE!Y867&gt;0,[1]DATABASE!T867&gt;0),"Sell Price &gt; Current",""),IF(AND(TRIM([1]DATABASE!Q867)="DEED",[1]DATABASE!AA867=""),"Deeded no PSPA Date",""),IF([1]DATABASE!E867="","Missing Typology",""),IF([1]DATABASE!AJ867="","Missing Development",""))</f>
        <v/>
      </c>
      <c r="F906" s="82" t="str">
        <f>_xlfn.TEXTJOIN("; ",TRUE,IF(AND(OR(TRIM([1]DATABASE!Q867)="RESERVED",TRIM([1]DATABASE!Q867)="PRE-RESERVED",TRIM([1]DATABASE!Q867)="PSPA"),[1]DATABASE!AA867=""),"Reserved/PSPA no PSPA Date",""),IF(AND(TRIM([1]DATABASE!Q867)="AVAILABLE",[1]DATABASE!AA867&lt;&gt;""),"Available has PSPA Date",""))</f>
        <v/>
      </c>
      <c r="G906" s="82" t="str">
        <f>_xlfn.TEXTJOIN("; ",TRUE,IF(AND([1]DATABASE!T867&lt;0.8*[1]DATABASE!S867,[1]DATABASE!T867&gt;0,[1]DATABASE!S867&gt;0),"Heavy Price Cut &gt;20%",""),IF(AND(OR(TRIM([1]DATABASE!Q867)="AVAILABLE",TRIM([1]DATABASE!Q867)="UPON REQUEST"),OR([1]DATABASE!T867="",[1]DATABASE!T867=0)),"Active Unit no Price",""),IF(AND(OR(TRIM([1]DATABASE!Q867)="AVAILABLE",TRIM([1]DATABASE!Q867)="RESERVED",TRIM([1]DATABASE!Q867)="PRE-RESERVED",TRIM([1]DATABASE!Q867)="PSPA"),[1]DATABASE!AC867=""),"Active no Owner",""),IF(OR([1]DATABASE!F867="",[1]DATABASE!F867&lt;=0),"Missing/Invalid Area",""),IF(AND([1]DATABASE!T867&gt;0,ABS([1]DATABASE!T867-[1]DATABASE!W867-[1]DATABASE!U867-[1]DATABASE!V867)&gt;1),"Price Bridge Mismatch",""))</f>
        <v/>
      </c>
      <c r="H906" t="str">
        <f t="shared" si="16"/>
        <v>PASS</v>
      </c>
      <c r="I906" s="90">
        <f>[1]DATABASE!T867</f>
        <v>925000</v>
      </c>
      <c r="J906" t="str">
        <f>[1]DATABASE!AC867</f>
        <v>Ana Damásio</v>
      </c>
    </row>
    <row r="907" spans="1:10" ht="13.95" customHeight="1" x14ac:dyDescent="0.3">
      <c r="A907">
        <f>ROW([1]DATABASE!A868)</f>
        <v>868</v>
      </c>
      <c r="B907" t="str">
        <f>[1]DATABASE!AJ868</f>
        <v>Zestia</v>
      </c>
      <c r="C907" t="str">
        <f>[1]DATABASE!C868</f>
        <v>BE</v>
      </c>
      <c r="D907" t="str">
        <f>TRIM([1]DATABASE!Q868)</f>
        <v>AVAILABLE</v>
      </c>
      <c r="E907" s="82" t="str">
        <f>_xlfn.TEXTJOIN("; ",TRUE,IF([1]DATABASE!X868&lt;0,"Negative Discount",""),IF(AND([1]DATABASE!Y868&gt;[1]DATABASE!T868,[1]DATABASE!Y868&gt;0,[1]DATABASE!T868&gt;0),"Sell Price &gt; Current",""),IF(AND(TRIM([1]DATABASE!Q868)="DEED",[1]DATABASE!AA868=""),"Deeded no PSPA Date",""),IF([1]DATABASE!E868="","Missing Typology",""),IF([1]DATABASE!AJ868="","Missing Development",""))</f>
        <v/>
      </c>
      <c r="F907" s="82" t="str">
        <f>_xlfn.TEXTJOIN("; ",TRUE,IF(AND(OR(TRIM([1]DATABASE!Q868)="RESERVED",TRIM([1]DATABASE!Q868)="PRE-RESERVED",TRIM([1]DATABASE!Q868)="PSPA"),[1]DATABASE!AA868=""),"Reserved/PSPA no PSPA Date",""),IF(AND(TRIM([1]DATABASE!Q868)="AVAILABLE",[1]DATABASE!AA868&lt;&gt;""),"Available has PSPA Date",""))</f>
        <v/>
      </c>
      <c r="G907" s="82" t="str">
        <f>_xlfn.TEXTJOIN("; ",TRUE,IF(AND([1]DATABASE!T868&lt;0.8*[1]DATABASE!S868,[1]DATABASE!T868&gt;0,[1]DATABASE!S868&gt;0),"Heavy Price Cut &gt;20%",""),IF(AND(OR(TRIM([1]DATABASE!Q868)="AVAILABLE",TRIM([1]DATABASE!Q868)="UPON REQUEST"),OR([1]DATABASE!T868="",[1]DATABASE!T868=0)),"Active Unit no Price",""),IF(AND(OR(TRIM([1]DATABASE!Q868)="AVAILABLE",TRIM([1]DATABASE!Q868)="RESERVED",TRIM([1]DATABASE!Q868)="PRE-RESERVED",TRIM([1]DATABASE!Q868)="PSPA"),[1]DATABASE!AC868=""),"Active no Owner",""),IF(OR([1]DATABASE!F868="",[1]DATABASE!F868&lt;=0),"Missing/Invalid Area",""),IF(AND([1]DATABASE!T868&gt;0,ABS([1]DATABASE!T868-[1]DATABASE!W868-[1]DATABASE!U868-[1]DATABASE!V868)&gt;1),"Price Bridge Mismatch",""))</f>
        <v/>
      </c>
      <c r="H907" t="str">
        <f t="shared" si="16"/>
        <v>PASS</v>
      </c>
      <c r="I907" s="90">
        <f>[1]DATABASE!T868</f>
        <v>890000</v>
      </c>
      <c r="J907" t="str">
        <f>[1]DATABASE!AC868</f>
        <v>Ana Damásio</v>
      </c>
    </row>
    <row r="908" spans="1:10" ht="13.95" customHeight="1" x14ac:dyDescent="0.3">
      <c r="A908">
        <f>ROW([1]DATABASE!A869)</f>
        <v>869</v>
      </c>
      <c r="B908" t="str">
        <f>[1]DATABASE!AJ869</f>
        <v>Springs - At the Els</v>
      </c>
      <c r="C908" t="str">
        <f>[1]DATABASE!C869</f>
        <v>BF</v>
      </c>
      <c r="D908" t="str">
        <f>TRIM([1]DATABASE!Q869)</f>
        <v>AVAILABLE</v>
      </c>
      <c r="E908" s="82" t="str">
        <f>_xlfn.TEXTJOIN("; ",TRUE,IF([1]DATABASE!X869&lt;0,"Negative Discount",""),IF(AND([1]DATABASE!Y869&gt;[1]DATABASE!T869,[1]DATABASE!Y869&gt;0,[1]DATABASE!T869&gt;0),"Sell Price &gt; Current",""),IF(AND(TRIM([1]DATABASE!Q869)="DEED",[1]DATABASE!AA869=""),"Deeded no PSPA Date",""),IF([1]DATABASE!E869="","Missing Typology",""),IF([1]DATABASE!AJ869="","Missing Development",""))</f>
        <v/>
      </c>
      <c r="F908" s="82" t="str">
        <f>_xlfn.TEXTJOIN("; ",TRUE,IF(AND(OR(TRIM([1]DATABASE!Q869)="RESERVED",TRIM([1]DATABASE!Q869)="PRE-RESERVED",TRIM([1]DATABASE!Q869)="PSPA"),[1]DATABASE!AA869=""),"Reserved/PSPA no PSPA Date",""),IF(AND(TRIM([1]DATABASE!Q869)="AVAILABLE",[1]DATABASE!AA869&lt;&gt;""),"Available has PSPA Date",""))</f>
        <v/>
      </c>
      <c r="G908" s="82" t="str">
        <f>_xlfn.TEXTJOIN("; ",TRUE,IF(AND([1]DATABASE!T869&lt;0.8*[1]DATABASE!S869,[1]DATABASE!T869&gt;0,[1]DATABASE!S869&gt;0),"Heavy Price Cut &gt;20%",""),IF(AND(OR(TRIM([1]DATABASE!Q869)="AVAILABLE",TRIM([1]DATABASE!Q869)="UPON REQUEST"),OR([1]DATABASE!T869="",[1]DATABASE!T869=0)),"Active Unit no Price",""),IF(AND(OR(TRIM([1]DATABASE!Q869)="AVAILABLE",TRIM([1]DATABASE!Q869)="RESERVED",TRIM([1]DATABASE!Q869)="PRE-RESERVED",TRIM([1]DATABASE!Q869)="PSPA"),[1]DATABASE!AC869=""),"Active no Owner",""),IF(OR([1]DATABASE!F869="",[1]DATABASE!F869&lt;=0),"Missing/Invalid Area",""),IF(AND([1]DATABASE!T869&gt;0,ABS([1]DATABASE!T869-[1]DATABASE!W869-[1]DATABASE!U869-[1]DATABASE!V869)&gt;1),"Price Bridge Mismatch",""))</f>
        <v/>
      </c>
      <c r="H908" t="str">
        <f t="shared" si="16"/>
        <v>PASS</v>
      </c>
      <c r="I908" s="90">
        <f>[1]DATABASE!T869</f>
        <v>1830000</v>
      </c>
      <c r="J908" t="str">
        <f>[1]DATABASE!AC869</f>
        <v>Ana Damásio</v>
      </c>
    </row>
    <row r="909" spans="1:10" ht="13.95" customHeight="1" x14ac:dyDescent="0.3">
      <c r="A909">
        <f>ROW([1]DATABASE!A870)</f>
        <v>870</v>
      </c>
      <c r="B909" t="str">
        <f>[1]DATABASE!AJ870</f>
        <v>Zestia</v>
      </c>
      <c r="C909" t="str">
        <f>[1]DATABASE!C870</f>
        <v>BF</v>
      </c>
      <c r="D909" t="str">
        <f>TRIM([1]DATABASE!Q870)</f>
        <v>AVAILABLE</v>
      </c>
      <c r="E909" s="82" t="str">
        <f>_xlfn.TEXTJOIN("; ",TRUE,IF([1]DATABASE!X870&lt;0,"Negative Discount",""),IF(AND([1]DATABASE!Y870&gt;[1]DATABASE!T870,[1]DATABASE!Y870&gt;0,[1]DATABASE!T870&gt;0),"Sell Price &gt; Current",""),IF(AND(TRIM([1]DATABASE!Q870)="DEED",[1]DATABASE!AA870=""),"Deeded no PSPA Date",""),IF([1]DATABASE!E870="","Missing Typology",""),IF([1]DATABASE!AJ870="","Missing Development",""))</f>
        <v/>
      </c>
      <c r="F909" s="82" t="str">
        <f>_xlfn.TEXTJOIN("; ",TRUE,IF(AND(OR(TRIM([1]DATABASE!Q870)="RESERVED",TRIM([1]DATABASE!Q870)="PRE-RESERVED",TRIM([1]DATABASE!Q870)="PSPA"),[1]DATABASE!AA870=""),"Reserved/PSPA no PSPA Date",""),IF(AND(TRIM([1]DATABASE!Q870)="AVAILABLE",[1]DATABASE!AA870&lt;&gt;""),"Available has PSPA Date",""))</f>
        <v/>
      </c>
      <c r="G909" s="82" t="str">
        <f>_xlfn.TEXTJOIN("; ",TRUE,IF(AND([1]DATABASE!T870&lt;0.8*[1]DATABASE!S870,[1]DATABASE!T870&gt;0,[1]DATABASE!S870&gt;0),"Heavy Price Cut &gt;20%",""),IF(AND(OR(TRIM([1]DATABASE!Q870)="AVAILABLE",TRIM([1]DATABASE!Q870)="UPON REQUEST"),OR([1]DATABASE!T870="",[1]DATABASE!T870=0)),"Active Unit no Price",""),IF(AND(OR(TRIM([1]DATABASE!Q870)="AVAILABLE",TRIM([1]DATABASE!Q870)="RESERVED",TRIM([1]DATABASE!Q870)="PRE-RESERVED",TRIM([1]DATABASE!Q870)="PSPA"),[1]DATABASE!AC870=""),"Active no Owner",""),IF(OR([1]DATABASE!F870="",[1]DATABASE!F870&lt;=0),"Missing/Invalid Area",""),IF(AND([1]DATABASE!T870&gt;0,ABS([1]DATABASE!T870-[1]DATABASE!W870-[1]DATABASE!U870-[1]DATABASE!V870)&gt;1),"Price Bridge Mismatch",""))</f>
        <v/>
      </c>
      <c r="H909" t="str">
        <f t="shared" si="16"/>
        <v>PASS</v>
      </c>
      <c r="I909" s="90">
        <f>[1]DATABASE!T870</f>
        <v>2380000</v>
      </c>
      <c r="J909" t="str">
        <f>[1]DATABASE!AC870</f>
        <v>Ana Damásio</v>
      </c>
    </row>
    <row r="910" spans="1:10" ht="13.95" customHeight="1" x14ac:dyDescent="0.3">
      <c r="A910">
        <f>ROW([1]DATABASE!A871)</f>
        <v>871</v>
      </c>
      <c r="B910" t="str">
        <f>[1]DATABASE!AJ871</f>
        <v>Springs - At the Els</v>
      </c>
      <c r="C910" t="str">
        <f>[1]DATABASE!C871</f>
        <v>BG</v>
      </c>
      <c r="D910" t="str">
        <f>TRIM([1]DATABASE!Q871)</f>
        <v>AVAILABLE</v>
      </c>
      <c r="E910" s="82" t="str">
        <f>_xlfn.TEXTJOIN("; ",TRUE,IF([1]DATABASE!X871&lt;0,"Negative Discount",""),IF(AND([1]DATABASE!Y871&gt;[1]DATABASE!T871,[1]DATABASE!Y871&gt;0,[1]DATABASE!T871&gt;0),"Sell Price &gt; Current",""),IF(AND(TRIM([1]DATABASE!Q871)="DEED",[1]DATABASE!AA871=""),"Deeded no PSPA Date",""),IF([1]DATABASE!E871="","Missing Typology",""),IF([1]DATABASE!AJ871="","Missing Development",""))</f>
        <v/>
      </c>
      <c r="F910" s="82" t="str">
        <f>_xlfn.TEXTJOIN("; ",TRUE,IF(AND(OR(TRIM([1]DATABASE!Q871)="RESERVED",TRIM([1]DATABASE!Q871)="PRE-RESERVED",TRIM([1]DATABASE!Q871)="PSPA"),[1]DATABASE!AA871=""),"Reserved/PSPA no PSPA Date",""),IF(AND(TRIM([1]DATABASE!Q871)="AVAILABLE",[1]DATABASE!AA871&lt;&gt;""),"Available has PSPA Date",""))</f>
        <v/>
      </c>
      <c r="G910" s="82" t="str">
        <f>_xlfn.TEXTJOIN("; ",TRUE,IF(AND([1]DATABASE!T871&lt;0.8*[1]DATABASE!S871,[1]DATABASE!T871&gt;0,[1]DATABASE!S871&gt;0),"Heavy Price Cut &gt;20%",""),IF(AND(OR(TRIM([1]DATABASE!Q871)="AVAILABLE",TRIM([1]DATABASE!Q871)="UPON REQUEST"),OR([1]DATABASE!T871="",[1]DATABASE!T871=0)),"Active Unit no Price",""),IF(AND(OR(TRIM([1]DATABASE!Q871)="AVAILABLE",TRIM([1]DATABASE!Q871)="RESERVED",TRIM([1]DATABASE!Q871)="PRE-RESERVED",TRIM([1]DATABASE!Q871)="PSPA"),[1]DATABASE!AC871=""),"Active no Owner",""),IF(OR([1]DATABASE!F871="",[1]DATABASE!F871&lt;=0),"Missing/Invalid Area",""),IF(AND([1]DATABASE!T871&gt;0,ABS([1]DATABASE!T871-[1]DATABASE!W871-[1]DATABASE!U871-[1]DATABASE!V871)&gt;1),"Price Bridge Mismatch",""))</f>
        <v/>
      </c>
      <c r="H910" t="str">
        <f t="shared" si="16"/>
        <v>PASS</v>
      </c>
      <c r="I910" s="90">
        <f>[1]DATABASE!T871</f>
        <v>1810000</v>
      </c>
      <c r="J910" t="str">
        <f>[1]DATABASE!AC871</f>
        <v>Ana Damásio</v>
      </c>
    </row>
    <row r="911" spans="1:10" ht="13.95" customHeight="1" x14ac:dyDescent="0.3">
      <c r="A911">
        <f>ROW([1]DATABASE!A872)</f>
        <v>872</v>
      </c>
      <c r="B911" t="str">
        <f>[1]DATABASE!AJ872</f>
        <v>Terracota</v>
      </c>
      <c r="C911" t="str">
        <f>[1]DATABASE!C872</f>
        <v>BG</v>
      </c>
      <c r="D911" t="str">
        <f>TRIM([1]DATABASE!Q872)</f>
        <v>AVAILABLE</v>
      </c>
      <c r="E911" s="82" t="str">
        <f>_xlfn.TEXTJOIN("; ",TRUE,IF([1]DATABASE!X872&lt;0,"Negative Discount",""),IF(AND([1]DATABASE!Y872&gt;[1]DATABASE!T872,[1]DATABASE!Y872&gt;0,[1]DATABASE!T872&gt;0),"Sell Price &gt; Current",""),IF(AND(TRIM([1]DATABASE!Q872)="DEED",[1]DATABASE!AA872=""),"Deeded no PSPA Date",""),IF([1]DATABASE!E872="","Missing Typology",""),IF([1]DATABASE!AJ872="","Missing Development",""))</f>
        <v/>
      </c>
      <c r="F911" s="82" t="str">
        <f>_xlfn.TEXTJOIN("; ",TRUE,IF(AND(OR(TRIM([1]DATABASE!Q872)="RESERVED",TRIM([1]DATABASE!Q872)="PRE-RESERVED",TRIM([1]DATABASE!Q872)="PSPA"),[1]DATABASE!AA872=""),"Reserved/PSPA no PSPA Date",""),IF(AND(TRIM([1]DATABASE!Q872)="AVAILABLE",[1]DATABASE!AA872&lt;&gt;""),"Available has PSPA Date",""))</f>
        <v/>
      </c>
      <c r="G911" s="82" t="str">
        <f>_xlfn.TEXTJOIN("; ",TRUE,IF(AND([1]DATABASE!T872&lt;0.8*[1]DATABASE!S872,[1]DATABASE!T872&gt;0,[1]DATABASE!S872&gt;0),"Heavy Price Cut &gt;20%",""),IF(AND(OR(TRIM([1]DATABASE!Q872)="AVAILABLE",TRIM([1]DATABASE!Q872)="UPON REQUEST"),OR([1]DATABASE!T872="",[1]DATABASE!T872=0)),"Active Unit no Price",""),IF(AND(OR(TRIM([1]DATABASE!Q872)="AVAILABLE",TRIM([1]DATABASE!Q872)="RESERVED",TRIM([1]DATABASE!Q872)="PRE-RESERVED",TRIM([1]DATABASE!Q872)="PSPA"),[1]DATABASE!AC872=""),"Active no Owner",""),IF(OR([1]DATABASE!F872="",[1]DATABASE!F872&lt;=0),"Missing/Invalid Area",""),IF(AND([1]DATABASE!T872&gt;0,ABS([1]DATABASE!T872-[1]DATABASE!W872-[1]DATABASE!U872-[1]DATABASE!V872)&gt;1),"Price Bridge Mismatch",""))</f>
        <v/>
      </c>
      <c r="H911" t="str">
        <f t="shared" si="16"/>
        <v>PASS</v>
      </c>
      <c r="I911" s="90">
        <f>[1]DATABASE!T872</f>
        <v>925000</v>
      </c>
      <c r="J911" t="str">
        <f>[1]DATABASE!AC872</f>
        <v>Ana Damásio</v>
      </c>
    </row>
    <row r="912" spans="1:10" ht="13.95" customHeight="1" x14ac:dyDescent="0.3">
      <c r="A912">
        <f>ROW([1]DATABASE!A873)</f>
        <v>873</v>
      </c>
      <c r="B912" t="str">
        <f>[1]DATABASE!AJ873</f>
        <v>Zestia</v>
      </c>
      <c r="C912" t="str">
        <f>[1]DATABASE!C873</f>
        <v>BG</v>
      </c>
      <c r="D912" t="str">
        <f>TRIM([1]DATABASE!Q873)</f>
        <v>AVAILABLE</v>
      </c>
      <c r="E912" s="82" t="str">
        <f>_xlfn.TEXTJOIN("; ",TRUE,IF([1]DATABASE!X873&lt;0,"Negative Discount",""),IF(AND([1]DATABASE!Y873&gt;[1]DATABASE!T873,[1]DATABASE!Y873&gt;0,[1]DATABASE!T873&gt;0),"Sell Price &gt; Current",""),IF(AND(TRIM([1]DATABASE!Q873)="DEED",[1]DATABASE!AA873=""),"Deeded no PSPA Date",""),IF([1]DATABASE!E873="","Missing Typology",""),IF([1]DATABASE!AJ873="","Missing Development",""))</f>
        <v/>
      </c>
      <c r="F912" s="82" t="str">
        <f>_xlfn.TEXTJOIN("; ",TRUE,IF(AND(OR(TRIM([1]DATABASE!Q873)="RESERVED",TRIM([1]DATABASE!Q873)="PRE-RESERVED",TRIM([1]DATABASE!Q873)="PSPA"),[1]DATABASE!AA873=""),"Reserved/PSPA no PSPA Date",""),IF(AND(TRIM([1]DATABASE!Q873)="AVAILABLE",[1]DATABASE!AA873&lt;&gt;""),"Available has PSPA Date",""))</f>
        <v/>
      </c>
      <c r="G912" s="82" t="str">
        <f>_xlfn.TEXTJOIN("; ",TRUE,IF(AND([1]DATABASE!T873&lt;0.8*[1]DATABASE!S873,[1]DATABASE!T873&gt;0,[1]DATABASE!S873&gt;0),"Heavy Price Cut &gt;20%",""),IF(AND(OR(TRIM([1]DATABASE!Q873)="AVAILABLE",TRIM([1]DATABASE!Q873)="UPON REQUEST"),OR([1]DATABASE!T873="",[1]DATABASE!T873=0)),"Active Unit no Price",""),IF(AND(OR(TRIM([1]DATABASE!Q873)="AVAILABLE",TRIM([1]DATABASE!Q873)="RESERVED",TRIM([1]DATABASE!Q873)="PRE-RESERVED",TRIM([1]DATABASE!Q873)="PSPA"),[1]DATABASE!AC873=""),"Active no Owner",""),IF(OR([1]DATABASE!F873="",[1]DATABASE!F873&lt;=0),"Missing/Invalid Area",""),IF(AND([1]DATABASE!T873&gt;0,ABS([1]DATABASE!T873-[1]DATABASE!W873-[1]DATABASE!U873-[1]DATABASE!V873)&gt;1),"Price Bridge Mismatch",""))</f>
        <v/>
      </c>
      <c r="H912" t="str">
        <f t="shared" si="16"/>
        <v>PASS</v>
      </c>
      <c r="I912" s="90">
        <f>[1]DATABASE!T873</f>
        <v>900000</v>
      </c>
      <c r="J912" t="str">
        <f>[1]DATABASE!AC873</f>
        <v>Ana Damásio</v>
      </c>
    </row>
    <row r="913" spans="1:10" ht="13.95" customHeight="1" x14ac:dyDescent="0.3">
      <c r="A913">
        <f>ROW([1]DATABASE!A874)</f>
        <v>874</v>
      </c>
      <c r="B913" t="str">
        <f>[1]DATABASE!AJ874</f>
        <v>Aroeira Collections</v>
      </c>
      <c r="C913" t="str">
        <f>[1]DATABASE!C874</f>
        <v>310A</v>
      </c>
      <c r="D913" t="str">
        <f>TRIM([1]DATABASE!Q874)</f>
        <v>AVAILABLE</v>
      </c>
      <c r="E913" s="82" t="str">
        <f>_xlfn.TEXTJOIN("; ",TRUE,IF([1]DATABASE!X874&lt;0,"Negative Discount",""),IF(AND([1]DATABASE!Y874&gt;[1]DATABASE!T874,[1]DATABASE!Y874&gt;0,[1]DATABASE!T874&gt;0),"Sell Price &gt; Current",""),IF(AND(TRIM([1]DATABASE!Q874)="DEED",[1]DATABASE!AA874=""),"Deeded no PSPA Date",""),IF([1]DATABASE!E874="","Missing Typology",""),IF([1]DATABASE!AJ874="","Missing Development",""))</f>
        <v/>
      </c>
      <c r="F913" s="82" t="str">
        <f>_xlfn.TEXTJOIN("; ",TRUE,IF(AND(OR(TRIM([1]DATABASE!Q874)="RESERVED",TRIM([1]DATABASE!Q874)="PRE-RESERVED",TRIM([1]DATABASE!Q874)="PSPA"),[1]DATABASE!AA874=""),"Reserved/PSPA no PSPA Date",""),IF(AND(TRIM([1]DATABASE!Q874)="AVAILABLE",[1]DATABASE!AA874&lt;&gt;""),"Available has PSPA Date",""))</f>
        <v/>
      </c>
      <c r="G913" s="82" t="str">
        <f>_xlfn.TEXTJOIN("; ",TRUE,IF(AND([1]DATABASE!T874&lt;0.8*[1]DATABASE!S874,[1]DATABASE!T874&gt;0,[1]DATABASE!S874&gt;0),"Heavy Price Cut &gt;20%",""),IF(AND(OR(TRIM([1]DATABASE!Q874)="AVAILABLE",TRIM([1]DATABASE!Q874)="UPON REQUEST"),OR([1]DATABASE!T874="",[1]DATABASE!T874=0)),"Active Unit no Price",""),IF(AND(OR(TRIM([1]DATABASE!Q874)="AVAILABLE",TRIM([1]DATABASE!Q874)="RESERVED",TRIM([1]DATABASE!Q874)="PRE-RESERVED",TRIM([1]DATABASE!Q874)="PSPA"),[1]DATABASE!AC874=""),"Active no Owner",""),IF(OR([1]DATABASE!F874="",[1]DATABASE!F874&lt;=0),"Missing/Invalid Area",""),IF(AND([1]DATABASE!T874&gt;0,ABS([1]DATABASE!T874-[1]DATABASE!W874-[1]DATABASE!U874-[1]DATABASE!V874)&gt;1),"Price Bridge Mismatch",""))</f>
        <v/>
      </c>
      <c r="H913" t="str">
        <f t="shared" si="16"/>
        <v>PASS</v>
      </c>
      <c r="I913" s="90">
        <f>[1]DATABASE!T874</f>
        <v>500000</v>
      </c>
      <c r="J913" t="str">
        <f>[1]DATABASE!AC874</f>
        <v>João Gameiro</v>
      </c>
    </row>
    <row r="914" spans="1:10" ht="13.95" customHeight="1" x14ac:dyDescent="0.3">
      <c r="A914">
        <f>ROW([1]DATABASE!A875)</f>
        <v>875</v>
      </c>
      <c r="B914" t="str">
        <f>[1]DATABASE!AJ875</f>
        <v>Vale Pisão Grand Park</v>
      </c>
      <c r="C914" t="str">
        <f>[1]DATABASE!C875</f>
        <v>9B</v>
      </c>
      <c r="D914" t="str">
        <f>TRIM([1]DATABASE!Q875)</f>
        <v>AVAILABLE</v>
      </c>
      <c r="E914" s="82" t="str">
        <f>_xlfn.TEXTJOIN("; ",TRUE,IF([1]DATABASE!X875&lt;0,"Negative Discount",""),IF(AND([1]DATABASE!Y875&gt;[1]DATABASE!T875,[1]DATABASE!Y875&gt;0,[1]DATABASE!T875&gt;0),"Sell Price &gt; Current",""),IF(AND(TRIM([1]DATABASE!Q875)="DEED",[1]DATABASE!AA875=""),"Deeded no PSPA Date",""),IF([1]DATABASE!E875="","Missing Typology",""),IF([1]DATABASE!AJ875="","Missing Development",""))</f>
        <v/>
      </c>
      <c r="F914" s="82" t="str">
        <f>_xlfn.TEXTJOIN("; ",TRUE,IF(AND(OR(TRIM([1]DATABASE!Q875)="RESERVED",TRIM([1]DATABASE!Q875)="PRE-RESERVED",TRIM([1]DATABASE!Q875)="PSPA"),[1]DATABASE!AA875=""),"Reserved/PSPA no PSPA Date",""),IF(AND(TRIM([1]DATABASE!Q875)="AVAILABLE",[1]DATABASE!AA875&lt;&gt;""),"Available has PSPA Date",""))</f>
        <v/>
      </c>
      <c r="G914" s="82" t="str">
        <f>_xlfn.TEXTJOIN("; ",TRUE,IF(AND([1]DATABASE!T875&lt;0.8*[1]DATABASE!S875,[1]DATABASE!T875&gt;0,[1]DATABASE!S875&gt;0),"Heavy Price Cut &gt;20%",""),IF(AND(OR(TRIM([1]DATABASE!Q875)="AVAILABLE",TRIM([1]DATABASE!Q875)="UPON REQUEST"),OR([1]DATABASE!T875="",[1]DATABASE!T875=0)),"Active Unit no Price",""),IF(AND(OR(TRIM([1]DATABASE!Q875)="AVAILABLE",TRIM([1]DATABASE!Q875)="RESERVED",TRIM([1]DATABASE!Q875)="PRE-RESERVED",TRIM([1]DATABASE!Q875)="PSPA"),[1]DATABASE!AC875=""),"Active no Owner",""),IF(OR([1]DATABASE!F875="",[1]DATABASE!F875&lt;=0),"Missing/Invalid Area",""),IF(AND([1]DATABASE!T875&gt;0,ABS([1]DATABASE!T875-[1]DATABASE!W875-[1]DATABASE!U875-[1]DATABASE!V875)&gt;1),"Price Bridge Mismatch",""))</f>
        <v/>
      </c>
      <c r="H914" t="str">
        <f t="shared" si="16"/>
        <v>PASS</v>
      </c>
      <c r="I914" s="90">
        <f>[1]DATABASE!T875</f>
        <v>1090000</v>
      </c>
      <c r="J914" t="str">
        <f>[1]DATABASE!AC875</f>
        <v>João Gameiro</v>
      </c>
    </row>
    <row r="915" spans="1:10" ht="13.95" customHeight="1" x14ac:dyDescent="0.3">
      <c r="A915">
        <f>ROW([1]DATABASE!A876)</f>
        <v>876</v>
      </c>
      <c r="B915" t="str">
        <f>[1]DATABASE!AJ876</f>
        <v>Vale Pisão Grand Park</v>
      </c>
      <c r="C915" t="str">
        <f>[1]DATABASE!C876</f>
        <v>13B</v>
      </c>
      <c r="D915" t="str">
        <f>TRIM([1]DATABASE!Q876)</f>
        <v>AVAILABLE</v>
      </c>
      <c r="E915" s="82" t="str">
        <f>_xlfn.TEXTJOIN("; ",TRUE,IF([1]DATABASE!X876&lt;0,"Negative Discount",""),IF(AND([1]DATABASE!Y876&gt;[1]DATABASE!T876,[1]DATABASE!Y876&gt;0,[1]DATABASE!T876&gt;0),"Sell Price &gt; Current",""),IF(AND(TRIM([1]DATABASE!Q876)="DEED",[1]DATABASE!AA876=""),"Deeded no PSPA Date",""),IF([1]DATABASE!E876="","Missing Typology",""),IF([1]DATABASE!AJ876="","Missing Development",""))</f>
        <v/>
      </c>
      <c r="F915" s="82" t="str">
        <f>_xlfn.TEXTJOIN("; ",TRUE,IF(AND(OR(TRIM([1]DATABASE!Q876)="RESERVED",TRIM([1]DATABASE!Q876)="PRE-RESERVED",TRIM([1]DATABASE!Q876)="PSPA"),[1]DATABASE!AA876=""),"Reserved/PSPA no PSPA Date",""),IF(AND(TRIM([1]DATABASE!Q876)="AVAILABLE",[1]DATABASE!AA876&lt;&gt;""),"Available has PSPA Date",""))</f>
        <v/>
      </c>
      <c r="G915" s="82" t="str">
        <f>_xlfn.TEXTJOIN("; ",TRUE,IF(AND([1]DATABASE!T876&lt;0.8*[1]DATABASE!S876,[1]DATABASE!T876&gt;0,[1]DATABASE!S876&gt;0),"Heavy Price Cut &gt;20%",""),IF(AND(OR(TRIM([1]DATABASE!Q876)="AVAILABLE",TRIM([1]DATABASE!Q876)="UPON REQUEST"),OR([1]DATABASE!T876="",[1]DATABASE!T876=0)),"Active Unit no Price",""),IF(AND(OR(TRIM([1]DATABASE!Q876)="AVAILABLE",TRIM([1]DATABASE!Q876)="RESERVED",TRIM([1]DATABASE!Q876)="PRE-RESERVED",TRIM([1]DATABASE!Q876)="PSPA"),[1]DATABASE!AC876=""),"Active no Owner",""),IF(OR([1]DATABASE!F876="",[1]DATABASE!F876&lt;=0),"Missing/Invalid Area",""),IF(AND([1]DATABASE!T876&gt;0,ABS([1]DATABASE!T876-[1]DATABASE!W876-[1]DATABASE!U876-[1]DATABASE!V876)&gt;1),"Price Bridge Mismatch",""))</f>
        <v/>
      </c>
      <c r="H915" t="str">
        <f t="shared" si="16"/>
        <v>PASS</v>
      </c>
      <c r="I915" s="90">
        <f>[1]DATABASE!T876</f>
        <v>1090000</v>
      </c>
      <c r="J915" t="str">
        <f>[1]DATABASE!AC876</f>
        <v>João Gameiro</v>
      </c>
    </row>
    <row r="916" spans="1:10" ht="13.95" customHeight="1" x14ac:dyDescent="0.3">
      <c r="A916">
        <f>ROW([1]DATABASE!A877)</f>
        <v>877</v>
      </c>
      <c r="B916" t="str">
        <f>[1]DATABASE!AJ877</f>
        <v>Vale Pisão Grand Park</v>
      </c>
      <c r="C916" t="str">
        <f>[1]DATABASE!C877</f>
        <v>14B</v>
      </c>
      <c r="D916" t="str">
        <f>TRIM([1]DATABASE!Q877)</f>
        <v>AVAILABLE</v>
      </c>
      <c r="E916" s="82" t="str">
        <f>_xlfn.TEXTJOIN("; ",TRUE,IF([1]DATABASE!X877&lt;0,"Negative Discount",""),IF(AND([1]DATABASE!Y877&gt;[1]DATABASE!T877,[1]DATABASE!Y877&gt;0,[1]DATABASE!T877&gt;0),"Sell Price &gt; Current",""),IF(AND(TRIM([1]DATABASE!Q877)="DEED",[1]DATABASE!AA877=""),"Deeded no PSPA Date",""),IF([1]DATABASE!E877="","Missing Typology",""),IF([1]DATABASE!AJ877="","Missing Development",""))</f>
        <v/>
      </c>
      <c r="F916" s="82" t="str">
        <f>_xlfn.TEXTJOIN("; ",TRUE,IF(AND(OR(TRIM([1]DATABASE!Q877)="RESERVED",TRIM([1]DATABASE!Q877)="PRE-RESERVED",TRIM([1]DATABASE!Q877)="PSPA"),[1]DATABASE!AA877=""),"Reserved/PSPA no PSPA Date",""),IF(AND(TRIM([1]DATABASE!Q877)="AVAILABLE",[1]DATABASE!AA877&lt;&gt;""),"Available has PSPA Date",""))</f>
        <v/>
      </c>
      <c r="G916" s="82" t="str">
        <f>_xlfn.TEXTJOIN("; ",TRUE,IF(AND([1]DATABASE!T877&lt;0.8*[1]DATABASE!S877,[1]DATABASE!T877&gt;0,[1]DATABASE!S877&gt;0),"Heavy Price Cut &gt;20%",""),IF(AND(OR(TRIM([1]DATABASE!Q877)="AVAILABLE",TRIM([1]DATABASE!Q877)="UPON REQUEST"),OR([1]DATABASE!T877="",[1]DATABASE!T877=0)),"Active Unit no Price",""),IF(AND(OR(TRIM([1]DATABASE!Q877)="AVAILABLE",TRIM([1]DATABASE!Q877)="RESERVED",TRIM([1]DATABASE!Q877)="PRE-RESERVED",TRIM([1]DATABASE!Q877)="PSPA"),[1]DATABASE!AC877=""),"Active no Owner",""),IF(OR([1]DATABASE!F877="",[1]DATABASE!F877&lt;=0),"Missing/Invalid Area",""),IF(AND([1]DATABASE!T877&gt;0,ABS([1]DATABASE!T877-[1]DATABASE!W877-[1]DATABASE!U877-[1]DATABASE!V877)&gt;1),"Price Bridge Mismatch",""))</f>
        <v/>
      </c>
      <c r="H916" t="str">
        <f t="shared" si="16"/>
        <v>PASS</v>
      </c>
      <c r="I916" s="90">
        <f>[1]DATABASE!T877</f>
        <v>1110000</v>
      </c>
      <c r="J916" t="str">
        <f>[1]DATABASE!AC877</f>
        <v>João Gameiro</v>
      </c>
    </row>
    <row r="917" spans="1:10" ht="13.95" customHeight="1" x14ac:dyDescent="0.3">
      <c r="A917">
        <f>ROW([1]DATABASE!A878)</f>
        <v>878</v>
      </c>
      <c r="B917" t="str">
        <f>[1]DATABASE!AJ878</f>
        <v>Vale Pisão Grand Park</v>
      </c>
      <c r="C917" t="str">
        <f>[1]DATABASE!C878</f>
        <v>10B</v>
      </c>
      <c r="D917" t="str">
        <f>TRIM([1]DATABASE!Q878)</f>
        <v>UPON REQUEST</v>
      </c>
      <c r="E917" s="82" t="str">
        <f>_xlfn.TEXTJOIN("; ",TRUE,IF([1]DATABASE!X878&lt;0,"Negative Discount",""),IF(AND([1]DATABASE!Y878&gt;[1]DATABASE!T878,[1]DATABASE!Y878&gt;0,[1]DATABASE!T878&gt;0),"Sell Price &gt; Current",""),IF(AND(TRIM([1]DATABASE!Q878)="DEED",[1]DATABASE!AA878=""),"Deeded no PSPA Date",""),IF([1]DATABASE!E878="","Missing Typology",""),IF([1]DATABASE!AJ878="","Missing Development",""))</f>
        <v/>
      </c>
      <c r="F917" s="82" t="str">
        <f>_xlfn.TEXTJOIN("; ",TRUE,IF(AND(OR(TRIM([1]DATABASE!Q878)="RESERVED",TRIM([1]DATABASE!Q878)="PRE-RESERVED",TRIM([1]DATABASE!Q878)="PSPA"),[1]DATABASE!AA878=""),"Reserved/PSPA no PSPA Date",""),IF(AND(TRIM([1]DATABASE!Q878)="AVAILABLE",[1]DATABASE!AA878&lt;&gt;""),"Available has PSPA Date",""))</f>
        <v/>
      </c>
      <c r="G917" s="82" t="str">
        <f>_xlfn.TEXTJOIN("; ",TRUE,IF(AND([1]DATABASE!T878&lt;0.8*[1]DATABASE!S878,[1]DATABASE!T878&gt;0,[1]DATABASE!S878&gt;0),"Heavy Price Cut &gt;20%",""),IF(AND(OR(TRIM([1]DATABASE!Q878)="AVAILABLE",TRIM([1]DATABASE!Q878)="UPON REQUEST"),OR([1]DATABASE!T878="",[1]DATABASE!T878=0)),"Active Unit no Price",""),IF(AND(OR(TRIM([1]DATABASE!Q878)="AVAILABLE",TRIM([1]DATABASE!Q878)="RESERVED",TRIM([1]DATABASE!Q878)="PRE-RESERVED",TRIM([1]DATABASE!Q878)="PSPA"),[1]DATABASE!AC878=""),"Active no Owner",""),IF(OR([1]DATABASE!F878="",[1]DATABASE!F878&lt;=0),"Missing/Invalid Area",""),IF(AND([1]DATABASE!T878&gt;0,ABS([1]DATABASE!T878-[1]DATABASE!W878-[1]DATABASE!U878-[1]DATABASE!V878)&gt;1),"Price Bridge Mismatch",""))</f>
        <v/>
      </c>
      <c r="H917" t="str">
        <f t="shared" si="16"/>
        <v>PASS</v>
      </c>
      <c r="I917" s="90">
        <f>[1]DATABASE!T878</f>
        <v>1090000</v>
      </c>
      <c r="J917" t="str">
        <f>[1]DATABASE!AC878</f>
        <v>João Gameiro</v>
      </c>
    </row>
    <row r="918" spans="1:10" ht="13.95" customHeight="1" x14ac:dyDescent="0.3">
      <c r="A918">
        <f>ROW([1]DATABASE!A879)</f>
        <v>879</v>
      </c>
      <c r="B918" t="str">
        <f>[1]DATABASE!AJ879</f>
        <v>Vale Pisão Grand Park</v>
      </c>
      <c r="C918" t="str">
        <f>[1]DATABASE!C879</f>
        <v>11B</v>
      </c>
      <c r="D918" t="str">
        <f>TRIM([1]DATABASE!Q879)</f>
        <v>UPON REQUEST</v>
      </c>
      <c r="E918" s="82" t="str">
        <f>_xlfn.TEXTJOIN("; ",TRUE,IF([1]DATABASE!X879&lt;0,"Negative Discount",""),IF(AND([1]DATABASE!Y879&gt;[1]DATABASE!T879,[1]DATABASE!Y879&gt;0,[1]DATABASE!T879&gt;0),"Sell Price &gt; Current",""),IF(AND(TRIM([1]DATABASE!Q879)="DEED",[1]DATABASE!AA879=""),"Deeded no PSPA Date",""),IF([1]DATABASE!E879="","Missing Typology",""),IF([1]DATABASE!AJ879="","Missing Development",""))</f>
        <v/>
      </c>
      <c r="F918" s="82" t="str">
        <f>_xlfn.TEXTJOIN("; ",TRUE,IF(AND(OR(TRIM([1]DATABASE!Q879)="RESERVED",TRIM([1]DATABASE!Q879)="PRE-RESERVED",TRIM([1]DATABASE!Q879)="PSPA"),[1]DATABASE!AA879=""),"Reserved/PSPA no PSPA Date",""),IF(AND(TRIM([1]DATABASE!Q879)="AVAILABLE",[1]DATABASE!AA879&lt;&gt;""),"Available has PSPA Date",""))</f>
        <v/>
      </c>
      <c r="G918" s="82" t="str">
        <f>_xlfn.TEXTJOIN("; ",TRUE,IF(AND([1]DATABASE!T879&lt;0.8*[1]DATABASE!S879,[1]DATABASE!T879&gt;0,[1]DATABASE!S879&gt;0),"Heavy Price Cut &gt;20%",""),IF(AND(OR(TRIM([1]DATABASE!Q879)="AVAILABLE",TRIM([1]DATABASE!Q879)="UPON REQUEST"),OR([1]DATABASE!T879="",[1]DATABASE!T879=0)),"Active Unit no Price",""),IF(AND(OR(TRIM([1]DATABASE!Q879)="AVAILABLE",TRIM([1]DATABASE!Q879)="RESERVED",TRIM([1]DATABASE!Q879)="PRE-RESERVED",TRIM([1]DATABASE!Q879)="PSPA"),[1]DATABASE!AC879=""),"Active no Owner",""),IF(OR([1]DATABASE!F879="",[1]DATABASE!F879&lt;=0),"Missing/Invalid Area",""),IF(AND([1]DATABASE!T879&gt;0,ABS([1]DATABASE!T879-[1]DATABASE!W879-[1]DATABASE!U879-[1]DATABASE!V879)&gt;1),"Price Bridge Mismatch",""))</f>
        <v/>
      </c>
      <c r="H918" t="str">
        <f t="shared" si="16"/>
        <v>PASS</v>
      </c>
      <c r="I918" s="90">
        <f>[1]DATABASE!T879</f>
        <v>1090000</v>
      </c>
      <c r="J918" t="str">
        <f>[1]DATABASE!AC879</f>
        <v>João Gameiro</v>
      </c>
    </row>
    <row r="919" spans="1:10" ht="13.95" customHeight="1" x14ac:dyDescent="0.3">
      <c r="A919">
        <f>ROW([1]DATABASE!A880)</f>
        <v>880</v>
      </c>
      <c r="B919" t="str">
        <f>[1]DATABASE!AJ880</f>
        <v>Vale Pisão Grand Park</v>
      </c>
      <c r="C919" t="str">
        <f>[1]DATABASE!C880</f>
        <v>12B</v>
      </c>
      <c r="D919" t="str">
        <f>TRIM([1]DATABASE!Q880)</f>
        <v>UPON REQUEST</v>
      </c>
      <c r="E919" s="82" t="str">
        <f>_xlfn.TEXTJOIN("; ",TRUE,IF([1]DATABASE!X880&lt;0,"Negative Discount",""),IF(AND([1]DATABASE!Y880&gt;[1]DATABASE!T880,[1]DATABASE!Y880&gt;0,[1]DATABASE!T880&gt;0),"Sell Price &gt; Current",""),IF(AND(TRIM([1]DATABASE!Q880)="DEED",[1]DATABASE!AA880=""),"Deeded no PSPA Date",""),IF([1]DATABASE!E880="","Missing Typology",""),IF([1]DATABASE!AJ880="","Missing Development",""))</f>
        <v/>
      </c>
      <c r="F919" s="82" t="str">
        <f>_xlfn.TEXTJOIN("; ",TRUE,IF(AND(OR(TRIM([1]DATABASE!Q880)="RESERVED",TRIM([1]DATABASE!Q880)="PRE-RESERVED",TRIM([1]DATABASE!Q880)="PSPA"),[1]DATABASE!AA880=""),"Reserved/PSPA no PSPA Date",""),IF(AND(TRIM([1]DATABASE!Q880)="AVAILABLE",[1]DATABASE!AA880&lt;&gt;""),"Available has PSPA Date",""))</f>
        <v/>
      </c>
      <c r="G919" s="82" t="str">
        <f>_xlfn.TEXTJOIN("; ",TRUE,IF(AND([1]DATABASE!T880&lt;0.8*[1]DATABASE!S880,[1]DATABASE!T880&gt;0,[1]DATABASE!S880&gt;0),"Heavy Price Cut &gt;20%",""),IF(AND(OR(TRIM([1]DATABASE!Q880)="AVAILABLE",TRIM([1]DATABASE!Q880)="UPON REQUEST"),OR([1]DATABASE!T880="",[1]DATABASE!T880=0)),"Active Unit no Price",""),IF(AND(OR(TRIM([1]DATABASE!Q880)="AVAILABLE",TRIM([1]DATABASE!Q880)="RESERVED",TRIM([1]DATABASE!Q880)="PRE-RESERVED",TRIM([1]DATABASE!Q880)="PSPA"),[1]DATABASE!AC880=""),"Active no Owner",""),IF(OR([1]DATABASE!F880="",[1]DATABASE!F880&lt;=0),"Missing/Invalid Area",""),IF(AND([1]DATABASE!T880&gt;0,ABS([1]DATABASE!T880-[1]DATABASE!W880-[1]DATABASE!U880-[1]DATABASE!V880)&gt;1),"Price Bridge Mismatch",""))</f>
        <v/>
      </c>
      <c r="H919" t="str">
        <f t="shared" si="16"/>
        <v>PASS</v>
      </c>
      <c r="I919" s="90">
        <f>[1]DATABASE!T880</f>
        <v>1110000</v>
      </c>
      <c r="J919" t="str">
        <f>[1]DATABASE!AC880</f>
        <v>João Gameiro</v>
      </c>
    </row>
    <row r="920" spans="1:10" ht="13.95" customHeight="1" x14ac:dyDescent="0.3">
      <c r="A920">
        <f>ROW([1]DATABASE!A881)</f>
        <v>881</v>
      </c>
      <c r="B920" t="str">
        <f>[1]DATABASE!AJ881</f>
        <v>Vale Pisão Grand Park</v>
      </c>
      <c r="C920" t="str">
        <f>[1]DATABASE!C881</f>
        <v>1C</v>
      </c>
      <c r="D920" t="str">
        <f>TRIM([1]DATABASE!Q881)</f>
        <v>UPON REQUEST</v>
      </c>
      <c r="E920" s="82" t="str">
        <f>_xlfn.TEXTJOIN("; ",TRUE,IF([1]DATABASE!X881&lt;0,"Negative Discount",""),IF(AND([1]DATABASE!Y881&gt;[1]DATABASE!T881,[1]DATABASE!Y881&gt;0,[1]DATABASE!T881&gt;0),"Sell Price &gt; Current",""),IF(AND(TRIM([1]DATABASE!Q881)="DEED",[1]DATABASE!AA881=""),"Deeded no PSPA Date",""),IF([1]DATABASE!E881="","Missing Typology",""),IF([1]DATABASE!AJ881="","Missing Development",""))</f>
        <v/>
      </c>
      <c r="F920" s="82" t="str">
        <f>_xlfn.TEXTJOIN("; ",TRUE,IF(AND(OR(TRIM([1]DATABASE!Q881)="RESERVED",TRIM([1]DATABASE!Q881)="PRE-RESERVED",TRIM([1]DATABASE!Q881)="PSPA"),[1]DATABASE!AA881=""),"Reserved/PSPA no PSPA Date",""),IF(AND(TRIM([1]DATABASE!Q881)="AVAILABLE",[1]DATABASE!AA881&lt;&gt;""),"Available has PSPA Date",""))</f>
        <v/>
      </c>
      <c r="G920" s="82" t="str">
        <f>_xlfn.TEXTJOIN("; ",TRUE,IF(AND([1]DATABASE!T881&lt;0.8*[1]DATABASE!S881,[1]DATABASE!T881&gt;0,[1]DATABASE!S881&gt;0),"Heavy Price Cut &gt;20%",""),IF(AND(OR(TRIM([1]DATABASE!Q881)="AVAILABLE",TRIM([1]DATABASE!Q881)="UPON REQUEST"),OR([1]DATABASE!T881="",[1]DATABASE!T881=0)),"Active Unit no Price",""),IF(AND(OR(TRIM([1]DATABASE!Q881)="AVAILABLE",TRIM([1]DATABASE!Q881)="RESERVED",TRIM([1]DATABASE!Q881)="PRE-RESERVED",TRIM([1]DATABASE!Q881)="PSPA"),[1]DATABASE!AC881=""),"Active no Owner",""),IF(OR([1]DATABASE!F881="",[1]DATABASE!F881&lt;=0),"Missing/Invalid Area",""),IF(AND([1]DATABASE!T881&gt;0,ABS([1]DATABASE!T881-[1]DATABASE!W881-[1]DATABASE!U881-[1]DATABASE!V881)&gt;1),"Price Bridge Mismatch",""))</f>
        <v/>
      </c>
      <c r="H920" t="str">
        <f t="shared" si="16"/>
        <v>PASS</v>
      </c>
      <c r="I920" s="90">
        <f>[1]DATABASE!T881</f>
        <v>1090000</v>
      </c>
      <c r="J920" t="str">
        <f>[1]DATABASE!AC881</f>
        <v>João Gameiro</v>
      </c>
    </row>
    <row r="921" spans="1:10" ht="13.95" customHeight="1" x14ac:dyDescent="0.3">
      <c r="A921">
        <f>ROW([1]DATABASE!A882)</f>
        <v>882</v>
      </c>
      <c r="B921" t="str">
        <f>[1]DATABASE!AJ882</f>
        <v>Springs - At the Els</v>
      </c>
      <c r="C921" t="str">
        <f>[1]DATABASE!C882</f>
        <v>BH</v>
      </c>
      <c r="D921" t="str">
        <f>TRIM([1]DATABASE!Q882)</f>
        <v>AVAILABLE</v>
      </c>
      <c r="E921" s="82" t="str">
        <f>_xlfn.TEXTJOIN("; ",TRUE,IF([1]DATABASE!X882&lt;0,"Negative Discount",""),IF(AND([1]DATABASE!Y882&gt;[1]DATABASE!T882,[1]DATABASE!Y882&gt;0,[1]DATABASE!T882&gt;0),"Sell Price &gt; Current",""),IF(AND(TRIM([1]DATABASE!Q882)="DEED",[1]DATABASE!AA882=""),"Deeded no PSPA Date",""),IF([1]DATABASE!E882="","Missing Typology",""),IF([1]DATABASE!AJ882="","Missing Development",""))</f>
        <v/>
      </c>
      <c r="F921" s="82" t="str">
        <f>_xlfn.TEXTJOIN("; ",TRUE,IF(AND(OR(TRIM([1]DATABASE!Q882)="RESERVED",TRIM([1]DATABASE!Q882)="PRE-RESERVED",TRIM([1]DATABASE!Q882)="PSPA"),[1]DATABASE!AA882=""),"Reserved/PSPA no PSPA Date",""),IF(AND(TRIM([1]DATABASE!Q882)="AVAILABLE",[1]DATABASE!AA882&lt;&gt;""),"Available has PSPA Date",""))</f>
        <v/>
      </c>
      <c r="G921" s="82" t="str">
        <f>_xlfn.TEXTJOIN("; ",TRUE,IF(AND([1]DATABASE!T882&lt;0.8*[1]DATABASE!S882,[1]DATABASE!T882&gt;0,[1]DATABASE!S882&gt;0),"Heavy Price Cut &gt;20%",""),IF(AND(OR(TRIM([1]DATABASE!Q882)="AVAILABLE",TRIM([1]DATABASE!Q882)="UPON REQUEST"),OR([1]DATABASE!T882="",[1]DATABASE!T882=0)),"Active Unit no Price",""),IF(AND(OR(TRIM([1]DATABASE!Q882)="AVAILABLE",TRIM([1]DATABASE!Q882)="RESERVED",TRIM([1]DATABASE!Q882)="PRE-RESERVED",TRIM([1]DATABASE!Q882)="PSPA"),[1]DATABASE!AC882=""),"Active no Owner",""),IF(OR([1]DATABASE!F882="",[1]DATABASE!F882&lt;=0),"Missing/Invalid Area",""),IF(AND([1]DATABASE!T882&gt;0,ABS([1]DATABASE!T882-[1]DATABASE!W882-[1]DATABASE!U882-[1]DATABASE!V882)&gt;1),"Price Bridge Mismatch",""))</f>
        <v/>
      </c>
      <c r="H921" t="str">
        <f t="shared" si="16"/>
        <v>PASS</v>
      </c>
      <c r="I921" s="90">
        <f>[1]DATABASE!T882</f>
        <v>1810000</v>
      </c>
      <c r="J921" t="str">
        <f>[1]DATABASE!AC882</f>
        <v>Ana Damásio</v>
      </c>
    </row>
    <row r="922" spans="1:10" ht="13.95" customHeight="1" x14ac:dyDescent="0.3">
      <c r="A922">
        <f>ROW([1]DATABASE!A883)</f>
        <v>883</v>
      </c>
      <c r="B922" t="str">
        <f>[1]DATABASE!AJ883</f>
        <v>Terracota</v>
      </c>
      <c r="C922" t="str">
        <f>[1]DATABASE!C883</f>
        <v>BH</v>
      </c>
      <c r="D922" t="str">
        <f>TRIM([1]DATABASE!Q883)</f>
        <v>AVAILABLE</v>
      </c>
      <c r="E922" s="82" t="str">
        <f>_xlfn.TEXTJOIN("; ",TRUE,IF([1]DATABASE!X883&lt;0,"Negative Discount",""),IF(AND([1]DATABASE!Y883&gt;[1]DATABASE!T883,[1]DATABASE!Y883&gt;0,[1]DATABASE!T883&gt;0),"Sell Price &gt; Current",""),IF(AND(TRIM([1]DATABASE!Q883)="DEED",[1]DATABASE!AA883=""),"Deeded no PSPA Date",""),IF([1]DATABASE!E883="","Missing Typology",""),IF([1]DATABASE!AJ883="","Missing Development",""))</f>
        <v/>
      </c>
      <c r="F922" s="82" t="str">
        <f>_xlfn.TEXTJOIN("; ",TRUE,IF(AND(OR(TRIM([1]DATABASE!Q883)="RESERVED",TRIM([1]DATABASE!Q883)="PRE-RESERVED",TRIM([1]DATABASE!Q883)="PSPA"),[1]DATABASE!AA883=""),"Reserved/PSPA no PSPA Date",""),IF(AND(TRIM([1]DATABASE!Q883)="AVAILABLE",[1]DATABASE!AA883&lt;&gt;""),"Available has PSPA Date",""))</f>
        <v/>
      </c>
      <c r="G922" s="82" t="str">
        <f>_xlfn.TEXTJOIN("; ",TRUE,IF(AND([1]DATABASE!T883&lt;0.8*[1]DATABASE!S883,[1]DATABASE!T883&gt;0,[1]DATABASE!S883&gt;0),"Heavy Price Cut &gt;20%",""),IF(AND(OR(TRIM([1]DATABASE!Q883)="AVAILABLE",TRIM([1]DATABASE!Q883)="UPON REQUEST"),OR([1]DATABASE!T883="",[1]DATABASE!T883=0)),"Active Unit no Price",""),IF(AND(OR(TRIM([1]DATABASE!Q883)="AVAILABLE",TRIM([1]DATABASE!Q883)="RESERVED",TRIM([1]DATABASE!Q883)="PRE-RESERVED",TRIM([1]DATABASE!Q883)="PSPA"),[1]DATABASE!AC883=""),"Active no Owner",""),IF(OR([1]DATABASE!F883="",[1]DATABASE!F883&lt;=0),"Missing/Invalid Area",""),IF(AND([1]DATABASE!T883&gt;0,ABS([1]DATABASE!T883-[1]DATABASE!W883-[1]DATABASE!U883-[1]DATABASE!V883)&gt;1),"Price Bridge Mismatch",""))</f>
        <v/>
      </c>
      <c r="H922" t="str">
        <f t="shared" si="16"/>
        <v>PASS</v>
      </c>
      <c r="I922" s="90">
        <f>[1]DATABASE!T883</f>
        <v>925000</v>
      </c>
      <c r="J922" t="str">
        <f>[1]DATABASE!AC883</f>
        <v>Ana Damásio</v>
      </c>
    </row>
    <row r="923" spans="1:10" ht="13.95" customHeight="1" x14ac:dyDescent="0.3">
      <c r="A923">
        <f>ROW([1]DATABASE!A884)</f>
        <v>884</v>
      </c>
      <c r="B923" t="str">
        <f>[1]DATABASE!AJ884</f>
        <v>Zestia</v>
      </c>
      <c r="C923" t="str">
        <f>[1]DATABASE!C884</f>
        <v>BH</v>
      </c>
      <c r="D923" t="str">
        <f>TRIM([1]DATABASE!Q884)</f>
        <v>AVAILABLE</v>
      </c>
      <c r="E923" s="82" t="str">
        <f>_xlfn.TEXTJOIN("; ",TRUE,IF([1]DATABASE!X884&lt;0,"Negative Discount",""),IF(AND([1]DATABASE!Y884&gt;[1]DATABASE!T884,[1]DATABASE!Y884&gt;0,[1]DATABASE!T884&gt;0),"Sell Price &gt; Current",""),IF(AND(TRIM([1]DATABASE!Q884)="DEED",[1]DATABASE!AA884=""),"Deeded no PSPA Date",""),IF([1]DATABASE!E884="","Missing Typology",""),IF([1]DATABASE!AJ884="","Missing Development",""))</f>
        <v/>
      </c>
      <c r="F923" s="82" t="str">
        <f>_xlfn.TEXTJOIN("; ",TRUE,IF(AND(OR(TRIM([1]DATABASE!Q884)="RESERVED",TRIM([1]DATABASE!Q884)="PRE-RESERVED",TRIM([1]DATABASE!Q884)="PSPA"),[1]DATABASE!AA884=""),"Reserved/PSPA no PSPA Date",""),IF(AND(TRIM([1]DATABASE!Q884)="AVAILABLE",[1]DATABASE!AA884&lt;&gt;""),"Available has PSPA Date",""))</f>
        <v/>
      </c>
      <c r="G923" s="82" t="str">
        <f>_xlfn.TEXTJOIN("; ",TRUE,IF(AND([1]DATABASE!T884&lt;0.8*[1]DATABASE!S884,[1]DATABASE!T884&gt;0,[1]DATABASE!S884&gt;0),"Heavy Price Cut &gt;20%",""),IF(AND(OR(TRIM([1]DATABASE!Q884)="AVAILABLE",TRIM([1]DATABASE!Q884)="UPON REQUEST"),OR([1]DATABASE!T884="",[1]DATABASE!T884=0)),"Active Unit no Price",""),IF(AND(OR(TRIM([1]DATABASE!Q884)="AVAILABLE",TRIM([1]DATABASE!Q884)="RESERVED",TRIM([1]DATABASE!Q884)="PRE-RESERVED",TRIM([1]DATABASE!Q884)="PSPA"),[1]DATABASE!AC884=""),"Active no Owner",""),IF(OR([1]DATABASE!F884="",[1]DATABASE!F884&lt;=0),"Missing/Invalid Area",""),IF(AND([1]DATABASE!T884&gt;0,ABS([1]DATABASE!T884-[1]DATABASE!W884-[1]DATABASE!U884-[1]DATABASE!V884)&gt;1),"Price Bridge Mismatch",""))</f>
        <v/>
      </c>
      <c r="H923" t="str">
        <f t="shared" si="16"/>
        <v>PASS</v>
      </c>
      <c r="I923" s="90">
        <f>[1]DATABASE!T884</f>
        <v>900000</v>
      </c>
      <c r="J923" t="str">
        <f>[1]DATABASE!AC884</f>
        <v>Ana Damásio</v>
      </c>
    </row>
    <row r="924" spans="1:10" ht="13.95" customHeight="1" x14ac:dyDescent="0.3">
      <c r="A924">
        <f>ROW([1]DATABASE!A885)</f>
        <v>885</v>
      </c>
      <c r="B924" t="str">
        <f>[1]DATABASE!AJ885</f>
        <v>Springs - At the Els</v>
      </c>
      <c r="C924" t="str">
        <f>[1]DATABASE!C885</f>
        <v>BI</v>
      </c>
      <c r="D924" t="str">
        <f>TRIM([1]DATABASE!Q885)</f>
        <v>AVAILABLE</v>
      </c>
      <c r="E924" s="82" t="str">
        <f>_xlfn.TEXTJOIN("; ",TRUE,IF([1]DATABASE!X885&lt;0,"Negative Discount",""),IF(AND([1]DATABASE!Y885&gt;[1]DATABASE!T885,[1]DATABASE!Y885&gt;0,[1]DATABASE!T885&gt;0),"Sell Price &gt; Current",""),IF(AND(TRIM([1]DATABASE!Q885)="DEED",[1]DATABASE!AA885=""),"Deeded no PSPA Date",""),IF([1]DATABASE!E885="","Missing Typology",""),IF([1]DATABASE!AJ885="","Missing Development",""))</f>
        <v/>
      </c>
      <c r="F924" s="82" t="str">
        <f>_xlfn.TEXTJOIN("; ",TRUE,IF(AND(OR(TRIM([1]DATABASE!Q885)="RESERVED",TRIM([1]DATABASE!Q885)="PRE-RESERVED",TRIM([1]DATABASE!Q885)="PSPA"),[1]DATABASE!AA885=""),"Reserved/PSPA no PSPA Date",""),IF(AND(TRIM([1]DATABASE!Q885)="AVAILABLE",[1]DATABASE!AA885&lt;&gt;""),"Available has PSPA Date",""))</f>
        <v/>
      </c>
      <c r="G924" s="82" t="str">
        <f>_xlfn.TEXTJOIN("; ",TRUE,IF(AND([1]DATABASE!T885&lt;0.8*[1]DATABASE!S885,[1]DATABASE!T885&gt;0,[1]DATABASE!S885&gt;0),"Heavy Price Cut &gt;20%",""),IF(AND(OR(TRIM([1]DATABASE!Q885)="AVAILABLE",TRIM([1]DATABASE!Q885)="UPON REQUEST"),OR([1]DATABASE!T885="",[1]DATABASE!T885=0)),"Active Unit no Price",""),IF(AND(OR(TRIM([1]DATABASE!Q885)="AVAILABLE",TRIM([1]DATABASE!Q885)="RESERVED",TRIM([1]DATABASE!Q885)="PRE-RESERVED",TRIM([1]DATABASE!Q885)="PSPA"),[1]DATABASE!AC885=""),"Active no Owner",""),IF(OR([1]DATABASE!F885="",[1]DATABASE!F885&lt;=0),"Missing/Invalid Area",""),IF(AND([1]DATABASE!T885&gt;0,ABS([1]DATABASE!T885-[1]DATABASE!W885-[1]DATABASE!U885-[1]DATABASE!V885)&gt;1),"Price Bridge Mismatch",""))</f>
        <v/>
      </c>
      <c r="H924" t="str">
        <f t="shared" si="16"/>
        <v>PASS</v>
      </c>
      <c r="I924" s="90">
        <f>[1]DATABASE!T885</f>
        <v>1600000</v>
      </c>
      <c r="J924" t="str">
        <f>[1]DATABASE!AC885</f>
        <v>Ana Damásio</v>
      </c>
    </row>
    <row r="925" spans="1:10" ht="13.95" customHeight="1" x14ac:dyDescent="0.3">
      <c r="A925">
        <f>ROW([1]DATABASE!A886)</f>
        <v>886</v>
      </c>
      <c r="B925" t="str">
        <f>[1]DATABASE!AJ886</f>
        <v>Monte Rei</v>
      </c>
      <c r="C925" t="str">
        <f>[1]DATABASE!C886</f>
        <v>6</v>
      </c>
      <c r="D925" t="str">
        <f>TRIM([1]DATABASE!Q886)</f>
        <v>AVAILABLE</v>
      </c>
      <c r="E925" s="82" t="str">
        <f>_xlfn.TEXTJOIN("; ",TRUE,IF([1]DATABASE!X886&lt;0,"Negative Discount",""),IF(AND([1]DATABASE!Y886&gt;[1]DATABASE!T886,[1]DATABASE!Y886&gt;0,[1]DATABASE!T886&gt;0),"Sell Price &gt; Current",""),IF(AND(TRIM([1]DATABASE!Q886)="DEED",[1]DATABASE!AA886=""),"Deeded no PSPA Date",""),IF([1]DATABASE!E886="","Missing Typology",""),IF([1]DATABASE!AJ886="","Missing Development",""))</f>
        <v/>
      </c>
      <c r="F925" s="82" t="str">
        <f>_xlfn.TEXTJOIN("; ",TRUE,IF(AND(OR(TRIM([1]DATABASE!Q886)="RESERVED",TRIM([1]DATABASE!Q886)="PRE-RESERVED",TRIM([1]DATABASE!Q886)="PSPA"),[1]DATABASE!AA886=""),"Reserved/PSPA no PSPA Date",""),IF(AND(TRIM([1]DATABASE!Q886)="AVAILABLE",[1]DATABASE!AA886&lt;&gt;""),"Available has PSPA Date",""))</f>
        <v/>
      </c>
      <c r="G925" s="82" t="str">
        <f>_xlfn.TEXTJOIN("; ",TRUE,IF(AND([1]DATABASE!T886&lt;0.8*[1]DATABASE!S886,[1]DATABASE!T886&gt;0,[1]DATABASE!S886&gt;0),"Heavy Price Cut &gt;20%",""),IF(AND(OR(TRIM([1]DATABASE!Q886)="AVAILABLE",TRIM([1]DATABASE!Q886)="UPON REQUEST"),OR([1]DATABASE!T886="",[1]DATABASE!T886=0)),"Active Unit no Price",""),IF(AND(OR(TRIM([1]DATABASE!Q886)="AVAILABLE",TRIM([1]DATABASE!Q886)="RESERVED",TRIM([1]DATABASE!Q886)="PRE-RESERVED",TRIM([1]DATABASE!Q886)="PSPA"),[1]DATABASE!AC886=""),"Active no Owner",""),IF(OR([1]DATABASE!F886="",[1]DATABASE!F886&lt;=0),"Missing/Invalid Area",""),IF(AND([1]DATABASE!T886&gt;0,ABS([1]DATABASE!T886-[1]DATABASE!W886-[1]DATABASE!U886-[1]DATABASE!V886)&gt;1),"Price Bridge Mismatch",""))</f>
        <v/>
      </c>
      <c r="H925" t="str">
        <f t="shared" si="16"/>
        <v>PASS</v>
      </c>
      <c r="I925" s="90">
        <f>[1]DATABASE!T886</f>
        <v>910000</v>
      </c>
      <c r="J925" t="str">
        <f>[1]DATABASE!AC886</f>
        <v>Sandra Viegas</v>
      </c>
    </row>
    <row r="926" spans="1:10" ht="13.95" customHeight="1" x14ac:dyDescent="0.3">
      <c r="A926">
        <f>ROW([1]DATABASE!A887)</f>
        <v>887</v>
      </c>
      <c r="B926" t="str">
        <f>[1]DATABASE!AJ887</f>
        <v>Zestia</v>
      </c>
      <c r="C926" t="str">
        <f>[1]DATABASE!C887</f>
        <v>BI</v>
      </c>
      <c r="D926" t="str">
        <f>TRIM([1]DATABASE!Q887)</f>
        <v>AVAILABLE</v>
      </c>
      <c r="E926" s="82" t="str">
        <f>_xlfn.TEXTJOIN("; ",TRUE,IF([1]DATABASE!X887&lt;0,"Negative Discount",""),IF(AND([1]DATABASE!Y887&gt;[1]DATABASE!T887,[1]DATABASE!Y887&gt;0,[1]DATABASE!T887&gt;0),"Sell Price &gt; Current",""),IF(AND(TRIM([1]DATABASE!Q887)="DEED",[1]DATABASE!AA887=""),"Deeded no PSPA Date",""),IF([1]DATABASE!E887="","Missing Typology",""),IF([1]DATABASE!AJ887="","Missing Development",""))</f>
        <v/>
      </c>
      <c r="F926" s="82" t="str">
        <f>_xlfn.TEXTJOIN("; ",TRUE,IF(AND(OR(TRIM([1]DATABASE!Q887)="RESERVED",TRIM([1]DATABASE!Q887)="PRE-RESERVED",TRIM([1]DATABASE!Q887)="PSPA"),[1]DATABASE!AA887=""),"Reserved/PSPA no PSPA Date",""),IF(AND(TRIM([1]DATABASE!Q887)="AVAILABLE",[1]DATABASE!AA887&lt;&gt;""),"Available has PSPA Date",""))</f>
        <v/>
      </c>
      <c r="G926" s="82" t="str">
        <f>_xlfn.TEXTJOIN("; ",TRUE,IF(AND([1]DATABASE!T887&lt;0.8*[1]DATABASE!S887,[1]DATABASE!T887&gt;0,[1]DATABASE!S887&gt;0),"Heavy Price Cut &gt;20%",""),IF(AND(OR(TRIM([1]DATABASE!Q887)="AVAILABLE",TRIM([1]DATABASE!Q887)="UPON REQUEST"),OR([1]DATABASE!T887="",[1]DATABASE!T887=0)),"Active Unit no Price",""),IF(AND(OR(TRIM([1]DATABASE!Q887)="AVAILABLE",TRIM([1]DATABASE!Q887)="RESERVED",TRIM([1]DATABASE!Q887)="PRE-RESERVED",TRIM([1]DATABASE!Q887)="PSPA"),[1]DATABASE!AC887=""),"Active no Owner",""),IF(OR([1]DATABASE!F887="",[1]DATABASE!F887&lt;=0),"Missing/Invalid Area",""),IF(AND([1]DATABASE!T887&gt;0,ABS([1]DATABASE!T887-[1]DATABASE!W887-[1]DATABASE!U887-[1]DATABASE!V887)&gt;1),"Price Bridge Mismatch",""))</f>
        <v/>
      </c>
      <c r="H926" t="str">
        <f t="shared" si="16"/>
        <v>PASS</v>
      </c>
      <c r="I926" s="90">
        <f>[1]DATABASE!T887</f>
        <v>1170000</v>
      </c>
      <c r="J926" t="str">
        <f>[1]DATABASE!AC887</f>
        <v>Ana Damásio</v>
      </c>
    </row>
    <row r="927" spans="1:10" ht="13.95" customHeight="1" x14ac:dyDescent="0.3">
      <c r="A927">
        <f>ROW([1]DATABASE!A888)</f>
        <v>888</v>
      </c>
      <c r="B927" t="str">
        <f>[1]DATABASE!AJ888</f>
        <v>Springs - At the Els</v>
      </c>
      <c r="C927" t="str">
        <f>[1]DATABASE!C888</f>
        <v>BJ</v>
      </c>
      <c r="D927" t="str">
        <f>TRIM([1]DATABASE!Q888)</f>
        <v>AVAILABLE</v>
      </c>
      <c r="E927" s="82" t="str">
        <f>_xlfn.TEXTJOIN("; ",TRUE,IF([1]DATABASE!X888&lt;0,"Negative Discount",""),IF(AND([1]DATABASE!Y888&gt;[1]DATABASE!T888,[1]DATABASE!Y888&gt;0,[1]DATABASE!T888&gt;0),"Sell Price &gt; Current",""),IF(AND(TRIM([1]DATABASE!Q888)="DEED",[1]DATABASE!AA888=""),"Deeded no PSPA Date",""),IF([1]DATABASE!E888="","Missing Typology",""),IF([1]DATABASE!AJ888="","Missing Development",""))</f>
        <v/>
      </c>
      <c r="F927" s="82" t="str">
        <f>_xlfn.TEXTJOIN("; ",TRUE,IF(AND(OR(TRIM([1]DATABASE!Q888)="RESERVED",TRIM([1]DATABASE!Q888)="PRE-RESERVED",TRIM([1]DATABASE!Q888)="PSPA"),[1]DATABASE!AA888=""),"Reserved/PSPA no PSPA Date",""),IF(AND(TRIM([1]DATABASE!Q888)="AVAILABLE",[1]DATABASE!AA888&lt;&gt;""),"Available has PSPA Date",""))</f>
        <v/>
      </c>
      <c r="G927" s="82" t="str">
        <f>_xlfn.TEXTJOIN("; ",TRUE,IF(AND([1]DATABASE!T888&lt;0.8*[1]DATABASE!S888,[1]DATABASE!T888&gt;0,[1]DATABASE!S888&gt;0),"Heavy Price Cut &gt;20%",""),IF(AND(OR(TRIM([1]DATABASE!Q888)="AVAILABLE",TRIM([1]DATABASE!Q888)="UPON REQUEST"),OR([1]DATABASE!T888="",[1]DATABASE!T888=0)),"Active Unit no Price",""),IF(AND(OR(TRIM([1]DATABASE!Q888)="AVAILABLE",TRIM([1]DATABASE!Q888)="RESERVED",TRIM([1]DATABASE!Q888)="PRE-RESERVED",TRIM([1]DATABASE!Q888)="PSPA"),[1]DATABASE!AC888=""),"Active no Owner",""),IF(OR([1]DATABASE!F888="",[1]DATABASE!F888&lt;=0),"Missing/Invalid Area",""),IF(AND([1]DATABASE!T888&gt;0,ABS([1]DATABASE!T888-[1]DATABASE!W888-[1]DATABASE!U888-[1]DATABASE!V888)&gt;1),"Price Bridge Mismatch",""))</f>
        <v/>
      </c>
      <c r="H927" t="str">
        <f t="shared" si="16"/>
        <v>PASS</v>
      </c>
      <c r="I927" s="90">
        <f>[1]DATABASE!T888</f>
        <v>1490000</v>
      </c>
      <c r="J927" t="str">
        <f>[1]DATABASE!AC888</f>
        <v>Ana Damásio</v>
      </c>
    </row>
    <row r="928" spans="1:10" ht="13.95" customHeight="1" x14ac:dyDescent="0.3">
      <c r="A928">
        <f>ROW([1]DATABASE!A889)</f>
        <v>889</v>
      </c>
      <c r="B928" t="str">
        <f>[1]DATABASE!AJ889</f>
        <v>Terracota</v>
      </c>
      <c r="C928" t="str">
        <f>[1]DATABASE!C889</f>
        <v>BJ</v>
      </c>
      <c r="D928" t="str">
        <f>TRIM([1]DATABASE!Q889)</f>
        <v>AVAILABLE</v>
      </c>
      <c r="E928" s="82" t="str">
        <f>_xlfn.TEXTJOIN("; ",TRUE,IF([1]DATABASE!X889&lt;0,"Negative Discount",""),IF(AND([1]DATABASE!Y889&gt;[1]DATABASE!T889,[1]DATABASE!Y889&gt;0,[1]DATABASE!T889&gt;0),"Sell Price &gt; Current",""),IF(AND(TRIM([1]DATABASE!Q889)="DEED",[1]DATABASE!AA889=""),"Deeded no PSPA Date",""),IF([1]DATABASE!E889="","Missing Typology",""),IF([1]DATABASE!AJ889="","Missing Development",""))</f>
        <v/>
      </c>
      <c r="F928" s="82" t="str">
        <f>_xlfn.TEXTJOIN("; ",TRUE,IF(AND(OR(TRIM([1]DATABASE!Q889)="RESERVED",TRIM([1]DATABASE!Q889)="PRE-RESERVED",TRIM([1]DATABASE!Q889)="PSPA"),[1]DATABASE!AA889=""),"Reserved/PSPA no PSPA Date",""),IF(AND(TRIM([1]DATABASE!Q889)="AVAILABLE",[1]DATABASE!AA889&lt;&gt;""),"Available has PSPA Date",""))</f>
        <v/>
      </c>
      <c r="G928" s="82" t="str">
        <f>_xlfn.TEXTJOIN("; ",TRUE,IF(AND([1]DATABASE!T889&lt;0.8*[1]DATABASE!S889,[1]DATABASE!T889&gt;0,[1]DATABASE!S889&gt;0),"Heavy Price Cut &gt;20%",""),IF(AND(OR(TRIM([1]DATABASE!Q889)="AVAILABLE",TRIM([1]DATABASE!Q889)="UPON REQUEST"),OR([1]DATABASE!T889="",[1]DATABASE!T889=0)),"Active Unit no Price",""),IF(AND(OR(TRIM([1]DATABASE!Q889)="AVAILABLE",TRIM([1]DATABASE!Q889)="RESERVED",TRIM([1]DATABASE!Q889)="PRE-RESERVED",TRIM([1]DATABASE!Q889)="PSPA"),[1]DATABASE!AC889=""),"Active no Owner",""),IF(OR([1]DATABASE!F889="",[1]DATABASE!F889&lt;=0),"Missing/Invalid Area",""),IF(AND([1]DATABASE!T889&gt;0,ABS([1]DATABASE!T889-[1]DATABASE!W889-[1]DATABASE!U889-[1]DATABASE!V889)&gt;1),"Price Bridge Mismatch",""))</f>
        <v/>
      </c>
      <c r="H928" t="str">
        <f t="shared" si="16"/>
        <v>PASS</v>
      </c>
      <c r="I928" s="90">
        <f>[1]DATABASE!T889</f>
        <v>925000</v>
      </c>
      <c r="J928" t="str">
        <f>[1]DATABASE!AC889</f>
        <v>Ana Damásio</v>
      </c>
    </row>
    <row r="929" spans="1:10" ht="13.95" customHeight="1" x14ac:dyDescent="0.3">
      <c r="A929">
        <f>ROW([1]DATABASE!A890)</f>
        <v>890</v>
      </c>
      <c r="B929" t="str">
        <f>[1]DATABASE!AJ890</f>
        <v>Monte Rei</v>
      </c>
      <c r="C929" t="str">
        <f>[1]DATABASE!C890</f>
        <v>30</v>
      </c>
      <c r="D929" t="str">
        <f>TRIM([1]DATABASE!Q890)</f>
        <v>AVAILABLE</v>
      </c>
      <c r="E929" s="82" t="str">
        <f>_xlfn.TEXTJOIN("; ",TRUE,IF([1]DATABASE!X890&lt;0,"Negative Discount",""),IF(AND([1]DATABASE!Y890&gt;[1]DATABASE!T890,[1]DATABASE!Y890&gt;0,[1]DATABASE!T890&gt;0),"Sell Price &gt; Current",""),IF(AND(TRIM([1]DATABASE!Q890)="DEED",[1]DATABASE!AA890=""),"Deeded no PSPA Date",""),IF([1]DATABASE!E890="","Missing Typology",""),IF([1]DATABASE!AJ890="","Missing Development",""))</f>
        <v/>
      </c>
      <c r="F929" s="82" t="str">
        <f>_xlfn.TEXTJOIN("; ",TRUE,IF(AND(OR(TRIM([1]DATABASE!Q890)="RESERVED",TRIM([1]DATABASE!Q890)="PRE-RESERVED",TRIM([1]DATABASE!Q890)="PSPA"),[1]DATABASE!AA890=""),"Reserved/PSPA no PSPA Date",""),IF(AND(TRIM([1]DATABASE!Q890)="AVAILABLE",[1]DATABASE!AA890&lt;&gt;""),"Available has PSPA Date",""))</f>
        <v/>
      </c>
      <c r="G929" s="82" t="str">
        <f>_xlfn.TEXTJOIN("; ",TRUE,IF(AND([1]DATABASE!T890&lt;0.8*[1]DATABASE!S890,[1]DATABASE!T890&gt;0,[1]DATABASE!S890&gt;0),"Heavy Price Cut &gt;20%",""),IF(AND(OR(TRIM([1]DATABASE!Q890)="AVAILABLE",TRIM([1]DATABASE!Q890)="UPON REQUEST"),OR([1]DATABASE!T890="",[1]DATABASE!T890=0)),"Active Unit no Price",""),IF(AND(OR(TRIM([1]DATABASE!Q890)="AVAILABLE",TRIM([1]DATABASE!Q890)="RESERVED",TRIM([1]DATABASE!Q890)="PRE-RESERVED",TRIM([1]DATABASE!Q890)="PSPA"),[1]DATABASE!AC890=""),"Active no Owner",""),IF(OR([1]DATABASE!F890="",[1]DATABASE!F890&lt;=0),"Missing/Invalid Area",""),IF(AND([1]DATABASE!T890&gt;0,ABS([1]DATABASE!T890-[1]DATABASE!W890-[1]DATABASE!U890-[1]DATABASE!V890)&gt;1),"Price Bridge Mismatch",""))</f>
        <v/>
      </c>
      <c r="H929" t="str">
        <f t="shared" si="16"/>
        <v>PASS</v>
      </c>
      <c r="I929" s="90">
        <f>[1]DATABASE!T890</f>
        <v>960000</v>
      </c>
      <c r="J929" t="str">
        <f>[1]DATABASE!AC890</f>
        <v>Sandra Viegas</v>
      </c>
    </row>
    <row r="930" spans="1:10" ht="13.95" customHeight="1" x14ac:dyDescent="0.3">
      <c r="A930">
        <f>ROW([1]DATABASE!A891)</f>
        <v>891</v>
      </c>
      <c r="B930" t="str">
        <f>[1]DATABASE!AJ891</f>
        <v>Zestia</v>
      </c>
      <c r="C930" t="str">
        <f>[1]DATABASE!C891</f>
        <v>BJ</v>
      </c>
      <c r="D930" t="str">
        <f>TRIM([1]DATABASE!Q891)</f>
        <v>AVAILABLE</v>
      </c>
      <c r="E930" s="82" t="str">
        <f>_xlfn.TEXTJOIN("; ",TRUE,IF([1]DATABASE!X891&lt;0,"Negative Discount",""),IF(AND([1]DATABASE!Y891&gt;[1]DATABASE!T891,[1]DATABASE!Y891&gt;0,[1]DATABASE!T891&gt;0),"Sell Price &gt; Current",""),IF(AND(TRIM([1]DATABASE!Q891)="DEED",[1]DATABASE!AA891=""),"Deeded no PSPA Date",""),IF([1]DATABASE!E891="","Missing Typology",""),IF([1]DATABASE!AJ891="","Missing Development",""))</f>
        <v/>
      </c>
      <c r="F930" s="82" t="str">
        <f>_xlfn.TEXTJOIN("; ",TRUE,IF(AND(OR(TRIM([1]DATABASE!Q891)="RESERVED",TRIM([1]DATABASE!Q891)="PRE-RESERVED",TRIM([1]DATABASE!Q891)="PSPA"),[1]DATABASE!AA891=""),"Reserved/PSPA no PSPA Date",""),IF(AND(TRIM([1]DATABASE!Q891)="AVAILABLE",[1]DATABASE!AA891&lt;&gt;""),"Available has PSPA Date",""))</f>
        <v/>
      </c>
      <c r="G930" s="82" t="str">
        <f>_xlfn.TEXTJOIN("; ",TRUE,IF(AND([1]DATABASE!T891&lt;0.8*[1]DATABASE!S891,[1]DATABASE!T891&gt;0,[1]DATABASE!S891&gt;0),"Heavy Price Cut &gt;20%",""),IF(AND(OR(TRIM([1]DATABASE!Q891)="AVAILABLE",TRIM([1]DATABASE!Q891)="UPON REQUEST"),OR([1]DATABASE!T891="",[1]DATABASE!T891=0)),"Active Unit no Price",""),IF(AND(OR(TRIM([1]DATABASE!Q891)="AVAILABLE",TRIM([1]DATABASE!Q891)="RESERVED",TRIM([1]DATABASE!Q891)="PRE-RESERVED",TRIM([1]DATABASE!Q891)="PSPA"),[1]DATABASE!AC891=""),"Active no Owner",""),IF(OR([1]DATABASE!F891="",[1]DATABASE!F891&lt;=0),"Missing/Invalid Area",""),IF(AND([1]DATABASE!T891&gt;0,ABS([1]DATABASE!T891-[1]DATABASE!W891-[1]DATABASE!U891-[1]DATABASE!V891)&gt;1),"Price Bridge Mismatch",""))</f>
        <v/>
      </c>
      <c r="H930" t="str">
        <f t="shared" si="16"/>
        <v>PASS</v>
      </c>
      <c r="I930" s="90">
        <f>[1]DATABASE!T891</f>
        <v>1190000</v>
      </c>
      <c r="J930" t="str">
        <f>[1]DATABASE!AC891</f>
        <v>Ana Damásio</v>
      </c>
    </row>
    <row r="931" spans="1:10" ht="13.95" customHeight="1" x14ac:dyDescent="0.3">
      <c r="A931">
        <f>ROW([1]DATABASE!A892)</f>
        <v>892</v>
      </c>
      <c r="B931" t="str">
        <f>[1]DATABASE!AJ892</f>
        <v>Springs - At the Els</v>
      </c>
      <c r="C931" t="str">
        <f>[1]DATABASE!C892</f>
        <v>BK</v>
      </c>
      <c r="D931" t="str">
        <f>TRIM([1]DATABASE!Q892)</f>
        <v>AVAILABLE</v>
      </c>
      <c r="E931" s="82" t="str">
        <f>_xlfn.TEXTJOIN("; ",TRUE,IF([1]DATABASE!X892&lt;0,"Negative Discount",""),IF(AND([1]DATABASE!Y892&gt;[1]DATABASE!T892,[1]DATABASE!Y892&gt;0,[1]DATABASE!T892&gt;0),"Sell Price &gt; Current",""),IF(AND(TRIM([1]DATABASE!Q892)="DEED",[1]DATABASE!AA892=""),"Deeded no PSPA Date",""),IF([1]DATABASE!E892="","Missing Typology",""),IF([1]DATABASE!AJ892="","Missing Development",""))</f>
        <v/>
      </c>
      <c r="F931" s="82" t="str">
        <f>_xlfn.TEXTJOIN("; ",TRUE,IF(AND(OR(TRIM([1]DATABASE!Q892)="RESERVED",TRIM([1]DATABASE!Q892)="PRE-RESERVED",TRIM([1]DATABASE!Q892)="PSPA"),[1]DATABASE!AA892=""),"Reserved/PSPA no PSPA Date",""),IF(AND(TRIM([1]DATABASE!Q892)="AVAILABLE",[1]DATABASE!AA892&lt;&gt;""),"Available has PSPA Date",""))</f>
        <v/>
      </c>
      <c r="G931" s="82" t="str">
        <f>_xlfn.TEXTJOIN("; ",TRUE,IF(AND([1]DATABASE!T892&lt;0.8*[1]DATABASE!S892,[1]DATABASE!T892&gt;0,[1]DATABASE!S892&gt;0),"Heavy Price Cut &gt;20%",""),IF(AND(OR(TRIM([1]DATABASE!Q892)="AVAILABLE",TRIM([1]DATABASE!Q892)="UPON REQUEST"),OR([1]DATABASE!T892="",[1]DATABASE!T892=0)),"Active Unit no Price",""),IF(AND(OR(TRIM([1]DATABASE!Q892)="AVAILABLE",TRIM([1]DATABASE!Q892)="RESERVED",TRIM([1]DATABASE!Q892)="PRE-RESERVED",TRIM([1]DATABASE!Q892)="PSPA"),[1]DATABASE!AC892=""),"Active no Owner",""),IF(OR([1]DATABASE!F892="",[1]DATABASE!F892&lt;=0),"Missing/Invalid Area",""),IF(AND([1]DATABASE!T892&gt;0,ABS([1]DATABASE!T892-[1]DATABASE!W892-[1]DATABASE!U892-[1]DATABASE!V892)&gt;1),"Price Bridge Mismatch",""))</f>
        <v/>
      </c>
      <c r="H931" t="str">
        <f t="shared" si="16"/>
        <v>PASS</v>
      </c>
      <c r="I931" s="90">
        <f>[1]DATABASE!T892</f>
        <v>1490000</v>
      </c>
      <c r="J931" t="str">
        <f>[1]DATABASE!AC892</f>
        <v>Ana Damásio</v>
      </c>
    </row>
    <row r="932" spans="1:10" ht="13.95" customHeight="1" x14ac:dyDescent="0.3">
      <c r="A932">
        <f>ROW([1]DATABASE!A893)</f>
        <v>893</v>
      </c>
      <c r="B932" t="str">
        <f>[1]DATABASE!AJ893</f>
        <v>Terracota</v>
      </c>
      <c r="C932" t="str">
        <f>[1]DATABASE!C893</f>
        <v>BK</v>
      </c>
      <c r="D932" t="str">
        <f>TRIM([1]DATABASE!Q893)</f>
        <v>AVAILABLE</v>
      </c>
      <c r="E932" s="82" t="str">
        <f>_xlfn.TEXTJOIN("; ",TRUE,IF([1]DATABASE!X893&lt;0,"Negative Discount",""),IF(AND([1]DATABASE!Y893&gt;[1]DATABASE!T893,[1]DATABASE!Y893&gt;0,[1]DATABASE!T893&gt;0),"Sell Price &gt; Current",""),IF(AND(TRIM([1]DATABASE!Q893)="DEED",[1]DATABASE!AA893=""),"Deeded no PSPA Date",""),IF([1]DATABASE!E893="","Missing Typology",""),IF([1]DATABASE!AJ893="","Missing Development",""))</f>
        <v/>
      </c>
      <c r="F932" s="82" t="str">
        <f>_xlfn.TEXTJOIN("; ",TRUE,IF(AND(OR(TRIM([1]DATABASE!Q893)="RESERVED",TRIM([1]DATABASE!Q893)="PRE-RESERVED",TRIM([1]DATABASE!Q893)="PSPA"),[1]DATABASE!AA893=""),"Reserved/PSPA no PSPA Date",""),IF(AND(TRIM([1]DATABASE!Q893)="AVAILABLE",[1]DATABASE!AA893&lt;&gt;""),"Available has PSPA Date",""))</f>
        <v/>
      </c>
      <c r="G932" s="82" t="str">
        <f>_xlfn.TEXTJOIN("; ",TRUE,IF(AND([1]DATABASE!T893&lt;0.8*[1]DATABASE!S893,[1]DATABASE!T893&gt;0,[1]DATABASE!S893&gt;0),"Heavy Price Cut &gt;20%",""),IF(AND(OR(TRIM([1]DATABASE!Q893)="AVAILABLE",TRIM([1]DATABASE!Q893)="UPON REQUEST"),OR([1]DATABASE!T893="",[1]DATABASE!T893=0)),"Active Unit no Price",""),IF(AND(OR(TRIM([1]DATABASE!Q893)="AVAILABLE",TRIM([1]DATABASE!Q893)="RESERVED",TRIM([1]DATABASE!Q893)="PRE-RESERVED",TRIM([1]DATABASE!Q893)="PSPA"),[1]DATABASE!AC893=""),"Active no Owner",""),IF(OR([1]DATABASE!F893="",[1]DATABASE!F893&lt;=0),"Missing/Invalid Area",""),IF(AND([1]DATABASE!T893&gt;0,ABS([1]DATABASE!T893-[1]DATABASE!W893-[1]DATABASE!U893-[1]DATABASE!V893)&gt;1),"Price Bridge Mismatch",""))</f>
        <v/>
      </c>
      <c r="H932" t="str">
        <f t="shared" si="16"/>
        <v>PASS</v>
      </c>
      <c r="I932" s="90">
        <f>[1]DATABASE!T893</f>
        <v>710000</v>
      </c>
      <c r="J932" t="str">
        <f>[1]DATABASE!AC893</f>
        <v>Ana Damásio</v>
      </c>
    </row>
    <row r="933" spans="1:10" ht="13.95" customHeight="1" x14ac:dyDescent="0.3">
      <c r="A933">
        <f>ROW([1]DATABASE!A894)</f>
        <v>894</v>
      </c>
      <c r="B933" t="str">
        <f>[1]DATABASE!AJ894</f>
        <v>Aroeira Collections</v>
      </c>
      <c r="C933" t="str">
        <f>[1]DATABASE!C894</f>
        <v>311B</v>
      </c>
      <c r="D933" t="str">
        <f>TRIM([1]DATABASE!Q894)</f>
        <v>AVAILABLE</v>
      </c>
      <c r="E933" s="82" t="str">
        <f>_xlfn.TEXTJOIN("; ",TRUE,IF([1]DATABASE!X894&lt;0,"Negative Discount",""),IF(AND([1]DATABASE!Y894&gt;[1]DATABASE!T894,[1]DATABASE!Y894&gt;0,[1]DATABASE!T894&gt;0),"Sell Price &gt; Current",""),IF(AND(TRIM([1]DATABASE!Q894)="DEED",[1]DATABASE!AA894=""),"Deeded no PSPA Date",""),IF([1]DATABASE!E894="","Missing Typology",""),IF([1]DATABASE!AJ894="","Missing Development",""))</f>
        <v/>
      </c>
      <c r="F933" s="82" t="str">
        <f>_xlfn.TEXTJOIN("; ",TRUE,IF(AND(OR(TRIM([1]DATABASE!Q894)="RESERVED",TRIM([1]DATABASE!Q894)="PRE-RESERVED",TRIM([1]DATABASE!Q894)="PSPA"),[1]DATABASE!AA894=""),"Reserved/PSPA no PSPA Date",""),IF(AND(TRIM([1]DATABASE!Q894)="AVAILABLE",[1]DATABASE!AA894&lt;&gt;""),"Available has PSPA Date",""))</f>
        <v/>
      </c>
      <c r="G933" s="82" t="str">
        <f>_xlfn.TEXTJOIN("; ",TRUE,IF(AND([1]DATABASE!T894&lt;0.8*[1]DATABASE!S894,[1]DATABASE!T894&gt;0,[1]DATABASE!S894&gt;0),"Heavy Price Cut &gt;20%",""),IF(AND(OR(TRIM([1]DATABASE!Q894)="AVAILABLE",TRIM([1]DATABASE!Q894)="UPON REQUEST"),OR([1]DATABASE!T894="",[1]DATABASE!T894=0)),"Active Unit no Price",""),IF(AND(OR(TRIM([1]DATABASE!Q894)="AVAILABLE",TRIM([1]DATABASE!Q894)="RESERVED",TRIM([1]DATABASE!Q894)="PRE-RESERVED",TRIM([1]DATABASE!Q894)="PSPA"),[1]DATABASE!AC894=""),"Active no Owner",""),IF(OR([1]DATABASE!F894="",[1]DATABASE!F894&lt;=0),"Missing/Invalid Area",""),IF(AND([1]DATABASE!T894&gt;0,ABS([1]DATABASE!T894-[1]DATABASE!W894-[1]DATABASE!U894-[1]DATABASE!V894)&gt;1),"Price Bridge Mismatch",""))</f>
        <v/>
      </c>
      <c r="H933" t="str">
        <f t="shared" si="16"/>
        <v>PASS</v>
      </c>
      <c r="I933" s="90">
        <f>[1]DATABASE!T894</f>
        <v>675000</v>
      </c>
      <c r="J933" t="str">
        <f>[1]DATABASE!AC894</f>
        <v>João Gameiro</v>
      </c>
    </row>
    <row r="934" spans="1:10" ht="13.95" customHeight="1" x14ac:dyDescent="0.3">
      <c r="A934">
        <f>ROW([1]DATABASE!A895)</f>
        <v>895</v>
      </c>
      <c r="B934" t="str">
        <f>[1]DATABASE!AJ895</f>
        <v>Monte Rei</v>
      </c>
      <c r="C934" t="str">
        <f>[1]DATABASE!C895</f>
        <v>23</v>
      </c>
      <c r="D934" t="str">
        <f>TRIM([1]DATABASE!Q895)</f>
        <v>AVAILABLE</v>
      </c>
      <c r="E934" s="82" t="str">
        <f>_xlfn.TEXTJOIN("; ",TRUE,IF([1]DATABASE!X895&lt;0,"Negative Discount",""),IF(AND([1]DATABASE!Y895&gt;[1]DATABASE!T895,[1]DATABASE!Y895&gt;0,[1]DATABASE!T895&gt;0),"Sell Price &gt; Current",""),IF(AND(TRIM([1]DATABASE!Q895)="DEED",[1]DATABASE!AA895=""),"Deeded no PSPA Date",""),IF([1]DATABASE!E895="","Missing Typology",""),IF([1]DATABASE!AJ895="","Missing Development",""))</f>
        <v/>
      </c>
      <c r="F934" s="82" t="str">
        <f>_xlfn.TEXTJOIN("; ",TRUE,IF(AND(OR(TRIM([1]DATABASE!Q895)="RESERVED",TRIM([1]DATABASE!Q895)="PRE-RESERVED",TRIM([1]DATABASE!Q895)="PSPA"),[1]DATABASE!AA895=""),"Reserved/PSPA no PSPA Date",""),IF(AND(TRIM([1]DATABASE!Q895)="AVAILABLE",[1]DATABASE!AA895&lt;&gt;""),"Available has PSPA Date",""))</f>
        <v/>
      </c>
      <c r="G934" s="82" t="str">
        <f>_xlfn.TEXTJOIN("; ",TRUE,IF(AND([1]DATABASE!T895&lt;0.8*[1]DATABASE!S895,[1]DATABASE!T895&gt;0,[1]DATABASE!S895&gt;0),"Heavy Price Cut &gt;20%",""),IF(AND(OR(TRIM([1]DATABASE!Q895)="AVAILABLE",TRIM([1]DATABASE!Q895)="UPON REQUEST"),OR([1]DATABASE!T895="",[1]DATABASE!T895=0)),"Active Unit no Price",""),IF(AND(OR(TRIM([1]DATABASE!Q895)="AVAILABLE",TRIM([1]DATABASE!Q895)="RESERVED",TRIM([1]DATABASE!Q895)="PRE-RESERVED",TRIM([1]DATABASE!Q895)="PSPA"),[1]DATABASE!AC895=""),"Active no Owner",""),IF(OR([1]DATABASE!F895="",[1]DATABASE!F895&lt;=0),"Missing/Invalid Area",""),IF(AND([1]DATABASE!T895&gt;0,ABS([1]DATABASE!T895-[1]DATABASE!W895-[1]DATABASE!U895-[1]DATABASE!V895)&gt;1),"Price Bridge Mismatch",""))</f>
        <v/>
      </c>
      <c r="H934" t="str">
        <f t="shared" si="16"/>
        <v>PASS</v>
      </c>
      <c r="I934" s="90">
        <f>[1]DATABASE!T895</f>
        <v>900000</v>
      </c>
      <c r="J934" t="str">
        <f>[1]DATABASE!AC895</f>
        <v>Sandra Viegas</v>
      </c>
    </row>
    <row r="935" spans="1:10" ht="13.95" customHeight="1" x14ac:dyDescent="0.3">
      <c r="A935">
        <f>ROW([1]DATABASE!A896)</f>
        <v>896</v>
      </c>
      <c r="B935" t="str">
        <f>[1]DATABASE!AJ896</f>
        <v>Monte Rei</v>
      </c>
      <c r="C935" t="str">
        <f>[1]DATABASE!C896</f>
        <v>24</v>
      </c>
      <c r="D935" t="str">
        <f>TRIM([1]DATABASE!Q896)</f>
        <v>AVAILABLE</v>
      </c>
      <c r="E935" s="82" t="str">
        <f>_xlfn.TEXTJOIN("; ",TRUE,IF([1]DATABASE!X896&lt;0,"Negative Discount",""),IF(AND([1]DATABASE!Y896&gt;[1]DATABASE!T896,[1]DATABASE!Y896&gt;0,[1]DATABASE!T896&gt;0),"Sell Price &gt; Current",""),IF(AND(TRIM([1]DATABASE!Q896)="DEED",[1]DATABASE!AA896=""),"Deeded no PSPA Date",""),IF([1]DATABASE!E896="","Missing Typology",""),IF([1]DATABASE!AJ896="","Missing Development",""))</f>
        <v/>
      </c>
      <c r="F935" s="82" t="str">
        <f>_xlfn.TEXTJOIN("; ",TRUE,IF(AND(OR(TRIM([1]DATABASE!Q896)="RESERVED",TRIM([1]DATABASE!Q896)="PRE-RESERVED",TRIM([1]DATABASE!Q896)="PSPA"),[1]DATABASE!AA896=""),"Reserved/PSPA no PSPA Date",""),IF(AND(TRIM([1]DATABASE!Q896)="AVAILABLE",[1]DATABASE!AA896&lt;&gt;""),"Available has PSPA Date",""))</f>
        <v/>
      </c>
      <c r="G935" s="82" t="str">
        <f>_xlfn.TEXTJOIN("; ",TRUE,IF(AND([1]DATABASE!T896&lt;0.8*[1]DATABASE!S896,[1]DATABASE!T896&gt;0,[1]DATABASE!S896&gt;0),"Heavy Price Cut &gt;20%",""),IF(AND(OR(TRIM([1]DATABASE!Q896)="AVAILABLE",TRIM([1]DATABASE!Q896)="UPON REQUEST"),OR([1]DATABASE!T896="",[1]DATABASE!T896=0)),"Active Unit no Price",""),IF(AND(OR(TRIM([1]DATABASE!Q896)="AVAILABLE",TRIM([1]DATABASE!Q896)="RESERVED",TRIM([1]DATABASE!Q896)="PRE-RESERVED",TRIM([1]DATABASE!Q896)="PSPA"),[1]DATABASE!AC896=""),"Active no Owner",""),IF(OR([1]DATABASE!F896="",[1]DATABASE!F896&lt;=0),"Missing/Invalid Area",""),IF(AND([1]DATABASE!T896&gt;0,ABS([1]DATABASE!T896-[1]DATABASE!W896-[1]DATABASE!U896-[1]DATABASE!V896)&gt;1),"Price Bridge Mismatch",""))</f>
        <v/>
      </c>
      <c r="H935" t="str">
        <f t="shared" si="16"/>
        <v>PASS</v>
      </c>
      <c r="I935" s="90">
        <f>[1]DATABASE!T896</f>
        <v>910000</v>
      </c>
      <c r="J935" t="str">
        <f>[1]DATABASE!AC896</f>
        <v>Sandra Viegas</v>
      </c>
    </row>
    <row r="936" spans="1:10" ht="13.95" customHeight="1" x14ac:dyDescent="0.3">
      <c r="A936">
        <f>ROW([1]DATABASE!A897)</f>
        <v>897</v>
      </c>
      <c r="B936" t="str">
        <f>[1]DATABASE!AJ897</f>
        <v>Monte Rei</v>
      </c>
      <c r="C936" t="str">
        <f>[1]DATABASE!C897</f>
        <v>25</v>
      </c>
      <c r="D936" t="str">
        <f>TRIM([1]DATABASE!Q897)</f>
        <v>AVAILABLE</v>
      </c>
      <c r="E936" s="82" t="str">
        <f>_xlfn.TEXTJOIN("; ",TRUE,IF([1]DATABASE!X897&lt;0,"Negative Discount",""),IF(AND([1]DATABASE!Y897&gt;[1]DATABASE!T897,[1]DATABASE!Y897&gt;0,[1]DATABASE!T897&gt;0),"Sell Price &gt; Current",""),IF(AND(TRIM([1]DATABASE!Q897)="DEED",[1]DATABASE!AA897=""),"Deeded no PSPA Date",""),IF([1]DATABASE!E897="","Missing Typology",""),IF([1]DATABASE!AJ897="","Missing Development",""))</f>
        <v/>
      </c>
      <c r="F936" s="82" t="str">
        <f>_xlfn.TEXTJOIN("; ",TRUE,IF(AND(OR(TRIM([1]DATABASE!Q897)="RESERVED",TRIM([1]DATABASE!Q897)="PRE-RESERVED",TRIM([1]DATABASE!Q897)="PSPA"),[1]DATABASE!AA897=""),"Reserved/PSPA no PSPA Date",""),IF(AND(TRIM([1]DATABASE!Q897)="AVAILABLE",[1]DATABASE!AA897&lt;&gt;""),"Available has PSPA Date",""))</f>
        <v/>
      </c>
      <c r="G936" s="82" t="str">
        <f>_xlfn.TEXTJOIN("; ",TRUE,IF(AND([1]DATABASE!T897&lt;0.8*[1]DATABASE!S897,[1]DATABASE!T897&gt;0,[1]DATABASE!S897&gt;0),"Heavy Price Cut &gt;20%",""),IF(AND(OR(TRIM([1]DATABASE!Q897)="AVAILABLE",TRIM([1]DATABASE!Q897)="UPON REQUEST"),OR([1]DATABASE!T897="",[1]DATABASE!T897=0)),"Active Unit no Price",""),IF(AND(OR(TRIM([1]DATABASE!Q897)="AVAILABLE",TRIM([1]DATABASE!Q897)="RESERVED",TRIM([1]DATABASE!Q897)="PRE-RESERVED",TRIM([1]DATABASE!Q897)="PSPA"),[1]DATABASE!AC897=""),"Active no Owner",""),IF(OR([1]DATABASE!F897="",[1]DATABASE!F897&lt;=0),"Missing/Invalid Area",""),IF(AND([1]DATABASE!T897&gt;0,ABS([1]DATABASE!T897-[1]DATABASE!W897-[1]DATABASE!U897-[1]DATABASE!V897)&gt;1),"Price Bridge Mismatch",""))</f>
        <v/>
      </c>
      <c r="H936" t="str">
        <f t="shared" si="16"/>
        <v>PASS</v>
      </c>
      <c r="I936" s="90">
        <f>[1]DATABASE!T897</f>
        <v>900000</v>
      </c>
      <c r="J936" t="str">
        <f>[1]DATABASE!AC897</f>
        <v>Sandra Viegas</v>
      </c>
    </row>
    <row r="937" spans="1:10" ht="13.95" customHeight="1" x14ac:dyDescent="0.3">
      <c r="A937">
        <f>ROW([1]DATABASE!A898)</f>
        <v>898</v>
      </c>
      <c r="B937" t="str">
        <f>[1]DATABASE!AJ898</f>
        <v>Monte Rei</v>
      </c>
      <c r="C937" t="str">
        <f>[1]DATABASE!C898</f>
        <v>26</v>
      </c>
      <c r="D937" t="str">
        <f>TRIM([1]DATABASE!Q898)</f>
        <v>AVAILABLE</v>
      </c>
      <c r="E937" s="82" t="str">
        <f>_xlfn.TEXTJOIN("; ",TRUE,IF([1]DATABASE!X898&lt;0,"Negative Discount",""),IF(AND([1]DATABASE!Y898&gt;[1]DATABASE!T898,[1]DATABASE!Y898&gt;0,[1]DATABASE!T898&gt;0),"Sell Price &gt; Current",""),IF(AND(TRIM([1]DATABASE!Q898)="DEED",[1]DATABASE!AA898=""),"Deeded no PSPA Date",""),IF([1]DATABASE!E898="","Missing Typology",""),IF([1]DATABASE!AJ898="","Missing Development",""))</f>
        <v/>
      </c>
      <c r="F937" s="82" t="str">
        <f>_xlfn.TEXTJOIN("; ",TRUE,IF(AND(OR(TRIM([1]DATABASE!Q898)="RESERVED",TRIM([1]DATABASE!Q898)="PRE-RESERVED",TRIM([1]DATABASE!Q898)="PSPA"),[1]DATABASE!AA898=""),"Reserved/PSPA no PSPA Date",""),IF(AND(TRIM([1]DATABASE!Q898)="AVAILABLE",[1]DATABASE!AA898&lt;&gt;""),"Available has PSPA Date",""))</f>
        <v/>
      </c>
      <c r="G937" s="82" t="str">
        <f>_xlfn.TEXTJOIN("; ",TRUE,IF(AND([1]DATABASE!T898&lt;0.8*[1]DATABASE!S898,[1]DATABASE!T898&gt;0,[1]DATABASE!S898&gt;0),"Heavy Price Cut &gt;20%",""),IF(AND(OR(TRIM([1]DATABASE!Q898)="AVAILABLE",TRIM([1]DATABASE!Q898)="UPON REQUEST"),OR([1]DATABASE!T898="",[1]DATABASE!T898=0)),"Active Unit no Price",""),IF(AND(OR(TRIM([1]DATABASE!Q898)="AVAILABLE",TRIM([1]DATABASE!Q898)="RESERVED",TRIM([1]DATABASE!Q898)="PRE-RESERVED",TRIM([1]DATABASE!Q898)="PSPA"),[1]DATABASE!AC898=""),"Active no Owner",""),IF(OR([1]DATABASE!F898="",[1]DATABASE!F898&lt;=0),"Missing/Invalid Area",""),IF(AND([1]DATABASE!T898&gt;0,ABS([1]DATABASE!T898-[1]DATABASE!W898-[1]DATABASE!U898-[1]DATABASE!V898)&gt;1),"Price Bridge Mismatch",""))</f>
        <v/>
      </c>
      <c r="H937" t="str">
        <f t="shared" si="16"/>
        <v>PASS</v>
      </c>
      <c r="I937" s="90">
        <f>[1]DATABASE!T898</f>
        <v>870000</v>
      </c>
      <c r="J937" t="str">
        <f>[1]DATABASE!AC898</f>
        <v>Sandra Viegas</v>
      </c>
    </row>
    <row r="938" spans="1:10" ht="13.95" customHeight="1" x14ac:dyDescent="0.3">
      <c r="A938">
        <f>ROW([1]DATABASE!A899)</f>
        <v>899</v>
      </c>
      <c r="B938" t="str">
        <f>[1]DATABASE!AJ899</f>
        <v>Monte Rei</v>
      </c>
      <c r="C938" t="str">
        <f>[1]DATABASE!C899</f>
        <v>27</v>
      </c>
      <c r="D938" t="str">
        <f>TRIM([1]DATABASE!Q899)</f>
        <v>AVAILABLE</v>
      </c>
      <c r="E938" s="82" t="str">
        <f>_xlfn.TEXTJOIN("; ",TRUE,IF([1]DATABASE!X899&lt;0,"Negative Discount",""),IF(AND([1]DATABASE!Y899&gt;[1]DATABASE!T899,[1]DATABASE!Y899&gt;0,[1]DATABASE!T899&gt;0),"Sell Price &gt; Current",""),IF(AND(TRIM([1]DATABASE!Q899)="DEED",[1]DATABASE!AA899=""),"Deeded no PSPA Date",""),IF([1]DATABASE!E899="","Missing Typology",""),IF([1]DATABASE!AJ899="","Missing Development",""))</f>
        <v/>
      </c>
      <c r="F938" s="82" t="str">
        <f>_xlfn.TEXTJOIN("; ",TRUE,IF(AND(OR(TRIM([1]DATABASE!Q899)="RESERVED",TRIM([1]DATABASE!Q899)="PRE-RESERVED",TRIM([1]DATABASE!Q899)="PSPA"),[1]DATABASE!AA899=""),"Reserved/PSPA no PSPA Date",""),IF(AND(TRIM([1]DATABASE!Q899)="AVAILABLE",[1]DATABASE!AA899&lt;&gt;""),"Available has PSPA Date",""))</f>
        <v/>
      </c>
      <c r="G938" s="82" t="str">
        <f>_xlfn.TEXTJOIN("; ",TRUE,IF(AND([1]DATABASE!T899&lt;0.8*[1]DATABASE!S899,[1]DATABASE!T899&gt;0,[1]DATABASE!S899&gt;0),"Heavy Price Cut &gt;20%",""),IF(AND(OR(TRIM([1]DATABASE!Q899)="AVAILABLE",TRIM([1]DATABASE!Q899)="UPON REQUEST"),OR([1]DATABASE!T899="",[1]DATABASE!T899=0)),"Active Unit no Price",""),IF(AND(OR(TRIM([1]DATABASE!Q899)="AVAILABLE",TRIM([1]DATABASE!Q899)="RESERVED",TRIM([1]DATABASE!Q899)="PRE-RESERVED",TRIM([1]DATABASE!Q899)="PSPA"),[1]DATABASE!AC899=""),"Active no Owner",""),IF(OR([1]DATABASE!F899="",[1]DATABASE!F899&lt;=0),"Missing/Invalid Area",""),IF(AND([1]DATABASE!T899&gt;0,ABS([1]DATABASE!T899-[1]DATABASE!W899-[1]DATABASE!U899-[1]DATABASE!V899)&gt;1),"Price Bridge Mismatch",""))</f>
        <v/>
      </c>
      <c r="H938" t="str">
        <f t="shared" ref="H938:H1001" si="17">IF(LEN(E938&amp;F938&amp;G938)&gt;0,"REVIEW","PASS")</f>
        <v>PASS</v>
      </c>
      <c r="I938" s="90">
        <f>[1]DATABASE!T899</f>
        <v>870000</v>
      </c>
      <c r="J938" t="str">
        <f>[1]DATABASE!AC899</f>
        <v>Sandra Viegas</v>
      </c>
    </row>
    <row r="939" spans="1:10" ht="13.95" customHeight="1" x14ac:dyDescent="0.3">
      <c r="A939">
        <f>ROW([1]DATABASE!A900)</f>
        <v>900</v>
      </c>
      <c r="B939" t="str">
        <f>[1]DATABASE!AJ900</f>
        <v>Monte Rei</v>
      </c>
      <c r="C939" t="str">
        <f>[1]DATABASE!C900</f>
        <v>30</v>
      </c>
      <c r="D939" t="str">
        <f>TRIM([1]DATABASE!Q900)</f>
        <v>AVAILABLE</v>
      </c>
      <c r="E939" s="82" t="str">
        <f>_xlfn.TEXTJOIN("; ",TRUE,IF([1]DATABASE!X900&lt;0,"Negative Discount",""),IF(AND([1]DATABASE!Y900&gt;[1]DATABASE!T900,[1]DATABASE!Y900&gt;0,[1]DATABASE!T900&gt;0),"Sell Price &gt; Current",""),IF(AND(TRIM([1]DATABASE!Q900)="DEED",[1]DATABASE!AA900=""),"Deeded no PSPA Date",""),IF([1]DATABASE!E900="","Missing Typology",""),IF([1]DATABASE!AJ900="","Missing Development",""))</f>
        <v/>
      </c>
      <c r="F939" s="82" t="str">
        <f>_xlfn.TEXTJOIN("; ",TRUE,IF(AND(OR(TRIM([1]DATABASE!Q900)="RESERVED",TRIM([1]DATABASE!Q900)="PRE-RESERVED",TRIM([1]DATABASE!Q900)="PSPA"),[1]DATABASE!AA900=""),"Reserved/PSPA no PSPA Date",""),IF(AND(TRIM([1]DATABASE!Q900)="AVAILABLE",[1]DATABASE!AA900&lt;&gt;""),"Available has PSPA Date",""))</f>
        <v/>
      </c>
      <c r="G939" s="82" t="str">
        <f>_xlfn.TEXTJOIN("; ",TRUE,IF(AND([1]DATABASE!T900&lt;0.8*[1]DATABASE!S900,[1]DATABASE!T900&gt;0,[1]DATABASE!S900&gt;0),"Heavy Price Cut &gt;20%",""),IF(AND(OR(TRIM([1]DATABASE!Q900)="AVAILABLE",TRIM([1]DATABASE!Q900)="UPON REQUEST"),OR([1]DATABASE!T900="",[1]DATABASE!T900=0)),"Active Unit no Price",""),IF(AND(OR(TRIM([1]DATABASE!Q900)="AVAILABLE",TRIM([1]DATABASE!Q900)="RESERVED",TRIM([1]DATABASE!Q900)="PRE-RESERVED",TRIM([1]DATABASE!Q900)="PSPA"),[1]DATABASE!AC900=""),"Active no Owner",""),IF(OR([1]DATABASE!F900="",[1]DATABASE!F900&lt;=0),"Missing/Invalid Area",""),IF(AND([1]DATABASE!T900&gt;0,ABS([1]DATABASE!T900-[1]DATABASE!W900-[1]DATABASE!U900-[1]DATABASE!V900)&gt;1),"Price Bridge Mismatch",""))</f>
        <v>Heavy Price Cut &gt;20%</v>
      </c>
      <c r="H939" t="str">
        <f t="shared" si="17"/>
        <v>REVIEW</v>
      </c>
      <c r="I939" s="90">
        <f>[1]DATABASE!T900</f>
        <v>810000</v>
      </c>
      <c r="J939" t="str">
        <f>[1]DATABASE!AC900</f>
        <v>Sandra Viegas</v>
      </c>
    </row>
    <row r="940" spans="1:10" ht="13.95" customHeight="1" x14ac:dyDescent="0.3">
      <c r="A940">
        <f>ROW([1]DATABASE!A901)</f>
        <v>901</v>
      </c>
      <c r="B940" t="str">
        <f>[1]DATABASE!AJ901</f>
        <v>Springs - At the Els</v>
      </c>
      <c r="C940" t="str">
        <f>[1]DATABASE!C901</f>
        <v>BL</v>
      </c>
      <c r="D940" t="str">
        <f>TRIM([1]DATABASE!Q901)</f>
        <v>AVAILABLE</v>
      </c>
      <c r="E940" s="82" t="str">
        <f>_xlfn.TEXTJOIN("; ",TRUE,IF([1]DATABASE!X901&lt;0,"Negative Discount",""),IF(AND([1]DATABASE!Y901&gt;[1]DATABASE!T901,[1]DATABASE!Y901&gt;0,[1]DATABASE!T901&gt;0),"Sell Price &gt; Current",""),IF(AND(TRIM([1]DATABASE!Q901)="DEED",[1]DATABASE!AA901=""),"Deeded no PSPA Date",""),IF([1]DATABASE!E901="","Missing Typology",""),IF([1]DATABASE!AJ901="","Missing Development",""))</f>
        <v/>
      </c>
      <c r="F940" s="82" t="str">
        <f>_xlfn.TEXTJOIN("; ",TRUE,IF(AND(OR(TRIM([1]DATABASE!Q901)="RESERVED",TRIM([1]DATABASE!Q901)="PRE-RESERVED",TRIM([1]DATABASE!Q901)="PSPA"),[1]DATABASE!AA901=""),"Reserved/PSPA no PSPA Date",""),IF(AND(TRIM([1]DATABASE!Q901)="AVAILABLE",[1]DATABASE!AA901&lt;&gt;""),"Available has PSPA Date",""))</f>
        <v/>
      </c>
      <c r="G940" s="82" t="str">
        <f>_xlfn.TEXTJOIN("; ",TRUE,IF(AND([1]DATABASE!T901&lt;0.8*[1]DATABASE!S901,[1]DATABASE!T901&gt;0,[1]DATABASE!S901&gt;0),"Heavy Price Cut &gt;20%",""),IF(AND(OR(TRIM([1]DATABASE!Q901)="AVAILABLE",TRIM([1]DATABASE!Q901)="UPON REQUEST"),OR([1]DATABASE!T901="",[1]DATABASE!T901=0)),"Active Unit no Price",""),IF(AND(OR(TRIM([1]DATABASE!Q901)="AVAILABLE",TRIM([1]DATABASE!Q901)="RESERVED",TRIM([1]DATABASE!Q901)="PRE-RESERVED",TRIM([1]DATABASE!Q901)="PSPA"),[1]DATABASE!AC901=""),"Active no Owner",""),IF(OR([1]DATABASE!F901="",[1]DATABASE!F901&lt;=0),"Missing/Invalid Area",""),IF(AND([1]DATABASE!T901&gt;0,ABS([1]DATABASE!T901-[1]DATABASE!W901-[1]DATABASE!U901-[1]DATABASE!V901)&gt;1),"Price Bridge Mismatch",""))</f>
        <v/>
      </c>
      <c r="H940" t="str">
        <f t="shared" si="17"/>
        <v>PASS</v>
      </c>
      <c r="I940" s="90">
        <f>[1]DATABASE!T901</f>
        <v>1480000</v>
      </c>
      <c r="J940" t="str">
        <f>[1]DATABASE!AC901</f>
        <v>Ana Damásio</v>
      </c>
    </row>
    <row r="941" spans="1:10" ht="13.95" customHeight="1" x14ac:dyDescent="0.3">
      <c r="A941">
        <f>ROW([1]DATABASE!A902)</f>
        <v>902</v>
      </c>
      <c r="B941" t="str">
        <f>[1]DATABASE!AJ902</f>
        <v>Springs - At the Els</v>
      </c>
      <c r="C941" t="str">
        <f>[1]DATABASE!C902</f>
        <v>BM</v>
      </c>
      <c r="D941" t="str">
        <f>TRIM([1]DATABASE!Q902)</f>
        <v>AVAILABLE</v>
      </c>
      <c r="E941" s="82" t="str">
        <f>_xlfn.TEXTJOIN("; ",TRUE,IF([1]DATABASE!X902&lt;0,"Negative Discount",""),IF(AND([1]DATABASE!Y902&gt;[1]DATABASE!T902,[1]DATABASE!Y902&gt;0,[1]DATABASE!T902&gt;0),"Sell Price &gt; Current",""),IF(AND(TRIM([1]DATABASE!Q902)="DEED",[1]DATABASE!AA902=""),"Deeded no PSPA Date",""),IF([1]DATABASE!E902="","Missing Typology",""),IF([1]DATABASE!AJ902="","Missing Development",""))</f>
        <v/>
      </c>
      <c r="F941" s="82" t="str">
        <f>_xlfn.TEXTJOIN("; ",TRUE,IF(AND(OR(TRIM([1]DATABASE!Q902)="RESERVED",TRIM([1]DATABASE!Q902)="PRE-RESERVED",TRIM([1]DATABASE!Q902)="PSPA"),[1]DATABASE!AA902=""),"Reserved/PSPA no PSPA Date",""),IF(AND(TRIM([1]DATABASE!Q902)="AVAILABLE",[1]DATABASE!AA902&lt;&gt;""),"Available has PSPA Date",""))</f>
        <v/>
      </c>
      <c r="G941" s="82" t="str">
        <f>_xlfn.TEXTJOIN("; ",TRUE,IF(AND([1]DATABASE!T902&lt;0.8*[1]DATABASE!S902,[1]DATABASE!T902&gt;0,[1]DATABASE!S902&gt;0),"Heavy Price Cut &gt;20%",""),IF(AND(OR(TRIM([1]DATABASE!Q902)="AVAILABLE",TRIM([1]DATABASE!Q902)="UPON REQUEST"),OR([1]DATABASE!T902="",[1]DATABASE!T902=0)),"Active Unit no Price",""),IF(AND(OR(TRIM([1]DATABASE!Q902)="AVAILABLE",TRIM([1]DATABASE!Q902)="RESERVED",TRIM([1]DATABASE!Q902)="PRE-RESERVED",TRIM([1]DATABASE!Q902)="PSPA"),[1]DATABASE!AC902=""),"Active no Owner",""),IF(OR([1]DATABASE!F902="",[1]DATABASE!F902&lt;=0),"Missing/Invalid Area",""),IF(AND([1]DATABASE!T902&gt;0,ABS([1]DATABASE!T902-[1]DATABASE!W902-[1]DATABASE!U902-[1]DATABASE!V902)&gt;1),"Price Bridge Mismatch",""))</f>
        <v/>
      </c>
      <c r="H941" t="str">
        <f t="shared" si="17"/>
        <v>PASS</v>
      </c>
      <c r="I941" s="90">
        <f>[1]DATABASE!T902</f>
        <v>1620000</v>
      </c>
      <c r="J941" t="str">
        <f>[1]DATABASE!AC902</f>
        <v>Ana Damásio</v>
      </c>
    </row>
    <row r="942" spans="1:10" ht="13.95" customHeight="1" x14ac:dyDescent="0.3">
      <c r="A942">
        <f>ROW([1]DATABASE!A903)</f>
        <v>903</v>
      </c>
      <c r="B942" t="str">
        <f>[1]DATABASE!AJ903</f>
        <v>Springs - At the Els</v>
      </c>
      <c r="C942" t="str">
        <f>[1]DATABASE!C903</f>
        <v>BN</v>
      </c>
      <c r="D942" t="str">
        <f>TRIM([1]DATABASE!Q903)</f>
        <v>AVAILABLE</v>
      </c>
      <c r="E942" s="82" t="str">
        <f>_xlfn.TEXTJOIN("; ",TRUE,IF([1]DATABASE!X903&lt;0,"Negative Discount",""),IF(AND([1]DATABASE!Y903&gt;[1]DATABASE!T903,[1]DATABASE!Y903&gt;0,[1]DATABASE!T903&gt;0),"Sell Price &gt; Current",""),IF(AND(TRIM([1]DATABASE!Q903)="DEED",[1]DATABASE!AA903=""),"Deeded no PSPA Date",""),IF([1]DATABASE!E903="","Missing Typology",""),IF([1]DATABASE!AJ903="","Missing Development",""))</f>
        <v/>
      </c>
      <c r="F942" s="82" t="str">
        <f>_xlfn.TEXTJOIN("; ",TRUE,IF(AND(OR(TRIM([1]DATABASE!Q903)="RESERVED",TRIM([1]DATABASE!Q903)="PRE-RESERVED",TRIM([1]DATABASE!Q903)="PSPA"),[1]DATABASE!AA903=""),"Reserved/PSPA no PSPA Date",""),IF(AND(TRIM([1]DATABASE!Q903)="AVAILABLE",[1]DATABASE!AA903&lt;&gt;""),"Available has PSPA Date",""))</f>
        <v/>
      </c>
      <c r="G942" s="82" t="str">
        <f>_xlfn.TEXTJOIN("; ",TRUE,IF(AND([1]DATABASE!T903&lt;0.8*[1]DATABASE!S903,[1]DATABASE!T903&gt;0,[1]DATABASE!S903&gt;0),"Heavy Price Cut &gt;20%",""),IF(AND(OR(TRIM([1]DATABASE!Q903)="AVAILABLE",TRIM([1]DATABASE!Q903)="UPON REQUEST"),OR([1]DATABASE!T903="",[1]DATABASE!T903=0)),"Active Unit no Price",""),IF(AND(OR(TRIM([1]DATABASE!Q903)="AVAILABLE",TRIM([1]DATABASE!Q903)="RESERVED",TRIM([1]DATABASE!Q903)="PRE-RESERVED",TRIM([1]DATABASE!Q903)="PSPA"),[1]DATABASE!AC903=""),"Active no Owner",""),IF(OR([1]DATABASE!F903="",[1]DATABASE!F903&lt;=0),"Missing/Invalid Area",""),IF(AND([1]DATABASE!T903&gt;0,ABS([1]DATABASE!T903-[1]DATABASE!W903-[1]DATABASE!U903-[1]DATABASE!V903)&gt;1),"Price Bridge Mismatch",""))</f>
        <v/>
      </c>
      <c r="H942" t="str">
        <f t="shared" si="17"/>
        <v>PASS</v>
      </c>
      <c r="I942" s="90">
        <f>[1]DATABASE!T903</f>
        <v>1320000</v>
      </c>
      <c r="J942" t="str">
        <f>[1]DATABASE!AC903</f>
        <v>Ana Damásio</v>
      </c>
    </row>
    <row r="943" spans="1:10" ht="13.95" customHeight="1" x14ac:dyDescent="0.3">
      <c r="A943">
        <f>ROW([1]DATABASE!A904)</f>
        <v>904</v>
      </c>
      <c r="B943" t="str">
        <f>[1]DATABASE!AJ904</f>
        <v>Aroeira Collections</v>
      </c>
      <c r="C943" t="str">
        <f>[1]DATABASE!C904</f>
        <v>312B</v>
      </c>
      <c r="D943" t="str">
        <f>TRIM([1]DATABASE!Q904)</f>
        <v>AVAILABLE</v>
      </c>
      <c r="E943" s="82" t="str">
        <f>_xlfn.TEXTJOIN("; ",TRUE,IF([1]DATABASE!X904&lt;0,"Negative Discount",""),IF(AND([1]DATABASE!Y904&gt;[1]DATABASE!T904,[1]DATABASE!Y904&gt;0,[1]DATABASE!T904&gt;0),"Sell Price &gt; Current",""),IF(AND(TRIM([1]DATABASE!Q904)="DEED",[1]DATABASE!AA904=""),"Deeded no PSPA Date",""),IF([1]DATABASE!E904="","Missing Typology",""),IF([1]DATABASE!AJ904="","Missing Development",""))</f>
        <v/>
      </c>
      <c r="F943" s="82" t="str">
        <f>_xlfn.TEXTJOIN("; ",TRUE,IF(AND(OR(TRIM([1]DATABASE!Q904)="RESERVED",TRIM([1]DATABASE!Q904)="PRE-RESERVED",TRIM([1]DATABASE!Q904)="PSPA"),[1]DATABASE!AA904=""),"Reserved/PSPA no PSPA Date",""),IF(AND(TRIM([1]DATABASE!Q904)="AVAILABLE",[1]DATABASE!AA904&lt;&gt;""),"Available has PSPA Date",""))</f>
        <v/>
      </c>
      <c r="G943" s="82" t="str">
        <f>_xlfn.TEXTJOIN("; ",TRUE,IF(AND([1]DATABASE!T904&lt;0.8*[1]DATABASE!S904,[1]DATABASE!T904&gt;0,[1]DATABASE!S904&gt;0),"Heavy Price Cut &gt;20%",""),IF(AND(OR(TRIM([1]DATABASE!Q904)="AVAILABLE",TRIM([1]DATABASE!Q904)="UPON REQUEST"),OR([1]DATABASE!T904="",[1]DATABASE!T904=0)),"Active Unit no Price",""),IF(AND(OR(TRIM([1]DATABASE!Q904)="AVAILABLE",TRIM([1]DATABASE!Q904)="RESERVED",TRIM([1]DATABASE!Q904)="PRE-RESERVED",TRIM([1]DATABASE!Q904)="PSPA"),[1]DATABASE!AC904=""),"Active no Owner",""),IF(OR([1]DATABASE!F904="",[1]DATABASE!F904&lt;=0),"Missing/Invalid Area",""),IF(AND([1]DATABASE!T904&gt;0,ABS([1]DATABASE!T904-[1]DATABASE!W904-[1]DATABASE!U904-[1]DATABASE!V904)&gt;1),"Price Bridge Mismatch",""))</f>
        <v/>
      </c>
      <c r="H943" t="str">
        <f t="shared" si="17"/>
        <v>PASS</v>
      </c>
      <c r="I943" s="90">
        <f>[1]DATABASE!T904</f>
        <v>675000</v>
      </c>
      <c r="J943" t="str">
        <f>[1]DATABASE!AC904</f>
        <v>João Gameiro</v>
      </c>
    </row>
    <row r="944" spans="1:10" ht="13.95" customHeight="1" x14ac:dyDescent="0.3">
      <c r="A944">
        <f>ROW([1]DATABASE!A905)</f>
        <v>905</v>
      </c>
      <c r="B944" t="str">
        <f>[1]DATABASE!AJ905</f>
        <v>Springs - At the Els</v>
      </c>
      <c r="C944" t="str">
        <f>[1]DATABASE!C905</f>
        <v>BP</v>
      </c>
      <c r="D944" t="str">
        <f>TRIM([1]DATABASE!Q905)</f>
        <v>AVAILABLE</v>
      </c>
      <c r="E944" s="82" t="str">
        <f>_xlfn.TEXTJOIN("; ",TRUE,IF([1]DATABASE!X905&lt;0,"Negative Discount",""),IF(AND([1]DATABASE!Y905&gt;[1]DATABASE!T905,[1]DATABASE!Y905&gt;0,[1]DATABASE!T905&gt;0),"Sell Price &gt; Current",""),IF(AND(TRIM([1]DATABASE!Q905)="DEED",[1]DATABASE!AA905=""),"Deeded no PSPA Date",""),IF([1]DATABASE!E905="","Missing Typology",""),IF([1]DATABASE!AJ905="","Missing Development",""))</f>
        <v/>
      </c>
      <c r="F944" s="82" t="str">
        <f>_xlfn.TEXTJOIN("; ",TRUE,IF(AND(OR(TRIM([1]DATABASE!Q905)="RESERVED",TRIM([1]DATABASE!Q905)="PRE-RESERVED",TRIM([1]DATABASE!Q905)="PSPA"),[1]DATABASE!AA905=""),"Reserved/PSPA no PSPA Date",""),IF(AND(TRIM([1]DATABASE!Q905)="AVAILABLE",[1]DATABASE!AA905&lt;&gt;""),"Available has PSPA Date",""))</f>
        <v/>
      </c>
      <c r="G944" s="82" t="str">
        <f>_xlfn.TEXTJOIN("; ",TRUE,IF(AND([1]DATABASE!T905&lt;0.8*[1]DATABASE!S905,[1]DATABASE!T905&gt;0,[1]DATABASE!S905&gt;0),"Heavy Price Cut &gt;20%",""),IF(AND(OR(TRIM([1]DATABASE!Q905)="AVAILABLE",TRIM([1]DATABASE!Q905)="UPON REQUEST"),OR([1]DATABASE!T905="",[1]DATABASE!T905=0)),"Active Unit no Price",""),IF(AND(OR(TRIM([1]DATABASE!Q905)="AVAILABLE",TRIM([1]DATABASE!Q905)="RESERVED",TRIM([1]DATABASE!Q905)="PRE-RESERVED",TRIM([1]DATABASE!Q905)="PSPA"),[1]DATABASE!AC905=""),"Active no Owner",""),IF(OR([1]DATABASE!F905="",[1]DATABASE!F905&lt;=0),"Missing/Invalid Area",""),IF(AND([1]DATABASE!T905&gt;0,ABS([1]DATABASE!T905-[1]DATABASE!W905-[1]DATABASE!U905-[1]DATABASE!V905)&gt;1),"Price Bridge Mismatch",""))</f>
        <v/>
      </c>
      <c r="H944" t="str">
        <f t="shared" si="17"/>
        <v>PASS</v>
      </c>
      <c r="I944" s="90">
        <f>[1]DATABASE!T905</f>
        <v>1290000</v>
      </c>
      <c r="J944" t="str">
        <f>[1]DATABASE!AC905</f>
        <v>Ana Damásio</v>
      </c>
    </row>
    <row r="945" spans="1:10" ht="13.95" customHeight="1" x14ac:dyDescent="0.3">
      <c r="A945">
        <f>ROW([1]DATABASE!A906)</f>
        <v>906</v>
      </c>
      <c r="B945" t="str">
        <f>[1]DATABASE!AJ906</f>
        <v>Springs - At the Els</v>
      </c>
      <c r="C945" t="str">
        <f>[1]DATABASE!C906</f>
        <v>BQ</v>
      </c>
      <c r="D945" t="str">
        <f>TRIM([1]DATABASE!Q906)</f>
        <v>AVAILABLE</v>
      </c>
      <c r="E945" s="82" t="str">
        <f>_xlfn.TEXTJOIN("; ",TRUE,IF([1]DATABASE!X906&lt;0,"Negative Discount",""),IF(AND([1]DATABASE!Y906&gt;[1]DATABASE!T906,[1]DATABASE!Y906&gt;0,[1]DATABASE!T906&gt;0),"Sell Price &gt; Current",""),IF(AND(TRIM([1]DATABASE!Q906)="DEED",[1]DATABASE!AA906=""),"Deeded no PSPA Date",""),IF([1]DATABASE!E906="","Missing Typology",""),IF([1]DATABASE!AJ906="","Missing Development",""))</f>
        <v/>
      </c>
      <c r="F945" s="82" t="str">
        <f>_xlfn.TEXTJOIN("; ",TRUE,IF(AND(OR(TRIM([1]DATABASE!Q906)="RESERVED",TRIM([1]DATABASE!Q906)="PRE-RESERVED",TRIM([1]DATABASE!Q906)="PSPA"),[1]DATABASE!AA906=""),"Reserved/PSPA no PSPA Date",""),IF(AND(TRIM([1]DATABASE!Q906)="AVAILABLE",[1]DATABASE!AA906&lt;&gt;""),"Available has PSPA Date",""))</f>
        <v/>
      </c>
      <c r="G945" s="82" t="str">
        <f>_xlfn.TEXTJOIN("; ",TRUE,IF(AND([1]DATABASE!T906&lt;0.8*[1]DATABASE!S906,[1]DATABASE!T906&gt;0,[1]DATABASE!S906&gt;0),"Heavy Price Cut &gt;20%",""),IF(AND(OR(TRIM([1]DATABASE!Q906)="AVAILABLE",TRIM([1]DATABASE!Q906)="UPON REQUEST"),OR([1]DATABASE!T906="",[1]DATABASE!T906=0)),"Active Unit no Price",""),IF(AND(OR(TRIM([1]DATABASE!Q906)="AVAILABLE",TRIM([1]DATABASE!Q906)="RESERVED",TRIM([1]DATABASE!Q906)="PRE-RESERVED",TRIM([1]DATABASE!Q906)="PSPA"),[1]DATABASE!AC906=""),"Active no Owner",""),IF(OR([1]DATABASE!F906="",[1]DATABASE!F906&lt;=0),"Missing/Invalid Area",""),IF(AND([1]DATABASE!T906&gt;0,ABS([1]DATABASE!T906-[1]DATABASE!W906-[1]DATABASE!U906-[1]DATABASE!V906)&gt;1),"Price Bridge Mismatch",""))</f>
        <v/>
      </c>
      <c r="H945" t="str">
        <f t="shared" si="17"/>
        <v>PASS</v>
      </c>
      <c r="I945" s="90">
        <f>[1]DATABASE!T906</f>
        <v>1300000</v>
      </c>
      <c r="J945" t="str">
        <f>[1]DATABASE!AC906</f>
        <v>Ana Damásio</v>
      </c>
    </row>
    <row r="946" spans="1:10" ht="13.95" customHeight="1" x14ac:dyDescent="0.3">
      <c r="A946">
        <f>ROW([1]DATABASE!A907)</f>
        <v>907</v>
      </c>
      <c r="B946" t="str">
        <f>[1]DATABASE!AJ907</f>
        <v>Springs - At the Els</v>
      </c>
      <c r="C946" t="str">
        <f>[1]DATABASE!C907</f>
        <v>BR</v>
      </c>
      <c r="D946" t="str">
        <f>TRIM([1]DATABASE!Q907)</f>
        <v>AVAILABLE</v>
      </c>
      <c r="E946" s="82" t="str">
        <f>_xlfn.TEXTJOIN("; ",TRUE,IF([1]DATABASE!X907&lt;0,"Negative Discount",""),IF(AND([1]DATABASE!Y907&gt;[1]DATABASE!T907,[1]DATABASE!Y907&gt;0,[1]DATABASE!T907&gt;0),"Sell Price &gt; Current",""),IF(AND(TRIM([1]DATABASE!Q907)="DEED",[1]DATABASE!AA907=""),"Deeded no PSPA Date",""),IF([1]DATABASE!E907="","Missing Typology",""),IF([1]DATABASE!AJ907="","Missing Development",""))</f>
        <v/>
      </c>
      <c r="F946" s="82" t="str">
        <f>_xlfn.TEXTJOIN("; ",TRUE,IF(AND(OR(TRIM([1]DATABASE!Q907)="RESERVED",TRIM([1]DATABASE!Q907)="PRE-RESERVED",TRIM([1]DATABASE!Q907)="PSPA"),[1]DATABASE!AA907=""),"Reserved/PSPA no PSPA Date",""),IF(AND(TRIM([1]DATABASE!Q907)="AVAILABLE",[1]DATABASE!AA907&lt;&gt;""),"Available has PSPA Date",""))</f>
        <v/>
      </c>
      <c r="G946" s="82" t="str">
        <f>_xlfn.TEXTJOIN("; ",TRUE,IF(AND([1]DATABASE!T907&lt;0.8*[1]DATABASE!S907,[1]DATABASE!T907&gt;0,[1]DATABASE!S907&gt;0),"Heavy Price Cut &gt;20%",""),IF(AND(OR(TRIM([1]DATABASE!Q907)="AVAILABLE",TRIM([1]DATABASE!Q907)="UPON REQUEST"),OR([1]DATABASE!T907="",[1]DATABASE!T907=0)),"Active Unit no Price",""),IF(AND(OR(TRIM([1]DATABASE!Q907)="AVAILABLE",TRIM([1]DATABASE!Q907)="RESERVED",TRIM([1]DATABASE!Q907)="PRE-RESERVED",TRIM([1]DATABASE!Q907)="PSPA"),[1]DATABASE!AC907=""),"Active no Owner",""),IF(OR([1]DATABASE!F907="",[1]DATABASE!F907&lt;=0),"Missing/Invalid Area",""),IF(AND([1]DATABASE!T907&gt;0,ABS([1]DATABASE!T907-[1]DATABASE!W907-[1]DATABASE!U907-[1]DATABASE!V907)&gt;1),"Price Bridge Mismatch",""))</f>
        <v/>
      </c>
      <c r="H946" t="str">
        <f t="shared" si="17"/>
        <v>PASS</v>
      </c>
      <c r="I946" s="90">
        <f>[1]DATABASE!T907</f>
        <v>1320000</v>
      </c>
      <c r="J946" t="str">
        <f>[1]DATABASE!AC907</f>
        <v>Ana Damásio</v>
      </c>
    </row>
    <row r="947" spans="1:10" ht="13.95" customHeight="1" x14ac:dyDescent="0.3">
      <c r="A947">
        <f>ROW([1]DATABASE!A908)</f>
        <v>908</v>
      </c>
      <c r="B947" t="str">
        <f>[1]DATABASE!AJ908</f>
        <v>Terracota</v>
      </c>
      <c r="C947" t="str">
        <f>[1]DATABASE!C908</f>
        <v>BR</v>
      </c>
      <c r="D947" t="str">
        <f>TRIM([1]DATABASE!Q908)</f>
        <v>AVAILABLE</v>
      </c>
      <c r="E947" s="82" t="str">
        <f>_xlfn.TEXTJOIN("; ",TRUE,IF([1]DATABASE!X908&lt;0,"Negative Discount",""),IF(AND([1]DATABASE!Y908&gt;[1]DATABASE!T908,[1]DATABASE!Y908&gt;0,[1]DATABASE!T908&gt;0),"Sell Price &gt; Current",""),IF(AND(TRIM([1]DATABASE!Q908)="DEED",[1]DATABASE!AA908=""),"Deeded no PSPA Date",""),IF([1]DATABASE!E908="","Missing Typology",""),IF([1]DATABASE!AJ908="","Missing Development",""))</f>
        <v/>
      </c>
      <c r="F947" s="82" t="str">
        <f>_xlfn.TEXTJOIN("; ",TRUE,IF(AND(OR(TRIM([1]DATABASE!Q908)="RESERVED",TRIM([1]DATABASE!Q908)="PRE-RESERVED",TRIM([1]DATABASE!Q908)="PSPA"),[1]DATABASE!AA908=""),"Reserved/PSPA no PSPA Date",""),IF(AND(TRIM([1]DATABASE!Q908)="AVAILABLE",[1]DATABASE!AA908&lt;&gt;""),"Available has PSPA Date",""))</f>
        <v/>
      </c>
      <c r="G947" s="82" t="str">
        <f>_xlfn.TEXTJOIN("; ",TRUE,IF(AND([1]DATABASE!T908&lt;0.8*[1]DATABASE!S908,[1]DATABASE!T908&gt;0,[1]DATABASE!S908&gt;0),"Heavy Price Cut &gt;20%",""),IF(AND(OR(TRIM([1]DATABASE!Q908)="AVAILABLE",TRIM([1]DATABASE!Q908)="UPON REQUEST"),OR([1]DATABASE!T908="",[1]DATABASE!T908=0)),"Active Unit no Price",""),IF(AND(OR(TRIM([1]DATABASE!Q908)="AVAILABLE",TRIM([1]DATABASE!Q908)="RESERVED",TRIM([1]DATABASE!Q908)="PRE-RESERVED",TRIM([1]DATABASE!Q908)="PSPA"),[1]DATABASE!AC908=""),"Active no Owner",""),IF(OR([1]DATABASE!F908="",[1]DATABASE!F908&lt;=0),"Missing/Invalid Area",""),IF(AND([1]DATABASE!T908&gt;0,ABS([1]DATABASE!T908-[1]DATABASE!W908-[1]DATABASE!U908-[1]DATABASE!V908)&gt;1),"Price Bridge Mismatch",""))</f>
        <v/>
      </c>
      <c r="H947" t="str">
        <f t="shared" si="17"/>
        <v>PASS</v>
      </c>
      <c r="I947" s="90">
        <f>[1]DATABASE!T908</f>
        <v>660000</v>
      </c>
      <c r="J947" t="str">
        <f>[1]DATABASE!AC908</f>
        <v>Ana Damásio</v>
      </c>
    </row>
    <row r="948" spans="1:10" ht="13.95" customHeight="1" x14ac:dyDescent="0.3">
      <c r="A948">
        <f>ROW([1]DATABASE!A909)</f>
        <v>909</v>
      </c>
      <c r="B948" t="str">
        <f>[1]DATABASE!AJ909</f>
        <v>Springs - At the Els</v>
      </c>
      <c r="C948" t="str">
        <f>[1]DATABASE!C909</f>
        <v>BS</v>
      </c>
      <c r="D948" t="str">
        <f>TRIM([1]DATABASE!Q909)</f>
        <v>AVAILABLE</v>
      </c>
      <c r="E948" s="82" t="str">
        <f>_xlfn.TEXTJOIN("; ",TRUE,IF([1]DATABASE!X909&lt;0,"Negative Discount",""),IF(AND([1]DATABASE!Y909&gt;[1]DATABASE!T909,[1]DATABASE!Y909&gt;0,[1]DATABASE!T909&gt;0),"Sell Price &gt; Current",""),IF(AND(TRIM([1]DATABASE!Q909)="DEED",[1]DATABASE!AA909=""),"Deeded no PSPA Date",""),IF([1]DATABASE!E909="","Missing Typology",""),IF([1]DATABASE!AJ909="","Missing Development",""))</f>
        <v/>
      </c>
      <c r="F948" s="82" t="str">
        <f>_xlfn.TEXTJOIN("; ",TRUE,IF(AND(OR(TRIM([1]DATABASE!Q909)="RESERVED",TRIM([1]DATABASE!Q909)="PRE-RESERVED",TRIM([1]DATABASE!Q909)="PSPA"),[1]DATABASE!AA909=""),"Reserved/PSPA no PSPA Date",""),IF(AND(TRIM([1]DATABASE!Q909)="AVAILABLE",[1]DATABASE!AA909&lt;&gt;""),"Available has PSPA Date",""))</f>
        <v/>
      </c>
      <c r="G948" s="82" t="str">
        <f>_xlfn.TEXTJOIN("; ",TRUE,IF(AND([1]DATABASE!T909&lt;0.8*[1]DATABASE!S909,[1]DATABASE!T909&gt;0,[1]DATABASE!S909&gt;0),"Heavy Price Cut &gt;20%",""),IF(AND(OR(TRIM([1]DATABASE!Q909)="AVAILABLE",TRIM([1]DATABASE!Q909)="UPON REQUEST"),OR([1]DATABASE!T909="",[1]DATABASE!T909=0)),"Active Unit no Price",""),IF(AND(OR(TRIM([1]DATABASE!Q909)="AVAILABLE",TRIM([1]DATABASE!Q909)="RESERVED",TRIM([1]DATABASE!Q909)="PRE-RESERVED",TRIM([1]DATABASE!Q909)="PSPA"),[1]DATABASE!AC909=""),"Active no Owner",""),IF(OR([1]DATABASE!F909="",[1]DATABASE!F909&lt;=0),"Missing/Invalid Area",""),IF(AND([1]DATABASE!T909&gt;0,ABS([1]DATABASE!T909-[1]DATABASE!W909-[1]DATABASE!U909-[1]DATABASE!V909)&gt;1),"Price Bridge Mismatch",""))</f>
        <v/>
      </c>
      <c r="H948" t="str">
        <f t="shared" si="17"/>
        <v>PASS</v>
      </c>
      <c r="I948" s="90">
        <f>[1]DATABASE!T909</f>
        <v>1330000</v>
      </c>
      <c r="J948" t="str">
        <f>[1]DATABASE!AC909</f>
        <v>Ana Damásio</v>
      </c>
    </row>
    <row r="949" spans="1:10" ht="13.95" customHeight="1" x14ac:dyDescent="0.3">
      <c r="A949">
        <f>ROW([1]DATABASE!A910)</f>
        <v>910</v>
      </c>
      <c r="B949" t="str">
        <f>[1]DATABASE!AJ910</f>
        <v>Springs - At the Els</v>
      </c>
      <c r="C949" t="str">
        <f>[1]DATABASE!C910</f>
        <v>BT</v>
      </c>
      <c r="D949" t="str">
        <f>TRIM([1]DATABASE!Q910)</f>
        <v>AVAILABLE</v>
      </c>
      <c r="E949" s="82" t="str">
        <f>_xlfn.TEXTJOIN("; ",TRUE,IF([1]DATABASE!X910&lt;0,"Negative Discount",""),IF(AND([1]DATABASE!Y910&gt;[1]DATABASE!T910,[1]DATABASE!Y910&gt;0,[1]DATABASE!T910&gt;0),"Sell Price &gt; Current",""),IF(AND(TRIM([1]DATABASE!Q910)="DEED",[1]DATABASE!AA910=""),"Deeded no PSPA Date",""),IF([1]DATABASE!E910="","Missing Typology",""),IF([1]DATABASE!AJ910="","Missing Development",""))</f>
        <v/>
      </c>
      <c r="F949" s="82" t="str">
        <f>_xlfn.TEXTJOIN("; ",TRUE,IF(AND(OR(TRIM([1]DATABASE!Q910)="RESERVED",TRIM([1]DATABASE!Q910)="PRE-RESERVED",TRIM([1]DATABASE!Q910)="PSPA"),[1]DATABASE!AA910=""),"Reserved/PSPA no PSPA Date",""),IF(AND(TRIM([1]DATABASE!Q910)="AVAILABLE",[1]DATABASE!AA910&lt;&gt;""),"Available has PSPA Date",""))</f>
        <v/>
      </c>
      <c r="G949" s="82" t="str">
        <f>_xlfn.TEXTJOIN("; ",TRUE,IF(AND([1]DATABASE!T910&lt;0.8*[1]DATABASE!S910,[1]DATABASE!T910&gt;0,[1]DATABASE!S910&gt;0),"Heavy Price Cut &gt;20%",""),IF(AND(OR(TRIM([1]DATABASE!Q910)="AVAILABLE",TRIM([1]DATABASE!Q910)="UPON REQUEST"),OR([1]DATABASE!T910="",[1]DATABASE!T910=0)),"Active Unit no Price",""),IF(AND(OR(TRIM([1]DATABASE!Q910)="AVAILABLE",TRIM([1]DATABASE!Q910)="RESERVED",TRIM([1]DATABASE!Q910)="PRE-RESERVED",TRIM([1]DATABASE!Q910)="PSPA"),[1]DATABASE!AC910=""),"Active no Owner",""),IF(OR([1]DATABASE!F910="",[1]DATABASE!F910&lt;=0),"Missing/Invalid Area",""),IF(AND([1]DATABASE!T910&gt;0,ABS([1]DATABASE!T910-[1]DATABASE!W910-[1]DATABASE!U910-[1]DATABASE!V910)&gt;1),"Price Bridge Mismatch",""))</f>
        <v/>
      </c>
      <c r="H949" t="str">
        <f t="shared" si="17"/>
        <v>PASS</v>
      </c>
      <c r="I949" s="90">
        <f>[1]DATABASE!T910</f>
        <v>1440000</v>
      </c>
      <c r="J949" t="str">
        <f>[1]DATABASE!AC910</f>
        <v>Ana Damásio</v>
      </c>
    </row>
    <row r="950" spans="1:10" ht="13.95" customHeight="1" x14ac:dyDescent="0.3">
      <c r="A950">
        <f>ROW([1]DATABASE!A911)</f>
        <v>911</v>
      </c>
      <c r="B950" t="str">
        <f>[1]DATABASE!AJ911</f>
        <v>Terracota</v>
      </c>
      <c r="C950" t="str">
        <f>[1]DATABASE!C911</f>
        <v>BT</v>
      </c>
      <c r="D950" t="str">
        <f>TRIM([1]DATABASE!Q911)</f>
        <v>AVAILABLE</v>
      </c>
      <c r="E950" s="82" t="str">
        <f>_xlfn.TEXTJOIN("; ",TRUE,IF([1]DATABASE!X911&lt;0,"Negative Discount",""),IF(AND([1]DATABASE!Y911&gt;[1]DATABASE!T911,[1]DATABASE!Y911&gt;0,[1]DATABASE!T911&gt;0),"Sell Price &gt; Current",""),IF(AND(TRIM([1]DATABASE!Q911)="DEED",[1]DATABASE!AA911=""),"Deeded no PSPA Date",""),IF([1]DATABASE!E911="","Missing Typology",""),IF([1]DATABASE!AJ911="","Missing Development",""))</f>
        <v/>
      </c>
      <c r="F950" s="82" t="str">
        <f>_xlfn.TEXTJOIN("; ",TRUE,IF(AND(OR(TRIM([1]DATABASE!Q911)="RESERVED",TRIM([1]DATABASE!Q911)="PRE-RESERVED",TRIM([1]DATABASE!Q911)="PSPA"),[1]DATABASE!AA911=""),"Reserved/PSPA no PSPA Date",""),IF(AND(TRIM([1]DATABASE!Q911)="AVAILABLE",[1]DATABASE!AA911&lt;&gt;""),"Available has PSPA Date",""))</f>
        <v/>
      </c>
      <c r="G950" s="82" t="str">
        <f>_xlfn.TEXTJOIN("; ",TRUE,IF(AND([1]DATABASE!T911&lt;0.8*[1]DATABASE!S911,[1]DATABASE!T911&gt;0,[1]DATABASE!S911&gt;0),"Heavy Price Cut &gt;20%",""),IF(AND(OR(TRIM([1]DATABASE!Q911)="AVAILABLE",TRIM([1]DATABASE!Q911)="UPON REQUEST"),OR([1]DATABASE!T911="",[1]DATABASE!T911=0)),"Active Unit no Price",""),IF(AND(OR(TRIM([1]DATABASE!Q911)="AVAILABLE",TRIM([1]DATABASE!Q911)="RESERVED",TRIM([1]DATABASE!Q911)="PRE-RESERVED",TRIM([1]DATABASE!Q911)="PSPA"),[1]DATABASE!AC911=""),"Active no Owner",""),IF(OR([1]DATABASE!F911="",[1]DATABASE!F911&lt;=0),"Missing/Invalid Area",""),IF(AND([1]DATABASE!T911&gt;0,ABS([1]DATABASE!T911-[1]DATABASE!W911-[1]DATABASE!U911-[1]DATABASE!V911)&gt;1),"Price Bridge Mismatch",""))</f>
        <v/>
      </c>
      <c r="H950" t="str">
        <f t="shared" si="17"/>
        <v>PASS</v>
      </c>
      <c r="I950" s="90">
        <f>[1]DATABASE!T911</f>
        <v>690000</v>
      </c>
      <c r="J950" t="str">
        <f>[1]DATABASE!AC911</f>
        <v>Ana Damásio</v>
      </c>
    </row>
    <row r="951" spans="1:10" ht="13.95" customHeight="1" x14ac:dyDescent="0.3">
      <c r="A951">
        <f>ROW([1]DATABASE!A912)</f>
        <v>912</v>
      </c>
      <c r="B951" t="str">
        <f>[1]DATABASE!AJ912</f>
        <v>Springs - At the Els</v>
      </c>
      <c r="C951" t="str">
        <f>[1]DATABASE!C912</f>
        <v>BU</v>
      </c>
      <c r="D951" t="str">
        <f>TRIM([1]DATABASE!Q912)</f>
        <v>AVAILABLE</v>
      </c>
      <c r="E951" s="82" t="str">
        <f>_xlfn.TEXTJOIN("; ",TRUE,IF([1]DATABASE!X912&lt;0,"Negative Discount",""),IF(AND([1]DATABASE!Y912&gt;[1]DATABASE!T912,[1]DATABASE!Y912&gt;0,[1]DATABASE!T912&gt;0),"Sell Price &gt; Current",""),IF(AND(TRIM([1]DATABASE!Q912)="DEED",[1]DATABASE!AA912=""),"Deeded no PSPA Date",""),IF([1]DATABASE!E912="","Missing Typology",""),IF([1]DATABASE!AJ912="","Missing Development",""))</f>
        <v/>
      </c>
      <c r="F951" s="82" t="str">
        <f>_xlfn.TEXTJOIN("; ",TRUE,IF(AND(OR(TRIM([1]DATABASE!Q912)="RESERVED",TRIM([1]DATABASE!Q912)="PRE-RESERVED",TRIM([1]DATABASE!Q912)="PSPA"),[1]DATABASE!AA912=""),"Reserved/PSPA no PSPA Date",""),IF(AND(TRIM([1]DATABASE!Q912)="AVAILABLE",[1]DATABASE!AA912&lt;&gt;""),"Available has PSPA Date",""))</f>
        <v/>
      </c>
      <c r="G951" s="82" t="str">
        <f>_xlfn.TEXTJOIN("; ",TRUE,IF(AND([1]DATABASE!T912&lt;0.8*[1]DATABASE!S912,[1]DATABASE!T912&gt;0,[1]DATABASE!S912&gt;0),"Heavy Price Cut &gt;20%",""),IF(AND(OR(TRIM([1]DATABASE!Q912)="AVAILABLE",TRIM([1]DATABASE!Q912)="UPON REQUEST"),OR([1]DATABASE!T912="",[1]DATABASE!T912=0)),"Active Unit no Price",""),IF(AND(OR(TRIM([1]DATABASE!Q912)="AVAILABLE",TRIM([1]DATABASE!Q912)="RESERVED",TRIM([1]DATABASE!Q912)="PRE-RESERVED",TRIM([1]DATABASE!Q912)="PSPA"),[1]DATABASE!AC912=""),"Active no Owner",""),IF(OR([1]DATABASE!F912="",[1]DATABASE!F912&lt;=0),"Missing/Invalid Area",""),IF(AND([1]DATABASE!T912&gt;0,ABS([1]DATABASE!T912-[1]DATABASE!W912-[1]DATABASE!U912-[1]DATABASE!V912)&gt;1),"Price Bridge Mismatch",""))</f>
        <v/>
      </c>
      <c r="H951" t="str">
        <f t="shared" si="17"/>
        <v>PASS</v>
      </c>
      <c r="I951" s="90">
        <f>[1]DATABASE!T912</f>
        <v>1630000</v>
      </c>
      <c r="J951" t="str">
        <f>[1]DATABASE!AC912</f>
        <v>Ana Damásio</v>
      </c>
    </row>
    <row r="952" spans="1:10" ht="13.95" customHeight="1" x14ac:dyDescent="0.3">
      <c r="A952">
        <f>ROW([1]DATABASE!A913)</f>
        <v>913</v>
      </c>
      <c r="B952" t="str">
        <f>[1]DATABASE!AJ913</f>
        <v>Terracota</v>
      </c>
      <c r="C952" t="str">
        <f>[1]DATABASE!C913</f>
        <v>BU</v>
      </c>
      <c r="D952" t="str">
        <f>TRIM([1]DATABASE!Q913)</f>
        <v>AVAILABLE</v>
      </c>
      <c r="E952" s="82" t="str">
        <f>_xlfn.TEXTJOIN("; ",TRUE,IF([1]DATABASE!X913&lt;0,"Negative Discount",""),IF(AND([1]DATABASE!Y913&gt;[1]DATABASE!T913,[1]DATABASE!Y913&gt;0,[1]DATABASE!T913&gt;0),"Sell Price &gt; Current",""),IF(AND(TRIM([1]DATABASE!Q913)="DEED",[1]DATABASE!AA913=""),"Deeded no PSPA Date",""),IF([1]DATABASE!E913="","Missing Typology",""),IF([1]DATABASE!AJ913="","Missing Development",""))</f>
        <v/>
      </c>
      <c r="F952" s="82" t="str">
        <f>_xlfn.TEXTJOIN("; ",TRUE,IF(AND(OR(TRIM([1]DATABASE!Q913)="RESERVED",TRIM([1]DATABASE!Q913)="PRE-RESERVED",TRIM([1]DATABASE!Q913)="PSPA"),[1]DATABASE!AA913=""),"Reserved/PSPA no PSPA Date",""),IF(AND(TRIM([1]DATABASE!Q913)="AVAILABLE",[1]DATABASE!AA913&lt;&gt;""),"Available has PSPA Date",""))</f>
        <v/>
      </c>
      <c r="G952" s="82" t="str">
        <f>_xlfn.TEXTJOIN("; ",TRUE,IF(AND([1]DATABASE!T913&lt;0.8*[1]DATABASE!S913,[1]DATABASE!T913&gt;0,[1]DATABASE!S913&gt;0),"Heavy Price Cut &gt;20%",""),IF(AND(OR(TRIM([1]DATABASE!Q913)="AVAILABLE",TRIM([1]DATABASE!Q913)="UPON REQUEST"),OR([1]DATABASE!T913="",[1]DATABASE!T913=0)),"Active Unit no Price",""),IF(AND(OR(TRIM([1]DATABASE!Q913)="AVAILABLE",TRIM([1]DATABASE!Q913)="RESERVED",TRIM([1]DATABASE!Q913)="PRE-RESERVED",TRIM([1]DATABASE!Q913)="PSPA"),[1]DATABASE!AC913=""),"Active no Owner",""),IF(OR([1]DATABASE!F913="",[1]DATABASE!F913&lt;=0),"Missing/Invalid Area",""),IF(AND([1]DATABASE!T913&gt;0,ABS([1]DATABASE!T913-[1]DATABASE!W913-[1]DATABASE!U913-[1]DATABASE!V913)&gt;1),"Price Bridge Mismatch",""))</f>
        <v/>
      </c>
      <c r="H952" t="str">
        <f t="shared" si="17"/>
        <v>PASS</v>
      </c>
      <c r="I952" s="90">
        <f>[1]DATABASE!T913</f>
        <v>690000</v>
      </c>
      <c r="J952" t="str">
        <f>[1]DATABASE!AC913</f>
        <v>Ana Damásio</v>
      </c>
    </row>
    <row r="953" spans="1:10" ht="13.95" customHeight="1" x14ac:dyDescent="0.3">
      <c r="A953">
        <f>ROW([1]DATABASE!A914)</f>
        <v>914</v>
      </c>
      <c r="B953" t="str">
        <f>[1]DATABASE!AJ914</f>
        <v>Springs - At the Els</v>
      </c>
      <c r="C953" t="str">
        <f>[1]DATABASE!C914</f>
        <v>BV</v>
      </c>
      <c r="D953" t="str">
        <f>TRIM([1]DATABASE!Q914)</f>
        <v>AVAILABLE</v>
      </c>
      <c r="E953" s="82" t="str">
        <f>_xlfn.TEXTJOIN("; ",TRUE,IF([1]DATABASE!X914&lt;0,"Negative Discount",""),IF(AND([1]DATABASE!Y914&gt;[1]DATABASE!T914,[1]DATABASE!Y914&gt;0,[1]DATABASE!T914&gt;0),"Sell Price &gt; Current",""),IF(AND(TRIM([1]DATABASE!Q914)="DEED",[1]DATABASE!AA914=""),"Deeded no PSPA Date",""),IF([1]DATABASE!E914="","Missing Typology",""),IF([1]DATABASE!AJ914="","Missing Development",""))</f>
        <v/>
      </c>
      <c r="F953" s="82" t="str">
        <f>_xlfn.TEXTJOIN("; ",TRUE,IF(AND(OR(TRIM([1]DATABASE!Q914)="RESERVED",TRIM([1]DATABASE!Q914)="PRE-RESERVED",TRIM([1]DATABASE!Q914)="PSPA"),[1]DATABASE!AA914=""),"Reserved/PSPA no PSPA Date",""),IF(AND(TRIM([1]DATABASE!Q914)="AVAILABLE",[1]DATABASE!AA914&lt;&gt;""),"Available has PSPA Date",""))</f>
        <v/>
      </c>
      <c r="G953" s="82" t="str">
        <f>_xlfn.TEXTJOIN("; ",TRUE,IF(AND([1]DATABASE!T914&lt;0.8*[1]DATABASE!S914,[1]DATABASE!T914&gt;0,[1]DATABASE!S914&gt;0),"Heavy Price Cut &gt;20%",""),IF(AND(OR(TRIM([1]DATABASE!Q914)="AVAILABLE",TRIM([1]DATABASE!Q914)="UPON REQUEST"),OR([1]DATABASE!T914="",[1]DATABASE!T914=0)),"Active Unit no Price",""),IF(AND(OR(TRIM([1]DATABASE!Q914)="AVAILABLE",TRIM([1]DATABASE!Q914)="RESERVED",TRIM([1]DATABASE!Q914)="PRE-RESERVED",TRIM([1]DATABASE!Q914)="PSPA"),[1]DATABASE!AC914=""),"Active no Owner",""),IF(OR([1]DATABASE!F914="",[1]DATABASE!F914&lt;=0),"Missing/Invalid Area",""),IF(AND([1]DATABASE!T914&gt;0,ABS([1]DATABASE!T914-[1]DATABASE!W914-[1]DATABASE!U914-[1]DATABASE!V914)&gt;1),"Price Bridge Mismatch",""))</f>
        <v/>
      </c>
      <c r="H953" t="str">
        <f t="shared" si="17"/>
        <v>PASS</v>
      </c>
      <c r="I953" s="90">
        <f>[1]DATABASE!T914</f>
        <v>1610000</v>
      </c>
      <c r="J953" t="str">
        <f>[1]DATABASE!AC914</f>
        <v>Ana Damásio</v>
      </c>
    </row>
    <row r="954" spans="1:10" ht="13.95" customHeight="1" x14ac:dyDescent="0.3">
      <c r="A954">
        <f>ROW([1]DATABASE!A915)</f>
        <v>915</v>
      </c>
      <c r="B954" t="str">
        <f>[1]DATABASE!AJ915</f>
        <v>Vale Pisão Grand Park</v>
      </c>
      <c r="C954" t="str">
        <f>[1]DATABASE!C915</f>
        <v>8B</v>
      </c>
      <c r="D954" t="str">
        <f>TRIM([1]DATABASE!Q915)</f>
        <v>UPON REQUEST</v>
      </c>
      <c r="E954" s="82" t="str">
        <f>_xlfn.TEXTJOIN("; ",TRUE,IF([1]DATABASE!X915&lt;0,"Negative Discount",""),IF(AND([1]DATABASE!Y915&gt;[1]DATABASE!T915,[1]DATABASE!Y915&gt;0,[1]DATABASE!T915&gt;0),"Sell Price &gt; Current",""),IF(AND(TRIM([1]DATABASE!Q915)="DEED",[1]DATABASE!AA915=""),"Deeded no PSPA Date",""),IF([1]DATABASE!E915="","Missing Typology",""),IF([1]DATABASE!AJ915="","Missing Development",""))</f>
        <v/>
      </c>
      <c r="F954" s="82" t="str">
        <f>_xlfn.TEXTJOIN("; ",TRUE,IF(AND(OR(TRIM([1]DATABASE!Q915)="RESERVED",TRIM([1]DATABASE!Q915)="PRE-RESERVED",TRIM([1]DATABASE!Q915)="PSPA"),[1]DATABASE!AA915=""),"Reserved/PSPA no PSPA Date",""),IF(AND(TRIM([1]DATABASE!Q915)="AVAILABLE",[1]DATABASE!AA915&lt;&gt;""),"Available has PSPA Date",""))</f>
        <v/>
      </c>
      <c r="G954" s="82" t="str">
        <f>_xlfn.TEXTJOIN("; ",TRUE,IF(AND([1]DATABASE!T915&lt;0.8*[1]DATABASE!S915,[1]DATABASE!T915&gt;0,[1]DATABASE!S915&gt;0),"Heavy Price Cut &gt;20%",""),IF(AND(OR(TRIM([1]DATABASE!Q915)="AVAILABLE",TRIM([1]DATABASE!Q915)="UPON REQUEST"),OR([1]DATABASE!T915="",[1]DATABASE!T915=0)),"Active Unit no Price",""),IF(AND(OR(TRIM([1]DATABASE!Q915)="AVAILABLE",TRIM([1]DATABASE!Q915)="RESERVED",TRIM([1]DATABASE!Q915)="PRE-RESERVED",TRIM([1]DATABASE!Q915)="PSPA"),[1]DATABASE!AC915=""),"Active no Owner",""),IF(OR([1]DATABASE!F915="",[1]DATABASE!F915&lt;=0),"Missing/Invalid Area",""),IF(AND([1]DATABASE!T915&gt;0,ABS([1]DATABASE!T915-[1]DATABASE!W915-[1]DATABASE!U915-[1]DATABASE!V915)&gt;1),"Price Bridge Mismatch",""))</f>
        <v/>
      </c>
      <c r="H954" t="str">
        <f t="shared" si="17"/>
        <v>PASS</v>
      </c>
      <c r="I954" s="90">
        <f>[1]DATABASE!T915</f>
        <v>1190000</v>
      </c>
      <c r="J954" t="str">
        <f>[1]DATABASE!AC915</f>
        <v>João Gameiro</v>
      </c>
    </row>
    <row r="955" spans="1:10" ht="13.95" customHeight="1" x14ac:dyDescent="0.3">
      <c r="A955">
        <f>ROW([1]DATABASE!A916)</f>
        <v>916</v>
      </c>
      <c r="B955" t="str">
        <f>[1]DATABASE!AJ916</f>
        <v>Springs - At the Els</v>
      </c>
      <c r="C955" t="str">
        <f>[1]DATABASE!C916</f>
        <v>BW</v>
      </c>
      <c r="D955" t="str">
        <f>TRIM([1]DATABASE!Q916)</f>
        <v>AVAILABLE</v>
      </c>
      <c r="E955" s="82" t="str">
        <f>_xlfn.TEXTJOIN("; ",TRUE,IF([1]DATABASE!X916&lt;0,"Negative Discount",""),IF(AND([1]DATABASE!Y916&gt;[1]DATABASE!T916,[1]DATABASE!Y916&gt;0,[1]DATABASE!T916&gt;0),"Sell Price &gt; Current",""),IF(AND(TRIM([1]DATABASE!Q916)="DEED",[1]DATABASE!AA916=""),"Deeded no PSPA Date",""),IF([1]DATABASE!E916="","Missing Typology",""),IF([1]DATABASE!AJ916="","Missing Development",""))</f>
        <v/>
      </c>
      <c r="F955" s="82" t="str">
        <f>_xlfn.TEXTJOIN("; ",TRUE,IF(AND(OR(TRIM([1]DATABASE!Q916)="RESERVED",TRIM([1]DATABASE!Q916)="PRE-RESERVED",TRIM([1]DATABASE!Q916)="PSPA"),[1]DATABASE!AA916=""),"Reserved/PSPA no PSPA Date",""),IF(AND(TRIM([1]DATABASE!Q916)="AVAILABLE",[1]DATABASE!AA916&lt;&gt;""),"Available has PSPA Date",""))</f>
        <v/>
      </c>
      <c r="G955" s="82" t="str">
        <f>_xlfn.TEXTJOIN("; ",TRUE,IF(AND([1]DATABASE!T916&lt;0.8*[1]DATABASE!S916,[1]DATABASE!T916&gt;0,[1]DATABASE!S916&gt;0),"Heavy Price Cut &gt;20%",""),IF(AND(OR(TRIM([1]DATABASE!Q916)="AVAILABLE",TRIM([1]DATABASE!Q916)="UPON REQUEST"),OR([1]DATABASE!T916="",[1]DATABASE!T916=0)),"Active Unit no Price",""),IF(AND(OR(TRIM([1]DATABASE!Q916)="AVAILABLE",TRIM([1]DATABASE!Q916)="RESERVED",TRIM([1]DATABASE!Q916)="PRE-RESERVED",TRIM([1]DATABASE!Q916)="PSPA"),[1]DATABASE!AC916=""),"Active no Owner",""),IF(OR([1]DATABASE!F916="",[1]DATABASE!F916&lt;=0),"Missing/Invalid Area",""),IF(AND([1]DATABASE!T916&gt;0,ABS([1]DATABASE!T916-[1]DATABASE!W916-[1]DATABASE!U916-[1]DATABASE!V916)&gt;1),"Price Bridge Mismatch",""))</f>
        <v/>
      </c>
      <c r="H955" t="str">
        <f t="shared" si="17"/>
        <v>PASS</v>
      </c>
      <c r="I955" s="90">
        <f>[1]DATABASE!T916</f>
        <v>1630000</v>
      </c>
      <c r="J955" t="str">
        <f>[1]DATABASE!AC916</f>
        <v>Ana Damásio</v>
      </c>
    </row>
    <row r="956" spans="1:10" ht="13.95" customHeight="1" x14ac:dyDescent="0.3">
      <c r="A956">
        <f>ROW([1]DATABASE!A917)</f>
        <v>917</v>
      </c>
      <c r="B956" t="str">
        <f>[1]DATABASE!AJ917</f>
        <v>Springs - At the Els</v>
      </c>
      <c r="C956" t="str">
        <f>[1]DATABASE!C917</f>
        <v>BX</v>
      </c>
      <c r="D956" t="str">
        <f>TRIM([1]DATABASE!Q917)</f>
        <v>AVAILABLE</v>
      </c>
      <c r="E956" s="82" t="str">
        <f>_xlfn.TEXTJOIN("; ",TRUE,IF([1]DATABASE!X917&lt;0,"Negative Discount",""),IF(AND([1]DATABASE!Y917&gt;[1]DATABASE!T917,[1]DATABASE!Y917&gt;0,[1]DATABASE!T917&gt;0),"Sell Price &gt; Current",""),IF(AND(TRIM([1]DATABASE!Q917)="DEED",[1]DATABASE!AA917=""),"Deeded no PSPA Date",""),IF([1]DATABASE!E917="","Missing Typology",""),IF([1]DATABASE!AJ917="","Missing Development",""))</f>
        <v/>
      </c>
      <c r="F956" s="82" t="str">
        <f>_xlfn.TEXTJOIN("; ",TRUE,IF(AND(OR(TRIM([1]DATABASE!Q917)="RESERVED",TRIM([1]DATABASE!Q917)="PRE-RESERVED",TRIM([1]DATABASE!Q917)="PSPA"),[1]DATABASE!AA917=""),"Reserved/PSPA no PSPA Date",""),IF(AND(TRIM([1]DATABASE!Q917)="AVAILABLE",[1]DATABASE!AA917&lt;&gt;""),"Available has PSPA Date",""))</f>
        <v/>
      </c>
      <c r="G956" s="82" t="str">
        <f>_xlfn.TEXTJOIN("; ",TRUE,IF(AND([1]DATABASE!T917&lt;0.8*[1]DATABASE!S917,[1]DATABASE!T917&gt;0,[1]DATABASE!S917&gt;0),"Heavy Price Cut &gt;20%",""),IF(AND(OR(TRIM([1]DATABASE!Q917)="AVAILABLE",TRIM([1]DATABASE!Q917)="UPON REQUEST"),OR([1]DATABASE!T917="",[1]DATABASE!T917=0)),"Active Unit no Price",""),IF(AND(OR(TRIM([1]DATABASE!Q917)="AVAILABLE",TRIM([1]DATABASE!Q917)="RESERVED",TRIM([1]DATABASE!Q917)="PRE-RESERVED",TRIM([1]DATABASE!Q917)="PSPA"),[1]DATABASE!AC917=""),"Active no Owner",""),IF(OR([1]DATABASE!F917="",[1]DATABASE!F917&lt;=0),"Missing/Invalid Area",""),IF(AND([1]DATABASE!T917&gt;0,ABS([1]DATABASE!T917-[1]DATABASE!W917-[1]DATABASE!U917-[1]DATABASE!V917)&gt;1),"Price Bridge Mismatch",""))</f>
        <v/>
      </c>
      <c r="H956" t="str">
        <f t="shared" si="17"/>
        <v>PASS</v>
      </c>
      <c r="I956" s="90">
        <f>[1]DATABASE!T917</f>
        <v>1640000</v>
      </c>
      <c r="J956" t="str">
        <f>[1]DATABASE!AC917</f>
        <v>Ana Damásio</v>
      </c>
    </row>
    <row r="957" spans="1:10" ht="13.95" customHeight="1" x14ac:dyDescent="0.3">
      <c r="A957">
        <f>ROW([1]DATABASE!A918)</f>
        <v>918</v>
      </c>
      <c r="B957" t="str">
        <f>[1]DATABASE!AJ918</f>
        <v>Springs - At the Els</v>
      </c>
      <c r="C957" t="str">
        <f>[1]DATABASE!C918</f>
        <v>BY</v>
      </c>
      <c r="D957" t="str">
        <f>TRIM([1]DATABASE!Q918)</f>
        <v>AVAILABLE</v>
      </c>
      <c r="E957" s="82" t="str">
        <f>_xlfn.TEXTJOIN("; ",TRUE,IF([1]DATABASE!X918&lt;0,"Negative Discount",""),IF(AND([1]DATABASE!Y918&gt;[1]DATABASE!T918,[1]DATABASE!Y918&gt;0,[1]DATABASE!T918&gt;0),"Sell Price &gt; Current",""),IF(AND(TRIM([1]DATABASE!Q918)="DEED",[1]DATABASE!AA918=""),"Deeded no PSPA Date",""),IF([1]DATABASE!E918="","Missing Typology",""),IF([1]DATABASE!AJ918="","Missing Development",""))</f>
        <v/>
      </c>
      <c r="F957" s="82" t="str">
        <f>_xlfn.TEXTJOIN("; ",TRUE,IF(AND(OR(TRIM([1]DATABASE!Q918)="RESERVED",TRIM([1]DATABASE!Q918)="PRE-RESERVED",TRIM([1]DATABASE!Q918)="PSPA"),[1]DATABASE!AA918=""),"Reserved/PSPA no PSPA Date",""),IF(AND(TRIM([1]DATABASE!Q918)="AVAILABLE",[1]DATABASE!AA918&lt;&gt;""),"Available has PSPA Date",""))</f>
        <v/>
      </c>
      <c r="G957" s="82" t="str">
        <f>_xlfn.TEXTJOIN("; ",TRUE,IF(AND([1]DATABASE!T918&lt;0.8*[1]DATABASE!S918,[1]DATABASE!T918&gt;0,[1]DATABASE!S918&gt;0),"Heavy Price Cut &gt;20%",""),IF(AND(OR(TRIM([1]DATABASE!Q918)="AVAILABLE",TRIM([1]DATABASE!Q918)="UPON REQUEST"),OR([1]DATABASE!T918="",[1]DATABASE!T918=0)),"Active Unit no Price",""),IF(AND(OR(TRIM([1]DATABASE!Q918)="AVAILABLE",TRIM([1]DATABASE!Q918)="RESERVED",TRIM([1]DATABASE!Q918)="PRE-RESERVED",TRIM([1]DATABASE!Q918)="PSPA"),[1]DATABASE!AC918=""),"Active no Owner",""),IF(OR([1]DATABASE!F918="",[1]DATABASE!F918&lt;=0),"Missing/Invalid Area",""),IF(AND([1]DATABASE!T918&gt;0,ABS([1]DATABASE!T918-[1]DATABASE!W918-[1]DATABASE!U918-[1]DATABASE!V918)&gt;1),"Price Bridge Mismatch",""))</f>
        <v/>
      </c>
      <c r="H957" t="str">
        <f t="shared" si="17"/>
        <v>PASS</v>
      </c>
      <c r="I957" s="90">
        <f>[1]DATABASE!T918</f>
        <v>1880000</v>
      </c>
      <c r="J957" t="str">
        <f>[1]DATABASE!AC918</f>
        <v>Ana Damásio</v>
      </c>
    </row>
    <row r="958" spans="1:10" ht="13.95" customHeight="1" x14ac:dyDescent="0.3">
      <c r="A958">
        <f>ROW([1]DATABASE!A919)</f>
        <v>919</v>
      </c>
      <c r="B958" t="str">
        <f>[1]DATABASE!AJ919</f>
        <v>Springs - At the Els</v>
      </c>
      <c r="C958" t="str">
        <f>[1]DATABASE!C919</f>
        <v>BZ</v>
      </c>
      <c r="D958" t="str">
        <f>TRIM([1]DATABASE!Q919)</f>
        <v>AVAILABLE</v>
      </c>
      <c r="E958" s="82" t="str">
        <f>_xlfn.TEXTJOIN("; ",TRUE,IF([1]DATABASE!X919&lt;0,"Negative Discount",""),IF(AND([1]DATABASE!Y919&gt;[1]DATABASE!T919,[1]DATABASE!Y919&gt;0,[1]DATABASE!T919&gt;0),"Sell Price &gt; Current",""),IF(AND(TRIM([1]DATABASE!Q919)="DEED",[1]DATABASE!AA919=""),"Deeded no PSPA Date",""),IF([1]DATABASE!E919="","Missing Typology",""),IF([1]DATABASE!AJ919="","Missing Development",""))</f>
        <v/>
      </c>
      <c r="F958" s="82" t="str">
        <f>_xlfn.TEXTJOIN("; ",TRUE,IF(AND(OR(TRIM([1]DATABASE!Q919)="RESERVED",TRIM([1]DATABASE!Q919)="PRE-RESERVED",TRIM([1]DATABASE!Q919)="PSPA"),[1]DATABASE!AA919=""),"Reserved/PSPA no PSPA Date",""),IF(AND(TRIM([1]DATABASE!Q919)="AVAILABLE",[1]DATABASE!AA919&lt;&gt;""),"Available has PSPA Date",""))</f>
        <v/>
      </c>
      <c r="G958" s="82" t="str">
        <f>_xlfn.TEXTJOIN("; ",TRUE,IF(AND([1]DATABASE!T919&lt;0.8*[1]DATABASE!S919,[1]DATABASE!T919&gt;0,[1]DATABASE!S919&gt;0),"Heavy Price Cut &gt;20%",""),IF(AND(OR(TRIM([1]DATABASE!Q919)="AVAILABLE",TRIM([1]DATABASE!Q919)="UPON REQUEST"),OR([1]DATABASE!T919="",[1]DATABASE!T919=0)),"Active Unit no Price",""),IF(AND(OR(TRIM([1]DATABASE!Q919)="AVAILABLE",TRIM([1]DATABASE!Q919)="RESERVED",TRIM([1]DATABASE!Q919)="PRE-RESERVED",TRIM([1]DATABASE!Q919)="PSPA"),[1]DATABASE!AC919=""),"Active no Owner",""),IF(OR([1]DATABASE!F919="",[1]DATABASE!F919&lt;=0),"Missing/Invalid Area",""),IF(AND([1]DATABASE!T919&gt;0,ABS([1]DATABASE!T919-[1]DATABASE!W919-[1]DATABASE!U919-[1]DATABASE!V919)&gt;1),"Price Bridge Mismatch",""))</f>
        <v/>
      </c>
      <c r="H958" t="str">
        <f t="shared" si="17"/>
        <v>PASS</v>
      </c>
      <c r="I958" s="90">
        <f>[1]DATABASE!T919</f>
        <v>2030000</v>
      </c>
      <c r="J958" t="str">
        <f>[1]DATABASE!AC919</f>
        <v>Ana Damásio</v>
      </c>
    </row>
    <row r="959" spans="1:10" ht="13.95" customHeight="1" x14ac:dyDescent="0.3">
      <c r="A959">
        <f>ROW([1]DATABASE!A920)</f>
        <v>920</v>
      </c>
      <c r="B959" t="str">
        <f>[1]DATABASE!AJ920</f>
        <v>Monte Rei</v>
      </c>
      <c r="C959" t="str">
        <f>[1]DATABASE!C920</f>
        <v>31</v>
      </c>
      <c r="D959" t="str">
        <f>TRIM([1]DATABASE!Q920)</f>
        <v>AVAILABLE</v>
      </c>
      <c r="E959" s="82" t="str">
        <f>_xlfn.TEXTJOIN("; ",TRUE,IF([1]DATABASE!X920&lt;0,"Negative Discount",""),IF(AND([1]DATABASE!Y920&gt;[1]DATABASE!T920,[1]DATABASE!Y920&gt;0,[1]DATABASE!T920&gt;0),"Sell Price &gt; Current",""),IF(AND(TRIM([1]DATABASE!Q920)="DEED",[1]DATABASE!AA920=""),"Deeded no PSPA Date",""),IF([1]DATABASE!E920="","Missing Typology",""),IF([1]DATABASE!AJ920="","Missing Development",""))</f>
        <v/>
      </c>
      <c r="F959" s="82" t="str">
        <f>_xlfn.TEXTJOIN("; ",TRUE,IF(AND(OR(TRIM([1]DATABASE!Q920)="RESERVED",TRIM([1]DATABASE!Q920)="PRE-RESERVED",TRIM([1]DATABASE!Q920)="PSPA"),[1]DATABASE!AA920=""),"Reserved/PSPA no PSPA Date",""),IF(AND(TRIM([1]DATABASE!Q920)="AVAILABLE",[1]DATABASE!AA920&lt;&gt;""),"Available has PSPA Date",""))</f>
        <v/>
      </c>
      <c r="G959" s="82" t="str">
        <f>_xlfn.TEXTJOIN("; ",TRUE,IF(AND([1]DATABASE!T920&lt;0.8*[1]DATABASE!S920,[1]DATABASE!T920&gt;0,[1]DATABASE!S920&gt;0),"Heavy Price Cut &gt;20%",""),IF(AND(OR(TRIM([1]DATABASE!Q920)="AVAILABLE",TRIM([1]DATABASE!Q920)="UPON REQUEST"),OR([1]DATABASE!T920="",[1]DATABASE!T920=0)),"Active Unit no Price",""),IF(AND(OR(TRIM([1]DATABASE!Q920)="AVAILABLE",TRIM([1]DATABASE!Q920)="RESERVED",TRIM([1]DATABASE!Q920)="PRE-RESERVED",TRIM([1]DATABASE!Q920)="PSPA"),[1]DATABASE!AC920=""),"Active no Owner",""),IF(OR([1]DATABASE!F920="",[1]DATABASE!F920&lt;=0),"Missing/Invalid Area",""),IF(AND([1]DATABASE!T920&gt;0,ABS([1]DATABASE!T920-[1]DATABASE!W920-[1]DATABASE!U920-[1]DATABASE!V920)&gt;1),"Price Bridge Mismatch",""))</f>
        <v>Heavy Price Cut &gt;20%</v>
      </c>
      <c r="H959" t="str">
        <f t="shared" si="17"/>
        <v>REVIEW</v>
      </c>
      <c r="I959" s="90">
        <f>[1]DATABASE!T920</f>
        <v>840000</v>
      </c>
      <c r="J959" t="str">
        <f>[1]DATABASE!AC920</f>
        <v>Sandra Viegas</v>
      </c>
    </row>
    <row r="960" spans="1:10" ht="13.95" customHeight="1" x14ac:dyDescent="0.3">
      <c r="A960">
        <f>ROW([1]DATABASE!A921)</f>
        <v>921</v>
      </c>
      <c r="B960" t="str">
        <f>[1]DATABASE!AJ921</f>
        <v>Monte Rei</v>
      </c>
      <c r="C960" t="str">
        <f>[1]DATABASE!C921</f>
        <v>45</v>
      </c>
      <c r="D960" t="str">
        <f>TRIM([1]DATABASE!Q921)</f>
        <v>AVAILABLE</v>
      </c>
      <c r="E960" s="82" t="str">
        <f>_xlfn.TEXTJOIN("; ",TRUE,IF([1]DATABASE!X921&lt;0,"Negative Discount",""),IF(AND([1]DATABASE!Y921&gt;[1]DATABASE!T921,[1]DATABASE!Y921&gt;0,[1]DATABASE!T921&gt;0),"Sell Price &gt; Current",""),IF(AND(TRIM([1]DATABASE!Q921)="DEED",[1]DATABASE!AA921=""),"Deeded no PSPA Date",""),IF([1]DATABASE!E921="","Missing Typology",""),IF([1]DATABASE!AJ921="","Missing Development",""))</f>
        <v/>
      </c>
      <c r="F960" s="82" t="str">
        <f>_xlfn.TEXTJOIN("; ",TRUE,IF(AND(OR(TRIM([1]DATABASE!Q921)="RESERVED",TRIM([1]DATABASE!Q921)="PRE-RESERVED",TRIM([1]DATABASE!Q921)="PSPA"),[1]DATABASE!AA921=""),"Reserved/PSPA no PSPA Date",""),IF(AND(TRIM([1]DATABASE!Q921)="AVAILABLE",[1]DATABASE!AA921&lt;&gt;""),"Available has PSPA Date",""))</f>
        <v/>
      </c>
      <c r="G960" s="82" t="str">
        <f>_xlfn.TEXTJOIN("; ",TRUE,IF(AND([1]DATABASE!T921&lt;0.8*[1]DATABASE!S921,[1]DATABASE!T921&gt;0,[1]DATABASE!S921&gt;0),"Heavy Price Cut &gt;20%",""),IF(AND(OR(TRIM([1]DATABASE!Q921)="AVAILABLE",TRIM([1]DATABASE!Q921)="UPON REQUEST"),OR([1]DATABASE!T921="",[1]DATABASE!T921=0)),"Active Unit no Price",""),IF(AND(OR(TRIM([1]DATABASE!Q921)="AVAILABLE",TRIM([1]DATABASE!Q921)="RESERVED",TRIM([1]DATABASE!Q921)="PRE-RESERVED",TRIM([1]DATABASE!Q921)="PSPA"),[1]DATABASE!AC921=""),"Active no Owner",""),IF(OR([1]DATABASE!F921="",[1]DATABASE!F921&lt;=0),"Missing/Invalid Area",""),IF(AND([1]DATABASE!T921&gt;0,ABS([1]DATABASE!T921-[1]DATABASE!W921-[1]DATABASE!U921-[1]DATABASE!V921)&gt;1),"Price Bridge Mismatch",""))</f>
        <v>Heavy Price Cut &gt;20%</v>
      </c>
      <c r="H960" t="str">
        <f t="shared" si="17"/>
        <v>REVIEW</v>
      </c>
      <c r="I960" s="90">
        <f>[1]DATABASE!T921</f>
        <v>850000</v>
      </c>
      <c r="J960" t="str">
        <f>[1]DATABASE!AC921</f>
        <v>Sandra Viegas</v>
      </c>
    </row>
    <row r="961" spans="1:10" ht="13.95" customHeight="1" x14ac:dyDescent="0.3">
      <c r="A961">
        <f>ROW([1]DATABASE!A922)</f>
        <v>922</v>
      </c>
      <c r="B961" t="str">
        <f>[1]DATABASE!AJ922</f>
        <v>Monte Rei</v>
      </c>
      <c r="C961" t="str">
        <f>[1]DATABASE!C922</f>
        <v>48</v>
      </c>
      <c r="D961" t="str">
        <f>TRIM([1]DATABASE!Q922)</f>
        <v>AVAILABLE</v>
      </c>
      <c r="E961" s="82" t="str">
        <f>_xlfn.TEXTJOIN("; ",TRUE,IF([1]DATABASE!X922&lt;0,"Negative Discount",""),IF(AND([1]DATABASE!Y922&gt;[1]DATABASE!T922,[1]DATABASE!Y922&gt;0,[1]DATABASE!T922&gt;0),"Sell Price &gt; Current",""),IF(AND(TRIM([1]DATABASE!Q922)="DEED",[1]DATABASE!AA922=""),"Deeded no PSPA Date",""),IF([1]DATABASE!E922="","Missing Typology",""),IF([1]DATABASE!AJ922="","Missing Development",""))</f>
        <v/>
      </c>
      <c r="F961" s="82" t="str">
        <f>_xlfn.TEXTJOIN("; ",TRUE,IF(AND(OR(TRIM([1]DATABASE!Q922)="RESERVED",TRIM([1]DATABASE!Q922)="PRE-RESERVED",TRIM([1]DATABASE!Q922)="PSPA"),[1]DATABASE!AA922=""),"Reserved/PSPA no PSPA Date",""),IF(AND(TRIM([1]DATABASE!Q922)="AVAILABLE",[1]DATABASE!AA922&lt;&gt;""),"Available has PSPA Date",""))</f>
        <v/>
      </c>
      <c r="G961" s="82" t="str">
        <f>_xlfn.TEXTJOIN("; ",TRUE,IF(AND([1]DATABASE!T922&lt;0.8*[1]DATABASE!S922,[1]DATABASE!T922&gt;0,[1]DATABASE!S922&gt;0),"Heavy Price Cut &gt;20%",""),IF(AND(OR(TRIM([1]DATABASE!Q922)="AVAILABLE",TRIM([1]DATABASE!Q922)="UPON REQUEST"),OR([1]DATABASE!T922="",[1]DATABASE!T922=0)),"Active Unit no Price",""),IF(AND(OR(TRIM([1]DATABASE!Q922)="AVAILABLE",TRIM([1]DATABASE!Q922)="RESERVED",TRIM([1]DATABASE!Q922)="PRE-RESERVED",TRIM([1]DATABASE!Q922)="PSPA"),[1]DATABASE!AC922=""),"Active no Owner",""),IF(OR([1]DATABASE!F922="",[1]DATABASE!F922&lt;=0),"Missing/Invalid Area",""),IF(AND([1]DATABASE!T922&gt;0,ABS([1]DATABASE!T922-[1]DATABASE!W922-[1]DATABASE!U922-[1]DATABASE!V922)&gt;1),"Price Bridge Mismatch",""))</f>
        <v>Heavy Price Cut &gt;20%</v>
      </c>
      <c r="H961" t="str">
        <f t="shared" si="17"/>
        <v>REVIEW</v>
      </c>
      <c r="I961" s="90">
        <f>[1]DATABASE!T922</f>
        <v>850000</v>
      </c>
      <c r="J961" t="str">
        <f>[1]DATABASE!AC922</f>
        <v>Sandra Viegas</v>
      </c>
    </row>
    <row r="962" spans="1:10" ht="13.95" customHeight="1" x14ac:dyDescent="0.3">
      <c r="A962">
        <f>ROW([1]DATABASE!A923)</f>
        <v>923</v>
      </c>
      <c r="B962" t="str">
        <f>[1]DATABASE!AJ923</f>
        <v>Monte Rei</v>
      </c>
      <c r="C962" t="str">
        <f>[1]DATABASE!C923</f>
        <v>52</v>
      </c>
      <c r="D962" t="str">
        <f>TRIM([1]DATABASE!Q923)</f>
        <v>AVAILABLE</v>
      </c>
      <c r="E962" s="82" t="str">
        <f>_xlfn.TEXTJOIN("; ",TRUE,IF([1]DATABASE!X923&lt;0,"Negative Discount",""),IF(AND([1]DATABASE!Y923&gt;[1]DATABASE!T923,[1]DATABASE!Y923&gt;0,[1]DATABASE!T923&gt;0),"Sell Price &gt; Current",""),IF(AND(TRIM([1]DATABASE!Q923)="DEED",[1]DATABASE!AA923=""),"Deeded no PSPA Date",""),IF([1]DATABASE!E923="","Missing Typology",""),IF([1]DATABASE!AJ923="","Missing Development",""))</f>
        <v/>
      </c>
      <c r="F962" s="82" t="str">
        <f>_xlfn.TEXTJOIN("; ",TRUE,IF(AND(OR(TRIM([1]DATABASE!Q923)="RESERVED",TRIM([1]DATABASE!Q923)="PRE-RESERVED",TRIM([1]DATABASE!Q923)="PSPA"),[1]DATABASE!AA923=""),"Reserved/PSPA no PSPA Date",""),IF(AND(TRIM([1]DATABASE!Q923)="AVAILABLE",[1]DATABASE!AA923&lt;&gt;""),"Available has PSPA Date",""))</f>
        <v/>
      </c>
      <c r="G962" s="82" t="str">
        <f>_xlfn.TEXTJOIN("; ",TRUE,IF(AND([1]DATABASE!T923&lt;0.8*[1]DATABASE!S923,[1]DATABASE!T923&gt;0,[1]DATABASE!S923&gt;0),"Heavy Price Cut &gt;20%",""),IF(AND(OR(TRIM([1]DATABASE!Q923)="AVAILABLE",TRIM([1]DATABASE!Q923)="UPON REQUEST"),OR([1]DATABASE!T923="",[1]DATABASE!T923=0)),"Active Unit no Price",""),IF(AND(OR(TRIM([1]DATABASE!Q923)="AVAILABLE",TRIM([1]DATABASE!Q923)="RESERVED",TRIM([1]DATABASE!Q923)="PRE-RESERVED",TRIM([1]DATABASE!Q923)="PSPA"),[1]DATABASE!AC923=""),"Active no Owner",""),IF(OR([1]DATABASE!F923="",[1]DATABASE!F923&lt;=0),"Missing/Invalid Area",""),IF(AND([1]DATABASE!T923&gt;0,ABS([1]DATABASE!T923-[1]DATABASE!W923-[1]DATABASE!U923-[1]DATABASE!V923)&gt;1),"Price Bridge Mismatch",""))</f>
        <v/>
      </c>
      <c r="H962" t="str">
        <f t="shared" si="17"/>
        <v>PASS</v>
      </c>
      <c r="I962" s="90">
        <f>[1]DATABASE!T923</f>
        <v>930000</v>
      </c>
      <c r="J962" t="str">
        <f>[1]DATABASE!AC923</f>
        <v>Sandra Viegas</v>
      </c>
    </row>
    <row r="963" spans="1:10" ht="13.95" customHeight="1" x14ac:dyDescent="0.3">
      <c r="A963">
        <f>ROW([1]DATABASE!A924)</f>
        <v>924</v>
      </c>
      <c r="B963" t="str">
        <f>[1]DATABASE!AJ924</f>
        <v>Monte Rei</v>
      </c>
      <c r="C963" t="str">
        <f>[1]DATABASE!C924</f>
        <v>6</v>
      </c>
      <c r="D963" t="str">
        <f>TRIM([1]DATABASE!Q924)</f>
        <v>AVAILABLE</v>
      </c>
      <c r="E963" s="82" t="str">
        <f>_xlfn.TEXTJOIN("; ",TRUE,IF([1]DATABASE!X924&lt;0,"Negative Discount",""),IF(AND([1]DATABASE!Y924&gt;[1]DATABASE!T924,[1]DATABASE!Y924&gt;0,[1]DATABASE!T924&gt;0),"Sell Price &gt; Current",""),IF(AND(TRIM([1]DATABASE!Q924)="DEED",[1]DATABASE!AA924=""),"Deeded no PSPA Date",""),IF([1]DATABASE!E924="","Missing Typology",""),IF([1]DATABASE!AJ924="","Missing Development",""))</f>
        <v/>
      </c>
      <c r="F963" s="82" t="str">
        <f>_xlfn.TEXTJOIN("; ",TRUE,IF(AND(OR(TRIM([1]DATABASE!Q924)="RESERVED",TRIM([1]DATABASE!Q924)="PRE-RESERVED",TRIM([1]DATABASE!Q924)="PSPA"),[1]DATABASE!AA924=""),"Reserved/PSPA no PSPA Date",""),IF(AND(TRIM([1]DATABASE!Q924)="AVAILABLE",[1]DATABASE!AA924&lt;&gt;""),"Available has PSPA Date",""))</f>
        <v/>
      </c>
      <c r="G963" s="82" t="str">
        <f>_xlfn.TEXTJOIN("; ",TRUE,IF(AND([1]DATABASE!T924&lt;0.8*[1]DATABASE!S924,[1]DATABASE!T924&gt;0,[1]DATABASE!S924&gt;0),"Heavy Price Cut &gt;20%",""),IF(AND(OR(TRIM([1]DATABASE!Q924)="AVAILABLE",TRIM([1]DATABASE!Q924)="UPON REQUEST"),OR([1]DATABASE!T924="",[1]DATABASE!T924=0)),"Active Unit no Price",""),IF(AND(OR(TRIM([1]DATABASE!Q924)="AVAILABLE",TRIM([1]DATABASE!Q924)="RESERVED",TRIM([1]DATABASE!Q924)="PRE-RESERVED",TRIM([1]DATABASE!Q924)="PSPA"),[1]DATABASE!AC924=""),"Active no Owner",""),IF(OR([1]DATABASE!F924="",[1]DATABASE!F924&lt;=0),"Missing/Invalid Area",""),IF(AND([1]DATABASE!T924&gt;0,ABS([1]DATABASE!T924-[1]DATABASE!W924-[1]DATABASE!U924-[1]DATABASE!V924)&gt;1),"Price Bridge Mismatch",""))</f>
        <v/>
      </c>
      <c r="H963" t="str">
        <f t="shared" si="17"/>
        <v>PASS</v>
      </c>
      <c r="I963" s="90">
        <f>[1]DATABASE!T924</f>
        <v>980000</v>
      </c>
      <c r="J963" t="str">
        <f>[1]DATABASE!AC924</f>
        <v>Sandra Viegas</v>
      </c>
    </row>
    <row r="964" spans="1:10" ht="13.95" customHeight="1" x14ac:dyDescent="0.3">
      <c r="A964">
        <f>ROW([1]DATABASE!A925)</f>
        <v>925</v>
      </c>
      <c r="B964" t="str">
        <f>[1]DATABASE!AJ925</f>
        <v>Nobilus</v>
      </c>
      <c r="C964" t="str">
        <f>[1]DATABASE!C925</f>
        <v>C</v>
      </c>
      <c r="D964" t="str">
        <f>TRIM([1]DATABASE!Q925)</f>
        <v>AVAILABLE</v>
      </c>
      <c r="E964" s="82" t="str">
        <f>_xlfn.TEXTJOIN("; ",TRUE,IF([1]DATABASE!X925&lt;0,"Negative Discount",""),IF(AND([1]DATABASE!Y925&gt;[1]DATABASE!T925,[1]DATABASE!Y925&gt;0,[1]DATABASE!T925&gt;0),"Sell Price &gt; Current",""),IF(AND(TRIM([1]DATABASE!Q925)="DEED",[1]DATABASE!AA925=""),"Deeded no PSPA Date",""),IF([1]DATABASE!E925="","Missing Typology",""),IF([1]DATABASE!AJ925="","Missing Development",""))</f>
        <v/>
      </c>
      <c r="F964" s="82" t="str">
        <f>_xlfn.TEXTJOIN("; ",TRUE,IF(AND(OR(TRIM([1]DATABASE!Q925)="RESERVED",TRIM([1]DATABASE!Q925)="PRE-RESERVED",TRIM([1]DATABASE!Q925)="PSPA"),[1]DATABASE!AA925=""),"Reserved/PSPA no PSPA Date",""),IF(AND(TRIM([1]DATABASE!Q925)="AVAILABLE",[1]DATABASE!AA925&lt;&gt;""),"Available has PSPA Date",""))</f>
        <v/>
      </c>
      <c r="G964" s="82" t="str">
        <f>_xlfn.TEXTJOIN("; ",TRUE,IF(AND([1]DATABASE!T925&lt;0.8*[1]DATABASE!S925,[1]DATABASE!T925&gt;0,[1]DATABASE!S925&gt;0),"Heavy Price Cut &gt;20%",""),IF(AND(OR(TRIM([1]DATABASE!Q925)="AVAILABLE",TRIM([1]DATABASE!Q925)="UPON REQUEST"),OR([1]DATABASE!T925="",[1]DATABASE!T925=0)),"Active Unit no Price",""),IF(AND(OR(TRIM([1]DATABASE!Q925)="AVAILABLE",TRIM([1]DATABASE!Q925)="RESERVED",TRIM([1]DATABASE!Q925)="PRE-RESERVED",TRIM([1]DATABASE!Q925)="PSPA"),[1]DATABASE!AC925=""),"Active no Owner",""),IF(OR([1]DATABASE!F925="",[1]DATABASE!F925&lt;=0),"Missing/Invalid Area",""),IF(AND([1]DATABASE!T925&gt;0,ABS([1]DATABASE!T925-[1]DATABASE!W925-[1]DATABASE!U925-[1]DATABASE!V925)&gt;1),"Price Bridge Mismatch",""))</f>
        <v/>
      </c>
      <c r="H964" t="str">
        <f t="shared" si="17"/>
        <v>PASS</v>
      </c>
      <c r="I964" s="90">
        <f>[1]DATABASE!T925</f>
        <v>695000</v>
      </c>
      <c r="J964" t="str">
        <f>[1]DATABASE!AC925</f>
        <v>Ana Damásio</v>
      </c>
    </row>
    <row r="965" spans="1:10" ht="13.95" customHeight="1" x14ac:dyDescent="0.3">
      <c r="A965">
        <f>ROW([1]DATABASE!A926)</f>
        <v>926</v>
      </c>
      <c r="B965" t="str">
        <f>[1]DATABASE!AJ926</f>
        <v>Rivus</v>
      </c>
      <c r="C965" t="str">
        <f>[1]DATABASE!C926</f>
        <v>C</v>
      </c>
      <c r="D965" t="str">
        <f>TRIM([1]DATABASE!Q926)</f>
        <v>AVAILABLE</v>
      </c>
      <c r="E965" s="82" t="str">
        <f>_xlfn.TEXTJOIN("; ",TRUE,IF([1]DATABASE!X926&lt;0,"Negative Discount",""),IF(AND([1]DATABASE!Y926&gt;[1]DATABASE!T926,[1]DATABASE!Y926&gt;0,[1]DATABASE!T926&gt;0),"Sell Price &gt; Current",""),IF(AND(TRIM([1]DATABASE!Q926)="DEED",[1]DATABASE!AA926=""),"Deeded no PSPA Date",""),IF([1]DATABASE!E926="","Missing Typology",""),IF([1]DATABASE!AJ926="","Missing Development",""))</f>
        <v/>
      </c>
      <c r="F965" s="82" t="str">
        <f>_xlfn.TEXTJOIN("; ",TRUE,IF(AND(OR(TRIM([1]DATABASE!Q926)="RESERVED",TRIM([1]DATABASE!Q926)="PRE-RESERVED",TRIM([1]DATABASE!Q926)="PSPA"),[1]DATABASE!AA926=""),"Reserved/PSPA no PSPA Date",""),IF(AND(TRIM([1]DATABASE!Q926)="AVAILABLE",[1]DATABASE!AA926&lt;&gt;""),"Available has PSPA Date",""))</f>
        <v/>
      </c>
      <c r="G965" s="82" t="str">
        <f>_xlfn.TEXTJOIN("; ",TRUE,IF(AND([1]DATABASE!T926&lt;0.8*[1]DATABASE!S926,[1]DATABASE!T926&gt;0,[1]DATABASE!S926&gt;0),"Heavy Price Cut &gt;20%",""),IF(AND(OR(TRIM([1]DATABASE!Q926)="AVAILABLE",TRIM([1]DATABASE!Q926)="UPON REQUEST"),OR([1]DATABASE!T926="",[1]DATABASE!T926=0)),"Active Unit no Price",""),IF(AND(OR(TRIM([1]DATABASE!Q926)="AVAILABLE",TRIM([1]DATABASE!Q926)="RESERVED",TRIM([1]DATABASE!Q926)="PRE-RESERVED",TRIM([1]DATABASE!Q926)="PSPA"),[1]DATABASE!AC926=""),"Active no Owner",""),IF(OR([1]DATABASE!F926="",[1]DATABASE!F926&lt;=0),"Missing/Invalid Area",""),IF(AND([1]DATABASE!T926&gt;0,ABS([1]DATABASE!T926-[1]DATABASE!W926-[1]DATABASE!U926-[1]DATABASE!V926)&gt;1),"Price Bridge Mismatch",""))</f>
        <v>Missing/Invalid Area</v>
      </c>
      <c r="H965" t="str">
        <f t="shared" si="17"/>
        <v>REVIEW</v>
      </c>
      <c r="I965" s="90">
        <f>[1]DATABASE!T926</f>
        <v>790000</v>
      </c>
      <c r="J965" t="str">
        <f>[1]DATABASE!AC926</f>
        <v>Ana Damásio</v>
      </c>
    </row>
    <row r="966" spans="1:10" ht="13.95" customHeight="1" x14ac:dyDescent="0.3">
      <c r="A966">
        <f>ROW([1]DATABASE!A927)</f>
        <v>927</v>
      </c>
      <c r="B966" t="str">
        <f>[1]DATABASE!AJ927</f>
        <v>Springs - At the Els</v>
      </c>
      <c r="C966" t="str">
        <f>[1]DATABASE!C927</f>
        <v>C</v>
      </c>
      <c r="D966" t="str">
        <f>TRIM([1]DATABASE!Q927)</f>
        <v>AVAILABLE</v>
      </c>
      <c r="E966" s="82" t="str">
        <f>_xlfn.TEXTJOIN("; ",TRUE,IF([1]DATABASE!X927&lt;0,"Negative Discount",""),IF(AND([1]DATABASE!Y927&gt;[1]DATABASE!T927,[1]DATABASE!Y927&gt;0,[1]DATABASE!T927&gt;0),"Sell Price &gt; Current",""),IF(AND(TRIM([1]DATABASE!Q927)="DEED",[1]DATABASE!AA927=""),"Deeded no PSPA Date",""),IF([1]DATABASE!E927="","Missing Typology",""),IF([1]DATABASE!AJ927="","Missing Development",""))</f>
        <v/>
      </c>
      <c r="F966" s="82" t="str">
        <f>_xlfn.TEXTJOIN("; ",TRUE,IF(AND(OR(TRIM([1]DATABASE!Q927)="RESERVED",TRIM([1]DATABASE!Q927)="PRE-RESERVED",TRIM([1]DATABASE!Q927)="PSPA"),[1]DATABASE!AA927=""),"Reserved/PSPA no PSPA Date",""),IF(AND(TRIM([1]DATABASE!Q927)="AVAILABLE",[1]DATABASE!AA927&lt;&gt;""),"Available has PSPA Date",""))</f>
        <v/>
      </c>
      <c r="G966" s="82" t="str">
        <f>_xlfn.TEXTJOIN("; ",TRUE,IF(AND([1]DATABASE!T927&lt;0.8*[1]DATABASE!S927,[1]DATABASE!T927&gt;0,[1]DATABASE!S927&gt;0),"Heavy Price Cut &gt;20%",""),IF(AND(OR(TRIM([1]DATABASE!Q927)="AVAILABLE",TRIM([1]DATABASE!Q927)="UPON REQUEST"),OR([1]DATABASE!T927="",[1]DATABASE!T927=0)),"Active Unit no Price",""),IF(AND(OR(TRIM([1]DATABASE!Q927)="AVAILABLE",TRIM([1]DATABASE!Q927)="RESERVED",TRIM([1]DATABASE!Q927)="PRE-RESERVED",TRIM([1]DATABASE!Q927)="PSPA"),[1]DATABASE!AC927=""),"Active no Owner",""),IF(OR([1]DATABASE!F927="",[1]DATABASE!F927&lt;=0),"Missing/Invalid Area",""),IF(AND([1]DATABASE!T927&gt;0,ABS([1]DATABASE!T927-[1]DATABASE!W927-[1]DATABASE!U927-[1]DATABASE!V927)&gt;1),"Price Bridge Mismatch",""))</f>
        <v/>
      </c>
      <c r="H966" t="str">
        <f t="shared" si="17"/>
        <v>PASS</v>
      </c>
      <c r="I966" s="90">
        <f>[1]DATABASE!T927</f>
        <v>1830000</v>
      </c>
      <c r="J966" t="str">
        <f>[1]DATABASE!AC927</f>
        <v>Ana Damásio</v>
      </c>
    </row>
    <row r="967" spans="1:10" ht="13.95" customHeight="1" x14ac:dyDescent="0.3">
      <c r="A967">
        <f>ROW([1]DATABASE!A928)</f>
        <v>928</v>
      </c>
      <c r="B967" t="str">
        <f>[1]DATABASE!AJ928</f>
        <v>Zestia</v>
      </c>
      <c r="C967" t="str">
        <f>[1]DATABASE!C928</f>
        <v>C</v>
      </c>
      <c r="D967" t="str">
        <f>TRIM([1]DATABASE!Q928)</f>
        <v>AVAILABLE</v>
      </c>
      <c r="E967" s="82" t="str">
        <f>_xlfn.TEXTJOIN("; ",TRUE,IF([1]DATABASE!X928&lt;0,"Negative Discount",""),IF(AND([1]DATABASE!Y928&gt;[1]DATABASE!T928,[1]DATABASE!Y928&gt;0,[1]DATABASE!T928&gt;0),"Sell Price &gt; Current",""),IF(AND(TRIM([1]DATABASE!Q928)="DEED",[1]DATABASE!AA928=""),"Deeded no PSPA Date",""),IF([1]DATABASE!E928="","Missing Typology",""),IF([1]DATABASE!AJ928="","Missing Development",""))</f>
        <v/>
      </c>
      <c r="F967" s="82" t="str">
        <f>_xlfn.TEXTJOIN("; ",TRUE,IF(AND(OR(TRIM([1]DATABASE!Q928)="RESERVED",TRIM([1]DATABASE!Q928)="PRE-RESERVED",TRIM([1]DATABASE!Q928)="PSPA"),[1]DATABASE!AA928=""),"Reserved/PSPA no PSPA Date",""),IF(AND(TRIM([1]DATABASE!Q928)="AVAILABLE",[1]DATABASE!AA928&lt;&gt;""),"Available has PSPA Date",""))</f>
        <v/>
      </c>
      <c r="G967" s="82" t="str">
        <f>_xlfn.TEXTJOIN("; ",TRUE,IF(AND([1]DATABASE!T928&lt;0.8*[1]DATABASE!S928,[1]DATABASE!T928&gt;0,[1]DATABASE!S928&gt;0),"Heavy Price Cut &gt;20%",""),IF(AND(OR(TRIM([1]DATABASE!Q928)="AVAILABLE",TRIM([1]DATABASE!Q928)="UPON REQUEST"),OR([1]DATABASE!T928="",[1]DATABASE!T928=0)),"Active Unit no Price",""),IF(AND(OR(TRIM([1]DATABASE!Q928)="AVAILABLE",TRIM([1]DATABASE!Q928)="RESERVED",TRIM([1]DATABASE!Q928)="PRE-RESERVED",TRIM([1]DATABASE!Q928)="PSPA"),[1]DATABASE!AC928=""),"Active no Owner",""),IF(OR([1]DATABASE!F928="",[1]DATABASE!F928&lt;=0),"Missing/Invalid Area",""),IF(AND([1]DATABASE!T928&gt;0,ABS([1]DATABASE!T928-[1]DATABASE!W928-[1]DATABASE!U928-[1]DATABASE!V928)&gt;1),"Price Bridge Mismatch",""))</f>
        <v/>
      </c>
      <c r="H967" t="str">
        <f t="shared" si="17"/>
        <v>PASS</v>
      </c>
      <c r="I967" s="90">
        <f>[1]DATABASE!T928</f>
        <v>790000</v>
      </c>
      <c r="J967" t="str">
        <f>[1]DATABASE!AC928</f>
        <v>Ana Damásio</v>
      </c>
    </row>
    <row r="968" spans="1:10" ht="13.95" customHeight="1" x14ac:dyDescent="0.3">
      <c r="A968">
        <f>ROW([1]DATABASE!A929)</f>
        <v>929</v>
      </c>
      <c r="B968" t="str">
        <f>[1]DATABASE!AJ929</f>
        <v>Terracota</v>
      </c>
      <c r="C968" t="str">
        <f>[1]DATABASE!C929</f>
        <v>CB</v>
      </c>
      <c r="D968" t="str">
        <f>TRIM([1]DATABASE!Q929)</f>
        <v>AVAILABLE</v>
      </c>
      <c r="E968" s="82" t="str">
        <f>_xlfn.TEXTJOIN("; ",TRUE,IF([1]DATABASE!X929&lt;0,"Negative Discount",""),IF(AND([1]DATABASE!Y929&gt;[1]DATABASE!T929,[1]DATABASE!Y929&gt;0,[1]DATABASE!T929&gt;0),"Sell Price &gt; Current",""),IF(AND(TRIM([1]DATABASE!Q929)="DEED",[1]DATABASE!AA929=""),"Deeded no PSPA Date",""),IF([1]DATABASE!E929="","Missing Typology",""),IF([1]DATABASE!AJ929="","Missing Development",""))</f>
        <v/>
      </c>
      <c r="F968" s="82" t="str">
        <f>_xlfn.TEXTJOIN("; ",TRUE,IF(AND(OR(TRIM([1]DATABASE!Q929)="RESERVED",TRIM([1]DATABASE!Q929)="PRE-RESERVED",TRIM([1]DATABASE!Q929)="PSPA"),[1]DATABASE!AA929=""),"Reserved/PSPA no PSPA Date",""),IF(AND(TRIM([1]DATABASE!Q929)="AVAILABLE",[1]DATABASE!AA929&lt;&gt;""),"Available has PSPA Date",""))</f>
        <v/>
      </c>
      <c r="G968" s="82" t="str">
        <f>_xlfn.TEXTJOIN("; ",TRUE,IF(AND([1]DATABASE!T929&lt;0.8*[1]DATABASE!S929,[1]DATABASE!T929&gt;0,[1]DATABASE!S929&gt;0),"Heavy Price Cut &gt;20%",""),IF(AND(OR(TRIM([1]DATABASE!Q929)="AVAILABLE",TRIM([1]DATABASE!Q929)="UPON REQUEST"),OR([1]DATABASE!T929="",[1]DATABASE!T929=0)),"Active Unit no Price",""),IF(AND(OR(TRIM([1]DATABASE!Q929)="AVAILABLE",TRIM([1]DATABASE!Q929)="RESERVED",TRIM([1]DATABASE!Q929)="PRE-RESERVED",TRIM([1]DATABASE!Q929)="PSPA"),[1]DATABASE!AC929=""),"Active no Owner",""),IF(OR([1]DATABASE!F929="",[1]DATABASE!F929&lt;=0),"Missing/Invalid Area",""),IF(AND([1]DATABASE!T929&gt;0,ABS([1]DATABASE!T929-[1]DATABASE!W929-[1]DATABASE!U929-[1]DATABASE!V929)&gt;1),"Price Bridge Mismatch",""))</f>
        <v/>
      </c>
      <c r="H968" t="str">
        <f t="shared" si="17"/>
        <v>PASS</v>
      </c>
      <c r="I968" s="90">
        <f>[1]DATABASE!T929</f>
        <v>730000</v>
      </c>
      <c r="J968" t="str">
        <f>[1]DATABASE!AC929</f>
        <v>Ana Damásio</v>
      </c>
    </row>
    <row r="969" spans="1:10" ht="13.95" customHeight="1" x14ac:dyDescent="0.3">
      <c r="A969">
        <f>ROW([1]DATABASE!A930)</f>
        <v>930</v>
      </c>
      <c r="B969" t="str">
        <f>[1]DATABASE!AJ930</f>
        <v>Terracota</v>
      </c>
      <c r="C969" t="str">
        <f>[1]DATABASE!C930</f>
        <v>CC</v>
      </c>
      <c r="D969" t="str">
        <f>TRIM([1]DATABASE!Q930)</f>
        <v>AVAILABLE</v>
      </c>
      <c r="E969" s="82" t="str">
        <f>_xlfn.TEXTJOIN("; ",TRUE,IF([1]DATABASE!X930&lt;0,"Negative Discount",""),IF(AND([1]DATABASE!Y930&gt;[1]DATABASE!T930,[1]DATABASE!Y930&gt;0,[1]DATABASE!T930&gt;0),"Sell Price &gt; Current",""),IF(AND(TRIM([1]DATABASE!Q930)="DEED",[1]DATABASE!AA930=""),"Deeded no PSPA Date",""),IF([1]DATABASE!E930="","Missing Typology",""),IF([1]DATABASE!AJ930="","Missing Development",""))</f>
        <v/>
      </c>
      <c r="F969" s="82" t="str">
        <f>_xlfn.TEXTJOIN("; ",TRUE,IF(AND(OR(TRIM([1]DATABASE!Q930)="RESERVED",TRIM([1]DATABASE!Q930)="PRE-RESERVED",TRIM([1]DATABASE!Q930)="PSPA"),[1]DATABASE!AA930=""),"Reserved/PSPA no PSPA Date",""),IF(AND(TRIM([1]DATABASE!Q930)="AVAILABLE",[1]DATABASE!AA930&lt;&gt;""),"Available has PSPA Date",""))</f>
        <v/>
      </c>
      <c r="G969" s="82" t="str">
        <f>_xlfn.TEXTJOIN("; ",TRUE,IF(AND([1]DATABASE!T930&lt;0.8*[1]DATABASE!S930,[1]DATABASE!T930&gt;0,[1]DATABASE!S930&gt;0),"Heavy Price Cut &gt;20%",""),IF(AND(OR(TRIM([1]DATABASE!Q930)="AVAILABLE",TRIM([1]DATABASE!Q930)="UPON REQUEST"),OR([1]DATABASE!T930="",[1]DATABASE!T930=0)),"Active Unit no Price",""),IF(AND(OR(TRIM([1]DATABASE!Q930)="AVAILABLE",TRIM([1]DATABASE!Q930)="RESERVED",TRIM([1]DATABASE!Q930)="PRE-RESERVED",TRIM([1]DATABASE!Q930)="PSPA"),[1]DATABASE!AC930=""),"Active no Owner",""),IF(OR([1]DATABASE!F930="",[1]DATABASE!F930&lt;=0),"Missing/Invalid Area",""),IF(AND([1]DATABASE!T930&gt;0,ABS([1]DATABASE!T930-[1]DATABASE!W930-[1]DATABASE!U930-[1]DATABASE!V930)&gt;1),"Price Bridge Mismatch",""))</f>
        <v/>
      </c>
      <c r="H969" t="str">
        <f t="shared" si="17"/>
        <v>PASS</v>
      </c>
      <c r="I969" s="90">
        <f>[1]DATABASE!T930</f>
        <v>730000</v>
      </c>
      <c r="J969" t="str">
        <f>[1]DATABASE!AC930</f>
        <v>Ana Damásio</v>
      </c>
    </row>
    <row r="970" spans="1:10" ht="13.95" customHeight="1" x14ac:dyDescent="0.3">
      <c r="A970">
        <f>ROW([1]DATABASE!A931)</f>
        <v>931</v>
      </c>
      <c r="B970" t="str">
        <f>[1]DATABASE!AJ931</f>
        <v>Terracota</v>
      </c>
      <c r="C970" t="str">
        <f>[1]DATABASE!C931</f>
        <v>CE</v>
      </c>
      <c r="D970" t="str">
        <f>TRIM([1]DATABASE!Q931)</f>
        <v>AVAILABLE</v>
      </c>
      <c r="E970" s="82" t="str">
        <f>_xlfn.TEXTJOIN("; ",TRUE,IF([1]DATABASE!X931&lt;0,"Negative Discount",""),IF(AND([1]DATABASE!Y931&gt;[1]DATABASE!T931,[1]DATABASE!Y931&gt;0,[1]DATABASE!T931&gt;0),"Sell Price &gt; Current",""),IF(AND(TRIM([1]DATABASE!Q931)="DEED",[1]DATABASE!AA931=""),"Deeded no PSPA Date",""),IF([1]DATABASE!E931="","Missing Typology",""),IF([1]DATABASE!AJ931="","Missing Development",""))</f>
        <v/>
      </c>
      <c r="F970" s="82" t="str">
        <f>_xlfn.TEXTJOIN("; ",TRUE,IF(AND(OR(TRIM([1]DATABASE!Q931)="RESERVED",TRIM([1]DATABASE!Q931)="PRE-RESERVED",TRIM([1]DATABASE!Q931)="PSPA"),[1]DATABASE!AA931=""),"Reserved/PSPA no PSPA Date",""),IF(AND(TRIM([1]DATABASE!Q931)="AVAILABLE",[1]DATABASE!AA931&lt;&gt;""),"Available has PSPA Date",""))</f>
        <v/>
      </c>
      <c r="G970" s="82" t="str">
        <f>_xlfn.TEXTJOIN("; ",TRUE,IF(AND([1]DATABASE!T931&lt;0.8*[1]DATABASE!S931,[1]DATABASE!T931&gt;0,[1]DATABASE!S931&gt;0),"Heavy Price Cut &gt;20%",""),IF(AND(OR(TRIM([1]DATABASE!Q931)="AVAILABLE",TRIM([1]DATABASE!Q931)="UPON REQUEST"),OR([1]DATABASE!T931="",[1]DATABASE!T931=0)),"Active Unit no Price",""),IF(AND(OR(TRIM([1]DATABASE!Q931)="AVAILABLE",TRIM([1]DATABASE!Q931)="RESERVED",TRIM([1]DATABASE!Q931)="PRE-RESERVED",TRIM([1]DATABASE!Q931)="PSPA"),[1]DATABASE!AC931=""),"Active no Owner",""),IF(OR([1]DATABASE!F931="",[1]DATABASE!F931&lt;=0),"Missing/Invalid Area",""),IF(AND([1]DATABASE!T931&gt;0,ABS([1]DATABASE!T931-[1]DATABASE!W931-[1]DATABASE!U931-[1]DATABASE!V931)&gt;1),"Price Bridge Mismatch",""))</f>
        <v/>
      </c>
      <c r="H970" t="str">
        <f t="shared" si="17"/>
        <v>PASS</v>
      </c>
      <c r="I970" s="90">
        <f>[1]DATABASE!T931</f>
        <v>730000</v>
      </c>
      <c r="J970" t="str">
        <f>[1]DATABASE!AC931</f>
        <v>Ana Damásio</v>
      </c>
    </row>
    <row r="971" spans="1:10" ht="13.95" customHeight="1" x14ac:dyDescent="0.3">
      <c r="A971">
        <f>ROW([1]DATABASE!A932)</f>
        <v>932</v>
      </c>
      <c r="B971" t="str">
        <f>[1]DATABASE!AJ932</f>
        <v>Vale Pisão Grand Park</v>
      </c>
      <c r="C971" t="str">
        <f>[1]DATABASE!C932</f>
        <v>4C</v>
      </c>
      <c r="D971" t="str">
        <f>TRIM([1]DATABASE!Q932)</f>
        <v>UPON REQUEST</v>
      </c>
      <c r="E971" s="82" t="str">
        <f>_xlfn.TEXTJOIN("; ",TRUE,IF([1]DATABASE!X932&lt;0,"Negative Discount",""),IF(AND([1]DATABASE!Y932&gt;[1]DATABASE!T932,[1]DATABASE!Y932&gt;0,[1]DATABASE!T932&gt;0),"Sell Price &gt; Current",""),IF(AND(TRIM([1]DATABASE!Q932)="DEED",[1]DATABASE!AA932=""),"Deeded no PSPA Date",""),IF([1]DATABASE!E932="","Missing Typology",""),IF([1]DATABASE!AJ932="","Missing Development",""))</f>
        <v/>
      </c>
      <c r="F971" s="82" t="str">
        <f>_xlfn.TEXTJOIN("; ",TRUE,IF(AND(OR(TRIM([1]DATABASE!Q932)="RESERVED",TRIM([1]DATABASE!Q932)="PRE-RESERVED",TRIM([1]DATABASE!Q932)="PSPA"),[1]DATABASE!AA932=""),"Reserved/PSPA no PSPA Date",""),IF(AND(TRIM([1]DATABASE!Q932)="AVAILABLE",[1]DATABASE!AA932&lt;&gt;""),"Available has PSPA Date",""))</f>
        <v/>
      </c>
      <c r="G971" s="82" t="str">
        <f>_xlfn.TEXTJOIN("; ",TRUE,IF(AND([1]DATABASE!T932&lt;0.8*[1]DATABASE!S932,[1]DATABASE!T932&gt;0,[1]DATABASE!S932&gt;0),"Heavy Price Cut &gt;20%",""),IF(AND(OR(TRIM([1]DATABASE!Q932)="AVAILABLE",TRIM([1]DATABASE!Q932)="UPON REQUEST"),OR([1]DATABASE!T932="",[1]DATABASE!T932=0)),"Active Unit no Price",""),IF(AND(OR(TRIM([1]DATABASE!Q932)="AVAILABLE",TRIM([1]DATABASE!Q932)="RESERVED",TRIM([1]DATABASE!Q932)="PRE-RESERVED",TRIM([1]DATABASE!Q932)="PSPA"),[1]DATABASE!AC932=""),"Active no Owner",""),IF(OR([1]DATABASE!F932="",[1]DATABASE!F932&lt;=0),"Missing/Invalid Area",""),IF(AND([1]DATABASE!T932&gt;0,ABS([1]DATABASE!T932-[1]DATABASE!W932-[1]DATABASE!U932-[1]DATABASE!V932)&gt;1),"Price Bridge Mismatch",""))</f>
        <v/>
      </c>
      <c r="H971" t="str">
        <f t="shared" si="17"/>
        <v>PASS</v>
      </c>
      <c r="I971" s="90">
        <f>[1]DATABASE!T932</f>
        <v>1220000</v>
      </c>
      <c r="J971" t="str">
        <f>[1]DATABASE!AC932</f>
        <v>João Gameiro</v>
      </c>
    </row>
    <row r="972" spans="1:10" ht="13.95" customHeight="1" x14ac:dyDescent="0.3">
      <c r="A972">
        <f>ROW([1]DATABASE!A933)</f>
        <v>933</v>
      </c>
      <c r="B972" t="str">
        <f>[1]DATABASE!AJ933</f>
        <v>Vale Pisão Grand Park</v>
      </c>
      <c r="C972" t="str">
        <f>[1]DATABASE!C933</f>
        <v>5C</v>
      </c>
      <c r="D972" t="str">
        <f>TRIM([1]DATABASE!Q933)</f>
        <v>UPON REQUEST</v>
      </c>
      <c r="E972" s="82" t="str">
        <f>_xlfn.TEXTJOIN("; ",TRUE,IF([1]DATABASE!X933&lt;0,"Negative Discount",""),IF(AND([1]DATABASE!Y933&gt;[1]DATABASE!T933,[1]DATABASE!Y933&gt;0,[1]DATABASE!T933&gt;0),"Sell Price &gt; Current",""),IF(AND(TRIM([1]DATABASE!Q933)="DEED",[1]DATABASE!AA933=""),"Deeded no PSPA Date",""),IF([1]DATABASE!E933="","Missing Typology",""),IF([1]DATABASE!AJ933="","Missing Development",""))</f>
        <v/>
      </c>
      <c r="F972" s="82" t="str">
        <f>_xlfn.TEXTJOIN("; ",TRUE,IF(AND(OR(TRIM([1]DATABASE!Q933)="RESERVED",TRIM([1]DATABASE!Q933)="PRE-RESERVED",TRIM([1]DATABASE!Q933)="PSPA"),[1]DATABASE!AA933=""),"Reserved/PSPA no PSPA Date",""),IF(AND(TRIM([1]DATABASE!Q933)="AVAILABLE",[1]DATABASE!AA933&lt;&gt;""),"Available has PSPA Date",""))</f>
        <v/>
      </c>
      <c r="G972" s="82" t="str">
        <f>_xlfn.TEXTJOIN("; ",TRUE,IF(AND([1]DATABASE!T933&lt;0.8*[1]DATABASE!S933,[1]DATABASE!T933&gt;0,[1]DATABASE!S933&gt;0),"Heavy Price Cut &gt;20%",""),IF(AND(OR(TRIM([1]DATABASE!Q933)="AVAILABLE",TRIM([1]DATABASE!Q933)="UPON REQUEST"),OR([1]DATABASE!T933="",[1]DATABASE!T933=0)),"Active Unit no Price",""),IF(AND(OR(TRIM([1]DATABASE!Q933)="AVAILABLE",TRIM([1]DATABASE!Q933)="RESERVED",TRIM([1]DATABASE!Q933)="PRE-RESERVED",TRIM([1]DATABASE!Q933)="PSPA"),[1]DATABASE!AC933=""),"Active no Owner",""),IF(OR([1]DATABASE!F933="",[1]DATABASE!F933&lt;=0),"Missing/Invalid Area",""),IF(AND([1]DATABASE!T933&gt;0,ABS([1]DATABASE!T933-[1]DATABASE!W933-[1]DATABASE!U933-[1]DATABASE!V933)&gt;1),"Price Bridge Mismatch",""))</f>
        <v/>
      </c>
      <c r="H972" t="str">
        <f t="shared" si="17"/>
        <v>PASS</v>
      </c>
      <c r="I972" s="90">
        <f>[1]DATABASE!T933</f>
        <v>1220000</v>
      </c>
      <c r="J972" t="str">
        <f>[1]DATABASE!AC933</f>
        <v>João Gameiro</v>
      </c>
    </row>
    <row r="973" spans="1:10" ht="13.95" customHeight="1" x14ac:dyDescent="0.3">
      <c r="A973">
        <f>ROW([1]DATABASE!A934)</f>
        <v>934</v>
      </c>
      <c r="B973" t="str">
        <f>[1]DATABASE!AJ934</f>
        <v>Monte Rei</v>
      </c>
      <c r="C973" t="str">
        <f>[1]DATABASE!C934</f>
        <v>28</v>
      </c>
      <c r="D973" t="str">
        <f>TRIM([1]DATABASE!Q934)</f>
        <v>AVAILABLE</v>
      </c>
      <c r="E973" s="82" t="str">
        <f>_xlfn.TEXTJOIN("; ",TRUE,IF([1]DATABASE!X934&lt;0,"Negative Discount",""),IF(AND([1]DATABASE!Y934&gt;[1]DATABASE!T934,[1]DATABASE!Y934&gt;0,[1]DATABASE!T934&gt;0),"Sell Price &gt; Current",""),IF(AND(TRIM([1]DATABASE!Q934)="DEED",[1]DATABASE!AA934=""),"Deeded no PSPA Date",""),IF([1]DATABASE!E934="","Missing Typology",""),IF([1]DATABASE!AJ934="","Missing Development",""))</f>
        <v/>
      </c>
      <c r="F973" s="82" t="str">
        <f>_xlfn.TEXTJOIN("; ",TRUE,IF(AND(OR(TRIM([1]DATABASE!Q934)="RESERVED",TRIM([1]DATABASE!Q934)="PRE-RESERVED",TRIM([1]DATABASE!Q934)="PSPA"),[1]DATABASE!AA934=""),"Reserved/PSPA no PSPA Date",""),IF(AND(TRIM([1]DATABASE!Q934)="AVAILABLE",[1]DATABASE!AA934&lt;&gt;""),"Available has PSPA Date",""))</f>
        <v/>
      </c>
      <c r="G973" s="82" t="str">
        <f>_xlfn.TEXTJOIN("; ",TRUE,IF(AND([1]DATABASE!T934&lt;0.8*[1]DATABASE!S934,[1]DATABASE!T934&gt;0,[1]DATABASE!S934&gt;0),"Heavy Price Cut &gt;20%",""),IF(AND(OR(TRIM([1]DATABASE!Q934)="AVAILABLE",TRIM([1]DATABASE!Q934)="UPON REQUEST"),OR([1]DATABASE!T934="",[1]DATABASE!T934=0)),"Active Unit no Price",""),IF(AND(OR(TRIM([1]DATABASE!Q934)="AVAILABLE",TRIM([1]DATABASE!Q934)="RESERVED",TRIM([1]DATABASE!Q934)="PRE-RESERVED",TRIM([1]DATABASE!Q934)="PSPA"),[1]DATABASE!AC934=""),"Active no Owner",""),IF(OR([1]DATABASE!F934="",[1]DATABASE!F934&lt;=0),"Missing/Invalid Area",""),IF(AND([1]DATABASE!T934&gt;0,ABS([1]DATABASE!T934-[1]DATABASE!W934-[1]DATABASE!U934-[1]DATABASE!V934)&gt;1),"Price Bridge Mismatch",""))</f>
        <v/>
      </c>
      <c r="H973" t="str">
        <f t="shared" si="17"/>
        <v>PASS</v>
      </c>
      <c r="I973" s="90">
        <f>[1]DATABASE!T934</f>
        <v>1040000</v>
      </c>
      <c r="J973" t="str">
        <f>[1]DATABASE!AC934</f>
        <v>Sandra Viegas</v>
      </c>
    </row>
    <row r="974" spans="1:10" ht="13.95" customHeight="1" x14ac:dyDescent="0.3">
      <c r="A974">
        <f>ROW([1]DATABASE!A935)</f>
        <v>935</v>
      </c>
      <c r="B974" t="str">
        <f>[1]DATABASE!AJ935</f>
        <v>Monte Rei</v>
      </c>
      <c r="C974" t="str">
        <f>[1]DATABASE!C935</f>
        <v>32</v>
      </c>
      <c r="D974" t="str">
        <f>TRIM([1]DATABASE!Q935)</f>
        <v>AVAILABLE</v>
      </c>
      <c r="E974" s="82" t="str">
        <f>_xlfn.TEXTJOIN("; ",TRUE,IF([1]DATABASE!X935&lt;0,"Negative Discount",""),IF(AND([1]DATABASE!Y935&gt;[1]DATABASE!T935,[1]DATABASE!Y935&gt;0,[1]DATABASE!T935&gt;0),"Sell Price &gt; Current",""),IF(AND(TRIM([1]DATABASE!Q935)="DEED",[1]DATABASE!AA935=""),"Deeded no PSPA Date",""),IF([1]DATABASE!E935="","Missing Typology",""),IF([1]DATABASE!AJ935="","Missing Development",""))</f>
        <v/>
      </c>
      <c r="F974" s="82" t="str">
        <f>_xlfn.TEXTJOIN("; ",TRUE,IF(AND(OR(TRIM([1]DATABASE!Q935)="RESERVED",TRIM([1]DATABASE!Q935)="PRE-RESERVED",TRIM([1]DATABASE!Q935)="PSPA"),[1]DATABASE!AA935=""),"Reserved/PSPA no PSPA Date",""),IF(AND(TRIM([1]DATABASE!Q935)="AVAILABLE",[1]DATABASE!AA935&lt;&gt;""),"Available has PSPA Date",""))</f>
        <v/>
      </c>
      <c r="G974" s="82" t="str">
        <f>_xlfn.TEXTJOIN("; ",TRUE,IF(AND([1]DATABASE!T935&lt;0.8*[1]DATABASE!S935,[1]DATABASE!T935&gt;0,[1]DATABASE!S935&gt;0),"Heavy Price Cut &gt;20%",""),IF(AND(OR(TRIM([1]DATABASE!Q935)="AVAILABLE",TRIM([1]DATABASE!Q935)="UPON REQUEST"),OR([1]DATABASE!T935="",[1]DATABASE!T935=0)),"Active Unit no Price",""),IF(AND(OR(TRIM([1]DATABASE!Q935)="AVAILABLE",TRIM([1]DATABASE!Q935)="RESERVED",TRIM([1]DATABASE!Q935)="PRE-RESERVED",TRIM([1]DATABASE!Q935)="PSPA"),[1]DATABASE!AC935=""),"Active no Owner",""),IF(OR([1]DATABASE!F935="",[1]DATABASE!F935&lt;=0),"Missing/Invalid Area",""),IF(AND([1]DATABASE!T935&gt;0,ABS([1]DATABASE!T935-[1]DATABASE!W935-[1]DATABASE!U935-[1]DATABASE!V935)&gt;1),"Price Bridge Mismatch",""))</f>
        <v>Heavy Price Cut &gt;20%</v>
      </c>
      <c r="H974" t="str">
        <f t="shared" si="17"/>
        <v>REVIEW</v>
      </c>
      <c r="I974" s="90">
        <f>[1]DATABASE!T935</f>
        <v>890000</v>
      </c>
      <c r="J974" t="str">
        <f>[1]DATABASE!AC935</f>
        <v>Sandra Viegas</v>
      </c>
    </row>
    <row r="975" spans="1:10" ht="13.95" customHeight="1" x14ac:dyDescent="0.3">
      <c r="A975">
        <f>ROW([1]DATABASE!A936)</f>
        <v>936</v>
      </c>
      <c r="B975" t="str">
        <f>[1]DATABASE!AJ936</f>
        <v>Monte Rei</v>
      </c>
      <c r="C975" t="str">
        <f>[1]DATABASE!C936</f>
        <v>53</v>
      </c>
      <c r="D975" t="str">
        <f>TRIM([1]DATABASE!Q936)</f>
        <v>AVAILABLE</v>
      </c>
      <c r="E975" s="82" t="str">
        <f>_xlfn.TEXTJOIN("; ",TRUE,IF([1]DATABASE!X936&lt;0,"Negative Discount",""),IF(AND([1]DATABASE!Y936&gt;[1]DATABASE!T936,[1]DATABASE!Y936&gt;0,[1]DATABASE!T936&gt;0),"Sell Price &gt; Current",""),IF(AND(TRIM([1]DATABASE!Q936)="DEED",[1]DATABASE!AA936=""),"Deeded no PSPA Date",""),IF([1]DATABASE!E936="","Missing Typology",""),IF([1]DATABASE!AJ936="","Missing Development",""))</f>
        <v/>
      </c>
      <c r="F975" s="82" t="str">
        <f>_xlfn.TEXTJOIN("; ",TRUE,IF(AND(OR(TRIM([1]DATABASE!Q936)="RESERVED",TRIM([1]DATABASE!Q936)="PRE-RESERVED",TRIM([1]DATABASE!Q936)="PSPA"),[1]DATABASE!AA936=""),"Reserved/PSPA no PSPA Date",""),IF(AND(TRIM([1]DATABASE!Q936)="AVAILABLE",[1]DATABASE!AA936&lt;&gt;""),"Available has PSPA Date",""))</f>
        <v/>
      </c>
      <c r="G975" s="82" t="str">
        <f>_xlfn.TEXTJOIN("; ",TRUE,IF(AND([1]DATABASE!T936&lt;0.8*[1]DATABASE!S936,[1]DATABASE!T936&gt;0,[1]DATABASE!S936&gt;0),"Heavy Price Cut &gt;20%",""),IF(AND(OR(TRIM([1]DATABASE!Q936)="AVAILABLE",TRIM([1]DATABASE!Q936)="UPON REQUEST"),OR([1]DATABASE!T936="",[1]DATABASE!T936=0)),"Active Unit no Price",""),IF(AND(OR(TRIM([1]DATABASE!Q936)="AVAILABLE",TRIM([1]DATABASE!Q936)="RESERVED",TRIM([1]DATABASE!Q936)="PRE-RESERVED",TRIM([1]DATABASE!Q936)="PSPA"),[1]DATABASE!AC936=""),"Active no Owner",""),IF(OR([1]DATABASE!F936="",[1]DATABASE!F936&lt;=0),"Missing/Invalid Area",""),IF(AND([1]DATABASE!T936&gt;0,ABS([1]DATABASE!T936-[1]DATABASE!W936-[1]DATABASE!U936-[1]DATABASE!V936)&gt;1),"Price Bridge Mismatch",""))</f>
        <v/>
      </c>
      <c r="H975" t="str">
        <f t="shared" si="17"/>
        <v>PASS</v>
      </c>
      <c r="I975" s="90">
        <f>[1]DATABASE!T936</f>
        <v>1030000</v>
      </c>
      <c r="J975" t="str">
        <f>[1]DATABASE!AC936</f>
        <v>Sandra Viegas</v>
      </c>
    </row>
    <row r="976" spans="1:10" ht="13.95" customHeight="1" x14ac:dyDescent="0.3">
      <c r="A976">
        <f>ROW([1]DATABASE!A937)</f>
        <v>937</v>
      </c>
      <c r="B976" t="str">
        <f>[1]DATABASE!AJ937</f>
        <v>Monte Rei</v>
      </c>
      <c r="C976" t="str">
        <f>[1]DATABASE!C937</f>
        <v>3</v>
      </c>
      <c r="D976" t="str">
        <f>TRIM([1]DATABASE!Q937)</f>
        <v>AVAILABLE</v>
      </c>
      <c r="E976" s="82" t="str">
        <f>_xlfn.TEXTJOIN("; ",TRUE,IF([1]DATABASE!X937&lt;0,"Negative Discount",""),IF(AND([1]DATABASE!Y937&gt;[1]DATABASE!T937,[1]DATABASE!Y937&gt;0,[1]DATABASE!T937&gt;0),"Sell Price &gt; Current",""),IF(AND(TRIM([1]DATABASE!Q937)="DEED",[1]DATABASE!AA937=""),"Deeded no PSPA Date",""),IF([1]DATABASE!E937="","Missing Typology",""),IF([1]DATABASE!AJ937="","Missing Development",""))</f>
        <v/>
      </c>
      <c r="F976" s="82" t="str">
        <f>_xlfn.TEXTJOIN("; ",TRUE,IF(AND(OR(TRIM([1]DATABASE!Q937)="RESERVED",TRIM([1]DATABASE!Q937)="PRE-RESERVED",TRIM([1]DATABASE!Q937)="PSPA"),[1]DATABASE!AA937=""),"Reserved/PSPA no PSPA Date",""),IF(AND(TRIM([1]DATABASE!Q937)="AVAILABLE",[1]DATABASE!AA937&lt;&gt;""),"Available has PSPA Date",""))</f>
        <v/>
      </c>
      <c r="G976" s="82" t="str">
        <f>_xlfn.TEXTJOIN("; ",TRUE,IF(AND([1]DATABASE!T937&lt;0.8*[1]DATABASE!S937,[1]DATABASE!T937&gt;0,[1]DATABASE!S937&gt;0),"Heavy Price Cut &gt;20%",""),IF(AND(OR(TRIM([1]DATABASE!Q937)="AVAILABLE",TRIM([1]DATABASE!Q937)="UPON REQUEST"),OR([1]DATABASE!T937="",[1]DATABASE!T937=0)),"Active Unit no Price",""),IF(AND(OR(TRIM([1]DATABASE!Q937)="AVAILABLE",TRIM([1]DATABASE!Q937)="RESERVED",TRIM([1]DATABASE!Q937)="PRE-RESERVED",TRIM([1]DATABASE!Q937)="PSPA"),[1]DATABASE!AC937=""),"Active no Owner",""),IF(OR([1]DATABASE!F937="",[1]DATABASE!F937&lt;=0),"Missing/Invalid Area",""),IF(AND([1]DATABASE!T937&gt;0,ABS([1]DATABASE!T937-[1]DATABASE!W937-[1]DATABASE!U937-[1]DATABASE!V937)&gt;1),"Price Bridge Mismatch",""))</f>
        <v/>
      </c>
      <c r="H976" t="str">
        <f t="shared" si="17"/>
        <v>PASS</v>
      </c>
      <c r="I976" s="90">
        <f>[1]DATABASE!T937</f>
        <v>1010000</v>
      </c>
      <c r="J976" t="str">
        <f>[1]DATABASE!AC937</f>
        <v>Sandra Viegas</v>
      </c>
    </row>
    <row r="977" spans="1:10" ht="13.95" customHeight="1" x14ac:dyDescent="0.3">
      <c r="A977">
        <f>ROW([1]DATABASE!A938)</f>
        <v>938</v>
      </c>
      <c r="B977" t="str">
        <f>[1]DATABASE!AJ938</f>
        <v>Natura Village</v>
      </c>
      <c r="C977" t="str">
        <f>[1]DATABASE!C938</f>
        <v>D</v>
      </c>
      <c r="D977" t="str">
        <f>TRIM([1]DATABASE!Q938)</f>
        <v>AVAILABLE</v>
      </c>
      <c r="E977" s="82" t="str">
        <f>_xlfn.TEXTJOIN("; ",TRUE,IF([1]DATABASE!X938&lt;0,"Negative Discount",""),IF(AND([1]DATABASE!Y938&gt;[1]DATABASE!T938,[1]DATABASE!Y938&gt;0,[1]DATABASE!T938&gt;0),"Sell Price &gt; Current",""),IF(AND(TRIM([1]DATABASE!Q938)="DEED",[1]DATABASE!AA938=""),"Deeded no PSPA Date",""),IF([1]DATABASE!E938="","Missing Typology",""),IF([1]DATABASE!AJ938="","Missing Development",""))</f>
        <v/>
      </c>
      <c r="F977" s="82" t="str">
        <f>_xlfn.TEXTJOIN("; ",TRUE,IF(AND(OR(TRIM([1]DATABASE!Q938)="RESERVED",TRIM([1]DATABASE!Q938)="PRE-RESERVED",TRIM([1]DATABASE!Q938)="PSPA"),[1]DATABASE!AA938=""),"Reserved/PSPA no PSPA Date",""),IF(AND(TRIM([1]DATABASE!Q938)="AVAILABLE",[1]DATABASE!AA938&lt;&gt;""),"Available has PSPA Date",""))</f>
        <v/>
      </c>
      <c r="G977" s="82" t="str">
        <f>_xlfn.TEXTJOIN("; ",TRUE,IF(AND([1]DATABASE!T938&lt;0.8*[1]DATABASE!S938,[1]DATABASE!T938&gt;0,[1]DATABASE!S938&gt;0),"Heavy Price Cut &gt;20%",""),IF(AND(OR(TRIM([1]DATABASE!Q938)="AVAILABLE",TRIM([1]DATABASE!Q938)="UPON REQUEST"),OR([1]DATABASE!T938="",[1]DATABASE!T938=0)),"Active Unit no Price",""),IF(AND(OR(TRIM([1]DATABASE!Q938)="AVAILABLE",TRIM([1]DATABASE!Q938)="RESERVED",TRIM([1]DATABASE!Q938)="PRE-RESERVED",TRIM([1]DATABASE!Q938)="PSPA"),[1]DATABASE!AC938=""),"Active no Owner",""),IF(OR([1]DATABASE!F938="",[1]DATABASE!F938&lt;=0),"Missing/Invalid Area",""),IF(AND([1]DATABASE!T938&gt;0,ABS([1]DATABASE!T938-[1]DATABASE!W938-[1]DATABASE!U938-[1]DATABASE!V938)&gt;1),"Price Bridge Mismatch",""))</f>
        <v/>
      </c>
      <c r="H977" t="str">
        <f t="shared" si="17"/>
        <v>PASS</v>
      </c>
      <c r="I977" s="90">
        <f>[1]DATABASE!T938</f>
        <v>1280000</v>
      </c>
      <c r="J977" t="str">
        <f>[1]DATABASE!AC938</f>
        <v>Ana Damásio</v>
      </c>
    </row>
    <row r="978" spans="1:10" ht="13.95" customHeight="1" x14ac:dyDescent="0.3">
      <c r="A978">
        <f>ROW([1]DATABASE!A939)</f>
        <v>939</v>
      </c>
      <c r="B978" t="str">
        <f>[1]DATABASE!AJ939</f>
        <v>Aroeira Collections</v>
      </c>
      <c r="C978" t="str">
        <f>[1]DATABASE!C939</f>
        <v>313B</v>
      </c>
      <c r="D978" t="str">
        <f>TRIM([1]DATABASE!Q939)</f>
        <v>AVAILABLE</v>
      </c>
      <c r="E978" s="82" t="str">
        <f>_xlfn.TEXTJOIN("; ",TRUE,IF([1]DATABASE!X939&lt;0,"Negative Discount",""),IF(AND([1]DATABASE!Y939&gt;[1]DATABASE!T939,[1]DATABASE!Y939&gt;0,[1]DATABASE!T939&gt;0),"Sell Price &gt; Current",""),IF(AND(TRIM([1]DATABASE!Q939)="DEED",[1]DATABASE!AA939=""),"Deeded no PSPA Date",""),IF([1]DATABASE!E939="","Missing Typology",""),IF([1]DATABASE!AJ939="","Missing Development",""))</f>
        <v/>
      </c>
      <c r="F978" s="82" t="str">
        <f>_xlfn.TEXTJOIN("; ",TRUE,IF(AND(OR(TRIM([1]DATABASE!Q939)="RESERVED",TRIM([1]DATABASE!Q939)="PRE-RESERVED",TRIM([1]DATABASE!Q939)="PSPA"),[1]DATABASE!AA939=""),"Reserved/PSPA no PSPA Date",""),IF(AND(TRIM([1]DATABASE!Q939)="AVAILABLE",[1]DATABASE!AA939&lt;&gt;""),"Available has PSPA Date",""))</f>
        <v/>
      </c>
      <c r="G978" s="82" t="str">
        <f>_xlfn.TEXTJOIN("; ",TRUE,IF(AND([1]DATABASE!T939&lt;0.8*[1]DATABASE!S939,[1]DATABASE!T939&gt;0,[1]DATABASE!S939&gt;0),"Heavy Price Cut &gt;20%",""),IF(AND(OR(TRIM([1]DATABASE!Q939)="AVAILABLE",TRIM([1]DATABASE!Q939)="UPON REQUEST"),OR([1]DATABASE!T939="",[1]DATABASE!T939=0)),"Active Unit no Price",""),IF(AND(OR(TRIM([1]DATABASE!Q939)="AVAILABLE",TRIM([1]DATABASE!Q939)="RESERVED",TRIM([1]DATABASE!Q939)="PRE-RESERVED",TRIM([1]DATABASE!Q939)="PSPA"),[1]DATABASE!AC939=""),"Active no Owner",""),IF(OR([1]DATABASE!F939="",[1]DATABASE!F939&lt;=0),"Missing/Invalid Area",""),IF(AND([1]DATABASE!T939&gt;0,ABS([1]DATABASE!T939-[1]DATABASE!W939-[1]DATABASE!U939-[1]DATABASE!V939)&gt;1),"Price Bridge Mismatch",""))</f>
        <v/>
      </c>
      <c r="H978" t="str">
        <f t="shared" si="17"/>
        <v>PASS</v>
      </c>
      <c r="I978" s="90">
        <f>[1]DATABASE!T939</f>
        <v>675000</v>
      </c>
      <c r="J978" t="str">
        <f>[1]DATABASE!AC939</f>
        <v>João Gameiro</v>
      </c>
    </row>
    <row r="979" spans="1:10" ht="13.95" customHeight="1" x14ac:dyDescent="0.3">
      <c r="A979">
        <f>ROW([1]DATABASE!A940)</f>
        <v>940</v>
      </c>
      <c r="B979" t="str">
        <f>[1]DATABASE!AJ940</f>
        <v>Monte Rei</v>
      </c>
      <c r="C979" t="str">
        <f>[1]DATABASE!C940</f>
        <v>A</v>
      </c>
      <c r="D979" t="str">
        <f>TRIM([1]DATABASE!Q940)</f>
        <v>AVAILABLE</v>
      </c>
      <c r="E979" s="82" t="str">
        <f>_xlfn.TEXTJOIN("; ",TRUE,IF([1]DATABASE!X940&lt;0,"Negative Discount",""),IF(AND([1]DATABASE!Y940&gt;[1]DATABASE!T940,[1]DATABASE!Y940&gt;0,[1]DATABASE!T940&gt;0),"Sell Price &gt; Current",""),IF(AND(TRIM([1]DATABASE!Q940)="DEED",[1]DATABASE!AA940=""),"Deeded no PSPA Date",""),IF([1]DATABASE!E940="","Missing Typology",""),IF([1]DATABASE!AJ940="","Missing Development",""))</f>
        <v/>
      </c>
      <c r="F979" s="82" t="str">
        <f>_xlfn.TEXTJOIN("; ",TRUE,IF(AND(OR(TRIM([1]DATABASE!Q940)="RESERVED",TRIM([1]DATABASE!Q940)="PRE-RESERVED",TRIM([1]DATABASE!Q940)="PSPA"),[1]DATABASE!AA940=""),"Reserved/PSPA no PSPA Date",""),IF(AND(TRIM([1]DATABASE!Q940)="AVAILABLE",[1]DATABASE!AA940&lt;&gt;""),"Available has PSPA Date",""))</f>
        <v/>
      </c>
      <c r="G979" s="82" t="str">
        <f>_xlfn.TEXTJOIN("; ",TRUE,IF(AND([1]DATABASE!T940&lt;0.8*[1]DATABASE!S940,[1]DATABASE!T940&gt;0,[1]DATABASE!S940&gt;0),"Heavy Price Cut &gt;20%",""),IF(AND(OR(TRIM([1]DATABASE!Q940)="AVAILABLE",TRIM([1]DATABASE!Q940)="UPON REQUEST"),OR([1]DATABASE!T940="",[1]DATABASE!T940=0)),"Active Unit no Price",""),IF(AND(OR(TRIM([1]DATABASE!Q940)="AVAILABLE",TRIM([1]DATABASE!Q940)="RESERVED",TRIM([1]DATABASE!Q940)="PRE-RESERVED",TRIM([1]DATABASE!Q940)="PSPA"),[1]DATABASE!AC940=""),"Active no Owner",""),IF(OR([1]DATABASE!F940="",[1]DATABASE!F940&lt;=0),"Missing/Invalid Area",""),IF(AND([1]DATABASE!T940&gt;0,ABS([1]DATABASE!T940-[1]DATABASE!W940-[1]DATABASE!U940-[1]DATABASE!V940)&gt;1),"Price Bridge Mismatch",""))</f>
        <v/>
      </c>
      <c r="H979" t="str">
        <f t="shared" si="17"/>
        <v>PASS</v>
      </c>
      <c r="I979" s="90">
        <f>[1]DATABASE!T940</f>
        <v>1220000</v>
      </c>
      <c r="J979" t="str">
        <f>[1]DATABASE!AC940</f>
        <v>Sandra Viegas</v>
      </c>
    </row>
    <row r="980" spans="1:10" ht="13.95" customHeight="1" x14ac:dyDescent="0.3">
      <c r="A980">
        <f>ROW([1]DATABASE!A941)</f>
        <v>941</v>
      </c>
      <c r="B980" t="str">
        <f>[1]DATABASE!AJ941</f>
        <v>Palmares</v>
      </c>
      <c r="C980" t="str">
        <f>[1]DATABASE!C941</f>
        <v>99</v>
      </c>
      <c r="D980" t="str">
        <f>TRIM([1]DATABASE!Q941)</f>
        <v>AVAILABLE</v>
      </c>
      <c r="E980" s="82" t="str">
        <f>_xlfn.TEXTJOIN("; ",TRUE,IF([1]DATABASE!X941&lt;0,"Negative Discount",""),IF(AND([1]DATABASE!Y941&gt;[1]DATABASE!T941,[1]DATABASE!Y941&gt;0,[1]DATABASE!T941&gt;0),"Sell Price &gt; Current",""),IF(AND(TRIM([1]DATABASE!Q941)="DEED",[1]DATABASE!AA941=""),"Deeded no PSPA Date",""),IF([1]DATABASE!E941="","Missing Typology",""),IF([1]DATABASE!AJ941="","Missing Development",""))</f>
        <v/>
      </c>
      <c r="F980" s="82" t="str">
        <f>_xlfn.TEXTJOIN("; ",TRUE,IF(AND(OR(TRIM([1]DATABASE!Q941)="RESERVED",TRIM([1]DATABASE!Q941)="PRE-RESERVED",TRIM([1]DATABASE!Q941)="PSPA"),[1]DATABASE!AA941=""),"Reserved/PSPA no PSPA Date",""),IF(AND(TRIM([1]DATABASE!Q941)="AVAILABLE",[1]DATABASE!AA941&lt;&gt;""),"Available has PSPA Date",""))</f>
        <v/>
      </c>
      <c r="G980" s="82" t="str">
        <f>_xlfn.TEXTJOIN("; ",TRUE,IF(AND([1]DATABASE!T941&lt;0.8*[1]DATABASE!S941,[1]DATABASE!T941&gt;0,[1]DATABASE!S941&gt;0),"Heavy Price Cut &gt;20%",""),IF(AND(OR(TRIM([1]DATABASE!Q941)="AVAILABLE",TRIM([1]DATABASE!Q941)="UPON REQUEST"),OR([1]DATABASE!T941="",[1]DATABASE!T941=0)),"Active Unit no Price",""),IF(AND(OR(TRIM([1]DATABASE!Q941)="AVAILABLE",TRIM([1]DATABASE!Q941)="RESERVED",TRIM([1]DATABASE!Q941)="PRE-RESERVED",TRIM([1]DATABASE!Q941)="PSPA"),[1]DATABASE!AC941=""),"Active no Owner",""),IF(OR([1]DATABASE!F941="",[1]DATABASE!F941&lt;=0),"Missing/Invalid Area",""),IF(AND([1]DATABASE!T941&gt;0,ABS([1]DATABASE!T941-[1]DATABASE!W941-[1]DATABASE!U941-[1]DATABASE!V941)&gt;1),"Price Bridge Mismatch",""))</f>
        <v/>
      </c>
      <c r="H980" t="str">
        <f t="shared" si="17"/>
        <v>PASS</v>
      </c>
      <c r="I980" s="90">
        <f>[1]DATABASE!T941</f>
        <v>1300000</v>
      </c>
      <c r="J980" t="str">
        <f>[1]DATABASE!AC941</f>
        <v>Sandra Viegas</v>
      </c>
    </row>
    <row r="981" spans="1:10" ht="13.95" customHeight="1" x14ac:dyDescent="0.3">
      <c r="A981">
        <f>ROW([1]DATABASE!A942)</f>
        <v>942</v>
      </c>
      <c r="B981" t="str">
        <f>[1]DATABASE!AJ942</f>
        <v>Springs - At the Els</v>
      </c>
      <c r="C981" t="str">
        <f>[1]DATABASE!C942</f>
        <v>D</v>
      </c>
      <c r="D981" t="str">
        <f>TRIM([1]DATABASE!Q942)</f>
        <v>AVAILABLE</v>
      </c>
      <c r="E981" s="82" t="str">
        <f>_xlfn.TEXTJOIN("; ",TRUE,IF([1]DATABASE!X942&lt;0,"Negative Discount",""),IF(AND([1]DATABASE!Y942&gt;[1]DATABASE!T942,[1]DATABASE!Y942&gt;0,[1]DATABASE!T942&gt;0),"Sell Price &gt; Current",""),IF(AND(TRIM([1]DATABASE!Q942)="DEED",[1]DATABASE!AA942=""),"Deeded no PSPA Date",""),IF([1]DATABASE!E942="","Missing Typology",""),IF([1]DATABASE!AJ942="","Missing Development",""))</f>
        <v/>
      </c>
      <c r="F981" s="82" t="str">
        <f>_xlfn.TEXTJOIN("; ",TRUE,IF(AND(OR(TRIM([1]DATABASE!Q942)="RESERVED",TRIM([1]DATABASE!Q942)="PRE-RESERVED",TRIM([1]DATABASE!Q942)="PSPA"),[1]DATABASE!AA942=""),"Reserved/PSPA no PSPA Date",""),IF(AND(TRIM([1]DATABASE!Q942)="AVAILABLE",[1]DATABASE!AA942&lt;&gt;""),"Available has PSPA Date",""))</f>
        <v/>
      </c>
      <c r="G981" s="82" t="str">
        <f>_xlfn.TEXTJOIN("; ",TRUE,IF(AND([1]DATABASE!T942&lt;0.8*[1]DATABASE!S942,[1]DATABASE!T942&gt;0,[1]DATABASE!S942&gt;0),"Heavy Price Cut &gt;20%",""),IF(AND(OR(TRIM([1]DATABASE!Q942)="AVAILABLE",TRIM([1]DATABASE!Q942)="UPON REQUEST"),OR([1]DATABASE!T942="",[1]DATABASE!T942=0)),"Active Unit no Price",""),IF(AND(OR(TRIM([1]DATABASE!Q942)="AVAILABLE",TRIM([1]DATABASE!Q942)="RESERVED",TRIM([1]DATABASE!Q942)="PRE-RESERVED",TRIM([1]DATABASE!Q942)="PSPA"),[1]DATABASE!AC942=""),"Active no Owner",""),IF(OR([1]DATABASE!F942="",[1]DATABASE!F942&lt;=0),"Missing/Invalid Area",""),IF(AND([1]DATABASE!T942&gt;0,ABS([1]DATABASE!T942-[1]DATABASE!W942-[1]DATABASE!U942-[1]DATABASE!V942)&gt;1),"Price Bridge Mismatch",""))</f>
        <v/>
      </c>
      <c r="H981" t="str">
        <f t="shared" si="17"/>
        <v>PASS</v>
      </c>
      <c r="I981" s="90">
        <f>[1]DATABASE!T942</f>
        <v>1880000</v>
      </c>
      <c r="J981" t="str">
        <f>[1]DATABASE!AC942</f>
        <v>Ana Damásio</v>
      </c>
    </row>
    <row r="982" spans="1:10" ht="13.95" customHeight="1" x14ac:dyDescent="0.3">
      <c r="A982">
        <f>ROW([1]DATABASE!A943)</f>
        <v>943</v>
      </c>
      <c r="B982" t="str">
        <f>[1]DATABASE!AJ943</f>
        <v>Aroeira Collections</v>
      </c>
      <c r="C982" t="str">
        <f>[1]DATABASE!C943</f>
        <v>314A</v>
      </c>
      <c r="D982" t="str">
        <f>TRIM([1]DATABASE!Q943)</f>
        <v>AVAILABLE</v>
      </c>
      <c r="E982" s="82" t="str">
        <f>_xlfn.TEXTJOIN("; ",TRUE,IF([1]DATABASE!X943&lt;0,"Negative Discount",""),IF(AND([1]DATABASE!Y943&gt;[1]DATABASE!T943,[1]DATABASE!Y943&gt;0,[1]DATABASE!T943&gt;0),"Sell Price &gt; Current",""),IF(AND(TRIM([1]DATABASE!Q943)="DEED",[1]DATABASE!AA943=""),"Deeded no PSPA Date",""),IF([1]DATABASE!E943="","Missing Typology",""),IF([1]DATABASE!AJ943="","Missing Development",""))</f>
        <v/>
      </c>
      <c r="F982" s="82" t="str">
        <f>_xlfn.TEXTJOIN("; ",TRUE,IF(AND(OR(TRIM([1]DATABASE!Q943)="RESERVED",TRIM([1]DATABASE!Q943)="PRE-RESERVED",TRIM([1]DATABASE!Q943)="PSPA"),[1]DATABASE!AA943=""),"Reserved/PSPA no PSPA Date",""),IF(AND(TRIM([1]DATABASE!Q943)="AVAILABLE",[1]DATABASE!AA943&lt;&gt;""),"Available has PSPA Date",""))</f>
        <v/>
      </c>
      <c r="G982" s="82" t="str">
        <f>_xlfn.TEXTJOIN("; ",TRUE,IF(AND([1]DATABASE!T943&lt;0.8*[1]DATABASE!S943,[1]DATABASE!T943&gt;0,[1]DATABASE!S943&gt;0),"Heavy Price Cut &gt;20%",""),IF(AND(OR(TRIM([1]DATABASE!Q943)="AVAILABLE",TRIM([1]DATABASE!Q943)="UPON REQUEST"),OR([1]DATABASE!T943="",[1]DATABASE!T943=0)),"Active Unit no Price",""),IF(AND(OR(TRIM([1]DATABASE!Q943)="AVAILABLE",TRIM([1]DATABASE!Q943)="RESERVED",TRIM([1]DATABASE!Q943)="PRE-RESERVED",TRIM([1]DATABASE!Q943)="PSPA"),[1]DATABASE!AC943=""),"Active no Owner",""),IF(OR([1]DATABASE!F943="",[1]DATABASE!F943&lt;=0),"Missing/Invalid Area",""),IF(AND([1]DATABASE!T943&gt;0,ABS([1]DATABASE!T943-[1]DATABASE!W943-[1]DATABASE!U943-[1]DATABASE!V943)&gt;1),"Price Bridge Mismatch",""))</f>
        <v/>
      </c>
      <c r="H982" t="str">
        <f t="shared" si="17"/>
        <v>PASS</v>
      </c>
      <c r="I982" s="90">
        <f>[1]DATABASE!T943</f>
        <v>500000</v>
      </c>
      <c r="J982" t="str">
        <f>[1]DATABASE!AC943</f>
        <v>João Gameiro</v>
      </c>
    </row>
    <row r="983" spans="1:10" ht="13.95" customHeight="1" x14ac:dyDescent="0.3">
      <c r="A983">
        <f>ROW([1]DATABASE!A944)</f>
        <v>944</v>
      </c>
      <c r="B983" t="str">
        <f>[1]DATABASE!AJ944</f>
        <v>Zestia</v>
      </c>
      <c r="C983" t="str">
        <f>[1]DATABASE!C944</f>
        <v>D</v>
      </c>
      <c r="D983" t="str">
        <f>TRIM([1]DATABASE!Q944)</f>
        <v>AVAILABLE</v>
      </c>
      <c r="E983" s="82" t="str">
        <f>_xlfn.TEXTJOIN("; ",TRUE,IF([1]DATABASE!X944&lt;0,"Negative Discount",""),IF(AND([1]DATABASE!Y944&gt;[1]DATABASE!T944,[1]DATABASE!Y944&gt;0,[1]DATABASE!T944&gt;0),"Sell Price &gt; Current",""),IF(AND(TRIM([1]DATABASE!Q944)="DEED",[1]DATABASE!AA944=""),"Deeded no PSPA Date",""),IF([1]DATABASE!E944="","Missing Typology",""),IF([1]DATABASE!AJ944="","Missing Development",""))</f>
        <v/>
      </c>
      <c r="F983" s="82" t="str">
        <f>_xlfn.TEXTJOIN("; ",TRUE,IF(AND(OR(TRIM([1]DATABASE!Q944)="RESERVED",TRIM([1]DATABASE!Q944)="PRE-RESERVED",TRIM([1]DATABASE!Q944)="PSPA"),[1]DATABASE!AA944=""),"Reserved/PSPA no PSPA Date",""),IF(AND(TRIM([1]DATABASE!Q944)="AVAILABLE",[1]DATABASE!AA944&lt;&gt;""),"Available has PSPA Date",""))</f>
        <v/>
      </c>
      <c r="G983" s="82" t="str">
        <f>_xlfn.TEXTJOIN("; ",TRUE,IF(AND([1]DATABASE!T944&lt;0.8*[1]DATABASE!S944,[1]DATABASE!T944&gt;0,[1]DATABASE!S944&gt;0),"Heavy Price Cut &gt;20%",""),IF(AND(OR(TRIM([1]DATABASE!Q944)="AVAILABLE",TRIM([1]DATABASE!Q944)="UPON REQUEST"),OR([1]DATABASE!T944="",[1]DATABASE!T944=0)),"Active Unit no Price",""),IF(AND(OR(TRIM([1]DATABASE!Q944)="AVAILABLE",TRIM([1]DATABASE!Q944)="RESERVED",TRIM([1]DATABASE!Q944)="PRE-RESERVED",TRIM([1]DATABASE!Q944)="PSPA"),[1]DATABASE!AC944=""),"Active no Owner",""),IF(OR([1]DATABASE!F944="",[1]DATABASE!F944&lt;=0),"Missing/Invalid Area",""),IF(AND([1]DATABASE!T944&gt;0,ABS([1]DATABASE!T944-[1]DATABASE!W944-[1]DATABASE!U944-[1]DATABASE!V944)&gt;1),"Price Bridge Mismatch",""))</f>
        <v/>
      </c>
      <c r="H983" t="str">
        <f t="shared" si="17"/>
        <v>PASS</v>
      </c>
      <c r="I983" s="90">
        <f>[1]DATABASE!T944</f>
        <v>790000</v>
      </c>
      <c r="J983" t="str">
        <f>[1]DATABASE!AC944</f>
        <v>Ana Damásio</v>
      </c>
    </row>
    <row r="984" spans="1:10" ht="13.95" customHeight="1" x14ac:dyDescent="0.3">
      <c r="A984">
        <f>ROW([1]DATABASE!A945)</f>
        <v>945</v>
      </c>
      <c r="B984" t="str">
        <f>[1]DATABASE!AJ945</f>
        <v>Vale Pisão Grand Park</v>
      </c>
      <c r="C984" t="str">
        <f>[1]DATABASE!C945</f>
        <v>3C</v>
      </c>
      <c r="D984" t="str">
        <f>TRIM([1]DATABASE!Q945)</f>
        <v>AVAILABLE</v>
      </c>
      <c r="E984" s="82" t="str">
        <f>_xlfn.TEXTJOIN("; ",TRUE,IF([1]DATABASE!X945&lt;0,"Negative Discount",""),IF(AND([1]DATABASE!Y945&gt;[1]DATABASE!T945,[1]DATABASE!Y945&gt;0,[1]DATABASE!T945&gt;0),"Sell Price &gt; Current",""),IF(AND(TRIM([1]DATABASE!Q945)="DEED",[1]DATABASE!AA945=""),"Deeded no PSPA Date",""),IF([1]DATABASE!E945="","Missing Typology",""),IF([1]DATABASE!AJ945="","Missing Development",""))</f>
        <v/>
      </c>
      <c r="F984" s="82" t="str">
        <f>_xlfn.TEXTJOIN("; ",TRUE,IF(AND(OR(TRIM([1]DATABASE!Q945)="RESERVED",TRIM([1]DATABASE!Q945)="PRE-RESERVED",TRIM([1]DATABASE!Q945)="PSPA"),[1]DATABASE!AA945=""),"Reserved/PSPA no PSPA Date",""),IF(AND(TRIM([1]DATABASE!Q945)="AVAILABLE",[1]DATABASE!AA945&lt;&gt;""),"Available has PSPA Date",""))</f>
        <v/>
      </c>
      <c r="G984" s="82" t="str">
        <f>_xlfn.TEXTJOIN("; ",TRUE,IF(AND([1]DATABASE!T945&lt;0.8*[1]DATABASE!S945,[1]DATABASE!T945&gt;0,[1]DATABASE!S945&gt;0),"Heavy Price Cut &gt;20%",""),IF(AND(OR(TRIM([1]DATABASE!Q945)="AVAILABLE",TRIM([1]DATABASE!Q945)="UPON REQUEST"),OR([1]DATABASE!T945="",[1]DATABASE!T945=0)),"Active Unit no Price",""),IF(AND(OR(TRIM([1]DATABASE!Q945)="AVAILABLE",TRIM([1]DATABASE!Q945)="RESERVED",TRIM([1]DATABASE!Q945)="PRE-RESERVED",TRIM([1]DATABASE!Q945)="PSPA"),[1]DATABASE!AC945=""),"Active no Owner",""),IF(OR([1]DATABASE!F945="",[1]DATABASE!F945&lt;=0),"Missing/Invalid Area",""),IF(AND([1]DATABASE!T945&gt;0,ABS([1]DATABASE!T945-[1]DATABASE!W945-[1]DATABASE!U945-[1]DATABASE!V945)&gt;1),"Price Bridge Mismatch",""))</f>
        <v/>
      </c>
      <c r="H984" t="str">
        <f t="shared" si="17"/>
        <v>PASS</v>
      </c>
      <c r="I984" s="90">
        <f>[1]DATABASE!T945</f>
        <v>1270000</v>
      </c>
      <c r="J984" t="str">
        <f>[1]DATABASE!AC945</f>
        <v>João Gameiro</v>
      </c>
    </row>
    <row r="985" spans="1:10" ht="13.95" customHeight="1" x14ac:dyDescent="0.3">
      <c r="A985">
        <f>ROW([1]DATABASE!A946)</f>
        <v>946</v>
      </c>
      <c r="B985" t="str">
        <f>[1]DATABASE!AJ946</f>
        <v>Nobilus</v>
      </c>
      <c r="C985" t="str">
        <f>[1]DATABASE!C946</f>
        <v>E</v>
      </c>
      <c r="D985" t="str">
        <f>TRIM([1]DATABASE!Q946)</f>
        <v>AVAILABLE</v>
      </c>
      <c r="E985" s="82" t="str">
        <f>_xlfn.TEXTJOIN("; ",TRUE,IF([1]DATABASE!X946&lt;0,"Negative Discount",""),IF(AND([1]DATABASE!Y946&gt;[1]DATABASE!T946,[1]DATABASE!Y946&gt;0,[1]DATABASE!T946&gt;0),"Sell Price &gt; Current",""),IF(AND(TRIM([1]DATABASE!Q946)="DEED",[1]DATABASE!AA946=""),"Deeded no PSPA Date",""),IF([1]DATABASE!E946="","Missing Typology",""),IF([1]DATABASE!AJ946="","Missing Development",""))</f>
        <v/>
      </c>
      <c r="F985" s="82" t="str">
        <f>_xlfn.TEXTJOIN("; ",TRUE,IF(AND(OR(TRIM([1]DATABASE!Q946)="RESERVED",TRIM([1]DATABASE!Q946)="PRE-RESERVED",TRIM([1]DATABASE!Q946)="PSPA"),[1]DATABASE!AA946=""),"Reserved/PSPA no PSPA Date",""),IF(AND(TRIM([1]DATABASE!Q946)="AVAILABLE",[1]DATABASE!AA946&lt;&gt;""),"Available has PSPA Date",""))</f>
        <v/>
      </c>
      <c r="G985" s="82" t="str">
        <f>_xlfn.TEXTJOIN("; ",TRUE,IF(AND([1]DATABASE!T946&lt;0.8*[1]DATABASE!S946,[1]DATABASE!T946&gt;0,[1]DATABASE!S946&gt;0),"Heavy Price Cut &gt;20%",""),IF(AND(OR(TRIM([1]DATABASE!Q946)="AVAILABLE",TRIM([1]DATABASE!Q946)="UPON REQUEST"),OR([1]DATABASE!T946="",[1]DATABASE!T946=0)),"Active Unit no Price",""),IF(AND(OR(TRIM([1]DATABASE!Q946)="AVAILABLE",TRIM([1]DATABASE!Q946)="RESERVED",TRIM([1]DATABASE!Q946)="PRE-RESERVED",TRIM([1]DATABASE!Q946)="PSPA"),[1]DATABASE!AC946=""),"Active no Owner",""),IF(OR([1]DATABASE!F946="",[1]DATABASE!F946&lt;=0),"Missing/Invalid Area",""),IF(AND([1]DATABASE!T946&gt;0,ABS([1]DATABASE!T946-[1]DATABASE!W946-[1]DATABASE!U946-[1]DATABASE!V946)&gt;1),"Price Bridge Mismatch",""))</f>
        <v/>
      </c>
      <c r="H985" t="str">
        <f t="shared" si="17"/>
        <v>PASS</v>
      </c>
      <c r="I985" s="90">
        <f>[1]DATABASE!T946</f>
        <v>760000</v>
      </c>
      <c r="J985" t="str">
        <f>[1]DATABASE!AC946</f>
        <v>Ana Damásio</v>
      </c>
    </row>
    <row r="986" spans="1:10" ht="13.95" customHeight="1" x14ac:dyDescent="0.3">
      <c r="A986">
        <f>ROW([1]DATABASE!A947)</f>
        <v>947</v>
      </c>
      <c r="B986" t="str">
        <f>[1]DATABASE!AJ947</f>
        <v>Aroeira Collections</v>
      </c>
      <c r="C986" t="str">
        <f>[1]DATABASE!C947</f>
        <v>315B</v>
      </c>
      <c r="D986" t="str">
        <f>TRIM([1]DATABASE!Q947)</f>
        <v>AVAILABLE</v>
      </c>
      <c r="E986" s="82" t="str">
        <f>_xlfn.TEXTJOIN("; ",TRUE,IF([1]DATABASE!X947&lt;0,"Negative Discount",""),IF(AND([1]DATABASE!Y947&gt;[1]DATABASE!T947,[1]DATABASE!Y947&gt;0,[1]DATABASE!T947&gt;0),"Sell Price &gt; Current",""),IF(AND(TRIM([1]DATABASE!Q947)="DEED",[1]DATABASE!AA947=""),"Deeded no PSPA Date",""),IF([1]DATABASE!E947="","Missing Typology",""),IF([1]DATABASE!AJ947="","Missing Development",""))</f>
        <v/>
      </c>
      <c r="F986" s="82" t="str">
        <f>_xlfn.TEXTJOIN("; ",TRUE,IF(AND(OR(TRIM([1]DATABASE!Q947)="RESERVED",TRIM([1]DATABASE!Q947)="PRE-RESERVED",TRIM([1]DATABASE!Q947)="PSPA"),[1]DATABASE!AA947=""),"Reserved/PSPA no PSPA Date",""),IF(AND(TRIM([1]DATABASE!Q947)="AVAILABLE",[1]DATABASE!AA947&lt;&gt;""),"Available has PSPA Date",""))</f>
        <v>Available has PSPA Date</v>
      </c>
      <c r="G986" s="82" t="str">
        <f>_xlfn.TEXTJOIN("; ",TRUE,IF(AND([1]DATABASE!T947&lt;0.8*[1]DATABASE!S947,[1]DATABASE!T947&gt;0,[1]DATABASE!S947&gt;0),"Heavy Price Cut &gt;20%",""),IF(AND(OR(TRIM([1]DATABASE!Q947)="AVAILABLE",TRIM([1]DATABASE!Q947)="UPON REQUEST"),OR([1]DATABASE!T947="",[1]DATABASE!T947=0)),"Active Unit no Price",""),IF(AND(OR(TRIM([1]DATABASE!Q947)="AVAILABLE",TRIM([1]DATABASE!Q947)="RESERVED",TRIM([1]DATABASE!Q947)="PRE-RESERVED",TRIM([1]DATABASE!Q947)="PSPA"),[1]DATABASE!AC947=""),"Active no Owner",""),IF(OR([1]DATABASE!F947="",[1]DATABASE!F947&lt;=0),"Missing/Invalid Area",""),IF(AND([1]DATABASE!T947&gt;0,ABS([1]DATABASE!T947-[1]DATABASE!W947-[1]DATABASE!U947-[1]DATABASE!V947)&gt;1),"Price Bridge Mismatch",""))</f>
        <v/>
      </c>
      <c r="H986" t="str">
        <f t="shared" si="17"/>
        <v>REVIEW</v>
      </c>
      <c r="I986" s="90">
        <f>[1]DATABASE!T947</f>
        <v>695000</v>
      </c>
      <c r="J986" t="str">
        <f>[1]DATABASE!AC947</f>
        <v>João Gameiro</v>
      </c>
    </row>
    <row r="987" spans="1:10" ht="13.95" customHeight="1" x14ac:dyDescent="0.3">
      <c r="A987">
        <f>ROW([1]DATABASE!A948)</f>
        <v>948</v>
      </c>
      <c r="B987" t="str">
        <f>[1]DATABASE!AJ948</f>
        <v>Monte Rei</v>
      </c>
      <c r="C987" t="str">
        <f>[1]DATABASE!C948</f>
        <v>C</v>
      </c>
      <c r="D987" t="str">
        <f>TRIM([1]DATABASE!Q948)</f>
        <v>AVAILABLE</v>
      </c>
      <c r="E987" s="82" t="str">
        <f>_xlfn.TEXTJOIN("; ",TRUE,IF([1]DATABASE!X948&lt;0,"Negative Discount",""),IF(AND([1]DATABASE!Y948&gt;[1]DATABASE!T948,[1]DATABASE!Y948&gt;0,[1]DATABASE!T948&gt;0),"Sell Price &gt; Current",""),IF(AND(TRIM([1]DATABASE!Q948)="DEED",[1]DATABASE!AA948=""),"Deeded no PSPA Date",""),IF([1]DATABASE!E948="","Missing Typology",""),IF([1]DATABASE!AJ948="","Missing Development",""))</f>
        <v/>
      </c>
      <c r="F987" s="82" t="str">
        <f>_xlfn.TEXTJOIN("; ",TRUE,IF(AND(OR(TRIM([1]DATABASE!Q948)="RESERVED",TRIM([1]DATABASE!Q948)="PRE-RESERVED",TRIM([1]DATABASE!Q948)="PSPA"),[1]DATABASE!AA948=""),"Reserved/PSPA no PSPA Date",""),IF(AND(TRIM([1]DATABASE!Q948)="AVAILABLE",[1]DATABASE!AA948&lt;&gt;""),"Available has PSPA Date",""))</f>
        <v/>
      </c>
      <c r="G987" s="82" t="str">
        <f>_xlfn.TEXTJOIN("; ",TRUE,IF(AND([1]DATABASE!T948&lt;0.8*[1]DATABASE!S948,[1]DATABASE!T948&gt;0,[1]DATABASE!S948&gt;0),"Heavy Price Cut &gt;20%",""),IF(AND(OR(TRIM([1]DATABASE!Q948)="AVAILABLE",TRIM([1]DATABASE!Q948)="UPON REQUEST"),OR([1]DATABASE!T948="",[1]DATABASE!T948=0)),"Active Unit no Price",""),IF(AND(OR(TRIM([1]DATABASE!Q948)="AVAILABLE",TRIM([1]DATABASE!Q948)="RESERVED",TRIM([1]DATABASE!Q948)="PRE-RESERVED",TRIM([1]DATABASE!Q948)="PSPA"),[1]DATABASE!AC948=""),"Active no Owner",""),IF(OR([1]DATABASE!F948="",[1]DATABASE!F948&lt;=0),"Missing/Invalid Area",""),IF(AND([1]DATABASE!T948&gt;0,ABS([1]DATABASE!T948-[1]DATABASE!W948-[1]DATABASE!U948-[1]DATABASE!V948)&gt;1),"Price Bridge Mismatch",""))</f>
        <v/>
      </c>
      <c r="H987" t="str">
        <f t="shared" si="17"/>
        <v>PASS</v>
      </c>
      <c r="I987" s="90">
        <f>[1]DATABASE!T948</f>
        <v>1310000</v>
      </c>
      <c r="J987" t="str">
        <f>[1]DATABASE!AC948</f>
        <v>Sandra Viegas</v>
      </c>
    </row>
    <row r="988" spans="1:10" ht="13.95" customHeight="1" x14ac:dyDescent="0.3">
      <c r="A988">
        <f>ROW([1]DATABASE!A949)</f>
        <v>949</v>
      </c>
      <c r="B988" t="str">
        <f>[1]DATABASE!AJ949</f>
        <v>Monte Rei</v>
      </c>
      <c r="C988" t="str">
        <f>[1]DATABASE!C949</f>
        <v>K</v>
      </c>
      <c r="D988" t="str">
        <f>TRIM([1]DATABASE!Q949)</f>
        <v>AVAILABLE</v>
      </c>
      <c r="E988" s="82" t="str">
        <f>_xlfn.TEXTJOIN("; ",TRUE,IF([1]DATABASE!X949&lt;0,"Negative Discount",""),IF(AND([1]DATABASE!Y949&gt;[1]DATABASE!T949,[1]DATABASE!Y949&gt;0,[1]DATABASE!T949&gt;0),"Sell Price &gt; Current",""),IF(AND(TRIM([1]DATABASE!Q949)="DEED",[1]DATABASE!AA949=""),"Deeded no PSPA Date",""),IF([1]DATABASE!E949="","Missing Typology",""),IF([1]DATABASE!AJ949="","Missing Development",""))</f>
        <v/>
      </c>
      <c r="F988" s="82" t="str">
        <f>_xlfn.TEXTJOIN("; ",TRUE,IF(AND(OR(TRIM([1]DATABASE!Q949)="RESERVED",TRIM([1]DATABASE!Q949)="PRE-RESERVED",TRIM([1]DATABASE!Q949)="PSPA"),[1]DATABASE!AA949=""),"Reserved/PSPA no PSPA Date",""),IF(AND(TRIM([1]DATABASE!Q949)="AVAILABLE",[1]DATABASE!AA949&lt;&gt;""),"Available has PSPA Date",""))</f>
        <v/>
      </c>
      <c r="G988" s="82" t="str">
        <f>_xlfn.TEXTJOIN("; ",TRUE,IF(AND([1]DATABASE!T949&lt;0.8*[1]DATABASE!S949,[1]DATABASE!T949&gt;0,[1]DATABASE!S949&gt;0),"Heavy Price Cut &gt;20%",""),IF(AND(OR(TRIM([1]DATABASE!Q949)="AVAILABLE",TRIM([1]DATABASE!Q949)="UPON REQUEST"),OR([1]DATABASE!T949="",[1]DATABASE!T949=0)),"Active Unit no Price",""),IF(AND(OR(TRIM([1]DATABASE!Q949)="AVAILABLE",TRIM([1]DATABASE!Q949)="RESERVED",TRIM([1]DATABASE!Q949)="PRE-RESERVED",TRIM([1]DATABASE!Q949)="PSPA"),[1]DATABASE!AC949=""),"Active no Owner",""),IF(OR([1]DATABASE!F949="",[1]DATABASE!F949&lt;=0),"Missing/Invalid Area",""),IF(AND([1]DATABASE!T949&gt;0,ABS([1]DATABASE!T949-[1]DATABASE!W949-[1]DATABASE!U949-[1]DATABASE!V949)&gt;1),"Price Bridge Mismatch",""))</f>
        <v/>
      </c>
      <c r="H988" t="str">
        <f t="shared" si="17"/>
        <v>PASS</v>
      </c>
      <c r="I988" s="90">
        <f>[1]DATABASE!T949</f>
        <v>1380000</v>
      </c>
      <c r="J988" t="str">
        <f>[1]DATABASE!AC949</f>
        <v>Sandra Viegas</v>
      </c>
    </row>
    <row r="989" spans="1:10" ht="13.95" customHeight="1" x14ac:dyDescent="0.3">
      <c r="A989">
        <f>ROW([1]DATABASE!A950)</f>
        <v>950</v>
      </c>
      <c r="B989" t="str">
        <f>[1]DATABASE!AJ950</f>
        <v>Monte Rei</v>
      </c>
      <c r="C989" t="str">
        <f>[1]DATABASE!C950</f>
        <v>M</v>
      </c>
      <c r="D989" t="str">
        <f>TRIM([1]DATABASE!Q950)</f>
        <v>AVAILABLE</v>
      </c>
      <c r="E989" s="82" t="str">
        <f>_xlfn.TEXTJOIN("; ",TRUE,IF([1]DATABASE!X950&lt;0,"Negative Discount",""),IF(AND([1]DATABASE!Y950&gt;[1]DATABASE!T950,[1]DATABASE!Y950&gt;0,[1]DATABASE!T950&gt;0),"Sell Price &gt; Current",""),IF(AND(TRIM([1]DATABASE!Q950)="DEED",[1]DATABASE!AA950=""),"Deeded no PSPA Date",""),IF([1]DATABASE!E950="","Missing Typology",""),IF([1]DATABASE!AJ950="","Missing Development",""))</f>
        <v/>
      </c>
      <c r="F989" s="82" t="str">
        <f>_xlfn.TEXTJOIN("; ",TRUE,IF(AND(OR(TRIM([1]DATABASE!Q950)="RESERVED",TRIM([1]DATABASE!Q950)="PRE-RESERVED",TRIM([1]DATABASE!Q950)="PSPA"),[1]DATABASE!AA950=""),"Reserved/PSPA no PSPA Date",""),IF(AND(TRIM([1]DATABASE!Q950)="AVAILABLE",[1]DATABASE!AA950&lt;&gt;""),"Available has PSPA Date",""))</f>
        <v/>
      </c>
      <c r="G989" s="82" t="str">
        <f>_xlfn.TEXTJOIN("; ",TRUE,IF(AND([1]DATABASE!T950&lt;0.8*[1]DATABASE!S950,[1]DATABASE!T950&gt;0,[1]DATABASE!S950&gt;0),"Heavy Price Cut &gt;20%",""),IF(AND(OR(TRIM([1]DATABASE!Q950)="AVAILABLE",TRIM([1]DATABASE!Q950)="UPON REQUEST"),OR([1]DATABASE!T950="",[1]DATABASE!T950=0)),"Active Unit no Price",""),IF(AND(OR(TRIM([1]DATABASE!Q950)="AVAILABLE",TRIM([1]DATABASE!Q950)="RESERVED",TRIM([1]DATABASE!Q950)="PRE-RESERVED",TRIM([1]DATABASE!Q950)="PSPA"),[1]DATABASE!AC950=""),"Active no Owner",""),IF(OR([1]DATABASE!F950="",[1]DATABASE!F950&lt;=0),"Missing/Invalid Area",""),IF(AND([1]DATABASE!T950&gt;0,ABS([1]DATABASE!T950-[1]DATABASE!W950-[1]DATABASE!U950-[1]DATABASE!V950)&gt;1),"Price Bridge Mismatch",""))</f>
        <v/>
      </c>
      <c r="H989" t="str">
        <f t="shared" si="17"/>
        <v>PASS</v>
      </c>
      <c r="I989" s="90">
        <f>[1]DATABASE!T950</f>
        <v>1170000</v>
      </c>
      <c r="J989" t="str">
        <f>[1]DATABASE!AC950</f>
        <v>Sandra Viegas</v>
      </c>
    </row>
    <row r="990" spans="1:10" ht="13.95" customHeight="1" x14ac:dyDescent="0.3">
      <c r="A990">
        <f>ROW([1]DATABASE!A951)</f>
        <v>951</v>
      </c>
      <c r="B990" t="str">
        <f>[1]DATABASE!AJ951</f>
        <v>Monte Rei</v>
      </c>
      <c r="C990" t="str">
        <f>[1]DATABASE!C951</f>
        <v>P</v>
      </c>
      <c r="D990" t="str">
        <f>TRIM([1]DATABASE!Q951)</f>
        <v>AVAILABLE</v>
      </c>
      <c r="E990" s="82" t="str">
        <f>_xlfn.TEXTJOIN("; ",TRUE,IF([1]DATABASE!X951&lt;0,"Negative Discount",""),IF(AND([1]DATABASE!Y951&gt;[1]DATABASE!T951,[1]DATABASE!Y951&gt;0,[1]DATABASE!T951&gt;0),"Sell Price &gt; Current",""),IF(AND(TRIM([1]DATABASE!Q951)="DEED",[1]DATABASE!AA951=""),"Deeded no PSPA Date",""),IF([1]DATABASE!E951="","Missing Typology",""),IF([1]DATABASE!AJ951="","Missing Development",""))</f>
        <v/>
      </c>
      <c r="F990" s="82" t="str">
        <f>_xlfn.TEXTJOIN("; ",TRUE,IF(AND(OR(TRIM([1]DATABASE!Q951)="RESERVED",TRIM([1]DATABASE!Q951)="PRE-RESERVED",TRIM([1]DATABASE!Q951)="PSPA"),[1]DATABASE!AA951=""),"Reserved/PSPA no PSPA Date",""),IF(AND(TRIM([1]DATABASE!Q951)="AVAILABLE",[1]DATABASE!AA951&lt;&gt;""),"Available has PSPA Date",""))</f>
        <v/>
      </c>
      <c r="G990" s="82" t="str">
        <f>_xlfn.TEXTJOIN("; ",TRUE,IF(AND([1]DATABASE!T951&lt;0.8*[1]DATABASE!S951,[1]DATABASE!T951&gt;0,[1]DATABASE!S951&gt;0),"Heavy Price Cut &gt;20%",""),IF(AND(OR(TRIM([1]DATABASE!Q951)="AVAILABLE",TRIM([1]DATABASE!Q951)="UPON REQUEST"),OR([1]DATABASE!T951="",[1]DATABASE!T951=0)),"Active Unit no Price",""),IF(AND(OR(TRIM([1]DATABASE!Q951)="AVAILABLE",TRIM([1]DATABASE!Q951)="RESERVED",TRIM([1]DATABASE!Q951)="PRE-RESERVED",TRIM([1]DATABASE!Q951)="PSPA"),[1]DATABASE!AC951=""),"Active no Owner",""),IF(OR([1]DATABASE!F951="",[1]DATABASE!F951&lt;=0),"Missing/Invalid Area",""),IF(AND([1]DATABASE!T951&gt;0,ABS([1]DATABASE!T951-[1]DATABASE!W951-[1]DATABASE!U951-[1]DATABASE!V951)&gt;1),"Price Bridge Mismatch",""))</f>
        <v/>
      </c>
      <c r="H990" t="str">
        <f t="shared" si="17"/>
        <v>PASS</v>
      </c>
      <c r="I990" s="90">
        <f>[1]DATABASE!T951</f>
        <v>1240000</v>
      </c>
      <c r="J990" t="str">
        <f>[1]DATABASE!AC951</f>
        <v>Sandra Viegas</v>
      </c>
    </row>
    <row r="991" spans="1:10" ht="13.95" customHeight="1" x14ac:dyDescent="0.3">
      <c r="A991">
        <f>ROW([1]DATABASE!A952)</f>
        <v>952</v>
      </c>
      <c r="B991" t="str">
        <f>[1]DATABASE!AJ952</f>
        <v>Monte Rei</v>
      </c>
      <c r="C991" t="str">
        <f>[1]DATABASE!C952</f>
        <v>S</v>
      </c>
      <c r="D991" t="str">
        <f>TRIM([1]DATABASE!Q952)</f>
        <v>AVAILABLE</v>
      </c>
      <c r="E991" s="82" t="str">
        <f>_xlfn.TEXTJOIN("; ",TRUE,IF([1]DATABASE!X952&lt;0,"Negative Discount",""),IF(AND([1]DATABASE!Y952&gt;[1]DATABASE!T952,[1]DATABASE!Y952&gt;0,[1]DATABASE!T952&gt;0),"Sell Price &gt; Current",""),IF(AND(TRIM([1]DATABASE!Q952)="DEED",[1]DATABASE!AA952=""),"Deeded no PSPA Date",""),IF([1]DATABASE!E952="","Missing Typology",""),IF([1]DATABASE!AJ952="","Missing Development",""))</f>
        <v/>
      </c>
      <c r="F991" s="82" t="str">
        <f>_xlfn.TEXTJOIN("; ",TRUE,IF(AND(OR(TRIM([1]DATABASE!Q952)="RESERVED",TRIM([1]DATABASE!Q952)="PRE-RESERVED",TRIM([1]DATABASE!Q952)="PSPA"),[1]DATABASE!AA952=""),"Reserved/PSPA no PSPA Date",""),IF(AND(TRIM([1]DATABASE!Q952)="AVAILABLE",[1]DATABASE!AA952&lt;&gt;""),"Available has PSPA Date",""))</f>
        <v/>
      </c>
      <c r="G991" s="82" t="str">
        <f>_xlfn.TEXTJOIN("; ",TRUE,IF(AND([1]DATABASE!T952&lt;0.8*[1]DATABASE!S952,[1]DATABASE!T952&gt;0,[1]DATABASE!S952&gt;0),"Heavy Price Cut &gt;20%",""),IF(AND(OR(TRIM([1]DATABASE!Q952)="AVAILABLE",TRIM([1]DATABASE!Q952)="UPON REQUEST"),OR([1]DATABASE!T952="",[1]DATABASE!T952=0)),"Active Unit no Price",""),IF(AND(OR(TRIM([1]DATABASE!Q952)="AVAILABLE",TRIM([1]DATABASE!Q952)="RESERVED",TRIM([1]DATABASE!Q952)="PRE-RESERVED",TRIM([1]DATABASE!Q952)="PSPA"),[1]DATABASE!AC952=""),"Active no Owner",""),IF(OR([1]DATABASE!F952="",[1]DATABASE!F952&lt;=0),"Missing/Invalid Area",""),IF(AND([1]DATABASE!T952&gt;0,ABS([1]DATABASE!T952-[1]DATABASE!W952-[1]DATABASE!U952-[1]DATABASE!V952)&gt;1),"Price Bridge Mismatch",""))</f>
        <v/>
      </c>
      <c r="H991" t="str">
        <f t="shared" si="17"/>
        <v>PASS</v>
      </c>
      <c r="I991" s="90">
        <f>[1]DATABASE!T952</f>
        <v>1240000</v>
      </c>
      <c r="J991" t="str">
        <f>[1]DATABASE!AC952</f>
        <v>Sandra Viegas</v>
      </c>
    </row>
    <row r="992" spans="1:10" ht="13.95" customHeight="1" x14ac:dyDescent="0.3">
      <c r="A992">
        <f>ROW([1]DATABASE!A953)</f>
        <v>953</v>
      </c>
      <c r="B992" t="str">
        <f>[1]DATABASE!AJ953</f>
        <v>Monte Rei</v>
      </c>
      <c r="C992" t="str">
        <f>[1]DATABASE!C953</f>
        <v>AC</v>
      </c>
      <c r="D992" t="str">
        <f>TRIM([1]DATABASE!Q953)</f>
        <v>AVAILABLE</v>
      </c>
      <c r="E992" s="82" t="str">
        <f>_xlfn.TEXTJOIN("; ",TRUE,IF([1]DATABASE!X953&lt;0,"Negative Discount",""),IF(AND([1]DATABASE!Y953&gt;[1]DATABASE!T953,[1]DATABASE!Y953&gt;0,[1]DATABASE!T953&gt;0),"Sell Price &gt; Current",""),IF(AND(TRIM([1]DATABASE!Q953)="DEED",[1]DATABASE!AA953=""),"Deeded no PSPA Date",""),IF([1]DATABASE!E953="","Missing Typology",""),IF([1]DATABASE!AJ953="","Missing Development",""))</f>
        <v/>
      </c>
      <c r="F992" s="82" t="str">
        <f>_xlfn.TEXTJOIN("; ",TRUE,IF(AND(OR(TRIM([1]DATABASE!Q953)="RESERVED",TRIM([1]DATABASE!Q953)="PRE-RESERVED",TRIM([1]DATABASE!Q953)="PSPA"),[1]DATABASE!AA953=""),"Reserved/PSPA no PSPA Date",""),IF(AND(TRIM([1]DATABASE!Q953)="AVAILABLE",[1]DATABASE!AA953&lt;&gt;""),"Available has PSPA Date",""))</f>
        <v/>
      </c>
      <c r="G992" s="82" t="str">
        <f>_xlfn.TEXTJOIN("; ",TRUE,IF(AND([1]DATABASE!T953&lt;0.8*[1]DATABASE!S953,[1]DATABASE!T953&gt;0,[1]DATABASE!S953&gt;0),"Heavy Price Cut &gt;20%",""),IF(AND(OR(TRIM([1]DATABASE!Q953)="AVAILABLE",TRIM([1]DATABASE!Q953)="UPON REQUEST"),OR([1]DATABASE!T953="",[1]DATABASE!T953=0)),"Active Unit no Price",""),IF(AND(OR(TRIM([1]DATABASE!Q953)="AVAILABLE",TRIM([1]DATABASE!Q953)="RESERVED",TRIM([1]DATABASE!Q953)="PRE-RESERVED",TRIM([1]DATABASE!Q953)="PSPA"),[1]DATABASE!AC953=""),"Active no Owner",""),IF(OR([1]DATABASE!F953="",[1]DATABASE!F953&lt;=0),"Missing/Invalid Area",""),IF(AND([1]DATABASE!T953&gt;0,ABS([1]DATABASE!T953-[1]DATABASE!W953-[1]DATABASE!U953-[1]DATABASE!V953)&gt;1),"Price Bridge Mismatch",""))</f>
        <v/>
      </c>
      <c r="H992" t="str">
        <f t="shared" si="17"/>
        <v>PASS</v>
      </c>
      <c r="I992" s="90">
        <f>[1]DATABASE!T953</f>
        <v>1360000</v>
      </c>
      <c r="J992" t="str">
        <f>[1]DATABASE!AC953</f>
        <v>Sandra Viegas</v>
      </c>
    </row>
    <row r="993" spans="1:10" ht="13.95" customHeight="1" x14ac:dyDescent="0.3">
      <c r="A993">
        <f>ROW([1]DATABASE!A954)</f>
        <v>954</v>
      </c>
      <c r="B993" t="str">
        <f>[1]DATABASE!AJ954</f>
        <v>Monte Rei</v>
      </c>
      <c r="C993" t="str">
        <f>[1]DATABASE!C954</f>
        <v>AF</v>
      </c>
      <c r="D993" t="str">
        <f>TRIM([1]DATABASE!Q954)</f>
        <v>AVAILABLE</v>
      </c>
      <c r="E993" s="82" t="str">
        <f>_xlfn.TEXTJOIN("; ",TRUE,IF([1]DATABASE!X954&lt;0,"Negative Discount",""),IF(AND([1]DATABASE!Y954&gt;[1]DATABASE!T954,[1]DATABASE!Y954&gt;0,[1]DATABASE!T954&gt;0),"Sell Price &gt; Current",""),IF(AND(TRIM([1]DATABASE!Q954)="DEED",[1]DATABASE!AA954=""),"Deeded no PSPA Date",""),IF([1]DATABASE!E954="","Missing Typology",""),IF([1]DATABASE!AJ954="","Missing Development",""))</f>
        <v/>
      </c>
      <c r="F993" s="82" t="str">
        <f>_xlfn.TEXTJOIN("; ",TRUE,IF(AND(OR(TRIM([1]DATABASE!Q954)="RESERVED",TRIM([1]DATABASE!Q954)="PRE-RESERVED",TRIM([1]DATABASE!Q954)="PSPA"),[1]DATABASE!AA954=""),"Reserved/PSPA no PSPA Date",""),IF(AND(TRIM([1]DATABASE!Q954)="AVAILABLE",[1]DATABASE!AA954&lt;&gt;""),"Available has PSPA Date",""))</f>
        <v/>
      </c>
      <c r="G993" s="82" t="str">
        <f>_xlfn.TEXTJOIN("; ",TRUE,IF(AND([1]DATABASE!T954&lt;0.8*[1]DATABASE!S954,[1]DATABASE!T954&gt;0,[1]DATABASE!S954&gt;0),"Heavy Price Cut &gt;20%",""),IF(AND(OR(TRIM([1]DATABASE!Q954)="AVAILABLE",TRIM([1]DATABASE!Q954)="UPON REQUEST"),OR([1]DATABASE!T954="",[1]DATABASE!T954=0)),"Active Unit no Price",""),IF(AND(OR(TRIM([1]DATABASE!Q954)="AVAILABLE",TRIM([1]DATABASE!Q954)="RESERVED",TRIM([1]DATABASE!Q954)="PRE-RESERVED",TRIM([1]DATABASE!Q954)="PSPA"),[1]DATABASE!AC954=""),"Active no Owner",""),IF(OR([1]DATABASE!F954="",[1]DATABASE!F954&lt;=0),"Missing/Invalid Area",""),IF(AND([1]DATABASE!T954&gt;0,ABS([1]DATABASE!T954-[1]DATABASE!W954-[1]DATABASE!U954-[1]DATABASE!V954)&gt;1),"Price Bridge Mismatch",""))</f>
        <v/>
      </c>
      <c r="H993" t="str">
        <f t="shared" si="17"/>
        <v>PASS</v>
      </c>
      <c r="I993" s="90">
        <f>[1]DATABASE!T954</f>
        <v>1310000</v>
      </c>
      <c r="J993" t="str">
        <f>[1]DATABASE!AC954</f>
        <v>Sandra Viegas</v>
      </c>
    </row>
    <row r="994" spans="1:10" ht="13.95" customHeight="1" x14ac:dyDescent="0.3">
      <c r="A994">
        <f>ROW([1]DATABASE!A955)</f>
        <v>955</v>
      </c>
      <c r="B994" t="str">
        <f>[1]DATABASE!AJ955</f>
        <v>Springs - At the Els</v>
      </c>
      <c r="C994" t="str">
        <f>[1]DATABASE!C955</f>
        <v>E</v>
      </c>
      <c r="D994" t="str">
        <f>TRIM([1]DATABASE!Q955)</f>
        <v>AVAILABLE</v>
      </c>
      <c r="E994" s="82" t="str">
        <f>_xlfn.TEXTJOIN("; ",TRUE,IF([1]DATABASE!X955&lt;0,"Negative Discount",""),IF(AND([1]DATABASE!Y955&gt;[1]DATABASE!T955,[1]DATABASE!Y955&gt;0,[1]DATABASE!T955&gt;0),"Sell Price &gt; Current",""),IF(AND(TRIM([1]DATABASE!Q955)="DEED",[1]DATABASE!AA955=""),"Deeded no PSPA Date",""),IF([1]DATABASE!E955="","Missing Typology",""),IF([1]DATABASE!AJ955="","Missing Development",""))</f>
        <v/>
      </c>
      <c r="F994" s="82" t="str">
        <f>_xlfn.TEXTJOIN("; ",TRUE,IF(AND(OR(TRIM([1]DATABASE!Q955)="RESERVED",TRIM([1]DATABASE!Q955)="PRE-RESERVED",TRIM([1]DATABASE!Q955)="PSPA"),[1]DATABASE!AA955=""),"Reserved/PSPA no PSPA Date",""),IF(AND(TRIM([1]DATABASE!Q955)="AVAILABLE",[1]DATABASE!AA955&lt;&gt;""),"Available has PSPA Date",""))</f>
        <v/>
      </c>
      <c r="G994" s="82" t="str">
        <f>_xlfn.TEXTJOIN("; ",TRUE,IF(AND([1]DATABASE!T955&lt;0.8*[1]DATABASE!S955,[1]DATABASE!T955&gt;0,[1]DATABASE!S955&gt;0),"Heavy Price Cut &gt;20%",""),IF(AND(OR(TRIM([1]DATABASE!Q955)="AVAILABLE",TRIM([1]DATABASE!Q955)="UPON REQUEST"),OR([1]DATABASE!T955="",[1]DATABASE!T955=0)),"Active Unit no Price",""),IF(AND(OR(TRIM([1]DATABASE!Q955)="AVAILABLE",TRIM([1]DATABASE!Q955)="RESERVED",TRIM([1]DATABASE!Q955)="PRE-RESERVED",TRIM([1]DATABASE!Q955)="PSPA"),[1]DATABASE!AC955=""),"Active no Owner",""),IF(OR([1]DATABASE!F955="",[1]DATABASE!F955&lt;=0),"Missing/Invalid Area",""),IF(AND([1]DATABASE!T955&gt;0,ABS([1]DATABASE!T955-[1]DATABASE!W955-[1]DATABASE!U955-[1]DATABASE!V955)&gt;1),"Price Bridge Mismatch",""))</f>
        <v/>
      </c>
      <c r="H994" t="str">
        <f t="shared" si="17"/>
        <v>PASS</v>
      </c>
      <c r="I994" s="90">
        <f>[1]DATABASE!T955</f>
        <v>1780000</v>
      </c>
      <c r="J994" t="str">
        <f>[1]DATABASE!AC955</f>
        <v>Ana Damásio</v>
      </c>
    </row>
    <row r="995" spans="1:10" ht="13.95" customHeight="1" x14ac:dyDescent="0.3">
      <c r="A995">
        <f>ROW([1]DATABASE!A956)</f>
        <v>956</v>
      </c>
      <c r="B995" t="str">
        <f>[1]DATABASE!AJ956</f>
        <v>Vale Pisão Grand Park</v>
      </c>
      <c r="C995" t="str">
        <f>[1]DATABASE!C956</f>
        <v>1D</v>
      </c>
      <c r="D995" t="str">
        <f>TRIM([1]DATABASE!Q956)</f>
        <v>UPON REQUEST</v>
      </c>
      <c r="E995" s="82" t="str">
        <f>_xlfn.TEXTJOIN("; ",TRUE,IF([1]DATABASE!X956&lt;0,"Negative Discount",""),IF(AND([1]DATABASE!Y956&gt;[1]DATABASE!T956,[1]DATABASE!Y956&gt;0,[1]DATABASE!T956&gt;0),"Sell Price &gt; Current",""),IF(AND(TRIM([1]DATABASE!Q956)="DEED",[1]DATABASE!AA956=""),"Deeded no PSPA Date",""),IF([1]DATABASE!E956="","Missing Typology",""),IF([1]DATABASE!AJ956="","Missing Development",""))</f>
        <v/>
      </c>
      <c r="F995" s="82" t="str">
        <f>_xlfn.TEXTJOIN("; ",TRUE,IF(AND(OR(TRIM([1]DATABASE!Q956)="RESERVED",TRIM([1]DATABASE!Q956)="PRE-RESERVED",TRIM([1]DATABASE!Q956)="PSPA"),[1]DATABASE!AA956=""),"Reserved/PSPA no PSPA Date",""),IF(AND(TRIM([1]DATABASE!Q956)="AVAILABLE",[1]DATABASE!AA956&lt;&gt;""),"Available has PSPA Date",""))</f>
        <v/>
      </c>
      <c r="G995" s="82" t="str">
        <f>_xlfn.TEXTJOIN("; ",TRUE,IF(AND([1]DATABASE!T956&lt;0.8*[1]DATABASE!S956,[1]DATABASE!T956&gt;0,[1]DATABASE!S956&gt;0),"Heavy Price Cut &gt;20%",""),IF(AND(OR(TRIM([1]DATABASE!Q956)="AVAILABLE",TRIM([1]DATABASE!Q956)="UPON REQUEST"),OR([1]DATABASE!T956="",[1]DATABASE!T956=0)),"Active Unit no Price",""),IF(AND(OR(TRIM([1]DATABASE!Q956)="AVAILABLE",TRIM([1]DATABASE!Q956)="RESERVED",TRIM([1]DATABASE!Q956)="PRE-RESERVED",TRIM([1]DATABASE!Q956)="PSPA"),[1]DATABASE!AC956=""),"Active no Owner",""),IF(OR([1]DATABASE!F956="",[1]DATABASE!F956&lt;=0),"Missing/Invalid Area",""),IF(AND([1]DATABASE!T956&gt;0,ABS([1]DATABASE!T956-[1]DATABASE!W956-[1]DATABASE!U956-[1]DATABASE!V956)&gt;1),"Price Bridge Mismatch",""))</f>
        <v/>
      </c>
      <c r="H995" t="str">
        <f t="shared" si="17"/>
        <v>PASS</v>
      </c>
      <c r="I995" s="90">
        <f>[1]DATABASE!T956</f>
        <v>1330000</v>
      </c>
      <c r="J995" t="str">
        <f>[1]DATABASE!AC956</f>
        <v>João Gameiro</v>
      </c>
    </row>
    <row r="996" spans="1:10" ht="13.95" customHeight="1" x14ac:dyDescent="0.3">
      <c r="A996">
        <f>ROW([1]DATABASE!A957)</f>
        <v>957</v>
      </c>
      <c r="B996" t="str">
        <f>[1]DATABASE!AJ957</f>
        <v>Zestia</v>
      </c>
      <c r="C996" t="str">
        <f>[1]DATABASE!C957</f>
        <v>E</v>
      </c>
      <c r="D996" t="str">
        <f>TRIM([1]DATABASE!Q957)</f>
        <v>AVAILABLE</v>
      </c>
      <c r="E996" s="82" t="str">
        <f>_xlfn.TEXTJOIN("; ",TRUE,IF([1]DATABASE!X957&lt;0,"Negative Discount",""),IF(AND([1]DATABASE!Y957&gt;[1]DATABASE!T957,[1]DATABASE!Y957&gt;0,[1]DATABASE!T957&gt;0),"Sell Price &gt; Current",""),IF(AND(TRIM([1]DATABASE!Q957)="DEED",[1]DATABASE!AA957=""),"Deeded no PSPA Date",""),IF([1]DATABASE!E957="","Missing Typology",""),IF([1]DATABASE!AJ957="","Missing Development",""))</f>
        <v/>
      </c>
      <c r="F996" s="82" t="str">
        <f>_xlfn.TEXTJOIN("; ",TRUE,IF(AND(OR(TRIM([1]DATABASE!Q957)="RESERVED",TRIM([1]DATABASE!Q957)="PRE-RESERVED",TRIM([1]DATABASE!Q957)="PSPA"),[1]DATABASE!AA957=""),"Reserved/PSPA no PSPA Date",""),IF(AND(TRIM([1]DATABASE!Q957)="AVAILABLE",[1]DATABASE!AA957&lt;&gt;""),"Available has PSPA Date",""))</f>
        <v/>
      </c>
      <c r="G996" s="82" t="str">
        <f>_xlfn.TEXTJOIN("; ",TRUE,IF(AND([1]DATABASE!T957&lt;0.8*[1]DATABASE!S957,[1]DATABASE!T957&gt;0,[1]DATABASE!S957&gt;0),"Heavy Price Cut &gt;20%",""),IF(AND(OR(TRIM([1]DATABASE!Q957)="AVAILABLE",TRIM([1]DATABASE!Q957)="UPON REQUEST"),OR([1]DATABASE!T957="",[1]DATABASE!T957=0)),"Active Unit no Price",""),IF(AND(OR(TRIM([1]DATABASE!Q957)="AVAILABLE",TRIM([1]DATABASE!Q957)="RESERVED",TRIM([1]DATABASE!Q957)="PRE-RESERVED",TRIM([1]DATABASE!Q957)="PSPA"),[1]DATABASE!AC957=""),"Active no Owner",""),IF(OR([1]DATABASE!F957="",[1]DATABASE!F957&lt;=0),"Missing/Invalid Area",""),IF(AND([1]DATABASE!T957&gt;0,ABS([1]DATABASE!T957-[1]DATABASE!W957-[1]DATABASE!U957-[1]DATABASE!V957)&gt;1),"Price Bridge Mismatch",""))</f>
        <v/>
      </c>
      <c r="H996" t="str">
        <f t="shared" si="17"/>
        <v>PASS</v>
      </c>
      <c r="I996" s="90">
        <f>[1]DATABASE!T957</f>
        <v>680000</v>
      </c>
      <c r="J996" t="str">
        <f>[1]DATABASE!AC957</f>
        <v>Ana Damásio</v>
      </c>
    </row>
    <row r="997" spans="1:10" ht="13.95" customHeight="1" x14ac:dyDescent="0.3">
      <c r="A997">
        <f>ROW([1]DATABASE!A958)</f>
        <v>958</v>
      </c>
      <c r="B997" t="str">
        <f>[1]DATABASE!AJ958</f>
        <v>Monte Rei</v>
      </c>
      <c r="C997" t="str">
        <f>[1]DATABASE!C958</f>
        <v>B</v>
      </c>
      <c r="D997" t="str">
        <f>TRIM([1]DATABASE!Q958)</f>
        <v>AVAILABLE</v>
      </c>
      <c r="E997" s="82" t="str">
        <f>_xlfn.TEXTJOIN("; ",TRUE,IF([1]DATABASE!X958&lt;0,"Negative Discount",""),IF(AND([1]DATABASE!Y958&gt;[1]DATABASE!T958,[1]DATABASE!Y958&gt;0,[1]DATABASE!T958&gt;0),"Sell Price &gt; Current",""),IF(AND(TRIM([1]DATABASE!Q958)="DEED",[1]DATABASE!AA958=""),"Deeded no PSPA Date",""),IF([1]DATABASE!E958="","Missing Typology",""),IF([1]DATABASE!AJ958="","Missing Development",""))</f>
        <v/>
      </c>
      <c r="F997" s="82" t="str">
        <f>_xlfn.TEXTJOIN("; ",TRUE,IF(AND(OR(TRIM([1]DATABASE!Q958)="RESERVED",TRIM([1]DATABASE!Q958)="PRE-RESERVED",TRIM([1]DATABASE!Q958)="PSPA"),[1]DATABASE!AA958=""),"Reserved/PSPA no PSPA Date",""),IF(AND(TRIM([1]DATABASE!Q958)="AVAILABLE",[1]DATABASE!AA958&lt;&gt;""),"Available has PSPA Date",""))</f>
        <v/>
      </c>
      <c r="G997" s="82" t="str">
        <f>_xlfn.TEXTJOIN("; ",TRUE,IF(AND([1]DATABASE!T958&lt;0.8*[1]DATABASE!S958,[1]DATABASE!T958&gt;0,[1]DATABASE!S958&gt;0),"Heavy Price Cut &gt;20%",""),IF(AND(OR(TRIM([1]DATABASE!Q958)="AVAILABLE",TRIM([1]DATABASE!Q958)="UPON REQUEST"),OR([1]DATABASE!T958="",[1]DATABASE!T958=0)),"Active Unit no Price",""),IF(AND(OR(TRIM([1]DATABASE!Q958)="AVAILABLE",TRIM([1]DATABASE!Q958)="RESERVED",TRIM([1]DATABASE!Q958)="PRE-RESERVED",TRIM([1]DATABASE!Q958)="PSPA"),[1]DATABASE!AC958=""),"Active no Owner",""),IF(OR([1]DATABASE!F958="",[1]DATABASE!F958&lt;=0),"Missing/Invalid Area",""),IF(AND([1]DATABASE!T958&gt;0,ABS([1]DATABASE!T958-[1]DATABASE!W958-[1]DATABASE!U958-[1]DATABASE!V958)&gt;1),"Price Bridge Mismatch",""))</f>
        <v/>
      </c>
      <c r="H997" t="str">
        <f t="shared" si="17"/>
        <v>PASS</v>
      </c>
      <c r="I997" s="90">
        <f>[1]DATABASE!T958</f>
        <v>1300000</v>
      </c>
      <c r="J997" t="str">
        <f>[1]DATABASE!AC958</f>
        <v>Sandra Viegas</v>
      </c>
    </row>
    <row r="998" spans="1:10" ht="13.95" customHeight="1" x14ac:dyDescent="0.3">
      <c r="A998">
        <f>ROW([1]DATABASE!A959)</f>
        <v>959</v>
      </c>
      <c r="B998" t="str">
        <f>[1]DATABASE!AJ959</f>
        <v>Monte Rei</v>
      </c>
      <c r="C998" t="str">
        <f>[1]DATABASE!C959</f>
        <v>D</v>
      </c>
      <c r="D998" t="str">
        <f>TRIM([1]DATABASE!Q959)</f>
        <v>AVAILABLE</v>
      </c>
      <c r="E998" s="82" t="str">
        <f>_xlfn.TEXTJOIN("; ",TRUE,IF([1]DATABASE!X959&lt;0,"Negative Discount",""),IF(AND([1]DATABASE!Y959&gt;[1]DATABASE!T959,[1]DATABASE!Y959&gt;0,[1]DATABASE!T959&gt;0),"Sell Price &gt; Current",""),IF(AND(TRIM([1]DATABASE!Q959)="DEED",[1]DATABASE!AA959=""),"Deeded no PSPA Date",""),IF([1]DATABASE!E959="","Missing Typology",""),IF([1]DATABASE!AJ959="","Missing Development",""))</f>
        <v/>
      </c>
      <c r="F998" s="82" t="str">
        <f>_xlfn.TEXTJOIN("; ",TRUE,IF(AND(OR(TRIM([1]DATABASE!Q959)="RESERVED",TRIM([1]DATABASE!Q959)="PRE-RESERVED",TRIM([1]DATABASE!Q959)="PSPA"),[1]DATABASE!AA959=""),"Reserved/PSPA no PSPA Date",""),IF(AND(TRIM([1]DATABASE!Q959)="AVAILABLE",[1]DATABASE!AA959&lt;&gt;""),"Available has PSPA Date",""))</f>
        <v/>
      </c>
      <c r="G998" s="82" t="str">
        <f>_xlfn.TEXTJOIN("; ",TRUE,IF(AND([1]DATABASE!T959&lt;0.8*[1]DATABASE!S959,[1]DATABASE!T959&gt;0,[1]DATABASE!S959&gt;0),"Heavy Price Cut &gt;20%",""),IF(AND(OR(TRIM([1]DATABASE!Q959)="AVAILABLE",TRIM([1]DATABASE!Q959)="UPON REQUEST"),OR([1]DATABASE!T959="",[1]DATABASE!T959=0)),"Active Unit no Price",""),IF(AND(OR(TRIM([1]DATABASE!Q959)="AVAILABLE",TRIM([1]DATABASE!Q959)="RESERVED",TRIM([1]DATABASE!Q959)="PRE-RESERVED",TRIM([1]DATABASE!Q959)="PSPA"),[1]DATABASE!AC959=""),"Active no Owner",""),IF(OR([1]DATABASE!F959="",[1]DATABASE!F959&lt;=0),"Missing/Invalid Area",""),IF(AND([1]DATABASE!T959&gt;0,ABS([1]DATABASE!T959-[1]DATABASE!W959-[1]DATABASE!U959-[1]DATABASE!V959)&gt;1),"Price Bridge Mismatch",""))</f>
        <v/>
      </c>
      <c r="H998" t="str">
        <f t="shared" si="17"/>
        <v>PASS</v>
      </c>
      <c r="I998" s="90">
        <f>[1]DATABASE!T959</f>
        <v>1270000</v>
      </c>
      <c r="J998" t="str">
        <f>[1]DATABASE!AC959</f>
        <v>Sandra Viegas</v>
      </c>
    </row>
    <row r="999" spans="1:10" ht="13.95" customHeight="1" x14ac:dyDescent="0.3">
      <c r="A999">
        <f>ROW([1]DATABASE!A960)</f>
        <v>960</v>
      </c>
      <c r="B999" t="str">
        <f>[1]DATABASE!AJ960</f>
        <v>Monte Rei</v>
      </c>
      <c r="C999" t="str">
        <f>[1]DATABASE!C960</f>
        <v>E</v>
      </c>
      <c r="D999" t="str">
        <f>TRIM([1]DATABASE!Q960)</f>
        <v>AVAILABLE</v>
      </c>
      <c r="E999" s="82" t="str">
        <f>_xlfn.TEXTJOIN("; ",TRUE,IF([1]DATABASE!X960&lt;0,"Negative Discount",""),IF(AND([1]DATABASE!Y960&gt;[1]DATABASE!T960,[1]DATABASE!Y960&gt;0,[1]DATABASE!T960&gt;0),"Sell Price &gt; Current",""),IF(AND(TRIM([1]DATABASE!Q960)="DEED",[1]DATABASE!AA960=""),"Deeded no PSPA Date",""),IF([1]DATABASE!E960="","Missing Typology",""),IF([1]DATABASE!AJ960="","Missing Development",""))</f>
        <v/>
      </c>
      <c r="F999" s="82" t="str">
        <f>_xlfn.TEXTJOIN("; ",TRUE,IF(AND(OR(TRIM([1]DATABASE!Q960)="RESERVED",TRIM([1]DATABASE!Q960)="PRE-RESERVED",TRIM([1]DATABASE!Q960)="PSPA"),[1]DATABASE!AA960=""),"Reserved/PSPA no PSPA Date",""),IF(AND(TRIM([1]DATABASE!Q960)="AVAILABLE",[1]DATABASE!AA960&lt;&gt;""),"Available has PSPA Date",""))</f>
        <v/>
      </c>
      <c r="G999" s="82" t="str">
        <f>_xlfn.TEXTJOIN("; ",TRUE,IF(AND([1]DATABASE!T960&lt;0.8*[1]DATABASE!S960,[1]DATABASE!T960&gt;0,[1]DATABASE!S960&gt;0),"Heavy Price Cut &gt;20%",""),IF(AND(OR(TRIM([1]DATABASE!Q960)="AVAILABLE",TRIM([1]DATABASE!Q960)="UPON REQUEST"),OR([1]DATABASE!T960="",[1]DATABASE!T960=0)),"Active Unit no Price",""),IF(AND(OR(TRIM([1]DATABASE!Q960)="AVAILABLE",TRIM([1]DATABASE!Q960)="RESERVED",TRIM([1]DATABASE!Q960)="PRE-RESERVED",TRIM([1]DATABASE!Q960)="PSPA"),[1]DATABASE!AC960=""),"Active no Owner",""),IF(OR([1]DATABASE!F960="",[1]DATABASE!F960&lt;=0),"Missing/Invalid Area",""),IF(AND([1]DATABASE!T960&gt;0,ABS([1]DATABASE!T960-[1]DATABASE!W960-[1]DATABASE!U960-[1]DATABASE!V960)&gt;1),"Price Bridge Mismatch",""))</f>
        <v/>
      </c>
      <c r="H999" t="str">
        <f t="shared" si="17"/>
        <v>PASS</v>
      </c>
      <c r="I999" s="90">
        <f>[1]DATABASE!T960</f>
        <v>1290000</v>
      </c>
      <c r="J999" t="str">
        <f>[1]DATABASE!AC960</f>
        <v>Sandra Viegas</v>
      </c>
    </row>
    <row r="1000" spans="1:10" ht="13.95" customHeight="1" x14ac:dyDescent="0.3">
      <c r="A1000">
        <f>ROW([1]DATABASE!A961)</f>
        <v>961</v>
      </c>
      <c r="B1000" t="str">
        <f>[1]DATABASE!AJ961</f>
        <v>Monte Rei</v>
      </c>
      <c r="C1000" t="str">
        <f>[1]DATABASE!C961</f>
        <v>F</v>
      </c>
      <c r="D1000" t="str">
        <f>TRIM([1]DATABASE!Q961)</f>
        <v>AVAILABLE</v>
      </c>
      <c r="E1000" s="82" t="str">
        <f>_xlfn.TEXTJOIN("; ",TRUE,IF([1]DATABASE!X961&lt;0,"Negative Discount",""),IF(AND([1]DATABASE!Y961&gt;[1]DATABASE!T961,[1]DATABASE!Y961&gt;0,[1]DATABASE!T961&gt;0),"Sell Price &gt; Current",""),IF(AND(TRIM([1]DATABASE!Q961)="DEED",[1]DATABASE!AA961=""),"Deeded no PSPA Date",""),IF([1]DATABASE!E961="","Missing Typology",""),IF([1]DATABASE!AJ961="","Missing Development",""))</f>
        <v/>
      </c>
      <c r="F1000" s="82" t="str">
        <f>_xlfn.TEXTJOIN("; ",TRUE,IF(AND(OR(TRIM([1]DATABASE!Q961)="RESERVED",TRIM([1]DATABASE!Q961)="PRE-RESERVED",TRIM([1]DATABASE!Q961)="PSPA"),[1]DATABASE!AA961=""),"Reserved/PSPA no PSPA Date",""),IF(AND(TRIM([1]DATABASE!Q961)="AVAILABLE",[1]DATABASE!AA961&lt;&gt;""),"Available has PSPA Date",""))</f>
        <v/>
      </c>
      <c r="G1000" s="82" t="str">
        <f>_xlfn.TEXTJOIN("; ",TRUE,IF(AND([1]DATABASE!T961&lt;0.8*[1]DATABASE!S961,[1]DATABASE!T961&gt;0,[1]DATABASE!S961&gt;0),"Heavy Price Cut &gt;20%",""),IF(AND(OR(TRIM([1]DATABASE!Q961)="AVAILABLE",TRIM([1]DATABASE!Q961)="UPON REQUEST"),OR([1]DATABASE!T961="",[1]DATABASE!T961=0)),"Active Unit no Price",""),IF(AND(OR(TRIM([1]DATABASE!Q961)="AVAILABLE",TRIM([1]DATABASE!Q961)="RESERVED",TRIM([1]DATABASE!Q961)="PRE-RESERVED",TRIM([1]DATABASE!Q961)="PSPA"),[1]DATABASE!AC961=""),"Active no Owner",""),IF(OR([1]DATABASE!F961="",[1]DATABASE!F961&lt;=0),"Missing/Invalid Area",""),IF(AND([1]DATABASE!T961&gt;0,ABS([1]DATABASE!T961-[1]DATABASE!W961-[1]DATABASE!U961-[1]DATABASE!V961)&gt;1),"Price Bridge Mismatch",""))</f>
        <v/>
      </c>
      <c r="H1000" t="str">
        <f t="shared" si="17"/>
        <v>PASS</v>
      </c>
      <c r="I1000" s="90">
        <f>[1]DATABASE!T961</f>
        <v>1340000</v>
      </c>
      <c r="J1000" t="str">
        <f>[1]DATABASE!AC961</f>
        <v>Sandra Viegas</v>
      </c>
    </row>
    <row r="1001" spans="1:10" ht="13.95" customHeight="1" x14ac:dyDescent="0.3">
      <c r="A1001">
        <f>ROW([1]DATABASE!A962)</f>
        <v>962</v>
      </c>
      <c r="B1001" t="str">
        <f>[1]DATABASE!AJ962</f>
        <v>Monte Rei</v>
      </c>
      <c r="C1001" t="str">
        <f>[1]DATABASE!C962</f>
        <v>G</v>
      </c>
      <c r="D1001" t="str">
        <f>TRIM([1]DATABASE!Q962)</f>
        <v>AVAILABLE</v>
      </c>
      <c r="E1001" s="82" t="str">
        <f>_xlfn.TEXTJOIN("; ",TRUE,IF([1]DATABASE!X962&lt;0,"Negative Discount",""),IF(AND([1]DATABASE!Y962&gt;[1]DATABASE!T962,[1]DATABASE!Y962&gt;0,[1]DATABASE!T962&gt;0),"Sell Price &gt; Current",""),IF(AND(TRIM([1]DATABASE!Q962)="DEED",[1]DATABASE!AA962=""),"Deeded no PSPA Date",""),IF([1]DATABASE!E962="","Missing Typology",""),IF([1]DATABASE!AJ962="","Missing Development",""))</f>
        <v/>
      </c>
      <c r="F1001" s="82" t="str">
        <f>_xlfn.TEXTJOIN("; ",TRUE,IF(AND(OR(TRIM([1]DATABASE!Q962)="RESERVED",TRIM([1]DATABASE!Q962)="PRE-RESERVED",TRIM([1]DATABASE!Q962)="PSPA"),[1]DATABASE!AA962=""),"Reserved/PSPA no PSPA Date",""),IF(AND(TRIM([1]DATABASE!Q962)="AVAILABLE",[1]DATABASE!AA962&lt;&gt;""),"Available has PSPA Date",""))</f>
        <v/>
      </c>
      <c r="G1001" s="82" t="str">
        <f>_xlfn.TEXTJOIN("; ",TRUE,IF(AND([1]DATABASE!T962&lt;0.8*[1]DATABASE!S962,[1]DATABASE!T962&gt;0,[1]DATABASE!S962&gt;0),"Heavy Price Cut &gt;20%",""),IF(AND(OR(TRIM([1]DATABASE!Q962)="AVAILABLE",TRIM([1]DATABASE!Q962)="UPON REQUEST"),OR([1]DATABASE!T962="",[1]DATABASE!T962=0)),"Active Unit no Price",""),IF(AND(OR(TRIM([1]DATABASE!Q962)="AVAILABLE",TRIM([1]DATABASE!Q962)="RESERVED",TRIM([1]DATABASE!Q962)="PRE-RESERVED",TRIM([1]DATABASE!Q962)="PSPA"),[1]DATABASE!AC962=""),"Active no Owner",""),IF(OR([1]DATABASE!F962="",[1]DATABASE!F962&lt;=0),"Missing/Invalid Area",""),IF(AND([1]DATABASE!T962&gt;0,ABS([1]DATABASE!T962-[1]DATABASE!W962-[1]DATABASE!U962-[1]DATABASE!V962)&gt;1),"Price Bridge Mismatch",""))</f>
        <v/>
      </c>
      <c r="H1001" t="str">
        <f t="shared" si="17"/>
        <v>PASS</v>
      </c>
      <c r="I1001" s="90">
        <f>[1]DATABASE!T962</f>
        <v>1320000</v>
      </c>
      <c r="J1001" t="str">
        <f>[1]DATABASE!AC962</f>
        <v>Sandra Viegas</v>
      </c>
    </row>
    <row r="1002" spans="1:10" ht="13.95" customHeight="1" x14ac:dyDescent="0.3">
      <c r="A1002">
        <f>ROW([1]DATABASE!A963)</f>
        <v>963</v>
      </c>
      <c r="B1002" t="str">
        <f>[1]DATABASE!AJ963</f>
        <v>Monte Rei</v>
      </c>
      <c r="C1002" t="str">
        <f>[1]DATABASE!C963</f>
        <v>H</v>
      </c>
      <c r="D1002" t="str">
        <f>TRIM([1]DATABASE!Q963)</f>
        <v>AVAILABLE</v>
      </c>
      <c r="E1002" s="82" t="str">
        <f>_xlfn.TEXTJOIN("; ",TRUE,IF([1]DATABASE!X963&lt;0,"Negative Discount",""),IF(AND([1]DATABASE!Y963&gt;[1]DATABASE!T963,[1]DATABASE!Y963&gt;0,[1]DATABASE!T963&gt;0),"Sell Price &gt; Current",""),IF(AND(TRIM([1]DATABASE!Q963)="DEED",[1]DATABASE!AA963=""),"Deeded no PSPA Date",""),IF([1]DATABASE!E963="","Missing Typology",""),IF([1]DATABASE!AJ963="","Missing Development",""))</f>
        <v/>
      </c>
      <c r="F1002" s="82" t="str">
        <f>_xlfn.TEXTJOIN("; ",TRUE,IF(AND(OR(TRIM([1]DATABASE!Q963)="RESERVED",TRIM([1]DATABASE!Q963)="PRE-RESERVED",TRIM([1]DATABASE!Q963)="PSPA"),[1]DATABASE!AA963=""),"Reserved/PSPA no PSPA Date",""),IF(AND(TRIM([1]DATABASE!Q963)="AVAILABLE",[1]DATABASE!AA963&lt;&gt;""),"Available has PSPA Date",""))</f>
        <v/>
      </c>
      <c r="G1002" s="82" t="str">
        <f>_xlfn.TEXTJOIN("; ",TRUE,IF(AND([1]DATABASE!T963&lt;0.8*[1]DATABASE!S963,[1]DATABASE!T963&gt;0,[1]DATABASE!S963&gt;0),"Heavy Price Cut &gt;20%",""),IF(AND(OR(TRIM([1]DATABASE!Q963)="AVAILABLE",TRIM([1]DATABASE!Q963)="UPON REQUEST"),OR([1]DATABASE!T963="",[1]DATABASE!T963=0)),"Active Unit no Price",""),IF(AND(OR(TRIM([1]DATABASE!Q963)="AVAILABLE",TRIM([1]DATABASE!Q963)="RESERVED",TRIM([1]DATABASE!Q963)="PRE-RESERVED",TRIM([1]DATABASE!Q963)="PSPA"),[1]DATABASE!AC963=""),"Active no Owner",""),IF(OR([1]DATABASE!F963="",[1]DATABASE!F963&lt;=0),"Missing/Invalid Area",""),IF(AND([1]DATABASE!T963&gt;0,ABS([1]DATABASE!T963-[1]DATABASE!W963-[1]DATABASE!U963-[1]DATABASE!V963)&gt;1),"Price Bridge Mismatch",""))</f>
        <v/>
      </c>
      <c r="H1002" t="str">
        <f t="shared" ref="H1002:H1065" si="18">IF(LEN(E1002&amp;F1002&amp;G1002)&gt;0,"REVIEW","PASS")</f>
        <v>PASS</v>
      </c>
      <c r="I1002" s="90">
        <f>[1]DATABASE!T963</f>
        <v>1270000</v>
      </c>
      <c r="J1002" t="str">
        <f>[1]DATABASE!AC963</f>
        <v>Sandra Viegas</v>
      </c>
    </row>
    <row r="1003" spans="1:10" ht="13.95" customHeight="1" x14ac:dyDescent="0.3">
      <c r="A1003">
        <f>ROW([1]DATABASE!A964)</f>
        <v>964</v>
      </c>
      <c r="B1003" t="str">
        <f>[1]DATABASE!AJ964</f>
        <v>Monte Rei</v>
      </c>
      <c r="C1003" t="str">
        <f>[1]DATABASE!C964</f>
        <v>I</v>
      </c>
      <c r="D1003" t="str">
        <f>TRIM([1]DATABASE!Q964)</f>
        <v>AVAILABLE</v>
      </c>
      <c r="E1003" s="82" t="str">
        <f>_xlfn.TEXTJOIN("; ",TRUE,IF([1]DATABASE!X964&lt;0,"Negative Discount",""),IF(AND([1]DATABASE!Y964&gt;[1]DATABASE!T964,[1]DATABASE!Y964&gt;0,[1]DATABASE!T964&gt;0),"Sell Price &gt; Current",""),IF(AND(TRIM([1]DATABASE!Q964)="DEED",[1]DATABASE!AA964=""),"Deeded no PSPA Date",""),IF([1]DATABASE!E964="","Missing Typology",""),IF([1]DATABASE!AJ964="","Missing Development",""))</f>
        <v/>
      </c>
      <c r="F1003" s="82" t="str">
        <f>_xlfn.TEXTJOIN("; ",TRUE,IF(AND(OR(TRIM([1]DATABASE!Q964)="RESERVED",TRIM([1]DATABASE!Q964)="PRE-RESERVED",TRIM([1]DATABASE!Q964)="PSPA"),[1]DATABASE!AA964=""),"Reserved/PSPA no PSPA Date",""),IF(AND(TRIM([1]DATABASE!Q964)="AVAILABLE",[1]DATABASE!AA964&lt;&gt;""),"Available has PSPA Date",""))</f>
        <v/>
      </c>
      <c r="G1003" s="82" t="str">
        <f>_xlfn.TEXTJOIN("; ",TRUE,IF(AND([1]DATABASE!T964&lt;0.8*[1]DATABASE!S964,[1]DATABASE!T964&gt;0,[1]DATABASE!S964&gt;0),"Heavy Price Cut &gt;20%",""),IF(AND(OR(TRIM([1]DATABASE!Q964)="AVAILABLE",TRIM([1]DATABASE!Q964)="UPON REQUEST"),OR([1]DATABASE!T964="",[1]DATABASE!T964=0)),"Active Unit no Price",""),IF(AND(OR(TRIM([1]DATABASE!Q964)="AVAILABLE",TRIM([1]DATABASE!Q964)="RESERVED",TRIM([1]DATABASE!Q964)="PRE-RESERVED",TRIM([1]DATABASE!Q964)="PSPA"),[1]DATABASE!AC964=""),"Active no Owner",""),IF(OR([1]DATABASE!F964="",[1]DATABASE!F964&lt;=0),"Missing/Invalid Area",""),IF(AND([1]DATABASE!T964&gt;0,ABS([1]DATABASE!T964-[1]DATABASE!W964-[1]DATABASE!U964-[1]DATABASE!V964)&gt;1),"Price Bridge Mismatch",""))</f>
        <v/>
      </c>
      <c r="H1003" t="str">
        <f t="shared" si="18"/>
        <v>PASS</v>
      </c>
      <c r="I1003" s="90">
        <f>[1]DATABASE!T964</f>
        <v>1300000</v>
      </c>
      <c r="J1003" t="str">
        <f>[1]DATABASE!AC964</f>
        <v>Sandra Viegas</v>
      </c>
    </row>
    <row r="1004" spans="1:10" ht="13.95" customHeight="1" x14ac:dyDescent="0.3">
      <c r="A1004">
        <f>ROW([1]DATABASE!A965)</f>
        <v>965</v>
      </c>
      <c r="B1004" t="str">
        <f>[1]DATABASE!AJ965</f>
        <v>Monte Rei</v>
      </c>
      <c r="C1004" t="str">
        <f>[1]DATABASE!C965</f>
        <v>J</v>
      </c>
      <c r="D1004" t="str">
        <f>TRIM([1]DATABASE!Q965)</f>
        <v>AVAILABLE</v>
      </c>
      <c r="E1004" s="82" t="str">
        <f>_xlfn.TEXTJOIN("; ",TRUE,IF([1]DATABASE!X965&lt;0,"Negative Discount",""),IF(AND([1]DATABASE!Y965&gt;[1]DATABASE!T965,[1]DATABASE!Y965&gt;0,[1]DATABASE!T965&gt;0),"Sell Price &gt; Current",""),IF(AND(TRIM([1]DATABASE!Q965)="DEED",[1]DATABASE!AA965=""),"Deeded no PSPA Date",""),IF([1]DATABASE!E965="","Missing Typology",""),IF([1]DATABASE!AJ965="","Missing Development",""))</f>
        <v/>
      </c>
      <c r="F1004" s="82" t="str">
        <f>_xlfn.TEXTJOIN("; ",TRUE,IF(AND(OR(TRIM([1]DATABASE!Q965)="RESERVED",TRIM([1]DATABASE!Q965)="PRE-RESERVED",TRIM([1]DATABASE!Q965)="PSPA"),[1]DATABASE!AA965=""),"Reserved/PSPA no PSPA Date",""),IF(AND(TRIM([1]DATABASE!Q965)="AVAILABLE",[1]DATABASE!AA965&lt;&gt;""),"Available has PSPA Date",""))</f>
        <v/>
      </c>
      <c r="G1004" s="82" t="str">
        <f>_xlfn.TEXTJOIN("; ",TRUE,IF(AND([1]DATABASE!T965&lt;0.8*[1]DATABASE!S965,[1]DATABASE!T965&gt;0,[1]DATABASE!S965&gt;0),"Heavy Price Cut &gt;20%",""),IF(AND(OR(TRIM([1]DATABASE!Q965)="AVAILABLE",TRIM([1]DATABASE!Q965)="UPON REQUEST"),OR([1]DATABASE!T965="",[1]DATABASE!T965=0)),"Active Unit no Price",""),IF(AND(OR(TRIM([1]DATABASE!Q965)="AVAILABLE",TRIM([1]DATABASE!Q965)="RESERVED",TRIM([1]DATABASE!Q965)="PRE-RESERVED",TRIM([1]DATABASE!Q965)="PSPA"),[1]DATABASE!AC965=""),"Active no Owner",""),IF(OR([1]DATABASE!F965="",[1]DATABASE!F965&lt;=0),"Missing/Invalid Area",""),IF(AND([1]DATABASE!T965&gt;0,ABS([1]DATABASE!T965-[1]DATABASE!W965-[1]DATABASE!U965-[1]DATABASE!V965)&gt;1),"Price Bridge Mismatch",""))</f>
        <v/>
      </c>
      <c r="H1004" t="str">
        <f t="shared" si="18"/>
        <v>PASS</v>
      </c>
      <c r="I1004" s="90">
        <f>[1]DATABASE!T965</f>
        <v>1430000</v>
      </c>
      <c r="J1004" t="str">
        <f>[1]DATABASE!AC965</f>
        <v>Sandra Viegas</v>
      </c>
    </row>
    <row r="1005" spans="1:10" ht="13.95" customHeight="1" x14ac:dyDescent="0.3">
      <c r="A1005">
        <f>ROW([1]DATABASE!A966)</f>
        <v>966</v>
      </c>
      <c r="B1005" t="str">
        <f>[1]DATABASE!AJ966</f>
        <v>Monte Rei</v>
      </c>
      <c r="C1005" t="str">
        <f>[1]DATABASE!C966</f>
        <v>L</v>
      </c>
      <c r="D1005" t="str">
        <f>TRIM([1]DATABASE!Q966)</f>
        <v>AVAILABLE</v>
      </c>
      <c r="E1005" s="82" t="str">
        <f>_xlfn.TEXTJOIN("; ",TRUE,IF([1]DATABASE!X966&lt;0,"Negative Discount",""),IF(AND([1]DATABASE!Y966&gt;[1]DATABASE!T966,[1]DATABASE!Y966&gt;0,[1]DATABASE!T966&gt;0),"Sell Price &gt; Current",""),IF(AND(TRIM([1]DATABASE!Q966)="DEED",[1]DATABASE!AA966=""),"Deeded no PSPA Date",""),IF([1]DATABASE!E966="","Missing Typology",""),IF([1]DATABASE!AJ966="","Missing Development",""))</f>
        <v/>
      </c>
      <c r="F1005" s="82" t="str">
        <f>_xlfn.TEXTJOIN("; ",TRUE,IF(AND(OR(TRIM([1]DATABASE!Q966)="RESERVED",TRIM([1]DATABASE!Q966)="PRE-RESERVED",TRIM([1]DATABASE!Q966)="PSPA"),[1]DATABASE!AA966=""),"Reserved/PSPA no PSPA Date",""),IF(AND(TRIM([1]DATABASE!Q966)="AVAILABLE",[1]DATABASE!AA966&lt;&gt;""),"Available has PSPA Date",""))</f>
        <v/>
      </c>
      <c r="G1005" s="82" t="str">
        <f>_xlfn.TEXTJOIN("; ",TRUE,IF(AND([1]DATABASE!T966&lt;0.8*[1]DATABASE!S966,[1]DATABASE!T966&gt;0,[1]DATABASE!S966&gt;0),"Heavy Price Cut &gt;20%",""),IF(AND(OR(TRIM([1]DATABASE!Q966)="AVAILABLE",TRIM([1]DATABASE!Q966)="UPON REQUEST"),OR([1]DATABASE!T966="",[1]DATABASE!T966=0)),"Active Unit no Price",""),IF(AND(OR(TRIM([1]DATABASE!Q966)="AVAILABLE",TRIM([1]DATABASE!Q966)="RESERVED",TRIM([1]DATABASE!Q966)="PRE-RESERVED",TRIM([1]DATABASE!Q966)="PSPA"),[1]DATABASE!AC966=""),"Active no Owner",""),IF(OR([1]DATABASE!F966="",[1]DATABASE!F966&lt;=0),"Missing/Invalid Area",""),IF(AND([1]DATABASE!T966&gt;0,ABS([1]DATABASE!T966-[1]DATABASE!W966-[1]DATABASE!U966-[1]DATABASE!V966)&gt;1),"Price Bridge Mismatch",""))</f>
        <v/>
      </c>
      <c r="H1005" t="str">
        <f t="shared" si="18"/>
        <v>PASS</v>
      </c>
      <c r="I1005" s="90">
        <f>[1]DATABASE!T966</f>
        <v>1380000</v>
      </c>
      <c r="J1005" t="str">
        <f>[1]DATABASE!AC966</f>
        <v>Sandra Viegas</v>
      </c>
    </row>
    <row r="1006" spans="1:10" ht="13.95" customHeight="1" x14ac:dyDescent="0.3">
      <c r="A1006">
        <f>ROW([1]DATABASE!A967)</f>
        <v>967</v>
      </c>
      <c r="B1006" t="str">
        <f>[1]DATABASE!AJ967</f>
        <v>Monte Rei</v>
      </c>
      <c r="C1006" t="str">
        <f>[1]DATABASE!C967</f>
        <v>N</v>
      </c>
      <c r="D1006" t="str">
        <f>TRIM([1]DATABASE!Q967)</f>
        <v>AVAILABLE</v>
      </c>
      <c r="E1006" s="82" t="str">
        <f>_xlfn.TEXTJOIN("; ",TRUE,IF([1]DATABASE!X967&lt;0,"Negative Discount",""),IF(AND([1]DATABASE!Y967&gt;[1]DATABASE!T967,[1]DATABASE!Y967&gt;0,[1]DATABASE!T967&gt;0),"Sell Price &gt; Current",""),IF(AND(TRIM([1]DATABASE!Q967)="DEED",[1]DATABASE!AA967=""),"Deeded no PSPA Date",""),IF([1]DATABASE!E967="","Missing Typology",""),IF([1]DATABASE!AJ967="","Missing Development",""))</f>
        <v/>
      </c>
      <c r="F1006" s="82" t="str">
        <f>_xlfn.TEXTJOIN("; ",TRUE,IF(AND(OR(TRIM([1]DATABASE!Q967)="RESERVED",TRIM([1]DATABASE!Q967)="PRE-RESERVED",TRIM([1]DATABASE!Q967)="PSPA"),[1]DATABASE!AA967=""),"Reserved/PSPA no PSPA Date",""),IF(AND(TRIM([1]DATABASE!Q967)="AVAILABLE",[1]DATABASE!AA967&lt;&gt;""),"Available has PSPA Date",""))</f>
        <v/>
      </c>
      <c r="G1006" s="82" t="str">
        <f>_xlfn.TEXTJOIN("; ",TRUE,IF(AND([1]DATABASE!T967&lt;0.8*[1]DATABASE!S967,[1]DATABASE!T967&gt;0,[1]DATABASE!S967&gt;0),"Heavy Price Cut &gt;20%",""),IF(AND(OR(TRIM([1]DATABASE!Q967)="AVAILABLE",TRIM([1]DATABASE!Q967)="UPON REQUEST"),OR([1]DATABASE!T967="",[1]DATABASE!T967=0)),"Active Unit no Price",""),IF(AND(OR(TRIM([1]DATABASE!Q967)="AVAILABLE",TRIM([1]DATABASE!Q967)="RESERVED",TRIM([1]DATABASE!Q967)="PRE-RESERVED",TRIM([1]DATABASE!Q967)="PSPA"),[1]DATABASE!AC967=""),"Active no Owner",""),IF(OR([1]DATABASE!F967="",[1]DATABASE!F967&lt;=0),"Missing/Invalid Area",""),IF(AND([1]DATABASE!T967&gt;0,ABS([1]DATABASE!T967-[1]DATABASE!W967-[1]DATABASE!U967-[1]DATABASE!V967)&gt;1),"Price Bridge Mismatch",""))</f>
        <v/>
      </c>
      <c r="H1006" t="str">
        <f t="shared" si="18"/>
        <v>PASS</v>
      </c>
      <c r="I1006" s="90">
        <f>[1]DATABASE!T967</f>
        <v>1190000</v>
      </c>
      <c r="J1006" t="str">
        <f>[1]DATABASE!AC967</f>
        <v>Sandra Viegas</v>
      </c>
    </row>
    <row r="1007" spans="1:10" ht="13.95" customHeight="1" x14ac:dyDescent="0.3">
      <c r="A1007">
        <f>ROW([1]DATABASE!A968)</f>
        <v>968</v>
      </c>
      <c r="B1007" t="str">
        <f>[1]DATABASE!AJ968</f>
        <v>Monte Rei</v>
      </c>
      <c r="C1007" t="str">
        <f>[1]DATABASE!C968</f>
        <v>O</v>
      </c>
      <c r="D1007" t="str">
        <f>TRIM([1]DATABASE!Q968)</f>
        <v>AVAILABLE</v>
      </c>
      <c r="E1007" s="82" t="str">
        <f>_xlfn.TEXTJOIN("; ",TRUE,IF([1]DATABASE!X968&lt;0,"Negative Discount",""),IF(AND([1]DATABASE!Y968&gt;[1]DATABASE!T968,[1]DATABASE!Y968&gt;0,[1]DATABASE!T968&gt;0),"Sell Price &gt; Current",""),IF(AND(TRIM([1]DATABASE!Q968)="DEED",[1]DATABASE!AA968=""),"Deeded no PSPA Date",""),IF([1]DATABASE!E968="","Missing Typology",""),IF([1]DATABASE!AJ968="","Missing Development",""))</f>
        <v/>
      </c>
      <c r="F1007" s="82" t="str">
        <f>_xlfn.TEXTJOIN("; ",TRUE,IF(AND(OR(TRIM([1]DATABASE!Q968)="RESERVED",TRIM([1]DATABASE!Q968)="PRE-RESERVED",TRIM([1]DATABASE!Q968)="PSPA"),[1]DATABASE!AA968=""),"Reserved/PSPA no PSPA Date",""),IF(AND(TRIM([1]DATABASE!Q968)="AVAILABLE",[1]DATABASE!AA968&lt;&gt;""),"Available has PSPA Date",""))</f>
        <v/>
      </c>
      <c r="G1007" s="82" t="str">
        <f>_xlfn.TEXTJOIN("; ",TRUE,IF(AND([1]DATABASE!T968&lt;0.8*[1]DATABASE!S968,[1]DATABASE!T968&gt;0,[1]DATABASE!S968&gt;0),"Heavy Price Cut &gt;20%",""),IF(AND(OR(TRIM([1]DATABASE!Q968)="AVAILABLE",TRIM([1]DATABASE!Q968)="UPON REQUEST"),OR([1]DATABASE!T968="",[1]DATABASE!T968=0)),"Active Unit no Price",""),IF(AND(OR(TRIM([1]DATABASE!Q968)="AVAILABLE",TRIM([1]DATABASE!Q968)="RESERVED",TRIM([1]DATABASE!Q968)="PRE-RESERVED",TRIM([1]DATABASE!Q968)="PSPA"),[1]DATABASE!AC968=""),"Active no Owner",""),IF(OR([1]DATABASE!F968="",[1]DATABASE!F968&lt;=0),"Missing/Invalid Area",""),IF(AND([1]DATABASE!T968&gt;0,ABS([1]DATABASE!T968-[1]DATABASE!W968-[1]DATABASE!U968-[1]DATABASE!V968)&gt;1),"Price Bridge Mismatch",""))</f>
        <v/>
      </c>
      <c r="H1007" t="str">
        <f t="shared" si="18"/>
        <v>PASS</v>
      </c>
      <c r="I1007" s="90">
        <f>[1]DATABASE!T968</f>
        <v>1250000</v>
      </c>
      <c r="J1007" t="str">
        <f>[1]DATABASE!AC968</f>
        <v>Sandra Viegas</v>
      </c>
    </row>
    <row r="1008" spans="1:10" ht="13.95" customHeight="1" x14ac:dyDescent="0.3">
      <c r="A1008">
        <f>ROW([1]DATABASE!A969)</f>
        <v>969</v>
      </c>
      <c r="B1008" t="str">
        <f>[1]DATABASE!AJ969</f>
        <v>Monte Rei</v>
      </c>
      <c r="C1008" t="str">
        <f>[1]DATABASE!C969</f>
        <v>Q</v>
      </c>
      <c r="D1008" t="str">
        <f>TRIM([1]DATABASE!Q969)</f>
        <v>AVAILABLE</v>
      </c>
      <c r="E1008" s="82" t="str">
        <f>_xlfn.TEXTJOIN("; ",TRUE,IF([1]DATABASE!X969&lt;0,"Negative Discount",""),IF(AND([1]DATABASE!Y969&gt;[1]DATABASE!T969,[1]DATABASE!Y969&gt;0,[1]DATABASE!T969&gt;0),"Sell Price &gt; Current",""),IF(AND(TRIM([1]DATABASE!Q969)="DEED",[1]DATABASE!AA969=""),"Deeded no PSPA Date",""),IF([1]DATABASE!E969="","Missing Typology",""),IF([1]DATABASE!AJ969="","Missing Development",""))</f>
        <v/>
      </c>
      <c r="F1008" s="82" t="str">
        <f>_xlfn.TEXTJOIN("; ",TRUE,IF(AND(OR(TRIM([1]DATABASE!Q969)="RESERVED",TRIM([1]DATABASE!Q969)="PRE-RESERVED",TRIM([1]DATABASE!Q969)="PSPA"),[1]DATABASE!AA969=""),"Reserved/PSPA no PSPA Date",""),IF(AND(TRIM([1]DATABASE!Q969)="AVAILABLE",[1]DATABASE!AA969&lt;&gt;""),"Available has PSPA Date",""))</f>
        <v/>
      </c>
      <c r="G1008" s="82" t="str">
        <f>_xlfn.TEXTJOIN("; ",TRUE,IF(AND([1]DATABASE!T969&lt;0.8*[1]DATABASE!S969,[1]DATABASE!T969&gt;0,[1]DATABASE!S969&gt;0),"Heavy Price Cut &gt;20%",""),IF(AND(OR(TRIM([1]DATABASE!Q969)="AVAILABLE",TRIM([1]DATABASE!Q969)="UPON REQUEST"),OR([1]DATABASE!T969="",[1]DATABASE!T969=0)),"Active Unit no Price",""),IF(AND(OR(TRIM([1]DATABASE!Q969)="AVAILABLE",TRIM([1]DATABASE!Q969)="RESERVED",TRIM([1]DATABASE!Q969)="PRE-RESERVED",TRIM([1]DATABASE!Q969)="PSPA"),[1]DATABASE!AC969=""),"Active no Owner",""),IF(OR([1]DATABASE!F969="",[1]DATABASE!F969&lt;=0),"Missing/Invalid Area",""),IF(AND([1]DATABASE!T969&gt;0,ABS([1]DATABASE!T969-[1]DATABASE!W969-[1]DATABASE!U969-[1]DATABASE!V969)&gt;1),"Price Bridge Mismatch",""))</f>
        <v/>
      </c>
      <c r="H1008" t="str">
        <f t="shared" si="18"/>
        <v>PASS</v>
      </c>
      <c r="I1008" s="90">
        <f>[1]DATABASE!T969</f>
        <v>1260000</v>
      </c>
      <c r="J1008" t="str">
        <f>[1]DATABASE!AC969</f>
        <v>Sandra Viegas</v>
      </c>
    </row>
    <row r="1009" spans="1:10" ht="13.95" customHeight="1" x14ac:dyDescent="0.3">
      <c r="A1009">
        <f>ROW([1]DATABASE!A970)</f>
        <v>970</v>
      </c>
      <c r="B1009" t="str">
        <f>[1]DATABASE!AJ970</f>
        <v>Monte Rei</v>
      </c>
      <c r="C1009" t="str">
        <f>[1]DATABASE!C970</f>
        <v>R</v>
      </c>
      <c r="D1009" t="str">
        <f>TRIM([1]DATABASE!Q970)</f>
        <v>AVAILABLE</v>
      </c>
      <c r="E1009" s="82" t="str">
        <f>_xlfn.TEXTJOIN("; ",TRUE,IF([1]DATABASE!X970&lt;0,"Negative Discount",""),IF(AND([1]DATABASE!Y970&gt;[1]DATABASE!T970,[1]DATABASE!Y970&gt;0,[1]DATABASE!T970&gt;0),"Sell Price &gt; Current",""),IF(AND(TRIM([1]DATABASE!Q970)="DEED",[1]DATABASE!AA970=""),"Deeded no PSPA Date",""),IF([1]DATABASE!E970="","Missing Typology",""),IF([1]DATABASE!AJ970="","Missing Development",""))</f>
        <v/>
      </c>
      <c r="F1009" s="82" t="str">
        <f>_xlfn.TEXTJOIN("; ",TRUE,IF(AND(OR(TRIM([1]DATABASE!Q970)="RESERVED",TRIM([1]DATABASE!Q970)="PRE-RESERVED",TRIM([1]DATABASE!Q970)="PSPA"),[1]DATABASE!AA970=""),"Reserved/PSPA no PSPA Date",""),IF(AND(TRIM([1]DATABASE!Q970)="AVAILABLE",[1]DATABASE!AA970&lt;&gt;""),"Available has PSPA Date",""))</f>
        <v/>
      </c>
      <c r="G1009" s="82" t="str">
        <f>_xlfn.TEXTJOIN("; ",TRUE,IF(AND([1]DATABASE!T970&lt;0.8*[1]DATABASE!S970,[1]DATABASE!T970&gt;0,[1]DATABASE!S970&gt;0),"Heavy Price Cut &gt;20%",""),IF(AND(OR(TRIM([1]DATABASE!Q970)="AVAILABLE",TRIM([1]DATABASE!Q970)="UPON REQUEST"),OR([1]DATABASE!T970="",[1]DATABASE!T970=0)),"Active Unit no Price",""),IF(AND(OR(TRIM([1]DATABASE!Q970)="AVAILABLE",TRIM([1]DATABASE!Q970)="RESERVED",TRIM([1]DATABASE!Q970)="PRE-RESERVED",TRIM([1]DATABASE!Q970)="PSPA"),[1]DATABASE!AC970=""),"Active no Owner",""),IF(OR([1]DATABASE!F970="",[1]DATABASE!F970&lt;=0),"Missing/Invalid Area",""),IF(AND([1]DATABASE!T970&gt;0,ABS([1]DATABASE!T970-[1]DATABASE!W970-[1]DATABASE!U970-[1]DATABASE!V970)&gt;1),"Price Bridge Mismatch",""))</f>
        <v/>
      </c>
      <c r="H1009" t="str">
        <f t="shared" si="18"/>
        <v>PASS</v>
      </c>
      <c r="I1009" s="90">
        <f>[1]DATABASE!T970</f>
        <v>1190000</v>
      </c>
      <c r="J1009" t="str">
        <f>[1]DATABASE!AC970</f>
        <v>Sandra Viegas</v>
      </c>
    </row>
    <row r="1010" spans="1:10" ht="13.95" customHeight="1" x14ac:dyDescent="0.3">
      <c r="A1010">
        <f>ROW([1]DATABASE!A971)</f>
        <v>971</v>
      </c>
      <c r="B1010" t="str">
        <f>[1]DATABASE!AJ971</f>
        <v>Monte Rei</v>
      </c>
      <c r="C1010" t="str">
        <f>[1]DATABASE!C971</f>
        <v>Z</v>
      </c>
      <c r="D1010" t="str">
        <f>TRIM([1]DATABASE!Q971)</f>
        <v>AVAILABLE</v>
      </c>
      <c r="E1010" s="82" t="str">
        <f>_xlfn.TEXTJOIN("; ",TRUE,IF([1]DATABASE!X971&lt;0,"Negative Discount",""),IF(AND([1]DATABASE!Y971&gt;[1]DATABASE!T971,[1]DATABASE!Y971&gt;0,[1]DATABASE!T971&gt;0),"Sell Price &gt; Current",""),IF(AND(TRIM([1]DATABASE!Q971)="DEED",[1]DATABASE!AA971=""),"Deeded no PSPA Date",""),IF([1]DATABASE!E971="","Missing Typology",""),IF([1]DATABASE!AJ971="","Missing Development",""))</f>
        <v/>
      </c>
      <c r="F1010" s="82" t="str">
        <f>_xlfn.TEXTJOIN("; ",TRUE,IF(AND(OR(TRIM([1]DATABASE!Q971)="RESERVED",TRIM([1]DATABASE!Q971)="PRE-RESERVED",TRIM([1]DATABASE!Q971)="PSPA"),[1]DATABASE!AA971=""),"Reserved/PSPA no PSPA Date",""),IF(AND(TRIM([1]DATABASE!Q971)="AVAILABLE",[1]DATABASE!AA971&lt;&gt;""),"Available has PSPA Date",""))</f>
        <v/>
      </c>
      <c r="G1010" s="82" t="str">
        <f>_xlfn.TEXTJOIN("; ",TRUE,IF(AND([1]DATABASE!T971&lt;0.8*[1]DATABASE!S971,[1]DATABASE!T971&gt;0,[1]DATABASE!S971&gt;0),"Heavy Price Cut &gt;20%",""),IF(AND(OR(TRIM([1]DATABASE!Q971)="AVAILABLE",TRIM([1]DATABASE!Q971)="UPON REQUEST"),OR([1]DATABASE!T971="",[1]DATABASE!T971=0)),"Active Unit no Price",""),IF(AND(OR(TRIM([1]DATABASE!Q971)="AVAILABLE",TRIM([1]DATABASE!Q971)="RESERVED",TRIM([1]DATABASE!Q971)="PRE-RESERVED",TRIM([1]DATABASE!Q971)="PSPA"),[1]DATABASE!AC971=""),"Active no Owner",""),IF(OR([1]DATABASE!F971="",[1]DATABASE!F971&lt;=0),"Missing/Invalid Area",""),IF(AND([1]DATABASE!T971&gt;0,ABS([1]DATABASE!T971-[1]DATABASE!W971-[1]DATABASE!U971-[1]DATABASE!V971)&gt;1),"Price Bridge Mismatch",""))</f>
        <v/>
      </c>
      <c r="H1010" t="str">
        <f t="shared" si="18"/>
        <v>PASS</v>
      </c>
      <c r="I1010" s="90">
        <f>[1]DATABASE!T971</f>
        <v>1320000</v>
      </c>
      <c r="J1010" t="str">
        <f>[1]DATABASE!AC971</f>
        <v>Sandra Viegas</v>
      </c>
    </row>
    <row r="1011" spans="1:10" ht="13.95" customHeight="1" x14ac:dyDescent="0.3">
      <c r="A1011">
        <f>ROW([1]DATABASE!A972)</f>
        <v>972</v>
      </c>
      <c r="B1011" t="str">
        <f>[1]DATABASE!AJ972</f>
        <v>Monte Rei</v>
      </c>
      <c r="C1011" t="str">
        <f>[1]DATABASE!C972</f>
        <v>AJ</v>
      </c>
      <c r="D1011" t="str">
        <f>TRIM([1]DATABASE!Q972)</f>
        <v>AVAILABLE</v>
      </c>
      <c r="E1011" s="82" t="str">
        <f>_xlfn.TEXTJOIN("; ",TRUE,IF([1]DATABASE!X972&lt;0,"Negative Discount",""),IF(AND([1]DATABASE!Y972&gt;[1]DATABASE!T972,[1]DATABASE!Y972&gt;0,[1]DATABASE!T972&gt;0),"Sell Price &gt; Current",""),IF(AND(TRIM([1]DATABASE!Q972)="DEED",[1]DATABASE!AA972=""),"Deeded no PSPA Date",""),IF([1]DATABASE!E972="","Missing Typology",""),IF([1]DATABASE!AJ972="","Missing Development",""))</f>
        <v/>
      </c>
      <c r="F1011" s="82" t="str">
        <f>_xlfn.TEXTJOIN("; ",TRUE,IF(AND(OR(TRIM([1]DATABASE!Q972)="RESERVED",TRIM([1]DATABASE!Q972)="PRE-RESERVED",TRIM([1]DATABASE!Q972)="PSPA"),[1]DATABASE!AA972=""),"Reserved/PSPA no PSPA Date",""),IF(AND(TRIM([1]DATABASE!Q972)="AVAILABLE",[1]DATABASE!AA972&lt;&gt;""),"Available has PSPA Date",""))</f>
        <v/>
      </c>
      <c r="G1011" s="82" t="str">
        <f>_xlfn.TEXTJOIN("; ",TRUE,IF(AND([1]DATABASE!T972&lt;0.8*[1]DATABASE!S972,[1]DATABASE!T972&gt;0,[1]DATABASE!S972&gt;0),"Heavy Price Cut &gt;20%",""),IF(AND(OR(TRIM([1]DATABASE!Q972)="AVAILABLE",TRIM([1]DATABASE!Q972)="UPON REQUEST"),OR([1]DATABASE!T972="",[1]DATABASE!T972=0)),"Active Unit no Price",""),IF(AND(OR(TRIM([1]DATABASE!Q972)="AVAILABLE",TRIM([1]DATABASE!Q972)="RESERVED",TRIM([1]DATABASE!Q972)="PRE-RESERVED",TRIM([1]DATABASE!Q972)="PSPA"),[1]DATABASE!AC972=""),"Active no Owner",""),IF(OR([1]DATABASE!F972="",[1]DATABASE!F972&lt;=0),"Missing/Invalid Area",""),IF(AND([1]DATABASE!T972&gt;0,ABS([1]DATABASE!T972-[1]DATABASE!W972-[1]DATABASE!U972-[1]DATABASE!V972)&gt;1),"Price Bridge Mismatch",""))</f>
        <v/>
      </c>
      <c r="H1011" t="str">
        <f t="shared" si="18"/>
        <v>PASS</v>
      </c>
      <c r="I1011" s="90">
        <f>[1]DATABASE!T972</f>
        <v>1350000</v>
      </c>
      <c r="J1011" t="str">
        <f>[1]DATABASE!AC972</f>
        <v>Sandra Viegas</v>
      </c>
    </row>
    <row r="1012" spans="1:10" ht="13.95" customHeight="1" x14ac:dyDescent="0.3">
      <c r="A1012">
        <f>ROW([1]DATABASE!A973)</f>
        <v>973</v>
      </c>
      <c r="B1012" t="str">
        <f>[1]DATABASE!AJ973</f>
        <v>Monte Rei</v>
      </c>
      <c r="C1012" t="str">
        <f>[1]DATABASE!C973</f>
        <v>AK</v>
      </c>
      <c r="D1012" t="str">
        <f>TRIM([1]DATABASE!Q973)</f>
        <v>AVAILABLE</v>
      </c>
      <c r="E1012" s="82" t="str">
        <f>_xlfn.TEXTJOIN("; ",TRUE,IF([1]DATABASE!X973&lt;0,"Negative Discount",""),IF(AND([1]DATABASE!Y973&gt;[1]DATABASE!T973,[1]DATABASE!Y973&gt;0,[1]DATABASE!T973&gt;0),"Sell Price &gt; Current",""),IF(AND(TRIM([1]DATABASE!Q973)="DEED",[1]DATABASE!AA973=""),"Deeded no PSPA Date",""),IF([1]DATABASE!E973="","Missing Typology",""),IF([1]DATABASE!AJ973="","Missing Development",""))</f>
        <v/>
      </c>
      <c r="F1012" s="82" t="str">
        <f>_xlfn.TEXTJOIN("; ",TRUE,IF(AND(OR(TRIM([1]DATABASE!Q973)="RESERVED",TRIM([1]DATABASE!Q973)="PRE-RESERVED",TRIM([1]DATABASE!Q973)="PSPA"),[1]DATABASE!AA973=""),"Reserved/PSPA no PSPA Date",""),IF(AND(TRIM([1]DATABASE!Q973)="AVAILABLE",[1]DATABASE!AA973&lt;&gt;""),"Available has PSPA Date",""))</f>
        <v/>
      </c>
      <c r="G1012" s="82" t="str">
        <f>_xlfn.TEXTJOIN("; ",TRUE,IF(AND([1]DATABASE!T973&lt;0.8*[1]DATABASE!S973,[1]DATABASE!T973&gt;0,[1]DATABASE!S973&gt;0),"Heavy Price Cut &gt;20%",""),IF(AND(OR(TRIM([1]DATABASE!Q973)="AVAILABLE",TRIM([1]DATABASE!Q973)="UPON REQUEST"),OR([1]DATABASE!T973="",[1]DATABASE!T973=0)),"Active Unit no Price",""),IF(AND(OR(TRIM([1]DATABASE!Q973)="AVAILABLE",TRIM([1]DATABASE!Q973)="RESERVED",TRIM([1]DATABASE!Q973)="PRE-RESERVED",TRIM([1]DATABASE!Q973)="PSPA"),[1]DATABASE!AC973=""),"Active no Owner",""),IF(OR([1]DATABASE!F973="",[1]DATABASE!F973&lt;=0),"Missing/Invalid Area",""),IF(AND([1]DATABASE!T973&gt;0,ABS([1]DATABASE!T973-[1]DATABASE!W973-[1]DATABASE!U973-[1]DATABASE!V973)&gt;1),"Price Bridge Mismatch",""))</f>
        <v/>
      </c>
      <c r="H1012" t="str">
        <f t="shared" si="18"/>
        <v>PASS</v>
      </c>
      <c r="I1012" s="90">
        <f>[1]DATABASE!T973</f>
        <v>1390000</v>
      </c>
      <c r="J1012" t="str">
        <f>[1]DATABASE!AC973</f>
        <v>Sandra Viegas</v>
      </c>
    </row>
    <row r="1013" spans="1:10" ht="13.95" customHeight="1" x14ac:dyDescent="0.3">
      <c r="A1013">
        <f>ROW([1]DATABASE!A974)</f>
        <v>974</v>
      </c>
      <c r="B1013" t="str">
        <f>[1]DATABASE!AJ974</f>
        <v>Springs - At the Els</v>
      </c>
      <c r="C1013" t="str">
        <f>[1]DATABASE!C974</f>
        <v>F</v>
      </c>
      <c r="D1013" t="str">
        <f>TRIM([1]DATABASE!Q974)</f>
        <v>AVAILABLE</v>
      </c>
      <c r="E1013" s="82" t="str">
        <f>_xlfn.TEXTJOIN("; ",TRUE,IF([1]DATABASE!X974&lt;0,"Negative Discount",""),IF(AND([1]DATABASE!Y974&gt;[1]DATABASE!T974,[1]DATABASE!Y974&gt;0,[1]DATABASE!T974&gt;0),"Sell Price &gt; Current",""),IF(AND(TRIM([1]DATABASE!Q974)="DEED",[1]DATABASE!AA974=""),"Deeded no PSPA Date",""),IF([1]DATABASE!E974="","Missing Typology",""),IF([1]DATABASE!AJ974="","Missing Development",""))</f>
        <v/>
      </c>
      <c r="F1013" s="82" t="str">
        <f>_xlfn.TEXTJOIN("; ",TRUE,IF(AND(OR(TRIM([1]DATABASE!Q974)="RESERVED",TRIM([1]DATABASE!Q974)="PRE-RESERVED",TRIM([1]DATABASE!Q974)="PSPA"),[1]DATABASE!AA974=""),"Reserved/PSPA no PSPA Date",""),IF(AND(TRIM([1]DATABASE!Q974)="AVAILABLE",[1]DATABASE!AA974&lt;&gt;""),"Available has PSPA Date",""))</f>
        <v/>
      </c>
      <c r="G1013" s="82" t="str">
        <f>_xlfn.TEXTJOIN("; ",TRUE,IF(AND([1]DATABASE!T974&lt;0.8*[1]DATABASE!S974,[1]DATABASE!T974&gt;0,[1]DATABASE!S974&gt;0),"Heavy Price Cut &gt;20%",""),IF(AND(OR(TRIM([1]DATABASE!Q974)="AVAILABLE",TRIM([1]DATABASE!Q974)="UPON REQUEST"),OR([1]DATABASE!T974="",[1]DATABASE!T974=0)),"Active Unit no Price",""),IF(AND(OR(TRIM([1]DATABASE!Q974)="AVAILABLE",TRIM([1]DATABASE!Q974)="RESERVED",TRIM([1]DATABASE!Q974)="PRE-RESERVED",TRIM([1]DATABASE!Q974)="PSPA"),[1]DATABASE!AC974=""),"Active no Owner",""),IF(OR([1]DATABASE!F974="",[1]DATABASE!F974&lt;=0),"Missing/Invalid Area",""),IF(AND([1]DATABASE!T974&gt;0,ABS([1]DATABASE!T974-[1]DATABASE!W974-[1]DATABASE!U974-[1]DATABASE!V974)&gt;1),"Price Bridge Mismatch",""))</f>
        <v/>
      </c>
      <c r="H1013" t="str">
        <f t="shared" si="18"/>
        <v>PASS</v>
      </c>
      <c r="I1013" s="90">
        <f>[1]DATABASE!T974</f>
        <v>1880000</v>
      </c>
      <c r="J1013" t="str">
        <f>[1]DATABASE!AC974</f>
        <v>Ana Damásio</v>
      </c>
    </row>
    <row r="1014" spans="1:10" ht="13.95" customHeight="1" x14ac:dyDescent="0.3">
      <c r="A1014">
        <f>ROW([1]DATABASE!A975)</f>
        <v>975</v>
      </c>
      <c r="B1014" t="str">
        <f>[1]DATABASE!AJ975</f>
        <v>Zestia</v>
      </c>
      <c r="C1014" t="str">
        <f>[1]DATABASE!C975</f>
        <v>F</v>
      </c>
      <c r="D1014" t="str">
        <f>TRIM([1]DATABASE!Q975)</f>
        <v>AVAILABLE</v>
      </c>
      <c r="E1014" s="82" t="str">
        <f>_xlfn.TEXTJOIN("; ",TRUE,IF([1]DATABASE!X975&lt;0,"Negative Discount",""),IF(AND([1]DATABASE!Y975&gt;[1]DATABASE!T975,[1]DATABASE!Y975&gt;0,[1]DATABASE!T975&gt;0),"Sell Price &gt; Current",""),IF(AND(TRIM([1]DATABASE!Q975)="DEED",[1]DATABASE!AA975=""),"Deeded no PSPA Date",""),IF([1]DATABASE!E975="","Missing Typology",""),IF([1]DATABASE!AJ975="","Missing Development",""))</f>
        <v/>
      </c>
      <c r="F1014" s="82" t="str">
        <f>_xlfn.TEXTJOIN("; ",TRUE,IF(AND(OR(TRIM([1]DATABASE!Q975)="RESERVED",TRIM([1]DATABASE!Q975)="PRE-RESERVED",TRIM([1]DATABASE!Q975)="PSPA"),[1]DATABASE!AA975=""),"Reserved/PSPA no PSPA Date",""),IF(AND(TRIM([1]DATABASE!Q975)="AVAILABLE",[1]DATABASE!AA975&lt;&gt;""),"Available has PSPA Date",""))</f>
        <v/>
      </c>
      <c r="G1014" s="82" t="str">
        <f>_xlfn.TEXTJOIN("; ",TRUE,IF(AND([1]DATABASE!T975&lt;0.8*[1]DATABASE!S975,[1]DATABASE!T975&gt;0,[1]DATABASE!S975&gt;0),"Heavy Price Cut &gt;20%",""),IF(AND(OR(TRIM([1]DATABASE!Q975)="AVAILABLE",TRIM([1]DATABASE!Q975)="UPON REQUEST"),OR([1]DATABASE!T975="",[1]DATABASE!T975=0)),"Active Unit no Price",""),IF(AND(OR(TRIM([1]DATABASE!Q975)="AVAILABLE",TRIM([1]DATABASE!Q975)="RESERVED",TRIM([1]DATABASE!Q975)="PRE-RESERVED",TRIM([1]DATABASE!Q975)="PSPA"),[1]DATABASE!AC975=""),"Active no Owner",""),IF(OR([1]DATABASE!F975="",[1]DATABASE!F975&lt;=0),"Missing/Invalid Area",""),IF(AND([1]DATABASE!T975&gt;0,ABS([1]DATABASE!T975-[1]DATABASE!W975-[1]DATABASE!U975-[1]DATABASE!V975)&gt;1),"Price Bridge Mismatch",""))</f>
        <v/>
      </c>
      <c r="H1014" t="str">
        <f t="shared" si="18"/>
        <v>PASS</v>
      </c>
      <c r="I1014" s="90">
        <f>[1]DATABASE!T975</f>
        <v>1100000</v>
      </c>
      <c r="J1014" t="str">
        <f>[1]DATABASE!AC975</f>
        <v>Ana Damásio</v>
      </c>
    </row>
    <row r="1015" spans="1:10" ht="13.95" customHeight="1" x14ac:dyDescent="0.3">
      <c r="A1015">
        <f>ROW([1]DATABASE!A976)</f>
        <v>976</v>
      </c>
      <c r="B1015" t="str">
        <f>[1]DATABASE!AJ976</f>
        <v>Monte Rei</v>
      </c>
      <c r="C1015" t="str">
        <f>[1]DATABASE!C976</f>
        <v>8</v>
      </c>
      <c r="D1015" t="str">
        <f>TRIM([1]DATABASE!Q976)</f>
        <v>AVAILABLE</v>
      </c>
      <c r="E1015" s="82" t="str">
        <f>_xlfn.TEXTJOIN("; ",TRUE,IF([1]DATABASE!X976&lt;0,"Negative Discount",""),IF(AND([1]DATABASE!Y976&gt;[1]DATABASE!T976,[1]DATABASE!Y976&gt;0,[1]DATABASE!T976&gt;0),"Sell Price &gt; Current",""),IF(AND(TRIM([1]DATABASE!Q976)="DEED",[1]DATABASE!AA976=""),"Deeded no PSPA Date",""),IF([1]DATABASE!E976="","Missing Typology",""),IF([1]DATABASE!AJ976="","Missing Development",""))</f>
        <v/>
      </c>
      <c r="F1015" s="82" t="str">
        <f>_xlfn.TEXTJOIN("; ",TRUE,IF(AND(OR(TRIM([1]DATABASE!Q976)="RESERVED",TRIM([1]DATABASE!Q976)="PRE-RESERVED",TRIM([1]DATABASE!Q976)="PSPA"),[1]DATABASE!AA976=""),"Reserved/PSPA no PSPA Date",""),IF(AND(TRIM([1]DATABASE!Q976)="AVAILABLE",[1]DATABASE!AA976&lt;&gt;""),"Available has PSPA Date",""))</f>
        <v/>
      </c>
      <c r="G1015" s="82" t="str">
        <f>_xlfn.TEXTJOIN("; ",TRUE,IF(AND([1]DATABASE!T976&lt;0.8*[1]DATABASE!S976,[1]DATABASE!T976&gt;0,[1]DATABASE!S976&gt;0),"Heavy Price Cut &gt;20%",""),IF(AND(OR(TRIM([1]DATABASE!Q976)="AVAILABLE",TRIM([1]DATABASE!Q976)="UPON REQUEST"),OR([1]DATABASE!T976="",[1]DATABASE!T976=0)),"Active Unit no Price",""),IF(AND(OR(TRIM([1]DATABASE!Q976)="AVAILABLE",TRIM([1]DATABASE!Q976)="RESERVED",TRIM([1]DATABASE!Q976)="PRE-RESERVED",TRIM([1]DATABASE!Q976)="PSPA"),[1]DATABASE!AC976=""),"Active no Owner",""),IF(OR([1]DATABASE!F976="",[1]DATABASE!F976&lt;=0),"Missing/Invalid Area",""),IF(AND([1]DATABASE!T976&gt;0,ABS([1]DATABASE!T976-[1]DATABASE!W976-[1]DATABASE!U976-[1]DATABASE!V976)&gt;1),"Price Bridge Mismatch",""))</f>
        <v/>
      </c>
      <c r="H1015" t="str">
        <f t="shared" si="18"/>
        <v>PASS</v>
      </c>
      <c r="I1015" s="90">
        <f>[1]DATABASE!T976</f>
        <v>1150000</v>
      </c>
      <c r="J1015" t="str">
        <f>[1]DATABASE!AC976</f>
        <v>Sandra Viegas</v>
      </c>
    </row>
    <row r="1016" spans="1:10" ht="13.95" customHeight="1" x14ac:dyDescent="0.3">
      <c r="A1016">
        <f>ROW([1]DATABASE!A977)</f>
        <v>977</v>
      </c>
      <c r="B1016" t="str">
        <f>[1]DATABASE!AJ977</f>
        <v>Natura Village</v>
      </c>
      <c r="C1016" t="str">
        <f>[1]DATABASE!C977</f>
        <v>G</v>
      </c>
      <c r="D1016" t="str">
        <f>TRIM([1]DATABASE!Q977)</f>
        <v>AVAILABLE</v>
      </c>
      <c r="E1016" s="82" t="str">
        <f>_xlfn.TEXTJOIN("; ",TRUE,IF([1]DATABASE!X977&lt;0,"Negative Discount",""),IF(AND([1]DATABASE!Y977&gt;[1]DATABASE!T977,[1]DATABASE!Y977&gt;0,[1]DATABASE!T977&gt;0),"Sell Price &gt; Current",""),IF(AND(TRIM([1]DATABASE!Q977)="DEED",[1]DATABASE!AA977=""),"Deeded no PSPA Date",""),IF([1]DATABASE!E977="","Missing Typology",""),IF([1]DATABASE!AJ977="","Missing Development",""))</f>
        <v/>
      </c>
      <c r="F1016" s="82" t="str">
        <f>_xlfn.TEXTJOIN("; ",TRUE,IF(AND(OR(TRIM([1]DATABASE!Q977)="RESERVED",TRIM([1]DATABASE!Q977)="PRE-RESERVED",TRIM([1]DATABASE!Q977)="PSPA"),[1]DATABASE!AA977=""),"Reserved/PSPA no PSPA Date",""),IF(AND(TRIM([1]DATABASE!Q977)="AVAILABLE",[1]DATABASE!AA977&lt;&gt;""),"Available has PSPA Date",""))</f>
        <v/>
      </c>
      <c r="G1016" s="82" t="str">
        <f>_xlfn.TEXTJOIN("; ",TRUE,IF(AND([1]DATABASE!T977&lt;0.8*[1]DATABASE!S977,[1]DATABASE!T977&gt;0,[1]DATABASE!S977&gt;0),"Heavy Price Cut &gt;20%",""),IF(AND(OR(TRIM([1]DATABASE!Q977)="AVAILABLE",TRIM([1]DATABASE!Q977)="UPON REQUEST"),OR([1]DATABASE!T977="",[1]DATABASE!T977=0)),"Active Unit no Price",""),IF(AND(OR(TRIM([1]DATABASE!Q977)="AVAILABLE",TRIM([1]DATABASE!Q977)="RESERVED",TRIM([1]DATABASE!Q977)="PRE-RESERVED",TRIM([1]DATABASE!Q977)="PSPA"),[1]DATABASE!AC977=""),"Active no Owner",""),IF(OR([1]DATABASE!F977="",[1]DATABASE!F977&lt;=0),"Missing/Invalid Area",""),IF(AND([1]DATABASE!T977&gt;0,ABS([1]DATABASE!T977-[1]DATABASE!W977-[1]DATABASE!U977-[1]DATABASE!V977)&gt;1),"Price Bridge Mismatch",""))</f>
        <v/>
      </c>
      <c r="H1016" t="str">
        <f t="shared" si="18"/>
        <v>PASS</v>
      </c>
      <c r="I1016" s="90">
        <f>[1]DATABASE!T977</f>
        <v>1320000</v>
      </c>
      <c r="J1016" t="str">
        <f>[1]DATABASE!AC977</f>
        <v>Ana Damásio</v>
      </c>
    </row>
    <row r="1017" spans="1:10" ht="13.95" customHeight="1" x14ac:dyDescent="0.3">
      <c r="A1017">
        <f>ROW([1]DATABASE!A978)</f>
        <v>978</v>
      </c>
      <c r="B1017" t="str">
        <f>[1]DATABASE!AJ978</f>
        <v>Nobilus</v>
      </c>
      <c r="C1017" t="str">
        <f>[1]DATABASE!C978</f>
        <v>G</v>
      </c>
      <c r="D1017" t="str">
        <f>TRIM([1]DATABASE!Q978)</f>
        <v>AVAILABLE</v>
      </c>
      <c r="E1017" s="82" t="str">
        <f>_xlfn.TEXTJOIN("; ",TRUE,IF([1]DATABASE!X978&lt;0,"Negative Discount",""),IF(AND([1]DATABASE!Y978&gt;[1]DATABASE!T978,[1]DATABASE!Y978&gt;0,[1]DATABASE!T978&gt;0),"Sell Price &gt; Current",""),IF(AND(TRIM([1]DATABASE!Q978)="DEED",[1]DATABASE!AA978=""),"Deeded no PSPA Date",""),IF([1]DATABASE!E978="","Missing Typology",""),IF([1]DATABASE!AJ978="","Missing Development",""))</f>
        <v/>
      </c>
      <c r="F1017" s="82" t="str">
        <f>_xlfn.TEXTJOIN("; ",TRUE,IF(AND(OR(TRIM([1]DATABASE!Q978)="RESERVED",TRIM([1]DATABASE!Q978)="PRE-RESERVED",TRIM([1]DATABASE!Q978)="PSPA"),[1]DATABASE!AA978=""),"Reserved/PSPA no PSPA Date",""),IF(AND(TRIM([1]DATABASE!Q978)="AVAILABLE",[1]DATABASE!AA978&lt;&gt;""),"Available has PSPA Date",""))</f>
        <v/>
      </c>
      <c r="G1017" s="82" t="str">
        <f>_xlfn.TEXTJOIN("; ",TRUE,IF(AND([1]DATABASE!T978&lt;0.8*[1]DATABASE!S978,[1]DATABASE!T978&gt;0,[1]DATABASE!S978&gt;0),"Heavy Price Cut &gt;20%",""),IF(AND(OR(TRIM([1]DATABASE!Q978)="AVAILABLE",TRIM([1]DATABASE!Q978)="UPON REQUEST"),OR([1]DATABASE!T978="",[1]DATABASE!T978=0)),"Active Unit no Price",""),IF(AND(OR(TRIM([1]DATABASE!Q978)="AVAILABLE",TRIM([1]DATABASE!Q978)="RESERVED",TRIM([1]DATABASE!Q978)="PRE-RESERVED",TRIM([1]DATABASE!Q978)="PSPA"),[1]DATABASE!AC978=""),"Active no Owner",""),IF(OR([1]DATABASE!F978="",[1]DATABASE!F978&lt;=0),"Missing/Invalid Area",""),IF(AND([1]DATABASE!T978&gt;0,ABS([1]DATABASE!T978-[1]DATABASE!W978-[1]DATABASE!U978-[1]DATABASE!V978)&gt;1),"Price Bridge Mismatch",""))</f>
        <v/>
      </c>
      <c r="H1017" t="str">
        <f t="shared" si="18"/>
        <v>PASS</v>
      </c>
      <c r="I1017" s="90">
        <f>[1]DATABASE!T978</f>
        <v>1080000</v>
      </c>
      <c r="J1017" t="str">
        <f>[1]DATABASE!AC978</f>
        <v>Ana Damásio</v>
      </c>
    </row>
    <row r="1018" spans="1:10" ht="13.95" customHeight="1" x14ac:dyDescent="0.3">
      <c r="A1018">
        <f>ROW([1]DATABASE!A979)</f>
        <v>979</v>
      </c>
      <c r="B1018" t="str">
        <f>[1]DATABASE!AJ979</f>
        <v>Aroeira Collections</v>
      </c>
      <c r="C1018" t="str">
        <f>[1]DATABASE!C979</f>
        <v>316A</v>
      </c>
      <c r="D1018" t="str">
        <f>TRIM([1]DATABASE!Q979)</f>
        <v>AVAILABLE</v>
      </c>
      <c r="E1018" s="82" t="str">
        <f>_xlfn.TEXTJOIN("; ",TRUE,IF([1]DATABASE!X979&lt;0,"Negative Discount",""),IF(AND([1]DATABASE!Y979&gt;[1]DATABASE!T979,[1]DATABASE!Y979&gt;0,[1]DATABASE!T979&gt;0),"Sell Price &gt; Current",""),IF(AND(TRIM([1]DATABASE!Q979)="DEED",[1]DATABASE!AA979=""),"Deeded no PSPA Date",""),IF([1]DATABASE!E979="","Missing Typology",""),IF([1]DATABASE!AJ979="","Missing Development",""))</f>
        <v/>
      </c>
      <c r="F1018" s="82" t="str">
        <f>_xlfn.TEXTJOIN("; ",TRUE,IF(AND(OR(TRIM([1]DATABASE!Q979)="RESERVED",TRIM([1]DATABASE!Q979)="PRE-RESERVED",TRIM([1]DATABASE!Q979)="PSPA"),[1]DATABASE!AA979=""),"Reserved/PSPA no PSPA Date",""),IF(AND(TRIM([1]DATABASE!Q979)="AVAILABLE",[1]DATABASE!AA979&lt;&gt;""),"Available has PSPA Date",""))</f>
        <v/>
      </c>
      <c r="G1018" s="82" t="str">
        <f>_xlfn.TEXTJOIN("; ",TRUE,IF(AND([1]DATABASE!T979&lt;0.8*[1]DATABASE!S979,[1]DATABASE!T979&gt;0,[1]DATABASE!S979&gt;0),"Heavy Price Cut &gt;20%",""),IF(AND(OR(TRIM([1]DATABASE!Q979)="AVAILABLE",TRIM([1]DATABASE!Q979)="UPON REQUEST"),OR([1]DATABASE!T979="",[1]DATABASE!T979=0)),"Active Unit no Price",""),IF(AND(OR(TRIM([1]DATABASE!Q979)="AVAILABLE",TRIM([1]DATABASE!Q979)="RESERVED",TRIM([1]DATABASE!Q979)="PRE-RESERVED",TRIM([1]DATABASE!Q979)="PSPA"),[1]DATABASE!AC979=""),"Active no Owner",""),IF(OR([1]DATABASE!F979="",[1]DATABASE!F979&lt;=0),"Missing/Invalid Area",""),IF(AND([1]DATABASE!T979&gt;0,ABS([1]DATABASE!T979-[1]DATABASE!W979-[1]DATABASE!U979-[1]DATABASE!V979)&gt;1),"Price Bridge Mismatch",""))</f>
        <v/>
      </c>
      <c r="H1018" t="str">
        <f t="shared" si="18"/>
        <v>PASS</v>
      </c>
      <c r="I1018" s="90">
        <f>[1]DATABASE!T979</f>
        <v>470000</v>
      </c>
      <c r="J1018" t="str">
        <f>[1]DATABASE!AC979</f>
        <v>João Gameiro</v>
      </c>
    </row>
    <row r="1019" spans="1:10" ht="13.95" customHeight="1" x14ac:dyDescent="0.3">
      <c r="A1019">
        <f>ROW([1]DATABASE!A980)</f>
        <v>980</v>
      </c>
      <c r="B1019" t="str">
        <f>[1]DATABASE!AJ980</f>
        <v>Aroeira Collections</v>
      </c>
      <c r="C1019" t="str">
        <f>[1]DATABASE!C980</f>
        <v>317A</v>
      </c>
      <c r="D1019" t="str">
        <f>TRIM([1]DATABASE!Q980)</f>
        <v>AVAILABLE</v>
      </c>
      <c r="E1019" s="82" t="str">
        <f>_xlfn.TEXTJOIN("; ",TRUE,IF([1]DATABASE!X980&lt;0,"Negative Discount",""),IF(AND([1]DATABASE!Y980&gt;[1]DATABASE!T980,[1]DATABASE!Y980&gt;0,[1]DATABASE!T980&gt;0),"Sell Price &gt; Current",""),IF(AND(TRIM([1]DATABASE!Q980)="DEED",[1]DATABASE!AA980=""),"Deeded no PSPA Date",""),IF([1]DATABASE!E980="","Missing Typology",""),IF([1]DATABASE!AJ980="","Missing Development",""))</f>
        <v/>
      </c>
      <c r="F1019" s="82" t="str">
        <f>_xlfn.TEXTJOIN("; ",TRUE,IF(AND(OR(TRIM([1]DATABASE!Q980)="RESERVED",TRIM([1]DATABASE!Q980)="PRE-RESERVED",TRIM([1]DATABASE!Q980)="PSPA"),[1]DATABASE!AA980=""),"Reserved/PSPA no PSPA Date",""),IF(AND(TRIM([1]DATABASE!Q980)="AVAILABLE",[1]DATABASE!AA980&lt;&gt;""),"Available has PSPA Date",""))</f>
        <v/>
      </c>
      <c r="G1019" s="82" t="str">
        <f>_xlfn.TEXTJOIN("; ",TRUE,IF(AND([1]DATABASE!T980&lt;0.8*[1]DATABASE!S980,[1]DATABASE!T980&gt;0,[1]DATABASE!S980&gt;0),"Heavy Price Cut &gt;20%",""),IF(AND(OR(TRIM([1]DATABASE!Q980)="AVAILABLE",TRIM([1]DATABASE!Q980)="UPON REQUEST"),OR([1]DATABASE!T980="",[1]DATABASE!T980=0)),"Active Unit no Price",""),IF(AND(OR(TRIM([1]DATABASE!Q980)="AVAILABLE",TRIM([1]DATABASE!Q980)="RESERVED",TRIM([1]DATABASE!Q980)="PRE-RESERVED",TRIM([1]DATABASE!Q980)="PSPA"),[1]DATABASE!AC980=""),"Active no Owner",""),IF(OR([1]DATABASE!F980="",[1]DATABASE!F980&lt;=0),"Missing/Invalid Area",""),IF(AND([1]DATABASE!T980&gt;0,ABS([1]DATABASE!T980-[1]DATABASE!W980-[1]DATABASE!U980-[1]DATABASE!V980)&gt;1),"Price Bridge Mismatch",""))</f>
        <v/>
      </c>
      <c r="H1019" t="str">
        <f t="shared" si="18"/>
        <v>PASS</v>
      </c>
      <c r="I1019" s="90">
        <f>[1]DATABASE!T980</f>
        <v>470000</v>
      </c>
      <c r="J1019" t="str">
        <f>[1]DATABASE!AC980</f>
        <v>João Gameiro</v>
      </c>
    </row>
    <row r="1020" spans="1:10" ht="13.95" customHeight="1" x14ac:dyDescent="0.3">
      <c r="A1020">
        <f>ROW([1]DATABASE!A981)</f>
        <v>981</v>
      </c>
      <c r="B1020" t="str">
        <f>[1]DATABASE!AJ981</f>
        <v>Rivus</v>
      </c>
      <c r="C1020" t="str">
        <f>[1]DATABASE!C981</f>
        <v>G</v>
      </c>
      <c r="D1020" t="str">
        <f>TRIM([1]DATABASE!Q981)</f>
        <v>AVAILABLE</v>
      </c>
      <c r="E1020" s="82" t="str">
        <f>_xlfn.TEXTJOIN("; ",TRUE,IF([1]DATABASE!X981&lt;0,"Negative Discount",""),IF(AND([1]DATABASE!Y981&gt;[1]DATABASE!T981,[1]DATABASE!Y981&gt;0,[1]DATABASE!T981&gt;0),"Sell Price &gt; Current",""),IF(AND(TRIM([1]DATABASE!Q981)="DEED",[1]DATABASE!AA981=""),"Deeded no PSPA Date",""),IF([1]DATABASE!E981="","Missing Typology",""),IF([1]DATABASE!AJ981="","Missing Development",""))</f>
        <v/>
      </c>
      <c r="F1020" s="82" t="str">
        <f>_xlfn.TEXTJOIN("; ",TRUE,IF(AND(OR(TRIM([1]DATABASE!Q981)="RESERVED",TRIM([1]DATABASE!Q981)="PRE-RESERVED",TRIM([1]DATABASE!Q981)="PSPA"),[1]DATABASE!AA981=""),"Reserved/PSPA no PSPA Date",""),IF(AND(TRIM([1]DATABASE!Q981)="AVAILABLE",[1]DATABASE!AA981&lt;&gt;""),"Available has PSPA Date",""))</f>
        <v/>
      </c>
      <c r="G1020" s="82" t="str">
        <f>_xlfn.TEXTJOIN("; ",TRUE,IF(AND([1]DATABASE!T981&lt;0.8*[1]DATABASE!S981,[1]DATABASE!T981&gt;0,[1]DATABASE!S981&gt;0),"Heavy Price Cut &gt;20%",""),IF(AND(OR(TRIM([1]DATABASE!Q981)="AVAILABLE",TRIM([1]DATABASE!Q981)="UPON REQUEST"),OR([1]DATABASE!T981="",[1]DATABASE!T981=0)),"Active Unit no Price",""),IF(AND(OR(TRIM([1]DATABASE!Q981)="AVAILABLE",TRIM([1]DATABASE!Q981)="RESERVED",TRIM([1]DATABASE!Q981)="PRE-RESERVED",TRIM([1]DATABASE!Q981)="PSPA"),[1]DATABASE!AC981=""),"Active no Owner",""),IF(OR([1]DATABASE!F981="",[1]DATABASE!F981&lt;=0),"Missing/Invalid Area",""),IF(AND([1]DATABASE!T981&gt;0,ABS([1]DATABASE!T981-[1]DATABASE!W981-[1]DATABASE!U981-[1]DATABASE!V981)&gt;1),"Price Bridge Mismatch",""))</f>
        <v>Missing/Invalid Area</v>
      </c>
      <c r="H1020" t="str">
        <f t="shared" si="18"/>
        <v>REVIEW</v>
      </c>
      <c r="I1020" s="90">
        <f>[1]DATABASE!T981</f>
        <v>890000</v>
      </c>
      <c r="J1020" t="str">
        <f>[1]DATABASE!AC981</f>
        <v>Ana Damásio</v>
      </c>
    </row>
    <row r="1021" spans="1:10" ht="13.95" customHeight="1" x14ac:dyDescent="0.3">
      <c r="A1021">
        <f>ROW([1]DATABASE!A982)</f>
        <v>982</v>
      </c>
      <c r="B1021" t="str">
        <f>[1]DATABASE!AJ982</f>
        <v>Springs - At the Els</v>
      </c>
      <c r="C1021" t="str">
        <f>[1]DATABASE!C982</f>
        <v>G</v>
      </c>
      <c r="D1021" t="str">
        <f>TRIM([1]DATABASE!Q982)</f>
        <v>AVAILABLE</v>
      </c>
      <c r="E1021" s="82" t="str">
        <f>_xlfn.TEXTJOIN("; ",TRUE,IF([1]DATABASE!X982&lt;0,"Negative Discount",""),IF(AND([1]DATABASE!Y982&gt;[1]DATABASE!T982,[1]DATABASE!Y982&gt;0,[1]DATABASE!T982&gt;0),"Sell Price &gt; Current",""),IF(AND(TRIM([1]DATABASE!Q982)="DEED",[1]DATABASE!AA982=""),"Deeded no PSPA Date",""),IF([1]DATABASE!E982="","Missing Typology",""),IF([1]DATABASE!AJ982="","Missing Development",""))</f>
        <v/>
      </c>
      <c r="F1021" s="82" t="str">
        <f>_xlfn.TEXTJOIN("; ",TRUE,IF(AND(OR(TRIM([1]DATABASE!Q982)="RESERVED",TRIM([1]DATABASE!Q982)="PRE-RESERVED",TRIM([1]DATABASE!Q982)="PSPA"),[1]DATABASE!AA982=""),"Reserved/PSPA no PSPA Date",""),IF(AND(TRIM([1]DATABASE!Q982)="AVAILABLE",[1]DATABASE!AA982&lt;&gt;""),"Available has PSPA Date",""))</f>
        <v/>
      </c>
      <c r="G1021" s="82" t="str">
        <f>_xlfn.TEXTJOIN("; ",TRUE,IF(AND([1]DATABASE!T982&lt;0.8*[1]DATABASE!S982,[1]DATABASE!T982&gt;0,[1]DATABASE!S982&gt;0),"Heavy Price Cut &gt;20%",""),IF(AND(OR(TRIM([1]DATABASE!Q982)="AVAILABLE",TRIM([1]DATABASE!Q982)="UPON REQUEST"),OR([1]DATABASE!T982="",[1]DATABASE!T982=0)),"Active Unit no Price",""),IF(AND(OR(TRIM([1]DATABASE!Q982)="AVAILABLE",TRIM([1]DATABASE!Q982)="RESERVED",TRIM([1]DATABASE!Q982)="PRE-RESERVED",TRIM([1]DATABASE!Q982)="PSPA"),[1]DATABASE!AC982=""),"Active no Owner",""),IF(OR([1]DATABASE!F982="",[1]DATABASE!F982&lt;=0),"Missing/Invalid Area",""),IF(AND([1]DATABASE!T982&gt;0,ABS([1]DATABASE!T982-[1]DATABASE!W982-[1]DATABASE!U982-[1]DATABASE!V982)&gt;1),"Price Bridge Mismatch",""))</f>
        <v/>
      </c>
      <c r="H1021" t="str">
        <f t="shared" si="18"/>
        <v>PASS</v>
      </c>
      <c r="I1021" s="90">
        <f>[1]DATABASE!T982</f>
        <v>1880000</v>
      </c>
      <c r="J1021" t="str">
        <f>[1]DATABASE!AC982</f>
        <v>Ana Damásio</v>
      </c>
    </row>
    <row r="1022" spans="1:10" ht="13.95" customHeight="1" x14ac:dyDescent="0.3">
      <c r="A1022">
        <f>ROW([1]DATABASE!A983)</f>
        <v>983</v>
      </c>
      <c r="B1022" t="str">
        <f>[1]DATABASE!AJ983</f>
        <v>Zestia</v>
      </c>
      <c r="C1022" t="str">
        <f>[1]DATABASE!C983</f>
        <v>G</v>
      </c>
      <c r="D1022" t="str">
        <f>TRIM([1]DATABASE!Q983)</f>
        <v>AVAILABLE</v>
      </c>
      <c r="E1022" s="82" t="str">
        <f>_xlfn.TEXTJOIN("; ",TRUE,IF([1]DATABASE!X983&lt;0,"Negative Discount",""),IF(AND([1]DATABASE!Y983&gt;[1]DATABASE!T983,[1]DATABASE!Y983&gt;0,[1]DATABASE!T983&gt;0),"Sell Price &gt; Current",""),IF(AND(TRIM([1]DATABASE!Q983)="DEED",[1]DATABASE!AA983=""),"Deeded no PSPA Date",""),IF([1]DATABASE!E983="","Missing Typology",""),IF([1]DATABASE!AJ983="","Missing Development",""))</f>
        <v/>
      </c>
      <c r="F1022" s="82" t="str">
        <f>_xlfn.TEXTJOIN("; ",TRUE,IF(AND(OR(TRIM([1]DATABASE!Q983)="RESERVED",TRIM([1]DATABASE!Q983)="PRE-RESERVED",TRIM([1]DATABASE!Q983)="PSPA"),[1]DATABASE!AA983=""),"Reserved/PSPA no PSPA Date",""),IF(AND(TRIM([1]DATABASE!Q983)="AVAILABLE",[1]DATABASE!AA983&lt;&gt;""),"Available has PSPA Date",""))</f>
        <v/>
      </c>
      <c r="G1022" s="82" t="str">
        <f>_xlfn.TEXTJOIN("; ",TRUE,IF(AND([1]DATABASE!T983&lt;0.8*[1]DATABASE!S983,[1]DATABASE!T983&gt;0,[1]DATABASE!S983&gt;0),"Heavy Price Cut &gt;20%",""),IF(AND(OR(TRIM([1]DATABASE!Q983)="AVAILABLE",TRIM([1]DATABASE!Q983)="UPON REQUEST"),OR([1]DATABASE!T983="",[1]DATABASE!T983=0)),"Active Unit no Price",""),IF(AND(OR(TRIM([1]DATABASE!Q983)="AVAILABLE",TRIM([1]DATABASE!Q983)="RESERVED",TRIM([1]DATABASE!Q983)="PRE-RESERVED",TRIM([1]DATABASE!Q983)="PSPA"),[1]DATABASE!AC983=""),"Active no Owner",""),IF(OR([1]DATABASE!F983="",[1]DATABASE!F983&lt;=0),"Missing/Invalid Area",""),IF(AND([1]DATABASE!T983&gt;0,ABS([1]DATABASE!T983-[1]DATABASE!W983-[1]DATABASE!U983-[1]DATABASE!V983)&gt;1),"Price Bridge Mismatch",""))</f>
        <v/>
      </c>
      <c r="H1022" t="str">
        <f t="shared" si="18"/>
        <v>PASS</v>
      </c>
      <c r="I1022" s="90">
        <f>[1]DATABASE!T983</f>
        <v>630000</v>
      </c>
      <c r="J1022" t="str">
        <f>[1]DATABASE!AC983</f>
        <v>Ana Damásio</v>
      </c>
    </row>
    <row r="1023" spans="1:10" ht="13.95" customHeight="1" x14ac:dyDescent="0.3">
      <c r="A1023">
        <f>ROW([1]DATABASE!A984)</f>
        <v>984</v>
      </c>
      <c r="B1023" t="str">
        <f>[1]DATABASE!AJ984</f>
        <v>Aroeira Collections</v>
      </c>
      <c r="C1023" t="str">
        <f>[1]DATABASE!C984</f>
        <v>318A</v>
      </c>
      <c r="D1023" t="str">
        <f>TRIM([1]DATABASE!Q984)</f>
        <v>AVAILABLE</v>
      </c>
      <c r="E1023" s="82" t="str">
        <f>_xlfn.TEXTJOIN("; ",TRUE,IF([1]DATABASE!X984&lt;0,"Negative Discount",""),IF(AND([1]DATABASE!Y984&gt;[1]DATABASE!T984,[1]DATABASE!Y984&gt;0,[1]DATABASE!T984&gt;0),"Sell Price &gt; Current",""),IF(AND(TRIM([1]DATABASE!Q984)="DEED",[1]DATABASE!AA984=""),"Deeded no PSPA Date",""),IF([1]DATABASE!E984="","Missing Typology",""),IF([1]DATABASE!AJ984="","Missing Development",""))</f>
        <v/>
      </c>
      <c r="F1023" s="82" t="str">
        <f>_xlfn.TEXTJOIN("; ",TRUE,IF(AND(OR(TRIM([1]DATABASE!Q984)="RESERVED",TRIM([1]DATABASE!Q984)="PRE-RESERVED",TRIM([1]DATABASE!Q984)="PSPA"),[1]DATABASE!AA984=""),"Reserved/PSPA no PSPA Date",""),IF(AND(TRIM([1]DATABASE!Q984)="AVAILABLE",[1]DATABASE!AA984&lt;&gt;""),"Available has PSPA Date",""))</f>
        <v/>
      </c>
      <c r="G1023" s="82" t="str">
        <f>_xlfn.TEXTJOIN("; ",TRUE,IF(AND([1]DATABASE!T984&lt;0.8*[1]DATABASE!S984,[1]DATABASE!T984&gt;0,[1]DATABASE!S984&gt;0),"Heavy Price Cut &gt;20%",""),IF(AND(OR(TRIM([1]DATABASE!Q984)="AVAILABLE",TRIM([1]DATABASE!Q984)="UPON REQUEST"),OR([1]DATABASE!T984="",[1]DATABASE!T984=0)),"Active Unit no Price",""),IF(AND(OR(TRIM([1]DATABASE!Q984)="AVAILABLE",TRIM([1]DATABASE!Q984)="RESERVED",TRIM([1]DATABASE!Q984)="PRE-RESERVED",TRIM([1]DATABASE!Q984)="PSPA"),[1]DATABASE!AC984=""),"Active no Owner",""),IF(OR([1]DATABASE!F984="",[1]DATABASE!F984&lt;=0),"Missing/Invalid Area",""),IF(AND([1]DATABASE!T984&gt;0,ABS([1]DATABASE!T984-[1]DATABASE!W984-[1]DATABASE!U984-[1]DATABASE!V984)&gt;1),"Price Bridge Mismatch",""))</f>
        <v/>
      </c>
      <c r="H1023" t="str">
        <f t="shared" si="18"/>
        <v>PASS</v>
      </c>
      <c r="I1023" s="90">
        <f>[1]DATABASE!T984</f>
        <v>470000</v>
      </c>
      <c r="J1023" t="str">
        <f>[1]DATABASE!AC984</f>
        <v>João Gameiro</v>
      </c>
    </row>
    <row r="1024" spans="1:10" ht="13.95" customHeight="1" x14ac:dyDescent="0.3">
      <c r="A1024">
        <f>ROW([1]DATABASE!A985)</f>
        <v>985</v>
      </c>
      <c r="B1024" t="str">
        <f>[1]DATABASE!AJ985</f>
        <v>Monte Rei</v>
      </c>
      <c r="C1024" t="str">
        <f>[1]DATABASE!C985</f>
        <v>4</v>
      </c>
      <c r="D1024" t="str">
        <f>TRIM([1]DATABASE!Q985)</f>
        <v>AVAILABLE</v>
      </c>
      <c r="E1024" s="82" t="str">
        <f>_xlfn.TEXTJOIN("; ",TRUE,IF([1]DATABASE!X985&lt;0,"Negative Discount",""),IF(AND([1]DATABASE!Y985&gt;[1]DATABASE!T985,[1]DATABASE!Y985&gt;0,[1]DATABASE!T985&gt;0),"Sell Price &gt; Current",""),IF(AND(TRIM([1]DATABASE!Q985)="DEED",[1]DATABASE!AA985=""),"Deeded no PSPA Date",""),IF([1]DATABASE!E985="","Missing Typology",""),IF([1]DATABASE!AJ985="","Missing Development",""))</f>
        <v/>
      </c>
      <c r="F1024" s="82" t="str">
        <f>_xlfn.TEXTJOIN("; ",TRUE,IF(AND(OR(TRIM([1]DATABASE!Q985)="RESERVED",TRIM([1]DATABASE!Q985)="PRE-RESERVED",TRIM([1]DATABASE!Q985)="PSPA"),[1]DATABASE!AA985=""),"Reserved/PSPA no PSPA Date",""),IF(AND(TRIM([1]DATABASE!Q985)="AVAILABLE",[1]DATABASE!AA985&lt;&gt;""),"Available has PSPA Date",""))</f>
        <v/>
      </c>
      <c r="G1024" s="82" t="str">
        <f>_xlfn.TEXTJOIN("; ",TRUE,IF(AND([1]DATABASE!T985&lt;0.8*[1]DATABASE!S985,[1]DATABASE!T985&gt;0,[1]DATABASE!S985&gt;0),"Heavy Price Cut &gt;20%",""),IF(AND(OR(TRIM([1]DATABASE!Q985)="AVAILABLE",TRIM([1]DATABASE!Q985)="UPON REQUEST"),OR([1]DATABASE!T985="",[1]DATABASE!T985=0)),"Active Unit no Price",""),IF(AND(OR(TRIM([1]DATABASE!Q985)="AVAILABLE",TRIM([1]DATABASE!Q985)="RESERVED",TRIM([1]DATABASE!Q985)="PRE-RESERVED",TRIM([1]DATABASE!Q985)="PSPA"),[1]DATABASE!AC985=""),"Active no Owner",""),IF(OR([1]DATABASE!F985="",[1]DATABASE!F985&lt;=0),"Missing/Invalid Area",""),IF(AND([1]DATABASE!T985&gt;0,ABS([1]DATABASE!T985-[1]DATABASE!W985-[1]DATABASE!U985-[1]DATABASE!V985)&gt;1),"Price Bridge Mismatch",""))</f>
        <v>Heavy Price Cut &gt;20%</v>
      </c>
      <c r="H1024" t="str">
        <f t="shared" si="18"/>
        <v>REVIEW</v>
      </c>
      <c r="I1024" s="90">
        <f>[1]DATABASE!T985</f>
        <v>1050000</v>
      </c>
      <c r="J1024" t="str">
        <f>[1]DATABASE!AC985</f>
        <v>Sandra Viegas</v>
      </c>
    </row>
    <row r="1025" spans="1:10" ht="13.95" customHeight="1" x14ac:dyDescent="0.3">
      <c r="A1025">
        <f>ROW([1]DATABASE!A986)</f>
        <v>986</v>
      </c>
      <c r="B1025" t="str">
        <f>[1]DATABASE!AJ986</f>
        <v>Monte Rei</v>
      </c>
      <c r="C1025" t="str">
        <f>[1]DATABASE!C986</f>
        <v>9</v>
      </c>
      <c r="D1025" t="str">
        <f>TRIM([1]DATABASE!Q986)</f>
        <v>AVAILABLE</v>
      </c>
      <c r="E1025" s="82" t="str">
        <f>_xlfn.TEXTJOIN("; ",TRUE,IF([1]DATABASE!X986&lt;0,"Negative Discount",""),IF(AND([1]DATABASE!Y986&gt;[1]DATABASE!T986,[1]DATABASE!Y986&gt;0,[1]DATABASE!T986&gt;0),"Sell Price &gt; Current",""),IF(AND(TRIM([1]DATABASE!Q986)="DEED",[1]DATABASE!AA986=""),"Deeded no PSPA Date",""),IF([1]DATABASE!E986="","Missing Typology",""),IF([1]DATABASE!AJ986="","Missing Development",""))</f>
        <v/>
      </c>
      <c r="F1025" s="82" t="str">
        <f>_xlfn.TEXTJOIN("; ",TRUE,IF(AND(OR(TRIM([1]DATABASE!Q986)="RESERVED",TRIM([1]DATABASE!Q986)="PRE-RESERVED",TRIM([1]DATABASE!Q986)="PSPA"),[1]DATABASE!AA986=""),"Reserved/PSPA no PSPA Date",""),IF(AND(TRIM([1]DATABASE!Q986)="AVAILABLE",[1]DATABASE!AA986&lt;&gt;""),"Available has PSPA Date",""))</f>
        <v/>
      </c>
      <c r="G1025" s="82" t="str">
        <f>_xlfn.TEXTJOIN("; ",TRUE,IF(AND([1]DATABASE!T986&lt;0.8*[1]DATABASE!S986,[1]DATABASE!T986&gt;0,[1]DATABASE!S986&gt;0),"Heavy Price Cut &gt;20%",""),IF(AND(OR(TRIM([1]DATABASE!Q986)="AVAILABLE",TRIM([1]DATABASE!Q986)="UPON REQUEST"),OR([1]DATABASE!T986="",[1]DATABASE!T986=0)),"Active Unit no Price",""),IF(AND(OR(TRIM([1]DATABASE!Q986)="AVAILABLE",TRIM([1]DATABASE!Q986)="RESERVED",TRIM([1]DATABASE!Q986)="PRE-RESERVED",TRIM([1]DATABASE!Q986)="PSPA"),[1]DATABASE!AC986=""),"Active no Owner",""),IF(OR([1]DATABASE!F986="",[1]DATABASE!F986&lt;=0),"Missing/Invalid Area",""),IF(AND([1]DATABASE!T986&gt;0,ABS([1]DATABASE!T986-[1]DATABASE!W986-[1]DATABASE!U986-[1]DATABASE!V986)&gt;1),"Price Bridge Mismatch",""))</f>
        <v/>
      </c>
      <c r="H1025" t="str">
        <f t="shared" si="18"/>
        <v>PASS</v>
      </c>
      <c r="I1025" s="90">
        <f>[1]DATABASE!T986</f>
        <v>1200000</v>
      </c>
      <c r="J1025" t="str">
        <f>[1]DATABASE!AC986</f>
        <v>Sandra Viegas</v>
      </c>
    </row>
    <row r="1026" spans="1:10" ht="13.95" customHeight="1" x14ac:dyDescent="0.3">
      <c r="A1026">
        <f>ROW([1]DATABASE!A987)</f>
        <v>987</v>
      </c>
      <c r="B1026" t="str">
        <f>[1]DATABASE!AJ987</f>
        <v>Monte Rei</v>
      </c>
      <c r="C1026" t="str">
        <f>[1]DATABASE!C987</f>
        <v>7</v>
      </c>
      <c r="D1026" t="str">
        <f>TRIM([1]DATABASE!Q987)</f>
        <v>AVAILABLE</v>
      </c>
      <c r="E1026" s="82" t="str">
        <f>_xlfn.TEXTJOIN("; ",TRUE,IF([1]DATABASE!X987&lt;0,"Negative Discount",""),IF(AND([1]DATABASE!Y987&gt;[1]DATABASE!T987,[1]DATABASE!Y987&gt;0,[1]DATABASE!T987&gt;0),"Sell Price &gt; Current",""),IF(AND(TRIM([1]DATABASE!Q987)="DEED",[1]DATABASE!AA987=""),"Deeded no PSPA Date",""),IF([1]DATABASE!E987="","Missing Typology",""),IF([1]DATABASE!AJ987="","Missing Development",""))</f>
        <v/>
      </c>
      <c r="F1026" s="82" t="str">
        <f>_xlfn.TEXTJOIN("; ",TRUE,IF(AND(OR(TRIM([1]DATABASE!Q987)="RESERVED",TRIM([1]DATABASE!Q987)="PRE-RESERVED",TRIM([1]DATABASE!Q987)="PSPA"),[1]DATABASE!AA987=""),"Reserved/PSPA no PSPA Date",""),IF(AND(TRIM([1]DATABASE!Q987)="AVAILABLE",[1]DATABASE!AA987&lt;&gt;""),"Available has PSPA Date",""))</f>
        <v/>
      </c>
      <c r="G1026" s="82" t="str">
        <f>_xlfn.TEXTJOIN("; ",TRUE,IF(AND([1]DATABASE!T987&lt;0.8*[1]DATABASE!S987,[1]DATABASE!T987&gt;0,[1]DATABASE!S987&gt;0),"Heavy Price Cut &gt;20%",""),IF(AND(OR(TRIM([1]DATABASE!Q987)="AVAILABLE",TRIM([1]DATABASE!Q987)="UPON REQUEST"),OR([1]DATABASE!T987="",[1]DATABASE!T987=0)),"Active Unit no Price",""),IF(AND(OR(TRIM([1]DATABASE!Q987)="AVAILABLE",TRIM([1]DATABASE!Q987)="RESERVED",TRIM([1]DATABASE!Q987)="PRE-RESERVED",TRIM([1]DATABASE!Q987)="PSPA"),[1]DATABASE!AC987=""),"Active no Owner",""),IF(OR([1]DATABASE!F987="",[1]DATABASE!F987&lt;=0),"Missing/Invalid Area",""),IF(AND([1]DATABASE!T987&gt;0,ABS([1]DATABASE!T987-[1]DATABASE!W987-[1]DATABASE!U987-[1]DATABASE!V987)&gt;1),"Price Bridge Mismatch",""))</f>
        <v/>
      </c>
      <c r="H1026" t="str">
        <f t="shared" si="18"/>
        <v>PASS</v>
      </c>
      <c r="I1026" s="90">
        <f>[1]DATABASE!T987</f>
        <v>1210000</v>
      </c>
      <c r="J1026" t="str">
        <f>[1]DATABASE!AC987</f>
        <v>Sandra Viegas</v>
      </c>
    </row>
    <row r="1027" spans="1:10" ht="13.95" customHeight="1" x14ac:dyDescent="0.3">
      <c r="A1027">
        <f>ROW([1]DATABASE!A988)</f>
        <v>988</v>
      </c>
      <c r="B1027" t="str">
        <f>[1]DATABASE!AJ988</f>
        <v>Aroeira Collections</v>
      </c>
      <c r="C1027" t="str">
        <f>[1]DATABASE!C988</f>
        <v>319A</v>
      </c>
      <c r="D1027" t="str">
        <f>TRIM([1]DATABASE!Q988)</f>
        <v>AVAILABLE</v>
      </c>
      <c r="E1027" s="82" t="str">
        <f>_xlfn.TEXTJOIN("; ",TRUE,IF([1]DATABASE!X988&lt;0,"Negative Discount",""),IF(AND([1]DATABASE!Y988&gt;[1]DATABASE!T988,[1]DATABASE!Y988&gt;0,[1]DATABASE!T988&gt;0),"Sell Price &gt; Current",""),IF(AND(TRIM([1]DATABASE!Q988)="DEED",[1]DATABASE!AA988=""),"Deeded no PSPA Date",""),IF([1]DATABASE!E988="","Missing Typology",""),IF([1]DATABASE!AJ988="","Missing Development",""))</f>
        <v/>
      </c>
      <c r="F1027" s="82" t="str">
        <f>_xlfn.TEXTJOIN("; ",TRUE,IF(AND(OR(TRIM([1]DATABASE!Q988)="RESERVED",TRIM([1]DATABASE!Q988)="PRE-RESERVED",TRIM([1]DATABASE!Q988)="PSPA"),[1]DATABASE!AA988=""),"Reserved/PSPA no PSPA Date",""),IF(AND(TRIM([1]DATABASE!Q988)="AVAILABLE",[1]DATABASE!AA988&lt;&gt;""),"Available has PSPA Date",""))</f>
        <v/>
      </c>
      <c r="G1027" s="82" t="str">
        <f>_xlfn.TEXTJOIN("; ",TRUE,IF(AND([1]DATABASE!T988&lt;0.8*[1]DATABASE!S988,[1]DATABASE!T988&gt;0,[1]DATABASE!S988&gt;0),"Heavy Price Cut &gt;20%",""),IF(AND(OR(TRIM([1]DATABASE!Q988)="AVAILABLE",TRIM([1]DATABASE!Q988)="UPON REQUEST"),OR([1]DATABASE!T988="",[1]DATABASE!T988=0)),"Active Unit no Price",""),IF(AND(OR(TRIM([1]DATABASE!Q988)="AVAILABLE",TRIM([1]DATABASE!Q988)="RESERVED",TRIM([1]DATABASE!Q988)="PRE-RESERVED",TRIM([1]DATABASE!Q988)="PSPA"),[1]DATABASE!AC988=""),"Active no Owner",""),IF(OR([1]DATABASE!F988="",[1]DATABASE!F988&lt;=0),"Missing/Invalid Area",""),IF(AND([1]DATABASE!T988&gt;0,ABS([1]DATABASE!T988-[1]DATABASE!W988-[1]DATABASE!U988-[1]DATABASE!V988)&gt;1),"Price Bridge Mismatch",""))</f>
        <v/>
      </c>
      <c r="H1027" t="str">
        <f t="shared" si="18"/>
        <v>PASS</v>
      </c>
      <c r="I1027" s="90">
        <f>[1]DATABASE!T988</f>
        <v>470000</v>
      </c>
      <c r="J1027" t="str">
        <f>[1]DATABASE!AC988</f>
        <v>João Gameiro</v>
      </c>
    </row>
    <row r="1028" spans="1:10" ht="13.95" customHeight="1" x14ac:dyDescent="0.3">
      <c r="A1028">
        <f>ROW([1]DATABASE!A989)</f>
        <v>989</v>
      </c>
      <c r="B1028" t="str">
        <f>[1]DATABASE!AJ989</f>
        <v>Monte Rei</v>
      </c>
      <c r="C1028" t="str">
        <f>[1]DATABASE!C989</f>
        <v>W</v>
      </c>
      <c r="D1028" t="str">
        <f>TRIM([1]DATABASE!Q989)</f>
        <v>AVAILABLE</v>
      </c>
      <c r="E1028" s="82" t="str">
        <f>_xlfn.TEXTJOIN("; ",TRUE,IF([1]DATABASE!X989&lt;0,"Negative Discount",""),IF(AND([1]DATABASE!Y989&gt;[1]DATABASE!T989,[1]DATABASE!Y989&gt;0,[1]DATABASE!T989&gt;0),"Sell Price &gt; Current",""),IF(AND(TRIM([1]DATABASE!Q989)="DEED",[1]DATABASE!AA989=""),"Deeded no PSPA Date",""),IF([1]DATABASE!E989="","Missing Typology",""),IF([1]DATABASE!AJ989="","Missing Development",""))</f>
        <v/>
      </c>
      <c r="F1028" s="82" t="str">
        <f>_xlfn.TEXTJOIN("; ",TRUE,IF(AND(OR(TRIM([1]DATABASE!Q989)="RESERVED",TRIM([1]DATABASE!Q989)="PRE-RESERVED",TRIM([1]DATABASE!Q989)="PSPA"),[1]DATABASE!AA989=""),"Reserved/PSPA no PSPA Date",""),IF(AND(TRIM([1]DATABASE!Q989)="AVAILABLE",[1]DATABASE!AA989&lt;&gt;""),"Available has PSPA Date",""))</f>
        <v/>
      </c>
      <c r="G1028" s="82" t="str">
        <f>_xlfn.TEXTJOIN("; ",TRUE,IF(AND([1]DATABASE!T989&lt;0.8*[1]DATABASE!S989,[1]DATABASE!T989&gt;0,[1]DATABASE!S989&gt;0),"Heavy Price Cut &gt;20%",""),IF(AND(OR(TRIM([1]DATABASE!Q989)="AVAILABLE",TRIM([1]DATABASE!Q989)="UPON REQUEST"),OR([1]DATABASE!T989="",[1]DATABASE!T989=0)),"Active Unit no Price",""),IF(AND(OR(TRIM([1]DATABASE!Q989)="AVAILABLE",TRIM([1]DATABASE!Q989)="RESERVED",TRIM([1]DATABASE!Q989)="PRE-RESERVED",TRIM([1]DATABASE!Q989)="PSPA"),[1]DATABASE!AC989=""),"Active no Owner",""),IF(OR([1]DATABASE!F989="",[1]DATABASE!F989&lt;=0),"Missing/Invalid Area",""),IF(AND([1]DATABASE!T989&gt;0,ABS([1]DATABASE!T989-[1]DATABASE!W989-[1]DATABASE!U989-[1]DATABASE!V989)&gt;1),"Price Bridge Mismatch",""))</f>
        <v/>
      </c>
      <c r="H1028" t="str">
        <f t="shared" si="18"/>
        <v>PASS</v>
      </c>
      <c r="I1028" s="90">
        <f>[1]DATABASE!T989</f>
        <v>1440000</v>
      </c>
      <c r="J1028" t="str">
        <f>[1]DATABASE!AC989</f>
        <v>Sandra Viegas</v>
      </c>
    </row>
    <row r="1029" spans="1:10" ht="13.95" customHeight="1" x14ac:dyDescent="0.3">
      <c r="A1029">
        <f>ROW([1]DATABASE!A990)</f>
        <v>990</v>
      </c>
      <c r="B1029" t="str">
        <f>[1]DATABASE!AJ990</f>
        <v>Monte Rei</v>
      </c>
      <c r="C1029" t="str">
        <f>[1]DATABASE!C990</f>
        <v>2</v>
      </c>
      <c r="D1029" t="str">
        <f>TRIM([1]DATABASE!Q990)</f>
        <v>AVAILABLE</v>
      </c>
      <c r="E1029" s="82" t="str">
        <f>_xlfn.TEXTJOIN("; ",TRUE,IF([1]DATABASE!X990&lt;0,"Negative Discount",""),IF(AND([1]DATABASE!Y990&gt;[1]DATABASE!T990,[1]DATABASE!Y990&gt;0,[1]DATABASE!T990&gt;0),"Sell Price &gt; Current",""),IF(AND(TRIM([1]DATABASE!Q990)="DEED",[1]DATABASE!AA990=""),"Deeded no PSPA Date",""),IF([1]DATABASE!E990="","Missing Typology",""),IF([1]DATABASE!AJ990="","Missing Development",""))</f>
        <v/>
      </c>
      <c r="F1029" s="82" t="str">
        <f>_xlfn.TEXTJOIN("; ",TRUE,IF(AND(OR(TRIM([1]DATABASE!Q990)="RESERVED",TRIM([1]DATABASE!Q990)="PRE-RESERVED",TRIM([1]DATABASE!Q990)="PSPA"),[1]DATABASE!AA990=""),"Reserved/PSPA no PSPA Date",""),IF(AND(TRIM([1]DATABASE!Q990)="AVAILABLE",[1]DATABASE!AA990&lt;&gt;""),"Available has PSPA Date",""))</f>
        <v/>
      </c>
      <c r="G1029" s="82" t="str">
        <f>_xlfn.TEXTJOIN("; ",TRUE,IF(AND([1]DATABASE!T990&lt;0.8*[1]DATABASE!S990,[1]DATABASE!T990&gt;0,[1]DATABASE!S990&gt;0),"Heavy Price Cut &gt;20%",""),IF(AND(OR(TRIM([1]DATABASE!Q990)="AVAILABLE",TRIM([1]DATABASE!Q990)="UPON REQUEST"),OR([1]DATABASE!T990="",[1]DATABASE!T990=0)),"Active Unit no Price",""),IF(AND(OR(TRIM([1]DATABASE!Q990)="AVAILABLE",TRIM([1]DATABASE!Q990)="RESERVED",TRIM([1]DATABASE!Q990)="PRE-RESERVED",TRIM([1]DATABASE!Q990)="PSPA"),[1]DATABASE!AC990=""),"Active no Owner",""),IF(OR([1]DATABASE!F990="",[1]DATABASE!F990&lt;=0),"Missing/Invalid Area",""),IF(AND([1]DATABASE!T990&gt;0,ABS([1]DATABASE!T990-[1]DATABASE!W990-[1]DATABASE!U990-[1]DATABASE!V990)&gt;1),"Price Bridge Mismatch",""))</f>
        <v>Heavy Price Cut &gt;20%</v>
      </c>
      <c r="H1029" t="str">
        <f t="shared" si="18"/>
        <v>REVIEW</v>
      </c>
      <c r="I1029" s="90">
        <f>[1]DATABASE!T990</f>
        <v>1030000</v>
      </c>
      <c r="J1029" t="str">
        <f>[1]DATABASE!AC990</f>
        <v>Sandra Viegas</v>
      </c>
    </row>
    <row r="1030" spans="1:10" ht="13.95" customHeight="1" x14ac:dyDescent="0.3">
      <c r="A1030">
        <f>ROW([1]DATABASE!A991)</f>
        <v>991</v>
      </c>
      <c r="B1030" t="str">
        <f>[1]DATABASE!AJ991</f>
        <v>Natura Village</v>
      </c>
      <c r="C1030" t="str">
        <f>[1]DATABASE!C991</f>
        <v>H</v>
      </c>
      <c r="D1030" t="str">
        <f>TRIM([1]DATABASE!Q991)</f>
        <v>DEED</v>
      </c>
      <c r="E1030" s="82" t="str">
        <f>_xlfn.TEXTJOIN("; ",TRUE,IF([1]DATABASE!X991&lt;0,"Negative Discount",""),IF(AND([1]DATABASE!Y991&gt;[1]DATABASE!T991,[1]DATABASE!Y991&gt;0,[1]DATABASE!T991&gt;0),"Sell Price &gt; Current",""),IF(AND(TRIM([1]DATABASE!Q991)="DEED",[1]DATABASE!AA991=""),"Deeded no PSPA Date",""),IF([1]DATABASE!E991="","Missing Typology",""),IF([1]DATABASE!AJ991="","Missing Development",""))</f>
        <v/>
      </c>
      <c r="F1030" s="82" t="str">
        <f>_xlfn.TEXTJOIN("; ",TRUE,IF(AND(OR(TRIM([1]DATABASE!Q991)="RESERVED",TRIM([1]DATABASE!Q991)="PRE-RESERVED",TRIM([1]DATABASE!Q991)="PSPA"),[1]DATABASE!AA991=""),"Reserved/PSPA no PSPA Date",""),IF(AND(TRIM([1]DATABASE!Q991)="AVAILABLE",[1]DATABASE!AA991&lt;&gt;""),"Available has PSPA Date",""))</f>
        <v/>
      </c>
      <c r="G1030" s="82" t="str">
        <f>_xlfn.TEXTJOIN("; ",TRUE,IF(AND([1]DATABASE!T991&lt;0.8*[1]DATABASE!S991,[1]DATABASE!T991&gt;0,[1]DATABASE!S991&gt;0),"Heavy Price Cut &gt;20%",""),IF(AND(OR(TRIM([1]DATABASE!Q991)="AVAILABLE",TRIM([1]DATABASE!Q991)="UPON REQUEST"),OR([1]DATABASE!T991="",[1]DATABASE!T991=0)),"Active Unit no Price",""),IF(AND(OR(TRIM([1]DATABASE!Q991)="AVAILABLE",TRIM([1]DATABASE!Q991)="RESERVED",TRIM([1]DATABASE!Q991)="PRE-RESERVED",TRIM([1]DATABASE!Q991)="PSPA"),[1]DATABASE!AC991=""),"Active no Owner",""),IF(OR([1]DATABASE!F991="",[1]DATABASE!F991&lt;=0),"Missing/Invalid Area",""),IF(AND([1]DATABASE!T991&gt;0,ABS([1]DATABASE!T991-[1]DATABASE!W991-[1]DATABASE!U991-[1]DATABASE!V991)&gt;1),"Price Bridge Mismatch",""))</f>
        <v/>
      </c>
      <c r="H1030" t="str">
        <f t="shared" si="18"/>
        <v>PASS</v>
      </c>
      <c r="I1030" s="90">
        <f>[1]DATABASE!T991</f>
        <v>870000</v>
      </c>
      <c r="J1030" t="str">
        <f>[1]DATABASE!AC991</f>
        <v>Ana Damásio</v>
      </c>
    </row>
    <row r="1031" spans="1:10" ht="13.95" customHeight="1" x14ac:dyDescent="0.3">
      <c r="A1031">
        <f>ROW([1]DATABASE!A992)</f>
        <v>992</v>
      </c>
      <c r="B1031" t="str">
        <f>[1]DATABASE!AJ992</f>
        <v>Natura Village</v>
      </c>
      <c r="C1031" t="str">
        <f>[1]DATABASE!C992</f>
        <v>H</v>
      </c>
      <c r="D1031" t="str">
        <f>TRIM([1]DATABASE!Q992)</f>
        <v>AVAILABLE</v>
      </c>
      <c r="E1031" s="82" t="str">
        <f>_xlfn.TEXTJOIN("; ",TRUE,IF([1]DATABASE!X992&lt;0,"Negative Discount",""),IF(AND([1]DATABASE!Y992&gt;[1]DATABASE!T992,[1]DATABASE!Y992&gt;0,[1]DATABASE!T992&gt;0),"Sell Price &gt; Current",""),IF(AND(TRIM([1]DATABASE!Q992)="DEED",[1]DATABASE!AA992=""),"Deeded no PSPA Date",""),IF([1]DATABASE!E992="","Missing Typology",""),IF([1]DATABASE!AJ992="","Missing Development",""))</f>
        <v/>
      </c>
      <c r="F1031" s="82" t="str">
        <f>_xlfn.TEXTJOIN("; ",TRUE,IF(AND(OR(TRIM([1]DATABASE!Q992)="RESERVED",TRIM([1]DATABASE!Q992)="PRE-RESERVED",TRIM([1]DATABASE!Q992)="PSPA"),[1]DATABASE!AA992=""),"Reserved/PSPA no PSPA Date",""),IF(AND(TRIM([1]DATABASE!Q992)="AVAILABLE",[1]DATABASE!AA992&lt;&gt;""),"Available has PSPA Date",""))</f>
        <v/>
      </c>
      <c r="G1031" s="82" t="str">
        <f>_xlfn.TEXTJOIN("; ",TRUE,IF(AND([1]DATABASE!T992&lt;0.8*[1]DATABASE!S992,[1]DATABASE!T992&gt;0,[1]DATABASE!S992&gt;0),"Heavy Price Cut &gt;20%",""),IF(AND(OR(TRIM([1]DATABASE!Q992)="AVAILABLE",TRIM([1]DATABASE!Q992)="UPON REQUEST"),OR([1]DATABASE!T992="",[1]DATABASE!T992=0)),"Active Unit no Price",""),IF(AND(OR(TRIM([1]DATABASE!Q992)="AVAILABLE",TRIM([1]DATABASE!Q992)="RESERVED",TRIM([1]DATABASE!Q992)="PRE-RESERVED",TRIM([1]DATABASE!Q992)="PSPA"),[1]DATABASE!AC992=""),"Active no Owner",""),IF(OR([1]DATABASE!F992="",[1]DATABASE!F992&lt;=0),"Missing/Invalid Area",""),IF(AND([1]DATABASE!T992&gt;0,ABS([1]DATABASE!T992-[1]DATABASE!W992-[1]DATABASE!U992-[1]DATABASE!V992)&gt;1),"Price Bridge Mismatch",""))</f>
        <v/>
      </c>
      <c r="H1031" t="str">
        <f t="shared" si="18"/>
        <v>PASS</v>
      </c>
      <c r="I1031" s="90">
        <f>[1]DATABASE!T992</f>
        <v>1110000</v>
      </c>
      <c r="J1031" t="str">
        <f>[1]DATABASE!AC992</f>
        <v>Ana Damásio</v>
      </c>
    </row>
    <row r="1032" spans="1:10" ht="13.95" customHeight="1" x14ac:dyDescent="0.3">
      <c r="A1032">
        <f>ROW([1]DATABASE!A993)</f>
        <v>993</v>
      </c>
      <c r="B1032" t="str">
        <f>[1]DATABASE!AJ993</f>
        <v>Rivus</v>
      </c>
      <c r="C1032" t="str">
        <f>[1]DATABASE!C993</f>
        <v>H</v>
      </c>
      <c r="D1032" t="str">
        <f>TRIM([1]DATABASE!Q993)</f>
        <v>AVAILABLE</v>
      </c>
      <c r="E1032" s="82" t="str">
        <f>_xlfn.TEXTJOIN("; ",TRUE,IF([1]DATABASE!X993&lt;0,"Negative Discount",""),IF(AND([1]DATABASE!Y993&gt;[1]DATABASE!T993,[1]DATABASE!Y993&gt;0,[1]DATABASE!T993&gt;0),"Sell Price &gt; Current",""),IF(AND(TRIM([1]DATABASE!Q993)="DEED",[1]DATABASE!AA993=""),"Deeded no PSPA Date",""),IF([1]DATABASE!E993="","Missing Typology",""),IF([1]DATABASE!AJ993="","Missing Development",""))</f>
        <v/>
      </c>
      <c r="F1032" s="82" t="str">
        <f>_xlfn.TEXTJOIN("; ",TRUE,IF(AND(OR(TRIM([1]DATABASE!Q993)="RESERVED",TRIM([1]DATABASE!Q993)="PRE-RESERVED",TRIM([1]DATABASE!Q993)="PSPA"),[1]DATABASE!AA993=""),"Reserved/PSPA no PSPA Date",""),IF(AND(TRIM([1]DATABASE!Q993)="AVAILABLE",[1]DATABASE!AA993&lt;&gt;""),"Available has PSPA Date",""))</f>
        <v/>
      </c>
      <c r="G1032" s="82" t="str">
        <f>_xlfn.TEXTJOIN("; ",TRUE,IF(AND([1]DATABASE!T993&lt;0.8*[1]DATABASE!S993,[1]DATABASE!T993&gt;0,[1]DATABASE!S993&gt;0),"Heavy Price Cut &gt;20%",""),IF(AND(OR(TRIM([1]DATABASE!Q993)="AVAILABLE",TRIM([1]DATABASE!Q993)="UPON REQUEST"),OR([1]DATABASE!T993="",[1]DATABASE!T993=0)),"Active Unit no Price",""),IF(AND(OR(TRIM([1]DATABASE!Q993)="AVAILABLE",TRIM([1]DATABASE!Q993)="RESERVED",TRIM([1]DATABASE!Q993)="PRE-RESERVED",TRIM([1]DATABASE!Q993)="PSPA"),[1]DATABASE!AC993=""),"Active no Owner",""),IF(OR([1]DATABASE!F993="",[1]DATABASE!F993&lt;=0),"Missing/Invalid Area",""),IF(AND([1]DATABASE!T993&gt;0,ABS([1]DATABASE!T993-[1]DATABASE!W993-[1]DATABASE!U993-[1]DATABASE!V993)&gt;1),"Price Bridge Mismatch",""))</f>
        <v>Missing/Invalid Area</v>
      </c>
      <c r="H1032" t="str">
        <f t="shared" si="18"/>
        <v>REVIEW</v>
      </c>
      <c r="I1032" s="90">
        <f>[1]DATABASE!T993</f>
        <v>860000</v>
      </c>
      <c r="J1032" t="str">
        <f>[1]DATABASE!AC993</f>
        <v>Ana Damásio</v>
      </c>
    </row>
    <row r="1033" spans="1:10" ht="13.95" customHeight="1" x14ac:dyDescent="0.3">
      <c r="A1033">
        <f>ROW([1]DATABASE!A994)</f>
        <v>994</v>
      </c>
      <c r="B1033" t="str">
        <f>[1]DATABASE!AJ994</f>
        <v>Springs - At the Els</v>
      </c>
      <c r="C1033" t="str">
        <f>[1]DATABASE!C994</f>
        <v>H</v>
      </c>
      <c r="D1033" t="str">
        <f>TRIM([1]DATABASE!Q994)</f>
        <v>AVAILABLE</v>
      </c>
      <c r="E1033" s="82" t="str">
        <f>_xlfn.TEXTJOIN("; ",TRUE,IF([1]DATABASE!X994&lt;0,"Negative Discount",""),IF(AND([1]DATABASE!Y994&gt;[1]DATABASE!T994,[1]DATABASE!Y994&gt;0,[1]DATABASE!T994&gt;0),"Sell Price &gt; Current",""),IF(AND(TRIM([1]DATABASE!Q994)="DEED",[1]DATABASE!AA994=""),"Deeded no PSPA Date",""),IF([1]DATABASE!E994="","Missing Typology",""),IF([1]DATABASE!AJ994="","Missing Development",""))</f>
        <v/>
      </c>
      <c r="F1033" s="82" t="str">
        <f>_xlfn.TEXTJOIN("; ",TRUE,IF(AND(OR(TRIM([1]DATABASE!Q994)="RESERVED",TRIM([1]DATABASE!Q994)="PRE-RESERVED",TRIM([1]DATABASE!Q994)="PSPA"),[1]DATABASE!AA994=""),"Reserved/PSPA no PSPA Date",""),IF(AND(TRIM([1]DATABASE!Q994)="AVAILABLE",[1]DATABASE!AA994&lt;&gt;""),"Available has PSPA Date",""))</f>
        <v/>
      </c>
      <c r="G1033" s="82" t="str">
        <f>_xlfn.TEXTJOIN("; ",TRUE,IF(AND([1]DATABASE!T994&lt;0.8*[1]DATABASE!S994,[1]DATABASE!T994&gt;0,[1]DATABASE!S994&gt;0),"Heavy Price Cut &gt;20%",""),IF(AND(OR(TRIM([1]DATABASE!Q994)="AVAILABLE",TRIM([1]DATABASE!Q994)="UPON REQUEST"),OR([1]DATABASE!T994="",[1]DATABASE!T994=0)),"Active Unit no Price",""),IF(AND(OR(TRIM([1]DATABASE!Q994)="AVAILABLE",TRIM([1]DATABASE!Q994)="RESERVED",TRIM([1]DATABASE!Q994)="PRE-RESERVED",TRIM([1]DATABASE!Q994)="PSPA"),[1]DATABASE!AC994=""),"Active no Owner",""),IF(OR([1]DATABASE!F994="",[1]DATABASE!F994&lt;=0),"Missing/Invalid Area",""),IF(AND([1]DATABASE!T994&gt;0,ABS([1]DATABASE!T994-[1]DATABASE!W994-[1]DATABASE!U994-[1]DATABASE!V994)&gt;1),"Price Bridge Mismatch",""))</f>
        <v/>
      </c>
      <c r="H1033" t="str">
        <f t="shared" si="18"/>
        <v>PASS</v>
      </c>
      <c r="I1033" s="90">
        <f>[1]DATABASE!T994</f>
        <v>2830000</v>
      </c>
      <c r="J1033" t="str">
        <f>[1]DATABASE!AC994</f>
        <v>Ana Damásio</v>
      </c>
    </row>
    <row r="1034" spans="1:10" ht="13.95" customHeight="1" x14ac:dyDescent="0.3">
      <c r="A1034">
        <f>ROW([1]DATABASE!A995)</f>
        <v>995</v>
      </c>
      <c r="B1034" t="str">
        <f>[1]DATABASE!AJ995</f>
        <v>Monte Rei</v>
      </c>
      <c r="C1034" t="str">
        <f>[1]DATABASE!C995</f>
        <v>10</v>
      </c>
      <c r="D1034" t="str">
        <f>TRIM([1]DATABASE!Q995)</f>
        <v>AVAILABLE</v>
      </c>
      <c r="E1034" s="82" t="str">
        <f>_xlfn.TEXTJOIN("; ",TRUE,IF([1]DATABASE!X995&lt;0,"Negative Discount",""),IF(AND([1]DATABASE!Y995&gt;[1]DATABASE!T995,[1]DATABASE!Y995&gt;0,[1]DATABASE!T995&gt;0),"Sell Price &gt; Current",""),IF(AND(TRIM([1]DATABASE!Q995)="DEED",[1]DATABASE!AA995=""),"Deeded no PSPA Date",""),IF([1]DATABASE!E995="","Missing Typology",""),IF([1]DATABASE!AJ995="","Missing Development",""))</f>
        <v/>
      </c>
      <c r="F1034" s="82" t="str">
        <f>_xlfn.TEXTJOIN("; ",TRUE,IF(AND(OR(TRIM([1]DATABASE!Q995)="RESERVED",TRIM([1]DATABASE!Q995)="PRE-RESERVED",TRIM([1]DATABASE!Q995)="PSPA"),[1]DATABASE!AA995=""),"Reserved/PSPA no PSPA Date",""),IF(AND(TRIM([1]DATABASE!Q995)="AVAILABLE",[1]DATABASE!AA995&lt;&gt;""),"Available has PSPA Date",""))</f>
        <v/>
      </c>
      <c r="G1034" s="82" t="str">
        <f>_xlfn.TEXTJOIN("; ",TRUE,IF(AND([1]DATABASE!T995&lt;0.8*[1]DATABASE!S995,[1]DATABASE!T995&gt;0,[1]DATABASE!S995&gt;0),"Heavy Price Cut &gt;20%",""),IF(AND(OR(TRIM([1]DATABASE!Q995)="AVAILABLE",TRIM([1]DATABASE!Q995)="UPON REQUEST"),OR([1]DATABASE!T995="",[1]DATABASE!T995=0)),"Active Unit no Price",""),IF(AND(OR(TRIM([1]DATABASE!Q995)="AVAILABLE",TRIM([1]DATABASE!Q995)="RESERVED",TRIM([1]DATABASE!Q995)="PRE-RESERVED",TRIM([1]DATABASE!Q995)="PSPA"),[1]DATABASE!AC995=""),"Active no Owner",""),IF(OR([1]DATABASE!F995="",[1]DATABASE!F995&lt;=0),"Missing/Invalid Area",""),IF(AND([1]DATABASE!T995&gt;0,ABS([1]DATABASE!T995-[1]DATABASE!W995-[1]DATABASE!U995-[1]DATABASE!V995)&gt;1),"Price Bridge Mismatch",""))</f>
        <v/>
      </c>
      <c r="H1034" t="str">
        <f t="shared" si="18"/>
        <v>PASS</v>
      </c>
      <c r="I1034" s="90">
        <f>[1]DATABASE!T995</f>
        <v>1230000</v>
      </c>
      <c r="J1034" t="str">
        <f>[1]DATABASE!AC995</f>
        <v>Sandra Viegas</v>
      </c>
    </row>
    <row r="1035" spans="1:10" ht="13.95" customHeight="1" x14ac:dyDescent="0.3">
      <c r="A1035">
        <f>ROW([1]DATABASE!A996)</f>
        <v>996</v>
      </c>
      <c r="B1035" t="str">
        <f>[1]DATABASE!AJ996</f>
        <v>Zestia</v>
      </c>
      <c r="C1035" t="str">
        <f>[1]DATABASE!C996</f>
        <v>H</v>
      </c>
      <c r="D1035" t="str">
        <f>TRIM([1]DATABASE!Q996)</f>
        <v>AVAILABLE</v>
      </c>
      <c r="E1035" s="82" t="str">
        <f>_xlfn.TEXTJOIN("; ",TRUE,IF([1]DATABASE!X996&lt;0,"Negative Discount",""),IF(AND([1]DATABASE!Y996&gt;[1]DATABASE!T996,[1]DATABASE!Y996&gt;0,[1]DATABASE!T996&gt;0),"Sell Price &gt; Current",""),IF(AND(TRIM([1]DATABASE!Q996)="DEED",[1]DATABASE!AA996=""),"Deeded no PSPA Date",""),IF([1]DATABASE!E996="","Missing Typology",""),IF([1]DATABASE!AJ996="","Missing Development",""))</f>
        <v/>
      </c>
      <c r="F1035" s="82" t="str">
        <f>_xlfn.TEXTJOIN("; ",TRUE,IF(AND(OR(TRIM([1]DATABASE!Q996)="RESERVED",TRIM([1]DATABASE!Q996)="PRE-RESERVED",TRIM([1]DATABASE!Q996)="PSPA"),[1]DATABASE!AA996=""),"Reserved/PSPA no PSPA Date",""),IF(AND(TRIM([1]DATABASE!Q996)="AVAILABLE",[1]DATABASE!AA996&lt;&gt;""),"Available has PSPA Date",""))</f>
        <v/>
      </c>
      <c r="G1035" s="82" t="str">
        <f>_xlfn.TEXTJOIN("; ",TRUE,IF(AND([1]DATABASE!T996&lt;0.8*[1]DATABASE!S996,[1]DATABASE!T996&gt;0,[1]DATABASE!S996&gt;0),"Heavy Price Cut &gt;20%",""),IF(AND(OR(TRIM([1]DATABASE!Q996)="AVAILABLE",TRIM([1]DATABASE!Q996)="UPON REQUEST"),OR([1]DATABASE!T996="",[1]DATABASE!T996=0)),"Active Unit no Price",""),IF(AND(OR(TRIM([1]DATABASE!Q996)="AVAILABLE",TRIM([1]DATABASE!Q996)="RESERVED",TRIM([1]DATABASE!Q996)="PRE-RESERVED",TRIM([1]DATABASE!Q996)="PSPA"),[1]DATABASE!AC996=""),"Active no Owner",""),IF(OR([1]DATABASE!F996="",[1]DATABASE!F996&lt;=0),"Missing/Invalid Area",""),IF(AND([1]DATABASE!T996&gt;0,ABS([1]DATABASE!T996-[1]DATABASE!W996-[1]DATABASE!U996-[1]DATABASE!V996)&gt;1),"Price Bridge Mismatch",""))</f>
        <v/>
      </c>
      <c r="H1035" t="str">
        <f t="shared" si="18"/>
        <v>PASS</v>
      </c>
      <c r="I1035" s="90">
        <f>[1]DATABASE!T996</f>
        <v>560000</v>
      </c>
      <c r="J1035" t="str">
        <f>[1]DATABASE!AC996</f>
        <v>Ana Damásio</v>
      </c>
    </row>
    <row r="1036" spans="1:10" ht="13.95" customHeight="1" x14ac:dyDescent="0.3">
      <c r="A1036">
        <f>ROW([1]DATABASE!A997)</f>
        <v>997</v>
      </c>
      <c r="B1036" t="str">
        <f>[1]DATABASE!AJ997</f>
        <v>Botanica</v>
      </c>
      <c r="C1036" t="str">
        <f>[1]DATABASE!C997</f>
        <v>I</v>
      </c>
      <c r="D1036" t="str">
        <f>TRIM([1]DATABASE!Q997)</f>
        <v>AVAILABLE</v>
      </c>
      <c r="E1036" s="82" t="str">
        <f>_xlfn.TEXTJOIN("; ",TRUE,IF([1]DATABASE!X997&lt;0,"Negative Discount",""),IF(AND([1]DATABASE!Y997&gt;[1]DATABASE!T997,[1]DATABASE!Y997&gt;0,[1]DATABASE!T997&gt;0),"Sell Price &gt; Current",""),IF(AND(TRIM([1]DATABASE!Q997)="DEED",[1]DATABASE!AA997=""),"Deeded no PSPA Date",""),IF([1]DATABASE!E997="","Missing Typology",""),IF([1]DATABASE!AJ997="","Missing Development",""))</f>
        <v/>
      </c>
      <c r="F1036" s="82" t="str">
        <f>_xlfn.TEXTJOIN("; ",TRUE,IF(AND(OR(TRIM([1]DATABASE!Q997)="RESERVED",TRIM([1]DATABASE!Q997)="PRE-RESERVED",TRIM([1]DATABASE!Q997)="PSPA"),[1]DATABASE!AA997=""),"Reserved/PSPA no PSPA Date",""),IF(AND(TRIM([1]DATABASE!Q997)="AVAILABLE",[1]DATABASE!AA997&lt;&gt;""),"Available has PSPA Date",""))</f>
        <v/>
      </c>
      <c r="G1036" s="82" t="str">
        <f>_xlfn.TEXTJOIN("; ",TRUE,IF(AND([1]DATABASE!T997&lt;0.8*[1]DATABASE!S997,[1]DATABASE!T997&gt;0,[1]DATABASE!S997&gt;0),"Heavy Price Cut &gt;20%",""),IF(AND(OR(TRIM([1]DATABASE!Q997)="AVAILABLE",TRIM([1]DATABASE!Q997)="UPON REQUEST"),OR([1]DATABASE!T997="",[1]DATABASE!T997=0)),"Active Unit no Price",""),IF(AND(OR(TRIM([1]DATABASE!Q997)="AVAILABLE",TRIM([1]DATABASE!Q997)="RESERVED",TRIM([1]DATABASE!Q997)="PRE-RESERVED",TRIM([1]DATABASE!Q997)="PSPA"),[1]DATABASE!AC997=""),"Active no Owner",""),IF(OR([1]DATABASE!F997="",[1]DATABASE!F997&lt;=0),"Missing/Invalid Area",""),IF(AND([1]DATABASE!T997&gt;0,ABS([1]DATABASE!T997-[1]DATABASE!W997-[1]DATABASE!U997-[1]DATABASE!V997)&gt;1),"Price Bridge Mismatch",""))</f>
        <v/>
      </c>
      <c r="H1036" t="str">
        <f t="shared" si="18"/>
        <v>PASS</v>
      </c>
      <c r="I1036" s="90">
        <f>[1]DATABASE!T997</f>
        <v>1095500</v>
      </c>
      <c r="J1036" t="str">
        <f>[1]DATABASE!AC997</f>
        <v>Ana Damásio</v>
      </c>
    </row>
    <row r="1037" spans="1:10" ht="13.95" customHeight="1" x14ac:dyDescent="0.3">
      <c r="A1037">
        <f>ROW([1]DATABASE!A998)</f>
        <v>998</v>
      </c>
      <c r="B1037" t="str">
        <f>[1]DATABASE!AJ998</f>
        <v>Natura Village</v>
      </c>
      <c r="C1037" t="str">
        <f>[1]DATABASE!C998</f>
        <v>I</v>
      </c>
      <c r="D1037" t="str">
        <f>TRIM([1]DATABASE!Q998)</f>
        <v>AVAILABLE</v>
      </c>
      <c r="E1037" s="82" t="str">
        <f>_xlfn.TEXTJOIN("; ",TRUE,IF([1]DATABASE!X998&lt;0,"Negative Discount",""),IF(AND([1]DATABASE!Y998&gt;[1]DATABASE!T998,[1]DATABASE!Y998&gt;0,[1]DATABASE!T998&gt;0),"Sell Price &gt; Current",""),IF(AND(TRIM([1]DATABASE!Q998)="DEED",[1]DATABASE!AA998=""),"Deeded no PSPA Date",""),IF([1]DATABASE!E998="","Missing Typology",""),IF([1]DATABASE!AJ998="","Missing Development",""))</f>
        <v/>
      </c>
      <c r="F1037" s="82" t="str">
        <f>_xlfn.TEXTJOIN("; ",TRUE,IF(AND(OR(TRIM([1]DATABASE!Q998)="RESERVED",TRIM([1]DATABASE!Q998)="PRE-RESERVED",TRIM([1]DATABASE!Q998)="PSPA"),[1]DATABASE!AA998=""),"Reserved/PSPA no PSPA Date",""),IF(AND(TRIM([1]DATABASE!Q998)="AVAILABLE",[1]DATABASE!AA998&lt;&gt;""),"Available has PSPA Date",""))</f>
        <v/>
      </c>
      <c r="G1037" s="82" t="str">
        <f>_xlfn.TEXTJOIN("; ",TRUE,IF(AND([1]DATABASE!T998&lt;0.8*[1]DATABASE!S998,[1]DATABASE!T998&gt;0,[1]DATABASE!S998&gt;0),"Heavy Price Cut &gt;20%",""),IF(AND(OR(TRIM([1]DATABASE!Q998)="AVAILABLE",TRIM([1]DATABASE!Q998)="UPON REQUEST"),OR([1]DATABASE!T998="",[1]DATABASE!T998=0)),"Active Unit no Price",""),IF(AND(OR(TRIM([1]DATABASE!Q998)="AVAILABLE",TRIM([1]DATABASE!Q998)="RESERVED",TRIM([1]DATABASE!Q998)="PRE-RESERVED",TRIM([1]DATABASE!Q998)="PSPA"),[1]DATABASE!AC998=""),"Active no Owner",""),IF(OR([1]DATABASE!F998="",[1]DATABASE!F998&lt;=0),"Missing/Invalid Area",""),IF(AND([1]DATABASE!T998&gt;0,ABS([1]DATABASE!T998-[1]DATABASE!W998-[1]DATABASE!U998-[1]DATABASE!V998)&gt;1),"Price Bridge Mismatch",""))</f>
        <v/>
      </c>
      <c r="H1037" t="str">
        <f t="shared" si="18"/>
        <v>PASS</v>
      </c>
      <c r="I1037" s="90">
        <f>[1]DATABASE!T998</f>
        <v>790000</v>
      </c>
      <c r="J1037" t="str">
        <f>[1]DATABASE!AC998</f>
        <v>Ana Damásio</v>
      </c>
    </row>
    <row r="1038" spans="1:10" ht="13.95" customHeight="1" x14ac:dyDescent="0.3">
      <c r="A1038">
        <f>ROW([1]DATABASE!A999)</f>
        <v>999</v>
      </c>
      <c r="B1038" t="str">
        <f>[1]DATABASE!AJ999</f>
        <v>Aroeira Collections</v>
      </c>
      <c r="C1038" t="str">
        <f>[1]DATABASE!C999</f>
        <v>320A</v>
      </c>
      <c r="D1038" t="str">
        <f>TRIM([1]DATABASE!Q999)</f>
        <v>AVAILABLE</v>
      </c>
      <c r="E1038" s="82" t="str">
        <f>_xlfn.TEXTJOIN("; ",TRUE,IF([1]DATABASE!X999&lt;0,"Negative Discount",""),IF(AND([1]DATABASE!Y999&gt;[1]DATABASE!T999,[1]DATABASE!Y999&gt;0,[1]DATABASE!T999&gt;0),"Sell Price &gt; Current",""),IF(AND(TRIM([1]DATABASE!Q999)="DEED",[1]DATABASE!AA999=""),"Deeded no PSPA Date",""),IF([1]DATABASE!E999="","Missing Typology",""),IF([1]DATABASE!AJ999="","Missing Development",""))</f>
        <v/>
      </c>
      <c r="F1038" s="82" t="str">
        <f>_xlfn.TEXTJOIN("; ",TRUE,IF(AND(OR(TRIM([1]DATABASE!Q999)="RESERVED",TRIM([1]DATABASE!Q999)="PRE-RESERVED",TRIM([1]DATABASE!Q999)="PSPA"),[1]DATABASE!AA999=""),"Reserved/PSPA no PSPA Date",""),IF(AND(TRIM([1]DATABASE!Q999)="AVAILABLE",[1]DATABASE!AA999&lt;&gt;""),"Available has PSPA Date",""))</f>
        <v/>
      </c>
      <c r="G1038" s="82" t="str">
        <f>_xlfn.TEXTJOIN("; ",TRUE,IF(AND([1]DATABASE!T999&lt;0.8*[1]DATABASE!S999,[1]DATABASE!T999&gt;0,[1]DATABASE!S999&gt;0),"Heavy Price Cut &gt;20%",""),IF(AND(OR(TRIM([1]DATABASE!Q999)="AVAILABLE",TRIM([1]DATABASE!Q999)="UPON REQUEST"),OR([1]DATABASE!T999="",[1]DATABASE!T999=0)),"Active Unit no Price",""),IF(AND(OR(TRIM([1]DATABASE!Q999)="AVAILABLE",TRIM([1]DATABASE!Q999)="RESERVED",TRIM([1]DATABASE!Q999)="PRE-RESERVED",TRIM([1]DATABASE!Q999)="PSPA"),[1]DATABASE!AC999=""),"Active no Owner",""),IF(OR([1]DATABASE!F999="",[1]DATABASE!F999&lt;=0),"Missing/Invalid Area",""),IF(AND([1]DATABASE!T999&gt;0,ABS([1]DATABASE!T999-[1]DATABASE!W999-[1]DATABASE!U999-[1]DATABASE!V999)&gt;1),"Price Bridge Mismatch",""))</f>
        <v/>
      </c>
      <c r="H1038" t="str">
        <f t="shared" si="18"/>
        <v>PASS</v>
      </c>
      <c r="I1038" s="90">
        <f>[1]DATABASE!T999</f>
        <v>470000</v>
      </c>
      <c r="J1038" t="str">
        <f>[1]DATABASE!AC999</f>
        <v>João Gameiro</v>
      </c>
    </row>
    <row r="1039" spans="1:10" ht="13.95" customHeight="1" x14ac:dyDescent="0.3">
      <c r="A1039">
        <f>ROW([1]DATABASE!A1000)</f>
        <v>1000</v>
      </c>
      <c r="B1039" t="str">
        <f>[1]DATABASE!AJ1000</f>
        <v>Rivus</v>
      </c>
      <c r="C1039" t="str">
        <f>[1]DATABASE!C1000</f>
        <v>I</v>
      </c>
      <c r="D1039" t="str">
        <f>TRIM([1]DATABASE!Q1000)</f>
        <v>AVAILABLE</v>
      </c>
      <c r="E1039" s="82" t="str">
        <f>_xlfn.TEXTJOIN("; ",TRUE,IF([1]DATABASE!X1000&lt;0,"Negative Discount",""),IF(AND([1]DATABASE!Y1000&gt;[1]DATABASE!T1000,[1]DATABASE!Y1000&gt;0,[1]DATABASE!T1000&gt;0),"Sell Price &gt; Current",""),IF(AND(TRIM([1]DATABASE!Q1000)="DEED",[1]DATABASE!AA1000=""),"Deeded no PSPA Date",""),IF([1]DATABASE!E1000="","Missing Typology",""),IF([1]DATABASE!AJ1000="","Missing Development",""))</f>
        <v/>
      </c>
      <c r="F1039" s="82" t="str">
        <f>_xlfn.TEXTJOIN("; ",TRUE,IF(AND(OR(TRIM([1]DATABASE!Q1000)="RESERVED",TRIM([1]DATABASE!Q1000)="PRE-RESERVED",TRIM([1]DATABASE!Q1000)="PSPA"),[1]DATABASE!AA1000=""),"Reserved/PSPA no PSPA Date",""),IF(AND(TRIM([1]DATABASE!Q1000)="AVAILABLE",[1]DATABASE!AA1000&lt;&gt;""),"Available has PSPA Date",""))</f>
        <v/>
      </c>
      <c r="G1039" s="82" t="str">
        <f>_xlfn.TEXTJOIN("; ",TRUE,IF(AND([1]DATABASE!T1000&lt;0.8*[1]DATABASE!S1000,[1]DATABASE!T1000&gt;0,[1]DATABASE!S1000&gt;0),"Heavy Price Cut &gt;20%",""),IF(AND(OR(TRIM([1]DATABASE!Q1000)="AVAILABLE",TRIM([1]DATABASE!Q1000)="UPON REQUEST"),OR([1]DATABASE!T1000="",[1]DATABASE!T1000=0)),"Active Unit no Price",""),IF(AND(OR(TRIM([1]DATABASE!Q1000)="AVAILABLE",TRIM([1]DATABASE!Q1000)="RESERVED",TRIM([1]DATABASE!Q1000)="PRE-RESERVED",TRIM([1]DATABASE!Q1000)="PSPA"),[1]DATABASE!AC1000=""),"Active no Owner",""),IF(OR([1]DATABASE!F1000="",[1]DATABASE!F1000&lt;=0),"Missing/Invalid Area",""),IF(AND([1]DATABASE!T1000&gt;0,ABS([1]DATABASE!T1000-[1]DATABASE!W1000-[1]DATABASE!U1000-[1]DATABASE!V1000)&gt;1),"Price Bridge Mismatch",""))</f>
        <v>Missing/Invalid Area</v>
      </c>
      <c r="H1039" t="str">
        <f t="shared" si="18"/>
        <v>REVIEW</v>
      </c>
      <c r="I1039" s="90">
        <f>[1]DATABASE!T1000</f>
        <v>960000</v>
      </c>
      <c r="J1039" t="str">
        <f>[1]DATABASE!AC1000</f>
        <v>Ana Damásio</v>
      </c>
    </row>
    <row r="1040" spans="1:10" ht="13.95" customHeight="1" x14ac:dyDescent="0.3">
      <c r="A1040">
        <f>ROW([1]DATABASE!A1001)</f>
        <v>1001</v>
      </c>
      <c r="B1040" t="str">
        <f>[1]DATABASE!AJ1001</f>
        <v>Springs - At the Els</v>
      </c>
      <c r="C1040" t="str">
        <f>[1]DATABASE!C1001</f>
        <v>I</v>
      </c>
      <c r="D1040" t="str">
        <f>TRIM([1]DATABASE!Q1001)</f>
        <v>AVAILABLE</v>
      </c>
      <c r="E1040" s="82" t="str">
        <f>_xlfn.TEXTJOIN("; ",TRUE,IF([1]DATABASE!X1001&lt;0,"Negative Discount",""),IF(AND([1]DATABASE!Y1001&gt;[1]DATABASE!T1001,[1]DATABASE!Y1001&gt;0,[1]DATABASE!T1001&gt;0),"Sell Price &gt; Current",""),IF(AND(TRIM([1]DATABASE!Q1001)="DEED",[1]DATABASE!AA1001=""),"Deeded no PSPA Date",""),IF([1]DATABASE!E1001="","Missing Typology",""),IF([1]DATABASE!AJ1001="","Missing Development",""))</f>
        <v/>
      </c>
      <c r="F1040" s="82" t="str">
        <f>_xlfn.TEXTJOIN("; ",TRUE,IF(AND(OR(TRIM([1]DATABASE!Q1001)="RESERVED",TRIM([1]DATABASE!Q1001)="PRE-RESERVED",TRIM([1]DATABASE!Q1001)="PSPA"),[1]DATABASE!AA1001=""),"Reserved/PSPA no PSPA Date",""),IF(AND(TRIM([1]DATABASE!Q1001)="AVAILABLE",[1]DATABASE!AA1001&lt;&gt;""),"Available has PSPA Date",""))</f>
        <v/>
      </c>
      <c r="G1040" s="82" t="str">
        <f>_xlfn.TEXTJOIN("; ",TRUE,IF(AND([1]DATABASE!T1001&lt;0.8*[1]DATABASE!S1001,[1]DATABASE!T1001&gt;0,[1]DATABASE!S1001&gt;0),"Heavy Price Cut &gt;20%",""),IF(AND(OR(TRIM([1]DATABASE!Q1001)="AVAILABLE",TRIM([1]DATABASE!Q1001)="UPON REQUEST"),OR([1]DATABASE!T1001="",[1]DATABASE!T1001=0)),"Active Unit no Price",""),IF(AND(OR(TRIM([1]DATABASE!Q1001)="AVAILABLE",TRIM([1]DATABASE!Q1001)="RESERVED",TRIM([1]DATABASE!Q1001)="PRE-RESERVED",TRIM([1]DATABASE!Q1001)="PSPA"),[1]DATABASE!AC1001=""),"Active no Owner",""),IF(OR([1]DATABASE!F1001="",[1]DATABASE!F1001&lt;=0),"Missing/Invalid Area",""),IF(AND([1]DATABASE!T1001&gt;0,ABS([1]DATABASE!T1001-[1]DATABASE!W1001-[1]DATABASE!U1001-[1]DATABASE!V1001)&gt;1),"Price Bridge Mismatch",""))</f>
        <v/>
      </c>
      <c r="H1040" t="str">
        <f t="shared" si="18"/>
        <v>PASS</v>
      </c>
      <c r="I1040" s="90">
        <f>[1]DATABASE!T1001</f>
        <v>2130000</v>
      </c>
      <c r="J1040" t="str">
        <f>[1]DATABASE!AC1001</f>
        <v>Ana Damásio</v>
      </c>
    </row>
    <row r="1041" spans="1:10" ht="13.95" customHeight="1" x14ac:dyDescent="0.3">
      <c r="A1041">
        <f>ROW([1]DATABASE!A1002)</f>
        <v>1002</v>
      </c>
      <c r="B1041" t="str">
        <f>[1]DATABASE!AJ1002</f>
        <v>Zestia</v>
      </c>
      <c r="C1041" t="str">
        <f>[1]DATABASE!C1002</f>
        <v>I</v>
      </c>
      <c r="D1041" t="str">
        <f>TRIM([1]DATABASE!Q1002)</f>
        <v>AVAILABLE</v>
      </c>
      <c r="E1041" s="82" t="str">
        <f>_xlfn.TEXTJOIN("; ",TRUE,IF([1]DATABASE!X1002&lt;0,"Negative Discount",""),IF(AND([1]DATABASE!Y1002&gt;[1]DATABASE!T1002,[1]DATABASE!Y1002&gt;0,[1]DATABASE!T1002&gt;0),"Sell Price &gt; Current",""),IF(AND(TRIM([1]DATABASE!Q1002)="DEED",[1]DATABASE!AA1002=""),"Deeded no PSPA Date",""),IF([1]DATABASE!E1002="","Missing Typology",""),IF([1]DATABASE!AJ1002="","Missing Development",""))</f>
        <v/>
      </c>
      <c r="F1041" s="82" t="str">
        <f>_xlfn.TEXTJOIN("; ",TRUE,IF(AND(OR(TRIM([1]DATABASE!Q1002)="RESERVED",TRIM([1]DATABASE!Q1002)="PRE-RESERVED",TRIM([1]DATABASE!Q1002)="PSPA"),[1]DATABASE!AA1002=""),"Reserved/PSPA no PSPA Date",""),IF(AND(TRIM([1]DATABASE!Q1002)="AVAILABLE",[1]DATABASE!AA1002&lt;&gt;""),"Available has PSPA Date",""))</f>
        <v/>
      </c>
      <c r="G1041" s="82" t="str">
        <f>_xlfn.TEXTJOIN("; ",TRUE,IF(AND([1]DATABASE!T1002&lt;0.8*[1]DATABASE!S1002,[1]DATABASE!T1002&gt;0,[1]DATABASE!S1002&gt;0),"Heavy Price Cut &gt;20%",""),IF(AND(OR(TRIM([1]DATABASE!Q1002)="AVAILABLE",TRIM([1]DATABASE!Q1002)="UPON REQUEST"),OR([1]DATABASE!T1002="",[1]DATABASE!T1002=0)),"Active Unit no Price",""),IF(AND(OR(TRIM([1]DATABASE!Q1002)="AVAILABLE",TRIM([1]DATABASE!Q1002)="RESERVED",TRIM([1]DATABASE!Q1002)="PRE-RESERVED",TRIM([1]DATABASE!Q1002)="PSPA"),[1]DATABASE!AC1002=""),"Active no Owner",""),IF(OR([1]DATABASE!F1002="",[1]DATABASE!F1002&lt;=0),"Missing/Invalid Area",""),IF(AND([1]DATABASE!T1002&gt;0,ABS([1]DATABASE!T1002-[1]DATABASE!W1002-[1]DATABASE!U1002-[1]DATABASE!V1002)&gt;1),"Price Bridge Mismatch",""))</f>
        <v/>
      </c>
      <c r="H1041" t="str">
        <f t="shared" si="18"/>
        <v>PASS</v>
      </c>
      <c r="I1041" s="90">
        <f>[1]DATABASE!T1002</f>
        <v>870000</v>
      </c>
      <c r="J1041" t="str">
        <f>[1]DATABASE!AC1002</f>
        <v>Ana Damásio</v>
      </c>
    </row>
    <row r="1042" spans="1:10" ht="13.95" customHeight="1" x14ac:dyDescent="0.3">
      <c r="A1042">
        <f>ROW([1]DATABASE!A1003)</f>
        <v>1003</v>
      </c>
      <c r="B1042" t="str">
        <f>[1]DATABASE!AJ1003</f>
        <v>Monte Rei</v>
      </c>
      <c r="C1042" t="str">
        <f>[1]DATABASE!C1003</f>
        <v>J</v>
      </c>
      <c r="D1042" t="str">
        <f>TRIM([1]DATABASE!Q1003)</f>
        <v>AVAILABLE</v>
      </c>
      <c r="E1042" s="82" t="str">
        <f>_xlfn.TEXTJOIN("; ",TRUE,IF([1]DATABASE!X1003&lt;0,"Negative Discount",""),IF(AND([1]DATABASE!Y1003&gt;[1]DATABASE!T1003,[1]DATABASE!Y1003&gt;0,[1]DATABASE!T1003&gt;0),"Sell Price &gt; Current",""),IF(AND(TRIM([1]DATABASE!Q1003)="DEED",[1]DATABASE!AA1003=""),"Deeded no PSPA Date",""),IF([1]DATABASE!E1003="","Missing Typology",""),IF([1]DATABASE!AJ1003="","Missing Development",""))</f>
        <v/>
      </c>
      <c r="F1042" s="82" t="str">
        <f>_xlfn.TEXTJOIN("; ",TRUE,IF(AND(OR(TRIM([1]DATABASE!Q1003)="RESERVED",TRIM([1]DATABASE!Q1003)="PRE-RESERVED",TRIM([1]DATABASE!Q1003)="PSPA"),[1]DATABASE!AA1003=""),"Reserved/PSPA no PSPA Date",""),IF(AND(TRIM([1]DATABASE!Q1003)="AVAILABLE",[1]DATABASE!AA1003&lt;&gt;""),"Available has PSPA Date",""))</f>
        <v/>
      </c>
      <c r="G1042" s="82" t="str">
        <f>_xlfn.TEXTJOIN("; ",TRUE,IF(AND([1]DATABASE!T1003&lt;0.8*[1]DATABASE!S1003,[1]DATABASE!T1003&gt;0,[1]DATABASE!S1003&gt;0),"Heavy Price Cut &gt;20%",""),IF(AND(OR(TRIM([1]DATABASE!Q1003)="AVAILABLE",TRIM([1]DATABASE!Q1003)="UPON REQUEST"),OR([1]DATABASE!T1003="",[1]DATABASE!T1003=0)),"Active Unit no Price",""),IF(AND(OR(TRIM([1]DATABASE!Q1003)="AVAILABLE",TRIM([1]DATABASE!Q1003)="RESERVED",TRIM([1]DATABASE!Q1003)="PRE-RESERVED",TRIM([1]DATABASE!Q1003)="PSPA"),[1]DATABASE!AC1003=""),"Active no Owner",""),IF(OR([1]DATABASE!F1003="",[1]DATABASE!F1003&lt;=0),"Missing/Invalid Area",""),IF(AND([1]DATABASE!T1003&gt;0,ABS([1]DATABASE!T1003-[1]DATABASE!W1003-[1]DATABASE!U1003-[1]DATABASE!V1003)&gt;1),"Price Bridge Mismatch",""))</f>
        <v>Heavy Price Cut &gt;20%</v>
      </c>
      <c r="H1042" t="str">
        <f t="shared" si="18"/>
        <v>REVIEW</v>
      </c>
      <c r="I1042" s="90">
        <f>[1]DATABASE!T1003</f>
        <v>1200000</v>
      </c>
      <c r="J1042" t="str">
        <f>[1]DATABASE!AC1003</f>
        <v>Sandra Viegas</v>
      </c>
    </row>
    <row r="1043" spans="1:10" ht="13.95" customHeight="1" x14ac:dyDescent="0.3">
      <c r="A1043">
        <f>ROW([1]DATABASE!A1004)</f>
        <v>1004</v>
      </c>
      <c r="B1043" t="str">
        <f>[1]DATABASE!AJ1004</f>
        <v>Rivus</v>
      </c>
      <c r="C1043" t="str">
        <f>[1]DATABASE!C1004</f>
        <v>J</v>
      </c>
      <c r="D1043" t="str">
        <f>TRIM([1]DATABASE!Q1004)</f>
        <v>AVAILABLE</v>
      </c>
      <c r="E1043" s="82" t="str">
        <f>_xlfn.TEXTJOIN("; ",TRUE,IF([1]DATABASE!X1004&lt;0,"Negative Discount",""),IF(AND([1]DATABASE!Y1004&gt;[1]DATABASE!T1004,[1]DATABASE!Y1004&gt;0,[1]DATABASE!T1004&gt;0),"Sell Price &gt; Current",""),IF(AND(TRIM([1]DATABASE!Q1004)="DEED",[1]DATABASE!AA1004=""),"Deeded no PSPA Date",""),IF([1]DATABASE!E1004="","Missing Typology",""),IF([1]DATABASE!AJ1004="","Missing Development",""))</f>
        <v/>
      </c>
      <c r="F1043" s="82" t="str">
        <f>_xlfn.TEXTJOIN("; ",TRUE,IF(AND(OR(TRIM([1]DATABASE!Q1004)="RESERVED",TRIM([1]DATABASE!Q1004)="PRE-RESERVED",TRIM([1]DATABASE!Q1004)="PSPA"),[1]DATABASE!AA1004=""),"Reserved/PSPA no PSPA Date",""),IF(AND(TRIM([1]DATABASE!Q1004)="AVAILABLE",[1]DATABASE!AA1004&lt;&gt;""),"Available has PSPA Date",""))</f>
        <v/>
      </c>
      <c r="G1043" s="82" t="str">
        <f>_xlfn.TEXTJOIN("; ",TRUE,IF(AND([1]DATABASE!T1004&lt;0.8*[1]DATABASE!S1004,[1]DATABASE!T1004&gt;0,[1]DATABASE!S1004&gt;0),"Heavy Price Cut &gt;20%",""),IF(AND(OR(TRIM([1]DATABASE!Q1004)="AVAILABLE",TRIM([1]DATABASE!Q1004)="UPON REQUEST"),OR([1]DATABASE!T1004="",[1]DATABASE!T1004=0)),"Active Unit no Price",""),IF(AND(OR(TRIM([1]DATABASE!Q1004)="AVAILABLE",TRIM([1]DATABASE!Q1004)="RESERVED",TRIM([1]DATABASE!Q1004)="PRE-RESERVED",TRIM([1]DATABASE!Q1004)="PSPA"),[1]DATABASE!AC1004=""),"Active no Owner",""),IF(OR([1]DATABASE!F1004="",[1]DATABASE!F1004&lt;=0),"Missing/Invalid Area",""),IF(AND([1]DATABASE!T1004&gt;0,ABS([1]DATABASE!T1004-[1]DATABASE!W1004-[1]DATABASE!U1004-[1]DATABASE!V1004)&gt;1),"Price Bridge Mismatch",""))</f>
        <v>Missing/Invalid Area</v>
      </c>
      <c r="H1043" t="str">
        <f t="shared" si="18"/>
        <v>REVIEW</v>
      </c>
      <c r="I1043" s="90">
        <f>[1]DATABASE!T1004</f>
        <v>820000</v>
      </c>
      <c r="J1043" t="str">
        <f>[1]DATABASE!AC1004</f>
        <v>Ana Damásio</v>
      </c>
    </row>
    <row r="1044" spans="1:10" ht="13.95" customHeight="1" x14ac:dyDescent="0.3">
      <c r="A1044">
        <f>ROW([1]DATABASE!A1005)</f>
        <v>1005</v>
      </c>
      <c r="B1044" t="str">
        <f>[1]DATABASE!AJ1005</f>
        <v>Springs - At the Els</v>
      </c>
      <c r="C1044" t="str">
        <f>[1]DATABASE!C1005</f>
        <v>J</v>
      </c>
      <c r="D1044" t="str">
        <f>TRIM([1]DATABASE!Q1005)</f>
        <v>AVAILABLE</v>
      </c>
      <c r="E1044" s="82" t="str">
        <f>_xlfn.TEXTJOIN("; ",TRUE,IF([1]DATABASE!X1005&lt;0,"Negative Discount",""),IF(AND([1]DATABASE!Y1005&gt;[1]DATABASE!T1005,[1]DATABASE!Y1005&gt;0,[1]DATABASE!T1005&gt;0),"Sell Price &gt; Current",""),IF(AND(TRIM([1]DATABASE!Q1005)="DEED",[1]DATABASE!AA1005=""),"Deeded no PSPA Date",""),IF([1]DATABASE!E1005="","Missing Typology",""),IF([1]DATABASE!AJ1005="","Missing Development",""))</f>
        <v/>
      </c>
      <c r="F1044" s="82" t="str">
        <f>_xlfn.TEXTJOIN("; ",TRUE,IF(AND(OR(TRIM([1]DATABASE!Q1005)="RESERVED",TRIM([1]DATABASE!Q1005)="PRE-RESERVED",TRIM([1]DATABASE!Q1005)="PSPA"),[1]DATABASE!AA1005=""),"Reserved/PSPA no PSPA Date",""),IF(AND(TRIM([1]DATABASE!Q1005)="AVAILABLE",[1]DATABASE!AA1005&lt;&gt;""),"Available has PSPA Date",""))</f>
        <v/>
      </c>
      <c r="G1044" s="82" t="str">
        <f>_xlfn.TEXTJOIN("; ",TRUE,IF(AND([1]DATABASE!T1005&lt;0.8*[1]DATABASE!S1005,[1]DATABASE!T1005&gt;0,[1]DATABASE!S1005&gt;0),"Heavy Price Cut &gt;20%",""),IF(AND(OR(TRIM([1]DATABASE!Q1005)="AVAILABLE",TRIM([1]DATABASE!Q1005)="UPON REQUEST"),OR([1]DATABASE!T1005="",[1]DATABASE!T1005=0)),"Active Unit no Price",""),IF(AND(OR(TRIM([1]DATABASE!Q1005)="AVAILABLE",TRIM([1]DATABASE!Q1005)="RESERVED",TRIM([1]DATABASE!Q1005)="PRE-RESERVED",TRIM([1]DATABASE!Q1005)="PSPA"),[1]DATABASE!AC1005=""),"Active no Owner",""),IF(OR([1]DATABASE!F1005="",[1]DATABASE!F1005&lt;=0),"Missing/Invalid Area",""),IF(AND([1]DATABASE!T1005&gt;0,ABS([1]DATABASE!T1005-[1]DATABASE!W1005-[1]DATABASE!U1005-[1]DATABASE!V1005)&gt;1),"Price Bridge Mismatch",""))</f>
        <v/>
      </c>
      <c r="H1044" t="str">
        <f t="shared" si="18"/>
        <v>PASS</v>
      </c>
      <c r="I1044" s="90">
        <f>[1]DATABASE!T1005</f>
        <v>2130000</v>
      </c>
      <c r="J1044" t="str">
        <f>[1]DATABASE!AC1005</f>
        <v>Ana Damásio</v>
      </c>
    </row>
    <row r="1045" spans="1:10" ht="13.95" customHeight="1" x14ac:dyDescent="0.3">
      <c r="A1045">
        <f>ROW([1]DATABASE!A1006)</f>
        <v>1006</v>
      </c>
      <c r="B1045" t="str">
        <f>[1]DATABASE!AJ1006</f>
        <v>Zestia</v>
      </c>
      <c r="C1045" t="str">
        <f>[1]DATABASE!C1006</f>
        <v>J</v>
      </c>
      <c r="D1045" t="str">
        <f>TRIM([1]DATABASE!Q1006)</f>
        <v>AVAILABLE</v>
      </c>
      <c r="E1045" s="82" t="str">
        <f>_xlfn.TEXTJOIN("; ",TRUE,IF([1]DATABASE!X1006&lt;0,"Negative Discount",""),IF(AND([1]DATABASE!Y1006&gt;[1]DATABASE!T1006,[1]DATABASE!Y1006&gt;0,[1]DATABASE!T1006&gt;0),"Sell Price &gt; Current",""),IF(AND(TRIM([1]DATABASE!Q1006)="DEED",[1]DATABASE!AA1006=""),"Deeded no PSPA Date",""),IF([1]DATABASE!E1006="","Missing Typology",""),IF([1]DATABASE!AJ1006="","Missing Development",""))</f>
        <v/>
      </c>
      <c r="F1045" s="82" t="str">
        <f>_xlfn.TEXTJOIN("; ",TRUE,IF(AND(OR(TRIM([1]DATABASE!Q1006)="RESERVED",TRIM([1]DATABASE!Q1006)="PRE-RESERVED",TRIM([1]DATABASE!Q1006)="PSPA"),[1]DATABASE!AA1006=""),"Reserved/PSPA no PSPA Date",""),IF(AND(TRIM([1]DATABASE!Q1006)="AVAILABLE",[1]DATABASE!AA1006&lt;&gt;""),"Available has PSPA Date",""))</f>
        <v/>
      </c>
      <c r="G1045" s="82" t="str">
        <f>_xlfn.TEXTJOIN("; ",TRUE,IF(AND([1]DATABASE!T1006&lt;0.8*[1]DATABASE!S1006,[1]DATABASE!T1006&gt;0,[1]DATABASE!S1006&gt;0),"Heavy Price Cut &gt;20%",""),IF(AND(OR(TRIM([1]DATABASE!Q1006)="AVAILABLE",TRIM([1]DATABASE!Q1006)="UPON REQUEST"),OR([1]DATABASE!T1006="",[1]DATABASE!T1006=0)),"Active Unit no Price",""),IF(AND(OR(TRIM([1]DATABASE!Q1006)="AVAILABLE",TRIM([1]DATABASE!Q1006)="RESERVED",TRIM([1]DATABASE!Q1006)="PRE-RESERVED",TRIM([1]DATABASE!Q1006)="PSPA"),[1]DATABASE!AC1006=""),"Active no Owner",""),IF(OR([1]DATABASE!F1006="",[1]DATABASE!F1006&lt;=0),"Missing/Invalid Area",""),IF(AND([1]DATABASE!T1006&gt;0,ABS([1]DATABASE!T1006-[1]DATABASE!W1006-[1]DATABASE!U1006-[1]DATABASE!V1006)&gt;1),"Price Bridge Mismatch",""))</f>
        <v/>
      </c>
      <c r="H1045" t="str">
        <f t="shared" si="18"/>
        <v>PASS</v>
      </c>
      <c r="I1045" s="90">
        <f>[1]DATABASE!T1006</f>
        <v>850000</v>
      </c>
      <c r="J1045" t="str">
        <f>[1]DATABASE!AC1006</f>
        <v>Ana Damásio</v>
      </c>
    </row>
    <row r="1046" spans="1:10" ht="13.95" customHeight="1" x14ac:dyDescent="0.3">
      <c r="A1046">
        <f>ROW([1]DATABASE!A1007)</f>
        <v>1007</v>
      </c>
      <c r="B1046" t="str">
        <f>[1]DATABASE!AJ1007</f>
        <v>Aroeira Collections</v>
      </c>
      <c r="C1046" t="str">
        <f>[1]DATABASE!C1007</f>
        <v>321A</v>
      </c>
      <c r="D1046" t="str">
        <f>TRIM([1]DATABASE!Q1007)</f>
        <v>AVAILABLE</v>
      </c>
      <c r="E1046" s="82" t="str">
        <f>_xlfn.TEXTJOIN("; ",TRUE,IF([1]DATABASE!X1007&lt;0,"Negative Discount",""),IF(AND([1]DATABASE!Y1007&gt;[1]DATABASE!T1007,[1]DATABASE!Y1007&gt;0,[1]DATABASE!T1007&gt;0),"Sell Price &gt; Current",""),IF(AND(TRIM([1]DATABASE!Q1007)="DEED",[1]DATABASE!AA1007=""),"Deeded no PSPA Date",""),IF([1]DATABASE!E1007="","Missing Typology",""),IF([1]DATABASE!AJ1007="","Missing Development",""))</f>
        <v/>
      </c>
      <c r="F1046" s="82" t="str">
        <f>_xlfn.TEXTJOIN("; ",TRUE,IF(AND(OR(TRIM([1]DATABASE!Q1007)="RESERVED",TRIM([1]DATABASE!Q1007)="PRE-RESERVED",TRIM([1]DATABASE!Q1007)="PSPA"),[1]DATABASE!AA1007=""),"Reserved/PSPA no PSPA Date",""),IF(AND(TRIM([1]DATABASE!Q1007)="AVAILABLE",[1]DATABASE!AA1007&lt;&gt;""),"Available has PSPA Date",""))</f>
        <v/>
      </c>
      <c r="G1046" s="82" t="str">
        <f>_xlfn.TEXTJOIN("; ",TRUE,IF(AND([1]DATABASE!T1007&lt;0.8*[1]DATABASE!S1007,[1]DATABASE!T1007&gt;0,[1]DATABASE!S1007&gt;0),"Heavy Price Cut &gt;20%",""),IF(AND(OR(TRIM([1]DATABASE!Q1007)="AVAILABLE",TRIM([1]DATABASE!Q1007)="UPON REQUEST"),OR([1]DATABASE!T1007="",[1]DATABASE!T1007=0)),"Active Unit no Price",""),IF(AND(OR(TRIM([1]DATABASE!Q1007)="AVAILABLE",TRIM([1]DATABASE!Q1007)="RESERVED",TRIM([1]DATABASE!Q1007)="PRE-RESERVED",TRIM([1]DATABASE!Q1007)="PSPA"),[1]DATABASE!AC1007=""),"Active no Owner",""),IF(OR([1]DATABASE!F1007="",[1]DATABASE!F1007&lt;=0),"Missing/Invalid Area",""),IF(AND([1]DATABASE!T1007&gt;0,ABS([1]DATABASE!T1007-[1]DATABASE!W1007-[1]DATABASE!U1007-[1]DATABASE!V1007)&gt;1),"Price Bridge Mismatch",""))</f>
        <v/>
      </c>
      <c r="H1046" t="str">
        <f t="shared" si="18"/>
        <v>PASS</v>
      </c>
      <c r="I1046" s="90">
        <f>[1]DATABASE!T1007</f>
        <v>470000</v>
      </c>
      <c r="J1046" t="str">
        <f>[1]DATABASE!AC1007</f>
        <v>João Gameiro</v>
      </c>
    </row>
    <row r="1047" spans="1:10" ht="13.95" customHeight="1" x14ac:dyDescent="0.3">
      <c r="A1047">
        <f>ROW([1]DATABASE!A1008)</f>
        <v>1008</v>
      </c>
      <c r="B1047" t="str">
        <f>[1]DATABASE!AJ1008</f>
        <v>Aroeira Collections</v>
      </c>
      <c r="C1047" t="str">
        <f>[1]DATABASE!C1008</f>
        <v>322A</v>
      </c>
      <c r="D1047" t="str">
        <f>TRIM([1]DATABASE!Q1008)</f>
        <v>AVAILABLE</v>
      </c>
      <c r="E1047" s="82" t="str">
        <f>_xlfn.TEXTJOIN("; ",TRUE,IF([1]DATABASE!X1008&lt;0,"Negative Discount",""),IF(AND([1]DATABASE!Y1008&gt;[1]DATABASE!T1008,[1]DATABASE!Y1008&gt;0,[1]DATABASE!T1008&gt;0),"Sell Price &gt; Current",""),IF(AND(TRIM([1]DATABASE!Q1008)="DEED",[1]DATABASE!AA1008=""),"Deeded no PSPA Date",""),IF([1]DATABASE!E1008="","Missing Typology",""),IF([1]DATABASE!AJ1008="","Missing Development",""))</f>
        <v/>
      </c>
      <c r="F1047" s="82" t="str">
        <f>_xlfn.TEXTJOIN("; ",TRUE,IF(AND(OR(TRIM([1]DATABASE!Q1008)="RESERVED",TRIM([1]DATABASE!Q1008)="PRE-RESERVED",TRIM([1]DATABASE!Q1008)="PSPA"),[1]DATABASE!AA1008=""),"Reserved/PSPA no PSPA Date",""),IF(AND(TRIM([1]DATABASE!Q1008)="AVAILABLE",[1]DATABASE!AA1008&lt;&gt;""),"Available has PSPA Date",""))</f>
        <v/>
      </c>
      <c r="G1047" s="82" t="str">
        <f>_xlfn.TEXTJOIN("; ",TRUE,IF(AND([1]DATABASE!T1008&lt;0.8*[1]DATABASE!S1008,[1]DATABASE!T1008&gt;0,[1]DATABASE!S1008&gt;0),"Heavy Price Cut &gt;20%",""),IF(AND(OR(TRIM([1]DATABASE!Q1008)="AVAILABLE",TRIM([1]DATABASE!Q1008)="UPON REQUEST"),OR([1]DATABASE!T1008="",[1]DATABASE!T1008=0)),"Active Unit no Price",""),IF(AND(OR(TRIM([1]DATABASE!Q1008)="AVAILABLE",TRIM([1]DATABASE!Q1008)="RESERVED",TRIM([1]DATABASE!Q1008)="PRE-RESERVED",TRIM([1]DATABASE!Q1008)="PSPA"),[1]DATABASE!AC1008=""),"Active no Owner",""),IF(OR([1]DATABASE!F1008="",[1]DATABASE!F1008&lt;=0),"Missing/Invalid Area",""),IF(AND([1]DATABASE!T1008&gt;0,ABS([1]DATABASE!T1008-[1]DATABASE!W1008-[1]DATABASE!U1008-[1]DATABASE!V1008)&gt;1),"Price Bridge Mismatch",""))</f>
        <v/>
      </c>
      <c r="H1047" t="str">
        <f t="shared" si="18"/>
        <v>PASS</v>
      </c>
      <c r="I1047" s="90">
        <f>[1]DATABASE!T1008</f>
        <v>470000</v>
      </c>
      <c r="J1047" t="str">
        <f>[1]DATABASE!AC1008</f>
        <v>João Gameiro</v>
      </c>
    </row>
    <row r="1048" spans="1:10" ht="13.95" customHeight="1" x14ac:dyDescent="0.3">
      <c r="A1048">
        <f>ROW([1]DATABASE!A1009)</f>
        <v>1009</v>
      </c>
      <c r="B1048" t="str">
        <f>[1]DATABASE!AJ1009</f>
        <v>Aroeira Collections</v>
      </c>
      <c r="C1048" t="str">
        <f>[1]DATABASE!C1009</f>
        <v>323B</v>
      </c>
      <c r="D1048" t="str">
        <f>TRIM([1]DATABASE!Q1009)</f>
        <v>AVAILABLE</v>
      </c>
      <c r="E1048" s="82" t="str">
        <f>_xlfn.TEXTJOIN("; ",TRUE,IF([1]DATABASE!X1009&lt;0,"Negative Discount",""),IF(AND([1]DATABASE!Y1009&gt;[1]DATABASE!T1009,[1]DATABASE!Y1009&gt;0,[1]DATABASE!T1009&gt;0),"Sell Price &gt; Current",""),IF(AND(TRIM([1]DATABASE!Q1009)="DEED",[1]DATABASE!AA1009=""),"Deeded no PSPA Date",""),IF([1]DATABASE!E1009="","Missing Typology",""),IF([1]DATABASE!AJ1009="","Missing Development",""))</f>
        <v/>
      </c>
      <c r="F1048" s="82" t="str">
        <f>_xlfn.TEXTJOIN("; ",TRUE,IF(AND(OR(TRIM([1]DATABASE!Q1009)="RESERVED",TRIM([1]DATABASE!Q1009)="PRE-RESERVED",TRIM([1]DATABASE!Q1009)="PSPA"),[1]DATABASE!AA1009=""),"Reserved/PSPA no PSPA Date",""),IF(AND(TRIM([1]DATABASE!Q1009)="AVAILABLE",[1]DATABASE!AA1009&lt;&gt;""),"Available has PSPA Date",""))</f>
        <v>Available has PSPA Date</v>
      </c>
      <c r="G1048" s="82" t="str">
        <f>_xlfn.TEXTJOIN("; ",TRUE,IF(AND([1]DATABASE!T1009&lt;0.8*[1]DATABASE!S1009,[1]DATABASE!T1009&gt;0,[1]DATABASE!S1009&gt;0),"Heavy Price Cut &gt;20%",""),IF(AND(OR(TRIM([1]DATABASE!Q1009)="AVAILABLE",TRIM([1]DATABASE!Q1009)="UPON REQUEST"),OR([1]DATABASE!T1009="",[1]DATABASE!T1009=0)),"Active Unit no Price",""),IF(AND(OR(TRIM([1]DATABASE!Q1009)="AVAILABLE",TRIM([1]DATABASE!Q1009)="RESERVED",TRIM([1]DATABASE!Q1009)="PRE-RESERVED",TRIM([1]DATABASE!Q1009)="PSPA"),[1]DATABASE!AC1009=""),"Active no Owner",""),IF(OR([1]DATABASE!F1009="",[1]DATABASE!F1009&lt;=0),"Missing/Invalid Area",""),IF(AND([1]DATABASE!T1009&gt;0,ABS([1]DATABASE!T1009-[1]DATABASE!W1009-[1]DATABASE!U1009-[1]DATABASE!V1009)&gt;1),"Price Bridge Mismatch",""))</f>
        <v/>
      </c>
      <c r="H1048" t="str">
        <f t="shared" si="18"/>
        <v>REVIEW</v>
      </c>
      <c r="I1048" s="90">
        <f>[1]DATABASE!T1009</f>
        <v>695000</v>
      </c>
      <c r="J1048" t="str">
        <f>[1]DATABASE!AC1009</f>
        <v>João Gameiro</v>
      </c>
    </row>
    <row r="1049" spans="1:10" ht="13.95" customHeight="1" x14ac:dyDescent="0.3">
      <c r="A1049">
        <f>ROW([1]DATABASE!A1010)</f>
        <v>1010</v>
      </c>
      <c r="B1049" t="str">
        <f>[1]DATABASE!AJ1010</f>
        <v>Palmares</v>
      </c>
      <c r="C1049" t="str">
        <f>[1]DATABASE!C1010</f>
        <v>15B</v>
      </c>
      <c r="D1049" t="str">
        <f>TRIM([1]DATABASE!Q1010)</f>
        <v>PSPA</v>
      </c>
      <c r="E1049" s="82" t="str">
        <f>_xlfn.TEXTJOIN("; ",TRUE,IF([1]DATABASE!X1010&lt;0,"Negative Discount",""),IF(AND([1]DATABASE!Y1010&gt;[1]DATABASE!T1010,[1]DATABASE!Y1010&gt;0,[1]DATABASE!T1010&gt;0),"Sell Price &gt; Current",""),IF(AND(TRIM([1]DATABASE!Q1010)="DEED",[1]DATABASE!AA1010=""),"Deeded no PSPA Date",""),IF([1]DATABASE!E1010="","Missing Typology",""),IF([1]DATABASE!AJ1010="","Missing Development",""))</f>
        <v/>
      </c>
      <c r="F1049" s="82" t="str">
        <f>_xlfn.TEXTJOIN("; ",TRUE,IF(AND(OR(TRIM([1]DATABASE!Q1010)="RESERVED",TRIM([1]DATABASE!Q1010)="PRE-RESERVED",TRIM([1]DATABASE!Q1010)="PSPA"),[1]DATABASE!AA1010=""),"Reserved/PSPA no PSPA Date",""),IF(AND(TRIM([1]DATABASE!Q1010)="AVAILABLE",[1]DATABASE!AA1010&lt;&gt;""),"Available has PSPA Date",""))</f>
        <v/>
      </c>
      <c r="G1049" s="82" t="str">
        <f>_xlfn.TEXTJOIN("; ",TRUE,IF(AND([1]DATABASE!T1010&lt;0.8*[1]DATABASE!S1010,[1]DATABASE!T1010&gt;0,[1]DATABASE!S1010&gt;0),"Heavy Price Cut &gt;20%",""),IF(AND(OR(TRIM([1]DATABASE!Q1010)="AVAILABLE",TRIM([1]DATABASE!Q1010)="UPON REQUEST"),OR([1]DATABASE!T1010="",[1]DATABASE!T1010=0)),"Active Unit no Price",""),IF(AND(OR(TRIM([1]DATABASE!Q1010)="AVAILABLE",TRIM([1]DATABASE!Q1010)="RESERVED",TRIM([1]DATABASE!Q1010)="PRE-RESERVED",TRIM([1]DATABASE!Q1010)="PSPA"),[1]DATABASE!AC1010=""),"Active no Owner",""),IF(OR([1]DATABASE!F1010="",[1]DATABASE!F1010&lt;=0),"Missing/Invalid Area",""),IF(AND([1]DATABASE!T1010&gt;0,ABS([1]DATABASE!T1010-[1]DATABASE!W1010-[1]DATABASE!U1010-[1]DATABASE!V1010)&gt;1),"Price Bridge Mismatch",""))</f>
        <v>Active no Owner</v>
      </c>
      <c r="H1049" t="str">
        <f t="shared" si="18"/>
        <v>REVIEW</v>
      </c>
      <c r="I1049" s="90">
        <f>[1]DATABASE!T1010</f>
        <v>1470000</v>
      </c>
      <c r="J1049">
        <f>[1]DATABASE!AC1010</f>
        <v>0</v>
      </c>
    </row>
    <row r="1050" spans="1:10" ht="13.95" customHeight="1" x14ac:dyDescent="0.3">
      <c r="A1050">
        <f>ROW([1]DATABASE!A1011)</f>
        <v>1011</v>
      </c>
      <c r="B1050" t="str">
        <f>[1]DATABASE!AJ1011</f>
        <v>Aroeira Collections</v>
      </c>
      <c r="C1050" t="str">
        <f>[1]DATABASE!C1011</f>
        <v>325B</v>
      </c>
      <c r="D1050" t="str">
        <f>TRIM([1]DATABASE!Q1011)</f>
        <v>AVAILABLE</v>
      </c>
      <c r="E1050" s="82" t="str">
        <f>_xlfn.TEXTJOIN("; ",TRUE,IF([1]DATABASE!X1011&lt;0,"Negative Discount",""),IF(AND([1]DATABASE!Y1011&gt;[1]DATABASE!T1011,[1]DATABASE!Y1011&gt;0,[1]DATABASE!T1011&gt;0),"Sell Price &gt; Current",""),IF(AND(TRIM([1]DATABASE!Q1011)="DEED",[1]DATABASE!AA1011=""),"Deeded no PSPA Date",""),IF([1]DATABASE!E1011="","Missing Typology",""),IF([1]DATABASE!AJ1011="","Missing Development",""))</f>
        <v/>
      </c>
      <c r="F1050" s="82" t="str">
        <f>_xlfn.TEXTJOIN("; ",TRUE,IF(AND(OR(TRIM([1]DATABASE!Q1011)="RESERVED",TRIM([1]DATABASE!Q1011)="PRE-RESERVED",TRIM([1]DATABASE!Q1011)="PSPA"),[1]DATABASE!AA1011=""),"Reserved/PSPA no PSPA Date",""),IF(AND(TRIM([1]DATABASE!Q1011)="AVAILABLE",[1]DATABASE!AA1011&lt;&gt;""),"Available has PSPA Date",""))</f>
        <v/>
      </c>
      <c r="G1050" s="82" t="str">
        <f>_xlfn.TEXTJOIN("; ",TRUE,IF(AND([1]DATABASE!T1011&lt;0.8*[1]DATABASE!S1011,[1]DATABASE!T1011&gt;0,[1]DATABASE!S1011&gt;0),"Heavy Price Cut &gt;20%",""),IF(AND(OR(TRIM([1]DATABASE!Q1011)="AVAILABLE",TRIM([1]DATABASE!Q1011)="UPON REQUEST"),OR([1]DATABASE!T1011="",[1]DATABASE!T1011=0)),"Active Unit no Price",""),IF(AND(OR(TRIM([1]DATABASE!Q1011)="AVAILABLE",TRIM([1]DATABASE!Q1011)="RESERVED",TRIM([1]DATABASE!Q1011)="PRE-RESERVED",TRIM([1]DATABASE!Q1011)="PSPA"),[1]DATABASE!AC1011=""),"Active no Owner",""),IF(OR([1]DATABASE!F1011="",[1]DATABASE!F1011&lt;=0),"Missing/Invalid Area",""),IF(AND([1]DATABASE!T1011&gt;0,ABS([1]DATABASE!T1011-[1]DATABASE!W1011-[1]DATABASE!U1011-[1]DATABASE!V1011)&gt;1),"Price Bridge Mismatch",""))</f>
        <v/>
      </c>
      <c r="H1050" t="str">
        <f t="shared" si="18"/>
        <v>PASS</v>
      </c>
      <c r="I1050" s="90">
        <f>[1]DATABASE!T1011</f>
        <v>675000</v>
      </c>
      <c r="J1050" t="str">
        <f>[1]DATABASE!AC1011</f>
        <v>João Gameiro</v>
      </c>
    </row>
    <row r="1051" spans="1:10" ht="13.95" customHeight="1" x14ac:dyDescent="0.3">
      <c r="A1051">
        <f>ROW([1]DATABASE!A1012)</f>
        <v>1012</v>
      </c>
      <c r="B1051" t="str">
        <f>[1]DATABASE!AJ1012</f>
        <v>Natura Village</v>
      </c>
      <c r="C1051" t="str">
        <f>[1]DATABASE!C1012</f>
        <v>K</v>
      </c>
      <c r="D1051" t="str">
        <f>TRIM([1]DATABASE!Q1012)</f>
        <v>AVAILABLE</v>
      </c>
      <c r="E1051" s="82" t="str">
        <f>_xlfn.TEXTJOIN("; ",TRUE,IF([1]DATABASE!X1012&lt;0,"Negative Discount",""),IF(AND([1]DATABASE!Y1012&gt;[1]DATABASE!T1012,[1]DATABASE!Y1012&gt;0,[1]DATABASE!T1012&gt;0),"Sell Price &gt; Current",""),IF(AND(TRIM([1]DATABASE!Q1012)="DEED",[1]DATABASE!AA1012=""),"Deeded no PSPA Date",""),IF([1]DATABASE!E1012="","Missing Typology",""),IF([1]DATABASE!AJ1012="","Missing Development",""))</f>
        <v/>
      </c>
      <c r="F1051" s="82" t="str">
        <f>_xlfn.TEXTJOIN("; ",TRUE,IF(AND(OR(TRIM([1]DATABASE!Q1012)="RESERVED",TRIM([1]DATABASE!Q1012)="PRE-RESERVED",TRIM([1]DATABASE!Q1012)="PSPA"),[1]DATABASE!AA1012=""),"Reserved/PSPA no PSPA Date",""),IF(AND(TRIM([1]DATABASE!Q1012)="AVAILABLE",[1]DATABASE!AA1012&lt;&gt;""),"Available has PSPA Date",""))</f>
        <v/>
      </c>
      <c r="G1051" s="82" t="str">
        <f>_xlfn.TEXTJOIN("; ",TRUE,IF(AND([1]DATABASE!T1012&lt;0.8*[1]DATABASE!S1012,[1]DATABASE!T1012&gt;0,[1]DATABASE!S1012&gt;0),"Heavy Price Cut &gt;20%",""),IF(AND(OR(TRIM([1]DATABASE!Q1012)="AVAILABLE",TRIM([1]DATABASE!Q1012)="UPON REQUEST"),OR([1]DATABASE!T1012="",[1]DATABASE!T1012=0)),"Active Unit no Price",""),IF(AND(OR(TRIM([1]DATABASE!Q1012)="AVAILABLE",TRIM([1]DATABASE!Q1012)="RESERVED",TRIM([1]DATABASE!Q1012)="PRE-RESERVED",TRIM([1]DATABASE!Q1012)="PSPA"),[1]DATABASE!AC1012=""),"Active no Owner",""),IF(OR([1]DATABASE!F1012="",[1]DATABASE!F1012&lt;=0),"Missing/Invalid Area",""),IF(AND([1]DATABASE!T1012&gt;0,ABS([1]DATABASE!T1012-[1]DATABASE!W1012-[1]DATABASE!U1012-[1]DATABASE!V1012)&gt;1),"Price Bridge Mismatch",""))</f>
        <v/>
      </c>
      <c r="H1051" t="str">
        <f t="shared" si="18"/>
        <v>PASS</v>
      </c>
      <c r="I1051" s="90">
        <f>[1]DATABASE!T1012</f>
        <v>1180000</v>
      </c>
      <c r="J1051" t="str">
        <f>[1]DATABASE!AC1012</f>
        <v>Ana Damásio</v>
      </c>
    </row>
    <row r="1052" spans="1:10" ht="13.95" customHeight="1" x14ac:dyDescent="0.3">
      <c r="A1052">
        <f>ROW([1]DATABASE!A1013)</f>
        <v>1013</v>
      </c>
      <c r="B1052" t="str">
        <f>[1]DATABASE!AJ1013</f>
        <v>Nobilus</v>
      </c>
      <c r="C1052" t="str">
        <f>[1]DATABASE!C1013</f>
        <v>K</v>
      </c>
      <c r="D1052" t="str">
        <f>TRIM([1]DATABASE!Q1013)</f>
        <v>AVAILABLE</v>
      </c>
      <c r="E1052" s="82" t="str">
        <f>_xlfn.TEXTJOIN("; ",TRUE,IF([1]DATABASE!X1013&lt;0,"Negative Discount",""),IF(AND([1]DATABASE!Y1013&gt;[1]DATABASE!T1013,[1]DATABASE!Y1013&gt;0,[1]DATABASE!T1013&gt;0),"Sell Price &gt; Current",""),IF(AND(TRIM([1]DATABASE!Q1013)="DEED",[1]DATABASE!AA1013=""),"Deeded no PSPA Date",""),IF([1]DATABASE!E1013="","Missing Typology",""),IF([1]DATABASE!AJ1013="","Missing Development",""))</f>
        <v/>
      </c>
      <c r="F1052" s="82" t="str">
        <f>_xlfn.TEXTJOIN("; ",TRUE,IF(AND(OR(TRIM([1]DATABASE!Q1013)="RESERVED",TRIM([1]DATABASE!Q1013)="PRE-RESERVED",TRIM([1]DATABASE!Q1013)="PSPA"),[1]DATABASE!AA1013=""),"Reserved/PSPA no PSPA Date",""),IF(AND(TRIM([1]DATABASE!Q1013)="AVAILABLE",[1]DATABASE!AA1013&lt;&gt;""),"Available has PSPA Date",""))</f>
        <v/>
      </c>
      <c r="G1052" s="82" t="str">
        <f>_xlfn.TEXTJOIN("; ",TRUE,IF(AND([1]DATABASE!T1013&lt;0.8*[1]DATABASE!S1013,[1]DATABASE!T1013&gt;0,[1]DATABASE!S1013&gt;0),"Heavy Price Cut &gt;20%",""),IF(AND(OR(TRIM([1]DATABASE!Q1013)="AVAILABLE",TRIM([1]DATABASE!Q1013)="UPON REQUEST"),OR([1]DATABASE!T1013="",[1]DATABASE!T1013=0)),"Active Unit no Price",""),IF(AND(OR(TRIM([1]DATABASE!Q1013)="AVAILABLE",TRIM([1]DATABASE!Q1013)="RESERVED",TRIM([1]DATABASE!Q1013)="PRE-RESERVED",TRIM([1]DATABASE!Q1013)="PSPA"),[1]DATABASE!AC1013=""),"Active no Owner",""),IF(OR([1]DATABASE!F1013="",[1]DATABASE!F1013&lt;=0),"Missing/Invalid Area",""),IF(AND([1]DATABASE!T1013&gt;0,ABS([1]DATABASE!T1013-[1]DATABASE!W1013-[1]DATABASE!U1013-[1]DATABASE!V1013)&gt;1),"Price Bridge Mismatch",""))</f>
        <v/>
      </c>
      <c r="H1052" t="str">
        <f t="shared" si="18"/>
        <v>PASS</v>
      </c>
      <c r="I1052" s="90">
        <f>[1]DATABASE!T1013</f>
        <v>680000</v>
      </c>
      <c r="J1052" t="str">
        <f>[1]DATABASE!AC1013</f>
        <v>Ana Damásio</v>
      </c>
    </row>
    <row r="1053" spans="1:10" ht="13.95" customHeight="1" x14ac:dyDescent="0.3">
      <c r="A1053">
        <f>ROW([1]DATABASE!A1014)</f>
        <v>1014</v>
      </c>
      <c r="B1053" t="str">
        <f>[1]DATABASE!AJ1014</f>
        <v>Aroeira Collections</v>
      </c>
      <c r="C1053" t="str">
        <f>[1]DATABASE!C1014</f>
        <v>326B</v>
      </c>
      <c r="D1053" t="str">
        <f>TRIM([1]DATABASE!Q1014)</f>
        <v>AVAILABLE</v>
      </c>
      <c r="E1053" s="82" t="str">
        <f>_xlfn.TEXTJOIN("; ",TRUE,IF([1]DATABASE!X1014&lt;0,"Negative Discount",""),IF(AND([1]DATABASE!Y1014&gt;[1]DATABASE!T1014,[1]DATABASE!Y1014&gt;0,[1]DATABASE!T1014&gt;0),"Sell Price &gt; Current",""),IF(AND(TRIM([1]DATABASE!Q1014)="DEED",[1]DATABASE!AA1014=""),"Deeded no PSPA Date",""),IF([1]DATABASE!E1014="","Missing Typology",""),IF([1]DATABASE!AJ1014="","Missing Development",""))</f>
        <v/>
      </c>
      <c r="F1053" s="82" t="str">
        <f>_xlfn.TEXTJOIN("; ",TRUE,IF(AND(OR(TRIM([1]DATABASE!Q1014)="RESERVED",TRIM([1]DATABASE!Q1014)="PRE-RESERVED",TRIM([1]DATABASE!Q1014)="PSPA"),[1]DATABASE!AA1014=""),"Reserved/PSPA no PSPA Date",""),IF(AND(TRIM([1]DATABASE!Q1014)="AVAILABLE",[1]DATABASE!AA1014&lt;&gt;""),"Available has PSPA Date",""))</f>
        <v/>
      </c>
      <c r="G1053" s="82" t="str">
        <f>_xlfn.TEXTJOIN("; ",TRUE,IF(AND([1]DATABASE!T1014&lt;0.8*[1]DATABASE!S1014,[1]DATABASE!T1014&gt;0,[1]DATABASE!S1014&gt;0),"Heavy Price Cut &gt;20%",""),IF(AND(OR(TRIM([1]DATABASE!Q1014)="AVAILABLE",TRIM([1]DATABASE!Q1014)="UPON REQUEST"),OR([1]DATABASE!T1014="",[1]DATABASE!T1014=0)),"Active Unit no Price",""),IF(AND(OR(TRIM([1]DATABASE!Q1014)="AVAILABLE",TRIM([1]DATABASE!Q1014)="RESERVED",TRIM([1]DATABASE!Q1014)="PRE-RESERVED",TRIM([1]DATABASE!Q1014)="PSPA"),[1]DATABASE!AC1014=""),"Active no Owner",""),IF(OR([1]DATABASE!F1014="",[1]DATABASE!F1014&lt;=0),"Missing/Invalid Area",""),IF(AND([1]DATABASE!T1014&gt;0,ABS([1]DATABASE!T1014-[1]DATABASE!W1014-[1]DATABASE!U1014-[1]DATABASE!V1014)&gt;1),"Price Bridge Mismatch",""))</f>
        <v/>
      </c>
      <c r="H1053" t="str">
        <f t="shared" si="18"/>
        <v>PASS</v>
      </c>
      <c r="I1053" s="90">
        <f>[1]DATABASE!T1014</f>
        <v>675000</v>
      </c>
      <c r="J1053" t="str">
        <f>[1]DATABASE!AC1014</f>
        <v>João Gameiro</v>
      </c>
    </row>
    <row r="1054" spans="1:10" ht="13.95" customHeight="1" x14ac:dyDescent="0.3">
      <c r="A1054">
        <f>ROW([1]DATABASE!A1015)</f>
        <v>1015</v>
      </c>
      <c r="B1054" t="str">
        <f>[1]DATABASE!AJ1015</f>
        <v>Monte Rei</v>
      </c>
      <c r="C1054" t="str">
        <f>[1]DATABASE!C1015</f>
        <v>13</v>
      </c>
      <c r="D1054" t="str">
        <f>TRIM([1]DATABASE!Q1015)</f>
        <v>AVAILABLE</v>
      </c>
      <c r="E1054" s="82" t="str">
        <f>_xlfn.TEXTJOIN("; ",TRUE,IF([1]DATABASE!X1015&lt;0,"Negative Discount",""),IF(AND([1]DATABASE!Y1015&gt;[1]DATABASE!T1015,[1]DATABASE!Y1015&gt;0,[1]DATABASE!T1015&gt;0),"Sell Price &gt; Current",""),IF(AND(TRIM([1]DATABASE!Q1015)="DEED",[1]DATABASE!AA1015=""),"Deeded no PSPA Date",""),IF([1]DATABASE!E1015="","Missing Typology",""),IF([1]DATABASE!AJ1015="","Missing Development",""))</f>
        <v/>
      </c>
      <c r="F1054" s="82" t="str">
        <f>_xlfn.TEXTJOIN("; ",TRUE,IF(AND(OR(TRIM([1]DATABASE!Q1015)="RESERVED",TRIM([1]DATABASE!Q1015)="PRE-RESERVED",TRIM([1]DATABASE!Q1015)="PSPA"),[1]DATABASE!AA1015=""),"Reserved/PSPA no PSPA Date",""),IF(AND(TRIM([1]DATABASE!Q1015)="AVAILABLE",[1]DATABASE!AA1015&lt;&gt;""),"Available has PSPA Date",""))</f>
        <v/>
      </c>
      <c r="G1054" s="82" t="str">
        <f>_xlfn.TEXTJOIN("; ",TRUE,IF(AND([1]DATABASE!T1015&lt;0.8*[1]DATABASE!S1015,[1]DATABASE!T1015&gt;0,[1]DATABASE!S1015&gt;0),"Heavy Price Cut &gt;20%",""),IF(AND(OR(TRIM([1]DATABASE!Q1015)="AVAILABLE",TRIM([1]DATABASE!Q1015)="UPON REQUEST"),OR([1]DATABASE!T1015="",[1]DATABASE!T1015=0)),"Active Unit no Price",""),IF(AND(OR(TRIM([1]DATABASE!Q1015)="AVAILABLE",TRIM([1]DATABASE!Q1015)="RESERVED",TRIM([1]DATABASE!Q1015)="PRE-RESERVED",TRIM([1]DATABASE!Q1015)="PSPA"),[1]DATABASE!AC1015=""),"Active no Owner",""),IF(OR([1]DATABASE!F1015="",[1]DATABASE!F1015&lt;=0),"Missing/Invalid Area",""),IF(AND([1]DATABASE!T1015&gt;0,ABS([1]DATABASE!T1015-[1]DATABASE!W1015-[1]DATABASE!U1015-[1]DATABASE!V1015)&gt;1),"Price Bridge Mismatch",""))</f>
        <v/>
      </c>
      <c r="H1054" t="str">
        <f t="shared" si="18"/>
        <v>PASS</v>
      </c>
      <c r="I1054" s="90">
        <f>[1]DATABASE!T1015</f>
        <v>1420000</v>
      </c>
      <c r="J1054" t="str">
        <f>[1]DATABASE!AC1015</f>
        <v>Sandra Viegas</v>
      </c>
    </row>
    <row r="1055" spans="1:10" ht="13.95" customHeight="1" x14ac:dyDescent="0.3">
      <c r="A1055">
        <f>ROW([1]DATABASE!A1016)</f>
        <v>1016</v>
      </c>
      <c r="B1055" t="str">
        <f>[1]DATABASE!AJ1016</f>
        <v>Monte Rei</v>
      </c>
      <c r="C1055" t="str">
        <f>[1]DATABASE!C1016</f>
        <v>12</v>
      </c>
      <c r="D1055" t="str">
        <f>TRIM([1]DATABASE!Q1016)</f>
        <v>AVAILABLE</v>
      </c>
      <c r="E1055" s="82" t="str">
        <f>_xlfn.TEXTJOIN("; ",TRUE,IF([1]DATABASE!X1016&lt;0,"Negative Discount",""),IF(AND([1]DATABASE!Y1016&gt;[1]DATABASE!T1016,[1]DATABASE!Y1016&gt;0,[1]DATABASE!T1016&gt;0),"Sell Price &gt; Current",""),IF(AND(TRIM([1]DATABASE!Q1016)="DEED",[1]DATABASE!AA1016=""),"Deeded no PSPA Date",""),IF([1]DATABASE!E1016="","Missing Typology",""),IF([1]DATABASE!AJ1016="","Missing Development",""))</f>
        <v/>
      </c>
      <c r="F1055" s="82" t="str">
        <f>_xlfn.TEXTJOIN("; ",TRUE,IF(AND(OR(TRIM([1]DATABASE!Q1016)="RESERVED",TRIM([1]DATABASE!Q1016)="PRE-RESERVED",TRIM([1]DATABASE!Q1016)="PSPA"),[1]DATABASE!AA1016=""),"Reserved/PSPA no PSPA Date",""),IF(AND(TRIM([1]DATABASE!Q1016)="AVAILABLE",[1]DATABASE!AA1016&lt;&gt;""),"Available has PSPA Date",""))</f>
        <v/>
      </c>
      <c r="G1055" s="82" t="str">
        <f>_xlfn.TEXTJOIN("; ",TRUE,IF(AND([1]DATABASE!T1016&lt;0.8*[1]DATABASE!S1016,[1]DATABASE!T1016&gt;0,[1]DATABASE!S1016&gt;0),"Heavy Price Cut &gt;20%",""),IF(AND(OR(TRIM([1]DATABASE!Q1016)="AVAILABLE",TRIM([1]DATABASE!Q1016)="UPON REQUEST"),OR([1]DATABASE!T1016="",[1]DATABASE!T1016=0)),"Active Unit no Price",""),IF(AND(OR(TRIM([1]DATABASE!Q1016)="AVAILABLE",TRIM([1]DATABASE!Q1016)="RESERVED",TRIM([1]DATABASE!Q1016)="PRE-RESERVED",TRIM([1]DATABASE!Q1016)="PSPA"),[1]DATABASE!AC1016=""),"Active no Owner",""),IF(OR([1]DATABASE!F1016="",[1]DATABASE!F1016&lt;=0),"Missing/Invalid Area",""),IF(AND([1]DATABASE!T1016&gt;0,ABS([1]DATABASE!T1016-[1]DATABASE!W1016-[1]DATABASE!U1016-[1]DATABASE!V1016)&gt;1),"Price Bridge Mismatch",""))</f>
        <v/>
      </c>
      <c r="H1055" t="str">
        <f t="shared" si="18"/>
        <v>PASS</v>
      </c>
      <c r="I1055" s="90">
        <f>[1]DATABASE!T1016</f>
        <v>1420000</v>
      </c>
      <c r="J1055" t="str">
        <f>[1]DATABASE!AC1016</f>
        <v>Sandra Viegas</v>
      </c>
    </row>
    <row r="1056" spans="1:10" ht="13.95" customHeight="1" x14ac:dyDescent="0.3">
      <c r="A1056">
        <f>ROW([1]DATABASE!A1017)</f>
        <v>1017</v>
      </c>
      <c r="B1056" t="str">
        <f>[1]DATABASE!AJ1017</f>
        <v>Springs - At the Els</v>
      </c>
      <c r="C1056" t="str">
        <f>[1]DATABASE!C1017</f>
        <v>K</v>
      </c>
      <c r="D1056" t="str">
        <f>TRIM([1]DATABASE!Q1017)</f>
        <v>AVAILABLE</v>
      </c>
      <c r="E1056" s="82" t="str">
        <f>_xlfn.TEXTJOIN("; ",TRUE,IF([1]DATABASE!X1017&lt;0,"Negative Discount",""),IF(AND([1]DATABASE!Y1017&gt;[1]DATABASE!T1017,[1]DATABASE!Y1017&gt;0,[1]DATABASE!T1017&gt;0),"Sell Price &gt; Current",""),IF(AND(TRIM([1]DATABASE!Q1017)="DEED",[1]DATABASE!AA1017=""),"Deeded no PSPA Date",""),IF([1]DATABASE!E1017="","Missing Typology",""),IF([1]DATABASE!AJ1017="","Missing Development",""))</f>
        <v/>
      </c>
      <c r="F1056" s="82" t="str">
        <f>_xlfn.TEXTJOIN("; ",TRUE,IF(AND(OR(TRIM([1]DATABASE!Q1017)="RESERVED",TRIM([1]DATABASE!Q1017)="PRE-RESERVED",TRIM([1]DATABASE!Q1017)="PSPA"),[1]DATABASE!AA1017=""),"Reserved/PSPA no PSPA Date",""),IF(AND(TRIM([1]DATABASE!Q1017)="AVAILABLE",[1]DATABASE!AA1017&lt;&gt;""),"Available has PSPA Date",""))</f>
        <v/>
      </c>
      <c r="G1056" s="82" t="str">
        <f>_xlfn.TEXTJOIN("; ",TRUE,IF(AND([1]DATABASE!T1017&lt;0.8*[1]DATABASE!S1017,[1]DATABASE!T1017&gt;0,[1]DATABASE!S1017&gt;0),"Heavy Price Cut &gt;20%",""),IF(AND(OR(TRIM([1]DATABASE!Q1017)="AVAILABLE",TRIM([1]DATABASE!Q1017)="UPON REQUEST"),OR([1]DATABASE!T1017="",[1]DATABASE!T1017=0)),"Active Unit no Price",""),IF(AND(OR(TRIM([1]DATABASE!Q1017)="AVAILABLE",TRIM([1]DATABASE!Q1017)="RESERVED",TRIM([1]DATABASE!Q1017)="PRE-RESERVED",TRIM([1]DATABASE!Q1017)="PSPA"),[1]DATABASE!AC1017=""),"Active no Owner",""),IF(OR([1]DATABASE!F1017="",[1]DATABASE!F1017&lt;=0),"Missing/Invalid Area",""),IF(AND([1]DATABASE!T1017&gt;0,ABS([1]DATABASE!T1017-[1]DATABASE!W1017-[1]DATABASE!U1017-[1]DATABASE!V1017)&gt;1),"Price Bridge Mismatch",""))</f>
        <v/>
      </c>
      <c r="H1056" t="str">
        <f t="shared" si="18"/>
        <v>PASS</v>
      </c>
      <c r="I1056" s="90">
        <f>[1]DATABASE!T1017</f>
        <v>3330000</v>
      </c>
      <c r="J1056" t="str">
        <f>[1]DATABASE!AC1017</f>
        <v>Ana Damásio</v>
      </c>
    </row>
    <row r="1057" spans="1:10" ht="13.95" customHeight="1" x14ac:dyDescent="0.3">
      <c r="A1057">
        <f>ROW([1]DATABASE!A1018)</f>
        <v>1018</v>
      </c>
      <c r="B1057" t="str">
        <f>[1]DATABASE!AJ1018</f>
        <v>Monte Rei</v>
      </c>
      <c r="C1057" t="str">
        <f>[1]DATABASE!C1018</f>
        <v>7</v>
      </c>
      <c r="D1057" t="str">
        <f>TRIM([1]DATABASE!Q1018)</f>
        <v>AVAILABLE</v>
      </c>
      <c r="E1057" s="82" t="str">
        <f>_xlfn.TEXTJOIN("; ",TRUE,IF([1]DATABASE!X1018&lt;0,"Negative Discount",""),IF(AND([1]DATABASE!Y1018&gt;[1]DATABASE!T1018,[1]DATABASE!Y1018&gt;0,[1]DATABASE!T1018&gt;0),"Sell Price &gt; Current",""),IF(AND(TRIM([1]DATABASE!Q1018)="DEED",[1]DATABASE!AA1018=""),"Deeded no PSPA Date",""),IF([1]DATABASE!E1018="","Missing Typology",""),IF([1]DATABASE!AJ1018="","Missing Development",""))</f>
        <v/>
      </c>
      <c r="F1057" s="82" t="str">
        <f>_xlfn.TEXTJOIN("; ",TRUE,IF(AND(OR(TRIM([1]DATABASE!Q1018)="RESERVED",TRIM([1]DATABASE!Q1018)="PRE-RESERVED",TRIM([1]DATABASE!Q1018)="PSPA"),[1]DATABASE!AA1018=""),"Reserved/PSPA no PSPA Date",""),IF(AND(TRIM([1]DATABASE!Q1018)="AVAILABLE",[1]DATABASE!AA1018&lt;&gt;""),"Available has PSPA Date",""))</f>
        <v/>
      </c>
      <c r="G1057" s="82" t="str">
        <f>_xlfn.TEXTJOIN("; ",TRUE,IF(AND([1]DATABASE!T1018&lt;0.8*[1]DATABASE!S1018,[1]DATABASE!T1018&gt;0,[1]DATABASE!S1018&gt;0),"Heavy Price Cut &gt;20%",""),IF(AND(OR(TRIM([1]DATABASE!Q1018)="AVAILABLE",TRIM([1]DATABASE!Q1018)="UPON REQUEST"),OR([1]DATABASE!T1018="",[1]DATABASE!T1018=0)),"Active Unit no Price",""),IF(AND(OR(TRIM([1]DATABASE!Q1018)="AVAILABLE",TRIM([1]DATABASE!Q1018)="RESERVED",TRIM([1]DATABASE!Q1018)="PRE-RESERVED",TRIM([1]DATABASE!Q1018)="PSPA"),[1]DATABASE!AC1018=""),"Active no Owner",""),IF(OR([1]DATABASE!F1018="",[1]DATABASE!F1018&lt;=0),"Missing/Invalid Area",""),IF(AND([1]DATABASE!T1018&gt;0,ABS([1]DATABASE!T1018-[1]DATABASE!W1018-[1]DATABASE!U1018-[1]DATABASE!V1018)&gt;1),"Price Bridge Mismatch",""))</f>
        <v>Heavy Price Cut &gt;20%</v>
      </c>
      <c r="H1057" t="str">
        <f t="shared" si="18"/>
        <v>REVIEW</v>
      </c>
      <c r="I1057" s="90">
        <f>[1]DATABASE!T1018</f>
        <v>1190000</v>
      </c>
      <c r="J1057" t="str">
        <f>[1]DATABASE!AC1018</f>
        <v>Sandra Viegas</v>
      </c>
    </row>
    <row r="1058" spans="1:10" ht="13.95" customHeight="1" x14ac:dyDescent="0.3">
      <c r="A1058">
        <f>ROW([1]DATABASE!A1019)</f>
        <v>1019</v>
      </c>
      <c r="B1058" t="str">
        <f>[1]DATABASE!AJ1019</f>
        <v>Zestia</v>
      </c>
      <c r="C1058" t="str">
        <f>[1]DATABASE!C1019</f>
        <v>K</v>
      </c>
      <c r="D1058" t="str">
        <f>TRIM([1]DATABASE!Q1019)</f>
        <v>AVAILABLE</v>
      </c>
      <c r="E1058" s="82" t="str">
        <f>_xlfn.TEXTJOIN("; ",TRUE,IF([1]DATABASE!X1019&lt;0,"Negative Discount",""),IF(AND([1]DATABASE!Y1019&gt;[1]DATABASE!T1019,[1]DATABASE!Y1019&gt;0,[1]DATABASE!T1019&gt;0),"Sell Price &gt; Current",""),IF(AND(TRIM([1]DATABASE!Q1019)="DEED",[1]DATABASE!AA1019=""),"Deeded no PSPA Date",""),IF([1]DATABASE!E1019="","Missing Typology",""),IF([1]DATABASE!AJ1019="","Missing Development",""))</f>
        <v/>
      </c>
      <c r="F1058" s="82" t="str">
        <f>_xlfn.TEXTJOIN("; ",TRUE,IF(AND(OR(TRIM([1]DATABASE!Q1019)="RESERVED",TRIM([1]DATABASE!Q1019)="PRE-RESERVED",TRIM([1]DATABASE!Q1019)="PSPA"),[1]DATABASE!AA1019=""),"Reserved/PSPA no PSPA Date",""),IF(AND(TRIM([1]DATABASE!Q1019)="AVAILABLE",[1]DATABASE!AA1019&lt;&gt;""),"Available has PSPA Date",""))</f>
        <v/>
      </c>
      <c r="G1058" s="82" t="str">
        <f>_xlfn.TEXTJOIN("; ",TRUE,IF(AND([1]DATABASE!T1019&lt;0.8*[1]DATABASE!S1019,[1]DATABASE!T1019&gt;0,[1]DATABASE!S1019&gt;0),"Heavy Price Cut &gt;20%",""),IF(AND(OR(TRIM([1]DATABASE!Q1019)="AVAILABLE",TRIM([1]DATABASE!Q1019)="UPON REQUEST"),OR([1]DATABASE!T1019="",[1]DATABASE!T1019=0)),"Active Unit no Price",""),IF(AND(OR(TRIM([1]DATABASE!Q1019)="AVAILABLE",TRIM([1]DATABASE!Q1019)="RESERVED",TRIM([1]DATABASE!Q1019)="PRE-RESERVED",TRIM([1]DATABASE!Q1019)="PSPA"),[1]DATABASE!AC1019=""),"Active no Owner",""),IF(OR([1]DATABASE!F1019="",[1]DATABASE!F1019&lt;=0),"Missing/Invalid Area",""),IF(AND([1]DATABASE!T1019&gt;0,ABS([1]DATABASE!T1019-[1]DATABASE!W1019-[1]DATABASE!U1019-[1]DATABASE!V1019)&gt;1),"Price Bridge Mismatch",""))</f>
        <v/>
      </c>
      <c r="H1058" t="str">
        <f t="shared" si="18"/>
        <v>PASS</v>
      </c>
      <c r="I1058" s="90">
        <f>[1]DATABASE!T1019</f>
        <v>800000</v>
      </c>
      <c r="J1058" t="str">
        <f>[1]DATABASE!AC1019</f>
        <v>Ana Damásio</v>
      </c>
    </row>
    <row r="1059" spans="1:10" ht="13.95" customHeight="1" x14ac:dyDescent="0.3">
      <c r="A1059">
        <f>ROW([1]DATABASE!A1020)</f>
        <v>1020</v>
      </c>
      <c r="B1059" t="str">
        <f>[1]DATABASE!AJ1020</f>
        <v>Botanica</v>
      </c>
      <c r="C1059" t="str">
        <f>[1]DATABASE!C1020</f>
        <v>L</v>
      </c>
      <c r="D1059" t="str">
        <f>TRIM([1]DATABASE!Q1020)</f>
        <v>AVAILABLE</v>
      </c>
      <c r="E1059" s="82" t="str">
        <f>_xlfn.TEXTJOIN("; ",TRUE,IF([1]DATABASE!X1020&lt;0,"Negative Discount",""),IF(AND([1]DATABASE!Y1020&gt;[1]DATABASE!T1020,[1]DATABASE!Y1020&gt;0,[1]DATABASE!T1020&gt;0),"Sell Price &gt; Current",""),IF(AND(TRIM([1]DATABASE!Q1020)="DEED",[1]DATABASE!AA1020=""),"Deeded no PSPA Date",""),IF([1]DATABASE!E1020="","Missing Typology",""),IF([1]DATABASE!AJ1020="","Missing Development",""))</f>
        <v/>
      </c>
      <c r="F1059" s="82" t="str">
        <f>_xlfn.TEXTJOIN("; ",TRUE,IF(AND(OR(TRIM([1]DATABASE!Q1020)="RESERVED",TRIM([1]DATABASE!Q1020)="PRE-RESERVED",TRIM([1]DATABASE!Q1020)="PSPA"),[1]DATABASE!AA1020=""),"Reserved/PSPA no PSPA Date",""),IF(AND(TRIM([1]DATABASE!Q1020)="AVAILABLE",[1]DATABASE!AA1020&lt;&gt;""),"Available has PSPA Date",""))</f>
        <v/>
      </c>
      <c r="G1059" s="82" t="str">
        <f>_xlfn.TEXTJOIN("; ",TRUE,IF(AND([1]DATABASE!T1020&lt;0.8*[1]DATABASE!S1020,[1]DATABASE!T1020&gt;0,[1]DATABASE!S1020&gt;0),"Heavy Price Cut &gt;20%",""),IF(AND(OR(TRIM([1]DATABASE!Q1020)="AVAILABLE",TRIM([1]DATABASE!Q1020)="UPON REQUEST"),OR([1]DATABASE!T1020="",[1]DATABASE!T1020=0)),"Active Unit no Price",""),IF(AND(OR(TRIM([1]DATABASE!Q1020)="AVAILABLE",TRIM([1]DATABASE!Q1020)="RESERVED",TRIM([1]DATABASE!Q1020)="PRE-RESERVED",TRIM([1]DATABASE!Q1020)="PSPA"),[1]DATABASE!AC1020=""),"Active no Owner",""),IF(OR([1]DATABASE!F1020="",[1]DATABASE!F1020&lt;=0),"Missing/Invalid Area",""),IF(AND([1]DATABASE!T1020&gt;0,ABS([1]DATABASE!T1020-[1]DATABASE!W1020-[1]DATABASE!U1020-[1]DATABASE!V1020)&gt;1),"Price Bridge Mismatch",""))</f>
        <v/>
      </c>
      <c r="H1059" t="str">
        <f t="shared" si="18"/>
        <v>PASS</v>
      </c>
      <c r="I1059" s="90">
        <f>[1]DATABASE!T1020</f>
        <v>1800000</v>
      </c>
      <c r="J1059" t="str">
        <f>[1]DATABASE!AC1020</f>
        <v>Ana Damásio</v>
      </c>
    </row>
    <row r="1060" spans="1:10" ht="13.95" customHeight="1" x14ac:dyDescent="0.3">
      <c r="A1060">
        <f>ROW([1]DATABASE!A1021)</f>
        <v>1021</v>
      </c>
      <c r="B1060" t="str">
        <f>[1]DATABASE!AJ1021</f>
        <v>Monte Rei</v>
      </c>
      <c r="C1060" t="str">
        <f>[1]DATABASE!C1021</f>
        <v>31</v>
      </c>
      <c r="D1060" t="str">
        <f>TRIM([1]DATABASE!Q1021)</f>
        <v>AVAILABLE</v>
      </c>
      <c r="E1060" s="82" t="str">
        <f>_xlfn.TEXTJOIN("; ",TRUE,IF([1]DATABASE!X1021&lt;0,"Negative Discount",""),IF(AND([1]DATABASE!Y1021&gt;[1]DATABASE!T1021,[1]DATABASE!Y1021&gt;0,[1]DATABASE!T1021&gt;0),"Sell Price &gt; Current",""),IF(AND(TRIM([1]DATABASE!Q1021)="DEED",[1]DATABASE!AA1021=""),"Deeded no PSPA Date",""),IF([1]DATABASE!E1021="","Missing Typology",""),IF([1]DATABASE!AJ1021="","Missing Development",""))</f>
        <v/>
      </c>
      <c r="F1060" s="82" t="str">
        <f>_xlfn.TEXTJOIN("; ",TRUE,IF(AND(OR(TRIM([1]DATABASE!Q1021)="RESERVED",TRIM([1]DATABASE!Q1021)="PRE-RESERVED",TRIM([1]DATABASE!Q1021)="PSPA"),[1]DATABASE!AA1021=""),"Reserved/PSPA no PSPA Date",""),IF(AND(TRIM([1]DATABASE!Q1021)="AVAILABLE",[1]DATABASE!AA1021&lt;&gt;""),"Available has PSPA Date",""))</f>
        <v/>
      </c>
      <c r="G1060" s="82" t="str">
        <f>_xlfn.TEXTJOIN("; ",TRUE,IF(AND([1]DATABASE!T1021&lt;0.8*[1]DATABASE!S1021,[1]DATABASE!T1021&gt;0,[1]DATABASE!S1021&gt;0),"Heavy Price Cut &gt;20%",""),IF(AND(OR(TRIM([1]DATABASE!Q1021)="AVAILABLE",TRIM([1]DATABASE!Q1021)="UPON REQUEST"),OR([1]DATABASE!T1021="",[1]DATABASE!T1021=0)),"Active Unit no Price",""),IF(AND(OR(TRIM([1]DATABASE!Q1021)="AVAILABLE",TRIM([1]DATABASE!Q1021)="RESERVED",TRIM([1]DATABASE!Q1021)="PRE-RESERVED",TRIM([1]DATABASE!Q1021)="PSPA"),[1]DATABASE!AC1021=""),"Active no Owner",""),IF(OR([1]DATABASE!F1021="",[1]DATABASE!F1021&lt;=0),"Missing/Invalid Area",""),IF(AND([1]DATABASE!T1021&gt;0,ABS([1]DATABASE!T1021-[1]DATABASE!W1021-[1]DATABASE!U1021-[1]DATABASE!V1021)&gt;1),"Price Bridge Mismatch",""))</f>
        <v>Heavy Price Cut &gt;20%</v>
      </c>
      <c r="H1060" t="str">
        <f t="shared" si="18"/>
        <v>REVIEW</v>
      </c>
      <c r="I1060" s="90">
        <f>[1]DATABASE!T1021</f>
        <v>1150000</v>
      </c>
      <c r="J1060" t="str">
        <f>[1]DATABASE!AC1021</f>
        <v>Sandra Viegas</v>
      </c>
    </row>
    <row r="1061" spans="1:10" ht="13.95" customHeight="1" x14ac:dyDescent="0.3">
      <c r="A1061">
        <f>ROW([1]DATABASE!A1022)</f>
        <v>1022</v>
      </c>
      <c r="B1061" t="str">
        <f>[1]DATABASE!AJ1022</f>
        <v>Aroeira Collections</v>
      </c>
      <c r="C1061" t="str">
        <f>[1]DATABASE!C1022</f>
        <v>327B</v>
      </c>
      <c r="D1061" t="str">
        <f>TRIM([1]DATABASE!Q1022)</f>
        <v>AVAILABLE</v>
      </c>
      <c r="E1061" s="82" t="str">
        <f>_xlfn.TEXTJOIN("; ",TRUE,IF([1]DATABASE!X1022&lt;0,"Negative Discount",""),IF(AND([1]DATABASE!Y1022&gt;[1]DATABASE!T1022,[1]DATABASE!Y1022&gt;0,[1]DATABASE!T1022&gt;0),"Sell Price &gt; Current",""),IF(AND(TRIM([1]DATABASE!Q1022)="DEED",[1]DATABASE!AA1022=""),"Deeded no PSPA Date",""),IF([1]DATABASE!E1022="","Missing Typology",""),IF([1]DATABASE!AJ1022="","Missing Development",""))</f>
        <v/>
      </c>
      <c r="F1061" s="82" t="str">
        <f>_xlfn.TEXTJOIN("; ",TRUE,IF(AND(OR(TRIM([1]DATABASE!Q1022)="RESERVED",TRIM([1]DATABASE!Q1022)="PRE-RESERVED",TRIM([1]DATABASE!Q1022)="PSPA"),[1]DATABASE!AA1022=""),"Reserved/PSPA no PSPA Date",""),IF(AND(TRIM([1]DATABASE!Q1022)="AVAILABLE",[1]DATABASE!AA1022&lt;&gt;""),"Available has PSPA Date",""))</f>
        <v/>
      </c>
      <c r="G1061" s="82" t="str">
        <f>_xlfn.TEXTJOIN("; ",TRUE,IF(AND([1]DATABASE!T1022&lt;0.8*[1]DATABASE!S1022,[1]DATABASE!T1022&gt;0,[1]DATABASE!S1022&gt;0),"Heavy Price Cut &gt;20%",""),IF(AND(OR(TRIM([1]DATABASE!Q1022)="AVAILABLE",TRIM([1]DATABASE!Q1022)="UPON REQUEST"),OR([1]DATABASE!T1022="",[1]DATABASE!T1022=0)),"Active Unit no Price",""),IF(AND(OR(TRIM([1]DATABASE!Q1022)="AVAILABLE",TRIM([1]DATABASE!Q1022)="RESERVED",TRIM([1]DATABASE!Q1022)="PRE-RESERVED",TRIM([1]DATABASE!Q1022)="PSPA"),[1]DATABASE!AC1022=""),"Active no Owner",""),IF(OR([1]DATABASE!F1022="",[1]DATABASE!F1022&lt;=0),"Missing/Invalid Area",""),IF(AND([1]DATABASE!T1022&gt;0,ABS([1]DATABASE!T1022-[1]DATABASE!W1022-[1]DATABASE!U1022-[1]DATABASE!V1022)&gt;1),"Price Bridge Mismatch",""))</f>
        <v/>
      </c>
      <c r="H1061" t="str">
        <f t="shared" si="18"/>
        <v>PASS</v>
      </c>
      <c r="I1061" s="90">
        <f>[1]DATABASE!T1022</f>
        <v>675000</v>
      </c>
      <c r="J1061" t="str">
        <f>[1]DATABASE!AC1022</f>
        <v>João Gameiro</v>
      </c>
    </row>
    <row r="1062" spans="1:10" ht="13.95" customHeight="1" x14ac:dyDescent="0.3">
      <c r="A1062">
        <f>ROW([1]DATABASE!A1023)</f>
        <v>1023</v>
      </c>
      <c r="B1062" t="str">
        <f>[1]DATABASE!AJ1023</f>
        <v>Aroeira Collections</v>
      </c>
      <c r="C1062" t="str">
        <f>[1]DATABASE!C1023</f>
        <v>328A</v>
      </c>
      <c r="D1062" t="str">
        <f>TRIM([1]DATABASE!Q1023)</f>
        <v>AVAILABLE</v>
      </c>
      <c r="E1062" s="82" t="str">
        <f>_xlfn.TEXTJOIN("; ",TRUE,IF([1]DATABASE!X1023&lt;0,"Negative Discount",""),IF(AND([1]DATABASE!Y1023&gt;[1]DATABASE!T1023,[1]DATABASE!Y1023&gt;0,[1]DATABASE!T1023&gt;0),"Sell Price &gt; Current",""),IF(AND(TRIM([1]DATABASE!Q1023)="DEED",[1]DATABASE!AA1023=""),"Deeded no PSPA Date",""),IF([1]DATABASE!E1023="","Missing Typology",""),IF([1]DATABASE!AJ1023="","Missing Development",""))</f>
        <v/>
      </c>
      <c r="F1062" s="82" t="str">
        <f>_xlfn.TEXTJOIN("; ",TRUE,IF(AND(OR(TRIM([1]DATABASE!Q1023)="RESERVED",TRIM([1]DATABASE!Q1023)="PRE-RESERVED",TRIM([1]DATABASE!Q1023)="PSPA"),[1]DATABASE!AA1023=""),"Reserved/PSPA no PSPA Date",""),IF(AND(TRIM([1]DATABASE!Q1023)="AVAILABLE",[1]DATABASE!AA1023&lt;&gt;""),"Available has PSPA Date",""))</f>
        <v/>
      </c>
      <c r="G1062" s="82" t="str">
        <f>_xlfn.TEXTJOIN("; ",TRUE,IF(AND([1]DATABASE!T1023&lt;0.8*[1]DATABASE!S1023,[1]DATABASE!T1023&gt;0,[1]DATABASE!S1023&gt;0),"Heavy Price Cut &gt;20%",""),IF(AND(OR(TRIM([1]DATABASE!Q1023)="AVAILABLE",TRIM([1]DATABASE!Q1023)="UPON REQUEST"),OR([1]DATABASE!T1023="",[1]DATABASE!T1023=0)),"Active Unit no Price",""),IF(AND(OR(TRIM([1]DATABASE!Q1023)="AVAILABLE",TRIM([1]DATABASE!Q1023)="RESERVED",TRIM([1]DATABASE!Q1023)="PRE-RESERVED",TRIM([1]DATABASE!Q1023)="PSPA"),[1]DATABASE!AC1023=""),"Active no Owner",""),IF(OR([1]DATABASE!F1023="",[1]DATABASE!F1023&lt;=0),"Missing/Invalid Area",""),IF(AND([1]DATABASE!T1023&gt;0,ABS([1]DATABASE!T1023-[1]DATABASE!W1023-[1]DATABASE!U1023-[1]DATABASE!V1023)&gt;1),"Price Bridge Mismatch",""))</f>
        <v/>
      </c>
      <c r="H1062" t="str">
        <f t="shared" si="18"/>
        <v>PASS</v>
      </c>
      <c r="I1062" s="90">
        <f>[1]DATABASE!T1023</f>
        <v>500000</v>
      </c>
      <c r="J1062" t="str">
        <f>[1]DATABASE!AC1023</f>
        <v>João Gameiro</v>
      </c>
    </row>
    <row r="1063" spans="1:10" ht="13.95" customHeight="1" x14ac:dyDescent="0.3">
      <c r="A1063">
        <f>ROW([1]DATABASE!A1024)</f>
        <v>1024</v>
      </c>
      <c r="B1063" t="str">
        <f>[1]DATABASE!AJ1024</f>
        <v>Natura Village</v>
      </c>
      <c r="C1063" t="str">
        <f>[1]DATABASE!C1024</f>
        <v>L</v>
      </c>
      <c r="D1063" t="str">
        <f>TRIM([1]DATABASE!Q1024)</f>
        <v>AVAILABLE</v>
      </c>
      <c r="E1063" s="82" t="str">
        <f>_xlfn.TEXTJOIN("; ",TRUE,IF([1]DATABASE!X1024&lt;0,"Negative Discount",""),IF(AND([1]DATABASE!Y1024&gt;[1]DATABASE!T1024,[1]DATABASE!Y1024&gt;0,[1]DATABASE!T1024&gt;0),"Sell Price &gt; Current",""),IF(AND(TRIM([1]DATABASE!Q1024)="DEED",[1]DATABASE!AA1024=""),"Deeded no PSPA Date",""),IF([1]DATABASE!E1024="","Missing Typology",""),IF([1]DATABASE!AJ1024="","Missing Development",""))</f>
        <v/>
      </c>
      <c r="F1063" s="82" t="str">
        <f>_xlfn.TEXTJOIN("; ",TRUE,IF(AND(OR(TRIM([1]DATABASE!Q1024)="RESERVED",TRIM([1]DATABASE!Q1024)="PRE-RESERVED",TRIM([1]DATABASE!Q1024)="PSPA"),[1]DATABASE!AA1024=""),"Reserved/PSPA no PSPA Date",""),IF(AND(TRIM([1]DATABASE!Q1024)="AVAILABLE",[1]DATABASE!AA1024&lt;&gt;""),"Available has PSPA Date",""))</f>
        <v/>
      </c>
      <c r="G1063" s="82" t="str">
        <f>_xlfn.TEXTJOIN("; ",TRUE,IF(AND([1]DATABASE!T1024&lt;0.8*[1]DATABASE!S1024,[1]DATABASE!T1024&gt;0,[1]DATABASE!S1024&gt;0),"Heavy Price Cut &gt;20%",""),IF(AND(OR(TRIM([1]DATABASE!Q1024)="AVAILABLE",TRIM([1]DATABASE!Q1024)="UPON REQUEST"),OR([1]DATABASE!T1024="",[1]DATABASE!T1024=0)),"Active Unit no Price",""),IF(AND(OR(TRIM([1]DATABASE!Q1024)="AVAILABLE",TRIM([1]DATABASE!Q1024)="RESERVED",TRIM([1]DATABASE!Q1024)="PRE-RESERVED",TRIM([1]DATABASE!Q1024)="PSPA"),[1]DATABASE!AC1024=""),"Active no Owner",""),IF(OR([1]DATABASE!F1024="",[1]DATABASE!F1024&lt;=0),"Missing/Invalid Area",""),IF(AND([1]DATABASE!T1024&gt;0,ABS([1]DATABASE!T1024-[1]DATABASE!W1024-[1]DATABASE!U1024-[1]DATABASE!V1024)&gt;1),"Price Bridge Mismatch",""))</f>
        <v/>
      </c>
      <c r="H1063" t="str">
        <f t="shared" si="18"/>
        <v>PASS</v>
      </c>
      <c r="I1063" s="90">
        <f>[1]DATABASE!T1024</f>
        <v>1310000</v>
      </c>
      <c r="J1063" t="str">
        <f>[1]DATABASE!AC1024</f>
        <v>Ana Damásio</v>
      </c>
    </row>
    <row r="1064" spans="1:10" ht="13.95" customHeight="1" x14ac:dyDescent="0.3">
      <c r="A1064">
        <f>ROW([1]DATABASE!A1025)</f>
        <v>1025</v>
      </c>
      <c r="B1064" t="str">
        <f>[1]DATABASE!AJ1025</f>
        <v>Nobilus</v>
      </c>
      <c r="C1064" t="str">
        <f>[1]DATABASE!C1025</f>
        <v>L</v>
      </c>
      <c r="D1064" t="str">
        <f>TRIM([1]DATABASE!Q1025)</f>
        <v>AVAILABLE</v>
      </c>
      <c r="E1064" s="82" t="str">
        <f>_xlfn.TEXTJOIN("; ",TRUE,IF([1]DATABASE!X1025&lt;0,"Negative Discount",""),IF(AND([1]DATABASE!Y1025&gt;[1]DATABASE!T1025,[1]DATABASE!Y1025&gt;0,[1]DATABASE!T1025&gt;0),"Sell Price &gt; Current",""),IF(AND(TRIM([1]DATABASE!Q1025)="DEED",[1]DATABASE!AA1025=""),"Deeded no PSPA Date",""),IF([1]DATABASE!E1025="","Missing Typology",""),IF([1]DATABASE!AJ1025="","Missing Development",""))</f>
        <v/>
      </c>
      <c r="F1064" s="82" t="str">
        <f>_xlfn.TEXTJOIN("; ",TRUE,IF(AND(OR(TRIM([1]DATABASE!Q1025)="RESERVED",TRIM([1]DATABASE!Q1025)="PRE-RESERVED",TRIM([1]DATABASE!Q1025)="PSPA"),[1]DATABASE!AA1025=""),"Reserved/PSPA no PSPA Date",""),IF(AND(TRIM([1]DATABASE!Q1025)="AVAILABLE",[1]DATABASE!AA1025&lt;&gt;""),"Available has PSPA Date",""))</f>
        <v/>
      </c>
      <c r="G1064" s="82" t="str">
        <f>_xlfn.TEXTJOIN("; ",TRUE,IF(AND([1]DATABASE!T1025&lt;0.8*[1]DATABASE!S1025,[1]DATABASE!T1025&gt;0,[1]DATABASE!S1025&gt;0),"Heavy Price Cut &gt;20%",""),IF(AND(OR(TRIM([1]DATABASE!Q1025)="AVAILABLE",TRIM([1]DATABASE!Q1025)="UPON REQUEST"),OR([1]DATABASE!T1025="",[1]DATABASE!T1025=0)),"Active Unit no Price",""),IF(AND(OR(TRIM([1]DATABASE!Q1025)="AVAILABLE",TRIM([1]DATABASE!Q1025)="RESERVED",TRIM([1]DATABASE!Q1025)="PRE-RESERVED",TRIM([1]DATABASE!Q1025)="PSPA"),[1]DATABASE!AC1025=""),"Active no Owner",""),IF(OR([1]DATABASE!F1025="",[1]DATABASE!F1025&lt;=0),"Missing/Invalid Area",""),IF(AND([1]DATABASE!T1025&gt;0,ABS([1]DATABASE!T1025-[1]DATABASE!W1025-[1]DATABASE!U1025-[1]DATABASE!V1025)&gt;1),"Price Bridge Mismatch",""))</f>
        <v/>
      </c>
      <c r="H1064" t="str">
        <f t="shared" si="18"/>
        <v>PASS</v>
      </c>
      <c r="I1064" s="90">
        <f>[1]DATABASE!T1025</f>
        <v>1120000</v>
      </c>
      <c r="J1064" t="str">
        <f>[1]DATABASE!AC1025</f>
        <v>Ana Damásio</v>
      </c>
    </row>
    <row r="1065" spans="1:10" ht="13.95" customHeight="1" x14ac:dyDescent="0.3">
      <c r="A1065">
        <f>ROW([1]DATABASE!A1026)</f>
        <v>1026</v>
      </c>
      <c r="B1065" t="str">
        <f>[1]DATABASE!AJ1026</f>
        <v>Aroeira Collections</v>
      </c>
      <c r="C1065" t="str">
        <f>[1]DATABASE!C1026</f>
        <v>329A</v>
      </c>
      <c r="D1065" t="str">
        <f>TRIM([1]DATABASE!Q1026)</f>
        <v>AVAILABLE</v>
      </c>
      <c r="E1065" s="82" t="str">
        <f>_xlfn.TEXTJOIN("; ",TRUE,IF([1]DATABASE!X1026&lt;0,"Negative Discount",""),IF(AND([1]DATABASE!Y1026&gt;[1]DATABASE!T1026,[1]DATABASE!Y1026&gt;0,[1]DATABASE!T1026&gt;0),"Sell Price &gt; Current",""),IF(AND(TRIM([1]DATABASE!Q1026)="DEED",[1]DATABASE!AA1026=""),"Deeded no PSPA Date",""),IF([1]DATABASE!E1026="","Missing Typology",""),IF([1]DATABASE!AJ1026="","Missing Development",""))</f>
        <v/>
      </c>
      <c r="F1065" s="82" t="str">
        <f>_xlfn.TEXTJOIN("; ",TRUE,IF(AND(OR(TRIM([1]DATABASE!Q1026)="RESERVED",TRIM([1]DATABASE!Q1026)="PRE-RESERVED",TRIM([1]DATABASE!Q1026)="PSPA"),[1]DATABASE!AA1026=""),"Reserved/PSPA no PSPA Date",""),IF(AND(TRIM([1]DATABASE!Q1026)="AVAILABLE",[1]DATABASE!AA1026&lt;&gt;""),"Available has PSPA Date",""))</f>
        <v/>
      </c>
      <c r="G1065" s="82" t="str">
        <f>_xlfn.TEXTJOIN("; ",TRUE,IF(AND([1]DATABASE!T1026&lt;0.8*[1]DATABASE!S1026,[1]DATABASE!T1026&gt;0,[1]DATABASE!S1026&gt;0),"Heavy Price Cut &gt;20%",""),IF(AND(OR(TRIM([1]DATABASE!Q1026)="AVAILABLE",TRIM([1]DATABASE!Q1026)="UPON REQUEST"),OR([1]DATABASE!T1026="",[1]DATABASE!T1026=0)),"Active Unit no Price",""),IF(AND(OR(TRIM([1]DATABASE!Q1026)="AVAILABLE",TRIM([1]DATABASE!Q1026)="RESERVED",TRIM([1]DATABASE!Q1026)="PRE-RESERVED",TRIM([1]DATABASE!Q1026)="PSPA"),[1]DATABASE!AC1026=""),"Active no Owner",""),IF(OR([1]DATABASE!F1026="",[1]DATABASE!F1026&lt;=0),"Missing/Invalid Area",""),IF(AND([1]DATABASE!T1026&gt;0,ABS([1]DATABASE!T1026-[1]DATABASE!W1026-[1]DATABASE!U1026-[1]DATABASE!V1026)&gt;1),"Price Bridge Mismatch",""))</f>
        <v/>
      </c>
      <c r="H1065" t="str">
        <f t="shared" si="18"/>
        <v>PASS</v>
      </c>
      <c r="I1065" s="90">
        <f>[1]DATABASE!T1026</f>
        <v>445000</v>
      </c>
      <c r="J1065" t="str">
        <f>[1]DATABASE!AC1026</f>
        <v>João Gameiro</v>
      </c>
    </row>
    <row r="1066" spans="1:10" ht="13.95" customHeight="1" x14ac:dyDescent="0.3">
      <c r="A1066">
        <f>ROW([1]DATABASE!A1027)</f>
        <v>1027</v>
      </c>
      <c r="B1066" t="str">
        <f>[1]DATABASE!AJ1027</f>
        <v>Monte Rei</v>
      </c>
      <c r="C1066" t="str">
        <f>[1]DATABASE!C1027</f>
        <v>18</v>
      </c>
      <c r="D1066" t="str">
        <f>TRIM([1]DATABASE!Q1027)</f>
        <v>AVAILABLE</v>
      </c>
      <c r="E1066" s="82" t="str">
        <f>_xlfn.TEXTJOIN("; ",TRUE,IF([1]DATABASE!X1027&lt;0,"Negative Discount",""),IF(AND([1]DATABASE!Y1027&gt;[1]DATABASE!T1027,[1]DATABASE!Y1027&gt;0,[1]DATABASE!T1027&gt;0),"Sell Price &gt; Current",""),IF(AND(TRIM([1]DATABASE!Q1027)="DEED",[1]DATABASE!AA1027=""),"Deeded no PSPA Date",""),IF([1]DATABASE!E1027="","Missing Typology",""),IF([1]DATABASE!AJ1027="","Missing Development",""))</f>
        <v/>
      </c>
      <c r="F1066" s="82" t="str">
        <f>_xlfn.TEXTJOIN("; ",TRUE,IF(AND(OR(TRIM([1]DATABASE!Q1027)="RESERVED",TRIM([1]DATABASE!Q1027)="PRE-RESERVED",TRIM([1]DATABASE!Q1027)="PSPA"),[1]DATABASE!AA1027=""),"Reserved/PSPA no PSPA Date",""),IF(AND(TRIM([1]DATABASE!Q1027)="AVAILABLE",[1]DATABASE!AA1027&lt;&gt;""),"Available has PSPA Date",""))</f>
        <v/>
      </c>
      <c r="G1066" s="82" t="str">
        <f>_xlfn.TEXTJOIN("; ",TRUE,IF(AND([1]DATABASE!T1027&lt;0.8*[1]DATABASE!S1027,[1]DATABASE!T1027&gt;0,[1]DATABASE!S1027&gt;0),"Heavy Price Cut &gt;20%",""),IF(AND(OR(TRIM([1]DATABASE!Q1027)="AVAILABLE",TRIM([1]DATABASE!Q1027)="UPON REQUEST"),OR([1]DATABASE!T1027="",[1]DATABASE!T1027=0)),"Active Unit no Price",""),IF(AND(OR(TRIM([1]DATABASE!Q1027)="AVAILABLE",TRIM([1]DATABASE!Q1027)="RESERVED",TRIM([1]DATABASE!Q1027)="PRE-RESERVED",TRIM([1]DATABASE!Q1027)="PSPA"),[1]DATABASE!AC1027=""),"Active no Owner",""),IF(OR([1]DATABASE!F1027="",[1]DATABASE!F1027&lt;=0),"Missing/Invalid Area",""),IF(AND([1]DATABASE!T1027&gt;0,ABS([1]DATABASE!T1027-[1]DATABASE!W1027-[1]DATABASE!U1027-[1]DATABASE!V1027)&gt;1),"Price Bridge Mismatch",""))</f>
        <v>Heavy Price Cut &gt;20%</v>
      </c>
      <c r="H1066" t="str">
        <f t="shared" ref="H1066:H1129" si="19">IF(LEN(E1066&amp;F1066&amp;G1066)&gt;0,"REVIEW","PASS")</f>
        <v>REVIEW</v>
      </c>
      <c r="I1066" s="90">
        <f>[1]DATABASE!T1027</f>
        <v>1300000</v>
      </c>
      <c r="J1066" t="str">
        <f>[1]DATABASE!AC1027</f>
        <v>Sandra Viegas</v>
      </c>
    </row>
    <row r="1067" spans="1:10" ht="13.95" customHeight="1" x14ac:dyDescent="0.3">
      <c r="A1067">
        <f>ROW([1]DATABASE!A1028)</f>
        <v>1028</v>
      </c>
      <c r="B1067" t="str">
        <f>[1]DATABASE!AJ1028</f>
        <v>Monte Rei</v>
      </c>
      <c r="C1067" t="str">
        <f>[1]DATABASE!C1028</f>
        <v>20</v>
      </c>
      <c r="D1067" t="str">
        <f>TRIM([1]DATABASE!Q1028)</f>
        <v>AVAILABLE</v>
      </c>
      <c r="E1067" s="82" t="str">
        <f>_xlfn.TEXTJOIN("; ",TRUE,IF([1]DATABASE!X1028&lt;0,"Negative Discount",""),IF(AND([1]DATABASE!Y1028&gt;[1]DATABASE!T1028,[1]DATABASE!Y1028&gt;0,[1]DATABASE!T1028&gt;0),"Sell Price &gt; Current",""),IF(AND(TRIM([1]DATABASE!Q1028)="DEED",[1]DATABASE!AA1028=""),"Deeded no PSPA Date",""),IF([1]DATABASE!E1028="","Missing Typology",""),IF([1]DATABASE!AJ1028="","Missing Development",""))</f>
        <v/>
      </c>
      <c r="F1067" s="82" t="str">
        <f>_xlfn.TEXTJOIN("; ",TRUE,IF(AND(OR(TRIM([1]DATABASE!Q1028)="RESERVED",TRIM([1]DATABASE!Q1028)="PRE-RESERVED",TRIM([1]DATABASE!Q1028)="PSPA"),[1]DATABASE!AA1028=""),"Reserved/PSPA no PSPA Date",""),IF(AND(TRIM([1]DATABASE!Q1028)="AVAILABLE",[1]DATABASE!AA1028&lt;&gt;""),"Available has PSPA Date",""))</f>
        <v/>
      </c>
      <c r="G1067" s="82" t="str">
        <f>_xlfn.TEXTJOIN("; ",TRUE,IF(AND([1]DATABASE!T1028&lt;0.8*[1]DATABASE!S1028,[1]DATABASE!T1028&gt;0,[1]DATABASE!S1028&gt;0),"Heavy Price Cut &gt;20%",""),IF(AND(OR(TRIM([1]DATABASE!Q1028)="AVAILABLE",TRIM([1]DATABASE!Q1028)="UPON REQUEST"),OR([1]DATABASE!T1028="",[1]DATABASE!T1028=0)),"Active Unit no Price",""),IF(AND(OR(TRIM([1]DATABASE!Q1028)="AVAILABLE",TRIM([1]DATABASE!Q1028)="RESERVED",TRIM([1]DATABASE!Q1028)="PRE-RESERVED",TRIM([1]DATABASE!Q1028)="PSPA"),[1]DATABASE!AC1028=""),"Active no Owner",""),IF(OR([1]DATABASE!F1028="",[1]DATABASE!F1028&lt;=0),"Missing/Invalid Area",""),IF(AND([1]DATABASE!T1028&gt;0,ABS([1]DATABASE!T1028-[1]DATABASE!W1028-[1]DATABASE!U1028-[1]DATABASE!V1028)&gt;1),"Price Bridge Mismatch",""))</f>
        <v/>
      </c>
      <c r="H1067" t="str">
        <f t="shared" si="19"/>
        <v>PASS</v>
      </c>
      <c r="I1067" s="90">
        <f>[1]DATABASE!T1028</f>
        <v>1450000</v>
      </c>
      <c r="J1067" t="str">
        <f>[1]DATABASE!AC1028</f>
        <v>Sandra Viegas</v>
      </c>
    </row>
    <row r="1068" spans="1:10" ht="13.95" customHeight="1" x14ac:dyDescent="0.3">
      <c r="A1068">
        <f>ROW([1]DATABASE!A1029)</f>
        <v>1029</v>
      </c>
      <c r="B1068" t="str">
        <f>[1]DATABASE!AJ1029</f>
        <v>Zestia</v>
      </c>
      <c r="C1068" t="str">
        <f>[1]DATABASE!C1029</f>
        <v>L</v>
      </c>
      <c r="D1068" t="str">
        <f>TRIM([1]DATABASE!Q1029)</f>
        <v>AVAILABLE</v>
      </c>
      <c r="E1068" s="82" t="str">
        <f>_xlfn.TEXTJOIN("; ",TRUE,IF([1]DATABASE!X1029&lt;0,"Negative Discount",""),IF(AND([1]DATABASE!Y1029&gt;[1]DATABASE!T1029,[1]DATABASE!Y1029&gt;0,[1]DATABASE!T1029&gt;0),"Sell Price &gt; Current",""),IF(AND(TRIM([1]DATABASE!Q1029)="DEED",[1]DATABASE!AA1029=""),"Deeded no PSPA Date",""),IF([1]DATABASE!E1029="","Missing Typology",""),IF([1]DATABASE!AJ1029="","Missing Development",""))</f>
        <v/>
      </c>
      <c r="F1068" s="82" t="str">
        <f>_xlfn.TEXTJOIN("; ",TRUE,IF(AND(OR(TRIM([1]DATABASE!Q1029)="RESERVED",TRIM([1]DATABASE!Q1029)="PRE-RESERVED",TRIM([1]DATABASE!Q1029)="PSPA"),[1]DATABASE!AA1029=""),"Reserved/PSPA no PSPA Date",""),IF(AND(TRIM([1]DATABASE!Q1029)="AVAILABLE",[1]DATABASE!AA1029&lt;&gt;""),"Available has PSPA Date",""))</f>
        <v/>
      </c>
      <c r="G1068" s="82" t="str">
        <f>_xlfn.TEXTJOIN("; ",TRUE,IF(AND([1]DATABASE!T1029&lt;0.8*[1]DATABASE!S1029,[1]DATABASE!T1029&gt;0,[1]DATABASE!S1029&gt;0),"Heavy Price Cut &gt;20%",""),IF(AND(OR(TRIM([1]DATABASE!Q1029)="AVAILABLE",TRIM([1]DATABASE!Q1029)="UPON REQUEST"),OR([1]DATABASE!T1029="",[1]DATABASE!T1029=0)),"Active Unit no Price",""),IF(AND(OR(TRIM([1]DATABASE!Q1029)="AVAILABLE",TRIM([1]DATABASE!Q1029)="RESERVED",TRIM([1]DATABASE!Q1029)="PRE-RESERVED",TRIM([1]DATABASE!Q1029)="PSPA"),[1]DATABASE!AC1029=""),"Active no Owner",""),IF(OR([1]DATABASE!F1029="",[1]DATABASE!F1029&lt;=0),"Missing/Invalid Area",""),IF(AND([1]DATABASE!T1029&gt;0,ABS([1]DATABASE!T1029-[1]DATABASE!W1029-[1]DATABASE!U1029-[1]DATABASE!V1029)&gt;1),"Price Bridge Mismatch",""))</f>
        <v/>
      </c>
      <c r="H1068" t="str">
        <f t="shared" si="19"/>
        <v>PASS</v>
      </c>
      <c r="I1068" s="90">
        <f>[1]DATABASE!T1029</f>
        <v>1110000</v>
      </c>
      <c r="J1068" t="str">
        <f>[1]DATABASE!AC1029</f>
        <v>Ana Damásio</v>
      </c>
    </row>
    <row r="1069" spans="1:10" ht="13.95" customHeight="1" x14ac:dyDescent="0.3">
      <c r="A1069">
        <f>ROW([1]DATABASE!A1030)</f>
        <v>1030</v>
      </c>
      <c r="B1069" t="str">
        <f>[1]DATABASE!AJ1030</f>
        <v>Botanica</v>
      </c>
      <c r="C1069" t="str">
        <f>[1]DATABASE!C1030</f>
        <v>M</v>
      </c>
      <c r="D1069" t="str">
        <f>TRIM([1]DATABASE!Q1030)</f>
        <v>AVAILABLE</v>
      </c>
      <c r="E1069" s="82" t="str">
        <f>_xlfn.TEXTJOIN("; ",TRUE,IF([1]DATABASE!X1030&lt;0,"Negative Discount",""),IF(AND([1]DATABASE!Y1030&gt;[1]DATABASE!T1030,[1]DATABASE!Y1030&gt;0,[1]DATABASE!T1030&gt;0),"Sell Price &gt; Current",""),IF(AND(TRIM([1]DATABASE!Q1030)="DEED",[1]DATABASE!AA1030=""),"Deeded no PSPA Date",""),IF([1]DATABASE!E1030="","Missing Typology",""),IF([1]DATABASE!AJ1030="","Missing Development",""))</f>
        <v/>
      </c>
      <c r="F1069" s="82" t="str">
        <f>_xlfn.TEXTJOIN("; ",TRUE,IF(AND(OR(TRIM([1]DATABASE!Q1030)="RESERVED",TRIM([1]DATABASE!Q1030)="PRE-RESERVED",TRIM([1]DATABASE!Q1030)="PSPA"),[1]DATABASE!AA1030=""),"Reserved/PSPA no PSPA Date",""),IF(AND(TRIM([1]DATABASE!Q1030)="AVAILABLE",[1]DATABASE!AA1030&lt;&gt;""),"Available has PSPA Date",""))</f>
        <v/>
      </c>
      <c r="G1069" s="82" t="str">
        <f>_xlfn.TEXTJOIN("; ",TRUE,IF(AND([1]DATABASE!T1030&lt;0.8*[1]DATABASE!S1030,[1]DATABASE!T1030&gt;0,[1]DATABASE!S1030&gt;0),"Heavy Price Cut &gt;20%",""),IF(AND(OR(TRIM([1]DATABASE!Q1030)="AVAILABLE",TRIM([1]DATABASE!Q1030)="UPON REQUEST"),OR([1]DATABASE!T1030="",[1]DATABASE!T1030=0)),"Active Unit no Price",""),IF(AND(OR(TRIM([1]DATABASE!Q1030)="AVAILABLE",TRIM([1]DATABASE!Q1030)="RESERVED",TRIM([1]DATABASE!Q1030)="PRE-RESERVED",TRIM([1]DATABASE!Q1030)="PSPA"),[1]DATABASE!AC1030=""),"Active no Owner",""),IF(OR([1]DATABASE!F1030="",[1]DATABASE!F1030&lt;=0),"Missing/Invalid Area",""),IF(AND([1]DATABASE!T1030&gt;0,ABS([1]DATABASE!T1030-[1]DATABASE!W1030-[1]DATABASE!U1030-[1]DATABASE!V1030)&gt;1),"Price Bridge Mismatch",""))</f>
        <v/>
      </c>
      <c r="H1069" t="str">
        <f t="shared" si="19"/>
        <v>PASS</v>
      </c>
      <c r="I1069" s="90">
        <f>[1]DATABASE!T1030</f>
        <v>1550000</v>
      </c>
      <c r="J1069" t="str">
        <f>[1]DATABASE!AC1030</f>
        <v>Ana Damásio</v>
      </c>
    </row>
    <row r="1070" spans="1:10" ht="13.95" customHeight="1" x14ac:dyDescent="0.3">
      <c r="A1070">
        <f>ROW([1]DATABASE!A1031)</f>
        <v>1031</v>
      </c>
      <c r="B1070" t="str">
        <f>[1]DATABASE!AJ1031</f>
        <v>Nobilus</v>
      </c>
      <c r="C1070" t="str">
        <f>[1]DATABASE!C1031</f>
        <v>M</v>
      </c>
      <c r="D1070" t="str">
        <f>TRIM([1]DATABASE!Q1031)</f>
        <v>AVAILABLE</v>
      </c>
      <c r="E1070" s="82" t="str">
        <f>_xlfn.TEXTJOIN("; ",TRUE,IF([1]DATABASE!X1031&lt;0,"Negative Discount",""),IF(AND([1]DATABASE!Y1031&gt;[1]DATABASE!T1031,[1]DATABASE!Y1031&gt;0,[1]DATABASE!T1031&gt;0),"Sell Price &gt; Current",""),IF(AND(TRIM([1]DATABASE!Q1031)="DEED",[1]DATABASE!AA1031=""),"Deeded no PSPA Date",""),IF([1]DATABASE!E1031="","Missing Typology",""),IF([1]DATABASE!AJ1031="","Missing Development",""))</f>
        <v/>
      </c>
      <c r="F1070" s="82" t="str">
        <f>_xlfn.TEXTJOIN("; ",TRUE,IF(AND(OR(TRIM([1]DATABASE!Q1031)="RESERVED",TRIM([1]DATABASE!Q1031)="PRE-RESERVED",TRIM([1]DATABASE!Q1031)="PSPA"),[1]DATABASE!AA1031=""),"Reserved/PSPA no PSPA Date",""),IF(AND(TRIM([1]DATABASE!Q1031)="AVAILABLE",[1]DATABASE!AA1031&lt;&gt;""),"Available has PSPA Date",""))</f>
        <v/>
      </c>
      <c r="G1070" s="82" t="str">
        <f>_xlfn.TEXTJOIN("; ",TRUE,IF(AND([1]DATABASE!T1031&lt;0.8*[1]DATABASE!S1031,[1]DATABASE!T1031&gt;0,[1]DATABASE!S1031&gt;0),"Heavy Price Cut &gt;20%",""),IF(AND(OR(TRIM([1]DATABASE!Q1031)="AVAILABLE",TRIM([1]DATABASE!Q1031)="UPON REQUEST"),OR([1]DATABASE!T1031="",[1]DATABASE!T1031=0)),"Active Unit no Price",""),IF(AND(OR(TRIM([1]DATABASE!Q1031)="AVAILABLE",TRIM([1]DATABASE!Q1031)="RESERVED",TRIM([1]DATABASE!Q1031)="PRE-RESERVED",TRIM([1]DATABASE!Q1031)="PSPA"),[1]DATABASE!AC1031=""),"Active no Owner",""),IF(OR([1]DATABASE!F1031="",[1]DATABASE!F1031&lt;=0),"Missing/Invalid Area",""),IF(AND([1]DATABASE!T1031&gt;0,ABS([1]DATABASE!T1031-[1]DATABASE!W1031-[1]DATABASE!U1031-[1]DATABASE!V1031)&gt;1),"Price Bridge Mismatch",""))</f>
        <v/>
      </c>
      <c r="H1070" t="str">
        <f t="shared" si="19"/>
        <v>PASS</v>
      </c>
      <c r="I1070" s="90">
        <f>[1]DATABASE!T1031</f>
        <v>1080000</v>
      </c>
      <c r="J1070" t="str">
        <f>[1]DATABASE!AC1031</f>
        <v>Ana Damásio</v>
      </c>
    </row>
    <row r="1071" spans="1:10" ht="13.95" customHeight="1" x14ac:dyDescent="0.3">
      <c r="A1071">
        <f>ROW([1]DATABASE!A1032)</f>
        <v>1032</v>
      </c>
      <c r="B1071" t="str">
        <f>[1]DATABASE!AJ1032</f>
        <v>Rivus</v>
      </c>
      <c r="C1071" t="str">
        <f>[1]DATABASE!C1032</f>
        <v>M</v>
      </c>
      <c r="D1071" t="str">
        <f>TRIM([1]DATABASE!Q1032)</f>
        <v>AVAILABLE</v>
      </c>
      <c r="E1071" s="82" t="str">
        <f>_xlfn.TEXTJOIN("; ",TRUE,IF([1]DATABASE!X1032&lt;0,"Negative Discount",""),IF(AND([1]DATABASE!Y1032&gt;[1]DATABASE!T1032,[1]DATABASE!Y1032&gt;0,[1]DATABASE!T1032&gt;0),"Sell Price &gt; Current",""),IF(AND(TRIM([1]DATABASE!Q1032)="DEED",[1]DATABASE!AA1032=""),"Deeded no PSPA Date",""),IF([1]DATABASE!E1032="","Missing Typology",""),IF([1]DATABASE!AJ1032="","Missing Development",""))</f>
        <v/>
      </c>
      <c r="F1071" s="82" t="str">
        <f>_xlfn.TEXTJOIN("; ",TRUE,IF(AND(OR(TRIM([1]DATABASE!Q1032)="RESERVED",TRIM([1]DATABASE!Q1032)="PRE-RESERVED",TRIM([1]DATABASE!Q1032)="PSPA"),[1]DATABASE!AA1032=""),"Reserved/PSPA no PSPA Date",""),IF(AND(TRIM([1]DATABASE!Q1032)="AVAILABLE",[1]DATABASE!AA1032&lt;&gt;""),"Available has PSPA Date",""))</f>
        <v/>
      </c>
      <c r="G1071" s="82" t="str">
        <f>_xlfn.TEXTJOIN("; ",TRUE,IF(AND([1]DATABASE!T1032&lt;0.8*[1]DATABASE!S1032,[1]DATABASE!T1032&gt;0,[1]DATABASE!S1032&gt;0),"Heavy Price Cut &gt;20%",""),IF(AND(OR(TRIM([1]DATABASE!Q1032)="AVAILABLE",TRIM([1]DATABASE!Q1032)="UPON REQUEST"),OR([1]DATABASE!T1032="",[1]DATABASE!T1032=0)),"Active Unit no Price",""),IF(AND(OR(TRIM([1]DATABASE!Q1032)="AVAILABLE",TRIM([1]DATABASE!Q1032)="RESERVED",TRIM([1]DATABASE!Q1032)="PRE-RESERVED",TRIM([1]DATABASE!Q1032)="PSPA"),[1]DATABASE!AC1032=""),"Active no Owner",""),IF(OR([1]DATABASE!F1032="",[1]DATABASE!F1032&lt;=0),"Missing/Invalid Area",""),IF(AND([1]DATABASE!T1032&gt;0,ABS([1]DATABASE!T1032-[1]DATABASE!W1032-[1]DATABASE!U1032-[1]DATABASE!V1032)&gt;1),"Price Bridge Mismatch",""))</f>
        <v>Missing/Invalid Area</v>
      </c>
      <c r="H1071" t="str">
        <f t="shared" si="19"/>
        <v>REVIEW</v>
      </c>
      <c r="I1071" s="90">
        <f>[1]DATABASE!T1032</f>
        <v>800000</v>
      </c>
      <c r="J1071" t="str">
        <f>[1]DATABASE!AC1032</f>
        <v>Ana Damásio</v>
      </c>
    </row>
    <row r="1072" spans="1:10" ht="13.95" customHeight="1" x14ac:dyDescent="0.3">
      <c r="A1072">
        <f>ROW([1]DATABASE!A1033)</f>
        <v>1033</v>
      </c>
      <c r="B1072" t="str">
        <f>[1]DATABASE!AJ1033</f>
        <v>Springs - At the Els</v>
      </c>
      <c r="C1072" t="str">
        <f>[1]DATABASE!C1033</f>
        <v>M</v>
      </c>
      <c r="D1072" t="str">
        <f>TRIM([1]DATABASE!Q1033)</f>
        <v>AVAILABLE</v>
      </c>
      <c r="E1072" s="82" t="str">
        <f>_xlfn.TEXTJOIN("; ",TRUE,IF([1]DATABASE!X1033&lt;0,"Negative Discount",""),IF(AND([1]DATABASE!Y1033&gt;[1]DATABASE!T1033,[1]DATABASE!Y1033&gt;0,[1]DATABASE!T1033&gt;0),"Sell Price &gt; Current",""),IF(AND(TRIM([1]DATABASE!Q1033)="DEED",[1]DATABASE!AA1033=""),"Deeded no PSPA Date",""),IF([1]DATABASE!E1033="","Missing Typology",""),IF([1]DATABASE!AJ1033="","Missing Development",""))</f>
        <v/>
      </c>
      <c r="F1072" s="82" t="str">
        <f>_xlfn.TEXTJOIN("; ",TRUE,IF(AND(OR(TRIM([1]DATABASE!Q1033)="RESERVED",TRIM([1]DATABASE!Q1033)="PRE-RESERVED",TRIM([1]DATABASE!Q1033)="PSPA"),[1]DATABASE!AA1033=""),"Reserved/PSPA no PSPA Date",""),IF(AND(TRIM([1]DATABASE!Q1033)="AVAILABLE",[1]DATABASE!AA1033&lt;&gt;""),"Available has PSPA Date",""))</f>
        <v/>
      </c>
      <c r="G1072" s="82" t="str">
        <f>_xlfn.TEXTJOIN("; ",TRUE,IF(AND([1]DATABASE!T1033&lt;0.8*[1]DATABASE!S1033,[1]DATABASE!T1033&gt;0,[1]DATABASE!S1033&gt;0),"Heavy Price Cut &gt;20%",""),IF(AND(OR(TRIM([1]DATABASE!Q1033)="AVAILABLE",TRIM([1]DATABASE!Q1033)="UPON REQUEST"),OR([1]DATABASE!T1033="",[1]DATABASE!T1033=0)),"Active Unit no Price",""),IF(AND(OR(TRIM([1]DATABASE!Q1033)="AVAILABLE",TRIM([1]DATABASE!Q1033)="RESERVED",TRIM([1]DATABASE!Q1033)="PRE-RESERVED",TRIM([1]DATABASE!Q1033)="PSPA"),[1]DATABASE!AC1033=""),"Active no Owner",""),IF(OR([1]DATABASE!F1033="",[1]DATABASE!F1033&lt;=0),"Missing/Invalid Area",""),IF(AND([1]DATABASE!T1033&gt;0,ABS([1]DATABASE!T1033-[1]DATABASE!W1033-[1]DATABASE!U1033-[1]DATABASE!V1033)&gt;1),"Price Bridge Mismatch",""))</f>
        <v/>
      </c>
      <c r="H1072" t="str">
        <f t="shared" si="19"/>
        <v>PASS</v>
      </c>
      <c r="I1072" s="90">
        <f>[1]DATABASE!T1033</f>
        <v>2230000</v>
      </c>
      <c r="J1072" t="str">
        <f>[1]DATABASE!AC1033</f>
        <v>Ana Damásio</v>
      </c>
    </row>
    <row r="1073" spans="1:10" ht="13.95" customHeight="1" x14ac:dyDescent="0.3">
      <c r="A1073">
        <f>ROW([1]DATABASE!A1034)</f>
        <v>1034</v>
      </c>
      <c r="B1073" t="str">
        <f>[1]DATABASE!AJ1034</f>
        <v>Zestia</v>
      </c>
      <c r="C1073" t="str">
        <f>[1]DATABASE!C1034</f>
        <v>M</v>
      </c>
      <c r="D1073" t="str">
        <f>TRIM([1]DATABASE!Q1034)</f>
        <v>AVAILABLE</v>
      </c>
      <c r="E1073" s="82" t="str">
        <f>_xlfn.TEXTJOIN("; ",TRUE,IF([1]DATABASE!X1034&lt;0,"Negative Discount",""),IF(AND([1]DATABASE!Y1034&gt;[1]DATABASE!T1034,[1]DATABASE!Y1034&gt;0,[1]DATABASE!T1034&gt;0),"Sell Price &gt; Current",""),IF(AND(TRIM([1]DATABASE!Q1034)="DEED",[1]DATABASE!AA1034=""),"Deeded no PSPA Date",""),IF([1]DATABASE!E1034="","Missing Typology",""),IF([1]DATABASE!AJ1034="","Missing Development",""))</f>
        <v/>
      </c>
      <c r="F1073" s="82" t="str">
        <f>_xlfn.TEXTJOIN("; ",TRUE,IF(AND(OR(TRIM([1]DATABASE!Q1034)="RESERVED",TRIM([1]DATABASE!Q1034)="PRE-RESERVED",TRIM([1]DATABASE!Q1034)="PSPA"),[1]DATABASE!AA1034=""),"Reserved/PSPA no PSPA Date",""),IF(AND(TRIM([1]DATABASE!Q1034)="AVAILABLE",[1]DATABASE!AA1034&lt;&gt;""),"Available has PSPA Date",""))</f>
        <v/>
      </c>
      <c r="G1073" s="82" t="str">
        <f>_xlfn.TEXTJOIN("; ",TRUE,IF(AND([1]DATABASE!T1034&lt;0.8*[1]DATABASE!S1034,[1]DATABASE!T1034&gt;0,[1]DATABASE!S1034&gt;0),"Heavy Price Cut &gt;20%",""),IF(AND(OR(TRIM([1]DATABASE!Q1034)="AVAILABLE",TRIM([1]DATABASE!Q1034)="UPON REQUEST"),OR([1]DATABASE!T1034="",[1]DATABASE!T1034=0)),"Active Unit no Price",""),IF(AND(OR(TRIM([1]DATABASE!Q1034)="AVAILABLE",TRIM([1]DATABASE!Q1034)="RESERVED",TRIM([1]DATABASE!Q1034)="PRE-RESERVED",TRIM([1]DATABASE!Q1034)="PSPA"),[1]DATABASE!AC1034=""),"Active no Owner",""),IF(OR([1]DATABASE!F1034="",[1]DATABASE!F1034&lt;=0),"Missing/Invalid Area",""),IF(AND([1]DATABASE!T1034&gt;0,ABS([1]DATABASE!T1034-[1]DATABASE!W1034-[1]DATABASE!U1034-[1]DATABASE!V1034)&gt;1),"Price Bridge Mismatch",""))</f>
        <v/>
      </c>
      <c r="H1073" t="str">
        <f t="shared" si="19"/>
        <v>PASS</v>
      </c>
      <c r="I1073" s="90">
        <f>[1]DATABASE!T1034</f>
        <v>800000</v>
      </c>
      <c r="J1073" t="str">
        <f>[1]DATABASE!AC1034</f>
        <v>Ana Damásio</v>
      </c>
    </row>
    <row r="1074" spans="1:10" ht="13.95" customHeight="1" x14ac:dyDescent="0.3">
      <c r="A1074">
        <f>ROW([1]DATABASE!A1035)</f>
        <v>1035</v>
      </c>
      <c r="B1074" t="str">
        <f>[1]DATABASE!AJ1035</f>
        <v>Botanica</v>
      </c>
      <c r="C1074" t="str">
        <f>[1]DATABASE!C1035</f>
        <v>N</v>
      </c>
      <c r="D1074" t="str">
        <f>TRIM([1]DATABASE!Q1035)</f>
        <v>AVAILABLE</v>
      </c>
      <c r="E1074" s="82" t="str">
        <f>_xlfn.TEXTJOIN("; ",TRUE,IF([1]DATABASE!X1035&lt;0,"Negative Discount",""),IF(AND([1]DATABASE!Y1035&gt;[1]DATABASE!T1035,[1]DATABASE!Y1035&gt;0,[1]DATABASE!T1035&gt;0),"Sell Price &gt; Current",""),IF(AND(TRIM([1]DATABASE!Q1035)="DEED",[1]DATABASE!AA1035=""),"Deeded no PSPA Date",""),IF([1]DATABASE!E1035="","Missing Typology",""),IF([1]DATABASE!AJ1035="","Missing Development",""))</f>
        <v/>
      </c>
      <c r="F1074" s="82" t="str">
        <f>_xlfn.TEXTJOIN("; ",TRUE,IF(AND(OR(TRIM([1]DATABASE!Q1035)="RESERVED",TRIM([1]DATABASE!Q1035)="PRE-RESERVED",TRIM([1]DATABASE!Q1035)="PSPA"),[1]DATABASE!AA1035=""),"Reserved/PSPA no PSPA Date",""),IF(AND(TRIM([1]DATABASE!Q1035)="AVAILABLE",[1]DATABASE!AA1035&lt;&gt;""),"Available has PSPA Date",""))</f>
        <v/>
      </c>
      <c r="G1074" s="82" t="str">
        <f>_xlfn.TEXTJOIN("; ",TRUE,IF(AND([1]DATABASE!T1035&lt;0.8*[1]DATABASE!S1035,[1]DATABASE!T1035&gt;0,[1]DATABASE!S1035&gt;0),"Heavy Price Cut &gt;20%",""),IF(AND(OR(TRIM([1]DATABASE!Q1035)="AVAILABLE",TRIM([1]DATABASE!Q1035)="UPON REQUEST"),OR([1]DATABASE!T1035="",[1]DATABASE!T1035=0)),"Active Unit no Price",""),IF(AND(OR(TRIM([1]DATABASE!Q1035)="AVAILABLE",TRIM([1]DATABASE!Q1035)="RESERVED",TRIM([1]DATABASE!Q1035)="PRE-RESERVED",TRIM([1]DATABASE!Q1035)="PSPA"),[1]DATABASE!AC1035=""),"Active no Owner",""),IF(OR([1]DATABASE!F1035="",[1]DATABASE!F1035&lt;=0),"Missing/Invalid Area",""),IF(AND([1]DATABASE!T1035&gt;0,ABS([1]DATABASE!T1035-[1]DATABASE!W1035-[1]DATABASE!U1035-[1]DATABASE!V1035)&gt;1),"Price Bridge Mismatch",""))</f>
        <v/>
      </c>
      <c r="H1074" t="str">
        <f t="shared" si="19"/>
        <v>PASS</v>
      </c>
      <c r="I1074" s="90">
        <f>[1]DATABASE!T1035</f>
        <v>1050000</v>
      </c>
      <c r="J1074" t="str">
        <f>[1]DATABASE!AC1035</f>
        <v>Ana Damásio</v>
      </c>
    </row>
    <row r="1075" spans="1:10" ht="13.95" customHeight="1" x14ac:dyDescent="0.3">
      <c r="A1075">
        <f>ROW([1]DATABASE!A1036)</f>
        <v>1036</v>
      </c>
      <c r="B1075" t="str">
        <f>[1]DATABASE!AJ1036</f>
        <v>Nobilus</v>
      </c>
      <c r="C1075" t="str">
        <f>[1]DATABASE!C1036</f>
        <v>N</v>
      </c>
      <c r="D1075" t="str">
        <f>TRIM([1]DATABASE!Q1036)</f>
        <v>AVAILABLE</v>
      </c>
      <c r="E1075" s="82" t="str">
        <f>_xlfn.TEXTJOIN("; ",TRUE,IF([1]DATABASE!X1036&lt;0,"Negative Discount",""),IF(AND([1]DATABASE!Y1036&gt;[1]DATABASE!T1036,[1]DATABASE!Y1036&gt;0,[1]DATABASE!T1036&gt;0),"Sell Price &gt; Current",""),IF(AND(TRIM([1]DATABASE!Q1036)="DEED",[1]DATABASE!AA1036=""),"Deeded no PSPA Date",""),IF([1]DATABASE!E1036="","Missing Typology",""),IF([1]DATABASE!AJ1036="","Missing Development",""))</f>
        <v/>
      </c>
      <c r="F1075" s="82" t="str">
        <f>_xlfn.TEXTJOIN("; ",TRUE,IF(AND(OR(TRIM([1]DATABASE!Q1036)="RESERVED",TRIM([1]DATABASE!Q1036)="PRE-RESERVED",TRIM([1]DATABASE!Q1036)="PSPA"),[1]DATABASE!AA1036=""),"Reserved/PSPA no PSPA Date",""),IF(AND(TRIM([1]DATABASE!Q1036)="AVAILABLE",[1]DATABASE!AA1036&lt;&gt;""),"Available has PSPA Date",""))</f>
        <v/>
      </c>
      <c r="G1075" s="82" t="str">
        <f>_xlfn.TEXTJOIN("; ",TRUE,IF(AND([1]DATABASE!T1036&lt;0.8*[1]DATABASE!S1036,[1]DATABASE!T1036&gt;0,[1]DATABASE!S1036&gt;0),"Heavy Price Cut &gt;20%",""),IF(AND(OR(TRIM([1]DATABASE!Q1036)="AVAILABLE",TRIM([1]DATABASE!Q1036)="UPON REQUEST"),OR([1]DATABASE!T1036="",[1]DATABASE!T1036=0)),"Active Unit no Price",""),IF(AND(OR(TRIM([1]DATABASE!Q1036)="AVAILABLE",TRIM([1]DATABASE!Q1036)="RESERVED",TRIM([1]DATABASE!Q1036)="PRE-RESERVED",TRIM([1]DATABASE!Q1036)="PSPA"),[1]DATABASE!AC1036=""),"Active no Owner",""),IF(OR([1]DATABASE!F1036="",[1]DATABASE!F1036&lt;=0),"Missing/Invalid Area",""),IF(AND([1]DATABASE!T1036&gt;0,ABS([1]DATABASE!T1036-[1]DATABASE!W1036-[1]DATABASE!U1036-[1]DATABASE!V1036)&gt;1),"Price Bridge Mismatch",""))</f>
        <v/>
      </c>
      <c r="H1075" t="str">
        <f t="shared" si="19"/>
        <v>PASS</v>
      </c>
      <c r="I1075" s="90">
        <f>[1]DATABASE!T1036</f>
        <v>1650000</v>
      </c>
      <c r="J1075" t="str">
        <f>[1]DATABASE!AC1036</f>
        <v>Ana Damásio</v>
      </c>
    </row>
    <row r="1076" spans="1:10" ht="13.95" customHeight="1" x14ac:dyDescent="0.3">
      <c r="A1076">
        <f>ROW([1]DATABASE!A1037)</f>
        <v>1037</v>
      </c>
      <c r="B1076" t="str">
        <f>[1]DATABASE!AJ1037</f>
        <v>Rivus</v>
      </c>
      <c r="C1076" t="str">
        <f>[1]DATABASE!C1037</f>
        <v>N</v>
      </c>
      <c r="D1076" t="str">
        <f>TRIM([1]DATABASE!Q1037)</f>
        <v>AVAILABLE</v>
      </c>
      <c r="E1076" s="82" t="str">
        <f>_xlfn.TEXTJOIN("; ",TRUE,IF([1]DATABASE!X1037&lt;0,"Negative Discount",""),IF(AND([1]DATABASE!Y1037&gt;[1]DATABASE!T1037,[1]DATABASE!Y1037&gt;0,[1]DATABASE!T1037&gt;0),"Sell Price &gt; Current",""),IF(AND(TRIM([1]DATABASE!Q1037)="DEED",[1]DATABASE!AA1037=""),"Deeded no PSPA Date",""),IF([1]DATABASE!E1037="","Missing Typology",""),IF([1]DATABASE!AJ1037="","Missing Development",""))</f>
        <v/>
      </c>
      <c r="F1076" s="82" t="str">
        <f>_xlfn.TEXTJOIN("; ",TRUE,IF(AND(OR(TRIM([1]DATABASE!Q1037)="RESERVED",TRIM([1]DATABASE!Q1037)="PRE-RESERVED",TRIM([1]DATABASE!Q1037)="PSPA"),[1]DATABASE!AA1037=""),"Reserved/PSPA no PSPA Date",""),IF(AND(TRIM([1]DATABASE!Q1037)="AVAILABLE",[1]DATABASE!AA1037&lt;&gt;""),"Available has PSPA Date",""))</f>
        <v/>
      </c>
      <c r="G1076" s="82" t="str">
        <f>_xlfn.TEXTJOIN("; ",TRUE,IF(AND([1]DATABASE!T1037&lt;0.8*[1]DATABASE!S1037,[1]DATABASE!T1037&gt;0,[1]DATABASE!S1037&gt;0),"Heavy Price Cut &gt;20%",""),IF(AND(OR(TRIM([1]DATABASE!Q1037)="AVAILABLE",TRIM([1]DATABASE!Q1037)="UPON REQUEST"),OR([1]DATABASE!T1037="",[1]DATABASE!T1037=0)),"Active Unit no Price",""),IF(AND(OR(TRIM([1]DATABASE!Q1037)="AVAILABLE",TRIM([1]DATABASE!Q1037)="RESERVED",TRIM([1]DATABASE!Q1037)="PRE-RESERVED",TRIM([1]DATABASE!Q1037)="PSPA"),[1]DATABASE!AC1037=""),"Active no Owner",""),IF(OR([1]DATABASE!F1037="",[1]DATABASE!F1037&lt;=0),"Missing/Invalid Area",""),IF(AND([1]DATABASE!T1037&gt;0,ABS([1]DATABASE!T1037-[1]DATABASE!W1037-[1]DATABASE!U1037-[1]DATABASE!V1037)&gt;1),"Price Bridge Mismatch",""))</f>
        <v>Missing/Invalid Area</v>
      </c>
      <c r="H1076" t="str">
        <f t="shared" si="19"/>
        <v>REVIEW</v>
      </c>
      <c r="I1076" s="90">
        <f>[1]DATABASE!T1037</f>
        <v>930000</v>
      </c>
      <c r="J1076" t="str">
        <f>[1]DATABASE!AC1037</f>
        <v>Ana Damásio</v>
      </c>
    </row>
    <row r="1077" spans="1:10" ht="13.95" customHeight="1" x14ac:dyDescent="0.3">
      <c r="A1077">
        <f>ROW([1]DATABASE!A1038)</f>
        <v>1038</v>
      </c>
      <c r="B1077" t="str">
        <f>[1]DATABASE!AJ1038</f>
        <v>Springs - At the Els</v>
      </c>
      <c r="C1077" t="str">
        <f>[1]DATABASE!C1038</f>
        <v>N</v>
      </c>
      <c r="D1077" t="str">
        <f>TRIM([1]DATABASE!Q1038)</f>
        <v>AVAILABLE</v>
      </c>
      <c r="E1077" s="82" t="str">
        <f>_xlfn.TEXTJOIN("; ",TRUE,IF([1]DATABASE!X1038&lt;0,"Negative Discount",""),IF(AND([1]DATABASE!Y1038&gt;[1]DATABASE!T1038,[1]DATABASE!Y1038&gt;0,[1]DATABASE!T1038&gt;0),"Sell Price &gt; Current",""),IF(AND(TRIM([1]DATABASE!Q1038)="DEED",[1]DATABASE!AA1038=""),"Deeded no PSPA Date",""),IF([1]DATABASE!E1038="","Missing Typology",""),IF([1]DATABASE!AJ1038="","Missing Development",""))</f>
        <v/>
      </c>
      <c r="F1077" s="82" t="str">
        <f>_xlfn.TEXTJOIN("; ",TRUE,IF(AND(OR(TRIM([1]DATABASE!Q1038)="RESERVED",TRIM([1]DATABASE!Q1038)="PRE-RESERVED",TRIM([1]DATABASE!Q1038)="PSPA"),[1]DATABASE!AA1038=""),"Reserved/PSPA no PSPA Date",""),IF(AND(TRIM([1]DATABASE!Q1038)="AVAILABLE",[1]DATABASE!AA1038&lt;&gt;""),"Available has PSPA Date",""))</f>
        <v/>
      </c>
      <c r="G1077" s="82" t="str">
        <f>_xlfn.TEXTJOIN("; ",TRUE,IF(AND([1]DATABASE!T1038&lt;0.8*[1]DATABASE!S1038,[1]DATABASE!T1038&gt;0,[1]DATABASE!S1038&gt;0),"Heavy Price Cut &gt;20%",""),IF(AND(OR(TRIM([1]DATABASE!Q1038)="AVAILABLE",TRIM([1]DATABASE!Q1038)="UPON REQUEST"),OR([1]DATABASE!T1038="",[1]DATABASE!T1038=0)),"Active Unit no Price",""),IF(AND(OR(TRIM([1]DATABASE!Q1038)="AVAILABLE",TRIM([1]DATABASE!Q1038)="RESERVED",TRIM([1]DATABASE!Q1038)="PRE-RESERVED",TRIM([1]DATABASE!Q1038)="PSPA"),[1]DATABASE!AC1038=""),"Active no Owner",""),IF(OR([1]DATABASE!F1038="",[1]DATABASE!F1038&lt;=0),"Missing/Invalid Area",""),IF(AND([1]DATABASE!T1038&gt;0,ABS([1]DATABASE!T1038-[1]DATABASE!W1038-[1]DATABASE!U1038-[1]DATABASE!V1038)&gt;1),"Price Bridge Mismatch",""))</f>
        <v/>
      </c>
      <c r="H1077" t="str">
        <f t="shared" si="19"/>
        <v>PASS</v>
      </c>
      <c r="I1077" s="90">
        <f>[1]DATABASE!T1038</f>
        <v>3030000</v>
      </c>
      <c r="J1077" t="str">
        <f>[1]DATABASE!AC1038</f>
        <v>Ana Damásio</v>
      </c>
    </row>
    <row r="1078" spans="1:10" ht="13.95" customHeight="1" x14ac:dyDescent="0.3">
      <c r="A1078">
        <f>ROW([1]DATABASE!A1039)</f>
        <v>1039</v>
      </c>
      <c r="B1078" t="str">
        <f>[1]DATABASE!AJ1039</f>
        <v>Zestia</v>
      </c>
      <c r="C1078" t="str">
        <f>[1]DATABASE!C1039</f>
        <v>N</v>
      </c>
      <c r="D1078" t="str">
        <f>TRIM([1]DATABASE!Q1039)</f>
        <v>AVAILABLE</v>
      </c>
      <c r="E1078" s="82" t="str">
        <f>_xlfn.TEXTJOIN("; ",TRUE,IF([1]DATABASE!X1039&lt;0,"Negative Discount",""),IF(AND([1]DATABASE!Y1039&gt;[1]DATABASE!T1039,[1]DATABASE!Y1039&gt;0,[1]DATABASE!T1039&gt;0),"Sell Price &gt; Current",""),IF(AND(TRIM([1]DATABASE!Q1039)="DEED",[1]DATABASE!AA1039=""),"Deeded no PSPA Date",""),IF([1]DATABASE!E1039="","Missing Typology",""),IF([1]DATABASE!AJ1039="","Missing Development",""))</f>
        <v/>
      </c>
      <c r="F1078" s="82" t="str">
        <f>_xlfn.TEXTJOIN("; ",TRUE,IF(AND(OR(TRIM([1]DATABASE!Q1039)="RESERVED",TRIM([1]DATABASE!Q1039)="PRE-RESERVED",TRIM([1]DATABASE!Q1039)="PSPA"),[1]DATABASE!AA1039=""),"Reserved/PSPA no PSPA Date",""),IF(AND(TRIM([1]DATABASE!Q1039)="AVAILABLE",[1]DATABASE!AA1039&lt;&gt;""),"Available has PSPA Date",""))</f>
        <v/>
      </c>
      <c r="G1078" s="82" t="str">
        <f>_xlfn.TEXTJOIN("; ",TRUE,IF(AND([1]DATABASE!T1039&lt;0.8*[1]DATABASE!S1039,[1]DATABASE!T1039&gt;0,[1]DATABASE!S1039&gt;0),"Heavy Price Cut &gt;20%",""),IF(AND(OR(TRIM([1]DATABASE!Q1039)="AVAILABLE",TRIM([1]DATABASE!Q1039)="UPON REQUEST"),OR([1]DATABASE!T1039="",[1]DATABASE!T1039=0)),"Active Unit no Price",""),IF(AND(OR(TRIM([1]DATABASE!Q1039)="AVAILABLE",TRIM([1]DATABASE!Q1039)="RESERVED",TRIM([1]DATABASE!Q1039)="PRE-RESERVED",TRIM([1]DATABASE!Q1039)="PSPA"),[1]DATABASE!AC1039=""),"Active no Owner",""),IF(OR([1]DATABASE!F1039="",[1]DATABASE!F1039&lt;=0),"Missing/Invalid Area",""),IF(AND([1]DATABASE!T1039&gt;0,ABS([1]DATABASE!T1039-[1]DATABASE!W1039-[1]DATABASE!U1039-[1]DATABASE!V1039)&gt;1),"Price Bridge Mismatch",""))</f>
        <v/>
      </c>
      <c r="H1078" t="str">
        <f t="shared" si="19"/>
        <v>PASS</v>
      </c>
      <c r="I1078" s="90">
        <f>[1]DATABASE!T1039</f>
        <v>800000</v>
      </c>
      <c r="J1078" t="str">
        <f>[1]DATABASE!AC1039</f>
        <v>Ana Damásio</v>
      </c>
    </row>
    <row r="1079" spans="1:10" ht="13.95" customHeight="1" x14ac:dyDescent="0.3">
      <c r="A1079">
        <f>ROW([1]DATABASE!A1040)</f>
        <v>1040</v>
      </c>
      <c r="B1079" t="str">
        <f>[1]DATABASE!AJ1040</f>
        <v>Botanica</v>
      </c>
      <c r="C1079" t="str">
        <f>[1]DATABASE!C1040</f>
        <v>O</v>
      </c>
      <c r="D1079" t="str">
        <f>TRIM([1]DATABASE!Q1040)</f>
        <v>AVAILABLE</v>
      </c>
      <c r="E1079" s="82" t="str">
        <f>_xlfn.TEXTJOIN("; ",TRUE,IF([1]DATABASE!X1040&lt;0,"Negative Discount",""),IF(AND([1]DATABASE!Y1040&gt;[1]DATABASE!T1040,[1]DATABASE!Y1040&gt;0,[1]DATABASE!T1040&gt;0),"Sell Price &gt; Current",""),IF(AND(TRIM([1]DATABASE!Q1040)="DEED",[1]DATABASE!AA1040=""),"Deeded no PSPA Date",""),IF([1]DATABASE!E1040="","Missing Typology",""),IF([1]DATABASE!AJ1040="","Missing Development",""))</f>
        <v/>
      </c>
      <c r="F1079" s="82" t="str">
        <f>_xlfn.TEXTJOIN("; ",TRUE,IF(AND(OR(TRIM([1]DATABASE!Q1040)="RESERVED",TRIM([1]DATABASE!Q1040)="PRE-RESERVED",TRIM([1]DATABASE!Q1040)="PSPA"),[1]DATABASE!AA1040=""),"Reserved/PSPA no PSPA Date",""),IF(AND(TRIM([1]DATABASE!Q1040)="AVAILABLE",[1]DATABASE!AA1040&lt;&gt;""),"Available has PSPA Date",""))</f>
        <v/>
      </c>
      <c r="G1079" s="82" t="str">
        <f>_xlfn.TEXTJOIN("; ",TRUE,IF(AND([1]DATABASE!T1040&lt;0.8*[1]DATABASE!S1040,[1]DATABASE!T1040&gt;0,[1]DATABASE!S1040&gt;0),"Heavy Price Cut &gt;20%",""),IF(AND(OR(TRIM([1]DATABASE!Q1040)="AVAILABLE",TRIM([1]DATABASE!Q1040)="UPON REQUEST"),OR([1]DATABASE!T1040="",[1]DATABASE!T1040=0)),"Active Unit no Price",""),IF(AND(OR(TRIM([1]DATABASE!Q1040)="AVAILABLE",TRIM([1]DATABASE!Q1040)="RESERVED",TRIM([1]DATABASE!Q1040)="PRE-RESERVED",TRIM([1]DATABASE!Q1040)="PSPA"),[1]DATABASE!AC1040=""),"Active no Owner",""),IF(OR([1]DATABASE!F1040="",[1]DATABASE!F1040&lt;=0),"Missing/Invalid Area",""),IF(AND([1]DATABASE!T1040&gt;0,ABS([1]DATABASE!T1040-[1]DATABASE!W1040-[1]DATABASE!U1040-[1]DATABASE!V1040)&gt;1),"Price Bridge Mismatch",""))</f>
        <v/>
      </c>
      <c r="H1079" t="str">
        <f t="shared" si="19"/>
        <v>PASS</v>
      </c>
      <c r="I1079" s="90">
        <f>[1]DATABASE!T1040</f>
        <v>1350000</v>
      </c>
      <c r="J1079" t="str">
        <f>[1]DATABASE!AC1040</f>
        <v>Ana Damásio</v>
      </c>
    </row>
    <row r="1080" spans="1:10" ht="13.95" customHeight="1" x14ac:dyDescent="0.3">
      <c r="A1080">
        <f>ROW([1]DATABASE!A1041)</f>
        <v>1041</v>
      </c>
      <c r="B1080" t="str">
        <f>[1]DATABASE!AJ1041</f>
        <v>Nobilus</v>
      </c>
      <c r="C1080" t="str">
        <f>[1]DATABASE!C1041</f>
        <v>O</v>
      </c>
      <c r="D1080" t="str">
        <f>TRIM([1]DATABASE!Q1041)</f>
        <v>AVAILABLE</v>
      </c>
      <c r="E1080" s="82" t="str">
        <f>_xlfn.TEXTJOIN("; ",TRUE,IF([1]DATABASE!X1041&lt;0,"Negative Discount",""),IF(AND([1]DATABASE!Y1041&gt;[1]DATABASE!T1041,[1]DATABASE!Y1041&gt;0,[1]DATABASE!T1041&gt;0),"Sell Price &gt; Current",""),IF(AND(TRIM([1]DATABASE!Q1041)="DEED",[1]DATABASE!AA1041=""),"Deeded no PSPA Date",""),IF([1]DATABASE!E1041="","Missing Typology",""),IF([1]DATABASE!AJ1041="","Missing Development",""))</f>
        <v/>
      </c>
      <c r="F1080" s="82" t="str">
        <f>_xlfn.TEXTJOIN("; ",TRUE,IF(AND(OR(TRIM([1]DATABASE!Q1041)="RESERVED",TRIM([1]DATABASE!Q1041)="PRE-RESERVED",TRIM([1]DATABASE!Q1041)="PSPA"),[1]DATABASE!AA1041=""),"Reserved/PSPA no PSPA Date",""),IF(AND(TRIM([1]DATABASE!Q1041)="AVAILABLE",[1]DATABASE!AA1041&lt;&gt;""),"Available has PSPA Date",""))</f>
        <v/>
      </c>
      <c r="G1080" s="82" t="str">
        <f>_xlfn.TEXTJOIN("; ",TRUE,IF(AND([1]DATABASE!T1041&lt;0.8*[1]DATABASE!S1041,[1]DATABASE!T1041&gt;0,[1]DATABASE!S1041&gt;0),"Heavy Price Cut &gt;20%",""),IF(AND(OR(TRIM([1]DATABASE!Q1041)="AVAILABLE",TRIM([1]DATABASE!Q1041)="UPON REQUEST"),OR([1]DATABASE!T1041="",[1]DATABASE!T1041=0)),"Active Unit no Price",""),IF(AND(OR(TRIM([1]DATABASE!Q1041)="AVAILABLE",TRIM([1]DATABASE!Q1041)="RESERVED",TRIM([1]DATABASE!Q1041)="PRE-RESERVED",TRIM([1]DATABASE!Q1041)="PSPA"),[1]DATABASE!AC1041=""),"Active no Owner",""),IF(OR([1]DATABASE!F1041="",[1]DATABASE!F1041&lt;=0),"Missing/Invalid Area",""),IF(AND([1]DATABASE!T1041&gt;0,ABS([1]DATABASE!T1041-[1]DATABASE!W1041-[1]DATABASE!U1041-[1]DATABASE!V1041)&gt;1),"Price Bridge Mismatch",""))</f>
        <v/>
      </c>
      <c r="H1080" t="str">
        <f t="shared" si="19"/>
        <v>PASS</v>
      </c>
      <c r="I1080" s="90">
        <f>[1]DATABASE!T1041</f>
        <v>1580000</v>
      </c>
      <c r="J1080" t="str">
        <f>[1]DATABASE!AC1041</f>
        <v>Ana Damásio</v>
      </c>
    </row>
    <row r="1081" spans="1:10" ht="13.95" customHeight="1" x14ac:dyDescent="0.3">
      <c r="A1081">
        <f>ROW([1]DATABASE!A1042)</f>
        <v>1042</v>
      </c>
      <c r="B1081" t="str">
        <f>[1]DATABASE!AJ1042</f>
        <v>Rivus</v>
      </c>
      <c r="C1081" t="str">
        <f>[1]DATABASE!C1042</f>
        <v>O</v>
      </c>
      <c r="D1081" t="str">
        <f>TRIM([1]DATABASE!Q1042)</f>
        <v>AVAILABLE</v>
      </c>
      <c r="E1081" s="82" t="str">
        <f>_xlfn.TEXTJOIN("; ",TRUE,IF([1]DATABASE!X1042&lt;0,"Negative Discount",""),IF(AND([1]DATABASE!Y1042&gt;[1]DATABASE!T1042,[1]DATABASE!Y1042&gt;0,[1]DATABASE!T1042&gt;0),"Sell Price &gt; Current",""),IF(AND(TRIM([1]DATABASE!Q1042)="DEED",[1]DATABASE!AA1042=""),"Deeded no PSPA Date",""),IF([1]DATABASE!E1042="","Missing Typology",""),IF([1]DATABASE!AJ1042="","Missing Development",""))</f>
        <v/>
      </c>
      <c r="F1081" s="82" t="str">
        <f>_xlfn.TEXTJOIN("; ",TRUE,IF(AND(OR(TRIM([1]DATABASE!Q1042)="RESERVED",TRIM([1]DATABASE!Q1042)="PRE-RESERVED",TRIM([1]DATABASE!Q1042)="PSPA"),[1]DATABASE!AA1042=""),"Reserved/PSPA no PSPA Date",""),IF(AND(TRIM([1]DATABASE!Q1042)="AVAILABLE",[1]DATABASE!AA1042&lt;&gt;""),"Available has PSPA Date",""))</f>
        <v/>
      </c>
      <c r="G1081" s="82" t="str">
        <f>_xlfn.TEXTJOIN("; ",TRUE,IF(AND([1]DATABASE!T1042&lt;0.8*[1]DATABASE!S1042,[1]DATABASE!T1042&gt;0,[1]DATABASE!S1042&gt;0),"Heavy Price Cut &gt;20%",""),IF(AND(OR(TRIM([1]DATABASE!Q1042)="AVAILABLE",TRIM([1]DATABASE!Q1042)="UPON REQUEST"),OR([1]DATABASE!T1042="",[1]DATABASE!T1042=0)),"Active Unit no Price",""),IF(AND(OR(TRIM([1]DATABASE!Q1042)="AVAILABLE",TRIM([1]DATABASE!Q1042)="RESERVED",TRIM([1]DATABASE!Q1042)="PRE-RESERVED",TRIM([1]DATABASE!Q1042)="PSPA"),[1]DATABASE!AC1042=""),"Active no Owner",""),IF(OR([1]DATABASE!F1042="",[1]DATABASE!F1042&lt;=0),"Missing/Invalid Area",""),IF(AND([1]DATABASE!T1042&gt;0,ABS([1]DATABASE!T1042-[1]DATABASE!W1042-[1]DATABASE!U1042-[1]DATABASE!V1042)&gt;1),"Price Bridge Mismatch",""))</f>
        <v>Missing/Invalid Area</v>
      </c>
      <c r="H1081" t="str">
        <f t="shared" si="19"/>
        <v>REVIEW</v>
      </c>
      <c r="I1081" s="90">
        <f>[1]DATABASE!T1042</f>
        <v>760000</v>
      </c>
      <c r="J1081" t="str">
        <f>[1]DATABASE!AC1042</f>
        <v>Ana Damásio</v>
      </c>
    </row>
    <row r="1082" spans="1:10" ht="13.95" customHeight="1" x14ac:dyDescent="0.3">
      <c r="A1082">
        <f>ROW([1]DATABASE!A1043)</f>
        <v>1043</v>
      </c>
      <c r="B1082" t="str">
        <f>[1]DATABASE!AJ1043</f>
        <v>Springs - At the Els</v>
      </c>
      <c r="C1082" t="str">
        <f>[1]DATABASE!C1043</f>
        <v>O</v>
      </c>
      <c r="D1082" t="str">
        <f>TRIM([1]DATABASE!Q1043)</f>
        <v>AVAILABLE</v>
      </c>
      <c r="E1082" s="82" t="str">
        <f>_xlfn.TEXTJOIN("; ",TRUE,IF([1]DATABASE!X1043&lt;0,"Negative Discount",""),IF(AND([1]DATABASE!Y1043&gt;[1]DATABASE!T1043,[1]DATABASE!Y1043&gt;0,[1]DATABASE!T1043&gt;0),"Sell Price &gt; Current",""),IF(AND(TRIM([1]DATABASE!Q1043)="DEED",[1]DATABASE!AA1043=""),"Deeded no PSPA Date",""),IF([1]DATABASE!E1043="","Missing Typology",""),IF([1]DATABASE!AJ1043="","Missing Development",""))</f>
        <v/>
      </c>
      <c r="F1082" s="82" t="str">
        <f>_xlfn.TEXTJOIN("; ",TRUE,IF(AND(OR(TRIM([1]DATABASE!Q1043)="RESERVED",TRIM([1]DATABASE!Q1043)="PRE-RESERVED",TRIM([1]DATABASE!Q1043)="PSPA"),[1]DATABASE!AA1043=""),"Reserved/PSPA no PSPA Date",""),IF(AND(TRIM([1]DATABASE!Q1043)="AVAILABLE",[1]DATABASE!AA1043&lt;&gt;""),"Available has PSPA Date",""))</f>
        <v/>
      </c>
      <c r="G1082" s="82" t="str">
        <f>_xlfn.TEXTJOIN("; ",TRUE,IF(AND([1]DATABASE!T1043&lt;0.8*[1]DATABASE!S1043,[1]DATABASE!T1043&gt;0,[1]DATABASE!S1043&gt;0),"Heavy Price Cut &gt;20%",""),IF(AND(OR(TRIM([1]DATABASE!Q1043)="AVAILABLE",TRIM([1]DATABASE!Q1043)="UPON REQUEST"),OR([1]DATABASE!T1043="",[1]DATABASE!T1043=0)),"Active Unit no Price",""),IF(AND(OR(TRIM([1]DATABASE!Q1043)="AVAILABLE",TRIM([1]DATABASE!Q1043)="RESERVED",TRIM([1]DATABASE!Q1043)="PRE-RESERVED",TRIM([1]DATABASE!Q1043)="PSPA"),[1]DATABASE!AC1043=""),"Active no Owner",""),IF(OR([1]DATABASE!F1043="",[1]DATABASE!F1043&lt;=0),"Missing/Invalid Area",""),IF(AND([1]DATABASE!T1043&gt;0,ABS([1]DATABASE!T1043-[1]DATABASE!W1043-[1]DATABASE!U1043-[1]DATABASE!V1043)&gt;1),"Price Bridge Mismatch",""))</f>
        <v/>
      </c>
      <c r="H1082" t="str">
        <f t="shared" si="19"/>
        <v>PASS</v>
      </c>
      <c r="I1082" s="90">
        <f>[1]DATABASE!T1043</f>
        <v>2280000</v>
      </c>
      <c r="J1082" t="str">
        <f>[1]DATABASE!AC1043</f>
        <v>Ana Damásio</v>
      </c>
    </row>
    <row r="1083" spans="1:10" ht="13.95" customHeight="1" x14ac:dyDescent="0.3">
      <c r="A1083">
        <f>ROW([1]DATABASE!A1044)</f>
        <v>1044</v>
      </c>
      <c r="B1083" t="str">
        <f>[1]DATABASE!AJ1044</f>
        <v>Aroeira Collections</v>
      </c>
      <c r="C1083" t="str">
        <f>[1]DATABASE!C1044</f>
        <v>330A</v>
      </c>
      <c r="D1083" t="str">
        <f>TRIM([1]DATABASE!Q1044)</f>
        <v>AVAILABLE</v>
      </c>
      <c r="E1083" s="82" t="str">
        <f>_xlfn.TEXTJOIN("; ",TRUE,IF([1]DATABASE!X1044&lt;0,"Negative Discount",""),IF(AND([1]DATABASE!Y1044&gt;[1]DATABASE!T1044,[1]DATABASE!Y1044&gt;0,[1]DATABASE!T1044&gt;0),"Sell Price &gt; Current",""),IF(AND(TRIM([1]DATABASE!Q1044)="DEED",[1]DATABASE!AA1044=""),"Deeded no PSPA Date",""),IF([1]DATABASE!E1044="","Missing Typology",""),IF([1]DATABASE!AJ1044="","Missing Development",""))</f>
        <v/>
      </c>
      <c r="F1083" s="82" t="str">
        <f>_xlfn.TEXTJOIN("; ",TRUE,IF(AND(OR(TRIM([1]DATABASE!Q1044)="RESERVED",TRIM([1]DATABASE!Q1044)="PRE-RESERVED",TRIM([1]DATABASE!Q1044)="PSPA"),[1]DATABASE!AA1044=""),"Reserved/PSPA no PSPA Date",""),IF(AND(TRIM([1]DATABASE!Q1044)="AVAILABLE",[1]DATABASE!AA1044&lt;&gt;""),"Available has PSPA Date",""))</f>
        <v/>
      </c>
      <c r="G1083" s="82" t="str">
        <f>_xlfn.TEXTJOIN("; ",TRUE,IF(AND([1]DATABASE!T1044&lt;0.8*[1]DATABASE!S1044,[1]DATABASE!T1044&gt;0,[1]DATABASE!S1044&gt;0),"Heavy Price Cut &gt;20%",""),IF(AND(OR(TRIM([1]DATABASE!Q1044)="AVAILABLE",TRIM([1]DATABASE!Q1044)="UPON REQUEST"),OR([1]DATABASE!T1044="",[1]DATABASE!T1044=0)),"Active Unit no Price",""),IF(AND(OR(TRIM([1]DATABASE!Q1044)="AVAILABLE",TRIM([1]DATABASE!Q1044)="RESERVED",TRIM([1]DATABASE!Q1044)="PRE-RESERVED",TRIM([1]DATABASE!Q1044)="PSPA"),[1]DATABASE!AC1044=""),"Active no Owner",""),IF(OR([1]DATABASE!F1044="",[1]DATABASE!F1044&lt;=0),"Missing/Invalid Area",""),IF(AND([1]DATABASE!T1044&gt;0,ABS([1]DATABASE!T1044-[1]DATABASE!W1044-[1]DATABASE!U1044-[1]DATABASE!V1044)&gt;1),"Price Bridge Mismatch",""))</f>
        <v/>
      </c>
      <c r="H1083" t="str">
        <f t="shared" si="19"/>
        <v>PASS</v>
      </c>
      <c r="I1083" s="90">
        <f>[1]DATABASE!T1044</f>
        <v>445000</v>
      </c>
      <c r="J1083" t="str">
        <f>[1]DATABASE!AC1044</f>
        <v>João Gameiro</v>
      </c>
    </row>
    <row r="1084" spans="1:10" ht="13.95" customHeight="1" x14ac:dyDescent="0.3">
      <c r="A1084">
        <f>ROW([1]DATABASE!A1045)</f>
        <v>1045</v>
      </c>
      <c r="B1084" t="str">
        <f>[1]DATABASE!AJ1045</f>
        <v>Botanica</v>
      </c>
      <c r="C1084" t="str">
        <f>[1]DATABASE!C1045</f>
        <v>P</v>
      </c>
      <c r="D1084" t="str">
        <f>TRIM([1]DATABASE!Q1045)</f>
        <v>AVAILABLE</v>
      </c>
      <c r="E1084" s="82" t="str">
        <f>_xlfn.TEXTJOIN("; ",TRUE,IF([1]DATABASE!X1045&lt;0,"Negative Discount",""),IF(AND([1]DATABASE!Y1045&gt;[1]DATABASE!T1045,[1]DATABASE!Y1045&gt;0,[1]DATABASE!T1045&gt;0),"Sell Price &gt; Current",""),IF(AND(TRIM([1]DATABASE!Q1045)="DEED",[1]DATABASE!AA1045=""),"Deeded no PSPA Date",""),IF([1]DATABASE!E1045="","Missing Typology",""),IF([1]DATABASE!AJ1045="","Missing Development",""))</f>
        <v/>
      </c>
      <c r="F1084" s="82" t="str">
        <f>_xlfn.TEXTJOIN("; ",TRUE,IF(AND(OR(TRIM([1]DATABASE!Q1045)="RESERVED",TRIM([1]DATABASE!Q1045)="PRE-RESERVED",TRIM([1]DATABASE!Q1045)="PSPA"),[1]DATABASE!AA1045=""),"Reserved/PSPA no PSPA Date",""),IF(AND(TRIM([1]DATABASE!Q1045)="AVAILABLE",[1]DATABASE!AA1045&lt;&gt;""),"Available has PSPA Date",""))</f>
        <v/>
      </c>
      <c r="G1084" s="82" t="str">
        <f>_xlfn.TEXTJOIN("; ",TRUE,IF(AND([1]DATABASE!T1045&lt;0.8*[1]DATABASE!S1045,[1]DATABASE!T1045&gt;0,[1]DATABASE!S1045&gt;0),"Heavy Price Cut &gt;20%",""),IF(AND(OR(TRIM([1]DATABASE!Q1045)="AVAILABLE",TRIM([1]DATABASE!Q1045)="UPON REQUEST"),OR([1]DATABASE!T1045="",[1]DATABASE!T1045=0)),"Active Unit no Price",""),IF(AND(OR(TRIM([1]DATABASE!Q1045)="AVAILABLE",TRIM([1]DATABASE!Q1045)="RESERVED",TRIM([1]DATABASE!Q1045)="PRE-RESERVED",TRIM([1]DATABASE!Q1045)="PSPA"),[1]DATABASE!AC1045=""),"Active no Owner",""),IF(OR([1]DATABASE!F1045="",[1]DATABASE!F1045&lt;=0),"Missing/Invalid Area",""),IF(AND([1]DATABASE!T1045&gt;0,ABS([1]DATABASE!T1045-[1]DATABASE!W1045-[1]DATABASE!U1045-[1]DATABASE!V1045)&gt;1),"Price Bridge Mismatch",""))</f>
        <v/>
      </c>
      <c r="H1084" t="str">
        <f t="shared" si="19"/>
        <v>PASS</v>
      </c>
      <c r="I1084" s="90">
        <f>[1]DATABASE!T1045</f>
        <v>1050000</v>
      </c>
      <c r="J1084" t="str">
        <f>[1]DATABASE!AC1045</f>
        <v>Ana Damásio</v>
      </c>
    </row>
    <row r="1085" spans="1:10" ht="13.95" customHeight="1" x14ac:dyDescent="0.3">
      <c r="A1085">
        <f>ROW([1]DATABASE!A1046)</f>
        <v>1046</v>
      </c>
      <c r="B1085" t="str">
        <f>[1]DATABASE!AJ1046</f>
        <v>Aroeira Collections</v>
      </c>
      <c r="C1085" t="str">
        <f>[1]DATABASE!C1046</f>
        <v>331A</v>
      </c>
      <c r="D1085" t="str">
        <f>TRIM([1]DATABASE!Q1046)</f>
        <v>AVAILABLE</v>
      </c>
      <c r="E1085" s="82" t="str">
        <f>_xlfn.TEXTJOIN("; ",TRUE,IF([1]DATABASE!X1046&lt;0,"Negative Discount",""),IF(AND([1]DATABASE!Y1046&gt;[1]DATABASE!T1046,[1]DATABASE!Y1046&gt;0,[1]DATABASE!T1046&gt;0),"Sell Price &gt; Current",""),IF(AND(TRIM([1]DATABASE!Q1046)="DEED",[1]DATABASE!AA1046=""),"Deeded no PSPA Date",""),IF([1]DATABASE!E1046="","Missing Typology",""),IF([1]DATABASE!AJ1046="","Missing Development",""))</f>
        <v/>
      </c>
      <c r="F1085" s="82" t="str">
        <f>_xlfn.TEXTJOIN("; ",TRUE,IF(AND(OR(TRIM([1]DATABASE!Q1046)="RESERVED",TRIM([1]DATABASE!Q1046)="PRE-RESERVED",TRIM([1]DATABASE!Q1046)="PSPA"),[1]DATABASE!AA1046=""),"Reserved/PSPA no PSPA Date",""),IF(AND(TRIM([1]DATABASE!Q1046)="AVAILABLE",[1]DATABASE!AA1046&lt;&gt;""),"Available has PSPA Date",""))</f>
        <v/>
      </c>
      <c r="G1085" s="82" t="str">
        <f>_xlfn.TEXTJOIN("; ",TRUE,IF(AND([1]DATABASE!T1046&lt;0.8*[1]DATABASE!S1046,[1]DATABASE!T1046&gt;0,[1]DATABASE!S1046&gt;0),"Heavy Price Cut &gt;20%",""),IF(AND(OR(TRIM([1]DATABASE!Q1046)="AVAILABLE",TRIM([1]DATABASE!Q1046)="UPON REQUEST"),OR([1]DATABASE!T1046="",[1]DATABASE!T1046=0)),"Active Unit no Price",""),IF(AND(OR(TRIM([1]DATABASE!Q1046)="AVAILABLE",TRIM([1]DATABASE!Q1046)="RESERVED",TRIM([1]DATABASE!Q1046)="PRE-RESERVED",TRIM([1]DATABASE!Q1046)="PSPA"),[1]DATABASE!AC1046=""),"Active no Owner",""),IF(OR([1]DATABASE!F1046="",[1]DATABASE!F1046&lt;=0),"Missing/Invalid Area",""),IF(AND([1]DATABASE!T1046&gt;0,ABS([1]DATABASE!T1046-[1]DATABASE!W1046-[1]DATABASE!U1046-[1]DATABASE!V1046)&gt;1),"Price Bridge Mismatch",""))</f>
        <v/>
      </c>
      <c r="H1085" t="str">
        <f t="shared" si="19"/>
        <v>PASS</v>
      </c>
      <c r="I1085" s="90">
        <f>[1]DATABASE!T1046</f>
        <v>445000</v>
      </c>
      <c r="J1085" t="str">
        <f>[1]DATABASE!AC1046</f>
        <v>João Gameiro</v>
      </c>
    </row>
    <row r="1086" spans="1:10" ht="13.95" customHeight="1" x14ac:dyDescent="0.3">
      <c r="A1086">
        <f>ROW([1]DATABASE!A1047)</f>
        <v>1047</v>
      </c>
      <c r="B1086" t="str">
        <f>[1]DATABASE!AJ1047</f>
        <v>Aroeira Collections</v>
      </c>
      <c r="C1086" t="str">
        <f>[1]DATABASE!C1047</f>
        <v>332A</v>
      </c>
      <c r="D1086" t="str">
        <f>TRIM([1]DATABASE!Q1047)</f>
        <v>AVAILABLE</v>
      </c>
      <c r="E1086" s="82" t="str">
        <f>_xlfn.TEXTJOIN("; ",TRUE,IF([1]DATABASE!X1047&lt;0,"Negative Discount",""),IF(AND([1]DATABASE!Y1047&gt;[1]DATABASE!T1047,[1]DATABASE!Y1047&gt;0,[1]DATABASE!T1047&gt;0),"Sell Price &gt; Current",""),IF(AND(TRIM([1]DATABASE!Q1047)="DEED",[1]DATABASE!AA1047=""),"Deeded no PSPA Date",""),IF([1]DATABASE!E1047="","Missing Typology",""),IF([1]DATABASE!AJ1047="","Missing Development",""))</f>
        <v/>
      </c>
      <c r="F1086" s="82" t="str">
        <f>_xlfn.TEXTJOIN("; ",TRUE,IF(AND(OR(TRIM([1]DATABASE!Q1047)="RESERVED",TRIM([1]DATABASE!Q1047)="PRE-RESERVED",TRIM([1]DATABASE!Q1047)="PSPA"),[1]DATABASE!AA1047=""),"Reserved/PSPA no PSPA Date",""),IF(AND(TRIM([1]DATABASE!Q1047)="AVAILABLE",[1]DATABASE!AA1047&lt;&gt;""),"Available has PSPA Date",""))</f>
        <v/>
      </c>
      <c r="G1086" s="82" t="str">
        <f>_xlfn.TEXTJOIN("; ",TRUE,IF(AND([1]DATABASE!T1047&lt;0.8*[1]DATABASE!S1047,[1]DATABASE!T1047&gt;0,[1]DATABASE!S1047&gt;0),"Heavy Price Cut &gt;20%",""),IF(AND(OR(TRIM([1]DATABASE!Q1047)="AVAILABLE",TRIM([1]DATABASE!Q1047)="UPON REQUEST"),OR([1]DATABASE!T1047="",[1]DATABASE!T1047=0)),"Active Unit no Price",""),IF(AND(OR(TRIM([1]DATABASE!Q1047)="AVAILABLE",TRIM([1]DATABASE!Q1047)="RESERVED",TRIM([1]DATABASE!Q1047)="PRE-RESERVED",TRIM([1]DATABASE!Q1047)="PSPA"),[1]DATABASE!AC1047=""),"Active no Owner",""),IF(OR([1]DATABASE!F1047="",[1]DATABASE!F1047&lt;=0),"Missing/Invalid Area",""),IF(AND([1]DATABASE!T1047&gt;0,ABS([1]DATABASE!T1047-[1]DATABASE!W1047-[1]DATABASE!U1047-[1]DATABASE!V1047)&gt;1),"Price Bridge Mismatch",""))</f>
        <v/>
      </c>
      <c r="H1086" t="str">
        <f t="shared" si="19"/>
        <v>PASS</v>
      </c>
      <c r="I1086" s="90">
        <f>[1]DATABASE!T1047</f>
        <v>445000</v>
      </c>
      <c r="J1086" t="str">
        <f>[1]DATABASE!AC1047</f>
        <v>João Gameiro</v>
      </c>
    </row>
    <row r="1087" spans="1:10" ht="13.95" customHeight="1" x14ac:dyDescent="0.3">
      <c r="A1087">
        <f>ROW([1]DATABASE!A1048)</f>
        <v>1048</v>
      </c>
      <c r="B1087" t="str">
        <f>[1]DATABASE!AJ1048</f>
        <v>Aroeira Collections</v>
      </c>
      <c r="C1087" t="str">
        <f>[1]DATABASE!C1048</f>
        <v>333A</v>
      </c>
      <c r="D1087" t="str">
        <f>TRIM([1]DATABASE!Q1048)</f>
        <v>AVAILABLE</v>
      </c>
      <c r="E1087" s="82" t="str">
        <f>_xlfn.TEXTJOIN("; ",TRUE,IF([1]DATABASE!X1048&lt;0,"Negative Discount",""),IF(AND([1]DATABASE!Y1048&gt;[1]DATABASE!T1048,[1]DATABASE!Y1048&gt;0,[1]DATABASE!T1048&gt;0),"Sell Price &gt; Current",""),IF(AND(TRIM([1]DATABASE!Q1048)="DEED",[1]DATABASE!AA1048=""),"Deeded no PSPA Date",""),IF([1]DATABASE!E1048="","Missing Typology",""),IF([1]DATABASE!AJ1048="","Missing Development",""))</f>
        <v/>
      </c>
      <c r="F1087" s="82" t="str">
        <f>_xlfn.TEXTJOIN("; ",TRUE,IF(AND(OR(TRIM([1]DATABASE!Q1048)="RESERVED",TRIM([1]DATABASE!Q1048)="PRE-RESERVED",TRIM([1]DATABASE!Q1048)="PSPA"),[1]DATABASE!AA1048=""),"Reserved/PSPA no PSPA Date",""),IF(AND(TRIM([1]DATABASE!Q1048)="AVAILABLE",[1]DATABASE!AA1048&lt;&gt;""),"Available has PSPA Date",""))</f>
        <v/>
      </c>
      <c r="G1087" s="82" t="str">
        <f>_xlfn.TEXTJOIN("; ",TRUE,IF(AND([1]DATABASE!T1048&lt;0.8*[1]DATABASE!S1048,[1]DATABASE!T1048&gt;0,[1]DATABASE!S1048&gt;0),"Heavy Price Cut &gt;20%",""),IF(AND(OR(TRIM([1]DATABASE!Q1048)="AVAILABLE",TRIM([1]DATABASE!Q1048)="UPON REQUEST"),OR([1]DATABASE!T1048="",[1]DATABASE!T1048=0)),"Active Unit no Price",""),IF(AND(OR(TRIM([1]DATABASE!Q1048)="AVAILABLE",TRIM([1]DATABASE!Q1048)="RESERVED",TRIM([1]DATABASE!Q1048)="PRE-RESERVED",TRIM([1]DATABASE!Q1048)="PSPA"),[1]DATABASE!AC1048=""),"Active no Owner",""),IF(OR([1]DATABASE!F1048="",[1]DATABASE!F1048&lt;=0),"Missing/Invalid Area",""),IF(AND([1]DATABASE!T1048&gt;0,ABS([1]DATABASE!T1048-[1]DATABASE!W1048-[1]DATABASE!U1048-[1]DATABASE!V1048)&gt;1),"Price Bridge Mismatch",""))</f>
        <v/>
      </c>
      <c r="H1087" t="str">
        <f t="shared" si="19"/>
        <v>PASS</v>
      </c>
      <c r="I1087" s="90">
        <f>[1]DATABASE!T1048</f>
        <v>445000</v>
      </c>
      <c r="J1087" t="str">
        <f>[1]DATABASE!AC1048</f>
        <v>João Gameiro</v>
      </c>
    </row>
    <row r="1088" spans="1:10" ht="13.95" customHeight="1" x14ac:dyDescent="0.3">
      <c r="A1088">
        <f>ROW([1]DATABASE!A1049)</f>
        <v>1049</v>
      </c>
      <c r="B1088" t="str">
        <f>[1]DATABASE!AJ1049</f>
        <v>Nobilus</v>
      </c>
      <c r="C1088" t="str">
        <f>[1]DATABASE!C1049</f>
        <v>P</v>
      </c>
      <c r="D1088" t="str">
        <f>TRIM([1]DATABASE!Q1049)</f>
        <v>AVAILABLE</v>
      </c>
      <c r="E1088" s="82" t="str">
        <f>_xlfn.TEXTJOIN("; ",TRUE,IF([1]DATABASE!X1049&lt;0,"Negative Discount",""),IF(AND([1]DATABASE!Y1049&gt;[1]DATABASE!T1049,[1]DATABASE!Y1049&gt;0,[1]DATABASE!T1049&gt;0),"Sell Price &gt; Current",""),IF(AND(TRIM([1]DATABASE!Q1049)="DEED",[1]DATABASE!AA1049=""),"Deeded no PSPA Date",""),IF([1]DATABASE!E1049="","Missing Typology",""),IF([1]DATABASE!AJ1049="","Missing Development",""))</f>
        <v/>
      </c>
      <c r="F1088" s="82" t="str">
        <f>_xlfn.TEXTJOIN("; ",TRUE,IF(AND(OR(TRIM([1]DATABASE!Q1049)="RESERVED",TRIM([1]DATABASE!Q1049)="PRE-RESERVED",TRIM([1]DATABASE!Q1049)="PSPA"),[1]DATABASE!AA1049=""),"Reserved/PSPA no PSPA Date",""),IF(AND(TRIM([1]DATABASE!Q1049)="AVAILABLE",[1]DATABASE!AA1049&lt;&gt;""),"Available has PSPA Date",""))</f>
        <v/>
      </c>
      <c r="G1088" s="82" t="str">
        <f>_xlfn.TEXTJOIN("; ",TRUE,IF(AND([1]DATABASE!T1049&lt;0.8*[1]DATABASE!S1049,[1]DATABASE!T1049&gt;0,[1]DATABASE!S1049&gt;0),"Heavy Price Cut &gt;20%",""),IF(AND(OR(TRIM([1]DATABASE!Q1049)="AVAILABLE",TRIM([1]DATABASE!Q1049)="UPON REQUEST"),OR([1]DATABASE!T1049="",[1]DATABASE!T1049=0)),"Active Unit no Price",""),IF(AND(OR(TRIM([1]DATABASE!Q1049)="AVAILABLE",TRIM([1]DATABASE!Q1049)="RESERVED",TRIM([1]DATABASE!Q1049)="PRE-RESERVED",TRIM([1]DATABASE!Q1049)="PSPA"),[1]DATABASE!AC1049=""),"Active no Owner",""),IF(OR([1]DATABASE!F1049="",[1]DATABASE!F1049&lt;=0),"Missing/Invalid Area",""),IF(AND([1]DATABASE!T1049&gt;0,ABS([1]DATABASE!T1049-[1]DATABASE!W1049-[1]DATABASE!U1049-[1]DATABASE!V1049)&gt;1),"Price Bridge Mismatch",""))</f>
        <v/>
      </c>
      <c r="H1088" t="str">
        <f t="shared" si="19"/>
        <v>PASS</v>
      </c>
      <c r="I1088" s="90">
        <f>[1]DATABASE!T1049</f>
        <v>710000</v>
      </c>
      <c r="J1088" t="str">
        <f>[1]DATABASE!AC1049</f>
        <v>Ana Damásio</v>
      </c>
    </row>
    <row r="1089" spans="1:10" ht="13.95" customHeight="1" x14ac:dyDescent="0.3">
      <c r="A1089">
        <f>ROW([1]DATABASE!A1050)</f>
        <v>1050</v>
      </c>
      <c r="B1089" t="str">
        <f>[1]DATABASE!AJ1050</f>
        <v>Springs - At the Els</v>
      </c>
      <c r="C1089" t="str">
        <f>[1]DATABASE!C1050</f>
        <v>P</v>
      </c>
      <c r="D1089" t="str">
        <f>TRIM([1]DATABASE!Q1050)</f>
        <v>AVAILABLE</v>
      </c>
      <c r="E1089" s="82" t="str">
        <f>_xlfn.TEXTJOIN("; ",TRUE,IF([1]DATABASE!X1050&lt;0,"Negative Discount",""),IF(AND([1]DATABASE!Y1050&gt;[1]DATABASE!T1050,[1]DATABASE!Y1050&gt;0,[1]DATABASE!T1050&gt;0),"Sell Price &gt; Current",""),IF(AND(TRIM([1]DATABASE!Q1050)="DEED",[1]DATABASE!AA1050=""),"Deeded no PSPA Date",""),IF([1]DATABASE!E1050="","Missing Typology",""),IF([1]DATABASE!AJ1050="","Missing Development",""))</f>
        <v/>
      </c>
      <c r="F1089" s="82" t="str">
        <f>_xlfn.TEXTJOIN("; ",TRUE,IF(AND(OR(TRIM([1]DATABASE!Q1050)="RESERVED",TRIM([1]DATABASE!Q1050)="PRE-RESERVED",TRIM([1]DATABASE!Q1050)="PSPA"),[1]DATABASE!AA1050=""),"Reserved/PSPA no PSPA Date",""),IF(AND(TRIM([1]DATABASE!Q1050)="AVAILABLE",[1]DATABASE!AA1050&lt;&gt;""),"Available has PSPA Date",""))</f>
        <v/>
      </c>
      <c r="G1089" s="82" t="str">
        <f>_xlfn.TEXTJOIN("; ",TRUE,IF(AND([1]DATABASE!T1050&lt;0.8*[1]DATABASE!S1050,[1]DATABASE!T1050&gt;0,[1]DATABASE!S1050&gt;0),"Heavy Price Cut &gt;20%",""),IF(AND(OR(TRIM([1]DATABASE!Q1050)="AVAILABLE",TRIM([1]DATABASE!Q1050)="UPON REQUEST"),OR([1]DATABASE!T1050="",[1]DATABASE!T1050=0)),"Active Unit no Price",""),IF(AND(OR(TRIM([1]DATABASE!Q1050)="AVAILABLE",TRIM([1]DATABASE!Q1050)="RESERVED",TRIM([1]DATABASE!Q1050)="PRE-RESERVED",TRIM([1]DATABASE!Q1050)="PSPA"),[1]DATABASE!AC1050=""),"Active no Owner",""),IF(OR([1]DATABASE!F1050="",[1]DATABASE!F1050&lt;=0),"Missing/Invalid Area",""),IF(AND([1]DATABASE!T1050&gt;0,ABS([1]DATABASE!T1050-[1]DATABASE!W1050-[1]DATABASE!U1050-[1]DATABASE!V1050)&gt;1),"Price Bridge Mismatch",""))</f>
        <v/>
      </c>
      <c r="H1089" t="str">
        <f t="shared" si="19"/>
        <v>PASS</v>
      </c>
      <c r="I1089" s="90">
        <f>[1]DATABASE!T1050</f>
        <v>1980000</v>
      </c>
      <c r="J1089" t="str">
        <f>[1]DATABASE!AC1050</f>
        <v>Ana Damásio</v>
      </c>
    </row>
    <row r="1090" spans="1:10" ht="13.95" customHeight="1" x14ac:dyDescent="0.3">
      <c r="A1090">
        <f>ROW([1]DATABASE!A1051)</f>
        <v>1051</v>
      </c>
      <c r="B1090" t="str">
        <f>[1]DATABASE!AJ1051</f>
        <v>Monte Rei</v>
      </c>
      <c r="C1090" t="str">
        <f>[1]DATABASE!C1051</f>
        <v>1</v>
      </c>
      <c r="D1090" t="str">
        <f>TRIM([1]DATABASE!Q1051)</f>
        <v>AVAILABLE</v>
      </c>
      <c r="E1090" s="82" t="str">
        <f>_xlfn.TEXTJOIN("; ",TRUE,IF([1]DATABASE!X1051&lt;0,"Negative Discount",""),IF(AND([1]DATABASE!Y1051&gt;[1]DATABASE!T1051,[1]DATABASE!Y1051&gt;0,[1]DATABASE!T1051&gt;0),"Sell Price &gt; Current",""),IF(AND(TRIM([1]DATABASE!Q1051)="DEED",[1]DATABASE!AA1051=""),"Deeded no PSPA Date",""),IF([1]DATABASE!E1051="","Missing Typology",""),IF([1]DATABASE!AJ1051="","Missing Development",""))</f>
        <v/>
      </c>
      <c r="F1090" s="82" t="str">
        <f>_xlfn.TEXTJOIN("; ",TRUE,IF(AND(OR(TRIM([1]DATABASE!Q1051)="RESERVED",TRIM([1]DATABASE!Q1051)="PRE-RESERVED",TRIM([1]DATABASE!Q1051)="PSPA"),[1]DATABASE!AA1051=""),"Reserved/PSPA no PSPA Date",""),IF(AND(TRIM([1]DATABASE!Q1051)="AVAILABLE",[1]DATABASE!AA1051&lt;&gt;""),"Available has PSPA Date",""))</f>
        <v/>
      </c>
      <c r="G1090" s="82" t="str">
        <f>_xlfn.TEXTJOIN("; ",TRUE,IF(AND([1]DATABASE!T1051&lt;0.8*[1]DATABASE!S1051,[1]DATABASE!T1051&gt;0,[1]DATABASE!S1051&gt;0),"Heavy Price Cut &gt;20%",""),IF(AND(OR(TRIM([1]DATABASE!Q1051)="AVAILABLE",TRIM([1]DATABASE!Q1051)="UPON REQUEST"),OR([1]DATABASE!T1051="",[1]DATABASE!T1051=0)),"Active Unit no Price",""),IF(AND(OR(TRIM([1]DATABASE!Q1051)="AVAILABLE",TRIM([1]DATABASE!Q1051)="RESERVED",TRIM([1]DATABASE!Q1051)="PRE-RESERVED",TRIM([1]DATABASE!Q1051)="PSPA"),[1]DATABASE!AC1051=""),"Active no Owner",""),IF(OR([1]DATABASE!F1051="",[1]DATABASE!F1051&lt;=0),"Missing/Invalid Area",""),IF(AND([1]DATABASE!T1051&gt;0,ABS([1]DATABASE!T1051-[1]DATABASE!W1051-[1]DATABASE!U1051-[1]DATABASE!V1051)&gt;1),"Price Bridge Mismatch",""))</f>
        <v>Heavy Price Cut &gt;20%</v>
      </c>
      <c r="H1090" t="str">
        <f t="shared" si="19"/>
        <v>REVIEW</v>
      </c>
      <c r="I1090" s="90">
        <f>[1]DATABASE!T1051</f>
        <v>1560000</v>
      </c>
      <c r="J1090" t="str">
        <f>[1]DATABASE!AC1051</f>
        <v>Sandra Viegas</v>
      </c>
    </row>
    <row r="1091" spans="1:10" ht="13.95" customHeight="1" x14ac:dyDescent="0.3">
      <c r="A1091">
        <f>ROW([1]DATABASE!A1052)</f>
        <v>1052</v>
      </c>
      <c r="B1091" t="str">
        <f>[1]DATABASE!AJ1052</f>
        <v>Aroeira Collections</v>
      </c>
      <c r="C1091" t="str">
        <f>[1]DATABASE!C1052</f>
        <v>335A</v>
      </c>
      <c r="D1091" t="str">
        <f>TRIM([1]DATABASE!Q1052)</f>
        <v>AVAILABLE</v>
      </c>
      <c r="E1091" s="82" t="str">
        <f>_xlfn.TEXTJOIN("; ",TRUE,IF([1]DATABASE!X1052&lt;0,"Negative Discount",""),IF(AND([1]DATABASE!Y1052&gt;[1]DATABASE!T1052,[1]DATABASE!Y1052&gt;0,[1]DATABASE!T1052&gt;0),"Sell Price &gt; Current",""),IF(AND(TRIM([1]DATABASE!Q1052)="DEED",[1]DATABASE!AA1052=""),"Deeded no PSPA Date",""),IF([1]DATABASE!E1052="","Missing Typology",""),IF([1]DATABASE!AJ1052="","Missing Development",""))</f>
        <v/>
      </c>
      <c r="F1091" s="82" t="str">
        <f>_xlfn.TEXTJOIN("; ",TRUE,IF(AND(OR(TRIM([1]DATABASE!Q1052)="RESERVED",TRIM([1]DATABASE!Q1052)="PRE-RESERVED",TRIM([1]DATABASE!Q1052)="PSPA"),[1]DATABASE!AA1052=""),"Reserved/PSPA no PSPA Date",""),IF(AND(TRIM([1]DATABASE!Q1052)="AVAILABLE",[1]DATABASE!AA1052&lt;&gt;""),"Available has PSPA Date",""))</f>
        <v/>
      </c>
      <c r="G1091" s="82" t="str">
        <f>_xlfn.TEXTJOIN("; ",TRUE,IF(AND([1]DATABASE!T1052&lt;0.8*[1]DATABASE!S1052,[1]DATABASE!T1052&gt;0,[1]DATABASE!S1052&gt;0),"Heavy Price Cut &gt;20%",""),IF(AND(OR(TRIM([1]DATABASE!Q1052)="AVAILABLE",TRIM([1]DATABASE!Q1052)="UPON REQUEST"),OR([1]DATABASE!T1052="",[1]DATABASE!T1052=0)),"Active Unit no Price",""),IF(AND(OR(TRIM([1]DATABASE!Q1052)="AVAILABLE",TRIM([1]DATABASE!Q1052)="RESERVED",TRIM([1]DATABASE!Q1052)="PRE-RESERVED",TRIM([1]DATABASE!Q1052)="PSPA"),[1]DATABASE!AC1052=""),"Active no Owner",""),IF(OR([1]DATABASE!F1052="",[1]DATABASE!F1052&lt;=0),"Missing/Invalid Area",""),IF(AND([1]DATABASE!T1052&gt;0,ABS([1]DATABASE!T1052-[1]DATABASE!W1052-[1]DATABASE!U1052-[1]DATABASE!V1052)&gt;1),"Price Bridge Mismatch",""))</f>
        <v>Heavy Price Cut &gt;20%</v>
      </c>
      <c r="H1091" t="str">
        <f t="shared" si="19"/>
        <v>REVIEW</v>
      </c>
      <c r="I1091" s="90">
        <f>[1]DATABASE!T1052</f>
        <v>405000</v>
      </c>
      <c r="J1091" t="str">
        <f>[1]DATABASE!AC1052</f>
        <v>João Gameiro</v>
      </c>
    </row>
    <row r="1092" spans="1:10" ht="13.95" customHeight="1" x14ac:dyDescent="0.3">
      <c r="A1092">
        <f>ROW([1]DATABASE!A1053)</f>
        <v>1053</v>
      </c>
      <c r="B1092" t="str">
        <f>[1]DATABASE!AJ1053</f>
        <v>Aroeira Collections</v>
      </c>
      <c r="C1092" t="str">
        <f>[1]DATABASE!C1053</f>
        <v>336A</v>
      </c>
      <c r="D1092" t="str">
        <f>TRIM([1]DATABASE!Q1053)</f>
        <v>AVAILABLE</v>
      </c>
      <c r="E1092" s="82" t="str">
        <f>_xlfn.TEXTJOIN("; ",TRUE,IF([1]DATABASE!X1053&lt;0,"Negative Discount",""),IF(AND([1]DATABASE!Y1053&gt;[1]DATABASE!T1053,[1]DATABASE!Y1053&gt;0,[1]DATABASE!T1053&gt;0),"Sell Price &gt; Current",""),IF(AND(TRIM([1]DATABASE!Q1053)="DEED",[1]DATABASE!AA1053=""),"Deeded no PSPA Date",""),IF([1]DATABASE!E1053="","Missing Typology",""),IF([1]DATABASE!AJ1053="","Missing Development",""))</f>
        <v/>
      </c>
      <c r="F1092" s="82" t="str">
        <f>_xlfn.TEXTJOIN("; ",TRUE,IF(AND(OR(TRIM([1]DATABASE!Q1053)="RESERVED",TRIM([1]DATABASE!Q1053)="PRE-RESERVED",TRIM([1]DATABASE!Q1053)="PSPA"),[1]DATABASE!AA1053=""),"Reserved/PSPA no PSPA Date",""),IF(AND(TRIM([1]DATABASE!Q1053)="AVAILABLE",[1]DATABASE!AA1053&lt;&gt;""),"Available has PSPA Date",""))</f>
        <v/>
      </c>
      <c r="G1092" s="82" t="str">
        <f>_xlfn.TEXTJOIN("; ",TRUE,IF(AND([1]DATABASE!T1053&lt;0.8*[1]DATABASE!S1053,[1]DATABASE!T1053&gt;0,[1]DATABASE!S1053&gt;0),"Heavy Price Cut &gt;20%",""),IF(AND(OR(TRIM([1]DATABASE!Q1053)="AVAILABLE",TRIM([1]DATABASE!Q1053)="UPON REQUEST"),OR([1]DATABASE!T1053="",[1]DATABASE!T1053=0)),"Active Unit no Price",""),IF(AND(OR(TRIM([1]DATABASE!Q1053)="AVAILABLE",TRIM([1]DATABASE!Q1053)="RESERVED",TRIM([1]DATABASE!Q1053)="PRE-RESERVED",TRIM([1]DATABASE!Q1053)="PSPA"),[1]DATABASE!AC1053=""),"Active no Owner",""),IF(OR([1]DATABASE!F1053="",[1]DATABASE!F1053&lt;=0),"Missing/Invalid Area",""),IF(AND([1]DATABASE!T1053&gt;0,ABS([1]DATABASE!T1053-[1]DATABASE!W1053-[1]DATABASE!U1053-[1]DATABASE!V1053)&gt;1),"Price Bridge Mismatch",""))</f>
        <v>Heavy Price Cut &gt;20%</v>
      </c>
      <c r="H1092" t="str">
        <f t="shared" si="19"/>
        <v>REVIEW</v>
      </c>
      <c r="I1092" s="90">
        <f>[1]DATABASE!T1053</f>
        <v>405000</v>
      </c>
      <c r="J1092" t="str">
        <f>[1]DATABASE!AC1053</f>
        <v>João Gameiro</v>
      </c>
    </row>
    <row r="1093" spans="1:10" ht="13.95" customHeight="1" x14ac:dyDescent="0.3">
      <c r="A1093">
        <f>ROW([1]DATABASE!A1054)</f>
        <v>1054</v>
      </c>
      <c r="B1093" t="str">
        <f>[1]DATABASE!AJ1054</f>
        <v>Aroeira Collections</v>
      </c>
      <c r="C1093" t="str">
        <f>[1]DATABASE!C1054</f>
        <v>337A</v>
      </c>
      <c r="D1093" t="str">
        <f>TRIM([1]DATABASE!Q1054)</f>
        <v>AVAILABLE</v>
      </c>
      <c r="E1093" s="82" t="str">
        <f>_xlfn.TEXTJOIN("; ",TRUE,IF([1]DATABASE!X1054&lt;0,"Negative Discount",""),IF(AND([1]DATABASE!Y1054&gt;[1]DATABASE!T1054,[1]DATABASE!Y1054&gt;0,[1]DATABASE!T1054&gt;0),"Sell Price &gt; Current",""),IF(AND(TRIM([1]DATABASE!Q1054)="DEED",[1]DATABASE!AA1054=""),"Deeded no PSPA Date",""),IF([1]DATABASE!E1054="","Missing Typology",""),IF([1]DATABASE!AJ1054="","Missing Development",""))</f>
        <v/>
      </c>
      <c r="F1093" s="82" t="str">
        <f>_xlfn.TEXTJOIN("; ",TRUE,IF(AND(OR(TRIM([1]DATABASE!Q1054)="RESERVED",TRIM([1]DATABASE!Q1054)="PRE-RESERVED",TRIM([1]DATABASE!Q1054)="PSPA"),[1]DATABASE!AA1054=""),"Reserved/PSPA no PSPA Date",""),IF(AND(TRIM([1]DATABASE!Q1054)="AVAILABLE",[1]DATABASE!AA1054&lt;&gt;""),"Available has PSPA Date",""))</f>
        <v/>
      </c>
      <c r="G1093" s="82" t="str">
        <f>_xlfn.TEXTJOIN("; ",TRUE,IF(AND([1]DATABASE!T1054&lt;0.8*[1]DATABASE!S1054,[1]DATABASE!T1054&gt;0,[1]DATABASE!S1054&gt;0),"Heavy Price Cut &gt;20%",""),IF(AND(OR(TRIM([1]DATABASE!Q1054)="AVAILABLE",TRIM([1]DATABASE!Q1054)="UPON REQUEST"),OR([1]DATABASE!T1054="",[1]DATABASE!T1054=0)),"Active Unit no Price",""),IF(AND(OR(TRIM([1]DATABASE!Q1054)="AVAILABLE",TRIM([1]DATABASE!Q1054)="RESERVED",TRIM([1]DATABASE!Q1054)="PRE-RESERVED",TRIM([1]DATABASE!Q1054)="PSPA"),[1]DATABASE!AC1054=""),"Active no Owner",""),IF(OR([1]DATABASE!F1054="",[1]DATABASE!F1054&lt;=0),"Missing/Invalid Area",""),IF(AND([1]DATABASE!T1054&gt;0,ABS([1]DATABASE!T1054-[1]DATABASE!W1054-[1]DATABASE!U1054-[1]DATABASE!V1054)&gt;1),"Price Bridge Mismatch",""))</f>
        <v>Heavy Price Cut &gt;20%</v>
      </c>
      <c r="H1093" t="str">
        <f t="shared" si="19"/>
        <v>REVIEW</v>
      </c>
      <c r="I1093" s="90">
        <f>[1]DATABASE!T1054</f>
        <v>405000</v>
      </c>
      <c r="J1093" t="str">
        <f>[1]DATABASE!AC1054</f>
        <v>João Gameiro</v>
      </c>
    </row>
    <row r="1094" spans="1:10" ht="13.95" customHeight="1" x14ac:dyDescent="0.3">
      <c r="A1094">
        <f>ROW([1]DATABASE!A1055)</f>
        <v>1055</v>
      </c>
      <c r="B1094" t="str">
        <f>[1]DATABASE!AJ1055</f>
        <v>Aroeira Collections</v>
      </c>
      <c r="C1094" t="str">
        <f>[1]DATABASE!C1055</f>
        <v>338A</v>
      </c>
      <c r="D1094" t="str">
        <f>TRIM([1]DATABASE!Q1055)</f>
        <v>AVAILABLE</v>
      </c>
      <c r="E1094" s="82" t="str">
        <f>_xlfn.TEXTJOIN("; ",TRUE,IF([1]DATABASE!X1055&lt;0,"Negative Discount",""),IF(AND([1]DATABASE!Y1055&gt;[1]DATABASE!T1055,[1]DATABASE!Y1055&gt;0,[1]DATABASE!T1055&gt;0),"Sell Price &gt; Current",""),IF(AND(TRIM([1]DATABASE!Q1055)="DEED",[1]DATABASE!AA1055=""),"Deeded no PSPA Date",""),IF([1]DATABASE!E1055="","Missing Typology",""),IF([1]DATABASE!AJ1055="","Missing Development",""))</f>
        <v/>
      </c>
      <c r="F1094" s="82" t="str">
        <f>_xlfn.TEXTJOIN("; ",TRUE,IF(AND(OR(TRIM([1]DATABASE!Q1055)="RESERVED",TRIM([1]DATABASE!Q1055)="PRE-RESERVED",TRIM([1]DATABASE!Q1055)="PSPA"),[1]DATABASE!AA1055=""),"Reserved/PSPA no PSPA Date",""),IF(AND(TRIM([1]DATABASE!Q1055)="AVAILABLE",[1]DATABASE!AA1055&lt;&gt;""),"Available has PSPA Date",""))</f>
        <v/>
      </c>
      <c r="G1094" s="82" t="str">
        <f>_xlfn.TEXTJOIN("; ",TRUE,IF(AND([1]DATABASE!T1055&lt;0.8*[1]DATABASE!S1055,[1]DATABASE!T1055&gt;0,[1]DATABASE!S1055&gt;0),"Heavy Price Cut &gt;20%",""),IF(AND(OR(TRIM([1]DATABASE!Q1055)="AVAILABLE",TRIM([1]DATABASE!Q1055)="UPON REQUEST"),OR([1]DATABASE!T1055="",[1]DATABASE!T1055=0)),"Active Unit no Price",""),IF(AND(OR(TRIM([1]DATABASE!Q1055)="AVAILABLE",TRIM([1]DATABASE!Q1055)="RESERVED",TRIM([1]DATABASE!Q1055)="PRE-RESERVED",TRIM([1]DATABASE!Q1055)="PSPA"),[1]DATABASE!AC1055=""),"Active no Owner",""),IF(OR([1]DATABASE!F1055="",[1]DATABASE!F1055&lt;=0),"Missing/Invalid Area",""),IF(AND([1]DATABASE!T1055&gt;0,ABS([1]DATABASE!T1055-[1]DATABASE!W1055-[1]DATABASE!U1055-[1]DATABASE!V1055)&gt;1),"Price Bridge Mismatch",""))</f>
        <v/>
      </c>
      <c r="H1094" t="str">
        <f t="shared" si="19"/>
        <v>PASS</v>
      </c>
      <c r="I1094" s="90">
        <f>[1]DATABASE!T1055</f>
        <v>430000</v>
      </c>
      <c r="J1094" t="str">
        <f>[1]DATABASE!AC1055</f>
        <v>João Gameiro</v>
      </c>
    </row>
    <row r="1095" spans="1:10" ht="13.95" customHeight="1" x14ac:dyDescent="0.3">
      <c r="A1095">
        <f>ROW([1]DATABASE!A1056)</f>
        <v>1056</v>
      </c>
      <c r="B1095" t="str">
        <f>[1]DATABASE!AJ1056</f>
        <v>Palmares</v>
      </c>
      <c r="C1095" t="str">
        <f>[1]DATABASE!C1056</f>
        <v>35</v>
      </c>
      <c r="D1095" t="str">
        <f>TRIM([1]DATABASE!Q1056)</f>
        <v>AVAILABLE</v>
      </c>
      <c r="E1095" s="82" t="str">
        <f>_xlfn.TEXTJOIN("; ",TRUE,IF([1]DATABASE!X1056&lt;0,"Negative Discount",""),IF(AND([1]DATABASE!Y1056&gt;[1]DATABASE!T1056,[1]DATABASE!Y1056&gt;0,[1]DATABASE!T1056&gt;0),"Sell Price &gt; Current",""),IF(AND(TRIM([1]DATABASE!Q1056)="DEED",[1]DATABASE!AA1056=""),"Deeded no PSPA Date",""),IF([1]DATABASE!E1056="","Missing Typology",""),IF([1]DATABASE!AJ1056="","Missing Development",""))</f>
        <v/>
      </c>
      <c r="F1095" s="82" t="str">
        <f>_xlfn.TEXTJOIN("; ",TRUE,IF(AND(OR(TRIM([1]DATABASE!Q1056)="RESERVED",TRIM([1]DATABASE!Q1056)="PRE-RESERVED",TRIM([1]DATABASE!Q1056)="PSPA"),[1]DATABASE!AA1056=""),"Reserved/PSPA no PSPA Date",""),IF(AND(TRIM([1]DATABASE!Q1056)="AVAILABLE",[1]DATABASE!AA1056&lt;&gt;""),"Available has PSPA Date",""))</f>
        <v/>
      </c>
      <c r="G1095" s="82" t="str">
        <f>_xlfn.TEXTJOIN("; ",TRUE,IF(AND([1]DATABASE!T1056&lt;0.8*[1]DATABASE!S1056,[1]DATABASE!T1056&gt;0,[1]DATABASE!S1056&gt;0),"Heavy Price Cut &gt;20%",""),IF(AND(OR(TRIM([1]DATABASE!Q1056)="AVAILABLE",TRIM([1]DATABASE!Q1056)="UPON REQUEST"),OR([1]DATABASE!T1056="",[1]DATABASE!T1056=0)),"Active Unit no Price",""),IF(AND(OR(TRIM([1]DATABASE!Q1056)="AVAILABLE",TRIM([1]DATABASE!Q1056)="RESERVED",TRIM([1]DATABASE!Q1056)="PRE-RESERVED",TRIM([1]DATABASE!Q1056)="PSPA"),[1]DATABASE!AC1056=""),"Active no Owner",""),IF(OR([1]DATABASE!F1056="",[1]DATABASE!F1056&lt;=0),"Missing/Invalid Area",""),IF(AND([1]DATABASE!T1056&gt;0,ABS([1]DATABASE!T1056-[1]DATABASE!W1056-[1]DATABASE!U1056-[1]DATABASE!V1056)&gt;1),"Price Bridge Mismatch",""))</f>
        <v/>
      </c>
      <c r="H1095" t="str">
        <f t="shared" si="19"/>
        <v>PASS</v>
      </c>
      <c r="I1095" s="90">
        <f>[1]DATABASE!T1056</f>
        <v>1250000</v>
      </c>
      <c r="J1095" t="str">
        <f>[1]DATABASE!AC1056</f>
        <v>Sandra Viegas</v>
      </c>
    </row>
    <row r="1096" spans="1:10" ht="13.95" customHeight="1" x14ac:dyDescent="0.3">
      <c r="A1096">
        <f>ROW([1]DATABASE!A1057)</f>
        <v>1057</v>
      </c>
      <c r="B1096" t="str">
        <f>[1]DATABASE!AJ1057</f>
        <v>Palmares</v>
      </c>
      <c r="C1096" t="str">
        <f>[1]DATABASE!C1057</f>
        <v>837C</v>
      </c>
      <c r="D1096" t="str">
        <f>TRIM([1]DATABASE!Q1057)</f>
        <v>AVAILABLE</v>
      </c>
      <c r="E1096" s="82" t="str">
        <f>_xlfn.TEXTJOIN("; ",TRUE,IF([1]DATABASE!X1057&lt;0,"Negative Discount",""),IF(AND([1]DATABASE!Y1057&gt;[1]DATABASE!T1057,[1]DATABASE!Y1057&gt;0,[1]DATABASE!T1057&gt;0),"Sell Price &gt; Current",""),IF(AND(TRIM([1]DATABASE!Q1057)="DEED",[1]DATABASE!AA1057=""),"Deeded no PSPA Date",""),IF([1]DATABASE!E1057="","Missing Typology",""),IF([1]DATABASE!AJ1057="","Missing Development",""))</f>
        <v/>
      </c>
      <c r="F1096" s="82" t="str">
        <f>_xlfn.TEXTJOIN("; ",TRUE,IF(AND(OR(TRIM([1]DATABASE!Q1057)="RESERVED",TRIM([1]DATABASE!Q1057)="PRE-RESERVED",TRIM([1]DATABASE!Q1057)="PSPA"),[1]DATABASE!AA1057=""),"Reserved/PSPA no PSPA Date",""),IF(AND(TRIM([1]DATABASE!Q1057)="AVAILABLE",[1]DATABASE!AA1057&lt;&gt;""),"Available has PSPA Date",""))</f>
        <v/>
      </c>
      <c r="G1096" s="82" t="str">
        <f>_xlfn.TEXTJOIN("; ",TRUE,IF(AND([1]DATABASE!T1057&lt;0.8*[1]DATABASE!S1057,[1]DATABASE!T1057&gt;0,[1]DATABASE!S1057&gt;0),"Heavy Price Cut &gt;20%",""),IF(AND(OR(TRIM([1]DATABASE!Q1057)="AVAILABLE",TRIM([1]DATABASE!Q1057)="UPON REQUEST"),OR([1]DATABASE!T1057="",[1]DATABASE!T1057=0)),"Active Unit no Price",""),IF(AND(OR(TRIM([1]DATABASE!Q1057)="AVAILABLE",TRIM([1]DATABASE!Q1057)="RESERVED",TRIM([1]DATABASE!Q1057)="PRE-RESERVED",TRIM([1]DATABASE!Q1057)="PSPA"),[1]DATABASE!AC1057=""),"Active no Owner",""),IF(OR([1]DATABASE!F1057="",[1]DATABASE!F1057&lt;=0),"Missing/Invalid Area",""),IF(AND([1]DATABASE!T1057&gt;0,ABS([1]DATABASE!T1057-[1]DATABASE!W1057-[1]DATABASE!U1057-[1]DATABASE!V1057)&gt;1),"Price Bridge Mismatch",""))</f>
        <v>Active no Owner</v>
      </c>
      <c r="H1096" t="str">
        <f t="shared" si="19"/>
        <v>REVIEW</v>
      </c>
      <c r="I1096" s="90">
        <f>[1]DATABASE!T1057</f>
        <v>600000</v>
      </c>
      <c r="J1096">
        <f>[1]DATABASE!AC1057</f>
        <v>0</v>
      </c>
    </row>
    <row r="1097" spans="1:10" ht="13.95" customHeight="1" x14ac:dyDescent="0.3">
      <c r="A1097">
        <f>ROW([1]DATABASE!A1058)</f>
        <v>1058</v>
      </c>
      <c r="B1097" t="str">
        <f>[1]DATABASE!AJ1058</f>
        <v>Aroeira Collections</v>
      </c>
      <c r="C1097" t="str">
        <f>[1]DATABASE!C1058</f>
        <v>339A</v>
      </c>
      <c r="D1097" t="str">
        <f>TRIM([1]DATABASE!Q1058)</f>
        <v>AVAILABLE</v>
      </c>
      <c r="E1097" s="82" t="str">
        <f>_xlfn.TEXTJOIN("; ",TRUE,IF([1]DATABASE!X1058&lt;0,"Negative Discount",""),IF(AND([1]DATABASE!Y1058&gt;[1]DATABASE!T1058,[1]DATABASE!Y1058&gt;0,[1]DATABASE!T1058&gt;0),"Sell Price &gt; Current",""),IF(AND(TRIM([1]DATABASE!Q1058)="DEED",[1]DATABASE!AA1058=""),"Deeded no PSPA Date",""),IF([1]DATABASE!E1058="","Missing Typology",""),IF([1]DATABASE!AJ1058="","Missing Development",""))</f>
        <v/>
      </c>
      <c r="F1097" s="82" t="str">
        <f>_xlfn.TEXTJOIN("; ",TRUE,IF(AND(OR(TRIM([1]DATABASE!Q1058)="RESERVED",TRIM([1]DATABASE!Q1058)="PRE-RESERVED",TRIM([1]DATABASE!Q1058)="PSPA"),[1]DATABASE!AA1058=""),"Reserved/PSPA no PSPA Date",""),IF(AND(TRIM([1]DATABASE!Q1058)="AVAILABLE",[1]DATABASE!AA1058&lt;&gt;""),"Available has PSPA Date",""))</f>
        <v/>
      </c>
      <c r="G1097" s="82" t="str">
        <f>_xlfn.TEXTJOIN("; ",TRUE,IF(AND([1]DATABASE!T1058&lt;0.8*[1]DATABASE!S1058,[1]DATABASE!T1058&gt;0,[1]DATABASE!S1058&gt;0),"Heavy Price Cut &gt;20%",""),IF(AND(OR(TRIM([1]DATABASE!Q1058)="AVAILABLE",TRIM([1]DATABASE!Q1058)="UPON REQUEST"),OR([1]DATABASE!T1058="",[1]DATABASE!T1058=0)),"Active Unit no Price",""),IF(AND(OR(TRIM([1]DATABASE!Q1058)="AVAILABLE",TRIM([1]DATABASE!Q1058)="RESERVED",TRIM([1]DATABASE!Q1058)="PRE-RESERVED",TRIM([1]DATABASE!Q1058)="PSPA"),[1]DATABASE!AC1058=""),"Active no Owner",""),IF(OR([1]DATABASE!F1058="",[1]DATABASE!F1058&lt;=0),"Missing/Invalid Area",""),IF(AND([1]DATABASE!T1058&gt;0,ABS([1]DATABASE!T1058-[1]DATABASE!W1058-[1]DATABASE!U1058-[1]DATABASE!V1058)&gt;1),"Price Bridge Mismatch",""))</f>
        <v/>
      </c>
      <c r="H1097" t="str">
        <f t="shared" si="19"/>
        <v>PASS</v>
      </c>
      <c r="I1097" s="90">
        <f>[1]DATABASE!T1058</f>
        <v>430000</v>
      </c>
      <c r="J1097" t="str">
        <f>[1]DATABASE!AC1058</f>
        <v>João Gameiro</v>
      </c>
    </row>
    <row r="1098" spans="1:10" ht="13.95" customHeight="1" x14ac:dyDescent="0.3">
      <c r="A1098">
        <f>ROW([1]DATABASE!A1059)</f>
        <v>1059</v>
      </c>
      <c r="B1098" t="str">
        <f>[1]DATABASE!AJ1059</f>
        <v>Palmares</v>
      </c>
      <c r="C1098" t="str">
        <f>[1]DATABASE!C1059</f>
        <v>838C</v>
      </c>
      <c r="D1098" t="str">
        <f>TRIM([1]DATABASE!Q1059)</f>
        <v>AVAILABLE</v>
      </c>
      <c r="E1098" s="82" t="str">
        <f>_xlfn.TEXTJOIN("; ",TRUE,IF([1]DATABASE!X1059&lt;0,"Negative Discount",""),IF(AND([1]DATABASE!Y1059&gt;[1]DATABASE!T1059,[1]DATABASE!Y1059&gt;0,[1]DATABASE!T1059&gt;0),"Sell Price &gt; Current",""),IF(AND(TRIM([1]DATABASE!Q1059)="DEED",[1]DATABASE!AA1059=""),"Deeded no PSPA Date",""),IF([1]DATABASE!E1059="","Missing Typology",""),IF([1]DATABASE!AJ1059="","Missing Development",""))</f>
        <v/>
      </c>
      <c r="F1098" s="82" t="str">
        <f>_xlfn.TEXTJOIN("; ",TRUE,IF(AND(OR(TRIM([1]DATABASE!Q1059)="RESERVED",TRIM([1]DATABASE!Q1059)="PRE-RESERVED",TRIM([1]DATABASE!Q1059)="PSPA"),[1]DATABASE!AA1059=""),"Reserved/PSPA no PSPA Date",""),IF(AND(TRIM([1]DATABASE!Q1059)="AVAILABLE",[1]DATABASE!AA1059&lt;&gt;""),"Available has PSPA Date",""))</f>
        <v/>
      </c>
      <c r="G1098" s="82" t="str">
        <f>_xlfn.TEXTJOIN("; ",TRUE,IF(AND([1]DATABASE!T1059&lt;0.8*[1]DATABASE!S1059,[1]DATABASE!T1059&gt;0,[1]DATABASE!S1059&gt;0),"Heavy Price Cut &gt;20%",""),IF(AND(OR(TRIM([1]DATABASE!Q1059)="AVAILABLE",TRIM([1]DATABASE!Q1059)="UPON REQUEST"),OR([1]DATABASE!T1059="",[1]DATABASE!T1059=0)),"Active Unit no Price",""),IF(AND(OR(TRIM([1]DATABASE!Q1059)="AVAILABLE",TRIM([1]DATABASE!Q1059)="RESERVED",TRIM([1]DATABASE!Q1059)="PRE-RESERVED",TRIM([1]DATABASE!Q1059)="PSPA"),[1]DATABASE!AC1059=""),"Active no Owner",""),IF(OR([1]DATABASE!F1059="",[1]DATABASE!F1059&lt;=0),"Missing/Invalid Area",""),IF(AND([1]DATABASE!T1059&gt;0,ABS([1]DATABASE!T1059-[1]DATABASE!W1059-[1]DATABASE!U1059-[1]DATABASE!V1059)&gt;1),"Price Bridge Mismatch",""))</f>
        <v>Active no Owner</v>
      </c>
      <c r="H1098" t="str">
        <f t="shared" si="19"/>
        <v>REVIEW</v>
      </c>
      <c r="I1098" s="90">
        <f>[1]DATABASE!T1059</f>
        <v>600000</v>
      </c>
      <c r="J1098">
        <f>[1]DATABASE!AC1059</f>
        <v>0</v>
      </c>
    </row>
    <row r="1099" spans="1:10" ht="13.95" customHeight="1" x14ac:dyDescent="0.3">
      <c r="A1099">
        <f>ROW([1]DATABASE!A1060)</f>
        <v>1060</v>
      </c>
      <c r="B1099" t="str">
        <f>[1]DATABASE!AJ1060</f>
        <v>Palmares</v>
      </c>
      <c r="C1099" t="str">
        <f>[1]DATABASE!C1060</f>
        <v>839C</v>
      </c>
      <c r="D1099" t="str">
        <f>TRIM([1]DATABASE!Q1060)</f>
        <v>AVAILABLE</v>
      </c>
      <c r="E1099" s="82" t="str">
        <f>_xlfn.TEXTJOIN("; ",TRUE,IF([1]DATABASE!X1060&lt;0,"Negative Discount",""),IF(AND([1]DATABASE!Y1060&gt;[1]DATABASE!T1060,[1]DATABASE!Y1060&gt;0,[1]DATABASE!T1060&gt;0),"Sell Price &gt; Current",""),IF(AND(TRIM([1]DATABASE!Q1060)="DEED",[1]DATABASE!AA1060=""),"Deeded no PSPA Date",""),IF([1]DATABASE!E1060="","Missing Typology",""),IF([1]DATABASE!AJ1060="","Missing Development",""))</f>
        <v/>
      </c>
      <c r="F1099" s="82" t="str">
        <f>_xlfn.TEXTJOIN("; ",TRUE,IF(AND(OR(TRIM([1]DATABASE!Q1060)="RESERVED",TRIM([1]DATABASE!Q1060)="PRE-RESERVED",TRIM([1]DATABASE!Q1060)="PSPA"),[1]DATABASE!AA1060=""),"Reserved/PSPA no PSPA Date",""),IF(AND(TRIM([1]DATABASE!Q1060)="AVAILABLE",[1]DATABASE!AA1060&lt;&gt;""),"Available has PSPA Date",""))</f>
        <v/>
      </c>
      <c r="G1099" s="82" t="str">
        <f>_xlfn.TEXTJOIN("; ",TRUE,IF(AND([1]DATABASE!T1060&lt;0.8*[1]DATABASE!S1060,[1]DATABASE!T1060&gt;0,[1]DATABASE!S1060&gt;0),"Heavy Price Cut &gt;20%",""),IF(AND(OR(TRIM([1]DATABASE!Q1060)="AVAILABLE",TRIM([1]DATABASE!Q1060)="UPON REQUEST"),OR([1]DATABASE!T1060="",[1]DATABASE!T1060=0)),"Active Unit no Price",""),IF(AND(OR(TRIM([1]DATABASE!Q1060)="AVAILABLE",TRIM([1]DATABASE!Q1060)="RESERVED",TRIM([1]DATABASE!Q1060)="PRE-RESERVED",TRIM([1]DATABASE!Q1060)="PSPA"),[1]DATABASE!AC1060=""),"Active no Owner",""),IF(OR([1]DATABASE!F1060="",[1]DATABASE!F1060&lt;=0),"Missing/Invalid Area",""),IF(AND([1]DATABASE!T1060&gt;0,ABS([1]DATABASE!T1060-[1]DATABASE!W1060-[1]DATABASE!U1060-[1]DATABASE!V1060)&gt;1),"Price Bridge Mismatch",""))</f>
        <v>Active no Owner</v>
      </c>
      <c r="H1099" t="str">
        <f t="shared" si="19"/>
        <v>REVIEW</v>
      </c>
      <c r="I1099" s="90">
        <f>[1]DATABASE!T1060</f>
        <v>600000</v>
      </c>
      <c r="J1099">
        <f>[1]DATABASE!AC1060</f>
        <v>0</v>
      </c>
    </row>
    <row r="1100" spans="1:10" ht="13.95" customHeight="1" x14ac:dyDescent="0.3">
      <c r="A1100">
        <f>ROW([1]DATABASE!A1061)</f>
        <v>1061</v>
      </c>
      <c r="B1100" t="str">
        <f>[1]DATABASE!AJ1061</f>
        <v>Palmares</v>
      </c>
      <c r="C1100" t="str">
        <f>[1]DATABASE!C1061</f>
        <v>840C</v>
      </c>
      <c r="D1100" t="str">
        <f>TRIM([1]DATABASE!Q1061)</f>
        <v>AVAILABLE</v>
      </c>
      <c r="E1100" s="82" t="str">
        <f>_xlfn.TEXTJOIN("; ",TRUE,IF([1]DATABASE!X1061&lt;0,"Negative Discount",""),IF(AND([1]DATABASE!Y1061&gt;[1]DATABASE!T1061,[1]DATABASE!Y1061&gt;0,[1]DATABASE!T1061&gt;0),"Sell Price &gt; Current",""),IF(AND(TRIM([1]DATABASE!Q1061)="DEED",[1]DATABASE!AA1061=""),"Deeded no PSPA Date",""),IF([1]DATABASE!E1061="","Missing Typology",""),IF([1]DATABASE!AJ1061="","Missing Development",""))</f>
        <v/>
      </c>
      <c r="F1100" s="82" t="str">
        <f>_xlfn.TEXTJOIN("; ",TRUE,IF(AND(OR(TRIM([1]DATABASE!Q1061)="RESERVED",TRIM([1]DATABASE!Q1061)="PRE-RESERVED",TRIM([1]DATABASE!Q1061)="PSPA"),[1]DATABASE!AA1061=""),"Reserved/PSPA no PSPA Date",""),IF(AND(TRIM([1]DATABASE!Q1061)="AVAILABLE",[1]DATABASE!AA1061&lt;&gt;""),"Available has PSPA Date",""))</f>
        <v/>
      </c>
      <c r="G1100" s="82" t="str">
        <f>_xlfn.TEXTJOIN("; ",TRUE,IF(AND([1]DATABASE!T1061&lt;0.8*[1]DATABASE!S1061,[1]DATABASE!T1061&gt;0,[1]DATABASE!S1061&gt;0),"Heavy Price Cut &gt;20%",""),IF(AND(OR(TRIM([1]DATABASE!Q1061)="AVAILABLE",TRIM([1]DATABASE!Q1061)="UPON REQUEST"),OR([1]DATABASE!T1061="",[1]DATABASE!T1061=0)),"Active Unit no Price",""),IF(AND(OR(TRIM([1]DATABASE!Q1061)="AVAILABLE",TRIM([1]DATABASE!Q1061)="RESERVED",TRIM([1]DATABASE!Q1061)="PRE-RESERVED",TRIM([1]DATABASE!Q1061)="PSPA"),[1]DATABASE!AC1061=""),"Active no Owner",""),IF(OR([1]DATABASE!F1061="",[1]DATABASE!F1061&lt;=0),"Missing/Invalid Area",""),IF(AND([1]DATABASE!T1061&gt;0,ABS([1]DATABASE!T1061-[1]DATABASE!W1061-[1]DATABASE!U1061-[1]DATABASE!V1061)&gt;1),"Price Bridge Mismatch",""))</f>
        <v>Active no Owner</v>
      </c>
      <c r="H1100" t="str">
        <f t="shared" si="19"/>
        <v>REVIEW</v>
      </c>
      <c r="I1100" s="90">
        <f>[1]DATABASE!T1061</f>
        <v>600000</v>
      </c>
      <c r="J1100">
        <f>[1]DATABASE!AC1061</f>
        <v>0</v>
      </c>
    </row>
    <row r="1101" spans="1:10" ht="13.95" customHeight="1" x14ac:dyDescent="0.3">
      <c r="A1101">
        <f>ROW([1]DATABASE!A1062)</f>
        <v>1062</v>
      </c>
      <c r="B1101" t="str">
        <f>[1]DATABASE!AJ1062</f>
        <v>Botanica</v>
      </c>
      <c r="C1101" t="str">
        <f>[1]DATABASE!C1062</f>
        <v>Q</v>
      </c>
      <c r="D1101" t="str">
        <f>TRIM([1]DATABASE!Q1062)</f>
        <v>AVAILABLE</v>
      </c>
      <c r="E1101" s="82" t="str">
        <f>_xlfn.TEXTJOIN("; ",TRUE,IF([1]DATABASE!X1062&lt;0,"Negative Discount",""),IF(AND([1]DATABASE!Y1062&gt;[1]DATABASE!T1062,[1]DATABASE!Y1062&gt;0,[1]DATABASE!T1062&gt;0),"Sell Price &gt; Current",""),IF(AND(TRIM([1]DATABASE!Q1062)="DEED",[1]DATABASE!AA1062=""),"Deeded no PSPA Date",""),IF([1]DATABASE!E1062="","Missing Typology",""),IF([1]DATABASE!AJ1062="","Missing Development",""))</f>
        <v/>
      </c>
      <c r="F1101" s="82" t="str">
        <f>_xlfn.TEXTJOIN("; ",TRUE,IF(AND(OR(TRIM([1]DATABASE!Q1062)="RESERVED",TRIM([1]DATABASE!Q1062)="PRE-RESERVED",TRIM([1]DATABASE!Q1062)="PSPA"),[1]DATABASE!AA1062=""),"Reserved/PSPA no PSPA Date",""),IF(AND(TRIM([1]DATABASE!Q1062)="AVAILABLE",[1]DATABASE!AA1062&lt;&gt;""),"Available has PSPA Date",""))</f>
        <v/>
      </c>
      <c r="G1101" s="82" t="str">
        <f>_xlfn.TEXTJOIN("; ",TRUE,IF(AND([1]DATABASE!T1062&lt;0.8*[1]DATABASE!S1062,[1]DATABASE!T1062&gt;0,[1]DATABASE!S1062&gt;0),"Heavy Price Cut &gt;20%",""),IF(AND(OR(TRIM([1]DATABASE!Q1062)="AVAILABLE",TRIM([1]DATABASE!Q1062)="UPON REQUEST"),OR([1]DATABASE!T1062="",[1]DATABASE!T1062=0)),"Active Unit no Price",""),IF(AND(OR(TRIM([1]DATABASE!Q1062)="AVAILABLE",TRIM([1]DATABASE!Q1062)="RESERVED",TRIM([1]DATABASE!Q1062)="PRE-RESERVED",TRIM([1]DATABASE!Q1062)="PSPA"),[1]DATABASE!AC1062=""),"Active no Owner",""),IF(OR([1]DATABASE!F1062="",[1]DATABASE!F1062&lt;=0),"Missing/Invalid Area",""),IF(AND([1]DATABASE!T1062&gt;0,ABS([1]DATABASE!T1062-[1]DATABASE!W1062-[1]DATABASE!U1062-[1]DATABASE!V1062)&gt;1),"Price Bridge Mismatch",""))</f>
        <v/>
      </c>
      <c r="H1101" t="str">
        <f t="shared" si="19"/>
        <v>PASS</v>
      </c>
      <c r="I1101" s="90">
        <f>[1]DATABASE!T1062</f>
        <v>1075000</v>
      </c>
      <c r="J1101" t="str">
        <f>[1]DATABASE!AC1062</f>
        <v>Ana Damásio</v>
      </c>
    </row>
    <row r="1102" spans="1:10" ht="13.95" customHeight="1" x14ac:dyDescent="0.3">
      <c r="A1102">
        <f>ROW([1]DATABASE!A1063)</f>
        <v>1063</v>
      </c>
      <c r="B1102" t="str">
        <f>[1]DATABASE!AJ1063</f>
        <v>Monte Rei</v>
      </c>
      <c r="C1102" t="str">
        <f>[1]DATABASE!C1063</f>
        <v>25/26</v>
      </c>
      <c r="D1102" t="str">
        <f>TRIM([1]DATABASE!Q1063)</f>
        <v>AVAILABLE</v>
      </c>
      <c r="E1102" s="82" t="str">
        <f>_xlfn.TEXTJOIN("; ",TRUE,IF([1]DATABASE!X1063&lt;0,"Negative Discount",""),IF(AND([1]DATABASE!Y1063&gt;[1]DATABASE!T1063,[1]DATABASE!Y1063&gt;0,[1]DATABASE!T1063&gt;0),"Sell Price &gt; Current",""),IF(AND(TRIM([1]DATABASE!Q1063)="DEED",[1]DATABASE!AA1063=""),"Deeded no PSPA Date",""),IF([1]DATABASE!E1063="","Missing Typology",""),IF([1]DATABASE!AJ1063="","Missing Development",""))</f>
        <v/>
      </c>
      <c r="F1102" s="82" t="str">
        <f>_xlfn.TEXTJOIN("; ",TRUE,IF(AND(OR(TRIM([1]DATABASE!Q1063)="RESERVED",TRIM([1]DATABASE!Q1063)="PRE-RESERVED",TRIM([1]DATABASE!Q1063)="PSPA"),[1]DATABASE!AA1063=""),"Reserved/PSPA no PSPA Date",""),IF(AND(TRIM([1]DATABASE!Q1063)="AVAILABLE",[1]DATABASE!AA1063&lt;&gt;""),"Available has PSPA Date",""))</f>
        <v/>
      </c>
      <c r="G1102" s="82" t="str">
        <f>_xlfn.TEXTJOIN("; ",TRUE,IF(AND([1]DATABASE!T1063&lt;0.8*[1]DATABASE!S1063,[1]DATABASE!T1063&gt;0,[1]DATABASE!S1063&gt;0),"Heavy Price Cut &gt;20%",""),IF(AND(OR(TRIM([1]DATABASE!Q1063)="AVAILABLE",TRIM([1]DATABASE!Q1063)="UPON REQUEST"),OR([1]DATABASE!T1063="",[1]DATABASE!T1063=0)),"Active Unit no Price",""),IF(AND(OR(TRIM([1]DATABASE!Q1063)="AVAILABLE",TRIM([1]DATABASE!Q1063)="RESERVED",TRIM([1]DATABASE!Q1063)="PRE-RESERVED",TRIM([1]DATABASE!Q1063)="PSPA"),[1]DATABASE!AC1063=""),"Active no Owner",""),IF(OR([1]DATABASE!F1063="",[1]DATABASE!F1063&lt;=0),"Missing/Invalid Area",""),IF(AND([1]DATABASE!T1063&gt;0,ABS([1]DATABASE!T1063-[1]DATABASE!W1063-[1]DATABASE!U1063-[1]DATABASE!V1063)&gt;1),"Price Bridge Mismatch",""))</f>
        <v/>
      </c>
      <c r="H1102" t="str">
        <f t="shared" si="19"/>
        <v>PASS</v>
      </c>
      <c r="I1102" s="90">
        <f>[1]DATABASE!T1063</f>
        <v>1790000</v>
      </c>
      <c r="J1102" t="str">
        <f>[1]DATABASE!AC1063</f>
        <v>Sandra Viegas</v>
      </c>
    </row>
    <row r="1103" spans="1:10" ht="13.95" customHeight="1" x14ac:dyDescent="0.3">
      <c r="A1103">
        <f>ROW([1]DATABASE!A1064)</f>
        <v>1064</v>
      </c>
      <c r="B1103" t="str">
        <f>[1]DATABASE!AJ1064</f>
        <v>Nobilus</v>
      </c>
      <c r="C1103" t="str">
        <f>[1]DATABASE!C1064</f>
        <v>Q</v>
      </c>
      <c r="D1103" t="str">
        <f>TRIM([1]DATABASE!Q1064)</f>
        <v>AVAILABLE</v>
      </c>
      <c r="E1103" s="82" t="str">
        <f>_xlfn.TEXTJOIN("; ",TRUE,IF([1]DATABASE!X1064&lt;0,"Negative Discount",""),IF(AND([1]DATABASE!Y1064&gt;[1]DATABASE!T1064,[1]DATABASE!Y1064&gt;0,[1]DATABASE!T1064&gt;0),"Sell Price &gt; Current",""),IF(AND(TRIM([1]DATABASE!Q1064)="DEED",[1]DATABASE!AA1064=""),"Deeded no PSPA Date",""),IF([1]DATABASE!E1064="","Missing Typology",""),IF([1]DATABASE!AJ1064="","Missing Development",""))</f>
        <v/>
      </c>
      <c r="F1103" s="82" t="str">
        <f>_xlfn.TEXTJOIN("; ",TRUE,IF(AND(OR(TRIM([1]DATABASE!Q1064)="RESERVED",TRIM([1]DATABASE!Q1064)="PRE-RESERVED",TRIM([1]DATABASE!Q1064)="PSPA"),[1]DATABASE!AA1064=""),"Reserved/PSPA no PSPA Date",""),IF(AND(TRIM([1]DATABASE!Q1064)="AVAILABLE",[1]DATABASE!AA1064&lt;&gt;""),"Available has PSPA Date",""))</f>
        <v/>
      </c>
      <c r="G1103" s="82" t="str">
        <f>_xlfn.TEXTJOIN("; ",TRUE,IF(AND([1]DATABASE!T1064&lt;0.8*[1]DATABASE!S1064,[1]DATABASE!T1064&gt;0,[1]DATABASE!S1064&gt;0),"Heavy Price Cut &gt;20%",""),IF(AND(OR(TRIM([1]DATABASE!Q1064)="AVAILABLE",TRIM([1]DATABASE!Q1064)="UPON REQUEST"),OR([1]DATABASE!T1064="",[1]DATABASE!T1064=0)),"Active Unit no Price",""),IF(AND(OR(TRIM([1]DATABASE!Q1064)="AVAILABLE",TRIM([1]DATABASE!Q1064)="RESERVED",TRIM([1]DATABASE!Q1064)="PRE-RESERVED",TRIM([1]DATABASE!Q1064)="PSPA"),[1]DATABASE!AC1064=""),"Active no Owner",""),IF(OR([1]DATABASE!F1064="",[1]DATABASE!F1064&lt;=0),"Missing/Invalid Area",""),IF(AND([1]DATABASE!T1064&gt;0,ABS([1]DATABASE!T1064-[1]DATABASE!W1064-[1]DATABASE!U1064-[1]DATABASE!V1064)&gt;1),"Price Bridge Mismatch",""))</f>
        <v/>
      </c>
      <c r="H1103" t="str">
        <f t="shared" si="19"/>
        <v>PASS</v>
      </c>
      <c r="I1103" s="90">
        <f>[1]DATABASE!T1064</f>
        <v>995000</v>
      </c>
      <c r="J1103" t="str">
        <f>[1]DATABASE!AC1064</f>
        <v>Ana Damásio</v>
      </c>
    </row>
    <row r="1104" spans="1:10" ht="13.95" customHeight="1" x14ac:dyDescent="0.3">
      <c r="A1104">
        <f>ROW([1]DATABASE!A1065)</f>
        <v>1065</v>
      </c>
      <c r="B1104" t="str">
        <f>[1]DATABASE!AJ1065</f>
        <v>Springs - At the Els</v>
      </c>
      <c r="C1104" t="str">
        <f>[1]DATABASE!C1065</f>
        <v>Q</v>
      </c>
      <c r="D1104" t="str">
        <f>TRIM([1]DATABASE!Q1065)</f>
        <v>AVAILABLE</v>
      </c>
      <c r="E1104" s="82" t="str">
        <f>_xlfn.TEXTJOIN("; ",TRUE,IF([1]DATABASE!X1065&lt;0,"Negative Discount",""),IF(AND([1]DATABASE!Y1065&gt;[1]DATABASE!T1065,[1]DATABASE!Y1065&gt;0,[1]DATABASE!T1065&gt;0),"Sell Price &gt; Current",""),IF(AND(TRIM([1]DATABASE!Q1065)="DEED",[1]DATABASE!AA1065=""),"Deeded no PSPA Date",""),IF([1]DATABASE!E1065="","Missing Typology",""),IF([1]DATABASE!AJ1065="","Missing Development",""))</f>
        <v/>
      </c>
      <c r="F1104" s="82" t="str">
        <f>_xlfn.TEXTJOIN("; ",TRUE,IF(AND(OR(TRIM([1]DATABASE!Q1065)="RESERVED",TRIM([1]DATABASE!Q1065)="PRE-RESERVED",TRIM([1]DATABASE!Q1065)="PSPA"),[1]DATABASE!AA1065=""),"Reserved/PSPA no PSPA Date",""),IF(AND(TRIM([1]DATABASE!Q1065)="AVAILABLE",[1]DATABASE!AA1065&lt;&gt;""),"Available has PSPA Date",""))</f>
        <v/>
      </c>
      <c r="G1104" s="82" t="str">
        <f>_xlfn.TEXTJOIN("; ",TRUE,IF(AND([1]DATABASE!T1065&lt;0.8*[1]DATABASE!S1065,[1]DATABASE!T1065&gt;0,[1]DATABASE!S1065&gt;0),"Heavy Price Cut &gt;20%",""),IF(AND(OR(TRIM([1]DATABASE!Q1065)="AVAILABLE",TRIM([1]DATABASE!Q1065)="UPON REQUEST"),OR([1]DATABASE!T1065="",[1]DATABASE!T1065=0)),"Active Unit no Price",""),IF(AND(OR(TRIM([1]DATABASE!Q1065)="AVAILABLE",TRIM([1]DATABASE!Q1065)="RESERVED",TRIM([1]DATABASE!Q1065)="PRE-RESERVED",TRIM([1]DATABASE!Q1065)="PSPA"),[1]DATABASE!AC1065=""),"Active no Owner",""),IF(OR([1]DATABASE!F1065="",[1]DATABASE!F1065&lt;=0),"Missing/Invalid Area",""),IF(AND([1]DATABASE!T1065&gt;0,ABS([1]DATABASE!T1065-[1]DATABASE!W1065-[1]DATABASE!U1065-[1]DATABASE!V1065)&gt;1),"Price Bridge Mismatch",""))</f>
        <v/>
      </c>
      <c r="H1104" t="str">
        <f t="shared" si="19"/>
        <v>PASS</v>
      </c>
      <c r="I1104" s="90">
        <f>[1]DATABASE!T1065</f>
        <v>1630000</v>
      </c>
      <c r="J1104" t="str">
        <f>[1]DATABASE!AC1065</f>
        <v>Ana Damásio</v>
      </c>
    </row>
    <row r="1105" spans="1:10" ht="13.95" customHeight="1" x14ac:dyDescent="0.3">
      <c r="A1105">
        <f>ROW([1]DATABASE!A1066)</f>
        <v>1066</v>
      </c>
      <c r="B1105" t="str">
        <f>[1]DATABASE!AJ1066</f>
        <v>Aroeira Collections</v>
      </c>
      <c r="C1105" t="str">
        <f>[1]DATABASE!C1066</f>
        <v>340A</v>
      </c>
      <c r="D1105" t="str">
        <f>TRIM([1]DATABASE!Q1066)</f>
        <v>AVAILABLE</v>
      </c>
      <c r="E1105" s="82" t="str">
        <f>_xlfn.TEXTJOIN("; ",TRUE,IF([1]DATABASE!X1066&lt;0,"Negative Discount",""),IF(AND([1]DATABASE!Y1066&gt;[1]DATABASE!T1066,[1]DATABASE!Y1066&gt;0,[1]DATABASE!T1066&gt;0),"Sell Price &gt; Current",""),IF(AND(TRIM([1]DATABASE!Q1066)="DEED",[1]DATABASE!AA1066=""),"Deeded no PSPA Date",""),IF([1]DATABASE!E1066="","Missing Typology",""),IF([1]DATABASE!AJ1066="","Missing Development",""))</f>
        <v/>
      </c>
      <c r="F1105" s="82" t="str">
        <f>_xlfn.TEXTJOIN("; ",TRUE,IF(AND(OR(TRIM([1]DATABASE!Q1066)="RESERVED",TRIM([1]DATABASE!Q1066)="PRE-RESERVED",TRIM([1]DATABASE!Q1066)="PSPA"),[1]DATABASE!AA1066=""),"Reserved/PSPA no PSPA Date",""),IF(AND(TRIM([1]DATABASE!Q1066)="AVAILABLE",[1]DATABASE!AA1066&lt;&gt;""),"Available has PSPA Date",""))</f>
        <v/>
      </c>
      <c r="G1105" s="82" t="str">
        <f>_xlfn.TEXTJOIN("; ",TRUE,IF(AND([1]DATABASE!T1066&lt;0.8*[1]DATABASE!S1066,[1]DATABASE!T1066&gt;0,[1]DATABASE!S1066&gt;0),"Heavy Price Cut &gt;20%",""),IF(AND(OR(TRIM([1]DATABASE!Q1066)="AVAILABLE",TRIM([1]DATABASE!Q1066)="UPON REQUEST"),OR([1]DATABASE!T1066="",[1]DATABASE!T1066=0)),"Active Unit no Price",""),IF(AND(OR(TRIM([1]DATABASE!Q1066)="AVAILABLE",TRIM([1]DATABASE!Q1066)="RESERVED",TRIM([1]DATABASE!Q1066)="PRE-RESERVED",TRIM([1]DATABASE!Q1066)="PSPA"),[1]DATABASE!AC1066=""),"Active no Owner",""),IF(OR([1]DATABASE!F1066="",[1]DATABASE!F1066&lt;=0),"Missing/Invalid Area",""),IF(AND([1]DATABASE!T1066&gt;0,ABS([1]DATABASE!T1066-[1]DATABASE!W1066-[1]DATABASE!U1066-[1]DATABASE!V1066)&gt;1),"Price Bridge Mismatch",""))</f>
        <v/>
      </c>
      <c r="H1105" t="str">
        <f t="shared" si="19"/>
        <v>PASS</v>
      </c>
      <c r="I1105" s="90">
        <f>[1]DATABASE!T1066</f>
        <v>430000</v>
      </c>
      <c r="J1105" t="str">
        <f>[1]DATABASE!AC1066</f>
        <v>João Gameiro</v>
      </c>
    </row>
    <row r="1106" spans="1:10" ht="13.95" customHeight="1" x14ac:dyDescent="0.3">
      <c r="A1106">
        <f>ROW([1]DATABASE!A1067)</f>
        <v>1067</v>
      </c>
      <c r="B1106" t="str">
        <f>[1]DATABASE!AJ1067</f>
        <v>Zestia</v>
      </c>
      <c r="C1106" t="str">
        <f>[1]DATABASE!C1067</f>
        <v>Q</v>
      </c>
      <c r="D1106" t="str">
        <f>TRIM([1]DATABASE!Q1067)</f>
        <v>AVAILABLE</v>
      </c>
      <c r="E1106" s="82" t="str">
        <f>_xlfn.TEXTJOIN("; ",TRUE,IF([1]DATABASE!X1067&lt;0,"Negative Discount",""),IF(AND([1]DATABASE!Y1067&gt;[1]DATABASE!T1067,[1]DATABASE!Y1067&gt;0,[1]DATABASE!T1067&gt;0),"Sell Price &gt; Current",""),IF(AND(TRIM([1]DATABASE!Q1067)="DEED",[1]DATABASE!AA1067=""),"Deeded no PSPA Date",""),IF([1]DATABASE!E1067="","Missing Typology",""),IF([1]DATABASE!AJ1067="","Missing Development",""))</f>
        <v/>
      </c>
      <c r="F1106" s="82" t="str">
        <f>_xlfn.TEXTJOIN("; ",TRUE,IF(AND(OR(TRIM([1]DATABASE!Q1067)="RESERVED",TRIM([1]DATABASE!Q1067)="PRE-RESERVED",TRIM([1]DATABASE!Q1067)="PSPA"),[1]DATABASE!AA1067=""),"Reserved/PSPA no PSPA Date",""),IF(AND(TRIM([1]DATABASE!Q1067)="AVAILABLE",[1]DATABASE!AA1067&lt;&gt;""),"Available has PSPA Date",""))</f>
        <v/>
      </c>
      <c r="G1106" s="82" t="str">
        <f>_xlfn.TEXTJOIN("; ",TRUE,IF(AND([1]DATABASE!T1067&lt;0.8*[1]DATABASE!S1067,[1]DATABASE!T1067&gt;0,[1]DATABASE!S1067&gt;0),"Heavy Price Cut &gt;20%",""),IF(AND(OR(TRIM([1]DATABASE!Q1067)="AVAILABLE",TRIM([1]DATABASE!Q1067)="UPON REQUEST"),OR([1]DATABASE!T1067="",[1]DATABASE!T1067=0)),"Active Unit no Price",""),IF(AND(OR(TRIM([1]DATABASE!Q1067)="AVAILABLE",TRIM([1]DATABASE!Q1067)="RESERVED",TRIM([1]DATABASE!Q1067)="PRE-RESERVED",TRIM([1]DATABASE!Q1067)="PSPA"),[1]DATABASE!AC1067=""),"Active no Owner",""),IF(OR([1]DATABASE!F1067="",[1]DATABASE!F1067&lt;=0),"Missing/Invalid Area",""),IF(AND([1]DATABASE!T1067&gt;0,ABS([1]DATABASE!T1067-[1]DATABASE!W1067-[1]DATABASE!U1067-[1]DATABASE!V1067)&gt;1),"Price Bridge Mismatch",""))</f>
        <v/>
      </c>
      <c r="H1106" t="str">
        <f t="shared" si="19"/>
        <v>PASS</v>
      </c>
      <c r="I1106" s="90">
        <f>[1]DATABASE!T1067</f>
        <v>800000</v>
      </c>
      <c r="J1106" t="str">
        <f>[1]DATABASE!AC1067</f>
        <v>Ana Damásio</v>
      </c>
    </row>
    <row r="1107" spans="1:10" ht="13.95" customHeight="1" x14ac:dyDescent="0.3">
      <c r="A1107">
        <f>ROW([1]DATABASE!A1068)</f>
        <v>1068</v>
      </c>
      <c r="B1107" t="str">
        <f>[1]DATABASE!AJ1068</f>
        <v>Botanica</v>
      </c>
      <c r="C1107" t="str">
        <f>[1]DATABASE!C1068</f>
        <v>R</v>
      </c>
      <c r="D1107" t="str">
        <f>TRIM([1]DATABASE!Q1068)</f>
        <v>AVAILABLE</v>
      </c>
      <c r="E1107" s="82" t="str">
        <f>_xlfn.TEXTJOIN("; ",TRUE,IF([1]DATABASE!X1068&lt;0,"Negative Discount",""),IF(AND([1]DATABASE!Y1068&gt;[1]DATABASE!T1068,[1]DATABASE!Y1068&gt;0,[1]DATABASE!T1068&gt;0),"Sell Price &gt; Current",""),IF(AND(TRIM([1]DATABASE!Q1068)="DEED",[1]DATABASE!AA1068=""),"Deeded no PSPA Date",""),IF([1]DATABASE!E1068="","Missing Typology",""),IF([1]DATABASE!AJ1068="","Missing Development",""))</f>
        <v/>
      </c>
      <c r="F1107" s="82" t="str">
        <f>_xlfn.TEXTJOIN("; ",TRUE,IF(AND(OR(TRIM([1]DATABASE!Q1068)="RESERVED",TRIM([1]DATABASE!Q1068)="PRE-RESERVED",TRIM([1]DATABASE!Q1068)="PSPA"),[1]DATABASE!AA1068=""),"Reserved/PSPA no PSPA Date",""),IF(AND(TRIM([1]DATABASE!Q1068)="AVAILABLE",[1]DATABASE!AA1068&lt;&gt;""),"Available has PSPA Date",""))</f>
        <v/>
      </c>
      <c r="G1107" s="82" t="str">
        <f>_xlfn.TEXTJOIN("; ",TRUE,IF(AND([1]DATABASE!T1068&lt;0.8*[1]DATABASE!S1068,[1]DATABASE!T1068&gt;0,[1]DATABASE!S1068&gt;0),"Heavy Price Cut &gt;20%",""),IF(AND(OR(TRIM([1]DATABASE!Q1068)="AVAILABLE",TRIM([1]DATABASE!Q1068)="UPON REQUEST"),OR([1]DATABASE!T1068="",[1]DATABASE!T1068=0)),"Active Unit no Price",""),IF(AND(OR(TRIM([1]DATABASE!Q1068)="AVAILABLE",TRIM([1]DATABASE!Q1068)="RESERVED",TRIM([1]DATABASE!Q1068)="PRE-RESERVED",TRIM([1]DATABASE!Q1068)="PSPA"),[1]DATABASE!AC1068=""),"Active no Owner",""),IF(OR([1]DATABASE!F1068="",[1]DATABASE!F1068&lt;=0),"Missing/Invalid Area",""),IF(AND([1]DATABASE!T1068&gt;0,ABS([1]DATABASE!T1068-[1]DATABASE!W1068-[1]DATABASE!U1068-[1]DATABASE!V1068)&gt;1),"Price Bridge Mismatch",""))</f>
        <v/>
      </c>
      <c r="H1107" t="str">
        <f t="shared" si="19"/>
        <v>PASS</v>
      </c>
      <c r="I1107" s="90">
        <f>[1]DATABASE!T1068</f>
        <v>1510000</v>
      </c>
      <c r="J1107" t="str">
        <f>[1]DATABASE!AC1068</f>
        <v>Ana Damásio</v>
      </c>
    </row>
    <row r="1108" spans="1:10" ht="13.95" customHeight="1" x14ac:dyDescent="0.3">
      <c r="A1108">
        <f>ROW([1]DATABASE!A1069)</f>
        <v>1069</v>
      </c>
      <c r="B1108" t="str">
        <f>[1]DATABASE!AJ1069</f>
        <v>Nobilus</v>
      </c>
      <c r="C1108" t="str">
        <f>[1]DATABASE!C1069</f>
        <v>R</v>
      </c>
      <c r="D1108" t="str">
        <f>TRIM([1]DATABASE!Q1069)</f>
        <v>AVAILABLE</v>
      </c>
      <c r="E1108" s="82" t="str">
        <f>_xlfn.TEXTJOIN("; ",TRUE,IF([1]DATABASE!X1069&lt;0,"Negative Discount",""),IF(AND([1]DATABASE!Y1069&gt;[1]DATABASE!T1069,[1]DATABASE!Y1069&gt;0,[1]DATABASE!T1069&gt;0),"Sell Price &gt; Current",""),IF(AND(TRIM([1]DATABASE!Q1069)="DEED",[1]DATABASE!AA1069=""),"Deeded no PSPA Date",""),IF([1]DATABASE!E1069="","Missing Typology",""),IF([1]DATABASE!AJ1069="","Missing Development",""))</f>
        <v/>
      </c>
      <c r="F1108" s="82" t="str">
        <f>_xlfn.TEXTJOIN("; ",TRUE,IF(AND(OR(TRIM([1]DATABASE!Q1069)="RESERVED",TRIM([1]DATABASE!Q1069)="PRE-RESERVED",TRIM([1]DATABASE!Q1069)="PSPA"),[1]DATABASE!AA1069=""),"Reserved/PSPA no PSPA Date",""),IF(AND(TRIM([1]DATABASE!Q1069)="AVAILABLE",[1]DATABASE!AA1069&lt;&gt;""),"Available has PSPA Date",""))</f>
        <v/>
      </c>
      <c r="G1108" s="82" t="str">
        <f>_xlfn.TEXTJOIN("; ",TRUE,IF(AND([1]DATABASE!T1069&lt;0.8*[1]DATABASE!S1069,[1]DATABASE!T1069&gt;0,[1]DATABASE!S1069&gt;0),"Heavy Price Cut &gt;20%",""),IF(AND(OR(TRIM([1]DATABASE!Q1069)="AVAILABLE",TRIM([1]DATABASE!Q1069)="UPON REQUEST"),OR([1]DATABASE!T1069="",[1]DATABASE!T1069=0)),"Active Unit no Price",""),IF(AND(OR(TRIM([1]DATABASE!Q1069)="AVAILABLE",TRIM([1]DATABASE!Q1069)="RESERVED",TRIM([1]DATABASE!Q1069)="PRE-RESERVED",TRIM([1]DATABASE!Q1069)="PSPA"),[1]DATABASE!AC1069=""),"Active no Owner",""),IF(OR([1]DATABASE!F1069="",[1]DATABASE!F1069&lt;=0),"Missing/Invalid Area",""),IF(AND([1]DATABASE!T1069&gt;0,ABS([1]DATABASE!T1069-[1]DATABASE!W1069-[1]DATABASE!U1069-[1]DATABASE!V1069)&gt;1),"Price Bridge Mismatch",""))</f>
        <v/>
      </c>
      <c r="H1108" t="str">
        <f t="shared" si="19"/>
        <v>PASS</v>
      </c>
      <c r="I1108" s="90">
        <f>[1]DATABASE!T1069</f>
        <v>1140000</v>
      </c>
      <c r="J1108" t="str">
        <f>[1]DATABASE!AC1069</f>
        <v>Ana Damásio</v>
      </c>
    </row>
    <row r="1109" spans="1:10" ht="13.95" customHeight="1" x14ac:dyDescent="0.3">
      <c r="A1109">
        <f>ROW([1]DATABASE!A1070)</f>
        <v>1070</v>
      </c>
      <c r="B1109" t="str">
        <f>[1]DATABASE!AJ1070</f>
        <v>Springs - At the Els</v>
      </c>
      <c r="C1109" t="str">
        <f>[1]DATABASE!C1070</f>
        <v>R</v>
      </c>
      <c r="D1109" t="str">
        <f>TRIM([1]DATABASE!Q1070)</f>
        <v>AVAILABLE</v>
      </c>
      <c r="E1109" s="82" t="str">
        <f>_xlfn.TEXTJOIN("; ",TRUE,IF([1]DATABASE!X1070&lt;0,"Negative Discount",""),IF(AND([1]DATABASE!Y1070&gt;[1]DATABASE!T1070,[1]DATABASE!Y1070&gt;0,[1]DATABASE!T1070&gt;0),"Sell Price &gt; Current",""),IF(AND(TRIM([1]DATABASE!Q1070)="DEED",[1]DATABASE!AA1070=""),"Deeded no PSPA Date",""),IF([1]DATABASE!E1070="","Missing Typology",""),IF([1]DATABASE!AJ1070="","Missing Development",""))</f>
        <v/>
      </c>
      <c r="F1109" s="82" t="str">
        <f>_xlfn.TEXTJOIN("; ",TRUE,IF(AND(OR(TRIM([1]DATABASE!Q1070)="RESERVED",TRIM([1]DATABASE!Q1070)="PRE-RESERVED",TRIM([1]DATABASE!Q1070)="PSPA"),[1]DATABASE!AA1070=""),"Reserved/PSPA no PSPA Date",""),IF(AND(TRIM([1]DATABASE!Q1070)="AVAILABLE",[1]DATABASE!AA1070&lt;&gt;""),"Available has PSPA Date",""))</f>
        <v/>
      </c>
      <c r="G1109" s="82" t="str">
        <f>_xlfn.TEXTJOIN("; ",TRUE,IF(AND([1]DATABASE!T1070&lt;0.8*[1]DATABASE!S1070,[1]DATABASE!T1070&gt;0,[1]DATABASE!S1070&gt;0),"Heavy Price Cut &gt;20%",""),IF(AND(OR(TRIM([1]DATABASE!Q1070)="AVAILABLE",TRIM([1]DATABASE!Q1070)="UPON REQUEST"),OR([1]DATABASE!T1070="",[1]DATABASE!T1070=0)),"Active Unit no Price",""),IF(AND(OR(TRIM([1]DATABASE!Q1070)="AVAILABLE",TRIM([1]DATABASE!Q1070)="RESERVED",TRIM([1]DATABASE!Q1070)="PRE-RESERVED",TRIM([1]DATABASE!Q1070)="PSPA"),[1]DATABASE!AC1070=""),"Active no Owner",""),IF(OR([1]DATABASE!F1070="",[1]DATABASE!F1070&lt;=0),"Missing/Invalid Area",""),IF(AND([1]DATABASE!T1070&gt;0,ABS([1]DATABASE!T1070-[1]DATABASE!W1070-[1]DATABASE!U1070-[1]DATABASE!V1070)&gt;1),"Price Bridge Mismatch",""))</f>
        <v/>
      </c>
      <c r="H1109" t="str">
        <f t="shared" si="19"/>
        <v>PASS</v>
      </c>
      <c r="I1109" s="90">
        <f>[1]DATABASE!T1070</f>
        <v>1930000</v>
      </c>
      <c r="J1109" t="str">
        <f>[1]DATABASE!AC1070</f>
        <v>Ana Damásio</v>
      </c>
    </row>
    <row r="1110" spans="1:10" ht="13.95" customHeight="1" x14ac:dyDescent="0.3">
      <c r="A1110">
        <f>ROW([1]DATABASE!A1071)</f>
        <v>1071</v>
      </c>
      <c r="B1110" t="str">
        <f>[1]DATABASE!AJ1071</f>
        <v>Monte Rei</v>
      </c>
      <c r="C1110" t="str">
        <f>[1]DATABASE!C1071</f>
        <v>8</v>
      </c>
      <c r="D1110" t="str">
        <f>TRIM([1]DATABASE!Q1071)</f>
        <v>AVAILABLE</v>
      </c>
      <c r="E1110" s="82" t="str">
        <f>_xlfn.TEXTJOIN("; ",TRUE,IF([1]DATABASE!X1071&lt;0,"Negative Discount",""),IF(AND([1]DATABASE!Y1071&gt;[1]DATABASE!T1071,[1]DATABASE!Y1071&gt;0,[1]DATABASE!T1071&gt;0),"Sell Price &gt; Current",""),IF(AND(TRIM([1]DATABASE!Q1071)="DEED",[1]DATABASE!AA1071=""),"Deeded no PSPA Date",""),IF([1]DATABASE!E1071="","Missing Typology",""),IF([1]DATABASE!AJ1071="","Missing Development",""))</f>
        <v/>
      </c>
      <c r="F1110" s="82" t="str">
        <f>_xlfn.TEXTJOIN("; ",TRUE,IF(AND(OR(TRIM([1]DATABASE!Q1071)="RESERVED",TRIM([1]DATABASE!Q1071)="PRE-RESERVED",TRIM([1]DATABASE!Q1071)="PSPA"),[1]DATABASE!AA1071=""),"Reserved/PSPA no PSPA Date",""),IF(AND(TRIM([1]DATABASE!Q1071)="AVAILABLE",[1]DATABASE!AA1071&lt;&gt;""),"Available has PSPA Date",""))</f>
        <v/>
      </c>
      <c r="G1110" s="82" t="str">
        <f>_xlfn.TEXTJOIN("; ",TRUE,IF(AND([1]DATABASE!T1071&lt;0.8*[1]DATABASE!S1071,[1]DATABASE!T1071&gt;0,[1]DATABASE!S1071&gt;0),"Heavy Price Cut &gt;20%",""),IF(AND(OR(TRIM([1]DATABASE!Q1071)="AVAILABLE",TRIM([1]DATABASE!Q1071)="UPON REQUEST"),OR([1]DATABASE!T1071="",[1]DATABASE!T1071=0)),"Active Unit no Price",""),IF(AND(OR(TRIM([1]DATABASE!Q1071)="AVAILABLE",TRIM([1]DATABASE!Q1071)="RESERVED",TRIM([1]DATABASE!Q1071)="PRE-RESERVED",TRIM([1]DATABASE!Q1071)="PSPA"),[1]DATABASE!AC1071=""),"Active no Owner",""),IF(OR([1]DATABASE!F1071="",[1]DATABASE!F1071&lt;=0),"Missing/Invalid Area",""),IF(AND([1]DATABASE!T1071&gt;0,ABS([1]DATABASE!T1071-[1]DATABASE!W1071-[1]DATABASE!U1071-[1]DATABASE!V1071)&gt;1),"Price Bridge Mismatch",""))</f>
        <v>Heavy Price Cut &gt;20%</v>
      </c>
      <c r="H1110" t="str">
        <f t="shared" si="19"/>
        <v>REVIEW</v>
      </c>
      <c r="I1110" s="90">
        <f>[1]DATABASE!T1071</f>
        <v>1680000</v>
      </c>
      <c r="J1110" t="str">
        <f>[1]DATABASE!AC1071</f>
        <v>Sandra Viegas</v>
      </c>
    </row>
    <row r="1111" spans="1:10" ht="13.95" customHeight="1" x14ac:dyDescent="0.3">
      <c r="A1111">
        <f>ROW([1]DATABASE!A1072)</f>
        <v>1072</v>
      </c>
      <c r="B1111" t="str">
        <f>[1]DATABASE!AJ1072</f>
        <v>Monte Rei</v>
      </c>
      <c r="C1111" t="str">
        <f>[1]DATABASE!C1072</f>
        <v>11</v>
      </c>
      <c r="D1111" t="str">
        <f>TRIM([1]DATABASE!Q1072)</f>
        <v>AVAILABLE</v>
      </c>
      <c r="E1111" s="82" t="str">
        <f>_xlfn.TEXTJOIN("; ",TRUE,IF([1]DATABASE!X1072&lt;0,"Negative Discount",""),IF(AND([1]DATABASE!Y1072&gt;[1]DATABASE!T1072,[1]DATABASE!Y1072&gt;0,[1]DATABASE!T1072&gt;0),"Sell Price &gt; Current",""),IF(AND(TRIM([1]DATABASE!Q1072)="DEED",[1]DATABASE!AA1072=""),"Deeded no PSPA Date",""),IF([1]DATABASE!E1072="","Missing Typology",""),IF([1]DATABASE!AJ1072="","Missing Development",""))</f>
        <v/>
      </c>
      <c r="F1111" s="82" t="str">
        <f>_xlfn.TEXTJOIN("; ",TRUE,IF(AND(OR(TRIM([1]DATABASE!Q1072)="RESERVED",TRIM([1]DATABASE!Q1072)="PRE-RESERVED",TRIM([1]DATABASE!Q1072)="PSPA"),[1]DATABASE!AA1072=""),"Reserved/PSPA no PSPA Date",""),IF(AND(TRIM([1]DATABASE!Q1072)="AVAILABLE",[1]DATABASE!AA1072&lt;&gt;""),"Available has PSPA Date",""))</f>
        <v/>
      </c>
      <c r="G1111" s="82" t="str">
        <f>_xlfn.TEXTJOIN("; ",TRUE,IF(AND([1]DATABASE!T1072&lt;0.8*[1]DATABASE!S1072,[1]DATABASE!T1072&gt;0,[1]DATABASE!S1072&gt;0),"Heavy Price Cut &gt;20%",""),IF(AND(OR(TRIM([1]DATABASE!Q1072)="AVAILABLE",TRIM([1]DATABASE!Q1072)="UPON REQUEST"),OR([1]DATABASE!T1072="",[1]DATABASE!T1072=0)),"Active Unit no Price",""),IF(AND(OR(TRIM([1]DATABASE!Q1072)="AVAILABLE",TRIM([1]DATABASE!Q1072)="RESERVED",TRIM([1]DATABASE!Q1072)="PRE-RESERVED",TRIM([1]DATABASE!Q1072)="PSPA"),[1]DATABASE!AC1072=""),"Active no Owner",""),IF(OR([1]DATABASE!F1072="",[1]DATABASE!F1072&lt;=0),"Missing/Invalid Area",""),IF(AND([1]DATABASE!T1072&gt;0,ABS([1]DATABASE!T1072-[1]DATABASE!W1072-[1]DATABASE!U1072-[1]DATABASE!V1072)&gt;1),"Price Bridge Mismatch",""))</f>
        <v>Heavy Price Cut &gt;20%</v>
      </c>
      <c r="H1111" t="str">
        <f t="shared" si="19"/>
        <v>REVIEW</v>
      </c>
      <c r="I1111" s="90">
        <f>[1]DATABASE!T1072</f>
        <v>1710000</v>
      </c>
      <c r="J1111" t="str">
        <f>[1]DATABASE!AC1072</f>
        <v>Sandra Viegas</v>
      </c>
    </row>
    <row r="1112" spans="1:10" ht="13.95" customHeight="1" x14ac:dyDescent="0.3">
      <c r="A1112">
        <f>ROW([1]DATABASE!A1073)</f>
        <v>1073</v>
      </c>
      <c r="B1112" t="str">
        <f>[1]DATABASE!AJ1073</f>
        <v>Monte Rei</v>
      </c>
      <c r="C1112" t="str">
        <f>[1]DATABASE!C1073</f>
        <v>5</v>
      </c>
      <c r="D1112" t="str">
        <f>TRIM([1]DATABASE!Q1073)</f>
        <v>AVAILABLE</v>
      </c>
      <c r="E1112" s="82" t="str">
        <f>_xlfn.TEXTJOIN("; ",TRUE,IF([1]DATABASE!X1073&lt;0,"Negative Discount",""),IF(AND([1]DATABASE!Y1073&gt;[1]DATABASE!T1073,[1]DATABASE!Y1073&gt;0,[1]DATABASE!T1073&gt;0),"Sell Price &gt; Current",""),IF(AND(TRIM([1]DATABASE!Q1073)="DEED",[1]DATABASE!AA1073=""),"Deeded no PSPA Date",""),IF([1]DATABASE!E1073="","Missing Typology",""),IF([1]DATABASE!AJ1073="","Missing Development",""))</f>
        <v/>
      </c>
      <c r="F1112" s="82" t="str">
        <f>_xlfn.TEXTJOIN("; ",TRUE,IF(AND(OR(TRIM([1]DATABASE!Q1073)="RESERVED",TRIM([1]DATABASE!Q1073)="PRE-RESERVED",TRIM([1]DATABASE!Q1073)="PSPA"),[1]DATABASE!AA1073=""),"Reserved/PSPA no PSPA Date",""),IF(AND(TRIM([1]DATABASE!Q1073)="AVAILABLE",[1]DATABASE!AA1073&lt;&gt;""),"Available has PSPA Date",""))</f>
        <v/>
      </c>
      <c r="G1112" s="82" t="str">
        <f>_xlfn.TEXTJOIN("; ",TRUE,IF(AND([1]DATABASE!T1073&lt;0.8*[1]DATABASE!S1073,[1]DATABASE!T1073&gt;0,[1]DATABASE!S1073&gt;0),"Heavy Price Cut &gt;20%",""),IF(AND(OR(TRIM([1]DATABASE!Q1073)="AVAILABLE",TRIM([1]DATABASE!Q1073)="UPON REQUEST"),OR([1]DATABASE!T1073="",[1]DATABASE!T1073=0)),"Active Unit no Price",""),IF(AND(OR(TRIM([1]DATABASE!Q1073)="AVAILABLE",TRIM([1]DATABASE!Q1073)="RESERVED",TRIM([1]DATABASE!Q1073)="PRE-RESERVED",TRIM([1]DATABASE!Q1073)="PSPA"),[1]DATABASE!AC1073=""),"Active no Owner",""),IF(OR([1]DATABASE!F1073="",[1]DATABASE!F1073&lt;=0),"Missing/Invalid Area",""),IF(AND([1]DATABASE!T1073&gt;0,ABS([1]DATABASE!T1073-[1]DATABASE!W1073-[1]DATABASE!U1073-[1]DATABASE!V1073)&gt;1),"Price Bridge Mismatch",""))</f>
        <v>Heavy Price Cut &gt;20%</v>
      </c>
      <c r="H1112" t="str">
        <f t="shared" si="19"/>
        <v>REVIEW</v>
      </c>
      <c r="I1112" s="90">
        <f>[1]DATABASE!T1073</f>
        <v>1560000</v>
      </c>
      <c r="J1112" t="str">
        <f>[1]DATABASE!AC1073</f>
        <v>Sandra Viegas</v>
      </c>
    </row>
    <row r="1113" spans="1:10" ht="13.95" customHeight="1" x14ac:dyDescent="0.3">
      <c r="A1113">
        <f>ROW([1]DATABASE!A1074)</f>
        <v>1074</v>
      </c>
      <c r="B1113" t="str">
        <f>[1]DATABASE!AJ1074</f>
        <v>Aroeira Collections</v>
      </c>
      <c r="C1113" t="str">
        <f>[1]DATABASE!C1074</f>
        <v>341A</v>
      </c>
      <c r="D1113" t="str">
        <f>TRIM([1]DATABASE!Q1074)</f>
        <v>AVAILABLE</v>
      </c>
      <c r="E1113" s="82" t="str">
        <f>_xlfn.TEXTJOIN("; ",TRUE,IF([1]DATABASE!X1074&lt;0,"Negative Discount",""),IF(AND([1]DATABASE!Y1074&gt;[1]DATABASE!T1074,[1]DATABASE!Y1074&gt;0,[1]DATABASE!T1074&gt;0),"Sell Price &gt; Current",""),IF(AND(TRIM([1]DATABASE!Q1074)="DEED",[1]DATABASE!AA1074=""),"Deeded no PSPA Date",""),IF([1]DATABASE!E1074="","Missing Typology",""),IF([1]DATABASE!AJ1074="","Missing Development",""))</f>
        <v/>
      </c>
      <c r="F1113" s="82" t="str">
        <f>_xlfn.TEXTJOIN("; ",TRUE,IF(AND(OR(TRIM([1]DATABASE!Q1074)="RESERVED",TRIM([1]DATABASE!Q1074)="PRE-RESERVED",TRIM([1]DATABASE!Q1074)="PSPA"),[1]DATABASE!AA1074=""),"Reserved/PSPA no PSPA Date",""),IF(AND(TRIM([1]DATABASE!Q1074)="AVAILABLE",[1]DATABASE!AA1074&lt;&gt;""),"Available has PSPA Date",""))</f>
        <v/>
      </c>
      <c r="G1113" s="82" t="str">
        <f>_xlfn.TEXTJOIN("; ",TRUE,IF(AND([1]DATABASE!T1074&lt;0.8*[1]DATABASE!S1074,[1]DATABASE!T1074&gt;0,[1]DATABASE!S1074&gt;0),"Heavy Price Cut &gt;20%",""),IF(AND(OR(TRIM([1]DATABASE!Q1074)="AVAILABLE",TRIM([1]DATABASE!Q1074)="UPON REQUEST"),OR([1]DATABASE!T1074="",[1]DATABASE!T1074=0)),"Active Unit no Price",""),IF(AND(OR(TRIM([1]DATABASE!Q1074)="AVAILABLE",TRIM([1]DATABASE!Q1074)="RESERVED",TRIM([1]DATABASE!Q1074)="PRE-RESERVED",TRIM([1]DATABASE!Q1074)="PSPA"),[1]DATABASE!AC1074=""),"Active no Owner",""),IF(OR([1]DATABASE!F1074="",[1]DATABASE!F1074&lt;=0),"Missing/Invalid Area",""),IF(AND([1]DATABASE!T1074&gt;0,ABS([1]DATABASE!T1074-[1]DATABASE!W1074-[1]DATABASE!U1074-[1]DATABASE!V1074)&gt;1),"Price Bridge Mismatch",""))</f>
        <v/>
      </c>
      <c r="H1113" t="str">
        <f t="shared" si="19"/>
        <v>PASS</v>
      </c>
      <c r="I1113" s="90">
        <f>[1]DATABASE!T1074</f>
        <v>430000</v>
      </c>
      <c r="J1113" t="str">
        <f>[1]DATABASE!AC1074</f>
        <v>João Gameiro</v>
      </c>
    </row>
    <row r="1114" spans="1:10" ht="13.95" customHeight="1" x14ac:dyDescent="0.3">
      <c r="A1114">
        <f>ROW([1]DATABASE!A1075)</f>
        <v>1075</v>
      </c>
      <c r="B1114" t="str">
        <f>[1]DATABASE!AJ1075</f>
        <v>Aroeira Collections</v>
      </c>
      <c r="C1114" t="str">
        <f>[1]DATABASE!C1075</f>
        <v>342A</v>
      </c>
      <c r="D1114" t="str">
        <f>TRIM([1]DATABASE!Q1075)</f>
        <v>AVAILABLE</v>
      </c>
      <c r="E1114" s="82" t="str">
        <f>_xlfn.TEXTJOIN("; ",TRUE,IF([1]DATABASE!X1075&lt;0,"Negative Discount",""),IF(AND([1]DATABASE!Y1075&gt;[1]DATABASE!T1075,[1]DATABASE!Y1075&gt;0,[1]DATABASE!T1075&gt;0),"Sell Price &gt; Current",""),IF(AND(TRIM([1]DATABASE!Q1075)="DEED",[1]DATABASE!AA1075=""),"Deeded no PSPA Date",""),IF([1]DATABASE!E1075="","Missing Typology",""),IF([1]DATABASE!AJ1075="","Missing Development",""))</f>
        <v/>
      </c>
      <c r="F1114" s="82" t="str">
        <f>_xlfn.TEXTJOIN("; ",TRUE,IF(AND(OR(TRIM([1]DATABASE!Q1075)="RESERVED",TRIM([1]DATABASE!Q1075)="PRE-RESERVED",TRIM([1]DATABASE!Q1075)="PSPA"),[1]DATABASE!AA1075=""),"Reserved/PSPA no PSPA Date",""),IF(AND(TRIM([1]DATABASE!Q1075)="AVAILABLE",[1]DATABASE!AA1075&lt;&gt;""),"Available has PSPA Date",""))</f>
        <v/>
      </c>
      <c r="G1114" s="82" t="str">
        <f>_xlfn.TEXTJOIN("; ",TRUE,IF(AND([1]DATABASE!T1075&lt;0.8*[1]DATABASE!S1075,[1]DATABASE!T1075&gt;0,[1]DATABASE!S1075&gt;0),"Heavy Price Cut &gt;20%",""),IF(AND(OR(TRIM([1]DATABASE!Q1075)="AVAILABLE",TRIM([1]DATABASE!Q1075)="UPON REQUEST"),OR([1]DATABASE!T1075="",[1]DATABASE!T1075=0)),"Active Unit no Price",""),IF(AND(OR(TRIM([1]DATABASE!Q1075)="AVAILABLE",TRIM([1]DATABASE!Q1075)="RESERVED",TRIM([1]DATABASE!Q1075)="PRE-RESERVED",TRIM([1]DATABASE!Q1075)="PSPA"),[1]DATABASE!AC1075=""),"Active no Owner",""),IF(OR([1]DATABASE!F1075="",[1]DATABASE!F1075&lt;=0),"Missing/Invalid Area",""),IF(AND([1]DATABASE!T1075&gt;0,ABS([1]DATABASE!T1075-[1]DATABASE!W1075-[1]DATABASE!U1075-[1]DATABASE!V1075)&gt;1),"Price Bridge Mismatch",""))</f>
        <v/>
      </c>
      <c r="H1114" t="str">
        <f t="shared" si="19"/>
        <v>PASS</v>
      </c>
      <c r="I1114" s="90">
        <f>[1]DATABASE!T1075</f>
        <v>430000</v>
      </c>
      <c r="J1114" t="str">
        <f>[1]DATABASE!AC1075</f>
        <v>João Gameiro</v>
      </c>
    </row>
    <row r="1115" spans="1:10" ht="13.95" customHeight="1" x14ac:dyDescent="0.3">
      <c r="A1115">
        <f>ROW([1]DATABASE!A1076)</f>
        <v>1076</v>
      </c>
      <c r="B1115" t="str">
        <f>[1]DATABASE!AJ1076</f>
        <v>Aroeira Collections</v>
      </c>
      <c r="C1115" t="str">
        <f>[1]DATABASE!C1076</f>
        <v>343A</v>
      </c>
      <c r="D1115" t="str">
        <f>TRIM([1]DATABASE!Q1076)</f>
        <v>AVAILABLE</v>
      </c>
      <c r="E1115" s="82" t="str">
        <f>_xlfn.TEXTJOIN("; ",TRUE,IF([1]DATABASE!X1076&lt;0,"Negative Discount",""),IF(AND([1]DATABASE!Y1076&gt;[1]DATABASE!T1076,[1]DATABASE!Y1076&gt;0,[1]DATABASE!T1076&gt;0),"Sell Price &gt; Current",""),IF(AND(TRIM([1]DATABASE!Q1076)="DEED",[1]DATABASE!AA1076=""),"Deeded no PSPA Date",""),IF([1]DATABASE!E1076="","Missing Typology",""),IF([1]DATABASE!AJ1076="","Missing Development",""))</f>
        <v/>
      </c>
      <c r="F1115" s="82" t="str">
        <f>_xlfn.TEXTJOIN("; ",TRUE,IF(AND(OR(TRIM([1]DATABASE!Q1076)="RESERVED",TRIM([1]DATABASE!Q1076)="PRE-RESERVED",TRIM([1]DATABASE!Q1076)="PSPA"),[1]DATABASE!AA1076=""),"Reserved/PSPA no PSPA Date",""),IF(AND(TRIM([1]DATABASE!Q1076)="AVAILABLE",[1]DATABASE!AA1076&lt;&gt;""),"Available has PSPA Date",""))</f>
        <v/>
      </c>
      <c r="G1115" s="82" t="str">
        <f>_xlfn.TEXTJOIN("; ",TRUE,IF(AND([1]DATABASE!T1076&lt;0.8*[1]DATABASE!S1076,[1]DATABASE!T1076&gt;0,[1]DATABASE!S1076&gt;0),"Heavy Price Cut &gt;20%",""),IF(AND(OR(TRIM([1]DATABASE!Q1076)="AVAILABLE",TRIM([1]DATABASE!Q1076)="UPON REQUEST"),OR([1]DATABASE!T1076="",[1]DATABASE!T1076=0)),"Active Unit no Price",""),IF(AND(OR(TRIM([1]DATABASE!Q1076)="AVAILABLE",TRIM([1]DATABASE!Q1076)="RESERVED",TRIM([1]DATABASE!Q1076)="PRE-RESERVED",TRIM([1]DATABASE!Q1076)="PSPA"),[1]DATABASE!AC1076=""),"Active no Owner",""),IF(OR([1]DATABASE!F1076="",[1]DATABASE!F1076&lt;=0),"Missing/Invalid Area",""),IF(AND([1]DATABASE!T1076&gt;0,ABS([1]DATABASE!T1076-[1]DATABASE!W1076-[1]DATABASE!U1076-[1]DATABASE!V1076)&gt;1),"Price Bridge Mismatch",""))</f>
        <v>Heavy Price Cut &gt;20%</v>
      </c>
      <c r="H1115" t="str">
        <f t="shared" si="19"/>
        <v>REVIEW</v>
      </c>
      <c r="I1115" s="90">
        <f>[1]DATABASE!T1076</f>
        <v>405000</v>
      </c>
      <c r="J1115" t="str">
        <f>[1]DATABASE!AC1076</f>
        <v>João Gameiro</v>
      </c>
    </row>
    <row r="1116" spans="1:10" ht="13.95" customHeight="1" x14ac:dyDescent="0.3">
      <c r="A1116">
        <f>ROW([1]DATABASE!A1077)</f>
        <v>1077</v>
      </c>
      <c r="B1116" t="str">
        <f>[1]DATABASE!AJ1077</f>
        <v>Nobilus</v>
      </c>
      <c r="C1116" t="str">
        <f>[1]DATABASE!C1077</f>
        <v>S</v>
      </c>
      <c r="D1116" t="str">
        <f>TRIM([1]DATABASE!Q1077)</f>
        <v>AVAILABLE</v>
      </c>
      <c r="E1116" s="82" t="str">
        <f>_xlfn.TEXTJOIN("; ",TRUE,IF([1]DATABASE!X1077&lt;0,"Negative Discount",""),IF(AND([1]DATABASE!Y1077&gt;[1]DATABASE!T1077,[1]DATABASE!Y1077&gt;0,[1]DATABASE!T1077&gt;0),"Sell Price &gt; Current",""),IF(AND(TRIM([1]DATABASE!Q1077)="DEED",[1]DATABASE!AA1077=""),"Deeded no PSPA Date",""),IF([1]DATABASE!E1077="","Missing Typology",""),IF([1]DATABASE!AJ1077="","Missing Development",""))</f>
        <v/>
      </c>
      <c r="F1116" s="82" t="str">
        <f>_xlfn.TEXTJOIN("; ",TRUE,IF(AND(OR(TRIM([1]DATABASE!Q1077)="RESERVED",TRIM([1]DATABASE!Q1077)="PRE-RESERVED",TRIM([1]DATABASE!Q1077)="PSPA"),[1]DATABASE!AA1077=""),"Reserved/PSPA no PSPA Date",""),IF(AND(TRIM([1]DATABASE!Q1077)="AVAILABLE",[1]DATABASE!AA1077&lt;&gt;""),"Available has PSPA Date",""))</f>
        <v/>
      </c>
      <c r="G1116" s="82" t="str">
        <f>_xlfn.TEXTJOIN("; ",TRUE,IF(AND([1]DATABASE!T1077&lt;0.8*[1]DATABASE!S1077,[1]DATABASE!T1077&gt;0,[1]DATABASE!S1077&gt;0),"Heavy Price Cut &gt;20%",""),IF(AND(OR(TRIM([1]DATABASE!Q1077)="AVAILABLE",TRIM([1]DATABASE!Q1077)="UPON REQUEST"),OR([1]DATABASE!T1077="",[1]DATABASE!T1077=0)),"Active Unit no Price",""),IF(AND(OR(TRIM([1]DATABASE!Q1077)="AVAILABLE",TRIM([1]DATABASE!Q1077)="RESERVED",TRIM([1]DATABASE!Q1077)="PRE-RESERVED",TRIM([1]DATABASE!Q1077)="PSPA"),[1]DATABASE!AC1077=""),"Active no Owner",""),IF(OR([1]DATABASE!F1077="",[1]DATABASE!F1077&lt;=0),"Missing/Invalid Area",""),IF(AND([1]DATABASE!T1077&gt;0,ABS([1]DATABASE!T1077-[1]DATABASE!W1077-[1]DATABASE!U1077-[1]DATABASE!V1077)&gt;1),"Price Bridge Mismatch",""))</f>
        <v/>
      </c>
      <c r="H1116" t="str">
        <f t="shared" si="19"/>
        <v>PASS</v>
      </c>
      <c r="I1116" s="90">
        <f>[1]DATABASE!T1077</f>
        <v>1120000</v>
      </c>
      <c r="J1116" t="str">
        <f>[1]DATABASE!AC1077</f>
        <v>Ana Damásio</v>
      </c>
    </row>
    <row r="1117" spans="1:10" ht="13.95" customHeight="1" x14ac:dyDescent="0.3">
      <c r="A1117">
        <f>ROW([1]DATABASE!A1078)</f>
        <v>1078</v>
      </c>
      <c r="B1117" t="str">
        <f>[1]DATABASE!AJ1078</f>
        <v>Springs - At the Els</v>
      </c>
      <c r="C1117" t="str">
        <f>[1]DATABASE!C1078</f>
        <v>S</v>
      </c>
      <c r="D1117" t="str">
        <f>TRIM([1]DATABASE!Q1078)</f>
        <v>AVAILABLE</v>
      </c>
      <c r="E1117" s="82" t="str">
        <f>_xlfn.TEXTJOIN("; ",TRUE,IF([1]DATABASE!X1078&lt;0,"Negative Discount",""),IF(AND([1]DATABASE!Y1078&gt;[1]DATABASE!T1078,[1]DATABASE!Y1078&gt;0,[1]DATABASE!T1078&gt;0),"Sell Price &gt; Current",""),IF(AND(TRIM([1]DATABASE!Q1078)="DEED",[1]DATABASE!AA1078=""),"Deeded no PSPA Date",""),IF([1]DATABASE!E1078="","Missing Typology",""),IF([1]DATABASE!AJ1078="","Missing Development",""))</f>
        <v/>
      </c>
      <c r="F1117" s="82" t="str">
        <f>_xlfn.TEXTJOIN("; ",TRUE,IF(AND(OR(TRIM([1]DATABASE!Q1078)="RESERVED",TRIM([1]DATABASE!Q1078)="PRE-RESERVED",TRIM([1]DATABASE!Q1078)="PSPA"),[1]DATABASE!AA1078=""),"Reserved/PSPA no PSPA Date",""),IF(AND(TRIM([1]DATABASE!Q1078)="AVAILABLE",[1]DATABASE!AA1078&lt;&gt;""),"Available has PSPA Date",""))</f>
        <v/>
      </c>
      <c r="G1117" s="82" t="str">
        <f>_xlfn.TEXTJOIN("; ",TRUE,IF(AND([1]DATABASE!T1078&lt;0.8*[1]DATABASE!S1078,[1]DATABASE!T1078&gt;0,[1]DATABASE!S1078&gt;0),"Heavy Price Cut &gt;20%",""),IF(AND(OR(TRIM([1]DATABASE!Q1078)="AVAILABLE",TRIM([1]DATABASE!Q1078)="UPON REQUEST"),OR([1]DATABASE!T1078="",[1]DATABASE!T1078=0)),"Active Unit no Price",""),IF(AND(OR(TRIM([1]DATABASE!Q1078)="AVAILABLE",TRIM([1]DATABASE!Q1078)="RESERVED",TRIM([1]DATABASE!Q1078)="PRE-RESERVED",TRIM([1]DATABASE!Q1078)="PSPA"),[1]DATABASE!AC1078=""),"Active no Owner",""),IF(OR([1]DATABASE!F1078="",[1]DATABASE!F1078&lt;=0),"Missing/Invalid Area",""),IF(AND([1]DATABASE!T1078&gt;0,ABS([1]DATABASE!T1078-[1]DATABASE!W1078-[1]DATABASE!U1078-[1]DATABASE!V1078)&gt;1),"Price Bridge Mismatch",""))</f>
        <v/>
      </c>
      <c r="H1117" t="str">
        <f t="shared" si="19"/>
        <v>PASS</v>
      </c>
      <c r="I1117" s="90">
        <f>[1]DATABASE!T1078</f>
        <v>2530000</v>
      </c>
      <c r="J1117" t="str">
        <f>[1]DATABASE!AC1078</f>
        <v>Ana Damásio</v>
      </c>
    </row>
    <row r="1118" spans="1:10" ht="13.95" customHeight="1" x14ac:dyDescent="0.3">
      <c r="A1118">
        <f>ROW([1]DATABASE!A1079)</f>
        <v>1079</v>
      </c>
      <c r="B1118" t="str">
        <f>[1]DATABASE!AJ1079</f>
        <v>Zestia</v>
      </c>
      <c r="C1118" t="str">
        <f>[1]DATABASE!C1079</f>
        <v>S</v>
      </c>
      <c r="D1118" t="str">
        <f>TRIM([1]DATABASE!Q1079)</f>
        <v>AVAILABLE</v>
      </c>
      <c r="E1118" s="82" t="str">
        <f>_xlfn.TEXTJOIN("; ",TRUE,IF([1]DATABASE!X1079&lt;0,"Negative Discount",""),IF(AND([1]DATABASE!Y1079&gt;[1]DATABASE!T1079,[1]DATABASE!Y1079&gt;0,[1]DATABASE!T1079&gt;0),"Sell Price &gt; Current",""),IF(AND(TRIM([1]DATABASE!Q1079)="DEED",[1]DATABASE!AA1079=""),"Deeded no PSPA Date",""),IF([1]DATABASE!E1079="","Missing Typology",""),IF([1]DATABASE!AJ1079="","Missing Development",""))</f>
        <v/>
      </c>
      <c r="F1118" s="82" t="str">
        <f>_xlfn.TEXTJOIN("; ",TRUE,IF(AND(OR(TRIM([1]DATABASE!Q1079)="RESERVED",TRIM([1]DATABASE!Q1079)="PRE-RESERVED",TRIM([1]DATABASE!Q1079)="PSPA"),[1]DATABASE!AA1079=""),"Reserved/PSPA no PSPA Date",""),IF(AND(TRIM([1]DATABASE!Q1079)="AVAILABLE",[1]DATABASE!AA1079&lt;&gt;""),"Available has PSPA Date",""))</f>
        <v/>
      </c>
      <c r="G1118" s="82" t="str">
        <f>_xlfn.TEXTJOIN("; ",TRUE,IF(AND([1]DATABASE!T1079&lt;0.8*[1]DATABASE!S1079,[1]DATABASE!T1079&gt;0,[1]DATABASE!S1079&gt;0),"Heavy Price Cut &gt;20%",""),IF(AND(OR(TRIM([1]DATABASE!Q1079)="AVAILABLE",TRIM([1]DATABASE!Q1079)="UPON REQUEST"),OR([1]DATABASE!T1079="",[1]DATABASE!T1079=0)),"Active Unit no Price",""),IF(AND(OR(TRIM([1]DATABASE!Q1079)="AVAILABLE",TRIM([1]DATABASE!Q1079)="RESERVED",TRIM([1]DATABASE!Q1079)="PRE-RESERVED",TRIM([1]DATABASE!Q1079)="PSPA"),[1]DATABASE!AC1079=""),"Active no Owner",""),IF(OR([1]DATABASE!F1079="",[1]DATABASE!F1079&lt;=0),"Missing/Invalid Area",""),IF(AND([1]DATABASE!T1079&gt;0,ABS([1]DATABASE!T1079-[1]DATABASE!W1079-[1]DATABASE!U1079-[1]DATABASE!V1079)&gt;1),"Price Bridge Mismatch",""))</f>
        <v/>
      </c>
      <c r="H1118" t="str">
        <f t="shared" si="19"/>
        <v>PASS</v>
      </c>
      <c r="I1118" s="90">
        <f>[1]DATABASE!T1079</f>
        <v>770000</v>
      </c>
      <c r="J1118" t="str">
        <f>[1]DATABASE!AC1079</f>
        <v>Ana Damásio</v>
      </c>
    </row>
    <row r="1119" spans="1:10" ht="13.95" customHeight="1" x14ac:dyDescent="0.3">
      <c r="A1119">
        <f>ROW([1]DATABASE!A1080)</f>
        <v>1080</v>
      </c>
      <c r="B1119" t="str">
        <f>[1]DATABASE!AJ1080</f>
        <v>Botanica</v>
      </c>
      <c r="C1119" t="str">
        <f>[1]DATABASE!C1080</f>
        <v>T</v>
      </c>
      <c r="D1119" t="str">
        <f>TRIM([1]DATABASE!Q1080)</f>
        <v>AVAILABLE</v>
      </c>
      <c r="E1119" s="82" t="str">
        <f>_xlfn.TEXTJOIN("; ",TRUE,IF([1]DATABASE!X1080&lt;0,"Negative Discount",""),IF(AND([1]DATABASE!Y1080&gt;[1]DATABASE!T1080,[1]DATABASE!Y1080&gt;0,[1]DATABASE!T1080&gt;0),"Sell Price &gt; Current",""),IF(AND(TRIM([1]DATABASE!Q1080)="DEED",[1]DATABASE!AA1080=""),"Deeded no PSPA Date",""),IF([1]DATABASE!E1080="","Missing Typology",""),IF([1]DATABASE!AJ1080="","Missing Development",""))</f>
        <v/>
      </c>
      <c r="F1119" s="82" t="str">
        <f>_xlfn.TEXTJOIN("; ",TRUE,IF(AND(OR(TRIM([1]DATABASE!Q1080)="RESERVED",TRIM([1]DATABASE!Q1080)="PRE-RESERVED",TRIM([1]DATABASE!Q1080)="PSPA"),[1]DATABASE!AA1080=""),"Reserved/PSPA no PSPA Date",""),IF(AND(TRIM([1]DATABASE!Q1080)="AVAILABLE",[1]DATABASE!AA1080&lt;&gt;""),"Available has PSPA Date",""))</f>
        <v/>
      </c>
      <c r="G1119" s="82" t="str">
        <f>_xlfn.TEXTJOIN("; ",TRUE,IF(AND([1]DATABASE!T1080&lt;0.8*[1]DATABASE!S1080,[1]DATABASE!T1080&gt;0,[1]DATABASE!S1080&gt;0),"Heavy Price Cut &gt;20%",""),IF(AND(OR(TRIM([1]DATABASE!Q1080)="AVAILABLE",TRIM([1]DATABASE!Q1080)="UPON REQUEST"),OR([1]DATABASE!T1080="",[1]DATABASE!T1080=0)),"Active Unit no Price",""),IF(AND(OR(TRIM([1]DATABASE!Q1080)="AVAILABLE",TRIM([1]DATABASE!Q1080)="RESERVED",TRIM([1]DATABASE!Q1080)="PRE-RESERVED",TRIM([1]DATABASE!Q1080)="PSPA"),[1]DATABASE!AC1080=""),"Active no Owner",""),IF(OR([1]DATABASE!F1080="",[1]DATABASE!F1080&lt;=0),"Missing/Invalid Area",""),IF(AND([1]DATABASE!T1080&gt;0,ABS([1]DATABASE!T1080-[1]DATABASE!W1080-[1]DATABASE!U1080-[1]DATABASE!V1080)&gt;1),"Price Bridge Mismatch",""))</f>
        <v/>
      </c>
      <c r="H1119" t="str">
        <f t="shared" si="19"/>
        <v>PASS</v>
      </c>
      <c r="I1119" s="90">
        <f>[1]DATABASE!T1080</f>
        <v>950000</v>
      </c>
      <c r="J1119" t="str">
        <f>[1]DATABASE!AC1080</f>
        <v>Ana Damásio</v>
      </c>
    </row>
    <row r="1120" spans="1:10" ht="13.95" customHeight="1" x14ac:dyDescent="0.3">
      <c r="A1120">
        <f>ROW([1]DATABASE!A1081)</f>
        <v>1081</v>
      </c>
      <c r="B1120" t="str">
        <f>[1]DATABASE!AJ1081</f>
        <v>Nobilus</v>
      </c>
      <c r="C1120" t="str">
        <f>[1]DATABASE!C1081</f>
        <v>T</v>
      </c>
      <c r="D1120" t="str">
        <f>TRIM([1]DATABASE!Q1081)</f>
        <v>AVAILABLE</v>
      </c>
      <c r="E1120" s="82" t="str">
        <f>_xlfn.TEXTJOIN("; ",TRUE,IF([1]DATABASE!X1081&lt;0,"Negative Discount",""),IF(AND([1]DATABASE!Y1081&gt;[1]DATABASE!T1081,[1]DATABASE!Y1081&gt;0,[1]DATABASE!T1081&gt;0),"Sell Price &gt; Current",""),IF(AND(TRIM([1]DATABASE!Q1081)="DEED",[1]DATABASE!AA1081=""),"Deeded no PSPA Date",""),IF([1]DATABASE!E1081="","Missing Typology",""),IF([1]DATABASE!AJ1081="","Missing Development",""))</f>
        <v/>
      </c>
      <c r="F1120" s="82" t="str">
        <f>_xlfn.TEXTJOIN("; ",TRUE,IF(AND(OR(TRIM([1]DATABASE!Q1081)="RESERVED",TRIM([1]DATABASE!Q1081)="PRE-RESERVED",TRIM([1]DATABASE!Q1081)="PSPA"),[1]DATABASE!AA1081=""),"Reserved/PSPA no PSPA Date",""),IF(AND(TRIM([1]DATABASE!Q1081)="AVAILABLE",[1]DATABASE!AA1081&lt;&gt;""),"Available has PSPA Date",""))</f>
        <v/>
      </c>
      <c r="G1120" s="82" t="str">
        <f>_xlfn.TEXTJOIN("; ",TRUE,IF(AND([1]DATABASE!T1081&lt;0.8*[1]DATABASE!S1081,[1]DATABASE!T1081&gt;0,[1]DATABASE!S1081&gt;0),"Heavy Price Cut &gt;20%",""),IF(AND(OR(TRIM([1]DATABASE!Q1081)="AVAILABLE",TRIM([1]DATABASE!Q1081)="UPON REQUEST"),OR([1]DATABASE!T1081="",[1]DATABASE!T1081=0)),"Active Unit no Price",""),IF(AND(OR(TRIM([1]DATABASE!Q1081)="AVAILABLE",TRIM([1]DATABASE!Q1081)="RESERVED",TRIM([1]DATABASE!Q1081)="PRE-RESERVED",TRIM([1]DATABASE!Q1081)="PSPA"),[1]DATABASE!AC1081=""),"Active no Owner",""),IF(OR([1]DATABASE!F1081="",[1]DATABASE!F1081&lt;=0),"Missing/Invalid Area",""),IF(AND([1]DATABASE!T1081&gt;0,ABS([1]DATABASE!T1081-[1]DATABASE!W1081-[1]DATABASE!U1081-[1]DATABASE!V1081)&gt;1),"Price Bridge Mismatch",""))</f>
        <v/>
      </c>
      <c r="H1120" t="str">
        <f t="shared" si="19"/>
        <v>PASS</v>
      </c>
      <c r="I1120" s="90">
        <f>[1]DATABASE!T1081</f>
        <v>1110000</v>
      </c>
      <c r="J1120" t="str">
        <f>[1]DATABASE!AC1081</f>
        <v>Ana Damásio</v>
      </c>
    </row>
    <row r="1121" spans="1:10" ht="13.95" customHeight="1" x14ac:dyDescent="0.3">
      <c r="A1121">
        <f>ROW([1]DATABASE!A1082)</f>
        <v>1082</v>
      </c>
      <c r="B1121" t="str">
        <f>[1]DATABASE!AJ1082</f>
        <v>Aroeira Collections</v>
      </c>
      <c r="C1121" t="str">
        <f>[1]DATABASE!C1082</f>
        <v>344A</v>
      </c>
      <c r="D1121" t="str">
        <f>TRIM([1]DATABASE!Q1082)</f>
        <v>AVAILABLE</v>
      </c>
      <c r="E1121" s="82" t="str">
        <f>_xlfn.TEXTJOIN("; ",TRUE,IF([1]DATABASE!X1082&lt;0,"Negative Discount",""),IF(AND([1]DATABASE!Y1082&gt;[1]DATABASE!T1082,[1]DATABASE!Y1082&gt;0,[1]DATABASE!T1082&gt;0),"Sell Price &gt; Current",""),IF(AND(TRIM([1]DATABASE!Q1082)="DEED",[1]DATABASE!AA1082=""),"Deeded no PSPA Date",""),IF([1]DATABASE!E1082="","Missing Typology",""),IF([1]DATABASE!AJ1082="","Missing Development",""))</f>
        <v/>
      </c>
      <c r="F1121" s="82" t="str">
        <f>_xlfn.TEXTJOIN("; ",TRUE,IF(AND(OR(TRIM([1]DATABASE!Q1082)="RESERVED",TRIM([1]DATABASE!Q1082)="PRE-RESERVED",TRIM([1]DATABASE!Q1082)="PSPA"),[1]DATABASE!AA1082=""),"Reserved/PSPA no PSPA Date",""),IF(AND(TRIM([1]DATABASE!Q1082)="AVAILABLE",[1]DATABASE!AA1082&lt;&gt;""),"Available has PSPA Date",""))</f>
        <v/>
      </c>
      <c r="G1121" s="82" t="str">
        <f>_xlfn.TEXTJOIN("; ",TRUE,IF(AND([1]DATABASE!T1082&lt;0.8*[1]DATABASE!S1082,[1]DATABASE!T1082&gt;0,[1]DATABASE!S1082&gt;0),"Heavy Price Cut &gt;20%",""),IF(AND(OR(TRIM([1]DATABASE!Q1082)="AVAILABLE",TRIM([1]DATABASE!Q1082)="UPON REQUEST"),OR([1]DATABASE!T1082="",[1]DATABASE!T1082=0)),"Active Unit no Price",""),IF(AND(OR(TRIM([1]DATABASE!Q1082)="AVAILABLE",TRIM([1]DATABASE!Q1082)="RESERVED",TRIM([1]DATABASE!Q1082)="PRE-RESERVED",TRIM([1]DATABASE!Q1082)="PSPA"),[1]DATABASE!AC1082=""),"Active no Owner",""),IF(OR([1]DATABASE!F1082="",[1]DATABASE!F1082&lt;=0),"Missing/Invalid Area",""),IF(AND([1]DATABASE!T1082&gt;0,ABS([1]DATABASE!T1082-[1]DATABASE!W1082-[1]DATABASE!U1082-[1]DATABASE!V1082)&gt;1),"Price Bridge Mismatch",""))</f>
        <v>Heavy Price Cut &gt;20%</v>
      </c>
      <c r="H1121" t="str">
        <f t="shared" si="19"/>
        <v>REVIEW</v>
      </c>
      <c r="I1121" s="90">
        <f>[1]DATABASE!T1082</f>
        <v>405000</v>
      </c>
      <c r="J1121" t="str">
        <f>[1]DATABASE!AC1082</f>
        <v>João Gameiro</v>
      </c>
    </row>
    <row r="1122" spans="1:10" ht="13.95" customHeight="1" x14ac:dyDescent="0.3">
      <c r="A1122">
        <f>ROW([1]DATABASE!A1083)</f>
        <v>1083</v>
      </c>
      <c r="B1122" t="str">
        <f>[1]DATABASE!AJ1083</f>
        <v>Palmares</v>
      </c>
      <c r="C1122" t="str">
        <f>[1]DATABASE!C1083</f>
        <v>841C</v>
      </c>
      <c r="D1122" t="str">
        <f>TRIM([1]DATABASE!Q1083)</f>
        <v>AVAILABLE</v>
      </c>
      <c r="E1122" s="82" t="str">
        <f>_xlfn.TEXTJOIN("; ",TRUE,IF([1]DATABASE!X1083&lt;0,"Negative Discount",""),IF(AND([1]DATABASE!Y1083&gt;[1]DATABASE!T1083,[1]DATABASE!Y1083&gt;0,[1]DATABASE!T1083&gt;0),"Sell Price &gt; Current",""),IF(AND(TRIM([1]DATABASE!Q1083)="DEED",[1]DATABASE!AA1083=""),"Deeded no PSPA Date",""),IF([1]DATABASE!E1083="","Missing Typology",""),IF([1]DATABASE!AJ1083="","Missing Development",""))</f>
        <v/>
      </c>
      <c r="F1122" s="82" t="str">
        <f>_xlfn.TEXTJOIN("; ",TRUE,IF(AND(OR(TRIM([1]DATABASE!Q1083)="RESERVED",TRIM([1]DATABASE!Q1083)="PRE-RESERVED",TRIM([1]DATABASE!Q1083)="PSPA"),[1]DATABASE!AA1083=""),"Reserved/PSPA no PSPA Date",""),IF(AND(TRIM([1]DATABASE!Q1083)="AVAILABLE",[1]DATABASE!AA1083&lt;&gt;""),"Available has PSPA Date",""))</f>
        <v/>
      </c>
      <c r="G1122" s="82" t="str">
        <f>_xlfn.TEXTJOIN("; ",TRUE,IF(AND([1]DATABASE!T1083&lt;0.8*[1]DATABASE!S1083,[1]DATABASE!T1083&gt;0,[1]DATABASE!S1083&gt;0),"Heavy Price Cut &gt;20%",""),IF(AND(OR(TRIM([1]DATABASE!Q1083)="AVAILABLE",TRIM([1]DATABASE!Q1083)="UPON REQUEST"),OR([1]DATABASE!T1083="",[1]DATABASE!T1083=0)),"Active Unit no Price",""),IF(AND(OR(TRIM([1]DATABASE!Q1083)="AVAILABLE",TRIM([1]DATABASE!Q1083)="RESERVED",TRIM([1]DATABASE!Q1083)="PRE-RESERVED",TRIM([1]DATABASE!Q1083)="PSPA"),[1]DATABASE!AC1083=""),"Active no Owner",""),IF(OR([1]DATABASE!F1083="",[1]DATABASE!F1083&lt;=0),"Missing/Invalid Area",""),IF(AND([1]DATABASE!T1083&gt;0,ABS([1]DATABASE!T1083-[1]DATABASE!W1083-[1]DATABASE!U1083-[1]DATABASE!V1083)&gt;1),"Price Bridge Mismatch",""))</f>
        <v>Active no Owner</v>
      </c>
      <c r="H1122" t="str">
        <f t="shared" si="19"/>
        <v>REVIEW</v>
      </c>
      <c r="I1122" s="90">
        <f>[1]DATABASE!T1083</f>
        <v>850000</v>
      </c>
      <c r="J1122">
        <f>[1]DATABASE!AC1083</f>
        <v>0</v>
      </c>
    </row>
    <row r="1123" spans="1:10" ht="13.95" customHeight="1" x14ac:dyDescent="0.3">
      <c r="A1123">
        <f>ROW([1]DATABASE!A1084)</f>
        <v>1084</v>
      </c>
      <c r="B1123" t="str">
        <f>[1]DATABASE!AJ1084</f>
        <v>Palmares</v>
      </c>
      <c r="C1123" t="str">
        <f>[1]DATABASE!C1084</f>
        <v>9C</v>
      </c>
      <c r="D1123" t="str">
        <f>TRIM([1]DATABASE!Q1084)</f>
        <v>AVAILABLE</v>
      </c>
      <c r="E1123" s="82" t="str">
        <f>_xlfn.TEXTJOIN("; ",TRUE,IF([1]DATABASE!X1084&lt;0,"Negative Discount",""),IF(AND([1]DATABASE!Y1084&gt;[1]DATABASE!T1084,[1]DATABASE!Y1084&gt;0,[1]DATABASE!T1084&gt;0),"Sell Price &gt; Current",""),IF(AND(TRIM([1]DATABASE!Q1084)="DEED",[1]DATABASE!AA1084=""),"Deeded no PSPA Date",""),IF([1]DATABASE!E1084="","Missing Typology",""),IF([1]DATABASE!AJ1084="","Missing Development",""))</f>
        <v/>
      </c>
      <c r="F1123" s="82" t="str">
        <f>_xlfn.TEXTJOIN("; ",TRUE,IF(AND(OR(TRIM([1]DATABASE!Q1084)="RESERVED",TRIM([1]DATABASE!Q1084)="PRE-RESERVED",TRIM([1]DATABASE!Q1084)="PSPA"),[1]DATABASE!AA1084=""),"Reserved/PSPA no PSPA Date",""),IF(AND(TRIM([1]DATABASE!Q1084)="AVAILABLE",[1]DATABASE!AA1084&lt;&gt;""),"Available has PSPA Date",""))</f>
        <v/>
      </c>
      <c r="G1123" s="82" t="str">
        <f>_xlfn.TEXTJOIN("; ",TRUE,IF(AND([1]DATABASE!T1084&lt;0.8*[1]DATABASE!S1084,[1]DATABASE!T1084&gt;0,[1]DATABASE!S1084&gt;0),"Heavy Price Cut &gt;20%",""),IF(AND(OR(TRIM([1]DATABASE!Q1084)="AVAILABLE",TRIM([1]DATABASE!Q1084)="UPON REQUEST"),OR([1]DATABASE!T1084="",[1]DATABASE!T1084=0)),"Active Unit no Price",""),IF(AND(OR(TRIM([1]DATABASE!Q1084)="AVAILABLE",TRIM([1]DATABASE!Q1084)="RESERVED",TRIM([1]DATABASE!Q1084)="PRE-RESERVED",TRIM([1]DATABASE!Q1084)="PSPA"),[1]DATABASE!AC1084=""),"Active no Owner",""),IF(OR([1]DATABASE!F1084="",[1]DATABASE!F1084&lt;=0),"Missing/Invalid Area",""),IF(AND([1]DATABASE!T1084&gt;0,ABS([1]DATABASE!T1084-[1]DATABASE!W1084-[1]DATABASE!U1084-[1]DATABASE!V1084)&gt;1),"Price Bridge Mismatch",""))</f>
        <v>Active no Owner</v>
      </c>
      <c r="H1123" t="str">
        <f t="shared" si="19"/>
        <v>REVIEW</v>
      </c>
      <c r="I1123" s="90">
        <f>[1]DATABASE!T1084</f>
        <v>710000</v>
      </c>
      <c r="J1123">
        <f>[1]DATABASE!AC1084</f>
        <v>0</v>
      </c>
    </row>
    <row r="1124" spans="1:10" ht="13.95" customHeight="1" x14ac:dyDescent="0.3">
      <c r="A1124">
        <f>ROW([1]DATABASE!A1085)</f>
        <v>1085</v>
      </c>
      <c r="B1124" t="str">
        <f>[1]DATABASE!AJ1085</f>
        <v>Springs - At the Els</v>
      </c>
      <c r="C1124" t="str">
        <f>[1]DATABASE!C1085</f>
        <v>T</v>
      </c>
      <c r="D1124" t="str">
        <f>TRIM([1]DATABASE!Q1085)</f>
        <v>AVAILABLE</v>
      </c>
      <c r="E1124" s="82" t="str">
        <f>_xlfn.TEXTJOIN("; ",TRUE,IF([1]DATABASE!X1085&lt;0,"Negative Discount",""),IF(AND([1]DATABASE!Y1085&gt;[1]DATABASE!T1085,[1]DATABASE!Y1085&gt;0,[1]DATABASE!T1085&gt;0),"Sell Price &gt; Current",""),IF(AND(TRIM([1]DATABASE!Q1085)="DEED",[1]DATABASE!AA1085=""),"Deeded no PSPA Date",""),IF([1]DATABASE!E1085="","Missing Typology",""),IF([1]DATABASE!AJ1085="","Missing Development",""))</f>
        <v/>
      </c>
      <c r="F1124" s="82" t="str">
        <f>_xlfn.TEXTJOIN("; ",TRUE,IF(AND(OR(TRIM([1]DATABASE!Q1085)="RESERVED",TRIM([1]DATABASE!Q1085)="PRE-RESERVED",TRIM([1]DATABASE!Q1085)="PSPA"),[1]DATABASE!AA1085=""),"Reserved/PSPA no PSPA Date",""),IF(AND(TRIM([1]DATABASE!Q1085)="AVAILABLE",[1]DATABASE!AA1085&lt;&gt;""),"Available has PSPA Date",""))</f>
        <v/>
      </c>
      <c r="G1124" s="82" t="str">
        <f>_xlfn.TEXTJOIN("; ",TRUE,IF(AND([1]DATABASE!T1085&lt;0.8*[1]DATABASE!S1085,[1]DATABASE!T1085&gt;0,[1]DATABASE!S1085&gt;0),"Heavy Price Cut &gt;20%",""),IF(AND(OR(TRIM([1]DATABASE!Q1085)="AVAILABLE",TRIM([1]DATABASE!Q1085)="UPON REQUEST"),OR([1]DATABASE!T1085="",[1]DATABASE!T1085=0)),"Active Unit no Price",""),IF(AND(OR(TRIM([1]DATABASE!Q1085)="AVAILABLE",TRIM([1]DATABASE!Q1085)="RESERVED",TRIM([1]DATABASE!Q1085)="PRE-RESERVED",TRIM([1]DATABASE!Q1085)="PSPA"),[1]DATABASE!AC1085=""),"Active no Owner",""),IF(OR([1]DATABASE!F1085="",[1]DATABASE!F1085&lt;=0),"Missing/Invalid Area",""),IF(AND([1]DATABASE!T1085&gt;0,ABS([1]DATABASE!T1085-[1]DATABASE!W1085-[1]DATABASE!U1085-[1]DATABASE!V1085)&gt;1),"Price Bridge Mismatch",""))</f>
        <v/>
      </c>
      <c r="H1124" t="str">
        <f t="shared" si="19"/>
        <v>PASS</v>
      </c>
      <c r="I1124" s="90">
        <f>[1]DATABASE!T1085</f>
        <v>1730000</v>
      </c>
      <c r="J1124" t="str">
        <f>[1]DATABASE!AC1085</f>
        <v>Ana Damásio</v>
      </c>
    </row>
    <row r="1125" spans="1:10" ht="13.95" customHeight="1" x14ac:dyDescent="0.3">
      <c r="A1125">
        <f>ROW([1]DATABASE!A1086)</f>
        <v>1086</v>
      </c>
      <c r="B1125" t="str">
        <f>[1]DATABASE!AJ1086</f>
        <v>Aroeira Collections</v>
      </c>
      <c r="C1125" t="str">
        <f>[1]DATABASE!C1086</f>
        <v>345A</v>
      </c>
      <c r="D1125" t="str">
        <f>TRIM([1]DATABASE!Q1086)</f>
        <v>AVAILABLE</v>
      </c>
      <c r="E1125" s="82" t="str">
        <f>_xlfn.TEXTJOIN("; ",TRUE,IF([1]DATABASE!X1086&lt;0,"Negative Discount",""),IF(AND([1]DATABASE!Y1086&gt;[1]DATABASE!T1086,[1]DATABASE!Y1086&gt;0,[1]DATABASE!T1086&gt;0),"Sell Price &gt; Current",""),IF(AND(TRIM([1]DATABASE!Q1086)="DEED",[1]DATABASE!AA1086=""),"Deeded no PSPA Date",""),IF([1]DATABASE!E1086="","Missing Typology",""),IF([1]DATABASE!AJ1086="","Missing Development",""))</f>
        <v/>
      </c>
      <c r="F1125" s="82" t="str">
        <f>_xlfn.TEXTJOIN("; ",TRUE,IF(AND(OR(TRIM([1]DATABASE!Q1086)="RESERVED",TRIM([1]DATABASE!Q1086)="PRE-RESERVED",TRIM([1]DATABASE!Q1086)="PSPA"),[1]DATABASE!AA1086=""),"Reserved/PSPA no PSPA Date",""),IF(AND(TRIM([1]DATABASE!Q1086)="AVAILABLE",[1]DATABASE!AA1086&lt;&gt;""),"Available has PSPA Date",""))</f>
        <v/>
      </c>
      <c r="G1125" s="82" t="str">
        <f>_xlfn.TEXTJOIN("; ",TRUE,IF(AND([1]DATABASE!T1086&lt;0.8*[1]DATABASE!S1086,[1]DATABASE!T1086&gt;0,[1]DATABASE!S1086&gt;0),"Heavy Price Cut &gt;20%",""),IF(AND(OR(TRIM([1]DATABASE!Q1086)="AVAILABLE",TRIM([1]DATABASE!Q1086)="UPON REQUEST"),OR([1]DATABASE!T1086="",[1]DATABASE!T1086=0)),"Active Unit no Price",""),IF(AND(OR(TRIM([1]DATABASE!Q1086)="AVAILABLE",TRIM([1]DATABASE!Q1086)="RESERVED",TRIM([1]DATABASE!Q1086)="PRE-RESERVED",TRIM([1]DATABASE!Q1086)="PSPA"),[1]DATABASE!AC1086=""),"Active no Owner",""),IF(OR([1]DATABASE!F1086="",[1]DATABASE!F1086&lt;=0),"Missing/Invalid Area",""),IF(AND([1]DATABASE!T1086&gt;0,ABS([1]DATABASE!T1086-[1]DATABASE!W1086-[1]DATABASE!U1086-[1]DATABASE!V1086)&gt;1),"Price Bridge Mismatch",""))</f>
        <v>Heavy Price Cut &gt;20%</v>
      </c>
      <c r="H1125" t="str">
        <f t="shared" si="19"/>
        <v>REVIEW</v>
      </c>
      <c r="I1125" s="90">
        <f>[1]DATABASE!T1086</f>
        <v>405000</v>
      </c>
      <c r="J1125" t="str">
        <f>[1]DATABASE!AC1086</f>
        <v>João Gameiro</v>
      </c>
    </row>
    <row r="1126" spans="1:10" ht="13.95" customHeight="1" x14ac:dyDescent="0.3">
      <c r="A1126">
        <f>ROW([1]DATABASE!A1087)</f>
        <v>1087</v>
      </c>
      <c r="B1126" t="str">
        <f>[1]DATABASE!AJ1087</f>
        <v>Zestia</v>
      </c>
      <c r="C1126" t="str">
        <f>[1]DATABASE!C1087</f>
        <v>T</v>
      </c>
      <c r="D1126" t="str">
        <f>TRIM([1]DATABASE!Q1087)</f>
        <v>AVAILABLE</v>
      </c>
      <c r="E1126" s="82" t="str">
        <f>_xlfn.TEXTJOIN("; ",TRUE,IF([1]DATABASE!X1087&lt;0,"Negative Discount",""),IF(AND([1]DATABASE!Y1087&gt;[1]DATABASE!T1087,[1]DATABASE!Y1087&gt;0,[1]DATABASE!T1087&gt;0),"Sell Price &gt; Current",""),IF(AND(TRIM([1]DATABASE!Q1087)="DEED",[1]DATABASE!AA1087=""),"Deeded no PSPA Date",""),IF([1]DATABASE!E1087="","Missing Typology",""),IF([1]DATABASE!AJ1087="","Missing Development",""))</f>
        <v/>
      </c>
      <c r="F1126" s="82" t="str">
        <f>_xlfn.TEXTJOIN("; ",TRUE,IF(AND(OR(TRIM([1]DATABASE!Q1087)="RESERVED",TRIM([1]DATABASE!Q1087)="PRE-RESERVED",TRIM([1]DATABASE!Q1087)="PSPA"),[1]DATABASE!AA1087=""),"Reserved/PSPA no PSPA Date",""),IF(AND(TRIM([1]DATABASE!Q1087)="AVAILABLE",[1]DATABASE!AA1087&lt;&gt;""),"Available has PSPA Date",""))</f>
        <v/>
      </c>
      <c r="G1126" s="82" t="str">
        <f>_xlfn.TEXTJOIN("; ",TRUE,IF(AND([1]DATABASE!T1087&lt;0.8*[1]DATABASE!S1087,[1]DATABASE!T1087&gt;0,[1]DATABASE!S1087&gt;0),"Heavy Price Cut &gt;20%",""),IF(AND(OR(TRIM([1]DATABASE!Q1087)="AVAILABLE",TRIM([1]DATABASE!Q1087)="UPON REQUEST"),OR([1]DATABASE!T1087="",[1]DATABASE!T1087=0)),"Active Unit no Price",""),IF(AND(OR(TRIM([1]DATABASE!Q1087)="AVAILABLE",TRIM([1]DATABASE!Q1087)="RESERVED",TRIM([1]DATABASE!Q1087)="PRE-RESERVED",TRIM([1]DATABASE!Q1087)="PSPA"),[1]DATABASE!AC1087=""),"Active no Owner",""),IF(OR([1]DATABASE!F1087="",[1]DATABASE!F1087&lt;=0),"Missing/Invalid Area",""),IF(AND([1]DATABASE!T1087&gt;0,ABS([1]DATABASE!T1087-[1]DATABASE!W1087-[1]DATABASE!U1087-[1]DATABASE!V1087)&gt;1),"Price Bridge Mismatch",""))</f>
        <v/>
      </c>
      <c r="H1126" t="str">
        <f t="shared" si="19"/>
        <v>PASS</v>
      </c>
      <c r="I1126" s="90">
        <f>[1]DATABASE!T1087</f>
        <v>860000</v>
      </c>
      <c r="J1126" t="str">
        <f>[1]DATABASE!AC1087</f>
        <v>Ana Damásio</v>
      </c>
    </row>
    <row r="1127" spans="1:10" ht="13.95" customHeight="1" x14ac:dyDescent="0.3">
      <c r="A1127">
        <f>ROW([1]DATABASE!A1088)</f>
        <v>1088</v>
      </c>
      <c r="B1127" t="str">
        <f>[1]DATABASE!AJ1088</f>
        <v>Botanica</v>
      </c>
      <c r="C1127" t="str">
        <f>[1]DATABASE!C1088</f>
        <v>U</v>
      </c>
      <c r="D1127" t="str">
        <f>TRIM([1]DATABASE!Q1088)</f>
        <v>AVAILABLE</v>
      </c>
      <c r="E1127" s="82" t="str">
        <f>_xlfn.TEXTJOIN("; ",TRUE,IF([1]DATABASE!X1088&lt;0,"Negative Discount",""),IF(AND([1]DATABASE!Y1088&gt;[1]DATABASE!T1088,[1]DATABASE!Y1088&gt;0,[1]DATABASE!T1088&gt;0),"Sell Price &gt; Current",""),IF(AND(TRIM([1]DATABASE!Q1088)="DEED",[1]DATABASE!AA1088=""),"Deeded no PSPA Date",""),IF([1]DATABASE!E1088="","Missing Typology",""),IF([1]DATABASE!AJ1088="","Missing Development",""))</f>
        <v>Sell Price &gt; Current</v>
      </c>
      <c r="F1127" s="82" t="str">
        <f>_xlfn.TEXTJOIN("; ",TRUE,IF(AND(OR(TRIM([1]DATABASE!Q1088)="RESERVED",TRIM([1]DATABASE!Q1088)="PRE-RESERVED",TRIM([1]DATABASE!Q1088)="PSPA"),[1]DATABASE!AA1088=""),"Reserved/PSPA no PSPA Date",""),IF(AND(TRIM([1]DATABASE!Q1088)="AVAILABLE",[1]DATABASE!AA1088&lt;&gt;""),"Available has PSPA Date",""))</f>
        <v/>
      </c>
      <c r="G1127" s="82" t="str">
        <f>_xlfn.TEXTJOIN("; ",TRUE,IF(AND([1]DATABASE!T1088&lt;0.8*[1]DATABASE!S1088,[1]DATABASE!T1088&gt;0,[1]DATABASE!S1088&gt;0),"Heavy Price Cut &gt;20%",""),IF(AND(OR(TRIM([1]DATABASE!Q1088)="AVAILABLE",TRIM([1]DATABASE!Q1088)="UPON REQUEST"),OR([1]DATABASE!T1088="",[1]DATABASE!T1088=0)),"Active Unit no Price",""),IF(AND(OR(TRIM([1]DATABASE!Q1088)="AVAILABLE",TRIM([1]DATABASE!Q1088)="RESERVED",TRIM([1]DATABASE!Q1088)="PRE-RESERVED",TRIM([1]DATABASE!Q1088)="PSPA"),[1]DATABASE!AC1088=""),"Active no Owner",""),IF(OR([1]DATABASE!F1088="",[1]DATABASE!F1088&lt;=0),"Missing/Invalid Area",""),IF(AND([1]DATABASE!T1088&gt;0,ABS([1]DATABASE!T1088-[1]DATABASE!W1088-[1]DATABASE!U1088-[1]DATABASE!V1088)&gt;1),"Price Bridge Mismatch",""))</f>
        <v/>
      </c>
      <c r="H1127" t="str">
        <f t="shared" si="19"/>
        <v>REVIEW</v>
      </c>
      <c r="I1127" s="90">
        <f>[1]DATABASE!T1088</f>
        <v>895000</v>
      </c>
      <c r="J1127" t="str">
        <f>[1]DATABASE!AC1088</f>
        <v>Ana Damásio</v>
      </c>
    </row>
    <row r="1128" spans="1:10" ht="13.95" customHeight="1" x14ac:dyDescent="0.3">
      <c r="A1128">
        <f>ROW([1]DATABASE!A1089)</f>
        <v>1089</v>
      </c>
      <c r="B1128" t="str">
        <f>[1]DATABASE!AJ1089</f>
        <v>Aroeira Collections</v>
      </c>
      <c r="C1128" t="str">
        <f>[1]DATABASE!C1089</f>
        <v>346A</v>
      </c>
      <c r="D1128" t="str">
        <f>TRIM([1]DATABASE!Q1089)</f>
        <v>AVAILABLE</v>
      </c>
      <c r="E1128" s="82" t="str">
        <f>_xlfn.TEXTJOIN("; ",TRUE,IF([1]DATABASE!X1089&lt;0,"Negative Discount",""),IF(AND([1]DATABASE!Y1089&gt;[1]DATABASE!T1089,[1]DATABASE!Y1089&gt;0,[1]DATABASE!T1089&gt;0),"Sell Price &gt; Current",""),IF(AND(TRIM([1]DATABASE!Q1089)="DEED",[1]DATABASE!AA1089=""),"Deeded no PSPA Date",""),IF([1]DATABASE!E1089="","Missing Typology",""),IF([1]DATABASE!AJ1089="","Missing Development",""))</f>
        <v/>
      </c>
      <c r="F1128" s="82" t="str">
        <f>_xlfn.TEXTJOIN("; ",TRUE,IF(AND(OR(TRIM([1]DATABASE!Q1089)="RESERVED",TRIM([1]DATABASE!Q1089)="PRE-RESERVED",TRIM([1]DATABASE!Q1089)="PSPA"),[1]DATABASE!AA1089=""),"Reserved/PSPA no PSPA Date",""),IF(AND(TRIM([1]DATABASE!Q1089)="AVAILABLE",[1]DATABASE!AA1089&lt;&gt;""),"Available has PSPA Date",""))</f>
        <v/>
      </c>
      <c r="G1128" s="82" t="str">
        <f>_xlfn.TEXTJOIN("; ",TRUE,IF(AND([1]DATABASE!T1089&lt;0.8*[1]DATABASE!S1089,[1]DATABASE!T1089&gt;0,[1]DATABASE!S1089&gt;0),"Heavy Price Cut &gt;20%",""),IF(AND(OR(TRIM([1]DATABASE!Q1089)="AVAILABLE",TRIM([1]DATABASE!Q1089)="UPON REQUEST"),OR([1]DATABASE!T1089="",[1]DATABASE!T1089=0)),"Active Unit no Price",""),IF(AND(OR(TRIM([1]DATABASE!Q1089)="AVAILABLE",TRIM([1]DATABASE!Q1089)="RESERVED",TRIM([1]DATABASE!Q1089)="PRE-RESERVED",TRIM([1]DATABASE!Q1089)="PSPA"),[1]DATABASE!AC1089=""),"Active no Owner",""),IF(OR([1]DATABASE!F1089="",[1]DATABASE!F1089&lt;=0),"Missing/Invalid Area",""),IF(AND([1]DATABASE!T1089&gt;0,ABS([1]DATABASE!T1089-[1]DATABASE!W1089-[1]DATABASE!U1089-[1]DATABASE!V1089)&gt;1),"Price Bridge Mismatch",""))</f>
        <v>Heavy Price Cut &gt;20%</v>
      </c>
      <c r="H1128" t="str">
        <f t="shared" si="19"/>
        <v>REVIEW</v>
      </c>
      <c r="I1128" s="90">
        <f>[1]DATABASE!T1089</f>
        <v>405000</v>
      </c>
      <c r="J1128" t="str">
        <f>[1]DATABASE!AC1089</f>
        <v>João Gameiro</v>
      </c>
    </row>
    <row r="1129" spans="1:10" ht="13.95" customHeight="1" x14ac:dyDescent="0.3">
      <c r="A1129">
        <f>ROW([1]DATABASE!A1090)</f>
        <v>1090</v>
      </c>
      <c r="B1129" t="str">
        <f>[1]DATABASE!AJ1090</f>
        <v>Nobilus</v>
      </c>
      <c r="C1129" t="str">
        <f>[1]DATABASE!C1090</f>
        <v>U</v>
      </c>
      <c r="D1129" t="str">
        <f>TRIM([1]DATABASE!Q1090)</f>
        <v>AVAILABLE</v>
      </c>
      <c r="E1129" s="82" t="str">
        <f>_xlfn.TEXTJOIN("; ",TRUE,IF([1]DATABASE!X1090&lt;0,"Negative Discount",""),IF(AND([1]DATABASE!Y1090&gt;[1]DATABASE!T1090,[1]DATABASE!Y1090&gt;0,[1]DATABASE!T1090&gt;0),"Sell Price &gt; Current",""),IF(AND(TRIM([1]DATABASE!Q1090)="DEED",[1]DATABASE!AA1090=""),"Deeded no PSPA Date",""),IF([1]DATABASE!E1090="","Missing Typology",""),IF([1]DATABASE!AJ1090="","Missing Development",""))</f>
        <v/>
      </c>
      <c r="F1129" s="82" t="str">
        <f>_xlfn.TEXTJOIN("; ",TRUE,IF(AND(OR(TRIM([1]DATABASE!Q1090)="RESERVED",TRIM([1]DATABASE!Q1090)="PRE-RESERVED",TRIM([1]DATABASE!Q1090)="PSPA"),[1]DATABASE!AA1090=""),"Reserved/PSPA no PSPA Date",""),IF(AND(TRIM([1]DATABASE!Q1090)="AVAILABLE",[1]DATABASE!AA1090&lt;&gt;""),"Available has PSPA Date",""))</f>
        <v/>
      </c>
      <c r="G1129" s="82" t="str">
        <f>_xlfn.TEXTJOIN("; ",TRUE,IF(AND([1]DATABASE!T1090&lt;0.8*[1]DATABASE!S1090,[1]DATABASE!T1090&gt;0,[1]DATABASE!S1090&gt;0),"Heavy Price Cut &gt;20%",""),IF(AND(OR(TRIM([1]DATABASE!Q1090)="AVAILABLE",TRIM([1]DATABASE!Q1090)="UPON REQUEST"),OR([1]DATABASE!T1090="",[1]DATABASE!T1090=0)),"Active Unit no Price",""),IF(AND(OR(TRIM([1]DATABASE!Q1090)="AVAILABLE",TRIM([1]DATABASE!Q1090)="RESERVED",TRIM([1]DATABASE!Q1090)="PRE-RESERVED",TRIM([1]DATABASE!Q1090)="PSPA"),[1]DATABASE!AC1090=""),"Active no Owner",""),IF(OR([1]DATABASE!F1090="",[1]DATABASE!F1090&lt;=0),"Missing/Invalid Area",""),IF(AND([1]DATABASE!T1090&gt;0,ABS([1]DATABASE!T1090-[1]DATABASE!W1090-[1]DATABASE!U1090-[1]DATABASE!V1090)&gt;1),"Price Bridge Mismatch",""))</f>
        <v/>
      </c>
      <c r="H1129" t="str">
        <f t="shared" si="19"/>
        <v>PASS</v>
      </c>
      <c r="I1129" s="90">
        <f>[1]DATABASE!T1090</f>
        <v>710000</v>
      </c>
      <c r="J1129" t="str">
        <f>[1]DATABASE!AC1090</f>
        <v>Ana Damásio</v>
      </c>
    </row>
    <row r="1130" spans="1:10" ht="13.95" customHeight="1" x14ac:dyDescent="0.3">
      <c r="A1130">
        <f>ROW([1]DATABASE!A1091)</f>
        <v>1091</v>
      </c>
      <c r="B1130" t="str">
        <f>[1]DATABASE!AJ1091</f>
        <v>Rivus</v>
      </c>
      <c r="C1130" t="str">
        <f>[1]DATABASE!C1091</f>
        <v>U</v>
      </c>
      <c r="D1130" t="str">
        <f>TRIM([1]DATABASE!Q1091)</f>
        <v>AVAILABLE</v>
      </c>
      <c r="E1130" s="82" t="str">
        <f>_xlfn.TEXTJOIN("; ",TRUE,IF([1]DATABASE!X1091&lt;0,"Negative Discount",""),IF(AND([1]DATABASE!Y1091&gt;[1]DATABASE!T1091,[1]DATABASE!Y1091&gt;0,[1]DATABASE!T1091&gt;0),"Sell Price &gt; Current",""),IF(AND(TRIM([1]DATABASE!Q1091)="DEED",[1]DATABASE!AA1091=""),"Deeded no PSPA Date",""),IF([1]DATABASE!E1091="","Missing Typology",""),IF([1]DATABASE!AJ1091="","Missing Development",""))</f>
        <v/>
      </c>
      <c r="F1130" s="82" t="str">
        <f>_xlfn.TEXTJOIN("; ",TRUE,IF(AND(OR(TRIM([1]DATABASE!Q1091)="RESERVED",TRIM([1]DATABASE!Q1091)="PRE-RESERVED",TRIM([1]DATABASE!Q1091)="PSPA"),[1]DATABASE!AA1091=""),"Reserved/PSPA no PSPA Date",""),IF(AND(TRIM([1]DATABASE!Q1091)="AVAILABLE",[1]DATABASE!AA1091&lt;&gt;""),"Available has PSPA Date",""))</f>
        <v/>
      </c>
      <c r="G1130" s="82" t="str">
        <f>_xlfn.TEXTJOIN("; ",TRUE,IF(AND([1]DATABASE!T1091&lt;0.8*[1]DATABASE!S1091,[1]DATABASE!T1091&gt;0,[1]DATABASE!S1091&gt;0),"Heavy Price Cut &gt;20%",""),IF(AND(OR(TRIM([1]DATABASE!Q1091)="AVAILABLE",TRIM([1]DATABASE!Q1091)="UPON REQUEST"),OR([1]DATABASE!T1091="",[1]DATABASE!T1091=0)),"Active Unit no Price",""),IF(AND(OR(TRIM([1]DATABASE!Q1091)="AVAILABLE",TRIM([1]DATABASE!Q1091)="RESERVED",TRIM([1]DATABASE!Q1091)="PRE-RESERVED",TRIM([1]DATABASE!Q1091)="PSPA"),[1]DATABASE!AC1091=""),"Active no Owner",""),IF(OR([1]DATABASE!F1091="",[1]DATABASE!F1091&lt;=0),"Missing/Invalid Area",""),IF(AND([1]DATABASE!T1091&gt;0,ABS([1]DATABASE!T1091-[1]DATABASE!W1091-[1]DATABASE!U1091-[1]DATABASE!V1091)&gt;1),"Price Bridge Mismatch",""))</f>
        <v>Missing/Invalid Area</v>
      </c>
      <c r="H1130" t="str">
        <f t="shared" ref="H1130:H1181" si="20">IF(LEN(E1130&amp;F1130&amp;G1130)&gt;0,"REVIEW","PASS")</f>
        <v>REVIEW</v>
      </c>
      <c r="I1130" s="90">
        <f>[1]DATABASE!T1091</f>
        <v>790000</v>
      </c>
      <c r="J1130" t="str">
        <f>[1]DATABASE!AC1091</f>
        <v>Ana Damásio</v>
      </c>
    </row>
    <row r="1131" spans="1:10" ht="13.95" customHeight="1" x14ac:dyDescent="0.3">
      <c r="A1131">
        <f>ROW([1]DATABASE!A1092)</f>
        <v>1092</v>
      </c>
      <c r="B1131" t="str">
        <f>[1]DATABASE!AJ1092</f>
        <v>Monte Rei</v>
      </c>
      <c r="C1131" t="str">
        <f>[1]DATABASE!C1092</f>
        <v>19</v>
      </c>
      <c r="D1131" t="str">
        <f>TRIM([1]DATABASE!Q1092)</f>
        <v>AVAILABLE</v>
      </c>
      <c r="E1131" s="82" t="str">
        <f>_xlfn.TEXTJOIN("; ",TRUE,IF([1]DATABASE!X1092&lt;0,"Negative Discount",""),IF(AND([1]DATABASE!Y1092&gt;[1]DATABASE!T1092,[1]DATABASE!Y1092&gt;0,[1]DATABASE!T1092&gt;0),"Sell Price &gt; Current",""),IF(AND(TRIM([1]DATABASE!Q1092)="DEED",[1]DATABASE!AA1092=""),"Deeded no PSPA Date",""),IF([1]DATABASE!E1092="","Missing Typology",""),IF([1]DATABASE!AJ1092="","Missing Development",""))</f>
        <v/>
      </c>
      <c r="F1131" s="82" t="str">
        <f>_xlfn.TEXTJOIN("; ",TRUE,IF(AND(OR(TRIM([1]DATABASE!Q1092)="RESERVED",TRIM([1]DATABASE!Q1092)="PRE-RESERVED",TRIM([1]DATABASE!Q1092)="PSPA"),[1]DATABASE!AA1092=""),"Reserved/PSPA no PSPA Date",""),IF(AND(TRIM([1]DATABASE!Q1092)="AVAILABLE",[1]DATABASE!AA1092&lt;&gt;""),"Available has PSPA Date",""))</f>
        <v/>
      </c>
      <c r="G1131" s="82" t="str">
        <f>_xlfn.TEXTJOIN("; ",TRUE,IF(AND([1]DATABASE!T1092&lt;0.8*[1]DATABASE!S1092,[1]DATABASE!T1092&gt;0,[1]DATABASE!S1092&gt;0),"Heavy Price Cut &gt;20%",""),IF(AND(OR(TRIM([1]DATABASE!Q1092)="AVAILABLE",TRIM([1]DATABASE!Q1092)="UPON REQUEST"),OR([1]DATABASE!T1092="",[1]DATABASE!T1092=0)),"Active Unit no Price",""),IF(AND(OR(TRIM([1]DATABASE!Q1092)="AVAILABLE",TRIM([1]DATABASE!Q1092)="RESERVED",TRIM([1]DATABASE!Q1092)="PRE-RESERVED",TRIM([1]DATABASE!Q1092)="PSPA"),[1]DATABASE!AC1092=""),"Active no Owner",""),IF(OR([1]DATABASE!F1092="",[1]DATABASE!F1092&lt;=0),"Missing/Invalid Area",""),IF(AND([1]DATABASE!T1092&gt;0,ABS([1]DATABASE!T1092-[1]DATABASE!W1092-[1]DATABASE!U1092-[1]DATABASE!V1092)&gt;1),"Price Bridge Mismatch",""))</f>
        <v>Heavy Price Cut &gt;20%</v>
      </c>
      <c r="H1131" t="str">
        <f t="shared" si="20"/>
        <v>REVIEW</v>
      </c>
      <c r="I1131" s="90">
        <f>[1]DATABASE!T1092</f>
        <v>2260000</v>
      </c>
      <c r="J1131" t="str">
        <f>[1]DATABASE!AC1092</f>
        <v>Sandra Viegas</v>
      </c>
    </row>
    <row r="1132" spans="1:10" ht="13.95" customHeight="1" x14ac:dyDescent="0.3">
      <c r="A1132">
        <f>ROW([1]DATABASE!A1093)</f>
        <v>1093</v>
      </c>
      <c r="B1132" t="str">
        <f>[1]DATABASE!AJ1093</f>
        <v>Springs - At the Els</v>
      </c>
      <c r="C1132" t="str">
        <f>[1]DATABASE!C1093</f>
        <v>U</v>
      </c>
      <c r="D1132" t="str">
        <f>TRIM([1]DATABASE!Q1093)</f>
        <v>AVAILABLE</v>
      </c>
      <c r="E1132" s="82" t="str">
        <f>_xlfn.TEXTJOIN("; ",TRUE,IF([1]DATABASE!X1093&lt;0,"Negative Discount",""),IF(AND([1]DATABASE!Y1093&gt;[1]DATABASE!T1093,[1]DATABASE!Y1093&gt;0,[1]DATABASE!T1093&gt;0),"Sell Price &gt; Current",""),IF(AND(TRIM([1]DATABASE!Q1093)="DEED",[1]DATABASE!AA1093=""),"Deeded no PSPA Date",""),IF([1]DATABASE!E1093="","Missing Typology",""),IF([1]DATABASE!AJ1093="","Missing Development",""))</f>
        <v/>
      </c>
      <c r="F1132" s="82" t="str">
        <f>_xlfn.TEXTJOIN("; ",TRUE,IF(AND(OR(TRIM([1]DATABASE!Q1093)="RESERVED",TRIM([1]DATABASE!Q1093)="PRE-RESERVED",TRIM([1]DATABASE!Q1093)="PSPA"),[1]DATABASE!AA1093=""),"Reserved/PSPA no PSPA Date",""),IF(AND(TRIM([1]DATABASE!Q1093)="AVAILABLE",[1]DATABASE!AA1093&lt;&gt;""),"Available has PSPA Date",""))</f>
        <v/>
      </c>
      <c r="G1132" s="82" t="str">
        <f>_xlfn.TEXTJOIN("; ",TRUE,IF(AND([1]DATABASE!T1093&lt;0.8*[1]DATABASE!S1093,[1]DATABASE!T1093&gt;0,[1]DATABASE!S1093&gt;0),"Heavy Price Cut &gt;20%",""),IF(AND(OR(TRIM([1]DATABASE!Q1093)="AVAILABLE",TRIM([1]DATABASE!Q1093)="UPON REQUEST"),OR([1]DATABASE!T1093="",[1]DATABASE!T1093=0)),"Active Unit no Price",""),IF(AND(OR(TRIM([1]DATABASE!Q1093)="AVAILABLE",TRIM([1]DATABASE!Q1093)="RESERVED",TRIM([1]DATABASE!Q1093)="PRE-RESERVED",TRIM([1]DATABASE!Q1093)="PSPA"),[1]DATABASE!AC1093=""),"Active no Owner",""),IF(OR([1]DATABASE!F1093="",[1]DATABASE!F1093&lt;=0),"Missing/Invalid Area",""),IF(AND([1]DATABASE!T1093&gt;0,ABS([1]DATABASE!T1093-[1]DATABASE!W1093-[1]DATABASE!U1093-[1]DATABASE!V1093)&gt;1),"Price Bridge Mismatch",""))</f>
        <v/>
      </c>
      <c r="H1132" t="str">
        <f t="shared" si="20"/>
        <v>PASS</v>
      </c>
      <c r="I1132" s="90">
        <f>[1]DATABASE!T1093</f>
        <v>1730000</v>
      </c>
      <c r="J1132" t="str">
        <f>[1]DATABASE!AC1093</f>
        <v>Ana Damásio</v>
      </c>
    </row>
    <row r="1133" spans="1:10" ht="13.95" customHeight="1" x14ac:dyDescent="0.3">
      <c r="A1133">
        <f>ROW([1]DATABASE!A1094)</f>
        <v>1094</v>
      </c>
      <c r="B1133" t="str">
        <f>[1]DATABASE!AJ1094</f>
        <v>Zestia</v>
      </c>
      <c r="C1133" t="str">
        <f>[1]DATABASE!C1094</f>
        <v>U</v>
      </c>
      <c r="D1133" t="str">
        <f>TRIM([1]DATABASE!Q1094)</f>
        <v>AVAILABLE</v>
      </c>
      <c r="E1133" s="82" t="str">
        <f>_xlfn.TEXTJOIN("; ",TRUE,IF([1]DATABASE!X1094&lt;0,"Negative Discount",""),IF(AND([1]DATABASE!Y1094&gt;[1]DATABASE!T1094,[1]DATABASE!Y1094&gt;0,[1]DATABASE!T1094&gt;0),"Sell Price &gt; Current",""),IF(AND(TRIM([1]DATABASE!Q1094)="DEED",[1]DATABASE!AA1094=""),"Deeded no PSPA Date",""),IF([1]DATABASE!E1094="","Missing Typology",""),IF([1]DATABASE!AJ1094="","Missing Development",""))</f>
        <v/>
      </c>
      <c r="F1133" s="82" t="str">
        <f>_xlfn.TEXTJOIN("; ",TRUE,IF(AND(OR(TRIM([1]DATABASE!Q1094)="RESERVED",TRIM([1]DATABASE!Q1094)="PRE-RESERVED",TRIM([1]DATABASE!Q1094)="PSPA"),[1]DATABASE!AA1094=""),"Reserved/PSPA no PSPA Date",""),IF(AND(TRIM([1]DATABASE!Q1094)="AVAILABLE",[1]DATABASE!AA1094&lt;&gt;""),"Available has PSPA Date",""))</f>
        <v/>
      </c>
      <c r="G1133" s="82" t="str">
        <f>_xlfn.TEXTJOIN("; ",TRUE,IF(AND([1]DATABASE!T1094&lt;0.8*[1]DATABASE!S1094,[1]DATABASE!T1094&gt;0,[1]DATABASE!S1094&gt;0),"Heavy Price Cut &gt;20%",""),IF(AND(OR(TRIM([1]DATABASE!Q1094)="AVAILABLE",TRIM([1]DATABASE!Q1094)="UPON REQUEST"),OR([1]DATABASE!T1094="",[1]DATABASE!T1094=0)),"Active Unit no Price",""),IF(AND(OR(TRIM([1]DATABASE!Q1094)="AVAILABLE",TRIM([1]DATABASE!Q1094)="RESERVED",TRIM([1]DATABASE!Q1094)="PRE-RESERVED",TRIM([1]DATABASE!Q1094)="PSPA"),[1]DATABASE!AC1094=""),"Active no Owner",""),IF(OR([1]DATABASE!F1094="",[1]DATABASE!F1094&lt;=0),"Missing/Invalid Area",""),IF(AND([1]DATABASE!T1094&gt;0,ABS([1]DATABASE!T1094-[1]DATABASE!W1094-[1]DATABASE!U1094-[1]DATABASE!V1094)&gt;1),"Price Bridge Mismatch",""))</f>
        <v/>
      </c>
      <c r="H1133" t="str">
        <f t="shared" si="20"/>
        <v>PASS</v>
      </c>
      <c r="I1133" s="90">
        <f>[1]DATABASE!T1094</f>
        <v>850000</v>
      </c>
      <c r="J1133" t="str">
        <f>[1]DATABASE!AC1094</f>
        <v>Ana Damásio</v>
      </c>
    </row>
    <row r="1134" spans="1:10" ht="13.95" customHeight="1" x14ac:dyDescent="0.3">
      <c r="A1134">
        <f>ROW([1]DATABASE!A1095)</f>
        <v>1095</v>
      </c>
      <c r="B1134" t="str">
        <f>[1]DATABASE!AJ1095</f>
        <v>Botanica</v>
      </c>
      <c r="C1134" t="str">
        <f>[1]DATABASE!C1095</f>
        <v>V</v>
      </c>
      <c r="D1134" t="str">
        <f>TRIM([1]DATABASE!Q1095)</f>
        <v>AVAILABLE</v>
      </c>
      <c r="E1134" s="82" t="str">
        <f>_xlfn.TEXTJOIN("; ",TRUE,IF([1]DATABASE!X1095&lt;0,"Negative Discount",""),IF(AND([1]DATABASE!Y1095&gt;[1]DATABASE!T1095,[1]DATABASE!Y1095&gt;0,[1]DATABASE!T1095&gt;0),"Sell Price &gt; Current",""),IF(AND(TRIM([1]DATABASE!Q1095)="DEED",[1]DATABASE!AA1095=""),"Deeded no PSPA Date",""),IF([1]DATABASE!E1095="","Missing Typology",""),IF([1]DATABASE!AJ1095="","Missing Development",""))</f>
        <v/>
      </c>
      <c r="F1134" s="82" t="str">
        <f>_xlfn.TEXTJOIN("; ",TRUE,IF(AND(OR(TRIM([1]DATABASE!Q1095)="RESERVED",TRIM([1]DATABASE!Q1095)="PRE-RESERVED",TRIM([1]DATABASE!Q1095)="PSPA"),[1]DATABASE!AA1095=""),"Reserved/PSPA no PSPA Date",""),IF(AND(TRIM([1]DATABASE!Q1095)="AVAILABLE",[1]DATABASE!AA1095&lt;&gt;""),"Available has PSPA Date",""))</f>
        <v/>
      </c>
      <c r="G1134" s="82" t="str">
        <f>_xlfn.TEXTJOIN("; ",TRUE,IF(AND([1]DATABASE!T1095&lt;0.8*[1]DATABASE!S1095,[1]DATABASE!T1095&gt;0,[1]DATABASE!S1095&gt;0),"Heavy Price Cut &gt;20%",""),IF(AND(OR(TRIM([1]DATABASE!Q1095)="AVAILABLE",TRIM([1]DATABASE!Q1095)="UPON REQUEST"),OR([1]DATABASE!T1095="",[1]DATABASE!T1095=0)),"Active Unit no Price",""),IF(AND(OR(TRIM([1]DATABASE!Q1095)="AVAILABLE",TRIM([1]DATABASE!Q1095)="RESERVED",TRIM([1]DATABASE!Q1095)="PRE-RESERVED",TRIM([1]DATABASE!Q1095)="PSPA"),[1]DATABASE!AC1095=""),"Active no Owner",""),IF(OR([1]DATABASE!F1095="",[1]DATABASE!F1095&lt;=0),"Missing/Invalid Area",""),IF(AND([1]DATABASE!T1095&gt;0,ABS([1]DATABASE!T1095-[1]DATABASE!W1095-[1]DATABASE!U1095-[1]DATABASE!V1095)&gt;1),"Price Bridge Mismatch",""))</f>
        <v/>
      </c>
      <c r="H1134" t="str">
        <f t="shared" si="20"/>
        <v>PASS</v>
      </c>
      <c r="I1134" s="90">
        <f>[1]DATABASE!T1095</f>
        <v>930000</v>
      </c>
      <c r="J1134" t="str">
        <f>[1]DATABASE!AC1095</f>
        <v>Ana Damásio</v>
      </c>
    </row>
    <row r="1135" spans="1:10" ht="13.95" customHeight="1" x14ac:dyDescent="0.3">
      <c r="A1135">
        <f>ROW([1]DATABASE!A1096)</f>
        <v>1096</v>
      </c>
      <c r="B1135" t="str">
        <f>[1]DATABASE!AJ1096</f>
        <v>Sutaya</v>
      </c>
      <c r="C1135" t="str">
        <f>[1]DATABASE!C1096</f>
        <v>G</v>
      </c>
      <c r="D1135" t="str">
        <f>TRIM([1]DATABASE!Q1096)</f>
        <v>AVAILABLE</v>
      </c>
      <c r="E1135" s="82" t="str">
        <f>_xlfn.TEXTJOIN("; ",TRUE,IF([1]DATABASE!X1096&lt;0,"Negative Discount",""),IF(AND([1]DATABASE!Y1096&gt;[1]DATABASE!T1096,[1]DATABASE!Y1096&gt;0,[1]DATABASE!T1096&gt;0),"Sell Price &gt; Current",""),IF(AND(TRIM([1]DATABASE!Q1096)="DEED",[1]DATABASE!AA1096=""),"Deeded no PSPA Date",""),IF([1]DATABASE!E1096="","Missing Typology",""),IF([1]DATABASE!AJ1096="","Missing Development",""))</f>
        <v/>
      </c>
      <c r="F1135" s="82" t="str">
        <f>_xlfn.TEXTJOIN("; ",TRUE,IF(AND(OR(TRIM([1]DATABASE!Q1096)="RESERVED",TRIM([1]DATABASE!Q1096)="PRE-RESERVED",TRIM([1]DATABASE!Q1096)="PSPA"),[1]DATABASE!AA1096=""),"Reserved/PSPA no PSPA Date",""),IF(AND(TRIM([1]DATABASE!Q1096)="AVAILABLE",[1]DATABASE!AA1096&lt;&gt;""),"Available has PSPA Date",""))</f>
        <v/>
      </c>
      <c r="G1135" s="82" t="str">
        <f>_xlfn.TEXTJOIN("; ",TRUE,IF(AND([1]DATABASE!T1096&lt;0.8*[1]DATABASE!S1096,[1]DATABASE!T1096&gt;0,[1]DATABASE!S1096&gt;0),"Heavy Price Cut &gt;20%",""),IF(AND(OR(TRIM([1]DATABASE!Q1096)="AVAILABLE",TRIM([1]DATABASE!Q1096)="UPON REQUEST"),OR([1]DATABASE!T1096="",[1]DATABASE!T1096=0)),"Active Unit no Price",""),IF(AND(OR(TRIM([1]DATABASE!Q1096)="AVAILABLE",TRIM([1]DATABASE!Q1096)="RESERVED",TRIM([1]DATABASE!Q1096)="PRE-RESERVED",TRIM([1]DATABASE!Q1096)="PSPA"),[1]DATABASE!AC1096=""),"Active no Owner",""),IF(OR([1]DATABASE!F1096="",[1]DATABASE!F1096&lt;=0),"Missing/Invalid Area",""),IF(AND([1]DATABASE!T1096&gt;0,ABS([1]DATABASE!T1096-[1]DATABASE!W1096-[1]DATABASE!U1096-[1]DATABASE!V1096)&gt;1),"Price Bridge Mismatch",""))</f>
        <v/>
      </c>
      <c r="H1135" t="str">
        <f t="shared" si="20"/>
        <v>PASS</v>
      </c>
      <c r="I1135" s="90">
        <f>[1]DATABASE!T1096</f>
        <v>5000000</v>
      </c>
      <c r="J1135" t="str">
        <f>[1]DATABASE!AC1096</f>
        <v>Sandra Viegas</v>
      </c>
    </row>
    <row r="1136" spans="1:10" ht="13.95" customHeight="1" x14ac:dyDescent="0.3">
      <c r="A1136">
        <f>ROW([1]DATABASE!A1097)</f>
        <v>1097</v>
      </c>
      <c r="B1136" t="str">
        <f>[1]DATABASE!AJ1097</f>
        <v>Sutaya</v>
      </c>
      <c r="C1136" t="str">
        <f>[1]DATABASE!C1097</f>
        <v>F</v>
      </c>
      <c r="D1136" t="str">
        <f>TRIM([1]DATABASE!Q1097)</f>
        <v>AVAILABLE</v>
      </c>
      <c r="E1136" s="82" t="str">
        <f>_xlfn.TEXTJOIN("; ",TRUE,IF([1]DATABASE!X1097&lt;0,"Negative Discount",""),IF(AND([1]DATABASE!Y1097&gt;[1]DATABASE!T1097,[1]DATABASE!Y1097&gt;0,[1]DATABASE!T1097&gt;0),"Sell Price &gt; Current",""),IF(AND(TRIM([1]DATABASE!Q1097)="DEED",[1]DATABASE!AA1097=""),"Deeded no PSPA Date",""),IF([1]DATABASE!E1097="","Missing Typology",""),IF([1]DATABASE!AJ1097="","Missing Development",""))</f>
        <v/>
      </c>
      <c r="F1136" s="82" t="str">
        <f>_xlfn.TEXTJOIN("; ",TRUE,IF(AND(OR(TRIM([1]DATABASE!Q1097)="RESERVED",TRIM([1]DATABASE!Q1097)="PRE-RESERVED",TRIM([1]DATABASE!Q1097)="PSPA"),[1]DATABASE!AA1097=""),"Reserved/PSPA no PSPA Date",""),IF(AND(TRIM([1]DATABASE!Q1097)="AVAILABLE",[1]DATABASE!AA1097&lt;&gt;""),"Available has PSPA Date",""))</f>
        <v/>
      </c>
      <c r="G1136" s="82" t="str">
        <f>_xlfn.TEXTJOIN("; ",TRUE,IF(AND([1]DATABASE!T1097&lt;0.8*[1]DATABASE!S1097,[1]DATABASE!T1097&gt;0,[1]DATABASE!S1097&gt;0),"Heavy Price Cut &gt;20%",""),IF(AND(OR(TRIM([1]DATABASE!Q1097)="AVAILABLE",TRIM([1]DATABASE!Q1097)="UPON REQUEST"),OR([1]DATABASE!T1097="",[1]DATABASE!T1097=0)),"Active Unit no Price",""),IF(AND(OR(TRIM([1]DATABASE!Q1097)="AVAILABLE",TRIM([1]DATABASE!Q1097)="RESERVED",TRIM([1]DATABASE!Q1097)="PRE-RESERVED",TRIM([1]DATABASE!Q1097)="PSPA"),[1]DATABASE!AC1097=""),"Active no Owner",""),IF(OR([1]DATABASE!F1097="",[1]DATABASE!F1097&lt;=0),"Missing/Invalid Area",""),IF(AND([1]DATABASE!T1097&gt;0,ABS([1]DATABASE!T1097-[1]DATABASE!W1097-[1]DATABASE!U1097-[1]DATABASE!V1097)&gt;1),"Price Bridge Mismatch",""))</f>
        <v/>
      </c>
      <c r="H1136" t="str">
        <f t="shared" si="20"/>
        <v>PASS</v>
      </c>
      <c r="I1136" s="90">
        <f>[1]DATABASE!T1097</f>
        <v>5500000</v>
      </c>
      <c r="J1136" t="str">
        <f>[1]DATABASE!AC1097</f>
        <v>Sandra Viegas</v>
      </c>
    </row>
    <row r="1137" spans="1:10" ht="13.95" customHeight="1" x14ac:dyDescent="0.3">
      <c r="A1137">
        <f>ROW([1]DATABASE!A1098)</f>
        <v>1098</v>
      </c>
      <c r="B1137" t="str">
        <f>[1]DATABASE!AJ1098</f>
        <v>Sutaya</v>
      </c>
      <c r="C1137" t="str">
        <f>[1]DATABASE!C1098</f>
        <v>M</v>
      </c>
      <c r="D1137" t="str">
        <f>TRIM([1]DATABASE!Q1098)</f>
        <v>AVAILABLE</v>
      </c>
      <c r="E1137" s="82" t="str">
        <f>_xlfn.TEXTJOIN("; ",TRUE,IF([1]DATABASE!X1098&lt;0,"Negative Discount",""),IF(AND([1]DATABASE!Y1098&gt;[1]DATABASE!T1098,[1]DATABASE!Y1098&gt;0,[1]DATABASE!T1098&gt;0),"Sell Price &gt; Current",""),IF(AND(TRIM([1]DATABASE!Q1098)="DEED",[1]DATABASE!AA1098=""),"Deeded no PSPA Date",""),IF([1]DATABASE!E1098="","Missing Typology",""),IF([1]DATABASE!AJ1098="","Missing Development",""))</f>
        <v/>
      </c>
      <c r="F1137" s="82" t="str">
        <f>_xlfn.TEXTJOIN("; ",TRUE,IF(AND(OR(TRIM([1]DATABASE!Q1098)="RESERVED",TRIM([1]DATABASE!Q1098)="PRE-RESERVED",TRIM([1]DATABASE!Q1098)="PSPA"),[1]DATABASE!AA1098=""),"Reserved/PSPA no PSPA Date",""),IF(AND(TRIM([1]DATABASE!Q1098)="AVAILABLE",[1]DATABASE!AA1098&lt;&gt;""),"Available has PSPA Date",""))</f>
        <v/>
      </c>
      <c r="G1137" s="82" t="str">
        <f>_xlfn.TEXTJOIN("; ",TRUE,IF(AND([1]DATABASE!T1098&lt;0.8*[1]DATABASE!S1098,[1]DATABASE!T1098&gt;0,[1]DATABASE!S1098&gt;0),"Heavy Price Cut &gt;20%",""),IF(AND(OR(TRIM([1]DATABASE!Q1098)="AVAILABLE",TRIM([1]DATABASE!Q1098)="UPON REQUEST"),OR([1]DATABASE!T1098="",[1]DATABASE!T1098=0)),"Active Unit no Price",""),IF(AND(OR(TRIM([1]DATABASE!Q1098)="AVAILABLE",TRIM([1]DATABASE!Q1098)="RESERVED",TRIM([1]DATABASE!Q1098)="PRE-RESERVED",TRIM([1]DATABASE!Q1098)="PSPA"),[1]DATABASE!AC1098=""),"Active no Owner",""),IF(OR([1]DATABASE!F1098="",[1]DATABASE!F1098&lt;=0),"Missing/Invalid Area",""),IF(AND([1]DATABASE!T1098&gt;0,ABS([1]DATABASE!T1098-[1]DATABASE!W1098-[1]DATABASE!U1098-[1]DATABASE!V1098)&gt;1),"Price Bridge Mismatch",""))</f>
        <v/>
      </c>
      <c r="H1137" t="str">
        <f t="shared" si="20"/>
        <v>PASS</v>
      </c>
      <c r="I1137" s="90">
        <f>[1]DATABASE!T1098</f>
        <v>6100000</v>
      </c>
      <c r="J1137" t="str">
        <f>[1]DATABASE!AC1098</f>
        <v>Sandra Viegas</v>
      </c>
    </row>
    <row r="1138" spans="1:10" ht="13.95" customHeight="1" x14ac:dyDescent="0.3">
      <c r="A1138">
        <f>ROW([1]DATABASE!A1099)</f>
        <v>1099</v>
      </c>
      <c r="B1138" t="str">
        <f>[1]DATABASE!AJ1099</f>
        <v>Azuya</v>
      </c>
      <c r="C1138" t="str">
        <f>[1]DATABASE!C1099</f>
        <v>C</v>
      </c>
      <c r="D1138" t="str">
        <f>TRIM([1]DATABASE!Q1099)</f>
        <v>AVAILABLE</v>
      </c>
      <c r="E1138" s="82" t="str">
        <f>_xlfn.TEXTJOIN("; ",TRUE,IF([1]DATABASE!X1099&lt;0,"Negative Discount",""),IF(AND([1]DATABASE!Y1099&gt;[1]DATABASE!T1099,[1]DATABASE!Y1099&gt;0,[1]DATABASE!T1099&gt;0),"Sell Price &gt; Current",""),IF(AND(TRIM([1]DATABASE!Q1099)="DEED",[1]DATABASE!AA1099=""),"Deeded no PSPA Date",""),IF([1]DATABASE!E1099="","Missing Typology",""),IF([1]DATABASE!AJ1099="","Missing Development",""))</f>
        <v/>
      </c>
      <c r="F1138" s="82" t="str">
        <f>_xlfn.TEXTJOIN("; ",TRUE,IF(AND(OR(TRIM([1]DATABASE!Q1099)="RESERVED",TRIM([1]DATABASE!Q1099)="PRE-RESERVED",TRIM([1]DATABASE!Q1099)="PSPA"),[1]DATABASE!AA1099=""),"Reserved/PSPA no PSPA Date",""),IF(AND(TRIM([1]DATABASE!Q1099)="AVAILABLE",[1]DATABASE!AA1099&lt;&gt;""),"Available has PSPA Date",""))</f>
        <v/>
      </c>
      <c r="G1138" s="82" t="str">
        <f>_xlfn.TEXTJOIN("; ",TRUE,IF(AND([1]DATABASE!T1099&lt;0.8*[1]DATABASE!S1099,[1]DATABASE!T1099&gt;0,[1]DATABASE!S1099&gt;0),"Heavy Price Cut &gt;20%",""),IF(AND(OR(TRIM([1]DATABASE!Q1099)="AVAILABLE",TRIM([1]DATABASE!Q1099)="UPON REQUEST"),OR([1]DATABASE!T1099="",[1]DATABASE!T1099=0)),"Active Unit no Price",""),IF(AND(OR(TRIM([1]DATABASE!Q1099)="AVAILABLE",TRIM([1]DATABASE!Q1099)="RESERVED",TRIM([1]DATABASE!Q1099)="PRE-RESERVED",TRIM([1]DATABASE!Q1099)="PSPA"),[1]DATABASE!AC1099=""),"Active no Owner",""),IF(OR([1]DATABASE!F1099="",[1]DATABASE!F1099&lt;=0),"Missing/Invalid Area",""),IF(AND([1]DATABASE!T1099&gt;0,ABS([1]DATABASE!T1099-[1]DATABASE!W1099-[1]DATABASE!U1099-[1]DATABASE!V1099)&gt;1),"Price Bridge Mismatch",""))</f>
        <v/>
      </c>
      <c r="H1138" t="str">
        <f t="shared" si="20"/>
        <v>PASS</v>
      </c>
      <c r="I1138" s="90">
        <f>[1]DATABASE!T1099</f>
        <v>2700000</v>
      </c>
      <c r="J1138" t="str">
        <f>[1]DATABASE!AC1099</f>
        <v>Sandra Viegas</v>
      </c>
    </row>
    <row r="1139" spans="1:10" ht="13.95" customHeight="1" x14ac:dyDescent="0.3">
      <c r="A1139">
        <f>ROW([1]DATABASE!A1100)</f>
        <v>1100</v>
      </c>
      <c r="B1139" t="str">
        <f>[1]DATABASE!AJ1100</f>
        <v>Azuya</v>
      </c>
      <c r="C1139" t="str">
        <f>[1]DATABASE!C1100</f>
        <v>D</v>
      </c>
      <c r="D1139" t="str">
        <f>TRIM([1]DATABASE!Q1100)</f>
        <v>AVAILABLE</v>
      </c>
      <c r="E1139" s="82" t="str">
        <f>_xlfn.TEXTJOIN("; ",TRUE,IF([1]DATABASE!X1100&lt;0,"Negative Discount",""),IF(AND([1]DATABASE!Y1100&gt;[1]DATABASE!T1100,[1]DATABASE!Y1100&gt;0,[1]DATABASE!T1100&gt;0),"Sell Price &gt; Current",""),IF(AND(TRIM([1]DATABASE!Q1100)="DEED",[1]DATABASE!AA1100=""),"Deeded no PSPA Date",""),IF([1]DATABASE!E1100="","Missing Typology",""),IF([1]DATABASE!AJ1100="","Missing Development",""))</f>
        <v/>
      </c>
      <c r="F1139" s="82" t="str">
        <f>_xlfn.TEXTJOIN("; ",TRUE,IF(AND(OR(TRIM([1]DATABASE!Q1100)="RESERVED",TRIM([1]DATABASE!Q1100)="PRE-RESERVED",TRIM([1]DATABASE!Q1100)="PSPA"),[1]DATABASE!AA1100=""),"Reserved/PSPA no PSPA Date",""),IF(AND(TRIM([1]DATABASE!Q1100)="AVAILABLE",[1]DATABASE!AA1100&lt;&gt;""),"Available has PSPA Date",""))</f>
        <v/>
      </c>
      <c r="G1139" s="82" t="str">
        <f>_xlfn.TEXTJOIN("; ",TRUE,IF(AND([1]DATABASE!T1100&lt;0.8*[1]DATABASE!S1100,[1]DATABASE!T1100&gt;0,[1]DATABASE!S1100&gt;0),"Heavy Price Cut &gt;20%",""),IF(AND(OR(TRIM([1]DATABASE!Q1100)="AVAILABLE",TRIM([1]DATABASE!Q1100)="UPON REQUEST"),OR([1]DATABASE!T1100="",[1]DATABASE!T1100=0)),"Active Unit no Price",""),IF(AND(OR(TRIM([1]DATABASE!Q1100)="AVAILABLE",TRIM([1]DATABASE!Q1100)="RESERVED",TRIM([1]DATABASE!Q1100)="PRE-RESERVED",TRIM([1]DATABASE!Q1100)="PSPA"),[1]DATABASE!AC1100=""),"Active no Owner",""),IF(OR([1]DATABASE!F1100="",[1]DATABASE!F1100&lt;=0),"Missing/Invalid Area",""),IF(AND([1]DATABASE!T1100&gt;0,ABS([1]DATABASE!T1100-[1]DATABASE!W1100-[1]DATABASE!U1100-[1]DATABASE!V1100)&gt;1),"Price Bridge Mismatch",""))</f>
        <v/>
      </c>
      <c r="H1139" t="str">
        <f t="shared" si="20"/>
        <v>PASS</v>
      </c>
      <c r="I1139" s="90">
        <f>[1]DATABASE!T1100</f>
        <v>2750000</v>
      </c>
      <c r="J1139" t="str">
        <f>[1]DATABASE!AC1100</f>
        <v>Sandra Viegas</v>
      </c>
    </row>
    <row r="1140" spans="1:10" ht="13.95" customHeight="1" x14ac:dyDescent="0.3">
      <c r="A1140">
        <f>ROW([1]DATABASE!A1101)</f>
        <v>1101</v>
      </c>
      <c r="B1140" t="str">
        <f>[1]DATABASE!AJ1101</f>
        <v>Azuya</v>
      </c>
      <c r="C1140" t="str">
        <f>[1]DATABASE!C1101</f>
        <v>E</v>
      </c>
      <c r="D1140" t="str">
        <f>TRIM([1]DATABASE!Q1101)</f>
        <v>AVAILABLE</v>
      </c>
      <c r="E1140" s="82" t="str">
        <f>_xlfn.TEXTJOIN("; ",TRUE,IF([1]DATABASE!X1101&lt;0,"Negative Discount",""),IF(AND([1]DATABASE!Y1101&gt;[1]DATABASE!T1101,[1]DATABASE!Y1101&gt;0,[1]DATABASE!T1101&gt;0),"Sell Price &gt; Current",""),IF(AND(TRIM([1]DATABASE!Q1101)="DEED",[1]DATABASE!AA1101=""),"Deeded no PSPA Date",""),IF([1]DATABASE!E1101="","Missing Typology",""),IF([1]DATABASE!AJ1101="","Missing Development",""))</f>
        <v/>
      </c>
      <c r="F1140" s="82" t="str">
        <f>_xlfn.TEXTJOIN("; ",TRUE,IF(AND(OR(TRIM([1]DATABASE!Q1101)="RESERVED",TRIM([1]DATABASE!Q1101)="PRE-RESERVED",TRIM([1]DATABASE!Q1101)="PSPA"),[1]DATABASE!AA1101=""),"Reserved/PSPA no PSPA Date",""),IF(AND(TRIM([1]DATABASE!Q1101)="AVAILABLE",[1]DATABASE!AA1101&lt;&gt;""),"Available has PSPA Date",""))</f>
        <v/>
      </c>
      <c r="G1140" s="82" t="str">
        <f>_xlfn.TEXTJOIN("; ",TRUE,IF(AND([1]DATABASE!T1101&lt;0.8*[1]DATABASE!S1101,[1]DATABASE!T1101&gt;0,[1]DATABASE!S1101&gt;0),"Heavy Price Cut &gt;20%",""),IF(AND(OR(TRIM([1]DATABASE!Q1101)="AVAILABLE",TRIM([1]DATABASE!Q1101)="UPON REQUEST"),OR([1]DATABASE!T1101="",[1]DATABASE!T1101=0)),"Active Unit no Price",""),IF(AND(OR(TRIM([1]DATABASE!Q1101)="AVAILABLE",TRIM([1]DATABASE!Q1101)="RESERVED",TRIM([1]DATABASE!Q1101)="PRE-RESERVED",TRIM([1]DATABASE!Q1101)="PSPA"),[1]DATABASE!AC1101=""),"Active no Owner",""),IF(OR([1]DATABASE!F1101="",[1]DATABASE!F1101&lt;=0),"Missing/Invalid Area",""),IF(AND([1]DATABASE!T1101&gt;0,ABS([1]DATABASE!T1101-[1]DATABASE!W1101-[1]DATABASE!U1101-[1]DATABASE!V1101)&gt;1),"Price Bridge Mismatch",""))</f>
        <v/>
      </c>
      <c r="H1140" t="str">
        <f t="shared" si="20"/>
        <v>PASS</v>
      </c>
      <c r="I1140" s="90">
        <f>[1]DATABASE!T1101</f>
        <v>3650000</v>
      </c>
      <c r="J1140" t="str">
        <f>[1]DATABASE!AC1101</f>
        <v>Sandra Viegas</v>
      </c>
    </row>
    <row r="1141" spans="1:10" ht="13.95" customHeight="1" x14ac:dyDescent="0.3">
      <c r="A1141">
        <f>ROW([1]DATABASE!A1102)</f>
        <v>1102</v>
      </c>
      <c r="B1141" t="str">
        <f>[1]DATABASE!AJ1102</f>
        <v>Azuya</v>
      </c>
      <c r="C1141" t="str">
        <f>[1]DATABASE!C1102</f>
        <v>F</v>
      </c>
      <c r="D1141" t="str">
        <f>TRIM([1]DATABASE!Q1102)</f>
        <v>AVAILABLE</v>
      </c>
      <c r="E1141" s="82" t="str">
        <f>_xlfn.TEXTJOIN("; ",TRUE,IF([1]DATABASE!X1102&lt;0,"Negative Discount",""),IF(AND([1]DATABASE!Y1102&gt;[1]DATABASE!T1102,[1]DATABASE!Y1102&gt;0,[1]DATABASE!T1102&gt;0),"Sell Price &gt; Current",""),IF(AND(TRIM([1]DATABASE!Q1102)="DEED",[1]DATABASE!AA1102=""),"Deeded no PSPA Date",""),IF([1]DATABASE!E1102="","Missing Typology",""),IF([1]DATABASE!AJ1102="","Missing Development",""))</f>
        <v/>
      </c>
      <c r="F1141" s="82" t="str">
        <f>_xlfn.TEXTJOIN("; ",TRUE,IF(AND(OR(TRIM([1]DATABASE!Q1102)="RESERVED",TRIM([1]DATABASE!Q1102)="PRE-RESERVED",TRIM([1]DATABASE!Q1102)="PSPA"),[1]DATABASE!AA1102=""),"Reserved/PSPA no PSPA Date",""),IF(AND(TRIM([1]DATABASE!Q1102)="AVAILABLE",[1]DATABASE!AA1102&lt;&gt;""),"Available has PSPA Date",""))</f>
        <v/>
      </c>
      <c r="G1141" s="82" t="str">
        <f>_xlfn.TEXTJOIN("; ",TRUE,IF(AND([1]DATABASE!T1102&lt;0.8*[1]DATABASE!S1102,[1]DATABASE!T1102&gt;0,[1]DATABASE!S1102&gt;0),"Heavy Price Cut &gt;20%",""),IF(AND(OR(TRIM([1]DATABASE!Q1102)="AVAILABLE",TRIM([1]DATABASE!Q1102)="UPON REQUEST"),OR([1]DATABASE!T1102="",[1]DATABASE!T1102=0)),"Active Unit no Price",""),IF(AND(OR(TRIM([1]DATABASE!Q1102)="AVAILABLE",TRIM([1]DATABASE!Q1102)="RESERVED",TRIM([1]DATABASE!Q1102)="PRE-RESERVED",TRIM([1]DATABASE!Q1102)="PSPA"),[1]DATABASE!AC1102=""),"Active no Owner",""),IF(OR([1]DATABASE!F1102="",[1]DATABASE!F1102&lt;=0),"Missing/Invalid Area",""),IF(AND([1]DATABASE!T1102&gt;0,ABS([1]DATABASE!T1102-[1]DATABASE!W1102-[1]DATABASE!U1102-[1]DATABASE!V1102)&gt;1),"Price Bridge Mismatch",""))</f>
        <v/>
      </c>
      <c r="H1141" t="str">
        <f t="shared" si="20"/>
        <v>PASS</v>
      </c>
      <c r="I1141" s="90">
        <f>[1]DATABASE!T1102</f>
        <v>3650000</v>
      </c>
      <c r="J1141" t="str">
        <f>[1]DATABASE!AC1102</f>
        <v>Sandra Viegas</v>
      </c>
    </row>
    <row r="1142" spans="1:10" ht="13.95" customHeight="1" x14ac:dyDescent="0.3">
      <c r="A1142">
        <f>ROW([1]DATABASE!A1103)</f>
        <v>1103</v>
      </c>
      <c r="B1142" t="str">
        <f>[1]DATABASE!AJ1103</f>
        <v>Azuya</v>
      </c>
      <c r="C1142" t="str">
        <f>[1]DATABASE!C1103</f>
        <v>G</v>
      </c>
      <c r="D1142" t="str">
        <f>TRIM([1]DATABASE!Q1103)</f>
        <v>AVAILABLE</v>
      </c>
      <c r="E1142" s="82" t="str">
        <f>_xlfn.TEXTJOIN("; ",TRUE,IF([1]DATABASE!X1103&lt;0,"Negative Discount",""),IF(AND([1]DATABASE!Y1103&gt;[1]DATABASE!T1103,[1]DATABASE!Y1103&gt;0,[1]DATABASE!T1103&gt;0),"Sell Price &gt; Current",""),IF(AND(TRIM([1]DATABASE!Q1103)="DEED",[1]DATABASE!AA1103=""),"Deeded no PSPA Date",""),IF([1]DATABASE!E1103="","Missing Typology",""),IF([1]DATABASE!AJ1103="","Missing Development",""))</f>
        <v/>
      </c>
      <c r="F1142" s="82" t="str">
        <f>_xlfn.TEXTJOIN("; ",TRUE,IF(AND(OR(TRIM([1]DATABASE!Q1103)="RESERVED",TRIM([1]DATABASE!Q1103)="PRE-RESERVED",TRIM([1]DATABASE!Q1103)="PSPA"),[1]DATABASE!AA1103=""),"Reserved/PSPA no PSPA Date",""),IF(AND(TRIM([1]DATABASE!Q1103)="AVAILABLE",[1]DATABASE!AA1103&lt;&gt;""),"Available has PSPA Date",""))</f>
        <v/>
      </c>
      <c r="G1142" s="82" t="str">
        <f>_xlfn.TEXTJOIN("; ",TRUE,IF(AND([1]DATABASE!T1103&lt;0.8*[1]DATABASE!S1103,[1]DATABASE!T1103&gt;0,[1]DATABASE!S1103&gt;0),"Heavy Price Cut &gt;20%",""),IF(AND(OR(TRIM([1]DATABASE!Q1103)="AVAILABLE",TRIM([1]DATABASE!Q1103)="UPON REQUEST"),OR([1]DATABASE!T1103="",[1]DATABASE!T1103=0)),"Active Unit no Price",""),IF(AND(OR(TRIM([1]DATABASE!Q1103)="AVAILABLE",TRIM([1]DATABASE!Q1103)="RESERVED",TRIM([1]DATABASE!Q1103)="PRE-RESERVED",TRIM([1]DATABASE!Q1103)="PSPA"),[1]DATABASE!AC1103=""),"Active no Owner",""),IF(OR([1]DATABASE!F1103="",[1]DATABASE!F1103&lt;=0),"Missing/Invalid Area",""),IF(AND([1]DATABASE!T1103&gt;0,ABS([1]DATABASE!T1103-[1]DATABASE!W1103-[1]DATABASE!U1103-[1]DATABASE!V1103)&gt;1),"Price Bridge Mismatch",""))</f>
        <v/>
      </c>
      <c r="H1142" t="str">
        <f t="shared" si="20"/>
        <v>PASS</v>
      </c>
      <c r="I1142" s="90">
        <f>[1]DATABASE!T1103</f>
        <v>1950000</v>
      </c>
      <c r="J1142" t="str">
        <f>[1]DATABASE!AC1103</f>
        <v>Sandra Viegas</v>
      </c>
    </row>
    <row r="1143" spans="1:10" ht="13.95" customHeight="1" x14ac:dyDescent="0.3">
      <c r="A1143">
        <f>ROW([1]DATABASE!A1104)</f>
        <v>1104</v>
      </c>
      <c r="B1143" t="str">
        <f>[1]DATABASE!AJ1104</f>
        <v>Azuya</v>
      </c>
      <c r="C1143" t="str">
        <f>[1]DATABASE!C1104</f>
        <v>H</v>
      </c>
      <c r="D1143" t="str">
        <f>TRIM([1]DATABASE!Q1104)</f>
        <v>AVAILABLE</v>
      </c>
      <c r="E1143" s="82" t="str">
        <f>_xlfn.TEXTJOIN("; ",TRUE,IF([1]DATABASE!X1104&lt;0,"Negative Discount",""),IF(AND([1]DATABASE!Y1104&gt;[1]DATABASE!T1104,[1]DATABASE!Y1104&gt;0,[1]DATABASE!T1104&gt;0),"Sell Price &gt; Current",""),IF(AND(TRIM([1]DATABASE!Q1104)="DEED",[1]DATABASE!AA1104=""),"Deeded no PSPA Date",""),IF([1]DATABASE!E1104="","Missing Typology",""),IF([1]DATABASE!AJ1104="","Missing Development",""))</f>
        <v/>
      </c>
      <c r="F1143" s="82" t="str">
        <f>_xlfn.TEXTJOIN("; ",TRUE,IF(AND(OR(TRIM([1]DATABASE!Q1104)="RESERVED",TRIM([1]DATABASE!Q1104)="PRE-RESERVED",TRIM([1]DATABASE!Q1104)="PSPA"),[1]DATABASE!AA1104=""),"Reserved/PSPA no PSPA Date",""),IF(AND(TRIM([1]DATABASE!Q1104)="AVAILABLE",[1]DATABASE!AA1104&lt;&gt;""),"Available has PSPA Date",""))</f>
        <v/>
      </c>
      <c r="G1143" s="82" t="str">
        <f>_xlfn.TEXTJOIN("; ",TRUE,IF(AND([1]DATABASE!T1104&lt;0.8*[1]DATABASE!S1104,[1]DATABASE!T1104&gt;0,[1]DATABASE!S1104&gt;0),"Heavy Price Cut &gt;20%",""),IF(AND(OR(TRIM([1]DATABASE!Q1104)="AVAILABLE",TRIM([1]DATABASE!Q1104)="UPON REQUEST"),OR([1]DATABASE!T1104="",[1]DATABASE!T1104=0)),"Active Unit no Price",""),IF(AND(OR(TRIM([1]DATABASE!Q1104)="AVAILABLE",TRIM([1]DATABASE!Q1104)="RESERVED",TRIM([1]DATABASE!Q1104)="PRE-RESERVED",TRIM([1]DATABASE!Q1104)="PSPA"),[1]DATABASE!AC1104=""),"Active no Owner",""),IF(OR([1]DATABASE!F1104="",[1]DATABASE!F1104&lt;=0),"Missing/Invalid Area",""),IF(AND([1]DATABASE!T1104&gt;0,ABS([1]DATABASE!T1104-[1]DATABASE!W1104-[1]DATABASE!U1104-[1]DATABASE!V1104)&gt;1),"Price Bridge Mismatch",""))</f>
        <v/>
      </c>
      <c r="H1143" t="str">
        <f t="shared" si="20"/>
        <v>PASS</v>
      </c>
      <c r="I1143" s="90">
        <f>[1]DATABASE!T1104</f>
        <v>1750000</v>
      </c>
      <c r="J1143" t="str">
        <f>[1]DATABASE!AC1104</f>
        <v>Sandra Viegas</v>
      </c>
    </row>
    <row r="1144" spans="1:10" ht="13.95" customHeight="1" x14ac:dyDescent="0.3">
      <c r="A1144">
        <f>ROW([1]DATABASE!A1105)</f>
        <v>1105</v>
      </c>
      <c r="B1144" t="str">
        <f>[1]DATABASE!AJ1105</f>
        <v>Azuya</v>
      </c>
      <c r="C1144" t="str">
        <f>[1]DATABASE!C1105</f>
        <v>I</v>
      </c>
      <c r="D1144" t="str">
        <f>TRIM([1]DATABASE!Q1105)</f>
        <v>AVAILABLE</v>
      </c>
      <c r="E1144" s="82" t="str">
        <f>_xlfn.TEXTJOIN("; ",TRUE,IF([1]DATABASE!X1105&lt;0,"Negative Discount",""),IF(AND([1]DATABASE!Y1105&gt;[1]DATABASE!T1105,[1]DATABASE!Y1105&gt;0,[1]DATABASE!T1105&gt;0),"Sell Price &gt; Current",""),IF(AND(TRIM([1]DATABASE!Q1105)="DEED",[1]DATABASE!AA1105=""),"Deeded no PSPA Date",""),IF([1]DATABASE!E1105="","Missing Typology",""),IF([1]DATABASE!AJ1105="","Missing Development",""))</f>
        <v/>
      </c>
      <c r="F1144" s="82" t="str">
        <f>_xlfn.TEXTJOIN("; ",TRUE,IF(AND(OR(TRIM([1]DATABASE!Q1105)="RESERVED",TRIM([1]DATABASE!Q1105)="PRE-RESERVED",TRIM([1]DATABASE!Q1105)="PSPA"),[1]DATABASE!AA1105=""),"Reserved/PSPA no PSPA Date",""),IF(AND(TRIM([1]DATABASE!Q1105)="AVAILABLE",[1]DATABASE!AA1105&lt;&gt;""),"Available has PSPA Date",""))</f>
        <v/>
      </c>
      <c r="G1144" s="82" t="str">
        <f>_xlfn.TEXTJOIN("; ",TRUE,IF(AND([1]DATABASE!T1105&lt;0.8*[1]DATABASE!S1105,[1]DATABASE!T1105&gt;0,[1]DATABASE!S1105&gt;0),"Heavy Price Cut &gt;20%",""),IF(AND(OR(TRIM([1]DATABASE!Q1105)="AVAILABLE",TRIM([1]DATABASE!Q1105)="UPON REQUEST"),OR([1]DATABASE!T1105="",[1]DATABASE!T1105=0)),"Active Unit no Price",""),IF(AND(OR(TRIM([1]DATABASE!Q1105)="AVAILABLE",TRIM([1]DATABASE!Q1105)="RESERVED",TRIM([1]DATABASE!Q1105)="PRE-RESERVED",TRIM([1]DATABASE!Q1105)="PSPA"),[1]DATABASE!AC1105=""),"Active no Owner",""),IF(OR([1]DATABASE!F1105="",[1]DATABASE!F1105&lt;=0),"Missing/Invalid Area",""),IF(AND([1]DATABASE!T1105&gt;0,ABS([1]DATABASE!T1105-[1]DATABASE!W1105-[1]DATABASE!U1105-[1]DATABASE!V1105)&gt;1),"Price Bridge Mismatch",""))</f>
        <v/>
      </c>
      <c r="H1144" t="str">
        <f t="shared" si="20"/>
        <v>PASS</v>
      </c>
      <c r="I1144" s="90">
        <f>[1]DATABASE!T1105</f>
        <v>1750000</v>
      </c>
      <c r="J1144" t="str">
        <f>[1]DATABASE!AC1105</f>
        <v>Sandra Viegas</v>
      </c>
    </row>
    <row r="1145" spans="1:10" ht="13.95" customHeight="1" x14ac:dyDescent="0.3">
      <c r="A1145">
        <f>ROW([1]DATABASE!A1106)</f>
        <v>1106</v>
      </c>
      <c r="B1145" t="str">
        <f>[1]DATABASE!AJ1106</f>
        <v>Azuya</v>
      </c>
      <c r="C1145" t="str">
        <f>[1]DATABASE!C1106</f>
        <v>J</v>
      </c>
      <c r="D1145" t="str">
        <f>TRIM([1]DATABASE!Q1106)</f>
        <v>AVAILABLE</v>
      </c>
      <c r="E1145" s="82" t="str">
        <f>_xlfn.TEXTJOIN("; ",TRUE,IF([1]DATABASE!X1106&lt;0,"Negative Discount",""),IF(AND([1]DATABASE!Y1106&gt;[1]DATABASE!T1106,[1]DATABASE!Y1106&gt;0,[1]DATABASE!T1106&gt;0),"Sell Price &gt; Current",""),IF(AND(TRIM([1]DATABASE!Q1106)="DEED",[1]DATABASE!AA1106=""),"Deeded no PSPA Date",""),IF([1]DATABASE!E1106="","Missing Typology",""),IF([1]DATABASE!AJ1106="","Missing Development",""))</f>
        <v/>
      </c>
      <c r="F1145" s="82" t="str">
        <f>_xlfn.TEXTJOIN("; ",TRUE,IF(AND(OR(TRIM([1]DATABASE!Q1106)="RESERVED",TRIM([1]DATABASE!Q1106)="PRE-RESERVED",TRIM([1]DATABASE!Q1106)="PSPA"),[1]DATABASE!AA1106=""),"Reserved/PSPA no PSPA Date",""),IF(AND(TRIM([1]DATABASE!Q1106)="AVAILABLE",[1]DATABASE!AA1106&lt;&gt;""),"Available has PSPA Date",""))</f>
        <v/>
      </c>
      <c r="G1145" s="82" t="str">
        <f>_xlfn.TEXTJOIN("; ",TRUE,IF(AND([1]DATABASE!T1106&lt;0.8*[1]DATABASE!S1106,[1]DATABASE!T1106&gt;0,[1]DATABASE!S1106&gt;0),"Heavy Price Cut &gt;20%",""),IF(AND(OR(TRIM([1]DATABASE!Q1106)="AVAILABLE",TRIM([1]DATABASE!Q1106)="UPON REQUEST"),OR([1]DATABASE!T1106="",[1]DATABASE!T1106=0)),"Active Unit no Price",""),IF(AND(OR(TRIM([1]DATABASE!Q1106)="AVAILABLE",TRIM([1]DATABASE!Q1106)="RESERVED",TRIM([1]DATABASE!Q1106)="PRE-RESERVED",TRIM([1]DATABASE!Q1106)="PSPA"),[1]DATABASE!AC1106=""),"Active no Owner",""),IF(OR([1]DATABASE!F1106="",[1]DATABASE!F1106&lt;=0),"Missing/Invalid Area",""),IF(AND([1]DATABASE!T1106&gt;0,ABS([1]DATABASE!T1106-[1]DATABASE!W1106-[1]DATABASE!U1106-[1]DATABASE!V1106)&gt;1),"Price Bridge Mismatch",""))</f>
        <v/>
      </c>
      <c r="H1145" t="str">
        <f t="shared" si="20"/>
        <v>PASS</v>
      </c>
      <c r="I1145" s="90">
        <f>[1]DATABASE!T1106</f>
        <v>1850000</v>
      </c>
      <c r="J1145" t="str">
        <f>[1]DATABASE!AC1106</f>
        <v>Sandra Viegas</v>
      </c>
    </row>
    <row r="1146" spans="1:10" ht="13.95" customHeight="1" x14ac:dyDescent="0.3">
      <c r="A1146">
        <f>ROW([1]DATABASE!A1107)</f>
        <v>1107</v>
      </c>
      <c r="B1146" t="str">
        <f>[1]DATABASE!AJ1107</f>
        <v>Azuya</v>
      </c>
      <c r="C1146" t="str">
        <f>[1]DATABASE!C1107</f>
        <v>K</v>
      </c>
      <c r="D1146" t="str">
        <f>TRIM([1]DATABASE!Q1107)</f>
        <v>AVAILABLE</v>
      </c>
      <c r="E1146" s="82" t="str">
        <f>_xlfn.TEXTJOIN("; ",TRUE,IF([1]DATABASE!X1107&lt;0,"Negative Discount",""),IF(AND([1]DATABASE!Y1107&gt;[1]DATABASE!T1107,[1]DATABASE!Y1107&gt;0,[1]DATABASE!T1107&gt;0),"Sell Price &gt; Current",""),IF(AND(TRIM([1]DATABASE!Q1107)="DEED",[1]DATABASE!AA1107=""),"Deeded no PSPA Date",""),IF([1]DATABASE!E1107="","Missing Typology",""),IF([1]DATABASE!AJ1107="","Missing Development",""))</f>
        <v/>
      </c>
      <c r="F1146" s="82" t="str">
        <f>_xlfn.TEXTJOIN("; ",TRUE,IF(AND(OR(TRIM([1]DATABASE!Q1107)="RESERVED",TRIM([1]DATABASE!Q1107)="PRE-RESERVED",TRIM([1]DATABASE!Q1107)="PSPA"),[1]DATABASE!AA1107=""),"Reserved/PSPA no PSPA Date",""),IF(AND(TRIM([1]DATABASE!Q1107)="AVAILABLE",[1]DATABASE!AA1107&lt;&gt;""),"Available has PSPA Date",""))</f>
        <v/>
      </c>
      <c r="G1146" s="82" t="str">
        <f>_xlfn.TEXTJOIN("; ",TRUE,IF(AND([1]DATABASE!T1107&lt;0.8*[1]DATABASE!S1107,[1]DATABASE!T1107&gt;0,[1]DATABASE!S1107&gt;0),"Heavy Price Cut &gt;20%",""),IF(AND(OR(TRIM([1]DATABASE!Q1107)="AVAILABLE",TRIM([1]DATABASE!Q1107)="UPON REQUEST"),OR([1]DATABASE!T1107="",[1]DATABASE!T1107=0)),"Active Unit no Price",""),IF(AND(OR(TRIM([1]DATABASE!Q1107)="AVAILABLE",TRIM([1]DATABASE!Q1107)="RESERVED",TRIM([1]DATABASE!Q1107)="PRE-RESERVED",TRIM([1]DATABASE!Q1107)="PSPA"),[1]DATABASE!AC1107=""),"Active no Owner",""),IF(OR([1]DATABASE!F1107="",[1]DATABASE!F1107&lt;=0),"Missing/Invalid Area",""),IF(AND([1]DATABASE!T1107&gt;0,ABS([1]DATABASE!T1107-[1]DATABASE!W1107-[1]DATABASE!U1107-[1]DATABASE!V1107)&gt;1),"Price Bridge Mismatch",""))</f>
        <v/>
      </c>
      <c r="H1146" t="str">
        <f t="shared" si="20"/>
        <v>PASS</v>
      </c>
      <c r="I1146" s="90">
        <f>[1]DATABASE!T1107</f>
        <v>1950000</v>
      </c>
      <c r="J1146" t="str">
        <f>[1]DATABASE!AC1107</f>
        <v>Sandra Viegas</v>
      </c>
    </row>
    <row r="1147" spans="1:10" ht="13.95" customHeight="1" x14ac:dyDescent="0.3">
      <c r="A1147">
        <f>ROW([1]DATABASE!A1108)</f>
        <v>1108</v>
      </c>
      <c r="B1147" t="str">
        <f>[1]DATABASE!AJ1108</f>
        <v>Azuya</v>
      </c>
      <c r="C1147" t="str">
        <f>[1]DATABASE!C1108</f>
        <v>L</v>
      </c>
      <c r="D1147" t="str">
        <f>TRIM([1]DATABASE!Q1108)</f>
        <v>AVAILABLE</v>
      </c>
      <c r="E1147" s="82" t="str">
        <f>_xlfn.TEXTJOIN("; ",TRUE,IF([1]DATABASE!X1108&lt;0,"Negative Discount",""),IF(AND([1]DATABASE!Y1108&gt;[1]DATABASE!T1108,[1]DATABASE!Y1108&gt;0,[1]DATABASE!T1108&gt;0),"Sell Price &gt; Current",""),IF(AND(TRIM([1]DATABASE!Q1108)="DEED",[1]DATABASE!AA1108=""),"Deeded no PSPA Date",""),IF([1]DATABASE!E1108="","Missing Typology",""),IF([1]DATABASE!AJ1108="","Missing Development",""))</f>
        <v/>
      </c>
      <c r="F1147" s="82" t="str">
        <f>_xlfn.TEXTJOIN("; ",TRUE,IF(AND(OR(TRIM([1]DATABASE!Q1108)="RESERVED",TRIM([1]DATABASE!Q1108)="PRE-RESERVED",TRIM([1]DATABASE!Q1108)="PSPA"),[1]DATABASE!AA1108=""),"Reserved/PSPA no PSPA Date",""),IF(AND(TRIM([1]DATABASE!Q1108)="AVAILABLE",[1]DATABASE!AA1108&lt;&gt;""),"Available has PSPA Date",""))</f>
        <v/>
      </c>
      <c r="G1147" s="82" t="str">
        <f>_xlfn.TEXTJOIN("; ",TRUE,IF(AND([1]DATABASE!T1108&lt;0.8*[1]DATABASE!S1108,[1]DATABASE!T1108&gt;0,[1]DATABASE!S1108&gt;0),"Heavy Price Cut &gt;20%",""),IF(AND(OR(TRIM([1]DATABASE!Q1108)="AVAILABLE",TRIM([1]DATABASE!Q1108)="UPON REQUEST"),OR([1]DATABASE!T1108="",[1]DATABASE!T1108=0)),"Active Unit no Price",""),IF(AND(OR(TRIM([1]DATABASE!Q1108)="AVAILABLE",TRIM([1]DATABASE!Q1108)="RESERVED",TRIM([1]DATABASE!Q1108)="PRE-RESERVED",TRIM([1]DATABASE!Q1108)="PSPA"),[1]DATABASE!AC1108=""),"Active no Owner",""),IF(OR([1]DATABASE!F1108="",[1]DATABASE!F1108&lt;=0),"Missing/Invalid Area",""),IF(AND([1]DATABASE!T1108&gt;0,ABS([1]DATABASE!T1108-[1]DATABASE!W1108-[1]DATABASE!U1108-[1]DATABASE!V1108)&gt;1),"Price Bridge Mismatch",""))</f>
        <v/>
      </c>
      <c r="H1147" t="str">
        <f t="shared" si="20"/>
        <v>PASS</v>
      </c>
      <c r="I1147" s="90">
        <f>[1]DATABASE!T1108</f>
        <v>2100000</v>
      </c>
      <c r="J1147" t="str">
        <f>[1]DATABASE!AC1108</f>
        <v>Sandra Viegas</v>
      </c>
    </row>
    <row r="1148" spans="1:10" ht="13.95" customHeight="1" x14ac:dyDescent="0.3">
      <c r="A1148">
        <f>ROW([1]DATABASE!A1109)</f>
        <v>1109</v>
      </c>
      <c r="B1148" t="str">
        <f>[1]DATABASE!AJ1109</f>
        <v>Azuya</v>
      </c>
      <c r="C1148" t="str">
        <f>[1]DATABASE!C1109</f>
        <v>M</v>
      </c>
      <c r="D1148" t="str">
        <f>TRIM([1]DATABASE!Q1109)</f>
        <v>AVAILABLE</v>
      </c>
      <c r="E1148" s="82" t="str">
        <f>_xlfn.TEXTJOIN("; ",TRUE,IF([1]DATABASE!X1109&lt;0,"Negative Discount",""),IF(AND([1]DATABASE!Y1109&gt;[1]DATABASE!T1109,[1]DATABASE!Y1109&gt;0,[1]DATABASE!T1109&gt;0),"Sell Price &gt; Current",""),IF(AND(TRIM([1]DATABASE!Q1109)="DEED",[1]DATABASE!AA1109=""),"Deeded no PSPA Date",""),IF([1]DATABASE!E1109="","Missing Typology",""),IF([1]DATABASE!AJ1109="","Missing Development",""))</f>
        <v/>
      </c>
      <c r="F1148" s="82" t="str">
        <f>_xlfn.TEXTJOIN("; ",TRUE,IF(AND(OR(TRIM([1]DATABASE!Q1109)="RESERVED",TRIM([1]DATABASE!Q1109)="PRE-RESERVED",TRIM([1]DATABASE!Q1109)="PSPA"),[1]DATABASE!AA1109=""),"Reserved/PSPA no PSPA Date",""),IF(AND(TRIM([1]DATABASE!Q1109)="AVAILABLE",[1]DATABASE!AA1109&lt;&gt;""),"Available has PSPA Date",""))</f>
        <v/>
      </c>
      <c r="G1148" s="82" t="str">
        <f>_xlfn.TEXTJOIN("; ",TRUE,IF(AND([1]DATABASE!T1109&lt;0.8*[1]DATABASE!S1109,[1]DATABASE!T1109&gt;0,[1]DATABASE!S1109&gt;0),"Heavy Price Cut &gt;20%",""),IF(AND(OR(TRIM([1]DATABASE!Q1109)="AVAILABLE",TRIM([1]DATABASE!Q1109)="UPON REQUEST"),OR([1]DATABASE!T1109="",[1]DATABASE!T1109=0)),"Active Unit no Price",""),IF(AND(OR(TRIM([1]DATABASE!Q1109)="AVAILABLE",TRIM([1]DATABASE!Q1109)="RESERVED",TRIM([1]DATABASE!Q1109)="PRE-RESERVED",TRIM([1]DATABASE!Q1109)="PSPA"),[1]DATABASE!AC1109=""),"Active no Owner",""),IF(OR([1]DATABASE!F1109="",[1]DATABASE!F1109&lt;=0),"Missing/Invalid Area",""),IF(AND([1]DATABASE!T1109&gt;0,ABS([1]DATABASE!T1109-[1]DATABASE!W1109-[1]DATABASE!U1109-[1]DATABASE!V1109)&gt;1),"Price Bridge Mismatch",""))</f>
        <v/>
      </c>
      <c r="H1148" t="str">
        <f t="shared" si="20"/>
        <v>PASS</v>
      </c>
      <c r="I1148" s="90">
        <f>[1]DATABASE!T1109</f>
        <v>2900000</v>
      </c>
      <c r="J1148" t="str">
        <f>[1]DATABASE!AC1109</f>
        <v>Sandra Viegas</v>
      </c>
    </row>
    <row r="1149" spans="1:10" ht="13.95" customHeight="1" x14ac:dyDescent="0.3">
      <c r="A1149">
        <f>ROW([1]DATABASE!A1110)</f>
        <v>1110</v>
      </c>
      <c r="B1149" t="str">
        <f>[1]DATABASE!AJ1110</f>
        <v>Azuya</v>
      </c>
      <c r="C1149" t="str">
        <f>[1]DATABASE!C1110</f>
        <v>N</v>
      </c>
      <c r="D1149" t="str">
        <f>TRIM([1]DATABASE!Q1110)</f>
        <v>AVAILABLE</v>
      </c>
      <c r="E1149" s="82" t="str">
        <f>_xlfn.TEXTJOIN("; ",TRUE,IF([1]DATABASE!X1110&lt;0,"Negative Discount",""),IF(AND([1]DATABASE!Y1110&gt;[1]DATABASE!T1110,[1]DATABASE!Y1110&gt;0,[1]DATABASE!T1110&gt;0),"Sell Price &gt; Current",""),IF(AND(TRIM([1]DATABASE!Q1110)="DEED",[1]DATABASE!AA1110=""),"Deeded no PSPA Date",""),IF([1]DATABASE!E1110="","Missing Typology",""),IF([1]DATABASE!AJ1110="","Missing Development",""))</f>
        <v/>
      </c>
      <c r="F1149" s="82" t="str">
        <f>_xlfn.TEXTJOIN("; ",TRUE,IF(AND(OR(TRIM([1]DATABASE!Q1110)="RESERVED",TRIM([1]DATABASE!Q1110)="PRE-RESERVED",TRIM([1]DATABASE!Q1110)="PSPA"),[1]DATABASE!AA1110=""),"Reserved/PSPA no PSPA Date",""),IF(AND(TRIM([1]DATABASE!Q1110)="AVAILABLE",[1]DATABASE!AA1110&lt;&gt;""),"Available has PSPA Date",""))</f>
        <v/>
      </c>
      <c r="G1149" s="82" t="str">
        <f>_xlfn.TEXTJOIN("; ",TRUE,IF(AND([1]DATABASE!T1110&lt;0.8*[1]DATABASE!S1110,[1]DATABASE!T1110&gt;0,[1]DATABASE!S1110&gt;0),"Heavy Price Cut &gt;20%",""),IF(AND(OR(TRIM([1]DATABASE!Q1110)="AVAILABLE",TRIM([1]DATABASE!Q1110)="UPON REQUEST"),OR([1]DATABASE!T1110="",[1]DATABASE!T1110=0)),"Active Unit no Price",""),IF(AND(OR(TRIM([1]DATABASE!Q1110)="AVAILABLE",TRIM([1]DATABASE!Q1110)="RESERVED",TRIM([1]DATABASE!Q1110)="PRE-RESERVED",TRIM([1]DATABASE!Q1110)="PSPA"),[1]DATABASE!AC1110=""),"Active no Owner",""),IF(OR([1]DATABASE!F1110="",[1]DATABASE!F1110&lt;=0),"Missing/Invalid Area",""),IF(AND([1]DATABASE!T1110&gt;0,ABS([1]DATABASE!T1110-[1]DATABASE!W1110-[1]DATABASE!U1110-[1]DATABASE!V1110)&gt;1),"Price Bridge Mismatch",""))</f>
        <v/>
      </c>
      <c r="H1149" t="str">
        <f t="shared" si="20"/>
        <v>PASS</v>
      </c>
      <c r="I1149" s="90">
        <f>[1]DATABASE!T1110</f>
        <v>2300000</v>
      </c>
      <c r="J1149" t="str">
        <f>[1]DATABASE!AC1110</f>
        <v>Sandra Viegas</v>
      </c>
    </row>
    <row r="1150" spans="1:10" ht="13.95" customHeight="1" x14ac:dyDescent="0.3">
      <c r="A1150">
        <f>ROW([1]DATABASE!A1111)</f>
        <v>1111</v>
      </c>
      <c r="B1150" t="str">
        <f>[1]DATABASE!AJ1111</f>
        <v>Azuya</v>
      </c>
      <c r="C1150" t="str">
        <f>[1]DATABASE!C1111</f>
        <v>O</v>
      </c>
      <c r="D1150" t="str">
        <f>TRIM([1]DATABASE!Q1111)</f>
        <v>AVAILABLE</v>
      </c>
      <c r="E1150" s="82" t="str">
        <f>_xlfn.TEXTJOIN("; ",TRUE,IF([1]DATABASE!X1111&lt;0,"Negative Discount",""),IF(AND([1]DATABASE!Y1111&gt;[1]DATABASE!T1111,[1]DATABASE!Y1111&gt;0,[1]DATABASE!T1111&gt;0),"Sell Price &gt; Current",""),IF(AND(TRIM([1]DATABASE!Q1111)="DEED",[1]DATABASE!AA1111=""),"Deeded no PSPA Date",""),IF([1]DATABASE!E1111="","Missing Typology",""),IF([1]DATABASE!AJ1111="","Missing Development",""))</f>
        <v/>
      </c>
      <c r="F1150" s="82" t="str">
        <f>_xlfn.TEXTJOIN("; ",TRUE,IF(AND(OR(TRIM([1]DATABASE!Q1111)="RESERVED",TRIM([1]DATABASE!Q1111)="PRE-RESERVED",TRIM([1]DATABASE!Q1111)="PSPA"),[1]DATABASE!AA1111=""),"Reserved/PSPA no PSPA Date",""),IF(AND(TRIM([1]DATABASE!Q1111)="AVAILABLE",[1]DATABASE!AA1111&lt;&gt;""),"Available has PSPA Date",""))</f>
        <v/>
      </c>
      <c r="G1150" s="82" t="str">
        <f>_xlfn.TEXTJOIN("; ",TRUE,IF(AND([1]DATABASE!T1111&lt;0.8*[1]DATABASE!S1111,[1]DATABASE!T1111&gt;0,[1]DATABASE!S1111&gt;0),"Heavy Price Cut &gt;20%",""),IF(AND(OR(TRIM([1]DATABASE!Q1111)="AVAILABLE",TRIM([1]DATABASE!Q1111)="UPON REQUEST"),OR([1]DATABASE!T1111="",[1]DATABASE!T1111=0)),"Active Unit no Price",""),IF(AND(OR(TRIM([1]DATABASE!Q1111)="AVAILABLE",TRIM([1]DATABASE!Q1111)="RESERVED",TRIM([1]DATABASE!Q1111)="PRE-RESERVED",TRIM([1]DATABASE!Q1111)="PSPA"),[1]DATABASE!AC1111=""),"Active no Owner",""),IF(OR([1]DATABASE!F1111="",[1]DATABASE!F1111&lt;=0),"Missing/Invalid Area",""),IF(AND([1]DATABASE!T1111&gt;0,ABS([1]DATABASE!T1111-[1]DATABASE!W1111-[1]DATABASE!U1111-[1]DATABASE!V1111)&gt;1),"Price Bridge Mismatch",""))</f>
        <v/>
      </c>
      <c r="H1150" t="str">
        <f t="shared" si="20"/>
        <v>PASS</v>
      </c>
      <c r="I1150" s="90">
        <f>[1]DATABASE!T1111</f>
        <v>2300000</v>
      </c>
      <c r="J1150" t="str">
        <f>[1]DATABASE!AC1111</f>
        <v>Sandra Viegas</v>
      </c>
    </row>
    <row r="1151" spans="1:10" ht="13.95" customHeight="1" x14ac:dyDescent="0.3">
      <c r="A1151">
        <f>ROW([1]DATABASE!A1112)</f>
        <v>1112</v>
      </c>
      <c r="B1151" t="str">
        <f>[1]DATABASE!AJ1112</f>
        <v>Azuya</v>
      </c>
      <c r="C1151" t="str">
        <f>[1]DATABASE!C1112</f>
        <v>P</v>
      </c>
      <c r="D1151" t="str">
        <f>TRIM([1]DATABASE!Q1112)</f>
        <v>AVAILABLE</v>
      </c>
      <c r="E1151" s="82" t="str">
        <f>_xlfn.TEXTJOIN("; ",TRUE,IF([1]DATABASE!X1112&lt;0,"Negative Discount",""),IF(AND([1]DATABASE!Y1112&gt;[1]DATABASE!T1112,[1]DATABASE!Y1112&gt;0,[1]DATABASE!T1112&gt;0),"Sell Price &gt; Current",""),IF(AND(TRIM([1]DATABASE!Q1112)="DEED",[1]DATABASE!AA1112=""),"Deeded no PSPA Date",""),IF([1]DATABASE!E1112="","Missing Typology",""),IF([1]DATABASE!AJ1112="","Missing Development",""))</f>
        <v/>
      </c>
      <c r="F1151" s="82" t="str">
        <f>_xlfn.TEXTJOIN("; ",TRUE,IF(AND(OR(TRIM([1]DATABASE!Q1112)="RESERVED",TRIM([1]DATABASE!Q1112)="PRE-RESERVED",TRIM([1]DATABASE!Q1112)="PSPA"),[1]DATABASE!AA1112=""),"Reserved/PSPA no PSPA Date",""),IF(AND(TRIM([1]DATABASE!Q1112)="AVAILABLE",[1]DATABASE!AA1112&lt;&gt;""),"Available has PSPA Date",""))</f>
        <v/>
      </c>
      <c r="G1151" s="82" t="str">
        <f>_xlfn.TEXTJOIN("; ",TRUE,IF(AND([1]DATABASE!T1112&lt;0.8*[1]DATABASE!S1112,[1]DATABASE!T1112&gt;0,[1]DATABASE!S1112&gt;0),"Heavy Price Cut &gt;20%",""),IF(AND(OR(TRIM([1]DATABASE!Q1112)="AVAILABLE",TRIM([1]DATABASE!Q1112)="UPON REQUEST"),OR([1]DATABASE!T1112="",[1]DATABASE!T1112=0)),"Active Unit no Price",""),IF(AND(OR(TRIM([1]DATABASE!Q1112)="AVAILABLE",TRIM([1]DATABASE!Q1112)="RESERVED",TRIM([1]DATABASE!Q1112)="PRE-RESERVED",TRIM([1]DATABASE!Q1112)="PSPA"),[1]DATABASE!AC1112=""),"Active no Owner",""),IF(OR([1]DATABASE!F1112="",[1]DATABASE!F1112&lt;=0),"Missing/Invalid Area",""),IF(AND([1]DATABASE!T1112&gt;0,ABS([1]DATABASE!T1112-[1]DATABASE!W1112-[1]DATABASE!U1112-[1]DATABASE!V1112)&gt;1),"Price Bridge Mismatch",""))</f>
        <v/>
      </c>
      <c r="H1151" t="str">
        <f t="shared" si="20"/>
        <v>PASS</v>
      </c>
      <c r="I1151" s="90">
        <f>[1]DATABASE!T1112</f>
        <v>2400000</v>
      </c>
      <c r="J1151" t="str">
        <f>[1]DATABASE!AC1112</f>
        <v>Sandra Viegas</v>
      </c>
    </row>
    <row r="1152" spans="1:10" ht="13.95" customHeight="1" x14ac:dyDescent="0.3">
      <c r="A1152">
        <f>ROW([1]DATABASE!A1113)</f>
        <v>1113</v>
      </c>
      <c r="B1152" t="str">
        <f>[1]DATABASE!AJ1113</f>
        <v>Azuya</v>
      </c>
      <c r="C1152" t="str">
        <f>[1]DATABASE!C1113</f>
        <v>B</v>
      </c>
      <c r="D1152" t="str">
        <f>TRIM([1]DATABASE!Q1113)</f>
        <v>PSPA</v>
      </c>
      <c r="E1152" s="82" t="str">
        <f>_xlfn.TEXTJOIN("; ",TRUE,IF([1]DATABASE!X1113&lt;0,"Negative Discount",""),IF(AND([1]DATABASE!Y1113&gt;[1]DATABASE!T1113,[1]DATABASE!Y1113&gt;0,[1]DATABASE!T1113&gt;0),"Sell Price &gt; Current",""),IF(AND(TRIM([1]DATABASE!Q1113)="DEED",[1]DATABASE!AA1113=""),"Deeded no PSPA Date",""),IF([1]DATABASE!E1113="","Missing Typology",""),IF([1]DATABASE!AJ1113="","Missing Development",""))</f>
        <v/>
      </c>
      <c r="F1152" s="82" t="str">
        <f>_xlfn.TEXTJOIN("; ",TRUE,IF(AND(OR(TRIM([1]DATABASE!Q1113)="RESERVED",TRIM([1]DATABASE!Q1113)="PRE-RESERVED",TRIM([1]DATABASE!Q1113)="PSPA"),[1]DATABASE!AA1113=""),"Reserved/PSPA no PSPA Date",""),IF(AND(TRIM([1]DATABASE!Q1113)="AVAILABLE",[1]DATABASE!AA1113&lt;&gt;""),"Available has PSPA Date",""))</f>
        <v/>
      </c>
      <c r="G1152" s="82" t="str">
        <f>_xlfn.TEXTJOIN("; ",TRUE,IF(AND([1]DATABASE!T1113&lt;0.8*[1]DATABASE!S1113,[1]DATABASE!T1113&gt;0,[1]DATABASE!S1113&gt;0),"Heavy Price Cut &gt;20%",""),IF(AND(OR(TRIM([1]DATABASE!Q1113)="AVAILABLE",TRIM([1]DATABASE!Q1113)="UPON REQUEST"),OR([1]DATABASE!T1113="",[1]DATABASE!T1113=0)),"Active Unit no Price",""),IF(AND(OR(TRIM([1]DATABASE!Q1113)="AVAILABLE",TRIM([1]DATABASE!Q1113)="RESERVED",TRIM([1]DATABASE!Q1113)="PRE-RESERVED",TRIM([1]DATABASE!Q1113)="PSPA"),[1]DATABASE!AC1113=""),"Active no Owner",""),IF(OR([1]DATABASE!F1113="",[1]DATABASE!F1113&lt;=0),"Missing/Invalid Area",""),IF(AND([1]DATABASE!T1113&gt;0,ABS([1]DATABASE!T1113-[1]DATABASE!W1113-[1]DATABASE!U1113-[1]DATABASE!V1113)&gt;1),"Price Bridge Mismatch",""))</f>
        <v/>
      </c>
      <c r="H1152" t="str">
        <f t="shared" si="20"/>
        <v>PASS</v>
      </c>
      <c r="I1152" s="90">
        <f>[1]DATABASE!T1113</f>
        <v>2700000</v>
      </c>
      <c r="J1152" t="str">
        <f>[1]DATABASE!AC1113</f>
        <v>Sandra Viegas</v>
      </c>
    </row>
    <row r="1153" spans="1:10" ht="13.95" customHeight="1" x14ac:dyDescent="0.3">
      <c r="A1153">
        <f>ROW([1]DATABASE!A1114)</f>
        <v>1114</v>
      </c>
      <c r="B1153" t="str">
        <f>[1]DATABASE!AJ1114</f>
        <v>Azuya</v>
      </c>
      <c r="C1153" t="str">
        <f>[1]DATABASE!C1114</f>
        <v>A</v>
      </c>
      <c r="D1153" t="str">
        <f>TRIM([1]DATABASE!Q1114)</f>
        <v>RESERVED</v>
      </c>
      <c r="E1153" s="82" t="str">
        <f>_xlfn.TEXTJOIN("; ",TRUE,IF([1]DATABASE!X1114&lt;0,"Negative Discount",""),IF(AND([1]DATABASE!Y1114&gt;[1]DATABASE!T1114,[1]DATABASE!Y1114&gt;0,[1]DATABASE!T1114&gt;0),"Sell Price &gt; Current",""),IF(AND(TRIM([1]DATABASE!Q1114)="DEED",[1]DATABASE!AA1114=""),"Deeded no PSPA Date",""),IF([1]DATABASE!E1114="","Missing Typology",""),IF([1]DATABASE!AJ1114="","Missing Development",""))</f>
        <v/>
      </c>
      <c r="F1153" s="82" t="str">
        <f>_xlfn.TEXTJOIN("; ",TRUE,IF(AND(OR(TRIM([1]DATABASE!Q1114)="RESERVED",TRIM([1]DATABASE!Q1114)="PRE-RESERVED",TRIM([1]DATABASE!Q1114)="PSPA"),[1]DATABASE!AA1114=""),"Reserved/PSPA no PSPA Date",""),IF(AND(TRIM([1]DATABASE!Q1114)="AVAILABLE",[1]DATABASE!AA1114&lt;&gt;""),"Available has PSPA Date",""))</f>
        <v/>
      </c>
      <c r="G1153" s="82" t="str">
        <f>_xlfn.TEXTJOIN("; ",TRUE,IF(AND([1]DATABASE!T1114&lt;0.8*[1]DATABASE!S1114,[1]DATABASE!T1114&gt;0,[1]DATABASE!S1114&gt;0),"Heavy Price Cut &gt;20%",""),IF(AND(OR(TRIM([1]DATABASE!Q1114)="AVAILABLE",TRIM([1]DATABASE!Q1114)="UPON REQUEST"),OR([1]DATABASE!T1114="",[1]DATABASE!T1114=0)),"Active Unit no Price",""),IF(AND(OR(TRIM([1]DATABASE!Q1114)="AVAILABLE",TRIM([1]DATABASE!Q1114)="RESERVED",TRIM([1]DATABASE!Q1114)="PRE-RESERVED",TRIM([1]DATABASE!Q1114)="PSPA"),[1]DATABASE!AC1114=""),"Active no Owner",""),IF(OR([1]DATABASE!F1114="",[1]DATABASE!F1114&lt;=0),"Missing/Invalid Area",""),IF(AND([1]DATABASE!T1114&gt;0,ABS([1]DATABASE!T1114-[1]DATABASE!W1114-[1]DATABASE!U1114-[1]DATABASE!V1114)&gt;1),"Price Bridge Mismatch",""))</f>
        <v/>
      </c>
      <c r="H1153" t="str">
        <f t="shared" si="20"/>
        <v>PASS</v>
      </c>
      <c r="I1153" s="90">
        <f>[1]DATABASE!T1114</f>
        <v>2610000</v>
      </c>
      <c r="J1153" t="str">
        <f>[1]DATABASE!AC1114</f>
        <v>Sandra Viegas</v>
      </c>
    </row>
    <row r="1154" spans="1:10" ht="13.95" customHeight="1" x14ac:dyDescent="0.3">
      <c r="A1154">
        <f>ROW([1]DATABASE!A1115)</f>
        <v>1115</v>
      </c>
      <c r="B1154" t="str">
        <f>[1]DATABASE!AJ1115</f>
        <v>Monte Rei</v>
      </c>
      <c r="C1154" t="str">
        <f>[1]DATABASE!C1115</f>
        <v>AG</v>
      </c>
      <c r="D1154" t="str">
        <f>TRIM([1]DATABASE!Q1115)</f>
        <v>AVAILABLE</v>
      </c>
      <c r="E1154" s="82" t="str">
        <f>_xlfn.TEXTJOIN("; ",TRUE,IF([1]DATABASE!X1115&lt;0,"Negative Discount",""),IF(AND([1]DATABASE!Y1115&gt;[1]DATABASE!T1115,[1]DATABASE!Y1115&gt;0,[1]DATABASE!T1115&gt;0),"Sell Price &gt; Current",""),IF(AND(TRIM([1]DATABASE!Q1115)="DEED",[1]DATABASE!AA1115=""),"Deeded no PSPA Date",""),IF([1]DATABASE!E1115="","Missing Typology",""),IF([1]DATABASE!AJ1115="","Missing Development",""))</f>
        <v/>
      </c>
      <c r="F1154" s="82" t="str">
        <f>_xlfn.TEXTJOIN("; ",TRUE,IF(AND(OR(TRIM([1]DATABASE!Q1115)="RESERVED",TRIM([1]DATABASE!Q1115)="PRE-RESERVED",TRIM([1]DATABASE!Q1115)="PSPA"),[1]DATABASE!AA1115=""),"Reserved/PSPA no PSPA Date",""),IF(AND(TRIM([1]DATABASE!Q1115)="AVAILABLE",[1]DATABASE!AA1115&lt;&gt;""),"Available has PSPA Date",""))</f>
        <v/>
      </c>
      <c r="G1154" s="82" t="str">
        <f>_xlfn.TEXTJOIN("; ",TRUE,IF(AND([1]DATABASE!T1115&lt;0.8*[1]DATABASE!S1115,[1]DATABASE!T1115&gt;0,[1]DATABASE!S1115&gt;0),"Heavy Price Cut &gt;20%",""),IF(AND(OR(TRIM([1]DATABASE!Q1115)="AVAILABLE",TRIM([1]DATABASE!Q1115)="UPON REQUEST"),OR([1]DATABASE!T1115="",[1]DATABASE!T1115=0)),"Active Unit no Price",""),IF(AND(OR(TRIM([1]DATABASE!Q1115)="AVAILABLE",TRIM([1]DATABASE!Q1115)="RESERVED",TRIM([1]DATABASE!Q1115)="PRE-RESERVED",TRIM([1]DATABASE!Q1115)="PSPA"),[1]DATABASE!AC1115=""),"Active no Owner",""),IF(OR([1]DATABASE!F1115="",[1]DATABASE!F1115&lt;=0),"Missing/Invalid Area",""),IF(AND([1]DATABASE!T1115&gt;0,ABS([1]DATABASE!T1115-[1]DATABASE!W1115-[1]DATABASE!U1115-[1]DATABASE!V1115)&gt;1),"Price Bridge Mismatch",""))</f>
        <v/>
      </c>
      <c r="H1154" t="str">
        <f t="shared" si="20"/>
        <v>PASS</v>
      </c>
      <c r="I1154" s="90">
        <f>[1]DATABASE!T1115</f>
        <v>1340000</v>
      </c>
      <c r="J1154" t="str">
        <f>[1]DATABASE!AC1115</f>
        <v>Sandra Viegas</v>
      </c>
    </row>
    <row r="1155" spans="1:10" ht="13.95" customHeight="1" x14ac:dyDescent="0.3">
      <c r="A1155">
        <f>ROW([1]DATABASE!A1116)</f>
        <v>1116</v>
      </c>
      <c r="B1155" t="str">
        <f>[1]DATABASE!AJ1116</f>
        <v>Nobilus</v>
      </c>
      <c r="C1155" t="str">
        <f>[1]DATABASE!C1116</f>
        <v>V</v>
      </c>
      <c r="D1155" t="str">
        <f>TRIM([1]DATABASE!Q1116)</f>
        <v>AVAILABLE</v>
      </c>
      <c r="E1155" s="82" t="str">
        <f>_xlfn.TEXTJOIN("; ",TRUE,IF([1]DATABASE!X1116&lt;0,"Negative Discount",""),IF(AND([1]DATABASE!Y1116&gt;[1]DATABASE!T1116,[1]DATABASE!Y1116&gt;0,[1]DATABASE!T1116&gt;0),"Sell Price &gt; Current",""),IF(AND(TRIM([1]DATABASE!Q1116)="DEED",[1]DATABASE!AA1116=""),"Deeded no PSPA Date",""),IF([1]DATABASE!E1116="","Missing Typology",""),IF([1]DATABASE!AJ1116="","Missing Development",""))</f>
        <v/>
      </c>
      <c r="F1155" s="82" t="str">
        <f>_xlfn.TEXTJOIN("; ",TRUE,IF(AND(OR(TRIM([1]DATABASE!Q1116)="RESERVED",TRIM([1]DATABASE!Q1116)="PRE-RESERVED",TRIM([1]DATABASE!Q1116)="PSPA"),[1]DATABASE!AA1116=""),"Reserved/PSPA no PSPA Date",""),IF(AND(TRIM([1]DATABASE!Q1116)="AVAILABLE",[1]DATABASE!AA1116&lt;&gt;""),"Available has PSPA Date",""))</f>
        <v/>
      </c>
      <c r="G1155" s="82" t="str">
        <f>_xlfn.TEXTJOIN("; ",TRUE,IF(AND([1]DATABASE!T1116&lt;0.8*[1]DATABASE!S1116,[1]DATABASE!T1116&gt;0,[1]DATABASE!S1116&gt;0),"Heavy Price Cut &gt;20%",""),IF(AND(OR(TRIM([1]DATABASE!Q1116)="AVAILABLE",TRIM([1]DATABASE!Q1116)="UPON REQUEST"),OR([1]DATABASE!T1116="",[1]DATABASE!T1116=0)),"Active Unit no Price",""),IF(AND(OR(TRIM([1]DATABASE!Q1116)="AVAILABLE",TRIM([1]DATABASE!Q1116)="RESERVED",TRIM([1]DATABASE!Q1116)="PRE-RESERVED",TRIM([1]DATABASE!Q1116)="PSPA"),[1]DATABASE!AC1116=""),"Active no Owner",""),IF(OR([1]DATABASE!F1116="",[1]DATABASE!F1116&lt;=0),"Missing/Invalid Area",""),IF(AND([1]DATABASE!T1116&gt;0,ABS([1]DATABASE!T1116-[1]DATABASE!W1116-[1]DATABASE!U1116-[1]DATABASE!V1116)&gt;1),"Price Bridge Mismatch",""))</f>
        <v/>
      </c>
      <c r="H1155" t="str">
        <f t="shared" si="20"/>
        <v>PASS</v>
      </c>
      <c r="I1155" s="90">
        <f>[1]DATABASE!T1116</f>
        <v>1010000</v>
      </c>
      <c r="J1155" t="str">
        <f>[1]DATABASE!AC1116</f>
        <v>Ana Damásio</v>
      </c>
    </row>
    <row r="1156" spans="1:10" ht="13.95" customHeight="1" x14ac:dyDescent="0.3">
      <c r="A1156">
        <f>ROW([1]DATABASE!A1117)</f>
        <v>1117</v>
      </c>
      <c r="B1156" t="str">
        <f>[1]DATABASE!AJ1117</f>
        <v>Zestia</v>
      </c>
      <c r="C1156" t="str">
        <f>[1]DATABASE!C1117</f>
        <v>V</v>
      </c>
      <c r="D1156" t="str">
        <f>TRIM([1]DATABASE!Q1117)</f>
        <v>AVAILABLE</v>
      </c>
      <c r="E1156" s="82" t="str">
        <f>_xlfn.TEXTJOIN("; ",TRUE,IF([1]DATABASE!X1117&lt;0,"Negative Discount",""),IF(AND([1]DATABASE!Y1117&gt;[1]DATABASE!T1117,[1]DATABASE!Y1117&gt;0,[1]DATABASE!T1117&gt;0),"Sell Price &gt; Current",""),IF(AND(TRIM([1]DATABASE!Q1117)="DEED",[1]DATABASE!AA1117=""),"Deeded no PSPA Date",""),IF([1]DATABASE!E1117="","Missing Typology",""),IF([1]DATABASE!AJ1117="","Missing Development",""))</f>
        <v/>
      </c>
      <c r="F1156" s="82" t="str">
        <f>_xlfn.TEXTJOIN("; ",TRUE,IF(AND(OR(TRIM([1]DATABASE!Q1117)="RESERVED",TRIM([1]DATABASE!Q1117)="PRE-RESERVED",TRIM([1]DATABASE!Q1117)="PSPA"),[1]DATABASE!AA1117=""),"Reserved/PSPA no PSPA Date",""),IF(AND(TRIM([1]DATABASE!Q1117)="AVAILABLE",[1]DATABASE!AA1117&lt;&gt;""),"Available has PSPA Date",""))</f>
        <v/>
      </c>
      <c r="G1156" s="82" t="str">
        <f>_xlfn.TEXTJOIN("; ",TRUE,IF(AND([1]DATABASE!T1117&lt;0.8*[1]DATABASE!S1117,[1]DATABASE!T1117&gt;0,[1]DATABASE!S1117&gt;0),"Heavy Price Cut &gt;20%",""),IF(AND(OR(TRIM([1]DATABASE!Q1117)="AVAILABLE",TRIM([1]DATABASE!Q1117)="UPON REQUEST"),OR([1]DATABASE!T1117="",[1]DATABASE!T1117=0)),"Active Unit no Price",""),IF(AND(OR(TRIM([1]DATABASE!Q1117)="AVAILABLE",TRIM([1]DATABASE!Q1117)="RESERVED",TRIM([1]DATABASE!Q1117)="PRE-RESERVED",TRIM([1]DATABASE!Q1117)="PSPA"),[1]DATABASE!AC1117=""),"Active no Owner",""),IF(OR([1]DATABASE!F1117="",[1]DATABASE!F1117&lt;=0),"Missing/Invalid Area",""),IF(AND([1]DATABASE!T1117&gt;0,ABS([1]DATABASE!T1117-[1]DATABASE!W1117-[1]DATABASE!U1117-[1]DATABASE!V1117)&gt;1),"Price Bridge Mismatch",""))</f>
        <v/>
      </c>
      <c r="H1156" t="str">
        <f t="shared" si="20"/>
        <v>PASS</v>
      </c>
      <c r="I1156" s="90">
        <f>[1]DATABASE!T1117</f>
        <v>840000</v>
      </c>
      <c r="J1156" t="str">
        <f>[1]DATABASE!AC1117</f>
        <v>Ana Damásio</v>
      </c>
    </row>
    <row r="1157" spans="1:10" ht="13.95" customHeight="1" x14ac:dyDescent="0.3">
      <c r="A1157">
        <f>ROW([1]DATABASE!A1118)</f>
        <v>1118</v>
      </c>
      <c r="B1157" t="str">
        <f>[1]DATABASE!AJ1118</f>
        <v>Botanica</v>
      </c>
      <c r="C1157" t="str">
        <f>[1]DATABASE!C1118</f>
        <v>W</v>
      </c>
      <c r="D1157" t="str">
        <f>TRIM([1]DATABASE!Q1118)</f>
        <v>AVAILABLE</v>
      </c>
      <c r="E1157" s="82" t="str">
        <f>_xlfn.TEXTJOIN("; ",TRUE,IF([1]DATABASE!X1118&lt;0,"Negative Discount",""),IF(AND([1]DATABASE!Y1118&gt;[1]DATABASE!T1118,[1]DATABASE!Y1118&gt;0,[1]DATABASE!T1118&gt;0),"Sell Price &gt; Current",""),IF(AND(TRIM([1]DATABASE!Q1118)="DEED",[1]DATABASE!AA1118=""),"Deeded no PSPA Date",""),IF([1]DATABASE!E1118="","Missing Typology",""),IF([1]DATABASE!AJ1118="","Missing Development",""))</f>
        <v/>
      </c>
      <c r="F1157" s="82" t="str">
        <f>_xlfn.TEXTJOIN("; ",TRUE,IF(AND(OR(TRIM([1]DATABASE!Q1118)="RESERVED",TRIM([1]DATABASE!Q1118)="PRE-RESERVED",TRIM([1]DATABASE!Q1118)="PSPA"),[1]DATABASE!AA1118=""),"Reserved/PSPA no PSPA Date",""),IF(AND(TRIM([1]DATABASE!Q1118)="AVAILABLE",[1]DATABASE!AA1118&lt;&gt;""),"Available has PSPA Date",""))</f>
        <v/>
      </c>
      <c r="G1157" s="82" t="str">
        <f>_xlfn.TEXTJOIN("; ",TRUE,IF(AND([1]DATABASE!T1118&lt;0.8*[1]DATABASE!S1118,[1]DATABASE!T1118&gt;0,[1]DATABASE!S1118&gt;0),"Heavy Price Cut &gt;20%",""),IF(AND(OR(TRIM([1]DATABASE!Q1118)="AVAILABLE",TRIM([1]DATABASE!Q1118)="UPON REQUEST"),OR([1]DATABASE!T1118="",[1]DATABASE!T1118=0)),"Active Unit no Price",""),IF(AND(OR(TRIM([1]DATABASE!Q1118)="AVAILABLE",TRIM([1]DATABASE!Q1118)="RESERVED",TRIM([1]DATABASE!Q1118)="PRE-RESERVED",TRIM([1]DATABASE!Q1118)="PSPA"),[1]DATABASE!AC1118=""),"Active no Owner",""),IF(OR([1]DATABASE!F1118="",[1]DATABASE!F1118&lt;=0),"Missing/Invalid Area",""),IF(AND([1]DATABASE!T1118&gt;0,ABS([1]DATABASE!T1118-[1]DATABASE!W1118-[1]DATABASE!U1118-[1]DATABASE!V1118)&gt;1),"Price Bridge Mismatch",""))</f>
        <v/>
      </c>
      <c r="H1157" t="str">
        <f t="shared" si="20"/>
        <v>PASS</v>
      </c>
      <c r="I1157" s="90">
        <f>[1]DATABASE!T1118</f>
        <v>950000</v>
      </c>
      <c r="J1157" t="str">
        <f>[1]DATABASE!AC1118</f>
        <v>Ana Damásio</v>
      </c>
    </row>
    <row r="1158" spans="1:10" ht="13.95" customHeight="1" x14ac:dyDescent="0.3">
      <c r="A1158">
        <f>ROW([1]DATABASE!A1119)</f>
        <v>1119</v>
      </c>
      <c r="B1158" t="str">
        <f>[1]DATABASE!AJ1119</f>
        <v>Nobilus</v>
      </c>
      <c r="C1158" t="str">
        <f>[1]DATABASE!C1119</f>
        <v>W</v>
      </c>
      <c r="D1158" t="str">
        <f>TRIM([1]DATABASE!Q1119)</f>
        <v>AVAILABLE</v>
      </c>
      <c r="E1158" s="82" t="str">
        <f>_xlfn.TEXTJOIN("; ",TRUE,IF([1]DATABASE!X1119&lt;0,"Negative Discount",""),IF(AND([1]DATABASE!Y1119&gt;[1]DATABASE!T1119,[1]DATABASE!Y1119&gt;0,[1]DATABASE!T1119&gt;0),"Sell Price &gt; Current",""),IF(AND(TRIM([1]DATABASE!Q1119)="DEED",[1]DATABASE!AA1119=""),"Deeded no PSPA Date",""),IF([1]DATABASE!E1119="","Missing Typology",""),IF([1]DATABASE!AJ1119="","Missing Development",""))</f>
        <v/>
      </c>
      <c r="F1158" s="82" t="str">
        <f>_xlfn.TEXTJOIN("; ",TRUE,IF(AND(OR(TRIM([1]DATABASE!Q1119)="RESERVED",TRIM([1]DATABASE!Q1119)="PRE-RESERVED",TRIM([1]DATABASE!Q1119)="PSPA"),[1]DATABASE!AA1119=""),"Reserved/PSPA no PSPA Date",""),IF(AND(TRIM([1]DATABASE!Q1119)="AVAILABLE",[1]DATABASE!AA1119&lt;&gt;""),"Available has PSPA Date",""))</f>
        <v/>
      </c>
      <c r="G1158" s="82" t="str">
        <f>_xlfn.TEXTJOIN("; ",TRUE,IF(AND([1]DATABASE!T1119&lt;0.8*[1]DATABASE!S1119,[1]DATABASE!T1119&gt;0,[1]DATABASE!S1119&gt;0),"Heavy Price Cut &gt;20%",""),IF(AND(OR(TRIM([1]DATABASE!Q1119)="AVAILABLE",TRIM([1]DATABASE!Q1119)="UPON REQUEST"),OR([1]DATABASE!T1119="",[1]DATABASE!T1119=0)),"Active Unit no Price",""),IF(AND(OR(TRIM([1]DATABASE!Q1119)="AVAILABLE",TRIM([1]DATABASE!Q1119)="RESERVED",TRIM([1]DATABASE!Q1119)="PRE-RESERVED",TRIM([1]DATABASE!Q1119)="PSPA"),[1]DATABASE!AC1119=""),"Active no Owner",""),IF(OR([1]DATABASE!F1119="",[1]DATABASE!F1119&lt;=0),"Missing/Invalid Area",""),IF(AND([1]DATABASE!T1119&gt;0,ABS([1]DATABASE!T1119-[1]DATABASE!W1119-[1]DATABASE!U1119-[1]DATABASE!V1119)&gt;1),"Price Bridge Mismatch",""))</f>
        <v/>
      </c>
      <c r="H1158" t="str">
        <f t="shared" si="20"/>
        <v>PASS</v>
      </c>
      <c r="I1158" s="90">
        <f>[1]DATABASE!T1119</f>
        <v>970000</v>
      </c>
      <c r="J1158" t="str">
        <f>[1]DATABASE!AC1119</f>
        <v>Ana Damásio</v>
      </c>
    </row>
    <row r="1159" spans="1:10" ht="13.95" customHeight="1" x14ac:dyDescent="0.3">
      <c r="A1159">
        <f>ROW([1]DATABASE!A1120)</f>
        <v>1120</v>
      </c>
      <c r="B1159" t="str">
        <f>[1]DATABASE!AJ1120</f>
        <v>Zestia</v>
      </c>
      <c r="C1159" t="str">
        <f>[1]DATABASE!C1120</f>
        <v>W</v>
      </c>
      <c r="D1159" t="str">
        <f>TRIM([1]DATABASE!Q1120)</f>
        <v>AVAILABLE</v>
      </c>
      <c r="E1159" s="82" t="str">
        <f>_xlfn.TEXTJOIN("; ",TRUE,IF([1]DATABASE!X1120&lt;0,"Negative Discount",""),IF(AND([1]DATABASE!Y1120&gt;[1]DATABASE!T1120,[1]DATABASE!Y1120&gt;0,[1]DATABASE!T1120&gt;0),"Sell Price &gt; Current",""),IF(AND(TRIM([1]DATABASE!Q1120)="DEED",[1]DATABASE!AA1120=""),"Deeded no PSPA Date",""),IF([1]DATABASE!E1120="","Missing Typology",""),IF([1]DATABASE!AJ1120="","Missing Development",""))</f>
        <v/>
      </c>
      <c r="F1159" s="82" t="str">
        <f>_xlfn.TEXTJOIN("; ",TRUE,IF(AND(OR(TRIM([1]DATABASE!Q1120)="RESERVED",TRIM([1]DATABASE!Q1120)="PRE-RESERVED",TRIM([1]DATABASE!Q1120)="PSPA"),[1]DATABASE!AA1120=""),"Reserved/PSPA no PSPA Date",""),IF(AND(TRIM([1]DATABASE!Q1120)="AVAILABLE",[1]DATABASE!AA1120&lt;&gt;""),"Available has PSPA Date",""))</f>
        <v/>
      </c>
      <c r="G1159" s="82" t="str">
        <f>_xlfn.TEXTJOIN("; ",TRUE,IF(AND([1]DATABASE!T1120&lt;0.8*[1]DATABASE!S1120,[1]DATABASE!T1120&gt;0,[1]DATABASE!S1120&gt;0),"Heavy Price Cut &gt;20%",""),IF(AND(OR(TRIM([1]DATABASE!Q1120)="AVAILABLE",TRIM([1]DATABASE!Q1120)="UPON REQUEST"),OR([1]DATABASE!T1120="",[1]DATABASE!T1120=0)),"Active Unit no Price",""),IF(AND(OR(TRIM([1]DATABASE!Q1120)="AVAILABLE",TRIM([1]DATABASE!Q1120)="RESERVED",TRIM([1]DATABASE!Q1120)="PRE-RESERVED",TRIM([1]DATABASE!Q1120)="PSPA"),[1]DATABASE!AC1120=""),"Active no Owner",""),IF(OR([1]DATABASE!F1120="",[1]DATABASE!F1120&lt;=0),"Missing/Invalid Area",""),IF(AND([1]DATABASE!T1120&gt;0,ABS([1]DATABASE!T1120-[1]DATABASE!W1120-[1]DATABASE!U1120-[1]DATABASE!V1120)&gt;1),"Price Bridge Mismatch",""))</f>
        <v/>
      </c>
      <c r="H1159" t="str">
        <f t="shared" si="20"/>
        <v>PASS</v>
      </c>
      <c r="I1159" s="90">
        <f>[1]DATABASE!T1120</f>
        <v>840000</v>
      </c>
      <c r="J1159" t="str">
        <f>[1]DATABASE!AC1120</f>
        <v>Ana Damásio</v>
      </c>
    </row>
    <row r="1160" spans="1:10" ht="13.95" customHeight="1" x14ac:dyDescent="0.3">
      <c r="A1160">
        <f>ROW([1]DATABASE!A1121)</f>
        <v>1121</v>
      </c>
      <c r="B1160" t="str">
        <f>[1]DATABASE!AJ1121</f>
        <v>Botanica</v>
      </c>
      <c r="C1160" t="str">
        <f>[1]DATABASE!C1121</f>
        <v>X</v>
      </c>
      <c r="D1160" t="str">
        <f>TRIM([1]DATABASE!Q1121)</f>
        <v>AVAILABLE</v>
      </c>
      <c r="E1160" s="82" t="str">
        <f>_xlfn.TEXTJOIN("; ",TRUE,IF([1]DATABASE!X1121&lt;0,"Negative Discount",""),IF(AND([1]DATABASE!Y1121&gt;[1]DATABASE!T1121,[1]DATABASE!Y1121&gt;0,[1]DATABASE!T1121&gt;0),"Sell Price &gt; Current",""),IF(AND(TRIM([1]DATABASE!Q1121)="DEED",[1]DATABASE!AA1121=""),"Deeded no PSPA Date",""),IF([1]DATABASE!E1121="","Missing Typology",""),IF([1]DATABASE!AJ1121="","Missing Development",""))</f>
        <v/>
      </c>
      <c r="F1160" s="82" t="str">
        <f>_xlfn.TEXTJOIN("; ",TRUE,IF(AND(OR(TRIM([1]DATABASE!Q1121)="RESERVED",TRIM([1]DATABASE!Q1121)="PRE-RESERVED",TRIM([1]DATABASE!Q1121)="PSPA"),[1]DATABASE!AA1121=""),"Reserved/PSPA no PSPA Date",""),IF(AND(TRIM([1]DATABASE!Q1121)="AVAILABLE",[1]DATABASE!AA1121&lt;&gt;""),"Available has PSPA Date",""))</f>
        <v/>
      </c>
      <c r="G1160" s="82" t="str">
        <f>_xlfn.TEXTJOIN("; ",TRUE,IF(AND([1]DATABASE!T1121&lt;0.8*[1]DATABASE!S1121,[1]DATABASE!T1121&gt;0,[1]DATABASE!S1121&gt;0),"Heavy Price Cut &gt;20%",""),IF(AND(OR(TRIM([1]DATABASE!Q1121)="AVAILABLE",TRIM([1]DATABASE!Q1121)="UPON REQUEST"),OR([1]DATABASE!T1121="",[1]DATABASE!T1121=0)),"Active Unit no Price",""),IF(AND(OR(TRIM([1]DATABASE!Q1121)="AVAILABLE",TRIM([1]DATABASE!Q1121)="RESERVED",TRIM([1]DATABASE!Q1121)="PRE-RESERVED",TRIM([1]DATABASE!Q1121)="PSPA"),[1]DATABASE!AC1121=""),"Active no Owner",""),IF(OR([1]DATABASE!F1121="",[1]DATABASE!F1121&lt;=0),"Missing/Invalid Area",""),IF(AND([1]DATABASE!T1121&gt;0,ABS([1]DATABASE!T1121-[1]DATABASE!W1121-[1]DATABASE!U1121-[1]DATABASE!V1121)&gt;1),"Price Bridge Mismatch",""))</f>
        <v/>
      </c>
      <c r="H1160" t="str">
        <f t="shared" si="20"/>
        <v>PASS</v>
      </c>
      <c r="I1160" s="90">
        <f>[1]DATABASE!T1121</f>
        <v>950000</v>
      </c>
      <c r="J1160" t="str">
        <f>[1]DATABASE!AC1121</f>
        <v>Ana Damásio</v>
      </c>
    </row>
    <row r="1161" spans="1:10" ht="13.95" customHeight="1" x14ac:dyDescent="0.3">
      <c r="A1161">
        <f>ROW([1]DATABASE!A1122)</f>
        <v>1122</v>
      </c>
      <c r="B1161" t="str">
        <f>[1]DATABASE!AJ1122</f>
        <v>Nobilus</v>
      </c>
      <c r="C1161" t="str">
        <f>[1]DATABASE!C1122</f>
        <v>X</v>
      </c>
      <c r="D1161" t="str">
        <f>TRIM([1]DATABASE!Q1122)</f>
        <v>AVAILABLE</v>
      </c>
      <c r="E1161" s="82" t="str">
        <f>_xlfn.TEXTJOIN("; ",TRUE,IF([1]DATABASE!X1122&lt;0,"Negative Discount",""),IF(AND([1]DATABASE!Y1122&gt;[1]DATABASE!T1122,[1]DATABASE!Y1122&gt;0,[1]DATABASE!T1122&gt;0),"Sell Price &gt; Current",""),IF(AND(TRIM([1]DATABASE!Q1122)="DEED",[1]DATABASE!AA1122=""),"Deeded no PSPA Date",""),IF([1]DATABASE!E1122="","Missing Typology",""),IF([1]DATABASE!AJ1122="","Missing Development",""))</f>
        <v/>
      </c>
      <c r="F1161" s="82" t="str">
        <f>_xlfn.TEXTJOIN("; ",TRUE,IF(AND(OR(TRIM([1]DATABASE!Q1122)="RESERVED",TRIM([1]DATABASE!Q1122)="PRE-RESERVED",TRIM([1]DATABASE!Q1122)="PSPA"),[1]DATABASE!AA1122=""),"Reserved/PSPA no PSPA Date",""),IF(AND(TRIM([1]DATABASE!Q1122)="AVAILABLE",[1]DATABASE!AA1122&lt;&gt;""),"Available has PSPA Date",""))</f>
        <v/>
      </c>
      <c r="G1161" s="82" t="str">
        <f>_xlfn.TEXTJOIN("; ",TRUE,IF(AND([1]DATABASE!T1122&lt;0.8*[1]DATABASE!S1122,[1]DATABASE!T1122&gt;0,[1]DATABASE!S1122&gt;0),"Heavy Price Cut &gt;20%",""),IF(AND(OR(TRIM([1]DATABASE!Q1122)="AVAILABLE",TRIM([1]DATABASE!Q1122)="UPON REQUEST"),OR([1]DATABASE!T1122="",[1]DATABASE!T1122=0)),"Active Unit no Price",""),IF(AND(OR(TRIM([1]DATABASE!Q1122)="AVAILABLE",TRIM([1]DATABASE!Q1122)="RESERVED",TRIM([1]DATABASE!Q1122)="PRE-RESERVED",TRIM([1]DATABASE!Q1122)="PSPA"),[1]DATABASE!AC1122=""),"Active no Owner",""),IF(OR([1]DATABASE!F1122="",[1]DATABASE!F1122&lt;=0),"Missing/Invalid Area",""),IF(AND([1]DATABASE!T1122&gt;0,ABS([1]DATABASE!T1122-[1]DATABASE!W1122-[1]DATABASE!U1122-[1]DATABASE!V1122)&gt;1),"Price Bridge Mismatch",""))</f>
        <v/>
      </c>
      <c r="H1161" t="str">
        <f t="shared" si="20"/>
        <v>PASS</v>
      </c>
      <c r="I1161" s="90">
        <f>[1]DATABASE!T1122</f>
        <v>910000</v>
      </c>
      <c r="J1161" t="str">
        <f>[1]DATABASE!AC1122</f>
        <v>Ana Damásio</v>
      </c>
    </row>
    <row r="1162" spans="1:10" ht="13.95" customHeight="1" x14ac:dyDescent="0.3">
      <c r="A1162">
        <f>ROW([1]DATABASE!A1123)</f>
        <v>1123</v>
      </c>
      <c r="B1162" t="str">
        <f>[1]DATABASE!AJ1123</f>
        <v>Zestia</v>
      </c>
      <c r="C1162" t="str">
        <f>[1]DATABASE!C1123</f>
        <v>X</v>
      </c>
      <c r="D1162" t="str">
        <f>TRIM([1]DATABASE!Q1123)</f>
        <v>AVAILABLE</v>
      </c>
      <c r="E1162" s="82" t="str">
        <f>_xlfn.TEXTJOIN("; ",TRUE,IF([1]DATABASE!X1123&lt;0,"Negative Discount",""),IF(AND([1]DATABASE!Y1123&gt;[1]DATABASE!T1123,[1]DATABASE!Y1123&gt;0,[1]DATABASE!T1123&gt;0),"Sell Price &gt; Current",""),IF(AND(TRIM([1]DATABASE!Q1123)="DEED",[1]DATABASE!AA1123=""),"Deeded no PSPA Date",""),IF([1]DATABASE!E1123="","Missing Typology",""),IF([1]DATABASE!AJ1123="","Missing Development",""))</f>
        <v/>
      </c>
      <c r="F1162" s="82" t="str">
        <f>_xlfn.TEXTJOIN("; ",TRUE,IF(AND(OR(TRIM([1]DATABASE!Q1123)="RESERVED",TRIM([1]DATABASE!Q1123)="PRE-RESERVED",TRIM([1]DATABASE!Q1123)="PSPA"),[1]DATABASE!AA1123=""),"Reserved/PSPA no PSPA Date",""),IF(AND(TRIM([1]DATABASE!Q1123)="AVAILABLE",[1]DATABASE!AA1123&lt;&gt;""),"Available has PSPA Date",""))</f>
        <v/>
      </c>
      <c r="G1162" s="82" t="str">
        <f>_xlfn.TEXTJOIN("; ",TRUE,IF(AND([1]DATABASE!T1123&lt;0.8*[1]DATABASE!S1123,[1]DATABASE!T1123&gt;0,[1]DATABASE!S1123&gt;0),"Heavy Price Cut &gt;20%",""),IF(AND(OR(TRIM([1]DATABASE!Q1123)="AVAILABLE",TRIM([1]DATABASE!Q1123)="UPON REQUEST"),OR([1]DATABASE!T1123="",[1]DATABASE!T1123=0)),"Active Unit no Price",""),IF(AND(OR(TRIM([1]DATABASE!Q1123)="AVAILABLE",TRIM([1]DATABASE!Q1123)="RESERVED",TRIM([1]DATABASE!Q1123)="PRE-RESERVED",TRIM([1]DATABASE!Q1123)="PSPA"),[1]DATABASE!AC1123=""),"Active no Owner",""),IF(OR([1]DATABASE!F1123="",[1]DATABASE!F1123&lt;=0),"Missing/Invalid Area",""),IF(AND([1]DATABASE!T1123&gt;0,ABS([1]DATABASE!T1123-[1]DATABASE!W1123-[1]DATABASE!U1123-[1]DATABASE!V1123)&gt;1),"Price Bridge Mismatch",""))</f>
        <v/>
      </c>
      <c r="H1162" t="str">
        <f t="shared" si="20"/>
        <v>PASS</v>
      </c>
      <c r="I1162" s="90">
        <f>[1]DATABASE!T1123</f>
        <v>840000</v>
      </c>
      <c r="J1162" t="str">
        <f>[1]DATABASE!AC1123</f>
        <v>Ana Damásio</v>
      </c>
    </row>
    <row r="1163" spans="1:10" ht="13.95" customHeight="1" x14ac:dyDescent="0.3">
      <c r="A1163">
        <f>ROW([1]DATABASE!A1124)</f>
        <v>1124</v>
      </c>
      <c r="B1163" t="str">
        <f>[1]DATABASE!AJ1124</f>
        <v>Botanica</v>
      </c>
      <c r="C1163" t="str">
        <f>[1]DATABASE!C1124</f>
        <v>Y</v>
      </c>
      <c r="D1163" t="str">
        <f>TRIM([1]DATABASE!Q1124)</f>
        <v>AVAILABLE</v>
      </c>
      <c r="E1163" s="82" t="str">
        <f>_xlfn.TEXTJOIN("; ",TRUE,IF([1]DATABASE!X1124&lt;0,"Negative Discount",""),IF(AND([1]DATABASE!Y1124&gt;[1]DATABASE!T1124,[1]DATABASE!Y1124&gt;0,[1]DATABASE!T1124&gt;0),"Sell Price &gt; Current",""),IF(AND(TRIM([1]DATABASE!Q1124)="DEED",[1]DATABASE!AA1124=""),"Deeded no PSPA Date",""),IF([1]DATABASE!E1124="","Missing Typology",""),IF([1]DATABASE!AJ1124="","Missing Development",""))</f>
        <v/>
      </c>
      <c r="F1163" s="82" t="str">
        <f>_xlfn.TEXTJOIN("; ",TRUE,IF(AND(OR(TRIM([1]DATABASE!Q1124)="RESERVED",TRIM([1]DATABASE!Q1124)="PRE-RESERVED",TRIM([1]DATABASE!Q1124)="PSPA"),[1]DATABASE!AA1124=""),"Reserved/PSPA no PSPA Date",""),IF(AND(TRIM([1]DATABASE!Q1124)="AVAILABLE",[1]DATABASE!AA1124&lt;&gt;""),"Available has PSPA Date",""))</f>
        <v/>
      </c>
      <c r="G1163" s="82" t="str">
        <f>_xlfn.TEXTJOIN("; ",TRUE,IF(AND([1]DATABASE!T1124&lt;0.8*[1]DATABASE!S1124,[1]DATABASE!T1124&gt;0,[1]DATABASE!S1124&gt;0),"Heavy Price Cut &gt;20%",""),IF(AND(OR(TRIM([1]DATABASE!Q1124)="AVAILABLE",TRIM([1]DATABASE!Q1124)="UPON REQUEST"),OR([1]DATABASE!T1124="",[1]DATABASE!T1124=0)),"Active Unit no Price",""),IF(AND(OR(TRIM([1]DATABASE!Q1124)="AVAILABLE",TRIM([1]DATABASE!Q1124)="RESERVED",TRIM([1]DATABASE!Q1124)="PRE-RESERVED",TRIM([1]DATABASE!Q1124)="PSPA"),[1]DATABASE!AC1124=""),"Active no Owner",""),IF(OR([1]DATABASE!F1124="",[1]DATABASE!F1124&lt;=0),"Missing/Invalid Area",""),IF(AND([1]DATABASE!T1124&gt;0,ABS([1]DATABASE!T1124-[1]DATABASE!W1124-[1]DATABASE!U1124-[1]DATABASE!V1124)&gt;1),"Price Bridge Mismatch",""))</f>
        <v/>
      </c>
      <c r="H1163" t="str">
        <f t="shared" si="20"/>
        <v>PASS</v>
      </c>
      <c r="I1163" s="90">
        <f>[1]DATABASE!T1124</f>
        <v>1550000</v>
      </c>
      <c r="J1163" t="str">
        <f>[1]DATABASE!AC1124</f>
        <v>Ana Damásio</v>
      </c>
    </row>
    <row r="1164" spans="1:10" ht="13.95" customHeight="1" x14ac:dyDescent="0.3">
      <c r="A1164">
        <f>ROW([1]DATABASE!A1125)</f>
        <v>1125</v>
      </c>
      <c r="B1164" t="str">
        <f>[1]DATABASE!AJ1125</f>
        <v>Rivus</v>
      </c>
      <c r="C1164" t="str">
        <f>[1]DATABASE!C1125</f>
        <v>Y</v>
      </c>
      <c r="D1164" t="str">
        <f>TRIM([1]DATABASE!Q1125)</f>
        <v>AVAILABLE</v>
      </c>
      <c r="E1164" s="82" t="str">
        <f>_xlfn.TEXTJOIN("; ",TRUE,IF([1]DATABASE!X1125&lt;0,"Negative Discount",""),IF(AND([1]DATABASE!Y1125&gt;[1]DATABASE!T1125,[1]DATABASE!Y1125&gt;0,[1]DATABASE!T1125&gt;0),"Sell Price &gt; Current",""),IF(AND(TRIM([1]DATABASE!Q1125)="DEED",[1]DATABASE!AA1125=""),"Deeded no PSPA Date",""),IF([1]DATABASE!E1125="","Missing Typology",""),IF([1]DATABASE!AJ1125="","Missing Development",""))</f>
        <v/>
      </c>
      <c r="F1164" s="82" t="str">
        <f>_xlfn.TEXTJOIN("; ",TRUE,IF(AND(OR(TRIM([1]DATABASE!Q1125)="RESERVED",TRIM([1]DATABASE!Q1125)="PRE-RESERVED",TRIM([1]DATABASE!Q1125)="PSPA"),[1]DATABASE!AA1125=""),"Reserved/PSPA no PSPA Date",""),IF(AND(TRIM([1]DATABASE!Q1125)="AVAILABLE",[1]DATABASE!AA1125&lt;&gt;""),"Available has PSPA Date",""))</f>
        <v/>
      </c>
      <c r="G1164" s="82" t="str">
        <f>_xlfn.TEXTJOIN("; ",TRUE,IF(AND([1]DATABASE!T1125&lt;0.8*[1]DATABASE!S1125,[1]DATABASE!T1125&gt;0,[1]DATABASE!S1125&gt;0),"Heavy Price Cut &gt;20%",""),IF(AND(OR(TRIM([1]DATABASE!Q1125)="AVAILABLE",TRIM([1]DATABASE!Q1125)="UPON REQUEST"),OR([1]DATABASE!T1125="",[1]DATABASE!T1125=0)),"Active Unit no Price",""),IF(AND(OR(TRIM([1]DATABASE!Q1125)="AVAILABLE",TRIM([1]DATABASE!Q1125)="RESERVED",TRIM([1]DATABASE!Q1125)="PRE-RESERVED",TRIM([1]DATABASE!Q1125)="PSPA"),[1]DATABASE!AC1125=""),"Active no Owner",""),IF(OR([1]DATABASE!F1125="",[1]DATABASE!F1125&lt;=0),"Missing/Invalid Area",""),IF(AND([1]DATABASE!T1125&gt;0,ABS([1]DATABASE!T1125-[1]DATABASE!W1125-[1]DATABASE!U1125-[1]DATABASE!V1125)&gt;1),"Price Bridge Mismatch",""))</f>
        <v>Missing/Invalid Area</v>
      </c>
      <c r="H1164" t="str">
        <f t="shared" si="20"/>
        <v>REVIEW</v>
      </c>
      <c r="I1164" s="90">
        <f>[1]DATABASE!T1125</f>
        <v>760000</v>
      </c>
      <c r="J1164" t="str">
        <f>[1]DATABASE!AC1125</f>
        <v>Ana Damásio</v>
      </c>
    </row>
    <row r="1165" spans="1:10" ht="13.95" customHeight="1" x14ac:dyDescent="0.3">
      <c r="A1165">
        <f>ROW([1]DATABASE!A1126)</f>
        <v>1126</v>
      </c>
      <c r="B1165" t="str">
        <f>[1]DATABASE!AJ1126</f>
        <v>Springs - At the Els</v>
      </c>
      <c r="C1165" t="str">
        <f>[1]DATABASE!C1126</f>
        <v>Y</v>
      </c>
      <c r="D1165" t="str">
        <f>TRIM([1]DATABASE!Q1126)</f>
        <v>AVAILABLE</v>
      </c>
      <c r="E1165" s="82" t="str">
        <f>_xlfn.TEXTJOIN("; ",TRUE,IF([1]DATABASE!X1126&lt;0,"Negative Discount",""),IF(AND([1]DATABASE!Y1126&gt;[1]DATABASE!T1126,[1]DATABASE!Y1126&gt;0,[1]DATABASE!T1126&gt;0),"Sell Price &gt; Current",""),IF(AND(TRIM([1]DATABASE!Q1126)="DEED",[1]DATABASE!AA1126=""),"Deeded no PSPA Date",""),IF([1]DATABASE!E1126="","Missing Typology",""),IF([1]DATABASE!AJ1126="","Missing Development",""))</f>
        <v/>
      </c>
      <c r="F1165" s="82" t="str">
        <f>_xlfn.TEXTJOIN("; ",TRUE,IF(AND(OR(TRIM([1]DATABASE!Q1126)="RESERVED",TRIM([1]DATABASE!Q1126)="PRE-RESERVED",TRIM([1]DATABASE!Q1126)="PSPA"),[1]DATABASE!AA1126=""),"Reserved/PSPA no PSPA Date",""),IF(AND(TRIM([1]DATABASE!Q1126)="AVAILABLE",[1]DATABASE!AA1126&lt;&gt;""),"Available has PSPA Date",""))</f>
        <v/>
      </c>
      <c r="G1165" s="82" t="str">
        <f>_xlfn.TEXTJOIN("; ",TRUE,IF(AND([1]DATABASE!T1126&lt;0.8*[1]DATABASE!S1126,[1]DATABASE!T1126&gt;0,[1]DATABASE!S1126&gt;0),"Heavy Price Cut &gt;20%",""),IF(AND(OR(TRIM([1]DATABASE!Q1126)="AVAILABLE",TRIM([1]DATABASE!Q1126)="UPON REQUEST"),OR([1]DATABASE!T1126="",[1]DATABASE!T1126=0)),"Active Unit no Price",""),IF(AND(OR(TRIM([1]DATABASE!Q1126)="AVAILABLE",TRIM([1]DATABASE!Q1126)="RESERVED",TRIM([1]DATABASE!Q1126)="PRE-RESERVED",TRIM([1]DATABASE!Q1126)="PSPA"),[1]DATABASE!AC1126=""),"Active no Owner",""),IF(OR([1]DATABASE!F1126="",[1]DATABASE!F1126&lt;=0),"Missing/Invalid Area",""),IF(AND([1]DATABASE!T1126&gt;0,ABS([1]DATABASE!T1126-[1]DATABASE!W1126-[1]DATABASE!U1126-[1]DATABASE!V1126)&gt;1),"Price Bridge Mismatch",""))</f>
        <v/>
      </c>
      <c r="H1165" t="str">
        <f t="shared" si="20"/>
        <v>PASS</v>
      </c>
      <c r="I1165" s="90">
        <f>[1]DATABASE!T1126</f>
        <v>1830000</v>
      </c>
      <c r="J1165" t="str">
        <f>[1]DATABASE!AC1126</f>
        <v>Ana Damásio</v>
      </c>
    </row>
    <row r="1166" spans="1:10" ht="13.95" customHeight="1" x14ac:dyDescent="0.3">
      <c r="A1166">
        <f>ROW([1]DATABASE!A1127)</f>
        <v>1127</v>
      </c>
      <c r="B1166" t="str">
        <f>[1]DATABASE!AJ1127</f>
        <v>Zestia</v>
      </c>
      <c r="C1166" t="str">
        <f>[1]DATABASE!C1127</f>
        <v>Y</v>
      </c>
      <c r="D1166" t="str">
        <f>TRIM([1]DATABASE!Q1127)</f>
        <v>AVAILABLE</v>
      </c>
      <c r="E1166" s="82" t="str">
        <f>_xlfn.TEXTJOIN("; ",TRUE,IF([1]DATABASE!X1127&lt;0,"Negative Discount",""),IF(AND([1]DATABASE!Y1127&gt;[1]DATABASE!T1127,[1]DATABASE!Y1127&gt;0,[1]DATABASE!T1127&gt;0),"Sell Price &gt; Current",""),IF(AND(TRIM([1]DATABASE!Q1127)="DEED",[1]DATABASE!AA1127=""),"Deeded no PSPA Date",""),IF([1]DATABASE!E1127="","Missing Typology",""),IF([1]DATABASE!AJ1127="","Missing Development",""))</f>
        <v/>
      </c>
      <c r="F1166" s="82" t="str">
        <f>_xlfn.TEXTJOIN("; ",TRUE,IF(AND(OR(TRIM([1]DATABASE!Q1127)="RESERVED",TRIM([1]DATABASE!Q1127)="PRE-RESERVED",TRIM([1]DATABASE!Q1127)="PSPA"),[1]DATABASE!AA1127=""),"Reserved/PSPA no PSPA Date",""),IF(AND(TRIM([1]DATABASE!Q1127)="AVAILABLE",[1]DATABASE!AA1127&lt;&gt;""),"Available has PSPA Date",""))</f>
        <v/>
      </c>
      <c r="G1166" s="82" t="str">
        <f>_xlfn.TEXTJOIN("; ",TRUE,IF(AND([1]DATABASE!T1127&lt;0.8*[1]DATABASE!S1127,[1]DATABASE!T1127&gt;0,[1]DATABASE!S1127&gt;0),"Heavy Price Cut &gt;20%",""),IF(AND(OR(TRIM([1]DATABASE!Q1127)="AVAILABLE",TRIM([1]DATABASE!Q1127)="UPON REQUEST"),OR([1]DATABASE!T1127="",[1]DATABASE!T1127=0)),"Active Unit no Price",""),IF(AND(OR(TRIM([1]DATABASE!Q1127)="AVAILABLE",TRIM([1]DATABASE!Q1127)="RESERVED",TRIM([1]DATABASE!Q1127)="PRE-RESERVED",TRIM([1]DATABASE!Q1127)="PSPA"),[1]DATABASE!AC1127=""),"Active no Owner",""),IF(OR([1]DATABASE!F1127="",[1]DATABASE!F1127&lt;=0),"Missing/Invalid Area",""),IF(AND([1]DATABASE!T1127&gt;0,ABS([1]DATABASE!T1127-[1]DATABASE!W1127-[1]DATABASE!U1127-[1]DATABASE!V1127)&gt;1),"Price Bridge Mismatch",""))</f>
        <v/>
      </c>
      <c r="H1166" t="str">
        <f t="shared" si="20"/>
        <v>PASS</v>
      </c>
      <c r="I1166" s="90">
        <f>[1]DATABASE!T1127</f>
        <v>720000</v>
      </c>
      <c r="J1166" t="str">
        <f>[1]DATABASE!AC1127</f>
        <v>Ana Damásio</v>
      </c>
    </row>
    <row r="1167" spans="1:10" ht="13.95" customHeight="1" x14ac:dyDescent="0.3">
      <c r="A1167">
        <f>ROW([1]DATABASE!A1128)</f>
        <v>1128</v>
      </c>
      <c r="B1167" t="str">
        <f>[1]DATABASE!AJ1128</f>
        <v>Botanica</v>
      </c>
      <c r="C1167" t="str">
        <f>[1]DATABASE!C1128</f>
        <v>Z</v>
      </c>
      <c r="D1167" t="str">
        <f>TRIM([1]DATABASE!Q1128)</f>
        <v>AVAILABLE</v>
      </c>
      <c r="E1167" s="82" t="str">
        <f>_xlfn.TEXTJOIN("; ",TRUE,IF([1]DATABASE!X1128&lt;0,"Negative Discount",""),IF(AND([1]DATABASE!Y1128&gt;[1]DATABASE!T1128,[1]DATABASE!Y1128&gt;0,[1]DATABASE!T1128&gt;0),"Sell Price &gt; Current",""),IF(AND(TRIM([1]DATABASE!Q1128)="DEED",[1]DATABASE!AA1128=""),"Deeded no PSPA Date",""),IF([1]DATABASE!E1128="","Missing Typology",""),IF([1]DATABASE!AJ1128="","Missing Development",""))</f>
        <v/>
      </c>
      <c r="F1167" s="82" t="str">
        <f>_xlfn.TEXTJOIN("; ",TRUE,IF(AND(OR(TRIM([1]DATABASE!Q1128)="RESERVED",TRIM([1]DATABASE!Q1128)="PRE-RESERVED",TRIM([1]DATABASE!Q1128)="PSPA"),[1]DATABASE!AA1128=""),"Reserved/PSPA no PSPA Date",""),IF(AND(TRIM([1]DATABASE!Q1128)="AVAILABLE",[1]DATABASE!AA1128&lt;&gt;""),"Available has PSPA Date",""))</f>
        <v/>
      </c>
      <c r="G1167" s="82" t="str">
        <f>_xlfn.TEXTJOIN("; ",TRUE,IF(AND([1]DATABASE!T1128&lt;0.8*[1]DATABASE!S1128,[1]DATABASE!T1128&gt;0,[1]DATABASE!S1128&gt;0),"Heavy Price Cut &gt;20%",""),IF(AND(OR(TRIM([1]DATABASE!Q1128)="AVAILABLE",TRIM([1]DATABASE!Q1128)="UPON REQUEST"),OR([1]DATABASE!T1128="",[1]DATABASE!T1128=0)),"Active Unit no Price",""),IF(AND(OR(TRIM([1]DATABASE!Q1128)="AVAILABLE",TRIM([1]DATABASE!Q1128)="RESERVED",TRIM([1]DATABASE!Q1128)="PRE-RESERVED",TRIM([1]DATABASE!Q1128)="PSPA"),[1]DATABASE!AC1128=""),"Active no Owner",""),IF(OR([1]DATABASE!F1128="",[1]DATABASE!F1128&lt;=0),"Missing/Invalid Area",""),IF(AND([1]DATABASE!T1128&gt;0,ABS([1]DATABASE!T1128-[1]DATABASE!W1128-[1]DATABASE!U1128-[1]DATABASE!V1128)&gt;1),"Price Bridge Mismatch",""))</f>
        <v/>
      </c>
      <c r="H1167" t="str">
        <f t="shared" si="20"/>
        <v>PASS</v>
      </c>
      <c r="I1167" s="90">
        <f>[1]DATABASE!T1128</f>
        <v>1650000</v>
      </c>
      <c r="J1167" t="str">
        <f>[1]DATABASE!AC1128</f>
        <v>Ana Damásio</v>
      </c>
    </row>
    <row r="1168" spans="1:10" ht="13.95" customHeight="1" x14ac:dyDescent="0.3">
      <c r="A1168">
        <f>ROW([1]DATABASE!A1129)</f>
        <v>1129</v>
      </c>
      <c r="B1168" t="str">
        <f>[1]DATABASE!AJ1129</f>
        <v>Nobilus</v>
      </c>
      <c r="C1168" t="str">
        <f>[1]DATABASE!C1129</f>
        <v>Z</v>
      </c>
      <c r="D1168" t="str">
        <f>TRIM([1]DATABASE!Q1129)</f>
        <v>AVAILABLE</v>
      </c>
      <c r="E1168" s="82" t="str">
        <f>_xlfn.TEXTJOIN("; ",TRUE,IF([1]DATABASE!X1129&lt;0,"Negative Discount",""),IF(AND([1]DATABASE!Y1129&gt;[1]DATABASE!T1129,[1]DATABASE!Y1129&gt;0,[1]DATABASE!T1129&gt;0),"Sell Price &gt; Current",""),IF(AND(TRIM([1]DATABASE!Q1129)="DEED",[1]DATABASE!AA1129=""),"Deeded no PSPA Date",""),IF([1]DATABASE!E1129="","Missing Typology",""),IF([1]DATABASE!AJ1129="","Missing Development",""))</f>
        <v/>
      </c>
      <c r="F1168" s="82" t="str">
        <f>_xlfn.TEXTJOIN("; ",TRUE,IF(AND(OR(TRIM([1]DATABASE!Q1129)="RESERVED",TRIM([1]DATABASE!Q1129)="PRE-RESERVED",TRIM([1]DATABASE!Q1129)="PSPA"),[1]DATABASE!AA1129=""),"Reserved/PSPA no PSPA Date",""),IF(AND(TRIM([1]DATABASE!Q1129)="AVAILABLE",[1]DATABASE!AA1129&lt;&gt;""),"Available has PSPA Date",""))</f>
        <v/>
      </c>
      <c r="G1168" s="82" t="str">
        <f>_xlfn.TEXTJOIN("; ",TRUE,IF(AND([1]DATABASE!T1129&lt;0.8*[1]DATABASE!S1129,[1]DATABASE!T1129&gt;0,[1]DATABASE!S1129&gt;0),"Heavy Price Cut &gt;20%",""),IF(AND(OR(TRIM([1]DATABASE!Q1129)="AVAILABLE",TRIM([1]DATABASE!Q1129)="UPON REQUEST"),OR([1]DATABASE!T1129="",[1]DATABASE!T1129=0)),"Active Unit no Price",""),IF(AND(OR(TRIM([1]DATABASE!Q1129)="AVAILABLE",TRIM([1]DATABASE!Q1129)="RESERVED",TRIM([1]DATABASE!Q1129)="PRE-RESERVED",TRIM([1]DATABASE!Q1129)="PSPA"),[1]DATABASE!AC1129=""),"Active no Owner",""),IF(OR([1]DATABASE!F1129="",[1]DATABASE!F1129&lt;=0),"Missing/Invalid Area",""),IF(AND([1]DATABASE!T1129&gt;0,ABS([1]DATABASE!T1129-[1]DATABASE!W1129-[1]DATABASE!U1129-[1]DATABASE!V1129)&gt;1),"Price Bridge Mismatch",""))</f>
        <v/>
      </c>
      <c r="H1168" t="str">
        <f t="shared" si="20"/>
        <v>PASS</v>
      </c>
      <c r="I1168" s="90">
        <f>[1]DATABASE!T1129</f>
        <v>890000</v>
      </c>
      <c r="J1168" t="str">
        <f>[1]DATABASE!AC1129</f>
        <v>Ana Damásio</v>
      </c>
    </row>
    <row r="1169" spans="1:10" ht="13.95" customHeight="1" x14ac:dyDescent="0.3">
      <c r="A1169">
        <f>ROW([1]DATABASE!A1130)</f>
        <v>1130</v>
      </c>
      <c r="B1169" t="str">
        <f>[1]DATABASE!AJ1130</f>
        <v>Springs - At the Els</v>
      </c>
      <c r="C1169" t="str">
        <f>[1]DATABASE!C1130</f>
        <v>Z</v>
      </c>
      <c r="D1169" t="str">
        <f>TRIM([1]DATABASE!Q1130)</f>
        <v>AVAILABLE</v>
      </c>
      <c r="E1169" s="82" t="str">
        <f>_xlfn.TEXTJOIN("; ",TRUE,IF([1]DATABASE!X1130&lt;0,"Negative Discount",""),IF(AND([1]DATABASE!Y1130&gt;[1]DATABASE!T1130,[1]DATABASE!Y1130&gt;0,[1]DATABASE!T1130&gt;0),"Sell Price &gt; Current",""),IF(AND(TRIM([1]DATABASE!Q1130)="DEED",[1]DATABASE!AA1130=""),"Deeded no PSPA Date",""),IF([1]DATABASE!E1130="","Missing Typology",""),IF([1]DATABASE!AJ1130="","Missing Development",""))</f>
        <v/>
      </c>
      <c r="F1169" s="82" t="str">
        <f>_xlfn.TEXTJOIN("; ",TRUE,IF(AND(OR(TRIM([1]DATABASE!Q1130)="RESERVED",TRIM([1]DATABASE!Q1130)="PRE-RESERVED",TRIM([1]DATABASE!Q1130)="PSPA"),[1]DATABASE!AA1130=""),"Reserved/PSPA no PSPA Date",""),IF(AND(TRIM([1]DATABASE!Q1130)="AVAILABLE",[1]DATABASE!AA1130&lt;&gt;""),"Available has PSPA Date",""))</f>
        <v/>
      </c>
      <c r="G1169" s="82" t="str">
        <f>_xlfn.TEXTJOIN("; ",TRUE,IF(AND([1]DATABASE!T1130&lt;0.8*[1]DATABASE!S1130,[1]DATABASE!T1130&gt;0,[1]DATABASE!S1130&gt;0),"Heavy Price Cut &gt;20%",""),IF(AND(OR(TRIM([1]DATABASE!Q1130)="AVAILABLE",TRIM([1]DATABASE!Q1130)="UPON REQUEST"),OR([1]DATABASE!T1130="",[1]DATABASE!T1130=0)),"Active Unit no Price",""),IF(AND(OR(TRIM([1]DATABASE!Q1130)="AVAILABLE",TRIM([1]DATABASE!Q1130)="RESERVED",TRIM([1]DATABASE!Q1130)="PRE-RESERVED",TRIM([1]DATABASE!Q1130)="PSPA"),[1]DATABASE!AC1130=""),"Active no Owner",""),IF(OR([1]DATABASE!F1130="",[1]DATABASE!F1130&lt;=0),"Missing/Invalid Area",""),IF(AND([1]DATABASE!T1130&gt;0,ABS([1]DATABASE!T1130-[1]DATABASE!W1130-[1]DATABASE!U1130-[1]DATABASE!V1130)&gt;1),"Price Bridge Mismatch",""))</f>
        <v/>
      </c>
      <c r="H1169" t="str">
        <f t="shared" si="20"/>
        <v>PASS</v>
      </c>
      <c r="I1169" s="90">
        <f>[1]DATABASE!T1130</f>
        <v>2080000</v>
      </c>
      <c r="J1169" t="str">
        <f>[1]DATABASE!AC1130</f>
        <v>Ana Damásio</v>
      </c>
    </row>
    <row r="1170" spans="1:10" ht="13.95" customHeight="1" x14ac:dyDescent="0.3">
      <c r="A1170">
        <f>ROW([1]DATABASE!A1131)</f>
        <v>1131</v>
      </c>
      <c r="B1170" t="str">
        <f>[1]DATABASE!AJ1131</f>
        <v>Zestia</v>
      </c>
      <c r="C1170" t="str">
        <f>[1]DATABASE!C1131</f>
        <v>Z</v>
      </c>
      <c r="D1170" t="str">
        <f>TRIM([1]DATABASE!Q1131)</f>
        <v>AVAILABLE</v>
      </c>
      <c r="E1170" s="82" t="str">
        <f>_xlfn.TEXTJOIN("; ",TRUE,IF([1]DATABASE!X1131&lt;0,"Negative Discount",""),IF(AND([1]DATABASE!Y1131&gt;[1]DATABASE!T1131,[1]DATABASE!Y1131&gt;0,[1]DATABASE!T1131&gt;0),"Sell Price &gt; Current",""),IF(AND(TRIM([1]DATABASE!Q1131)="DEED",[1]DATABASE!AA1131=""),"Deeded no PSPA Date",""),IF([1]DATABASE!E1131="","Missing Typology",""),IF([1]DATABASE!AJ1131="","Missing Development",""))</f>
        <v/>
      </c>
      <c r="F1170" s="82" t="str">
        <f>_xlfn.TEXTJOIN("; ",TRUE,IF(AND(OR(TRIM([1]DATABASE!Q1131)="RESERVED",TRIM([1]DATABASE!Q1131)="PRE-RESERVED",TRIM([1]DATABASE!Q1131)="PSPA"),[1]DATABASE!AA1131=""),"Reserved/PSPA no PSPA Date",""),IF(AND(TRIM([1]DATABASE!Q1131)="AVAILABLE",[1]DATABASE!AA1131&lt;&gt;""),"Available has PSPA Date",""))</f>
        <v/>
      </c>
      <c r="G1170" s="82" t="str">
        <f>_xlfn.TEXTJOIN("; ",TRUE,IF(AND([1]DATABASE!T1131&lt;0.8*[1]DATABASE!S1131,[1]DATABASE!T1131&gt;0,[1]DATABASE!S1131&gt;0),"Heavy Price Cut &gt;20%",""),IF(AND(OR(TRIM([1]DATABASE!Q1131)="AVAILABLE",TRIM([1]DATABASE!Q1131)="UPON REQUEST"),OR([1]DATABASE!T1131="",[1]DATABASE!T1131=0)),"Active Unit no Price",""),IF(AND(OR(TRIM([1]DATABASE!Q1131)="AVAILABLE",TRIM([1]DATABASE!Q1131)="RESERVED",TRIM([1]DATABASE!Q1131)="PRE-RESERVED",TRIM([1]DATABASE!Q1131)="PSPA"),[1]DATABASE!AC1131=""),"Active no Owner",""),IF(OR([1]DATABASE!F1131="",[1]DATABASE!F1131&lt;=0),"Missing/Invalid Area",""),IF(AND([1]DATABASE!T1131&gt;0,ABS([1]DATABASE!T1131-[1]DATABASE!W1131-[1]DATABASE!U1131-[1]DATABASE!V1131)&gt;1),"Price Bridge Mismatch",""))</f>
        <v/>
      </c>
      <c r="H1170" t="str">
        <f t="shared" si="20"/>
        <v>PASS</v>
      </c>
      <c r="I1170" s="90">
        <f>[1]DATABASE!T1131</f>
        <v>1150000</v>
      </c>
      <c r="J1170" t="str">
        <f>[1]DATABASE!AC1131</f>
        <v>Ana Damásio</v>
      </c>
    </row>
    <row r="1171" spans="1:10" ht="13.95" customHeight="1" x14ac:dyDescent="0.3">
      <c r="A1171">
        <f>ROW([1]DATABASE!A1132)</f>
        <v>1132</v>
      </c>
      <c r="B1171" t="str">
        <f>[1]DATABASE!AJ1132</f>
        <v>Vale Pisão Grand Park</v>
      </c>
      <c r="C1171" t="str">
        <f>[1]DATABASE!C1132</f>
        <v>6D</v>
      </c>
      <c r="D1171" t="str">
        <f>TRIM([1]DATABASE!Q1132)</f>
        <v>AVAILABLE</v>
      </c>
      <c r="E1171" s="82" t="str">
        <f>_xlfn.TEXTJOIN("; ",TRUE,IF([1]DATABASE!X1132&lt;0,"Negative Discount",""),IF(AND([1]DATABASE!Y1132&gt;[1]DATABASE!T1132,[1]DATABASE!Y1132&gt;0,[1]DATABASE!T1132&gt;0),"Sell Price &gt; Current",""),IF(AND(TRIM([1]DATABASE!Q1132)="DEED",[1]DATABASE!AA1132=""),"Deeded no PSPA Date",""),IF([1]DATABASE!E1132="","Missing Typology",""),IF([1]DATABASE!AJ1132="","Missing Development",""))</f>
        <v/>
      </c>
      <c r="F1171" s="82" t="str">
        <f>_xlfn.TEXTJOIN("; ",TRUE,IF(AND(OR(TRIM([1]DATABASE!Q1132)="RESERVED",TRIM([1]DATABASE!Q1132)="PRE-RESERVED",TRIM([1]DATABASE!Q1132)="PSPA"),[1]DATABASE!AA1132=""),"Reserved/PSPA no PSPA Date",""),IF(AND(TRIM([1]DATABASE!Q1132)="AVAILABLE",[1]DATABASE!AA1132&lt;&gt;""),"Available has PSPA Date",""))</f>
        <v/>
      </c>
      <c r="G1171" s="82" t="str">
        <f>_xlfn.TEXTJOIN("; ",TRUE,IF(AND([1]DATABASE!T1132&lt;0.8*[1]DATABASE!S1132,[1]DATABASE!T1132&gt;0,[1]DATABASE!S1132&gt;0),"Heavy Price Cut &gt;20%",""),IF(AND(OR(TRIM([1]DATABASE!Q1132)="AVAILABLE",TRIM([1]DATABASE!Q1132)="UPON REQUEST"),OR([1]DATABASE!T1132="",[1]DATABASE!T1132=0)),"Active Unit no Price",""),IF(AND(OR(TRIM([1]DATABASE!Q1132)="AVAILABLE",TRIM([1]DATABASE!Q1132)="RESERVED",TRIM([1]DATABASE!Q1132)="PRE-RESERVED",TRIM([1]DATABASE!Q1132)="PSPA"),[1]DATABASE!AC1132=""),"Active no Owner",""),IF(OR([1]DATABASE!F1132="",[1]DATABASE!F1132&lt;=0),"Missing/Invalid Area",""),IF(AND([1]DATABASE!T1132&gt;0,ABS([1]DATABASE!T1132-[1]DATABASE!W1132-[1]DATABASE!U1132-[1]DATABASE!V1132)&gt;1),"Price Bridge Mismatch",""))</f>
        <v/>
      </c>
      <c r="H1171" t="str">
        <f t="shared" si="20"/>
        <v>PASS</v>
      </c>
      <c r="I1171" s="90">
        <f>[1]DATABASE!T1132</f>
        <v>1090000</v>
      </c>
      <c r="J1171" t="str">
        <f>[1]DATABASE!AC1132</f>
        <v>João Gameiro</v>
      </c>
    </row>
    <row r="1172" spans="1:10" ht="13.95" customHeight="1" x14ac:dyDescent="0.3">
      <c r="A1172">
        <f>ROW([1]DATABASE!A1133)</f>
        <v>1133</v>
      </c>
      <c r="B1172" t="str">
        <f>[1]DATABASE!AJ1133</f>
        <v>Vale Pisão Grand Park</v>
      </c>
      <c r="C1172" t="str">
        <f>[1]DATABASE!C1133</f>
        <v>9D</v>
      </c>
      <c r="D1172" t="str">
        <f>TRIM([1]DATABASE!Q1133)</f>
        <v>AVAILABLE</v>
      </c>
      <c r="E1172" s="82" t="str">
        <f>_xlfn.TEXTJOIN("; ",TRUE,IF([1]DATABASE!X1133&lt;0,"Negative Discount",""),IF(AND([1]DATABASE!Y1133&gt;[1]DATABASE!T1133,[1]DATABASE!Y1133&gt;0,[1]DATABASE!T1133&gt;0),"Sell Price &gt; Current",""),IF(AND(TRIM([1]DATABASE!Q1133)="DEED",[1]DATABASE!AA1133=""),"Deeded no PSPA Date",""),IF([1]DATABASE!E1133="","Missing Typology",""),IF([1]DATABASE!AJ1133="","Missing Development",""))</f>
        <v/>
      </c>
      <c r="F1172" s="82" t="str">
        <f>_xlfn.TEXTJOIN("; ",TRUE,IF(AND(OR(TRIM([1]DATABASE!Q1133)="RESERVED",TRIM([1]DATABASE!Q1133)="PRE-RESERVED",TRIM([1]DATABASE!Q1133)="PSPA"),[1]DATABASE!AA1133=""),"Reserved/PSPA no PSPA Date",""),IF(AND(TRIM([1]DATABASE!Q1133)="AVAILABLE",[1]DATABASE!AA1133&lt;&gt;""),"Available has PSPA Date",""))</f>
        <v/>
      </c>
      <c r="G1172" s="82" t="str">
        <f>_xlfn.TEXTJOIN("; ",TRUE,IF(AND([1]DATABASE!T1133&lt;0.8*[1]DATABASE!S1133,[1]DATABASE!T1133&gt;0,[1]DATABASE!S1133&gt;0),"Heavy Price Cut &gt;20%",""),IF(AND(OR(TRIM([1]DATABASE!Q1133)="AVAILABLE",TRIM([1]DATABASE!Q1133)="UPON REQUEST"),OR([1]DATABASE!T1133="",[1]DATABASE!T1133=0)),"Active Unit no Price",""),IF(AND(OR(TRIM([1]DATABASE!Q1133)="AVAILABLE",TRIM([1]DATABASE!Q1133)="RESERVED",TRIM([1]DATABASE!Q1133)="PRE-RESERVED",TRIM([1]DATABASE!Q1133)="PSPA"),[1]DATABASE!AC1133=""),"Active no Owner",""),IF(OR([1]DATABASE!F1133="",[1]DATABASE!F1133&lt;=0),"Missing/Invalid Area",""),IF(AND([1]DATABASE!T1133&gt;0,ABS([1]DATABASE!T1133-[1]DATABASE!W1133-[1]DATABASE!U1133-[1]DATABASE!V1133)&gt;1),"Price Bridge Mismatch",""))</f>
        <v/>
      </c>
      <c r="H1172" t="str">
        <f t="shared" si="20"/>
        <v>PASS</v>
      </c>
      <c r="I1172" s="90">
        <f>[1]DATABASE!T1133</f>
        <v>1120000</v>
      </c>
      <c r="J1172" t="str">
        <f>[1]DATABASE!AC1133</f>
        <v>João Gameiro</v>
      </c>
    </row>
    <row r="1173" spans="1:10" ht="13.95" customHeight="1" x14ac:dyDescent="0.3">
      <c r="A1173">
        <f>ROW([1]DATABASE!A1134)</f>
        <v>1134</v>
      </c>
      <c r="B1173" t="str">
        <f>[1]DATABASE!AJ1134</f>
        <v>Vale Pisão Grand Park</v>
      </c>
      <c r="C1173" t="str">
        <f>[1]DATABASE!C1134</f>
        <v>1E</v>
      </c>
      <c r="D1173" t="str">
        <f>TRIM([1]DATABASE!Q1134)</f>
        <v>AVAILABLE</v>
      </c>
      <c r="E1173" s="82" t="str">
        <f>_xlfn.TEXTJOIN("; ",TRUE,IF([1]DATABASE!X1134&lt;0,"Negative Discount",""),IF(AND([1]DATABASE!Y1134&gt;[1]DATABASE!T1134,[1]DATABASE!Y1134&gt;0,[1]DATABASE!T1134&gt;0),"Sell Price &gt; Current",""),IF(AND(TRIM([1]DATABASE!Q1134)="DEED",[1]DATABASE!AA1134=""),"Deeded no PSPA Date",""),IF([1]DATABASE!E1134="","Missing Typology",""),IF([1]DATABASE!AJ1134="","Missing Development",""))</f>
        <v/>
      </c>
      <c r="F1173" s="82" t="str">
        <f>_xlfn.TEXTJOIN("; ",TRUE,IF(AND(OR(TRIM([1]DATABASE!Q1134)="RESERVED",TRIM([1]DATABASE!Q1134)="PRE-RESERVED",TRIM([1]DATABASE!Q1134)="PSPA"),[1]DATABASE!AA1134=""),"Reserved/PSPA no PSPA Date",""),IF(AND(TRIM([1]DATABASE!Q1134)="AVAILABLE",[1]DATABASE!AA1134&lt;&gt;""),"Available has PSPA Date",""))</f>
        <v/>
      </c>
      <c r="G1173" s="82" t="str">
        <f>_xlfn.TEXTJOIN("; ",TRUE,IF(AND([1]DATABASE!T1134&lt;0.8*[1]DATABASE!S1134,[1]DATABASE!T1134&gt;0,[1]DATABASE!S1134&gt;0),"Heavy Price Cut &gt;20%",""),IF(AND(OR(TRIM([1]DATABASE!Q1134)="AVAILABLE",TRIM([1]DATABASE!Q1134)="UPON REQUEST"),OR([1]DATABASE!T1134="",[1]DATABASE!T1134=0)),"Active Unit no Price",""),IF(AND(OR(TRIM([1]DATABASE!Q1134)="AVAILABLE",TRIM([1]DATABASE!Q1134)="RESERVED",TRIM([1]DATABASE!Q1134)="PRE-RESERVED",TRIM([1]DATABASE!Q1134)="PSPA"),[1]DATABASE!AC1134=""),"Active no Owner",""),IF(OR([1]DATABASE!F1134="",[1]DATABASE!F1134&lt;=0),"Missing/Invalid Area",""),IF(AND([1]DATABASE!T1134&gt;0,ABS([1]DATABASE!T1134-[1]DATABASE!W1134-[1]DATABASE!U1134-[1]DATABASE!V1134)&gt;1),"Price Bridge Mismatch",""))</f>
        <v/>
      </c>
      <c r="H1173" t="str">
        <f t="shared" si="20"/>
        <v>PASS</v>
      </c>
      <c r="I1173" s="90">
        <f>[1]DATABASE!T1134</f>
        <v>1270000</v>
      </c>
      <c r="J1173" t="str">
        <f>[1]DATABASE!AC1134</f>
        <v>João Gameiro</v>
      </c>
    </row>
    <row r="1174" spans="1:10" ht="13.95" customHeight="1" x14ac:dyDescent="0.3">
      <c r="A1174">
        <f>ROW([1]DATABASE!A1135)</f>
        <v>1135</v>
      </c>
      <c r="B1174" t="str">
        <f>[1]DATABASE!AJ1135</f>
        <v>Vale Pisão Grand Park</v>
      </c>
      <c r="C1174" t="str">
        <f>[1]DATABASE!C1135</f>
        <v>3D</v>
      </c>
      <c r="D1174" t="str">
        <f>TRIM([1]DATABASE!Q1135)</f>
        <v>UPON REQUEST</v>
      </c>
      <c r="E1174" s="82" t="str">
        <f>_xlfn.TEXTJOIN("; ",TRUE,IF([1]DATABASE!X1135&lt;0,"Negative Discount",""),IF(AND([1]DATABASE!Y1135&gt;[1]DATABASE!T1135,[1]DATABASE!Y1135&gt;0,[1]DATABASE!T1135&gt;0),"Sell Price &gt; Current",""),IF(AND(TRIM([1]DATABASE!Q1135)="DEED",[1]DATABASE!AA1135=""),"Deeded no PSPA Date",""),IF([1]DATABASE!E1135="","Missing Typology",""),IF([1]DATABASE!AJ1135="","Missing Development",""))</f>
        <v/>
      </c>
      <c r="F1174" s="82" t="str">
        <f>_xlfn.TEXTJOIN("; ",TRUE,IF(AND(OR(TRIM([1]DATABASE!Q1135)="RESERVED",TRIM([1]DATABASE!Q1135)="PRE-RESERVED",TRIM([1]DATABASE!Q1135)="PSPA"),[1]DATABASE!AA1135=""),"Reserved/PSPA no PSPA Date",""),IF(AND(TRIM([1]DATABASE!Q1135)="AVAILABLE",[1]DATABASE!AA1135&lt;&gt;""),"Available has PSPA Date",""))</f>
        <v/>
      </c>
      <c r="G1174" s="82" t="str">
        <f>_xlfn.TEXTJOIN("; ",TRUE,IF(AND([1]DATABASE!T1135&lt;0.8*[1]DATABASE!S1135,[1]DATABASE!T1135&gt;0,[1]DATABASE!S1135&gt;0),"Heavy Price Cut &gt;20%",""),IF(AND(OR(TRIM([1]DATABASE!Q1135)="AVAILABLE",TRIM([1]DATABASE!Q1135)="UPON REQUEST"),OR([1]DATABASE!T1135="",[1]DATABASE!T1135=0)),"Active Unit no Price",""),IF(AND(OR(TRIM([1]DATABASE!Q1135)="AVAILABLE",TRIM([1]DATABASE!Q1135)="RESERVED",TRIM([1]DATABASE!Q1135)="PRE-RESERVED",TRIM([1]DATABASE!Q1135)="PSPA"),[1]DATABASE!AC1135=""),"Active no Owner",""),IF(OR([1]DATABASE!F1135="",[1]DATABASE!F1135&lt;=0),"Missing/Invalid Area",""),IF(AND([1]DATABASE!T1135&gt;0,ABS([1]DATABASE!T1135-[1]DATABASE!W1135-[1]DATABASE!U1135-[1]DATABASE!V1135)&gt;1),"Price Bridge Mismatch",""))</f>
        <v>Active Unit no Price</v>
      </c>
      <c r="H1174" t="str">
        <f t="shared" si="20"/>
        <v>REVIEW</v>
      </c>
      <c r="I1174" s="90">
        <f>[1]DATABASE!T1135</f>
        <v>0</v>
      </c>
      <c r="J1174" t="str">
        <f>[1]DATABASE!AC1135</f>
        <v>João Gameiro</v>
      </c>
    </row>
    <row r="1175" spans="1:10" ht="13.95" customHeight="1" x14ac:dyDescent="0.3">
      <c r="A1175">
        <f>ROW([1]DATABASE!A1136)</f>
        <v>1136</v>
      </c>
      <c r="B1175" t="str">
        <f>[1]DATABASE!AJ1136</f>
        <v>Vale Pisão Grand Park</v>
      </c>
      <c r="C1175" t="str">
        <f>[1]DATABASE!C1136</f>
        <v>4D</v>
      </c>
      <c r="D1175" t="str">
        <f>TRIM([1]DATABASE!Q1136)</f>
        <v>UPON REQUEST</v>
      </c>
      <c r="E1175" s="82" t="str">
        <f>_xlfn.TEXTJOIN("; ",TRUE,IF([1]DATABASE!X1136&lt;0,"Negative Discount",""),IF(AND([1]DATABASE!Y1136&gt;[1]DATABASE!T1136,[1]DATABASE!Y1136&gt;0,[1]DATABASE!T1136&gt;0),"Sell Price &gt; Current",""),IF(AND(TRIM([1]DATABASE!Q1136)="DEED",[1]DATABASE!AA1136=""),"Deeded no PSPA Date",""),IF([1]DATABASE!E1136="","Missing Typology",""),IF([1]DATABASE!AJ1136="","Missing Development",""))</f>
        <v/>
      </c>
      <c r="F1175" s="82" t="str">
        <f>_xlfn.TEXTJOIN("; ",TRUE,IF(AND(OR(TRIM([1]DATABASE!Q1136)="RESERVED",TRIM([1]DATABASE!Q1136)="PRE-RESERVED",TRIM([1]DATABASE!Q1136)="PSPA"),[1]DATABASE!AA1136=""),"Reserved/PSPA no PSPA Date",""),IF(AND(TRIM([1]DATABASE!Q1136)="AVAILABLE",[1]DATABASE!AA1136&lt;&gt;""),"Available has PSPA Date",""))</f>
        <v/>
      </c>
      <c r="G1175" s="82" t="str">
        <f>_xlfn.TEXTJOIN("; ",TRUE,IF(AND([1]DATABASE!T1136&lt;0.8*[1]DATABASE!S1136,[1]DATABASE!T1136&gt;0,[1]DATABASE!S1136&gt;0),"Heavy Price Cut &gt;20%",""),IF(AND(OR(TRIM([1]DATABASE!Q1136)="AVAILABLE",TRIM([1]DATABASE!Q1136)="UPON REQUEST"),OR([1]DATABASE!T1136="",[1]DATABASE!T1136=0)),"Active Unit no Price",""),IF(AND(OR(TRIM([1]DATABASE!Q1136)="AVAILABLE",TRIM([1]DATABASE!Q1136)="RESERVED",TRIM([1]DATABASE!Q1136)="PRE-RESERVED",TRIM([1]DATABASE!Q1136)="PSPA"),[1]DATABASE!AC1136=""),"Active no Owner",""),IF(OR([1]DATABASE!F1136="",[1]DATABASE!F1136&lt;=0),"Missing/Invalid Area",""),IF(AND([1]DATABASE!T1136&gt;0,ABS([1]DATABASE!T1136-[1]DATABASE!W1136-[1]DATABASE!U1136-[1]DATABASE!V1136)&gt;1),"Price Bridge Mismatch",""))</f>
        <v>Active Unit no Price</v>
      </c>
      <c r="H1175" t="str">
        <f t="shared" si="20"/>
        <v>REVIEW</v>
      </c>
      <c r="I1175" s="90">
        <f>[1]DATABASE!T1136</f>
        <v>0</v>
      </c>
      <c r="J1175" t="str">
        <f>[1]DATABASE!AC1136</f>
        <v>João Gameiro</v>
      </c>
    </row>
    <row r="1176" spans="1:10" ht="13.95" customHeight="1" x14ac:dyDescent="0.3">
      <c r="A1176">
        <f>ROW([1]DATABASE!A1137)</f>
        <v>1137</v>
      </c>
      <c r="B1176" t="str">
        <f>[1]DATABASE!AJ1137</f>
        <v>Vale Pisão Grand Park</v>
      </c>
      <c r="C1176" t="str">
        <f>[1]DATABASE!C1137</f>
        <v>5D</v>
      </c>
      <c r="D1176" t="str">
        <f>TRIM([1]DATABASE!Q1137)</f>
        <v>UPON REQUEST</v>
      </c>
      <c r="E1176" s="82" t="str">
        <f>_xlfn.TEXTJOIN("; ",TRUE,IF([1]DATABASE!X1137&lt;0,"Negative Discount",""),IF(AND([1]DATABASE!Y1137&gt;[1]DATABASE!T1137,[1]DATABASE!Y1137&gt;0,[1]DATABASE!T1137&gt;0),"Sell Price &gt; Current",""),IF(AND(TRIM([1]DATABASE!Q1137)="DEED",[1]DATABASE!AA1137=""),"Deeded no PSPA Date",""),IF([1]DATABASE!E1137="","Missing Typology",""),IF([1]DATABASE!AJ1137="","Missing Development",""))</f>
        <v/>
      </c>
      <c r="F1176" s="82" t="str">
        <f>_xlfn.TEXTJOIN("; ",TRUE,IF(AND(OR(TRIM([1]DATABASE!Q1137)="RESERVED",TRIM([1]DATABASE!Q1137)="PRE-RESERVED",TRIM([1]DATABASE!Q1137)="PSPA"),[1]DATABASE!AA1137=""),"Reserved/PSPA no PSPA Date",""),IF(AND(TRIM([1]DATABASE!Q1137)="AVAILABLE",[1]DATABASE!AA1137&lt;&gt;""),"Available has PSPA Date",""))</f>
        <v/>
      </c>
      <c r="G1176" s="82" t="str">
        <f>_xlfn.TEXTJOIN("; ",TRUE,IF(AND([1]DATABASE!T1137&lt;0.8*[1]DATABASE!S1137,[1]DATABASE!T1137&gt;0,[1]DATABASE!S1137&gt;0),"Heavy Price Cut &gt;20%",""),IF(AND(OR(TRIM([1]DATABASE!Q1137)="AVAILABLE",TRIM([1]DATABASE!Q1137)="UPON REQUEST"),OR([1]DATABASE!T1137="",[1]DATABASE!T1137=0)),"Active Unit no Price",""),IF(AND(OR(TRIM([1]DATABASE!Q1137)="AVAILABLE",TRIM([1]DATABASE!Q1137)="RESERVED",TRIM([1]DATABASE!Q1137)="PRE-RESERVED",TRIM([1]DATABASE!Q1137)="PSPA"),[1]DATABASE!AC1137=""),"Active no Owner",""),IF(OR([1]DATABASE!F1137="",[1]DATABASE!F1137&lt;=0),"Missing/Invalid Area",""),IF(AND([1]DATABASE!T1137&gt;0,ABS([1]DATABASE!T1137-[1]DATABASE!W1137-[1]DATABASE!U1137-[1]DATABASE!V1137)&gt;1),"Price Bridge Mismatch",""))</f>
        <v>Active Unit no Price</v>
      </c>
      <c r="H1176" t="str">
        <f t="shared" si="20"/>
        <v>REVIEW</v>
      </c>
      <c r="I1176" s="90">
        <f>[1]DATABASE!T1137</f>
        <v>0</v>
      </c>
      <c r="J1176" t="str">
        <f>[1]DATABASE!AC1137</f>
        <v>João Gameiro</v>
      </c>
    </row>
    <row r="1177" spans="1:10" ht="13.95" customHeight="1" x14ac:dyDescent="0.3">
      <c r="A1177">
        <f>ROW([1]DATABASE!A1138)</f>
        <v>1138</v>
      </c>
      <c r="B1177" t="str">
        <f>[1]DATABASE!AJ1138</f>
        <v>Vale Pisão Grand Park</v>
      </c>
      <c r="C1177" t="str">
        <f>[1]DATABASE!C1138</f>
        <v>7D</v>
      </c>
      <c r="D1177" t="str">
        <f>TRIM([1]DATABASE!Q1138)</f>
        <v>UPON REQUEST</v>
      </c>
      <c r="E1177" s="82" t="str">
        <f>_xlfn.TEXTJOIN("; ",TRUE,IF([1]DATABASE!X1138&lt;0,"Negative Discount",""),IF(AND([1]DATABASE!Y1138&gt;[1]DATABASE!T1138,[1]DATABASE!Y1138&gt;0,[1]DATABASE!T1138&gt;0),"Sell Price &gt; Current",""),IF(AND(TRIM([1]DATABASE!Q1138)="DEED",[1]DATABASE!AA1138=""),"Deeded no PSPA Date",""),IF([1]DATABASE!E1138="","Missing Typology",""),IF([1]DATABASE!AJ1138="","Missing Development",""))</f>
        <v/>
      </c>
      <c r="F1177" s="82" t="str">
        <f>_xlfn.TEXTJOIN("; ",TRUE,IF(AND(OR(TRIM([1]DATABASE!Q1138)="RESERVED",TRIM([1]DATABASE!Q1138)="PRE-RESERVED",TRIM([1]DATABASE!Q1138)="PSPA"),[1]DATABASE!AA1138=""),"Reserved/PSPA no PSPA Date",""),IF(AND(TRIM([1]DATABASE!Q1138)="AVAILABLE",[1]DATABASE!AA1138&lt;&gt;""),"Available has PSPA Date",""))</f>
        <v/>
      </c>
      <c r="G1177" s="82" t="str">
        <f>_xlfn.TEXTJOIN("; ",TRUE,IF(AND([1]DATABASE!T1138&lt;0.8*[1]DATABASE!S1138,[1]DATABASE!T1138&gt;0,[1]DATABASE!S1138&gt;0),"Heavy Price Cut &gt;20%",""),IF(AND(OR(TRIM([1]DATABASE!Q1138)="AVAILABLE",TRIM([1]DATABASE!Q1138)="UPON REQUEST"),OR([1]DATABASE!T1138="",[1]DATABASE!T1138=0)),"Active Unit no Price",""),IF(AND(OR(TRIM([1]DATABASE!Q1138)="AVAILABLE",TRIM([1]DATABASE!Q1138)="RESERVED",TRIM([1]DATABASE!Q1138)="PRE-RESERVED",TRIM([1]DATABASE!Q1138)="PSPA"),[1]DATABASE!AC1138=""),"Active no Owner",""),IF(OR([1]DATABASE!F1138="",[1]DATABASE!F1138&lt;=0),"Missing/Invalid Area",""),IF(AND([1]DATABASE!T1138&gt;0,ABS([1]DATABASE!T1138-[1]DATABASE!W1138-[1]DATABASE!U1138-[1]DATABASE!V1138)&gt;1),"Price Bridge Mismatch",""))</f>
        <v>Active Unit no Price</v>
      </c>
      <c r="H1177" t="str">
        <f t="shared" si="20"/>
        <v>REVIEW</v>
      </c>
      <c r="I1177" s="90">
        <f>[1]DATABASE!T1138</f>
        <v>0</v>
      </c>
      <c r="J1177" t="str">
        <f>[1]DATABASE!AC1138</f>
        <v>João Gameiro</v>
      </c>
    </row>
    <row r="1178" spans="1:10" ht="13.95" customHeight="1" x14ac:dyDescent="0.3">
      <c r="A1178">
        <f>ROW([1]DATABASE!A1139)</f>
        <v>1139</v>
      </c>
      <c r="B1178" t="str">
        <f>[1]DATABASE!AJ1139</f>
        <v>Vale Pisão Grand Park</v>
      </c>
      <c r="C1178" t="str">
        <f>[1]DATABASE!C1139</f>
        <v>8D</v>
      </c>
      <c r="D1178" t="str">
        <f>TRIM([1]DATABASE!Q1139)</f>
        <v>UPON REQUEST</v>
      </c>
      <c r="E1178" s="82" t="str">
        <f>_xlfn.TEXTJOIN("; ",TRUE,IF([1]DATABASE!X1139&lt;0,"Negative Discount",""),IF(AND([1]DATABASE!Y1139&gt;[1]DATABASE!T1139,[1]DATABASE!Y1139&gt;0,[1]DATABASE!T1139&gt;0),"Sell Price &gt; Current",""),IF(AND(TRIM([1]DATABASE!Q1139)="DEED",[1]DATABASE!AA1139=""),"Deeded no PSPA Date",""),IF([1]DATABASE!E1139="","Missing Typology",""),IF([1]DATABASE!AJ1139="","Missing Development",""))</f>
        <v/>
      </c>
      <c r="F1178" s="82" t="str">
        <f>_xlfn.TEXTJOIN("; ",TRUE,IF(AND(OR(TRIM([1]DATABASE!Q1139)="RESERVED",TRIM([1]DATABASE!Q1139)="PRE-RESERVED",TRIM([1]DATABASE!Q1139)="PSPA"),[1]DATABASE!AA1139=""),"Reserved/PSPA no PSPA Date",""),IF(AND(TRIM([1]DATABASE!Q1139)="AVAILABLE",[1]DATABASE!AA1139&lt;&gt;""),"Available has PSPA Date",""))</f>
        <v/>
      </c>
      <c r="G1178" s="82" t="str">
        <f>_xlfn.TEXTJOIN("; ",TRUE,IF(AND([1]DATABASE!T1139&lt;0.8*[1]DATABASE!S1139,[1]DATABASE!T1139&gt;0,[1]DATABASE!S1139&gt;0),"Heavy Price Cut &gt;20%",""),IF(AND(OR(TRIM([1]DATABASE!Q1139)="AVAILABLE",TRIM([1]DATABASE!Q1139)="UPON REQUEST"),OR([1]DATABASE!T1139="",[1]DATABASE!T1139=0)),"Active Unit no Price",""),IF(AND(OR(TRIM([1]DATABASE!Q1139)="AVAILABLE",TRIM([1]DATABASE!Q1139)="RESERVED",TRIM([1]DATABASE!Q1139)="PRE-RESERVED",TRIM([1]DATABASE!Q1139)="PSPA"),[1]DATABASE!AC1139=""),"Active no Owner",""),IF(OR([1]DATABASE!F1139="",[1]DATABASE!F1139&lt;=0),"Missing/Invalid Area",""),IF(AND([1]DATABASE!T1139&gt;0,ABS([1]DATABASE!T1139-[1]DATABASE!W1139-[1]DATABASE!U1139-[1]DATABASE!V1139)&gt;1),"Price Bridge Mismatch",""))</f>
        <v>Active Unit no Price</v>
      </c>
      <c r="H1178" t="str">
        <f t="shared" si="20"/>
        <v>REVIEW</v>
      </c>
      <c r="I1178" s="90">
        <f>[1]DATABASE!T1139</f>
        <v>0</v>
      </c>
      <c r="J1178" t="str">
        <f>[1]DATABASE!AC1139</f>
        <v>João Gameiro</v>
      </c>
    </row>
    <row r="1179" spans="1:10" ht="13.95" customHeight="1" x14ac:dyDescent="0.3">
      <c r="A1179">
        <f>ROW([1]DATABASE!A1140)</f>
        <v>1140</v>
      </c>
      <c r="B1179" t="str">
        <f>[1]DATABASE!AJ1140</f>
        <v>Vale Pisão Grand Park</v>
      </c>
      <c r="C1179" t="str">
        <f>[1]DATABASE!C1140</f>
        <v>2E</v>
      </c>
      <c r="D1179" t="str">
        <f>TRIM([1]DATABASE!Q1140)</f>
        <v>UPON REQUEST</v>
      </c>
      <c r="E1179" s="82" t="str">
        <f>_xlfn.TEXTJOIN("; ",TRUE,IF([1]DATABASE!X1140&lt;0,"Negative Discount",""),IF(AND([1]DATABASE!Y1140&gt;[1]DATABASE!T1140,[1]DATABASE!Y1140&gt;0,[1]DATABASE!T1140&gt;0),"Sell Price &gt; Current",""),IF(AND(TRIM([1]DATABASE!Q1140)="DEED",[1]DATABASE!AA1140=""),"Deeded no PSPA Date",""),IF([1]DATABASE!E1140="","Missing Typology",""),IF([1]DATABASE!AJ1140="","Missing Development",""))</f>
        <v/>
      </c>
      <c r="F1179" s="82" t="str">
        <f>_xlfn.TEXTJOIN("; ",TRUE,IF(AND(OR(TRIM([1]DATABASE!Q1140)="RESERVED",TRIM([1]DATABASE!Q1140)="PRE-RESERVED",TRIM([1]DATABASE!Q1140)="PSPA"),[1]DATABASE!AA1140=""),"Reserved/PSPA no PSPA Date",""),IF(AND(TRIM([1]DATABASE!Q1140)="AVAILABLE",[1]DATABASE!AA1140&lt;&gt;""),"Available has PSPA Date",""))</f>
        <v/>
      </c>
      <c r="G1179" s="82" t="str">
        <f>_xlfn.TEXTJOIN("; ",TRUE,IF(AND([1]DATABASE!T1140&lt;0.8*[1]DATABASE!S1140,[1]DATABASE!T1140&gt;0,[1]DATABASE!S1140&gt;0),"Heavy Price Cut &gt;20%",""),IF(AND(OR(TRIM([1]DATABASE!Q1140)="AVAILABLE",TRIM([1]DATABASE!Q1140)="UPON REQUEST"),OR([1]DATABASE!T1140="",[1]DATABASE!T1140=0)),"Active Unit no Price",""),IF(AND(OR(TRIM([1]DATABASE!Q1140)="AVAILABLE",TRIM([1]DATABASE!Q1140)="RESERVED",TRIM([1]DATABASE!Q1140)="PRE-RESERVED",TRIM([1]DATABASE!Q1140)="PSPA"),[1]DATABASE!AC1140=""),"Active no Owner",""),IF(OR([1]DATABASE!F1140="",[1]DATABASE!F1140&lt;=0),"Missing/Invalid Area",""),IF(AND([1]DATABASE!T1140&gt;0,ABS([1]DATABASE!T1140-[1]DATABASE!W1140-[1]DATABASE!U1140-[1]DATABASE!V1140)&gt;1),"Price Bridge Mismatch",""))</f>
        <v>Active Unit no Price</v>
      </c>
      <c r="H1179" t="str">
        <f t="shared" si="20"/>
        <v>REVIEW</v>
      </c>
      <c r="I1179" s="90">
        <f>[1]DATABASE!T1140</f>
        <v>0</v>
      </c>
      <c r="J1179" t="str">
        <f>[1]DATABASE!AC1140</f>
        <v>João Gameiro</v>
      </c>
    </row>
    <row r="1180" spans="1:10" ht="13.95" customHeight="1" x14ac:dyDescent="0.3">
      <c r="A1180">
        <f>ROW([1]DATABASE!A1141)</f>
        <v>1141</v>
      </c>
      <c r="B1180" t="str">
        <f>[1]DATABASE!AJ1141</f>
        <v>Vale Pisão Grand Park</v>
      </c>
      <c r="C1180" t="str">
        <f>[1]DATABASE!C1141</f>
        <v>3E</v>
      </c>
      <c r="D1180" t="str">
        <f>TRIM([1]DATABASE!Q1141)</f>
        <v>UPON REQUEST</v>
      </c>
      <c r="E1180" s="82" t="str">
        <f>_xlfn.TEXTJOIN("; ",TRUE,IF([1]DATABASE!X1141&lt;0,"Negative Discount",""),IF(AND([1]DATABASE!Y1141&gt;[1]DATABASE!T1141,[1]DATABASE!Y1141&gt;0,[1]DATABASE!T1141&gt;0),"Sell Price &gt; Current",""),IF(AND(TRIM([1]DATABASE!Q1141)="DEED",[1]DATABASE!AA1141=""),"Deeded no PSPA Date",""),IF([1]DATABASE!E1141="","Missing Typology",""),IF([1]DATABASE!AJ1141="","Missing Development",""))</f>
        <v/>
      </c>
      <c r="F1180" s="82" t="str">
        <f>_xlfn.TEXTJOIN("; ",TRUE,IF(AND(OR(TRIM([1]DATABASE!Q1141)="RESERVED",TRIM([1]DATABASE!Q1141)="PRE-RESERVED",TRIM([1]DATABASE!Q1141)="PSPA"),[1]DATABASE!AA1141=""),"Reserved/PSPA no PSPA Date",""),IF(AND(TRIM([1]DATABASE!Q1141)="AVAILABLE",[1]DATABASE!AA1141&lt;&gt;""),"Available has PSPA Date",""))</f>
        <v/>
      </c>
      <c r="G1180" s="82" t="str">
        <f>_xlfn.TEXTJOIN("; ",TRUE,IF(AND([1]DATABASE!T1141&lt;0.8*[1]DATABASE!S1141,[1]DATABASE!T1141&gt;0,[1]DATABASE!S1141&gt;0),"Heavy Price Cut &gt;20%",""),IF(AND(OR(TRIM([1]DATABASE!Q1141)="AVAILABLE",TRIM([1]DATABASE!Q1141)="UPON REQUEST"),OR([1]DATABASE!T1141="",[1]DATABASE!T1141=0)),"Active Unit no Price",""),IF(AND(OR(TRIM([1]DATABASE!Q1141)="AVAILABLE",TRIM([1]DATABASE!Q1141)="RESERVED",TRIM([1]DATABASE!Q1141)="PRE-RESERVED",TRIM([1]DATABASE!Q1141)="PSPA"),[1]DATABASE!AC1141=""),"Active no Owner",""),IF(OR([1]DATABASE!F1141="",[1]DATABASE!F1141&lt;=0),"Missing/Invalid Area",""),IF(AND([1]DATABASE!T1141&gt;0,ABS([1]DATABASE!T1141-[1]DATABASE!W1141-[1]DATABASE!U1141-[1]DATABASE!V1141)&gt;1),"Price Bridge Mismatch",""))</f>
        <v>Active Unit no Price</v>
      </c>
      <c r="H1180" t="str">
        <f t="shared" si="20"/>
        <v>REVIEW</v>
      </c>
      <c r="I1180" s="90">
        <f>[1]DATABASE!T1141</f>
        <v>0</v>
      </c>
      <c r="J1180" t="str">
        <f>[1]DATABASE!AC1141</f>
        <v>João Gameiro</v>
      </c>
    </row>
    <row r="1181" spans="1:10" ht="13.95" customHeight="1" x14ac:dyDescent="0.3">
      <c r="A1181">
        <f>ROW([1]DATABASE!A1142)</f>
        <v>1142</v>
      </c>
      <c r="B1181" t="str">
        <f>[1]DATABASE!AJ1142</f>
        <v>Vale Pisão Grand Park</v>
      </c>
      <c r="C1181" t="str">
        <f>[1]DATABASE!C1142</f>
        <v>4E</v>
      </c>
      <c r="D1181" t="str">
        <f>TRIM([1]DATABASE!Q1142)</f>
        <v>UPON REQUEST</v>
      </c>
      <c r="E1181" s="82" t="str">
        <f>_xlfn.TEXTJOIN("; ",TRUE,IF([1]DATABASE!X1142&lt;0,"Negative Discount",""),IF(AND([1]DATABASE!Y1142&gt;[1]DATABASE!T1142,[1]DATABASE!Y1142&gt;0,[1]DATABASE!T1142&gt;0),"Sell Price &gt; Current",""),IF(AND(TRIM([1]DATABASE!Q1142)="DEED",[1]DATABASE!AA1142=""),"Deeded no PSPA Date",""),IF([1]DATABASE!E1142="","Missing Typology",""),IF([1]DATABASE!AJ1142="","Missing Development",""))</f>
        <v/>
      </c>
      <c r="F1181" s="82" t="str">
        <f>_xlfn.TEXTJOIN("; ",TRUE,IF(AND(OR(TRIM([1]DATABASE!Q1142)="RESERVED",TRIM([1]DATABASE!Q1142)="PRE-RESERVED",TRIM([1]DATABASE!Q1142)="PSPA"),[1]DATABASE!AA1142=""),"Reserved/PSPA no PSPA Date",""),IF(AND(TRIM([1]DATABASE!Q1142)="AVAILABLE",[1]DATABASE!AA1142&lt;&gt;""),"Available has PSPA Date",""))</f>
        <v/>
      </c>
      <c r="G1181" s="82" t="str">
        <f>_xlfn.TEXTJOIN("; ",TRUE,IF(AND([1]DATABASE!T1142&lt;0.8*[1]DATABASE!S1142,[1]DATABASE!T1142&gt;0,[1]DATABASE!S1142&gt;0),"Heavy Price Cut &gt;20%",""),IF(AND(OR(TRIM([1]DATABASE!Q1142)="AVAILABLE",TRIM([1]DATABASE!Q1142)="UPON REQUEST"),OR([1]DATABASE!T1142="",[1]DATABASE!T1142=0)),"Active Unit no Price",""),IF(AND(OR(TRIM([1]DATABASE!Q1142)="AVAILABLE",TRIM([1]DATABASE!Q1142)="RESERVED",TRIM([1]DATABASE!Q1142)="PRE-RESERVED",TRIM([1]DATABASE!Q1142)="PSPA"),[1]DATABASE!AC1142=""),"Active no Owner",""),IF(OR([1]DATABASE!F1142="",[1]DATABASE!F1142&lt;=0),"Missing/Invalid Area",""),IF(AND([1]DATABASE!T1142&gt;0,ABS([1]DATABASE!T1142-[1]DATABASE!W1142-[1]DATABASE!U1142-[1]DATABASE!V1142)&gt;1),"Price Bridge Mismatch",""))</f>
        <v>Active Unit no Price</v>
      </c>
      <c r="H1181" t="str">
        <f t="shared" si="20"/>
        <v>REVIEW</v>
      </c>
      <c r="I1181" s="90">
        <f>[1]DATABASE!T1142</f>
        <v>0</v>
      </c>
      <c r="J1181" t="str">
        <f>[1]DATABASE!AC1142</f>
        <v>João Gameiro</v>
      </c>
    </row>
  </sheetData>
  <autoFilter ref="A40:J1181" xr:uid="{1EF99490-D4C2-4CB3-A8CC-9CD5FB696E43}"/>
  <mergeCells count="3">
    <mergeCell ref="A1:J1"/>
    <mergeCell ref="A2:J2"/>
    <mergeCell ref="A38:J3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7B412-B938-4A00-AA83-46A9072C0421}">
  <sheetPr>
    <tabColor theme="2" tint="-0.749992370372631"/>
  </sheetPr>
  <dimension ref="A1:AO1225"/>
  <sheetViews>
    <sheetView showGridLines="0" tabSelected="1" zoomScale="66" workbookViewId="0">
      <pane xSplit="4" ySplit="1" topLeftCell="Q1048" activePane="bottomRight" state="frozen"/>
      <selection pane="topRight" activeCell="D1" sqref="D1"/>
      <selection pane="bottomLeft" activeCell="A2" sqref="A2"/>
      <selection pane="bottomRight" activeCell="AA1076" sqref="AA1076"/>
    </sheetView>
  </sheetViews>
  <sheetFormatPr defaultColWidth="9.109375" defaultRowHeight="14.4" outlineLevelCol="2" x14ac:dyDescent="0.3"/>
  <cols>
    <col min="1" max="1" width="16.6640625" bestFit="1" customWidth="1"/>
    <col min="2" max="2" width="22.6640625" style="2" customWidth="1"/>
    <col min="3" max="3" width="9.77734375" style="2" customWidth="1"/>
    <col min="4" max="4" width="15.21875" style="2" customWidth="1"/>
    <col min="5" max="5" width="30.44140625" style="2" customWidth="1" outlineLevel="1"/>
    <col min="6" max="6" width="15.77734375" customWidth="1" outlineLevel="1"/>
    <col min="7" max="7" width="18.33203125" style="2" customWidth="1" outlineLevel="1"/>
    <col min="8" max="8" width="14.109375" style="2" customWidth="1" outlineLevel="2"/>
    <col min="9" max="9" width="11.6640625" style="2" customWidth="1" outlineLevel="2"/>
    <col min="10" max="10" width="12.6640625" style="2" customWidth="1" outlineLevel="2"/>
    <col min="11" max="11" width="9.6640625" style="2" customWidth="1" outlineLevel="2"/>
    <col min="12" max="12" width="13.6640625" style="2" customWidth="1" outlineLevel="2"/>
    <col min="13" max="13" width="11.6640625" style="2" customWidth="1" outlineLevel="2"/>
    <col min="14" max="14" width="9.6640625" style="2" customWidth="1" outlineLevel="2"/>
    <col min="15" max="15" width="11.6640625" style="2" customWidth="1" outlineLevel="2"/>
    <col min="16" max="16" width="12.109375" style="2" customWidth="1" outlineLevel="1"/>
    <col min="17" max="17" width="10.44140625" style="2" customWidth="1" outlineLevel="1"/>
    <col min="18" max="18" width="16.77734375" style="2" bestFit="1" customWidth="1"/>
    <col min="19" max="19" width="20" style="2" bestFit="1" customWidth="1"/>
    <col min="20" max="20" width="31.44140625" style="2" customWidth="1" outlineLevel="1"/>
    <col min="21" max="21" width="23.6640625" style="38" customWidth="1" outlineLevel="1"/>
    <col min="22" max="22" width="22.44140625" style="38" customWidth="1" outlineLevel="1"/>
    <col min="23" max="23" width="20.109375" style="2" customWidth="1" outlineLevel="1"/>
    <col min="24" max="24" width="33" style="2" bestFit="1" customWidth="1"/>
    <col min="25" max="25" width="26.6640625" style="72" customWidth="1"/>
    <col min="26" max="26" width="16" style="39" customWidth="1" outlineLevel="1"/>
    <col min="27" max="27" width="21.33203125" style="38" customWidth="1"/>
    <col min="28" max="28" width="21.33203125" style="76" customWidth="1" outlineLevel="1"/>
    <col min="29" max="29" width="21.33203125" style="76" customWidth="1"/>
    <col min="30" max="30" width="19.5546875" style="2" customWidth="1"/>
    <col min="31" max="31" width="18.6640625" style="70" bestFit="1" customWidth="1"/>
    <col min="32" max="32" width="24.44140625" style="2" bestFit="1" customWidth="1"/>
    <col min="33" max="33" width="17.33203125" style="2" bestFit="1" customWidth="1"/>
    <col min="34" max="34" width="23" style="2" bestFit="1" customWidth="1"/>
    <col min="35" max="35" width="28.6640625" style="2" bestFit="1" customWidth="1"/>
    <col min="36" max="38" width="33.33203125" style="2" customWidth="1"/>
    <col min="39" max="39" width="33.33203125" style="2" hidden="1" customWidth="1" outlineLevel="1"/>
    <col min="40" max="40" width="42.6640625" style="2" bestFit="1" customWidth="1" collapsed="1"/>
  </cols>
  <sheetData>
    <row r="1" spans="1:39" s="1" customFormat="1" ht="29.25" customHeight="1" x14ac:dyDescent="0.3">
      <c r="A1" s="95" t="s">
        <v>0</v>
      </c>
      <c r="B1" s="95" t="s">
        <v>335</v>
      </c>
      <c r="C1" s="95" t="s">
        <v>684</v>
      </c>
      <c r="D1" s="96" t="s">
        <v>765</v>
      </c>
      <c r="E1" s="115" t="s">
        <v>1</v>
      </c>
      <c r="F1" s="95" t="s">
        <v>93</v>
      </c>
      <c r="G1" s="95" t="s">
        <v>763</v>
      </c>
      <c r="H1" s="98" t="s">
        <v>675</v>
      </c>
      <c r="I1" s="99" t="s">
        <v>676</v>
      </c>
      <c r="J1" s="99" t="s">
        <v>677</v>
      </c>
      <c r="K1" s="100" t="s">
        <v>678</v>
      </c>
      <c r="L1" s="98" t="s">
        <v>679</v>
      </c>
      <c r="M1" s="98" t="s">
        <v>779</v>
      </c>
      <c r="N1" s="98" t="s">
        <v>680</v>
      </c>
      <c r="O1" s="101" t="s">
        <v>681</v>
      </c>
      <c r="P1" s="102" t="s">
        <v>94</v>
      </c>
      <c r="Q1" s="102" t="s">
        <v>95</v>
      </c>
      <c r="R1" s="95" t="s">
        <v>624</v>
      </c>
      <c r="S1" s="103" t="s">
        <v>331</v>
      </c>
      <c r="T1" s="104" t="s">
        <v>332</v>
      </c>
      <c r="U1" s="105" t="s">
        <v>333</v>
      </c>
      <c r="V1" s="105" t="s">
        <v>682</v>
      </c>
      <c r="W1" s="105" t="s">
        <v>97</v>
      </c>
      <c r="X1" s="95" t="s">
        <v>330</v>
      </c>
      <c r="Y1" s="106" t="s">
        <v>1111</v>
      </c>
      <c r="Z1" s="105" t="s">
        <v>334</v>
      </c>
      <c r="AA1" s="95" t="s">
        <v>98</v>
      </c>
      <c r="AB1" s="107" t="s">
        <v>933</v>
      </c>
      <c r="AC1" s="108" t="s">
        <v>934</v>
      </c>
      <c r="AD1" s="108" t="s">
        <v>928</v>
      </c>
      <c r="AE1" s="109" t="s">
        <v>926</v>
      </c>
      <c r="AF1" s="115" t="s">
        <v>792</v>
      </c>
      <c r="AG1" s="115" t="s">
        <v>793</v>
      </c>
      <c r="AH1" s="115" t="s">
        <v>2</v>
      </c>
      <c r="AI1" s="115" t="s">
        <v>3</v>
      </c>
      <c r="AJ1" s="115" t="s">
        <v>5</v>
      </c>
      <c r="AK1" s="115" t="s">
        <v>794</v>
      </c>
      <c r="AL1" s="116" t="s">
        <v>6</v>
      </c>
      <c r="AM1" s="95" t="s">
        <v>918</v>
      </c>
    </row>
    <row r="2" spans="1:39" customFormat="1" ht="15.75" hidden="1" customHeight="1" x14ac:dyDescent="0.3">
      <c r="A2" t="s">
        <v>78</v>
      </c>
      <c r="B2" s="21" t="s">
        <v>774</v>
      </c>
      <c r="C2" s="21" t="s">
        <v>780</v>
      </c>
      <c r="D2" s="117" t="s">
        <v>254</v>
      </c>
      <c r="E2" s="21" t="s">
        <v>79</v>
      </c>
      <c r="F2" s="21" t="s">
        <v>317</v>
      </c>
      <c r="G2" s="21">
        <v>114.59</v>
      </c>
      <c r="H2" s="21"/>
      <c r="I2" s="117" t="s">
        <v>842</v>
      </c>
      <c r="J2" s="117" t="s">
        <v>325</v>
      </c>
      <c r="K2" s="118">
        <v>22.28</v>
      </c>
      <c r="L2" s="21"/>
      <c r="M2" s="21"/>
      <c r="N2" s="21"/>
      <c r="O2" s="21"/>
      <c r="P2" s="21">
        <v>92.31</v>
      </c>
      <c r="Q2" s="21"/>
      <c r="R2" s="21" t="s">
        <v>625</v>
      </c>
      <c r="S2" s="119">
        <f>DATABASE_Table[[#This Row],[Inicial Asking Price (€) (Total)]]-DATABASE_Table[[#This Row],[Vista membership]]-DATABASE_Table[[#This Row],[FF&amp;E]]</f>
        <v>720000</v>
      </c>
      <c r="T2" s="120">
        <v>765000</v>
      </c>
      <c r="U2" s="36">
        <v>755000</v>
      </c>
      <c r="V2" s="21"/>
      <c r="W2" s="36">
        <v>45000</v>
      </c>
      <c r="X2" s="73">
        <f>DATABASE_Table[[#This Row],[Current Asking price( Total)]]-DATABASE_Table[[#This Row],[Vista membership]]-DATABASE_Table[[#This Row],[FF&amp;E]]</f>
        <v>710000</v>
      </c>
      <c r="Y2" s="37">
        <v>-1.3245033112582801E-2</v>
      </c>
      <c r="Z2" s="36">
        <v>765000</v>
      </c>
      <c r="AA2" s="73">
        <f>DATABASE_Table[[#This Row],[Sell price (Total)]]-DATABASE_Table[[#This Row],[FF&amp;E]]-DATABASE_Table[[#This Row],[Vista membership]]</f>
        <v>720000</v>
      </c>
      <c r="AB2" s="74">
        <v>45792</v>
      </c>
      <c r="AC2" s="74" t="str">
        <f t="shared" ref="AC2:AC65" si="0">IF(AB2="","TO LAUNCH","Q"&amp;ROUNDUP(MONTH(AB2)/3,0)&amp;" "&amp;YEAR(AB2))</f>
        <v>Q2 2025</v>
      </c>
      <c r="AD2" s="121">
        <v>45953</v>
      </c>
      <c r="AE2" s="69">
        <v>47118</v>
      </c>
      <c r="AF2" s="21" t="s">
        <v>80</v>
      </c>
      <c r="AG2" s="21" t="s">
        <v>81</v>
      </c>
      <c r="AH2" s="122" t="s">
        <v>82</v>
      </c>
      <c r="AI2" s="122" t="s">
        <v>83</v>
      </c>
      <c r="AJ2" s="122" t="s">
        <v>84</v>
      </c>
      <c r="AK2" s="122" t="s">
        <v>85</v>
      </c>
      <c r="AL2" s="21" t="s">
        <v>86</v>
      </c>
      <c r="AM2" s="122" t="s">
        <v>78</v>
      </c>
    </row>
    <row r="3" spans="1:39" customFormat="1" ht="15.75" hidden="1" customHeight="1" x14ac:dyDescent="0.3">
      <c r="A3" t="s">
        <v>78</v>
      </c>
      <c r="B3" s="21" t="s">
        <v>774</v>
      </c>
      <c r="C3" s="21" t="s">
        <v>780</v>
      </c>
      <c r="D3" s="117" t="s">
        <v>107</v>
      </c>
      <c r="E3" s="21" t="s">
        <v>79</v>
      </c>
      <c r="F3" s="21" t="s">
        <v>317</v>
      </c>
      <c r="G3" s="21">
        <v>194.02</v>
      </c>
      <c r="H3" s="21"/>
      <c r="I3" s="117" t="s">
        <v>842</v>
      </c>
      <c r="J3" s="117" t="s">
        <v>325</v>
      </c>
      <c r="K3" s="118">
        <v>23.12</v>
      </c>
      <c r="L3" s="21">
        <v>80.91</v>
      </c>
      <c r="M3" s="21"/>
      <c r="N3" s="21"/>
      <c r="O3" s="21"/>
      <c r="P3" s="21">
        <v>89.99</v>
      </c>
      <c r="Q3" s="21"/>
      <c r="R3" s="21" t="s">
        <v>625</v>
      </c>
      <c r="S3" s="119">
        <f>DATABASE_Table[[#This Row],[Inicial Asking Price (€) (Total)]]-DATABASE_Table[[#This Row],[Vista membership]]-DATABASE_Table[[#This Row],[FF&amp;E]]</f>
        <v>735000</v>
      </c>
      <c r="T3" s="120">
        <v>780000</v>
      </c>
      <c r="U3" s="36">
        <v>770000</v>
      </c>
      <c r="V3" s="21"/>
      <c r="W3" s="36">
        <v>45000</v>
      </c>
      <c r="X3" s="73">
        <f>DATABASE_Table[[#This Row],[Current Asking price( Total)]]-DATABASE_Table[[#This Row],[Vista membership]]-DATABASE_Table[[#This Row],[FF&amp;E]]</f>
        <v>725000</v>
      </c>
      <c r="Y3" s="37">
        <v>-1.2987012987012899E-2</v>
      </c>
      <c r="Z3" s="36">
        <v>780000</v>
      </c>
      <c r="AA3" s="73">
        <f>DATABASE_Table[[#This Row],[Sell price (Total)]]-DATABASE_Table[[#This Row],[FF&amp;E]]-DATABASE_Table[[#This Row],[Vista membership]]</f>
        <v>735000</v>
      </c>
      <c r="AB3" s="74">
        <v>45792</v>
      </c>
      <c r="AC3" s="74" t="str">
        <f t="shared" si="0"/>
        <v>Q2 2025</v>
      </c>
      <c r="AD3" s="121">
        <v>45986</v>
      </c>
      <c r="AE3" s="69">
        <v>47118</v>
      </c>
      <c r="AF3" s="21" t="s">
        <v>80</v>
      </c>
      <c r="AG3" s="21" t="s">
        <v>81</v>
      </c>
      <c r="AH3" s="122" t="s">
        <v>82</v>
      </c>
      <c r="AI3" s="122" t="s">
        <v>83</v>
      </c>
      <c r="AJ3" s="122" t="s">
        <v>84</v>
      </c>
      <c r="AK3" s="122" t="s">
        <v>85</v>
      </c>
      <c r="AL3" s="21" t="s">
        <v>86</v>
      </c>
      <c r="AM3" s="122" t="s">
        <v>78</v>
      </c>
    </row>
    <row r="4" spans="1:39" customFormat="1" ht="15.75" hidden="1" customHeight="1" x14ac:dyDescent="0.3">
      <c r="A4" t="s">
        <v>78</v>
      </c>
      <c r="B4" s="21" t="s">
        <v>774</v>
      </c>
      <c r="C4" s="21" t="s">
        <v>780</v>
      </c>
      <c r="D4" s="117" t="s">
        <v>239</v>
      </c>
      <c r="E4" s="21" t="s">
        <v>79</v>
      </c>
      <c r="F4" s="21" t="s">
        <v>317</v>
      </c>
      <c r="G4" s="21">
        <v>190.14</v>
      </c>
      <c r="H4" s="21"/>
      <c r="I4" s="117" t="s">
        <v>842</v>
      </c>
      <c r="J4" s="117" t="s">
        <v>325</v>
      </c>
      <c r="K4" s="118">
        <v>23.08</v>
      </c>
      <c r="L4" s="21">
        <v>76.91</v>
      </c>
      <c r="M4" s="21"/>
      <c r="N4" s="21"/>
      <c r="O4" s="21"/>
      <c r="P4" s="21">
        <v>90.15</v>
      </c>
      <c r="Q4" s="21"/>
      <c r="R4" s="21" t="s">
        <v>326</v>
      </c>
      <c r="S4" s="119">
        <f>DATABASE_Table[[#This Row],[Inicial Asking Price (€) (Total)]]-DATABASE_Table[[#This Row],[Vista membership]]-DATABASE_Table[[#This Row],[FF&amp;E]]</f>
        <v>735000</v>
      </c>
      <c r="T4" s="120">
        <v>780000</v>
      </c>
      <c r="U4" s="36">
        <v>840000</v>
      </c>
      <c r="V4" s="21"/>
      <c r="W4" s="36">
        <v>45000</v>
      </c>
      <c r="X4" s="73">
        <f>DATABASE_Table[[#This Row],[Current Asking price( Total)]]-DATABASE_Table[[#This Row],[Vista membership]]-DATABASE_Table[[#This Row],[FF&amp;E]]</f>
        <v>795000</v>
      </c>
      <c r="Y4" s="37">
        <v>0</v>
      </c>
      <c r="Z4" s="36">
        <v>840000</v>
      </c>
      <c r="AA4" s="73">
        <f>DATABASE_Table[[#This Row],[Sell price (Total)]]-DATABASE_Table[[#This Row],[FF&amp;E]]-DATABASE_Table[[#This Row],[Vista membership]]</f>
        <v>795000</v>
      </c>
      <c r="AB4" s="74">
        <v>45792</v>
      </c>
      <c r="AC4" s="74" t="str">
        <f t="shared" si="0"/>
        <v>Q2 2025</v>
      </c>
      <c r="AD4" s="123">
        <v>46029</v>
      </c>
      <c r="AE4" s="69">
        <v>47118</v>
      </c>
      <c r="AF4" s="21" t="s">
        <v>80</v>
      </c>
      <c r="AG4" s="21" t="s">
        <v>81</v>
      </c>
      <c r="AH4" s="122" t="s">
        <v>82</v>
      </c>
      <c r="AI4" s="122" t="s">
        <v>83</v>
      </c>
      <c r="AJ4" s="122" t="s">
        <v>84</v>
      </c>
      <c r="AK4" s="122" t="s">
        <v>85</v>
      </c>
      <c r="AL4" s="21" t="s">
        <v>86</v>
      </c>
      <c r="AM4" s="122" t="s">
        <v>78</v>
      </c>
    </row>
    <row r="5" spans="1:39" customFormat="1" ht="15.75" hidden="1" customHeight="1" x14ac:dyDescent="0.3">
      <c r="A5" t="s">
        <v>78</v>
      </c>
      <c r="B5" s="21" t="s">
        <v>774</v>
      </c>
      <c r="C5" s="21" t="s">
        <v>780</v>
      </c>
      <c r="D5" s="117" t="s">
        <v>240</v>
      </c>
      <c r="E5" s="21" t="s">
        <v>79</v>
      </c>
      <c r="F5" s="21" t="s">
        <v>317</v>
      </c>
      <c r="G5" s="21">
        <v>200.51</v>
      </c>
      <c r="H5" s="21"/>
      <c r="I5" s="117" t="s">
        <v>842</v>
      </c>
      <c r="J5" s="117" t="s">
        <v>325</v>
      </c>
      <c r="K5" s="118">
        <v>23.08</v>
      </c>
      <c r="L5" s="21">
        <v>87.35</v>
      </c>
      <c r="M5" s="21"/>
      <c r="N5" s="21"/>
      <c r="O5" s="21"/>
      <c r="P5" s="21">
        <v>90.08</v>
      </c>
      <c r="Q5" s="21"/>
      <c r="R5" s="21" t="s">
        <v>625</v>
      </c>
      <c r="S5" s="119">
        <f>DATABASE_Table[[#This Row],[Inicial Asking Price (€) (Total)]]-DATABASE_Table[[#This Row],[Vista membership]]-DATABASE_Table[[#This Row],[FF&amp;E]]</f>
        <v>745000</v>
      </c>
      <c r="T5" s="120">
        <v>790000</v>
      </c>
      <c r="U5" s="36">
        <v>810000</v>
      </c>
      <c r="V5" s="21"/>
      <c r="W5" s="36">
        <v>45000</v>
      </c>
      <c r="X5" s="73">
        <f>DATABASE_Table[[#This Row],[Current Asking price( Total)]]-DATABASE_Table[[#This Row],[Vista membership]]-DATABASE_Table[[#This Row],[FF&amp;E]]</f>
        <v>765000</v>
      </c>
      <c r="Y5" s="37">
        <v>0</v>
      </c>
      <c r="Z5" s="36">
        <v>810000</v>
      </c>
      <c r="AA5" s="73">
        <f>DATABASE_Table[[#This Row],[Sell price (Total)]]-DATABASE_Table[[#This Row],[FF&amp;E]]-DATABASE_Table[[#This Row],[Vista membership]]</f>
        <v>765000</v>
      </c>
      <c r="AB5" s="74">
        <v>45792</v>
      </c>
      <c r="AC5" s="74" t="str">
        <f t="shared" si="0"/>
        <v>Q2 2025</v>
      </c>
      <c r="AD5" s="121">
        <v>45953</v>
      </c>
      <c r="AE5" s="69">
        <v>47118</v>
      </c>
      <c r="AF5" s="21" t="s">
        <v>80</v>
      </c>
      <c r="AG5" s="21" t="s">
        <v>81</v>
      </c>
      <c r="AH5" s="122" t="s">
        <v>82</v>
      </c>
      <c r="AI5" s="122" t="s">
        <v>83</v>
      </c>
      <c r="AJ5" s="122" t="s">
        <v>84</v>
      </c>
      <c r="AK5" s="122" t="s">
        <v>85</v>
      </c>
      <c r="AL5" s="21" t="s">
        <v>86</v>
      </c>
      <c r="AM5" s="122" t="s">
        <v>78</v>
      </c>
    </row>
    <row r="6" spans="1:39" customFormat="1" ht="15.75" hidden="1" customHeight="1" x14ac:dyDescent="0.3">
      <c r="A6" t="s">
        <v>78</v>
      </c>
      <c r="B6" s="21" t="s">
        <v>774</v>
      </c>
      <c r="C6" s="21" t="s">
        <v>780</v>
      </c>
      <c r="D6" s="117" t="s">
        <v>243</v>
      </c>
      <c r="E6" s="21" t="s">
        <v>79</v>
      </c>
      <c r="F6" s="21" t="s">
        <v>317</v>
      </c>
      <c r="G6" s="21">
        <v>176.21</v>
      </c>
      <c r="H6" s="21"/>
      <c r="I6" s="117" t="s">
        <v>842</v>
      </c>
      <c r="J6" s="117" t="s">
        <v>325</v>
      </c>
      <c r="K6" s="118">
        <v>23.35</v>
      </c>
      <c r="L6" s="21">
        <v>61.77</v>
      </c>
      <c r="M6" s="21"/>
      <c r="N6" s="21"/>
      <c r="O6" s="21"/>
      <c r="P6" s="21">
        <v>91.09</v>
      </c>
      <c r="Q6" s="21"/>
      <c r="R6" s="21" t="s">
        <v>625</v>
      </c>
      <c r="S6" s="119">
        <f>DATABASE_Table[[#This Row],[Inicial Asking Price (€) (Total)]]-DATABASE_Table[[#This Row],[Vista membership]]-DATABASE_Table[[#This Row],[FF&amp;E]]</f>
        <v>730000</v>
      </c>
      <c r="T6" s="120">
        <v>775000</v>
      </c>
      <c r="U6" s="36">
        <v>775000</v>
      </c>
      <c r="V6" s="21"/>
      <c r="W6" s="36">
        <v>45000</v>
      </c>
      <c r="X6" s="73">
        <f>DATABASE_Table[[#This Row],[Current Asking price( Total)]]-DATABASE_Table[[#This Row],[Vista membership]]-DATABASE_Table[[#This Row],[FF&amp;E]]</f>
        <v>730000</v>
      </c>
      <c r="Y6" s="37">
        <v>0</v>
      </c>
      <c r="Z6" s="36">
        <v>775000</v>
      </c>
      <c r="AA6" s="73">
        <f>DATABASE_Table[[#This Row],[Sell price (Total)]]-DATABASE_Table[[#This Row],[FF&amp;E]]-DATABASE_Table[[#This Row],[Vista membership]]</f>
        <v>730000</v>
      </c>
      <c r="AB6" s="74">
        <v>45792</v>
      </c>
      <c r="AC6" s="74" t="str">
        <f t="shared" si="0"/>
        <v>Q2 2025</v>
      </c>
      <c r="AD6" s="121">
        <v>45979</v>
      </c>
      <c r="AE6" s="69">
        <v>47118</v>
      </c>
      <c r="AF6" s="21" t="s">
        <v>80</v>
      </c>
      <c r="AG6" s="21" t="s">
        <v>81</v>
      </c>
      <c r="AH6" s="122" t="s">
        <v>82</v>
      </c>
      <c r="AI6" s="122" t="s">
        <v>83</v>
      </c>
      <c r="AJ6" s="122" t="s">
        <v>84</v>
      </c>
      <c r="AK6" s="122" t="s">
        <v>85</v>
      </c>
      <c r="AL6" s="21" t="s">
        <v>86</v>
      </c>
      <c r="AM6" s="122" t="s">
        <v>78</v>
      </c>
    </row>
    <row r="7" spans="1:39" customFormat="1" ht="15.75" hidden="1" customHeight="1" x14ac:dyDescent="0.3">
      <c r="A7" t="s">
        <v>78</v>
      </c>
      <c r="B7" s="21" t="s">
        <v>774</v>
      </c>
      <c r="C7" s="21" t="s">
        <v>780</v>
      </c>
      <c r="D7" s="117" t="s">
        <v>110</v>
      </c>
      <c r="E7" s="21" t="s">
        <v>79</v>
      </c>
      <c r="F7" s="21" t="s">
        <v>317</v>
      </c>
      <c r="G7" s="21">
        <v>200.36</v>
      </c>
      <c r="H7" s="21"/>
      <c r="I7" s="117" t="s">
        <v>842</v>
      </c>
      <c r="J7" s="117" t="s">
        <v>325</v>
      </c>
      <c r="K7" s="118">
        <v>3.87</v>
      </c>
      <c r="L7" s="21">
        <v>84.03</v>
      </c>
      <c r="M7" s="21"/>
      <c r="N7" s="21"/>
      <c r="O7" s="21"/>
      <c r="P7" s="21">
        <v>112.46</v>
      </c>
      <c r="Q7" s="21"/>
      <c r="R7" s="21" t="s">
        <v>625</v>
      </c>
      <c r="S7" s="119">
        <f>DATABASE_Table[[#This Row],[Inicial Asking Price (€) (Total)]]-DATABASE_Table[[#This Row],[Vista membership]]-DATABASE_Table[[#This Row],[FF&amp;E]]</f>
        <v>795000</v>
      </c>
      <c r="T7" s="120">
        <v>840000</v>
      </c>
      <c r="U7" s="36">
        <v>840000</v>
      </c>
      <c r="V7" s="21"/>
      <c r="W7" s="36">
        <v>45000</v>
      </c>
      <c r="X7" s="73">
        <f>DATABASE_Table[[#This Row],[Current Asking price( Total)]]-DATABASE_Table[[#This Row],[Vista membership]]-DATABASE_Table[[#This Row],[FF&amp;E]]</f>
        <v>795000</v>
      </c>
      <c r="Y7" s="37">
        <v>0</v>
      </c>
      <c r="Z7" s="36">
        <v>840000</v>
      </c>
      <c r="AA7" s="73">
        <f>DATABASE_Table[[#This Row],[Sell price (Total)]]-DATABASE_Table[[#This Row],[FF&amp;E]]-DATABASE_Table[[#This Row],[Vista membership]]</f>
        <v>795000</v>
      </c>
      <c r="AB7" s="74">
        <v>45792</v>
      </c>
      <c r="AC7" s="74" t="str">
        <f t="shared" si="0"/>
        <v>Q2 2025</v>
      </c>
      <c r="AD7" s="121">
        <v>45943</v>
      </c>
      <c r="AE7" s="69">
        <v>47118</v>
      </c>
      <c r="AF7" s="21" t="s">
        <v>80</v>
      </c>
      <c r="AG7" s="21" t="s">
        <v>81</v>
      </c>
      <c r="AH7" s="122" t="s">
        <v>82</v>
      </c>
      <c r="AI7" s="122" t="s">
        <v>83</v>
      </c>
      <c r="AJ7" s="122" t="s">
        <v>84</v>
      </c>
      <c r="AK7" s="122" t="s">
        <v>85</v>
      </c>
      <c r="AL7" s="21" t="s">
        <v>86</v>
      </c>
      <c r="AM7" s="122" t="s">
        <v>78</v>
      </c>
    </row>
    <row r="8" spans="1:39" customFormat="1" ht="15.75" hidden="1" customHeight="1" x14ac:dyDescent="0.3">
      <c r="A8" t="s">
        <v>78</v>
      </c>
      <c r="B8" s="21" t="s">
        <v>774</v>
      </c>
      <c r="C8" s="21" t="s">
        <v>780</v>
      </c>
      <c r="D8" s="117" t="s">
        <v>251</v>
      </c>
      <c r="E8" s="21" t="s">
        <v>79</v>
      </c>
      <c r="F8" s="21" t="s">
        <v>317</v>
      </c>
      <c r="G8" s="21">
        <v>262.92</v>
      </c>
      <c r="H8" s="21"/>
      <c r="I8" s="117" t="s">
        <v>842</v>
      </c>
      <c r="J8" s="117" t="s">
        <v>325</v>
      </c>
      <c r="K8" s="118">
        <v>3.87</v>
      </c>
      <c r="L8" s="21">
        <v>145.22</v>
      </c>
      <c r="M8" s="21"/>
      <c r="N8" s="21"/>
      <c r="O8" s="21"/>
      <c r="P8" s="21">
        <v>113.83</v>
      </c>
      <c r="Q8" s="21"/>
      <c r="R8" s="21" t="s">
        <v>625</v>
      </c>
      <c r="S8" s="119">
        <f>DATABASE_Table[[#This Row],[Inicial Asking Price (€) (Total)]]-DATABASE_Table[[#This Row],[Vista membership]]-DATABASE_Table[[#This Row],[FF&amp;E]]</f>
        <v>850000</v>
      </c>
      <c r="T8" s="120">
        <v>895000</v>
      </c>
      <c r="U8" s="36">
        <v>940000</v>
      </c>
      <c r="V8" s="21"/>
      <c r="W8" s="36">
        <v>45000</v>
      </c>
      <c r="X8" s="73">
        <f>DATABASE_Table[[#This Row],[Current Asking price( Total)]]-DATABASE_Table[[#This Row],[Vista membership]]-DATABASE_Table[[#This Row],[FF&amp;E]]</f>
        <v>895000</v>
      </c>
      <c r="Y8" s="37">
        <v>0</v>
      </c>
      <c r="Z8" s="36">
        <v>940000</v>
      </c>
      <c r="AA8" s="73">
        <f>DATABASE_Table[[#This Row],[Sell price (Total)]]-DATABASE_Table[[#This Row],[FF&amp;E]]-DATABASE_Table[[#This Row],[Vista membership]]</f>
        <v>895000</v>
      </c>
      <c r="AB8" s="74">
        <v>45792</v>
      </c>
      <c r="AC8" s="74" t="str">
        <f t="shared" si="0"/>
        <v>Q2 2025</v>
      </c>
      <c r="AD8" s="121">
        <v>45922</v>
      </c>
      <c r="AE8" s="69">
        <v>47118</v>
      </c>
      <c r="AF8" s="21" t="s">
        <v>80</v>
      </c>
      <c r="AG8" s="21" t="s">
        <v>81</v>
      </c>
      <c r="AH8" s="122" t="s">
        <v>82</v>
      </c>
      <c r="AI8" s="122" t="s">
        <v>83</v>
      </c>
      <c r="AJ8" s="122" t="s">
        <v>84</v>
      </c>
      <c r="AK8" s="122" t="s">
        <v>85</v>
      </c>
      <c r="AL8" s="21" t="s">
        <v>86</v>
      </c>
      <c r="AM8" s="122" t="s">
        <v>78</v>
      </c>
    </row>
    <row r="9" spans="1:39" customFormat="1" ht="15.75" hidden="1" customHeight="1" x14ac:dyDescent="0.3">
      <c r="A9" t="s">
        <v>78</v>
      </c>
      <c r="B9" s="21" t="s">
        <v>774</v>
      </c>
      <c r="C9" s="21" t="s">
        <v>780</v>
      </c>
      <c r="D9" s="117" t="s">
        <v>264</v>
      </c>
      <c r="E9" s="21" t="s">
        <v>79</v>
      </c>
      <c r="F9" s="21" t="s">
        <v>318</v>
      </c>
      <c r="G9" s="21">
        <v>146.5</v>
      </c>
      <c r="H9" s="21"/>
      <c r="I9" s="117" t="s">
        <v>843</v>
      </c>
      <c r="J9" s="117" t="s">
        <v>325</v>
      </c>
      <c r="K9" s="118">
        <v>29.74</v>
      </c>
      <c r="L9" s="21"/>
      <c r="M9" s="21"/>
      <c r="N9" s="21"/>
      <c r="O9" s="21"/>
      <c r="P9" s="21">
        <v>116.76</v>
      </c>
      <c r="Q9" s="21"/>
      <c r="R9" s="21" t="s">
        <v>625</v>
      </c>
      <c r="S9" s="119">
        <f>DATABASE_Table[[#This Row],[Inicial Asking Price (€) (Total)]]-DATABASE_Table[[#This Row],[Vista membership]]-DATABASE_Table[[#This Row],[FF&amp;E]]</f>
        <v>885000</v>
      </c>
      <c r="T9" s="120">
        <v>935000</v>
      </c>
      <c r="U9" s="36">
        <v>935000</v>
      </c>
      <c r="V9" s="21"/>
      <c r="W9" s="36">
        <v>50000</v>
      </c>
      <c r="X9" s="73">
        <f>DATABASE_Table[[#This Row],[Current Asking price( Total)]]-DATABASE_Table[[#This Row],[Vista membership]]-DATABASE_Table[[#This Row],[FF&amp;E]]</f>
        <v>885000</v>
      </c>
      <c r="Y9" s="37">
        <v>0</v>
      </c>
      <c r="Z9" s="36">
        <v>935000</v>
      </c>
      <c r="AA9" s="73">
        <f>DATABASE_Table[[#This Row],[Sell price (Total)]]-DATABASE_Table[[#This Row],[FF&amp;E]]-DATABASE_Table[[#This Row],[Vista membership]]</f>
        <v>885000</v>
      </c>
      <c r="AB9" s="74">
        <v>45792</v>
      </c>
      <c r="AC9" s="74" t="str">
        <f t="shared" si="0"/>
        <v>Q2 2025</v>
      </c>
      <c r="AD9" s="121">
        <v>45971</v>
      </c>
      <c r="AE9" s="69">
        <v>47118</v>
      </c>
      <c r="AF9" s="21" t="s">
        <v>80</v>
      </c>
      <c r="AG9" s="21" t="s">
        <v>81</v>
      </c>
      <c r="AH9" s="122" t="s">
        <v>82</v>
      </c>
      <c r="AI9" s="122" t="s">
        <v>83</v>
      </c>
      <c r="AJ9" s="122" t="s">
        <v>84</v>
      </c>
      <c r="AK9" s="122" t="s">
        <v>85</v>
      </c>
      <c r="AL9" s="21" t="s">
        <v>86</v>
      </c>
      <c r="AM9" s="122" t="s">
        <v>78</v>
      </c>
    </row>
    <row r="10" spans="1:39" customFormat="1" ht="15.75" hidden="1" customHeight="1" x14ac:dyDescent="0.3">
      <c r="A10" t="s">
        <v>78</v>
      </c>
      <c r="B10" s="21" t="s">
        <v>774</v>
      </c>
      <c r="C10" s="21" t="s">
        <v>780</v>
      </c>
      <c r="D10" s="117" t="s">
        <v>263</v>
      </c>
      <c r="E10" s="21" t="s">
        <v>79</v>
      </c>
      <c r="F10" s="21" t="s">
        <v>317</v>
      </c>
      <c r="G10" s="21">
        <v>115.22</v>
      </c>
      <c r="H10" s="21"/>
      <c r="I10" s="117" t="s">
        <v>842</v>
      </c>
      <c r="J10" s="117" t="s">
        <v>325</v>
      </c>
      <c r="K10" s="118">
        <v>23.35</v>
      </c>
      <c r="L10" s="21"/>
      <c r="M10" s="21"/>
      <c r="N10" s="21"/>
      <c r="O10" s="21"/>
      <c r="P10" s="21">
        <v>91.87</v>
      </c>
      <c r="Q10" s="21"/>
      <c r="R10" s="21" t="s">
        <v>326</v>
      </c>
      <c r="S10" s="119">
        <f>DATABASE_Table[[#This Row],[Inicial Asking Price (€) (Total)]]-DATABASE_Table[[#This Row],[Vista membership]]-DATABASE_Table[[#This Row],[FF&amp;E]]</f>
        <v>650000</v>
      </c>
      <c r="T10" s="120">
        <v>695000</v>
      </c>
      <c r="U10" s="36">
        <v>695000</v>
      </c>
      <c r="V10" s="21"/>
      <c r="W10" s="36">
        <v>45000</v>
      </c>
      <c r="X10" s="73">
        <f>DATABASE_Table[[#This Row],[Current Asking price( Total)]]-DATABASE_Table[[#This Row],[Vista membership]]-DATABASE_Table[[#This Row],[FF&amp;E]]</f>
        <v>650000</v>
      </c>
      <c r="Y10" s="37">
        <v>0.02</v>
      </c>
      <c r="Z10" s="36">
        <v>681100</v>
      </c>
      <c r="AA10" s="73">
        <f>DATABASE_Table[[#This Row],[Sell price (Total)]]-DATABASE_Table[[#This Row],[FF&amp;E]]-DATABASE_Table[[#This Row],[Vista membership]]</f>
        <v>636100</v>
      </c>
      <c r="AB10" s="74">
        <v>45792</v>
      </c>
      <c r="AC10" s="74" t="str">
        <f t="shared" si="0"/>
        <v>Q2 2025</v>
      </c>
      <c r="AD10" s="123">
        <v>46093</v>
      </c>
      <c r="AE10" s="69">
        <v>47118</v>
      </c>
      <c r="AF10" s="21" t="s">
        <v>80</v>
      </c>
      <c r="AG10" s="21" t="s">
        <v>81</v>
      </c>
      <c r="AH10" s="122" t="s">
        <v>82</v>
      </c>
      <c r="AI10" s="122" t="s">
        <v>83</v>
      </c>
      <c r="AJ10" s="122" t="s">
        <v>84</v>
      </c>
      <c r="AK10" s="122" t="s">
        <v>85</v>
      </c>
      <c r="AL10" s="21" t="s">
        <v>86</v>
      </c>
      <c r="AM10" s="122" t="s">
        <v>78</v>
      </c>
    </row>
    <row r="11" spans="1:39" customFormat="1" ht="15.75" hidden="1" customHeight="1" x14ac:dyDescent="0.3">
      <c r="A11" t="s">
        <v>78</v>
      </c>
      <c r="B11" s="21" t="s">
        <v>774</v>
      </c>
      <c r="C11" s="21" t="s">
        <v>780</v>
      </c>
      <c r="D11" s="117" t="s">
        <v>99</v>
      </c>
      <c r="E11" s="21" t="s">
        <v>79</v>
      </c>
      <c r="F11" s="21" t="s">
        <v>317</v>
      </c>
      <c r="G11" s="21">
        <v>177.33</v>
      </c>
      <c r="H11" s="21"/>
      <c r="I11" s="117" t="s">
        <v>842</v>
      </c>
      <c r="J11" s="117" t="s">
        <v>325</v>
      </c>
      <c r="K11" s="118">
        <v>23.39</v>
      </c>
      <c r="L11" s="21">
        <v>62.81</v>
      </c>
      <c r="M11" s="21"/>
      <c r="N11" s="21"/>
      <c r="O11" s="21"/>
      <c r="P11" s="21">
        <v>91.13</v>
      </c>
      <c r="Q11" s="21"/>
      <c r="R11" s="21" t="s">
        <v>328</v>
      </c>
      <c r="S11" s="119">
        <f>DATABASE_Table[[#This Row],[Inicial Asking Price (€) (Total)]]-DATABASE_Table[[#This Row],[Vista membership]]-DATABASE_Table[[#This Row],[FF&amp;E]]</f>
        <v>730000</v>
      </c>
      <c r="T11" s="120">
        <v>775000</v>
      </c>
      <c r="U11" s="36">
        <v>825000</v>
      </c>
      <c r="V11" s="21"/>
      <c r="W11" s="36">
        <v>45000</v>
      </c>
      <c r="X11" s="73">
        <f>DATABASE_Table[[#This Row],[Current Asking price( Total)]]-DATABASE_Table[[#This Row],[Vista membership]]-DATABASE_Table[[#This Row],[FF&amp;E]]</f>
        <v>780000</v>
      </c>
      <c r="Y11" s="37"/>
      <c r="Z11" s="36"/>
      <c r="AA11" s="73">
        <f>DATABASE_Table[[#This Row],[Sell price (Total)]]-DATABASE_Table[[#This Row],[FF&amp;E]]-DATABASE_Table[[#This Row],[Vista membership]]</f>
        <v>-45000</v>
      </c>
      <c r="AB11" s="74">
        <v>45792</v>
      </c>
      <c r="AC11" s="74" t="str">
        <f t="shared" si="0"/>
        <v>Q2 2025</v>
      </c>
      <c r="AD11" s="123"/>
      <c r="AE11" s="69">
        <v>47118</v>
      </c>
      <c r="AF11" s="21" t="s">
        <v>80</v>
      </c>
      <c r="AG11" s="21" t="s">
        <v>81</v>
      </c>
      <c r="AH11" s="122" t="s">
        <v>82</v>
      </c>
      <c r="AI11" s="122" t="s">
        <v>83</v>
      </c>
      <c r="AJ11" s="122" t="s">
        <v>84</v>
      </c>
      <c r="AK11" s="122" t="s">
        <v>85</v>
      </c>
      <c r="AL11" s="21" t="s">
        <v>86</v>
      </c>
      <c r="AM11" s="122" t="s">
        <v>78</v>
      </c>
    </row>
    <row r="12" spans="1:39" customFormat="1" ht="15.75" hidden="1" customHeight="1" x14ac:dyDescent="0.3">
      <c r="A12" t="s">
        <v>78</v>
      </c>
      <c r="B12" s="21" t="s">
        <v>774</v>
      </c>
      <c r="C12" s="21" t="s">
        <v>780</v>
      </c>
      <c r="D12" s="117" t="s">
        <v>236</v>
      </c>
      <c r="E12" s="21" t="s">
        <v>79</v>
      </c>
      <c r="F12" s="21" t="s">
        <v>317</v>
      </c>
      <c r="G12" s="21">
        <v>178.55</v>
      </c>
      <c r="H12" s="21"/>
      <c r="I12" s="117" t="s">
        <v>842</v>
      </c>
      <c r="J12" s="117" t="s">
        <v>325</v>
      </c>
      <c r="K12" s="118">
        <v>23.07</v>
      </c>
      <c r="L12" s="21">
        <v>65.5</v>
      </c>
      <c r="M12" s="21"/>
      <c r="N12" s="21"/>
      <c r="O12" s="21"/>
      <c r="P12" s="21">
        <v>89.98</v>
      </c>
      <c r="Q12" s="21"/>
      <c r="R12" s="21" t="s">
        <v>329</v>
      </c>
      <c r="S12" s="119">
        <f>DATABASE_Table[[#This Row],[Inicial Asking Price (€) (Total)]]-DATABASE_Table[[#This Row],[Vista membership]]-DATABASE_Table[[#This Row],[FF&amp;E]]</f>
        <v>725000</v>
      </c>
      <c r="T12" s="120">
        <v>770000</v>
      </c>
      <c r="U12" s="36">
        <v>820000</v>
      </c>
      <c r="V12" s="21"/>
      <c r="W12" s="36">
        <v>45000</v>
      </c>
      <c r="X12" s="73">
        <f>DATABASE_Table[[#This Row],[Current Asking price( Total)]]-DATABASE_Table[[#This Row],[Vista membership]]-DATABASE_Table[[#This Row],[FF&amp;E]]</f>
        <v>775000</v>
      </c>
      <c r="Y12" s="37"/>
      <c r="Z12" s="36"/>
      <c r="AA12" s="73">
        <f>DATABASE_Table[[#This Row],[Sell price (Total)]]-DATABASE_Table[[#This Row],[FF&amp;E]]-DATABASE_Table[[#This Row],[Vista membership]]</f>
        <v>-45000</v>
      </c>
      <c r="AB12" s="74">
        <v>45792</v>
      </c>
      <c r="AC12" s="74" t="str">
        <f t="shared" si="0"/>
        <v>Q2 2025</v>
      </c>
      <c r="AD12" s="123"/>
      <c r="AE12" s="69">
        <v>47118</v>
      </c>
      <c r="AF12" s="21" t="s">
        <v>80</v>
      </c>
      <c r="AG12" s="21" t="s">
        <v>81</v>
      </c>
      <c r="AH12" s="122" t="s">
        <v>82</v>
      </c>
      <c r="AI12" s="122" t="s">
        <v>83</v>
      </c>
      <c r="AJ12" s="122" t="s">
        <v>84</v>
      </c>
      <c r="AK12" s="122" t="s">
        <v>85</v>
      </c>
      <c r="AL12" s="21" t="s">
        <v>86</v>
      </c>
      <c r="AM12" s="122" t="s">
        <v>78</v>
      </c>
    </row>
    <row r="13" spans="1:39" customFormat="1" ht="15.75" hidden="1" customHeight="1" x14ac:dyDescent="0.3">
      <c r="A13" t="s">
        <v>78</v>
      </c>
      <c r="B13" s="21" t="s">
        <v>774</v>
      </c>
      <c r="C13" s="21" t="s">
        <v>780</v>
      </c>
      <c r="D13" s="117" t="s">
        <v>237</v>
      </c>
      <c r="E13" s="21" t="s">
        <v>79</v>
      </c>
      <c r="F13" s="21" t="s">
        <v>317</v>
      </c>
      <c r="G13" s="21">
        <v>161.18</v>
      </c>
      <c r="H13" s="21"/>
      <c r="I13" s="117" t="s">
        <v>842</v>
      </c>
      <c r="J13" s="117" t="s">
        <v>325</v>
      </c>
      <c r="K13" s="118">
        <v>23.37</v>
      </c>
      <c r="L13" s="21">
        <v>46.79</v>
      </c>
      <c r="M13" s="21"/>
      <c r="N13" s="21"/>
      <c r="O13" s="21"/>
      <c r="P13" s="21">
        <v>91.02</v>
      </c>
      <c r="Q13" s="21"/>
      <c r="R13" s="21" t="s">
        <v>328</v>
      </c>
      <c r="S13" s="119">
        <f>DATABASE_Table[[#This Row],[Inicial Asking Price (€) (Total)]]-DATABASE_Table[[#This Row],[Vista membership]]-DATABASE_Table[[#This Row],[FF&amp;E]]</f>
        <v>720000</v>
      </c>
      <c r="T13" s="120">
        <v>765000</v>
      </c>
      <c r="U13" s="36">
        <v>830000</v>
      </c>
      <c r="V13" s="21"/>
      <c r="W13" s="36">
        <v>45000</v>
      </c>
      <c r="X13" s="73">
        <f>DATABASE_Table[[#This Row],[Current Asking price( Total)]]-DATABASE_Table[[#This Row],[Vista membership]]-DATABASE_Table[[#This Row],[FF&amp;E]]</f>
        <v>785000</v>
      </c>
      <c r="Y13" s="37"/>
      <c r="Z13" s="36"/>
      <c r="AA13" s="73">
        <f>DATABASE_Table[[#This Row],[Sell price (Total)]]-DATABASE_Table[[#This Row],[FF&amp;E]]-DATABASE_Table[[#This Row],[Vista membership]]</f>
        <v>-45000</v>
      </c>
      <c r="AB13" s="74">
        <v>45792</v>
      </c>
      <c r="AC13" s="74" t="str">
        <f t="shared" si="0"/>
        <v>Q2 2025</v>
      </c>
      <c r="AD13" s="123"/>
      <c r="AE13" s="69">
        <v>47118</v>
      </c>
      <c r="AF13" s="21" t="s">
        <v>80</v>
      </c>
      <c r="AG13" s="21" t="s">
        <v>81</v>
      </c>
      <c r="AH13" s="122" t="s">
        <v>82</v>
      </c>
      <c r="AI13" s="122" t="s">
        <v>83</v>
      </c>
      <c r="AJ13" s="122" t="s">
        <v>84</v>
      </c>
      <c r="AK13" s="122" t="s">
        <v>85</v>
      </c>
      <c r="AL13" s="21" t="s">
        <v>86</v>
      </c>
      <c r="AM13" s="122" t="s">
        <v>78</v>
      </c>
    </row>
    <row r="14" spans="1:39" customFormat="1" ht="15.75" hidden="1" customHeight="1" x14ac:dyDescent="0.3">
      <c r="A14" t="s">
        <v>78</v>
      </c>
      <c r="B14" s="21" t="s">
        <v>774</v>
      </c>
      <c r="C14" s="21" t="s">
        <v>780</v>
      </c>
      <c r="D14" s="117" t="s">
        <v>238</v>
      </c>
      <c r="E14" s="21" t="s">
        <v>79</v>
      </c>
      <c r="F14" s="21" t="s">
        <v>317</v>
      </c>
      <c r="G14" s="21">
        <v>176.52</v>
      </c>
      <c r="H14" s="21"/>
      <c r="I14" s="117" t="s">
        <v>842</v>
      </c>
      <c r="J14" s="117" t="s">
        <v>325</v>
      </c>
      <c r="K14" s="118">
        <v>23.43</v>
      </c>
      <c r="L14" s="21">
        <v>61.92</v>
      </c>
      <c r="M14" s="21"/>
      <c r="N14" s="21"/>
      <c r="O14" s="21"/>
      <c r="P14" s="21">
        <v>91.17</v>
      </c>
      <c r="Q14" s="21"/>
      <c r="R14" s="21" t="s">
        <v>329</v>
      </c>
      <c r="S14" s="119">
        <f>DATABASE_Table[[#This Row],[Inicial Asking Price (€) (Total)]]-DATABASE_Table[[#This Row],[Vista membership]]-DATABASE_Table[[#This Row],[FF&amp;E]]</f>
        <v>730000</v>
      </c>
      <c r="T14" s="120">
        <v>775000</v>
      </c>
      <c r="U14" s="36">
        <v>835000</v>
      </c>
      <c r="V14" s="21"/>
      <c r="W14" s="36">
        <v>45000</v>
      </c>
      <c r="X14" s="73">
        <f>DATABASE_Table[[#This Row],[Current Asking price( Total)]]-DATABASE_Table[[#This Row],[Vista membership]]-DATABASE_Table[[#This Row],[FF&amp;E]]</f>
        <v>790000</v>
      </c>
      <c r="Y14" s="37"/>
      <c r="Z14" s="36"/>
      <c r="AA14" s="73">
        <f>DATABASE_Table[[#This Row],[Sell price (Total)]]-DATABASE_Table[[#This Row],[FF&amp;E]]-DATABASE_Table[[#This Row],[Vista membership]]</f>
        <v>-45000</v>
      </c>
      <c r="AB14" s="74">
        <v>45792</v>
      </c>
      <c r="AC14" s="74" t="str">
        <f t="shared" si="0"/>
        <v>Q2 2025</v>
      </c>
      <c r="AD14" s="123"/>
      <c r="AE14" s="69">
        <v>47118</v>
      </c>
      <c r="AF14" s="21" t="s">
        <v>80</v>
      </c>
      <c r="AG14" s="21" t="s">
        <v>81</v>
      </c>
      <c r="AH14" s="122" t="s">
        <v>82</v>
      </c>
      <c r="AI14" s="122" t="s">
        <v>83</v>
      </c>
      <c r="AJ14" s="122" t="s">
        <v>84</v>
      </c>
      <c r="AK14" s="122" t="s">
        <v>85</v>
      </c>
      <c r="AL14" s="21" t="s">
        <v>86</v>
      </c>
      <c r="AM14" s="122" t="s">
        <v>78</v>
      </c>
    </row>
    <row r="15" spans="1:39" customFormat="1" ht="15.75" hidden="1" customHeight="1" x14ac:dyDescent="0.3">
      <c r="A15" t="s">
        <v>78</v>
      </c>
      <c r="B15" s="21" t="s">
        <v>774</v>
      </c>
      <c r="C15" s="21" t="s">
        <v>780</v>
      </c>
      <c r="D15" s="117" t="s">
        <v>241</v>
      </c>
      <c r="E15" s="21" t="s">
        <v>79</v>
      </c>
      <c r="F15" s="21" t="s">
        <v>317</v>
      </c>
      <c r="G15" s="21">
        <v>206.08</v>
      </c>
      <c r="H15" s="21"/>
      <c r="I15" s="117" t="s">
        <v>842</v>
      </c>
      <c r="J15" s="117" t="s">
        <v>325</v>
      </c>
      <c r="K15" s="118">
        <v>23.05</v>
      </c>
      <c r="L15" s="21">
        <v>92.93</v>
      </c>
      <c r="M15" s="21"/>
      <c r="N15" s="21"/>
      <c r="O15" s="21"/>
      <c r="P15" s="21">
        <v>90.1</v>
      </c>
      <c r="Q15" s="21"/>
      <c r="R15" s="21" t="s">
        <v>328</v>
      </c>
      <c r="S15" s="119">
        <f>DATABASE_Table[[#This Row],[Inicial Asking Price (€) (Total)]]-DATABASE_Table[[#This Row],[Vista membership]]-DATABASE_Table[[#This Row],[FF&amp;E]]</f>
        <v>745000</v>
      </c>
      <c r="T15" s="120">
        <v>790000</v>
      </c>
      <c r="U15" s="36">
        <v>850000</v>
      </c>
      <c r="V15" s="21"/>
      <c r="W15" s="36">
        <v>45000</v>
      </c>
      <c r="X15" s="73">
        <f>DATABASE_Table[[#This Row],[Current Asking price( Total)]]-DATABASE_Table[[#This Row],[Vista membership]]-DATABASE_Table[[#This Row],[FF&amp;E]]</f>
        <v>805000</v>
      </c>
      <c r="Y15" s="37"/>
      <c r="Z15" s="36"/>
      <c r="AA15" s="73">
        <f>DATABASE_Table[[#This Row],[Sell price (Total)]]-DATABASE_Table[[#This Row],[FF&amp;E]]-DATABASE_Table[[#This Row],[Vista membership]]</f>
        <v>-45000</v>
      </c>
      <c r="AB15" s="74">
        <v>45792</v>
      </c>
      <c r="AC15" s="74" t="str">
        <f t="shared" si="0"/>
        <v>Q2 2025</v>
      </c>
      <c r="AD15" s="123"/>
      <c r="AE15" s="69">
        <v>47118</v>
      </c>
      <c r="AF15" s="21" t="s">
        <v>80</v>
      </c>
      <c r="AG15" s="21" t="s">
        <v>81</v>
      </c>
      <c r="AH15" s="122" t="s">
        <v>82</v>
      </c>
      <c r="AI15" s="122" t="s">
        <v>83</v>
      </c>
      <c r="AJ15" s="122" t="s">
        <v>84</v>
      </c>
      <c r="AK15" s="122" t="s">
        <v>85</v>
      </c>
      <c r="AL15" s="21" t="s">
        <v>86</v>
      </c>
      <c r="AM15" s="122" t="s">
        <v>78</v>
      </c>
    </row>
    <row r="16" spans="1:39" customFormat="1" ht="15.75" hidden="1" customHeight="1" x14ac:dyDescent="0.3">
      <c r="A16" t="s">
        <v>78</v>
      </c>
      <c r="B16" s="21" t="s">
        <v>774</v>
      </c>
      <c r="C16" s="21" t="s">
        <v>780</v>
      </c>
      <c r="D16" s="117" t="s">
        <v>242</v>
      </c>
      <c r="E16" s="21" t="s">
        <v>79</v>
      </c>
      <c r="F16" s="21" t="s">
        <v>317</v>
      </c>
      <c r="G16" s="21">
        <v>206.23</v>
      </c>
      <c r="H16" s="21"/>
      <c r="I16" s="117" t="s">
        <v>842</v>
      </c>
      <c r="J16" s="117" t="s">
        <v>325</v>
      </c>
      <c r="K16" s="118">
        <v>23.07</v>
      </c>
      <c r="L16" s="21">
        <v>93.07</v>
      </c>
      <c r="M16" s="21"/>
      <c r="N16" s="21"/>
      <c r="O16" s="21"/>
      <c r="P16" s="21">
        <v>90.09</v>
      </c>
      <c r="Q16" s="21"/>
      <c r="R16" s="21" t="s">
        <v>328</v>
      </c>
      <c r="S16" s="119">
        <f>DATABASE_Table[[#This Row],[Inicial Asking Price (€) (Total)]]-DATABASE_Table[[#This Row],[Vista membership]]-DATABASE_Table[[#This Row],[FF&amp;E]]</f>
        <v>745000</v>
      </c>
      <c r="T16" s="120">
        <v>790000</v>
      </c>
      <c r="U16" s="36">
        <v>850000</v>
      </c>
      <c r="V16" s="21"/>
      <c r="W16" s="36">
        <v>45000</v>
      </c>
      <c r="X16" s="73">
        <f>DATABASE_Table[[#This Row],[Current Asking price( Total)]]-DATABASE_Table[[#This Row],[Vista membership]]-DATABASE_Table[[#This Row],[FF&amp;E]]</f>
        <v>805000</v>
      </c>
      <c r="Y16" s="37"/>
      <c r="Z16" s="36"/>
      <c r="AA16" s="73">
        <f>DATABASE_Table[[#This Row],[Sell price (Total)]]-DATABASE_Table[[#This Row],[FF&amp;E]]-DATABASE_Table[[#This Row],[Vista membership]]</f>
        <v>-45000</v>
      </c>
      <c r="AB16" s="74">
        <v>45792</v>
      </c>
      <c r="AC16" s="74" t="str">
        <f t="shared" si="0"/>
        <v>Q2 2025</v>
      </c>
      <c r="AD16" s="123"/>
      <c r="AE16" s="69">
        <v>47118</v>
      </c>
      <c r="AF16" s="21" t="s">
        <v>80</v>
      </c>
      <c r="AG16" s="21" t="s">
        <v>81</v>
      </c>
      <c r="AH16" s="122" t="s">
        <v>82</v>
      </c>
      <c r="AI16" s="122" t="s">
        <v>83</v>
      </c>
      <c r="AJ16" s="122" t="s">
        <v>84</v>
      </c>
      <c r="AK16" s="122" t="s">
        <v>85</v>
      </c>
      <c r="AL16" s="21" t="s">
        <v>86</v>
      </c>
      <c r="AM16" s="122" t="s">
        <v>78</v>
      </c>
    </row>
    <row r="17" spans="1:39" customFormat="1" ht="15.75" hidden="1" customHeight="1" x14ac:dyDescent="0.3">
      <c r="A17" t="s">
        <v>78</v>
      </c>
      <c r="B17" s="21" t="s">
        <v>774</v>
      </c>
      <c r="C17" s="21" t="s">
        <v>780</v>
      </c>
      <c r="D17" s="117" t="s">
        <v>109</v>
      </c>
      <c r="E17" s="21" t="s">
        <v>79</v>
      </c>
      <c r="F17" s="21" t="s">
        <v>317</v>
      </c>
      <c r="G17" s="21">
        <v>167.67</v>
      </c>
      <c r="H17" s="21"/>
      <c r="I17" s="117" t="s">
        <v>842</v>
      </c>
      <c r="J17" s="117" t="s">
        <v>325</v>
      </c>
      <c r="K17" s="118">
        <v>3.87</v>
      </c>
      <c r="L17" s="21">
        <v>50.03</v>
      </c>
      <c r="M17" s="21"/>
      <c r="N17" s="21"/>
      <c r="O17" s="21"/>
      <c r="P17" s="21">
        <v>113.77</v>
      </c>
      <c r="Q17" s="21"/>
      <c r="R17" s="21" t="s">
        <v>329</v>
      </c>
      <c r="S17" s="119">
        <f>DATABASE_Table[[#This Row],[Inicial Asking Price (€) (Total)]]-DATABASE_Table[[#This Row],[Vista membership]]-DATABASE_Table[[#This Row],[FF&amp;E]]</f>
        <v>780000</v>
      </c>
      <c r="T17" s="120">
        <v>825000</v>
      </c>
      <c r="U17" s="36">
        <v>850000</v>
      </c>
      <c r="V17" s="21"/>
      <c r="W17" s="36">
        <v>45000</v>
      </c>
      <c r="X17" s="73">
        <f>DATABASE_Table[[#This Row],[Current Asking price( Total)]]-DATABASE_Table[[#This Row],[Vista membership]]-DATABASE_Table[[#This Row],[FF&amp;E]]</f>
        <v>805000</v>
      </c>
      <c r="Y17" s="37"/>
      <c r="Z17" s="36"/>
      <c r="AA17" s="73">
        <f>DATABASE_Table[[#This Row],[Sell price (Total)]]-DATABASE_Table[[#This Row],[FF&amp;E]]-DATABASE_Table[[#This Row],[Vista membership]]</f>
        <v>-45000</v>
      </c>
      <c r="AB17" s="74">
        <v>45792</v>
      </c>
      <c r="AC17" s="74" t="str">
        <f t="shared" si="0"/>
        <v>Q2 2025</v>
      </c>
      <c r="AD17" s="123"/>
      <c r="AE17" s="69">
        <v>47118</v>
      </c>
      <c r="AF17" s="21" t="s">
        <v>80</v>
      </c>
      <c r="AG17" s="21" t="s">
        <v>81</v>
      </c>
      <c r="AH17" s="122" t="s">
        <v>82</v>
      </c>
      <c r="AI17" s="122" t="s">
        <v>83</v>
      </c>
      <c r="AJ17" s="122" t="s">
        <v>84</v>
      </c>
      <c r="AK17" s="122" t="s">
        <v>85</v>
      </c>
      <c r="AL17" s="21" t="s">
        <v>86</v>
      </c>
      <c r="AM17" s="122" t="s">
        <v>78</v>
      </c>
    </row>
    <row r="18" spans="1:39" customFormat="1" ht="15.75" hidden="1" customHeight="1" x14ac:dyDescent="0.3">
      <c r="A18" t="s">
        <v>78</v>
      </c>
      <c r="B18" s="21" t="s">
        <v>774</v>
      </c>
      <c r="C18" s="21" t="s">
        <v>780</v>
      </c>
      <c r="D18" s="117" t="s">
        <v>244</v>
      </c>
      <c r="E18" s="21" t="s">
        <v>79</v>
      </c>
      <c r="F18" s="21" t="s">
        <v>318</v>
      </c>
      <c r="G18" s="21">
        <v>314.93</v>
      </c>
      <c r="H18" s="21"/>
      <c r="I18" s="117" t="s">
        <v>843</v>
      </c>
      <c r="J18" s="117" t="s">
        <v>842</v>
      </c>
      <c r="K18" s="118">
        <v>6.02</v>
      </c>
      <c r="L18" s="21">
        <v>168.31</v>
      </c>
      <c r="M18" s="21"/>
      <c r="N18" s="21"/>
      <c r="O18" s="21"/>
      <c r="P18" s="21">
        <v>140.6</v>
      </c>
      <c r="Q18" s="21"/>
      <c r="R18" s="21" t="s">
        <v>329</v>
      </c>
      <c r="S18" s="119">
        <f>DATABASE_Table[[#This Row],[Inicial Asking Price (€) (Total)]]-DATABASE_Table[[#This Row],[Vista membership]]-DATABASE_Table[[#This Row],[FF&amp;E]]</f>
        <v>1170000</v>
      </c>
      <c r="T18" s="120">
        <v>1220000</v>
      </c>
      <c r="U18" s="36">
        <v>1220000</v>
      </c>
      <c r="V18" s="21"/>
      <c r="W18" s="36">
        <v>50000</v>
      </c>
      <c r="X18" s="73">
        <f>DATABASE_Table[[#This Row],[Current Asking price( Total)]]-DATABASE_Table[[#This Row],[Vista membership]]-DATABASE_Table[[#This Row],[FF&amp;E]]</f>
        <v>1170000</v>
      </c>
      <c r="Y18" s="37"/>
      <c r="Z18" s="36"/>
      <c r="AA18" s="73">
        <f>DATABASE_Table[[#This Row],[Sell price (Total)]]-DATABASE_Table[[#This Row],[FF&amp;E]]-DATABASE_Table[[#This Row],[Vista membership]]</f>
        <v>-50000</v>
      </c>
      <c r="AB18" s="74">
        <v>45792</v>
      </c>
      <c r="AC18" s="74" t="str">
        <f t="shared" si="0"/>
        <v>Q2 2025</v>
      </c>
      <c r="AD18" s="123"/>
      <c r="AE18" s="69">
        <v>47118</v>
      </c>
      <c r="AF18" s="21" t="s">
        <v>80</v>
      </c>
      <c r="AG18" s="21" t="s">
        <v>81</v>
      </c>
      <c r="AH18" s="122" t="s">
        <v>82</v>
      </c>
      <c r="AI18" s="122" t="s">
        <v>83</v>
      </c>
      <c r="AJ18" s="122" t="s">
        <v>84</v>
      </c>
      <c r="AK18" s="122" t="s">
        <v>85</v>
      </c>
      <c r="AL18" s="21" t="s">
        <v>86</v>
      </c>
      <c r="AM18" s="122" t="s">
        <v>78</v>
      </c>
    </row>
    <row r="19" spans="1:39" customFormat="1" ht="15.75" hidden="1" customHeight="1" x14ac:dyDescent="0.3">
      <c r="A19" t="s">
        <v>78</v>
      </c>
      <c r="B19" s="21" t="s">
        <v>774</v>
      </c>
      <c r="C19" s="21" t="s">
        <v>780</v>
      </c>
      <c r="D19" s="117" t="s">
        <v>245</v>
      </c>
      <c r="E19" s="21" t="s">
        <v>79</v>
      </c>
      <c r="F19" s="21" t="s">
        <v>317</v>
      </c>
      <c r="G19" s="21">
        <v>261.39</v>
      </c>
      <c r="H19" s="21"/>
      <c r="I19" s="117" t="s">
        <v>842</v>
      </c>
      <c r="J19" s="117" t="s">
        <v>325</v>
      </c>
      <c r="K19" s="118">
        <v>3.87</v>
      </c>
      <c r="L19" s="21">
        <v>145.04</v>
      </c>
      <c r="M19" s="21"/>
      <c r="N19" s="21"/>
      <c r="O19" s="21"/>
      <c r="P19" s="21">
        <v>112.48</v>
      </c>
      <c r="Q19" s="21"/>
      <c r="R19" s="21" t="s">
        <v>328</v>
      </c>
      <c r="S19" s="119">
        <f>DATABASE_Table[[#This Row],[Inicial Asking Price (€) (Total)]]-DATABASE_Table[[#This Row],[Vista membership]]-DATABASE_Table[[#This Row],[FF&amp;E]]</f>
        <v>840000</v>
      </c>
      <c r="T19" s="120">
        <v>885000</v>
      </c>
      <c r="U19" s="36">
        <v>910000</v>
      </c>
      <c r="V19" s="21"/>
      <c r="W19" s="36">
        <v>45000</v>
      </c>
      <c r="X19" s="73">
        <f>DATABASE_Table[[#This Row],[Current Asking price( Total)]]-DATABASE_Table[[#This Row],[Vista membership]]-DATABASE_Table[[#This Row],[FF&amp;E]]</f>
        <v>865000</v>
      </c>
      <c r="Y19" s="37"/>
      <c r="Z19" s="36"/>
      <c r="AA19" s="73">
        <f>DATABASE_Table[[#This Row],[Sell price (Total)]]-DATABASE_Table[[#This Row],[FF&amp;E]]-DATABASE_Table[[#This Row],[Vista membership]]</f>
        <v>-45000</v>
      </c>
      <c r="AB19" s="74">
        <v>45792</v>
      </c>
      <c r="AC19" s="74" t="str">
        <f t="shared" si="0"/>
        <v>Q2 2025</v>
      </c>
      <c r="AD19" s="123"/>
      <c r="AE19" s="69">
        <v>47118</v>
      </c>
      <c r="AF19" s="21" t="s">
        <v>80</v>
      </c>
      <c r="AG19" s="21" t="s">
        <v>81</v>
      </c>
      <c r="AH19" s="122" t="s">
        <v>82</v>
      </c>
      <c r="AI19" s="122" t="s">
        <v>83</v>
      </c>
      <c r="AJ19" s="122" t="s">
        <v>84</v>
      </c>
      <c r="AK19" s="122" t="s">
        <v>85</v>
      </c>
      <c r="AL19" s="21" t="s">
        <v>86</v>
      </c>
      <c r="AM19" s="122" t="s">
        <v>78</v>
      </c>
    </row>
    <row r="20" spans="1:39" customFormat="1" ht="15.75" hidden="1" customHeight="1" x14ac:dyDescent="0.3">
      <c r="A20" t="s">
        <v>78</v>
      </c>
      <c r="B20" s="21" t="s">
        <v>774</v>
      </c>
      <c r="C20" s="21" t="s">
        <v>780</v>
      </c>
      <c r="D20" s="117" t="s">
        <v>246</v>
      </c>
      <c r="E20" s="21" t="s">
        <v>79</v>
      </c>
      <c r="F20" s="21" t="s">
        <v>318</v>
      </c>
      <c r="G20" s="21">
        <v>331.7</v>
      </c>
      <c r="H20" s="21"/>
      <c r="I20" s="117" t="s">
        <v>843</v>
      </c>
      <c r="J20" s="117" t="s">
        <v>842</v>
      </c>
      <c r="K20" s="118">
        <v>6.02</v>
      </c>
      <c r="L20" s="21">
        <v>185.07</v>
      </c>
      <c r="M20" s="21"/>
      <c r="N20" s="21"/>
      <c r="O20" s="21"/>
      <c r="P20" s="21">
        <v>140.61000000000001</v>
      </c>
      <c r="Q20" s="21"/>
      <c r="R20" s="21" t="s">
        <v>328</v>
      </c>
      <c r="S20" s="119">
        <f>DATABASE_Table[[#This Row],[Inicial Asking Price (€) (Total)]]-DATABASE_Table[[#This Row],[Vista membership]]-DATABASE_Table[[#This Row],[FF&amp;E]]</f>
        <v>1180000</v>
      </c>
      <c r="T20" s="120">
        <v>1230000</v>
      </c>
      <c r="U20" s="36">
        <v>1280000</v>
      </c>
      <c r="V20" s="21"/>
      <c r="W20" s="36">
        <v>50000</v>
      </c>
      <c r="X20" s="73">
        <f>DATABASE_Table[[#This Row],[Current Asking price( Total)]]-DATABASE_Table[[#This Row],[Vista membership]]-DATABASE_Table[[#This Row],[FF&amp;E]]</f>
        <v>1230000</v>
      </c>
      <c r="Y20" s="37"/>
      <c r="Z20" s="36"/>
      <c r="AA20" s="73">
        <f>DATABASE_Table[[#This Row],[Sell price (Total)]]-DATABASE_Table[[#This Row],[FF&amp;E]]-DATABASE_Table[[#This Row],[Vista membership]]</f>
        <v>-50000</v>
      </c>
      <c r="AB20" s="74">
        <v>45792</v>
      </c>
      <c r="AC20" s="74" t="str">
        <f t="shared" si="0"/>
        <v>Q2 2025</v>
      </c>
      <c r="AD20" s="123"/>
      <c r="AE20" s="69">
        <v>47118</v>
      </c>
      <c r="AF20" s="21" t="s">
        <v>80</v>
      </c>
      <c r="AG20" s="21" t="s">
        <v>81</v>
      </c>
      <c r="AH20" s="122" t="s">
        <v>82</v>
      </c>
      <c r="AI20" s="122" t="s">
        <v>83</v>
      </c>
      <c r="AJ20" s="122" t="s">
        <v>84</v>
      </c>
      <c r="AK20" s="122" t="s">
        <v>85</v>
      </c>
      <c r="AL20" s="21" t="s">
        <v>86</v>
      </c>
      <c r="AM20" s="122" t="s">
        <v>78</v>
      </c>
    </row>
    <row r="21" spans="1:39" customFormat="1" ht="15.75" hidden="1" customHeight="1" x14ac:dyDescent="0.3">
      <c r="A21" t="s">
        <v>78</v>
      </c>
      <c r="B21" s="21" t="s">
        <v>774</v>
      </c>
      <c r="C21" s="21" t="s">
        <v>780</v>
      </c>
      <c r="D21" s="117" t="s">
        <v>247</v>
      </c>
      <c r="E21" s="21" t="s">
        <v>79</v>
      </c>
      <c r="F21" s="21" t="s">
        <v>317</v>
      </c>
      <c r="G21" s="21">
        <v>263.27999999999997</v>
      </c>
      <c r="H21" s="21"/>
      <c r="I21" s="117" t="s">
        <v>842</v>
      </c>
      <c r="J21" s="117" t="s">
        <v>325</v>
      </c>
      <c r="K21" s="118">
        <v>3.87</v>
      </c>
      <c r="L21" s="21">
        <v>146.97999999999999</v>
      </c>
      <c r="M21" s="21"/>
      <c r="N21" s="21"/>
      <c r="O21" s="21"/>
      <c r="P21" s="21">
        <v>112.43</v>
      </c>
      <c r="Q21" s="21"/>
      <c r="R21" s="21" t="s">
        <v>328</v>
      </c>
      <c r="S21" s="119">
        <f>DATABASE_Table[[#This Row],[Inicial Asking Price (€) (Total)]]-DATABASE_Table[[#This Row],[Vista membership]]-DATABASE_Table[[#This Row],[FF&amp;E]]</f>
        <v>840000</v>
      </c>
      <c r="T21" s="120">
        <v>885000</v>
      </c>
      <c r="U21" s="36">
        <v>910000</v>
      </c>
      <c r="V21" s="21"/>
      <c r="W21" s="36">
        <v>45000</v>
      </c>
      <c r="X21" s="73">
        <f>DATABASE_Table[[#This Row],[Current Asking price( Total)]]-DATABASE_Table[[#This Row],[Vista membership]]-DATABASE_Table[[#This Row],[FF&amp;E]]</f>
        <v>865000</v>
      </c>
      <c r="Y21" s="37"/>
      <c r="Z21" s="36"/>
      <c r="AA21" s="73">
        <f>DATABASE_Table[[#This Row],[Sell price (Total)]]-DATABASE_Table[[#This Row],[FF&amp;E]]-DATABASE_Table[[#This Row],[Vista membership]]</f>
        <v>-45000</v>
      </c>
      <c r="AB21" s="74">
        <v>45792</v>
      </c>
      <c r="AC21" s="74" t="str">
        <f t="shared" si="0"/>
        <v>Q2 2025</v>
      </c>
      <c r="AD21" s="123"/>
      <c r="AE21" s="69">
        <v>47118</v>
      </c>
      <c r="AF21" s="21" t="s">
        <v>80</v>
      </c>
      <c r="AG21" s="21" t="s">
        <v>81</v>
      </c>
      <c r="AH21" s="122" t="s">
        <v>82</v>
      </c>
      <c r="AI21" s="122" t="s">
        <v>83</v>
      </c>
      <c r="AJ21" s="122" t="s">
        <v>84</v>
      </c>
      <c r="AK21" s="122" t="s">
        <v>85</v>
      </c>
      <c r="AL21" s="21" t="s">
        <v>86</v>
      </c>
      <c r="AM21" s="122" t="s">
        <v>78</v>
      </c>
    </row>
    <row r="22" spans="1:39" customFormat="1" ht="15.75" hidden="1" customHeight="1" x14ac:dyDescent="0.3">
      <c r="A22" t="s">
        <v>78</v>
      </c>
      <c r="B22" s="21" t="s">
        <v>774</v>
      </c>
      <c r="C22" s="21" t="s">
        <v>780</v>
      </c>
      <c r="D22" s="117" t="s">
        <v>248</v>
      </c>
      <c r="E22" s="21" t="s">
        <v>79</v>
      </c>
      <c r="F22" s="21" t="s">
        <v>318</v>
      </c>
      <c r="G22" s="21">
        <v>345.41</v>
      </c>
      <c r="H22" s="21"/>
      <c r="I22" s="117" t="s">
        <v>843</v>
      </c>
      <c r="J22" s="117" t="s">
        <v>842</v>
      </c>
      <c r="K22" s="118">
        <v>6.02</v>
      </c>
      <c r="L22" s="21">
        <v>197.51</v>
      </c>
      <c r="M22" s="21"/>
      <c r="N22" s="21"/>
      <c r="O22" s="21"/>
      <c r="P22" s="21">
        <v>141.88</v>
      </c>
      <c r="Q22" s="21"/>
      <c r="R22" s="21" t="s">
        <v>329</v>
      </c>
      <c r="S22" s="119">
        <f>DATABASE_Table[[#This Row],[Inicial Asking Price (€) (Total)]]-DATABASE_Table[[#This Row],[Vista membership]]-DATABASE_Table[[#This Row],[FF&amp;E]]</f>
        <v>1200000</v>
      </c>
      <c r="T22" s="120">
        <v>1250000</v>
      </c>
      <c r="U22" s="36">
        <v>1250000</v>
      </c>
      <c r="V22" s="21"/>
      <c r="W22" s="36">
        <v>50000</v>
      </c>
      <c r="X22" s="73">
        <f>DATABASE_Table[[#This Row],[Current Asking price( Total)]]-DATABASE_Table[[#This Row],[Vista membership]]-DATABASE_Table[[#This Row],[FF&amp;E]]</f>
        <v>1200000</v>
      </c>
      <c r="Y22" s="37"/>
      <c r="Z22" s="36"/>
      <c r="AA22" s="73">
        <f>DATABASE_Table[[#This Row],[Sell price (Total)]]-DATABASE_Table[[#This Row],[FF&amp;E]]-DATABASE_Table[[#This Row],[Vista membership]]</f>
        <v>-50000</v>
      </c>
      <c r="AB22" s="74">
        <v>45792</v>
      </c>
      <c r="AC22" s="74" t="str">
        <f t="shared" si="0"/>
        <v>Q2 2025</v>
      </c>
      <c r="AD22" s="123"/>
      <c r="AE22" s="69">
        <v>47118</v>
      </c>
      <c r="AF22" s="21" t="s">
        <v>80</v>
      </c>
      <c r="AG22" s="21" t="s">
        <v>81</v>
      </c>
      <c r="AH22" s="122" t="s">
        <v>82</v>
      </c>
      <c r="AI22" s="122" t="s">
        <v>83</v>
      </c>
      <c r="AJ22" s="122" t="s">
        <v>84</v>
      </c>
      <c r="AK22" s="122" t="s">
        <v>85</v>
      </c>
      <c r="AL22" s="21" t="s">
        <v>86</v>
      </c>
      <c r="AM22" s="122" t="s">
        <v>78</v>
      </c>
    </row>
    <row r="23" spans="1:39" customFormat="1" ht="15.75" hidden="1" customHeight="1" x14ac:dyDescent="0.3">
      <c r="A23" t="s">
        <v>78</v>
      </c>
      <c r="B23" s="21" t="s">
        <v>774</v>
      </c>
      <c r="C23" s="21" t="s">
        <v>780</v>
      </c>
      <c r="D23" s="117" t="s">
        <v>249</v>
      </c>
      <c r="E23" s="21" t="s">
        <v>79</v>
      </c>
      <c r="F23" s="21" t="s">
        <v>317</v>
      </c>
      <c r="G23" s="21">
        <v>256.23</v>
      </c>
      <c r="H23" s="21"/>
      <c r="I23" s="117" t="s">
        <v>842</v>
      </c>
      <c r="J23" s="117" t="s">
        <v>325</v>
      </c>
      <c r="K23" s="118">
        <v>3.87</v>
      </c>
      <c r="L23" s="21">
        <v>138.54</v>
      </c>
      <c r="M23" s="21"/>
      <c r="N23" s="21"/>
      <c r="O23" s="21"/>
      <c r="P23" s="21">
        <v>113.82</v>
      </c>
      <c r="Q23" s="21"/>
      <c r="R23" s="21" t="s">
        <v>328</v>
      </c>
      <c r="S23" s="119">
        <f>DATABASE_Table[[#This Row],[Inicial Asking Price (€) (Total)]]-DATABASE_Table[[#This Row],[Vista membership]]-DATABASE_Table[[#This Row],[FF&amp;E]]</f>
        <v>845000</v>
      </c>
      <c r="T23" s="120">
        <v>890000</v>
      </c>
      <c r="U23" s="36">
        <v>915000</v>
      </c>
      <c r="V23" s="21"/>
      <c r="W23" s="36">
        <v>45000</v>
      </c>
      <c r="X23" s="73">
        <f>DATABASE_Table[[#This Row],[Current Asking price( Total)]]-DATABASE_Table[[#This Row],[Vista membership]]-DATABASE_Table[[#This Row],[FF&amp;E]]</f>
        <v>870000</v>
      </c>
      <c r="Y23" s="37"/>
      <c r="Z23" s="36"/>
      <c r="AA23" s="73">
        <f>DATABASE_Table[[#This Row],[Sell price (Total)]]-DATABASE_Table[[#This Row],[FF&amp;E]]-DATABASE_Table[[#This Row],[Vista membership]]</f>
        <v>-45000</v>
      </c>
      <c r="AB23" s="74">
        <v>45792</v>
      </c>
      <c r="AC23" s="74" t="str">
        <f t="shared" si="0"/>
        <v>Q2 2025</v>
      </c>
      <c r="AD23" s="123"/>
      <c r="AE23" s="69">
        <v>47118</v>
      </c>
      <c r="AF23" s="21" t="s">
        <v>80</v>
      </c>
      <c r="AG23" s="21" t="s">
        <v>81</v>
      </c>
      <c r="AH23" s="122" t="s">
        <v>82</v>
      </c>
      <c r="AI23" s="122" t="s">
        <v>83</v>
      </c>
      <c r="AJ23" s="122" t="s">
        <v>84</v>
      </c>
      <c r="AK23" s="122" t="s">
        <v>85</v>
      </c>
      <c r="AL23" s="21" t="s">
        <v>86</v>
      </c>
      <c r="AM23" s="122" t="s">
        <v>78</v>
      </c>
    </row>
    <row r="24" spans="1:39" customFormat="1" ht="15.75" hidden="1" customHeight="1" x14ac:dyDescent="0.3">
      <c r="A24" t="s">
        <v>78</v>
      </c>
      <c r="B24" s="21" t="s">
        <v>774</v>
      </c>
      <c r="C24" s="21" t="s">
        <v>780</v>
      </c>
      <c r="D24" s="117" t="s">
        <v>250</v>
      </c>
      <c r="E24" s="21" t="s">
        <v>79</v>
      </c>
      <c r="F24" s="21" t="s">
        <v>317</v>
      </c>
      <c r="G24" s="21">
        <v>255.5</v>
      </c>
      <c r="H24" s="21"/>
      <c r="I24" s="117" t="s">
        <v>842</v>
      </c>
      <c r="J24" s="117" t="s">
        <v>325</v>
      </c>
      <c r="K24" s="118">
        <v>3.87</v>
      </c>
      <c r="L24" s="21">
        <v>139.6</v>
      </c>
      <c r="M24" s="21"/>
      <c r="N24" s="21"/>
      <c r="O24" s="21"/>
      <c r="P24" s="21">
        <v>112.03</v>
      </c>
      <c r="Q24" s="21"/>
      <c r="R24" s="21" t="s">
        <v>328</v>
      </c>
      <c r="S24" s="119">
        <f>DATABASE_Table[[#This Row],[Inicial Asking Price (€) (Total)]]-DATABASE_Table[[#This Row],[Vista membership]]-DATABASE_Table[[#This Row],[FF&amp;E]]</f>
        <v>830000</v>
      </c>
      <c r="T24" s="120">
        <v>875000</v>
      </c>
      <c r="U24" s="36">
        <v>900000</v>
      </c>
      <c r="V24" s="21"/>
      <c r="W24" s="36">
        <v>45000</v>
      </c>
      <c r="X24" s="73">
        <f>DATABASE_Table[[#This Row],[Current Asking price( Total)]]-DATABASE_Table[[#This Row],[Vista membership]]-DATABASE_Table[[#This Row],[FF&amp;E]]</f>
        <v>855000</v>
      </c>
      <c r="Y24" s="37"/>
      <c r="Z24" s="36"/>
      <c r="AA24" s="73">
        <f>DATABASE_Table[[#This Row],[Sell price (Total)]]-DATABASE_Table[[#This Row],[FF&amp;E]]-DATABASE_Table[[#This Row],[Vista membership]]</f>
        <v>-45000</v>
      </c>
      <c r="AB24" s="74">
        <v>45792</v>
      </c>
      <c r="AC24" s="74" t="str">
        <f t="shared" si="0"/>
        <v>Q2 2025</v>
      </c>
      <c r="AD24" s="123"/>
      <c r="AE24" s="69">
        <v>47118</v>
      </c>
      <c r="AF24" s="21" t="s">
        <v>80</v>
      </c>
      <c r="AG24" s="21" t="s">
        <v>81</v>
      </c>
      <c r="AH24" s="122" t="s">
        <v>82</v>
      </c>
      <c r="AI24" s="122" t="s">
        <v>83</v>
      </c>
      <c r="AJ24" s="122" t="s">
        <v>84</v>
      </c>
      <c r="AK24" s="122" t="s">
        <v>85</v>
      </c>
      <c r="AL24" s="21" t="s">
        <v>86</v>
      </c>
      <c r="AM24" s="122" t="s">
        <v>78</v>
      </c>
    </row>
    <row r="25" spans="1:39" customFormat="1" ht="15.75" hidden="1" customHeight="1" x14ac:dyDescent="0.3">
      <c r="A25" t="s">
        <v>78</v>
      </c>
      <c r="B25" s="21" t="s">
        <v>774</v>
      </c>
      <c r="C25" s="21" t="s">
        <v>780</v>
      </c>
      <c r="D25" s="117" t="s">
        <v>145</v>
      </c>
      <c r="E25" s="21" t="s">
        <v>79</v>
      </c>
      <c r="F25" s="21" t="s">
        <v>317</v>
      </c>
      <c r="G25" s="21">
        <v>114.6</v>
      </c>
      <c r="H25" s="21"/>
      <c r="I25" s="117" t="s">
        <v>842</v>
      </c>
      <c r="J25" s="117" t="s">
        <v>325</v>
      </c>
      <c r="K25" s="118">
        <v>22.32</v>
      </c>
      <c r="L25" s="21"/>
      <c r="M25" s="21"/>
      <c r="N25" s="21"/>
      <c r="O25" s="21"/>
      <c r="P25" s="21">
        <v>92.28</v>
      </c>
      <c r="Q25" s="21"/>
      <c r="R25" s="21" t="s">
        <v>328</v>
      </c>
      <c r="S25" s="119">
        <f>DATABASE_Table[[#This Row],[Inicial Asking Price (€) (Total)]]-DATABASE_Table[[#This Row],[Vista membership]]-DATABASE_Table[[#This Row],[FF&amp;E]]</f>
        <v>720000</v>
      </c>
      <c r="T25" s="120">
        <v>765000</v>
      </c>
      <c r="U25" s="36">
        <v>765000</v>
      </c>
      <c r="V25" s="21"/>
      <c r="W25" s="36">
        <v>45000</v>
      </c>
      <c r="X25" s="73">
        <f>DATABASE_Table[[#This Row],[Current Asking price( Total)]]-DATABASE_Table[[#This Row],[Vista membership]]-DATABASE_Table[[#This Row],[FF&amp;E]]</f>
        <v>720000</v>
      </c>
      <c r="Y25" s="37"/>
      <c r="Z25" s="36"/>
      <c r="AA25" s="73">
        <f>DATABASE_Table[[#This Row],[Sell price (Total)]]-DATABASE_Table[[#This Row],[FF&amp;E]]-DATABASE_Table[[#This Row],[Vista membership]]</f>
        <v>-45000</v>
      </c>
      <c r="AB25" s="74">
        <v>45792</v>
      </c>
      <c r="AC25" s="74" t="str">
        <f t="shared" si="0"/>
        <v>Q2 2025</v>
      </c>
      <c r="AD25" s="123"/>
      <c r="AE25" s="69">
        <v>47118</v>
      </c>
      <c r="AF25" s="21" t="s">
        <v>80</v>
      </c>
      <c r="AG25" s="21" t="s">
        <v>81</v>
      </c>
      <c r="AH25" s="122" t="s">
        <v>82</v>
      </c>
      <c r="AI25" s="122" t="s">
        <v>83</v>
      </c>
      <c r="AJ25" s="122" t="s">
        <v>84</v>
      </c>
      <c r="AK25" s="122" t="s">
        <v>85</v>
      </c>
      <c r="AL25" s="21" t="s">
        <v>86</v>
      </c>
      <c r="AM25" s="122" t="s">
        <v>78</v>
      </c>
    </row>
    <row r="26" spans="1:39" customFormat="1" ht="15.75" hidden="1" customHeight="1" x14ac:dyDescent="0.3">
      <c r="A26" t="s">
        <v>78</v>
      </c>
      <c r="B26" s="21" t="s">
        <v>774</v>
      </c>
      <c r="C26" s="21" t="s">
        <v>780</v>
      </c>
      <c r="D26" s="117" t="s">
        <v>252</v>
      </c>
      <c r="E26" s="21" t="s">
        <v>79</v>
      </c>
      <c r="F26" s="21" t="s">
        <v>317</v>
      </c>
      <c r="G26" s="21">
        <v>113.12</v>
      </c>
      <c r="H26" s="21"/>
      <c r="I26" s="117" t="s">
        <v>842</v>
      </c>
      <c r="J26" s="117" t="s">
        <v>325</v>
      </c>
      <c r="K26" s="118">
        <v>22.03</v>
      </c>
      <c r="L26" s="21"/>
      <c r="M26" s="21"/>
      <c r="N26" s="21"/>
      <c r="O26" s="21"/>
      <c r="P26" s="21">
        <v>91.09</v>
      </c>
      <c r="Q26" s="21"/>
      <c r="R26" s="21" t="s">
        <v>328</v>
      </c>
      <c r="S26" s="119">
        <f>DATABASE_Table[[#This Row],[Inicial Asking Price (€) (Total)]]-DATABASE_Table[[#This Row],[Vista membership]]-DATABASE_Table[[#This Row],[FF&amp;E]]</f>
        <v>710000</v>
      </c>
      <c r="T26" s="120">
        <v>755000</v>
      </c>
      <c r="U26" s="36">
        <v>755000</v>
      </c>
      <c r="V26" s="21"/>
      <c r="W26" s="36">
        <v>45000</v>
      </c>
      <c r="X26" s="73">
        <f>DATABASE_Table[[#This Row],[Current Asking price( Total)]]-DATABASE_Table[[#This Row],[Vista membership]]-DATABASE_Table[[#This Row],[FF&amp;E]]</f>
        <v>710000</v>
      </c>
      <c r="Y26" s="37"/>
      <c r="Z26" s="36"/>
      <c r="AA26" s="73">
        <f>DATABASE_Table[[#This Row],[Sell price (Total)]]-DATABASE_Table[[#This Row],[FF&amp;E]]-DATABASE_Table[[#This Row],[Vista membership]]</f>
        <v>-45000</v>
      </c>
      <c r="AB26" s="74">
        <v>45792</v>
      </c>
      <c r="AC26" s="74" t="str">
        <f t="shared" si="0"/>
        <v>Q2 2025</v>
      </c>
      <c r="AD26" s="123"/>
      <c r="AE26" s="69">
        <v>47118</v>
      </c>
      <c r="AF26" s="21" t="s">
        <v>80</v>
      </c>
      <c r="AG26" s="21" t="s">
        <v>81</v>
      </c>
      <c r="AH26" s="122" t="s">
        <v>82</v>
      </c>
      <c r="AI26" s="122" t="s">
        <v>83</v>
      </c>
      <c r="AJ26" s="122" t="s">
        <v>84</v>
      </c>
      <c r="AK26" s="122" t="s">
        <v>85</v>
      </c>
      <c r="AL26" s="21" t="s">
        <v>86</v>
      </c>
      <c r="AM26" s="122" t="s">
        <v>78</v>
      </c>
    </row>
    <row r="27" spans="1:39" customFormat="1" ht="15.75" hidden="1" customHeight="1" x14ac:dyDescent="0.3">
      <c r="A27" t="s">
        <v>78</v>
      </c>
      <c r="B27" s="21" t="s">
        <v>774</v>
      </c>
      <c r="C27" s="21" t="s">
        <v>780</v>
      </c>
      <c r="D27" s="117" t="s">
        <v>253</v>
      </c>
      <c r="E27" s="21" t="s">
        <v>79</v>
      </c>
      <c r="F27" s="21" t="s">
        <v>317</v>
      </c>
      <c r="G27" s="21">
        <v>114.55</v>
      </c>
      <c r="H27" s="21"/>
      <c r="I27" s="117" t="s">
        <v>842</v>
      </c>
      <c r="J27" s="117" t="s">
        <v>325</v>
      </c>
      <c r="K27" s="118">
        <v>22.25</v>
      </c>
      <c r="L27" s="21"/>
      <c r="M27" s="21"/>
      <c r="N27" s="21"/>
      <c r="O27" s="21"/>
      <c r="P27" s="21">
        <v>92.3</v>
      </c>
      <c r="Q27" s="21"/>
      <c r="R27" s="21" t="s">
        <v>328</v>
      </c>
      <c r="S27" s="119">
        <f>DATABASE_Table[[#This Row],[Inicial Asking Price (€) (Total)]]-DATABASE_Table[[#This Row],[Vista membership]]-DATABASE_Table[[#This Row],[FF&amp;E]]</f>
        <v>720000</v>
      </c>
      <c r="T27" s="120">
        <v>765000</v>
      </c>
      <c r="U27" s="36">
        <v>755000</v>
      </c>
      <c r="V27" s="21"/>
      <c r="W27" s="36">
        <v>45000</v>
      </c>
      <c r="X27" s="73">
        <f>DATABASE_Table[[#This Row],[Current Asking price( Total)]]-DATABASE_Table[[#This Row],[Vista membership]]-DATABASE_Table[[#This Row],[FF&amp;E]]</f>
        <v>710000</v>
      </c>
      <c r="Y27" s="37"/>
      <c r="Z27" s="36"/>
      <c r="AA27" s="73">
        <f>DATABASE_Table[[#This Row],[Sell price (Total)]]-DATABASE_Table[[#This Row],[FF&amp;E]]-DATABASE_Table[[#This Row],[Vista membership]]</f>
        <v>-45000</v>
      </c>
      <c r="AB27" s="74">
        <v>45792</v>
      </c>
      <c r="AC27" s="74" t="str">
        <f t="shared" si="0"/>
        <v>Q2 2025</v>
      </c>
      <c r="AD27" s="123"/>
      <c r="AE27" s="69">
        <v>47118</v>
      </c>
      <c r="AF27" s="21" t="s">
        <v>80</v>
      </c>
      <c r="AG27" s="21" t="s">
        <v>81</v>
      </c>
      <c r="AH27" s="122" t="s">
        <v>82</v>
      </c>
      <c r="AI27" s="122" t="s">
        <v>83</v>
      </c>
      <c r="AJ27" s="122" t="s">
        <v>84</v>
      </c>
      <c r="AK27" s="122" t="s">
        <v>85</v>
      </c>
      <c r="AL27" s="21" t="s">
        <v>86</v>
      </c>
      <c r="AM27" s="122" t="s">
        <v>78</v>
      </c>
    </row>
    <row r="28" spans="1:39" customFormat="1" ht="15.75" hidden="1" customHeight="1" x14ac:dyDescent="0.3">
      <c r="A28" t="s">
        <v>78</v>
      </c>
      <c r="B28" s="21" t="s">
        <v>774</v>
      </c>
      <c r="C28" s="21" t="s">
        <v>780</v>
      </c>
      <c r="D28" s="117" t="s">
        <v>255</v>
      </c>
      <c r="E28" s="21" t="s">
        <v>79</v>
      </c>
      <c r="F28" s="21" t="s">
        <v>317</v>
      </c>
      <c r="G28" s="21">
        <v>113.23</v>
      </c>
      <c r="H28" s="21"/>
      <c r="I28" s="117" t="s">
        <v>842</v>
      </c>
      <c r="J28" s="117" t="s">
        <v>325</v>
      </c>
      <c r="K28" s="118">
        <v>22.01</v>
      </c>
      <c r="L28" s="21"/>
      <c r="M28" s="21"/>
      <c r="N28" s="21"/>
      <c r="O28" s="21"/>
      <c r="P28" s="21">
        <v>91.22</v>
      </c>
      <c r="Q28" s="21"/>
      <c r="R28" s="21" t="s">
        <v>329</v>
      </c>
      <c r="S28" s="119">
        <f>DATABASE_Table[[#This Row],[Inicial Asking Price (€) (Total)]]-DATABASE_Table[[#This Row],[Vista membership]]-DATABASE_Table[[#This Row],[FF&amp;E]]</f>
        <v>710000</v>
      </c>
      <c r="T28" s="120">
        <v>755000</v>
      </c>
      <c r="U28" s="36">
        <v>755000</v>
      </c>
      <c r="V28" s="21"/>
      <c r="W28" s="36">
        <v>45000</v>
      </c>
      <c r="X28" s="73">
        <f>DATABASE_Table[[#This Row],[Current Asking price( Total)]]-DATABASE_Table[[#This Row],[Vista membership]]-DATABASE_Table[[#This Row],[FF&amp;E]]</f>
        <v>710000</v>
      </c>
      <c r="Y28" s="37"/>
      <c r="Z28" s="36"/>
      <c r="AA28" s="73">
        <f>DATABASE_Table[[#This Row],[Sell price (Total)]]-DATABASE_Table[[#This Row],[FF&amp;E]]-DATABASE_Table[[#This Row],[Vista membership]]</f>
        <v>-45000</v>
      </c>
      <c r="AB28" s="74">
        <v>45792</v>
      </c>
      <c r="AC28" s="74" t="str">
        <f t="shared" si="0"/>
        <v>Q2 2025</v>
      </c>
      <c r="AD28" s="123"/>
      <c r="AE28" s="69">
        <v>47118</v>
      </c>
      <c r="AF28" s="21" t="s">
        <v>80</v>
      </c>
      <c r="AG28" s="21" t="s">
        <v>81</v>
      </c>
      <c r="AH28" s="122" t="s">
        <v>82</v>
      </c>
      <c r="AI28" s="122" t="s">
        <v>83</v>
      </c>
      <c r="AJ28" s="122" t="s">
        <v>84</v>
      </c>
      <c r="AK28" s="122" t="s">
        <v>85</v>
      </c>
      <c r="AL28" s="21" t="s">
        <v>86</v>
      </c>
      <c r="AM28" s="122" t="s">
        <v>78</v>
      </c>
    </row>
    <row r="29" spans="1:39" customFormat="1" ht="15.75" hidden="1" customHeight="1" x14ac:dyDescent="0.3">
      <c r="A29" t="s">
        <v>78</v>
      </c>
      <c r="B29" s="21" t="s">
        <v>774</v>
      </c>
      <c r="C29" s="21" t="s">
        <v>780</v>
      </c>
      <c r="D29" s="117" t="s">
        <v>256</v>
      </c>
      <c r="E29" s="21" t="s">
        <v>79</v>
      </c>
      <c r="F29" s="21" t="s">
        <v>317</v>
      </c>
      <c r="G29" s="21">
        <v>113.16</v>
      </c>
      <c r="H29" s="21"/>
      <c r="I29" s="117" t="s">
        <v>842</v>
      </c>
      <c r="J29" s="117" t="s">
        <v>325</v>
      </c>
      <c r="K29" s="118">
        <v>22.03</v>
      </c>
      <c r="L29" s="21"/>
      <c r="M29" s="21"/>
      <c r="N29" s="21"/>
      <c r="O29" s="21"/>
      <c r="P29" s="21">
        <v>91.13</v>
      </c>
      <c r="Q29" s="21"/>
      <c r="R29" s="21" t="s">
        <v>329</v>
      </c>
      <c r="S29" s="119">
        <f>DATABASE_Table[[#This Row],[Inicial Asking Price (€) (Total)]]-DATABASE_Table[[#This Row],[Vista membership]]-DATABASE_Table[[#This Row],[FF&amp;E]]</f>
        <v>710000</v>
      </c>
      <c r="T29" s="120">
        <v>755000</v>
      </c>
      <c r="U29" s="36">
        <v>755000</v>
      </c>
      <c r="V29" s="21"/>
      <c r="W29" s="36">
        <v>45000</v>
      </c>
      <c r="X29" s="73">
        <f>DATABASE_Table[[#This Row],[Current Asking price( Total)]]-DATABASE_Table[[#This Row],[Vista membership]]-DATABASE_Table[[#This Row],[FF&amp;E]]</f>
        <v>710000</v>
      </c>
      <c r="Y29" s="37"/>
      <c r="Z29" s="36"/>
      <c r="AA29" s="73">
        <f>DATABASE_Table[[#This Row],[Sell price (Total)]]-DATABASE_Table[[#This Row],[FF&amp;E]]-DATABASE_Table[[#This Row],[Vista membership]]</f>
        <v>-45000</v>
      </c>
      <c r="AB29" s="74">
        <v>45792</v>
      </c>
      <c r="AC29" s="74" t="str">
        <f t="shared" si="0"/>
        <v>Q2 2025</v>
      </c>
      <c r="AD29" s="123"/>
      <c r="AE29" s="69">
        <v>47118</v>
      </c>
      <c r="AF29" s="21" t="s">
        <v>80</v>
      </c>
      <c r="AG29" s="21" t="s">
        <v>81</v>
      </c>
      <c r="AH29" s="122" t="s">
        <v>82</v>
      </c>
      <c r="AI29" s="122" t="s">
        <v>83</v>
      </c>
      <c r="AJ29" s="122" t="s">
        <v>84</v>
      </c>
      <c r="AK29" s="122" t="s">
        <v>85</v>
      </c>
      <c r="AL29" s="21" t="s">
        <v>86</v>
      </c>
      <c r="AM29" s="122" t="s">
        <v>78</v>
      </c>
    </row>
    <row r="30" spans="1:39" customFormat="1" ht="15.75" hidden="1" customHeight="1" x14ac:dyDescent="0.3">
      <c r="A30" t="s">
        <v>78</v>
      </c>
      <c r="B30" s="21" t="s">
        <v>774</v>
      </c>
      <c r="C30" s="21" t="s">
        <v>780</v>
      </c>
      <c r="D30" s="117" t="s">
        <v>257</v>
      </c>
      <c r="E30" s="21" t="s">
        <v>79</v>
      </c>
      <c r="F30" s="21" t="s">
        <v>317</v>
      </c>
      <c r="G30" s="21">
        <v>113.15</v>
      </c>
      <c r="H30" s="21"/>
      <c r="I30" s="117" t="s">
        <v>842</v>
      </c>
      <c r="J30" s="117" t="s">
        <v>325</v>
      </c>
      <c r="K30" s="118">
        <v>22.01</v>
      </c>
      <c r="L30" s="21"/>
      <c r="M30" s="21"/>
      <c r="N30" s="21"/>
      <c r="O30" s="21"/>
      <c r="P30" s="21">
        <v>91.14</v>
      </c>
      <c r="Q30" s="21"/>
      <c r="R30" s="21" t="s">
        <v>328</v>
      </c>
      <c r="S30" s="119">
        <f>DATABASE_Table[[#This Row],[Inicial Asking Price (€) (Total)]]-DATABASE_Table[[#This Row],[Vista membership]]-DATABASE_Table[[#This Row],[FF&amp;E]]</f>
        <v>710000</v>
      </c>
      <c r="T30" s="120">
        <v>755000</v>
      </c>
      <c r="U30" s="36">
        <v>765000</v>
      </c>
      <c r="V30" s="21"/>
      <c r="W30" s="36">
        <v>45000</v>
      </c>
      <c r="X30" s="73">
        <f>DATABASE_Table[[#This Row],[Current Asking price( Total)]]-DATABASE_Table[[#This Row],[Vista membership]]-DATABASE_Table[[#This Row],[FF&amp;E]]</f>
        <v>720000</v>
      </c>
      <c r="Y30" s="37"/>
      <c r="Z30" s="36"/>
      <c r="AA30" s="73">
        <f>DATABASE_Table[[#This Row],[Sell price (Total)]]-DATABASE_Table[[#This Row],[FF&amp;E]]-DATABASE_Table[[#This Row],[Vista membership]]</f>
        <v>-45000</v>
      </c>
      <c r="AB30" s="74">
        <v>45792</v>
      </c>
      <c r="AC30" s="74" t="str">
        <f t="shared" si="0"/>
        <v>Q2 2025</v>
      </c>
      <c r="AD30" s="123"/>
      <c r="AE30" s="69">
        <v>47118</v>
      </c>
      <c r="AF30" s="21" t="s">
        <v>80</v>
      </c>
      <c r="AG30" s="21" t="s">
        <v>81</v>
      </c>
      <c r="AH30" s="122" t="s">
        <v>82</v>
      </c>
      <c r="AI30" s="122" t="s">
        <v>83</v>
      </c>
      <c r="AJ30" s="122" t="s">
        <v>84</v>
      </c>
      <c r="AK30" s="122" t="s">
        <v>85</v>
      </c>
      <c r="AL30" s="21" t="s">
        <v>86</v>
      </c>
      <c r="AM30" s="122" t="s">
        <v>78</v>
      </c>
    </row>
    <row r="31" spans="1:39" customFormat="1" ht="15.75" hidden="1" customHeight="1" x14ac:dyDescent="0.3">
      <c r="A31" t="s">
        <v>78</v>
      </c>
      <c r="B31" s="21" t="s">
        <v>774</v>
      </c>
      <c r="C31" s="21" t="s">
        <v>780</v>
      </c>
      <c r="D31" s="117" t="s">
        <v>258</v>
      </c>
      <c r="E31" s="21" t="s">
        <v>79</v>
      </c>
      <c r="F31" s="21" t="s">
        <v>317</v>
      </c>
      <c r="G31" s="21">
        <v>113.17</v>
      </c>
      <c r="H31" s="21"/>
      <c r="I31" s="117" t="s">
        <v>842</v>
      </c>
      <c r="J31" s="117" t="s">
        <v>325</v>
      </c>
      <c r="K31" s="118">
        <v>22.03</v>
      </c>
      <c r="L31" s="21"/>
      <c r="M31" s="21"/>
      <c r="N31" s="21"/>
      <c r="O31" s="21"/>
      <c r="P31" s="21">
        <v>91.14</v>
      </c>
      <c r="Q31" s="21"/>
      <c r="R31" s="21" t="s">
        <v>329</v>
      </c>
      <c r="S31" s="119">
        <f>DATABASE_Table[[#This Row],[Inicial Asking Price (€) (Total)]]-DATABASE_Table[[#This Row],[Vista membership]]-DATABASE_Table[[#This Row],[FF&amp;E]]</f>
        <v>710000</v>
      </c>
      <c r="T31" s="120">
        <v>755000</v>
      </c>
      <c r="U31" s="36">
        <v>765000</v>
      </c>
      <c r="V31" s="21"/>
      <c r="W31" s="36">
        <v>45000</v>
      </c>
      <c r="X31" s="73">
        <f>DATABASE_Table[[#This Row],[Current Asking price( Total)]]-DATABASE_Table[[#This Row],[Vista membership]]-DATABASE_Table[[#This Row],[FF&amp;E]]</f>
        <v>720000</v>
      </c>
      <c r="Y31" s="37"/>
      <c r="Z31" s="36"/>
      <c r="AA31" s="73">
        <f>DATABASE_Table[[#This Row],[Sell price (Total)]]-DATABASE_Table[[#This Row],[FF&amp;E]]-DATABASE_Table[[#This Row],[Vista membership]]</f>
        <v>-45000</v>
      </c>
      <c r="AB31" s="74">
        <v>45792</v>
      </c>
      <c r="AC31" s="74" t="str">
        <f t="shared" si="0"/>
        <v>Q2 2025</v>
      </c>
      <c r="AD31" s="123"/>
      <c r="AE31" s="69">
        <v>47118</v>
      </c>
      <c r="AF31" s="21" t="s">
        <v>80</v>
      </c>
      <c r="AG31" s="21" t="s">
        <v>81</v>
      </c>
      <c r="AH31" s="122" t="s">
        <v>82</v>
      </c>
      <c r="AI31" s="122" t="s">
        <v>83</v>
      </c>
      <c r="AJ31" s="122" t="s">
        <v>84</v>
      </c>
      <c r="AK31" s="122" t="s">
        <v>85</v>
      </c>
      <c r="AL31" s="21" t="s">
        <v>86</v>
      </c>
      <c r="AM31" s="122" t="s">
        <v>78</v>
      </c>
    </row>
    <row r="32" spans="1:39" customFormat="1" ht="15.75" hidden="1" customHeight="1" x14ac:dyDescent="0.3">
      <c r="A32" t="s">
        <v>78</v>
      </c>
      <c r="B32" s="21" t="s">
        <v>774</v>
      </c>
      <c r="C32" s="21" t="s">
        <v>780</v>
      </c>
      <c r="D32" s="117" t="s">
        <v>153</v>
      </c>
      <c r="E32" s="21" t="s">
        <v>79</v>
      </c>
      <c r="F32" s="21" t="s">
        <v>317</v>
      </c>
      <c r="G32" s="21">
        <v>113.11</v>
      </c>
      <c r="H32" s="21"/>
      <c r="I32" s="117" t="s">
        <v>842</v>
      </c>
      <c r="J32" s="117" t="s">
        <v>325</v>
      </c>
      <c r="K32" s="118">
        <v>22.04</v>
      </c>
      <c r="L32" s="21"/>
      <c r="M32" s="21"/>
      <c r="N32" s="21"/>
      <c r="O32" s="21"/>
      <c r="P32" s="21">
        <v>91.07</v>
      </c>
      <c r="Q32" s="21"/>
      <c r="R32" s="21" t="s">
        <v>329</v>
      </c>
      <c r="S32" s="119">
        <f>DATABASE_Table[[#This Row],[Inicial Asking Price (€) (Total)]]-DATABASE_Table[[#This Row],[Vista membership]]-DATABASE_Table[[#This Row],[FF&amp;E]]</f>
        <v>710000</v>
      </c>
      <c r="T32" s="120">
        <v>755000</v>
      </c>
      <c r="U32" s="36">
        <v>755000</v>
      </c>
      <c r="V32" s="21"/>
      <c r="W32" s="36">
        <v>45000</v>
      </c>
      <c r="X32" s="73">
        <f>DATABASE_Table[[#This Row],[Current Asking price( Total)]]-DATABASE_Table[[#This Row],[Vista membership]]-DATABASE_Table[[#This Row],[FF&amp;E]]</f>
        <v>710000</v>
      </c>
      <c r="Y32" s="37"/>
      <c r="Z32" s="36"/>
      <c r="AA32" s="73">
        <f>DATABASE_Table[[#This Row],[Sell price (Total)]]-DATABASE_Table[[#This Row],[FF&amp;E]]-DATABASE_Table[[#This Row],[Vista membership]]</f>
        <v>-45000</v>
      </c>
      <c r="AB32" s="74">
        <v>45792</v>
      </c>
      <c r="AC32" s="74" t="str">
        <f t="shared" si="0"/>
        <v>Q2 2025</v>
      </c>
      <c r="AD32" s="123"/>
      <c r="AE32" s="69">
        <v>47118</v>
      </c>
      <c r="AF32" s="21" t="s">
        <v>80</v>
      </c>
      <c r="AG32" s="21" t="s">
        <v>81</v>
      </c>
      <c r="AH32" s="122" t="s">
        <v>82</v>
      </c>
      <c r="AI32" s="122" t="s">
        <v>83</v>
      </c>
      <c r="AJ32" s="122" t="s">
        <v>84</v>
      </c>
      <c r="AK32" s="122" t="s">
        <v>85</v>
      </c>
      <c r="AL32" s="21" t="s">
        <v>86</v>
      </c>
      <c r="AM32" s="122" t="s">
        <v>78</v>
      </c>
    </row>
    <row r="33" spans="1:39" customFormat="1" ht="15.75" hidden="1" customHeight="1" x14ac:dyDescent="0.3">
      <c r="A33" t="s">
        <v>78</v>
      </c>
      <c r="B33" s="21" t="s">
        <v>774</v>
      </c>
      <c r="C33" s="21" t="s">
        <v>780</v>
      </c>
      <c r="D33" s="117" t="s">
        <v>259</v>
      </c>
      <c r="E33" s="21" t="s">
        <v>79</v>
      </c>
      <c r="F33" s="21" t="s">
        <v>317</v>
      </c>
      <c r="G33" s="21">
        <v>114.62</v>
      </c>
      <c r="H33" s="21"/>
      <c r="I33" s="117" t="s">
        <v>842</v>
      </c>
      <c r="J33" s="117" t="s">
        <v>325</v>
      </c>
      <c r="K33" s="118">
        <v>22.25</v>
      </c>
      <c r="L33" s="21"/>
      <c r="M33" s="21"/>
      <c r="N33" s="21"/>
      <c r="O33" s="21"/>
      <c r="P33" s="21">
        <v>92.37</v>
      </c>
      <c r="Q33" s="21"/>
      <c r="R33" s="21" t="s">
        <v>328</v>
      </c>
      <c r="S33" s="119">
        <f>DATABASE_Table[[#This Row],[Inicial Asking Price (€) (Total)]]-DATABASE_Table[[#This Row],[Vista membership]]-DATABASE_Table[[#This Row],[FF&amp;E]]</f>
        <v>720000</v>
      </c>
      <c r="T33" s="120">
        <v>765000</v>
      </c>
      <c r="U33" s="36">
        <v>765000</v>
      </c>
      <c r="V33" s="21"/>
      <c r="W33" s="36">
        <v>45000</v>
      </c>
      <c r="X33" s="73">
        <f>DATABASE_Table[[#This Row],[Current Asking price( Total)]]-DATABASE_Table[[#This Row],[Vista membership]]-DATABASE_Table[[#This Row],[FF&amp;E]]</f>
        <v>720000</v>
      </c>
      <c r="Y33" s="37"/>
      <c r="Z33" s="36"/>
      <c r="AA33" s="73">
        <f>DATABASE_Table[[#This Row],[Sell price (Total)]]-DATABASE_Table[[#This Row],[FF&amp;E]]-DATABASE_Table[[#This Row],[Vista membership]]</f>
        <v>-45000</v>
      </c>
      <c r="AB33" s="74">
        <v>45792</v>
      </c>
      <c r="AC33" s="74" t="str">
        <f t="shared" si="0"/>
        <v>Q2 2025</v>
      </c>
      <c r="AD33" s="123"/>
      <c r="AE33" s="69">
        <v>47118</v>
      </c>
      <c r="AF33" s="21" t="s">
        <v>80</v>
      </c>
      <c r="AG33" s="21" t="s">
        <v>81</v>
      </c>
      <c r="AH33" s="122" t="s">
        <v>82</v>
      </c>
      <c r="AI33" s="122" t="s">
        <v>83</v>
      </c>
      <c r="AJ33" s="122" t="s">
        <v>84</v>
      </c>
      <c r="AK33" s="122" t="s">
        <v>85</v>
      </c>
      <c r="AL33" s="21" t="s">
        <v>86</v>
      </c>
      <c r="AM33" s="122" t="s">
        <v>78</v>
      </c>
    </row>
    <row r="34" spans="1:39" customFormat="1" ht="15.75" hidden="1" customHeight="1" x14ac:dyDescent="0.3">
      <c r="A34" t="s">
        <v>78</v>
      </c>
      <c r="B34" s="21" t="s">
        <v>774</v>
      </c>
      <c r="C34" s="21" t="s">
        <v>780</v>
      </c>
      <c r="D34" s="117" t="s">
        <v>155</v>
      </c>
      <c r="E34" s="21" t="s">
        <v>79</v>
      </c>
      <c r="F34" s="21" t="s">
        <v>317</v>
      </c>
      <c r="G34" s="21">
        <v>116.52</v>
      </c>
      <c r="H34" s="21"/>
      <c r="I34" s="117" t="s">
        <v>842</v>
      </c>
      <c r="J34" s="117" t="s">
        <v>325</v>
      </c>
      <c r="K34" s="118">
        <v>23.67</v>
      </c>
      <c r="L34" s="21"/>
      <c r="M34" s="21"/>
      <c r="N34" s="21"/>
      <c r="O34" s="21"/>
      <c r="P34" s="21">
        <v>92.85</v>
      </c>
      <c r="Q34" s="21"/>
      <c r="R34" s="21" t="s">
        <v>328</v>
      </c>
      <c r="S34" s="119">
        <f>DATABASE_Table[[#This Row],[Inicial Asking Price (€) (Total)]]-DATABASE_Table[[#This Row],[Vista membership]]-DATABASE_Table[[#This Row],[FF&amp;E]]</f>
        <v>660000</v>
      </c>
      <c r="T34" s="120">
        <v>705000</v>
      </c>
      <c r="U34" s="36">
        <v>780000</v>
      </c>
      <c r="V34" s="21"/>
      <c r="W34" s="36">
        <v>45000</v>
      </c>
      <c r="X34" s="73">
        <f>DATABASE_Table[[#This Row],[Current Asking price( Total)]]-DATABASE_Table[[#This Row],[Vista membership]]-DATABASE_Table[[#This Row],[FF&amp;E]]</f>
        <v>735000</v>
      </c>
      <c r="Y34" s="37"/>
      <c r="Z34" s="36"/>
      <c r="AA34" s="73">
        <f>DATABASE_Table[[#This Row],[Sell price (Total)]]-DATABASE_Table[[#This Row],[FF&amp;E]]-DATABASE_Table[[#This Row],[Vista membership]]</f>
        <v>-45000</v>
      </c>
      <c r="AB34" s="74">
        <v>45792</v>
      </c>
      <c r="AC34" s="74" t="str">
        <f t="shared" si="0"/>
        <v>Q2 2025</v>
      </c>
      <c r="AD34" s="123"/>
      <c r="AE34" s="69">
        <v>47118</v>
      </c>
      <c r="AF34" s="21" t="s">
        <v>80</v>
      </c>
      <c r="AG34" s="21" t="s">
        <v>81</v>
      </c>
      <c r="AH34" s="122" t="s">
        <v>82</v>
      </c>
      <c r="AI34" s="122" t="s">
        <v>83</v>
      </c>
      <c r="AJ34" s="122" t="s">
        <v>84</v>
      </c>
      <c r="AK34" s="122" t="s">
        <v>85</v>
      </c>
      <c r="AL34" s="21" t="s">
        <v>86</v>
      </c>
      <c r="AM34" s="122" t="s">
        <v>78</v>
      </c>
    </row>
    <row r="35" spans="1:39" customFormat="1" ht="15.75" hidden="1" customHeight="1" x14ac:dyDescent="0.3">
      <c r="A35" t="s">
        <v>78</v>
      </c>
      <c r="B35" s="21" t="s">
        <v>774</v>
      </c>
      <c r="C35" s="21" t="s">
        <v>780</v>
      </c>
      <c r="D35" s="117" t="s">
        <v>156</v>
      </c>
      <c r="E35" s="21" t="s">
        <v>79</v>
      </c>
      <c r="F35" s="21" t="s">
        <v>317</v>
      </c>
      <c r="G35" s="21">
        <v>115.24</v>
      </c>
      <c r="H35" s="21"/>
      <c r="I35" s="117" t="s">
        <v>842</v>
      </c>
      <c r="J35" s="117" t="s">
        <v>325</v>
      </c>
      <c r="K35" s="118">
        <v>23.36</v>
      </c>
      <c r="L35" s="21"/>
      <c r="M35" s="21"/>
      <c r="N35" s="21"/>
      <c r="O35" s="21"/>
      <c r="P35" s="21">
        <v>91.88</v>
      </c>
      <c r="Q35" s="21"/>
      <c r="R35" s="21" t="s">
        <v>328</v>
      </c>
      <c r="S35" s="119">
        <f>DATABASE_Table[[#This Row],[Inicial Asking Price (€) (Total)]]-DATABASE_Table[[#This Row],[Vista membership]]-DATABASE_Table[[#This Row],[FF&amp;E]]</f>
        <v>650000</v>
      </c>
      <c r="T35" s="120">
        <v>695000</v>
      </c>
      <c r="U35" s="36">
        <v>770000</v>
      </c>
      <c r="V35" s="21"/>
      <c r="W35" s="36">
        <v>45000</v>
      </c>
      <c r="X35" s="73">
        <f>DATABASE_Table[[#This Row],[Current Asking price( Total)]]-DATABASE_Table[[#This Row],[Vista membership]]-DATABASE_Table[[#This Row],[FF&amp;E]]</f>
        <v>725000</v>
      </c>
      <c r="Y35" s="37"/>
      <c r="Z35" s="36"/>
      <c r="AA35" s="73">
        <f>DATABASE_Table[[#This Row],[Sell price (Total)]]-DATABASE_Table[[#This Row],[FF&amp;E]]-DATABASE_Table[[#This Row],[Vista membership]]</f>
        <v>-45000</v>
      </c>
      <c r="AB35" s="74">
        <v>45792</v>
      </c>
      <c r="AC35" s="74" t="str">
        <f t="shared" si="0"/>
        <v>Q2 2025</v>
      </c>
      <c r="AD35" s="123">
        <v>46149</v>
      </c>
      <c r="AE35" s="69">
        <v>47118</v>
      </c>
      <c r="AF35" s="21" t="s">
        <v>80</v>
      </c>
      <c r="AG35" s="21" t="s">
        <v>81</v>
      </c>
      <c r="AH35" s="122" t="s">
        <v>82</v>
      </c>
      <c r="AI35" s="122" t="s">
        <v>83</v>
      </c>
      <c r="AJ35" s="122" t="s">
        <v>84</v>
      </c>
      <c r="AK35" s="122" t="s">
        <v>85</v>
      </c>
      <c r="AL35" s="21" t="s">
        <v>86</v>
      </c>
      <c r="AM35" s="122" t="s">
        <v>78</v>
      </c>
    </row>
    <row r="36" spans="1:39" customFormat="1" ht="15.75" hidden="1" customHeight="1" x14ac:dyDescent="0.3">
      <c r="A36" t="s">
        <v>78</v>
      </c>
      <c r="B36" s="21" t="s">
        <v>774</v>
      </c>
      <c r="C36" s="21" t="s">
        <v>780</v>
      </c>
      <c r="D36" s="117" t="s">
        <v>260</v>
      </c>
      <c r="E36" s="21" t="s">
        <v>79</v>
      </c>
      <c r="F36" s="21" t="s">
        <v>318</v>
      </c>
      <c r="G36" s="21">
        <v>145.22999999999999</v>
      </c>
      <c r="H36" s="21"/>
      <c r="I36" s="117" t="s">
        <v>843</v>
      </c>
      <c r="J36" s="117" t="s">
        <v>325</v>
      </c>
      <c r="K36" s="118">
        <v>29.4</v>
      </c>
      <c r="L36" s="21"/>
      <c r="M36" s="21"/>
      <c r="N36" s="21"/>
      <c r="O36" s="21"/>
      <c r="P36" s="21">
        <v>115.83</v>
      </c>
      <c r="Q36" s="21"/>
      <c r="R36" s="21" t="s">
        <v>329</v>
      </c>
      <c r="S36" s="119">
        <f>DATABASE_Table[[#This Row],[Inicial Asking Price (€) (Total)]]-DATABASE_Table[[#This Row],[Vista membership]]-DATABASE_Table[[#This Row],[FF&amp;E]]</f>
        <v>875000</v>
      </c>
      <c r="T36" s="120">
        <v>925000</v>
      </c>
      <c r="U36" s="36">
        <v>925000</v>
      </c>
      <c r="V36" s="21"/>
      <c r="W36" s="36">
        <v>50000</v>
      </c>
      <c r="X36" s="73">
        <f>DATABASE_Table[[#This Row],[Current Asking price( Total)]]-DATABASE_Table[[#This Row],[Vista membership]]-DATABASE_Table[[#This Row],[FF&amp;E]]</f>
        <v>875000</v>
      </c>
      <c r="Y36" s="37"/>
      <c r="Z36" s="36"/>
      <c r="AA36" s="73">
        <f>DATABASE_Table[[#This Row],[Sell price (Total)]]-DATABASE_Table[[#This Row],[FF&amp;E]]-DATABASE_Table[[#This Row],[Vista membership]]</f>
        <v>-50000</v>
      </c>
      <c r="AB36" s="74">
        <v>45792</v>
      </c>
      <c r="AC36" s="74" t="str">
        <f t="shared" si="0"/>
        <v>Q2 2025</v>
      </c>
      <c r="AD36" s="123"/>
      <c r="AE36" s="69">
        <v>47118</v>
      </c>
      <c r="AF36" s="21" t="s">
        <v>80</v>
      </c>
      <c r="AG36" s="21" t="s">
        <v>81</v>
      </c>
      <c r="AH36" s="122" t="s">
        <v>82</v>
      </c>
      <c r="AI36" s="122" t="s">
        <v>83</v>
      </c>
      <c r="AJ36" s="122" t="s">
        <v>84</v>
      </c>
      <c r="AK36" s="122" t="s">
        <v>85</v>
      </c>
      <c r="AL36" s="21" t="s">
        <v>86</v>
      </c>
      <c r="AM36" s="122" t="s">
        <v>78</v>
      </c>
    </row>
    <row r="37" spans="1:39" customFormat="1" ht="15.75" hidden="1" customHeight="1" x14ac:dyDescent="0.3">
      <c r="A37" t="s">
        <v>78</v>
      </c>
      <c r="B37" s="21" t="s">
        <v>774</v>
      </c>
      <c r="C37" s="21" t="s">
        <v>780</v>
      </c>
      <c r="D37" s="117" t="s">
        <v>261</v>
      </c>
      <c r="E37" s="21" t="s">
        <v>79</v>
      </c>
      <c r="F37" s="21" t="s">
        <v>317</v>
      </c>
      <c r="G37" s="21">
        <v>115.24</v>
      </c>
      <c r="H37" s="21"/>
      <c r="I37" s="117" t="s">
        <v>842</v>
      </c>
      <c r="J37" s="117" t="s">
        <v>325</v>
      </c>
      <c r="K37" s="118">
        <v>23.32</v>
      </c>
      <c r="L37" s="21"/>
      <c r="M37" s="21"/>
      <c r="N37" s="21"/>
      <c r="O37" s="21"/>
      <c r="P37" s="21">
        <v>91.92</v>
      </c>
      <c r="Q37" s="21"/>
      <c r="R37" s="21" t="s">
        <v>328</v>
      </c>
      <c r="S37" s="119">
        <f>DATABASE_Table[[#This Row],[Inicial Asking Price (€) (Total)]]-DATABASE_Table[[#This Row],[Vista membership]]-DATABASE_Table[[#This Row],[FF&amp;E]]</f>
        <v>650000</v>
      </c>
      <c r="T37" s="120">
        <v>695000</v>
      </c>
      <c r="U37" s="36">
        <v>770000</v>
      </c>
      <c r="V37" s="21"/>
      <c r="W37" s="36">
        <v>45000</v>
      </c>
      <c r="X37" s="73">
        <f>DATABASE_Table[[#This Row],[Current Asking price( Total)]]-DATABASE_Table[[#This Row],[Vista membership]]-DATABASE_Table[[#This Row],[FF&amp;E]]</f>
        <v>725000</v>
      </c>
      <c r="Y37" s="37"/>
      <c r="Z37" s="36"/>
      <c r="AA37" s="73">
        <f>DATABASE_Table[[#This Row],[Sell price (Total)]]-DATABASE_Table[[#This Row],[FF&amp;E]]-DATABASE_Table[[#This Row],[Vista membership]]</f>
        <v>-45000</v>
      </c>
      <c r="AB37" s="74">
        <v>45792</v>
      </c>
      <c r="AC37" s="74" t="str">
        <f t="shared" si="0"/>
        <v>Q2 2025</v>
      </c>
      <c r="AD37" s="123">
        <v>45988</v>
      </c>
      <c r="AE37" s="69">
        <v>47118</v>
      </c>
      <c r="AF37" s="21" t="s">
        <v>80</v>
      </c>
      <c r="AG37" s="21" t="s">
        <v>81</v>
      </c>
      <c r="AH37" s="122" t="s">
        <v>82</v>
      </c>
      <c r="AI37" s="122" t="s">
        <v>83</v>
      </c>
      <c r="AJ37" s="122" t="s">
        <v>84</v>
      </c>
      <c r="AK37" s="122" t="s">
        <v>85</v>
      </c>
      <c r="AL37" s="21" t="s">
        <v>86</v>
      </c>
      <c r="AM37" s="122" t="s">
        <v>78</v>
      </c>
    </row>
    <row r="38" spans="1:39" customFormat="1" ht="15.75" hidden="1" customHeight="1" x14ac:dyDescent="0.3">
      <c r="A38" t="s">
        <v>78</v>
      </c>
      <c r="B38" s="21" t="s">
        <v>774</v>
      </c>
      <c r="C38" s="21" t="s">
        <v>780</v>
      </c>
      <c r="D38" s="117" t="s">
        <v>262</v>
      </c>
      <c r="E38" s="21" t="s">
        <v>79</v>
      </c>
      <c r="F38" s="21" t="s">
        <v>318</v>
      </c>
      <c r="G38" s="21">
        <v>145.22</v>
      </c>
      <c r="H38" s="21"/>
      <c r="I38" s="117" t="s">
        <v>843</v>
      </c>
      <c r="J38" s="117" t="s">
        <v>325</v>
      </c>
      <c r="K38" s="118">
        <v>29.38</v>
      </c>
      <c r="L38" s="21"/>
      <c r="M38" s="21"/>
      <c r="N38" s="21"/>
      <c r="O38" s="21"/>
      <c r="P38" s="21">
        <v>115.84</v>
      </c>
      <c r="Q38" s="21"/>
      <c r="R38" s="21" t="s">
        <v>328</v>
      </c>
      <c r="S38" s="119">
        <f>DATABASE_Table[[#This Row],[Inicial Asking Price (€) (Total)]]-DATABASE_Table[[#This Row],[Vista membership]]-DATABASE_Table[[#This Row],[FF&amp;E]]</f>
        <v>875000</v>
      </c>
      <c r="T38" s="120">
        <v>925000</v>
      </c>
      <c r="U38" s="36">
        <v>985000</v>
      </c>
      <c r="V38" s="21"/>
      <c r="W38" s="36">
        <v>50000</v>
      </c>
      <c r="X38" s="73">
        <f>DATABASE_Table[[#This Row],[Current Asking price( Total)]]-DATABASE_Table[[#This Row],[Vista membership]]-DATABASE_Table[[#This Row],[FF&amp;E]]</f>
        <v>935000</v>
      </c>
      <c r="Y38" s="37"/>
      <c r="Z38" s="36"/>
      <c r="AA38" s="73">
        <f>DATABASE_Table[[#This Row],[Sell price (Total)]]-DATABASE_Table[[#This Row],[FF&amp;E]]-DATABASE_Table[[#This Row],[Vista membership]]</f>
        <v>-50000</v>
      </c>
      <c r="AB38" s="74">
        <v>45792</v>
      </c>
      <c r="AC38" s="74" t="str">
        <f t="shared" si="0"/>
        <v>Q2 2025</v>
      </c>
      <c r="AD38" s="123"/>
      <c r="AE38" s="69">
        <v>47118</v>
      </c>
      <c r="AF38" s="21" t="s">
        <v>80</v>
      </c>
      <c r="AG38" s="21" t="s">
        <v>81</v>
      </c>
      <c r="AH38" s="122" t="s">
        <v>82</v>
      </c>
      <c r="AI38" s="122" t="s">
        <v>83</v>
      </c>
      <c r="AJ38" s="122" t="s">
        <v>84</v>
      </c>
      <c r="AK38" s="122" t="s">
        <v>85</v>
      </c>
      <c r="AL38" s="21" t="s">
        <v>86</v>
      </c>
      <c r="AM38" s="122" t="s">
        <v>78</v>
      </c>
    </row>
    <row r="39" spans="1:39" customFormat="1" ht="15.75" hidden="1" customHeight="1" x14ac:dyDescent="0.3">
      <c r="A39" t="s">
        <v>78</v>
      </c>
      <c r="B39" s="21" t="s">
        <v>774</v>
      </c>
      <c r="C39" s="21" t="s">
        <v>780</v>
      </c>
      <c r="D39" s="117" t="s">
        <v>265</v>
      </c>
      <c r="E39" s="21" t="s">
        <v>79</v>
      </c>
      <c r="F39" s="21" t="s">
        <v>317</v>
      </c>
      <c r="G39" s="21">
        <v>116.58</v>
      </c>
      <c r="H39" s="21"/>
      <c r="I39" s="117" t="s">
        <v>842</v>
      </c>
      <c r="J39" s="117" t="s">
        <v>325</v>
      </c>
      <c r="K39" s="118">
        <v>23.68</v>
      </c>
      <c r="L39" s="21"/>
      <c r="M39" s="21"/>
      <c r="N39" s="21"/>
      <c r="O39" s="21"/>
      <c r="P39" s="21">
        <v>92.9</v>
      </c>
      <c r="Q39" s="21"/>
      <c r="R39" s="21" t="s">
        <v>328</v>
      </c>
      <c r="S39" s="119">
        <f>DATABASE_Table[[#This Row],[Inicial Asking Price (€) (Total)]]-DATABASE_Table[[#This Row],[Vista membership]]-DATABASE_Table[[#This Row],[FF&amp;E]]</f>
        <v>660000</v>
      </c>
      <c r="T39" s="120">
        <v>705000</v>
      </c>
      <c r="U39" s="36">
        <v>780000</v>
      </c>
      <c r="V39" s="21"/>
      <c r="W39" s="36">
        <v>45000</v>
      </c>
      <c r="X39" s="73">
        <f>DATABASE_Table[[#This Row],[Current Asking price( Total)]]-DATABASE_Table[[#This Row],[Vista membership]]-DATABASE_Table[[#This Row],[FF&amp;E]]</f>
        <v>735000</v>
      </c>
      <c r="Y39" s="37"/>
      <c r="Z39" s="36"/>
      <c r="AA39" s="73">
        <f>DATABASE_Table[[#This Row],[Sell price (Total)]]-DATABASE_Table[[#This Row],[FF&amp;E]]-DATABASE_Table[[#This Row],[Vista membership]]</f>
        <v>-45000</v>
      </c>
      <c r="AB39" s="74">
        <v>45792</v>
      </c>
      <c r="AC39" s="74" t="str">
        <f t="shared" si="0"/>
        <v>Q2 2025</v>
      </c>
      <c r="AD39" s="123"/>
      <c r="AE39" s="69">
        <v>47118</v>
      </c>
      <c r="AF39" s="21" t="s">
        <v>80</v>
      </c>
      <c r="AG39" s="21" t="s">
        <v>81</v>
      </c>
      <c r="AH39" s="122" t="s">
        <v>82</v>
      </c>
      <c r="AI39" s="122" t="s">
        <v>83</v>
      </c>
      <c r="AJ39" s="122" t="s">
        <v>84</v>
      </c>
      <c r="AK39" s="122" t="s">
        <v>85</v>
      </c>
      <c r="AL39" s="21" t="s">
        <v>86</v>
      </c>
      <c r="AM39" s="122" t="s">
        <v>78</v>
      </c>
    </row>
    <row r="40" spans="1:39" customFormat="1" ht="15.75" hidden="1" customHeight="1" x14ac:dyDescent="0.3">
      <c r="A40" t="s">
        <v>78</v>
      </c>
      <c r="B40" s="21" t="s">
        <v>774</v>
      </c>
      <c r="C40" s="21" t="s">
        <v>780</v>
      </c>
      <c r="D40" s="117" t="s">
        <v>266</v>
      </c>
      <c r="E40" s="21" t="s">
        <v>79</v>
      </c>
      <c r="F40" s="21" t="s">
        <v>317</v>
      </c>
      <c r="G40" s="21">
        <v>115.3</v>
      </c>
      <c r="H40" s="21"/>
      <c r="I40" s="117" t="s">
        <v>842</v>
      </c>
      <c r="J40" s="117" t="s">
        <v>325</v>
      </c>
      <c r="K40" s="118">
        <v>23.42</v>
      </c>
      <c r="L40" s="21"/>
      <c r="M40" s="21"/>
      <c r="N40" s="21"/>
      <c r="O40" s="21"/>
      <c r="P40" s="21">
        <v>91.88</v>
      </c>
      <c r="Q40" s="21"/>
      <c r="R40" s="21" t="s">
        <v>329</v>
      </c>
      <c r="S40" s="119">
        <f>DATABASE_Table[[#This Row],[Inicial Asking Price (€) (Total)]]-DATABASE_Table[[#This Row],[Vista membership]]-DATABASE_Table[[#This Row],[FF&amp;E]]</f>
        <v>650000</v>
      </c>
      <c r="T40" s="120">
        <v>695000</v>
      </c>
      <c r="U40" s="36">
        <v>695000</v>
      </c>
      <c r="V40" s="21"/>
      <c r="W40" s="36">
        <v>45000</v>
      </c>
      <c r="X40" s="73">
        <f>DATABASE_Table[[#This Row],[Current Asking price( Total)]]-DATABASE_Table[[#This Row],[Vista membership]]-DATABASE_Table[[#This Row],[FF&amp;E]]</f>
        <v>650000</v>
      </c>
      <c r="Y40" s="37"/>
      <c r="Z40" s="36"/>
      <c r="AA40" s="73">
        <f>DATABASE_Table[[#This Row],[Sell price (Total)]]-DATABASE_Table[[#This Row],[FF&amp;E]]-DATABASE_Table[[#This Row],[Vista membership]]</f>
        <v>-45000</v>
      </c>
      <c r="AB40" s="74">
        <v>45792</v>
      </c>
      <c r="AC40" s="74" t="str">
        <f t="shared" si="0"/>
        <v>Q2 2025</v>
      </c>
      <c r="AD40" s="123">
        <v>45687</v>
      </c>
      <c r="AE40" s="69">
        <v>47118</v>
      </c>
      <c r="AF40" s="21" t="s">
        <v>80</v>
      </c>
      <c r="AG40" s="21" t="s">
        <v>81</v>
      </c>
      <c r="AH40" s="122" t="s">
        <v>82</v>
      </c>
      <c r="AI40" s="122" t="s">
        <v>83</v>
      </c>
      <c r="AJ40" s="122" t="s">
        <v>84</v>
      </c>
      <c r="AK40" s="122" t="s">
        <v>85</v>
      </c>
      <c r="AL40" s="21" t="s">
        <v>86</v>
      </c>
      <c r="AM40" s="122" t="s">
        <v>78</v>
      </c>
    </row>
    <row r="41" spans="1:39" customFormat="1" ht="15.75" hidden="1" customHeight="1" x14ac:dyDescent="0.3">
      <c r="A41" t="s">
        <v>78</v>
      </c>
      <c r="B41" s="21" t="s">
        <v>774</v>
      </c>
      <c r="C41" s="21" t="s">
        <v>780</v>
      </c>
      <c r="D41" s="117" t="s">
        <v>267</v>
      </c>
      <c r="E41" s="21" t="s">
        <v>79</v>
      </c>
      <c r="F41" s="21" t="s">
        <v>317</v>
      </c>
      <c r="G41" s="21">
        <v>116.58</v>
      </c>
      <c r="H41" s="21"/>
      <c r="I41" s="117" t="s">
        <v>842</v>
      </c>
      <c r="J41" s="117" t="s">
        <v>325</v>
      </c>
      <c r="K41" s="118">
        <v>23.68</v>
      </c>
      <c r="L41" s="21"/>
      <c r="M41" s="21"/>
      <c r="N41" s="21"/>
      <c r="O41" s="21"/>
      <c r="P41" s="21">
        <v>92.9</v>
      </c>
      <c r="Q41" s="21"/>
      <c r="R41" s="21" t="s">
        <v>328</v>
      </c>
      <c r="S41" s="119">
        <f>DATABASE_Table[[#This Row],[Inicial Asking Price (€) (Total)]]-DATABASE_Table[[#This Row],[Vista membership]]-DATABASE_Table[[#This Row],[FF&amp;E]]</f>
        <v>660000</v>
      </c>
      <c r="T41" s="120">
        <v>705000</v>
      </c>
      <c r="U41" s="36">
        <v>705000</v>
      </c>
      <c r="V41" s="21"/>
      <c r="W41" s="36">
        <v>45000</v>
      </c>
      <c r="X41" s="73">
        <f>DATABASE_Table[[#This Row],[Current Asking price( Total)]]-DATABASE_Table[[#This Row],[Vista membership]]-DATABASE_Table[[#This Row],[FF&amp;E]]</f>
        <v>660000</v>
      </c>
      <c r="Y41" s="37"/>
      <c r="Z41" s="36"/>
      <c r="AA41" s="73">
        <f>DATABASE_Table[[#This Row],[Sell price (Total)]]-DATABASE_Table[[#This Row],[FF&amp;E]]-DATABASE_Table[[#This Row],[Vista membership]]</f>
        <v>-45000</v>
      </c>
      <c r="AB41" s="74">
        <v>45792</v>
      </c>
      <c r="AC41" s="74" t="str">
        <f t="shared" si="0"/>
        <v>Q2 2025</v>
      </c>
      <c r="AD41" s="123"/>
      <c r="AE41" s="69">
        <v>47118</v>
      </c>
      <c r="AF41" s="21" t="s">
        <v>80</v>
      </c>
      <c r="AG41" s="21" t="s">
        <v>81</v>
      </c>
      <c r="AH41" s="122" t="s">
        <v>82</v>
      </c>
      <c r="AI41" s="122" t="s">
        <v>83</v>
      </c>
      <c r="AJ41" s="122" t="s">
        <v>84</v>
      </c>
      <c r="AK41" s="122" t="s">
        <v>85</v>
      </c>
      <c r="AL41" s="21" t="s">
        <v>86</v>
      </c>
      <c r="AM41" s="122" t="s">
        <v>78</v>
      </c>
    </row>
    <row r="42" spans="1:39" customFormat="1" ht="15.75" customHeight="1" x14ac:dyDescent="0.3">
      <c r="A42" t="s">
        <v>78</v>
      </c>
      <c r="B42" s="21" t="s">
        <v>773</v>
      </c>
      <c r="C42" s="21" t="s">
        <v>780</v>
      </c>
      <c r="D42" s="117" t="s">
        <v>101</v>
      </c>
      <c r="E42" s="21" t="s">
        <v>79</v>
      </c>
      <c r="F42" s="21" t="s">
        <v>316</v>
      </c>
      <c r="G42" s="21">
        <v>65</v>
      </c>
      <c r="H42" s="21"/>
      <c r="I42" s="117" t="s">
        <v>842</v>
      </c>
      <c r="J42" s="117" t="s">
        <v>325</v>
      </c>
      <c r="K42" s="118">
        <v>8.6999999999999993</v>
      </c>
      <c r="L42" s="21"/>
      <c r="M42" s="21"/>
      <c r="N42" s="21"/>
      <c r="O42" s="21"/>
      <c r="P42" s="21">
        <v>56.3</v>
      </c>
      <c r="Q42" s="21"/>
      <c r="R42" s="21" t="s">
        <v>625</v>
      </c>
      <c r="S42" s="119">
        <f>DATABASE_Table[[#This Row],[Inicial Asking Price (€) (Total)]]-DATABASE_Table[[#This Row],[Vista membership]]-DATABASE_Table[[#This Row],[FF&amp;E]]</f>
        <v>715000</v>
      </c>
      <c r="T42" s="124">
        <v>750000</v>
      </c>
      <c r="U42" s="36">
        <v>415000</v>
      </c>
      <c r="V42" s="21"/>
      <c r="W42" s="36">
        <v>35000</v>
      </c>
      <c r="X42" s="73">
        <f>DATABASE_Table[[#This Row],[Current Asking price( Total)]]-DATABASE_Table[[#This Row],[Vista membership]]-DATABASE_Table[[#This Row],[FF&amp;E]]</f>
        <v>380000</v>
      </c>
      <c r="Y42" s="37">
        <v>0</v>
      </c>
      <c r="Z42" s="36">
        <v>415000</v>
      </c>
      <c r="AA42" s="73">
        <f>DATABASE_Table[[#This Row],[Sell price (Total)]]-DATABASE_Table[[#This Row],[FF&amp;E]]-DATABASE_Table[[#This Row],[Vista membership]]</f>
        <v>380000</v>
      </c>
      <c r="AB42" s="74">
        <v>45792</v>
      </c>
      <c r="AC42" s="74" t="str">
        <f t="shared" si="0"/>
        <v>Q2 2025</v>
      </c>
      <c r="AD42" s="121">
        <v>45910</v>
      </c>
      <c r="AE42" s="69">
        <v>47118</v>
      </c>
      <c r="AF42" s="21" t="s">
        <v>80</v>
      </c>
      <c r="AG42" s="21" t="s">
        <v>81</v>
      </c>
      <c r="AH42" s="122" t="s">
        <v>82</v>
      </c>
      <c r="AI42" s="122" t="s">
        <v>83</v>
      </c>
      <c r="AJ42" s="122" t="s">
        <v>84</v>
      </c>
      <c r="AK42" s="122" t="s">
        <v>85</v>
      </c>
      <c r="AL42" s="21" t="s">
        <v>86</v>
      </c>
      <c r="AM42" s="122" t="s">
        <v>78</v>
      </c>
    </row>
    <row r="43" spans="1:39" customFormat="1" ht="15.75" customHeight="1" x14ac:dyDescent="0.3">
      <c r="A43" t="s">
        <v>78</v>
      </c>
      <c r="B43" s="21" t="s">
        <v>773</v>
      </c>
      <c r="C43" s="21" t="s">
        <v>780</v>
      </c>
      <c r="D43" s="117" t="s">
        <v>114</v>
      </c>
      <c r="E43" s="21" t="s">
        <v>79</v>
      </c>
      <c r="F43" s="21" t="s">
        <v>316</v>
      </c>
      <c r="G43" s="21">
        <v>65</v>
      </c>
      <c r="H43" s="21"/>
      <c r="I43" s="117" t="s">
        <v>842</v>
      </c>
      <c r="J43" s="117" t="s">
        <v>325</v>
      </c>
      <c r="K43" s="118">
        <v>8.6999999999999993</v>
      </c>
      <c r="L43" s="21"/>
      <c r="M43" s="21"/>
      <c r="N43" s="21"/>
      <c r="O43" s="21"/>
      <c r="P43" s="21">
        <v>56.3</v>
      </c>
      <c r="Q43" s="21"/>
      <c r="R43" s="21" t="s">
        <v>625</v>
      </c>
      <c r="S43" s="119">
        <f>DATABASE_Table[[#This Row],[Inicial Asking Price (€) (Total)]]-DATABASE_Table[[#This Row],[Vista membership]]-DATABASE_Table[[#This Row],[FF&amp;E]]</f>
        <v>395000</v>
      </c>
      <c r="T43" s="120">
        <v>430000</v>
      </c>
      <c r="U43" s="36">
        <v>430000</v>
      </c>
      <c r="V43" s="21"/>
      <c r="W43" s="36">
        <v>35000</v>
      </c>
      <c r="X43" s="73">
        <f>DATABASE_Table[[#This Row],[Current Asking price( Total)]]-DATABASE_Table[[#This Row],[Vista membership]]-DATABASE_Table[[#This Row],[FF&amp;E]]</f>
        <v>395000</v>
      </c>
      <c r="Y43" s="37">
        <v>0</v>
      </c>
      <c r="Z43" s="36">
        <v>430000</v>
      </c>
      <c r="AA43" s="73">
        <f>DATABASE_Table[[#This Row],[Sell price (Total)]]-DATABASE_Table[[#This Row],[FF&amp;E]]-DATABASE_Table[[#This Row],[Vista membership]]</f>
        <v>395000</v>
      </c>
      <c r="AB43" s="74">
        <v>45792</v>
      </c>
      <c r="AC43" s="74" t="str">
        <f t="shared" si="0"/>
        <v>Q2 2025</v>
      </c>
      <c r="AD43" s="121">
        <v>46020</v>
      </c>
      <c r="AE43" s="69">
        <v>47118</v>
      </c>
      <c r="AF43" s="21" t="s">
        <v>80</v>
      </c>
      <c r="AG43" s="21" t="s">
        <v>81</v>
      </c>
      <c r="AH43" s="122" t="s">
        <v>82</v>
      </c>
      <c r="AI43" s="122" t="s">
        <v>83</v>
      </c>
      <c r="AJ43" s="122" t="s">
        <v>84</v>
      </c>
      <c r="AK43" s="122" t="s">
        <v>85</v>
      </c>
      <c r="AL43" s="21" t="s">
        <v>86</v>
      </c>
      <c r="AM43" s="122" t="s">
        <v>78</v>
      </c>
    </row>
    <row r="44" spans="1:39" customFormat="1" ht="15.75" customHeight="1" x14ac:dyDescent="0.3">
      <c r="A44" t="s">
        <v>78</v>
      </c>
      <c r="B44" s="21" t="s">
        <v>773</v>
      </c>
      <c r="C44" s="21" t="s">
        <v>780</v>
      </c>
      <c r="D44" s="117" t="s">
        <v>117</v>
      </c>
      <c r="E44" s="21" t="s">
        <v>79</v>
      </c>
      <c r="F44" s="21" t="s">
        <v>316</v>
      </c>
      <c r="G44" s="21">
        <v>65</v>
      </c>
      <c r="H44" s="21"/>
      <c r="I44" s="117" t="s">
        <v>842</v>
      </c>
      <c r="J44" s="117" t="s">
        <v>325</v>
      </c>
      <c r="K44" s="118">
        <v>8.6999999999999993</v>
      </c>
      <c r="L44" s="21"/>
      <c r="M44" s="21"/>
      <c r="N44" s="21"/>
      <c r="O44" s="21"/>
      <c r="P44" s="21">
        <v>56.3</v>
      </c>
      <c r="Q44" s="21"/>
      <c r="R44" s="21" t="s">
        <v>625</v>
      </c>
      <c r="S44" s="119">
        <f>DATABASE_Table[[#This Row],[Inicial Asking Price (€) (Total)]]-DATABASE_Table[[#This Row],[Vista membership]]-DATABASE_Table[[#This Row],[FF&amp;E]]</f>
        <v>395000</v>
      </c>
      <c r="T44" s="120">
        <v>430000</v>
      </c>
      <c r="U44" s="36">
        <v>430000</v>
      </c>
      <c r="V44" s="21"/>
      <c r="W44" s="36">
        <v>35000</v>
      </c>
      <c r="X44" s="73">
        <f>DATABASE_Table[[#This Row],[Current Asking price( Total)]]-DATABASE_Table[[#This Row],[Vista membership]]-DATABASE_Table[[#This Row],[FF&amp;E]]</f>
        <v>395000</v>
      </c>
      <c r="Y44" s="37">
        <v>0</v>
      </c>
      <c r="Z44" s="36">
        <v>430000</v>
      </c>
      <c r="AA44" s="73">
        <f>DATABASE_Table[[#This Row],[Sell price (Total)]]-DATABASE_Table[[#This Row],[FF&amp;E]]-DATABASE_Table[[#This Row],[Vista membership]]</f>
        <v>395000</v>
      </c>
      <c r="AB44" s="74">
        <v>45792</v>
      </c>
      <c r="AC44" s="74" t="str">
        <f t="shared" si="0"/>
        <v>Q2 2025</v>
      </c>
      <c r="AD44" s="121">
        <v>46122</v>
      </c>
      <c r="AE44" s="69">
        <v>47118</v>
      </c>
      <c r="AF44" s="21" t="s">
        <v>80</v>
      </c>
      <c r="AG44" s="21" t="s">
        <v>81</v>
      </c>
      <c r="AH44" s="122" t="s">
        <v>82</v>
      </c>
      <c r="AI44" s="122" t="s">
        <v>83</v>
      </c>
      <c r="AJ44" s="122" t="s">
        <v>84</v>
      </c>
      <c r="AK44" s="122" t="s">
        <v>85</v>
      </c>
      <c r="AL44" s="21" t="s">
        <v>86</v>
      </c>
      <c r="AM44" s="122" t="s">
        <v>78</v>
      </c>
    </row>
    <row r="45" spans="1:39" customFormat="1" ht="15.75" customHeight="1" x14ac:dyDescent="0.3">
      <c r="A45" t="s">
        <v>78</v>
      </c>
      <c r="B45" s="21" t="s">
        <v>773</v>
      </c>
      <c r="C45" s="21" t="s">
        <v>780</v>
      </c>
      <c r="D45" s="117" t="s">
        <v>133</v>
      </c>
      <c r="E45" s="21" t="s">
        <v>79</v>
      </c>
      <c r="F45" s="21" t="s">
        <v>316</v>
      </c>
      <c r="G45" s="21">
        <v>56.5</v>
      </c>
      <c r="H45" s="21"/>
      <c r="I45" s="117" t="s">
        <v>842</v>
      </c>
      <c r="J45" s="117" t="s">
        <v>325</v>
      </c>
      <c r="K45" s="118">
        <v>5</v>
      </c>
      <c r="L45" s="21"/>
      <c r="M45" s="21"/>
      <c r="N45" s="21"/>
      <c r="O45" s="21"/>
      <c r="P45" s="21">
        <v>51.5</v>
      </c>
      <c r="Q45" s="21"/>
      <c r="R45" s="21" t="s">
        <v>625</v>
      </c>
      <c r="S45" s="119">
        <f>DATABASE_Table[[#This Row],[Inicial Asking Price (€) (Total)]]-DATABASE_Table[[#This Row],[Vista membership]]-DATABASE_Table[[#This Row],[FF&amp;E]]</f>
        <v>2665000</v>
      </c>
      <c r="T45" s="36">
        <v>2700000</v>
      </c>
      <c r="U45" s="36">
        <v>370000</v>
      </c>
      <c r="V45" s="21"/>
      <c r="W45" s="36">
        <v>35000</v>
      </c>
      <c r="X45" s="73">
        <f>DATABASE_Table[[#This Row],[Current Asking price( Total)]]-DATABASE_Table[[#This Row],[Vista membership]]-DATABASE_Table[[#This Row],[FF&amp;E]]</f>
        <v>335000</v>
      </c>
      <c r="Y45" s="37">
        <v>0</v>
      </c>
      <c r="Z45" s="36">
        <v>370000</v>
      </c>
      <c r="AA45" s="73">
        <f>DATABASE_Table[[#This Row],[Sell price (Total)]]-DATABASE_Table[[#This Row],[FF&amp;E]]-DATABASE_Table[[#This Row],[Vista membership]]</f>
        <v>335000</v>
      </c>
      <c r="AB45" s="74">
        <v>45792</v>
      </c>
      <c r="AC45" s="74" t="str">
        <f t="shared" si="0"/>
        <v>Q2 2025</v>
      </c>
      <c r="AD45" s="121">
        <v>46093</v>
      </c>
      <c r="AE45" s="69">
        <v>47118</v>
      </c>
      <c r="AF45" s="21" t="s">
        <v>80</v>
      </c>
      <c r="AG45" s="21" t="s">
        <v>81</v>
      </c>
      <c r="AH45" s="122" t="s">
        <v>82</v>
      </c>
      <c r="AI45" s="122" t="s">
        <v>83</v>
      </c>
      <c r="AJ45" s="122" t="s">
        <v>84</v>
      </c>
      <c r="AK45" s="122" t="s">
        <v>85</v>
      </c>
      <c r="AL45" s="21" t="s">
        <v>86</v>
      </c>
      <c r="AM45" s="122" t="s">
        <v>78</v>
      </c>
    </row>
    <row r="46" spans="1:39" customFormat="1" ht="15.75" customHeight="1" x14ac:dyDescent="0.3">
      <c r="A46" t="s">
        <v>78</v>
      </c>
      <c r="B46" s="21" t="s">
        <v>773</v>
      </c>
      <c r="C46" s="21" t="s">
        <v>780</v>
      </c>
      <c r="D46" s="117" t="s">
        <v>134</v>
      </c>
      <c r="E46" s="21" t="s">
        <v>79</v>
      </c>
      <c r="F46" s="21" t="s">
        <v>316</v>
      </c>
      <c r="G46" s="21">
        <v>56.5</v>
      </c>
      <c r="H46" s="21"/>
      <c r="I46" s="117" t="s">
        <v>842</v>
      </c>
      <c r="J46" s="117" t="s">
        <v>325</v>
      </c>
      <c r="K46" s="118">
        <v>5</v>
      </c>
      <c r="L46" s="21"/>
      <c r="M46" s="21"/>
      <c r="N46" s="21"/>
      <c r="O46" s="21"/>
      <c r="P46" s="21">
        <v>51.5</v>
      </c>
      <c r="Q46" s="21"/>
      <c r="R46" s="21" t="s">
        <v>625</v>
      </c>
      <c r="S46" s="119">
        <f>DATABASE_Table[[#This Row],[Inicial Asking Price (€) (Total)]]-DATABASE_Table[[#This Row],[Vista membership]]-DATABASE_Table[[#This Row],[FF&amp;E]]</f>
        <v>2715000</v>
      </c>
      <c r="T46" s="36">
        <v>2750000</v>
      </c>
      <c r="U46" s="36">
        <v>370000</v>
      </c>
      <c r="V46" s="21"/>
      <c r="W46" s="36">
        <v>35000</v>
      </c>
      <c r="X46" s="73">
        <f>DATABASE_Table[[#This Row],[Current Asking price( Total)]]-DATABASE_Table[[#This Row],[Vista membership]]-DATABASE_Table[[#This Row],[FF&amp;E]]</f>
        <v>335000</v>
      </c>
      <c r="Y46" s="37">
        <v>0</v>
      </c>
      <c r="Z46" s="36">
        <v>370000</v>
      </c>
      <c r="AA46" s="73">
        <f>DATABASE_Table[[#This Row],[Sell price (Total)]]-DATABASE_Table[[#This Row],[FF&amp;E]]-DATABASE_Table[[#This Row],[Vista membership]]</f>
        <v>335000</v>
      </c>
      <c r="AB46" s="74">
        <v>45792</v>
      </c>
      <c r="AC46" s="74" t="str">
        <f t="shared" si="0"/>
        <v>Q2 2025</v>
      </c>
      <c r="AD46" s="121">
        <v>46150</v>
      </c>
      <c r="AE46" s="69">
        <v>47118</v>
      </c>
      <c r="AF46" s="21" t="s">
        <v>80</v>
      </c>
      <c r="AG46" s="21" t="s">
        <v>81</v>
      </c>
      <c r="AH46" s="122" t="s">
        <v>82</v>
      </c>
      <c r="AI46" s="122" t="s">
        <v>83</v>
      </c>
      <c r="AJ46" s="122" t="s">
        <v>84</v>
      </c>
      <c r="AK46" s="122" t="s">
        <v>85</v>
      </c>
      <c r="AL46" s="21" t="s">
        <v>86</v>
      </c>
      <c r="AM46" s="122" t="s">
        <v>78</v>
      </c>
    </row>
    <row r="47" spans="1:39" customFormat="1" ht="15.75" customHeight="1" x14ac:dyDescent="0.3">
      <c r="A47" t="s">
        <v>78</v>
      </c>
      <c r="B47" s="21" t="s">
        <v>773</v>
      </c>
      <c r="C47" s="21" t="s">
        <v>780</v>
      </c>
      <c r="D47" s="117" t="s">
        <v>143</v>
      </c>
      <c r="E47" s="21" t="s">
        <v>79</v>
      </c>
      <c r="F47" s="21" t="s">
        <v>316</v>
      </c>
      <c r="G47" s="21">
        <v>56.5</v>
      </c>
      <c r="H47" s="21"/>
      <c r="I47" s="117" t="s">
        <v>842</v>
      </c>
      <c r="J47" s="117" t="s">
        <v>325</v>
      </c>
      <c r="K47" s="118">
        <v>5</v>
      </c>
      <c r="L47" s="21"/>
      <c r="M47" s="21"/>
      <c r="N47" s="21"/>
      <c r="O47" s="21"/>
      <c r="P47" s="21">
        <v>51.5</v>
      </c>
      <c r="Q47" s="21"/>
      <c r="R47" s="21" t="s">
        <v>625</v>
      </c>
      <c r="S47" s="119">
        <f>DATABASE_Table[[#This Row],[Inicial Asking Price (€) (Total)]]-DATABASE_Table[[#This Row],[Vista membership]]-DATABASE_Table[[#This Row],[FF&amp;E]]</f>
        <v>3615000</v>
      </c>
      <c r="T47" s="36">
        <v>3650000</v>
      </c>
      <c r="U47" s="36">
        <v>370000</v>
      </c>
      <c r="V47" s="21"/>
      <c r="W47" s="36">
        <v>35000</v>
      </c>
      <c r="X47" s="73">
        <f>DATABASE_Table[[#This Row],[Current Asking price( Total)]]-DATABASE_Table[[#This Row],[Vista membership]]-DATABASE_Table[[#This Row],[FF&amp;E]]</f>
        <v>335000</v>
      </c>
      <c r="Y47" s="37">
        <v>0</v>
      </c>
      <c r="Z47" s="36">
        <v>370000</v>
      </c>
      <c r="AA47" s="73">
        <f>DATABASE_Table[[#This Row],[Sell price (Total)]]-DATABASE_Table[[#This Row],[FF&amp;E]]-DATABASE_Table[[#This Row],[Vista membership]]</f>
        <v>335000</v>
      </c>
      <c r="AB47" s="74">
        <v>45792</v>
      </c>
      <c r="AC47" s="74" t="str">
        <f t="shared" si="0"/>
        <v>Q2 2025</v>
      </c>
      <c r="AD47" s="121">
        <v>46093</v>
      </c>
      <c r="AE47" s="69">
        <v>47118</v>
      </c>
      <c r="AF47" s="21" t="s">
        <v>80</v>
      </c>
      <c r="AG47" s="21" t="s">
        <v>81</v>
      </c>
      <c r="AH47" s="122" t="s">
        <v>82</v>
      </c>
      <c r="AI47" s="122" t="s">
        <v>83</v>
      </c>
      <c r="AJ47" s="122" t="s">
        <v>84</v>
      </c>
      <c r="AK47" s="122" t="s">
        <v>85</v>
      </c>
      <c r="AL47" s="21" t="s">
        <v>86</v>
      </c>
      <c r="AM47" s="122" t="s">
        <v>78</v>
      </c>
    </row>
    <row r="48" spans="1:39" customFormat="1" ht="15.75" customHeight="1" x14ac:dyDescent="0.3">
      <c r="A48" t="s">
        <v>78</v>
      </c>
      <c r="B48" s="21" t="s">
        <v>773</v>
      </c>
      <c r="C48" s="21" t="s">
        <v>780</v>
      </c>
      <c r="D48" s="117" t="s">
        <v>144</v>
      </c>
      <c r="E48" s="21" t="s">
        <v>79</v>
      </c>
      <c r="F48" s="21" t="s">
        <v>316</v>
      </c>
      <c r="G48" s="21">
        <v>56.5</v>
      </c>
      <c r="H48" s="21"/>
      <c r="I48" s="117" t="s">
        <v>842</v>
      </c>
      <c r="J48" s="117" t="s">
        <v>325</v>
      </c>
      <c r="K48" s="118">
        <v>5</v>
      </c>
      <c r="L48" s="21"/>
      <c r="M48" s="21"/>
      <c r="N48" s="21"/>
      <c r="O48" s="21"/>
      <c r="P48" s="21">
        <v>51.5</v>
      </c>
      <c r="Q48" s="21"/>
      <c r="R48" s="21" t="s">
        <v>625</v>
      </c>
      <c r="S48" s="119">
        <f>DATABASE_Table[[#This Row],[Inicial Asking Price (€) (Total)]]-DATABASE_Table[[#This Row],[Vista membership]]-DATABASE_Table[[#This Row],[FF&amp;E]]</f>
        <v>3615000</v>
      </c>
      <c r="T48" s="36">
        <v>3650000</v>
      </c>
      <c r="U48" s="36">
        <v>370000</v>
      </c>
      <c r="V48" s="21"/>
      <c r="W48" s="36">
        <v>35000</v>
      </c>
      <c r="X48" s="73">
        <f>DATABASE_Table[[#This Row],[Current Asking price( Total)]]-DATABASE_Table[[#This Row],[Vista membership]]-DATABASE_Table[[#This Row],[FF&amp;E]]</f>
        <v>335000</v>
      </c>
      <c r="Y48" s="37">
        <v>0</v>
      </c>
      <c r="Z48" s="36">
        <v>370000</v>
      </c>
      <c r="AA48" s="73">
        <f>DATABASE_Table[[#This Row],[Sell price (Total)]]-DATABASE_Table[[#This Row],[FF&amp;E]]-DATABASE_Table[[#This Row],[Vista membership]]</f>
        <v>335000</v>
      </c>
      <c r="AB48" s="74">
        <v>45792</v>
      </c>
      <c r="AC48" s="74" t="str">
        <f t="shared" si="0"/>
        <v>Q2 2025</v>
      </c>
      <c r="AD48" s="121">
        <v>46161</v>
      </c>
      <c r="AE48" s="69">
        <v>47118</v>
      </c>
      <c r="AF48" s="21" t="s">
        <v>80</v>
      </c>
      <c r="AG48" s="21" t="s">
        <v>81</v>
      </c>
      <c r="AH48" s="122" t="s">
        <v>82</v>
      </c>
      <c r="AI48" s="122" t="s">
        <v>83</v>
      </c>
      <c r="AJ48" s="122" t="s">
        <v>84</v>
      </c>
      <c r="AK48" s="122" t="s">
        <v>85</v>
      </c>
      <c r="AL48" s="21" t="s">
        <v>86</v>
      </c>
      <c r="AM48" s="122" t="s">
        <v>78</v>
      </c>
    </row>
    <row r="49" spans="1:39" customFormat="1" ht="15.75" customHeight="1" x14ac:dyDescent="0.3">
      <c r="A49" t="s">
        <v>78</v>
      </c>
      <c r="B49" s="21" t="s">
        <v>773</v>
      </c>
      <c r="C49" s="21" t="s">
        <v>780</v>
      </c>
      <c r="D49" s="117" t="s">
        <v>154</v>
      </c>
      <c r="E49" s="21" t="s">
        <v>79</v>
      </c>
      <c r="F49" s="21" t="s">
        <v>316</v>
      </c>
      <c r="G49" s="21">
        <v>72.5</v>
      </c>
      <c r="H49" s="21"/>
      <c r="I49" s="117" t="s">
        <v>842</v>
      </c>
      <c r="J49" s="117" t="s">
        <v>325</v>
      </c>
      <c r="K49" s="118">
        <v>12</v>
      </c>
      <c r="L49" s="21"/>
      <c r="M49" s="21"/>
      <c r="N49" s="21"/>
      <c r="O49" s="21"/>
      <c r="P49" s="21">
        <v>60.5</v>
      </c>
      <c r="Q49" s="21"/>
      <c r="R49" s="21" t="s">
        <v>625</v>
      </c>
      <c r="S49" s="119">
        <f>DATABASE_Table[[#This Row],[Inicial Asking Price (€) (Total)]]-DATABASE_Table[[#This Row],[Vista membership]]-DATABASE_Table[[#This Row],[FF&amp;E]]</f>
        <v>445000</v>
      </c>
      <c r="T49" s="120">
        <v>480000</v>
      </c>
      <c r="U49" s="36">
        <v>480000</v>
      </c>
      <c r="V49" s="21"/>
      <c r="W49" s="36">
        <v>35000</v>
      </c>
      <c r="X49" s="73">
        <f>DATABASE_Table[[#This Row],[Current Asking price( Total)]]-DATABASE_Table[[#This Row],[Vista membership]]-DATABASE_Table[[#This Row],[FF&amp;E]]</f>
        <v>445000</v>
      </c>
      <c r="Y49" s="37">
        <v>0</v>
      </c>
      <c r="Z49" s="36">
        <v>480000</v>
      </c>
      <c r="AA49" s="73">
        <f>DATABASE_Table[[#This Row],[Sell price (Total)]]-DATABASE_Table[[#This Row],[FF&amp;E]]-DATABASE_Table[[#This Row],[Vista membership]]</f>
        <v>445000</v>
      </c>
      <c r="AB49" s="74">
        <v>45792</v>
      </c>
      <c r="AC49" s="74" t="str">
        <f t="shared" si="0"/>
        <v>Q2 2025</v>
      </c>
      <c r="AD49" s="121">
        <v>45931</v>
      </c>
      <c r="AE49" s="69">
        <v>47118</v>
      </c>
      <c r="AF49" s="21" t="s">
        <v>80</v>
      </c>
      <c r="AG49" s="21" t="s">
        <v>81</v>
      </c>
      <c r="AH49" s="122" t="s">
        <v>82</v>
      </c>
      <c r="AI49" s="122" t="s">
        <v>83</v>
      </c>
      <c r="AJ49" s="122" t="s">
        <v>84</v>
      </c>
      <c r="AK49" s="122" t="s">
        <v>85</v>
      </c>
      <c r="AL49" s="21" t="s">
        <v>86</v>
      </c>
      <c r="AM49" s="122" t="s">
        <v>78</v>
      </c>
    </row>
    <row r="50" spans="1:39" customFormat="1" ht="15.75" customHeight="1" x14ac:dyDescent="0.3">
      <c r="A50" t="s">
        <v>78</v>
      </c>
      <c r="B50" s="21" t="s">
        <v>773</v>
      </c>
      <c r="C50" s="21" t="s">
        <v>780</v>
      </c>
      <c r="D50" s="117" t="s">
        <v>160</v>
      </c>
      <c r="E50" s="21" t="s">
        <v>79</v>
      </c>
      <c r="F50" s="21" t="s">
        <v>316</v>
      </c>
      <c r="G50" s="21">
        <v>65</v>
      </c>
      <c r="H50" s="21"/>
      <c r="I50" s="117" t="s">
        <v>842</v>
      </c>
      <c r="J50" s="117" t="s">
        <v>325</v>
      </c>
      <c r="K50" s="118">
        <v>8.6999999999999993</v>
      </c>
      <c r="L50" s="21"/>
      <c r="M50" s="21"/>
      <c r="N50" s="21"/>
      <c r="O50" s="21"/>
      <c r="P50" s="21">
        <v>56.3</v>
      </c>
      <c r="Q50" s="21"/>
      <c r="R50" s="21" t="s">
        <v>625</v>
      </c>
      <c r="S50" s="119">
        <f>DATABASE_Table[[#This Row],[Inicial Asking Price (€) (Total)]]-DATABASE_Table[[#This Row],[Vista membership]]-DATABASE_Table[[#This Row],[FF&amp;E]]</f>
        <v>415000</v>
      </c>
      <c r="T50" s="120">
        <v>450000</v>
      </c>
      <c r="U50" s="36">
        <v>450000</v>
      </c>
      <c r="V50" s="21"/>
      <c r="W50" s="36">
        <v>35000</v>
      </c>
      <c r="X50" s="73">
        <f>DATABASE_Table[[#This Row],[Current Asking price( Total)]]-DATABASE_Table[[#This Row],[Vista membership]]-DATABASE_Table[[#This Row],[FF&amp;E]]</f>
        <v>415000</v>
      </c>
      <c r="Y50" s="37">
        <v>0</v>
      </c>
      <c r="Z50" s="36">
        <v>450000</v>
      </c>
      <c r="AA50" s="73">
        <f>DATABASE_Table[[#This Row],[Sell price (Total)]]-DATABASE_Table[[#This Row],[FF&amp;E]]-DATABASE_Table[[#This Row],[Vista membership]]</f>
        <v>415000</v>
      </c>
      <c r="AB50" s="74">
        <v>45792</v>
      </c>
      <c r="AC50" s="74" t="str">
        <f t="shared" si="0"/>
        <v>Q2 2025</v>
      </c>
      <c r="AD50" s="121">
        <v>46142</v>
      </c>
      <c r="AE50" s="69">
        <v>47118</v>
      </c>
      <c r="AF50" s="21" t="s">
        <v>80</v>
      </c>
      <c r="AG50" s="21" t="s">
        <v>81</v>
      </c>
      <c r="AH50" s="122" t="s">
        <v>82</v>
      </c>
      <c r="AI50" s="122" t="s">
        <v>83</v>
      </c>
      <c r="AJ50" s="122" t="s">
        <v>84</v>
      </c>
      <c r="AK50" s="122" t="s">
        <v>85</v>
      </c>
      <c r="AL50" s="21" t="s">
        <v>86</v>
      </c>
      <c r="AM50" s="122" t="s">
        <v>78</v>
      </c>
    </row>
    <row r="51" spans="1:39" customFormat="1" ht="15.75" customHeight="1" x14ac:dyDescent="0.3">
      <c r="A51" t="s">
        <v>78</v>
      </c>
      <c r="B51" s="21" t="s">
        <v>773</v>
      </c>
      <c r="C51" s="21" t="s">
        <v>780</v>
      </c>
      <c r="D51" s="117" t="s">
        <v>213</v>
      </c>
      <c r="E51" s="21" t="s">
        <v>79</v>
      </c>
      <c r="F51" s="21" t="s">
        <v>316</v>
      </c>
      <c r="G51" s="21">
        <v>72.5</v>
      </c>
      <c r="H51" s="21"/>
      <c r="I51" s="117" t="s">
        <v>842</v>
      </c>
      <c r="J51" s="117" t="s">
        <v>325</v>
      </c>
      <c r="K51" s="118">
        <v>12</v>
      </c>
      <c r="L51" s="21"/>
      <c r="M51" s="21"/>
      <c r="N51" s="21"/>
      <c r="O51" s="21"/>
      <c r="P51" s="21">
        <v>60.5</v>
      </c>
      <c r="Q51" s="21"/>
      <c r="R51" s="21" t="s">
        <v>625</v>
      </c>
      <c r="S51" s="119">
        <f>DATABASE_Table[[#This Row],[Inicial Asking Price (€) (Total)]]-DATABASE_Table[[#This Row],[Vista membership]]-DATABASE_Table[[#This Row],[FF&amp;E]]</f>
        <v>465000</v>
      </c>
      <c r="T51" s="120">
        <v>500000</v>
      </c>
      <c r="U51" s="36">
        <v>500000</v>
      </c>
      <c r="V51" s="21"/>
      <c r="W51" s="36">
        <v>35000</v>
      </c>
      <c r="X51" s="73">
        <f>DATABASE_Table[[#This Row],[Current Asking price( Total)]]-DATABASE_Table[[#This Row],[Vista membership]]-DATABASE_Table[[#This Row],[FF&amp;E]]</f>
        <v>465000</v>
      </c>
      <c r="Y51" s="37">
        <v>0</v>
      </c>
      <c r="Z51" s="36">
        <v>500000</v>
      </c>
      <c r="AA51" s="73">
        <f>DATABASE_Table[[#This Row],[Sell price (Total)]]-DATABASE_Table[[#This Row],[FF&amp;E]]-DATABASE_Table[[#This Row],[Vista membership]]</f>
        <v>465000</v>
      </c>
      <c r="AB51" s="74">
        <v>45792</v>
      </c>
      <c r="AC51" s="74" t="str">
        <f t="shared" si="0"/>
        <v>Q2 2025</v>
      </c>
      <c r="AD51" s="121">
        <v>46056</v>
      </c>
      <c r="AE51" s="69">
        <v>47118</v>
      </c>
      <c r="AF51" s="21" t="s">
        <v>80</v>
      </c>
      <c r="AG51" s="21" t="s">
        <v>81</v>
      </c>
      <c r="AH51" s="122" t="s">
        <v>82</v>
      </c>
      <c r="AI51" s="122" t="s">
        <v>83</v>
      </c>
      <c r="AJ51" s="122" t="s">
        <v>84</v>
      </c>
      <c r="AK51" s="122" t="s">
        <v>85</v>
      </c>
      <c r="AL51" s="21" t="s">
        <v>86</v>
      </c>
      <c r="AM51" s="122" t="s">
        <v>78</v>
      </c>
    </row>
    <row r="52" spans="1:39" customFormat="1" ht="15.75" customHeight="1" x14ac:dyDescent="0.3">
      <c r="A52" t="s">
        <v>78</v>
      </c>
      <c r="B52" s="21" t="s">
        <v>773</v>
      </c>
      <c r="C52" s="21" t="s">
        <v>780</v>
      </c>
      <c r="D52" s="117" t="s">
        <v>119</v>
      </c>
      <c r="E52" s="21" t="s">
        <v>79</v>
      </c>
      <c r="F52" s="21" t="s">
        <v>316</v>
      </c>
      <c r="G52" s="21">
        <v>65</v>
      </c>
      <c r="H52" s="21"/>
      <c r="I52" s="117" t="s">
        <v>842</v>
      </c>
      <c r="J52" s="117" t="s">
        <v>325</v>
      </c>
      <c r="K52" s="118">
        <v>8.6999999999999993</v>
      </c>
      <c r="L52" s="21"/>
      <c r="M52" s="21"/>
      <c r="N52" s="21"/>
      <c r="O52" s="21"/>
      <c r="P52" s="21">
        <v>56.3</v>
      </c>
      <c r="Q52" s="21"/>
      <c r="R52" s="21" t="s">
        <v>326</v>
      </c>
      <c r="S52" s="119">
        <f>DATABASE_Table[[#This Row],[Inicial Asking Price (€) (Total)]]-DATABASE_Table[[#This Row],[Vista membership]]-DATABASE_Table[[#This Row],[FF&amp;E]]</f>
        <v>395000</v>
      </c>
      <c r="T52" s="120">
        <v>430000</v>
      </c>
      <c r="U52" s="36">
        <v>430000</v>
      </c>
      <c r="V52" s="21"/>
      <c r="W52" s="36">
        <v>35000</v>
      </c>
      <c r="X52" s="73">
        <f>DATABASE_Table[[#This Row],[Current Asking price( Total)]]-DATABASE_Table[[#This Row],[Vista membership]]-DATABASE_Table[[#This Row],[FF&amp;E]]</f>
        <v>395000</v>
      </c>
      <c r="Y52" s="37">
        <v>0</v>
      </c>
      <c r="Z52" s="36">
        <v>430000</v>
      </c>
      <c r="AA52" s="73">
        <f>DATABASE_Table[[#This Row],[Sell price (Total)]]-DATABASE_Table[[#This Row],[FF&amp;E]]-DATABASE_Table[[#This Row],[Vista membership]]</f>
        <v>395000</v>
      </c>
      <c r="AB52" s="74">
        <v>45792</v>
      </c>
      <c r="AC52" s="74" t="str">
        <f t="shared" si="0"/>
        <v>Q2 2025</v>
      </c>
      <c r="AD52" s="123">
        <v>46136</v>
      </c>
      <c r="AE52" s="69">
        <v>47118</v>
      </c>
      <c r="AF52" s="21" t="s">
        <v>80</v>
      </c>
      <c r="AG52" s="21" t="s">
        <v>81</v>
      </c>
      <c r="AH52" s="122" t="s">
        <v>82</v>
      </c>
      <c r="AI52" s="122" t="s">
        <v>83</v>
      </c>
      <c r="AJ52" s="122" t="s">
        <v>84</v>
      </c>
      <c r="AK52" s="122" t="s">
        <v>85</v>
      </c>
      <c r="AL52" s="21" t="s">
        <v>86</v>
      </c>
      <c r="AM52" s="122" t="s">
        <v>78</v>
      </c>
    </row>
    <row r="53" spans="1:39" customFormat="1" ht="15.75" customHeight="1" x14ac:dyDescent="0.3">
      <c r="A53" t="s">
        <v>78</v>
      </c>
      <c r="B53" s="21" t="s">
        <v>773</v>
      </c>
      <c r="C53" s="21" t="s">
        <v>780</v>
      </c>
      <c r="D53" s="117" t="s">
        <v>128</v>
      </c>
      <c r="E53" s="21" t="s">
        <v>79</v>
      </c>
      <c r="F53" s="21" t="s">
        <v>316</v>
      </c>
      <c r="G53" s="21">
        <v>60.2</v>
      </c>
      <c r="H53" s="21"/>
      <c r="I53" s="117" t="s">
        <v>842</v>
      </c>
      <c r="J53" s="117" t="s">
        <v>325</v>
      </c>
      <c r="K53" s="118">
        <v>3.9</v>
      </c>
      <c r="L53" s="21"/>
      <c r="M53" s="21"/>
      <c r="N53" s="21"/>
      <c r="O53" s="21"/>
      <c r="P53" s="21">
        <v>56.3</v>
      </c>
      <c r="Q53" s="21"/>
      <c r="R53" s="21" t="s">
        <v>326</v>
      </c>
      <c r="S53" s="119">
        <f>DATABASE_Table[[#This Row],[Inicial Asking Price (€) (Total)]]-DATABASE_Table[[#This Row],[Vista membership]]-DATABASE_Table[[#This Row],[FF&amp;E]]</f>
        <v>985000</v>
      </c>
      <c r="T53" s="124">
        <v>1020000</v>
      </c>
      <c r="U53" s="36">
        <v>410000</v>
      </c>
      <c r="V53" s="21"/>
      <c r="W53" s="36">
        <v>35000</v>
      </c>
      <c r="X53" s="73">
        <f>DATABASE_Table[[#This Row],[Current Asking price( Total)]]-DATABASE_Table[[#This Row],[Vista membership]]-DATABASE_Table[[#This Row],[FF&amp;E]]</f>
        <v>375000</v>
      </c>
      <c r="Y53" s="37">
        <v>0</v>
      </c>
      <c r="Z53" s="36">
        <v>410000</v>
      </c>
      <c r="AA53" s="73">
        <f>DATABASE_Table[[#This Row],[Sell price (Total)]]-DATABASE_Table[[#This Row],[FF&amp;E]]-DATABASE_Table[[#This Row],[Vista membership]]</f>
        <v>375000</v>
      </c>
      <c r="AB53" s="74">
        <v>45792</v>
      </c>
      <c r="AC53" s="74" t="str">
        <f t="shared" si="0"/>
        <v>Q2 2025</v>
      </c>
      <c r="AD53" s="123">
        <v>46120</v>
      </c>
      <c r="AE53" s="69">
        <v>47118</v>
      </c>
      <c r="AF53" s="21" t="s">
        <v>80</v>
      </c>
      <c r="AG53" s="21" t="s">
        <v>81</v>
      </c>
      <c r="AH53" s="122" t="s">
        <v>82</v>
      </c>
      <c r="AI53" s="122" t="s">
        <v>83</v>
      </c>
      <c r="AJ53" s="122" t="s">
        <v>84</v>
      </c>
      <c r="AK53" s="122" t="s">
        <v>85</v>
      </c>
      <c r="AL53" s="21" t="s">
        <v>86</v>
      </c>
      <c r="AM53" s="122" t="s">
        <v>78</v>
      </c>
    </row>
    <row r="54" spans="1:39" customFormat="1" ht="15.75" customHeight="1" x14ac:dyDescent="0.3">
      <c r="A54" t="s">
        <v>78</v>
      </c>
      <c r="B54" s="21" t="s">
        <v>773</v>
      </c>
      <c r="C54" s="21" t="s">
        <v>780</v>
      </c>
      <c r="D54" s="117" t="s">
        <v>129</v>
      </c>
      <c r="E54" s="21" t="s">
        <v>79</v>
      </c>
      <c r="F54" s="21" t="s">
        <v>316</v>
      </c>
      <c r="G54" s="21">
        <v>60.2</v>
      </c>
      <c r="H54" s="21"/>
      <c r="I54" s="117" t="s">
        <v>842</v>
      </c>
      <c r="J54" s="117" t="s">
        <v>325</v>
      </c>
      <c r="K54" s="118">
        <v>3.9</v>
      </c>
      <c r="L54" s="21"/>
      <c r="M54" s="21"/>
      <c r="N54" s="21"/>
      <c r="O54" s="21"/>
      <c r="P54" s="21">
        <v>56.3</v>
      </c>
      <c r="Q54" s="21"/>
      <c r="R54" s="21" t="s">
        <v>326</v>
      </c>
      <c r="S54" s="119">
        <f>DATABASE_Table[[#This Row],[Inicial Asking Price (€) (Total)]]-DATABASE_Table[[#This Row],[Vista membership]]-DATABASE_Table[[#This Row],[FF&amp;E]]</f>
        <v>725000</v>
      </c>
      <c r="T54" s="124">
        <v>760000</v>
      </c>
      <c r="U54" s="36">
        <v>410000</v>
      </c>
      <c r="V54" s="21"/>
      <c r="W54" s="36">
        <v>35000</v>
      </c>
      <c r="X54" s="73">
        <f>DATABASE_Table[[#This Row],[Current Asking price( Total)]]-DATABASE_Table[[#This Row],[Vista membership]]-DATABASE_Table[[#This Row],[FF&amp;E]]</f>
        <v>375000</v>
      </c>
      <c r="Y54" s="37">
        <v>0</v>
      </c>
      <c r="Z54" s="36">
        <v>410000</v>
      </c>
      <c r="AA54" s="73">
        <f>DATABASE_Table[[#This Row],[Sell price (Total)]]-DATABASE_Table[[#This Row],[FF&amp;E]]-DATABASE_Table[[#This Row],[Vista membership]]</f>
        <v>375000</v>
      </c>
      <c r="AB54" s="74">
        <v>45792</v>
      </c>
      <c r="AC54" s="74" t="str">
        <f t="shared" si="0"/>
        <v>Q2 2025</v>
      </c>
      <c r="AD54" s="123">
        <v>46112</v>
      </c>
      <c r="AE54" s="69">
        <v>47118</v>
      </c>
      <c r="AF54" s="21" t="s">
        <v>80</v>
      </c>
      <c r="AG54" s="21" t="s">
        <v>81</v>
      </c>
      <c r="AH54" s="122" t="s">
        <v>82</v>
      </c>
      <c r="AI54" s="122" t="s">
        <v>83</v>
      </c>
      <c r="AJ54" s="122" t="s">
        <v>84</v>
      </c>
      <c r="AK54" s="122" t="s">
        <v>85</v>
      </c>
      <c r="AL54" s="21" t="s">
        <v>86</v>
      </c>
      <c r="AM54" s="122" t="s">
        <v>78</v>
      </c>
    </row>
    <row r="55" spans="1:39" customFormat="1" ht="15.75" customHeight="1" x14ac:dyDescent="0.3">
      <c r="A55" t="s">
        <v>78</v>
      </c>
      <c r="B55" s="21" t="s">
        <v>773</v>
      </c>
      <c r="C55" s="21" t="s">
        <v>780</v>
      </c>
      <c r="D55" s="117" t="s">
        <v>130</v>
      </c>
      <c r="E55" s="21" t="s">
        <v>79</v>
      </c>
      <c r="F55" s="21" t="s">
        <v>316</v>
      </c>
      <c r="G55" s="21">
        <v>60.2</v>
      </c>
      <c r="H55" s="21"/>
      <c r="I55" s="117" t="s">
        <v>842</v>
      </c>
      <c r="J55" s="117" t="s">
        <v>325</v>
      </c>
      <c r="K55" s="118">
        <v>3.9</v>
      </c>
      <c r="L55" s="21"/>
      <c r="M55" s="21"/>
      <c r="N55" s="21"/>
      <c r="O55" s="21"/>
      <c r="P55" s="21">
        <v>56.3</v>
      </c>
      <c r="Q55" s="21"/>
      <c r="R55" s="21" t="s">
        <v>326</v>
      </c>
      <c r="S55" s="119">
        <f>DATABASE_Table[[#This Row],[Inicial Asking Price (€) (Total)]]-DATABASE_Table[[#This Row],[Vista membership]]-DATABASE_Table[[#This Row],[FF&amp;E]]</f>
        <v>765000</v>
      </c>
      <c r="T55" s="124">
        <v>800000</v>
      </c>
      <c r="U55" s="36">
        <v>410000</v>
      </c>
      <c r="V55" s="21"/>
      <c r="W55" s="36">
        <v>35000</v>
      </c>
      <c r="X55" s="73">
        <f>DATABASE_Table[[#This Row],[Current Asking price( Total)]]-DATABASE_Table[[#This Row],[Vista membership]]-DATABASE_Table[[#This Row],[FF&amp;E]]</f>
        <v>375000</v>
      </c>
      <c r="Y55" s="37">
        <v>0</v>
      </c>
      <c r="Z55" s="36">
        <v>410000</v>
      </c>
      <c r="AA55" s="73">
        <f>DATABASE_Table[[#This Row],[Sell price (Total)]]-DATABASE_Table[[#This Row],[FF&amp;E]]-DATABASE_Table[[#This Row],[Vista membership]]</f>
        <v>375000</v>
      </c>
      <c r="AB55" s="74">
        <v>45792</v>
      </c>
      <c r="AC55" s="74" t="str">
        <f t="shared" si="0"/>
        <v>Q2 2025</v>
      </c>
      <c r="AD55" s="123">
        <v>46112</v>
      </c>
      <c r="AE55" s="69">
        <v>47118</v>
      </c>
      <c r="AF55" s="21" t="s">
        <v>80</v>
      </c>
      <c r="AG55" s="21" t="s">
        <v>81</v>
      </c>
      <c r="AH55" s="122" t="s">
        <v>82</v>
      </c>
      <c r="AI55" s="122" t="s">
        <v>83</v>
      </c>
      <c r="AJ55" s="122" t="s">
        <v>84</v>
      </c>
      <c r="AK55" s="122" t="s">
        <v>85</v>
      </c>
      <c r="AL55" s="21" t="s">
        <v>86</v>
      </c>
      <c r="AM55" s="122" t="s">
        <v>78</v>
      </c>
    </row>
    <row r="56" spans="1:39" customFormat="1" ht="15.75" customHeight="1" x14ac:dyDescent="0.3">
      <c r="A56" t="s">
        <v>78</v>
      </c>
      <c r="B56" s="21" t="s">
        <v>773</v>
      </c>
      <c r="C56" s="21" t="s">
        <v>780</v>
      </c>
      <c r="D56" s="117" t="s">
        <v>131</v>
      </c>
      <c r="E56" s="21" t="s">
        <v>79</v>
      </c>
      <c r="F56" s="21" t="s">
        <v>316</v>
      </c>
      <c r="G56" s="21">
        <v>60.2</v>
      </c>
      <c r="H56" s="21"/>
      <c r="I56" s="117" t="s">
        <v>842</v>
      </c>
      <c r="J56" s="117" t="s">
        <v>325</v>
      </c>
      <c r="K56" s="118">
        <v>3.9</v>
      </c>
      <c r="L56" s="21"/>
      <c r="M56" s="21"/>
      <c r="N56" s="21"/>
      <c r="O56" s="21"/>
      <c r="P56" s="21">
        <v>56.3</v>
      </c>
      <c r="Q56" s="21"/>
      <c r="R56" s="21" t="s">
        <v>326</v>
      </c>
      <c r="S56" s="119">
        <f>DATABASE_Table[[#This Row],[Inicial Asking Price (€) (Total)]]-DATABASE_Table[[#This Row],[Vista membership]]-DATABASE_Table[[#This Row],[FF&amp;E]]</f>
        <v>885000</v>
      </c>
      <c r="T56" s="124">
        <v>920000</v>
      </c>
      <c r="U56" s="36">
        <v>410000</v>
      </c>
      <c r="V56" s="21"/>
      <c r="W56" s="36">
        <v>35000</v>
      </c>
      <c r="X56" s="73">
        <f>DATABASE_Table[[#This Row],[Current Asking price( Total)]]-DATABASE_Table[[#This Row],[Vista membership]]-DATABASE_Table[[#This Row],[FF&amp;E]]</f>
        <v>375000</v>
      </c>
      <c r="Y56" s="37">
        <v>0</v>
      </c>
      <c r="Z56" s="36">
        <v>410000</v>
      </c>
      <c r="AA56" s="73">
        <f>DATABASE_Table[[#This Row],[Sell price (Total)]]-DATABASE_Table[[#This Row],[FF&amp;E]]-DATABASE_Table[[#This Row],[Vista membership]]</f>
        <v>375000</v>
      </c>
      <c r="AB56" s="74">
        <v>45792</v>
      </c>
      <c r="AC56" s="74" t="str">
        <f t="shared" si="0"/>
        <v>Q2 2025</v>
      </c>
      <c r="AD56" s="123">
        <v>46146</v>
      </c>
      <c r="AE56" s="69">
        <v>47118</v>
      </c>
      <c r="AF56" s="21" t="s">
        <v>80</v>
      </c>
      <c r="AG56" s="21" t="s">
        <v>81</v>
      </c>
      <c r="AH56" s="122" t="s">
        <v>82</v>
      </c>
      <c r="AI56" s="122" t="s">
        <v>83</v>
      </c>
      <c r="AJ56" s="122" t="s">
        <v>84</v>
      </c>
      <c r="AK56" s="122" t="s">
        <v>85</v>
      </c>
      <c r="AL56" s="21" t="s">
        <v>86</v>
      </c>
      <c r="AM56" s="122" t="s">
        <v>78</v>
      </c>
    </row>
    <row r="57" spans="1:39" customFormat="1" ht="15.75" customHeight="1" x14ac:dyDescent="0.3">
      <c r="A57" t="s">
        <v>78</v>
      </c>
      <c r="B57" s="21" t="s">
        <v>773</v>
      </c>
      <c r="C57" s="21" t="s">
        <v>780</v>
      </c>
      <c r="D57" s="117" t="s">
        <v>137</v>
      </c>
      <c r="E57" s="21" t="s">
        <v>79</v>
      </c>
      <c r="F57" s="21" t="s">
        <v>316</v>
      </c>
      <c r="G57" s="21">
        <v>60.2</v>
      </c>
      <c r="H57" s="21"/>
      <c r="I57" s="117" t="s">
        <v>842</v>
      </c>
      <c r="J57" s="117" t="s">
        <v>325</v>
      </c>
      <c r="K57" s="118">
        <v>3.9</v>
      </c>
      <c r="L57" s="21"/>
      <c r="M57" s="21"/>
      <c r="N57" s="21"/>
      <c r="O57" s="21"/>
      <c r="P57" s="21">
        <v>56.3</v>
      </c>
      <c r="Q57" s="21"/>
      <c r="R57" s="21" t="s">
        <v>326</v>
      </c>
      <c r="S57" s="119">
        <f>DATABASE_Table[[#This Row],[Inicial Asking Price (€) (Total)]]-DATABASE_Table[[#This Row],[Vista membership]]-DATABASE_Table[[#This Row],[FF&amp;E]]</f>
        <v>2065000</v>
      </c>
      <c r="T57" s="36">
        <v>2100000</v>
      </c>
      <c r="U57" s="36">
        <v>390000</v>
      </c>
      <c r="V57" s="21"/>
      <c r="W57" s="36">
        <v>35000</v>
      </c>
      <c r="X57" s="73">
        <f>DATABASE_Table[[#This Row],[Current Asking price( Total)]]-DATABASE_Table[[#This Row],[Vista membership]]-DATABASE_Table[[#This Row],[FF&amp;E]]</f>
        <v>355000</v>
      </c>
      <c r="Y57" s="37">
        <v>0</v>
      </c>
      <c r="Z57" s="36">
        <v>390000</v>
      </c>
      <c r="AA57" s="73">
        <f>DATABASE_Table[[#This Row],[Sell price (Total)]]-DATABASE_Table[[#This Row],[FF&amp;E]]-DATABASE_Table[[#This Row],[Vista membership]]</f>
        <v>355000</v>
      </c>
      <c r="AB57" s="74">
        <v>45792</v>
      </c>
      <c r="AC57" s="74" t="str">
        <f t="shared" si="0"/>
        <v>Q2 2025</v>
      </c>
      <c r="AD57" s="123">
        <v>46098</v>
      </c>
      <c r="AE57" s="69">
        <v>47118</v>
      </c>
      <c r="AF57" s="21" t="s">
        <v>80</v>
      </c>
      <c r="AG57" s="21" t="s">
        <v>81</v>
      </c>
      <c r="AH57" s="122" t="s">
        <v>82</v>
      </c>
      <c r="AI57" s="122" t="s">
        <v>83</v>
      </c>
      <c r="AJ57" s="122" t="s">
        <v>84</v>
      </c>
      <c r="AK57" s="122" t="s">
        <v>85</v>
      </c>
      <c r="AL57" s="21" t="s">
        <v>86</v>
      </c>
      <c r="AM57" s="122" t="s">
        <v>78</v>
      </c>
    </row>
    <row r="58" spans="1:39" customFormat="1" ht="15.75" customHeight="1" x14ac:dyDescent="0.3">
      <c r="A58" t="s">
        <v>78</v>
      </c>
      <c r="B58" s="21" t="s">
        <v>773</v>
      </c>
      <c r="C58" s="21" t="s">
        <v>780</v>
      </c>
      <c r="D58" s="117" t="s">
        <v>138</v>
      </c>
      <c r="E58" s="21" t="s">
        <v>79</v>
      </c>
      <c r="F58" s="21" t="s">
        <v>316</v>
      </c>
      <c r="G58" s="21">
        <v>60.2</v>
      </c>
      <c r="H58" s="21"/>
      <c r="I58" s="117" t="s">
        <v>842</v>
      </c>
      <c r="J58" s="117" t="s">
        <v>325</v>
      </c>
      <c r="K58" s="118">
        <v>3.9</v>
      </c>
      <c r="L58" s="21"/>
      <c r="M58" s="21"/>
      <c r="N58" s="21"/>
      <c r="O58" s="21"/>
      <c r="P58" s="21">
        <v>56.3</v>
      </c>
      <c r="Q58" s="21"/>
      <c r="R58" s="21" t="s">
        <v>326</v>
      </c>
      <c r="S58" s="119">
        <f>DATABASE_Table[[#This Row],[Inicial Asking Price (€) (Total)]]-DATABASE_Table[[#This Row],[Vista membership]]-DATABASE_Table[[#This Row],[FF&amp;E]]</f>
        <v>2865000</v>
      </c>
      <c r="T58" s="36">
        <v>2900000</v>
      </c>
      <c r="U58" s="36">
        <v>390000</v>
      </c>
      <c r="V58" s="21"/>
      <c r="W58" s="36">
        <v>35000</v>
      </c>
      <c r="X58" s="73">
        <f>DATABASE_Table[[#This Row],[Current Asking price( Total)]]-DATABASE_Table[[#This Row],[Vista membership]]-DATABASE_Table[[#This Row],[FF&amp;E]]</f>
        <v>355000</v>
      </c>
      <c r="Y58" s="37">
        <v>0</v>
      </c>
      <c r="Z58" s="36">
        <v>390000</v>
      </c>
      <c r="AA58" s="73">
        <f>DATABASE_Table[[#This Row],[Sell price (Total)]]-DATABASE_Table[[#This Row],[FF&amp;E]]-DATABASE_Table[[#This Row],[Vista membership]]</f>
        <v>355000</v>
      </c>
      <c r="AB58" s="74">
        <v>45792</v>
      </c>
      <c r="AC58" s="74" t="str">
        <f t="shared" si="0"/>
        <v>Q2 2025</v>
      </c>
      <c r="AD58" s="123">
        <v>46085</v>
      </c>
      <c r="AE58" s="69">
        <v>47118</v>
      </c>
      <c r="AF58" s="21" t="s">
        <v>80</v>
      </c>
      <c r="AG58" s="21" t="s">
        <v>81</v>
      </c>
      <c r="AH58" s="122" t="s">
        <v>82</v>
      </c>
      <c r="AI58" s="122" t="s">
        <v>83</v>
      </c>
      <c r="AJ58" s="122" t="s">
        <v>84</v>
      </c>
      <c r="AK58" s="122" t="s">
        <v>85</v>
      </c>
      <c r="AL58" s="21" t="s">
        <v>86</v>
      </c>
      <c r="AM58" s="122" t="s">
        <v>78</v>
      </c>
    </row>
    <row r="59" spans="1:39" customFormat="1" ht="15.75" customHeight="1" x14ac:dyDescent="0.3">
      <c r="A59" t="s">
        <v>78</v>
      </c>
      <c r="B59" s="21" t="s">
        <v>773</v>
      </c>
      <c r="C59" s="21" t="s">
        <v>780</v>
      </c>
      <c r="D59" s="117" t="s">
        <v>139</v>
      </c>
      <c r="E59" s="21" t="s">
        <v>79</v>
      </c>
      <c r="F59" s="21" t="s">
        <v>316</v>
      </c>
      <c r="G59" s="21">
        <v>60.2</v>
      </c>
      <c r="H59" s="21"/>
      <c r="I59" s="117" t="s">
        <v>842</v>
      </c>
      <c r="J59" s="117" t="s">
        <v>325</v>
      </c>
      <c r="K59" s="118">
        <v>3.9</v>
      </c>
      <c r="L59" s="21"/>
      <c r="M59" s="21"/>
      <c r="N59" s="21"/>
      <c r="O59" s="21"/>
      <c r="P59" s="21">
        <v>56.3</v>
      </c>
      <c r="Q59" s="21"/>
      <c r="R59" s="21" t="s">
        <v>326</v>
      </c>
      <c r="S59" s="119">
        <f>DATABASE_Table[[#This Row],[Inicial Asking Price (€) (Total)]]-DATABASE_Table[[#This Row],[Vista membership]]-DATABASE_Table[[#This Row],[FF&amp;E]]</f>
        <v>2265000</v>
      </c>
      <c r="T59" s="36">
        <v>2300000</v>
      </c>
      <c r="U59" s="36">
        <v>390000</v>
      </c>
      <c r="V59" s="21"/>
      <c r="W59" s="36">
        <v>35000</v>
      </c>
      <c r="X59" s="73">
        <f>DATABASE_Table[[#This Row],[Current Asking price( Total)]]-DATABASE_Table[[#This Row],[Vista membership]]-DATABASE_Table[[#This Row],[FF&amp;E]]</f>
        <v>355000</v>
      </c>
      <c r="Y59" s="37">
        <v>0</v>
      </c>
      <c r="Z59" s="36">
        <v>390000</v>
      </c>
      <c r="AA59" s="73">
        <f>DATABASE_Table[[#This Row],[Sell price (Total)]]-DATABASE_Table[[#This Row],[FF&amp;E]]-DATABASE_Table[[#This Row],[Vista membership]]</f>
        <v>355000</v>
      </c>
      <c r="AB59" s="74">
        <v>45792</v>
      </c>
      <c r="AC59" s="74" t="str">
        <f t="shared" si="0"/>
        <v>Q2 2025</v>
      </c>
      <c r="AD59" s="123">
        <v>46129</v>
      </c>
      <c r="AE59" s="69">
        <v>47118</v>
      </c>
      <c r="AF59" s="21" t="s">
        <v>80</v>
      </c>
      <c r="AG59" s="21" t="s">
        <v>81</v>
      </c>
      <c r="AH59" s="122" t="s">
        <v>82</v>
      </c>
      <c r="AI59" s="122" t="s">
        <v>83</v>
      </c>
      <c r="AJ59" s="122" t="s">
        <v>84</v>
      </c>
      <c r="AK59" s="122" t="s">
        <v>85</v>
      </c>
      <c r="AL59" s="21" t="s">
        <v>86</v>
      </c>
      <c r="AM59" s="122" t="s">
        <v>78</v>
      </c>
    </row>
    <row r="60" spans="1:39" customFormat="1" ht="15.75" customHeight="1" x14ac:dyDescent="0.3">
      <c r="A60" t="s">
        <v>78</v>
      </c>
      <c r="B60" s="21" t="s">
        <v>773</v>
      </c>
      <c r="C60" s="21" t="s">
        <v>780</v>
      </c>
      <c r="D60" s="117" t="s">
        <v>140</v>
      </c>
      <c r="E60" s="21" t="s">
        <v>79</v>
      </c>
      <c r="F60" s="21" t="s">
        <v>316</v>
      </c>
      <c r="G60" s="21">
        <v>60.2</v>
      </c>
      <c r="H60" s="21"/>
      <c r="I60" s="117" t="s">
        <v>842</v>
      </c>
      <c r="J60" s="117" t="s">
        <v>325</v>
      </c>
      <c r="K60" s="118">
        <v>3.9</v>
      </c>
      <c r="L60" s="21"/>
      <c r="M60" s="21"/>
      <c r="N60" s="21"/>
      <c r="O60" s="21"/>
      <c r="P60" s="21">
        <v>56.3</v>
      </c>
      <c r="Q60" s="21"/>
      <c r="R60" s="21" t="s">
        <v>326</v>
      </c>
      <c r="S60" s="119">
        <f>DATABASE_Table[[#This Row],[Inicial Asking Price (€) (Total)]]-DATABASE_Table[[#This Row],[Vista membership]]-DATABASE_Table[[#This Row],[FF&amp;E]]</f>
        <v>2265000</v>
      </c>
      <c r="T60" s="36">
        <v>2300000</v>
      </c>
      <c r="U60" s="36">
        <v>390000</v>
      </c>
      <c r="V60" s="21"/>
      <c r="W60" s="36">
        <v>35000</v>
      </c>
      <c r="X60" s="73">
        <f>DATABASE_Table[[#This Row],[Current Asking price( Total)]]-DATABASE_Table[[#This Row],[Vista membership]]-DATABASE_Table[[#This Row],[FF&amp;E]]</f>
        <v>355000</v>
      </c>
      <c r="Y60" s="37">
        <v>0</v>
      </c>
      <c r="Z60" s="36">
        <v>390000</v>
      </c>
      <c r="AA60" s="73">
        <f>DATABASE_Table[[#This Row],[Sell price (Total)]]-DATABASE_Table[[#This Row],[FF&amp;E]]-DATABASE_Table[[#This Row],[Vista membership]]</f>
        <v>355000</v>
      </c>
      <c r="AB60" s="74">
        <v>45792</v>
      </c>
      <c r="AC60" s="74" t="str">
        <f t="shared" si="0"/>
        <v>Q2 2025</v>
      </c>
      <c r="AD60" s="123">
        <v>46129</v>
      </c>
      <c r="AE60" s="69">
        <v>47118</v>
      </c>
      <c r="AF60" s="21" t="s">
        <v>80</v>
      </c>
      <c r="AG60" s="21" t="s">
        <v>81</v>
      </c>
      <c r="AH60" s="122" t="s">
        <v>82</v>
      </c>
      <c r="AI60" s="122" t="s">
        <v>83</v>
      </c>
      <c r="AJ60" s="122" t="s">
        <v>84</v>
      </c>
      <c r="AK60" s="122" t="s">
        <v>85</v>
      </c>
      <c r="AL60" s="21" t="s">
        <v>86</v>
      </c>
      <c r="AM60" s="122" t="s">
        <v>78</v>
      </c>
    </row>
    <row r="61" spans="1:39" customFormat="1" ht="15.75" customHeight="1" x14ac:dyDescent="0.3">
      <c r="A61" t="s">
        <v>78</v>
      </c>
      <c r="B61" s="21" t="s">
        <v>773</v>
      </c>
      <c r="C61" s="21" t="s">
        <v>780</v>
      </c>
      <c r="D61" s="117" t="s">
        <v>141</v>
      </c>
      <c r="E61" s="21" t="s">
        <v>79</v>
      </c>
      <c r="F61" s="21" t="s">
        <v>316</v>
      </c>
      <c r="G61" s="21">
        <v>56.5</v>
      </c>
      <c r="H61" s="21"/>
      <c r="I61" s="117" t="s">
        <v>842</v>
      </c>
      <c r="J61" s="117" t="s">
        <v>325</v>
      </c>
      <c r="K61" s="118">
        <v>5</v>
      </c>
      <c r="L61" s="21"/>
      <c r="M61" s="21"/>
      <c r="N61" s="21"/>
      <c r="O61" s="21"/>
      <c r="P61" s="21">
        <v>51.5</v>
      </c>
      <c r="Q61" s="21"/>
      <c r="R61" s="21" t="s">
        <v>326</v>
      </c>
      <c r="S61" s="119">
        <f>DATABASE_Table[[#This Row],[Inicial Asking Price (€) (Total)]]-DATABASE_Table[[#This Row],[Vista membership]]-DATABASE_Table[[#This Row],[FF&amp;E]]</f>
        <v>1915000</v>
      </c>
      <c r="T61" s="36">
        <v>1950000</v>
      </c>
      <c r="U61" s="36">
        <v>370000</v>
      </c>
      <c r="V61" s="21"/>
      <c r="W61" s="36">
        <v>35000</v>
      </c>
      <c r="X61" s="73">
        <f>DATABASE_Table[[#This Row],[Current Asking price( Total)]]-DATABASE_Table[[#This Row],[Vista membership]]-DATABASE_Table[[#This Row],[FF&amp;E]]</f>
        <v>335000</v>
      </c>
      <c r="Y61" s="37">
        <v>0</v>
      </c>
      <c r="Z61" s="36">
        <v>370000</v>
      </c>
      <c r="AA61" s="73">
        <f>DATABASE_Table[[#This Row],[Sell price (Total)]]-DATABASE_Table[[#This Row],[FF&amp;E]]-DATABASE_Table[[#This Row],[Vista membership]]</f>
        <v>335000</v>
      </c>
      <c r="AB61" s="74">
        <v>45792</v>
      </c>
      <c r="AC61" s="74" t="str">
        <f t="shared" si="0"/>
        <v>Q2 2025</v>
      </c>
      <c r="AD61" s="123">
        <v>46104</v>
      </c>
      <c r="AE61" s="69">
        <v>47118</v>
      </c>
      <c r="AF61" s="21" t="s">
        <v>80</v>
      </c>
      <c r="AG61" s="21" t="s">
        <v>81</v>
      </c>
      <c r="AH61" s="122" t="s">
        <v>82</v>
      </c>
      <c r="AI61" s="122" t="s">
        <v>83</v>
      </c>
      <c r="AJ61" s="122" t="s">
        <v>84</v>
      </c>
      <c r="AK61" s="122" t="s">
        <v>85</v>
      </c>
      <c r="AL61" s="21" t="s">
        <v>86</v>
      </c>
      <c r="AM61" s="122" t="s">
        <v>78</v>
      </c>
    </row>
    <row r="62" spans="1:39" customFormat="1" ht="15.75" customHeight="1" x14ac:dyDescent="0.3">
      <c r="A62" t="s">
        <v>78</v>
      </c>
      <c r="B62" s="21" t="s">
        <v>773</v>
      </c>
      <c r="C62" s="21" t="s">
        <v>780</v>
      </c>
      <c r="D62" s="117" t="s">
        <v>142</v>
      </c>
      <c r="E62" s="21" t="s">
        <v>79</v>
      </c>
      <c r="F62" s="21" t="s">
        <v>316</v>
      </c>
      <c r="G62" s="21">
        <v>56.5</v>
      </c>
      <c r="H62" s="21"/>
      <c r="I62" s="117" t="s">
        <v>842</v>
      </c>
      <c r="J62" s="117" t="s">
        <v>325</v>
      </c>
      <c r="K62" s="118">
        <v>5</v>
      </c>
      <c r="L62" s="21"/>
      <c r="M62" s="21"/>
      <c r="N62" s="21"/>
      <c r="O62" s="21"/>
      <c r="P62" s="21">
        <v>51.5</v>
      </c>
      <c r="Q62" s="21"/>
      <c r="R62" s="21" t="s">
        <v>326</v>
      </c>
      <c r="S62" s="119">
        <f>DATABASE_Table[[#This Row],[Inicial Asking Price (€) (Total)]]-DATABASE_Table[[#This Row],[Vista membership]]-DATABASE_Table[[#This Row],[FF&amp;E]]</f>
        <v>1715000</v>
      </c>
      <c r="T62" s="36">
        <v>1750000</v>
      </c>
      <c r="U62" s="36">
        <v>370000</v>
      </c>
      <c r="V62" s="21"/>
      <c r="W62" s="36">
        <v>35000</v>
      </c>
      <c r="X62" s="73">
        <f>DATABASE_Table[[#This Row],[Current Asking price( Total)]]-DATABASE_Table[[#This Row],[Vista membership]]-DATABASE_Table[[#This Row],[FF&amp;E]]</f>
        <v>335000</v>
      </c>
      <c r="Y62" s="37">
        <v>0</v>
      </c>
      <c r="Z62" s="36">
        <v>370000</v>
      </c>
      <c r="AA62" s="73">
        <f>DATABASE_Table[[#This Row],[Sell price (Total)]]-DATABASE_Table[[#This Row],[FF&amp;E]]-DATABASE_Table[[#This Row],[Vista membership]]</f>
        <v>335000</v>
      </c>
      <c r="AB62" s="74">
        <v>45792</v>
      </c>
      <c r="AC62" s="74" t="str">
        <f t="shared" si="0"/>
        <v>Q2 2025</v>
      </c>
      <c r="AD62" s="123">
        <v>46052</v>
      </c>
      <c r="AE62" s="69">
        <v>47118</v>
      </c>
      <c r="AF62" s="21" t="s">
        <v>80</v>
      </c>
      <c r="AG62" s="21" t="s">
        <v>81</v>
      </c>
      <c r="AH62" s="122" t="s">
        <v>82</v>
      </c>
      <c r="AI62" s="122" t="s">
        <v>83</v>
      </c>
      <c r="AJ62" s="122" t="s">
        <v>84</v>
      </c>
      <c r="AK62" s="122" t="s">
        <v>85</v>
      </c>
      <c r="AL62" s="21" t="s">
        <v>86</v>
      </c>
      <c r="AM62" s="122" t="s">
        <v>78</v>
      </c>
    </row>
    <row r="63" spans="1:39" customFormat="1" ht="15.75" customHeight="1" x14ac:dyDescent="0.3">
      <c r="A63" t="s">
        <v>78</v>
      </c>
      <c r="B63" s="21" t="s">
        <v>773</v>
      </c>
      <c r="C63" s="21" t="s">
        <v>780</v>
      </c>
      <c r="D63" s="117" t="s">
        <v>153</v>
      </c>
      <c r="E63" s="21" t="s">
        <v>79</v>
      </c>
      <c r="F63" s="21" t="s">
        <v>315</v>
      </c>
      <c r="G63" s="21">
        <v>98.7</v>
      </c>
      <c r="H63" s="21"/>
      <c r="I63" s="117" t="s">
        <v>842</v>
      </c>
      <c r="J63" s="117" t="s">
        <v>325</v>
      </c>
      <c r="K63" s="118">
        <v>13.3</v>
      </c>
      <c r="L63" s="21"/>
      <c r="M63" s="21"/>
      <c r="N63" s="21"/>
      <c r="O63" s="21"/>
      <c r="P63" s="21">
        <v>85.4</v>
      </c>
      <c r="Q63" s="21"/>
      <c r="R63" s="21" t="s">
        <v>326</v>
      </c>
      <c r="S63" s="119">
        <f>DATABASE_Table[[#This Row],[Inicial Asking Price (€) (Total)]]-DATABASE_Table[[#This Row],[Vista membership]]-DATABASE_Table[[#This Row],[FF&amp;E]]</f>
        <v>595000</v>
      </c>
      <c r="T63" s="120">
        <v>640000</v>
      </c>
      <c r="U63" s="36">
        <v>640000</v>
      </c>
      <c r="V63" s="21"/>
      <c r="W63" s="36">
        <v>45000</v>
      </c>
      <c r="X63" s="73">
        <f>DATABASE_Table[[#This Row],[Current Asking price( Total)]]-DATABASE_Table[[#This Row],[Vista membership]]-DATABASE_Table[[#This Row],[FF&amp;E]]</f>
        <v>595000</v>
      </c>
      <c r="Y63" s="37">
        <v>0</v>
      </c>
      <c r="Z63" s="36">
        <v>640000</v>
      </c>
      <c r="AA63" s="73">
        <f>DATABASE_Table[[#This Row],[Sell price (Total)]]-DATABASE_Table[[#This Row],[FF&amp;E]]-DATABASE_Table[[#This Row],[Vista membership]]</f>
        <v>595000</v>
      </c>
      <c r="AB63" s="74">
        <v>45792</v>
      </c>
      <c r="AC63" s="74" t="str">
        <f t="shared" si="0"/>
        <v>Q2 2025</v>
      </c>
      <c r="AD63" s="123">
        <v>46112</v>
      </c>
      <c r="AE63" s="69">
        <v>47118</v>
      </c>
      <c r="AF63" s="21" t="s">
        <v>80</v>
      </c>
      <c r="AG63" s="21" t="s">
        <v>81</v>
      </c>
      <c r="AH63" s="122" t="s">
        <v>82</v>
      </c>
      <c r="AI63" s="122" t="s">
        <v>83</v>
      </c>
      <c r="AJ63" s="122" t="s">
        <v>84</v>
      </c>
      <c r="AK63" s="122" t="s">
        <v>85</v>
      </c>
      <c r="AL63" s="21" t="s">
        <v>86</v>
      </c>
      <c r="AM63" s="122" t="s">
        <v>78</v>
      </c>
    </row>
    <row r="64" spans="1:39" customFormat="1" ht="15.75" customHeight="1" x14ac:dyDescent="0.3">
      <c r="A64" t="s">
        <v>78</v>
      </c>
      <c r="B64" s="21" t="s">
        <v>773</v>
      </c>
      <c r="C64" s="21" t="s">
        <v>780</v>
      </c>
      <c r="D64" s="117" t="s">
        <v>777</v>
      </c>
      <c r="E64" s="21" t="s">
        <v>79</v>
      </c>
      <c r="F64" s="21" t="s">
        <v>315</v>
      </c>
      <c r="G64" s="21">
        <v>98.7</v>
      </c>
      <c r="H64" s="21"/>
      <c r="I64" s="117" t="s">
        <v>842</v>
      </c>
      <c r="J64" s="117" t="s">
        <v>325</v>
      </c>
      <c r="K64" s="118">
        <v>13.3</v>
      </c>
      <c r="L64" s="21"/>
      <c r="M64" s="21"/>
      <c r="N64" s="21"/>
      <c r="O64" s="21"/>
      <c r="P64" s="21">
        <v>85.4</v>
      </c>
      <c r="Q64" s="21"/>
      <c r="R64" s="21" t="s">
        <v>326</v>
      </c>
      <c r="S64" s="119">
        <f>DATABASE_Table[[#This Row],[Inicial Asking Price (€) (Total)]]-DATABASE_Table[[#This Row],[Vista membership]]-DATABASE_Table[[#This Row],[FF&amp;E]]</f>
        <v>620000</v>
      </c>
      <c r="T64" s="120">
        <v>665000</v>
      </c>
      <c r="U64" s="36">
        <v>665000</v>
      </c>
      <c r="V64" s="21"/>
      <c r="W64" s="36">
        <v>45000</v>
      </c>
      <c r="X64" s="73">
        <f>DATABASE_Table[[#This Row],[Current Asking price( Total)]]-DATABASE_Table[[#This Row],[Vista membership]]-DATABASE_Table[[#This Row],[FF&amp;E]]</f>
        <v>620000</v>
      </c>
      <c r="Y64" s="37">
        <v>0</v>
      </c>
      <c r="Z64" s="36">
        <v>665000</v>
      </c>
      <c r="AA64" s="73">
        <f>DATABASE_Table[[#This Row],[Sell price (Total)]]-DATABASE_Table[[#This Row],[FF&amp;E]]-DATABASE_Table[[#This Row],[Vista membership]]</f>
        <v>620000</v>
      </c>
      <c r="AB64" s="74">
        <v>45792</v>
      </c>
      <c r="AC64" s="74" t="str">
        <f t="shared" si="0"/>
        <v>Q2 2025</v>
      </c>
      <c r="AD64" s="123">
        <v>46112</v>
      </c>
      <c r="AE64" s="69">
        <v>47118</v>
      </c>
      <c r="AF64" s="21" t="s">
        <v>80</v>
      </c>
      <c r="AG64" s="21" t="s">
        <v>81</v>
      </c>
      <c r="AH64" s="122" t="s">
        <v>82</v>
      </c>
      <c r="AI64" s="122" t="s">
        <v>83</v>
      </c>
      <c r="AJ64" s="122" t="s">
        <v>84</v>
      </c>
      <c r="AK64" s="122" t="s">
        <v>85</v>
      </c>
      <c r="AL64" s="21" t="s">
        <v>86</v>
      </c>
      <c r="AM64" s="122" t="s">
        <v>78</v>
      </c>
    </row>
    <row r="65" spans="1:39" customFormat="1" ht="15.75" customHeight="1" x14ac:dyDescent="0.3">
      <c r="A65" t="s">
        <v>78</v>
      </c>
      <c r="B65" s="21" t="s">
        <v>773</v>
      </c>
      <c r="C65" s="21" t="s">
        <v>780</v>
      </c>
      <c r="D65" s="117" t="s">
        <v>178</v>
      </c>
      <c r="E65" s="21" t="s">
        <v>79</v>
      </c>
      <c r="F65" s="21" t="s">
        <v>316</v>
      </c>
      <c r="G65" s="21">
        <v>56.5</v>
      </c>
      <c r="H65" s="21"/>
      <c r="I65" s="117" t="s">
        <v>842</v>
      </c>
      <c r="J65" s="117" t="s">
        <v>325</v>
      </c>
      <c r="K65" s="118">
        <v>5</v>
      </c>
      <c r="L65" s="21"/>
      <c r="M65" s="21"/>
      <c r="N65" s="21"/>
      <c r="O65" s="21"/>
      <c r="P65" s="21">
        <v>51.5</v>
      </c>
      <c r="Q65" s="21"/>
      <c r="R65" s="21" t="s">
        <v>326</v>
      </c>
      <c r="S65" s="119">
        <f>DATABASE_Table[[#This Row],[Inicial Asking Price (€) (Total)]]-DATABASE_Table[[#This Row],[Vista membership]]-DATABASE_Table[[#This Row],[FF&amp;E]]</f>
        <v>2365000</v>
      </c>
      <c r="T65" s="36">
        <v>2400000</v>
      </c>
      <c r="U65" s="36">
        <v>390000</v>
      </c>
      <c r="V65" s="21"/>
      <c r="W65" s="36">
        <v>35000</v>
      </c>
      <c r="X65" s="73">
        <f>DATABASE_Table[[#This Row],[Current Asking price( Total)]]-DATABASE_Table[[#This Row],[Vista membership]]-DATABASE_Table[[#This Row],[FF&amp;E]]</f>
        <v>355000</v>
      </c>
      <c r="Y65" s="37">
        <v>0</v>
      </c>
      <c r="Z65" s="36">
        <v>390000</v>
      </c>
      <c r="AA65" s="73">
        <f>DATABASE_Table[[#This Row],[Sell price (Total)]]-DATABASE_Table[[#This Row],[FF&amp;E]]-DATABASE_Table[[#This Row],[Vista membership]]</f>
        <v>355000</v>
      </c>
      <c r="AB65" s="74">
        <v>45792</v>
      </c>
      <c r="AC65" s="74" t="str">
        <f t="shared" si="0"/>
        <v>Q2 2025</v>
      </c>
      <c r="AD65" s="123">
        <v>46126</v>
      </c>
      <c r="AE65" s="69">
        <v>47118</v>
      </c>
      <c r="AF65" s="21" t="s">
        <v>80</v>
      </c>
      <c r="AG65" s="21" t="s">
        <v>81</v>
      </c>
      <c r="AH65" s="122" t="s">
        <v>82</v>
      </c>
      <c r="AI65" s="122" t="s">
        <v>83</v>
      </c>
      <c r="AJ65" s="122" t="s">
        <v>84</v>
      </c>
      <c r="AK65" s="122" t="s">
        <v>85</v>
      </c>
      <c r="AL65" s="21" t="s">
        <v>86</v>
      </c>
      <c r="AM65" s="122" t="s">
        <v>78</v>
      </c>
    </row>
    <row r="66" spans="1:39" customFormat="1" ht="15.75" customHeight="1" x14ac:dyDescent="0.3">
      <c r="A66" t="s">
        <v>78</v>
      </c>
      <c r="B66" s="21" t="s">
        <v>773</v>
      </c>
      <c r="C66" s="21" t="s">
        <v>780</v>
      </c>
      <c r="D66" s="117" t="s">
        <v>179</v>
      </c>
      <c r="E66" s="21" t="s">
        <v>79</v>
      </c>
      <c r="F66" s="21" t="s">
        <v>316</v>
      </c>
      <c r="G66" s="21">
        <v>56.5</v>
      </c>
      <c r="H66" s="21"/>
      <c r="I66" s="117" t="s">
        <v>842</v>
      </c>
      <c r="J66" s="117" t="s">
        <v>325</v>
      </c>
      <c r="K66" s="118">
        <v>5</v>
      </c>
      <c r="L66" s="21"/>
      <c r="M66" s="21"/>
      <c r="N66" s="21"/>
      <c r="O66" s="21"/>
      <c r="P66" s="21">
        <v>51.5</v>
      </c>
      <c r="Q66" s="21"/>
      <c r="R66" s="21" t="s">
        <v>327</v>
      </c>
      <c r="S66" s="119">
        <f>DATABASE_Table[[#This Row],[Inicial Asking Price (€) (Total)]]-DATABASE_Table[[#This Row],[Vista membership]]-DATABASE_Table[[#This Row],[FF&amp;E]]</f>
        <v>1915000</v>
      </c>
      <c r="T66" s="36">
        <v>1950000</v>
      </c>
      <c r="U66" s="36">
        <v>390000</v>
      </c>
      <c r="V66" s="21"/>
      <c r="W66" s="36">
        <v>35000</v>
      </c>
      <c r="X66" s="73">
        <f>DATABASE_Table[[#This Row],[Current Asking price( Total)]]-DATABASE_Table[[#This Row],[Vista membership]]-DATABASE_Table[[#This Row],[FF&amp;E]]</f>
        <v>355000</v>
      </c>
      <c r="Y66" s="37">
        <v>0</v>
      </c>
      <c r="Z66" s="36">
        <v>390000</v>
      </c>
      <c r="AA66" s="73">
        <f>DATABASE_Table[[#This Row],[Sell price (Total)]]-DATABASE_Table[[#This Row],[FF&amp;E]]-DATABASE_Table[[#This Row],[Vista membership]]</f>
        <v>355000</v>
      </c>
      <c r="AB66" s="74">
        <v>45792</v>
      </c>
      <c r="AC66" s="74" t="str">
        <f t="shared" ref="AC66:AC129" si="1">IF(AB66="","TO LAUNCH","Q"&amp;ROUNDUP(MONTH(AB66)/3,0)&amp;" "&amp;YEAR(AB66))</f>
        <v>Q2 2025</v>
      </c>
      <c r="AD66" s="123">
        <v>46142</v>
      </c>
      <c r="AE66" s="69">
        <v>47118</v>
      </c>
      <c r="AF66" s="21" t="s">
        <v>80</v>
      </c>
      <c r="AG66" s="21" t="s">
        <v>81</v>
      </c>
      <c r="AH66" s="122" t="s">
        <v>82</v>
      </c>
      <c r="AI66" s="122" t="s">
        <v>83</v>
      </c>
      <c r="AJ66" s="122" t="s">
        <v>84</v>
      </c>
      <c r="AK66" s="122" t="s">
        <v>85</v>
      </c>
      <c r="AL66" s="21" t="s">
        <v>86</v>
      </c>
      <c r="AM66" s="122" t="s">
        <v>78</v>
      </c>
    </row>
    <row r="67" spans="1:39" customFormat="1" ht="15.75" customHeight="1" x14ac:dyDescent="0.3">
      <c r="A67" t="s">
        <v>78</v>
      </c>
      <c r="B67" s="21" t="s">
        <v>773</v>
      </c>
      <c r="C67" s="21" t="s">
        <v>780</v>
      </c>
      <c r="D67" s="117" t="s">
        <v>190</v>
      </c>
      <c r="E67" s="21" t="s">
        <v>79</v>
      </c>
      <c r="F67" s="21" t="s">
        <v>315</v>
      </c>
      <c r="G67" s="21">
        <v>98.7</v>
      </c>
      <c r="H67" s="21"/>
      <c r="I67" s="117" t="s">
        <v>842</v>
      </c>
      <c r="J67" s="117" t="s">
        <v>325</v>
      </c>
      <c r="K67" s="118">
        <v>13.3</v>
      </c>
      <c r="L67" s="21"/>
      <c r="M67" s="21"/>
      <c r="N67" s="21"/>
      <c r="O67" s="21"/>
      <c r="P67" s="21">
        <v>85.4</v>
      </c>
      <c r="Q67" s="21"/>
      <c r="R67" s="21" t="s">
        <v>625</v>
      </c>
      <c r="S67" s="119">
        <f>DATABASE_Table[[#This Row],[Inicial Asking Price (€) (Total)]]-DATABASE_Table[[#This Row],[Vista membership]]-DATABASE_Table[[#This Row],[FF&amp;E]]</f>
        <v>625000</v>
      </c>
      <c r="T67" s="120">
        <v>670000</v>
      </c>
      <c r="U67" s="36">
        <v>670000</v>
      </c>
      <c r="V67" s="21"/>
      <c r="W67" s="36">
        <v>45000</v>
      </c>
      <c r="X67" s="73">
        <f>DATABASE_Table[[#This Row],[Current Asking price( Total)]]-DATABASE_Table[[#This Row],[Vista membership]]-DATABASE_Table[[#This Row],[FF&amp;E]]</f>
        <v>625000</v>
      </c>
      <c r="Y67" s="37">
        <v>7.4626865671641998E-3</v>
      </c>
      <c r="Z67" s="36">
        <v>665000</v>
      </c>
      <c r="AA67" s="73">
        <f>DATABASE_Table[[#This Row],[Sell price (Total)]]-DATABASE_Table[[#This Row],[FF&amp;E]]-DATABASE_Table[[#This Row],[Vista membership]]</f>
        <v>620000</v>
      </c>
      <c r="AB67" s="74">
        <v>45792</v>
      </c>
      <c r="AC67" s="74" t="str">
        <f t="shared" si="1"/>
        <v>Q2 2025</v>
      </c>
      <c r="AD67" s="121">
        <v>46062</v>
      </c>
      <c r="AE67" s="69">
        <v>47118</v>
      </c>
      <c r="AF67" s="21" t="s">
        <v>80</v>
      </c>
      <c r="AG67" s="21" t="s">
        <v>81</v>
      </c>
      <c r="AH67" s="122" t="s">
        <v>82</v>
      </c>
      <c r="AI67" s="122" t="s">
        <v>83</v>
      </c>
      <c r="AJ67" s="122" t="s">
        <v>84</v>
      </c>
      <c r="AK67" s="122" t="s">
        <v>85</v>
      </c>
      <c r="AL67" s="21" t="s">
        <v>86</v>
      </c>
      <c r="AM67" s="122" t="s">
        <v>78</v>
      </c>
    </row>
    <row r="68" spans="1:39" customFormat="1" ht="15.75" customHeight="1" x14ac:dyDescent="0.3">
      <c r="A68" t="s">
        <v>78</v>
      </c>
      <c r="B68" s="21" t="s">
        <v>773</v>
      </c>
      <c r="C68" s="21" t="s">
        <v>780</v>
      </c>
      <c r="D68" s="117" t="s">
        <v>223</v>
      </c>
      <c r="E68" s="21" t="s">
        <v>79</v>
      </c>
      <c r="F68" s="21" t="s">
        <v>316</v>
      </c>
      <c r="G68" s="21">
        <v>56.5</v>
      </c>
      <c r="H68" s="21"/>
      <c r="I68" s="117" t="s">
        <v>842</v>
      </c>
      <c r="J68" s="117" t="s">
        <v>325</v>
      </c>
      <c r="K68" s="118">
        <v>5</v>
      </c>
      <c r="L68" s="21"/>
      <c r="M68" s="21"/>
      <c r="N68" s="21"/>
      <c r="O68" s="21"/>
      <c r="P68" s="21">
        <v>51.5</v>
      </c>
      <c r="Q68" s="21"/>
      <c r="R68" s="21" t="s">
        <v>326</v>
      </c>
      <c r="S68" s="119">
        <f>DATABASE_Table[[#This Row],[Inicial Asking Price (€) (Total)]]-DATABASE_Table[[#This Row],[Vista membership]]-DATABASE_Table[[#This Row],[FF&amp;E]]</f>
        <v>1115000</v>
      </c>
      <c r="T68" s="124">
        <v>1150000</v>
      </c>
      <c r="U68" s="36">
        <v>405000</v>
      </c>
      <c r="V68" s="21"/>
      <c r="W68" s="36">
        <v>35000</v>
      </c>
      <c r="X68" s="73">
        <f>DATABASE_Table[[#This Row],[Current Asking price( Total)]]-DATABASE_Table[[#This Row],[Vista membership]]-DATABASE_Table[[#This Row],[FF&amp;E]]</f>
        <v>370000</v>
      </c>
      <c r="Y68" s="37">
        <v>1.2345679012345699E-2</v>
      </c>
      <c r="Z68" s="36">
        <v>400000</v>
      </c>
      <c r="AA68" s="73">
        <f>DATABASE_Table[[#This Row],[Sell price (Total)]]-DATABASE_Table[[#This Row],[FF&amp;E]]-DATABASE_Table[[#This Row],[Vista membership]]</f>
        <v>365000</v>
      </c>
      <c r="AB68" s="74">
        <v>45792</v>
      </c>
      <c r="AC68" s="74" t="str">
        <f t="shared" si="1"/>
        <v>Q2 2025</v>
      </c>
      <c r="AD68" s="123">
        <v>46137</v>
      </c>
      <c r="AE68" s="69">
        <v>47118</v>
      </c>
      <c r="AF68" s="21" t="s">
        <v>80</v>
      </c>
      <c r="AG68" s="21" t="s">
        <v>81</v>
      </c>
      <c r="AH68" s="122" t="s">
        <v>82</v>
      </c>
      <c r="AI68" s="122" t="s">
        <v>83</v>
      </c>
      <c r="AJ68" s="122" t="s">
        <v>84</v>
      </c>
      <c r="AK68" s="122" t="s">
        <v>85</v>
      </c>
      <c r="AL68" s="21" t="s">
        <v>86</v>
      </c>
      <c r="AM68" s="122" t="s">
        <v>78</v>
      </c>
    </row>
    <row r="69" spans="1:39" customFormat="1" ht="15.75" customHeight="1" x14ac:dyDescent="0.3">
      <c r="A69" t="s">
        <v>78</v>
      </c>
      <c r="B69" s="21" t="s">
        <v>773</v>
      </c>
      <c r="C69" s="21" t="s">
        <v>780</v>
      </c>
      <c r="D69" s="117" t="s">
        <v>132</v>
      </c>
      <c r="E69" s="21" t="s">
        <v>79</v>
      </c>
      <c r="F69" s="21" t="s">
        <v>316</v>
      </c>
      <c r="G69" s="21">
        <v>56.5</v>
      </c>
      <c r="H69" s="21"/>
      <c r="I69" s="117" t="s">
        <v>842</v>
      </c>
      <c r="J69" s="117" t="s">
        <v>325</v>
      </c>
      <c r="K69" s="118">
        <v>5</v>
      </c>
      <c r="L69" s="21"/>
      <c r="M69" s="21"/>
      <c r="N69" s="21"/>
      <c r="O69" s="21"/>
      <c r="P69" s="21">
        <v>51.5</v>
      </c>
      <c r="Q69" s="21"/>
      <c r="R69" s="21" t="s">
        <v>326</v>
      </c>
      <c r="S69" s="119">
        <f>DATABASE_Table[[#This Row],[Inicial Asking Price (€) (Total)]]-DATABASE_Table[[#This Row],[Vista membership]]-DATABASE_Table[[#This Row],[FF&amp;E]]</f>
        <v>1715000</v>
      </c>
      <c r="T69" s="36">
        <v>1750000</v>
      </c>
      <c r="U69" s="36">
        <v>370000</v>
      </c>
      <c r="V69" s="21"/>
      <c r="W69" s="36">
        <v>35000</v>
      </c>
      <c r="X69" s="73">
        <f>DATABASE_Table[[#This Row],[Current Asking price( Total)]]-DATABASE_Table[[#This Row],[Vista membership]]-DATABASE_Table[[#This Row],[FF&amp;E]]</f>
        <v>335000</v>
      </c>
      <c r="Y69" s="37">
        <v>0.02</v>
      </c>
      <c r="Z69" s="36">
        <v>362600</v>
      </c>
      <c r="AA69" s="73">
        <f>DATABASE_Table[[#This Row],[Sell price (Total)]]-DATABASE_Table[[#This Row],[FF&amp;E]]-DATABASE_Table[[#This Row],[Vista membership]]</f>
        <v>327600</v>
      </c>
      <c r="AB69" s="74">
        <v>45792</v>
      </c>
      <c r="AC69" s="74" t="str">
        <f t="shared" si="1"/>
        <v>Q2 2025</v>
      </c>
      <c r="AD69" s="123">
        <v>46118</v>
      </c>
      <c r="AE69" s="69">
        <v>47118</v>
      </c>
      <c r="AF69" s="21" t="s">
        <v>80</v>
      </c>
      <c r="AG69" s="21" t="s">
        <v>81</v>
      </c>
      <c r="AH69" s="122" t="s">
        <v>82</v>
      </c>
      <c r="AI69" s="122" t="s">
        <v>83</v>
      </c>
      <c r="AJ69" s="122" t="s">
        <v>84</v>
      </c>
      <c r="AK69" s="122" t="s">
        <v>85</v>
      </c>
      <c r="AL69" s="21" t="s">
        <v>86</v>
      </c>
      <c r="AM69" s="122" t="s">
        <v>78</v>
      </c>
    </row>
    <row r="70" spans="1:39" customFormat="1" ht="15.75" customHeight="1" x14ac:dyDescent="0.3">
      <c r="A70" t="s">
        <v>78</v>
      </c>
      <c r="B70" s="21" t="s">
        <v>773</v>
      </c>
      <c r="C70" s="21" t="s">
        <v>780</v>
      </c>
      <c r="D70" s="117" t="s">
        <v>135</v>
      </c>
      <c r="E70" s="21" t="s">
        <v>79</v>
      </c>
      <c r="F70" s="21" t="s">
        <v>316</v>
      </c>
      <c r="G70" s="21">
        <v>56.5</v>
      </c>
      <c r="H70" s="21"/>
      <c r="I70" s="117" t="s">
        <v>842</v>
      </c>
      <c r="J70" s="117" t="s">
        <v>325</v>
      </c>
      <c r="K70" s="118">
        <v>5</v>
      </c>
      <c r="L70" s="21"/>
      <c r="M70" s="21"/>
      <c r="N70" s="21"/>
      <c r="O70" s="21"/>
      <c r="P70" s="21">
        <v>51.5</v>
      </c>
      <c r="Q70" s="21"/>
      <c r="R70" s="21" t="s">
        <v>326</v>
      </c>
      <c r="S70" s="119">
        <f>DATABASE_Table[[#This Row],[Inicial Asking Price (€) (Total)]]-DATABASE_Table[[#This Row],[Vista membership]]-DATABASE_Table[[#This Row],[FF&amp;E]]</f>
        <v>1815000</v>
      </c>
      <c r="T70" s="36">
        <v>1850000</v>
      </c>
      <c r="U70" s="36">
        <v>370000</v>
      </c>
      <c r="V70" s="21"/>
      <c r="W70" s="36">
        <v>35000</v>
      </c>
      <c r="X70" s="73">
        <f>DATABASE_Table[[#This Row],[Current Asking price( Total)]]-DATABASE_Table[[#This Row],[Vista membership]]-DATABASE_Table[[#This Row],[FF&amp;E]]</f>
        <v>335000</v>
      </c>
      <c r="Y70" s="37">
        <v>0.02</v>
      </c>
      <c r="Z70" s="36">
        <v>362600</v>
      </c>
      <c r="AA70" s="73">
        <f>DATABASE_Table[[#This Row],[Sell price (Total)]]-DATABASE_Table[[#This Row],[FF&amp;E]]-DATABASE_Table[[#This Row],[Vista membership]]</f>
        <v>327600</v>
      </c>
      <c r="AB70" s="74">
        <v>45792</v>
      </c>
      <c r="AC70" s="74" t="str">
        <f t="shared" si="1"/>
        <v>Q2 2025</v>
      </c>
      <c r="AD70" s="123">
        <v>46118</v>
      </c>
      <c r="AE70" s="69">
        <v>47118</v>
      </c>
      <c r="AF70" s="21" t="s">
        <v>80</v>
      </c>
      <c r="AG70" s="21" t="s">
        <v>81</v>
      </c>
      <c r="AH70" s="122" t="s">
        <v>82</v>
      </c>
      <c r="AI70" s="122" t="s">
        <v>83</v>
      </c>
      <c r="AJ70" s="122" t="s">
        <v>84</v>
      </c>
      <c r="AK70" s="122" t="s">
        <v>85</v>
      </c>
      <c r="AL70" s="21" t="s">
        <v>86</v>
      </c>
      <c r="AM70" s="122" t="s">
        <v>78</v>
      </c>
    </row>
    <row r="71" spans="1:39" customFormat="1" ht="15.75" customHeight="1" x14ac:dyDescent="0.3">
      <c r="A71" t="s">
        <v>78</v>
      </c>
      <c r="B71" s="21" t="s">
        <v>773</v>
      </c>
      <c r="C71" s="21" t="s">
        <v>780</v>
      </c>
      <c r="D71" s="117" t="s">
        <v>168</v>
      </c>
      <c r="E71" s="21" t="s">
        <v>79</v>
      </c>
      <c r="F71" s="21" t="s">
        <v>315</v>
      </c>
      <c r="G71" s="21">
        <v>98.8</v>
      </c>
      <c r="H71" s="21"/>
      <c r="I71" s="117" t="s">
        <v>842</v>
      </c>
      <c r="J71" s="117" t="s">
        <v>325</v>
      </c>
      <c r="K71" s="118">
        <v>15.2</v>
      </c>
      <c r="L71" s="21"/>
      <c r="M71" s="21"/>
      <c r="N71" s="21"/>
      <c r="O71" s="21"/>
      <c r="P71" s="21">
        <v>83.6</v>
      </c>
      <c r="Q71" s="21"/>
      <c r="R71" s="21" t="s">
        <v>326</v>
      </c>
      <c r="S71" s="119">
        <f>DATABASE_Table[[#This Row],[Inicial Asking Price (€) (Total)]]-DATABASE_Table[[#This Row],[Vista membership]]-DATABASE_Table[[#This Row],[FF&amp;E]]</f>
        <v>600000</v>
      </c>
      <c r="T71" s="120">
        <v>645000</v>
      </c>
      <c r="U71" s="36">
        <v>645000</v>
      </c>
      <c r="V71" s="21"/>
      <c r="W71" s="36">
        <v>45000</v>
      </c>
      <c r="X71" s="73">
        <f>DATABASE_Table[[#This Row],[Current Asking price( Total)]]-DATABASE_Table[[#This Row],[Vista membership]]-DATABASE_Table[[#This Row],[FF&amp;E]]</f>
        <v>600000</v>
      </c>
      <c r="Y71" s="37">
        <v>2.0155038759689901E-2</v>
      </c>
      <c r="Z71" s="36">
        <v>632000</v>
      </c>
      <c r="AA71" s="73">
        <f>DATABASE_Table[[#This Row],[Sell price (Total)]]-DATABASE_Table[[#This Row],[FF&amp;E]]-DATABASE_Table[[#This Row],[Vista membership]]</f>
        <v>587000</v>
      </c>
      <c r="AB71" s="74">
        <v>45792</v>
      </c>
      <c r="AC71" s="74" t="str">
        <f t="shared" si="1"/>
        <v>Q2 2025</v>
      </c>
      <c r="AD71" s="123">
        <v>46114</v>
      </c>
      <c r="AE71" s="69">
        <v>47118</v>
      </c>
      <c r="AF71" s="21" t="s">
        <v>80</v>
      </c>
      <c r="AG71" s="21" t="s">
        <v>81</v>
      </c>
      <c r="AH71" s="122" t="s">
        <v>82</v>
      </c>
      <c r="AI71" s="122" t="s">
        <v>83</v>
      </c>
      <c r="AJ71" s="122" t="s">
        <v>84</v>
      </c>
      <c r="AK71" s="122" t="s">
        <v>85</v>
      </c>
      <c r="AL71" s="21" t="s">
        <v>86</v>
      </c>
      <c r="AM71" s="122" t="s">
        <v>78</v>
      </c>
    </row>
    <row r="72" spans="1:39" customFormat="1" ht="15.75" customHeight="1" x14ac:dyDescent="0.3">
      <c r="A72" t="s">
        <v>78</v>
      </c>
      <c r="B72" s="21" t="s">
        <v>773</v>
      </c>
      <c r="C72" s="21" t="s">
        <v>780</v>
      </c>
      <c r="D72" s="117" t="s">
        <v>99</v>
      </c>
      <c r="E72" s="21" t="s">
        <v>79</v>
      </c>
      <c r="F72" s="21" t="s">
        <v>315</v>
      </c>
      <c r="G72" s="21">
        <v>98.7</v>
      </c>
      <c r="H72" s="21"/>
      <c r="I72" s="117" t="s">
        <v>842</v>
      </c>
      <c r="J72" s="117" t="s">
        <v>325</v>
      </c>
      <c r="K72" s="118">
        <v>13.3</v>
      </c>
      <c r="L72" s="21"/>
      <c r="M72" s="21"/>
      <c r="N72" s="21"/>
      <c r="O72" s="21"/>
      <c r="P72" s="21">
        <v>85.4</v>
      </c>
      <c r="Q72" s="21"/>
      <c r="R72" s="21" t="s">
        <v>329</v>
      </c>
      <c r="S72" s="119">
        <f>DATABASE_Table[[#This Row],[Inicial Asking Price (€) (Total)]]-DATABASE_Table[[#This Row],[Vista membership]]-DATABASE_Table[[#This Row],[FF&amp;E]]</f>
        <v>550000</v>
      </c>
      <c r="T72" s="120">
        <v>595000</v>
      </c>
      <c r="U72" s="36">
        <v>595000</v>
      </c>
      <c r="V72" s="21"/>
      <c r="W72" s="36">
        <v>45000</v>
      </c>
      <c r="X72" s="73">
        <f>DATABASE_Table[[#This Row],[Current Asking price( Total)]]-DATABASE_Table[[#This Row],[Vista membership]]-DATABASE_Table[[#This Row],[FF&amp;E]]</f>
        <v>550000</v>
      </c>
      <c r="Y72" s="37"/>
      <c r="Z72" s="36"/>
      <c r="AA72" s="73">
        <f>DATABASE_Table[[#This Row],[Sell price (Total)]]-DATABASE_Table[[#This Row],[FF&amp;E]]-DATABASE_Table[[#This Row],[Vista membership]]</f>
        <v>-45000</v>
      </c>
      <c r="AB72" s="74">
        <v>45792</v>
      </c>
      <c r="AC72" s="74" t="str">
        <f t="shared" si="1"/>
        <v>Q2 2025</v>
      </c>
      <c r="AD72" s="123"/>
      <c r="AE72" s="69">
        <v>47118</v>
      </c>
      <c r="AF72" s="21" t="s">
        <v>80</v>
      </c>
      <c r="AG72" s="21" t="s">
        <v>81</v>
      </c>
      <c r="AH72" s="122" t="s">
        <v>82</v>
      </c>
      <c r="AI72" s="122" t="s">
        <v>83</v>
      </c>
      <c r="AJ72" s="122" t="s">
        <v>84</v>
      </c>
      <c r="AK72" s="122" t="s">
        <v>85</v>
      </c>
      <c r="AL72" s="21" t="s">
        <v>86</v>
      </c>
      <c r="AM72" s="122" t="s">
        <v>78</v>
      </c>
    </row>
    <row r="73" spans="1:39" customFormat="1" ht="15.75" customHeight="1" x14ac:dyDescent="0.3">
      <c r="A73" t="s">
        <v>78</v>
      </c>
      <c r="B73" s="21" t="s">
        <v>773</v>
      </c>
      <c r="C73" s="21" t="s">
        <v>780</v>
      </c>
      <c r="D73" s="117" t="s">
        <v>100</v>
      </c>
      <c r="E73" s="21" t="s">
        <v>79</v>
      </c>
      <c r="F73" s="21" t="s">
        <v>316</v>
      </c>
      <c r="G73" s="21">
        <v>65</v>
      </c>
      <c r="H73" s="21"/>
      <c r="I73" s="117" t="s">
        <v>842</v>
      </c>
      <c r="J73" s="117" t="s">
        <v>325</v>
      </c>
      <c r="K73" s="118">
        <v>8.6999999999999993</v>
      </c>
      <c r="L73" s="21"/>
      <c r="M73" s="21"/>
      <c r="N73" s="21"/>
      <c r="O73" s="21"/>
      <c r="P73" s="21">
        <v>56.3</v>
      </c>
      <c r="Q73" s="21"/>
      <c r="R73" s="21" t="s">
        <v>329</v>
      </c>
      <c r="S73" s="119">
        <f>DATABASE_Table[[#This Row],[Inicial Asking Price (€) (Total)]]-DATABASE_Table[[#This Row],[Vista membership]]-DATABASE_Table[[#This Row],[FF&amp;E]]</f>
        <v>805000</v>
      </c>
      <c r="T73" s="124">
        <v>840000</v>
      </c>
      <c r="U73" s="36">
        <v>415000</v>
      </c>
      <c r="V73" s="21"/>
      <c r="W73" s="36">
        <v>35000</v>
      </c>
      <c r="X73" s="73">
        <f>DATABASE_Table[[#This Row],[Current Asking price( Total)]]-DATABASE_Table[[#This Row],[Vista membership]]-DATABASE_Table[[#This Row],[FF&amp;E]]</f>
        <v>380000</v>
      </c>
      <c r="Y73" s="37"/>
      <c r="Z73" s="36"/>
      <c r="AA73" s="73">
        <f>DATABASE_Table[[#This Row],[Sell price (Total)]]-DATABASE_Table[[#This Row],[FF&amp;E]]-DATABASE_Table[[#This Row],[Vista membership]]</f>
        <v>-35000</v>
      </c>
      <c r="AB73" s="74">
        <v>45792</v>
      </c>
      <c r="AC73" s="74" t="str">
        <f t="shared" si="1"/>
        <v>Q2 2025</v>
      </c>
      <c r="AD73" s="123"/>
      <c r="AE73" s="69">
        <v>47118</v>
      </c>
      <c r="AF73" s="21" t="s">
        <v>80</v>
      </c>
      <c r="AG73" s="21" t="s">
        <v>81</v>
      </c>
      <c r="AH73" s="122" t="s">
        <v>82</v>
      </c>
      <c r="AI73" s="122" t="s">
        <v>83</v>
      </c>
      <c r="AJ73" s="122" t="s">
        <v>84</v>
      </c>
      <c r="AK73" s="122" t="s">
        <v>85</v>
      </c>
      <c r="AL73" s="21" t="s">
        <v>86</v>
      </c>
      <c r="AM73" s="122" t="s">
        <v>78</v>
      </c>
    </row>
    <row r="74" spans="1:39" customFormat="1" ht="15.75" customHeight="1" x14ac:dyDescent="0.3">
      <c r="A74" t="s">
        <v>78</v>
      </c>
      <c r="B74" s="21" t="s">
        <v>773</v>
      </c>
      <c r="C74" s="21" t="s">
        <v>780</v>
      </c>
      <c r="D74" s="117" t="s">
        <v>102</v>
      </c>
      <c r="E74" s="21" t="s">
        <v>79</v>
      </c>
      <c r="F74" s="21" t="s">
        <v>316</v>
      </c>
      <c r="G74" s="21">
        <v>65</v>
      </c>
      <c r="H74" s="21"/>
      <c r="I74" s="117" t="s">
        <v>842</v>
      </c>
      <c r="J74" s="117" t="s">
        <v>325</v>
      </c>
      <c r="K74" s="118">
        <v>8.6999999999999993</v>
      </c>
      <c r="L74" s="21"/>
      <c r="M74" s="21"/>
      <c r="N74" s="21"/>
      <c r="O74" s="21"/>
      <c r="P74" s="21">
        <v>56.3</v>
      </c>
      <c r="Q74" s="21"/>
      <c r="R74" s="21" t="s">
        <v>329</v>
      </c>
      <c r="S74" s="119">
        <f>DATABASE_Table[[#This Row],[Inicial Asking Price (€) (Total)]]-DATABASE_Table[[#This Row],[Vista membership]]-DATABASE_Table[[#This Row],[FF&amp;E]]</f>
        <v>915000</v>
      </c>
      <c r="T74" s="124">
        <v>950000</v>
      </c>
      <c r="U74" s="36">
        <v>415000</v>
      </c>
      <c r="V74" s="21"/>
      <c r="W74" s="36">
        <v>35000</v>
      </c>
      <c r="X74" s="73">
        <f>DATABASE_Table[[#This Row],[Current Asking price( Total)]]-DATABASE_Table[[#This Row],[Vista membership]]-DATABASE_Table[[#This Row],[FF&amp;E]]</f>
        <v>380000</v>
      </c>
      <c r="Y74" s="37"/>
      <c r="Z74" s="36"/>
      <c r="AA74" s="73">
        <f>DATABASE_Table[[#This Row],[Sell price (Total)]]-DATABASE_Table[[#This Row],[FF&amp;E]]-DATABASE_Table[[#This Row],[Vista membership]]</f>
        <v>-35000</v>
      </c>
      <c r="AB74" s="74">
        <v>45792</v>
      </c>
      <c r="AC74" s="74" t="str">
        <f t="shared" si="1"/>
        <v>Q2 2025</v>
      </c>
      <c r="AD74" s="123"/>
      <c r="AE74" s="69">
        <v>47118</v>
      </c>
      <c r="AF74" s="21" t="s">
        <v>80</v>
      </c>
      <c r="AG74" s="21" t="s">
        <v>81</v>
      </c>
      <c r="AH74" s="122" t="s">
        <v>82</v>
      </c>
      <c r="AI74" s="122" t="s">
        <v>83</v>
      </c>
      <c r="AJ74" s="122" t="s">
        <v>84</v>
      </c>
      <c r="AK74" s="122" t="s">
        <v>85</v>
      </c>
      <c r="AL74" s="21" t="s">
        <v>86</v>
      </c>
      <c r="AM74" s="122" t="s">
        <v>78</v>
      </c>
    </row>
    <row r="75" spans="1:39" customFormat="1" ht="15.75" customHeight="1" x14ac:dyDescent="0.3">
      <c r="A75" t="s">
        <v>78</v>
      </c>
      <c r="B75" s="21" t="s">
        <v>773</v>
      </c>
      <c r="C75" s="21" t="s">
        <v>780</v>
      </c>
      <c r="D75" s="117" t="s">
        <v>103</v>
      </c>
      <c r="E75" s="21" t="s">
        <v>79</v>
      </c>
      <c r="F75" s="21" t="s">
        <v>316</v>
      </c>
      <c r="G75" s="21">
        <v>65</v>
      </c>
      <c r="H75" s="21"/>
      <c r="I75" s="117" t="s">
        <v>842</v>
      </c>
      <c r="J75" s="117" t="s">
        <v>325</v>
      </c>
      <c r="K75" s="118">
        <v>8.6999999999999993</v>
      </c>
      <c r="L75" s="21"/>
      <c r="M75" s="21"/>
      <c r="N75" s="21"/>
      <c r="O75" s="21"/>
      <c r="P75" s="21">
        <v>56.3</v>
      </c>
      <c r="Q75" s="21"/>
      <c r="R75" s="21" t="s">
        <v>329</v>
      </c>
      <c r="S75" s="119">
        <f>DATABASE_Table[[#This Row],[Inicial Asking Price (€) (Total)]]-DATABASE_Table[[#This Row],[Vista membership]]-DATABASE_Table[[#This Row],[FF&amp;E]]</f>
        <v>755000</v>
      </c>
      <c r="T75" s="124">
        <v>790000</v>
      </c>
      <c r="U75" s="36">
        <v>415000</v>
      </c>
      <c r="V75" s="21"/>
      <c r="W75" s="36">
        <v>35000</v>
      </c>
      <c r="X75" s="73">
        <f>DATABASE_Table[[#This Row],[Current Asking price( Total)]]-DATABASE_Table[[#This Row],[Vista membership]]-DATABASE_Table[[#This Row],[FF&amp;E]]</f>
        <v>380000</v>
      </c>
      <c r="Y75" s="37"/>
      <c r="Z75" s="36"/>
      <c r="AA75" s="73">
        <f>DATABASE_Table[[#This Row],[Sell price (Total)]]-DATABASE_Table[[#This Row],[FF&amp;E]]-DATABASE_Table[[#This Row],[Vista membership]]</f>
        <v>-35000</v>
      </c>
      <c r="AB75" s="74">
        <v>45792</v>
      </c>
      <c r="AC75" s="74" t="str">
        <f t="shared" si="1"/>
        <v>Q2 2025</v>
      </c>
      <c r="AD75" s="123"/>
      <c r="AE75" s="69">
        <v>47118</v>
      </c>
      <c r="AF75" s="21" t="s">
        <v>80</v>
      </c>
      <c r="AG75" s="21" t="s">
        <v>81</v>
      </c>
      <c r="AH75" s="122" t="s">
        <v>82</v>
      </c>
      <c r="AI75" s="122" t="s">
        <v>83</v>
      </c>
      <c r="AJ75" s="122" t="s">
        <v>84</v>
      </c>
      <c r="AK75" s="122" t="s">
        <v>85</v>
      </c>
      <c r="AL75" s="21" t="s">
        <v>86</v>
      </c>
      <c r="AM75" s="122" t="s">
        <v>78</v>
      </c>
    </row>
    <row r="76" spans="1:39" customFormat="1" ht="15.75" customHeight="1" x14ac:dyDescent="0.3">
      <c r="A76" t="s">
        <v>78</v>
      </c>
      <c r="B76" s="21" t="s">
        <v>773</v>
      </c>
      <c r="C76" s="21" t="s">
        <v>780</v>
      </c>
      <c r="D76" s="117" t="s">
        <v>104</v>
      </c>
      <c r="E76" s="21" t="s">
        <v>79</v>
      </c>
      <c r="F76" s="21" t="s">
        <v>316</v>
      </c>
      <c r="G76" s="21">
        <v>65</v>
      </c>
      <c r="H76" s="21"/>
      <c r="I76" s="117" t="s">
        <v>842</v>
      </c>
      <c r="J76" s="117" t="s">
        <v>325</v>
      </c>
      <c r="K76" s="118">
        <v>8.6999999999999993</v>
      </c>
      <c r="L76" s="21"/>
      <c r="M76" s="21"/>
      <c r="N76" s="21"/>
      <c r="O76" s="21"/>
      <c r="P76" s="21">
        <v>56.3</v>
      </c>
      <c r="Q76" s="21"/>
      <c r="R76" s="21" t="s">
        <v>329</v>
      </c>
      <c r="S76" s="119">
        <f>DATABASE_Table[[#This Row],[Inicial Asking Price (€) (Total)]]-DATABASE_Table[[#This Row],[Vista membership]]-DATABASE_Table[[#This Row],[FF&amp;E]]</f>
        <v>855000</v>
      </c>
      <c r="T76" s="124">
        <v>890000</v>
      </c>
      <c r="U76" s="36">
        <v>415000</v>
      </c>
      <c r="V76" s="21"/>
      <c r="W76" s="36">
        <v>35000</v>
      </c>
      <c r="X76" s="73">
        <f>DATABASE_Table[[#This Row],[Current Asking price( Total)]]-DATABASE_Table[[#This Row],[Vista membership]]-DATABASE_Table[[#This Row],[FF&amp;E]]</f>
        <v>380000</v>
      </c>
      <c r="Y76" s="37"/>
      <c r="Z76" s="36"/>
      <c r="AA76" s="73">
        <f>DATABASE_Table[[#This Row],[Sell price (Total)]]-DATABASE_Table[[#This Row],[FF&amp;E]]-DATABASE_Table[[#This Row],[Vista membership]]</f>
        <v>-35000</v>
      </c>
      <c r="AB76" s="74">
        <v>45792</v>
      </c>
      <c r="AC76" s="74" t="str">
        <f t="shared" si="1"/>
        <v>Q2 2025</v>
      </c>
      <c r="AD76" s="123"/>
      <c r="AE76" s="69">
        <v>47118</v>
      </c>
      <c r="AF76" s="21" t="s">
        <v>80</v>
      </c>
      <c r="AG76" s="21" t="s">
        <v>81</v>
      </c>
      <c r="AH76" s="122" t="s">
        <v>82</v>
      </c>
      <c r="AI76" s="122" t="s">
        <v>83</v>
      </c>
      <c r="AJ76" s="122" t="s">
        <v>84</v>
      </c>
      <c r="AK76" s="122" t="s">
        <v>85</v>
      </c>
      <c r="AL76" s="21" t="s">
        <v>86</v>
      </c>
      <c r="AM76" s="122" t="s">
        <v>78</v>
      </c>
    </row>
    <row r="77" spans="1:39" customFormat="1" ht="15.75" customHeight="1" x14ac:dyDescent="0.3">
      <c r="A77" t="s">
        <v>78</v>
      </c>
      <c r="B77" s="21" t="s">
        <v>773</v>
      </c>
      <c r="C77" s="21" t="s">
        <v>780</v>
      </c>
      <c r="D77" s="117" t="s">
        <v>105</v>
      </c>
      <c r="E77" s="21" t="s">
        <v>79</v>
      </c>
      <c r="F77" s="21" t="s">
        <v>316</v>
      </c>
      <c r="G77" s="21">
        <v>65</v>
      </c>
      <c r="H77" s="21"/>
      <c r="I77" s="117" t="s">
        <v>842</v>
      </c>
      <c r="J77" s="117" t="s">
        <v>325</v>
      </c>
      <c r="K77" s="118">
        <v>8.6999999999999993</v>
      </c>
      <c r="L77" s="21"/>
      <c r="M77" s="21"/>
      <c r="N77" s="21"/>
      <c r="O77" s="21"/>
      <c r="P77" s="21">
        <v>56.3</v>
      </c>
      <c r="Q77" s="21"/>
      <c r="R77" s="21" t="s">
        <v>329</v>
      </c>
      <c r="S77" s="119">
        <f>DATABASE_Table[[#This Row],[Inicial Asking Price (€) (Total)]]-DATABASE_Table[[#This Row],[Vista membership]]-DATABASE_Table[[#This Row],[FF&amp;E]]</f>
        <v>825000</v>
      </c>
      <c r="T77" s="124">
        <v>860000</v>
      </c>
      <c r="U77" s="36">
        <v>415000</v>
      </c>
      <c r="V77" s="21"/>
      <c r="W77" s="36">
        <v>35000</v>
      </c>
      <c r="X77" s="73">
        <f>DATABASE_Table[[#This Row],[Current Asking price( Total)]]-DATABASE_Table[[#This Row],[Vista membership]]-DATABASE_Table[[#This Row],[FF&amp;E]]</f>
        <v>380000</v>
      </c>
      <c r="Y77" s="37"/>
      <c r="Z77" s="36"/>
      <c r="AA77" s="73">
        <f>DATABASE_Table[[#This Row],[Sell price (Total)]]-DATABASE_Table[[#This Row],[FF&amp;E]]-DATABASE_Table[[#This Row],[Vista membership]]</f>
        <v>-35000</v>
      </c>
      <c r="AB77" s="74">
        <v>45792</v>
      </c>
      <c r="AC77" s="74" t="str">
        <f t="shared" si="1"/>
        <v>Q2 2025</v>
      </c>
      <c r="AD77" s="123"/>
      <c r="AE77" s="69">
        <v>47118</v>
      </c>
      <c r="AF77" s="21" t="s">
        <v>80</v>
      </c>
      <c r="AG77" s="21" t="s">
        <v>81</v>
      </c>
      <c r="AH77" s="122" t="s">
        <v>82</v>
      </c>
      <c r="AI77" s="122" t="s">
        <v>83</v>
      </c>
      <c r="AJ77" s="122" t="s">
        <v>84</v>
      </c>
      <c r="AK77" s="122" t="s">
        <v>85</v>
      </c>
      <c r="AL77" s="21" t="s">
        <v>86</v>
      </c>
      <c r="AM77" s="122" t="s">
        <v>78</v>
      </c>
    </row>
    <row r="78" spans="1:39" customFormat="1" ht="15.75" customHeight="1" x14ac:dyDescent="0.3">
      <c r="A78" t="s">
        <v>78</v>
      </c>
      <c r="B78" s="21" t="s">
        <v>773</v>
      </c>
      <c r="C78" s="21" t="s">
        <v>780</v>
      </c>
      <c r="D78" s="117" t="s">
        <v>106</v>
      </c>
      <c r="E78" s="21" t="s">
        <v>79</v>
      </c>
      <c r="F78" s="21" t="s">
        <v>316</v>
      </c>
      <c r="G78" s="21">
        <v>65</v>
      </c>
      <c r="H78" s="21"/>
      <c r="I78" s="117" t="s">
        <v>842</v>
      </c>
      <c r="J78" s="117" t="s">
        <v>325</v>
      </c>
      <c r="K78" s="118">
        <v>8.6999999999999993</v>
      </c>
      <c r="L78" s="21"/>
      <c r="M78" s="21"/>
      <c r="N78" s="21"/>
      <c r="O78" s="21"/>
      <c r="P78" s="21">
        <v>56.3</v>
      </c>
      <c r="Q78" s="21"/>
      <c r="R78" s="21" t="s">
        <v>329</v>
      </c>
      <c r="S78" s="119">
        <f>DATABASE_Table[[#This Row],[Inicial Asking Price (€) (Total)]]-DATABASE_Table[[#This Row],[Vista membership]]-DATABASE_Table[[#This Row],[FF&amp;E]]</f>
        <v>925000</v>
      </c>
      <c r="T78" s="124">
        <v>960000</v>
      </c>
      <c r="U78" s="36">
        <v>415000</v>
      </c>
      <c r="V78" s="21"/>
      <c r="W78" s="36">
        <v>35000</v>
      </c>
      <c r="X78" s="73">
        <f>DATABASE_Table[[#This Row],[Current Asking price( Total)]]-DATABASE_Table[[#This Row],[Vista membership]]-DATABASE_Table[[#This Row],[FF&amp;E]]</f>
        <v>380000</v>
      </c>
      <c r="Y78" s="37"/>
      <c r="Z78" s="36"/>
      <c r="AA78" s="73">
        <f>DATABASE_Table[[#This Row],[Sell price (Total)]]-DATABASE_Table[[#This Row],[FF&amp;E]]-DATABASE_Table[[#This Row],[Vista membership]]</f>
        <v>-35000</v>
      </c>
      <c r="AB78" s="74">
        <v>45792</v>
      </c>
      <c r="AC78" s="74" t="str">
        <f t="shared" si="1"/>
        <v>Q2 2025</v>
      </c>
      <c r="AD78" s="123"/>
      <c r="AE78" s="69">
        <v>47118</v>
      </c>
      <c r="AF78" s="21" t="s">
        <v>80</v>
      </c>
      <c r="AG78" s="21" t="s">
        <v>81</v>
      </c>
      <c r="AH78" s="122" t="s">
        <v>82</v>
      </c>
      <c r="AI78" s="122" t="s">
        <v>83</v>
      </c>
      <c r="AJ78" s="122" t="s">
        <v>84</v>
      </c>
      <c r="AK78" s="122" t="s">
        <v>85</v>
      </c>
      <c r="AL78" s="21" t="s">
        <v>86</v>
      </c>
      <c r="AM78" s="122" t="s">
        <v>78</v>
      </c>
    </row>
    <row r="79" spans="1:39" customFormat="1" ht="15.75" customHeight="1" x14ac:dyDescent="0.3">
      <c r="A79" t="s">
        <v>78</v>
      </c>
      <c r="B79" s="21" t="s">
        <v>773</v>
      </c>
      <c r="C79" s="21" t="s">
        <v>780</v>
      </c>
      <c r="D79" s="117" t="s">
        <v>107</v>
      </c>
      <c r="E79" s="21" t="s">
        <v>79</v>
      </c>
      <c r="F79" s="21" t="s">
        <v>315</v>
      </c>
      <c r="G79" s="21">
        <v>98.7</v>
      </c>
      <c r="H79" s="21"/>
      <c r="I79" s="117" t="s">
        <v>842</v>
      </c>
      <c r="J79" s="117" t="s">
        <v>325</v>
      </c>
      <c r="K79" s="118">
        <v>13.3</v>
      </c>
      <c r="L79" s="21"/>
      <c r="M79" s="21"/>
      <c r="N79" s="21"/>
      <c r="O79" s="21"/>
      <c r="P79" s="21">
        <v>85.4</v>
      </c>
      <c r="Q79" s="21"/>
      <c r="R79" s="21" t="s">
        <v>329</v>
      </c>
      <c r="S79" s="119">
        <f>DATABASE_Table[[#This Row],[Inicial Asking Price (€) (Total)]]-DATABASE_Table[[#This Row],[Vista membership]]-DATABASE_Table[[#This Row],[FF&amp;E]]</f>
        <v>550000</v>
      </c>
      <c r="T79" s="120">
        <v>595000</v>
      </c>
      <c r="U79" s="36">
        <v>595000</v>
      </c>
      <c r="V79" s="21"/>
      <c r="W79" s="36">
        <v>45000</v>
      </c>
      <c r="X79" s="73">
        <f>DATABASE_Table[[#This Row],[Current Asking price( Total)]]-DATABASE_Table[[#This Row],[Vista membership]]-DATABASE_Table[[#This Row],[FF&amp;E]]</f>
        <v>550000</v>
      </c>
      <c r="Y79" s="37"/>
      <c r="Z79" s="36"/>
      <c r="AA79" s="73">
        <f>DATABASE_Table[[#This Row],[Sell price (Total)]]-DATABASE_Table[[#This Row],[FF&amp;E]]-DATABASE_Table[[#This Row],[Vista membership]]</f>
        <v>-45000</v>
      </c>
      <c r="AB79" s="74">
        <v>45792</v>
      </c>
      <c r="AC79" s="74" t="str">
        <f t="shared" si="1"/>
        <v>Q2 2025</v>
      </c>
      <c r="AD79" s="123"/>
      <c r="AE79" s="69">
        <v>47118</v>
      </c>
      <c r="AF79" s="21" t="s">
        <v>80</v>
      </c>
      <c r="AG79" s="21" t="s">
        <v>81</v>
      </c>
      <c r="AH79" s="122" t="s">
        <v>82</v>
      </c>
      <c r="AI79" s="122" t="s">
        <v>83</v>
      </c>
      <c r="AJ79" s="122" t="s">
        <v>84</v>
      </c>
      <c r="AK79" s="122" t="s">
        <v>85</v>
      </c>
      <c r="AL79" s="21" t="s">
        <v>86</v>
      </c>
      <c r="AM79" s="122" t="s">
        <v>78</v>
      </c>
    </row>
    <row r="80" spans="1:39" customFormat="1" ht="15.75" customHeight="1" x14ac:dyDescent="0.3">
      <c r="A80" t="s">
        <v>78</v>
      </c>
      <c r="B80" s="21" t="s">
        <v>773</v>
      </c>
      <c r="C80" s="21" t="s">
        <v>780</v>
      </c>
      <c r="D80" s="117" t="s">
        <v>108</v>
      </c>
      <c r="E80" s="21" t="s">
        <v>79</v>
      </c>
      <c r="F80" s="21" t="s">
        <v>316</v>
      </c>
      <c r="G80" s="21">
        <v>72.5</v>
      </c>
      <c r="H80" s="21"/>
      <c r="I80" s="117" t="s">
        <v>842</v>
      </c>
      <c r="J80" s="117" t="s">
        <v>325</v>
      </c>
      <c r="K80" s="118">
        <v>12</v>
      </c>
      <c r="L80" s="21"/>
      <c r="M80" s="21"/>
      <c r="N80" s="21"/>
      <c r="O80" s="21"/>
      <c r="P80" s="21">
        <v>60.5</v>
      </c>
      <c r="Q80" s="21"/>
      <c r="R80" s="21" t="s">
        <v>329</v>
      </c>
      <c r="S80" s="119">
        <f>DATABASE_Table[[#This Row],[Inicial Asking Price (€) (Total)]]-DATABASE_Table[[#This Row],[Vista membership]]-DATABASE_Table[[#This Row],[FF&amp;E]]</f>
        <v>425000</v>
      </c>
      <c r="T80" s="120">
        <v>460000</v>
      </c>
      <c r="U80" s="36">
        <v>460000</v>
      </c>
      <c r="V80" s="21"/>
      <c r="W80" s="36">
        <v>35000</v>
      </c>
      <c r="X80" s="73">
        <f>DATABASE_Table[[#This Row],[Current Asking price( Total)]]-DATABASE_Table[[#This Row],[Vista membership]]-DATABASE_Table[[#This Row],[FF&amp;E]]</f>
        <v>425000</v>
      </c>
      <c r="Y80" s="37"/>
      <c r="Z80" s="36"/>
      <c r="AA80" s="73">
        <f>DATABASE_Table[[#This Row],[Sell price (Total)]]-DATABASE_Table[[#This Row],[FF&amp;E]]-DATABASE_Table[[#This Row],[Vista membership]]</f>
        <v>-35000</v>
      </c>
      <c r="AB80" s="74">
        <v>45792</v>
      </c>
      <c r="AC80" s="74" t="str">
        <f t="shared" si="1"/>
        <v>Q2 2025</v>
      </c>
      <c r="AD80" s="123"/>
      <c r="AE80" s="69">
        <v>47118</v>
      </c>
      <c r="AF80" s="21" t="s">
        <v>80</v>
      </c>
      <c r="AG80" s="21" t="s">
        <v>81</v>
      </c>
      <c r="AH80" s="122" t="s">
        <v>82</v>
      </c>
      <c r="AI80" s="122" t="s">
        <v>83</v>
      </c>
      <c r="AJ80" s="122" t="s">
        <v>84</v>
      </c>
      <c r="AK80" s="122" t="s">
        <v>85</v>
      </c>
      <c r="AL80" s="21" t="s">
        <v>86</v>
      </c>
      <c r="AM80" s="122" t="s">
        <v>78</v>
      </c>
    </row>
    <row r="81" spans="1:39" customFormat="1" ht="15.75" customHeight="1" x14ac:dyDescent="0.3">
      <c r="A81" t="s">
        <v>78</v>
      </c>
      <c r="B81" s="21" t="s">
        <v>773</v>
      </c>
      <c r="C81" s="21" t="s">
        <v>780</v>
      </c>
      <c r="D81" s="117" t="s">
        <v>109</v>
      </c>
      <c r="E81" s="21" t="s">
        <v>79</v>
      </c>
      <c r="F81" s="21" t="s">
        <v>315</v>
      </c>
      <c r="G81" s="21">
        <v>98.8</v>
      </c>
      <c r="H81" s="21"/>
      <c r="I81" s="117" t="s">
        <v>842</v>
      </c>
      <c r="J81" s="117" t="s">
        <v>325</v>
      </c>
      <c r="K81" s="118">
        <v>15.2</v>
      </c>
      <c r="L81" s="21"/>
      <c r="M81" s="21"/>
      <c r="N81" s="21"/>
      <c r="O81" s="21"/>
      <c r="P81" s="21">
        <v>83.6</v>
      </c>
      <c r="Q81" s="21"/>
      <c r="R81" s="21" t="s">
        <v>329</v>
      </c>
      <c r="S81" s="119">
        <f>DATABASE_Table[[#This Row],[Inicial Asking Price (€) (Total)]]-DATABASE_Table[[#This Row],[Vista membership]]-DATABASE_Table[[#This Row],[FF&amp;E]]</f>
        <v>575000</v>
      </c>
      <c r="T81" s="120">
        <v>620000</v>
      </c>
      <c r="U81" s="36">
        <v>620000</v>
      </c>
      <c r="V81" s="21"/>
      <c r="W81" s="36">
        <v>45000</v>
      </c>
      <c r="X81" s="73">
        <f>DATABASE_Table[[#This Row],[Current Asking price( Total)]]-DATABASE_Table[[#This Row],[Vista membership]]-DATABASE_Table[[#This Row],[FF&amp;E]]</f>
        <v>575000</v>
      </c>
      <c r="Y81" s="37"/>
      <c r="Z81" s="36"/>
      <c r="AA81" s="73">
        <f>DATABASE_Table[[#This Row],[Sell price (Total)]]-DATABASE_Table[[#This Row],[FF&amp;E]]-DATABASE_Table[[#This Row],[Vista membership]]</f>
        <v>-45000</v>
      </c>
      <c r="AB81" s="74">
        <v>45792</v>
      </c>
      <c r="AC81" s="74" t="str">
        <f t="shared" si="1"/>
        <v>Q2 2025</v>
      </c>
      <c r="AD81" s="123"/>
      <c r="AE81" s="69">
        <v>47118</v>
      </c>
      <c r="AF81" s="21" t="s">
        <v>80</v>
      </c>
      <c r="AG81" s="21" t="s">
        <v>81</v>
      </c>
      <c r="AH81" s="122" t="s">
        <v>82</v>
      </c>
      <c r="AI81" s="122" t="s">
        <v>83</v>
      </c>
      <c r="AJ81" s="122" t="s">
        <v>84</v>
      </c>
      <c r="AK81" s="122" t="s">
        <v>85</v>
      </c>
      <c r="AL81" s="21" t="s">
        <v>86</v>
      </c>
      <c r="AM81" s="122" t="s">
        <v>78</v>
      </c>
    </row>
    <row r="82" spans="1:39" customFormat="1" ht="15.75" customHeight="1" x14ac:dyDescent="0.3">
      <c r="A82" t="s">
        <v>78</v>
      </c>
      <c r="B82" s="21" t="s">
        <v>773</v>
      </c>
      <c r="C82" s="21" t="s">
        <v>780</v>
      </c>
      <c r="D82" s="117" t="s">
        <v>110</v>
      </c>
      <c r="E82" s="21" t="s">
        <v>79</v>
      </c>
      <c r="F82" s="21" t="s">
        <v>315</v>
      </c>
      <c r="G82" s="21">
        <v>98.8</v>
      </c>
      <c r="H82" s="21"/>
      <c r="I82" s="117" t="s">
        <v>842</v>
      </c>
      <c r="J82" s="117" t="s">
        <v>325</v>
      </c>
      <c r="K82" s="118">
        <v>15.2</v>
      </c>
      <c r="L82" s="21"/>
      <c r="M82" s="21"/>
      <c r="N82" s="21"/>
      <c r="O82" s="21"/>
      <c r="P82" s="21">
        <v>83.6</v>
      </c>
      <c r="Q82" s="21"/>
      <c r="R82" s="21" t="s">
        <v>329</v>
      </c>
      <c r="S82" s="119">
        <f>DATABASE_Table[[#This Row],[Inicial Asking Price (€) (Total)]]-DATABASE_Table[[#This Row],[Vista membership]]-DATABASE_Table[[#This Row],[FF&amp;E]]</f>
        <v>575000</v>
      </c>
      <c r="T82" s="120">
        <v>620000</v>
      </c>
      <c r="U82" s="36">
        <v>620000</v>
      </c>
      <c r="V82" s="21"/>
      <c r="W82" s="36">
        <v>45000</v>
      </c>
      <c r="X82" s="73">
        <f>DATABASE_Table[[#This Row],[Current Asking price( Total)]]-DATABASE_Table[[#This Row],[Vista membership]]-DATABASE_Table[[#This Row],[FF&amp;E]]</f>
        <v>575000</v>
      </c>
      <c r="Y82" s="37"/>
      <c r="Z82" s="36"/>
      <c r="AA82" s="73">
        <f>DATABASE_Table[[#This Row],[Sell price (Total)]]-DATABASE_Table[[#This Row],[FF&amp;E]]-DATABASE_Table[[#This Row],[Vista membership]]</f>
        <v>-45000</v>
      </c>
      <c r="AB82" s="74">
        <v>45792</v>
      </c>
      <c r="AC82" s="74" t="str">
        <f t="shared" si="1"/>
        <v>Q2 2025</v>
      </c>
      <c r="AD82" s="123"/>
      <c r="AE82" s="69">
        <v>47118</v>
      </c>
      <c r="AF82" s="21" t="s">
        <v>80</v>
      </c>
      <c r="AG82" s="21" t="s">
        <v>81</v>
      </c>
      <c r="AH82" s="122" t="s">
        <v>82</v>
      </c>
      <c r="AI82" s="122" t="s">
        <v>83</v>
      </c>
      <c r="AJ82" s="122" t="s">
        <v>84</v>
      </c>
      <c r="AK82" s="122" t="s">
        <v>85</v>
      </c>
      <c r="AL82" s="21" t="s">
        <v>86</v>
      </c>
      <c r="AM82" s="122" t="s">
        <v>78</v>
      </c>
    </row>
    <row r="83" spans="1:39" customFormat="1" ht="15.75" customHeight="1" x14ac:dyDescent="0.3">
      <c r="A83" t="s">
        <v>78</v>
      </c>
      <c r="B83" s="21" t="s">
        <v>773</v>
      </c>
      <c r="C83" s="21" t="s">
        <v>780</v>
      </c>
      <c r="D83" s="117" t="s">
        <v>111</v>
      </c>
      <c r="E83" s="21" t="s">
        <v>79</v>
      </c>
      <c r="F83" s="21" t="s">
        <v>315</v>
      </c>
      <c r="G83" s="21">
        <v>98.8</v>
      </c>
      <c r="H83" s="21"/>
      <c r="I83" s="117" t="s">
        <v>842</v>
      </c>
      <c r="J83" s="117" t="s">
        <v>325</v>
      </c>
      <c r="K83" s="118">
        <v>15.2</v>
      </c>
      <c r="L83" s="21"/>
      <c r="M83" s="21"/>
      <c r="N83" s="21"/>
      <c r="O83" s="21"/>
      <c r="P83" s="21">
        <v>83.6</v>
      </c>
      <c r="Q83" s="21"/>
      <c r="R83" s="21" t="s">
        <v>329</v>
      </c>
      <c r="S83" s="119">
        <f>DATABASE_Table[[#This Row],[Inicial Asking Price (€) (Total)]]-DATABASE_Table[[#This Row],[Vista membership]]-DATABASE_Table[[#This Row],[FF&amp;E]]</f>
        <v>575000</v>
      </c>
      <c r="T83" s="120">
        <v>620000</v>
      </c>
      <c r="U83" s="36">
        <v>620000</v>
      </c>
      <c r="V83" s="21"/>
      <c r="W83" s="36">
        <v>45000</v>
      </c>
      <c r="X83" s="73">
        <f>DATABASE_Table[[#This Row],[Current Asking price( Total)]]-DATABASE_Table[[#This Row],[Vista membership]]-DATABASE_Table[[#This Row],[FF&amp;E]]</f>
        <v>575000</v>
      </c>
      <c r="Y83" s="37"/>
      <c r="Z83" s="36"/>
      <c r="AA83" s="73">
        <f>DATABASE_Table[[#This Row],[Sell price (Total)]]-DATABASE_Table[[#This Row],[FF&amp;E]]-DATABASE_Table[[#This Row],[Vista membership]]</f>
        <v>-45000</v>
      </c>
      <c r="AB83" s="74">
        <v>45792</v>
      </c>
      <c r="AC83" s="74" t="str">
        <f t="shared" si="1"/>
        <v>Q2 2025</v>
      </c>
      <c r="AD83" s="123"/>
      <c r="AE83" s="69">
        <v>47118</v>
      </c>
      <c r="AF83" s="21" t="s">
        <v>80</v>
      </c>
      <c r="AG83" s="21" t="s">
        <v>81</v>
      </c>
      <c r="AH83" s="122" t="s">
        <v>82</v>
      </c>
      <c r="AI83" s="122" t="s">
        <v>83</v>
      </c>
      <c r="AJ83" s="122" t="s">
        <v>84</v>
      </c>
      <c r="AK83" s="122" t="s">
        <v>85</v>
      </c>
      <c r="AL83" s="21" t="s">
        <v>86</v>
      </c>
      <c r="AM83" s="122" t="s">
        <v>78</v>
      </c>
    </row>
    <row r="84" spans="1:39" customFormat="1" ht="15.75" customHeight="1" x14ac:dyDescent="0.3">
      <c r="A84" t="s">
        <v>78</v>
      </c>
      <c r="B84" s="21" t="s">
        <v>773</v>
      </c>
      <c r="C84" s="21" t="s">
        <v>780</v>
      </c>
      <c r="D84" s="117" t="s">
        <v>112</v>
      </c>
      <c r="E84" s="21" t="s">
        <v>79</v>
      </c>
      <c r="F84" s="21" t="s">
        <v>316</v>
      </c>
      <c r="G84" s="21">
        <v>72.5</v>
      </c>
      <c r="H84" s="21"/>
      <c r="I84" s="117" t="s">
        <v>842</v>
      </c>
      <c r="J84" s="117" t="s">
        <v>325</v>
      </c>
      <c r="K84" s="118">
        <v>12</v>
      </c>
      <c r="L84" s="21"/>
      <c r="M84" s="21"/>
      <c r="N84" s="21"/>
      <c r="O84" s="21"/>
      <c r="P84" s="21">
        <v>60.5</v>
      </c>
      <c r="Q84" s="21"/>
      <c r="R84" s="21" t="s">
        <v>329</v>
      </c>
      <c r="S84" s="119">
        <f>DATABASE_Table[[#This Row],[Inicial Asking Price (€) (Total)]]-DATABASE_Table[[#This Row],[Vista membership]]-DATABASE_Table[[#This Row],[FF&amp;E]]</f>
        <v>425000</v>
      </c>
      <c r="T84" s="120">
        <v>460000</v>
      </c>
      <c r="U84" s="36">
        <v>460000</v>
      </c>
      <c r="V84" s="21"/>
      <c r="W84" s="36">
        <v>35000</v>
      </c>
      <c r="X84" s="73">
        <f>DATABASE_Table[[#This Row],[Current Asking price( Total)]]-DATABASE_Table[[#This Row],[Vista membership]]-DATABASE_Table[[#This Row],[FF&amp;E]]</f>
        <v>425000</v>
      </c>
      <c r="Y84" s="37"/>
      <c r="Z84" s="36"/>
      <c r="AA84" s="73">
        <f>DATABASE_Table[[#This Row],[Sell price (Total)]]-DATABASE_Table[[#This Row],[FF&amp;E]]-DATABASE_Table[[#This Row],[Vista membership]]</f>
        <v>-35000</v>
      </c>
      <c r="AB84" s="74">
        <v>45792</v>
      </c>
      <c r="AC84" s="74" t="str">
        <f t="shared" si="1"/>
        <v>Q2 2025</v>
      </c>
      <c r="AD84" s="123"/>
      <c r="AE84" s="69">
        <v>47118</v>
      </c>
      <c r="AF84" s="21" t="s">
        <v>80</v>
      </c>
      <c r="AG84" s="21" t="s">
        <v>81</v>
      </c>
      <c r="AH84" s="122" t="s">
        <v>82</v>
      </c>
      <c r="AI84" s="122" t="s">
        <v>83</v>
      </c>
      <c r="AJ84" s="122" t="s">
        <v>84</v>
      </c>
      <c r="AK84" s="122" t="s">
        <v>85</v>
      </c>
      <c r="AL84" s="21" t="s">
        <v>86</v>
      </c>
      <c r="AM84" s="122" t="s">
        <v>78</v>
      </c>
    </row>
    <row r="85" spans="1:39" customFormat="1" ht="15.75" customHeight="1" x14ac:dyDescent="0.3">
      <c r="A85" t="s">
        <v>78</v>
      </c>
      <c r="B85" s="21" t="s">
        <v>773</v>
      </c>
      <c r="C85" s="21" t="s">
        <v>780</v>
      </c>
      <c r="D85" s="117" t="s">
        <v>113</v>
      </c>
      <c r="E85" s="21" t="s">
        <v>79</v>
      </c>
      <c r="F85" s="21" t="s">
        <v>315</v>
      </c>
      <c r="G85" s="21">
        <v>98.7</v>
      </c>
      <c r="H85" s="21"/>
      <c r="I85" s="117" t="s">
        <v>842</v>
      </c>
      <c r="J85" s="117" t="s">
        <v>325</v>
      </c>
      <c r="K85" s="118">
        <v>13.3</v>
      </c>
      <c r="L85" s="21"/>
      <c r="M85" s="21"/>
      <c r="N85" s="21"/>
      <c r="O85" s="21"/>
      <c r="P85" s="21">
        <v>85.4</v>
      </c>
      <c r="Q85" s="21"/>
      <c r="R85" s="21" t="s">
        <v>329</v>
      </c>
      <c r="S85" s="119">
        <f>DATABASE_Table[[#This Row],[Inicial Asking Price (€) (Total)]]-DATABASE_Table[[#This Row],[Vista membership]]-DATABASE_Table[[#This Row],[FF&amp;E]]</f>
        <v>590000</v>
      </c>
      <c r="T85" s="120">
        <v>635000</v>
      </c>
      <c r="U85" s="36">
        <v>635000</v>
      </c>
      <c r="V85" s="21"/>
      <c r="W85" s="36">
        <v>45000</v>
      </c>
      <c r="X85" s="73">
        <f>DATABASE_Table[[#This Row],[Current Asking price( Total)]]-DATABASE_Table[[#This Row],[Vista membership]]-DATABASE_Table[[#This Row],[FF&amp;E]]</f>
        <v>590000</v>
      </c>
      <c r="Y85" s="37"/>
      <c r="Z85" s="36"/>
      <c r="AA85" s="73">
        <f>DATABASE_Table[[#This Row],[Sell price (Total)]]-DATABASE_Table[[#This Row],[FF&amp;E]]-DATABASE_Table[[#This Row],[Vista membership]]</f>
        <v>-45000</v>
      </c>
      <c r="AB85" s="74">
        <v>45792</v>
      </c>
      <c r="AC85" s="74" t="str">
        <f t="shared" si="1"/>
        <v>Q2 2025</v>
      </c>
      <c r="AD85" s="123"/>
      <c r="AE85" s="69">
        <v>47118</v>
      </c>
      <c r="AF85" s="21" t="s">
        <v>80</v>
      </c>
      <c r="AG85" s="21" t="s">
        <v>81</v>
      </c>
      <c r="AH85" s="122" t="s">
        <v>82</v>
      </c>
      <c r="AI85" s="122" t="s">
        <v>83</v>
      </c>
      <c r="AJ85" s="122" t="s">
        <v>84</v>
      </c>
      <c r="AK85" s="122" t="s">
        <v>85</v>
      </c>
      <c r="AL85" s="21" t="s">
        <v>86</v>
      </c>
      <c r="AM85" s="122" t="s">
        <v>78</v>
      </c>
    </row>
    <row r="86" spans="1:39" customFormat="1" ht="15.75" customHeight="1" x14ac:dyDescent="0.3">
      <c r="A86" t="s">
        <v>78</v>
      </c>
      <c r="B86" s="21" t="s">
        <v>773</v>
      </c>
      <c r="C86" s="21" t="s">
        <v>780</v>
      </c>
      <c r="D86" s="117" t="s">
        <v>115</v>
      </c>
      <c r="E86" s="21" t="s">
        <v>79</v>
      </c>
      <c r="F86" s="21" t="s">
        <v>316</v>
      </c>
      <c r="G86" s="21">
        <v>65</v>
      </c>
      <c r="H86" s="21"/>
      <c r="I86" s="117" t="s">
        <v>842</v>
      </c>
      <c r="J86" s="117" t="s">
        <v>325</v>
      </c>
      <c r="K86" s="118">
        <v>8.6999999999999993</v>
      </c>
      <c r="L86" s="21"/>
      <c r="M86" s="21"/>
      <c r="N86" s="21"/>
      <c r="O86" s="21"/>
      <c r="P86" s="21">
        <v>56.3</v>
      </c>
      <c r="Q86" s="21"/>
      <c r="R86" s="21" t="s">
        <v>329</v>
      </c>
      <c r="S86" s="119">
        <f>DATABASE_Table[[#This Row],[Inicial Asking Price (€) (Total)]]-DATABASE_Table[[#This Row],[Vista membership]]-DATABASE_Table[[#This Row],[FF&amp;E]]</f>
        <v>395000</v>
      </c>
      <c r="T86" s="120">
        <v>430000</v>
      </c>
      <c r="U86" s="36">
        <v>430000</v>
      </c>
      <c r="V86" s="21"/>
      <c r="W86" s="36">
        <v>35000</v>
      </c>
      <c r="X86" s="73">
        <f>DATABASE_Table[[#This Row],[Current Asking price( Total)]]-DATABASE_Table[[#This Row],[Vista membership]]-DATABASE_Table[[#This Row],[FF&amp;E]]</f>
        <v>395000</v>
      </c>
      <c r="Y86" s="37"/>
      <c r="Z86" s="36"/>
      <c r="AA86" s="73">
        <f>DATABASE_Table[[#This Row],[Sell price (Total)]]-DATABASE_Table[[#This Row],[FF&amp;E]]-DATABASE_Table[[#This Row],[Vista membership]]</f>
        <v>-35000</v>
      </c>
      <c r="AB86" s="74">
        <v>45792</v>
      </c>
      <c r="AC86" s="74" t="str">
        <f t="shared" si="1"/>
        <v>Q2 2025</v>
      </c>
      <c r="AD86" s="123"/>
      <c r="AE86" s="69">
        <v>47118</v>
      </c>
      <c r="AF86" s="21" t="s">
        <v>80</v>
      </c>
      <c r="AG86" s="21" t="s">
        <v>81</v>
      </c>
      <c r="AH86" s="122" t="s">
        <v>82</v>
      </c>
      <c r="AI86" s="122" t="s">
        <v>83</v>
      </c>
      <c r="AJ86" s="122" t="s">
        <v>84</v>
      </c>
      <c r="AK86" s="122" t="s">
        <v>85</v>
      </c>
      <c r="AL86" s="21" t="s">
        <v>86</v>
      </c>
      <c r="AM86" s="122" t="s">
        <v>78</v>
      </c>
    </row>
    <row r="87" spans="1:39" customFormat="1" ht="15.75" customHeight="1" x14ac:dyDescent="0.3">
      <c r="A87" t="s">
        <v>78</v>
      </c>
      <c r="B87" s="21" t="s">
        <v>773</v>
      </c>
      <c r="C87" s="21" t="s">
        <v>780</v>
      </c>
      <c r="D87" s="117" t="s">
        <v>116</v>
      </c>
      <c r="E87" s="21" t="s">
        <v>79</v>
      </c>
      <c r="F87" s="21" t="s">
        <v>316</v>
      </c>
      <c r="G87" s="21">
        <v>65</v>
      </c>
      <c r="H87" s="21"/>
      <c r="I87" s="117" t="s">
        <v>842</v>
      </c>
      <c r="J87" s="117" t="s">
        <v>325</v>
      </c>
      <c r="K87" s="118">
        <v>8.6999999999999993</v>
      </c>
      <c r="L87" s="21"/>
      <c r="M87" s="21"/>
      <c r="N87" s="21"/>
      <c r="O87" s="21"/>
      <c r="P87" s="21">
        <v>56.3</v>
      </c>
      <c r="Q87" s="21"/>
      <c r="R87" s="21" t="s">
        <v>329</v>
      </c>
      <c r="S87" s="119">
        <f>DATABASE_Table[[#This Row],[Inicial Asking Price (€) (Total)]]-DATABASE_Table[[#This Row],[Vista membership]]-DATABASE_Table[[#This Row],[FF&amp;E]]</f>
        <v>395000</v>
      </c>
      <c r="T87" s="120">
        <v>430000</v>
      </c>
      <c r="U87" s="36">
        <v>430000</v>
      </c>
      <c r="V87" s="21"/>
      <c r="W87" s="36">
        <v>35000</v>
      </c>
      <c r="X87" s="73">
        <f>DATABASE_Table[[#This Row],[Current Asking price( Total)]]-DATABASE_Table[[#This Row],[Vista membership]]-DATABASE_Table[[#This Row],[FF&amp;E]]</f>
        <v>395000</v>
      </c>
      <c r="Y87" s="37"/>
      <c r="Z87" s="36"/>
      <c r="AA87" s="73">
        <f>DATABASE_Table[[#This Row],[Sell price (Total)]]-DATABASE_Table[[#This Row],[FF&amp;E]]-DATABASE_Table[[#This Row],[Vista membership]]</f>
        <v>-35000</v>
      </c>
      <c r="AB87" s="74">
        <v>45792</v>
      </c>
      <c r="AC87" s="74" t="str">
        <f t="shared" si="1"/>
        <v>Q2 2025</v>
      </c>
      <c r="AD87" s="123"/>
      <c r="AE87" s="69">
        <v>47118</v>
      </c>
      <c r="AF87" s="21" t="s">
        <v>80</v>
      </c>
      <c r="AG87" s="21" t="s">
        <v>81</v>
      </c>
      <c r="AH87" s="122" t="s">
        <v>82</v>
      </c>
      <c r="AI87" s="122" t="s">
        <v>83</v>
      </c>
      <c r="AJ87" s="122" t="s">
        <v>84</v>
      </c>
      <c r="AK87" s="122" t="s">
        <v>85</v>
      </c>
      <c r="AL87" s="21" t="s">
        <v>86</v>
      </c>
      <c r="AM87" s="122" t="s">
        <v>78</v>
      </c>
    </row>
    <row r="88" spans="1:39" customFormat="1" ht="15.75" customHeight="1" x14ac:dyDescent="0.3">
      <c r="A88" t="s">
        <v>78</v>
      </c>
      <c r="B88" s="21" t="s">
        <v>773</v>
      </c>
      <c r="C88" s="21" t="s">
        <v>780</v>
      </c>
      <c r="D88" s="117" t="s">
        <v>118</v>
      </c>
      <c r="E88" s="21" t="s">
        <v>79</v>
      </c>
      <c r="F88" s="21" t="s">
        <v>316</v>
      </c>
      <c r="G88" s="21">
        <v>65</v>
      </c>
      <c r="H88" s="21"/>
      <c r="I88" s="117" t="s">
        <v>842</v>
      </c>
      <c r="J88" s="117" t="s">
        <v>325</v>
      </c>
      <c r="K88" s="118">
        <v>8.6999999999999993</v>
      </c>
      <c r="L88" s="21"/>
      <c r="M88" s="21"/>
      <c r="N88" s="21"/>
      <c r="O88" s="21"/>
      <c r="P88" s="21">
        <v>56.3</v>
      </c>
      <c r="Q88" s="21"/>
      <c r="R88" s="21" t="s">
        <v>329</v>
      </c>
      <c r="S88" s="119">
        <f>DATABASE_Table[[#This Row],[Inicial Asking Price (€) (Total)]]-DATABASE_Table[[#This Row],[Vista membership]]-DATABASE_Table[[#This Row],[FF&amp;E]]</f>
        <v>395000</v>
      </c>
      <c r="T88" s="120">
        <v>430000</v>
      </c>
      <c r="U88" s="36">
        <v>430000</v>
      </c>
      <c r="V88" s="21"/>
      <c r="W88" s="36">
        <v>35000</v>
      </c>
      <c r="X88" s="73">
        <f>DATABASE_Table[[#This Row],[Current Asking price( Total)]]-DATABASE_Table[[#This Row],[Vista membership]]-DATABASE_Table[[#This Row],[FF&amp;E]]</f>
        <v>395000</v>
      </c>
      <c r="Y88" s="37"/>
      <c r="Z88" s="36"/>
      <c r="AA88" s="73">
        <f>DATABASE_Table[[#This Row],[Sell price (Total)]]-DATABASE_Table[[#This Row],[FF&amp;E]]-DATABASE_Table[[#This Row],[Vista membership]]</f>
        <v>-35000</v>
      </c>
      <c r="AB88" s="74">
        <v>45792</v>
      </c>
      <c r="AC88" s="74" t="str">
        <f t="shared" si="1"/>
        <v>Q2 2025</v>
      </c>
      <c r="AD88" s="123"/>
      <c r="AE88" s="69">
        <v>47118</v>
      </c>
      <c r="AF88" s="21" t="s">
        <v>80</v>
      </c>
      <c r="AG88" s="21" t="s">
        <v>81</v>
      </c>
      <c r="AH88" s="122" t="s">
        <v>82</v>
      </c>
      <c r="AI88" s="122" t="s">
        <v>83</v>
      </c>
      <c r="AJ88" s="122" t="s">
        <v>84</v>
      </c>
      <c r="AK88" s="122" t="s">
        <v>85</v>
      </c>
      <c r="AL88" s="21" t="s">
        <v>86</v>
      </c>
      <c r="AM88" s="122" t="s">
        <v>78</v>
      </c>
    </row>
    <row r="89" spans="1:39" customFormat="1" ht="15.75" customHeight="1" x14ac:dyDescent="0.3">
      <c r="A89" t="s">
        <v>78</v>
      </c>
      <c r="B89" s="21" t="s">
        <v>773</v>
      </c>
      <c r="C89" s="21" t="s">
        <v>780</v>
      </c>
      <c r="D89" s="117" t="s">
        <v>120</v>
      </c>
      <c r="E89" s="21" t="s">
        <v>79</v>
      </c>
      <c r="F89" s="21" t="s">
        <v>316</v>
      </c>
      <c r="G89" s="21">
        <v>65</v>
      </c>
      <c r="H89" s="21"/>
      <c r="I89" s="117" t="s">
        <v>842</v>
      </c>
      <c r="J89" s="117" t="s">
        <v>325</v>
      </c>
      <c r="K89" s="118">
        <v>8.6999999999999993</v>
      </c>
      <c r="L89" s="21"/>
      <c r="M89" s="21"/>
      <c r="N89" s="21"/>
      <c r="O89" s="21"/>
      <c r="P89" s="21">
        <v>56.3</v>
      </c>
      <c r="Q89" s="21"/>
      <c r="R89" s="21" t="s">
        <v>329</v>
      </c>
      <c r="S89" s="119">
        <f>DATABASE_Table[[#This Row],[Inicial Asking Price (€) (Total)]]-DATABASE_Table[[#This Row],[Vista membership]]-DATABASE_Table[[#This Row],[FF&amp;E]]</f>
        <v>395000</v>
      </c>
      <c r="T89" s="120">
        <v>430000</v>
      </c>
      <c r="U89" s="36">
        <v>430000</v>
      </c>
      <c r="V89" s="21"/>
      <c r="W89" s="36">
        <v>35000</v>
      </c>
      <c r="X89" s="73">
        <f>DATABASE_Table[[#This Row],[Current Asking price( Total)]]-DATABASE_Table[[#This Row],[Vista membership]]-DATABASE_Table[[#This Row],[FF&amp;E]]</f>
        <v>395000</v>
      </c>
      <c r="Y89" s="37"/>
      <c r="Z89" s="36"/>
      <c r="AA89" s="73">
        <f>DATABASE_Table[[#This Row],[Sell price (Total)]]-DATABASE_Table[[#This Row],[FF&amp;E]]-DATABASE_Table[[#This Row],[Vista membership]]</f>
        <v>-35000</v>
      </c>
      <c r="AB89" s="74">
        <v>45792</v>
      </c>
      <c r="AC89" s="74" t="str">
        <f t="shared" si="1"/>
        <v>Q2 2025</v>
      </c>
      <c r="AD89" s="123"/>
      <c r="AE89" s="69">
        <v>47118</v>
      </c>
      <c r="AF89" s="21" t="s">
        <v>80</v>
      </c>
      <c r="AG89" s="21" t="s">
        <v>81</v>
      </c>
      <c r="AH89" s="122" t="s">
        <v>82</v>
      </c>
      <c r="AI89" s="122" t="s">
        <v>83</v>
      </c>
      <c r="AJ89" s="122" t="s">
        <v>84</v>
      </c>
      <c r="AK89" s="122" t="s">
        <v>85</v>
      </c>
      <c r="AL89" s="21" t="s">
        <v>86</v>
      </c>
      <c r="AM89" s="122" t="s">
        <v>78</v>
      </c>
    </row>
    <row r="90" spans="1:39" customFormat="1" ht="15.75" customHeight="1" x14ac:dyDescent="0.3">
      <c r="A90" t="s">
        <v>78</v>
      </c>
      <c r="B90" s="21" t="s">
        <v>773</v>
      </c>
      <c r="C90" s="21" t="s">
        <v>780</v>
      </c>
      <c r="D90" s="117" t="s">
        <v>121</v>
      </c>
      <c r="E90" s="21" t="s">
        <v>79</v>
      </c>
      <c r="F90" s="21" t="s">
        <v>315</v>
      </c>
      <c r="G90" s="21">
        <v>98.7</v>
      </c>
      <c r="H90" s="21"/>
      <c r="I90" s="117" t="s">
        <v>842</v>
      </c>
      <c r="J90" s="117" t="s">
        <v>325</v>
      </c>
      <c r="K90" s="118">
        <v>13.3</v>
      </c>
      <c r="L90" s="21"/>
      <c r="M90" s="21"/>
      <c r="N90" s="21"/>
      <c r="O90" s="21"/>
      <c r="P90" s="21">
        <v>85.4</v>
      </c>
      <c r="Q90" s="21"/>
      <c r="R90" s="21" t="s">
        <v>329</v>
      </c>
      <c r="S90" s="119">
        <f>DATABASE_Table[[#This Row],[Inicial Asking Price (€) (Total)]]-DATABASE_Table[[#This Row],[Vista membership]]-DATABASE_Table[[#This Row],[FF&amp;E]]</f>
        <v>590000</v>
      </c>
      <c r="T90" s="120">
        <v>635000</v>
      </c>
      <c r="U90" s="36">
        <v>635000</v>
      </c>
      <c r="V90" s="21"/>
      <c r="W90" s="36">
        <v>45000</v>
      </c>
      <c r="X90" s="73">
        <f>DATABASE_Table[[#This Row],[Current Asking price( Total)]]-DATABASE_Table[[#This Row],[Vista membership]]-DATABASE_Table[[#This Row],[FF&amp;E]]</f>
        <v>590000</v>
      </c>
      <c r="Y90" s="37"/>
      <c r="Z90" s="36"/>
      <c r="AA90" s="73">
        <f>DATABASE_Table[[#This Row],[Sell price (Total)]]-DATABASE_Table[[#This Row],[FF&amp;E]]-DATABASE_Table[[#This Row],[Vista membership]]</f>
        <v>-45000</v>
      </c>
      <c r="AB90" s="74">
        <v>45792</v>
      </c>
      <c r="AC90" s="74" t="str">
        <f t="shared" si="1"/>
        <v>Q2 2025</v>
      </c>
      <c r="AD90" s="123"/>
      <c r="AE90" s="69">
        <v>47118</v>
      </c>
      <c r="AF90" s="21" t="s">
        <v>80</v>
      </c>
      <c r="AG90" s="21" t="s">
        <v>81</v>
      </c>
      <c r="AH90" s="122" t="s">
        <v>82</v>
      </c>
      <c r="AI90" s="122" t="s">
        <v>83</v>
      </c>
      <c r="AJ90" s="122" t="s">
        <v>84</v>
      </c>
      <c r="AK90" s="122" t="s">
        <v>85</v>
      </c>
      <c r="AL90" s="21" t="s">
        <v>86</v>
      </c>
      <c r="AM90" s="122" t="s">
        <v>78</v>
      </c>
    </row>
    <row r="91" spans="1:39" customFormat="1" ht="15.75" customHeight="1" x14ac:dyDescent="0.3">
      <c r="A91" t="s">
        <v>78</v>
      </c>
      <c r="B91" s="21" t="s">
        <v>773</v>
      </c>
      <c r="C91" s="21" t="s">
        <v>780</v>
      </c>
      <c r="D91" s="117" t="s">
        <v>122</v>
      </c>
      <c r="E91" s="21" t="s">
        <v>79</v>
      </c>
      <c r="F91" s="21" t="s">
        <v>316</v>
      </c>
      <c r="G91" s="21">
        <v>72.5</v>
      </c>
      <c r="H91" s="21"/>
      <c r="I91" s="117" t="s">
        <v>842</v>
      </c>
      <c r="J91" s="117" t="s">
        <v>325</v>
      </c>
      <c r="K91" s="118">
        <v>12</v>
      </c>
      <c r="L91" s="21"/>
      <c r="M91" s="21"/>
      <c r="N91" s="21"/>
      <c r="O91" s="21"/>
      <c r="P91" s="21">
        <v>60.5</v>
      </c>
      <c r="Q91" s="21"/>
      <c r="R91" s="21" t="s">
        <v>329</v>
      </c>
      <c r="S91" s="119">
        <f>DATABASE_Table[[#This Row],[Inicial Asking Price (€) (Total)]]-DATABASE_Table[[#This Row],[Vista membership]]-DATABASE_Table[[#This Row],[FF&amp;E]]</f>
        <v>425000</v>
      </c>
      <c r="T91" s="120">
        <v>460000</v>
      </c>
      <c r="U91" s="36">
        <v>460000</v>
      </c>
      <c r="V91" s="21"/>
      <c r="W91" s="36">
        <v>35000</v>
      </c>
      <c r="X91" s="73">
        <f>DATABASE_Table[[#This Row],[Current Asking price( Total)]]-DATABASE_Table[[#This Row],[Vista membership]]-DATABASE_Table[[#This Row],[FF&amp;E]]</f>
        <v>425000</v>
      </c>
      <c r="Y91" s="37"/>
      <c r="Z91" s="36"/>
      <c r="AA91" s="73">
        <f>DATABASE_Table[[#This Row],[Sell price (Total)]]-DATABASE_Table[[#This Row],[FF&amp;E]]-DATABASE_Table[[#This Row],[Vista membership]]</f>
        <v>-35000</v>
      </c>
      <c r="AB91" s="74">
        <v>45792</v>
      </c>
      <c r="AC91" s="74" t="str">
        <f t="shared" si="1"/>
        <v>Q2 2025</v>
      </c>
      <c r="AD91" s="123"/>
      <c r="AE91" s="69">
        <v>47118</v>
      </c>
      <c r="AF91" s="21" t="s">
        <v>80</v>
      </c>
      <c r="AG91" s="21" t="s">
        <v>81</v>
      </c>
      <c r="AH91" s="122" t="s">
        <v>82</v>
      </c>
      <c r="AI91" s="122" t="s">
        <v>83</v>
      </c>
      <c r="AJ91" s="122" t="s">
        <v>84</v>
      </c>
      <c r="AK91" s="122" t="s">
        <v>85</v>
      </c>
      <c r="AL91" s="21" t="s">
        <v>86</v>
      </c>
      <c r="AM91" s="122" t="s">
        <v>78</v>
      </c>
    </row>
    <row r="92" spans="1:39" customFormat="1" ht="15.75" customHeight="1" x14ac:dyDescent="0.3">
      <c r="A92" t="s">
        <v>78</v>
      </c>
      <c r="B92" s="21" t="s">
        <v>773</v>
      </c>
      <c r="C92" s="21" t="s">
        <v>780</v>
      </c>
      <c r="D92" s="117" t="s">
        <v>123</v>
      </c>
      <c r="E92" s="21" t="s">
        <v>79</v>
      </c>
      <c r="F92" s="21" t="s">
        <v>315</v>
      </c>
      <c r="G92" s="21">
        <v>98.8</v>
      </c>
      <c r="H92" s="21"/>
      <c r="I92" s="117" t="s">
        <v>842</v>
      </c>
      <c r="J92" s="117" t="s">
        <v>325</v>
      </c>
      <c r="K92" s="118">
        <v>15.2</v>
      </c>
      <c r="L92" s="21"/>
      <c r="M92" s="21"/>
      <c r="N92" s="21"/>
      <c r="O92" s="21"/>
      <c r="P92" s="21">
        <v>83.6</v>
      </c>
      <c r="Q92" s="21"/>
      <c r="R92" s="21" t="s">
        <v>329</v>
      </c>
      <c r="S92" s="119">
        <f>DATABASE_Table[[#This Row],[Inicial Asking Price (€) (Total)]]-DATABASE_Table[[#This Row],[Vista membership]]-DATABASE_Table[[#This Row],[FF&amp;E]]</f>
        <v>575000</v>
      </c>
      <c r="T92" s="120">
        <v>620000</v>
      </c>
      <c r="U92" s="36">
        <v>620000</v>
      </c>
      <c r="V92" s="21"/>
      <c r="W92" s="36">
        <v>45000</v>
      </c>
      <c r="X92" s="73">
        <f>DATABASE_Table[[#This Row],[Current Asking price( Total)]]-DATABASE_Table[[#This Row],[Vista membership]]-DATABASE_Table[[#This Row],[FF&amp;E]]</f>
        <v>575000</v>
      </c>
      <c r="Y92" s="37"/>
      <c r="Z92" s="36"/>
      <c r="AA92" s="73">
        <f>DATABASE_Table[[#This Row],[Sell price (Total)]]-DATABASE_Table[[#This Row],[FF&amp;E]]-DATABASE_Table[[#This Row],[Vista membership]]</f>
        <v>-45000</v>
      </c>
      <c r="AB92" s="74">
        <v>45792</v>
      </c>
      <c r="AC92" s="74" t="str">
        <f t="shared" si="1"/>
        <v>Q2 2025</v>
      </c>
      <c r="AD92" s="123"/>
      <c r="AE92" s="69">
        <v>47118</v>
      </c>
      <c r="AF92" s="21" t="s">
        <v>80</v>
      </c>
      <c r="AG92" s="21" t="s">
        <v>81</v>
      </c>
      <c r="AH92" s="122" t="s">
        <v>82</v>
      </c>
      <c r="AI92" s="122" t="s">
        <v>83</v>
      </c>
      <c r="AJ92" s="122" t="s">
        <v>84</v>
      </c>
      <c r="AK92" s="122" t="s">
        <v>85</v>
      </c>
      <c r="AL92" s="21" t="s">
        <v>86</v>
      </c>
      <c r="AM92" s="122" t="s">
        <v>78</v>
      </c>
    </row>
    <row r="93" spans="1:39" customFormat="1" ht="15.75" customHeight="1" x14ac:dyDescent="0.3">
      <c r="A93" t="s">
        <v>78</v>
      </c>
      <c r="B93" s="21" t="s">
        <v>773</v>
      </c>
      <c r="C93" s="21" t="s">
        <v>780</v>
      </c>
      <c r="D93" s="117" t="s">
        <v>124</v>
      </c>
      <c r="E93" s="21" t="s">
        <v>79</v>
      </c>
      <c r="F93" s="21" t="s">
        <v>315</v>
      </c>
      <c r="G93" s="21">
        <v>98.8</v>
      </c>
      <c r="H93" s="21"/>
      <c r="I93" s="117" t="s">
        <v>842</v>
      </c>
      <c r="J93" s="117" t="s">
        <v>325</v>
      </c>
      <c r="K93" s="118">
        <v>15.2</v>
      </c>
      <c r="L93" s="21"/>
      <c r="M93" s="21"/>
      <c r="N93" s="21"/>
      <c r="O93" s="21"/>
      <c r="P93" s="21">
        <v>83.6</v>
      </c>
      <c r="Q93" s="21"/>
      <c r="R93" s="21" t="s">
        <v>329</v>
      </c>
      <c r="S93" s="119">
        <f>DATABASE_Table[[#This Row],[Inicial Asking Price (€) (Total)]]-DATABASE_Table[[#This Row],[Vista membership]]-DATABASE_Table[[#This Row],[FF&amp;E]]</f>
        <v>575000</v>
      </c>
      <c r="T93" s="120">
        <v>620000</v>
      </c>
      <c r="U93" s="36">
        <v>620000</v>
      </c>
      <c r="V93" s="21"/>
      <c r="W93" s="36">
        <v>45000</v>
      </c>
      <c r="X93" s="73">
        <f>DATABASE_Table[[#This Row],[Current Asking price( Total)]]-DATABASE_Table[[#This Row],[Vista membership]]-DATABASE_Table[[#This Row],[FF&amp;E]]</f>
        <v>575000</v>
      </c>
      <c r="Y93" s="37"/>
      <c r="Z93" s="36"/>
      <c r="AA93" s="73">
        <f>DATABASE_Table[[#This Row],[Sell price (Total)]]-DATABASE_Table[[#This Row],[FF&amp;E]]-DATABASE_Table[[#This Row],[Vista membership]]</f>
        <v>-45000</v>
      </c>
      <c r="AB93" s="74">
        <v>45792</v>
      </c>
      <c r="AC93" s="74" t="str">
        <f t="shared" si="1"/>
        <v>Q2 2025</v>
      </c>
      <c r="AD93" s="123"/>
      <c r="AE93" s="69">
        <v>47118</v>
      </c>
      <c r="AF93" s="21" t="s">
        <v>80</v>
      </c>
      <c r="AG93" s="21" t="s">
        <v>81</v>
      </c>
      <c r="AH93" s="122" t="s">
        <v>82</v>
      </c>
      <c r="AI93" s="122" t="s">
        <v>83</v>
      </c>
      <c r="AJ93" s="122" t="s">
        <v>84</v>
      </c>
      <c r="AK93" s="122" t="s">
        <v>85</v>
      </c>
      <c r="AL93" s="21" t="s">
        <v>86</v>
      </c>
      <c r="AM93" s="122" t="s">
        <v>78</v>
      </c>
    </row>
    <row r="94" spans="1:39" customFormat="1" ht="15.75" customHeight="1" x14ac:dyDescent="0.3">
      <c r="A94" t="s">
        <v>78</v>
      </c>
      <c r="B94" s="21" t="s">
        <v>773</v>
      </c>
      <c r="C94" s="21" t="s">
        <v>780</v>
      </c>
      <c r="D94" s="117" t="s">
        <v>125</v>
      </c>
      <c r="E94" s="21" t="s">
        <v>79</v>
      </c>
      <c r="F94" s="21" t="s">
        <v>315</v>
      </c>
      <c r="G94" s="21">
        <v>98.8</v>
      </c>
      <c r="H94" s="21"/>
      <c r="I94" s="117" t="s">
        <v>842</v>
      </c>
      <c r="J94" s="117" t="s">
        <v>325</v>
      </c>
      <c r="K94" s="118">
        <v>15.2</v>
      </c>
      <c r="L94" s="21"/>
      <c r="M94" s="21"/>
      <c r="N94" s="21"/>
      <c r="O94" s="21"/>
      <c r="P94" s="21">
        <v>83.6</v>
      </c>
      <c r="Q94" s="21"/>
      <c r="R94" s="21" t="s">
        <v>329</v>
      </c>
      <c r="S94" s="119">
        <f>DATABASE_Table[[#This Row],[Inicial Asking Price (€) (Total)]]-DATABASE_Table[[#This Row],[Vista membership]]-DATABASE_Table[[#This Row],[FF&amp;E]]</f>
        <v>575000</v>
      </c>
      <c r="T94" s="120">
        <v>620000</v>
      </c>
      <c r="U94" s="36">
        <v>620000</v>
      </c>
      <c r="V94" s="21"/>
      <c r="W94" s="36">
        <v>45000</v>
      </c>
      <c r="X94" s="73">
        <f>DATABASE_Table[[#This Row],[Current Asking price( Total)]]-DATABASE_Table[[#This Row],[Vista membership]]-DATABASE_Table[[#This Row],[FF&amp;E]]</f>
        <v>575000</v>
      </c>
      <c r="Y94" s="37"/>
      <c r="Z94" s="36"/>
      <c r="AA94" s="73">
        <f>DATABASE_Table[[#This Row],[Sell price (Total)]]-DATABASE_Table[[#This Row],[FF&amp;E]]-DATABASE_Table[[#This Row],[Vista membership]]</f>
        <v>-45000</v>
      </c>
      <c r="AB94" s="74">
        <v>45792</v>
      </c>
      <c r="AC94" s="74" t="str">
        <f t="shared" si="1"/>
        <v>Q2 2025</v>
      </c>
      <c r="AD94" s="123"/>
      <c r="AE94" s="69">
        <v>47118</v>
      </c>
      <c r="AF94" s="21" t="s">
        <v>80</v>
      </c>
      <c r="AG94" s="21" t="s">
        <v>81</v>
      </c>
      <c r="AH94" s="122" t="s">
        <v>82</v>
      </c>
      <c r="AI94" s="122" t="s">
        <v>83</v>
      </c>
      <c r="AJ94" s="122" t="s">
        <v>84</v>
      </c>
      <c r="AK94" s="122" t="s">
        <v>85</v>
      </c>
      <c r="AL94" s="21" t="s">
        <v>86</v>
      </c>
      <c r="AM94" s="122" t="s">
        <v>78</v>
      </c>
    </row>
    <row r="95" spans="1:39" customFormat="1" ht="15.75" customHeight="1" x14ac:dyDescent="0.3">
      <c r="A95" t="s">
        <v>78</v>
      </c>
      <c r="B95" s="21" t="s">
        <v>773</v>
      </c>
      <c r="C95" s="21" t="s">
        <v>780</v>
      </c>
      <c r="D95" s="117" t="s">
        <v>126</v>
      </c>
      <c r="E95" s="21" t="s">
        <v>79</v>
      </c>
      <c r="F95" s="21" t="s">
        <v>316</v>
      </c>
      <c r="G95" s="21">
        <v>72.5</v>
      </c>
      <c r="H95" s="21"/>
      <c r="I95" s="117" t="s">
        <v>842</v>
      </c>
      <c r="J95" s="117" t="s">
        <v>325</v>
      </c>
      <c r="K95" s="118">
        <v>12</v>
      </c>
      <c r="L95" s="21"/>
      <c r="M95" s="21"/>
      <c r="N95" s="21"/>
      <c r="O95" s="21"/>
      <c r="P95" s="21">
        <v>60.5</v>
      </c>
      <c r="Q95" s="21"/>
      <c r="R95" s="21" t="s">
        <v>329</v>
      </c>
      <c r="S95" s="119">
        <f>DATABASE_Table[[#This Row],[Inicial Asking Price (€) (Total)]]-DATABASE_Table[[#This Row],[Vista membership]]-DATABASE_Table[[#This Row],[FF&amp;E]]</f>
        <v>425000</v>
      </c>
      <c r="T95" s="120">
        <v>460000</v>
      </c>
      <c r="U95" s="36">
        <v>460000</v>
      </c>
      <c r="V95" s="21"/>
      <c r="W95" s="36">
        <v>35000</v>
      </c>
      <c r="X95" s="73">
        <f>DATABASE_Table[[#This Row],[Current Asking price( Total)]]-DATABASE_Table[[#This Row],[Vista membership]]-DATABASE_Table[[#This Row],[FF&amp;E]]</f>
        <v>425000</v>
      </c>
      <c r="Y95" s="37"/>
      <c r="Z95" s="36"/>
      <c r="AA95" s="73">
        <f>DATABASE_Table[[#This Row],[Sell price (Total)]]-DATABASE_Table[[#This Row],[FF&amp;E]]-DATABASE_Table[[#This Row],[Vista membership]]</f>
        <v>-35000</v>
      </c>
      <c r="AB95" s="74">
        <v>45792</v>
      </c>
      <c r="AC95" s="74" t="str">
        <f t="shared" si="1"/>
        <v>Q2 2025</v>
      </c>
      <c r="AD95" s="123"/>
      <c r="AE95" s="69">
        <v>47118</v>
      </c>
      <c r="AF95" s="21" t="s">
        <v>80</v>
      </c>
      <c r="AG95" s="21" t="s">
        <v>81</v>
      </c>
      <c r="AH95" s="122" t="s">
        <v>82</v>
      </c>
      <c r="AI95" s="122" t="s">
        <v>83</v>
      </c>
      <c r="AJ95" s="122" t="s">
        <v>84</v>
      </c>
      <c r="AK95" s="122" t="s">
        <v>85</v>
      </c>
      <c r="AL95" s="21" t="s">
        <v>86</v>
      </c>
      <c r="AM95" s="122" t="s">
        <v>78</v>
      </c>
    </row>
    <row r="96" spans="1:39" customFormat="1" ht="15.75" customHeight="1" x14ac:dyDescent="0.3">
      <c r="A96" t="s">
        <v>78</v>
      </c>
      <c r="B96" s="21" t="s">
        <v>773</v>
      </c>
      <c r="C96" s="21" t="s">
        <v>780</v>
      </c>
      <c r="D96" s="117" t="s">
        <v>127</v>
      </c>
      <c r="E96" s="21" t="s">
        <v>79</v>
      </c>
      <c r="F96" s="21" t="s">
        <v>316</v>
      </c>
      <c r="G96" s="21">
        <v>60.2</v>
      </c>
      <c r="H96" s="21"/>
      <c r="I96" s="117" t="s">
        <v>842</v>
      </c>
      <c r="J96" s="117" t="s">
        <v>325</v>
      </c>
      <c r="K96" s="118">
        <v>3.9</v>
      </c>
      <c r="L96" s="21"/>
      <c r="M96" s="21"/>
      <c r="N96" s="21"/>
      <c r="O96" s="21"/>
      <c r="P96" s="21">
        <v>56.3</v>
      </c>
      <c r="Q96" s="21"/>
      <c r="R96" s="21" t="s">
        <v>329</v>
      </c>
      <c r="S96" s="119">
        <f>DATABASE_Table[[#This Row],[Inicial Asking Price (€) (Total)]]-DATABASE_Table[[#This Row],[Vista membership]]-DATABASE_Table[[#This Row],[FF&amp;E]]</f>
        <v>1245000</v>
      </c>
      <c r="T96" s="124">
        <v>1280000</v>
      </c>
      <c r="U96" s="36">
        <v>410000</v>
      </c>
      <c r="V96" s="21"/>
      <c r="W96" s="36">
        <v>35000</v>
      </c>
      <c r="X96" s="73">
        <f>DATABASE_Table[[#This Row],[Current Asking price( Total)]]-DATABASE_Table[[#This Row],[Vista membership]]-DATABASE_Table[[#This Row],[FF&amp;E]]</f>
        <v>375000</v>
      </c>
      <c r="Y96" s="37"/>
      <c r="Z96" s="36"/>
      <c r="AA96" s="73">
        <f>DATABASE_Table[[#This Row],[Sell price (Total)]]-DATABASE_Table[[#This Row],[FF&amp;E]]-DATABASE_Table[[#This Row],[Vista membership]]</f>
        <v>-35000</v>
      </c>
      <c r="AB96" s="74">
        <v>45792</v>
      </c>
      <c r="AC96" s="74" t="str">
        <f t="shared" si="1"/>
        <v>Q2 2025</v>
      </c>
      <c r="AD96" s="123"/>
      <c r="AE96" s="69">
        <v>47118</v>
      </c>
      <c r="AF96" s="21" t="s">
        <v>80</v>
      </c>
      <c r="AG96" s="21" t="s">
        <v>81</v>
      </c>
      <c r="AH96" s="122" t="s">
        <v>82</v>
      </c>
      <c r="AI96" s="122" t="s">
        <v>83</v>
      </c>
      <c r="AJ96" s="122" t="s">
        <v>84</v>
      </c>
      <c r="AK96" s="122" t="s">
        <v>85</v>
      </c>
      <c r="AL96" s="21" t="s">
        <v>86</v>
      </c>
      <c r="AM96" s="122" t="s">
        <v>78</v>
      </c>
    </row>
    <row r="97" spans="1:39" customFormat="1" ht="15.75" customHeight="1" x14ac:dyDescent="0.3">
      <c r="A97" t="s">
        <v>78</v>
      </c>
      <c r="B97" s="21" t="s">
        <v>773</v>
      </c>
      <c r="C97" s="21" t="s">
        <v>780</v>
      </c>
      <c r="D97" s="117" t="s">
        <v>136</v>
      </c>
      <c r="E97" s="21" t="s">
        <v>79</v>
      </c>
      <c r="F97" s="21" t="s">
        <v>316</v>
      </c>
      <c r="G97" s="21">
        <v>60.2</v>
      </c>
      <c r="H97" s="21"/>
      <c r="I97" s="117" t="s">
        <v>842</v>
      </c>
      <c r="J97" s="117" t="s">
        <v>325</v>
      </c>
      <c r="K97" s="118">
        <v>3.9</v>
      </c>
      <c r="L97" s="21"/>
      <c r="M97" s="21"/>
      <c r="N97" s="21"/>
      <c r="O97" s="21"/>
      <c r="P97" s="21">
        <v>56.3</v>
      </c>
      <c r="Q97" s="21"/>
      <c r="R97" s="21" t="s">
        <v>329</v>
      </c>
      <c r="S97" s="119">
        <f>DATABASE_Table[[#This Row],[Inicial Asking Price (€) (Total)]]-DATABASE_Table[[#This Row],[Vista membership]]-DATABASE_Table[[#This Row],[FF&amp;E]]</f>
        <v>2665000</v>
      </c>
      <c r="T97" s="36">
        <v>2700000</v>
      </c>
      <c r="U97" s="36">
        <v>390000</v>
      </c>
      <c r="V97" s="21"/>
      <c r="W97" s="36">
        <v>35000</v>
      </c>
      <c r="X97" s="73">
        <f>DATABASE_Table[[#This Row],[Current Asking price( Total)]]-DATABASE_Table[[#This Row],[Vista membership]]-DATABASE_Table[[#This Row],[FF&amp;E]]</f>
        <v>355000</v>
      </c>
      <c r="Y97" s="37"/>
      <c r="Z97" s="36"/>
      <c r="AA97" s="73">
        <f>DATABASE_Table[[#This Row],[Sell price (Total)]]-DATABASE_Table[[#This Row],[FF&amp;E]]-DATABASE_Table[[#This Row],[Vista membership]]</f>
        <v>-35000</v>
      </c>
      <c r="AB97" s="74">
        <v>45792</v>
      </c>
      <c r="AC97" s="74" t="str">
        <f t="shared" si="1"/>
        <v>Q2 2025</v>
      </c>
      <c r="AD97" s="123"/>
      <c r="AE97" s="69">
        <v>47118</v>
      </c>
      <c r="AF97" s="21" t="s">
        <v>80</v>
      </c>
      <c r="AG97" s="21" t="s">
        <v>81</v>
      </c>
      <c r="AH97" s="122" t="s">
        <v>82</v>
      </c>
      <c r="AI97" s="122" t="s">
        <v>83</v>
      </c>
      <c r="AJ97" s="122" t="s">
        <v>84</v>
      </c>
      <c r="AK97" s="122" t="s">
        <v>85</v>
      </c>
      <c r="AL97" s="21" t="s">
        <v>86</v>
      </c>
      <c r="AM97" s="122" t="s">
        <v>78</v>
      </c>
    </row>
    <row r="98" spans="1:39" customFormat="1" ht="15.75" customHeight="1" x14ac:dyDescent="0.3">
      <c r="A98" t="s">
        <v>78</v>
      </c>
      <c r="B98" s="21" t="s">
        <v>773</v>
      </c>
      <c r="C98" s="21" t="s">
        <v>780</v>
      </c>
      <c r="D98" s="117" t="s">
        <v>145</v>
      </c>
      <c r="E98" s="21" t="s">
        <v>79</v>
      </c>
      <c r="F98" s="21" t="s">
        <v>315</v>
      </c>
      <c r="G98" s="21">
        <v>98.7</v>
      </c>
      <c r="H98" s="21"/>
      <c r="I98" s="117" t="s">
        <v>842</v>
      </c>
      <c r="J98" s="117" t="s">
        <v>325</v>
      </c>
      <c r="K98" s="118">
        <v>13.3</v>
      </c>
      <c r="L98" s="21"/>
      <c r="M98" s="21"/>
      <c r="N98" s="21"/>
      <c r="O98" s="21"/>
      <c r="P98" s="21">
        <v>85.4</v>
      </c>
      <c r="Q98" s="21"/>
      <c r="R98" s="21" t="s">
        <v>329</v>
      </c>
      <c r="S98" s="119">
        <f>DATABASE_Table[[#This Row],[Inicial Asking Price (€) (Total)]]-DATABASE_Table[[#This Row],[Vista membership]]-DATABASE_Table[[#This Row],[FF&amp;E]]</f>
        <v>595000</v>
      </c>
      <c r="T98" s="120">
        <v>640000</v>
      </c>
      <c r="U98" s="36">
        <v>640000</v>
      </c>
      <c r="V98" s="21"/>
      <c r="W98" s="36">
        <v>45000</v>
      </c>
      <c r="X98" s="73">
        <f>DATABASE_Table[[#This Row],[Current Asking price( Total)]]-DATABASE_Table[[#This Row],[Vista membership]]-DATABASE_Table[[#This Row],[FF&amp;E]]</f>
        <v>595000</v>
      </c>
      <c r="Y98" s="37"/>
      <c r="Z98" s="36"/>
      <c r="AA98" s="73">
        <f>DATABASE_Table[[#This Row],[Sell price (Total)]]-DATABASE_Table[[#This Row],[FF&amp;E]]-DATABASE_Table[[#This Row],[Vista membership]]</f>
        <v>-45000</v>
      </c>
      <c r="AB98" s="74">
        <v>45792</v>
      </c>
      <c r="AC98" s="74" t="str">
        <f t="shared" si="1"/>
        <v>Q2 2025</v>
      </c>
      <c r="AD98" s="123"/>
      <c r="AE98" s="69">
        <v>47118</v>
      </c>
      <c r="AF98" s="21" t="s">
        <v>80</v>
      </c>
      <c r="AG98" s="21" t="s">
        <v>81</v>
      </c>
      <c r="AH98" s="122" t="s">
        <v>82</v>
      </c>
      <c r="AI98" s="122" t="s">
        <v>83</v>
      </c>
      <c r="AJ98" s="122" t="s">
        <v>84</v>
      </c>
      <c r="AK98" s="122" t="s">
        <v>85</v>
      </c>
      <c r="AL98" s="21" t="s">
        <v>86</v>
      </c>
      <c r="AM98" s="122" t="s">
        <v>78</v>
      </c>
    </row>
    <row r="99" spans="1:39" customFormat="1" ht="15.75" customHeight="1" x14ac:dyDescent="0.3">
      <c r="A99" t="s">
        <v>78</v>
      </c>
      <c r="B99" s="21" t="s">
        <v>773</v>
      </c>
      <c r="C99" s="21" t="s">
        <v>780</v>
      </c>
      <c r="D99" s="117" t="s">
        <v>146</v>
      </c>
      <c r="E99" s="21" t="s">
        <v>79</v>
      </c>
      <c r="F99" s="21" t="s">
        <v>316</v>
      </c>
      <c r="G99" s="21">
        <v>65</v>
      </c>
      <c r="H99" s="21"/>
      <c r="I99" s="117" t="s">
        <v>842</v>
      </c>
      <c r="J99" s="117" t="s">
        <v>325</v>
      </c>
      <c r="K99" s="118">
        <v>8.6999999999999993</v>
      </c>
      <c r="L99" s="21"/>
      <c r="M99" s="21"/>
      <c r="N99" s="21"/>
      <c r="O99" s="21"/>
      <c r="P99" s="21">
        <v>56.3</v>
      </c>
      <c r="Q99" s="21"/>
      <c r="R99" s="21" t="s">
        <v>329</v>
      </c>
      <c r="S99" s="119">
        <f>DATABASE_Table[[#This Row],[Inicial Asking Price (€) (Total)]]-DATABASE_Table[[#This Row],[Vista membership]]-DATABASE_Table[[#This Row],[FF&amp;E]]</f>
        <v>400000</v>
      </c>
      <c r="T99" s="120">
        <v>435000</v>
      </c>
      <c r="U99" s="36">
        <v>435000</v>
      </c>
      <c r="V99" s="21"/>
      <c r="W99" s="36">
        <v>35000</v>
      </c>
      <c r="X99" s="73">
        <f>DATABASE_Table[[#This Row],[Current Asking price( Total)]]-DATABASE_Table[[#This Row],[Vista membership]]-DATABASE_Table[[#This Row],[FF&amp;E]]</f>
        <v>400000</v>
      </c>
      <c r="Y99" s="37"/>
      <c r="Z99" s="36"/>
      <c r="AA99" s="73">
        <f>DATABASE_Table[[#This Row],[Sell price (Total)]]-DATABASE_Table[[#This Row],[FF&amp;E]]-DATABASE_Table[[#This Row],[Vista membership]]</f>
        <v>-35000</v>
      </c>
      <c r="AB99" s="74">
        <v>45792</v>
      </c>
      <c r="AC99" s="74" t="str">
        <f t="shared" si="1"/>
        <v>Q2 2025</v>
      </c>
      <c r="AD99" s="123"/>
      <c r="AE99" s="69">
        <v>47118</v>
      </c>
      <c r="AF99" s="21" t="s">
        <v>80</v>
      </c>
      <c r="AG99" s="21" t="s">
        <v>81</v>
      </c>
      <c r="AH99" s="122" t="s">
        <v>82</v>
      </c>
      <c r="AI99" s="122" t="s">
        <v>83</v>
      </c>
      <c r="AJ99" s="122" t="s">
        <v>84</v>
      </c>
      <c r="AK99" s="122" t="s">
        <v>85</v>
      </c>
      <c r="AL99" s="21" t="s">
        <v>86</v>
      </c>
      <c r="AM99" s="122" t="s">
        <v>78</v>
      </c>
    </row>
    <row r="100" spans="1:39" customFormat="1" ht="15.75" customHeight="1" x14ac:dyDescent="0.3">
      <c r="A100" t="s">
        <v>78</v>
      </c>
      <c r="B100" s="21" t="s">
        <v>773</v>
      </c>
      <c r="C100" s="21" t="s">
        <v>780</v>
      </c>
      <c r="D100" s="117" t="s">
        <v>147</v>
      </c>
      <c r="E100" s="21" t="s">
        <v>79</v>
      </c>
      <c r="F100" s="21" t="s">
        <v>316</v>
      </c>
      <c r="G100" s="21">
        <v>65</v>
      </c>
      <c r="H100" s="21"/>
      <c r="I100" s="117" t="s">
        <v>842</v>
      </c>
      <c r="J100" s="117" t="s">
        <v>325</v>
      </c>
      <c r="K100" s="118">
        <v>8.6999999999999993</v>
      </c>
      <c r="L100" s="21"/>
      <c r="M100" s="21"/>
      <c r="N100" s="21"/>
      <c r="O100" s="21"/>
      <c r="P100" s="21">
        <v>56.3</v>
      </c>
      <c r="Q100" s="21"/>
      <c r="R100" s="21" t="s">
        <v>329</v>
      </c>
      <c r="S100" s="119">
        <f>DATABASE_Table[[#This Row],[Inicial Asking Price (€) (Total)]]-DATABASE_Table[[#This Row],[Vista membership]]-DATABASE_Table[[#This Row],[FF&amp;E]]</f>
        <v>400000</v>
      </c>
      <c r="T100" s="120">
        <v>435000</v>
      </c>
      <c r="U100" s="36">
        <v>435000</v>
      </c>
      <c r="V100" s="21"/>
      <c r="W100" s="36">
        <v>35000</v>
      </c>
      <c r="X100" s="73">
        <f>DATABASE_Table[[#This Row],[Current Asking price( Total)]]-DATABASE_Table[[#This Row],[Vista membership]]-DATABASE_Table[[#This Row],[FF&amp;E]]</f>
        <v>400000</v>
      </c>
      <c r="Y100" s="37"/>
      <c r="Z100" s="36"/>
      <c r="AA100" s="73">
        <f>DATABASE_Table[[#This Row],[Sell price (Total)]]-DATABASE_Table[[#This Row],[FF&amp;E]]-DATABASE_Table[[#This Row],[Vista membership]]</f>
        <v>-35000</v>
      </c>
      <c r="AB100" s="74">
        <v>45792</v>
      </c>
      <c r="AC100" s="74" t="str">
        <f t="shared" si="1"/>
        <v>Q2 2025</v>
      </c>
      <c r="AD100" s="123"/>
      <c r="AE100" s="69">
        <v>47118</v>
      </c>
      <c r="AF100" s="21" t="s">
        <v>80</v>
      </c>
      <c r="AG100" s="21" t="s">
        <v>81</v>
      </c>
      <c r="AH100" s="122" t="s">
        <v>82</v>
      </c>
      <c r="AI100" s="122" t="s">
        <v>83</v>
      </c>
      <c r="AJ100" s="122" t="s">
        <v>84</v>
      </c>
      <c r="AK100" s="122" t="s">
        <v>85</v>
      </c>
      <c r="AL100" s="21" t="s">
        <v>86</v>
      </c>
      <c r="AM100" s="122" t="s">
        <v>78</v>
      </c>
    </row>
    <row r="101" spans="1:39" customFormat="1" ht="15.75" customHeight="1" x14ac:dyDescent="0.3">
      <c r="A101" t="s">
        <v>78</v>
      </c>
      <c r="B101" s="21" t="s">
        <v>773</v>
      </c>
      <c r="C101" s="21" t="s">
        <v>780</v>
      </c>
      <c r="D101" s="117" t="s">
        <v>148</v>
      </c>
      <c r="E101" s="21" t="s">
        <v>79</v>
      </c>
      <c r="F101" s="21" t="s">
        <v>316</v>
      </c>
      <c r="G101" s="21">
        <v>65</v>
      </c>
      <c r="H101" s="21"/>
      <c r="I101" s="117" t="s">
        <v>842</v>
      </c>
      <c r="J101" s="117" t="s">
        <v>325</v>
      </c>
      <c r="K101" s="118">
        <v>8.6999999999999993</v>
      </c>
      <c r="L101" s="21"/>
      <c r="M101" s="21"/>
      <c r="N101" s="21"/>
      <c r="O101" s="21"/>
      <c r="P101" s="21">
        <v>56.3</v>
      </c>
      <c r="Q101" s="21"/>
      <c r="R101" s="21" t="s">
        <v>329</v>
      </c>
      <c r="S101" s="119">
        <f>DATABASE_Table[[#This Row],[Inicial Asking Price (€) (Total)]]-DATABASE_Table[[#This Row],[Vista membership]]-DATABASE_Table[[#This Row],[FF&amp;E]]</f>
        <v>400000</v>
      </c>
      <c r="T101" s="120">
        <v>435000</v>
      </c>
      <c r="U101" s="36">
        <v>435000</v>
      </c>
      <c r="V101" s="21"/>
      <c r="W101" s="36">
        <v>35000</v>
      </c>
      <c r="X101" s="73">
        <f>DATABASE_Table[[#This Row],[Current Asking price( Total)]]-DATABASE_Table[[#This Row],[Vista membership]]-DATABASE_Table[[#This Row],[FF&amp;E]]</f>
        <v>400000</v>
      </c>
      <c r="Y101" s="37"/>
      <c r="Z101" s="36"/>
      <c r="AA101" s="73">
        <f>DATABASE_Table[[#This Row],[Sell price (Total)]]-DATABASE_Table[[#This Row],[FF&amp;E]]-DATABASE_Table[[#This Row],[Vista membership]]</f>
        <v>-35000</v>
      </c>
      <c r="AB101" s="74">
        <v>45792</v>
      </c>
      <c r="AC101" s="74" t="str">
        <f t="shared" si="1"/>
        <v>Q2 2025</v>
      </c>
      <c r="AD101" s="123"/>
      <c r="AE101" s="69">
        <v>47118</v>
      </c>
      <c r="AF101" s="21" t="s">
        <v>80</v>
      </c>
      <c r="AG101" s="21" t="s">
        <v>81</v>
      </c>
      <c r="AH101" s="122" t="s">
        <v>82</v>
      </c>
      <c r="AI101" s="122" t="s">
        <v>83</v>
      </c>
      <c r="AJ101" s="122" t="s">
        <v>84</v>
      </c>
      <c r="AK101" s="122" t="s">
        <v>85</v>
      </c>
      <c r="AL101" s="21" t="s">
        <v>86</v>
      </c>
      <c r="AM101" s="122" t="s">
        <v>78</v>
      </c>
    </row>
    <row r="102" spans="1:39" customFormat="1" ht="15.75" customHeight="1" x14ac:dyDescent="0.3">
      <c r="A102" t="s">
        <v>78</v>
      </c>
      <c r="B102" s="21" t="s">
        <v>773</v>
      </c>
      <c r="C102" s="21" t="s">
        <v>780</v>
      </c>
      <c r="D102" s="117" t="s">
        <v>149</v>
      </c>
      <c r="E102" s="21" t="s">
        <v>79</v>
      </c>
      <c r="F102" s="21" t="s">
        <v>316</v>
      </c>
      <c r="G102" s="21">
        <v>65</v>
      </c>
      <c r="H102" s="21"/>
      <c r="I102" s="117" t="s">
        <v>842</v>
      </c>
      <c r="J102" s="117" t="s">
        <v>325</v>
      </c>
      <c r="K102" s="118">
        <v>8.6999999999999993</v>
      </c>
      <c r="L102" s="21"/>
      <c r="M102" s="21"/>
      <c r="N102" s="21"/>
      <c r="O102" s="21"/>
      <c r="P102" s="21">
        <v>56.3</v>
      </c>
      <c r="Q102" s="21"/>
      <c r="R102" s="21" t="s">
        <v>329</v>
      </c>
      <c r="S102" s="119">
        <f>DATABASE_Table[[#This Row],[Inicial Asking Price (€) (Total)]]-DATABASE_Table[[#This Row],[Vista membership]]-DATABASE_Table[[#This Row],[FF&amp;E]]</f>
        <v>400000</v>
      </c>
      <c r="T102" s="120">
        <v>435000</v>
      </c>
      <c r="U102" s="36">
        <v>435000</v>
      </c>
      <c r="V102" s="21"/>
      <c r="W102" s="36">
        <v>35000</v>
      </c>
      <c r="X102" s="73">
        <f>DATABASE_Table[[#This Row],[Current Asking price( Total)]]-DATABASE_Table[[#This Row],[Vista membership]]-DATABASE_Table[[#This Row],[FF&amp;E]]</f>
        <v>400000</v>
      </c>
      <c r="Y102" s="37"/>
      <c r="Z102" s="36"/>
      <c r="AA102" s="73">
        <f>DATABASE_Table[[#This Row],[Sell price (Total)]]-DATABASE_Table[[#This Row],[FF&amp;E]]-DATABASE_Table[[#This Row],[Vista membership]]</f>
        <v>-35000</v>
      </c>
      <c r="AB102" s="74">
        <v>45792</v>
      </c>
      <c r="AC102" s="74" t="str">
        <f t="shared" si="1"/>
        <v>Q2 2025</v>
      </c>
      <c r="AD102" s="123"/>
      <c r="AE102" s="69">
        <v>47118</v>
      </c>
      <c r="AF102" s="21" t="s">
        <v>80</v>
      </c>
      <c r="AG102" s="21" t="s">
        <v>81</v>
      </c>
      <c r="AH102" s="122" t="s">
        <v>82</v>
      </c>
      <c r="AI102" s="122" t="s">
        <v>83</v>
      </c>
      <c r="AJ102" s="122" t="s">
        <v>84</v>
      </c>
      <c r="AK102" s="122" t="s">
        <v>85</v>
      </c>
      <c r="AL102" s="21" t="s">
        <v>86</v>
      </c>
      <c r="AM102" s="122" t="s">
        <v>78</v>
      </c>
    </row>
    <row r="103" spans="1:39" customFormat="1" ht="15.75" customHeight="1" x14ac:dyDescent="0.3">
      <c r="A103" t="s">
        <v>78</v>
      </c>
      <c r="B103" s="21" t="s">
        <v>773</v>
      </c>
      <c r="C103" s="21" t="s">
        <v>780</v>
      </c>
      <c r="D103" s="117" t="s">
        <v>150</v>
      </c>
      <c r="E103" s="21" t="s">
        <v>79</v>
      </c>
      <c r="F103" s="21" t="s">
        <v>316</v>
      </c>
      <c r="G103" s="21">
        <v>65</v>
      </c>
      <c r="H103" s="21"/>
      <c r="I103" s="117" t="s">
        <v>842</v>
      </c>
      <c r="J103" s="117" t="s">
        <v>325</v>
      </c>
      <c r="K103" s="118">
        <v>8.6999999999999993</v>
      </c>
      <c r="L103" s="21"/>
      <c r="M103" s="21"/>
      <c r="N103" s="21"/>
      <c r="O103" s="21"/>
      <c r="P103" s="21">
        <v>56.3</v>
      </c>
      <c r="Q103" s="21"/>
      <c r="R103" s="21" t="s">
        <v>329</v>
      </c>
      <c r="S103" s="119">
        <f>DATABASE_Table[[#This Row],[Inicial Asking Price (€) (Total)]]-DATABASE_Table[[#This Row],[Vista membership]]-DATABASE_Table[[#This Row],[FF&amp;E]]</f>
        <v>400000</v>
      </c>
      <c r="T103" s="120">
        <v>435000</v>
      </c>
      <c r="U103" s="36">
        <v>435000</v>
      </c>
      <c r="V103" s="21"/>
      <c r="W103" s="36">
        <v>35000</v>
      </c>
      <c r="X103" s="73">
        <f>DATABASE_Table[[#This Row],[Current Asking price( Total)]]-DATABASE_Table[[#This Row],[Vista membership]]-DATABASE_Table[[#This Row],[FF&amp;E]]</f>
        <v>400000</v>
      </c>
      <c r="Y103" s="37"/>
      <c r="Z103" s="36"/>
      <c r="AA103" s="73">
        <f>DATABASE_Table[[#This Row],[Sell price (Total)]]-DATABASE_Table[[#This Row],[FF&amp;E]]-DATABASE_Table[[#This Row],[Vista membership]]</f>
        <v>-35000</v>
      </c>
      <c r="AB103" s="74">
        <v>45792</v>
      </c>
      <c r="AC103" s="74" t="str">
        <f t="shared" si="1"/>
        <v>Q2 2025</v>
      </c>
      <c r="AD103" s="123"/>
      <c r="AE103" s="69">
        <v>47118</v>
      </c>
      <c r="AF103" s="21" t="s">
        <v>80</v>
      </c>
      <c r="AG103" s="21" t="s">
        <v>81</v>
      </c>
      <c r="AH103" s="122" t="s">
        <v>82</v>
      </c>
      <c r="AI103" s="122" t="s">
        <v>83</v>
      </c>
      <c r="AJ103" s="122" t="s">
        <v>84</v>
      </c>
      <c r="AK103" s="122" t="s">
        <v>85</v>
      </c>
      <c r="AL103" s="21" t="s">
        <v>86</v>
      </c>
      <c r="AM103" s="122" t="s">
        <v>78</v>
      </c>
    </row>
    <row r="104" spans="1:39" customFormat="1" ht="15.75" customHeight="1" x14ac:dyDescent="0.3">
      <c r="A104" t="s">
        <v>78</v>
      </c>
      <c r="B104" s="21" t="s">
        <v>773</v>
      </c>
      <c r="C104" s="21" t="s">
        <v>780</v>
      </c>
      <c r="D104" s="117" t="s">
        <v>151</v>
      </c>
      <c r="E104" s="21" t="s">
        <v>79</v>
      </c>
      <c r="F104" s="21" t="s">
        <v>316</v>
      </c>
      <c r="G104" s="21">
        <v>65</v>
      </c>
      <c r="H104" s="21"/>
      <c r="I104" s="117" t="s">
        <v>842</v>
      </c>
      <c r="J104" s="117" t="s">
        <v>325</v>
      </c>
      <c r="K104" s="118">
        <v>8.6999999999999993</v>
      </c>
      <c r="L104" s="21"/>
      <c r="M104" s="21"/>
      <c r="N104" s="21"/>
      <c r="O104" s="21"/>
      <c r="P104" s="21">
        <v>56.3</v>
      </c>
      <c r="Q104" s="21"/>
      <c r="R104" s="21" t="s">
        <v>329</v>
      </c>
      <c r="S104" s="119">
        <f>DATABASE_Table[[#This Row],[Inicial Asking Price (€) (Total)]]-DATABASE_Table[[#This Row],[Vista membership]]-DATABASE_Table[[#This Row],[FF&amp;E]]</f>
        <v>400000</v>
      </c>
      <c r="T104" s="120">
        <v>435000</v>
      </c>
      <c r="U104" s="36">
        <v>435000</v>
      </c>
      <c r="V104" s="21"/>
      <c r="W104" s="36">
        <v>35000</v>
      </c>
      <c r="X104" s="73">
        <f>DATABASE_Table[[#This Row],[Current Asking price( Total)]]-DATABASE_Table[[#This Row],[Vista membership]]-DATABASE_Table[[#This Row],[FF&amp;E]]</f>
        <v>400000</v>
      </c>
      <c r="Y104" s="37"/>
      <c r="Z104" s="36"/>
      <c r="AA104" s="73">
        <f>DATABASE_Table[[#This Row],[Sell price (Total)]]-DATABASE_Table[[#This Row],[FF&amp;E]]-DATABASE_Table[[#This Row],[Vista membership]]</f>
        <v>-35000</v>
      </c>
      <c r="AB104" s="74">
        <v>45792</v>
      </c>
      <c r="AC104" s="74" t="str">
        <f t="shared" si="1"/>
        <v>Q2 2025</v>
      </c>
      <c r="AD104" s="123"/>
      <c r="AE104" s="69">
        <v>47118</v>
      </c>
      <c r="AF104" s="21" t="s">
        <v>80</v>
      </c>
      <c r="AG104" s="21" t="s">
        <v>81</v>
      </c>
      <c r="AH104" s="122" t="s">
        <v>82</v>
      </c>
      <c r="AI104" s="122" t="s">
        <v>83</v>
      </c>
      <c r="AJ104" s="122" t="s">
        <v>84</v>
      </c>
      <c r="AK104" s="122" t="s">
        <v>85</v>
      </c>
      <c r="AL104" s="21" t="s">
        <v>86</v>
      </c>
      <c r="AM104" s="122" t="s">
        <v>78</v>
      </c>
    </row>
    <row r="105" spans="1:39" customFormat="1" ht="15.75" customHeight="1" x14ac:dyDescent="0.3">
      <c r="A105" t="s">
        <v>78</v>
      </c>
      <c r="B105" s="21" t="s">
        <v>773</v>
      </c>
      <c r="C105" s="21" t="s">
        <v>780</v>
      </c>
      <c r="D105" s="117" t="s">
        <v>152</v>
      </c>
      <c r="E105" s="21" t="s">
        <v>79</v>
      </c>
      <c r="F105" s="21" t="s">
        <v>316</v>
      </c>
      <c r="G105" s="21">
        <v>65</v>
      </c>
      <c r="H105" s="21"/>
      <c r="I105" s="117" t="s">
        <v>842</v>
      </c>
      <c r="J105" s="117" t="s">
        <v>325</v>
      </c>
      <c r="K105" s="118">
        <v>8.6999999999999993</v>
      </c>
      <c r="L105" s="21"/>
      <c r="M105" s="21"/>
      <c r="N105" s="21"/>
      <c r="O105" s="21"/>
      <c r="P105" s="21">
        <v>56.3</v>
      </c>
      <c r="Q105" s="21"/>
      <c r="R105" s="21" t="s">
        <v>329</v>
      </c>
      <c r="S105" s="119">
        <f>DATABASE_Table[[#This Row],[Inicial Asking Price (€) (Total)]]-DATABASE_Table[[#This Row],[Vista membership]]-DATABASE_Table[[#This Row],[FF&amp;E]]</f>
        <v>400000</v>
      </c>
      <c r="T105" s="120">
        <v>435000</v>
      </c>
      <c r="U105" s="36">
        <v>435000</v>
      </c>
      <c r="V105" s="21"/>
      <c r="W105" s="36">
        <v>35000</v>
      </c>
      <c r="X105" s="73">
        <f>DATABASE_Table[[#This Row],[Current Asking price( Total)]]-DATABASE_Table[[#This Row],[Vista membership]]-DATABASE_Table[[#This Row],[FF&amp;E]]</f>
        <v>400000</v>
      </c>
      <c r="Y105" s="37"/>
      <c r="Z105" s="36"/>
      <c r="AA105" s="73">
        <f>DATABASE_Table[[#This Row],[Sell price (Total)]]-DATABASE_Table[[#This Row],[FF&amp;E]]-DATABASE_Table[[#This Row],[Vista membership]]</f>
        <v>-35000</v>
      </c>
      <c r="AB105" s="74">
        <v>45792</v>
      </c>
      <c r="AC105" s="74" t="str">
        <f t="shared" si="1"/>
        <v>Q2 2025</v>
      </c>
      <c r="AD105" s="123"/>
      <c r="AE105" s="69">
        <v>47118</v>
      </c>
      <c r="AF105" s="21" t="s">
        <v>80</v>
      </c>
      <c r="AG105" s="21" t="s">
        <v>81</v>
      </c>
      <c r="AH105" s="122" t="s">
        <v>82</v>
      </c>
      <c r="AI105" s="122" t="s">
        <v>83</v>
      </c>
      <c r="AJ105" s="122" t="s">
        <v>84</v>
      </c>
      <c r="AK105" s="122" t="s">
        <v>85</v>
      </c>
      <c r="AL105" s="21" t="s">
        <v>86</v>
      </c>
      <c r="AM105" s="122" t="s">
        <v>78</v>
      </c>
    </row>
    <row r="106" spans="1:39" customFormat="1" ht="15.75" customHeight="1" x14ac:dyDescent="0.3">
      <c r="A106" t="s">
        <v>78</v>
      </c>
      <c r="B106" s="21" t="s">
        <v>773</v>
      </c>
      <c r="C106" s="21" t="s">
        <v>780</v>
      </c>
      <c r="D106" s="117" t="s">
        <v>155</v>
      </c>
      <c r="E106" s="21" t="s">
        <v>79</v>
      </c>
      <c r="F106" s="21" t="s">
        <v>315</v>
      </c>
      <c r="G106" s="21">
        <v>98.8</v>
      </c>
      <c r="H106" s="21"/>
      <c r="I106" s="117" t="s">
        <v>842</v>
      </c>
      <c r="J106" s="117" t="s">
        <v>325</v>
      </c>
      <c r="K106" s="118">
        <v>15.2</v>
      </c>
      <c r="L106" s="21"/>
      <c r="M106" s="21"/>
      <c r="N106" s="21"/>
      <c r="O106" s="21"/>
      <c r="P106" s="21">
        <v>83.6</v>
      </c>
      <c r="Q106" s="21"/>
      <c r="R106" s="21" t="s">
        <v>329</v>
      </c>
      <c r="S106" s="119">
        <f>DATABASE_Table[[#This Row],[Inicial Asking Price (€) (Total)]]-DATABASE_Table[[#This Row],[Vista membership]]-DATABASE_Table[[#This Row],[FF&amp;E]]</f>
        <v>600000</v>
      </c>
      <c r="T106" s="120">
        <v>645000</v>
      </c>
      <c r="U106" s="36">
        <v>645000</v>
      </c>
      <c r="V106" s="21"/>
      <c r="W106" s="36">
        <v>45000</v>
      </c>
      <c r="X106" s="73">
        <f>DATABASE_Table[[#This Row],[Current Asking price( Total)]]-DATABASE_Table[[#This Row],[Vista membership]]-DATABASE_Table[[#This Row],[FF&amp;E]]</f>
        <v>600000</v>
      </c>
      <c r="Y106" s="37"/>
      <c r="Z106" s="36"/>
      <c r="AA106" s="73">
        <f>DATABASE_Table[[#This Row],[Sell price (Total)]]-DATABASE_Table[[#This Row],[FF&amp;E]]-DATABASE_Table[[#This Row],[Vista membership]]</f>
        <v>-45000</v>
      </c>
      <c r="AB106" s="74">
        <v>45792</v>
      </c>
      <c r="AC106" s="74" t="str">
        <f t="shared" si="1"/>
        <v>Q2 2025</v>
      </c>
      <c r="AD106" s="123"/>
      <c r="AE106" s="69">
        <v>47118</v>
      </c>
      <c r="AF106" s="21" t="s">
        <v>80</v>
      </c>
      <c r="AG106" s="21" t="s">
        <v>81</v>
      </c>
      <c r="AH106" s="122" t="s">
        <v>82</v>
      </c>
      <c r="AI106" s="122" t="s">
        <v>83</v>
      </c>
      <c r="AJ106" s="122" t="s">
        <v>84</v>
      </c>
      <c r="AK106" s="122" t="s">
        <v>85</v>
      </c>
      <c r="AL106" s="21" t="s">
        <v>86</v>
      </c>
      <c r="AM106" s="122" t="s">
        <v>78</v>
      </c>
    </row>
    <row r="107" spans="1:39" customFormat="1" ht="15.75" customHeight="1" x14ac:dyDescent="0.3">
      <c r="A107" t="s">
        <v>78</v>
      </c>
      <c r="B107" s="21" t="s">
        <v>773</v>
      </c>
      <c r="C107" s="21" t="s">
        <v>780</v>
      </c>
      <c r="D107" s="117" t="s">
        <v>156</v>
      </c>
      <c r="E107" s="21" t="s">
        <v>79</v>
      </c>
      <c r="F107" s="21" t="s">
        <v>315</v>
      </c>
      <c r="G107" s="21">
        <v>98.8</v>
      </c>
      <c r="H107" s="21"/>
      <c r="I107" s="117" t="s">
        <v>842</v>
      </c>
      <c r="J107" s="117" t="s">
        <v>325</v>
      </c>
      <c r="K107" s="118">
        <v>15.2</v>
      </c>
      <c r="L107" s="21"/>
      <c r="M107" s="21"/>
      <c r="N107" s="21"/>
      <c r="O107" s="21"/>
      <c r="P107" s="21">
        <v>83.6</v>
      </c>
      <c r="Q107" s="21"/>
      <c r="R107" s="21" t="s">
        <v>329</v>
      </c>
      <c r="S107" s="119">
        <f>DATABASE_Table[[#This Row],[Inicial Asking Price (€) (Total)]]-DATABASE_Table[[#This Row],[Vista membership]]-DATABASE_Table[[#This Row],[FF&amp;E]]</f>
        <v>600000</v>
      </c>
      <c r="T107" s="120">
        <v>645000</v>
      </c>
      <c r="U107" s="36">
        <v>645000</v>
      </c>
      <c r="V107" s="21"/>
      <c r="W107" s="36">
        <v>45000</v>
      </c>
      <c r="X107" s="73">
        <f>DATABASE_Table[[#This Row],[Current Asking price( Total)]]-DATABASE_Table[[#This Row],[Vista membership]]-DATABASE_Table[[#This Row],[FF&amp;E]]</f>
        <v>600000</v>
      </c>
      <c r="Y107" s="37"/>
      <c r="Z107" s="36"/>
      <c r="AA107" s="73">
        <f>DATABASE_Table[[#This Row],[Sell price (Total)]]-DATABASE_Table[[#This Row],[FF&amp;E]]-DATABASE_Table[[#This Row],[Vista membership]]</f>
        <v>-45000</v>
      </c>
      <c r="AB107" s="74">
        <v>45792</v>
      </c>
      <c r="AC107" s="74" t="str">
        <f t="shared" si="1"/>
        <v>Q2 2025</v>
      </c>
      <c r="AD107" s="123"/>
      <c r="AE107" s="69">
        <v>47118</v>
      </c>
      <c r="AF107" s="21" t="s">
        <v>80</v>
      </c>
      <c r="AG107" s="21" t="s">
        <v>81</v>
      </c>
      <c r="AH107" s="122" t="s">
        <v>82</v>
      </c>
      <c r="AI107" s="122" t="s">
        <v>83</v>
      </c>
      <c r="AJ107" s="122" t="s">
        <v>84</v>
      </c>
      <c r="AK107" s="122" t="s">
        <v>85</v>
      </c>
      <c r="AL107" s="21" t="s">
        <v>86</v>
      </c>
      <c r="AM107" s="122" t="s">
        <v>78</v>
      </c>
    </row>
    <row r="108" spans="1:39" customFormat="1" ht="15.75" customHeight="1" x14ac:dyDescent="0.3">
      <c r="A108" t="s">
        <v>78</v>
      </c>
      <c r="B108" s="21" t="s">
        <v>773</v>
      </c>
      <c r="C108" s="21" t="s">
        <v>780</v>
      </c>
      <c r="D108" s="117" t="s">
        <v>157</v>
      </c>
      <c r="E108" s="21" t="s">
        <v>79</v>
      </c>
      <c r="F108" s="21" t="s">
        <v>315</v>
      </c>
      <c r="G108" s="21">
        <v>98.8</v>
      </c>
      <c r="H108" s="21"/>
      <c r="I108" s="117" t="s">
        <v>842</v>
      </c>
      <c r="J108" s="117" t="s">
        <v>325</v>
      </c>
      <c r="K108" s="118">
        <v>15.2</v>
      </c>
      <c r="L108" s="21"/>
      <c r="M108" s="21"/>
      <c r="N108" s="21"/>
      <c r="O108" s="21"/>
      <c r="P108" s="21">
        <v>83.6</v>
      </c>
      <c r="Q108" s="21"/>
      <c r="R108" s="21" t="s">
        <v>329</v>
      </c>
      <c r="S108" s="119">
        <f>DATABASE_Table[[#This Row],[Inicial Asking Price (€) (Total)]]-DATABASE_Table[[#This Row],[Vista membership]]-DATABASE_Table[[#This Row],[FF&amp;E]]</f>
        <v>600000</v>
      </c>
      <c r="T108" s="120">
        <v>645000</v>
      </c>
      <c r="U108" s="36">
        <v>645000</v>
      </c>
      <c r="V108" s="21"/>
      <c r="W108" s="36">
        <v>45000</v>
      </c>
      <c r="X108" s="73">
        <f>DATABASE_Table[[#This Row],[Current Asking price( Total)]]-DATABASE_Table[[#This Row],[Vista membership]]-DATABASE_Table[[#This Row],[FF&amp;E]]</f>
        <v>600000</v>
      </c>
      <c r="Y108" s="37"/>
      <c r="Z108" s="36"/>
      <c r="AA108" s="73">
        <f>DATABASE_Table[[#This Row],[Sell price (Total)]]-DATABASE_Table[[#This Row],[FF&amp;E]]-DATABASE_Table[[#This Row],[Vista membership]]</f>
        <v>-45000</v>
      </c>
      <c r="AB108" s="74">
        <v>45792</v>
      </c>
      <c r="AC108" s="74" t="str">
        <f t="shared" si="1"/>
        <v>Q2 2025</v>
      </c>
      <c r="AD108" s="123"/>
      <c r="AE108" s="69">
        <v>47118</v>
      </c>
      <c r="AF108" s="21" t="s">
        <v>80</v>
      </c>
      <c r="AG108" s="21" t="s">
        <v>81</v>
      </c>
      <c r="AH108" s="122" t="s">
        <v>82</v>
      </c>
      <c r="AI108" s="122" t="s">
        <v>83</v>
      </c>
      <c r="AJ108" s="122" t="s">
        <v>84</v>
      </c>
      <c r="AK108" s="122" t="s">
        <v>85</v>
      </c>
      <c r="AL108" s="21" t="s">
        <v>86</v>
      </c>
      <c r="AM108" s="122" t="s">
        <v>78</v>
      </c>
    </row>
    <row r="109" spans="1:39" customFormat="1" ht="15.75" customHeight="1" x14ac:dyDescent="0.3">
      <c r="A109" t="s">
        <v>78</v>
      </c>
      <c r="B109" s="21" t="s">
        <v>773</v>
      </c>
      <c r="C109" s="21" t="s">
        <v>780</v>
      </c>
      <c r="D109" s="117" t="s">
        <v>158</v>
      </c>
      <c r="E109" s="21" t="s">
        <v>79</v>
      </c>
      <c r="F109" s="21" t="s">
        <v>316</v>
      </c>
      <c r="G109" s="21">
        <v>72.5</v>
      </c>
      <c r="H109" s="21"/>
      <c r="I109" s="117" t="s">
        <v>842</v>
      </c>
      <c r="J109" s="117" t="s">
        <v>325</v>
      </c>
      <c r="K109" s="118">
        <v>12</v>
      </c>
      <c r="L109" s="21"/>
      <c r="M109" s="21"/>
      <c r="N109" s="21"/>
      <c r="O109" s="21"/>
      <c r="P109" s="21">
        <v>60.5</v>
      </c>
      <c r="Q109" s="21"/>
      <c r="R109" s="21" t="s">
        <v>329</v>
      </c>
      <c r="S109" s="119">
        <f>DATABASE_Table[[#This Row],[Inicial Asking Price (€) (Total)]]-DATABASE_Table[[#This Row],[Vista membership]]-DATABASE_Table[[#This Row],[FF&amp;E]]</f>
        <v>445000</v>
      </c>
      <c r="T109" s="120">
        <v>480000</v>
      </c>
      <c r="U109" s="36">
        <v>480000</v>
      </c>
      <c r="V109" s="21"/>
      <c r="W109" s="36">
        <v>35000</v>
      </c>
      <c r="X109" s="73">
        <f>DATABASE_Table[[#This Row],[Current Asking price( Total)]]-DATABASE_Table[[#This Row],[Vista membership]]-DATABASE_Table[[#This Row],[FF&amp;E]]</f>
        <v>445000</v>
      </c>
      <c r="Y109" s="37"/>
      <c r="Z109" s="36"/>
      <c r="AA109" s="73">
        <f>DATABASE_Table[[#This Row],[Sell price (Total)]]-DATABASE_Table[[#This Row],[FF&amp;E]]-DATABASE_Table[[#This Row],[Vista membership]]</f>
        <v>-35000</v>
      </c>
      <c r="AB109" s="74">
        <v>45792</v>
      </c>
      <c r="AC109" s="74" t="str">
        <f t="shared" si="1"/>
        <v>Q2 2025</v>
      </c>
      <c r="AD109" s="123"/>
      <c r="AE109" s="69">
        <v>47118</v>
      </c>
      <c r="AF109" s="21" t="s">
        <v>80</v>
      </c>
      <c r="AG109" s="21" t="s">
        <v>81</v>
      </c>
      <c r="AH109" s="122" t="s">
        <v>82</v>
      </c>
      <c r="AI109" s="122" t="s">
        <v>83</v>
      </c>
      <c r="AJ109" s="122" t="s">
        <v>84</v>
      </c>
      <c r="AK109" s="122" t="s">
        <v>85</v>
      </c>
      <c r="AL109" s="21" t="s">
        <v>86</v>
      </c>
      <c r="AM109" s="122" t="s">
        <v>78</v>
      </c>
    </row>
    <row r="110" spans="1:39" customFormat="1" ht="15.75" customHeight="1" x14ac:dyDescent="0.3">
      <c r="A110" t="s">
        <v>78</v>
      </c>
      <c r="B110" s="21" t="s">
        <v>773</v>
      </c>
      <c r="C110" s="21" t="s">
        <v>780</v>
      </c>
      <c r="D110" s="117" t="s">
        <v>159</v>
      </c>
      <c r="E110" s="21" t="s">
        <v>79</v>
      </c>
      <c r="F110" s="21" t="s">
        <v>316</v>
      </c>
      <c r="G110" s="21">
        <v>65</v>
      </c>
      <c r="H110" s="21"/>
      <c r="I110" s="117" t="s">
        <v>842</v>
      </c>
      <c r="J110" s="117" t="s">
        <v>325</v>
      </c>
      <c r="K110" s="118">
        <v>8.6999999999999993</v>
      </c>
      <c r="L110" s="21"/>
      <c r="M110" s="21"/>
      <c r="N110" s="21"/>
      <c r="O110" s="21"/>
      <c r="P110" s="21">
        <v>56.3</v>
      </c>
      <c r="Q110" s="21"/>
      <c r="R110" s="21" t="s">
        <v>329</v>
      </c>
      <c r="S110" s="119">
        <f>DATABASE_Table[[#This Row],[Inicial Asking Price (€) (Total)]]-DATABASE_Table[[#This Row],[Vista membership]]-DATABASE_Table[[#This Row],[FF&amp;E]]</f>
        <v>415000</v>
      </c>
      <c r="T110" s="120">
        <v>450000</v>
      </c>
      <c r="U110" s="36">
        <v>450000</v>
      </c>
      <c r="V110" s="21"/>
      <c r="W110" s="36">
        <v>35000</v>
      </c>
      <c r="X110" s="73">
        <f>DATABASE_Table[[#This Row],[Current Asking price( Total)]]-DATABASE_Table[[#This Row],[Vista membership]]-DATABASE_Table[[#This Row],[FF&amp;E]]</f>
        <v>415000</v>
      </c>
      <c r="Y110" s="37"/>
      <c r="Z110" s="36"/>
      <c r="AA110" s="73">
        <f>DATABASE_Table[[#This Row],[Sell price (Total)]]-DATABASE_Table[[#This Row],[FF&amp;E]]-DATABASE_Table[[#This Row],[Vista membership]]</f>
        <v>-35000</v>
      </c>
      <c r="AB110" s="74">
        <v>45792</v>
      </c>
      <c r="AC110" s="74" t="str">
        <f t="shared" si="1"/>
        <v>Q2 2025</v>
      </c>
      <c r="AD110" s="123"/>
      <c r="AE110" s="69">
        <v>47118</v>
      </c>
      <c r="AF110" s="21" t="s">
        <v>80</v>
      </c>
      <c r="AG110" s="21" t="s">
        <v>81</v>
      </c>
      <c r="AH110" s="122" t="s">
        <v>82</v>
      </c>
      <c r="AI110" s="122" t="s">
        <v>83</v>
      </c>
      <c r="AJ110" s="122" t="s">
        <v>84</v>
      </c>
      <c r="AK110" s="122" t="s">
        <v>85</v>
      </c>
      <c r="AL110" s="21" t="s">
        <v>86</v>
      </c>
      <c r="AM110" s="122" t="s">
        <v>78</v>
      </c>
    </row>
    <row r="111" spans="1:39" customFormat="1" ht="15.75" customHeight="1" x14ac:dyDescent="0.3">
      <c r="A111" t="s">
        <v>78</v>
      </c>
      <c r="B111" s="21" t="s">
        <v>773</v>
      </c>
      <c r="C111" s="21" t="s">
        <v>780</v>
      </c>
      <c r="D111" s="117" t="s">
        <v>161</v>
      </c>
      <c r="E111" s="21" t="s">
        <v>79</v>
      </c>
      <c r="F111" s="21" t="s">
        <v>316</v>
      </c>
      <c r="G111" s="21">
        <v>65</v>
      </c>
      <c r="H111" s="21"/>
      <c r="I111" s="117" t="s">
        <v>842</v>
      </c>
      <c r="J111" s="117" t="s">
        <v>325</v>
      </c>
      <c r="K111" s="118">
        <v>8.6999999999999993</v>
      </c>
      <c r="L111" s="21"/>
      <c r="M111" s="21"/>
      <c r="N111" s="21"/>
      <c r="O111" s="21"/>
      <c r="P111" s="21">
        <v>56.3</v>
      </c>
      <c r="Q111" s="21"/>
      <c r="R111" s="21" t="s">
        <v>329</v>
      </c>
      <c r="S111" s="119">
        <f>DATABASE_Table[[#This Row],[Inicial Asking Price (€) (Total)]]-DATABASE_Table[[#This Row],[Vista membership]]-DATABASE_Table[[#This Row],[FF&amp;E]]</f>
        <v>415000</v>
      </c>
      <c r="T111" s="120">
        <v>450000</v>
      </c>
      <c r="U111" s="36">
        <v>450000</v>
      </c>
      <c r="V111" s="21"/>
      <c r="W111" s="36">
        <v>35000</v>
      </c>
      <c r="X111" s="73">
        <f>DATABASE_Table[[#This Row],[Current Asking price( Total)]]-DATABASE_Table[[#This Row],[Vista membership]]-DATABASE_Table[[#This Row],[FF&amp;E]]</f>
        <v>415000</v>
      </c>
      <c r="Y111" s="37"/>
      <c r="Z111" s="36"/>
      <c r="AA111" s="73">
        <f>DATABASE_Table[[#This Row],[Sell price (Total)]]-DATABASE_Table[[#This Row],[FF&amp;E]]-DATABASE_Table[[#This Row],[Vista membership]]</f>
        <v>-35000</v>
      </c>
      <c r="AB111" s="74">
        <v>45792</v>
      </c>
      <c r="AC111" s="74" t="str">
        <f t="shared" si="1"/>
        <v>Q2 2025</v>
      </c>
      <c r="AD111" s="123"/>
      <c r="AE111" s="69">
        <v>47118</v>
      </c>
      <c r="AF111" s="21" t="s">
        <v>80</v>
      </c>
      <c r="AG111" s="21" t="s">
        <v>81</v>
      </c>
      <c r="AH111" s="122" t="s">
        <v>82</v>
      </c>
      <c r="AI111" s="122" t="s">
        <v>83</v>
      </c>
      <c r="AJ111" s="122" t="s">
        <v>84</v>
      </c>
      <c r="AK111" s="122" t="s">
        <v>85</v>
      </c>
      <c r="AL111" s="21" t="s">
        <v>86</v>
      </c>
      <c r="AM111" s="122" t="s">
        <v>78</v>
      </c>
    </row>
    <row r="112" spans="1:39" customFormat="1" ht="15.75" customHeight="1" x14ac:dyDescent="0.3">
      <c r="A112" t="s">
        <v>78</v>
      </c>
      <c r="B112" s="21" t="s">
        <v>773</v>
      </c>
      <c r="C112" s="21" t="s">
        <v>780</v>
      </c>
      <c r="D112" s="117" t="s">
        <v>162</v>
      </c>
      <c r="E112" s="21" t="s">
        <v>79</v>
      </c>
      <c r="F112" s="21" t="s">
        <v>316</v>
      </c>
      <c r="G112" s="21">
        <v>65</v>
      </c>
      <c r="H112" s="21"/>
      <c r="I112" s="117" t="s">
        <v>842</v>
      </c>
      <c r="J112" s="117" t="s">
        <v>325</v>
      </c>
      <c r="K112" s="118">
        <v>8.6999999999999993</v>
      </c>
      <c r="L112" s="21"/>
      <c r="M112" s="21"/>
      <c r="N112" s="21"/>
      <c r="O112" s="21"/>
      <c r="P112" s="21">
        <v>56.3</v>
      </c>
      <c r="Q112" s="21"/>
      <c r="R112" s="21" t="s">
        <v>329</v>
      </c>
      <c r="S112" s="119">
        <f>DATABASE_Table[[#This Row],[Inicial Asking Price (€) (Total)]]-DATABASE_Table[[#This Row],[Vista membership]]-DATABASE_Table[[#This Row],[FF&amp;E]]</f>
        <v>415000</v>
      </c>
      <c r="T112" s="120">
        <v>450000</v>
      </c>
      <c r="U112" s="36">
        <v>450000</v>
      </c>
      <c r="V112" s="21"/>
      <c r="W112" s="36">
        <v>35000</v>
      </c>
      <c r="X112" s="73">
        <f>DATABASE_Table[[#This Row],[Current Asking price( Total)]]-DATABASE_Table[[#This Row],[Vista membership]]-DATABASE_Table[[#This Row],[FF&amp;E]]</f>
        <v>415000</v>
      </c>
      <c r="Y112" s="37"/>
      <c r="Z112" s="36"/>
      <c r="AA112" s="73">
        <f>DATABASE_Table[[#This Row],[Sell price (Total)]]-DATABASE_Table[[#This Row],[FF&amp;E]]-DATABASE_Table[[#This Row],[Vista membership]]</f>
        <v>-35000</v>
      </c>
      <c r="AB112" s="74">
        <v>45792</v>
      </c>
      <c r="AC112" s="74" t="str">
        <f t="shared" si="1"/>
        <v>Q2 2025</v>
      </c>
      <c r="AD112" s="123"/>
      <c r="AE112" s="69">
        <v>47118</v>
      </c>
      <c r="AF112" s="21" t="s">
        <v>80</v>
      </c>
      <c r="AG112" s="21" t="s">
        <v>81</v>
      </c>
      <c r="AH112" s="122" t="s">
        <v>82</v>
      </c>
      <c r="AI112" s="122" t="s">
        <v>83</v>
      </c>
      <c r="AJ112" s="122" t="s">
        <v>84</v>
      </c>
      <c r="AK112" s="122" t="s">
        <v>85</v>
      </c>
      <c r="AL112" s="21" t="s">
        <v>86</v>
      </c>
      <c r="AM112" s="122" t="s">
        <v>78</v>
      </c>
    </row>
    <row r="113" spans="1:39" customFormat="1" ht="15.75" customHeight="1" x14ac:dyDescent="0.3">
      <c r="A113" t="s">
        <v>78</v>
      </c>
      <c r="B113" s="21" t="s">
        <v>773</v>
      </c>
      <c r="C113" s="21" t="s">
        <v>780</v>
      </c>
      <c r="D113" s="117" t="s">
        <v>163</v>
      </c>
      <c r="E113" s="21" t="s">
        <v>79</v>
      </c>
      <c r="F113" s="21" t="s">
        <v>316</v>
      </c>
      <c r="G113" s="21">
        <v>65</v>
      </c>
      <c r="H113" s="21"/>
      <c r="I113" s="117" t="s">
        <v>842</v>
      </c>
      <c r="J113" s="117" t="s">
        <v>325</v>
      </c>
      <c r="K113" s="118">
        <v>8.6999999999999993</v>
      </c>
      <c r="L113" s="21"/>
      <c r="M113" s="21"/>
      <c r="N113" s="21"/>
      <c r="O113" s="21"/>
      <c r="P113" s="21">
        <v>56.3</v>
      </c>
      <c r="Q113" s="21"/>
      <c r="R113" s="21" t="s">
        <v>329</v>
      </c>
      <c r="S113" s="119">
        <f>DATABASE_Table[[#This Row],[Inicial Asking Price (€) (Total)]]-DATABASE_Table[[#This Row],[Vista membership]]-DATABASE_Table[[#This Row],[FF&amp;E]]</f>
        <v>415000</v>
      </c>
      <c r="T113" s="120">
        <v>450000</v>
      </c>
      <c r="U113" s="36">
        <v>450000</v>
      </c>
      <c r="V113" s="21"/>
      <c r="W113" s="36">
        <v>35000</v>
      </c>
      <c r="X113" s="73">
        <f>DATABASE_Table[[#This Row],[Current Asking price( Total)]]-DATABASE_Table[[#This Row],[Vista membership]]-DATABASE_Table[[#This Row],[FF&amp;E]]</f>
        <v>415000</v>
      </c>
      <c r="Y113" s="37"/>
      <c r="Z113" s="36"/>
      <c r="AA113" s="73">
        <f>DATABASE_Table[[#This Row],[Sell price (Total)]]-DATABASE_Table[[#This Row],[FF&amp;E]]-DATABASE_Table[[#This Row],[Vista membership]]</f>
        <v>-35000</v>
      </c>
      <c r="AB113" s="74">
        <v>45792</v>
      </c>
      <c r="AC113" s="74" t="str">
        <f t="shared" si="1"/>
        <v>Q2 2025</v>
      </c>
      <c r="AD113" s="123"/>
      <c r="AE113" s="69">
        <v>47118</v>
      </c>
      <c r="AF113" s="21" t="s">
        <v>80</v>
      </c>
      <c r="AG113" s="21" t="s">
        <v>81</v>
      </c>
      <c r="AH113" s="122" t="s">
        <v>82</v>
      </c>
      <c r="AI113" s="122" t="s">
        <v>83</v>
      </c>
      <c r="AJ113" s="122" t="s">
        <v>84</v>
      </c>
      <c r="AK113" s="122" t="s">
        <v>85</v>
      </c>
      <c r="AL113" s="21" t="s">
        <v>86</v>
      </c>
      <c r="AM113" s="122" t="s">
        <v>78</v>
      </c>
    </row>
    <row r="114" spans="1:39" customFormat="1" ht="15.75" customHeight="1" x14ac:dyDescent="0.3">
      <c r="A114" t="s">
        <v>78</v>
      </c>
      <c r="B114" s="21" t="s">
        <v>773</v>
      </c>
      <c r="C114" s="21" t="s">
        <v>780</v>
      </c>
      <c r="D114" s="117" t="s">
        <v>164</v>
      </c>
      <c r="E114" s="21" t="s">
        <v>79</v>
      </c>
      <c r="F114" s="21" t="s">
        <v>316</v>
      </c>
      <c r="G114" s="21">
        <v>65</v>
      </c>
      <c r="H114" s="21"/>
      <c r="I114" s="117" t="s">
        <v>842</v>
      </c>
      <c r="J114" s="117" t="s">
        <v>325</v>
      </c>
      <c r="K114" s="118">
        <v>8.6999999999999993</v>
      </c>
      <c r="L114" s="21"/>
      <c r="M114" s="21"/>
      <c r="N114" s="21"/>
      <c r="O114" s="21"/>
      <c r="P114" s="21">
        <v>56.3</v>
      </c>
      <c r="Q114" s="21"/>
      <c r="R114" s="21" t="s">
        <v>329</v>
      </c>
      <c r="S114" s="119">
        <f>DATABASE_Table[[#This Row],[Inicial Asking Price (€) (Total)]]-DATABASE_Table[[#This Row],[Vista membership]]-DATABASE_Table[[#This Row],[FF&amp;E]]</f>
        <v>415000</v>
      </c>
      <c r="T114" s="120">
        <v>450000</v>
      </c>
      <c r="U114" s="36">
        <v>450000</v>
      </c>
      <c r="V114" s="21"/>
      <c r="W114" s="36">
        <v>35000</v>
      </c>
      <c r="X114" s="73">
        <f>DATABASE_Table[[#This Row],[Current Asking price( Total)]]-DATABASE_Table[[#This Row],[Vista membership]]-DATABASE_Table[[#This Row],[FF&amp;E]]</f>
        <v>415000</v>
      </c>
      <c r="Y114" s="37"/>
      <c r="Z114" s="36"/>
      <c r="AA114" s="73">
        <f>DATABASE_Table[[#This Row],[Sell price (Total)]]-DATABASE_Table[[#This Row],[FF&amp;E]]-DATABASE_Table[[#This Row],[Vista membership]]</f>
        <v>-35000</v>
      </c>
      <c r="AB114" s="74">
        <v>45792</v>
      </c>
      <c r="AC114" s="74" t="str">
        <f t="shared" si="1"/>
        <v>Q2 2025</v>
      </c>
      <c r="AD114" s="123"/>
      <c r="AE114" s="69">
        <v>47118</v>
      </c>
      <c r="AF114" s="21" t="s">
        <v>80</v>
      </c>
      <c r="AG114" s="21" t="s">
        <v>81</v>
      </c>
      <c r="AH114" s="122" t="s">
        <v>82</v>
      </c>
      <c r="AI114" s="122" t="s">
        <v>83</v>
      </c>
      <c r="AJ114" s="122" t="s">
        <v>84</v>
      </c>
      <c r="AK114" s="122" t="s">
        <v>85</v>
      </c>
      <c r="AL114" s="21" t="s">
        <v>86</v>
      </c>
      <c r="AM114" s="122" t="s">
        <v>78</v>
      </c>
    </row>
    <row r="115" spans="1:39" customFormat="1" ht="15.75" customHeight="1" x14ac:dyDescent="0.3">
      <c r="A115" t="s">
        <v>78</v>
      </c>
      <c r="B115" s="21" t="s">
        <v>773</v>
      </c>
      <c r="C115" s="21" t="s">
        <v>780</v>
      </c>
      <c r="D115" s="117" t="s">
        <v>165</v>
      </c>
      <c r="E115" s="21" t="s">
        <v>79</v>
      </c>
      <c r="F115" s="21" t="s">
        <v>316</v>
      </c>
      <c r="G115" s="21">
        <v>65</v>
      </c>
      <c r="H115" s="21"/>
      <c r="I115" s="117" t="s">
        <v>842</v>
      </c>
      <c r="J115" s="117" t="s">
        <v>325</v>
      </c>
      <c r="K115" s="118">
        <v>8.6999999999999993</v>
      </c>
      <c r="L115" s="21"/>
      <c r="M115" s="21"/>
      <c r="N115" s="21"/>
      <c r="O115" s="21"/>
      <c r="P115" s="21">
        <v>56.3</v>
      </c>
      <c r="Q115" s="21"/>
      <c r="R115" s="21" t="s">
        <v>329</v>
      </c>
      <c r="S115" s="119">
        <f>DATABASE_Table[[#This Row],[Inicial Asking Price (€) (Total)]]-DATABASE_Table[[#This Row],[Vista membership]]-DATABASE_Table[[#This Row],[FF&amp;E]]</f>
        <v>415000</v>
      </c>
      <c r="T115" s="120">
        <v>450000</v>
      </c>
      <c r="U115" s="36">
        <v>450000</v>
      </c>
      <c r="V115" s="21"/>
      <c r="W115" s="36">
        <v>35000</v>
      </c>
      <c r="X115" s="73">
        <f>DATABASE_Table[[#This Row],[Current Asking price( Total)]]-DATABASE_Table[[#This Row],[Vista membership]]-DATABASE_Table[[#This Row],[FF&amp;E]]</f>
        <v>415000</v>
      </c>
      <c r="Y115" s="37"/>
      <c r="Z115" s="36"/>
      <c r="AA115" s="73">
        <f>DATABASE_Table[[#This Row],[Sell price (Total)]]-DATABASE_Table[[#This Row],[FF&amp;E]]-DATABASE_Table[[#This Row],[Vista membership]]</f>
        <v>-35000</v>
      </c>
      <c r="AB115" s="74">
        <v>45792</v>
      </c>
      <c r="AC115" s="74" t="str">
        <f t="shared" si="1"/>
        <v>Q2 2025</v>
      </c>
      <c r="AD115" s="123"/>
      <c r="AE115" s="69">
        <v>47118</v>
      </c>
      <c r="AF115" s="21" t="s">
        <v>80</v>
      </c>
      <c r="AG115" s="21" t="s">
        <v>81</v>
      </c>
      <c r="AH115" s="122" t="s">
        <v>82</v>
      </c>
      <c r="AI115" s="122" t="s">
        <v>83</v>
      </c>
      <c r="AJ115" s="122" t="s">
        <v>84</v>
      </c>
      <c r="AK115" s="122" t="s">
        <v>85</v>
      </c>
      <c r="AL115" s="21" t="s">
        <v>86</v>
      </c>
      <c r="AM115" s="122" t="s">
        <v>78</v>
      </c>
    </row>
    <row r="116" spans="1:39" customFormat="1" ht="15.75" customHeight="1" x14ac:dyDescent="0.3">
      <c r="A116" t="s">
        <v>78</v>
      </c>
      <c r="B116" s="21" t="s">
        <v>773</v>
      </c>
      <c r="C116" s="21" t="s">
        <v>780</v>
      </c>
      <c r="D116" s="117" t="s">
        <v>166</v>
      </c>
      <c r="E116" s="21" t="s">
        <v>79</v>
      </c>
      <c r="F116" s="21" t="s">
        <v>315</v>
      </c>
      <c r="G116" s="21">
        <v>98.7</v>
      </c>
      <c r="H116" s="21"/>
      <c r="I116" s="117" t="s">
        <v>842</v>
      </c>
      <c r="J116" s="117" t="s">
        <v>325</v>
      </c>
      <c r="K116" s="118">
        <v>13.3</v>
      </c>
      <c r="L116" s="21"/>
      <c r="M116" s="21"/>
      <c r="N116" s="21"/>
      <c r="O116" s="21"/>
      <c r="P116" s="21">
        <v>85.4</v>
      </c>
      <c r="Q116" s="21"/>
      <c r="R116" s="21" t="s">
        <v>329</v>
      </c>
      <c r="S116" s="119">
        <f>DATABASE_Table[[#This Row],[Inicial Asking Price (€) (Total)]]-DATABASE_Table[[#This Row],[Vista membership]]-DATABASE_Table[[#This Row],[FF&amp;E]]</f>
        <v>620000</v>
      </c>
      <c r="T116" s="120">
        <v>665000</v>
      </c>
      <c r="U116" s="36">
        <v>665000</v>
      </c>
      <c r="V116" s="21"/>
      <c r="W116" s="36">
        <v>45000</v>
      </c>
      <c r="X116" s="73">
        <f>DATABASE_Table[[#This Row],[Current Asking price( Total)]]-DATABASE_Table[[#This Row],[Vista membership]]-DATABASE_Table[[#This Row],[FF&amp;E]]</f>
        <v>620000</v>
      </c>
      <c r="Y116" s="37"/>
      <c r="Z116" s="36"/>
      <c r="AA116" s="73">
        <f>DATABASE_Table[[#This Row],[Sell price (Total)]]-DATABASE_Table[[#This Row],[FF&amp;E]]-DATABASE_Table[[#This Row],[Vista membership]]</f>
        <v>-45000</v>
      </c>
      <c r="AB116" s="74">
        <v>45792</v>
      </c>
      <c r="AC116" s="74" t="str">
        <f t="shared" si="1"/>
        <v>Q2 2025</v>
      </c>
      <c r="AD116" s="123"/>
      <c r="AE116" s="69">
        <v>47118</v>
      </c>
      <c r="AF116" s="21" t="s">
        <v>80</v>
      </c>
      <c r="AG116" s="21" t="s">
        <v>81</v>
      </c>
      <c r="AH116" s="122" t="s">
        <v>82</v>
      </c>
      <c r="AI116" s="122" t="s">
        <v>83</v>
      </c>
      <c r="AJ116" s="122" t="s">
        <v>84</v>
      </c>
      <c r="AK116" s="122" t="s">
        <v>85</v>
      </c>
      <c r="AL116" s="21" t="s">
        <v>86</v>
      </c>
      <c r="AM116" s="122" t="s">
        <v>78</v>
      </c>
    </row>
    <row r="117" spans="1:39" customFormat="1" ht="15.75" customHeight="1" x14ac:dyDescent="0.3">
      <c r="A117" t="s">
        <v>78</v>
      </c>
      <c r="B117" s="21" t="s">
        <v>773</v>
      </c>
      <c r="C117" s="21" t="s">
        <v>780</v>
      </c>
      <c r="D117" s="117" t="s">
        <v>167</v>
      </c>
      <c r="E117" s="21" t="s">
        <v>79</v>
      </c>
      <c r="F117" s="21" t="s">
        <v>316</v>
      </c>
      <c r="G117" s="21">
        <v>72.5</v>
      </c>
      <c r="H117" s="21"/>
      <c r="I117" s="117" t="s">
        <v>842</v>
      </c>
      <c r="J117" s="117" t="s">
        <v>325</v>
      </c>
      <c r="K117" s="118">
        <v>12</v>
      </c>
      <c r="L117" s="21"/>
      <c r="M117" s="21"/>
      <c r="N117" s="21"/>
      <c r="O117" s="21"/>
      <c r="P117" s="21">
        <v>60.5</v>
      </c>
      <c r="Q117" s="21"/>
      <c r="R117" s="21" t="s">
        <v>329</v>
      </c>
      <c r="S117" s="119">
        <f>DATABASE_Table[[#This Row],[Inicial Asking Price (€) (Total)]]-DATABASE_Table[[#This Row],[Vista membership]]-DATABASE_Table[[#This Row],[FF&amp;E]]</f>
        <v>445000</v>
      </c>
      <c r="T117" s="120">
        <v>480000</v>
      </c>
      <c r="U117" s="36">
        <v>480000</v>
      </c>
      <c r="V117" s="21"/>
      <c r="W117" s="36">
        <v>35000</v>
      </c>
      <c r="X117" s="73">
        <f>DATABASE_Table[[#This Row],[Current Asking price( Total)]]-DATABASE_Table[[#This Row],[Vista membership]]-DATABASE_Table[[#This Row],[FF&amp;E]]</f>
        <v>445000</v>
      </c>
      <c r="Y117" s="37"/>
      <c r="Z117" s="36"/>
      <c r="AA117" s="73">
        <f>DATABASE_Table[[#This Row],[Sell price (Total)]]-DATABASE_Table[[#This Row],[FF&amp;E]]-DATABASE_Table[[#This Row],[Vista membership]]</f>
        <v>-35000</v>
      </c>
      <c r="AB117" s="74">
        <v>45792</v>
      </c>
      <c r="AC117" s="74" t="str">
        <f t="shared" si="1"/>
        <v>Q2 2025</v>
      </c>
      <c r="AD117" s="123"/>
      <c r="AE117" s="69">
        <v>47118</v>
      </c>
      <c r="AF117" s="21" t="s">
        <v>80</v>
      </c>
      <c r="AG117" s="21" t="s">
        <v>81</v>
      </c>
      <c r="AH117" s="122" t="s">
        <v>82</v>
      </c>
      <c r="AI117" s="122" t="s">
        <v>83</v>
      </c>
      <c r="AJ117" s="122" t="s">
        <v>84</v>
      </c>
      <c r="AK117" s="122" t="s">
        <v>85</v>
      </c>
      <c r="AL117" s="21" t="s">
        <v>86</v>
      </c>
      <c r="AM117" s="122" t="s">
        <v>78</v>
      </c>
    </row>
    <row r="118" spans="1:39" customFormat="1" ht="15.75" customHeight="1" x14ac:dyDescent="0.3">
      <c r="A118" t="s">
        <v>78</v>
      </c>
      <c r="B118" s="21" t="s">
        <v>773</v>
      </c>
      <c r="C118" s="21" t="s">
        <v>780</v>
      </c>
      <c r="D118" s="117" t="s">
        <v>169</v>
      </c>
      <c r="E118" s="21" t="s">
        <v>79</v>
      </c>
      <c r="F118" s="21" t="s">
        <v>315</v>
      </c>
      <c r="G118" s="21">
        <v>98.8</v>
      </c>
      <c r="H118" s="21"/>
      <c r="I118" s="117" t="s">
        <v>842</v>
      </c>
      <c r="J118" s="117" t="s">
        <v>325</v>
      </c>
      <c r="K118" s="118">
        <v>15.2</v>
      </c>
      <c r="L118" s="21"/>
      <c r="M118" s="21"/>
      <c r="N118" s="21"/>
      <c r="O118" s="21"/>
      <c r="P118" s="21">
        <v>83.6</v>
      </c>
      <c r="Q118" s="21"/>
      <c r="R118" s="21" t="s">
        <v>329</v>
      </c>
      <c r="S118" s="119">
        <f>DATABASE_Table[[#This Row],[Inicial Asking Price (€) (Total)]]-DATABASE_Table[[#This Row],[Vista membership]]-DATABASE_Table[[#This Row],[FF&amp;E]]</f>
        <v>600000</v>
      </c>
      <c r="T118" s="120">
        <v>645000</v>
      </c>
      <c r="U118" s="36">
        <v>645000</v>
      </c>
      <c r="V118" s="21"/>
      <c r="W118" s="36">
        <v>45000</v>
      </c>
      <c r="X118" s="73">
        <f>DATABASE_Table[[#This Row],[Current Asking price( Total)]]-DATABASE_Table[[#This Row],[Vista membership]]-DATABASE_Table[[#This Row],[FF&amp;E]]</f>
        <v>600000</v>
      </c>
      <c r="Y118" s="37"/>
      <c r="Z118" s="36"/>
      <c r="AA118" s="73">
        <f>DATABASE_Table[[#This Row],[Sell price (Total)]]-DATABASE_Table[[#This Row],[FF&amp;E]]-DATABASE_Table[[#This Row],[Vista membership]]</f>
        <v>-45000</v>
      </c>
      <c r="AB118" s="74">
        <v>45792</v>
      </c>
      <c r="AC118" s="74" t="str">
        <f t="shared" si="1"/>
        <v>Q2 2025</v>
      </c>
      <c r="AD118" s="123"/>
      <c r="AE118" s="69">
        <v>47118</v>
      </c>
      <c r="AF118" s="21" t="s">
        <v>80</v>
      </c>
      <c r="AG118" s="21" t="s">
        <v>81</v>
      </c>
      <c r="AH118" s="122" t="s">
        <v>82</v>
      </c>
      <c r="AI118" s="122" t="s">
        <v>83</v>
      </c>
      <c r="AJ118" s="122" t="s">
        <v>84</v>
      </c>
      <c r="AK118" s="122" t="s">
        <v>85</v>
      </c>
      <c r="AL118" s="21" t="s">
        <v>86</v>
      </c>
      <c r="AM118" s="122" t="s">
        <v>78</v>
      </c>
    </row>
    <row r="119" spans="1:39" customFormat="1" ht="15.75" customHeight="1" x14ac:dyDescent="0.3">
      <c r="A119" t="s">
        <v>78</v>
      </c>
      <c r="B119" s="21" t="s">
        <v>773</v>
      </c>
      <c r="C119" s="21" t="s">
        <v>780</v>
      </c>
      <c r="D119" s="117" t="s">
        <v>170</v>
      </c>
      <c r="E119" s="21" t="s">
        <v>79</v>
      </c>
      <c r="F119" s="21" t="s">
        <v>315</v>
      </c>
      <c r="G119" s="21">
        <v>98.8</v>
      </c>
      <c r="H119" s="21"/>
      <c r="I119" s="117" t="s">
        <v>842</v>
      </c>
      <c r="J119" s="117" t="s">
        <v>325</v>
      </c>
      <c r="K119" s="118">
        <v>15.2</v>
      </c>
      <c r="L119" s="21"/>
      <c r="M119" s="21"/>
      <c r="N119" s="21"/>
      <c r="O119" s="21"/>
      <c r="P119" s="21">
        <v>83.6</v>
      </c>
      <c r="Q119" s="21"/>
      <c r="R119" s="21" t="s">
        <v>329</v>
      </c>
      <c r="S119" s="119">
        <f>DATABASE_Table[[#This Row],[Inicial Asking Price (€) (Total)]]-DATABASE_Table[[#This Row],[Vista membership]]-DATABASE_Table[[#This Row],[FF&amp;E]]</f>
        <v>600000</v>
      </c>
      <c r="T119" s="120">
        <v>645000</v>
      </c>
      <c r="U119" s="36">
        <v>645000</v>
      </c>
      <c r="V119" s="21"/>
      <c r="W119" s="36">
        <v>45000</v>
      </c>
      <c r="X119" s="73">
        <f>DATABASE_Table[[#This Row],[Current Asking price( Total)]]-DATABASE_Table[[#This Row],[Vista membership]]-DATABASE_Table[[#This Row],[FF&amp;E]]</f>
        <v>600000</v>
      </c>
      <c r="Y119" s="37"/>
      <c r="Z119" s="36"/>
      <c r="AA119" s="73">
        <f>DATABASE_Table[[#This Row],[Sell price (Total)]]-DATABASE_Table[[#This Row],[FF&amp;E]]-DATABASE_Table[[#This Row],[Vista membership]]</f>
        <v>-45000</v>
      </c>
      <c r="AB119" s="74">
        <v>45792</v>
      </c>
      <c r="AC119" s="74" t="str">
        <f t="shared" si="1"/>
        <v>Q2 2025</v>
      </c>
      <c r="AD119" s="123"/>
      <c r="AE119" s="69">
        <v>47118</v>
      </c>
      <c r="AF119" s="21" t="s">
        <v>80</v>
      </c>
      <c r="AG119" s="21" t="s">
        <v>81</v>
      </c>
      <c r="AH119" s="122" t="s">
        <v>82</v>
      </c>
      <c r="AI119" s="122" t="s">
        <v>83</v>
      </c>
      <c r="AJ119" s="122" t="s">
        <v>84</v>
      </c>
      <c r="AK119" s="122" t="s">
        <v>85</v>
      </c>
      <c r="AL119" s="21" t="s">
        <v>86</v>
      </c>
      <c r="AM119" s="122" t="s">
        <v>78</v>
      </c>
    </row>
    <row r="120" spans="1:39" customFormat="1" ht="15.75" customHeight="1" x14ac:dyDescent="0.3">
      <c r="A120" t="s">
        <v>78</v>
      </c>
      <c r="B120" s="21" t="s">
        <v>773</v>
      </c>
      <c r="C120" s="21" t="s">
        <v>780</v>
      </c>
      <c r="D120" s="117" t="s">
        <v>171</v>
      </c>
      <c r="E120" s="21" t="s">
        <v>79</v>
      </c>
      <c r="F120" s="21" t="s">
        <v>316</v>
      </c>
      <c r="G120" s="21">
        <v>72.5</v>
      </c>
      <c r="H120" s="21"/>
      <c r="I120" s="117" t="s">
        <v>842</v>
      </c>
      <c r="J120" s="117" t="s">
        <v>325</v>
      </c>
      <c r="K120" s="118">
        <v>12</v>
      </c>
      <c r="L120" s="21"/>
      <c r="M120" s="21"/>
      <c r="N120" s="21"/>
      <c r="O120" s="21"/>
      <c r="P120" s="21">
        <v>60.5</v>
      </c>
      <c r="Q120" s="21"/>
      <c r="R120" s="21" t="s">
        <v>329</v>
      </c>
      <c r="S120" s="119">
        <f>DATABASE_Table[[#This Row],[Inicial Asking Price (€) (Total)]]-DATABASE_Table[[#This Row],[Vista membership]]-DATABASE_Table[[#This Row],[FF&amp;E]]</f>
        <v>445000</v>
      </c>
      <c r="T120" s="120">
        <v>480000</v>
      </c>
      <c r="U120" s="36">
        <v>480000</v>
      </c>
      <c r="V120" s="21"/>
      <c r="W120" s="36">
        <v>35000</v>
      </c>
      <c r="X120" s="73">
        <f>DATABASE_Table[[#This Row],[Current Asking price( Total)]]-DATABASE_Table[[#This Row],[Vista membership]]-DATABASE_Table[[#This Row],[FF&amp;E]]</f>
        <v>445000</v>
      </c>
      <c r="Y120" s="37"/>
      <c r="Z120" s="36"/>
      <c r="AA120" s="73">
        <f>DATABASE_Table[[#This Row],[Sell price (Total)]]-DATABASE_Table[[#This Row],[FF&amp;E]]-DATABASE_Table[[#This Row],[Vista membership]]</f>
        <v>-35000</v>
      </c>
      <c r="AB120" s="74">
        <v>45792</v>
      </c>
      <c r="AC120" s="74" t="str">
        <f t="shared" si="1"/>
        <v>Q2 2025</v>
      </c>
      <c r="AD120" s="123"/>
      <c r="AE120" s="69">
        <v>47118</v>
      </c>
      <c r="AF120" s="21" t="s">
        <v>80</v>
      </c>
      <c r="AG120" s="21" t="s">
        <v>81</v>
      </c>
      <c r="AH120" s="122" t="s">
        <v>82</v>
      </c>
      <c r="AI120" s="122" t="s">
        <v>83</v>
      </c>
      <c r="AJ120" s="122" t="s">
        <v>84</v>
      </c>
      <c r="AK120" s="122" t="s">
        <v>85</v>
      </c>
      <c r="AL120" s="21" t="s">
        <v>86</v>
      </c>
      <c r="AM120" s="122" t="s">
        <v>78</v>
      </c>
    </row>
    <row r="121" spans="1:39" customFormat="1" ht="15.75" customHeight="1" x14ac:dyDescent="0.3">
      <c r="A121" t="s">
        <v>78</v>
      </c>
      <c r="B121" s="21" t="s">
        <v>773</v>
      </c>
      <c r="C121" s="21" t="s">
        <v>780</v>
      </c>
      <c r="D121" s="117" t="s">
        <v>172</v>
      </c>
      <c r="E121" s="21" t="s">
        <v>79</v>
      </c>
      <c r="F121" s="21" t="s">
        <v>316</v>
      </c>
      <c r="G121" s="21">
        <v>60.2</v>
      </c>
      <c r="H121" s="21"/>
      <c r="I121" s="117" t="s">
        <v>842</v>
      </c>
      <c r="J121" s="117" t="s">
        <v>325</v>
      </c>
      <c r="K121" s="118">
        <v>3.9</v>
      </c>
      <c r="L121" s="21"/>
      <c r="M121" s="21"/>
      <c r="N121" s="21"/>
      <c r="O121" s="21"/>
      <c r="P121" s="21">
        <v>56.3</v>
      </c>
      <c r="Q121" s="21"/>
      <c r="R121" s="21" t="s">
        <v>329</v>
      </c>
      <c r="S121" s="119">
        <f>DATABASE_Table[[#This Row],[Inicial Asking Price (€) (Total)]]-DATABASE_Table[[#This Row],[Vista membership]]-DATABASE_Table[[#This Row],[FF&amp;E]]</f>
        <v>390000</v>
      </c>
      <c r="T121" s="120">
        <v>425000</v>
      </c>
      <c r="U121" s="36">
        <v>425000</v>
      </c>
      <c r="V121" s="21"/>
      <c r="W121" s="36">
        <v>35000</v>
      </c>
      <c r="X121" s="73">
        <f>DATABASE_Table[[#This Row],[Current Asking price( Total)]]-DATABASE_Table[[#This Row],[Vista membership]]-DATABASE_Table[[#This Row],[FF&amp;E]]</f>
        <v>390000</v>
      </c>
      <c r="Y121" s="37"/>
      <c r="Z121" s="36"/>
      <c r="AA121" s="73">
        <f>DATABASE_Table[[#This Row],[Sell price (Total)]]-DATABASE_Table[[#This Row],[FF&amp;E]]-DATABASE_Table[[#This Row],[Vista membership]]</f>
        <v>-35000</v>
      </c>
      <c r="AB121" s="74">
        <v>45792</v>
      </c>
      <c r="AC121" s="74" t="str">
        <f t="shared" si="1"/>
        <v>Q2 2025</v>
      </c>
      <c r="AD121" s="123"/>
      <c r="AE121" s="69">
        <v>47118</v>
      </c>
      <c r="AF121" s="21" t="s">
        <v>80</v>
      </c>
      <c r="AG121" s="21" t="s">
        <v>81</v>
      </c>
      <c r="AH121" s="122" t="s">
        <v>82</v>
      </c>
      <c r="AI121" s="122" t="s">
        <v>83</v>
      </c>
      <c r="AJ121" s="122" t="s">
        <v>84</v>
      </c>
      <c r="AK121" s="122" t="s">
        <v>85</v>
      </c>
      <c r="AL121" s="21" t="s">
        <v>86</v>
      </c>
      <c r="AM121" s="122" t="s">
        <v>78</v>
      </c>
    </row>
    <row r="122" spans="1:39" customFormat="1" ht="15.75" customHeight="1" x14ac:dyDescent="0.3">
      <c r="A122" t="s">
        <v>78</v>
      </c>
      <c r="B122" s="21" t="s">
        <v>773</v>
      </c>
      <c r="C122" s="21" t="s">
        <v>780</v>
      </c>
      <c r="D122" s="117" t="s">
        <v>173</v>
      </c>
      <c r="E122" s="21" t="s">
        <v>79</v>
      </c>
      <c r="F122" s="21" t="s">
        <v>316</v>
      </c>
      <c r="G122" s="21">
        <v>60.2</v>
      </c>
      <c r="H122" s="21"/>
      <c r="I122" s="117" t="s">
        <v>842</v>
      </c>
      <c r="J122" s="117" t="s">
        <v>325</v>
      </c>
      <c r="K122" s="118">
        <v>3.9</v>
      </c>
      <c r="L122" s="21"/>
      <c r="M122" s="21"/>
      <c r="N122" s="21"/>
      <c r="O122" s="21"/>
      <c r="P122" s="21">
        <v>56.3</v>
      </c>
      <c r="Q122" s="21"/>
      <c r="R122" s="21" t="s">
        <v>329</v>
      </c>
      <c r="S122" s="119">
        <f>DATABASE_Table[[#This Row],[Inicial Asking Price (€) (Total)]]-DATABASE_Table[[#This Row],[Vista membership]]-DATABASE_Table[[#This Row],[FF&amp;E]]</f>
        <v>390000</v>
      </c>
      <c r="T122" s="120">
        <v>425000</v>
      </c>
      <c r="U122" s="36">
        <v>425000</v>
      </c>
      <c r="V122" s="21"/>
      <c r="W122" s="36">
        <v>35000</v>
      </c>
      <c r="X122" s="73">
        <f>DATABASE_Table[[#This Row],[Current Asking price( Total)]]-DATABASE_Table[[#This Row],[Vista membership]]-DATABASE_Table[[#This Row],[FF&amp;E]]</f>
        <v>390000</v>
      </c>
      <c r="Y122" s="37"/>
      <c r="Z122" s="36"/>
      <c r="AA122" s="73">
        <f>DATABASE_Table[[#This Row],[Sell price (Total)]]-DATABASE_Table[[#This Row],[FF&amp;E]]-DATABASE_Table[[#This Row],[Vista membership]]</f>
        <v>-35000</v>
      </c>
      <c r="AB122" s="74">
        <v>45792</v>
      </c>
      <c r="AC122" s="74" t="str">
        <f t="shared" si="1"/>
        <v>Q2 2025</v>
      </c>
      <c r="AD122" s="123"/>
      <c r="AE122" s="69">
        <v>47118</v>
      </c>
      <c r="AF122" s="21" t="s">
        <v>80</v>
      </c>
      <c r="AG122" s="21" t="s">
        <v>81</v>
      </c>
      <c r="AH122" s="122" t="s">
        <v>82</v>
      </c>
      <c r="AI122" s="122" t="s">
        <v>83</v>
      </c>
      <c r="AJ122" s="122" t="s">
        <v>84</v>
      </c>
      <c r="AK122" s="122" t="s">
        <v>85</v>
      </c>
      <c r="AL122" s="21" t="s">
        <v>86</v>
      </c>
      <c r="AM122" s="122" t="s">
        <v>78</v>
      </c>
    </row>
    <row r="123" spans="1:39" customFormat="1" ht="15.75" customHeight="1" x14ac:dyDescent="0.3">
      <c r="A123" t="s">
        <v>78</v>
      </c>
      <c r="B123" s="21" t="s">
        <v>773</v>
      </c>
      <c r="C123" s="21" t="s">
        <v>780</v>
      </c>
      <c r="D123" s="117" t="s">
        <v>174</v>
      </c>
      <c r="E123" s="21" t="s">
        <v>79</v>
      </c>
      <c r="F123" s="21" t="s">
        <v>316</v>
      </c>
      <c r="G123" s="21">
        <v>60.2</v>
      </c>
      <c r="H123" s="21"/>
      <c r="I123" s="117" t="s">
        <v>842</v>
      </c>
      <c r="J123" s="117" t="s">
        <v>325</v>
      </c>
      <c r="K123" s="118">
        <v>3.9</v>
      </c>
      <c r="L123" s="21"/>
      <c r="M123" s="21"/>
      <c r="N123" s="21"/>
      <c r="O123" s="21"/>
      <c r="P123" s="21">
        <v>56.3</v>
      </c>
      <c r="Q123" s="21"/>
      <c r="R123" s="21" t="s">
        <v>329</v>
      </c>
      <c r="S123" s="119">
        <f>DATABASE_Table[[#This Row],[Inicial Asking Price (€) (Total)]]-DATABASE_Table[[#This Row],[Vista membership]]-DATABASE_Table[[#This Row],[FF&amp;E]]</f>
        <v>390000</v>
      </c>
      <c r="T123" s="120">
        <v>425000</v>
      </c>
      <c r="U123" s="36">
        <v>425000</v>
      </c>
      <c r="V123" s="21"/>
      <c r="W123" s="36">
        <v>35000</v>
      </c>
      <c r="X123" s="73">
        <f>DATABASE_Table[[#This Row],[Current Asking price( Total)]]-DATABASE_Table[[#This Row],[Vista membership]]-DATABASE_Table[[#This Row],[FF&amp;E]]</f>
        <v>390000</v>
      </c>
      <c r="Y123" s="37"/>
      <c r="Z123" s="36"/>
      <c r="AA123" s="73">
        <f>DATABASE_Table[[#This Row],[Sell price (Total)]]-DATABASE_Table[[#This Row],[FF&amp;E]]-DATABASE_Table[[#This Row],[Vista membership]]</f>
        <v>-35000</v>
      </c>
      <c r="AB123" s="74">
        <v>45792</v>
      </c>
      <c r="AC123" s="74" t="str">
        <f t="shared" si="1"/>
        <v>Q2 2025</v>
      </c>
      <c r="AD123" s="123"/>
      <c r="AE123" s="69">
        <v>47118</v>
      </c>
      <c r="AF123" s="21" t="s">
        <v>80</v>
      </c>
      <c r="AG123" s="21" t="s">
        <v>81</v>
      </c>
      <c r="AH123" s="122" t="s">
        <v>82</v>
      </c>
      <c r="AI123" s="122" t="s">
        <v>83</v>
      </c>
      <c r="AJ123" s="122" t="s">
        <v>84</v>
      </c>
      <c r="AK123" s="122" t="s">
        <v>85</v>
      </c>
      <c r="AL123" s="21" t="s">
        <v>86</v>
      </c>
      <c r="AM123" s="122" t="s">
        <v>78</v>
      </c>
    </row>
    <row r="124" spans="1:39" customFormat="1" ht="15.75" customHeight="1" x14ac:dyDescent="0.3">
      <c r="A124" t="s">
        <v>78</v>
      </c>
      <c r="B124" s="21" t="s">
        <v>773</v>
      </c>
      <c r="C124" s="21" t="s">
        <v>780</v>
      </c>
      <c r="D124" s="117" t="s">
        <v>175</v>
      </c>
      <c r="E124" s="21" t="s">
        <v>79</v>
      </c>
      <c r="F124" s="21" t="s">
        <v>316</v>
      </c>
      <c r="G124" s="21">
        <v>60.2</v>
      </c>
      <c r="H124" s="21"/>
      <c r="I124" s="117" t="s">
        <v>842</v>
      </c>
      <c r="J124" s="117" t="s">
        <v>325</v>
      </c>
      <c r="K124" s="118">
        <v>3.9</v>
      </c>
      <c r="L124" s="21"/>
      <c r="M124" s="21"/>
      <c r="N124" s="21"/>
      <c r="O124" s="21"/>
      <c r="P124" s="21">
        <v>56.3</v>
      </c>
      <c r="Q124" s="21"/>
      <c r="R124" s="21" t="s">
        <v>329</v>
      </c>
      <c r="S124" s="119">
        <f>DATABASE_Table[[#This Row],[Inicial Asking Price (€) (Total)]]-DATABASE_Table[[#This Row],[Vista membership]]-DATABASE_Table[[#This Row],[FF&amp;E]]</f>
        <v>390000</v>
      </c>
      <c r="T124" s="120">
        <v>425000</v>
      </c>
      <c r="U124" s="36">
        <v>425000</v>
      </c>
      <c r="V124" s="21"/>
      <c r="W124" s="36">
        <v>35000</v>
      </c>
      <c r="X124" s="73">
        <f>DATABASE_Table[[#This Row],[Current Asking price( Total)]]-DATABASE_Table[[#This Row],[Vista membership]]-DATABASE_Table[[#This Row],[FF&amp;E]]</f>
        <v>390000</v>
      </c>
      <c r="Y124" s="37"/>
      <c r="Z124" s="36"/>
      <c r="AA124" s="73">
        <f>DATABASE_Table[[#This Row],[Sell price (Total)]]-DATABASE_Table[[#This Row],[FF&amp;E]]-DATABASE_Table[[#This Row],[Vista membership]]</f>
        <v>-35000</v>
      </c>
      <c r="AB124" s="74">
        <v>45792</v>
      </c>
      <c r="AC124" s="74" t="str">
        <f t="shared" si="1"/>
        <v>Q2 2025</v>
      </c>
      <c r="AD124" s="123"/>
      <c r="AE124" s="69">
        <v>47118</v>
      </c>
      <c r="AF124" s="21" t="s">
        <v>80</v>
      </c>
      <c r="AG124" s="21" t="s">
        <v>81</v>
      </c>
      <c r="AH124" s="122" t="s">
        <v>82</v>
      </c>
      <c r="AI124" s="122" t="s">
        <v>83</v>
      </c>
      <c r="AJ124" s="122" t="s">
        <v>84</v>
      </c>
      <c r="AK124" s="122" t="s">
        <v>85</v>
      </c>
      <c r="AL124" s="21" t="s">
        <v>86</v>
      </c>
      <c r="AM124" s="122" t="s">
        <v>78</v>
      </c>
    </row>
    <row r="125" spans="1:39" customFormat="1" ht="15.75" customHeight="1" x14ac:dyDescent="0.3">
      <c r="A125" t="s">
        <v>78</v>
      </c>
      <c r="B125" s="21" t="s">
        <v>773</v>
      </c>
      <c r="C125" s="21" t="s">
        <v>780</v>
      </c>
      <c r="D125" s="117" t="s">
        <v>176</v>
      </c>
      <c r="E125" s="21" t="s">
        <v>79</v>
      </c>
      <c r="F125" s="21" t="s">
        <v>316</v>
      </c>
      <c r="G125" s="21">
        <v>60.2</v>
      </c>
      <c r="H125" s="21"/>
      <c r="I125" s="117" t="s">
        <v>842</v>
      </c>
      <c r="J125" s="117" t="s">
        <v>325</v>
      </c>
      <c r="K125" s="118">
        <v>3.9</v>
      </c>
      <c r="L125" s="21"/>
      <c r="M125" s="21"/>
      <c r="N125" s="21"/>
      <c r="O125" s="21"/>
      <c r="P125" s="21">
        <v>56.3</v>
      </c>
      <c r="Q125" s="21"/>
      <c r="R125" s="21" t="s">
        <v>329</v>
      </c>
      <c r="S125" s="119">
        <f>DATABASE_Table[[#This Row],[Inicial Asking Price (€) (Total)]]-DATABASE_Table[[#This Row],[Vista membership]]-DATABASE_Table[[#This Row],[FF&amp;E]]</f>
        <v>390000</v>
      </c>
      <c r="T125" s="120">
        <v>425000</v>
      </c>
      <c r="U125" s="36">
        <v>425000</v>
      </c>
      <c r="V125" s="21"/>
      <c r="W125" s="36">
        <v>35000</v>
      </c>
      <c r="X125" s="73">
        <f>DATABASE_Table[[#This Row],[Current Asking price( Total)]]-DATABASE_Table[[#This Row],[Vista membership]]-DATABASE_Table[[#This Row],[FF&amp;E]]</f>
        <v>390000</v>
      </c>
      <c r="Y125" s="37"/>
      <c r="Z125" s="36"/>
      <c r="AA125" s="73">
        <f>DATABASE_Table[[#This Row],[Sell price (Total)]]-DATABASE_Table[[#This Row],[FF&amp;E]]-DATABASE_Table[[#This Row],[Vista membership]]</f>
        <v>-35000</v>
      </c>
      <c r="AB125" s="74">
        <v>45792</v>
      </c>
      <c r="AC125" s="74" t="str">
        <f t="shared" si="1"/>
        <v>Q2 2025</v>
      </c>
      <c r="AD125" s="123"/>
      <c r="AE125" s="69">
        <v>47118</v>
      </c>
      <c r="AF125" s="21" t="s">
        <v>80</v>
      </c>
      <c r="AG125" s="21" t="s">
        <v>81</v>
      </c>
      <c r="AH125" s="122" t="s">
        <v>82</v>
      </c>
      <c r="AI125" s="122" t="s">
        <v>83</v>
      </c>
      <c r="AJ125" s="122" t="s">
        <v>84</v>
      </c>
      <c r="AK125" s="122" t="s">
        <v>85</v>
      </c>
      <c r="AL125" s="21" t="s">
        <v>86</v>
      </c>
      <c r="AM125" s="122" t="s">
        <v>78</v>
      </c>
    </row>
    <row r="126" spans="1:39" customFormat="1" ht="15.75" customHeight="1" x14ac:dyDescent="0.3">
      <c r="A126" t="s">
        <v>78</v>
      </c>
      <c r="B126" s="21" t="s">
        <v>773</v>
      </c>
      <c r="C126" s="21" t="s">
        <v>780</v>
      </c>
      <c r="D126" s="117" t="s">
        <v>177</v>
      </c>
      <c r="E126" s="21" t="s">
        <v>79</v>
      </c>
      <c r="F126" s="21" t="s">
        <v>316</v>
      </c>
      <c r="G126" s="21">
        <v>56.5</v>
      </c>
      <c r="H126" s="21"/>
      <c r="I126" s="117" t="s">
        <v>842</v>
      </c>
      <c r="J126" s="117" t="s">
        <v>325</v>
      </c>
      <c r="K126" s="118">
        <v>5</v>
      </c>
      <c r="L126" s="21"/>
      <c r="M126" s="21"/>
      <c r="N126" s="21"/>
      <c r="O126" s="21"/>
      <c r="P126" s="21">
        <v>51.5</v>
      </c>
      <c r="Q126" s="21"/>
      <c r="R126" s="21" t="s">
        <v>329</v>
      </c>
      <c r="S126" s="119">
        <f>DATABASE_Table[[#This Row],[Inicial Asking Price (€) (Total)]]-DATABASE_Table[[#This Row],[Vista membership]]-DATABASE_Table[[#This Row],[FF&amp;E]]</f>
        <v>2575000</v>
      </c>
      <c r="T126" s="36">
        <v>2610000</v>
      </c>
      <c r="U126" s="36">
        <v>390000</v>
      </c>
      <c r="V126" s="21"/>
      <c r="W126" s="36">
        <v>35000</v>
      </c>
      <c r="X126" s="73">
        <f>DATABASE_Table[[#This Row],[Current Asking price( Total)]]-DATABASE_Table[[#This Row],[Vista membership]]-DATABASE_Table[[#This Row],[FF&amp;E]]</f>
        <v>355000</v>
      </c>
      <c r="Y126" s="37"/>
      <c r="Z126" s="36"/>
      <c r="AA126" s="73">
        <f>DATABASE_Table[[#This Row],[Sell price (Total)]]-DATABASE_Table[[#This Row],[FF&amp;E]]-DATABASE_Table[[#This Row],[Vista membership]]</f>
        <v>-35000</v>
      </c>
      <c r="AB126" s="74">
        <v>45792</v>
      </c>
      <c r="AC126" s="74" t="str">
        <f t="shared" si="1"/>
        <v>Q2 2025</v>
      </c>
      <c r="AD126" s="123"/>
      <c r="AE126" s="69">
        <v>47118</v>
      </c>
      <c r="AF126" s="21" t="s">
        <v>80</v>
      </c>
      <c r="AG126" s="21" t="s">
        <v>81</v>
      </c>
      <c r="AH126" s="122" t="s">
        <v>82</v>
      </c>
      <c r="AI126" s="122" t="s">
        <v>83</v>
      </c>
      <c r="AJ126" s="122" t="s">
        <v>84</v>
      </c>
      <c r="AK126" s="122" t="s">
        <v>85</v>
      </c>
      <c r="AL126" s="21" t="s">
        <v>86</v>
      </c>
      <c r="AM126" s="122" t="s">
        <v>78</v>
      </c>
    </row>
    <row r="127" spans="1:39" customFormat="1" ht="15.75" customHeight="1" x14ac:dyDescent="0.3">
      <c r="A127" t="s">
        <v>78</v>
      </c>
      <c r="B127" s="21" t="s">
        <v>773</v>
      </c>
      <c r="C127" s="21" t="s">
        <v>780</v>
      </c>
      <c r="D127" s="117" t="s">
        <v>180</v>
      </c>
      <c r="E127" s="21" t="s">
        <v>79</v>
      </c>
      <c r="F127" s="21" t="s">
        <v>316</v>
      </c>
      <c r="G127" s="21">
        <v>56.5</v>
      </c>
      <c r="H127" s="21"/>
      <c r="I127" s="117" t="s">
        <v>842</v>
      </c>
      <c r="J127" s="117" t="s">
        <v>325</v>
      </c>
      <c r="K127" s="118">
        <v>5</v>
      </c>
      <c r="L127" s="21"/>
      <c r="M127" s="21"/>
      <c r="N127" s="21"/>
      <c r="O127" s="21"/>
      <c r="P127" s="21">
        <v>51.5</v>
      </c>
      <c r="Q127" s="21"/>
      <c r="R127" s="21" t="s">
        <v>329</v>
      </c>
      <c r="S127" s="119">
        <f>DATABASE_Table[[#This Row],[Inicial Asking Price (€) (Total)]]-DATABASE_Table[[#This Row],[Vista membership]]-DATABASE_Table[[#This Row],[FF&amp;E]]</f>
        <v>1305000</v>
      </c>
      <c r="T127" s="36">
        <v>1340000</v>
      </c>
      <c r="U127" s="36">
        <v>390000</v>
      </c>
      <c r="V127" s="21"/>
      <c r="W127" s="36">
        <v>35000</v>
      </c>
      <c r="X127" s="73">
        <f>DATABASE_Table[[#This Row],[Current Asking price( Total)]]-DATABASE_Table[[#This Row],[Vista membership]]-DATABASE_Table[[#This Row],[FF&amp;E]]</f>
        <v>355000</v>
      </c>
      <c r="Y127" s="37"/>
      <c r="Z127" s="36"/>
      <c r="AA127" s="73">
        <f>DATABASE_Table[[#This Row],[Sell price (Total)]]-DATABASE_Table[[#This Row],[FF&amp;E]]-DATABASE_Table[[#This Row],[Vista membership]]</f>
        <v>-35000</v>
      </c>
      <c r="AB127" s="74">
        <v>45792</v>
      </c>
      <c r="AC127" s="74" t="str">
        <f t="shared" si="1"/>
        <v>Q2 2025</v>
      </c>
      <c r="AD127" s="123"/>
      <c r="AE127" s="69">
        <v>47118</v>
      </c>
      <c r="AF127" s="21" t="s">
        <v>80</v>
      </c>
      <c r="AG127" s="21" t="s">
        <v>81</v>
      </c>
      <c r="AH127" s="122" t="s">
        <v>82</v>
      </c>
      <c r="AI127" s="122" t="s">
        <v>83</v>
      </c>
      <c r="AJ127" s="122" t="s">
        <v>84</v>
      </c>
      <c r="AK127" s="122" t="s">
        <v>85</v>
      </c>
      <c r="AL127" s="21" t="s">
        <v>86</v>
      </c>
      <c r="AM127" s="122" t="s">
        <v>78</v>
      </c>
    </row>
    <row r="128" spans="1:39" customFormat="1" ht="15.75" customHeight="1" x14ac:dyDescent="0.3">
      <c r="A128" t="s">
        <v>78</v>
      </c>
      <c r="B128" s="21" t="s">
        <v>773</v>
      </c>
      <c r="C128" s="21" t="s">
        <v>780</v>
      </c>
      <c r="D128" s="117" t="s">
        <v>181</v>
      </c>
      <c r="E128" s="21" t="s">
        <v>79</v>
      </c>
      <c r="F128" s="21" t="s">
        <v>316</v>
      </c>
      <c r="G128" s="21">
        <v>60.2</v>
      </c>
      <c r="H128" s="21"/>
      <c r="I128" s="117" t="s">
        <v>842</v>
      </c>
      <c r="J128" s="117" t="s">
        <v>325</v>
      </c>
      <c r="K128" s="118">
        <v>3.9</v>
      </c>
      <c r="L128" s="21"/>
      <c r="M128" s="21"/>
      <c r="N128" s="21"/>
      <c r="O128" s="21"/>
      <c r="P128" s="21">
        <v>56.3</v>
      </c>
      <c r="Q128" s="21"/>
      <c r="R128" s="21" t="s">
        <v>329</v>
      </c>
      <c r="S128" s="119">
        <f>DATABASE_Table[[#This Row],[Inicial Asking Price (€) (Total)]]-DATABASE_Table[[#This Row],[Vista membership]]-DATABASE_Table[[#This Row],[FF&amp;E]]</f>
        <v>825000</v>
      </c>
      <c r="T128" s="124">
        <v>860000</v>
      </c>
      <c r="U128" s="36">
        <v>410000</v>
      </c>
      <c r="V128" s="21"/>
      <c r="W128" s="36">
        <v>35000</v>
      </c>
      <c r="X128" s="73">
        <f>DATABASE_Table[[#This Row],[Current Asking price( Total)]]-DATABASE_Table[[#This Row],[Vista membership]]-DATABASE_Table[[#This Row],[FF&amp;E]]</f>
        <v>375000</v>
      </c>
      <c r="Y128" s="37"/>
      <c r="Z128" s="36"/>
      <c r="AA128" s="73">
        <f>DATABASE_Table[[#This Row],[Sell price (Total)]]-DATABASE_Table[[#This Row],[FF&amp;E]]-DATABASE_Table[[#This Row],[Vista membership]]</f>
        <v>-35000</v>
      </c>
      <c r="AB128" s="74">
        <v>45792</v>
      </c>
      <c r="AC128" s="74" t="str">
        <f t="shared" si="1"/>
        <v>Q2 2025</v>
      </c>
      <c r="AD128" s="123"/>
      <c r="AE128" s="69">
        <v>47118</v>
      </c>
      <c r="AF128" s="21" t="s">
        <v>80</v>
      </c>
      <c r="AG128" s="21" t="s">
        <v>81</v>
      </c>
      <c r="AH128" s="122" t="s">
        <v>82</v>
      </c>
      <c r="AI128" s="122" t="s">
        <v>83</v>
      </c>
      <c r="AJ128" s="122" t="s">
        <v>84</v>
      </c>
      <c r="AK128" s="122" t="s">
        <v>85</v>
      </c>
      <c r="AL128" s="21" t="s">
        <v>86</v>
      </c>
      <c r="AM128" s="122" t="s">
        <v>78</v>
      </c>
    </row>
    <row r="129" spans="1:39" customFormat="1" ht="15.75" customHeight="1" x14ac:dyDescent="0.3">
      <c r="A129" t="s">
        <v>78</v>
      </c>
      <c r="B129" s="21" t="s">
        <v>773</v>
      </c>
      <c r="C129" s="21" t="s">
        <v>780</v>
      </c>
      <c r="D129" s="117" t="s">
        <v>182</v>
      </c>
      <c r="E129" s="21" t="s">
        <v>79</v>
      </c>
      <c r="F129" s="21" t="s">
        <v>316</v>
      </c>
      <c r="G129" s="21">
        <v>60.2</v>
      </c>
      <c r="H129" s="21"/>
      <c r="I129" s="117" t="s">
        <v>842</v>
      </c>
      <c r="J129" s="117" t="s">
        <v>325</v>
      </c>
      <c r="K129" s="118">
        <v>3.9</v>
      </c>
      <c r="L129" s="21"/>
      <c r="M129" s="21"/>
      <c r="N129" s="21"/>
      <c r="O129" s="21"/>
      <c r="P129" s="21">
        <v>56.3</v>
      </c>
      <c r="Q129" s="21"/>
      <c r="R129" s="21" t="s">
        <v>329</v>
      </c>
      <c r="S129" s="119">
        <f>DATABASE_Table[[#This Row],[Inicial Asking Price (€) (Total)]]-DATABASE_Table[[#This Row],[Vista membership]]-DATABASE_Table[[#This Row],[FF&amp;E]]</f>
        <v>745000</v>
      </c>
      <c r="T129" s="124">
        <v>780000</v>
      </c>
      <c r="U129" s="36">
        <v>410000</v>
      </c>
      <c r="V129" s="21"/>
      <c r="W129" s="36">
        <v>35000</v>
      </c>
      <c r="X129" s="73">
        <f>DATABASE_Table[[#This Row],[Current Asking price( Total)]]-DATABASE_Table[[#This Row],[Vista membership]]-DATABASE_Table[[#This Row],[FF&amp;E]]</f>
        <v>375000</v>
      </c>
      <c r="Y129" s="37"/>
      <c r="Z129" s="36"/>
      <c r="AA129" s="73">
        <f>DATABASE_Table[[#This Row],[Sell price (Total)]]-DATABASE_Table[[#This Row],[FF&amp;E]]-DATABASE_Table[[#This Row],[Vista membership]]</f>
        <v>-35000</v>
      </c>
      <c r="AB129" s="74">
        <v>45792</v>
      </c>
      <c r="AC129" s="74" t="str">
        <f t="shared" si="1"/>
        <v>Q2 2025</v>
      </c>
      <c r="AD129" s="123"/>
      <c r="AE129" s="69">
        <v>47118</v>
      </c>
      <c r="AF129" s="21" t="s">
        <v>80</v>
      </c>
      <c r="AG129" s="21" t="s">
        <v>81</v>
      </c>
      <c r="AH129" s="122" t="s">
        <v>82</v>
      </c>
      <c r="AI129" s="122" t="s">
        <v>83</v>
      </c>
      <c r="AJ129" s="122" t="s">
        <v>84</v>
      </c>
      <c r="AK129" s="122" t="s">
        <v>85</v>
      </c>
      <c r="AL129" s="21" t="s">
        <v>86</v>
      </c>
      <c r="AM129" s="122" t="s">
        <v>78</v>
      </c>
    </row>
    <row r="130" spans="1:39" customFormat="1" ht="15.75" customHeight="1" x14ac:dyDescent="0.3">
      <c r="A130" t="s">
        <v>78</v>
      </c>
      <c r="B130" s="21" t="s">
        <v>773</v>
      </c>
      <c r="C130" s="21" t="s">
        <v>780</v>
      </c>
      <c r="D130" s="117" t="s">
        <v>183</v>
      </c>
      <c r="E130" s="21" t="s">
        <v>79</v>
      </c>
      <c r="F130" s="21" t="s">
        <v>316</v>
      </c>
      <c r="G130" s="21">
        <v>60.2</v>
      </c>
      <c r="H130" s="21"/>
      <c r="I130" s="117" t="s">
        <v>842</v>
      </c>
      <c r="J130" s="117" t="s">
        <v>325</v>
      </c>
      <c r="K130" s="118">
        <v>3.9</v>
      </c>
      <c r="L130" s="21"/>
      <c r="M130" s="21"/>
      <c r="N130" s="21"/>
      <c r="O130" s="21"/>
      <c r="P130" s="21">
        <v>56.3</v>
      </c>
      <c r="Q130" s="21"/>
      <c r="R130" s="21" t="s">
        <v>329</v>
      </c>
      <c r="S130" s="119">
        <f>DATABASE_Table[[#This Row],[Inicial Asking Price (€) (Total)]]-DATABASE_Table[[#This Row],[Vista membership]]-DATABASE_Table[[#This Row],[FF&amp;E]]</f>
        <v>635000</v>
      </c>
      <c r="T130" s="124">
        <v>670000</v>
      </c>
      <c r="U130" s="36">
        <v>410000</v>
      </c>
      <c r="V130" s="21"/>
      <c r="W130" s="36">
        <v>35000</v>
      </c>
      <c r="X130" s="73">
        <f>DATABASE_Table[[#This Row],[Current Asking price( Total)]]-DATABASE_Table[[#This Row],[Vista membership]]-DATABASE_Table[[#This Row],[FF&amp;E]]</f>
        <v>375000</v>
      </c>
      <c r="Y130" s="37"/>
      <c r="Z130" s="36"/>
      <c r="AA130" s="73">
        <f>DATABASE_Table[[#This Row],[Sell price (Total)]]-DATABASE_Table[[#This Row],[FF&amp;E]]-DATABASE_Table[[#This Row],[Vista membership]]</f>
        <v>-35000</v>
      </c>
      <c r="AB130" s="74">
        <v>45792</v>
      </c>
      <c r="AC130" s="74" t="str">
        <f t="shared" ref="AC130:AC193" si="2">IF(AB130="","TO LAUNCH","Q"&amp;ROUNDUP(MONTH(AB130)/3,0)&amp;" "&amp;YEAR(AB130))</f>
        <v>Q2 2025</v>
      </c>
      <c r="AD130" s="123"/>
      <c r="AE130" s="69">
        <v>47118</v>
      </c>
      <c r="AF130" s="21" t="s">
        <v>80</v>
      </c>
      <c r="AG130" s="21" t="s">
        <v>81</v>
      </c>
      <c r="AH130" s="122" t="s">
        <v>82</v>
      </c>
      <c r="AI130" s="122" t="s">
        <v>83</v>
      </c>
      <c r="AJ130" s="122" t="s">
        <v>84</v>
      </c>
      <c r="AK130" s="122" t="s">
        <v>85</v>
      </c>
      <c r="AL130" s="21" t="s">
        <v>86</v>
      </c>
      <c r="AM130" s="122" t="s">
        <v>78</v>
      </c>
    </row>
    <row r="131" spans="1:39" customFormat="1" ht="15.75" customHeight="1" x14ac:dyDescent="0.3">
      <c r="A131" t="s">
        <v>78</v>
      </c>
      <c r="B131" s="21" t="s">
        <v>773</v>
      </c>
      <c r="C131" s="21" t="s">
        <v>780</v>
      </c>
      <c r="D131" s="117" t="s">
        <v>184</v>
      </c>
      <c r="E131" s="21" t="s">
        <v>79</v>
      </c>
      <c r="F131" s="21" t="s">
        <v>316</v>
      </c>
      <c r="G131" s="21">
        <v>60.2</v>
      </c>
      <c r="H131" s="21"/>
      <c r="I131" s="117" t="s">
        <v>842</v>
      </c>
      <c r="J131" s="117" t="s">
        <v>325</v>
      </c>
      <c r="K131" s="118">
        <v>3.9</v>
      </c>
      <c r="L131" s="21"/>
      <c r="M131" s="21"/>
      <c r="N131" s="21"/>
      <c r="O131" s="21"/>
      <c r="P131" s="21">
        <v>56.3</v>
      </c>
      <c r="Q131" s="21"/>
      <c r="R131" s="21" t="s">
        <v>329</v>
      </c>
      <c r="S131" s="119">
        <f>DATABASE_Table[[#This Row],[Inicial Asking Price (€) (Total)]]-DATABASE_Table[[#This Row],[Vista membership]]-DATABASE_Table[[#This Row],[FF&amp;E]]</f>
        <v>1005000</v>
      </c>
      <c r="T131" s="124">
        <v>1040000</v>
      </c>
      <c r="U131" s="36">
        <v>410000</v>
      </c>
      <c r="V131" s="21"/>
      <c r="W131" s="36">
        <v>35000</v>
      </c>
      <c r="X131" s="73">
        <f>DATABASE_Table[[#This Row],[Current Asking price( Total)]]-DATABASE_Table[[#This Row],[Vista membership]]-DATABASE_Table[[#This Row],[FF&amp;E]]</f>
        <v>375000</v>
      </c>
      <c r="Y131" s="37"/>
      <c r="Z131" s="36"/>
      <c r="AA131" s="73">
        <f>DATABASE_Table[[#This Row],[Sell price (Total)]]-DATABASE_Table[[#This Row],[FF&amp;E]]-DATABASE_Table[[#This Row],[Vista membership]]</f>
        <v>-35000</v>
      </c>
      <c r="AB131" s="74">
        <v>45792</v>
      </c>
      <c r="AC131" s="74" t="str">
        <f t="shared" si="2"/>
        <v>Q2 2025</v>
      </c>
      <c r="AD131" s="123"/>
      <c r="AE131" s="69">
        <v>47118</v>
      </c>
      <c r="AF131" s="21" t="s">
        <v>80</v>
      </c>
      <c r="AG131" s="21" t="s">
        <v>81</v>
      </c>
      <c r="AH131" s="122" t="s">
        <v>82</v>
      </c>
      <c r="AI131" s="122" t="s">
        <v>83</v>
      </c>
      <c r="AJ131" s="122" t="s">
        <v>84</v>
      </c>
      <c r="AK131" s="122" t="s">
        <v>85</v>
      </c>
      <c r="AL131" s="21" t="s">
        <v>86</v>
      </c>
      <c r="AM131" s="122" t="s">
        <v>78</v>
      </c>
    </row>
    <row r="132" spans="1:39" customFormat="1" ht="15.75" customHeight="1" x14ac:dyDescent="0.3">
      <c r="A132" t="s">
        <v>78</v>
      </c>
      <c r="B132" s="21" t="s">
        <v>773</v>
      </c>
      <c r="C132" s="21" t="s">
        <v>780</v>
      </c>
      <c r="D132" s="117" t="s">
        <v>185</v>
      </c>
      <c r="E132" s="21" t="s">
        <v>79</v>
      </c>
      <c r="F132" s="21" t="s">
        <v>316</v>
      </c>
      <c r="G132" s="21">
        <v>60.2</v>
      </c>
      <c r="H132" s="21"/>
      <c r="I132" s="117" t="s">
        <v>842</v>
      </c>
      <c r="J132" s="117" t="s">
        <v>325</v>
      </c>
      <c r="K132" s="118">
        <v>3.9</v>
      </c>
      <c r="L132" s="21"/>
      <c r="M132" s="21"/>
      <c r="N132" s="21"/>
      <c r="O132" s="21"/>
      <c r="P132" s="21">
        <v>56.3</v>
      </c>
      <c r="Q132" s="21"/>
      <c r="R132" s="21" t="s">
        <v>329</v>
      </c>
      <c r="S132" s="119">
        <f>DATABASE_Table[[#This Row],[Inicial Asking Price (€) (Total)]]-DATABASE_Table[[#This Row],[Vista membership]]-DATABASE_Table[[#This Row],[FF&amp;E]]</f>
        <v>715000</v>
      </c>
      <c r="T132" s="124">
        <v>750000</v>
      </c>
      <c r="U132" s="36">
        <v>410000</v>
      </c>
      <c r="V132" s="21"/>
      <c r="W132" s="36">
        <v>35000</v>
      </c>
      <c r="X132" s="73">
        <f>DATABASE_Table[[#This Row],[Current Asking price( Total)]]-DATABASE_Table[[#This Row],[Vista membership]]-DATABASE_Table[[#This Row],[FF&amp;E]]</f>
        <v>375000</v>
      </c>
      <c r="Y132" s="37"/>
      <c r="Z132" s="36"/>
      <c r="AA132" s="73">
        <f>DATABASE_Table[[#This Row],[Sell price (Total)]]-DATABASE_Table[[#This Row],[FF&amp;E]]-DATABASE_Table[[#This Row],[Vista membership]]</f>
        <v>-35000</v>
      </c>
      <c r="AB132" s="74">
        <v>45792</v>
      </c>
      <c r="AC132" s="74" t="str">
        <f t="shared" si="2"/>
        <v>Q2 2025</v>
      </c>
      <c r="AD132" s="123"/>
      <c r="AE132" s="69">
        <v>47118</v>
      </c>
      <c r="AF132" s="21" t="s">
        <v>80</v>
      </c>
      <c r="AG132" s="21" t="s">
        <v>81</v>
      </c>
      <c r="AH132" s="122" t="s">
        <v>82</v>
      </c>
      <c r="AI132" s="122" t="s">
        <v>83</v>
      </c>
      <c r="AJ132" s="122" t="s">
        <v>84</v>
      </c>
      <c r="AK132" s="122" t="s">
        <v>85</v>
      </c>
      <c r="AL132" s="21" t="s">
        <v>86</v>
      </c>
      <c r="AM132" s="122" t="s">
        <v>78</v>
      </c>
    </row>
    <row r="133" spans="1:39" customFormat="1" ht="15.75" customHeight="1" x14ac:dyDescent="0.3">
      <c r="A133" t="s">
        <v>78</v>
      </c>
      <c r="B133" s="21" t="s">
        <v>773</v>
      </c>
      <c r="C133" s="21" t="s">
        <v>780</v>
      </c>
      <c r="D133" s="117" t="s">
        <v>186</v>
      </c>
      <c r="E133" s="21" t="s">
        <v>79</v>
      </c>
      <c r="F133" s="21" t="s">
        <v>316</v>
      </c>
      <c r="G133" s="21">
        <v>56.5</v>
      </c>
      <c r="H133" s="21"/>
      <c r="I133" s="117" t="s">
        <v>842</v>
      </c>
      <c r="J133" s="117" t="s">
        <v>325</v>
      </c>
      <c r="K133" s="118">
        <v>5</v>
      </c>
      <c r="L133" s="21"/>
      <c r="M133" s="21"/>
      <c r="N133" s="21"/>
      <c r="O133" s="21"/>
      <c r="P133" s="21">
        <v>51.5</v>
      </c>
      <c r="Q133" s="21"/>
      <c r="R133" s="21" t="s">
        <v>329</v>
      </c>
      <c r="S133" s="119">
        <f>DATABASE_Table[[#This Row],[Inicial Asking Price (€) (Total)]]-DATABASE_Table[[#This Row],[Vista membership]]-DATABASE_Table[[#This Row],[FF&amp;E]]</f>
        <v>715000</v>
      </c>
      <c r="T133" s="124">
        <v>750000</v>
      </c>
      <c r="U133" s="36">
        <v>390000</v>
      </c>
      <c r="V133" s="21"/>
      <c r="W133" s="36">
        <v>35000</v>
      </c>
      <c r="X133" s="73">
        <f>DATABASE_Table[[#This Row],[Current Asking price( Total)]]-DATABASE_Table[[#This Row],[Vista membership]]-DATABASE_Table[[#This Row],[FF&amp;E]]</f>
        <v>355000</v>
      </c>
      <c r="Y133" s="37"/>
      <c r="Z133" s="36"/>
      <c r="AA133" s="73">
        <f>DATABASE_Table[[#This Row],[Sell price (Total)]]-DATABASE_Table[[#This Row],[FF&amp;E]]-DATABASE_Table[[#This Row],[Vista membership]]</f>
        <v>-35000</v>
      </c>
      <c r="AB133" s="74">
        <v>45792</v>
      </c>
      <c r="AC133" s="74" t="str">
        <f t="shared" si="2"/>
        <v>Q2 2025</v>
      </c>
      <c r="AD133" s="123"/>
      <c r="AE133" s="69">
        <v>47118</v>
      </c>
      <c r="AF133" s="21" t="s">
        <v>80</v>
      </c>
      <c r="AG133" s="21" t="s">
        <v>81</v>
      </c>
      <c r="AH133" s="122" t="s">
        <v>82</v>
      </c>
      <c r="AI133" s="122" t="s">
        <v>83</v>
      </c>
      <c r="AJ133" s="122" t="s">
        <v>84</v>
      </c>
      <c r="AK133" s="122" t="s">
        <v>85</v>
      </c>
      <c r="AL133" s="21" t="s">
        <v>86</v>
      </c>
      <c r="AM133" s="122" t="s">
        <v>78</v>
      </c>
    </row>
    <row r="134" spans="1:39" customFormat="1" ht="15.75" customHeight="1" x14ac:dyDescent="0.3">
      <c r="A134" t="s">
        <v>78</v>
      </c>
      <c r="B134" s="21" t="s">
        <v>773</v>
      </c>
      <c r="C134" s="21" t="s">
        <v>780</v>
      </c>
      <c r="D134" s="117" t="s">
        <v>187</v>
      </c>
      <c r="E134" s="21" t="s">
        <v>79</v>
      </c>
      <c r="F134" s="21" t="s">
        <v>316</v>
      </c>
      <c r="G134" s="21">
        <v>56.5</v>
      </c>
      <c r="H134" s="21"/>
      <c r="I134" s="117" t="s">
        <v>842</v>
      </c>
      <c r="J134" s="117" t="s">
        <v>325</v>
      </c>
      <c r="K134" s="118">
        <v>5</v>
      </c>
      <c r="L134" s="21"/>
      <c r="M134" s="21"/>
      <c r="N134" s="21"/>
      <c r="O134" s="21"/>
      <c r="P134" s="21">
        <v>51.5</v>
      </c>
      <c r="Q134" s="21"/>
      <c r="R134" s="21" t="s">
        <v>329</v>
      </c>
      <c r="S134" s="119">
        <f>DATABASE_Table[[#This Row],[Inicial Asking Price (€) (Total)]]-DATABASE_Table[[#This Row],[Vista membership]]-DATABASE_Table[[#This Row],[FF&amp;E]]</f>
        <v>865000</v>
      </c>
      <c r="T134" s="124">
        <v>900000</v>
      </c>
      <c r="U134" s="36">
        <v>390000</v>
      </c>
      <c r="V134" s="21"/>
      <c r="W134" s="36">
        <v>35000</v>
      </c>
      <c r="X134" s="73">
        <f>DATABASE_Table[[#This Row],[Current Asking price( Total)]]-DATABASE_Table[[#This Row],[Vista membership]]-DATABASE_Table[[#This Row],[FF&amp;E]]</f>
        <v>355000</v>
      </c>
      <c r="Y134" s="37"/>
      <c r="Z134" s="36"/>
      <c r="AA134" s="73">
        <f>DATABASE_Table[[#This Row],[Sell price (Total)]]-DATABASE_Table[[#This Row],[FF&amp;E]]-DATABASE_Table[[#This Row],[Vista membership]]</f>
        <v>-35000</v>
      </c>
      <c r="AB134" s="74">
        <v>45792</v>
      </c>
      <c r="AC134" s="74" t="str">
        <f t="shared" si="2"/>
        <v>Q2 2025</v>
      </c>
      <c r="AD134" s="123"/>
      <c r="AE134" s="69">
        <v>47118</v>
      </c>
      <c r="AF134" s="21" t="s">
        <v>80</v>
      </c>
      <c r="AG134" s="21" t="s">
        <v>81</v>
      </c>
      <c r="AH134" s="122" t="s">
        <v>82</v>
      </c>
      <c r="AI134" s="122" t="s">
        <v>83</v>
      </c>
      <c r="AJ134" s="122" t="s">
        <v>84</v>
      </c>
      <c r="AK134" s="122" t="s">
        <v>85</v>
      </c>
      <c r="AL134" s="21" t="s">
        <v>86</v>
      </c>
      <c r="AM134" s="122" t="s">
        <v>78</v>
      </c>
    </row>
    <row r="135" spans="1:39" customFormat="1" ht="15.75" customHeight="1" x14ac:dyDescent="0.3">
      <c r="A135" t="s">
        <v>78</v>
      </c>
      <c r="B135" s="21" t="s">
        <v>773</v>
      </c>
      <c r="C135" s="21" t="s">
        <v>780</v>
      </c>
      <c r="D135" s="117" t="s">
        <v>188</v>
      </c>
      <c r="E135" s="21" t="s">
        <v>79</v>
      </c>
      <c r="F135" s="21" t="s">
        <v>316</v>
      </c>
      <c r="G135" s="21">
        <v>56.5</v>
      </c>
      <c r="H135" s="21"/>
      <c r="I135" s="117" t="s">
        <v>842</v>
      </c>
      <c r="J135" s="117" t="s">
        <v>325</v>
      </c>
      <c r="K135" s="118">
        <v>5</v>
      </c>
      <c r="L135" s="21"/>
      <c r="M135" s="21"/>
      <c r="N135" s="21"/>
      <c r="O135" s="21"/>
      <c r="P135" s="21">
        <v>51.5</v>
      </c>
      <c r="Q135" s="21"/>
      <c r="R135" s="21" t="s">
        <v>329</v>
      </c>
      <c r="S135" s="119">
        <f>DATABASE_Table[[#This Row],[Inicial Asking Price (€) (Total)]]-DATABASE_Table[[#This Row],[Vista membership]]-DATABASE_Table[[#This Row],[FF&amp;E]]</f>
        <v>965000</v>
      </c>
      <c r="T135" s="124">
        <v>1000000</v>
      </c>
      <c r="U135" s="36">
        <v>390000</v>
      </c>
      <c r="V135" s="21"/>
      <c r="W135" s="36">
        <v>35000</v>
      </c>
      <c r="X135" s="73">
        <f>DATABASE_Table[[#This Row],[Current Asking price( Total)]]-DATABASE_Table[[#This Row],[Vista membership]]-DATABASE_Table[[#This Row],[FF&amp;E]]</f>
        <v>355000</v>
      </c>
      <c r="Y135" s="37"/>
      <c r="Z135" s="36"/>
      <c r="AA135" s="73">
        <f>DATABASE_Table[[#This Row],[Sell price (Total)]]-DATABASE_Table[[#This Row],[FF&amp;E]]-DATABASE_Table[[#This Row],[Vista membership]]</f>
        <v>-35000</v>
      </c>
      <c r="AB135" s="74">
        <v>45792</v>
      </c>
      <c r="AC135" s="74" t="str">
        <f t="shared" si="2"/>
        <v>Q2 2025</v>
      </c>
      <c r="AD135" s="123"/>
      <c r="AE135" s="69">
        <v>47118</v>
      </c>
      <c r="AF135" s="21" t="s">
        <v>80</v>
      </c>
      <c r="AG135" s="21" t="s">
        <v>81</v>
      </c>
      <c r="AH135" s="122" t="s">
        <v>82</v>
      </c>
      <c r="AI135" s="122" t="s">
        <v>83</v>
      </c>
      <c r="AJ135" s="122" t="s">
        <v>84</v>
      </c>
      <c r="AK135" s="122" t="s">
        <v>85</v>
      </c>
      <c r="AL135" s="21" t="s">
        <v>86</v>
      </c>
      <c r="AM135" s="122" t="s">
        <v>78</v>
      </c>
    </row>
    <row r="136" spans="1:39" customFormat="1" ht="15.75" customHeight="1" x14ac:dyDescent="0.3">
      <c r="A136" t="s">
        <v>78</v>
      </c>
      <c r="B136" s="21" t="s">
        <v>773</v>
      </c>
      <c r="C136" s="21" t="s">
        <v>780</v>
      </c>
      <c r="D136" s="117" t="s">
        <v>189</v>
      </c>
      <c r="E136" s="21" t="s">
        <v>79</v>
      </c>
      <c r="F136" s="21" t="s">
        <v>316</v>
      </c>
      <c r="G136" s="21">
        <v>56.5</v>
      </c>
      <c r="H136" s="21"/>
      <c r="I136" s="117" t="s">
        <v>842</v>
      </c>
      <c r="J136" s="117" t="s">
        <v>325</v>
      </c>
      <c r="K136" s="118">
        <v>5</v>
      </c>
      <c r="L136" s="21"/>
      <c r="M136" s="21"/>
      <c r="N136" s="21"/>
      <c r="O136" s="21"/>
      <c r="P136" s="21">
        <v>51.5</v>
      </c>
      <c r="Q136" s="21"/>
      <c r="R136" s="21" t="s">
        <v>329</v>
      </c>
      <c r="S136" s="119">
        <f>DATABASE_Table[[#This Row],[Inicial Asking Price (€) (Total)]]-DATABASE_Table[[#This Row],[Vista membership]]-DATABASE_Table[[#This Row],[FF&amp;E]]</f>
        <v>825000</v>
      </c>
      <c r="T136" s="124">
        <v>860000</v>
      </c>
      <c r="U136" s="36">
        <v>390000</v>
      </c>
      <c r="V136" s="21"/>
      <c r="W136" s="36">
        <v>35000</v>
      </c>
      <c r="X136" s="73">
        <f>DATABASE_Table[[#This Row],[Current Asking price( Total)]]-DATABASE_Table[[#This Row],[Vista membership]]-DATABASE_Table[[#This Row],[FF&amp;E]]</f>
        <v>355000</v>
      </c>
      <c r="Y136" s="37"/>
      <c r="Z136" s="36"/>
      <c r="AA136" s="73">
        <f>DATABASE_Table[[#This Row],[Sell price (Total)]]-DATABASE_Table[[#This Row],[FF&amp;E]]-DATABASE_Table[[#This Row],[Vista membership]]</f>
        <v>-35000</v>
      </c>
      <c r="AB136" s="74">
        <v>45792</v>
      </c>
      <c r="AC136" s="74" t="str">
        <f t="shared" si="2"/>
        <v>Q2 2025</v>
      </c>
      <c r="AD136" s="123"/>
      <c r="AE136" s="69">
        <v>47118</v>
      </c>
      <c r="AF136" s="21" t="s">
        <v>80</v>
      </c>
      <c r="AG136" s="21" t="s">
        <v>81</v>
      </c>
      <c r="AH136" s="122" t="s">
        <v>82</v>
      </c>
      <c r="AI136" s="122" t="s">
        <v>83</v>
      </c>
      <c r="AJ136" s="122" t="s">
        <v>84</v>
      </c>
      <c r="AK136" s="122" t="s">
        <v>85</v>
      </c>
      <c r="AL136" s="21" t="s">
        <v>86</v>
      </c>
      <c r="AM136" s="122" t="s">
        <v>78</v>
      </c>
    </row>
    <row r="137" spans="1:39" customFormat="1" ht="15.75" customHeight="1" x14ac:dyDescent="0.3">
      <c r="A137" t="s">
        <v>78</v>
      </c>
      <c r="B137" s="21" t="s">
        <v>773</v>
      </c>
      <c r="C137" s="21" t="s">
        <v>780</v>
      </c>
      <c r="D137" s="117" t="s">
        <v>191</v>
      </c>
      <c r="E137" s="21" t="s">
        <v>79</v>
      </c>
      <c r="F137" s="21" t="s">
        <v>316</v>
      </c>
      <c r="G137" s="21">
        <v>65</v>
      </c>
      <c r="H137" s="21"/>
      <c r="I137" s="117" t="s">
        <v>842</v>
      </c>
      <c r="J137" s="117" t="s">
        <v>325</v>
      </c>
      <c r="K137" s="118">
        <v>8.6999999999999993</v>
      </c>
      <c r="L137" s="21"/>
      <c r="M137" s="21"/>
      <c r="N137" s="21"/>
      <c r="O137" s="21"/>
      <c r="P137" s="21">
        <v>56.3</v>
      </c>
      <c r="Q137" s="21"/>
      <c r="R137" s="21" t="s">
        <v>329</v>
      </c>
      <c r="S137" s="119">
        <f>DATABASE_Table[[#This Row],[Inicial Asking Price (€) (Total)]]-DATABASE_Table[[#This Row],[Vista membership]]-DATABASE_Table[[#This Row],[FF&amp;E]]</f>
        <v>415000</v>
      </c>
      <c r="T137" s="120">
        <v>450000</v>
      </c>
      <c r="U137" s="36">
        <v>450000</v>
      </c>
      <c r="V137" s="21"/>
      <c r="W137" s="36">
        <v>35000</v>
      </c>
      <c r="X137" s="73">
        <f>DATABASE_Table[[#This Row],[Current Asking price( Total)]]-DATABASE_Table[[#This Row],[Vista membership]]-DATABASE_Table[[#This Row],[FF&amp;E]]</f>
        <v>415000</v>
      </c>
      <c r="Y137" s="37"/>
      <c r="Z137" s="36"/>
      <c r="AA137" s="73">
        <f>DATABASE_Table[[#This Row],[Sell price (Total)]]-DATABASE_Table[[#This Row],[FF&amp;E]]-DATABASE_Table[[#This Row],[Vista membership]]</f>
        <v>-35000</v>
      </c>
      <c r="AB137" s="74">
        <v>45792</v>
      </c>
      <c r="AC137" s="74" t="str">
        <f t="shared" si="2"/>
        <v>Q2 2025</v>
      </c>
      <c r="AD137" s="123"/>
      <c r="AE137" s="69">
        <v>47118</v>
      </c>
      <c r="AF137" s="21" t="s">
        <v>80</v>
      </c>
      <c r="AG137" s="21" t="s">
        <v>81</v>
      </c>
      <c r="AH137" s="122" t="s">
        <v>82</v>
      </c>
      <c r="AI137" s="122" t="s">
        <v>83</v>
      </c>
      <c r="AJ137" s="122" t="s">
        <v>84</v>
      </c>
      <c r="AK137" s="122" t="s">
        <v>85</v>
      </c>
      <c r="AL137" s="21" t="s">
        <v>86</v>
      </c>
      <c r="AM137" s="122" t="s">
        <v>78</v>
      </c>
    </row>
    <row r="138" spans="1:39" customFormat="1" ht="15.75" customHeight="1" x14ac:dyDescent="0.3">
      <c r="A138" t="s">
        <v>78</v>
      </c>
      <c r="B138" s="21" t="s">
        <v>773</v>
      </c>
      <c r="C138" s="21" t="s">
        <v>780</v>
      </c>
      <c r="D138" s="117" t="s">
        <v>192</v>
      </c>
      <c r="E138" s="21" t="s">
        <v>79</v>
      </c>
      <c r="F138" s="21" t="s">
        <v>316</v>
      </c>
      <c r="G138" s="21">
        <v>65</v>
      </c>
      <c r="H138" s="21"/>
      <c r="I138" s="117" t="s">
        <v>842</v>
      </c>
      <c r="J138" s="117" t="s">
        <v>325</v>
      </c>
      <c r="K138" s="118">
        <v>8.6999999999999993</v>
      </c>
      <c r="L138" s="21"/>
      <c r="M138" s="21"/>
      <c r="N138" s="21"/>
      <c r="O138" s="21"/>
      <c r="P138" s="21">
        <v>56.3</v>
      </c>
      <c r="Q138" s="21"/>
      <c r="R138" s="21" t="s">
        <v>329</v>
      </c>
      <c r="S138" s="119">
        <f>DATABASE_Table[[#This Row],[Inicial Asking Price (€) (Total)]]-DATABASE_Table[[#This Row],[Vista membership]]-DATABASE_Table[[#This Row],[FF&amp;E]]</f>
        <v>415000</v>
      </c>
      <c r="T138" s="120">
        <v>450000</v>
      </c>
      <c r="U138" s="36">
        <v>450000</v>
      </c>
      <c r="V138" s="21"/>
      <c r="W138" s="36">
        <v>35000</v>
      </c>
      <c r="X138" s="73">
        <f>DATABASE_Table[[#This Row],[Current Asking price( Total)]]-DATABASE_Table[[#This Row],[Vista membership]]-DATABASE_Table[[#This Row],[FF&amp;E]]</f>
        <v>415000</v>
      </c>
      <c r="Y138" s="37"/>
      <c r="Z138" s="36"/>
      <c r="AA138" s="73">
        <f>DATABASE_Table[[#This Row],[Sell price (Total)]]-DATABASE_Table[[#This Row],[FF&amp;E]]-DATABASE_Table[[#This Row],[Vista membership]]</f>
        <v>-35000</v>
      </c>
      <c r="AB138" s="74">
        <v>45792</v>
      </c>
      <c r="AC138" s="74" t="str">
        <f t="shared" si="2"/>
        <v>Q2 2025</v>
      </c>
      <c r="AD138" s="123"/>
      <c r="AE138" s="69">
        <v>47118</v>
      </c>
      <c r="AF138" s="21" t="s">
        <v>80</v>
      </c>
      <c r="AG138" s="21" t="s">
        <v>81</v>
      </c>
      <c r="AH138" s="122" t="s">
        <v>82</v>
      </c>
      <c r="AI138" s="122" t="s">
        <v>83</v>
      </c>
      <c r="AJ138" s="122" t="s">
        <v>84</v>
      </c>
      <c r="AK138" s="122" t="s">
        <v>85</v>
      </c>
      <c r="AL138" s="21" t="s">
        <v>86</v>
      </c>
      <c r="AM138" s="122" t="s">
        <v>78</v>
      </c>
    </row>
    <row r="139" spans="1:39" customFormat="1" ht="15.75" customHeight="1" x14ac:dyDescent="0.3">
      <c r="A139" t="s">
        <v>78</v>
      </c>
      <c r="B139" s="21" t="s">
        <v>773</v>
      </c>
      <c r="C139" s="21" t="s">
        <v>780</v>
      </c>
      <c r="D139" s="117" t="s">
        <v>193</v>
      </c>
      <c r="E139" s="21" t="s">
        <v>79</v>
      </c>
      <c r="F139" s="21" t="s">
        <v>316</v>
      </c>
      <c r="G139" s="21">
        <v>65</v>
      </c>
      <c r="H139" s="21"/>
      <c r="I139" s="117" t="s">
        <v>842</v>
      </c>
      <c r="J139" s="117" t="s">
        <v>325</v>
      </c>
      <c r="K139" s="118">
        <v>8.6999999999999993</v>
      </c>
      <c r="L139" s="21"/>
      <c r="M139" s="21"/>
      <c r="N139" s="21"/>
      <c r="O139" s="21"/>
      <c r="P139" s="21">
        <v>56.3</v>
      </c>
      <c r="Q139" s="21"/>
      <c r="R139" s="21" t="s">
        <v>329</v>
      </c>
      <c r="S139" s="119">
        <f>DATABASE_Table[[#This Row],[Inicial Asking Price (€) (Total)]]-DATABASE_Table[[#This Row],[Vista membership]]-DATABASE_Table[[#This Row],[FF&amp;E]]</f>
        <v>415000</v>
      </c>
      <c r="T139" s="120">
        <v>450000</v>
      </c>
      <c r="U139" s="36">
        <v>450000</v>
      </c>
      <c r="V139" s="21"/>
      <c r="W139" s="36">
        <v>35000</v>
      </c>
      <c r="X139" s="73">
        <f>DATABASE_Table[[#This Row],[Current Asking price( Total)]]-DATABASE_Table[[#This Row],[Vista membership]]-DATABASE_Table[[#This Row],[FF&amp;E]]</f>
        <v>415000</v>
      </c>
      <c r="Y139" s="37"/>
      <c r="Z139" s="36"/>
      <c r="AA139" s="73">
        <f>DATABASE_Table[[#This Row],[Sell price (Total)]]-DATABASE_Table[[#This Row],[FF&amp;E]]-DATABASE_Table[[#This Row],[Vista membership]]</f>
        <v>-35000</v>
      </c>
      <c r="AB139" s="74">
        <v>45792</v>
      </c>
      <c r="AC139" s="74" t="str">
        <f t="shared" si="2"/>
        <v>Q2 2025</v>
      </c>
      <c r="AD139" s="123"/>
      <c r="AE139" s="69">
        <v>47118</v>
      </c>
      <c r="AF139" s="21" t="s">
        <v>80</v>
      </c>
      <c r="AG139" s="21" t="s">
        <v>81</v>
      </c>
      <c r="AH139" s="122" t="s">
        <v>82</v>
      </c>
      <c r="AI139" s="122" t="s">
        <v>83</v>
      </c>
      <c r="AJ139" s="122" t="s">
        <v>84</v>
      </c>
      <c r="AK139" s="122" t="s">
        <v>85</v>
      </c>
      <c r="AL139" s="21" t="s">
        <v>86</v>
      </c>
      <c r="AM139" s="122" t="s">
        <v>78</v>
      </c>
    </row>
    <row r="140" spans="1:39" customFormat="1" ht="15.75" customHeight="1" x14ac:dyDescent="0.3">
      <c r="A140" t="s">
        <v>78</v>
      </c>
      <c r="B140" s="21" t="s">
        <v>773</v>
      </c>
      <c r="C140" s="21" t="s">
        <v>780</v>
      </c>
      <c r="D140" s="117" t="s">
        <v>194</v>
      </c>
      <c r="E140" s="21" t="s">
        <v>79</v>
      </c>
      <c r="F140" s="21" t="s">
        <v>316</v>
      </c>
      <c r="G140" s="21">
        <v>65</v>
      </c>
      <c r="H140" s="21"/>
      <c r="I140" s="117" t="s">
        <v>842</v>
      </c>
      <c r="J140" s="117" t="s">
        <v>325</v>
      </c>
      <c r="K140" s="118">
        <v>8.6999999999999993</v>
      </c>
      <c r="L140" s="21"/>
      <c r="M140" s="21"/>
      <c r="N140" s="21"/>
      <c r="O140" s="21"/>
      <c r="P140" s="21">
        <v>56.3</v>
      </c>
      <c r="Q140" s="21"/>
      <c r="R140" s="21" t="s">
        <v>329</v>
      </c>
      <c r="S140" s="119">
        <f>DATABASE_Table[[#This Row],[Inicial Asking Price (€) (Total)]]-DATABASE_Table[[#This Row],[Vista membership]]-DATABASE_Table[[#This Row],[FF&amp;E]]</f>
        <v>415000</v>
      </c>
      <c r="T140" s="120">
        <v>450000</v>
      </c>
      <c r="U140" s="36">
        <v>450000</v>
      </c>
      <c r="V140" s="21"/>
      <c r="W140" s="36">
        <v>35000</v>
      </c>
      <c r="X140" s="73">
        <f>DATABASE_Table[[#This Row],[Current Asking price( Total)]]-DATABASE_Table[[#This Row],[Vista membership]]-DATABASE_Table[[#This Row],[FF&amp;E]]</f>
        <v>415000</v>
      </c>
      <c r="Y140" s="37"/>
      <c r="Z140" s="36"/>
      <c r="AA140" s="73">
        <f>DATABASE_Table[[#This Row],[Sell price (Total)]]-DATABASE_Table[[#This Row],[FF&amp;E]]-DATABASE_Table[[#This Row],[Vista membership]]</f>
        <v>-35000</v>
      </c>
      <c r="AB140" s="74">
        <v>45792</v>
      </c>
      <c r="AC140" s="74" t="str">
        <f t="shared" si="2"/>
        <v>Q2 2025</v>
      </c>
      <c r="AD140" s="123"/>
      <c r="AE140" s="69">
        <v>47118</v>
      </c>
      <c r="AF140" s="21" t="s">
        <v>80</v>
      </c>
      <c r="AG140" s="21" t="s">
        <v>81</v>
      </c>
      <c r="AH140" s="122" t="s">
        <v>82</v>
      </c>
      <c r="AI140" s="122" t="s">
        <v>83</v>
      </c>
      <c r="AJ140" s="122" t="s">
        <v>84</v>
      </c>
      <c r="AK140" s="122" t="s">
        <v>85</v>
      </c>
      <c r="AL140" s="21" t="s">
        <v>86</v>
      </c>
      <c r="AM140" s="122" t="s">
        <v>78</v>
      </c>
    </row>
    <row r="141" spans="1:39" customFormat="1" ht="15.75" customHeight="1" x14ac:dyDescent="0.3">
      <c r="A141" t="s">
        <v>78</v>
      </c>
      <c r="B141" s="21" t="s">
        <v>773</v>
      </c>
      <c r="C141" s="21" t="s">
        <v>780</v>
      </c>
      <c r="D141" s="117" t="s">
        <v>195</v>
      </c>
      <c r="E141" s="21" t="s">
        <v>79</v>
      </c>
      <c r="F141" s="21" t="s">
        <v>316</v>
      </c>
      <c r="G141" s="21">
        <v>65</v>
      </c>
      <c r="H141" s="21"/>
      <c r="I141" s="117" t="s">
        <v>842</v>
      </c>
      <c r="J141" s="117" t="s">
        <v>325</v>
      </c>
      <c r="K141" s="118">
        <v>8.6999999999999993</v>
      </c>
      <c r="L141" s="21"/>
      <c r="M141" s="21"/>
      <c r="N141" s="21"/>
      <c r="O141" s="21"/>
      <c r="P141" s="21">
        <v>56.3</v>
      </c>
      <c r="Q141" s="21"/>
      <c r="R141" s="21" t="s">
        <v>329</v>
      </c>
      <c r="S141" s="119">
        <f>DATABASE_Table[[#This Row],[Inicial Asking Price (€) (Total)]]-DATABASE_Table[[#This Row],[Vista membership]]-DATABASE_Table[[#This Row],[FF&amp;E]]</f>
        <v>415000</v>
      </c>
      <c r="T141" s="120">
        <v>450000</v>
      </c>
      <c r="U141" s="36">
        <v>450000</v>
      </c>
      <c r="V141" s="21"/>
      <c r="W141" s="36">
        <v>35000</v>
      </c>
      <c r="X141" s="73">
        <f>DATABASE_Table[[#This Row],[Current Asking price( Total)]]-DATABASE_Table[[#This Row],[Vista membership]]-DATABASE_Table[[#This Row],[FF&amp;E]]</f>
        <v>415000</v>
      </c>
      <c r="Y141" s="37"/>
      <c r="Z141" s="36"/>
      <c r="AA141" s="73">
        <f>DATABASE_Table[[#This Row],[Sell price (Total)]]-DATABASE_Table[[#This Row],[FF&amp;E]]-DATABASE_Table[[#This Row],[Vista membership]]</f>
        <v>-35000</v>
      </c>
      <c r="AB141" s="74">
        <v>45792</v>
      </c>
      <c r="AC141" s="74" t="str">
        <f t="shared" si="2"/>
        <v>Q2 2025</v>
      </c>
      <c r="AD141" s="123"/>
      <c r="AE141" s="69">
        <v>47118</v>
      </c>
      <c r="AF141" s="21" t="s">
        <v>80</v>
      </c>
      <c r="AG141" s="21" t="s">
        <v>81</v>
      </c>
      <c r="AH141" s="122" t="s">
        <v>82</v>
      </c>
      <c r="AI141" s="122" t="s">
        <v>83</v>
      </c>
      <c r="AJ141" s="122" t="s">
        <v>84</v>
      </c>
      <c r="AK141" s="122" t="s">
        <v>85</v>
      </c>
      <c r="AL141" s="21" t="s">
        <v>86</v>
      </c>
      <c r="AM141" s="122" t="s">
        <v>78</v>
      </c>
    </row>
    <row r="142" spans="1:39" customFormat="1" ht="15.75" customHeight="1" x14ac:dyDescent="0.3">
      <c r="A142" t="s">
        <v>78</v>
      </c>
      <c r="B142" s="21" t="s">
        <v>773</v>
      </c>
      <c r="C142" s="21" t="s">
        <v>780</v>
      </c>
      <c r="D142" s="117" t="s">
        <v>196</v>
      </c>
      <c r="E142" s="21" t="s">
        <v>79</v>
      </c>
      <c r="F142" s="21" t="s">
        <v>316</v>
      </c>
      <c r="G142" s="21">
        <v>65</v>
      </c>
      <c r="H142" s="21"/>
      <c r="I142" s="117" t="s">
        <v>842</v>
      </c>
      <c r="J142" s="117" t="s">
        <v>325</v>
      </c>
      <c r="K142" s="118">
        <v>8.6999999999999993</v>
      </c>
      <c r="L142" s="21"/>
      <c r="M142" s="21"/>
      <c r="N142" s="21"/>
      <c r="O142" s="21"/>
      <c r="P142" s="21">
        <v>56.3</v>
      </c>
      <c r="Q142" s="21"/>
      <c r="R142" s="21" t="s">
        <v>329</v>
      </c>
      <c r="S142" s="119">
        <f>DATABASE_Table[[#This Row],[Inicial Asking Price (€) (Total)]]-DATABASE_Table[[#This Row],[Vista membership]]-DATABASE_Table[[#This Row],[FF&amp;E]]</f>
        <v>415000</v>
      </c>
      <c r="T142" s="120">
        <v>450000</v>
      </c>
      <c r="U142" s="36">
        <v>450000</v>
      </c>
      <c r="V142" s="21"/>
      <c r="W142" s="36">
        <v>35000</v>
      </c>
      <c r="X142" s="73">
        <f>DATABASE_Table[[#This Row],[Current Asking price( Total)]]-DATABASE_Table[[#This Row],[Vista membership]]-DATABASE_Table[[#This Row],[FF&amp;E]]</f>
        <v>415000</v>
      </c>
      <c r="Y142" s="37"/>
      <c r="Z142" s="36"/>
      <c r="AA142" s="73">
        <f>DATABASE_Table[[#This Row],[Sell price (Total)]]-DATABASE_Table[[#This Row],[FF&amp;E]]-DATABASE_Table[[#This Row],[Vista membership]]</f>
        <v>-35000</v>
      </c>
      <c r="AB142" s="74">
        <v>45792</v>
      </c>
      <c r="AC142" s="74" t="str">
        <f t="shared" si="2"/>
        <v>Q2 2025</v>
      </c>
      <c r="AD142" s="123"/>
      <c r="AE142" s="69">
        <v>47118</v>
      </c>
      <c r="AF142" s="21" t="s">
        <v>80</v>
      </c>
      <c r="AG142" s="21" t="s">
        <v>81</v>
      </c>
      <c r="AH142" s="122" t="s">
        <v>82</v>
      </c>
      <c r="AI142" s="122" t="s">
        <v>83</v>
      </c>
      <c r="AJ142" s="122" t="s">
        <v>84</v>
      </c>
      <c r="AK142" s="122" t="s">
        <v>85</v>
      </c>
      <c r="AL142" s="21" t="s">
        <v>86</v>
      </c>
      <c r="AM142" s="122" t="s">
        <v>78</v>
      </c>
    </row>
    <row r="143" spans="1:39" customFormat="1" ht="15.75" customHeight="1" x14ac:dyDescent="0.3">
      <c r="A143" t="s">
        <v>78</v>
      </c>
      <c r="B143" s="21" t="s">
        <v>773</v>
      </c>
      <c r="C143" s="21" t="s">
        <v>780</v>
      </c>
      <c r="D143" s="117" t="s">
        <v>197</v>
      </c>
      <c r="E143" s="21" t="s">
        <v>79</v>
      </c>
      <c r="F143" s="21" t="s">
        <v>316</v>
      </c>
      <c r="G143" s="21">
        <v>65</v>
      </c>
      <c r="H143" s="21"/>
      <c r="I143" s="117" t="s">
        <v>842</v>
      </c>
      <c r="J143" s="117" t="s">
        <v>325</v>
      </c>
      <c r="K143" s="118">
        <v>8.6999999999999993</v>
      </c>
      <c r="L143" s="21"/>
      <c r="M143" s="21"/>
      <c r="N143" s="21"/>
      <c r="O143" s="21"/>
      <c r="P143" s="21">
        <v>56.3</v>
      </c>
      <c r="Q143" s="21"/>
      <c r="R143" s="21" t="s">
        <v>329</v>
      </c>
      <c r="S143" s="119">
        <f>DATABASE_Table[[#This Row],[Inicial Asking Price (€) (Total)]]-DATABASE_Table[[#This Row],[Vista membership]]-DATABASE_Table[[#This Row],[FF&amp;E]]</f>
        <v>415000</v>
      </c>
      <c r="T143" s="120">
        <v>450000</v>
      </c>
      <c r="U143" s="36">
        <v>450000</v>
      </c>
      <c r="V143" s="21"/>
      <c r="W143" s="36">
        <v>35000</v>
      </c>
      <c r="X143" s="73">
        <f>DATABASE_Table[[#This Row],[Current Asking price( Total)]]-DATABASE_Table[[#This Row],[Vista membership]]-DATABASE_Table[[#This Row],[FF&amp;E]]</f>
        <v>415000</v>
      </c>
      <c r="Y143" s="37"/>
      <c r="Z143" s="36"/>
      <c r="AA143" s="73">
        <f>DATABASE_Table[[#This Row],[Sell price (Total)]]-DATABASE_Table[[#This Row],[FF&amp;E]]-DATABASE_Table[[#This Row],[Vista membership]]</f>
        <v>-35000</v>
      </c>
      <c r="AB143" s="74">
        <v>45792</v>
      </c>
      <c r="AC143" s="74" t="str">
        <f t="shared" si="2"/>
        <v>Q2 2025</v>
      </c>
      <c r="AD143" s="123"/>
      <c r="AE143" s="69">
        <v>47118</v>
      </c>
      <c r="AF143" s="21" t="s">
        <v>80</v>
      </c>
      <c r="AG143" s="21" t="s">
        <v>81</v>
      </c>
      <c r="AH143" s="122" t="s">
        <v>82</v>
      </c>
      <c r="AI143" s="122" t="s">
        <v>83</v>
      </c>
      <c r="AJ143" s="122" t="s">
        <v>84</v>
      </c>
      <c r="AK143" s="122" t="s">
        <v>85</v>
      </c>
      <c r="AL143" s="21" t="s">
        <v>86</v>
      </c>
      <c r="AM143" s="122" t="s">
        <v>78</v>
      </c>
    </row>
    <row r="144" spans="1:39" customFormat="1" ht="15.75" customHeight="1" x14ac:dyDescent="0.3">
      <c r="A144" t="s">
        <v>78</v>
      </c>
      <c r="B144" s="21" t="s">
        <v>773</v>
      </c>
      <c r="C144" s="21" t="s">
        <v>780</v>
      </c>
      <c r="D144" s="117" t="s">
        <v>198</v>
      </c>
      <c r="E144" s="21" t="s">
        <v>79</v>
      </c>
      <c r="F144" s="21" t="s">
        <v>315</v>
      </c>
      <c r="G144" s="21">
        <v>98.7</v>
      </c>
      <c r="H144" s="21"/>
      <c r="I144" s="117" t="s">
        <v>842</v>
      </c>
      <c r="J144" s="117" t="s">
        <v>325</v>
      </c>
      <c r="K144" s="118">
        <v>13.3</v>
      </c>
      <c r="L144" s="21"/>
      <c r="M144" s="21"/>
      <c r="N144" s="21"/>
      <c r="O144" s="21"/>
      <c r="P144" s="21">
        <v>85.4</v>
      </c>
      <c r="Q144" s="21"/>
      <c r="R144" s="21" t="s">
        <v>329</v>
      </c>
      <c r="S144" s="119">
        <f>DATABASE_Table[[#This Row],[Inicial Asking Price (€) (Total)]]-DATABASE_Table[[#This Row],[Vista membership]]-DATABASE_Table[[#This Row],[FF&amp;E]]</f>
        <v>625000</v>
      </c>
      <c r="T144" s="120">
        <v>670000</v>
      </c>
      <c r="U144" s="36">
        <v>670000</v>
      </c>
      <c r="V144" s="21"/>
      <c r="W144" s="36">
        <v>45000</v>
      </c>
      <c r="X144" s="73">
        <f>DATABASE_Table[[#This Row],[Current Asking price( Total)]]-DATABASE_Table[[#This Row],[Vista membership]]-DATABASE_Table[[#This Row],[FF&amp;E]]</f>
        <v>625000</v>
      </c>
      <c r="Y144" s="37"/>
      <c r="Z144" s="36"/>
      <c r="AA144" s="73">
        <f>DATABASE_Table[[#This Row],[Sell price (Total)]]-DATABASE_Table[[#This Row],[FF&amp;E]]-DATABASE_Table[[#This Row],[Vista membership]]</f>
        <v>-45000</v>
      </c>
      <c r="AB144" s="74">
        <v>45792</v>
      </c>
      <c r="AC144" s="74" t="str">
        <f t="shared" si="2"/>
        <v>Q2 2025</v>
      </c>
      <c r="AD144" s="123"/>
      <c r="AE144" s="69">
        <v>47118</v>
      </c>
      <c r="AF144" s="21" t="s">
        <v>80</v>
      </c>
      <c r="AG144" s="21" t="s">
        <v>81</v>
      </c>
      <c r="AH144" s="122" t="s">
        <v>82</v>
      </c>
      <c r="AI144" s="122" t="s">
        <v>83</v>
      </c>
      <c r="AJ144" s="122" t="s">
        <v>84</v>
      </c>
      <c r="AK144" s="122" t="s">
        <v>85</v>
      </c>
      <c r="AL144" s="21" t="s">
        <v>86</v>
      </c>
      <c r="AM144" s="122" t="s">
        <v>78</v>
      </c>
    </row>
    <row r="145" spans="1:39" customFormat="1" ht="15.75" customHeight="1" x14ac:dyDescent="0.3">
      <c r="A145" t="s">
        <v>78</v>
      </c>
      <c r="B145" s="21" t="s">
        <v>773</v>
      </c>
      <c r="C145" s="21" t="s">
        <v>780</v>
      </c>
      <c r="D145" s="117" t="s">
        <v>199</v>
      </c>
      <c r="E145" s="21" t="s">
        <v>79</v>
      </c>
      <c r="F145" s="21" t="s">
        <v>316</v>
      </c>
      <c r="G145" s="21">
        <v>72.5</v>
      </c>
      <c r="H145" s="21"/>
      <c r="I145" s="117" t="s">
        <v>842</v>
      </c>
      <c r="J145" s="117" t="s">
        <v>325</v>
      </c>
      <c r="K145" s="118">
        <v>12</v>
      </c>
      <c r="L145" s="21"/>
      <c r="M145" s="21"/>
      <c r="N145" s="21"/>
      <c r="O145" s="21"/>
      <c r="P145" s="21">
        <v>60.5</v>
      </c>
      <c r="Q145" s="21"/>
      <c r="R145" s="21" t="s">
        <v>329</v>
      </c>
      <c r="S145" s="119">
        <f>DATABASE_Table[[#This Row],[Inicial Asking Price (€) (Total)]]-DATABASE_Table[[#This Row],[Vista membership]]-DATABASE_Table[[#This Row],[FF&amp;E]]</f>
        <v>465000</v>
      </c>
      <c r="T145" s="120">
        <v>500000</v>
      </c>
      <c r="U145" s="36">
        <v>500000</v>
      </c>
      <c r="V145" s="21"/>
      <c r="W145" s="36">
        <v>35000</v>
      </c>
      <c r="X145" s="73">
        <f>DATABASE_Table[[#This Row],[Current Asking price( Total)]]-DATABASE_Table[[#This Row],[Vista membership]]-DATABASE_Table[[#This Row],[FF&amp;E]]</f>
        <v>465000</v>
      </c>
      <c r="Y145" s="37"/>
      <c r="Z145" s="36"/>
      <c r="AA145" s="73">
        <f>DATABASE_Table[[#This Row],[Sell price (Total)]]-DATABASE_Table[[#This Row],[FF&amp;E]]-DATABASE_Table[[#This Row],[Vista membership]]</f>
        <v>-35000</v>
      </c>
      <c r="AB145" s="74">
        <v>45792</v>
      </c>
      <c r="AC145" s="74" t="str">
        <f t="shared" si="2"/>
        <v>Q2 2025</v>
      </c>
      <c r="AD145" s="123"/>
      <c r="AE145" s="69">
        <v>47118</v>
      </c>
      <c r="AF145" s="21" t="s">
        <v>80</v>
      </c>
      <c r="AG145" s="21" t="s">
        <v>81</v>
      </c>
      <c r="AH145" s="122" t="s">
        <v>82</v>
      </c>
      <c r="AI145" s="122" t="s">
        <v>83</v>
      </c>
      <c r="AJ145" s="122" t="s">
        <v>84</v>
      </c>
      <c r="AK145" s="122" t="s">
        <v>85</v>
      </c>
      <c r="AL145" s="21" t="s">
        <v>86</v>
      </c>
      <c r="AM145" s="122" t="s">
        <v>78</v>
      </c>
    </row>
    <row r="146" spans="1:39" customFormat="1" ht="15.75" customHeight="1" x14ac:dyDescent="0.3">
      <c r="A146" t="s">
        <v>78</v>
      </c>
      <c r="B146" s="21" t="s">
        <v>773</v>
      </c>
      <c r="C146" s="21" t="s">
        <v>780</v>
      </c>
      <c r="D146" s="117" t="s">
        <v>200</v>
      </c>
      <c r="E146" s="21" t="s">
        <v>79</v>
      </c>
      <c r="F146" s="21" t="s">
        <v>315</v>
      </c>
      <c r="G146" s="21">
        <v>98.8</v>
      </c>
      <c r="H146" s="21"/>
      <c r="I146" s="117" t="s">
        <v>842</v>
      </c>
      <c r="J146" s="117" t="s">
        <v>325</v>
      </c>
      <c r="K146" s="118">
        <v>15.2</v>
      </c>
      <c r="L146" s="21"/>
      <c r="M146" s="21"/>
      <c r="N146" s="21"/>
      <c r="O146" s="21"/>
      <c r="P146" s="21">
        <v>83.6</v>
      </c>
      <c r="Q146" s="21"/>
      <c r="R146" s="21" t="s">
        <v>329</v>
      </c>
      <c r="S146" s="119">
        <f>DATABASE_Table[[#This Row],[Inicial Asking Price (€) (Total)]]-DATABASE_Table[[#This Row],[Vista membership]]-DATABASE_Table[[#This Row],[FF&amp;E]]</f>
        <v>630000</v>
      </c>
      <c r="T146" s="120">
        <v>675000</v>
      </c>
      <c r="U146" s="36">
        <v>675000</v>
      </c>
      <c r="V146" s="21"/>
      <c r="W146" s="36">
        <v>45000</v>
      </c>
      <c r="X146" s="73">
        <f>DATABASE_Table[[#This Row],[Current Asking price( Total)]]-DATABASE_Table[[#This Row],[Vista membership]]-DATABASE_Table[[#This Row],[FF&amp;E]]</f>
        <v>630000</v>
      </c>
      <c r="Y146" s="37"/>
      <c r="Z146" s="36"/>
      <c r="AA146" s="73">
        <f>DATABASE_Table[[#This Row],[Sell price (Total)]]-DATABASE_Table[[#This Row],[FF&amp;E]]-DATABASE_Table[[#This Row],[Vista membership]]</f>
        <v>-45000</v>
      </c>
      <c r="AB146" s="74">
        <v>45792</v>
      </c>
      <c r="AC146" s="74" t="str">
        <f t="shared" si="2"/>
        <v>Q2 2025</v>
      </c>
      <c r="AD146" s="123"/>
      <c r="AE146" s="69">
        <v>47118</v>
      </c>
      <c r="AF146" s="21" t="s">
        <v>80</v>
      </c>
      <c r="AG146" s="21" t="s">
        <v>81</v>
      </c>
      <c r="AH146" s="122" t="s">
        <v>82</v>
      </c>
      <c r="AI146" s="122" t="s">
        <v>83</v>
      </c>
      <c r="AJ146" s="122" t="s">
        <v>84</v>
      </c>
      <c r="AK146" s="122" t="s">
        <v>85</v>
      </c>
      <c r="AL146" s="21" t="s">
        <v>86</v>
      </c>
      <c r="AM146" s="122" t="s">
        <v>78</v>
      </c>
    </row>
    <row r="147" spans="1:39" customFormat="1" ht="15.75" customHeight="1" x14ac:dyDescent="0.3">
      <c r="A147" t="s">
        <v>78</v>
      </c>
      <c r="B147" s="21" t="s">
        <v>773</v>
      </c>
      <c r="C147" s="21" t="s">
        <v>780</v>
      </c>
      <c r="D147" s="117" t="s">
        <v>201</v>
      </c>
      <c r="E147" s="21" t="s">
        <v>79</v>
      </c>
      <c r="F147" s="21" t="s">
        <v>315</v>
      </c>
      <c r="G147" s="21">
        <v>98.8</v>
      </c>
      <c r="H147" s="21"/>
      <c r="I147" s="117" t="s">
        <v>842</v>
      </c>
      <c r="J147" s="117" t="s">
        <v>325</v>
      </c>
      <c r="K147" s="118">
        <v>15.2</v>
      </c>
      <c r="L147" s="21"/>
      <c r="M147" s="21"/>
      <c r="N147" s="21"/>
      <c r="O147" s="21"/>
      <c r="P147" s="21">
        <v>83.6</v>
      </c>
      <c r="Q147" s="21"/>
      <c r="R147" s="21" t="s">
        <v>329</v>
      </c>
      <c r="S147" s="119">
        <f>DATABASE_Table[[#This Row],[Inicial Asking Price (€) (Total)]]-DATABASE_Table[[#This Row],[Vista membership]]-DATABASE_Table[[#This Row],[FF&amp;E]]</f>
        <v>630000</v>
      </c>
      <c r="T147" s="120">
        <v>675000</v>
      </c>
      <c r="U147" s="36">
        <v>675000</v>
      </c>
      <c r="V147" s="21"/>
      <c r="W147" s="36">
        <v>45000</v>
      </c>
      <c r="X147" s="73">
        <f>DATABASE_Table[[#This Row],[Current Asking price( Total)]]-DATABASE_Table[[#This Row],[Vista membership]]-DATABASE_Table[[#This Row],[FF&amp;E]]</f>
        <v>630000</v>
      </c>
      <c r="Y147" s="37"/>
      <c r="Z147" s="36"/>
      <c r="AA147" s="73">
        <f>DATABASE_Table[[#This Row],[Sell price (Total)]]-DATABASE_Table[[#This Row],[FF&amp;E]]-DATABASE_Table[[#This Row],[Vista membership]]</f>
        <v>-45000</v>
      </c>
      <c r="AB147" s="74">
        <v>45792</v>
      </c>
      <c r="AC147" s="74" t="str">
        <f t="shared" si="2"/>
        <v>Q2 2025</v>
      </c>
      <c r="AD147" s="123"/>
      <c r="AE147" s="69">
        <v>47118</v>
      </c>
      <c r="AF147" s="21" t="s">
        <v>80</v>
      </c>
      <c r="AG147" s="21" t="s">
        <v>81</v>
      </c>
      <c r="AH147" s="122" t="s">
        <v>82</v>
      </c>
      <c r="AI147" s="122" t="s">
        <v>83</v>
      </c>
      <c r="AJ147" s="122" t="s">
        <v>84</v>
      </c>
      <c r="AK147" s="122" t="s">
        <v>85</v>
      </c>
      <c r="AL147" s="21" t="s">
        <v>86</v>
      </c>
      <c r="AM147" s="122" t="s">
        <v>78</v>
      </c>
    </row>
    <row r="148" spans="1:39" customFormat="1" ht="15.75" customHeight="1" x14ac:dyDescent="0.3">
      <c r="A148" t="s">
        <v>78</v>
      </c>
      <c r="B148" s="21" t="s">
        <v>773</v>
      </c>
      <c r="C148" s="21" t="s">
        <v>780</v>
      </c>
      <c r="D148" s="117" t="s">
        <v>202</v>
      </c>
      <c r="E148" s="21" t="s">
        <v>79</v>
      </c>
      <c r="F148" s="21" t="s">
        <v>315</v>
      </c>
      <c r="G148" s="21">
        <v>98.8</v>
      </c>
      <c r="H148" s="21"/>
      <c r="I148" s="117" t="s">
        <v>842</v>
      </c>
      <c r="J148" s="117" t="s">
        <v>325</v>
      </c>
      <c r="K148" s="118">
        <v>15.2</v>
      </c>
      <c r="L148" s="21"/>
      <c r="M148" s="21"/>
      <c r="N148" s="21"/>
      <c r="O148" s="21"/>
      <c r="P148" s="21">
        <v>83.6</v>
      </c>
      <c r="Q148" s="21"/>
      <c r="R148" s="21" t="s">
        <v>329</v>
      </c>
      <c r="S148" s="119">
        <f>DATABASE_Table[[#This Row],[Inicial Asking Price (€) (Total)]]-DATABASE_Table[[#This Row],[Vista membership]]-DATABASE_Table[[#This Row],[FF&amp;E]]</f>
        <v>630000</v>
      </c>
      <c r="T148" s="120">
        <v>675000</v>
      </c>
      <c r="U148" s="36">
        <v>675000</v>
      </c>
      <c r="V148" s="21"/>
      <c r="W148" s="36">
        <v>45000</v>
      </c>
      <c r="X148" s="73">
        <f>DATABASE_Table[[#This Row],[Current Asking price( Total)]]-DATABASE_Table[[#This Row],[Vista membership]]-DATABASE_Table[[#This Row],[FF&amp;E]]</f>
        <v>630000</v>
      </c>
      <c r="Y148" s="37"/>
      <c r="Z148" s="36"/>
      <c r="AA148" s="73">
        <f>DATABASE_Table[[#This Row],[Sell price (Total)]]-DATABASE_Table[[#This Row],[FF&amp;E]]-DATABASE_Table[[#This Row],[Vista membership]]</f>
        <v>-45000</v>
      </c>
      <c r="AB148" s="74">
        <v>45792</v>
      </c>
      <c r="AC148" s="74" t="str">
        <f t="shared" si="2"/>
        <v>Q2 2025</v>
      </c>
      <c r="AD148" s="123"/>
      <c r="AE148" s="69">
        <v>47118</v>
      </c>
      <c r="AF148" s="21" t="s">
        <v>80</v>
      </c>
      <c r="AG148" s="21" t="s">
        <v>81</v>
      </c>
      <c r="AH148" s="122" t="s">
        <v>82</v>
      </c>
      <c r="AI148" s="122" t="s">
        <v>83</v>
      </c>
      <c r="AJ148" s="122" t="s">
        <v>84</v>
      </c>
      <c r="AK148" s="122" t="s">
        <v>85</v>
      </c>
      <c r="AL148" s="21" t="s">
        <v>86</v>
      </c>
      <c r="AM148" s="122" t="s">
        <v>78</v>
      </c>
    </row>
    <row r="149" spans="1:39" customFormat="1" ht="15.75" customHeight="1" x14ac:dyDescent="0.3">
      <c r="A149" t="s">
        <v>78</v>
      </c>
      <c r="B149" s="21" t="s">
        <v>773</v>
      </c>
      <c r="C149" s="21" t="s">
        <v>780</v>
      </c>
      <c r="D149" s="117" t="s">
        <v>203</v>
      </c>
      <c r="E149" s="21" t="s">
        <v>79</v>
      </c>
      <c r="F149" s="21" t="s">
        <v>316</v>
      </c>
      <c r="G149" s="21">
        <v>72.5</v>
      </c>
      <c r="H149" s="21"/>
      <c r="I149" s="117" t="s">
        <v>842</v>
      </c>
      <c r="J149" s="117" t="s">
        <v>325</v>
      </c>
      <c r="K149" s="118">
        <v>12</v>
      </c>
      <c r="L149" s="21"/>
      <c r="M149" s="21"/>
      <c r="N149" s="21"/>
      <c r="O149" s="21"/>
      <c r="P149" s="21">
        <v>60.5</v>
      </c>
      <c r="Q149" s="21"/>
      <c r="R149" s="21" t="s">
        <v>329</v>
      </c>
      <c r="S149" s="119">
        <f>DATABASE_Table[[#This Row],[Inicial Asking Price (€) (Total)]]-DATABASE_Table[[#This Row],[Vista membership]]-DATABASE_Table[[#This Row],[FF&amp;E]]</f>
        <v>465000</v>
      </c>
      <c r="T149" s="120">
        <v>500000</v>
      </c>
      <c r="U149" s="36">
        <v>500000</v>
      </c>
      <c r="V149" s="21"/>
      <c r="W149" s="36">
        <v>35000</v>
      </c>
      <c r="X149" s="73">
        <f>DATABASE_Table[[#This Row],[Current Asking price( Total)]]-DATABASE_Table[[#This Row],[Vista membership]]-DATABASE_Table[[#This Row],[FF&amp;E]]</f>
        <v>465000</v>
      </c>
      <c r="Y149" s="37"/>
      <c r="Z149" s="36"/>
      <c r="AA149" s="73">
        <f>DATABASE_Table[[#This Row],[Sell price (Total)]]-DATABASE_Table[[#This Row],[FF&amp;E]]-DATABASE_Table[[#This Row],[Vista membership]]</f>
        <v>-35000</v>
      </c>
      <c r="AB149" s="74">
        <v>45792</v>
      </c>
      <c r="AC149" s="74" t="str">
        <f t="shared" si="2"/>
        <v>Q2 2025</v>
      </c>
      <c r="AD149" s="123"/>
      <c r="AE149" s="69">
        <v>47118</v>
      </c>
      <c r="AF149" s="21" t="s">
        <v>80</v>
      </c>
      <c r="AG149" s="21" t="s">
        <v>81</v>
      </c>
      <c r="AH149" s="122" t="s">
        <v>82</v>
      </c>
      <c r="AI149" s="122" t="s">
        <v>83</v>
      </c>
      <c r="AJ149" s="122" t="s">
        <v>84</v>
      </c>
      <c r="AK149" s="122" t="s">
        <v>85</v>
      </c>
      <c r="AL149" s="21" t="s">
        <v>86</v>
      </c>
      <c r="AM149" s="122" t="s">
        <v>78</v>
      </c>
    </row>
    <row r="150" spans="1:39" customFormat="1" ht="15.75" customHeight="1" x14ac:dyDescent="0.3">
      <c r="A150" t="s">
        <v>78</v>
      </c>
      <c r="B150" s="21" t="s">
        <v>773</v>
      </c>
      <c r="C150" s="21" t="s">
        <v>780</v>
      </c>
      <c r="D150" s="117" t="s">
        <v>204</v>
      </c>
      <c r="E150" s="21" t="s">
        <v>79</v>
      </c>
      <c r="F150" s="21" t="s">
        <v>315</v>
      </c>
      <c r="G150" s="21">
        <v>98.7</v>
      </c>
      <c r="H150" s="21"/>
      <c r="I150" s="117" t="s">
        <v>842</v>
      </c>
      <c r="J150" s="117" t="s">
        <v>325</v>
      </c>
      <c r="K150" s="118">
        <v>13.3</v>
      </c>
      <c r="L150" s="21"/>
      <c r="M150" s="21"/>
      <c r="N150" s="21"/>
      <c r="O150" s="21"/>
      <c r="P150" s="21">
        <v>85.4</v>
      </c>
      <c r="Q150" s="21"/>
      <c r="R150" s="21" t="s">
        <v>329</v>
      </c>
      <c r="S150" s="119">
        <f>DATABASE_Table[[#This Row],[Inicial Asking Price (€) (Total)]]-DATABASE_Table[[#This Row],[Vista membership]]-DATABASE_Table[[#This Row],[FF&amp;E]]</f>
        <v>650000</v>
      </c>
      <c r="T150" s="120">
        <v>695000</v>
      </c>
      <c r="U150" s="36">
        <v>695000</v>
      </c>
      <c r="V150" s="21"/>
      <c r="W150" s="36">
        <v>45000</v>
      </c>
      <c r="X150" s="73">
        <f>DATABASE_Table[[#This Row],[Current Asking price( Total)]]-DATABASE_Table[[#This Row],[Vista membership]]-DATABASE_Table[[#This Row],[FF&amp;E]]</f>
        <v>650000</v>
      </c>
      <c r="Y150" s="37"/>
      <c r="Z150" s="36"/>
      <c r="AA150" s="73">
        <f>DATABASE_Table[[#This Row],[Sell price (Total)]]-DATABASE_Table[[#This Row],[FF&amp;E]]-DATABASE_Table[[#This Row],[Vista membership]]</f>
        <v>-45000</v>
      </c>
      <c r="AB150" s="74">
        <v>45792</v>
      </c>
      <c r="AC150" s="74" t="str">
        <f t="shared" si="2"/>
        <v>Q2 2025</v>
      </c>
      <c r="AD150" s="123">
        <v>45936</v>
      </c>
      <c r="AE150" s="69">
        <v>47118</v>
      </c>
      <c r="AF150" s="21" t="s">
        <v>80</v>
      </c>
      <c r="AG150" s="21" t="s">
        <v>81</v>
      </c>
      <c r="AH150" s="122" t="s">
        <v>82</v>
      </c>
      <c r="AI150" s="122" t="s">
        <v>83</v>
      </c>
      <c r="AJ150" s="122" t="s">
        <v>84</v>
      </c>
      <c r="AK150" s="122" t="s">
        <v>85</v>
      </c>
      <c r="AL150" s="21" t="s">
        <v>86</v>
      </c>
      <c r="AM150" s="122" t="s">
        <v>78</v>
      </c>
    </row>
    <row r="151" spans="1:39" customFormat="1" ht="15.75" customHeight="1" x14ac:dyDescent="0.3">
      <c r="A151" t="s">
        <v>78</v>
      </c>
      <c r="B151" s="21" t="s">
        <v>773</v>
      </c>
      <c r="C151" s="21" t="s">
        <v>780</v>
      </c>
      <c r="D151" s="117" t="s">
        <v>205</v>
      </c>
      <c r="E151" s="21" t="s">
        <v>79</v>
      </c>
      <c r="F151" s="21" t="s">
        <v>316</v>
      </c>
      <c r="G151" s="21">
        <v>65</v>
      </c>
      <c r="H151" s="21"/>
      <c r="I151" s="117" t="s">
        <v>842</v>
      </c>
      <c r="J151" s="117" t="s">
        <v>325</v>
      </c>
      <c r="K151" s="118">
        <v>8.6999999999999993</v>
      </c>
      <c r="L151" s="21"/>
      <c r="M151" s="21"/>
      <c r="N151" s="21"/>
      <c r="O151" s="21"/>
      <c r="P151" s="21">
        <v>56.3</v>
      </c>
      <c r="Q151" s="21"/>
      <c r="R151" s="21" t="s">
        <v>329</v>
      </c>
      <c r="S151" s="119">
        <f>DATABASE_Table[[#This Row],[Inicial Asking Price (€) (Total)]]-DATABASE_Table[[#This Row],[Vista membership]]-DATABASE_Table[[#This Row],[FF&amp;E]]</f>
        <v>435000</v>
      </c>
      <c r="T151" s="120">
        <v>470000</v>
      </c>
      <c r="U151" s="36">
        <v>470000</v>
      </c>
      <c r="V151" s="21"/>
      <c r="W151" s="36">
        <v>35000</v>
      </c>
      <c r="X151" s="73">
        <f>DATABASE_Table[[#This Row],[Current Asking price( Total)]]-DATABASE_Table[[#This Row],[Vista membership]]-DATABASE_Table[[#This Row],[FF&amp;E]]</f>
        <v>435000</v>
      </c>
      <c r="Y151" s="37"/>
      <c r="Z151" s="36"/>
      <c r="AA151" s="73">
        <f>DATABASE_Table[[#This Row],[Sell price (Total)]]-DATABASE_Table[[#This Row],[FF&amp;E]]-DATABASE_Table[[#This Row],[Vista membership]]</f>
        <v>-35000</v>
      </c>
      <c r="AB151" s="74">
        <v>45792</v>
      </c>
      <c r="AC151" s="74" t="str">
        <f t="shared" si="2"/>
        <v>Q2 2025</v>
      </c>
      <c r="AD151" s="123"/>
      <c r="AE151" s="69">
        <v>47118</v>
      </c>
      <c r="AF151" s="21" t="s">
        <v>80</v>
      </c>
      <c r="AG151" s="21" t="s">
        <v>81</v>
      </c>
      <c r="AH151" s="122" t="s">
        <v>82</v>
      </c>
      <c r="AI151" s="122" t="s">
        <v>83</v>
      </c>
      <c r="AJ151" s="122" t="s">
        <v>84</v>
      </c>
      <c r="AK151" s="122" t="s">
        <v>85</v>
      </c>
      <c r="AL151" s="21" t="s">
        <v>86</v>
      </c>
      <c r="AM151" s="122" t="s">
        <v>78</v>
      </c>
    </row>
    <row r="152" spans="1:39" customFormat="1" ht="15.75" customHeight="1" x14ac:dyDescent="0.3">
      <c r="A152" t="s">
        <v>78</v>
      </c>
      <c r="B152" s="21" t="s">
        <v>773</v>
      </c>
      <c r="C152" s="21" t="s">
        <v>780</v>
      </c>
      <c r="D152" s="117" t="s">
        <v>206</v>
      </c>
      <c r="E152" s="21" t="s">
        <v>79</v>
      </c>
      <c r="F152" s="21" t="s">
        <v>316</v>
      </c>
      <c r="G152" s="21">
        <v>65</v>
      </c>
      <c r="H152" s="21"/>
      <c r="I152" s="117" t="s">
        <v>842</v>
      </c>
      <c r="J152" s="117" t="s">
        <v>325</v>
      </c>
      <c r="K152" s="118">
        <v>8.6999999999999993</v>
      </c>
      <c r="L152" s="21"/>
      <c r="M152" s="21"/>
      <c r="N152" s="21"/>
      <c r="O152" s="21"/>
      <c r="P152" s="21">
        <v>56.3</v>
      </c>
      <c r="Q152" s="21"/>
      <c r="R152" s="21" t="s">
        <v>329</v>
      </c>
      <c r="S152" s="119">
        <f>DATABASE_Table[[#This Row],[Inicial Asking Price (€) (Total)]]-DATABASE_Table[[#This Row],[Vista membership]]-DATABASE_Table[[#This Row],[FF&amp;E]]</f>
        <v>435000</v>
      </c>
      <c r="T152" s="120">
        <v>470000</v>
      </c>
      <c r="U152" s="36">
        <v>470000</v>
      </c>
      <c r="V152" s="21"/>
      <c r="W152" s="36">
        <v>35000</v>
      </c>
      <c r="X152" s="73">
        <f>DATABASE_Table[[#This Row],[Current Asking price( Total)]]-DATABASE_Table[[#This Row],[Vista membership]]-DATABASE_Table[[#This Row],[FF&amp;E]]</f>
        <v>435000</v>
      </c>
      <c r="Y152" s="37"/>
      <c r="Z152" s="36"/>
      <c r="AA152" s="73">
        <f>DATABASE_Table[[#This Row],[Sell price (Total)]]-DATABASE_Table[[#This Row],[FF&amp;E]]-DATABASE_Table[[#This Row],[Vista membership]]</f>
        <v>-35000</v>
      </c>
      <c r="AB152" s="74">
        <v>45792</v>
      </c>
      <c r="AC152" s="74" t="str">
        <f t="shared" si="2"/>
        <v>Q2 2025</v>
      </c>
      <c r="AD152" s="123"/>
      <c r="AE152" s="69">
        <v>47118</v>
      </c>
      <c r="AF152" s="21" t="s">
        <v>80</v>
      </c>
      <c r="AG152" s="21" t="s">
        <v>81</v>
      </c>
      <c r="AH152" s="122" t="s">
        <v>82</v>
      </c>
      <c r="AI152" s="122" t="s">
        <v>83</v>
      </c>
      <c r="AJ152" s="122" t="s">
        <v>84</v>
      </c>
      <c r="AK152" s="122" t="s">
        <v>85</v>
      </c>
      <c r="AL152" s="21" t="s">
        <v>86</v>
      </c>
      <c r="AM152" s="122" t="s">
        <v>78</v>
      </c>
    </row>
    <row r="153" spans="1:39" customFormat="1" ht="15.75" customHeight="1" x14ac:dyDescent="0.3">
      <c r="A153" t="s">
        <v>78</v>
      </c>
      <c r="B153" s="21" t="s">
        <v>773</v>
      </c>
      <c r="C153" s="21" t="s">
        <v>780</v>
      </c>
      <c r="D153" s="117" t="s">
        <v>207</v>
      </c>
      <c r="E153" s="21" t="s">
        <v>79</v>
      </c>
      <c r="F153" s="21" t="s">
        <v>316</v>
      </c>
      <c r="G153" s="21">
        <v>65</v>
      </c>
      <c r="H153" s="21"/>
      <c r="I153" s="117" t="s">
        <v>842</v>
      </c>
      <c r="J153" s="117" t="s">
        <v>325</v>
      </c>
      <c r="K153" s="118">
        <v>8.6999999999999993</v>
      </c>
      <c r="L153" s="21"/>
      <c r="M153" s="21"/>
      <c r="N153" s="21"/>
      <c r="O153" s="21"/>
      <c r="P153" s="21">
        <v>56.3</v>
      </c>
      <c r="Q153" s="21"/>
      <c r="R153" s="21" t="s">
        <v>329</v>
      </c>
      <c r="S153" s="119">
        <f>DATABASE_Table[[#This Row],[Inicial Asking Price (€) (Total)]]-DATABASE_Table[[#This Row],[Vista membership]]-DATABASE_Table[[#This Row],[FF&amp;E]]</f>
        <v>435000</v>
      </c>
      <c r="T153" s="120">
        <v>470000</v>
      </c>
      <c r="U153" s="36">
        <v>470000</v>
      </c>
      <c r="V153" s="21"/>
      <c r="W153" s="36">
        <v>35000</v>
      </c>
      <c r="X153" s="73">
        <f>DATABASE_Table[[#This Row],[Current Asking price( Total)]]-DATABASE_Table[[#This Row],[Vista membership]]-DATABASE_Table[[#This Row],[FF&amp;E]]</f>
        <v>435000</v>
      </c>
      <c r="Y153" s="37"/>
      <c r="Z153" s="36"/>
      <c r="AA153" s="73">
        <f>DATABASE_Table[[#This Row],[Sell price (Total)]]-DATABASE_Table[[#This Row],[FF&amp;E]]-DATABASE_Table[[#This Row],[Vista membership]]</f>
        <v>-35000</v>
      </c>
      <c r="AB153" s="74">
        <v>45792</v>
      </c>
      <c r="AC153" s="74" t="str">
        <f t="shared" si="2"/>
        <v>Q2 2025</v>
      </c>
      <c r="AD153" s="123"/>
      <c r="AE153" s="69">
        <v>47118</v>
      </c>
      <c r="AF153" s="21" t="s">
        <v>80</v>
      </c>
      <c r="AG153" s="21" t="s">
        <v>81</v>
      </c>
      <c r="AH153" s="122" t="s">
        <v>82</v>
      </c>
      <c r="AI153" s="122" t="s">
        <v>83</v>
      </c>
      <c r="AJ153" s="122" t="s">
        <v>84</v>
      </c>
      <c r="AK153" s="122" t="s">
        <v>85</v>
      </c>
      <c r="AL153" s="21" t="s">
        <v>86</v>
      </c>
      <c r="AM153" s="122" t="s">
        <v>78</v>
      </c>
    </row>
    <row r="154" spans="1:39" customFormat="1" ht="15.75" customHeight="1" x14ac:dyDescent="0.3">
      <c r="A154" t="s">
        <v>78</v>
      </c>
      <c r="B154" s="21" t="s">
        <v>773</v>
      </c>
      <c r="C154" s="21" t="s">
        <v>780</v>
      </c>
      <c r="D154" s="117" t="s">
        <v>208</v>
      </c>
      <c r="E154" s="21" t="s">
        <v>79</v>
      </c>
      <c r="F154" s="21" t="s">
        <v>316</v>
      </c>
      <c r="G154" s="21">
        <v>65</v>
      </c>
      <c r="H154" s="21"/>
      <c r="I154" s="117" t="s">
        <v>842</v>
      </c>
      <c r="J154" s="117" t="s">
        <v>325</v>
      </c>
      <c r="K154" s="118">
        <v>8.6999999999999993</v>
      </c>
      <c r="L154" s="21"/>
      <c r="M154" s="21"/>
      <c r="N154" s="21"/>
      <c r="O154" s="21"/>
      <c r="P154" s="21">
        <v>56.3</v>
      </c>
      <c r="Q154" s="21"/>
      <c r="R154" s="21" t="s">
        <v>329</v>
      </c>
      <c r="S154" s="119">
        <f>DATABASE_Table[[#This Row],[Inicial Asking Price (€) (Total)]]-DATABASE_Table[[#This Row],[Vista membership]]-DATABASE_Table[[#This Row],[FF&amp;E]]</f>
        <v>435000</v>
      </c>
      <c r="T154" s="120">
        <v>470000</v>
      </c>
      <c r="U154" s="36">
        <v>470000</v>
      </c>
      <c r="V154" s="21"/>
      <c r="W154" s="36">
        <v>35000</v>
      </c>
      <c r="X154" s="73">
        <f>DATABASE_Table[[#This Row],[Current Asking price( Total)]]-DATABASE_Table[[#This Row],[Vista membership]]-DATABASE_Table[[#This Row],[FF&amp;E]]</f>
        <v>435000</v>
      </c>
      <c r="Y154" s="37"/>
      <c r="Z154" s="36"/>
      <c r="AA154" s="73">
        <f>DATABASE_Table[[#This Row],[Sell price (Total)]]-DATABASE_Table[[#This Row],[FF&amp;E]]-DATABASE_Table[[#This Row],[Vista membership]]</f>
        <v>-35000</v>
      </c>
      <c r="AB154" s="74">
        <v>45792</v>
      </c>
      <c r="AC154" s="74" t="str">
        <f t="shared" si="2"/>
        <v>Q2 2025</v>
      </c>
      <c r="AD154" s="123"/>
      <c r="AE154" s="69">
        <v>47118</v>
      </c>
      <c r="AF154" s="21" t="s">
        <v>80</v>
      </c>
      <c r="AG154" s="21" t="s">
        <v>81</v>
      </c>
      <c r="AH154" s="122" t="s">
        <v>82</v>
      </c>
      <c r="AI154" s="122" t="s">
        <v>83</v>
      </c>
      <c r="AJ154" s="122" t="s">
        <v>84</v>
      </c>
      <c r="AK154" s="122" t="s">
        <v>85</v>
      </c>
      <c r="AL154" s="21" t="s">
        <v>86</v>
      </c>
      <c r="AM154" s="122" t="s">
        <v>78</v>
      </c>
    </row>
    <row r="155" spans="1:39" customFormat="1" ht="15.75" customHeight="1" x14ac:dyDescent="0.3">
      <c r="A155" t="s">
        <v>78</v>
      </c>
      <c r="B155" s="21" t="s">
        <v>773</v>
      </c>
      <c r="C155" s="21" t="s">
        <v>780</v>
      </c>
      <c r="D155" s="117" t="s">
        <v>209</v>
      </c>
      <c r="E155" s="21" t="s">
        <v>79</v>
      </c>
      <c r="F155" s="21" t="s">
        <v>316</v>
      </c>
      <c r="G155" s="21">
        <v>65</v>
      </c>
      <c r="H155" s="21"/>
      <c r="I155" s="117" t="s">
        <v>842</v>
      </c>
      <c r="J155" s="117" t="s">
        <v>325</v>
      </c>
      <c r="K155" s="118">
        <v>8.6999999999999993</v>
      </c>
      <c r="L155" s="21"/>
      <c r="M155" s="21"/>
      <c r="N155" s="21"/>
      <c r="O155" s="21"/>
      <c r="P155" s="21">
        <v>56.3</v>
      </c>
      <c r="Q155" s="21"/>
      <c r="R155" s="21" t="s">
        <v>329</v>
      </c>
      <c r="S155" s="119">
        <f>DATABASE_Table[[#This Row],[Inicial Asking Price (€) (Total)]]-DATABASE_Table[[#This Row],[Vista membership]]-DATABASE_Table[[#This Row],[FF&amp;E]]</f>
        <v>435000</v>
      </c>
      <c r="T155" s="120">
        <v>470000</v>
      </c>
      <c r="U155" s="36">
        <v>470000</v>
      </c>
      <c r="V155" s="21"/>
      <c r="W155" s="36">
        <v>35000</v>
      </c>
      <c r="X155" s="73">
        <f>DATABASE_Table[[#This Row],[Current Asking price( Total)]]-DATABASE_Table[[#This Row],[Vista membership]]-DATABASE_Table[[#This Row],[FF&amp;E]]</f>
        <v>435000</v>
      </c>
      <c r="Y155" s="37"/>
      <c r="Z155" s="36"/>
      <c r="AA155" s="73">
        <f>DATABASE_Table[[#This Row],[Sell price (Total)]]-DATABASE_Table[[#This Row],[FF&amp;E]]-DATABASE_Table[[#This Row],[Vista membership]]</f>
        <v>-35000</v>
      </c>
      <c r="AB155" s="74">
        <v>45792</v>
      </c>
      <c r="AC155" s="74" t="str">
        <f t="shared" si="2"/>
        <v>Q2 2025</v>
      </c>
      <c r="AD155" s="123"/>
      <c r="AE155" s="69">
        <v>47118</v>
      </c>
      <c r="AF155" s="21" t="s">
        <v>80</v>
      </c>
      <c r="AG155" s="21" t="s">
        <v>81</v>
      </c>
      <c r="AH155" s="122" t="s">
        <v>82</v>
      </c>
      <c r="AI155" s="122" t="s">
        <v>83</v>
      </c>
      <c r="AJ155" s="122" t="s">
        <v>84</v>
      </c>
      <c r="AK155" s="122" t="s">
        <v>85</v>
      </c>
      <c r="AL155" s="21" t="s">
        <v>86</v>
      </c>
      <c r="AM155" s="122" t="s">
        <v>78</v>
      </c>
    </row>
    <row r="156" spans="1:39" customFormat="1" ht="15.75" customHeight="1" x14ac:dyDescent="0.3">
      <c r="A156" t="s">
        <v>78</v>
      </c>
      <c r="B156" s="21" t="s">
        <v>773</v>
      </c>
      <c r="C156" s="21" t="s">
        <v>780</v>
      </c>
      <c r="D156" s="117" t="s">
        <v>210</v>
      </c>
      <c r="E156" s="21" t="s">
        <v>79</v>
      </c>
      <c r="F156" s="21" t="s">
        <v>316</v>
      </c>
      <c r="G156" s="21">
        <v>65</v>
      </c>
      <c r="H156" s="21"/>
      <c r="I156" s="117" t="s">
        <v>842</v>
      </c>
      <c r="J156" s="117" t="s">
        <v>325</v>
      </c>
      <c r="K156" s="118">
        <v>8.6999999999999993</v>
      </c>
      <c r="L156" s="21"/>
      <c r="M156" s="21"/>
      <c r="N156" s="21"/>
      <c r="O156" s="21"/>
      <c r="P156" s="21">
        <v>56.3</v>
      </c>
      <c r="Q156" s="21"/>
      <c r="R156" s="21" t="s">
        <v>329</v>
      </c>
      <c r="S156" s="119">
        <f>DATABASE_Table[[#This Row],[Inicial Asking Price (€) (Total)]]-DATABASE_Table[[#This Row],[Vista membership]]-DATABASE_Table[[#This Row],[FF&amp;E]]</f>
        <v>435000</v>
      </c>
      <c r="T156" s="120">
        <v>470000</v>
      </c>
      <c r="U156" s="36">
        <v>470000</v>
      </c>
      <c r="V156" s="21"/>
      <c r="W156" s="36">
        <v>35000</v>
      </c>
      <c r="X156" s="73">
        <f>DATABASE_Table[[#This Row],[Current Asking price( Total)]]-DATABASE_Table[[#This Row],[Vista membership]]-DATABASE_Table[[#This Row],[FF&amp;E]]</f>
        <v>435000</v>
      </c>
      <c r="Y156" s="37"/>
      <c r="Z156" s="36"/>
      <c r="AA156" s="73">
        <f>DATABASE_Table[[#This Row],[Sell price (Total)]]-DATABASE_Table[[#This Row],[FF&amp;E]]-DATABASE_Table[[#This Row],[Vista membership]]</f>
        <v>-35000</v>
      </c>
      <c r="AB156" s="74">
        <v>45792</v>
      </c>
      <c r="AC156" s="74" t="str">
        <f t="shared" si="2"/>
        <v>Q2 2025</v>
      </c>
      <c r="AD156" s="123"/>
      <c r="AE156" s="69">
        <v>47118</v>
      </c>
      <c r="AF156" s="21" t="s">
        <v>80</v>
      </c>
      <c r="AG156" s="21" t="s">
        <v>81</v>
      </c>
      <c r="AH156" s="122" t="s">
        <v>82</v>
      </c>
      <c r="AI156" s="122" t="s">
        <v>83</v>
      </c>
      <c r="AJ156" s="122" t="s">
        <v>84</v>
      </c>
      <c r="AK156" s="122" t="s">
        <v>85</v>
      </c>
      <c r="AL156" s="21" t="s">
        <v>86</v>
      </c>
      <c r="AM156" s="122" t="s">
        <v>78</v>
      </c>
    </row>
    <row r="157" spans="1:39" customFormat="1" ht="15.75" customHeight="1" x14ac:dyDescent="0.3">
      <c r="A157" t="s">
        <v>78</v>
      </c>
      <c r="B157" s="21" t="s">
        <v>773</v>
      </c>
      <c r="C157" s="21" t="s">
        <v>780</v>
      </c>
      <c r="D157" s="117" t="s">
        <v>211</v>
      </c>
      <c r="E157" s="21" t="s">
        <v>79</v>
      </c>
      <c r="F157" s="21" t="s">
        <v>316</v>
      </c>
      <c r="G157" s="21">
        <v>65</v>
      </c>
      <c r="H157" s="21"/>
      <c r="I157" s="117" t="s">
        <v>842</v>
      </c>
      <c r="J157" s="117" t="s">
        <v>325</v>
      </c>
      <c r="K157" s="118">
        <v>8.6999999999999993</v>
      </c>
      <c r="L157" s="21"/>
      <c r="M157" s="21"/>
      <c r="N157" s="21"/>
      <c r="O157" s="21"/>
      <c r="P157" s="21">
        <v>56.3</v>
      </c>
      <c r="Q157" s="21"/>
      <c r="R157" s="21" t="s">
        <v>329</v>
      </c>
      <c r="S157" s="119">
        <f>DATABASE_Table[[#This Row],[Inicial Asking Price (€) (Total)]]-DATABASE_Table[[#This Row],[Vista membership]]-DATABASE_Table[[#This Row],[FF&amp;E]]</f>
        <v>435000</v>
      </c>
      <c r="T157" s="120">
        <v>470000</v>
      </c>
      <c r="U157" s="36">
        <v>470000</v>
      </c>
      <c r="V157" s="21"/>
      <c r="W157" s="36">
        <v>35000</v>
      </c>
      <c r="X157" s="73">
        <f>DATABASE_Table[[#This Row],[Current Asking price( Total)]]-DATABASE_Table[[#This Row],[Vista membership]]-DATABASE_Table[[#This Row],[FF&amp;E]]</f>
        <v>435000</v>
      </c>
      <c r="Y157" s="37"/>
      <c r="Z157" s="36"/>
      <c r="AA157" s="73">
        <f>DATABASE_Table[[#This Row],[Sell price (Total)]]-DATABASE_Table[[#This Row],[FF&amp;E]]-DATABASE_Table[[#This Row],[Vista membership]]</f>
        <v>-35000</v>
      </c>
      <c r="AB157" s="74">
        <v>45792</v>
      </c>
      <c r="AC157" s="74" t="str">
        <f t="shared" si="2"/>
        <v>Q2 2025</v>
      </c>
      <c r="AD157" s="123"/>
      <c r="AE157" s="69">
        <v>47118</v>
      </c>
      <c r="AF157" s="21" t="s">
        <v>80</v>
      </c>
      <c r="AG157" s="21" t="s">
        <v>81</v>
      </c>
      <c r="AH157" s="122" t="s">
        <v>82</v>
      </c>
      <c r="AI157" s="122" t="s">
        <v>83</v>
      </c>
      <c r="AJ157" s="122" t="s">
        <v>84</v>
      </c>
      <c r="AK157" s="122" t="s">
        <v>85</v>
      </c>
      <c r="AL157" s="21" t="s">
        <v>86</v>
      </c>
      <c r="AM157" s="122" t="s">
        <v>78</v>
      </c>
    </row>
    <row r="158" spans="1:39" customFormat="1" ht="15.75" customHeight="1" x14ac:dyDescent="0.3">
      <c r="A158" t="s">
        <v>78</v>
      </c>
      <c r="B158" s="21" t="s">
        <v>773</v>
      </c>
      <c r="C158" s="21" t="s">
        <v>780</v>
      </c>
      <c r="D158" s="117" t="s">
        <v>212</v>
      </c>
      <c r="E158" s="21" t="s">
        <v>79</v>
      </c>
      <c r="F158" s="21" t="s">
        <v>315</v>
      </c>
      <c r="G158" s="21">
        <v>98.7</v>
      </c>
      <c r="H158" s="21"/>
      <c r="I158" s="117" t="s">
        <v>842</v>
      </c>
      <c r="J158" s="117" t="s">
        <v>325</v>
      </c>
      <c r="K158" s="118">
        <v>13.3</v>
      </c>
      <c r="L158" s="21"/>
      <c r="M158" s="21"/>
      <c r="N158" s="21"/>
      <c r="O158" s="21"/>
      <c r="P158" s="21">
        <v>85.4</v>
      </c>
      <c r="Q158" s="21"/>
      <c r="R158" s="21" t="s">
        <v>329</v>
      </c>
      <c r="S158" s="119">
        <f>DATABASE_Table[[#This Row],[Inicial Asking Price (€) (Total)]]-DATABASE_Table[[#This Row],[Vista membership]]-DATABASE_Table[[#This Row],[FF&amp;E]]</f>
        <v>650000</v>
      </c>
      <c r="T158" s="120">
        <v>695000</v>
      </c>
      <c r="U158" s="36">
        <v>695000</v>
      </c>
      <c r="V158" s="21"/>
      <c r="W158" s="36">
        <v>45000</v>
      </c>
      <c r="X158" s="73">
        <f>DATABASE_Table[[#This Row],[Current Asking price( Total)]]-DATABASE_Table[[#This Row],[Vista membership]]-DATABASE_Table[[#This Row],[FF&amp;E]]</f>
        <v>650000</v>
      </c>
      <c r="Y158" s="37"/>
      <c r="Z158" s="36"/>
      <c r="AA158" s="73">
        <f>DATABASE_Table[[#This Row],[Sell price (Total)]]-DATABASE_Table[[#This Row],[FF&amp;E]]-DATABASE_Table[[#This Row],[Vista membership]]</f>
        <v>-45000</v>
      </c>
      <c r="AB158" s="74">
        <v>45792</v>
      </c>
      <c r="AC158" s="74" t="str">
        <f t="shared" si="2"/>
        <v>Q2 2025</v>
      </c>
      <c r="AD158" s="123">
        <v>45985</v>
      </c>
      <c r="AE158" s="69">
        <v>47118</v>
      </c>
      <c r="AF158" s="21" t="s">
        <v>80</v>
      </c>
      <c r="AG158" s="21" t="s">
        <v>81</v>
      </c>
      <c r="AH158" s="122" t="s">
        <v>82</v>
      </c>
      <c r="AI158" s="122" t="s">
        <v>83</v>
      </c>
      <c r="AJ158" s="122" t="s">
        <v>84</v>
      </c>
      <c r="AK158" s="122" t="s">
        <v>85</v>
      </c>
      <c r="AL158" s="21" t="s">
        <v>86</v>
      </c>
      <c r="AM158" s="122" t="s">
        <v>78</v>
      </c>
    </row>
    <row r="159" spans="1:39" customFormat="1" ht="15.75" customHeight="1" x14ac:dyDescent="0.3">
      <c r="A159" t="s">
        <v>78</v>
      </c>
      <c r="B159" s="21" t="s">
        <v>773</v>
      </c>
      <c r="C159" s="21" t="s">
        <v>780</v>
      </c>
      <c r="D159" s="117" t="s">
        <v>214</v>
      </c>
      <c r="E159" s="21" t="s">
        <v>79</v>
      </c>
      <c r="F159" s="21" t="s">
        <v>315</v>
      </c>
      <c r="G159" s="21">
        <v>98.8</v>
      </c>
      <c r="H159" s="21"/>
      <c r="I159" s="117" t="s">
        <v>842</v>
      </c>
      <c r="J159" s="117" t="s">
        <v>325</v>
      </c>
      <c r="K159" s="118">
        <v>15.2</v>
      </c>
      <c r="L159" s="21"/>
      <c r="M159" s="21"/>
      <c r="N159" s="21"/>
      <c r="O159" s="21"/>
      <c r="P159" s="21">
        <v>83.6</v>
      </c>
      <c r="Q159" s="21"/>
      <c r="R159" s="21" t="s">
        <v>329</v>
      </c>
      <c r="S159" s="119">
        <f>DATABASE_Table[[#This Row],[Inicial Asking Price (€) (Total)]]-DATABASE_Table[[#This Row],[Vista membership]]-DATABASE_Table[[#This Row],[FF&amp;E]]</f>
        <v>630000</v>
      </c>
      <c r="T159" s="120">
        <v>675000</v>
      </c>
      <c r="U159" s="36">
        <v>675000</v>
      </c>
      <c r="V159" s="21"/>
      <c r="W159" s="36">
        <v>45000</v>
      </c>
      <c r="X159" s="73">
        <f>DATABASE_Table[[#This Row],[Current Asking price( Total)]]-DATABASE_Table[[#This Row],[Vista membership]]-DATABASE_Table[[#This Row],[FF&amp;E]]</f>
        <v>630000</v>
      </c>
      <c r="Y159" s="37"/>
      <c r="Z159" s="36"/>
      <c r="AA159" s="73">
        <f>DATABASE_Table[[#This Row],[Sell price (Total)]]-DATABASE_Table[[#This Row],[FF&amp;E]]-DATABASE_Table[[#This Row],[Vista membership]]</f>
        <v>-45000</v>
      </c>
      <c r="AB159" s="74">
        <v>45792</v>
      </c>
      <c r="AC159" s="74" t="str">
        <f t="shared" si="2"/>
        <v>Q2 2025</v>
      </c>
      <c r="AD159" s="123"/>
      <c r="AE159" s="69">
        <v>47118</v>
      </c>
      <c r="AF159" s="21" t="s">
        <v>80</v>
      </c>
      <c r="AG159" s="21" t="s">
        <v>81</v>
      </c>
      <c r="AH159" s="122" t="s">
        <v>82</v>
      </c>
      <c r="AI159" s="122" t="s">
        <v>83</v>
      </c>
      <c r="AJ159" s="122" t="s">
        <v>84</v>
      </c>
      <c r="AK159" s="122" t="s">
        <v>85</v>
      </c>
      <c r="AL159" s="21" t="s">
        <v>86</v>
      </c>
      <c r="AM159" s="122" t="s">
        <v>78</v>
      </c>
    </row>
    <row r="160" spans="1:39" customFormat="1" ht="15.75" customHeight="1" x14ac:dyDescent="0.3">
      <c r="A160" t="s">
        <v>78</v>
      </c>
      <c r="B160" s="21" t="s">
        <v>773</v>
      </c>
      <c r="C160" s="21" t="s">
        <v>780</v>
      </c>
      <c r="D160" s="117" t="s">
        <v>215</v>
      </c>
      <c r="E160" s="21" t="s">
        <v>79</v>
      </c>
      <c r="F160" s="21" t="s">
        <v>315</v>
      </c>
      <c r="G160" s="21">
        <v>98.8</v>
      </c>
      <c r="H160" s="21"/>
      <c r="I160" s="117" t="s">
        <v>842</v>
      </c>
      <c r="J160" s="117" t="s">
        <v>325</v>
      </c>
      <c r="K160" s="118">
        <v>15.2</v>
      </c>
      <c r="L160" s="21"/>
      <c r="M160" s="21"/>
      <c r="N160" s="21"/>
      <c r="O160" s="21"/>
      <c r="P160" s="21">
        <v>83.6</v>
      </c>
      <c r="Q160" s="21"/>
      <c r="R160" s="21" t="s">
        <v>329</v>
      </c>
      <c r="S160" s="119">
        <f>DATABASE_Table[[#This Row],[Inicial Asking Price (€) (Total)]]-DATABASE_Table[[#This Row],[Vista membership]]-DATABASE_Table[[#This Row],[FF&amp;E]]</f>
        <v>630000</v>
      </c>
      <c r="T160" s="120">
        <v>675000</v>
      </c>
      <c r="U160" s="36">
        <v>675000</v>
      </c>
      <c r="V160" s="21"/>
      <c r="W160" s="36">
        <v>45000</v>
      </c>
      <c r="X160" s="73">
        <f>DATABASE_Table[[#This Row],[Current Asking price( Total)]]-DATABASE_Table[[#This Row],[Vista membership]]-DATABASE_Table[[#This Row],[FF&amp;E]]</f>
        <v>630000</v>
      </c>
      <c r="Y160" s="37"/>
      <c r="Z160" s="36"/>
      <c r="AA160" s="73">
        <f>DATABASE_Table[[#This Row],[Sell price (Total)]]-DATABASE_Table[[#This Row],[FF&amp;E]]-DATABASE_Table[[#This Row],[Vista membership]]</f>
        <v>-45000</v>
      </c>
      <c r="AB160" s="74">
        <v>45792</v>
      </c>
      <c r="AC160" s="74" t="str">
        <f t="shared" si="2"/>
        <v>Q2 2025</v>
      </c>
      <c r="AD160" s="123"/>
      <c r="AE160" s="69">
        <v>47118</v>
      </c>
      <c r="AF160" s="21" t="s">
        <v>80</v>
      </c>
      <c r="AG160" s="21" t="s">
        <v>81</v>
      </c>
      <c r="AH160" s="122" t="s">
        <v>82</v>
      </c>
      <c r="AI160" s="122" t="s">
        <v>83</v>
      </c>
      <c r="AJ160" s="122" t="s">
        <v>84</v>
      </c>
      <c r="AK160" s="122" t="s">
        <v>85</v>
      </c>
      <c r="AL160" s="21" t="s">
        <v>86</v>
      </c>
      <c r="AM160" s="122" t="s">
        <v>78</v>
      </c>
    </row>
    <row r="161" spans="1:39" customFormat="1" ht="15.75" customHeight="1" x14ac:dyDescent="0.3">
      <c r="A161" t="s">
        <v>78</v>
      </c>
      <c r="B161" s="21" t="s">
        <v>773</v>
      </c>
      <c r="C161" s="21" t="s">
        <v>780</v>
      </c>
      <c r="D161" s="117" t="s">
        <v>216</v>
      </c>
      <c r="E161" s="21" t="s">
        <v>79</v>
      </c>
      <c r="F161" s="21" t="s">
        <v>315</v>
      </c>
      <c r="G161" s="21">
        <v>98.8</v>
      </c>
      <c r="H161" s="21"/>
      <c r="I161" s="117" t="s">
        <v>842</v>
      </c>
      <c r="J161" s="117" t="s">
        <v>325</v>
      </c>
      <c r="K161" s="118">
        <v>15.2</v>
      </c>
      <c r="L161" s="21"/>
      <c r="M161" s="21"/>
      <c r="N161" s="21"/>
      <c r="O161" s="21"/>
      <c r="P161" s="21">
        <v>83.6</v>
      </c>
      <c r="Q161" s="21"/>
      <c r="R161" s="21" t="s">
        <v>329</v>
      </c>
      <c r="S161" s="119">
        <f>DATABASE_Table[[#This Row],[Inicial Asking Price (€) (Total)]]-DATABASE_Table[[#This Row],[Vista membership]]-DATABASE_Table[[#This Row],[FF&amp;E]]</f>
        <v>630000</v>
      </c>
      <c r="T161" s="120">
        <v>675000</v>
      </c>
      <c r="U161" s="36">
        <v>675000</v>
      </c>
      <c r="V161" s="21"/>
      <c r="W161" s="36">
        <v>45000</v>
      </c>
      <c r="X161" s="73">
        <f>DATABASE_Table[[#This Row],[Current Asking price( Total)]]-DATABASE_Table[[#This Row],[Vista membership]]-DATABASE_Table[[#This Row],[FF&amp;E]]</f>
        <v>630000</v>
      </c>
      <c r="Y161" s="37"/>
      <c r="Z161" s="36"/>
      <c r="AA161" s="73">
        <f>DATABASE_Table[[#This Row],[Sell price (Total)]]-DATABASE_Table[[#This Row],[FF&amp;E]]-DATABASE_Table[[#This Row],[Vista membership]]</f>
        <v>-45000</v>
      </c>
      <c r="AB161" s="74">
        <v>45792</v>
      </c>
      <c r="AC161" s="74" t="str">
        <f t="shared" si="2"/>
        <v>Q2 2025</v>
      </c>
      <c r="AD161" s="123"/>
      <c r="AE161" s="69">
        <v>47118</v>
      </c>
      <c r="AF161" s="21" t="s">
        <v>80</v>
      </c>
      <c r="AG161" s="21" t="s">
        <v>81</v>
      </c>
      <c r="AH161" s="122" t="s">
        <v>82</v>
      </c>
      <c r="AI161" s="122" t="s">
        <v>83</v>
      </c>
      <c r="AJ161" s="122" t="s">
        <v>84</v>
      </c>
      <c r="AK161" s="122" t="s">
        <v>85</v>
      </c>
      <c r="AL161" s="21" t="s">
        <v>86</v>
      </c>
      <c r="AM161" s="122" t="s">
        <v>78</v>
      </c>
    </row>
    <row r="162" spans="1:39" customFormat="1" ht="15.75" customHeight="1" x14ac:dyDescent="0.3">
      <c r="A162" t="s">
        <v>78</v>
      </c>
      <c r="B162" s="21" t="s">
        <v>773</v>
      </c>
      <c r="C162" s="21" t="s">
        <v>780</v>
      </c>
      <c r="D162" s="117" t="s">
        <v>217</v>
      </c>
      <c r="E162" s="21" t="s">
        <v>79</v>
      </c>
      <c r="F162" s="21" t="s">
        <v>316</v>
      </c>
      <c r="G162" s="21">
        <v>72.5</v>
      </c>
      <c r="H162" s="21"/>
      <c r="I162" s="117" t="s">
        <v>842</v>
      </c>
      <c r="J162" s="117" t="s">
        <v>325</v>
      </c>
      <c r="K162" s="118">
        <v>12</v>
      </c>
      <c r="L162" s="21"/>
      <c r="M162" s="21"/>
      <c r="N162" s="21"/>
      <c r="O162" s="21"/>
      <c r="P162" s="21">
        <v>60.5</v>
      </c>
      <c r="Q162" s="21"/>
      <c r="R162" s="21" t="s">
        <v>329</v>
      </c>
      <c r="S162" s="119">
        <f>DATABASE_Table[[#This Row],[Inicial Asking Price (€) (Total)]]-DATABASE_Table[[#This Row],[Vista membership]]-DATABASE_Table[[#This Row],[FF&amp;E]]</f>
        <v>465000</v>
      </c>
      <c r="T162" s="120">
        <v>500000</v>
      </c>
      <c r="U162" s="36">
        <v>500000</v>
      </c>
      <c r="V162" s="21"/>
      <c r="W162" s="36">
        <v>35000</v>
      </c>
      <c r="X162" s="73">
        <f>DATABASE_Table[[#This Row],[Current Asking price( Total)]]-DATABASE_Table[[#This Row],[Vista membership]]-DATABASE_Table[[#This Row],[FF&amp;E]]</f>
        <v>465000</v>
      </c>
      <c r="Y162" s="37"/>
      <c r="Z162" s="36"/>
      <c r="AA162" s="73">
        <f>DATABASE_Table[[#This Row],[Sell price (Total)]]-DATABASE_Table[[#This Row],[FF&amp;E]]-DATABASE_Table[[#This Row],[Vista membership]]</f>
        <v>-35000</v>
      </c>
      <c r="AB162" s="74">
        <v>45792</v>
      </c>
      <c r="AC162" s="74" t="str">
        <f t="shared" si="2"/>
        <v>Q2 2025</v>
      </c>
      <c r="AD162" s="123"/>
      <c r="AE162" s="69">
        <v>47118</v>
      </c>
      <c r="AF162" s="21" t="s">
        <v>80</v>
      </c>
      <c r="AG162" s="21" t="s">
        <v>81</v>
      </c>
      <c r="AH162" s="122" t="s">
        <v>82</v>
      </c>
      <c r="AI162" s="122" t="s">
        <v>83</v>
      </c>
      <c r="AJ162" s="122" t="s">
        <v>84</v>
      </c>
      <c r="AK162" s="122" t="s">
        <v>85</v>
      </c>
      <c r="AL162" s="21" t="s">
        <v>86</v>
      </c>
      <c r="AM162" s="122" t="s">
        <v>78</v>
      </c>
    </row>
    <row r="163" spans="1:39" customFormat="1" ht="15.75" customHeight="1" x14ac:dyDescent="0.3">
      <c r="A163" t="s">
        <v>78</v>
      </c>
      <c r="B163" s="21" t="s">
        <v>773</v>
      </c>
      <c r="C163" s="21" t="s">
        <v>780</v>
      </c>
      <c r="D163" s="117" t="s">
        <v>218</v>
      </c>
      <c r="E163" s="21" t="s">
        <v>79</v>
      </c>
      <c r="F163" s="21" t="s">
        <v>316</v>
      </c>
      <c r="G163" s="21">
        <v>60.2</v>
      </c>
      <c r="H163" s="21"/>
      <c r="I163" s="117" t="s">
        <v>842</v>
      </c>
      <c r="J163" s="117" t="s">
        <v>325</v>
      </c>
      <c r="K163" s="118">
        <v>3.9</v>
      </c>
      <c r="L163" s="21"/>
      <c r="M163" s="21"/>
      <c r="N163" s="21"/>
      <c r="O163" s="21"/>
      <c r="P163" s="21">
        <v>56.3</v>
      </c>
      <c r="Q163" s="21"/>
      <c r="R163" s="21" t="s">
        <v>329</v>
      </c>
      <c r="S163" s="119">
        <f>DATABASE_Table[[#This Row],[Inicial Asking Price (€) (Total)]]-DATABASE_Table[[#This Row],[Vista membership]]-DATABASE_Table[[#This Row],[FF&amp;E]]</f>
        <v>410000</v>
      </c>
      <c r="T163" s="120">
        <v>445000</v>
      </c>
      <c r="U163" s="36">
        <v>445000</v>
      </c>
      <c r="V163" s="21"/>
      <c r="W163" s="36">
        <v>35000</v>
      </c>
      <c r="X163" s="73">
        <f>DATABASE_Table[[#This Row],[Current Asking price( Total)]]-DATABASE_Table[[#This Row],[Vista membership]]-DATABASE_Table[[#This Row],[FF&amp;E]]</f>
        <v>410000</v>
      </c>
      <c r="Y163" s="37"/>
      <c r="Z163" s="36"/>
      <c r="AA163" s="73">
        <f>DATABASE_Table[[#This Row],[Sell price (Total)]]-DATABASE_Table[[#This Row],[FF&amp;E]]-DATABASE_Table[[#This Row],[Vista membership]]</f>
        <v>-35000</v>
      </c>
      <c r="AB163" s="74">
        <v>45792</v>
      </c>
      <c r="AC163" s="74" t="str">
        <f t="shared" si="2"/>
        <v>Q2 2025</v>
      </c>
      <c r="AD163" s="123"/>
      <c r="AE163" s="69">
        <v>47118</v>
      </c>
      <c r="AF163" s="21" t="s">
        <v>80</v>
      </c>
      <c r="AG163" s="21" t="s">
        <v>81</v>
      </c>
      <c r="AH163" s="122" t="s">
        <v>82</v>
      </c>
      <c r="AI163" s="122" t="s">
        <v>83</v>
      </c>
      <c r="AJ163" s="122" t="s">
        <v>84</v>
      </c>
      <c r="AK163" s="122" t="s">
        <v>85</v>
      </c>
      <c r="AL163" s="21" t="s">
        <v>86</v>
      </c>
      <c r="AM163" s="122" t="s">
        <v>78</v>
      </c>
    </row>
    <row r="164" spans="1:39" customFormat="1" ht="15.75" customHeight="1" x14ac:dyDescent="0.3">
      <c r="A164" t="s">
        <v>78</v>
      </c>
      <c r="B164" s="21" t="s">
        <v>773</v>
      </c>
      <c r="C164" s="21" t="s">
        <v>780</v>
      </c>
      <c r="D164" s="117" t="s">
        <v>219</v>
      </c>
      <c r="E164" s="21" t="s">
        <v>79</v>
      </c>
      <c r="F164" s="21" t="s">
        <v>316</v>
      </c>
      <c r="G164" s="21">
        <v>60.2</v>
      </c>
      <c r="H164" s="21"/>
      <c r="I164" s="117" t="s">
        <v>842</v>
      </c>
      <c r="J164" s="117" t="s">
        <v>325</v>
      </c>
      <c r="K164" s="118">
        <v>3.9</v>
      </c>
      <c r="L164" s="21"/>
      <c r="M164" s="21"/>
      <c r="N164" s="21"/>
      <c r="O164" s="21"/>
      <c r="P164" s="21">
        <v>56.3</v>
      </c>
      <c r="Q164" s="21"/>
      <c r="R164" s="21" t="s">
        <v>329</v>
      </c>
      <c r="S164" s="119">
        <f>DATABASE_Table[[#This Row],[Inicial Asking Price (€) (Total)]]-DATABASE_Table[[#This Row],[Vista membership]]-DATABASE_Table[[#This Row],[FF&amp;E]]</f>
        <v>410000</v>
      </c>
      <c r="T164" s="120">
        <v>445000</v>
      </c>
      <c r="U164" s="36">
        <v>445000</v>
      </c>
      <c r="V164" s="21"/>
      <c r="W164" s="36">
        <v>35000</v>
      </c>
      <c r="X164" s="73">
        <f>DATABASE_Table[[#This Row],[Current Asking price( Total)]]-DATABASE_Table[[#This Row],[Vista membership]]-DATABASE_Table[[#This Row],[FF&amp;E]]</f>
        <v>410000</v>
      </c>
      <c r="Y164" s="37"/>
      <c r="Z164" s="36"/>
      <c r="AA164" s="73">
        <f>DATABASE_Table[[#This Row],[Sell price (Total)]]-DATABASE_Table[[#This Row],[FF&amp;E]]-DATABASE_Table[[#This Row],[Vista membership]]</f>
        <v>-35000</v>
      </c>
      <c r="AB164" s="74">
        <v>45792</v>
      </c>
      <c r="AC164" s="74" t="str">
        <f t="shared" si="2"/>
        <v>Q2 2025</v>
      </c>
      <c r="AD164" s="123"/>
      <c r="AE164" s="69">
        <v>47118</v>
      </c>
      <c r="AF164" s="21" t="s">
        <v>80</v>
      </c>
      <c r="AG164" s="21" t="s">
        <v>81</v>
      </c>
      <c r="AH164" s="122" t="s">
        <v>82</v>
      </c>
      <c r="AI164" s="122" t="s">
        <v>83</v>
      </c>
      <c r="AJ164" s="122" t="s">
        <v>84</v>
      </c>
      <c r="AK164" s="122" t="s">
        <v>85</v>
      </c>
      <c r="AL164" s="21" t="s">
        <v>86</v>
      </c>
      <c r="AM164" s="122" t="s">
        <v>78</v>
      </c>
    </row>
    <row r="165" spans="1:39" customFormat="1" ht="15.75" customHeight="1" x14ac:dyDescent="0.3">
      <c r="A165" t="s">
        <v>78</v>
      </c>
      <c r="B165" s="21" t="s">
        <v>773</v>
      </c>
      <c r="C165" s="21" t="s">
        <v>780</v>
      </c>
      <c r="D165" s="117" t="s">
        <v>220</v>
      </c>
      <c r="E165" s="21" t="s">
        <v>79</v>
      </c>
      <c r="F165" s="21" t="s">
        <v>316</v>
      </c>
      <c r="G165" s="21">
        <v>60.2</v>
      </c>
      <c r="H165" s="21"/>
      <c r="I165" s="117" t="s">
        <v>842</v>
      </c>
      <c r="J165" s="117" t="s">
        <v>325</v>
      </c>
      <c r="K165" s="118">
        <v>3.9</v>
      </c>
      <c r="L165" s="21"/>
      <c r="M165" s="21"/>
      <c r="N165" s="21"/>
      <c r="O165" s="21"/>
      <c r="P165" s="21">
        <v>56.3</v>
      </c>
      <c r="Q165" s="21"/>
      <c r="R165" s="21" t="s">
        <v>329</v>
      </c>
      <c r="S165" s="119">
        <f>DATABASE_Table[[#This Row],[Inicial Asking Price (€) (Total)]]-DATABASE_Table[[#This Row],[Vista membership]]-DATABASE_Table[[#This Row],[FF&amp;E]]</f>
        <v>410000</v>
      </c>
      <c r="T165" s="120">
        <v>445000</v>
      </c>
      <c r="U165" s="36">
        <v>445000</v>
      </c>
      <c r="V165" s="21"/>
      <c r="W165" s="36">
        <v>35000</v>
      </c>
      <c r="X165" s="73">
        <f>DATABASE_Table[[#This Row],[Current Asking price( Total)]]-DATABASE_Table[[#This Row],[Vista membership]]-DATABASE_Table[[#This Row],[FF&amp;E]]</f>
        <v>410000</v>
      </c>
      <c r="Y165" s="37"/>
      <c r="Z165" s="36"/>
      <c r="AA165" s="73">
        <f>DATABASE_Table[[#This Row],[Sell price (Total)]]-DATABASE_Table[[#This Row],[FF&amp;E]]-DATABASE_Table[[#This Row],[Vista membership]]</f>
        <v>-35000</v>
      </c>
      <c r="AB165" s="74">
        <v>45792</v>
      </c>
      <c r="AC165" s="74" t="str">
        <f t="shared" si="2"/>
        <v>Q2 2025</v>
      </c>
      <c r="AD165" s="123"/>
      <c r="AE165" s="69">
        <v>47118</v>
      </c>
      <c r="AF165" s="21" t="s">
        <v>80</v>
      </c>
      <c r="AG165" s="21" t="s">
        <v>81</v>
      </c>
      <c r="AH165" s="122" t="s">
        <v>82</v>
      </c>
      <c r="AI165" s="122" t="s">
        <v>83</v>
      </c>
      <c r="AJ165" s="122" t="s">
        <v>84</v>
      </c>
      <c r="AK165" s="122" t="s">
        <v>85</v>
      </c>
      <c r="AL165" s="21" t="s">
        <v>86</v>
      </c>
      <c r="AM165" s="122" t="s">
        <v>78</v>
      </c>
    </row>
    <row r="166" spans="1:39" customFormat="1" ht="15.75" customHeight="1" x14ac:dyDescent="0.3">
      <c r="A166" t="s">
        <v>78</v>
      </c>
      <c r="B166" s="21" t="s">
        <v>773</v>
      </c>
      <c r="C166" s="21" t="s">
        <v>780</v>
      </c>
      <c r="D166" s="117" t="s">
        <v>221</v>
      </c>
      <c r="E166" s="21" t="s">
        <v>79</v>
      </c>
      <c r="F166" s="21" t="s">
        <v>316</v>
      </c>
      <c r="G166" s="21">
        <v>60.2</v>
      </c>
      <c r="H166" s="21"/>
      <c r="I166" s="117" t="s">
        <v>842</v>
      </c>
      <c r="J166" s="117" t="s">
        <v>325</v>
      </c>
      <c r="K166" s="118">
        <v>3.9</v>
      </c>
      <c r="L166" s="21"/>
      <c r="M166" s="21"/>
      <c r="N166" s="21"/>
      <c r="O166" s="21"/>
      <c r="P166" s="21">
        <v>56.3</v>
      </c>
      <c r="Q166" s="21"/>
      <c r="R166" s="21" t="s">
        <v>329</v>
      </c>
      <c r="S166" s="119">
        <f>DATABASE_Table[[#This Row],[Inicial Asking Price (€) (Total)]]-DATABASE_Table[[#This Row],[Vista membership]]-DATABASE_Table[[#This Row],[FF&amp;E]]</f>
        <v>410000</v>
      </c>
      <c r="T166" s="120">
        <v>445000</v>
      </c>
      <c r="U166" s="36">
        <v>445000</v>
      </c>
      <c r="V166" s="21"/>
      <c r="W166" s="36">
        <v>35000</v>
      </c>
      <c r="X166" s="73">
        <f>DATABASE_Table[[#This Row],[Current Asking price( Total)]]-DATABASE_Table[[#This Row],[Vista membership]]-DATABASE_Table[[#This Row],[FF&amp;E]]</f>
        <v>410000</v>
      </c>
      <c r="Y166" s="37"/>
      <c r="Z166" s="36"/>
      <c r="AA166" s="73">
        <f>DATABASE_Table[[#This Row],[Sell price (Total)]]-DATABASE_Table[[#This Row],[FF&amp;E]]-DATABASE_Table[[#This Row],[Vista membership]]</f>
        <v>-35000</v>
      </c>
      <c r="AB166" s="74">
        <v>45792</v>
      </c>
      <c r="AC166" s="74" t="str">
        <f t="shared" si="2"/>
        <v>Q2 2025</v>
      </c>
      <c r="AD166" s="123"/>
      <c r="AE166" s="69">
        <v>47118</v>
      </c>
      <c r="AF166" s="21" t="s">
        <v>80</v>
      </c>
      <c r="AG166" s="21" t="s">
        <v>81</v>
      </c>
      <c r="AH166" s="122" t="s">
        <v>82</v>
      </c>
      <c r="AI166" s="122" t="s">
        <v>83</v>
      </c>
      <c r="AJ166" s="122" t="s">
        <v>84</v>
      </c>
      <c r="AK166" s="122" t="s">
        <v>85</v>
      </c>
      <c r="AL166" s="21" t="s">
        <v>86</v>
      </c>
      <c r="AM166" s="122" t="s">
        <v>78</v>
      </c>
    </row>
    <row r="167" spans="1:39" customFormat="1" ht="15.75" customHeight="1" x14ac:dyDescent="0.3">
      <c r="A167" t="s">
        <v>78</v>
      </c>
      <c r="B167" s="21" t="s">
        <v>773</v>
      </c>
      <c r="C167" s="21" t="s">
        <v>780</v>
      </c>
      <c r="D167" s="117" t="s">
        <v>222</v>
      </c>
      <c r="E167" s="21" t="s">
        <v>79</v>
      </c>
      <c r="F167" s="21" t="s">
        <v>316</v>
      </c>
      <c r="G167" s="21">
        <v>60.2</v>
      </c>
      <c r="H167" s="21"/>
      <c r="I167" s="117" t="s">
        <v>842</v>
      </c>
      <c r="J167" s="117" t="s">
        <v>325</v>
      </c>
      <c r="K167" s="118">
        <v>3.9</v>
      </c>
      <c r="L167" s="21"/>
      <c r="M167" s="21"/>
      <c r="N167" s="21"/>
      <c r="O167" s="21"/>
      <c r="P167" s="21">
        <v>56.3</v>
      </c>
      <c r="Q167" s="21"/>
      <c r="R167" s="21" t="s">
        <v>329</v>
      </c>
      <c r="S167" s="119">
        <f>DATABASE_Table[[#This Row],[Inicial Asking Price (€) (Total)]]-DATABASE_Table[[#This Row],[Vista membership]]-DATABASE_Table[[#This Row],[FF&amp;E]]</f>
        <v>410000</v>
      </c>
      <c r="T167" s="120">
        <v>445000</v>
      </c>
      <c r="U167" s="36">
        <v>445000</v>
      </c>
      <c r="V167" s="21"/>
      <c r="W167" s="36">
        <v>35000</v>
      </c>
      <c r="X167" s="73">
        <f>DATABASE_Table[[#This Row],[Current Asking price( Total)]]-DATABASE_Table[[#This Row],[Vista membership]]-DATABASE_Table[[#This Row],[FF&amp;E]]</f>
        <v>410000</v>
      </c>
      <c r="Y167" s="37"/>
      <c r="Z167" s="36"/>
      <c r="AA167" s="73">
        <f>DATABASE_Table[[#This Row],[Sell price (Total)]]-DATABASE_Table[[#This Row],[FF&amp;E]]-DATABASE_Table[[#This Row],[Vista membership]]</f>
        <v>-35000</v>
      </c>
      <c r="AB167" s="74">
        <v>45792</v>
      </c>
      <c r="AC167" s="74" t="str">
        <f t="shared" si="2"/>
        <v>Q2 2025</v>
      </c>
      <c r="AD167" s="123"/>
      <c r="AE167" s="69">
        <v>47118</v>
      </c>
      <c r="AF167" s="21" t="s">
        <v>80</v>
      </c>
      <c r="AG167" s="21" t="s">
        <v>81</v>
      </c>
      <c r="AH167" s="122" t="s">
        <v>82</v>
      </c>
      <c r="AI167" s="122" t="s">
        <v>83</v>
      </c>
      <c r="AJ167" s="122" t="s">
        <v>84</v>
      </c>
      <c r="AK167" s="122" t="s">
        <v>85</v>
      </c>
      <c r="AL167" s="21" t="s">
        <v>86</v>
      </c>
      <c r="AM167" s="122" t="s">
        <v>78</v>
      </c>
    </row>
    <row r="168" spans="1:39" customFormat="1" ht="15.75" customHeight="1" x14ac:dyDescent="0.3">
      <c r="A168" t="s">
        <v>78</v>
      </c>
      <c r="B168" s="21" t="s">
        <v>773</v>
      </c>
      <c r="C168" s="21" t="s">
        <v>780</v>
      </c>
      <c r="D168" s="117" t="s">
        <v>224</v>
      </c>
      <c r="E168" s="21" t="s">
        <v>79</v>
      </c>
      <c r="F168" s="21" t="s">
        <v>316</v>
      </c>
      <c r="G168" s="21">
        <v>56.5</v>
      </c>
      <c r="H168" s="21"/>
      <c r="I168" s="117" t="s">
        <v>842</v>
      </c>
      <c r="J168" s="117" t="s">
        <v>325</v>
      </c>
      <c r="K168" s="118">
        <v>5</v>
      </c>
      <c r="L168" s="21"/>
      <c r="M168" s="21"/>
      <c r="N168" s="21"/>
      <c r="O168" s="21"/>
      <c r="P168" s="21">
        <v>51.5</v>
      </c>
      <c r="Q168" s="21"/>
      <c r="R168" s="21" t="s">
        <v>329</v>
      </c>
      <c r="S168" s="119">
        <f>DATABASE_Table[[#This Row],[Inicial Asking Price (€) (Total)]]-DATABASE_Table[[#This Row],[Vista membership]]-DATABASE_Table[[#This Row],[FF&amp;E]]</f>
        <v>635000</v>
      </c>
      <c r="T168" s="124">
        <v>670000</v>
      </c>
      <c r="U168" s="36">
        <v>405000</v>
      </c>
      <c r="V168" s="21"/>
      <c r="W168" s="36">
        <v>35000</v>
      </c>
      <c r="X168" s="73">
        <f>DATABASE_Table[[#This Row],[Current Asking price( Total)]]-DATABASE_Table[[#This Row],[Vista membership]]-DATABASE_Table[[#This Row],[FF&amp;E]]</f>
        <v>370000</v>
      </c>
      <c r="Y168" s="37"/>
      <c r="Z168" s="36"/>
      <c r="AA168" s="73">
        <f>DATABASE_Table[[#This Row],[Sell price (Total)]]-DATABASE_Table[[#This Row],[FF&amp;E]]-DATABASE_Table[[#This Row],[Vista membership]]</f>
        <v>-35000</v>
      </c>
      <c r="AB168" s="74">
        <v>45792</v>
      </c>
      <c r="AC168" s="74" t="str">
        <f t="shared" si="2"/>
        <v>Q2 2025</v>
      </c>
      <c r="AD168" s="123"/>
      <c r="AE168" s="69">
        <v>47118</v>
      </c>
      <c r="AF168" s="21" t="s">
        <v>80</v>
      </c>
      <c r="AG168" s="21" t="s">
        <v>81</v>
      </c>
      <c r="AH168" s="122" t="s">
        <v>82</v>
      </c>
      <c r="AI168" s="122" t="s">
        <v>83</v>
      </c>
      <c r="AJ168" s="122" t="s">
        <v>84</v>
      </c>
      <c r="AK168" s="122" t="s">
        <v>85</v>
      </c>
      <c r="AL168" s="21" t="s">
        <v>86</v>
      </c>
      <c r="AM168" s="122" t="s">
        <v>78</v>
      </c>
    </row>
    <row r="169" spans="1:39" customFormat="1" ht="15.75" customHeight="1" x14ac:dyDescent="0.3">
      <c r="A169" t="s">
        <v>78</v>
      </c>
      <c r="B169" s="21" t="s">
        <v>773</v>
      </c>
      <c r="C169" s="21" t="s">
        <v>780</v>
      </c>
      <c r="D169" s="117" t="s">
        <v>225</v>
      </c>
      <c r="E169" s="21" t="s">
        <v>79</v>
      </c>
      <c r="F169" s="21" t="s">
        <v>316</v>
      </c>
      <c r="G169" s="21">
        <v>56.5</v>
      </c>
      <c r="H169" s="21"/>
      <c r="I169" s="117" t="s">
        <v>842</v>
      </c>
      <c r="J169" s="117" t="s">
        <v>325</v>
      </c>
      <c r="K169" s="118">
        <v>5</v>
      </c>
      <c r="L169" s="21"/>
      <c r="M169" s="21"/>
      <c r="N169" s="21"/>
      <c r="O169" s="21"/>
      <c r="P169" s="21">
        <v>51.5</v>
      </c>
      <c r="Q169" s="21"/>
      <c r="R169" s="21" t="s">
        <v>329</v>
      </c>
      <c r="S169" s="119">
        <f>DATABASE_Table[[#This Row],[Inicial Asking Price (€) (Total)]]-DATABASE_Table[[#This Row],[Vista membership]]-DATABASE_Table[[#This Row],[FF&amp;E]]</f>
        <v>895000</v>
      </c>
      <c r="T169" s="124">
        <v>930000</v>
      </c>
      <c r="U169" s="36">
        <v>405000</v>
      </c>
      <c r="V169" s="21"/>
      <c r="W169" s="36">
        <v>35000</v>
      </c>
      <c r="X169" s="73">
        <f>DATABASE_Table[[#This Row],[Current Asking price( Total)]]-DATABASE_Table[[#This Row],[Vista membership]]-DATABASE_Table[[#This Row],[FF&amp;E]]</f>
        <v>370000</v>
      </c>
      <c r="Y169" s="37"/>
      <c r="Z169" s="36"/>
      <c r="AA169" s="73">
        <f>DATABASE_Table[[#This Row],[Sell price (Total)]]-DATABASE_Table[[#This Row],[FF&amp;E]]-DATABASE_Table[[#This Row],[Vista membership]]</f>
        <v>-35000</v>
      </c>
      <c r="AB169" s="74">
        <v>45792</v>
      </c>
      <c r="AC169" s="74" t="str">
        <f t="shared" si="2"/>
        <v>Q2 2025</v>
      </c>
      <c r="AD169" s="123"/>
      <c r="AE169" s="69">
        <v>47118</v>
      </c>
      <c r="AF169" s="21" t="s">
        <v>80</v>
      </c>
      <c r="AG169" s="21" t="s">
        <v>81</v>
      </c>
      <c r="AH169" s="122" t="s">
        <v>82</v>
      </c>
      <c r="AI169" s="122" t="s">
        <v>83</v>
      </c>
      <c r="AJ169" s="122" t="s">
        <v>84</v>
      </c>
      <c r="AK169" s="122" t="s">
        <v>85</v>
      </c>
      <c r="AL169" s="21" t="s">
        <v>86</v>
      </c>
      <c r="AM169" s="122" t="s">
        <v>78</v>
      </c>
    </row>
    <row r="170" spans="1:39" customFormat="1" ht="15.75" customHeight="1" x14ac:dyDescent="0.3">
      <c r="A170" t="s">
        <v>78</v>
      </c>
      <c r="B170" s="21" t="s">
        <v>773</v>
      </c>
      <c r="C170" s="21" t="s">
        <v>780</v>
      </c>
      <c r="D170" s="117" t="s">
        <v>226</v>
      </c>
      <c r="E170" s="21" t="s">
        <v>79</v>
      </c>
      <c r="F170" s="21" t="s">
        <v>316</v>
      </c>
      <c r="G170" s="21">
        <v>56.5</v>
      </c>
      <c r="H170" s="21"/>
      <c r="I170" s="117" t="s">
        <v>842</v>
      </c>
      <c r="J170" s="117" t="s">
        <v>325</v>
      </c>
      <c r="K170" s="118">
        <v>5</v>
      </c>
      <c r="L170" s="21"/>
      <c r="M170" s="21"/>
      <c r="N170" s="21"/>
      <c r="O170" s="21"/>
      <c r="P170" s="21">
        <v>51.5</v>
      </c>
      <c r="Q170" s="21"/>
      <c r="R170" s="21" t="s">
        <v>329</v>
      </c>
      <c r="S170" s="119">
        <f>DATABASE_Table[[#This Row],[Inicial Asking Price (€) (Total)]]-DATABASE_Table[[#This Row],[Vista membership]]-DATABASE_Table[[#This Row],[FF&amp;E]]</f>
        <v>675000</v>
      </c>
      <c r="T170" s="124">
        <v>710000</v>
      </c>
      <c r="U170" s="36">
        <v>405000</v>
      </c>
      <c r="V170" s="21"/>
      <c r="W170" s="36">
        <v>35000</v>
      </c>
      <c r="X170" s="73">
        <f>DATABASE_Table[[#This Row],[Current Asking price( Total)]]-DATABASE_Table[[#This Row],[Vista membership]]-DATABASE_Table[[#This Row],[FF&amp;E]]</f>
        <v>370000</v>
      </c>
      <c r="Y170" s="37"/>
      <c r="Z170" s="36"/>
      <c r="AA170" s="73">
        <f>DATABASE_Table[[#This Row],[Sell price (Total)]]-DATABASE_Table[[#This Row],[FF&amp;E]]-DATABASE_Table[[#This Row],[Vista membership]]</f>
        <v>-35000</v>
      </c>
      <c r="AB170" s="74">
        <v>45792</v>
      </c>
      <c r="AC170" s="74" t="str">
        <f t="shared" si="2"/>
        <v>Q2 2025</v>
      </c>
      <c r="AD170" s="123"/>
      <c r="AE170" s="69">
        <v>47118</v>
      </c>
      <c r="AF170" s="21" t="s">
        <v>80</v>
      </c>
      <c r="AG170" s="21" t="s">
        <v>81</v>
      </c>
      <c r="AH170" s="122" t="s">
        <v>82</v>
      </c>
      <c r="AI170" s="122" t="s">
        <v>83</v>
      </c>
      <c r="AJ170" s="122" t="s">
        <v>84</v>
      </c>
      <c r="AK170" s="122" t="s">
        <v>85</v>
      </c>
      <c r="AL170" s="21" t="s">
        <v>86</v>
      </c>
      <c r="AM170" s="122" t="s">
        <v>78</v>
      </c>
    </row>
    <row r="171" spans="1:39" customFormat="1" ht="15.75" customHeight="1" x14ac:dyDescent="0.3">
      <c r="A171" t="s">
        <v>78</v>
      </c>
      <c r="B171" s="21" t="s">
        <v>773</v>
      </c>
      <c r="C171" s="21" t="s">
        <v>780</v>
      </c>
      <c r="D171" s="117" t="s">
        <v>227</v>
      </c>
      <c r="E171" s="21" t="s">
        <v>79</v>
      </c>
      <c r="F171" s="21" t="s">
        <v>316</v>
      </c>
      <c r="G171" s="21">
        <v>60.2</v>
      </c>
      <c r="H171" s="21"/>
      <c r="I171" s="117" t="s">
        <v>842</v>
      </c>
      <c r="J171" s="117" t="s">
        <v>325</v>
      </c>
      <c r="K171" s="118">
        <v>3.9</v>
      </c>
      <c r="L171" s="21"/>
      <c r="M171" s="21"/>
      <c r="N171" s="21"/>
      <c r="O171" s="21"/>
      <c r="P171" s="21">
        <v>56.3</v>
      </c>
      <c r="Q171" s="21"/>
      <c r="R171" s="21" t="s">
        <v>329</v>
      </c>
      <c r="S171" s="119">
        <f>DATABASE_Table[[#This Row],[Inicial Asking Price (€) (Total)]]-DATABASE_Table[[#This Row],[Vista membership]]-DATABASE_Table[[#This Row],[FF&amp;E]]</f>
        <v>395000</v>
      </c>
      <c r="T171" s="120">
        <v>430000</v>
      </c>
      <c r="U171" s="36">
        <v>430000</v>
      </c>
      <c r="V171" s="21"/>
      <c r="W171" s="36">
        <v>35000</v>
      </c>
      <c r="X171" s="73">
        <f>DATABASE_Table[[#This Row],[Current Asking price( Total)]]-DATABASE_Table[[#This Row],[Vista membership]]-DATABASE_Table[[#This Row],[FF&amp;E]]</f>
        <v>395000</v>
      </c>
      <c r="Y171" s="37"/>
      <c r="Z171" s="36"/>
      <c r="AA171" s="73">
        <f>DATABASE_Table[[#This Row],[Sell price (Total)]]-DATABASE_Table[[#This Row],[FF&amp;E]]-DATABASE_Table[[#This Row],[Vista membership]]</f>
        <v>-35000</v>
      </c>
      <c r="AB171" s="74">
        <v>45792</v>
      </c>
      <c r="AC171" s="74" t="str">
        <f t="shared" si="2"/>
        <v>Q2 2025</v>
      </c>
      <c r="AD171" s="123"/>
      <c r="AE171" s="69">
        <v>47118</v>
      </c>
      <c r="AF171" s="21" t="s">
        <v>80</v>
      </c>
      <c r="AG171" s="21" t="s">
        <v>81</v>
      </c>
      <c r="AH171" s="122" t="s">
        <v>82</v>
      </c>
      <c r="AI171" s="122" t="s">
        <v>83</v>
      </c>
      <c r="AJ171" s="122" t="s">
        <v>84</v>
      </c>
      <c r="AK171" s="122" t="s">
        <v>85</v>
      </c>
      <c r="AL171" s="21" t="s">
        <v>86</v>
      </c>
      <c r="AM171" s="122" t="s">
        <v>78</v>
      </c>
    </row>
    <row r="172" spans="1:39" customFormat="1" ht="15.75" customHeight="1" x14ac:dyDescent="0.3">
      <c r="A172" t="s">
        <v>78</v>
      </c>
      <c r="B172" s="21" t="s">
        <v>773</v>
      </c>
      <c r="C172" s="21" t="s">
        <v>780</v>
      </c>
      <c r="D172" s="117" t="s">
        <v>228</v>
      </c>
      <c r="E172" s="21" t="s">
        <v>79</v>
      </c>
      <c r="F172" s="21" t="s">
        <v>316</v>
      </c>
      <c r="G172" s="21">
        <v>60.2</v>
      </c>
      <c r="H172" s="21"/>
      <c r="I172" s="117" t="s">
        <v>842</v>
      </c>
      <c r="J172" s="117" t="s">
        <v>325</v>
      </c>
      <c r="K172" s="118">
        <v>3.9</v>
      </c>
      <c r="L172" s="21"/>
      <c r="M172" s="21"/>
      <c r="N172" s="21"/>
      <c r="O172" s="21"/>
      <c r="P172" s="21">
        <v>56.3</v>
      </c>
      <c r="Q172" s="21"/>
      <c r="R172" s="21" t="s">
        <v>329</v>
      </c>
      <c r="S172" s="119">
        <f>DATABASE_Table[[#This Row],[Inicial Asking Price (€) (Total)]]-DATABASE_Table[[#This Row],[Vista membership]]-DATABASE_Table[[#This Row],[FF&amp;E]]</f>
        <v>395000</v>
      </c>
      <c r="T172" s="120">
        <v>430000</v>
      </c>
      <c r="U172" s="36">
        <v>430000</v>
      </c>
      <c r="V172" s="21"/>
      <c r="W172" s="36">
        <v>35000</v>
      </c>
      <c r="X172" s="73">
        <f>DATABASE_Table[[#This Row],[Current Asking price( Total)]]-DATABASE_Table[[#This Row],[Vista membership]]-DATABASE_Table[[#This Row],[FF&amp;E]]</f>
        <v>395000</v>
      </c>
      <c r="Y172" s="37"/>
      <c r="Z172" s="36"/>
      <c r="AA172" s="73">
        <f>DATABASE_Table[[#This Row],[Sell price (Total)]]-DATABASE_Table[[#This Row],[FF&amp;E]]-DATABASE_Table[[#This Row],[Vista membership]]</f>
        <v>-35000</v>
      </c>
      <c r="AB172" s="74">
        <v>45792</v>
      </c>
      <c r="AC172" s="74" t="str">
        <f t="shared" si="2"/>
        <v>Q2 2025</v>
      </c>
      <c r="AD172" s="123"/>
      <c r="AE172" s="69">
        <v>47118</v>
      </c>
      <c r="AF172" s="21" t="s">
        <v>80</v>
      </c>
      <c r="AG172" s="21" t="s">
        <v>81</v>
      </c>
      <c r="AH172" s="122" t="s">
        <v>82</v>
      </c>
      <c r="AI172" s="122" t="s">
        <v>83</v>
      </c>
      <c r="AJ172" s="122" t="s">
        <v>84</v>
      </c>
      <c r="AK172" s="122" t="s">
        <v>85</v>
      </c>
      <c r="AL172" s="21" t="s">
        <v>86</v>
      </c>
      <c r="AM172" s="122" t="s">
        <v>78</v>
      </c>
    </row>
    <row r="173" spans="1:39" customFormat="1" ht="15.75" customHeight="1" x14ac:dyDescent="0.3">
      <c r="A173" t="s">
        <v>78</v>
      </c>
      <c r="B173" s="21" t="s">
        <v>773</v>
      </c>
      <c r="C173" s="21" t="s">
        <v>780</v>
      </c>
      <c r="D173" s="117" t="s">
        <v>229</v>
      </c>
      <c r="E173" s="21" t="s">
        <v>79</v>
      </c>
      <c r="F173" s="21" t="s">
        <v>316</v>
      </c>
      <c r="G173" s="21">
        <v>60.2</v>
      </c>
      <c r="H173" s="21"/>
      <c r="I173" s="117" t="s">
        <v>842</v>
      </c>
      <c r="J173" s="117" t="s">
        <v>325</v>
      </c>
      <c r="K173" s="118">
        <v>3.9</v>
      </c>
      <c r="L173" s="21"/>
      <c r="M173" s="21"/>
      <c r="N173" s="21"/>
      <c r="O173" s="21"/>
      <c r="P173" s="21">
        <v>56.3</v>
      </c>
      <c r="Q173" s="21"/>
      <c r="R173" s="21" t="s">
        <v>329</v>
      </c>
      <c r="S173" s="119">
        <f>DATABASE_Table[[#This Row],[Inicial Asking Price (€) (Total)]]-DATABASE_Table[[#This Row],[Vista membership]]-DATABASE_Table[[#This Row],[FF&amp;E]]</f>
        <v>395000</v>
      </c>
      <c r="T173" s="120">
        <v>430000</v>
      </c>
      <c r="U173" s="36">
        <v>430000</v>
      </c>
      <c r="V173" s="21"/>
      <c r="W173" s="36">
        <v>35000</v>
      </c>
      <c r="X173" s="73">
        <f>DATABASE_Table[[#This Row],[Current Asking price( Total)]]-DATABASE_Table[[#This Row],[Vista membership]]-DATABASE_Table[[#This Row],[FF&amp;E]]</f>
        <v>395000</v>
      </c>
      <c r="Y173" s="37"/>
      <c r="Z173" s="36"/>
      <c r="AA173" s="73">
        <f>DATABASE_Table[[#This Row],[Sell price (Total)]]-DATABASE_Table[[#This Row],[FF&amp;E]]-DATABASE_Table[[#This Row],[Vista membership]]</f>
        <v>-35000</v>
      </c>
      <c r="AB173" s="74">
        <v>45792</v>
      </c>
      <c r="AC173" s="74" t="str">
        <f t="shared" si="2"/>
        <v>Q2 2025</v>
      </c>
      <c r="AD173" s="123"/>
      <c r="AE173" s="69">
        <v>47118</v>
      </c>
      <c r="AF173" s="21" t="s">
        <v>80</v>
      </c>
      <c r="AG173" s="21" t="s">
        <v>81</v>
      </c>
      <c r="AH173" s="122" t="s">
        <v>82</v>
      </c>
      <c r="AI173" s="122" t="s">
        <v>83</v>
      </c>
      <c r="AJ173" s="122" t="s">
        <v>84</v>
      </c>
      <c r="AK173" s="122" t="s">
        <v>85</v>
      </c>
      <c r="AL173" s="21" t="s">
        <v>86</v>
      </c>
      <c r="AM173" s="122" t="s">
        <v>78</v>
      </c>
    </row>
    <row r="174" spans="1:39" customFormat="1" ht="15.75" customHeight="1" x14ac:dyDescent="0.3">
      <c r="A174" t="s">
        <v>78</v>
      </c>
      <c r="B174" s="21" t="s">
        <v>773</v>
      </c>
      <c r="C174" s="21" t="s">
        <v>780</v>
      </c>
      <c r="D174" s="117" t="s">
        <v>230</v>
      </c>
      <c r="E174" s="21" t="s">
        <v>79</v>
      </c>
      <c r="F174" s="21" t="s">
        <v>316</v>
      </c>
      <c r="G174" s="21">
        <v>60.2</v>
      </c>
      <c r="H174" s="21"/>
      <c r="I174" s="117" t="s">
        <v>842</v>
      </c>
      <c r="J174" s="117" t="s">
        <v>325</v>
      </c>
      <c r="K174" s="118">
        <v>3.9</v>
      </c>
      <c r="L174" s="21"/>
      <c r="M174" s="21"/>
      <c r="N174" s="21"/>
      <c r="O174" s="21"/>
      <c r="P174" s="21">
        <v>56.3</v>
      </c>
      <c r="Q174" s="21"/>
      <c r="R174" s="21" t="s">
        <v>329</v>
      </c>
      <c r="S174" s="119">
        <f>DATABASE_Table[[#This Row],[Inicial Asking Price (€) (Total)]]-DATABASE_Table[[#This Row],[Vista membership]]-DATABASE_Table[[#This Row],[FF&amp;E]]</f>
        <v>395000</v>
      </c>
      <c r="T174" s="120">
        <v>430000</v>
      </c>
      <c r="U174" s="36">
        <v>430000</v>
      </c>
      <c r="V174" s="21"/>
      <c r="W174" s="36">
        <v>35000</v>
      </c>
      <c r="X174" s="73">
        <f>DATABASE_Table[[#This Row],[Current Asking price( Total)]]-DATABASE_Table[[#This Row],[Vista membership]]-DATABASE_Table[[#This Row],[FF&amp;E]]</f>
        <v>395000</v>
      </c>
      <c r="Y174" s="37"/>
      <c r="Z174" s="36"/>
      <c r="AA174" s="73">
        <f>DATABASE_Table[[#This Row],[Sell price (Total)]]-DATABASE_Table[[#This Row],[FF&amp;E]]-DATABASE_Table[[#This Row],[Vista membership]]</f>
        <v>-35000</v>
      </c>
      <c r="AB174" s="74">
        <v>45792</v>
      </c>
      <c r="AC174" s="74" t="str">
        <f t="shared" si="2"/>
        <v>Q2 2025</v>
      </c>
      <c r="AD174" s="123"/>
      <c r="AE174" s="69">
        <v>47118</v>
      </c>
      <c r="AF174" s="21" t="s">
        <v>80</v>
      </c>
      <c r="AG174" s="21" t="s">
        <v>81</v>
      </c>
      <c r="AH174" s="122" t="s">
        <v>82</v>
      </c>
      <c r="AI174" s="122" t="s">
        <v>83</v>
      </c>
      <c r="AJ174" s="122" t="s">
        <v>84</v>
      </c>
      <c r="AK174" s="122" t="s">
        <v>85</v>
      </c>
      <c r="AL174" s="21" t="s">
        <v>86</v>
      </c>
      <c r="AM174" s="122" t="s">
        <v>78</v>
      </c>
    </row>
    <row r="175" spans="1:39" customFormat="1" ht="15.75" customHeight="1" x14ac:dyDescent="0.3">
      <c r="A175" t="s">
        <v>78</v>
      </c>
      <c r="B175" s="21" t="s">
        <v>773</v>
      </c>
      <c r="C175" s="21" t="s">
        <v>780</v>
      </c>
      <c r="D175" s="117" t="s">
        <v>231</v>
      </c>
      <c r="E175" s="21" t="s">
        <v>79</v>
      </c>
      <c r="F175" s="21" t="s">
        <v>316</v>
      </c>
      <c r="G175" s="21">
        <v>60.2</v>
      </c>
      <c r="H175" s="21"/>
      <c r="I175" s="117" t="s">
        <v>842</v>
      </c>
      <c r="J175" s="117" t="s">
        <v>325</v>
      </c>
      <c r="K175" s="118">
        <v>3.9</v>
      </c>
      <c r="L175" s="21"/>
      <c r="M175" s="21"/>
      <c r="N175" s="21"/>
      <c r="O175" s="21"/>
      <c r="P175" s="21">
        <v>56.3</v>
      </c>
      <c r="Q175" s="21"/>
      <c r="R175" s="21" t="s">
        <v>329</v>
      </c>
      <c r="S175" s="119">
        <f>DATABASE_Table[[#This Row],[Inicial Asking Price (€) (Total)]]-DATABASE_Table[[#This Row],[Vista membership]]-DATABASE_Table[[#This Row],[FF&amp;E]]</f>
        <v>395000</v>
      </c>
      <c r="T175" s="120">
        <v>430000</v>
      </c>
      <c r="U175" s="36">
        <v>430000</v>
      </c>
      <c r="V175" s="21"/>
      <c r="W175" s="36">
        <v>35000</v>
      </c>
      <c r="X175" s="73">
        <f>DATABASE_Table[[#This Row],[Current Asking price( Total)]]-DATABASE_Table[[#This Row],[Vista membership]]-DATABASE_Table[[#This Row],[FF&amp;E]]</f>
        <v>395000</v>
      </c>
      <c r="Y175" s="37"/>
      <c r="Z175" s="36"/>
      <c r="AA175" s="73">
        <f>DATABASE_Table[[#This Row],[Sell price (Total)]]-DATABASE_Table[[#This Row],[FF&amp;E]]-DATABASE_Table[[#This Row],[Vista membership]]</f>
        <v>-35000</v>
      </c>
      <c r="AB175" s="74">
        <v>45792</v>
      </c>
      <c r="AC175" s="74" t="str">
        <f t="shared" si="2"/>
        <v>Q2 2025</v>
      </c>
      <c r="AD175" s="123"/>
      <c r="AE175" s="69">
        <v>47118</v>
      </c>
      <c r="AF175" s="21" t="s">
        <v>80</v>
      </c>
      <c r="AG175" s="21" t="s">
        <v>81</v>
      </c>
      <c r="AH175" s="122" t="s">
        <v>82</v>
      </c>
      <c r="AI175" s="122" t="s">
        <v>83</v>
      </c>
      <c r="AJ175" s="122" t="s">
        <v>84</v>
      </c>
      <c r="AK175" s="122" t="s">
        <v>85</v>
      </c>
      <c r="AL175" s="21" t="s">
        <v>86</v>
      </c>
      <c r="AM175" s="122" t="s">
        <v>78</v>
      </c>
    </row>
    <row r="176" spans="1:39" customFormat="1" ht="15.75" customHeight="1" x14ac:dyDescent="0.3">
      <c r="A176" t="s">
        <v>78</v>
      </c>
      <c r="B176" s="21" t="s">
        <v>773</v>
      </c>
      <c r="C176" s="21" t="s">
        <v>780</v>
      </c>
      <c r="D176" s="117" t="s">
        <v>232</v>
      </c>
      <c r="E176" s="21" t="s">
        <v>79</v>
      </c>
      <c r="F176" s="21" t="s">
        <v>316</v>
      </c>
      <c r="G176" s="21">
        <v>56.5</v>
      </c>
      <c r="H176" s="21"/>
      <c r="I176" s="117" t="s">
        <v>842</v>
      </c>
      <c r="J176" s="117" t="s">
        <v>325</v>
      </c>
      <c r="K176" s="118">
        <v>5</v>
      </c>
      <c r="L176" s="21"/>
      <c r="M176" s="21"/>
      <c r="N176" s="21"/>
      <c r="O176" s="21"/>
      <c r="P176" s="21">
        <v>51.5</v>
      </c>
      <c r="Q176" s="21"/>
      <c r="R176" s="21" t="s">
        <v>329</v>
      </c>
      <c r="S176" s="119">
        <f>DATABASE_Table[[#This Row],[Inicial Asking Price (€) (Total)]]-DATABASE_Table[[#This Row],[Vista membership]]-DATABASE_Table[[#This Row],[FF&amp;E]]</f>
        <v>665000</v>
      </c>
      <c r="T176" s="124">
        <v>700000</v>
      </c>
      <c r="U176" s="36">
        <v>405000</v>
      </c>
      <c r="V176" s="21"/>
      <c r="W176" s="36">
        <v>35000</v>
      </c>
      <c r="X176" s="73">
        <f>DATABASE_Table[[#This Row],[Current Asking price( Total)]]-DATABASE_Table[[#This Row],[Vista membership]]-DATABASE_Table[[#This Row],[FF&amp;E]]</f>
        <v>370000</v>
      </c>
      <c r="Y176" s="37"/>
      <c r="Z176" s="36"/>
      <c r="AA176" s="73">
        <f>DATABASE_Table[[#This Row],[Sell price (Total)]]-DATABASE_Table[[#This Row],[FF&amp;E]]-DATABASE_Table[[#This Row],[Vista membership]]</f>
        <v>-35000</v>
      </c>
      <c r="AB176" s="74">
        <v>45792</v>
      </c>
      <c r="AC176" s="74" t="str">
        <f t="shared" si="2"/>
        <v>Q2 2025</v>
      </c>
      <c r="AD176" s="123"/>
      <c r="AE176" s="69">
        <v>47118</v>
      </c>
      <c r="AF176" s="21" t="s">
        <v>80</v>
      </c>
      <c r="AG176" s="21" t="s">
        <v>81</v>
      </c>
      <c r="AH176" s="122" t="s">
        <v>82</v>
      </c>
      <c r="AI176" s="122" t="s">
        <v>83</v>
      </c>
      <c r="AJ176" s="122" t="s">
        <v>84</v>
      </c>
      <c r="AK176" s="122" t="s">
        <v>85</v>
      </c>
      <c r="AL176" s="21" t="s">
        <v>86</v>
      </c>
      <c r="AM176" s="122" t="s">
        <v>78</v>
      </c>
    </row>
    <row r="177" spans="1:39" customFormat="1" ht="15.75" customHeight="1" x14ac:dyDescent="0.3">
      <c r="A177" t="s">
        <v>78</v>
      </c>
      <c r="B177" s="21" t="s">
        <v>773</v>
      </c>
      <c r="C177" s="21" t="s">
        <v>780</v>
      </c>
      <c r="D177" s="117" t="s">
        <v>233</v>
      </c>
      <c r="E177" s="21" t="s">
        <v>79</v>
      </c>
      <c r="F177" s="21" t="s">
        <v>316</v>
      </c>
      <c r="G177" s="21">
        <v>56.5</v>
      </c>
      <c r="H177" s="21"/>
      <c r="I177" s="117" t="s">
        <v>842</v>
      </c>
      <c r="J177" s="117" t="s">
        <v>325</v>
      </c>
      <c r="K177" s="118">
        <v>5</v>
      </c>
      <c r="L177" s="21"/>
      <c r="M177" s="21"/>
      <c r="N177" s="21"/>
      <c r="O177" s="21"/>
      <c r="P177" s="21">
        <v>51.5</v>
      </c>
      <c r="Q177" s="21"/>
      <c r="R177" s="21" t="s">
        <v>329</v>
      </c>
      <c r="S177" s="119">
        <f>DATABASE_Table[[#This Row],[Inicial Asking Price (€) (Total)]]-DATABASE_Table[[#This Row],[Vista membership]]-DATABASE_Table[[#This Row],[FF&amp;E]]</f>
        <v>705000</v>
      </c>
      <c r="T177" s="124">
        <v>740000</v>
      </c>
      <c r="U177" s="36">
        <v>405000</v>
      </c>
      <c r="V177" s="21"/>
      <c r="W177" s="36">
        <v>35000</v>
      </c>
      <c r="X177" s="73">
        <f>DATABASE_Table[[#This Row],[Current Asking price( Total)]]-DATABASE_Table[[#This Row],[Vista membership]]-DATABASE_Table[[#This Row],[FF&amp;E]]</f>
        <v>370000</v>
      </c>
      <c r="Y177" s="37"/>
      <c r="Z177" s="36"/>
      <c r="AA177" s="73">
        <f>DATABASE_Table[[#This Row],[Sell price (Total)]]-DATABASE_Table[[#This Row],[FF&amp;E]]-DATABASE_Table[[#This Row],[Vista membership]]</f>
        <v>-35000</v>
      </c>
      <c r="AB177" s="74">
        <v>45792</v>
      </c>
      <c r="AC177" s="74" t="str">
        <f t="shared" si="2"/>
        <v>Q2 2025</v>
      </c>
      <c r="AD177" s="123"/>
      <c r="AE177" s="69">
        <v>47118</v>
      </c>
      <c r="AF177" s="21" t="s">
        <v>80</v>
      </c>
      <c r="AG177" s="21" t="s">
        <v>81</v>
      </c>
      <c r="AH177" s="122" t="s">
        <v>82</v>
      </c>
      <c r="AI177" s="122" t="s">
        <v>83</v>
      </c>
      <c r="AJ177" s="122" t="s">
        <v>84</v>
      </c>
      <c r="AK177" s="122" t="s">
        <v>85</v>
      </c>
      <c r="AL177" s="21" t="s">
        <v>86</v>
      </c>
      <c r="AM177" s="122" t="s">
        <v>78</v>
      </c>
    </row>
    <row r="178" spans="1:39" customFormat="1" ht="15.75" customHeight="1" x14ac:dyDescent="0.3">
      <c r="A178" t="s">
        <v>78</v>
      </c>
      <c r="B178" s="21" t="s">
        <v>773</v>
      </c>
      <c r="C178" s="21" t="s">
        <v>780</v>
      </c>
      <c r="D178" s="117" t="s">
        <v>234</v>
      </c>
      <c r="E178" s="21" t="s">
        <v>79</v>
      </c>
      <c r="F178" s="21" t="s">
        <v>316</v>
      </c>
      <c r="G178" s="21">
        <v>56.5</v>
      </c>
      <c r="H178" s="21"/>
      <c r="I178" s="117" t="s">
        <v>842</v>
      </c>
      <c r="J178" s="117" t="s">
        <v>325</v>
      </c>
      <c r="K178" s="118">
        <v>5</v>
      </c>
      <c r="L178" s="21"/>
      <c r="M178" s="21"/>
      <c r="N178" s="21"/>
      <c r="O178" s="21"/>
      <c r="P178" s="21">
        <v>51.5</v>
      </c>
      <c r="Q178" s="21"/>
      <c r="R178" s="21" t="s">
        <v>329</v>
      </c>
      <c r="S178" s="119">
        <f>DATABASE_Table[[#This Row],[Inicial Asking Price (€) (Total)]]-DATABASE_Table[[#This Row],[Vista membership]]-DATABASE_Table[[#This Row],[FF&amp;E]]</f>
        <v>915000</v>
      </c>
      <c r="T178" s="124">
        <v>950000</v>
      </c>
      <c r="U178" s="36">
        <v>405000</v>
      </c>
      <c r="V178" s="21"/>
      <c r="W178" s="36">
        <v>35000</v>
      </c>
      <c r="X178" s="73">
        <f>DATABASE_Table[[#This Row],[Current Asking price( Total)]]-DATABASE_Table[[#This Row],[Vista membership]]-DATABASE_Table[[#This Row],[FF&amp;E]]</f>
        <v>370000</v>
      </c>
      <c r="Y178" s="37"/>
      <c r="Z178" s="36"/>
      <c r="AA178" s="73">
        <f>DATABASE_Table[[#This Row],[Sell price (Total)]]-DATABASE_Table[[#This Row],[FF&amp;E]]-DATABASE_Table[[#This Row],[Vista membership]]</f>
        <v>-35000</v>
      </c>
      <c r="AB178" s="74">
        <v>45792</v>
      </c>
      <c r="AC178" s="74" t="str">
        <f t="shared" si="2"/>
        <v>Q2 2025</v>
      </c>
      <c r="AD178" s="123"/>
      <c r="AE178" s="69">
        <v>47118</v>
      </c>
      <c r="AF178" s="21" t="s">
        <v>80</v>
      </c>
      <c r="AG178" s="21" t="s">
        <v>81</v>
      </c>
      <c r="AH178" s="122" t="s">
        <v>82</v>
      </c>
      <c r="AI178" s="122" t="s">
        <v>83</v>
      </c>
      <c r="AJ178" s="122" t="s">
        <v>84</v>
      </c>
      <c r="AK178" s="122" t="s">
        <v>85</v>
      </c>
      <c r="AL178" s="21" t="s">
        <v>86</v>
      </c>
      <c r="AM178" s="122" t="s">
        <v>78</v>
      </c>
    </row>
    <row r="179" spans="1:39" customFormat="1" ht="15.75" customHeight="1" x14ac:dyDescent="0.3">
      <c r="A179" t="s">
        <v>78</v>
      </c>
      <c r="B179" s="21" t="s">
        <v>773</v>
      </c>
      <c r="C179" s="21" t="s">
        <v>780</v>
      </c>
      <c r="D179" s="117" t="s">
        <v>235</v>
      </c>
      <c r="E179" s="21" t="s">
        <v>79</v>
      </c>
      <c r="F179" s="21" t="s">
        <v>316</v>
      </c>
      <c r="G179" s="21">
        <v>56.5</v>
      </c>
      <c r="H179" s="21"/>
      <c r="I179" s="117" t="s">
        <v>842</v>
      </c>
      <c r="J179" s="117" t="s">
        <v>325</v>
      </c>
      <c r="K179" s="118">
        <v>5</v>
      </c>
      <c r="L179" s="21"/>
      <c r="M179" s="21"/>
      <c r="N179" s="21"/>
      <c r="O179" s="21"/>
      <c r="P179" s="21">
        <v>51.5</v>
      </c>
      <c r="Q179" s="21"/>
      <c r="R179" s="21" t="s">
        <v>329</v>
      </c>
      <c r="S179" s="119">
        <f>DATABASE_Table[[#This Row],[Inicial Asking Price (€) (Total)]]-DATABASE_Table[[#This Row],[Vista membership]]-DATABASE_Table[[#This Row],[FF&amp;E]]</f>
        <v>1055000</v>
      </c>
      <c r="T179" s="124">
        <v>1090000</v>
      </c>
      <c r="U179" s="36">
        <v>405000</v>
      </c>
      <c r="V179" s="21"/>
      <c r="W179" s="36">
        <v>35000</v>
      </c>
      <c r="X179" s="73">
        <f>DATABASE_Table[[#This Row],[Current Asking price( Total)]]-DATABASE_Table[[#This Row],[Vista membership]]-DATABASE_Table[[#This Row],[FF&amp;E]]</f>
        <v>370000</v>
      </c>
      <c r="Y179" s="37"/>
      <c r="Z179" s="36"/>
      <c r="AA179" s="73">
        <f>DATABASE_Table[[#This Row],[Sell price (Total)]]-DATABASE_Table[[#This Row],[FF&amp;E]]-DATABASE_Table[[#This Row],[Vista membership]]</f>
        <v>-35000</v>
      </c>
      <c r="AB179" s="74">
        <v>45792</v>
      </c>
      <c r="AC179" s="74" t="str">
        <f t="shared" si="2"/>
        <v>Q2 2025</v>
      </c>
      <c r="AD179" s="123"/>
      <c r="AE179" s="69">
        <v>47118</v>
      </c>
      <c r="AF179" s="21" t="s">
        <v>80</v>
      </c>
      <c r="AG179" s="21" t="s">
        <v>81</v>
      </c>
      <c r="AH179" s="122" t="s">
        <v>82</v>
      </c>
      <c r="AI179" s="122" t="s">
        <v>83</v>
      </c>
      <c r="AJ179" s="122" t="s">
        <v>84</v>
      </c>
      <c r="AK179" s="122" t="s">
        <v>85</v>
      </c>
      <c r="AL179" s="21" t="s">
        <v>86</v>
      </c>
      <c r="AM179" s="122" t="s">
        <v>78</v>
      </c>
    </row>
    <row r="180" spans="1:39" customFormat="1" ht="15.75" customHeight="1" x14ac:dyDescent="0.3">
      <c r="A180" t="s">
        <v>78</v>
      </c>
      <c r="B180" s="21" t="s">
        <v>775</v>
      </c>
      <c r="C180" s="21" t="s">
        <v>780</v>
      </c>
      <c r="D180" s="117" t="s">
        <v>268</v>
      </c>
      <c r="E180" s="21" t="s">
        <v>79</v>
      </c>
      <c r="F180" s="21" t="s">
        <v>319</v>
      </c>
      <c r="G180" s="21">
        <v>167</v>
      </c>
      <c r="H180" s="21"/>
      <c r="I180" s="117" t="s">
        <v>842</v>
      </c>
      <c r="J180" s="117" t="s">
        <v>325</v>
      </c>
      <c r="K180" s="118"/>
      <c r="L180" s="21"/>
      <c r="M180" s="21"/>
      <c r="N180" s="21">
        <v>31</v>
      </c>
      <c r="O180" s="21">
        <v>20</v>
      </c>
      <c r="P180" s="21">
        <v>116</v>
      </c>
      <c r="Q180" s="21"/>
      <c r="R180" s="21" t="s">
        <v>625</v>
      </c>
      <c r="S180" s="119">
        <f>DATABASE_Table[[#This Row],[Inicial Asking Price (€) (Total)]]-DATABASE_Table[[#This Row],[Vista membership]]-DATABASE_Table[[#This Row],[FF&amp;E]]</f>
        <v>925000</v>
      </c>
      <c r="T180" s="120">
        <v>925000</v>
      </c>
      <c r="U180" s="36">
        <v>925000</v>
      </c>
      <c r="V180" s="21"/>
      <c r="W180" s="36">
        <v>0</v>
      </c>
      <c r="X180" s="73">
        <f>DATABASE_Table[[#This Row],[Current Asking price( Total)]]-DATABASE_Table[[#This Row],[Vista membership]]-DATABASE_Table[[#This Row],[FF&amp;E]]</f>
        <v>925000</v>
      </c>
      <c r="Y180" s="37">
        <v>0</v>
      </c>
      <c r="Z180" s="36">
        <v>925000</v>
      </c>
      <c r="AA180" s="73">
        <f>DATABASE_Table[[#This Row],[Sell price (Total)]]-DATABASE_Table[[#This Row],[FF&amp;E]]-DATABASE_Table[[#This Row],[Vista membership]]</f>
        <v>925000</v>
      </c>
      <c r="AB180" s="74">
        <v>45792</v>
      </c>
      <c r="AC180" s="74" t="str">
        <f t="shared" si="2"/>
        <v>Q2 2025</v>
      </c>
      <c r="AD180" s="121">
        <v>45904</v>
      </c>
      <c r="AE180" s="69">
        <v>47118</v>
      </c>
      <c r="AF180" s="21" t="s">
        <v>80</v>
      </c>
      <c r="AG180" s="21" t="s">
        <v>81</v>
      </c>
      <c r="AH180" s="122" t="s">
        <v>82</v>
      </c>
      <c r="AI180" s="122" t="s">
        <v>83</v>
      </c>
      <c r="AJ180" s="122" t="s">
        <v>84</v>
      </c>
      <c r="AK180" s="122" t="s">
        <v>85</v>
      </c>
      <c r="AL180" s="21" t="s">
        <v>86</v>
      </c>
      <c r="AM180" s="122" t="s">
        <v>78</v>
      </c>
    </row>
    <row r="181" spans="1:39" customFormat="1" ht="15.75" customHeight="1" x14ac:dyDescent="0.3">
      <c r="A181" t="s">
        <v>78</v>
      </c>
      <c r="B181" s="21" t="s">
        <v>775</v>
      </c>
      <c r="C181" s="21" t="s">
        <v>780</v>
      </c>
      <c r="D181" s="117" t="s">
        <v>269</v>
      </c>
      <c r="E181" s="21" t="s">
        <v>79</v>
      </c>
      <c r="F181" s="21" t="s">
        <v>319</v>
      </c>
      <c r="G181" s="21">
        <v>194.4</v>
      </c>
      <c r="H181" s="21"/>
      <c r="I181" s="117" t="s">
        <v>842</v>
      </c>
      <c r="J181" s="117" t="s">
        <v>325</v>
      </c>
      <c r="K181" s="118"/>
      <c r="L181" s="21"/>
      <c r="M181" s="21"/>
      <c r="N181" s="21">
        <v>27</v>
      </c>
      <c r="O181" s="21">
        <v>30</v>
      </c>
      <c r="P181" s="21">
        <v>137.4</v>
      </c>
      <c r="Q181" s="21"/>
      <c r="R181" s="21" t="s">
        <v>625</v>
      </c>
      <c r="S181" s="119">
        <f>DATABASE_Table[[#This Row],[Inicial Asking Price (€) (Total)]]-DATABASE_Table[[#This Row],[Vista membership]]-DATABASE_Table[[#This Row],[FF&amp;E]]</f>
        <v>1105000</v>
      </c>
      <c r="T181" s="120">
        <v>1105000</v>
      </c>
      <c r="U181" s="36">
        <v>1105000</v>
      </c>
      <c r="V181" s="21"/>
      <c r="W181" s="36">
        <v>0</v>
      </c>
      <c r="X181" s="73">
        <f>DATABASE_Table[[#This Row],[Current Asking price( Total)]]-DATABASE_Table[[#This Row],[Vista membership]]-DATABASE_Table[[#This Row],[FF&amp;E]]</f>
        <v>1105000</v>
      </c>
      <c r="Y181" s="37">
        <v>0</v>
      </c>
      <c r="Z181" s="36">
        <v>1105000</v>
      </c>
      <c r="AA181" s="73">
        <f>DATABASE_Table[[#This Row],[Sell price (Total)]]-DATABASE_Table[[#This Row],[FF&amp;E]]-DATABASE_Table[[#This Row],[Vista membership]]</f>
        <v>1105000</v>
      </c>
      <c r="AB181" s="74">
        <v>45792</v>
      </c>
      <c r="AC181" s="74" t="str">
        <f t="shared" si="2"/>
        <v>Q2 2025</v>
      </c>
      <c r="AD181" s="121">
        <v>45996</v>
      </c>
      <c r="AE181" s="69">
        <v>47118</v>
      </c>
      <c r="AF181" s="21" t="s">
        <v>80</v>
      </c>
      <c r="AG181" s="21" t="s">
        <v>81</v>
      </c>
      <c r="AH181" s="122" t="s">
        <v>82</v>
      </c>
      <c r="AI181" s="122" t="s">
        <v>83</v>
      </c>
      <c r="AJ181" s="122" t="s">
        <v>84</v>
      </c>
      <c r="AK181" s="122" t="s">
        <v>85</v>
      </c>
      <c r="AL181" s="21" t="s">
        <v>86</v>
      </c>
      <c r="AM181" s="122" t="s">
        <v>78</v>
      </c>
    </row>
    <row r="182" spans="1:39" customFormat="1" ht="15.75" customHeight="1" x14ac:dyDescent="0.3">
      <c r="A182" t="s">
        <v>78</v>
      </c>
      <c r="B182" s="21" t="s">
        <v>775</v>
      </c>
      <c r="C182" s="21" t="s">
        <v>780</v>
      </c>
      <c r="D182" s="117" t="s">
        <v>272</v>
      </c>
      <c r="E182" s="21" t="s">
        <v>79</v>
      </c>
      <c r="F182" s="21" t="s">
        <v>319</v>
      </c>
      <c r="G182" s="21">
        <v>194.4</v>
      </c>
      <c r="H182" s="21"/>
      <c r="I182" s="117" t="s">
        <v>842</v>
      </c>
      <c r="J182" s="117" t="s">
        <v>325</v>
      </c>
      <c r="K182" s="118"/>
      <c r="L182" s="21"/>
      <c r="M182" s="21"/>
      <c r="N182" s="21">
        <v>31</v>
      </c>
      <c r="O182" s="21">
        <v>26</v>
      </c>
      <c r="P182" s="21">
        <v>137.4</v>
      </c>
      <c r="Q182" s="21"/>
      <c r="R182" s="21" t="s">
        <v>326</v>
      </c>
      <c r="S182" s="119">
        <f>DATABASE_Table[[#This Row],[Inicial Asking Price (€) (Total)]]-DATABASE_Table[[#This Row],[Vista membership]]-DATABASE_Table[[#This Row],[FF&amp;E]]</f>
        <v>1100000</v>
      </c>
      <c r="T182" s="120">
        <v>1100000</v>
      </c>
      <c r="U182" s="36">
        <v>1160000</v>
      </c>
      <c r="V182" s="21"/>
      <c r="W182" s="36">
        <v>0</v>
      </c>
      <c r="X182" s="73">
        <f>DATABASE_Table[[#This Row],[Current Asking price( Total)]]-DATABASE_Table[[#This Row],[Vista membership]]-DATABASE_Table[[#This Row],[FF&amp;E]]</f>
        <v>1160000</v>
      </c>
      <c r="Y182" s="37">
        <v>0</v>
      </c>
      <c r="Z182" s="36">
        <v>1160000</v>
      </c>
      <c r="AA182" s="73">
        <f>DATABASE_Table[[#This Row],[Sell price (Total)]]-DATABASE_Table[[#This Row],[FF&amp;E]]-DATABASE_Table[[#This Row],[Vista membership]]</f>
        <v>1160000</v>
      </c>
      <c r="AB182" s="74">
        <v>45792</v>
      </c>
      <c r="AC182" s="74" t="str">
        <f t="shared" si="2"/>
        <v>Q2 2025</v>
      </c>
      <c r="AD182" s="123">
        <v>45968</v>
      </c>
      <c r="AE182" s="69">
        <v>47118</v>
      </c>
      <c r="AF182" s="21" t="s">
        <v>80</v>
      </c>
      <c r="AG182" s="21" t="s">
        <v>81</v>
      </c>
      <c r="AH182" s="122" t="s">
        <v>82</v>
      </c>
      <c r="AI182" s="122" t="s">
        <v>83</v>
      </c>
      <c r="AJ182" s="122" t="s">
        <v>84</v>
      </c>
      <c r="AK182" s="122" t="s">
        <v>85</v>
      </c>
      <c r="AL182" s="21" t="s">
        <v>86</v>
      </c>
      <c r="AM182" s="122" t="s">
        <v>78</v>
      </c>
    </row>
    <row r="183" spans="1:39" customFormat="1" ht="15.75" customHeight="1" x14ac:dyDescent="0.3">
      <c r="A183" t="s">
        <v>78</v>
      </c>
      <c r="B183" s="21" t="s">
        <v>775</v>
      </c>
      <c r="C183" s="21" t="s">
        <v>780</v>
      </c>
      <c r="D183" s="117" t="s">
        <v>270</v>
      </c>
      <c r="E183" s="21" t="s">
        <v>79</v>
      </c>
      <c r="F183" s="21" t="s">
        <v>319</v>
      </c>
      <c r="G183" s="21">
        <v>167</v>
      </c>
      <c r="H183" s="21"/>
      <c r="I183" s="117" t="s">
        <v>842</v>
      </c>
      <c r="J183" s="117" t="s">
        <v>325</v>
      </c>
      <c r="K183" s="118"/>
      <c r="L183" s="21"/>
      <c r="M183" s="21"/>
      <c r="N183" s="21">
        <v>31</v>
      </c>
      <c r="O183" s="21">
        <v>20</v>
      </c>
      <c r="P183" s="21">
        <v>116</v>
      </c>
      <c r="Q183" s="21"/>
      <c r="R183" s="21" t="s">
        <v>625</v>
      </c>
      <c r="S183" s="119">
        <f>DATABASE_Table[[#This Row],[Inicial Asking Price (€) (Total)]]-DATABASE_Table[[#This Row],[Vista membership]]-DATABASE_Table[[#This Row],[FF&amp;E]]</f>
        <v>925000</v>
      </c>
      <c r="T183" s="120">
        <v>925000</v>
      </c>
      <c r="U183" s="36">
        <v>925000</v>
      </c>
      <c r="V183" s="21"/>
      <c r="W183" s="36">
        <v>0</v>
      </c>
      <c r="X183" s="73">
        <f>DATABASE_Table[[#This Row],[Current Asking price( Total)]]-DATABASE_Table[[#This Row],[Vista membership]]-DATABASE_Table[[#This Row],[FF&amp;E]]</f>
        <v>925000</v>
      </c>
      <c r="Y183" s="37">
        <v>0</v>
      </c>
      <c r="Z183" s="36">
        <v>925000</v>
      </c>
      <c r="AA183" s="73">
        <f>DATABASE_Table[[#This Row],[Sell price (Total)]]-DATABASE_Table[[#This Row],[FF&amp;E]]-DATABASE_Table[[#This Row],[Vista membership]]</f>
        <v>925000</v>
      </c>
      <c r="AB183" s="74">
        <v>45792</v>
      </c>
      <c r="AC183" s="74" t="str">
        <f t="shared" si="2"/>
        <v>Q2 2025</v>
      </c>
      <c r="AD183" s="121">
        <v>45967</v>
      </c>
      <c r="AE183" s="69">
        <v>47118</v>
      </c>
      <c r="AF183" s="21" t="s">
        <v>80</v>
      </c>
      <c r="AG183" s="21" t="s">
        <v>81</v>
      </c>
      <c r="AH183" s="122" t="s">
        <v>82</v>
      </c>
      <c r="AI183" s="122" t="s">
        <v>83</v>
      </c>
      <c r="AJ183" s="122" t="s">
        <v>84</v>
      </c>
      <c r="AK183" s="122" t="s">
        <v>85</v>
      </c>
      <c r="AL183" s="21" t="s">
        <v>86</v>
      </c>
      <c r="AM183" s="122" t="s">
        <v>78</v>
      </c>
    </row>
    <row r="184" spans="1:39" customFormat="1" ht="15.75" customHeight="1" x14ac:dyDescent="0.3">
      <c r="A184" t="s">
        <v>78</v>
      </c>
      <c r="B184" s="21" t="s">
        <v>775</v>
      </c>
      <c r="C184" s="21" t="s">
        <v>780</v>
      </c>
      <c r="D184" s="117" t="s">
        <v>271</v>
      </c>
      <c r="E184" s="21" t="s">
        <v>79</v>
      </c>
      <c r="F184" s="21" t="s">
        <v>319</v>
      </c>
      <c r="G184" s="21">
        <v>167</v>
      </c>
      <c r="H184" s="21"/>
      <c r="I184" s="117" t="s">
        <v>842</v>
      </c>
      <c r="J184" s="117" t="s">
        <v>325</v>
      </c>
      <c r="K184" s="118"/>
      <c r="L184" s="21"/>
      <c r="M184" s="21"/>
      <c r="N184" s="21">
        <v>31</v>
      </c>
      <c r="O184" s="21">
        <v>20</v>
      </c>
      <c r="P184" s="21">
        <v>116</v>
      </c>
      <c r="Q184" s="21"/>
      <c r="R184" s="21" t="s">
        <v>625</v>
      </c>
      <c r="S184" s="119">
        <f>DATABASE_Table[[#This Row],[Inicial Asking Price (€) (Total)]]-DATABASE_Table[[#This Row],[Vista membership]]-DATABASE_Table[[#This Row],[FF&amp;E]]</f>
        <v>925000</v>
      </c>
      <c r="T184" s="120">
        <v>925000</v>
      </c>
      <c r="U184" s="36">
        <v>925000</v>
      </c>
      <c r="V184" s="21"/>
      <c r="W184" s="36">
        <v>0</v>
      </c>
      <c r="X184" s="73">
        <f>DATABASE_Table[[#This Row],[Current Asking price( Total)]]-DATABASE_Table[[#This Row],[Vista membership]]-DATABASE_Table[[#This Row],[FF&amp;E]]</f>
        <v>925000</v>
      </c>
      <c r="Y184" s="37">
        <v>0</v>
      </c>
      <c r="Z184" s="36">
        <v>925000</v>
      </c>
      <c r="AA184" s="73">
        <f>DATABASE_Table[[#This Row],[Sell price (Total)]]-DATABASE_Table[[#This Row],[FF&amp;E]]-DATABASE_Table[[#This Row],[Vista membership]]</f>
        <v>925000</v>
      </c>
      <c r="AB184" s="74">
        <v>45792</v>
      </c>
      <c r="AC184" s="74" t="str">
        <f t="shared" si="2"/>
        <v>Q2 2025</v>
      </c>
      <c r="AD184" s="121">
        <v>45968</v>
      </c>
      <c r="AE184" s="69">
        <v>47118</v>
      </c>
      <c r="AF184" s="21" t="s">
        <v>80</v>
      </c>
      <c r="AG184" s="21" t="s">
        <v>81</v>
      </c>
      <c r="AH184" s="122" t="s">
        <v>82</v>
      </c>
      <c r="AI184" s="122" t="s">
        <v>83</v>
      </c>
      <c r="AJ184" s="122" t="s">
        <v>84</v>
      </c>
      <c r="AK184" s="122" t="s">
        <v>85</v>
      </c>
      <c r="AL184" s="21" t="s">
        <v>86</v>
      </c>
      <c r="AM184" s="122" t="s">
        <v>78</v>
      </c>
    </row>
    <row r="185" spans="1:39" customFormat="1" ht="15.75" customHeight="1" x14ac:dyDescent="0.3">
      <c r="A185" t="s">
        <v>78</v>
      </c>
      <c r="B185" s="21" t="s">
        <v>775</v>
      </c>
      <c r="C185" s="21" t="s">
        <v>780</v>
      </c>
      <c r="D185" s="117" t="s">
        <v>273</v>
      </c>
      <c r="E185" s="21" t="s">
        <v>79</v>
      </c>
      <c r="F185" s="21" t="s">
        <v>319</v>
      </c>
      <c r="G185" s="21">
        <v>196.4</v>
      </c>
      <c r="H185" s="21"/>
      <c r="I185" s="117" t="s">
        <v>842</v>
      </c>
      <c r="J185" s="117" t="s">
        <v>325</v>
      </c>
      <c r="K185" s="118"/>
      <c r="L185" s="21"/>
      <c r="M185" s="21"/>
      <c r="N185" s="21">
        <v>33</v>
      </c>
      <c r="O185" s="21">
        <v>26</v>
      </c>
      <c r="P185" s="21">
        <v>137.4</v>
      </c>
      <c r="Q185" s="21"/>
      <c r="R185" s="21" t="s">
        <v>625</v>
      </c>
      <c r="S185" s="119">
        <f>DATABASE_Table[[#This Row],[Inicial Asking Price (€) (Total)]]-DATABASE_Table[[#This Row],[Vista membership]]-DATABASE_Table[[#This Row],[FF&amp;E]]</f>
        <v>1100000</v>
      </c>
      <c r="T185" s="120">
        <v>1100000</v>
      </c>
      <c r="U185" s="36">
        <v>1100000</v>
      </c>
      <c r="V185" s="21"/>
      <c r="W185" s="36">
        <v>0</v>
      </c>
      <c r="X185" s="73">
        <f>DATABASE_Table[[#This Row],[Current Asking price( Total)]]-DATABASE_Table[[#This Row],[Vista membership]]-DATABASE_Table[[#This Row],[FF&amp;E]]</f>
        <v>1100000</v>
      </c>
      <c r="Y185" s="37">
        <v>0</v>
      </c>
      <c r="Z185" s="36">
        <v>1100000</v>
      </c>
      <c r="AA185" s="73">
        <f>DATABASE_Table[[#This Row],[Sell price (Total)]]-DATABASE_Table[[#This Row],[FF&amp;E]]-DATABASE_Table[[#This Row],[Vista membership]]</f>
        <v>1100000</v>
      </c>
      <c r="AB185" s="74">
        <v>45792</v>
      </c>
      <c r="AC185" s="74" t="str">
        <f t="shared" si="2"/>
        <v>Q2 2025</v>
      </c>
      <c r="AD185" s="121">
        <v>46038</v>
      </c>
      <c r="AE185" s="69">
        <v>47118</v>
      </c>
      <c r="AF185" s="21" t="s">
        <v>80</v>
      </c>
      <c r="AG185" s="21" t="s">
        <v>81</v>
      </c>
      <c r="AH185" s="122" t="s">
        <v>82</v>
      </c>
      <c r="AI185" s="122" t="s">
        <v>83</v>
      </c>
      <c r="AJ185" s="122" t="s">
        <v>84</v>
      </c>
      <c r="AK185" s="122" t="s">
        <v>85</v>
      </c>
      <c r="AL185" s="21" t="s">
        <v>86</v>
      </c>
      <c r="AM185" s="122" t="s">
        <v>78</v>
      </c>
    </row>
    <row r="186" spans="1:39" customFormat="1" ht="15.75" customHeight="1" x14ac:dyDescent="0.3">
      <c r="A186" t="s">
        <v>78</v>
      </c>
      <c r="B186" s="21" t="s">
        <v>775</v>
      </c>
      <c r="C186" s="21" t="s">
        <v>780</v>
      </c>
      <c r="D186" s="117" t="s">
        <v>274</v>
      </c>
      <c r="E186" s="21" t="s">
        <v>79</v>
      </c>
      <c r="F186" s="21" t="s">
        <v>319</v>
      </c>
      <c r="G186" s="21">
        <v>167</v>
      </c>
      <c r="H186" s="21"/>
      <c r="I186" s="117" t="s">
        <v>842</v>
      </c>
      <c r="J186" s="117" t="s">
        <v>325</v>
      </c>
      <c r="K186" s="118"/>
      <c r="L186" s="21"/>
      <c r="M186" s="21"/>
      <c r="N186" s="21">
        <v>31</v>
      </c>
      <c r="O186" s="21">
        <v>20</v>
      </c>
      <c r="P186" s="21">
        <v>116</v>
      </c>
      <c r="Q186" s="21"/>
      <c r="R186" s="21" t="s">
        <v>625</v>
      </c>
      <c r="S186" s="119">
        <f>DATABASE_Table[[#This Row],[Inicial Asking Price (€) (Total)]]-DATABASE_Table[[#This Row],[Vista membership]]-DATABASE_Table[[#This Row],[FF&amp;E]]</f>
        <v>910000</v>
      </c>
      <c r="T186" s="120">
        <v>910000</v>
      </c>
      <c r="U186" s="36">
        <v>940000</v>
      </c>
      <c r="V186" s="21"/>
      <c r="W186" s="36">
        <v>0</v>
      </c>
      <c r="X186" s="73">
        <f>DATABASE_Table[[#This Row],[Current Asking price( Total)]]-DATABASE_Table[[#This Row],[Vista membership]]-DATABASE_Table[[#This Row],[FF&amp;E]]</f>
        <v>940000</v>
      </c>
      <c r="Y186" s="37">
        <v>0</v>
      </c>
      <c r="Z186" s="36">
        <v>940000</v>
      </c>
      <c r="AA186" s="73">
        <f>DATABASE_Table[[#This Row],[Sell price (Total)]]-DATABASE_Table[[#This Row],[FF&amp;E]]-DATABASE_Table[[#This Row],[Vista membership]]</f>
        <v>940000</v>
      </c>
      <c r="AB186" s="74">
        <v>45792</v>
      </c>
      <c r="AC186" s="74" t="str">
        <f t="shared" si="2"/>
        <v>Q2 2025</v>
      </c>
      <c r="AD186" s="121">
        <v>45989</v>
      </c>
      <c r="AE186" s="69">
        <v>47118</v>
      </c>
      <c r="AF186" s="21" t="s">
        <v>80</v>
      </c>
      <c r="AG186" s="21" t="s">
        <v>81</v>
      </c>
      <c r="AH186" s="122" t="s">
        <v>82</v>
      </c>
      <c r="AI186" s="122" t="s">
        <v>83</v>
      </c>
      <c r="AJ186" s="122" t="s">
        <v>84</v>
      </c>
      <c r="AK186" s="122" t="s">
        <v>85</v>
      </c>
      <c r="AL186" s="21" t="s">
        <v>86</v>
      </c>
      <c r="AM186" s="122" t="s">
        <v>78</v>
      </c>
    </row>
    <row r="187" spans="1:39" customFormat="1" ht="15.75" customHeight="1" x14ac:dyDescent="0.3">
      <c r="A187" t="s">
        <v>78</v>
      </c>
      <c r="B187" s="21" t="s">
        <v>775</v>
      </c>
      <c r="C187" s="21" t="s">
        <v>780</v>
      </c>
      <c r="D187" s="117" t="s">
        <v>282</v>
      </c>
      <c r="E187" s="21" t="s">
        <v>79</v>
      </c>
      <c r="F187" s="21" t="s">
        <v>319</v>
      </c>
      <c r="G187" s="21">
        <v>195.8</v>
      </c>
      <c r="H187" s="21"/>
      <c r="I187" s="117" t="s">
        <v>842</v>
      </c>
      <c r="J187" s="117" t="s">
        <v>325</v>
      </c>
      <c r="K187" s="118"/>
      <c r="L187" s="21"/>
      <c r="M187" s="21"/>
      <c r="N187" s="21">
        <v>30</v>
      </c>
      <c r="O187" s="21">
        <v>28</v>
      </c>
      <c r="P187" s="21">
        <v>137.80000000000001</v>
      </c>
      <c r="Q187" s="21"/>
      <c r="R187" s="21" t="s">
        <v>625</v>
      </c>
      <c r="S187" s="119">
        <f>DATABASE_Table[[#This Row],[Inicial Asking Price (€) (Total)]]-DATABASE_Table[[#This Row],[Vista membership]]-DATABASE_Table[[#This Row],[FF&amp;E]]</f>
        <v>1080000</v>
      </c>
      <c r="T187" s="120">
        <v>1080000</v>
      </c>
      <c r="U187" s="36">
        <v>1100000</v>
      </c>
      <c r="V187" s="21"/>
      <c r="W187" s="36">
        <v>0</v>
      </c>
      <c r="X187" s="73">
        <f>DATABASE_Table[[#This Row],[Current Asking price( Total)]]-DATABASE_Table[[#This Row],[Vista membership]]-DATABASE_Table[[#This Row],[FF&amp;E]]</f>
        <v>1100000</v>
      </c>
      <c r="Y187" s="37">
        <v>0</v>
      </c>
      <c r="Z187" s="36">
        <v>1100000</v>
      </c>
      <c r="AA187" s="73">
        <f>DATABASE_Table[[#This Row],[Sell price (Total)]]-DATABASE_Table[[#This Row],[FF&amp;E]]-DATABASE_Table[[#This Row],[Vista membership]]</f>
        <v>1100000</v>
      </c>
      <c r="AB187" s="74">
        <v>45792</v>
      </c>
      <c r="AC187" s="74" t="str">
        <f t="shared" si="2"/>
        <v>Q2 2025</v>
      </c>
      <c r="AD187" s="121">
        <v>46038</v>
      </c>
      <c r="AE187" s="69">
        <v>47118</v>
      </c>
      <c r="AF187" s="21" t="s">
        <v>80</v>
      </c>
      <c r="AG187" s="21" t="s">
        <v>81</v>
      </c>
      <c r="AH187" s="122" t="s">
        <v>82</v>
      </c>
      <c r="AI187" s="122" t="s">
        <v>83</v>
      </c>
      <c r="AJ187" s="122" t="s">
        <v>84</v>
      </c>
      <c r="AK187" s="122" t="s">
        <v>85</v>
      </c>
      <c r="AL187" s="21" t="s">
        <v>86</v>
      </c>
      <c r="AM187" s="122" t="s">
        <v>78</v>
      </c>
    </row>
    <row r="188" spans="1:39" customFormat="1" ht="15.75" customHeight="1" x14ac:dyDescent="0.3">
      <c r="A188" t="s">
        <v>78</v>
      </c>
      <c r="B188" s="21" t="s">
        <v>775</v>
      </c>
      <c r="C188" s="21" t="s">
        <v>780</v>
      </c>
      <c r="D188" s="117" t="s">
        <v>286</v>
      </c>
      <c r="E188" s="21" t="s">
        <v>79</v>
      </c>
      <c r="F188" s="21" t="s">
        <v>319</v>
      </c>
      <c r="G188" s="21">
        <v>169</v>
      </c>
      <c r="H188" s="21"/>
      <c r="I188" s="117" t="s">
        <v>842</v>
      </c>
      <c r="J188" s="117" t="s">
        <v>325</v>
      </c>
      <c r="K188" s="118"/>
      <c r="L188" s="21"/>
      <c r="M188" s="21"/>
      <c r="N188" s="21">
        <v>30</v>
      </c>
      <c r="O188" s="21">
        <v>23</v>
      </c>
      <c r="P188" s="21">
        <v>116</v>
      </c>
      <c r="Q188" s="21"/>
      <c r="R188" s="21" t="s">
        <v>625</v>
      </c>
      <c r="S188" s="119">
        <f>DATABASE_Table[[#This Row],[Inicial Asking Price (€) (Total)]]-DATABASE_Table[[#This Row],[Vista membership]]-DATABASE_Table[[#This Row],[FF&amp;E]]</f>
        <v>925000</v>
      </c>
      <c r="T188" s="120">
        <v>925000</v>
      </c>
      <c r="U188" s="36">
        <v>925000</v>
      </c>
      <c r="V188" s="21"/>
      <c r="W188" s="36">
        <v>0</v>
      </c>
      <c r="X188" s="73">
        <f>DATABASE_Table[[#This Row],[Current Asking price( Total)]]-DATABASE_Table[[#This Row],[Vista membership]]-DATABASE_Table[[#This Row],[FF&amp;E]]</f>
        <v>925000</v>
      </c>
      <c r="Y188" s="37">
        <v>0</v>
      </c>
      <c r="Z188" s="36">
        <v>925000</v>
      </c>
      <c r="AA188" s="73">
        <f>DATABASE_Table[[#This Row],[Sell price (Total)]]-DATABASE_Table[[#This Row],[FF&amp;E]]-DATABASE_Table[[#This Row],[Vista membership]]</f>
        <v>925000</v>
      </c>
      <c r="AB188" s="74">
        <v>45792</v>
      </c>
      <c r="AC188" s="74" t="str">
        <f t="shared" si="2"/>
        <v>Q2 2025</v>
      </c>
      <c r="AD188" s="121">
        <v>46020</v>
      </c>
      <c r="AE188" s="69">
        <v>47118</v>
      </c>
      <c r="AF188" s="21" t="s">
        <v>80</v>
      </c>
      <c r="AG188" s="21" t="s">
        <v>81</v>
      </c>
      <c r="AH188" s="122" t="s">
        <v>82</v>
      </c>
      <c r="AI188" s="122" t="s">
        <v>83</v>
      </c>
      <c r="AJ188" s="122" t="s">
        <v>84</v>
      </c>
      <c r="AK188" s="122" t="s">
        <v>85</v>
      </c>
      <c r="AL188" s="21" t="s">
        <v>86</v>
      </c>
      <c r="AM188" s="122" t="s">
        <v>78</v>
      </c>
    </row>
    <row r="189" spans="1:39" customFormat="1" ht="15.75" customHeight="1" x14ac:dyDescent="0.3">
      <c r="A189" t="s">
        <v>78</v>
      </c>
      <c r="B189" s="21" t="s">
        <v>775</v>
      </c>
      <c r="C189" s="21" t="s">
        <v>780</v>
      </c>
      <c r="D189" s="117" t="s">
        <v>289</v>
      </c>
      <c r="E189" s="21" t="s">
        <v>79</v>
      </c>
      <c r="F189" s="21" t="s">
        <v>319</v>
      </c>
      <c r="G189" s="21">
        <v>170</v>
      </c>
      <c r="H189" s="21"/>
      <c r="I189" s="117" t="s">
        <v>842</v>
      </c>
      <c r="J189" s="117" t="s">
        <v>325</v>
      </c>
      <c r="K189" s="118"/>
      <c r="L189" s="21"/>
      <c r="M189" s="21"/>
      <c r="N189" s="21">
        <v>30</v>
      </c>
      <c r="O189" s="21">
        <v>24</v>
      </c>
      <c r="P189" s="21">
        <v>116</v>
      </c>
      <c r="Q189" s="21"/>
      <c r="R189" s="21" t="s">
        <v>625</v>
      </c>
      <c r="S189" s="119">
        <f>DATABASE_Table[[#This Row],[Inicial Asking Price (€) (Total)]]-DATABASE_Table[[#This Row],[Vista membership]]-DATABASE_Table[[#This Row],[FF&amp;E]]</f>
        <v>795000</v>
      </c>
      <c r="T189" s="120">
        <v>795000</v>
      </c>
      <c r="U189" s="36">
        <v>795000</v>
      </c>
      <c r="V189" s="21"/>
      <c r="W189" s="36">
        <v>0</v>
      </c>
      <c r="X189" s="73">
        <f>DATABASE_Table[[#This Row],[Current Asking price( Total)]]-DATABASE_Table[[#This Row],[Vista membership]]-DATABASE_Table[[#This Row],[FF&amp;E]]</f>
        <v>795000</v>
      </c>
      <c r="Y189" s="37">
        <v>0</v>
      </c>
      <c r="Z189" s="36">
        <v>795000</v>
      </c>
      <c r="AA189" s="73">
        <f>DATABASE_Table[[#This Row],[Sell price (Total)]]-DATABASE_Table[[#This Row],[FF&amp;E]]-DATABASE_Table[[#This Row],[Vista membership]]</f>
        <v>795000</v>
      </c>
      <c r="AB189" s="74">
        <v>45792</v>
      </c>
      <c r="AC189" s="74" t="str">
        <f t="shared" si="2"/>
        <v>Q2 2025</v>
      </c>
      <c r="AD189" s="121">
        <v>45946</v>
      </c>
      <c r="AE189" s="69">
        <v>47118</v>
      </c>
      <c r="AF189" s="21" t="s">
        <v>80</v>
      </c>
      <c r="AG189" s="21" t="s">
        <v>81</v>
      </c>
      <c r="AH189" s="122" t="s">
        <v>82</v>
      </c>
      <c r="AI189" s="122" t="s">
        <v>83</v>
      </c>
      <c r="AJ189" s="122" t="s">
        <v>84</v>
      </c>
      <c r="AK189" s="122" t="s">
        <v>85</v>
      </c>
      <c r="AL189" s="21" t="s">
        <v>86</v>
      </c>
      <c r="AM189" s="122" t="s">
        <v>78</v>
      </c>
    </row>
    <row r="190" spans="1:39" customFormat="1" ht="15.75" customHeight="1" x14ac:dyDescent="0.3">
      <c r="A190" t="s">
        <v>78</v>
      </c>
      <c r="B190" s="21" t="s">
        <v>775</v>
      </c>
      <c r="C190" s="21" t="s">
        <v>780</v>
      </c>
      <c r="D190" s="117" t="s">
        <v>291</v>
      </c>
      <c r="E190" s="21" t="s">
        <v>79</v>
      </c>
      <c r="F190" s="21" t="s">
        <v>320</v>
      </c>
      <c r="G190" s="21">
        <v>251.2</v>
      </c>
      <c r="H190" s="21"/>
      <c r="I190" s="117" t="s">
        <v>842</v>
      </c>
      <c r="J190" s="117" t="s">
        <v>325</v>
      </c>
      <c r="K190" s="118"/>
      <c r="L190" s="21"/>
      <c r="M190" s="21"/>
      <c r="N190" s="21">
        <v>35</v>
      </c>
      <c r="O190" s="21">
        <v>41</v>
      </c>
      <c r="P190" s="21">
        <v>175.2</v>
      </c>
      <c r="Q190" s="21"/>
      <c r="R190" s="21" t="s">
        <v>625</v>
      </c>
      <c r="S190" s="119">
        <f>DATABASE_Table[[#This Row],[Inicial Asking Price (€) (Total)]]-DATABASE_Table[[#This Row],[Vista membership]]-DATABASE_Table[[#This Row],[FF&amp;E]]</f>
        <v>1320000</v>
      </c>
      <c r="T190" s="120">
        <v>1380000</v>
      </c>
      <c r="U190" s="36">
        <v>1410000</v>
      </c>
      <c r="V190" s="21"/>
      <c r="W190" s="36">
        <v>60000</v>
      </c>
      <c r="X190" s="73">
        <f>DATABASE_Table[[#This Row],[Current Asking price( Total)]]-DATABASE_Table[[#This Row],[Vista membership]]-DATABASE_Table[[#This Row],[FF&amp;E]]</f>
        <v>1350000</v>
      </c>
      <c r="Y190" s="37">
        <v>0</v>
      </c>
      <c r="Z190" s="36">
        <v>1410000</v>
      </c>
      <c r="AA190" s="73">
        <f>DATABASE_Table[[#This Row],[Sell price (Total)]]-DATABASE_Table[[#This Row],[FF&amp;E]]-DATABASE_Table[[#This Row],[Vista membership]]</f>
        <v>1350000</v>
      </c>
      <c r="AB190" s="74">
        <v>45792</v>
      </c>
      <c r="AC190" s="74" t="str">
        <f t="shared" si="2"/>
        <v>Q2 2025</v>
      </c>
      <c r="AD190" s="121">
        <v>46118</v>
      </c>
      <c r="AE190" s="69">
        <v>47118</v>
      </c>
      <c r="AF190" s="21" t="s">
        <v>80</v>
      </c>
      <c r="AG190" s="21" t="s">
        <v>81</v>
      </c>
      <c r="AH190" s="122" t="s">
        <v>82</v>
      </c>
      <c r="AI190" s="122" t="s">
        <v>83</v>
      </c>
      <c r="AJ190" s="122" t="s">
        <v>84</v>
      </c>
      <c r="AK190" s="122" t="s">
        <v>85</v>
      </c>
      <c r="AL190" s="21" t="s">
        <v>86</v>
      </c>
      <c r="AM190" s="122" t="s">
        <v>78</v>
      </c>
    </row>
    <row r="191" spans="1:39" customFormat="1" ht="15.75" customHeight="1" x14ac:dyDescent="0.3">
      <c r="A191" t="s">
        <v>78</v>
      </c>
      <c r="B191" s="21" t="s">
        <v>775</v>
      </c>
      <c r="C191" s="21" t="s">
        <v>780</v>
      </c>
      <c r="D191" s="117" t="s">
        <v>276</v>
      </c>
      <c r="E191" s="21" t="s">
        <v>79</v>
      </c>
      <c r="F191" s="21" t="s">
        <v>319</v>
      </c>
      <c r="G191" s="21">
        <v>166</v>
      </c>
      <c r="H191" s="21"/>
      <c r="I191" s="117" t="s">
        <v>842</v>
      </c>
      <c r="J191" s="117" t="s">
        <v>325</v>
      </c>
      <c r="K191" s="118"/>
      <c r="L191" s="21"/>
      <c r="M191" s="21"/>
      <c r="N191" s="21">
        <v>30</v>
      </c>
      <c r="O191" s="21">
        <v>20</v>
      </c>
      <c r="P191" s="21">
        <v>116</v>
      </c>
      <c r="Q191" s="21"/>
      <c r="R191" s="21" t="s">
        <v>625</v>
      </c>
      <c r="S191" s="119">
        <f>DATABASE_Table[[#This Row],[Inicial Asking Price (€) (Total)]]-DATABASE_Table[[#This Row],[Vista membership]]-DATABASE_Table[[#This Row],[FF&amp;E]]</f>
        <v>910000</v>
      </c>
      <c r="T191" s="120">
        <v>910000</v>
      </c>
      <c r="U191" s="36">
        <v>910000</v>
      </c>
      <c r="V191" s="21"/>
      <c r="W191" s="36">
        <v>0</v>
      </c>
      <c r="X191" s="73">
        <f>DATABASE_Table[[#This Row],[Current Asking price( Total)]]-DATABASE_Table[[#This Row],[Vista membership]]-DATABASE_Table[[#This Row],[FF&amp;E]]</f>
        <v>910000</v>
      </c>
      <c r="Y191" s="37">
        <v>1.09890109890109E-2</v>
      </c>
      <c r="Z191" s="36">
        <v>900000</v>
      </c>
      <c r="AA191" s="73">
        <f>DATABASE_Table[[#This Row],[Sell price (Total)]]-DATABASE_Table[[#This Row],[FF&amp;E]]-DATABASE_Table[[#This Row],[Vista membership]]</f>
        <v>900000</v>
      </c>
      <c r="AB191" s="74">
        <v>45792</v>
      </c>
      <c r="AC191" s="74" t="str">
        <f t="shared" si="2"/>
        <v>Q2 2025</v>
      </c>
      <c r="AD191" s="121">
        <v>45915</v>
      </c>
      <c r="AE191" s="69">
        <v>47118</v>
      </c>
      <c r="AF191" s="21" t="s">
        <v>80</v>
      </c>
      <c r="AG191" s="21" t="s">
        <v>81</v>
      </c>
      <c r="AH191" s="122" t="s">
        <v>82</v>
      </c>
      <c r="AI191" s="122" t="s">
        <v>83</v>
      </c>
      <c r="AJ191" s="122" t="s">
        <v>84</v>
      </c>
      <c r="AK191" s="122" t="s">
        <v>85</v>
      </c>
      <c r="AL191" s="21" t="s">
        <v>86</v>
      </c>
      <c r="AM191" s="122" t="s">
        <v>78</v>
      </c>
    </row>
    <row r="192" spans="1:39" customFormat="1" ht="15.75" customHeight="1" x14ac:dyDescent="0.3">
      <c r="A192" t="s">
        <v>78</v>
      </c>
      <c r="B192" s="21" t="s">
        <v>775</v>
      </c>
      <c r="C192" s="21" t="s">
        <v>780</v>
      </c>
      <c r="D192" s="117" t="s">
        <v>277</v>
      </c>
      <c r="E192" s="21" t="s">
        <v>79</v>
      </c>
      <c r="F192" s="21" t="s">
        <v>320</v>
      </c>
      <c r="G192" s="21">
        <v>242.6</v>
      </c>
      <c r="H192" s="21"/>
      <c r="I192" s="117" t="s">
        <v>842</v>
      </c>
      <c r="J192" s="117" t="s">
        <v>325</v>
      </c>
      <c r="K192" s="118"/>
      <c r="L192" s="21"/>
      <c r="M192" s="21"/>
      <c r="N192" s="21">
        <v>32</v>
      </c>
      <c r="O192" s="21">
        <v>37</v>
      </c>
      <c r="P192" s="21">
        <v>173.6</v>
      </c>
      <c r="Q192" s="21"/>
      <c r="R192" s="21" t="s">
        <v>625</v>
      </c>
      <c r="S192" s="119">
        <f>DATABASE_Table[[#This Row],[Inicial Asking Price (€) (Total)]]-DATABASE_Table[[#This Row],[Vista membership]]-DATABASE_Table[[#This Row],[FF&amp;E]]</f>
        <v>1380000</v>
      </c>
      <c r="T192" s="120">
        <v>1380000</v>
      </c>
      <c r="U192" s="36">
        <v>1380000</v>
      </c>
      <c r="V192" s="21"/>
      <c r="W192" s="21"/>
      <c r="X192" s="73">
        <f>DATABASE_Table[[#This Row],[Current Asking price( Total)]]-DATABASE_Table[[#This Row],[Vista membership]]-DATABASE_Table[[#This Row],[FF&amp;E]]</f>
        <v>1380000</v>
      </c>
      <c r="Y192" s="37">
        <v>0.02</v>
      </c>
      <c r="Z192" s="36">
        <v>1352400</v>
      </c>
      <c r="AA192" s="73">
        <f>DATABASE_Table[[#This Row],[Sell price (Total)]]-DATABASE_Table[[#This Row],[FF&amp;E]]-DATABASE_Table[[#This Row],[Vista membership]]</f>
        <v>1352400</v>
      </c>
      <c r="AB192" s="74">
        <v>45792</v>
      </c>
      <c r="AC192" s="74" t="str">
        <f t="shared" si="2"/>
        <v>Q2 2025</v>
      </c>
      <c r="AD192" s="121">
        <v>45946</v>
      </c>
      <c r="AE192" s="69">
        <v>47118</v>
      </c>
      <c r="AF192" s="21" t="s">
        <v>80</v>
      </c>
      <c r="AG192" s="21" t="s">
        <v>81</v>
      </c>
      <c r="AH192" s="122" t="s">
        <v>82</v>
      </c>
      <c r="AI192" s="122" t="s">
        <v>83</v>
      </c>
      <c r="AJ192" s="122" t="s">
        <v>84</v>
      </c>
      <c r="AK192" s="122" t="s">
        <v>85</v>
      </c>
      <c r="AL192" s="21" t="s">
        <v>86</v>
      </c>
      <c r="AM192" s="122" t="s">
        <v>78</v>
      </c>
    </row>
    <row r="193" spans="1:39" customFormat="1" ht="15.75" customHeight="1" x14ac:dyDescent="0.3">
      <c r="A193" t="s">
        <v>78</v>
      </c>
      <c r="B193" s="21" t="s">
        <v>775</v>
      </c>
      <c r="C193" s="21" t="s">
        <v>780</v>
      </c>
      <c r="D193" s="117" t="s">
        <v>283</v>
      </c>
      <c r="E193" s="21" t="s">
        <v>79</v>
      </c>
      <c r="F193" s="21" t="s">
        <v>319</v>
      </c>
      <c r="G193" s="21">
        <v>170</v>
      </c>
      <c r="H193" s="21"/>
      <c r="I193" s="117" t="s">
        <v>842</v>
      </c>
      <c r="J193" s="117" t="s">
        <v>325</v>
      </c>
      <c r="K193" s="118"/>
      <c r="L193" s="21"/>
      <c r="M193" s="21"/>
      <c r="N193" s="21">
        <v>30</v>
      </c>
      <c r="O193" s="21">
        <v>24</v>
      </c>
      <c r="P193" s="21">
        <v>116</v>
      </c>
      <c r="Q193" s="21"/>
      <c r="R193" s="21" t="s">
        <v>625</v>
      </c>
      <c r="S193" s="119">
        <f>DATABASE_Table[[#This Row],[Inicial Asking Price (€) (Total)]]-DATABASE_Table[[#This Row],[Vista membership]]-DATABASE_Table[[#This Row],[FF&amp;E]]</f>
        <v>795000</v>
      </c>
      <c r="T193" s="120">
        <v>795000</v>
      </c>
      <c r="U193" s="36">
        <v>795000</v>
      </c>
      <c r="V193" s="21"/>
      <c r="W193" s="36">
        <v>0</v>
      </c>
      <c r="X193" s="73">
        <f>DATABASE_Table[[#This Row],[Current Asking price( Total)]]-DATABASE_Table[[#This Row],[Vista membership]]-DATABASE_Table[[#This Row],[FF&amp;E]]</f>
        <v>795000</v>
      </c>
      <c r="Y193" s="37">
        <v>0.02</v>
      </c>
      <c r="Z193" s="36">
        <v>779100</v>
      </c>
      <c r="AA193" s="73">
        <f>DATABASE_Table[[#This Row],[Sell price (Total)]]-DATABASE_Table[[#This Row],[FF&amp;E]]-DATABASE_Table[[#This Row],[Vista membership]]</f>
        <v>779100</v>
      </c>
      <c r="AB193" s="74">
        <v>45792</v>
      </c>
      <c r="AC193" s="74" t="str">
        <f t="shared" si="2"/>
        <v>Q2 2025</v>
      </c>
      <c r="AD193" s="121">
        <v>46094</v>
      </c>
      <c r="AE193" s="69">
        <v>47118</v>
      </c>
      <c r="AF193" s="21" t="s">
        <v>80</v>
      </c>
      <c r="AG193" s="21" t="s">
        <v>81</v>
      </c>
      <c r="AH193" s="122" t="s">
        <v>82</v>
      </c>
      <c r="AI193" s="122" t="s">
        <v>83</v>
      </c>
      <c r="AJ193" s="122" t="s">
        <v>84</v>
      </c>
      <c r="AK193" s="122" t="s">
        <v>85</v>
      </c>
      <c r="AL193" s="21" t="s">
        <v>86</v>
      </c>
      <c r="AM193" s="122" t="s">
        <v>78</v>
      </c>
    </row>
    <row r="194" spans="1:39" customFormat="1" ht="15.75" customHeight="1" x14ac:dyDescent="0.3">
      <c r="A194" t="s">
        <v>78</v>
      </c>
      <c r="B194" s="21" t="s">
        <v>775</v>
      </c>
      <c r="C194" s="21" t="s">
        <v>780</v>
      </c>
      <c r="D194" s="117" t="s">
        <v>275</v>
      </c>
      <c r="E194" s="21" t="s">
        <v>79</v>
      </c>
      <c r="F194" s="21" t="s">
        <v>319</v>
      </c>
      <c r="G194" s="21">
        <v>194.4</v>
      </c>
      <c r="H194" s="21"/>
      <c r="I194" s="117" t="s">
        <v>842</v>
      </c>
      <c r="J194" s="117" t="s">
        <v>325</v>
      </c>
      <c r="K194" s="118"/>
      <c r="L194" s="21"/>
      <c r="M194" s="21"/>
      <c r="N194" s="21">
        <v>31</v>
      </c>
      <c r="O194" s="21">
        <v>26</v>
      </c>
      <c r="P194" s="21">
        <v>137.4</v>
      </c>
      <c r="Q194" s="21"/>
      <c r="R194" s="21" t="s">
        <v>329</v>
      </c>
      <c r="S194" s="119">
        <f>DATABASE_Table[[#This Row],[Inicial Asking Price (€) (Total)]]-DATABASE_Table[[#This Row],[Vista membership]]-DATABASE_Table[[#This Row],[FF&amp;E]]</f>
        <v>1080000</v>
      </c>
      <c r="T194" s="120">
        <v>1080000</v>
      </c>
      <c r="U194" s="36">
        <v>1140000</v>
      </c>
      <c r="V194" s="21"/>
      <c r="W194" s="36">
        <v>0</v>
      </c>
      <c r="X194" s="73">
        <f>DATABASE_Table[[#This Row],[Current Asking price( Total)]]-DATABASE_Table[[#This Row],[Vista membership]]-DATABASE_Table[[#This Row],[FF&amp;E]]</f>
        <v>1140000</v>
      </c>
      <c r="Y194" s="37"/>
      <c r="Z194" s="36"/>
      <c r="AA194" s="73">
        <f>DATABASE_Table[[#This Row],[Sell price (Total)]]-DATABASE_Table[[#This Row],[FF&amp;E]]-DATABASE_Table[[#This Row],[Vista membership]]</f>
        <v>0</v>
      </c>
      <c r="AB194" s="74">
        <v>45792</v>
      </c>
      <c r="AC194" s="74" t="str">
        <f t="shared" ref="AC194:AC257" si="3">IF(AB194="","TO LAUNCH","Q"&amp;ROUNDUP(MONTH(AB194)/3,0)&amp;" "&amp;YEAR(AB194))</f>
        <v>Q2 2025</v>
      </c>
      <c r="AD194" s="123"/>
      <c r="AE194" s="69">
        <v>47118</v>
      </c>
      <c r="AF194" s="21" t="s">
        <v>80</v>
      </c>
      <c r="AG194" s="21" t="s">
        <v>81</v>
      </c>
      <c r="AH194" s="122" t="s">
        <v>82</v>
      </c>
      <c r="AI194" s="122" t="s">
        <v>83</v>
      </c>
      <c r="AJ194" s="122" t="s">
        <v>84</v>
      </c>
      <c r="AK194" s="122" t="s">
        <v>85</v>
      </c>
      <c r="AL194" s="21" t="s">
        <v>86</v>
      </c>
      <c r="AM194" s="122" t="s">
        <v>78</v>
      </c>
    </row>
    <row r="195" spans="1:39" customFormat="1" ht="15.75" customHeight="1" x14ac:dyDescent="0.3">
      <c r="A195" t="s">
        <v>78</v>
      </c>
      <c r="B195" s="21" t="s">
        <v>775</v>
      </c>
      <c r="C195" s="21" t="s">
        <v>780</v>
      </c>
      <c r="D195" s="117" t="s">
        <v>278</v>
      </c>
      <c r="E195" s="21" t="s">
        <v>79</v>
      </c>
      <c r="F195" s="21" t="s">
        <v>321</v>
      </c>
      <c r="G195" s="21">
        <v>347.7</v>
      </c>
      <c r="H195" s="21"/>
      <c r="I195" s="117" t="s">
        <v>843</v>
      </c>
      <c r="J195" s="117" t="s">
        <v>842</v>
      </c>
      <c r="K195" s="118"/>
      <c r="L195" s="21"/>
      <c r="M195" s="21"/>
      <c r="N195" s="21">
        <v>31</v>
      </c>
      <c r="O195" s="21">
        <v>74</v>
      </c>
      <c r="P195" s="21">
        <v>242.7</v>
      </c>
      <c r="Q195" s="21"/>
      <c r="R195" s="21" t="s">
        <v>329</v>
      </c>
      <c r="S195" s="119">
        <f>DATABASE_Table[[#This Row],[Inicial Asking Price (€) (Total)]]-DATABASE_Table[[#This Row],[Vista membership]]-DATABASE_Table[[#This Row],[FF&amp;E]]</f>
        <v>1980000</v>
      </c>
      <c r="T195" s="120">
        <v>1980000</v>
      </c>
      <c r="U195" s="36">
        <v>1980000</v>
      </c>
      <c r="V195" s="21"/>
      <c r="W195" s="21"/>
      <c r="X195" s="73">
        <f>DATABASE_Table[[#This Row],[Current Asking price( Total)]]-DATABASE_Table[[#This Row],[Vista membership]]-DATABASE_Table[[#This Row],[FF&amp;E]]</f>
        <v>1980000</v>
      </c>
      <c r="Y195" s="37"/>
      <c r="Z195" s="36"/>
      <c r="AA195" s="73">
        <f>DATABASE_Table[[#This Row],[Sell price (Total)]]-DATABASE_Table[[#This Row],[FF&amp;E]]-DATABASE_Table[[#This Row],[Vista membership]]</f>
        <v>0</v>
      </c>
      <c r="AB195" s="74">
        <v>45792</v>
      </c>
      <c r="AC195" s="74" t="str">
        <f t="shared" si="3"/>
        <v>Q2 2025</v>
      </c>
      <c r="AD195" s="123"/>
      <c r="AE195" s="69">
        <v>47118</v>
      </c>
      <c r="AF195" s="21" t="s">
        <v>80</v>
      </c>
      <c r="AG195" s="21" t="s">
        <v>81</v>
      </c>
      <c r="AH195" s="122" t="s">
        <v>82</v>
      </c>
      <c r="AI195" s="122" t="s">
        <v>83</v>
      </c>
      <c r="AJ195" s="122" t="s">
        <v>84</v>
      </c>
      <c r="AK195" s="122" t="s">
        <v>85</v>
      </c>
      <c r="AL195" s="21" t="s">
        <v>86</v>
      </c>
      <c r="AM195" s="122" t="s">
        <v>78</v>
      </c>
    </row>
    <row r="196" spans="1:39" customFormat="1" ht="15.75" customHeight="1" x14ac:dyDescent="0.3">
      <c r="A196" t="s">
        <v>78</v>
      </c>
      <c r="B196" s="21" t="s">
        <v>775</v>
      </c>
      <c r="C196" s="21" t="s">
        <v>780</v>
      </c>
      <c r="D196" s="117" t="s">
        <v>279</v>
      </c>
      <c r="E196" s="21" t="s">
        <v>79</v>
      </c>
      <c r="F196" s="21" t="s">
        <v>320</v>
      </c>
      <c r="G196" s="21">
        <v>249</v>
      </c>
      <c r="H196" s="21"/>
      <c r="I196" s="117" t="s">
        <v>842</v>
      </c>
      <c r="J196" s="117" t="s">
        <v>325</v>
      </c>
      <c r="K196" s="118"/>
      <c r="L196" s="21"/>
      <c r="M196" s="21"/>
      <c r="N196" s="21">
        <v>30</v>
      </c>
      <c r="O196" s="21">
        <v>44</v>
      </c>
      <c r="P196" s="21">
        <v>175</v>
      </c>
      <c r="Q196" s="21"/>
      <c r="R196" s="21" t="s">
        <v>329</v>
      </c>
      <c r="S196" s="119">
        <f>DATABASE_Table[[#This Row],[Inicial Asking Price (€) (Total)]]-DATABASE_Table[[#This Row],[Vista membership]]-DATABASE_Table[[#This Row],[FF&amp;E]]</f>
        <v>1380000</v>
      </c>
      <c r="T196" s="120">
        <v>1380000</v>
      </c>
      <c r="U196" s="36">
        <v>1410000</v>
      </c>
      <c r="V196" s="21"/>
      <c r="W196" s="21"/>
      <c r="X196" s="73">
        <f>DATABASE_Table[[#This Row],[Current Asking price( Total)]]-DATABASE_Table[[#This Row],[Vista membership]]-DATABASE_Table[[#This Row],[FF&amp;E]]</f>
        <v>1410000</v>
      </c>
      <c r="Y196" s="37"/>
      <c r="Z196" s="36"/>
      <c r="AA196" s="73">
        <f>DATABASE_Table[[#This Row],[Sell price (Total)]]-DATABASE_Table[[#This Row],[FF&amp;E]]-DATABASE_Table[[#This Row],[Vista membership]]</f>
        <v>0</v>
      </c>
      <c r="AB196" s="74">
        <v>45792</v>
      </c>
      <c r="AC196" s="74" t="str">
        <f t="shared" si="3"/>
        <v>Q2 2025</v>
      </c>
      <c r="AD196" s="123"/>
      <c r="AE196" s="69">
        <v>47118</v>
      </c>
      <c r="AF196" s="21" t="s">
        <v>80</v>
      </c>
      <c r="AG196" s="21" t="s">
        <v>81</v>
      </c>
      <c r="AH196" s="122" t="s">
        <v>82</v>
      </c>
      <c r="AI196" s="122" t="s">
        <v>83</v>
      </c>
      <c r="AJ196" s="122" t="s">
        <v>84</v>
      </c>
      <c r="AK196" s="122" t="s">
        <v>85</v>
      </c>
      <c r="AL196" s="21" t="s">
        <v>86</v>
      </c>
      <c r="AM196" s="122" t="s">
        <v>78</v>
      </c>
    </row>
    <row r="197" spans="1:39" customFormat="1" ht="15.75" customHeight="1" x14ac:dyDescent="0.3">
      <c r="A197" t="s">
        <v>78</v>
      </c>
      <c r="B197" s="21" t="s">
        <v>775</v>
      </c>
      <c r="C197" s="21" t="s">
        <v>780</v>
      </c>
      <c r="D197" s="117" t="s">
        <v>280</v>
      </c>
      <c r="E197" s="21" t="s">
        <v>79</v>
      </c>
      <c r="F197" s="21" t="s">
        <v>321</v>
      </c>
      <c r="G197" s="21">
        <v>346.7</v>
      </c>
      <c r="H197" s="21"/>
      <c r="I197" s="117" t="s">
        <v>843</v>
      </c>
      <c r="J197" s="117" t="s">
        <v>842</v>
      </c>
      <c r="K197" s="118"/>
      <c r="L197" s="21"/>
      <c r="M197" s="21"/>
      <c r="N197" s="21">
        <v>32</v>
      </c>
      <c r="O197" s="21">
        <v>72</v>
      </c>
      <c r="P197" s="21">
        <v>242.7</v>
      </c>
      <c r="Q197" s="21"/>
      <c r="R197" s="21" t="s">
        <v>329</v>
      </c>
      <c r="S197" s="119">
        <f>DATABASE_Table[[#This Row],[Inicial Asking Price (€) (Total)]]-DATABASE_Table[[#This Row],[Vista membership]]-DATABASE_Table[[#This Row],[FF&amp;E]]</f>
        <v>1965000</v>
      </c>
      <c r="T197" s="120">
        <v>1965000</v>
      </c>
      <c r="U197" s="36">
        <v>1965000</v>
      </c>
      <c r="V197" s="21"/>
      <c r="W197" s="21"/>
      <c r="X197" s="73">
        <f>DATABASE_Table[[#This Row],[Current Asking price( Total)]]-DATABASE_Table[[#This Row],[Vista membership]]-DATABASE_Table[[#This Row],[FF&amp;E]]</f>
        <v>1965000</v>
      </c>
      <c r="Y197" s="37"/>
      <c r="Z197" s="36"/>
      <c r="AA197" s="73">
        <f>DATABASE_Table[[#This Row],[Sell price (Total)]]-DATABASE_Table[[#This Row],[FF&amp;E]]-DATABASE_Table[[#This Row],[Vista membership]]</f>
        <v>0</v>
      </c>
      <c r="AB197" s="74">
        <v>45792</v>
      </c>
      <c r="AC197" s="74" t="str">
        <f t="shared" si="3"/>
        <v>Q2 2025</v>
      </c>
      <c r="AD197" s="123"/>
      <c r="AE197" s="69">
        <v>47118</v>
      </c>
      <c r="AF197" s="21" t="s">
        <v>80</v>
      </c>
      <c r="AG197" s="21" t="s">
        <v>81</v>
      </c>
      <c r="AH197" s="122" t="s">
        <v>82</v>
      </c>
      <c r="AI197" s="122" t="s">
        <v>83</v>
      </c>
      <c r="AJ197" s="122" t="s">
        <v>84</v>
      </c>
      <c r="AK197" s="122" t="s">
        <v>85</v>
      </c>
      <c r="AL197" s="21" t="s">
        <v>86</v>
      </c>
      <c r="AM197" s="122" t="s">
        <v>78</v>
      </c>
    </row>
    <row r="198" spans="1:39" customFormat="1" ht="15.75" customHeight="1" x14ac:dyDescent="0.3">
      <c r="A198" t="s">
        <v>78</v>
      </c>
      <c r="B198" s="21" t="s">
        <v>775</v>
      </c>
      <c r="C198" s="21" t="s">
        <v>780</v>
      </c>
      <c r="D198" s="117" t="s">
        <v>281</v>
      </c>
      <c r="E198" s="21" t="s">
        <v>79</v>
      </c>
      <c r="F198" s="21" t="s">
        <v>321</v>
      </c>
      <c r="G198" s="21">
        <v>361.5</v>
      </c>
      <c r="H198" s="21"/>
      <c r="I198" s="117" t="s">
        <v>843</v>
      </c>
      <c r="J198" s="117" t="s">
        <v>842</v>
      </c>
      <c r="K198" s="118"/>
      <c r="L198" s="21"/>
      <c r="M198" s="21"/>
      <c r="N198" s="21">
        <v>42</v>
      </c>
      <c r="O198" s="21">
        <v>72</v>
      </c>
      <c r="P198" s="21">
        <v>247.5</v>
      </c>
      <c r="Q198" s="21"/>
      <c r="R198" s="21" t="s">
        <v>329</v>
      </c>
      <c r="S198" s="119">
        <f>DATABASE_Table[[#This Row],[Inicial Asking Price (€) (Total)]]-DATABASE_Table[[#This Row],[Vista membership]]-DATABASE_Table[[#This Row],[FF&amp;E]]</f>
        <v>2000000</v>
      </c>
      <c r="T198" s="120">
        <v>2000000</v>
      </c>
      <c r="U198" s="36">
        <v>2000000</v>
      </c>
      <c r="V198" s="21"/>
      <c r="W198" s="21"/>
      <c r="X198" s="73">
        <f>DATABASE_Table[[#This Row],[Current Asking price( Total)]]-DATABASE_Table[[#This Row],[Vista membership]]-DATABASE_Table[[#This Row],[FF&amp;E]]</f>
        <v>2000000</v>
      </c>
      <c r="Y198" s="37"/>
      <c r="Z198" s="36"/>
      <c r="AA198" s="73">
        <f>DATABASE_Table[[#This Row],[Sell price (Total)]]-DATABASE_Table[[#This Row],[FF&amp;E]]-DATABASE_Table[[#This Row],[Vista membership]]</f>
        <v>0</v>
      </c>
      <c r="AB198" s="74">
        <v>45792</v>
      </c>
      <c r="AC198" s="74" t="str">
        <f t="shared" si="3"/>
        <v>Q2 2025</v>
      </c>
      <c r="AD198" s="123"/>
      <c r="AE198" s="69">
        <v>47118</v>
      </c>
      <c r="AF198" s="21" t="s">
        <v>80</v>
      </c>
      <c r="AG198" s="21" t="s">
        <v>81</v>
      </c>
      <c r="AH198" s="122" t="s">
        <v>82</v>
      </c>
      <c r="AI198" s="122" t="s">
        <v>83</v>
      </c>
      <c r="AJ198" s="122" t="s">
        <v>84</v>
      </c>
      <c r="AK198" s="122" t="s">
        <v>85</v>
      </c>
      <c r="AL198" s="21" t="s">
        <v>86</v>
      </c>
      <c r="AM198" s="122" t="s">
        <v>78</v>
      </c>
    </row>
    <row r="199" spans="1:39" customFormat="1" ht="15.75" customHeight="1" x14ac:dyDescent="0.3">
      <c r="A199" t="s">
        <v>78</v>
      </c>
      <c r="B199" s="21" t="s">
        <v>775</v>
      </c>
      <c r="C199" s="21" t="s">
        <v>780</v>
      </c>
      <c r="D199" s="117" t="s">
        <v>284</v>
      </c>
      <c r="E199" s="21" t="s">
        <v>79</v>
      </c>
      <c r="F199" s="21" t="s">
        <v>320</v>
      </c>
      <c r="G199" s="21">
        <v>249.2</v>
      </c>
      <c r="H199" s="21"/>
      <c r="I199" s="117" t="s">
        <v>842</v>
      </c>
      <c r="J199" s="117" t="s">
        <v>325</v>
      </c>
      <c r="K199" s="118"/>
      <c r="L199" s="21"/>
      <c r="M199" s="21"/>
      <c r="N199" s="21">
        <v>34</v>
      </c>
      <c r="O199" s="21">
        <v>40</v>
      </c>
      <c r="P199" s="21">
        <v>175.2</v>
      </c>
      <c r="Q199" s="21"/>
      <c r="R199" s="21" t="s">
        <v>329</v>
      </c>
      <c r="S199" s="119">
        <f>DATABASE_Table[[#This Row],[Inicial Asking Price (€) (Total)]]-DATABASE_Table[[#This Row],[Vista membership]]-DATABASE_Table[[#This Row],[FF&amp;E]]</f>
        <v>1350000</v>
      </c>
      <c r="T199" s="120">
        <v>1350000</v>
      </c>
      <c r="U199" s="36">
        <v>1380000</v>
      </c>
      <c r="V199" s="21"/>
      <c r="W199" s="21"/>
      <c r="X199" s="73">
        <f>DATABASE_Table[[#This Row],[Current Asking price( Total)]]-DATABASE_Table[[#This Row],[Vista membership]]-DATABASE_Table[[#This Row],[FF&amp;E]]</f>
        <v>1380000</v>
      </c>
      <c r="Y199" s="37"/>
      <c r="Z199" s="36"/>
      <c r="AA199" s="73">
        <f>DATABASE_Table[[#This Row],[Sell price (Total)]]-DATABASE_Table[[#This Row],[FF&amp;E]]-DATABASE_Table[[#This Row],[Vista membership]]</f>
        <v>0</v>
      </c>
      <c r="AB199" s="74">
        <v>45792</v>
      </c>
      <c r="AC199" s="74" t="str">
        <f t="shared" si="3"/>
        <v>Q2 2025</v>
      </c>
      <c r="AD199" s="123"/>
      <c r="AE199" s="69">
        <v>47118</v>
      </c>
      <c r="AF199" s="21" t="s">
        <v>80</v>
      </c>
      <c r="AG199" s="21" t="s">
        <v>81</v>
      </c>
      <c r="AH199" s="122" t="s">
        <v>82</v>
      </c>
      <c r="AI199" s="122" t="s">
        <v>83</v>
      </c>
      <c r="AJ199" s="122" t="s">
        <v>84</v>
      </c>
      <c r="AK199" s="122" t="s">
        <v>85</v>
      </c>
      <c r="AL199" s="21" t="s">
        <v>86</v>
      </c>
      <c r="AM199" s="122" t="s">
        <v>78</v>
      </c>
    </row>
    <row r="200" spans="1:39" customFormat="1" ht="15.75" customHeight="1" x14ac:dyDescent="0.3">
      <c r="A200" t="s">
        <v>78</v>
      </c>
      <c r="B200" s="21" t="s">
        <v>775</v>
      </c>
      <c r="C200" s="21" t="s">
        <v>780</v>
      </c>
      <c r="D200" s="117" t="s">
        <v>285</v>
      </c>
      <c r="E200" s="21" t="s">
        <v>79</v>
      </c>
      <c r="F200" s="21" t="s">
        <v>320</v>
      </c>
      <c r="G200" s="21">
        <v>250.2</v>
      </c>
      <c r="H200" s="21"/>
      <c r="I200" s="117" t="s">
        <v>842</v>
      </c>
      <c r="J200" s="117" t="s">
        <v>325</v>
      </c>
      <c r="K200" s="118"/>
      <c r="L200" s="21"/>
      <c r="M200" s="21"/>
      <c r="N200" s="21">
        <v>35</v>
      </c>
      <c r="O200" s="21">
        <v>40</v>
      </c>
      <c r="P200" s="21">
        <v>175.2</v>
      </c>
      <c r="Q200" s="21"/>
      <c r="R200" s="21" t="s">
        <v>329</v>
      </c>
      <c r="S200" s="119">
        <f>DATABASE_Table[[#This Row],[Inicial Asking Price (€) (Total)]]-DATABASE_Table[[#This Row],[Vista membership]]-DATABASE_Table[[#This Row],[FF&amp;E]]</f>
        <v>1350000</v>
      </c>
      <c r="T200" s="120">
        <v>1350000</v>
      </c>
      <c r="U200" s="36">
        <v>1380000</v>
      </c>
      <c r="V200" s="21"/>
      <c r="W200" s="21"/>
      <c r="X200" s="73">
        <f>DATABASE_Table[[#This Row],[Current Asking price( Total)]]-DATABASE_Table[[#This Row],[Vista membership]]-DATABASE_Table[[#This Row],[FF&amp;E]]</f>
        <v>1380000</v>
      </c>
      <c r="Y200" s="37"/>
      <c r="Z200" s="36"/>
      <c r="AA200" s="73">
        <f>DATABASE_Table[[#This Row],[Sell price (Total)]]-DATABASE_Table[[#This Row],[FF&amp;E]]-DATABASE_Table[[#This Row],[Vista membership]]</f>
        <v>0</v>
      </c>
      <c r="AB200" s="74">
        <v>45792</v>
      </c>
      <c r="AC200" s="74" t="str">
        <f t="shared" si="3"/>
        <v>Q2 2025</v>
      </c>
      <c r="AD200" s="123"/>
      <c r="AE200" s="69">
        <v>47118</v>
      </c>
      <c r="AF200" s="21" t="s">
        <v>80</v>
      </c>
      <c r="AG200" s="21" t="s">
        <v>81</v>
      </c>
      <c r="AH200" s="122" t="s">
        <v>82</v>
      </c>
      <c r="AI200" s="122" t="s">
        <v>83</v>
      </c>
      <c r="AJ200" s="122" t="s">
        <v>84</v>
      </c>
      <c r="AK200" s="122" t="s">
        <v>85</v>
      </c>
      <c r="AL200" s="21" t="s">
        <v>86</v>
      </c>
      <c r="AM200" s="122" t="s">
        <v>78</v>
      </c>
    </row>
    <row r="201" spans="1:39" customFormat="1" ht="15.75" customHeight="1" x14ac:dyDescent="0.3">
      <c r="A201" t="s">
        <v>78</v>
      </c>
      <c r="B201" s="21" t="s">
        <v>775</v>
      </c>
      <c r="C201" s="21" t="s">
        <v>780</v>
      </c>
      <c r="D201" s="117" t="s">
        <v>287</v>
      </c>
      <c r="E201" s="21" t="s">
        <v>79</v>
      </c>
      <c r="F201" s="21" t="s">
        <v>320</v>
      </c>
      <c r="G201" s="21">
        <v>248.2</v>
      </c>
      <c r="H201" s="21"/>
      <c r="I201" s="117" t="s">
        <v>842</v>
      </c>
      <c r="J201" s="117" t="s">
        <v>325</v>
      </c>
      <c r="K201" s="118"/>
      <c r="L201" s="21"/>
      <c r="M201" s="21"/>
      <c r="N201" s="21">
        <v>30</v>
      </c>
      <c r="O201" s="21">
        <v>43</v>
      </c>
      <c r="P201" s="21">
        <v>175.2</v>
      </c>
      <c r="Q201" s="21"/>
      <c r="R201" s="21" t="s">
        <v>329</v>
      </c>
      <c r="S201" s="119">
        <f>DATABASE_Table[[#This Row],[Inicial Asking Price (€) (Total)]]-DATABASE_Table[[#This Row],[Vista membership]]-DATABASE_Table[[#This Row],[FF&amp;E]]</f>
        <v>1395000</v>
      </c>
      <c r="T201" s="120">
        <v>1395000</v>
      </c>
      <c r="U201" s="36">
        <v>1450000</v>
      </c>
      <c r="V201" s="21"/>
      <c r="W201" s="21"/>
      <c r="X201" s="73">
        <f>DATABASE_Table[[#This Row],[Current Asking price( Total)]]-DATABASE_Table[[#This Row],[Vista membership]]-DATABASE_Table[[#This Row],[FF&amp;E]]</f>
        <v>1450000</v>
      </c>
      <c r="Y201" s="37"/>
      <c r="Z201" s="36"/>
      <c r="AA201" s="73">
        <f>DATABASE_Table[[#This Row],[Sell price (Total)]]-DATABASE_Table[[#This Row],[FF&amp;E]]-DATABASE_Table[[#This Row],[Vista membership]]</f>
        <v>0</v>
      </c>
      <c r="AB201" s="74">
        <v>45792</v>
      </c>
      <c r="AC201" s="74" t="str">
        <f t="shared" si="3"/>
        <v>Q2 2025</v>
      </c>
      <c r="AD201" s="123"/>
      <c r="AE201" s="69">
        <v>47118</v>
      </c>
      <c r="AF201" s="21" t="s">
        <v>80</v>
      </c>
      <c r="AG201" s="21" t="s">
        <v>81</v>
      </c>
      <c r="AH201" s="122" t="s">
        <v>82</v>
      </c>
      <c r="AI201" s="122" t="s">
        <v>83</v>
      </c>
      <c r="AJ201" s="122" t="s">
        <v>84</v>
      </c>
      <c r="AK201" s="122" t="s">
        <v>85</v>
      </c>
      <c r="AL201" s="21" t="s">
        <v>86</v>
      </c>
      <c r="AM201" s="122" t="s">
        <v>78</v>
      </c>
    </row>
    <row r="202" spans="1:39" customFormat="1" ht="15.75" customHeight="1" x14ac:dyDescent="0.3">
      <c r="A202" t="s">
        <v>78</v>
      </c>
      <c r="B202" s="21" t="s">
        <v>775</v>
      </c>
      <c r="C202" s="21" t="s">
        <v>780</v>
      </c>
      <c r="D202" s="117" t="s">
        <v>288</v>
      </c>
      <c r="E202" s="21" t="s">
        <v>79</v>
      </c>
      <c r="F202" s="21" t="s">
        <v>319</v>
      </c>
      <c r="G202" s="21">
        <v>195.8</v>
      </c>
      <c r="H202" s="21"/>
      <c r="I202" s="117" t="s">
        <v>842</v>
      </c>
      <c r="J202" s="117" t="s">
        <v>325</v>
      </c>
      <c r="K202" s="118"/>
      <c r="L202" s="21"/>
      <c r="M202" s="21"/>
      <c r="N202" s="21">
        <v>30</v>
      </c>
      <c r="O202" s="21">
        <v>28</v>
      </c>
      <c r="P202" s="21">
        <v>137.80000000000001</v>
      </c>
      <c r="Q202" s="21"/>
      <c r="R202" s="21" t="s">
        <v>329</v>
      </c>
      <c r="S202" s="119">
        <f>DATABASE_Table[[#This Row],[Inicial Asking Price (€) (Total)]]-DATABASE_Table[[#This Row],[Vista membership]]-DATABASE_Table[[#This Row],[FF&amp;E]]</f>
        <v>1090000</v>
      </c>
      <c r="T202" s="120">
        <v>1090000</v>
      </c>
      <c r="U202" s="36">
        <v>1150000</v>
      </c>
      <c r="V202" s="21"/>
      <c r="W202" s="36">
        <v>0</v>
      </c>
      <c r="X202" s="73">
        <f>DATABASE_Table[[#This Row],[Current Asking price( Total)]]-DATABASE_Table[[#This Row],[Vista membership]]-DATABASE_Table[[#This Row],[FF&amp;E]]</f>
        <v>1150000</v>
      </c>
      <c r="Y202" s="37"/>
      <c r="Z202" s="36"/>
      <c r="AA202" s="73">
        <f>DATABASE_Table[[#This Row],[Sell price (Total)]]-DATABASE_Table[[#This Row],[FF&amp;E]]-DATABASE_Table[[#This Row],[Vista membership]]</f>
        <v>0</v>
      </c>
      <c r="AB202" s="74">
        <v>45792</v>
      </c>
      <c r="AC202" s="74" t="str">
        <f t="shared" si="3"/>
        <v>Q2 2025</v>
      </c>
      <c r="AD202" s="123"/>
      <c r="AE202" s="69">
        <v>47118</v>
      </c>
      <c r="AF202" s="21" t="s">
        <v>80</v>
      </c>
      <c r="AG202" s="21" t="s">
        <v>81</v>
      </c>
      <c r="AH202" s="122" t="s">
        <v>82</v>
      </c>
      <c r="AI202" s="122" t="s">
        <v>83</v>
      </c>
      <c r="AJ202" s="122" t="s">
        <v>84</v>
      </c>
      <c r="AK202" s="122" t="s">
        <v>85</v>
      </c>
      <c r="AL202" s="21" t="s">
        <v>86</v>
      </c>
      <c r="AM202" s="122" t="s">
        <v>78</v>
      </c>
    </row>
    <row r="203" spans="1:39" customFormat="1" ht="15.75" customHeight="1" x14ac:dyDescent="0.3">
      <c r="A203" t="s">
        <v>78</v>
      </c>
      <c r="B203" s="21" t="s">
        <v>775</v>
      </c>
      <c r="C203" s="21" t="s">
        <v>780</v>
      </c>
      <c r="D203" s="117" t="s">
        <v>290</v>
      </c>
      <c r="E203" s="21" t="s">
        <v>79</v>
      </c>
      <c r="F203" s="21" t="s">
        <v>319</v>
      </c>
      <c r="G203" s="21">
        <v>196.8</v>
      </c>
      <c r="H203" s="21"/>
      <c r="I203" s="117" t="s">
        <v>842</v>
      </c>
      <c r="J203" s="117" t="s">
        <v>325</v>
      </c>
      <c r="K203" s="118"/>
      <c r="L203" s="21"/>
      <c r="M203" s="21"/>
      <c r="N203" s="21">
        <v>32</v>
      </c>
      <c r="O203" s="21">
        <v>27</v>
      </c>
      <c r="P203" s="21">
        <v>137.80000000000001</v>
      </c>
      <c r="Q203" s="21"/>
      <c r="R203" s="21" t="s">
        <v>329</v>
      </c>
      <c r="S203" s="119">
        <f>DATABASE_Table[[#This Row],[Inicial Asking Price (€) (Total)]]-DATABASE_Table[[#This Row],[Vista membership]]-DATABASE_Table[[#This Row],[FF&amp;E]]</f>
        <v>1055000</v>
      </c>
      <c r="T203" s="120">
        <v>1055000</v>
      </c>
      <c r="U203" s="36">
        <v>1080000</v>
      </c>
      <c r="V203" s="21"/>
      <c r="W203" s="36">
        <v>0</v>
      </c>
      <c r="X203" s="73">
        <f>DATABASE_Table[[#This Row],[Current Asking price( Total)]]-DATABASE_Table[[#This Row],[Vista membership]]-DATABASE_Table[[#This Row],[FF&amp;E]]</f>
        <v>1080000</v>
      </c>
      <c r="Y203" s="37"/>
      <c r="Z203" s="36"/>
      <c r="AA203" s="73">
        <f>DATABASE_Table[[#This Row],[Sell price (Total)]]-DATABASE_Table[[#This Row],[FF&amp;E]]-DATABASE_Table[[#This Row],[Vista membership]]</f>
        <v>0</v>
      </c>
      <c r="AB203" s="74">
        <v>45792</v>
      </c>
      <c r="AC203" s="74" t="str">
        <f t="shared" si="3"/>
        <v>Q2 2025</v>
      </c>
      <c r="AD203" s="123"/>
      <c r="AE203" s="69">
        <v>47118</v>
      </c>
      <c r="AF203" s="21" t="s">
        <v>80</v>
      </c>
      <c r="AG203" s="21" t="s">
        <v>81</v>
      </c>
      <c r="AH203" s="122" t="s">
        <v>82</v>
      </c>
      <c r="AI203" s="122" t="s">
        <v>83</v>
      </c>
      <c r="AJ203" s="122" t="s">
        <v>84</v>
      </c>
      <c r="AK203" s="122" t="s">
        <v>85</v>
      </c>
      <c r="AL203" s="21" t="s">
        <v>86</v>
      </c>
      <c r="AM203" s="122" t="s">
        <v>78</v>
      </c>
    </row>
    <row r="204" spans="1:39" customFormat="1" ht="15.75" customHeight="1" x14ac:dyDescent="0.3">
      <c r="A204" t="s">
        <v>78</v>
      </c>
      <c r="B204" s="21" t="s">
        <v>776</v>
      </c>
      <c r="C204" s="21" t="s">
        <v>780</v>
      </c>
      <c r="D204" s="117" t="s">
        <v>292</v>
      </c>
      <c r="E204" s="21" t="s">
        <v>79</v>
      </c>
      <c r="F204" s="21" t="s">
        <v>322</v>
      </c>
      <c r="G204" s="21">
        <v>927.5</v>
      </c>
      <c r="H204" s="21"/>
      <c r="I204" s="117" t="s">
        <v>843</v>
      </c>
      <c r="J204" s="117" t="s">
        <v>842</v>
      </c>
      <c r="K204" s="118"/>
      <c r="L204" s="21"/>
      <c r="M204" s="21"/>
      <c r="N204" s="21">
        <v>370</v>
      </c>
      <c r="O204" s="21">
        <v>125.5</v>
      </c>
      <c r="P204" s="21">
        <v>432</v>
      </c>
      <c r="Q204" s="21"/>
      <c r="R204" s="21" t="s">
        <v>326</v>
      </c>
      <c r="S204" s="119">
        <f>DATABASE_Table[[#This Row],[Inicial Asking Price (€) (Total)]]-DATABASE_Table[[#This Row],[Vista membership]]-DATABASE_Table[[#This Row],[FF&amp;E]]</f>
        <v>3870000</v>
      </c>
      <c r="T204" s="120">
        <v>3950000</v>
      </c>
      <c r="U204" s="36">
        <v>4100000</v>
      </c>
      <c r="V204" s="21"/>
      <c r="W204" s="36">
        <v>80000</v>
      </c>
      <c r="X204" s="73">
        <f>DATABASE_Table[[#This Row],[Current Asking price( Total)]]-DATABASE_Table[[#This Row],[Vista membership]]-DATABASE_Table[[#This Row],[FF&amp;E]]</f>
        <v>4020000</v>
      </c>
      <c r="Y204" s="37">
        <v>-3.1707317073170802E-2</v>
      </c>
      <c r="Z204" s="36">
        <v>4230000</v>
      </c>
      <c r="AA204" s="73">
        <f>DATABASE_Table[[#This Row],[Sell price (Total)]]-DATABASE_Table[[#This Row],[FF&amp;E]]-DATABASE_Table[[#This Row],[Vista membership]]</f>
        <v>4150000</v>
      </c>
      <c r="AB204" s="74">
        <v>45792</v>
      </c>
      <c r="AC204" s="74" t="str">
        <f t="shared" si="3"/>
        <v>Q2 2025</v>
      </c>
      <c r="AD204" s="123">
        <v>46090</v>
      </c>
      <c r="AE204" s="69">
        <v>47118</v>
      </c>
      <c r="AF204" s="21" t="s">
        <v>80</v>
      </c>
      <c r="AG204" s="21" t="s">
        <v>81</v>
      </c>
      <c r="AH204" s="122" t="s">
        <v>82</v>
      </c>
      <c r="AI204" s="122" t="s">
        <v>83</v>
      </c>
      <c r="AJ204" s="122" t="s">
        <v>84</v>
      </c>
      <c r="AK204" s="122" t="s">
        <v>85</v>
      </c>
      <c r="AL204" s="21" t="s">
        <v>86</v>
      </c>
      <c r="AM204" s="122" t="s">
        <v>78</v>
      </c>
    </row>
    <row r="205" spans="1:39" customFormat="1" ht="15.75" customHeight="1" x14ac:dyDescent="0.3">
      <c r="A205" t="s">
        <v>78</v>
      </c>
      <c r="B205" s="21" t="s">
        <v>776</v>
      </c>
      <c r="C205" s="21" t="s">
        <v>780</v>
      </c>
      <c r="D205" s="117" t="s">
        <v>293</v>
      </c>
      <c r="E205" s="21" t="s">
        <v>79</v>
      </c>
      <c r="F205" s="21" t="s">
        <v>322</v>
      </c>
      <c r="G205" s="21">
        <v>594.79999999999995</v>
      </c>
      <c r="H205" s="21"/>
      <c r="I205" s="117" t="s">
        <v>843</v>
      </c>
      <c r="J205" s="117" t="s">
        <v>842</v>
      </c>
      <c r="K205" s="118"/>
      <c r="L205" s="21"/>
      <c r="M205" s="21"/>
      <c r="N205" s="21">
        <v>198.8</v>
      </c>
      <c r="O205" s="21">
        <v>47</v>
      </c>
      <c r="P205" s="21">
        <v>349</v>
      </c>
      <c r="Q205" s="21"/>
      <c r="R205" s="21" t="s">
        <v>326</v>
      </c>
      <c r="S205" s="119">
        <f>DATABASE_Table[[#This Row],[Inicial Asking Price (€) (Total)]]-DATABASE_Table[[#This Row],[Vista membership]]-DATABASE_Table[[#This Row],[FF&amp;E]]</f>
        <v>3145000</v>
      </c>
      <c r="T205" s="120">
        <v>3225000</v>
      </c>
      <c r="U205" s="36">
        <v>3225000</v>
      </c>
      <c r="V205" s="21"/>
      <c r="W205" s="36">
        <v>80000</v>
      </c>
      <c r="X205" s="73">
        <f>DATABASE_Table[[#This Row],[Current Asking price( Total)]]-DATABASE_Table[[#This Row],[Vista membership]]-DATABASE_Table[[#This Row],[FF&amp;E]]</f>
        <v>3145000</v>
      </c>
      <c r="Y205" s="37">
        <v>0</v>
      </c>
      <c r="Z205" s="36">
        <v>3225000</v>
      </c>
      <c r="AA205" s="73">
        <f>DATABASE_Table[[#This Row],[Sell price (Total)]]-DATABASE_Table[[#This Row],[FF&amp;E]]-DATABASE_Table[[#This Row],[Vista membership]]</f>
        <v>3145000</v>
      </c>
      <c r="AB205" s="74">
        <v>45792</v>
      </c>
      <c r="AC205" s="74" t="str">
        <f t="shared" si="3"/>
        <v>Q2 2025</v>
      </c>
      <c r="AD205" s="123">
        <v>46091</v>
      </c>
      <c r="AE205" s="69">
        <v>47118</v>
      </c>
      <c r="AF205" s="21" t="s">
        <v>80</v>
      </c>
      <c r="AG205" s="21" t="s">
        <v>81</v>
      </c>
      <c r="AH205" s="122" t="s">
        <v>82</v>
      </c>
      <c r="AI205" s="122" t="s">
        <v>83</v>
      </c>
      <c r="AJ205" s="122" t="s">
        <v>84</v>
      </c>
      <c r="AK205" s="122" t="s">
        <v>85</v>
      </c>
      <c r="AL205" s="21" t="s">
        <v>86</v>
      </c>
      <c r="AM205" s="122" t="s">
        <v>78</v>
      </c>
    </row>
    <row r="206" spans="1:39" customFormat="1" ht="15.75" customHeight="1" x14ac:dyDescent="0.3">
      <c r="A206" t="s">
        <v>78</v>
      </c>
      <c r="B206" s="21" t="s">
        <v>776</v>
      </c>
      <c r="C206" s="21" t="s">
        <v>780</v>
      </c>
      <c r="D206" s="117" t="s">
        <v>295</v>
      </c>
      <c r="E206" s="21" t="s">
        <v>79</v>
      </c>
      <c r="F206" s="21" t="s">
        <v>322</v>
      </c>
      <c r="G206" s="21">
        <v>602</v>
      </c>
      <c r="H206" s="21"/>
      <c r="I206" s="117" t="s">
        <v>843</v>
      </c>
      <c r="J206" s="117" t="s">
        <v>842</v>
      </c>
      <c r="K206" s="118"/>
      <c r="L206" s="21"/>
      <c r="M206" s="21"/>
      <c r="N206" s="21">
        <v>203</v>
      </c>
      <c r="O206" s="21">
        <v>47</v>
      </c>
      <c r="P206" s="21">
        <v>352</v>
      </c>
      <c r="Q206" s="21"/>
      <c r="R206" s="21" t="s">
        <v>326</v>
      </c>
      <c r="S206" s="119">
        <f>DATABASE_Table[[#This Row],[Inicial Asking Price (€) (Total)]]-DATABASE_Table[[#This Row],[Vista membership]]-DATABASE_Table[[#This Row],[FF&amp;E]]</f>
        <v>3145000</v>
      </c>
      <c r="T206" s="120">
        <v>3225000</v>
      </c>
      <c r="U206" s="36">
        <v>3225000</v>
      </c>
      <c r="V206" s="21"/>
      <c r="W206" s="36">
        <v>80000</v>
      </c>
      <c r="X206" s="73">
        <f>DATABASE_Table[[#This Row],[Current Asking price( Total)]]-DATABASE_Table[[#This Row],[Vista membership]]-DATABASE_Table[[#This Row],[FF&amp;E]]</f>
        <v>3145000</v>
      </c>
      <c r="Y206" s="37">
        <v>0</v>
      </c>
      <c r="Z206" s="36">
        <v>3225000</v>
      </c>
      <c r="AA206" s="73">
        <f>DATABASE_Table[[#This Row],[Sell price (Total)]]-DATABASE_Table[[#This Row],[FF&amp;E]]-DATABASE_Table[[#This Row],[Vista membership]]</f>
        <v>3145000</v>
      </c>
      <c r="AB206" s="74">
        <v>45792</v>
      </c>
      <c r="AC206" s="74" t="str">
        <f t="shared" si="3"/>
        <v>Q2 2025</v>
      </c>
      <c r="AD206" s="123">
        <v>46091</v>
      </c>
      <c r="AE206" s="69">
        <v>47118</v>
      </c>
      <c r="AF206" s="21" t="s">
        <v>80</v>
      </c>
      <c r="AG206" s="21" t="s">
        <v>81</v>
      </c>
      <c r="AH206" s="122" t="s">
        <v>82</v>
      </c>
      <c r="AI206" s="122" t="s">
        <v>83</v>
      </c>
      <c r="AJ206" s="122" t="s">
        <v>84</v>
      </c>
      <c r="AK206" s="122" t="s">
        <v>85</v>
      </c>
      <c r="AL206" s="21" t="s">
        <v>86</v>
      </c>
      <c r="AM206" s="122" t="s">
        <v>78</v>
      </c>
    </row>
    <row r="207" spans="1:39" customFormat="1" ht="15.75" customHeight="1" x14ac:dyDescent="0.3">
      <c r="A207" t="s">
        <v>78</v>
      </c>
      <c r="B207" s="21" t="s">
        <v>776</v>
      </c>
      <c r="C207" s="21" t="s">
        <v>780</v>
      </c>
      <c r="D207" s="117" t="s">
        <v>296</v>
      </c>
      <c r="E207" s="21" t="s">
        <v>79</v>
      </c>
      <c r="F207" s="21" t="s">
        <v>321</v>
      </c>
      <c r="G207" s="21">
        <v>559</v>
      </c>
      <c r="H207" s="21"/>
      <c r="I207" s="117" t="s">
        <v>843</v>
      </c>
      <c r="J207" s="117" t="s">
        <v>842</v>
      </c>
      <c r="K207" s="118"/>
      <c r="L207" s="21"/>
      <c r="M207" s="21"/>
      <c r="N207" s="21">
        <v>196</v>
      </c>
      <c r="O207" s="21">
        <v>65</v>
      </c>
      <c r="P207" s="21">
        <v>298</v>
      </c>
      <c r="Q207" s="21"/>
      <c r="R207" s="21" t="s">
        <v>625</v>
      </c>
      <c r="S207" s="119">
        <f>DATABASE_Table[[#This Row],[Inicial Asking Price (€) (Total)]]-DATABASE_Table[[#This Row],[Vista membership]]-DATABASE_Table[[#This Row],[FF&amp;E]]</f>
        <v>2500000</v>
      </c>
      <c r="T207" s="120">
        <v>2570000</v>
      </c>
      <c r="U207" s="36">
        <v>2570000</v>
      </c>
      <c r="V207" s="21"/>
      <c r="W207" s="36">
        <v>70000</v>
      </c>
      <c r="X207" s="73">
        <f>DATABASE_Table[[#This Row],[Current Asking price( Total)]]-DATABASE_Table[[#This Row],[Vista membership]]-DATABASE_Table[[#This Row],[FF&amp;E]]</f>
        <v>2500000</v>
      </c>
      <c r="Y207" s="37">
        <v>0</v>
      </c>
      <c r="Z207" s="36">
        <v>2570000</v>
      </c>
      <c r="AA207" s="73">
        <f>DATABASE_Table[[#This Row],[Sell price (Total)]]-DATABASE_Table[[#This Row],[FF&amp;E]]-DATABASE_Table[[#This Row],[Vista membership]]</f>
        <v>2500000</v>
      </c>
      <c r="AB207" s="74">
        <v>45792</v>
      </c>
      <c r="AC207" s="74" t="str">
        <f t="shared" si="3"/>
        <v>Q2 2025</v>
      </c>
      <c r="AD207" s="121">
        <v>46093</v>
      </c>
      <c r="AE207" s="69">
        <v>47118</v>
      </c>
      <c r="AF207" s="21" t="s">
        <v>80</v>
      </c>
      <c r="AG207" s="21" t="s">
        <v>81</v>
      </c>
      <c r="AH207" s="122" t="s">
        <v>82</v>
      </c>
      <c r="AI207" s="122" t="s">
        <v>83</v>
      </c>
      <c r="AJ207" s="122" t="s">
        <v>84</v>
      </c>
      <c r="AK207" s="122" t="s">
        <v>85</v>
      </c>
      <c r="AL207" s="21" t="s">
        <v>86</v>
      </c>
      <c r="AM207" s="122" t="s">
        <v>78</v>
      </c>
    </row>
    <row r="208" spans="1:39" customFormat="1" ht="15.75" customHeight="1" x14ac:dyDescent="0.3">
      <c r="A208" t="s">
        <v>78</v>
      </c>
      <c r="B208" s="21" t="s">
        <v>776</v>
      </c>
      <c r="C208" s="21" t="s">
        <v>780</v>
      </c>
      <c r="D208" s="117" t="s">
        <v>294</v>
      </c>
      <c r="E208" s="21" t="s">
        <v>79</v>
      </c>
      <c r="F208" s="21" t="s">
        <v>322</v>
      </c>
      <c r="G208" s="21">
        <v>594.4</v>
      </c>
      <c r="H208" s="21"/>
      <c r="I208" s="117" t="s">
        <v>843</v>
      </c>
      <c r="J208" s="117" t="s">
        <v>842</v>
      </c>
      <c r="K208" s="118"/>
      <c r="L208" s="21"/>
      <c r="M208" s="21"/>
      <c r="N208" s="21">
        <v>199.4</v>
      </c>
      <c r="O208" s="21">
        <v>47</v>
      </c>
      <c r="P208" s="21">
        <v>348</v>
      </c>
      <c r="Q208" s="21"/>
      <c r="R208" s="21" t="s">
        <v>329</v>
      </c>
      <c r="S208" s="119">
        <f>DATABASE_Table[[#This Row],[Inicial Asking Price (€) (Total)]]-DATABASE_Table[[#This Row],[Vista membership]]-DATABASE_Table[[#This Row],[FF&amp;E]]</f>
        <v>3145000</v>
      </c>
      <c r="T208" s="120">
        <v>3225000</v>
      </c>
      <c r="U208" s="36">
        <v>3225000</v>
      </c>
      <c r="V208" s="21"/>
      <c r="W208" s="36">
        <v>80000</v>
      </c>
      <c r="X208" s="73">
        <f>DATABASE_Table[[#This Row],[Current Asking price( Total)]]-DATABASE_Table[[#This Row],[Vista membership]]-DATABASE_Table[[#This Row],[FF&amp;E]]</f>
        <v>3145000</v>
      </c>
      <c r="Y208" s="37"/>
      <c r="Z208" s="36"/>
      <c r="AA208" s="73">
        <f>DATABASE_Table[[#This Row],[Sell price (Total)]]-DATABASE_Table[[#This Row],[FF&amp;E]]-DATABASE_Table[[#This Row],[Vista membership]]</f>
        <v>-80000</v>
      </c>
      <c r="AB208" s="74">
        <v>45792</v>
      </c>
      <c r="AC208" s="74" t="str">
        <f t="shared" si="3"/>
        <v>Q2 2025</v>
      </c>
      <c r="AD208" s="123"/>
      <c r="AE208" s="69">
        <v>47118</v>
      </c>
      <c r="AF208" s="21" t="s">
        <v>80</v>
      </c>
      <c r="AG208" s="21" t="s">
        <v>81</v>
      </c>
      <c r="AH208" s="122" t="s">
        <v>82</v>
      </c>
      <c r="AI208" s="122" t="s">
        <v>83</v>
      </c>
      <c r="AJ208" s="122" t="s">
        <v>84</v>
      </c>
      <c r="AK208" s="122" t="s">
        <v>85</v>
      </c>
      <c r="AL208" s="21" t="s">
        <v>86</v>
      </c>
      <c r="AM208" s="122" t="s">
        <v>78</v>
      </c>
    </row>
    <row r="209" spans="1:39" customFormat="1" ht="15.75" customHeight="1" x14ac:dyDescent="0.3">
      <c r="A209" t="s">
        <v>78</v>
      </c>
      <c r="B209" s="21" t="s">
        <v>776</v>
      </c>
      <c r="C209" s="21" t="s">
        <v>780</v>
      </c>
      <c r="D209" s="117" t="s">
        <v>297</v>
      </c>
      <c r="E209" s="21" t="s">
        <v>79</v>
      </c>
      <c r="F209" s="21" t="s">
        <v>321</v>
      </c>
      <c r="G209" s="21">
        <v>553</v>
      </c>
      <c r="H209" s="21"/>
      <c r="I209" s="117" t="s">
        <v>843</v>
      </c>
      <c r="J209" s="117" t="s">
        <v>842</v>
      </c>
      <c r="K209" s="118"/>
      <c r="L209" s="21"/>
      <c r="M209" s="21"/>
      <c r="N209" s="21">
        <v>193</v>
      </c>
      <c r="O209" s="21">
        <v>65</v>
      </c>
      <c r="P209" s="21">
        <v>295</v>
      </c>
      <c r="Q209" s="21"/>
      <c r="R209" s="21" t="s">
        <v>329</v>
      </c>
      <c r="S209" s="119">
        <f>DATABASE_Table[[#This Row],[Inicial Asking Price (€) (Total)]]-DATABASE_Table[[#This Row],[Vista membership]]-DATABASE_Table[[#This Row],[FF&amp;E]]</f>
        <v>2500000</v>
      </c>
      <c r="T209" s="120">
        <v>2570000</v>
      </c>
      <c r="U209" s="36">
        <v>2570000</v>
      </c>
      <c r="V209" s="21"/>
      <c r="W209" s="36">
        <v>70000</v>
      </c>
      <c r="X209" s="73">
        <f>DATABASE_Table[[#This Row],[Current Asking price( Total)]]-DATABASE_Table[[#This Row],[Vista membership]]-DATABASE_Table[[#This Row],[FF&amp;E]]</f>
        <v>2500000</v>
      </c>
      <c r="Y209" s="37"/>
      <c r="Z209" s="36"/>
      <c r="AA209" s="73">
        <f>DATABASE_Table[[#This Row],[Sell price (Total)]]-DATABASE_Table[[#This Row],[FF&amp;E]]-DATABASE_Table[[#This Row],[Vista membership]]</f>
        <v>-70000</v>
      </c>
      <c r="AB209" s="74">
        <v>45792</v>
      </c>
      <c r="AC209" s="74" t="str">
        <f t="shared" si="3"/>
        <v>Q2 2025</v>
      </c>
      <c r="AD209" s="123"/>
      <c r="AE209" s="69">
        <v>47118</v>
      </c>
      <c r="AF209" s="21" t="s">
        <v>80</v>
      </c>
      <c r="AG209" s="21" t="s">
        <v>81</v>
      </c>
      <c r="AH209" s="122" t="s">
        <v>82</v>
      </c>
      <c r="AI209" s="122" t="s">
        <v>83</v>
      </c>
      <c r="AJ209" s="122" t="s">
        <v>84</v>
      </c>
      <c r="AK209" s="122" t="s">
        <v>85</v>
      </c>
      <c r="AL209" s="21" t="s">
        <v>86</v>
      </c>
      <c r="AM209" s="122" t="s">
        <v>78</v>
      </c>
    </row>
    <row r="210" spans="1:39" customFormat="1" ht="15.75" customHeight="1" x14ac:dyDescent="0.3">
      <c r="A210" t="s">
        <v>78</v>
      </c>
      <c r="B210" s="21" t="s">
        <v>776</v>
      </c>
      <c r="C210" s="21" t="s">
        <v>780</v>
      </c>
      <c r="D210" s="117" t="s">
        <v>298</v>
      </c>
      <c r="E210" s="21" t="s">
        <v>79</v>
      </c>
      <c r="F210" s="21" t="s">
        <v>321</v>
      </c>
      <c r="G210" s="21">
        <v>553</v>
      </c>
      <c r="H210" s="21"/>
      <c r="I210" s="117" t="s">
        <v>843</v>
      </c>
      <c r="J210" s="117" t="s">
        <v>842</v>
      </c>
      <c r="K210" s="118"/>
      <c r="L210" s="21"/>
      <c r="M210" s="21"/>
      <c r="N210" s="21">
        <v>193</v>
      </c>
      <c r="O210" s="21">
        <v>65</v>
      </c>
      <c r="P210" s="21">
        <v>295</v>
      </c>
      <c r="Q210" s="21"/>
      <c r="R210" s="21" t="s">
        <v>329</v>
      </c>
      <c r="S210" s="119">
        <f>DATABASE_Table[[#This Row],[Inicial Asking Price (€) (Total)]]-DATABASE_Table[[#This Row],[Vista membership]]-DATABASE_Table[[#This Row],[FF&amp;E]]</f>
        <v>2500000</v>
      </c>
      <c r="T210" s="120">
        <v>2570000</v>
      </c>
      <c r="U210" s="36">
        <v>2600000</v>
      </c>
      <c r="V210" s="21"/>
      <c r="W210" s="36">
        <v>70000</v>
      </c>
      <c r="X210" s="73">
        <f>DATABASE_Table[[#This Row],[Current Asking price( Total)]]-DATABASE_Table[[#This Row],[Vista membership]]-DATABASE_Table[[#This Row],[FF&amp;E]]</f>
        <v>2530000</v>
      </c>
      <c r="Y210" s="37"/>
      <c r="Z210" s="36"/>
      <c r="AA210" s="73">
        <f>DATABASE_Table[[#This Row],[Sell price (Total)]]-DATABASE_Table[[#This Row],[FF&amp;E]]-DATABASE_Table[[#This Row],[Vista membership]]</f>
        <v>-70000</v>
      </c>
      <c r="AB210" s="74">
        <v>45792</v>
      </c>
      <c r="AC210" s="74" t="str">
        <f t="shared" si="3"/>
        <v>Q2 2025</v>
      </c>
      <c r="AD210" s="123"/>
      <c r="AE210" s="69">
        <v>47118</v>
      </c>
      <c r="AF210" s="21" t="s">
        <v>80</v>
      </c>
      <c r="AG210" s="21" t="s">
        <v>81</v>
      </c>
      <c r="AH210" s="122" t="s">
        <v>82</v>
      </c>
      <c r="AI210" s="122" t="s">
        <v>83</v>
      </c>
      <c r="AJ210" s="122" t="s">
        <v>84</v>
      </c>
      <c r="AK210" s="122" t="s">
        <v>85</v>
      </c>
      <c r="AL210" s="21" t="s">
        <v>86</v>
      </c>
      <c r="AM210" s="122" t="s">
        <v>78</v>
      </c>
    </row>
    <row r="211" spans="1:39" customFormat="1" ht="15.75" customHeight="1" x14ac:dyDescent="0.3">
      <c r="A211" t="s">
        <v>78</v>
      </c>
      <c r="B211" s="21" t="s">
        <v>776</v>
      </c>
      <c r="C211" s="21" t="s">
        <v>780</v>
      </c>
      <c r="D211" s="117" t="s">
        <v>299</v>
      </c>
      <c r="E211" s="21" t="s">
        <v>79</v>
      </c>
      <c r="F211" s="21" t="s">
        <v>321</v>
      </c>
      <c r="G211" s="21">
        <v>554</v>
      </c>
      <c r="H211" s="21"/>
      <c r="I211" s="117" t="s">
        <v>843</v>
      </c>
      <c r="J211" s="117" t="s">
        <v>842</v>
      </c>
      <c r="K211" s="118"/>
      <c r="L211" s="21"/>
      <c r="M211" s="21"/>
      <c r="N211" s="21">
        <v>193</v>
      </c>
      <c r="O211" s="21">
        <v>65</v>
      </c>
      <c r="P211" s="21">
        <v>296</v>
      </c>
      <c r="Q211" s="21"/>
      <c r="R211" s="21" t="s">
        <v>329</v>
      </c>
      <c r="S211" s="119">
        <f>DATABASE_Table[[#This Row],[Inicial Asking Price (€) (Total)]]-DATABASE_Table[[#This Row],[Vista membership]]-DATABASE_Table[[#This Row],[FF&amp;E]]</f>
        <v>2500000</v>
      </c>
      <c r="T211" s="120">
        <v>2570000</v>
      </c>
      <c r="U211" s="36">
        <v>2600000</v>
      </c>
      <c r="V211" s="21"/>
      <c r="W211" s="36">
        <v>70000</v>
      </c>
      <c r="X211" s="73">
        <f>DATABASE_Table[[#This Row],[Current Asking price( Total)]]-DATABASE_Table[[#This Row],[Vista membership]]-DATABASE_Table[[#This Row],[FF&amp;E]]</f>
        <v>2530000</v>
      </c>
      <c r="Y211" s="37"/>
      <c r="Z211" s="36"/>
      <c r="AA211" s="73">
        <f>DATABASE_Table[[#This Row],[Sell price (Total)]]-DATABASE_Table[[#This Row],[FF&amp;E]]-DATABASE_Table[[#This Row],[Vista membership]]</f>
        <v>-70000</v>
      </c>
      <c r="AB211" s="74">
        <v>45792</v>
      </c>
      <c r="AC211" s="74" t="str">
        <f t="shared" si="3"/>
        <v>Q2 2025</v>
      </c>
      <c r="AD211" s="123"/>
      <c r="AE211" s="69">
        <v>47118</v>
      </c>
      <c r="AF211" s="21" t="s">
        <v>80</v>
      </c>
      <c r="AG211" s="21" t="s">
        <v>81</v>
      </c>
      <c r="AH211" s="122" t="s">
        <v>82</v>
      </c>
      <c r="AI211" s="122" t="s">
        <v>83</v>
      </c>
      <c r="AJ211" s="122" t="s">
        <v>84</v>
      </c>
      <c r="AK211" s="122" t="s">
        <v>85</v>
      </c>
      <c r="AL211" s="21" t="s">
        <v>86</v>
      </c>
      <c r="AM211" s="122" t="s">
        <v>78</v>
      </c>
    </row>
    <row r="212" spans="1:39" customFormat="1" ht="15.75" customHeight="1" x14ac:dyDescent="0.3">
      <c r="A212" t="s">
        <v>78</v>
      </c>
      <c r="B212" s="21" t="s">
        <v>776</v>
      </c>
      <c r="C212" s="21" t="s">
        <v>780</v>
      </c>
      <c r="D212" s="117" t="s">
        <v>300</v>
      </c>
      <c r="E212" s="21" t="s">
        <v>79</v>
      </c>
      <c r="F212" s="21" t="s">
        <v>322</v>
      </c>
      <c r="G212" s="21">
        <v>587.4</v>
      </c>
      <c r="H212" s="21"/>
      <c r="I212" s="117" t="s">
        <v>843</v>
      </c>
      <c r="J212" s="117" t="s">
        <v>842</v>
      </c>
      <c r="K212" s="118"/>
      <c r="L212" s="21"/>
      <c r="M212" s="21"/>
      <c r="N212" s="21">
        <v>167</v>
      </c>
      <c r="O212" s="21">
        <v>79</v>
      </c>
      <c r="P212" s="21">
        <v>341.4</v>
      </c>
      <c r="Q212" s="21"/>
      <c r="R212" s="21" t="s">
        <v>329</v>
      </c>
      <c r="S212" s="119">
        <f>DATABASE_Table[[#This Row],[Inicial Asking Price (€) (Total)]]-DATABASE_Table[[#This Row],[Vista membership]]-DATABASE_Table[[#This Row],[FF&amp;E]]</f>
        <v>3060000</v>
      </c>
      <c r="T212" s="120">
        <v>3140000</v>
      </c>
      <c r="U212" s="36">
        <v>3140000</v>
      </c>
      <c r="V212" s="21"/>
      <c r="W212" s="36">
        <v>80000</v>
      </c>
      <c r="X212" s="73">
        <f>DATABASE_Table[[#This Row],[Current Asking price( Total)]]-DATABASE_Table[[#This Row],[Vista membership]]-DATABASE_Table[[#This Row],[FF&amp;E]]</f>
        <v>3060000</v>
      </c>
      <c r="Y212" s="37"/>
      <c r="Z212" s="36"/>
      <c r="AA212" s="73">
        <f>DATABASE_Table[[#This Row],[Sell price (Total)]]-DATABASE_Table[[#This Row],[FF&amp;E]]-DATABASE_Table[[#This Row],[Vista membership]]</f>
        <v>-80000</v>
      </c>
      <c r="AB212" s="74">
        <v>45792</v>
      </c>
      <c r="AC212" s="74" t="str">
        <f t="shared" si="3"/>
        <v>Q2 2025</v>
      </c>
      <c r="AD212" s="123"/>
      <c r="AE212" s="69">
        <v>47118</v>
      </c>
      <c r="AF212" s="21" t="s">
        <v>80</v>
      </c>
      <c r="AG212" s="21" t="s">
        <v>81</v>
      </c>
      <c r="AH212" s="122" t="s">
        <v>82</v>
      </c>
      <c r="AI212" s="122" t="s">
        <v>83</v>
      </c>
      <c r="AJ212" s="122" t="s">
        <v>84</v>
      </c>
      <c r="AK212" s="122" t="s">
        <v>85</v>
      </c>
      <c r="AL212" s="21" t="s">
        <v>86</v>
      </c>
      <c r="AM212" s="122" t="s">
        <v>78</v>
      </c>
    </row>
    <row r="213" spans="1:39" customFormat="1" ht="15.75" customHeight="1" x14ac:dyDescent="0.3">
      <c r="A213" t="s">
        <v>78</v>
      </c>
      <c r="B213" s="21" t="s">
        <v>776</v>
      </c>
      <c r="C213" s="21" t="s">
        <v>780</v>
      </c>
      <c r="D213" s="117" t="s">
        <v>301</v>
      </c>
      <c r="E213" s="21" t="s">
        <v>79</v>
      </c>
      <c r="F213" s="21" t="s">
        <v>322</v>
      </c>
      <c r="G213" s="21">
        <v>533.5</v>
      </c>
      <c r="H213" s="21"/>
      <c r="I213" s="117" t="s">
        <v>843</v>
      </c>
      <c r="J213" s="117" t="s">
        <v>842</v>
      </c>
      <c r="K213" s="118"/>
      <c r="L213" s="21"/>
      <c r="M213" s="21"/>
      <c r="N213" s="21">
        <v>142</v>
      </c>
      <c r="O213" s="21">
        <v>59</v>
      </c>
      <c r="P213" s="21">
        <v>332.5</v>
      </c>
      <c r="Q213" s="21"/>
      <c r="R213" s="21" t="s">
        <v>329</v>
      </c>
      <c r="S213" s="119">
        <f>DATABASE_Table[[#This Row],[Inicial Asking Price (€) (Total)]]-DATABASE_Table[[#This Row],[Vista membership]]-DATABASE_Table[[#This Row],[FF&amp;E]]</f>
        <v>2875000</v>
      </c>
      <c r="T213" s="120">
        <v>2955000</v>
      </c>
      <c r="U213" s="36">
        <v>2955000</v>
      </c>
      <c r="V213" s="21"/>
      <c r="W213" s="36">
        <v>80000</v>
      </c>
      <c r="X213" s="73">
        <f>DATABASE_Table[[#This Row],[Current Asking price( Total)]]-DATABASE_Table[[#This Row],[Vista membership]]-DATABASE_Table[[#This Row],[FF&amp;E]]</f>
        <v>2875000</v>
      </c>
      <c r="Y213" s="37"/>
      <c r="Z213" s="36"/>
      <c r="AA213" s="73">
        <f>DATABASE_Table[[#This Row],[Sell price (Total)]]-DATABASE_Table[[#This Row],[FF&amp;E]]-DATABASE_Table[[#This Row],[Vista membership]]</f>
        <v>-80000</v>
      </c>
      <c r="AB213" s="74">
        <v>45792</v>
      </c>
      <c r="AC213" s="74" t="str">
        <f t="shared" si="3"/>
        <v>Q2 2025</v>
      </c>
      <c r="AD213" s="123"/>
      <c r="AE213" s="69">
        <v>47118</v>
      </c>
      <c r="AF213" s="21" t="s">
        <v>80</v>
      </c>
      <c r="AG213" s="21" t="s">
        <v>81</v>
      </c>
      <c r="AH213" s="122" t="s">
        <v>82</v>
      </c>
      <c r="AI213" s="122" t="s">
        <v>83</v>
      </c>
      <c r="AJ213" s="122" t="s">
        <v>84</v>
      </c>
      <c r="AK213" s="122" t="s">
        <v>85</v>
      </c>
      <c r="AL213" s="21" t="s">
        <v>86</v>
      </c>
      <c r="AM213" s="122" t="s">
        <v>78</v>
      </c>
    </row>
    <row r="214" spans="1:39" customFormat="1" ht="15.75" customHeight="1" x14ac:dyDescent="0.3">
      <c r="A214" t="s">
        <v>78</v>
      </c>
      <c r="B214" s="21" t="s">
        <v>776</v>
      </c>
      <c r="C214" s="21" t="s">
        <v>780</v>
      </c>
      <c r="D214" s="117" t="s">
        <v>278</v>
      </c>
      <c r="E214" s="21" t="s">
        <v>79</v>
      </c>
      <c r="F214" s="21" t="s">
        <v>323</v>
      </c>
      <c r="G214" s="21">
        <v>386.9</v>
      </c>
      <c r="H214" s="21"/>
      <c r="I214" s="117" t="s">
        <v>843</v>
      </c>
      <c r="J214" s="117" t="s">
        <v>842</v>
      </c>
      <c r="K214" s="118"/>
      <c r="L214" s="21"/>
      <c r="M214" s="21"/>
      <c r="N214" s="21">
        <v>125</v>
      </c>
      <c r="O214" s="21">
        <v>34</v>
      </c>
      <c r="P214" s="21">
        <v>227.9</v>
      </c>
      <c r="Q214" s="21"/>
      <c r="R214" s="21" t="s">
        <v>329</v>
      </c>
      <c r="S214" s="119">
        <f>DATABASE_Table[[#This Row],[Inicial Asking Price (€) (Total)]]-DATABASE_Table[[#This Row],[Vista membership]]-DATABASE_Table[[#This Row],[FF&amp;E]]</f>
        <v>1895000</v>
      </c>
      <c r="T214" s="120">
        <v>1965000</v>
      </c>
      <c r="U214" s="36">
        <v>1965000</v>
      </c>
      <c r="V214" s="21"/>
      <c r="W214" s="36">
        <v>70000</v>
      </c>
      <c r="X214" s="73">
        <f>DATABASE_Table[[#This Row],[Current Asking price( Total)]]-DATABASE_Table[[#This Row],[Vista membership]]-DATABASE_Table[[#This Row],[FF&amp;E]]</f>
        <v>1895000</v>
      </c>
      <c r="Y214" s="37"/>
      <c r="Z214" s="36"/>
      <c r="AA214" s="73">
        <f>DATABASE_Table[[#This Row],[Sell price (Total)]]-DATABASE_Table[[#This Row],[FF&amp;E]]-DATABASE_Table[[#This Row],[Vista membership]]</f>
        <v>-70000</v>
      </c>
      <c r="AB214" s="74">
        <v>45792</v>
      </c>
      <c r="AC214" s="74" t="str">
        <f t="shared" si="3"/>
        <v>Q2 2025</v>
      </c>
      <c r="AD214" s="123"/>
      <c r="AE214" s="69">
        <v>47118</v>
      </c>
      <c r="AF214" s="21" t="s">
        <v>80</v>
      </c>
      <c r="AG214" s="21" t="s">
        <v>81</v>
      </c>
      <c r="AH214" s="122" t="s">
        <v>82</v>
      </c>
      <c r="AI214" s="122" t="s">
        <v>83</v>
      </c>
      <c r="AJ214" s="122" t="s">
        <v>84</v>
      </c>
      <c r="AK214" s="122" t="s">
        <v>85</v>
      </c>
      <c r="AL214" s="21" t="s">
        <v>86</v>
      </c>
      <c r="AM214" s="122" t="s">
        <v>78</v>
      </c>
    </row>
    <row r="215" spans="1:39" customFormat="1" ht="15.75" customHeight="1" x14ac:dyDescent="0.3">
      <c r="A215" t="s">
        <v>78</v>
      </c>
      <c r="B215" s="21" t="s">
        <v>776</v>
      </c>
      <c r="C215" s="21" t="s">
        <v>780</v>
      </c>
      <c r="D215" s="117" t="s">
        <v>302</v>
      </c>
      <c r="E215" s="21" t="s">
        <v>79</v>
      </c>
      <c r="F215" s="21" t="s">
        <v>321</v>
      </c>
      <c r="G215" s="21">
        <v>422.5</v>
      </c>
      <c r="H215" s="21"/>
      <c r="I215" s="117" t="s">
        <v>843</v>
      </c>
      <c r="J215" s="117" t="s">
        <v>842</v>
      </c>
      <c r="K215" s="118"/>
      <c r="L215" s="21"/>
      <c r="M215" s="21"/>
      <c r="N215" s="21">
        <v>118</v>
      </c>
      <c r="O215" s="21">
        <v>61</v>
      </c>
      <c r="P215" s="21">
        <v>243.5</v>
      </c>
      <c r="Q215" s="21"/>
      <c r="R215" s="21" t="s">
        <v>329</v>
      </c>
      <c r="S215" s="119">
        <f>DATABASE_Table[[#This Row],[Inicial Asking Price (€) (Total)]]-DATABASE_Table[[#This Row],[Vista membership]]-DATABASE_Table[[#This Row],[FF&amp;E]]</f>
        <v>2090000</v>
      </c>
      <c r="T215" s="120">
        <v>2160000</v>
      </c>
      <c r="U215" s="36">
        <v>2170000</v>
      </c>
      <c r="V215" s="21"/>
      <c r="W215" s="36">
        <v>70000</v>
      </c>
      <c r="X215" s="73">
        <f>DATABASE_Table[[#This Row],[Current Asking price( Total)]]-DATABASE_Table[[#This Row],[Vista membership]]-DATABASE_Table[[#This Row],[FF&amp;E]]</f>
        <v>2100000</v>
      </c>
      <c r="Y215" s="37"/>
      <c r="Z215" s="36"/>
      <c r="AA215" s="73">
        <f>DATABASE_Table[[#This Row],[Sell price (Total)]]-DATABASE_Table[[#This Row],[FF&amp;E]]-DATABASE_Table[[#This Row],[Vista membership]]</f>
        <v>-70000</v>
      </c>
      <c r="AB215" s="74">
        <v>45792</v>
      </c>
      <c r="AC215" s="74" t="str">
        <f t="shared" si="3"/>
        <v>Q2 2025</v>
      </c>
      <c r="AD215" s="123"/>
      <c r="AE215" s="69">
        <v>47118</v>
      </c>
      <c r="AF215" s="21" t="s">
        <v>80</v>
      </c>
      <c r="AG215" s="21" t="s">
        <v>81</v>
      </c>
      <c r="AH215" s="122" t="s">
        <v>82</v>
      </c>
      <c r="AI215" s="122" t="s">
        <v>83</v>
      </c>
      <c r="AJ215" s="122" t="s">
        <v>84</v>
      </c>
      <c r="AK215" s="122" t="s">
        <v>85</v>
      </c>
      <c r="AL215" s="21" t="s">
        <v>86</v>
      </c>
      <c r="AM215" s="122" t="s">
        <v>78</v>
      </c>
    </row>
    <row r="216" spans="1:39" customFormat="1" ht="15.75" customHeight="1" x14ac:dyDescent="0.3">
      <c r="A216" t="s">
        <v>78</v>
      </c>
      <c r="B216" s="21" t="s">
        <v>776</v>
      </c>
      <c r="C216" s="21" t="s">
        <v>780</v>
      </c>
      <c r="D216" s="117" t="s">
        <v>280</v>
      </c>
      <c r="E216" s="21" t="s">
        <v>79</v>
      </c>
      <c r="F216" s="21" t="s">
        <v>323</v>
      </c>
      <c r="G216" s="21">
        <v>378.5</v>
      </c>
      <c r="H216" s="21"/>
      <c r="I216" s="117" t="s">
        <v>843</v>
      </c>
      <c r="J216" s="117" t="s">
        <v>842</v>
      </c>
      <c r="K216" s="118"/>
      <c r="L216" s="21"/>
      <c r="M216" s="21"/>
      <c r="N216" s="21">
        <v>107</v>
      </c>
      <c r="O216" s="21">
        <v>48</v>
      </c>
      <c r="P216" s="21">
        <v>223.5</v>
      </c>
      <c r="Q216" s="21"/>
      <c r="R216" s="21" t="s">
        <v>329</v>
      </c>
      <c r="S216" s="119">
        <f>DATABASE_Table[[#This Row],[Inicial Asking Price (€) (Total)]]-DATABASE_Table[[#This Row],[Vista membership]]-DATABASE_Table[[#This Row],[FF&amp;E]]</f>
        <v>1855000</v>
      </c>
      <c r="T216" s="120">
        <v>1925000</v>
      </c>
      <c r="U216" s="36">
        <v>1925000</v>
      </c>
      <c r="V216" s="21"/>
      <c r="W216" s="36">
        <v>70000</v>
      </c>
      <c r="X216" s="73">
        <f>DATABASE_Table[[#This Row],[Current Asking price( Total)]]-DATABASE_Table[[#This Row],[Vista membership]]-DATABASE_Table[[#This Row],[FF&amp;E]]</f>
        <v>1855000</v>
      </c>
      <c r="Y216" s="37"/>
      <c r="Z216" s="36"/>
      <c r="AA216" s="73">
        <f>DATABASE_Table[[#This Row],[Sell price (Total)]]-DATABASE_Table[[#This Row],[FF&amp;E]]-DATABASE_Table[[#This Row],[Vista membership]]</f>
        <v>-70000</v>
      </c>
      <c r="AB216" s="74">
        <v>45792</v>
      </c>
      <c r="AC216" s="74" t="str">
        <f t="shared" si="3"/>
        <v>Q2 2025</v>
      </c>
      <c r="AD216" s="123"/>
      <c r="AE216" s="69">
        <v>47118</v>
      </c>
      <c r="AF216" s="21" t="s">
        <v>80</v>
      </c>
      <c r="AG216" s="21" t="s">
        <v>81</v>
      </c>
      <c r="AH216" s="122" t="s">
        <v>82</v>
      </c>
      <c r="AI216" s="122" t="s">
        <v>83</v>
      </c>
      <c r="AJ216" s="122" t="s">
        <v>84</v>
      </c>
      <c r="AK216" s="122" t="s">
        <v>85</v>
      </c>
      <c r="AL216" s="21" t="s">
        <v>86</v>
      </c>
      <c r="AM216" s="122" t="s">
        <v>78</v>
      </c>
    </row>
    <row r="217" spans="1:39" customFormat="1" ht="15.75" customHeight="1" x14ac:dyDescent="0.3">
      <c r="A217" t="s">
        <v>78</v>
      </c>
      <c r="B217" s="21" t="s">
        <v>776</v>
      </c>
      <c r="C217" s="21" t="s">
        <v>780</v>
      </c>
      <c r="D217" s="117" t="s">
        <v>281</v>
      </c>
      <c r="E217" s="21" t="s">
        <v>79</v>
      </c>
      <c r="F217" s="21" t="s">
        <v>321</v>
      </c>
      <c r="G217" s="21">
        <v>393.7</v>
      </c>
      <c r="H217" s="21"/>
      <c r="I217" s="117" t="s">
        <v>843</v>
      </c>
      <c r="J217" s="117" t="s">
        <v>842</v>
      </c>
      <c r="K217" s="118"/>
      <c r="L217" s="21"/>
      <c r="M217" s="21"/>
      <c r="N217" s="21">
        <v>107</v>
      </c>
      <c r="O217" s="21">
        <v>48</v>
      </c>
      <c r="P217" s="21">
        <v>238.7</v>
      </c>
      <c r="Q217" s="21"/>
      <c r="R217" s="21" t="s">
        <v>329</v>
      </c>
      <c r="S217" s="119">
        <f>DATABASE_Table[[#This Row],[Inicial Asking Price (€) (Total)]]-DATABASE_Table[[#This Row],[Vista membership]]-DATABASE_Table[[#This Row],[FF&amp;E]]</f>
        <v>1975000</v>
      </c>
      <c r="T217" s="120">
        <v>2045000</v>
      </c>
      <c r="U217" s="36">
        <v>2045000</v>
      </c>
      <c r="V217" s="21"/>
      <c r="W217" s="36">
        <v>70000</v>
      </c>
      <c r="X217" s="73">
        <f>DATABASE_Table[[#This Row],[Current Asking price( Total)]]-DATABASE_Table[[#This Row],[Vista membership]]-DATABASE_Table[[#This Row],[FF&amp;E]]</f>
        <v>1975000</v>
      </c>
      <c r="Y217" s="37"/>
      <c r="Z217" s="36"/>
      <c r="AA217" s="73">
        <f>DATABASE_Table[[#This Row],[Sell price (Total)]]-DATABASE_Table[[#This Row],[FF&amp;E]]-DATABASE_Table[[#This Row],[Vista membership]]</f>
        <v>-70000</v>
      </c>
      <c r="AB217" s="74">
        <v>45792</v>
      </c>
      <c r="AC217" s="74" t="str">
        <f t="shared" si="3"/>
        <v>Q2 2025</v>
      </c>
      <c r="AD217" s="123"/>
      <c r="AE217" s="69">
        <v>47118</v>
      </c>
      <c r="AF217" s="21" t="s">
        <v>80</v>
      </c>
      <c r="AG217" s="21" t="s">
        <v>81</v>
      </c>
      <c r="AH217" s="122" t="s">
        <v>82</v>
      </c>
      <c r="AI217" s="122" t="s">
        <v>83</v>
      </c>
      <c r="AJ217" s="122" t="s">
        <v>84</v>
      </c>
      <c r="AK217" s="122" t="s">
        <v>85</v>
      </c>
      <c r="AL217" s="21" t="s">
        <v>86</v>
      </c>
      <c r="AM217" s="122" t="s">
        <v>78</v>
      </c>
    </row>
    <row r="218" spans="1:39" customFormat="1" ht="15.75" customHeight="1" x14ac:dyDescent="0.3">
      <c r="A218" t="s">
        <v>78</v>
      </c>
      <c r="B218" s="21" t="s">
        <v>776</v>
      </c>
      <c r="C218" s="21" t="s">
        <v>780</v>
      </c>
      <c r="D218" s="117" t="s">
        <v>303</v>
      </c>
      <c r="E218" s="21" t="s">
        <v>79</v>
      </c>
      <c r="F218" s="21" t="s">
        <v>321</v>
      </c>
      <c r="G218" s="21">
        <v>416.8</v>
      </c>
      <c r="H218" s="21"/>
      <c r="I218" s="117" t="s">
        <v>843</v>
      </c>
      <c r="J218" s="117" t="s">
        <v>842</v>
      </c>
      <c r="K218" s="118"/>
      <c r="L218" s="21"/>
      <c r="M218" s="21"/>
      <c r="N218" s="21">
        <v>132</v>
      </c>
      <c r="O218" s="21">
        <v>53</v>
      </c>
      <c r="P218" s="21">
        <v>231.8</v>
      </c>
      <c r="Q218" s="21"/>
      <c r="R218" s="21" t="s">
        <v>329</v>
      </c>
      <c r="S218" s="119">
        <f>DATABASE_Table[[#This Row],[Inicial Asking Price (€) (Total)]]-DATABASE_Table[[#This Row],[Vista membership]]-DATABASE_Table[[#This Row],[FF&amp;E]]</f>
        <v>1945000</v>
      </c>
      <c r="T218" s="120">
        <v>2015000</v>
      </c>
      <c r="U218" s="36">
        <v>2015000</v>
      </c>
      <c r="V218" s="21"/>
      <c r="W218" s="36">
        <v>70000</v>
      </c>
      <c r="X218" s="73">
        <f>DATABASE_Table[[#This Row],[Current Asking price( Total)]]-DATABASE_Table[[#This Row],[Vista membership]]-DATABASE_Table[[#This Row],[FF&amp;E]]</f>
        <v>1945000</v>
      </c>
      <c r="Y218" s="37"/>
      <c r="Z218" s="36"/>
      <c r="AA218" s="73">
        <f>DATABASE_Table[[#This Row],[Sell price (Total)]]-DATABASE_Table[[#This Row],[FF&amp;E]]-DATABASE_Table[[#This Row],[Vista membership]]</f>
        <v>-70000</v>
      </c>
      <c r="AB218" s="74">
        <v>45792</v>
      </c>
      <c r="AC218" s="74" t="str">
        <f t="shared" si="3"/>
        <v>Q2 2025</v>
      </c>
      <c r="AD218" s="123"/>
      <c r="AE218" s="69">
        <v>47118</v>
      </c>
      <c r="AF218" s="21" t="s">
        <v>80</v>
      </c>
      <c r="AG218" s="21" t="s">
        <v>81</v>
      </c>
      <c r="AH218" s="122" t="s">
        <v>82</v>
      </c>
      <c r="AI218" s="122" t="s">
        <v>83</v>
      </c>
      <c r="AJ218" s="122" t="s">
        <v>84</v>
      </c>
      <c r="AK218" s="122" t="s">
        <v>85</v>
      </c>
      <c r="AL218" s="21" t="s">
        <v>86</v>
      </c>
      <c r="AM218" s="122" t="s">
        <v>78</v>
      </c>
    </row>
    <row r="219" spans="1:39" customFormat="1" ht="15.75" customHeight="1" x14ac:dyDescent="0.3">
      <c r="A219" t="s">
        <v>78</v>
      </c>
      <c r="B219" s="21" t="s">
        <v>776</v>
      </c>
      <c r="C219" s="21" t="s">
        <v>780</v>
      </c>
      <c r="D219" s="117" t="s">
        <v>304</v>
      </c>
      <c r="E219" s="21" t="s">
        <v>79</v>
      </c>
      <c r="F219" s="21" t="s">
        <v>323</v>
      </c>
      <c r="G219" s="21">
        <v>379.9</v>
      </c>
      <c r="H219" s="21"/>
      <c r="I219" s="117" t="s">
        <v>843</v>
      </c>
      <c r="J219" s="117" t="s">
        <v>842</v>
      </c>
      <c r="K219" s="118"/>
      <c r="L219" s="21"/>
      <c r="M219" s="21"/>
      <c r="N219" s="21">
        <v>104</v>
      </c>
      <c r="O219" s="21">
        <v>48</v>
      </c>
      <c r="P219" s="21">
        <v>227.9</v>
      </c>
      <c r="Q219" s="21"/>
      <c r="R219" s="21" t="s">
        <v>329</v>
      </c>
      <c r="S219" s="119">
        <f>DATABASE_Table[[#This Row],[Inicial Asking Price (€) (Total)]]-DATABASE_Table[[#This Row],[Vista membership]]-DATABASE_Table[[#This Row],[FF&amp;E]]</f>
        <v>1965000</v>
      </c>
      <c r="T219" s="120">
        <v>2035000</v>
      </c>
      <c r="U219" s="36">
        <v>2035000</v>
      </c>
      <c r="V219" s="21"/>
      <c r="W219" s="36">
        <v>70000</v>
      </c>
      <c r="X219" s="73">
        <f>DATABASE_Table[[#This Row],[Current Asking price( Total)]]-DATABASE_Table[[#This Row],[Vista membership]]-DATABASE_Table[[#This Row],[FF&amp;E]]</f>
        <v>1965000</v>
      </c>
      <c r="Y219" s="37"/>
      <c r="Z219" s="36"/>
      <c r="AA219" s="73">
        <f>DATABASE_Table[[#This Row],[Sell price (Total)]]-DATABASE_Table[[#This Row],[FF&amp;E]]-DATABASE_Table[[#This Row],[Vista membership]]</f>
        <v>-70000</v>
      </c>
      <c r="AB219" s="74">
        <v>45792</v>
      </c>
      <c r="AC219" s="74" t="str">
        <f t="shared" si="3"/>
        <v>Q2 2025</v>
      </c>
      <c r="AD219" s="123"/>
      <c r="AE219" s="69">
        <v>47118</v>
      </c>
      <c r="AF219" s="21" t="s">
        <v>80</v>
      </c>
      <c r="AG219" s="21" t="s">
        <v>81</v>
      </c>
      <c r="AH219" s="122" t="s">
        <v>82</v>
      </c>
      <c r="AI219" s="122" t="s">
        <v>83</v>
      </c>
      <c r="AJ219" s="122" t="s">
        <v>84</v>
      </c>
      <c r="AK219" s="122" t="s">
        <v>85</v>
      </c>
      <c r="AL219" s="21" t="s">
        <v>86</v>
      </c>
      <c r="AM219" s="122" t="s">
        <v>78</v>
      </c>
    </row>
    <row r="220" spans="1:39" customFormat="1" ht="15.75" customHeight="1" x14ac:dyDescent="0.3">
      <c r="A220" t="s">
        <v>78</v>
      </c>
      <c r="B220" s="21" t="s">
        <v>776</v>
      </c>
      <c r="C220" s="21" t="s">
        <v>780</v>
      </c>
      <c r="D220" s="117" t="s">
        <v>305</v>
      </c>
      <c r="E220" s="21" t="s">
        <v>79</v>
      </c>
      <c r="F220" s="21" t="s">
        <v>323</v>
      </c>
      <c r="G220" s="21">
        <v>380.7</v>
      </c>
      <c r="H220" s="21"/>
      <c r="I220" s="117" t="s">
        <v>843</v>
      </c>
      <c r="J220" s="117" t="s">
        <v>842</v>
      </c>
      <c r="K220" s="118"/>
      <c r="L220" s="21"/>
      <c r="M220" s="21"/>
      <c r="N220" s="21">
        <v>104</v>
      </c>
      <c r="O220" s="21">
        <v>48</v>
      </c>
      <c r="P220" s="21">
        <v>228.7</v>
      </c>
      <c r="Q220" s="21"/>
      <c r="R220" s="21" t="s">
        <v>329</v>
      </c>
      <c r="S220" s="119">
        <f>DATABASE_Table[[#This Row],[Inicial Asking Price (€) (Total)]]-DATABASE_Table[[#This Row],[Vista membership]]-DATABASE_Table[[#This Row],[FF&amp;E]]</f>
        <v>1975000</v>
      </c>
      <c r="T220" s="120">
        <v>2045000</v>
      </c>
      <c r="U220" s="36">
        <v>2045000</v>
      </c>
      <c r="V220" s="21"/>
      <c r="W220" s="36">
        <v>70000</v>
      </c>
      <c r="X220" s="73">
        <f>DATABASE_Table[[#This Row],[Current Asking price( Total)]]-DATABASE_Table[[#This Row],[Vista membership]]-DATABASE_Table[[#This Row],[FF&amp;E]]</f>
        <v>1975000</v>
      </c>
      <c r="Y220" s="37"/>
      <c r="Z220" s="36"/>
      <c r="AA220" s="73">
        <f>DATABASE_Table[[#This Row],[Sell price (Total)]]-DATABASE_Table[[#This Row],[FF&amp;E]]-DATABASE_Table[[#This Row],[Vista membership]]</f>
        <v>-70000</v>
      </c>
      <c r="AB220" s="74">
        <v>45792</v>
      </c>
      <c r="AC220" s="74" t="str">
        <f t="shared" si="3"/>
        <v>Q2 2025</v>
      </c>
      <c r="AD220" s="123"/>
      <c r="AE220" s="69">
        <v>47118</v>
      </c>
      <c r="AF220" s="21" t="s">
        <v>80</v>
      </c>
      <c r="AG220" s="21" t="s">
        <v>81</v>
      </c>
      <c r="AH220" s="122" t="s">
        <v>82</v>
      </c>
      <c r="AI220" s="122" t="s">
        <v>83</v>
      </c>
      <c r="AJ220" s="122" t="s">
        <v>84</v>
      </c>
      <c r="AK220" s="122" t="s">
        <v>85</v>
      </c>
      <c r="AL220" s="21" t="s">
        <v>86</v>
      </c>
      <c r="AM220" s="122" t="s">
        <v>78</v>
      </c>
    </row>
    <row r="221" spans="1:39" customFormat="1" ht="15.75" customHeight="1" x14ac:dyDescent="0.3">
      <c r="A221" t="s">
        <v>78</v>
      </c>
      <c r="B221" s="21" t="s">
        <v>776</v>
      </c>
      <c r="C221" s="21" t="s">
        <v>780</v>
      </c>
      <c r="D221" s="117" t="s">
        <v>306</v>
      </c>
      <c r="E221" s="21" t="s">
        <v>79</v>
      </c>
      <c r="F221" s="21" t="s">
        <v>323</v>
      </c>
      <c r="G221" s="21">
        <v>382.9</v>
      </c>
      <c r="H221" s="21"/>
      <c r="I221" s="117" t="s">
        <v>843</v>
      </c>
      <c r="J221" s="117" t="s">
        <v>842</v>
      </c>
      <c r="K221" s="118"/>
      <c r="L221" s="21"/>
      <c r="M221" s="21"/>
      <c r="N221" s="21">
        <v>104</v>
      </c>
      <c r="O221" s="21">
        <v>48</v>
      </c>
      <c r="P221" s="21">
        <v>230.9</v>
      </c>
      <c r="Q221" s="21"/>
      <c r="R221" s="21" t="s">
        <v>329</v>
      </c>
      <c r="S221" s="119">
        <f>DATABASE_Table[[#This Row],[Inicial Asking Price (€) (Total)]]-DATABASE_Table[[#This Row],[Vista membership]]-DATABASE_Table[[#This Row],[FF&amp;E]]</f>
        <v>1995000</v>
      </c>
      <c r="T221" s="120">
        <v>2065000</v>
      </c>
      <c r="U221" s="36">
        <v>2065000</v>
      </c>
      <c r="V221" s="21"/>
      <c r="W221" s="36">
        <v>70000</v>
      </c>
      <c r="X221" s="73">
        <f>DATABASE_Table[[#This Row],[Current Asking price( Total)]]-DATABASE_Table[[#This Row],[Vista membership]]-DATABASE_Table[[#This Row],[FF&amp;E]]</f>
        <v>1995000</v>
      </c>
      <c r="Y221" s="37"/>
      <c r="Z221" s="36"/>
      <c r="AA221" s="73">
        <f>DATABASE_Table[[#This Row],[Sell price (Total)]]-DATABASE_Table[[#This Row],[FF&amp;E]]-DATABASE_Table[[#This Row],[Vista membership]]</f>
        <v>-70000</v>
      </c>
      <c r="AB221" s="74">
        <v>45792</v>
      </c>
      <c r="AC221" s="74" t="str">
        <f t="shared" si="3"/>
        <v>Q2 2025</v>
      </c>
      <c r="AD221" s="123"/>
      <c r="AE221" s="69">
        <v>47118</v>
      </c>
      <c r="AF221" s="21" t="s">
        <v>80</v>
      </c>
      <c r="AG221" s="21" t="s">
        <v>81</v>
      </c>
      <c r="AH221" s="122" t="s">
        <v>82</v>
      </c>
      <c r="AI221" s="122" t="s">
        <v>83</v>
      </c>
      <c r="AJ221" s="122" t="s">
        <v>84</v>
      </c>
      <c r="AK221" s="122" t="s">
        <v>85</v>
      </c>
      <c r="AL221" s="21" t="s">
        <v>86</v>
      </c>
      <c r="AM221" s="122" t="s">
        <v>78</v>
      </c>
    </row>
    <row r="222" spans="1:39" customFormat="1" ht="15.75" customHeight="1" x14ac:dyDescent="0.3">
      <c r="A222" t="s">
        <v>78</v>
      </c>
      <c r="B222" s="21" t="s">
        <v>776</v>
      </c>
      <c r="C222" s="21" t="s">
        <v>780</v>
      </c>
      <c r="D222" s="117" t="s">
        <v>307</v>
      </c>
      <c r="E222" s="21" t="s">
        <v>79</v>
      </c>
      <c r="F222" s="21" t="s">
        <v>324</v>
      </c>
      <c r="G222" s="21">
        <v>283.5</v>
      </c>
      <c r="H222" s="21"/>
      <c r="I222" s="117" t="s">
        <v>842</v>
      </c>
      <c r="J222" s="117" t="s">
        <v>842</v>
      </c>
      <c r="K222" s="118"/>
      <c r="L222" s="21"/>
      <c r="M222" s="21"/>
      <c r="N222" s="21">
        <v>84</v>
      </c>
      <c r="O222" s="21">
        <v>25</v>
      </c>
      <c r="P222" s="21">
        <v>174.5</v>
      </c>
      <c r="Q222" s="21"/>
      <c r="R222" s="21" t="s">
        <v>329</v>
      </c>
      <c r="S222" s="119">
        <f>DATABASE_Table[[#This Row],[Inicial Asking Price (€) (Total)]]-DATABASE_Table[[#This Row],[Vista membership]]-DATABASE_Table[[#This Row],[FF&amp;E]]</f>
        <v>1435000</v>
      </c>
      <c r="T222" s="120">
        <v>1495000</v>
      </c>
      <c r="U222" s="36">
        <v>1495000</v>
      </c>
      <c r="V222" s="21"/>
      <c r="W222" s="36">
        <v>60000</v>
      </c>
      <c r="X222" s="73">
        <f>DATABASE_Table[[#This Row],[Current Asking price( Total)]]-DATABASE_Table[[#This Row],[Vista membership]]-DATABASE_Table[[#This Row],[FF&amp;E]]</f>
        <v>1435000</v>
      </c>
      <c r="Y222" s="37"/>
      <c r="Z222" s="36"/>
      <c r="AA222" s="73">
        <f>DATABASE_Table[[#This Row],[Sell price (Total)]]-DATABASE_Table[[#This Row],[FF&amp;E]]-DATABASE_Table[[#This Row],[Vista membership]]</f>
        <v>-60000</v>
      </c>
      <c r="AB222" s="74">
        <v>45792</v>
      </c>
      <c r="AC222" s="74" t="str">
        <f t="shared" si="3"/>
        <v>Q2 2025</v>
      </c>
      <c r="AD222" s="123"/>
      <c r="AE222" s="69">
        <v>47118</v>
      </c>
      <c r="AF222" s="21" t="s">
        <v>80</v>
      </c>
      <c r="AG222" s="21" t="s">
        <v>81</v>
      </c>
      <c r="AH222" s="122" t="s">
        <v>82</v>
      </c>
      <c r="AI222" s="122" t="s">
        <v>83</v>
      </c>
      <c r="AJ222" s="122" t="s">
        <v>84</v>
      </c>
      <c r="AK222" s="122" t="s">
        <v>85</v>
      </c>
      <c r="AL222" s="21" t="s">
        <v>86</v>
      </c>
      <c r="AM222" s="122" t="s">
        <v>78</v>
      </c>
    </row>
    <row r="223" spans="1:39" customFormat="1" ht="15.75" customHeight="1" x14ac:dyDescent="0.3">
      <c r="A223" t="s">
        <v>78</v>
      </c>
      <c r="B223" s="21" t="s">
        <v>776</v>
      </c>
      <c r="C223" s="21" t="s">
        <v>780</v>
      </c>
      <c r="D223" s="117" t="s">
        <v>287</v>
      </c>
      <c r="E223" s="21" t="s">
        <v>79</v>
      </c>
      <c r="F223" s="21" t="s">
        <v>324</v>
      </c>
      <c r="G223" s="21">
        <v>299.39999999999998</v>
      </c>
      <c r="H223" s="21"/>
      <c r="I223" s="117" t="s">
        <v>842</v>
      </c>
      <c r="J223" s="117" t="s">
        <v>842</v>
      </c>
      <c r="K223" s="118"/>
      <c r="L223" s="21"/>
      <c r="M223" s="21"/>
      <c r="N223" s="21">
        <v>78</v>
      </c>
      <c r="O223" s="21">
        <v>36</v>
      </c>
      <c r="P223" s="21">
        <v>185.4</v>
      </c>
      <c r="Q223" s="21"/>
      <c r="R223" s="21" t="s">
        <v>329</v>
      </c>
      <c r="S223" s="119">
        <f>DATABASE_Table[[#This Row],[Inicial Asking Price (€) (Total)]]-DATABASE_Table[[#This Row],[Vista membership]]-DATABASE_Table[[#This Row],[FF&amp;E]]</f>
        <v>1535000</v>
      </c>
      <c r="T223" s="120">
        <v>1595000</v>
      </c>
      <c r="U223" s="36">
        <v>1595000</v>
      </c>
      <c r="V223" s="21"/>
      <c r="W223" s="36">
        <v>60000</v>
      </c>
      <c r="X223" s="73">
        <f>DATABASE_Table[[#This Row],[Current Asking price( Total)]]-DATABASE_Table[[#This Row],[Vista membership]]-DATABASE_Table[[#This Row],[FF&amp;E]]</f>
        <v>1535000</v>
      </c>
      <c r="Y223" s="37"/>
      <c r="Z223" s="36"/>
      <c r="AA223" s="73">
        <f>DATABASE_Table[[#This Row],[Sell price (Total)]]-DATABASE_Table[[#This Row],[FF&amp;E]]-DATABASE_Table[[#This Row],[Vista membership]]</f>
        <v>-60000</v>
      </c>
      <c r="AB223" s="74">
        <v>45792</v>
      </c>
      <c r="AC223" s="74" t="str">
        <f t="shared" si="3"/>
        <v>Q2 2025</v>
      </c>
      <c r="AD223" s="123"/>
      <c r="AE223" s="69">
        <v>47118</v>
      </c>
      <c r="AF223" s="21" t="s">
        <v>80</v>
      </c>
      <c r="AG223" s="21" t="s">
        <v>81</v>
      </c>
      <c r="AH223" s="122" t="s">
        <v>82</v>
      </c>
      <c r="AI223" s="122" t="s">
        <v>83</v>
      </c>
      <c r="AJ223" s="122" t="s">
        <v>84</v>
      </c>
      <c r="AK223" s="122" t="s">
        <v>85</v>
      </c>
      <c r="AL223" s="21" t="s">
        <v>86</v>
      </c>
      <c r="AM223" s="122" t="s">
        <v>78</v>
      </c>
    </row>
    <row r="224" spans="1:39" customFormat="1" ht="15.75" customHeight="1" x14ac:dyDescent="0.3">
      <c r="A224" t="s">
        <v>78</v>
      </c>
      <c r="B224" s="21" t="s">
        <v>776</v>
      </c>
      <c r="C224" s="21" t="s">
        <v>780</v>
      </c>
      <c r="D224" s="117" t="s">
        <v>308</v>
      </c>
      <c r="E224" s="21" t="s">
        <v>79</v>
      </c>
      <c r="F224" s="21" t="s">
        <v>324</v>
      </c>
      <c r="G224" s="21">
        <v>299.39999999999998</v>
      </c>
      <c r="H224" s="21"/>
      <c r="I224" s="117" t="s">
        <v>842</v>
      </c>
      <c r="J224" s="117" t="s">
        <v>842</v>
      </c>
      <c r="K224" s="118"/>
      <c r="L224" s="21"/>
      <c r="M224" s="21"/>
      <c r="N224" s="21">
        <v>78</v>
      </c>
      <c r="O224" s="21">
        <v>36</v>
      </c>
      <c r="P224" s="21">
        <v>185.4</v>
      </c>
      <c r="Q224" s="21"/>
      <c r="R224" s="21" t="s">
        <v>329</v>
      </c>
      <c r="S224" s="119">
        <f>DATABASE_Table[[#This Row],[Inicial Asking Price (€) (Total)]]-DATABASE_Table[[#This Row],[Vista membership]]-DATABASE_Table[[#This Row],[FF&amp;E]]</f>
        <v>1535000</v>
      </c>
      <c r="T224" s="120">
        <v>1595000</v>
      </c>
      <c r="U224" s="36">
        <v>1595000</v>
      </c>
      <c r="V224" s="21"/>
      <c r="W224" s="36">
        <v>60000</v>
      </c>
      <c r="X224" s="73">
        <f>DATABASE_Table[[#This Row],[Current Asking price( Total)]]-DATABASE_Table[[#This Row],[Vista membership]]-DATABASE_Table[[#This Row],[FF&amp;E]]</f>
        <v>1535000</v>
      </c>
      <c r="Y224" s="37"/>
      <c r="Z224" s="36"/>
      <c r="AA224" s="73">
        <f>DATABASE_Table[[#This Row],[Sell price (Total)]]-DATABASE_Table[[#This Row],[FF&amp;E]]-DATABASE_Table[[#This Row],[Vista membership]]</f>
        <v>-60000</v>
      </c>
      <c r="AB224" s="74">
        <v>45792</v>
      </c>
      <c r="AC224" s="74" t="str">
        <f t="shared" si="3"/>
        <v>Q2 2025</v>
      </c>
      <c r="AD224" s="123"/>
      <c r="AE224" s="69">
        <v>47118</v>
      </c>
      <c r="AF224" s="21" t="s">
        <v>80</v>
      </c>
      <c r="AG224" s="21" t="s">
        <v>81</v>
      </c>
      <c r="AH224" s="122" t="s">
        <v>82</v>
      </c>
      <c r="AI224" s="122" t="s">
        <v>83</v>
      </c>
      <c r="AJ224" s="122" t="s">
        <v>84</v>
      </c>
      <c r="AK224" s="122" t="s">
        <v>85</v>
      </c>
      <c r="AL224" s="21" t="s">
        <v>86</v>
      </c>
      <c r="AM224" s="122" t="s">
        <v>78</v>
      </c>
    </row>
    <row r="225" spans="1:39" customFormat="1" ht="15.75" customHeight="1" x14ac:dyDescent="0.3">
      <c r="A225" t="s">
        <v>78</v>
      </c>
      <c r="B225" s="21" t="s">
        <v>776</v>
      </c>
      <c r="C225" s="21" t="s">
        <v>780</v>
      </c>
      <c r="D225" s="117" t="s">
        <v>309</v>
      </c>
      <c r="E225" s="21" t="s">
        <v>79</v>
      </c>
      <c r="F225" s="21" t="s">
        <v>320</v>
      </c>
      <c r="G225" s="21">
        <v>299.39999999999998</v>
      </c>
      <c r="H225" s="21"/>
      <c r="I225" s="117" t="s">
        <v>842</v>
      </c>
      <c r="J225" s="117" t="s">
        <v>842</v>
      </c>
      <c r="K225" s="118"/>
      <c r="L225" s="21"/>
      <c r="M225" s="21"/>
      <c r="N225" s="21">
        <v>78</v>
      </c>
      <c r="O225" s="21">
        <v>36</v>
      </c>
      <c r="P225" s="21">
        <v>185.4</v>
      </c>
      <c r="Q225" s="21"/>
      <c r="R225" s="21" t="s">
        <v>329</v>
      </c>
      <c r="S225" s="119">
        <f>DATABASE_Table[[#This Row],[Inicial Asking Price (€) (Total)]]-DATABASE_Table[[#This Row],[Vista membership]]-DATABASE_Table[[#This Row],[FF&amp;E]]</f>
        <v>1535000</v>
      </c>
      <c r="T225" s="120">
        <v>1595000</v>
      </c>
      <c r="U225" s="36">
        <v>1595000</v>
      </c>
      <c r="V225" s="21"/>
      <c r="W225" s="36">
        <v>60000</v>
      </c>
      <c r="X225" s="73">
        <f>DATABASE_Table[[#This Row],[Current Asking price( Total)]]-DATABASE_Table[[#This Row],[Vista membership]]-DATABASE_Table[[#This Row],[FF&amp;E]]</f>
        <v>1535000</v>
      </c>
      <c r="Y225" s="37"/>
      <c r="Z225" s="36"/>
      <c r="AA225" s="73">
        <f>DATABASE_Table[[#This Row],[Sell price (Total)]]-DATABASE_Table[[#This Row],[FF&amp;E]]-DATABASE_Table[[#This Row],[Vista membership]]</f>
        <v>-60000</v>
      </c>
      <c r="AB225" s="74">
        <v>45792</v>
      </c>
      <c r="AC225" s="74" t="str">
        <f t="shared" si="3"/>
        <v>Q2 2025</v>
      </c>
      <c r="AD225" s="123"/>
      <c r="AE225" s="69">
        <v>47118</v>
      </c>
      <c r="AF225" s="21" t="s">
        <v>80</v>
      </c>
      <c r="AG225" s="21" t="s">
        <v>81</v>
      </c>
      <c r="AH225" s="122" t="s">
        <v>82</v>
      </c>
      <c r="AI225" s="122" t="s">
        <v>83</v>
      </c>
      <c r="AJ225" s="122" t="s">
        <v>84</v>
      </c>
      <c r="AK225" s="122" t="s">
        <v>85</v>
      </c>
      <c r="AL225" s="21" t="s">
        <v>86</v>
      </c>
      <c r="AM225" s="122" t="s">
        <v>78</v>
      </c>
    </row>
    <row r="226" spans="1:39" customFormat="1" ht="15.75" customHeight="1" x14ac:dyDescent="0.3">
      <c r="A226" t="s">
        <v>78</v>
      </c>
      <c r="B226" s="21" t="s">
        <v>776</v>
      </c>
      <c r="C226" s="21" t="s">
        <v>780</v>
      </c>
      <c r="D226" s="117" t="s">
        <v>310</v>
      </c>
      <c r="E226" s="21" t="s">
        <v>79</v>
      </c>
      <c r="F226" s="21" t="s">
        <v>320</v>
      </c>
      <c r="G226" s="21">
        <v>299.39999999999998</v>
      </c>
      <c r="H226" s="21"/>
      <c r="I226" s="117" t="s">
        <v>842</v>
      </c>
      <c r="J226" s="117" t="s">
        <v>842</v>
      </c>
      <c r="K226" s="118"/>
      <c r="L226" s="21"/>
      <c r="M226" s="21"/>
      <c r="N226" s="21">
        <v>78</v>
      </c>
      <c r="O226" s="21">
        <v>36</v>
      </c>
      <c r="P226" s="21">
        <v>185.4</v>
      </c>
      <c r="Q226" s="21"/>
      <c r="R226" s="21" t="s">
        <v>329</v>
      </c>
      <c r="S226" s="119">
        <f>DATABASE_Table[[#This Row],[Inicial Asking Price (€) (Total)]]-DATABASE_Table[[#This Row],[Vista membership]]-DATABASE_Table[[#This Row],[FF&amp;E]]</f>
        <v>1535000</v>
      </c>
      <c r="T226" s="120">
        <v>1595000</v>
      </c>
      <c r="U226" s="36">
        <v>1595000</v>
      </c>
      <c r="V226" s="21"/>
      <c r="W226" s="36">
        <v>60000</v>
      </c>
      <c r="X226" s="73">
        <f>DATABASE_Table[[#This Row],[Current Asking price( Total)]]-DATABASE_Table[[#This Row],[Vista membership]]-DATABASE_Table[[#This Row],[FF&amp;E]]</f>
        <v>1535000</v>
      </c>
      <c r="Y226" s="37"/>
      <c r="Z226" s="36"/>
      <c r="AA226" s="73">
        <f>DATABASE_Table[[#This Row],[Sell price (Total)]]-DATABASE_Table[[#This Row],[FF&amp;E]]-DATABASE_Table[[#This Row],[Vista membership]]</f>
        <v>-60000</v>
      </c>
      <c r="AB226" s="74">
        <v>45792</v>
      </c>
      <c r="AC226" s="74" t="str">
        <f t="shared" si="3"/>
        <v>Q2 2025</v>
      </c>
      <c r="AD226" s="123"/>
      <c r="AE226" s="69">
        <v>47118</v>
      </c>
      <c r="AF226" s="21" t="s">
        <v>80</v>
      </c>
      <c r="AG226" s="21" t="s">
        <v>81</v>
      </c>
      <c r="AH226" s="122" t="s">
        <v>82</v>
      </c>
      <c r="AI226" s="122" t="s">
        <v>83</v>
      </c>
      <c r="AJ226" s="122" t="s">
        <v>84</v>
      </c>
      <c r="AK226" s="122" t="s">
        <v>85</v>
      </c>
      <c r="AL226" s="21" t="s">
        <v>86</v>
      </c>
      <c r="AM226" s="122" t="s">
        <v>78</v>
      </c>
    </row>
    <row r="227" spans="1:39" customFormat="1" ht="15.75" customHeight="1" x14ac:dyDescent="0.3">
      <c r="A227" t="s">
        <v>78</v>
      </c>
      <c r="B227" s="21" t="s">
        <v>776</v>
      </c>
      <c r="C227" s="21" t="s">
        <v>780</v>
      </c>
      <c r="D227" s="117" t="s">
        <v>291</v>
      </c>
      <c r="E227" s="21" t="s">
        <v>79</v>
      </c>
      <c r="F227" s="21" t="s">
        <v>320</v>
      </c>
      <c r="G227" s="21">
        <v>287</v>
      </c>
      <c r="H227" s="21"/>
      <c r="I227" s="117" t="s">
        <v>842</v>
      </c>
      <c r="J227" s="117" t="s">
        <v>842</v>
      </c>
      <c r="K227" s="118"/>
      <c r="L227" s="21"/>
      <c r="M227" s="21"/>
      <c r="N227" s="21">
        <v>72</v>
      </c>
      <c r="O227" s="21">
        <v>25</v>
      </c>
      <c r="P227" s="21">
        <v>190</v>
      </c>
      <c r="Q227" s="21"/>
      <c r="R227" s="21" t="s">
        <v>329</v>
      </c>
      <c r="S227" s="119">
        <f>DATABASE_Table[[#This Row],[Inicial Asking Price (€) (Total)]]-DATABASE_Table[[#This Row],[Vista membership]]-DATABASE_Table[[#This Row],[FF&amp;E]]</f>
        <v>1540000</v>
      </c>
      <c r="T227" s="120">
        <v>1600000</v>
      </c>
      <c r="U227" s="36">
        <v>1600000</v>
      </c>
      <c r="V227" s="21"/>
      <c r="W227" s="36">
        <v>60000</v>
      </c>
      <c r="X227" s="73">
        <f>DATABASE_Table[[#This Row],[Current Asking price( Total)]]-DATABASE_Table[[#This Row],[Vista membership]]-DATABASE_Table[[#This Row],[FF&amp;E]]</f>
        <v>1540000</v>
      </c>
      <c r="Y227" s="37"/>
      <c r="Z227" s="36"/>
      <c r="AA227" s="73">
        <f>DATABASE_Table[[#This Row],[Sell price (Total)]]-DATABASE_Table[[#This Row],[FF&amp;E]]-DATABASE_Table[[#This Row],[Vista membership]]</f>
        <v>-60000</v>
      </c>
      <c r="AB227" s="74">
        <v>45792</v>
      </c>
      <c r="AC227" s="74" t="str">
        <f t="shared" si="3"/>
        <v>Q2 2025</v>
      </c>
      <c r="AD227" s="123"/>
      <c r="AE227" s="69">
        <v>47118</v>
      </c>
      <c r="AF227" s="21" t="s">
        <v>80</v>
      </c>
      <c r="AG227" s="21" t="s">
        <v>81</v>
      </c>
      <c r="AH227" s="122" t="s">
        <v>82</v>
      </c>
      <c r="AI227" s="122" t="s">
        <v>83</v>
      </c>
      <c r="AJ227" s="122" t="s">
        <v>84</v>
      </c>
      <c r="AK227" s="122" t="s">
        <v>85</v>
      </c>
      <c r="AL227" s="21" t="s">
        <v>86</v>
      </c>
      <c r="AM227" s="122" t="s">
        <v>78</v>
      </c>
    </row>
    <row r="228" spans="1:39" customFormat="1" ht="15.75" customHeight="1" x14ac:dyDescent="0.3">
      <c r="A228" t="s">
        <v>78</v>
      </c>
      <c r="B228" s="21" t="s">
        <v>776</v>
      </c>
      <c r="C228" s="21" t="s">
        <v>780</v>
      </c>
      <c r="D228" s="117" t="s">
        <v>311</v>
      </c>
      <c r="E228" s="21" t="s">
        <v>79</v>
      </c>
      <c r="F228" s="21" t="s">
        <v>324</v>
      </c>
      <c r="G228" s="21">
        <v>297.60000000000002</v>
      </c>
      <c r="H228" s="21"/>
      <c r="I228" s="117" t="s">
        <v>842</v>
      </c>
      <c r="J228" s="117" t="s">
        <v>842</v>
      </c>
      <c r="K228" s="118"/>
      <c r="L228" s="21"/>
      <c r="M228" s="21"/>
      <c r="N228" s="21">
        <v>81</v>
      </c>
      <c r="O228" s="21">
        <v>23</v>
      </c>
      <c r="P228" s="21">
        <v>193.6</v>
      </c>
      <c r="Q228" s="21"/>
      <c r="R228" s="21" t="s">
        <v>329</v>
      </c>
      <c r="S228" s="119">
        <f>DATABASE_Table[[#This Row],[Inicial Asking Price (€) (Total)]]-DATABASE_Table[[#This Row],[Vista membership]]-DATABASE_Table[[#This Row],[FF&amp;E]]</f>
        <v>1560000</v>
      </c>
      <c r="T228" s="120">
        <v>1620000</v>
      </c>
      <c r="U228" s="36">
        <v>1620000</v>
      </c>
      <c r="V228" s="21"/>
      <c r="W228" s="36">
        <v>60000</v>
      </c>
      <c r="X228" s="73">
        <f>DATABASE_Table[[#This Row],[Current Asking price( Total)]]-DATABASE_Table[[#This Row],[Vista membership]]-DATABASE_Table[[#This Row],[FF&amp;E]]</f>
        <v>1560000</v>
      </c>
      <c r="Y228" s="37"/>
      <c r="Z228" s="36"/>
      <c r="AA228" s="73">
        <f>DATABASE_Table[[#This Row],[Sell price (Total)]]-DATABASE_Table[[#This Row],[FF&amp;E]]-DATABASE_Table[[#This Row],[Vista membership]]</f>
        <v>-60000</v>
      </c>
      <c r="AB228" s="74">
        <v>45792</v>
      </c>
      <c r="AC228" s="74" t="str">
        <f t="shared" si="3"/>
        <v>Q2 2025</v>
      </c>
      <c r="AD228" s="123"/>
      <c r="AE228" s="69">
        <v>47118</v>
      </c>
      <c r="AF228" s="21" t="s">
        <v>80</v>
      </c>
      <c r="AG228" s="21" t="s">
        <v>81</v>
      </c>
      <c r="AH228" s="122" t="s">
        <v>82</v>
      </c>
      <c r="AI228" s="122" t="s">
        <v>83</v>
      </c>
      <c r="AJ228" s="122" t="s">
        <v>84</v>
      </c>
      <c r="AK228" s="122" t="s">
        <v>85</v>
      </c>
      <c r="AL228" s="21" t="s">
        <v>86</v>
      </c>
      <c r="AM228" s="122" t="s">
        <v>78</v>
      </c>
    </row>
    <row r="229" spans="1:39" customFormat="1" ht="15.75" customHeight="1" x14ac:dyDescent="0.3">
      <c r="A229" t="s">
        <v>78</v>
      </c>
      <c r="B229" s="21" t="s">
        <v>776</v>
      </c>
      <c r="C229" s="21" t="s">
        <v>780</v>
      </c>
      <c r="D229" s="117" t="s">
        <v>312</v>
      </c>
      <c r="E229" s="21" t="s">
        <v>79</v>
      </c>
      <c r="F229" s="21" t="s">
        <v>324</v>
      </c>
      <c r="G229" s="21">
        <v>319.39999999999998</v>
      </c>
      <c r="H229" s="21"/>
      <c r="I229" s="117" t="s">
        <v>842</v>
      </c>
      <c r="J229" s="117" t="s">
        <v>842</v>
      </c>
      <c r="K229" s="118"/>
      <c r="L229" s="21"/>
      <c r="M229" s="21"/>
      <c r="N229" s="21">
        <v>98</v>
      </c>
      <c r="O229" s="21">
        <v>23</v>
      </c>
      <c r="P229" s="21">
        <v>198.4</v>
      </c>
      <c r="Q229" s="21"/>
      <c r="R229" s="21" t="s">
        <v>329</v>
      </c>
      <c r="S229" s="119">
        <f>DATABASE_Table[[#This Row],[Inicial Asking Price (€) (Total)]]-DATABASE_Table[[#This Row],[Vista membership]]-DATABASE_Table[[#This Row],[FF&amp;E]]</f>
        <v>1630000</v>
      </c>
      <c r="T229" s="120">
        <v>1690000</v>
      </c>
      <c r="U229" s="36">
        <v>1690000</v>
      </c>
      <c r="V229" s="21"/>
      <c r="W229" s="36">
        <v>60000</v>
      </c>
      <c r="X229" s="73">
        <f>DATABASE_Table[[#This Row],[Current Asking price( Total)]]-DATABASE_Table[[#This Row],[Vista membership]]-DATABASE_Table[[#This Row],[FF&amp;E]]</f>
        <v>1630000</v>
      </c>
      <c r="Y229" s="37"/>
      <c r="Z229" s="36"/>
      <c r="AA229" s="73">
        <f>DATABASE_Table[[#This Row],[Sell price (Total)]]-DATABASE_Table[[#This Row],[FF&amp;E]]-DATABASE_Table[[#This Row],[Vista membership]]</f>
        <v>-60000</v>
      </c>
      <c r="AB229" s="74">
        <v>45792</v>
      </c>
      <c r="AC229" s="74" t="str">
        <f t="shared" si="3"/>
        <v>Q2 2025</v>
      </c>
      <c r="AD229" s="123"/>
      <c r="AE229" s="69">
        <v>47118</v>
      </c>
      <c r="AF229" s="21" t="s">
        <v>80</v>
      </c>
      <c r="AG229" s="21" t="s">
        <v>81</v>
      </c>
      <c r="AH229" s="122" t="s">
        <v>82</v>
      </c>
      <c r="AI229" s="122" t="s">
        <v>83</v>
      </c>
      <c r="AJ229" s="122" t="s">
        <v>84</v>
      </c>
      <c r="AK229" s="122" t="s">
        <v>85</v>
      </c>
      <c r="AL229" s="21" t="s">
        <v>86</v>
      </c>
      <c r="AM229" s="122" t="s">
        <v>78</v>
      </c>
    </row>
    <row r="230" spans="1:39" customFormat="1" ht="15.75" customHeight="1" x14ac:dyDescent="0.3">
      <c r="A230" t="s">
        <v>78</v>
      </c>
      <c r="B230" s="21" t="s">
        <v>776</v>
      </c>
      <c r="C230" s="21" t="s">
        <v>780</v>
      </c>
      <c r="D230" s="117" t="s">
        <v>313</v>
      </c>
      <c r="E230" s="21" t="s">
        <v>79</v>
      </c>
      <c r="F230" s="21" t="s">
        <v>324</v>
      </c>
      <c r="G230" s="21">
        <v>319.39999999999998</v>
      </c>
      <c r="H230" s="21"/>
      <c r="I230" s="117" t="s">
        <v>842</v>
      </c>
      <c r="J230" s="117" t="s">
        <v>842</v>
      </c>
      <c r="K230" s="118"/>
      <c r="L230" s="21"/>
      <c r="M230" s="21"/>
      <c r="N230" s="21">
        <v>98</v>
      </c>
      <c r="O230" s="21">
        <v>23</v>
      </c>
      <c r="P230" s="21">
        <v>198.4</v>
      </c>
      <c r="Q230" s="21"/>
      <c r="R230" s="21" t="s">
        <v>329</v>
      </c>
      <c r="S230" s="119">
        <f>DATABASE_Table[[#This Row],[Inicial Asking Price (€) (Total)]]-DATABASE_Table[[#This Row],[Vista membership]]-DATABASE_Table[[#This Row],[FF&amp;E]]</f>
        <v>1630000</v>
      </c>
      <c r="T230" s="120">
        <v>1690000</v>
      </c>
      <c r="U230" s="36">
        <v>1690000</v>
      </c>
      <c r="V230" s="21"/>
      <c r="W230" s="36">
        <v>60000</v>
      </c>
      <c r="X230" s="73">
        <f>DATABASE_Table[[#This Row],[Current Asking price( Total)]]-DATABASE_Table[[#This Row],[Vista membership]]-DATABASE_Table[[#This Row],[FF&amp;E]]</f>
        <v>1630000</v>
      </c>
      <c r="Y230" s="37"/>
      <c r="Z230" s="36"/>
      <c r="AA230" s="73">
        <f>DATABASE_Table[[#This Row],[Sell price (Total)]]-DATABASE_Table[[#This Row],[FF&amp;E]]-DATABASE_Table[[#This Row],[Vista membership]]</f>
        <v>-60000</v>
      </c>
      <c r="AB230" s="74">
        <v>45792</v>
      </c>
      <c r="AC230" s="74" t="str">
        <f t="shared" si="3"/>
        <v>Q2 2025</v>
      </c>
      <c r="AD230" s="123"/>
      <c r="AE230" s="69">
        <v>47118</v>
      </c>
      <c r="AF230" s="21" t="s">
        <v>80</v>
      </c>
      <c r="AG230" s="21" t="s">
        <v>81</v>
      </c>
      <c r="AH230" s="122" t="s">
        <v>82</v>
      </c>
      <c r="AI230" s="122" t="s">
        <v>83</v>
      </c>
      <c r="AJ230" s="122" t="s">
        <v>84</v>
      </c>
      <c r="AK230" s="122" t="s">
        <v>85</v>
      </c>
      <c r="AL230" s="21" t="s">
        <v>86</v>
      </c>
      <c r="AM230" s="122" t="s">
        <v>78</v>
      </c>
    </row>
    <row r="231" spans="1:39" customFormat="1" ht="15.75" customHeight="1" x14ac:dyDescent="0.3">
      <c r="A231" t="s">
        <v>78</v>
      </c>
      <c r="B231" s="21" t="s">
        <v>776</v>
      </c>
      <c r="C231" s="21" t="s">
        <v>780</v>
      </c>
      <c r="D231" s="117" t="s">
        <v>314</v>
      </c>
      <c r="E231" s="21" t="s">
        <v>79</v>
      </c>
      <c r="F231" s="21" t="s">
        <v>324</v>
      </c>
      <c r="G231" s="21">
        <v>326.7</v>
      </c>
      <c r="H231" s="21"/>
      <c r="I231" s="117" t="s">
        <v>842</v>
      </c>
      <c r="J231" s="117" t="s">
        <v>842</v>
      </c>
      <c r="K231" s="118"/>
      <c r="L231" s="21"/>
      <c r="M231" s="21"/>
      <c r="N231" s="21">
        <v>102</v>
      </c>
      <c r="O231" s="21">
        <v>23</v>
      </c>
      <c r="P231" s="21">
        <v>201.7</v>
      </c>
      <c r="Q231" s="21"/>
      <c r="R231" s="21" t="s">
        <v>329</v>
      </c>
      <c r="S231" s="119">
        <f>DATABASE_Table[[#This Row],[Inicial Asking Price (€) (Total)]]-DATABASE_Table[[#This Row],[Vista membership]]-DATABASE_Table[[#This Row],[FF&amp;E]]</f>
        <v>1645000</v>
      </c>
      <c r="T231" s="120">
        <v>1705000</v>
      </c>
      <c r="U231" s="36">
        <v>1705000</v>
      </c>
      <c r="V231" s="21"/>
      <c r="W231" s="36">
        <v>60000</v>
      </c>
      <c r="X231" s="73">
        <f>DATABASE_Table[[#This Row],[Current Asking price( Total)]]-DATABASE_Table[[#This Row],[Vista membership]]-DATABASE_Table[[#This Row],[FF&amp;E]]</f>
        <v>1645000</v>
      </c>
      <c r="Y231" s="37"/>
      <c r="Z231" s="36"/>
      <c r="AA231" s="73">
        <f>DATABASE_Table[[#This Row],[Sell price (Total)]]-DATABASE_Table[[#This Row],[FF&amp;E]]-DATABASE_Table[[#This Row],[Vista membership]]</f>
        <v>-60000</v>
      </c>
      <c r="AB231" s="74">
        <v>45792</v>
      </c>
      <c r="AC231" s="74" t="str">
        <f t="shared" si="3"/>
        <v>Q2 2025</v>
      </c>
      <c r="AD231" s="123"/>
      <c r="AE231" s="69">
        <v>47118</v>
      </c>
      <c r="AF231" s="21" t="s">
        <v>80</v>
      </c>
      <c r="AG231" s="21" t="s">
        <v>81</v>
      </c>
      <c r="AH231" s="122" t="s">
        <v>82</v>
      </c>
      <c r="AI231" s="122" t="s">
        <v>83</v>
      </c>
      <c r="AJ231" s="122" t="s">
        <v>84</v>
      </c>
      <c r="AK231" s="122" t="s">
        <v>85</v>
      </c>
      <c r="AL231" s="21" t="s">
        <v>86</v>
      </c>
      <c r="AM231" s="122" t="s">
        <v>78</v>
      </c>
    </row>
    <row r="232" spans="1:39" customFormat="1" ht="15.75" customHeight="1" x14ac:dyDescent="0.3">
      <c r="A232" t="s">
        <v>62</v>
      </c>
      <c r="B232" s="21" t="s">
        <v>62</v>
      </c>
      <c r="C232" s="21" t="s">
        <v>764</v>
      </c>
      <c r="D232" s="117" t="s">
        <v>338</v>
      </c>
      <c r="E232" s="21" t="s">
        <v>63</v>
      </c>
      <c r="F232" s="21" t="s">
        <v>506</v>
      </c>
      <c r="G232" s="21">
        <v>399.41</v>
      </c>
      <c r="H232" s="21"/>
      <c r="I232" s="117" t="s">
        <v>901</v>
      </c>
      <c r="J232" s="117" t="s">
        <v>587</v>
      </c>
      <c r="K232" s="118">
        <v>9</v>
      </c>
      <c r="L232" s="21"/>
      <c r="M232" s="21"/>
      <c r="N232" s="21">
        <v>19.66</v>
      </c>
      <c r="O232" s="21"/>
      <c r="P232" s="21">
        <v>200.37</v>
      </c>
      <c r="Q232" s="21"/>
      <c r="R232" s="21" t="s">
        <v>329</v>
      </c>
      <c r="S232" s="119">
        <f>DATABASE_Table[[#This Row],[Inicial Asking Price (€) (Total)]]-DATABASE_Table[[#This Row],[Vista membership]]-DATABASE_Table[[#This Row],[FF&amp;E]]</f>
        <v>2700000</v>
      </c>
      <c r="T232" s="36">
        <v>2700000</v>
      </c>
      <c r="U232" s="36">
        <v>2700000</v>
      </c>
      <c r="V232" s="21"/>
      <c r="W232" s="21"/>
      <c r="X232" s="73">
        <f>DATABASE_Table[[#This Row],[Current Asking price( Total)]]-DATABASE_Table[[#This Row],[Vista membership]]-DATABASE_Table[[#This Row],[FF&amp;E]]</f>
        <v>2700000</v>
      </c>
      <c r="Y232" s="37"/>
      <c r="Z232" s="36">
        <v>2700000</v>
      </c>
      <c r="AA232" s="73">
        <f>DATABASE_Table[[#This Row],[Sell price (Total)]]-DATABASE_Table[[#This Row],[FF&amp;E]]-DATABASE_Table[[#This Row],[Vista membership]]</f>
        <v>2700000</v>
      </c>
      <c r="AB232" s="74">
        <v>45982</v>
      </c>
      <c r="AC232" s="74" t="str">
        <f t="shared" si="3"/>
        <v>Q4 2025</v>
      </c>
      <c r="AD232" s="123"/>
      <c r="AE232" s="69">
        <v>46752</v>
      </c>
      <c r="AF232" s="21" t="s">
        <v>57</v>
      </c>
      <c r="AG232" s="21" t="s">
        <v>58</v>
      </c>
      <c r="AH232" s="122" t="s">
        <v>64</v>
      </c>
      <c r="AI232" s="122" t="s">
        <v>808</v>
      </c>
      <c r="AJ232" s="122" t="s">
        <v>65</v>
      </c>
      <c r="AK232" s="122" t="s">
        <v>809</v>
      </c>
      <c r="AL232" s="21" t="s">
        <v>61</v>
      </c>
      <c r="AM232" s="122" t="s">
        <v>62</v>
      </c>
    </row>
    <row r="233" spans="1:39" customFormat="1" ht="15.75" customHeight="1" x14ac:dyDescent="0.3">
      <c r="A233" t="s">
        <v>62</v>
      </c>
      <c r="B233" s="21" t="s">
        <v>62</v>
      </c>
      <c r="C233" s="21" t="s">
        <v>764</v>
      </c>
      <c r="D233" s="117" t="s">
        <v>339</v>
      </c>
      <c r="E233" s="21" t="s">
        <v>63</v>
      </c>
      <c r="F233" s="21" t="s">
        <v>506</v>
      </c>
      <c r="G233" s="21">
        <v>367.73</v>
      </c>
      <c r="H233" s="21"/>
      <c r="I233" s="117" t="s">
        <v>901</v>
      </c>
      <c r="J233" s="117" t="s">
        <v>587</v>
      </c>
      <c r="K233" s="118">
        <v>9</v>
      </c>
      <c r="L233" s="21"/>
      <c r="M233" s="21"/>
      <c r="N233" s="21">
        <v>17.41</v>
      </c>
      <c r="O233" s="21"/>
      <c r="P233" s="21">
        <v>190.24</v>
      </c>
      <c r="Q233" s="21"/>
      <c r="R233" s="21" t="s">
        <v>329</v>
      </c>
      <c r="S233" s="119">
        <f>DATABASE_Table[[#This Row],[Inicial Asking Price (€) (Total)]]-DATABASE_Table[[#This Row],[Vista membership]]-DATABASE_Table[[#This Row],[FF&amp;E]]</f>
        <v>2750000</v>
      </c>
      <c r="T233" s="36">
        <v>2750000</v>
      </c>
      <c r="U233" s="36">
        <v>2750000</v>
      </c>
      <c r="V233" s="21"/>
      <c r="W233" s="21"/>
      <c r="X233" s="73">
        <f>DATABASE_Table[[#This Row],[Current Asking price( Total)]]-DATABASE_Table[[#This Row],[Vista membership]]-DATABASE_Table[[#This Row],[FF&amp;E]]</f>
        <v>2750000</v>
      </c>
      <c r="Y233" s="37"/>
      <c r="Z233" s="36">
        <v>2750000</v>
      </c>
      <c r="AA233" s="73">
        <f>DATABASE_Table[[#This Row],[Sell price (Total)]]-DATABASE_Table[[#This Row],[FF&amp;E]]-DATABASE_Table[[#This Row],[Vista membership]]</f>
        <v>2750000</v>
      </c>
      <c r="AB233" s="74">
        <v>45982</v>
      </c>
      <c r="AC233" s="74" t="str">
        <f t="shared" si="3"/>
        <v>Q4 2025</v>
      </c>
      <c r="AD233" s="123"/>
      <c r="AE233" s="69">
        <v>46752</v>
      </c>
      <c r="AF233" s="21" t="s">
        <v>57</v>
      </c>
      <c r="AG233" s="21" t="s">
        <v>58</v>
      </c>
      <c r="AH233" s="122" t="s">
        <v>64</v>
      </c>
      <c r="AI233" s="122" t="s">
        <v>808</v>
      </c>
      <c r="AJ233" s="122" t="s">
        <v>65</v>
      </c>
      <c r="AK233" s="122" t="s">
        <v>809</v>
      </c>
      <c r="AL233" s="21" t="s">
        <v>61</v>
      </c>
      <c r="AM233" s="122" t="s">
        <v>62</v>
      </c>
    </row>
    <row r="234" spans="1:39" customFormat="1" ht="15.75" customHeight="1" x14ac:dyDescent="0.3">
      <c r="A234" t="s">
        <v>62</v>
      </c>
      <c r="B234" s="21" t="s">
        <v>62</v>
      </c>
      <c r="C234" s="21" t="s">
        <v>764</v>
      </c>
      <c r="D234" s="117" t="s">
        <v>340</v>
      </c>
      <c r="E234" s="21" t="s">
        <v>63</v>
      </c>
      <c r="F234" s="21" t="s">
        <v>320</v>
      </c>
      <c r="G234" s="21">
        <v>424.71</v>
      </c>
      <c r="H234" s="21"/>
      <c r="I234" s="117" t="s">
        <v>901</v>
      </c>
      <c r="J234" s="117" t="s">
        <v>587</v>
      </c>
      <c r="K234" s="118">
        <v>22.5</v>
      </c>
      <c r="L234" s="21"/>
      <c r="M234" s="21"/>
      <c r="N234" s="21">
        <v>0</v>
      </c>
      <c r="O234" s="21"/>
      <c r="P234" s="21">
        <v>195.9</v>
      </c>
      <c r="Q234" s="21"/>
      <c r="R234" s="21" t="s">
        <v>329</v>
      </c>
      <c r="S234" s="119">
        <f>DATABASE_Table[[#This Row],[Inicial Asking Price (€) (Total)]]-DATABASE_Table[[#This Row],[Vista membership]]-DATABASE_Table[[#This Row],[FF&amp;E]]</f>
        <v>3650000</v>
      </c>
      <c r="T234" s="36">
        <v>3650000</v>
      </c>
      <c r="U234" s="36">
        <v>3650000</v>
      </c>
      <c r="V234" s="21"/>
      <c r="W234" s="21"/>
      <c r="X234" s="73">
        <f>DATABASE_Table[[#This Row],[Current Asking price( Total)]]-DATABASE_Table[[#This Row],[Vista membership]]-DATABASE_Table[[#This Row],[FF&amp;E]]</f>
        <v>3650000</v>
      </c>
      <c r="Y234" s="37"/>
      <c r="Z234" s="36">
        <v>3650000</v>
      </c>
      <c r="AA234" s="73">
        <f>DATABASE_Table[[#This Row],[Sell price (Total)]]-DATABASE_Table[[#This Row],[FF&amp;E]]-DATABASE_Table[[#This Row],[Vista membership]]</f>
        <v>3650000</v>
      </c>
      <c r="AB234" s="74">
        <v>45982</v>
      </c>
      <c r="AC234" s="74" t="str">
        <f t="shared" si="3"/>
        <v>Q4 2025</v>
      </c>
      <c r="AD234" s="123"/>
      <c r="AE234" s="69">
        <v>46752</v>
      </c>
      <c r="AF234" s="21" t="s">
        <v>57</v>
      </c>
      <c r="AG234" s="21" t="s">
        <v>58</v>
      </c>
      <c r="AH234" s="122" t="s">
        <v>64</v>
      </c>
      <c r="AI234" s="122" t="s">
        <v>808</v>
      </c>
      <c r="AJ234" s="122" t="s">
        <v>65</v>
      </c>
      <c r="AK234" s="122" t="s">
        <v>809</v>
      </c>
      <c r="AL234" s="21" t="s">
        <v>61</v>
      </c>
      <c r="AM234" s="122" t="s">
        <v>62</v>
      </c>
    </row>
    <row r="235" spans="1:39" customFormat="1" ht="15.75" customHeight="1" x14ac:dyDescent="0.3">
      <c r="A235" t="s">
        <v>62</v>
      </c>
      <c r="B235" s="21" t="s">
        <v>62</v>
      </c>
      <c r="C235" s="21" t="s">
        <v>764</v>
      </c>
      <c r="D235" s="117" t="s">
        <v>341</v>
      </c>
      <c r="E235" s="21" t="s">
        <v>63</v>
      </c>
      <c r="F235" s="21" t="s">
        <v>320</v>
      </c>
      <c r="G235" s="21">
        <v>420.09</v>
      </c>
      <c r="H235" s="21"/>
      <c r="I235" s="117" t="s">
        <v>901</v>
      </c>
      <c r="J235" s="117" t="s">
        <v>587</v>
      </c>
      <c r="K235" s="118">
        <v>18</v>
      </c>
      <c r="L235" s="21"/>
      <c r="M235" s="21"/>
      <c r="N235" s="21">
        <v>0</v>
      </c>
      <c r="O235" s="21"/>
      <c r="P235" s="21">
        <v>195.78</v>
      </c>
      <c r="Q235" s="21"/>
      <c r="R235" s="21" t="s">
        <v>329</v>
      </c>
      <c r="S235" s="119">
        <f>DATABASE_Table[[#This Row],[Inicial Asking Price (€) (Total)]]-DATABASE_Table[[#This Row],[Vista membership]]-DATABASE_Table[[#This Row],[FF&amp;E]]</f>
        <v>3650000</v>
      </c>
      <c r="T235" s="36">
        <v>3650000</v>
      </c>
      <c r="U235" s="36">
        <v>3650000</v>
      </c>
      <c r="V235" s="21"/>
      <c r="W235" s="21"/>
      <c r="X235" s="73">
        <f>DATABASE_Table[[#This Row],[Current Asking price( Total)]]-DATABASE_Table[[#This Row],[Vista membership]]-DATABASE_Table[[#This Row],[FF&amp;E]]</f>
        <v>3650000</v>
      </c>
      <c r="Y235" s="37"/>
      <c r="Z235" s="36">
        <v>3650000</v>
      </c>
      <c r="AA235" s="73">
        <f>DATABASE_Table[[#This Row],[Sell price (Total)]]-DATABASE_Table[[#This Row],[FF&amp;E]]-DATABASE_Table[[#This Row],[Vista membership]]</f>
        <v>3650000</v>
      </c>
      <c r="AB235" s="74">
        <v>45982</v>
      </c>
      <c r="AC235" s="74" t="str">
        <f t="shared" si="3"/>
        <v>Q4 2025</v>
      </c>
      <c r="AD235" s="123"/>
      <c r="AE235" s="69">
        <v>46752</v>
      </c>
      <c r="AF235" s="21" t="s">
        <v>57</v>
      </c>
      <c r="AG235" s="21" t="s">
        <v>58</v>
      </c>
      <c r="AH235" s="122" t="s">
        <v>64</v>
      </c>
      <c r="AI235" s="122" t="s">
        <v>808</v>
      </c>
      <c r="AJ235" s="122" t="s">
        <v>65</v>
      </c>
      <c r="AK235" s="122" t="s">
        <v>809</v>
      </c>
      <c r="AL235" s="21" t="s">
        <v>61</v>
      </c>
      <c r="AM235" s="122" t="s">
        <v>62</v>
      </c>
    </row>
    <row r="236" spans="1:39" customFormat="1" ht="15.75" customHeight="1" x14ac:dyDescent="0.3">
      <c r="A236" t="s">
        <v>62</v>
      </c>
      <c r="B236" s="21" t="s">
        <v>62</v>
      </c>
      <c r="C236" s="21" t="s">
        <v>764</v>
      </c>
      <c r="D236" s="117" t="s">
        <v>342</v>
      </c>
      <c r="E236" s="21" t="s">
        <v>63</v>
      </c>
      <c r="F236" s="21" t="s">
        <v>506</v>
      </c>
      <c r="G236" s="21">
        <v>276.85000000000002</v>
      </c>
      <c r="H236" s="21"/>
      <c r="I236" s="117" t="s">
        <v>902</v>
      </c>
      <c r="J236" s="117" t="s">
        <v>587</v>
      </c>
      <c r="K236" s="118">
        <v>7.25</v>
      </c>
      <c r="L236" s="21"/>
      <c r="M236" s="21"/>
      <c r="N236" s="21">
        <v>6.54</v>
      </c>
      <c r="O236" s="21"/>
      <c r="P236" s="21">
        <v>176.9</v>
      </c>
      <c r="Q236" s="21"/>
      <c r="R236" s="21" t="s">
        <v>329</v>
      </c>
      <c r="S236" s="119">
        <f>DATABASE_Table[[#This Row],[Inicial Asking Price (€) (Total)]]-DATABASE_Table[[#This Row],[Vista membership]]-DATABASE_Table[[#This Row],[FF&amp;E]]</f>
        <v>1950000</v>
      </c>
      <c r="T236" s="36">
        <v>1950000</v>
      </c>
      <c r="U236" s="36">
        <v>1950000</v>
      </c>
      <c r="V236" s="21"/>
      <c r="W236" s="21"/>
      <c r="X236" s="73">
        <f>DATABASE_Table[[#This Row],[Current Asking price( Total)]]-DATABASE_Table[[#This Row],[Vista membership]]-DATABASE_Table[[#This Row],[FF&amp;E]]</f>
        <v>1950000</v>
      </c>
      <c r="Y236" s="37"/>
      <c r="Z236" s="36">
        <v>1950000</v>
      </c>
      <c r="AA236" s="73">
        <f>DATABASE_Table[[#This Row],[Sell price (Total)]]-DATABASE_Table[[#This Row],[FF&amp;E]]-DATABASE_Table[[#This Row],[Vista membership]]</f>
        <v>1950000</v>
      </c>
      <c r="AB236" s="74">
        <v>45982</v>
      </c>
      <c r="AC236" s="74" t="str">
        <f t="shared" si="3"/>
        <v>Q4 2025</v>
      </c>
      <c r="AD236" s="123"/>
      <c r="AE236" s="69">
        <v>46752</v>
      </c>
      <c r="AF236" s="21" t="s">
        <v>57</v>
      </c>
      <c r="AG236" s="21" t="s">
        <v>58</v>
      </c>
      <c r="AH236" s="122" t="s">
        <v>64</v>
      </c>
      <c r="AI236" s="122" t="s">
        <v>808</v>
      </c>
      <c r="AJ236" s="122" t="s">
        <v>65</v>
      </c>
      <c r="AK236" s="122" t="s">
        <v>809</v>
      </c>
      <c r="AL236" s="21" t="s">
        <v>61</v>
      </c>
      <c r="AM236" s="122" t="s">
        <v>62</v>
      </c>
    </row>
    <row r="237" spans="1:39" customFormat="1" ht="15.75" customHeight="1" x14ac:dyDescent="0.3">
      <c r="A237" t="s">
        <v>62</v>
      </c>
      <c r="B237" s="21" t="s">
        <v>62</v>
      </c>
      <c r="C237" s="21" t="s">
        <v>764</v>
      </c>
      <c r="D237" s="117" t="s">
        <v>343</v>
      </c>
      <c r="E237" s="21" t="s">
        <v>63</v>
      </c>
      <c r="F237" s="21" t="s">
        <v>506</v>
      </c>
      <c r="G237" s="21">
        <v>251.07</v>
      </c>
      <c r="H237" s="21"/>
      <c r="I237" s="117" t="s">
        <v>902</v>
      </c>
      <c r="J237" s="117" t="s">
        <v>587</v>
      </c>
      <c r="K237" s="118">
        <v>7.25</v>
      </c>
      <c r="L237" s="21"/>
      <c r="M237" s="21"/>
      <c r="N237" s="21">
        <v>6.5</v>
      </c>
      <c r="O237" s="21"/>
      <c r="P237" s="21">
        <v>153.16</v>
      </c>
      <c r="Q237" s="21"/>
      <c r="R237" s="21" t="s">
        <v>329</v>
      </c>
      <c r="S237" s="119">
        <f>DATABASE_Table[[#This Row],[Inicial Asking Price (€) (Total)]]-DATABASE_Table[[#This Row],[Vista membership]]-DATABASE_Table[[#This Row],[FF&amp;E]]</f>
        <v>1750000</v>
      </c>
      <c r="T237" s="36">
        <v>1750000</v>
      </c>
      <c r="U237" s="36">
        <v>1750000</v>
      </c>
      <c r="V237" s="21"/>
      <c r="W237" s="21"/>
      <c r="X237" s="73">
        <f>DATABASE_Table[[#This Row],[Current Asking price( Total)]]-DATABASE_Table[[#This Row],[Vista membership]]-DATABASE_Table[[#This Row],[FF&amp;E]]</f>
        <v>1750000</v>
      </c>
      <c r="Y237" s="37"/>
      <c r="Z237" s="36">
        <v>1750000</v>
      </c>
      <c r="AA237" s="73">
        <f>DATABASE_Table[[#This Row],[Sell price (Total)]]-DATABASE_Table[[#This Row],[FF&amp;E]]-DATABASE_Table[[#This Row],[Vista membership]]</f>
        <v>1750000</v>
      </c>
      <c r="AB237" s="74">
        <v>45982</v>
      </c>
      <c r="AC237" s="74" t="str">
        <f t="shared" si="3"/>
        <v>Q4 2025</v>
      </c>
      <c r="AD237" s="123"/>
      <c r="AE237" s="69">
        <v>46752</v>
      </c>
      <c r="AF237" s="21" t="s">
        <v>57</v>
      </c>
      <c r="AG237" s="21" t="s">
        <v>58</v>
      </c>
      <c r="AH237" s="122" t="s">
        <v>64</v>
      </c>
      <c r="AI237" s="122" t="s">
        <v>808</v>
      </c>
      <c r="AJ237" s="122" t="s">
        <v>65</v>
      </c>
      <c r="AK237" s="122" t="s">
        <v>809</v>
      </c>
      <c r="AL237" s="21" t="s">
        <v>61</v>
      </c>
      <c r="AM237" s="122" t="s">
        <v>62</v>
      </c>
    </row>
    <row r="238" spans="1:39" customFormat="1" ht="15.75" customHeight="1" x14ac:dyDescent="0.3">
      <c r="A238" t="s">
        <v>62</v>
      </c>
      <c r="B238" s="21" t="s">
        <v>62</v>
      </c>
      <c r="C238" s="21" t="s">
        <v>764</v>
      </c>
      <c r="D238" s="117" t="s">
        <v>344</v>
      </c>
      <c r="E238" s="21" t="s">
        <v>63</v>
      </c>
      <c r="F238" s="21" t="s">
        <v>506</v>
      </c>
      <c r="G238" s="21">
        <v>250.97</v>
      </c>
      <c r="H238" s="21"/>
      <c r="I238" s="117" t="s">
        <v>903</v>
      </c>
      <c r="J238" s="117" t="s">
        <v>587</v>
      </c>
      <c r="K238" s="118">
        <v>7.25</v>
      </c>
      <c r="L238" s="21"/>
      <c r="M238" s="21"/>
      <c r="N238" s="21">
        <v>6.4</v>
      </c>
      <c r="O238" s="21"/>
      <c r="P238" s="21">
        <v>153.16</v>
      </c>
      <c r="Q238" s="21"/>
      <c r="R238" s="21" t="s">
        <v>329</v>
      </c>
      <c r="S238" s="119">
        <f>DATABASE_Table[[#This Row],[Inicial Asking Price (€) (Total)]]-DATABASE_Table[[#This Row],[Vista membership]]-DATABASE_Table[[#This Row],[FF&amp;E]]</f>
        <v>1750000</v>
      </c>
      <c r="T238" s="36">
        <v>1750000</v>
      </c>
      <c r="U238" s="36">
        <v>1750000</v>
      </c>
      <c r="V238" s="21"/>
      <c r="W238" s="21"/>
      <c r="X238" s="73">
        <f>DATABASE_Table[[#This Row],[Current Asking price( Total)]]-DATABASE_Table[[#This Row],[Vista membership]]-DATABASE_Table[[#This Row],[FF&amp;E]]</f>
        <v>1750000</v>
      </c>
      <c r="Y238" s="37"/>
      <c r="Z238" s="36">
        <v>1750000</v>
      </c>
      <c r="AA238" s="73">
        <f>DATABASE_Table[[#This Row],[Sell price (Total)]]-DATABASE_Table[[#This Row],[FF&amp;E]]-DATABASE_Table[[#This Row],[Vista membership]]</f>
        <v>1750000</v>
      </c>
      <c r="AB238" s="74">
        <v>45982</v>
      </c>
      <c r="AC238" s="74" t="str">
        <f t="shared" si="3"/>
        <v>Q4 2025</v>
      </c>
      <c r="AD238" s="123"/>
      <c r="AE238" s="69">
        <v>46752</v>
      </c>
      <c r="AF238" s="21" t="s">
        <v>57</v>
      </c>
      <c r="AG238" s="21" t="s">
        <v>58</v>
      </c>
      <c r="AH238" s="122" t="s">
        <v>64</v>
      </c>
      <c r="AI238" s="122" t="s">
        <v>808</v>
      </c>
      <c r="AJ238" s="122" t="s">
        <v>65</v>
      </c>
      <c r="AK238" s="122" t="s">
        <v>809</v>
      </c>
      <c r="AL238" s="21" t="s">
        <v>61</v>
      </c>
      <c r="AM238" s="122" t="s">
        <v>62</v>
      </c>
    </row>
    <row r="239" spans="1:39" customFormat="1" ht="15.75" customHeight="1" x14ac:dyDescent="0.3">
      <c r="A239" t="s">
        <v>62</v>
      </c>
      <c r="B239" s="21" t="s">
        <v>62</v>
      </c>
      <c r="C239" s="21" t="s">
        <v>764</v>
      </c>
      <c r="D239" s="117" t="s">
        <v>345</v>
      </c>
      <c r="E239" s="21" t="s">
        <v>63</v>
      </c>
      <c r="F239" s="21" t="s">
        <v>506</v>
      </c>
      <c r="G239" s="21">
        <v>270.81</v>
      </c>
      <c r="H239" s="21"/>
      <c r="I239" s="117" t="s">
        <v>903</v>
      </c>
      <c r="J239" s="117" t="s">
        <v>587</v>
      </c>
      <c r="K239" s="118">
        <v>7.25</v>
      </c>
      <c r="L239" s="21"/>
      <c r="M239" s="21"/>
      <c r="N239" s="21">
        <v>6.38</v>
      </c>
      <c r="O239" s="21"/>
      <c r="P239" s="21">
        <v>172.9</v>
      </c>
      <c r="Q239" s="21"/>
      <c r="R239" s="21" t="s">
        <v>329</v>
      </c>
      <c r="S239" s="119">
        <f>DATABASE_Table[[#This Row],[Inicial Asking Price (€) (Total)]]-DATABASE_Table[[#This Row],[Vista membership]]-DATABASE_Table[[#This Row],[FF&amp;E]]</f>
        <v>1850000</v>
      </c>
      <c r="T239" s="36">
        <v>1850000</v>
      </c>
      <c r="U239" s="36">
        <v>1850000</v>
      </c>
      <c r="V239" s="21"/>
      <c r="W239" s="21"/>
      <c r="X239" s="73">
        <f>DATABASE_Table[[#This Row],[Current Asking price( Total)]]-DATABASE_Table[[#This Row],[Vista membership]]-DATABASE_Table[[#This Row],[FF&amp;E]]</f>
        <v>1850000</v>
      </c>
      <c r="Y239" s="37"/>
      <c r="Z239" s="36">
        <v>1850000</v>
      </c>
      <c r="AA239" s="73">
        <f>DATABASE_Table[[#This Row],[Sell price (Total)]]-DATABASE_Table[[#This Row],[FF&amp;E]]-DATABASE_Table[[#This Row],[Vista membership]]</f>
        <v>1850000</v>
      </c>
      <c r="AB239" s="74">
        <v>45982</v>
      </c>
      <c r="AC239" s="74" t="str">
        <f t="shared" si="3"/>
        <v>Q4 2025</v>
      </c>
      <c r="AD239" s="123"/>
      <c r="AE239" s="69">
        <v>46752</v>
      </c>
      <c r="AF239" s="21" t="s">
        <v>57</v>
      </c>
      <c r="AG239" s="21" t="s">
        <v>58</v>
      </c>
      <c r="AH239" s="122" t="s">
        <v>64</v>
      </c>
      <c r="AI239" s="122" t="s">
        <v>808</v>
      </c>
      <c r="AJ239" s="122" t="s">
        <v>65</v>
      </c>
      <c r="AK239" s="122" t="s">
        <v>809</v>
      </c>
      <c r="AL239" s="21" t="s">
        <v>61</v>
      </c>
      <c r="AM239" s="122" t="s">
        <v>62</v>
      </c>
    </row>
    <row r="240" spans="1:39" customFormat="1" ht="15.75" customHeight="1" x14ac:dyDescent="0.3">
      <c r="A240" t="s">
        <v>62</v>
      </c>
      <c r="B240" s="21" t="s">
        <v>62</v>
      </c>
      <c r="C240" s="21" t="s">
        <v>764</v>
      </c>
      <c r="D240" s="117" t="s">
        <v>346</v>
      </c>
      <c r="E240" s="21" t="s">
        <v>63</v>
      </c>
      <c r="F240" s="21" t="s">
        <v>320</v>
      </c>
      <c r="G240" s="21">
        <v>345.06</v>
      </c>
      <c r="H240" s="21"/>
      <c r="I240" s="117" t="s">
        <v>902</v>
      </c>
      <c r="J240" s="117" t="s">
        <v>587</v>
      </c>
      <c r="K240" s="118">
        <v>17.399999999999999</v>
      </c>
      <c r="L240" s="21"/>
      <c r="M240" s="21"/>
      <c r="N240" s="21">
        <v>0</v>
      </c>
      <c r="O240" s="21"/>
      <c r="P240" s="21">
        <v>160.9</v>
      </c>
      <c r="Q240" s="21"/>
      <c r="R240" s="21" t="s">
        <v>329</v>
      </c>
      <c r="S240" s="119">
        <f>DATABASE_Table[[#This Row],[Inicial Asking Price (€) (Total)]]-DATABASE_Table[[#This Row],[Vista membership]]-DATABASE_Table[[#This Row],[FF&amp;E]]</f>
        <v>1950000</v>
      </c>
      <c r="T240" s="36">
        <v>1950000</v>
      </c>
      <c r="U240" s="36">
        <v>1950000</v>
      </c>
      <c r="V240" s="21"/>
      <c r="W240" s="21"/>
      <c r="X240" s="73">
        <f>DATABASE_Table[[#This Row],[Current Asking price( Total)]]-DATABASE_Table[[#This Row],[Vista membership]]-DATABASE_Table[[#This Row],[FF&amp;E]]</f>
        <v>1950000</v>
      </c>
      <c r="Y240" s="37"/>
      <c r="Z240" s="36">
        <v>1950000</v>
      </c>
      <c r="AA240" s="73">
        <f>DATABASE_Table[[#This Row],[Sell price (Total)]]-DATABASE_Table[[#This Row],[FF&amp;E]]-DATABASE_Table[[#This Row],[Vista membership]]</f>
        <v>1950000</v>
      </c>
      <c r="AB240" s="74">
        <v>45982</v>
      </c>
      <c r="AC240" s="74" t="str">
        <f t="shared" si="3"/>
        <v>Q4 2025</v>
      </c>
      <c r="AD240" s="123"/>
      <c r="AE240" s="69">
        <v>46752</v>
      </c>
      <c r="AF240" s="21" t="s">
        <v>57</v>
      </c>
      <c r="AG240" s="21" t="s">
        <v>58</v>
      </c>
      <c r="AH240" s="122" t="s">
        <v>64</v>
      </c>
      <c r="AI240" s="122" t="s">
        <v>808</v>
      </c>
      <c r="AJ240" s="122" t="s">
        <v>65</v>
      </c>
      <c r="AK240" s="122" t="s">
        <v>809</v>
      </c>
      <c r="AL240" s="21" t="s">
        <v>61</v>
      </c>
      <c r="AM240" s="122" t="s">
        <v>62</v>
      </c>
    </row>
    <row r="241" spans="1:39" customFormat="1" ht="15.75" customHeight="1" x14ac:dyDescent="0.3">
      <c r="A241" t="s">
        <v>62</v>
      </c>
      <c r="B241" s="21" t="s">
        <v>62</v>
      </c>
      <c r="C241" s="21" t="s">
        <v>764</v>
      </c>
      <c r="D241" s="117" t="s">
        <v>347</v>
      </c>
      <c r="E241" s="21" t="s">
        <v>63</v>
      </c>
      <c r="F241" s="21" t="s">
        <v>320</v>
      </c>
      <c r="G241" s="21">
        <v>344.10500000000002</v>
      </c>
      <c r="H241" s="21"/>
      <c r="I241" s="117" t="s">
        <v>903</v>
      </c>
      <c r="J241" s="117" t="s">
        <v>587</v>
      </c>
      <c r="K241" s="118">
        <v>13.484999999999999</v>
      </c>
      <c r="L241" s="21"/>
      <c r="M241" s="21"/>
      <c r="N241" s="21">
        <v>0</v>
      </c>
      <c r="O241" s="21"/>
      <c r="P241" s="21">
        <v>162.97999999999999</v>
      </c>
      <c r="Q241" s="21"/>
      <c r="R241" s="21" t="s">
        <v>329</v>
      </c>
      <c r="S241" s="119">
        <f>DATABASE_Table[[#This Row],[Inicial Asking Price (€) (Total)]]-DATABASE_Table[[#This Row],[Vista membership]]-DATABASE_Table[[#This Row],[FF&amp;E]]</f>
        <v>2100000</v>
      </c>
      <c r="T241" s="36">
        <v>2100000</v>
      </c>
      <c r="U241" s="36">
        <v>2100000</v>
      </c>
      <c r="V241" s="21"/>
      <c r="W241" s="21"/>
      <c r="X241" s="73">
        <f>DATABASE_Table[[#This Row],[Current Asking price( Total)]]-DATABASE_Table[[#This Row],[Vista membership]]-DATABASE_Table[[#This Row],[FF&amp;E]]</f>
        <v>2100000</v>
      </c>
      <c r="Y241" s="37"/>
      <c r="Z241" s="36">
        <v>2100000</v>
      </c>
      <c r="AA241" s="73">
        <f>DATABASE_Table[[#This Row],[Sell price (Total)]]-DATABASE_Table[[#This Row],[FF&amp;E]]-DATABASE_Table[[#This Row],[Vista membership]]</f>
        <v>2100000</v>
      </c>
      <c r="AB241" s="74">
        <v>45982</v>
      </c>
      <c r="AC241" s="74" t="str">
        <f t="shared" si="3"/>
        <v>Q4 2025</v>
      </c>
      <c r="AD241" s="123"/>
      <c r="AE241" s="69">
        <v>46752</v>
      </c>
      <c r="AF241" s="21" t="s">
        <v>57</v>
      </c>
      <c r="AG241" s="21" t="s">
        <v>58</v>
      </c>
      <c r="AH241" s="122" t="s">
        <v>64</v>
      </c>
      <c r="AI241" s="122" t="s">
        <v>808</v>
      </c>
      <c r="AJ241" s="122" t="s">
        <v>65</v>
      </c>
      <c r="AK241" s="122" t="s">
        <v>809</v>
      </c>
      <c r="AL241" s="21" t="s">
        <v>61</v>
      </c>
      <c r="AM241" s="122" t="s">
        <v>62</v>
      </c>
    </row>
    <row r="242" spans="1:39" customFormat="1" ht="15.75" customHeight="1" x14ac:dyDescent="0.3">
      <c r="A242" t="s">
        <v>62</v>
      </c>
      <c r="B242" s="21" t="s">
        <v>62</v>
      </c>
      <c r="C242" s="21" t="s">
        <v>764</v>
      </c>
      <c r="D242" s="117" t="s">
        <v>348</v>
      </c>
      <c r="E242" s="21" t="s">
        <v>63</v>
      </c>
      <c r="F242" s="21" t="s">
        <v>320</v>
      </c>
      <c r="G242" s="21">
        <v>351.88</v>
      </c>
      <c r="H242" s="21"/>
      <c r="I242" s="117" t="s">
        <v>904</v>
      </c>
      <c r="J242" s="117" t="s">
        <v>587</v>
      </c>
      <c r="K242" s="118">
        <v>14.5</v>
      </c>
      <c r="L242" s="21"/>
      <c r="M242" s="21"/>
      <c r="N242" s="21">
        <v>0</v>
      </c>
      <c r="O242" s="21"/>
      <c r="P242" s="21">
        <v>160.11000000000001</v>
      </c>
      <c r="Q242" s="21"/>
      <c r="R242" s="21" t="s">
        <v>329</v>
      </c>
      <c r="S242" s="119">
        <f>DATABASE_Table[[#This Row],[Inicial Asking Price (€) (Total)]]-DATABASE_Table[[#This Row],[Vista membership]]-DATABASE_Table[[#This Row],[FF&amp;E]]</f>
        <v>2900000</v>
      </c>
      <c r="T242" s="36">
        <v>2900000</v>
      </c>
      <c r="U242" s="36">
        <v>2900000</v>
      </c>
      <c r="V242" s="21"/>
      <c r="W242" s="21"/>
      <c r="X242" s="73">
        <f>DATABASE_Table[[#This Row],[Current Asking price( Total)]]-DATABASE_Table[[#This Row],[Vista membership]]-DATABASE_Table[[#This Row],[FF&amp;E]]</f>
        <v>2900000</v>
      </c>
      <c r="Y242" s="37"/>
      <c r="Z242" s="36">
        <v>2900000</v>
      </c>
      <c r="AA242" s="73">
        <f>DATABASE_Table[[#This Row],[Sell price (Total)]]-DATABASE_Table[[#This Row],[FF&amp;E]]-DATABASE_Table[[#This Row],[Vista membership]]</f>
        <v>2900000</v>
      </c>
      <c r="AB242" s="74">
        <v>45982</v>
      </c>
      <c r="AC242" s="74" t="str">
        <f t="shared" si="3"/>
        <v>Q4 2025</v>
      </c>
      <c r="AD242" s="123"/>
      <c r="AE242" s="69">
        <v>46752</v>
      </c>
      <c r="AF242" s="21" t="s">
        <v>57</v>
      </c>
      <c r="AG242" s="21" t="s">
        <v>58</v>
      </c>
      <c r="AH242" s="122" t="s">
        <v>64</v>
      </c>
      <c r="AI242" s="122" t="s">
        <v>808</v>
      </c>
      <c r="AJ242" s="122" t="s">
        <v>65</v>
      </c>
      <c r="AK242" s="122" t="s">
        <v>809</v>
      </c>
      <c r="AL242" s="21" t="s">
        <v>61</v>
      </c>
      <c r="AM242" s="122" t="s">
        <v>62</v>
      </c>
    </row>
    <row r="243" spans="1:39" customFormat="1" ht="15.75" customHeight="1" x14ac:dyDescent="0.3">
      <c r="A243" t="s">
        <v>62</v>
      </c>
      <c r="B243" s="21" t="s">
        <v>62</v>
      </c>
      <c r="C243" s="21" t="s">
        <v>764</v>
      </c>
      <c r="D243" s="117" t="s">
        <v>349</v>
      </c>
      <c r="E243" s="21" t="s">
        <v>63</v>
      </c>
      <c r="F243" s="21" t="s">
        <v>320</v>
      </c>
      <c r="G243" s="21">
        <v>347.97</v>
      </c>
      <c r="H243" s="21"/>
      <c r="I243" s="117" t="s">
        <v>904</v>
      </c>
      <c r="J243" s="117" t="s">
        <v>587</v>
      </c>
      <c r="K243" s="118">
        <v>14.5</v>
      </c>
      <c r="L243" s="21"/>
      <c r="M243" s="21"/>
      <c r="N243" s="21">
        <v>0</v>
      </c>
      <c r="O243" s="21"/>
      <c r="P243" s="21">
        <v>158.08000000000001</v>
      </c>
      <c r="Q243" s="21"/>
      <c r="R243" s="21" t="s">
        <v>329</v>
      </c>
      <c r="S243" s="119">
        <f>DATABASE_Table[[#This Row],[Inicial Asking Price (€) (Total)]]-DATABASE_Table[[#This Row],[Vista membership]]-DATABASE_Table[[#This Row],[FF&amp;E]]</f>
        <v>2300000</v>
      </c>
      <c r="T243" s="36">
        <v>2300000</v>
      </c>
      <c r="U243" s="36">
        <v>2300000</v>
      </c>
      <c r="V243" s="21"/>
      <c r="W243" s="21"/>
      <c r="X243" s="73">
        <f>DATABASE_Table[[#This Row],[Current Asking price( Total)]]-DATABASE_Table[[#This Row],[Vista membership]]-DATABASE_Table[[#This Row],[FF&amp;E]]</f>
        <v>2300000</v>
      </c>
      <c r="Y243" s="37"/>
      <c r="Z243" s="36">
        <v>2300000</v>
      </c>
      <c r="AA243" s="73">
        <f>DATABASE_Table[[#This Row],[Sell price (Total)]]-DATABASE_Table[[#This Row],[FF&amp;E]]-DATABASE_Table[[#This Row],[Vista membership]]</f>
        <v>2300000</v>
      </c>
      <c r="AB243" s="74">
        <v>45982</v>
      </c>
      <c r="AC243" s="74" t="str">
        <f t="shared" si="3"/>
        <v>Q4 2025</v>
      </c>
      <c r="AD243" s="123"/>
      <c r="AE243" s="69">
        <v>46752</v>
      </c>
      <c r="AF243" s="21" t="s">
        <v>57</v>
      </c>
      <c r="AG243" s="21" t="s">
        <v>58</v>
      </c>
      <c r="AH243" s="122" t="s">
        <v>64</v>
      </c>
      <c r="AI243" s="122" t="s">
        <v>808</v>
      </c>
      <c r="AJ243" s="122" t="s">
        <v>65</v>
      </c>
      <c r="AK243" s="122" t="s">
        <v>809</v>
      </c>
      <c r="AL243" s="21" t="s">
        <v>61</v>
      </c>
      <c r="AM243" s="122" t="s">
        <v>62</v>
      </c>
    </row>
    <row r="244" spans="1:39" customFormat="1" ht="15.75" customHeight="1" x14ac:dyDescent="0.3">
      <c r="A244" t="s">
        <v>62</v>
      </c>
      <c r="B244" s="21" t="s">
        <v>62</v>
      </c>
      <c r="C244" s="21" t="s">
        <v>764</v>
      </c>
      <c r="D244" s="117" t="s">
        <v>350</v>
      </c>
      <c r="E244" s="21" t="s">
        <v>63</v>
      </c>
      <c r="F244" s="21" t="s">
        <v>320</v>
      </c>
      <c r="G244" s="21">
        <v>347.87</v>
      </c>
      <c r="H244" s="21"/>
      <c r="I244" s="117" t="s">
        <v>904</v>
      </c>
      <c r="J244" s="117" t="s">
        <v>587</v>
      </c>
      <c r="K244" s="118">
        <v>14.5</v>
      </c>
      <c r="L244" s="21"/>
      <c r="M244" s="21"/>
      <c r="N244" s="21">
        <v>0</v>
      </c>
      <c r="O244" s="21"/>
      <c r="P244" s="21">
        <v>158.06</v>
      </c>
      <c r="Q244" s="21"/>
      <c r="R244" s="21" t="s">
        <v>329</v>
      </c>
      <c r="S244" s="119">
        <f>DATABASE_Table[[#This Row],[Inicial Asking Price (€) (Total)]]-DATABASE_Table[[#This Row],[Vista membership]]-DATABASE_Table[[#This Row],[FF&amp;E]]</f>
        <v>2300000</v>
      </c>
      <c r="T244" s="36">
        <v>2300000</v>
      </c>
      <c r="U244" s="36">
        <v>2300000</v>
      </c>
      <c r="V244" s="21"/>
      <c r="W244" s="21"/>
      <c r="X244" s="73">
        <f>DATABASE_Table[[#This Row],[Current Asking price( Total)]]-DATABASE_Table[[#This Row],[Vista membership]]-DATABASE_Table[[#This Row],[FF&amp;E]]</f>
        <v>2300000</v>
      </c>
      <c r="Y244" s="37"/>
      <c r="Z244" s="36">
        <v>2300000</v>
      </c>
      <c r="AA244" s="73">
        <f>DATABASE_Table[[#This Row],[Sell price (Total)]]-DATABASE_Table[[#This Row],[FF&amp;E]]-DATABASE_Table[[#This Row],[Vista membership]]</f>
        <v>2300000</v>
      </c>
      <c r="AB244" s="74">
        <v>45982</v>
      </c>
      <c r="AC244" s="74" t="str">
        <f t="shared" si="3"/>
        <v>Q4 2025</v>
      </c>
      <c r="AD244" s="123"/>
      <c r="AE244" s="69">
        <v>46752</v>
      </c>
      <c r="AF244" s="21" t="s">
        <v>57</v>
      </c>
      <c r="AG244" s="21" t="s">
        <v>58</v>
      </c>
      <c r="AH244" s="122" t="s">
        <v>64</v>
      </c>
      <c r="AI244" s="122" t="s">
        <v>808</v>
      </c>
      <c r="AJ244" s="122" t="s">
        <v>65</v>
      </c>
      <c r="AK244" s="122" t="s">
        <v>809</v>
      </c>
      <c r="AL244" s="21" t="s">
        <v>61</v>
      </c>
      <c r="AM244" s="122" t="s">
        <v>62</v>
      </c>
    </row>
    <row r="245" spans="1:39" customFormat="1" ht="15.75" customHeight="1" x14ac:dyDescent="0.3">
      <c r="A245" t="s">
        <v>62</v>
      </c>
      <c r="B245" s="21" t="s">
        <v>62</v>
      </c>
      <c r="C245" s="21" t="s">
        <v>764</v>
      </c>
      <c r="D245" s="117" t="s">
        <v>351</v>
      </c>
      <c r="E245" s="21" t="s">
        <v>63</v>
      </c>
      <c r="F245" s="21" t="s">
        <v>320</v>
      </c>
      <c r="G245" s="21">
        <v>352</v>
      </c>
      <c r="H245" s="21"/>
      <c r="I245" s="117" t="s">
        <v>904</v>
      </c>
      <c r="J245" s="117" t="s">
        <v>587</v>
      </c>
      <c r="K245" s="118">
        <v>14.5</v>
      </c>
      <c r="L245" s="21"/>
      <c r="M245" s="21"/>
      <c r="N245" s="21">
        <v>0</v>
      </c>
      <c r="O245" s="21"/>
      <c r="P245" s="21">
        <v>160.11000000000001</v>
      </c>
      <c r="Q245" s="21"/>
      <c r="R245" s="21" t="s">
        <v>329</v>
      </c>
      <c r="S245" s="119">
        <f>DATABASE_Table[[#This Row],[Inicial Asking Price (€) (Total)]]-DATABASE_Table[[#This Row],[Vista membership]]-DATABASE_Table[[#This Row],[FF&amp;E]]</f>
        <v>2400000</v>
      </c>
      <c r="T245" s="36">
        <v>2400000</v>
      </c>
      <c r="U245" s="36">
        <v>2400000</v>
      </c>
      <c r="V245" s="21"/>
      <c r="W245" s="21"/>
      <c r="X245" s="73">
        <f>DATABASE_Table[[#This Row],[Current Asking price( Total)]]-DATABASE_Table[[#This Row],[Vista membership]]-DATABASE_Table[[#This Row],[FF&amp;E]]</f>
        <v>2400000</v>
      </c>
      <c r="Y245" s="37"/>
      <c r="Z245" s="36">
        <v>2400000</v>
      </c>
      <c r="AA245" s="73">
        <f>DATABASE_Table[[#This Row],[Sell price (Total)]]-DATABASE_Table[[#This Row],[FF&amp;E]]-DATABASE_Table[[#This Row],[Vista membership]]</f>
        <v>2400000</v>
      </c>
      <c r="AB245" s="74">
        <v>45982</v>
      </c>
      <c r="AC245" s="74" t="str">
        <f t="shared" si="3"/>
        <v>Q4 2025</v>
      </c>
      <c r="AD245" s="123"/>
      <c r="AE245" s="69">
        <v>46752</v>
      </c>
      <c r="AF245" s="21" t="s">
        <v>57</v>
      </c>
      <c r="AG245" s="21" t="s">
        <v>58</v>
      </c>
      <c r="AH245" s="122" t="s">
        <v>64</v>
      </c>
      <c r="AI245" s="122" t="s">
        <v>808</v>
      </c>
      <c r="AJ245" s="122" t="s">
        <v>65</v>
      </c>
      <c r="AK245" s="122" t="s">
        <v>809</v>
      </c>
      <c r="AL245" s="21" t="s">
        <v>61</v>
      </c>
      <c r="AM245" s="122" t="s">
        <v>62</v>
      </c>
    </row>
    <row r="246" spans="1:39" customFormat="1" ht="15.75" customHeight="1" x14ac:dyDescent="0.3">
      <c r="A246" t="s">
        <v>62</v>
      </c>
      <c r="B246" s="21" t="s">
        <v>62</v>
      </c>
      <c r="C246" s="21" t="s">
        <v>764</v>
      </c>
      <c r="D246" s="117" t="s">
        <v>337</v>
      </c>
      <c r="E246" s="21" t="s">
        <v>63</v>
      </c>
      <c r="F246" s="21" t="s">
        <v>506</v>
      </c>
      <c r="G246" s="21">
        <v>399.41</v>
      </c>
      <c r="H246" s="21"/>
      <c r="I246" s="117" t="s">
        <v>901</v>
      </c>
      <c r="J246" s="117" t="s">
        <v>587</v>
      </c>
      <c r="K246" s="118">
        <v>9</v>
      </c>
      <c r="L246" s="21"/>
      <c r="M246" s="21"/>
      <c r="N246" s="21">
        <v>19.66</v>
      </c>
      <c r="O246" s="21"/>
      <c r="P246" s="21">
        <v>200.37</v>
      </c>
      <c r="Q246" s="21"/>
      <c r="R246" s="21" t="s">
        <v>625</v>
      </c>
      <c r="S246" s="119">
        <f>DATABASE_Table[[#This Row],[Inicial Asking Price (€) (Total)]]-DATABASE_Table[[#This Row],[Vista membership]]-DATABASE_Table[[#This Row],[FF&amp;E]]</f>
        <v>2700000</v>
      </c>
      <c r="T246" s="36">
        <v>2700000</v>
      </c>
      <c r="U246" s="36">
        <v>2700000</v>
      </c>
      <c r="V246" s="21"/>
      <c r="W246" s="21"/>
      <c r="X246" s="73">
        <f>DATABASE_Table[[#This Row],[Current Asking price( Total)]]-DATABASE_Table[[#This Row],[Vista membership]]-DATABASE_Table[[#This Row],[FF&amp;E]]</f>
        <v>2700000</v>
      </c>
      <c r="Y246" s="37"/>
      <c r="Z246" s="36">
        <v>2700000</v>
      </c>
      <c r="AA246" s="73">
        <f>DATABASE_Table[[#This Row],[Sell price (Total)]]-DATABASE_Table[[#This Row],[FF&amp;E]]-DATABASE_Table[[#This Row],[Vista membership]]</f>
        <v>2700000</v>
      </c>
      <c r="AB246" s="74">
        <v>45982</v>
      </c>
      <c r="AC246" s="74" t="str">
        <f t="shared" si="3"/>
        <v>Q4 2025</v>
      </c>
      <c r="AD246" s="123">
        <v>46191</v>
      </c>
      <c r="AE246" s="69">
        <v>46752</v>
      </c>
      <c r="AF246" s="21" t="s">
        <v>57</v>
      </c>
      <c r="AG246" s="21" t="s">
        <v>58</v>
      </c>
      <c r="AH246" s="122" t="s">
        <v>64</v>
      </c>
      <c r="AI246" s="122" t="s">
        <v>808</v>
      </c>
      <c r="AJ246" s="122" t="s">
        <v>65</v>
      </c>
      <c r="AK246" s="122" t="s">
        <v>809</v>
      </c>
      <c r="AL246" s="21" t="s">
        <v>61</v>
      </c>
      <c r="AM246" s="122" t="s">
        <v>62</v>
      </c>
    </row>
    <row r="247" spans="1:39" customFormat="1" ht="15.75" customHeight="1" x14ac:dyDescent="0.3">
      <c r="A247" t="s">
        <v>62</v>
      </c>
      <c r="B247" s="21" t="s">
        <v>62</v>
      </c>
      <c r="C247" s="21" t="s">
        <v>764</v>
      </c>
      <c r="D247" s="117" t="s">
        <v>336</v>
      </c>
      <c r="E247" s="21" t="s">
        <v>63</v>
      </c>
      <c r="F247" s="21" t="s">
        <v>506</v>
      </c>
      <c r="G247" s="21">
        <v>367.73</v>
      </c>
      <c r="H247" s="21"/>
      <c r="I247" s="117" t="s">
        <v>901</v>
      </c>
      <c r="J247" s="117" t="s">
        <v>587</v>
      </c>
      <c r="K247" s="118">
        <v>9</v>
      </c>
      <c r="L247" s="21"/>
      <c r="M247" s="21"/>
      <c r="N247" s="21">
        <v>17.41</v>
      </c>
      <c r="O247" s="21"/>
      <c r="P247" s="21">
        <v>190.24</v>
      </c>
      <c r="Q247" s="21"/>
      <c r="R247" s="21" t="s">
        <v>326</v>
      </c>
      <c r="S247" s="119">
        <f>DATABASE_Table[[#This Row],[Inicial Asking Price (€) (Total)]]-DATABASE_Table[[#This Row],[Vista membership]]-DATABASE_Table[[#This Row],[FF&amp;E]]</f>
        <v>2610000</v>
      </c>
      <c r="T247" s="36">
        <v>2610000</v>
      </c>
      <c r="U247" s="36">
        <v>2610000</v>
      </c>
      <c r="V247" s="21"/>
      <c r="W247" s="21"/>
      <c r="X247" s="73">
        <f>DATABASE_Table[[#This Row],[Current Asking price( Total)]]-DATABASE_Table[[#This Row],[Vista membership]]-DATABASE_Table[[#This Row],[FF&amp;E]]</f>
        <v>2610000</v>
      </c>
      <c r="Y247" s="37"/>
      <c r="Z247" s="36">
        <v>2610000</v>
      </c>
      <c r="AA247" s="73">
        <f>DATABASE_Table[[#This Row],[Sell price (Total)]]-DATABASE_Table[[#This Row],[FF&amp;E]]-DATABASE_Table[[#This Row],[Vista membership]]</f>
        <v>2610000</v>
      </c>
      <c r="AB247" s="74">
        <v>45982</v>
      </c>
      <c r="AC247" s="74" t="str">
        <f t="shared" si="3"/>
        <v>Q4 2025</v>
      </c>
      <c r="AD247" s="123">
        <v>46157</v>
      </c>
      <c r="AE247" s="69">
        <v>46752</v>
      </c>
      <c r="AF247" s="21" t="s">
        <v>57</v>
      </c>
      <c r="AG247" s="21" t="s">
        <v>58</v>
      </c>
      <c r="AH247" s="122" t="s">
        <v>64</v>
      </c>
      <c r="AI247" s="122" t="s">
        <v>808</v>
      </c>
      <c r="AJ247" s="122" t="s">
        <v>65</v>
      </c>
      <c r="AK247" s="122" t="s">
        <v>809</v>
      </c>
      <c r="AL247" s="21" t="s">
        <v>61</v>
      </c>
      <c r="AM247" s="122" t="s">
        <v>62</v>
      </c>
    </row>
    <row r="248" spans="1:39" customFormat="1" ht="15.75" customHeight="1" x14ac:dyDescent="0.3">
      <c r="A248" t="s">
        <v>52</v>
      </c>
      <c r="B248" s="21" t="s">
        <v>627</v>
      </c>
      <c r="C248" s="21" t="s">
        <v>688</v>
      </c>
      <c r="D248" s="117" t="s">
        <v>374</v>
      </c>
      <c r="E248" s="21" t="s">
        <v>9</v>
      </c>
      <c r="F248" s="21" t="s">
        <v>320</v>
      </c>
      <c r="G248" s="21">
        <v>224.31</v>
      </c>
      <c r="H248" s="21"/>
      <c r="I248" s="117" t="s">
        <v>843</v>
      </c>
      <c r="J248" s="117" t="s">
        <v>325</v>
      </c>
      <c r="K248" s="118">
        <v>55.65</v>
      </c>
      <c r="L248" s="21"/>
      <c r="M248" s="21"/>
      <c r="N248" s="21">
        <v>0</v>
      </c>
      <c r="O248" s="21"/>
      <c r="P248" s="21">
        <v>168.66</v>
      </c>
      <c r="Q248" s="21"/>
      <c r="R248" s="21" t="s">
        <v>326</v>
      </c>
      <c r="S248" s="119">
        <f>DATABASE_Table[[#This Row],[Inicial Asking Price (€) (Total)]]-DATABASE_Table[[#This Row],[Vista membership]]-DATABASE_Table[[#This Row],[FF&amp;E]]</f>
        <v>1660542.65</v>
      </c>
      <c r="T248" s="125">
        <v>1660542.65</v>
      </c>
      <c r="U248" s="124">
        <v>1670000</v>
      </c>
      <c r="V248" s="21"/>
      <c r="W248" s="21"/>
      <c r="X248" s="73">
        <f>DATABASE_Table[[#This Row],[Current Asking price( Total)]]-DATABASE_Table[[#This Row],[Vista membership]]-DATABASE_Table[[#This Row],[FF&amp;E]]</f>
        <v>1670000</v>
      </c>
      <c r="Y248" s="126">
        <v>-4.1916167664670698E-2</v>
      </c>
      <c r="Z248" s="124">
        <v>1740000</v>
      </c>
      <c r="AA248" s="73">
        <f>DATABASE_Table[[#This Row],[Sell price (Total)]]-DATABASE_Table[[#This Row],[FF&amp;E]]-DATABASE_Table[[#This Row],[Vista membership]]</f>
        <v>1740000</v>
      </c>
      <c r="AB248" s="74">
        <v>46029</v>
      </c>
      <c r="AC248" s="74" t="str">
        <f t="shared" si="3"/>
        <v>Q1 2026</v>
      </c>
      <c r="AD248" s="123"/>
      <c r="AE248" s="69"/>
      <c r="AF248" s="21" t="s">
        <v>10</v>
      </c>
      <c r="AG248" s="21" t="s">
        <v>11</v>
      </c>
      <c r="AH248" s="122" t="s">
        <v>53</v>
      </c>
      <c r="AI248" s="122" t="s">
        <v>54</v>
      </c>
      <c r="AJ248" s="122" t="s">
        <v>805</v>
      </c>
      <c r="AK248" s="122" t="s">
        <v>806</v>
      </c>
      <c r="AL248" s="21" t="s">
        <v>36</v>
      </c>
      <c r="AM248" s="122" t="s">
        <v>52</v>
      </c>
    </row>
    <row r="249" spans="1:39" customFormat="1" ht="15.75" customHeight="1" x14ac:dyDescent="0.3">
      <c r="A249" t="s">
        <v>52</v>
      </c>
      <c r="B249" s="21" t="s">
        <v>627</v>
      </c>
      <c r="C249" s="21" t="s">
        <v>688</v>
      </c>
      <c r="D249" s="117" t="s">
        <v>345</v>
      </c>
      <c r="E249" s="21" t="s">
        <v>9</v>
      </c>
      <c r="F249" s="21" t="s">
        <v>320</v>
      </c>
      <c r="G249" s="21">
        <v>924.59</v>
      </c>
      <c r="H249" s="21"/>
      <c r="I249" s="117" t="s">
        <v>843</v>
      </c>
      <c r="J249" s="117" t="s">
        <v>325</v>
      </c>
      <c r="K249" s="118">
        <v>9.86</v>
      </c>
      <c r="L249" s="21"/>
      <c r="M249" s="21"/>
      <c r="N249" s="21">
        <v>739.52</v>
      </c>
      <c r="O249" s="21"/>
      <c r="P249" s="21">
        <v>175.21</v>
      </c>
      <c r="Q249" s="21"/>
      <c r="R249" s="21" t="s">
        <v>327</v>
      </c>
      <c r="S249" s="119">
        <f>DATABASE_Table[[#This Row],[Inicial Asking Price (€) (Total)]]-DATABASE_Table[[#This Row],[Vista membership]]-DATABASE_Table[[#This Row],[FF&amp;E]]</f>
        <v>1737489.39</v>
      </c>
      <c r="T249" s="125">
        <v>1737489.39</v>
      </c>
      <c r="U249" s="124">
        <v>1670400</v>
      </c>
      <c r="V249" s="21"/>
      <c r="W249" s="21"/>
      <c r="X249" s="73">
        <f>DATABASE_Table[[#This Row],[Current Asking price( Total)]]-DATABASE_Table[[#This Row],[Vista membership]]-DATABASE_Table[[#This Row],[FF&amp;E]]</f>
        <v>1670400</v>
      </c>
      <c r="Y249" s="126">
        <v>-4.1666666666666699E-2</v>
      </c>
      <c r="Z249" s="124">
        <v>1740000</v>
      </c>
      <c r="AA249" s="73">
        <f>DATABASE_Table[[#This Row],[Sell price (Total)]]-DATABASE_Table[[#This Row],[FF&amp;E]]-DATABASE_Table[[#This Row],[Vista membership]]</f>
        <v>1740000</v>
      </c>
      <c r="AB249" s="74">
        <v>46029</v>
      </c>
      <c r="AC249" s="74" t="str">
        <f t="shared" si="3"/>
        <v>Q1 2026</v>
      </c>
      <c r="AD249" s="123"/>
      <c r="AE249" s="69"/>
      <c r="AF249" s="21" t="s">
        <v>10</v>
      </c>
      <c r="AG249" s="21" t="s">
        <v>11</v>
      </c>
      <c r="AH249" s="122" t="s">
        <v>53</v>
      </c>
      <c r="AI249" s="122" t="s">
        <v>54</v>
      </c>
      <c r="AJ249" s="122" t="s">
        <v>805</v>
      </c>
      <c r="AK249" s="122" t="s">
        <v>806</v>
      </c>
      <c r="AL249" s="21" t="s">
        <v>36</v>
      </c>
      <c r="AM249" s="122" t="s">
        <v>52</v>
      </c>
    </row>
    <row r="250" spans="1:39" customFormat="1" ht="15.75" customHeight="1" x14ac:dyDescent="0.3">
      <c r="A250" t="s">
        <v>52</v>
      </c>
      <c r="B250" s="21" t="s">
        <v>627</v>
      </c>
      <c r="C250" s="21" t="s">
        <v>688</v>
      </c>
      <c r="D250" s="117" t="s">
        <v>368</v>
      </c>
      <c r="E250" s="21" t="s">
        <v>9</v>
      </c>
      <c r="F250" s="21" t="s">
        <v>319</v>
      </c>
      <c r="G250" s="21">
        <v>142.88</v>
      </c>
      <c r="H250" s="21"/>
      <c r="I250" s="117" t="s">
        <v>843</v>
      </c>
      <c r="J250" s="117" t="s">
        <v>325</v>
      </c>
      <c r="K250" s="118">
        <v>28.39</v>
      </c>
      <c r="L250" s="21"/>
      <c r="M250" s="21"/>
      <c r="N250" s="21">
        <v>0</v>
      </c>
      <c r="O250" s="21"/>
      <c r="P250" s="21">
        <v>114.49</v>
      </c>
      <c r="Q250" s="21"/>
      <c r="R250" s="21" t="s">
        <v>625</v>
      </c>
      <c r="S250" s="119">
        <f>DATABASE_Table[[#This Row],[Inicial Asking Price (€) (Total)]]-DATABASE_Table[[#This Row],[Vista membership]]-DATABASE_Table[[#This Row],[FF&amp;E]]</f>
        <v>949860.054</v>
      </c>
      <c r="T250" s="125">
        <v>949860.054</v>
      </c>
      <c r="U250" s="124">
        <v>950000</v>
      </c>
      <c r="V250" s="21"/>
      <c r="W250" s="21"/>
      <c r="X250" s="73">
        <f>DATABASE_Table[[#This Row],[Current Asking price( Total)]]-DATABASE_Table[[#This Row],[Vista membership]]-DATABASE_Table[[#This Row],[FF&amp;E]]</f>
        <v>950000</v>
      </c>
      <c r="Y250" s="126">
        <v>0</v>
      </c>
      <c r="Z250" s="124">
        <v>950000</v>
      </c>
      <c r="AA250" s="73">
        <f>DATABASE_Table[[#This Row],[Sell price (Total)]]-DATABASE_Table[[#This Row],[FF&amp;E]]-DATABASE_Table[[#This Row],[Vista membership]]</f>
        <v>950000</v>
      </c>
      <c r="AB250" s="74">
        <v>46029</v>
      </c>
      <c r="AC250" s="74" t="str">
        <f t="shared" si="3"/>
        <v>Q1 2026</v>
      </c>
      <c r="AD250" s="123">
        <v>46125</v>
      </c>
      <c r="AE250" s="69"/>
      <c r="AF250" s="21" t="s">
        <v>10</v>
      </c>
      <c r="AG250" s="21" t="s">
        <v>11</v>
      </c>
      <c r="AH250" s="122" t="s">
        <v>53</v>
      </c>
      <c r="AI250" s="122" t="s">
        <v>54</v>
      </c>
      <c r="AJ250" s="122" t="s">
        <v>805</v>
      </c>
      <c r="AK250" s="122" t="s">
        <v>806</v>
      </c>
      <c r="AL250" s="21" t="s">
        <v>36</v>
      </c>
      <c r="AM250" s="122" t="s">
        <v>52</v>
      </c>
    </row>
    <row r="251" spans="1:39" customFormat="1" ht="15.75" customHeight="1" x14ac:dyDescent="0.3">
      <c r="A251" t="s">
        <v>52</v>
      </c>
      <c r="B251" s="21" t="s">
        <v>627</v>
      </c>
      <c r="C251" s="21" t="s">
        <v>688</v>
      </c>
      <c r="D251" s="117" t="s">
        <v>396</v>
      </c>
      <c r="E251" s="21" t="s">
        <v>9</v>
      </c>
      <c r="F251" s="21" t="s">
        <v>319</v>
      </c>
      <c r="G251" s="21">
        <v>151.22999999999999</v>
      </c>
      <c r="H251" s="21"/>
      <c r="I251" s="117" t="s">
        <v>842</v>
      </c>
      <c r="J251" s="117" t="s">
        <v>325</v>
      </c>
      <c r="K251" s="118">
        <v>27.59</v>
      </c>
      <c r="L251" s="21"/>
      <c r="M251" s="21"/>
      <c r="N251" s="21">
        <v>0</v>
      </c>
      <c r="O251" s="21"/>
      <c r="P251" s="21">
        <v>123.64</v>
      </c>
      <c r="Q251" s="21"/>
      <c r="R251" s="21" t="s">
        <v>625</v>
      </c>
      <c r="S251" s="119">
        <f>DATABASE_Table[[#This Row],[Inicial Asking Price (€) (Total)]]-DATABASE_Table[[#This Row],[Vista membership]]-DATABASE_Table[[#This Row],[FF&amp;E]]</f>
        <v>1044782.64</v>
      </c>
      <c r="T251" s="125">
        <v>1044782.64</v>
      </c>
      <c r="U251" s="124">
        <v>1050000</v>
      </c>
      <c r="V251" s="21"/>
      <c r="W251" s="21"/>
      <c r="X251" s="73">
        <f>DATABASE_Table[[#This Row],[Current Asking price( Total)]]-DATABASE_Table[[#This Row],[Vista membership]]-DATABASE_Table[[#This Row],[FF&amp;E]]</f>
        <v>1050000</v>
      </c>
      <c r="Y251" s="126">
        <v>0</v>
      </c>
      <c r="Z251" s="124">
        <v>1050000</v>
      </c>
      <c r="AA251" s="73">
        <f>DATABASE_Table[[#This Row],[Sell price (Total)]]-DATABASE_Table[[#This Row],[FF&amp;E]]-DATABASE_Table[[#This Row],[Vista membership]]</f>
        <v>1050000</v>
      </c>
      <c r="AB251" s="74">
        <v>46029</v>
      </c>
      <c r="AC251" s="74" t="str">
        <f t="shared" si="3"/>
        <v>Q1 2026</v>
      </c>
      <c r="AD251" s="123">
        <v>46139</v>
      </c>
      <c r="AE251" s="69"/>
      <c r="AF251" s="21" t="s">
        <v>10</v>
      </c>
      <c r="AG251" s="21" t="s">
        <v>11</v>
      </c>
      <c r="AH251" s="122" t="s">
        <v>53</v>
      </c>
      <c r="AI251" s="122" t="s">
        <v>54</v>
      </c>
      <c r="AJ251" s="122" t="s">
        <v>805</v>
      </c>
      <c r="AK251" s="122" t="s">
        <v>806</v>
      </c>
      <c r="AL251" s="21" t="s">
        <v>36</v>
      </c>
      <c r="AM251" s="122" t="s">
        <v>52</v>
      </c>
    </row>
    <row r="252" spans="1:39" customFormat="1" ht="15.75" customHeight="1" x14ac:dyDescent="0.3">
      <c r="A252" t="s">
        <v>52</v>
      </c>
      <c r="B252" s="21" t="s">
        <v>627</v>
      </c>
      <c r="C252" s="21" t="s">
        <v>688</v>
      </c>
      <c r="D252" s="117" t="s">
        <v>397</v>
      </c>
      <c r="E252" s="21" t="s">
        <v>9</v>
      </c>
      <c r="F252" s="21" t="s">
        <v>320</v>
      </c>
      <c r="G252" s="21">
        <v>318.70999999999998</v>
      </c>
      <c r="H252" s="21"/>
      <c r="I252" s="117" t="s">
        <v>842</v>
      </c>
      <c r="J252" s="117" t="s">
        <v>325</v>
      </c>
      <c r="K252" s="118">
        <v>55.52</v>
      </c>
      <c r="L252" s="21"/>
      <c r="M252" s="21"/>
      <c r="N252" s="21">
        <v>102</v>
      </c>
      <c r="O252" s="21"/>
      <c r="P252" s="21">
        <v>161.19</v>
      </c>
      <c r="Q252" s="21"/>
      <c r="R252" s="21" t="s">
        <v>625</v>
      </c>
      <c r="S252" s="119">
        <f>DATABASE_Table[[#This Row],[Inicial Asking Price (€) (Total)]]-DATABASE_Table[[#This Row],[Vista membership]]-DATABASE_Table[[#This Row],[FF&amp;E]]</f>
        <v>1804385.31</v>
      </c>
      <c r="T252" s="125">
        <v>1804385.31</v>
      </c>
      <c r="U252" s="124">
        <v>1810000</v>
      </c>
      <c r="V252" s="21"/>
      <c r="W252" s="21"/>
      <c r="X252" s="73">
        <f>DATABASE_Table[[#This Row],[Current Asking price( Total)]]-DATABASE_Table[[#This Row],[Vista membership]]-DATABASE_Table[[#This Row],[FF&amp;E]]</f>
        <v>1810000</v>
      </c>
      <c r="Y252" s="126">
        <v>0</v>
      </c>
      <c r="Z252" s="124">
        <v>1810000</v>
      </c>
      <c r="AA252" s="73">
        <f>DATABASE_Table[[#This Row],[Sell price (Total)]]-DATABASE_Table[[#This Row],[FF&amp;E]]-DATABASE_Table[[#This Row],[Vista membership]]</f>
        <v>1810000</v>
      </c>
      <c r="AB252" s="74">
        <v>46029</v>
      </c>
      <c r="AC252" s="74" t="str">
        <f t="shared" si="3"/>
        <v>Q1 2026</v>
      </c>
      <c r="AD252" s="123">
        <v>46093</v>
      </c>
      <c r="AE252" s="69"/>
      <c r="AF252" s="21" t="s">
        <v>10</v>
      </c>
      <c r="AG252" s="21" t="s">
        <v>11</v>
      </c>
      <c r="AH252" s="122" t="s">
        <v>53</v>
      </c>
      <c r="AI252" s="122" t="s">
        <v>54</v>
      </c>
      <c r="AJ252" s="122" t="s">
        <v>805</v>
      </c>
      <c r="AK252" s="122" t="s">
        <v>806</v>
      </c>
      <c r="AL252" s="21" t="s">
        <v>36</v>
      </c>
      <c r="AM252" s="122" t="s">
        <v>52</v>
      </c>
    </row>
    <row r="253" spans="1:39" customFormat="1" ht="15.75" customHeight="1" x14ac:dyDescent="0.3">
      <c r="A253" t="s">
        <v>52</v>
      </c>
      <c r="B253" s="21" t="s">
        <v>627</v>
      </c>
      <c r="C253" s="21" t="s">
        <v>688</v>
      </c>
      <c r="D253" s="117" t="s">
        <v>341</v>
      </c>
      <c r="E253" s="21" t="s">
        <v>9</v>
      </c>
      <c r="F253" s="21" t="s">
        <v>319</v>
      </c>
      <c r="G253" s="21">
        <v>284.64</v>
      </c>
      <c r="H253" s="21"/>
      <c r="I253" s="117" t="s">
        <v>843</v>
      </c>
      <c r="J253" s="117" t="s">
        <v>325</v>
      </c>
      <c r="K253" s="118">
        <v>0</v>
      </c>
      <c r="L253" s="21"/>
      <c r="M253" s="21"/>
      <c r="N253" s="21">
        <v>158.43</v>
      </c>
      <c r="O253" s="21"/>
      <c r="P253" s="21">
        <v>126.21</v>
      </c>
      <c r="Q253" s="21"/>
      <c r="R253" s="21" t="s">
        <v>625</v>
      </c>
      <c r="S253" s="119">
        <f>DATABASE_Table[[#This Row],[Inicial Asking Price (€) (Total)]]-DATABASE_Table[[#This Row],[Vista membership]]-DATABASE_Table[[#This Row],[FF&amp;E]]</f>
        <v>1066894.29</v>
      </c>
      <c r="T253" s="125">
        <v>1066894.29</v>
      </c>
      <c r="U253" s="124">
        <v>1070000</v>
      </c>
      <c r="V253" s="21"/>
      <c r="W253" s="21"/>
      <c r="X253" s="73">
        <f>DATABASE_Table[[#This Row],[Current Asking price( Total)]]-DATABASE_Table[[#This Row],[Vista membership]]-DATABASE_Table[[#This Row],[FF&amp;E]]</f>
        <v>1070000</v>
      </c>
      <c r="Y253" s="126">
        <v>0</v>
      </c>
      <c r="Z253" s="124">
        <v>1070000</v>
      </c>
      <c r="AA253" s="73">
        <f>DATABASE_Table[[#This Row],[Sell price (Total)]]-DATABASE_Table[[#This Row],[FF&amp;E]]-DATABASE_Table[[#This Row],[Vista membership]]</f>
        <v>1070000</v>
      </c>
      <c r="AB253" s="74">
        <v>46029</v>
      </c>
      <c r="AC253" s="74" t="str">
        <f t="shared" si="3"/>
        <v>Q1 2026</v>
      </c>
      <c r="AD253" s="123">
        <v>46167</v>
      </c>
      <c r="AE253" s="69"/>
      <c r="AF253" s="21" t="s">
        <v>10</v>
      </c>
      <c r="AG253" s="21" t="s">
        <v>11</v>
      </c>
      <c r="AH253" s="122" t="s">
        <v>53</v>
      </c>
      <c r="AI253" s="122" t="s">
        <v>54</v>
      </c>
      <c r="AJ253" s="122" t="s">
        <v>805</v>
      </c>
      <c r="AK253" s="122" t="s">
        <v>806</v>
      </c>
      <c r="AL253" s="21" t="s">
        <v>36</v>
      </c>
      <c r="AM253" s="122" t="s">
        <v>52</v>
      </c>
    </row>
    <row r="254" spans="1:39" customFormat="1" ht="15.75" customHeight="1" x14ac:dyDescent="0.3">
      <c r="A254" t="s">
        <v>52</v>
      </c>
      <c r="B254" s="21" t="s">
        <v>627</v>
      </c>
      <c r="C254" s="21" t="s">
        <v>688</v>
      </c>
      <c r="D254" s="117" t="s">
        <v>387</v>
      </c>
      <c r="E254" s="21" t="s">
        <v>9</v>
      </c>
      <c r="F254" s="21" t="s">
        <v>321</v>
      </c>
      <c r="G254" s="21">
        <v>389.41</v>
      </c>
      <c r="H254" s="21"/>
      <c r="I254" s="117" t="s">
        <v>842</v>
      </c>
      <c r="J254" s="117" t="s">
        <v>325</v>
      </c>
      <c r="K254" s="118">
        <v>55.75</v>
      </c>
      <c r="L254" s="21"/>
      <c r="M254" s="21"/>
      <c r="N254" s="21">
        <v>136.30000000000001</v>
      </c>
      <c r="O254" s="21"/>
      <c r="P254" s="21">
        <v>197.36</v>
      </c>
      <c r="Q254" s="21"/>
      <c r="R254" s="21" t="s">
        <v>327</v>
      </c>
      <c r="S254" s="119">
        <f>DATABASE_Table[[#This Row],[Inicial Asking Price (€) (Total)]]-DATABASE_Table[[#This Row],[Vista membership]]-DATABASE_Table[[#This Row],[FF&amp;E]]</f>
        <v>2350904.85</v>
      </c>
      <c r="T254" s="125">
        <v>2350904.85</v>
      </c>
      <c r="U254" s="124">
        <v>2360000</v>
      </c>
      <c r="V254" s="21"/>
      <c r="W254" s="21"/>
      <c r="X254" s="73">
        <f>DATABASE_Table[[#This Row],[Current Asking price( Total)]]-DATABASE_Table[[#This Row],[Vista membership]]-DATABASE_Table[[#This Row],[FF&amp;E]]</f>
        <v>2360000</v>
      </c>
      <c r="Y254" s="126">
        <v>0</v>
      </c>
      <c r="Z254" s="124">
        <v>2360000</v>
      </c>
      <c r="AA254" s="73">
        <f>DATABASE_Table[[#This Row],[Sell price (Total)]]-DATABASE_Table[[#This Row],[FF&amp;E]]-DATABASE_Table[[#This Row],[Vista membership]]</f>
        <v>2360000</v>
      </c>
      <c r="AB254" s="74">
        <v>46029</v>
      </c>
      <c r="AC254" s="74" t="str">
        <f t="shared" si="3"/>
        <v>Q1 2026</v>
      </c>
      <c r="AD254" s="123"/>
      <c r="AE254" s="69"/>
      <c r="AF254" s="21" t="s">
        <v>10</v>
      </c>
      <c r="AG254" s="21" t="s">
        <v>11</v>
      </c>
      <c r="AH254" s="122" t="s">
        <v>53</v>
      </c>
      <c r="AI254" s="122" t="s">
        <v>54</v>
      </c>
      <c r="AJ254" s="122" t="s">
        <v>805</v>
      </c>
      <c r="AK254" s="122" t="s">
        <v>806</v>
      </c>
      <c r="AL254" s="21" t="s">
        <v>36</v>
      </c>
      <c r="AM254" s="122" t="s">
        <v>52</v>
      </c>
    </row>
    <row r="255" spans="1:39" customFormat="1" ht="15.75" customHeight="1" x14ac:dyDescent="0.3">
      <c r="A255" t="s">
        <v>52</v>
      </c>
      <c r="B255" s="21" t="s">
        <v>627</v>
      </c>
      <c r="C255" s="21" t="s">
        <v>688</v>
      </c>
      <c r="D255" s="117" t="s">
        <v>346</v>
      </c>
      <c r="E255" s="21" t="s">
        <v>9</v>
      </c>
      <c r="F255" s="21" t="s">
        <v>319</v>
      </c>
      <c r="G255" s="21">
        <v>701.9</v>
      </c>
      <c r="H255" s="21"/>
      <c r="I255" s="117" t="s">
        <v>843</v>
      </c>
      <c r="J255" s="117" t="s">
        <v>325</v>
      </c>
      <c r="K255" s="118">
        <v>0</v>
      </c>
      <c r="L255" s="21"/>
      <c r="M255" s="21"/>
      <c r="N255" s="21">
        <v>577.21</v>
      </c>
      <c r="O255" s="21"/>
      <c r="P255" s="21">
        <v>124.69</v>
      </c>
      <c r="Q255" s="21"/>
      <c r="R255" s="21" t="s">
        <v>326</v>
      </c>
      <c r="S255" s="119">
        <f>DATABASE_Table[[#This Row],[Inicial Asking Price (€) (Total)]]-DATABASE_Table[[#This Row],[Vista membership]]-DATABASE_Table[[#This Row],[FF&amp;E]]</f>
        <v>1330910.2949999999</v>
      </c>
      <c r="T255" s="125">
        <v>1330910.2949999999</v>
      </c>
      <c r="U255" s="124">
        <v>1393600</v>
      </c>
      <c r="V255" s="21"/>
      <c r="W255" s="21"/>
      <c r="X255" s="73">
        <f>DATABASE_Table[[#This Row],[Current Asking price( Total)]]-DATABASE_Table[[#This Row],[Vista membership]]-DATABASE_Table[[#This Row],[FF&amp;E]]</f>
        <v>1393600</v>
      </c>
      <c r="Y255" s="126">
        <v>0</v>
      </c>
      <c r="Z255" s="124">
        <v>1393600</v>
      </c>
      <c r="AA255" s="73">
        <f>DATABASE_Table[[#This Row],[Sell price (Total)]]-DATABASE_Table[[#This Row],[FF&amp;E]]-DATABASE_Table[[#This Row],[Vista membership]]</f>
        <v>1393600</v>
      </c>
      <c r="AB255" s="74">
        <v>46029</v>
      </c>
      <c r="AC255" s="74" t="str">
        <f t="shared" si="3"/>
        <v>Q1 2026</v>
      </c>
      <c r="AD255" s="123"/>
      <c r="AE255" s="69"/>
      <c r="AF255" s="21" t="s">
        <v>10</v>
      </c>
      <c r="AG255" s="21" t="s">
        <v>11</v>
      </c>
      <c r="AH255" s="122" t="s">
        <v>53</v>
      </c>
      <c r="AI255" s="122" t="s">
        <v>54</v>
      </c>
      <c r="AJ255" s="122" t="s">
        <v>805</v>
      </c>
      <c r="AK255" s="122" t="s">
        <v>806</v>
      </c>
      <c r="AL255" s="21" t="s">
        <v>36</v>
      </c>
      <c r="AM255" s="122" t="s">
        <v>52</v>
      </c>
    </row>
    <row r="256" spans="1:39" customFormat="1" ht="15.75" customHeight="1" x14ac:dyDescent="0.3">
      <c r="A256" t="s">
        <v>52</v>
      </c>
      <c r="B256" s="21" t="s">
        <v>627</v>
      </c>
      <c r="C256" s="21" t="s">
        <v>688</v>
      </c>
      <c r="D256" s="117" t="s">
        <v>354</v>
      </c>
      <c r="E256" s="21" t="s">
        <v>9</v>
      </c>
      <c r="F256" s="21" t="s">
        <v>319</v>
      </c>
      <c r="G256" s="21">
        <v>146.33000000000001</v>
      </c>
      <c r="H256" s="21"/>
      <c r="I256" s="117" t="s">
        <v>843</v>
      </c>
      <c r="J256" s="117" t="s">
        <v>325</v>
      </c>
      <c r="K256" s="118">
        <v>13.97</v>
      </c>
      <c r="L256" s="21"/>
      <c r="M256" s="21"/>
      <c r="N256" s="21">
        <v>14.42</v>
      </c>
      <c r="O256" s="21"/>
      <c r="P256" s="21">
        <v>117.94</v>
      </c>
      <c r="Q256" s="21"/>
      <c r="R256" s="21" t="s">
        <v>327</v>
      </c>
      <c r="S256" s="119">
        <f>DATABASE_Table[[#This Row],[Inicial Asking Price (€) (Total)]]-DATABASE_Table[[#This Row],[Vista membership]]-DATABASE_Table[[#This Row],[FF&amp;E]]</f>
        <v>901385.49600000004</v>
      </c>
      <c r="T256" s="125">
        <v>901385.49600000004</v>
      </c>
      <c r="U256" s="124">
        <v>910000</v>
      </c>
      <c r="V256" s="21"/>
      <c r="W256" s="21"/>
      <c r="X256" s="73">
        <f>DATABASE_Table[[#This Row],[Current Asking price( Total)]]-DATABASE_Table[[#This Row],[Vista membership]]-DATABASE_Table[[#This Row],[FF&amp;E]]</f>
        <v>910000</v>
      </c>
      <c r="Y256" s="126">
        <v>0</v>
      </c>
      <c r="Z256" s="124">
        <v>910000</v>
      </c>
      <c r="AA256" s="73">
        <f>DATABASE_Table[[#This Row],[Sell price (Total)]]-DATABASE_Table[[#This Row],[FF&amp;E]]-DATABASE_Table[[#This Row],[Vista membership]]</f>
        <v>910000</v>
      </c>
      <c r="AB256" s="74">
        <v>46029</v>
      </c>
      <c r="AC256" s="74" t="str">
        <f t="shared" si="3"/>
        <v>Q1 2026</v>
      </c>
      <c r="AD256" s="123"/>
      <c r="AE256" s="69"/>
      <c r="AF256" s="21" t="s">
        <v>10</v>
      </c>
      <c r="AG256" s="21" t="s">
        <v>11</v>
      </c>
      <c r="AH256" s="122" t="s">
        <v>53</v>
      </c>
      <c r="AI256" s="122" t="s">
        <v>54</v>
      </c>
      <c r="AJ256" s="122" t="s">
        <v>805</v>
      </c>
      <c r="AK256" s="122" t="s">
        <v>806</v>
      </c>
      <c r="AL256" s="21" t="s">
        <v>36</v>
      </c>
      <c r="AM256" s="122" t="s">
        <v>52</v>
      </c>
    </row>
    <row r="257" spans="1:39" customFormat="1" ht="15.75" customHeight="1" x14ac:dyDescent="0.3">
      <c r="A257" t="s">
        <v>52</v>
      </c>
      <c r="B257" s="21" t="s">
        <v>627</v>
      </c>
      <c r="C257" s="21" t="s">
        <v>688</v>
      </c>
      <c r="D257" s="117" t="s">
        <v>389</v>
      </c>
      <c r="E257" s="21" t="s">
        <v>9</v>
      </c>
      <c r="F257" s="21" t="s">
        <v>320</v>
      </c>
      <c r="G257" s="21">
        <v>319.7</v>
      </c>
      <c r="H257" s="21"/>
      <c r="I257" s="117" t="s">
        <v>842</v>
      </c>
      <c r="J257" s="117" t="s">
        <v>325</v>
      </c>
      <c r="K257" s="118">
        <v>55.52</v>
      </c>
      <c r="L257" s="21"/>
      <c r="M257" s="21"/>
      <c r="N257" s="21">
        <v>97.96</v>
      </c>
      <c r="O257" s="21"/>
      <c r="P257" s="21">
        <v>166.22</v>
      </c>
      <c r="Q257" s="21"/>
      <c r="R257" s="21" t="s">
        <v>326</v>
      </c>
      <c r="S257" s="119">
        <f>DATABASE_Table[[#This Row],[Inicial Asking Price (€) (Total)]]-DATABASE_Table[[#This Row],[Vista membership]]-DATABASE_Table[[#This Row],[FF&amp;E]]</f>
        <v>1873737.58</v>
      </c>
      <c r="T257" s="125">
        <v>1873737.58</v>
      </c>
      <c r="U257" s="124">
        <v>1955200</v>
      </c>
      <c r="V257" s="21"/>
      <c r="W257" s="21"/>
      <c r="X257" s="73">
        <f>DATABASE_Table[[#This Row],[Current Asking price( Total)]]-DATABASE_Table[[#This Row],[Vista membership]]-DATABASE_Table[[#This Row],[FF&amp;E]]</f>
        <v>1955200</v>
      </c>
      <c r="Y257" s="126">
        <v>7.5695581014729703E-3</v>
      </c>
      <c r="Z257" s="124">
        <v>1940400</v>
      </c>
      <c r="AA257" s="73">
        <f>DATABASE_Table[[#This Row],[Sell price (Total)]]-DATABASE_Table[[#This Row],[FF&amp;E]]-DATABASE_Table[[#This Row],[Vista membership]]</f>
        <v>1940400</v>
      </c>
      <c r="AB257" s="74">
        <v>46029</v>
      </c>
      <c r="AC257" s="74" t="str">
        <f t="shared" si="3"/>
        <v>Q1 2026</v>
      </c>
      <c r="AD257" s="123"/>
      <c r="AE257" s="69"/>
      <c r="AF257" s="21" t="s">
        <v>10</v>
      </c>
      <c r="AG257" s="21" t="s">
        <v>11</v>
      </c>
      <c r="AH257" s="122" t="s">
        <v>53</v>
      </c>
      <c r="AI257" s="122" t="s">
        <v>54</v>
      </c>
      <c r="AJ257" s="122" t="s">
        <v>805</v>
      </c>
      <c r="AK257" s="122" t="s">
        <v>806</v>
      </c>
      <c r="AL257" s="21" t="s">
        <v>36</v>
      </c>
      <c r="AM257" s="122" t="s">
        <v>52</v>
      </c>
    </row>
    <row r="258" spans="1:39" customFormat="1" ht="15.75" customHeight="1" x14ac:dyDescent="0.3">
      <c r="A258" t="s">
        <v>52</v>
      </c>
      <c r="B258" s="21" t="s">
        <v>627</v>
      </c>
      <c r="C258" s="21" t="s">
        <v>688</v>
      </c>
      <c r="D258" s="117" t="s">
        <v>364</v>
      </c>
      <c r="E258" s="21" t="s">
        <v>9</v>
      </c>
      <c r="F258" s="21" t="s">
        <v>319</v>
      </c>
      <c r="G258" s="21">
        <v>151.4</v>
      </c>
      <c r="H258" s="21"/>
      <c r="I258" s="117" t="s">
        <v>843</v>
      </c>
      <c r="J258" s="117" t="s">
        <v>325</v>
      </c>
      <c r="K258" s="118">
        <v>27.6</v>
      </c>
      <c r="L258" s="21"/>
      <c r="M258" s="21"/>
      <c r="N258" s="21">
        <v>0</v>
      </c>
      <c r="O258" s="21"/>
      <c r="P258" s="21">
        <v>123.8</v>
      </c>
      <c r="Q258" s="21"/>
      <c r="R258" s="21" t="s">
        <v>326</v>
      </c>
      <c r="S258" s="119">
        <f>DATABASE_Table[[#This Row],[Inicial Asking Price (€) (Total)]]-DATABASE_Table[[#This Row],[Vista membership]]-DATABASE_Table[[#This Row],[FF&amp;E]]</f>
        <v>1063508.1599999999</v>
      </c>
      <c r="T258" s="125">
        <v>1063508.1599999999</v>
      </c>
      <c r="U258" s="124">
        <v>1070000</v>
      </c>
      <c r="V258" s="21"/>
      <c r="W258" s="21"/>
      <c r="X258" s="73">
        <f>DATABASE_Table[[#This Row],[Current Asking price( Total)]]-DATABASE_Table[[#This Row],[Vista membership]]-DATABASE_Table[[#This Row],[FF&amp;E]]</f>
        <v>1070000</v>
      </c>
      <c r="Y258" s="126">
        <v>0.01</v>
      </c>
      <c r="Z258" s="124">
        <v>1059300</v>
      </c>
      <c r="AA258" s="73">
        <f>DATABASE_Table[[#This Row],[Sell price (Total)]]-DATABASE_Table[[#This Row],[FF&amp;E]]-DATABASE_Table[[#This Row],[Vista membership]]</f>
        <v>1059300</v>
      </c>
      <c r="AB258" s="74">
        <v>46029</v>
      </c>
      <c r="AC258" s="74" t="str">
        <f t="shared" ref="AC258:AC321" si="4">IF(AB258="","TO LAUNCH","Q"&amp;ROUNDUP(MONTH(AB258)/3,0)&amp;" "&amp;YEAR(AB258))</f>
        <v>Q1 2026</v>
      </c>
      <c r="AD258" s="123"/>
      <c r="AE258" s="69"/>
      <c r="AF258" s="21" t="s">
        <v>10</v>
      </c>
      <c r="AG258" s="21" t="s">
        <v>11</v>
      </c>
      <c r="AH258" s="122" t="s">
        <v>53</v>
      </c>
      <c r="AI258" s="122" t="s">
        <v>54</v>
      </c>
      <c r="AJ258" s="122" t="s">
        <v>805</v>
      </c>
      <c r="AK258" s="122" t="s">
        <v>806</v>
      </c>
      <c r="AL258" s="21" t="s">
        <v>36</v>
      </c>
      <c r="AM258" s="122" t="s">
        <v>52</v>
      </c>
    </row>
    <row r="259" spans="1:39" customFormat="1" ht="15.75" customHeight="1" x14ac:dyDescent="0.3">
      <c r="A259" t="s">
        <v>52</v>
      </c>
      <c r="B259" s="21" t="s">
        <v>627</v>
      </c>
      <c r="C259" s="21" t="s">
        <v>688</v>
      </c>
      <c r="D259" s="117" t="s">
        <v>365</v>
      </c>
      <c r="E259" s="21" t="s">
        <v>9</v>
      </c>
      <c r="F259" s="21" t="s">
        <v>319</v>
      </c>
      <c r="G259" s="21">
        <v>151.53</v>
      </c>
      <c r="H259" s="21"/>
      <c r="I259" s="117" t="s">
        <v>843</v>
      </c>
      <c r="J259" s="117" t="s">
        <v>325</v>
      </c>
      <c r="K259" s="118">
        <v>27.61</v>
      </c>
      <c r="L259" s="21"/>
      <c r="M259" s="21"/>
      <c r="N259" s="21">
        <v>0</v>
      </c>
      <c r="O259" s="21"/>
      <c r="P259" s="21">
        <v>123.92</v>
      </c>
      <c r="Q259" s="21"/>
      <c r="R259" s="21" t="s">
        <v>326</v>
      </c>
      <c r="S259" s="119">
        <f>DATABASE_Table[[#This Row],[Inicial Asking Price (€) (Total)]]-DATABASE_Table[[#This Row],[Vista membership]]-DATABASE_Table[[#This Row],[FF&amp;E]]</f>
        <v>1064498.5560000001</v>
      </c>
      <c r="T259" s="125">
        <v>1064498.5560000001</v>
      </c>
      <c r="U259" s="124">
        <v>1070000</v>
      </c>
      <c r="V259" s="21"/>
      <c r="W259" s="21"/>
      <c r="X259" s="73">
        <f>DATABASE_Table[[#This Row],[Current Asking price( Total)]]-DATABASE_Table[[#This Row],[Vista membership]]-DATABASE_Table[[#This Row],[FF&amp;E]]</f>
        <v>1070000</v>
      </c>
      <c r="Y259" s="126">
        <v>0.01</v>
      </c>
      <c r="Z259" s="124">
        <v>1059300</v>
      </c>
      <c r="AA259" s="73">
        <f>DATABASE_Table[[#This Row],[Sell price (Total)]]-DATABASE_Table[[#This Row],[FF&amp;E]]-DATABASE_Table[[#This Row],[Vista membership]]</f>
        <v>1059300</v>
      </c>
      <c r="AB259" s="74">
        <v>46029</v>
      </c>
      <c r="AC259" s="74" t="str">
        <f t="shared" si="4"/>
        <v>Q1 2026</v>
      </c>
      <c r="AD259" s="123"/>
      <c r="AE259" s="69"/>
      <c r="AF259" s="21" t="s">
        <v>10</v>
      </c>
      <c r="AG259" s="21" t="s">
        <v>11</v>
      </c>
      <c r="AH259" s="122" t="s">
        <v>53</v>
      </c>
      <c r="AI259" s="122" t="s">
        <v>54</v>
      </c>
      <c r="AJ259" s="122" t="s">
        <v>805</v>
      </c>
      <c r="AK259" s="122" t="s">
        <v>806</v>
      </c>
      <c r="AL259" s="21" t="s">
        <v>36</v>
      </c>
      <c r="AM259" s="122" t="s">
        <v>52</v>
      </c>
    </row>
    <row r="260" spans="1:39" customFormat="1" ht="15.75" customHeight="1" x14ac:dyDescent="0.3">
      <c r="A260" t="s">
        <v>52</v>
      </c>
      <c r="B260" s="21" t="s">
        <v>627</v>
      </c>
      <c r="C260" s="21" t="s">
        <v>688</v>
      </c>
      <c r="D260" s="117" t="s">
        <v>392</v>
      </c>
      <c r="E260" s="21" t="s">
        <v>9</v>
      </c>
      <c r="F260" s="21" t="s">
        <v>320</v>
      </c>
      <c r="G260" s="21">
        <v>319.63</v>
      </c>
      <c r="H260" s="21"/>
      <c r="I260" s="117" t="s">
        <v>842</v>
      </c>
      <c r="J260" s="117" t="s">
        <v>325</v>
      </c>
      <c r="K260" s="118">
        <v>55.5</v>
      </c>
      <c r="L260" s="21"/>
      <c r="M260" s="21"/>
      <c r="N260" s="21">
        <v>101.74</v>
      </c>
      <c r="O260" s="21"/>
      <c r="P260" s="21">
        <v>162.38999999999999</v>
      </c>
      <c r="Q260" s="21"/>
      <c r="R260" s="21" t="s">
        <v>326</v>
      </c>
      <c r="S260" s="119">
        <f>DATABASE_Table[[#This Row],[Inicial Asking Price (€) (Total)]]-DATABASE_Table[[#This Row],[Vista membership]]-DATABASE_Table[[#This Row],[FF&amp;E]]</f>
        <v>1790881.95</v>
      </c>
      <c r="T260" s="125">
        <v>1790881.95</v>
      </c>
      <c r="U260" s="124">
        <v>1800000</v>
      </c>
      <c r="V260" s="21"/>
      <c r="W260" s="21"/>
      <c r="X260" s="73">
        <f>DATABASE_Table[[#This Row],[Current Asking price( Total)]]-DATABASE_Table[[#This Row],[Vista membership]]-DATABASE_Table[[#This Row],[FF&amp;E]]</f>
        <v>1800000</v>
      </c>
      <c r="Y260" s="126">
        <v>0.04</v>
      </c>
      <c r="Z260" s="124">
        <v>1728000</v>
      </c>
      <c r="AA260" s="73">
        <f>DATABASE_Table[[#This Row],[Sell price (Total)]]-DATABASE_Table[[#This Row],[FF&amp;E]]-DATABASE_Table[[#This Row],[Vista membership]]</f>
        <v>1728000</v>
      </c>
      <c r="AB260" s="74">
        <v>46029</v>
      </c>
      <c r="AC260" s="74" t="str">
        <f t="shared" si="4"/>
        <v>Q1 2026</v>
      </c>
      <c r="AD260" s="123"/>
      <c r="AE260" s="69"/>
      <c r="AF260" s="21" t="s">
        <v>10</v>
      </c>
      <c r="AG260" s="21" t="s">
        <v>11</v>
      </c>
      <c r="AH260" s="122" t="s">
        <v>53</v>
      </c>
      <c r="AI260" s="122" t="s">
        <v>54</v>
      </c>
      <c r="AJ260" s="122" t="s">
        <v>805</v>
      </c>
      <c r="AK260" s="122" t="s">
        <v>806</v>
      </c>
      <c r="AL260" s="21" t="s">
        <v>36</v>
      </c>
      <c r="AM260" s="122" t="s">
        <v>52</v>
      </c>
    </row>
    <row r="261" spans="1:39" customFormat="1" ht="15.75" customHeight="1" x14ac:dyDescent="0.3">
      <c r="A261" t="s">
        <v>52</v>
      </c>
      <c r="B261" s="21" t="s">
        <v>627</v>
      </c>
      <c r="C261" s="21" t="s">
        <v>688</v>
      </c>
      <c r="D261" s="117" t="s">
        <v>367</v>
      </c>
      <c r="E261" s="21" t="s">
        <v>9</v>
      </c>
      <c r="F261" s="21" t="s">
        <v>319</v>
      </c>
      <c r="G261" s="21">
        <v>146.43</v>
      </c>
      <c r="H261" s="21"/>
      <c r="I261" s="117" t="s">
        <v>843</v>
      </c>
      <c r="J261" s="117" t="s">
        <v>325</v>
      </c>
      <c r="K261" s="118">
        <v>28.49</v>
      </c>
      <c r="L261" s="21"/>
      <c r="M261" s="21"/>
      <c r="N261" s="21">
        <v>0</v>
      </c>
      <c r="O261" s="21"/>
      <c r="P261" s="21">
        <v>117.94</v>
      </c>
      <c r="Q261" s="21"/>
      <c r="R261" s="21" t="s">
        <v>625</v>
      </c>
      <c r="S261" s="119">
        <f>DATABASE_Table[[#This Row],[Inicial Asking Price (€) (Total)]]-DATABASE_Table[[#This Row],[Vista membership]]-DATABASE_Table[[#This Row],[FF&amp;E]]</f>
        <v>926643.76199999999</v>
      </c>
      <c r="T261" s="125">
        <v>926643.76199999999</v>
      </c>
      <c r="U261" s="124">
        <v>930000</v>
      </c>
      <c r="V261" s="21"/>
      <c r="W261" s="21"/>
      <c r="X261" s="73">
        <f>DATABASE_Table[[#This Row],[Current Asking price( Total)]]-DATABASE_Table[[#This Row],[Vista membership]]-DATABASE_Table[[#This Row],[FF&amp;E]]</f>
        <v>930000</v>
      </c>
      <c r="Y261" s="126">
        <v>0.04</v>
      </c>
      <c r="Z261" s="124">
        <v>892800</v>
      </c>
      <c r="AA261" s="73">
        <f>DATABASE_Table[[#This Row],[Sell price (Total)]]-DATABASE_Table[[#This Row],[FF&amp;E]]-DATABASE_Table[[#This Row],[Vista membership]]</f>
        <v>892800</v>
      </c>
      <c r="AB261" s="74">
        <v>46029</v>
      </c>
      <c r="AC261" s="74" t="str">
        <f t="shared" si="4"/>
        <v>Q1 2026</v>
      </c>
      <c r="AD261" s="123">
        <v>46136</v>
      </c>
      <c r="AE261" s="69"/>
      <c r="AF261" s="21" t="s">
        <v>10</v>
      </c>
      <c r="AG261" s="21" t="s">
        <v>11</v>
      </c>
      <c r="AH261" s="122" t="s">
        <v>53</v>
      </c>
      <c r="AI261" s="122" t="s">
        <v>54</v>
      </c>
      <c r="AJ261" s="122" t="s">
        <v>805</v>
      </c>
      <c r="AK261" s="122" t="s">
        <v>806</v>
      </c>
      <c r="AL261" s="21" t="s">
        <v>36</v>
      </c>
      <c r="AM261" s="122" t="s">
        <v>52</v>
      </c>
    </row>
    <row r="262" spans="1:39" customFormat="1" ht="15.75" customHeight="1" x14ac:dyDescent="0.3">
      <c r="A262" t="s">
        <v>52</v>
      </c>
      <c r="B262" s="21" t="s">
        <v>627</v>
      </c>
      <c r="C262" s="21" t="s">
        <v>688</v>
      </c>
      <c r="D262" s="117" t="s">
        <v>342</v>
      </c>
      <c r="E262" s="21" t="s">
        <v>9</v>
      </c>
      <c r="F262" s="21" t="s">
        <v>319</v>
      </c>
      <c r="G262" s="21">
        <v>260.27</v>
      </c>
      <c r="H262" s="21"/>
      <c r="I262" s="117" t="s">
        <v>843</v>
      </c>
      <c r="J262" s="117" t="s">
        <v>325</v>
      </c>
      <c r="K262" s="118">
        <v>0</v>
      </c>
      <c r="L262" s="21"/>
      <c r="M262" s="21"/>
      <c r="N262" s="21">
        <v>135.21</v>
      </c>
      <c r="O262" s="21"/>
      <c r="P262" s="21">
        <v>125.06</v>
      </c>
      <c r="Q262" s="21"/>
      <c r="R262" s="21" t="s">
        <v>625</v>
      </c>
      <c r="S262" s="119">
        <f>DATABASE_Table[[#This Row],[Inicial Asking Price (€) (Total)]]-DATABASE_Table[[#This Row],[Vista membership]]-DATABASE_Table[[#This Row],[FF&amp;E]]</f>
        <v>1042833.33</v>
      </c>
      <c r="T262" s="125">
        <v>1042833.33</v>
      </c>
      <c r="U262" s="124">
        <v>1050000</v>
      </c>
      <c r="V262" s="21"/>
      <c r="W262" s="21"/>
      <c r="X262" s="73">
        <f>DATABASE_Table[[#This Row],[Current Asking price( Total)]]-DATABASE_Table[[#This Row],[Vista membership]]-DATABASE_Table[[#This Row],[FF&amp;E]]</f>
        <v>1050000</v>
      </c>
      <c r="Y262" s="126">
        <v>0.04</v>
      </c>
      <c r="Z262" s="124">
        <v>1008000</v>
      </c>
      <c r="AA262" s="73">
        <f>DATABASE_Table[[#This Row],[Sell price (Total)]]-DATABASE_Table[[#This Row],[FF&amp;E]]-DATABASE_Table[[#This Row],[Vista membership]]</f>
        <v>1008000</v>
      </c>
      <c r="AB262" s="74">
        <v>46029</v>
      </c>
      <c r="AC262" s="74" t="str">
        <f t="shared" si="4"/>
        <v>Q1 2026</v>
      </c>
      <c r="AD262" s="123" t="s">
        <v>929</v>
      </c>
      <c r="AE262" s="69"/>
      <c r="AF262" s="21" t="s">
        <v>10</v>
      </c>
      <c r="AG262" s="21" t="s">
        <v>11</v>
      </c>
      <c r="AH262" s="122" t="s">
        <v>53</v>
      </c>
      <c r="AI262" s="122" t="s">
        <v>54</v>
      </c>
      <c r="AJ262" s="122" t="s">
        <v>805</v>
      </c>
      <c r="AK262" s="122" t="s">
        <v>806</v>
      </c>
      <c r="AL262" s="21" t="s">
        <v>36</v>
      </c>
      <c r="AM262" s="122" t="s">
        <v>52</v>
      </c>
    </row>
    <row r="263" spans="1:39" customFormat="1" ht="15.75" customHeight="1" x14ac:dyDescent="0.3">
      <c r="A263" t="s">
        <v>52</v>
      </c>
      <c r="B263" s="21" t="s">
        <v>627</v>
      </c>
      <c r="C263" s="21" t="s">
        <v>688</v>
      </c>
      <c r="D263" s="117" t="s">
        <v>343</v>
      </c>
      <c r="E263" s="21" t="s">
        <v>9</v>
      </c>
      <c r="F263" s="21" t="s">
        <v>319</v>
      </c>
      <c r="G263" s="21">
        <v>255.53</v>
      </c>
      <c r="H263" s="21"/>
      <c r="I263" s="117" t="s">
        <v>843</v>
      </c>
      <c r="J263" s="117" t="s">
        <v>325</v>
      </c>
      <c r="K263" s="118">
        <v>0</v>
      </c>
      <c r="L263" s="21"/>
      <c r="M263" s="21"/>
      <c r="N263" s="21">
        <v>130.37</v>
      </c>
      <c r="O263" s="21"/>
      <c r="P263" s="21">
        <v>125.16</v>
      </c>
      <c r="Q263" s="21"/>
      <c r="R263" s="21" t="s">
        <v>625</v>
      </c>
      <c r="S263" s="119">
        <f>DATABASE_Table[[#This Row],[Inicial Asking Price (€) (Total)]]-DATABASE_Table[[#This Row],[Vista membership]]-DATABASE_Table[[#This Row],[FF&amp;E]]</f>
        <v>1040172.21</v>
      </c>
      <c r="T263" s="125">
        <v>1040172.21</v>
      </c>
      <c r="U263" s="124">
        <v>1050000</v>
      </c>
      <c r="V263" s="21"/>
      <c r="W263" s="21"/>
      <c r="X263" s="73">
        <f>DATABASE_Table[[#This Row],[Current Asking price( Total)]]-DATABASE_Table[[#This Row],[Vista membership]]-DATABASE_Table[[#This Row],[FF&amp;E]]</f>
        <v>1050000</v>
      </c>
      <c r="Y263" s="126">
        <v>0.04</v>
      </c>
      <c r="Z263" s="124">
        <v>1008000</v>
      </c>
      <c r="AA263" s="73">
        <f>DATABASE_Table[[#This Row],[Sell price (Total)]]-DATABASE_Table[[#This Row],[FF&amp;E]]-DATABASE_Table[[#This Row],[Vista membership]]</f>
        <v>1008000</v>
      </c>
      <c r="AB263" s="74">
        <v>46029</v>
      </c>
      <c r="AC263" s="74" t="str">
        <f t="shared" si="4"/>
        <v>Q1 2026</v>
      </c>
      <c r="AD263" s="127">
        <v>46171</v>
      </c>
      <c r="AE263" s="69"/>
      <c r="AF263" s="21" t="s">
        <v>10</v>
      </c>
      <c r="AG263" s="21" t="s">
        <v>11</v>
      </c>
      <c r="AH263" s="122" t="s">
        <v>53</v>
      </c>
      <c r="AI263" s="122" t="s">
        <v>54</v>
      </c>
      <c r="AJ263" s="122" t="s">
        <v>805</v>
      </c>
      <c r="AK263" s="122" t="s">
        <v>806</v>
      </c>
      <c r="AL263" s="21" t="s">
        <v>36</v>
      </c>
      <c r="AM263" s="122" t="s">
        <v>52</v>
      </c>
    </row>
    <row r="264" spans="1:39" customFormat="1" ht="15.75" customHeight="1" x14ac:dyDescent="0.3">
      <c r="A264" t="s">
        <v>52</v>
      </c>
      <c r="B264" s="21" t="s">
        <v>627</v>
      </c>
      <c r="C264" s="21" t="s">
        <v>688</v>
      </c>
      <c r="D264" s="117" t="s">
        <v>385</v>
      </c>
      <c r="E264" s="21" t="s">
        <v>9</v>
      </c>
      <c r="F264" s="21" t="s">
        <v>319</v>
      </c>
      <c r="G264" s="21">
        <v>151.24</v>
      </c>
      <c r="H264" s="21"/>
      <c r="I264" s="117" t="s">
        <v>843</v>
      </c>
      <c r="J264" s="117" t="s">
        <v>325</v>
      </c>
      <c r="K264" s="118">
        <v>27.6</v>
      </c>
      <c r="L264" s="21"/>
      <c r="M264" s="21"/>
      <c r="N264" s="21">
        <v>0</v>
      </c>
      <c r="O264" s="21"/>
      <c r="P264" s="21">
        <v>123.64</v>
      </c>
      <c r="Q264" s="21"/>
      <c r="R264" s="21" t="s">
        <v>326</v>
      </c>
      <c r="S264" s="119">
        <f>DATABASE_Table[[#This Row],[Inicial Asking Price (€) (Total)]]-DATABASE_Table[[#This Row],[Vista membership]]-DATABASE_Table[[#This Row],[FF&amp;E]]</f>
        <v>1001272.8</v>
      </c>
      <c r="T264" s="125">
        <v>1001272.8</v>
      </c>
      <c r="U264" s="124">
        <v>1010000</v>
      </c>
      <c r="V264" s="21"/>
      <c r="W264" s="21"/>
      <c r="X264" s="73">
        <f>DATABASE_Table[[#This Row],[Current Asking price( Total)]]-DATABASE_Table[[#This Row],[Vista membership]]-DATABASE_Table[[#This Row],[FF&amp;E]]</f>
        <v>1010000</v>
      </c>
      <c r="Y264" s="126">
        <v>5.2400000000000002E-2</v>
      </c>
      <c r="Z264" s="124">
        <v>957076</v>
      </c>
      <c r="AA264" s="73">
        <f>DATABASE_Table[[#This Row],[Sell price (Total)]]-DATABASE_Table[[#This Row],[FF&amp;E]]-DATABASE_Table[[#This Row],[Vista membership]]</f>
        <v>957076</v>
      </c>
      <c r="AB264" s="74">
        <v>46029</v>
      </c>
      <c r="AC264" s="74" t="str">
        <f t="shared" si="4"/>
        <v>Q1 2026</v>
      </c>
      <c r="AD264" s="123"/>
      <c r="AE264" s="69"/>
      <c r="AF264" s="21" t="s">
        <v>10</v>
      </c>
      <c r="AG264" s="21" t="s">
        <v>11</v>
      </c>
      <c r="AH264" s="122" t="s">
        <v>53</v>
      </c>
      <c r="AI264" s="122" t="s">
        <v>54</v>
      </c>
      <c r="AJ264" s="122" t="s">
        <v>805</v>
      </c>
      <c r="AK264" s="122" t="s">
        <v>806</v>
      </c>
      <c r="AL264" s="21" t="s">
        <v>36</v>
      </c>
      <c r="AM264" s="122" t="s">
        <v>52</v>
      </c>
    </row>
    <row r="265" spans="1:39" customFormat="1" ht="15.75" customHeight="1" x14ac:dyDescent="0.3">
      <c r="A265" t="s">
        <v>52</v>
      </c>
      <c r="B265" s="21" t="s">
        <v>627</v>
      </c>
      <c r="C265" s="21" t="s">
        <v>688</v>
      </c>
      <c r="D265" s="117" t="s">
        <v>386</v>
      </c>
      <c r="E265" s="21" t="s">
        <v>9</v>
      </c>
      <c r="F265" s="21" t="s">
        <v>319</v>
      </c>
      <c r="G265" s="21">
        <v>151.25</v>
      </c>
      <c r="H265" s="21"/>
      <c r="I265" s="117" t="s">
        <v>842</v>
      </c>
      <c r="J265" s="117" t="s">
        <v>325</v>
      </c>
      <c r="K265" s="118">
        <v>27.61</v>
      </c>
      <c r="L265" s="21"/>
      <c r="M265" s="21"/>
      <c r="N265" s="21">
        <v>0</v>
      </c>
      <c r="O265" s="21"/>
      <c r="P265" s="21">
        <v>123.64</v>
      </c>
      <c r="Q265" s="21"/>
      <c r="R265" s="21" t="s">
        <v>326</v>
      </c>
      <c r="S265" s="119">
        <f>DATABASE_Table[[#This Row],[Inicial Asking Price (€) (Total)]]-DATABASE_Table[[#This Row],[Vista membership]]-DATABASE_Table[[#This Row],[FF&amp;E]]</f>
        <v>1001295.57</v>
      </c>
      <c r="T265" s="125">
        <v>1001295.57</v>
      </c>
      <c r="U265" s="124">
        <v>1010000</v>
      </c>
      <c r="V265" s="21"/>
      <c r="W265" s="21"/>
      <c r="X265" s="73">
        <f>DATABASE_Table[[#This Row],[Current Asking price( Total)]]-DATABASE_Table[[#This Row],[Vista membership]]-DATABASE_Table[[#This Row],[FF&amp;E]]</f>
        <v>1010000</v>
      </c>
      <c r="Y265" s="126">
        <v>5.2400000000000002E-2</v>
      </c>
      <c r="Z265" s="124">
        <v>957076</v>
      </c>
      <c r="AA265" s="73">
        <f>DATABASE_Table[[#This Row],[Sell price (Total)]]-DATABASE_Table[[#This Row],[FF&amp;E]]-DATABASE_Table[[#This Row],[Vista membership]]</f>
        <v>957076</v>
      </c>
      <c r="AB265" s="74">
        <v>46029</v>
      </c>
      <c r="AC265" s="74" t="str">
        <f t="shared" si="4"/>
        <v>Q1 2026</v>
      </c>
      <c r="AD265" s="123"/>
      <c r="AE265" s="69"/>
      <c r="AF265" s="21" t="s">
        <v>10</v>
      </c>
      <c r="AG265" s="21" t="s">
        <v>11</v>
      </c>
      <c r="AH265" s="122" t="s">
        <v>53</v>
      </c>
      <c r="AI265" s="122" t="s">
        <v>54</v>
      </c>
      <c r="AJ265" s="122" t="s">
        <v>805</v>
      </c>
      <c r="AK265" s="122" t="s">
        <v>806</v>
      </c>
      <c r="AL265" s="21" t="s">
        <v>36</v>
      </c>
      <c r="AM265" s="122" t="s">
        <v>52</v>
      </c>
    </row>
    <row r="266" spans="1:39" customFormat="1" ht="15.75" customHeight="1" x14ac:dyDescent="0.3">
      <c r="A266" t="s">
        <v>52</v>
      </c>
      <c r="B266" s="21" t="s">
        <v>627</v>
      </c>
      <c r="C266" s="21" t="s">
        <v>688</v>
      </c>
      <c r="D266" s="117" t="s">
        <v>395</v>
      </c>
      <c r="E266" s="21" t="s">
        <v>9</v>
      </c>
      <c r="F266" s="21" t="s">
        <v>319</v>
      </c>
      <c r="G266" s="21">
        <v>151.22999999999999</v>
      </c>
      <c r="H266" s="21"/>
      <c r="I266" s="117" t="s">
        <v>842</v>
      </c>
      <c r="J266" s="117" t="s">
        <v>325</v>
      </c>
      <c r="K266" s="118">
        <v>27.59</v>
      </c>
      <c r="L266" s="21"/>
      <c r="M266" s="21"/>
      <c r="N266" s="21">
        <v>0</v>
      </c>
      <c r="O266" s="21"/>
      <c r="P266" s="21">
        <v>123.64</v>
      </c>
      <c r="Q266" s="21"/>
      <c r="R266" s="21" t="s">
        <v>326</v>
      </c>
      <c r="S266" s="119">
        <f>DATABASE_Table[[#This Row],[Inicial Asking Price (€) (Total)]]-DATABASE_Table[[#This Row],[Vista membership]]-DATABASE_Table[[#This Row],[FF&amp;E]]</f>
        <v>1044782.64</v>
      </c>
      <c r="T266" s="125">
        <v>1044782.64</v>
      </c>
      <c r="U266" s="124">
        <v>1050000</v>
      </c>
      <c r="V266" s="21"/>
      <c r="W266" s="21"/>
      <c r="X266" s="73">
        <f>DATABASE_Table[[#This Row],[Current Asking price( Total)]]-DATABASE_Table[[#This Row],[Vista membership]]-DATABASE_Table[[#This Row],[FF&amp;E]]</f>
        <v>1050000</v>
      </c>
      <c r="Y266" s="126">
        <v>5.2400000000000002E-2</v>
      </c>
      <c r="Z266" s="124">
        <v>994980</v>
      </c>
      <c r="AA266" s="73">
        <f>DATABASE_Table[[#This Row],[Sell price (Total)]]-DATABASE_Table[[#This Row],[FF&amp;E]]-DATABASE_Table[[#This Row],[Vista membership]]</f>
        <v>994980</v>
      </c>
      <c r="AB266" s="74">
        <v>46029</v>
      </c>
      <c r="AC266" s="74" t="str">
        <f t="shared" si="4"/>
        <v>Q1 2026</v>
      </c>
      <c r="AD266" s="123"/>
      <c r="AE266" s="69"/>
      <c r="AF266" s="21" t="s">
        <v>10</v>
      </c>
      <c r="AG266" s="21" t="s">
        <v>11</v>
      </c>
      <c r="AH266" s="122" t="s">
        <v>53</v>
      </c>
      <c r="AI266" s="122" t="s">
        <v>54</v>
      </c>
      <c r="AJ266" s="122" t="s">
        <v>805</v>
      </c>
      <c r="AK266" s="122" t="s">
        <v>806</v>
      </c>
      <c r="AL266" s="21" t="s">
        <v>36</v>
      </c>
      <c r="AM266" s="122" t="s">
        <v>52</v>
      </c>
    </row>
    <row r="267" spans="1:39" customFormat="1" ht="15.75" customHeight="1" x14ac:dyDescent="0.3">
      <c r="A267" t="s">
        <v>52</v>
      </c>
      <c r="B267" s="21" t="s">
        <v>627</v>
      </c>
      <c r="C267" s="21" t="s">
        <v>688</v>
      </c>
      <c r="D267" s="117" t="s">
        <v>362</v>
      </c>
      <c r="E267" s="21" t="s">
        <v>9</v>
      </c>
      <c r="F267" s="21" t="s">
        <v>319</v>
      </c>
      <c r="G267" s="21">
        <v>151.47999999999999</v>
      </c>
      <c r="H267" s="21"/>
      <c r="I267" s="117" t="s">
        <v>843</v>
      </c>
      <c r="J267" s="117" t="s">
        <v>325</v>
      </c>
      <c r="K267" s="118">
        <v>27.61</v>
      </c>
      <c r="L267" s="21"/>
      <c r="M267" s="21"/>
      <c r="N267" s="21">
        <v>0</v>
      </c>
      <c r="O267" s="21"/>
      <c r="P267" s="21">
        <v>123.87</v>
      </c>
      <c r="Q267" s="21"/>
      <c r="R267" s="21" t="s">
        <v>326</v>
      </c>
      <c r="S267" s="119">
        <f>DATABASE_Table[[#This Row],[Inicial Asking Price (€) (Total)]]-DATABASE_Table[[#This Row],[Vista membership]]-DATABASE_Table[[#This Row],[FF&amp;E]]</f>
        <v>1064095.956</v>
      </c>
      <c r="T267" s="125">
        <v>1064095.956</v>
      </c>
      <c r="U267" s="124">
        <v>1070000</v>
      </c>
      <c r="V267" s="21"/>
      <c r="W267" s="21"/>
      <c r="X267" s="73">
        <f>DATABASE_Table[[#This Row],[Current Asking price( Total)]]-DATABASE_Table[[#This Row],[Vista membership]]-DATABASE_Table[[#This Row],[FF&amp;E]]</f>
        <v>1070000</v>
      </c>
      <c r="Y267" s="126">
        <v>0.08</v>
      </c>
      <c r="Z267" s="124">
        <v>984400</v>
      </c>
      <c r="AA267" s="73">
        <f>DATABASE_Table[[#This Row],[Sell price (Total)]]-DATABASE_Table[[#This Row],[FF&amp;E]]-DATABASE_Table[[#This Row],[Vista membership]]</f>
        <v>984400</v>
      </c>
      <c r="AB267" s="74">
        <v>46029</v>
      </c>
      <c r="AC267" s="74" t="str">
        <f t="shared" si="4"/>
        <v>Q1 2026</v>
      </c>
      <c r="AD267" s="123">
        <v>46013</v>
      </c>
      <c r="AE267" s="69"/>
      <c r="AF267" s="21" t="s">
        <v>10</v>
      </c>
      <c r="AG267" s="21" t="s">
        <v>11</v>
      </c>
      <c r="AH267" s="122" t="s">
        <v>53</v>
      </c>
      <c r="AI267" s="122" t="s">
        <v>54</v>
      </c>
      <c r="AJ267" s="122" t="s">
        <v>805</v>
      </c>
      <c r="AK267" s="122" t="s">
        <v>806</v>
      </c>
      <c r="AL267" s="21" t="s">
        <v>36</v>
      </c>
      <c r="AM267" s="122" t="s">
        <v>52</v>
      </c>
    </row>
    <row r="268" spans="1:39" customFormat="1" ht="15.75" customHeight="1" x14ac:dyDescent="0.3">
      <c r="A268" t="s">
        <v>52</v>
      </c>
      <c r="B268" s="21" t="s">
        <v>627</v>
      </c>
      <c r="C268" s="21" t="s">
        <v>688</v>
      </c>
      <c r="D268" s="117" t="s">
        <v>372</v>
      </c>
      <c r="E268" s="21" t="s">
        <v>9</v>
      </c>
      <c r="F268" s="21" t="s">
        <v>319</v>
      </c>
      <c r="G268" s="21">
        <v>151.5</v>
      </c>
      <c r="H268" s="21"/>
      <c r="I268" s="117" t="s">
        <v>843</v>
      </c>
      <c r="J268" s="117" t="s">
        <v>325</v>
      </c>
      <c r="K268" s="118">
        <v>27.61</v>
      </c>
      <c r="L268" s="21"/>
      <c r="M268" s="21"/>
      <c r="N268" s="21">
        <v>0</v>
      </c>
      <c r="O268" s="21"/>
      <c r="P268" s="21">
        <v>123.89</v>
      </c>
      <c r="Q268" s="21"/>
      <c r="R268" s="21" t="s">
        <v>326</v>
      </c>
      <c r="S268" s="119">
        <f>DATABASE_Table[[#This Row],[Inicial Asking Price (€) (Total)]]-DATABASE_Table[[#This Row],[Vista membership]]-DATABASE_Table[[#This Row],[FF&amp;E]]</f>
        <v>950852.56200000003</v>
      </c>
      <c r="T268" s="125">
        <v>950852.56200000003</v>
      </c>
      <c r="U268" s="124">
        <v>960000</v>
      </c>
      <c r="V268" s="21"/>
      <c r="W268" s="21"/>
      <c r="X268" s="73">
        <f>DATABASE_Table[[#This Row],[Current Asking price( Total)]]-DATABASE_Table[[#This Row],[Vista membership]]-DATABASE_Table[[#This Row],[FF&amp;E]]</f>
        <v>960000</v>
      </c>
      <c r="Y268" s="126">
        <v>0.08</v>
      </c>
      <c r="Z268" s="124">
        <v>883200</v>
      </c>
      <c r="AA268" s="73">
        <f>DATABASE_Table[[#This Row],[Sell price (Total)]]-DATABASE_Table[[#This Row],[FF&amp;E]]-DATABASE_Table[[#This Row],[Vista membership]]</f>
        <v>883200</v>
      </c>
      <c r="AB268" s="74">
        <v>46029</v>
      </c>
      <c r="AC268" s="74" t="str">
        <f t="shared" si="4"/>
        <v>Q1 2026</v>
      </c>
      <c r="AD268" s="123"/>
      <c r="AE268" s="69"/>
      <c r="AF268" s="21" t="s">
        <v>10</v>
      </c>
      <c r="AG268" s="21" t="s">
        <v>11</v>
      </c>
      <c r="AH268" s="122" t="s">
        <v>53</v>
      </c>
      <c r="AI268" s="122" t="s">
        <v>54</v>
      </c>
      <c r="AJ268" s="122" t="s">
        <v>805</v>
      </c>
      <c r="AK268" s="122" t="s">
        <v>806</v>
      </c>
      <c r="AL268" s="21" t="s">
        <v>36</v>
      </c>
      <c r="AM268" s="122" t="s">
        <v>52</v>
      </c>
    </row>
    <row r="269" spans="1:39" customFormat="1" ht="15.75" customHeight="1" x14ac:dyDescent="0.3">
      <c r="A269" t="s">
        <v>52</v>
      </c>
      <c r="B269" s="21" t="s">
        <v>627</v>
      </c>
      <c r="C269" s="21" t="s">
        <v>688</v>
      </c>
      <c r="D269" s="117" t="s">
        <v>391</v>
      </c>
      <c r="E269" s="21" t="s">
        <v>9</v>
      </c>
      <c r="F269" s="21" t="s">
        <v>319</v>
      </c>
      <c r="G269" s="21">
        <v>151.27000000000001</v>
      </c>
      <c r="H269" s="21"/>
      <c r="I269" s="117" t="s">
        <v>842</v>
      </c>
      <c r="J269" s="117" t="s">
        <v>325</v>
      </c>
      <c r="K269" s="118">
        <v>27.59</v>
      </c>
      <c r="L269" s="21"/>
      <c r="M269" s="21"/>
      <c r="N269" s="21">
        <v>0</v>
      </c>
      <c r="O269" s="21"/>
      <c r="P269" s="21">
        <v>123.68</v>
      </c>
      <c r="Q269" s="21"/>
      <c r="R269" s="21" t="s">
        <v>326</v>
      </c>
      <c r="S269" s="119">
        <f>DATABASE_Table[[#This Row],[Inicial Asking Price (€) (Total)]]-DATABASE_Table[[#This Row],[Vista membership]]-DATABASE_Table[[#This Row],[FF&amp;E]]</f>
        <v>1158318.5460000001</v>
      </c>
      <c r="T269" s="125">
        <v>1158318.5460000001</v>
      </c>
      <c r="U269" s="124">
        <v>1160000</v>
      </c>
      <c r="V269" s="21"/>
      <c r="W269" s="21"/>
      <c r="X269" s="73">
        <f>DATABASE_Table[[#This Row],[Current Asking price( Total)]]-DATABASE_Table[[#This Row],[Vista membership]]-DATABASE_Table[[#This Row],[FF&amp;E]]</f>
        <v>1160000</v>
      </c>
      <c r="Y269" s="126">
        <v>0.10958275862069</v>
      </c>
      <c r="Z269" s="124">
        <v>1032884</v>
      </c>
      <c r="AA269" s="73">
        <f>DATABASE_Table[[#This Row],[Sell price (Total)]]-DATABASE_Table[[#This Row],[FF&amp;E]]-DATABASE_Table[[#This Row],[Vista membership]]</f>
        <v>1032884</v>
      </c>
      <c r="AB269" s="74">
        <v>46029</v>
      </c>
      <c r="AC269" s="74" t="str">
        <f t="shared" si="4"/>
        <v>Q1 2026</v>
      </c>
      <c r="AD269" s="123"/>
      <c r="AE269" s="69"/>
      <c r="AF269" s="21" t="s">
        <v>10</v>
      </c>
      <c r="AG269" s="21" t="s">
        <v>11</v>
      </c>
      <c r="AH269" s="122" t="s">
        <v>53</v>
      </c>
      <c r="AI269" s="122" t="s">
        <v>54</v>
      </c>
      <c r="AJ269" s="122" t="s">
        <v>805</v>
      </c>
      <c r="AK269" s="122" t="s">
        <v>806</v>
      </c>
      <c r="AL269" s="21" t="s">
        <v>36</v>
      </c>
      <c r="AM269" s="122" t="s">
        <v>52</v>
      </c>
    </row>
    <row r="270" spans="1:39" customFormat="1" ht="15.75" customHeight="1" x14ac:dyDescent="0.3">
      <c r="A270" t="s">
        <v>52</v>
      </c>
      <c r="B270" s="21" t="s">
        <v>627</v>
      </c>
      <c r="C270" s="21" t="s">
        <v>688</v>
      </c>
      <c r="D270" s="117" t="s">
        <v>363</v>
      </c>
      <c r="E270" s="21" t="s">
        <v>9</v>
      </c>
      <c r="F270" s="21" t="s">
        <v>320</v>
      </c>
      <c r="G270" s="21">
        <v>195.81</v>
      </c>
      <c r="H270" s="21"/>
      <c r="I270" s="117" t="s">
        <v>844</v>
      </c>
      <c r="J270" s="117" t="s">
        <v>325</v>
      </c>
      <c r="K270" s="118">
        <v>32.97</v>
      </c>
      <c r="L270" s="21"/>
      <c r="M270" s="21"/>
      <c r="N270" s="21">
        <v>0</v>
      </c>
      <c r="O270" s="21"/>
      <c r="P270" s="21">
        <v>162.84</v>
      </c>
      <c r="Q270" s="21"/>
      <c r="R270" s="21" t="s">
        <v>329</v>
      </c>
      <c r="S270" s="119">
        <f>DATABASE_Table[[#This Row],[Inicial Asking Price (€) (Total)]]-DATABASE_Table[[#This Row],[Vista membership]]-DATABASE_Table[[#This Row],[FF&amp;E]]</f>
        <v>1369756.83</v>
      </c>
      <c r="T270" s="125">
        <v>1369756.83</v>
      </c>
      <c r="U270" s="124">
        <v>1425000</v>
      </c>
      <c r="V270" s="21"/>
      <c r="W270" s="21"/>
      <c r="X270" s="73">
        <f>DATABASE_Table[[#This Row],[Current Asking price( Total)]]-DATABASE_Table[[#This Row],[Vista membership]]-DATABASE_Table[[#This Row],[FF&amp;E]]</f>
        <v>1425000</v>
      </c>
      <c r="Y270" s="126"/>
      <c r="Z270" s="124">
        <v>1411100</v>
      </c>
      <c r="AA270" s="73">
        <f>DATABASE_Table[[#This Row],[Sell price (Total)]]-DATABASE_Table[[#This Row],[FF&amp;E]]-DATABASE_Table[[#This Row],[Vista membership]]</f>
        <v>1411100</v>
      </c>
      <c r="AB270" s="74">
        <v>46029</v>
      </c>
      <c r="AC270" s="74" t="str">
        <f t="shared" si="4"/>
        <v>Q1 2026</v>
      </c>
      <c r="AD270" s="123"/>
      <c r="AE270" s="69"/>
      <c r="AF270" s="21" t="s">
        <v>10</v>
      </c>
      <c r="AG270" s="21" t="s">
        <v>11</v>
      </c>
      <c r="AH270" s="122" t="s">
        <v>53</v>
      </c>
      <c r="AI270" s="122" t="s">
        <v>54</v>
      </c>
      <c r="AJ270" s="122" t="s">
        <v>805</v>
      </c>
      <c r="AK270" s="122" t="s">
        <v>806</v>
      </c>
      <c r="AL270" s="21" t="s">
        <v>36</v>
      </c>
      <c r="AM270" s="122" t="s">
        <v>52</v>
      </c>
    </row>
    <row r="271" spans="1:39" customFormat="1" ht="15.75" customHeight="1" x14ac:dyDescent="0.3">
      <c r="A271" t="s">
        <v>52</v>
      </c>
      <c r="B271" s="21" t="s">
        <v>627</v>
      </c>
      <c r="C271" s="21" t="s">
        <v>688</v>
      </c>
      <c r="D271" s="117" t="s">
        <v>366</v>
      </c>
      <c r="E271" s="21" t="s">
        <v>9</v>
      </c>
      <c r="F271" s="21" t="s">
        <v>320</v>
      </c>
      <c r="G271" s="21">
        <v>223.94</v>
      </c>
      <c r="H271" s="21"/>
      <c r="I271" s="117" t="s">
        <v>844</v>
      </c>
      <c r="J271" s="117" t="s">
        <v>325</v>
      </c>
      <c r="K271" s="118">
        <v>55.67</v>
      </c>
      <c r="L271" s="21"/>
      <c r="M271" s="21"/>
      <c r="N271" s="21">
        <v>0</v>
      </c>
      <c r="O271" s="21"/>
      <c r="P271" s="21">
        <v>168.27</v>
      </c>
      <c r="Q271" s="21"/>
      <c r="R271" s="21" t="s">
        <v>329</v>
      </c>
      <c r="S271" s="119">
        <f>DATABASE_Table[[#This Row],[Inicial Asking Price (€) (Total)]]-DATABASE_Table[[#This Row],[Vista membership]]-DATABASE_Table[[#This Row],[FF&amp;E]]</f>
        <v>1537842.54</v>
      </c>
      <c r="T271" s="125">
        <v>1537842.54</v>
      </c>
      <c r="U271" s="124">
        <v>1690000</v>
      </c>
      <c r="V271" s="21"/>
      <c r="W271" s="21"/>
      <c r="X271" s="73">
        <f>DATABASE_Table[[#This Row],[Current Asking price( Total)]]-DATABASE_Table[[#This Row],[Vista membership]]-DATABASE_Table[[#This Row],[FF&amp;E]]</f>
        <v>1690000</v>
      </c>
      <c r="Y271" s="126"/>
      <c r="Z271" s="124">
        <v>1586200</v>
      </c>
      <c r="AA271" s="73">
        <f>DATABASE_Table[[#This Row],[Sell price (Total)]]-DATABASE_Table[[#This Row],[FF&amp;E]]-DATABASE_Table[[#This Row],[Vista membership]]</f>
        <v>1586200</v>
      </c>
      <c r="AB271" s="74">
        <v>46029</v>
      </c>
      <c r="AC271" s="74" t="str">
        <f t="shared" si="4"/>
        <v>Q1 2026</v>
      </c>
      <c r="AD271" s="123"/>
      <c r="AE271" s="69"/>
      <c r="AF271" s="21" t="s">
        <v>10</v>
      </c>
      <c r="AG271" s="21" t="s">
        <v>11</v>
      </c>
      <c r="AH271" s="122" t="s">
        <v>53</v>
      </c>
      <c r="AI271" s="122" t="s">
        <v>54</v>
      </c>
      <c r="AJ271" s="122" t="s">
        <v>805</v>
      </c>
      <c r="AK271" s="122" t="s">
        <v>806</v>
      </c>
      <c r="AL271" s="21" t="s">
        <v>36</v>
      </c>
      <c r="AM271" s="122" t="s">
        <v>52</v>
      </c>
    </row>
    <row r="272" spans="1:39" customFormat="1" ht="15.75" customHeight="1" x14ac:dyDescent="0.3">
      <c r="A272" t="s">
        <v>52</v>
      </c>
      <c r="B272" s="21" t="s">
        <v>627</v>
      </c>
      <c r="C272" s="21" t="s">
        <v>688</v>
      </c>
      <c r="D272" s="117" t="s">
        <v>369</v>
      </c>
      <c r="E272" s="21" t="s">
        <v>9</v>
      </c>
      <c r="F272" s="21" t="s">
        <v>319</v>
      </c>
      <c r="G272" s="21">
        <v>151.37</v>
      </c>
      <c r="H272" s="21"/>
      <c r="I272" s="117" t="s">
        <v>843</v>
      </c>
      <c r="J272" s="117" t="s">
        <v>325</v>
      </c>
      <c r="K272" s="118">
        <v>27.61</v>
      </c>
      <c r="L272" s="21"/>
      <c r="M272" s="21"/>
      <c r="N272" s="21">
        <v>0</v>
      </c>
      <c r="O272" s="21"/>
      <c r="P272" s="21">
        <v>123.76</v>
      </c>
      <c r="Q272" s="21"/>
      <c r="R272" s="21" t="s">
        <v>329</v>
      </c>
      <c r="S272" s="119">
        <f>DATABASE_Table[[#This Row],[Inicial Asking Price (€) (Total)]]-DATABASE_Table[[#This Row],[Vista membership]]-DATABASE_Table[[#This Row],[FF&amp;E]]</f>
        <v>949917.34199999995</v>
      </c>
      <c r="T272" s="125">
        <v>949917.34199999995</v>
      </c>
      <c r="U272" s="124">
        <v>950000</v>
      </c>
      <c r="V272" s="21"/>
      <c r="W272" s="21"/>
      <c r="X272" s="73">
        <f>DATABASE_Table[[#This Row],[Current Asking price( Total)]]-DATABASE_Table[[#This Row],[Vista membership]]-DATABASE_Table[[#This Row],[FF&amp;E]]</f>
        <v>950000</v>
      </c>
      <c r="Y272" s="126"/>
      <c r="Z272" s="124">
        <v>950000</v>
      </c>
      <c r="AA272" s="73">
        <f>DATABASE_Table[[#This Row],[Sell price (Total)]]-DATABASE_Table[[#This Row],[FF&amp;E]]-DATABASE_Table[[#This Row],[Vista membership]]</f>
        <v>950000</v>
      </c>
      <c r="AB272" s="74">
        <v>46029</v>
      </c>
      <c r="AC272" s="74" t="str">
        <f t="shared" si="4"/>
        <v>Q1 2026</v>
      </c>
      <c r="AD272" s="123"/>
      <c r="AE272" s="69"/>
      <c r="AF272" s="21" t="s">
        <v>10</v>
      </c>
      <c r="AG272" s="21" t="s">
        <v>11</v>
      </c>
      <c r="AH272" s="122" t="s">
        <v>53</v>
      </c>
      <c r="AI272" s="122" t="s">
        <v>54</v>
      </c>
      <c r="AJ272" s="122" t="s">
        <v>805</v>
      </c>
      <c r="AK272" s="122" t="s">
        <v>806</v>
      </c>
      <c r="AL272" s="21" t="s">
        <v>36</v>
      </c>
      <c r="AM272" s="122" t="s">
        <v>52</v>
      </c>
    </row>
    <row r="273" spans="1:39" customFormat="1" ht="15.75" customHeight="1" x14ac:dyDescent="0.3">
      <c r="A273" t="s">
        <v>52</v>
      </c>
      <c r="B273" s="21" t="s">
        <v>627</v>
      </c>
      <c r="C273" s="21" t="s">
        <v>688</v>
      </c>
      <c r="D273" s="117" t="s">
        <v>370</v>
      </c>
      <c r="E273" s="21" t="s">
        <v>9</v>
      </c>
      <c r="F273" s="21" t="s">
        <v>319</v>
      </c>
      <c r="G273" s="21">
        <v>151.24</v>
      </c>
      <c r="H273" s="21"/>
      <c r="I273" s="117" t="s">
        <v>844</v>
      </c>
      <c r="J273" s="117" t="s">
        <v>325</v>
      </c>
      <c r="K273" s="118">
        <v>27.6</v>
      </c>
      <c r="L273" s="21"/>
      <c r="M273" s="21"/>
      <c r="N273" s="21">
        <v>0</v>
      </c>
      <c r="O273" s="21"/>
      <c r="P273" s="21">
        <v>123.64</v>
      </c>
      <c r="Q273" s="21"/>
      <c r="R273" s="21" t="s">
        <v>329</v>
      </c>
      <c r="S273" s="119">
        <f>DATABASE_Table[[#This Row],[Inicial Asking Price (€) (Total)]]-DATABASE_Table[[#This Row],[Vista membership]]-DATABASE_Table[[#This Row],[FF&amp;E]]</f>
        <v>949032.48</v>
      </c>
      <c r="T273" s="125">
        <v>949032.48</v>
      </c>
      <c r="U273" s="124">
        <v>950000</v>
      </c>
      <c r="V273" s="21"/>
      <c r="W273" s="21"/>
      <c r="X273" s="73">
        <f>DATABASE_Table[[#This Row],[Current Asking price( Total)]]-DATABASE_Table[[#This Row],[Vista membership]]-DATABASE_Table[[#This Row],[FF&amp;E]]</f>
        <v>950000</v>
      </c>
      <c r="Y273" s="126"/>
      <c r="Z273" s="124">
        <v>950000</v>
      </c>
      <c r="AA273" s="73">
        <f>DATABASE_Table[[#This Row],[Sell price (Total)]]-DATABASE_Table[[#This Row],[FF&amp;E]]-DATABASE_Table[[#This Row],[Vista membership]]</f>
        <v>950000</v>
      </c>
      <c r="AB273" s="74">
        <v>46029</v>
      </c>
      <c r="AC273" s="74" t="str">
        <f t="shared" si="4"/>
        <v>Q1 2026</v>
      </c>
      <c r="AD273" s="123"/>
      <c r="AE273" s="69"/>
      <c r="AF273" s="21" t="s">
        <v>10</v>
      </c>
      <c r="AG273" s="21" t="s">
        <v>11</v>
      </c>
      <c r="AH273" s="122" t="s">
        <v>53</v>
      </c>
      <c r="AI273" s="122" t="s">
        <v>54</v>
      </c>
      <c r="AJ273" s="122" t="s">
        <v>805</v>
      </c>
      <c r="AK273" s="122" t="s">
        <v>806</v>
      </c>
      <c r="AL273" s="21" t="s">
        <v>36</v>
      </c>
      <c r="AM273" s="122" t="s">
        <v>52</v>
      </c>
    </row>
    <row r="274" spans="1:39" customFormat="1" ht="15.75" customHeight="1" x14ac:dyDescent="0.3">
      <c r="A274" t="s">
        <v>52</v>
      </c>
      <c r="B274" s="21" t="s">
        <v>627</v>
      </c>
      <c r="C274" s="21" t="s">
        <v>688</v>
      </c>
      <c r="D274" s="117" t="s">
        <v>371</v>
      </c>
      <c r="E274" s="21" t="s">
        <v>9</v>
      </c>
      <c r="F274" s="21" t="s">
        <v>319</v>
      </c>
      <c r="G274" s="21">
        <v>151.25</v>
      </c>
      <c r="H274" s="21"/>
      <c r="I274" s="117" t="s">
        <v>843</v>
      </c>
      <c r="J274" s="117" t="s">
        <v>325</v>
      </c>
      <c r="K274" s="118">
        <v>27.61</v>
      </c>
      <c r="L274" s="21"/>
      <c r="M274" s="21"/>
      <c r="N274" s="21">
        <v>0</v>
      </c>
      <c r="O274" s="21"/>
      <c r="P274" s="21">
        <v>123.64</v>
      </c>
      <c r="Q274" s="21"/>
      <c r="R274" s="21" t="s">
        <v>329</v>
      </c>
      <c r="S274" s="119">
        <f>DATABASE_Table[[#This Row],[Inicial Asking Price (€) (Total)]]-DATABASE_Table[[#This Row],[Vista membership]]-DATABASE_Table[[#This Row],[FF&amp;E]]</f>
        <v>949054.06200000003</v>
      </c>
      <c r="T274" s="125">
        <v>949054.06200000003</v>
      </c>
      <c r="U274" s="124">
        <v>995000</v>
      </c>
      <c r="V274" s="21"/>
      <c r="W274" s="21"/>
      <c r="X274" s="73">
        <f>DATABASE_Table[[#This Row],[Current Asking price( Total)]]-DATABASE_Table[[#This Row],[Vista membership]]-DATABASE_Table[[#This Row],[FF&amp;E]]</f>
        <v>995000</v>
      </c>
      <c r="Y274" s="126"/>
      <c r="Z274" s="124">
        <v>978500</v>
      </c>
      <c r="AA274" s="73">
        <f>DATABASE_Table[[#This Row],[Sell price (Total)]]-DATABASE_Table[[#This Row],[FF&amp;E]]-DATABASE_Table[[#This Row],[Vista membership]]</f>
        <v>978500</v>
      </c>
      <c r="AB274" s="74">
        <v>46029</v>
      </c>
      <c r="AC274" s="74" t="str">
        <f t="shared" si="4"/>
        <v>Q1 2026</v>
      </c>
      <c r="AD274" s="123"/>
      <c r="AE274" s="69"/>
      <c r="AF274" s="21" t="s">
        <v>10</v>
      </c>
      <c r="AG274" s="21" t="s">
        <v>11</v>
      </c>
      <c r="AH274" s="122" t="s">
        <v>53</v>
      </c>
      <c r="AI274" s="122" t="s">
        <v>54</v>
      </c>
      <c r="AJ274" s="122" t="s">
        <v>805</v>
      </c>
      <c r="AK274" s="122" t="s">
        <v>806</v>
      </c>
      <c r="AL274" s="21" t="s">
        <v>36</v>
      </c>
      <c r="AM274" s="122" t="s">
        <v>52</v>
      </c>
    </row>
    <row r="275" spans="1:39" customFormat="1" ht="15.75" customHeight="1" x14ac:dyDescent="0.3">
      <c r="A275" t="s">
        <v>52</v>
      </c>
      <c r="B275" s="21" t="s">
        <v>627</v>
      </c>
      <c r="C275" s="21" t="s">
        <v>688</v>
      </c>
      <c r="D275" s="117" t="s">
        <v>373</v>
      </c>
      <c r="E275" s="21" t="s">
        <v>9</v>
      </c>
      <c r="F275" s="21" t="s">
        <v>320</v>
      </c>
      <c r="G275" s="21">
        <v>224.06</v>
      </c>
      <c r="H275" s="21"/>
      <c r="I275" s="117" t="s">
        <v>844</v>
      </c>
      <c r="J275" s="117" t="s">
        <v>325</v>
      </c>
      <c r="K275" s="118">
        <v>55.65</v>
      </c>
      <c r="L275" s="21"/>
      <c r="M275" s="21"/>
      <c r="N275" s="21">
        <v>0</v>
      </c>
      <c r="O275" s="21"/>
      <c r="P275" s="21">
        <v>168.41</v>
      </c>
      <c r="Q275" s="21"/>
      <c r="R275" s="21" t="s">
        <v>329</v>
      </c>
      <c r="S275" s="119">
        <f>DATABASE_Table[[#This Row],[Inicial Asking Price (€) (Total)]]-DATABASE_Table[[#This Row],[Vista membership]]-DATABASE_Table[[#This Row],[FF&amp;E]]</f>
        <v>1562843.1</v>
      </c>
      <c r="T275" s="125">
        <v>1562843.1</v>
      </c>
      <c r="U275" s="124">
        <v>1575000</v>
      </c>
      <c r="V275" s="21"/>
      <c r="W275" s="21"/>
      <c r="X275" s="73">
        <f>DATABASE_Table[[#This Row],[Current Asking price( Total)]]-DATABASE_Table[[#This Row],[Vista membership]]-DATABASE_Table[[#This Row],[FF&amp;E]]</f>
        <v>1575000</v>
      </c>
      <c r="Y275" s="126"/>
      <c r="Z275" s="124">
        <v>1570000</v>
      </c>
      <c r="AA275" s="73">
        <f>DATABASE_Table[[#This Row],[Sell price (Total)]]-DATABASE_Table[[#This Row],[FF&amp;E]]-DATABASE_Table[[#This Row],[Vista membership]]</f>
        <v>1570000</v>
      </c>
      <c r="AB275" s="74">
        <v>46029</v>
      </c>
      <c r="AC275" s="74" t="str">
        <f t="shared" si="4"/>
        <v>Q1 2026</v>
      </c>
      <c r="AD275" s="123"/>
      <c r="AE275" s="69"/>
      <c r="AF275" s="21" t="s">
        <v>10</v>
      </c>
      <c r="AG275" s="21" t="s">
        <v>11</v>
      </c>
      <c r="AH275" s="122" t="s">
        <v>53</v>
      </c>
      <c r="AI275" s="122" t="s">
        <v>54</v>
      </c>
      <c r="AJ275" s="122" t="s">
        <v>805</v>
      </c>
      <c r="AK275" s="122" t="s">
        <v>806</v>
      </c>
      <c r="AL275" s="21" t="s">
        <v>36</v>
      </c>
      <c r="AM275" s="122" t="s">
        <v>52</v>
      </c>
    </row>
    <row r="276" spans="1:39" customFormat="1" ht="15.75" customHeight="1" x14ac:dyDescent="0.3">
      <c r="A276" t="s">
        <v>52</v>
      </c>
      <c r="B276" s="21" t="s">
        <v>627</v>
      </c>
      <c r="C276" s="21" t="s">
        <v>688</v>
      </c>
      <c r="D276" s="117" t="s">
        <v>375</v>
      </c>
      <c r="E276" s="21" t="s">
        <v>9</v>
      </c>
      <c r="F276" s="21" t="s">
        <v>321</v>
      </c>
      <c r="G276" s="21">
        <v>394.05</v>
      </c>
      <c r="H276" s="21"/>
      <c r="I276" s="117" t="s">
        <v>843</v>
      </c>
      <c r="J276" s="117" t="s">
        <v>325</v>
      </c>
      <c r="K276" s="118">
        <v>55.75</v>
      </c>
      <c r="L276" s="21"/>
      <c r="M276" s="21"/>
      <c r="N276" s="21">
        <v>140.94</v>
      </c>
      <c r="O276" s="21"/>
      <c r="P276" s="21">
        <v>197.36</v>
      </c>
      <c r="Q276" s="21"/>
      <c r="R276" s="21" t="s">
        <v>329</v>
      </c>
      <c r="S276" s="119">
        <f>DATABASE_Table[[#This Row],[Inicial Asking Price (€) (Total)]]-DATABASE_Table[[#This Row],[Vista membership]]-DATABASE_Table[[#This Row],[FF&amp;E]]</f>
        <v>2355679.41</v>
      </c>
      <c r="T276" s="125">
        <v>2355679.41</v>
      </c>
      <c r="U276" s="124">
        <v>2375000</v>
      </c>
      <c r="V276" s="21"/>
      <c r="W276" s="21"/>
      <c r="X276" s="73">
        <f>DATABASE_Table[[#This Row],[Current Asking price( Total)]]-DATABASE_Table[[#This Row],[Vista membership]]-DATABASE_Table[[#This Row],[FF&amp;E]]</f>
        <v>2375000</v>
      </c>
      <c r="Y276" s="126"/>
      <c r="Z276" s="124">
        <v>2360000</v>
      </c>
      <c r="AA276" s="73">
        <f>DATABASE_Table[[#This Row],[Sell price (Total)]]-DATABASE_Table[[#This Row],[FF&amp;E]]-DATABASE_Table[[#This Row],[Vista membership]]</f>
        <v>2360000</v>
      </c>
      <c r="AB276" s="74">
        <v>46029</v>
      </c>
      <c r="AC276" s="74" t="str">
        <f t="shared" si="4"/>
        <v>Q1 2026</v>
      </c>
      <c r="AD276" s="123"/>
      <c r="AE276" s="69"/>
      <c r="AF276" s="21" t="s">
        <v>10</v>
      </c>
      <c r="AG276" s="21" t="s">
        <v>11</v>
      </c>
      <c r="AH276" s="122" t="s">
        <v>53</v>
      </c>
      <c r="AI276" s="122" t="s">
        <v>54</v>
      </c>
      <c r="AJ276" s="122" t="s">
        <v>805</v>
      </c>
      <c r="AK276" s="122" t="s">
        <v>806</v>
      </c>
      <c r="AL276" s="21" t="s">
        <v>36</v>
      </c>
      <c r="AM276" s="122" t="s">
        <v>52</v>
      </c>
    </row>
    <row r="277" spans="1:39" customFormat="1" ht="15.75" customHeight="1" x14ac:dyDescent="0.3">
      <c r="A277" t="s">
        <v>52</v>
      </c>
      <c r="B277" s="21" t="s">
        <v>627</v>
      </c>
      <c r="C277" s="21" t="s">
        <v>688</v>
      </c>
      <c r="D277" s="117" t="s">
        <v>376</v>
      </c>
      <c r="E277" s="21" t="s">
        <v>9</v>
      </c>
      <c r="F277" s="21" t="s">
        <v>320</v>
      </c>
      <c r="G277" s="21">
        <v>195.9</v>
      </c>
      <c r="H277" s="21"/>
      <c r="I277" s="117" t="s">
        <v>843</v>
      </c>
      <c r="J277" s="117" t="s">
        <v>325</v>
      </c>
      <c r="K277" s="118">
        <v>32.97</v>
      </c>
      <c r="L277" s="21"/>
      <c r="M277" s="21"/>
      <c r="N277" s="21">
        <v>0</v>
      </c>
      <c r="O277" s="21"/>
      <c r="P277" s="21">
        <v>162.93</v>
      </c>
      <c r="Q277" s="21"/>
      <c r="R277" s="21" t="s">
        <v>329</v>
      </c>
      <c r="S277" s="119">
        <f>DATABASE_Table[[#This Row],[Inicial Asking Price (€) (Total)]]-DATABASE_Table[[#This Row],[Vista membership]]-DATABASE_Table[[#This Row],[FF&amp;E]]</f>
        <v>1437870.72</v>
      </c>
      <c r="T277" s="125">
        <v>1437870.72</v>
      </c>
      <c r="U277" s="124">
        <v>1500000</v>
      </c>
      <c r="V277" s="21"/>
      <c r="W277" s="21"/>
      <c r="X277" s="73">
        <f>DATABASE_Table[[#This Row],[Current Asking price( Total)]]-DATABASE_Table[[#This Row],[Vista membership]]-DATABASE_Table[[#This Row],[FF&amp;E]]</f>
        <v>1500000</v>
      </c>
      <c r="Y277" s="126"/>
      <c r="Z277" s="124">
        <v>1483200</v>
      </c>
      <c r="AA277" s="73">
        <f>DATABASE_Table[[#This Row],[Sell price (Total)]]-DATABASE_Table[[#This Row],[FF&amp;E]]-DATABASE_Table[[#This Row],[Vista membership]]</f>
        <v>1483200</v>
      </c>
      <c r="AB277" s="74">
        <v>46029</v>
      </c>
      <c r="AC277" s="74" t="str">
        <f t="shared" si="4"/>
        <v>Q1 2026</v>
      </c>
      <c r="AD277" s="123"/>
      <c r="AE277" s="69"/>
      <c r="AF277" s="21" t="s">
        <v>10</v>
      </c>
      <c r="AG277" s="21" t="s">
        <v>11</v>
      </c>
      <c r="AH277" s="122" t="s">
        <v>53</v>
      </c>
      <c r="AI277" s="122" t="s">
        <v>54</v>
      </c>
      <c r="AJ277" s="122" t="s">
        <v>805</v>
      </c>
      <c r="AK277" s="122" t="s">
        <v>806</v>
      </c>
      <c r="AL277" s="21" t="s">
        <v>36</v>
      </c>
      <c r="AM277" s="122" t="s">
        <v>52</v>
      </c>
    </row>
    <row r="278" spans="1:39" customFormat="1" ht="15.75" customHeight="1" x14ac:dyDescent="0.3">
      <c r="A278" t="s">
        <v>52</v>
      </c>
      <c r="B278" s="21" t="s">
        <v>627</v>
      </c>
      <c r="C278" s="21" t="s">
        <v>688</v>
      </c>
      <c r="D278" s="117" t="s">
        <v>377</v>
      </c>
      <c r="E278" s="21" t="s">
        <v>9</v>
      </c>
      <c r="F278" s="21" t="s">
        <v>319</v>
      </c>
      <c r="G278" s="21">
        <v>151.36000000000001</v>
      </c>
      <c r="H278" s="21"/>
      <c r="I278" s="117" t="s">
        <v>843</v>
      </c>
      <c r="J278" s="117" t="s">
        <v>325</v>
      </c>
      <c r="K278" s="118">
        <v>27.6</v>
      </c>
      <c r="L278" s="21"/>
      <c r="M278" s="21"/>
      <c r="N278" s="21">
        <v>0</v>
      </c>
      <c r="O278" s="21"/>
      <c r="P278" s="21">
        <v>123.76</v>
      </c>
      <c r="Q278" s="21"/>
      <c r="R278" s="21" t="s">
        <v>329</v>
      </c>
      <c r="S278" s="119">
        <f>DATABASE_Table[[#This Row],[Inicial Asking Price (€) (Total)]]-DATABASE_Table[[#This Row],[Vista membership]]-DATABASE_Table[[#This Row],[FF&amp;E]]</f>
        <v>1115473.9199999999</v>
      </c>
      <c r="T278" s="125">
        <v>1115473.9199999999</v>
      </c>
      <c r="U278" s="124">
        <v>1175000</v>
      </c>
      <c r="V278" s="21"/>
      <c r="W278" s="21"/>
      <c r="X278" s="73">
        <f>DATABASE_Table[[#This Row],[Current Asking price( Total)]]-DATABASE_Table[[#This Row],[Vista membership]]-DATABASE_Table[[#This Row],[FF&amp;E]]</f>
        <v>1175000</v>
      </c>
      <c r="Y278" s="126"/>
      <c r="Z278" s="124">
        <v>1120000</v>
      </c>
      <c r="AA278" s="73">
        <f>DATABASE_Table[[#This Row],[Sell price (Total)]]-DATABASE_Table[[#This Row],[FF&amp;E]]-DATABASE_Table[[#This Row],[Vista membership]]</f>
        <v>1120000</v>
      </c>
      <c r="AB278" s="74">
        <v>46029</v>
      </c>
      <c r="AC278" s="74" t="str">
        <f t="shared" si="4"/>
        <v>Q1 2026</v>
      </c>
      <c r="AD278" s="123"/>
      <c r="AE278" s="69"/>
      <c r="AF278" s="21" t="s">
        <v>10</v>
      </c>
      <c r="AG278" s="21" t="s">
        <v>11</v>
      </c>
      <c r="AH278" s="122" t="s">
        <v>53</v>
      </c>
      <c r="AI278" s="122" t="s">
        <v>54</v>
      </c>
      <c r="AJ278" s="122" t="s">
        <v>805</v>
      </c>
      <c r="AK278" s="122" t="s">
        <v>806</v>
      </c>
      <c r="AL278" s="21" t="s">
        <v>36</v>
      </c>
      <c r="AM278" s="122" t="s">
        <v>52</v>
      </c>
    </row>
    <row r="279" spans="1:39" customFormat="1" ht="15.75" customHeight="1" x14ac:dyDescent="0.3">
      <c r="A279" t="s">
        <v>52</v>
      </c>
      <c r="B279" s="21" t="s">
        <v>627</v>
      </c>
      <c r="C279" s="21" t="s">
        <v>688</v>
      </c>
      <c r="D279" s="117" t="s">
        <v>378</v>
      </c>
      <c r="E279" s="21" t="s">
        <v>9</v>
      </c>
      <c r="F279" s="21" t="s">
        <v>321</v>
      </c>
      <c r="G279" s="21">
        <v>390.53</v>
      </c>
      <c r="H279" s="21"/>
      <c r="I279" s="117" t="s">
        <v>843</v>
      </c>
      <c r="J279" s="117" t="s">
        <v>325</v>
      </c>
      <c r="K279" s="118">
        <v>55.75</v>
      </c>
      <c r="L279" s="21"/>
      <c r="M279" s="21"/>
      <c r="N279" s="21">
        <v>137.41999999999999</v>
      </c>
      <c r="O279" s="21"/>
      <c r="P279" s="21">
        <v>197.36</v>
      </c>
      <c r="Q279" s="21"/>
      <c r="R279" s="21" t="s">
        <v>329</v>
      </c>
      <c r="S279" s="119">
        <f>DATABASE_Table[[#This Row],[Inicial Asking Price (€) (Total)]]-DATABASE_Table[[#This Row],[Vista membership]]-DATABASE_Table[[#This Row],[FF&amp;E]]</f>
        <v>2452859.787</v>
      </c>
      <c r="T279" s="125">
        <v>2452859.787</v>
      </c>
      <c r="U279" s="124">
        <v>2533800</v>
      </c>
      <c r="V279" s="21"/>
      <c r="W279" s="21"/>
      <c r="X279" s="73">
        <f>DATABASE_Table[[#This Row],[Current Asking price( Total)]]-DATABASE_Table[[#This Row],[Vista membership]]-DATABASE_Table[[#This Row],[FF&amp;E]]</f>
        <v>2533800</v>
      </c>
      <c r="Y279" s="126"/>
      <c r="Z279" s="124">
        <v>2533800</v>
      </c>
      <c r="AA279" s="73">
        <f>DATABASE_Table[[#This Row],[Sell price (Total)]]-DATABASE_Table[[#This Row],[FF&amp;E]]-DATABASE_Table[[#This Row],[Vista membership]]</f>
        <v>2533800</v>
      </c>
      <c r="AB279" s="74">
        <v>46029</v>
      </c>
      <c r="AC279" s="74" t="str">
        <f t="shared" si="4"/>
        <v>Q1 2026</v>
      </c>
      <c r="AD279" s="123"/>
      <c r="AE279" s="69"/>
      <c r="AF279" s="21" t="s">
        <v>10</v>
      </c>
      <c r="AG279" s="21" t="s">
        <v>11</v>
      </c>
      <c r="AH279" s="122" t="s">
        <v>53</v>
      </c>
      <c r="AI279" s="122" t="s">
        <v>54</v>
      </c>
      <c r="AJ279" s="122" t="s">
        <v>805</v>
      </c>
      <c r="AK279" s="122" t="s">
        <v>806</v>
      </c>
      <c r="AL279" s="21" t="s">
        <v>36</v>
      </c>
      <c r="AM279" s="122" t="s">
        <v>52</v>
      </c>
    </row>
    <row r="280" spans="1:39" customFormat="1" ht="15.75" customHeight="1" x14ac:dyDescent="0.3">
      <c r="A280" t="s">
        <v>52</v>
      </c>
      <c r="B280" s="21" t="s">
        <v>627</v>
      </c>
      <c r="C280" s="21" t="s">
        <v>688</v>
      </c>
      <c r="D280" s="117" t="s">
        <v>379</v>
      </c>
      <c r="E280" s="21" t="s">
        <v>9</v>
      </c>
      <c r="F280" s="21" t="s">
        <v>320</v>
      </c>
      <c r="G280" s="21">
        <v>223.92</v>
      </c>
      <c r="H280" s="21"/>
      <c r="I280" s="117" t="s">
        <v>843</v>
      </c>
      <c r="J280" s="117" t="s">
        <v>325</v>
      </c>
      <c r="K280" s="118">
        <v>55.65</v>
      </c>
      <c r="L280" s="21"/>
      <c r="M280" s="21"/>
      <c r="N280" s="21">
        <v>0</v>
      </c>
      <c r="O280" s="21"/>
      <c r="P280" s="21">
        <v>168.27</v>
      </c>
      <c r="Q280" s="21"/>
      <c r="R280" s="21" t="s">
        <v>329</v>
      </c>
      <c r="S280" s="119">
        <f>DATABASE_Table[[#This Row],[Inicial Asking Price (€) (Total)]]-DATABASE_Table[[#This Row],[Vista membership]]-DATABASE_Table[[#This Row],[FF&amp;E]]</f>
        <v>1609335</v>
      </c>
      <c r="T280" s="125">
        <v>1609335</v>
      </c>
      <c r="U280" s="124">
        <v>1675000</v>
      </c>
      <c r="V280" s="21"/>
      <c r="W280" s="21"/>
      <c r="X280" s="73">
        <f>DATABASE_Table[[#This Row],[Current Asking price( Total)]]-DATABASE_Table[[#This Row],[Vista membership]]-DATABASE_Table[[#This Row],[FF&amp;E]]</f>
        <v>1675000</v>
      </c>
      <c r="Y280" s="126"/>
      <c r="Z280" s="124">
        <v>1674400</v>
      </c>
      <c r="AA280" s="73">
        <f>DATABASE_Table[[#This Row],[Sell price (Total)]]-DATABASE_Table[[#This Row],[FF&amp;E]]-DATABASE_Table[[#This Row],[Vista membership]]</f>
        <v>1674400</v>
      </c>
      <c r="AB280" s="74">
        <v>46029</v>
      </c>
      <c r="AC280" s="74" t="str">
        <f t="shared" si="4"/>
        <v>Q1 2026</v>
      </c>
      <c r="AD280" s="123"/>
      <c r="AE280" s="69"/>
      <c r="AF280" s="21" t="s">
        <v>10</v>
      </c>
      <c r="AG280" s="21" t="s">
        <v>11</v>
      </c>
      <c r="AH280" s="122" t="s">
        <v>53</v>
      </c>
      <c r="AI280" s="122" t="s">
        <v>54</v>
      </c>
      <c r="AJ280" s="122" t="s">
        <v>805</v>
      </c>
      <c r="AK280" s="122" t="s">
        <v>806</v>
      </c>
      <c r="AL280" s="21" t="s">
        <v>36</v>
      </c>
      <c r="AM280" s="122" t="s">
        <v>52</v>
      </c>
    </row>
    <row r="281" spans="1:39" customFormat="1" ht="15.75" customHeight="1" x14ac:dyDescent="0.3">
      <c r="A281" t="s">
        <v>52</v>
      </c>
      <c r="B281" s="21" t="s">
        <v>627</v>
      </c>
      <c r="C281" s="21" t="s">
        <v>688</v>
      </c>
      <c r="D281" s="117" t="s">
        <v>380</v>
      </c>
      <c r="E281" s="21" t="s">
        <v>9</v>
      </c>
      <c r="F281" s="21" t="s">
        <v>319</v>
      </c>
      <c r="G281" s="21">
        <v>146.43</v>
      </c>
      <c r="H281" s="21"/>
      <c r="I281" s="117" t="s">
        <v>843</v>
      </c>
      <c r="J281" s="117" t="s">
        <v>325</v>
      </c>
      <c r="K281" s="118">
        <v>28.49</v>
      </c>
      <c r="L281" s="21"/>
      <c r="M281" s="21"/>
      <c r="N281" s="21">
        <v>0</v>
      </c>
      <c r="O281" s="21"/>
      <c r="P281" s="21">
        <v>117.94</v>
      </c>
      <c r="Q281" s="21"/>
      <c r="R281" s="21" t="s">
        <v>329</v>
      </c>
      <c r="S281" s="119">
        <f>DATABASE_Table[[#This Row],[Inicial Asking Price (€) (Total)]]-DATABASE_Table[[#This Row],[Vista membership]]-DATABASE_Table[[#This Row],[FF&amp;E]]</f>
        <v>976732.61399999994</v>
      </c>
      <c r="T281" s="125">
        <v>976732.61399999994</v>
      </c>
      <c r="U281" s="124">
        <v>980000</v>
      </c>
      <c r="V281" s="21"/>
      <c r="W281" s="21"/>
      <c r="X281" s="73">
        <f>DATABASE_Table[[#This Row],[Current Asking price( Total)]]-DATABASE_Table[[#This Row],[Vista membership]]-DATABASE_Table[[#This Row],[FF&amp;E]]</f>
        <v>980000</v>
      </c>
      <c r="Y281" s="126"/>
      <c r="Z281" s="124">
        <v>980000</v>
      </c>
      <c r="AA281" s="73">
        <f>DATABASE_Table[[#This Row],[Sell price (Total)]]-DATABASE_Table[[#This Row],[FF&amp;E]]-DATABASE_Table[[#This Row],[Vista membership]]</f>
        <v>980000</v>
      </c>
      <c r="AB281" s="74">
        <v>46029</v>
      </c>
      <c r="AC281" s="74" t="str">
        <f t="shared" si="4"/>
        <v>Q1 2026</v>
      </c>
      <c r="AD281" s="123"/>
      <c r="AE281" s="69"/>
      <c r="AF281" s="21" t="s">
        <v>10</v>
      </c>
      <c r="AG281" s="21" t="s">
        <v>11</v>
      </c>
      <c r="AH281" s="122" t="s">
        <v>53</v>
      </c>
      <c r="AI281" s="122" t="s">
        <v>54</v>
      </c>
      <c r="AJ281" s="122" t="s">
        <v>805</v>
      </c>
      <c r="AK281" s="122" t="s">
        <v>806</v>
      </c>
      <c r="AL281" s="21" t="s">
        <v>36</v>
      </c>
      <c r="AM281" s="122" t="s">
        <v>52</v>
      </c>
    </row>
    <row r="282" spans="1:39" customFormat="1" ht="15.75" customHeight="1" x14ac:dyDescent="0.3">
      <c r="A282" t="s">
        <v>52</v>
      </c>
      <c r="B282" s="21" t="s">
        <v>627</v>
      </c>
      <c r="C282" s="21" t="s">
        <v>688</v>
      </c>
      <c r="D282" s="117" t="s">
        <v>381</v>
      </c>
      <c r="E282" s="21" t="s">
        <v>9</v>
      </c>
      <c r="F282" s="21" t="s">
        <v>319</v>
      </c>
      <c r="G282" s="21">
        <v>142.88</v>
      </c>
      <c r="H282" s="21"/>
      <c r="I282" s="117" t="s">
        <v>843</v>
      </c>
      <c r="J282" s="117" t="s">
        <v>325</v>
      </c>
      <c r="K282" s="118">
        <v>28.39</v>
      </c>
      <c r="L282" s="21"/>
      <c r="M282" s="21"/>
      <c r="N282" s="21">
        <v>0</v>
      </c>
      <c r="O282" s="21"/>
      <c r="P282" s="21">
        <v>114.49</v>
      </c>
      <c r="Q282" s="21"/>
      <c r="R282" s="21" t="s">
        <v>329</v>
      </c>
      <c r="S282" s="119">
        <f>DATABASE_Table[[#This Row],[Inicial Asking Price (€) (Total)]]-DATABASE_Table[[#This Row],[Vista membership]]-DATABASE_Table[[#This Row],[FF&amp;E]]</f>
        <v>998570.826</v>
      </c>
      <c r="T282" s="125">
        <v>998570.826</v>
      </c>
      <c r="U282" s="124">
        <v>1050000</v>
      </c>
      <c r="V282" s="21"/>
      <c r="W282" s="21"/>
      <c r="X282" s="73">
        <f>DATABASE_Table[[#This Row],[Current Asking price( Total)]]-DATABASE_Table[[#This Row],[Vista membership]]-DATABASE_Table[[#This Row],[FF&amp;E]]</f>
        <v>1050000</v>
      </c>
      <c r="Y282" s="126"/>
      <c r="Z282" s="124">
        <v>1030000</v>
      </c>
      <c r="AA282" s="73">
        <f>DATABASE_Table[[#This Row],[Sell price (Total)]]-DATABASE_Table[[#This Row],[FF&amp;E]]-DATABASE_Table[[#This Row],[Vista membership]]</f>
        <v>1030000</v>
      </c>
      <c r="AB282" s="74">
        <v>46029</v>
      </c>
      <c r="AC282" s="74" t="str">
        <f t="shared" si="4"/>
        <v>Q1 2026</v>
      </c>
      <c r="AD282" s="123"/>
      <c r="AE282" s="69"/>
      <c r="AF282" s="21" t="s">
        <v>10</v>
      </c>
      <c r="AG282" s="21" t="s">
        <v>11</v>
      </c>
      <c r="AH282" s="122" t="s">
        <v>53</v>
      </c>
      <c r="AI282" s="122" t="s">
        <v>54</v>
      </c>
      <c r="AJ282" s="122" t="s">
        <v>805</v>
      </c>
      <c r="AK282" s="122" t="s">
        <v>806</v>
      </c>
      <c r="AL282" s="21" t="s">
        <v>36</v>
      </c>
      <c r="AM282" s="122" t="s">
        <v>52</v>
      </c>
    </row>
    <row r="283" spans="1:39" customFormat="1" ht="15.75" customHeight="1" x14ac:dyDescent="0.3">
      <c r="A283" t="s">
        <v>52</v>
      </c>
      <c r="B283" s="21" t="s">
        <v>627</v>
      </c>
      <c r="C283" s="21" t="s">
        <v>688</v>
      </c>
      <c r="D283" s="117" t="s">
        <v>382</v>
      </c>
      <c r="E283" s="21" t="s">
        <v>9</v>
      </c>
      <c r="F283" s="21" t="s">
        <v>321</v>
      </c>
      <c r="G283" s="21">
        <v>387.81</v>
      </c>
      <c r="H283" s="21"/>
      <c r="I283" s="117" t="s">
        <v>843</v>
      </c>
      <c r="J283" s="117" t="s">
        <v>325</v>
      </c>
      <c r="K283" s="118">
        <v>55.75</v>
      </c>
      <c r="L283" s="21"/>
      <c r="M283" s="21"/>
      <c r="N283" s="21">
        <v>134.69999999999999</v>
      </c>
      <c r="O283" s="21"/>
      <c r="P283" s="21">
        <v>197.36</v>
      </c>
      <c r="Q283" s="21"/>
      <c r="R283" s="21" t="s">
        <v>329</v>
      </c>
      <c r="S283" s="119">
        <f>DATABASE_Table[[#This Row],[Inicial Asking Price (€) (Total)]]-DATABASE_Table[[#This Row],[Vista membership]]-DATABASE_Table[[#This Row],[FF&amp;E]]</f>
        <v>2449940.9550000001</v>
      </c>
      <c r="T283" s="125">
        <v>2449940.9550000001</v>
      </c>
      <c r="U283" s="124">
        <v>2550000</v>
      </c>
      <c r="V283" s="21"/>
      <c r="W283" s="21"/>
      <c r="X283" s="73">
        <f>DATABASE_Table[[#This Row],[Current Asking price( Total)]]-DATABASE_Table[[#This Row],[Vista membership]]-DATABASE_Table[[#This Row],[FF&amp;E]]</f>
        <v>2550000</v>
      </c>
      <c r="Y283" s="126"/>
      <c r="Z283" s="124">
        <v>2548000</v>
      </c>
      <c r="AA283" s="73">
        <f>DATABASE_Table[[#This Row],[Sell price (Total)]]-DATABASE_Table[[#This Row],[FF&amp;E]]-DATABASE_Table[[#This Row],[Vista membership]]</f>
        <v>2548000</v>
      </c>
      <c r="AB283" s="74">
        <v>46029</v>
      </c>
      <c r="AC283" s="74" t="str">
        <f t="shared" si="4"/>
        <v>Q1 2026</v>
      </c>
      <c r="AD283" s="123"/>
      <c r="AE283" s="69"/>
      <c r="AF283" s="21" t="s">
        <v>10</v>
      </c>
      <c r="AG283" s="21" t="s">
        <v>11</v>
      </c>
      <c r="AH283" s="122" t="s">
        <v>53</v>
      </c>
      <c r="AI283" s="122" t="s">
        <v>54</v>
      </c>
      <c r="AJ283" s="122" t="s">
        <v>805</v>
      </c>
      <c r="AK283" s="122" t="s">
        <v>806</v>
      </c>
      <c r="AL283" s="21" t="s">
        <v>36</v>
      </c>
      <c r="AM283" s="122" t="s">
        <v>52</v>
      </c>
    </row>
    <row r="284" spans="1:39" customFormat="1" ht="15.75" customHeight="1" x14ac:dyDescent="0.3">
      <c r="A284" t="s">
        <v>52</v>
      </c>
      <c r="B284" s="21" t="s">
        <v>627</v>
      </c>
      <c r="C284" s="21" t="s">
        <v>688</v>
      </c>
      <c r="D284" s="117" t="s">
        <v>388</v>
      </c>
      <c r="E284" s="21" t="s">
        <v>9</v>
      </c>
      <c r="F284" s="21" t="s">
        <v>320</v>
      </c>
      <c r="G284" s="21">
        <v>224.52</v>
      </c>
      <c r="H284" s="21"/>
      <c r="I284" s="117" t="s">
        <v>842</v>
      </c>
      <c r="J284" s="117" t="s">
        <v>325</v>
      </c>
      <c r="K284" s="118">
        <v>55.65</v>
      </c>
      <c r="L284" s="21"/>
      <c r="M284" s="21"/>
      <c r="N284" s="21">
        <v>0</v>
      </c>
      <c r="O284" s="21"/>
      <c r="P284" s="21">
        <v>168.87</v>
      </c>
      <c r="Q284" s="21"/>
      <c r="R284" s="21" t="s">
        <v>329</v>
      </c>
      <c r="S284" s="119">
        <f>DATABASE_Table[[#This Row],[Inicial Asking Price (€) (Total)]]-DATABASE_Table[[#This Row],[Vista membership]]-DATABASE_Table[[#This Row],[FF&amp;E]]</f>
        <v>1638520</v>
      </c>
      <c r="T284" s="125">
        <v>1638520</v>
      </c>
      <c r="U284" s="124">
        <v>1725000</v>
      </c>
      <c r="V284" s="21"/>
      <c r="W284" s="21"/>
      <c r="X284" s="73">
        <f>DATABASE_Table[[#This Row],[Current Asking price( Total)]]-DATABASE_Table[[#This Row],[Vista membership]]-DATABASE_Table[[#This Row],[FF&amp;E]]</f>
        <v>1725000</v>
      </c>
      <c r="Y284" s="126"/>
      <c r="Z284" s="124">
        <v>1705600</v>
      </c>
      <c r="AA284" s="73">
        <f>DATABASE_Table[[#This Row],[Sell price (Total)]]-DATABASE_Table[[#This Row],[FF&amp;E]]-DATABASE_Table[[#This Row],[Vista membership]]</f>
        <v>1705600</v>
      </c>
      <c r="AB284" s="74">
        <v>46029</v>
      </c>
      <c r="AC284" s="74" t="str">
        <f t="shared" si="4"/>
        <v>Q1 2026</v>
      </c>
      <c r="AD284" s="123"/>
      <c r="AE284" s="69"/>
      <c r="AF284" s="21" t="s">
        <v>10</v>
      </c>
      <c r="AG284" s="21" t="s">
        <v>11</v>
      </c>
      <c r="AH284" s="122" t="s">
        <v>53</v>
      </c>
      <c r="AI284" s="122" t="s">
        <v>54</v>
      </c>
      <c r="AJ284" s="122" t="s">
        <v>805</v>
      </c>
      <c r="AK284" s="122" t="s">
        <v>806</v>
      </c>
      <c r="AL284" s="21" t="s">
        <v>36</v>
      </c>
      <c r="AM284" s="122" t="s">
        <v>52</v>
      </c>
    </row>
    <row r="285" spans="1:39" customFormat="1" ht="15.75" customHeight="1" x14ac:dyDescent="0.3">
      <c r="A285" t="s">
        <v>52</v>
      </c>
      <c r="B285" s="21" t="s">
        <v>627</v>
      </c>
      <c r="C285" s="21" t="s">
        <v>688</v>
      </c>
      <c r="D285" s="117" t="s">
        <v>390</v>
      </c>
      <c r="E285" s="21" t="s">
        <v>9</v>
      </c>
      <c r="F285" s="21" t="s">
        <v>320</v>
      </c>
      <c r="G285" s="21">
        <v>195.86</v>
      </c>
      <c r="H285" s="21"/>
      <c r="I285" s="117" t="s">
        <v>842</v>
      </c>
      <c r="J285" s="117" t="s">
        <v>325</v>
      </c>
      <c r="K285" s="118">
        <v>33</v>
      </c>
      <c r="L285" s="21"/>
      <c r="M285" s="21"/>
      <c r="N285" s="21">
        <v>0</v>
      </c>
      <c r="O285" s="21"/>
      <c r="P285" s="21">
        <v>162.86000000000001</v>
      </c>
      <c r="Q285" s="21"/>
      <c r="R285" s="21" t="s">
        <v>329</v>
      </c>
      <c r="S285" s="119">
        <f>DATABASE_Table[[#This Row],[Inicial Asking Price (€) (Total)]]-DATABASE_Table[[#This Row],[Vista membership]]-DATABASE_Table[[#This Row],[FF&amp;E]]</f>
        <v>1493510.2</v>
      </c>
      <c r="T285" s="125">
        <v>1493510.2</v>
      </c>
      <c r="U285" s="124">
        <v>1575000</v>
      </c>
      <c r="V285" s="21"/>
      <c r="W285" s="21"/>
      <c r="X285" s="73">
        <f>DATABASE_Table[[#This Row],[Current Asking price( Total)]]-DATABASE_Table[[#This Row],[Vista membership]]-DATABASE_Table[[#This Row],[FF&amp;E]]</f>
        <v>1575000</v>
      </c>
      <c r="Y285" s="126"/>
      <c r="Z285" s="124">
        <v>1560000</v>
      </c>
      <c r="AA285" s="73">
        <f>DATABASE_Table[[#This Row],[Sell price (Total)]]-DATABASE_Table[[#This Row],[FF&amp;E]]-DATABASE_Table[[#This Row],[Vista membership]]</f>
        <v>1560000</v>
      </c>
      <c r="AB285" s="74">
        <v>46029</v>
      </c>
      <c r="AC285" s="74" t="str">
        <f t="shared" si="4"/>
        <v>Q1 2026</v>
      </c>
      <c r="AD285" s="123"/>
      <c r="AE285" s="69"/>
      <c r="AF285" s="21" t="s">
        <v>10</v>
      </c>
      <c r="AG285" s="21" t="s">
        <v>11</v>
      </c>
      <c r="AH285" s="122" t="s">
        <v>53</v>
      </c>
      <c r="AI285" s="122" t="s">
        <v>54</v>
      </c>
      <c r="AJ285" s="122" t="s">
        <v>805</v>
      </c>
      <c r="AK285" s="122" t="s">
        <v>806</v>
      </c>
      <c r="AL285" s="21" t="s">
        <v>36</v>
      </c>
      <c r="AM285" s="122" t="s">
        <v>52</v>
      </c>
    </row>
    <row r="286" spans="1:39" customFormat="1" ht="15.75" customHeight="1" x14ac:dyDescent="0.3">
      <c r="A286" t="s">
        <v>52</v>
      </c>
      <c r="B286" s="21" t="s">
        <v>627</v>
      </c>
      <c r="C286" s="21" t="s">
        <v>688</v>
      </c>
      <c r="D286" s="117" t="s">
        <v>393</v>
      </c>
      <c r="E286" s="21" t="s">
        <v>9</v>
      </c>
      <c r="F286" s="21" t="s">
        <v>319</v>
      </c>
      <c r="G286" s="21">
        <v>215.97</v>
      </c>
      <c r="H286" s="21"/>
      <c r="I286" s="117" t="s">
        <v>842</v>
      </c>
      <c r="J286" s="117" t="s">
        <v>325</v>
      </c>
      <c r="K286" s="118">
        <v>26.62</v>
      </c>
      <c r="L286" s="21"/>
      <c r="M286" s="21"/>
      <c r="N286" s="21">
        <v>73.11</v>
      </c>
      <c r="O286" s="21"/>
      <c r="P286" s="21">
        <v>116.24</v>
      </c>
      <c r="Q286" s="21"/>
      <c r="R286" s="21" t="s">
        <v>329</v>
      </c>
      <c r="S286" s="119">
        <f>DATABASE_Table[[#This Row],[Inicial Asking Price (€) (Total)]]-DATABASE_Table[[#This Row],[Vista membership]]-DATABASE_Table[[#This Row],[FF&amp;E]]</f>
        <v>1166778.6240000001</v>
      </c>
      <c r="T286" s="125">
        <v>1166778.6240000001</v>
      </c>
      <c r="U286" s="124">
        <v>1225000</v>
      </c>
      <c r="V286" s="21"/>
      <c r="W286" s="21"/>
      <c r="X286" s="73">
        <f>DATABASE_Table[[#This Row],[Current Asking price( Total)]]-DATABASE_Table[[#This Row],[Vista membership]]-DATABASE_Table[[#This Row],[FF&amp;E]]</f>
        <v>1225000</v>
      </c>
      <c r="Y286" s="126"/>
      <c r="Z286" s="124">
        <v>1205100</v>
      </c>
      <c r="AA286" s="73">
        <f>DATABASE_Table[[#This Row],[Sell price (Total)]]-DATABASE_Table[[#This Row],[FF&amp;E]]-DATABASE_Table[[#This Row],[Vista membership]]</f>
        <v>1205100</v>
      </c>
      <c r="AB286" s="74">
        <v>46029</v>
      </c>
      <c r="AC286" s="74" t="str">
        <f t="shared" si="4"/>
        <v>Q1 2026</v>
      </c>
      <c r="AD286" s="123"/>
      <c r="AE286" s="69"/>
      <c r="AF286" s="21" t="s">
        <v>10</v>
      </c>
      <c r="AG286" s="21" t="s">
        <v>11</v>
      </c>
      <c r="AH286" s="122" t="s">
        <v>53</v>
      </c>
      <c r="AI286" s="122" t="s">
        <v>54</v>
      </c>
      <c r="AJ286" s="122" t="s">
        <v>805</v>
      </c>
      <c r="AK286" s="122" t="s">
        <v>806</v>
      </c>
      <c r="AL286" s="21" t="s">
        <v>36</v>
      </c>
      <c r="AM286" s="122" t="s">
        <v>52</v>
      </c>
    </row>
    <row r="287" spans="1:39" customFormat="1" ht="15.75" customHeight="1" x14ac:dyDescent="0.3">
      <c r="A287" t="s">
        <v>52</v>
      </c>
      <c r="B287" s="21" t="s">
        <v>627</v>
      </c>
      <c r="C287" s="21" t="s">
        <v>688</v>
      </c>
      <c r="D287" s="117" t="s">
        <v>394</v>
      </c>
      <c r="E287" s="21" t="s">
        <v>9</v>
      </c>
      <c r="F287" s="21" t="s">
        <v>319</v>
      </c>
      <c r="G287" s="21">
        <v>212.48</v>
      </c>
      <c r="H287" s="21"/>
      <c r="I287" s="117" t="s">
        <v>842</v>
      </c>
      <c r="J287" s="117" t="s">
        <v>325</v>
      </c>
      <c r="K287" s="118">
        <v>26.62</v>
      </c>
      <c r="L287" s="21"/>
      <c r="M287" s="21"/>
      <c r="N287" s="21">
        <v>72.89</v>
      </c>
      <c r="O287" s="21"/>
      <c r="P287" s="21">
        <v>112.97</v>
      </c>
      <c r="Q287" s="21"/>
      <c r="R287" s="21" t="s">
        <v>329</v>
      </c>
      <c r="S287" s="119">
        <f>DATABASE_Table[[#This Row],[Inicial Asking Price (€) (Total)]]-DATABASE_Table[[#This Row],[Vista membership]]-DATABASE_Table[[#This Row],[FF&amp;E]]</f>
        <v>1192356.9240000001</v>
      </c>
      <c r="T287" s="125">
        <v>1192356.9240000001</v>
      </c>
      <c r="U287" s="124">
        <v>1250000</v>
      </c>
      <c r="V287" s="21"/>
      <c r="W287" s="21"/>
      <c r="X287" s="73">
        <f>DATABASE_Table[[#This Row],[Current Asking price( Total)]]-DATABASE_Table[[#This Row],[Vista membership]]-DATABASE_Table[[#This Row],[FF&amp;E]]</f>
        <v>1250000</v>
      </c>
      <c r="Y287" s="126"/>
      <c r="Z287" s="124">
        <v>1248000</v>
      </c>
      <c r="AA287" s="73">
        <f>DATABASE_Table[[#This Row],[Sell price (Total)]]-DATABASE_Table[[#This Row],[FF&amp;E]]-DATABASE_Table[[#This Row],[Vista membership]]</f>
        <v>1248000</v>
      </c>
      <c r="AB287" s="74">
        <v>46029</v>
      </c>
      <c r="AC287" s="74" t="str">
        <f t="shared" si="4"/>
        <v>Q1 2026</v>
      </c>
      <c r="AD287" s="123"/>
      <c r="AE287" s="69"/>
      <c r="AF287" s="21" t="s">
        <v>10</v>
      </c>
      <c r="AG287" s="21" t="s">
        <v>11</v>
      </c>
      <c r="AH287" s="122" t="s">
        <v>53</v>
      </c>
      <c r="AI287" s="122" t="s">
        <v>54</v>
      </c>
      <c r="AJ287" s="122" t="s">
        <v>805</v>
      </c>
      <c r="AK287" s="122" t="s">
        <v>806</v>
      </c>
      <c r="AL287" s="21" t="s">
        <v>36</v>
      </c>
      <c r="AM287" s="122" t="s">
        <v>52</v>
      </c>
    </row>
    <row r="288" spans="1:39" customFormat="1" ht="15.75" customHeight="1" x14ac:dyDescent="0.3">
      <c r="A288" t="s">
        <v>52</v>
      </c>
      <c r="B288" s="21" t="s">
        <v>627</v>
      </c>
      <c r="C288" s="21" t="s">
        <v>688</v>
      </c>
      <c r="D288" s="117" t="s">
        <v>344</v>
      </c>
      <c r="E288" s="21" t="s">
        <v>9</v>
      </c>
      <c r="F288" s="21" t="s">
        <v>319</v>
      </c>
      <c r="G288" s="21">
        <v>249.77</v>
      </c>
      <c r="H288" s="21"/>
      <c r="I288" s="117" t="s">
        <v>843</v>
      </c>
      <c r="J288" s="117" t="s">
        <v>325</v>
      </c>
      <c r="K288" s="118">
        <v>0</v>
      </c>
      <c r="L288" s="21"/>
      <c r="M288" s="21"/>
      <c r="N288" s="21">
        <v>123.56</v>
      </c>
      <c r="O288" s="21"/>
      <c r="P288" s="21">
        <v>126.21</v>
      </c>
      <c r="Q288" s="21"/>
      <c r="R288" s="21" t="s">
        <v>329</v>
      </c>
      <c r="S288" s="119">
        <f>DATABASE_Table[[#This Row],[Inicial Asking Price (€) (Total)]]-DATABASE_Table[[#This Row],[Vista membership]]-DATABASE_Table[[#This Row],[FF&amp;E]]</f>
        <v>1042729.38</v>
      </c>
      <c r="T288" s="125">
        <v>1042729.38</v>
      </c>
      <c r="U288" s="124">
        <v>1095500</v>
      </c>
      <c r="V288" s="21"/>
      <c r="W288" s="21"/>
      <c r="X288" s="73">
        <f>DATABASE_Table[[#This Row],[Current Asking price( Total)]]-DATABASE_Table[[#This Row],[Vista membership]]-DATABASE_Table[[#This Row],[FF&amp;E]]</f>
        <v>1095500</v>
      </c>
      <c r="Y288" s="126"/>
      <c r="Z288" s="124">
        <v>1081500</v>
      </c>
      <c r="AA288" s="73">
        <f>DATABASE_Table[[#This Row],[Sell price (Total)]]-DATABASE_Table[[#This Row],[FF&amp;E]]-DATABASE_Table[[#This Row],[Vista membership]]</f>
        <v>1081500</v>
      </c>
      <c r="AB288" s="74">
        <v>46029</v>
      </c>
      <c r="AC288" s="74" t="str">
        <f t="shared" si="4"/>
        <v>Q1 2026</v>
      </c>
      <c r="AD288" s="123"/>
      <c r="AE288" s="69"/>
      <c r="AF288" s="21" t="s">
        <v>10</v>
      </c>
      <c r="AG288" s="21" t="s">
        <v>11</v>
      </c>
      <c r="AH288" s="122" t="s">
        <v>53</v>
      </c>
      <c r="AI288" s="122" t="s">
        <v>54</v>
      </c>
      <c r="AJ288" s="122" t="s">
        <v>805</v>
      </c>
      <c r="AK288" s="122" t="s">
        <v>806</v>
      </c>
      <c r="AL288" s="21" t="s">
        <v>36</v>
      </c>
      <c r="AM288" s="122" t="s">
        <v>52</v>
      </c>
    </row>
    <row r="289" spans="1:39" customFormat="1" ht="15.75" customHeight="1" x14ac:dyDescent="0.3">
      <c r="A289" t="s">
        <v>52</v>
      </c>
      <c r="B289" s="21" t="s">
        <v>627</v>
      </c>
      <c r="C289" s="21" t="s">
        <v>688</v>
      </c>
      <c r="D289" s="117" t="s">
        <v>347</v>
      </c>
      <c r="E289" s="21" t="s">
        <v>9</v>
      </c>
      <c r="F289" s="21" t="s">
        <v>320</v>
      </c>
      <c r="G289" s="21">
        <v>559.03</v>
      </c>
      <c r="H289" s="21"/>
      <c r="I289" s="117" t="s">
        <v>843</v>
      </c>
      <c r="J289" s="117" t="s">
        <v>325</v>
      </c>
      <c r="K289" s="118">
        <v>0</v>
      </c>
      <c r="L289" s="21"/>
      <c r="M289" s="21"/>
      <c r="N289" s="21">
        <v>391.15</v>
      </c>
      <c r="O289" s="21"/>
      <c r="P289" s="21">
        <v>167.88</v>
      </c>
      <c r="Q289" s="21"/>
      <c r="R289" s="21" t="s">
        <v>329</v>
      </c>
      <c r="S289" s="119">
        <f>DATABASE_Table[[#This Row],[Inicial Asking Price (€) (Total)]]-DATABASE_Table[[#This Row],[Vista membership]]-DATABASE_Table[[#This Row],[FF&amp;E]]</f>
        <v>1727255.5625</v>
      </c>
      <c r="T289" s="125">
        <v>1727255.5625</v>
      </c>
      <c r="U289" s="124">
        <v>1800000</v>
      </c>
      <c r="V289" s="21"/>
      <c r="W289" s="21"/>
      <c r="X289" s="73">
        <f>DATABASE_Table[[#This Row],[Current Asking price( Total)]]-DATABASE_Table[[#This Row],[Vista membership]]-DATABASE_Table[[#This Row],[FF&amp;E]]</f>
        <v>1800000</v>
      </c>
      <c r="Y289" s="126"/>
      <c r="Z289" s="124">
        <v>1799200</v>
      </c>
      <c r="AA289" s="73">
        <f>DATABASE_Table[[#This Row],[Sell price (Total)]]-DATABASE_Table[[#This Row],[FF&amp;E]]-DATABASE_Table[[#This Row],[Vista membership]]</f>
        <v>1799200</v>
      </c>
      <c r="AB289" s="74">
        <v>46029</v>
      </c>
      <c r="AC289" s="74" t="str">
        <f t="shared" si="4"/>
        <v>Q1 2026</v>
      </c>
      <c r="AD289" s="123"/>
      <c r="AE289" s="69"/>
      <c r="AF289" s="21" t="s">
        <v>10</v>
      </c>
      <c r="AG289" s="21" t="s">
        <v>11</v>
      </c>
      <c r="AH289" s="122" t="s">
        <v>53</v>
      </c>
      <c r="AI289" s="122" t="s">
        <v>54</v>
      </c>
      <c r="AJ289" s="122" t="s">
        <v>805</v>
      </c>
      <c r="AK289" s="122" t="s">
        <v>806</v>
      </c>
      <c r="AL289" s="21" t="s">
        <v>36</v>
      </c>
      <c r="AM289" s="122" t="s">
        <v>52</v>
      </c>
    </row>
    <row r="290" spans="1:39" customFormat="1" ht="15.75" customHeight="1" x14ac:dyDescent="0.3">
      <c r="A290" t="s">
        <v>52</v>
      </c>
      <c r="B290" s="21" t="s">
        <v>627</v>
      </c>
      <c r="C290" s="21" t="s">
        <v>688</v>
      </c>
      <c r="D290" s="117" t="s">
        <v>348</v>
      </c>
      <c r="E290" s="21" t="s">
        <v>9</v>
      </c>
      <c r="F290" s="21" t="s">
        <v>320</v>
      </c>
      <c r="G290" s="21">
        <v>223.75</v>
      </c>
      <c r="H290" s="21"/>
      <c r="I290" s="117" t="s">
        <v>843</v>
      </c>
      <c r="J290" s="117" t="s">
        <v>325</v>
      </c>
      <c r="K290" s="118">
        <v>45.36</v>
      </c>
      <c r="L290" s="21"/>
      <c r="M290" s="21"/>
      <c r="N290" s="21">
        <v>10.29</v>
      </c>
      <c r="O290" s="21"/>
      <c r="P290" s="21">
        <v>168.1</v>
      </c>
      <c r="Q290" s="21"/>
      <c r="R290" s="21" t="s">
        <v>329</v>
      </c>
      <c r="S290" s="119">
        <f>DATABASE_Table[[#This Row],[Inicial Asking Price (€) (Total)]]-DATABASE_Table[[#This Row],[Vista membership]]-DATABASE_Table[[#This Row],[FF&amp;E]]</f>
        <v>1548293.5</v>
      </c>
      <c r="T290" s="125">
        <v>1548293.5</v>
      </c>
      <c r="U290" s="124">
        <v>1550000</v>
      </c>
      <c r="V290" s="21"/>
      <c r="W290" s="21"/>
      <c r="X290" s="73">
        <f>DATABASE_Table[[#This Row],[Current Asking price( Total)]]-DATABASE_Table[[#This Row],[Vista membership]]-DATABASE_Table[[#This Row],[FF&amp;E]]</f>
        <v>1550000</v>
      </c>
      <c r="Y290" s="126"/>
      <c r="Z290" s="124">
        <v>1550000</v>
      </c>
      <c r="AA290" s="73">
        <f>DATABASE_Table[[#This Row],[Sell price (Total)]]-DATABASE_Table[[#This Row],[FF&amp;E]]-DATABASE_Table[[#This Row],[Vista membership]]</f>
        <v>1550000</v>
      </c>
      <c r="AB290" s="74">
        <v>46029</v>
      </c>
      <c r="AC290" s="74" t="str">
        <f t="shared" si="4"/>
        <v>Q1 2026</v>
      </c>
      <c r="AD290" s="123"/>
      <c r="AE290" s="69"/>
      <c r="AF290" s="21" t="s">
        <v>10</v>
      </c>
      <c r="AG290" s="21" t="s">
        <v>11</v>
      </c>
      <c r="AH290" s="122" t="s">
        <v>53</v>
      </c>
      <c r="AI290" s="122" t="s">
        <v>54</v>
      </c>
      <c r="AJ290" s="122" t="s">
        <v>805</v>
      </c>
      <c r="AK290" s="122" t="s">
        <v>806</v>
      </c>
      <c r="AL290" s="21" t="s">
        <v>36</v>
      </c>
      <c r="AM290" s="122" t="s">
        <v>52</v>
      </c>
    </row>
    <row r="291" spans="1:39" customFormat="1" ht="15.75" customHeight="1" x14ac:dyDescent="0.3">
      <c r="A291" t="s">
        <v>52</v>
      </c>
      <c r="B291" s="21" t="s">
        <v>627</v>
      </c>
      <c r="C291" s="21" t="s">
        <v>688</v>
      </c>
      <c r="D291" s="117" t="s">
        <v>349</v>
      </c>
      <c r="E291" s="21" t="s">
        <v>9</v>
      </c>
      <c r="F291" s="21" t="s">
        <v>319</v>
      </c>
      <c r="G291" s="21">
        <v>151.47999999999999</v>
      </c>
      <c r="H291" s="21"/>
      <c r="I291" s="117" t="s">
        <v>843</v>
      </c>
      <c r="J291" s="117" t="s">
        <v>325</v>
      </c>
      <c r="K291" s="118">
        <v>20.100000000000001</v>
      </c>
      <c r="L291" s="21"/>
      <c r="M291" s="21"/>
      <c r="N291" s="21">
        <v>7.51</v>
      </c>
      <c r="O291" s="21"/>
      <c r="P291" s="21">
        <v>123.87</v>
      </c>
      <c r="Q291" s="21"/>
      <c r="R291" s="21" t="s">
        <v>329</v>
      </c>
      <c r="S291" s="119">
        <f>DATABASE_Table[[#This Row],[Inicial Asking Price (€) (Total)]]-DATABASE_Table[[#This Row],[Vista membership]]-DATABASE_Table[[#This Row],[FF&amp;E]]</f>
        <v>1037929.662</v>
      </c>
      <c r="T291" s="125">
        <v>1037929.662</v>
      </c>
      <c r="U291" s="124">
        <v>1050000</v>
      </c>
      <c r="V291" s="21"/>
      <c r="W291" s="21"/>
      <c r="X291" s="73">
        <f>DATABASE_Table[[#This Row],[Current Asking price( Total)]]-DATABASE_Table[[#This Row],[Vista membership]]-DATABASE_Table[[#This Row],[FF&amp;E]]</f>
        <v>1050000</v>
      </c>
      <c r="Y291" s="126"/>
      <c r="Z291" s="124">
        <v>1040000</v>
      </c>
      <c r="AA291" s="73">
        <f>DATABASE_Table[[#This Row],[Sell price (Total)]]-DATABASE_Table[[#This Row],[FF&amp;E]]-DATABASE_Table[[#This Row],[Vista membership]]</f>
        <v>1040000</v>
      </c>
      <c r="AB291" s="74">
        <v>46029</v>
      </c>
      <c r="AC291" s="74" t="str">
        <f t="shared" si="4"/>
        <v>Q1 2026</v>
      </c>
      <c r="AD291" s="123"/>
      <c r="AE291" s="69"/>
      <c r="AF291" s="21" t="s">
        <v>10</v>
      </c>
      <c r="AG291" s="21" t="s">
        <v>11</v>
      </c>
      <c r="AH291" s="122" t="s">
        <v>53</v>
      </c>
      <c r="AI291" s="122" t="s">
        <v>54</v>
      </c>
      <c r="AJ291" s="122" t="s">
        <v>805</v>
      </c>
      <c r="AK291" s="122" t="s">
        <v>806</v>
      </c>
      <c r="AL291" s="21" t="s">
        <v>36</v>
      </c>
      <c r="AM291" s="122" t="s">
        <v>52</v>
      </c>
    </row>
    <row r="292" spans="1:39" customFormat="1" ht="15.75" customHeight="1" x14ac:dyDescent="0.3">
      <c r="A292" t="s">
        <v>52</v>
      </c>
      <c r="B292" s="21" t="s">
        <v>627</v>
      </c>
      <c r="C292" s="21" t="s">
        <v>688</v>
      </c>
      <c r="D292" s="117" t="s">
        <v>350</v>
      </c>
      <c r="E292" s="21" t="s">
        <v>9</v>
      </c>
      <c r="F292" s="21" t="s">
        <v>320</v>
      </c>
      <c r="G292" s="21">
        <v>195.87</v>
      </c>
      <c r="H292" s="21"/>
      <c r="I292" s="117" t="s">
        <v>843</v>
      </c>
      <c r="J292" s="117" t="s">
        <v>325</v>
      </c>
      <c r="K292" s="118">
        <v>25.36</v>
      </c>
      <c r="L292" s="21"/>
      <c r="M292" s="21"/>
      <c r="N292" s="21">
        <v>7.62</v>
      </c>
      <c r="O292" s="21"/>
      <c r="P292" s="21">
        <v>162.88999999999999</v>
      </c>
      <c r="Q292" s="21"/>
      <c r="R292" s="21" t="s">
        <v>329</v>
      </c>
      <c r="S292" s="119">
        <f>DATABASE_Table[[#This Row],[Inicial Asking Price (€) (Total)]]-DATABASE_Table[[#This Row],[Vista membership]]-DATABASE_Table[[#This Row],[FF&amp;E]]</f>
        <v>1336484.24</v>
      </c>
      <c r="T292" s="125">
        <v>1336484.24</v>
      </c>
      <c r="U292" s="124">
        <v>1350000</v>
      </c>
      <c r="V292" s="21"/>
      <c r="W292" s="21"/>
      <c r="X292" s="73">
        <f>DATABASE_Table[[#This Row],[Current Asking price( Total)]]-DATABASE_Table[[#This Row],[Vista membership]]-DATABASE_Table[[#This Row],[FF&amp;E]]</f>
        <v>1350000</v>
      </c>
      <c r="Y292" s="126"/>
      <c r="Z292" s="124">
        <v>1340000</v>
      </c>
      <c r="AA292" s="73">
        <f>DATABASE_Table[[#This Row],[Sell price (Total)]]-DATABASE_Table[[#This Row],[FF&amp;E]]-DATABASE_Table[[#This Row],[Vista membership]]</f>
        <v>1340000</v>
      </c>
      <c r="AB292" s="74">
        <v>46029</v>
      </c>
      <c r="AC292" s="74" t="str">
        <f t="shared" si="4"/>
        <v>Q1 2026</v>
      </c>
      <c r="AD292" s="123"/>
      <c r="AE292" s="69"/>
      <c r="AF292" s="21" t="s">
        <v>10</v>
      </c>
      <c r="AG292" s="21" t="s">
        <v>11</v>
      </c>
      <c r="AH292" s="122" t="s">
        <v>53</v>
      </c>
      <c r="AI292" s="122" t="s">
        <v>54</v>
      </c>
      <c r="AJ292" s="122" t="s">
        <v>805</v>
      </c>
      <c r="AK292" s="122" t="s">
        <v>806</v>
      </c>
      <c r="AL292" s="21" t="s">
        <v>36</v>
      </c>
      <c r="AM292" s="122" t="s">
        <v>52</v>
      </c>
    </row>
    <row r="293" spans="1:39" customFormat="1" ht="15.75" customHeight="1" x14ac:dyDescent="0.3">
      <c r="A293" t="s">
        <v>52</v>
      </c>
      <c r="B293" s="21" t="s">
        <v>627</v>
      </c>
      <c r="C293" s="21" t="s">
        <v>688</v>
      </c>
      <c r="D293" s="117" t="s">
        <v>351</v>
      </c>
      <c r="E293" s="21" t="s">
        <v>9</v>
      </c>
      <c r="F293" s="21" t="s">
        <v>319</v>
      </c>
      <c r="G293" s="21">
        <v>151.41</v>
      </c>
      <c r="H293" s="21"/>
      <c r="I293" s="117" t="s">
        <v>843</v>
      </c>
      <c r="J293" s="117" t="s">
        <v>325</v>
      </c>
      <c r="K293" s="118">
        <v>20.100000000000001</v>
      </c>
      <c r="L293" s="21"/>
      <c r="M293" s="21"/>
      <c r="N293" s="21">
        <v>7.51</v>
      </c>
      <c r="O293" s="21"/>
      <c r="P293" s="21">
        <v>123.8</v>
      </c>
      <c r="Q293" s="21"/>
      <c r="R293" s="21" t="s">
        <v>329</v>
      </c>
      <c r="S293" s="119">
        <f>DATABASE_Table[[#This Row],[Inicial Asking Price (€) (Total)]]-DATABASE_Table[[#This Row],[Vista membership]]-DATABASE_Table[[#This Row],[FF&amp;E]]</f>
        <v>1037379.882</v>
      </c>
      <c r="T293" s="125">
        <v>1037379.882</v>
      </c>
      <c r="U293" s="124">
        <v>1050000</v>
      </c>
      <c r="V293" s="21"/>
      <c r="W293" s="21"/>
      <c r="X293" s="73">
        <f>DATABASE_Table[[#This Row],[Current Asking price( Total)]]-DATABASE_Table[[#This Row],[Vista membership]]-DATABASE_Table[[#This Row],[FF&amp;E]]</f>
        <v>1050000</v>
      </c>
      <c r="Y293" s="126"/>
      <c r="Z293" s="124">
        <v>1040000</v>
      </c>
      <c r="AA293" s="73">
        <f>DATABASE_Table[[#This Row],[Sell price (Total)]]-DATABASE_Table[[#This Row],[FF&amp;E]]-DATABASE_Table[[#This Row],[Vista membership]]</f>
        <v>1040000</v>
      </c>
      <c r="AB293" s="74">
        <v>46029</v>
      </c>
      <c r="AC293" s="74" t="str">
        <f t="shared" si="4"/>
        <v>Q1 2026</v>
      </c>
      <c r="AD293" s="123"/>
      <c r="AE293" s="69"/>
      <c r="AF293" s="21" t="s">
        <v>10</v>
      </c>
      <c r="AG293" s="21" t="s">
        <v>11</v>
      </c>
      <c r="AH293" s="122" t="s">
        <v>53</v>
      </c>
      <c r="AI293" s="122" t="s">
        <v>54</v>
      </c>
      <c r="AJ293" s="122" t="s">
        <v>805</v>
      </c>
      <c r="AK293" s="122" t="s">
        <v>806</v>
      </c>
      <c r="AL293" s="21" t="s">
        <v>36</v>
      </c>
      <c r="AM293" s="122" t="s">
        <v>52</v>
      </c>
    </row>
    <row r="294" spans="1:39" customFormat="1" ht="15.75" customHeight="1" x14ac:dyDescent="0.3">
      <c r="A294" t="s">
        <v>52</v>
      </c>
      <c r="B294" s="21" t="s">
        <v>627</v>
      </c>
      <c r="C294" s="21" t="s">
        <v>688</v>
      </c>
      <c r="D294" s="117" t="s">
        <v>352</v>
      </c>
      <c r="E294" s="21" t="s">
        <v>9</v>
      </c>
      <c r="F294" s="21" t="s">
        <v>319</v>
      </c>
      <c r="G294" s="21">
        <v>151.53</v>
      </c>
      <c r="H294" s="21"/>
      <c r="I294" s="117" t="s">
        <v>843</v>
      </c>
      <c r="J294" s="117" t="s">
        <v>325</v>
      </c>
      <c r="K294" s="118">
        <v>15.79</v>
      </c>
      <c r="L294" s="21"/>
      <c r="M294" s="21"/>
      <c r="N294" s="21">
        <v>11.82</v>
      </c>
      <c r="O294" s="21"/>
      <c r="P294" s="21">
        <v>123.92</v>
      </c>
      <c r="Q294" s="21"/>
      <c r="R294" s="21" t="s">
        <v>329</v>
      </c>
      <c r="S294" s="119">
        <f>DATABASE_Table[[#This Row],[Inicial Asking Price (€) (Total)]]-DATABASE_Table[[#This Row],[Vista membership]]-DATABASE_Table[[#This Row],[FF&amp;E]]</f>
        <v>1038322.362</v>
      </c>
      <c r="T294" s="125">
        <v>1038322.362</v>
      </c>
      <c r="U294" s="124">
        <v>1075000</v>
      </c>
      <c r="V294" s="21"/>
      <c r="W294" s="21"/>
      <c r="X294" s="73">
        <f>DATABASE_Table[[#This Row],[Current Asking price( Total)]]-DATABASE_Table[[#This Row],[Vista membership]]-DATABASE_Table[[#This Row],[FF&amp;E]]</f>
        <v>1075000</v>
      </c>
      <c r="Y294" s="126"/>
      <c r="Z294" s="124">
        <v>1071200</v>
      </c>
      <c r="AA294" s="73">
        <f>DATABASE_Table[[#This Row],[Sell price (Total)]]-DATABASE_Table[[#This Row],[FF&amp;E]]-DATABASE_Table[[#This Row],[Vista membership]]</f>
        <v>1071200</v>
      </c>
      <c r="AB294" s="74">
        <v>46029</v>
      </c>
      <c r="AC294" s="74" t="str">
        <f t="shared" si="4"/>
        <v>Q1 2026</v>
      </c>
      <c r="AD294" s="123"/>
      <c r="AE294" s="69"/>
      <c r="AF294" s="21" t="s">
        <v>10</v>
      </c>
      <c r="AG294" s="21" t="s">
        <v>11</v>
      </c>
      <c r="AH294" s="122" t="s">
        <v>53</v>
      </c>
      <c r="AI294" s="122" t="s">
        <v>54</v>
      </c>
      <c r="AJ294" s="122" t="s">
        <v>805</v>
      </c>
      <c r="AK294" s="122" t="s">
        <v>806</v>
      </c>
      <c r="AL294" s="21" t="s">
        <v>36</v>
      </c>
      <c r="AM294" s="122" t="s">
        <v>52</v>
      </c>
    </row>
    <row r="295" spans="1:39" customFormat="1" ht="15.75" customHeight="1" x14ac:dyDescent="0.3">
      <c r="A295" t="s">
        <v>52</v>
      </c>
      <c r="B295" s="21" t="s">
        <v>627</v>
      </c>
      <c r="C295" s="21" t="s">
        <v>688</v>
      </c>
      <c r="D295" s="117" t="s">
        <v>353</v>
      </c>
      <c r="E295" s="21" t="s">
        <v>9</v>
      </c>
      <c r="F295" s="21" t="s">
        <v>320</v>
      </c>
      <c r="G295" s="21">
        <v>223.91</v>
      </c>
      <c r="H295" s="21"/>
      <c r="I295" s="117" t="s">
        <v>843</v>
      </c>
      <c r="J295" s="117" t="s">
        <v>325</v>
      </c>
      <c r="K295" s="118">
        <v>33.85</v>
      </c>
      <c r="L295" s="21"/>
      <c r="M295" s="21"/>
      <c r="N295" s="21">
        <v>21.79</v>
      </c>
      <c r="O295" s="21"/>
      <c r="P295" s="21">
        <v>168.27</v>
      </c>
      <c r="Q295" s="21"/>
      <c r="R295" s="21" t="s">
        <v>329</v>
      </c>
      <c r="S295" s="119">
        <f>DATABASE_Table[[#This Row],[Inicial Asking Price (€) (Total)]]-DATABASE_Table[[#This Row],[Vista membership]]-DATABASE_Table[[#This Row],[FF&amp;E]]</f>
        <v>1502029.62</v>
      </c>
      <c r="T295" s="125">
        <v>1502029.62</v>
      </c>
      <c r="U295" s="124">
        <v>1510000</v>
      </c>
      <c r="V295" s="21"/>
      <c r="W295" s="21"/>
      <c r="X295" s="73">
        <f>DATABASE_Table[[#This Row],[Current Asking price( Total)]]-DATABASE_Table[[#This Row],[Vista membership]]-DATABASE_Table[[#This Row],[FF&amp;E]]</f>
        <v>1510000</v>
      </c>
      <c r="Y295" s="126"/>
      <c r="Z295" s="124">
        <v>1510000</v>
      </c>
      <c r="AA295" s="73">
        <f>DATABASE_Table[[#This Row],[Sell price (Total)]]-DATABASE_Table[[#This Row],[FF&amp;E]]-DATABASE_Table[[#This Row],[Vista membership]]</f>
        <v>1510000</v>
      </c>
      <c r="AB295" s="74">
        <v>46029</v>
      </c>
      <c r="AC295" s="74" t="str">
        <f t="shared" si="4"/>
        <v>Q1 2026</v>
      </c>
      <c r="AD295" s="123"/>
      <c r="AE295" s="69"/>
      <c r="AF295" s="21" t="s">
        <v>10</v>
      </c>
      <c r="AG295" s="21" t="s">
        <v>11</v>
      </c>
      <c r="AH295" s="122" t="s">
        <v>53</v>
      </c>
      <c r="AI295" s="122" t="s">
        <v>54</v>
      </c>
      <c r="AJ295" s="122" t="s">
        <v>805</v>
      </c>
      <c r="AK295" s="122" t="s">
        <v>806</v>
      </c>
      <c r="AL295" s="21" t="s">
        <v>36</v>
      </c>
      <c r="AM295" s="122" t="s">
        <v>52</v>
      </c>
    </row>
    <row r="296" spans="1:39" customFormat="1" ht="15.75" customHeight="1" x14ac:dyDescent="0.3">
      <c r="A296" t="s">
        <v>52</v>
      </c>
      <c r="B296" s="21" t="s">
        <v>627</v>
      </c>
      <c r="C296" s="21" t="s">
        <v>688</v>
      </c>
      <c r="D296" s="117" t="s">
        <v>355</v>
      </c>
      <c r="E296" s="21" t="s">
        <v>9</v>
      </c>
      <c r="F296" s="21" t="s">
        <v>319</v>
      </c>
      <c r="G296" s="21">
        <v>142.88999999999999</v>
      </c>
      <c r="H296" s="21"/>
      <c r="I296" s="117" t="s">
        <v>843</v>
      </c>
      <c r="J296" s="117" t="s">
        <v>325</v>
      </c>
      <c r="K296" s="118">
        <v>26.79</v>
      </c>
      <c r="L296" s="21"/>
      <c r="M296" s="21"/>
      <c r="N296" s="21">
        <v>1.61</v>
      </c>
      <c r="O296" s="21"/>
      <c r="P296" s="21">
        <v>114.49</v>
      </c>
      <c r="Q296" s="21"/>
      <c r="R296" s="21" t="s">
        <v>329</v>
      </c>
      <c r="S296" s="119">
        <f>DATABASE_Table[[#This Row],[Inicial Asking Price (€) (Total)]]-DATABASE_Table[[#This Row],[Vista membership]]-DATABASE_Table[[#This Row],[FF&amp;E]]</f>
        <v>925527.24</v>
      </c>
      <c r="T296" s="125">
        <v>925527.24</v>
      </c>
      <c r="U296" s="124">
        <v>950000</v>
      </c>
      <c r="V296" s="21"/>
      <c r="W296" s="21"/>
      <c r="X296" s="73">
        <f>DATABASE_Table[[#This Row],[Current Asking price( Total)]]-DATABASE_Table[[#This Row],[Vista membership]]-DATABASE_Table[[#This Row],[FF&amp;E]]</f>
        <v>950000</v>
      </c>
      <c r="Y296" s="126"/>
      <c r="Z296" s="124">
        <v>930000</v>
      </c>
      <c r="AA296" s="73">
        <f>DATABASE_Table[[#This Row],[Sell price (Total)]]-DATABASE_Table[[#This Row],[FF&amp;E]]-DATABASE_Table[[#This Row],[Vista membership]]</f>
        <v>930000</v>
      </c>
      <c r="AB296" s="74">
        <v>46029</v>
      </c>
      <c r="AC296" s="74" t="str">
        <f t="shared" si="4"/>
        <v>Q1 2026</v>
      </c>
      <c r="AD296" s="123"/>
      <c r="AE296" s="69"/>
      <c r="AF296" s="21" t="s">
        <v>10</v>
      </c>
      <c r="AG296" s="21" t="s">
        <v>11</v>
      </c>
      <c r="AH296" s="122" t="s">
        <v>53</v>
      </c>
      <c r="AI296" s="122" t="s">
        <v>54</v>
      </c>
      <c r="AJ296" s="122" t="s">
        <v>805</v>
      </c>
      <c r="AK296" s="122" t="s">
        <v>806</v>
      </c>
      <c r="AL296" s="21" t="s">
        <v>36</v>
      </c>
      <c r="AM296" s="122" t="s">
        <v>52</v>
      </c>
    </row>
    <row r="297" spans="1:39" customFormat="1" ht="15.75" customHeight="1" x14ac:dyDescent="0.3">
      <c r="A297" t="s">
        <v>52</v>
      </c>
      <c r="B297" s="21" t="s">
        <v>627</v>
      </c>
      <c r="C297" s="21" t="s">
        <v>688</v>
      </c>
      <c r="D297" s="117" t="s">
        <v>356</v>
      </c>
      <c r="E297" s="21" t="s">
        <v>9</v>
      </c>
      <c r="F297" s="21" t="s">
        <v>319</v>
      </c>
      <c r="G297" s="21">
        <v>151.37</v>
      </c>
      <c r="H297" s="21"/>
      <c r="I297" s="117" t="s">
        <v>843</v>
      </c>
      <c r="J297" s="117" t="s">
        <v>325</v>
      </c>
      <c r="K297" s="118">
        <v>20.100000000000001</v>
      </c>
      <c r="L297" s="21"/>
      <c r="M297" s="21"/>
      <c r="N297" s="21">
        <v>7.51</v>
      </c>
      <c r="O297" s="21"/>
      <c r="P297" s="21">
        <v>123.76</v>
      </c>
      <c r="Q297" s="21"/>
      <c r="R297" s="21" t="s">
        <v>329</v>
      </c>
      <c r="S297" s="119">
        <f>DATABASE_Table[[#This Row],[Inicial Asking Price (€) (Total)]]-DATABASE_Table[[#This Row],[Vista membership]]-DATABASE_Table[[#This Row],[FF&amp;E]]</f>
        <v>923772.82799999998</v>
      </c>
      <c r="T297" s="125">
        <v>923772.82799999998</v>
      </c>
      <c r="U297" s="124">
        <v>895000</v>
      </c>
      <c r="V297" s="21"/>
      <c r="W297" s="21"/>
      <c r="X297" s="73">
        <f>DATABASE_Table[[#This Row],[Current Asking price( Total)]]-DATABASE_Table[[#This Row],[Vista membership]]-DATABASE_Table[[#This Row],[FF&amp;E]]</f>
        <v>895000</v>
      </c>
      <c r="Y297" s="126"/>
      <c r="Z297" s="124">
        <v>930000</v>
      </c>
      <c r="AA297" s="73">
        <f>DATABASE_Table[[#This Row],[Sell price (Total)]]-DATABASE_Table[[#This Row],[FF&amp;E]]-DATABASE_Table[[#This Row],[Vista membership]]</f>
        <v>930000</v>
      </c>
      <c r="AB297" s="74">
        <v>46029</v>
      </c>
      <c r="AC297" s="74" t="str">
        <f t="shared" si="4"/>
        <v>Q1 2026</v>
      </c>
      <c r="AD297" s="123"/>
      <c r="AE297" s="69"/>
      <c r="AF297" s="21" t="s">
        <v>10</v>
      </c>
      <c r="AG297" s="21" t="s">
        <v>11</v>
      </c>
      <c r="AH297" s="122" t="s">
        <v>53</v>
      </c>
      <c r="AI297" s="122" t="s">
        <v>54</v>
      </c>
      <c r="AJ297" s="122" t="s">
        <v>805</v>
      </c>
      <c r="AK297" s="122" t="s">
        <v>806</v>
      </c>
      <c r="AL297" s="21" t="s">
        <v>36</v>
      </c>
      <c r="AM297" s="122" t="s">
        <v>52</v>
      </c>
    </row>
    <row r="298" spans="1:39" customFormat="1" ht="15.75" customHeight="1" x14ac:dyDescent="0.3">
      <c r="A298" t="s">
        <v>52</v>
      </c>
      <c r="B298" s="21" t="s">
        <v>627</v>
      </c>
      <c r="C298" s="21" t="s">
        <v>688</v>
      </c>
      <c r="D298" s="117" t="s">
        <v>357</v>
      </c>
      <c r="E298" s="21" t="s">
        <v>9</v>
      </c>
      <c r="F298" s="21" t="s">
        <v>319</v>
      </c>
      <c r="G298" s="21">
        <v>151.25</v>
      </c>
      <c r="H298" s="21"/>
      <c r="I298" s="117" t="s">
        <v>843</v>
      </c>
      <c r="J298" s="117" t="s">
        <v>325</v>
      </c>
      <c r="K298" s="118">
        <v>20.100000000000001</v>
      </c>
      <c r="L298" s="21"/>
      <c r="M298" s="21"/>
      <c r="N298" s="21">
        <v>7.51</v>
      </c>
      <c r="O298" s="21"/>
      <c r="P298" s="21">
        <v>123.64</v>
      </c>
      <c r="Q298" s="21"/>
      <c r="R298" s="21" t="s">
        <v>329</v>
      </c>
      <c r="S298" s="119">
        <f>DATABASE_Table[[#This Row],[Inicial Asking Price (€) (Total)]]-DATABASE_Table[[#This Row],[Vista membership]]-DATABASE_Table[[#This Row],[FF&amp;E]]</f>
        <v>922933.30799999996</v>
      </c>
      <c r="T298" s="125">
        <v>922933.30799999996</v>
      </c>
      <c r="U298" s="124">
        <v>930000</v>
      </c>
      <c r="V298" s="21"/>
      <c r="W298" s="21"/>
      <c r="X298" s="73">
        <f>DATABASE_Table[[#This Row],[Current Asking price( Total)]]-DATABASE_Table[[#This Row],[Vista membership]]-DATABASE_Table[[#This Row],[FF&amp;E]]</f>
        <v>930000</v>
      </c>
      <c r="Y298" s="126"/>
      <c r="Z298" s="124">
        <v>930000</v>
      </c>
      <c r="AA298" s="73">
        <f>DATABASE_Table[[#This Row],[Sell price (Total)]]-DATABASE_Table[[#This Row],[FF&amp;E]]-DATABASE_Table[[#This Row],[Vista membership]]</f>
        <v>930000</v>
      </c>
      <c r="AB298" s="74">
        <v>46029</v>
      </c>
      <c r="AC298" s="74" t="str">
        <f t="shared" si="4"/>
        <v>Q1 2026</v>
      </c>
      <c r="AD298" s="123"/>
      <c r="AE298" s="69"/>
      <c r="AF298" s="21" t="s">
        <v>10</v>
      </c>
      <c r="AG298" s="21" t="s">
        <v>11</v>
      </c>
      <c r="AH298" s="122" t="s">
        <v>53</v>
      </c>
      <c r="AI298" s="122" t="s">
        <v>54</v>
      </c>
      <c r="AJ298" s="122" t="s">
        <v>805</v>
      </c>
      <c r="AK298" s="122" t="s">
        <v>806</v>
      </c>
      <c r="AL298" s="21" t="s">
        <v>36</v>
      </c>
      <c r="AM298" s="122" t="s">
        <v>52</v>
      </c>
    </row>
    <row r="299" spans="1:39" customFormat="1" ht="15.75" customHeight="1" x14ac:dyDescent="0.3">
      <c r="A299" t="s">
        <v>52</v>
      </c>
      <c r="B299" s="21" t="s">
        <v>627</v>
      </c>
      <c r="C299" s="21" t="s">
        <v>688</v>
      </c>
      <c r="D299" s="117" t="s">
        <v>358</v>
      </c>
      <c r="E299" s="21" t="s">
        <v>9</v>
      </c>
      <c r="F299" s="21" t="s">
        <v>319</v>
      </c>
      <c r="G299" s="21">
        <v>151.25</v>
      </c>
      <c r="H299" s="21"/>
      <c r="I299" s="117" t="s">
        <v>843</v>
      </c>
      <c r="J299" s="117" t="s">
        <v>325</v>
      </c>
      <c r="K299" s="118">
        <v>20.100000000000001</v>
      </c>
      <c r="L299" s="21"/>
      <c r="M299" s="21"/>
      <c r="N299" s="21">
        <v>7.51</v>
      </c>
      <c r="O299" s="21"/>
      <c r="P299" s="21">
        <v>123.64</v>
      </c>
      <c r="Q299" s="21"/>
      <c r="R299" s="21" t="s">
        <v>329</v>
      </c>
      <c r="S299" s="119">
        <f>DATABASE_Table[[#This Row],[Inicial Asking Price (€) (Total)]]-DATABASE_Table[[#This Row],[Vista membership]]-DATABASE_Table[[#This Row],[FF&amp;E]]</f>
        <v>922933.30799999996</v>
      </c>
      <c r="T299" s="125">
        <v>922933.30799999996</v>
      </c>
      <c r="U299" s="124">
        <v>950000</v>
      </c>
      <c r="V299" s="21"/>
      <c r="W299" s="21"/>
      <c r="X299" s="73">
        <f>DATABASE_Table[[#This Row],[Current Asking price( Total)]]-DATABASE_Table[[#This Row],[Vista membership]]-DATABASE_Table[[#This Row],[FF&amp;E]]</f>
        <v>950000</v>
      </c>
      <c r="Y299" s="126"/>
      <c r="Z299" s="124">
        <v>930000</v>
      </c>
      <c r="AA299" s="73">
        <f>DATABASE_Table[[#This Row],[Sell price (Total)]]-DATABASE_Table[[#This Row],[FF&amp;E]]-DATABASE_Table[[#This Row],[Vista membership]]</f>
        <v>930000</v>
      </c>
      <c r="AB299" s="74">
        <v>46029</v>
      </c>
      <c r="AC299" s="74" t="str">
        <f t="shared" si="4"/>
        <v>Q1 2026</v>
      </c>
      <c r="AD299" s="123"/>
      <c r="AE299" s="69"/>
      <c r="AF299" s="21" t="s">
        <v>10</v>
      </c>
      <c r="AG299" s="21" t="s">
        <v>11</v>
      </c>
      <c r="AH299" s="122" t="s">
        <v>53</v>
      </c>
      <c r="AI299" s="122" t="s">
        <v>54</v>
      </c>
      <c r="AJ299" s="122" t="s">
        <v>805</v>
      </c>
      <c r="AK299" s="122" t="s">
        <v>806</v>
      </c>
      <c r="AL299" s="21" t="s">
        <v>36</v>
      </c>
      <c r="AM299" s="122" t="s">
        <v>52</v>
      </c>
    </row>
    <row r="300" spans="1:39" customFormat="1" ht="15.75" customHeight="1" x14ac:dyDescent="0.3">
      <c r="A300" t="s">
        <v>52</v>
      </c>
      <c r="B300" s="21" t="s">
        <v>627</v>
      </c>
      <c r="C300" s="21" t="s">
        <v>688</v>
      </c>
      <c r="D300" s="117" t="s">
        <v>359</v>
      </c>
      <c r="E300" s="21" t="s">
        <v>9</v>
      </c>
      <c r="F300" s="21" t="s">
        <v>319</v>
      </c>
      <c r="G300" s="21">
        <v>151.5</v>
      </c>
      <c r="H300" s="21"/>
      <c r="I300" s="117" t="s">
        <v>843</v>
      </c>
      <c r="J300" s="117" t="s">
        <v>325</v>
      </c>
      <c r="K300" s="118">
        <v>27.61</v>
      </c>
      <c r="L300" s="21"/>
      <c r="M300" s="21"/>
      <c r="N300" s="21">
        <v>0</v>
      </c>
      <c r="O300" s="21"/>
      <c r="P300" s="21">
        <v>123.89</v>
      </c>
      <c r="Q300" s="21"/>
      <c r="R300" s="21" t="s">
        <v>329</v>
      </c>
      <c r="S300" s="119">
        <f>DATABASE_Table[[#This Row],[Inicial Asking Price (€) (Total)]]-DATABASE_Table[[#This Row],[Vista membership]]-DATABASE_Table[[#This Row],[FF&amp;E]]</f>
        <v>924682.30799999996</v>
      </c>
      <c r="T300" s="125">
        <v>924682.30799999996</v>
      </c>
      <c r="U300" s="124">
        <v>950000</v>
      </c>
      <c r="V300" s="21"/>
      <c r="W300" s="21"/>
      <c r="X300" s="73">
        <f>DATABASE_Table[[#This Row],[Current Asking price( Total)]]-DATABASE_Table[[#This Row],[Vista membership]]-DATABASE_Table[[#This Row],[FF&amp;E]]</f>
        <v>950000</v>
      </c>
      <c r="Y300" s="126"/>
      <c r="Z300" s="124">
        <v>930000</v>
      </c>
      <c r="AA300" s="73">
        <f>DATABASE_Table[[#This Row],[Sell price (Total)]]-DATABASE_Table[[#This Row],[FF&amp;E]]-DATABASE_Table[[#This Row],[Vista membership]]</f>
        <v>930000</v>
      </c>
      <c r="AB300" s="74">
        <v>46029</v>
      </c>
      <c r="AC300" s="74" t="str">
        <f t="shared" si="4"/>
        <v>Q1 2026</v>
      </c>
      <c r="AD300" s="123"/>
      <c r="AE300" s="69"/>
      <c r="AF300" s="21" t="s">
        <v>10</v>
      </c>
      <c r="AG300" s="21" t="s">
        <v>11</v>
      </c>
      <c r="AH300" s="122" t="s">
        <v>53</v>
      </c>
      <c r="AI300" s="122" t="s">
        <v>54</v>
      </c>
      <c r="AJ300" s="122" t="s">
        <v>805</v>
      </c>
      <c r="AK300" s="122" t="s">
        <v>806</v>
      </c>
      <c r="AL300" s="21" t="s">
        <v>36</v>
      </c>
      <c r="AM300" s="122" t="s">
        <v>52</v>
      </c>
    </row>
    <row r="301" spans="1:39" customFormat="1" ht="15.75" customHeight="1" x14ac:dyDescent="0.3">
      <c r="A301" t="s">
        <v>52</v>
      </c>
      <c r="B301" s="21" t="s">
        <v>627</v>
      </c>
      <c r="C301" s="21" t="s">
        <v>688</v>
      </c>
      <c r="D301" s="117" t="s">
        <v>360</v>
      </c>
      <c r="E301" s="21" t="s">
        <v>9</v>
      </c>
      <c r="F301" s="21" t="s">
        <v>320</v>
      </c>
      <c r="G301" s="21">
        <v>224.06</v>
      </c>
      <c r="H301" s="21"/>
      <c r="I301" s="117" t="s">
        <v>843</v>
      </c>
      <c r="J301" s="117" t="s">
        <v>325</v>
      </c>
      <c r="K301" s="118">
        <v>44.72</v>
      </c>
      <c r="L301" s="21"/>
      <c r="M301" s="21"/>
      <c r="N301" s="21">
        <v>10.93</v>
      </c>
      <c r="O301" s="21"/>
      <c r="P301" s="21">
        <v>168.41</v>
      </c>
      <c r="Q301" s="21"/>
      <c r="R301" s="21" t="s">
        <v>329</v>
      </c>
      <c r="S301" s="119">
        <f>DATABASE_Table[[#This Row],[Inicial Asking Price (€) (Total)]]-DATABASE_Table[[#This Row],[Vista membership]]-DATABASE_Table[[#This Row],[FF&amp;E]]</f>
        <v>1527052.8</v>
      </c>
      <c r="T301" s="125">
        <v>1527052.8</v>
      </c>
      <c r="U301" s="124">
        <v>1550000</v>
      </c>
      <c r="V301" s="21"/>
      <c r="W301" s="21"/>
      <c r="X301" s="73">
        <f>DATABASE_Table[[#This Row],[Current Asking price( Total)]]-DATABASE_Table[[#This Row],[Vista membership]]-DATABASE_Table[[#This Row],[FF&amp;E]]</f>
        <v>1550000</v>
      </c>
      <c r="Y301" s="126"/>
      <c r="Z301" s="124">
        <v>1530000</v>
      </c>
      <c r="AA301" s="73">
        <f>DATABASE_Table[[#This Row],[Sell price (Total)]]-DATABASE_Table[[#This Row],[FF&amp;E]]-DATABASE_Table[[#This Row],[Vista membership]]</f>
        <v>1530000</v>
      </c>
      <c r="AB301" s="74">
        <v>46029</v>
      </c>
      <c r="AC301" s="74" t="str">
        <f t="shared" si="4"/>
        <v>Q1 2026</v>
      </c>
      <c r="AD301" s="123"/>
      <c r="AE301" s="69"/>
      <c r="AF301" s="21" t="s">
        <v>10</v>
      </c>
      <c r="AG301" s="21" t="s">
        <v>11</v>
      </c>
      <c r="AH301" s="122" t="s">
        <v>53</v>
      </c>
      <c r="AI301" s="122" t="s">
        <v>54</v>
      </c>
      <c r="AJ301" s="122" t="s">
        <v>805</v>
      </c>
      <c r="AK301" s="122" t="s">
        <v>806</v>
      </c>
      <c r="AL301" s="21" t="s">
        <v>36</v>
      </c>
      <c r="AM301" s="122" t="s">
        <v>52</v>
      </c>
    </row>
    <row r="302" spans="1:39" customFormat="1" ht="15.75" customHeight="1" x14ac:dyDescent="0.3">
      <c r="A302" t="s">
        <v>52</v>
      </c>
      <c r="B302" s="21" t="s">
        <v>627</v>
      </c>
      <c r="C302" s="21" t="s">
        <v>688</v>
      </c>
      <c r="D302" s="117" t="s">
        <v>361</v>
      </c>
      <c r="E302" s="21" t="s">
        <v>9</v>
      </c>
      <c r="F302" s="21" t="s">
        <v>320</v>
      </c>
      <c r="G302" s="21">
        <v>223.75</v>
      </c>
      <c r="H302" s="21"/>
      <c r="I302" s="117" t="s">
        <v>843</v>
      </c>
      <c r="J302" s="117" t="s">
        <v>325</v>
      </c>
      <c r="K302" s="118">
        <v>55.65</v>
      </c>
      <c r="L302" s="21"/>
      <c r="M302" s="21"/>
      <c r="N302" s="21">
        <v>0</v>
      </c>
      <c r="O302" s="21"/>
      <c r="P302" s="21">
        <v>168.1</v>
      </c>
      <c r="Q302" s="21"/>
      <c r="R302" s="21" t="s">
        <v>329</v>
      </c>
      <c r="S302" s="119">
        <f>DATABASE_Table[[#This Row],[Inicial Asking Price (€) (Total)]]-DATABASE_Table[[#This Row],[Vista membership]]-DATABASE_Table[[#This Row],[FF&amp;E]]</f>
        <v>1584023.35</v>
      </c>
      <c r="T302" s="125">
        <v>1584023.35</v>
      </c>
      <c r="U302" s="124">
        <v>1650000</v>
      </c>
      <c r="V302" s="21"/>
      <c r="W302" s="21"/>
      <c r="X302" s="73">
        <f>DATABASE_Table[[#This Row],[Current Asking price( Total)]]-DATABASE_Table[[#This Row],[Vista membership]]-DATABASE_Table[[#This Row],[FF&amp;E]]</f>
        <v>1650000</v>
      </c>
      <c r="Y302" s="126"/>
      <c r="Z302" s="124">
        <v>1637700</v>
      </c>
      <c r="AA302" s="73">
        <f>DATABASE_Table[[#This Row],[Sell price (Total)]]-DATABASE_Table[[#This Row],[FF&amp;E]]-DATABASE_Table[[#This Row],[Vista membership]]</f>
        <v>1637700</v>
      </c>
      <c r="AB302" s="74">
        <v>46029</v>
      </c>
      <c r="AC302" s="74" t="str">
        <f t="shared" si="4"/>
        <v>Q1 2026</v>
      </c>
      <c r="AD302" s="123"/>
      <c r="AE302" s="69"/>
      <c r="AF302" s="21" t="s">
        <v>10</v>
      </c>
      <c r="AG302" s="21" t="s">
        <v>11</v>
      </c>
      <c r="AH302" s="122" t="s">
        <v>53</v>
      </c>
      <c r="AI302" s="122" t="s">
        <v>54</v>
      </c>
      <c r="AJ302" s="122" t="s">
        <v>805</v>
      </c>
      <c r="AK302" s="122" t="s">
        <v>806</v>
      </c>
      <c r="AL302" s="21" t="s">
        <v>36</v>
      </c>
      <c r="AM302" s="122" t="s">
        <v>52</v>
      </c>
    </row>
    <row r="303" spans="1:39" customFormat="1" ht="15.75" customHeight="1" x14ac:dyDescent="0.3">
      <c r="A303" t="s">
        <v>37</v>
      </c>
      <c r="B303" s="21" t="s">
        <v>626</v>
      </c>
      <c r="C303" s="21" t="s">
        <v>688</v>
      </c>
      <c r="D303" s="117" t="s">
        <v>833</v>
      </c>
      <c r="E303" s="21" t="s">
        <v>9</v>
      </c>
      <c r="F303" s="21" t="s">
        <v>553</v>
      </c>
      <c r="G303" s="21">
        <v>480</v>
      </c>
      <c r="H303" s="21"/>
      <c r="I303" s="117" t="s">
        <v>325</v>
      </c>
      <c r="J303" s="117" t="s">
        <v>325</v>
      </c>
      <c r="K303" s="118"/>
      <c r="L303" s="21"/>
      <c r="M303" s="21"/>
      <c r="N303" s="21"/>
      <c r="O303" s="21"/>
      <c r="P303" s="21">
        <v>480</v>
      </c>
      <c r="Q303" s="21"/>
      <c r="R303" s="21" t="s">
        <v>327</v>
      </c>
      <c r="S303" s="119">
        <f>DATABASE_Table[[#This Row],[Inicial Asking Price (€) (Total)]]-DATABASE_Table[[#This Row],[Vista membership]]-DATABASE_Table[[#This Row],[FF&amp;E]]</f>
        <v>3230000</v>
      </c>
      <c r="T303" s="125">
        <v>3230000</v>
      </c>
      <c r="U303" s="124">
        <v>2200000</v>
      </c>
      <c r="V303" s="21"/>
      <c r="W303" s="21"/>
      <c r="X303" s="73">
        <f>DATABASE_Table[[#This Row],[Current Asking price( Total)]]-DATABASE_Table[[#This Row],[Vista membership]]-DATABASE_Table[[#This Row],[FF&amp;E]]</f>
        <v>2200000</v>
      </c>
      <c r="Y303" s="126">
        <v>0</v>
      </c>
      <c r="Z303" s="124">
        <v>2200000</v>
      </c>
      <c r="AA303" s="73">
        <f>DATABASE_Table[[#This Row],[Sell price (Total)]]-DATABASE_Table[[#This Row],[FF&amp;E]]-DATABASE_Table[[#This Row],[Vista membership]]</f>
        <v>2200000</v>
      </c>
      <c r="AB303" s="74">
        <v>46102</v>
      </c>
      <c r="AC303" s="74" t="str">
        <f t="shared" si="4"/>
        <v>Q1 2026</v>
      </c>
      <c r="AD303" s="123">
        <v>46174</v>
      </c>
      <c r="AE303" s="69"/>
      <c r="AF303" s="21" t="s">
        <v>10</v>
      </c>
      <c r="AG303" s="21" t="s">
        <v>35</v>
      </c>
      <c r="AH303" s="122" t="s">
        <v>38</v>
      </c>
      <c r="AI303" s="122" t="s">
        <v>39</v>
      </c>
      <c r="AJ303" s="122" t="s">
        <v>40</v>
      </c>
      <c r="AK303" s="122" t="s">
        <v>804</v>
      </c>
      <c r="AL303" s="21" t="s">
        <v>41</v>
      </c>
      <c r="AM303" s="122" t="s">
        <v>37</v>
      </c>
    </row>
    <row r="304" spans="1:39" customFormat="1" ht="15.75" customHeight="1" x14ac:dyDescent="0.3">
      <c r="A304" t="s">
        <v>37</v>
      </c>
      <c r="B304" s="21" t="s">
        <v>626</v>
      </c>
      <c r="C304" s="21" t="s">
        <v>688</v>
      </c>
      <c r="D304" s="117" t="s">
        <v>841</v>
      </c>
      <c r="E304" s="21" t="s">
        <v>9</v>
      </c>
      <c r="F304" s="21" t="s">
        <v>553</v>
      </c>
      <c r="G304" s="21">
        <v>260</v>
      </c>
      <c r="H304" s="21"/>
      <c r="I304" s="117" t="s">
        <v>325</v>
      </c>
      <c r="J304" s="117" t="s">
        <v>325</v>
      </c>
      <c r="K304" s="118"/>
      <c r="L304" s="21"/>
      <c r="M304" s="21"/>
      <c r="N304" s="21"/>
      <c r="O304" s="21"/>
      <c r="P304" s="21">
        <v>260</v>
      </c>
      <c r="Q304" s="21"/>
      <c r="R304" s="21" t="s">
        <v>327</v>
      </c>
      <c r="S304" s="119">
        <f>DATABASE_Table[[#This Row],[Inicial Asking Price (€) (Total)]]-DATABASE_Table[[#This Row],[Vista membership]]-DATABASE_Table[[#This Row],[FF&amp;E]]</f>
        <v>3150000</v>
      </c>
      <c r="T304" s="125">
        <v>3150000</v>
      </c>
      <c r="U304" s="124">
        <v>780000</v>
      </c>
      <c r="V304" s="21"/>
      <c r="W304" s="21"/>
      <c r="X304" s="73">
        <f>DATABASE_Table[[#This Row],[Current Asking price( Total)]]-DATABASE_Table[[#This Row],[Vista membership]]-DATABASE_Table[[#This Row],[FF&amp;E]]</f>
        <v>780000</v>
      </c>
      <c r="Y304" s="126">
        <v>0</v>
      </c>
      <c r="Z304" s="124">
        <v>780000</v>
      </c>
      <c r="AA304" s="73">
        <f>DATABASE_Table[[#This Row],[Sell price (Total)]]-DATABASE_Table[[#This Row],[FF&amp;E]]-DATABASE_Table[[#This Row],[Vista membership]]</f>
        <v>780000</v>
      </c>
      <c r="AB304" s="74">
        <v>46102</v>
      </c>
      <c r="AC304" s="74" t="str">
        <f t="shared" si="4"/>
        <v>Q1 2026</v>
      </c>
      <c r="AD304" s="123">
        <v>46174</v>
      </c>
      <c r="AE304" s="69"/>
      <c r="AF304" s="21" t="s">
        <v>10</v>
      </c>
      <c r="AG304" s="21" t="s">
        <v>35</v>
      </c>
      <c r="AH304" s="122" t="s">
        <v>38</v>
      </c>
      <c r="AI304" s="122" t="s">
        <v>39</v>
      </c>
      <c r="AJ304" s="122" t="s">
        <v>40</v>
      </c>
      <c r="AK304" s="122" t="s">
        <v>804</v>
      </c>
      <c r="AL304" s="21" t="s">
        <v>41</v>
      </c>
      <c r="AM304" s="122" t="s">
        <v>37</v>
      </c>
    </row>
    <row r="305" spans="1:39" customFormat="1" ht="15.75" customHeight="1" x14ac:dyDescent="0.3">
      <c r="A305" t="s">
        <v>37</v>
      </c>
      <c r="B305" s="21" t="s">
        <v>626</v>
      </c>
      <c r="C305" s="21" t="s">
        <v>688</v>
      </c>
      <c r="D305" s="117" t="s">
        <v>829</v>
      </c>
      <c r="E305" s="21" t="s">
        <v>9</v>
      </c>
      <c r="F305" s="21" t="s">
        <v>553</v>
      </c>
      <c r="G305" s="21">
        <v>298</v>
      </c>
      <c r="H305" s="21"/>
      <c r="I305" s="117" t="s">
        <v>325</v>
      </c>
      <c r="J305" s="117" t="s">
        <v>325</v>
      </c>
      <c r="K305" s="118"/>
      <c r="L305" s="21"/>
      <c r="M305" s="21"/>
      <c r="N305" s="21"/>
      <c r="O305" s="21"/>
      <c r="P305" s="21">
        <v>298</v>
      </c>
      <c r="Q305" s="21"/>
      <c r="R305" s="21" t="s">
        <v>625</v>
      </c>
      <c r="S305" s="119">
        <f>DATABASE_Table[[#This Row],[Inicial Asking Price (€) (Total)]]-DATABASE_Table[[#This Row],[Vista membership]]-DATABASE_Table[[#This Row],[FF&amp;E]]</f>
        <v>3210000</v>
      </c>
      <c r="T305" s="125">
        <v>3210000</v>
      </c>
      <c r="U305" s="124">
        <v>1530000</v>
      </c>
      <c r="V305" s="21"/>
      <c r="W305" s="21"/>
      <c r="X305" s="73">
        <f>DATABASE_Table[[#This Row],[Current Asking price( Total)]]-DATABASE_Table[[#This Row],[Vista membership]]-DATABASE_Table[[#This Row],[FF&amp;E]]</f>
        <v>1530000</v>
      </c>
      <c r="Y305" s="126">
        <v>0</v>
      </c>
      <c r="Z305" s="124">
        <v>1530000</v>
      </c>
      <c r="AA305" s="73">
        <f>DATABASE_Table[[#This Row],[Sell price (Total)]]-DATABASE_Table[[#This Row],[FF&amp;E]]-DATABASE_Table[[#This Row],[Vista membership]]</f>
        <v>1530000</v>
      </c>
      <c r="AB305" s="74">
        <v>46102</v>
      </c>
      <c r="AC305" s="74" t="str">
        <f t="shared" si="4"/>
        <v>Q1 2026</v>
      </c>
      <c r="AD305" s="123">
        <v>46104</v>
      </c>
      <c r="AE305" s="69"/>
      <c r="AF305" s="21" t="s">
        <v>10</v>
      </c>
      <c r="AG305" s="21" t="s">
        <v>35</v>
      </c>
      <c r="AH305" s="122" t="s">
        <v>38</v>
      </c>
      <c r="AI305" s="122" t="s">
        <v>39</v>
      </c>
      <c r="AJ305" s="122" t="s">
        <v>40</v>
      </c>
      <c r="AK305" s="122" t="s">
        <v>804</v>
      </c>
      <c r="AL305" s="21" t="s">
        <v>41</v>
      </c>
      <c r="AM305" s="122" t="s">
        <v>37</v>
      </c>
    </row>
    <row r="306" spans="1:39" customFormat="1" ht="15.75" customHeight="1" x14ac:dyDescent="0.3">
      <c r="A306" t="s">
        <v>37</v>
      </c>
      <c r="B306" s="21" t="s">
        <v>626</v>
      </c>
      <c r="C306" s="21" t="s">
        <v>688</v>
      </c>
      <c r="D306" s="117" t="s">
        <v>842</v>
      </c>
      <c r="E306" s="21" t="s">
        <v>9</v>
      </c>
      <c r="F306" s="21" t="s">
        <v>553</v>
      </c>
      <c r="G306" s="21">
        <v>295</v>
      </c>
      <c r="H306" s="21"/>
      <c r="I306" s="117" t="s">
        <v>325</v>
      </c>
      <c r="J306" s="117" t="s">
        <v>325</v>
      </c>
      <c r="K306" s="118"/>
      <c r="L306" s="21"/>
      <c r="M306" s="21"/>
      <c r="N306" s="21"/>
      <c r="O306" s="21"/>
      <c r="P306" s="21">
        <v>295</v>
      </c>
      <c r="Q306" s="21"/>
      <c r="R306" s="21" t="s">
        <v>329</v>
      </c>
      <c r="S306" s="119">
        <f>DATABASE_Table[[#This Row],[Inicial Asking Price (€) (Total)]]-DATABASE_Table[[#This Row],[Vista membership]]-DATABASE_Table[[#This Row],[FF&amp;E]]</f>
        <v>2690000</v>
      </c>
      <c r="T306" s="125">
        <v>2690000</v>
      </c>
      <c r="U306" s="124">
        <v>2580000</v>
      </c>
      <c r="V306" s="21"/>
      <c r="W306" s="21"/>
      <c r="X306" s="73">
        <f>DATABASE_Table[[#This Row],[Current Asking price( Total)]]-DATABASE_Table[[#This Row],[Vista membership]]-DATABASE_Table[[#This Row],[FF&amp;E]]</f>
        <v>2580000</v>
      </c>
      <c r="Y306" s="126"/>
      <c r="Z306" s="124">
        <v>2580000</v>
      </c>
      <c r="AA306" s="73">
        <f>DATABASE_Table[[#This Row],[Sell price (Total)]]-DATABASE_Table[[#This Row],[FF&amp;E]]-DATABASE_Table[[#This Row],[Vista membership]]</f>
        <v>2580000</v>
      </c>
      <c r="AB306" s="74">
        <v>46102</v>
      </c>
      <c r="AC306" s="74" t="str">
        <f t="shared" si="4"/>
        <v>Q1 2026</v>
      </c>
      <c r="AD306" s="123"/>
      <c r="AE306" s="69"/>
      <c r="AF306" s="21" t="s">
        <v>10</v>
      </c>
      <c r="AG306" s="21" t="s">
        <v>35</v>
      </c>
      <c r="AH306" s="122" t="s">
        <v>38</v>
      </c>
      <c r="AI306" s="122" t="s">
        <v>39</v>
      </c>
      <c r="AJ306" s="122" t="s">
        <v>40</v>
      </c>
      <c r="AK306" s="122" t="s">
        <v>804</v>
      </c>
      <c r="AL306" s="21" t="s">
        <v>41</v>
      </c>
      <c r="AM306" s="122" t="s">
        <v>37</v>
      </c>
    </row>
    <row r="307" spans="1:39" customFormat="1" ht="15.75" customHeight="1" x14ac:dyDescent="0.3">
      <c r="A307" t="s">
        <v>37</v>
      </c>
      <c r="B307" s="21" t="s">
        <v>626</v>
      </c>
      <c r="C307" s="21" t="s">
        <v>688</v>
      </c>
      <c r="D307" s="117" t="s">
        <v>851</v>
      </c>
      <c r="E307" s="21" t="s">
        <v>9</v>
      </c>
      <c r="F307" s="21" t="s">
        <v>553</v>
      </c>
      <c r="G307" s="21">
        <v>280</v>
      </c>
      <c r="H307" s="21"/>
      <c r="I307" s="117" t="s">
        <v>325</v>
      </c>
      <c r="J307" s="117" t="s">
        <v>325</v>
      </c>
      <c r="K307" s="118"/>
      <c r="L307" s="21"/>
      <c r="M307" s="21"/>
      <c r="N307" s="21"/>
      <c r="O307" s="21"/>
      <c r="P307" s="21">
        <v>280</v>
      </c>
      <c r="Q307" s="21"/>
      <c r="R307" s="21" t="s">
        <v>329</v>
      </c>
      <c r="S307" s="119">
        <f>DATABASE_Table[[#This Row],[Inicial Asking Price (€) (Total)]]-DATABASE_Table[[#This Row],[Vista membership]]-DATABASE_Table[[#This Row],[FF&amp;E]]</f>
        <v>3180000</v>
      </c>
      <c r="T307" s="125">
        <v>3180000</v>
      </c>
      <c r="U307" s="124">
        <v>1350000</v>
      </c>
      <c r="V307" s="21"/>
      <c r="W307" s="21"/>
      <c r="X307" s="73">
        <f>DATABASE_Table[[#This Row],[Current Asking price( Total)]]-DATABASE_Table[[#This Row],[Vista membership]]-DATABASE_Table[[#This Row],[FF&amp;E]]</f>
        <v>1350000</v>
      </c>
      <c r="Y307" s="126"/>
      <c r="Z307" s="124">
        <v>1350000</v>
      </c>
      <c r="AA307" s="73">
        <f>DATABASE_Table[[#This Row],[Sell price (Total)]]-DATABASE_Table[[#This Row],[FF&amp;E]]-DATABASE_Table[[#This Row],[Vista membership]]</f>
        <v>1350000</v>
      </c>
      <c r="AB307" s="74">
        <v>46102</v>
      </c>
      <c r="AC307" s="74" t="str">
        <f t="shared" si="4"/>
        <v>Q1 2026</v>
      </c>
      <c r="AD307" s="123"/>
      <c r="AE307" s="69"/>
      <c r="AF307" s="21" t="s">
        <v>10</v>
      </c>
      <c r="AG307" s="21" t="s">
        <v>35</v>
      </c>
      <c r="AH307" s="122" t="s">
        <v>38</v>
      </c>
      <c r="AI307" s="122" t="s">
        <v>39</v>
      </c>
      <c r="AJ307" s="122" t="s">
        <v>40</v>
      </c>
      <c r="AK307" s="122" t="s">
        <v>804</v>
      </c>
      <c r="AL307" s="21" t="s">
        <v>41</v>
      </c>
      <c r="AM307" s="122" t="s">
        <v>37</v>
      </c>
    </row>
    <row r="308" spans="1:39" customFormat="1" ht="15.75" customHeight="1" x14ac:dyDescent="0.3">
      <c r="A308" t="s">
        <v>37</v>
      </c>
      <c r="B308" s="21" t="s">
        <v>626</v>
      </c>
      <c r="C308" s="21" t="s">
        <v>688</v>
      </c>
      <c r="D308" s="117" t="s">
        <v>830</v>
      </c>
      <c r="E308" s="21" t="s">
        <v>9</v>
      </c>
      <c r="F308" s="21" t="s">
        <v>553</v>
      </c>
      <c r="G308" s="21">
        <v>280</v>
      </c>
      <c r="H308" s="21"/>
      <c r="I308" s="117" t="s">
        <v>325</v>
      </c>
      <c r="J308" s="117" t="s">
        <v>325</v>
      </c>
      <c r="K308" s="118"/>
      <c r="L308" s="21"/>
      <c r="M308" s="21"/>
      <c r="N308" s="21"/>
      <c r="O308" s="21"/>
      <c r="P308" s="21">
        <v>280</v>
      </c>
      <c r="Q308" s="21"/>
      <c r="R308" s="21" t="s">
        <v>329</v>
      </c>
      <c r="S308" s="119">
        <f>DATABASE_Table[[#This Row],[Inicial Asking Price (€) (Total)]]-DATABASE_Table[[#This Row],[Vista membership]]-DATABASE_Table[[#This Row],[FF&amp;E]]</f>
        <v>3660000</v>
      </c>
      <c r="T308" s="125">
        <v>3660000</v>
      </c>
      <c r="U308" s="124">
        <v>1220000</v>
      </c>
      <c r="V308" s="21"/>
      <c r="W308" s="21"/>
      <c r="X308" s="73">
        <f>DATABASE_Table[[#This Row],[Current Asking price( Total)]]-DATABASE_Table[[#This Row],[Vista membership]]-DATABASE_Table[[#This Row],[FF&amp;E]]</f>
        <v>1220000</v>
      </c>
      <c r="Y308" s="126"/>
      <c r="Z308" s="124">
        <v>1220000</v>
      </c>
      <c r="AA308" s="73">
        <f>DATABASE_Table[[#This Row],[Sell price (Total)]]-DATABASE_Table[[#This Row],[FF&amp;E]]-DATABASE_Table[[#This Row],[Vista membership]]</f>
        <v>1220000</v>
      </c>
      <c r="AB308" s="74">
        <v>46102</v>
      </c>
      <c r="AC308" s="74" t="str">
        <f t="shared" si="4"/>
        <v>Q1 2026</v>
      </c>
      <c r="AD308" s="123"/>
      <c r="AE308" s="69"/>
      <c r="AF308" s="21" t="s">
        <v>10</v>
      </c>
      <c r="AG308" s="21" t="s">
        <v>35</v>
      </c>
      <c r="AH308" s="122" t="s">
        <v>38</v>
      </c>
      <c r="AI308" s="122" t="s">
        <v>39</v>
      </c>
      <c r="AJ308" s="122" t="s">
        <v>40</v>
      </c>
      <c r="AK308" s="122" t="s">
        <v>804</v>
      </c>
      <c r="AL308" s="21" t="s">
        <v>41</v>
      </c>
      <c r="AM308" s="122" t="s">
        <v>37</v>
      </c>
    </row>
    <row r="309" spans="1:39" customFormat="1" ht="15.75" customHeight="1" x14ac:dyDescent="0.3">
      <c r="A309" t="s">
        <v>37</v>
      </c>
      <c r="B309" s="21" t="s">
        <v>626</v>
      </c>
      <c r="C309" s="21" t="s">
        <v>688</v>
      </c>
      <c r="D309" s="117" t="s">
        <v>831</v>
      </c>
      <c r="E309" s="21" t="s">
        <v>9</v>
      </c>
      <c r="F309" s="21" t="s">
        <v>553</v>
      </c>
      <c r="G309" s="21">
        <v>560</v>
      </c>
      <c r="H309" s="21"/>
      <c r="I309" s="117" t="s">
        <v>325</v>
      </c>
      <c r="J309" s="117" t="s">
        <v>325</v>
      </c>
      <c r="K309" s="118"/>
      <c r="L309" s="21"/>
      <c r="M309" s="21"/>
      <c r="N309" s="21"/>
      <c r="O309" s="21"/>
      <c r="P309" s="21">
        <v>560</v>
      </c>
      <c r="Q309" s="21"/>
      <c r="R309" s="21" t="s">
        <v>329</v>
      </c>
      <c r="S309" s="119">
        <f>DATABASE_Table[[#This Row],[Inicial Asking Price (€) (Total)]]-DATABASE_Table[[#This Row],[Vista membership]]-DATABASE_Table[[#This Row],[FF&amp;E]]</f>
        <v>3360000</v>
      </c>
      <c r="T309" s="125">
        <v>3360000</v>
      </c>
      <c r="U309" s="124">
        <v>2630000</v>
      </c>
      <c r="V309" s="21"/>
      <c r="W309" s="21"/>
      <c r="X309" s="73">
        <f>DATABASE_Table[[#This Row],[Current Asking price( Total)]]-DATABASE_Table[[#This Row],[Vista membership]]-DATABASE_Table[[#This Row],[FF&amp;E]]</f>
        <v>2630000</v>
      </c>
      <c r="Y309" s="126"/>
      <c r="Z309" s="124">
        <v>2630000</v>
      </c>
      <c r="AA309" s="73">
        <f>DATABASE_Table[[#This Row],[Sell price (Total)]]-DATABASE_Table[[#This Row],[FF&amp;E]]-DATABASE_Table[[#This Row],[Vista membership]]</f>
        <v>2630000</v>
      </c>
      <c r="AB309" s="74">
        <v>46102</v>
      </c>
      <c r="AC309" s="74" t="str">
        <f t="shared" si="4"/>
        <v>Q1 2026</v>
      </c>
      <c r="AD309" s="123"/>
      <c r="AE309" s="69"/>
      <c r="AF309" s="21" t="s">
        <v>10</v>
      </c>
      <c r="AG309" s="21" t="s">
        <v>35</v>
      </c>
      <c r="AH309" s="122" t="s">
        <v>38</v>
      </c>
      <c r="AI309" s="122" t="s">
        <v>39</v>
      </c>
      <c r="AJ309" s="122" t="s">
        <v>40</v>
      </c>
      <c r="AK309" s="122" t="s">
        <v>804</v>
      </c>
      <c r="AL309" s="21" t="s">
        <v>41</v>
      </c>
      <c r="AM309" s="122" t="s">
        <v>37</v>
      </c>
    </row>
    <row r="310" spans="1:39" customFormat="1" ht="15.75" customHeight="1" x14ac:dyDescent="0.3">
      <c r="A310" t="s">
        <v>37</v>
      </c>
      <c r="B310" s="21" t="s">
        <v>626</v>
      </c>
      <c r="C310" s="21" t="s">
        <v>688</v>
      </c>
      <c r="D310" s="117" t="s">
        <v>832</v>
      </c>
      <c r="E310" s="21" t="s">
        <v>9</v>
      </c>
      <c r="F310" s="21" t="s">
        <v>553</v>
      </c>
      <c r="G310" s="21">
        <v>560</v>
      </c>
      <c r="H310" s="21"/>
      <c r="I310" s="117" t="s">
        <v>325</v>
      </c>
      <c r="J310" s="117" t="s">
        <v>325</v>
      </c>
      <c r="K310" s="118"/>
      <c r="L310" s="21"/>
      <c r="M310" s="21"/>
      <c r="N310" s="21"/>
      <c r="O310" s="21"/>
      <c r="P310" s="21">
        <v>560</v>
      </c>
      <c r="Q310" s="21"/>
      <c r="R310" s="21" t="s">
        <v>329</v>
      </c>
      <c r="S310" s="119">
        <f>DATABASE_Table[[#This Row],[Inicial Asking Price (€) (Total)]]-DATABASE_Table[[#This Row],[Vista membership]]-DATABASE_Table[[#This Row],[FF&amp;E]]</f>
        <v>3230000</v>
      </c>
      <c r="T310" s="125">
        <v>3230000</v>
      </c>
      <c r="U310" s="124">
        <v>2610000</v>
      </c>
      <c r="V310" s="21"/>
      <c r="W310" s="21"/>
      <c r="X310" s="73">
        <f>DATABASE_Table[[#This Row],[Current Asking price( Total)]]-DATABASE_Table[[#This Row],[Vista membership]]-DATABASE_Table[[#This Row],[FF&amp;E]]</f>
        <v>2610000</v>
      </c>
      <c r="Y310" s="126"/>
      <c r="Z310" s="124">
        <v>2610000</v>
      </c>
      <c r="AA310" s="73">
        <f>DATABASE_Table[[#This Row],[Sell price (Total)]]-DATABASE_Table[[#This Row],[FF&amp;E]]-DATABASE_Table[[#This Row],[Vista membership]]</f>
        <v>2610000</v>
      </c>
      <c r="AB310" s="74">
        <v>46102</v>
      </c>
      <c r="AC310" s="74" t="str">
        <f t="shared" si="4"/>
        <v>Q1 2026</v>
      </c>
      <c r="AD310" s="123"/>
      <c r="AE310" s="69"/>
      <c r="AF310" s="21" t="s">
        <v>10</v>
      </c>
      <c r="AG310" s="21" t="s">
        <v>35</v>
      </c>
      <c r="AH310" s="122" t="s">
        <v>38</v>
      </c>
      <c r="AI310" s="122" t="s">
        <v>39</v>
      </c>
      <c r="AJ310" s="122" t="s">
        <v>40</v>
      </c>
      <c r="AK310" s="122" t="s">
        <v>804</v>
      </c>
      <c r="AL310" s="21" t="s">
        <v>41</v>
      </c>
      <c r="AM310" s="122" t="s">
        <v>37</v>
      </c>
    </row>
    <row r="311" spans="1:39" customFormat="1" ht="15.75" customHeight="1" x14ac:dyDescent="0.3">
      <c r="A311" t="s">
        <v>37</v>
      </c>
      <c r="B311" s="21" t="s">
        <v>626</v>
      </c>
      <c r="C311" s="21" t="s">
        <v>688</v>
      </c>
      <c r="D311" s="117" t="s">
        <v>834</v>
      </c>
      <c r="E311" s="21" t="s">
        <v>9</v>
      </c>
      <c r="F311" s="21" t="s">
        <v>553</v>
      </c>
      <c r="G311" s="21">
        <v>480</v>
      </c>
      <c r="H311" s="21"/>
      <c r="I311" s="117" t="s">
        <v>325</v>
      </c>
      <c r="J311" s="117" t="s">
        <v>325</v>
      </c>
      <c r="K311" s="118"/>
      <c r="L311" s="21"/>
      <c r="M311" s="21"/>
      <c r="N311" s="21"/>
      <c r="O311" s="21"/>
      <c r="P311" s="21">
        <v>480</v>
      </c>
      <c r="Q311" s="21"/>
      <c r="R311" s="21" t="s">
        <v>329</v>
      </c>
      <c r="S311" s="119">
        <f>DATABASE_Table[[#This Row],[Inicial Asking Price (€) (Total)]]-DATABASE_Table[[#This Row],[Vista membership]]-DATABASE_Table[[#This Row],[FF&amp;E]]</f>
        <v>3120000</v>
      </c>
      <c r="T311" s="125">
        <v>3120000</v>
      </c>
      <c r="U311" s="124">
        <v>2160000</v>
      </c>
      <c r="V311" s="21"/>
      <c r="W311" s="21"/>
      <c r="X311" s="73">
        <f>DATABASE_Table[[#This Row],[Current Asking price( Total)]]-DATABASE_Table[[#This Row],[Vista membership]]-DATABASE_Table[[#This Row],[FF&amp;E]]</f>
        <v>2160000</v>
      </c>
      <c r="Y311" s="126"/>
      <c r="Z311" s="124">
        <v>2160000</v>
      </c>
      <c r="AA311" s="73">
        <f>DATABASE_Table[[#This Row],[Sell price (Total)]]-DATABASE_Table[[#This Row],[FF&amp;E]]-DATABASE_Table[[#This Row],[Vista membership]]</f>
        <v>2160000</v>
      </c>
      <c r="AB311" s="74">
        <v>46102</v>
      </c>
      <c r="AC311" s="74" t="str">
        <f t="shared" si="4"/>
        <v>Q1 2026</v>
      </c>
      <c r="AD311" s="123"/>
      <c r="AE311" s="69"/>
      <c r="AF311" s="21" t="s">
        <v>10</v>
      </c>
      <c r="AG311" s="21" t="s">
        <v>35</v>
      </c>
      <c r="AH311" s="122" t="s">
        <v>38</v>
      </c>
      <c r="AI311" s="122" t="s">
        <v>39</v>
      </c>
      <c r="AJ311" s="122" t="s">
        <v>40</v>
      </c>
      <c r="AK311" s="122" t="s">
        <v>804</v>
      </c>
      <c r="AL311" s="21" t="s">
        <v>41</v>
      </c>
      <c r="AM311" s="122" t="s">
        <v>37</v>
      </c>
    </row>
    <row r="312" spans="1:39" customFormat="1" ht="15.75" customHeight="1" x14ac:dyDescent="0.3">
      <c r="A312" t="s">
        <v>37</v>
      </c>
      <c r="B312" s="21" t="s">
        <v>626</v>
      </c>
      <c r="C312" s="21" t="s">
        <v>688</v>
      </c>
      <c r="D312" s="117" t="s">
        <v>835</v>
      </c>
      <c r="E312" s="21" t="s">
        <v>9</v>
      </c>
      <c r="F312" s="21" t="s">
        <v>553</v>
      </c>
      <c r="G312" s="21">
        <v>220</v>
      </c>
      <c r="H312" s="21"/>
      <c r="I312" s="117" t="s">
        <v>325</v>
      </c>
      <c r="J312" s="117" t="s">
        <v>325</v>
      </c>
      <c r="K312" s="118"/>
      <c r="L312" s="21"/>
      <c r="M312" s="21"/>
      <c r="N312" s="21"/>
      <c r="O312" s="21"/>
      <c r="P312" s="21">
        <v>220</v>
      </c>
      <c r="Q312" s="21"/>
      <c r="R312" s="21" t="s">
        <v>329</v>
      </c>
      <c r="S312" s="119">
        <f>DATABASE_Table[[#This Row],[Inicial Asking Price (€) (Total)]]-DATABASE_Table[[#This Row],[Vista membership]]-DATABASE_Table[[#This Row],[FF&amp;E]]</f>
        <v>3100000</v>
      </c>
      <c r="T312" s="125">
        <v>3100000</v>
      </c>
      <c r="U312" s="124">
        <v>980000</v>
      </c>
      <c r="V312" s="21"/>
      <c r="W312" s="21"/>
      <c r="X312" s="73">
        <f>DATABASE_Table[[#This Row],[Current Asking price( Total)]]-DATABASE_Table[[#This Row],[Vista membership]]-DATABASE_Table[[#This Row],[FF&amp;E]]</f>
        <v>980000</v>
      </c>
      <c r="Y312" s="126"/>
      <c r="Z312" s="124">
        <v>980000</v>
      </c>
      <c r="AA312" s="73">
        <f>DATABASE_Table[[#This Row],[Sell price (Total)]]-DATABASE_Table[[#This Row],[FF&amp;E]]-DATABASE_Table[[#This Row],[Vista membership]]</f>
        <v>980000</v>
      </c>
      <c r="AB312" s="74">
        <v>46102</v>
      </c>
      <c r="AC312" s="74" t="str">
        <f t="shared" si="4"/>
        <v>Q1 2026</v>
      </c>
      <c r="AD312" s="123"/>
      <c r="AE312" s="69"/>
      <c r="AF312" s="21" t="s">
        <v>10</v>
      </c>
      <c r="AG312" s="21" t="s">
        <v>35</v>
      </c>
      <c r="AH312" s="122" t="s">
        <v>38</v>
      </c>
      <c r="AI312" s="122" t="s">
        <v>39</v>
      </c>
      <c r="AJ312" s="122" t="s">
        <v>40</v>
      </c>
      <c r="AK312" s="122" t="s">
        <v>804</v>
      </c>
      <c r="AL312" s="21" t="s">
        <v>41</v>
      </c>
      <c r="AM312" s="122" t="s">
        <v>37</v>
      </c>
    </row>
    <row r="313" spans="1:39" customFormat="1" ht="15.75" customHeight="1" x14ac:dyDescent="0.3">
      <c r="A313" t="s">
        <v>37</v>
      </c>
      <c r="B313" s="21" t="s">
        <v>626</v>
      </c>
      <c r="C313" s="21" t="s">
        <v>688</v>
      </c>
      <c r="D313" s="117" t="s">
        <v>836</v>
      </c>
      <c r="E313" s="21" t="s">
        <v>9</v>
      </c>
      <c r="F313" s="21" t="s">
        <v>553</v>
      </c>
      <c r="G313" s="21">
        <v>220</v>
      </c>
      <c r="H313" s="21"/>
      <c r="I313" s="117" t="s">
        <v>325</v>
      </c>
      <c r="J313" s="117" t="s">
        <v>325</v>
      </c>
      <c r="K313" s="118"/>
      <c r="L313" s="21"/>
      <c r="M313" s="21"/>
      <c r="N313" s="21"/>
      <c r="O313" s="21"/>
      <c r="P313" s="21">
        <v>220</v>
      </c>
      <c r="Q313" s="21"/>
      <c r="R313" s="21" t="s">
        <v>329</v>
      </c>
      <c r="S313" s="119">
        <f>DATABASE_Table[[#This Row],[Inicial Asking Price (€) (Total)]]-DATABASE_Table[[#This Row],[Vista membership]]-DATABASE_Table[[#This Row],[FF&amp;E]]</f>
        <v>2790000</v>
      </c>
      <c r="T313" s="125">
        <v>2790000</v>
      </c>
      <c r="U313" s="124">
        <v>990000</v>
      </c>
      <c r="V313" s="21"/>
      <c r="W313" s="21"/>
      <c r="X313" s="73">
        <f>DATABASE_Table[[#This Row],[Current Asking price( Total)]]-DATABASE_Table[[#This Row],[Vista membership]]-DATABASE_Table[[#This Row],[FF&amp;E]]</f>
        <v>990000</v>
      </c>
      <c r="Y313" s="126"/>
      <c r="Z313" s="124">
        <v>990000</v>
      </c>
      <c r="AA313" s="73">
        <f>DATABASE_Table[[#This Row],[Sell price (Total)]]-DATABASE_Table[[#This Row],[FF&amp;E]]-DATABASE_Table[[#This Row],[Vista membership]]</f>
        <v>990000</v>
      </c>
      <c r="AB313" s="74">
        <v>46102</v>
      </c>
      <c r="AC313" s="74" t="str">
        <f t="shared" si="4"/>
        <v>Q1 2026</v>
      </c>
      <c r="AD313" s="123"/>
      <c r="AE313" s="69"/>
      <c r="AF313" s="21" t="s">
        <v>10</v>
      </c>
      <c r="AG313" s="21" t="s">
        <v>35</v>
      </c>
      <c r="AH313" s="122" t="s">
        <v>38</v>
      </c>
      <c r="AI313" s="122" t="s">
        <v>39</v>
      </c>
      <c r="AJ313" s="122" t="s">
        <v>40</v>
      </c>
      <c r="AK313" s="122" t="s">
        <v>804</v>
      </c>
      <c r="AL313" s="21" t="s">
        <v>41</v>
      </c>
      <c r="AM313" s="122" t="s">
        <v>37</v>
      </c>
    </row>
    <row r="314" spans="1:39" customFormat="1" ht="15.75" customHeight="1" x14ac:dyDescent="0.3">
      <c r="A314" t="s">
        <v>37</v>
      </c>
      <c r="B314" s="21" t="s">
        <v>626</v>
      </c>
      <c r="C314" s="21" t="s">
        <v>688</v>
      </c>
      <c r="D314" s="117" t="s">
        <v>837</v>
      </c>
      <c r="E314" s="21" t="s">
        <v>9</v>
      </c>
      <c r="F314" s="21" t="s">
        <v>553</v>
      </c>
      <c r="G314" s="21">
        <v>260</v>
      </c>
      <c r="H314" s="21"/>
      <c r="I314" s="117" t="s">
        <v>325</v>
      </c>
      <c r="J314" s="117" t="s">
        <v>325</v>
      </c>
      <c r="K314" s="118"/>
      <c r="L314" s="21"/>
      <c r="M314" s="21"/>
      <c r="N314" s="21"/>
      <c r="O314" s="21"/>
      <c r="P314" s="21">
        <v>260</v>
      </c>
      <c r="Q314" s="21"/>
      <c r="R314" s="21" t="s">
        <v>329</v>
      </c>
      <c r="S314" s="119">
        <f>DATABASE_Table[[#This Row],[Inicial Asking Price (€) (Total)]]-DATABASE_Table[[#This Row],[Vista membership]]-DATABASE_Table[[#This Row],[FF&amp;E]]</f>
        <v>2920000</v>
      </c>
      <c r="T314" s="125">
        <v>2920000</v>
      </c>
      <c r="U314" s="124">
        <v>660000</v>
      </c>
      <c r="V314" s="21"/>
      <c r="W314" s="21"/>
      <c r="X314" s="73">
        <f>DATABASE_Table[[#This Row],[Current Asking price( Total)]]-DATABASE_Table[[#This Row],[Vista membership]]-DATABASE_Table[[#This Row],[FF&amp;E]]</f>
        <v>660000</v>
      </c>
      <c r="Y314" s="126"/>
      <c r="Z314" s="124">
        <v>660000</v>
      </c>
      <c r="AA314" s="73">
        <f>DATABASE_Table[[#This Row],[Sell price (Total)]]-DATABASE_Table[[#This Row],[FF&amp;E]]-DATABASE_Table[[#This Row],[Vista membership]]</f>
        <v>660000</v>
      </c>
      <c r="AB314" s="74">
        <v>46102</v>
      </c>
      <c r="AC314" s="74" t="str">
        <f t="shared" si="4"/>
        <v>Q1 2026</v>
      </c>
      <c r="AD314" s="123"/>
      <c r="AE314" s="69"/>
      <c r="AF314" s="21" t="s">
        <v>10</v>
      </c>
      <c r="AG314" s="21" t="s">
        <v>35</v>
      </c>
      <c r="AH314" s="122" t="s">
        <v>38</v>
      </c>
      <c r="AI314" s="122" t="s">
        <v>39</v>
      </c>
      <c r="AJ314" s="122" t="s">
        <v>40</v>
      </c>
      <c r="AK314" s="122" t="s">
        <v>804</v>
      </c>
      <c r="AL314" s="21" t="s">
        <v>41</v>
      </c>
      <c r="AM314" s="122" t="s">
        <v>37</v>
      </c>
    </row>
    <row r="315" spans="1:39" customFormat="1" ht="15.75" customHeight="1" x14ac:dyDescent="0.3">
      <c r="A315" t="s">
        <v>37</v>
      </c>
      <c r="B315" s="21" t="s">
        <v>626</v>
      </c>
      <c r="C315" s="21" t="s">
        <v>688</v>
      </c>
      <c r="D315" s="117" t="s">
        <v>843</v>
      </c>
      <c r="E315" s="21" t="s">
        <v>9</v>
      </c>
      <c r="F315" s="21" t="s">
        <v>553</v>
      </c>
      <c r="G315" s="21">
        <v>285</v>
      </c>
      <c r="H315" s="21"/>
      <c r="I315" s="117" t="s">
        <v>325</v>
      </c>
      <c r="J315" s="117" t="s">
        <v>325</v>
      </c>
      <c r="K315" s="118"/>
      <c r="L315" s="21"/>
      <c r="M315" s="21"/>
      <c r="N315" s="21"/>
      <c r="O315" s="21"/>
      <c r="P315" s="21">
        <v>285</v>
      </c>
      <c r="Q315" s="21"/>
      <c r="R315" s="21" t="s">
        <v>329</v>
      </c>
      <c r="S315" s="119">
        <f>DATABASE_Table[[#This Row],[Inicial Asking Price (€) (Total)]]-DATABASE_Table[[#This Row],[Vista membership]]-DATABASE_Table[[#This Row],[FF&amp;E]]</f>
        <v>2640000</v>
      </c>
      <c r="T315" s="125">
        <v>2640000</v>
      </c>
      <c r="U315" s="124">
        <v>1510000</v>
      </c>
      <c r="V315" s="21"/>
      <c r="W315" s="21"/>
      <c r="X315" s="73">
        <f>DATABASE_Table[[#This Row],[Current Asking price( Total)]]-DATABASE_Table[[#This Row],[Vista membership]]-DATABASE_Table[[#This Row],[FF&amp;E]]</f>
        <v>1510000</v>
      </c>
      <c r="Y315" s="126"/>
      <c r="Z315" s="124">
        <v>1510000</v>
      </c>
      <c r="AA315" s="73">
        <f>DATABASE_Table[[#This Row],[Sell price (Total)]]-DATABASE_Table[[#This Row],[FF&amp;E]]-DATABASE_Table[[#This Row],[Vista membership]]</f>
        <v>1510000</v>
      </c>
      <c r="AB315" s="74">
        <v>46102</v>
      </c>
      <c r="AC315" s="74" t="str">
        <f t="shared" si="4"/>
        <v>Q1 2026</v>
      </c>
      <c r="AD315" s="123"/>
      <c r="AE315" s="69"/>
      <c r="AF315" s="21" t="s">
        <v>10</v>
      </c>
      <c r="AG315" s="21" t="s">
        <v>35</v>
      </c>
      <c r="AH315" s="122" t="s">
        <v>38</v>
      </c>
      <c r="AI315" s="122" t="s">
        <v>39</v>
      </c>
      <c r="AJ315" s="122" t="s">
        <v>40</v>
      </c>
      <c r="AK315" s="122" t="s">
        <v>804</v>
      </c>
      <c r="AL315" s="21" t="s">
        <v>41</v>
      </c>
      <c r="AM315" s="122" t="s">
        <v>37</v>
      </c>
    </row>
    <row r="316" spans="1:39" customFormat="1" ht="15.75" customHeight="1" x14ac:dyDescent="0.3">
      <c r="A316" t="s">
        <v>37</v>
      </c>
      <c r="B316" s="21" t="s">
        <v>626</v>
      </c>
      <c r="C316" s="21" t="s">
        <v>688</v>
      </c>
      <c r="D316" s="117" t="s">
        <v>838</v>
      </c>
      <c r="E316" s="21" t="s">
        <v>9</v>
      </c>
      <c r="F316" s="21" t="s">
        <v>553</v>
      </c>
      <c r="G316" s="21">
        <v>260</v>
      </c>
      <c r="H316" s="21"/>
      <c r="I316" s="117" t="s">
        <v>325</v>
      </c>
      <c r="J316" s="117" t="s">
        <v>325</v>
      </c>
      <c r="K316" s="118"/>
      <c r="L316" s="21"/>
      <c r="M316" s="21"/>
      <c r="N316" s="21"/>
      <c r="O316" s="21"/>
      <c r="P316" s="21">
        <v>260</v>
      </c>
      <c r="Q316" s="21"/>
      <c r="R316" s="21" t="s">
        <v>329</v>
      </c>
      <c r="S316" s="119">
        <f>DATABASE_Table[[#This Row],[Inicial Asking Price (€) (Total)]]-DATABASE_Table[[#This Row],[Vista membership]]-DATABASE_Table[[#This Row],[FF&amp;E]]</f>
        <v>1840000</v>
      </c>
      <c r="T316" s="125">
        <v>1840000</v>
      </c>
      <c r="U316" s="124">
        <v>640000</v>
      </c>
      <c r="V316" s="21"/>
      <c r="W316" s="21"/>
      <c r="X316" s="73">
        <f>DATABASE_Table[[#This Row],[Current Asking price( Total)]]-DATABASE_Table[[#This Row],[Vista membership]]-DATABASE_Table[[#This Row],[FF&amp;E]]</f>
        <v>640000</v>
      </c>
      <c r="Y316" s="126"/>
      <c r="Z316" s="124">
        <v>640000</v>
      </c>
      <c r="AA316" s="73">
        <f>DATABASE_Table[[#This Row],[Sell price (Total)]]-DATABASE_Table[[#This Row],[FF&amp;E]]-DATABASE_Table[[#This Row],[Vista membership]]</f>
        <v>640000</v>
      </c>
      <c r="AB316" s="74">
        <v>46102</v>
      </c>
      <c r="AC316" s="74" t="str">
        <f t="shared" si="4"/>
        <v>Q1 2026</v>
      </c>
      <c r="AD316" s="123"/>
      <c r="AE316" s="69"/>
      <c r="AF316" s="21" t="s">
        <v>10</v>
      </c>
      <c r="AG316" s="21" t="s">
        <v>35</v>
      </c>
      <c r="AH316" s="122" t="s">
        <v>38</v>
      </c>
      <c r="AI316" s="122" t="s">
        <v>39</v>
      </c>
      <c r="AJ316" s="122" t="s">
        <v>40</v>
      </c>
      <c r="AK316" s="122" t="s">
        <v>804</v>
      </c>
      <c r="AL316" s="21" t="s">
        <v>41</v>
      </c>
      <c r="AM316" s="122" t="s">
        <v>37</v>
      </c>
    </row>
    <row r="317" spans="1:39" customFormat="1" ht="15.75" customHeight="1" x14ac:dyDescent="0.3">
      <c r="A317" t="s">
        <v>37</v>
      </c>
      <c r="B317" s="21" t="s">
        <v>626</v>
      </c>
      <c r="C317" s="21" t="s">
        <v>688</v>
      </c>
      <c r="D317" s="117" t="s">
        <v>839</v>
      </c>
      <c r="E317" s="21" t="s">
        <v>9</v>
      </c>
      <c r="F317" s="21" t="s">
        <v>553</v>
      </c>
      <c r="G317" s="21">
        <v>260</v>
      </c>
      <c r="H317" s="21"/>
      <c r="I317" s="117" t="s">
        <v>325</v>
      </c>
      <c r="J317" s="117" t="s">
        <v>325</v>
      </c>
      <c r="K317" s="118"/>
      <c r="L317" s="21"/>
      <c r="M317" s="21"/>
      <c r="N317" s="21"/>
      <c r="O317" s="21"/>
      <c r="P317" s="21">
        <v>260</v>
      </c>
      <c r="Q317" s="21"/>
      <c r="R317" s="21" t="s">
        <v>329</v>
      </c>
      <c r="S317" s="119">
        <f>DATABASE_Table[[#This Row],[Inicial Asking Price (€) (Total)]]-DATABASE_Table[[#This Row],[Vista membership]]-DATABASE_Table[[#This Row],[FF&amp;E]]</f>
        <v>3150000</v>
      </c>
      <c r="T317" s="125">
        <v>3150000</v>
      </c>
      <c r="U317" s="124">
        <v>660000</v>
      </c>
      <c r="V317" s="21"/>
      <c r="W317" s="21"/>
      <c r="X317" s="73">
        <f>DATABASE_Table[[#This Row],[Current Asking price( Total)]]-DATABASE_Table[[#This Row],[Vista membership]]-DATABASE_Table[[#This Row],[FF&amp;E]]</f>
        <v>660000</v>
      </c>
      <c r="Y317" s="126"/>
      <c r="Z317" s="124">
        <v>660000</v>
      </c>
      <c r="AA317" s="73">
        <f>DATABASE_Table[[#This Row],[Sell price (Total)]]-DATABASE_Table[[#This Row],[FF&amp;E]]-DATABASE_Table[[#This Row],[Vista membership]]</f>
        <v>660000</v>
      </c>
      <c r="AB317" s="74">
        <v>46102</v>
      </c>
      <c r="AC317" s="74" t="str">
        <f t="shared" si="4"/>
        <v>Q1 2026</v>
      </c>
      <c r="AD317" s="123"/>
      <c r="AE317" s="69"/>
      <c r="AF317" s="21" t="s">
        <v>10</v>
      </c>
      <c r="AG317" s="21" t="s">
        <v>35</v>
      </c>
      <c r="AH317" s="122" t="s">
        <v>38</v>
      </c>
      <c r="AI317" s="122" t="s">
        <v>39</v>
      </c>
      <c r="AJ317" s="122" t="s">
        <v>40</v>
      </c>
      <c r="AK317" s="122" t="s">
        <v>804</v>
      </c>
      <c r="AL317" s="21" t="s">
        <v>41</v>
      </c>
      <c r="AM317" s="122" t="s">
        <v>37</v>
      </c>
    </row>
    <row r="318" spans="1:39" customFormat="1" ht="15.75" customHeight="1" x14ac:dyDescent="0.3">
      <c r="A318" t="s">
        <v>37</v>
      </c>
      <c r="B318" s="21" t="s">
        <v>626</v>
      </c>
      <c r="C318" s="21" t="s">
        <v>688</v>
      </c>
      <c r="D318" s="117" t="s">
        <v>840</v>
      </c>
      <c r="E318" s="21" t="s">
        <v>9</v>
      </c>
      <c r="F318" s="21" t="s">
        <v>553</v>
      </c>
      <c r="G318" s="21">
        <v>260</v>
      </c>
      <c r="H318" s="21"/>
      <c r="I318" s="117" t="s">
        <v>325</v>
      </c>
      <c r="J318" s="117" t="s">
        <v>325</v>
      </c>
      <c r="K318" s="118"/>
      <c r="L318" s="21"/>
      <c r="M318" s="21"/>
      <c r="N318" s="21"/>
      <c r="O318" s="21"/>
      <c r="P318" s="21">
        <v>260</v>
      </c>
      <c r="Q318" s="21"/>
      <c r="R318" s="21" t="s">
        <v>329</v>
      </c>
      <c r="S318" s="119">
        <f>DATABASE_Table[[#This Row],[Inicial Asking Price (€) (Total)]]-DATABASE_Table[[#This Row],[Vista membership]]-DATABASE_Table[[#This Row],[FF&amp;E]]</f>
        <v>1840000</v>
      </c>
      <c r="T318" s="125">
        <v>1840000</v>
      </c>
      <c r="U318" s="124">
        <v>650000</v>
      </c>
      <c r="V318" s="21"/>
      <c r="W318" s="21"/>
      <c r="X318" s="73">
        <f>DATABASE_Table[[#This Row],[Current Asking price( Total)]]-DATABASE_Table[[#This Row],[Vista membership]]-DATABASE_Table[[#This Row],[FF&amp;E]]</f>
        <v>650000</v>
      </c>
      <c r="Y318" s="126"/>
      <c r="Z318" s="124">
        <v>650000</v>
      </c>
      <c r="AA318" s="73">
        <f>DATABASE_Table[[#This Row],[Sell price (Total)]]-DATABASE_Table[[#This Row],[FF&amp;E]]-DATABASE_Table[[#This Row],[Vista membership]]</f>
        <v>650000</v>
      </c>
      <c r="AB318" s="74">
        <v>46102</v>
      </c>
      <c r="AC318" s="74" t="str">
        <f t="shared" si="4"/>
        <v>Q1 2026</v>
      </c>
      <c r="AD318" s="123"/>
      <c r="AE318" s="69"/>
      <c r="AF318" s="21" t="s">
        <v>10</v>
      </c>
      <c r="AG318" s="21" t="s">
        <v>35</v>
      </c>
      <c r="AH318" s="122" t="s">
        <v>38</v>
      </c>
      <c r="AI318" s="122" t="s">
        <v>39</v>
      </c>
      <c r="AJ318" s="122" t="s">
        <v>40</v>
      </c>
      <c r="AK318" s="122" t="s">
        <v>804</v>
      </c>
      <c r="AL318" s="21" t="s">
        <v>41</v>
      </c>
      <c r="AM318" s="122" t="s">
        <v>37</v>
      </c>
    </row>
    <row r="319" spans="1:39" customFormat="1" ht="15.75" customHeight="1" x14ac:dyDescent="0.3">
      <c r="A319" t="s">
        <v>37</v>
      </c>
      <c r="B319" s="21" t="s">
        <v>626</v>
      </c>
      <c r="C319" s="21" t="s">
        <v>688</v>
      </c>
      <c r="D319" s="117" t="s">
        <v>844</v>
      </c>
      <c r="E319" s="21" t="s">
        <v>9</v>
      </c>
      <c r="F319" s="21" t="s">
        <v>553</v>
      </c>
      <c r="G319" s="21">
        <v>440</v>
      </c>
      <c r="H319" s="21"/>
      <c r="I319" s="117" t="s">
        <v>325</v>
      </c>
      <c r="J319" s="117" t="s">
        <v>325</v>
      </c>
      <c r="K319" s="118"/>
      <c r="L319" s="21"/>
      <c r="M319" s="21"/>
      <c r="N319" s="21"/>
      <c r="O319" s="21"/>
      <c r="P319" s="21">
        <v>440</v>
      </c>
      <c r="Q319" s="21"/>
      <c r="R319" s="21" t="s">
        <v>329</v>
      </c>
      <c r="S319" s="119">
        <f>DATABASE_Table[[#This Row],[Inicial Asking Price (€) (Total)]]-DATABASE_Table[[#This Row],[Vista membership]]-DATABASE_Table[[#This Row],[FF&amp;E]]</f>
        <v>1230000</v>
      </c>
      <c r="T319" s="125">
        <v>1230000</v>
      </c>
      <c r="U319" s="124">
        <v>2390000</v>
      </c>
      <c r="V319" s="21"/>
      <c r="W319" s="21"/>
      <c r="X319" s="73">
        <f>DATABASE_Table[[#This Row],[Current Asking price( Total)]]-DATABASE_Table[[#This Row],[Vista membership]]-DATABASE_Table[[#This Row],[FF&amp;E]]</f>
        <v>2390000</v>
      </c>
      <c r="Y319" s="126"/>
      <c r="Z319" s="124">
        <v>2390000</v>
      </c>
      <c r="AA319" s="73">
        <f>DATABASE_Table[[#This Row],[Sell price (Total)]]-DATABASE_Table[[#This Row],[FF&amp;E]]-DATABASE_Table[[#This Row],[Vista membership]]</f>
        <v>2390000</v>
      </c>
      <c r="AB319" s="74">
        <v>46102</v>
      </c>
      <c r="AC319" s="74" t="str">
        <f t="shared" si="4"/>
        <v>Q1 2026</v>
      </c>
      <c r="AD319" s="123"/>
      <c r="AE319" s="69"/>
      <c r="AF319" s="21" t="s">
        <v>10</v>
      </c>
      <c r="AG319" s="21" t="s">
        <v>35</v>
      </c>
      <c r="AH319" s="122" t="s">
        <v>38</v>
      </c>
      <c r="AI319" s="122" t="s">
        <v>39</v>
      </c>
      <c r="AJ319" s="122" t="s">
        <v>40</v>
      </c>
      <c r="AK319" s="122" t="s">
        <v>804</v>
      </c>
      <c r="AL319" s="21" t="s">
        <v>41</v>
      </c>
      <c r="AM319" s="122" t="s">
        <v>37</v>
      </c>
    </row>
    <row r="320" spans="1:39" customFormat="1" ht="15.75" customHeight="1" x14ac:dyDescent="0.3">
      <c r="A320" t="s">
        <v>37</v>
      </c>
      <c r="B320" s="21" t="s">
        <v>626</v>
      </c>
      <c r="C320" s="21" t="s">
        <v>688</v>
      </c>
      <c r="D320" s="117" t="s">
        <v>845</v>
      </c>
      <c r="E320" s="21" t="s">
        <v>9</v>
      </c>
      <c r="F320" s="21" t="s">
        <v>553</v>
      </c>
      <c r="G320" s="21">
        <v>440</v>
      </c>
      <c r="H320" s="21"/>
      <c r="I320" s="117" t="s">
        <v>325</v>
      </c>
      <c r="J320" s="117" t="s">
        <v>325</v>
      </c>
      <c r="K320" s="118"/>
      <c r="L320" s="21"/>
      <c r="M320" s="21"/>
      <c r="N320" s="21"/>
      <c r="O320" s="21"/>
      <c r="P320" s="21">
        <v>440</v>
      </c>
      <c r="Q320" s="21"/>
      <c r="R320" s="21" t="s">
        <v>329</v>
      </c>
      <c r="S320" s="119">
        <f>DATABASE_Table[[#This Row],[Inicial Asking Price (€) (Total)]]-DATABASE_Table[[#This Row],[Vista membership]]-DATABASE_Table[[#This Row],[FF&amp;E]]</f>
        <v>1240000</v>
      </c>
      <c r="T320" s="125">
        <v>1240000</v>
      </c>
      <c r="U320" s="124">
        <v>2280000</v>
      </c>
      <c r="V320" s="21"/>
      <c r="W320" s="21"/>
      <c r="X320" s="73">
        <f>DATABASE_Table[[#This Row],[Current Asking price( Total)]]-DATABASE_Table[[#This Row],[Vista membership]]-DATABASE_Table[[#This Row],[FF&amp;E]]</f>
        <v>2280000</v>
      </c>
      <c r="Y320" s="126"/>
      <c r="Z320" s="124">
        <v>2280000</v>
      </c>
      <c r="AA320" s="73">
        <f>DATABASE_Table[[#This Row],[Sell price (Total)]]-DATABASE_Table[[#This Row],[FF&amp;E]]-DATABASE_Table[[#This Row],[Vista membership]]</f>
        <v>2280000</v>
      </c>
      <c r="AB320" s="74">
        <v>46102</v>
      </c>
      <c r="AC320" s="74" t="str">
        <f t="shared" si="4"/>
        <v>Q1 2026</v>
      </c>
      <c r="AD320" s="123"/>
      <c r="AE320" s="69"/>
      <c r="AF320" s="21" t="s">
        <v>10</v>
      </c>
      <c r="AG320" s="21" t="s">
        <v>35</v>
      </c>
      <c r="AH320" s="122" t="s">
        <v>38</v>
      </c>
      <c r="AI320" s="122" t="s">
        <v>39</v>
      </c>
      <c r="AJ320" s="122" t="s">
        <v>40</v>
      </c>
      <c r="AK320" s="122" t="s">
        <v>804</v>
      </c>
      <c r="AL320" s="21" t="s">
        <v>41</v>
      </c>
      <c r="AM320" s="122" t="s">
        <v>37</v>
      </c>
    </row>
    <row r="321" spans="1:39" customFormat="1" ht="15.75" customHeight="1" x14ac:dyDescent="0.3">
      <c r="A321" t="s">
        <v>37</v>
      </c>
      <c r="B321" s="21" t="s">
        <v>626</v>
      </c>
      <c r="C321" s="21" t="s">
        <v>688</v>
      </c>
      <c r="D321" s="117" t="s">
        <v>846</v>
      </c>
      <c r="E321" s="21" t="s">
        <v>9</v>
      </c>
      <c r="F321" s="21" t="s">
        <v>553</v>
      </c>
      <c r="G321" s="21">
        <v>520</v>
      </c>
      <c r="H321" s="21"/>
      <c r="I321" s="117" t="s">
        <v>325</v>
      </c>
      <c r="J321" s="117" t="s">
        <v>325</v>
      </c>
      <c r="K321" s="118"/>
      <c r="L321" s="21"/>
      <c r="M321" s="21"/>
      <c r="N321" s="21"/>
      <c r="O321" s="21"/>
      <c r="P321" s="21">
        <v>520</v>
      </c>
      <c r="Q321" s="21"/>
      <c r="R321" s="21" t="s">
        <v>329</v>
      </c>
      <c r="S321" s="119">
        <f>DATABASE_Table[[#This Row],[Inicial Asking Price (€) (Total)]]-DATABASE_Table[[#This Row],[Vista membership]]-DATABASE_Table[[#This Row],[FF&amp;E]]</f>
        <v>1210000</v>
      </c>
      <c r="T321" s="125">
        <v>1210000</v>
      </c>
      <c r="U321" s="124">
        <v>2540000</v>
      </c>
      <c r="V321" s="21"/>
      <c r="W321" s="21"/>
      <c r="X321" s="73">
        <f>DATABASE_Table[[#This Row],[Current Asking price( Total)]]-DATABASE_Table[[#This Row],[Vista membership]]-DATABASE_Table[[#This Row],[FF&amp;E]]</f>
        <v>2540000</v>
      </c>
      <c r="Y321" s="126"/>
      <c r="Z321" s="124">
        <v>2540000</v>
      </c>
      <c r="AA321" s="73">
        <f>DATABASE_Table[[#This Row],[Sell price (Total)]]-DATABASE_Table[[#This Row],[FF&amp;E]]-DATABASE_Table[[#This Row],[Vista membership]]</f>
        <v>2540000</v>
      </c>
      <c r="AB321" s="74">
        <v>46102</v>
      </c>
      <c r="AC321" s="74" t="str">
        <f t="shared" si="4"/>
        <v>Q1 2026</v>
      </c>
      <c r="AD321" s="123"/>
      <c r="AE321" s="69"/>
      <c r="AF321" s="21" t="s">
        <v>10</v>
      </c>
      <c r="AG321" s="21" t="s">
        <v>35</v>
      </c>
      <c r="AH321" s="122" t="s">
        <v>38</v>
      </c>
      <c r="AI321" s="122" t="s">
        <v>39</v>
      </c>
      <c r="AJ321" s="122" t="s">
        <v>40</v>
      </c>
      <c r="AK321" s="122" t="s">
        <v>804</v>
      </c>
      <c r="AL321" s="21" t="s">
        <v>41</v>
      </c>
      <c r="AM321" s="122" t="s">
        <v>37</v>
      </c>
    </row>
    <row r="322" spans="1:39" customFormat="1" ht="15.75" customHeight="1" x14ac:dyDescent="0.3">
      <c r="A322" t="s">
        <v>37</v>
      </c>
      <c r="B322" s="21" t="s">
        <v>626</v>
      </c>
      <c r="C322" s="21" t="s">
        <v>688</v>
      </c>
      <c r="D322" s="117" t="s">
        <v>847</v>
      </c>
      <c r="E322" s="21" t="s">
        <v>9</v>
      </c>
      <c r="F322" s="21" t="s">
        <v>553</v>
      </c>
      <c r="G322" s="21">
        <v>520</v>
      </c>
      <c r="H322" s="21"/>
      <c r="I322" s="117" t="s">
        <v>325</v>
      </c>
      <c r="J322" s="117" t="s">
        <v>325</v>
      </c>
      <c r="K322" s="118"/>
      <c r="L322" s="21"/>
      <c r="M322" s="21"/>
      <c r="N322" s="21"/>
      <c r="O322" s="21"/>
      <c r="P322" s="21">
        <v>520</v>
      </c>
      <c r="Q322" s="21"/>
      <c r="R322" s="21" t="s">
        <v>329</v>
      </c>
      <c r="S322" s="119">
        <f>DATABASE_Table[[#This Row],[Inicial Asking Price (€) (Total)]]-DATABASE_Table[[#This Row],[Vista membership]]-DATABASE_Table[[#This Row],[FF&amp;E]]</f>
        <v>1200000</v>
      </c>
      <c r="T322" s="125">
        <v>1200000</v>
      </c>
      <c r="U322" s="124">
        <v>2560000</v>
      </c>
      <c r="V322" s="21"/>
      <c r="W322" s="21"/>
      <c r="X322" s="73">
        <f>DATABASE_Table[[#This Row],[Current Asking price( Total)]]-DATABASE_Table[[#This Row],[Vista membership]]-DATABASE_Table[[#This Row],[FF&amp;E]]</f>
        <v>2560000</v>
      </c>
      <c r="Y322" s="126"/>
      <c r="Z322" s="124">
        <v>2560000</v>
      </c>
      <c r="AA322" s="73">
        <f>DATABASE_Table[[#This Row],[Sell price (Total)]]-DATABASE_Table[[#This Row],[FF&amp;E]]-DATABASE_Table[[#This Row],[Vista membership]]</f>
        <v>2560000</v>
      </c>
      <c r="AB322" s="74">
        <v>46102</v>
      </c>
      <c r="AC322" s="74" t="str">
        <f t="shared" ref="AC322:AC385" si="5">IF(AB322="","TO LAUNCH","Q"&amp;ROUNDUP(MONTH(AB322)/3,0)&amp;" "&amp;YEAR(AB322))</f>
        <v>Q1 2026</v>
      </c>
      <c r="AD322" s="123"/>
      <c r="AE322" s="69"/>
      <c r="AF322" s="21" t="s">
        <v>10</v>
      </c>
      <c r="AG322" s="21" t="s">
        <v>35</v>
      </c>
      <c r="AH322" s="122" t="s">
        <v>38</v>
      </c>
      <c r="AI322" s="122" t="s">
        <v>39</v>
      </c>
      <c r="AJ322" s="122" t="s">
        <v>40</v>
      </c>
      <c r="AK322" s="122" t="s">
        <v>804</v>
      </c>
      <c r="AL322" s="21" t="s">
        <v>41</v>
      </c>
      <c r="AM322" s="122" t="s">
        <v>37</v>
      </c>
    </row>
    <row r="323" spans="1:39" customFormat="1" ht="15.75" customHeight="1" x14ac:dyDescent="0.3">
      <c r="A323" t="s">
        <v>37</v>
      </c>
      <c r="B323" s="21" t="s">
        <v>626</v>
      </c>
      <c r="C323" s="21" t="s">
        <v>688</v>
      </c>
      <c r="D323" s="117" t="s">
        <v>848</v>
      </c>
      <c r="E323" s="21" t="s">
        <v>9</v>
      </c>
      <c r="F323" s="21" t="s">
        <v>553</v>
      </c>
      <c r="G323" s="21">
        <v>520</v>
      </c>
      <c r="H323" s="21"/>
      <c r="I323" s="117" t="s">
        <v>325</v>
      </c>
      <c r="J323" s="117" t="s">
        <v>325</v>
      </c>
      <c r="K323" s="118"/>
      <c r="L323" s="21"/>
      <c r="M323" s="21"/>
      <c r="N323" s="21"/>
      <c r="O323" s="21"/>
      <c r="P323" s="21">
        <v>520</v>
      </c>
      <c r="Q323" s="21"/>
      <c r="R323" s="21" t="s">
        <v>329</v>
      </c>
      <c r="S323" s="119">
        <f>DATABASE_Table[[#This Row],[Inicial Asking Price (€) (Total)]]-DATABASE_Table[[#This Row],[Vista membership]]-DATABASE_Table[[#This Row],[FF&amp;E]]</f>
        <v>1210000</v>
      </c>
      <c r="T323" s="125">
        <v>1210000</v>
      </c>
      <c r="U323" s="124">
        <v>2640000</v>
      </c>
      <c r="V323" s="21"/>
      <c r="W323" s="21"/>
      <c r="X323" s="73">
        <f>DATABASE_Table[[#This Row],[Current Asking price( Total)]]-DATABASE_Table[[#This Row],[Vista membership]]-DATABASE_Table[[#This Row],[FF&amp;E]]</f>
        <v>2640000</v>
      </c>
      <c r="Y323" s="126"/>
      <c r="Z323" s="124">
        <v>2640000</v>
      </c>
      <c r="AA323" s="73">
        <f>DATABASE_Table[[#This Row],[Sell price (Total)]]-DATABASE_Table[[#This Row],[FF&amp;E]]-DATABASE_Table[[#This Row],[Vista membership]]</f>
        <v>2640000</v>
      </c>
      <c r="AB323" s="74">
        <v>46102</v>
      </c>
      <c r="AC323" s="74" t="str">
        <f t="shared" si="5"/>
        <v>Q1 2026</v>
      </c>
      <c r="AD323" s="123"/>
      <c r="AE323" s="69"/>
      <c r="AF323" s="21" t="s">
        <v>10</v>
      </c>
      <c r="AG323" s="21" t="s">
        <v>35</v>
      </c>
      <c r="AH323" s="122" t="s">
        <v>38</v>
      </c>
      <c r="AI323" s="122" t="s">
        <v>39</v>
      </c>
      <c r="AJ323" s="122" t="s">
        <v>40</v>
      </c>
      <c r="AK323" s="122" t="s">
        <v>804</v>
      </c>
      <c r="AL323" s="21" t="s">
        <v>41</v>
      </c>
      <c r="AM323" s="122" t="s">
        <v>37</v>
      </c>
    </row>
    <row r="324" spans="1:39" customFormat="1" ht="15.75" customHeight="1" x14ac:dyDescent="0.3">
      <c r="A324" t="s">
        <v>37</v>
      </c>
      <c r="B324" s="21" t="s">
        <v>626</v>
      </c>
      <c r="C324" s="21" t="s">
        <v>688</v>
      </c>
      <c r="D324" s="117" t="s">
        <v>849</v>
      </c>
      <c r="E324" s="21" t="s">
        <v>9</v>
      </c>
      <c r="F324" s="21" t="s">
        <v>553</v>
      </c>
      <c r="G324" s="21">
        <v>520</v>
      </c>
      <c r="H324" s="21"/>
      <c r="I324" s="117" t="s">
        <v>325</v>
      </c>
      <c r="J324" s="117" t="s">
        <v>325</v>
      </c>
      <c r="K324" s="118"/>
      <c r="L324" s="21"/>
      <c r="M324" s="21"/>
      <c r="N324" s="21"/>
      <c r="O324" s="21"/>
      <c r="P324" s="21">
        <v>520</v>
      </c>
      <c r="Q324" s="21"/>
      <c r="R324" s="21" t="s">
        <v>329</v>
      </c>
      <c r="S324" s="119">
        <f>DATABASE_Table[[#This Row],[Inicial Asking Price (€) (Total)]]-DATABASE_Table[[#This Row],[Vista membership]]-DATABASE_Table[[#This Row],[FF&amp;E]]</f>
        <v>1230000</v>
      </c>
      <c r="T324" s="125">
        <v>1230000</v>
      </c>
      <c r="U324" s="124">
        <v>2640000</v>
      </c>
      <c r="V324" s="21"/>
      <c r="W324" s="21"/>
      <c r="X324" s="73">
        <f>DATABASE_Table[[#This Row],[Current Asking price( Total)]]-DATABASE_Table[[#This Row],[Vista membership]]-DATABASE_Table[[#This Row],[FF&amp;E]]</f>
        <v>2640000</v>
      </c>
      <c r="Y324" s="126"/>
      <c r="Z324" s="124">
        <v>2640000</v>
      </c>
      <c r="AA324" s="73">
        <f>DATABASE_Table[[#This Row],[Sell price (Total)]]-DATABASE_Table[[#This Row],[FF&amp;E]]-DATABASE_Table[[#This Row],[Vista membership]]</f>
        <v>2640000</v>
      </c>
      <c r="AB324" s="74">
        <v>46102</v>
      </c>
      <c r="AC324" s="74" t="str">
        <f t="shared" si="5"/>
        <v>Q1 2026</v>
      </c>
      <c r="AD324" s="123"/>
      <c r="AE324" s="69"/>
      <c r="AF324" s="21" t="s">
        <v>10</v>
      </c>
      <c r="AG324" s="21" t="s">
        <v>35</v>
      </c>
      <c r="AH324" s="122" t="s">
        <v>38</v>
      </c>
      <c r="AI324" s="122" t="s">
        <v>39</v>
      </c>
      <c r="AJ324" s="122" t="s">
        <v>40</v>
      </c>
      <c r="AK324" s="122" t="s">
        <v>804</v>
      </c>
      <c r="AL324" s="21" t="s">
        <v>41</v>
      </c>
      <c r="AM324" s="122" t="s">
        <v>37</v>
      </c>
    </row>
    <row r="325" spans="1:39" customFormat="1" ht="15.75" customHeight="1" x14ac:dyDescent="0.3">
      <c r="A325" t="s">
        <v>37</v>
      </c>
      <c r="B325" s="21" t="s">
        <v>626</v>
      </c>
      <c r="C325" s="21" t="s">
        <v>688</v>
      </c>
      <c r="D325" s="117" t="s">
        <v>850</v>
      </c>
      <c r="E325" s="21" t="s">
        <v>9</v>
      </c>
      <c r="F325" s="21" t="s">
        <v>553</v>
      </c>
      <c r="G325" s="21">
        <v>260</v>
      </c>
      <c r="H325" s="21"/>
      <c r="I325" s="117" t="s">
        <v>325</v>
      </c>
      <c r="J325" s="117" t="s">
        <v>325</v>
      </c>
      <c r="K325" s="118"/>
      <c r="L325" s="21"/>
      <c r="M325" s="21"/>
      <c r="N325" s="21"/>
      <c r="O325" s="21"/>
      <c r="P325" s="21">
        <v>260</v>
      </c>
      <c r="Q325" s="21"/>
      <c r="R325" s="21" t="s">
        <v>329</v>
      </c>
      <c r="S325" s="119">
        <f>DATABASE_Table[[#This Row],[Inicial Asking Price (€) (Total)]]-DATABASE_Table[[#This Row],[Vista membership]]-DATABASE_Table[[#This Row],[FF&amp;E]]</f>
        <v>1430000</v>
      </c>
      <c r="T325" s="125">
        <v>1430000</v>
      </c>
      <c r="U325" s="124">
        <v>1160000</v>
      </c>
      <c r="V325" s="21"/>
      <c r="W325" s="21"/>
      <c r="X325" s="73">
        <f>DATABASE_Table[[#This Row],[Current Asking price( Total)]]-DATABASE_Table[[#This Row],[Vista membership]]-DATABASE_Table[[#This Row],[FF&amp;E]]</f>
        <v>1160000</v>
      </c>
      <c r="Y325" s="126"/>
      <c r="Z325" s="124">
        <v>1160000</v>
      </c>
      <c r="AA325" s="73">
        <f>DATABASE_Table[[#This Row],[Sell price (Total)]]-DATABASE_Table[[#This Row],[FF&amp;E]]-DATABASE_Table[[#This Row],[Vista membership]]</f>
        <v>1160000</v>
      </c>
      <c r="AB325" s="74">
        <v>46102</v>
      </c>
      <c r="AC325" s="74" t="str">
        <f t="shared" si="5"/>
        <v>Q1 2026</v>
      </c>
      <c r="AD325" s="123"/>
      <c r="AE325" s="69"/>
      <c r="AF325" s="21" t="s">
        <v>10</v>
      </c>
      <c r="AG325" s="21" t="s">
        <v>35</v>
      </c>
      <c r="AH325" s="122" t="s">
        <v>38</v>
      </c>
      <c r="AI325" s="122" t="s">
        <v>39</v>
      </c>
      <c r="AJ325" s="122" t="s">
        <v>40</v>
      </c>
      <c r="AK325" s="122" t="s">
        <v>804</v>
      </c>
      <c r="AL325" s="21" t="s">
        <v>41</v>
      </c>
      <c r="AM325" s="122" t="s">
        <v>37</v>
      </c>
    </row>
    <row r="326" spans="1:39" customFormat="1" ht="15.75" customHeight="1" x14ac:dyDescent="0.3">
      <c r="A326" t="s">
        <v>1108</v>
      </c>
      <c r="B326" s="21" t="s">
        <v>685</v>
      </c>
      <c r="C326" s="21" t="s">
        <v>688</v>
      </c>
      <c r="D326" s="117" t="s">
        <v>829</v>
      </c>
      <c r="E326" s="21"/>
      <c r="F326" s="21" t="s">
        <v>553</v>
      </c>
      <c r="G326" s="21">
        <v>280</v>
      </c>
      <c r="H326" s="21"/>
      <c r="I326" s="117" t="s">
        <v>325</v>
      </c>
      <c r="J326" s="117" t="s">
        <v>325</v>
      </c>
      <c r="K326" s="118"/>
      <c r="L326" s="21"/>
      <c r="M326" s="21"/>
      <c r="N326" s="21"/>
      <c r="O326" s="21"/>
      <c r="P326" s="21">
        <v>280</v>
      </c>
      <c r="Q326" s="21"/>
      <c r="R326" s="21" t="s">
        <v>923</v>
      </c>
      <c r="S326" s="119">
        <f>DATABASE_Table[[#This Row],[Inicial Asking Price (€) (Total)]]-DATABASE_Table[[#This Row],[Vista membership]]-DATABASE_Table[[#This Row],[FF&amp;E]]</f>
        <v>610000</v>
      </c>
      <c r="T326" s="125">
        <v>610000</v>
      </c>
      <c r="U326" s="124">
        <v>671000</v>
      </c>
      <c r="V326" s="21"/>
      <c r="W326" s="21"/>
      <c r="X326" s="73">
        <f>DATABASE_Table[[#This Row],[Current Asking price( Total)]]-DATABASE_Table[[#This Row],[Vista membership]]-DATABASE_Table[[#This Row],[FF&amp;E]]</f>
        <v>671000</v>
      </c>
      <c r="Y326" s="126">
        <v>0</v>
      </c>
      <c r="Z326" s="124">
        <v>671000</v>
      </c>
      <c r="AA326" s="73">
        <f>DATABASE_Table[[#This Row],[Sell price (Total)]]-DATABASE_Table[[#This Row],[FF&amp;E]]-DATABASE_Table[[#This Row],[Vista membership]]</f>
        <v>671000</v>
      </c>
      <c r="AB326" s="74">
        <v>45223</v>
      </c>
      <c r="AC326" s="74" t="str">
        <f t="shared" si="5"/>
        <v>Q4 2023</v>
      </c>
      <c r="AD326" s="123">
        <v>45436</v>
      </c>
      <c r="AE326" s="69"/>
      <c r="AF326" s="21" t="s">
        <v>10</v>
      </c>
      <c r="AG326" s="21"/>
      <c r="AH326" s="122"/>
      <c r="AI326" s="122"/>
      <c r="AJ326" s="122"/>
      <c r="AK326" s="122"/>
      <c r="AL326" s="21"/>
      <c r="AM326" s="122" t="s">
        <v>685</v>
      </c>
    </row>
    <row r="327" spans="1:39" customFormat="1" ht="15.75" customHeight="1" x14ac:dyDescent="0.3">
      <c r="A327" t="s">
        <v>1108</v>
      </c>
      <c r="B327" s="21" t="s">
        <v>685</v>
      </c>
      <c r="C327" s="21" t="s">
        <v>688</v>
      </c>
      <c r="D327" s="117" t="s">
        <v>830</v>
      </c>
      <c r="E327" s="21"/>
      <c r="F327" s="21" t="s">
        <v>553</v>
      </c>
      <c r="G327" s="21">
        <v>245</v>
      </c>
      <c r="H327" s="21"/>
      <c r="I327" s="117" t="s">
        <v>325</v>
      </c>
      <c r="J327" s="117" t="s">
        <v>325</v>
      </c>
      <c r="K327" s="118"/>
      <c r="L327" s="21"/>
      <c r="M327" s="21"/>
      <c r="N327" s="21"/>
      <c r="O327" s="21"/>
      <c r="P327" s="21">
        <v>245</v>
      </c>
      <c r="Q327" s="21"/>
      <c r="R327" s="21" t="s">
        <v>923</v>
      </c>
      <c r="S327" s="119">
        <f>DATABASE_Table[[#This Row],[Inicial Asking Price (€) (Total)]]-DATABASE_Table[[#This Row],[Vista membership]]-DATABASE_Table[[#This Row],[FF&amp;E]]</f>
        <v>540000</v>
      </c>
      <c r="T327" s="125">
        <v>540000</v>
      </c>
      <c r="U327" s="124">
        <v>594000</v>
      </c>
      <c r="V327" s="21"/>
      <c r="W327" s="21"/>
      <c r="X327" s="73">
        <f>DATABASE_Table[[#This Row],[Current Asking price( Total)]]-DATABASE_Table[[#This Row],[Vista membership]]-DATABASE_Table[[#This Row],[FF&amp;E]]</f>
        <v>594000</v>
      </c>
      <c r="Y327" s="126">
        <v>0</v>
      </c>
      <c r="Z327" s="124">
        <v>594000</v>
      </c>
      <c r="AA327" s="73">
        <f>DATABASE_Table[[#This Row],[Sell price (Total)]]-DATABASE_Table[[#This Row],[FF&amp;E]]-DATABASE_Table[[#This Row],[Vista membership]]</f>
        <v>594000</v>
      </c>
      <c r="AB327" s="74">
        <v>45223</v>
      </c>
      <c r="AC327" s="74" t="str">
        <f t="shared" si="5"/>
        <v>Q4 2023</v>
      </c>
      <c r="AD327" s="123">
        <v>45436</v>
      </c>
      <c r="AE327" s="69"/>
      <c r="AF327" s="21" t="s">
        <v>10</v>
      </c>
      <c r="AG327" s="21"/>
      <c r="AH327" s="122"/>
      <c r="AI327" s="122"/>
      <c r="AJ327" s="122"/>
      <c r="AK327" s="122"/>
      <c r="AL327" s="21"/>
      <c r="AM327" s="122" t="s">
        <v>685</v>
      </c>
    </row>
    <row r="328" spans="1:39" customFormat="1" ht="15.75" customHeight="1" x14ac:dyDescent="0.3">
      <c r="A328" t="s">
        <v>1108</v>
      </c>
      <c r="B328" s="21" t="s">
        <v>685</v>
      </c>
      <c r="C328" s="21" t="s">
        <v>688</v>
      </c>
      <c r="D328" s="117" t="s">
        <v>831</v>
      </c>
      <c r="E328" s="21"/>
      <c r="F328" s="21" t="s">
        <v>553</v>
      </c>
      <c r="G328" s="21">
        <v>265</v>
      </c>
      <c r="H328" s="21"/>
      <c r="I328" s="117" t="s">
        <v>325</v>
      </c>
      <c r="J328" s="117" t="s">
        <v>325</v>
      </c>
      <c r="K328" s="118"/>
      <c r="L328" s="21"/>
      <c r="M328" s="21"/>
      <c r="N328" s="21"/>
      <c r="O328" s="21"/>
      <c r="P328" s="21">
        <v>265</v>
      </c>
      <c r="Q328" s="21"/>
      <c r="R328" s="21" t="s">
        <v>923</v>
      </c>
      <c r="S328" s="119">
        <f>DATABASE_Table[[#This Row],[Inicial Asking Price (€) (Total)]]-DATABASE_Table[[#This Row],[Vista membership]]-DATABASE_Table[[#This Row],[FF&amp;E]]</f>
        <v>580000</v>
      </c>
      <c r="T328" s="125">
        <v>580000</v>
      </c>
      <c r="U328" s="124">
        <v>638000</v>
      </c>
      <c r="V328" s="21"/>
      <c r="W328" s="21"/>
      <c r="X328" s="73">
        <f>DATABASE_Table[[#This Row],[Current Asking price( Total)]]-DATABASE_Table[[#This Row],[Vista membership]]-DATABASE_Table[[#This Row],[FF&amp;E]]</f>
        <v>638000</v>
      </c>
      <c r="Y328" s="126">
        <v>0</v>
      </c>
      <c r="Z328" s="124">
        <v>638000</v>
      </c>
      <c r="AA328" s="73">
        <f>DATABASE_Table[[#This Row],[Sell price (Total)]]-DATABASE_Table[[#This Row],[FF&amp;E]]-DATABASE_Table[[#This Row],[Vista membership]]</f>
        <v>638000</v>
      </c>
      <c r="AB328" s="74">
        <v>45223</v>
      </c>
      <c r="AC328" s="74" t="str">
        <f t="shared" si="5"/>
        <v>Q4 2023</v>
      </c>
      <c r="AD328" s="123">
        <v>45436</v>
      </c>
      <c r="AE328" s="69"/>
      <c r="AF328" s="21" t="s">
        <v>10</v>
      </c>
      <c r="AG328" s="21"/>
      <c r="AH328" s="122"/>
      <c r="AI328" s="122"/>
      <c r="AJ328" s="122"/>
      <c r="AK328" s="122"/>
      <c r="AL328" s="21"/>
      <c r="AM328" s="122" t="s">
        <v>685</v>
      </c>
    </row>
    <row r="329" spans="1:39" customFormat="1" ht="15.75" customHeight="1" x14ac:dyDescent="0.3">
      <c r="A329" t="s">
        <v>1108</v>
      </c>
      <c r="B329" s="21" t="s">
        <v>685</v>
      </c>
      <c r="C329" s="21" t="s">
        <v>688</v>
      </c>
      <c r="D329" s="117" t="s">
        <v>832</v>
      </c>
      <c r="E329" s="21"/>
      <c r="F329" s="21" t="s">
        <v>553</v>
      </c>
      <c r="G329" s="21">
        <v>265</v>
      </c>
      <c r="H329" s="21"/>
      <c r="I329" s="117" t="s">
        <v>325</v>
      </c>
      <c r="J329" s="117" t="s">
        <v>325</v>
      </c>
      <c r="K329" s="118"/>
      <c r="L329" s="21"/>
      <c r="M329" s="21"/>
      <c r="N329" s="21"/>
      <c r="O329" s="21"/>
      <c r="P329" s="21">
        <v>265</v>
      </c>
      <c r="Q329" s="21"/>
      <c r="R329" s="21" t="s">
        <v>923</v>
      </c>
      <c r="S329" s="119">
        <f>DATABASE_Table[[#This Row],[Inicial Asking Price (€) (Total)]]-DATABASE_Table[[#This Row],[Vista membership]]-DATABASE_Table[[#This Row],[FF&amp;E]]</f>
        <v>580000</v>
      </c>
      <c r="T329" s="125">
        <v>580000</v>
      </c>
      <c r="U329" s="124">
        <v>638000</v>
      </c>
      <c r="V329" s="21"/>
      <c r="W329" s="21"/>
      <c r="X329" s="73">
        <f>DATABASE_Table[[#This Row],[Current Asking price( Total)]]-DATABASE_Table[[#This Row],[Vista membership]]-DATABASE_Table[[#This Row],[FF&amp;E]]</f>
        <v>638000</v>
      </c>
      <c r="Y329" s="126">
        <v>0</v>
      </c>
      <c r="Z329" s="124">
        <v>638000</v>
      </c>
      <c r="AA329" s="73">
        <f>DATABASE_Table[[#This Row],[Sell price (Total)]]-DATABASE_Table[[#This Row],[FF&amp;E]]-DATABASE_Table[[#This Row],[Vista membership]]</f>
        <v>638000</v>
      </c>
      <c r="AB329" s="74">
        <v>45223</v>
      </c>
      <c r="AC329" s="74" t="str">
        <f t="shared" si="5"/>
        <v>Q4 2023</v>
      </c>
      <c r="AD329" s="123">
        <v>45436</v>
      </c>
      <c r="AE329" s="69"/>
      <c r="AF329" s="21" t="s">
        <v>10</v>
      </c>
      <c r="AG329" s="21"/>
      <c r="AH329" s="122"/>
      <c r="AI329" s="122"/>
      <c r="AJ329" s="122"/>
      <c r="AK329" s="122"/>
      <c r="AL329" s="21"/>
      <c r="AM329" s="122" t="s">
        <v>685</v>
      </c>
    </row>
    <row r="330" spans="1:39" customFormat="1" ht="15.75" customHeight="1" x14ac:dyDescent="0.3">
      <c r="A330" t="s">
        <v>1108</v>
      </c>
      <c r="B330" s="21" t="s">
        <v>685</v>
      </c>
      <c r="C330" s="21" t="s">
        <v>688</v>
      </c>
      <c r="D330" s="117" t="s">
        <v>833</v>
      </c>
      <c r="E330" s="21"/>
      <c r="F330" s="21" t="s">
        <v>553</v>
      </c>
      <c r="G330" s="21">
        <v>245</v>
      </c>
      <c r="H330" s="21"/>
      <c r="I330" s="117" t="s">
        <v>325</v>
      </c>
      <c r="J330" s="117" t="s">
        <v>325</v>
      </c>
      <c r="K330" s="118"/>
      <c r="L330" s="21"/>
      <c r="M330" s="21"/>
      <c r="N330" s="21"/>
      <c r="O330" s="21"/>
      <c r="P330" s="21">
        <v>245</v>
      </c>
      <c r="Q330" s="21"/>
      <c r="R330" s="21" t="s">
        <v>923</v>
      </c>
      <c r="S330" s="119">
        <f>DATABASE_Table[[#This Row],[Inicial Asking Price (€) (Total)]]-DATABASE_Table[[#This Row],[Vista membership]]-DATABASE_Table[[#This Row],[FF&amp;E]]</f>
        <v>470000</v>
      </c>
      <c r="T330" s="125">
        <v>470000</v>
      </c>
      <c r="U330" s="124">
        <v>470000</v>
      </c>
      <c r="V330" s="21"/>
      <c r="W330" s="21"/>
      <c r="X330" s="73">
        <f>DATABASE_Table[[#This Row],[Current Asking price( Total)]]-DATABASE_Table[[#This Row],[Vista membership]]-DATABASE_Table[[#This Row],[FF&amp;E]]</f>
        <v>470000</v>
      </c>
      <c r="Y330" s="126">
        <v>0</v>
      </c>
      <c r="Z330" s="124">
        <v>470000</v>
      </c>
      <c r="AA330" s="73">
        <f>DATABASE_Table[[#This Row],[Sell price (Total)]]-DATABASE_Table[[#This Row],[FF&amp;E]]-DATABASE_Table[[#This Row],[Vista membership]]</f>
        <v>470000</v>
      </c>
      <c r="AB330" s="74">
        <v>45223</v>
      </c>
      <c r="AC330" s="74" t="str">
        <f t="shared" si="5"/>
        <v>Q4 2023</v>
      </c>
      <c r="AD330" s="123">
        <v>45473</v>
      </c>
      <c r="AE330" s="69"/>
      <c r="AF330" s="21" t="s">
        <v>10</v>
      </c>
      <c r="AG330" s="21"/>
      <c r="AH330" s="122"/>
      <c r="AI330" s="122"/>
      <c r="AJ330" s="122"/>
      <c r="AK330" s="122"/>
      <c r="AL330" s="21"/>
      <c r="AM330" s="122" t="s">
        <v>685</v>
      </c>
    </row>
    <row r="331" spans="1:39" customFormat="1" ht="15.75" customHeight="1" x14ac:dyDescent="0.3">
      <c r="A331" t="s">
        <v>1108</v>
      </c>
      <c r="B331" s="21" t="s">
        <v>685</v>
      </c>
      <c r="C331" s="21" t="s">
        <v>688</v>
      </c>
      <c r="D331" s="117" t="s">
        <v>834</v>
      </c>
      <c r="E331" s="21"/>
      <c r="F331" s="21" t="s">
        <v>553</v>
      </c>
      <c r="G331" s="21">
        <v>245</v>
      </c>
      <c r="H331" s="21"/>
      <c r="I331" s="117" t="s">
        <v>325</v>
      </c>
      <c r="J331" s="117" t="s">
        <v>325</v>
      </c>
      <c r="K331" s="118"/>
      <c r="L331" s="21"/>
      <c r="M331" s="21"/>
      <c r="N331" s="21"/>
      <c r="O331" s="21"/>
      <c r="P331" s="21">
        <v>245</v>
      </c>
      <c r="Q331" s="21"/>
      <c r="R331" s="21" t="s">
        <v>923</v>
      </c>
      <c r="S331" s="119">
        <f>DATABASE_Table[[#This Row],[Inicial Asking Price (€) (Total)]]-DATABASE_Table[[#This Row],[Vista membership]]-DATABASE_Table[[#This Row],[FF&amp;E]]</f>
        <v>470000</v>
      </c>
      <c r="T331" s="125">
        <v>470000</v>
      </c>
      <c r="U331" s="124">
        <v>517000</v>
      </c>
      <c r="V331" s="21"/>
      <c r="W331" s="21"/>
      <c r="X331" s="73">
        <f>DATABASE_Table[[#This Row],[Current Asking price( Total)]]-DATABASE_Table[[#This Row],[Vista membership]]-DATABASE_Table[[#This Row],[FF&amp;E]]</f>
        <v>517000</v>
      </c>
      <c r="Y331" s="126">
        <v>0</v>
      </c>
      <c r="Z331" s="124">
        <v>517000</v>
      </c>
      <c r="AA331" s="73">
        <f>DATABASE_Table[[#This Row],[Sell price (Total)]]-DATABASE_Table[[#This Row],[FF&amp;E]]-DATABASE_Table[[#This Row],[Vista membership]]</f>
        <v>517000</v>
      </c>
      <c r="AB331" s="74">
        <v>45223</v>
      </c>
      <c r="AC331" s="74" t="str">
        <f t="shared" si="5"/>
        <v>Q4 2023</v>
      </c>
      <c r="AD331" s="123">
        <v>45223</v>
      </c>
      <c r="AE331" s="69"/>
      <c r="AF331" s="21" t="s">
        <v>10</v>
      </c>
      <c r="AG331" s="21"/>
      <c r="AH331" s="122"/>
      <c r="AI331" s="122"/>
      <c r="AJ331" s="122"/>
      <c r="AK331" s="122"/>
      <c r="AL331" s="21"/>
      <c r="AM331" s="122" t="s">
        <v>685</v>
      </c>
    </row>
    <row r="332" spans="1:39" customFormat="1" ht="15.75" customHeight="1" x14ac:dyDescent="0.3">
      <c r="A332" t="s">
        <v>1108</v>
      </c>
      <c r="B332" s="21" t="s">
        <v>685</v>
      </c>
      <c r="C332" s="21" t="s">
        <v>688</v>
      </c>
      <c r="D332" s="117" t="s">
        <v>835</v>
      </c>
      <c r="E332" s="21"/>
      <c r="F332" s="21" t="s">
        <v>553</v>
      </c>
      <c r="G332" s="21">
        <v>245</v>
      </c>
      <c r="H332" s="21"/>
      <c r="I332" s="117" t="s">
        <v>325</v>
      </c>
      <c r="J332" s="117" t="s">
        <v>325</v>
      </c>
      <c r="K332" s="118"/>
      <c r="L332" s="21"/>
      <c r="M332" s="21"/>
      <c r="N332" s="21"/>
      <c r="O332" s="21"/>
      <c r="P332" s="21">
        <v>245</v>
      </c>
      <c r="Q332" s="21"/>
      <c r="R332" s="21" t="s">
        <v>923</v>
      </c>
      <c r="S332" s="119">
        <f>DATABASE_Table[[#This Row],[Inicial Asking Price (€) (Total)]]-DATABASE_Table[[#This Row],[Vista membership]]-DATABASE_Table[[#This Row],[FF&amp;E]]</f>
        <v>470000</v>
      </c>
      <c r="T332" s="125">
        <v>470000</v>
      </c>
      <c r="U332" s="124">
        <v>517000</v>
      </c>
      <c r="V332" s="21"/>
      <c r="W332" s="21"/>
      <c r="X332" s="73">
        <f>DATABASE_Table[[#This Row],[Current Asking price( Total)]]-DATABASE_Table[[#This Row],[Vista membership]]-DATABASE_Table[[#This Row],[FF&amp;E]]</f>
        <v>517000</v>
      </c>
      <c r="Y332" s="126">
        <v>0</v>
      </c>
      <c r="Z332" s="124">
        <v>517000</v>
      </c>
      <c r="AA332" s="73">
        <f>DATABASE_Table[[#This Row],[Sell price (Total)]]-DATABASE_Table[[#This Row],[FF&amp;E]]-DATABASE_Table[[#This Row],[Vista membership]]</f>
        <v>517000</v>
      </c>
      <c r="AB332" s="74">
        <v>45223</v>
      </c>
      <c r="AC332" s="74" t="str">
        <f t="shared" si="5"/>
        <v>Q4 2023</v>
      </c>
      <c r="AD332" s="123">
        <v>45223</v>
      </c>
      <c r="AE332" s="69"/>
      <c r="AF332" s="21" t="s">
        <v>10</v>
      </c>
      <c r="AG332" s="21"/>
      <c r="AH332" s="122"/>
      <c r="AI332" s="122"/>
      <c r="AJ332" s="122"/>
      <c r="AK332" s="122"/>
      <c r="AL332" s="21"/>
      <c r="AM332" s="122" t="s">
        <v>685</v>
      </c>
    </row>
    <row r="333" spans="1:39" customFormat="1" ht="15.75" customHeight="1" x14ac:dyDescent="0.3">
      <c r="A333" t="s">
        <v>1108</v>
      </c>
      <c r="B333" s="21" t="s">
        <v>685</v>
      </c>
      <c r="C333" s="21" t="s">
        <v>688</v>
      </c>
      <c r="D333" s="117" t="s">
        <v>836</v>
      </c>
      <c r="E333" s="21"/>
      <c r="F333" s="21" t="s">
        <v>553</v>
      </c>
      <c r="G333" s="21">
        <v>245</v>
      </c>
      <c r="H333" s="21"/>
      <c r="I333" s="117" t="s">
        <v>325</v>
      </c>
      <c r="J333" s="117" t="s">
        <v>325</v>
      </c>
      <c r="K333" s="118"/>
      <c r="L333" s="21"/>
      <c r="M333" s="21"/>
      <c r="N333" s="21"/>
      <c r="O333" s="21"/>
      <c r="P333" s="21">
        <v>245</v>
      </c>
      <c r="Q333" s="21"/>
      <c r="R333" s="21" t="s">
        <v>923</v>
      </c>
      <c r="S333" s="119">
        <f>DATABASE_Table[[#This Row],[Inicial Asking Price (€) (Total)]]-DATABASE_Table[[#This Row],[Vista membership]]-DATABASE_Table[[#This Row],[FF&amp;E]]</f>
        <v>540000</v>
      </c>
      <c r="T333" s="125">
        <v>540000</v>
      </c>
      <c r="U333" s="124">
        <v>594000</v>
      </c>
      <c r="V333" s="21"/>
      <c r="W333" s="21"/>
      <c r="X333" s="73">
        <f>DATABASE_Table[[#This Row],[Current Asking price( Total)]]-DATABASE_Table[[#This Row],[Vista membership]]-DATABASE_Table[[#This Row],[FF&amp;E]]</f>
        <v>594000</v>
      </c>
      <c r="Y333" s="126">
        <v>0</v>
      </c>
      <c r="Z333" s="124">
        <v>594000</v>
      </c>
      <c r="AA333" s="73">
        <f>DATABASE_Table[[#This Row],[Sell price (Total)]]-DATABASE_Table[[#This Row],[FF&amp;E]]-DATABASE_Table[[#This Row],[Vista membership]]</f>
        <v>594000</v>
      </c>
      <c r="AB333" s="74">
        <v>45223</v>
      </c>
      <c r="AC333" s="74" t="str">
        <f t="shared" si="5"/>
        <v>Q4 2023</v>
      </c>
      <c r="AD333" s="123">
        <v>45938</v>
      </c>
      <c r="AE333" s="69"/>
      <c r="AF333" s="21" t="s">
        <v>10</v>
      </c>
      <c r="AG333" s="21"/>
      <c r="AH333" s="122"/>
      <c r="AI333" s="122"/>
      <c r="AJ333" s="122"/>
      <c r="AK333" s="122"/>
      <c r="AL333" s="21"/>
      <c r="AM333" s="122" t="s">
        <v>685</v>
      </c>
    </row>
    <row r="334" spans="1:39" customFormat="1" ht="15.75" customHeight="1" x14ac:dyDescent="0.3">
      <c r="A334" t="s">
        <v>1108</v>
      </c>
      <c r="B334" s="21" t="s">
        <v>685</v>
      </c>
      <c r="C334" s="21" t="s">
        <v>688</v>
      </c>
      <c r="D334" s="117" t="s">
        <v>837</v>
      </c>
      <c r="E334" s="21"/>
      <c r="F334" s="21" t="s">
        <v>553</v>
      </c>
      <c r="G334" s="21">
        <v>265</v>
      </c>
      <c r="H334" s="21"/>
      <c r="I334" s="117" t="s">
        <v>325</v>
      </c>
      <c r="J334" s="117" t="s">
        <v>325</v>
      </c>
      <c r="K334" s="118"/>
      <c r="L334" s="21"/>
      <c r="M334" s="21"/>
      <c r="N334" s="21"/>
      <c r="O334" s="21"/>
      <c r="P334" s="21">
        <v>265</v>
      </c>
      <c r="Q334" s="21"/>
      <c r="R334" s="21" t="s">
        <v>923</v>
      </c>
      <c r="S334" s="119">
        <f>DATABASE_Table[[#This Row],[Inicial Asking Price (€) (Total)]]-DATABASE_Table[[#This Row],[Vista membership]]-DATABASE_Table[[#This Row],[FF&amp;E]]</f>
        <v>580000</v>
      </c>
      <c r="T334" s="125">
        <v>580000</v>
      </c>
      <c r="U334" s="124">
        <v>701800</v>
      </c>
      <c r="V334" s="21"/>
      <c r="W334" s="21"/>
      <c r="X334" s="73">
        <f>DATABASE_Table[[#This Row],[Current Asking price( Total)]]-DATABASE_Table[[#This Row],[Vista membership]]-DATABASE_Table[[#This Row],[FF&amp;E]]</f>
        <v>701800</v>
      </c>
      <c r="Y334" s="126">
        <v>0</v>
      </c>
      <c r="Z334" s="124">
        <v>701800</v>
      </c>
      <c r="AA334" s="73">
        <f>DATABASE_Table[[#This Row],[Sell price (Total)]]-DATABASE_Table[[#This Row],[FF&amp;E]]-DATABASE_Table[[#This Row],[Vista membership]]</f>
        <v>701800</v>
      </c>
      <c r="AB334" s="74">
        <v>45223</v>
      </c>
      <c r="AC334" s="74" t="str">
        <f t="shared" si="5"/>
        <v>Q4 2023</v>
      </c>
      <c r="AD334" s="123">
        <v>45474</v>
      </c>
      <c r="AE334" s="69"/>
      <c r="AF334" s="21" t="s">
        <v>10</v>
      </c>
      <c r="AG334" s="21"/>
      <c r="AH334" s="122"/>
      <c r="AI334" s="122"/>
      <c r="AJ334" s="122"/>
      <c r="AK334" s="122"/>
      <c r="AL334" s="21"/>
      <c r="AM334" s="122" t="s">
        <v>685</v>
      </c>
    </row>
    <row r="335" spans="1:39" customFormat="1" ht="15.75" customHeight="1" x14ac:dyDescent="0.3">
      <c r="A335" t="s">
        <v>1108</v>
      </c>
      <c r="B335" s="21" t="s">
        <v>685</v>
      </c>
      <c r="C335" s="21" t="s">
        <v>688</v>
      </c>
      <c r="D335" s="117" t="s">
        <v>838</v>
      </c>
      <c r="E335" s="21"/>
      <c r="F335" s="21" t="s">
        <v>553</v>
      </c>
      <c r="G335" s="21">
        <v>265</v>
      </c>
      <c r="H335" s="21"/>
      <c r="I335" s="117" t="s">
        <v>325</v>
      </c>
      <c r="J335" s="117" t="s">
        <v>325</v>
      </c>
      <c r="K335" s="118"/>
      <c r="L335" s="21"/>
      <c r="M335" s="21"/>
      <c r="N335" s="21"/>
      <c r="O335" s="21"/>
      <c r="P335" s="21">
        <v>265</v>
      </c>
      <c r="Q335" s="21"/>
      <c r="R335" s="21" t="s">
        <v>923</v>
      </c>
      <c r="S335" s="119">
        <f>DATABASE_Table[[#This Row],[Inicial Asking Price (€) (Total)]]-DATABASE_Table[[#This Row],[Vista membership]]-DATABASE_Table[[#This Row],[FF&amp;E]]</f>
        <v>580000</v>
      </c>
      <c r="T335" s="125">
        <v>580000</v>
      </c>
      <c r="U335" s="124">
        <v>638000</v>
      </c>
      <c r="V335" s="21"/>
      <c r="W335" s="21"/>
      <c r="X335" s="73">
        <f>DATABASE_Table[[#This Row],[Current Asking price( Total)]]-DATABASE_Table[[#This Row],[Vista membership]]-DATABASE_Table[[#This Row],[FF&amp;E]]</f>
        <v>638000</v>
      </c>
      <c r="Y335" s="126">
        <v>0</v>
      </c>
      <c r="Z335" s="124">
        <v>638000</v>
      </c>
      <c r="AA335" s="73">
        <f>DATABASE_Table[[#This Row],[Sell price (Total)]]-DATABASE_Table[[#This Row],[FF&amp;E]]-DATABASE_Table[[#This Row],[Vista membership]]</f>
        <v>638000</v>
      </c>
      <c r="AB335" s="74">
        <v>45223</v>
      </c>
      <c r="AC335" s="74" t="str">
        <f t="shared" si="5"/>
        <v>Q4 2023</v>
      </c>
      <c r="AD335" s="123">
        <v>45348</v>
      </c>
      <c r="AE335" s="69"/>
      <c r="AF335" s="21" t="s">
        <v>10</v>
      </c>
      <c r="AG335" s="21"/>
      <c r="AH335" s="122"/>
      <c r="AI335" s="122"/>
      <c r="AJ335" s="122"/>
      <c r="AK335" s="122"/>
      <c r="AL335" s="21"/>
      <c r="AM335" s="122" t="s">
        <v>685</v>
      </c>
    </row>
    <row r="336" spans="1:39" customFormat="1" ht="15.75" customHeight="1" x14ac:dyDescent="0.3">
      <c r="A336" t="s">
        <v>1108</v>
      </c>
      <c r="B336" s="21" t="s">
        <v>685</v>
      </c>
      <c r="C336" s="21" t="s">
        <v>688</v>
      </c>
      <c r="D336" s="117" t="s">
        <v>841</v>
      </c>
      <c r="E336" s="21"/>
      <c r="F336" s="21" t="s">
        <v>553</v>
      </c>
      <c r="G336" s="21">
        <v>305</v>
      </c>
      <c r="H336" s="21"/>
      <c r="I336" s="117" t="s">
        <v>325</v>
      </c>
      <c r="J336" s="117" t="s">
        <v>325</v>
      </c>
      <c r="K336" s="118"/>
      <c r="L336" s="21"/>
      <c r="M336" s="21"/>
      <c r="N336" s="21"/>
      <c r="O336" s="21"/>
      <c r="P336" s="21">
        <v>305</v>
      </c>
      <c r="Q336" s="21"/>
      <c r="R336" s="2" t="s">
        <v>327</v>
      </c>
      <c r="S336" s="119">
        <f>DATABASE_Table[[#This Row],[Inicial Asking Price (€) (Total)]]-DATABASE_Table[[#This Row],[Vista membership]]-DATABASE_Table[[#This Row],[FF&amp;E]]</f>
        <v>1000000</v>
      </c>
      <c r="T336" s="125">
        <v>1000000</v>
      </c>
      <c r="U336" s="124">
        <v>1210000</v>
      </c>
      <c r="V336" s="21"/>
      <c r="W336" s="21"/>
      <c r="X336" s="73">
        <f>DATABASE_Table[[#This Row],[Current Asking price( Total)]]-DATABASE_Table[[#This Row],[Vista membership]]-DATABASE_Table[[#This Row],[FF&amp;E]]</f>
        <v>1210000</v>
      </c>
      <c r="Y336" s="126">
        <v>0</v>
      </c>
      <c r="Z336" s="124">
        <v>1210000</v>
      </c>
      <c r="AA336" s="73">
        <f>DATABASE_Table[[#This Row],[Sell price (Total)]]-DATABASE_Table[[#This Row],[FF&amp;E]]-DATABASE_Table[[#This Row],[Vista membership]]</f>
        <v>1210000</v>
      </c>
      <c r="AB336" s="74">
        <v>45223</v>
      </c>
      <c r="AC336" s="74" t="str">
        <f t="shared" si="5"/>
        <v>Q4 2023</v>
      </c>
      <c r="AD336" s="123">
        <v>46174</v>
      </c>
      <c r="AE336" s="69"/>
      <c r="AF336" s="21" t="s">
        <v>10</v>
      </c>
      <c r="AG336" s="21"/>
      <c r="AH336" s="122"/>
      <c r="AI336" s="122"/>
      <c r="AJ336" s="122"/>
      <c r="AK336" s="122"/>
      <c r="AL336" s="21"/>
      <c r="AM336" s="122" t="s">
        <v>685</v>
      </c>
    </row>
    <row r="337" spans="1:39" customFormat="1" ht="15.75" customHeight="1" x14ac:dyDescent="0.3">
      <c r="A337" t="s">
        <v>1108</v>
      </c>
      <c r="B337" s="21" t="s">
        <v>685</v>
      </c>
      <c r="C337" s="21" t="s">
        <v>688</v>
      </c>
      <c r="D337" s="117" t="s">
        <v>839</v>
      </c>
      <c r="E337" s="21"/>
      <c r="F337" s="21" t="s">
        <v>553</v>
      </c>
      <c r="G337" s="21">
        <v>280</v>
      </c>
      <c r="H337" s="21"/>
      <c r="I337" s="117" t="s">
        <v>325</v>
      </c>
      <c r="J337" s="117" t="s">
        <v>325</v>
      </c>
      <c r="K337" s="118"/>
      <c r="L337" s="21"/>
      <c r="M337" s="21"/>
      <c r="N337" s="21"/>
      <c r="O337" s="21"/>
      <c r="P337" s="21">
        <v>280</v>
      </c>
      <c r="Q337" s="21"/>
      <c r="R337" s="21" t="s">
        <v>923</v>
      </c>
      <c r="S337" s="119">
        <f>DATABASE_Table[[#This Row],[Inicial Asking Price (€) (Total)]]-DATABASE_Table[[#This Row],[Vista membership]]-DATABASE_Table[[#This Row],[FF&amp;E]]</f>
        <v>610000</v>
      </c>
      <c r="T337" s="125">
        <v>610000</v>
      </c>
      <c r="U337" s="124">
        <v>738100</v>
      </c>
      <c r="V337" s="21"/>
      <c r="W337" s="21"/>
      <c r="X337" s="73">
        <f>DATABASE_Table[[#This Row],[Current Asking price( Total)]]-DATABASE_Table[[#This Row],[Vista membership]]-DATABASE_Table[[#This Row],[FF&amp;E]]</f>
        <v>738100</v>
      </c>
      <c r="Y337" s="126">
        <v>1.11022302462516E-16</v>
      </c>
      <c r="Z337" s="124">
        <v>738100</v>
      </c>
      <c r="AA337" s="73">
        <f>DATABASE_Table[[#This Row],[Sell price (Total)]]-DATABASE_Table[[#This Row],[FF&amp;E]]-DATABASE_Table[[#This Row],[Vista membership]]</f>
        <v>738100</v>
      </c>
      <c r="AB337" s="74">
        <v>45223</v>
      </c>
      <c r="AC337" s="74" t="str">
        <f t="shared" si="5"/>
        <v>Q4 2023</v>
      </c>
      <c r="AD337" s="123">
        <v>45464</v>
      </c>
      <c r="AE337" s="69"/>
      <c r="AF337" s="21" t="s">
        <v>10</v>
      </c>
      <c r="AG337" s="21"/>
      <c r="AH337" s="122"/>
      <c r="AI337" s="122"/>
      <c r="AJ337" s="122"/>
      <c r="AK337" s="122"/>
      <c r="AL337" s="21"/>
      <c r="AM337" s="122" t="s">
        <v>685</v>
      </c>
    </row>
    <row r="338" spans="1:39" customFormat="1" ht="15.75" customHeight="1" x14ac:dyDescent="0.3">
      <c r="A338" t="s">
        <v>1108</v>
      </c>
      <c r="B338" s="21" t="s">
        <v>685</v>
      </c>
      <c r="C338" s="21" t="s">
        <v>688</v>
      </c>
      <c r="D338" s="117" t="s">
        <v>840</v>
      </c>
      <c r="E338" s="21"/>
      <c r="F338" s="21" t="s">
        <v>553</v>
      </c>
      <c r="G338" s="21">
        <v>280</v>
      </c>
      <c r="H338" s="21"/>
      <c r="I338" s="117" t="s">
        <v>325</v>
      </c>
      <c r="J338" s="117" t="s">
        <v>325</v>
      </c>
      <c r="K338" s="118"/>
      <c r="L338" s="21"/>
      <c r="M338" s="21"/>
      <c r="N338" s="21"/>
      <c r="O338" s="21"/>
      <c r="P338" s="21">
        <v>280</v>
      </c>
      <c r="Q338" s="21"/>
      <c r="R338" s="2" t="s">
        <v>625</v>
      </c>
      <c r="S338" s="119">
        <f>DATABASE_Table[[#This Row],[Inicial Asking Price (€) (Total)]]-DATABASE_Table[[#This Row],[Vista membership]]-DATABASE_Table[[#This Row],[FF&amp;E]]</f>
        <v>610000</v>
      </c>
      <c r="T338" s="125">
        <v>610000</v>
      </c>
      <c r="U338" s="124">
        <v>738100</v>
      </c>
      <c r="V338" s="21"/>
      <c r="W338" s="21"/>
      <c r="X338" s="73">
        <f>DATABASE_Table[[#This Row],[Current Asking price( Total)]]-DATABASE_Table[[#This Row],[Vista membership]]-DATABASE_Table[[#This Row],[FF&amp;E]]</f>
        <v>738100</v>
      </c>
      <c r="Y338" s="126">
        <v>1.11022302462516E-16</v>
      </c>
      <c r="Z338" s="124">
        <v>738100</v>
      </c>
      <c r="AA338" s="73">
        <f>DATABASE_Table[[#This Row],[Sell price (Total)]]-DATABASE_Table[[#This Row],[FF&amp;E]]-DATABASE_Table[[#This Row],[Vista membership]]</f>
        <v>738100</v>
      </c>
      <c r="AB338" s="74">
        <v>45223</v>
      </c>
      <c r="AC338" s="74" t="str">
        <f t="shared" si="5"/>
        <v>Q4 2023</v>
      </c>
      <c r="AD338" s="123">
        <v>46185</v>
      </c>
      <c r="AE338" s="69"/>
      <c r="AF338" s="21" t="s">
        <v>10</v>
      </c>
      <c r="AG338" s="21"/>
      <c r="AH338" s="122"/>
      <c r="AI338" s="122"/>
      <c r="AJ338" s="122"/>
      <c r="AK338" s="122"/>
      <c r="AL338" s="21"/>
      <c r="AM338" s="122" t="s">
        <v>685</v>
      </c>
    </row>
    <row r="339" spans="1:39" customFormat="1" ht="15.75" customHeight="1" x14ac:dyDescent="0.3">
      <c r="A339" t="s">
        <v>73</v>
      </c>
      <c r="B339" s="21" t="s">
        <v>768</v>
      </c>
      <c r="C339" s="21" t="s">
        <v>764</v>
      </c>
      <c r="D339" s="117" t="s">
        <v>346</v>
      </c>
      <c r="E339" s="21" t="s">
        <v>74</v>
      </c>
      <c r="F339" s="21" t="s">
        <v>319</v>
      </c>
      <c r="G339" s="21">
        <v>197.08</v>
      </c>
      <c r="H339" s="21"/>
      <c r="I339" s="117" t="s">
        <v>325</v>
      </c>
      <c r="J339" s="117" t="s">
        <v>325</v>
      </c>
      <c r="K339" s="118"/>
      <c r="L339" s="21"/>
      <c r="M339" s="21"/>
      <c r="N339" s="21">
        <v>43.02</v>
      </c>
      <c r="O339" s="21"/>
      <c r="P339" s="21">
        <v>154.06</v>
      </c>
      <c r="Q339" s="21"/>
      <c r="R339" s="21" t="s">
        <v>326</v>
      </c>
      <c r="S339" s="119">
        <f>DATABASE_Table[[#This Row],[Inicial Asking Price (€) (Total)]]-DATABASE_Table[[#This Row],[Vista membership]]-DATABASE_Table[[#This Row],[FF&amp;E]]</f>
        <v>900000</v>
      </c>
      <c r="T339" s="120">
        <v>900000</v>
      </c>
      <c r="U339" s="36">
        <v>660000</v>
      </c>
      <c r="V339" s="21"/>
      <c r="W339" s="21"/>
      <c r="X339" s="73">
        <f>DATABASE_Table[[#This Row],[Current Asking price( Total)]]-DATABASE_Table[[#This Row],[Vista membership]]-DATABASE_Table[[#This Row],[FF&amp;E]]</f>
        <v>660000</v>
      </c>
      <c r="Y339" s="37">
        <v>0</v>
      </c>
      <c r="Z339" s="36">
        <v>660000</v>
      </c>
      <c r="AA339" s="73">
        <f>DATABASE_Table[[#This Row],[Sell price (Total)]]-DATABASE_Table[[#This Row],[FF&amp;E]]-DATABASE_Table[[#This Row],[Vista membership]]</f>
        <v>660000</v>
      </c>
      <c r="AB339" s="74">
        <v>46094</v>
      </c>
      <c r="AC339" s="74" t="str">
        <f t="shared" si="5"/>
        <v>Q1 2026</v>
      </c>
      <c r="AD339" s="123">
        <v>46094</v>
      </c>
      <c r="AE339" s="69" t="s">
        <v>32</v>
      </c>
      <c r="AF339" s="21" t="s">
        <v>57</v>
      </c>
      <c r="AG339" s="21" t="s">
        <v>930</v>
      </c>
      <c r="AH339" s="122" t="s">
        <v>75</v>
      </c>
      <c r="AI339" s="122" t="s">
        <v>554</v>
      </c>
      <c r="AJ339" s="122" t="s">
        <v>76</v>
      </c>
      <c r="AK339" s="122" t="s">
        <v>77</v>
      </c>
      <c r="AL339" s="21" t="s">
        <v>32</v>
      </c>
      <c r="AM339" s="122" t="s">
        <v>73</v>
      </c>
    </row>
    <row r="340" spans="1:39" customFormat="1" ht="15.75" customHeight="1" x14ac:dyDescent="0.3">
      <c r="A340" t="s">
        <v>73</v>
      </c>
      <c r="B340" s="21" t="s">
        <v>768</v>
      </c>
      <c r="C340" s="21" t="s">
        <v>764</v>
      </c>
      <c r="D340" s="117" t="s">
        <v>349</v>
      </c>
      <c r="E340" s="21" t="s">
        <v>74</v>
      </c>
      <c r="F340" s="21" t="s">
        <v>506</v>
      </c>
      <c r="G340" s="21">
        <v>317.38</v>
      </c>
      <c r="H340" s="21"/>
      <c r="I340" s="117" t="s">
        <v>325</v>
      </c>
      <c r="J340" s="117" t="s">
        <v>325</v>
      </c>
      <c r="K340" s="118"/>
      <c r="L340" s="21"/>
      <c r="M340" s="21"/>
      <c r="N340" s="21">
        <v>84.58</v>
      </c>
      <c r="O340" s="21"/>
      <c r="P340" s="21">
        <v>232.8</v>
      </c>
      <c r="Q340" s="21"/>
      <c r="R340" s="21" t="s">
        <v>327</v>
      </c>
      <c r="S340" s="119">
        <f>DATABASE_Table[[#This Row],[Inicial Asking Price (€) (Total)]]-DATABASE_Table[[#This Row],[Vista membership]]-DATABASE_Table[[#This Row],[FF&amp;E]]</f>
        <v>1500000</v>
      </c>
      <c r="T340" s="120">
        <v>1500000</v>
      </c>
      <c r="U340" s="36">
        <v>1220000</v>
      </c>
      <c r="V340" s="21"/>
      <c r="W340" s="21"/>
      <c r="X340" s="73">
        <f>DATABASE_Table[[#This Row],[Current Asking price( Total)]]-DATABASE_Table[[#This Row],[Vista membership]]-DATABASE_Table[[#This Row],[FF&amp;E]]</f>
        <v>1220000</v>
      </c>
      <c r="Y340" s="37">
        <v>0</v>
      </c>
      <c r="Z340" s="36">
        <v>1220000</v>
      </c>
      <c r="AA340" s="73">
        <f>DATABASE_Table[[#This Row],[Sell price (Total)]]-DATABASE_Table[[#This Row],[FF&amp;E]]-DATABASE_Table[[#This Row],[Vista membership]]</f>
        <v>1220000</v>
      </c>
      <c r="AB340" s="74">
        <v>46094</v>
      </c>
      <c r="AC340" s="74" t="str">
        <f t="shared" si="5"/>
        <v>Q1 2026</v>
      </c>
      <c r="AD340" s="123">
        <v>46171</v>
      </c>
      <c r="AE340" s="69" t="s">
        <v>32</v>
      </c>
      <c r="AF340" s="21" t="s">
        <v>57</v>
      </c>
      <c r="AG340" s="21" t="s">
        <v>930</v>
      </c>
      <c r="AH340" s="122" t="s">
        <v>75</v>
      </c>
      <c r="AI340" s="122" t="s">
        <v>554</v>
      </c>
      <c r="AJ340" s="122" t="s">
        <v>76</v>
      </c>
      <c r="AK340" s="122" t="s">
        <v>77</v>
      </c>
      <c r="AL340" s="21" t="s">
        <v>32</v>
      </c>
      <c r="AM340" s="122" t="s">
        <v>73</v>
      </c>
    </row>
    <row r="341" spans="1:39" customFormat="1" ht="15.75" customHeight="1" x14ac:dyDescent="0.3">
      <c r="A341" t="s">
        <v>73</v>
      </c>
      <c r="B341" s="21" t="s">
        <v>768</v>
      </c>
      <c r="C341" s="21" t="s">
        <v>764</v>
      </c>
      <c r="D341" s="117" t="s">
        <v>370</v>
      </c>
      <c r="E341" s="21" t="s">
        <v>74</v>
      </c>
      <c r="F341" s="21" t="s">
        <v>319</v>
      </c>
      <c r="G341" s="21">
        <v>194.7</v>
      </c>
      <c r="H341" s="21"/>
      <c r="I341" s="117" t="s">
        <v>325</v>
      </c>
      <c r="J341" s="117" t="s">
        <v>325</v>
      </c>
      <c r="K341" s="118"/>
      <c r="L341" s="21"/>
      <c r="M341" s="21"/>
      <c r="N341" s="21">
        <v>38.22</v>
      </c>
      <c r="O341" s="21"/>
      <c r="P341" s="21">
        <v>156.47999999999999</v>
      </c>
      <c r="Q341" s="21"/>
      <c r="R341" s="21" t="s">
        <v>329</v>
      </c>
      <c r="S341" s="119">
        <f>DATABASE_Table[[#This Row],[Inicial Asking Price (€) (Total)]]-DATABASE_Table[[#This Row],[Vista membership]]-DATABASE_Table[[#This Row],[FF&amp;E]]</f>
        <v>895000</v>
      </c>
      <c r="T341" s="120">
        <v>895000</v>
      </c>
      <c r="U341" s="36">
        <v>790000</v>
      </c>
      <c r="V341" s="21"/>
      <c r="W341" s="21"/>
      <c r="X341" s="73">
        <f>DATABASE_Table[[#This Row],[Current Asking price( Total)]]-DATABASE_Table[[#This Row],[Vista membership]]-DATABASE_Table[[#This Row],[FF&amp;E]]</f>
        <v>790000</v>
      </c>
      <c r="Y341" s="37"/>
      <c r="Z341" s="36"/>
      <c r="AA341" s="73">
        <f>DATABASE_Table[[#This Row],[Sell price (Total)]]-DATABASE_Table[[#This Row],[FF&amp;E]]-DATABASE_Table[[#This Row],[Vista membership]]</f>
        <v>0</v>
      </c>
      <c r="AB341" s="74">
        <v>46094</v>
      </c>
      <c r="AC341" s="74" t="str">
        <f t="shared" si="5"/>
        <v>Q1 2026</v>
      </c>
      <c r="AD341" s="123"/>
      <c r="AE341" s="69" t="s">
        <v>32</v>
      </c>
      <c r="AF341" s="21" t="s">
        <v>57</v>
      </c>
      <c r="AG341" s="21" t="s">
        <v>930</v>
      </c>
      <c r="AH341" s="122" t="s">
        <v>75</v>
      </c>
      <c r="AI341" s="122" t="s">
        <v>554</v>
      </c>
      <c r="AJ341" s="122" t="s">
        <v>76</v>
      </c>
      <c r="AK341" s="122" t="s">
        <v>77</v>
      </c>
      <c r="AL341" s="21" t="s">
        <v>32</v>
      </c>
      <c r="AM341" s="122" t="s">
        <v>73</v>
      </c>
    </row>
    <row r="342" spans="1:39" customFormat="1" ht="15.75" customHeight="1" x14ac:dyDescent="0.3">
      <c r="A342" t="s">
        <v>73</v>
      </c>
      <c r="B342" s="21" t="s">
        <v>768</v>
      </c>
      <c r="C342" s="21" t="s">
        <v>764</v>
      </c>
      <c r="D342" s="117" t="s">
        <v>371</v>
      </c>
      <c r="E342" s="21" t="s">
        <v>74</v>
      </c>
      <c r="F342" s="21" t="s">
        <v>319</v>
      </c>
      <c r="G342" s="21">
        <v>197.08</v>
      </c>
      <c r="H342" s="21"/>
      <c r="I342" s="117" t="s">
        <v>325</v>
      </c>
      <c r="J342" s="117" t="s">
        <v>325</v>
      </c>
      <c r="K342" s="118"/>
      <c r="L342" s="21"/>
      <c r="M342" s="21"/>
      <c r="N342" s="21">
        <v>43.02</v>
      </c>
      <c r="O342" s="21"/>
      <c r="P342" s="21">
        <v>154.06</v>
      </c>
      <c r="Q342" s="21"/>
      <c r="R342" s="21" t="s">
        <v>329</v>
      </c>
      <c r="S342" s="119">
        <f>DATABASE_Table[[#This Row],[Inicial Asking Price (€) (Total)]]-DATABASE_Table[[#This Row],[Vista membership]]-DATABASE_Table[[#This Row],[FF&amp;E]]</f>
        <v>895000</v>
      </c>
      <c r="T342" s="120">
        <v>895000</v>
      </c>
      <c r="U342" s="36">
        <v>850000</v>
      </c>
      <c r="V342" s="21"/>
      <c r="W342" s="21"/>
      <c r="X342" s="73">
        <f>DATABASE_Table[[#This Row],[Current Asking price( Total)]]-DATABASE_Table[[#This Row],[Vista membership]]-DATABASE_Table[[#This Row],[FF&amp;E]]</f>
        <v>850000</v>
      </c>
      <c r="Y342" s="37"/>
      <c r="Z342" s="36"/>
      <c r="AA342" s="73">
        <f>DATABASE_Table[[#This Row],[Sell price (Total)]]-DATABASE_Table[[#This Row],[FF&amp;E]]-DATABASE_Table[[#This Row],[Vista membership]]</f>
        <v>0</v>
      </c>
      <c r="AB342" s="74">
        <v>46094</v>
      </c>
      <c r="AC342" s="74" t="str">
        <f t="shared" si="5"/>
        <v>Q1 2026</v>
      </c>
      <c r="AD342" s="123"/>
      <c r="AE342" s="69" t="s">
        <v>32</v>
      </c>
      <c r="AF342" s="21" t="s">
        <v>57</v>
      </c>
      <c r="AG342" s="21" t="s">
        <v>930</v>
      </c>
      <c r="AH342" s="122" t="s">
        <v>75</v>
      </c>
      <c r="AI342" s="122" t="s">
        <v>554</v>
      </c>
      <c r="AJ342" s="122" t="s">
        <v>76</v>
      </c>
      <c r="AK342" s="122" t="s">
        <v>77</v>
      </c>
      <c r="AL342" s="21" t="s">
        <v>32</v>
      </c>
      <c r="AM342" s="122" t="s">
        <v>73</v>
      </c>
    </row>
    <row r="343" spans="1:39" customFormat="1" ht="15.75" customHeight="1" x14ac:dyDescent="0.3">
      <c r="A343" t="s">
        <v>73</v>
      </c>
      <c r="B343" s="21" t="s">
        <v>768</v>
      </c>
      <c r="C343" s="21" t="s">
        <v>764</v>
      </c>
      <c r="D343" s="117" t="s">
        <v>365</v>
      </c>
      <c r="E343" s="21" t="s">
        <v>74</v>
      </c>
      <c r="F343" s="21" t="s">
        <v>319</v>
      </c>
      <c r="G343" s="21">
        <v>194.7</v>
      </c>
      <c r="H343" s="21"/>
      <c r="I343" s="117" t="s">
        <v>325</v>
      </c>
      <c r="J343" s="117" t="s">
        <v>325</v>
      </c>
      <c r="K343" s="118"/>
      <c r="L343" s="21"/>
      <c r="M343" s="21"/>
      <c r="N343" s="21">
        <v>38.22</v>
      </c>
      <c r="O343" s="21"/>
      <c r="P343" s="21">
        <v>156.47999999999999</v>
      </c>
      <c r="Q343" s="21"/>
      <c r="R343" s="21" t="s">
        <v>329</v>
      </c>
      <c r="S343" s="119">
        <f>DATABASE_Table[[#This Row],[Inicial Asking Price (€) (Total)]]-DATABASE_Table[[#This Row],[Vista membership]]-DATABASE_Table[[#This Row],[FF&amp;E]]</f>
        <v>915000</v>
      </c>
      <c r="T343" s="120">
        <v>915000</v>
      </c>
      <c r="U343" s="36">
        <v>840000</v>
      </c>
      <c r="V343" s="21"/>
      <c r="W343" s="21"/>
      <c r="X343" s="73">
        <f>DATABASE_Table[[#This Row],[Current Asking price( Total)]]-DATABASE_Table[[#This Row],[Vista membership]]-DATABASE_Table[[#This Row],[FF&amp;E]]</f>
        <v>840000</v>
      </c>
      <c r="Y343" s="37"/>
      <c r="Z343" s="36"/>
      <c r="AA343" s="73">
        <f>DATABASE_Table[[#This Row],[Sell price (Total)]]-DATABASE_Table[[#This Row],[FF&amp;E]]-DATABASE_Table[[#This Row],[Vista membership]]</f>
        <v>0</v>
      </c>
      <c r="AB343" s="74">
        <v>46094</v>
      </c>
      <c r="AC343" s="74" t="str">
        <f t="shared" si="5"/>
        <v>Q1 2026</v>
      </c>
      <c r="AD343" s="123"/>
      <c r="AE343" s="69" t="s">
        <v>32</v>
      </c>
      <c r="AF343" s="21" t="s">
        <v>57</v>
      </c>
      <c r="AG343" s="21" t="s">
        <v>930</v>
      </c>
      <c r="AH343" s="122" t="s">
        <v>75</v>
      </c>
      <c r="AI343" s="122" t="s">
        <v>554</v>
      </c>
      <c r="AJ343" s="122" t="s">
        <v>76</v>
      </c>
      <c r="AK343" s="122" t="s">
        <v>77</v>
      </c>
      <c r="AL343" s="21" t="s">
        <v>32</v>
      </c>
      <c r="AM343" s="122" t="s">
        <v>73</v>
      </c>
    </row>
    <row r="344" spans="1:39" customFormat="1" ht="15.75" customHeight="1" x14ac:dyDescent="0.3">
      <c r="A344" t="s">
        <v>73</v>
      </c>
      <c r="B344" s="21" t="s">
        <v>768</v>
      </c>
      <c r="C344" s="21" t="s">
        <v>764</v>
      </c>
      <c r="D344" s="117" t="s">
        <v>361</v>
      </c>
      <c r="E344" s="21" t="s">
        <v>74</v>
      </c>
      <c r="F344" s="21" t="s">
        <v>319</v>
      </c>
      <c r="G344" s="21">
        <v>202.75</v>
      </c>
      <c r="H344" s="21"/>
      <c r="I344" s="117" t="s">
        <v>325</v>
      </c>
      <c r="J344" s="117" t="s">
        <v>325</v>
      </c>
      <c r="K344" s="118"/>
      <c r="L344" s="21"/>
      <c r="M344" s="21"/>
      <c r="N344" s="21">
        <v>44.03</v>
      </c>
      <c r="O344" s="21"/>
      <c r="P344" s="21">
        <v>158.72</v>
      </c>
      <c r="Q344" s="21"/>
      <c r="R344" s="21" t="s">
        <v>329</v>
      </c>
      <c r="S344" s="119">
        <f>DATABASE_Table[[#This Row],[Inicial Asking Price (€) (Total)]]-DATABASE_Table[[#This Row],[Vista membership]]-DATABASE_Table[[#This Row],[FF&amp;E]]</f>
        <v>925000</v>
      </c>
      <c r="T344" s="120">
        <v>925000</v>
      </c>
      <c r="U344" s="36">
        <v>925000</v>
      </c>
      <c r="V344" s="21"/>
      <c r="W344" s="21"/>
      <c r="X344" s="73">
        <f>DATABASE_Table[[#This Row],[Current Asking price( Total)]]-DATABASE_Table[[#This Row],[Vista membership]]-DATABASE_Table[[#This Row],[FF&amp;E]]</f>
        <v>925000</v>
      </c>
      <c r="Y344" s="37"/>
      <c r="Z344" s="36"/>
      <c r="AA344" s="73">
        <f>DATABASE_Table[[#This Row],[Sell price (Total)]]-DATABASE_Table[[#This Row],[FF&amp;E]]-DATABASE_Table[[#This Row],[Vista membership]]</f>
        <v>0</v>
      </c>
      <c r="AB344" s="74">
        <v>46094</v>
      </c>
      <c r="AC344" s="74" t="str">
        <f t="shared" si="5"/>
        <v>Q1 2026</v>
      </c>
      <c r="AD344" s="123"/>
      <c r="AE344" s="69" t="s">
        <v>32</v>
      </c>
      <c r="AF344" s="21" t="s">
        <v>57</v>
      </c>
      <c r="AG344" s="21" t="s">
        <v>930</v>
      </c>
      <c r="AH344" s="122" t="s">
        <v>75</v>
      </c>
      <c r="AI344" s="122" t="s">
        <v>554</v>
      </c>
      <c r="AJ344" s="122" t="s">
        <v>76</v>
      </c>
      <c r="AK344" s="122" t="s">
        <v>77</v>
      </c>
      <c r="AL344" s="21" t="s">
        <v>32</v>
      </c>
      <c r="AM344" s="122" t="s">
        <v>73</v>
      </c>
    </row>
    <row r="345" spans="1:39" customFormat="1" ht="15.75" customHeight="1" x14ac:dyDescent="0.3">
      <c r="A345" t="s">
        <v>73</v>
      </c>
      <c r="B345" s="21" t="s">
        <v>768</v>
      </c>
      <c r="C345" s="21" t="s">
        <v>764</v>
      </c>
      <c r="D345" s="117" t="s">
        <v>342</v>
      </c>
      <c r="E345" s="21" t="s">
        <v>74</v>
      </c>
      <c r="F345" s="21" t="s">
        <v>319</v>
      </c>
      <c r="G345" s="21">
        <v>197.08</v>
      </c>
      <c r="H345" s="21"/>
      <c r="I345" s="117" t="s">
        <v>325</v>
      </c>
      <c r="J345" s="117" t="s">
        <v>325</v>
      </c>
      <c r="K345" s="118"/>
      <c r="L345" s="21"/>
      <c r="M345" s="21"/>
      <c r="N345" s="21">
        <v>43.02</v>
      </c>
      <c r="O345" s="21"/>
      <c r="P345" s="21">
        <v>154.06</v>
      </c>
      <c r="Q345" s="21"/>
      <c r="R345" s="21" t="s">
        <v>329</v>
      </c>
      <c r="S345" s="119">
        <f>DATABASE_Table[[#This Row],[Inicial Asking Price (€) (Total)]]-DATABASE_Table[[#This Row],[Vista membership]]-DATABASE_Table[[#This Row],[FF&amp;E]]</f>
        <v>930000</v>
      </c>
      <c r="T345" s="120">
        <v>930000</v>
      </c>
      <c r="U345" s="36">
        <v>760000</v>
      </c>
      <c r="V345" s="21"/>
      <c r="W345" s="21"/>
      <c r="X345" s="73">
        <f>DATABASE_Table[[#This Row],[Current Asking price( Total)]]-DATABASE_Table[[#This Row],[Vista membership]]-DATABASE_Table[[#This Row],[FF&amp;E]]</f>
        <v>760000</v>
      </c>
      <c r="Y345" s="37"/>
      <c r="Z345" s="36">
        <v>760000</v>
      </c>
      <c r="AA345" s="73">
        <f>DATABASE_Table[[#This Row],[Sell price (Total)]]-DATABASE_Table[[#This Row],[FF&amp;E]]-DATABASE_Table[[#This Row],[Vista membership]]</f>
        <v>760000</v>
      </c>
      <c r="AB345" s="74">
        <v>46094</v>
      </c>
      <c r="AC345" s="74" t="str">
        <f t="shared" si="5"/>
        <v>Q1 2026</v>
      </c>
      <c r="AD345" s="123"/>
      <c r="AE345" s="69" t="s">
        <v>32</v>
      </c>
      <c r="AF345" s="21" t="s">
        <v>57</v>
      </c>
      <c r="AG345" s="21" t="s">
        <v>930</v>
      </c>
      <c r="AH345" s="122" t="s">
        <v>75</v>
      </c>
      <c r="AI345" s="122" t="s">
        <v>554</v>
      </c>
      <c r="AJ345" s="122" t="s">
        <v>76</v>
      </c>
      <c r="AK345" s="122" t="s">
        <v>77</v>
      </c>
      <c r="AL345" s="21" t="s">
        <v>32</v>
      </c>
      <c r="AM345" s="122" t="s">
        <v>73</v>
      </c>
    </row>
    <row r="346" spans="1:39" customFormat="1" ht="15.75" customHeight="1" x14ac:dyDescent="0.3">
      <c r="A346" t="s">
        <v>73</v>
      </c>
      <c r="B346" s="21" t="s">
        <v>768</v>
      </c>
      <c r="C346" s="21" t="s">
        <v>764</v>
      </c>
      <c r="D346" s="117" t="s">
        <v>347</v>
      </c>
      <c r="E346" s="21" t="s">
        <v>74</v>
      </c>
      <c r="F346" s="21" t="s">
        <v>319</v>
      </c>
      <c r="G346" s="21">
        <v>197.08</v>
      </c>
      <c r="H346" s="21"/>
      <c r="I346" s="117" t="s">
        <v>325</v>
      </c>
      <c r="J346" s="117" t="s">
        <v>325</v>
      </c>
      <c r="K346" s="118"/>
      <c r="L346" s="21"/>
      <c r="M346" s="21"/>
      <c r="N346" s="21">
        <v>43.02</v>
      </c>
      <c r="O346" s="21"/>
      <c r="P346" s="21">
        <v>154.06</v>
      </c>
      <c r="Q346" s="21"/>
      <c r="R346" s="21" t="s">
        <v>329</v>
      </c>
      <c r="S346" s="119">
        <f>DATABASE_Table[[#This Row],[Inicial Asking Price (€) (Total)]]-DATABASE_Table[[#This Row],[Vista membership]]-DATABASE_Table[[#This Row],[FF&amp;E]]</f>
        <v>930000</v>
      </c>
      <c r="T346" s="120">
        <v>930000</v>
      </c>
      <c r="U346" s="36">
        <v>720000</v>
      </c>
      <c r="V346" s="21"/>
      <c r="W346" s="21"/>
      <c r="X346" s="73">
        <f>DATABASE_Table[[#This Row],[Current Asking price( Total)]]-DATABASE_Table[[#This Row],[Vista membership]]-DATABASE_Table[[#This Row],[FF&amp;E]]</f>
        <v>720000</v>
      </c>
      <c r="Y346" s="37"/>
      <c r="Z346" s="36"/>
      <c r="AA346" s="73">
        <f>DATABASE_Table[[#This Row],[Sell price (Total)]]-DATABASE_Table[[#This Row],[FF&amp;E]]-DATABASE_Table[[#This Row],[Vista membership]]</f>
        <v>0</v>
      </c>
      <c r="AB346" s="74">
        <v>46094</v>
      </c>
      <c r="AC346" s="74" t="str">
        <f t="shared" si="5"/>
        <v>Q1 2026</v>
      </c>
      <c r="AD346" s="123"/>
      <c r="AE346" s="69" t="s">
        <v>32</v>
      </c>
      <c r="AF346" s="21" t="s">
        <v>57</v>
      </c>
      <c r="AG346" s="21" t="s">
        <v>930</v>
      </c>
      <c r="AH346" s="122" t="s">
        <v>75</v>
      </c>
      <c r="AI346" s="122" t="s">
        <v>554</v>
      </c>
      <c r="AJ346" s="122" t="s">
        <v>76</v>
      </c>
      <c r="AK346" s="122" t="s">
        <v>77</v>
      </c>
      <c r="AL346" s="21" t="s">
        <v>32</v>
      </c>
      <c r="AM346" s="122" t="s">
        <v>73</v>
      </c>
    </row>
    <row r="347" spans="1:39" customFormat="1" ht="15.75" customHeight="1" x14ac:dyDescent="0.3">
      <c r="A347" t="s">
        <v>73</v>
      </c>
      <c r="B347" s="21" t="s">
        <v>768</v>
      </c>
      <c r="C347" s="21" t="s">
        <v>764</v>
      </c>
      <c r="D347" s="117" t="s">
        <v>350</v>
      </c>
      <c r="E347" s="21" t="s">
        <v>74</v>
      </c>
      <c r="F347" s="21" t="s">
        <v>319</v>
      </c>
      <c r="G347" s="21">
        <v>197.08</v>
      </c>
      <c r="H347" s="21"/>
      <c r="I347" s="117" t="s">
        <v>325</v>
      </c>
      <c r="J347" s="117" t="s">
        <v>325</v>
      </c>
      <c r="K347" s="118"/>
      <c r="L347" s="21"/>
      <c r="M347" s="21"/>
      <c r="N347" s="21">
        <v>43.02</v>
      </c>
      <c r="O347" s="21"/>
      <c r="P347" s="21">
        <v>154.06</v>
      </c>
      <c r="Q347" s="21"/>
      <c r="R347" s="21" t="s">
        <v>329</v>
      </c>
      <c r="S347" s="119">
        <f>DATABASE_Table[[#This Row],[Inicial Asking Price (€) (Total)]]-DATABASE_Table[[#This Row],[Vista membership]]-DATABASE_Table[[#This Row],[FF&amp;E]]</f>
        <v>930000</v>
      </c>
      <c r="T347" s="120">
        <v>930000</v>
      </c>
      <c r="U347" s="36">
        <v>700000</v>
      </c>
      <c r="V347" s="21"/>
      <c r="W347" s="21"/>
      <c r="X347" s="73">
        <f>DATABASE_Table[[#This Row],[Current Asking price( Total)]]-DATABASE_Table[[#This Row],[Vista membership]]-DATABASE_Table[[#This Row],[FF&amp;E]]</f>
        <v>700000</v>
      </c>
      <c r="Y347" s="37"/>
      <c r="Z347" s="36"/>
      <c r="AA347" s="73">
        <f>DATABASE_Table[[#This Row],[Sell price (Total)]]-DATABASE_Table[[#This Row],[FF&amp;E]]-DATABASE_Table[[#This Row],[Vista membership]]</f>
        <v>0</v>
      </c>
      <c r="AB347" s="74">
        <v>46094</v>
      </c>
      <c r="AC347" s="74" t="str">
        <f t="shared" si="5"/>
        <v>Q1 2026</v>
      </c>
      <c r="AD347" s="123"/>
      <c r="AE347" s="69" t="s">
        <v>32</v>
      </c>
      <c r="AF347" s="21" t="s">
        <v>57</v>
      </c>
      <c r="AG347" s="21" t="s">
        <v>930</v>
      </c>
      <c r="AH347" s="122" t="s">
        <v>75</v>
      </c>
      <c r="AI347" s="122" t="s">
        <v>554</v>
      </c>
      <c r="AJ347" s="122" t="s">
        <v>76</v>
      </c>
      <c r="AK347" s="122" t="s">
        <v>77</v>
      </c>
      <c r="AL347" s="21" t="s">
        <v>32</v>
      </c>
      <c r="AM347" s="122" t="s">
        <v>73</v>
      </c>
    </row>
    <row r="348" spans="1:39" customFormat="1" ht="15.75" customHeight="1" x14ac:dyDescent="0.3">
      <c r="A348" t="s">
        <v>73</v>
      </c>
      <c r="B348" s="21" t="s">
        <v>768</v>
      </c>
      <c r="C348" s="21" t="s">
        <v>764</v>
      </c>
      <c r="D348" s="117" t="s">
        <v>351</v>
      </c>
      <c r="E348" s="21" t="s">
        <v>74</v>
      </c>
      <c r="F348" s="21" t="s">
        <v>319</v>
      </c>
      <c r="G348" s="21">
        <v>197.12</v>
      </c>
      <c r="H348" s="21"/>
      <c r="I348" s="117" t="s">
        <v>325</v>
      </c>
      <c r="J348" s="117" t="s">
        <v>325</v>
      </c>
      <c r="K348" s="118"/>
      <c r="L348" s="21"/>
      <c r="M348" s="21"/>
      <c r="N348" s="21">
        <v>43.06</v>
      </c>
      <c r="O348" s="21"/>
      <c r="P348" s="21">
        <v>154.06</v>
      </c>
      <c r="Q348" s="21"/>
      <c r="R348" s="21" t="s">
        <v>329</v>
      </c>
      <c r="S348" s="119">
        <f>DATABASE_Table[[#This Row],[Inicial Asking Price (€) (Total)]]-DATABASE_Table[[#This Row],[Vista membership]]-DATABASE_Table[[#This Row],[FF&amp;E]]</f>
        <v>930000</v>
      </c>
      <c r="T348" s="120">
        <v>930000</v>
      </c>
      <c r="U348" s="36">
        <v>760000</v>
      </c>
      <c r="V348" s="21"/>
      <c r="W348" s="21"/>
      <c r="X348" s="73">
        <f>DATABASE_Table[[#This Row],[Current Asking price( Total)]]-DATABASE_Table[[#This Row],[Vista membership]]-DATABASE_Table[[#This Row],[FF&amp;E]]</f>
        <v>760000</v>
      </c>
      <c r="Y348" s="37"/>
      <c r="Z348" s="36"/>
      <c r="AA348" s="73">
        <f>DATABASE_Table[[#This Row],[Sell price (Total)]]-DATABASE_Table[[#This Row],[FF&amp;E]]-DATABASE_Table[[#This Row],[Vista membership]]</f>
        <v>0</v>
      </c>
      <c r="AB348" s="74">
        <v>46094</v>
      </c>
      <c r="AC348" s="74" t="str">
        <f t="shared" si="5"/>
        <v>Q1 2026</v>
      </c>
      <c r="AD348" s="123"/>
      <c r="AE348" s="69" t="s">
        <v>32</v>
      </c>
      <c r="AF348" s="21" t="s">
        <v>57</v>
      </c>
      <c r="AG348" s="21" t="s">
        <v>930</v>
      </c>
      <c r="AH348" s="122" t="s">
        <v>75</v>
      </c>
      <c r="AI348" s="122" t="s">
        <v>554</v>
      </c>
      <c r="AJ348" s="122" t="s">
        <v>76</v>
      </c>
      <c r="AK348" s="122" t="s">
        <v>77</v>
      </c>
      <c r="AL348" s="21" t="s">
        <v>32</v>
      </c>
      <c r="AM348" s="122" t="s">
        <v>73</v>
      </c>
    </row>
    <row r="349" spans="1:39" customFormat="1" ht="15.75" customHeight="1" x14ac:dyDescent="0.3">
      <c r="A349" t="s">
        <v>73</v>
      </c>
      <c r="B349" s="21" t="s">
        <v>768</v>
      </c>
      <c r="C349" s="21" t="s">
        <v>764</v>
      </c>
      <c r="D349" s="117" t="s">
        <v>345</v>
      </c>
      <c r="E349" s="21" t="s">
        <v>74</v>
      </c>
      <c r="F349" s="21" t="s">
        <v>506</v>
      </c>
      <c r="G349" s="21">
        <v>317.38</v>
      </c>
      <c r="H349" s="21"/>
      <c r="I349" s="117" t="s">
        <v>325</v>
      </c>
      <c r="J349" s="117" t="s">
        <v>325</v>
      </c>
      <c r="K349" s="118"/>
      <c r="L349" s="21"/>
      <c r="M349" s="21"/>
      <c r="N349" s="21">
        <v>84.58</v>
      </c>
      <c r="O349" s="21"/>
      <c r="P349" s="21">
        <v>232.8</v>
      </c>
      <c r="Q349" s="21"/>
      <c r="R349" s="21" t="s">
        <v>329</v>
      </c>
      <c r="S349" s="119">
        <f>DATABASE_Table[[#This Row],[Inicial Asking Price (€) (Total)]]-DATABASE_Table[[#This Row],[Vista membership]]-DATABASE_Table[[#This Row],[FF&amp;E]]</f>
        <v>1550000</v>
      </c>
      <c r="T349" s="120">
        <v>1550000</v>
      </c>
      <c r="U349" s="36">
        <v>1200000</v>
      </c>
      <c r="V349" s="21"/>
      <c r="W349" s="21"/>
      <c r="X349" s="73">
        <f>DATABASE_Table[[#This Row],[Current Asking price( Total)]]-DATABASE_Table[[#This Row],[Vista membership]]-DATABASE_Table[[#This Row],[FF&amp;E]]</f>
        <v>1200000</v>
      </c>
      <c r="Y349" s="37"/>
      <c r="Z349" s="36"/>
      <c r="AA349" s="73">
        <f>DATABASE_Table[[#This Row],[Sell price (Total)]]-DATABASE_Table[[#This Row],[FF&amp;E]]-DATABASE_Table[[#This Row],[Vista membership]]</f>
        <v>0</v>
      </c>
      <c r="AB349" s="74">
        <v>46094</v>
      </c>
      <c r="AC349" s="74" t="str">
        <f t="shared" si="5"/>
        <v>Q1 2026</v>
      </c>
      <c r="AD349" s="123"/>
      <c r="AE349" s="69" t="s">
        <v>32</v>
      </c>
      <c r="AF349" s="21" t="s">
        <v>57</v>
      </c>
      <c r="AG349" s="21" t="s">
        <v>930</v>
      </c>
      <c r="AH349" s="122" t="s">
        <v>75</v>
      </c>
      <c r="AI349" s="122" t="s">
        <v>554</v>
      </c>
      <c r="AJ349" s="122" t="s">
        <v>76</v>
      </c>
      <c r="AK349" s="122" t="s">
        <v>77</v>
      </c>
      <c r="AL349" s="21" t="s">
        <v>32</v>
      </c>
      <c r="AM349" s="122" t="s">
        <v>73</v>
      </c>
    </row>
    <row r="350" spans="1:39" customFormat="1" ht="15.75" customHeight="1" x14ac:dyDescent="0.3">
      <c r="A350" t="s">
        <v>73</v>
      </c>
      <c r="B350" s="21" t="s">
        <v>769</v>
      </c>
      <c r="C350" s="21" t="s">
        <v>764</v>
      </c>
      <c r="D350" s="117" t="s">
        <v>370</v>
      </c>
      <c r="E350" s="21" t="s">
        <v>74</v>
      </c>
      <c r="F350" s="21" t="s">
        <v>320</v>
      </c>
      <c r="G350" s="21">
        <v>422.36</v>
      </c>
      <c r="H350" s="21">
        <v>45.06</v>
      </c>
      <c r="I350" s="117" t="s">
        <v>325</v>
      </c>
      <c r="J350" s="117" t="s">
        <v>325</v>
      </c>
      <c r="K350" s="118">
        <v>131.68</v>
      </c>
      <c r="L350" s="21"/>
      <c r="M350" s="21"/>
      <c r="N350" s="21"/>
      <c r="O350" s="21"/>
      <c r="P350" s="21">
        <v>245.62</v>
      </c>
      <c r="Q350" s="21"/>
      <c r="R350" s="21" t="s">
        <v>327</v>
      </c>
      <c r="S350" s="119">
        <f>DATABASE_Table[[#This Row],[Inicial Asking Price (€) (Total)]]-DATABASE_Table[[#This Row],[Vista membership]]-DATABASE_Table[[#This Row],[FF&amp;E]]</f>
        <v>1350000</v>
      </c>
      <c r="T350" s="120">
        <v>1350000</v>
      </c>
      <c r="U350" s="36">
        <v>1120000</v>
      </c>
      <c r="V350" s="21"/>
      <c r="W350" s="21"/>
      <c r="X350" s="73">
        <f>DATABASE_Table[[#This Row],[Current Asking price( Total)]]-DATABASE_Table[[#This Row],[Vista membership]]-DATABASE_Table[[#This Row],[FF&amp;E]]</f>
        <v>1120000</v>
      </c>
      <c r="Y350" s="37">
        <v>9.375E-2</v>
      </c>
      <c r="Z350" s="36">
        <v>1015000</v>
      </c>
      <c r="AA350" s="73">
        <f>DATABASE_Table[[#This Row],[Sell price (Total)]]-DATABASE_Table[[#This Row],[FF&amp;E]]-DATABASE_Table[[#This Row],[Vista membership]]</f>
        <v>1015000</v>
      </c>
      <c r="AB350" s="77">
        <v>46170</v>
      </c>
      <c r="AC350" s="77" t="str">
        <f t="shared" si="5"/>
        <v>Q2 2026</v>
      </c>
      <c r="AD350" s="123">
        <v>46170</v>
      </c>
      <c r="AE350" s="69" t="s">
        <v>32</v>
      </c>
      <c r="AF350" s="21" t="s">
        <v>57</v>
      </c>
      <c r="AG350" s="21" t="s">
        <v>930</v>
      </c>
      <c r="AH350" s="122" t="s">
        <v>75</v>
      </c>
      <c r="AI350" s="122" t="s">
        <v>554</v>
      </c>
      <c r="AJ350" s="122" t="s">
        <v>76</v>
      </c>
      <c r="AK350" s="122" t="s">
        <v>77</v>
      </c>
      <c r="AL350" s="21" t="s">
        <v>32</v>
      </c>
      <c r="AM350" s="122" t="s">
        <v>73</v>
      </c>
    </row>
    <row r="351" spans="1:39" customFormat="1" ht="15.75" customHeight="1" x14ac:dyDescent="0.3">
      <c r="A351" t="s">
        <v>73</v>
      </c>
      <c r="B351" s="21" t="s">
        <v>769</v>
      </c>
      <c r="C351" s="21" t="s">
        <v>764</v>
      </c>
      <c r="D351" s="117" t="s">
        <v>369</v>
      </c>
      <c r="E351" s="21" t="s">
        <v>74</v>
      </c>
      <c r="F351" s="21" t="s">
        <v>320</v>
      </c>
      <c r="G351" s="21">
        <v>433.99</v>
      </c>
      <c r="H351" s="21">
        <v>45.83</v>
      </c>
      <c r="I351" s="117" t="s">
        <v>325</v>
      </c>
      <c r="J351" s="117" t="s">
        <v>325</v>
      </c>
      <c r="K351" s="118">
        <v>136.16</v>
      </c>
      <c r="L351" s="21"/>
      <c r="M351" s="21"/>
      <c r="N351" s="21"/>
      <c r="O351" s="21"/>
      <c r="P351" s="21">
        <v>252</v>
      </c>
      <c r="Q351" s="21"/>
      <c r="R351" s="21" t="s">
        <v>327</v>
      </c>
      <c r="S351" s="119">
        <f>DATABASE_Table[[#This Row],[Inicial Asking Price (€) (Total)]]-DATABASE_Table[[#This Row],[Vista membership]]-DATABASE_Table[[#This Row],[FF&amp;E]]</f>
        <v>1350000</v>
      </c>
      <c r="T351" s="120">
        <v>1350000</v>
      </c>
      <c r="U351" s="36">
        <v>1150000</v>
      </c>
      <c r="V351" s="21"/>
      <c r="W351" s="21"/>
      <c r="X351" s="73">
        <f>DATABASE_Table[[#This Row],[Current Asking price( Total)]]-DATABASE_Table[[#This Row],[Vista membership]]-DATABASE_Table[[#This Row],[FF&amp;E]]</f>
        <v>1150000</v>
      </c>
      <c r="Y351" s="37">
        <v>0.11739130434782601</v>
      </c>
      <c r="Z351" s="36">
        <v>1015000</v>
      </c>
      <c r="AA351" s="73">
        <f>DATABASE_Table[[#This Row],[Sell price (Total)]]-DATABASE_Table[[#This Row],[FF&amp;E]]-DATABASE_Table[[#This Row],[Vista membership]]</f>
        <v>1015000</v>
      </c>
      <c r="AB351" s="77">
        <v>46170</v>
      </c>
      <c r="AC351" s="77" t="str">
        <f t="shared" si="5"/>
        <v>Q2 2026</v>
      </c>
      <c r="AD351" s="123">
        <v>46170</v>
      </c>
      <c r="AE351" s="69" t="s">
        <v>32</v>
      </c>
      <c r="AF351" s="21" t="s">
        <v>57</v>
      </c>
      <c r="AG351" s="21" t="s">
        <v>930</v>
      </c>
      <c r="AH351" s="122" t="s">
        <v>75</v>
      </c>
      <c r="AI351" s="122" t="s">
        <v>554</v>
      </c>
      <c r="AJ351" s="122" t="s">
        <v>76</v>
      </c>
      <c r="AK351" s="122" t="s">
        <v>77</v>
      </c>
      <c r="AL351" s="21" t="s">
        <v>32</v>
      </c>
      <c r="AM351" s="122" t="s">
        <v>73</v>
      </c>
    </row>
    <row r="352" spans="1:39" customFormat="1" ht="15.75" customHeight="1" x14ac:dyDescent="0.3">
      <c r="A352" t="s">
        <v>73</v>
      </c>
      <c r="B352" s="21" t="s">
        <v>769</v>
      </c>
      <c r="C352" s="21" t="s">
        <v>764</v>
      </c>
      <c r="D352" s="117" t="s">
        <v>355</v>
      </c>
      <c r="E352" s="21" t="s">
        <v>74</v>
      </c>
      <c r="F352" s="21" t="s">
        <v>320</v>
      </c>
      <c r="G352" s="21">
        <v>422.36</v>
      </c>
      <c r="H352" s="21">
        <v>45.06</v>
      </c>
      <c r="I352" s="117" t="s">
        <v>325</v>
      </c>
      <c r="J352" s="117" t="s">
        <v>325</v>
      </c>
      <c r="K352" s="118">
        <v>131.68</v>
      </c>
      <c r="L352" s="21"/>
      <c r="M352" s="21"/>
      <c r="N352" s="21"/>
      <c r="O352" s="21"/>
      <c r="P352" s="21">
        <v>245.62</v>
      </c>
      <c r="Q352" s="21"/>
      <c r="R352" s="21" t="s">
        <v>329</v>
      </c>
      <c r="S352" s="119">
        <f>DATABASE_Table[[#This Row],[Inicial Asking Price (€) (Total)]]-DATABASE_Table[[#This Row],[Vista membership]]-DATABASE_Table[[#This Row],[FF&amp;E]]</f>
        <v>1160000</v>
      </c>
      <c r="T352" s="36">
        <v>1160000</v>
      </c>
      <c r="U352" s="36">
        <v>1160000</v>
      </c>
      <c r="V352" s="21"/>
      <c r="W352" s="21"/>
      <c r="X352" s="73">
        <f>DATABASE_Table[[#This Row],[Current Asking price( Total)]]-DATABASE_Table[[#This Row],[Vista membership]]-DATABASE_Table[[#This Row],[FF&amp;E]]</f>
        <v>1160000</v>
      </c>
      <c r="Y352" s="37"/>
      <c r="Z352" s="36"/>
      <c r="AA352" s="73">
        <f>DATABASE_Table[[#This Row],[Sell price (Total)]]-DATABASE_Table[[#This Row],[FF&amp;E]]-DATABASE_Table[[#This Row],[Vista membership]]</f>
        <v>0</v>
      </c>
      <c r="AB352" s="77">
        <v>46170</v>
      </c>
      <c r="AC352" s="77" t="str">
        <f t="shared" si="5"/>
        <v>Q2 2026</v>
      </c>
      <c r="AD352" s="123"/>
      <c r="AE352" s="69" t="s">
        <v>32</v>
      </c>
      <c r="AF352" s="21" t="s">
        <v>57</v>
      </c>
      <c r="AG352" s="21" t="s">
        <v>930</v>
      </c>
      <c r="AH352" s="122" t="s">
        <v>75</v>
      </c>
      <c r="AI352" s="122" t="s">
        <v>554</v>
      </c>
      <c r="AJ352" s="122" t="s">
        <v>76</v>
      </c>
      <c r="AK352" s="122" t="s">
        <v>77</v>
      </c>
      <c r="AL352" s="21" t="s">
        <v>32</v>
      </c>
      <c r="AM352" s="122" t="s">
        <v>73</v>
      </c>
    </row>
    <row r="353" spans="1:39" customFormat="1" ht="15.75" customHeight="1" x14ac:dyDescent="0.3">
      <c r="A353" t="s">
        <v>73</v>
      </c>
      <c r="B353" s="21" t="s">
        <v>769</v>
      </c>
      <c r="C353" s="21" t="s">
        <v>764</v>
      </c>
      <c r="D353" s="117" t="s">
        <v>336</v>
      </c>
      <c r="E353" s="21" t="s">
        <v>74</v>
      </c>
      <c r="F353" s="21" t="s">
        <v>320</v>
      </c>
      <c r="G353" s="21">
        <v>433.99</v>
      </c>
      <c r="H353" s="21">
        <v>45.83</v>
      </c>
      <c r="I353" s="117" t="s">
        <v>325</v>
      </c>
      <c r="J353" s="117" t="s">
        <v>325</v>
      </c>
      <c r="K353" s="118">
        <v>136.16</v>
      </c>
      <c r="L353" s="21"/>
      <c r="M353" s="21"/>
      <c r="N353" s="21"/>
      <c r="O353" s="21"/>
      <c r="P353" s="21">
        <v>252</v>
      </c>
      <c r="Q353" s="21"/>
      <c r="R353" s="21" t="s">
        <v>329</v>
      </c>
      <c r="S353" s="119">
        <f>DATABASE_Table[[#This Row],[Inicial Asking Price (€) (Total)]]-DATABASE_Table[[#This Row],[Vista membership]]-DATABASE_Table[[#This Row],[FF&amp;E]]</f>
        <v>1220000</v>
      </c>
      <c r="T353" s="120">
        <v>1220000</v>
      </c>
      <c r="U353" s="36">
        <v>1220000</v>
      </c>
      <c r="V353" s="21"/>
      <c r="W353" s="21"/>
      <c r="X353" s="73">
        <f>DATABASE_Table[[#This Row],[Current Asking price( Total)]]-DATABASE_Table[[#This Row],[Vista membership]]-DATABASE_Table[[#This Row],[FF&amp;E]]</f>
        <v>1220000</v>
      </c>
      <c r="Y353" s="37"/>
      <c r="Z353" s="36"/>
      <c r="AA353" s="73">
        <f>DATABASE_Table[[#This Row],[Sell price (Total)]]-DATABASE_Table[[#This Row],[FF&amp;E]]-DATABASE_Table[[#This Row],[Vista membership]]</f>
        <v>0</v>
      </c>
      <c r="AB353" s="77">
        <v>46170</v>
      </c>
      <c r="AC353" s="77" t="str">
        <f t="shared" si="5"/>
        <v>Q2 2026</v>
      </c>
      <c r="AD353" s="123"/>
      <c r="AE353" s="69" t="s">
        <v>32</v>
      </c>
      <c r="AF353" s="21" t="s">
        <v>57</v>
      </c>
      <c r="AG353" s="21" t="s">
        <v>930</v>
      </c>
      <c r="AH353" s="122" t="s">
        <v>75</v>
      </c>
      <c r="AI353" s="122" t="s">
        <v>554</v>
      </c>
      <c r="AJ353" s="122" t="s">
        <v>76</v>
      </c>
      <c r="AK353" s="122" t="s">
        <v>77</v>
      </c>
      <c r="AL353" s="21" t="s">
        <v>32</v>
      </c>
      <c r="AM353" s="122" t="s">
        <v>73</v>
      </c>
    </row>
    <row r="354" spans="1:39" customFormat="1" ht="15.75" customHeight="1" x14ac:dyDescent="0.3">
      <c r="A354" t="s">
        <v>73</v>
      </c>
      <c r="B354" s="21" t="s">
        <v>769</v>
      </c>
      <c r="C354" s="21" t="s">
        <v>764</v>
      </c>
      <c r="D354" s="117" t="s">
        <v>338</v>
      </c>
      <c r="E354" s="21" t="s">
        <v>74</v>
      </c>
      <c r="F354" s="21" t="s">
        <v>320</v>
      </c>
      <c r="G354" s="21">
        <v>433.99</v>
      </c>
      <c r="H354" s="21">
        <v>45.83</v>
      </c>
      <c r="I354" s="117" t="s">
        <v>325</v>
      </c>
      <c r="J354" s="117" t="s">
        <v>325</v>
      </c>
      <c r="K354" s="118">
        <v>136.16</v>
      </c>
      <c r="L354" s="21"/>
      <c r="M354" s="21"/>
      <c r="N354" s="21"/>
      <c r="O354" s="21"/>
      <c r="P354" s="21">
        <v>252</v>
      </c>
      <c r="Q354" s="21"/>
      <c r="R354" s="21" t="s">
        <v>329</v>
      </c>
      <c r="S354" s="119">
        <f>DATABASE_Table[[#This Row],[Inicial Asking Price (€) (Total)]]-DATABASE_Table[[#This Row],[Vista membership]]-DATABASE_Table[[#This Row],[FF&amp;E]]</f>
        <v>1250000</v>
      </c>
      <c r="T354" s="120">
        <v>1250000</v>
      </c>
      <c r="U354" s="36">
        <v>1310000</v>
      </c>
      <c r="V354" s="21"/>
      <c r="W354" s="21"/>
      <c r="X354" s="73">
        <f>DATABASE_Table[[#This Row],[Current Asking price( Total)]]-DATABASE_Table[[#This Row],[Vista membership]]-DATABASE_Table[[#This Row],[FF&amp;E]]</f>
        <v>1310000</v>
      </c>
      <c r="Y354" s="37"/>
      <c r="Z354" s="36"/>
      <c r="AA354" s="73">
        <f>DATABASE_Table[[#This Row],[Sell price (Total)]]-DATABASE_Table[[#This Row],[FF&amp;E]]-DATABASE_Table[[#This Row],[Vista membership]]</f>
        <v>0</v>
      </c>
      <c r="AB354" s="77">
        <v>46170</v>
      </c>
      <c r="AC354" s="77" t="str">
        <f t="shared" si="5"/>
        <v>Q2 2026</v>
      </c>
      <c r="AD354" s="123"/>
      <c r="AE354" s="69" t="s">
        <v>32</v>
      </c>
      <c r="AF354" s="21" t="s">
        <v>57</v>
      </c>
      <c r="AG354" s="21" t="s">
        <v>930</v>
      </c>
      <c r="AH354" s="122" t="s">
        <v>75</v>
      </c>
      <c r="AI354" s="122" t="s">
        <v>554</v>
      </c>
      <c r="AJ354" s="122" t="s">
        <v>76</v>
      </c>
      <c r="AK354" s="122" t="s">
        <v>77</v>
      </c>
      <c r="AL354" s="21" t="s">
        <v>32</v>
      </c>
      <c r="AM354" s="122" t="s">
        <v>73</v>
      </c>
    </row>
    <row r="355" spans="1:39" customFormat="1" ht="15.75" customHeight="1" x14ac:dyDescent="0.3">
      <c r="A355" t="s">
        <v>73</v>
      </c>
      <c r="B355" s="21" t="s">
        <v>769</v>
      </c>
      <c r="C355" s="21" t="s">
        <v>764</v>
      </c>
      <c r="D355" s="117" t="s">
        <v>346</v>
      </c>
      <c r="E355" s="21" t="s">
        <v>74</v>
      </c>
      <c r="F355" s="21" t="s">
        <v>320</v>
      </c>
      <c r="G355" s="21">
        <v>422.07</v>
      </c>
      <c r="H355" s="21">
        <v>45.06</v>
      </c>
      <c r="I355" s="117" t="s">
        <v>325</v>
      </c>
      <c r="J355" s="117" t="s">
        <v>325</v>
      </c>
      <c r="K355" s="118">
        <v>134.35</v>
      </c>
      <c r="L355" s="21"/>
      <c r="M355" s="21"/>
      <c r="N355" s="21"/>
      <c r="O355" s="21"/>
      <c r="P355" s="21">
        <v>242.66</v>
      </c>
      <c r="Q355" s="21"/>
      <c r="R355" s="21" t="s">
        <v>329</v>
      </c>
      <c r="S355" s="119">
        <f>DATABASE_Table[[#This Row],[Inicial Asking Price (€) (Total)]]-DATABASE_Table[[#This Row],[Vista membership]]-DATABASE_Table[[#This Row],[FF&amp;E]]</f>
        <v>1250000</v>
      </c>
      <c r="T355" s="120">
        <v>1250000</v>
      </c>
      <c r="U355" s="36">
        <v>1380000</v>
      </c>
      <c r="V355" s="21"/>
      <c r="W355" s="21"/>
      <c r="X355" s="73">
        <f>DATABASE_Table[[#This Row],[Current Asking price( Total)]]-DATABASE_Table[[#This Row],[Vista membership]]-DATABASE_Table[[#This Row],[FF&amp;E]]</f>
        <v>1380000</v>
      </c>
      <c r="Y355" s="37"/>
      <c r="Z355" s="36"/>
      <c r="AA355" s="73">
        <f>DATABASE_Table[[#This Row],[Sell price (Total)]]-DATABASE_Table[[#This Row],[FF&amp;E]]-DATABASE_Table[[#This Row],[Vista membership]]</f>
        <v>0</v>
      </c>
      <c r="AB355" s="77">
        <v>46170</v>
      </c>
      <c r="AC355" s="77" t="str">
        <f t="shared" si="5"/>
        <v>Q2 2026</v>
      </c>
      <c r="AD355" s="123"/>
      <c r="AE355" s="69" t="s">
        <v>32</v>
      </c>
      <c r="AF355" s="21" t="s">
        <v>57</v>
      </c>
      <c r="AG355" s="21" t="s">
        <v>930</v>
      </c>
      <c r="AH355" s="122" t="s">
        <v>75</v>
      </c>
      <c r="AI355" s="122" t="s">
        <v>554</v>
      </c>
      <c r="AJ355" s="122" t="s">
        <v>76</v>
      </c>
      <c r="AK355" s="122" t="s">
        <v>77</v>
      </c>
      <c r="AL355" s="21" t="s">
        <v>32</v>
      </c>
      <c r="AM355" s="122" t="s">
        <v>73</v>
      </c>
    </row>
    <row r="356" spans="1:39" customFormat="1" ht="15.75" customHeight="1" x14ac:dyDescent="0.3">
      <c r="A356" t="s">
        <v>73</v>
      </c>
      <c r="B356" s="21" t="s">
        <v>769</v>
      </c>
      <c r="C356" s="21" t="s">
        <v>764</v>
      </c>
      <c r="D356" s="117" t="s">
        <v>348</v>
      </c>
      <c r="E356" s="21" t="s">
        <v>74</v>
      </c>
      <c r="F356" s="21" t="s">
        <v>320</v>
      </c>
      <c r="G356" s="21">
        <v>422.36</v>
      </c>
      <c r="H356" s="21">
        <v>45.06</v>
      </c>
      <c r="I356" s="117" t="s">
        <v>325</v>
      </c>
      <c r="J356" s="117" t="s">
        <v>325</v>
      </c>
      <c r="K356" s="118">
        <v>131.68</v>
      </c>
      <c r="L356" s="21"/>
      <c r="M356" s="21"/>
      <c r="N356" s="21"/>
      <c r="O356" s="21"/>
      <c r="P356" s="21">
        <v>245.62</v>
      </c>
      <c r="Q356" s="21"/>
      <c r="R356" s="21" t="s">
        <v>329</v>
      </c>
      <c r="S356" s="119">
        <f>DATABASE_Table[[#This Row],[Inicial Asking Price (€) (Total)]]-DATABASE_Table[[#This Row],[Vista membership]]-DATABASE_Table[[#This Row],[FF&amp;E]]</f>
        <v>1250000</v>
      </c>
      <c r="T356" s="120">
        <v>1250000</v>
      </c>
      <c r="U356" s="36">
        <v>1170000</v>
      </c>
      <c r="V356" s="21"/>
      <c r="W356" s="21"/>
      <c r="X356" s="73">
        <f>DATABASE_Table[[#This Row],[Current Asking price( Total)]]-DATABASE_Table[[#This Row],[Vista membership]]-DATABASE_Table[[#This Row],[FF&amp;E]]</f>
        <v>1170000</v>
      </c>
      <c r="Y356" s="37"/>
      <c r="Z356" s="36"/>
      <c r="AA356" s="73">
        <f>DATABASE_Table[[#This Row],[Sell price (Total)]]-DATABASE_Table[[#This Row],[FF&amp;E]]-DATABASE_Table[[#This Row],[Vista membership]]</f>
        <v>0</v>
      </c>
      <c r="AB356" s="77">
        <v>46170</v>
      </c>
      <c r="AC356" s="77" t="str">
        <f t="shared" si="5"/>
        <v>Q2 2026</v>
      </c>
      <c r="AD356" s="123"/>
      <c r="AE356" s="69" t="s">
        <v>32</v>
      </c>
      <c r="AF356" s="21" t="s">
        <v>57</v>
      </c>
      <c r="AG356" s="21" t="s">
        <v>930</v>
      </c>
      <c r="AH356" s="122" t="s">
        <v>75</v>
      </c>
      <c r="AI356" s="122" t="s">
        <v>554</v>
      </c>
      <c r="AJ356" s="122" t="s">
        <v>76</v>
      </c>
      <c r="AK356" s="122" t="s">
        <v>77</v>
      </c>
      <c r="AL356" s="21" t="s">
        <v>32</v>
      </c>
      <c r="AM356" s="122" t="s">
        <v>73</v>
      </c>
    </row>
    <row r="357" spans="1:39" customFormat="1" ht="15.75" customHeight="1" x14ac:dyDescent="0.3">
      <c r="A357" t="s">
        <v>73</v>
      </c>
      <c r="B357" s="21" t="s">
        <v>769</v>
      </c>
      <c r="C357" s="21" t="s">
        <v>764</v>
      </c>
      <c r="D357" s="117" t="s">
        <v>351</v>
      </c>
      <c r="E357" s="21" t="s">
        <v>74</v>
      </c>
      <c r="F357" s="21" t="s">
        <v>320</v>
      </c>
      <c r="G357" s="21">
        <v>422.07</v>
      </c>
      <c r="H357" s="21">
        <v>45.06</v>
      </c>
      <c r="I357" s="117" t="s">
        <v>325</v>
      </c>
      <c r="J357" s="117" t="s">
        <v>325</v>
      </c>
      <c r="K357" s="118">
        <v>134.35</v>
      </c>
      <c r="L357" s="21"/>
      <c r="M357" s="21"/>
      <c r="N357" s="21"/>
      <c r="O357" s="21"/>
      <c r="P357" s="21">
        <v>242.66</v>
      </c>
      <c r="Q357" s="21"/>
      <c r="R357" s="21" t="s">
        <v>329</v>
      </c>
      <c r="S357" s="119">
        <f>DATABASE_Table[[#This Row],[Inicial Asking Price (€) (Total)]]-DATABASE_Table[[#This Row],[Vista membership]]-DATABASE_Table[[#This Row],[FF&amp;E]]</f>
        <v>1250000</v>
      </c>
      <c r="T357" s="120">
        <v>1250000</v>
      </c>
      <c r="U357" s="36">
        <v>1240000</v>
      </c>
      <c r="V357" s="21"/>
      <c r="W357" s="21"/>
      <c r="X357" s="73">
        <f>DATABASE_Table[[#This Row],[Current Asking price( Total)]]-DATABASE_Table[[#This Row],[Vista membership]]-DATABASE_Table[[#This Row],[FF&amp;E]]</f>
        <v>1240000</v>
      </c>
      <c r="Y357" s="37"/>
      <c r="Z357" s="36"/>
      <c r="AA357" s="73">
        <f>DATABASE_Table[[#This Row],[Sell price (Total)]]-DATABASE_Table[[#This Row],[FF&amp;E]]-DATABASE_Table[[#This Row],[Vista membership]]</f>
        <v>0</v>
      </c>
      <c r="AB357" s="77">
        <v>46170</v>
      </c>
      <c r="AC357" s="77" t="str">
        <f t="shared" si="5"/>
        <v>Q2 2026</v>
      </c>
      <c r="AD357" s="123"/>
      <c r="AE357" s="69" t="s">
        <v>32</v>
      </c>
      <c r="AF357" s="21" t="s">
        <v>57</v>
      </c>
      <c r="AG357" s="21" t="s">
        <v>930</v>
      </c>
      <c r="AH357" s="122" t="s">
        <v>75</v>
      </c>
      <c r="AI357" s="122" t="s">
        <v>554</v>
      </c>
      <c r="AJ357" s="122" t="s">
        <v>76</v>
      </c>
      <c r="AK357" s="122" t="s">
        <v>77</v>
      </c>
      <c r="AL357" s="21" t="s">
        <v>32</v>
      </c>
      <c r="AM357" s="122" t="s">
        <v>73</v>
      </c>
    </row>
    <row r="358" spans="1:39" customFormat="1" ht="15.75" customHeight="1" x14ac:dyDescent="0.3">
      <c r="A358" t="s">
        <v>73</v>
      </c>
      <c r="B358" s="21" t="s">
        <v>769</v>
      </c>
      <c r="C358" s="21" t="s">
        <v>764</v>
      </c>
      <c r="D358" s="117" t="s">
        <v>354</v>
      </c>
      <c r="E358" s="21" t="s">
        <v>74</v>
      </c>
      <c r="F358" s="21" t="s">
        <v>320</v>
      </c>
      <c r="G358" s="21">
        <v>422.07</v>
      </c>
      <c r="H358" s="21">
        <v>45.06</v>
      </c>
      <c r="I358" s="117" t="s">
        <v>325</v>
      </c>
      <c r="J358" s="117" t="s">
        <v>325</v>
      </c>
      <c r="K358" s="118">
        <v>134.35</v>
      </c>
      <c r="L358" s="21"/>
      <c r="M358" s="21"/>
      <c r="N358" s="21"/>
      <c r="O358" s="21"/>
      <c r="P358" s="21">
        <v>242.66</v>
      </c>
      <c r="Q358" s="21"/>
      <c r="R358" s="21" t="s">
        <v>329</v>
      </c>
      <c r="S358" s="119">
        <f>DATABASE_Table[[#This Row],[Inicial Asking Price (€) (Total)]]-DATABASE_Table[[#This Row],[Vista membership]]-DATABASE_Table[[#This Row],[FF&amp;E]]</f>
        <v>1250000</v>
      </c>
      <c r="T358" s="120">
        <v>1250000</v>
      </c>
      <c r="U358" s="36">
        <v>1240000</v>
      </c>
      <c r="V358" s="21"/>
      <c r="W358" s="21"/>
      <c r="X358" s="73">
        <f>DATABASE_Table[[#This Row],[Current Asking price( Total)]]-DATABASE_Table[[#This Row],[Vista membership]]-DATABASE_Table[[#This Row],[FF&amp;E]]</f>
        <v>1240000</v>
      </c>
      <c r="Y358" s="37"/>
      <c r="Z358" s="36"/>
      <c r="AA358" s="73">
        <f>DATABASE_Table[[#This Row],[Sell price (Total)]]-DATABASE_Table[[#This Row],[FF&amp;E]]-DATABASE_Table[[#This Row],[Vista membership]]</f>
        <v>0</v>
      </c>
      <c r="AB358" s="77">
        <v>46170</v>
      </c>
      <c r="AC358" s="77" t="str">
        <f t="shared" si="5"/>
        <v>Q2 2026</v>
      </c>
      <c r="AD358" s="123"/>
      <c r="AE358" s="69" t="s">
        <v>32</v>
      </c>
      <c r="AF358" s="21" t="s">
        <v>57</v>
      </c>
      <c r="AG358" s="21" t="s">
        <v>930</v>
      </c>
      <c r="AH358" s="122" t="s">
        <v>75</v>
      </c>
      <c r="AI358" s="122" t="s">
        <v>554</v>
      </c>
      <c r="AJ358" s="122" t="s">
        <v>76</v>
      </c>
      <c r="AK358" s="122" t="s">
        <v>77</v>
      </c>
      <c r="AL358" s="21" t="s">
        <v>32</v>
      </c>
      <c r="AM358" s="122" t="s">
        <v>73</v>
      </c>
    </row>
    <row r="359" spans="1:39" customFormat="1" ht="15.75" customHeight="1" x14ac:dyDescent="0.3">
      <c r="A359" t="s">
        <v>73</v>
      </c>
      <c r="B359" s="21" t="s">
        <v>769</v>
      </c>
      <c r="C359" s="21" t="s">
        <v>764</v>
      </c>
      <c r="D359" s="117" t="s">
        <v>364</v>
      </c>
      <c r="E359" s="21" t="s">
        <v>74</v>
      </c>
      <c r="F359" s="21" t="s">
        <v>320</v>
      </c>
      <c r="G359" s="21">
        <v>422.07</v>
      </c>
      <c r="H359" s="21">
        <v>45.06</v>
      </c>
      <c r="I359" s="117" t="s">
        <v>325</v>
      </c>
      <c r="J359" s="117" t="s">
        <v>325</v>
      </c>
      <c r="K359" s="118">
        <v>134.35</v>
      </c>
      <c r="L359" s="21"/>
      <c r="M359" s="21"/>
      <c r="N359" s="21"/>
      <c r="O359" s="21"/>
      <c r="P359" s="21">
        <v>242.66</v>
      </c>
      <c r="Q359" s="21"/>
      <c r="R359" s="21" t="s">
        <v>329</v>
      </c>
      <c r="S359" s="119">
        <f>DATABASE_Table[[#This Row],[Inicial Asking Price (€) (Total)]]-DATABASE_Table[[#This Row],[Vista membership]]-DATABASE_Table[[#This Row],[FF&amp;E]]</f>
        <v>1250000</v>
      </c>
      <c r="T359" s="120">
        <v>1250000</v>
      </c>
      <c r="U359" s="36">
        <v>1360000</v>
      </c>
      <c r="V359" s="21"/>
      <c r="W359" s="21"/>
      <c r="X359" s="73">
        <f>DATABASE_Table[[#This Row],[Current Asking price( Total)]]-DATABASE_Table[[#This Row],[Vista membership]]-DATABASE_Table[[#This Row],[FF&amp;E]]</f>
        <v>1360000</v>
      </c>
      <c r="Y359" s="37"/>
      <c r="Z359" s="36"/>
      <c r="AA359" s="73">
        <f>DATABASE_Table[[#This Row],[Sell price (Total)]]-DATABASE_Table[[#This Row],[FF&amp;E]]-DATABASE_Table[[#This Row],[Vista membership]]</f>
        <v>0</v>
      </c>
      <c r="AB359" s="77">
        <v>46170</v>
      </c>
      <c r="AC359" s="77" t="str">
        <f t="shared" si="5"/>
        <v>Q2 2026</v>
      </c>
      <c r="AD359" s="123"/>
      <c r="AE359" s="69" t="s">
        <v>32</v>
      </c>
      <c r="AF359" s="21" t="s">
        <v>57</v>
      </c>
      <c r="AG359" s="21" t="s">
        <v>930</v>
      </c>
      <c r="AH359" s="122" t="s">
        <v>75</v>
      </c>
      <c r="AI359" s="122" t="s">
        <v>554</v>
      </c>
      <c r="AJ359" s="122" t="s">
        <v>76</v>
      </c>
      <c r="AK359" s="122" t="s">
        <v>77</v>
      </c>
      <c r="AL359" s="21" t="s">
        <v>32</v>
      </c>
      <c r="AM359" s="122" t="s">
        <v>73</v>
      </c>
    </row>
    <row r="360" spans="1:39" customFormat="1" ht="15.75" customHeight="1" x14ac:dyDescent="0.3">
      <c r="A360" t="s">
        <v>73</v>
      </c>
      <c r="B360" s="21" t="s">
        <v>769</v>
      </c>
      <c r="C360" s="21" t="s">
        <v>764</v>
      </c>
      <c r="D360" s="117" t="s">
        <v>367</v>
      </c>
      <c r="E360" s="21" t="s">
        <v>74</v>
      </c>
      <c r="F360" s="21" t="s">
        <v>320</v>
      </c>
      <c r="G360" s="21">
        <v>422.07</v>
      </c>
      <c r="H360" s="21">
        <v>45.06</v>
      </c>
      <c r="I360" s="117" t="s">
        <v>325</v>
      </c>
      <c r="J360" s="117" t="s">
        <v>325</v>
      </c>
      <c r="K360" s="118">
        <v>134.35</v>
      </c>
      <c r="L360" s="21"/>
      <c r="M360" s="21"/>
      <c r="N360" s="21"/>
      <c r="O360" s="21"/>
      <c r="P360" s="21">
        <v>242.66</v>
      </c>
      <c r="Q360" s="21"/>
      <c r="R360" s="21" t="s">
        <v>329</v>
      </c>
      <c r="S360" s="119">
        <f>DATABASE_Table[[#This Row],[Inicial Asking Price (€) (Total)]]-DATABASE_Table[[#This Row],[Vista membership]]-DATABASE_Table[[#This Row],[FF&amp;E]]</f>
        <v>1250000</v>
      </c>
      <c r="T360" s="120">
        <v>1250000</v>
      </c>
      <c r="U360" s="36">
        <v>1310000</v>
      </c>
      <c r="V360" s="21"/>
      <c r="W360" s="21"/>
      <c r="X360" s="73">
        <f>DATABASE_Table[[#This Row],[Current Asking price( Total)]]-DATABASE_Table[[#This Row],[Vista membership]]-DATABASE_Table[[#This Row],[FF&amp;E]]</f>
        <v>1310000</v>
      </c>
      <c r="Y360" s="37"/>
      <c r="Z360" s="36"/>
      <c r="AA360" s="73">
        <f>DATABASE_Table[[#This Row],[Sell price (Total)]]-DATABASE_Table[[#This Row],[FF&amp;E]]-DATABASE_Table[[#This Row],[Vista membership]]</f>
        <v>0</v>
      </c>
      <c r="AB360" s="77">
        <v>46170</v>
      </c>
      <c r="AC360" s="77" t="str">
        <f t="shared" si="5"/>
        <v>Q2 2026</v>
      </c>
      <c r="AD360" s="123"/>
      <c r="AE360" s="69" t="s">
        <v>32</v>
      </c>
      <c r="AF360" s="21" t="s">
        <v>57</v>
      </c>
      <c r="AG360" s="21" t="s">
        <v>930</v>
      </c>
      <c r="AH360" s="122" t="s">
        <v>75</v>
      </c>
      <c r="AI360" s="122" t="s">
        <v>554</v>
      </c>
      <c r="AJ360" s="122" t="s">
        <v>76</v>
      </c>
      <c r="AK360" s="122" t="s">
        <v>77</v>
      </c>
      <c r="AL360" s="21" t="s">
        <v>32</v>
      </c>
      <c r="AM360" s="122" t="s">
        <v>73</v>
      </c>
    </row>
    <row r="361" spans="1:39" customFormat="1" ht="15.75" customHeight="1" x14ac:dyDescent="0.3">
      <c r="A361" t="s">
        <v>73</v>
      </c>
      <c r="B361" s="21" t="s">
        <v>769</v>
      </c>
      <c r="C361" s="21" t="s">
        <v>764</v>
      </c>
      <c r="D361" s="117" t="s">
        <v>337</v>
      </c>
      <c r="E361" s="21" t="s">
        <v>74</v>
      </c>
      <c r="F361" s="21" t="s">
        <v>320</v>
      </c>
      <c r="G361" s="21">
        <v>422.36</v>
      </c>
      <c r="H361" s="21">
        <v>45.06</v>
      </c>
      <c r="I361" s="117" t="s">
        <v>325</v>
      </c>
      <c r="J361" s="117" t="s">
        <v>325</v>
      </c>
      <c r="K361" s="118">
        <v>131.68</v>
      </c>
      <c r="L361" s="21"/>
      <c r="M361" s="21"/>
      <c r="N361" s="21"/>
      <c r="O361" s="21"/>
      <c r="P361" s="21">
        <v>245.62</v>
      </c>
      <c r="Q361" s="21"/>
      <c r="R361" s="21" t="s">
        <v>329</v>
      </c>
      <c r="S361" s="119">
        <f>DATABASE_Table[[#This Row],[Inicial Asking Price (€) (Total)]]-DATABASE_Table[[#This Row],[Vista membership]]-DATABASE_Table[[#This Row],[FF&amp;E]]</f>
        <v>1300000</v>
      </c>
      <c r="T361" s="120">
        <v>1300000</v>
      </c>
      <c r="U361" s="36">
        <v>1300000</v>
      </c>
      <c r="V361" s="21"/>
      <c r="W361" s="21"/>
      <c r="X361" s="73">
        <f>DATABASE_Table[[#This Row],[Current Asking price( Total)]]-DATABASE_Table[[#This Row],[Vista membership]]-DATABASE_Table[[#This Row],[FF&amp;E]]</f>
        <v>1300000</v>
      </c>
      <c r="Y361" s="37"/>
      <c r="Z361" s="36"/>
      <c r="AA361" s="73">
        <f>DATABASE_Table[[#This Row],[Sell price (Total)]]-DATABASE_Table[[#This Row],[FF&amp;E]]-DATABASE_Table[[#This Row],[Vista membership]]</f>
        <v>0</v>
      </c>
      <c r="AB361" s="77">
        <v>46170</v>
      </c>
      <c r="AC361" s="77" t="str">
        <f t="shared" si="5"/>
        <v>Q2 2026</v>
      </c>
      <c r="AD361" s="123"/>
      <c r="AE361" s="69" t="s">
        <v>32</v>
      </c>
      <c r="AF361" s="21" t="s">
        <v>57</v>
      </c>
      <c r="AG361" s="21" t="s">
        <v>930</v>
      </c>
      <c r="AH361" s="122" t="s">
        <v>75</v>
      </c>
      <c r="AI361" s="122" t="s">
        <v>554</v>
      </c>
      <c r="AJ361" s="122" t="s">
        <v>76</v>
      </c>
      <c r="AK361" s="122" t="s">
        <v>77</v>
      </c>
      <c r="AL361" s="21" t="s">
        <v>32</v>
      </c>
      <c r="AM361" s="122" t="s">
        <v>73</v>
      </c>
    </row>
    <row r="362" spans="1:39" customFormat="1" ht="15.75" customHeight="1" x14ac:dyDescent="0.3">
      <c r="A362" t="s">
        <v>73</v>
      </c>
      <c r="B362" s="21" t="s">
        <v>769</v>
      </c>
      <c r="C362" s="21" t="s">
        <v>764</v>
      </c>
      <c r="D362" s="117" t="s">
        <v>339</v>
      </c>
      <c r="E362" s="21" t="s">
        <v>74</v>
      </c>
      <c r="F362" s="21" t="s">
        <v>320</v>
      </c>
      <c r="G362" s="21">
        <v>422.36</v>
      </c>
      <c r="H362" s="21">
        <v>45.06</v>
      </c>
      <c r="I362" s="117" t="s">
        <v>325</v>
      </c>
      <c r="J362" s="117" t="s">
        <v>325</v>
      </c>
      <c r="K362" s="118">
        <v>131.68</v>
      </c>
      <c r="L362" s="21"/>
      <c r="M362" s="21"/>
      <c r="N362" s="21"/>
      <c r="O362" s="21"/>
      <c r="P362" s="21">
        <v>245.62</v>
      </c>
      <c r="Q362" s="21"/>
      <c r="R362" s="21" t="s">
        <v>329</v>
      </c>
      <c r="S362" s="119">
        <f>DATABASE_Table[[#This Row],[Inicial Asking Price (€) (Total)]]-DATABASE_Table[[#This Row],[Vista membership]]-DATABASE_Table[[#This Row],[FF&amp;E]]</f>
        <v>1300000</v>
      </c>
      <c r="T362" s="120">
        <v>1300000</v>
      </c>
      <c r="U362" s="36">
        <v>1270000</v>
      </c>
      <c r="V362" s="21"/>
      <c r="W362" s="21"/>
      <c r="X362" s="73">
        <f>DATABASE_Table[[#This Row],[Current Asking price( Total)]]-DATABASE_Table[[#This Row],[Vista membership]]-DATABASE_Table[[#This Row],[FF&amp;E]]</f>
        <v>1270000</v>
      </c>
      <c r="Y362" s="37"/>
      <c r="Z362" s="36"/>
      <c r="AA362" s="73">
        <f>DATABASE_Table[[#This Row],[Sell price (Total)]]-DATABASE_Table[[#This Row],[FF&amp;E]]-DATABASE_Table[[#This Row],[Vista membership]]</f>
        <v>0</v>
      </c>
      <c r="AB362" s="77">
        <v>46170</v>
      </c>
      <c r="AC362" s="77" t="str">
        <f t="shared" si="5"/>
        <v>Q2 2026</v>
      </c>
      <c r="AD362" s="123"/>
      <c r="AE362" s="69" t="s">
        <v>32</v>
      </c>
      <c r="AF362" s="21" t="s">
        <v>57</v>
      </c>
      <c r="AG362" s="21" t="s">
        <v>930</v>
      </c>
      <c r="AH362" s="122" t="s">
        <v>75</v>
      </c>
      <c r="AI362" s="122" t="s">
        <v>554</v>
      </c>
      <c r="AJ362" s="122" t="s">
        <v>76</v>
      </c>
      <c r="AK362" s="122" t="s">
        <v>77</v>
      </c>
      <c r="AL362" s="21" t="s">
        <v>32</v>
      </c>
      <c r="AM362" s="122" t="s">
        <v>73</v>
      </c>
    </row>
    <row r="363" spans="1:39" customFormat="1" ht="15.75" customHeight="1" x14ac:dyDescent="0.3">
      <c r="A363" t="s">
        <v>73</v>
      </c>
      <c r="B363" s="21" t="s">
        <v>769</v>
      </c>
      <c r="C363" s="21" t="s">
        <v>764</v>
      </c>
      <c r="D363" s="117" t="s">
        <v>340</v>
      </c>
      <c r="E363" s="21" t="s">
        <v>74</v>
      </c>
      <c r="F363" s="21" t="s">
        <v>320</v>
      </c>
      <c r="G363" s="21">
        <v>422.36</v>
      </c>
      <c r="H363" s="21">
        <v>45.06</v>
      </c>
      <c r="I363" s="117" t="s">
        <v>325</v>
      </c>
      <c r="J363" s="117" t="s">
        <v>325</v>
      </c>
      <c r="K363" s="118">
        <v>131.68</v>
      </c>
      <c r="L363" s="21"/>
      <c r="M363" s="21"/>
      <c r="N363" s="21"/>
      <c r="O363" s="21"/>
      <c r="P363" s="21">
        <v>245.62</v>
      </c>
      <c r="Q363" s="21"/>
      <c r="R363" s="21" t="s">
        <v>329</v>
      </c>
      <c r="S363" s="119">
        <f>DATABASE_Table[[#This Row],[Inicial Asking Price (€) (Total)]]-DATABASE_Table[[#This Row],[Vista membership]]-DATABASE_Table[[#This Row],[FF&amp;E]]</f>
        <v>1300000</v>
      </c>
      <c r="T363" s="120">
        <v>1300000</v>
      </c>
      <c r="U363" s="36">
        <v>1290000</v>
      </c>
      <c r="V363" s="21"/>
      <c r="W363" s="21"/>
      <c r="X363" s="73">
        <f>DATABASE_Table[[#This Row],[Current Asking price( Total)]]-DATABASE_Table[[#This Row],[Vista membership]]-DATABASE_Table[[#This Row],[FF&amp;E]]</f>
        <v>1290000</v>
      </c>
      <c r="Y363" s="37"/>
      <c r="Z363" s="36"/>
      <c r="AA363" s="73">
        <f>DATABASE_Table[[#This Row],[Sell price (Total)]]-DATABASE_Table[[#This Row],[FF&amp;E]]-DATABASE_Table[[#This Row],[Vista membership]]</f>
        <v>0</v>
      </c>
      <c r="AB363" s="77">
        <v>46170</v>
      </c>
      <c r="AC363" s="77" t="str">
        <f t="shared" si="5"/>
        <v>Q2 2026</v>
      </c>
      <c r="AD363" s="123"/>
      <c r="AE363" s="69" t="s">
        <v>32</v>
      </c>
      <c r="AF363" s="21" t="s">
        <v>57</v>
      </c>
      <c r="AG363" s="21" t="s">
        <v>930</v>
      </c>
      <c r="AH363" s="122" t="s">
        <v>75</v>
      </c>
      <c r="AI363" s="122" t="s">
        <v>554</v>
      </c>
      <c r="AJ363" s="122" t="s">
        <v>76</v>
      </c>
      <c r="AK363" s="122" t="s">
        <v>77</v>
      </c>
      <c r="AL363" s="21" t="s">
        <v>32</v>
      </c>
      <c r="AM363" s="122" t="s">
        <v>73</v>
      </c>
    </row>
    <row r="364" spans="1:39" customFormat="1" ht="15.75" customHeight="1" x14ac:dyDescent="0.3">
      <c r="A364" t="s">
        <v>73</v>
      </c>
      <c r="B364" s="21" t="s">
        <v>769</v>
      </c>
      <c r="C364" s="21" t="s">
        <v>764</v>
      </c>
      <c r="D364" s="117" t="s">
        <v>341</v>
      </c>
      <c r="E364" s="21" t="s">
        <v>74</v>
      </c>
      <c r="F364" s="21" t="s">
        <v>320</v>
      </c>
      <c r="G364" s="21">
        <v>433.99</v>
      </c>
      <c r="H364" s="21">
        <v>45.83</v>
      </c>
      <c r="I364" s="117" t="s">
        <v>325</v>
      </c>
      <c r="J364" s="117" t="s">
        <v>325</v>
      </c>
      <c r="K364" s="118">
        <v>136.16</v>
      </c>
      <c r="L364" s="21"/>
      <c r="M364" s="21"/>
      <c r="N364" s="21"/>
      <c r="O364" s="21"/>
      <c r="P364" s="21">
        <v>252</v>
      </c>
      <c r="Q364" s="21"/>
      <c r="R364" s="21" t="s">
        <v>329</v>
      </c>
      <c r="S364" s="119">
        <f>DATABASE_Table[[#This Row],[Inicial Asking Price (€) (Total)]]-DATABASE_Table[[#This Row],[Vista membership]]-DATABASE_Table[[#This Row],[FF&amp;E]]</f>
        <v>1300000</v>
      </c>
      <c r="T364" s="120">
        <v>1300000</v>
      </c>
      <c r="U364" s="36">
        <v>1340000</v>
      </c>
      <c r="V364" s="21"/>
      <c r="W364" s="21"/>
      <c r="X364" s="73">
        <f>DATABASE_Table[[#This Row],[Current Asking price( Total)]]-DATABASE_Table[[#This Row],[Vista membership]]-DATABASE_Table[[#This Row],[FF&amp;E]]</f>
        <v>1340000</v>
      </c>
      <c r="Y364" s="37"/>
      <c r="Z364" s="36">
        <v>1340000</v>
      </c>
      <c r="AA364" s="73">
        <f>DATABASE_Table[[#This Row],[Sell price (Total)]]-DATABASE_Table[[#This Row],[FF&amp;E]]-DATABASE_Table[[#This Row],[Vista membership]]</f>
        <v>1340000</v>
      </c>
      <c r="AB364" s="77">
        <v>46170</v>
      </c>
      <c r="AC364" s="77" t="str">
        <f t="shared" si="5"/>
        <v>Q2 2026</v>
      </c>
      <c r="AD364" s="123"/>
      <c r="AE364" s="69" t="s">
        <v>32</v>
      </c>
      <c r="AF364" s="21" t="s">
        <v>57</v>
      </c>
      <c r="AG364" s="21" t="s">
        <v>930</v>
      </c>
      <c r="AH364" s="122" t="s">
        <v>75</v>
      </c>
      <c r="AI364" s="122" t="s">
        <v>554</v>
      </c>
      <c r="AJ364" s="122" t="s">
        <v>76</v>
      </c>
      <c r="AK364" s="122" t="s">
        <v>77</v>
      </c>
      <c r="AL364" s="21" t="s">
        <v>32</v>
      </c>
      <c r="AM364" s="122" t="s">
        <v>73</v>
      </c>
    </row>
    <row r="365" spans="1:39" customFormat="1" ht="15.75" customHeight="1" x14ac:dyDescent="0.3">
      <c r="A365" t="s">
        <v>73</v>
      </c>
      <c r="B365" s="21" t="s">
        <v>769</v>
      </c>
      <c r="C365" s="21" t="s">
        <v>764</v>
      </c>
      <c r="D365" s="117" t="s">
        <v>342</v>
      </c>
      <c r="E365" s="21" t="s">
        <v>74</v>
      </c>
      <c r="F365" s="21" t="s">
        <v>320</v>
      </c>
      <c r="G365" s="21">
        <v>433.99</v>
      </c>
      <c r="H365" s="21">
        <v>45.83</v>
      </c>
      <c r="I365" s="117" t="s">
        <v>325</v>
      </c>
      <c r="J365" s="117" t="s">
        <v>325</v>
      </c>
      <c r="K365" s="118">
        <v>136.16</v>
      </c>
      <c r="L365" s="21"/>
      <c r="M365" s="21"/>
      <c r="N365" s="21"/>
      <c r="O365" s="21"/>
      <c r="P365" s="21">
        <v>252</v>
      </c>
      <c r="Q365" s="21"/>
      <c r="R365" s="21" t="s">
        <v>329</v>
      </c>
      <c r="S365" s="119">
        <f>DATABASE_Table[[#This Row],[Inicial Asking Price (€) (Total)]]-DATABASE_Table[[#This Row],[Vista membership]]-DATABASE_Table[[#This Row],[FF&amp;E]]</f>
        <v>1300000</v>
      </c>
      <c r="T365" s="120">
        <v>1300000</v>
      </c>
      <c r="U365" s="36">
        <v>1320000</v>
      </c>
      <c r="V365" s="21"/>
      <c r="W365" s="21"/>
      <c r="X365" s="73">
        <f>DATABASE_Table[[#This Row],[Current Asking price( Total)]]-DATABASE_Table[[#This Row],[Vista membership]]-DATABASE_Table[[#This Row],[FF&amp;E]]</f>
        <v>1320000</v>
      </c>
      <c r="Y365" s="37"/>
      <c r="Z365" s="36"/>
      <c r="AA365" s="73">
        <f>DATABASE_Table[[#This Row],[Sell price (Total)]]-DATABASE_Table[[#This Row],[FF&amp;E]]-DATABASE_Table[[#This Row],[Vista membership]]</f>
        <v>0</v>
      </c>
      <c r="AB365" s="77">
        <v>46170</v>
      </c>
      <c r="AC365" s="77" t="str">
        <f t="shared" si="5"/>
        <v>Q2 2026</v>
      </c>
      <c r="AD365" s="123"/>
      <c r="AE365" s="69" t="s">
        <v>32</v>
      </c>
      <c r="AF365" s="21" t="s">
        <v>57</v>
      </c>
      <c r="AG365" s="21" t="s">
        <v>930</v>
      </c>
      <c r="AH365" s="122" t="s">
        <v>75</v>
      </c>
      <c r="AI365" s="122" t="s">
        <v>554</v>
      </c>
      <c r="AJ365" s="122" t="s">
        <v>76</v>
      </c>
      <c r="AK365" s="122" t="s">
        <v>77</v>
      </c>
      <c r="AL365" s="21" t="s">
        <v>32</v>
      </c>
      <c r="AM365" s="122" t="s">
        <v>73</v>
      </c>
    </row>
    <row r="366" spans="1:39" customFormat="1" ht="15.75" customHeight="1" x14ac:dyDescent="0.3">
      <c r="A366" t="s">
        <v>73</v>
      </c>
      <c r="B366" s="21" t="s">
        <v>769</v>
      </c>
      <c r="C366" s="21" t="s">
        <v>764</v>
      </c>
      <c r="D366" s="117" t="s">
        <v>343</v>
      </c>
      <c r="E366" s="21" t="s">
        <v>74</v>
      </c>
      <c r="F366" s="21" t="s">
        <v>320</v>
      </c>
      <c r="G366" s="21">
        <v>422.07</v>
      </c>
      <c r="H366" s="21">
        <v>45.06</v>
      </c>
      <c r="I366" s="117" t="s">
        <v>325</v>
      </c>
      <c r="J366" s="117" t="s">
        <v>325</v>
      </c>
      <c r="K366" s="118">
        <v>134.35</v>
      </c>
      <c r="L366" s="21"/>
      <c r="M366" s="21"/>
      <c r="N366" s="21"/>
      <c r="O366" s="21"/>
      <c r="P366" s="21">
        <v>242.66</v>
      </c>
      <c r="Q366" s="21"/>
      <c r="R366" s="21" t="s">
        <v>329</v>
      </c>
      <c r="S366" s="119">
        <f>DATABASE_Table[[#This Row],[Inicial Asking Price (€) (Total)]]-DATABASE_Table[[#This Row],[Vista membership]]-DATABASE_Table[[#This Row],[FF&amp;E]]</f>
        <v>1300000</v>
      </c>
      <c r="T366" s="120">
        <v>1300000</v>
      </c>
      <c r="U366" s="36">
        <v>1270000</v>
      </c>
      <c r="V366" s="21"/>
      <c r="W366" s="21"/>
      <c r="X366" s="73">
        <f>DATABASE_Table[[#This Row],[Current Asking price( Total)]]-DATABASE_Table[[#This Row],[Vista membership]]-DATABASE_Table[[#This Row],[FF&amp;E]]</f>
        <v>1270000</v>
      </c>
      <c r="Y366" s="37"/>
      <c r="Z366" s="36"/>
      <c r="AA366" s="73">
        <f>DATABASE_Table[[#This Row],[Sell price (Total)]]-DATABASE_Table[[#This Row],[FF&amp;E]]-DATABASE_Table[[#This Row],[Vista membership]]</f>
        <v>0</v>
      </c>
      <c r="AB366" s="77">
        <v>46170</v>
      </c>
      <c r="AC366" s="77" t="str">
        <f t="shared" si="5"/>
        <v>Q2 2026</v>
      </c>
      <c r="AD366" s="123"/>
      <c r="AE366" s="69" t="s">
        <v>32</v>
      </c>
      <c r="AF366" s="21" t="s">
        <v>57</v>
      </c>
      <c r="AG366" s="21" t="s">
        <v>930</v>
      </c>
      <c r="AH366" s="122" t="s">
        <v>75</v>
      </c>
      <c r="AI366" s="122" t="s">
        <v>554</v>
      </c>
      <c r="AJ366" s="122" t="s">
        <v>76</v>
      </c>
      <c r="AK366" s="122" t="s">
        <v>77</v>
      </c>
      <c r="AL366" s="21" t="s">
        <v>32</v>
      </c>
      <c r="AM366" s="122" t="s">
        <v>73</v>
      </c>
    </row>
    <row r="367" spans="1:39" customFormat="1" ht="15.75" customHeight="1" x14ac:dyDescent="0.3">
      <c r="A367" t="s">
        <v>73</v>
      </c>
      <c r="B367" s="21" t="s">
        <v>769</v>
      </c>
      <c r="C367" s="21" t="s">
        <v>764</v>
      </c>
      <c r="D367" s="117" t="s">
        <v>344</v>
      </c>
      <c r="E367" s="21" t="s">
        <v>74</v>
      </c>
      <c r="F367" s="21" t="s">
        <v>320</v>
      </c>
      <c r="G367" s="21">
        <v>422.36</v>
      </c>
      <c r="H367" s="21">
        <v>45.06</v>
      </c>
      <c r="I367" s="117" t="s">
        <v>325</v>
      </c>
      <c r="J367" s="117" t="s">
        <v>325</v>
      </c>
      <c r="K367" s="118">
        <v>131.68</v>
      </c>
      <c r="L367" s="21"/>
      <c r="M367" s="21"/>
      <c r="N367" s="21"/>
      <c r="O367" s="21"/>
      <c r="P367" s="21">
        <v>245.62</v>
      </c>
      <c r="Q367" s="21"/>
      <c r="R367" s="21" t="s">
        <v>329</v>
      </c>
      <c r="S367" s="119">
        <f>DATABASE_Table[[#This Row],[Inicial Asking Price (€) (Total)]]-DATABASE_Table[[#This Row],[Vista membership]]-DATABASE_Table[[#This Row],[FF&amp;E]]</f>
        <v>1300000</v>
      </c>
      <c r="T367" s="120">
        <v>1300000</v>
      </c>
      <c r="U367" s="36">
        <v>1300000</v>
      </c>
      <c r="V367" s="21"/>
      <c r="W367" s="21"/>
      <c r="X367" s="73">
        <f>DATABASE_Table[[#This Row],[Current Asking price( Total)]]-DATABASE_Table[[#This Row],[Vista membership]]-DATABASE_Table[[#This Row],[FF&amp;E]]</f>
        <v>1300000</v>
      </c>
      <c r="Y367" s="37"/>
      <c r="Z367" s="36"/>
      <c r="AA367" s="73">
        <f>DATABASE_Table[[#This Row],[Sell price (Total)]]-DATABASE_Table[[#This Row],[FF&amp;E]]-DATABASE_Table[[#This Row],[Vista membership]]</f>
        <v>0</v>
      </c>
      <c r="AB367" s="77">
        <v>46170</v>
      </c>
      <c r="AC367" s="77" t="str">
        <f t="shared" si="5"/>
        <v>Q2 2026</v>
      </c>
      <c r="AD367" s="123"/>
      <c r="AE367" s="69" t="s">
        <v>32</v>
      </c>
      <c r="AF367" s="21" t="s">
        <v>57</v>
      </c>
      <c r="AG367" s="21" t="s">
        <v>930</v>
      </c>
      <c r="AH367" s="122" t="s">
        <v>75</v>
      </c>
      <c r="AI367" s="122" t="s">
        <v>554</v>
      </c>
      <c r="AJ367" s="122" t="s">
        <v>76</v>
      </c>
      <c r="AK367" s="122" t="s">
        <v>77</v>
      </c>
      <c r="AL367" s="21" t="s">
        <v>32</v>
      </c>
      <c r="AM367" s="122" t="s">
        <v>73</v>
      </c>
    </row>
    <row r="368" spans="1:39" customFormat="1" ht="15.75" customHeight="1" x14ac:dyDescent="0.3">
      <c r="A368" t="s">
        <v>73</v>
      </c>
      <c r="B368" s="21" t="s">
        <v>769</v>
      </c>
      <c r="C368" s="21" t="s">
        <v>764</v>
      </c>
      <c r="D368" s="117" t="s">
        <v>345</v>
      </c>
      <c r="E368" s="21" t="s">
        <v>74</v>
      </c>
      <c r="F368" s="21" t="s">
        <v>320</v>
      </c>
      <c r="G368" s="21">
        <v>433.99</v>
      </c>
      <c r="H368" s="21">
        <v>45.83</v>
      </c>
      <c r="I368" s="117" t="s">
        <v>325</v>
      </c>
      <c r="J368" s="117" t="s">
        <v>325</v>
      </c>
      <c r="K368" s="118">
        <v>136.16</v>
      </c>
      <c r="L368" s="21"/>
      <c r="M368" s="21"/>
      <c r="N368" s="21"/>
      <c r="O368" s="21"/>
      <c r="P368" s="21">
        <v>252</v>
      </c>
      <c r="Q368" s="21"/>
      <c r="R368" s="21" t="s">
        <v>329</v>
      </c>
      <c r="S368" s="119">
        <f>DATABASE_Table[[#This Row],[Inicial Asking Price (€) (Total)]]-DATABASE_Table[[#This Row],[Vista membership]]-DATABASE_Table[[#This Row],[FF&amp;E]]</f>
        <v>1300000</v>
      </c>
      <c r="T368" s="120">
        <v>1300000</v>
      </c>
      <c r="U368" s="36">
        <v>1430000</v>
      </c>
      <c r="V368" s="21"/>
      <c r="W368" s="21"/>
      <c r="X368" s="73">
        <f>DATABASE_Table[[#This Row],[Current Asking price( Total)]]-DATABASE_Table[[#This Row],[Vista membership]]-DATABASE_Table[[#This Row],[FF&amp;E]]</f>
        <v>1430000</v>
      </c>
      <c r="Y368" s="37"/>
      <c r="Z368" s="36"/>
      <c r="AA368" s="73">
        <f>DATABASE_Table[[#This Row],[Sell price (Total)]]-DATABASE_Table[[#This Row],[FF&amp;E]]-DATABASE_Table[[#This Row],[Vista membership]]</f>
        <v>0</v>
      </c>
      <c r="AB368" s="77">
        <v>46170</v>
      </c>
      <c r="AC368" s="77" t="str">
        <f t="shared" si="5"/>
        <v>Q2 2026</v>
      </c>
      <c r="AD368" s="123"/>
      <c r="AE368" s="69" t="s">
        <v>32</v>
      </c>
      <c r="AF368" s="21" t="s">
        <v>57</v>
      </c>
      <c r="AG368" s="21" t="s">
        <v>930</v>
      </c>
      <c r="AH368" s="122" t="s">
        <v>75</v>
      </c>
      <c r="AI368" s="122" t="s">
        <v>554</v>
      </c>
      <c r="AJ368" s="122" t="s">
        <v>76</v>
      </c>
      <c r="AK368" s="122" t="s">
        <v>77</v>
      </c>
      <c r="AL368" s="21" t="s">
        <v>32</v>
      </c>
      <c r="AM368" s="122" t="s">
        <v>73</v>
      </c>
    </row>
    <row r="369" spans="1:39" customFormat="1" ht="15.75" customHeight="1" x14ac:dyDescent="0.3">
      <c r="A369" t="s">
        <v>73</v>
      </c>
      <c r="B369" s="21" t="s">
        <v>769</v>
      </c>
      <c r="C369" s="21" t="s">
        <v>764</v>
      </c>
      <c r="D369" s="117" t="s">
        <v>347</v>
      </c>
      <c r="E369" s="21" t="s">
        <v>74</v>
      </c>
      <c r="F369" s="21" t="s">
        <v>320</v>
      </c>
      <c r="G369" s="21">
        <v>422.36</v>
      </c>
      <c r="H369" s="21">
        <v>45.06</v>
      </c>
      <c r="I369" s="117" t="s">
        <v>325</v>
      </c>
      <c r="J369" s="117" t="s">
        <v>325</v>
      </c>
      <c r="K369" s="118">
        <v>131.68</v>
      </c>
      <c r="L369" s="21"/>
      <c r="M369" s="21"/>
      <c r="N369" s="21"/>
      <c r="O369" s="21"/>
      <c r="P369" s="21">
        <v>245.62</v>
      </c>
      <c r="Q369" s="21"/>
      <c r="R369" s="21" t="s">
        <v>329</v>
      </c>
      <c r="S369" s="119">
        <f>DATABASE_Table[[#This Row],[Inicial Asking Price (€) (Total)]]-DATABASE_Table[[#This Row],[Vista membership]]-DATABASE_Table[[#This Row],[FF&amp;E]]</f>
        <v>1300000</v>
      </c>
      <c r="T369" s="120">
        <v>1300000</v>
      </c>
      <c r="U369" s="36">
        <v>1380000</v>
      </c>
      <c r="V369" s="21"/>
      <c r="W369" s="21"/>
      <c r="X369" s="73">
        <f>DATABASE_Table[[#This Row],[Current Asking price( Total)]]-DATABASE_Table[[#This Row],[Vista membership]]-DATABASE_Table[[#This Row],[FF&amp;E]]</f>
        <v>1380000</v>
      </c>
      <c r="Y369" s="37"/>
      <c r="Z369" s="36"/>
      <c r="AA369" s="73">
        <f>DATABASE_Table[[#This Row],[Sell price (Total)]]-DATABASE_Table[[#This Row],[FF&amp;E]]-DATABASE_Table[[#This Row],[Vista membership]]</f>
        <v>0</v>
      </c>
      <c r="AB369" s="77">
        <v>46170</v>
      </c>
      <c r="AC369" s="77" t="str">
        <f t="shared" si="5"/>
        <v>Q2 2026</v>
      </c>
      <c r="AD369" s="123"/>
      <c r="AE369" s="69" t="s">
        <v>32</v>
      </c>
      <c r="AF369" s="21" t="s">
        <v>57</v>
      </c>
      <c r="AG369" s="21" t="s">
        <v>930</v>
      </c>
      <c r="AH369" s="122" t="s">
        <v>75</v>
      </c>
      <c r="AI369" s="122" t="s">
        <v>554</v>
      </c>
      <c r="AJ369" s="122" t="s">
        <v>76</v>
      </c>
      <c r="AK369" s="122" t="s">
        <v>77</v>
      </c>
      <c r="AL369" s="21" t="s">
        <v>32</v>
      </c>
      <c r="AM369" s="122" t="s">
        <v>73</v>
      </c>
    </row>
    <row r="370" spans="1:39" customFormat="1" ht="15.75" customHeight="1" x14ac:dyDescent="0.3">
      <c r="A370" t="s">
        <v>73</v>
      </c>
      <c r="B370" s="21" t="s">
        <v>769</v>
      </c>
      <c r="C370" s="21" t="s">
        <v>764</v>
      </c>
      <c r="D370" s="117" t="s">
        <v>349</v>
      </c>
      <c r="E370" s="21" t="s">
        <v>74</v>
      </c>
      <c r="F370" s="21" t="s">
        <v>320</v>
      </c>
      <c r="G370" s="21">
        <v>433.99</v>
      </c>
      <c r="H370" s="21">
        <v>45.83</v>
      </c>
      <c r="I370" s="117" t="s">
        <v>325</v>
      </c>
      <c r="J370" s="117" t="s">
        <v>325</v>
      </c>
      <c r="K370" s="118">
        <v>136.16</v>
      </c>
      <c r="L370" s="21"/>
      <c r="M370" s="21"/>
      <c r="N370" s="21"/>
      <c r="O370" s="21"/>
      <c r="P370" s="21">
        <v>252</v>
      </c>
      <c r="Q370" s="21"/>
      <c r="R370" s="21" t="s">
        <v>329</v>
      </c>
      <c r="S370" s="119">
        <f>DATABASE_Table[[#This Row],[Inicial Asking Price (€) (Total)]]-DATABASE_Table[[#This Row],[Vista membership]]-DATABASE_Table[[#This Row],[FF&amp;E]]</f>
        <v>1300000</v>
      </c>
      <c r="T370" s="120">
        <v>1300000</v>
      </c>
      <c r="U370" s="36">
        <v>1190000</v>
      </c>
      <c r="V370" s="21"/>
      <c r="W370" s="21"/>
      <c r="X370" s="73">
        <f>DATABASE_Table[[#This Row],[Current Asking price( Total)]]-DATABASE_Table[[#This Row],[Vista membership]]-DATABASE_Table[[#This Row],[FF&amp;E]]</f>
        <v>1190000</v>
      </c>
      <c r="Y370" s="37"/>
      <c r="Z370" s="36"/>
      <c r="AA370" s="73">
        <f>DATABASE_Table[[#This Row],[Sell price (Total)]]-DATABASE_Table[[#This Row],[FF&amp;E]]-DATABASE_Table[[#This Row],[Vista membership]]</f>
        <v>0</v>
      </c>
      <c r="AB370" s="77">
        <v>46170</v>
      </c>
      <c r="AC370" s="77" t="str">
        <f t="shared" si="5"/>
        <v>Q2 2026</v>
      </c>
      <c r="AD370" s="123"/>
      <c r="AE370" s="69" t="s">
        <v>32</v>
      </c>
      <c r="AF370" s="21" t="s">
        <v>57</v>
      </c>
      <c r="AG370" s="21" t="s">
        <v>930</v>
      </c>
      <c r="AH370" s="122" t="s">
        <v>75</v>
      </c>
      <c r="AI370" s="122" t="s">
        <v>554</v>
      </c>
      <c r="AJ370" s="122" t="s">
        <v>76</v>
      </c>
      <c r="AK370" s="122" t="s">
        <v>77</v>
      </c>
      <c r="AL370" s="21" t="s">
        <v>32</v>
      </c>
      <c r="AM370" s="122" t="s">
        <v>73</v>
      </c>
    </row>
    <row r="371" spans="1:39" customFormat="1" ht="15.75" customHeight="1" x14ac:dyDescent="0.3">
      <c r="A371" t="s">
        <v>73</v>
      </c>
      <c r="B371" s="21" t="s">
        <v>769</v>
      </c>
      <c r="C371" s="21" t="s">
        <v>764</v>
      </c>
      <c r="D371" s="117" t="s">
        <v>350</v>
      </c>
      <c r="E371" s="21" t="s">
        <v>74</v>
      </c>
      <c r="F371" s="21" t="s">
        <v>320</v>
      </c>
      <c r="G371" s="21">
        <v>422.36</v>
      </c>
      <c r="H371" s="21">
        <v>45.06</v>
      </c>
      <c r="I371" s="117" t="s">
        <v>325</v>
      </c>
      <c r="J371" s="117" t="s">
        <v>325</v>
      </c>
      <c r="K371" s="118">
        <v>131.68</v>
      </c>
      <c r="L371" s="21"/>
      <c r="M371" s="21"/>
      <c r="N371" s="21"/>
      <c r="O371" s="21"/>
      <c r="P371" s="21">
        <v>245.62</v>
      </c>
      <c r="Q371" s="21"/>
      <c r="R371" s="21" t="s">
        <v>329</v>
      </c>
      <c r="S371" s="119">
        <f>DATABASE_Table[[#This Row],[Inicial Asking Price (€) (Total)]]-DATABASE_Table[[#This Row],[Vista membership]]-DATABASE_Table[[#This Row],[FF&amp;E]]</f>
        <v>1300000</v>
      </c>
      <c r="T371" s="120">
        <v>1300000</v>
      </c>
      <c r="U371" s="36">
        <v>1250000</v>
      </c>
      <c r="V371" s="21"/>
      <c r="W371" s="21"/>
      <c r="X371" s="73">
        <f>DATABASE_Table[[#This Row],[Current Asking price( Total)]]-DATABASE_Table[[#This Row],[Vista membership]]-DATABASE_Table[[#This Row],[FF&amp;E]]</f>
        <v>1250000</v>
      </c>
      <c r="Y371" s="37"/>
      <c r="Z371" s="36"/>
      <c r="AA371" s="73">
        <f>DATABASE_Table[[#This Row],[Sell price (Total)]]-DATABASE_Table[[#This Row],[FF&amp;E]]-DATABASE_Table[[#This Row],[Vista membership]]</f>
        <v>0</v>
      </c>
      <c r="AB371" s="77">
        <v>46170</v>
      </c>
      <c r="AC371" s="77" t="str">
        <f t="shared" si="5"/>
        <v>Q2 2026</v>
      </c>
      <c r="AD371" s="123"/>
      <c r="AE371" s="69" t="s">
        <v>32</v>
      </c>
      <c r="AF371" s="21" t="s">
        <v>57</v>
      </c>
      <c r="AG371" s="21" t="s">
        <v>930</v>
      </c>
      <c r="AH371" s="122" t="s">
        <v>75</v>
      </c>
      <c r="AI371" s="122" t="s">
        <v>554</v>
      </c>
      <c r="AJ371" s="122" t="s">
        <v>76</v>
      </c>
      <c r="AK371" s="122" t="s">
        <v>77</v>
      </c>
      <c r="AL371" s="21" t="s">
        <v>32</v>
      </c>
      <c r="AM371" s="122" t="s">
        <v>73</v>
      </c>
    </row>
    <row r="372" spans="1:39" customFormat="1" ht="15.75" customHeight="1" x14ac:dyDescent="0.3">
      <c r="A372" t="s">
        <v>73</v>
      </c>
      <c r="B372" s="21" t="s">
        <v>769</v>
      </c>
      <c r="C372" s="21" t="s">
        <v>764</v>
      </c>
      <c r="D372" s="117" t="s">
        <v>352</v>
      </c>
      <c r="E372" s="21" t="s">
        <v>74</v>
      </c>
      <c r="F372" s="21" t="s">
        <v>320</v>
      </c>
      <c r="G372" s="21">
        <v>433.99</v>
      </c>
      <c r="H372" s="21">
        <v>45.83</v>
      </c>
      <c r="I372" s="117" t="s">
        <v>325</v>
      </c>
      <c r="J372" s="117" t="s">
        <v>325</v>
      </c>
      <c r="K372" s="118">
        <v>136.16</v>
      </c>
      <c r="L372" s="21"/>
      <c r="M372" s="21"/>
      <c r="N372" s="21"/>
      <c r="O372" s="21"/>
      <c r="P372" s="21">
        <v>252</v>
      </c>
      <c r="Q372" s="21"/>
      <c r="R372" s="21" t="s">
        <v>329</v>
      </c>
      <c r="S372" s="119">
        <f>DATABASE_Table[[#This Row],[Inicial Asking Price (€) (Total)]]-DATABASE_Table[[#This Row],[Vista membership]]-DATABASE_Table[[#This Row],[FF&amp;E]]</f>
        <v>1300000</v>
      </c>
      <c r="T372" s="120">
        <v>1300000</v>
      </c>
      <c r="U372" s="36">
        <v>1260000</v>
      </c>
      <c r="V372" s="21"/>
      <c r="W372" s="21"/>
      <c r="X372" s="73">
        <f>DATABASE_Table[[#This Row],[Current Asking price( Total)]]-DATABASE_Table[[#This Row],[Vista membership]]-DATABASE_Table[[#This Row],[FF&amp;E]]</f>
        <v>1260000</v>
      </c>
      <c r="Y372" s="37"/>
      <c r="Z372" s="36"/>
      <c r="AA372" s="73">
        <f>DATABASE_Table[[#This Row],[Sell price (Total)]]-DATABASE_Table[[#This Row],[FF&amp;E]]-DATABASE_Table[[#This Row],[Vista membership]]</f>
        <v>0</v>
      </c>
      <c r="AB372" s="77">
        <v>46170</v>
      </c>
      <c r="AC372" s="77" t="str">
        <f t="shared" si="5"/>
        <v>Q2 2026</v>
      </c>
      <c r="AD372" s="123"/>
      <c r="AE372" s="69" t="s">
        <v>32</v>
      </c>
      <c r="AF372" s="21" t="s">
        <v>57</v>
      </c>
      <c r="AG372" s="21" t="s">
        <v>930</v>
      </c>
      <c r="AH372" s="122" t="s">
        <v>75</v>
      </c>
      <c r="AI372" s="122" t="s">
        <v>554</v>
      </c>
      <c r="AJ372" s="122" t="s">
        <v>76</v>
      </c>
      <c r="AK372" s="122" t="s">
        <v>77</v>
      </c>
      <c r="AL372" s="21" t="s">
        <v>32</v>
      </c>
      <c r="AM372" s="122" t="s">
        <v>73</v>
      </c>
    </row>
    <row r="373" spans="1:39" customFormat="1" ht="15.75" customHeight="1" x14ac:dyDescent="0.3">
      <c r="A373" t="s">
        <v>73</v>
      </c>
      <c r="B373" s="21" t="s">
        <v>769</v>
      </c>
      <c r="C373" s="21" t="s">
        <v>764</v>
      </c>
      <c r="D373" s="117" t="s">
        <v>353</v>
      </c>
      <c r="E373" s="21" t="s">
        <v>74</v>
      </c>
      <c r="F373" s="21" t="s">
        <v>320</v>
      </c>
      <c r="G373" s="21">
        <v>433.99</v>
      </c>
      <c r="H373" s="21">
        <v>45.83</v>
      </c>
      <c r="I373" s="117" t="s">
        <v>325</v>
      </c>
      <c r="J373" s="117" t="s">
        <v>325</v>
      </c>
      <c r="K373" s="118">
        <v>136.16</v>
      </c>
      <c r="L373" s="21"/>
      <c r="M373" s="21"/>
      <c r="N373" s="21"/>
      <c r="O373" s="21"/>
      <c r="P373" s="21">
        <v>252</v>
      </c>
      <c r="Q373" s="21"/>
      <c r="R373" s="21" t="s">
        <v>329</v>
      </c>
      <c r="S373" s="119">
        <f>DATABASE_Table[[#This Row],[Inicial Asking Price (€) (Total)]]-DATABASE_Table[[#This Row],[Vista membership]]-DATABASE_Table[[#This Row],[FF&amp;E]]</f>
        <v>1300000</v>
      </c>
      <c r="T373" s="120">
        <v>1300000</v>
      </c>
      <c r="U373" s="36">
        <v>1190000</v>
      </c>
      <c r="V373" s="21"/>
      <c r="W373" s="21"/>
      <c r="X373" s="73">
        <f>DATABASE_Table[[#This Row],[Current Asking price( Total)]]-DATABASE_Table[[#This Row],[Vista membership]]-DATABASE_Table[[#This Row],[FF&amp;E]]</f>
        <v>1190000</v>
      </c>
      <c r="Y373" s="37"/>
      <c r="Z373" s="36"/>
      <c r="AA373" s="73">
        <f>DATABASE_Table[[#This Row],[Sell price (Total)]]-DATABASE_Table[[#This Row],[FF&amp;E]]-DATABASE_Table[[#This Row],[Vista membership]]</f>
        <v>0</v>
      </c>
      <c r="AB373" s="77">
        <v>46170</v>
      </c>
      <c r="AC373" s="77" t="str">
        <f t="shared" si="5"/>
        <v>Q2 2026</v>
      </c>
      <c r="AD373" s="123"/>
      <c r="AE373" s="69" t="s">
        <v>32</v>
      </c>
      <c r="AF373" s="21" t="s">
        <v>57</v>
      </c>
      <c r="AG373" s="21" t="s">
        <v>930</v>
      </c>
      <c r="AH373" s="122" t="s">
        <v>75</v>
      </c>
      <c r="AI373" s="122" t="s">
        <v>554</v>
      </c>
      <c r="AJ373" s="122" t="s">
        <v>76</v>
      </c>
      <c r="AK373" s="122" t="s">
        <v>77</v>
      </c>
      <c r="AL373" s="21" t="s">
        <v>32</v>
      </c>
      <c r="AM373" s="122" t="s">
        <v>73</v>
      </c>
    </row>
    <row r="374" spans="1:39" customFormat="1" ht="15.75" customHeight="1" x14ac:dyDescent="0.3">
      <c r="A374" t="s">
        <v>73</v>
      </c>
      <c r="B374" s="21" t="s">
        <v>769</v>
      </c>
      <c r="C374" s="21" t="s">
        <v>764</v>
      </c>
      <c r="D374" s="117" t="s">
        <v>361</v>
      </c>
      <c r="E374" s="21" t="s">
        <v>74</v>
      </c>
      <c r="F374" s="21" t="s">
        <v>320</v>
      </c>
      <c r="G374" s="21">
        <v>422.07</v>
      </c>
      <c r="H374" s="21">
        <v>45.06</v>
      </c>
      <c r="I374" s="117" t="s">
        <v>325</v>
      </c>
      <c r="J374" s="117" t="s">
        <v>325</v>
      </c>
      <c r="K374" s="118">
        <v>134.35</v>
      </c>
      <c r="L374" s="21"/>
      <c r="M374" s="21"/>
      <c r="N374" s="21"/>
      <c r="O374" s="21"/>
      <c r="P374" s="21">
        <v>242.66</v>
      </c>
      <c r="Q374" s="21"/>
      <c r="R374" s="21" t="s">
        <v>329</v>
      </c>
      <c r="S374" s="119">
        <f>DATABASE_Table[[#This Row],[Inicial Asking Price (€) (Total)]]-DATABASE_Table[[#This Row],[Vista membership]]-DATABASE_Table[[#This Row],[FF&amp;E]]</f>
        <v>1300000</v>
      </c>
      <c r="T374" s="120">
        <v>1300000</v>
      </c>
      <c r="U374" s="36">
        <v>1320000</v>
      </c>
      <c r="V374" s="21"/>
      <c r="W374" s="21"/>
      <c r="X374" s="73">
        <f>DATABASE_Table[[#This Row],[Current Asking price( Total)]]-DATABASE_Table[[#This Row],[Vista membership]]-DATABASE_Table[[#This Row],[FF&amp;E]]</f>
        <v>1320000</v>
      </c>
      <c r="Y374" s="37"/>
      <c r="Z374" s="36"/>
      <c r="AA374" s="73">
        <f>DATABASE_Table[[#This Row],[Sell price (Total)]]-DATABASE_Table[[#This Row],[FF&amp;E]]-DATABASE_Table[[#This Row],[Vista membership]]</f>
        <v>0</v>
      </c>
      <c r="AB374" s="77">
        <v>46170</v>
      </c>
      <c r="AC374" s="77" t="str">
        <f t="shared" si="5"/>
        <v>Q2 2026</v>
      </c>
      <c r="AD374" s="123"/>
      <c r="AE374" s="69" t="s">
        <v>32</v>
      </c>
      <c r="AF374" s="21" t="s">
        <v>57</v>
      </c>
      <c r="AG374" s="21" t="s">
        <v>930</v>
      </c>
      <c r="AH374" s="122" t="s">
        <v>75</v>
      </c>
      <c r="AI374" s="122" t="s">
        <v>554</v>
      </c>
      <c r="AJ374" s="122" t="s">
        <v>76</v>
      </c>
      <c r="AK374" s="122" t="s">
        <v>77</v>
      </c>
      <c r="AL374" s="21" t="s">
        <v>32</v>
      </c>
      <c r="AM374" s="122" t="s">
        <v>73</v>
      </c>
    </row>
    <row r="375" spans="1:39" customFormat="1" ht="15.75" customHeight="1" x14ac:dyDescent="0.3">
      <c r="A375" t="s">
        <v>73</v>
      </c>
      <c r="B375" s="21" t="s">
        <v>769</v>
      </c>
      <c r="C375" s="21" t="s">
        <v>764</v>
      </c>
      <c r="D375" s="117" t="s">
        <v>371</v>
      </c>
      <c r="E375" s="21" t="s">
        <v>74</v>
      </c>
      <c r="F375" s="21" t="s">
        <v>320</v>
      </c>
      <c r="G375" s="21">
        <v>422.36</v>
      </c>
      <c r="H375" s="21">
        <v>45.06</v>
      </c>
      <c r="I375" s="117" t="s">
        <v>325</v>
      </c>
      <c r="J375" s="117" t="s">
        <v>325</v>
      </c>
      <c r="K375" s="118">
        <v>131.68</v>
      </c>
      <c r="L375" s="21"/>
      <c r="M375" s="21"/>
      <c r="N375" s="21"/>
      <c r="O375" s="21"/>
      <c r="P375" s="21">
        <v>245.62</v>
      </c>
      <c r="Q375" s="21"/>
      <c r="R375" s="21" t="s">
        <v>329</v>
      </c>
      <c r="S375" s="119">
        <f>DATABASE_Table[[#This Row],[Inicial Asking Price (€) (Total)]]-DATABASE_Table[[#This Row],[Vista membership]]-DATABASE_Table[[#This Row],[FF&amp;E]]</f>
        <v>1300000</v>
      </c>
      <c r="T375" s="120">
        <v>1300000</v>
      </c>
      <c r="U375" s="36">
        <v>1350000</v>
      </c>
      <c r="V375" s="21"/>
      <c r="W375" s="21"/>
      <c r="X375" s="73">
        <f>DATABASE_Table[[#This Row],[Current Asking price( Total)]]-DATABASE_Table[[#This Row],[Vista membership]]-DATABASE_Table[[#This Row],[FF&amp;E]]</f>
        <v>1350000</v>
      </c>
      <c r="Y375" s="37"/>
      <c r="Z375" s="36">
        <v>1350000</v>
      </c>
      <c r="AA375" s="73">
        <f>DATABASE_Table[[#This Row],[Sell price (Total)]]-DATABASE_Table[[#This Row],[FF&amp;E]]-DATABASE_Table[[#This Row],[Vista membership]]</f>
        <v>1350000</v>
      </c>
      <c r="AB375" s="77">
        <v>46170</v>
      </c>
      <c r="AC375" s="77" t="str">
        <f t="shared" si="5"/>
        <v>Q2 2026</v>
      </c>
      <c r="AD375" s="123"/>
      <c r="AE375" s="69" t="s">
        <v>32</v>
      </c>
      <c r="AF375" s="21" t="s">
        <v>57</v>
      </c>
      <c r="AG375" s="21" t="s">
        <v>930</v>
      </c>
      <c r="AH375" s="122" t="s">
        <v>75</v>
      </c>
      <c r="AI375" s="122" t="s">
        <v>554</v>
      </c>
      <c r="AJ375" s="122" t="s">
        <v>76</v>
      </c>
      <c r="AK375" s="122" t="s">
        <v>77</v>
      </c>
      <c r="AL375" s="21" t="s">
        <v>32</v>
      </c>
      <c r="AM375" s="122" t="s">
        <v>73</v>
      </c>
    </row>
    <row r="376" spans="1:39" customFormat="1" ht="15.75" customHeight="1" x14ac:dyDescent="0.3">
      <c r="A376" t="s">
        <v>73</v>
      </c>
      <c r="B376" s="21" t="s">
        <v>769</v>
      </c>
      <c r="C376" s="21" t="s">
        <v>764</v>
      </c>
      <c r="D376" s="117" t="s">
        <v>372</v>
      </c>
      <c r="E376" s="21" t="s">
        <v>74</v>
      </c>
      <c r="F376" s="21" t="s">
        <v>320</v>
      </c>
      <c r="G376" s="21">
        <v>433.99</v>
      </c>
      <c r="H376" s="21">
        <v>45.83</v>
      </c>
      <c r="I376" s="117" t="s">
        <v>325</v>
      </c>
      <c r="J376" s="117" t="s">
        <v>325</v>
      </c>
      <c r="K376" s="118">
        <v>136.16</v>
      </c>
      <c r="L376" s="21"/>
      <c r="M376" s="21"/>
      <c r="N376" s="21"/>
      <c r="O376" s="21"/>
      <c r="P376" s="21">
        <v>252</v>
      </c>
      <c r="Q376" s="21"/>
      <c r="R376" s="21" t="s">
        <v>329</v>
      </c>
      <c r="S376" s="119">
        <f>DATABASE_Table[[#This Row],[Inicial Asking Price (€) (Total)]]-DATABASE_Table[[#This Row],[Vista membership]]-DATABASE_Table[[#This Row],[FF&amp;E]]</f>
        <v>1300000</v>
      </c>
      <c r="T376" s="120">
        <v>1300000</v>
      </c>
      <c r="U376" s="36">
        <v>1390000</v>
      </c>
      <c r="V376" s="21"/>
      <c r="W376" s="21"/>
      <c r="X376" s="73">
        <f>DATABASE_Table[[#This Row],[Current Asking price( Total)]]-DATABASE_Table[[#This Row],[Vista membership]]-DATABASE_Table[[#This Row],[FF&amp;E]]</f>
        <v>1390000</v>
      </c>
      <c r="Y376" s="37"/>
      <c r="Z376" s="36"/>
      <c r="AA376" s="73">
        <f>DATABASE_Table[[#This Row],[Sell price (Total)]]-DATABASE_Table[[#This Row],[FF&amp;E]]-DATABASE_Table[[#This Row],[Vista membership]]</f>
        <v>0</v>
      </c>
      <c r="AB376" s="77">
        <v>46170</v>
      </c>
      <c r="AC376" s="77" t="str">
        <f t="shared" si="5"/>
        <v>Q2 2026</v>
      </c>
      <c r="AD376" s="123"/>
      <c r="AE376" s="69" t="s">
        <v>32</v>
      </c>
      <c r="AF376" s="21" t="s">
        <v>57</v>
      </c>
      <c r="AG376" s="21" t="s">
        <v>930</v>
      </c>
      <c r="AH376" s="122" t="s">
        <v>75</v>
      </c>
      <c r="AI376" s="122" t="s">
        <v>554</v>
      </c>
      <c r="AJ376" s="122" t="s">
        <v>76</v>
      </c>
      <c r="AK376" s="122" t="s">
        <v>77</v>
      </c>
      <c r="AL376" s="21" t="s">
        <v>32</v>
      </c>
      <c r="AM376" s="122" t="s">
        <v>73</v>
      </c>
    </row>
    <row r="377" spans="1:39" customFormat="1" ht="15.75" customHeight="1" x14ac:dyDescent="0.3">
      <c r="A377" t="s">
        <v>73</v>
      </c>
      <c r="B377" s="21" t="s">
        <v>769</v>
      </c>
      <c r="C377" s="21" t="s">
        <v>764</v>
      </c>
      <c r="D377" s="117" t="s">
        <v>358</v>
      </c>
      <c r="E377" s="21" t="s">
        <v>74</v>
      </c>
      <c r="F377" s="21" t="s">
        <v>320</v>
      </c>
      <c r="G377" s="21">
        <v>422.36</v>
      </c>
      <c r="H377" s="21">
        <v>45.06</v>
      </c>
      <c r="I377" s="117" t="s">
        <v>325</v>
      </c>
      <c r="J377" s="117" t="s">
        <v>325</v>
      </c>
      <c r="K377" s="118">
        <v>131.68</v>
      </c>
      <c r="L377" s="21"/>
      <c r="M377" s="21"/>
      <c r="N377" s="21"/>
      <c r="O377" s="21"/>
      <c r="P377" s="21">
        <v>245.62</v>
      </c>
      <c r="Q377" s="21"/>
      <c r="R377" s="21" t="s">
        <v>329</v>
      </c>
      <c r="S377" s="119">
        <f>DATABASE_Table[[#This Row],[Inicial Asking Price (€) (Total)]]-DATABASE_Table[[#This Row],[Vista membership]]-DATABASE_Table[[#This Row],[FF&amp;E]]</f>
        <v>1400000</v>
      </c>
      <c r="T377" s="120">
        <v>1400000</v>
      </c>
      <c r="U377" s="36">
        <v>1440000</v>
      </c>
      <c r="V377" s="21"/>
      <c r="W377" s="21"/>
      <c r="X377" s="73">
        <f>DATABASE_Table[[#This Row],[Current Asking price( Total)]]-DATABASE_Table[[#This Row],[Vista membership]]-DATABASE_Table[[#This Row],[FF&amp;E]]</f>
        <v>1440000</v>
      </c>
      <c r="Y377" s="37"/>
      <c r="Z377" s="36"/>
      <c r="AA377" s="73">
        <f>DATABASE_Table[[#This Row],[Sell price (Total)]]-DATABASE_Table[[#This Row],[FF&amp;E]]-DATABASE_Table[[#This Row],[Vista membership]]</f>
        <v>0</v>
      </c>
      <c r="AB377" s="77">
        <v>46170</v>
      </c>
      <c r="AC377" s="77" t="str">
        <f t="shared" si="5"/>
        <v>Q2 2026</v>
      </c>
      <c r="AD377" s="123"/>
      <c r="AE377" s="69" t="s">
        <v>32</v>
      </c>
      <c r="AF377" s="21" t="s">
        <v>57</v>
      </c>
      <c r="AG377" s="21" t="s">
        <v>930</v>
      </c>
      <c r="AH377" s="122" t="s">
        <v>75</v>
      </c>
      <c r="AI377" s="122" t="s">
        <v>554</v>
      </c>
      <c r="AJ377" s="122" t="s">
        <v>76</v>
      </c>
      <c r="AK377" s="122" t="s">
        <v>77</v>
      </c>
      <c r="AL377" s="21" t="s">
        <v>32</v>
      </c>
      <c r="AM377" s="122" t="s">
        <v>73</v>
      </c>
    </row>
    <row r="378" spans="1:39" customFormat="1" ht="15.75" customHeight="1" x14ac:dyDescent="0.3">
      <c r="A378" t="s">
        <v>73</v>
      </c>
      <c r="B378" s="21" t="s">
        <v>769</v>
      </c>
      <c r="C378" s="21" t="s">
        <v>764</v>
      </c>
      <c r="D378" s="117" t="s">
        <v>368</v>
      </c>
      <c r="E378" s="21" t="s">
        <v>74</v>
      </c>
      <c r="F378" s="21" t="s">
        <v>320</v>
      </c>
      <c r="G378" s="21">
        <v>422.36</v>
      </c>
      <c r="H378" s="21">
        <v>45.06</v>
      </c>
      <c r="I378" s="117" t="s">
        <v>325</v>
      </c>
      <c r="J378" s="117" t="s">
        <v>325</v>
      </c>
      <c r="K378" s="118">
        <v>131.68</v>
      </c>
      <c r="L378" s="21"/>
      <c r="M378" s="21"/>
      <c r="N378" s="21"/>
      <c r="O378" s="21"/>
      <c r="P378" s="21">
        <v>245.62</v>
      </c>
      <c r="Q378" s="21"/>
      <c r="R378" s="81" t="s">
        <v>932</v>
      </c>
      <c r="S378" s="119">
        <f>DATABASE_Table[[#This Row],[Inicial Asking Price (€) (Total)]]-DATABASE_Table[[#This Row],[Vista membership]]-DATABASE_Table[[#This Row],[FF&amp;E]]</f>
        <v>1340000</v>
      </c>
      <c r="T378" s="36">
        <v>1340000</v>
      </c>
      <c r="U378" s="36">
        <v>1340000</v>
      </c>
      <c r="V378" s="21"/>
      <c r="W378" s="21"/>
      <c r="X378" s="73">
        <f>DATABASE_Table[[#This Row],[Current Asking price( Total)]]-DATABASE_Table[[#This Row],[Vista membership]]-DATABASE_Table[[#This Row],[FF&amp;E]]</f>
        <v>1340000</v>
      </c>
      <c r="Y378" s="37"/>
      <c r="Z378" s="36"/>
      <c r="AA378" s="73">
        <f>DATABASE_Table[[#This Row],[Sell price (Total)]]-DATABASE_Table[[#This Row],[FF&amp;E]]-DATABASE_Table[[#This Row],[Vista membership]]</f>
        <v>0</v>
      </c>
      <c r="AB378" s="77">
        <v>46170</v>
      </c>
      <c r="AC378" s="77" t="str">
        <f t="shared" si="5"/>
        <v>Q2 2026</v>
      </c>
      <c r="AD378" s="123"/>
      <c r="AE378" s="69" t="s">
        <v>32</v>
      </c>
      <c r="AF378" s="21" t="s">
        <v>57</v>
      </c>
      <c r="AG378" s="21" t="s">
        <v>930</v>
      </c>
      <c r="AH378" s="122" t="s">
        <v>75</v>
      </c>
      <c r="AI378" s="122" t="s">
        <v>554</v>
      </c>
      <c r="AJ378" s="122" t="s">
        <v>76</v>
      </c>
      <c r="AK378" s="122" t="s">
        <v>77</v>
      </c>
      <c r="AL378" s="21" t="s">
        <v>32</v>
      </c>
      <c r="AM378" s="122" t="s">
        <v>73</v>
      </c>
    </row>
    <row r="379" spans="1:39" customFormat="1" ht="15.75" customHeight="1" x14ac:dyDescent="0.3">
      <c r="A379" t="s">
        <v>73</v>
      </c>
      <c r="B379" s="21" t="s">
        <v>770</v>
      </c>
      <c r="C379" s="21" t="s">
        <v>764</v>
      </c>
      <c r="D379" s="117" t="s">
        <v>882</v>
      </c>
      <c r="E379" s="21" t="s">
        <v>74</v>
      </c>
      <c r="F379" s="21" t="s">
        <v>553</v>
      </c>
      <c r="G379" s="21">
        <v>450</v>
      </c>
      <c r="H379" s="21"/>
      <c r="I379" s="117" t="s">
        <v>325</v>
      </c>
      <c r="J379" s="117" t="s">
        <v>325</v>
      </c>
      <c r="K379" s="118"/>
      <c r="L379" s="21"/>
      <c r="M379" s="21"/>
      <c r="N379" s="21"/>
      <c r="O379" s="21"/>
      <c r="P379" s="21">
        <v>450</v>
      </c>
      <c r="Q379" s="21"/>
      <c r="R379" s="81" t="s">
        <v>932</v>
      </c>
      <c r="S379" s="119">
        <f>DATABASE_Table[[#This Row],[Inicial Asking Price (€) (Total)]]-DATABASE_Table[[#This Row],[Vista membership]]-DATABASE_Table[[#This Row],[FF&amp;E]]</f>
        <v>1070000</v>
      </c>
      <c r="T379" s="120">
        <v>1070000</v>
      </c>
      <c r="U379" s="36">
        <v>960000</v>
      </c>
      <c r="V379" s="21"/>
      <c r="W379" s="21"/>
      <c r="X379" s="73">
        <f>DATABASE_Table[[#This Row],[Current Asking price( Total)]]-DATABASE_Table[[#This Row],[Vista membership]]-DATABASE_Table[[#This Row],[FF&amp;E]]</f>
        <v>960000</v>
      </c>
      <c r="Y379" s="37"/>
      <c r="Z379" s="36"/>
      <c r="AA379" s="73">
        <f>DATABASE_Table[[#This Row],[Sell price (Total)]]-DATABASE_Table[[#This Row],[FF&amp;E]]-DATABASE_Table[[#This Row],[Vista membership]]</f>
        <v>0</v>
      </c>
      <c r="AB379" s="74"/>
      <c r="AC379" s="74" t="str">
        <f t="shared" si="5"/>
        <v>TO LAUNCH</v>
      </c>
      <c r="AD379" s="123"/>
      <c r="AE379" s="69" t="s">
        <v>32</v>
      </c>
      <c r="AF379" s="21" t="s">
        <v>57</v>
      </c>
      <c r="AG379" s="21" t="s">
        <v>930</v>
      </c>
      <c r="AH379" s="122" t="s">
        <v>75</v>
      </c>
      <c r="AI379" s="122" t="s">
        <v>554</v>
      </c>
      <c r="AJ379" s="122" t="s">
        <v>76</v>
      </c>
      <c r="AK379" s="122" t="s">
        <v>77</v>
      </c>
      <c r="AL379" s="21" t="s">
        <v>32</v>
      </c>
      <c r="AM379" s="122" t="s">
        <v>73</v>
      </c>
    </row>
    <row r="380" spans="1:39" customFormat="1" ht="15.75" customHeight="1" x14ac:dyDescent="0.3">
      <c r="A380" t="s">
        <v>73</v>
      </c>
      <c r="B380" s="21" t="s">
        <v>770</v>
      </c>
      <c r="C380" s="21" t="s">
        <v>764</v>
      </c>
      <c r="D380" s="117" t="s">
        <v>847</v>
      </c>
      <c r="E380" s="21" t="s">
        <v>74</v>
      </c>
      <c r="F380" s="21" t="s">
        <v>553</v>
      </c>
      <c r="G380" s="21">
        <v>420</v>
      </c>
      <c r="H380" s="21"/>
      <c r="I380" s="117" t="s">
        <v>325</v>
      </c>
      <c r="J380" s="117" t="s">
        <v>325</v>
      </c>
      <c r="K380" s="118"/>
      <c r="L380" s="21"/>
      <c r="M380" s="21"/>
      <c r="N380" s="21"/>
      <c r="O380" s="21"/>
      <c r="P380" s="21">
        <v>420</v>
      </c>
      <c r="Q380" s="21"/>
      <c r="R380" s="81" t="s">
        <v>932</v>
      </c>
      <c r="S380" s="119">
        <f>DATABASE_Table[[#This Row],[Inicial Asking Price (€) (Total)]]-DATABASE_Table[[#This Row],[Vista membership]]-DATABASE_Table[[#This Row],[FF&amp;E]]</f>
        <v>1143000</v>
      </c>
      <c r="T380" s="120">
        <v>1143000</v>
      </c>
      <c r="U380" s="36">
        <v>980000</v>
      </c>
      <c r="V380" s="21"/>
      <c r="W380" s="21"/>
      <c r="X380" s="73">
        <f>DATABASE_Table[[#This Row],[Current Asking price( Total)]]-DATABASE_Table[[#This Row],[Vista membership]]-DATABASE_Table[[#This Row],[FF&amp;E]]</f>
        <v>980000</v>
      </c>
      <c r="Y380" s="37"/>
      <c r="Z380" s="36"/>
      <c r="AA380" s="73">
        <f>DATABASE_Table[[#This Row],[Sell price (Total)]]-DATABASE_Table[[#This Row],[FF&amp;E]]-DATABASE_Table[[#This Row],[Vista membership]]</f>
        <v>0</v>
      </c>
      <c r="AB380" s="74"/>
      <c r="AC380" s="74" t="str">
        <f t="shared" si="5"/>
        <v>TO LAUNCH</v>
      </c>
      <c r="AD380" s="123"/>
      <c r="AE380" s="69" t="s">
        <v>32</v>
      </c>
      <c r="AF380" s="21" t="s">
        <v>57</v>
      </c>
      <c r="AG380" s="21" t="s">
        <v>930</v>
      </c>
      <c r="AH380" s="122" t="s">
        <v>75</v>
      </c>
      <c r="AI380" s="122" t="s">
        <v>554</v>
      </c>
      <c r="AJ380" s="122" t="s">
        <v>76</v>
      </c>
      <c r="AK380" s="122" t="s">
        <v>77</v>
      </c>
      <c r="AL380" s="21" t="s">
        <v>32</v>
      </c>
      <c r="AM380" s="122" t="s">
        <v>73</v>
      </c>
    </row>
    <row r="381" spans="1:39" customFormat="1" ht="15.75" customHeight="1" x14ac:dyDescent="0.3">
      <c r="A381" t="s">
        <v>73</v>
      </c>
      <c r="B381" s="21" t="s">
        <v>770</v>
      </c>
      <c r="C381" s="21" t="s">
        <v>764</v>
      </c>
      <c r="D381" s="117" t="s">
        <v>881</v>
      </c>
      <c r="E381" s="21" t="s">
        <v>74</v>
      </c>
      <c r="F381" s="21" t="s">
        <v>553</v>
      </c>
      <c r="G381" s="21">
        <v>500</v>
      </c>
      <c r="H381" s="21"/>
      <c r="I381" s="117" t="s">
        <v>325</v>
      </c>
      <c r="J381" s="117" t="s">
        <v>325</v>
      </c>
      <c r="K381" s="118"/>
      <c r="L381" s="21"/>
      <c r="M381" s="21"/>
      <c r="N381" s="21"/>
      <c r="O381" s="21"/>
      <c r="P381" s="21">
        <v>500</v>
      </c>
      <c r="Q381" s="21"/>
      <c r="R381" s="81" t="s">
        <v>932</v>
      </c>
      <c r="S381" s="119">
        <f>DATABASE_Table[[#This Row],[Inicial Asking Price (€) (Total)]]-DATABASE_Table[[#This Row],[Vista membership]]-DATABASE_Table[[#This Row],[FF&amp;E]]</f>
        <v>1200000</v>
      </c>
      <c r="T381" s="120">
        <v>1200000</v>
      </c>
      <c r="U381" s="36">
        <v>1040000</v>
      </c>
      <c r="V381" s="21"/>
      <c r="W381" s="21"/>
      <c r="X381" s="73">
        <f>DATABASE_Table[[#This Row],[Current Asking price( Total)]]-DATABASE_Table[[#This Row],[Vista membership]]-DATABASE_Table[[#This Row],[FF&amp;E]]</f>
        <v>1040000</v>
      </c>
      <c r="Y381" s="37"/>
      <c r="Z381" s="36"/>
      <c r="AA381" s="73">
        <f>DATABASE_Table[[#This Row],[Sell price (Total)]]-DATABASE_Table[[#This Row],[FF&amp;E]]-DATABASE_Table[[#This Row],[Vista membership]]</f>
        <v>0</v>
      </c>
      <c r="AB381" s="74"/>
      <c r="AC381" s="74" t="str">
        <f t="shared" si="5"/>
        <v>TO LAUNCH</v>
      </c>
      <c r="AD381" s="123"/>
      <c r="AE381" s="69" t="s">
        <v>32</v>
      </c>
      <c r="AF381" s="21" t="s">
        <v>57</v>
      </c>
      <c r="AG381" s="21" t="s">
        <v>930</v>
      </c>
      <c r="AH381" s="122" t="s">
        <v>75</v>
      </c>
      <c r="AI381" s="122" t="s">
        <v>554</v>
      </c>
      <c r="AJ381" s="122" t="s">
        <v>76</v>
      </c>
      <c r="AK381" s="122" t="s">
        <v>77</v>
      </c>
      <c r="AL381" s="21" t="s">
        <v>32</v>
      </c>
      <c r="AM381" s="122" t="s">
        <v>73</v>
      </c>
    </row>
    <row r="382" spans="1:39" customFormat="1" ht="15.75" customHeight="1" x14ac:dyDescent="0.3">
      <c r="A382" t="s">
        <v>73</v>
      </c>
      <c r="B382" s="21" t="s">
        <v>770</v>
      </c>
      <c r="C382" s="21" t="s">
        <v>764</v>
      </c>
      <c r="D382" s="117" t="s">
        <v>844</v>
      </c>
      <c r="E382" s="21" t="s">
        <v>74</v>
      </c>
      <c r="F382" s="21" t="s">
        <v>553</v>
      </c>
      <c r="G382" s="21">
        <v>500</v>
      </c>
      <c r="H382" s="21"/>
      <c r="I382" s="117" t="s">
        <v>325</v>
      </c>
      <c r="J382" s="117" t="s">
        <v>325</v>
      </c>
      <c r="K382" s="118"/>
      <c r="L382" s="21"/>
      <c r="M382" s="21"/>
      <c r="N382" s="21"/>
      <c r="O382" s="21"/>
      <c r="P382" s="21">
        <v>500</v>
      </c>
      <c r="Q382" s="21"/>
      <c r="R382" s="81" t="s">
        <v>932</v>
      </c>
      <c r="S382" s="119">
        <f>DATABASE_Table[[#This Row],[Inicial Asking Price (€) (Total)]]-DATABASE_Table[[#This Row],[Vista membership]]-DATABASE_Table[[#This Row],[FF&amp;E]]</f>
        <v>1215000</v>
      </c>
      <c r="T382" s="120">
        <v>1215000</v>
      </c>
      <c r="U382" s="36">
        <v>1010000</v>
      </c>
      <c r="V382" s="21"/>
      <c r="W382" s="21"/>
      <c r="X382" s="73">
        <f>DATABASE_Table[[#This Row],[Current Asking price( Total)]]-DATABASE_Table[[#This Row],[Vista membership]]-DATABASE_Table[[#This Row],[FF&amp;E]]</f>
        <v>1010000</v>
      </c>
      <c r="Y382" s="37"/>
      <c r="Z382" s="36"/>
      <c r="AA382" s="73">
        <f>DATABASE_Table[[#This Row],[Sell price (Total)]]-DATABASE_Table[[#This Row],[FF&amp;E]]-DATABASE_Table[[#This Row],[Vista membership]]</f>
        <v>0</v>
      </c>
      <c r="AB382" s="74"/>
      <c r="AC382" s="74" t="str">
        <f t="shared" si="5"/>
        <v>TO LAUNCH</v>
      </c>
      <c r="AD382" s="123"/>
      <c r="AE382" s="69" t="s">
        <v>32</v>
      </c>
      <c r="AF382" s="21" t="s">
        <v>57</v>
      </c>
      <c r="AG382" s="21" t="s">
        <v>930</v>
      </c>
      <c r="AH382" s="122" t="s">
        <v>75</v>
      </c>
      <c r="AI382" s="122" t="s">
        <v>554</v>
      </c>
      <c r="AJ382" s="122" t="s">
        <v>76</v>
      </c>
      <c r="AK382" s="122" t="s">
        <v>77</v>
      </c>
      <c r="AL382" s="21" t="s">
        <v>32</v>
      </c>
      <c r="AM382" s="122" t="s">
        <v>73</v>
      </c>
    </row>
    <row r="383" spans="1:39" customFormat="1" ht="15.75" customHeight="1" x14ac:dyDescent="0.3">
      <c r="A383" t="s">
        <v>73</v>
      </c>
      <c r="B383" s="21" t="s">
        <v>770</v>
      </c>
      <c r="C383" s="21" t="s">
        <v>764</v>
      </c>
      <c r="D383" s="117" t="s">
        <v>849</v>
      </c>
      <c r="E383" s="21" t="s">
        <v>74</v>
      </c>
      <c r="F383" s="21" t="s">
        <v>553</v>
      </c>
      <c r="G383" s="21">
        <v>500</v>
      </c>
      <c r="H383" s="21"/>
      <c r="I383" s="117" t="s">
        <v>325</v>
      </c>
      <c r="J383" s="117" t="s">
        <v>325</v>
      </c>
      <c r="K383" s="118"/>
      <c r="L383" s="21"/>
      <c r="M383" s="21"/>
      <c r="N383" s="21"/>
      <c r="O383" s="21"/>
      <c r="P383" s="21">
        <v>500</v>
      </c>
      <c r="Q383" s="21"/>
      <c r="R383" s="81" t="s">
        <v>932</v>
      </c>
      <c r="S383" s="119">
        <f>DATABASE_Table[[#This Row],[Inicial Asking Price (€) (Total)]]-DATABASE_Table[[#This Row],[Vista membership]]-DATABASE_Table[[#This Row],[FF&amp;E]]</f>
        <v>1326000</v>
      </c>
      <c r="T383" s="120">
        <v>1326000</v>
      </c>
      <c r="U383" s="36">
        <v>1150000</v>
      </c>
      <c r="V383" s="21"/>
      <c r="W383" s="21"/>
      <c r="X383" s="73">
        <f>DATABASE_Table[[#This Row],[Current Asking price( Total)]]-DATABASE_Table[[#This Row],[Vista membership]]-DATABASE_Table[[#This Row],[FF&amp;E]]</f>
        <v>1150000</v>
      </c>
      <c r="Y383" s="37"/>
      <c r="Z383" s="36"/>
      <c r="AA383" s="73">
        <f>DATABASE_Table[[#This Row],[Sell price (Total)]]-DATABASE_Table[[#This Row],[FF&amp;E]]-DATABASE_Table[[#This Row],[Vista membership]]</f>
        <v>0</v>
      </c>
      <c r="AB383" s="74"/>
      <c r="AC383" s="74" t="str">
        <f t="shared" si="5"/>
        <v>TO LAUNCH</v>
      </c>
      <c r="AD383" s="123"/>
      <c r="AE383" s="69" t="s">
        <v>32</v>
      </c>
      <c r="AF383" s="21" t="s">
        <v>57</v>
      </c>
      <c r="AG383" s="21" t="s">
        <v>930</v>
      </c>
      <c r="AH383" s="122" t="s">
        <v>75</v>
      </c>
      <c r="AI383" s="122" t="s">
        <v>554</v>
      </c>
      <c r="AJ383" s="122" t="s">
        <v>76</v>
      </c>
      <c r="AK383" s="122" t="s">
        <v>77</v>
      </c>
      <c r="AL383" s="21" t="s">
        <v>32</v>
      </c>
      <c r="AM383" s="122" t="s">
        <v>73</v>
      </c>
    </row>
    <row r="384" spans="1:39" customFormat="1" ht="15.75" customHeight="1" x14ac:dyDescent="0.3">
      <c r="A384" t="s">
        <v>73</v>
      </c>
      <c r="B384" s="21" t="s">
        <v>770</v>
      </c>
      <c r="C384" s="21" t="s">
        <v>764</v>
      </c>
      <c r="D384" s="117" t="s">
        <v>845</v>
      </c>
      <c r="E384" s="21" t="s">
        <v>74</v>
      </c>
      <c r="F384" s="21" t="s">
        <v>553</v>
      </c>
      <c r="G384" s="21">
        <v>500</v>
      </c>
      <c r="H384" s="21"/>
      <c r="I384" s="117" t="s">
        <v>325</v>
      </c>
      <c r="J384" s="117" t="s">
        <v>325</v>
      </c>
      <c r="K384" s="118"/>
      <c r="L384" s="21"/>
      <c r="M384" s="21"/>
      <c r="N384" s="21"/>
      <c r="O384" s="21"/>
      <c r="P384" s="21">
        <v>500</v>
      </c>
      <c r="Q384" s="21"/>
      <c r="R384" s="81" t="s">
        <v>932</v>
      </c>
      <c r="S384" s="119">
        <f>DATABASE_Table[[#This Row],[Inicial Asking Price (€) (Total)]]-DATABASE_Table[[#This Row],[Vista membership]]-DATABASE_Table[[#This Row],[FF&amp;E]]</f>
        <v>1380000</v>
      </c>
      <c r="T384" s="120">
        <v>1380000</v>
      </c>
      <c r="U384" s="36">
        <v>1050000</v>
      </c>
      <c r="V384" s="21"/>
      <c r="W384" s="21"/>
      <c r="X384" s="73">
        <f>DATABASE_Table[[#This Row],[Current Asking price( Total)]]-DATABASE_Table[[#This Row],[Vista membership]]-DATABASE_Table[[#This Row],[FF&amp;E]]</f>
        <v>1050000</v>
      </c>
      <c r="Y384" s="37"/>
      <c r="Z384" s="36"/>
      <c r="AA384" s="73">
        <f>DATABASE_Table[[#This Row],[Sell price (Total)]]-DATABASE_Table[[#This Row],[FF&amp;E]]-DATABASE_Table[[#This Row],[Vista membership]]</f>
        <v>0</v>
      </c>
      <c r="AB384" s="74"/>
      <c r="AC384" s="74" t="str">
        <f t="shared" si="5"/>
        <v>TO LAUNCH</v>
      </c>
      <c r="AD384" s="123"/>
      <c r="AE384" s="69" t="s">
        <v>32</v>
      </c>
      <c r="AF384" s="21" t="s">
        <v>57</v>
      </c>
      <c r="AG384" s="21" t="s">
        <v>930</v>
      </c>
      <c r="AH384" s="122" t="s">
        <v>75</v>
      </c>
      <c r="AI384" s="122" t="s">
        <v>554</v>
      </c>
      <c r="AJ384" s="122" t="s">
        <v>76</v>
      </c>
      <c r="AK384" s="122" t="s">
        <v>77</v>
      </c>
      <c r="AL384" s="21" t="s">
        <v>32</v>
      </c>
      <c r="AM384" s="122" t="s">
        <v>73</v>
      </c>
    </row>
    <row r="385" spans="1:39" customFormat="1" ht="15.75" customHeight="1" x14ac:dyDescent="0.3">
      <c r="A385" t="s">
        <v>73</v>
      </c>
      <c r="B385" s="21" t="s">
        <v>770</v>
      </c>
      <c r="C385" s="21" t="s">
        <v>764</v>
      </c>
      <c r="D385" s="117" t="s">
        <v>850</v>
      </c>
      <c r="E385" s="21" t="s">
        <v>74</v>
      </c>
      <c r="F385" s="21" t="s">
        <v>553</v>
      </c>
      <c r="G385" s="21">
        <v>500</v>
      </c>
      <c r="H385" s="21"/>
      <c r="I385" s="117" t="s">
        <v>325</v>
      </c>
      <c r="J385" s="117" t="s">
        <v>325</v>
      </c>
      <c r="K385" s="118"/>
      <c r="L385" s="21"/>
      <c r="M385" s="21"/>
      <c r="N385" s="21"/>
      <c r="O385" s="21"/>
      <c r="P385" s="21">
        <v>500</v>
      </c>
      <c r="Q385" s="21"/>
      <c r="R385" s="81" t="s">
        <v>932</v>
      </c>
      <c r="S385" s="119">
        <f>DATABASE_Table[[#This Row],[Inicial Asking Price (€) (Total)]]-DATABASE_Table[[#This Row],[Vista membership]]-DATABASE_Table[[#This Row],[FF&amp;E]]</f>
        <v>1380000</v>
      </c>
      <c r="T385" s="120">
        <v>1380000</v>
      </c>
      <c r="U385" s="36">
        <v>1200000</v>
      </c>
      <c r="V385" s="21"/>
      <c r="W385" s="21"/>
      <c r="X385" s="73">
        <f>DATABASE_Table[[#This Row],[Current Asking price( Total)]]-DATABASE_Table[[#This Row],[Vista membership]]-DATABASE_Table[[#This Row],[FF&amp;E]]</f>
        <v>1200000</v>
      </c>
      <c r="Y385" s="37"/>
      <c r="Z385" s="36"/>
      <c r="AA385" s="73">
        <f>DATABASE_Table[[#This Row],[Sell price (Total)]]-DATABASE_Table[[#This Row],[FF&amp;E]]-DATABASE_Table[[#This Row],[Vista membership]]</f>
        <v>0</v>
      </c>
      <c r="AB385" s="74"/>
      <c r="AC385" s="74" t="str">
        <f t="shared" si="5"/>
        <v>TO LAUNCH</v>
      </c>
      <c r="AD385" s="123"/>
      <c r="AE385" s="69" t="s">
        <v>32</v>
      </c>
      <c r="AF385" s="21" t="s">
        <v>57</v>
      </c>
      <c r="AG385" s="21" t="s">
        <v>930</v>
      </c>
      <c r="AH385" s="122" t="s">
        <v>75</v>
      </c>
      <c r="AI385" s="122" t="s">
        <v>554</v>
      </c>
      <c r="AJ385" s="122" t="s">
        <v>76</v>
      </c>
      <c r="AK385" s="122" t="s">
        <v>77</v>
      </c>
      <c r="AL385" s="21" t="s">
        <v>32</v>
      </c>
      <c r="AM385" s="122" t="s">
        <v>73</v>
      </c>
    </row>
    <row r="386" spans="1:39" customFormat="1" ht="15.75" customHeight="1" x14ac:dyDescent="0.3">
      <c r="A386" t="s">
        <v>73</v>
      </c>
      <c r="B386" s="21" t="s">
        <v>770</v>
      </c>
      <c r="C386" s="21" t="s">
        <v>764</v>
      </c>
      <c r="D386" s="117" t="s">
        <v>848</v>
      </c>
      <c r="E386" s="21" t="s">
        <v>74</v>
      </c>
      <c r="F386" s="21" t="s">
        <v>553</v>
      </c>
      <c r="G386" s="21">
        <v>500</v>
      </c>
      <c r="H386" s="21"/>
      <c r="I386" s="117" t="s">
        <v>325</v>
      </c>
      <c r="J386" s="117" t="s">
        <v>325</v>
      </c>
      <c r="K386" s="118"/>
      <c r="L386" s="21"/>
      <c r="M386" s="21"/>
      <c r="N386" s="21"/>
      <c r="O386" s="21"/>
      <c r="P386" s="21">
        <v>500</v>
      </c>
      <c r="Q386" s="21"/>
      <c r="R386" s="81" t="s">
        <v>932</v>
      </c>
      <c r="S386" s="119">
        <f>DATABASE_Table[[#This Row],[Inicial Asking Price (€) (Total)]]-DATABASE_Table[[#This Row],[Vista membership]]-DATABASE_Table[[#This Row],[FF&amp;E]]</f>
        <v>1390000</v>
      </c>
      <c r="T386" s="120">
        <v>1390000</v>
      </c>
      <c r="U386" s="36">
        <v>1210000</v>
      </c>
      <c r="V386" s="21"/>
      <c r="W386" s="21"/>
      <c r="X386" s="73">
        <f>DATABASE_Table[[#This Row],[Current Asking price( Total)]]-DATABASE_Table[[#This Row],[Vista membership]]-DATABASE_Table[[#This Row],[FF&amp;E]]</f>
        <v>1210000</v>
      </c>
      <c r="Y386" s="37"/>
      <c r="Z386" s="36"/>
      <c r="AA386" s="73">
        <f>DATABASE_Table[[#This Row],[Sell price (Total)]]-DATABASE_Table[[#This Row],[FF&amp;E]]-DATABASE_Table[[#This Row],[Vista membership]]</f>
        <v>0</v>
      </c>
      <c r="AB386" s="74"/>
      <c r="AC386" s="74" t="str">
        <f t="shared" ref="AC386:AC449" si="6">IF(AB386="","TO LAUNCH","Q"&amp;ROUNDUP(MONTH(AB386)/3,0)&amp;" "&amp;YEAR(AB386))</f>
        <v>TO LAUNCH</v>
      </c>
      <c r="AD386" s="123"/>
      <c r="AE386" s="69" t="s">
        <v>32</v>
      </c>
      <c r="AF386" s="21" t="s">
        <v>57</v>
      </c>
      <c r="AG386" s="21" t="s">
        <v>930</v>
      </c>
      <c r="AH386" s="122" t="s">
        <v>75</v>
      </c>
      <c r="AI386" s="122" t="s">
        <v>554</v>
      </c>
      <c r="AJ386" s="122" t="s">
        <v>76</v>
      </c>
      <c r="AK386" s="122" t="s">
        <v>77</v>
      </c>
      <c r="AL386" s="21" t="s">
        <v>32</v>
      </c>
      <c r="AM386" s="122" t="s">
        <v>73</v>
      </c>
    </row>
    <row r="387" spans="1:39" customFormat="1" ht="15.75" customHeight="1" x14ac:dyDescent="0.3">
      <c r="A387" t="s">
        <v>73</v>
      </c>
      <c r="B387" s="21" t="s">
        <v>770</v>
      </c>
      <c r="C387" s="21" t="s">
        <v>764</v>
      </c>
      <c r="D387" s="117" t="s">
        <v>843</v>
      </c>
      <c r="E387" s="21" t="s">
        <v>74</v>
      </c>
      <c r="F387" s="21" t="s">
        <v>553</v>
      </c>
      <c r="G387" s="21">
        <v>500</v>
      </c>
      <c r="H387" s="21"/>
      <c r="I387" s="117" t="s">
        <v>325</v>
      </c>
      <c r="J387" s="117" t="s">
        <v>325</v>
      </c>
      <c r="K387" s="118"/>
      <c r="L387" s="21"/>
      <c r="M387" s="21"/>
      <c r="N387" s="21"/>
      <c r="O387" s="21"/>
      <c r="P387" s="21">
        <v>500</v>
      </c>
      <c r="Q387" s="21"/>
      <c r="R387" s="81" t="s">
        <v>932</v>
      </c>
      <c r="S387" s="119">
        <f>DATABASE_Table[[#This Row],[Inicial Asking Price (€) (Total)]]-DATABASE_Table[[#This Row],[Vista membership]]-DATABASE_Table[[#This Row],[FF&amp;E]]</f>
        <v>1405000</v>
      </c>
      <c r="T387" s="120">
        <v>1405000</v>
      </c>
      <c r="U387" s="36">
        <v>1030000</v>
      </c>
      <c r="V387" s="21"/>
      <c r="W387" s="21"/>
      <c r="X387" s="73">
        <f>DATABASE_Table[[#This Row],[Current Asking price( Total)]]-DATABASE_Table[[#This Row],[Vista membership]]-DATABASE_Table[[#This Row],[FF&amp;E]]</f>
        <v>1030000</v>
      </c>
      <c r="Y387" s="37"/>
      <c r="Z387" s="36"/>
      <c r="AA387" s="73">
        <f>DATABASE_Table[[#This Row],[Sell price (Total)]]-DATABASE_Table[[#This Row],[FF&amp;E]]-DATABASE_Table[[#This Row],[Vista membership]]</f>
        <v>0</v>
      </c>
      <c r="AB387" s="74"/>
      <c r="AC387" s="74" t="str">
        <f t="shared" si="6"/>
        <v>TO LAUNCH</v>
      </c>
      <c r="AD387" s="123"/>
      <c r="AE387" s="69" t="s">
        <v>32</v>
      </c>
      <c r="AF387" s="21" t="s">
        <v>57</v>
      </c>
      <c r="AG387" s="21" t="s">
        <v>930</v>
      </c>
      <c r="AH387" s="122" t="s">
        <v>75</v>
      </c>
      <c r="AI387" s="122" t="s">
        <v>554</v>
      </c>
      <c r="AJ387" s="122" t="s">
        <v>76</v>
      </c>
      <c r="AK387" s="122" t="s">
        <v>77</v>
      </c>
      <c r="AL387" s="21" t="s">
        <v>32</v>
      </c>
      <c r="AM387" s="122" t="s">
        <v>73</v>
      </c>
    </row>
    <row r="388" spans="1:39" customFormat="1" ht="15.75" customHeight="1" x14ac:dyDescent="0.3">
      <c r="A388" t="s">
        <v>73</v>
      </c>
      <c r="B388" s="21" t="s">
        <v>770</v>
      </c>
      <c r="C388" s="21" t="s">
        <v>764</v>
      </c>
      <c r="D388" s="117" t="s">
        <v>851</v>
      </c>
      <c r="E388" s="21" t="s">
        <v>74</v>
      </c>
      <c r="F388" s="21" t="s">
        <v>553</v>
      </c>
      <c r="G388" s="21">
        <v>500</v>
      </c>
      <c r="H388" s="21"/>
      <c r="I388" s="117" t="s">
        <v>325</v>
      </c>
      <c r="J388" s="117" t="s">
        <v>325</v>
      </c>
      <c r="K388" s="118"/>
      <c r="L388" s="21"/>
      <c r="M388" s="21"/>
      <c r="N388" s="21"/>
      <c r="O388" s="21"/>
      <c r="P388" s="21">
        <v>500</v>
      </c>
      <c r="Q388" s="21"/>
      <c r="R388" s="81" t="s">
        <v>932</v>
      </c>
      <c r="S388" s="119">
        <f>DATABASE_Table[[#This Row],[Inicial Asking Price (€) (Total)]]-DATABASE_Table[[#This Row],[Vista membership]]-DATABASE_Table[[#This Row],[FF&amp;E]]</f>
        <v>1430000</v>
      </c>
      <c r="T388" s="120">
        <v>1430000</v>
      </c>
      <c r="U388" s="36">
        <v>1230000</v>
      </c>
      <c r="V388" s="21"/>
      <c r="W388" s="21"/>
      <c r="X388" s="73">
        <f>DATABASE_Table[[#This Row],[Current Asking price( Total)]]-DATABASE_Table[[#This Row],[Vista membership]]-DATABASE_Table[[#This Row],[FF&amp;E]]</f>
        <v>1230000</v>
      </c>
      <c r="Y388" s="37"/>
      <c r="Z388" s="36"/>
      <c r="AA388" s="73">
        <f>DATABASE_Table[[#This Row],[Sell price (Total)]]-DATABASE_Table[[#This Row],[FF&amp;E]]-DATABASE_Table[[#This Row],[Vista membership]]</f>
        <v>0</v>
      </c>
      <c r="AB388" s="74"/>
      <c r="AC388" s="74" t="str">
        <f t="shared" si="6"/>
        <v>TO LAUNCH</v>
      </c>
      <c r="AD388" s="123"/>
      <c r="AE388" s="69" t="s">
        <v>32</v>
      </c>
      <c r="AF388" s="21" t="s">
        <v>57</v>
      </c>
      <c r="AG388" s="21" t="s">
        <v>930</v>
      </c>
      <c r="AH388" s="122" t="s">
        <v>75</v>
      </c>
      <c r="AI388" s="122" t="s">
        <v>554</v>
      </c>
      <c r="AJ388" s="122" t="s">
        <v>76</v>
      </c>
      <c r="AK388" s="122" t="s">
        <v>77</v>
      </c>
      <c r="AL388" s="21" t="s">
        <v>32</v>
      </c>
      <c r="AM388" s="122" t="s">
        <v>73</v>
      </c>
    </row>
    <row r="389" spans="1:39" customFormat="1" ht="15.75" customHeight="1" x14ac:dyDescent="0.3">
      <c r="A389" t="s">
        <v>73</v>
      </c>
      <c r="B389" s="21" t="s">
        <v>770</v>
      </c>
      <c r="C389" s="21" t="s">
        <v>764</v>
      </c>
      <c r="D389" s="117" t="s">
        <v>831</v>
      </c>
      <c r="E389" s="21" t="s">
        <v>74</v>
      </c>
      <c r="F389" s="21" t="s">
        <v>553</v>
      </c>
      <c r="G389" s="21">
        <v>650</v>
      </c>
      <c r="H389" s="21"/>
      <c r="I389" s="117" t="s">
        <v>325</v>
      </c>
      <c r="J389" s="117" t="s">
        <v>325</v>
      </c>
      <c r="K389" s="118"/>
      <c r="L389" s="21"/>
      <c r="M389" s="21"/>
      <c r="N389" s="21"/>
      <c r="O389" s="21"/>
      <c r="P389" s="21">
        <v>650</v>
      </c>
      <c r="Q389" s="21"/>
      <c r="R389" s="81" t="s">
        <v>932</v>
      </c>
      <c r="S389" s="119">
        <f>DATABASE_Table[[#This Row],[Inicial Asking Price (€) (Total)]]-DATABASE_Table[[#This Row],[Vista membership]]-DATABASE_Table[[#This Row],[FF&amp;E]]</f>
        <v>1622000</v>
      </c>
      <c r="T389" s="120">
        <v>1622000</v>
      </c>
      <c r="U389" s="36">
        <v>1420000</v>
      </c>
      <c r="V389" s="21"/>
      <c r="W389" s="21"/>
      <c r="X389" s="73">
        <f>DATABASE_Table[[#This Row],[Current Asking price( Total)]]-DATABASE_Table[[#This Row],[Vista membership]]-DATABASE_Table[[#This Row],[FF&amp;E]]</f>
        <v>1420000</v>
      </c>
      <c r="Y389" s="37"/>
      <c r="Z389" s="36"/>
      <c r="AA389" s="73">
        <f>DATABASE_Table[[#This Row],[Sell price (Total)]]-DATABASE_Table[[#This Row],[FF&amp;E]]-DATABASE_Table[[#This Row],[Vista membership]]</f>
        <v>0</v>
      </c>
      <c r="AB389" s="74"/>
      <c r="AC389" s="74" t="str">
        <f t="shared" si="6"/>
        <v>TO LAUNCH</v>
      </c>
      <c r="AD389" s="123"/>
      <c r="AE389" s="69" t="s">
        <v>32</v>
      </c>
      <c r="AF389" s="21" t="s">
        <v>57</v>
      </c>
      <c r="AG389" s="21" t="s">
        <v>930</v>
      </c>
      <c r="AH389" s="122" t="s">
        <v>75</v>
      </c>
      <c r="AI389" s="122" t="s">
        <v>554</v>
      </c>
      <c r="AJ389" s="122" t="s">
        <v>76</v>
      </c>
      <c r="AK389" s="122" t="s">
        <v>77</v>
      </c>
      <c r="AL389" s="21" t="s">
        <v>32</v>
      </c>
      <c r="AM389" s="122" t="s">
        <v>73</v>
      </c>
    </row>
    <row r="390" spans="1:39" customFormat="1" ht="15.75" customHeight="1" x14ac:dyDescent="0.3">
      <c r="A390" t="s">
        <v>73</v>
      </c>
      <c r="B390" s="21" t="s">
        <v>770</v>
      </c>
      <c r="C390" s="21" t="s">
        <v>764</v>
      </c>
      <c r="D390" s="117" t="s">
        <v>830</v>
      </c>
      <c r="E390" s="21" t="s">
        <v>74</v>
      </c>
      <c r="F390" s="21" t="s">
        <v>553</v>
      </c>
      <c r="G390" s="21">
        <v>650</v>
      </c>
      <c r="H390" s="21"/>
      <c r="I390" s="117" t="s">
        <v>325</v>
      </c>
      <c r="J390" s="117" t="s">
        <v>325</v>
      </c>
      <c r="K390" s="118"/>
      <c r="L390" s="21"/>
      <c r="M390" s="21"/>
      <c r="N390" s="21"/>
      <c r="O390" s="21"/>
      <c r="P390" s="21">
        <v>650</v>
      </c>
      <c r="Q390" s="21"/>
      <c r="R390" s="81" t="s">
        <v>932</v>
      </c>
      <c r="S390" s="119">
        <f>DATABASE_Table[[#This Row],[Inicial Asking Price (€) (Total)]]-DATABASE_Table[[#This Row],[Vista membership]]-DATABASE_Table[[#This Row],[FF&amp;E]]</f>
        <v>1633000</v>
      </c>
      <c r="T390" s="120">
        <v>1633000</v>
      </c>
      <c r="U390" s="36">
        <v>1420000</v>
      </c>
      <c r="V390" s="21"/>
      <c r="W390" s="21"/>
      <c r="X390" s="73">
        <f>DATABASE_Table[[#This Row],[Current Asking price( Total)]]-DATABASE_Table[[#This Row],[Vista membership]]-DATABASE_Table[[#This Row],[FF&amp;E]]</f>
        <v>1420000</v>
      </c>
      <c r="Y390" s="37"/>
      <c r="Z390" s="36"/>
      <c r="AA390" s="73">
        <f>DATABASE_Table[[#This Row],[Sell price (Total)]]-DATABASE_Table[[#This Row],[FF&amp;E]]-DATABASE_Table[[#This Row],[Vista membership]]</f>
        <v>0</v>
      </c>
      <c r="AB390" s="74"/>
      <c r="AC390" s="74" t="str">
        <f t="shared" si="6"/>
        <v>TO LAUNCH</v>
      </c>
      <c r="AD390" s="123"/>
      <c r="AE390" s="69" t="s">
        <v>32</v>
      </c>
      <c r="AF390" s="21" t="s">
        <v>57</v>
      </c>
      <c r="AG390" s="21" t="s">
        <v>930</v>
      </c>
      <c r="AH390" s="122" t="s">
        <v>75</v>
      </c>
      <c r="AI390" s="122" t="s">
        <v>554</v>
      </c>
      <c r="AJ390" s="122" t="s">
        <v>76</v>
      </c>
      <c r="AK390" s="122" t="s">
        <v>77</v>
      </c>
      <c r="AL390" s="21" t="s">
        <v>32</v>
      </c>
      <c r="AM390" s="122" t="s">
        <v>73</v>
      </c>
    </row>
    <row r="391" spans="1:39" customFormat="1" ht="15.75" customHeight="1" x14ac:dyDescent="0.3">
      <c r="A391" t="s">
        <v>73</v>
      </c>
      <c r="B391" s="21" t="s">
        <v>770</v>
      </c>
      <c r="C391" s="21" t="s">
        <v>764</v>
      </c>
      <c r="D391" s="117" t="s">
        <v>883</v>
      </c>
      <c r="E391" s="21" t="s">
        <v>74</v>
      </c>
      <c r="F391" s="21" t="s">
        <v>553</v>
      </c>
      <c r="G391" s="21">
        <v>500</v>
      </c>
      <c r="H391" s="21"/>
      <c r="I391" s="117" t="s">
        <v>325</v>
      </c>
      <c r="J391" s="117" t="s">
        <v>325</v>
      </c>
      <c r="K391" s="118"/>
      <c r="L391" s="21"/>
      <c r="M391" s="21"/>
      <c r="N391" s="21"/>
      <c r="O391" s="21"/>
      <c r="P391" s="21">
        <v>500</v>
      </c>
      <c r="Q391" s="21"/>
      <c r="R391" s="81" t="s">
        <v>932</v>
      </c>
      <c r="S391" s="119">
        <f>DATABASE_Table[[#This Row],[Inicial Asking Price (€) (Total)]]-DATABASE_Table[[#This Row],[Vista membership]]-DATABASE_Table[[#This Row],[FF&amp;E]]</f>
        <v>1683000</v>
      </c>
      <c r="T391" s="120">
        <v>1683000</v>
      </c>
      <c r="U391" s="36">
        <v>1150000</v>
      </c>
      <c r="V391" s="21"/>
      <c r="W391" s="21"/>
      <c r="X391" s="73">
        <f>DATABASE_Table[[#This Row],[Current Asking price( Total)]]-DATABASE_Table[[#This Row],[Vista membership]]-DATABASE_Table[[#This Row],[FF&amp;E]]</f>
        <v>1150000</v>
      </c>
      <c r="Y391" s="37"/>
      <c r="Z391" s="36"/>
      <c r="AA391" s="73">
        <f>DATABASE_Table[[#This Row],[Sell price (Total)]]-DATABASE_Table[[#This Row],[FF&amp;E]]-DATABASE_Table[[#This Row],[Vista membership]]</f>
        <v>0</v>
      </c>
      <c r="AB391" s="74"/>
      <c r="AC391" s="74" t="str">
        <f t="shared" si="6"/>
        <v>TO LAUNCH</v>
      </c>
      <c r="AD391" s="123"/>
      <c r="AE391" s="69" t="s">
        <v>32</v>
      </c>
      <c r="AF391" s="21" t="s">
        <v>57</v>
      </c>
      <c r="AG391" s="21" t="s">
        <v>930</v>
      </c>
      <c r="AH391" s="122" t="s">
        <v>75</v>
      </c>
      <c r="AI391" s="122" t="s">
        <v>554</v>
      </c>
      <c r="AJ391" s="122" t="s">
        <v>76</v>
      </c>
      <c r="AK391" s="122" t="s">
        <v>77</v>
      </c>
      <c r="AL391" s="21" t="s">
        <v>32</v>
      </c>
      <c r="AM391" s="122" t="s">
        <v>73</v>
      </c>
    </row>
    <row r="392" spans="1:39" customFormat="1" ht="15.75" customHeight="1" x14ac:dyDescent="0.3">
      <c r="A392" t="s">
        <v>73</v>
      </c>
      <c r="B392" s="21" t="s">
        <v>770</v>
      </c>
      <c r="C392" s="21" t="s">
        <v>764</v>
      </c>
      <c r="D392" s="117" t="s">
        <v>836</v>
      </c>
      <c r="E392" s="21" t="s">
        <v>74</v>
      </c>
      <c r="F392" s="21" t="s">
        <v>553</v>
      </c>
      <c r="G392" s="21">
        <v>500</v>
      </c>
      <c r="H392" s="21"/>
      <c r="I392" s="117" t="s">
        <v>325</v>
      </c>
      <c r="J392" s="117" t="s">
        <v>325</v>
      </c>
      <c r="K392" s="118"/>
      <c r="L392" s="21"/>
      <c r="M392" s="21"/>
      <c r="N392" s="21"/>
      <c r="O392" s="21"/>
      <c r="P392" s="21">
        <v>500</v>
      </c>
      <c r="Q392" s="21"/>
      <c r="R392" s="81" t="s">
        <v>932</v>
      </c>
      <c r="S392" s="119">
        <f>DATABASE_Table[[#This Row],[Inicial Asking Price (€) (Total)]]-DATABASE_Table[[#This Row],[Vista membership]]-DATABASE_Table[[#This Row],[FF&amp;E]]</f>
        <v>1735000</v>
      </c>
      <c r="T392" s="120">
        <v>1735000</v>
      </c>
      <c r="U392" s="36">
        <v>1300000</v>
      </c>
      <c r="V392" s="21"/>
      <c r="W392" s="21"/>
      <c r="X392" s="73">
        <f>DATABASE_Table[[#This Row],[Current Asking price( Total)]]-DATABASE_Table[[#This Row],[Vista membership]]-DATABASE_Table[[#This Row],[FF&amp;E]]</f>
        <v>1300000</v>
      </c>
      <c r="Y392" s="37"/>
      <c r="Z392" s="36"/>
      <c r="AA392" s="73">
        <f>DATABASE_Table[[#This Row],[Sell price (Total)]]-DATABASE_Table[[#This Row],[FF&amp;E]]-DATABASE_Table[[#This Row],[Vista membership]]</f>
        <v>0</v>
      </c>
      <c r="AB392" s="74"/>
      <c r="AC392" s="74" t="str">
        <f t="shared" si="6"/>
        <v>TO LAUNCH</v>
      </c>
      <c r="AD392" s="123"/>
      <c r="AE392" s="69" t="s">
        <v>32</v>
      </c>
      <c r="AF392" s="21" t="s">
        <v>57</v>
      </c>
      <c r="AG392" s="21" t="s">
        <v>930</v>
      </c>
      <c r="AH392" s="122" t="s">
        <v>75</v>
      </c>
      <c r="AI392" s="122" t="s">
        <v>554</v>
      </c>
      <c r="AJ392" s="122" t="s">
        <v>76</v>
      </c>
      <c r="AK392" s="122" t="s">
        <v>77</v>
      </c>
      <c r="AL392" s="21" t="s">
        <v>32</v>
      </c>
      <c r="AM392" s="122" t="s">
        <v>73</v>
      </c>
    </row>
    <row r="393" spans="1:39" customFormat="1" ht="15.75" customHeight="1" x14ac:dyDescent="0.3">
      <c r="A393" t="s">
        <v>73</v>
      </c>
      <c r="B393" s="21" t="s">
        <v>770</v>
      </c>
      <c r="C393" s="21" t="s">
        <v>764</v>
      </c>
      <c r="D393" s="117" t="s">
        <v>838</v>
      </c>
      <c r="E393" s="21" t="s">
        <v>74</v>
      </c>
      <c r="F393" s="21" t="s">
        <v>553</v>
      </c>
      <c r="G393" s="21">
        <v>650</v>
      </c>
      <c r="H393" s="21"/>
      <c r="I393" s="117" t="s">
        <v>325</v>
      </c>
      <c r="J393" s="117" t="s">
        <v>325</v>
      </c>
      <c r="K393" s="118"/>
      <c r="L393" s="21"/>
      <c r="M393" s="21"/>
      <c r="N393" s="21"/>
      <c r="O393" s="21"/>
      <c r="P393" s="21">
        <v>650</v>
      </c>
      <c r="Q393" s="21"/>
      <c r="R393" s="81" t="s">
        <v>932</v>
      </c>
      <c r="S393" s="119">
        <f>DATABASE_Table[[#This Row],[Inicial Asking Price (€) (Total)]]-DATABASE_Table[[#This Row],[Vista membership]]-DATABASE_Table[[#This Row],[FF&amp;E]]</f>
        <v>1735000</v>
      </c>
      <c r="T393" s="120">
        <v>1735000</v>
      </c>
      <c r="U393" s="36">
        <v>1450000</v>
      </c>
      <c r="V393" s="21"/>
      <c r="W393" s="21"/>
      <c r="X393" s="73">
        <f>DATABASE_Table[[#This Row],[Current Asking price( Total)]]-DATABASE_Table[[#This Row],[Vista membership]]-DATABASE_Table[[#This Row],[FF&amp;E]]</f>
        <v>1450000</v>
      </c>
      <c r="Y393" s="37"/>
      <c r="Z393" s="36"/>
      <c r="AA393" s="73">
        <f>DATABASE_Table[[#This Row],[Sell price (Total)]]-DATABASE_Table[[#This Row],[FF&amp;E]]-DATABASE_Table[[#This Row],[Vista membership]]</f>
        <v>0</v>
      </c>
      <c r="AB393" s="74"/>
      <c r="AC393" s="74" t="str">
        <f t="shared" si="6"/>
        <v>TO LAUNCH</v>
      </c>
      <c r="AD393" s="123"/>
      <c r="AE393" s="69" t="s">
        <v>32</v>
      </c>
      <c r="AF393" s="21" t="s">
        <v>57</v>
      </c>
      <c r="AG393" s="21" t="s">
        <v>930</v>
      </c>
      <c r="AH393" s="122" t="s">
        <v>75</v>
      </c>
      <c r="AI393" s="122" t="s">
        <v>554</v>
      </c>
      <c r="AJ393" s="122" t="s">
        <v>76</v>
      </c>
      <c r="AK393" s="122" t="s">
        <v>77</v>
      </c>
      <c r="AL393" s="21" t="s">
        <v>32</v>
      </c>
      <c r="AM393" s="122" t="s">
        <v>73</v>
      </c>
    </row>
    <row r="394" spans="1:39" customFormat="1" ht="15.75" customHeight="1" x14ac:dyDescent="0.3">
      <c r="A394" t="s">
        <v>73</v>
      </c>
      <c r="B394" s="21" t="s">
        <v>770</v>
      </c>
      <c r="C394" s="21" t="s">
        <v>764</v>
      </c>
      <c r="D394" s="117" t="s">
        <v>842</v>
      </c>
      <c r="E394" s="21" t="s">
        <v>74</v>
      </c>
      <c r="F394" s="21" t="s">
        <v>553</v>
      </c>
      <c r="G394" s="21">
        <v>650</v>
      </c>
      <c r="H394" s="21"/>
      <c r="I394" s="117" t="s">
        <v>325</v>
      </c>
      <c r="J394" s="117" t="s">
        <v>325</v>
      </c>
      <c r="K394" s="118"/>
      <c r="L394" s="21"/>
      <c r="M394" s="21"/>
      <c r="N394" s="21"/>
      <c r="O394" s="21"/>
      <c r="P394" s="21">
        <v>650</v>
      </c>
      <c r="Q394" s="21"/>
      <c r="R394" s="81" t="s">
        <v>932</v>
      </c>
      <c r="S394" s="119">
        <f>DATABASE_Table[[#This Row],[Inicial Asking Price (€) (Total)]]-DATABASE_Table[[#This Row],[Vista membership]]-DATABASE_Table[[#This Row],[FF&amp;E]]</f>
        <v>2000000</v>
      </c>
      <c r="T394" s="120">
        <v>2000000</v>
      </c>
      <c r="U394" s="36">
        <v>1560000</v>
      </c>
      <c r="V394" s="21"/>
      <c r="W394" s="21"/>
      <c r="X394" s="73">
        <f>DATABASE_Table[[#This Row],[Current Asking price( Total)]]-DATABASE_Table[[#This Row],[Vista membership]]-DATABASE_Table[[#This Row],[FF&amp;E]]</f>
        <v>1560000</v>
      </c>
      <c r="Y394" s="37"/>
      <c r="Z394" s="36"/>
      <c r="AA394" s="73">
        <f>DATABASE_Table[[#This Row],[Sell price (Total)]]-DATABASE_Table[[#This Row],[FF&amp;E]]-DATABASE_Table[[#This Row],[Vista membership]]</f>
        <v>0</v>
      </c>
      <c r="AB394" s="74"/>
      <c r="AC394" s="74" t="str">
        <f t="shared" si="6"/>
        <v>TO LAUNCH</v>
      </c>
      <c r="AD394" s="123"/>
      <c r="AE394" s="69" t="s">
        <v>32</v>
      </c>
      <c r="AF394" s="21" t="s">
        <v>57</v>
      </c>
      <c r="AG394" s="21" t="s">
        <v>930</v>
      </c>
      <c r="AH394" s="122" t="s">
        <v>75</v>
      </c>
      <c r="AI394" s="122" t="s">
        <v>554</v>
      </c>
      <c r="AJ394" s="122" t="s">
        <v>76</v>
      </c>
      <c r="AK394" s="122" t="s">
        <v>77</v>
      </c>
      <c r="AL394" s="21" t="s">
        <v>32</v>
      </c>
      <c r="AM394" s="122" t="s">
        <v>73</v>
      </c>
    </row>
    <row r="395" spans="1:39" customFormat="1" ht="15.75" customHeight="1" x14ac:dyDescent="0.3">
      <c r="A395" t="s">
        <v>73</v>
      </c>
      <c r="B395" s="21" t="s">
        <v>770</v>
      </c>
      <c r="C395" s="21" t="s">
        <v>764</v>
      </c>
      <c r="D395" s="117" t="s">
        <v>674</v>
      </c>
      <c r="E395" s="21" t="s">
        <v>74</v>
      </c>
      <c r="F395" s="21" t="s">
        <v>553</v>
      </c>
      <c r="G395" s="21">
        <v>900</v>
      </c>
      <c r="H395" s="21"/>
      <c r="I395" s="117" t="s">
        <v>325</v>
      </c>
      <c r="J395" s="117" t="s">
        <v>325</v>
      </c>
      <c r="K395" s="118"/>
      <c r="L395" s="21"/>
      <c r="M395" s="21"/>
      <c r="N395" s="21"/>
      <c r="O395" s="21"/>
      <c r="P395" s="21">
        <v>900</v>
      </c>
      <c r="Q395" s="21"/>
      <c r="R395" s="81" t="s">
        <v>932</v>
      </c>
      <c r="S395" s="119">
        <f>DATABASE_Table[[#This Row],[Inicial Asking Price (€) (Total)]]-DATABASE_Table[[#This Row],[Vista membership]]-DATABASE_Table[[#This Row],[FF&amp;E]]</f>
        <v>2112000</v>
      </c>
      <c r="T395" s="120">
        <v>2112000</v>
      </c>
      <c r="U395" s="36">
        <v>1790000</v>
      </c>
      <c r="V395" s="21"/>
      <c r="W395" s="21"/>
      <c r="X395" s="73">
        <f>DATABASE_Table[[#This Row],[Current Asking price( Total)]]-DATABASE_Table[[#This Row],[Vista membership]]-DATABASE_Table[[#This Row],[FF&amp;E]]</f>
        <v>1790000</v>
      </c>
      <c r="Y395" s="37"/>
      <c r="Z395" s="36"/>
      <c r="AA395" s="73">
        <f>DATABASE_Table[[#This Row],[Sell price (Total)]]-DATABASE_Table[[#This Row],[FF&amp;E]]-DATABASE_Table[[#This Row],[Vista membership]]</f>
        <v>0</v>
      </c>
      <c r="AB395" s="74"/>
      <c r="AC395" s="74" t="str">
        <f t="shared" si="6"/>
        <v>TO LAUNCH</v>
      </c>
      <c r="AD395" s="123"/>
      <c r="AE395" s="69" t="s">
        <v>32</v>
      </c>
      <c r="AF395" s="21" t="s">
        <v>57</v>
      </c>
      <c r="AG395" s="21" t="s">
        <v>930</v>
      </c>
      <c r="AH395" s="122" t="s">
        <v>75</v>
      </c>
      <c r="AI395" s="122" t="s">
        <v>554</v>
      </c>
      <c r="AJ395" s="122" t="s">
        <v>76</v>
      </c>
      <c r="AK395" s="122" t="s">
        <v>77</v>
      </c>
      <c r="AL395" s="21" t="s">
        <v>32</v>
      </c>
      <c r="AM395" s="122" t="s">
        <v>73</v>
      </c>
    </row>
    <row r="396" spans="1:39" customFormat="1" ht="15.75" customHeight="1" x14ac:dyDescent="0.3">
      <c r="A396" t="s">
        <v>73</v>
      </c>
      <c r="B396" s="21" t="s">
        <v>770</v>
      </c>
      <c r="C396" s="21" t="s">
        <v>764</v>
      </c>
      <c r="D396" s="117" t="s">
        <v>829</v>
      </c>
      <c r="E396" s="21" t="s">
        <v>74</v>
      </c>
      <c r="F396" s="21" t="s">
        <v>553</v>
      </c>
      <c r="G396" s="21">
        <v>700</v>
      </c>
      <c r="H396" s="21"/>
      <c r="I396" s="117" t="s">
        <v>325</v>
      </c>
      <c r="J396" s="117" t="s">
        <v>325</v>
      </c>
      <c r="K396" s="118"/>
      <c r="L396" s="21"/>
      <c r="M396" s="21"/>
      <c r="N396" s="21"/>
      <c r="O396" s="21"/>
      <c r="P396" s="21">
        <v>700</v>
      </c>
      <c r="Q396" s="21"/>
      <c r="R396" s="81" t="s">
        <v>932</v>
      </c>
      <c r="S396" s="119">
        <f>DATABASE_Table[[#This Row],[Inicial Asking Price (€) (Total)]]-DATABASE_Table[[#This Row],[Vista membership]]-DATABASE_Table[[#This Row],[FF&amp;E]]</f>
        <v>2375000</v>
      </c>
      <c r="T396" s="120">
        <v>2375000</v>
      </c>
      <c r="U396" s="36">
        <v>1710000</v>
      </c>
      <c r="V396" s="21"/>
      <c r="W396" s="21"/>
      <c r="X396" s="73">
        <f>DATABASE_Table[[#This Row],[Current Asking price( Total)]]-DATABASE_Table[[#This Row],[Vista membership]]-DATABASE_Table[[#This Row],[FF&amp;E]]</f>
        <v>1710000</v>
      </c>
      <c r="Y396" s="37"/>
      <c r="Z396" s="36"/>
      <c r="AA396" s="73">
        <f>DATABASE_Table[[#This Row],[Sell price (Total)]]-DATABASE_Table[[#This Row],[FF&amp;E]]-DATABASE_Table[[#This Row],[Vista membership]]</f>
        <v>0</v>
      </c>
      <c r="AB396" s="74"/>
      <c r="AC396" s="74" t="str">
        <f t="shared" si="6"/>
        <v>TO LAUNCH</v>
      </c>
      <c r="AD396" s="123"/>
      <c r="AE396" s="69" t="s">
        <v>32</v>
      </c>
      <c r="AF396" s="21" t="s">
        <v>57</v>
      </c>
      <c r="AG396" s="21" t="s">
        <v>930</v>
      </c>
      <c r="AH396" s="122" t="s">
        <v>75</v>
      </c>
      <c r="AI396" s="122" t="s">
        <v>554</v>
      </c>
      <c r="AJ396" s="122" t="s">
        <v>76</v>
      </c>
      <c r="AK396" s="122" t="s">
        <v>77</v>
      </c>
      <c r="AL396" s="21" t="s">
        <v>32</v>
      </c>
      <c r="AM396" s="122" t="s">
        <v>73</v>
      </c>
    </row>
    <row r="397" spans="1:39" customFormat="1" ht="15.75" customHeight="1" x14ac:dyDescent="0.3">
      <c r="A397" t="s">
        <v>73</v>
      </c>
      <c r="B397" s="21" t="s">
        <v>770</v>
      </c>
      <c r="C397" s="21" t="s">
        <v>764</v>
      </c>
      <c r="D397" s="117" t="s">
        <v>846</v>
      </c>
      <c r="E397" s="21" t="s">
        <v>74</v>
      </c>
      <c r="F397" s="21" t="s">
        <v>553</v>
      </c>
      <c r="G397" s="21">
        <v>500</v>
      </c>
      <c r="H397" s="21"/>
      <c r="I397" s="117" t="s">
        <v>325</v>
      </c>
      <c r="J397" s="117" t="s">
        <v>325</v>
      </c>
      <c r="K397" s="118"/>
      <c r="L397" s="21"/>
      <c r="M397" s="21"/>
      <c r="N397" s="21"/>
      <c r="O397" s="21"/>
      <c r="P397" s="21">
        <v>500</v>
      </c>
      <c r="Q397" s="21"/>
      <c r="R397" s="81" t="s">
        <v>932</v>
      </c>
      <c r="S397" s="119">
        <f>DATABASE_Table[[#This Row],[Inicial Asking Price (€) (Total)]]-DATABASE_Table[[#This Row],[Vista membership]]-DATABASE_Table[[#This Row],[FF&amp;E]]</f>
        <v>2525000</v>
      </c>
      <c r="T397" s="120">
        <v>2525000</v>
      </c>
      <c r="U397" s="36">
        <v>1560000</v>
      </c>
      <c r="V397" s="21"/>
      <c r="W397" s="21"/>
      <c r="X397" s="73">
        <f>DATABASE_Table[[#This Row],[Current Asking price( Total)]]-DATABASE_Table[[#This Row],[Vista membership]]-DATABASE_Table[[#This Row],[FF&amp;E]]</f>
        <v>1560000</v>
      </c>
      <c r="Y397" s="37"/>
      <c r="Z397" s="36"/>
      <c r="AA397" s="73">
        <f>DATABASE_Table[[#This Row],[Sell price (Total)]]-DATABASE_Table[[#This Row],[FF&amp;E]]-DATABASE_Table[[#This Row],[Vista membership]]</f>
        <v>0</v>
      </c>
      <c r="AB397" s="74"/>
      <c r="AC397" s="74" t="str">
        <f t="shared" si="6"/>
        <v>TO LAUNCH</v>
      </c>
      <c r="AD397" s="123"/>
      <c r="AE397" s="69" t="s">
        <v>32</v>
      </c>
      <c r="AF397" s="21" t="s">
        <v>57</v>
      </c>
      <c r="AG397" s="21" t="s">
        <v>930</v>
      </c>
      <c r="AH397" s="122" t="s">
        <v>75</v>
      </c>
      <c r="AI397" s="122" t="s">
        <v>554</v>
      </c>
      <c r="AJ397" s="122" t="s">
        <v>76</v>
      </c>
      <c r="AK397" s="122" t="s">
        <v>77</v>
      </c>
      <c r="AL397" s="21" t="s">
        <v>32</v>
      </c>
      <c r="AM397" s="122" t="s">
        <v>73</v>
      </c>
    </row>
    <row r="398" spans="1:39" customFormat="1" ht="15.75" customHeight="1" x14ac:dyDescent="0.3">
      <c r="A398" t="s">
        <v>73</v>
      </c>
      <c r="B398" s="21" t="s">
        <v>770</v>
      </c>
      <c r="C398" s="21" t="s">
        <v>764</v>
      </c>
      <c r="D398" s="117" t="s">
        <v>837</v>
      </c>
      <c r="E398" s="21" t="s">
        <v>74</v>
      </c>
      <c r="F398" s="21" t="s">
        <v>553</v>
      </c>
      <c r="G398" s="21">
        <v>650</v>
      </c>
      <c r="H398" s="21"/>
      <c r="I398" s="117" t="s">
        <v>325</v>
      </c>
      <c r="J398" s="117" t="s">
        <v>325</v>
      </c>
      <c r="K398" s="118"/>
      <c r="L398" s="21"/>
      <c r="M398" s="21"/>
      <c r="N398" s="21"/>
      <c r="O398" s="21"/>
      <c r="P398" s="21">
        <v>650</v>
      </c>
      <c r="Q398" s="21"/>
      <c r="R398" s="81" t="s">
        <v>932</v>
      </c>
      <c r="S398" s="119">
        <f>DATABASE_Table[[#This Row],[Inicial Asking Price (€) (Total)]]-DATABASE_Table[[#This Row],[Vista membership]]-DATABASE_Table[[#This Row],[FF&amp;E]]</f>
        <v>3250000</v>
      </c>
      <c r="T398" s="120">
        <v>3250000</v>
      </c>
      <c r="U398" s="36">
        <v>2260000</v>
      </c>
      <c r="V398" s="21"/>
      <c r="W398" s="21"/>
      <c r="X398" s="73">
        <f>DATABASE_Table[[#This Row],[Current Asking price( Total)]]-DATABASE_Table[[#This Row],[Vista membership]]-DATABASE_Table[[#This Row],[FF&amp;E]]</f>
        <v>2260000</v>
      </c>
      <c r="Y398" s="37"/>
      <c r="Z398" s="36"/>
      <c r="AA398" s="73">
        <f>DATABASE_Table[[#This Row],[Sell price (Total)]]-DATABASE_Table[[#This Row],[FF&amp;E]]-DATABASE_Table[[#This Row],[Vista membership]]</f>
        <v>0</v>
      </c>
      <c r="AB398" s="74"/>
      <c r="AC398" s="74" t="str">
        <f t="shared" si="6"/>
        <v>TO LAUNCH</v>
      </c>
      <c r="AD398" s="123"/>
      <c r="AE398" s="69" t="s">
        <v>32</v>
      </c>
      <c r="AF398" s="21" t="s">
        <v>57</v>
      </c>
      <c r="AG398" s="21" t="s">
        <v>930</v>
      </c>
      <c r="AH398" s="122" t="s">
        <v>75</v>
      </c>
      <c r="AI398" s="122" t="s">
        <v>554</v>
      </c>
      <c r="AJ398" s="122" t="s">
        <v>76</v>
      </c>
      <c r="AK398" s="122" t="s">
        <v>77</v>
      </c>
      <c r="AL398" s="21" t="s">
        <v>32</v>
      </c>
      <c r="AM398" s="122" t="s">
        <v>73</v>
      </c>
    </row>
    <row r="399" spans="1:39" customFormat="1" ht="15.75" customHeight="1" x14ac:dyDescent="0.3">
      <c r="A399" t="s">
        <v>73</v>
      </c>
      <c r="B399" s="21" t="s">
        <v>772</v>
      </c>
      <c r="C399" s="21" t="s">
        <v>764</v>
      </c>
      <c r="D399" s="117" t="s">
        <v>886</v>
      </c>
      <c r="E399" s="21" t="s">
        <v>74</v>
      </c>
      <c r="F399" s="21" t="s">
        <v>553</v>
      </c>
      <c r="G399" s="21">
        <v>396.9</v>
      </c>
      <c r="H399" s="21"/>
      <c r="I399" s="117" t="s">
        <v>325</v>
      </c>
      <c r="J399" s="117" t="s">
        <v>325</v>
      </c>
      <c r="K399" s="118"/>
      <c r="L399" s="21"/>
      <c r="M399" s="21"/>
      <c r="N399" s="21"/>
      <c r="O399" s="21"/>
      <c r="P399" s="21">
        <v>396.9</v>
      </c>
      <c r="Q399" s="21"/>
      <c r="R399" s="81" t="s">
        <v>932</v>
      </c>
      <c r="S399" s="119">
        <f>DATABASE_Table[[#This Row],[Inicial Asking Price (€) (Total)]]-DATABASE_Table[[#This Row],[Vista membership]]-DATABASE_Table[[#This Row],[FF&amp;E]]</f>
        <v>670000</v>
      </c>
      <c r="T399" s="120">
        <v>670000</v>
      </c>
      <c r="U399" s="36">
        <v>550000</v>
      </c>
      <c r="V399" s="21"/>
      <c r="W399" s="21"/>
      <c r="X399" s="73">
        <f>DATABASE_Table[[#This Row],[Current Asking price( Total)]]-DATABASE_Table[[#This Row],[Vista membership]]-DATABASE_Table[[#This Row],[FF&amp;E]]</f>
        <v>550000</v>
      </c>
      <c r="Y399" s="37"/>
      <c r="Z399" s="36"/>
      <c r="AA399" s="73">
        <f>DATABASE_Table[[#This Row],[Sell price (Total)]]-DATABASE_Table[[#This Row],[FF&amp;E]]-DATABASE_Table[[#This Row],[Vista membership]]</f>
        <v>0</v>
      </c>
      <c r="AB399" s="74"/>
      <c r="AC399" s="74" t="str">
        <f t="shared" si="6"/>
        <v>TO LAUNCH</v>
      </c>
      <c r="AD399" s="123"/>
      <c r="AE399" s="69" t="s">
        <v>32</v>
      </c>
      <c r="AF399" s="21" t="s">
        <v>57</v>
      </c>
      <c r="AG399" s="21" t="s">
        <v>930</v>
      </c>
      <c r="AH399" s="122" t="s">
        <v>75</v>
      </c>
      <c r="AI399" s="122" t="s">
        <v>554</v>
      </c>
      <c r="AJ399" s="122" t="s">
        <v>76</v>
      </c>
      <c r="AK399" s="122" t="s">
        <v>77</v>
      </c>
      <c r="AL399" s="21" t="s">
        <v>32</v>
      </c>
      <c r="AM399" s="122" t="s">
        <v>73</v>
      </c>
    </row>
    <row r="400" spans="1:39" customFormat="1" ht="15.75" customHeight="1" x14ac:dyDescent="0.3">
      <c r="A400" t="s">
        <v>73</v>
      </c>
      <c r="B400" s="21" t="s">
        <v>772</v>
      </c>
      <c r="C400" s="21" t="s">
        <v>764</v>
      </c>
      <c r="D400" s="117" t="s">
        <v>830</v>
      </c>
      <c r="E400" s="21" t="s">
        <v>74</v>
      </c>
      <c r="F400" s="21" t="s">
        <v>553</v>
      </c>
      <c r="G400" s="21">
        <v>396.9</v>
      </c>
      <c r="H400" s="21"/>
      <c r="I400" s="117" t="s">
        <v>325</v>
      </c>
      <c r="J400" s="117" t="s">
        <v>325</v>
      </c>
      <c r="K400" s="118"/>
      <c r="L400" s="21"/>
      <c r="M400" s="21"/>
      <c r="N400" s="21"/>
      <c r="O400" s="21"/>
      <c r="P400" s="21">
        <v>396.9</v>
      </c>
      <c r="Q400" s="21"/>
      <c r="R400" s="81" t="s">
        <v>932</v>
      </c>
      <c r="S400" s="119">
        <f>DATABASE_Table[[#This Row],[Inicial Asking Price (€) (Total)]]-DATABASE_Table[[#This Row],[Vista membership]]-DATABASE_Table[[#This Row],[FF&amp;E]]</f>
        <v>875000</v>
      </c>
      <c r="T400" s="120">
        <v>875000</v>
      </c>
      <c r="U400" s="36">
        <v>740000</v>
      </c>
      <c r="V400" s="21"/>
      <c r="W400" s="21"/>
      <c r="X400" s="73">
        <f>DATABASE_Table[[#This Row],[Current Asking price( Total)]]-DATABASE_Table[[#This Row],[Vista membership]]-DATABASE_Table[[#This Row],[FF&amp;E]]</f>
        <v>740000</v>
      </c>
      <c r="Y400" s="37"/>
      <c r="Z400" s="36"/>
      <c r="AA400" s="73">
        <f>DATABASE_Table[[#This Row],[Sell price (Total)]]-DATABASE_Table[[#This Row],[FF&amp;E]]-DATABASE_Table[[#This Row],[Vista membership]]</f>
        <v>0</v>
      </c>
      <c r="AB400" s="74"/>
      <c r="AC400" s="74" t="str">
        <f t="shared" si="6"/>
        <v>TO LAUNCH</v>
      </c>
      <c r="AD400" s="123"/>
      <c r="AE400" s="69" t="s">
        <v>32</v>
      </c>
      <c r="AF400" s="21" t="s">
        <v>57</v>
      </c>
      <c r="AG400" s="21" t="s">
        <v>930</v>
      </c>
      <c r="AH400" s="122" t="s">
        <v>75</v>
      </c>
      <c r="AI400" s="122" t="s">
        <v>554</v>
      </c>
      <c r="AJ400" s="122" t="s">
        <v>76</v>
      </c>
      <c r="AK400" s="122" t="s">
        <v>77</v>
      </c>
      <c r="AL400" s="21" t="s">
        <v>32</v>
      </c>
      <c r="AM400" s="122" t="s">
        <v>73</v>
      </c>
    </row>
    <row r="401" spans="1:39" customFormat="1" ht="15.75" customHeight="1" x14ac:dyDescent="0.3">
      <c r="A401" t="s">
        <v>73</v>
      </c>
      <c r="B401" s="21" t="s">
        <v>772</v>
      </c>
      <c r="C401" s="21" t="s">
        <v>764</v>
      </c>
      <c r="D401" s="117" t="s">
        <v>836</v>
      </c>
      <c r="E401" s="21" t="s">
        <v>74</v>
      </c>
      <c r="F401" s="21" t="s">
        <v>553</v>
      </c>
      <c r="G401" s="21">
        <v>373.55</v>
      </c>
      <c r="H401" s="21"/>
      <c r="I401" s="117" t="s">
        <v>325</v>
      </c>
      <c r="J401" s="117" t="s">
        <v>325</v>
      </c>
      <c r="K401" s="118"/>
      <c r="L401" s="21"/>
      <c r="M401" s="21"/>
      <c r="N401" s="21"/>
      <c r="O401" s="21"/>
      <c r="P401" s="21">
        <v>373.55</v>
      </c>
      <c r="Q401" s="21"/>
      <c r="R401" s="81" t="s">
        <v>932</v>
      </c>
      <c r="S401" s="119">
        <f>DATABASE_Table[[#This Row],[Inicial Asking Price (€) (Total)]]-DATABASE_Table[[#This Row],[Vista membership]]-DATABASE_Table[[#This Row],[FF&amp;E]]</f>
        <v>875000</v>
      </c>
      <c r="T401" s="120">
        <v>875000</v>
      </c>
      <c r="U401" s="36">
        <v>750000</v>
      </c>
      <c r="V401" s="21"/>
      <c r="W401" s="21"/>
      <c r="X401" s="73">
        <f>DATABASE_Table[[#This Row],[Current Asking price( Total)]]-DATABASE_Table[[#This Row],[Vista membership]]-DATABASE_Table[[#This Row],[FF&amp;E]]</f>
        <v>750000</v>
      </c>
      <c r="Y401" s="37"/>
      <c r="Z401" s="36"/>
      <c r="AA401" s="73">
        <f>DATABASE_Table[[#This Row],[Sell price (Total)]]-DATABASE_Table[[#This Row],[FF&amp;E]]-DATABASE_Table[[#This Row],[Vista membership]]</f>
        <v>0</v>
      </c>
      <c r="AB401" s="74"/>
      <c r="AC401" s="74" t="str">
        <f t="shared" si="6"/>
        <v>TO LAUNCH</v>
      </c>
      <c r="AD401" s="123"/>
      <c r="AE401" s="69" t="s">
        <v>32</v>
      </c>
      <c r="AF401" s="21" t="s">
        <v>57</v>
      </c>
      <c r="AG401" s="21" t="s">
        <v>930</v>
      </c>
      <c r="AH401" s="122" t="s">
        <v>75</v>
      </c>
      <c r="AI401" s="122" t="s">
        <v>554</v>
      </c>
      <c r="AJ401" s="122" t="s">
        <v>76</v>
      </c>
      <c r="AK401" s="122" t="s">
        <v>77</v>
      </c>
      <c r="AL401" s="21" t="s">
        <v>32</v>
      </c>
      <c r="AM401" s="122" t="s">
        <v>73</v>
      </c>
    </row>
    <row r="402" spans="1:39" customFormat="1" ht="15.75" customHeight="1" x14ac:dyDescent="0.3">
      <c r="A402" t="s">
        <v>73</v>
      </c>
      <c r="B402" s="21" t="s">
        <v>772</v>
      </c>
      <c r="C402" s="21" t="s">
        <v>764</v>
      </c>
      <c r="D402" s="117" t="s">
        <v>837</v>
      </c>
      <c r="E402" s="21" t="s">
        <v>74</v>
      </c>
      <c r="F402" s="21" t="s">
        <v>553</v>
      </c>
      <c r="G402" s="21">
        <v>373.55</v>
      </c>
      <c r="H402" s="21"/>
      <c r="I402" s="117" t="s">
        <v>325</v>
      </c>
      <c r="J402" s="117" t="s">
        <v>325</v>
      </c>
      <c r="K402" s="118"/>
      <c r="L402" s="21"/>
      <c r="M402" s="21"/>
      <c r="N402" s="21"/>
      <c r="O402" s="21"/>
      <c r="P402" s="21">
        <v>373.55</v>
      </c>
      <c r="Q402" s="21"/>
      <c r="R402" s="81" t="s">
        <v>932</v>
      </c>
      <c r="S402" s="119">
        <f>DATABASE_Table[[#This Row],[Inicial Asking Price (€) (Total)]]-DATABASE_Table[[#This Row],[Vista membership]]-DATABASE_Table[[#This Row],[FF&amp;E]]</f>
        <v>875000</v>
      </c>
      <c r="T402" s="120">
        <v>875000</v>
      </c>
      <c r="U402" s="36">
        <v>720000</v>
      </c>
      <c r="V402" s="21"/>
      <c r="W402" s="21"/>
      <c r="X402" s="73">
        <f>DATABASE_Table[[#This Row],[Current Asking price( Total)]]-DATABASE_Table[[#This Row],[Vista membership]]-DATABASE_Table[[#This Row],[FF&amp;E]]</f>
        <v>720000</v>
      </c>
      <c r="Y402" s="37"/>
      <c r="Z402" s="36"/>
      <c r="AA402" s="73">
        <f>DATABASE_Table[[#This Row],[Sell price (Total)]]-DATABASE_Table[[#This Row],[FF&amp;E]]-DATABASE_Table[[#This Row],[Vista membership]]</f>
        <v>0</v>
      </c>
      <c r="AB402" s="74"/>
      <c r="AC402" s="74" t="str">
        <f t="shared" si="6"/>
        <v>TO LAUNCH</v>
      </c>
      <c r="AD402" s="123"/>
      <c r="AE402" s="69" t="s">
        <v>32</v>
      </c>
      <c r="AF402" s="21" t="s">
        <v>57</v>
      </c>
      <c r="AG402" s="21" t="s">
        <v>930</v>
      </c>
      <c r="AH402" s="122" t="s">
        <v>75</v>
      </c>
      <c r="AI402" s="122" t="s">
        <v>554</v>
      </c>
      <c r="AJ402" s="122" t="s">
        <v>76</v>
      </c>
      <c r="AK402" s="122" t="s">
        <v>77</v>
      </c>
      <c r="AL402" s="21" t="s">
        <v>32</v>
      </c>
      <c r="AM402" s="122" t="s">
        <v>73</v>
      </c>
    </row>
    <row r="403" spans="1:39" customFormat="1" ht="15.75" customHeight="1" x14ac:dyDescent="0.3">
      <c r="A403" t="s">
        <v>73</v>
      </c>
      <c r="B403" s="21" t="s">
        <v>772</v>
      </c>
      <c r="C403" s="21" t="s">
        <v>764</v>
      </c>
      <c r="D403" s="117" t="s">
        <v>831</v>
      </c>
      <c r="E403" s="21" t="s">
        <v>74</v>
      </c>
      <c r="F403" s="21" t="s">
        <v>553</v>
      </c>
      <c r="G403" s="21">
        <v>396.9</v>
      </c>
      <c r="H403" s="21"/>
      <c r="I403" s="117" t="s">
        <v>325</v>
      </c>
      <c r="J403" s="117" t="s">
        <v>325</v>
      </c>
      <c r="K403" s="118"/>
      <c r="L403" s="21"/>
      <c r="M403" s="21"/>
      <c r="N403" s="21"/>
      <c r="O403" s="21"/>
      <c r="P403" s="21">
        <v>396.9</v>
      </c>
      <c r="Q403" s="21"/>
      <c r="R403" s="81" t="s">
        <v>932</v>
      </c>
      <c r="S403" s="119">
        <f>DATABASE_Table[[#This Row],[Inicial Asking Price (€) (Total)]]-DATABASE_Table[[#This Row],[Vista membership]]-DATABASE_Table[[#This Row],[FF&amp;E]]</f>
        <v>945000</v>
      </c>
      <c r="T403" s="120">
        <v>945000</v>
      </c>
      <c r="U403" s="36">
        <v>810000</v>
      </c>
      <c r="V403" s="21"/>
      <c r="W403" s="21"/>
      <c r="X403" s="73">
        <f>DATABASE_Table[[#This Row],[Current Asking price( Total)]]-DATABASE_Table[[#This Row],[Vista membership]]-DATABASE_Table[[#This Row],[FF&amp;E]]</f>
        <v>810000</v>
      </c>
      <c r="Y403" s="37"/>
      <c r="Z403" s="36"/>
      <c r="AA403" s="73">
        <f>DATABASE_Table[[#This Row],[Sell price (Total)]]-DATABASE_Table[[#This Row],[FF&amp;E]]-DATABASE_Table[[#This Row],[Vista membership]]</f>
        <v>0</v>
      </c>
      <c r="AB403" s="74"/>
      <c r="AC403" s="74" t="str">
        <f t="shared" si="6"/>
        <v>TO LAUNCH</v>
      </c>
      <c r="AD403" s="123"/>
      <c r="AE403" s="69" t="s">
        <v>32</v>
      </c>
      <c r="AF403" s="21" t="s">
        <v>57</v>
      </c>
      <c r="AG403" s="21" t="s">
        <v>930</v>
      </c>
      <c r="AH403" s="122" t="s">
        <v>75</v>
      </c>
      <c r="AI403" s="122" t="s">
        <v>554</v>
      </c>
      <c r="AJ403" s="122" t="s">
        <v>76</v>
      </c>
      <c r="AK403" s="122" t="s">
        <v>77</v>
      </c>
      <c r="AL403" s="21" t="s">
        <v>32</v>
      </c>
      <c r="AM403" s="122" t="s">
        <v>73</v>
      </c>
    </row>
    <row r="404" spans="1:39" customFormat="1" ht="15.75" customHeight="1" x14ac:dyDescent="0.3">
      <c r="A404" t="s">
        <v>73</v>
      </c>
      <c r="B404" s="21" t="s">
        <v>772</v>
      </c>
      <c r="C404" s="21" t="s">
        <v>764</v>
      </c>
      <c r="D404" s="117" t="s">
        <v>832</v>
      </c>
      <c r="E404" s="21" t="s">
        <v>74</v>
      </c>
      <c r="F404" s="21" t="s">
        <v>553</v>
      </c>
      <c r="G404" s="21">
        <v>396.9</v>
      </c>
      <c r="H404" s="21"/>
      <c r="I404" s="117" t="s">
        <v>325</v>
      </c>
      <c r="J404" s="117" t="s">
        <v>325</v>
      </c>
      <c r="K404" s="118"/>
      <c r="L404" s="21"/>
      <c r="M404" s="21"/>
      <c r="N404" s="21"/>
      <c r="O404" s="21"/>
      <c r="P404" s="21">
        <v>396.9</v>
      </c>
      <c r="Q404" s="21"/>
      <c r="R404" s="81" t="s">
        <v>932</v>
      </c>
      <c r="S404" s="119">
        <f>DATABASE_Table[[#This Row],[Inicial Asking Price (€) (Total)]]-DATABASE_Table[[#This Row],[Vista membership]]-DATABASE_Table[[#This Row],[FF&amp;E]]</f>
        <v>945000</v>
      </c>
      <c r="T404" s="120">
        <v>945000</v>
      </c>
      <c r="U404" s="36">
        <v>820000</v>
      </c>
      <c r="V404" s="21"/>
      <c r="W404" s="21"/>
      <c r="X404" s="73">
        <f>DATABASE_Table[[#This Row],[Current Asking price( Total)]]-DATABASE_Table[[#This Row],[Vista membership]]-DATABASE_Table[[#This Row],[FF&amp;E]]</f>
        <v>820000</v>
      </c>
      <c r="Y404" s="37"/>
      <c r="Z404" s="36"/>
      <c r="AA404" s="73">
        <f>DATABASE_Table[[#This Row],[Sell price (Total)]]-DATABASE_Table[[#This Row],[FF&amp;E]]-DATABASE_Table[[#This Row],[Vista membership]]</f>
        <v>0</v>
      </c>
      <c r="AB404" s="74"/>
      <c r="AC404" s="74" t="str">
        <f t="shared" si="6"/>
        <v>TO LAUNCH</v>
      </c>
      <c r="AD404" s="123"/>
      <c r="AE404" s="69" t="s">
        <v>32</v>
      </c>
      <c r="AF404" s="21" t="s">
        <v>57</v>
      </c>
      <c r="AG404" s="21" t="s">
        <v>930</v>
      </c>
      <c r="AH404" s="122" t="s">
        <v>75</v>
      </c>
      <c r="AI404" s="122" t="s">
        <v>554</v>
      </c>
      <c r="AJ404" s="122" t="s">
        <v>76</v>
      </c>
      <c r="AK404" s="122" t="s">
        <v>77</v>
      </c>
      <c r="AL404" s="21" t="s">
        <v>32</v>
      </c>
      <c r="AM404" s="122" t="s">
        <v>73</v>
      </c>
    </row>
    <row r="405" spans="1:39" customFormat="1" ht="15.75" customHeight="1" x14ac:dyDescent="0.3">
      <c r="A405" t="s">
        <v>73</v>
      </c>
      <c r="B405" s="21" t="s">
        <v>772</v>
      </c>
      <c r="C405" s="21" t="s">
        <v>764</v>
      </c>
      <c r="D405" s="117" t="s">
        <v>833</v>
      </c>
      <c r="E405" s="21" t="s">
        <v>74</v>
      </c>
      <c r="F405" s="21" t="s">
        <v>553</v>
      </c>
      <c r="G405" s="21">
        <v>396.9</v>
      </c>
      <c r="H405" s="21"/>
      <c r="I405" s="117" t="s">
        <v>325</v>
      </c>
      <c r="J405" s="117" t="s">
        <v>325</v>
      </c>
      <c r="K405" s="118"/>
      <c r="L405" s="21"/>
      <c r="M405" s="21"/>
      <c r="N405" s="21"/>
      <c r="O405" s="21"/>
      <c r="P405" s="21">
        <v>396.9</v>
      </c>
      <c r="Q405" s="21"/>
      <c r="R405" s="81" t="s">
        <v>932</v>
      </c>
      <c r="S405" s="119">
        <f>DATABASE_Table[[#This Row],[Inicial Asking Price (€) (Total)]]-DATABASE_Table[[#This Row],[Vista membership]]-DATABASE_Table[[#This Row],[FF&amp;E]]</f>
        <v>945000</v>
      </c>
      <c r="T405" s="120">
        <v>945000</v>
      </c>
      <c r="U405" s="36">
        <v>810000</v>
      </c>
      <c r="V405" s="21"/>
      <c r="W405" s="21"/>
      <c r="X405" s="73">
        <f>DATABASE_Table[[#This Row],[Current Asking price( Total)]]-DATABASE_Table[[#This Row],[Vista membership]]-DATABASE_Table[[#This Row],[FF&amp;E]]</f>
        <v>810000</v>
      </c>
      <c r="Y405" s="37"/>
      <c r="Z405" s="36"/>
      <c r="AA405" s="73">
        <f>DATABASE_Table[[#This Row],[Sell price (Total)]]-DATABASE_Table[[#This Row],[FF&amp;E]]-DATABASE_Table[[#This Row],[Vista membership]]</f>
        <v>0</v>
      </c>
      <c r="AB405" s="74"/>
      <c r="AC405" s="74" t="str">
        <f t="shared" si="6"/>
        <v>TO LAUNCH</v>
      </c>
      <c r="AD405" s="123"/>
      <c r="AE405" s="69" t="s">
        <v>32</v>
      </c>
      <c r="AF405" s="21" t="s">
        <v>57</v>
      </c>
      <c r="AG405" s="21" t="s">
        <v>930</v>
      </c>
      <c r="AH405" s="122" t="s">
        <v>75</v>
      </c>
      <c r="AI405" s="122" t="s">
        <v>554</v>
      </c>
      <c r="AJ405" s="122" t="s">
        <v>76</v>
      </c>
      <c r="AK405" s="122" t="s">
        <v>77</v>
      </c>
      <c r="AL405" s="21" t="s">
        <v>32</v>
      </c>
      <c r="AM405" s="122" t="s">
        <v>73</v>
      </c>
    </row>
    <row r="406" spans="1:39" customFormat="1" ht="15.75" customHeight="1" x14ac:dyDescent="0.3">
      <c r="A406" t="s">
        <v>73</v>
      </c>
      <c r="B406" s="21" t="s">
        <v>772</v>
      </c>
      <c r="C406" s="21" t="s">
        <v>764</v>
      </c>
      <c r="D406" s="117" t="s">
        <v>842</v>
      </c>
      <c r="E406" s="21" t="s">
        <v>74</v>
      </c>
      <c r="F406" s="21" t="s">
        <v>553</v>
      </c>
      <c r="G406" s="21">
        <v>396.9</v>
      </c>
      <c r="H406" s="21"/>
      <c r="I406" s="117" t="s">
        <v>325</v>
      </c>
      <c r="J406" s="117" t="s">
        <v>325</v>
      </c>
      <c r="K406" s="118"/>
      <c r="L406" s="21"/>
      <c r="M406" s="21"/>
      <c r="N406" s="21"/>
      <c r="O406" s="21"/>
      <c r="P406" s="21">
        <v>396.9</v>
      </c>
      <c r="Q406" s="21"/>
      <c r="R406" s="81" t="s">
        <v>932</v>
      </c>
      <c r="S406" s="119">
        <f>DATABASE_Table[[#This Row],[Inicial Asking Price (€) (Total)]]-DATABASE_Table[[#This Row],[Vista membership]]-DATABASE_Table[[#This Row],[FF&amp;E]]</f>
        <v>1000000</v>
      </c>
      <c r="T406" s="120">
        <v>1000000</v>
      </c>
      <c r="U406" s="36">
        <v>890000</v>
      </c>
      <c r="V406" s="21"/>
      <c r="W406" s="21"/>
      <c r="X406" s="73">
        <f>DATABASE_Table[[#This Row],[Current Asking price( Total)]]-DATABASE_Table[[#This Row],[Vista membership]]-DATABASE_Table[[#This Row],[FF&amp;E]]</f>
        <v>890000</v>
      </c>
      <c r="Y406" s="37"/>
      <c r="Z406" s="36"/>
      <c r="AA406" s="73">
        <f>DATABASE_Table[[#This Row],[Sell price (Total)]]-DATABASE_Table[[#This Row],[FF&amp;E]]-DATABASE_Table[[#This Row],[Vista membership]]</f>
        <v>0</v>
      </c>
      <c r="AB406" s="74"/>
      <c r="AC406" s="74" t="str">
        <f t="shared" si="6"/>
        <v>TO LAUNCH</v>
      </c>
      <c r="AD406" s="123"/>
      <c r="AE406" s="69" t="s">
        <v>32</v>
      </c>
      <c r="AF406" s="21" t="s">
        <v>57</v>
      </c>
      <c r="AG406" s="21" t="s">
        <v>930</v>
      </c>
      <c r="AH406" s="122" t="s">
        <v>75</v>
      </c>
      <c r="AI406" s="122" t="s">
        <v>554</v>
      </c>
      <c r="AJ406" s="122" t="s">
        <v>76</v>
      </c>
      <c r="AK406" s="122" t="s">
        <v>77</v>
      </c>
      <c r="AL406" s="21" t="s">
        <v>32</v>
      </c>
      <c r="AM406" s="122" t="s">
        <v>73</v>
      </c>
    </row>
    <row r="407" spans="1:39" customFormat="1" ht="15.75" customHeight="1" x14ac:dyDescent="0.3">
      <c r="A407" t="s">
        <v>73</v>
      </c>
      <c r="B407" s="21" t="s">
        <v>772</v>
      </c>
      <c r="C407" s="21" t="s">
        <v>764</v>
      </c>
      <c r="D407" s="117" t="s">
        <v>843</v>
      </c>
      <c r="E407" s="21" t="s">
        <v>74</v>
      </c>
      <c r="F407" s="21" t="s">
        <v>553</v>
      </c>
      <c r="G407" s="21">
        <v>396.9</v>
      </c>
      <c r="H407" s="21"/>
      <c r="I407" s="117" t="s">
        <v>325</v>
      </c>
      <c r="J407" s="117" t="s">
        <v>325</v>
      </c>
      <c r="K407" s="118"/>
      <c r="L407" s="21"/>
      <c r="M407" s="21"/>
      <c r="N407" s="21"/>
      <c r="O407" s="21"/>
      <c r="P407" s="21">
        <v>396.9</v>
      </c>
      <c r="Q407" s="21"/>
      <c r="R407" s="81" t="s">
        <v>932</v>
      </c>
      <c r="S407" s="119">
        <f>DATABASE_Table[[#This Row],[Inicial Asking Price (€) (Total)]]-DATABASE_Table[[#This Row],[Vista membership]]-DATABASE_Table[[#This Row],[FF&amp;E]]</f>
        <v>1000000</v>
      </c>
      <c r="T407" s="120">
        <v>1000000</v>
      </c>
      <c r="U407" s="36">
        <v>850000</v>
      </c>
      <c r="V407" s="21"/>
      <c r="W407" s="21"/>
      <c r="X407" s="73">
        <f>DATABASE_Table[[#This Row],[Current Asking price( Total)]]-DATABASE_Table[[#This Row],[Vista membership]]-DATABASE_Table[[#This Row],[FF&amp;E]]</f>
        <v>850000</v>
      </c>
      <c r="Y407" s="37"/>
      <c r="Z407" s="36"/>
      <c r="AA407" s="73">
        <f>DATABASE_Table[[#This Row],[Sell price (Total)]]-DATABASE_Table[[#This Row],[FF&amp;E]]-DATABASE_Table[[#This Row],[Vista membership]]</f>
        <v>0</v>
      </c>
      <c r="AB407" s="74"/>
      <c r="AC407" s="74" t="str">
        <f t="shared" si="6"/>
        <v>TO LAUNCH</v>
      </c>
      <c r="AD407" s="123"/>
      <c r="AE407" s="69" t="s">
        <v>32</v>
      </c>
      <c r="AF407" s="21" t="s">
        <v>57</v>
      </c>
      <c r="AG407" s="21" t="s">
        <v>930</v>
      </c>
      <c r="AH407" s="122" t="s">
        <v>75</v>
      </c>
      <c r="AI407" s="122" t="s">
        <v>554</v>
      </c>
      <c r="AJ407" s="122" t="s">
        <v>76</v>
      </c>
      <c r="AK407" s="122" t="s">
        <v>77</v>
      </c>
      <c r="AL407" s="21" t="s">
        <v>32</v>
      </c>
      <c r="AM407" s="122" t="s">
        <v>73</v>
      </c>
    </row>
    <row r="408" spans="1:39" customFormat="1" ht="15.75" customHeight="1" x14ac:dyDescent="0.3">
      <c r="A408" t="s">
        <v>73</v>
      </c>
      <c r="B408" s="21" t="s">
        <v>772</v>
      </c>
      <c r="C408" s="21" t="s">
        <v>764</v>
      </c>
      <c r="D408" s="117" t="s">
        <v>844</v>
      </c>
      <c r="E408" s="21" t="s">
        <v>74</v>
      </c>
      <c r="F408" s="21" t="s">
        <v>553</v>
      </c>
      <c r="G408" s="21">
        <v>373.55</v>
      </c>
      <c r="H408" s="21"/>
      <c r="I408" s="117" t="s">
        <v>325</v>
      </c>
      <c r="J408" s="117" t="s">
        <v>325</v>
      </c>
      <c r="K408" s="118"/>
      <c r="L408" s="21"/>
      <c r="M408" s="21"/>
      <c r="N408" s="21"/>
      <c r="O408" s="21"/>
      <c r="P408" s="21">
        <v>373.55</v>
      </c>
      <c r="Q408" s="21"/>
      <c r="R408" s="81" t="s">
        <v>932</v>
      </c>
      <c r="S408" s="119">
        <f>DATABASE_Table[[#This Row],[Inicial Asking Price (€) (Total)]]-DATABASE_Table[[#This Row],[Vista membership]]-DATABASE_Table[[#This Row],[FF&amp;E]]</f>
        <v>1000000</v>
      </c>
      <c r="T408" s="120">
        <v>1000000</v>
      </c>
      <c r="U408" s="36">
        <v>800000</v>
      </c>
      <c r="V408" s="21"/>
      <c r="W408" s="21"/>
      <c r="X408" s="73">
        <f>DATABASE_Table[[#This Row],[Current Asking price( Total)]]-DATABASE_Table[[#This Row],[Vista membership]]-DATABASE_Table[[#This Row],[FF&amp;E]]</f>
        <v>800000</v>
      </c>
      <c r="Y408" s="37"/>
      <c r="Z408" s="36"/>
      <c r="AA408" s="73">
        <f>DATABASE_Table[[#This Row],[Sell price (Total)]]-DATABASE_Table[[#This Row],[FF&amp;E]]-DATABASE_Table[[#This Row],[Vista membership]]</f>
        <v>0</v>
      </c>
      <c r="AB408" s="74"/>
      <c r="AC408" s="74" t="str">
        <f t="shared" si="6"/>
        <v>TO LAUNCH</v>
      </c>
      <c r="AD408" s="123"/>
      <c r="AE408" s="69" t="s">
        <v>32</v>
      </c>
      <c r="AF408" s="21" t="s">
        <v>57</v>
      </c>
      <c r="AG408" s="21" t="s">
        <v>930</v>
      </c>
      <c r="AH408" s="122" t="s">
        <v>75</v>
      </c>
      <c r="AI408" s="122" t="s">
        <v>554</v>
      </c>
      <c r="AJ408" s="122" t="s">
        <v>76</v>
      </c>
      <c r="AK408" s="122" t="s">
        <v>77</v>
      </c>
      <c r="AL408" s="21" t="s">
        <v>32</v>
      </c>
      <c r="AM408" s="122" t="s">
        <v>73</v>
      </c>
    </row>
    <row r="409" spans="1:39" customFormat="1" ht="15.75" customHeight="1" x14ac:dyDescent="0.3">
      <c r="A409" t="s">
        <v>73</v>
      </c>
      <c r="B409" s="21" t="s">
        <v>772</v>
      </c>
      <c r="C409" s="21" t="s">
        <v>764</v>
      </c>
      <c r="D409" s="117" t="s">
        <v>845</v>
      </c>
      <c r="E409" s="21" t="s">
        <v>74</v>
      </c>
      <c r="F409" s="21" t="s">
        <v>553</v>
      </c>
      <c r="G409" s="21">
        <v>373.55</v>
      </c>
      <c r="H409" s="21"/>
      <c r="I409" s="117" t="s">
        <v>325</v>
      </c>
      <c r="J409" s="117" t="s">
        <v>325</v>
      </c>
      <c r="K409" s="118"/>
      <c r="L409" s="21"/>
      <c r="M409" s="21"/>
      <c r="N409" s="21"/>
      <c r="O409" s="21"/>
      <c r="P409" s="21">
        <v>373.55</v>
      </c>
      <c r="Q409" s="21"/>
      <c r="R409" s="81" t="s">
        <v>932</v>
      </c>
      <c r="S409" s="119">
        <f>DATABASE_Table[[#This Row],[Inicial Asking Price (€) (Total)]]-DATABASE_Table[[#This Row],[Vista membership]]-DATABASE_Table[[#This Row],[FF&amp;E]]</f>
        <v>1000000</v>
      </c>
      <c r="T409" s="120">
        <v>1000000</v>
      </c>
      <c r="U409" s="36">
        <v>800000</v>
      </c>
      <c r="V409" s="21"/>
      <c r="W409" s="21"/>
      <c r="X409" s="73">
        <f>DATABASE_Table[[#This Row],[Current Asking price( Total)]]-DATABASE_Table[[#This Row],[Vista membership]]-DATABASE_Table[[#This Row],[FF&amp;E]]</f>
        <v>800000</v>
      </c>
      <c r="Y409" s="37"/>
      <c r="Z409" s="36"/>
      <c r="AA409" s="73">
        <f>DATABASE_Table[[#This Row],[Sell price (Total)]]-DATABASE_Table[[#This Row],[FF&amp;E]]-DATABASE_Table[[#This Row],[Vista membership]]</f>
        <v>0</v>
      </c>
      <c r="AB409" s="74"/>
      <c r="AC409" s="74" t="str">
        <f t="shared" si="6"/>
        <v>TO LAUNCH</v>
      </c>
      <c r="AD409" s="123"/>
      <c r="AE409" s="69" t="s">
        <v>32</v>
      </c>
      <c r="AF409" s="21" t="s">
        <v>57</v>
      </c>
      <c r="AG409" s="21" t="s">
        <v>930</v>
      </c>
      <c r="AH409" s="122" t="s">
        <v>75</v>
      </c>
      <c r="AI409" s="122" t="s">
        <v>554</v>
      </c>
      <c r="AJ409" s="122" t="s">
        <v>76</v>
      </c>
      <c r="AK409" s="122" t="s">
        <v>77</v>
      </c>
      <c r="AL409" s="21" t="s">
        <v>32</v>
      </c>
      <c r="AM409" s="122" t="s">
        <v>73</v>
      </c>
    </row>
    <row r="410" spans="1:39" customFormat="1" ht="15.75" customHeight="1" x14ac:dyDescent="0.3">
      <c r="A410" t="s">
        <v>73</v>
      </c>
      <c r="B410" s="21" t="s">
        <v>772</v>
      </c>
      <c r="C410" s="21" t="s">
        <v>764</v>
      </c>
      <c r="D410" s="117" t="s">
        <v>846</v>
      </c>
      <c r="E410" s="21" t="s">
        <v>74</v>
      </c>
      <c r="F410" s="21" t="s">
        <v>553</v>
      </c>
      <c r="G410" s="21">
        <v>373.55</v>
      </c>
      <c r="H410" s="21"/>
      <c r="I410" s="117" t="s">
        <v>325</v>
      </c>
      <c r="J410" s="117" t="s">
        <v>325</v>
      </c>
      <c r="K410" s="118"/>
      <c r="L410" s="21"/>
      <c r="M410" s="21"/>
      <c r="N410" s="21"/>
      <c r="O410" s="21"/>
      <c r="P410" s="21">
        <v>373.55</v>
      </c>
      <c r="Q410" s="21"/>
      <c r="R410" s="81" t="s">
        <v>932</v>
      </c>
      <c r="S410" s="119">
        <f>DATABASE_Table[[#This Row],[Inicial Asking Price (€) (Total)]]-DATABASE_Table[[#This Row],[Vista membership]]-DATABASE_Table[[#This Row],[FF&amp;E]]</f>
        <v>1000000</v>
      </c>
      <c r="T410" s="120">
        <v>1000000</v>
      </c>
      <c r="U410" s="36">
        <v>800000</v>
      </c>
      <c r="V410" s="21"/>
      <c r="W410" s="21"/>
      <c r="X410" s="73">
        <f>DATABASE_Table[[#This Row],[Current Asking price( Total)]]-DATABASE_Table[[#This Row],[Vista membership]]-DATABASE_Table[[#This Row],[FF&amp;E]]</f>
        <v>800000</v>
      </c>
      <c r="Y410" s="37"/>
      <c r="Z410" s="36"/>
      <c r="AA410" s="73">
        <f>DATABASE_Table[[#This Row],[Sell price (Total)]]-DATABASE_Table[[#This Row],[FF&amp;E]]-DATABASE_Table[[#This Row],[Vista membership]]</f>
        <v>0</v>
      </c>
      <c r="AB410" s="74"/>
      <c r="AC410" s="74" t="str">
        <f t="shared" si="6"/>
        <v>TO LAUNCH</v>
      </c>
      <c r="AD410" s="123"/>
      <c r="AE410" s="69" t="s">
        <v>32</v>
      </c>
      <c r="AF410" s="21" t="s">
        <v>57</v>
      </c>
      <c r="AG410" s="21" t="s">
        <v>930</v>
      </c>
      <c r="AH410" s="122" t="s">
        <v>75</v>
      </c>
      <c r="AI410" s="122" t="s">
        <v>554</v>
      </c>
      <c r="AJ410" s="122" t="s">
        <v>76</v>
      </c>
      <c r="AK410" s="122" t="s">
        <v>77</v>
      </c>
      <c r="AL410" s="21" t="s">
        <v>32</v>
      </c>
      <c r="AM410" s="122" t="s">
        <v>73</v>
      </c>
    </row>
    <row r="411" spans="1:39" customFormat="1" ht="15.75" customHeight="1" x14ac:dyDescent="0.3">
      <c r="A411" t="s">
        <v>73</v>
      </c>
      <c r="B411" s="21" t="s">
        <v>772</v>
      </c>
      <c r="C411" s="21" t="s">
        <v>764</v>
      </c>
      <c r="D411" s="117" t="s">
        <v>847</v>
      </c>
      <c r="E411" s="21" t="s">
        <v>74</v>
      </c>
      <c r="F411" s="21" t="s">
        <v>553</v>
      </c>
      <c r="G411" s="21">
        <v>373.55</v>
      </c>
      <c r="H411" s="21"/>
      <c r="I411" s="117" t="s">
        <v>325</v>
      </c>
      <c r="J411" s="117" t="s">
        <v>325</v>
      </c>
      <c r="K411" s="118"/>
      <c r="L411" s="21"/>
      <c r="M411" s="21"/>
      <c r="N411" s="21"/>
      <c r="O411" s="21"/>
      <c r="P411" s="21">
        <v>373.55</v>
      </c>
      <c r="Q411" s="21"/>
      <c r="R411" s="81" t="s">
        <v>932</v>
      </c>
      <c r="S411" s="119">
        <f>DATABASE_Table[[#This Row],[Inicial Asking Price (€) (Total)]]-DATABASE_Table[[#This Row],[Vista membership]]-DATABASE_Table[[#This Row],[FF&amp;E]]</f>
        <v>1000000</v>
      </c>
      <c r="T411" s="120">
        <v>1000000</v>
      </c>
      <c r="U411" s="36">
        <v>810000</v>
      </c>
      <c r="V411" s="21"/>
      <c r="W411" s="21"/>
      <c r="X411" s="73">
        <f>DATABASE_Table[[#This Row],[Current Asking price( Total)]]-DATABASE_Table[[#This Row],[Vista membership]]-DATABASE_Table[[#This Row],[FF&amp;E]]</f>
        <v>810000</v>
      </c>
      <c r="Y411" s="37"/>
      <c r="Z411" s="36"/>
      <c r="AA411" s="73">
        <f>DATABASE_Table[[#This Row],[Sell price (Total)]]-DATABASE_Table[[#This Row],[FF&amp;E]]-DATABASE_Table[[#This Row],[Vista membership]]</f>
        <v>0</v>
      </c>
      <c r="AB411" s="74"/>
      <c r="AC411" s="74" t="str">
        <f t="shared" si="6"/>
        <v>TO LAUNCH</v>
      </c>
      <c r="AD411" s="123"/>
      <c r="AE411" s="69" t="s">
        <v>32</v>
      </c>
      <c r="AF411" s="21" t="s">
        <v>57</v>
      </c>
      <c r="AG411" s="21" t="s">
        <v>930</v>
      </c>
      <c r="AH411" s="122" t="s">
        <v>75</v>
      </c>
      <c r="AI411" s="122" t="s">
        <v>554</v>
      </c>
      <c r="AJ411" s="122" t="s">
        <v>76</v>
      </c>
      <c r="AK411" s="122" t="s">
        <v>77</v>
      </c>
      <c r="AL411" s="21" t="s">
        <v>32</v>
      </c>
      <c r="AM411" s="122" t="s">
        <v>73</v>
      </c>
    </row>
    <row r="412" spans="1:39" customFormat="1" ht="15.75" customHeight="1" x14ac:dyDescent="0.3">
      <c r="A412" t="s">
        <v>73</v>
      </c>
      <c r="B412" s="21" t="s">
        <v>772</v>
      </c>
      <c r="C412" s="21" t="s">
        <v>764</v>
      </c>
      <c r="D412" s="117" t="s">
        <v>848</v>
      </c>
      <c r="E412" s="21" t="s">
        <v>74</v>
      </c>
      <c r="F412" s="21" t="s">
        <v>553</v>
      </c>
      <c r="G412" s="21">
        <v>373.55</v>
      </c>
      <c r="H412" s="21"/>
      <c r="I412" s="117" t="s">
        <v>325</v>
      </c>
      <c r="J412" s="117" t="s">
        <v>325</v>
      </c>
      <c r="K412" s="118"/>
      <c r="L412" s="21"/>
      <c r="M412" s="21"/>
      <c r="N412" s="21"/>
      <c r="O412" s="21"/>
      <c r="P412" s="21">
        <v>373.55</v>
      </c>
      <c r="Q412" s="21"/>
      <c r="R412" s="81" t="s">
        <v>932</v>
      </c>
      <c r="S412" s="119">
        <f>DATABASE_Table[[#This Row],[Inicial Asking Price (€) (Total)]]-DATABASE_Table[[#This Row],[Vista membership]]-DATABASE_Table[[#This Row],[FF&amp;E]]</f>
        <v>1000000</v>
      </c>
      <c r="T412" s="120">
        <v>1000000</v>
      </c>
      <c r="U412" s="36">
        <v>790000</v>
      </c>
      <c r="V412" s="21"/>
      <c r="W412" s="21"/>
      <c r="X412" s="73">
        <f>DATABASE_Table[[#This Row],[Current Asking price( Total)]]-DATABASE_Table[[#This Row],[Vista membership]]-DATABASE_Table[[#This Row],[FF&amp;E]]</f>
        <v>790000</v>
      </c>
      <c r="Y412" s="37"/>
      <c r="Z412" s="36"/>
      <c r="AA412" s="73">
        <f>DATABASE_Table[[#This Row],[Sell price (Total)]]-DATABASE_Table[[#This Row],[FF&amp;E]]-DATABASE_Table[[#This Row],[Vista membership]]</f>
        <v>0</v>
      </c>
      <c r="AB412" s="74"/>
      <c r="AC412" s="74" t="str">
        <f t="shared" si="6"/>
        <v>TO LAUNCH</v>
      </c>
      <c r="AD412" s="123"/>
      <c r="AE412" s="69" t="s">
        <v>32</v>
      </c>
      <c r="AF412" s="21" t="s">
        <v>57</v>
      </c>
      <c r="AG412" s="21" t="s">
        <v>930</v>
      </c>
      <c r="AH412" s="122" t="s">
        <v>75</v>
      </c>
      <c r="AI412" s="122" t="s">
        <v>554</v>
      </c>
      <c r="AJ412" s="122" t="s">
        <v>76</v>
      </c>
      <c r="AK412" s="122" t="s">
        <v>77</v>
      </c>
      <c r="AL412" s="21" t="s">
        <v>32</v>
      </c>
      <c r="AM412" s="122" t="s">
        <v>73</v>
      </c>
    </row>
    <row r="413" spans="1:39" customFormat="1" ht="15.75" customHeight="1" x14ac:dyDescent="0.3">
      <c r="A413" t="s">
        <v>73</v>
      </c>
      <c r="B413" s="21" t="s">
        <v>772</v>
      </c>
      <c r="C413" s="21" t="s">
        <v>764</v>
      </c>
      <c r="D413" s="117" t="s">
        <v>849</v>
      </c>
      <c r="E413" s="21" t="s">
        <v>74</v>
      </c>
      <c r="F413" s="21" t="s">
        <v>553</v>
      </c>
      <c r="G413" s="21">
        <v>373.55</v>
      </c>
      <c r="H413" s="21"/>
      <c r="I413" s="117" t="s">
        <v>325</v>
      </c>
      <c r="J413" s="117" t="s">
        <v>325</v>
      </c>
      <c r="K413" s="118"/>
      <c r="L413" s="21"/>
      <c r="M413" s="21"/>
      <c r="N413" s="21"/>
      <c r="O413" s="21"/>
      <c r="P413" s="21">
        <v>373.55</v>
      </c>
      <c r="Q413" s="21"/>
      <c r="R413" s="81" t="s">
        <v>932</v>
      </c>
      <c r="S413" s="119">
        <f>DATABASE_Table[[#This Row],[Inicial Asking Price (€) (Total)]]-DATABASE_Table[[#This Row],[Vista membership]]-DATABASE_Table[[#This Row],[FF&amp;E]]</f>
        <v>1000000</v>
      </c>
      <c r="T413" s="120">
        <v>1000000</v>
      </c>
      <c r="U413" s="36">
        <v>770000</v>
      </c>
      <c r="V413" s="21"/>
      <c r="W413" s="21"/>
      <c r="X413" s="73">
        <f>DATABASE_Table[[#This Row],[Current Asking price( Total)]]-DATABASE_Table[[#This Row],[Vista membership]]-DATABASE_Table[[#This Row],[FF&amp;E]]</f>
        <v>770000</v>
      </c>
      <c r="Y413" s="37"/>
      <c r="Z413" s="36"/>
      <c r="AA413" s="73">
        <f>DATABASE_Table[[#This Row],[Sell price (Total)]]-DATABASE_Table[[#This Row],[FF&amp;E]]-DATABASE_Table[[#This Row],[Vista membership]]</f>
        <v>0</v>
      </c>
      <c r="AB413" s="74"/>
      <c r="AC413" s="74" t="str">
        <f t="shared" si="6"/>
        <v>TO LAUNCH</v>
      </c>
      <c r="AD413" s="123"/>
      <c r="AE413" s="69" t="s">
        <v>32</v>
      </c>
      <c r="AF413" s="21" t="s">
        <v>57</v>
      </c>
      <c r="AG413" s="21" t="s">
        <v>930</v>
      </c>
      <c r="AH413" s="122" t="s">
        <v>75</v>
      </c>
      <c r="AI413" s="122" t="s">
        <v>554</v>
      </c>
      <c r="AJ413" s="122" t="s">
        <v>76</v>
      </c>
      <c r="AK413" s="122" t="s">
        <v>77</v>
      </c>
      <c r="AL413" s="21" t="s">
        <v>32</v>
      </c>
      <c r="AM413" s="122" t="s">
        <v>73</v>
      </c>
    </row>
    <row r="414" spans="1:39" customFormat="1" ht="15.75" customHeight="1" x14ac:dyDescent="0.3">
      <c r="A414" t="s">
        <v>73</v>
      </c>
      <c r="B414" s="21" t="s">
        <v>772</v>
      </c>
      <c r="C414" s="21" t="s">
        <v>764</v>
      </c>
      <c r="D414" s="117" t="s">
        <v>850</v>
      </c>
      <c r="E414" s="21" t="s">
        <v>74</v>
      </c>
      <c r="F414" s="21" t="s">
        <v>553</v>
      </c>
      <c r="G414" s="21">
        <v>373.55</v>
      </c>
      <c r="H414" s="21"/>
      <c r="I414" s="117" t="s">
        <v>325</v>
      </c>
      <c r="J414" s="117" t="s">
        <v>325</v>
      </c>
      <c r="K414" s="118"/>
      <c r="L414" s="21"/>
      <c r="M414" s="21"/>
      <c r="N414" s="21"/>
      <c r="O414" s="21"/>
      <c r="P414" s="21">
        <v>373.55</v>
      </c>
      <c r="Q414" s="21"/>
      <c r="R414" s="81" t="s">
        <v>932</v>
      </c>
      <c r="S414" s="119">
        <f>DATABASE_Table[[#This Row],[Inicial Asking Price (€) (Total)]]-DATABASE_Table[[#This Row],[Vista membership]]-DATABASE_Table[[#This Row],[FF&amp;E]]</f>
        <v>1000000</v>
      </c>
      <c r="T414" s="120">
        <v>1000000</v>
      </c>
      <c r="U414" s="36">
        <v>780000</v>
      </c>
      <c r="V414" s="21"/>
      <c r="W414" s="21"/>
      <c r="X414" s="73">
        <f>DATABASE_Table[[#This Row],[Current Asking price( Total)]]-DATABASE_Table[[#This Row],[Vista membership]]-DATABASE_Table[[#This Row],[FF&amp;E]]</f>
        <v>780000</v>
      </c>
      <c r="Y414" s="37"/>
      <c r="Z414" s="36"/>
      <c r="AA414" s="73">
        <f>DATABASE_Table[[#This Row],[Sell price (Total)]]-DATABASE_Table[[#This Row],[FF&amp;E]]-DATABASE_Table[[#This Row],[Vista membership]]</f>
        <v>0</v>
      </c>
      <c r="AB414" s="74"/>
      <c r="AC414" s="74" t="str">
        <f t="shared" si="6"/>
        <v>TO LAUNCH</v>
      </c>
      <c r="AD414" s="123"/>
      <c r="AE414" s="69" t="s">
        <v>32</v>
      </c>
      <c r="AF414" s="21" t="s">
        <v>57</v>
      </c>
      <c r="AG414" s="21" t="s">
        <v>930</v>
      </c>
      <c r="AH414" s="122" t="s">
        <v>75</v>
      </c>
      <c r="AI414" s="122" t="s">
        <v>554</v>
      </c>
      <c r="AJ414" s="122" t="s">
        <v>76</v>
      </c>
      <c r="AK414" s="122" t="s">
        <v>77</v>
      </c>
      <c r="AL414" s="21" t="s">
        <v>32</v>
      </c>
      <c r="AM414" s="122" t="s">
        <v>73</v>
      </c>
    </row>
    <row r="415" spans="1:39" customFormat="1" ht="15.75" customHeight="1" x14ac:dyDescent="0.3">
      <c r="A415" t="s">
        <v>73</v>
      </c>
      <c r="B415" s="21" t="s">
        <v>772</v>
      </c>
      <c r="C415" s="21" t="s">
        <v>764</v>
      </c>
      <c r="D415" s="117" t="s">
        <v>851</v>
      </c>
      <c r="E415" s="21" t="s">
        <v>74</v>
      </c>
      <c r="F415" s="21" t="s">
        <v>553</v>
      </c>
      <c r="G415" s="21">
        <v>373.55</v>
      </c>
      <c r="H415" s="21"/>
      <c r="I415" s="117" t="s">
        <v>325</v>
      </c>
      <c r="J415" s="117" t="s">
        <v>325</v>
      </c>
      <c r="K415" s="118"/>
      <c r="L415" s="21"/>
      <c r="M415" s="21"/>
      <c r="N415" s="21"/>
      <c r="O415" s="21"/>
      <c r="P415" s="21">
        <v>373.55</v>
      </c>
      <c r="Q415" s="21"/>
      <c r="R415" s="81" t="s">
        <v>932</v>
      </c>
      <c r="S415" s="119">
        <f>DATABASE_Table[[#This Row],[Inicial Asking Price (€) (Total)]]-DATABASE_Table[[#This Row],[Vista membership]]-DATABASE_Table[[#This Row],[FF&amp;E]]</f>
        <v>1000000</v>
      </c>
      <c r="T415" s="120">
        <v>1000000</v>
      </c>
      <c r="U415" s="36">
        <v>770000</v>
      </c>
      <c r="V415" s="21"/>
      <c r="W415" s="21"/>
      <c r="X415" s="73">
        <f>DATABASE_Table[[#This Row],[Current Asking price( Total)]]-DATABASE_Table[[#This Row],[Vista membership]]-DATABASE_Table[[#This Row],[FF&amp;E]]</f>
        <v>770000</v>
      </c>
      <c r="Y415" s="37"/>
      <c r="Z415" s="36"/>
      <c r="AA415" s="73">
        <f>DATABASE_Table[[#This Row],[Sell price (Total)]]-DATABASE_Table[[#This Row],[FF&amp;E]]-DATABASE_Table[[#This Row],[Vista membership]]</f>
        <v>0</v>
      </c>
      <c r="AB415" s="74"/>
      <c r="AC415" s="74" t="str">
        <f t="shared" si="6"/>
        <v>TO LAUNCH</v>
      </c>
      <c r="AD415" s="123"/>
      <c r="AE415" s="69" t="s">
        <v>32</v>
      </c>
      <c r="AF415" s="21" t="s">
        <v>57</v>
      </c>
      <c r="AG415" s="21" t="s">
        <v>930</v>
      </c>
      <c r="AH415" s="122" t="s">
        <v>75</v>
      </c>
      <c r="AI415" s="122" t="s">
        <v>554</v>
      </c>
      <c r="AJ415" s="122" t="s">
        <v>76</v>
      </c>
      <c r="AK415" s="122" t="s">
        <v>77</v>
      </c>
      <c r="AL415" s="21" t="s">
        <v>32</v>
      </c>
      <c r="AM415" s="122" t="s">
        <v>73</v>
      </c>
    </row>
    <row r="416" spans="1:39" customFormat="1" ht="15.75" customHeight="1" x14ac:dyDescent="0.3">
      <c r="A416" t="s">
        <v>73</v>
      </c>
      <c r="B416" s="21" t="s">
        <v>772</v>
      </c>
      <c r="C416" s="21" t="s">
        <v>764</v>
      </c>
      <c r="D416" s="117" t="s">
        <v>829</v>
      </c>
      <c r="E416" s="21" t="s">
        <v>74</v>
      </c>
      <c r="F416" s="21" t="s">
        <v>553</v>
      </c>
      <c r="G416" s="21">
        <v>373.55</v>
      </c>
      <c r="H416" s="21"/>
      <c r="I416" s="117" t="s">
        <v>325</v>
      </c>
      <c r="J416" s="117" t="s">
        <v>325</v>
      </c>
      <c r="K416" s="118"/>
      <c r="L416" s="21"/>
      <c r="M416" s="21"/>
      <c r="N416" s="21"/>
      <c r="O416" s="21"/>
      <c r="P416" s="21">
        <v>373.55</v>
      </c>
      <c r="Q416" s="21"/>
      <c r="R416" s="81" t="s">
        <v>932</v>
      </c>
      <c r="S416" s="119">
        <f>DATABASE_Table[[#This Row],[Inicial Asking Price (€) (Total)]]-DATABASE_Table[[#This Row],[Vista membership]]-DATABASE_Table[[#This Row],[FF&amp;E]]</f>
        <v>1000000</v>
      </c>
      <c r="T416" s="120">
        <v>1000000</v>
      </c>
      <c r="U416" s="36">
        <v>710000</v>
      </c>
      <c r="V416" s="21"/>
      <c r="W416" s="21"/>
      <c r="X416" s="73">
        <f>DATABASE_Table[[#This Row],[Current Asking price( Total)]]-DATABASE_Table[[#This Row],[Vista membership]]-DATABASE_Table[[#This Row],[FF&amp;E]]</f>
        <v>710000</v>
      </c>
      <c r="Y416" s="37"/>
      <c r="Z416" s="36"/>
      <c r="AA416" s="73">
        <f>DATABASE_Table[[#This Row],[Sell price (Total)]]-DATABASE_Table[[#This Row],[FF&amp;E]]-DATABASE_Table[[#This Row],[Vista membership]]</f>
        <v>0</v>
      </c>
      <c r="AB416" s="74"/>
      <c r="AC416" s="74" t="str">
        <f t="shared" si="6"/>
        <v>TO LAUNCH</v>
      </c>
      <c r="AD416" s="123"/>
      <c r="AE416" s="69" t="s">
        <v>32</v>
      </c>
      <c r="AF416" s="21" t="s">
        <v>57</v>
      </c>
      <c r="AG416" s="21" t="s">
        <v>930</v>
      </c>
      <c r="AH416" s="122" t="s">
        <v>75</v>
      </c>
      <c r="AI416" s="122" t="s">
        <v>554</v>
      </c>
      <c r="AJ416" s="122" t="s">
        <v>76</v>
      </c>
      <c r="AK416" s="122" t="s">
        <v>77</v>
      </c>
      <c r="AL416" s="21" t="s">
        <v>32</v>
      </c>
      <c r="AM416" s="122" t="s">
        <v>73</v>
      </c>
    </row>
    <row r="417" spans="1:39" customFormat="1" ht="15.75" customHeight="1" x14ac:dyDescent="0.3">
      <c r="A417" t="s">
        <v>73</v>
      </c>
      <c r="B417" s="21" t="s">
        <v>772</v>
      </c>
      <c r="C417" s="21" t="s">
        <v>764</v>
      </c>
      <c r="D417" s="117" t="s">
        <v>834</v>
      </c>
      <c r="E417" s="21" t="s">
        <v>74</v>
      </c>
      <c r="F417" s="21" t="s">
        <v>553</v>
      </c>
      <c r="G417" s="21">
        <v>396.9</v>
      </c>
      <c r="H417" s="21"/>
      <c r="I417" s="117" t="s">
        <v>325</v>
      </c>
      <c r="J417" s="117" t="s">
        <v>325</v>
      </c>
      <c r="K417" s="118"/>
      <c r="L417" s="21"/>
      <c r="M417" s="21"/>
      <c r="N417" s="21"/>
      <c r="O417" s="21"/>
      <c r="P417" s="21">
        <v>396.9</v>
      </c>
      <c r="Q417" s="21"/>
      <c r="R417" s="81" t="s">
        <v>932</v>
      </c>
      <c r="S417" s="119">
        <f>DATABASE_Table[[#This Row],[Inicial Asking Price (€) (Total)]]-DATABASE_Table[[#This Row],[Vista membership]]-DATABASE_Table[[#This Row],[FF&amp;E]]</f>
        <v>1000000</v>
      </c>
      <c r="T417" s="120">
        <v>1000000</v>
      </c>
      <c r="U417" s="36">
        <v>820000</v>
      </c>
      <c r="V417" s="21"/>
      <c r="W417" s="21"/>
      <c r="X417" s="73">
        <f>DATABASE_Table[[#This Row],[Current Asking price( Total)]]-DATABASE_Table[[#This Row],[Vista membership]]-DATABASE_Table[[#This Row],[FF&amp;E]]</f>
        <v>820000</v>
      </c>
      <c r="Y417" s="37"/>
      <c r="Z417" s="36"/>
      <c r="AA417" s="73">
        <f>DATABASE_Table[[#This Row],[Sell price (Total)]]-DATABASE_Table[[#This Row],[FF&amp;E]]-DATABASE_Table[[#This Row],[Vista membership]]</f>
        <v>0</v>
      </c>
      <c r="AB417" s="74"/>
      <c r="AC417" s="74" t="str">
        <f t="shared" si="6"/>
        <v>TO LAUNCH</v>
      </c>
      <c r="AD417" s="123"/>
      <c r="AE417" s="69" t="s">
        <v>32</v>
      </c>
      <c r="AF417" s="21" t="s">
        <v>57</v>
      </c>
      <c r="AG417" s="21" t="s">
        <v>930</v>
      </c>
      <c r="AH417" s="122" t="s">
        <v>75</v>
      </c>
      <c r="AI417" s="122" t="s">
        <v>554</v>
      </c>
      <c r="AJ417" s="122" t="s">
        <v>76</v>
      </c>
      <c r="AK417" s="122" t="s">
        <v>77</v>
      </c>
      <c r="AL417" s="21" t="s">
        <v>32</v>
      </c>
      <c r="AM417" s="122" t="s">
        <v>73</v>
      </c>
    </row>
    <row r="418" spans="1:39" customFormat="1" ht="15.75" customHeight="1" x14ac:dyDescent="0.3">
      <c r="A418" t="s">
        <v>73</v>
      </c>
      <c r="B418" s="21" t="s">
        <v>772</v>
      </c>
      <c r="C418" s="21" t="s">
        <v>764</v>
      </c>
      <c r="D418" s="117" t="s">
        <v>835</v>
      </c>
      <c r="E418" s="21" t="s">
        <v>74</v>
      </c>
      <c r="F418" s="21" t="s">
        <v>553</v>
      </c>
      <c r="G418" s="21">
        <v>396.9</v>
      </c>
      <c r="H418" s="21"/>
      <c r="I418" s="117" t="s">
        <v>325</v>
      </c>
      <c r="J418" s="117" t="s">
        <v>325</v>
      </c>
      <c r="K418" s="118"/>
      <c r="L418" s="21"/>
      <c r="M418" s="21"/>
      <c r="N418" s="21"/>
      <c r="O418" s="21"/>
      <c r="P418" s="21">
        <v>396.9</v>
      </c>
      <c r="Q418" s="21"/>
      <c r="R418" s="81" t="s">
        <v>932</v>
      </c>
      <c r="S418" s="119">
        <f>DATABASE_Table[[#This Row],[Inicial Asking Price (€) (Total)]]-DATABASE_Table[[#This Row],[Vista membership]]-DATABASE_Table[[#This Row],[FF&amp;E]]</f>
        <v>1000000</v>
      </c>
      <c r="T418" s="120">
        <v>1000000</v>
      </c>
      <c r="U418" s="36">
        <v>840000</v>
      </c>
      <c r="V418" s="21"/>
      <c r="W418" s="21"/>
      <c r="X418" s="73">
        <f>DATABASE_Table[[#This Row],[Current Asking price( Total)]]-DATABASE_Table[[#This Row],[Vista membership]]-DATABASE_Table[[#This Row],[FF&amp;E]]</f>
        <v>840000</v>
      </c>
      <c r="Y418" s="37"/>
      <c r="Z418" s="36"/>
      <c r="AA418" s="73">
        <f>DATABASE_Table[[#This Row],[Sell price (Total)]]-DATABASE_Table[[#This Row],[FF&amp;E]]-DATABASE_Table[[#This Row],[Vista membership]]</f>
        <v>0</v>
      </c>
      <c r="AB418" s="74"/>
      <c r="AC418" s="74" t="str">
        <f t="shared" si="6"/>
        <v>TO LAUNCH</v>
      </c>
      <c r="AD418" s="123"/>
      <c r="AE418" s="69" t="s">
        <v>32</v>
      </c>
      <c r="AF418" s="21" t="s">
        <v>57</v>
      </c>
      <c r="AG418" s="21" t="s">
        <v>930</v>
      </c>
      <c r="AH418" s="122" t="s">
        <v>75</v>
      </c>
      <c r="AI418" s="122" t="s">
        <v>554</v>
      </c>
      <c r="AJ418" s="122" t="s">
        <v>76</v>
      </c>
      <c r="AK418" s="122" t="s">
        <v>77</v>
      </c>
      <c r="AL418" s="21" t="s">
        <v>32</v>
      </c>
      <c r="AM418" s="122" t="s">
        <v>73</v>
      </c>
    </row>
    <row r="419" spans="1:39" customFormat="1" ht="15.75" customHeight="1" x14ac:dyDescent="0.3">
      <c r="A419" t="s">
        <v>73</v>
      </c>
      <c r="B419" s="21" t="s">
        <v>772</v>
      </c>
      <c r="C419" s="21" t="s">
        <v>764</v>
      </c>
      <c r="D419" s="117" t="s">
        <v>840</v>
      </c>
      <c r="E419" s="21" t="s">
        <v>74</v>
      </c>
      <c r="F419" s="21" t="s">
        <v>553</v>
      </c>
      <c r="G419" s="21">
        <v>396.9</v>
      </c>
      <c r="H419" s="21"/>
      <c r="I419" s="117" t="s">
        <v>325</v>
      </c>
      <c r="J419" s="117" t="s">
        <v>325</v>
      </c>
      <c r="K419" s="118"/>
      <c r="L419" s="21"/>
      <c r="M419" s="21"/>
      <c r="N419" s="21"/>
      <c r="O419" s="21"/>
      <c r="P419" s="21">
        <v>396.9</v>
      </c>
      <c r="Q419" s="21"/>
      <c r="R419" s="81" t="s">
        <v>932</v>
      </c>
      <c r="S419" s="119">
        <f>DATABASE_Table[[#This Row],[Inicial Asking Price (€) (Total)]]-DATABASE_Table[[#This Row],[Vista membership]]-DATABASE_Table[[#This Row],[FF&amp;E]]</f>
        <v>1000000</v>
      </c>
      <c r="T419" s="120">
        <v>1000000</v>
      </c>
      <c r="U419" s="36">
        <v>860000</v>
      </c>
      <c r="V419" s="21"/>
      <c r="W419" s="21"/>
      <c r="X419" s="73">
        <f>DATABASE_Table[[#This Row],[Current Asking price( Total)]]-DATABASE_Table[[#This Row],[Vista membership]]-DATABASE_Table[[#This Row],[FF&amp;E]]</f>
        <v>860000</v>
      </c>
      <c r="Y419" s="37"/>
      <c r="Z419" s="36"/>
      <c r="AA419" s="73">
        <f>DATABASE_Table[[#This Row],[Sell price (Total)]]-DATABASE_Table[[#This Row],[FF&amp;E]]-DATABASE_Table[[#This Row],[Vista membership]]</f>
        <v>0</v>
      </c>
      <c r="AB419" s="74"/>
      <c r="AC419" s="74" t="str">
        <f t="shared" si="6"/>
        <v>TO LAUNCH</v>
      </c>
      <c r="AD419" s="123"/>
      <c r="AE419" s="69" t="s">
        <v>32</v>
      </c>
      <c r="AF419" s="21" t="s">
        <v>57</v>
      </c>
      <c r="AG419" s="21" t="s">
        <v>930</v>
      </c>
      <c r="AH419" s="122" t="s">
        <v>75</v>
      </c>
      <c r="AI419" s="122" t="s">
        <v>554</v>
      </c>
      <c r="AJ419" s="122" t="s">
        <v>76</v>
      </c>
      <c r="AK419" s="122" t="s">
        <v>77</v>
      </c>
      <c r="AL419" s="21" t="s">
        <v>32</v>
      </c>
      <c r="AM419" s="122" t="s">
        <v>73</v>
      </c>
    </row>
    <row r="420" spans="1:39" customFormat="1" ht="15.75" customHeight="1" x14ac:dyDescent="0.3">
      <c r="A420" t="s">
        <v>73</v>
      </c>
      <c r="B420" s="21" t="s">
        <v>772</v>
      </c>
      <c r="C420" s="21" t="s">
        <v>764</v>
      </c>
      <c r="D420" s="117" t="s">
        <v>841</v>
      </c>
      <c r="E420" s="21" t="s">
        <v>74</v>
      </c>
      <c r="F420" s="21" t="s">
        <v>553</v>
      </c>
      <c r="G420" s="21">
        <v>396.9</v>
      </c>
      <c r="H420" s="21"/>
      <c r="I420" s="117" t="s">
        <v>325</v>
      </c>
      <c r="J420" s="117" t="s">
        <v>325</v>
      </c>
      <c r="K420" s="118"/>
      <c r="L420" s="21"/>
      <c r="M420" s="21"/>
      <c r="N420" s="21"/>
      <c r="O420" s="21"/>
      <c r="P420" s="21">
        <v>396.9</v>
      </c>
      <c r="Q420" s="21"/>
      <c r="R420" s="81" t="s">
        <v>932</v>
      </c>
      <c r="S420" s="119">
        <f>DATABASE_Table[[#This Row],[Inicial Asking Price (€) (Total)]]-DATABASE_Table[[#This Row],[Vista membership]]-DATABASE_Table[[#This Row],[FF&amp;E]]</f>
        <v>1080000</v>
      </c>
      <c r="T420" s="120">
        <v>1080000</v>
      </c>
      <c r="U420" s="36">
        <v>900000</v>
      </c>
      <c r="V420" s="21"/>
      <c r="W420" s="21"/>
      <c r="X420" s="73">
        <f>DATABASE_Table[[#This Row],[Current Asking price( Total)]]-DATABASE_Table[[#This Row],[Vista membership]]-DATABASE_Table[[#This Row],[FF&amp;E]]</f>
        <v>900000</v>
      </c>
      <c r="Y420" s="37"/>
      <c r="Z420" s="36"/>
      <c r="AA420" s="73">
        <f>DATABASE_Table[[#This Row],[Sell price (Total)]]-DATABASE_Table[[#This Row],[FF&amp;E]]-DATABASE_Table[[#This Row],[Vista membership]]</f>
        <v>0</v>
      </c>
      <c r="AB420" s="74"/>
      <c r="AC420" s="74" t="str">
        <f t="shared" si="6"/>
        <v>TO LAUNCH</v>
      </c>
      <c r="AD420" s="123"/>
      <c r="AE420" s="69" t="s">
        <v>32</v>
      </c>
      <c r="AF420" s="21" t="s">
        <v>57</v>
      </c>
      <c r="AG420" s="21" t="s">
        <v>930</v>
      </c>
      <c r="AH420" s="122" t="s">
        <v>75</v>
      </c>
      <c r="AI420" s="122" t="s">
        <v>554</v>
      </c>
      <c r="AJ420" s="122" t="s">
        <v>76</v>
      </c>
      <c r="AK420" s="122" t="s">
        <v>77</v>
      </c>
      <c r="AL420" s="21" t="s">
        <v>32</v>
      </c>
      <c r="AM420" s="122" t="s">
        <v>73</v>
      </c>
    </row>
    <row r="421" spans="1:39" customFormat="1" ht="15.75" customHeight="1" x14ac:dyDescent="0.3">
      <c r="A421" t="s">
        <v>73</v>
      </c>
      <c r="B421" s="21" t="s">
        <v>772</v>
      </c>
      <c r="C421" s="21" t="s">
        <v>764</v>
      </c>
      <c r="D421" s="117" t="s">
        <v>858</v>
      </c>
      <c r="E421" s="21" t="s">
        <v>74</v>
      </c>
      <c r="F421" s="21" t="s">
        <v>553</v>
      </c>
      <c r="G421" s="21">
        <v>396.9</v>
      </c>
      <c r="H421" s="21"/>
      <c r="I421" s="117" t="s">
        <v>325</v>
      </c>
      <c r="J421" s="117" t="s">
        <v>325</v>
      </c>
      <c r="K421" s="118"/>
      <c r="L421" s="21"/>
      <c r="M421" s="21"/>
      <c r="N421" s="21"/>
      <c r="O421" s="21"/>
      <c r="P421" s="21">
        <v>396.9</v>
      </c>
      <c r="Q421" s="21"/>
      <c r="R421" s="81" t="s">
        <v>932</v>
      </c>
      <c r="S421" s="119">
        <f>DATABASE_Table[[#This Row],[Inicial Asking Price (€) (Total)]]-DATABASE_Table[[#This Row],[Vista membership]]-DATABASE_Table[[#This Row],[FF&amp;E]]</f>
        <v>1080000</v>
      </c>
      <c r="T421" s="120">
        <v>1080000</v>
      </c>
      <c r="U421" s="36">
        <v>910000</v>
      </c>
      <c r="V421" s="21"/>
      <c r="W421" s="21"/>
      <c r="X421" s="73">
        <f>DATABASE_Table[[#This Row],[Current Asking price( Total)]]-DATABASE_Table[[#This Row],[Vista membership]]-DATABASE_Table[[#This Row],[FF&amp;E]]</f>
        <v>910000</v>
      </c>
      <c r="Y421" s="37"/>
      <c r="Z421" s="36"/>
      <c r="AA421" s="73">
        <f>DATABASE_Table[[#This Row],[Sell price (Total)]]-DATABASE_Table[[#This Row],[FF&amp;E]]-DATABASE_Table[[#This Row],[Vista membership]]</f>
        <v>0</v>
      </c>
      <c r="AB421" s="74"/>
      <c r="AC421" s="74" t="str">
        <f t="shared" si="6"/>
        <v>TO LAUNCH</v>
      </c>
      <c r="AD421" s="123"/>
      <c r="AE421" s="69" t="s">
        <v>32</v>
      </c>
      <c r="AF421" s="21" t="s">
        <v>57</v>
      </c>
      <c r="AG421" s="21" t="s">
        <v>930</v>
      </c>
      <c r="AH421" s="122" t="s">
        <v>75</v>
      </c>
      <c r="AI421" s="122" t="s">
        <v>554</v>
      </c>
      <c r="AJ421" s="122" t="s">
        <v>76</v>
      </c>
      <c r="AK421" s="122" t="s">
        <v>77</v>
      </c>
      <c r="AL421" s="21" t="s">
        <v>32</v>
      </c>
      <c r="AM421" s="122" t="s">
        <v>73</v>
      </c>
    </row>
    <row r="422" spans="1:39" customFormat="1" ht="15.75" customHeight="1" x14ac:dyDescent="0.3">
      <c r="A422" t="s">
        <v>73</v>
      </c>
      <c r="B422" s="21" t="s">
        <v>772</v>
      </c>
      <c r="C422" s="21" t="s">
        <v>764</v>
      </c>
      <c r="D422" s="117" t="s">
        <v>859</v>
      </c>
      <c r="E422" s="21" t="s">
        <v>74</v>
      </c>
      <c r="F422" s="21" t="s">
        <v>553</v>
      </c>
      <c r="G422" s="21">
        <v>396.9</v>
      </c>
      <c r="H422" s="21"/>
      <c r="I422" s="117" t="s">
        <v>325</v>
      </c>
      <c r="J422" s="117" t="s">
        <v>325</v>
      </c>
      <c r="K422" s="118"/>
      <c r="L422" s="21"/>
      <c r="M422" s="21"/>
      <c r="N422" s="21"/>
      <c r="O422" s="21"/>
      <c r="P422" s="21">
        <v>396.9</v>
      </c>
      <c r="Q422" s="21"/>
      <c r="R422" s="81" t="s">
        <v>932</v>
      </c>
      <c r="S422" s="119">
        <f>DATABASE_Table[[#This Row],[Inicial Asking Price (€) (Total)]]-DATABASE_Table[[#This Row],[Vista membership]]-DATABASE_Table[[#This Row],[FF&amp;E]]</f>
        <v>1080000</v>
      </c>
      <c r="T422" s="120">
        <v>1080000</v>
      </c>
      <c r="U422" s="36">
        <v>900000</v>
      </c>
      <c r="V422" s="21"/>
      <c r="W422" s="21"/>
      <c r="X422" s="73">
        <f>DATABASE_Table[[#This Row],[Current Asking price( Total)]]-DATABASE_Table[[#This Row],[Vista membership]]-DATABASE_Table[[#This Row],[FF&amp;E]]</f>
        <v>900000</v>
      </c>
      <c r="Y422" s="37"/>
      <c r="Z422" s="36"/>
      <c r="AA422" s="73">
        <f>DATABASE_Table[[#This Row],[Sell price (Total)]]-DATABASE_Table[[#This Row],[FF&amp;E]]-DATABASE_Table[[#This Row],[Vista membership]]</f>
        <v>0</v>
      </c>
      <c r="AB422" s="74"/>
      <c r="AC422" s="74" t="str">
        <f t="shared" si="6"/>
        <v>TO LAUNCH</v>
      </c>
      <c r="AD422" s="123"/>
      <c r="AE422" s="69" t="s">
        <v>32</v>
      </c>
      <c r="AF422" s="21" t="s">
        <v>57</v>
      </c>
      <c r="AG422" s="21" t="s">
        <v>930</v>
      </c>
      <c r="AH422" s="122" t="s">
        <v>75</v>
      </c>
      <c r="AI422" s="122" t="s">
        <v>554</v>
      </c>
      <c r="AJ422" s="122" t="s">
        <v>76</v>
      </c>
      <c r="AK422" s="122" t="s">
        <v>77</v>
      </c>
      <c r="AL422" s="21" t="s">
        <v>32</v>
      </c>
      <c r="AM422" s="122" t="s">
        <v>73</v>
      </c>
    </row>
    <row r="423" spans="1:39" customFormat="1" ht="15.75" customHeight="1" x14ac:dyDescent="0.3">
      <c r="A423" t="s">
        <v>73</v>
      </c>
      <c r="B423" s="21" t="s">
        <v>772</v>
      </c>
      <c r="C423" s="21" t="s">
        <v>764</v>
      </c>
      <c r="D423" s="117" t="s">
        <v>860</v>
      </c>
      <c r="E423" s="21" t="s">
        <v>74</v>
      </c>
      <c r="F423" s="21" t="s">
        <v>553</v>
      </c>
      <c r="G423" s="21">
        <v>396.9</v>
      </c>
      <c r="H423" s="21"/>
      <c r="I423" s="117" t="s">
        <v>325</v>
      </c>
      <c r="J423" s="117" t="s">
        <v>325</v>
      </c>
      <c r="K423" s="118"/>
      <c r="L423" s="21"/>
      <c r="M423" s="21"/>
      <c r="N423" s="21"/>
      <c r="O423" s="21"/>
      <c r="P423" s="21">
        <v>396.9</v>
      </c>
      <c r="Q423" s="21"/>
      <c r="R423" s="81" t="s">
        <v>932</v>
      </c>
      <c r="S423" s="119">
        <f>DATABASE_Table[[#This Row],[Inicial Asking Price (€) (Total)]]-DATABASE_Table[[#This Row],[Vista membership]]-DATABASE_Table[[#This Row],[FF&amp;E]]</f>
        <v>1080000</v>
      </c>
      <c r="T423" s="120">
        <v>1080000</v>
      </c>
      <c r="U423" s="36">
        <v>870000</v>
      </c>
      <c r="V423" s="21"/>
      <c r="W423" s="21"/>
      <c r="X423" s="73">
        <f>DATABASE_Table[[#This Row],[Current Asking price( Total)]]-DATABASE_Table[[#This Row],[Vista membership]]-DATABASE_Table[[#This Row],[FF&amp;E]]</f>
        <v>870000</v>
      </c>
      <c r="Y423" s="37"/>
      <c r="Z423" s="36"/>
      <c r="AA423" s="73">
        <f>DATABASE_Table[[#This Row],[Sell price (Total)]]-DATABASE_Table[[#This Row],[FF&amp;E]]-DATABASE_Table[[#This Row],[Vista membership]]</f>
        <v>0</v>
      </c>
      <c r="AB423" s="74"/>
      <c r="AC423" s="74" t="str">
        <f t="shared" si="6"/>
        <v>TO LAUNCH</v>
      </c>
      <c r="AD423" s="123"/>
      <c r="AE423" s="69" t="s">
        <v>32</v>
      </c>
      <c r="AF423" s="21" t="s">
        <v>57</v>
      </c>
      <c r="AG423" s="21" t="s">
        <v>930</v>
      </c>
      <c r="AH423" s="122" t="s">
        <v>75</v>
      </c>
      <c r="AI423" s="122" t="s">
        <v>554</v>
      </c>
      <c r="AJ423" s="122" t="s">
        <v>76</v>
      </c>
      <c r="AK423" s="122" t="s">
        <v>77</v>
      </c>
      <c r="AL423" s="21" t="s">
        <v>32</v>
      </c>
      <c r="AM423" s="122" t="s">
        <v>73</v>
      </c>
    </row>
    <row r="424" spans="1:39" customFormat="1" ht="15.75" customHeight="1" x14ac:dyDescent="0.3">
      <c r="A424" t="s">
        <v>73</v>
      </c>
      <c r="B424" s="21" t="s">
        <v>772</v>
      </c>
      <c r="C424" s="21" t="s">
        <v>764</v>
      </c>
      <c r="D424" s="117" t="s">
        <v>884</v>
      </c>
      <c r="E424" s="21" t="s">
        <v>74</v>
      </c>
      <c r="F424" s="21" t="s">
        <v>553</v>
      </c>
      <c r="G424" s="21">
        <v>396.9</v>
      </c>
      <c r="H424" s="21"/>
      <c r="I424" s="117" t="s">
        <v>325</v>
      </c>
      <c r="J424" s="117" t="s">
        <v>325</v>
      </c>
      <c r="K424" s="118"/>
      <c r="L424" s="21"/>
      <c r="M424" s="21"/>
      <c r="N424" s="21"/>
      <c r="O424" s="21"/>
      <c r="P424" s="21">
        <v>396.9</v>
      </c>
      <c r="Q424" s="21"/>
      <c r="R424" s="81" t="s">
        <v>932</v>
      </c>
      <c r="S424" s="119">
        <f>DATABASE_Table[[#This Row],[Inicial Asking Price (€) (Total)]]-DATABASE_Table[[#This Row],[Vista membership]]-DATABASE_Table[[#This Row],[FF&amp;E]]</f>
        <v>1080000</v>
      </c>
      <c r="T424" s="120">
        <v>1080000</v>
      </c>
      <c r="U424" s="36">
        <v>870000</v>
      </c>
      <c r="V424" s="21"/>
      <c r="W424" s="21"/>
      <c r="X424" s="73">
        <f>DATABASE_Table[[#This Row],[Current Asking price( Total)]]-DATABASE_Table[[#This Row],[Vista membership]]-DATABASE_Table[[#This Row],[FF&amp;E]]</f>
        <v>870000</v>
      </c>
      <c r="Y424" s="37"/>
      <c r="Z424" s="36"/>
      <c r="AA424" s="73">
        <f>DATABASE_Table[[#This Row],[Sell price (Total)]]-DATABASE_Table[[#This Row],[FF&amp;E]]-DATABASE_Table[[#This Row],[Vista membership]]</f>
        <v>0</v>
      </c>
      <c r="AB424" s="74"/>
      <c r="AC424" s="74" t="str">
        <f t="shared" si="6"/>
        <v>TO LAUNCH</v>
      </c>
      <c r="AD424" s="123"/>
      <c r="AE424" s="69" t="s">
        <v>32</v>
      </c>
      <c r="AF424" s="21" t="s">
        <v>57</v>
      </c>
      <c r="AG424" s="21" t="s">
        <v>930</v>
      </c>
      <c r="AH424" s="122" t="s">
        <v>75</v>
      </c>
      <c r="AI424" s="122" t="s">
        <v>554</v>
      </c>
      <c r="AJ424" s="122" t="s">
        <v>76</v>
      </c>
      <c r="AK424" s="122" t="s">
        <v>77</v>
      </c>
      <c r="AL424" s="21" t="s">
        <v>32</v>
      </c>
      <c r="AM424" s="122" t="s">
        <v>73</v>
      </c>
    </row>
    <row r="425" spans="1:39" customFormat="1" ht="15.75" customHeight="1" x14ac:dyDescent="0.3">
      <c r="A425" t="s">
        <v>73</v>
      </c>
      <c r="B425" s="21" t="s">
        <v>772</v>
      </c>
      <c r="C425" s="21" t="s">
        <v>764</v>
      </c>
      <c r="D425" s="117" t="s">
        <v>882</v>
      </c>
      <c r="E425" s="21" t="s">
        <v>74</v>
      </c>
      <c r="F425" s="21" t="s">
        <v>553</v>
      </c>
      <c r="G425" s="21">
        <v>373.55</v>
      </c>
      <c r="H425" s="21"/>
      <c r="I425" s="117" t="s">
        <v>325</v>
      </c>
      <c r="J425" s="117" t="s">
        <v>325</v>
      </c>
      <c r="K425" s="118"/>
      <c r="L425" s="21"/>
      <c r="M425" s="21"/>
      <c r="N425" s="21"/>
      <c r="O425" s="21"/>
      <c r="P425" s="21">
        <v>373.55</v>
      </c>
      <c r="Q425" s="21"/>
      <c r="R425" s="81" t="s">
        <v>932</v>
      </c>
      <c r="S425" s="119">
        <f>DATABASE_Table[[#This Row],[Inicial Asking Price (€) (Total)]]-DATABASE_Table[[#This Row],[Vista membership]]-DATABASE_Table[[#This Row],[FF&amp;E]]</f>
        <v>1080000</v>
      </c>
      <c r="T425" s="120">
        <v>1080000</v>
      </c>
      <c r="U425" s="36">
        <v>810000</v>
      </c>
      <c r="V425" s="21"/>
      <c r="W425" s="21"/>
      <c r="X425" s="73">
        <f>DATABASE_Table[[#This Row],[Current Asking price( Total)]]-DATABASE_Table[[#This Row],[Vista membership]]-DATABASE_Table[[#This Row],[FF&amp;E]]</f>
        <v>810000</v>
      </c>
      <c r="Y425" s="37"/>
      <c r="Z425" s="36"/>
      <c r="AA425" s="73">
        <f>DATABASE_Table[[#This Row],[Sell price (Total)]]-DATABASE_Table[[#This Row],[FF&amp;E]]-DATABASE_Table[[#This Row],[Vista membership]]</f>
        <v>0</v>
      </c>
      <c r="AB425" s="74"/>
      <c r="AC425" s="74" t="str">
        <f t="shared" si="6"/>
        <v>TO LAUNCH</v>
      </c>
      <c r="AD425" s="123"/>
      <c r="AE425" s="69" t="s">
        <v>32</v>
      </c>
      <c r="AF425" s="21" t="s">
        <v>57</v>
      </c>
      <c r="AG425" s="21" t="s">
        <v>930</v>
      </c>
      <c r="AH425" s="122" t="s">
        <v>75</v>
      </c>
      <c r="AI425" s="122" t="s">
        <v>554</v>
      </c>
      <c r="AJ425" s="122" t="s">
        <v>76</v>
      </c>
      <c r="AK425" s="122" t="s">
        <v>77</v>
      </c>
      <c r="AL425" s="21" t="s">
        <v>32</v>
      </c>
      <c r="AM425" s="122" t="s">
        <v>73</v>
      </c>
    </row>
    <row r="426" spans="1:39" customFormat="1" ht="15.75" customHeight="1" x14ac:dyDescent="0.3">
      <c r="A426" t="s">
        <v>73</v>
      </c>
      <c r="B426" s="21" t="s">
        <v>772</v>
      </c>
      <c r="C426" s="21" t="s">
        <v>764</v>
      </c>
      <c r="D426" s="117" t="s">
        <v>883</v>
      </c>
      <c r="E426" s="21" t="s">
        <v>74</v>
      </c>
      <c r="F426" s="21" t="s">
        <v>553</v>
      </c>
      <c r="G426" s="21">
        <v>373.55</v>
      </c>
      <c r="H426" s="21"/>
      <c r="I426" s="117" t="s">
        <v>325</v>
      </c>
      <c r="J426" s="117" t="s">
        <v>325</v>
      </c>
      <c r="K426" s="118"/>
      <c r="L426" s="21"/>
      <c r="M426" s="21"/>
      <c r="N426" s="21"/>
      <c r="O426" s="21"/>
      <c r="P426" s="21">
        <v>373.55</v>
      </c>
      <c r="Q426" s="21"/>
      <c r="R426" s="81" t="s">
        <v>932</v>
      </c>
      <c r="S426" s="119">
        <f>DATABASE_Table[[#This Row],[Inicial Asking Price (€) (Total)]]-DATABASE_Table[[#This Row],[Vista membership]]-DATABASE_Table[[#This Row],[FF&amp;E]]</f>
        <v>1140000</v>
      </c>
      <c r="T426" s="120">
        <v>1140000</v>
      </c>
      <c r="U426" s="36">
        <v>840000</v>
      </c>
      <c r="V426" s="21"/>
      <c r="W426" s="21"/>
      <c r="X426" s="73">
        <f>DATABASE_Table[[#This Row],[Current Asking price( Total)]]-DATABASE_Table[[#This Row],[Vista membership]]-DATABASE_Table[[#This Row],[FF&amp;E]]</f>
        <v>840000</v>
      </c>
      <c r="Y426" s="37"/>
      <c r="Z426" s="36"/>
      <c r="AA426" s="73">
        <f>DATABASE_Table[[#This Row],[Sell price (Total)]]-DATABASE_Table[[#This Row],[FF&amp;E]]-DATABASE_Table[[#This Row],[Vista membership]]</f>
        <v>0</v>
      </c>
      <c r="AB426" s="74"/>
      <c r="AC426" s="74" t="str">
        <f t="shared" si="6"/>
        <v>TO LAUNCH</v>
      </c>
      <c r="AD426" s="123"/>
      <c r="AE426" s="69" t="s">
        <v>32</v>
      </c>
      <c r="AF426" s="21" t="s">
        <v>57</v>
      </c>
      <c r="AG426" s="21" t="s">
        <v>930</v>
      </c>
      <c r="AH426" s="122" t="s">
        <v>75</v>
      </c>
      <c r="AI426" s="122" t="s">
        <v>554</v>
      </c>
      <c r="AJ426" s="122" t="s">
        <v>76</v>
      </c>
      <c r="AK426" s="122" t="s">
        <v>77</v>
      </c>
      <c r="AL426" s="21" t="s">
        <v>32</v>
      </c>
      <c r="AM426" s="122" t="s">
        <v>73</v>
      </c>
    </row>
    <row r="427" spans="1:39" customFormat="1" ht="15.75" customHeight="1" x14ac:dyDescent="0.3">
      <c r="A427" t="s">
        <v>73</v>
      </c>
      <c r="B427" s="21" t="s">
        <v>772</v>
      </c>
      <c r="C427" s="21" t="s">
        <v>764</v>
      </c>
      <c r="D427" s="117" t="s">
        <v>887</v>
      </c>
      <c r="E427" s="21" t="s">
        <v>74</v>
      </c>
      <c r="F427" s="21" t="s">
        <v>553</v>
      </c>
      <c r="G427" s="21">
        <v>396.9</v>
      </c>
      <c r="H427" s="21"/>
      <c r="I427" s="117" t="s">
        <v>325</v>
      </c>
      <c r="J427" s="117" t="s">
        <v>325</v>
      </c>
      <c r="K427" s="118"/>
      <c r="L427" s="21"/>
      <c r="M427" s="21"/>
      <c r="N427" s="21"/>
      <c r="O427" s="21"/>
      <c r="P427" s="21">
        <v>396.9</v>
      </c>
      <c r="Q427" s="21"/>
      <c r="R427" s="81" t="s">
        <v>932</v>
      </c>
      <c r="S427" s="119">
        <f>DATABASE_Table[[#This Row],[Inicial Asking Price (€) (Total)]]-DATABASE_Table[[#This Row],[Vista membership]]-DATABASE_Table[[#This Row],[FF&amp;E]]</f>
        <v>1140000</v>
      </c>
      <c r="T427" s="120">
        <v>1140000</v>
      </c>
      <c r="U427" s="36">
        <v>850000</v>
      </c>
      <c r="V427" s="21"/>
      <c r="W427" s="21"/>
      <c r="X427" s="73">
        <f>DATABASE_Table[[#This Row],[Current Asking price( Total)]]-DATABASE_Table[[#This Row],[Vista membership]]-DATABASE_Table[[#This Row],[FF&amp;E]]</f>
        <v>850000</v>
      </c>
      <c r="Y427" s="37"/>
      <c r="Z427" s="36"/>
      <c r="AA427" s="73">
        <f>DATABASE_Table[[#This Row],[Sell price (Total)]]-DATABASE_Table[[#This Row],[FF&amp;E]]-DATABASE_Table[[#This Row],[Vista membership]]</f>
        <v>0</v>
      </c>
      <c r="AB427" s="74"/>
      <c r="AC427" s="74" t="str">
        <f t="shared" si="6"/>
        <v>TO LAUNCH</v>
      </c>
      <c r="AD427" s="123"/>
      <c r="AE427" s="69" t="s">
        <v>32</v>
      </c>
      <c r="AF427" s="21" t="s">
        <v>57</v>
      </c>
      <c r="AG427" s="21" t="s">
        <v>930</v>
      </c>
      <c r="AH427" s="122" t="s">
        <v>75</v>
      </c>
      <c r="AI427" s="122" t="s">
        <v>554</v>
      </c>
      <c r="AJ427" s="122" t="s">
        <v>76</v>
      </c>
      <c r="AK427" s="122" t="s">
        <v>77</v>
      </c>
      <c r="AL427" s="21" t="s">
        <v>32</v>
      </c>
      <c r="AM427" s="122" t="s">
        <v>73</v>
      </c>
    </row>
    <row r="428" spans="1:39" customFormat="1" ht="15.75" customHeight="1" x14ac:dyDescent="0.3">
      <c r="A428" t="s">
        <v>73</v>
      </c>
      <c r="B428" s="21" t="s">
        <v>772</v>
      </c>
      <c r="C428" s="21" t="s">
        <v>764</v>
      </c>
      <c r="D428" s="117" t="s">
        <v>888</v>
      </c>
      <c r="E428" s="21" t="s">
        <v>74</v>
      </c>
      <c r="F428" s="21" t="s">
        <v>553</v>
      </c>
      <c r="G428" s="21">
        <v>396.9</v>
      </c>
      <c r="H428" s="21"/>
      <c r="I428" s="117" t="s">
        <v>325</v>
      </c>
      <c r="J428" s="117" t="s">
        <v>325</v>
      </c>
      <c r="K428" s="118"/>
      <c r="L428" s="21"/>
      <c r="M428" s="21"/>
      <c r="N428" s="21"/>
      <c r="O428" s="21"/>
      <c r="P428" s="21">
        <v>396.9</v>
      </c>
      <c r="Q428" s="21"/>
      <c r="R428" s="81" t="s">
        <v>932</v>
      </c>
      <c r="S428" s="119">
        <f>DATABASE_Table[[#This Row],[Inicial Asking Price (€) (Total)]]-DATABASE_Table[[#This Row],[Vista membership]]-DATABASE_Table[[#This Row],[FF&amp;E]]</f>
        <v>1140000</v>
      </c>
      <c r="T428" s="120">
        <v>1140000</v>
      </c>
      <c r="U428" s="36">
        <v>850000</v>
      </c>
      <c r="V428" s="21"/>
      <c r="W428" s="21"/>
      <c r="X428" s="73">
        <f>DATABASE_Table[[#This Row],[Current Asking price( Total)]]-DATABASE_Table[[#This Row],[Vista membership]]-DATABASE_Table[[#This Row],[FF&amp;E]]</f>
        <v>850000</v>
      </c>
      <c r="Y428" s="37"/>
      <c r="Z428" s="36"/>
      <c r="AA428" s="73">
        <f>DATABASE_Table[[#This Row],[Sell price (Total)]]-DATABASE_Table[[#This Row],[FF&amp;E]]-DATABASE_Table[[#This Row],[Vista membership]]</f>
        <v>0</v>
      </c>
      <c r="AB428" s="74"/>
      <c r="AC428" s="74" t="str">
        <f t="shared" si="6"/>
        <v>TO LAUNCH</v>
      </c>
      <c r="AD428" s="123"/>
      <c r="AE428" s="69" t="s">
        <v>32</v>
      </c>
      <c r="AF428" s="21" t="s">
        <v>57</v>
      </c>
      <c r="AG428" s="21" t="s">
        <v>930</v>
      </c>
      <c r="AH428" s="122" t="s">
        <v>75</v>
      </c>
      <c r="AI428" s="122" t="s">
        <v>554</v>
      </c>
      <c r="AJ428" s="122" t="s">
        <v>76</v>
      </c>
      <c r="AK428" s="122" t="s">
        <v>77</v>
      </c>
      <c r="AL428" s="21" t="s">
        <v>32</v>
      </c>
      <c r="AM428" s="122" t="s">
        <v>73</v>
      </c>
    </row>
    <row r="429" spans="1:39" customFormat="1" ht="15.75" customHeight="1" x14ac:dyDescent="0.3">
      <c r="A429" t="s">
        <v>73</v>
      </c>
      <c r="B429" s="21" t="s">
        <v>772</v>
      </c>
      <c r="C429" s="21" t="s">
        <v>764</v>
      </c>
      <c r="D429" s="117" t="s">
        <v>889</v>
      </c>
      <c r="E429" s="21" t="s">
        <v>74</v>
      </c>
      <c r="F429" s="21" t="s">
        <v>553</v>
      </c>
      <c r="G429" s="21">
        <v>396.9</v>
      </c>
      <c r="H429" s="21"/>
      <c r="I429" s="117" t="s">
        <v>325</v>
      </c>
      <c r="J429" s="117" t="s">
        <v>325</v>
      </c>
      <c r="K429" s="118"/>
      <c r="L429" s="21"/>
      <c r="M429" s="21"/>
      <c r="N429" s="21"/>
      <c r="O429" s="21"/>
      <c r="P429" s="21">
        <v>396.9</v>
      </c>
      <c r="Q429" s="21"/>
      <c r="R429" s="81" t="s">
        <v>932</v>
      </c>
      <c r="S429" s="119">
        <f>DATABASE_Table[[#This Row],[Inicial Asking Price (€) (Total)]]-DATABASE_Table[[#This Row],[Vista membership]]-DATABASE_Table[[#This Row],[FF&amp;E]]</f>
        <v>1140000</v>
      </c>
      <c r="T429" s="120">
        <v>1140000</v>
      </c>
      <c r="U429" s="36">
        <v>930000</v>
      </c>
      <c r="V429" s="21"/>
      <c r="W429" s="21"/>
      <c r="X429" s="73">
        <f>DATABASE_Table[[#This Row],[Current Asking price( Total)]]-DATABASE_Table[[#This Row],[Vista membership]]-DATABASE_Table[[#This Row],[FF&amp;E]]</f>
        <v>930000</v>
      </c>
      <c r="Y429" s="37"/>
      <c r="Z429" s="36"/>
      <c r="AA429" s="73">
        <f>DATABASE_Table[[#This Row],[Sell price (Total)]]-DATABASE_Table[[#This Row],[FF&amp;E]]-DATABASE_Table[[#This Row],[Vista membership]]</f>
        <v>0</v>
      </c>
      <c r="AB429" s="74"/>
      <c r="AC429" s="74" t="str">
        <f t="shared" si="6"/>
        <v>TO LAUNCH</v>
      </c>
      <c r="AD429" s="123"/>
      <c r="AE429" s="69" t="s">
        <v>32</v>
      </c>
      <c r="AF429" s="21" t="s">
        <v>57</v>
      </c>
      <c r="AG429" s="21" t="s">
        <v>930</v>
      </c>
      <c r="AH429" s="122" t="s">
        <v>75</v>
      </c>
      <c r="AI429" s="122" t="s">
        <v>554</v>
      </c>
      <c r="AJ429" s="122" t="s">
        <v>76</v>
      </c>
      <c r="AK429" s="122" t="s">
        <v>77</v>
      </c>
      <c r="AL429" s="21" t="s">
        <v>32</v>
      </c>
      <c r="AM429" s="122" t="s">
        <v>73</v>
      </c>
    </row>
    <row r="430" spans="1:39" customFormat="1" ht="15.75" customHeight="1" x14ac:dyDescent="0.3">
      <c r="A430" t="s">
        <v>73</v>
      </c>
      <c r="B430" s="21" t="s">
        <v>772</v>
      </c>
      <c r="C430" s="21" t="s">
        <v>764</v>
      </c>
      <c r="D430" s="117" t="s">
        <v>885</v>
      </c>
      <c r="E430" s="21" t="s">
        <v>74</v>
      </c>
      <c r="F430" s="21" t="s">
        <v>553</v>
      </c>
      <c r="G430" s="21">
        <v>396.9</v>
      </c>
      <c r="H430" s="21"/>
      <c r="I430" s="117" t="s">
        <v>325</v>
      </c>
      <c r="J430" s="117" t="s">
        <v>325</v>
      </c>
      <c r="K430" s="118"/>
      <c r="L430" s="21"/>
      <c r="M430" s="21"/>
      <c r="N430" s="21"/>
      <c r="O430" s="21"/>
      <c r="P430" s="21">
        <v>396.9</v>
      </c>
      <c r="Q430" s="21"/>
      <c r="R430" s="81" t="s">
        <v>932</v>
      </c>
      <c r="S430" s="119">
        <f>DATABASE_Table[[#This Row],[Inicial Asking Price (€) (Total)]]-DATABASE_Table[[#This Row],[Vista membership]]-DATABASE_Table[[#This Row],[FF&amp;E]]</f>
        <v>1200000</v>
      </c>
      <c r="T430" s="120">
        <v>1200000</v>
      </c>
      <c r="U430" s="36">
        <v>890000</v>
      </c>
      <c r="V430" s="21"/>
      <c r="W430" s="21"/>
      <c r="X430" s="73">
        <f>DATABASE_Table[[#This Row],[Current Asking price( Total)]]-DATABASE_Table[[#This Row],[Vista membership]]-DATABASE_Table[[#This Row],[FF&amp;E]]</f>
        <v>890000</v>
      </c>
      <c r="Y430" s="37"/>
      <c r="Z430" s="36"/>
      <c r="AA430" s="73">
        <f>DATABASE_Table[[#This Row],[Sell price (Total)]]-DATABASE_Table[[#This Row],[FF&amp;E]]-DATABASE_Table[[#This Row],[Vista membership]]</f>
        <v>0</v>
      </c>
      <c r="AB430" s="74"/>
      <c r="AC430" s="74" t="str">
        <f t="shared" si="6"/>
        <v>TO LAUNCH</v>
      </c>
      <c r="AD430" s="123"/>
      <c r="AE430" s="69" t="s">
        <v>32</v>
      </c>
      <c r="AF430" s="21" t="s">
        <v>57</v>
      </c>
      <c r="AG430" s="21" t="s">
        <v>930</v>
      </c>
      <c r="AH430" s="122" t="s">
        <v>75</v>
      </c>
      <c r="AI430" s="122" t="s">
        <v>554</v>
      </c>
      <c r="AJ430" s="122" t="s">
        <v>76</v>
      </c>
      <c r="AK430" s="122" t="s">
        <v>77</v>
      </c>
      <c r="AL430" s="21" t="s">
        <v>32</v>
      </c>
      <c r="AM430" s="122" t="s">
        <v>73</v>
      </c>
    </row>
    <row r="431" spans="1:39" customFormat="1" ht="15.75" customHeight="1" x14ac:dyDescent="0.3">
      <c r="A431" t="s">
        <v>73</v>
      </c>
      <c r="B431" s="21" t="s">
        <v>772</v>
      </c>
      <c r="C431" s="21" t="s">
        <v>764</v>
      </c>
      <c r="D431" s="117" t="s">
        <v>890</v>
      </c>
      <c r="E431" s="21" t="s">
        <v>74</v>
      </c>
      <c r="F431" s="21" t="s">
        <v>553</v>
      </c>
      <c r="G431" s="21">
        <v>396.9</v>
      </c>
      <c r="H431" s="21"/>
      <c r="I431" s="117" t="s">
        <v>325</v>
      </c>
      <c r="J431" s="117" t="s">
        <v>325</v>
      </c>
      <c r="K431" s="118"/>
      <c r="L431" s="21"/>
      <c r="M431" s="21"/>
      <c r="N431" s="21"/>
      <c r="O431" s="21"/>
      <c r="P431" s="21">
        <v>396.9</v>
      </c>
      <c r="Q431" s="21"/>
      <c r="R431" s="81" t="s">
        <v>932</v>
      </c>
      <c r="S431" s="119">
        <f>DATABASE_Table[[#This Row],[Inicial Asking Price (€) (Total)]]-DATABASE_Table[[#This Row],[Vista membership]]-DATABASE_Table[[#This Row],[FF&amp;E]]</f>
        <v>1200000</v>
      </c>
      <c r="T431" s="120">
        <v>1200000</v>
      </c>
      <c r="U431" s="36">
        <v>1030000</v>
      </c>
      <c r="V431" s="21"/>
      <c r="W431" s="21"/>
      <c r="X431" s="73">
        <f>DATABASE_Table[[#This Row],[Current Asking price( Total)]]-DATABASE_Table[[#This Row],[Vista membership]]-DATABASE_Table[[#This Row],[FF&amp;E]]</f>
        <v>1030000</v>
      </c>
      <c r="Y431" s="37"/>
      <c r="Z431" s="36"/>
      <c r="AA431" s="73">
        <f>DATABASE_Table[[#This Row],[Sell price (Total)]]-DATABASE_Table[[#This Row],[FF&amp;E]]-DATABASE_Table[[#This Row],[Vista membership]]</f>
        <v>0</v>
      </c>
      <c r="AB431" s="74"/>
      <c r="AC431" s="74" t="str">
        <f t="shared" si="6"/>
        <v>TO LAUNCH</v>
      </c>
      <c r="AD431" s="123"/>
      <c r="AE431" s="69" t="s">
        <v>32</v>
      </c>
      <c r="AF431" s="21" t="s">
        <v>57</v>
      </c>
      <c r="AG431" s="21" t="s">
        <v>930</v>
      </c>
      <c r="AH431" s="122" t="s">
        <v>75</v>
      </c>
      <c r="AI431" s="122" t="s">
        <v>554</v>
      </c>
      <c r="AJ431" s="122" t="s">
        <v>76</v>
      </c>
      <c r="AK431" s="122" t="s">
        <v>77</v>
      </c>
      <c r="AL431" s="21" t="s">
        <v>32</v>
      </c>
      <c r="AM431" s="122" t="s">
        <v>73</v>
      </c>
    </row>
    <row r="432" spans="1:39" customFormat="1" ht="15.75" customHeight="1" x14ac:dyDescent="0.3">
      <c r="A432" t="s">
        <v>73</v>
      </c>
      <c r="B432" s="21" t="s">
        <v>771</v>
      </c>
      <c r="C432" s="21" t="s">
        <v>764</v>
      </c>
      <c r="D432" s="117" t="s">
        <v>843</v>
      </c>
      <c r="E432" s="21" t="s">
        <v>74</v>
      </c>
      <c r="F432" s="21" t="s">
        <v>553</v>
      </c>
      <c r="G432" s="21">
        <v>450</v>
      </c>
      <c r="H432" s="21"/>
      <c r="I432" s="117" t="s">
        <v>325</v>
      </c>
      <c r="J432" s="117" t="s">
        <v>325</v>
      </c>
      <c r="K432" s="118"/>
      <c r="L432" s="21"/>
      <c r="M432" s="21"/>
      <c r="N432" s="21"/>
      <c r="O432" s="21"/>
      <c r="P432" s="21">
        <v>450</v>
      </c>
      <c r="Q432" s="21"/>
      <c r="R432" s="81" t="s">
        <v>932</v>
      </c>
      <c r="S432" s="119">
        <f>DATABASE_Table[[#This Row],[Inicial Asking Price (€) (Total)]]-DATABASE_Table[[#This Row],[Vista membership]]-DATABASE_Table[[#This Row],[FF&amp;E]]</f>
        <v>997000</v>
      </c>
      <c r="T432" s="120">
        <v>997000</v>
      </c>
      <c r="U432" s="36">
        <v>860000</v>
      </c>
      <c r="V432" s="21"/>
      <c r="W432" s="21"/>
      <c r="X432" s="73">
        <f>DATABASE_Table[[#This Row],[Current Asking price( Total)]]-DATABASE_Table[[#This Row],[Vista membership]]-DATABASE_Table[[#This Row],[FF&amp;E]]</f>
        <v>860000</v>
      </c>
      <c r="Y432" s="37"/>
      <c r="Z432" s="36"/>
      <c r="AA432" s="73">
        <f>DATABASE_Table[[#This Row],[Sell price (Total)]]-DATABASE_Table[[#This Row],[FF&amp;E]]-DATABASE_Table[[#This Row],[Vista membership]]</f>
        <v>0</v>
      </c>
      <c r="AB432" s="74"/>
      <c r="AC432" s="74" t="str">
        <f t="shared" si="6"/>
        <v>TO LAUNCH</v>
      </c>
      <c r="AD432" s="123"/>
      <c r="AE432" s="69" t="s">
        <v>32</v>
      </c>
      <c r="AF432" s="21" t="s">
        <v>57</v>
      </c>
      <c r="AG432" s="21" t="s">
        <v>930</v>
      </c>
      <c r="AH432" s="122" t="s">
        <v>75</v>
      </c>
      <c r="AI432" s="122" t="s">
        <v>554</v>
      </c>
      <c r="AJ432" s="122" t="s">
        <v>76</v>
      </c>
      <c r="AK432" s="122" t="s">
        <v>77</v>
      </c>
      <c r="AL432" s="21" t="s">
        <v>32</v>
      </c>
      <c r="AM432" s="122" t="s">
        <v>73</v>
      </c>
    </row>
    <row r="433" spans="1:39" customFormat="1" ht="15.75" customHeight="1" x14ac:dyDescent="0.3">
      <c r="A433" t="s">
        <v>73</v>
      </c>
      <c r="B433" s="21" t="s">
        <v>771</v>
      </c>
      <c r="C433" s="21" t="s">
        <v>764</v>
      </c>
      <c r="D433" s="117" t="s">
        <v>844</v>
      </c>
      <c r="E433" s="21" t="s">
        <v>74</v>
      </c>
      <c r="F433" s="21" t="s">
        <v>553</v>
      </c>
      <c r="G433" s="21">
        <v>450</v>
      </c>
      <c r="H433" s="21"/>
      <c r="I433" s="117" t="s">
        <v>325</v>
      </c>
      <c r="J433" s="117" t="s">
        <v>325</v>
      </c>
      <c r="K433" s="118"/>
      <c r="L433" s="21"/>
      <c r="M433" s="21"/>
      <c r="N433" s="21"/>
      <c r="O433" s="21"/>
      <c r="P433" s="21">
        <v>450</v>
      </c>
      <c r="Q433" s="21"/>
      <c r="R433" s="81" t="s">
        <v>932</v>
      </c>
      <c r="S433" s="119">
        <f>DATABASE_Table[[#This Row],[Inicial Asking Price (€) (Total)]]-DATABASE_Table[[#This Row],[Vista membership]]-DATABASE_Table[[#This Row],[FF&amp;E]]</f>
        <v>1010000</v>
      </c>
      <c r="T433" s="120">
        <v>1010000</v>
      </c>
      <c r="U433" s="36">
        <v>860000</v>
      </c>
      <c r="V433" s="21"/>
      <c r="W433" s="21"/>
      <c r="X433" s="73">
        <f>DATABASE_Table[[#This Row],[Current Asking price( Total)]]-DATABASE_Table[[#This Row],[Vista membership]]-DATABASE_Table[[#This Row],[FF&amp;E]]</f>
        <v>860000</v>
      </c>
      <c r="Y433" s="37"/>
      <c r="Z433" s="36"/>
      <c r="AA433" s="73">
        <f>DATABASE_Table[[#This Row],[Sell price (Total)]]-DATABASE_Table[[#This Row],[FF&amp;E]]-DATABASE_Table[[#This Row],[Vista membership]]</f>
        <v>0</v>
      </c>
      <c r="AB433" s="74"/>
      <c r="AC433" s="74" t="str">
        <f t="shared" si="6"/>
        <v>TO LAUNCH</v>
      </c>
      <c r="AD433" s="123"/>
      <c r="AE433" s="69" t="s">
        <v>32</v>
      </c>
      <c r="AF433" s="21" t="s">
        <v>57</v>
      </c>
      <c r="AG433" s="21" t="s">
        <v>930</v>
      </c>
      <c r="AH433" s="122" t="s">
        <v>75</v>
      </c>
      <c r="AI433" s="122" t="s">
        <v>554</v>
      </c>
      <c r="AJ433" s="122" t="s">
        <v>76</v>
      </c>
      <c r="AK433" s="122" t="s">
        <v>77</v>
      </c>
      <c r="AL433" s="21" t="s">
        <v>32</v>
      </c>
      <c r="AM433" s="122" t="s">
        <v>73</v>
      </c>
    </row>
    <row r="434" spans="1:39" customFormat="1" ht="15.75" customHeight="1" x14ac:dyDescent="0.3">
      <c r="A434" t="s">
        <v>73</v>
      </c>
      <c r="B434" s="21" t="s">
        <v>771</v>
      </c>
      <c r="C434" s="21" t="s">
        <v>764</v>
      </c>
      <c r="D434" s="117" t="s">
        <v>845</v>
      </c>
      <c r="E434" s="21" t="s">
        <v>74</v>
      </c>
      <c r="F434" s="21" t="s">
        <v>553</v>
      </c>
      <c r="G434" s="21">
        <v>450</v>
      </c>
      <c r="H434" s="21"/>
      <c r="I434" s="117" t="s">
        <v>325</v>
      </c>
      <c r="J434" s="117" t="s">
        <v>325</v>
      </c>
      <c r="K434" s="118"/>
      <c r="L434" s="21"/>
      <c r="M434" s="21"/>
      <c r="N434" s="21"/>
      <c r="O434" s="21"/>
      <c r="P434" s="21">
        <v>450</v>
      </c>
      <c r="Q434" s="21"/>
      <c r="R434" s="81" t="s">
        <v>932</v>
      </c>
      <c r="S434" s="119">
        <f>DATABASE_Table[[#This Row],[Inicial Asking Price (€) (Total)]]-DATABASE_Table[[#This Row],[Vista membership]]-DATABASE_Table[[#This Row],[FF&amp;E]]</f>
        <v>1017000</v>
      </c>
      <c r="T434" s="120">
        <v>1017000</v>
      </c>
      <c r="U434" s="36">
        <v>860000</v>
      </c>
      <c r="V434" s="21"/>
      <c r="W434" s="21"/>
      <c r="X434" s="73">
        <f>DATABASE_Table[[#This Row],[Current Asking price( Total)]]-DATABASE_Table[[#This Row],[Vista membership]]-DATABASE_Table[[#This Row],[FF&amp;E]]</f>
        <v>860000</v>
      </c>
      <c r="Y434" s="37"/>
      <c r="Z434" s="36"/>
      <c r="AA434" s="73">
        <f>DATABASE_Table[[#This Row],[Sell price (Total)]]-DATABASE_Table[[#This Row],[FF&amp;E]]-DATABASE_Table[[#This Row],[Vista membership]]</f>
        <v>0</v>
      </c>
      <c r="AB434" s="74"/>
      <c r="AC434" s="74" t="str">
        <f t="shared" si="6"/>
        <v>TO LAUNCH</v>
      </c>
      <c r="AD434" s="123"/>
      <c r="AE434" s="69" t="s">
        <v>32</v>
      </c>
      <c r="AF434" s="21" t="s">
        <v>57</v>
      </c>
      <c r="AG434" s="21" t="s">
        <v>930</v>
      </c>
      <c r="AH434" s="122" t="s">
        <v>75</v>
      </c>
      <c r="AI434" s="122" t="s">
        <v>554</v>
      </c>
      <c r="AJ434" s="122" t="s">
        <v>76</v>
      </c>
      <c r="AK434" s="122" t="s">
        <v>77</v>
      </c>
      <c r="AL434" s="21" t="s">
        <v>32</v>
      </c>
      <c r="AM434" s="122" t="s">
        <v>73</v>
      </c>
    </row>
    <row r="435" spans="1:39" customFormat="1" ht="15.75" customHeight="1" x14ac:dyDescent="0.3">
      <c r="A435" t="s">
        <v>73</v>
      </c>
      <c r="B435" s="21" t="s">
        <v>771</v>
      </c>
      <c r="C435" s="21" t="s">
        <v>764</v>
      </c>
      <c r="D435" s="117" t="s">
        <v>847</v>
      </c>
      <c r="E435" s="21" t="s">
        <v>74</v>
      </c>
      <c r="F435" s="21" t="s">
        <v>553</v>
      </c>
      <c r="G435" s="21">
        <v>500</v>
      </c>
      <c r="H435" s="21"/>
      <c r="I435" s="117" t="s">
        <v>325</v>
      </c>
      <c r="J435" s="117" t="s">
        <v>325</v>
      </c>
      <c r="K435" s="118"/>
      <c r="L435" s="21"/>
      <c r="M435" s="21"/>
      <c r="N435" s="21"/>
      <c r="O435" s="21"/>
      <c r="P435" s="21">
        <v>500</v>
      </c>
      <c r="Q435" s="21"/>
      <c r="R435" s="81" t="s">
        <v>932</v>
      </c>
      <c r="S435" s="119">
        <f>DATABASE_Table[[#This Row],[Inicial Asking Price (€) (Total)]]-DATABASE_Table[[#This Row],[Vista membership]]-DATABASE_Table[[#This Row],[FF&amp;E]]</f>
        <v>1065000</v>
      </c>
      <c r="T435" s="120">
        <v>1065000</v>
      </c>
      <c r="U435" s="36">
        <v>910000</v>
      </c>
      <c r="V435" s="21"/>
      <c r="W435" s="21"/>
      <c r="X435" s="73">
        <f>DATABASE_Table[[#This Row],[Current Asking price( Total)]]-DATABASE_Table[[#This Row],[Vista membership]]-DATABASE_Table[[#This Row],[FF&amp;E]]</f>
        <v>910000</v>
      </c>
      <c r="Y435" s="37"/>
      <c r="Z435" s="36"/>
      <c r="AA435" s="73">
        <f>DATABASE_Table[[#This Row],[Sell price (Total)]]-DATABASE_Table[[#This Row],[FF&amp;E]]-DATABASE_Table[[#This Row],[Vista membership]]</f>
        <v>0</v>
      </c>
      <c r="AB435" s="74"/>
      <c r="AC435" s="74" t="str">
        <f t="shared" si="6"/>
        <v>TO LAUNCH</v>
      </c>
      <c r="AD435" s="123"/>
      <c r="AE435" s="69" t="s">
        <v>32</v>
      </c>
      <c r="AF435" s="21" t="s">
        <v>57</v>
      </c>
      <c r="AG435" s="21" t="s">
        <v>930</v>
      </c>
      <c r="AH435" s="122" t="s">
        <v>75</v>
      </c>
      <c r="AI435" s="122" t="s">
        <v>554</v>
      </c>
      <c r="AJ435" s="122" t="s">
        <v>76</v>
      </c>
      <c r="AK435" s="122" t="s">
        <v>77</v>
      </c>
      <c r="AL435" s="21" t="s">
        <v>32</v>
      </c>
      <c r="AM435" s="122" t="s">
        <v>73</v>
      </c>
    </row>
    <row r="436" spans="1:39" customFormat="1" ht="15.75" customHeight="1" x14ac:dyDescent="0.3">
      <c r="A436" t="s">
        <v>73</v>
      </c>
      <c r="B436" s="21" t="s">
        <v>771</v>
      </c>
      <c r="C436" s="21" t="s">
        <v>764</v>
      </c>
      <c r="D436" s="117" t="s">
        <v>848</v>
      </c>
      <c r="E436" s="21" t="s">
        <v>74</v>
      </c>
      <c r="F436" s="21" t="s">
        <v>553</v>
      </c>
      <c r="G436" s="21">
        <v>500</v>
      </c>
      <c r="H436" s="21"/>
      <c r="I436" s="117" t="s">
        <v>325</v>
      </c>
      <c r="J436" s="117" t="s">
        <v>325</v>
      </c>
      <c r="K436" s="118"/>
      <c r="L436" s="21"/>
      <c r="M436" s="21"/>
      <c r="N436" s="21"/>
      <c r="O436" s="21"/>
      <c r="P436" s="21">
        <v>500</v>
      </c>
      <c r="Q436" s="21"/>
      <c r="R436" s="81" t="s">
        <v>932</v>
      </c>
      <c r="S436" s="119">
        <f>DATABASE_Table[[#This Row],[Inicial Asking Price (€) (Total)]]-DATABASE_Table[[#This Row],[Vista membership]]-DATABASE_Table[[#This Row],[FF&amp;E]]</f>
        <v>1648000</v>
      </c>
      <c r="T436" s="120">
        <v>1648000</v>
      </c>
      <c r="U436" s="36">
        <v>1190000</v>
      </c>
      <c r="V436" s="21"/>
      <c r="W436" s="21"/>
      <c r="X436" s="73">
        <f>DATABASE_Table[[#This Row],[Current Asking price( Total)]]-DATABASE_Table[[#This Row],[Vista membership]]-DATABASE_Table[[#This Row],[FF&amp;E]]</f>
        <v>1190000</v>
      </c>
      <c r="Y436" s="37"/>
      <c r="Z436" s="36"/>
      <c r="AA436" s="73">
        <f>DATABASE_Table[[#This Row],[Sell price (Total)]]-DATABASE_Table[[#This Row],[FF&amp;E]]-DATABASE_Table[[#This Row],[Vista membership]]</f>
        <v>0</v>
      </c>
      <c r="AB436" s="74"/>
      <c r="AC436" s="74" t="str">
        <f t="shared" si="6"/>
        <v>TO LAUNCH</v>
      </c>
      <c r="AD436" s="123"/>
      <c r="AE436" s="69" t="s">
        <v>32</v>
      </c>
      <c r="AF436" s="21" t="s">
        <v>57</v>
      </c>
      <c r="AG436" s="21" t="s">
        <v>930</v>
      </c>
      <c r="AH436" s="122" t="s">
        <v>75</v>
      </c>
      <c r="AI436" s="122" t="s">
        <v>554</v>
      </c>
      <c r="AJ436" s="122" t="s">
        <v>76</v>
      </c>
      <c r="AK436" s="122" t="s">
        <v>77</v>
      </c>
      <c r="AL436" s="21" t="s">
        <v>32</v>
      </c>
      <c r="AM436" s="122" t="s">
        <v>73</v>
      </c>
    </row>
    <row r="437" spans="1:39" customFormat="1" ht="15.75" customHeight="1" x14ac:dyDescent="0.3">
      <c r="A437" t="s">
        <v>73</v>
      </c>
      <c r="B437" s="21" t="s">
        <v>771</v>
      </c>
      <c r="C437" s="21" t="s">
        <v>764</v>
      </c>
      <c r="D437" s="117" t="s">
        <v>849</v>
      </c>
      <c r="E437" s="21" t="s">
        <v>74</v>
      </c>
      <c r="F437" s="21" t="s">
        <v>553</v>
      </c>
      <c r="G437" s="21">
        <v>500</v>
      </c>
      <c r="H437" s="21"/>
      <c r="I437" s="117" t="s">
        <v>325</v>
      </c>
      <c r="J437" s="117" t="s">
        <v>325</v>
      </c>
      <c r="K437" s="118"/>
      <c r="L437" s="21"/>
      <c r="M437" s="21"/>
      <c r="N437" s="21"/>
      <c r="O437" s="21"/>
      <c r="P437" s="21">
        <v>500</v>
      </c>
      <c r="Q437" s="21"/>
      <c r="R437" s="81" t="s">
        <v>932</v>
      </c>
      <c r="S437" s="119">
        <f>DATABASE_Table[[#This Row],[Inicial Asking Price (€) (Total)]]-DATABASE_Table[[#This Row],[Vista membership]]-DATABASE_Table[[#This Row],[FF&amp;E]]</f>
        <v>2355000</v>
      </c>
      <c r="T437" s="120">
        <v>2355000</v>
      </c>
      <c r="U437" s="36">
        <v>1680000</v>
      </c>
      <c r="V437" s="21"/>
      <c r="W437" s="21"/>
      <c r="X437" s="73">
        <f>DATABASE_Table[[#This Row],[Current Asking price( Total)]]-DATABASE_Table[[#This Row],[Vista membership]]-DATABASE_Table[[#This Row],[FF&amp;E]]</f>
        <v>1680000</v>
      </c>
      <c r="Y437" s="37"/>
      <c r="Z437" s="36"/>
      <c r="AA437" s="73">
        <f>DATABASE_Table[[#This Row],[Sell price (Total)]]-DATABASE_Table[[#This Row],[FF&amp;E]]-DATABASE_Table[[#This Row],[Vista membership]]</f>
        <v>0</v>
      </c>
      <c r="AB437" s="74"/>
      <c r="AC437" s="74" t="str">
        <f t="shared" si="6"/>
        <v>TO LAUNCH</v>
      </c>
      <c r="AD437" s="123"/>
      <c r="AE437" s="69" t="s">
        <v>32</v>
      </c>
      <c r="AF437" s="21" t="s">
        <v>57</v>
      </c>
      <c r="AG437" s="21" t="s">
        <v>930</v>
      </c>
      <c r="AH437" s="122" t="s">
        <v>75</v>
      </c>
      <c r="AI437" s="122" t="s">
        <v>554</v>
      </c>
      <c r="AJ437" s="122" t="s">
        <v>76</v>
      </c>
      <c r="AK437" s="122" t="s">
        <v>77</v>
      </c>
      <c r="AL437" s="21" t="s">
        <v>32</v>
      </c>
      <c r="AM437" s="122" t="s">
        <v>73</v>
      </c>
    </row>
    <row r="438" spans="1:39" customFormat="1" ht="15.75" customHeight="1" x14ac:dyDescent="0.3">
      <c r="A438" t="s">
        <v>16</v>
      </c>
      <c r="B438" s="128" t="s">
        <v>559</v>
      </c>
      <c r="C438" s="21" t="s">
        <v>688</v>
      </c>
      <c r="D438" s="117" t="s">
        <v>336</v>
      </c>
      <c r="E438" s="21" t="s">
        <v>9</v>
      </c>
      <c r="F438" s="21" t="s">
        <v>383</v>
      </c>
      <c r="G438" s="21">
        <v>169.99</v>
      </c>
      <c r="H438" s="21"/>
      <c r="I438" s="117" t="s">
        <v>325</v>
      </c>
      <c r="J438" s="117" t="s">
        <v>325</v>
      </c>
      <c r="K438" s="118"/>
      <c r="L438" s="21"/>
      <c r="M438" s="21"/>
      <c r="N438" s="21"/>
      <c r="O438" s="21"/>
      <c r="P438" s="21">
        <v>169.99</v>
      </c>
      <c r="Q438" s="21"/>
      <c r="R438" s="21" t="s">
        <v>923</v>
      </c>
      <c r="S438" s="119">
        <f>DATABASE_Table[[#This Row],[Inicial Asking Price (€) (Total)]]-DATABASE_Table[[#This Row],[Vista membership]]-DATABASE_Table[[#This Row],[FF&amp;E]]</f>
        <v>950000</v>
      </c>
      <c r="T438" s="125">
        <v>950000</v>
      </c>
      <c r="U438" s="124">
        <v>970000</v>
      </c>
      <c r="V438" s="21"/>
      <c r="W438" s="21"/>
      <c r="X438" s="73">
        <f>DATABASE_Table[[#This Row],[Current Asking price( Total)]]-DATABASE_Table[[#This Row],[Vista membership]]-DATABASE_Table[[#This Row],[FF&amp;E]]</f>
        <v>970000</v>
      </c>
      <c r="Y438" s="126">
        <v>0</v>
      </c>
      <c r="Z438" s="124">
        <v>970000</v>
      </c>
      <c r="AA438" s="73">
        <f>DATABASE_Table[[#This Row],[Sell price (Total)]]-DATABASE_Table[[#This Row],[FF&amp;E]]-DATABASE_Table[[#This Row],[Vista membership]]</f>
        <v>970000</v>
      </c>
      <c r="AB438" s="74">
        <v>45287</v>
      </c>
      <c r="AC438" s="74" t="str">
        <f t="shared" si="6"/>
        <v>Q4 2023</v>
      </c>
      <c r="AD438" s="123">
        <v>45846</v>
      </c>
      <c r="AE438" s="69"/>
      <c r="AF438" s="21" t="s">
        <v>10</v>
      </c>
      <c r="AG438" s="21" t="s">
        <v>796</v>
      </c>
      <c r="AH438" s="122" t="s">
        <v>17</v>
      </c>
      <c r="AI438" s="122" t="s">
        <v>18</v>
      </c>
      <c r="AJ438" s="122" t="s">
        <v>19</v>
      </c>
      <c r="AK438" s="122" t="s">
        <v>20</v>
      </c>
      <c r="AL438" s="21" t="s">
        <v>21</v>
      </c>
      <c r="AM438" s="122" t="s">
        <v>16</v>
      </c>
    </row>
    <row r="439" spans="1:39" customFormat="1" ht="15.75" customHeight="1" x14ac:dyDescent="0.3">
      <c r="A439" t="s">
        <v>16</v>
      </c>
      <c r="B439" s="21" t="s">
        <v>559</v>
      </c>
      <c r="C439" s="21" t="s">
        <v>688</v>
      </c>
      <c r="D439" s="117" t="s">
        <v>337</v>
      </c>
      <c r="E439" s="21" t="s">
        <v>9</v>
      </c>
      <c r="F439" s="21" t="s">
        <v>383</v>
      </c>
      <c r="G439" s="21">
        <v>169.91</v>
      </c>
      <c r="H439" s="21"/>
      <c r="I439" s="117" t="s">
        <v>325</v>
      </c>
      <c r="J439" s="117" t="s">
        <v>325</v>
      </c>
      <c r="K439" s="118"/>
      <c r="L439" s="21"/>
      <c r="M439" s="21"/>
      <c r="N439" s="21"/>
      <c r="O439" s="21"/>
      <c r="P439" s="21">
        <v>169.91</v>
      </c>
      <c r="Q439" s="21"/>
      <c r="R439" s="21" t="s">
        <v>923</v>
      </c>
      <c r="S439" s="119">
        <f>DATABASE_Table[[#This Row],[Inicial Asking Price (€) (Total)]]-DATABASE_Table[[#This Row],[Vista membership]]-DATABASE_Table[[#This Row],[FF&amp;E]]</f>
        <v>850000</v>
      </c>
      <c r="T439" s="125">
        <v>850000</v>
      </c>
      <c r="U439" s="124">
        <v>850000</v>
      </c>
      <c r="V439" s="21"/>
      <c r="W439" s="21"/>
      <c r="X439" s="73">
        <f>DATABASE_Table[[#This Row],[Current Asking price( Total)]]-DATABASE_Table[[#This Row],[Vista membership]]-DATABASE_Table[[#This Row],[FF&amp;E]]</f>
        <v>850000</v>
      </c>
      <c r="Y439" s="126">
        <v>0</v>
      </c>
      <c r="Z439" s="124">
        <v>850000</v>
      </c>
      <c r="AA439" s="73">
        <f>DATABASE_Table[[#This Row],[Sell price (Total)]]-DATABASE_Table[[#This Row],[FF&amp;E]]-DATABASE_Table[[#This Row],[Vista membership]]</f>
        <v>850000</v>
      </c>
      <c r="AB439" s="74">
        <v>45287</v>
      </c>
      <c r="AC439" s="74" t="str">
        <f t="shared" si="6"/>
        <v>Q4 2023</v>
      </c>
      <c r="AD439" s="123">
        <v>45077</v>
      </c>
      <c r="AE439" s="69"/>
      <c r="AF439" s="21" t="s">
        <v>10</v>
      </c>
      <c r="AG439" s="21" t="s">
        <v>796</v>
      </c>
      <c r="AH439" s="122" t="s">
        <v>17</v>
      </c>
      <c r="AI439" s="122" t="s">
        <v>18</v>
      </c>
      <c r="AJ439" s="122" t="s">
        <v>19</v>
      </c>
      <c r="AK439" s="122" t="s">
        <v>20</v>
      </c>
      <c r="AL439" s="21" t="s">
        <v>21</v>
      </c>
      <c r="AM439" s="122" t="s">
        <v>16</v>
      </c>
    </row>
    <row r="440" spans="1:39" customFormat="1" ht="15.75" customHeight="1" x14ac:dyDescent="0.3">
      <c r="A440" t="s">
        <v>16</v>
      </c>
      <c r="B440" s="21" t="s">
        <v>559</v>
      </c>
      <c r="C440" s="21" t="s">
        <v>688</v>
      </c>
      <c r="D440" s="117" t="s">
        <v>338</v>
      </c>
      <c r="E440" s="21" t="s">
        <v>9</v>
      </c>
      <c r="F440" s="21" t="s">
        <v>383</v>
      </c>
      <c r="G440" s="21">
        <v>177.48</v>
      </c>
      <c r="H440" s="21"/>
      <c r="I440" s="117" t="s">
        <v>325</v>
      </c>
      <c r="J440" s="117" t="s">
        <v>325</v>
      </c>
      <c r="K440" s="118"/>
      <c r="L440" s="21"/>
      <c r="M440" s="21"/>
      <c r="N440" s="21"/>
      <c r="O440" s="21"/>
      <c r="P440" s="21">
        <v>177.48</v>
      </c>
      <c r="Q440" s="21"/>
      <c r="R440" s="21" t="s">
        <v>923</v>
      </c>
      <c r="S440" s="119">
        <f>DATABASE_Table[[#This Row],[Inicial Asking Price (€) (Total)]]-DATABASE_Table[[#This Row],[Vista membership]]-DATABASE_Table[[#This Row],[FF&amp;E]]</f>
        <v>980000</v>
      </c>
      <c r="T440" s="125">
        <v>980000</v>
      </c>
      <c r="U440" s="124">
        <v>931000</v>
      </c>
      <c r="V440" s="21"/>
      <c r="W440" s="21"/>
      <c r="X440" s="73">
        <f>DATABASE_Table[[#This Row],[Current Asking price( Total)]]-DATABASE_Table[[#This Row],[Vista membership]]-DATABASE_Table[[#This Row],[FF&amp;E]]</f>
        <v>931000</v>
      </c>
      <c r="Y440" s="126">
        <v>0</v>
      </c>
      <c r="Z440" s="124">
        <v>931000</v>
      </c>
      <c r="AA440" s="73">
        <f>DATABASE_Table[[#This Row],[Sell price (Total)]]-DATABASE_Table[[#This Row],[FF&amp;E]]-DATABASE_Table[[#This Row],[Vista membership]]</f>
        <v>931000</v>
      </c>
      <c r="AB440" s="74">
        <v>45287</v>
      </c>
      <c r="AC440" s="74" t="str">
        <f t="shared" si="6"/>
        <v>Q4 2023</v>
      </c>
      <c r="AD440" s="123">
        <v>45086</v>
      </c>
      <c r="AE440" s="69"/>
      <c r="AF440" s="21" t="s">
        <v>10</v>
      </c>
      <c r="AG440" s="21" t="s">
        <v>796</v>
      </c>
      <c r="AH440" s="122" t="s">
        <v>17</v>
      </c>
      <c r="AI440" s="122" t="s">
        <v>18</v>
      </c>
      <c r="AJ440" s="122" t="s">
        <v>19</v>
      </c>
      <c r="AK440" s="122" t="s">
        <v>20</v>
      </c>
      <c r="AL440" s="21" t="s">
        <v>21</v>
      </c>
      <c r="AM440" s="122" t="s">
        <v>16</v>
      </c>
    </row>
    <row r="441" spans="1:39" customFormat="1" ht="15.75" customHeight="1" x14ac:dyDescent="0.3">
      <c r="A441" t="s">
        <v>16</v>
      </c>
      <c r="B441" s="21" t="s">
        <v>559</v>
      </c>
      <c r="C441" s="21" t="s">
        <v>688</v>
      </c>
      <c r="D441" s="117" t="s">
        <v>339</v>
      </c>
      <c r="E441" s="21" t="s">
        <v>9</v>
      </c>
      <c r="F441" s="21" t="s">
        <v>383</v>
      </c>
      <c r="G441" s="21">
        <v>169.89</v>
      </c>
      <c r="H441" s="21"/>
      <c r="I441" s="117" t="s">
        <v>325</v>
      </c>
      <c r="J441" s="117" t="s">
        <v>325</v>
      </c>
      <c r="K441" s="118"/>
      <c r="L441" s="21"/>
      <c r="M441" s="21"/>
      <c r="N441" s="21"/>
      <c r="O441" s="21"/>
      <c r="P441" s="21">
        <v>169.89</v>
      </c>
      <c r="Q441" s="21"/>
      <c r="R441" s="21" t="s">
        <v>923</v>
      </c>
      <c r="S441" s="119">
        <f>DATABASE_Table[[#This Row],[Inicial Asking Price (€) (Total)]]-DATABASE_Table[[#This Row],[Vista membership]]-DATABASE_Table[[#This Row],[FF&amp;E]]</f>
        <v>960000</v>
      </c>
      <c r="T441" s="125">
        <v>960000</v>
      </c>
      <c r="U441" s="124">
        <v>960000</v>
      </c>
      <c r="V441" s="21"/>
      <c r="W441" s="21"/>
      <c r="X441" s="73">
        <f>DATABASE_Table[[#This Row],[Current Asking price( Total)]]-DATABASE_Table[[#This Row],[Vista membership]]-DATABASE_Table[[#This Row],[FF&amp;E]]</f>
        <v>960000</v>
      </c>
      <c r="Y441" s="126">
        <v>0</v>
      </c>
      <c r="Z441" s="124">
        <v>960000</v>
      </c>
      <c r="AA441" s="73">
        <f>DATABASE_Table[[#This Row],[Sell price (Total)]]-DATABASE_Table[[#This Row],[FF&amp;E]]-DATABASE_Table[[#This Row],[Vista membership]]</f>
        <v>960000</v>
      </c>
      <c r="AB441" s="74">
        <v>45287</v>
      </c>
      <c r="AC441" s="74" t="str">
        <f t="shared" si="6"/>
        <v>Q4 2023</v>
      </c>
      <c r="AD441" s="123">
        <v>45131</v>
      </c>
      <c r="AE441" s="69"/>
      <c r="AF441" s="21" t="s">
        <v>10</v>
      </c>
      <c r="AG441" s="21" t="s">
        <v>796</v>
      </c>
      <c r="AH441" s="122" t="s">
        <v>17</v>
      </c>
      <c r="AI441" s="122" t="s">
        <v>18</v>
      </c>
      <c r="AJ441" s="122" t="s">
        <v>19</v>
      </c>
      <c r="AK441" s="122" t="s">
        <v>20</v>
      </c>
      <c r="AL441" s="21" t="s">
        <v>21</v>
      </c>
      <c r="AM441" s="122" t="s">
        <v>16</v>
      </c>
    </row>
    <row r="442" spans="1:39" customFormat="1" ht="15.75" customHeight="1" x14ac:dyDescent="0.3">
      <c r="A442" t="s">
        <v>16</v>
      </c>
      <c r="B442" s="21" t="s">
        <v>559</v>
      </c>
      <c r="C442" s="21" t="s">
        <v>688</v>
      </c>
      <c r="D442" s="117" t="s">
        <v>340</v>
      </c>
      <c r="E442" s="21" t="s">
        <v>9</v>
      </c>
      <c r="F442" s="21" t="s">
        <v>383</v>
      </c>
      <c r="G442" s="21">
        <v>170</v>
      </c>
      <c r="H442" s="21"/>
      <c r="I442" s="117" t="s">
        <v>325</v>
      </c>
      <c r="J442" s="117" t="s">
        <v>325</v>
      </c>
      <c r="K442" s="118"/>
      <c r="L442" s="21"/>
      <c r="M442" s="21"/>
      <c r="N442" s="21"/>
      <c r="O442" s="21"/>
      <c r="P442" s="21">
        <v>170</v>
      </c>
      <c r="Q442" s="21"/>
      <c r="R442" s="21" t="s">
        <v>923</v>
      </c>
      <c r="S442" s="119">
        <f>DATABASE_Table[[#This Row],[Inicial Asking Price (€) (Total)]]-DATABASE_Table[[#This Row],[Vista membership]]-DATABASE_Table[[#This Row],[FF&amp;E]]</f>
        <v>940000</v>
      </c>
      <c r="T442" s="125">
        <v>940000</v>
      </c>
      <c r="U442" s="124">
        <v>960000</v>
      </c>
      <c r="V442" s="21"/>
      <c r="W442" s="21"/>
      <c r="X442" s="73">
        <f>DATABASE_Table[[#This Row],[Current Asking price( Total)]]-DATABASE_Table[[#This Row],[Vista membership]]-DATABASE_Table[[#This Row],[FF&amp;E]]</f>
        <v>960000</v>
      </c>
      <c r="Y442" s="126">
        <v>0</v>
      </c>
      <c r="Z442" s="124">
        <v>960000</v>
      </c>
      <c r="AA442" s="73">
        <f>DATABASE_Table[[#This Row],[Sell price (Total)]]-DATABASE_Table[[#This Row],[FF&amp;E]]-DATABASE_Table[[#This Row],[Vista membership]]</f>
        <v>960000</v>
      </c>
      <c r="AB442" s="74">
        <v>45287</v>
      </c>
      <c r="AC442" s="74" t="str">
        <f t="shared" si="6"/>
        <v>Q4 2023</v>
      </c>
      <c r="AD442" s="123">
        <v>45133</v>
      </c>
      <c r="AE442" s="69"/>
      <c r="AF442" s="21" t="s">
        <v>10</v>
      </c>
      <c r="AG442" s="21" t="s">
        <v>796</v>
      </c>
      <c r="AH442" s="122" t="s">
        <v>17</v>
      </c>
      <c r="AI442" s="122" t="s">
        <v>18</v>
      </c>
      <c r="AJ442" s="122" t="s">
        <v>19</v>
      </c>
      <c r="AK442" s="122" t="s">
        <v>20</v>
      </c>
      <c r="AL442" s="21" t="s">
        <v>21</v>
      </c>
      <c r="AM442" s="122" t="s">
        <v>16</v>
      </c>
    </row>
    <row r="443" spans="1:39" customFormat="1" ht="15.75" customHeight="1" x14ac:dyDescent="0.3">
      <c r="A443" t="s">
        <v>16</v>
      </c>
      <c r="B443" s="21" t="s">
        <v>559</v>
      </c>
      <c r="C443" s="21" t="s">
        <v>688</v>
      </c>
      <c r="D443" s="117" t="s">
        <v>341</v>
      </c>
      <c r="E443" s="21" t="s">
        <v>9</v>
      </c>
      <c r="F443" s="21" t="s">
        <v>383</v>
      </c>
      <c r="G443" s="21">
        <v>177.48</v>
      </c>
      <c r="H443" s="21"/>
      <c r="I443" s="117" t="s">
        <v>325</v>
      </c>
      <c r="J443" s="117" t="s">
        <v>325</v>
      </c>
      <c r="K443" s="118"/>
      <c r="L443" s="21"/>
      <c r="M443" s="21"/>
      <c r="N443" s="21"/>
      <c r="O443" s="21"/>
      <c r="P443" s="21">
        <v>177.48</v>
      </c>
      <c r="Q443" s="21"/>
      <c r="R443" s="21" t="s">
        <v>923</v>
      </c>
      <c r="S443" s="119">
        <f>DATABASE_Table[[#This Row],[Inicial Asking Price (€) (Total)]]-DATABASE_Table[[#This Row],[Vista membership]]-DATABASE_Table[[#This Row],[FF&amp;E]]</f>
        <v>990000</v>
      </c>
      <c r="T443" s="125">
        <v>990000</v>
      </c>
      <c r="U443" s="124">
        <v>990000</v>
      </c>
      <c r="V443" s="21"/>
      <c r="W443" s="21"/>
      <c r="X443" s="73">
        <f>DATABASE_Table[[#This Row],[Current Asking price( Total)]]-DATABASE_Table[[#This Row],[Vista membership]]-DATABASE_Table[[#This Row],[FF&amp;E]]</f>
        <v>990000</v>
      </c>
      <c r="Y443" s="126">
        <v>0</v>
      </c>
      <c r="Z443" s="124">
        <v>990000</v>
      </c>
      <c r="AA443" s="73">
        <f>DATABASE_Table[[#This Row],[Sell price (Total)]]-DATABASE_Table[[#This Row],[FF&amp;E]]-DATABASE_Table[[#This Row],[Vista membership]]</f>
        <v>990000</v>
      </c>
      <c r="AB443" s="74">
        <v>45287</v>
      </c>
      <c r="AC443" s="74" t="str">
        <f t="shared" si="6"/>
        <v>Q4 2023</v>
      </c>
      <c r="AD443" s="123">
        <v>45133</v>
      </c>
      <c r="AE443" s="69"/>
      <c r="AF443" s="21" t="s">
        <v>10</v>
      </c>
      <c r="AG443" s="21" t="s">
        <v>796</v>
      </c>
      <c r="AH443" s="122" t="s">
        <v>17</v>
      </c>
      <c r="AI443" s="122" t="s">
        <v>18</v>
      </c>
      <c r="AJ443" s="122" t="s">
        <v>19</v>
      </c>
      <c r="AK443" s="122" t="s">
        <v>20</v>
      </c>
      <c r="AL443" s="21" t="s">
        <v>21</v>
      </c>
      <c r="AM443" s="122" t="s">
        <v>16</v>
      </c>
    </row>
    <row r="444" spans="1:39" customFormat="1" ht="15.75" customHeight="1" x14ac:dyDescent="0.3">
      <c r="A444" t="s">
        <v>16</v>
      </c>
      <c r="B444" s="21" t="s">
        <v>559</v>
      </c>
      <c r="C444" s="21" t="s">
        <v>688</v>
      </c>
      <c r="D444" s="117" t="s">
        <v>345</v>
      </c>
      <c r="E444" s="21" t="s">
        <v>9</v>
      </c>
      <c r="F444" s="21" t="s">
        <v>384</v>
      </c>
      <c r="G444" s="21">
        <v>146.38</v>
      </c>
      <c r="H444" s="21"/>
      <c r="I444" s="117" t="s">
        <v>325</v>
      </c>
      <c r="J444" s="117" t="s">
        <v>325</v>
      </c>
      <c r="K444" s="118"/>
      <c r="L444" s="21"/>
      <c r="M444" s="21"/>
      <c r="N444" s="21"/>
      <c r="O444" s="21"/>
      <c r="P444" s="21">
        <v>146.38</v>
      </c>
      <c r="Q444" s="21"/>
      <c r="R444" s="21" t="s">
        <v>923</v>
      </c>
      <c r="S444" s="119">
        <f>DATABASE_Table[[#This Row],[Inicial Asking Price (€) (Total)]]-DATABASE_Table[[#This Row],[Vista membership]]-DATABASE_Table[[#This Row],[FF&amp;E]]</f>
        <v>810000</v>
      </c>
      <c r="T444" s="125">
        <v>810000</v>
      </c>
      <c r="U444" s="124">
        <v>830000</v>
      </c>
      <c r="V444" s="21"/>
      <c r="W444" s="21"/>
      <c r="X444" s="73">
        <f>DATABASE_Table[[#This Row],[Current Asking price( Total)]]-DATABASE_Table[[#This Row],[Vista membership]]-DATABASE_Table[[#This Row],[FF&amp;E]]</f>
        <v>830000</v>
      </c>
      <c r="Y444" s="126">
        <v>0</v>
      </c>
      <c r="Z444" s="124">
        <v>830000</v>
      </c>
      <c r="AA444" s="73">
        <f>DATABASE_Table[[#This Row],[Sell price (Total)]]-DATABASE_Table[[#This Row],[FF&amp;E]]-DATABASE_Table[[#This Row],[Vista membership]]</f>
        <v>830000</v>
      </c>
      <c r="AB444" s="74">
        <v>45287</v>
      </c>
      <c r="AC444" s="74" t="str">
        <f t="shared" si="6"/>
        <v>Q4 2023</v>
      </c>
      <c r="AD444" s="123">
        <v>45841</v>
      </c>
      <c r="AE444" s="69"/>
      <c r="AF444" s="21" t="s">
        <v>10</v>
      </c>
      <c r="AG444" s="21" t="s">
        <v>796</v>
      </c>
      <c r="AH444" s="122" t="s">
        <v>17</v>
      </c>
      <c r="AI444" s="122" t="s">
        <v>18</v>
      </c>
      <c r="AJ444" s="122" t="s">
        <v>19</v>
      </c>
      <c r="AK444" s="122" t="s">
        <v>20</v>
      </c>
      <c r="AL444" s="21" t="s">
        <v>21</v>
      </c>
      <c r="AM444" s="122" t="s">
        <v>16</v>
      </c>
    </row>
    <row r="445" spans="1:39" customFormat="1" ht="15.75" customHeight="1" x14ac:dyDescent="0.3">
      <c r="A445" t="s">
        <v>16</v>
      </c>
      <c r="B445" s="21" t="s">
        <v>559</v>
      </c>
      <c r="C445" s="21" t="s">
        <v>688</v>
      </c>
      <c r="D445" s="117" t="s">
        <v>346</v>
      </c>
      <c r="E445" s="21" t="s">
        <v>9</v>
      </c>
      <c r="F445" s="21" t="s">
        <v>384</v>
      </c>
      <c r="G445" s="21">
        <v>139.88</v>
      </c>
      <c r="H445" s="21"/>
      <c r="I445" s="117" t="s">
        <v>325</v>
      </c>
      <c r="J445" s="117" t="s">
        <v>325</v>
      </c>
      <c r="K445" s="118"/>
      <c r="L445" s="21"/>
      <c r="M445" s="21"/>
      <c r="N445" s="21"/>
      <c r="O445" s="21"/>
      <c r="P445" s="21">
        <v>139.88</v>
      </c>
      <c r="Q445" s="21"/>
      <c r="R445" s="21" t="s">
        <v>923</v>
      </c>
      <c r="S445" s="119">
        <f>DATABASE_Table[[#This Row],[Inicial Asking Price (€) (Total)]]-DATABASE_Table[[#This Row],[Vista membership]]-DATABASE_Table[[#This Row],[FF&amp;E]]</f>
        <v>740000</v>
      </c>
      <c r="T445" s="125">
        <v>740000</v>
      </c>
      <c r="U445" s="124">
        <v>760000</v>
      </c>
      <c r="V445" s="21"/>
      <c r="W445" s="21"/>
      <c r="X445" s="73">
        <f>DATABASE_Table[[#This Row],[Current Asking price( Total)]]-DATABASE_Table[[#This Row],[Vista membership]]-DATABASE_Table[[#This Row],[FF&amp;E]]</f>
        <v>760000</v>
      </c>
      <c r="Y445" s="126">
        <v>0</v>
      </c>
      <c r="Z445" s="124">
        <v>760000</v>
      </c>
      <c r="AA445" s="73">
        <f>DATABASE_Table[[#This Row],[Sell price (Total)]]-DATABASE_Table[[#This Row],[FF&amp;E]]-DATABASE_Table[[#This Row],[Vista membership]]</f>
        <v>760000</v>
      </c>
      <c r="AB445" s="74">
        <v>45287</v>
      </c>
      <c r="AC445" s="74" t="str">
        <f t="shared" si="6"/>
        <v>Q4 2023</v>
      </c>
      <c r="AD445" s="123">
        <v>45287</v>
      </c>
      <c r="AE445" s="69"/>
      <c r="AF445" s="21" t="s">
        <v>10</v>
      </c>
      <c r="AG445" s="21" t="s">
        <v>796</v>
      </c>
      <c r="AH445" s="122" t="s">
        <v>17</v>
      </c>
      <c r="AI445" s="122" t="s">
        <v>18</v>
      </c>
      <c r="AJ445" s="122" t="s">
        <v>19</v>
      </c>
      <c r="AK445" s="122" t="s">
        <v>20</v>
      </c>
      <c r="AL445" s="21" t="s">
        <v>21</v>
      </c>
      <c r="AM445" s="122" t="s">
        <v>16</v>
      </c>
    </row>
    <row r="446" spans="1:39" customFormat="1" ht="15.75" customHeight="1" x14ac:dyDescent="0.3">
      <c r="A446" t="s">
        <v>16</v>
      </c>
      <c r="B446" s="21" t="s">
        <v>559</v>
      </c>
      <c r="C446" s="21" t="s">
        <v>688</v>
      </c>
      <c r="D446" s="117" t="s">
        <v>347</v>
      </c>
      <c r="E446" s="21" t="s">
        <v>9</v>
      </c>
      <c r="F446" s="21" t="s">
        <v>384</v>
      </c>
      <c r="G446" s="21">
        <v>150.28</v>
      </c>
      <c r="H446" s="21"/>
      <c r="I446" s="117" t="s">
        <v>325</v>
      </c>
      <c r="J446" s="117" t="s">
        <v>325</v>
      </c>
      <c r="K446" s="118"/>
      <c r="L446" s="21"/>
      <c r="M446" s="21"/>
      <c r="N446" s="21"/>
      <c r="O446" s="21"/>
      <c r="P446" s="21">
        <v>150.28</v>
      </c>
      <c r="Q446" s="21"/>
      <c r="R446" s="21" t="s">
        <v>923</v>
      </c>
      <c r="S446" s="119">
        <f>DATABASE_Table[[#This Row],[Inicial Asking Price (€) (Total)]]-DATABASE_Table[[#This Row],[Vista membership]]-DATABASE_Table[[#This Row],[FF&amp;E]]</f>
        <v>840000</v>
      </c>
      <c r="T446" s="125">
        <v>840000</v>
      </c>
      <c r="U446" s="124">
        <v>860000</v>
      </c>
      <c r="V446" s="21"/>
      <c r="W446" s="21"/>
      <c r="X446" s="73">
        <f>DATABASE_Table[[#This Row],[Current Asking price( Total)]]-DATABASE_Table[[#This Row],[Vista membership]]-DATABASE_Table[[#This Row],[FF&amp;E]]</f>
        <v>860000</v>
      </c>
      <c r="Y446" s="126">
        <v>0</v>
      </c>
      <c r="Z446" s="124">
        <v>860000</v>
      </c>
      <c r="AA446" s="73">
        <f>DATABASE_Table[[#This Row],[Sell price (Total)]]-DATABASE_Table[[#This Row],[FF&amp;E]]-DATABASE_Table[[#This Row],[Vista membership]]</f>
        <v>860000</v>
      </c>
      <c r="AB446" s="74">
        <v>45287</v>
      </c>
      <c r="AC446" s="74" t="str">
        <f t="shared" si="6"/>
        <v>Q4 2023</v>
      </c>
      <c r="AD446" s="123">
        <v>45841</v>
      </c>
      <c r="AE446" s="69"/>
      <c r="AF446" s="21" t="s">
        <v>10</v>
      </c>
      <c r="AG446" s="21" t="s">
        <v>796</v>
      </c>
      <c r="AH446" s="122" t="s">
        <v>17</v>
      </c>
      <c r="AI446" s="122" t="s">
        <v>18</v>
      </c>
      <c r="AJ446" s="122" t="s">
        <v>19</v>
      </c>
      <c r="AK446" s="122" t="s">
        <v>20</v>
      </c>
      <c r="AL446" s="21" t="s">
        <v>21</v>
      </c>
      <c r="AM446" s="122" t="s">
        <v>16</v>
      </c>
    </row>
    <row r="447" spans="1:39" customFormat="1" ht="15.75" customHeight="1" x14ac:dyDescent="0.3">
      <c r="A447" t="s">
        <v>16</v>
      </c>
      <c r="B447" s="21" t="s">
        <v>559</v>
      </c>
      <c r="C447" s="21" t="s">
        <v>688</v>
      </c>
      <c r="D447" s="117" t="s">
        <v>343</v>
      </c>
      <c r="E447" s="21" t="s">
        <v>9</v>
      </c>
      <c r="F447" s="21" t="s">
        <v>384</v>
      </c>
      <c r="G447" s="21">
        <v>149.33000000000001</v>
      </c>
      <c r="H447" s="21"/>
      <c r="I447" s="117" t="s">
        <v>325</v>
      </c>
      <c r="J447" s="117" t="s">
        <v>325</v>
      </c>
      <c r="K447" s="118"/>
      <c r="L447" s="21"/>
      <c r="M447" s="21"/>
      <c r="N447" s="21"/>
      <c r="O447" s="21"/>
      <c r="P447" s="21">
        <v>149.33000000000001</v>
      </c>
      <c r="Q447" s="21"/>
      <c r="R447" s="21" t="s">
        <v>327</v>
      </c>
      <c r="S447" s="119">
        <f>DATABASE_Table[[#This Row],[Inicial Asking Price (€) (Total)]]-DATABASE_Table[[#This Row],[Vista membership]]-DATABASE_Table[[#This Row],[FF&amp;E]]</f>
        <v>820000</v>
      </c>
      <c r="T447" s="125">
        <v>820000</v>
      </c>
      <c r="U447" s="124">
        <v>820000</v>
      </c>
      <c r="V447" s="21"/>
      <c r="W447" s="21"/>
      <c r="X447" s="73">
        <f>DATABASE_Table[[#This Row],[Current Asking price( Total)]]-DATABASE_Table[[#This Row],[Vista membership]]-DATABASE_Table[[#This Row],[FF&amp;E]]</f>
        <v>820000</v>
      </c>
      <c r="Y447" s="126">
        <v>0</v>
      </c>
      <c r="Z447" s="124">
        <v>820000</v>
      </c>
      <c r="AA447" s="73">
        <f>DATABASE_Table[[#This Row],[Sell price (Total)]]-DATABASE_Table[[#This Row],[FF&amp;E]]-DATABASE_Table[[#This Row],[Vista membership]]</f>
        <v>820000</v>
      </c>
      <c r="AB447" s="74">
        <v>45287</v>
      </c>
      <c r="AC447" s="74" t="str">
        <f t="shared" si="6"/>
        <v>Q4 2023</v>
      </c>
      <c r="AD447" s="123">
        <v>46165</v>
      </c>
      <c r="AE447" s="69"/>
      <c r="AF447" s="21" t="s">
        <v>10</v>
      </c>
      <c r="AG447" s="21" t="s">
        <v>796</v>
      </c>
      <c r="AH447" s="122" t="s">
        <v>17</v>
      </c>
      <c r="AI447" s="122" t="s">
        <v>18</v>
      </c>
      <c r="AJ447" s="122" t="s">
        <v>19</v>
      </c>
      <c r="AK447" s="122" t="s">
        <v>20</v>
      </c>
      <c r="AL447" s="21" t="s">
        <v>21</v>
      </c>
      <c r="AM447" s="122" t="s">
        <v>16</v>
      </c>
    </row>
    <row r="448" spans="1:39" customFormat="1" ht="15.75" customHeight="1" x14ac:dyDescent="0.3">
      <c r="A448" t="s">
        <v>16</v>
      </c>
      <c r="B448" s="21" t="s">
        <v>559</v>
      </c>
      <c r="C448" s="21" t="s">
        <v>688</v>
      </c>
      <c r="D448" s="117" t="s">
        <v>342</v>
      </c>
      <c r="E448" s="21" t="s">
        <v>9</v>
      </c>
      <c r="F448" s="21" t="s">
        <v>384</v>
      </c>
      <c r="G448" s="21">
        <v>146.72</v>
      </c>
      <c r="H448" s="21"/>
      <c r="I448" s="117" t="s">
        <v>325</v>
      </c>
      <c r="J448" s="117" t="s">
        <v>325</v>
      </c>
      <c r="K448" s="118"/>
      <c r="L448" s="21"/>
      <c r="M448" s="21"/>
      <c r="N448" s="21"/>
      <c r="O448" s="21"/>
      <c r="P448" s="21">
        <v>146.72</v>
      </c>
      <c r="Q448" s="21"/>
      <c r="R448" s="21" t="s">
        <v>923</v>
      </c>
      <c r="S448" s="119">
        <f>DATABASE_Table[[#This Row],[Inicial Asking Price (€) (Total)]]-DATABASE_Table[[#This Row],[Vista membership]]-DATABASE_Table[[#This Row],[FF&amp;E]]</f>
        <v>860000</v>
      </c>
      <c r="T448" s="125">
        <v>860000</v>
      </c>
      <c r="U448" s="124">
        <v>860000</v>
      </c>
      <c r="V448" s="21"/>
      <c r="W448" s="21"/>
      <c r="X448" s="73">
        <f>DATABASE_Table[[#This Row],[Current Asking price( Total)]]-DATABASE_Table[[#This Row],[Vista membership]]-DATABASE_Table[[#This Row],[FF&amp;E]]</f>
        <v>860000</v>
      </c>
      <c r="Y448" s="126">
        <v>0.03</v>
      </c>
      <c r="Z448" s="124">
        <v>834200</v>
      </c>
      <c r="AA448" s="73">
        <f>DATABASE_Table[[#This Row],[Sell price (Total)]]-DATABASE_Table[[#This Row],[FF&amp;E]]-DATABASE_Table[[#This Row],[Vista membership]]</f>
        <v>834200</v>
      </c>
      <c r="AB448" s="74">
        <v>45287</v>
      </c>
      <c r="AC448" s="74" t="str">
        <f t="shared" si="6"/>
        <v>Q4 2023</v>
      </c>
      <c r="AD448" s="123">
        <v>45848</v>
      </c>
      <c r="AE448" s="69"/>
      <c r="AF448" s="21" t="s">
        <v>10</v>
      </c>
      <c r="AG448" s="21" t="s">
        <v>796</v>
      </c>
      <c r="AH448" s="122" t="s">
        <v>17</v>
      </c>
      <c r="AI448" s="122" t="s">
        <v>18</v>
      </c>
      <c r="AJ448" s="122" t="s">
        <v>19</v>
      </c>
      <c r="AK448" s="122" t="s">
        <v>20</v>
      </c>
      <c r="AL448" s="21" t="s">
        <v>21</v>
      </c>
      <c r="AM448" s="122" t="s">
        <v>16</v>
      </c>
    </row>
    <row r="449" spans="1:39" customFormat="1" ht="15.75" customHeight="1" x14ac:dyDescent="0.3">
      <c r="A449" t="s">
        <v>16</v>
      </c>
      <c r="B449" s="21" t="s">
        <v>559</v>
      </c>
      <c r="C449" s="21" t="s">
        <v>688</v>
      </c>
      <c r="D449" s="117" t="s">
        <v>344</v>
      </c>
      <c r="E449" s="21" t="s">
        <v>9</v>
      </c>
      <c r="F449" s="21" t="s">
        <v>384</v>
      </c>
      <c r="G449" s="21">
        <v>146.21</v>
      </c>
      <c r="H449" s="21"/>
      <c r="I449" s="117" t="s">
        <v>325</v>
      </c>
      <c r="J449" s="117" t="s">
        <v>325</v>
      </c>
      <c r="K449" s="118"/>
      <c r="L449" s="21"/>
      <c r="M449" s="21"/>
      <c r="N449" s="21"/>
      <c r="O449" s="21"/>
      <c r="P449" s="21">
        <v>146.21</v>
      </c>
      <c r="Q449" s="21"/>
      <c r="R449" s="21" t="s">
        <v>329</v>
      </c>
      <c r="S449" s="119">
        <f>DATABASE_Table[[#This Row],[Inicial Asking Price (€) (Total)]]-DATABASE_Table[[#This Row],[Vista membership]]-DATABASE_Table[[#This Row],[FF&amp;E]]</f>
        <v>790000</v>
      </c>
      <c r="T449" s="125">
        <v>790000</v>
      </c>
      <c r="U449" s="124">
        <v>790000</v>
      </c>
      <c r="V449" s="21"/>
      <c r="W449" s="21"/>
      <c r="X449" s="73">
        <f>DATABASE_Table[[#This Row],[Current Asking price( Total)]]-DATABASE_Table[[#This Row],[Vista membership]]-DATABASE_Table[[#This Row],[FF&amp;E]]</f>
        <v>790000</v>
      </c>
      <c r="Y449" s="126"/>
      <c r="Z449" s="124">
        <v>790000</v>
      </c>
      <c r="AA449" s="73">
        <f>DATABASE_Table[[#This Row],[Sell price (Total)]]-DATABASE_Table[[#This Row],[FF&amp;E]]-DATABASE_Table[[#This Row],[Vista membership]]</f>
        <v>790000</v>
      </c>
      <c r="AB449" s="74">
        <v>45287</v>
      </c>
      <c r="AC449" s="74" t="str">
        <f t="shared" si="6"/>
        <v>Q4 2023</v>
      </c>
      <c r="AD449" s="123"/>
      <c r="AE449" s="69"/>
      <c r="AF449" s="21" t="s">
        <v>10</v>
      </c>
      <c r="AG449" s="21" t="s">
        <v>796</v>
      </c>
      <c r="AH449" s="122" t="s">
        <v>17</v>
      </c>
      <c r="AI449" s="122" t="s">
        <v>18</v>
      </c>
      <c r="AJ449" s="122" t="s">
        <v>19</v>
      </c>
      <c r="AK449" s="122" t="s">
        <v>20</v>
      </c>
      <c r="AL449" s="21" t="s">
        <v>21</v>
      </c>
      <c r="AM449" s="122" t="s">
        <v>16</v>
      </c>
    </row>
    <row r="450" spans="1:39" customFormat="1" ht="15.75" customHeight="1" x14ac:dyDescent="0.3">
      <c r="A450" t="s">
        <v>16</v>
      </c>
      <c r="B450" s="21" t="s">
        <v>560</v>
      </c>
      <c r="C450" s="21" t="s">
        <v>688</v>
      </c>
      <c r="D450" s="117" t="s">
        <v>336</v>
      </c>
      <c r="E450" s="21" t="s">
        <v>9</v>
      </c>
      <c r="F450" s="21" t="s">
        <v>384</v>
      </c>
      <c r="G450" s="21">
        <v>146.33000000000001</v>
      </c>
      <c r="H450" s="21"/>
      <c r="I450" s="117" t="s">
        <v>325</v>
      </c>
      <c r="J450" s="117" t="s">
        <v>325</v>
      </c>
      <c r="K450" s="118"/>
      <c r="L450" s="21"/>
      <c r="M450" s="21"/>
      <c r="N450" s="21"/>
      <c r="O450" s="21"/>
      <c r="P450" s="21">
        <v>146.33000000000001</v>
      </c>
      <c r="Q450" s="21"/>
      <c r="R450" s="21" t="s">
        <v>923</v>
      </c>
      <c r="S450" s="119">
        <f>DATABASE_Table[[#This Row],[Inicial Asking Price (€) (Total)]]-DATABASE_Table[[#This Row],[Vista membership]]-DATABASE_Table[[#This Row],[FF&amp;E]]</f>
        <v>810000</v>
      </c>
      <c r="T450" s="125">
        <v>810000</v>
      </c>
      <c r="U450" s="124">
        <v>830000</v>
      </c>
      <c r="V450" s="21"/>
      <c r="W450" s="21"/>
      <c r="X450" s="73">
        <f>DATABASE_Table[[#This Row],[Current Asking price( Total)]]-DATABASE_Table[[#This Row],[Vista membership]]-DATABASE_Table[[#This Row],[FF&amp;E]]</f>
        <v>830000</v>
      </c>
      <c r="Y450" s="126">
        <v>0</v>
      </c>
      <c r="Z450" s="124">
        <v>830000</v>
      </c>
      <c r="AA450" s="73">
        <f>DATABASE_Table[[#This Row],[Sell price (Total)]]-DATABASE_Table[[#This Row],[FF&amp;E]]-DATABASE_Table[[#This Row],[Vista membership]]</f>
        <v>830000</v>
      </c>
      <c r="AB450" s="74">
        <v>45287</v>
      </c>
      <c r="AC450" s="74" t="str">
        <f t="shared" ref="AC450:AC513" si="7">IF(AB450="","TO LAUNCH","Q"&amp;ROUNDUP(MONTH(AB450)/3,0)&amp;" "&amp;YEAR(AB450))</f>
        <v>Q4 2023</v>
      </c>
      <c r="AD450" s="123">
        <v>45537</v>
      </c>
      <c r="AE450" s="69"/>
      <c r="AF450" s="21" t="s">
        <v>10</v>
      </c>
      <c r="AG450" s="21" t="s">
        <v>796</v>
      </c>
      <c r="AH450" s="122" t="s">
        <v>17</v>
      </c>
      <c r="AI450" s="122" t="s">
        <v>18</v>
      </c>
      <c r="AJ450" s="122" t="s">
        <v>19</v>
      </c>
      <c r="AK450" s="122" t="s">
        <v>20</v>
      </c>
      <c r="AL450" s="21" t="s">
        <v>21</v>
      </c>
      <c r="AM450" s="122" t="s">
        <v>16</v>
      </c>
    </row>
    <row r="451" spans="1:39" customFormat="1" ht="15.75" customHeight="1" x14ac:dyDescent="0.3">
      <c r="A451" t="s">
        <v>16</v>
      </c>
      <c r="B451" s="21" t="s">
        <v>560</v>
      </c>
      <c r="C451" s="21" t="s">
        <v>688</v>
      </c>
      <c r="D451" s="117" t="s">
        <v>337</v>
      </c>
      <c r="E451" s="21" t="s">
        <v>9</v>
      </c>
      <c r="F451" s="21" t="s">
        <v>384</v>
      </c>
      <c r="G451" s="21">
        <v>146.69</v>
      </c>
      <c r="H451" s="21"/>
      <c r="I451" s="117" t="s">
        <v>325</v>
      </c>
      <c r="J451" s="117" t="s">
        <v>325</v>
      </c>
      <c r="K451" s="118"/>
      <c r="L451" s="21"/>
      <c r="M451" s="21"/>
      <c r="N451" s="21"/>
      <c r="O451" s="21"/>
      <c r="P451" s="21">
        <v>146.69</v>
      </c>
      <c r="Q451" s="21"/>
      <c r="R451" s="21" t="s">
        <v>923</v>
      </c>
      <c r="S451" s="119">
        <f>DATABASE_Table[[#This Row],[Inicial Asking Price (€) (Total)]]-DATABASE_Table[[#This Row],[Vista membership]]-DATABASE_Table[[#This Row],[FF&amp;E]]</f>
        <v>790000</v>
      </c>
      <c r="T451" s="125">
        <v>790000</v>
      </c>
      <c r="U451" s="124">
        <v>810000</v>
      </c>
      <c r="V451" s="21"/>
      <c r="W451" s="21"/>
      <c r="X451" s="73">
        <f>DATABASE_Table[[#This Row],[Current Asking price( Total)]]-DATABASE_Table[[#This Row],[Vista membership]]-DATABASE_Table[[#This Row],[FF&amp;E]]</f>
        <v>810000</v>
      </c>
      <c r="Y451" s="126">
        <v>0</v>
      </c>
      <c r="Z451" s="124">
        <v>810000</v>
      </c>
      <c r="AA451" s="73">
        <f>DATABASE_Table[[#This Row],[Sell price (Total)]]-DATABASE_Table[[#This Row],[FF&amp;E]]-DATABASE_Table[[#This Row],[Vista membership]]</f>
        <v>810000</v>
      </c>
      <c r="AB451" s="74">
        <v>45287</v>
      </c>
      <c r="AC451" s="74" t="str">
        <f t="shared" si="7"/>
        <v>Q4 2023</v>
      </c>
      <c r="AD451" s="123">
        <v>45771</v>
      </c>
      <c r="AE451" s="69"/>
      <c r="AF451" s="21" t="s">
        <v>10</v>
      </c>
      <c r="AG451" s="21" t="s">
        <v>796</v>
      </c>
      <c r="AH451" s="122" t="s">
        <v>17</v>
      </c>
      <c r="AI451" s="122" t="s">
        <v>18</v>
      </c>
      <c r="AJ451" s="122" t="s">
        <v>19</v>
      </c>
      <c r="AK451" s="122" t="s">
        <v>20</v>
      </c>
      <c r="AL451" s="21" t="s">
        <v>21</v>
      </c>
      <c r="AM451" s="122" t="s">
        <v>16</v>
      </c>
    </row>
    <row r="452" spans="1:39" customFormat="1" ht="15.75" customHeight="1" x14ac:dyDescent="0.3">
      <c r="A452" t="s">
        <v>16</v>
      </c>
      <c r="B452" s="21" t="s">
        <v>560</v>
      </c>
      <c r="C452" s="21" t="s">
        <v>688</v>
      </c>
      <c r="D452" s="117" t="s">
        <v>338</v>
      </c>
      <c r="E452" s="21" t="s">
        <v>9</v>
      </c>
      <c r="F452" s="21" t="s">
        <v>384</v>
      </c>
      <c r="G452" s="21">
        <v>139.57</v>
      </c>
      <c r="H452" s="21"/>
      <c r="I452" s="117" t="s">
        <v>325</v>
      </c>
      <c r="J452" s="117" t="s">
        <v>325</v>
      </c>
      <c r="K452" s="118"/>
      <c r="L452" s="21"/>
      <c r="M452" s="21"/>
      <c r="N452" s="21"/>
      <c r="O452" s="21"/>
      <c r="P452" s="21">
        <v>139.57</v>
      </c>
      <c r="Q452" s="21"/>
      <c r="R452" s="21" t="s">
        <v>923</v>
      </c>
      <c r="S452" s="119">
        <f>DATABASE_Table[[#This Row],[Inicial Asking Price (€) (Total)]]-DATABASE_Table[[#This Row],[Vista membership]]-DATABASE_Table[[#This Row],[FF&amp;E]]</f>
        <v>760000</v>
      </c>
      <c r="T452" s="125">
        <v>760000</v>
      </c>
      <c r="U452" s="124">
        <v>780000</v>
      </c>
      <c r="V452" s="21"/>
      <c r="W452" s="21"/>
      <c r="X452" s="73">
        <f>DATABASE_Table[[#This Row],[Current Asking price( Total)]]-DATABASE_Table[[#This Row],[Vista membership]]-DATABASE_Table[[#This Row],[FF&amp;E]]</f>
        <v>780000</v>
      </c>
      <c r="Y452" s="126">
        <v>0</v>
      </c>
      <c r="Z452" s="124">
        <v>780000</v>
      </c>
      <c r="AA452" s="73">
        <f>DATABASE_Table[[#This Row],[Sell price (Total)]]-DATABASE_Table[[#This Row],[FF&amp;E]]-DATABASE_Table[[#This Row],[Vista membership]]</f>
        <v>780000</v>
      </c>
      <c r="AB452" s="74">
        <v>45287</v>
      </c>
      <c r="AC452" s="74" t="str">
        <f t="shared" si="7"/>
        <v>Q4 2023</v>
      </c>
      <c r="AD452" s="123">
        <v>45548</v>
      </c>
      <c r="AE452" s="69"/>
      <c r="AF452" s="21" t="s">
        <v>10</v>
      </c>
      <c r="AG452" s="21" t="s">
        <v>796</v>
      </c>
      <c r="AH452" s="122" t="s">
        <v>17</v>
      </c>
      <c r="AI452" s="122" t="s">
        <v>18</v>
      </c>
      <c r="AJ452" s="122" t="s">
        <v>19</v>
      </c>
      <c r="AK452" s="122" t="s">
        <v>20</v>
      </c>
      <c r="AL452" s="21" t="s">
        <v>21</v>
      </c>
      <c r="AM452" s="122" t="s">
        <v>16</v>
      </c>
    </row>
    <row r="453" spans="1:39" customFormat="1" ht="15.75" customHeight="1" x14ac:dyDescent="0.3">
      <c r="A453" t="s">
        <v>16</v>
      </c>
      <c r="B453" s="21" t="s">
        <v>560</v>
      </c>
      <c r="C453" s="21" t="s">
        <v>688</v>
      </c>
      <c r="D453" s="117" t="s">
        <v>339</v>
      </c>
      <c r="E453" s="21" t="s">
        <v>9</v>
      </c>
      <c r="F453" s="21" t="s">
        <v>383</v>
      </c>
      <c r="G453" s="21">
        <v>170.86</v>
      </c>
      <c r="H453" s="21"/>
      <c r="I453" s="117" t="s">
        <v>325</v>
      </c>
      <c r="J453" s="117" t="s">
        <v>325</v>
      </c>
      <c r="K453" s="118"/>
      <c r="L453" s="21"/>
      <c r="M453" s="21"/>
      <c r="N453" s="21"/>
      <c r="O453" s="21"/>
      <c r="P453" s="21">
        <v>170.86</v>
      </c>
      <c r="Q453" s="21"/>
      <c r="R453" s="21" t="s">
        <v>923</v>
      </c>
      <c r="S453" s="119">
        <f>DATABASE_Table[[#This Row],[Inicial Asking Price (€) (Total)]]-DATABASE_Table[[#This Row],[Vista membership]]-DATABASE_Table[[#This Row],[FF&amp;E]]</f>
        <v>930000</v>
      </c>
      <c r="T453" s="125">
        <v>930000</v>
      </c>
      <c r="U453" s="124">
        <v>883500</v>
      </c>
      <c r="V453" s="21"/>
      <c r="W453" s="21"/>
      <c r="X453" s="73">
        <f>DATABASE_Table[[#This Row],[Current Asking price( Total)]]-DATABASE_Table[[#This Row],[Vista membership]]-DATABASE_Table[[#This Row],[FF&amp;E]]</f>
        <v>883500</v>
      </c>
      <c r="Y453" s="126">
        <v>0</v>
      </c>
      <c r="Z453" s="124">
        <v>883500</v>
      </c>
      <c r="AA453" s="73">
        <f>DATABASE_Table[[#This Row],[Sell price (Total)]]-DATABASE_Table[[#This Row],[FF&amp;E]]-DATABASE_Table[[#This Row],[Vista membership]]</f>
        <v>883500</v>
      </c>
      <c r="AB453" s="74">
        <v>45287</v>
      </c>
      <c r="AC453" s="74" t="str">
        <f t="shared" si="7"/>
        <v>Q4 2023</v>
      </c>
      <c r="AD453" s="123">
        <v>45019</v>
      </c>
      <c r="AE453" s="69"/>
      <c r="AF453" s="21" t="s">
        <v>10</v>
      </c>
      <c r="AG453" s="21" t="s">
        <v>796</v>
      </c>
      <c r="AH453" s="122" t="s">
        <v>17</v>
      </c>
      <c r="AI453" s="122" t="s">
        <v>18</v>
      </c>
      <c r="AJ453" s="122" t="s">
        <v>19</v>
      </c>
      <c r="AK453" s="122" t="s">
        <v>20</v>
      </c>
      <c r="AL453" s="21" t="s">
        <v>21</v>
      </c>
      <c r="AM453" s="122" t="s">
        <v>16</v>
      </c>
    </row>
    <row r="454" spans="1:39" customFormat="1" ht="15.75" customHeight="1" x14ac:dyDescent="0.3">
      <c r="A454" t="s">
        <v>16</v>
      </c>
      <c r="B454" s="21" t="s">
        <v>560</v>
      </c>
      <c r="C454" s="21" t="s">
        <v>688</v>
      </c>
      <c r="D454" s="117" t="s">
        <v>341</v>
      </c>
      <c r="E454" s="21" t="s">
        <v>9</v>
      </c>
      <c r="F454" s="21" t="s">
        <v>384</v>
      </c>
      <c r="G454" s="21">
        <v>139.58000000000001</v>
      </c>
      <c r="H454" s="21"/>
      <c r="I454" s="117" t="s">
        <v>325</v>
      </c>
      <c r="J454" s="117" t="s">
        <v>325</v>
      </c>
      <c r="K454" s="118"/>
      <c r="L454" s="21"/>
      <c r="M454" s="21"/>
      <c r="N454" s="21"/>
      <c r="O454" s="21"/>
      <c r="P454" s="21">
        <v>139.58000000000001</v>
      </c>
      <c r="Q454" s="21"/>
      <c r="R454" s="21" t="s">
        <v>923</v>
      </c>
      <c r="S454" s="119">
        <f>DATABASE_Table[[#This Row],[Inicial Asking Price (€) (Total)]]-DATABASE_Table[[#This Row],[Vista membership]]-DATABASE_Table[[#This Row],[FF&amp;E]]</f>
        <v>760000</v>
      </c>
      <c r="T454" s="125">
        <v>760000</v>
      </c>
      <c r="U454" s="124">
        <v>780000</v>
      </c>
      <c r="V454" s="21"/>
      <c r="W454" s="21"/>
      <c r="X454" s="73">
        <f>DATABASE_Table[[#This Row],[Current Asking price( Total)]]-DATABASE_Table[[#This Row],[Vista membership]]-DATABASE_Table[[#This Row],[FF&amp;E]]</f>
        <v>780000</v>
      </c>
      <c r="Y454" s="126">
        <v>0</v>
      </c>
      <c r="Z454" s="124">
        <v>780000</v>
      </c>
      <c r="AA454" s="73">
        <f>DATABASE_Table[[#This Row],[Sell price (Total)]]-DATABASE_Table[[#This Row],[FF&amp;E]]-DATABASE_Table[[#This Row],[Vista membership]]</f>
        <v>780000</v>
      </c>
      <c r="AB454" s="74">
        <v>45287</v>
      </c>
      <c r="AC454" s="74" t="str">
        <f t="shared" si="7"/>
        <v>Q4 2023</v>
      </c>
      <c r="AD454" s="123">
        <v>45841</v>
      </c>
      <c r="AE454" s="69"/>
      <c r="AF454" s="21" t="s">
        <v>10</v>
      </c>
      <c r="AG454" s="21" t="s">
        <v>796</v>
      </c>
      <c r="AH454" s="122" t="s">
        <v>17</v>
      </c>
      <c r="AI454" s="122" t="s">
        <v>18</v>
      </c>
      <c r="AJ454" s="122" t="s">
        <v>19</v>
      </c>
      <c r="AK454" s="122" t="s">
        <v>20</v>
      </c>
      <c r="AL454" s="21" t="s">
        <v>21</v>
      </c>
      <c r="AM454" s="122" t="s">
        <v>16</v>
      </c>
    </row>
    <row r="455" spans="1:39" customFormat="1" ht="15.75" customHeight="1" x14ac:dyDescent="0.3">
      <c r="A455" t="s">
        <v>16</v>
      </c>
      <c r="B455" s="21" t="s">
        <v>560</v>
      </c>
      <c r="C455" s="21" t="s">
        <v>688</v>
      </c>
      <c r="D455" s="117" t="s">
        <v>342</v>
      </c>
      <c r="E455" s="21" t="s">
        <v>9</v>
      </c>
      <c r="F455" s="21" t="s">
        <v>383</v>
      </c>
      <c r="G455" s="21">
        <v>163.53</v>
      </c>
      <c r="H455" s="21"/>
      <c r="I455" s="117" t="s">
        <v>325</v>
      </c>
      <c r="J455" s="117" t="s">
        <v>325</v>
      </c>
      <c r="K455" s="118"/>
      <c r="L455" s="21"/>
      <c r="M455" s="21"/>
      <c r="N455" s="21"/>
      <c r="O455" s="21"/>
      <c r="P455" s="21">
        <v>163.53</v>
      </c>
      <c r="Q455" s="21"/>
      <c r="R455" s="21" t="s">
        <v>923</v>
      </c>
      <c r="S455" s="119">
        <f>DATABASE_Table[[#This Row],[Inicial Asking Price (€) (Total)]]-DATABASE_Table[[#This Row],[Vista membership]]-DATABASE_Table[[#This Row],[FF&amp;E]]</f>
        <v>920000</v>
      </c>
      <c r="T455" s="125">
        <v>920000</v>
      </c>
      <c r="U455" s="124">
        <v>960000</v>
      </c>
      <c r="V455" s="21"/>
      <c r="W455" s="21"/>
      <c r="X455" s="73">
        <f>DATABASE_Table[[#This Row],[Current Asking price( Total)]]-DATABASE_Table[[#This Row],[Vista membership]]-DATABASE_Table[[#This Row],[FF&amp;E]]</f>
        <v>960000</v>
      </c>
      <c r="Y455" s="126">
        <v>0</v>
      </c>
      <c r="Z455" s="124">
        <v>960000</v>
      </c>
      <c r="AA455" s="73">
        <f>DATABASE_Table[[#This Row],[Sell price (Total)]]-DATABASE_Table[[#This Row],[FF&amp;E]]-DATABASE_Table[[#This Row],[Vista membership]]</f>
        <v>960000</v>
      </c>
      <c r="AB455" s="74">
        <v>45287</v>
      </c>
      <c r="AC455" s="74" t="str">
        <f t="shared" si="7"/>
        <v>Q4 2023</v>
      </c>
      <c r="AD455" s="123">
        <v>45532</v>
      </c>
      <c r="AE455" s="69"/>
      <c r="AF455" s="21" t="s">
        <v>10</v>
      </c>
      <c r="AG455" s="21" t="s">
        <v>796</v>
      </c>
      <c r="AH455" s="122" t="s">
        <v>17</v>
      </c>
      <c r="AI455" s="122" t="s">
        <v>18</v>
      </c>
      <c r="AJ455" s="122" t="s">
        <v>19</v>
      </c>
      <c r="AK455" s="122" t="s">
        <v>20</v>
      </c>
      <c r="AL455" s="21" t="s">
        <v>21</v>
      </c>
      <c r="AM455" s="122" t="s">
        <v>16</v>
      </c>
    </row>
    <row r="456" spans="1:39" customFormat="1" ht="15.75" customHeight="1" x14ac:dyDescent="0.3">
      <c r="A456" t="s">
        <v>16</v>
      </c>
      <c r="B456" s="21" t="s">
        <v>560</v>
      </c>
      <c r="C456" s="21" t="s">
        <v>688</v>
      </c>
      <c r="D456" s="117" t="s">
        <v>345</v>
      </c>
      <c r="E456" s="21" t="s">
        <v>9</v>
      </c>
      <c r="F456" s="21" t="s">
        <v>384</v>
      </c>
      <c r="G456" s="21">
        <v>145.87</v>
      </c>
      <c r="H456" s="21"/>
      <c r="I456" s="117" t="s">
        <v>325</v>
      </c>
      <c r="J456" s="117" t="s">
        <v>325</v>
      </c>
      <c r="K456" s="118"/>
      <c r="L456" s="21"/>
      <c r="M456" s="21"/>
      <c r="N456" s="21"/>
      <c r="O456" s="21"/>
      <c r="P456" s="21">
        <v>145.87</v>
      </c>
      <c r="Q456" s="21"/>
      <c r="R456" s="21" t="s">
        <v>923</v>
      </c>
      <c r="S456" s="119">
        <f>DATABASE_Table[[#This Row],[Inicial Asking Price (€) (Total)]]-DATABASE_Table[[#This Row],[Vista membership]]-DATABASE_Table[[#This Row],[FF&amp;E]]</f>
        <v>810000</v>
      </c>
      <c r="T456" s="125">
        <v>810000</v>
      </c>
      <c r="U456" s="124">
        <v>830000</v>
      </c>
      <c r="V456" s="21"/>
      <c r="W456" s="21"/>
      <c r="X456" s="73">
        <f>DATABASE_Table[[#This Row],[Current Asking price( Total)]]-DATABASE_Table[[#This Row],[Vista membership]]-DATABASE_Table[[#This Row],[FF&amp;E]]</f>
        <v>830000</v>
      </c>
      <c r="Y456" s="126">
        <v>0</v>
      </c>
      <c r="Z456" s="124">
        <v>830000</v>
      </c>
      <c r="AA456" s="73">
        <f>DATABASE_Table[[#This Row],[Sell price (Total)]]-DATABASE_Table[[#This Row],[FF&amp;E]]-DATABASE_Table[[#This Row],[Vista membership]]</f>
        <v>830000</v>
      </c>
      <c r="AB456" s="74">
        <v>45287</v>
      </c>
      <c r="AC456" s="74" t="str">
        <f t="shared" si="7"/>
        <v>Q4 2023</v>
      </c>
      <c r="AD456" s="123">
        <v>45657</v>
      </c>
      <c r="AE456" s="69"/>
      <c r="AF456" s="21" t="s">
        <v>10</v>
      </c>
      <c r="AG456" s="21" t="s">
        <v>796</v>
      </c>
      <c r="AH456" s="122" t="s">
        <v>17</v>
      </c>
      <c r="AI456" s="122" t="s">
        <v>18</v>
      </c>
      <c r="AJ456" s="122" t="s">
        <v>19</v>
      </c>
      <c r="AK456" s="122" t="s">
        <v>20</v>
      </c>
      <c r="AL456" s="21" t="s">
        <v>21</v>
      </c>
      <c r="AM456" s="122" t="s">
        <v>16</v>
      </c>
    </row>
    <row r="457" spans="1:39" customFormat="1" ht="15.75" customHeight="1" x14ac:dyDescent="0.3">
      <c r="A457" t="s">
        <v>16</v>
      </c>
      <c r="B457" s="21" t="s">
        <v>560</v>
      </c>
      <c r="C457" s="21" t="s">
        <v>688</v>
      </c>
      <c r="D457" s="117" t="s">
        <v>346</v>
      </c>
      <c r="E457" s="21" t="s">
        <v>9</v>
      </c>
      <c r="F457" s="21" t="s">
        <v>383</v>
      </c>
      <c r="G457" s="21">
        <v>164.09</v>
      </c>
      <c r="H457" s="21"/>
      <c r="I457" s="117" t="s">
        <v>325</v>
      </c>
      <c r="J457" s="117" t="s">
        <v>325</v>
      </c>
      <c r="K457" s="118"/>
      <c r="L457" s="21"/>
      <c r="M457" s="21"/>
      <c r="N457" s="21"/>
      <c r="O457" s="21"/>
      <c r="P457" s="21">
        <v>164.09</v>
      </c>
      <c r="Q457" s="21"/>
      <c r="R457" s="21" t="s">
        <v>923</v>
      </c>
      <c r="S457" s="119">
        <f>DATABASE_Table[[#This Row],[Inicial Asking Price (€) (Total)]]-DATABASE_Table[[#This Row],[Vista membership]]-DATABASE_Table[[#This Row],[FF&amp;E]]</f>
        <v>930000</v>
      </c>
      <c r="T457" s="125">
        <v>930000</v>
      </c>
      <c r="U457" s="124">
        <v>950000</v>
      </c>
      <c r="V457" s="21"/>
      <c r="W457" s="21"/>
      <c r="X457" s="73">
        <f>DATABASE_Table[[#This Row],[Current Asking price( Total)]]-DATABASE_Table[[#This Row],[Vista membership]]-DATABASE_Table[[#This Row],[FF&amp;E]]</f>
        <v>950000</v>
      </c>
      <c r="Y457" s="126">
        <v>0</v>
      </c>
      <c r="Z457" s="124">
        <v>950000</v>
      </c>
      <c r="AA457" s="73">
        <f>DATABASE_Table[[#This Row],[Sell price (Total)]]-DATABASE_Table[[#This Row],[FF&amp;E]]-DATABASE_Table[[#This Row],[Vista membership]]</f>
        <v>950000</v>
      </c>
      <c r="AB457" s="74">
        <v>45287</v>
      </c>
      <c r="AC457" s="74" t="str">
        <f t="shared" si="7"/>
        <v>Q4 2023</v>
      </c>
      <c r="AD457" s="123">
        <v>45967</v>
      </c>
      <c r="AE457" s="69"/>
      <c r="AF457" s="21" t="s">
        <v>10</v>
      </c>
      <c r="AG457" s="21" t="s">
        <v>796</v>
      </c>
      <c r="AH457" s="122" t="s">
        <v>17</v>
      </c>
      <c r="AI457" s="122" t="s">
        <v>18</v>
      </c>
      <c r="AJ457" s="122" t="s">
        <v>19</v>
      </c>
      <c r="AK457" s="122" t="s">
        <v>20</v>
      </c>
      <c r="AL457" s="21" t="s">
        <v>21</v>
      </c>
      <c r="AM457" s="122" t="s">
        <v>16</v>
      </c>
    </row>
    <row r="458" spans="1:39" customFormat="1" ht="15.75" customHeight="1" x14ac:dyDescent="0.3">
      <c r="A458" t="s">
        <v>16</v>
      </c>
      <c r="B458" s="21" t="s">
        <v>560</v>
      </c>
      <c r="C458" s="21" t="s">
        <v>688</v>
      </c>
      <c r="D458" s="117" t="s">
        <v>347</v>
      </c>
      <c r="E458" s="21" t="s">
        <v>9</v>
      </c>
      <c r="F458" s="21" t="s">
        <v>383</v>
      </c>
      <c r="G458" s="21">
        <v>161.47999999999999</v>
      </c>
      <c r="H458" s="21"/>
      <c r="I458" s="117" t="s">
        <v>325</v>
      </c>
      <c r="J458" s="117" t="s">
        <v>325</v>
      </c>
      <c r="K458" s="118"/>
      <c r="L458" s="21"/>
      <c r="M458" s="21"/>
      <c r="N458" s="21"/>
      <c r="O458" s="21"/>
      <c r="P458" s="21">
        <v>161.47999999999999</v>
      </c>
      <c r="Q458" s="21"/>
      <c r="R458" s="21" t="s">
        <v>923</v>
      </c>
      <c r="S458" s="119">
        <f>DATABASE_Table[[#This Row],[Inicial Asking Price (€) (Total)]]-DATABASE_Table[[#This Row],[Vista membership]]-DATABASE_Table[[#This Row],[FF&amp;E]]</f>
        <v>930000</v>
      </c>
      <c r="T458" s="125">
        <v>930000</v>
      </c>
      <c r="U458" s="124">
        <v>930000</v>
      </c>
      <c r="V458" s="21"/>
      <c r="W458" s="21"/>
      <c r="X458" s="73">
        <f>DATABASE_Table[[#This Row],[Current Asking price( Total)]]-DATABASE_Table[[#This Row],[Vista membership]]-DATABASE_Table[[#This Row],[FF&amp;E]]</f>
        <v>930000</v>
      </c>
      <c r="Y458" s="126">
        <v>0</v>
      </c>
      <c r="Z458" s="124">
        <v>930000</v>
      </c>
      <c r="AA458" s="73">
        <f>DATABASE_Table[[#This Row],[Sell price (Total)]]-DATABASE_Table[[#This Row],[FF&amp;E]]-DATABASE_Table[[#This Row],[Vista membership]]</f>
        <v>930000</v>
      </c>
      <c r="AB458" s="74">
        <v>45287</v>
      </c>
      <c r="AC458" s="74" t="str">
        <f t="shared" si="7"/>
        <v>Q4 2023</v>
      </c>
      <c r="AD458" s="123">
        <v>45094</v>
      </c>
      <c r="AE458" s="69"/>
      <c r="AF458" s="21" t="s">
        <v>10</v>
      </c>
      <c r="AG458" s="21" t="s">
        <v>796</v>
      </c>
      <c r="AH458" s="122" t="s">
        <v>17</v>
      </c>
      <c r="AI458" s="122" t="s">
        <v>18</v>
      </c>
      <c r="AJ458" s="122" t="s">
        <v>19</v>
      </c>
      <c r="AK458" s="122" t="s">
        <v>20</v>
      </c>
      <c r="AL458" s="21" t="s">
        <v>21</v>
      </c>
      <c r="AM458" s="122" t="s">
        <v>16</v>
      </c>
    </row>
    <row r="459" spans="1:39" customFormat="1" ht="15.75" customHeight="1" x14ac:dyDescent="0.3">
      <c r="A459" t="s">
        <v>16</v>
      </c>
      <c r="B459" s="21" t="s">
        <v>560</v>
      </c>
      <c r="C459" s="21" t="s">
        <v>688</v>
      </c>
      <c r="D459" s="117" t="s">
        <v>348</v>
      </c>
      <c r="E459" s="21" t="s">
        <v>9</v>
      </c>
      <c r="F459" s="21" t="s">
        <v>384</v>
      </c>
      <c r="G459" s="21">
        <v>149.22999999999999</v>
      </c>
      <c r="H459" s="21"/>
      <c r="I459" s="117" t="s">
        <v>325</v>
      </c>
      <c r="J459" s="117" t="s">
        <v>325</v>
      </c>
      <c r="K459" s="118"/>
      <c r="L459" s="21"/>
      <c r="M459" s="21"/>
      <c r="N459" s="21"/>
      <c r="O459" s="21"/>
      <c r="P459" s="21">
        <v>149.22999999999999</v>
      </c>
      <c r="Q459" s="21"/>
      <c r="R459" s="21" t="s">
        <v>923</v>
      </c>
      <c r="S459" s="119">
        <f>DATABASE_Table[[#This Row],[Inicial Asking Price (€) (Total)]]-DATABASE_Table[[#This Row],[Vista membership]]-DATABASE_Table[[#This Row],[FF&amp;E]]</f>
        <v>830000</v>
      </c>
      <c r="T459" s="125">
        <v>830000</v>
      </c>
      <c r="U459" s="124">
        <v>850000</v>
      </c>
      <c r="V459" s="21"/>
      <c r="W459" s="21"/>
      <c r="X459" s="73">
        <f>DATABASE_Table[[#This Row],[Current Asking price( Total)]]-DATABASE_Table[[#This Row],[Vista membership]]-DATABASE_Table[[#This Row],[FF&amp;E]]</f>
        <v>850000</v>
      </c>
      <c r="Y459" s="126">
        <v>0</v>
      </c>
      <c r="Z459" s="124">
        <v>850000</v>
      </c>
      <c r="AA459" s="73">
        <f>DATABASE_Table[[#This Row],[Sell price (Total)]]-DATABASE_Table[[#This Row],[FF&amp;E]]-DATABASE_Table[[#This Row],[Vista membership]]</f>
        <v>850000</v>
      </c>
      <c r="AB459" s="74">
        <v>45287</v>
      </c>
      <c r="AC459" s="74" t="str">
        <f t="shared" si="7"/>
        <v>Q4 2023</v>
      </c>
      <c r="AD459" s="123">
        <v>45906</v>
      </c>
      <c r="AE459" s="69"/>
      <c r="AF459" s="21" t="s">
        <v>10</v>
      </c>
      <c r="AG459" s="21" t="s">
        <v>796</v>
      </c>
      <c r="AH459" s="122" t="s">
        <v>17</v>
      </c>
      <c r="AI459" s="122" t="s">
        <v>18</v>
      </c>
      <c r="AJ459" s="122" t="s">
        <v>19</v>
      </c>
      <c r="AK459" s="122" t="s">
        <v>20</v>
      </c>
      <c r="AL459" s="21" t="s">
        <v>21</v>
      </c>
      <c r="AM459" s="122" t="s">
        <v>16</v>
      </c>
    </row>
    <row r="460" spans="1:39" customFormat="1" ht="15.75" customHeight="1" x14ac:dyDescent="0.3">
      <c r="A460" t="s">
        <v>16</v>
      </c>
      <c r="B460" s="21" t="s">
        <v>560</v>
      </c>
      <c r="C460" s="21" t="s">
        <v>688</v>
      </c>
      <c r="D460" s="117" t="s">
        <v>349</v>
      </c>
      <c r="E460" s="21" t="s">
        <v>9</v>
      </c>
      <c r="F460" s="21" t="s">
        <v>383</v>
      </c>
      <c r="G460" s="21">
        <v>170.14</v>
      </c>
      <c r="H460" s="21"/>
      <c r="I460" s="117" t="s">
        <v>325</v>
      </c>
      <c r="J460" s="117" t="s">
        <v>325</v>
      </c>
      <c r="K460" s="118"/>
      <c r="L460" s="21"/>
      <c r="M460" s="21"/>
      <c r="N460" s="21"/>
      <c r="O460" s="21"/>
      <c r="P460" s="21">
        <v>170.14</v>
      </c>
      <c r="Q460" s="21"/>
      <c r="R460" s="21" t="s">
        <v>923</v>
      </c>
      <c r="S460" s="119">
        <f>DATABASE_Table[[#This Row],[Inicial Asking Price (€) (Total)]]-DATABASE_Table[[#This Row],[Vista membership]]-DATABASE_Table[[#This Row],[FF&amp;E]]</f>
        <v>980000</v>
      </c>
      <c r="T460" s="125">
        <v>980000</v>
      </c>
      <c r="U460" s="124">
        <v>980000</v>
      </c>
      <c r="V460" s="21"/>
      <c r="W460" s="21"/>
      <c r="X460" s="73">
        <f>DATABASE_Table[[#This Row],[Current Asking price( Total)]]-DATABASE_Table[[#This Row],[Vista membership]]-DATABASE_Table[[#This Row],[FF&amp;E]]</f>
        <v>980000</v>
      </c>
      <c r="Y460" s="126">
        <v>0</v>
      </c>
      <c r="Z460" s="124">
        <v>980000</v>
      </c>
      <c r="AA460" s="73">
        <f>DATABASE_Table[[#This Row],[Sell price (Total)]]-DATABASE_Table[[#This Row],[FF&amp;E]]-DATABASE_Table[[#This Row],[Vista membership]]</f>
        <v>980000</v>
      </c>
      <c r="AB460" s="74">
        <v>45287</v>
      </c>
      <c r="AC460" s="74" t="str">
        <f t="shared" si="7"/>
        <v>Q4 2023</v>
      </c>
      <c r="AD460" s="123">
        <v>45520</v>
      </c>
      <c r="AE460" s="69"/>
      <c r="AF460" s="21" t="s">
        <v>10</v>
      </c>
      <c r="AG460" s="21" t="s">
        <v>796</v>
      </c>
      <c r="AH460" s="122" t="s">
        <v>17</v>
      </c>
      <c r="AI460" s="122" t="s">
        <v>18</v>
      </c>
      <c r="AJ460" s="122" t="s">
        <v>19</v>
      </c>
      <c r="AK460" s="122" t="s">
        <v>20</v>
      </c>
      <c r="AL460" s="21" t="s">
        <v>21</v>
      </c>
      <c r="AM460" s="122" t="s">
        <v>16</v>
      </c>
    </row>
    <row r="461" spans="1:39" customFormat="1" ht="15.75" customHeight="1" x14ac:dyDescent="0.3">
      <c r="A461" t="s">
        <v>16</v>
      </c>
      <c r="B461" s="21" t="s">
        <v>560</v>
      </c>
      <c r="C461" s="21" t="s">
        <v>688</v>
      </c>
      <c r="D461" s="117" t="s">
        <v>344</v>
      </c>
      <c r="E461" s="21" t="s">
        <v>9</v>
      </c>
      <c r="F461" s="21" t="s">
        <v>384</v>
      </c>
      <c r="G461" s="21">
        <v>145.41</v>
      </c>
      <c r="H461" s="21"/>
      <c r="I461" s="117" t="s">
        <v>325</v>
      </c>
      <c r="J461" s="117" t="s">
        <v>325</v>
      </c>
      <c r="K461" s="118"/>
      <c r="L461" s="21"/>
      <c r="M461" s="21"/>
      <c r="N461" s="21"/>
      <c r="O461" s="21"/>
      <c r="P461" s="21">
        <v>145.41</v>
      </c>
      <c r="Q461" s="21"/>
      <c r="R461" s="21" t="s">
        <v>326</v>
      </c>
      <c r="S461" s="119">
        <f>DATABASE_Table[[#This Row],[Inicial Asking Price (€) (Total)]]-DATABASE_Table[[#This Row],[Vista membership]]-DATABASE_Table[[#This Row],[FF&amp;E]]</f>
        <v>810000</v>
      </c>
      <c r="T461" s="125">
        <v>810000</v>
      </c>
      <c r="U461" s="124">
        <v>830000</v>
      </c>
      <c r="V461" s="21"/>
      <c r="W461" s="21"/>
      <c r="X461" s="73">
        <f>DATABASE_Table[[#This Row],[Current Asking price( Total)]]-DATABASE_Table[[#This Row],[Vista membership]]-DATABASE_Table[[#This Row],[FF&amp;E]]</f>
        <v>830000</v>
      </c>
      <c r="Y461" s="126">
        <v>8.4337349397590692E-3</v>
      </c>
      <c r="Z461" s="124">
        <v>823000</v>
      </c>
      <c r="AA461" s="73">
        <f>DATABASE_Table[[#This Row],[Sell price (Total)]]-DATABASE_Table[[#This Row],[FF&amp;E]]-DATABASE_Table[[#This Row],[Vista membership]]</f>
        <v>823000</v>
      </c>
      <c r="AB461" s="74">
        <v>45287</v>
      </c>
      <c r="AC461" s="74" t="str">
        <f t="shared" si="7"/>
        <v>Q4 2023</v>
      </c>
      <c r="AD461" s="123">
        <v>46188</v>
      </c>
      <c r="AE461" s="69"/>
      <c r="AF461" s="21" t="s">
        <v>10</v>
      </c>
      <c r="AG461" s="21" t="s">
        <v>796</v>
      </c>
      <c r="AH461" s="122" t="s">
        <v>17</v>
      </c>
      <c r="AI461" s="122" t="s">
        <v>18</v>
      </c>
      <c r="AJ461" s="122" t="s">
        <v>19</v>
      </c>
      <c r="AK461" s="122" t="s">
        <v>20</v>
      </c>
      <c r="AL461" s="21" t="s">
        <v>21</v>
      </c>
      <c r="AM461" s="122" t="s">
        <v>16</v>
      </c>
    </row>
    <row r="462" spans="1:39" customFormat="1" ht="15.75" customHeight="1" x14ac:dyDescent="0.3">
      <c r="A462" t="s">
        <v>16</v>
      </c>
      <c r="B462" s="21" t="s">
        <v>560</v>
      </c>
      <c r="C462" s="21" t="s">
        <v>688</v>
      </c>
      <c r="D462" s="117" t="s">
        <v>340</v>
      </c>
      <c r="E462" s="21" t="s">
        <v>9</v>
      </c>
      <c r="F462" s="21" t="s">
        <v>383</v>
      </c>
      <c r="G462" s="21">
        <v>170.86</v>
      </c>
      <c r="H462" s="21"/>
      <c r="I462" s="117" t="s">
        <v>325</v>
      </c>
      <c r="J462" s="117" t="s">
        <v>325</v>
      </c>
      <c r="K462" s="118"/>
      <c r="L462" s="21"/>
      <c r="M462" s="21"/>
      <c r="N462" s="21"/>
      <c r="O462" s="21"/>
      <c r="P462" s="21">
        <v>170.86</v>
      </c>
      <c r="Q462" s="21"/>
      <c r="R462" s="21" t="s">
        <v>923</v>
      </c>
      <c r="S462" s="119">
        <f>DATABASE_Table[[#This Row],[Inicial Asking Price (€) (Total)]]-DATABASE_Table[[#This Row],[Vista membership]]-DATABASE_Table[[#This Row],[FF&amp;E]]</f>
        <v>940000</v>
      </c>
      <c r="T462" s="125">
        <v>940000</v>
      </c>
      <c r="U462" s="124">
        <v>960000</v>
      </c>
      <c r="V462" s="21"/>
      <c r="W462" s="21"/>
      <c r="X462" s="73">
        <f>DATABASE_Table[[#This Row],[Current Asking price( Total)]]-DATABASE_Table[[#This Row],[Vista membership]]-DATABASE_Table[[#This Row],[FF&amp;E]]</f>
        <v>960000</v>
      </c>
      <c r="Y462" s="126">
        <v>6.25E-2</v>
      </c>
      <c r="Z462" s="124">
        <v>900000</v>
      </c>
      <c r="AA462" s="73">
        <f>DATABASE_Table[[#This Row],[Sell price (Total)]]-DATABASE_Table[[#This Row],[FF&amp;E]]-DATABASE_Table[[#This Row],[Vista membership]]</f>
        <v>900000</v>
      </c>
      <c r="AB462" s="74">
        <v>45287</v>
      </c>
      <c r="AC462" s="74" t="str">
        <f t="shared" si="7"/>
        <v>Q4 2023</v>
      </c>
      <c r="AD462" s="123">
        <v>46102</v>
      </c>
      <c r="AE462" s="69"/>
      <c r="AF462" s="21" t="s">
        <v>10</v>
      </c>
      <c r="AG462" s="21" t="s">
        <v>796</v>
      </c>
      <c r="AH462" s="122" t="s">
        <v>17</v>
      </c>
      <c r="AI462" s="122" t="s">
        <v>18</v>
      </c>
      <c r="AJ462" s="122" t="s">
        <v>19</v>
      </c>
      <c r="AK462" s="122" t="s">
        <v>20</v>
      </c>
      <c r="AL462" s="21" t="s">
        <v>21</v>
      </c>
      <c r="AM462" s="122" t="s">
        <v>16</v>
      </c>
    </row>
    <row r="463" spans="1:39" customFormat="1" ht="15.75" customHeight="1" x14ac:dyDescent="0.3">
      <c r="A463" t="s">
        <v>16</v>
      </c>
      <c r="B463" s="21" t="s">
        <v>560</v>
      </c>
      <c r="C463" s="21" t="s">
        <v>688</v>
      </c>
      <c r="D463" s="117" t="s">
        <v>343</v>
      </c>
      <c r="E463" s="21" t="s">
        <v>9</v>
      </c>
      <c r="F463" s="21" t="s">
        <v>384</v>
      </c>
      <c r="G463" s="21">
        <v>148.86000000000001</v>
      </c>
      <c r="H463" s="21"/>
      <c r="I463" s="117" t="s">
        <v>325</v>
      </c>
      <c r="J463" s="117" t="s">
        <v>325</v>
      </c>
      <c r="K463" s="118"/>
      <c r="L463" s="21"/>
      <c r="M463" s="21"/>
      <c r="N463" s="21"/>
      <c r="O463" s="21"/>
      <c r="P463" s="21">
        <v>148.86000000000001</v>
      </c>
      <c r="Q463" s="21"/>
      <c r="R463" s="21" t="s">
        <v>923</v>
      </c>
      <c r="S463" s="119">
        <f>DATABASE_Table[[#This Row],[Inicial Asking Price (€) (Total)]]-DATABASE_Table[[#This Row],[Vista membership]]-DATABASE_Table[[#This Row],[FF&amp;E]]</f>
        <v>850000</v>
      </c>
      <c r="T463" s="125">
        <v>850000</v>
      </c>
      <c r="U463" s="124">
        <v>870000</v>
      </c>
      <c r="V463" s="21"/>
      <c r="W463" s="21"/>
      <c r="X463" s="73">
        <f>DATABASE_Table[[#This Row],[Current Asking price( Total)]]-DATABASE_Table[[#This Row],[Vista membership]]-DATABASE_Table[[#This Row],[FF&amp;E]]</f>
        <v>870000</v>
      </c>
      <c r="Y463" s="126"/>
      <c r="Z463" s="124">
        <v>870000</v>
      </c>
      <c r="AA463" s="73">
        <f>DATABASE_Table[[#This Row],[Sell price (Total)]]-DATABASE_Table[[#This Row],[FF&amp;E]]-DATABASE_Table[[#This Row],[Vista membership]]</f>
        <v>870000</v>
      </c>
      <c r="AB463" s="74">
        <v>45287</v>
      </c>
      <c r="AC463" s="74" t="str">
        <f t="shared" si="7"/>
        <v>Q4 2023</v>
      </c>
      <c r="AD463" s="123">
        <v>45954</v>
      </c>
      <c r="AE463" s="69"/>
      <c r="AF463" s="21" t="s">
        <v>10</v>
      </c>
      <c r="AG463" s="21" t="s">
        <v>796</v>
      </c>
      <c r="AH463" s="122" t="s">
        <v>17</v>
      </c>
      <c r="AI463" s="122" t="s">
        <v>18</v>
      </c>
      <c r="AJ463" s="122" t="s">
        <v>19</v>
      </c>
      <c r="AK463" s="122" t="s">
        <v>20</v>
      </c>
      <c r="AL463" s="21" t="s">
        <v>21</v>
      </c>
      <c r="AM463" s="122" t="s">
        <v>16</v>
      </c>
    </row>
    <row r="464" spans="1:39" customFormat="1" ht="15.75" customHeight="1" x14ac:dyDescent="0.3">
      <c r="A464" t="s">
        <v>16</v>
      </c>
      <c r="B464" s="21" t="s">
        <v>561</v>
      </c>
      <c r="C464" s="21" t="s">
        <v>688</v>
      </c>
      <c r="D464" s="117" t="s">
        <v>340</v>
      </c>
      <c r="E464" s="21" t="s">
        <v>9</v>
      </c>
      <c r="F464" s="21" t="s">
        <v>383</v>
      </c>
      <c r="G464" s="21">
        <v>192.99</v>
      </c>
      <c r="H464" s="21"/>
      <c r="I464" s="117" t="s">
        <v>325</v>
      </c>
      <c r="J464" s="117" t="s">
        <v>325</v>
      </c>
      <c r="K464" s="118"/>
      <c r="L464" s="21"/>
      <c r="M464" s="21"/>
      <c r="N464" s="21"/>
      <c r="O464" s="21"/>
      <c r="P464" s="21">
        <v>192.99</v>
      </c>
      <c r="Q464" s="21"/>
      <c r="R464" s="21" t="s">
        <v>625</v>
      </c>
      <c r="S464" s="119">
        <f>DATABASE_Table[[#This Row],[Inicial Asking Price (€) (Total)]]-DATABASE_Table[[#This Row],[Vista membership]]-DATABASE_Table[[#This Row],[FF&amp;E]]</f>
        <v>1140000</v>
      </c>
      <c r="T464" s="125">
        <v>1140000</v>
      </c>
      <c r="U464" s="124">
        <v>1140000</v>
      </c>
      <c r="V464" s="21"/>
      <c r="W464" s="21"/>
      <c r="X464" s="73">
        <f>DATABASE_Table[[#This Row],[Current Asking price( Total)]]-DATABASE_Table[[#This Row],[Vista membership]]-DATABASE_Table[[#This Row],[FF&amp;E]]</f>
        <v>1140000</v>
      </c>
      <c r="Y464" s="126">
        <v>0</v>
      </c>
      <c r="Z464" s="124">
        <v>1140000</v>
      </c>
      <c r="AA464" s="73">
        <f>DATABASE_Table[[#This Row],[Sell price (Total)]]-DATABASE_Table[[#This Row],[FF&amp;E]]-DATABASE_Table[[#This Row],[Vista membership]]</f>
        <v>1140000</v>
      </c>
      <c r="AB464" s="74">
        <v>45287</v>
      </c>
      <c r="AC464" s="74" t="str">
        <f t="shared" si="7"/>
        <v>Q4 2023</v>
      </c>
      <c r="AD464" s="123">
        <v>46107</v>
      </c>
      <c r="AE464" s="69"/>
      <c r="AF464" s="21" t="s">
        <v>10</v>
      </c>
      <c r="AG464" s="21" t="s">
        <v>796</v>
      </c>
      <c r="AH464" s="122" t="s">
        <v>17</v>
      </c>
      <c r="AI464" s="122" t="s">
        <v>18</v>
      </c>
      <c r="AJ464" s="122" t="s">
        <v>19</v>
      </c>
      <c r="AK464" s="122" t="s">
        <v>20</v>
      </c>
      <c r="AL464" s="21" t="s">
        <v>21</v>
      </c>
      <c r="AM464" s="122" t="s">
        <v>16</v>
      </c>
    </row>
    <row r="465" spans="1:39" customFormat="1" ht="15.75" customHeight="1" x14ac:dyDescent="0.3">
      <c r="A465" t="s">
        <v>16</v>
      </c>
      <c r="B465" s="21" t="s">
        <v>561</v>
      </c>
      <c r="C465" s="21" t="s">
        <v>688</v>
      </c>
      <c r="D465" s="117" t="s">
        <v>341</v>
      </c>
      <c r="E465" s="21" t="s">
        <v>9</v>
      </c>
      <c r="F465" s="21" t="s">
        <v>383</v>
      </c>
      <c r="G465" s="21">
        <v>183.88</v>
      </c>
      <c r="H465" s="21"/>
      <c r="I465" s="117" t="s">
        <v>325</v>
      </c>
      <c r="J465" s="117" t="s">
        <v>325</v>
      </c>
      <c r="K465" s="118"/>
      <c r="L465" s="21"/>
      <c r="M465" s="21"/>
      <c r="N465" s="21"/>
      <c r="O465" s="21"/>
      <c r="P465" s="21">
        <v>183.88</v>
      </c>
      <c r="Q465" s="21"/>
      <c r="R465" s="21" t="s">
        <v>625</v>
      </c>
      <c r="S465" s="119">
        <f>DATABASE_Table[[#This Row],[Inicial Asking Price (€) (Total)]]-DATABASE_Table[[#This Row],[Vista membership]]-DATABASE_Table[[#This Row],[FF&amp;E]]</f>
        <v>1360000</v>
      </c>
      <c r="T465" s="125">
        <v>1360000</v>
      </c>
      <c r="U465" s="124">
        <v>1360000</v>
      </c>
      <c r="V465" s="21"/>
      <c r="W465" s="21"/>
      <c r="X465" s="73">
        <f>DATABASE_Table[[#This Row],[Current Asking price( Total)]]-DATABASE_Table[[#This Row],[Vista membership]]-DATABASE_Table[[#This Row],[FF&amp;E]]</f>
        <v>1360000</v>
      </c>
      <c r="Y465" s="126">
        <v>0</v>
      </c>
      <c r="Z465" s="124">
        <v>1360000</v>
      </c>
      <c r="AA465" s="73">
        <f>DATABASE_Table[[#This Row],[Sell price (Total)]]-DATABASE_Table[[#This Row],[FF&amp;E]]-DATABASE_Table[[#This Row],[Vista membership]]</f>
        <v>1360000</v>
      </c>
      <c r="AB465" s="74">
        <v>45287</v>
      </c>
      <c r="AC465" s="74" t="str">
        <f t="shared" si="7"/>
        <v>Q4 2023</v>
      </c>
      <c r="AD465" s="123">
        <v>45933</v>
      </c>
      <c r="AE465" s="69"/>
      <c r="AF465" s="21" t="s">
        <v>10</v>
      </c>
      <c r="AG465" s="21" t="s">
        <v>796</v>
      </c>
      <c r="AH465" s="122" t="s">
        <v>17</v>
      </c>
      <c r="AI465" s="122" t="s">
        <v>18</v>
      </c>
      <c r="AJ465" s="122" t="s">
        <v>19</v>
      </c>
      <c r="AK465" s="122" t="s">
        <v>20</v>
      </c>
      <c r="AL465" s="21" t="s">
        <v>21</v>
      </c>
      <c r="AM465" s="122" t="s">
        <v>16</v>
      </c>
    </row>
    <row r="466" spans="1:39" customFormat="1" ht="15.75" customHeight="1" x14ac:dyDescent="0.3">
      <c r="A466" t="s">
        <v>16</v>
      </c>
      <c r="B466" s="21" t="s">
        <v>561</v>
      </c>
      <c r="C466" s="21" t="s">
        <v>688</v>
      </c>
      <c r="D466" s="117" t="s">
        <v>345</v>
      </c>
      <c r="E466" s="21" t="s">
        <v>9</v>
      </c>
      <c r="F466" s="21" t="s">
        <v>383</v>
      </c>
      <c r="G466" s="21">
        <v>192.67</v>
      </c>
      <c r="H466" s="21"/>
      <c r="I466" s="117" t="s">
        <v>325</v>
      </c>
      <c r="J466" s="117" t="s">
        <v>325</v>
      </c>
      <c r="K466" s="118"/>
      <c r="L466" s="21"/>
      <c r="M466" s="21"/>
      <c r="N466" s="21"/>
      <c r="O466" s="21"/>
      <c r="P466" s="21">
        <v>192.67</v>
      </c>
      <c r="Q466" s="21"/>
      <c r="R466" s="21" t="s">
        <v>625</v>
      </c>
      <c r="S466" s="119">
        <f>DATABASE_Table[[#This Row],[Inicial Asking Price (€) (Total)]]-DATABASE_Table[[#This Row],[Vista membership]]-DATABASE_Table[[#This Row],[FF&amp;E]]</f>
        <v>1390000</v>
      </c>
      <c r="T466" s="125">
        <v>1390000</v>
      </c>
      <c r="U466" s="124">
        <v>1390000</v>
      </c>
      <c r="V466" s="21"/>
      <c r="W466" s="21"/>
      <c r="X466" s="73">
        <f>DATABASE_Table[[#This Row],[Current Asking price( Total)]]-DATABASE_Table[[#This Row],[Vista membership]]-DATABASE_Table[[#This Row],[FF&amp;E]]</f>
        <v>1390000</v>
      </c>
      <c r="Y466" s="126">
        <v>0</v>
      </c>
      <c r="Z466" s="124">
        <v>1390000</v>
      </c>
      <c r="AA466" s="73">
        <f>DATABASE_Table[[#This Row],[Sell price (Total)]]-DATABASE_Table[[#This Row],[FF&amp;E]]-DATABASE_Table[[#This Row],[Vista membership]]</f>
        <v>1390000</v>
      </c>
      <c r="AB466" s="74">
        <v>45287</v>
      </c>
      <c r="AC466" s="74" t="str">
        <f t="shared" si="7"/>
        <v>Q4 2023</v>
      </c>
      <c r="AD466" s="123">
        <v>45747</v>
      </c>
      <c r="AE466" s="69"/>
      <c r="AF466" s="21" t="s">
        <v>10</v>
      </c>
      <c r="AG466" s="21" t="s">
        <v>796</v>
      </c>
      <c r="AH466" s="122" t="s">
        <v>17</v>
      </c>
      <c r="AI466" s="122" t="s">
        <v>18</v>
      </c>
      <c r="AJ466" s="122" t="s">
        <v>19</v>
      </c>
      <c r="AK466" s="122" t="s">
        <v>20</v>
      </c>
      <c r="AL466" s="21" t="s">
        <v>21</v>
      </c>
      <c r="AM466" s="122" t="s">
        <v>16</v>
      </c>
    </row>
    <row r="467" spans="1:39" customFormat="1" ht="15.75" customHeight="1" x14ac:dyDescent="0.3">
      <c r="A467" t="s">
        <v>16</v>
      </c>
      <c r="B467" s="21" t="s">
        <v>561</v>
      </c>
      <c r="C467" s="21" t="s">
        <v>688</v>
      </c>
      <c r="D467" s="117" t="s">
        <v>338</v>
      </c>
      <c r="E467" s="21" t="s">
        <v>9</v>
      </c>
      <c r="F467" s="21" t="s">
        <v>383</v>
      </c>
      <c r="G467" s="21">
        <v>183.29</v>
      </c>
      <c r="H467" s="21"/>
      <c r="I467" s="117" t="s">
        <v>325</v>
      </c>
      <c r="J467" s="117" t="s">
        <v>325</v>
      </c>
      <c r="K467" s="118"/>
      <c r="L467" s="21"/>
      <c r="M467" s="21"/>
      <c r="N467" s="21"/>
      <c r="O467" s="21"/>
      <c r="P467" s="21">
        <v>183.29</v>
      </c>
      <c r="Q467" s="21"/>
      <c r="R467" s="21" t="s">
        <v>327</v>
      </c>
      <c r="S467" s="119">
        <f>DATABASE_Table[[#This Row],[Inicial Asking Price (€) (Total)]]-DATABASE_Table[[#This Row],[Vista membership]]-DATABASE_Table[[#This Row],[FF&amp;E]]</f>
        <v>1290000</v>
      </c>
      <c r="T467" s="125">
        <v>1290000</v>
      </c>
      <c r="U467" s="124">
        <v>1290000</v>
      </c>
      <c r="V467" s="21"/>
      <c r="W467" s="21"/>
      <c r="X467" s="73">
        <f>DATABASE_Table[[#This Row],[Current Asking price( Total)]]-DATABASE_Table[[#This Row],[Vista membership]]-DATABASE_Table[[#This Row],[FF&amp;E]]</f>
        <v>1290000</v>
      </c>
      <c r="Y467" s="126">
        <v>0</v>
      </c>
      <c r="Z467" s="124">
        <v>1290000</v>
      </c>
      <c r="AA467" s="73">
        <f>DATABASE_Table[[#This Row],[Sell price (Total)]]-DATABASE_Table[[#This Row],[FF&amp;E]]-DATABASE_Table[[#This Row],[Vista membership]]</f>
        <v>1290000</v>
      </c>
      <c r="AB467" s="74">
        <v>45287</v>
      </c>
      <c r="AC467" s="74" t="str">
        <f t="shared" si="7"/>
        <v>Q4 2023</v>
      </c>
      <c r="AD467" s="123">
        <v>46132</v>
      </c>
      <c r="AE467" s="69"/>
      <c r="AF467" s="21" t="s">
        <v>10</v>
      </c>
      <c r="AG467" s="21" t="s">
        <v>796</v>
      </c>
      <c r="AH467" s="122" t="s">
        <v>17</v>
      </c>
      <c r="AI467" s="122" t="s">
        <v>18</v>
      </c>
      <c r="AJ467" s="122" t="s">
        <v>19</v>
      </c>
      <c r="AK467" s="122" t="s">
        <v>20</v>
      </c>
      <c r="AL467" s="21" t="s">
        <v>21</v>
      </c>
      <c r="AM467" s="122" t="s">
        <v>16</v>
      </c>
    </row>
    <row r="468" spans="1:39" customFormat="1" ht="15.75" customHeight="1" x14ac:dyDescent="0.3">
      <c r="A468" t="s">
        <v>16</v>
      </c>
      <c r="B468" s="21" t="s">
        <v>561</v>
      </c>
      <c r="C468" s="21" t="s">
        <v>688</v>
      </c>
      <c r="D468" s="117" t="s">
        <v>344</v>
      </c>
      <c r="E468" s="21" t="s">
        <v>9</v>
      </c>
      <c r="F468" s="21" t="s">
        <v>383</v>
      </c>
      <c r="G468" s="21">
        <v>183.29</v>
      </c>
      <c r="H468" s="21"/>
      <c r="I468" s="117" t="s">
        <v>325</v>
      </c>
      <c r="J468" s="117" t="s">
        <v>325</v>
      </c>
      <c r="K468" s="118"/>
      <c r="L468" s="21"/>
      <c r="M468" s="21"/>
      <c r="N468" s="21"/>
      <c r="O468" s="21"/>
      <c r="P468" s="21">
        <v>183.29</v>
      </c>
      <c r="Q468" s="21"/>
      <c r="R468" s="21" t="s">
        <v>326</v>
      </c>
      <c r="S468" s="119">
        <f>DATABASE_Table[[#This Row],[Inicial Asking Price (€) (Total)]]-DATABASE_Table[[#This Row],[Vista membership]]-DATABASE_Table[[#This Row],[FF&amp;E]]</f>
        <v>1220000</v>
      </c>
      <c r="T468" s="125">
        <v>1220000</v>
      </c>
      <c r="U468" s="124">
        <v>1220000</v>
      </c>
      <c r="V468" s="21"/>
      <c r="W468" s="21"/>
      <c r="X468" s="73">
        <f>DATABASE_Table[[#This Row],[Current Asking price( Total)]]-DATABASE_Table[[#This Row],[Vista membership]]-DATABASE_Table[[#This Row],[FF&amp;E]]</f>
        <v>1220000</v>
      </c>
      <c r="Y468" s="126">
        <v>0</v>
      </c>
      <c r="Z468" s="124">
        <v>1220000</v>
      </c>
      <c r="AA468" s="73">
        <f>DATABASE_Table[[#This Row],[Sell price (Total)]]-DATABASE_Table[[#This Row],[FF&amp;E]]-DATABASE_Table[[#This Row],[Vista membership]]</f>
        <v>1220000</v>
      </c>
      <c r="AB468" s="74">
        <v>45287</v>
      </c>
      <c r="AC468" s="74" t="str">
        <f t="shared" si="7"/>
        <v>Q4 2023</v>
      </c>
      <c r="AD468" s="123">
        <v>46163</v>
      </c>
      <c r="AE468" s="69"/>
      <c r="AF468" s="21" t="s">
        <v>10</v>
      </c>
      <c r="AG468" s="21" t="s">
        <v>796</v>
      </c>
      <c r="AH468" s="122" t="s">
        <v>17</v>
      </c>
      <c r="AI468" s="122" t="s">
        <v>18</v>
      </c>
      <c r="AJ468" s="122" t="s">
        <v>19</v>
      </c>
      <c r="AK468" s="122" t="s">
        <v>20</v>
      </c>
      <c r="AL468" s="21" t="s">
        <v>21</v>
      </c>
      <c r="AM468" s="122" t="s">
        <v>16</v>
      </c>
    </row>
    <row r="469" spans="1:39" customFormat="1" ht="15.75" customHeight="1" x14ac:dyDescent="0.3">
      <c r="A469" t="s">
        <v>16</v>
      </c>
      <c r="B469" s="21" t="s">
        <v>561</v>
      </c>
      <c r="C469" s="21" t="s">
        <v>688</v>
      </c>
      <c r="D469" s="117" t="s">
        <v>336</v>
      </c>
      <c r="E469" s="21" t="s">
        <v>9</v>
      </c>
      <c r="F469" s="21" t="s">
        <v>383</v>
      </c>
      <c r="G469" s="21">
        <v>193.26</v>
      </c>
      <c r="H469" s="21"/>
      <c r="I469" s="117" t="s">
        <v>325</v>
      </c>
      <c r="J469" s="117" t="s">
        <v>325</v>
      </c>
      <c r="K469" s="118"/>
      <c r="L469" s="21"/>
      <c r="M469" s="21"/>
      <c r="N469" s="21"/>
      <c r="O469" s="21"/>
      <c r="P469" s="21">
        <v>193.26</v>
      </c>
      <c r="Q469" s="21"/>
      <c r="R469" s="21" t="s">
        <v>329</v>
      </c>
      <c r="S469" s="119">
        <f>DATABASE_Table[[#This Row],[Inicial Asking Price (€) (Total)]]-DATABASE_Table[[#This Row],[Vista membership]]-DATABASE_Table[[#This Row],[FF&amp;E]]</f>
        <v>1230000</v>
      </c>
      <c r="T469" s="125">
        <v>1230000</v>
      </c>
      <c r="U469" s="124">
        <v>1230000</v>
      </c>
      <c r="V469" s="21"/>
      <c r="W469" s="21"/>
      <c r="X469" s="73">
        <f>DATABASE_Table[[#This Row],[Current Asking price( Total)]]-DATABASE_Table[[#This Row],[Vista membership]]-DATABASE_Table[[#This Row],[FF&amp;E]]</f>
        <v>1230000</v>
      </c>
      <c r="Y469" s="126"/>
      <c r="Z469" s="124">
        <v>1230000</v>
      </c>
      <c r="AA469" s="73">
        <f>DATABASE_Table[[#This Row],[Sell price (Total)]]-DATABASE_Table[[#This Row],[FF&amp;E]]-DATABASE_Table[[#This Row],[Vista membership]]</f>
        <v>1230000</v>
      </c>
      <c r="AB469" s="74">
        <v>45287</v>
      </c>
      <c r="AC469" s="74" t="str">
        <f t="shared" si="7"/>
        <v>Q4 2023</v>
      </c>
      <c r="AD469" s="123"/>
      <c r="AE469" s="69"/>
      <c r="AF469" s="21" t="s">
        <v>10</v>
      </c>
      <c r="AG469" s="21" t="s">
        <v>796</v>
      </c>
      <c r="AH469" s="122" t="s">
        <v>17</v>
      </c>
      <c r="AI469" s="122" t="s">
        <v>18</v>
      </c>
      <c r="AJ469" s="122" t="s">
        <v>19</v>
      </c>
      <c r="AK469" s="122" t="s">
        <v>20</v>
      </c>
      <c r="AL469" s="21" t="s">
        <v>21</v>
      </c>
      <c r="AM469" s="122" t="s">
        <v>16</v>
      </c>
    </row>
    <row r="470" spans="1:39" customFormat="1" ht="15.75" customHeight="1" x14ac:dyDescent="0.3">
      <c r="A470" t="s">
        <v>16</v>
      </c>
      <c r="B470" s="21" t="s">
        <v>561</v>
      </c>
      <c r="C470" s="21" t="s">
        <v>688</v>
      </c>
      <c r="D470" s="117" t="s">
        <v>337</v>
      </c>
      <c r="E470" s="21" t="s">
        <v>9</v>
      </c>
      <c r="F470" s="21" t="s">
        <v>383</v>
      </c>
      <c r="G470" s="21">
        <v>192.99</v>
      </c>
      <c r="H470" s="21"/>
      <c r="I470" s="117" t="s">
        <v>325</v>
      </c>
      <c r="J470" s="117" t="s">
        <v>325</v>
      </c>
      <c r="K470" s="118"/>
      <c r="L470" s="21"/>
      <c r="M470" s="21"/>
      <c r="N470" s="21"/>
      <c r="O470" s="21"/>
      <c r="P470" s="21">
        <v>192.99</v>
      </c>
      <c r="Q470" s="21"/>
      <c r="R470" s="21" t="s">
        <v>329</v>
      </c>
      <c r="S470" s="119">
        <f>DATABASE_Table[[#This Row],[Inicial Asking Price (€) (Total)]]-DATABASE_Table[[#This Row],[Vista membership]]-DATABASE_Table[[#This Row],[FF&amp;E]]</f>
        <v>1120000</v>
      </c>
      <c r="T470" s="125">
        <v>1120000</v>
      </c>
      <c r="U470" s="124">
        <v>1120000</v>
      </c>
      <c r="V470" s="21"/>
      <c r="W470" s="21"/>
      <c r="X470" s="73">
        <f>DATABASE_Table[[#This Row],[Current Asking price( Total)]]-DATABASE_Table[[#This Row],[Vista membership]]-DATABASE_Table[[#This Row],[FF&amp;E]]</f>
        <v>1120000</v>
      </c>
      <c r="Y470" s="126"/>
      <c r="Z470" s="124">
        <v>1120000</v>
      </c>
      <c r="AA470" s="73">
        <f>DATABASE_Table[[#This Row],[Sell price (Total)]]-DATABASE_Table[[#This Row],[FF&amp;E]]-DATABASE_Table[[#This Row],[Vista membership]]</f>
        <v>1120000</v>
      </c>
      <c r="AB470" s="74">
        <v>45287</v>
      </c>
      <c r="AC470" s="74" t="str">
        <f t="shared" si="7"/>
        <v>Q4 2023</v>
      </c>
      <c r="AD470" s="123"/>
      <c r="AE470" s="69"/>
      <c r="AF470" s="21" t="s">
        <v>10</v>
      </c>
      <c r="AG470" s="21" t="s">
        <v>796</v>
      </c>
      <c r="AH470" s="122" t="s">
        <v>17</v>
      </c>
      <c r="AI470" s="122" t="s">
        <v>18</v>
      </c>
      <c r="AJ470" s="122" t="s">
        <v>19</v>
      </c>
      <c r="AK470" s="122" t="s">
        <v>20</v>
      </c>
      <c r="AL470" s="21" t="s">
        <v>21</v>
      </c>
      <c r="AM470" s="122" t="s">
        <v>16</v>
      </c>
    </row>
    <row r="471" spans="1:39" customFormat="1" ht="15.75" customHeight="1" x14ac:dyDescent="0.3">
      <c r="A471" t="s">
        <v>16</v>
      </c>
      <c r="B471" s="21" t="s">
        <v>561</v>
      </c>
      <c r="C471" s="21" t="s">
        <v>688</v>
      </c>
      <c r="D471" s="117" t="s">
        <v>339</v>
      </c>
      <c r="E471" s="21" t="s">
        <v>9</v>
      </c>
      <c r="F471" s="21" t="s">
        <v>383</v>
      </c>
      <c r="G471" s="21">
        <v>192.67</v>
      </c>
      <c r="H471" s="21"/>
      <c r="I471" s="117" t="s">
        <v>325</v>
      </c>
      <c r="J471" s="117" t="s">
        <v>325</v>
      </c>
      <c r="K471" s="118"/>
      <c r="L471" s="21"/>
      <c r="M471" s="21"/>
      <c r="N471" s="21"/>
      <c r="O471" s="21"/>
      <c r="P471" s="21">
        <v>192.67</v>
      </c>
      <c r="Q471" s="21"/>
      <c r="R471" s="21" t="s">
        <v>329</v>
      </c>
      <c r="S471" s="119">
        <f>DATABASE_Table[[#This Row],[Inicial Asking Price (€) (Total)]]-DATABASE_Table[[#This Row],[Vista membership]]-DATABASE_Table[[#This Row],[FF&amp;E]]</f>
        <v>1280000</v>
      </c>
      <c r="T471" s="125">
        <v>1280000</v>
      </c>
      <c r="U471" s="124">
        <v>1280000</v>
      </c>
      <c r="V471" s="21"/>
      <c r="W471" s="21"/>
      <c r="X471" s="73">
        <f>DATABASE_Table[[#This Row],[Current Asking price( Total)]]-DATABASE_Table[[#This Row],[Vista membership]]-DATABASE_Table[[#This Row],[FF&amp;E]]</f>
        <v>1280000</v>
      </c>
      <c r="Y471" s="126"/>
      <c r="Z471" s="124">
        <v>1280000</v>
      </c>
      <c r="AA471" s="73">
        <f>DATABASE_Table[[#This Row],[Sell price (Total)]]-DATABASE_Table[[#This Row],[FF&amp;E]]-DATABASE_Table[[#This Row],[Vista membership]]</f>
        <v>1280000</v>
      </c>
      <c r="AB471" s="74">
        <v>45287</v>
      </c>
      <c r="AC471" s="74" t="str">
        <f t="shared" si="7"/>
        <v>Q4 2023</v>
      </c>
      <c r="AD471" s="123"/>
      <c r="AE471" s="69"/>
      <c r="AF471" s="21" t="s">
        <v>10</v>
      </c>
      <c r="AG471" s="21" t="s">
        <v>796</v>
      </c>
      <c r="AH471" s="122" t="s">
        <v>17</v>
      </c>
      <c r="AI471" s="122" t="s">
        <v>18</v>
      </c>
      <c r="AJ471" s="122" t="s">
        <v>19</v>
      </c>
      <c r="AK471" s="122" t="s">
        <v>20</v>
      </c>
      <c r="AL471" s="21" t="s">
        <v>21</v>
      </c>
      <c r="AM471" s="122" t="s">
        <v>16</v>
      </c>
    </row>
    <row r="472" spans="1:39" customFormat="1" ht="15.75" customHeight="1" x14ac:dyDescent="0.3">
      <c r="A472" t="s">
        <v>16</v>
      </c>
      <c r="B472" s="21" t="s">
        <v>561</v>
      </c>
      <c r="C472" s="21" t="s">
        <v>688</v>
      </c>
      <c r="D472" s="117" t="s">
        <v>342</v>
      </c>
      <c r="E472" s="21" t="s">
        <v>9</v>
      </c>
      <c r="F472" s="21" t="s">
        <v>383</v>
      </c>
      <c r="G472" s="21">
        <v>193.26</v>
      </c>
      <c r="H472" s="21"/>
      <c r="I472" s="117" t="s">
        <v>325</v>
      </c>
      <c r="J472" s="117" t="s">
        <v>325</v>
      </c>
      <c r="K472" s="118"/>
      <c r="L472" s="21"/>
      <c r="M472" s="21"/>
      <c r="N472" s="21"/>
      <c r="O472" s="21"/>
      <c r="P472" s="21">
        <v>193.26</v>
      </c>
      <c r="Q472" s="21"/>
      <c r="R472" s="21" t="s">
        <v>329</v>
      </c>
      <c r="S472" s="119">
        <f>DATABASE_Table[[#This Row],[Inicial Asking Price (€) (Total)]]-DATABASE_Table[[#This Row],[Vista membership]]-DATABASE_Table[[#This Row],[FF&amp;E]]</f>
        <v>1320000</v>
      </c>
      <c r="T472" s="125">
        <v>1320000</v>
      </c>
      <c r="U472" s="124">
        <v>1320000</v>
      </c>
      <c r="V472" s="21"/>
      <c r="W472" s="21"/>
      <c r="X472" s="73">
        <f>DATABASE_Table[[#This Row],[Current Asking price( Total)]]-DATABASE_Table[[#This Row],[Vista membership]]-DATABASE_Table[[#This Row],[FF&amp;E]]</f>
        <v>1320000</v>
      </c>
      <c r="Y472" s="126"/>
      <c r="Z472" s="124">
        <v>1320000</v>
      </c>
      <c r="AA472" s="73">
        <f>DATABASE_Table[[#This Row],[Sell price (Total)]]-DATABASE_Table[[#This Row],[FF&amp;E]]-DATABASE_Table[[#This Row],[Vista membership]]</f>
        <v>1320000</v>
      </c>
      <c r="AB472" s="74">
        <v>45287</v>
      </c>
      <c r="AC472" s="74" t="str">
        <f t="shared" si="7"/>
        <v>Q4 2023</v>
      </c>
      <c r="AD472" s="123"/>
      <c r="AE472" s="69"/>
      <c r="AF472" s="21" t="s">
        <v>10</v>
      </c>
      <c r="AG472" s="21" t="s">
        <v>796</v>
      </c>
      <c r="AH472" s="122" t="s">
        <v>17</v>
      </c>
      <c r="AI472" s="122" t="s">
        <v>18</v>
      </c>
      <c r="AJ472" s="122" t="s">
        <v>19</v>
      </c>
      <c r="AK472" s="122" t="s">
        <v>20</v>
      </c>
      <c r="AL472" s="21" t="s">
        <v>21</v>
      </c>
      <c r="AM472" s="122" t="s">
        <v>16</v>
      </c>
    </row>
    <row r="473" spans="1:39" customFormat="1" ht="15.75" customHeight="1" x14ac:dyDescent="0.3">
      <c r="A473" t="s">
        <v>16</v>
      </c>
      <c r="B473" s="21" t="s">
        <v>561</v>
      </c>
      <c r="C473" s="21" t="s">
        <v>688</v>
      </c>
      <c r="D473" s="117" t="s">
        <v>343</v>
      </c>
      <c r="E473" s="21" t="s">
        <v>9</v>
      </c>
      <c r="F473" s="21" t="s">
        <v>383</v>
      </c>
      <c r="G473" s="21">
        <v>192.99</v>
      </c>
      <c r="H473" s="21"/>
      <c r="I473" s="117" t="s">
        <v>325</v>
      </c>
      <c r="J473" s="117" t="s">
        <v>325</v>
      </c>
      <c r="K473" s="118"/>
      <c r="L473" s="21"/>
      <c r="M473" s="21"/>
      <c r="N473" s="21"/>
      <c r="O473" s="21"/>
      <c r="P473" s="21">
        <v>192.99</v>
      </c>
      <c r="Q473" s="21"/>
      <c r="R473" s="21" t="s">
        <v>329</v>
      </c>
      <c r="S473" s="119">
        <f>DATABASE_Table[[#This Row],[Inicial Asking Price (€) (Total)]]-DATABASE_Table[[#This Row],[Vista membership]]-DATABASE_Table[[#This Row],[FF&amp;E]]</f>
        <v>1110000</v>
      </c>
      <c r="T473" s="125">
        <v>1110000</v>
      </c>
      <c r="U473" s="124">
        <v>1110000</v>
      </c>
      <c r="V473" s="21"/>
      <c r="W473" s="21"/>
      <c r="X473" s="73">
        <f>DATABASE_Table[[#This Row],[Current Asking price( Total)]]-DATABASE_Table[[#This Row],[Vista membership]]-DATABASE_Table[[#This Row],[FF&amp;E]]</f>
        <v>1110000</v>
      </c>
      <c r="Y473" s="126"/>
      <c r="Z473" s="124">
        <v>1110000</v>
      </c>
      <c r="AA473" s="73">
        <f>DATABASE_Table[[#This Row],[Sell price (Total)]]-DATABASE_Table[[#This Row],[FF&amp;E]]-DATABASE_Table[[#This Row],[Vista membership]]</f>
        <v>1110000</v>
      </c>
      <c r="AB473" s="74">
        <v>45287</v>
      </c>
      <c r="AC473" s="74" t="str">
        <f t="shared" si="7"/>
        <v>Q4 2023</v>
      </c>
      <c r="AD473" s="123"/>
      <c r="AE473" s="69"/>
      <c r="AF473" s="21" t="s">
        <v>10</v>
      </c>
      <c r="AG473" s="21" t="s">
        <v>796</v>
      </c>
      <c r="AH473" s="122" t="s">
        <v>17</v>
      </c>
      <c r="AI473" s="122" t="s">
        <v>18</v>
      </c>
      <c r="AJ473" s="122" t="s">
        <v>19</v>
      </c>
      <c r="AK473" s="122" t="s">
        <v>20</v>
      </c>
      <c r="AL473" s="21" t="s">
        <v>21</v>
      </c>
      <c r="AM473" s="122" t="s">
        <v>16</v>
      </c>
    </row>
    <row r="474" spans="1:39" customFormat="1" ht="15.75" customHeight="1" x14ac:dyDescent="0.3">
      <c r="A474" t="s">
        <v>16</v>
      </c>
      <c r="B474" s="21" t="s">
        <v>561</v>
      </c>
      <c r="C474" s="21" t="s">
        <v>688</v>
      </c>
      <c r="D474" s="117" t="s">
        <v>346</v>
      </c>
      <c r="E474" s="21" t="s">
        <v>9</v>
      </c>
      <c r="F474" s="21" t="s">
        <v>383</v>
      </c>
      <c r="G474" s="21">
        <v>192.99</v>
      </c>
      <c r="H474" s="21"/>
      <c r="I474" s="117" t="s">
        <v>325</v>
      </c>
      <c r="J474" s="117" t="s">
        <v>325</v>
      </c>
      <c r="K474" s="118"/>
      <c r="L474" s="21"/>
      <c r="M474" s="21"/>
      <c r="N474" s="21"/>
      <c r="O474" s="21"/>
      <c r="P474" s="21">
        <v>192.99</v>
      </c>
      <c r="Q474" s="21"/>
      <c r="R474" s="21" t="s">
        <v>329</v>
      </c>
      <c r="S474" s="119">
        <f>DATABASE_Table[[#This Row],[Inicial Asking Price (€) (Total)]]-DATABASE_Table[[#This Row],[Vista membership]]-DATABASE_Table[[#This Row],[FF&amp;E]]</f>
        <v>1180000</v>
      </c>
      <c r="T474" s="125">
        <v>1180000</v>
      </c>
      <c r="U474" s="124">
        <v>1180000</v>
      </c>
      <c r="V474" s="21"/>
      <c r="W474" s="21"/>
      <c r="X474" s="73">
        <f>DATABASE_Table[[#This Row],[Current Asking price( Total)]]-DATABASE_Table[[#This Row],[Vista membership]]-DATABASE_Table[[#This Row],[FF&amp;E]]</f>
        <v>1180000</v>
      </c>
      <c r="Y474" s="126"/>
      <c r="Z474" s="124">
        <v>1180000</v>
      </c>
      <c r="AA474" s="73">
        <f>DATABASE_Table[[#This Row],[Sell price (Total)]]-DATABASE_Table[[#This Row],[FF&amp;E]]-DATABASE_Table[[#This Row],[Vista membership]]</f>
        <v>1180000</v>
      </c>
      <c r="AB474" s="74">
        <v>45287</v>
      </c>
      <c r="AC474" s="74" t="str">
        <f t="shared" si="7"/>
        <v>Q4 2023</v>
      </c>
      <c r="AD474" s="123"/>
      <c r="AE474" s="69"/>
      <c r="AF474" s="21" t="s">
        <v>10</v>
      </c>
      <c r="AG474" s="21" t="s">
        <v>796</v>
      </c>
      <c r="AH474" s="122" t="s">
        <v>17</v>
      </c>
      <c r="AI474" s="122" t="s">
        <v>18</v>
      </c>
      <c r="AJ474" s="122" t="s">
        <v>19</v>
      </c>
      <c r="AK474" s="122" t="s">
        <v>20</v>
      </c>
      <c r="AL474" s="21" t="s">
        <v>21</v>
      </c>
      <c r="AM474" s="122" t="s">
        <v>16</v>
      </c>
    </row>
    <row r="475" spans="1:39" customFormat="1" ht="15.75" customHeight="1" x14ac:dyDescent="0.3">
      <c r="A475" t="s">
        <v>16</v>
      </c>
      <c r="B475" s="21" t="s">
        <v>561</v>
      </c>
      <c r="C475" s="21" t="s">
        <v>688</v>
      </c>
      <c r="D475" s="117" t="s">
        <v>347</v>
      </c>
      <c r="E475" s="21" t="s">
        <v>9</v>
      </c>
      <c r="F475" s="21" t="s">
        <v>383</v>
      </c>
      <c r="G475" s="21">
        <v>183.88</v>
      </c>
      <c r="H475" s="21"/>
      <c r="I475" s="117" t="s">
        <v>325</v>
      </c>
      <c r="J475" s="117" t="s">
        <v>325</v>
      </c>
      <c r="K475" s="118"/>
      <c r="L475" s="21"/>
      <c r="M475" s="21"/>
      <c r="N475" s="21"/>
      <c r="O475" s="21"/>
      <c r="P475" s="21">
        <v>183.88</v>
      </c>
      <c r="Q475" s="21"/>
      <c r="R475" s="21" t="s">
        <v>329</v>
      </c>
      <c r="S475" s="119">
        <f>DATABASE_Table[[#This Row],[Inicial Asking Price (€) (Total)]]-DATABASE_Table[[#This Row],[Vista membership]]-DATABASE_Table[[#This Row],[FF&amp;E]]</f>
        <v>1310000</v>
      </c>
      <c r="T475" s="125">
        <v>1310000</v>
      </c>
      <c r="U475" s="124">
        <v>1310000</v>
      </c>
      <c r="V475" s="21"/>
      <c r="W475" s="21"/>
      <c r="X475" s="73">
        <f>DATABASE_Table[[#This Row],[Current Asking price( Total)]]-DATABASE_Table[[#This Row],[Vista membership]]-DATABASE_Table[[#This Row],[FF&amp;E]]</f>
        <v>1310000</v>
      </c>
      <c r="Y475" s="126"/>
      <c r="Z475" s="124">
        <v>1310000</v>
      </c>
      <c r="AA475" s="73">
        <f>DATABASE_Table[[#This Row],[Sell price (Total)]]-DATABASE_Table[[#This Row],[FF&amp;E]]-DATABASE_Table[[#This Row],[Vista membership]]</f>
        <v>1310000</v>
      </c>
      <c r="AB475" s="74">
        <v>45287</v>
      </c>
      <c r="AC475" s="74" t="str">
        <f t="shared" si="7"/>
        <v>Q4 2023</v>
      </c>
      <c r="AD475" s="123"/>
      <c r="AE475" s="69"/>
      <c r="AF475" s="21" t="s">
        <v>10</v>
      </c>
      <c r="AG475" s="21" t="s">
        <v>796</v>
      </c>
      <c r="AH475" s="122" t="s">
        <v>17</v>
      </c>
      <c r="AI475" s="122" t="s">
        <v>18</v>
      </c>
      <c r="AJ475" s="122" t="s">
        <v>19</v>
      </c>
      <c r="AK475" s="122" t="s">
        <v>20</v>
      </c>
      <c r="AL475" s="21" t="s">
        <v>21</v>
      </c>
      <c r="AM475" s="122" t="s">
        <v>16</v>
      </c>
    </row>
    <row r="476" spans="1:39" customFormat="1" ht="15.75" customHeight="1" x14ac:dyDescent="0.3">
      <c r="A476" t="s">
        <v>8</v>
      </c>
      <c r="B476" s="21" t="s">
        <v>558</v>
      </c>
      <c r="C476" s="21" t="s">
        <v>688</v>
      </c>
      <c r="D476" s="117" t="s">
        <v>372</v>
      </c>
      <c r="E476" s="21" t="s">
        <v>9</v>
      </c>
      <c r="F476" s="21" t="s">
        <v>319</v>
      </c>
      <c r="G476" s="21">
        <v>111.82</v>
      </c>
      <c r="H476" s="21">
        <v>3.99</v>
      </c>
      <c r="I476" s="117" t="s">
        <v>325</v>
      </c>
      <c r="J476" s="117" t="s">
        <v>325</v>
      </c>
      <c r="K476" s="118"/>
      <c r="L476" s="21"/>
      <c r="M476" s="21"/>
      <c r="N476" s="21"/>
      <c r="O476" s="21"/>
      <c r="P476" s="21">
        <v>111.82</v>
      </c>
      <c r="Q476" s="21"/>
      <c r="R476" s="21" t="s">
        <v>625</v>
      </c>
      <c r="S476" s="119">
        <f>DATABASE_Table[[#This Row],[Inicial Asking Price (€) (Total)]]-DATABASE_Table[[#This Row],[Vista membership]]-DATABASE_Table[[#This Row],[FF&amp;E]]</f>
        <v>720000</v>
      </c>
      <c r="T476" s="125">
        <v>720000</v>
      </c>
      <c r="U476" s="124">
        <v>650000</v>
      </c>
      <c r="V476" s="21"/>
      <c r="W476" s="21"/>
      <c r="X476" s="73">
        <f>DATABASE_Table[[#This Row],[Current Asking price( Total)]]-DATABASE_Table[[#This Row],[Vista membership]]-DATABASE_Table[[#This Row],[FF&amp;E]]</f>
        <v>650000</v>
      </c>
      <c r="Y476" s="126">
        <v>-5.2307692307692402E-2</v>
      </c>
      <c r="Z476" s="124">
        <v>684000</v>
      </c>
      <c r="AA476" s="73">
        <f>DATABASE_Table[[#This Row],[Sell price (Total)]]-DATABASE_Table[[#This Row],[FF&amp;E]]-DATABASE_Table[[#This Row],[Vista membership]]</f>
        <v>684000</v>
      </c>
      <c r="AB476" s="74">
        <v>45441</v>
      </c>
      <c r="AC476" s="74" t="str">
        <f t="shared" si="7"/>
        <v>Q2 2024</v>
      </c>
      <c r="AD476" s="123">
        <v>45898</v>
      </c>
      <c r="AE476" s="69"/>
      <c r="AF476" s="21" t="s">
        <v>10</v>
      </c>
      <c r="AG476" s="21" t="s">
        <v>11</v>
      </c>
      <c r="AH476" s="122" t="s">
        <v>12</v>
      </c>
      <c r="AI476" s="122" t="s">
        <v>795</v>
      </c>
      <c r="AJ476" s="122" t="s">
        <v>13</v>
      </c>
      <c r="AK476" s="122" t="s">
        <v>14</v>
      </c>
      <c r="AL476" s="21" t="s">
        <v>15</v>
      </c>
      <c r="AM476" s="122" t="s">
        <v>8</v>
      </c>
    </row>
    <row r="477" spans="1:39" customFormat="1" ht="15.75" customHeight="1" x14ac:dyDescent="0.3">
      <c r="A477" t="s">
        <v>8</v>
      </c>
      <c r="B477" s="21" t="s">
        <v>558</v>
      </c>
      <c r="C477" s="21" t="s">
        <v>688</v>
      </c>
      <c r="D477" s="117" t="s">
        <v>336</v>
      </c>
      <c r="E477" s="21" t="s">
        <v>9</v>
      </c>
      <c r="F477" s="21" t="s">
        <v>319</v>
      </c>
      <c r="G477" s="21">
        <v>112.9</v>
      </c>
      <c r="H477" s="21">
        <v>3.99</v>
      </c>
      <c r="I477" s="117" t="s">
        <v>596</v>
      </c>
      <c r="J477" s="117" t="s">
        <v>325</v>
      </c>
      <c r="K477" s="118"/>
      <c r="L477" s="21"/>
      <c r="M477" s="21"/>
      <c r="N477" s="21"/>
      <c r="O477" s="21"/>
      <c r="P477" s="21">
        <v>112.9</v>
      </c>
      <c r="Q477" s="21"/>
      <c r="R477" s="21" t="s">
        <v>625</v>
      </c>
      <c r="S477" s="119">
        <f>DATABASE_Table[[#This Row],[Inicial Asking Price (€) (Total)]]-DATABASE_Table[[#This Row],[Vista membership]]-DATABASE_Table[[#This Row],[FF&amp;E]]</f>
        <v>725000</v>
      </c>
      <c r="T477" s="125">
        <v>725000</v>
      </c>
      <c r="U477" s="124">
        <v>725000</v>
      </c>
      <c r="V477" s="21"/>
      <c r="W477" s="21"/>
      <c r="X477" s="73">
        <f>DATABASE_Table[[#This Row],[Current Asking price( Total)]]-DATABASE_Table[[#This Row],[Vista membership]]-DATABASE_Table[[#This Row],[FF&amp;E]]</f>
        <v>725000</v>
      </c>
      <c r="Y477" s="126">
        <v>0</v>
      </c>
      <c r="Z477" s="124">
        <v>725000</v>
      </c>
      <c r="AA477" s="73">
        <f>DATABASE_Table[[#This Row],[Sell price (Total)]]-DATABASE_Table[[#This Row],[FF&amp;E]]-DATABASE_Table[[#This Row],[Vista membership]]</f>
        <v>725000</v>
      </c>
      <c r="AB477" s="74">
        <v>45441</v>
      </c>
      <c r="AC477" s="74" t="str">
        <f t="shared" si="7"/>
        <v>Q2 2024</v>
      </c>
      <c r="AD477" s="123">
        <v>46013</v>
      </c>
      <c r="AE477" s="69"/>
      <c r="AF477" s="21" t="s">
        <v>10</v>
      </c>
      <c r="AG477" s="21" t="s">
        <v>11</v>
      </c>
      <c r="AH477" s="122" t="s">
        <v>12</v>
      </c>
      <c r="AI477" s="122" t="s">
        <v>795</v>
      </c>
      <c r="AJ477" s="122" t="s">
        <v>13</v>
      </c>
      <c r="AK477" s="122" t="s">
        <v>14</v>
      </c>
      <c r="AL477" s="21" t="s">
        <v>15</v>
      </c>
      <c r="AM477" s="122" t="s">
        <v>8</v>
      </c>
    </row>
    <row r="478" spans="1:39" customFormat="1" ht="15.75" customHeight="1" x14ac:dyDescent="0.3">
      <c r="A478" t="s">
        <v>8</v>
      </c>
      <c r="B478" s="21" t="s">
        <v>558</v>
      </c>
      <c r="C478" s="21" t="s">
        <v>688</v>
      </c>
      <c r="D478" s="117" t="s">
        <v>363</v>
      </c>
      <c r="E478" s="21" t="s">
        <v>9</v>
      </c>
      <c r="F478" s="21" t="s">
        <v>320</v>
      </c>
      <c r="G478" s="21">
        <v>153.46</v>
      </c>
      <c r="H478" s="21">
        <v>3.99</v>
      </c>
      <c r="I478" s="117" t="s">
        <v>865</v>
      </c>
      <c r="J478" s="117" t="s">
        <v>587</v>
      </c>
      <c r="K478" s="118"/>
      <c r="L478" s="21"/>
      <c r="M478" s="21"/>
      <c r="N478" s="21"/>
      <c r="O478" s="21"/>
      <c r="P478" s="21">
        <v>153.46</v>
      </c>
      <c r="Q478" s="21"/>
      <c r="R478" s="21" t="s">
        <v>625</v>
      </c>
      <c r="S478" s="119">
        <f>DATABASE_Table[[#This Row],[Inicial Asking Price (€) (Total)]]-DATABASE_Table[[#This Row],[Vista membership]]-DATABASE_Table[[#This Row],[FF&amp;E]]</f>
        <v>1040000</v>
      </c>
      <c r="T478" s="125">
        <v>1040000</v>
      </c>
      <c r="U478" s="124">
        <v>988000</v>
      </c>
      <c r="V478" s="21"/>
      <c r="W478" s="21"/>
      <c r="X478" s="73">
        <f>DATABASE_Table[[#This Row],[Current Asking price( Total)]]-DATABASE_Table[[#This Row],[Vista membership]]-DATABASE_Table[[#This Row],[FF&amp;E]]</f>
        <v>988000</v>
      </c>
      <c r="Y478" s="126">
        <v>0</v>
      </c>
      <c r="Z478" s="124">
        <v>988000</v>
      </c>
      <c r="AA478" s="73">
        <f>DATABASE_Table[[#This Row],[Sell price (Total)]]-DATABASE_Table[[#This Row],[FF&amp;E]]-DATABASE_Table[[#This Row],[Vista membership]]</f>
        <v>988000</v>
      </c>
      <c r="AB478" s="74">
        <v>45441</v>
      </c>
      <c r="AC478" s="74" t="str">
        <f t="shared" si="7"/>
        <v>Q2 2024</v>
      </c>
      <c r="AD478" s="123">
        <v>45630</v>
      </c>
      <c r="AE478" s="69"/>
      <c r="AF478" s="21" t="s">
        <v>10</v>
      </c>
      <c r="AG478" s="21" t="s">
        <v>11</v>
      </c>
      <c r="AH478" s="122" t="s">
        <v>12</v>
      </c>
      <c r="AI478" s="122" t="s">
        <v>795</v>
      </c>
      <c r="AJ478" s="122" t="s">
        <v>13</v>
      </c>
      <c r="AK478" s="122" t="s">
        <v>14</v>
      </c>
      <c r="AL478" s="21" t="s">
        <v>15</v>
      </c>
      <c r="AM478" s="122" t="s">
        <v>8</v>
      </c>
    </row>
    <row r="479" spans="1:39" customFormat="1" ht="15.75" customHeight="1" x14ac:dyDescent="0.3">
      <c r="A479" t="s">
        <v>8</v>
      </c>
      <c r="B479" s="21" t="s">
        <v>558</v>
      </c>
      <c r="C479" s="21" t="s">
        <v>688</v>
      </c>
      <c r="D479" s="117" t="s">
        <v>366</v>
      </c>
      <c r="E479" s="21" t="s">
        <v>9</v>
      </c>
      <c r="F479" s="21" t="s">
        <v>320</v>
      </c>
      <c r="G479" s="21">
        <v>153.4</v>
      </c>
      <c r="H479" s="21">
        <v>3.99</v>
      </c>
      <c r="I479" s="117" t="s">
        <v>619</v>
      </c>
      <c r="J479" s="117" t="s">
        <v>587</v>
      </c>
      <c r="K479" s="118"/>
      <c r="L479" s="21"/>
      <c r="M479" s="21"/>
      <c r="N479" s="21"/>
      <c r="O479" s="21"/>
      <c r="P479" s="21">
        <v>153.4</v>
      </c>
      <c r="Q479" s="21"/>
      <c r="R479" s="21" t="s">
        <v>625</v>
      </c>
      <c r="S479" s="119">
        <f>DATABASE_Table[[#This Row],[Inicial Asking Price (€) (Total)]]-DATABASE_Table[[#This Row],[Vista membership]]-DATABASE_Table[[#This Row],[FF&amp;E]]</f>
        <v>1110000</v>
      </c>
      <c r="T479" s="125">
        <v>1110000</v>
      </c>
      <c r="U479" s="124">
        <v>1054500</v>
      </c>
      <c r="V479" s="21"/>
      <c r="W479" s="21"/>
      <c r="X479" s="73">
        <f>DATABASE_Table[[#This Row],[Current Asking price( Total)]]-DATABASE_Table[[#This Row],[Vista membership]]-DATABASE_Table[[#This Row],[FF&amp;E]]</f>
        <v>1054500</v>
      </c>
      <c r="Y479" s="126">
        <v>0</v>
      </c>
      <c r="Z479" s="124">
        <v>1054500</v>
      </c>
      <c r="AA479" s="73">
        <f>DATABASE_Table[[#This Row],[Sell price (Total)]]-DATABASE_Table[[#This Row],[FF&amp;E]]-DATABASE_Table[[#This Row],[Vista membership]]</f>
        <v>1054500</v>
      </c>
      <c r="AB479" s="74">
        <v>45441</v>
      </c>
      <c r="AC479" s="74" t="str">
        <f t="shared" si="7"/>
        <v>Q2 2024</v>
      </c>
      <c r="AD479" s="123">
        <v>45716</v>
      </c>
      <c r="AE479" s="69"/>
      <c r="AF479" s="21" t="s">
        <v>10</v>
      </c>
      <c r="AG479" s="21" t="s">
        <v>11</v>
      </c>
      <c r="AH479" s="122" t="s">
        <v>12</v>
      </c>
      <c r="AI479" s="122" t="s">
        <v>795</v>
      </c>
      <c r="AJ479" s="122" t="s">
        <v>13</v>
      </c>
      <c r="AK479" s="122" t="s">
        <v>14</v>
      </c>
      <c r="AL479" s="21" t="s">
        <v>15</v>
      </c>
      <c r="AM479" s="122" t="s">
        <v>8</v>
      </c>
    </row>
    <row r="480" spans="1:39" customFormat="1" ht="15.75" customHeight="1" x14ac:dyDescent="0.3">
      <c r="A480" t="s">
        <v>8</v>
      </c>
      <c r="B480" s="21" t="s">
        <v>558</v>
      </c>
      <c r="C480" s="21" t="s">
        <v>688</v>
      </c>
      <c r="D480" s="117" t="s">
        <v>373</v>
      </c>
      <c r="E480" s="21" t="s">
        <v>9</v>
      </c>
      <c r="F480" s="21" t="s">
        <v>319</v>
      </c>
      <c r="G480" s="21">
        <v>109.17</v>
      </c>
      <c r="H480" s="21">
        <v>3.99</v>
      </c>
      <c r="I480" s="117" t="s">
        <v>325</v>
      </c>
      <c r="J480" s="117" t="s">
        <v>325</v>
      </c>
      <c r="K480" s="118"/>
      <c r="L480" s="21"/>
      <c r="M480" s="21"/>
      <c r="N480" s="21"/>
      <c r="O480" s="21"/>
      <c r="P480" s="21">
        <v>109.17</v>
      </c>
      <c r="Q480" s="21"/>
      <c r="R480" s="21" t="s">
        <v>625</v>
      </c>
      <c r="S480" s="119">
        <f>DATABASE_Table[[#This Row],[Inicial Asking Price (€) (Total)]]-DATABASE_Table[[#This Row],[Vista membership]]-DATABASE_Table[[#This Row],[FF&amp;E]]</f>
        <v>720000</v>
      </c>
      <c r="T480" s="125">
        <v>720000</v>
      </c>
      <c r="U480" s="124">
        <v>684000</v>
      </c>
      <c r="V480" s="21"/>
      <c r="W480" s="21"/>
      <c r="X480" s="73">
        <f>DATABASE_Table[[#This Row],[Current Asking price( Total)]]-DATABASE_Table[[#This Row],[Vista membership]]-DATABASE_Table[[#This Row],[FF&amp;E]]</f>
        <v>684000</v>
      </c>
      <c r="Y480" s="126">
        <v>0</v>
      </c>
      <c r="Z480" s="124">
        <v>684000</v>
      </c>
      <c r="AA480" s="73">
        <f>DATABASE_Table[[#This Row],[Sell price (Total)]]-DATABASE_Table[[#This Row],[FF&amp;E]]-DATABASE_Table[[#This Row],[Vista membership]]</f>
        <v>684000</v>
      </c>
      <c r="AB480" s="74">
        <v>45441</v>
      </c>
      <c r="AC480" s="74" t="str">
        <f t="shared" si="7"/>
        <v>Q2 2024</v>
      </c>
      <c r="AD480" s="123">
        <v>45955</v>
      </c>
      <c r="AE480" s="69"/>
      <c r="AF480" s="21" t="s">
        <v>10</v>
      </c>
      <c r="AG480" s="21" t="s">
        <v>11</v>
      </c>
      <c r="AH480" s="122" t="s">
        <v>12</v>
      </c>
      <c r="AI480" s="122" t="s">
        <v>795</v>
      </c>
      <c r="AJ480" s="122" t="s">
        <v>13</v>
      </c>
      <c r="AK480" s="122" t="s">
        <v>14</v>
      </c>
      <c r="AL480" s="21" t="s">
        <v>15</v>
      </c>
      <c r="AM480" s="122" t="s">
        <v>8</v>
      </c>
    </row>
    <row r="481" spans="1:39" customFormat="1" ht="15.75" customHeight="1" x14ac:dyDescent="0.3">
      <c r="A481" t="s">
        <v>8</v>
      </c>
      <c r="B481" s="21" t="s">
        <v>558</v>
      </c>
      <c r="C481" s="21" t="s">
        <v>688</v>
      </c>
      <c r="D481" s="117" t="s">
        <v>378</v>
      </c>
      <c r="E481" s="21" t="s">
        <v>9</v>
      </c>
      <c r="F481" s="21" t="s">
        <v>319</v>
      </c>
      <c r="G481" s="21">
        <v>109.16</v>
      </c>
      <c r="H481" s="21"/>
      <c r="I481" s="117" t="s">
        <v>325</v>
      </c>
      <c r="J481" s="117" t="s">
        <v>325</v>
      </c>
      <c r="K481" s="118"/>
      <c r="L481" s="21"/>
      <c r="M481" s="21"/>
      <c r="N481" s="21"/>
      <c r="O481" s="21"/>
      <c r="P481" s="21">
        <v>109.16</v>
      </c>
      <c r="Q481" s="21"/>
      <c r="R481" s="21" t="s">
        <v>625</v>
      </c>
      <c r="S481" s="119">
        <f>DATABASE_Table[[#This Row],[Inicial Asking Price (€) (Total)]]-DATABASE_Table[[#This Row],[Vista membership]]-DATABASE_Table[[#This Row],[FF&amp;E]]</f>
        <v>720000</v>
      </c>
      <c r="T481" s="125">
        <v>720000</v>
      </c>
      <c r="U481" s="124">
        <v>684000</v>
      </c>
      <c r="V481" s="21"/>
      <c r="W481" s="21"/>
      <c r="X481" s="73">
        <f>DATABASE_Table[[#This Row],[Current Asking price( Total)]]-DATABASE_Table[[#This Row],[Vista membership]]-DATABASE_Table[[#This Row],[FF&amp;E]]</f>
        <v>684000</v>
      </c>
      <c r="Y481" s="126">
        <v>0</v>
      </c>
      <c r="Z481" s="124">
        <v>684000</v>
      </c>
      <c r="AA481" s="73">
        <f>DATABASE_Table[[#This Row],[Sell price (Total)]]-DATABASE_Table[[#This Row],[FF&amp;E]]-DATABASE_Table[[#This Row],[Vista membership]]</f>
        <v>684000</v>
      </c>
      <c r="AB481" s="74">
        <v>45441</v>
      </c>
      <c r="AC481" s="74" t="str">
        <f t="shared" si="7"/>
        <v>Q2 2024</v>
      </c>
      <c r="AD481" s="123">
        <v>45687</v>
      </c>
      <c r="AE481" s="69"/>
      <c r="AF481" s="21" t="s">
        <v>10</v>
      </c>
      <c r="AG481" s="21" t="s">
        <v>11</v>
      </c>
      <c r="AH481" s="122" t="s">
        <v>12</v>
      </c>
      <c r="AI481" s="122" t="s">
        <v>795</v>
      </c>
      <c r="AJ481" s="122" t="s">
        <v>13</v>
      </c>
      <c r="AK481" s="122" t="s">
        <v>14</v>
      </c>
      <c r="AL481" s="21" t="s">
        <v>15</v>
      </c>
      <c r="AM481" s="122" t="s">
        <v>8</v>
      </c>
    </row>
    <row r="482" spans="1:39" customFormat="1" ht="15.75" customHeight="1" x14ac:dyDescent="0.3">
      <c r="A482" t="s">
        <v>8</v>
      </c>
      <c r="B482" s="21" t="s">
        <v>558</v>
      </c>
      <c r="C482" s="21" t="s">
        <v>688</v>
      </c>
      <c r="D482" s="117" t="s">
        <v>339</v>
      </c>
      <c r="E482" s="21" t="s">
        <v>9</v>
      </c>
      <c r="F482" s="21" t="s">
        <v>319</v>
      </c>
      <c r="G482" s="21">
        <v>112.9</v>
      </c>
      <c r="H482" s="21"/>
      <c r="I482" s="117" t="s">
        <v>873</v>
      </c>
      <c r="J482" s="117" t="s">
        <v>325</v>
      </c>
      <c r="K482" s="118">
        <v>32.36</v>
      </c>
      <c r="L482" s="21"/>
      <c r="M482" s="21"/>
      <c r="N482" s="21"/>
      <c r="O482" s="21"/>
      <c r="P482" s="21">
        <v>112.9</v>
      </c>
      <c r="Q482" s="21"/>
      <c r="R482" s="21" t="s">
        <v>625</v>
      </c>
      <c r="S482" s="119">
        <f>DATABASE_Table[[#This Row],[Inicial Asking Price (€) (Total)]]-DATABASE_Table[[#This Row],[Vista membership]]-DATABASE_Table[[#This Row],[FF&amp;E]]</f>
        <v>780000</v>
      </c>
      <c r="T482" s="125">
        <v>780000</v>
      </c>
      <c r="U482" s="124">
        <v>780000</v>
      </c>
      <c r="V482" s="21"/>
      <c r="W482" s="21"/>
      <c r="X482" s="73">
        <f>DATABASE_Table[[#This Row],[Current Asking price( Total)]]-DATABASE_Table[[#This Row],[Vista membership]]-DATABASE_Table[[#This Row],[FF&amp;E]]</f>
        <v>780000</v>
      </c>
      <c r="Y482" s="126">
        <v>0</v>
      </c>
      <c r="Z482" s="124">
        <v>780000</v>
      </c>
      <c r="AA482" s="73">
        <f>DATABASE_Table[[#This Row],[Sell price (Total)]]-DATABASE_Table[[#This Row],[FF&amp;E]]-DATABASE_Table[[#This Row],[Vista membership]]</f>
        <v>780000</v>
      </c>
      <c r="AB482" s="74">
        <v>45441</v>
      </c>
      <c r="AC482" s="74" t="str">
        <f t="shared" si="7"/>
        <v>Q2 2024</v>
      </c>
      <c r="AD482" s="123">
        <v>45988</v>
      </c>
      <c r="AE482" s="69"/>
      <c r="AF482" s="21" t="s">
        <v>10</v>
      </c>
      <c r="AG482" s="21" t="s">
        <v>11</v>
      </c>
      <c r="AH482" s="122" t="s">
        <v>12</v>
      </c>
      <c r="AI482" s="122" t="s">
        <v>795</v>
      </c>
      <c r="AJ482" s="122" t="s">
        <v>13</v>
      </c>
      <c r="AK482" s="122" t="s">
        <v>14</v>
      </c>
      <c r="AL482" s="21" t="s">
        <v>15</v>
      </c>
      <c r="AM482" s="122" t="s">
        <v>8</v>
      </c>
    </row>
    <row r="483" spans="1:39" customFormat="1" ht="15.75" customHeight="1" x14ac:dyDescent="0.3">
      <c r="A483" t="s">
        <v>8</v>
      </c>
      <c r="B483" s="21" t="s">
        <v>558</v>
      </c>
      <c r="C483" s="21" t="s">
        <v>688</v>
      </c>
      <c r="D483" s="117" t="s">
        <v>341</v>
      </c>
      <c r="E483" s="21" t="s">
        <v>9</v>
      </c>
      <c r="F483" s="21" t="s">
        <v>319</v>
      </c>
      <c r="G483" s="21">
        <v>106.6</v>
      </c>
      <c r="H483" s="21">
        <v>3.37</v>
      </c>
      <c r="I483" s="117" t="s">
        <v>599</v>
      </c>
      <c r="J483" s="117" t="s">
        <v>325</v>
      </c>
      <c r="K483" s="118"/>
      <c r="L483" s="21"/>
      <c r="M483" s="21"/>
      <c r="N483" s="21"/>
      <c r="O483" s="21"/>
      <c r="P483" s="21">
        <v>106.6</v>
      </c>
      <c r="Q483" s="21"/>
      <c r="R483" s="21" t="s">
        <v>625</v>
      </c>
      <c r="S483" s="119">
        <f>DATABASE_Table[[#This Row],[Inicial Asking Price (€) (Total)]]-DATABASE_Table[[#This Row],[Vista membership]]-DATABASE_Table[[#This Row],[FF&amp;E]]</f>
        <v>700000</v>
      </c>
      <c r="T483" s="125">
        <v>700000</v>
      </c>
      <c r="U483" s="124">
        <v>700000</v>
      </c>
      <c r="V483" s="21"/>
      <c r="W483" s="21"/>
      <c r="X483" s="73">
        <f>DATABASE_Table[[#This Row],[Current Asking price( Total)]]-DATABASE_Table[[#This Row],[Vista membership]]-DATABASE_Table[[#This Row],[FF&amp;E]]</f>
        <v>700000</v>
      </c>
      <c r="Y483" s="126">
        <v>0</v>
      </c>
      <c r="Z483" s="124">
        <v>700000</v>
      </c>
      <c r="AA483" s="73">
        <f>DATABASE_Table[[#This Row],[Sell price (Total)]]-DATABASE_Table[[#This Row],[FF&amp;E]]-DATABASE_Table[[#This Row],[Vista membership]]</f>
        <v>700000</v>
      </c>
      <c r="AB483" s="74">
        <v>45441</v>
      </c>
      <c r="AC483" s="74" t="str">
        <f t="shared" si="7"/>
        <v>Q2 2024</v>
      </c>
      <c r="AD483" s="123">
        <v>45936</v>
      </c>
      <c r="AE483" s="69"/>
      <c r="AF483" s="21" t="s">
        <v>10</v>
      </c>
      <c r="AG483" s="21" t="s">
        <v>11</v>
      </c>
      <c r="AH483" s="122" t="s">
        <v>12</v>
      </c>
      <c r="AI483" s="122" t="s">
        <v>795</v>
      </c>
      <c r="AJ483" s="122" t="s">
        <v>13</v>
      </c>
      <c r="AK483" s="122" t="s">
        <v>14</v>
      </c>
      <c r="AL483" s="21" t="s">
        <v>15</v>
      </c>
      <c r="AM483" s="122" t="s">
        <v>8</v>
      </c>
    </row>
    <row r="484" spans="1:39" customFormat="1" ht="15.75" customHeight="1" x14ac:dyDescent="0.3">
      <c r="A484" t="s">
        <v>8</v>
      </c>
      <c r="B484" s="21" t="s">
        <v>558</v>
      </c>
      <c r="C484" s="21" t="s">
        <v>688</v>
      </c>
      <c r="D484" s="117" t="s">
        <v>345</v>
      </c>
      <c r="E484" s="21" t="s">
        <v>9</v>
      </c>
      <c r="F484" s="21" t="s">
        <v>320</v>
      </c>
      <c r="G484" s="21">
        <v>153.72</v>
      </c>
      <c r="H484" s="21">
        <v>4.45</v>
      </c>
      <c r="I484" s="117" t="s">
        <v>602</v>
      </c>
      <c r="J484" s="117" t="s">
        <v>587</v>
      </c>
      <c r="K484" s="118"/>
      <c r="L484" s="21"/>
      <c r="M484" s="21"/>
      <c r="N484" s="21"/>
      <c r="O484" s="21"/>
      <c r="P484" s="21">
        <v>153.72</v>
      </c>
      <c r="Q484" s="21"/>
      <c r="R484" s="21" t="s">
        <v>625</v>
      </c>
      <c r="S484" s="119">
        <f>DATABASE_Table[[#This Row],[Inicial Asking Price (€) (Total)]]-DATABASE_Table[[#This Row],[Vista membership]]-DATABASE_Table[[#This Row],[FF&amp;E]]</f>
        <v>1080000</v>
      </c>
      <c r="T484" s="125">
        <v>1080000</v>
      </c>
      <c r="U484" s="124">
        <v>1080000</v>
      </c>
      <c r="V484" s="21"/>
      <c r="W484" s="21"/>
      <c r="X484" s="73">
        <f>DATABASE_Table[[#This Row],[Current Asking price( Total)]]-DATABASE_Table[[#This Row],[Vista membership]]-DATABASE_Table[[#This Row],[FF&amp;E]]</f>
        <v>1080000</v>
      </c>
      <c r="Y484" s="126">
        <v>0</v>
      </c>
      <c r="Z484" s="124">
        <v>1080000</v>
      </c>
      <c r="AA484" s="73">
        <f>DATABASE_Table[[#This Row],[Sell price (Total)]]-DATABASE_Table[[#This Row],[FF&amp;E]]-DATABASE_Table[[#This Row],[Vista membership]]</f>
        <v>1080000</v>
      </c>
      <c r="AB484" s="74">
        <v>45441</v>
      </c>
      <c r="AC484" s="74" t="str">
        <f t="shared" si="7"/>
        <v>Q2 2024</v>
      </c>
      <c r="AD484" s="123">
        <v>46013</v>
      </c>
      <c r="AE484" s="69"/>
      <c r="AF484" s="21" t="s">
        <v>10</v>
      </c>
      <c r="AG484" s="21" t="s">
        <v>11</v>
      </c>
      <c r="AH484" s="122" t="s">
        <v>12</v>
      </c>
      <c r="AI484" s="122" t="s">
        <v>795</v>
      </c>
      <c r="AJ484" s="122" t="s">
        <v>13</v>
      </c>
      <c r="AK484" s="122" t="s">
        <v>14</v>
      </c>
      <c r="AL484" s="21" t="s">
        <v>15</v>
      </c>
      <c r="AM484" s="122" t="s">
        <v>8</v>
      </c>
    </row>
    <row r="485" spans="1:39" customFormat="1" ht="15.75" customHeight="1" x14ac:dyDescent="0.3">
      <c r="A485" t="s">
        <v>8</v>
      </c>
      <c r="B485" s="21" t="s">
        <v>558</v>
      </c>
      <c r="C485" s="21" t="s">
        <v>688</v>
      </c>
      <c r="D485" s="117" t="s">
        <v>360</v>
      </c>
      <c r="E485" s="21" t="s">
        <v>9</v>
      </c>
      <c r="F485" s="21" t="s">
        <v>320</v>
      </c>
      <c r="G485" s="21">
        <v>150.91</v>
      </c>
      <c r="H485" s="21">
        <v>4.46</v>
      </c>
      <c r="I485" s="117" t="s">
        <v>615</v>
      </c>
      <c r="J485" s="117" t="s">
        <v>587</v>
      </c>
      <c r="K485" s="118">
        <v>5.15</v>
      </c>
      <c r="L485" s="21"/>
      <c r="M485" s="21"/>
      <c r="N485" s="21"/>
      <c r="O485" s="21"/>
      <c r="P485" s="21">
        <v>150.91</v>
      </c>
      <c r="Q485" s="21"/>
      <c r="R485" s="21" t="s">
        <v>625</v>
      </c>
      <c r="S485" s="119">
        <f>DATABASE_Table[[#This Row],[Inicial Asking Price (€) (Total)]]-DATABASE_Table[[#This Row],[Vista membership]]-DATABASE_Table[[#This Row],[FF&amp;E]]</f>
        <v>1280000</v>
      </c>
      <c r="T485" s="125">
        <v>1280000</v>
      </c>
      <c r="U485" s="124">
        <v>1216000</v>
      </c>
      <c r="V485" s="21"/>
      <c r="W485" s="21"/>
      <c r="X485" s="73">
        <f>DATABASE_Table[[#This Row],[Current Asking price( Total)]]-DATABASE_Table[[#This Row],[Vista membership]]-DATABASE_Table[[#This Row],[FF&amp;E]]</f>
        <v>1216000</v>
      </c>
      <c r="Y485" s="126">
        <v>0</v>
      </c>
      <c r="Z485" s="124">
        <v>1216000</v>
      </c>
      <c r="AA485" s="73">
        <f>DATABASE_Table[[#This Row],[Sell price (Total)]]-DATABASE_Table[[#This Row],[FF&amp;E]]-DATABASE_Table[[#This Row],[Vista membership]]</f>
        <v>1216000</v>
      </c>
      <c r="AB485" s="74">
        <v>45441</v>
      </c>
      <c r="AC485" s="74" t="str">
        <f t="shared" si="7"/>
        <v>Q2 2024</v>
      </c>
      <c r="AD485" s="123">
        <v>45701</v>
      </c>
      <c r="AE485" s="69"/>
      <c r="AF485" s="21" t="s">
        <v>10</v>
      </c>
      <c r="AG485" s="21" t="s">
        <v>11</v>
      </c>
      <c r="AH485" s="122" t="s">
        <v>12</v>
      </c>
      <c r="AI485" s="122" t="s">
        <v>795</v>
      </c>
      <c r="AJ485" s="122" t="s">
        <v>13</v>
      </c>
      <c r="AK485" s="122" t="s">
        <v>14</v>
      </c>
      <c r="AL485" s="21" t="s">
        <v>15</v>
      </c>
      <c r="AM485" s="122" t="s">
        <v>8</v>
      </c>
    </row>
    <row r="486" spans="1:39" customFormat="1" ht="15.75" customHeight="1" x14ac:dyDescent="0.3">
      <c r="A486" t="s">
        <v>8</v>
      </c>
      <c r="B486" s="21" t="s">
        <v>558</v>
      </c>
      <c r="C486" s="21" t="s">
        <v>688</v>
      </c>
      <c r="D486" s="117" t="s">
        <v>376</v>
      </c>
      <c r="E486" s="21" t="s">
        <v>9</v>
      </c>
      <c r="F486" s="21" t="s">
        <v>319</v>
      </c>
      <c r="G486" s="21">
        <v>113.23</v>
      </c>
      <c r="H486" s="21"/>
      <c r="I486" s="117" t="s">
        <v>325</v>
      </c>
      <c r="J486" s="117" t="s">
        <v>325</v>
      </c>
      <c r="K486" s="118">
        <v>7.98</v>
      </c>
      <c r="L486" s="21"/>
      <c r="M486" s="21"/>
      <c r="N486" s="21"/>
      <c r="O486" s="21"/>
      <c r="P486" s="21">
        <v>113.23</v>
      </c>
      <c r="Q486" s="21"/>
      <c r="R486" s="21" t="s">
        <v>625</v>
      </c>
      <c r="S486" s="119">
        <f>DATABASE_Table[[#This Row],[Inicial Asking Price (€) (Total)]]-DATABASE_Table[[#This Row],[Vista membership]]-DATABASE_Table[[#This Row],[FF&amp;E]]</f>
        <v>750000</v>
      </c>
      <c r="T486" s="125">
        <v>750000</v>
      </c>
      <c r="U486" s="124">
        <v>750000</v>
      </c>
      <c r="V486" s="21"/>
      <c r="W486" s="21"/>
      <c r="X486" s="73">
        <f>DATABASE_Table[[#This Row],[Current Asking price( Total)]]-DATABASE_Table[[#This Row],[Vista membership]]-DATABASE_Table[[#This Row],[FF&amp;E]]</f>
        <v>750000</v>
      </c>
      <c r="Y486" s="126">
        <v>0.01</v>
      </c>
      <c r="Z486" s="124">
        <v>742500</v>
      </c>
      <c r="AA486" s="73">
        <f>DATABASE_Table[[#This Row],[Sell price (Total)]]-DATABASE_Table[[#This Row],[FF&amp;E]]-DATABASE_Table[[#This Row],[Vista membership]]</f>
        <v>742500</v>
      </c>
      <c r="AB486" s="74">
        <v>45441</v>
      </c>
      <c r="AC486" s="74" t="str">
        <f t="shared" si="7"/>
        <v>Q2 2024</v>
      </c>
      <c r="AD486" s="123">
        <v>46093</v>
      </c>
      <c r="AE486" s="69"/>
      <c r="AF486" s="21" t="s">
        <v>10</v>
      </c>
      <c r="AG486" s="21" t="s">
        <v>11</v>
      </c>
      <c r="AH486" s="122" t="s">
        <v>12</v>
      </c>
      <c r="AI486" s="122" t="s">
        <v>795</v>
      </c>
      <c r="AJ486" s="122" t="s">
        <v>13</v>
      </c>
      <c r="AK486" s="122" t="s">
        <v>14</v>
      </c>
      <c r="AL486" s="21" t="s">
        <v>15</v>
      </c>
      <c r="AM486" s="122" t="s">
        <v>8</v>
      </c>
    </row>
    <row r="487" spans="1:39" customFormat="1" ht="15.75" customHeight="1" x14ac:dyDescent="0.3">
      <c r="A487" t="s">
        <v>8</v>
      </c>
      <c r="B487" s="21" t="s">
        <v>558</v>
      </c>
      <c r="C487" s="21" t="s">
        <v>688</v>
      </c>
      <c r="D487" s="117" t="s">
        <v>337</v>
      </c>
      <c r="E487" s="21" t="s">
        <v>9</v>
      </c>
      <c r="F487" s="21" t="s">
        <v>319</v>
      </c>
      <c r="G487" s="21">
        <v>112.9</v>
      </c>
      <c r="H487" s="21"/>
      <c r="I487" s="117" t="s">
        <v>597</v>
      </c>
      <c r="J487" s="117" t="s">
        <v>325</v>
      </c>
      <c r="K487" s="118">
        <v>17.59</v>
      </c>
      <c r="L487" s="21"/>
      <c r="M487" s="21"/>
      <c r="N487" s="21"/>
      <c r="O487" s="21"/>
      <c r="P487" s="21">
        <v>112.9</v>
      </c>
      <c r="Q487" s="21"/>
      <c r="R487" s="21" t="s">
        <v>625</v>
      </c>
      <c r="S487" s="119">
        <f>DATABASE_Table[[#This Row],[Inicial Asking Price (€) (Total)]]-DATABASE_Table[[#This Row],[Vista membership]]-DATABASE_Table[[#This Row],[FF&amp;E]]</f>
        <v>685000</v>
      </c>
      <c r="T487" s="125">
        <v>685000</v>
      </c>
      <c r="U487" s="124">
        <v>685000</v>
      </c>
      <c r="V487" s="21"/>
      <c r="W487" s="21"/>
      <c r="X487" s="73">
        <f>DATABASE_Table[[#This Row],[Current Asking price( Total)]]-DATABASE_Table[[#This Row],[Vista membership]]-DATABASE_Table[[#This Row],[FF&amp;E]]</f>
        <v>685000</v>
      </c>
      <c r="Y487" s="126">
        <v>0.01</v>
      </c>
      <c r="Z487" s="124">
        <v>678150</v>
      </c>
      <c r="AA487" s="73">
        <f>DATABASE_Table[[#This Row],[Sell price (Total)]]-DATABASE_Table[[#This Row],[FF&amp;E]]-DATABASE_Table[[#This Row],[Vista membership]]</f>
        <v>678150</v>
      </c>
      <c r="AB487" s="74">
        <v>45441</v>
      </c>
      <c r="AC487" s="74" t="str">
        <f t="shared" si="7"/>
        <v>Q2 2024</v>
      </c>
      <c r="AD487" s="123">
        <v>46149</v>
      </c>
      <c r="AE487" s="69"/>
      <c r="AF487" s="21" t="s">
        <v>10</v>
      </c>
      <c r="AG487" s="21" t="s">
        <v>11</v>
      </c>
      <c r="AH487" s="122" t="s">
        <v>12</v>
      </c>
      <c r="AI487" s="122" t="s">
        <v>795</v>
      </c>
      <c r="AJ487" s="122" t="s">
        <v>13</v>
      </c>
      <c r="AK487" s="122" t="s">
        <v>14</v>
      </c>
      <c r="AL487" s="21" t="s">
        <v>15</v>
      </c>
      <c r="AM487" s="122" t="s">
        <v>8</v>
      </c>
    </row>
    <row r="488" spans="1:39" customFormat="1" ht="15.75" customHeight="1" x14ac:dyDescent="0.3">
      <c r="A488" t="s">
        <v>8</v>
      </c>
      <c r="B488" s="21" t="s">
        <v>558</v>
      </c>
      <c r="C488" s="21" t="s">
        <v>688</v>
      </c>
      <c r="D488" s="117" t="s">
        <v>344</v>
      </c>
      <c r="E488" s="21" t="s">
        <v>9</v>
      </c>
      <c r="F488" s="21" t="s">
        <v>320</v>
      </c>
      <c r="G488" s="21">
        <v>164.33</v>
      </c>
      <c r="H488" s="21">
        <v>4.46</v>
      </c>
      <c r="I488" s="117" t="s">
        <v>872</v>
      </c>
      <c r="J488" s="117" t="s">
        <v>587</v>
      </c>
      <c r="K488" s="118">
        <v>5.67</v>
      </c>
      <c r="L488" s="21"/>
      <c r="M488" s="21"/>
      <c r="N488" s="21"/>
      <c r="O488" s="21"/>
      <c r="P488" s="21">
        <v>164.33</v>
      </c>
      <c r="Q488" s="21"/>
      <c r="R488" s="21" t="s">
        <v>625</v>
      </c>
      <c r="S488" s="119">
        <f>DATABASE_Table[[#This Row],[Inicial Asking Price (€) (Total)]]-DATABASE_Table[[#This Row],[Vista membership]]-DATABASE_Table[[#This Row],[FF&amp;E]]</f>
        <v>1130000</v>
      </c>
      <c r="T488" s="125">
        <v>1130000</v>
      </c>
      <c r="U488" s="124">
        <v>1130000</v>
      </c>
      <c r="V488" s="21"/>
      <c r="W488" s="21"/>
      <c r="X488" s="73">
        <f>DATABASE_Table[[#This Row],[Current Asking price( Total)]]-DATABASE_Table[[#This Row],[Vista membership]]-DATABASE_Table[[#This Row],[FF&amp;E]]</f>
        <v>1130000</v>
      </c>
      <c r="Y488" s="126">
        <v>2.6548672566371698E-2</v>
      </c>
      <c r="Z488" s="124">
        <v>1100000</v>
      </c>
      <c r="AA488" s="73">
        <f>DATABASE_Table[[#This Row],[Sell price (Total)]]-DATABASE_Table[[#This Row],[FF&amp;E]]-DATABASE_Table[[#This Row],[Vista membership]]</f>
        <v>1100000</v>
      </c>
      <c r="AB488" s="74">
        <v>45441</v>
      </c>
      <c r="AC488" s="74" t="str">
        <f t="shared" si="7"/>
        <v>Q2 2024</v>
      </c>
      <c r="AD488" s="123">
        <v>46090</v>
      </c>
      <c r="AE488" s="69"/>
      <c r="AF488" s="21" t="s">
        <v>10</v>
      </c>
      <c r="AG488" s="21" t="s">
        <v>11</v>
      </c>
      <c r="AH488" s="122" t="s">
        <v>12</v>
      </c>
      <c r="AI488" s="122" t="s">
        <v>795</v>
      </c>
      <c r="AJ488" s="122" t="s">
        <v>13</v>
      </c>
      <c r="AK488" s="122" t="s">
        <v>14</v>
      </c>
      <c r="AL488" s="21" t="s">
        <v>15</v>
      </c>
      <c r="AM488" s="122" t="s">
        <v>8</v>
      </c>
    </row>
    <row r="489" spans="1:39" customFormat="1" ht="15.75" customHeight="1" x14ac:dyDescent="0.3">
      <c r="A489" t="s">
        <v>8</v>
      </c>
      <c r="B489" s="21" t="s">
        <v>558</v>
      </c>
      <c r="C489" s="21" t="s">
        <v>688</v>
      </c>
      <c r="D489" s="117" t="s">
        <v>343</v>
      </c>
      <c r="E489" s="21" t="s">
        <v>9</v>
      </c>
      <c r="F489" s="21" t="s">
        <v>320</v>
      </c>
      <c r="G489" s="21">
        <v>164.44</v>
      </c>
      <c r="H489" s="21">
        <v>4.46</v>
      </c>
      <c r="I489" s="117" t="s">
        <v>601</v>
      </c>
      <c r="J489" s="117" t="s">
        <v>587</v>
      </c>
      <c r="K489" s="118">
        <v>5.67</v>
      </c>
      <c r="L489" s="21"/>
      <c r="M489" s="21"/>
      <c r="N489" s="21"/>
      <c r="O489" s="21"/>
      <c r="P489" s="21">
        <v>164.44</v>
      </c>
      <c r="Q489" s="21"/>
      <c r="R489" s="21" t="s">
        <v>625</v>
      </c>
      <c r="S489" s="119">
        <f>DATABASE_Table[[#This Row],[Inicial Asking Price (€) (Total)]]-DATABASE_Table[[#This Row],[Vista membership]]-DATABASE_Table[[#This Row],[FF&amp;E]]</f>
        <v>1170000</v>
      </c>
      <c r="T489" s="125">
        <v>1170000</v>
      </c>
      <c r="U489" s="124">
        <v>1170000</v>
      </c>
      <c r="V489" s="21"/>
      <c r="W489" s="21"/>
      <c r="X489" s="73">
        <f>DATABASE_Table[[#This Row],[Current Asking price( Total)]]-DATABASE_Table[[#This Row],[Vista membership]]-DATABASE_Table[[#This Row],[FF&amp;E]]</f>
        <v>1170000</v>
      </c>
      <c r="Y489" s="126">
        <v>0.03</v>
      </c>
      <c r="Z489" s="124">
        <v>1134900</v>
      </c>
      <c r="AA489" s="73">
        <f>DATABASE_Table[[#This Row],[Sell price (Total)]]-DATABASE_Table[[#This Row],[FF&amp;E]]-DATABASE_Table[[#This Row],[Vista membership]]</f>
        <v>1134900</v>
      </c>
      <c r="AB489" s="74">
        <v>45441</v>
      </c>
      <c r="AC489" s="74" t="str">
        <f t="shared" si="7"/>
        <v>Q2 2024</v>
      </c>
      <c r="AD489" s="123">
        <v>45985</v>
      </c>
      <c r="AE489" s="69"/>
      <c r="AF489" s="21" t="s">
        <v>10</v>
      </c>
      <c r="AG489" s="21" t="s">
        <v>11</v>
      </c>
      <c r="AH489" s="122" t="s">
        <v>12</v>
      </c>
      <c r="AI489" s="122" t="s">
        <v>795</v>
      </c>
      <c r="AJ489" s="122" t="s">
        <v>13</v>
      </c>
      <c r="AK489" s="122" t="s">
        <v>14</v>
      </c>
      <c r="AL489" s="21" t="s">
        <v>15</v>
      </c>
      <c r="AM489" s="122" t="s">
        <v>8</v>
      </c>
    </row>
    <row r="490" spans="1:39" customFormat="1" ht="15.75" customHeight="1" x14ac:dyDescent="0.3">
      <c r="A490" t="s">
        <v>8</v>
      </c>
      <c r="B490" s="21" t="s">
        <v>558</v>
      </c>
      <c r="C490" s="21" t="s">
        <v>688</v>
      </c>
      <c r="D490" s="117" t="s">
        <v>362</v>
      </c>
      <c r="E490" s="21" t="s">
        <v>9</v>
      </c>
      <c r="F490" s="21" t="s">
        <v>319</v>
      </c>
      <c r="G490" s="21">
        <v>106.14</v>
      </c>
      <c r="H490" s="21"/>
      <c r="I490" s="117" t="s">
        <v>899</v>
      </c>
      <c r="J490" s="117" t="s">
        <v>325</v>
      </c>
      <c r="K490" s="118"/>
      <c r="L490" s="21"/>
      <c r="M490" s="21"/>
      <c r="N490" s="21"/>
      <c r="O490" s="21"/>
      <c r="P490" s="21">
        <v>106.14</v>
      </c>
      <c r="Q490" s="21"/>
      <c r="R490" s="21" t="s">
        <v>329</v>
      </c>
      <c r="S490" s="119">
        <f>DATABASE_Table[[#This Row],[Inicial Asking Price (€) (Total)]]-DATABASE_Table[[#This Row],[Vista membership]]-DATABASE_Table[[#This Row],[FF&amp;E]]</f>
        <v>710000</v>
      </c>
      <c r="T490" s="125">
        <v>710000</v>
      </c>
      <c r="U490" s="124">
        <v>710000</v>
      </c>
      <c r="V490" s="21"/>
      <c r="W490" s="21"/>
      <c r="X490" s="73">
        <f>DATABASE_Table[[#This Row],[Current Asking price( Total)]]-DATABASE_Table[[#This Row],[Vista membership]]-DATABASE_Table[[#This Row],[FF&amp;E]]</f>
        <v>710000</v>
      </c>
      <c r="Y490" s="126"/>
      <c r="Z490" s="124">
        <v>710000</v>
      </c>
      <c r="AA490" s="73">
        <f>DATABASE_Table[[#This Row],[Sell price (Total)]]-DATABASE_Table[[#This Row],[FF&amp;E]]-DATABASE_Table[[#This Row],[Vista membership]]</f>
        <v>710000</v>
      </c>
      <c r="AB490" s="74">
        <v>45441</v>
      </c>
      <c r="AC490" s="74" t="str">
        <f t="shared" si="7"/>
        <v>Q2 2024</v>
      </c>
      <c r="AD490" s="123"/>
      <c r="AE490" s="69"/>
      <c r="AF490" s="21" t="s">
        <v>10</v>
      </c>
      <c r="AG490" s="21" t="s">
        <v>11</v>
      </c>
      <c r="AH490" s="122" t="s">
        <v>12</v>
      </c>
      <c r="AI490" s="122" t="s">
        <v>795</v>
      </c>
      <c r="AJ490" s="122" t="s">
        <v>13</v>
      </c>
      <c r="AK490" s="122" t="s">
        <v>14</v>
      </c>
      <c r="AL490" s="21" t="s">
        <v>15</v>
      </c>
      <c r="AM490" s="122" t="s">
        <v>8</v>
      </c>
    </row>
    <row r="491" spans="1:39" customFormat="1" ht="15.75" customHeight="1" x14ac:dyDescent="0.3">
      <c r="A491" t="s">
        <v>8</v>
      </c>
      <c r="B491" s="21" t="s">
        <v>558</v>
      </c>
      <c r="C491" s="21" t="s">
        <v>688</v>
      </c>
      <c r="D491" s="117" t="s">
        <v>364</v>
      </c>
      <c r="E491" s="21" t="s">
        <v>9</v>
      </c>
      <c r="F491" s="21" t="s">
        <v>320</v>
      </c>
      <c r="G491" s="21">
        <v>164.42</v>
      </c>
      <c r="H491" s="21">
        <v>4.45</v>
      </c>
      <c r="I491" s="117" t="s">
        <v>617</v>
      </c>
      <c r="J491" s="117" t="s">
        <v>587</v>
      </c>
      <c r="K491" s="118"/>
      <c r="L491" s="21"/>
      <c r="M491" s="21"/>
      <c r="N491" s="21"/>
      <c r="O491" s="21"/>
      <c r="P491" s="21">
        <v>164.42</v>
      </c>
      <c r="Q491" s="21"/>
      <c r="R491" s="21" t="s">
        <v>329</v>
      </c>
      <c r="S491" s="119">
        <f>DATABASE_Table[[#This Row],[Inicial Asking Price (€) (Total)]]-DATABASE_Table[[#This Row],[Vista membership]]-DATABASE_Table[[#This Row],[FF&amp;E]]</f>
        <v>1150000</v>
      </c>
      <c r="T491" s="125">
        <v>1150000</v>
      </c>
      <c r="U491" s="124">
        <v>1150000</v>
      </c>
      <c r="V491" s="21"/>
      <c r="W491" s="21"/>
      <c r="X491" s="73">
        <f>DATABASE_Table[[#This Row],[Current Asking price( Total)]]-DATABASE_Table[[#This Row],[Vista membership]]-DATABASE_Table[[#This Row],[FF&amp;E]]</f>
        <v>1150000</v>
      </c>
      <c r="Y491" s="126"/>
      <c r="Z491" s="124">
        <v>1150000</v>
      </c>
      <c r="AA491" s="73">
        <f>DATABASE_Table[[#This Row],[Sell price (Total)]]-DATABASE_Table[[#This Row],[FF&amp;E]]-DATABASE_Table[[#This Row],[Vista membership]]</f>
        <v>1150000</v>
      </c>
      <c r="AB491" s="74">
        <v>45441</v>
      </c>
      <c r="AC491" s="74" t="str">
        <f t="shared" si="7"/>
        <v>Q2 2024</v>
      </c>
      <c r="AD491" s="123"/>
      <c r="AE491" s="69"/>
      <c r="AF491" s="21" t="s">
        <v>10</v>
      </c>
      <c r="AG491" s="21" t="s">
        <v>11</v>
      </c>
      <c r="AH491" s="122" t="s">
        <v>12</v>
      </c>
      <c r="AI491" s="122" t="s">
        <v>795</v>
      </c>
      <c r="AJ491" s="122" t="s">
        <v>13</v>
      </c>
      <c r="AK491" s="122" t="s">
        <v>14</v>
      </c>
      <c r="AL491" s="21" t="s">
        <v>15</v>
      </c>
      <c r="AM491" s="122" t="s">
        <v>8</v>
      </c>
    </row>
    <row r="492" spans="1:39" customFormat="1" ht="15.75" customHeight="1" x14ac:dyDescent="0.3">
      <c r="A492" t="s">
        <v>8</v>
      </c>
      <c r="B492" s="21" t="s">
        <v>558</v>
      </c>
      <c r="C492" s="21" t="s">
        <v>688</v>
      </c>
      <c r="D492" s="117" t="s">
        <v>365</v>
      </c>
      <c r="E492" s="21" t="s">
        <v>9</v>
      </c>
      <c r="F492" s="21" t="s">
        <v>320</v>
      </c>
      <c r="G492" s="21">
        <v>164.4</v>
      </c>
      <c r="H492" s="21">
        <v>4.4800000000000004</v>
      </c>
      <c r="I492" s="117" t="s">
        <v>618</v>
      </c>
      <c r="J492" s="117" t="s">
        <v>587</v>
      </c>
      <c r="K492" s="118">
        <v>5.75</v>
      </c>
      <c r="L492" s="21"/>
      <c r="M492" s="21"/>
      <c r="N492" s="21"/>
      <c r="O492" s="21"/>
      <c r="P492" s="21">
        <v>164.4</v>
      </c>
      <c r="Q492" s="21"/>
      <c r="R492" s="21" t="s">
        <v>329</v>
      </c>
      <c r="S492" s="119">
        <f>DATABASE_Table[[#This Row],[Inicial Asking Price (€) (Total)]]-DATABASE_Table[[#This Row],[Vista membership]]-DATABASE_Table[[#This Row],[FF&amp;E]]</f>
        <v>1140000</v>
      </c>
      <c r="T492" s="125">
        <v>1140000</v>
      </c>
      <c r="U492" s="124">
        <v>1140000</v>
      </c>
      <c r="V492" s="21"/>
      <c r="W492" s="21"/>
      <c r="X492" s="73">
        <f>DATABASE_Table[[#This Row],[Current Asking price( Total)]]-DATABASE_Table[[#This Row],[Vista membership]]-DATABASE_Table[[#This Row],[FF&amp;E]]</f>
        <v>1140000</v>
      </c>
      <c r="Y492" s="126"/>
      <c r="Z492" s="124">
        <v>1140000</v>
      </c>
      <c r="AA492" s="73">
        <f>DATABASE_Table[[#This Row],[Sell price (Total)]]-DATABASE_Table[[#This Row],[FF&amp;E]]-DATABASE_Table[[#This Row],[Vista membership]]</f>
        <v>1140000</v>
      </c>
      <c r="AB492" s="74">
        <v>45441</v>
      </c>
      <c r="AC492" s="74" t="str">
        <f t="shared" si="7"/>
        <v>Q2 2024</v>
      </c>
      <c r="AD492" s="123">
        <v>46167</v>
      </c>
      <c r="AE492" s="69"/>
      <c r="AF492" s="21" t="s">
        <v>10</v>
      </c>
      <c r="AG492" s="21" t="s">
        <v>11</v>
      </c>
      <c r="AH492" s="122" t="s">
        <v>12</v>
      </c>
      <c r="AI492" s="122" t="s">
        <v>795</v>
      </c>
      <c r="AJ492" s="122" t="s">
        <v>13</v>
      </c>
      <c r="AK492" s="122" t="s">
        <v>14</v>
      </c>
      <c r="AL492" s="21" t="s">
        <v>15</v>
      </c>
      <c r="AM492" s="122" t="s">
        <v>8</v>
      </c>
    </row>
    <row r="493" spans="1:39" customFormat="1" ht="15.75" customHeight="1" x14ac:dyDescent="0.3">
      <c r="A493" t="s">
        <v>8</v>
      </c>
      <c r="B493" s="21" t="s">
        <v>558</v>
      </c>
      <c r="C493" s="21" t="s">
        <v>688</v>
      </c>
      <c r="D493" s="117" t="s">
        <v>367</v>
      </c>
      <c r="E493" s="21" t="s">
        <v>9</v>
      </c>
      <c r="F493" s="21" t="s">
        <v>319</v>
      </c>
      <c r="G493" s="21">
        <v>106.03</v>
      </c>
      <c r="H493" s="21">
        <v>3.37</v>
      </c>
      <c r="I493" s="117" t="s">
        <v>620</v>
      </c>
      <c r="J493" s="117" t="s">
        <v>325</v>
      </c>
      <c r="K493" s="118"/>
      <c r="L493" s="21"/>
      <c r="M493" s="21"/>
      <c r="N493" s="21"/>
      <c r="O493" s="21"/>
      <c r="P493" s="21">
        <v>106.03</v>
      </c>
      <c r="Q493" s="21"/>
      <c r="R493" s="21" t="s">
        <v>329</v>
      </c>
      <c r="S493" s="119">
        <f>DATABASE_Table[[#This Row],[Inicial Asking Price (€) (Total)]]-DATABASE_Table[[#This Row],[Vista membership]]-DATABASE_Table[[#This Row],[FF&amp;E]]</f>
        <v>710000</v>
      </c>
      <c r="T493" s="125">
        <v>710000</v>
      </c>
      <c r="U493" s="124">
        <v>710000</v>
      </c>
      <c r="V493" s="21"/>
      <c r="W493" s="21"/>
      <c r="X493" s="73">
        <f>DATABASE_Table[[#This Row],[Current Asking price( Total)]]-DATABASE_Table[[#This Row],[Vista membership]]-DATABASE_Table[[#This Row],[FF&amp;E]]</f>
        <v>710000</v>
      </c>
      <c r="Y493" s="126"/>
      <c r="Z493" s="124">
        <v>710000</v>
      </c>
      <c r="AA493" s="73">
        <f>DATABASE_Table[[#This Row],[Sell price (Total)]]-DATABASE_Table[[#This Row],[FF&amp;E]]-DATABASE_Table[[#This Row],[Vista membership]]</f>
        <v>710000</v>
      </c>
      <c r="AB493" s="74">
        <v>45441</v>
      </c>
      <c r="AC493" s="74" t="str">
        <f t="shared" si="7"/>
        <v>Q2 2024</v>
      </c>
      <c r="AD493" s="123">
        <v>46125</v>
      </c>
      <c r="AE493" s="69"/>
      <c r="AF493" s="21" t="s">
        <v>10</v>
      </c>
      <c r="AG493" s="21" t="s">
        <v>11</v>
      </c>
      <c r="AH493" s="122" t="s">
        <v>12</v>
      </c>
      <c r="AI493" s="122" t="s">
        <v>795</v>
      </c>
      <c r="AJ493" s="122" t="s">
        <v>13</v>
      </c>
      <c r="AK493" s="122" t="s">
        <v>14</v>
      </c>
      <c r="AL493" s="21" t="s">
        <v>15</v>
      </c>
      <c r="AM493" s="122" t="s">
        <v>8</v>
      </c>
    </row>
    <row r="494" spans="1:39" customFormat="1" ht="15.75" customHeight="1" x14ac:dyDescent="0.3">
      <c r="A494" t="s">
        <v>8</v>
      </c>
      <c r="B494" s="21" t="s">
        <v>558</v>
      </c>
      <c r="C494" s="21" t="s">
        <v>688</v>
      </c>
      <c r="D494" s="117" t="s">
        <v>368</v>
      </c>
      <c r="E494" s="21" t="s">
        <v>9</v>
      </c>
      <c r="F494" s="21" t="s">
        <v>320</v>
      </c>
      <c r="G494" s="21">
        <v>153.4</v>
      </c>
      <c r="H494" s="21">
        <v>4.46</v>
      </c>
      <c r="I494" s="117" t="s">
        <v>621</v>
      </c>
      <c r="J494" s="117" t="s">
        <v>325</v>
      </c>
      <c r="K494" s="118">
        <v>35.18</v>
      </c>
      <c r="L494" s="21"/>
      <c r="M494" s="21"/>
      <c r="N494" s="21"/>
      <c r="O494" s="21"/>
      <c r="P494" s="21">
        <v>153.4</v>
      </c>
      <c r="Q494" s="21"/>
      <c r="R494" s="21" t="s">
        <v>329</v>
      </c>
      <c r="S494" s="119">
        <f>DATABASE_Table[[#This Row],[Inicial Asking Price (€) (Total)]]-DATABASE_Table[[#This Row],[Vista membership]]-DATABASE_Table[[#This Row],[FF&amp;E]]</f>
        <v>980000</v>
      </c>
      <c r="T494" s="125">
        <v>980000</v>
      </c>
      <c r="U494" s="124">
        <v>980000</v>
      </c>
      <c r="V494" s="21"/>
      <c r="W494" s="21"/>
      <c r="X494" s="73">
        <f>DATABASE_Table[[#This Row],[Current Asking price( Total)]]-DATABASE_Table[[#This Row],[Vista membership]]-DATABASE_Table[[#This Row],[FF&amp;E]]</f>
        <v>980000</v>
      </c>
      <c r="Y494" s="126"/>
      <c r="Z494" s="124">
        <v>980000</v>
      </c>
      <c r="AA494" s="73">
        <f>DATABASE_Table[[#This Row],[Sell price (Total)]]-DATABASE_Table[[#This Row],[FF&amp;E]]-DATABASE_Table[[#This Row],[Vista membership]]</f>
        <v>980000</v>
      </c>
      <c r="AB494" s="74">
        <v>45441</v>
      </c>
      <c r="AC494" s="74" t="str">
        <f t="shared" si="7"/>
        <v>Q2 2024</v>
      </c>
      <c r="AD494" s="123"/>
      <c r="AE494" s="69"/>
      <c r="AF494" s="21" t="s">
        <v>10</v>
      </c>
      <c r="AG494" s="21" t="s">
        <v>11</v>
      </c>
      <c r="AH494" s="122" t="s">
        <v>12</v>
      </c>
      <c r="AI494" s="122" t="s">
        <v>795</v>
      </c>
      <c r="AJ494" s="122" t="s">
        <v>13</v>
      </c>
      <c r="AK494" s="122" t="s">
        <v>14</v>
      </c>
      <c r="AL494" s="21" t="s">
        <v>15</v>
      </c>
      <c r="AM494" s="122" t="s">
        <v>8</v>
      </c>
    </row>
    <row r="495" spans="1:39" customFormat="1" ht="15.75" customHeight="1" x14ac:dyDescent="0.3">
      <c r="A495" t="s">
        <v>8</v>
      </c>
      <c r="B495" s="21" t="s">
        <v>558</v>
      </c>
      <c r="C495" s="21" t="s">
        <v>688</v>
      </c>
      <c r="D495" s="117" t="s">
        <v>369</v>
      </c>
      <c r="E495" s="21" t="s">
        <v>9</v>
      </c>
      <c r="F495" s="21" t="s">
        <v>320</v>
      </c>
      <c r="G495" s="21">
        <v>154.74</v>
      </c>
      <c r="H495" s="21">
        <v>4.45</v>
      </c>
      <c r="I495" s="117" t="s">
        <v>622</v>
      </c>
      <c r="J495" s="117" t="s">
        <v>325</v>
      </c>
      <c r="K495" s="118">
        <v>21.06</v>
      </c>
      <c r="L495" s="21"/>
      <c r="M495" s="21"/>
      <c r="N495" s="21"/>
      <c r="O495" s="21"/>
      <c r="P495" s="21">
        <v>154.74</v>
      </c>
      <c r="Q495" s="21"/>
      <c r="R495" s="21" t="s">
        <v>329</v>
      </c>
      <c r="S495" s="119">
        <f>DATABASE_Table[[#This Row],[Inicial Asking Price (€) (Total)]]-DATABASE_Table[[#This Row],[Vista membership]]-DATABASE_Table[[#This Row],[FF&amp;E]]</f>
        <v>1005000</v>
      </c>
      <c r="T495" s="125">
        <v>1005000</v>
      </c>
      <c r="U495" s="124">
        <v>1005000</v>
      </c>
      <c r="V495" s="21"/>
      <c r="W495" s="21"/>
      <c r="X495" s="73">
        <f>DATABASE_Table[[#This Row],[Current Asking price( Total)]]-DATABASE_Table[[#This Row],[Vista membership]]-DATABASE_Table[[#This Row],[FF&amp;E]]</f>
        <v>1005000</v>
      </c>
      <c r="Y495" s="126"/>
      <c r="Z495" s="124">
        <v>1005000</v>
      </c>
      <c r="AA495" s="73">
        <f>DATABASE_Table[[#This Row],[Sell price (Total)]]-DATABASE_Table[[#This Row],[FF&amp;E]]-DATABASE_Table[[#This Row],[Vista membership]]</f>
        <v>1005000</v>
      </c>
      <c r="AB495" s="74">
        <v>45441</v>
      </c>
      <c r="AC495" s="74" t="str">
        <f t="shared" si="7"/>
        <v>Q2 2024</v>
      </c>
      <c r="AD495" s="123"/>
      <c r="AE495" s="69"/>
      <c r="AF495" s="21" t="s">
        <v>10</v>
      </c>
      <c r="AG495" s="21" t="s">
        <v>11</v>
      </c>
      <c r="AH495" s="122" t="s">
        <v>12</v>
      </c>
      <c r="AI495" s="122" t="s">
        <v>795</v>
      </c>
      <c r="AJ495" s="122" t="s">
        <v>13</v>
      </c>
      <c r="AK495" s="122" t="s">
        <v>14</v>
      </c>
      <c r="AL495" s="21" t="s">
        <v>15</v>
      </c>
      <c r="AM495" s="122" t="s">
        <v>8</v>
      </c>
    </row>
    <row r="496" spans="1:39" customFormat="1" ht="15.75" customHeight="1" x14ac:dyDescent="0.3">
      <c r="A496" t="s">
        <v>8</v>
      </c>
      <c r="B496" s="21" t="s">
        <v>558</v>
      </c>
      <c r="C496" s="21" t="s">
        <v>688</v>
      </c>
      <c r="D496" s="117" t="s">
        <v>370</v>
      </c>
      <c r="E496" s="21" t="s">
        <v>9</v>
      </c>
      <c r="F496" s="21" t="s">
        <v>321</v>
      </c>
      <c r="G496" s="21">
        <v>191.33</v>
      </c>
      <c r="H496" s="21">
        <v>4.45</v>
      </c>
      <c r="I496" s="117" t="s">
        <v>623</v>
      </c>
      <c r="J496" s="117" t="s">
        <v>587</v>
      </c>
      <c r="K496" s="118">
        <v>7.92</v>
      </c>
      <c r="L496" s="21"/>
      <c r="M496" s="21"/>
      <c r="N496" s="21"/>
      <c r="O496" s="21"/>
      <c r="P496" s="21">
        <v>191.33</v>
      </c>
      <c r="Q496" s="21"/>
      <c r="R496" s="21" t="s">
        <v>329</v>
      </c>
      <c r="S496" s="119">
        <f>DATABASE_Table[[#This Row],[Inicial Asking Price (€) (Total)]]-DATABASE_Table[[#This Row],[Vista membership]]-DATABASE_Table[[#This Row],[FF&amp;E]]</f>
        <v>1540000</v>
      </c>
      <c r="T496" s="125">
        <v>1540000</v>
      </c>
      <c r="U496" s="124">
        <v>1540000</v>
      </c>
      <c r="V496" s="21"/>
      <c r="W496" s="21"/>
      <c r="X496" s="73">
        <f>DATABASE_Table[[#This Row],[Current Asking price( Total)]]-DATABASE_Table[[#This Row],[Vista membership]]-DATABASE_Table[[#This Row],[FF&amp;E]]</f>
        <v>1540000</v>
      </c>
      <c r="Y496" s="126"/>
      <c r="Z496" s="124">
        <v>1540000</v>
      </c>
      <c r="AA496" s="73">
        <f>DATABASE_Table[[#This Row],[Sell price (Total)]]-DATABASE_Table[[#This Row],[FF&amp;E]]-DATABASE_Table[[#This Row],[Vista membership]]</f>
        <v>1540000</v>
      </c>
      <c r="AB496" s="74">
        <v>45441</v>
      </c>
      <c r="AC496" s="74" t="str">
        <f t="shared" si="7"/>
        <v>Q2 2024</v>
      </c>
      <c r="AD496" s="123"/>
      <c r="AE496" s="69"/>
      <c r="AF496" s="21" t="s">
        <v>10</v>
      </c>
      <c r="AG496" s="21" t="s">
        <v>11</v>
      </c>
      <c r="AH496" s="122" t="s">
        <v>12</v>
      </c>
      <c r="AI496" s="122" t="s">
        <v>795</v>
      </c>
      <c r="AJ496" s="122" t="s">
        <v>13</v>
      </c>
      <c r="AK496" s="122" t="s">
        <v>14</v>
      </c>
      <c r="AL496" s="21" t="s">
        <v>15</v>
      </c>
      <c r="AM496" s="122" t="s">
        <v>8</v>
      </c>
    </row>
    <row r="497" spans="1:39" customFormat="1" ht="15.75" customHeight="1" x14ac:dyDescent="0.3">
      <c r="A497" t="s">
        <v>8</v>
      </c>
      <c r="B497" s="21" t="s">
        <v>558</v>
      </c>
      <c r="C497" s="21" t="s">
        <v>688</v>
      </c>
      <c r="D497" s="117" t="s">
        <v>371</v>
      </c>
      <c r="E497" s="21" t="s">
        <v>9</v>
      </c>
      <c r="F497" s="21" t="s">
        <v>321</v>
      </c>
      <c r="G497" s="21">
        <v>191.33</v>
      </c>
      <c r="H497" s="21">
        <v>4.4800000000000004</v>
      </c>
      <c r="I497" s="117" t="s">
        <v>325</v>
      </c>
      <c r="J497" s="117" t="s">
        <v>587</v>
      </c>
      <c r="K497" s="118">
        <v>7.19</v>
      </c>
      <c r="L497" s="21"/>
      <c r="M497" s="21"/>
      <c r="N497" s="21"/>
      <c r="O497" s="21"/>
      <c r="P497" s="21">
        <v>191.33</v>
      </c>
      <c r="Q497" s="21"/>
      <c r="R497" s="21" t="s">
        <v>329</v>
      </c>
      <c r="S497" s="119">
        <f>DATABASE_Table[[#This Row],[Inicial Asking Price (€) (Total)]]-DATABASE_Table[[#This Row],[Vista membership]]-DATABASE_Table[[#This Row],[FF&amp;E]]</f>
        <v>1530000</v>
      </c>
      <c r="T497" s="125">
        <v>1530000</v>
      </c>
      <c r="U497" s="124">
        <v>1530000</v>
      </c>
      <c r="V497" s="21"/>
      <c r="W497" s="21"/>
      <c r="X497" s="73">
        <f>DATABASE_Table[[#This Row],[Current Asking price( Total)]]-DATABASE_Table[[#This Row],[Vista membership]]-DATABASE_Table[[#This Row],[FF&amp;E]]</f>
        <v>1530000</v>
      </c>
      <c r="Y497" s="126"/>
      <c r="Z497" s="124">
        <v>1530000</v>
      </c>
      <c r="AA497" s="73">
        <f>DATABASE_Table[[#This Row],[Sell price (Total)]]-DATABASE_Table[[#This Row],[FF&amp;E]]-DATABASE_Table[[#This Row],[Vista membership]]</f>
        <v>1530000</v>
      </c>
      <c r="AB497" s="74">
        <v>45441</v>
      </c>
      <c r="AC497" s="74" t="str">
        <f t="shared" si="7"/>
        <v>Q2 2024</v>
      </c>
      <c r="AD497" s="123"/>
      <c r="AE497" s="69"/>
      <c r="AF497" s="21" t="s">
        <v>10</v>
      </c>
      <c r="AG497" s="21" t="s">
        <v>11</v>
      </c>
      <c r="AH497" s="122" t="s">
        <v>12</v>
      </c>
      <c r="AI497" s="122" t="s">
        <v>795</v>
      </c>
      <c r="AJ497" s="122" t="s">
        <v>13</v>
      </c>
      <c r="AK497" s="122" t="s">
        <v>14</v>
      </c>
      <c r="AL497" s="21" t="s">
        <v>15</v>
      </c>
      <c r="AM497" s="122" t="s">
        <v>8</v>
      </c>
    </row>
    <row r="498" spans="1:39" customFormat="1" ht="15.75" customHeight="1" x14ac:dyDescent="0.3">
      <c r="A498" t="s">
        <v>8</v>
      </c>
      <c r="B498" s="21" t="s">
        <v>558</v>
      </c>
      <c r="C498" s="21" t="s">
        <v>688</v>
      </c>
      <c r="D498" s="117" t="s">
        <v>374</v>
      </c>
      <c r="E498" s="21" t="s">
        <v>9</v>
      </c>
      <c r="F498" s="21" t="s">
        <v>319</v>
      </c>
      <c r="G498" s="21">
        <v>111.44</v>
      </c>
      <c r="H498" s="21"/>
      <c r="I498" s="117" t="s">
        <v>325</v>
      </c>
      <c r="J498" s="117" t="s">
        <v>325</v>
      </c>
      <c r="K498" s="118">
        <v>9.11</v>
      </c>
      <c r="L498" s="21"/>
      <c r="M498" s="21"/>
      <c r="N498" s="21"/>
      <c r="O498" s="21"/>
      <c r="P498" s="21">
        <v>111.44</v>
      </c>
      <c r="Q498" s="21"/>
      <c r="R498" s="21" t="s">
        <v>329</v>
      </c>
      <c r="S498" s="119">
        <f>DATABASE_Table[[#This Row],[Inicial Asking Price (€) (Total)]]-DATABASE_Table[[#This Row],[Vista membership]]-DATABASE_Table[[#This Row],[FF&amp;E]]</f>
        <v>720000</v>
      </c>
      <c r="T498" s="125">
        <v>720000</v>
      </c>
      <c r="U498" s="124">
        <v>720000</v>
      </c>
      <c r="V498" s="21"/>
      <c r="W498" s="21"/>
      <c r="X498" s="73">
        <f>DATABASE_Table[[#This Row],[Current Asking price( Total)]]-DATABASE_Table[[#This Row],[Vista membership]]-DATABASE_Table[[#This Row],[FF&amp;E]]</f>
        <v>720000</v>
      </c>
      <c r="Y498" s="126"/>
      <c r="Z498" s="124">
        <v>720000</v>
      </c>
      <c r="AA498" s="73">
        <f>DATABASE_Table[[#This Row],[Sell price (Total)]]-DATABASE_Table[[#This Row],[FF&amp;E]]-DATABASE_Table[[#This Row],[Vista membership]]</f>
        <v>720000</v>
      </c>
      <c r="AB498" s="74">
        <v>45441</v>
      </c>
      <c r="AC498" s="74" t="str">
        <f t="shared" si="7"/>
        <v>Q2 2024</v>
      </c>
      <c r="AD498" s="123"/>
      <c r="AE498" s="69"/>
      <c r="AF498" s="21" t="s">
        <v>10</v>
      </c>
      <c r="AG498" s="21" t="s">
        <v>11</v>
      </c>
      <c r="AH498" s="122" t="s">
        <v>12</v>
      </c>
      <c r="AI498" s="122" t="s">
        <v>795</v>
      </c>
      <c r="AJ498" s="122" t="s">
        <v>13</v>
      </c>
      <c r="AK498" s="122" t="s">
        <v>14</v>
      </c>
      <c r="AL498" s="21" t="s">
        <v>15</v>
      </c>
      <c r="AM498" s="122" t="s">
        <v>8</v>
      </c>
    </row>
    <row r="499" spans="1:39" customFormat="1" ht="15.75" customHeight="1" x14ac:dyDescent="0.3">
      <c r="A499" t="s">
        <v>8</v>
      </c>
      <c r="B499" s="21" t="s">
        <v>558</v>
      </c>
      <c r="C499" s="21" t="s">
        <v>688</v>
      </c>
      <c r="D499" s="117" t="s">
        <v>375</v>
      </c>
      <c r="E499" s="21" t="s">
        <v>9</v>
      </c>
      <c r="F499" s="21" t="s">
        <v>319</v>
      </c>
      <c r="G499" s="21">
        <v>109.31</v>
      </c>
      <c r="H499" s="21"/>
      <c r="I499" s="117" t="s">
        <v>325</v>
      </c>
      <c r="J499" s="117" t="s">
        <v>325</v>
      </c>
      <c r="K499" s="118">
        <v>7.67</v>
      </c>
      <c r="L499" s="21"/>
      <c r="M499" s="21"/>
      <c r="N499" s="21"/>
      <c r="O499" s="21"/>
      <c r="P499" s="21">
        <v>109.31</v>
      </c>
      <c r="Q499" s="21"/>
      <c r="R499" s="21" t="s">
        <v>329</v>
      </c>
      <c r="S499" s="119">
        <f>DATABASE_Table[[#This Row],[Inicial Asking Price (€) (Total)]]-DATABASE_Table[[#This Row],[Vista membership]]-DATABASE_Table[[#This Row],[FF&amp;E]]</f>
        <v>720000</v>
      </c>
      <c r="T499" s="125">
        <v>720000</v>
      </c>
      <c r="U499" s="124">
        <v>720000</v>
      </c>
      <c r="V499" s="21"/>
      <c r="W499" s="21"/>
      <c r="X499" s="73">
        <f>DATABASE_Table[[#This Row],[Current Asking price( Total)]]-DATABASE_Table[[#This Row],[Vista membership]]-DATABASE_Table[[#This Row],[FF&amp;E]]</f>
        <v>720000</v>
      </c>
      <c r="Y499" s="126"/>
      <c r="Z499" s="124">
        <v>720000</v>
      </c>
      <c r="AA499" s="73">
        <f>DATABASE_Table[[#This Row],[Sell price (Total)]]-DATABASE_Table[[#This Row],[FF&amp;E]]-DATABASE_Table[[#This Row],[Vista membership]]</f>
        <v>720000</v>
      </c>
      <c r="AB499" s="74">
        <v>45441</v>
      </c>
      <c r="AC499" s="74" t="str">
        <f t="shared" si="7"/>
        <v>Q2 2024</v>
      </c>
      <c r="AD499" s="123"/>
      <c r="AE499" s="69"/>
      <c r="AF499" s="21" t="s">
        <v>10</v>
      </c>
      <c r="AG499" s="21" t="s">
        <v>11</v>
      </c>
      <c r="AH499" s="122" t="s">
        <v>12</v>
      </c>
      <c r="AI499" s="122" t="s">
        <v>795</v>
      </c>
      <c r="AJ499" s="122" t="s">
        <v>13</v>
      </c>
      <c r="AK499" s="122" t="s">
        <v>14</v>
      </c>
      <c r="AL499" s="21" t="s">
        <v>15</v>
      </c>
      <c r="AM499" s="122" t="s">
        <v>8</v>
      </c>
    </row>
    <row r="500" spans="1:39" customFormat="1" ht="15.75" customHeight="1" x14ac:dyDescent="0.3">
      <c r="A500" t="s">
        <v>8</v>
      </c>
      <c r="B500" s="21" t="s">
        <v>558</v>
      </c>
      <c r="C500" s="21" t="s">
        <v>688</v>
      </c>
      <c r="D500" s="117" t="s">
        <v>377</v>
      </c>
      <c r="E500" s="21" t="s">
        <v>9</v>
      </c>
      <c r="F500" s="21" t="s">
        <v>319</v>
      </c>
      <c r="G500" s="21">
        <v>111.39</v>
      </c>
      <c r="H500" s="21"/>
      <c r="I500" s="117" t="s">
        <v>325</v>
      </c>
      <c r="J500" s="117" t="s">
        <v>325</v>
      </c>
      <c r="K500" s="118">
        <v>4.55</v>
      </c>
      <c r="L500" s="21"/>
      <c r="M500" s="21"/>
      <c r="N500" s="21"/>
      <c r="O500" s="21"/>
      <c r="P500" s="21">
        <v>111.39</v>
      </c>
      <c r="Q500" s="21"/>
      <c r="R500" s="21" t="s">
        <v>329</v>
      </c>
      <c r="S500" s="119">
        <f>DATABASE_Table[[#This Row],[Inicial Asking Price (€) (Total)]]-DATABASE_Table[[#This Row],[Vista membership]]-DATABASE_Table[[#This Row],[FF&amp;E]]</f>
        <v>720000</v>
      </c>
      <c r="T500" s="125">
        <v>720000</v>
      </c>
      <c r="U500" s="124">
        <v>720000</v>
      </c>
      <c r="V500" s="21"/>
      <c r="W500" s="21"/>
      <c r="X500" s="73">
        <f>DATABASE_Table[[#This Row],[Current Asking price( Total)]]-DATABASE_Table[[#This Row],[Vista membership]]-DATABASE_Table[[#This Row],[FF&amp;E]]</f>
        <v>720000</v>
      </c>
      <c r="Y500" s="126"/>
      <c r="Z500" s="124">
        <v>720000</v>
      </c>
      <c r="AA500" s="73">
        <f>DATABASE_Table[[#This Row],[Sell price (Total)]]-DATABASE_Table[[#This Row],[FF&amp;E]]-DATABASE_Table[[#This Row],[Vista membership]]</f>
        <v>720000</v>
      </c>
      <c r="AB500" s="74">
        <v>45441</v>
      </c>
      <c r="AC500" s="74" t="str">
        <f t="shared" si="7"/>
        <v>Q2 2024</v>
      </c>
      <c r="AD500" s="123"/>
      <c r="AE500" s="69"/>
      <c r="AF500" s="21" t="s">
        <v>10</v>
      </c>
      <c r="AG500" s="21" t="s">
        <v>11</v>
      </c>
      <c r="AH500" s="122" t="s">
        <v>12</v>
      </c>
      <c r="AI500" s="122" t="s">
        <v>795</v>
      </c>
      <c r="AJ500" s="122" t="s">
        <v>13</v>
      </c>
      <c r="AK500" s="122" t="s">
        <v>14</v>
      </c>
      <c r="AL500" s="21" t="s">
        <v>15</v>
      </c>
      <c r="AM500" s="122" t="s">
        <v>8</v>
      </c>
    </row>
    <row r="501" spans="1:39" customFormat="1" ht="15.75" customHeight="1" x14ac:dyDescent="0.3">
      <c r="A501" t="s">
        <v>8</v>
      </c>
      <c r="B501" s="21" t="s">
        <v>558</v>
      </c>
      <c r="C501" s="21" t="s">
        <v>688</v>
      </c>
      <c r="D501" s="117" t="s">
        <v>379</v>
      </c>
      <c r="E501" s="21" t="s">
        <v>9</v>
      </c>
      <c r="F501" s="21" t="s">
        <v>321</v>
      </c>
      <c r="G501" s="21">
        <v>202.2</v>
      </c>
      <c r="H501" s="21">
        <v>6.13</v>
      </c>
      <c r="I501" s="117" t="s">
        <v>325</v>
      </c>
      <c r="J501" s="117" t="s">
        <v>587</v>
      </c>
      <c r="K501" s="118">
        <v>33.729999999999997</v>
      </c>
      <c r="L501" s="21"/>
      <c r="M501" s="21"/>
      <c r="N501" s="21"/>
      <c r="O501" s="21"/>
      <c r="P501" s="21">
        <v>202.2</v>
      </c>
      <c r="Q501" s="21"/>
      <c r="R501" s="21" t="s">
        <v>329</v>
      </c>
      <c r="S501" s="119">
        <f>DATABASE_Table[[#This Row],[Inicial Asking Price (€) (Total)]]-DATABASE_Table[[#This Row],[Vista membership]]-DATABASE_Table[[#This Row],[FF&amp;E]]</f>
        <v>1650000</v>
      </c>
      <c r="T501" s="125">
        <v>1650000</v>
      </c>
      <c r="U501" s="124">
        <v>1650000</v>
      </c>
      <c r="V501" s="21"/>
      <c r="W501" s="21"/>
      <c r="X501" s="73">
        <f>DATABASE_Table[[#This Row],[Current Asking price( Total)]]-DATABASE_Table[[#This Row],[Vista membership]]-DATABASE_Table[[#This Row],[FF&amp;E]]</f>
        <v>1650000</v>
      </c>
      <c r="Y501" s="126"/>
      <c r="Z501" s="124">
        <v>1650000</v>
      </c>
      <c r="AA501" s="73">
        <f>DATABASE_Table[[#This Row],[Sell price (Total)]]-DATABASE_Table[[#This Row],[FF&amp;E]]-DATABASE_Table[[#This Row],[Vista membership]]</f>
        <v>1650000</v>
      </c>
      <c r="AB501" s="74">
        <v>45441</v>
      </c>
      <c r="AC501" s="74" t="str">
        <f t="shared" si="7"/>
        <v>Q2 2024</v>
      </c>
      <c r="AD501" s="123"/>
      <c r="AE501" s="69"/>
      <c r="AF501" s="21" t="s">
        <v>10</v>
      </c>
      <c r="AG501" s="21" t="s">
        <v>11</v>
      </c>
      <c r="AH501" s="122" t="s">
        <v>12</v>
      </c>
      <c r="AI501" s="122" t="s">
        <v>795</v>
      </c>
      <c r="AJ501" s="122" t="s">
        <v>13</v>
      </c>
      <c r="AK501" s="122" t="s">
        <v>14</v>
      </c>
      <c r="AL501" s="21" t="s">
        <v>15</v>
      </c>
      <c r="AM501" s="122" t="s">
        <v>8</v>
      </c>
    </row>
    <row r="502" spans="1:39" customFormat="1" ht="15.75" customHeight="1" x14ac:dyDescent="0.3">
      <c r="A502" t="s">
        <v>8</v>
      </c>
      <c r="B502" s="21" t="s">
        <v>558</v>
      </c>
      <c r="C502" s="21" t="s">
        <v>688</v>
      </c>
      <c r="D502" s="117" t="s">
        <v>380</v>
      </c>
      <c r="E502" s="21" t="s">
        <v>9</v>
      </c>
      <c r="F502" s="21" t="s">
        <v>319</v>
      </c>
      <c r="G502" s="21">
        <v>108.99</v>
      </c>
      <c r="H502" s="21"/>
      <c r="I502" s="117" t="s">
        <v>325</v>
      </c>
      <c r="J502" s="117" t="s">
        <v>325</v>
      </c>
      <c r="K502" s="118">
        <v>4.3099999999999996</v>
      </c>
      <c r="L502" s="21"/>
      <c r="M502" s="21"/>
      <c r="N502" s="21"/>
      <c r="O502" s="21"/>
      <c r="P502" s="21">
        <v>108.99</v>
      </c>
      <c r="Q502" s="21"/>
      <c r="R502" s="21" t="s">
        <v>329</v>
      </c>
      <c r="S502" s="119">
        <f>DATABASE_Table[[#This Row],[Inicial Asking Price (€) (Total)]]-DATABASE_Table[[#This Row],[Vista membership]]-DATABASE_Table[[#This Row],[FF&amp;E]]</f>
        <v>710000</v>
      </c>
      <c r="T502" s="125">
        <v>710000</v>
      </c>
      <c r="U502" s="124">
        <v>710000</v>
      </c>
      <c r="V502" s="21"/>
      <c r="W502" s="21"/>
      <c r="X502" s="73">
        <f>DATABASE_Table[[#This Row],[Current Asking price( Total)]]-DATABASE_Table[[#This Row],[Vista membership]]-DATABASE_Table[[#This Row],[FF&amp;E]]</f>
        <v>710000</v>
      </c>
      <c r="Y502" s="126"/>
      <c r="Z502" s="124">
        <v>710000</v>
      </c>
      <c r="AA502" s="73">
        <f>DATABASE_Table[[#This Row],[Sell price (Total)]]-DATABASE_Table[[#This Row],[FF&amp;E]]-DATABASE_Table[[#This Row],[Vista membership]]</f>
        <v>710000</v>
      </c>
      <c r="AB502" s="74">
        <v>45441</v>
      </c>
      <c r="AC502" s="74" t="str">
        <f t="shared" si="7"/>
        <v>Q2 2024</v>
      </c>
      <c r="AD502" s="123"/>
      <c r="AE502" s="69"/>
      <c r="AF502" s="21" t="s">
        <v>10</v>
      </c>
      <c r="AG502" s="21" t="s">
        <v>11</v>
      </c>
      <c r="AH502" s="122" t="s">
        <v>12</v>
      </c>
      <c r="AI502" s="122" t="s">
        <v>795</v>
      </c>
      <c r="AJ502" s="122" t="s">
        <v>13</v>
      </c>
      <c r="AK502" s="122" t="s">
        <v>14</v>
      </c>
      <c r="AL502" s="21" t="s">
        <v>15</v>
      </c>
      <c r="AM502" s="122" t="s">
        <v>8</v>
      </c>
    </row>
    <row r="503" spans="1:39" customFormat="1" ht="15.75" customHeight="1" x14ac:dyDescent="0.3">
      <c r="A503" t="s">
        <v>8</v>
      </c>
      <c r="B503" s="21" t="s">
        <v>558</v>
      </c>
      <c r="C503" s="21" t="s">
        <v>688</v>
      </c>
      <c r="D503" s="117" t="s">
        <v>381</v>
      </c>
      <c r="E503" s="21" t="s">
        <v>9</v>
      </c>
      <c r="F503" s="21" t="s">
        <v>319</v>
      </c>
      <c r="G503" s="21">
        <v>110.8</v>
      </c>
      <c r="H503" s="21"/>
      <c r="I503" s="117" t="s">
        <v>325</v>
      </c>
      <c r="J503" s="117" t="s">
        <v>325</v>
      </c>
      <c r="K503" s="118">
        <v>8.9600000000000009</v>
      </c>
      <c r="L503" s="21"/>
      <c r="M503" s="21"/>
      <c r="N503" s="21"/>
      <c r="O503" s="21"/>
      <c r="P503" s="21">
        <v>110.8</v>
      </c>
      <c r="Q503" s="21"/>
      <c r="R503" s="21" t="s">
        <v>329</v>
      </c>
      <c r="S503" s="119">
        <f>DATABASE_Table[[#This Row],[Inicial Asking Price (€) (Total)]]-DATABASE_Table[[#This Row],[Vista membership]]-DATABASE_Table[[#This Row],[FF&amp;E]]</f>
        <v>750000</v>
      </c>
      <c r="T503" s="125">
        <v>750000</v>
      </c>
      <c r="U503" s="124">
        <v>750000</v>
      </c>
      <c r="V503" s="21"/>
      <c r="W503" s="21"/>
      <c r="X503" s="73">
        <f>DATABASE_Table[[#This Row],[Current Asking price( Total)]]-DATABASE_Table[[#This Row],[Vista membership]]-DATABASE_Table[[#This Row],[FF&amp;E]]</f>
        <v>750000</v>
      </c>
      <c r="Y503" s="126"/>
      <c r="Z503" s="124">
        <v>750000</v>
      </c>
      <c r="AA503" s="73">
        <f>DATABASE_Table[[#This Row],[Sell price (Total)]]-DATABASE_Table[[#This Row],[FF&amp;E]]-DATABASE_Table[[#This Row],[Vista membership]]</f>
        <v>750000</v>
      </c>
      <c r="AB503" s="74">
        <v>45441</v>
      </c>
      <c r="AC503" s="74" t="str">
        <f t="shared" si="7"/>
        <v>Q2 2024</v>
      </c>
      <c r="AD503" s="123"/>
      <c r="AE503" s="69"/>
      <c r="AF503" s="21" t="s">
        <v>10</v>
      </c>
      <c r="AG503" s="21" t="s">
        <v>11</v>
      </c>
      <c r="AH503" s="122" t="s">
        <v>12</v>
      </c>
      <c r="AI503" s="122" t="s">
        <v>795</v>
      </c>
      <c r="AJ503" s="122" t="s">
        <v>13</v>
      </c>
      <c r="AK503" s="122" t="s">
        <v>14</v>
      </c>
      <c r="AL503" s="21" t="s">
        <v>15</v>
      </c>
      <c r="AM503" s="122" t="s">
        <v>8</v>
      </c>
    </row>
    <row r="504" spans="1:39" customFormat="1" ht="15.75" customHeight="1" x14ac:dyDescent="0.3">
      <c r="A504" t="s">
        <v>8</v>
      </c>
      <c r="B504" s="21" t="s">
        <v>558</v>
      </c>
      <c r="C504" s="21" t="s">
        <v>688</v>
      </c>
      <c r="D504" s="117" t="s">
        <v>382</v>
      </c>
      <c r="E504" s="21" t="s">
        <v>9</v>
      </c>
      <c r="F504" s="21" t="s">
        <v>319</v>
      </c>
      <c r="G504" s="21">
        <v>114.72</v>
      </c>
      <c r="H504" s="21"/>
      <c r="I504" s="117" t="s">
        <v>325</v>
      </c>
      <c r="J504" s="117" t="s">
        <v>325</v>
      </c>
      <c r="K504" s="118">
        <v>43.32</v>
      </c>
      <c r="L504" s="21"/>
      <c r="M504" s="21"/>
      <c r="N504" s="21"/>
      <c r="O504" s="21"/>
      <c r="P504" s="21">
        <v>114.72</v>
      </c>
      <c r="Q504" s="21"/>
      <c r="R504" s="21" t="s">
        <v>329</v>
      </c>
      <c r="S504" s="119">
        <f>DATABASE_Table[[#This Row],[Inicial Asking Price (€) (Total)]]-DATABASE_Table[[#This Row],[Vista membership]]-DATABASE_Table[[#This Row],[FF&amp;E]]</f>
        <v>885000</v>
      </c>
      <c r="T504" s="125">
        <v>885000</v>
      </c>
      <c r="U504" s="124">
        <v>885000</v>
      </c>
      <c r="V504" s="21"/>
      <c r="W504" s="21"/>
      <c r="X504" s="73">
        <f>DATABASE_Table[[#This Row],[Current Asking price( Total)]]-DATABASE_Table[[#This Row],[Vista membership]]-DATABASE_Table[[#This Row],[FF&amp;E]]</f>
        <v>885000</v>
      </c>
      <c r="Y504" s="126"/>
      <c r="Z504" s="124">
        <v>885000</v>
      </c>
      <c r="AA504" s="73">
        <f>DATABASE_Table[[#This Row],[Sell price (Total)]]-DATABASE_Table[[#This Row],[FF&amp;E]]-DATABASE_Table[[#This Row],[Vista membership]]</f>
        <v>885000</v>
      </c>
      <c r="AB504" s="74">
        <v>45441</v>
      </c>
      <c r="AC504" s="74" t="str">
        <f t="shared" si="7"/>
        <v>Q2 2024</v>
      </c>
      <c r="AD504" s="123"/>
      <c r="AE504" s="69"/>
      <c r="AF504" s="21" t="s">
        <v>10</v>
      </c>
      <c r="AG504" s="21" t="s">
        <v>11</v>
      </c>
      <c r="AH504" s="122" t="s">
        <v>12</v>
      </c>
      <c r="AI504" s="122" t="s">
        <v>795</v>
      </c>
      <c r="AJ504" s="122" t="s">
        <v>13</v>
      </c>
      <c r="AK504" s="122" t="s">
        <v>14</v>
      </c>
      <c r="AL504" s="21" t="s">
        <v>15</v>
      </c>
      <c r="AM504" s="122" t="s">
        <v>8</v>
      </c>
    </row>
    <row r="505" spans="1:39" customFormat="1" ht="15.75" customHeight="1" x14ac:dyDescent="0.3">
      <c r="A505" t="s">
        <v>8</v>
      </c>
      <c r="B505" s="21" t="s">
        <v>558</v>
      </c>
      <c r="C505" s="21" t="s">
        <v>688</v>
      </c>
      <c r="D505" s="117" t="s">
        <v>338</v>
      </c>
      <c r="E505" s="21" t="s">
        <v>9</v>
      </c>
      <c r="F505" s="21" t="s">
        <v>319</v>
      </c>
      <c r="G505" s="21">
        <v>112.9</v>
      </c>
      <c r="H505" s="21"/>
      <c r="I505" s="117" t="s">
        <v>896</v>
      </c>
      <c r="J505" s="117" t="s">
        <v>325</v>
      </c>
      <c r="K505" s="118">
        <v>27.51</v>
      </c>
      <c r="L505" s="21"/>
      <c r="M505" s="21"/>
      <c r="N505" s="21"/>
      <c r="O505" s="21"/>
      <c r="P505" s="21">
        <v>112.9</v>
      </c>
      <c r="Q505" s="21"/>
      <c r="R505" s="21" t="s">
        <v>329</v>
      </c>
      <c r="S505" s="119">
        <f>DATABASE_Table[[#This Row],[Inicial Asking Price (€) (Total)]]-DATABASE_Table[[#This Row],[Vista membership]]-DATABASE_Table[[#This Row],[FF&amp;E]]</f>
        <v>695000</v>
      </c>
      <c r="T505" s="125">
        <v>695000</v>
      </c>
      <c r="U505" s="124">
        <v>695000</v>
      </c>
      <c r="V505" s="21"/>
      <c r="W505" s="21"/>
      <c r="X505" s="73">
        <f>DATABASE_Table[[#This Row],[Current Asking price( Total)]]-DATABASE_Table[[#This Row],[Vista membership]]-DATABASE_Table[[#This Row],[FF&amp;E]]</f>
        <v>695000</v>
      </c>
      <c r="Y505" s="126"/>
      <c r="Z505" s="124">
        <v>695000</v>
      </c>
      <c r="AA505" s="73">
        <f>DATABASE_Table[[#This Row],[Sell price (Total)]]-DATABASE_Table[[#This Row],[FF&amp;E]]-DATABASE_Table[[#This Row],[Vista membership]]</f>
        <v>695000</v>
      </c>
      <c r="AB505" s="74">
        <v>45441</v>
      </c>
      <c r="AC505" s="74" t="str">
        <f t="shared" si="7"/>
        <v>Q2 2024</v>
      </c>
      <c r="AD505" s="123"/>
      <c r="AE505" s="69"/>
      <c r="AF505" s="21" t="s">
        <v>10</v>
      </c>
      <c r="AG505" s="21" t="s">
        <v>11</v>
      </c>
      <c r="AH505" s="122" t="s">
        <v>12</v>
      </c>
      <c r="AI505" s="122" t="s">
        <v>795</v>
      </c>
      <c r="AJ505" s="122" t="s">
        <v>13</v>
      </c>
      <c r="AK505" s="122" t="s">
        <v>14</v>
      </c>
      <c r="AL505" s="21" t="s">
        <v>15</v>
      </c>
      <c r="AM505" s="122" t="s">
        <v>8</v>
      </c>
    </row>
    <row r="506" spans="1:39" customFormat="1" ht="15.75" customHeight="1" x14ac:dyDescent="0.3">
      <c r="A506" t="s">
        <v>8</v>
      </c>
      <c r="B506" s="21" t="s">
        <v>558</v>
      </c>
      <c r="C506" s="21" t="s">
        <v>688</v>
      </c>
      <c r="D506" s="117" t="s">
        <v>340</v>
      </c>
      <c r="E506" s="21" t="s">
        <v>9</v>
      </c>
      <c r="F506" s="21" t="s">
        <v>319</v>
      </c>
      <c r="G506" s="21">
        <v>112.9</v>
      </c>
      <c r="H506" s="21"/>
      <c r="I506" s="117" t="s">
        <v>598</v>
      </c>
      <c r="J506" s="117" t="s">
        <v>325</v>
      </c>
      <c r="K506" s="118">
        <v>21.52</v>
      </c>
      <c r="L506" s="21"/>
      <c r="M506" s="21"/>
      <c r="N506" s="21"/>
      <c r="O506" s="21"/>
      <c r="P506" s="21">
        <v>112.9</v>
      </c>
      <c r="Q506" s="21"/>
      <c r="R506" s="21" t="s">
        <v>329</v>
      </c>
      <c r="S506" s="119">
        <f>DATABASE_Table[[#This Row],[Inicial Asking Price (€) (Total)]]-DATABASE_Table[[#This Row],[Vista membership]]-DATABASE_Table[[#This Row],[FF&amp;E]]</f>
        <v>760000</v>
      </c>
      <c r="T506" s="125">
        <v>760000</v>
      </c>
      <c r="U506" s="124">
        <v>760000</v>
      </c>
      <c r="V506" s="21"/>
      <c r="W506" s="21"/>
      <c r="X506" s="73">
        <f>DATABASE_Table[[#This Row],[Current Asking price( Total)]]-DATABASE_Table[[#This Row],[Vista membership]]-DATABASE_Table[[#This Row],[FF&amp;E]]</f>
        <v>760000</v>
      </c>
      <c r="Y506" s="126"/>
      <c r="Z506" s="124">
        <v>760000</v>
      </c>
      <c r="AA506" s="73">
        <f>DATABASE_Table[[#This Row],[Sell price (Total)]]-DATABASE_Table[[#This Row],[FF&amp;E]]-DATABASE_Table[[#This Row],[Vista membership]]</f>
        <v>760000</v>
      </c>
      <c r="AB506" s="74">
        <v>45441</v>
      </c>
      <c r="AC506" s="74" t="str">
        <f t="shared" si="7"/>
        <v>Q2 2024</v>
      </c>
      <c r="AD506" s="123"/>
      <c r="AE506" s="69"/>
      <c r="AF506" s="21" t="s">
        <v>10</v>
      </c>
      <c r="AG506" s="21" t="s">
        <v>11</v>
      </c>
      <c r="AH506" s="122" t="s">
        <v>12</v>
      </c>
      <c r="AI506" s="122" t="s">
        <v>795</v>
      </c>
      <c r="AJ506" s="122" t="s">
        <v>13</v>
      </c>
      <c r="AK506" s="122" t="s">
        <v>14</v>
      </c>
      <c r="AL506" s="21" t="s">
        <v>15</v>
      </c>
      <c r="AM506" s="122" t="s">
        <v>8</v>
      </c>
    </row>
    <row r="507" spans="1:39" customFormat="1" ht="15.75" customHeight="1" x14ac:dyDescent="0.3">
      <c r="A507" t="s">
        <v>8</v>
      </c>
      <c r="B507" s="21" t="s">
        <v>558</v>
      </c>
      <c r="C507" s="21" t="s">
        <v>688</v>
      </c>
      <c r="D507" s="117" t="s">
        <v>342</v>
      </c>
      <c r="E507" s="21" t="s">
        <v>9</v>
      </c>
      <c r="F507" s="21" t="s">
        <v>320</v>
      </c>
      <c r="G507" s="21">
        <v>153.5</v>
      </c>
      <c r="H507" s="21">
        <v>3.99</v>
      </c>
      <c r="I507" s="117" t="s">
        <v>600</v>
      </c>
      <c r="J507" s="117" t="s">
        <v>587</v>
      </c>
      <c r="K507" s="118"/>
      <c r="L507" s="21"/>
      <c r="M507" s="21"/>
      <c r="N507" s="21"/>
      <c r="O507" s="21"/>
      <c r="P507" s="21">
        <v>153.5</v>
      </c>
      <c r="Q507" s="21"/>
      <c r="R507" s="21" t="s">
        <v>329</v>
      </c>
      <c r="S507" s="119">
        <f>DATABASE_Table[[#This Row],[Inicial Asking Price (€) (Total)]]-DATABASE_Table[[#This Row],[Vista membership]]-DATABASE_Table[[#This Row],[FF&amp;E]]</f>
        <v>1080000</v>
      </c>
      <c r="T507" s="125">
        <v>1080000</v>
      </c>
      <c r="U507" s="124">
        <v>1080000</v>
      </c>
      <c r="V507" s="21"/>
      <c r="W507" s="21"/>
      <c r="X507" s="73">
        <f>DATABASE_Table[[#This Row],[Current Asking price( Total)]]-DATABASE_Table[[#This Row],[Vista membership]]-DATABASE_Table[[#This Row],[FF&amp;E]]</f>
        <v>1080000</v>
      </c>
      <c r="Y507" s="126"/>
      <c r="Z507" s="124">
        <v>1080000</v>
      </c>
      <c r="AA507" s="73">
        <f>DATABASE_Table[[#This Row],[Sell price (Total)]]-DATABASE_Table[[#This Row],[FF&amp;E]]-DATABASE_Table[[#This Row],[Vista membership]]</f>
        <v>1080000</v>
      </c>
      <c r="AB507" s="74">
        <v>45441</v>
      </c>
      <c r="AC507" s="74" t="str">
        <f t="shared" si="7"/>
        <v>Q2 2024</v>
      </c>
      <c r="AD507" s="123"/>
      <c r="AE507" s="69"/>
      <c r="AF507" s="21" t="s">
        <v>10</v>
      </c>
      <c r="AG507" s="21" t="s">
        <v>11</v>
      </c>
      <c r="AH507" s="122" t="s">
        <v>12</v>
      </c>
      <c r="AI507" s="122" t="s">
        <v>795</v>
      </c>
      <c r="AJ507" s="122" t="s">
        <v>13</v>
      </c>
      <c r="AK507" s="122" t="s">
        <v>14</v>
      </c>
      <c r="AL507" s="21" t="s">
        <v>15</v>
      </c>
      <c r="AM507" s="122" t="s">
        <v>8</v>
      </c>
    </row>
    <row r="508" spans="1:39" customFormat="1" ht="15.75" customHeight="1" x14ac:dyDescent="0.3">
      <c r="A508" t="s">
        <v>8</v>
      </c>
      <c r="B508" s="21" t="s">
        <v>558</v>
      </c>
      <c r="C508" s="21" t="s">
        <v>688</v>
      </c>
      <c r="D508" s="117" t="s">
        <v>346</v>
      </c>
      <c r="E508" s="21" t="s">
        <v>9</v>
      </c>
      <c r="F508" s="21" t="s">
        <v>319</v>
      </c>
      <c r="G508" s="21">
        <v>106.73</v>
      </c>
      <c r="H508" s="21">
        <v>3.37</v>
      </c>
      <c r="I508" s="117" t="s">
        <v>603</v>
      </c>
      <c r="J508" s="117" t="s">
        <v>325</v>
      </c>
      <c r="K508" s="118"/>
      <c r="L508" s="21"/>
      <c r="M508" s="21"/>
      <c r="N508" s="21"/>
      <c r="O508" s="21"/>
      <c r="P508" s="21">
        <v>106.73</v>
      </c>
      <c r="Q508" s="21"/>
      <c r="R508" s="21" t="s">
        <v>329</v>
      </c>
      <c r="S508" s="119">
        <f>DATABASE_Table[[#This Row],[Inicial Asking Price (€) (Total)]]-DATABASE_Table[[#This Row],[Vista membership]]-DATABASE_Table[[#This Row],[FF&amp;E]]</f>
        <v>680000</v>
      </c>
      <c r="T508" s="125">
        <v>680000</v>
      </c>
      <c r="U508" s="124">
        <v>680000</v>
      </c>
      <c r="V508" s="21"/>
      <c r="W508" s="21"/>
      <c r="X508" s="73">
        <f>DATABASE_Table[[#This Row],[Current Asking price( Total)]]-DATABASE_Table[[#This Row],[Vista membership]]-DATABASE_Table[[#This Row],[FF&amp;E]]</f>
        <v>680000</v>
      </c>
      <c r="Y508" s="126"/>
      <c r="Z508" s="124">
        <v>680000</v>
      </c>
      <c r="AA508" s="73">
        <f>DATABASE_Table[[#This Row],[Sell price (Total)]]-DATABASE_Table[[#This Row],[FF&amp;E]]-DATABASE_Table[[#This Row],[Vista membership]]</f>
        <v>680000</v>
      </c>
      <c r="AB508" s="74">
        <v>45441</v>
      </c>
      <c r="AC508" s="74" t="str">
        <f t="shared" si="7"/>
        <v>Q2 2024</v>
      </c>
      <c r="AD508" s="123"/>
      <c r="AE508" s="69"/>
      <c r="AF508" s="21" t="s">
        <v>10</v>
      </c>
      <c r="AG508" s="21" t="s">
        <v>11</v>
      </c>
      <c r="AH508" s="122" t="s">
        <v>12</v>
      </c>
      <c r="AI508" s="122" t="s">
        <v>795</v>
      </c>
      <c r="AJ508" s="122" t="s">
        <v>13</v>
      </c>
      <c r="AK508" s="122" t="s">
        <v>14</v>
      </c>
      <c r="AL508" s="21" t="s">
        <v>15</v>
      </c>
      <c r="AM508" s="122" t="s">
        <v>8</v>
      </c>
    </row>
    <row r="509" spans="1:39" customFormat="1" ht="15.75" customHeight="1" x14ac:dyDescent="0.3">
      <c r="A509" t="s">
        <v>8</v>
      </c>
      <c r="B509" s="21" t="s">
        <v>558</v>
      </c>
      <c r="C509" s="21" t="s">
        <v>688</v>
      </c>
      <c r="D509" s="117" t="s">
        <v>347</v>
      </c>
      <c r="E509" s="21" t="s">
        <v>9</v>
      </c>
      <c r="F509" s="21" t="s">
        <v>320</v>
      </c>
      <c r="G509" s="21">
        <v>153.5</v>
      </c>
      <c r="H509" s="21">
        <v>3.99</v>
      </c>
      <c r="I509" s="117" t="s">
        <v>604</v>
      </c>
      <c r="J509" s="117" t="s">
        <v>325</v>
      </c>
      <c r="K509" s="118">
        <v>34.409999999999997</v>
      </c>
      <c r="L509" s="21"/>
      <c r="M509" s="21"/>
      <c r="N509" s="21"/>
      <c r="O509" s="21"/>
      <c r="P509" s="21">
        <v>153.5</v>
      </c>
      <c r="Q509" s="21"/>
      <c r="R509" s="21" t="s">
        <v>329</v>
      </c>
      <c r="S509" s="119">
        <f>DATABASE_Table[[#This Row],[Inicial Asking Price (€) (Total)]]-DATABASE_Table[[#This Row],[Vista membership]]-DATABASE_Table[[#This Row],[FF&amp;E]]</f>
        <v>1120000</v>
      </c>
      <c r="T509" s="125">
        <v>1120000</v>
      </c>
      <c r="U509" s="124">
        <v>1120000</v>
      </c>
      <c r="V509" s="21"/>
      <c r="W509" s="21"/>
      <c r="X509" s="73">
        <f>DATABASE_Table[[#This Row],[Current Asking price( Total)]]-DATABASE_Table[[#This Row],[Vista membership]]-DATABASE_Table[[#This Row],[FF&amp;E]]</f>
        <v>1120000</v>
      </c>
      <c r="Y509" s="126"/>
      <c r="Z509" s="124">
        <v>1120000</v>
      </c>
      <c r="AA509" s="73">
        <f>DATABASE_Table[[#This Row],[Sell price (Total)]]-DATABASE_Table[[#This Row],[FF&amp;E]]-DATABASE_Table[[#This Row],[Vista membership]]</f>
        <v>1120000</v>
      </c>
      <c r="AB509" s="74">
        <v>45441</v>
      </c>
      <c r="AC509" s="74" t="str">
        <f t="shared" si="7"/>
        <v>Q2 2024</v>
      </c>
      <c r="AD509" s="123"/>
      <c r="AE509" s="69"/>
      <c r="AF509" s="21" t="s">
        <v>10</v>
      </c>
      <c r="AG509" s="21" t="s">
        <v>11</v>
      </c>
      <c r="AH509" s="122" t="s">
        <v>12</v>
      </c>
      <c r="AI509" s="122" t="s">
        <v>795</v>
      </c>
      <c r="AJ509" s="122" t="s">
        <v>13</v>
      </c>
      <c r="AK509" s="122" t="s">
        <v>14</v>
      </c>
      <c r="AL509" s="21" t="s">
        <v>15</v>
      </c>
      <c r="AM509" s="122" t="s">
        <v>8</v>
      </c>
    </row>
    <row r="510" spans="1:39" customFormat="1" ht="15.75" customHeight="1" x14ac:dyDescent="0.3">
      <c r="A510" t="s">
        <v>8</v>
      </c>
      <c r="B510" s="21" t="s">
        <v>558</v>
      </c>
      <c r="C510" s="21" t="s">
        <v>688</v>
      </c>
      <c r="D510" s="117" t="s">
        <v>348</v>
      </c>
      <c r="E510" s="21" t="s">
        <v>9</v>
      </c>
      <c r="F510" s="21" t="s">
        <v>320</v>
      </c>
      <c r="G510" s="21">
        <v>153.52000000000001</v>
      </c>
      <c r="H510" s="21">
        <v>4.45</v>
      </c>
      <c r="I510" s="117" t="s">
        <v>605</v>
      </c>
      <c r="J510" s="117" t="s">
        <v>325</v>
      </c>
      <c r="K510" s="118">
        <v>31.83</v>
      </c>
      <c r="L510" s="21"/>
      <c r="M510" s="21"/>
      <c r="N510" s="21"/>
      <c r="O510" s="21"/>
      <c r="P510" s="21">
        <v>153.52000000000001</v>
      </c>
      <c r="Q510" s="21"/>
      <c r="R510" s="21" t="s">
        <v>329</v>
      </c>
      <c r="S510" s="119">
        <f>DATABASE_Table[[#This Row],[Inicial Asking Price (€) (Total)]]-DATABASE_Table[[#This Row],[Vista membership]]-DATABASE_Table[[#This Row],[FF&amp;E]]</f>
        <v>1080000</v>
      </c>
      <c r="T510" s="125">
        <v>1080000</v>
      </c>
      <c r="U510" s="124">
        <v>1080000</v>
      </c>
      <c r="V510" s="21"/>
      <c r="W510" s="21"/>
      <c r="X510" s="73">
        <f>DATABASE_Table[[#This Row],[Current Asking price( Total)]]-DATABASE_Table[[#This Row],[Vista membership]]-DATABASE_Table[[#This Row],[FF&amp;E]]</f>
        <v>1080000</v>
      </c>
      <c r="Y510" s="126"/>
      <c r="Z510" s="124">
        <v>1080000</v>
      </c>
      <c r="AA510" s="73">
        <f>DATABASE_Table[[#This Row],[Sell price (Total)]]-DATABASE_Table[[#This Row],[FF&amp;E]]-DATABASE_Table[[#This Row],[Vista membership]]</f>
        <v>1080000</v>
      </c>
      <c r="AB510" s="74">
        <v>45441</v>
      </c>
      <c r="AC510" s="74" t="str">
        <f t="shared" si="7"/>
        <v>Q2 2024</v>
      </c>
      <c r="AD510" s="123"/>
      <c r="AE510" s="69"/>
      <c r="AF510" s="21" t="s">
        <v>10</v>
      </c>
      <c r="AG510" s="21" t="s">
        <v>11</v>
      </c>
      <c r="AH510" s="122" t="s">
        <v>12</v>
      </c>
      <c r="AI510" s="122" t="s">
        <v>795</v>
      </c>
      <c r="AJ510" s="122" t="s">
        <v>13</v>
      </c>
      <c r="AK510" s="122" t="s">
        <v>14</v>
      </c>
      <c r="AL510" s="21" t="s">
        <v>15</v>
      </c>
      <c r="AM510" s="122" t="s">
        <v>8</v>
      </c>
    </row>
    <row r="511" spans="1:39" customFormat="1" ht="15.75" customHeight="1" x14ac:dyDescent="0.3">
      <c r="A511" t="s">
        <v>8</v>
      </c>
      <c r="B511" s="21" t="s">
        <v>558</v>
      </c>
      <c r="C511" s="21" t="s">
        <v>688</v>
      </c>
      <c r="D511" s="117" t="s">
        <v>349</v>
      </c>
      <c r="E511" s="21" t="s">
        <v>9</v>
      </c>
      <c r="F511" s="21" t="s">
        <v>321</v>
      </c>
      <c r="G511" s="21">
        <v>191.33</v>
      </c>
      <c r="H511" s="21">
        <v>4.47</v>
      </c>
      <c r="I511" s="117" t="s">
        <v>606</v>
      </c>
      <c r="J511" s="117" t="s">
        <v>587</v>
      </c>
      <c r="K511" s="118">
        <v>6.84</v>
      </c>
      <c r="L511" s="21"/>
      <c r="M511" s="21"/>
      <c r="N511" s="21"/>
      <c r="O511" s="21"/>
      <c r="P511" s="21">
        <v>191.33</v>
      </c>
      <c r="Q511" s="21"/>
      <c r="R511" s="21" t="s">
        <v>329</v>
      </c>
      <c r="S511" s="119">
        <f>DATABASE_Table[[#This Row],[Inicial Asking Price (€) (Total)]]-DATABASE_Table[[#This Row],[Vista membership]]-DATABASE_Table[[#This Row],[FF&amp;E]]</f>
        <v>1650000</v>
      </c>
      <c r="T511" s="125">
        <v>1650000</v>
      </c>
      <c r="U511" s="124">
        <v>1650000</v>
      </c>
      <c r="V511" s="21"/>
      <c r="W511" s="21"/>
      <c r="X511" s="73">
        <f>DATABASE_Table[[#This Row],[Current Asking price( Total)]]-DATABASE_Table[[#This Row],[Vista membership]]-DATABASE_Table[[#This Row],[FF&amp;E]]</f>
        <v>1650000</v>
      </c>
      <c r="Y511" s="126"/>
      <c r="Z511" s="124">
        <v>1650000</v>
      </c>
      <c r="AA511" s="73">
        <f>DATABASE_Table[[#This Row],[Sell price (Total)]]-DATABASE_Table[[#This Row],[FF&amp;E]]-DATABASE_Table[[#This Row],[Vista membership]]</f>
        <v>1650000</v>
      </c>
      <c r="AB511" s="74">
        <v>45441</v>
      </c>
      <c r="AC511" s="74" t="str">
        <f t="shared" si="7"/>
        <v>Q2 2024</v>
      </c>
      <c r="AD511" s="123"/>
      <c r="AE511" s="69"/>
      <c r="AF511" s="21" t="s">
        <v>10</v>
      </c>
      <c r="AG511" s="21" t="s">
        <v>11</v>
      </c>
      <c r="AH511" s="122" t="s">
        <v>12</v>
      </c>
      <c r="AI511" s="122" t="s">
        <v>795</v>
      </c>
      <c r="AJ511" s="122" t="s">
        <v>13</v>
      </c>
      <c r="AK511" s="122" t="s">
        <v>14</v>
      </c>
      <c r="AL511" s="21" t="s">
        <v>15</v>
      </c>
      <c r="AM511" s="122" t="s">
        <v>8</v>
      </c>
    </row>
    <row r="512" spans="1:39" customFormat="1" ht="15.75" customHeight="1" x14ac:dyDescent="0.3">
      <c r="A512" t="s">
        <v>8</v>
      </c>
      <c r="B512" s="21" t="s">
        <v>558</v>
      </c>
      <c r="C512" s="21" t="s">
        <v>688</v>
      </c>
      <c r="D512" s="117" t="s">
        <v>350</v>
      </c>
      <c r="E512" s="21" t="s">
        <v>9</v>
      </c>
      <c r="F512" s="21" t="s">
        <v>321</v>
      </c>
      <c r="G512" s="21">
        <v>191.63</v>
      </c>
      <c r="H512" s="21">
        <v>4.47</v>
      </c>
      <c r="I512" s="117" t="s">
        <v>897</v>
      </c>
      <c r="J512" s="117" t="s">
        <v>587</v>
      </c>
      <c r="K512" s="118">
        <v>6.95</v>
      </c>
      <c r="L512" s="21"/>
      <c r="M512" s="21"/>
      <c r="N512" s="21"/>
      <c r="O512" s="21"/>
      <c r="P512" s="21">
        <v>191.63</v>
      </c>
      <c r="Q512" s="21"/>
      <c r="R512" s="21" t="s">
        <v>329</v>
      </c>
      <c r="S512" s="119">
        <f>DATABASE_Table[[#This Row],[Inicial Asking Price (€) (Total)]]-DATABASE_Table[[#This Row],[Vista membership]]-DATABASE_Table[[#This Row],[FF&amp;E]]</f>
        <v>1580000</v>
      </c>
      <c r="T512" s="125">
        <v>1580000</v>
      </c>
      <c r="U512" s="124">
        <v>1580000</v>
      </c>
      <c r="V512" s="21"/>
      <c r="W512" s="21"/>
      <c r="X512" s="73">
        <f>DATABASE_Table[[#This Row],[Current Asking price( Total)]]-DATABASE_Table[[#This Row],[Vista membership]]-DATABASE_Table[[#This Row],[FF&amp;E]]</f>
        <v>1580000</v>
      </c>
      <c r="Y512" s="126"/>
      <c r="Z512" s="124">
        <v>1580000</v>
      </c>
      <c r="AA512" s="73">
        <f>DATABASE_Table[[#This Row],[Sell price (Total)]]-DATABASE_Table[[#This Row],[FF&amp;E]]-DATABASE_Table[[#This Row],[Vista membership]]</f>
        <v>1580000</v>
      </c>
      <c r="AB512" s="74">
        <v>45441</v>
      </c>
      <c r="AC512" s="74" t="str">
        <f t="shared" si="7"/>
        <v>Q2 2024</v>
      </c>
      <c r="AD512" s="123"/>
      <c r="AE512" s="69"/>
      <c r="AF512" s="21" t="s">
        <v>10</v>
      </c>
      <c r="AG512" s="21" t="s">
        <v>11</v>
      </c>
      <c r="AH512" s="122" t="s">
        <v>12</v>
      </c>
      <c r="AI512" s="122" t="s">
        <v>795</v>
      </c>
      <c r="AJ512" s="122" t="s">
        <v>13</v>
      </c>
      <c r="AK512" s="122" t="s">
        <v>14</v>
      </c>
      <c r="AL512" s="21" t="s">
        <v>15</v>
      </c>
      <c r="AM512" s="122" t="s">
        <v>8</v>
      </c>
    </row>
    <row r="513" spans="1:39" customFormat="1" ht="15.75" customHeight="1" x14ac:dyDescent="0.3">
      <c r="A513" t="s">
        <v>8</v>
      </c>
      <c r="B513" s="21" t="s">
        <v>558</v>
      </c>
      <c r="C513" s="21" t="s">
        <v>688</v>
      </c>
      <c r="D513" s="117" t="s">
        <v>351</v>
      </c>
      <c r="E513" s="21" t="s">
        <v>9</v>
      </c>
      <c r="F513" s="21" t="s">
        <v>319</v>
      </c>
      <c r="G513" s="21">
        <v>106.73</v>
      </c>
      <c r="H513" s="21"/>
      <c r="I513" s="117" t="s">
        <v>607</v>
      </c>
      <c r="J513" s="117" t="s">
        <v>325</v>
      </c>
      <c r="K513" s="118"/>
      <c r="L513" s="21"/>
      <c r="M513" s="21"/>
      <c r="N513" s="21"/>
      <c r="O513" s="21"/>
      <c r="P513" s="21">
        <v>106.73</v>
      </c>
      <c r="Q513" s="21"/>
      <c r="R513" s="21" t="s">
        <v>329</v>
      </c>
      <c r="S513" s="119">
        <f>DATABASE_Table[[#This Row],[Inicial Asking Price (€) (Total)]]-DATABASE_Table[[#This Row],[Vista membership]]-DATABASE_Table[[#This Row],[FF&amp;E]]</f>
        <v>710000</v>
      </c>
      <c r="T513" s="125">
        <v>710000</v>
      </c>
      <c r="U513" s="124">
        <v>710000</v>
      </c>
      <c r="V513" s="21"/>
      <c r="W513" s="21"/>
      <c r="X513" s="73">
        <f>DATABASE_Table[[#This Row],[Current Asking price( Total)]]-DATABASE_Table[[#This Row],[Vista membership]]-DATABASE_Table[[#This Row],[FF&amp;E]]</f>
        <v>710000</v>
      </c>
      <c r="Y513" s="126"/>
      <c r="Z513" s="124">
        <v>710000</v>
      </c>
      <c r="AA513" s="73">
        <f>DATABASE_Table[[#This Row],[Sell price (Total)]]-DATABASE_Table[[#This Row],[FF&amp;E]]-DATABASE_Table[[#This Row],[Vista membership]]</f>
        <v>710000</v>
      </c>
      <c r="AB513" s="74">
        <v>45441</v>
      </c>
      <c r="AC513" s="74" t="str">
        <f t="shared" si="7"/>
        <v>Q2 2024</v>
      </c>
      <c r="AD513" s="123"/>
      <c r="AE513" s="69"/>
      <c r="AF513" s="21" t="s">
        <v>10</v>
      </c>
      <c r="AG513" s="21" t="s">
        <v>11</v>
      </c>
      <c r="AH513" s="122" t="s">
        <v>12</v>
      </c>
      <c r="AI513" s="122" t="s">
        <v>795</v>
      </c>
      <c r="AJ513" s="122" t="s">
        <v>13</v>
      </c>
      <c r="AK513" s="122" t="s">
        <v>14</v>
      </c>
      <c r="AL513" s="21" t="s">
        <v>15</v>
      </c>
      <c r="AM513" s="122" t="s">
        <v>8</v>
      </c>
    </row>
    <row r="514" spans="1:39" customFormat="1" ht="15.75" customHeight="1" x14ac:dyDescent="0.3">
      <c r="A514" t="s">
        <v>8</v>
      </c>
      <c r="B514" s="21" t="s">
        <v>558</v>
      </c>
      <c r="C514" s="21" t="s">
        <v>688</v>
      </c>
      <c r="D514" s="117" t="s">
        <v>352</v>
      </c>
      <c r="E514" s="21" t="s">
        <v>9</v>
      </c>
      <c r="F514" s="21" t="s">
        <v>320</v>
      </c>
      <c r="G514" s="21">
        <v>153.01</v>
      </c>
      <c r="H514" s="21">
        <v>4.46</v>
      </c>
      <c r="I514" s="117" t="s">
        <v>608</v>
      </c>
      <c r="J514" s="117" t="s">
        <v>587</v>
      </c>
      <c r="K514" s="118"/>
      <c r="L514" s="21"/>
      <c r="M514" s="21"/>
      <c r="N514" s="21"/>
      <c r="O514" s="21"/>
      <c r="P514" s="21">
        <v>153.01</v>
      </c>
      <c r="Q514" s="21"/>
      <c r="R514" s="21" t="s">
        <v>329</v>
      </c>
      <c r="S514" s="119">
        <f>DATABASE_Table[[#This Row],[Inicial Asking Price (€) (Total)]]-DATABASE_Table[[#This Row],[Vista membership]]-DATABASE_Table[[#This Row],[FF&amp;E]]</f>
        <v>995000</v>
      </c>
      <c r="T514" s="125">
        <v>995000</v>
      </c>
      <c r="U514" s="124">
        <v>995000</v>
      </c>
      <c r="V514" s="21"/>
      <c r="W514" s="21"/>
      <c r="X514" s="73">
        <f>DATABASE_Table[[#This Row],[Current Asking price( Total)]]-DATABASE_Table[[#This Row],[Vista membership]]-DATABASE_Table[[#This Row],[FF&amp;E]]</f>
        <v>995000</v>
      </c>
      <c r="Y514" s="126"/>
      <c r="Z514" s="124">
        <v>995000</v>
      </c>
      <c r="AA514" s="73">
        <f>DATABASE_Table[[#This Row],[Sell price (Total)]]-DATABASE_Table[[#This Row],[FF&amp;E]]-DATABASE_Table[[#This Row],[Vista membership]]</f>
        <v>995000</v>
      </c>
      <c r="AB514" s="74">
        <v>45441</v>
      </c>
      <c r="AC514" s="74" t="str">
        <f t="shared" ref="AC514:AC577" si="8">IF(AB514="","TO LAUNCH","Q"&amp;ROUNDUP(MONTH(AB514)/3,0)&amp;" "&amp;YEAR(AB514))</f>
        <v>Q2 2024</v>
      </c>
      <c r="AD514" s="123"/>
      <c r="AE514" s="69"/>
      <c r="AF514" s="21" t="s">
        <v>10</v>
      </c>
      <c r="AG514" s="21" t="s">
        <v>11</v>
      </c>
      <c r="AH514" s="122" t="s">
        <v>12</v>
      </c>
      <c r="AI514" s="122" t="s">
        <v>795</v>
      </c>
      <c r="AJ514" s="122" t="s">
        <v>13</v>
      </c>
      <c r="AK514" s="122" t="s">
        <v>14</v>
      </c>
      <c r="AL514" s="21" t="s">
        <v>15</v>
      </c>
      <c r="AM514" s="122" t="s">
        <v>8</v>
      </c>
    </row>
    <row r="515" spans="1:39" customFormat="1" ht="15.75" customHeight="1" x14ac:dyDescent="0.3">
      <c r="A515" t="s">
        <v>8</v>
      </c>
      <c r="B515" s="21" t="s">
        <v>558</v>
      </c>
      <c r="C515" s="21" t="s">
        <v>688</v>
      </c>
      <c r="D515" s="117" t="s">
        <v>353</v>
      </c>
      <c r="E515" s="21" t="s">
        <v>9</v>
      </c>
      <c r="F515" s="21" t="s">
        <v>320</v>
      </c>
      <c r="G515" s="21">
        <v>164.1</v>
      </c>
      <c r="H515" s="21">
        <v>4.46</v>
      </c>
      <c r="I515" s="117" t="s">
        <v>609</v>
      </c>
      <c r="J515" s="117" t="s">
        <v>587</v>
      </c>
      <c r="K515" s="118">
        <v>11.25</v>
      </c>
      <c r="L515" s="21"/>
      <c r="M515" s="21"/>
      <c r="N515" s="21"/>
      <c r="O515" s="21"/>
      <c r="P515" s="21">
        <v>164.1</v>
      </c>
      <c r="Q515" s="21"/>
      <c r="R515" s="21" t="s">
        <v>329</v>
      </c>
      <c r="S515" s="119">
        <f>DATABASE_Table[[#This Row],[Inicial Asking Price (€) (Total)]]-DATABASE_Table[[#This Row],[Vista membership]]-DATABASE_Table[[#This Row],[FF&amp;E]]</f>
        <v>1140000</v>
      </c>
      <c r="T515" s="125">
        <v>1140000</v>
      </c>
      <c r="U515" s="124">
        <v>1140000</v>
      </c>
      <c r="V515" s="21"/>
      <c r="W515" s="21"/>
      <c r="X515" s="73">
        <f>DATABASE_Table[[#This Row],[Current Asking price( Total)]]-DATABASE_Table[[#This Row],[Vista membership]]-DATABASE_Table[[#This Row],[FF&amp;E]]</f>
        <v>1140000</v>
      </c>
      <c r="Y515" s="126"/>
      <c r="Z515" s="124">
        <v>1140000</v>
      </c>
      <c r="AA515" s="73">
        <f>DATABASE_Table[[#This Row],[Sell price (Total)]]-DATABASE_Table[[#This Row],[FF&amp;E]]-DATABASE_Table[[#This Row],[Vista membership]]</f>
        <v>1140000</v>
      </c>
      <c r="AB515" s="74">
        <v>45441</v>
      </c>
      <c r="AC515" s="74" t="str">
        <f t="shared" si="8"/>
        <v>Q2 2024</v>
      </c>
      <c r="AD515" s="123"/>
      <c r="AE515" s="69"/>
      <c r="AF515" s="21" t="s">
        <v>10</v>
      </c>
      <c r="AG515" s="21" t="s">
        <v>11</v>
      </c>
      <c r="AH515" s="122" t="s">
        <v>12</v>
      </c>
      <c r="AI515" s="122" t="s">
        <v>795</v>
      </c>
      <c r="AJ515" s="122" t="s">
        <v>13</v>
      </c>
      <c r="AK515" s="122" t="s">
        <v>14</v>
      </c>
      <c r="AL515" s="21" t="s">
        <v>15</v>
      </c>
      <c r="AM515" s="122" t="s">
        <v>8</v>
      </c>
    </row>
    <row r="516" spans="1:39" customFormat="1" ht="15.75" customHeight="1" x14ac:dyDescent="0.3">
      <c r="A516" t="s">
        <v>8</v>
      </c>
      <c r="B516" s="21" t="s">
        <v>558</v>
      </c>
      <c r="C516" s="21" t="s">
        <v>688</v>
      </c>
      <c r="D516" s="117" t="s">
        <v>354</v>
      </c>
      <c r="E516" s="21" t="s">
        <v>9</v>
      </c>
      <c r="F516" s="21" t="s">
        <v>320</v>
      </c>
      <c r="G516" s="21">
        <v>164.59</v>
      </c>
      <c r="H516" s="21">
        <v>4.47</v>
      </c>
      <c r="I516" s="117" t="s">
        <v>610</v>
      </c>
      <c r="J516" s="117" t="s">
        <v>587</v>
      </c>
      <c r="K516" s="118">
        <v>5.68</v>
      </c>
      <c r="L516" s="21"/>
      <c r="M516" s="21"/>
      <c r="N516" s="21"/>
      <c r="O516" s="21"/>
      <c r="P516" s="21">
        <v>164.59</v>
      </c>
      <c r="Q516" s="21"/>
      <c r="R516" s="21" t="s">
        <v>329</v>
      </c>
      <c r="S516" s="119">
        <f>DATABASE_Table[[#This Row],[Inicial Asking Price (€) (Total)]]-DATABASE_Table[[#This Row],[Vista membership]]-DATABASE_Table[[#This Row],[FF&amp;E]]</f>
        <v>1120000</v>
      </c>
      <c r="T516" s="125">
        <v>1120000</v>
      </c>
      <c r="U516" s="124">
        <v>1120000</v>
      </c>
      <c r="V516" s="21"/>
      <c r="W516" s="21"/>
      <c r="X516" s="73">
        <f>DATABASE_Table[[#This Row],[Current Asking price( Total)]]-DATABASE_Table[[#This Row],[Vista membership]]-DATABASE_Table[[#This Row],[FF&amp;E]]</f>
        <v>1120000</v>
      </c>
      <c r="Y516" s="126"/>
      <c r="Z516" s="124">
        <v>1120000</v>
      </c>
      <c r="AA516" s="73">
        <f>DATABASE_Table[[#This Row],[Sell price (Total)]]-DATABASE_Table[[#This Row],[FF&amp;E]]-DATABASE_Table[[#This Row],[Vista membership]]</f>
        <v>1120000</v>
      </c>
      <c r="AB516" s="74">
        <v>45441</v>
      </c>
      <c r="AC516" s="74" t="str">
        <f t="shared" si="8"/>
        <v>Q2 2024</v>
      </c>
      <c r="AD516" s="123"/>
      <c r="AE516" s="69"/>
      <c r="AF516" s="21" t="s">
        <v>10</v>
      </c>
      <c r="AG516" s="21" t="s">
        <v>11</v>
      </c>
      <c r="AH516" s="122" t="s">
        <v>12</v>
      </c>
      <c r="AI516" s="122" t="s">
        <v>795</v>
      </c>
      <c r="AJ516" s="122" t="s">
        <v>13</v>
      </c>
      <c r="AK516" s="122" t="s">
        <v>14</v>
      </c>
      <c r="AL516" s="21" t="s">
        <v>15</v>
      </c>
      <c r="AM516" s="122" t="s">
        <v>8</v>
      </c>
    </row>
    <row r="517" spans="1:39" customFormat="1" ht="15.75" customHeight="1" x14ac:dyDescent="0.3">
      <c r="A517" t="s">
        <v>8</v>
      </c>
      <c r="B517" s="21" t="s">
        <v>558</v>
      </c>
      <c r="C517" s="21" t="s">
        <v>688</v>
      </c>
      <c r="D517" s="117" t="s">
        <v>355</v>
      </c>
      <c r="E517" s="21" t="s">
        <v>9</v>
      </c>
      <c r="F517" s="21" t="s">
        <v>320</v>
      </c>
      <c r="G517" s="21">
        <v>152.91</v>
      </c>
      <c r="H517" s="21">
        <v>3.99</v>
      </c>
      <c r="I517" s="117" t="s">
        <v>898</v>
      </c>
      <c r="J517" s="117" t="s">
        <v>587</v>
      </c>
      <c r="K517" s="118"/>
      <c r="L517" s="21"/>
      <c r="M517" s="21"/>
      <c r="N517" s="21"/>
      <c r="O517" s="21"/>
      <c r="P517" s="21">
        <v>152.91</v>
      </c>
      <c r="Q517" s="21"/>
      <c r="R517" s="21" t="s">
        <v>329</v>
      </c>
      <c r="S517" s="119">
        <f>DATABASE_Table[[#This Row],[Inicial Asking Price (€) (Total)]]-DATABASE_Table[[#This Row],[Vista membership]]-DATABASE_Table[[#This Row],[FF&amp;E]]</f>
        <v>1110000</v>
      </c>
      <c r="T517" s="125">
        <v>1110000</v>
      </c>
      <c r="U517" s="124">
        <v>1110000</v>
      </c>
      <c r="V517" s="21"/>
      <c r="W517" s="21"/>
      <c r="X517" s="73">
        <f>DATABASE_Table[[#This Row],[Current Asking price( Total)]]-DATABASE_Table[[#This Row],[Vista membership]]-DATABASE_Table[[#This Row],[FF&amp;E]]</f>
        <v>1110000</v>
      </c>
      <c r="Y517" s="126"/>
      <c r="Z517" s="124">
        <v>1110000</v>
      </c>
      <c r="AA517" s="73">
        <f>DATABASE_Table[[#This Row],[Sell price (Total)]]-DATABASE_Table[[#This Row],[FF&amp;E]]-DATABASE_Table[[#This Row],[Vista membership]]</f>
        <v>1110000</v>
      </c>
      <c r="AB517" s="74">
        <v>45441</v>
      </c>
      <c r="AC517" s="74" t="str">
        <f t="shared" si="8"/>
        <v>Q2 2024</v>
      </c>
      <c r="AD517" s="123"/>
      <c r="AE517" s="69"/>
      <c r="AF517" s="21" t="s">
        <v>10</v>
      </c>
      <c r="AG517" s="21" t="s">
        <v>11</v>
      </c>
      <c r="AH517" s="122" t="s">
        <v>12</v>
      </c>
      <c r="AI517" s="122" t="s">
        <v>795</v>
      </c>
      <c r="AJ517" s="122" t="s">
        <v>13</v>
      </c>
      <c r="AK517" s="122" t="s">
        <v>14</v>
      </c>
      <c r="AL517" s="21" t="s">
        <v>15</v>
      </c>
      <c r="AM517" s="122" t="s">
        <v>8</v>
      </c>
    </row>
    <row r="518" spans="1:39" customFormat="1" ht="15.75" customHeight="1" x14ac:dyDescent="0.3">
      <c r="A518" t="s">
        <v>8</v>
      </c>
      <c r="B518" s="21" t="s">
        <v>558</v>
      </c>
      <c r="C518" s="21" t="s">
        <v>688</v>
      </c>
      <c r="D518" s="117" t="s">
        <v>356</v>
      </c>
      <c r="E518" s="21" t="s">
        <v>9</v>
      </c>
      <c r="F518" s="21" t="s">
        <v>319</v>
      </c>
      <c r="G518" s="21">
        <v>106.61</v>
      </c>
      <c r="H518" s="21"/>
      <c r="I518" s="117" t="s">
        <v>611</v>
      </c>
      <c r="J518" s="117" t="s">
        <v>325</v>
      </c>
      <c r="K518" s="118"/>
      <c r="L518" s="21"/>
      <c r="M518" s="21"/>
      <c r="N518" s="21"/>
      <c r="O518" s="21"/>
      <c r="P518" s="21">
        <v>106.61</v>
      </c>
      <c r="Q518" s="21"/>
      <c r="R518" s="21" t="s">
        <v>329</v>
      </c>
      <c r="S518" s="119">
        <f>DATABASE_Table[[#This Row],[Inicial Asking Price (€) (Total)]]-DATABASE_Table[[#This Row],[Vista membership]]-DATABASE_Table[[#This Row],[FF&amp;E]]</f>
        <v>710000</v>
      </c>
      <c r="T518" s="125">
        <v>710000</v>
      </c>
      <c r="U518" s="124">
        <v>710000</v>
      </c>
      <c r="V518" s="21"/>
      <c r="W518" s="21"/>
      <c r="X518" s="73">
        <f>DATABASE_Table[[#This Row],[Current Asking price( Total)]]-DATABASE_Table[[#This Row],[Vista membership]]-DATABASE_Table[[#This Row],[FF&amp;E]]</f>
        <v>710000</v>
      </c>
      <c r="Y518" s="126"/>
      <c r="Z518" s="124">
        <v>710000</v>
      </c>
      <c r="AA518" s="73">
        <f>DATABASE_Table[[#This Row],[Sell price (Total)]]-DATABASE_Table[[#This Row],[FF&amp;E]]-DATABASE_Table[[#This Row],[Vista membership]]</f>
        <v>710000</v>
      </c>
      <c r="AB518" s="74">
        <v>45441</v>
      </c>
      <c r="AC518" s="74" t="str">
        <f t="shared" si="8"/>
        <v>Q2 2024</v>
      </c>
      <c r="AD518" s="123"/>
      <c r="AE518" s="69"/>
      <c r="AF518" s="21" t="s">
        <v>10</v>
      </c>
      <c r="AG518" s="21" t="s">
        <v>11</v>
      </c>
      <c r="AH518" s="122" t="s">
        <v>12</v>
      </c>
      <c r="AI518" s="122" t="s">
        <v>795</v>
      </c>
      <c r="AJ518" s="122" t="s">
        <v>13</v>
      </c>
      <c r="AK518" s="122" t="s">
        <v>14</v>
      </c>
      <c r="AL518" s="21" t="s">
        <v>15</v>
      </c>
      <c r="AM518" s="122" t="s">
        <v>8</v>
      </c>
    </row>
    <row r="519" spans="1:39" customFormat="1" ht="15.75" customHeight="1" x14ac:dyDescent="0.3">
      <c r="A519" t="s">
        <v>8</v>
      </c>
      <c r="B519" s="21" t="s">
        <v>558</v>
      </c>
      <c r="C519" s="21" t="s">
        <v>688</v>
      </c>
      <c r="D519" s="117" t="s">
        <v>357</v>
      </c>
      <c r="E519" s="21" t="s">
        <v>9</v>
      </c>
      <c r="F519" s="21" t="s">
        <v>320</v>
      </c>
      <c r="G519" s="21">
        <v>152.91</v>
      </c>
      <c r="H519" s="21">
        <v>3.37</v>
      </c>
      <c r="I519" s="117" t="s">
        <v>612</v>
      </c>
      <c r="J519" s="117" t="s">
        <v>325</v>
      </c>
      <c r="K519" s="118">
        <v>45.97</v>
      </c>
      <c r="L519" s="21"/>
      <c r="M519" s="21"/>
      <c r="N519" s="21"/>
      <c r="O519" s="21"/>
      <c r="P519" s="21">
        <v>152.91</v>
      </c>
      <c r="Q519" s="21"/>
      <c r="R519" s="21" t="s">
        <v>329</v>
      </c>
      <c r="S519" s="119">
        <f>DATABASE_Table[[#This Row],[Inicial Asking Price (€) (Total)]]-DATABASE_Table[[#This Row],[Vista membership]]-DATABASE_Table[[#This Row],[FF&amp;E]]</f>
        <v>1010000</v>
      </c>
      <c r="T519" s="125">
        <v>1010000</v>
      </c>
      <c r="U519" s="124">
        <v>1010000</v>
      </c>
      <c r="V519" s="21"/>
      <c r="W519" s="21"/>
      <c r="X519" s="73">
        <f>DATABASE_Table[[#This Row],[Current Asking price( Total)]]-DATABASE_Table[[#This Row],[Vista membership]]-DATABASE_Table[[#This Row],[FF&amp;E]]</f>
        <v>1010000</v>
      </c>
      <c r="Y519" s="126"/>
      <c r="Z519" s="124">
        <v>1010000</v>
      </c>
      <c r="AA519" s="73">
        <f>DATABASE_Table[[#This Row],[Sell price (Total)]]-DATABASE_Table[[#This Row],[FF&amp;E]]-DATABASE_Table[[#This Row],[Vista membership]]</f>
        <v>1010000</v>
      </c>
      <c r="AB519" s="74">
        <v>45441</v>
      </c>
      <c r="AC519" s="74" t="str">
        <f t="shared" si="8"/>
        <v>Q2 2024</v>
      </c>
      <c r="AD519" s="123"/>
      <c r="AE519" s="69"/>
      <c r="AF519" s="21" t="s">
        <v>10</v>
      </c>
      <c r="AG519" s="21" t="s">
        <v>11</v>
      </c>
      <c r="AH519" s="122" t="s">
        <v>12</v>
      </c>
      <c r="AI519" s="122" t="s">
        <v>795</v>
      </c>
      <c r="AJ519" s="122" t="s">
        <v>13</v>
      </c>
      <c r="AK519" s="122" t="s">
        <v>14</v>
      </c>
      <c r="AL519" s="21" t="s">
        <v>15</v>
      </c>
      <c r="AM519" s="122" t="s">
        <v>8</v>
      </c>
    </row>
    <row r="520" spans="1:39" customFormat="1" ht="15.75" customHeight="1" x14ac:dyDescent="0.3">
      <c r="A520" t="s">
        <v>8</v>
      </c>
      <c r="B520" s="21" t="s">
        <v>558</v>
      </c>
      <c r="C520" s="21" t="s">
        <v>688</v>
      </c>
      <c r="D520" s="117" t="s">
        <v>358</v>
      </c>
      <c r="E520" s="21" t="s">
        <v>9</v>
      </c>
      <c r="F520" s="21" t="s">
        <v>320</v>
      </c>
      <c r="G520" s="21">
        <v>152.9</v>
      </c>
      <c r="H520" s="21">
        <v>3.99</v>
      </c>
      <c r="I520" s="117" t="s">
        <v>613</v>
      </c>
      <c r="J520" s="117" t="s">
        <v>325</v>
      </c>
      <c r="K520" s="118">
        <v>38.56</v>
      </c>
      <c r="L520" s="21"/>
      <c r="M520" s="21"/>
      <c r="N520" s="21"/>
      <c r="O520" s="21"/>
      <c r="P520" s="21">
        <v>152.9</v>
      </c>
      <c r="Q520" s="21"/>
      <c r="R520" s="21" t="s">
        <v>329</v>
      </c>
      <c r="S520" s="119">
        <f>DATABASE_Table[[#This Row],[Inicial Asking Price (€) (Total)]]-DATABASE_Table[[#This Row],[Vista membership]]-DATABASE_Table[[#This Row],[FF&amp;E]]</f>
        <v>970000</v>
      </c>
      <c r="T520" s="125">
        <v>970000</v>
      </c>
      <c r="U520" s="124">
        <v>970000</v>
      </c>
      <c r="V520" s="21"/>
      <c r="W520" s="21"/>
      <c r="X520" s="73">
        <f>DATABASE_Table[[#This Row],[Current Asking price( Total)]]-DATABASE_Table[[#This Row],[Vista membership]]-DATABASE_Table[[#This Row],[FF&amp;E]]</f>
        <v>970000</v>
      </c>
      <c r="Y520" s="126"/>
      <c r="Z520" s="124">
        <v>970000</v>
      </c>
      <c r="AA520" s="73">
        <f>DATABASE_Table[[#This Row],[Sell price (Total)]]-DATABASE_Table[[#This Row],[FF&amp;E]]-DATABASE_Table[[#This Row],[Vista membership]]</f>
        <v>970000</v>
      </c>
      <c r="AB520" s="74">
        <v>45441</v>
      </c>
      <c r="AC520" s="74" t="str">
        <f t="shared" si="8"/>
        <v>Q2 2024</v>
      </c>
      <c r="AD520" s="123"/>
      <c r="AE520" s="69"/>
      <c r="AF520" s="21" t="s">
        <v>10</v>
      </c>
      <c r="AG520" s="21" t="s">
        <v>11</v>
      </c>
      <c r="AH520" s="122" t="s">
        <v>12</v>
      </c>
      <c r="AI520" s="122" t="s">
        <v>795</v>
      </c>
      <c r="AJ520" s="122" t="s">
        <v>13</v>
      </c>
      <c r="AK520" s="122" t="s">
        <v>14</v>
      </c>
      <c r="AL520" s="21" t="s">
        <v>15</v>
      </c>
      <c r="AM520" s="122" t="s">
        <v>8</v>
      </c>
    </row>
    <row r="521" spans="1:39" customFormat="1" ht="15.75" customHeight="1" x14ac:dyDescent="0.3">
      <c r="A521" t="s">
        <v>8</v>
      </c>
      <c r="B521" s="21" t="s">
        <v>558</v>
      </c>
      <c r="C521" s="21" t="s">
        <v>688</v>
      </c>
      <c r="D521" s="117" t="s">
        <v>359</v>
      </c>
      <c r="E521" s="21" t="s">
        <v>9</v>
      </c>
      <c r="F521" s="21" t="s">
        <v>319</v>
      </c>
      <c r="G521" s="21">
        <v>111</v>
      </c>
      <c r="H521" s="21">
        <v>4.47</v>
      </c>
      <c r="I521" s="117" t="s">
        <v>614</v>
      </c>
      <c r="J521" s="117" t="s">
        <v>587</v>
      </c>
      <c r="K521" s="118">
        <v>7.8</v>
      </c>
      <c r="L521" s="21"/>
      <c r="M521" s="21"/>
      <c r="N521" s="21"/>
      <c r="O521" s="21"/>
      <c r="P521" s="21">
        <v>111</v>
      </c>
      <c r="Q521" s="21"/>
      <c r="R521" s="21" t="s">
        <v>329</v>
      </c>
      <c r="S521" s="119">
        <f>DATABASE_Table[[#This Row],[Inicial Asking Price (€) (Total)]]-DATABASE_Table[[#This Row],[Vista membership]]-DATABASE_Table[[#This Row],[FF&amp;E]]</f>
        <v>910000</v>
      </c>
      <c r="T521" s="125">
        <v>910000</v>
      </c>
      <c r="U521" s="124">
        <v>910000</v>
      </c>
      <c r="V521" s="21"/>
      <c r="W521" s="21"/>
      <c r="X521" s="73">
        <f>DATABASE_Table[[#This Row],[Current Asking price( Total)]]-DATABASE_Table[[#This Row],[Vista membership]]-DATABASE_Table[[#This Row],[FF&amp;E]]</f>
        <v>910000</v>
      </c>
      <c r="Y521" s="126"/>
      <c r="Z521" s="124">
        <v>910000</v>
      </c>
      <c r="AA521" s="73">
        <f>DATABASE_Table[[#This Row],[Sell price (Total)]]-DATABASE_Table[[#This Row],[FF&amp;E]]-DATABASE_Table[[#This Row],[Vista membership]]</f>
        <v>910000</v>
      </c>
      <c r="AB521" s="74">
        <v>45441</v>
      </c>
      <c r="AC521" s="74" t="str">
        <f t="shared" si="8"/>
        <v>Q2 2024</v>
      </c>
      <c r="AD521" s="123"/>
      <c r="AE521" s="69"/>
      <c r="AF521" s="21" t="s">
        <v>10</v>
      </c>
      <c r="AG521" s="21" t="s">
        <v>11</v>
      </c>
      <c r="AH521" s="122" t="s">
        <v>12</v>
      </c>
      <c r="AI521" s="122" t="s">
        <v>795</v>
      </c>
      <c r="AJ521" s="122" t="s">
        <v>13</v>
      </c>
      <c r="AK521" s="122" t="s">
        <v>14</v>
      </c>
      <c r="AL521" s="21" t="s">
        <v>15</v>
      </c>
      <c r="AM521" s="122" t="s">
        <v>8</v>
      </c>
    </row>
    <row r="522" spans="1:39" customFormat="1" ht="15.75" customHeight="1" x14ac:dyDescent="0.3">
      <c r="A522" t="s">
        <v>8</v>
      </c>
      <c r="B522" s="21" t="s">
        <v>558</v>
      </c>
      <c r="C522" s="21" t="s">
        <v>688</v>
      </c>
      <c r="D522" s="117" t="s">
        <v>361</v>
      </c>
      <c r="E522" s="21" t="s">
        <v>9</v>
      </c>
      <c r="F522" s="21" t="s">
        <v>319</v>
      </c>
      <c r="G522" s="21">
        <v>111</v>
      </c>
      <c r="H522" s="21">
        <v>4.45</v>
      </c>
      <c r="I522" s="117" t="s">
        <v>616</v>
      </c>
      <c r="J522" s="117" t="s">
        <v>325</v>
      </c>
      <c r="K522" s="118"/>
      <c r="L522" s="21"/>
      <c r="M522" s="21"/>
      <c r="N522" s="21"/>
      <c r="O522" s="21"/>
      <c r="P522" s="21">
        <v>111</v>
      </c>
      <c r="Q522" s="21"/>
      <c r="R522" s="21" t="s">
        <v>329</v>
      </c>
      <c r="S522" s="119">
        <f>DATABASE_Table[[#This Row],[Inicial Asking Price (€) (Total)]]-DATABASE_Table[[#This Row],[Vista membership]]-DATABASE_Table[[#This Row],[FF&amp;E]]</f>
        <v>890000</v>
      </c>
      <c r="T522" s="125">
        <v>890000</v>
      </c>
      <c r="U522" s="124">
        <v>890000</v>
      </c>
      <c r="V522" s="21"/>
      <c r="W522" s="21"/>
      <c r="X522" s="73">
        <f>DATABASE_Table[[#This Row],[Current Asking price( Total)]]-DATABASE_Table[[#This Row],[Vista membership]]-DATABASE_Table[[#This Row],[FF&amp;E]]</f>
        <v>890000</v>
      </c>
      <c r="Y522" s="126"/>
      <c r="Z522" s="124">
        <v>890000</v>
      </c>
      <c r="AA522" s="73">
        <f>DATABASE_Table[[#This Row],[Sell price (Total)]]-DATABASE_Table[[#This Row],[FF&amp;E]]-DATABASE_Table[[#This Row],[Vista membership]]</f>
        <v>890000</v>
      </c>
      <c r="AB522" s="74">
        <v>45441</v>
      </c>
      <c r="AC522" s="74" t="str">
        <f t="shared" si="8"/>
        <v>Q2 2024</v>
      </c>
      <c r="AD522" s="123"/>
      <c r="AE522" s="69"/>
      <c r="AF522" s="21" t="s">
        <v>10</v>
      </c>
      <c r="AG522" s="21" t="s">
        <v>11</v>
      </c>
      <c r="AH522" s="122" t="s">
        <v>12</v>
      </c>
      <c r="AI522" s="122" t="s">
        <v>795</v>
      </c>
      <c r="AJ522" s="122" t="s">
        <v>13</v>
      </c>
      <c r="AK522" s="122" t="s">
        <v>14</v>
      </c>
      <c r="AL522" s="21" t="s">
        <v>15</v>
      </c>
      <c r="AM522" s="122" t="s">
        <v>8</v>
      </c>
    </row>
    <row r="523" spans="1:39" customFormat="1" ht="15.75" customHeight="1" x14ac:dyDescent="0.3">
      <c r="A523" t="s">
        <v>66</v>
      </c>
      <c r="B523" s="21" t="s">
        <v>767</v>
      </c>
      <c r="C523" s="21" t="s">
        <v>764</v>
      </c>
      <c r="D523" s="117" t="s">
        <v>841</v>
      </c>
      <c r="E523" s="21" t="s">
        <v>67</v>
      </c>
      <c r="F523" s="21" t="s">
        <v>553</v>
      </c>
      <c r="G523" s="21">
        <v>420</v>
      </c>
      <c r="H523" s="21"/>
      <c r="I523" s="117" t="s">
        <v>325</v>
      </c>
      <c r="J523" s="117" t="s">
        <v>325</v>
      </c>
      <c r="K523" s="118"/>
      <c r="L523" s="21"/>
      <c r="M523" s="21"/>
      <c r="N523" s="21"/>
      <c r="O523" s="21"/>
      <c r="P523" s="21">
        <v>420</v>
      </c>
      <c r="Q523" s="21"/>
      <c r="R523" s="21" t="s">
        <v>923</v>
      </c>
      <c r="S523" s="119">
        <f>DATABASE_Table[[#This Row],[Inicial Asking Price (€) (Total)]]-DATABASE_Table[[#This Row],[Vista membership]]-DATABASE_Table[[#This Row],[FF&amp;E]]</f>
        <v>930000</v>
      </c>
      <c r="T523" s="120">
        <v>930000</v>
      </c>
      <c r="U523" s="36">
        <v>1700000</v>
      </c>
      <c r="V523" s="21"/>
      <c r="W523" s="21"/>
      <c r="X523" s="73">
        <f>DATABASE_Table[[#This Row],[Current Asking price( Total)]]-DATABASE_Table[[#This Row],[Vista membership]]-DATABASE_Table[[#This Row],[FF&amp;E]]</f>
        <v>1700000</v>
      </c>
      <c r="Y523" s="37">
        <v>0</v>
      </c>
      <c r="Z523" s="36">
        <v>1700000</v>
      </c>
      <c r="AA523" s="73">
        <f>DATABASE_Table[[#This Row],[Sell price (Total)]]-DATABASE_Table[[#This Row],[FF&amp;E]]-DATABASE_Table[[#This Row],[Vista membership]]</f>
        <v>1700000</v>
      </c>
      <c r="AB523" s="76">
        <v>45279</v>
      </c>
      <c r="AC523" s="76" t="str">
        <f t="shared" si="8"/>
        <v>Q4 2023</v>
      </c>
      <c r="AD523" s="123">
        <v>45279</v>
      </c>
      <c r="AE523" s="69">
        <v>46843</v>
      </c>
      <c r="AF523" s="21" t="s">
        <v>57</v>
      </c>
      <c r="AG523" s="21" t="s">
        <v>68</v>
      </c>
      <c r="AH523" s="122" t="s">
        <v>69</v>
      </c>
      <c r="AI523" s="122" t="s">
        <v>70</v>
      </c>
      <c r="AJ523" s="122" t="s">
        <v>71</v>
      </c>
      <c r="AK523" s="122" t="s">
        <v>810</v>
      </c>
      <c r="AL523" s="21" t="s">
        <v>72</v>
      </c>
      <c r="AM523" s="122" t="s">
        <v>66</v>
      </c>
    </row>
    <row r="524" spans="1:39" customFormat="1" ht="15.75" customHeight="1" x14ac:dyDescent="0.3">
      <c r="A524" t="s">
        <v>66</v>
      </c>
      <c r="B524" s="21" t="s">
        <v>767</v>
      </c>
      <c r="C524" s="21" t="s">
        <v>764</v>
      </c>
      <c r="D524" s="117" t="s">
        <v>840</v>
      </c>
      <c r="E524" s="21" t="s">
        <v>67</v>
      </c>
      <c r="F524" s="21" t="s">
        <v>553</v>
      </c>
      <c r="G524" s="21">
        <v>420</v>
      </c>
      <c r="H524" s="21"/>
      <c r="I524" s="117" t="s">
        <v>325</v>
      </c>
      <c r="J524" s="117" t="s">
        <v>325</v>
      </c>
      <c r="K524" s="118"/>
      <c r="L524" s="21"/>
      <c r="M524" s="21"/>
      <c r="N524" s="21"/>
      <c r="O524" s="21"/>
      <c r="P524" s="21">
        <v>420</v>
      </c>
      <c r="Q524" s="21"/>
      <c r="R524" s="21" t="s">
        <v>923</v>
      </c>
      <c r="S524" s="119">
        <f>DATABASE_Table[[#This Row],[Inicial Asking Price (€) (Total)]]-DATABASE_Table[[#This Row],[Vista membership]]-DATABASE_Table[[#This Row],[FF&amp;E]]</f>
        <v>930000</v>
      </c>
      <c r="T524" s="120">
        <v>930000</v>
      </c>
      <c r="U524" s="36">
        <v>1750000</v>
      </c>
      <c r="V524" s="21"/>
      <c r="W524" s="21"/>
      <c r="X524" s="73">
        <f>DATABASE_Table[[#This Row],[Current Asking price( Total)]]-DATABASE_Table[[#This Row],[Vista membership]]-DATABASE_Table[[#This Row],[FF&amp;E]]</f>
        <v>1750000</v>
      </c>
      <c r="Y524" s="37">
        <v>2.8571428571428598E-2</v>
      </c>
      <c r="Z524" s="36">
        <v>1700000</v>
      </c>
      <c r="AA524" s="73">
        <f>DATABASE_Table[[#This Row],[Sell price (Total)]]-DATABASE_Table[[#This Row],[FF&amp;E]]-DATABASE_Table[[#This Row],[Vista membership]]</f>
        <v>1700000</v>
      </c>
      <c r="AB524" s="76">
        <v>45279</v>
      </c>
      <c r="AC524" s="76" t="str">
        <f t="shared" si="8"/>
        <v>Q4 2023</v>
      </c>
      <c r="AD524" s="123">
        <v>45512</v>
      </c>
      <c r="AE524" s="69">
        <v>46843</v>
      </c>
      <c r="AF524" s="21" t="s">
        <v>57</v>
      </c>
      <c r="AG524" s="21" t="s">
        <v>68</v>
      </c>
      <c r="AH524" s="122" t="s">
        <v>69</v>
      </c>
      <c r="AI524" s="122" t="s">
        <v>70</v>
      </c>
      <c r="AJ524" s="122" t="s">
        <v>71</v>
      </c>
      <c r="AK524" s="122" t="s">
        <v>810</v>
      </c>
      <c r="AL524" s="21" t="s">
        <v>72</v>
      </c>
      <c r="AM524" s="122" t="s">
        <v>66</v>
      </c>
    </row>
    <row r="525" spans="1:39" customFormat="1" ht="15.75" customHeight="1" x14ac:dyDescent="0.3">
      <c r="A525" t="s">
        <v>66</v>
      </c>
      <c r="B525" s="21" t="s">
        <v>767</v>
      </c>
      <c r="C525" s="21" t="s">
        <v>764</v>
      </c>
      <c r="D525" s="117" t="s">
        <v>842</v>
      </c>
      <c r="E525" s="21" t="s">
        <v>67</v>
      </c>
      <c r="F525" s="21" t="s">
        <v>553</v>
      </c>
      <c r="G525" s="21">
        <v>3142</v>
      </c>
      <c r="H525" s="21"/>
      <c r="I525" s="117" t="s">
        <v>325</v>
      </c>
      <c r="J525" s="117" t="s">
        <v>325</v>
      </c>
      <c r="K525" s="118"/>
      <c r="L525" s="21"/>
      <c r="M525" s="21"/>
      <c r="N525" s="21"/>
      <c r="O525" s="21"/>
      <c r="P525" s="21">
        <v>340</v>
      </c>
      <c r="Q525" s="21"/>
      <c r="R525" s="21" t="s">
        <v>326</v>
      </c>
      <c r="S525" s="119">
        <f>DATABASE_Table[[#This Row],[Inicial Asking Price (€) (Total)]]-DATABASE_Table[[#This Row],[Vista membership]]-DATABASE_Table[[#This Row],[FF&amp;E]]</f>
        <v>950000</v>
      </c>
      <c r="T525" s="120">
        <v>950000</v>
      </c>
      <c r="U525" s="36">
        <v>1800000</v>
      </c>
      <c r="V525" s="21"/>
      <c r="W525" s="21"/>
      <c r="X525" s="73">
        <f>DATABASE_Table[[#This Row],[Current Asking price( Total)]]-DATABASE_Table[[#This Row],[Vista membership]]-DATABASE_Table[[#This Row],[FF&amp;E]]</f>
        <v>1800000</v>
      </c>
      <c r="Y525" s="37">
        <v>5.5555555555555601E-2</v>
      </c>
      <c r="Z525" s="36">
        <v>1700000</v>
      </c>
      <c r="AA525" s="73">
        <f>DATABASE_Table[[#This Row],[Sell price (Total)]]-DATABASE_Table[[#This Row],[FF&amp;E]]-DATABASE_Table[[#This Row],[Vista membership]]</f>
        <v>1700000</v>
      </c>
      <c r="AB525" s="76">
        <v>45279</v>
      </c>
      <c r="AC525" s="76" t="str">
        <f t="shared" si="8"/>
        <v>Q4 2023</v>
      </c>
      <c r="AD525" s="123">
        <v>46182</v>
      </c>
      <c r="AE525" s="69">
        <v>46843</v>
      </c>
      <c r="AF525" s="21" t="s">
        <v>57</v>
      </c>
      <c r="AG525" s="21" t="s">
        <v>68</v>
      </c>
      <c r="AH525" s="122" t="s">
        <v>69</v>
      </c>
      <c r="AI525" s="122" t="s">
        <v>70</v>
      </c>
      <c r="AJ525" s="122" t="s">
        <v>71</v>
      </c>
      <c r="AK525" s="122" t="s">
        <v>810</v>
      </c>
      <c r="AL525" s="21" t="s">
        <v>72</v>
      </c>
      <c r="AM525" s="122" t="s">
        <v>66</v>
      </c>
    </row>
    <row r="526" spans="1:39" customFormat="1" ht="15.75" customHeight="1" x14ac:dyDescent="0.3">
      <c r="A526" t="s">
        <v>66</v>
      </c>
      <c r="B526" s="21" t="s">
        <v>767</v>
      </c>
      <c r="C526" s="21" t="s">
        <v>764</v>
      </c>
      <c r="D526" s="117" t="s">
        <v>836</v>
      </c>
      <c r="E526" s="21" t="s">
        <v>67</v>
      </c>
      <c r="F526" s="21" t="s">
        <v>553</v>
      </c>
      <c r="G526" s="21">
        <v>2760</v>
      </c>
      <c r="H526" s="21"/>
      <c r="I526" s="117" t="s">
        <v>325</v>
      </c>
      <c r="J526" s="117" t="s">
        <v>325</v>
      </c>
      <c r="K526" s="118"/>
      <c r="L526" s="21"/>
      <c r="M526" s="21"/>
      <c r="N526" s="21"/>
      <c r="O526" s="21"/>
      <c r="P526" s="21">
        <v>340</v>
      </c>
      <c r="Q526" s="21"/>
      <c r="R526" s="21" t="s">
        <v>625</v>
      </c>
      <c r="S526" s="119">
        <f>DATABASE_Table[[#This Row],[Inicial Asking Price (€) (Total)]]-DATABASE_Table[[#This Row],[Vista membership]]-DATABASE_Table[[#This Row],[FF&amp;E]]</f>
        <v>760000</v>
      </c>
      <c r="T526" s="120">
        <v>760000</v>
      </c>
      <c r="U526" s="36">
        <v>1200000</v>
      </c>
      <c r="V526" s="21"/>
      <c r="W526" s="21"/>
      <c r="X526" s="73">
        <f>DATABASE_Table[[#This Row],[Current Asking price( Total)]]-DATABASE_Table[[#This Row],[Vista membership]]-DATABASE_Table[[#This Row],[FF&amp;E]]</f>
        <v>1200000</v>
      </c>
      <c r="Y526" s="37">
        <v>8.3333333333333398E-2</v>
      </c>
      <c r="Z526" s="36">
        <v>1100000</v>
      </c>
      <c r="AA526" s="73">
        <f>DATABASE_Table[[#This Row],[Sell price (Total)]]-DATABASE_Table[[#This Row],[FF&amp;E]]-DATABASE_Table[[#This Row],[Vista membership]]</f>
        <v>1100000</v>
      </c>
      <c r="AB526" s="76">
        <v>45279</v>
      </c>
      <c r="AC526" s="76" t="str">
        <f t="shared" si="8"/>
        <v>Q4 2023</v>
      </c>
      <c r="AD526" s="123">
        <v>46178</v>
      </c>
      <c r="AE526" s="69">
        <v>46843</v>
      </c>
      <c r="AF526" s="21" t="s">
        <v>57</v>
      </c>
      <c r="AG526" s="21" t="s">
        <v>68</v>
      </c>
      <c r="AH526" s="122" t="s">
        <v>69</v>
      </c>
      <c r="AI526" s="122" t="s">
        <v>70</v>
      </c>
      <c r="AJ526" s="122" t="s">
        <v>71</v>
      </c>
      <c r="AK526" s="122" t="s">
        <v>810</v>
      </c>
      <c r="AL526" s="21" t="s">
        <v>72</v>
      </c>
      <c r="AM526" s="122" t="s">
        <v>66</v>
      </c>
    </row>
    <row r="527" spans="1:39" customFormat="1" ht="15.75" customHeight="1" x14ac:dyDescent="0.3">
      <c r="A527" t="s">
        <v>66</v>
      </c>
      <c r="B527" s="21" t="s">
        <v>767</v>
      </c>
      <c r="C527" s="21" t="s">
        <v>764</v>
      </c>
      <c r="D527" s="117" t="s">
        <v>843</v>
      </c>
      <c r="E527" s="21" t="s">
        <v>67</v>
      </c>
      <c r="F527" s="21" t="s">
        <v>553</v>
      </c>
      <c r="G527" s="21">
        <v>4909</v>
      </c>
      <c r="H527" s="21"/>
      <c r="I527" s="117" t="s">
        <v>325</v>
      </c>
      <c r="J527" s="117" t="s">
        <v>325</v>
      </c>
      <c r="K527" s="118"/>
      <c r="L527" s="21"/>
      <c r="M527" s="21"/>
      <c r="N527" s="21"/>
      <c r="O527" s="21"/>
      <c r="P527" s="21">
        <v>500</v>
      </c>
      <c r="Q527" s="21"/>
      <c r="R527" s="21" t="s">
        <v>923</v>
      </c>
      <c r="S527" s="119">
        <f>DATABASE_Table[[#This Row],[Inicial Asking Price (€) (Total)]]-DATABASE_Table[[#This Row],[Vista membership]]-DATABASE_Table[[#This Row],[FF&amp;E]]</f>
        <v>850000</v>
      </c>
      <c r="T527" s="120">
        <v>850000</v>
      </c>
      <c r="U527" s="36">
        <v>2500000</v>
      </c>
      <c r="V527" s="21"/>
      <c r="W527" s="21"/>
      <c r="X527" s="73">
        <f>DATABASE_Table[[#This Row],[Current Asking price( Total)]]-DATABASE_Table[[#This Row],[Vista membership]]-DATABASE_Table[[#This Row],[FF&amp;E]]</f>
        <v>2500000</v>
      </c>
      <c r="Y527" s="37">
        <v>0.1</v>
      </c>
      <c r="Z527" s="36">
        <v>2250000</v>
      </c>
      <c r="AA527" s="73">
        <f>DATABASE_Table[[#This Row],[Sell price (Total)]]-DATABASE_Table[[#This Row],[FF&amp;E]]-DATABASE_Table[[#This Row],[Vista membership]]</f>
        <v>2250000</v>
      </c>
      <c r="AB527" s="76">
        <v>45279</v>
      </c>
      <c r="AC527" s="76" t="str">
        <f t="shared" si="8"/>
        <v>Q4 2023</v>
      </c>
      <c r="AD527" s="123"/>
      <c r="AE527" s="69">
        <v>46843</v>
      </c>
      <c r="AF527" s="21" t="s">
        <v>57</v>
      </c>
      <c r="AG527" s="21" t="s">
        <v>68</v>
      </c>
      <c r="AH527" s="122" t="s">
        <v>69</v>
      </c>
      <c r="AI527" s="122" t="s">
        <v>70</v>
      </c>
      <c r="AJ527" s="122" t="s">
        <v>71</v>
      </c>
      <c r="AK527" s="122" t="s">
        <v>810</v>
      </c>
      <c r="AL527" s="21" t="s">
        <v>72</v>
      </c>
      <c r="AM527" s="122" t="s">
        <v>66</v>
      </c>
    </row>
    <row r="528" spans="1:39" customFormat="1" ht="15.75" customHeight="1" x14ac:dyDescent="0.3">
      <c r="A528" t="s">
        <v>66</v>
      </c>
      <c r="B528" s="21" t="s">
        <v>767</v>
      </c>
      <c r="C528" s="21" t="s">
        <v>764</v>
      </c>
      <c r="D528" s="117" t="s">
        <v>689</v>
      </c>
      <c r="E528" s="21" t="s">
        <v>67</v>
      </c>
      <c r="F528" s="21" t="s">
        <v>553</v>
      </c>
      <c r="G528" s="21">
        <v>340</v>
      </c>
      <c r="H528" s="21"/>
      <c r="I528" s="117" t="s">
        <v>325</v>
      </c>
      <c r="J528" s="117" t="s">
        <v>325</v>
      </c>
      <c r="K528" s="118"/>
      <c r="L528" s="21"/>
      <c r="M528" s="21"/>
      <c r="N528" s="21"/>
      <c r="O528" s="21"/>
      <c r="P528" s="21">
        <v>340</v>
      </c>
      <c r="Q528" s="21"/>
      <c r="R528" s="21" t="s">
        <v>329</v>
      </c>
      <c r="S528" s="119">
        <f>DATABASE_Table[[#This Row],[Inicial Asking Price (€) (Total)]]-DATABASE_Table[[#This Row],[Vista membership]]-DATABASE_Table[[#This Row],[FF&amp;E]]</f>
        <v>820000</v>
      </c>
      <c r="T528" s="124">
        <v>820000</v>
      </c>
      <c r="U528" s="36">
        <v>1600000</v>
      </c>
      <c r="V528" s="21"/>
      <c r="W528" s="21"/>
      <c r="X528" s="73">
        <f>DATABASE_Table[[#This Row],[Current Asking price( Total)]]-DATABASE_Table[[#This Row],[Vista membership]]-DATABASE_Table[[#This Row],[FF&amp;E]]</f>
        <v>1600000</v>
      </c>
      <c r="Y528" s="37"/>
      <c r="Z528" s="36">
        <v>1600000</v>
      </c>
      <c r="AA528" s="73">
        <f>DATABASE_Table[[#This Row],[Sell price (Total)]]-DATABASE_Table[[#This Row],[FF&amp;E]]-DATABASE_Table[[#This Row],[Vista membership]]</f>
        <v>1600000</v>
      </c>
      <c r="AB528" s="76">
        <v>45279</v>
      </c>
      <c r="AC528" s="76" t="str">
        <f t="shared" si="8"/>
        <v>Q4 2023</v>
      </c>
      <c r="AD528" s="123"/>
      <c r="AE528" s="69">
        <v>46843</v>
      </c>
      <c r="AF528" s="21" t="s">
        <v>57</v>
      </c>
      <c r="AG528" s="21" t="s">
        <v>68</v>
      </c>
      <c r="AH528" s="122" t="s">
        <v>69</v>
      </c>
      <c r="AI528" s="122" t="s">
        <v>70</v>
      </c>
      <c r="AJ528" s="122" t="s">
        <v>71</v>
      </c>
      <c r="AK528" s="122" t="s">
        <v>810</v>
      </c>
      <c r="AL528" s="21" t="s">
        <v>72</v>
      </c>
      <c r="AM528" s="122" t="s">
        <v>66</v>
      </c>
    </row>
    <row r="529" spans="1:39" customFormat="1" ht="15.75" customHeight="1" x14ac:dyDescent="0.3">
      <c r="A529" t="s">
        <v>66</v>
      </c>
      <c r="B529" s="21" t="s">
        <v>767</v>
      </c>
      <c r="C529" s="21" t="s">
        <v>764</v>
      </c>
      <c r="D529" s="117" t="s">
        <v>690</v>
      </c>
      <c r="E529" s="21" t="s">
        <v>67</v>
      </c>
      <c r="F529" s="21" t="s">
        <v>553</v>
      </c>
      <c r="G529" s="21">
        <v>500</v>
      </c>
      <c r="H529" s="21"/>
      <c r="I529" s="117" t="s">
        <v>325</v>
      </c>
      <c r="J529" s="117" t="s">
        <v>325</v>
      </c>
      <c r="K529" s="118"/>
      <c r="L529" s="21"/>
      <c r="M529" s="21"/>
      <c r="N529" s="21"/>
      <c r="O529" s="21"/>
      <c r="P529" s="21">
        <v>500</v>
      </c>
      <c r="Q529" s="21"/>
      <c r="R529" s="21" t="s">
        <v>329</v>
      </c>
      <c r="S529" s="119">
        <f>DATABASE_Table[[#This Row],[Inicial Asking Price (€) (Total)]]-DATABASE_Table[[#This Row],[Vista membership]]-DATABASE_Table[[#This Row],[FF&amp;E]]</f>
        <v>800000</v>
      </c>
      <c r="T529" s="124">
        <v>800000</v>
      </c>
      <c r="U529" s="36">
        <v>1800000</v>
      </c>
      <c r="V529" s="21"/>
      <c r="W529" s="21"/>
      <c r="X529" s="73">
        <f>DATABASE_Table[[#This Row],[Current Asking price( Total)]]-DATABASE_Table[[#This Row],[Vista membership]]-DATABASE_Table[[#This Row],[FF&amp;E]]</f>
        <v>1800000</v>
      </c>
      <c r="Y529" s="37"/>
      <c r="Z529" s="36">
        <v>1800000</v>
      </c>
      <c r="AA529" s="73">
        <f>DATABASE_Table[[#This Row],[Sell price (Total)]]-DATABASE_Table[[#This Row],[FF&amp;E]]-DATABASE_Table[[#This Row],[Vista membership]]</f>
        <v>1800000</v>
      </c>
      <c r="AB529" s="76">
        <v>45279</v>
      </c>
      <c r="AC529" s="76" t="str">
        <f t="shared" si="8"/>
        <v>Q4 2023</v>
      </c>
      <c r="AD529" s="123"/>
      <c r="AE529" s="69">
        <v>46843</v>
      </c>
      <c r="AF529" s="21" t="s">
        <v>57</v>
      </c>
      <c r="AG529" s="21" t="s">
        <v>68</v>
      </c>
      <c r="AH529" s="122" t="s">
        <v>69</v>
      </c>
      <c r="AI529" s="122" t="s">
        <v>70</v>
      </c>
      <c r="AJ529" s="122" t="s">
        <v>71</v>
      </c>
      <c r="AK529" s="122" t="s">
        <v>810</v>
      </c>
      <c r="AL529" s="21" t="s">
        <v>72</v>
      </c>
      <c r="AM529" s="122" t="s">
        <v>66</v>
      </c>
    </row>
    <row r="530" spans="1:39" customFormat="1" ht="15.75" customHeight="1" x14ac:dyDescent="0.3">
      <c r="A530" t="s">
        <v>66</v>
      </c>
      <c r="B530" s="21" t="s">
        <v>767</v>
      </c>
      <c r="C530" s="21" t="s">
        <v>764</v>
      </c>
      <c r="D530" s="117" t="s">
        <v>691</v>
      </c>
      <c r="E530" s="21" t="s">
        <v>67</v>
      </c>
      <c r="F530" s="21" t="s">
        <v>553</v>
      </c>
      <c r="G530" s="21">
        <v>500</v>
      </c>
      <c r="H530" s="21"/>
      <c r="I530" s="117" t="s">
        <v>325</v>
      </c>
      <c r="J530" s="117" t="s">
        <v>325</v>
      </c>
      <c r="K530" s="118"/>
      <c r="L530" s="21"/>
      <c r="M530" s="21"/>
      <c r="N530" s="21"/>
      <c r="O530" s="21"/>
      <c r="P530" s="21">
        <v>500</v>
      </c>
      <c r="Q530" s="21"/>
      <c r="R530" s="21" t="s">
        <v>329</v>
      </c>
      <c r="S530" s="119">
        <f>DATABASE_Table[[#This Row],[Inicial Asking Price (€) (Total)]]-DATABASE_Table[[#This Row],[Vista membership]]-DATABASE_Table[[#This Row],[FF&amp;E]]</f>
        <v>930000</v>
      </c>
      <c r="T530" s="124">
        <v>930000</v>
      </c>
      <c r="U530" s="36">
        <v>2400000</v>
      </c>
      <c r="V530" s="21"/>
      <c r="W530" s="21"/>
      <c r="X530" s="73">
        <f>DATABASE_Table[[#This Row],[Current Asking price( Total)]]-DATABASE_Table[[#This Row],[Vista membership]]-DATABASE_Table[[#This Row],[FF&amp;E]]</f>
        <v>2400000</v>
      </c>
      <c r="Y530" s="37"/>
      <c r="Z530" s="36">
        <v>2400000</v>
      </c>
      <c r="AA530" s="73">
        <f>DATABASE_Table[[#This Row],[Sell price (Total)]]-DATABASE_Table[[#This Row],[FF&amp;E]]-DATABASE_Table[[#This Row],[Vista membership]]</f>
        <v>2400000</v>
      </c>
      <c r="AB530" s="76">
        <v>45279</v>
      </c>
      <c r="AC530" s="76" t="str">
        <f t="shared" si="8"/>
        <v>Q4 2023</v>
      </c>
      <c r="AD530" s="123"/>
      <c r="AE530" s="69">
        <v>46843</v>
      </c>
      <c r="AF530" s="21" t="s">
        <v>57</v>
      </c>
      <c r="AG530" s="21" t="s">
        <v>68</v>
      </c>
      <c r="AH530" s="122" t="s">
        <v>69</v>
      </c>
      <c r="AI530" s="122" t="s">
        <v>70</v>
      </c>
      <c r="AJ530" s="122" t="s">
        <v>71</v>
      </c>
      <c r="AK530" s="122" t="s">
        <v>810</v>
      </c>
      <c r="AL530" s="21" t="s">
        <v>72</v>
      </c>
      <c r="AM530" s="122" t="s">
        <v>66</v>
      </c>
    </row>
    <row r="531" spans="1:39" customFormat="1" ht="15.75" customHeight="1" x14ac:dyDescent="0.3">
      <c r="A531" t="s">
        <v>66</v>
      </c>
      <c r="B531" s="21" t="s">
        <v>767</v>
      </c>
      <c r="C531" s="21" t="s">
        <v>764</v>
      </c>
      <c r="D531" s="117" t="s">
        <v>880</v>
      </c>
      <c r="E531" s="21" t="s">
        <v>67</v>
      </c>
      <c r="F531" s="21" t="s">
        <v>553</v>
      </c>
      <c r="G531" s="21">
        <v>621.5</v>
      </c>
      <c r="H531" s="21"/>
      <c r="I531" s="117" t="s">
        <v>325</v>
      </c>
      <c r="J531" s="117" t="s">
        <v>325</v>
      </c>
      <c r="K531" s="118"/>
      <c r="L531" s="21"/>
      <c r="M531" s="21"/>
      <c r="N531" s="21"/>
      <c r="O531" s="21"/>
      <c r="P531" s="21">
        <v>621.5</v>
      </c>
      <c r="Q531" s="21"/>
      <c r="R531" s="21" t="s">
        <v>329</v>
      </c>
      <c r="S531" s="119">
        <f>DATABASE_Table[[#This Row],[Inicial Asking Price (€) (Total)]]-DATABASE_Table[[#This Row],[Vista membership]]-DATABASE_Table[[#This Row],[FF&amp;E]]</f>
        <v>460000</v>
      </c>
      <c r="T531" s="120">
        <v>460000</v>
      </c>
      <c r="U531" s="36">
        <v>3000000</v>
      </c>
      <c r="V531" s="21"/>
      <c r="W531" s="21"/>
      <c r="X531" s="73">
        <f>DATABASE_Table[[#This Row],[Current Asking price( Total)]]-DATABASE_Table[[#This Row],[Vista membership]]-DATABASE_Table[[#This Row],[FF&amp;E]]</f>
        <v>3000000</v>
      </c>
      <c r="Y531" s="37"/>
      <c r="Z531" s="36">
        <v>3000000</v>
      </c>
      <c r="AA531" s="73">
        <f>DATABASE_Table[[#This Row],[Sell price (Total)]]-DATABASE_Table[[#This Row],[FF&amp;E]]-DATABASE_Table[[#This Row],[Vista membership]]</f>
        <v>3000000</v>
      </c>
      <c r="AB531" s="76">
        <v>45279</v>
      </c>
      <c r="AC531" s="76" t="str">
        <f t="shared" si="8"/>
        <v>Q4 2023</v>
      </c>
      <c r="AD531" s="123"/>
      <c r="AE531" s="69">
        <v>46843</v>
      </c>
      <c r="AF531" s="21" t="s">
        <v>57</v>
      </c>
      <c r="AG531" s="21" t="s">
        <v>68</v>
      </c>
      <c r="AH531" s="122" t="s">
        <v>69</v>
      </c>
      <c r="AI531" s="122" t="s">
        <v>70</v>
      </c>
      <c r="AJ531" s="122" t="s">
        <v>71</v>
      </c>
      <c r="AK531" s="122" t="s">
        <v>810</v>
      </c>
      <c r="AL531" s="21" t="s">
        <v>72</v>
      </c>
      <c r="AM531" s="122" t="s">
        <v>66</v>
      </c>
    </row>
    <row r="532" spans="1:39" customFormat="1" ht="15.75" customHeight="1" x14ac:dyDescent="0.3">
      <c r="A532" t="s">
        <v>66</v>
      </c>
      <c r="B532" s="21" t="s">
        <v>767</v>
      </c>
      <c r="C532" s="21" t="s">
        <v>764</v>
      </c>
      <c r="D532" s="117" t="s">
        <v>871</v>
      </c>
      <c r="E532" s="21" t="s">
        <v>67</v>
      </c>
      <c r="F532" s="21" t="s">
        <v>553</v>
      </c>
      <c r="G532" s="21">
        <v>4639</v>
      </c>
      <c r="H532" s="21"/>
      <c r="I532" s="117" t="s">
        <v>325</v>
      </c>
      <c r="J532" s="117" t="s">
        <v>325</v>
      </c>
      <c r="K532" s="118"/>
      <c r="L532" s="21"/>
      <c r="M532" s="21"/>
      <c r="N532" s="21"/>
      <c r="O532" s="21"/>
      <c r="P532" s="21">
        <v>340</v>
      </c>
      <c r="Q532" s="21"/>
      <c r="R532" s="21" t="s">
        <v>329</v>
      </c>
      <c r="S532" s="119">
        <f>DATABASE_Table[[#This Row],[Inicial Asking Price (€) (Total)]]-DATABASE_Table[[#This Row],[Vista membership]]-DATABASE_Table[[#This Row],[FF&amp;E]]</f>
        <v>470000</v>
      </c>
      <c r="T532" s="120">
        <v>470000</v>
      </c>
      <c r="U532" s="36">
        <v>1000000</v>
      </c>
      <c r="V532" s="21"/>
      <c r="W532" s="21"/>
      <c r="X532" s="73">
        <f>DATABASE_Table[[#This Row],[Current Asking price( Total)]]-DATABASE_Table[[#This Row],[Vista membership]]-DATABASE_Table[[#This Row],[FF&amp;E]]</f>
        <v>1000000</v>
      </c>
      <c r="Y532" s="37"/>
      <c r="Z532" s="36">
        <v>1000000</v>
      </c>
      <c r="AA532" s="73">
        <f>DATABASE_Table[[#This Row],[Sell price (Total)]]-DATABASE_Table[[#This Row],[FF&amp;E]]-DATABASE_Table[[#This Row],[Vista membership]]</f>
        <v>1000000</v>
      </c>
      <c r="AB532" s="76">
        <v>45279</v>
      </c>
      <c r="AC532" s="76" t="str">
        <f t="shared" si="8"/>
        <v>Q4 2023</v>
      </c>
      <c r="AD532" s="123"/>
      <c r="AE532" s="69">
        <v>46843</v>
      </c>
      <c r="AF532" s="21" t="s">
        <v>57</v>
      </c>
      <c r="AG532" s="21" t="s">
        <v>68</v>
      </c>
      <c r="AH532" s="122" t="s">
        <v>69</v>
      </c>
      <c r="AI532" s="122" t="s">
        <v>70</v>
      </c>
      <c r="AJ532" s="122" t="s">
        <v>71</v>
      </c>
      <c r="AK532" s="122" t="s">
        <v>810</v>
      </c>
      <c r="AL532" s="21" t="s">
        <v>72</v>
      </c>
      <c r="AM532" s="122" t="s">
        <v>66</v>
      </c>
    </row>
    <row r="533" spans="1:39" customFormat="1" ht="15.75" customHeight="1" x14ac:dyDescent="0.3">
      <c r="A533" t="s">
        <v>66</v>
      </c>
      <c r="B533" s="21" t="s">
        <v>767</v>
      </c>
      <c r="C533" s="21" t="s">
        <v>764</v>
      </c>
      <c r="D533" s="117" t="s">
        <v>872</v>
      </c>
      <c r="E533" s="21" t="s">
        <v>67</v>
      </c>
      <c r="F533" s="21" t="s">
        <v>553</v>
      </c>
      <c r="G533" s="21">
        <v>340</v>
      </c>
      <c r="H533" s="21"/>
      <c r="I533" s="117" t="s">
        <v>325</v>
      </c>
      <c r="J533" s="117" t="s">
        <v>325</v>
      </c>
      <c r="K533" s="118"/>
      <c r="L533" s="21"/>
      <c r="M533" s="21"/>
      <c r="N533" s="21"/>
      <c r="O533" s="21"/>
      <c r="P533" s="21">
        <v>340</v>
      </c>
      <c r="Q533" s="21"/>
      <c r="R533" s="21" t="s">
        <v>329</v>
      </c>
      <c r="S533" s="119">
        <f>DATABASE_Table[[#This Row],[Inicial Asking Price (€) (Total)]]-DATABASE_Table[[#This Row],[Vista membership]]-DATABASE_Table[[#This Row],[FF&amp;E]]</f>
        <v>470000</v>
      </c>
      <c r="T533" s="120">
        <v>470000</v>
      </c>
      <c r="U533" s="36">
        <v>900000</v>
      </c>
      <c r="V533" s="21"/>
      <c r="W533" s="21"/>
      <c r="X533" s="73">
        <f>DATABASE_Table[[#This Row],[Current Asking price( Total)]]-DATABASE_Table[[#This Row],[Vista membership]]-DATABASE_Table[[#This Row],[FF&amp;E]]</f>
        <v>900000</v>
      </c>
      <c r="Y533" s="37"/>
      <c r="Z533" s="36">
        <v>900000</v>
      </c>
      <c r="AA533" s="73">
        <f>DATABASE_Table[[#This Row],[Sell price (Total)]]-DATABASE_Table[[#This Row],[FF&amp;E]]-DATABASE_Table[[#This Row],[Vista membership]]</f>
        <v>900000</v>
      </c>
      <c r="AB533" s="76">
        <v>45279</v>
      </c>
      <c r="AC533" s="76" t="str">
        <f t="shared" si="8"/>
        <v>Q4 2023</v>
      </c>
      <c r="AD533" s="123"/>
      <c r="AE533" s="69">
        <v>46843</v>
      </c>
      <c r="AF533" s="21" t="s">
        <v>57</v>
      </c>
      <c r="AG533" s="21" t="s">
        <v>68</v>
      </c>
      <c r="AH533" s="122" t="s">
        <v>69</v>
      </c>
      <c r="AI533" s="122" t="s">
        <v>70</v>
      </c>
      <c r="AJ533" s="122" t="s">
        <v>71</v>
      </c>
      <c r="AK533" s="122" t="s">
        <v>810</v>
      </c>
      <c r="AL533" s="21" t="s">
        <v>72</v>
      </c>
      <c r="AM533" s="122" t="s">
        <v>66</v>
      </c>
    </row>
    <row r="534" spans="1:39" customFormat="1" ht="15.75" customHeight="1" x14ac:dyDescent="0.3">
      <c r="A534" t="s">
        <v>66</v>
      </c>
      <c r="B534" s="21" t="s">
        <v>767</v>
      </c>
      <c r="C534" s="21" t="s">
        <v>764</v>
      </c>
      <c r="D534" s="117" t="s">
        <v>873</v>
      </c>
      <c r="E534" s="21" t="s">
        <v>67</v>
      </c>
      <c r="F534" s="21" t="s">
        <v>553</v>
      </c>
      <c r="G534" s="21">
        <v>420</v>
      </c>
      <c r="H534" s="21"/>
      <c r="I534" s="117" t="s">
        <v>325</v>
      </c>
      <c r="J534" s="117" t="s">
        <v>325</v>
      </c>
      <c r="K534" s="118"/>
      <c r="L534" s="21"/>
      <c r="M534" s="21"/>
      <c r="N534" s="21"/>
      <c r="O534" s="21"/>
      <c r="P534" s="21">
        <v>420</v>
      </c>
      <c r="Q534" s="21"/>
      <c r="R534" s="21" t="s">
        <v>329</v>
      </c>
      <c r="S534" s="119">
        <f>DATABASE_Table[[#This Row],[Inicial Asking Price (€) (Total)]]-DATABASE_Table[[#This Row],[Vista membership]]-DATABASE_Table[[#This Row],[FF&amp;E]]</f>
        <v>470000</v>
      </c>
      <c r="T534" s="120">
        <v>470000</v>
      </c>
      <c r="U534" s="36">
        <v>1300000</v>
      </c>
      <c r="V534" s="21"/>
      <c r="W534" s="21"/>
      <c r="X534" s="73">
        <f>DATABASE_Table[[#This Row],[Current Asking price( Total)]]-DATABASE_Table[[#This Row],[Vista membership]]-DATABASE_Table[[#This Row],[FF&amp;E]]</f>
        <v>1300000</v>
      </c>
      <c r="Y534" s="37"/>
      <c r="Z534" s="36">
        <v>1300000</v>
      </c>
      <c r="AA534" s="73">
        <f>DATABASE_Table[[#This Row],[Sell price (Total)]]-DATABASE_Table[[#This Row],[FF&amp;E]]-DATABASE_Table[[#This Row],[Vista membership]]</f>
        <v>1300000</v>
      </c>
      <c r="AB534" s="76">
        <v>45279</v>
      </c>
      <c r="AC534" s="76" t="str">
        <f t="shared" si="8"/>
        <v>Q4 2023</v>
      </c>
      <c r="AD534" s="123"/>
      <c r="AE534" s="69">
        <v>46843</v>
      </c>
      <c r="AF534" s="21" t="s">
        <v>57</v>
      </c>
      <c r="AG534" s="21" t="s">
        <v>68</v>
      </c>
      <c r="AH534" s="122" t="s">
        <v>69</v>
      </c>
      <c r="AI534" s="122" t="s">
        <v>70</v>
      </c>
      <c r="AJ534" s="122" t="s">
        <v>71</v>
      </c>
      <c r="AK534" s="122" t="s">
        <v>810</v>
      </c>
      <c r="AL534" s="21" t="s">
        <v>72</v>
      </c>
      <c r="AM534" s="122" t="s">
        <v>66</v>
      </c>
    </row>
    <row r="535" spans="1:39" customFormat="1" ht="15.75" customHeight="1" x14ac:dyDescent="0.3">
      <c r="A535" t="s">
        <v>66</v>
      </c>
      <c r="B535" s="21" t="s">
        <v>767</v>
      </c>
      <c r="C535" s="21" t="s">
        <v>764</v>
      </c>
      <c r="D535" s="117" t="s">
        <v>870</v>
      </c>
      <c r="E535" s="21" t="s">
        <v>67</v>
      </c>
      <c r="F535" s="21" t="s">
        <v>553</v>
      </c>
      <c r="G535" s="21">
        <v>4980</v>
      </c>
      <c r="H535" s="21"/>
      <c r="I535" s="117" t="s">
        <v>325</v>
      </c>
      <c r="J535" s="117" t="s">
        <v>325</v>
      </c>
      <c r="K535" s="118"/>
      <c r="L535" s="21"/>
      <c r="M535" s="21"/>
      <c r="N535" s="21"/>
      <c r="O535" s="21"/>
      <c r="P535" s="21">
        <v>420</v>
      </c>
      <c r="Q535" s="21"/>
      <c r="R535" s="21" t="s">
        <v>329</v>
      </c>
      <c r="S535" s="119">
        <f>DATABASE_Table[[#This Row],[Inicial Asking Price (€) (Total)]]-DATABASE_Table[[#This Row],[Vista membership]]-DATABASE_Table[[#This Row],[FF&amp;E]]</f>
        <v>540000</v>
      </c>
      <c r="T535" s="120">
        <v>540000</v>
      </c>
      <c r="U535" s="36">
        <v>1500000</v>
      </c>
      <c r="V535" s="21"/>
      <c r="W535" s="21"/>
      <c r="X535" s="73">
        <f>DATABASE_Table[[#This Row],[Current Asking price( Total)]]-DATABASE_Table[[#This Row],[Vista membership]]-DATABASE_Table[[#This Row],[FF&amp;E]]</f>
        <v>1500000</v>
      </c>
      <c r="Y535" s="37"/>
      <c r="Z535" s="36">
        <v>1500000</v>
      </c>
      <c r="AA535" s="73">
        <f>DATABASE_Table[[#This Row],[Sell price (Total)]]-DATABASE_Table[[#This Row],[FF&amp;E]]-DATABASE_Table[[#This Row],[Vista membership]]</f>
        <v>1500000</v>
      </c>
      <c r="AB535" s="76">
        <v>45279</v>
      </c>
      <c r="AC535" s="76" t="str">
        <f t="shared" si="8"/>
        <v>Q4 2023</v>
      </c>
      <c r="AD535" s="123"/>
      <c r="AE535" s="69">
        <v>46843</v>
      </c>
      <c r="AF535" s="21" t="s">
        <v>57</v>
      </c>
      <c r="AG535" s="21" t="s">
        <v>68</v>
      </c>
      <c r="AH535" s="122" t="s">
        <v>69</v>
      </c>
      <c r="AI535" s="122" t="s">
        <v>70</v>
      </c>
      <c r="AJ535" s="122" t="s">
        <v>71</v>
      </c>
      <c r="AK535" s="122" t="s">
        <v>810</v>
      </c>
      <c r="AL535" s="21" t="s">
        <v>72</v>
      </c>
      <c r="AM535" s="122" t="s">
        <v>66</v>
      </c>
    </row>
    <row r="536" spans="1:39" customFormat="1" ht="15.75" customHeight="1" x14ac:dyDescent="0.3">
      <c r="A536" t="s">
        <v>66</v>
      </c>
      <c r="B536" s="21" t="s">
        <v>767</v>
      </c>
      <c r="C536" s="21" t="s">
        <v>764</v>
      </c>
      <c r="D536" s="117" t="s">
        <v>874</v>
      </c>
      <c r="E536" s="21" t="s">
        <v>67</v>
      </c>
      <c r="F536" s="21" t="s">
        <v>553</v>
      </c>
      <c r="G536" s="21">
        <v>420</v>
      </c>
      <c r="H536" s="21"/>
      <c r="I536" s="117" t="s">
        <v>325</v>
      </c>
      <c r="J536" s="117" t="s">
        <v>325</v>
      </c>
      <c r="K536" s="118"/>
      <c r="L536" s="21"/>
      <c r="M536" s="21"/>
      <c r="N536" s="21"/>
      <c r="O536" s="21"/>
      <c r="P536" s="21">
        <v>420</v>
      </c>
      <c r="Q536" s="21"/>
      <c r="R536" s="21" t="s">
        <v>329</v>
      </c>
      <c r="S536" s="119">
        <f>DATABASE_Table[[#This Row],[Inicial Asking Price (€) (Total)]]-DATABASE_Table[[#This Row],[Vista membership]]-DATABASE_Table[[#This Row],[FF&amp;E]]</f>
        <v>540000</v>
      </c>
      <c r="T536" s="120">
        <v>540000</v>
      </c>
      <c r="U536" s="36">
        <v>1300000</v>
      </c>
      <c r="V536" s="21"/>
      <c r="W536" s="21"/>
      <c r="X536" s="73">
        <f>DATABASE_Table[[#This Row],[Current Asking price( Total)]]-DATABASE_Table[[#This Row],[Vista membership]]-DATABASE_Table[[#This Row],[FF&amp;E]]</f>
        <v>1300000</v>
      </c>
      <c r="Y536" s="37"/>
      <c r="Z536" s="36">
        <v>1300000</v>
      </c>
      <c r="AA536" s="73">
        <f>DATABASE_Table[[#This Row],[Sell price (Total)]]-DATABASE_Table[[#This Row],[FF&amp;E]]-DATABASE_Table[[#This Row],[Vista membership]]</f>
        <v>1300000</v>
      </c>
      <c r="AB536" s="76">
        <v>45279</v>
      </c>
      <c r="AC536" s="76" t="str">
        <f t="shared" si="8"/>
        <v>Q4 2023</v>
      </c>
      <c r="AD536" s="123"/>
      <c r="AE536" s="69">
        <v>46843</v>
      </c>
      <c r="AF536" s="21" t="s">
        <v>57</v>
      </c>
      <c r="AG536" s="21" t="s">
        <v>68</v>
      </c>
      <c r="AH536" s="122" t="s">
        <v>69</v>
      </c>
      <c r="AI536" s="122" t="s">
        <v>70</v>
      </c>
      <c r="AJ536" s="122" t="s">
        <v>71</v>
      </c>
      <c r="AK536" s="122" t="s">
        <v>810</v>
      </c>
      <c r="AL536" s="21" t="s">
        <v>72</v>
      </c>
      <c r="AM536" s="122" t="s">
        <v>66</v>
      </c>
    </row>
    <row r="537" spans="1:39" customFormat="1" ht="15.75" customHeight="1" x14ac:dyDescent="0.3">
      <c r="A537" t="s">
        <v>66</v>
      </c>
      <c r="B537" s="21" t="s">
        <v>767</v>
      </c>
      <c r="C537" s="21" t="s">
        <v>764</v>
      </c>
      <c r="D537" s="117" t="s">
        <v>862</v>
      </c>
      <c r="E537" s="21" t="s">
        <v>67</v>
      </c>
      <c r="F537" s="21" t="s">
        <v>553</v>
      </c>
      <c r="G537" s="21">
        <v>2725</v>
      </c>
      <c r="H537" s="21"/>
      <c r="I537" s="117" t="s">
        <v>325</v>
      </c>
      <c r="J537" s="117" t="s">
        <v>325</v>
      </c>
      <c r="K537" s="118"/>
      <c r="L537" s="21"/>
      <c r="M537" s="21"/>
      <c r="N537" s="21"/>
      <c r="O537" s="21"/>
      <c r="P537" s="21">
        <v>340</v>
      </c>
      <c r="Q537" s="21"/>
      <c r="R537" s="21" t="s">
        <v>329</v>
      </c>
      <c r="S537" s="119">
        <f>DATABASE_Table[[#This Row],[Inicial Asking Price (€) (Total)]]-DATABASE_Table[[#This Row],[Vista membership]]-DATABASE_Table[[#This Row],[FF&amp;E]]</f>
        <v>570000</v>
      </c>
      <c r="T537" s="120">
        <v>570000</v>
      </c>
      <c r="U537" s="36">
        <v>1250000</v>
      </c>
      <c r="V537" s="21"/>
      <c r="W537" s="21"/>
      <c r="X537" s="73">
        <f>DATABASE_Table[[#This Row],[Current Asking price( Total)]]-DATABASE_Table[[#This Row],[Vista membership]]-DATABASE_Table[[#This Row],[FF&amp;E]]</f>
        <v>1250000</v>
      </c>
      <c r="Y537" s="37"/>
      <c r="Z537" s="36">
        <v>1250000</v>
      </c>
      <c r="AA537" s="73">
        <f>DATABASE_Table[[#This Row],[Sell price (Total)]]-DATABASE_Table[[#This Row],[FF&amp;E]]-DATABASE_Table[[#This Row],[Vista membership]]</f>
        <v>1250000</v>
      </c>
      <c r="AB537" s="76">
        <v>45279</v>
      </c>
      <c r="AC537" s="76" t="str">
        <f t="shared" si="8"/>
        <v>Q4 2023</v>
      </c>
      <c r="AD537" s="123"/>
      <c r="AE537" s="69">
        <v>46843</v>
      </c>
      <c r="AF537" s="21" t="s">
        <v>57</v>
      </c>
      <c r="AG537" s="21" t="s">
        <v>68</v>
      </c>
      <c r="AH537" s="122" t="s">
        <v>69</v>
      </c>
      <c r="AI537" s="122" t="s">
        <v>70</v>
      </c>
      <c r="AJ537" s="122" t="s">
        <v>71</v>
      </c>
      <c r="AK537" s="122" t="s">
        <v>810</v>
      </c>
      <c r="AL537" s="21" t="s">
        <v>72</v>
      </c>
      <c r="AM537" s="122" t="s">
        <v>66</v>
      </c>
    </row>
    <row r="538" spans="1:39" customFormat="1" ht="15.75" customHeight="1" x14ac:dyDescent="0.3">
      <c r="A538" t="s">
        <v>66</v>
      </c>
      <c r="B538" s="21" t="s">
        <v>767</v>
      </c>
      <c r="C538" s="21" t="s">
        <v>764</v>
      </c>
      <c r="D538" s="117" t="s">
        <v>863</v>
      </c>
      <c r="E538" s="21" t="s">
        <v>67</v>
      </c>
      <c r="F538" s="21" t="s">
        <v>553</v>
      </c>
      <c r="G538" s="21">
        <v>3281</v>
      </c>
      <c r="H538" s="21"/>
      <c r="I538" s="117" t="s">
        <v>325</v>
      </c>
      <c r="J538" s="117" t="s">
        <v>325</v>
      </c>
      <c r="K538" s="118"/>
      <c r="L538" s="21"/>
      <c r="M538" s="21"/>
      <c r="N538" s="21"/>
      <c r="O538" s="21"/>
      <c r="P538" s="21">
        <v>500</v>
      </c>
      <c r="Q538" s="21"/>
      <c r="R538" s="21" t="s">
        <v>329</v>
      </c>
      <c r="S538" s="119">
        <f>DATABASE_Table[[#This Row],[Inicial Asking Price (€) (Total)]]-DATABASE_Table[[#This Row],[Vista membership]]-DATABASE_Table[[#This Row],[FF&amp;E]]</f>
        <v>570000</v>
      </c>
      <c r="T538" s="120">
        <v>570000</v>
      </c>
      <c r="U538" s="36">
        <v>1350000</v>
      </c>
      <c r="V538" s="21"/>
      <c r="W538" s="21"/>
      <c r="X538" s="73">
        <f>DATABASE_Table[[#This Row],[Current Asking price( Total)]]-DATABASE_Table[[#This Row],[Vista membership]]-DATABASE_Table[[#This Row],[FF&amp;E]]</f>
        <v>1350000</v>
      </c>
      <c r="Y538" s="37"/>
      <c r="Z538" s="36">
        <v>1350000</v>
      </c>
      <c r="AA538" s="73">
        <f>DATABASE_Table[[#This Row],[Sell price (Total)]]-DATABASE_Table[[#This Row],[FF&amp;E]]-DATABASE_Table[[#This Row],[Vista membership]]</f>
        <v>1350000</v>
      </c>
      <c r="AB538" s="76">
        <v>45279</v>
      </c>
      <c r="AC538" s="76" t="str">
        <f t="shared" si="8"/>
        <v>Q4 2023</v>
      </c>
      <c r="AD538" s="123"/>
      <c r="AE538" s="69">
        <v>46843</v>
      </c>
      <c r="AF538" s="21" t="s">
        <v>57</v>
      </c>
      <c r="AG538" s="21" t="s">
        <v>68</v>
      </c>
      <c r="AH538" s="122" t="s">
        <v>69</v>
      </c>
      <c r="AI538" s="122" t="s">
        <v>70</v>
      </c>
      <c r="AJ538" s="122" t="s">
        <v>71</v>
      </c>
      <c r="AK538" s="122" t="s">
        <v>810</v>
      </c>
      <c r="AL538" s="21" t="s">
        <v>72</v>
      </c>
      <c r="AM538" s="122" t="s">
        <v>66</v>
      </c>
    </row>
    <row r="539" spans="1:39" customFormat="1" ht="15.75" customHeight="1" x14ac:dyDescent="0.3">
      <c r="A539" t="s">
        <v>66</v>
      </c>
      <c r="B539" s="21" t="s">
        <v>767</v>
      </c>
      <c r="C539" s="21" t="s">
        <v>764</v>
      </c>
      <c r="D539" s="117" t="s">
        <v>875</v>
      </c>
      <c r="E539" s="21" t="s">
        <v>67</v>
      </c>
      <c r="F539" s="21" t="s">
        <v>553</v>
      </c>
      <c r="G539" s="21">
        <v>420</v>
      </c>
      <c r="H539" s="21"/>
      <c r="I539" s="117" t="s">
        <v>325</v>
      </c>
      <c r="J539" s="117" t="s">
        <v>325</v>
      </c>
      <c r="K539" s="118"/>
      <c r="L539" s="21"/>
      <c r="M539" s="21"/>
      <c r="N539" s="21"/>
      <c r="O539" s="21"/>
      <c r="P539" s="21">
        <v>420</v>
      </c>
      <c r="Q539" s="21"/>
      <c r="R539" s="21" t="s">
        <v>329</v>
      </c>
      <c r="S539" s="119">
        <f>DATABASE_Table[[#This Row],[Inicial Asking Price (€) (Total)]]-DATABASE_Table[[#This Row],[Vista membership]]-DATABASE_Table[[#This Row],[FF&amp;E]]</f>
        <v>580000</v>
      </c>
      <c r="T539" s="120">
        <v>580000</v>
      </c>
      <c r="U539" s="36">
        <v>1300000</v>
      </c>
      <c r="V539" s="21"/>
      <c r="W539" s="21"/>
      <c r="X539" s="73">
        <f>DATABASE_Table[[#This Row],[Current Asking price( Total)]]-DATABASE_Table[[#This Row],[Vista membership]]-DATABASE_Table[[#This Row],[FF&amp;E]]</f>
        <v>1300000</v>
      </c>
      <c r="Y539" s="37"/>
      <c r="Z539" s="36">
        <v>1300000</v>
      </c>
      <c r="AA539" s="73">
        <f>DATABASE_Table[[#This Row],[Sell price (Total)]]-DATABASE_Table[[#This Row],[FF&amp;E]]-DATABASE_Table[[#This Row],[Vista membership]]</f>
        <v>1300000</v>
      </c>
      <c r="AB539" s="76">
        <v>45279</v>
      </c>
      <c r="AC539" s="76" t="str">
        <f t="shared" si="8"/>
        <v>Q4 2023</v>
      </c>
      <c r="AD539" s="123"/>
      <c r="AE539" s="69">
        <v>46843</v>
      </c>
      <c r="AF539" s="21" t="s">
        <v>57</v>
      </c>
      <c r="AG539" s="21" t="s">
        <v>68</v>
      </c>
      <c r="AH539" s="122" t="s">
        <v>69</v>
      </c>
      <c r="AI539" s="122" t="s">
        <v>70</v>
      </c>
      <c r="AJ539" s="122" t="s">
        <v>71</v>
      </c>
      <c r="AK539" s="122" t="s">
        <v>810</v>
      </c>
      <c r="AL539" s="21" t="s">
        <v>72</v>
      </c>
      <c r="AM539" s="122" t="s">
        <v>66</v>
      </c>
    </row>
    <row r="540" spans="1:39" customFormat="1" ht="15.75" customHeight="1" x14ac:dyDescent="0.3">
      <c r="A540" t="s">
        <v>66</v>
      </c>
      <c r="B540" s="21" t="s">
        <v>767</v>
      </c>
      <c r="C540" s="21" t="s">
        <v>764</v>
      </c>
      <c r="D540" s="117" t="s">
        <v>876</v>
      </c>
      <c r="E540" s="21" t="s">
        <v>67</v>
      </c>
      <c r="F540" s="21" t="s">
        <v>553</v>
      </c>
      <c r="G540" s="21">
        <v>420</v>
      </c>
      <c r="H540" s="21"/>
      <c r="I540" s="117" t="s">
        <v>325</v>
      </c>
      <c r="J540" s="117" t="s">
        <v>325</v>
      </c>
      <c r="K540" s="118"/>
      <c r="L540" s="21"/>
      <c r="M540" s="21"/>
      <c r="N540" s="21"/>
      <c r="O540" s="21"/>
      <c r="P540" s="21">
        <v>420</v>
      </c>
      <c r="Q540" s="21"/>
      <c r="R540" s="21" t="s">
        <v>329</v>
      </c>
      <c r="S540" s="119">
        <f>DATABASE_Table[[#This Row],[Inicial Asking Price (€) (Total)]]-DATABASE_Table[[#This Row],[Vista membership]]-DATABASE_Table[[#This Row],[FF&amp;E]]</f>
        <v>580000</v>
      </c>
      <c r="T540" s="120">
        <v>580000</v>
      </c>
      <c r="U540" s="36">
        <v>1300000</v>
      </c>
      <c r="V540" s="21"/>
      <c r="W540" s="21"/>
      <c r="X540" s="73">
        <f>DATABASE_Table[[#This Row],[Current Asking price( Total)]]-DATABASE_Table[[#This Row],[Vista membership]]-DATABASE_Table[[#This Row],[FF&amp;E]]</f>
        <v>1300000</v>
      </c>
      <c r="Y540" s="37"/>
      <c r="Z540" s="36">
        <v>1300000</v>
      </c>
      <c r="AA540" s="73">
        <f>DATABASE_Table[[#This Row],[Sell price (Total)]]-DATABASE_Table[[#This Row],[FF&amp;E]]-DATABASE_Table[[#This Row],[Vista membership]]</f>
        <v>1300000</v>
      </c>
      <c r="AB540" s="76">
        <v>45279</v>
      </c>
      <c r="AC540" s="76" t="str">
        <f t="shared" si="8"/>
        <v>Q4 2023</v>
      </c>
      <c r="AD540" s="123"/>
      <c r="AE540" s="69">
        <v>46843</v>
      </c>
      <c r="AF540" s="21" t="s">
        <v>57</v>
      </c>
      <c r="AG540" s="21" t="s">
        <v>68</v>
      </c>
      <c r="AH540" s="122" t="s">
        <v>69</v>
      </c>
      <c r="AI540" s="122" t="s">
        <v>70</v>
      </c>
      <c r="AJ540" s="122" t="s">
        <v>71</v>
      </c>
      <c r="AK540" s="122" t="s">
        <v>810</v>
      </c>
      <c r="AL540" s="21" t="s">
        <v>72</v>
      </c>
      <c r="AM540" s="122" t="s">
        <v>66</v>
      </c>
    </row>
    <row r="541" spans="1:39" customFormat="1" ht="15.75" customHeight="1" x14ac:dyDescent="0.3">
      <c r="A541" t="s">
        <v>66</v>
      </c>
      <c r="B541" s="21" t="s">
        <v>767</v>
      </c>
      <c r="C541" s="21" t="s">
        <v>764</v>
      </c>
      <c r="D541" s="117" t="s">
        <v>864</v>
      </c>
      <c r="E541" s="21" t="s">
        <v>67</v>
      </c>
      <c r="F541" s="21" t="s">
        <v>553</v>
      </c>
      <c r="G541" s="21">
        <v>14391</v>
      </c>
      <c r="H541" s="21"/>
      <c r="I541" s="117" t="s">
        <v>325</v>
      </c>
      <c r="J541" s="117" t="s">
        <v>325</v>
      </c>
      <c r="K541" s="118"/>
      <c r="L541" s="21"/>
      <c r="M541" s="21"/>
      <c r="N541" s="21"/>
      <c r="O541" s="21"/>
      <c r="P541" s="21">
        <v>500</v>
      </c>
      <c r="Q541" s="21"/>
      <c r="R541" s="21" t="s">
        <v>329</v>
      </c>
      <c r="S541" s="119">
        <f>DATABASE_Table[[#This Row],[Inicial Asking Price (€) (Total)]]-DATABASE_Table[[#This Row],[Vista membership]]-DATABASE_Table[[#This Row],[FF&amp;E]]</f>
        <v>590000</v>
      </c>
      <c r="T541" s="120">
        <v>590000</v>
      </c>
      <c r="U541" s="36">
        <v>3400000</v>
      </c>
      <c r="V541" s="21"/>
      <c r="W541" s="21"/>
      <c r="X541" s="73">
        <f>DATABASE_Table[[#This Row],[Current Asking price( Total)]]-DATABASE_Table[[#This Row],[Vista membership]]-DATABASE_Table[[#This Row],[FF&amp;E]]</f>
        <v>3400000</v>
      </c>
      <c r="Y541" s="37"/>
      <c r="Z541" s="36">
        <v>3400000</v>
      </c>
      <c r="AA541" s="73">
        <f>DATABASE_Table[[#This Row],[Sell price (Total)]]-DATABASE_Table[[#This Row],[FF&amp;E]]-DATABASE_Table[[#This Row],[Vista membership]]</f>
        <v>3400000</v>
      </c>
      <c r="AB541" s="76">
        <v>45279</v>
      </c>
      <c r="AC541" s="76" t="str">
        <f t="shared" si="8"/>
        <v>Q4 2023</v>
      </c>
      <c r="AD541" s="123"/>
      <c r="AE541" s="69">
        <v>46843</v>
      </c>
      <c r="AF541" s="21" t="s">
        <v>57</v>
      </c>
      <c r="AG541" s="21" t="s">
        <v>68</v>
      </c>
      <c r="AH541" s="122" t="s">
        <v>69</v>
      </c>
      <c r="AI541" s="122" t="s">
        <v>70</v>
      </c>
      <c r="AJ541" s="122" t="s">
        <v>71</v>
      </c>
      <c r="AK541" s="122" t="s">
        <v>810</v>
      </c>
      <c r="AL541" s="21" t="s">
        <v>72</v>
      </c>
      <c r="AM541" s="122" t="s">
        <v>66</v>
      </c>
    </row>
    <row r="542" spans="1:39" customFormat="1" ht="15.75" customHeight="1" x14ac:dyDescent="0.3">
      <c r="A542" t="s">
        <v>66</v>
      </c>
      <c r="B542" s="21" t="s">
        <v>767</v>
      </c>
      <c r="C542" s="21" t="s">
        <v>764</v>
      </c>
      <c r="D542" s="117" t="s">
        <v>865</v>
      </c>
      <c r="E542" s="21" t="s">
        <v>67</v>
      </c>
      <c r="F542" s="21" t="s">
        <v>553</v>
      </c>
      <c r="G542" s="21">
        <v>3888</v>
      </c>
      <c r="H542" s="21"/>
      <c r="I542" s="117" t="s">
        <v>325</v>
      </c>
      <c r="J542" s="117" t="s">
        <v>325</v>
      </c>
      <c r="K542" s="118"/>
      <c r="L542" s="21"/>
      <c r="M542" s="21"/>
      <c r="N542" s="21"/>
      <c r="O542" s="21"/>
      <c r="P542" s="21">
        <v>484</v>
      </c>
      <c r="Q542" s="21"/>
      <c r="R542" s="21" t="s">
        <v>329</v>
      </c>
      <c r="S542" s="119">
        <f>DATABASE_Table[[#This Row],[Inicial Asking Price (€) (Total)]]-DATABASE_Table[[#This Row],[Vista membership]]-DATABASE_Table[[#This Row],[FF&amp;E]]</f>
        <v>590000</v>
      </c>
      <c r="T542" s="120">
        <v>590000</v>
      </c>
      <c r="U542" s="36">
        <v>1700000</v>
      </c>
      <c r="V542" s="21"/>
      <c r="W542" s="21"/>
      <c r="X542" s="73">
        <f>DATABASE_Table[[#This Row],[Current Asking price( Total)]]-DATABASE_Table[[#This Row],[Vista membership]]-DATABASE_Table[[#This Row],[FF&amp;E]]</f>
        <v>1700000</v>
      </c>
      <c r="Y542" s="37"/>
      <c r="Z542" s="36">
        <v>1700000</v>
      </c>
      <c r="AA542" s="73">
        <f>DATABASE_Table[[#This Row],[Sell price (Total)]]-DATABASE_Table[[#This Row],[FF&amp;E]]-DATABASE_Table[[#This Row],[Vista membership]]</f>
        <v>1700000</v>
      </c>
      <c r="AB542" s="76">
        <v>45279</v>
      </c>
      <c r="AC542" s="76" t="str">
        <f t="shared" si="8"/>
        <v>Q4 2023</v>
      </c>
      <c r="AD542" s="123"/>
      <c r="AE542" s="69">
        <v>46843</v>
      </c>
      <c r="AF542" s="21" t="s">
        <v>57</v>
      </c>
      <c r="AG542" s="21" t="s">
        <v>68</v>
      </c>
      <c r="AH542" s="122" t="s">
        <v>69</v>
      </c>
      <c r="AI542" s="122" t="s">
        <v>70</v>
      </c>
      <c r="AJ542" s="122" t="s">
        <v>71</v>
      </c>
      <c r="AK542" s="122" t="s">
        <v>810</v>
      </c>
      <c r="AL542" s="21" t="s">
        <v>72</v>
      </c>
      <c r="AM542" s="122" t="s">
        <v>66</v>
      </c>
    </row>
    <row r="543" spans="1:39" customFormat="1" ht="15.75" customHeight="1" x14ac:dyDescent="0.3">
      <c r="A543" t="s">
        <v>66</v>
      </c>
      <c r="B543" s="21" t="s">
        <v>767</v>
      </c>
      <c r="C543" s="21" t="s">
        <v>764</v>
      </c>
      <c r="D543" s="117" t="s">
        <v>866</v>
      </c>
      <c r="E543" s="21" t="s">
        <v>67</v>
      </c>
      <c r="F543" s="21" t="s">
        <v>553</v>
      </c>
      <c r="G543" s="21">
        <v>3718</v>
      </c>
      <c r="H543" s="21"/>
      <c r="I543" s="117" t="s">
        <v>325</v>
      </c>
      <c r="J543" s="117" t="s">
        <v>325</v>
      </c>
      <c r="K543" s="118"/>
      <c r="L543" s="21"/>
      <c r="M543" s="21"/>
      <c r="N543" s="21"/>
      <c r="O543" s="21"/>
      <c r="P543" s="21">
        <v>420</v>
      </c>
      <c r="Q543" s="21"/>
      <c r="R543" s="21" t="s">
        <v>329</v>
      </c>
      <c r="S543" s="119">
        <f>DATABASE_Table[[#This Row],[Inicial Asking Price (€) (Total)]]-DATABASE_Table[[#This Row],[Vista membership]]-DATABASE_Table[[#This Row],[FF&amp;E]]</f>
        <v>590000</v>
      </c>
      <c r="T543" s="120">
        <v>590000</v>
      </c>
      <c r="U543" s="36">
        <v>1500000</v>
      </c>
      <c r="V543" s="21"/>
      <c r="W543" s="21"/>
      <c r="X543" s="73">
        <f>DATABASE_Table[[#This Row],[Current Asking price( Total)]]-DATABASE_Table[[#This Row],[Vista membership]]-DATABASE_Table[[#This Row],[FF&amp;E]]</f>
        <v>1500000</v>
      </c>
      <c r="Y543" s="37"/>
      <c r="Z543" s="36">
        <v>1500000</v>
      </c>
      <c r="AA543" s="73">
        <f>DATABASE_Table[[#This Row],[Sell price (Total)]]-DATABASE_Table[[#This Row],[FF&amp;E]]-DATABASE_Table[[#This Row],[Vista membership]]</f>
        <v>1500000</v>
      </c>
      <c r="AB543" s="76">
        <v>45279</v>
      </c>
      <c r="AC543" s="76" t="str">
        <f t="shared" si="8"/>
        <v>Q4 2023</v>
      </c>
      <c r="AD543" s="123"/>
      <c r="AE543" s="69">
        <v>46843</v>
      </c>
      <c r="AF543" s="21" t="s">
        <v>57</v>
      </c>
      <c r="AG543" s="21" t="s">
        <v>68</v>
      </c>
      <c r="AH543" s="122" t="s">
        <v>69</v>
      </c>
      <c r="AI543" s="122" t="s">
        <v>70</v>
      </c>
      <c r="AJ543" s="122" t="s">
        <v>71</v>
      </c>
      <c r="AK543" s="122" t="s">
        <v>810</v>
      </c>
      <c r="AL543" s="21" t="s">
        <v>72</v>
      </c>
      <c r="AM543" s="122" t="s">
        <v>66</v>
      </c>
    </row>
    <row r="544" spans="1:39" customFormat="1" ht="15.75" customHeight="1" x14ac:dyDescent="0.3">
      <c r="A544" t="s">
        <v>66</v>
      </c>
      <c r="B544" s="21" t="s">
        <v>767</v>
      </c>
      <c r="C544" s="21" t="s">
        <v>764</v>
      </c>
      <c r="D544" s="117" t="s">
        <v>867</v>
      </c>
      <c r="E544" s="21" t="s">
        <v>67</v>
      </c>
      <c r="F544" s="21" t="s">
        <v>553</v>
      </c>
      <c r="G544" s="21">
        <v>4600</v>
      </c>
      <c r="H544" s="21"/>
      <c r="I544" s="117" t="s">
        <v>325</v>
      </c>
      <c r="J544" s="117" t="s">
        <v>325</v>
      </c>
      <c r="K544" s="118"/>
      <c r="L544" s="21"/>
      <c r="M544" s="21"/>
      <c r="N544" s="21"/>
      <c r="O544" s="21"/>
      <c r="P544" s="21">
        <v>420</v>
      </c>
      <c r="Q544" s="21"/>
      <c r="R544" s="21" t="s">
        <v>329</v>
      </c>
      <c r="S544" s="119">
        <f>DATABASE_Table[[#This Row],[Inicial Asking Price (€) (Total)]]-DATABASE_Table[[#This Row],[Vista membership]]-DATABASE_Table[[#This Row],[FF&amp;E]]</f>
        <v>590000</v>
      </c>
      <c r="T544" s="120">
        <v>590000</v>
      </c>
      <c r="U544" s="36">
        <v>1600000</v>
      </c>
      <c r="V544" s="21"/>
      <c r="W544" s="21"/>
      <c r="X544" s="73">
        <f>DATABASE_Table[[#This Row],[Current Asking price( Total)]]-DATABASE_Table[[#This Row],[Vista membership]]-DATABASE_Table[[#This Row],[FF&amp;E]]</f>
        <v>1600000</v>
      </c>
      <c r="Y544" s="37"/>
      <c r="Z544" s="36">
        <v>1600000</v>
      </c>
      <c r="AA544" s="73">
        <f>DATABASE_Table[[#This Row],[Sell price (Total)]]-DATABASE_Table[[#This Row],[FF&amp;E]]-DATABASE_Table[[#This Row],[Vista membership]]</f>
        <v>1600000</v>
      </c>
      <c r="AB544" s="76">
        <v>45279</v>
      </c>
      <c r="AC544" s="76" t="str">
        <f t="shared" si="8"/>
        <v>Q4 2023</v>
      </c>
      <c r="AD544" s="123"/>
      <c r="AE544" s="69">
        <v>46843</v>
      </c>
      <c r="AF544" s="21" t="s">
        <v>57</v>
      </c>
      <c r="AG544" s="21" t="s">
        <v>68</v>
      </c>
      <c r="AH544" s="122" t="s">
        <v>69</v>
      </c>
      <c r="AI544" s="122" t="s">
        <v>70</v>
      </c>
      <c r="AJ544" s="122" t="s">
        <v>71</v>
      </c>
      <c r="AK544" s="122" t="s">
        <v>810</v>
      </c>
      <c r="AL544" s="21" t="s">
        <v>72</v>
      </c>
      <c r="AM544" s="122" t="s">
        <v>66</v>
      </c>
    </row>
    <row r="545" spans="1:39" customFormat="1" ht="15.75" customHeight="1" x14ac:dyDescent="0.3">
      <c r="A545" t="s">
        <v>66</v>
      </c>
      <c r="B545" s="21" t="s">
        <v>767</v>
      </c>
      <c r="C545" s="21" t="s">
        <v>764</v>
      </c>
      <c r="D545" s="117" t="s">
        <v>868</v>
      </c>
      <c r="E545" s="21" t="s">
        <v>67</v>
      </c>
      <c r="F545" s="21" t="s">
        <v>553</v>
      </c>
      <c r="G545" s="21">
        <v>4356</v>
      </c>
      <c r="H545" s="21"/>
      <c r="I545" s="117" t="s">
        <v>325</v>
      </c>
      <c r="J545" s="117" t="s">
        <v>325</v>
      </c>
      <c r="K545" s="118"/>
      <c r="L545" s="21"/>
      <c r="M545" s="21"/>
      <c r="N545" s="21"/>
      <c r="O545" s="21"/>
      <c r="P545" s="21">
        <v>420</v>
      </c>
      <c r="Q545" s="21"/>
      <c r="R545" s="21" t="s">
        <v>329</v>
      </c>
      <c r="S545" s="119">
        <f>DATABASE_Table[[#This Row],[Inicial Asking Price (€) (Total)]]-DATABASE_Table[[#This Row],[Vista membership]]-DATABASE_Table[[#This Row],[FF&amp;E]]</f>
        <v>590000</v>
      </c>
      <c r="T545" s="120">
        <v>590000</v>
      </c>
      <c r="U545" s="36">
        <v>1600000</v>
      </c>
      <c r="V545" s="21"/>
      <c r="W545" s="21"/>
      <c r="X545" s="73">
        <f>DATABASE_Table[[#This Row],[Current Asking price( Total)]]-DATABASE_Table[[#This Row],[Vista membership]]-DATABASE_Table[[#This Row],[FF&amp;E]]</f>
        <v>1600000</v>
      </c>
      <c r="Y545" s="37"/>
      <c r="Z545" s="36">
        <v>1600000</v>
      </c>
      <c r="AA545" s="73">
        <f>DATABASE_Table[[#This Row],[Sell price (Total)]]-DATABASE_Table[[#This Row],[FF&amp;E]]-DATABASE_Table[[#This Row],[Vista membership]]</f>
        <v>1600000</v>
      </c>
      <c r="AB545" s="76">
        <v>45279</v>
      </c>
      <c r="AC545" s="76" t="str">
        <f t="shared" si="8"/>
        <v>Q4 2023</v>
      </c>
      <c r="AD545" s="123"/>
      <c r="AE545" s="69">
        <v>46843</v>
      </c>
      <c r="AF545" s="21" t="s">
        <v>57</v>
      </c>
      <c r="AG545" s="21" t="s">
        <v>68</v>
      </c>
      <c r="AH545" s="122" t="s">
        <v>69</v>
      </c>
      <c r="AI545" s="122" t="s">
        <v>70</v>
      </c>
      <c r="AJ545" s="122" t="s">
        <v>71</v>
      </c>
      <c r="AK545" s="122" t="s">
        <v>810</v>
      </c>
      <c r="AL545" s="21" t="s">
        <v>72</v>
      </c>
      <c r="AM545" s="122" t="s">
        <v>66</v>
      </c>
    </row>
    <row r="546" spans="1:39" customFormat="1" ht="15.75" customHeight="1" x14ac:dyDescent="0.3">
      <c r="A546" t="s">
        <v>66</v>
      </c>
      <c r="B546" s="21" t="s">
        <v>767</v>
      </c>
      <c r="C546" s="21" t="s">
        <v>764</v>
      </c>
      <c r="D546" s="117" t="s">
        <v>877</v>
      </c>
      <c r="E546" s="21" t="s">
        <v>67</v>
      </c>
      <c r="F546" s="21" t="s">
        <v>553</v>
      </c>
      <c r="G546" s="21">
        <v>420</v>
      </c>
      <c r="H546" s="21"/>
      <c r="I546" s="117" t="s">
        <v>325</v>
      </c>
      <c r="J546" s="117" t="s">
        <v>325</v>
      </c>
      <c r="K546" s="118"/>
      <c r="L546" s="21"/>
      <c r="M546" s="21"/>
      <c r="N546" s="21"/>
      <c r="O546" s="21"/>
      <c r="P546" s="21">
        <v>420</v>
      </c>
      <c r="Q546" s="21"/>
      <c r="R546" s="21" t="s">
        <v>329</v>
      </c>
      <c r="S546" s="119">
        <f>DATABASE_Table[[#This Row],[Inicial Asking Price (€) (Total)]]-DATABASE_Table[[#This Row],[Vista membership]]-DATABASE_Table[[#This Row],[FF&amp;E]]</f>
        <v>610000</v>
      </c>
      <c r="T546" s="120">
        <v>610000</v>
      </c>
      <c r="U546" s="36">
        <v>1300000</v>
      </c>
      <c r="V546" s="21"/>
      <c r="W546" s="21"/>
      <c r="X546" s="73">
        <f>DATABASE_Table[[#This Row],[Current Asking price( Total)]]-DATABASE_Table[[#This Row],[Vista membership]]-DATABASE_Table[[#This Row],[FF&amp;E]]</f>
        <v>1300000</v>
      </c>
      <c r="Y546" s="37"/>
      <c r="Z546" s="36">
        <v>1300000</v>
      </c>
      <c r="AA546" s="73">
        <f>DATABASE_Table[[#This Row],[Sell price (Total)]]-DATABASE_Table[[#This Row],[FF&amp;E]]-DATABASE_Table[[#This Row],[Vista membership]]</f>
        <v>1300000</v>
      </c>
      <c r="AB546" s="76">
        <v>45279</v>
      </c>
      <c r="AC546" s="76" t="str">
        <f t="shared" si="8"/>
        <v>Q4 2023</v>
      </c>
      <c r="AD546" s="123"/>
      <c r="AE546" s="69">
        <v>46843</v>
      </c>
      <c r="AF546" s="21" t="s">
        <v>57</v>
      </c>
      <c r="AG546" s="21" t="s">
        <v>68</v>
      </c>
      <c r="AH546" s="122" t="s">
        <v>69</v>
      </c>
      <c r="AI546" s="122" t="s">
        <v>70</v>
      </c>
      <c r="AJ546" s="122" t="s">
        <v>71</v>
      </c>
      <c r="AK546" s="122" t="s">
        <v>810</v>
      </c>
      <c r="AL546" s="21" t="s">
        <v>72</v>
      </c>
      <c r="AM546" s="122" t="s">
        <v>66</v>
      </c>
    </row>
    <row r="547" spans="1:39" customFormat="1" ht="15.75" customHeight="1" x14ac:dyDescent="0.3">
      <c r="A547" t="s">
        <v>66</v>
      </c>
      <c r="B547" s="21" t="s">
        <v>767</v>
      </c>
      <c r="C547" s="21" t="s">
        <v>764</v>
      </c>
      <c r="D547" s="117" t="s">
        <v>878</v>
      </c>
      <c r="E547" s="21" t="s">
        <v>67</v>
      </c>
      <c r="F547" s="21" t="s">
        <v>553</v>
      </c>
      <c r="G547" s="21">
        <v>420</v>
      </c>
      <c r="H547" s="21"/>
      <c r="I547" s="117" t="s">
        <v>325</v>
      </c>
      <c r="J547" s="117" t="s">
        <v>325</v>
      </c>
      <c r="K547" s="118"/>
      <c r="L547" s="21"/>
      <c r="M547" s="21"/>
      <c r="N547" s="21"/>
      <c r="O547" s="21"/>
      <c r="P547" s="21">
        <v>420</v>
      </c>
      <c r="Q547" s="21"/>
      <c r="R547" s="21" t="s">
        <v>329</v>
      </c>
      <c r="S547" s="119">
        <f>DATABASE_Table[[#This Row],[Inicial Asking Price (€) (Total)]]-DATABASE_Table[[#This Row],[Vista membership]]-DATABASE_Table[[#This Row],[FF&amp;E]]</f>
        <v>610000</v>
      </c>
      <c r="T547" s="120">
        <v>610000</v>
      </c>
      <c r="U547" s="36">
        <v>1300000</v>
      </c>
      <c r="V547" s="21"/>
      <c r="W547" s="21"/>
      <c r="X547" s="73">
        <f>DATABASE_Table[[#This Row],[Current Asking price( Total)]]-DATABASE_Table[[#This Row],[Vista membership]]-DATABASE_Table[[#This Row],[FF&amp;E]]</f>
        <v>1300000</v>
      </c>
      <c r="Y547" s="37"/>
      <c r="Z547" s="36">
        <v>1300000</v>
      </c>
      <c r="AA547" s="73">
        <f>DATABASE_Table[[#This Row],[Sell price (Total)]]-DATABASE_Table[[#This Row],[FF&amp;E]]-DATABASE_Table[[#This Row],[Vista membership]]</f>
        <v>1300000</v>
      </c>
      <c r="AB547" s="76">
        <v>45279</v>
      </c>
      <c r="AC547" s="76" t="str">
        <f t="shared" si="8"/>
        <v>Q4 2023</v>
      </c>
      <c r="AD547" s="123"/>
      <c r="AE547" s="69">
        <v>46843</v>
      </c>
      <c r="AF547" s="21" t="s">
        <v>57</v>
      </c>
      <c r="AG547" s="21" t="s">
        <v>68</v>
      </c>
      <c r="AH547" s="122" t="s">
        <v>69</v>
      </c>
      <c r="AI547" s="122" t="s">
        <v>70</v>
      </c>
      <c r="AJ547" s="122" t="s">
        <v>71</v>
      </c>
      <c r="AK547" s="122" t="s">
        <v>810</v>
      </c>
      <c r="AL547" s="21" t="s">
        <v>72</v>
      </c>
      <c r="AM547" s="122" t="s">
        <v>66</v>
      </c>
    </row>
    <row r="548" spans="1:39" customFormat="1" ht="15.75" customHeight="1" x14ac:dyDescent="0.3">
      <c r="A548" t="s">
        <v>66</v>
      </c>
      <c r="B548" s="21" t="s">
        <v>767</v>
      </c>
      <c r="C548" s="21" t="s">
        <v>764</v>
      </c>
      <c r="D548" s="117" t="s">
        <v>869</v>
      </c>
      <c r="E548" s="21" t="s">
        <v>67</v>
      </c>
      <c r="F548" s="21" t="s">
        <v>553</v>
      </c>
      <c r="G548" s="21">
        <v>4991</v>
      </c>
      <c r="H548" s="21"/>
      <c r="I548" s="117" t="s">
        <v>325</v>
      </c>
      <c r="J548" s="117" t="s">
        <v>325</v>
      </c>
      <c r="K548" s="118"/>
      <c r="L548" s="21"/>
      <c r="M548" s="21"/>
      <c r="N548" s="21"/>
      <c r="O548" s="21"/>
      <c r="P548" s="21">
        <v>420</v>
      </c>
      <c r="Q548" s="21"/>
      <c r="R548" s="21" t="s">
        <v>329</v>
      </c>
      <c r="S548" s="119">
        <f>DATABASE_Table[[#This Row],[Inicial Asking Price (€) (Total)]]-DATABASE_Table[[#This Row],[Vista membership]]-DATABASE_Table[[#This Row],[FF&amp;E]]</f>
        <v>660000</v>
      </c>
      <c r="T548" s="120">
        <v>660000</v>
      </c>
      <c r="U548" s="36">
        <v>1700000</v>
      </c>
      <c r="V548" s="21"/>
      <c r="W548" s="21"/>
      <c r="X548" s="73">
        <f>DATABASE_Table[[#This Row],[Current Asking price( Total)]]-DATABASE_Table[[#This Row],[Vista membership]]-DATABASE_Table[[#This Row],[FF&amp;E]]</f>
        <v>1700000</v>
      </c>
      <c r="Y548" s="37"/>
      <c r="Z548" s="36">
        <v>1700000</v>
      </c>
      <c r="AA548" s="73">
        <f>DATABASE_Table[[#This Row],[Sell price (Total)]]-DATABASE_Table[[#This Row],[FF&amp;E]]-DATABASE_Table[[#This Row],[Vista membership]]</f>
        <v>1700000</v>
      </c>
      <c r="AB548" s="76">
        <v>45279</v>
      </c>
      <c r="AC548" s="76" t="str">
        <f t="shared" si="8"/>
        <v>Q4 2023</v>
      </c>
      <c r="AD548" s="123"/>
      <c r="AE548" s="69">
        <v>46843</v>
      </c>
      <c r="AF548" s="21" t="s">
        <v>57</v>
      </c>
      <c r="AG548" s="21" t="s">
        <v>68</v>
      </c>
      <c r="AH548" s="122" t="s">
        <v>69</v>
      </c>
      <c r="AI548" s="122" t="s">
        <v>70</v>
      </c>
      <c r="AJ548" s="122" t="s">
        <v>71</v>
      </c>
      <c r="AK548" s="122" t="s">
        <v>810</v>
      </c>
      <c r="AL548" s="21" t="s">
        <v>72</v>
      </c>
      <c r="AM548" s="122" t="s">
        <v>66</v>
      </c>
    </row>
    <row r="549" spans="1:39" customFormat="1" ht="15.75" customHeight="1" x14ac:dyDescent="0.3">
      <c r="A549" t="s">
        <v>66</v>
      </c>
      <c r="B549" s="21" t="s">
        <v>767</v>
      </c>
      <c r="C549" s="21" t="s">
        <v>764</v>
      </c>
      <c r="D549" s="117" t="s">
        <v>833</v>
      </c>
      <c r="E549" s="21" t="s">
        <v>67</v>
      </c>
      <c r="F549" s="21" t="s">
        <v>553</v>
      </c>
      <c r="G549" s="21">
        <v>2537</v>
      </c>
      <c r="H549" s="21"/>
      <c r="I549" s="117" t="s">
        <v>325</v>
      </c>
      <c r="J549" s="117" t="s">
        <v>325</v>
      </c>
      <c r="K549" s="118"/>
      <c r="L549" s="21"/>
      <c r="M549" s="21"/>
      <c r="N549" s="21"/>
      <c r="O549" s="21"/>
      <c r="P549" s="21">
        <v>340</v>
      </c>
      <c r="Q549" s="21"/>
      <c r="R549" s="21" t="s">
        <v>329</v>
      </c>
      <c r="S549" s="119">
        <f>DATABASE_Table[[#This Row],[Inicial Asking Price (€) (Total)]]-DATABASE_Table[[#This Row],[Vista membership]]-DATABASE_Table[[#This Row],[FF&amp;E]]</f>
        <v>760000</v>
      </c>
      <c r="T549" s="120">
        <v>760000</v>
      </c>
      <c r="U549" s="36">
        <v>1100000</v>
      </c>
      <c r="V549" s="21"/>
      <c r="W549" s="21"/>
      <c r="X549" s="73">
        <f>DATABASE_Table[[#This Row],[Current Asking price( Total)]]-DATABASE_Table[[#This Row],[Vista membership]]-DATABASE_Table[[#This Row],[FF&amp;E]]</f>
        <v>1100000</v>
      </c>
      <c r="Y549" s="37"/>
      <c r="Z549" s="36">
        <v>1100000</v>
      </c>
      <c r="AA549" s="73">
        <f>DATABASE_Table[[#This Row],[Sell price (Total)]]-DATABASE_Table[[#This Row],[FF&amp;E]]-DATABASE_Table[[#This Row],[Vista membership]]</f>
        <v>1100000</v>
      </c>
      <c r="AB549" s="76">
        <v>45279</v>
      </c>
      <c r="AC549" s="76" t="str">
        <f t="shared" si="8"/>
        <v>Q4 2023</v>
      </c>
      <c r="AD549" s="123"/>
      <c r="AE549" s="69">
        <v>46843</v>
      </c>
      <c r="AF549" s="21" t="s">
        <v>57</v>
      </c>
      <c r="AG549" s="21" t="s">
        <v>68</v>
      </c>
      <c r="AH549" s="122" t="s">
        <v>69</v>
      </c>
      <c r="AI549" s="122" t="s">
        <v>70</v>
      </c>
      <c r="AJ549" s="122" t="s">
        <v>71</v>
      </c>
      <c r="AK549" s="122" t="s">
        <v>810</v>
      </c>
      <c r="AL549" s="21" t="s">
        <v>72</v>
      </c>
      <c r="AM549" s="122" t="s">
        <v>66</v>
      </c>
    </row>
    <row r="550" spans="1:39" customFormat="1" ht="15.75" customHeight="1" x14ac:dyDescent="0.3">
      <c r="A550" t="s">
        <v>66</v>
      </c>
      <c r="B550" s="21" t="s">
        <v>767</v>
      </c>
      <c r="C550" s="21" t="s">
        <v>764</v>
      </c>
      <c r="D550" s="117" t="s">
        <v>851</v>
      </c>
      <c r="E550" s="21" t="s">
        <v>67</v>
      </c>
      <c r="F550" s="21" t="s">
        <v>553</v>
      </c>
      <c r="G550" s="21">
        <v>2605</v>
      </c>
      <c r="H550" s="21"/>
      <c r="I550" s="117" t="s">
        <v>325</v>
      </c>
      <c r="J550" s="117" t="s">
        <v>325</v>
      </c>
      <c r="K550" s="118"/>
      <c r="L550" s="21"/>
      <c r="M550" s="21"/>
      <c r="N550" s="21"/>
      <c r="O550" s="21"/>
      <c r="P550" s="21">
        <v>420</v>
      </c>
      <c r="Q550" s="21"/>
      <c r="R550" s="21" t="s">
        <v>329</v>
      </c>
      <c r="S550" s="119">
        <f>DATABASE_Table[[#This Row],[Inicial Asking Price (€) (Total)]]-DATABASE_Table[[#This Row],[Vista membership]]-DATABASE_Table[[#This Row],[FF&amp;E]]</f>
        <v>790000</v>
      </c>
      <c r="T550" s="120">
        <v>790000</v>
      </c>
      <c r="U550" s="36">
        <v>1950000</v>
      </c>
      <c r="V550" s="21"/>
      <c r="W550" s="21"/>
      <c r="X550" s="73">
        <f>DATABASE_Table[[#This Row],[Current Asking price( Total)]]-DATABASE_Table[[#This Row],[Vista membership]]-DATABASE_Table[[#This Row],[FF&amp;E]]</f>
        <v>1950000</v>
      </c>
      <c r="Y550" s="37"/>
      <c r="Z550" s="36">
        <v>1950000</v>
      </c>
      <c r="AA550" s="73">
        <f>DATABASE_Table[[#This Row],[Sell price (Total)]]-DATABASE_Table[[#This Row],[FF&amp;E]]-DATABASE_Table[[#This Row],[Vista membership]]</f>
        <v>1950000</v>
      </c>
      <c r="AB550" s="76">
        <v>45279</v>
      </c>
      <c r="AC550" s="76" t="str">
        <f t="shared" si="8"/>
        <v>Q4 2023</v>
      </c>
      <c r="AD550" s="123"/>
      <c r="AE550" s="69">
        <v>46843</v>
      </c>
      <c r="AF550" s="21" t="s">
        <v>57</v>
      </c>
      <c r="AG550" s="21" t="s">
        <v>68</v>
      </c>
      <c r="AH550" s="122" t="s">
        <v>69</v>
      </c>
      <c r="AI550" s="122" t="s">
        <v>70</v>
      </c>
      <c r="AJ550" s="122" t="s">
        <v>71</v>
      </c>
      <c r="AK550" s="122" t="s">
        <v>810</v>
      </c>
      <c r="AL550" s="21" t="s">
        <v>72</v>
      </c>
      <c r="AM550" s="122" t="s">
        <v>66</v>
      </c>
    </row>
    <row r="551" spans="1:39" customFormat="1" ht="15.75" customHeight="1" x14ac:dyDescent="0.3">
      <c r="A551" t="s">
        <v>66</v>
      </c>
      <c r="B551" s="21" t="s">
        <v>767</v>
      </c>
      <c r="C551" s="21" t="s">
        <v>764</v>
      </c>
      <c r="D551" s="117" t="s">
        <v>832</v>
      </c>
      <c r="E551" s="21" t="s">
        <v>67</v>
      </c>
      <c r="F551" s="21" t="s">
        <v>553</v>
      </c>
      <c r="G551" s="21">
        <v>2899</v>
      </c>
      <c r="H551" s="21"/>
      <c r="I551" s="117" t="s">
        <v>325</v>
      </c>
      <c r="J551" s="117" t="s">
        <v>325</v>
      </c>
      <c r="K551" s="118"/>
      <c r="L551" s="21"/>
      <c r="M551" s="21"/>
      <c r="N551" s="21"/>
      <c r="O551" s="21"/>
      <c r="P551" s="21">
        <v>340</v>
      </c>
      <c r="Q551" s="21"/>
      <c r="R551" s="21" t="s">
        <v>329</v>
      </c>
      <c r="S551" s="119">
        <f>DATABASE_Table[[#This Row],[Inicial Asking Price (€) (Total)]]-DATABASE_Table[[#This Row],[Vista membership]]-DATABASE_Table[[#This Row],[FF&amp;E]]</f>
        <v>790000</v>
      </c>
      <c r="T551" s="120">
        <v>790000</v>
      </c>
      <c r="U551" s="36">
        <v>1100000</v>
      </c>
      <c r="V551" s="21"/>
      <c r="W551" s="21"/>
      <c r="X551" s="73">
        <f>DATABASE_Table[[#This Row],[Current Asking price( Total)]]-DATABASE_Table[[#This Row],[Vista membership]]-DATABASE_Table[[#This Row],[FF&amp;E]]</f>
        <v>1100000</v>
      </c>
      <c r="Y551" s="37"/>
      <c r="Z551" s="36">
        <v>1100000</v>
      </c>
      <c r="AA551" s="73">
        <f>DATABASE_Table[[#This Row],[Sell price (Total)]]-DATABASE_Table[[#This Row],[FF&amp;E]]-DATABASE_Table[[#This Row],[Vista membership]]</f>
        <v>1100000</v>
      </c>
      <c r="AB551" s="76">
        <v>45279</v>
      </c>
      <c r="AC551" s="76" t="str">
        <f t="shared" si="8"/>
        <v>Q4 2023</v>
      </c>
      <c r="AD551" s="123"/>
      <c r="AE551" s="69">
        <v>46843</v>
      </c>
      <c r="AF551" s="21" t="s">
        <v>57</v>
      </c>
      <c r="AG551" s="21" t="s">
        <v>68</v>
      </c>
      <c r="AH551" s="122" t="s">
        <v>69</v>
      </c>
      <c r="AI551" s="122" t="s">
        <v>70</v>
      </c>
      <c r="AJ551" s="122" t="s">
        <v>71</v>
      </c>
      <c r="AK551" s="122" t="s">
        <v>810</v>
      </c>
      <c r="AL551" s="21" t="s">
        <v>72</v>
      </c>
      <c r="AM551" s="122" t="s">
        <v>66</v>
      </c>
    </row>
    <row r="552" spans="1:39" customFormat="1" ht="15.75" customHeight="1" x14ac:dyDescent="0.3">
      <c r="A552" t="s">
        <v>66</v>
      </c>
      <c r="B552" s="21" t="s">
        <v>767</v>
      </c>
      <c r="C552" s="21" t="s">
        <v>764</v>
      </c>
      <c r="D552" s="117" t="s">
        <v>858</v>
      </c>
      <c r="E552" s="21" t="s">
        <v>67</v>
      </c>
      <c r="F552" s="21" t="s">
        <v>553</v>
      </c>
      <c r="G552" s="21">
        <v>3322</v>
      </c>
      <c r="H552" s="21"/>
      <c r="I552" s="117" t="s">
        <v>325</v>
      </c>
      <c r="J552" s="117" t="s">
        <v>325</v>
      </c>
      <c r="K552" s="118"/>
      <c r="L552" s="21"/>
      <c r="M552" s="21"/>
      <c r="N552" s="21"/>
      <c r="O552" s="21"/>
      <c r="P552" s="21">
        <v>420</v>
      </c>
      <c r="Q552" s="21"/>
      <c r="R552" s="21" t="s">
        <v>329</v>
      </c>
      <c r="S552" s="119">
        <f>DATABASE_Table[[#This Row],[Inicial Asking Price (€) (Total)]]-DATABASE_Table[[#This Row],[Vista membership]]-DATABASE_Table[[#This Row],[FF&amp;E]]</f>
        <v>810000</v>
      </c>
      <c r="T552" s="120">
        <v>810000</v>
      </c>
      <c r="U552" s="36">
        <v>1700000</v>
      </c>
      <c r="V552" s="21"/>
      <c r="W552" s="21"/>
      <c r="X552" s="73">
        <f>DATABASE_Table[[#This Row],[Current Asking price( Total)]]-DATABASE_Table[[#This Row],[Vista membership]]-DATABASE_Table[[#This Row],[FF&amp;E]]</f>
        <v>1700000</v>
      </c>
      <c r="Y552" s="37"/>
      <c r="Z552" s="36">
        <v>1700000</v>
      </c>
      <c r="AA552" s="73">
        <f>DATABASE_Table[[#This Row],[Sell price (Total)]]-DATABASE_Table[[#This Row],[FF&amp;E]]-DATABASE_Table[[#This Row],[Vista membership]]</f>
        <v>1700000</v>
      </c>
      <c r="AB552" s="76">
        <v>45279</v>
      </c>
      <c r="AC552" s="76" t="str">
        <f t="shared" si="8"/>
        <v>Q4 2023</v>
      </c>
      <c r="AD552" s="123"/>
      <c r="AE552" s="69">
        <v>46843</v>
      </c>
      <c r="AF552" s="21" t="s">
        <v>57</v>
      </c>
      <c r="AG552" s="21" t="s">
        <v>68</v>
      </c>
      <c r="AH552" s="122" t="s">
        <v>69</v>
      </c>
      <c r="AI552" s="122" t="s">
        <v>70</v>
      </c>
      <c r="AJ552" s="122" t="s">
        <v>71</v>
      </c>
      <c r="AK552" s="122" t="s">
        <v>810</v>
      </c>
      <c r="AL552" s="21" t="s">
        <v>72</v>
      </c>
      <c r="AM552" s="122" t="s">
        <v>66</v>
      </c>
    </row>
    <row r="553" spans="1:39" customFormat="1" ht="15.75" customHeight="1" x14ac:dyDescent="0.3">
      <c r="A553" t="s">
        <v>66</v>
      </c>
      <c r="B553" s="21" t="s">
        <v>767</v>
      </c>
      <c r="C553" s="21" t="s">
        <v>764</v>
      </c>
      <c r="D553" s="117" t="s">
        <v>859</v>
      </c>
      <c r="E553" s="21" t="s">
        <v>67</v>
      </c>
      <c r="F553" s="21" t="s">
        <v>553</v>
      </c>
      <c r="G553" s="21">
        <v>3311</v>
      </c>
      <c r="H553" s="21"/>
      <c r="I553" s="117" t="s">
        <v>325</v>
      </c>
      <c r="J553" s="117" t="s">
        <v>325</v>
      </c>
      <c r="K553" s="118"/>
      <c r="L553" s="21"/>
      <c r="M553" s="21"/>
      <c r="N553" s="21"/>
      <c r="O553" s="21"/>
      <c r="P553" s="21">
        <v>420</v>
      </c>
      <c r="Q553" s="21"/>
      <c r="R553" s="21" t="s">
        <v>329</v>
      </c>
      <c r="S553" s="119">
        <f>DATABASE_Table[[#This Row],[Inicial Asking Price (€) (Total)]]-DATABASE_Table[[#This Row],[Vista membership]]-DATABASE_Table[[#This Row],[FF&amp;E]]</f>
        <v>810000</v>
      </c>
      <c r="T553" s="120">
        <v>810000</v>
      </c>
      <c r="U553" s="36">
        <v>1650000</v>
      </c>
      <c r="V553" s="21"/>
      <c r="W553" s="21"/>
      <c r="X553" s="73">
        <f>DATABASE_Table[[#This Row],[Current Asking price( Total)]]-DATABASE_Table[[#This Row],[Vista membership]]-DATABASE_Table[[#This Row],[FF&amp;E]]</f>
        <v>1650000</v>
      </c>
      <c r="Y553" s="37"/>
      <c r="Z553" s="36">
        <v>1650000</v>
      </c>
      <c r="AA553" s="73">
        <f>DATABASE_Table[[#This Row],[Sell price (Total)]]-DATABASE_Table[[#This Row],[FF&amp;E]]-DATABASE_Table[[#This Row],[Vista membership]]</f>
        <v>1650000</v>
      </c>
      <c r="AB553" s="76">
        <v>45279</v>
      </c>
      <c r="AC553" s="76" t="str">
        <f t="shared" si="8"/>
        <v>Q4 2023</v>
      </c>
      <c r="AD553" s="123"/>
      <c r="AE553" s="69">
        <v>46843</v>
      </c>
      <c r="AF553" s="21" t="s">
        <v>57</v>
      </c>
      <c r="AG553" s="21" t="s">
        <v>68</v>
      </c>
      <c r="AH553" s="122" t="s">
        <v>69</v>
      </c>
      <c r="AI553" s="122" t="s">
        <v>70</v>
      </c>
      <c r="AJ553" s="122" t="s">
        <v>71</v>
      </c>
      <c r="AK553" s="122" t="s">
        <v>810</v>
      </c>
      <c r="AL553" s="21" t="s">
        <v>72</v>
      </c>
      <c r="AM553" s="122" t="s">
        <v>66</v>
      </c>
    </row>
    <row r="554" spans="1:39" customFormat="1" ht="15.75" customHeight="1" x14ac:dyDescent="0.3">
      <c r="A554" t="s">
        <v>66</v>
      </c>
      <c r="B554" s="21" t="s">
        <v>767</v>
      </c>
      <c r="C554" s="21" t="s">
        <v>764</v>
      </c>
      <c r="D554" s="117" t="s">
        <v>829</v>
      </c>
      <c r="E554" s="21" t="s">
        <v>67</v>
      </c>
      <c r="F554" s="21" t="s">
        <v>553</v>
      </c>
      <c r="G554" s="21">
        <v>2821</v>
      </c>
      <c r="H554" s="21"/>
      <c r="I554" s="117" t="s">
        <v>325</v>
      </c>
      <c r="J554" s="117" t="s">
        <v>325</v>
      </c>
      <c r="K554" s="118"/>
      <c r="L554" s="21"/>
      <c r="M554" s="21"/>
      <c r="N554" s="21"/>
      <c r="O554" s="21"/>
      <c r="P554" s="21">
        <v>420</v>
      </c>
      <c r="Q554" s="21"/>
      <c r="R554" s="21" t="s">
        <v>329</v>
      </c>
      <c r="S554" s="119">
        <f>DATABASE_Table[[#This Row],[Inicial Asking Price (€) (Total)]]-DATABASE_Table[[#This Row],[Vista membership]]-DATABASE_Table[[#This Row],[FF&amp;E]]</f>
        <v>820000</v>
      </c>
      <c r="T554" s="120">
        <v>820000</v>
      </c>
      <c r="U554" s="36">
        <v>1950000</v>
      </c>
      <c r="V554" s="21"/>
      <c r="W554" s="21"/>
      <c r="X554" s="73">
        <f>DATABASE_Table[[#This Row],[Current Asking price( Total)]]-DATABASE_Table[[#This Row],[Vista membership]]-DATABASE_Table[[#This Row],[FF&amp;E]]</f>
        <v>1950000</v>
      </c>
      <c r="Y554" s="37"/>
      <c r="Z554" s="36">
        <v>1950000</v>
      </c>
      <c r="AA554" s="73">
        <f>DATABASE_Table[[#This Row],[Sell price (Total)]]-DATABASE_Table[[#This Row],[FF&amp;E]]-DATABASE_Table[[#This Row],[Vista membership]]</f>
        <v>1950000</v>
      </c>
      <c r="AB554" s="76">
        <v>45279</v>
      </c>
      <c r="AC554" s="76" t="str">
        <f t="shared" si="8"/>
        <v>Q4 2023</v>
      </c>
      <c r="AD554" s="123"/>
      <c r="AE554" s="69">
        <v>46843</v>
      </c>
      <c r="AF554" s="21" t="s">
        <v>57</v>
      </c>
      <c r="AG554" s="21" t="s">
        <v>68</v>
      </c>
      <c r="AH554" s="122" t="s">
        <v>69</v>
      </c>
      <c r="AI554" s="122" t="s">
        <v>70</v>
      </c>
      <c r="AJ554" s="122" t="s">
        <v>71</v>
      </c>
      <c r="AK554" s="122" t="s">
        <v>810</v>
      </c>
      <c r="AL554" s="21" t="s">
        <v>72</v>
      </c>
      <c r="AM554" s="122" t="s">
        <v>66</v>
      </c>
    </row>
    <row r="555" spans="1:39" customFormat="1" ht="15.75" customHeight="1" x14ac:dyDescent="0.3">
      <c r="A555" t="s">
        <v>66</v>
      </c>
      <c r="B555" s="21" t="s">
        <v>767</v>
      </c>
      <c r="C555" s="21" t="s">
        <v>764</v>
      </c>
      <c r="D555" s="117" t="s">
        <v>839</v>
      </c>
      <c r="E555" s="21" t="s">
        <v>67</v>
      </c>
      <c r="F555" s="21" t="s">
        <v>553</v>
      </c>
      <c r="G555" s="21">
        <v>2664</v>
      </c>
      <c r="H555" s="21"/>
      <c r="I555" s="117" t="s">
        <v>325</v>
      </c>
      <c r="J555" s="117" t="s">
        <v>325</v>
      </c>
      <c r="K555" s="118"/>
      <c r="L555" s="21"/>
      <c r="M555" s="21"/>
      <c r="N555" s="21"/>
      <c r="O555" s="21"/>
      <c r="P555" s="21">
        <v>420</v>
      </c>
      <c r="Q555" s="21"/>
      <c r="R555" s="21" t="s">
        <v>329</v>
      </c>
      <c r="S555" s="119">
        <f>DATABASE_Table[[#This Row],[Inicial Asking Price (€) (Total)]]-DATABASE_Table[[#This Row],[Vista membership]]-DATABASE_Table[[#This Row],[FF&amp;E]]</f>
        <v>830000</v>
      </c>
      <c r="T555" s="120">
        <v>830000</v>
      </c>
      <c r="U555" s="36">
        <v>1750000</v>
      </c>
      <c r="V555" s="21"/>
      <c r="W555" s="21"/>
      <c r="X555" s="73">
        <f>DATABASE_Table[[#This Row],[Current Asking price( Total)]]-DATABASE_Table[[#This Row],[Vista membership]]-DATABASE_Table[[#This Row],[FF&amp;E]]</f>
        <v>1750000</v>
      </c>
      <c r="Y555" s="37"/>
      <c r="Z555" s="36">
        <v>1750000</v>
      </c>
      <c r="AA555" s="73">
        <f>DATABASE_Table[[#This Row],[Sell price (Total)]]-DATABASE_Table[[#This Row],[FF&amp;E]]-DATABASE_Table[[#This Row],[Vista membership]]</f>
        <v>1750000</v>
      </c>
      <c r="AB555" s="76">
        <v>45279</v>
      </c>
      <c r="AC555" s="76" t="str">
        <f t="shared" si="8"/>
        <v>Q4 2023</v>
      </c>
      <c r="AD555" s="123"/>
      <c r="AE555" s="69">
        <v>46843</v>
      </c>
      <c r="AF555" s="21" t="s">
        <v>57</v>
      </c>
      <c r="AG555" s="21" t="s">
        <v>68</v>
      </c>
      <c r="AH555" s="122" t="s">
        <v>69</v>
      </c>
      <c r="AI555" s="122" t="s">
        <v>70</v>
      </c>
      <c r="AJ555" s="122" t="s">
        <v>71</v>
      </c>
      <c r="AK555" s="122" t="s">
        <v>810</v>
      </c>
      <c r="AL555" s="21" t="s">
        <v>72</v>
      </c>
      <c r="AM555" s="122" t="s">
        <v>66</v>
      </c>
    </row>
    <row r="556" spans="1:39" customFormat="1" ht="15.75" customHeight="1" x14ac:dyDescent="0.3">
      <c r="A556" t="s">
        <v>66</v>
      </c>
      <c r="B556" s="21" t="s">
        <v>767</v>
      </c>
      <c r="C556" s="21" t="s">
        <v>764</v>
      </c>
      <c r="D556" s="117" t="s">
        <v>860</v>
      </c>
      <c r="E556" s="21" t="s">
        <v>67</v>
      </c>
      <c r="F556" s="21" t="s">
        <v>553</v>
      </c>
      <c r="G556" s="21">
        <v>3489</v>
      </c>
      <c r="H556" s="21"/>
      <c r="I556" s="117" t="s">
        <v>325</v>
      </c>
      <c r="J556" s="117" t="s">
        <v>325</v>
      </c>
      <c r="K556" s="118"/>
      <c r="L556" s="21"/>
      <c r="M556" s="21"/>
      <c r="N556" s="21"/>
      <c r="O556" s="21"/>
      <c r="P556" s="21">
        <v>420</v>
      </c>
      <c r="Q556" s="21"/>
      <c r="R556" s="21" t="s">
        <v>329</v>
      </c>
      <c r="S556" s="119">
        <f>DATABASE_Table[[#This Row],[Inicial Asking Price (€) (Total)]]-DATABASE_Table[[#This Row],[Vista membership]]-DATABASE_Table[[#This Row],[FF&amp;E]]</f>
        <v>850000</v>
      </c>
      <c r="T556" s="120">
        <v>850000</v>
      </c>
      <c r="U556" s="36">
        <v>1650000</v>
      </c>
      <c r="V556" s="21"/>
      <c r="W556" s="21"/>
      <c r="X556" s="73">
        <f>DATABASE_Table[[#This Row],[Current Asking price( Total)]]-DATABASE_Table[[#This Row],[Vista membership]]-DATABASE_Table[[#This Row],[FF&amp;E]]</f>
        <v>1650000</v>
      </c>
      <c r="Y556" s="37"/>
      <c r="Z556" s="36">
        <v>1650000</v>
      </c>
      <c r="AA556" s="73">
        <f>DATABASE_Table[[#This Row],[Sell price (Total)]]-DATABASE_Table[[#This Row],[FF&amp;E]]-DATABASE_Table[[#This Row],[Vista membership]]</f>
        <v>1650000</v>
      </c>
      <c r="AB556" s="76">
        <v>45279</v>
      </c>
      <c r="AC556" s="76" t="str">
        <f t="shared" si="8"/>
        <v>Q4 2023</v>
      </c>
      <c r="AD556" s="123"/>
      <c r="AE556" s="69">
        <v>46843</v>
      </c>
      <c r="AF556" s="21" t="s">
        <v>57</v>
      </c>
      <c r="AG556" s="21" t="s">
        <v>68</v>
      </c>
      <c r="AH556" s="122" t="s">
        <v>69</v>
      </c>
      <c r="AI556" s="122" t="s">
        <v>70</v>
      </c>
      <c r="AJ556" s="122" t="s">
        <v>71</v>
      </c>
      <c r="AK556" s="122" t="s">
        <v>810</v>
      </c>
      <c r="AL556" s="21" t="s">
        <v>72</v>
      </c>
      <c r="AM556" s="122" t="s">
        <v>66</v>
      </c>
    </row>
    <row r="557" spans="1:39" customFormat="1" ht="15.75" customHeight="1" x14ac:dyDescent="0.3">
      <c r="A557" t="s">
        <v>66</v>
      </c>
      <c r="B557" s="21" t="s">
        <v>767</v>
      </c>
      <c r="C557" s="21" t="s">
        <v>764</v>
      </c>
      <c r="D557" s="117" t="s">
        <v>830</v>
      </c>
      <c r="E557" s="21" t="s">
        <v>67</v>
      </c>
      <c r="F557" s="21" t="s">
        <v>553</v>
      </c>
      <c r="G557" s="21">
        <v>3383</v>
      </c>
      <c r="H557" s="21"/>
      <c r="I557" s="117" t="s">
        <v>325</v>
      </c>
      <c r="J557" s="117" t="s">
        <v>325</v>
      </c>
      <c r="K557" s="118"/>
      <c r="L557" s="21"/>
      <c r="M557" s="21"/>
      <c r="N557" s="21"/>
      <c r="O557" s="21"/>
      <c r="P557" s="21">
        <v>420</v>
      </c>
      <c r="Q557" s="21"/>
      <c r="R557" s="21" t="s">
        <v>329</v>
      </c>
      <c r="S557" s="119">
        <f>DATABASE_Table[[#This Row],[Inicial Asking Price (€) (Total)]]-DATABASE_Table[[#This Row],[Vista membership]]-DATABASE_Table[[#This Row],[FF&amp;E]]</f>
        <v>860000</v>
      </c>
      <c r="T557" s="120">
        <v>860000</v>
      </c>
      <c r="U557" s="36">
        <v>1950000</v>
      </c>
      <c r="V557" s="21"/>
      <c r="W557" s="21"/>
      <c r="X557" s="73">
        <f>DATABASE_Table[[#This Row],[Current Asking price( Total)]]-DATABASE_Table[[#This Row],[Vista membership]]-DATABASE_Table[[#This Row],[FF&amp;E]]</f>
        <v>1950000</v>
      </c>
      <c r="Y557" s="37"/>
      <c r="Z557" s="36">
        <v>1950000</v>
      </c>
      <c r="AA557" s="73">
        <f>DATABASE_Table[[#This Row],[Sell price (Total)]]-DATABASE_Table[[#This Row],[FF&amp;E]]-DATABASE_Table[[#This Row],[Vista membership]]</f>
        <v>1950000</v>
      </c>
      <c r="AB557" s="76">
        <v>45279</v>
      </c>
      <c r="AC557" s="76" t="str">
        <f t="shared" si="8"/>
        <v>Q4 2023</v>
      </c>
      <c r="AD557" s="123"/>
      <c r="AE557" s="69">
        <v>46843</v>
      </c>
      <c r="AF557" s="21" t="s">
        <v>57</v>
      </c>
      <c r="AG557" s="21" t="s">
        <v>68</v>
      </c>
      <c r="AH557" s="122" t="s">
        <v>69</v>
      </c>
      <c r="AI557" s="122" t="s">
        <v>70</v>
      </c>
      <c r="AJ557" s="122" t="s">
        <v>71</v>
      </c>
      <c r="AK557" s="122" t="s">
        <v>810</v>
      </c>
      <c r="AL557" s="21" t="s">
        <v>72</v>
      </c>
      <c r="AM557" s="122" t="s">
        <v>66</v>
      </c>
    </row>
    <row r="558" spans="1:39" customFormat="1" ht="15.75" customHeight="1" x14ac:dyDescent="0.3">
      <c r="A558" t="s">
        <v>66</v>
      </c>
      <c r="B558" s="21" t="s">
        <v>767</v>
      </c>
      <c r="C558" s="21" t="s">
        <v>764</v>
      </c>
      <c r="D558" s="117" t="s">
        <v>834</v>
      </c>
      <c r="E558" s="21" t="s">
        <v>67</v>
      </c>
      <c r="F558" s="21" t="s">
        <v>553</v>
      </c>
      <c r="G558" s="21">
        <v>2571</v>
      </c>
      <c r="H558" s="21"/>
      <c r="I558" s="117" t="s">
        <v>325</v>
      </c>
      <c r="J558" s="117" t="s">
        <v>325</v>
      </c>
      <c r="K558" s="118"/>
      <c r="L558" s="21"/>
      <c r="M558" s="21"/>
      <c r="N558" s="21"/>
      <c r="O558" s="21"/>
      <c r="P558" s="21">
        <v>340</v>
      </c>
      <c r="Q558" s="21"/>
      <c r="R558" s="21" t="s">
        <v>329</v>
      </c>
      <c r="S558" s="119">
        <f>DATABASE_Table[[#This Row],[Inicial Asking Price (€) (Total)]]-DATABASE_Table[[#This Row],[Vista membership]]-DATABASE_Table[[#This Row],[FF&amp;E]]</f>
        <v>930000</v>
      </c>
      <c r="T558" s="120">
        <v>930000</v>
      </c>
      <c r="U558" s="36">
        <v>1100000</v>
      </c>
      <c r="V558" s="21"/>
      <c r="W558" s="21"/>
      <c r="X558" s="73">
        <f>DATABASE_Table[[#This Row],[Current Asking price( Total)]]-DATABASE_Table[[#This Row],[Vista membership]]-DATABASE_Table[[#This Row],[FF&amp;E]]</f>
        <v>1100000</v>
      </c>
      <c r="Y558" s="37"/>
      <c r="Z558" s="36">
        <v>1100000</v>
      </c>
      <c r="AA558" s="73">
        <f>DATABASE_Table[[#This Row],[Sell price (Total)]]-DATABASE_Table[[#This Row],[FF&amp;E]]-DATABASE_Table[[#This Row],[Vista membership]]</f>
        <v>1100000</v>
      </c>
      <c r="AB558" s="76">
        <v>45279</v>
      </c>
      <c r="AC558" s="76" t="str">
        <f t="shared" si="8"/>
        <v>Q4 2023</v>
      </c>
      <c r="AD558" s="123"/>
      <c r="AE558" s="69">
        <v>46843</v>
      </c>
      <c r="AF558" s="21" t="s">
        <v>57</v>
      </c>
      <c r="AG558" s="21" t="s">
        <v>68</v>
      </c>
      <c r="AH558" s="122" t="s">
        <v>69</v>
      </c>
      <c r="AI558" s="122" t="s">
        <v>70</v>
      </c>
      <c r="AJ558" s="122" t="s">
        <v>71</v>
      </c>
      <c r="AK558" s="122" t="s">
        <v>810</v>
      </c>
      <c r="AL558" s="21" t="s">
        <v>72</v>
      </c>
      <c r="AM558" s="122" t="s">
        <v>66</v>
      </c>
    </row>
    <row r="559" spans="1:39" customFormat="1" ht="15.75" customHeight="1" x14ac:dyDescent="0.3">
      <c r="A559" t="s">
        <v>66</v>
      </c>
      <c r="B559" s="21" t="s">
        <v>767</v>
      </c>
      <c r="C559" s="21" t="s">
        <v>764</v>
      </c>
      <c r="D559" s="117" t="s">
        <v>835</v>
      </c>
      <c r="E559" s="21" t="s">
        <v>67</v>
      </c>
      <c r="F559" s="21" t="s">
        <v>553</v>
      </c>
      <c r="G559" s="21">
        <v>2404</v>
      </c>
      <c r="H559" s="21"/>
      <c r="I559" s="117" t="s">
        <v>325</v>
      </c>
      <c r="J559" s="117" t="s">
        <v>325</v>
      </c>
      <c r="K559" s="118"/>
      <c r="L559" s="21"/>
      <c r="M559" s="21"/>
      <c r="N559" s="21"/>
      <c r="O559" s="21"/>
      <c r="P559" s="21">
        <v>340</v>
      </c>
      <c r="Q559" s="21"/>
      <c r="R559" s="21" t="s">
        <v>329</v>
      </c>
      <c r="S559" s="119">
        <f>DATABASE_Table[[#This Row],[Inicial Asking Price (€) (Total)]]-DATABASE_Table[[#This Row],[Vista membership]]-DATABASE_Table[[#This Row],[FF&amp;E]]</f>
        <v>940000</v>
      </c>
      <c r="T559" s="120">
        <v>940000</v>
      </c>
      <c r="U559" s="36">
        <v>1150000</v>
      </c>
      <c r="V559" s="21"/>
      <c r="W559" s="21"/>
      <c r="X559" s="73">
        <f>DATABASE_Table[[#This Row],[Current Asking price( Total)]]-DATABASE_Table[[#This Row],[Vista membership]]-DATABASE_Table[[#This Row],[FF&amp;E]]</f>
        <v>1150000</v>
      </c>
      <c r="Y559" s="37"/>
      <c r="Z559" s="36">
        <v>1150000</v>
      </c>
      <c r="AA559" s="73">
        <f>DATABASE_Table[[#This Row],[Sell price (Total)]]-DATABASE_Table[[#This Row],[FF&amp;E]]-DATABASE_Table[[#This Row],[Vista membership]]</f>
        <v>1150000</v>
      </c>
      <c r="AB559" s="76">
        <v>45279</v>
      </c>
      <c r="AC559" s="76" t="str">
        <f t="shared" si="8"/>
        <v>Q4 2023</v>
      </c>
      <c r="AD559" s="123"/>
      <c r="AE559" s="69">
        <v>46843</v>
      </c>
      <c r="AF559" s="21" t="s">
        <v>57</v>
      </c>
      <c r="AG559" s="21" t="s">
        <v>68</v>
      </c>
      <c r="AH559" s="122" t="s">
        <v>69</v>
      </c>
      <c r="AI559" s="122" t="s">
        <v>70</v>
      </c>
      <c r="AJ559" s="122" t="s">
        <v>71</v>
      </c>
      <c r="AK559" s="122" t="s">
        <v>810</v>
      </c>
      <c r="AL559" s="21" t="s">
        <v>72</v>
      </c>
      <c r="AM559" s="122" t="s">
        <v>66</v>
      </c>
    </row>
    <row r="560" spans="1:39" customFormat="1" ht="15.75" customHeight="1" x14ac:dyDescent="0.3">
      <c r="A560" t="s">
        <v>66</v>
      </c>
      <c r="B560" s="21" t="s">
        <v>767</v>
      </c>
      <c r="C560" s="21" t="s">
        <v>764</v>
      </c>
      <c r="D560" s="117" t="s">
        <v>838</v>
      </c>
      <c r="E560" s="21" t="s">
        <v>67</v>
      </c>
      <c r="F560" s="21" t="s">
        <v>553</v>
      </c>
      <c r="G560" s="21">
        <v>2718</v>
      </c>
      <c r="H560" s="21"/>
      <c r="I560" s="117" t="s">
        <v>325</v>
      </c>
      <c r="J560" s="117" t="s">
        <v>325</v>
      </c>
      <c r="K560" s="118"/>
      <c r="L560" s="21"/>
      <c r="M560" s="21"/>
      <c r="N560" s="21"/>
      <c r="O560" s="21"/>
      <c r="P560" s="21">
        <v>420</v>
      </c>
      <c r="Q560" s="21"/>
      <c r="R560" s="21" t="s">
        <v>329</v>
      </c>
      <c r="S560" s="119">
        <f>DATABASE_Table[[#This Row],[Inicial Asking Price (€) (Total)]]-DATABASE_Table[[#This Row],[Vista membership]]-DATABASE_Table[[#This Row],[FF&amp;E]]</f>
        <v>980000</v>
      </c>
      <c r="T560" s="120">
        <v>980000</v>
      </c>
      <c r="U560" s="36">
        <v>1750000</v>
      </c>
      <c r="V560" s="21"/>
      <c r="W560" s="21"/>
      <c r="X560" s="73">
        <f>DATABASE_Table[[#This Row],[Current Asking price( Total)]]-DATABASE_Table[[#This Row],[Vista membership]]-DATABASE_Table[[#This Row],[FF&amp;E]]</f>
        <v>1750000</v>
      </c>
      <c r="Y560" s="37"/>
      <c r="Z560" s="36">
        <v>1750000</v>
      </c>
      <c r="AA560" s="73">
        <f>DATABASE_Table[[#This Row],[Sell price (Total)]]-DATABASE_Table[[#This Row],[FF&amp;E]]-DATABASE_Table[[#This Row],[Vista membership]]</f>
        <v>1750000</v>
      </c>
      <c r="AB560" s="76">
        <v>45279</v>
      </c>
      <c r="AC560" s="76" t="str">
        <f t="shared" si="8"/>
        <v>Q4 2023</v>
      </c>
      <c r="AD560" s="123"/>
      <c r="AE560" s="69">
        <v>46843</v>
      </c>
      <c r="AF560" s="21" t="s">
        <v>57</v>
      </c>
      <c r="AG560" s="21" t="s">
        <v>68</v>
      </c>
      <c r="AH560" s="122" t="s">
        <v>69</v>
      </c>
      <c r="AI560" s="122" t="s">
        <v>70</v>
      </c>
      <c r="AJ560" s="122" t="s">
        <v>71</v>
      </c>
      <c r="AK560" s="122" t="s">
        <v>810</v>
      </c>
      <c r="AL560" s="21" t="s">
        <v>72</v>
      </c>
      <c r="AM560" s="122" t="s">
        <v>66</v>
      </c>
    </row>
    <row r="561" spans="1:39" customFormat="1" ht="15.75" customHeight="1" x14ac:dyDescent="0.3">
      <c r="A561" t="s">
        <v>66</v>
      </c>
      <c r="B561" s="21" t="s">
        <v>767</v>
      </c>
      <c r="C561" s="21" t="s">
        <v>764</v>
      </c>
      <c r="D561" s="117" t="s">
        <v>879</v>
      </c>
      <c r="E561" s="21" t="s">
        <v>67</v>
      </c>
      <c r="F561" s="21" t="s">
        <v>553</v>
      </c>
      <c r="G561" s="21">
        <v>420</v>
      </c>
      <c r="H561" s="21"/>
      <c r="I561" s="117" t="s">
        <v>325</v>
      </c>
      <c r="J561" s="117" t="s">
        <v>325</v>
      </c>
      <c r="K561" s="118"/>
      <c r="L561" s="21"/>
      <c r="M561" s="21"/>
      <c r="N561" s="21"/>
      <c r="O561" s="21"/>
      <c r="P561" s="21">
        <v>420</v>
      </c>
      <c r="Q561" s="21"/>
      <c r="R561" s="21" t="s">
        <v>329</v>
      </c>
      <c r="S561" s="119">
        <f>DATABASE_Table[[#This Row],[Inicial Asking Price (€) (Total)]]-DATABASE_Table[[#This Row],[Vista membership]]-DATABASE_Table[[#This Row],[FF&amp;E]]</f>
        <v>1000000</v>
      </c>
      <c r="T561" s="120">
        <v>1000000</v>
      </c>
      <c r="U561" s="36">
        <v>1300000</v>
      </c>
      <c r="V561" s="21"/>
      <c r="W561" s="21"/>
      <c r="X561" s="73">
        <f>DATABASE_Table[[#This Row],[Current Asking price( Total)]]-DATABASE_Table[[#This Row],[Vista membership]]-DATABASE_Table[[#This Row],[FF&amp;E]]</f>
        <v>1300000</v>
      </c>
      <c r="Y561" s="37"/>
      <c r="Z561" s="36">
        <v>1300000</v>
      </c>
      <c r="AA561" s="73">
        <f>DATABASE_Table[[#This Row],[Sell price (Total)]]-DATABASE_Table[[#This Row],[FF&amp;E]]-DATABASE_Table[[#This Row],[Vista membership]]</f>
        <v>1300000</v>
      </c>
      <c r="AB561" s="76">
        <v>45279</v>
      </c>
      <c r="AC561" s="76" t="str">
        <f t="shared" si="8"/>
        <v>Q4 2023</v>
      </c>
      <c r="AD561" s="123"/>
      <c r="AE561" s="69">
        <v>46843</v>
      </c>
      <c r="AF561" s="21" t="s">
        <v>57</v>
      </c>
      <c r="AG561" s="21" t="s">
        <v>68</v>
      </c>
      <c r="AH561" s="122" t="s">
        <v>69</v>
      </c>
      <c r="AI561" s="122" t="s">
        <v>70</v>
      </c>
      <c r="AJ561" s="122" t="s">
        <v>71</v>
      </c>
      <c r="AK561" s="122" t="s">
        <v>810</v>
      </c>
      <c r="AL561" s="21" t="s">
        <v>72</v>
      </c>
      <c r="AM561" s="122" t="s">
        <v>66</v>
      </c>
    </row>
    <row r="562" spans="1:39" customFormat="1" ht="15.75" customHeight="1" x14ac:dyDescent="0.3">
      <c r="A562" t="s">
        <v>66</v>
      </c>
      <c r="B562" s="21" t="s">
        <v>767</v>
      </c>
      <c r="C562" s="21" t="s">
        <v>764</v>
      </c>
      <c r="D562" s="117" t="s">
        <v>861</v>
      </c>
      <c r="E562" s="21" t="s">
        <v>67</v>
      </c>
      <c r="F562" s="21" t="s">
        <v>553</v>
      </c>
      <c r="G562" s="21">
        <v>4186</v>
      </c>
      <c r="H562" s="21"/>
      <c r="I562" s="117" t="s">
        <v>325</v>
      </c>
      <c r="J562" s="117" t="s">
        <v>325</v>
      </c>
      <c r="K562" s="118"/>
      <c r="L562" s="21"/>
      <c r="M562" s="21"/>
      <c r="N562" s="21"/>
      <c r="O562" s="21"/>
      <c r="P562" s="21">
        <v>500</v>
      </c>
      <c r="Q562" s="21"/>
      <c r="R562" s="21" t="s">
        <v>329</v>
      </c>
      <c r="S562" s="119">
        <f>DATABASE_Table[[#This Row],[Inicial Asking Price (€) (Total)]]-DATABASE_Table[[#This Row],[Vista membership]]-DATABASE_Table[[#This Row],[FF&amp;E]]</f>
        <v>1220000</v>
      </c>
      <c r="T562" s="120">
        <v>1220000</v>
      </c>
      <c r="U562" s="36">
        <v>1250000</v>
      </c>
      <c r="V562" s="21"/>
      <c r="W562" s="21"/>
      <c r="X562" s="73">
        <f>DATABASE_Table[[#This Row],[Current Asking price( Total)]]-DATABASE_Table[[#This Row],[Vista membership]]-DATABASE_Table[[#This Row],[FF&amp;E]]</f>
        <v>1250000</v>
      </c>
      <c r="Y562" s="37"/>
      <c r="Z562" s="36">
        <v>1250000</v>
      </c>
      <c r="AA562" s="73">
        <f>DATABASE_Table[[#This Row],[Sell price (Total)]]-DATABASE_Table[[#This Row],[FF&amp;E]]-DATABASE_Table[[#This Row],[Vista membership]]</f>
        <v>1250000</v>
      </c>
      <c r="AB562" s="76">
        <v>45279</v>
      </c>
      <c r="AC562" s="76" t="str">
        <f t="shared" si="8"/>
        <v>Q4 2023</v>
      </c>
      <c r="AD562" s="123"/>
      <c r="AE562" s="69">
        <v>46843</v>
      </c>
      <c r="AF562" s="21" t="s">
        <v>57</v>
      </c>
      <c r="AG562" s="21" t="s">
        <v>68</v>
      </c>
      <c r="AH562" s="122" t="s">
        <v>69</v>
      </c>
      <c r="AI562" s="122" t="s">
        <v>70</v>
      </c>
      <c r="AJ562" s="122" t="s">
        <v>71</v>
      </c>
      <c r="AK562" s="122" t="s">
        <v>810</v>
      </c>
      <c r="AL562" s="21" t="s">
        <v>72</v>
      </c>
      <c r="AM562" s="122" t="s">
        <v>66</v>
      </c>
    </row>
    <row r="563" spans="1:39" customFormat="1" ht="15.75" customHeight="1" x14ac:dyDescent="0.3">
      <c r="A563" t="s">
        <v>66</v>
      </c>
      <c r="B563" s="21" t="s">
        <v>766</v>
      </c>
      <c r="C563" s="21" t="s">
        <v>764</v>
      </c>
      <c r="D563" s="117" t="s">
        <v>528</v>
      </c>
      <c r="E563" s="21"/>
      <c r="F563" s="21" t="s">
        <v>319</v>
      </c>
      <c r="G563" s="21">
        <v>144.94999999999999</v>
      </c>
      <c r="H563" s="21"/>
      <c r="I563" s="117" t="s">
        <v>672</v>
      </c>
      <c r="J563" s="117" t="s">
        <v>325</v>
      </c>
      <c r="K563" s="118"/>
      <c r="L563" s="21"/>
      <c r="M563" s="21"/>
      <c r="N563" s="21">
        <v>29.65</v>
      </c>
      <c r="O563" s="21"/>
      <c r="P563" s="21">
        <v>115.3</v>
      </c>
      <c r="Q563" s="21"/>
      <c r="R563" s="21" t="s">
        <v>326</v>
      </c>
      <c r="S563" s="119">
        <f>DATABASE_Table[[#This Row],[Inicial Asking Price (€) (Total)]]-DATABASE_Table[[#This Row],[Vista membership]]-DATABASE_Table[[#This Row],[FF&amp;E]]</f>
        <v>660000</v>
      </c>
      <c r="T563" s="120">
        <v>660000</v>
      </c>
      <c r="U563" s="36">
        <v>950000</v>
      </c>
      <c r="V563" s="21"/>
      <c r="W563" s="21"/>
      <c r="X563" s="73">
        <f>DATABASE_Table[[#This Row],[Current Asking price( Total)]]-DATABASE_Table[[#This Row],[Vista membership]]-DATABASE_Table[[#This Row],[FF&amp;E]]</f>
        <v>950000</v>
      </c>
      <c r="Y563" s="37">
        <v>0</v>
      </c>
      <c r="Z563" s="36">
        <v>950000</v>
      </c>
      <c r="AA563" s="73">
        <f>DATABASE_Table[[#This Row],[Sell price (Total)]]-DATABASE_Table[[#This Row],[FF&amp;E]]-DATABASE_Table[[#This Row],[Vista membership]]</f>
        <v>950000</v>
      </c>
      <c r="AB563" s="74">
        <v>44518</v>
      </c>
      <c r="AC563" s="74" t="str">
        <f t="shared" si="8"/>
        <v>Q4 2021</v>
      </c>
      <c r="AD563" s="123">
        <v>46175</v>
      </c>
      <c r="AE563" s="69">
        <v>46843</v>
      </c>
      <c r="AF563" s="21" t="s">
        <v>57</v>
      </c>
      <c r="AG563" s="21" t="s">
        <v>68</v>
      </c>
      <c r="AH563" s="122"/>
      <c r="AI563" s="122"/>
      <c r="AJ563" s="122"/>
      <c r="AK563" s="122"/>
      <c r="AL563" s="21"/>
      <c r="AM563" s="122" t="s">
        <v>66</v>
      </c>
    </row>
    <row r="564" spans="1:39" customFormat="1" ht="15.75" customHeight="1" x14ac:dyDescent="0.3">
      <c r="A564" t="s">
        <v>66</v>
      </c>
      <c r="B564" s="21" t="s">
        <v>766</v>
      </c>
      <c r="C564" s="21" t="s">
        <v>764</v>
      </c>
      <c r="D564" s="117" t="s">
        <v>482</v>
      </c>
      <c r="E564" s="21"/>
      <c r="F564" s="21" t="s">
        <v>483</v>
      </c>
      <c r="G564" s="21">
        <v>181.7</v>
      </c>
      <c r="H564" s="21"/>
      <c r="I564" s="117" t="s">
        <v>630</v>
      </c>
      <c r="J564" s="117" t="s">
        <v>325</v>
      </c>
      <c r="K564" s="118"/>
      <c r="L564" s="21"/>
      <c r="M564" s="21"/>
      <c r="N564" s="21">
        <v>43.35</v>
      </c>
      <c r="O564" s="21"/>
      <c r="P564" s="21">
        <v>138.35</v>
      </c>
      <c r="Q564" s="21"/>
      <c r="R564" s="21" t="s">
        <v>625</v>
      </c>
      <c r="S564" s="119">
        <f>DATABASE_Table[[#This Row],[Inicial Asking Price (€) (Total)]]-DATABASE_Table[[#This Row],[Vista membership]]-DATABASE_Table[[#This Row],[FF&amp;E]]</f>
        <v>660000</v>
      </c>
      <c r="T564" s="120">
        <v>660000</v>
      </c>
      <c r="U564" s="36">
        <v>725000</v>
      </c>
      <c r="V564" s="21"/>
      <c r="W564" s="21"/>
      <c r="X564" s="73">
        <f>DATABASE_Table[[#This Row],[Current Asking price( Total)]]-DATABASE_Table[[#This Row],[Vista membership]]-DATABASE_Table[[#This Row],[FF&amp;E]]</f>
        <v>725000</v>
      </c>
      <c r="Y564" s="37">
        <v>0</v>
      </c>
      <c r="Z564" s="36">
        <v>725000</v>
      </c>
      <c r="AA564" s="73">
        <f>DATABASE_Table[[#This Row],[Sell price (Total)]]-DATABASE_Table[[#This Row],[FF&amp;E]]-DATABASE_Table[[#This Row],[Vista membership]]</f>
        <v>725000</v>
      </c>
      <c r="AB564" s="74">
        <v>44518</v>
      </c>
      <c r="AC564" s="74" t="str">
        <f t="shared" si="8"/>
        <v>Q4 2021</v>
      </c>
      <c r="AD564" s="121">
        <v>44995</v>
      </c>
      <c r="AE564" s="69">
        <v>46843</v>
      </c>
      <c r="AF564" s="21" t="s">
        <v>57</v>
      </c>
      <c r="AG564" s="21" t="s">
        <v>68</v>
      </c>
      <c r="AH564" s="122"/>
      <c r="AI564" s="122"/>
      <c r="AJ564" s="122"/>
      <c r="AK564" s="122"/>
      <c r="AL564" s="21"/>
      <c r="AM564" s="122" t="s">
        <v>66</v>
      </c>
    </row>
    <row r="565" spans="1:39" customFormat="1" ht="15.75" customHeight="1" x14ac:dyDescent="0.3">
      <c r="A565" t="s">
        <v>66</v>
      </c>
      <c r="B565" s="21" t="s">
        <v>766</v>
      </c>
      <c r="C565" s="21" t="s">
        <v>764</v>
      </c>
      <c r="D565" s="117" t="s">
        <v>484</v>
      </c>
      <c r="E565" s="21"/>
      <c r="F565" s="21" t="s">
        <v>483</v>
      </c>
      <c r="G565" s="21">
        <v>173.95</v>
      </c>
      <c r="H565" s="21"/>
      <c r="I565" s="117" t="s">
        <v>631</v>
      </c>
      <c r="J565" s="117" t="s">
        <v>325</v>
      </c>
      <c r="K565" s="118"/>
      <c r="L565" s="21"/>
      <c r="M565" s="21"/>
      <c r="N565" s="21">
        <v>48.4</v>
      </c>
      <c r="O565" s="21"/>
      <c r="P565" s="21">
        <v>125.55</v>
      </c>
      <c r="Q565" s="21"/>
      <c r="R565" s="21" t="s">
        <v>625</v>
      </c>
      <c r="S565" s="119">
        <f>DATABASE_Table[[#This Row],[Inicial Asking Price (€) (Total)]]-DATABASE_Table[[#This Row],[Vista membership]]-DATABASE_Table[[#This Row],[FF&amp;E]]</f>
        <v>650000</v>
      </c>
      <c r="T565" s="120">
        <v>650000</v>
      </c>
      <c r="U565" s="36">
        <v>800000</v>
      </c>
      <c r="V565" s="21"/>
      <c r="W565" s="21"/>
      <c r="X565" s="73">
        <f>DATABASE_Table[[#This Row],[Current Asking price( Total)]]-DATABASE_Table[[#This Row],[Vista membership]]-DATABASE_Table[[#This Row],[FF&amp;E]]</f>
        <v>800000</v>
      </c>
      <c r="Y565" s="37">
        <v>0</v>
      </c>
      <c r="Z565" s="36">
        <v>800000</v>
      </c>
      <c r="AA565" s="73">
        <f>DATABASE_Table[[#This Row],[Sell price (Total)]]-DATABASE_Table[[#This Row],[FF&amp;E]]-DATABASE_Table[[#This Row],[Vista membership]]</f>
        <v>800000</v>
      </c>
      <c r="AB565" s="74">
        <v>44518</v>
      </c>
      <c r="AC565" s="74" t="str">
        <f t="shared" si="8"/>
        <v>Q4 2021</v>
      </c>
      <c r="AD565" s="121">
        <v>45044</v>
      </c>
      <c r="AE565" s="69">
        <v>46843</v>
      </c>
      <c r="AF565" s="21" t="s">
        <v>57</v>
      </c>
      <c r="AG565" s="21" t="s">
        <v>68</v>
      </c>
      <c r="AH565" s="122"/>
      <c r="AI565" s="122"/>
      <c r="AJ565" s="122"/>
      <c r="AK565" s="122"/>
      <c r="AL565" s="21"/>
      <c r="AM565" s="122" t="s">
        <v>66</v>
      </c>
    </row>
    <row r="566" spans="1:39" customFormat="1" ht="15.75" customHeight="1" x14ac:dyDescent="0.3">
      <c r="A566" t="s">
        <v>66</v>
      </c>
      <c r="B566" s="21" t="s">
        <v>766</v>
      </c>
      <c r="C566" s="21" t="s">
        <v>764</v>
      </c>
      <c r="D566" s="117" t="s">
        <v>486</v>
      </c>
      <c r="E566" s="21"/>
      <c r="F566" s="21" t="s">
        <v>483</v>
      </c>
      <c r="G566" s="21">
        <v>173.95</v>
      </c>
      <c r="H566" s="21"/>
      <c r="I566" s="117" t="s">
        <v>633</v>
      </c>
      <c r="J566" s="117" t="s">
        <v>325</v>
      </c>
      <c r="K566" s="118"/>
      <c r="L566" s="21"/>
      <c r="M566" s="21"/>
      <c r="N566" s="21">
        <v>48.4</v>
      </c>
      <c r="O566" s="21"/>
      <c r="P566" s="21">
        <v>125.55</v>
      </c>
      <c r="Q566" s="21"/>
      <c r="R566" s="21" t="s">
        <v>625</v>
      </c>
      <c r="S566" s="119">
        <f>DATABASE_Table[[#This Row],[Inicial Asking Price (€) (Total)]]-DATABASE_Table[[#This Row],[Vista membership]]-DATABASE_Table[[#This Row],[FF&amp;E]]</f>
        <v>550000</v>
      </c>
      <c r="T566" s="120">
        <v>550000</v>
      </c>
      <c r="U566" s="36">
        <v>745000</v>
      </c>
      <c r="V566" s="21"/>
      <c r="W566" s="21"/>
      <c r="X566" s="73">
        <f>DATABASE_Table[[#This Row],[Current Asking price( Total)]]-DATABASE_Table[[#This Row],[Vista membership]]-DATABASE_Table[[#This Row],[FF&amp;E]]</f>
        <v>745000</v>
      </c>
      <c r="Y566" s="37">
        <v>0</v>
      </c>
      <c r="Z566" s="36">
        <v>745000</v>
      </c>
      <c r="AA566" s="73">
        <f>DATABASE_Table[[#This Row],[Sell price (Total)]]-DATABASE_Table[[#This Row],[FF&amp;E]]-DATABASE_Table[[#This Row],[Vista membership]]</f>
        <v>745000</v>
      </c>
      <c r="AB566" s="74">
        <v>44518</v>
      </c>
      <c r="AC566" s="74" t="str">
        <f t="shared" si="8"/>
        <v>Q4 2021</v>
      </c>
      <c r="AD566" s="121">
        <v>45128</v>
      </c>
      <c r="AE566" s="69">
        <v>46843</v>
      </c>
      <c r="AF566" s="21" t="s">
        <v>57</v>
      </c>
      <c r="AG566" s="21" t="s">
        <v>68</v>
      </c>
      <c r="AH566" s="122"/>
      <c r="AI566" s="122"/>
      <c r="AJ566" s="122"/>
      <c r="AK566" s="122"/>
      <c r="AL566" s="21"/>
      <c r="AM566" s="122" t="s">
        <v>66</v>
      </c>
    </row>
    <row r="567" spans="1:39" customFormat="1" ht="15.75" customHeight="1" x14ac:dyDescent="0.3">
      <c r="A567" t="s">
        <v>66</v>
      </c>
      <c r="B567" s="21" t="s">
        <v>766</v>
      </c>
      <c r="C567" s="21" t="s">
        <v>764</v>
      </c>
      <c r="D567" s="117" t="s">
        <v>488</v>
      </c>
      <c r="E567" s="21"/>
      <c r="F567" s="21" t="s">
        <v>483</v>
      </c>
      <c r="G567" s="21">
        <v>173.95</v>
      </c>
      <c r="H567" s="21"/>
      <c r="I567" s="117" t="s">
        <v>635</v>
      </c>
      <c r="J567" s="117" t="s">
        <v>325</v>
      </c>
      <c r="K567" s="118"/>
      <c r="L567" s="21"/>
      <c r="M567" s="21"/>
      <c r="N567" s="21">
        <v>48.4</v>
      </c>
      <c r="O567" s="21"/>
      <c r="P567" s="21">
        <v>125.55</v>
      </c>
      <c r="Q567" s="21"/>
      <c r="R567" s="21" t="s">
        <v>625</v>
      </c>
      <c r="S567" s="119">
        <f>DATABASE_Table[[#This Row],[Inicial Asking Price (€) (Total)]]-DATABASE_Table[[#This Row],[Vista membership]]-DATABASE_Table[[#This Row],[FF&amp;E]]</f>
        <v>440000</v>
      </c>
      <c r="T567" s="120">
        <v>440000</v>
      </c>
      <c r="U567" s="36">
        <v>770000</v>
      </c>
      <c r="V567" s="21"/>
      <c r="W567" s="21"/>
      <c r="X567" s="73">
        <f>DATABASE_Table[[#This Row],[Current Asking price( Total)]]-DATABASE_Table[[#This Row],[Vista membership]]-DATABASE_Table[[#This Row],[FF&amp;E]]</f>
        <v>770000</v>
      </c>
      <c r="Y567" s="37">
        <v>0</v>
      </c>
      <c r="Z567" s="36">
        <v>770000</v>
      </c>
      <c r="AA567" s="73">
        <f>DATABASE_Table[[#This Row],[Sell price (Total)]]-DATABASE_Table[[#This Row],[FF&amp;E]]-DATABASE_Table[[#This Row],[Vista membership]]</f>
        <v>770000</v>
      </c>
      <c r="AB567" s="74">
        <v>44518</v>
      </c>
      <c r="AC567" s="74" t="str">
        <f t="shared" si="8"/>
        <v>Q4 2021</v>
      </c>
      <c r="AD567" s="121">
        <v>44957</v>
      </c>
      <c r="AE567" s="69">
        <v>46843</v>
      </c>
      <c r="AF567" s="21" t="s">
        <v>57</v>
      </c>
      <c r="AG567" s="21" t="s">
        <v>68</v>
      </c>
      <c r="AH567" s="122"/>
      <c r="AI567" s="122"/>
      <c r="AJ567" s="122"/>
      <c r="AK567" s="122"/>
      <c r="AL567" s="21"/>
      <c r="AM567" s="122" t="s">
        <v>66</v>
      </c>
    </row>
    <row r="568" spans="1:39" customFormat="1" ht="15.75" customHeight="1" x14ac:dyDescent="0.3">
      <c r="A568" t="s">
        <v>66</v>
      </c>
      <c r="B568" s="21" t="s">
        <v>766</v>
      </c>
      <c r="C568" s="21" t="s">
        <v>764</v>
      </c>
      <c r="D568" s="117" t="s">
        <v>489</v>
      </c>
      <c r="E568" s="21"/>
      <c r="F568" s="21" t="s">
        <v>483</v>
      </c>
      <c r="G568" s="21">
        <v>173.95</v>
      </c>
      <c r="H568" s="21"/>
      <c r="I568" s="117" t="s">
        <v>636</v>
      </c>
      <c r="J568" s="117" t="s">
        <v>325</v>
      </c>
      <c r="K568" s="118"/>
      <c r="L568" s="21"/>
      <c r="M568" s="21"/>
      <c r="N568" s="21">
        <v>48.4</v>
      </c>
      <c r="O568" s="21"/>
      <c r="P568" s="21">
        <v>125.55</v>
      </c>
      <c r="Q568" s="21"/>
      <c r="R568" s="21" t="s">
        <v>625</v>
      </c>
      <c r="S568" s="119">
        <f>DATABASE_Table[[#This Row],[Inicial Asking Price (€) (Total)]]-DATABASE_Table[[#This Row],[Vista membership]]-DATABASE_Table[[#This Row],[FF&amp;E]]</f>
        <v>575000</v>
      </c>
      <c r="T568" s="120">
        <v>575000</v>
      </c>
      <c r="U568" s="36">
        <v>900000</v>
      </c>
      <c r="V568" s="21"/>
      <c r="W568" s="21"/>
      <c r="X568" s="73">
        <f>DATABASE_Table[[#This Row],[Current Asking price( Total)]]-DATABASE_Table[[#This Row],[Vista membership]]-DATABASE_Table[[#This Row],[FF&amp;E]]</f>
        <v>900000</v>
      </c>
      <c r="Y568" s="37">
        <v>0</v>
      </c>
      <c r="Z568" s="36">
        <v>900000</v>
      </c>
      <c r="AA568" s="73">
        <f>DATABASE_Table[[#This Row],[Sell price (Total)]]-DATABASE_Table[[#This Row],[FF&amp;E]]-DATABASE_Table[[#This Row],[Vista membership]]</f>
        <v>900000</v>
      </c>
      <c r="AB568" s="74">
        <v>44518</v>
      </c>
      <c r="AC568" s="74" t="str">
        <f t="shared" si="8"/>
        <v>Q4 2021</v>
      </c>
      <c r="AD568" s="121">
        <v>44988</v>
      </c>
      <c r="AE568" s="69">
        <v>46843</v>
      </c>
      <c r="AF568" s="21" t="s">
        <v>57</v>
      </c>
      <c r="AG568" s="21" t="s">
        <v>68</v>
      </c>
      <c r="AH568" s="122"/>
      <c r="AI568" s="122"/>
      <c r="AJ568" s="122"/>
      <c r="AK568" s="122"/>
      <c r="AL568" s="21"/>
      <c r="AM568" s="122" t="s">
        <v>66</v>
      </c>
    </row>
    <row r="569" spans="1:39" customFormat="1" ht="15.75" customHeight="1" x14ac:dyDescent="0.3">
      <c r="A569" t="s">
        <v>66</v>
      </c>
      <c r="B569" s="21" t="s">
        <v>766</v>
      </c>
      <c r="C569" s="21" t="s">
        <v>764</v>
      </c>
      <c r="D569" s="117" t="s">
        <v>490</v>
      </c>
      <c r="E569" s="21"/>
      <c r="F569" s="21" t="s">
        <v>483</v>
      </c>
      <c r="G569" s="21">
        <v>173.95</v>
      </c>
      <c r="H569" s="21"/>
      <c r="I569" s="117" t="s">
        <v>637</v>
      </c>
      <c r="J569" s="117" t="s">
        <v>325</v>
      </c>
      <c r="K569" s="118"/>
      <c r="L569" s="21"/>
      <c r="M569" s="21"/>
      <c r="N569" s="21">
        <v>48.4</v>
      </c>
      <c r="O569" s="21"/>
      <c r="P569" s="21">
        <v>125.55</v>
      </c>
      <c r="Q569" s="21"/>
      <c r="R569" s="21" t="s">
        <v>625</v>
      </c>
      <c r="S569" s="119">
        <f>DATABASE_Table[[#This Row],[Inicial Asking Price (€) (Total)]]-DATABASE_Table[[#This Row],[Vista membership]]-DATABASE_Table[[#This Row],[FF&amp;E]]</f>
        <v>460000</v>
      </c>
      <c r="T569" s="120">
        <v>460000</v>
      </c>
      <c r="U569" s="36">
        <v>820000</v>
      </c>
      <c r="V569" s="21"/>
      <c r="W569" s="21"/>
      <c r="X569" s="73">
        <f>DATABASE_Table[[#This Row],[Current Asking price( Total)]]-DATABASE_Table[[#This Row],[Vista membership]]-DATABASE_Table[[#This Row],[FF&amp;E]]</f>
        <v>820000</v>
      </c>
      <c r="Y569" s="37">
        <v>0</v>
      </c>
      <c r="Z569" s="36">
        <v>820000</v>
      </c>
      <c r="AA569" s="73">
        <f>DATABASE_Table[[#This Row],[Sell price (Total)]]-DATABASE_Table[[#This Row],[FF&amp;E]]-DATABASE_Table[[#This Row],[Vista membership]]</f>
        <v>820000</v>
      </c>
      <c r="AB569" s="74">
        <v>44518</v>
      </c>
      <c r="AC569" s="74" t="str">
        <f t="shared" si="8"/>
        <v>Q4 2021</v>
      </c>
      <c r="AD569" s="121">
        <v>44977</v>
      </c>
      <c r="AE569" s="69">
        <v>46843</v>
      </c>
      <c r="AF569" s="21" t="s">
        <v>57</v>
      </c>
      <c r="AG569" s="21" t="s">
        <v>68</v>
      </c>
      <c r="AH569" s="122"/>
      <c r="AI569" s="122"/>
      <c r="AJ569" s="122"/>
      <c r="AK569" s="122"/>
      <c r="AL569" s="21"/>
      <c r="AM569" s="122" t="s">
        <v>66</v>
      </c>
    </row>
    <row r="570" spans="1:39" customFormat="1" ht="15.75" customHeight="1" x14ac:dyDescent="0.3">
      <c r="A570" t="s">
        <v>66</v>
      </c>
      <c r="B570" s="21" t="s">
        <v>766</v>
      </c>
      <c r="C570" s="21" t="s">
        <v>764</v>
      </c>
      <c r="D570" s="117" t="s">
        <v>493</v>
      </c>
      <c r="E570" s="21"/>
      <c r="F570" s="21" t="s">
        <v>419</v>
      </c>
      <c r="G570" s="21">
        <v>93.55</v>
      </c>
      <c r="H570" s="21"/>
      <c r="I570" s="117" t="s">
        <v>640</v>
      </c>
      <c r="J570" s="117" t="s">
        <v>325</v>
      </c>
      <c r="K570" s="118"/>
      <c r="L570" s="21"/>
      <c r="M570" s="21"/>
      <c r="N570" s="21">
        <v>20.95</v>
      </c>
      <c r="O570" s="21"/>
      <c r="P570" s="21">
        <v>72.599999999999994</v>
      </c>
      <c r="Q570" s="21"/>
      <c r="R570" s="21" t="s">
        <v>625</v>
      </c>
      <c r="S570" s="119">
        <f>DATABASE_Table[[#This Row],[Inicial Asking Price (€) (Total)]]-DATABASE_Table[[#This Row],[Vista membership]]-DATABASE_Table[[#This Row],[FF&amp;E]]</f>
        <v>440000</v>
      </c>
      <c r="T570" s="120">
        <v>440000</v>
      </c>
      <c r="U570" s="36">
        <v>550000</v>
      </c>
      <c r="V570" s="21"/>
      <c r="W570" s="21"/>
      <c r="X570" s="73">
        <f>DATABASE_Table[[#This Row],[Current Asking price( Total)]]-DATABASE_Table[[#This Row],[Vista membership]]-DATABASE_Table[[#This Row],[FF&amp;E]]</f>
        <v>550000</v>
      </c>
      <c r="Y570" s="37">
        <v>0</v>
      </c>
      <c r="Z570" s="36">
        <v>550000</v>
      </c>
      <c r="AA570" s="73">
        <f>DATABASE_Table[[#This Row],[Sell price (Total)]]-DATABASE_Table[[#This Row],[FF&amp;E]]-DATABASE_Table[[#This Row],[Vista membership]]</f>
        <v>550000</v>
      </c>
      <c r="AB570" s="74">
        <v>44518</v>
      </c>
      <c r="AC570" s="74" t="str">
        <f t="shared" si="8"/>
        <v>Q4 2021</v>
      </c>
      <c r="AD570" s="121">
        <v>44967</v>
      </c>
      <c r="AE570" s="69">
        <v>46843</v>
      </c>
      <c r="AF570" s="21" t="s">
        <v>57</v>
      </c>
      <c r="AG570" s="21" t="s">
        <v>68</v>
      </c>
      <c r="AH570" s="122"/>
      <c r="AI570" s="122"/>
      <c r="AJ570" s="122"/>
      <c r="AK570" s="122"/>
      <c r="AL570" s="21"/>
      <c r="AM570" s="122" t="s">
        <v>66</v>
      </c>
    </row>
    <row r="571" spans="1:39" customFormat="1" ht="15.75" customHeight="1" x14ac:dyDescent="0.3">
      <c r="A571" t="s">
        <v>66</v>
      </c>
      <c r="B571" s="21" t="s">
        <v>766</v>
      </c>
      <c r="C571" s="21" t="s">
        <v>764</v>
      </c>
      <c r="D571" s="117" t="s">
        <v>495</v>
      </c>
      <c r="E571" s="21"/>
      <c r="F571" s="21" t="s">
        <v>419</v>
      </c>
      <c r="G571" s="21">
        <v>95.85</v>
      </c>
      <c r="H571" s="21"/>
      <c r="I571" s="117" t="s">
        <v>642</v>
      </c>
      <c r="J571" s="117" t="s">
        <v>325</v>
      </c>
      <c r="K571" s="118"/>
      <c r="L571" s="21"/>
      <c r="M571" s="21"/>
      <c r="N571" s="21">
        <v>21.85</v>
      </c>
      <c r="O571" s="21"/>
      <c r="P571" s="21">
        <v>74</v>
      </c>
      <c r="Q571" s="21"/>
      <c r="R571" s="21" t="s">
        <v>625</v>
      </c>
      <c r="S571" s="119">
        <f>DATABASE_Table[[#This Row],[Inicial Asking Price (€) (Total)]]-DATABASE_Table[[#This Row],[Vista membership]]-DATABASE_Table[[#This Row],[FF&amp;E]]</f>
        <v>760000</v>
      </c>
      <c r="T571" s="124">
        <v>760000</v>
      </c>
      <c r="U571" s="36">
        <v>710000</v>
      </c>
      <c r="V571" s="21"/>
      <c r="W571" s="21"/>
      <c r="X571" s="73">
        <f>DATABASE_Table[[#This Row],[Current Asking price( Total)]]-DATABASE_Table[[#This Row],[Vista membership]]-DATABASE_Table[[#This Row],[FF&amp;E]]</f>
        <v>710000</v>
      </c>
      <c r="Y571" s="37">
        <v>0</v>
      </c>
      <c r="Z571" s="36">
        <v>710000</v>
      </c>
      <c r="AA571" s="73">
        <f>DATABASE_Table[[#This Row],[Sell price (Total)]]-DATABASE_Table[[#This Row],[FF&amp;E]]-DATABASE_Table[[#This Row],[Vista membership]]</f>
        <v>710000</v>
      </c>
      <c r="AB571" s="74">
        <v>44518</v>
      </c>
      <c r="AC571" s="74" t="str">
        <f t="shared" si="8"/>
        <v>Q4 2021</v>
      </c>
      <c r="AD571" s="121">
        <v>44988</v>
      </c>
      <c r="AE571" s="69">
        <v>46843</v>
      </c>
      <c r="AF571" s="21" t="s">
        <v>57</v>
      </c>
      <c r="AG571" s="21" t="s">
        <v>68</v>
      </c>
      <c r="AH571" s="122"/>
      <c r="AI571" s="122"/>
      <c r="AJ571" s="122"/>
      <c r="AK571" s="122"/>
      <c r="AL571" s="21"/>
      <c r="AM571" s="122" t="s">
        <v>66</v>
      </c>
    </row>
    <row r="572" spans="1:39" customFormat="1" ht="15.75" customHeight="1" x14ac:dyDescent="0.3">
      <c r="A572" t="s">
        <v>66</v>
      </c>
      <c r="B572" s="21" t="s">
        <v>766</v>
      </c>
      <c r="C572" s="21" t="s">
        <v>764</v>
      </c>
      <c r="D572" s="117" t="s">
        <v>496</v>
      </c>
      <c r="E572" s="21"/>
      <c r="F572" s="21" t="s">
        <v>419</v>
      </c>
      <c r="G572" s="21">
        <v>96.05</v>
      </c>
      <c r="H572" s="21"/>
      <c r="I572" s="117" t="s">
        <v>643</v>
      </c>
      <c r="J572" s="117" t="s">
        <v>325</v>
      </c>
      <c r="K572" s="118"/>
      <c r="L572" s="21"/>
      <c r="M572" s="21"/>
      <c r="N572" s="21">
        <v>21.85</v>
      </c>
      <c r="O572" s="21"/>
      <c r="P572" s="21">
        <v>74.2</v>
      </c>
      <c r="Q572" s="21"/>
      <c r="R572" s="21" t="s">
        <v>625</v>
      </c>
      <c r="S572" s="119">
        <f>DATABASE_Table[[#This Row],[Inicial Asking Price (€) (Total)]]-DATABASE_Table[[#This Row],[Vista membership]]-DATABASE_Table[[#This Row],[FF&amp;E]]</f>
        <v>710000</v>
      </c>
      <c r="T572" s="120">
        <v>710000</v>
      </c>
      <c r="U572" s="36">
        <v>530000</v>
      </c>
      <c r="V572" s="21"/>
      <c r="W572" s="21"/>
      <c r="X572" s="73">
        <f>DATABASE_Table[[#This Row],[Current Asking price( Total)]]-DATABASE_Table[[#This Row],[Vista membership]]-DATABASE_Table[[#This Row],[FF&amp;E]]</f>
        <v>530000</v>
      </c>
      <c r="Y572" s="37">
        <v>0</v>
      </c>
      <c r="Z572" s="36">
        <v>530000</v>
      </c>
      <c r="AA572" s="73">
        <f>DATABASE_Table[[#This Row],[Sell price (Total)]]-DATABASE_Table[[#This Row],[FF&amp;E]]-DATABASE_Table[[#This Row],[Vista membership]]</f>
        <v>530000</v>
      </c>
      <c r="AB572" s="74">
        <v>44518</v>
      </c>
      <c r="AC572" s="74" t="str">
        <f t="shared" si="8"/>
        <v>Q4 2021</v>
      </c>
      <c r="AD572" s="121">
        <v>45132</v>
      </c>
      <c r="AE572" s="69">
        <v>46843</v>
      </c>
      <c r="AF572" s="21" t="s">
        <v>57</v>
      </c>
      <c r="AG572" s="21" t="s">
        <v>68</v>
      </c>
      <c r="AH572" s="122"/>
      <c r="AI572" s="122"/>
      <c r="AJ572" s="122"/>
      <c r="AK572" s="122"/>
      <c r="AL572" s="21"/>
      <c r="AM572" s="122" t="s">
        <v>66</v>
      </c>
    </row>
    <row r="573" spans="1:39" customFormat="1" ht="15.75" customHeight="1" x14ac:dyDescent="0.3">
      <c r="A573" t="s">
        <v>66</v>
      </c>
      <c r="B573" s="21" t="s">
        <v>766</v>
      </c>
      <c r="C573" s="21" t="s">
        <v>764</v>
      </c>
      <c r="D573" s="117" t="s">
        <v>497</v>
      </c>
      <c r="E573" s="21"/>
      <c r="F573" s="21" t="s">
        <v>419</v>
      </c>
      <c r="G573" s="21">
        <v>96.05</v>
      </c>
      <c r="H573" s="21"/>
      <c r="I573" s="117" t="s">
        <v>644</v>
      </c>
      <c r="J573" s="117" t="s">
        <v>325</v>
      </c>
      <c r="K573" s="118"/>
      <c r="L573" s="21"/>
      <c r="M573" s="21"/>
      <c r="N573" s="21">
        <v>21.85</v>
      </c>
      <c r="O573" s="21"/>
      <c r="P573" s="21">
        <v>74.2</v>
      </c>
      <c r="Q573" s="21"/>
      <c r="R573" s="21" t="s">
        <v>625</v>
      </c>
      <c r="S573" s="119">
        <f>DATABASE_Table[[#This Row],[Inicial Asking Price (€) (Total)]]-DATABASE_Table[[#This Row],[Vista membership]]-DATABASE_Table[[#This Row],[FF&amp;E]]</f>
        <v>660000</v>
      </c>
      <c r="T573" s="120">
        <v>660000</v>
      </c>
      <c r="U573" s="36">
        <v>680000</v>
      </c>
      <c r="V573" s="21"/>
      <c r="W573" s="21"/>
      <c r="X573" s="73">
        <f>DATABASE_Table[[#This Row],[Current Asking price( Total)]]-DATABASE_Table[[#This Row],[Vista membership]]-DATABASE_Table[[#This Row],[FF&amp;E]]</f>
        <v>680000</v>
      </c>
      <c r="Y573" s="37">
        <v>0</v>
      </c>
      <c r="Z573" s="36">
        <v>680000</v>
      </c>
      <c r="AA573" s="73">
        <f>DATABASE_Table[[#This Row],[Sell price (Total)]]-DATABASE_Table[[#This Row],[FF&amp;E]]-DATABASE_Table[[#This Row],[Vista membership]]</f>
        <v>680000</v>
      </c>
      <c r="AB573" s="74">
        <v>44518</v>
      </c>
      <c r="AC573" s="74" t="str">
        <f t="shared" si="8"/>
        <v>Q4 2021</v>
      </c>
      <c r="AD573" s="121">
        <v>44999</v>
      </c>
      <c r="AE573" s="69">
        <v>46843</v>
      </c>
      <c r="AF573" s="21" t="s">
        <v>57</v>
      </c>
      <c r="AG573" s="21" t="s">
        <v>68</v>
      </c>
      <c r="AH573" s="122"/>
      <c r="AI573" s="122"/>
      <c r="AJ573" s="122"/>
      <c r="AK573" s="122"/>
      <c r="AL573" s="21"/>
      <c r="AM573" s="122" t="s">
        <v>66</v>
      </c>
    </row>
    <row r="574" spans="1:39" customFormat="1" ht="15.75" customHeight="1" x14ac:dyDescent="0.3">
      <c r="A574" t="s">
        <v>66</v>
      </c>
      <c r="B574" s="21" t="s">
        <v>766</v>
      </c>
      <c r="C574" s="21" t="s">
        <v>764</v>
      </c>
      <c r="D574" s="117" t="s">
        <v>498</v>
      </c>
      <c r="E574" s="21"/>
      <c r="F574" s="21" t="s">
        <v>419</v>
      </c>
      <c r="G574" s="21">
        <v>96.05</v>
      </c>
      <c r="H574" s="21"/>
      <c r="I574" s="117" t="s">
        <v>645</v>
      </c>
      <c r="J574" s="117" t="s">
        <v>325</v>
      </c>
      <c r="K574" s="118"/>
      <c r="L574" s="21"/>
      <c r="M574" s="21"/>
      <c r="N574" s="21">
        <v>21.85</v>
      </c>
      <c r="O574" s="21"/>
      <c r="P574" s="21">
        <v>74.2</v>
      </c>
      <c r="Q574" s="21"/>
      <c r="R574" s="21" t="s">
        <v>625</v>
      </c>
      <c r="S574" s="119">
        <f>DATABASE_Table[[#This Row],[Inicial Asking Price (€) (Total)]]-DATABASE_Table[[#This Row],[Vista membership]]-DATABASE_Table[[#This Row],[FF&amp;E]]</f>
        <v>650000</v>
      </c>
      <c r="T574" s="120">
        <v>650000</v>
      </c>
      <c r="U574" s="36">
        <v>680000</v>
      </c>
      <c r="V574" s="21"/>
      <c r="W574" s="21"/>
      <c r="X574" s="73">
        <f>DATABASE_Table[[#This Row],[Current Asking price( Total)]]-DATABASE_Table[[#This Row],[Vista membership]]-DATABASE_Table[[#This Row],[FF&amp;E]]</f>
        <v>680000</v>
      </c>
      <c r="Y574" s="37">
        <v>0</v>
      </c>
      <c r="Z574" s="36">
        <v>680000</v>
      </c>
      <c r="AA574" s="73">
        <f>DATABASE_Table[[#This Row],[Sell price (Total)]]-DATABASE_Table[[#This Row],[FF&amp;E]]-DATABASE_Table[[#This Row],[Vista membership]]</f>
        <v>680000</v>
      </c>
      <c r="AB574" s="74">
        <v>44518</v>
      </c>
      <c r="AC574" s="74" t="str">
        <f t="shared" si="8"/>
        <v>Q4 2021</v>
      </c>
      <c r="AD574" s="121">
        <v>45069</v>
      </c>
      <c r="AE574" s="69">
        <v>46843</v>
      </c>
      <c r="AF574" s="21" t="s">
        <v>57</v>
      </c>
      <c r="AG574" s="21" t="s">
        <v>68</v>
      </c>
      <c r="AH574" s="122"/>
      <c r="AI574" s="122"/>
      <c r="AJ574" s="122"/>
      <c r="AK574" s="122"/>
      <c r="AL574" s="21"/>
      <c r="AM574" s="122" t="s">
        <v>66</v>
      </c>
    </row>
    <row r="575" spans="1:39" customFormat="1" ht="15.75" customHeight="1" x14ac:dyDescent="0.3">
      <c r="A575" t="s">
        <v>66</v>
      </c>
      <c r="B575" s="21" t="s">
        <v>766</v>
      </c>
      <c r="C575" s="21" t="s">
        <v>764</v>
      </c>
      <c r="D575" s="117" t="s">
        <v>500</v>
      </c>
      <c r="E575" s="21"/>
      <c r="F575" s="21" t="s">
        <v>419</v>
      </c>
      <c r="G575" s="21">
        <v>117.1</v>
      </c>
      <c r="H575" s="21"/>
      <c r="I575" s="117" t="s">
        <v>647</v>
      </c>
      <c r="J575" s="117" t="s">
        <v>325</v>
      </c>
      <c r="K575" s="118"/>
      <c r="L575" s="21"/>
      <c r="M575" s="21"/>
      <c r="N575" s="21">
        <v>48.05</v>
      </c>
      <c r="O575" s="21"/>
      <c r="P575" s="21">
        <v>69.05</v>
      </c>
      <c r="Q575" s="21"/>
      <c r="R575" s="21" t="s">
        <v>625</v>
      </c>
      <c r="S575" s="119">
        <f>DATABASE_Table[[#This Row],[Inicial Asking Price (€) (Total)]]-DATABASE_Table[[#This Row],[Vista membership]]-DATABASE_Table[[#This Row],[FF&amp;E]]</f>
        <v>440000</v>
      </c>
      <c r="T575" s="120">
        <v>440000</v>
      </c>
      <c r="U575" s="36">
        <v>450000</v>
      </c>
      <c r="V575" s="21"/>
      <c r="W575" s="21"/>
      <c r="X575" s="73">
        <f>DATABASE_Table[[#This Row],[Current Asking price( Total)]]-DATABASE_Table[[#This Row],[Vista membership]]-DATABASE_Table[[#This Row],[FF&amp;E]]</f>
        <v>450000</v>
      </c>
      <c r="Y575" s="37">
        <v>0</v>
      </c>
      <c r="Z575" s="36">
        <v>450000</v>
      </c>
      <c r="AA575" s="73">
        <f>DATABASE_Table[[#This Row],[Sell price (Total)]]-DATABASE_Table[[#This Row],[FF&amp;E]]-DATABASE_Table[[#This Row],[Vista membership]]</f>
        <v>450000</v>
      </c>
      <c r="AB575" s="74">
        <v>44518</v>
      </c>
      <c r="AC575" s="74" t="str">
        <f t="shared" si="8"/>
        <v>Q4 2021</v>
      </c>
      <c r="AD575" s="121">
        <v>44974</v>
      </c>
      <c r="AE575" s="69">
        <v>46843</v>
      </c>
      <c r="AF575" s="21" t="s">
        <v>57</v>
      </c>
      <c r="AG575" s="21" t="s">
        <v>68</v>
      </c>
      <c r="AH575" s="122"/>
      <c r="AI575" s="122"/>
      <c r="AJ575" s="122"/>
      <c r="AK575" s="122"/>
      <c r="AL575" s="21"/>
      <c r="AM575" s="122" t="s">
        <v>66</v>
      </c>
    </row>
    <row r="576" spans="1:39" customFormat="1" ht="15.75" customHeight="1" x14ac:dyDescent="0.3">
      <c r="A576" t="s">
        <v>66</v>
      </c>
      <c r="B576" s="21" t="s">
        <v>766</v>
      </c>
      <c r="C576" s="21" t="s">
        <v>764</v>
      </c>
      <c r="D576" s="117" t="s">
        <v>501</v>
      </c>
      <c r="E576" s="21"/>
      <c r="F576" s="21" t="s">
        <v>419</v>
      </c>
      <c r="G576" s="21">
        <v>81.349999999999994</v>
      </c>
      <c r="H576" s="21"/>
      <c r="I576" s="117" t="s">
        <v>648</v>
      </c>
      <c r="J576" s="117" t="s">
        <v>325</v>
      </c>
      <c r="K576" s="118"/>
      <c r="L576" s="21"/>
      <c r="M576" s="21"/>
      <c r="N576" s="21">
        <v>16.95</v>
      </c>
      <c r="O576" s="21"/>
      <c r="P576" s="21">
        <v>64.400000000000006</v>
      </c>
      <c r="Q576" s="21"/>
      <c r="R576" s="21" t="s">
        <v>625</v>
      </c>
      <c r="S576" s="119">
        <f>DATABASE_Table[[#This Row],[Inicial Asking Price (€) (Total)]]-DATABASE_Table[[#This Row],[Vista membership]]-DATABASE_Table[[#This Row],[FF&amp;E]]</f>
        <v>550000</v>
      </c>
      <c r="T576" s="120">
        <v>550000</v>
      </c>
      <c r="U576" s="36">
        <v>425000</v>
      </c>
      <c r="V576" s="21"/>
      <c r="W576" s="21"/>
      <c r="X576" s="73">
        <f>DATABASE_Table[[#This Row],[Current Asking price( Total)]]-DATABASE_Table[[#This Row],[Vista membership]]-DATABASE_Table[[#This Row],[FF&amp;E]]</f>
        <v>425000</v>
      </c>
      <c r="Y576" s="37">
        <v>0</v>
      </c>
      <c r="Z576" s="36">
        <v>425000</v>
      </c>
      <c r="AA576" s="73">
        <f>DATABASE_Table[[#This Row],[Sell price (Total)]]-DATABASE_Table[[#This Row],[FF&amp;E]]-DATABASE_Table[[#This Row],[Vista membership]]</f>
        <v>425000</v>
      </c>
      <c r="AB576" s="74">
        <v>44518</v>
      </c>
      <c r="AC576" s="74" t="str">
        <f t="shared" si="8"/>
        <v>Q4 2021</v>
      </c>
      <c r="AD576" s="121">
        <v>45110</v>
      </c>
      <c r="AE576" s="69">
        <v>46843</v>
      </c>
      <c r="AF576" s="21" t="s">
        <v>57</v>
      </c>
      <c r="AG576" s="21" t="s">
        <v>68</v>
      </c>
      <c r="AH576" s="122"/>
      <c r="AI576" s="122"/>
      <c r="AJ576" s="122"/>
      <c r="AK576" s="122"/>
      <c r="AL576" s="21"/>
      <c r="AM576" s="122" t="s">
        <v>66</v>
      </c>
    </row>
    <row r="577" spans="1:39" customFormat="1" ht="15.75" customHeight="1" x14ac:dyDescent="0.3">
      <c r="A577" t="s">
        <v>66</v>
      </c>
      <c r="B577" s="21" t="s">
        <v>766</v>
      </c>
      <c r="C577" s="21" t="s">
        <v>764</v>
      </c>
      <c r="D577" s="117" t="s">
        <v>502</v>
      </c>
      <c r="E577" s="21"/>
      <c r="F577" s="21" t="s">
        <v>419</v>
      </c>
      <c r="G577" s="21">
        <v>99.7</v>
      </c>
      <c r="H577" s="21"/>
      <c r="I577" s="117" t="s">
        <v>649</v>
      </c>
      <c r="J577" s="117" t="s">
        <v>325</v>
      </c>
      <c r="K577" s="118"/>
      <c r="L577" s="21"/>
      <c r="M577" s="21"/>
      <c r="N577" s="21">
        <v>28.6</v>
      </c>
      <c r="O577" s="21"/>
      <c r="P577" s="21">
        <v>71.099999999999994</v>
      </c>
      <c r="Q577" s="21"/>
      <c r="R577" s="21" t="s">
        <v>625</v>
      </c>
      <c r="S577" s="119">
        <f>DATABASE_Table[[#This Row],[Inicial Asking Price (€) (Total)]]-DATABASE_Table[[#This Row],[Vista membership]]-DATABASE_Table[[#This Row],[FF&amp;E]]</f>
        <v>550000</v>
      </c>
      <c r="T577" s="120">
        <v>550000</v>
      </c>
      <c r="U577" s="36">
        <v>455000</v>
      </c>
      <c r="V577" s="21"/>
      <c r="W577" s="21"/>
      <c r="X577" s="73">
        <f>DATABASE_Table[[#This Row],[Current Asking price( Total)]]-DATABASE_Table[[#This Row],[Vista membership]]-DATABASE_Table[[#This Row],[FF&amp;E]]</f>
        <v>455000</v>
      </c>
      <c r="Y577" s="37">
        <v>0</v>
      </c>
      <c r="Z577" s="36">
        <v>455000</v>
      </c>
      <c r="AA577" s="73">
        <f>DATABASE_Table[[#This Row],[Sell price (Total)]]-DATABASE_Table[[#This Row],[FF&amp;E]]-DATABASE_Table[[#This Row],[Vista membership]]</f>
        <v>455000</v>
      </c>
      <c r="AB577" s="74">
        <v>44518</v>
      </c>
      <c r="AC577" s="74" t="str">
        <f t="shared" si="8"/>
        <v>Q4 2021</v>
      </c>
      <c r="AD577" s="121">
        <v>45079</v>
      </c>
      <c r="AE577" s="69">
        <v>46843</v>
      </c>
      <c r="AF577" s="21" t="s">
        <v>57</v>
      </c>
      <c r="AG577" s="21" t="s">
        <v>68</v>
      </c>
      <c r="AH577" s="122"/>
      <c r="AI577" s="122"/>
      <c r="AJ577" s="122"/>
      <c r="AK577" s="122"/>
      <c r="AL577" s="21"/>
      <c r="AM577" s="122" t="s">
        <v>66</v>
      </c>
    </row>
    <row r="578" spans="1:39" customFormat="1" ht="15.75" customHeight="1" x14ac:dyDescent="0.3">
      <c r="A578" t="s">
        <v>66</v>
      </c>
      <c r="B578" s="21" t="s">
        <v>766</v>
      </c>
      <c r="C578" s="21" t="s">
        <v>764</v>
      </c>
      <c r="D578" s="117" t="s">
        <v>503</v>
      </c>
      <c r="E578" s="21"/>
      <c r="F578" s="21" t="s">
        <v>504</v>
      </c>
      <c r="G578" s="21">
        <v>245.6</v>
      </c>
      <c r="H578" s="21"/>
      <c r="I578" s="117" t="s">
        <v>650</v>
      </c>
      <c r="J578" s="117" t="s">
        <v>325</v>
      </c>
      <c r="K578" s="118"/>
      <c r="L578" s="21"/>
      <c r="M578" s="21"/>
      <c r="N578" s="21">
        <v>95.75</v>
      </c>
      <c r="O578" s="21"/>
      <c r="P578" s="21">
        <v>149.85</v>
      </c>
      <c r="Q578" s="21"/>
      <c r="R578" s="21" t="s">
        <v>625</v>
      </c>
      <c r="S578" s="119">
        <f>DATABASE_Table[[#This Row],[Inicial Asking Price (€) (Total)]]-DATABASE_Table[[#This Row],[Vista membership]]-DATABASE_Table[[#This Row],[FF&amp;E]]</f>
        <v>680000</v>
      </c>
      <c r="T578" s="120">
        <v>680000</v>
      </c>
      <c r="U578" s="36">
        <v>1700000</v>
      </c>
      <c r="V578" s="21"/>
      <c r="W578" s="21"/>
      <c r="X578" s="73">
        <f>DATABASE_Table[[#This Row],[Current Asking price( Total)]]-DATABASE_Table[[#This Row],[Vista membership]]-DATABASE_Table[[#This Row],[FF&amp;E]]</f>
        <v>1700000</v>
      </c>
      <c r="Y578" s="37">
        <v>0</v>
      </c>
      <c r="Z578" s="36">
        <v>1700000</v>
      </c>
      <c r="AA578" s="73">
        <f>DATABASE_Table[[#This Row],[Sell price (Total)]]-DATABASE_Table[[#This Row],[FF&amp;E]]-DATABASE_Table[[#This Row],[Vista membership]]</f>
        <v>1700000</v>
      </c>
      <c r="AB578" s="74">
        <v>44518</v>
      </c>
      <c r="AC578" s="74" t="str">
        <f t="shared" ref="AC578:AC641" si="9">IF(AB578="","TO LAUNCH","Q"&amp;ROUNDUP(MONTH(AB578)/3,0)&amp;" "&amp;YEAR(AB578))</f>
        <v>Q4 2021</v>
      </c>
      <c r="AD578" s="121">
        <v>45989</v>
      </c>
      <c r="AE578" s="69">
        <v>46843</v>
      </c>
      <c r="AF578" s="21" t="s">
        <v>57</v>
      </c>
      <c r="AG578" s="21" t="s">
        <v>68</v>
      </c>
      <c r="AH578" s="122"/>
      <c r="AI578" s="122"/>
      <c r="AJ578" s="122"/>
      <c r="AK578" s="122"/>
      <c r="AL578" s="21"/>
      <c r="AM578" s="122" t="s">
        <v>66</v>
      </c>
    </row>
    <row r="579" spans="1:39" customFormat="1" ht="15.75" customHeight="1" x14ac:dyDescent="0.3">
      <c r="A579" t="s">
        <v>66</v>
      </c>
      <c r="B579" s="21" t="s">
        <v>766</v>
      </c>
      <c r="C579" s="21" t="s">
        <v>764</v>
      </c>
      <c r="D579" s="117" t="s">
        <v>505</v>
      </c>
      <c r="E579" s="21"/>
      <c r="F579" s="21" t="s">
        <v>506</v>
      </c>
      <c r="G579" s="21">
        <v>223.65</v>
      </c>
      <c r="H579" s="21"/>
      <c r="I579" s="117" t="s">
        <v>651</v>
      </c>
      <c r="J579" s="117" t="s">
        <v>325</v>
      </c>
      <c r="K579" s="118"/>
      <c r="L579" s="21"/>
      <c r="M579" s="21"/>
      <c r="N579" s="21">
        <v>73.95</v>
      </c>
      <c r="O579" s="21"/>
      <c r="P579" s="21">
        <v>149.69999999999999</v>
      </c>
      <c r="Q579" s="21"/>
      <c r="R579" s="21" t="s">
        <v>625</v>
      </c>
      <c r="S579" s="119">
        <f>DATABASE_Table[[#This Row],[Inicial Asking Price (€) (Total)]]-DATABASE_Table[[#This Row],[Vista membership]]-DATABASE_Table[[#This Row],[FF&amp;E]]</f>
        <v>570000</v>
      </c>
      <c r="T579" s="120">
        <v>570000</v>
      </c>
      <c r="U579" s="36">
        <v>1550000</v>
      </c>
      <c r="V579" s="21"/>
      <c r="W579" s="21"/>
      <c r="X579" s="73">
        <f>DATABASE_Table[[#This Row],[Current Asking price( Total)]]-DATABASE_Table[[#This Row],[Vista membership]]-DATABASE_Table[[#This Row],[FF&amp;E]]</f>
        <v>1550000</v>
      </c>
      <c r="Y579" s="37">
        <v>0</v>
      </c>
      <c r="Z579" s="36">
        <v>1550000</v>
      </c>
      <c r="AA579" s="73">
        <f>DATABASE_Table[[#This Row],[Sell price (Total)]]-DATABASE_Table[[#This Row],[FF&amp;E]]-DATABASE_Table[[#This Row],[Vista membership]]</f>
        <v>1550000</v>
      </c>
      <c r="AB579" s="74">
        <v>44518</v>
      </c>
      <c r="AC579" s="74" t="str">
        <f t="shared" si="9"/>
        <v>Q4 2021</v>
      </c>
      <c r="AD579" s="121">
        <v>45002</v>
      </c>
      <c r="AE579" s="69">
        <v>46843</v>
      </c>
      <c r="AF579" s="21" t="s">
        <v>57</v>
      </c>
      <c r="AG579" s="21" t="s">
        <v>68</v>
      </c>
      <c r="AH579" s="122"/>
      <c r="AI579" s="122"/>
      <c r="AJ579" s="122"/>
      <c r="AK579" s="122"/>
      <c r="AL579" s="21"/>
      <c r="AM579" s="122" t="s">
        <v>66</v>
      </c>
    </row>
    <row r="580" spans="1:39" customFormat="1" ht="15.75" customHeight="1" x14ac:dyDescent="0.3">
      <c r="A580" t="s">
        <v>66</v>
      </c>
      <c r="B580" s="21" t="s">
        <v>766</v>
      </c>
      <c r="C580" s="21" t="s">
        <v>764</v>
      </c>
      <c r="D580" s="117" t="s">
        <v>507</v>
      </c>
      <c r="E580" s="21"/>
      <c r="F580" s="21" t="s">
        <v>319</v>
      </c>
      <c r="G580" s="21">
        <v>156.55000000000001</v>
      </c>
      <c r="H580" s="21"/>
      <c r="I580" s="117" t="s">
        <v>652</v>
      </c>
      <c r="J580" s="117" t="s">
        <v>325</v>
      </c>
      <c r="K580" s="118"/>
      <c r="L580" s="21"/>
      <c r="M580" s="21"/>
      <c r="N580" s="21">
        <v>35.950000000000003</v>
      </c>
      <c r="O580" s="21"/>
      <c r="P580" s="21">
        <v>120.6</v>
      </c>
      <c r="Q580" s="21"/>
      <c r="R580" s="21" t="s">
        <v>625</v>
      </c>
      <c r="S580" s="119">
        <f>DATABASE_Table[[#This Row],[Inicial Asking Price (€) (Total)]]-DATABASE_Table[[#This Row],[Vista membership]]-DATABASE_Table[[#This Row],[FF&amp;E]]</f>
        <v>660000</v>
      </c>
      <c r="T580" s="120">
        <v>660000</v>
      </c>
      <c r="U580" s="36">
        <v>1200000</v>
      </c>
      <c r="V580" s="21"/>
      <c r="W580" s="21"/>
      <c r="X580" s="73">
        <f>DATABASE_Table[[#This Row],[Current Asking price( Total)]]-DATABASE_Table[[#This Row],[Vista membership]]-DATABASE_Table[[#This Row],[FF&amp;E]]</f>
        <v>1200000</v>
      </c>
      <c r="Y580" s="37">
        <v>0</v>
      </c>
      <c r="Z580" s="36">
        <v>1200000</v>
      </c>
      <c r="AA580" s="73">
        <f>DATABASE_Table[[#This Row],[Sell price (Total)]]-DATABASE_Table[[#This Row],[FF&amp;E]]-DATABASE_Table[[#This Row],[Vista membership]]</f>
        <v>1200000</v>
      </c>
      <c r="AB580" s="74">
        <v>44518</v>
      </c>
      <c r="AC580" s="74" t="str">
        <f t="shared" si="9"/>
        <v>Q4 2021</v>
      </c>
      <c r="AD580" s="121">
        <v>45037</v>
      </c>
      <c r="AE580" s="69">
        <v>46843</v>
      </c>
      <c r="AF580" s="21" t="s">
        <v>57</v>
      </c>
      <c r="AG580" s="21" t="s">
        <v>68</v>
      </c>
      <c r="AH580" s="122"/>
      <c r="AI580" s="122"/>
      <c r="AJ580" s="122"/>
      <c r="AK580" s="122"/>
      <c r="AL580" s="21"/>
      <c r="AM580" s="122" t="s">
        <v>66</v>
      </c>
    </row>
    <row r="581" spans="1:39" customFormat="1" ht="15.75" customHeight="1" x14ac:dyDescent="0.3">
      <c r="A581" t="s">
        <v>66</v>
      </c>
      <c r="B581" s="21" t="s">
        <v>766</v>
      </c>
      <c r="C581" s="21" t="s">
        <v>764</v>
      </c>
      <c r="D581" s="117" t="s">
        <v>508</v>
      </c>
      <c r="E581" s="21"/>
      <c r="F581" s="21" t="s">
        <v>319</v>
      </c>
      <c r="G581" s="21">
        <v>160.5</v>
      </c>
      <c r="H581" s="21"/>
      <c r="I581" s="117" t="s">
        <v>653</v>
      </c>
      <c r="J581" s="117" t="s">
        <v>325</v>
      </c>
      <c r="K581" s="118"/>
      <c r="L581" s="21"/>
      <c r="M581" s="21"/>
      <c r="N581" s="21">
        <v>38.700000000000003</v>
      </c>
      <c r="O581" s="21"/>
      <c r="P581" s="21">
        <v>121.8</v>
      </c>
      <c r="Q581" s="21"/>
      <c r="R581" s="21" t="s">
        <v>625</v>
      </c>
      <c r="S581" s="119">
        <f>DATABASE_Table[[#This Row],[Inicial Asking Price (€) (Total)]]-DATABASE_Table[[#This Row],[Vista membership]]-DATABASE_Table[[#This Row],[FF&amp;E]]</f>
        <v>440000</v>
      </c>
      <c r="T581" s="120">
        <v>440000</v>
      </c>
      <c r="U581" s="36">
        <v>840000</v>
      </c>
      <c r="V581" s="21"/>
      <c r="W581" s="21"/>
      <c r="X581" s="73">
        <f>DATABASE_Table[[#This Row],[Current Asking price( Total)]]-DATABASE_Table[[#This Row],[Vista membership]]-DATABASE_Table[[#This Row],[FF&amp;E]]</f>
        <v>840000</v>
      </c>
      <c r="Y581" s="37">
        <v>0</v>
      </c>
      <c r="Z581" s="36">
        <v>840000</v>
      </c>
      <c r="AA581" s="73">
        <f>DATABASE_Table[[#This Row],[Sell price (Total)]]-DATABASE_Table[[#This Row],[FF&amp;E]]-DATABASE_Table[[#This Row],[Vista membership]]</f>
        <v>840000</v>
      </c>
      <c r="AB581" s="74">
        <v>44518</v>
      </c>
      <c r="AC581" s="74" t="str">
        <f t="shared" si="9"/>
        <v>Q4 2021</v>
      </c>
      <c r="AD581" s="121">
        <v>44967</v>
      </c>
      <c r="AE581" s="69">
        <v>46843</v>
      </c>
      <c r="AF581" s="21" t="s">
        <v>57</v>
      </c>
      <c r="AG581" s="21" t="s">
        <v>68</v>
      </c>
      <c r="AH581" s="122"/>
      <c r="AI581" s="122"/>
      <c r="AJ581" s="122"/>
      <c r="AK581" s="122"/>
      <c r="AL581" s="21"/>
      <c r="AM581" s="122" t="s">
        <v>66</v>
      </c>
    </row>
    <row r="582" spans="1:39" customFormat="1" ht="15.75" customHeight="1" x14ac:dyDescent="0.3">
      <c r="A582" t="s">
        <v>66</v>
      </c>
      <c r="B582" s="21" t="s">
        <v>766</v>
      </c>
      <c r="C582" s="21" t="s">
        <v>764</v>
      </c>
      <c r="D582" s="117" t="s">
        <v>509</v>
      </c>
      <c r="E582" s="21"/>
      <c r="F582" s="21" t="s">
        <v>319</v>
      </c>
      <c r="G582" s="21">
        <v>158.30000000000001</v>
      </c>
      <c r="H582" s="21"/>
      <c r="I582" s="117" t="s">
        <v>654</v>
      </c>
      <c r="J582" s="117" t="s">
        <v>325</v>
      </c>
      <c r="K582" s="118"/>
      <c r="L582" s="21"/>
      <c r="M582" s="21"/>
      <c r="N582" s="21">
        <v>36.799999999999997</v>
      </c>
      <c r="O582" s="21"/>
      <c r="P582" s="21">
        <v>121.5</v>
      </c>
      <c r="Q582" s="21"/>
      <c r="R582" s="21" t="s">
        <v>625</v>
      </c>
      <c r="S582" s="119">
        <f>DATABASE_Table[[#This Row],[Inicial Asking Price (€) (Total)]]-DATABASE_Table[[#This Row],[Vista membership]]-DATABASE_Table[[#This Row],[FF&amp;E]]</f>
        <v>540000</v>
      </c>
      <c r="T582" s="120">
        <v>540000</v>
      </c>
      <c r="U582" s="36">
        <v>1100000</v>
      </c>
      <c r="V582" s="21"/>
      <c r="W582" s="21"/>
      <c r="X582" s="73">
        <f>DATABASE_Table[[#This Row],[Current Asking price( Total)]]-DATABASE_Table[[#This Row],[Vista membership]]-DATABASE_Table[[#This Row],[FF&amp;E]]</f>
        <v>1100000</v>
      </c>
      <c r="Y582" s="37">
        <v>0</v>
      </c>
      <c r="Z582" s="36">
        <v>1100000</v>
      </c>
      <c r="AA582" s="73">
        <f>DATABASE_Table[[#This Row],[Sell price (Total)]]-DATABASE_Table[[#This Row],[FF&amp;E]]-DATABASE_Table[[#This Row],[Vista membership]]</f>
        <v>1100000</v>
      </c>
      <c r="AB582" s="74">
        <v>44518</v>
      </c>
      <c r="AC582" s="74" t="str">
        <f t="shared" si="9"/>
        <v>Q4 2021</v>
      </c>
      <c r="AD582" s="121">
        <v>45069</v>
      </c>
      <c r="AE582" s="69">
        <v>46843</v>
      </c>
      <c r="AF582" s="21" t="s">
        <v>57</v>
      </c>
      <c r="AG582" s="21" t="s">
        <v>68</v>
      </c>
      <c r="AH582" s="122"/>
      <c r="AI582" s="122"/>
      <c r="AJ582" s="122"/>
      <c r="AK582" s="122"/>
      <c r="AL582" s="21"/>
      <c r="AM582" s="122" t="s">
        <v>66</v>
      </c>
    </row>
    <row r="583" spans="1:39" customFormat="1" ht="15.75" customHeight="1" x14ac:dyDescent="0.3">
      <c r="A583" t="s">
        <v>66</v>
      </c>
      <c r="B583" s="21" t="s">
        <v>766</v>
      </c>
      <c r="C583" s="21" t="s">
        <v>764</v>
      </c>
      <c r="D583" s="117" t="s">
        <v>510</v>
      </c>
      <c r="E583" s="21"/>
      <c r="F583" s="21" t="s">
        <v>319</v>
      </c>
      <c r="G583" s="21">
        <v>158.30000000000001</v>
      </c>
      <c r="H583" s="21"/>
      <c r="I583" s="117" t="s">
        <v>655</v>
      </c>
      <c r="J583" s="117" t="s">
        <v>325</v>
      </c>
      <c r="K583" s="118"/>
      <c r="L583" s="21"/>
      <c r="M583" s="21"/>
      <c r="N583" s="21">
        <v>36.799999999999997</v>
      </c>
      <c r="O583" s="21"/>
      <c r="P583" s="21">
        <v>121.5</v>
      </c>
      <c r="Q583" s="21"/>
      <c r="R583" s="21" t="s">
        <v>625</v>
      </c>
      <c r="S583" s="119">
        <f>DATABASE_Table[[#This Row],[Inicial Asking Price (€) (Total)]]-DATABASE_Table[[#This Row],[Vista membership]]-DATABASE_Table[[#This Row],[FF&amp;E]]</f>
        <v>660000</v>
      </c>
      <c r="T583" s="120">
        <v>660000</v>
      </c>
      <c r="U583" s="36">
        <v>1000000</v>
      </c>
      <c r="V583" s="21"/>
      <c r="W583" s="21"/>
      <c r="X583" s="73">
        <f>DATABASE_Table[[#This Row],[Current Asking price( Total)]]-DATABASE_Table[[#This Row],[Vista membership]]-DATABASE_Table[[#This Row],[FF&amp;E]]</f>
        <v>1000000</v>
      </c>
      <c r="Y583" s="37">
        <v>0</v>
      </c>
      <c r="Z583" s="36">
        <v>1000000</v>
      </c>
      <c r="AA583" s="73">
        <f>DATABASE_Table[[#This Row],[Sell price (Total)]]-DATABASE_Table[[#This Row],[FF&amp;E]]-DATABASE_Table[[#This Row],[Vista membership]]</f>
        <v>1000000</v>
      </c>
      <c r="AB583" s="74">
        <v>44518</v>
      </c>
      <c r="AC583" s="74" t="str">
        <f t="shared" si="9"/>
        <v>Q4 2021</v>
      </c>
      <c r="AD583" s="121">
        <v>44988</v>
      </c>
      <c r="AE583" s="69">
        <v>46843</v>
      </c>
      <c r="AF583" s="21" t="s">
        <v>57</v>
      </c>
      <c r="AG583" s="21" t="s">
        <v>68</v>
      </c>
      <c r="AH583" s="122"/>
      <c r="AI583" s="122"/>
      <c r="AJ583" s="122"/>
      <c r="AK583" s="122"/>
      <c r="AL583" s="21"/>
      <c r="AM583" s="122" t="s">
        <v>66</v>
      </c>
    </row>
    <row r="584" spans="1:39" customFormat="1" ht="15.75" customHeight="1" x14ac:dyDescent="0.3">
      <c r="A584" t="s">
        <v>66</v>
      </c>
      <c r="B584" s="21" t="s">
        <v>766</v>
      </c>
      <c r="C584" s="21" t="s">
        <v>764</v>
      </c>
      <c r="D584" s="117" t="s">
        <v>511</v>
      </c>
      <c r="E584" s="21"/>
      <c r="F584" s="21" t="s">
        <v>319</v>
      </c>
      <c r="G584" s="21">
        <v>158.30000000000001</v>
      </c>
      <c r="H584" s="21"/>
      <c r="I584" s="117" t="s">
        <v>656</v>
      </c>
      <c r="J584" s="117" t="s">
        <v>325</v>
      </c>
      <c r="K584" s="118"/>
      <c r="L584" s="21"/>
      <c r="M584" s="21"/>
      <c r="N584" s="21">
        <v>36.799999999999997</v>
      </c>
      <c r="O584" s="21"/>
      <c r="P584" s="21">
        <v>121.5</v>
      </c>
      <c r="Q584" s="21"/>
      <c r="R584" s="21" t="s">
        <v>625</v>
      </c>
      <c r="S584" s="119">
        <f>DATABASE_Table[[#This Row],[Inicial Asking Price (€) (Total)]]-DATABASE_Table[[#This Row],[Vista membership]]-DATABASE_Table[[#This Row],[FF&amp;E]]</f>
        <v>550000</v>
      </c>
      <c r="T584" s="120">
        <v>550000</v>
      </c>
      <c r="U584" s="36">
        <v>840000</v>
      </c>
      <c r="V584" s="21"/>
      <c r="W584" s="21"/>
      <c r="X584" s="73">
        <f>DATABASE_Table[[#This Row],[Current Asking price( Total)]]-DATABASE_Table[[#This Row],[Vista membership]]-DATABASE_Table[[#This Row],[FF&amp;E]]</f>
        <v>840000</v>
      </c>
      <c r="Y584" s="37">
        <v>0</v>
      </c>
      <c r="Z584" s="36">
        <v>840000</v>
      </c>
      <c r="AA584" s="73">
        <f>DATABASE_Table[[#This Row],[Sell price (Total)]]-DATABASE_Table[[#This Row],[FF&amp;E]]-DATABASE_Table[[#This Row],[Vista membership]]</f>
        <v>840000</v>
      </c>
      <c r="AB584" s="74">
        <v>44518</v>
      </c>
      <c r="AC584" s="74" t="str">
        <f t="shared" si="9"/>
        <v>Q4 2021</v>
      </c>
      <c r="AD584" s="121">
        <v>45079</v>
      </c>
      <c r="AE584" s="69">
        <v>46843</v>
      </c>
      <c r="AF584" s="21" t="s">
        <v>57</v>
      </c>
      <c r="AG584" s="21" t="s">
        <v>68</v>
      </c>
      <c r="AH584" s="122"/>
      <c r="AI584" s="122"/>
      <c r="AJ584" s="122"/>
      <c r="AK584" s="122"/>
      <c r="AL584" s="21"/>
      <c r="AM584" s="122" t="s">
        <v>66</v>
      </c>
    </row>
    <row r="585" spans="1:39" customFormat="1" ht="15.75" customHeight="1" x14ac:dyDescent="0.3">
      <c r="A585" t="s">
        <v>66</v>
      </c>
      <c r="B585" s="21" t="s">
        <v>766</v>
      </c>
      <c r="C585" s="21" t="s">
        <v>764</v>
      </c>
      <c r="D585" s="117" t="s">
        <v>512</v>
      </c>
      <c r="E585" s="21"/>
      <c r="F585" s="21" t="s">
        <v>319</v>
      </c>
      <c r="G585" s="21">
        <v>158.30000000000001</v>
      </c>
      <c r="H585" s="21"/>
      <c r="I585" s="117" t="s">
        <v>657</v>
      </c>
      <c r="J585" s="117" t="s">
        <v>325</v>
      </c>
      <c r="K585" s="118"/>
      <c r="L585" s="21"/>
      <c r="M585" s="21"/>
      <c r="N585" s="21">
        <v>36.799999999999997</v>
      </c>
      <c r="O585" s="21"/>
      <c r="P585" s="21">
        <v>121.5</v>
      </c>
      <c r="Q585" s="21"/>
      <c r="R585" s="21" t="s">
        <v>625</v>
      </c>
      <c r="S585" s="119">
        <f>DATABASE_Table[[#This Row],[Inicial Asking Price (€) (Total)]]-DATABASE_Table[[#This Row],[Vista membership]]-DATABASE_Table[[#This Row],[FF&amp;E]]</f>
        <v>790000</v>
      </c>
      <c r="T585" s="124">
        <v>790000</v>
      </c>
      <c r="U585" s="36">
        <v>900000</v>
      </c>
      <c r="V585" s="21"/>
      <c r="W585" s="21"/>
      <c r="X585" s="73">
        <f>DATABASE_Table[[#This Row],[Current Asking price( Total)]]-DATABASE_Table[[#This Row],[Vista membership]]-DATABASE_Table[[#This Row],[FF&amp;E]]</f>
        <v>900000</v>
      </c>
      <c r="Y585" s="37">
        <v>0</v>
      </c>
      <c r="Z585" s="36">
        <v>900000</v>
      </c>
      <c r="AA585" s="73">
        <f>DATABASE_Table[[#This Row],[Sell price (Total)]]-DATABASE_Table[[#This Row],[FF&amp;E]]-DATABASE_Table[[#This Row],[Vista membership]]</f>
        <v>900000</v>
      </c>
      <c r="AB585" s="74">
        <v>44518</v>
      </c>
      <c r="AC585" s="74" t="str">
        <f t="shared" si="9"/>
        <v>Q4 2021</v>
      </c>
      <c r="AD585" s="121">
        <v>44956</v>
      </c>
      <c r="AE585" s="69">
        <v>46843</v>
      </c>
      <c r="AF585" s="21" t="s">
        <v>57</v>
      </c>
      <c r="AG585" s="21" t="s">
        <v>68</v>
      </c>
      <c r="AH585" s="122"/>
      <c r="AI585" s="122"/>
      <c r="AJ585" s="122"/>
      <c r="AK585" s="122"/>
      <c r="AL585" s="21"/>
      <c r="AM585" s="122" t="s">
        <v>66</v>
      </c>
    </row>
    <row r="586" spans="1:39" customFormat="1" ht="15.75" customHeight="1" x14ac:dyDescent="0.3">
      <c r="A586" t="s">
        <v>66</v>
      </c>
      <c r="B586" s="21" t="s">
        <v>766</v>
      </c>
      <c r="C586" s="21" t="s">
        <v>764</v>
      </c>
      <c r="D586" s="117" t="s">
        <v>513</v>
      </c>
      <c r="E586" s="21"/>
      <c r="F586" s="21" t="s">
        <v>506</v>
      </c>
      <c r="G586" s="21">
        <v>213.55</v>
      </c>
      <c r="H586" s="21"/>
      <c r="I586" s="117" t="s">
        <v>658</v>
      </c>
      <c r="J586" s="117" t="s">
        <v>325</v>
      </c>
      <c r="K586" s="118"/>
      <c r="L586" s="21"/>
      <c r="M586" s="21"/>
      <c r="N586" s="21">
        <v>63.55</v>
      </c>
      <c r="O586" s="21"/>
      <c r="P586" s="21">
        <v>150</v>
      </c>
      <c r="Q586" s="21"/>
      <c r="R586" s="21" t="s">
        <v>625</v>
      </c>
      <c r="S586" s="119">
        <f>DATABASE_Table[[#This Row],[Inicial Asking Price (€) (Total)]]-DATABASE_Table[[#This Row],[Vista membership]]-DATABASE_Table[[#This Row],[FF&amp;E]]</f>
        <v>650000</v>
      </c>
      <c r="T586" s="120">
        <v>650000</v>
      </c>
      <c r="U586" s="36">
        <v>1315000</v>
      </c>
      <c r="V586" s="21"/>
      <c r="W586" s="21"/>
      <c r="X586" s="73">
        <f>DATABASE_Table[[#This Row],[Current Asking price( Total)]]-DATABASE_Table[[#This Row],[Vista membership]]-DATABASE_Table[[#This Row],[FF&amp;E]]</f>
        <v>1315000</v>
      </c>
      <c r="Y586" s="37">
        <v>0</v>
      </c>
      <c r="Z586" s="36">
        <v>1315000</v>
      </c>
      <c r="AA586" s="73">
        <f>DATABASE_Table[[#This Row],[Sell price (Total)]]-DATABASE_Table[[#This Row],[FF&amp;E]]-DATABASE_Table[[#This Row],[Vista membership]]</f>
        <v>1315000</v>
      </c>
      <c r="AB586" s="74">
        <v>44518</v>
      </c>
      <c r="AC586" s="74" t="str">
        <f t="shared" si="9"/>
        <v>Q4 2021</v>
      </c>
      <c r="AD586" s="121">
        <v>45044</v>
      </c>
      <c r="AE586" s="69">
        <v>46843</v>
      </c>
      <c r="AF586" s="21" t="s">
        <v>57</v>
      </c>
      <c r="AG586" s="21" t="s">
        <v>68</v>
      </c>
      <c r="AH586" s="122"/>
      <c r="AI586" s="122"/>
      <c r="AJ586" s="122"/>
      <c r="AK586" s="122"/>
      <c r="AL586" s="21"/>
      <c r="AM586" s="122" t="s">
        <v>66</v>
      </c>
    </row>
    <row r="587" spans="1:39" customFormat="1" ht="15.75" customHeight="1" x14ac:dyDescent="0.3">
      <c r="A587" t="s">
        <v>66</v>
      </c>
      <c r="B587" s="21" t="s">
        <v>766</v>
      </c>
      <c r="C587" s="21" t="s">
        <v>764</v>
      </c>
      <c r="D587" s="117" t="s">
        <v>514</v>
      </c>
      <c r="E587" s="21"/>
      <c r="F587" s="21" t="s">
        <v>504</v>
      </c>
      <c r="G587" s="21">
        <v>283.3</v>
      </c>
      <c r="H587" s="21"/>
      <c r="I587" s="117" t="s">
        <v>659</v>
      </c>
      <c r="J587" s="117" t="s">
        <v>325</v>
      </c>
      <c r="K587" s="118"/>
      <c r="L587" s="21"/>
      <c r="M587" s="21"/>
      <c r="N587" s="21">
        <v>133.65</v>
      </c>
      <c r="O587" s="21"/>
      <c r="P587" s="21">
        <v>149.65</v>
      </c>
      <c r="Q587" s="21"/>
      <c r="R587" s="21" t="s">
        <v>625</v>
      </c>
      <c r="S587" s="119">
        <f>DATABASE_Table[[#This Row],[Inicial Asking Price (€) (Total)]]-DATABASE_Table[[#This Row],[Vista membership]]-DATABASE_Table[[#This Row],[FF&amp;E]]</f>
        <v>710000</v>
      </c>
      <c r="T587" s="120">
        <v>710000</v>
      </c>
      <c r="U587" s="36">
        <v>1350000</v>
      </c>
      <c r="V587" s="21"/>
      <c r="W587" s="21"/>
      <c r="X587" s="73">
        <f>DATABASE_Table[[#This Row],[Current Asking price( Total)]]-DATABASE_Table[[#This Row],[Vista membership]]-DATABASE_Table[[#This Row],[FF&amp;E]]</f>
        <v>1350000</v>
      </c>
      <c r="Y587" s="37">
        <v>0</v>
      </c>
      <c r="Z587" s="36">
        <v>1350000</v>
      </c>
      <c r="AA587" s="73">
        <f>DATABASE_Table[[#This Row],[Sell price (Total)]]-DATABASE_Table[[#This Row],[FF&amp;E]]-DATABASE_Table[[#This Row],[Vista membership]]</f>
        <v>1350000</v>
      </c>
      <c r="AB587" s="74">
        <v>44518</v>
      </c>
      <c r="AC587" s="74" t="str">
        <f t="shared" si="9"/>
        <v>Q4 2021</v>
      </c>
      <c r="AD587" s="121">
        <v>45148</v>
      </c>
      <c r="AE587" s="69">
        <v>46843</v>
      </c>
      <c r="AF587" s="21" t="s">
        <v>57</v>
      </c>
      <c r="AG587" s="21" t="s">
        <v>68</v>
      </c>
      <c r="AH587" s="122"/>
      <c r="AI587" s="122"/>
      <c r="AJ587" s="122"/>
      <c r="AK587" s="122"/>
      <c r="AL587" s="21"/>
      <c r="AM587" s="122" t="s">
        <v>66</v>
      </c>
    </row>
    <row r="588" spans="1:39" customFormat="1" ht="15.75" customHeight="1" x14ac:dyDescent="0.3">
      <c r="A588" t="s">
        <v>66</v>
      </c>
      <c r="B588" s="21" t="s">
        <v>766</v>
      </c>
      <c r="C588" s="21" t="s">
        <v>764</v>
      </c>
      <c r="D588" s="117" t="s">
        <v>515</v>
      </c>
      <c r="E588" s="21"/>
      <c r="F588" s="21" t="s">
        <v>506</v>
      </c>
      <c r="G588" s="21">
        <v>248.3</v>
      </c>
      <c r="H588" s="21"/>
      <c r="I588" s="117" t="s">
        <v>660</v>
      </c>
      <c r="J588" s="117" t="s">
        <v>325</v>
      </c>
      <c r="K588" s="118"/>
      <c r="L588" s="21"/>
      <c r="M588" s="21"/>
      <c r="N588" s="21">
        <v>98.3</v>
      </c>
      <c r="O588" s="21"/>
      <c r="P588" s="21">
        <v>150</v>
      </c>
      <c r="Q588" s="21"/>
      <c r="R588" s="21" t="s">
        <v>625</v>
      </c>
      <c r="S588" s="119">
        <f>DATABASE_Table[[#This Row],[Inicial Asking Price (€) (Total)]]-DATABASE_Table[[#This Row],[Vista membership]]-DATABASE_Table[[#This Row],[FF&amp;E]]</f>
        <v>440000</v>
      </c>
      <c r="T588" s="120">
        <v>440000</v>
      </c>
      <c r="U588" s="36">
        <v>1600000</v>
      </c>
      <c r="V588" s="21"/>
      <c r="W588" s="21"/>
      <c r="X588" s="73">
        <f>DATABASE_Table[[#This Row],[Current Asking price( Total)]]-DATABASE_Table[[#This Row],[Vista membership]]-DATABASE_Table[[#This Row],[FF&amp;E]]</f>
        <v>1600000</v>
      </c>
      <c r="Y588" s="37">
        <v>0</v>
      </c>
      <c r="Z588" s="36">
        <v>1600000</v>
      </c>
      <c r="AA588" s="73">
        <f>DATABASE_Table[[#This Row],[Sell price (Total)]]-DATABASE_Table[[#This Row],[FF&amp;E]]-DATABASE_Table[[#This Row],[Vista membership]]</f>
        <v>1600000</v>
      </c>
      <c r="AB588" s="74">
        <v>44518</v>
      </c>
      <c r="AC588" s="74" t="str">
        <f t="shared" si="9"/>
        <v>Q4 2021</v>
      </c>
      <c r="AD588" s="121">
        <v>44960</v>
      </c>
      <c r="AE588" s="69">
        <v>46843</v>
      </c>
      <c r="AF588" s="21" t="s">
        <v>57</v>
      </c>
      <c r="AG588" s="21" t="s">
        <v>68</v>
      </c>
      <c r="AH588" s="122"/>
      <c r="AI588" s="122"/>
      <c r="AJ588" s="122"/>
      <c r="AK588" s="122"/>
      <c r="AL588" s="21"/>
      <c r="AM588" s="122" t="s">
        <v>66</v>
      </c>
    </row>
    <row r="589" spans="1:39" customFormat="1" ht="15.75" customHeight="1" x14ac:dyDescent="0.3">
      <c r="A589" t="s">
        <v>66</v>
      </c>
      <c r="B589" s="21" t="s">
        <v>766</v>
      </c>
      <c r="C589" s="21" t="s">
        <v>764</v>
      </c>
      <c r="D589" s="117" t="s">
        <v>518</v>
      </c>
      <c r="E589" s="21"/>
      <c r="F589" s="21" t="s">
        <v>517</v>
      </c>
      <c r="G589" s="21">
        <v>153.1</v>
      </c>
      <c r="H589" s="21"/>
      <c r="I589" s="117" t="s">
        <v>662</v>
      </c>
      <c r="J589" s="117" t="s">
        <v>325</v>
      </c>
      <c r="K589" s="118"/>
      <c r="L589" s="21"/>
      <c r="M589" s="21"/>
      <c r="N589" s="21">
        <v>39.85</v>
      </c>
      <c r="O589" s="21"/>
      <c r="P589" s="21">
        <v>113.25</v>
      </c>
      <c r="Q589" s="21"/>
      <c r="R589" s="21" t="s">
        <v>625</v>
      </c>
      <c r="S589" s="119">
        <f>DATABASE_Table[[#This Row],[Inicial Asking Price (€) (Total)]]-DATABASE_Table[[#This Row],[Vista membership]]-DATABASE_Table[[#This Row],[FF&amp;E]]</f>
        <v>550000</v>
      </c>
      <c r="T589" s="120">
        <v>550000</v>
      </c>
      <c r="U589" s="36">
        <v>1400000</v>
      </c>
      <c r="V589" s="21"/>
      <c r="W589" s="21"/>
      <c r="X589" s="73">
        <f>DATABASE_Table[[#This Row],[Current Asking price( Total)]]-DATABASE_Table[[#This Row],[Vista membership]]-DATABASE_Table[[#This Row],[FF&amp;E]]</f>
        <v>1400000</v>
      </c>
      <c r="Y589" s="37">
        <v>0</v>
      </c>
      <c r="Z589" s="36">
        <v>1400000</v>
      </c>
      <c r="AA589" s="73">
        <f>DATABASE_Table[[#This Row],[Sell price (Total)]]-DATABASE_Table[[#This Row],[FF&amp;E]]-DATABASE_Table[[#This Row],[Vista membership]]</f>
        <v>1400000</v>
      </c>
      <c r="AB589" s="74">
        <v>44518</v>
      </c>
      <c r="AC589" s="74" t="str">
        <f t="shared" si="9"/>
        <v>Q4 2021</v>
      </c>
      <c r="AD589" s="121">
        <v>46176</v>
      </c>
      <c r="AE589" s="69">
        <v>46843</v>
      </c>
      <c r="AF589" s="21" t="s">
        <v>57</v>
      </c>
      <c r="AG589" s="21" t="s">
        <v>68</v>
      </c>
      <c r="AH589" s="122"/>
      <c r="AI589" s="122"/>
      <c r="AJ589" s="122"/>
      <c r="AK589" s="122"/>
      <c r="AL589" s="21"/>
      <c r="AM589" s="122" t="s">
        <v>66</v>
      </c>
    </row>
    <row r="590" spans="1:39" customFormat="1" ht="15.75" customHeight="1" x14ac:dyDescent="0.3">
      <c r="A590" t="s">
        <v>66</v>
      </c>
      <c r="B590" s="21" t="s">
        <v>766</v>
      </c>
      <c r="C590" s="21" t="s">
        <v>764</v>
      </c>
      <c r="D590" s="117" t="s">
        <v>519</v>
      </c>
      <c r="E590" s="21"/>
      <c r="F590" s="21" t="s">
        <v>517</v>
      </c>
      <c r="G590" s="21">
        <v>152.85</v>
      </c>
      <c r="H590" s="21"/>
      <c r="I590" s="117" t="s">
        <v>663</v>
      </c>
      <c r="J590" s="117" t="s">
        <v>325</v>
      </c>
      <c r="K590" s="118"/>
      <c r="L590" s="21"/>
      <c r="M590" s="21"/>
      <c r="N590" s="21">
        <v>39.85</v>
      </c>
      <c r="O590" s="21"/>
      <c r="P590" s="21">
        <v>113</v>
      </c>
      <c r="Q590" s="21"/>
      <c r="R590" s="21" t="s">
        <v>625</v>
      </c>
      <c r="S590" s="119">
        <f>DATABASE_Table[[#This Row],[Inicial Asking Price (€) (Total)]]-DATABASE_Table[[#This Row],[Vista membership]]-DATABASE_Table[[#This Row],[FF&amp;E]]</f>
        <v>550000</v>
      </c>
      <c r="T590" s="120">
        <v>550000</v>
      </c>
      <c r="U590" s="36">
        <v>812250</v>
      </c>
      <c r="V590" s="21"/>
      <c r="W590" s="21"/>
      <c r="X590" s="73">
        <f>DATABASE_Table[[#This Row],[Current Asking price( Total)]]-DATABASE_Table[[#This Row],[Vista membership]]-DATABASE_Table[[#This Row],[FF&amp;E]]</f>
        <v>812250</v>
      </c>
      <c r="Y590" s="37">
        <v>0</v>
      </c>
      <c r="Z590" s="36">
        <v>812250</v>
      </c>
      <c r="AA590" s="73">
        <f>DATABASE_Table[[#This Row],[Sell price (Total)]]-DATABASE_Table[[#This Row],[FF&amp;E]]-DATABASE_Table[[#This Row],[Vista membership]]</f>
        <v>812250</v>
      </c>
      <c r="AB590" s="74">
        <v>44518</v>
      </c>
      <c r="AC590" s="74" t="str">
        <f t="shared" si="9"/>
        <v>Q4 2021</v>
      </c>
      <c r="AD590" s="121">
        <v>45111</v>
      </c>
      <c r="AE590" s="69">
        <v>46843</v>
      </c>
      <c r="AF590" s="21" t="s">
        <v>57</v>
      </c>
      <c r="AG590" s="21" t="s">
        <v>68</v>
      </c>
      <c r="AH590" s="122"/>
      <c r="AI590" s="122"/>
      <c r="AJ590" s="122"/>
      <c r="AK590" s="122"/>
      <c r="AL590" s="21"/>
      <c r="AM590" s="122" t="s">
        <v>66</v>
      </c>
    </row>
    <row r="591" spans="1:39" customFormat="1" ht="15.75" customHeight="1" x14ac:dyDescent="0.3">
      <c r="A591" t="s">
        <v>66</v>
      </c>
      <c r="B591" s="21" t="s">
        <v>766</v>
      </c>
      <c r="C591" s="21" t="s">
        <v>764</v>
      </c>
      <c r="D591" s="117" t="s">
        <v>527</v>
      </c>
      <c r="E591" s="21"/>
      <c r="F591" s="21" t="s">
        <v>319</v>
      </c>
      <c r="G591" s="21">
        <v>144.15</v>
      </c>
      <c r="H591" s="21"/>
      <c r="I591" s="117" t="s">
        <v>671</v>
      </c>
      <c r="J591" s="117" t="s">
        <v>325</v>
      </c>
      <c r="K591" s="118"/>
      <c r="L591" s="21"/>
      <c r="M591" s="21"/>
      <c r="N591" s="21">
        <v>29.65</v>
      </c>
      <c r="O591" s="21"/>
      <c r="P591" s="21">
        <v>114.5</v>
      </c>
      <c r="Q591" s="21"/>
      <c r="R591" s="21" t="s">
        <v>625</v>
      </c>
      <c r="S591" s="119">
        <f>DATABASE_Table[[#This Row],[Inicial Asking Price (€) (Total)]]-DATABASE_Table[[#This Row],[Vista membership]]-DATABASE_Table[[#This Row],[FF&amp;E]]</f>
        <v>710000</v>
      </c>
      <c r="T591" s="120">
        <v>710000</v>
      </c>
      <c r="U591" s="36">
        <v>950000</v>
      </c>
      <c r="V591" s="21"/>
      <c r="W591" s="21"/>
      <c r="X591" s="73">
        <f>DATABASE_Table[[#This Row],[Current Asking price( Total)]]-DATABASE_Table[[#This Row],[Vista membership]]-DATABASE_Table[[#This Row],[FF&amp;E]]</f>
        <v>950000</v>
      </c>
      <c r="Y591" s="37">
        <v>0</v>
      </c>
      <c r="Z591" s="36">
        <v>950000</v>
      </c>
      <c r="AA591" s="73">
        <f>DATABASE_Table[[#This Row],[Sell price (Total)]]-DATABASE_Table[[#This Row],[FF&amp;E]]-DATABASE_Table[[#This Row],[Vista membership]]</f>
        <v>950000</v>
      </c>
      <c r="AB591" s="74">
        <v>44518</v>
      </c>
      <c r="AC591" s="74" t="str">
        <f t="shared" si="9"/>
        <v>Q4 2021</v>
      </c>
      <c r="AD591" s="121">
        <v>45784</v>
      </c>
      <c r="AE591" s="69">
        <v>46843</v>
      </c>
      <c r="AF591" s="21" t="s">
        <v>57</v>
      </c>
      <c r="AG591" s="21" t="s">
        <v>68</v>
      </c>
      <c r="AH591" s="122"/>
      <c r="AI591" s="122"/>
      <c r="AJ591" s="122"/>
      <c r="AK591" s="122"/>
      <c r="AL591" s="21"/>
      <c r="AM591" s="122" t="s">
        <v>66</v>
      </c>
    </row>
    <row r="592" spans="1:39" customFormat="1" ht="15.75" customHeight="1" x14ac:dyDescent="0.3">
      <c r="A592" t="s">
        <v>66</v>
      </c>
      <c r="B592" s="21" t="s">
        <v>766</v>
      </c>
      <c r="C592" s="21" t="s">
        <v>764</v>
      </c>
      <c r="D592" s="117" t="s">
        <v>529</v>
      </c>
      <c r="E592" s="21"/>
      <c r="F592" s="21" t="s">
        <v>319</v>
      </c>
      <c r="G592" s="21">
        <v>144.94999999999999</v>
      </c>
      <c r="H592" s="21"/>
      <c r="I592" s="117" t="s">
        <v>673</v>
      </c>
      <c r="J592" s="117" t="s">
        <v>325</v>
      </c>
      <c r="K592" s="118"/>
      <c r="L592" s="21"/>
      <c r="M592" s="21"/>
      <c r="N592" s="21">
        <v>29.65</v>
      </c>
      <c r="O592" s="21"/>
      <c r="P592" s="21">
        <v>115.3</v>
      </c>
      <c r="Q592" s="21"/>
      <c r="R592" s="21" t="s">
        <v>625</v>
      </c>
      <c r="S592" s="119">
        <f>DATABASE_Table[[#This Row],[Inicial Asking Price (€) (Total)]]-DATABASE_Table[[#This Row],[Vista membership]]-DATABASE_Table[[#This Row],[FF&amp;E]]</f>
        <v>540000</v>
      </c>
      <c r="T592" s="120">
        <v>540000</v>
      </c>
      <c r="U592" s="36">
        <v>850000</v>
      </c>
      <c r="V592" s="21"/>
      <c r="W592" s="21"/>
      <c r="X592" s="73">
        <f>DATABASE_Table[[#This Row],[Current Asking price( Total)]]-DATABASE_Table[[#This Row],[Vista membership]]-DATABASE_Table[[#This Row],[FF&amp;E]]</f>
        <v>850000</v>
      </c>
      <c r="Y592" s="37">
        <v>0</v>
      </c>
      <c r="Z592" s="36">
        <v>850000</v>
      </c>
      <c r="AA592" s="73">
        <f>DATABASE_Table[[#This Row],[Sell price (Total)]]-DATABASE_Table[[#This Row],[FF&amp;E]]-DATABASE_Table[[#This Row],[Vista membership]]</f>
        <v>850000</v>
      </c>
      <c r="AB592" s="74">
        <v>44518</v>
      </c>
      <c r="AC592" s="74" t="str">
        <f t="shared" si="9"/>
        <v>Q4 2021</v>
      </c>
      <c r="AD592" s="121">
        <v>45099</v>
      </c>
      <c r="AE592" s="69">
        <v>46843</v>
      </c>
      <c r="AF592" s="21" t="s">
        <v>57</v>
      </c>
      <c r="AG592" s="21" t="s">
        <v>68</v>
      </c>
      <c r="AH592" s="122"/>
      <c r="AI592" s="122"/>
      <c r="AJ592" s="122"/>
      <c r="AK592" s="122"/>
      <c r="AL592" s="21"/>
      <c r="AM592" s="122" t="s">
        <v>66</v>
      </c>
    </row>
    <row r="593" spans="1:39" customFormat="1" ht="15.75" customHeight="1" x14ac:dyDescent="0.3">
      <c r="A593" t="s">
        <v>66</v>
      </c>
      <c r="B593" s="21" t="s">
        <v>766</v>
      </c>
      <c r="C593" s="21" t="s">
        <v>764</v>
      </c>
      <c r="D593" s="117" t="s">
        <v>516</v>
      </c>
      <c r="E593" s="21"/>
      <c r="F593" s="21" t="s">
        <v>517</v>
      </c>
      <c r="G593" s="21">
        <v>165.75</v>
      </c>
      <c r="H593" s="21"/>
      <c r="I593" s="117" t="s">
        <v>661</v>
      </c>
      <c r="J593" s="117" t="s">
        <v>325</v>
      </c>
      <c r="K593" s="118"/>
      <c r="L593" s="21"/>
      <c r="M593" s="21"/>
      <c r="N593" s="21">
        <v>52.25</v>
      </c>
      <c r="O593" s="21"/>
      <c r="P593" s="21">
        <v>113.5</v>
      </c>
      <c r="Q593" s="21"/>
      <c r="R593" s="21" t="s">
        <v>625</v>
      </c>
      <c r="S593" s="119">
        <f>DATABASE_Table[[#This Row],[Inicial Asking Price (€) (Total)]]-DATABASE_Table[[#This Row],[Vista membership]]-DATABASE_Table[[#This Row],[FF&amp;E]]</f>
        <v>470000</v>
      </c>
      <c r="T593" s="120">
        <v>470000</v>
      </c>
      <c r="U593" s="36">
        <v>1400000</v>
      </c>
      <c r="V593" s="21"/>
      <c r="W593" s="21"/>
      <c r="X593" s="73">
        <f>DATABASE_Table[[#This Row],[Current Asking price( Total)]]-DATABASE_Table[[#This Row],[Vista membership]]-DATABASE_Table[[#This Row],[FF&amp;E]]</f>
        <v>1400000</v>
      </c>
      <c r="Y593" s="37">
        <v>7.1428571428571201E-3</v>
      </c>
      <c r="Z593" s="36">
        <v>1390000</v>
      </c>
      <c r="AA593" s="73">
        <f>DATABASE_Table[[#This Row],[Sell price (Total)]]-DATABASE_Table[[#This Row],[FF&amp;E]]-DATABASE_Table[[#This Row],[Vista membership]]</f>
        <v>1390000</v>
      </c>
      <c r="AB593" s="74">
        <v>44518</v>
      </c>
      <c r="AC593" s="74" t="str">
        <f t="shared" si="9"/>
        <v>Q4 2021</v>
      </c>
      <c r="AD593" s="121">
        <v>45714</v>
      </c>
      <c r="AE593" s="69">
        <v>46843</v>
      </c>
      <c r="AF593" s="21" t="s">
        <v>57</v>
      </c>
      <c r="AG593" s="21" t="s">
        <v>68</v>
      </c>
      <c r="AH593" s="122"/>
      <c r="AI593" s="122"/>
      <c r="AJ593" s="122"/>
      <c r="AK593" s="122"/>
      <c r="AL593" s="21"/>
      <c r="AM593" s="122" t="s">
        <v>66</v>
      </c>
    </row>
    <row r="594" spans="1:39" customFormat="1" ht="15.75" customHeight="1" x14ac:dyDescent="0.3">
      <c r="A594" t="s">
        <v>66</v>
      </c>
      <c r="B594" s="21" t="s">
        <v>766</v>
      </c>
      <c r="C594" s="21" t="s">
        <v>764</v>
      </c>
      <c r="D594" s="117" t="s">
        <v>520</v>
      </c>
      <c r="E594" s="21"/>
      <c r="F594" s="21" t="s">
        <v>506</v>
      </c>
      <c r="G594" s="21">
        <v>211.3</v>
      </c>
      <c r="H594" s="21"/>
      <c r="I594" s="117" t="s">
        <v>664</v>
      </c>
      <c r="J594" s="117" t="s">
        <v>325</v>
      </c>
      <c r="K594" s="118"/>
      <c r="L594" s="21"/>
      <c r="M594" s="21"/>
      <c r="N594" s="21">
        <v>62.7</v>
      </c>
      <c r="O594" s="21"/>
      <c r="P594" s="21">
        <v>148.6</v>
      </c>
      <c r="Q594" s="21"/>
      <c r="R594" s="21" t="s">
        <v>625</v>
      </c>
      <c r="S594" s="119">
        <f>DATABASE_Table[[#This Row],[Inicial Asking Price (€) (Total)]]-DATABASE_Table[[#This Row],[Vista membership]]-DATABASE_Table[[#This Row],[FF&amp;E]]</f>
        <v>540000</v>
      </c>
      <c r="T594" s="120">
        <v>540000</v>
      </c>
      <c r="U594" s="36">
        <v>1600000</v>
      </c>
      <c r="V594" s="21"/>
      <c r="W594" s="21"/>
      <c r="X594" s="73">
        <f>DATABASE_Table[[#This Row],[Current Asking price( Total)]]-DATABASE_Table[[#This Row],[Vista membership]]-DATABASE_Table[[#This Row],[FF&amp;E]]</f>
        <v>1600000</v>
      </c>
      <c r="Y594" s="37">
        <v>4.6875E-2</v>
      </c>
      <c r="Z594" s="36">
        <v>1525000</v>
      </c>
      <c r="AA594" s="73">
        <f>DATABASE_Table[[#This Row],[Sell price (Total)]]-DATABASE_Table[[#This Row],[FF&amp;E]]-DATABASE_Table[[#This Row],[Vista membership]]</f>
        <v>1525000</v>
      </c>
      <c r="AB594" s="74">
        <v>44518</v>
      </c>
      <c r="AC594" s="74" t="str">
        <f t="shared" si="9"/>
        <v>Q4 2021</v>
      </c>
      <c r="AD594" s="121">
        <v>45863</v>
      </c>
      <c r="AE594" s="69">
        <v>46843</v>
      </c>
      <c r="AF594" s="21" t="s">
        <v>57</v>
      </c>
      <c r="AG594" s="21" t="s">
        <v>68</v>
      </c>
      <c r="AH594" s="122"/>
      <c r="AI594" s="122"/>
      <c r="AJ594" s="122"/>
      <c r="AK594" s="122"/>
      <c r="AL594" s="21"/>
      <c r="AM594" s="122" t="s">
        <v>66</v>
      </c>
    </row>
    <row r="595" spans="1:39" customFormat="1" ht="15.75" customHeight="1" x14ac:dyDescent="0.3">
      <c r="A595" t="s">
        <v>66</v>
      </c>
      <c r="B595" s="21" t="s">
        <v>766</v>
      </c>
      <c r="C595" s="21" t="s">
        <v>764</v>
      </c>
      <c r="D595" s="117" t="s">
        <v>521</v>
      </c>
      <c r="E595" s="21"/>
      <c r="F595" s="21" t="s">
        <v>419</v>
      </c>
      <c r="G595" s="21">
        <v>101.15</v>
      </c>
      <c r="H595" s="21"/>
      <c r="I595" s="117" t="s">
        <v>665</v>
      </c>
      <c r="J595" s="117" t="s">
        <v>325</v>
      </c>
      <c r="K595" s="118"/>
      <c r="L595" s="21"/>
      <c r="M595" s="21"/>
      <c r="N595" s="21">
        <v>18.100000000000001</v>
      </c>
      <c r="O595" s="21"/>
      <c r="P595" s="21">
        <v>83.05</v>
      </c>
      <c r="Q595" s="21"/>
      <c r="R595" s="21" t="s">
        <v>625</v>
      </c>
      <c r="S595" s="119">
        <f>DATABASE_Table[[#This Row],[Inicial Asking Price (€) (Total)]]-DATABASE_Table[[#This Row],[Vista membership]]-DATABASE_Table[[#This Row],[FF&amp;E]]</f>
        <v>540000</v>
      </c>
      <c r="T595" s="120">
        <v>540000</v>
      </c>
      <c r="U595" s="36">
        <v>650000</v>
      </c>
      <c r="V595" s="21"/>
      <c r="W595" s="21"/>
      <c r="X595" s="73">
        <f>DATABASE_Table[[#This Row],[Current Asking price( Total)]]-DATABASE_Table[[#This Row],[Vista membership]]-DATABASE_Table[[#This Row],[FF&amp;E]]</f>
        <v>650000</v>
      </c>
      <c r="Y595" s="37">
        <v>7.69230769230769E-2</v>
      </c>
      <c r="Z595" s="36">
        <v>600000</v>
      </c>
      <c r="AA595" s="73">
        <f>DATABASE_Table[[#This Row],[Sell price (Total)]]-DATABASE_Table[[#This Row],[FF&amp;E]]-DATABASE_Table[[#This Row],[Vista membership]]</f>
        <v>600000</v>
      </c>
      <c r="AB595" s="74">
        <v>44518</v>
      </c>
      <c r="AC595" s="74" t="str">
        <f t="shared" si="9"/>
        <v>Q4 2021</v>
      </c>
      <c r="AD595" s="121">
        <v>46192</v>
      </c>
      <c r="AE595" s="69">
        <v>46843</v>
      </c>
      <c r="AF595" s="21" t="s">
        <v>57</v>
      </c>
      <c r="AG595" s="21" t="s">
        <v>68</v>
      </c>
      <c r="AH595" s="122"/>
      <c r="AI595" s="122"/>
      <c r="AJ595" s="122"/>
      <c r="AK595" s="122"/>
      <c r="AL595" s="21"/>
      <c r="AM595" s="122" t="s">
        <v>66</v>
      </c>
    </row>
    <row r="596" spans="1:39" customFormat="1" ht="15.75" customHeight="1" x14ac:dyDescent="0.3">
      <c r="A596" t="s">
        <v>66</v>
      </c>
      <c r="B596" s="21" t="s">
        <v>766</v>
      </c>
      <c r="C596" s="21" t="s">
        <v>764</v>
      </c>
      <c r="D596" s="117" t="s">
        <v>485</v>
      </c>
      <c r="E596" s="21"/>
      <c r="F596" s="21" t="s">
        <v>483</v>
      </c>
      <c r="G596" s="21">
        <v>173.95</v>
      </c>
      <c r="H596" s="21"/>
      <c r="I596" s="117" t="s">
        <v>632</v>
      </c>
      <c r="J596" s="117" t="s">
        <v>325</v>
      </c>
      <c r="K596" s="118"/>
      <c r="L596" s="21"/>
      <c r="M596" s="21"/>
      <c r="N596" s="21">
        <v>48.4</v>
      </c>
      <c r="O596" s="21"/>
      <c r="P596" s="21">
        <v>125.55</v>
      </c>
      <c r="Q596" s="21"/>
      <c r="R596" s="21" t="s">
        <v>329</v>
      </c>
      <c r="S596" s="119">
        <f>DATABASE_Table[[#This Row],[Inicial Asking Price (€) (Total)]]-DATABASE_Table[[#This Row],[Vista membership]]-DATABASE_Table[[#This Row],[FF&amp;E]]</f>
        <v>440000</v>
      </c>
      <c r="T596" s="120">
        <v>440000</v>
      </c>
      <c r="U596" s="36">
        <v>1100000</v>
      </c>
      <c r="V596" s="21"/>
      <c r="W596" s="21"/>
      <c r="X596" s="73">
        <f>DATABASE_Table[[#This Row],[Current Asking price( Total)]]-DATABASE_Table[[#This Row],[Vista membership]]-DATABASE_Table[[#This Row],[FF&amp;E]]</f>
        <v>1100000</v>
      </c>
      <c r="Y596" s="37"/>
      <c r="Z596" s="36">
        <v>1100000</v>
      </c>
      <c r="AA596" s="73">
        <f>DATABASE_Table[[#This Row],[Sell price (Total)]]-DATABASE_Table[[#This Row],[FF&amp;E]]-DATABASE_Table[[#This Row],[Vista membership]]</f>
        <v>1100000</v>
      </c>
      <c r="AB596" s="74">
        <v>44518</v>
      </c>
      <c r="AC596" s="74" t="str">
        <f t="shared" si="9"/>
        <v>Q4 2021</v>
      </c>
      <c r="AD596" s="123"/>
      <c r="AE596" s="69">
        <v>46843</v>
      </c>
      <c r="AF596" s="21" t="s">
        <v>57</v>
      </c>
      <c r="AG596" s="21" t="s">
        <v>68</v>
      </c>
      <c r="AH596" s="122"/>
      <c r="AI596" s="122"/>
      <c r="AJ596" s="122"/>
      <c r="AK596" s="122"/>
      <c r="AL596" s="21"/>
      <c r="AM596" s="122" t="s">
        <v>66</v>
      </c>
    </row>
    <row r="597" spans="1:39" customFormat="1" ht="15.75" customHeight="1" x14ac:dyDescent="0.3">
      <c r="A597" t="s">
        <v>66</v>
      </c>
      <c r="B597" s="21" t="s">
        <v>766</v>
      </c>
      <c r="C597" s="21" t="s">
        <v>764</v>
      </c>
      <c r="D597" s="117" t="s">
        <v>487</v>
      </c>
      <c r="E597" s="21"/>
      <c r="F597" s="21" t="s">
        <v>483</v>
      </c>
      <c r="G597" s="21">
        <v>173.95</v>
      </c>
      <c r="H597" s="21"/>
      <c r="I597" s="117" t="s">
        <v>634</v>
      </c>
      <c r="J597" s="117" t="s">
        <v>325</v>
      </c>
      <c r="K597" s="118"/>
      <c r="L597" s="21"/>
      <c r="M597" s="21"/>
      <c r="N597" s="21">
        <v>48.4</v>
      </c>
      <c r="O597" s="21"/>
      <c r="P597" s="21">
        <v>125.55</v>
      </c>
      <c r="Q597" s="21"/>
      <c r="R597" s="21" t="s">
        <v>329</v>
      </c>
      <c r="S597" s="119">
        <f>DATABASE_Table[[#This Row],[Inicial Asking Price (€) (Total)]]-DATABASE_Table[[#This Row],[Vista membership]]-DATABASE_Table[[#This Row],[FF&amp;E]]</f>
        <v>660000</v>
      </c>
      <c r="T597" s="120">
        <v>660000</v>
      </c>
      <c r="U597" s="36">
        <v>1100000</v>
      </c>
      <c r="V597" s="21"/>
      <c r="W597" s="21"/>
      <c r="X597" s="73">
        <f>DATABASE_Table[[#This Row],[Current Asking price( Total)]]-DATABASE_Table[[#This Row],[Vista membership]]-DATABASE_Table[[#This Row],[FF&amp;E]]</f>
        <v>1100000</v>
      </c>
      <c r="Y597" s="37"/>
      <c r="Z597" s="36">
        <v>1100000</v>
      </c>
      <c r="AA597" s="73">
        <f>DATABASE_Table[[#This Row],[Sell price (Total)]]-DATABASE_Table[[#This Row],[FF&amp;E]]-DATABASE_Table[[#This Row],[Vista membership]]</f>
        <v>1100000</v>
      </c>
      <c r="AB597" s="74">
        <v>44518</v>
      </c>
      <c r="AC597" s="74" t="str">
        <f t="shared" si="9"/>
        <v>Q4 2021</v>
      </c>
      <c r="AD597" s="123"/>
      <c r="AE597" s="69">
        <v>46843</v>
      </c>
      <c r="AF597" s="21" t="s">
        <v>57</v>
      </c>
      <c r="AG597" s="21" t="s">
        <v>68</v>
      </c>
      <c r="AH597" s="122"/>
      <c r="AI597" s="122"/>
      <c r="AJ597" s="122"/>
      <c r="AK597" s="122"/>
      <c r="AL597" s="21"/>
      <c r="AM597" s="122" t="s">
        <v>66</v>
      </c>
    </row>
    <row r="598" spans="1:39" customFormat="1" ht="15.75" customHeight="1" x14ac:dyDescent="0.3">
      <c r="A598" t="s">
        <v>66</v>
      </c>
      <c r="B598" s="21" t="s">
        <v>766</v>
      </c>
      <c r="C598" s="21" t="s">
        <v>764</v>
      </c>
      <c r="D598" s="117" t="s">
        <v>491</v>
      </c>
      <c r="E598" s="21"/>
      <c r="F598" s="21" t="s">
        <v>483</v>
      </c>
      <c r="G598" s="21">
        <v>171.55</v>
      </c>
      <c r="H598" s="21"/>
      <c r="I598" s="117" t="s">
        <v>638</v>
      </c>
      <c r="J598" s="117" t="s">
        <v>325</v>
      </c>
      <c r="K598" s="118"/>
      <c r="L598" s="21"/>
      <c r="M598" s="21"/>
      <c r="N598" s="21">
        <v>46</v>
      </c>
      <c r="O598" s="21"/>
      <c r="P598" s="21">
        <v>125.55</v>
      </c>
      <c r="Q598" s="21"/>
      <c r="R598" s="21" t="s">
        <v>329</v>
      </c>
      <c r="S598" s="119">
        <f>DATABASE_Table[[#This Row],[Inicial Asking Price (€) (Total)]]-DATABASE_Table[[#This Row],[Vista membership]]-DATABASE_Table[[#This Row],[FF&amp;E]]</f>
        <v>550000</v>
      </c>
      <c r="T598" s="120">
        <v>550000</v>
      </c>
      <c r="U598" s="36">
        <v>1200000</v>
      </c>
      <c r="V598" s="21"/>
      <c r="W598" s="21"/>
      <c r="X598" s="73">
        <f>DATABASE_Table[[#This Row],[Current Asking price( Total)]]-DATABASE_Table[[#This Row],[Vista membership]]-DATABASE_Table[[#This Row],[FF&amp;E]]</f>
        <v>1200000</v>
      </c>
      <c r="Y598" s="37"/>
      <c r="Z598" s="36">
        <v>1200000</v>
      </c>
      <c r="AA598" s="73">
        <f>DATABASE_Table[[#This Row],[Sell price (Total)]]-DATABASE_Table[[#This Row],[FF&amp;E]]-DATABASE_Table[[#This Row],[Vista membership]]</f>
        <v>1200000</v>
      </c>
      <c r="AB598" s="74">
        <v>44518</v>
      </c>
      <c r="AC598" s="74" t="str">
        <f t="shared" si="9"/>
        <v>Q4 2021</v>
      </c>
      <c r="AD598" s="123"/>
      <c r="AE598" s="69">
        <v>46843</v>
      </c>
      <c r="AF598" s="21" t="s">
        <v>57</v>
      </c>
      <c r="AG598" s="21" t="s">
        <v>68</v>
      </c>
      <c r="AH598" s="122"/>
      <c r="AI598" s="122"/>
      <c r="AJ598" s="122"/>
      <c r="AK598" s="122"/>
      <c r="AL598" s="21"/>
      <c r="AM598" s="122" t="s">
        <v>66</v>
      </c>
    </row>
    <row r="599" spans="1:39" customFormat="1" ht="15.75" customHeight="1" x14ac:dyDescent="0.3">
      <c r="A599" t="s">
        <v>66</v>
      </c>
      <c r="B599" s="21" t="s">
        <v>766</v>
      </c>
      <c r="C599" s="21" t="s">
        <v>764</v>
      </c>
      <c r="D599" s="117" t="s">
        <v>492</v>
      </c>
      <c r="E599" s="21"/>
      <c r="F599" s="21" t="s">
        <v>419</v>
      </c>
      <c r="G599" s="21">
        <v>102.95</v>
      </c>
      <c r="H599" s="21"/>
      <c r="I599" s="117" t="s">
        <v>639</v>
      </c>
      <c r="J599" s="117" t="s">
        <v>325</v>
      </c>
      <c r="K599" s="118"/>
      <c r="L599" s="21"/>
      <c r="M599" s="21"/>
      <c r="N599" s="21">
        <v>29.95</v>
      </c>
      <c r="O599" s="21"/>
      <c r="P599" s="21">
        <v>73</v>
      </c>
      <c r="Q599" s="21"/>
      <c r="R599" s="21" t="s">
        <v>329</v>
      </c>
      <c r="S599" s="119">
        <f>DATABASE_Table[[#This Row],[Inicial Asking Price (€) (Total)]]-DATABASE_Table[[#This Row],[Vista membership]]-DATABASE_Table[[#This Row],[FF&amp;E]]</f>
        <v>725000</v>
      </c>
      <c r="T599" s="120">
        <v>725000</v>
      </c>
      <c r="U599" s="36">
        <v>700000</v>
      </c>
      <c r="V599" s="21"/>
      <c r="W599" s="21"/>
      <c r="X599" s="73">
        <f>DATABASE_Table[[#This Row],[Current Asking price( Total)]]-DATABASE_Table[[#This Row],[Vista membership]]-DATABASE_Table[[#This Row],[FF&amp;E]]</f>
        <v>700000</v>
      </c>
      <c r="Y599" s="37"/>
      <c r="Z599" s="36">
        <v>700000</v>
      </c>
      <c r="AA599" s="73">
        <f>DATABASE_Table[[#This Row],[Sell price (Total)]]-DATABASE_Table[[#This Row],[FF&amp;E]]-DATABASE_Table[[#This Row],[Vista membership]]</f>
        <v>700000</v>
      </c>
      <c r="AB599" s="74">
        <v>44518</v>
      </c>
      <c r="AC599" s="74" t="str">
        <f t="shared" si="9"/>
        <v>Q4 2021</v>
      </c>
      <c r="AD599" s="123"/>
      <c r="AE599" s="69">
        <v>46843</v>
      </c>
      <c r="AF599" s="21" t="s">
        <v>57</v>
      </c>
      <c r="AG599" s="21" t="s">
        <v>68</v>
      </c>
      <c r="AH599" s="122"/>
      <c r="AI599" s="122"/>
      <c r="AJ599" s="122"/>
      <c r="AK599" s="122"/>
      <c r="AL599" s="21"/>
      <c r="AM599" s="122" t="s">
        <v>66</v>
      </c>
    </row>
    <row r="600" spans="1:39" customFormat="1" ht="15.75" customHeight="1" x14ac:dyDescent="0.3">
      <c r="A600" t="s">
        <v>66</v>
      </c>
      <c r="B600" s="21" t="s">
        <v>766</v>
      </c>
      <c r="C600" s="21" t="s">
        <v>764</v>
      </c>
      <c r="D600" s="117" t="s">
        <v>494</v>
      </c>
      <c r="E600" s="21"/>
      <c r="F600" s="21" t="s">
        <v>419</v>
      </c>
      <c r="G600" s="21">
        <v>92.95</v>
      </c>
      <c r="H600" s="21"/>
      <c r="I600" s="117" t="s">
        <v>641</v>
      </c>
      <c r="J600" s="117" t="s">
        <v>325</v>
      </c>
      <c r="K600" s="118"/>
      <c r="L600" s="21"/>
      <c r="M600" s="21"/>
      <c r="N600" s="21">
        <v>20.95</v>
      </c>
      <c r="O600" s="21"/>
      <c r="P600" s="21">
        <v>72</v>
      </c>
      <c r="Q600" s="21"/>
      <c r="R600" s="21" t="s">
        <v>329</v>
      </c>
      <c r="S600" s="119">
        <f>DATABASE_Table[[#This Row],[Inicial Asking Price (€) (Total)]]-DATABASE_Table[[#This Row],[Vista membership]]-DATABASE_Table[[#This Row],[FF&amp;E]]</f>
        <v>700000</v>
      </c>
      <c r="T600" s="120">
        <v>700000</v>
      </c>
      <c r="U600" s="36">
        <v>700000</v>
      </c>
      <c r="V600" s="21"/>
      <c r="W600" s="21"/>
      <c r="X600" s="73">
        <f>DATABASE_Table[[#This Row],[Current Asking price( Total)]]-DATABASE_Table[[#This Row],[Vista membership]]-DATABASE_Table[[#This Row],[FF&amp;E]]</f>
        <v>700000</v>
      </c>
      <c r="Y600" s="37"/>
      <c r="Z600" s="36">
        <v>630000</v>
      </c>
      <c r="AA600" s="73">
        <f>DATABASE_Table[[#This Row],[Sell price (Total)]]-DATABASE_Table[[#This Row],[FF&amp;E]]-DATABASE_Table[[#This Row],[Vista membership]]</f>
        <v>630000</v>
      </c>
      <c r="AB600" s="74">
        <v>44518</v>
      </c>
      <c r="AC600" s="74" t="str">
        <f t="shared" si="9"/>
        <v>Q4 2021</v>
      </c>
      <c r="AD600" s="123"/>
      <c r="AE600" s="69">
        <v>46843</v>
      </c>
      <c r="AF600" s="21" t="s">
        <v>57</v>
      </c>
      <c r="AG600" s="21" t="s">
        <v>68</v>
      </c>
      <c r="AH600" s="122"/>
      <c r="AI600" s="122"/>
      <c r="AJ600" s="122"/>
      <c r="AK600" s="122"/>
      <c r="AL600" s="21"/>
      <c r="AM600" s="122" t="s">
        <v>66</v>
      </c>
    </row>
    <row r="601" spans="1:39" customFormat="1" ht="15.75" customHeight="1" x14ac:dyDescent="0.3">
      <c r="A601" t="s">
        <v>66</v>
      </c>
      <c r="B601" s="21" t="s">
        <v>766</v>
      </c>
      <c r="C601" s="21" t="s">
        <v>764</v>
      </c>
      <c r="D601" s="117" t="s">
        <v>499</v>
      </c>
      <c r="E601" s="21"/>
      <c r="F601" s="21" t="s">
        <v>419</v>
      </c>
      <c r="G601" s="21">
        <v>96.95</v>
      </c>
      <c r="H601" s="21"/>
      <c r="I601" s="117" t="s">
        <v>646</v>
      </c>
      <c r="J601" s="117" t="s">
        <v>325</v>
      </c>
      <c r="K601" s="118"/>
      <c r="L601" s="21"/>
      <c r="M601" s="21"/>
      <c r="N601" s="21">
        <v>21.85</v>
      </c>
      <c r="O601" s="21"/>
      <c r="P601" s="21">
        <v>75.099999999999994</v>
      </c>
      <c r="Q601" s="21"/>
      <c r="R601" s="21" t="s">
        <v>329</v>
      </c>
      <c r="S601" s="119">
        <f>DATABASE_Table[[#This Row],[Inicial Asking Price (€) (Total)]]-DATABASE_Table[[#This Row],[Vista membership]]-DATABASE_Table[[#This Row],[FF&amp;E]]</f>
        <v>660000</v>
      </c>
      <c r="T601" s="120">
        <v>660000</v>
      </c>
      <c r="U601" s="36">
        <v>690000</v>
      </c>
      <c r="V601" s="21"/>
      <c r="W601" s="21"/>
      <c r="X601" s="73">
        <f>DATABASE_Table[[#This Row],[Current Asking price( Total)]]-DATABASE_Table[[#This Row],[Vista membership]]-DATABASE_Table[[#This Row],[FF&amp;E]]</f>
        <v>690000</v>
      </c>
      <c r="Y601" s="37"/>
      <c r="Z601" s="36">
        <v>690000</v>
      </c>
      <c r="AA601" s="73">
        <f>DATABASE_Table[[#This Row],[Sell price (Total)]]-DATABASE_Table[[#This Row],[FF&amp;E]]-DATABASE_Table[[#This Row],[Vista membership]]</f>
        <v>690000</v>
      </c>
      <c r="AB601" s="74">
        <v>44518</v>
      </c>
      <c r="AC601" s="74" t="str">
        <f t="shared" si="9"/>
        <v>Q4 2021</v>
      </c>
      <c r="AD601" s="123"/>
      <c r="AE601" s="69">
        <v>46843</v>
      </c>
      <c r="AF601" s="21" t="s">
        <v>57</v>
      </c>
      <c r="AG601" s="21" t="s">
        <v>68</v>
      </c>
      <c r="AH601" s="122"/>
      <c r="AI601" s="122"/>
      <c r="AJ601" s="122"/>
      <c r="AK601" s="122"/>
      <c r="AL601" s="21"/>
      <c r="AM601" s="122" t="s">
        <v>66</v>
      </c>
    </row>
    <row r="602" spans="1:39" customFormat="1" ht="15.75" customHeight="1" x14ac:dyDescent="0.3">
      <c r="A602" t="s">
        <v>66</v>
      </c>
      <c r="B602" s="21" t="s">
        <v>766</v>
      </c>
      <c r="C602" s="21" t="s">
        <v>764</v>
      </c>
      <c r="D602" s="117" t="s">
        <v>522</v>
      </c>
      <c r="E602" s="21"/>
      <c r="F602" s="21" t="s">
        <v>419</v>
      </c>
      <c r="G602" s="21">
        <v>91.7</v>
      </c>
      <c r="H602" s="21"/>
      <c r="I602" s="117" t="s">
        <v>666</v>
      </c>
      <c r="J602" s="117" t="s">
        <v>325</v>
      </c>
      <c r="K602" s="118"/>
      <c r="L602" s="21"/>
      <c r="M602" s="21"/>
      <c r="N602" s="21">
        <v>19.7</v>
      </c>
      <c r="O602" s="21"/>
      <c r="P602" s="21">
        <v>72</v>
      </c>
      <c r="Q602" s="21"/>
      <c r="R602" s="21" t="s">
        <v>329</v>
      </c>
      <c r="S602" s="119">
        <f>DATABASE_Table[[#This Row],[Inicial Asking Price (€) (Total)]]-DATABASE_Table[[#This Row],[Vista membership]]-DATABASE_Table[[#This Row],[FF&amp;E]]</f>
        <v>550000</v>
      </c>
      <c r="T602" s="120">
        <v>550000</v>
      </c>
      <c r="U602" s="36">
        <v>600000</v>
      </c>
      <c r="V602" s="21"/>
      <c r="W602" s="21"/>
      <c r="X602" s="73">
        <f>DATABASE_Table[[#This Row],[Current Asking price( Total)]]-DATABASE_Table[[#This Row],[Vista membership]]-DATABASE_Table[[#This Row],[FF&amp;E]]</f>
        <v>600000</v>
      </c>
      <c r="Y602" s="37"/>
      <c r="Z602" s="36">
        <v>600000</v>
      </c>
      <c r="AA602" s="73">
        <f>DATABASE_Table[[#This Row],[Sell price (Total)]]-DATABASE_Table[[#This Row],[FF&amp;E]]-DATABASE_Table[[#This Row],[Vista membership]]</f>
        <v>600000</v>
      </c>
      <c r="AB602" s="74">
        <v>44518</v>
      </c>
      <c r="AC602" s="74" t="str">
        <f t="shared" si="9"/>
        <v>Q4 2021</v>
      </c>
      <c r="AD602" s="123"/>
      <c r="AE602" s="69">
        <v>46843</v>
      </c>
      <c r="AF602" s="21" t="s">
        <v>57</v>
      </c>
      <c r="AG602" s="21" t="s">
        <v>68</v>
      </c>
      <c r="AH602" s="122"/>
      <c r="AI602" s="122"/>
      <c r="AJ602" s="122"/>
      <c r="AK602" s="122"/>
      <c r="AL602" s="21"/>
      <c r="AM602" s="122" t="s">
        <v>66</v>
      </c>
    </row>
    <row r="603" spans="1:39" customFormat="1" ht="15.75" customHeight="1" x14ac:dyDescent="0.3">
      <c r="A603" t="s">
        <v>66</v>
      </c>
      <c r="B603" s="21" t="s">
        <v>766</v>
      </c>
      <c r="C603" s="21" t="s">
        <v>764</v>
      </c>
      <c r="D603" s="117" t="s">
        <v>523</v>
      </c>
      <c r="E603" s="21"/>
      <c r="F603" s="21" t="s">
        <v>419</v>
      </c>
      <c r="G603" s="21">
        <v>101.15</v>
      </c>
      <c r="H603" s="21"/>
      <c r="I603" s="117" t="s">
        <v>667</v>
      </c>
      <c r="J603" s="117" t="s">
        <v>325</v>
      </c>
      <c r="K603" s="118"/>
      <c r="L603" s="21"/>
      <c r="M603" s="21"/>
      <c r="N603" s="21">
        <v>18.100000000000001</v>
      </c>
      <c r="O603" s="21"/>
      <c r="P603" s="21">
        <v>83.05</v>
      </c>
      <c r="Q603" s="21"/>
      <c r="R603" s="21" t="s">
        <v>329</v>
      </c>
      <c r="S603" s="119">
        <f>DATABASE_Table[[#This Row],[Inicial Asking Price (€) (Total)]]-DATABASE_Table[[#This Row],[Vista membership]]-DATABASE_Table[[#This Row],[FF&amp;E]]</f>
        <v>550000</v>
      </c>
      <c r="T603" s="120">
        <v>550000</v>
      </c>
      <c r="U603" s="36">
        <v>600000</v>
      </c>
      <c r="V603" s="21"/>
      <c r="W603" s="21"/>
      <c r="X603" s="73">
        <f>DATABASE_Table[[#This Row],[Current Asking price( Total)]]-DATABASE_Table[[#This Row],[Vista membership]]-DATABASE_Table[[#This Row],[FF&amp;E]]</f>
        <v>600000</v>
      </c>
      <c r="Y603" s="37"/>
      <c r="Z603" s="36">
        <v>600000</v>
      </c>
      <c r="AA603" s="73">
        <f>DATABASE_Table[[#This Row],[Sell price (Total)]]-DATABASE_Table[[#This Row],[FF&amp;E]]-DATABASE_Table[[#This Row],[Vista membership]]</f>
        <v>600000</v>
      </c>
      <c r="AB603" s="74">
        <v>44518</v>
      </c>
      <c r="AC603" s="74" t="str">
        <f t="shared" si="9"/>
        <v>Q4 2021</v>
      </c>
      <c r="AD603" s="123"/>
      <c r="AE603" s="69">
        <v>46843</v>
      </c>
      <c r="AF603" s="21" t="s">
        <v>57</v>
      </c>
      <c r="AG603" s="21" t="s">
        <v>68</v>
      </c>
      <c r="AH603" s="122"/>
      <c r="AI603" s="122"/>
      <c r="AJ603" s="122"/>
      <c r="AK603" s="122"/>
      <c r="AL603" s="21"/>
      <c r="AM603" s="122" t="s">
        <v>66</v>
      </c>
    </row>
    <row r="604" spans="1:39" customFormat="1" ht="15.75" customHeight="1" x14ac:dyDescent="0.3">
      <c r="A604" t="s">
        <v>66</v>
      </c>
      <c r="B604" s="21" t="s">
        <v>766</v>
      </c>
      <c r="C604" s="21" t="s">
        <v>764</v>
      </c>
      <c r="D604" s="117" t="s">
        <v>524</v>
      </c>
      <c r="E604" s="21"/>
      <c r="F604" s="21" t="s">
        <v>419</v>
      </c>
      <c r="G604" s="21">
        <v>91.7</v>
      </c>
      <c r="H604" s="21"/>
      <c r="I604" s="117" t="s">
        <v>668</v>
      </c>
      <c r="J604" s="117" t="s">
        <v>325</v>
      </c>
      <c r="K604" s="118"/>
      <c r="L604" s="21"/>
      <c r="M604" s="21"/>
      <c r="N604" s="21">
        <v>19.7</v>
      </c>
      <c r="O604" s="21"/>
      <c r="P604" s="21">
        <v>72</v>
      </c>
      <c r="Q604" s="21"/>
      <c r="R604" s="21" t="s">
        <v>329</v>
      </c>
      <c r="S604" s="119">
        <f>DATABASE_Table[[#This Row],[Inicial Asking Price (€) (Total)]]-DATABASE_Table[[#This Row],[Vista membership]]-DATABASE_Table[[#This Row],[FF&amp;E]]</f>
        <v>540000</v>
      </c>
      <c r="T604" s="120">
        <v>540000</v>
      </c>
      <c r="U604" s="36">
        <v>600000</v>
      </c>
      <c r="V604" s="21"/>
      <c r="W604" s="21"/>
      <c r="X604" s="73">
        <f>DATABASE_Table[[#This Row],[Current Asking price( Total)]]-DATABASE_Table[[#This Row],[Vista membership]]-DATABASE_Table[[#This Row],[FF&amp;E]]</f>
        <v>600000</v>
      </c>
      <c r="Y604" s="37"/>
      <c r="Z604" s="36">
        <v>600000</v>
      </c>
      <c r="AA604" s="73">
        <f>DATABASE_Table[[#This Row],[Sell price (Total)]]-DATABASE_Table[[#This Row],[FF&amp;E]]-DATABASE_Table[[#This Row],[Vista membership]]</f>
        <v>600000</v>
      </c>
      <c r="AB604" s="74">
        <v>44518</v>
      </c>
      <c r="AC604" s="74" t="str">
        <f t="shared" si="9"/>
        <v>Q4 2021</v>
      </c>
      <c r="AD604" s="123"/>
      <c r="AE604" s="69">
        <v>46843</v>
      </c>
      <c r="AF604" s="21" t="s">
        <v>57</v>
      </c>
      <c r="AG604" s="21" t="s">
        <v>68</v>
      </c>
      <c r="AH604" s="122"/>
      <c r="AI604" s="122"/>
      <c r="AJ604" s="122"/>
      <c r="AK604" s="122"/>
      <c r="AL604" s="21"/>
      <c r="AM604" s="122" t="s">
        <v>66</v>
      </c>
    </row>
    <row r="605" spans="1:39" customFormat="1" ht="15.75" customHeight="1" x14ac:dyDescent="0.3">
      <c r="A605" t="s">
        <v>66</v>
      </c>
      <c r="B605" s="21" t="s">
        <v>766</v>
      </c>
      <c r="C605" s="21" t="s">
        <v>764</v>
      </c>
      <c r="D605" s="117" t="s">
        <v>525</v>
      </c>
      <c r="E605" s="21"/>
      <c r="F605" s="21" t="s">
        <v>419</v>
      </c>
      <c r="G605" s="21">
        <v>101.15</v>
      </c>
      <c r="H605" s="21"/>
      <c r="I605" s="117" t="s">
        <v>669</v>
      </c>
      <c r="J605" s="117" t="s">
        <v>325</v>
      </c>
      <c r="K605" s="118"/>
      <c r="L605" s="21"/>
      <c r="M605" s="21"/>
      <c r="N605" s="21">
        <v>18.100000000000001</v>
      </c>
      <c r="O605" s="21"/>
      <c r="P605" s="21">
        <v>83.05</v>
      </c>
      <c r="Q605" s="21"/>
      <c r="R605" s="21" t="s">
        <v>329</v>
      </c>
      <c r="S605" s="119">
        <f>DATABASE_Table[[#This Row],[Inicial Asking Price (€) (Total)]]-DATABASE_Table[[#This Row],[Vista membership]]-DATABASE_Table[[#This Row],[FF&amp;E]]</f>
        <v>660000</v>
      </c>
      <c r="T605" s="120">
        <v>660000</v>
      </c>
      <c r="U605" s="36">
        <v>600000</v>
      </c>
      <c r="V605" s="21"/>
      <c r="W605" s="21"/>
      <c r="X605" s="73">
        <f>DATABASE_Table[[#This Row],[Current Asking price( Total)]]-DATABASE_Table[[#This Row],[Vista membership]]-DATABASE_Table[[#This Row],[FF&amp;E]]</f>
        <v>600000</v>
      </c>
      <c r="Y605" s="37"/>
      <c r="Z605" s="36">
        <v>600000</v>
      </c>
      <c r="AA605" s="73">
        <f>DATABASE_Table[[#This Row],[Sell price (Total)]]-DATABASE_Table[[#This Row],[FF&amp;E]]-DATABASE_Table[[#This Row],[Vista membership]]</f>
        <v>600000</v>
      </c>
      <c r="AB605" s="74">
        <v>44518</v>
      </c>
      <c r="AC605" s="74" t="str">
        <f t="shared" si="9"/>
        <v>Q4 2021</v>
      </c>
      <c r="AD605" s="123"/>
      <c r="AE605" s="69">
        <v>46843</v>
      </c>
      <c r="AF605" s="21" t="s">
        <v>57</v>
      </c>
      <c r="AG605" s="21" t="s">
        <v>68</v>
      </c>
      <c r="AH605" s="122"/>
      <c r="AI605" s="122"/>
      <c r="AJ605" s="122"/>
      <c r="AK605" s="122"/>
      <c r="AL605" s="21"/>
      <c r="AM605" s="122" t="s">
        <v>66</v>
      </c>
    </row>
    <row r="606" spans="1:39" customFormat="1" ht="15.75" customHeight="1" x14ac:dyDescent="0.3">
      <c r="A606" t="s">
        <v>66</v>
      </c>
      <c r="B606" s="21" t="s">
        <v>766</v>
      </c>
      <c r="C606" s="21" t="s">
        <v>764</v>
      </c>
      <c r="D606" s="117" t="s">
        <v>526</v>
      </c>
      <c r="E606" s="21"/>
      <c r="F606" s="21" t="s">
        <v>517</v>
      </c>
      <c r="G606" s="21">
        <v>138.6</v>
      </c>
      <c r="H606" s="21"/>
      <c r="I606" s="117" t="s">
        <v>670</v>
      </c>
      <c r="J606" s="117" t="s">
        <v>325</v>
      </c>
      <c r="K606" s="118"/>
      <c r="L606" s="21"/>
      <c r="M606" s="21"/>
      <c r="N606" s="21">
        <v>32.4</v>
      </c>
      <c r="O606" s="21"/>
      <c r="P606" s="21">
        <v>106.2</v>
      </c>
      <c r="Q606" s="21"/>
      <c r="R606" s="21" t="s">
        <v>329</v>
      </c>
      <c r="S606" s="119">
        <f>DATABASE_Table[[#This Row],[Inicial Asking Price (€) (Total)]]-DATABASE_Table[[#This Row],[Vista membership]]-DATABASE_Table[[#This Row],[FF&amp;E]]</f>
        <v>710000</v>
      </c>
      <c r="T606" s="120">
        <v>710000</v>
      </c>
      <c r="U606" s="36">
        <v>850000</v>
      </c>
      <c r="V606" s="21"/>
      <c r="W606" s="21"/>
      <c r="X606" s="73">
        <f>DATABASE_Table[[#This Row],[Current Asking price( Total)]]-DATABASE_Table[[#This Row],[Vista membership]]-DATABASE_Table[[#This Row],[FF&amp;E]]</f>
        <v>850000</v>
      </c>
      <c r="Y606" s="37"/>
      <c r="Z606" s="36">
        <v>850000</v>
      </c>
      <c r="AA606" s="73">
        <f>DATABASE_Table[[#This Row],[Sell price (Total)]]-DATABASE_Table[[#This Row],[FF&amp;E]]-DATABASE_Table[[#This Row],[Vista membership]]</f>
        <v>850000</v>
      </c>
      <c r="AB606" s="74">
        <v>44518</v>
      </c>
      <c r="AC606" s="74" t="str">
        <f t="shared" si="9"/>
        <v>Q4 2021</v>
      </c>
      <c r="AD606" s="123"/>
      <c r="AE606" s="69">
        <v>46843</v>
      </c>
      <c r="AF606" s="21" t="s">
        <v>57</v>
      </c>
      <c r="AG606" s="21" t="s">
        <v>68</v>
      </c>
      <c r="AH606" s="122"/>
      <c r="AI606" s="122"/>
      <c r="AJ606" s="122"/>
      <c r="AK606" s="122"/>
      <c r="AL606" s="21"/>
      <c r="AM606" s="122" t="s">
        <v>66</v>
      </c>
    </row>
    <row r="607" spans="1:39" customFormat="1" ht="15.75" customHeight="1" x14ac:dyDescent="0.3">
      <c r="A607" t="s">
        <v>66</v>
      </c>
      <c r="B607" s="21" t="s">
        <v>927</v>
      </c>
      <c r="C607" s="21" t="s">
        <v>764</v>
      </c>
      <c r="D607" s="117" t="s">
        <v>535</v>
      </c>
      <c r="E607" s="21"/>
      <c r="F607" s="21" t="s">
        <v>536</v>
      </c>
      <c r="G607" s="21">
        <v>162.69</v>
      </c>
      <c r="H607" s="21"/>
      <c r="I607" s="117" t="s">
        <v>325</v>
      </c>
      <c r="J607" s="117" t="s">
        <v>910</v>
      </c>
      <c r="K607" s="118"/>
      <c r="L607" s="21"/>
      <c r="M607" s="21"/>
      <c r="N607" s="21">
        <v>57.46</v>
      </c>
      <c r="O607" s="21"/>
      <c r="P607" s="21">
        <v>99.04</v>
      </c>
      <c r="Q607" s="21"/>
      <c r="R607" s="21" t="s">
        <v>326</v>
      </c>
      <c r="S607" s="119">
        <f>DATABASE_Table[[#This Row],[Inicial Asking Price (€) (Total)]]-DATABASE_Table[[#This Row],[Vista membership]]-DATABASE_Table[[#This Row],[FF&amp;E]]</f>
        <v>730000</v>
      </c>
      <c r="T607" s="120">
        <v>730000</v>
      </c>
      <c r="U607" s="36">
        <v>730000</v>
      </c>
      <c r="V607" s="21"/>
      <c r="W607" s="21"/>
      <c r="X607" s="73">
        <f>DATABASE_Table[[#This Row],[Current Asking price( Total)]]-DATABASE_Table[[#This Row],[Vista membership]]-DATABASE_Table[[#This Row],[FF&amp;E]]</f>
        <v>730000</v>
      </c>
      <c r="Y607" s="37"/>
      <c r="Z607" s="36">
        <v>730000</v>
      </c>
      <c r="AA607" s="73">
        <f>DATABASE_Table[[#This Row],[Sell price (Total)]]-DATABASE_Table[[#This Row],[FF&amp;E]]-DATABASE_Table[[#This Row],[Vista membership]]</f>
        <v>730000</v>
      </c>
      <c r="AB607" s="74">
        <v>46141</v>
      </c>
      <c r="AC607" s="74" t="str">
        <f t="shared" si="9"/>
        <v>Q2 2026</v>
      </c>
      <c r="AD607" s="123">
        <v>46141</v>
      </c>
      <c r="AE607" s="69">
        <v>46843</v>
      </c>
      <c r="AF607" s="21" t="s">
        <v>57</v>
      </c>
      <c r="AG607" s="21" t="s">
        <v>68</v>
      </c>
      <c r="AH607" s="122"/>
      <c r="AI607" s="122"/>
      <c r="AJ607" s="122"/>
      <c r="AK607" s="122"/>
      <c r="AL607" s="21"/>
      <c r="AM607" s="122" t="s">
        <v>66</v>
      </c>
    </row>
    <row r="608" spans="1:39" customFormat="1" ht="15.75" customHeight="1" x14ac:dyDescent="0.3">
      <c r="A608" t="s">
        <v>66</v>
      </c>
      <c r="B608" s="21" t="s">
        <v>927</v>
      </c>
      <c r="C608" s="21" t="s">
        <v>764</v>
      </c>
      <c r="D608" s="117" t="s">
        <v>434</v>
      </c>
      <c r="E608" s="21"/>
      <c r="F608" s="21" t="s">
        <v>530</v>
      </c>
      <c r="G608" s="21">
        <v>137.29</v>
      </c>
      <c r="H608" s="21"/>
      <c r="I608" s="117" t="s">
        <v>325</v>
      </c>
      <c r="J608" s="117" t="s">
        <v>905</v>
      </c>
      <c r="K608" s="118"/>
      <c r="L608" s="21"/>
      <c r="M608" s="21"/>
      <c r="N608" s="21">
        <v>28.75</v>
      </c>
      <c r="O608" s="21"/>
      <c r="P608" s="21">
        <v>101.26</v>
      </c>
      <c r="Q608" s="21"/>
      <c r="R608" s="21" t="s">
        <v>326</v>
      </c>
      <c r="S608" s="119">
        <f>DATABASE_Table[[#This Row],[Inicial Asking Price (€) (Total)]]-DATABASE_Table[[#This Row],[Vista membership]]-DATABASE_Table[[#This Row],[FF&amp;E]]</f>
        <v>820000</v>
      </c>
      <c r="T608" s="120">
        <v>820000</v>
      </c>
      <c r="U608" s="36">
        <v>820000</v>
      </c>
      <c r="V608" s="21"/>
      <c r="W608" s="21"/>
      <c r="X608" s="73">
        <f>DATABASE_Table[[#This Row],[Current Asking price( Total)]]-DATABASE_Table[[#This Row],[Vista membership]]-DATABASE_Table[[#This Row],[FF&amp;E]]</f>
        <v>820000</v>
      </c>
      <c r="Y608" s="37"/>
      <c r="Z608" s="36">
        <v>820000</v>
      </c>
      <c r="AA608" s="73">
        <f>DATABASE_Table[[#This Row],[Sell price (Total)]]-DATABASE_Table[[#This Row],[FF&amp;E]]-DATABASE_Table[[#This Row],[Vista membership]]</f>
        <v>820000</v>
      </c>
      <c r="AB608" s="74">
        <v>46141</v>
      </c>
      <c r="AC608" s="74" t="str">
        <f t="shared" si="9"/>
        <v>Q2 2026</v>
      </c>
      <c r="AD608" s="123"/>
      <c r="AE608" s="69">
        <v>46843</v>
      </c>
      <c r="AF608" s="21" t="s">
        <v>57</v>
      </c>
      <c r="AG608" s="21" t="s">
        <v>68</v>
      </c>
      <c r="AH608" s="122"/>
      <c r="AI608" s="122"/>
      <c r="AJ608" s="122"/>
      <c r="AK608" s="122"/>
      <c r="AL608" s="21"/>
      <c r="AM608" s="122" t="s">
        <v>66</v>
      </c>
    </row>
    <row r="609" spans="1:39" customFormat="1" ht="15.75" customHeight="1" x14ac:dyDescent="0.3">
      <c r="A609" t="s">
        <v>66</v>
      </c>
      <c r="B609" s="21" t="s">
        <v>927</v>
      </c>
      <c r="C609" s="21" t="s">
        <v>764</v>
      </c>
      <c r="D609" s="117" t="s">
        <v>441</v>
      </c>
      <c r="E609" s="21"/>
      <c r="F609" s="21" t="s">
        <v>530</v>
      </c>
      <c r="G609" s="21">
        <v>143.08000000000001</v>
      </c>
      <c r="H609" s="21"/>
      <c r="I609" s="117" t="s">
        <v>325</v>
      </c>
      <c r="J609" s="117" t="s">
        <v>906</v>
      </c>
      <c r="K609" s="118"/>
      <c r="L609" s="21"/>
      <c r="M609" s="21"/>
      <c r="N609" s="21">
        <v>34.6</v>
      </c>
      <c r="O609" s="21"/>
      <c r="P609" s="21">
        <v>100.11</v>
      </c>
      <c r="Q609" s="21"/>
      <c r="R609" s="21" t="s">
        <v>326</v>
      </c>
      <c r="S609" s="119">
        <f>DATABASE_Table[[#This Row],[Inicial Asking Price (€) (Total)]]-DATABASE_Table[[#This Row],[Vista membership]]-DATABASE_Table[[#This Row],[FF&amp;E]]</f>
        <v>800000</v>
      </c>
      <c r="T609" s="120">
        <v>800000</v>
      </c>
      <c r="U609" s="36">
        <v>800000</v>
      </c>
      <c r="V609" s="21"/>
      <c r="W609" s="21"/>
      <c r="X609" s="73">
        <f>DATABASE_Table[[#This Row],[Current Asking price( Total)]]-DATABASE_Table[[#This Row],[Vista membership]]-DATABASE_Table[[#This Row],[FF&amp;E]]</f>
        <v>800000</v>
      </c>
      <c r="Y609" s="37"/>
      <c r="Z609" s="36">
        <v>800000</v>
      </c>
      <c r="AA609" s="73">
        <f>DATABASE_Table[[#This Row],[Sell price (Total)]]-DATABASE_Table[[#This Row],[FF&amp;E]]-DATABASE_Table[[#This Row],[Vista membership]]</f>
        <v>800000</v>
      </c>
      <c r="AB609" s="74">
        <v>46141</v>
      </c>
      <c r="AC609" s="74" t="str">
        <f t="shared" si="9"/>
        <v>Q2 2026</v>
      </c>
      <c r="AD609" s="123"/>
      <c r="AE609" s="69">
        <v>46843</v>
      </c>
      <c r="AF609" s="21" t="s">
        <v>57</v>
      </c>
      <c r="AG609" s="21" t="s">
        <v>68</v>
      </c>
      <c r="AH609" s="122"/>
      <c r="AI609" s="122"/>
      <c r="AJ609" s="122"/>
      <c r="AK609" s="122"/>
      <c r="AL609" s="21"/>
      <c r="AM609" s="122" t="s">
        <v>66</v>
      </c>
    </row>
    <row r="610" spans="1:39" customFormat="1" ht="15.75" customHeight="1" x14ac:dyDescent="0.3">
      <c r="A610" t="s">
        <v>66</v>
      </c>
      <c r="B610" s="21" t="s">
        <v>927</v>
      </c>
      <c r="C610" s="21" t="s">
        <v>764</v>
      </c>
      <c r="D610" s="117" t="s">
        <v>456</v>
      </c>
      <c r="E610" s="21"/>
      <c r="F610" s="21" t="s">
        <v>532</v>
      </c>
      <c r="G610" s="21">
        <v>345.42</v>
      </c>
      <c r="H610" s="21"/>
      <c r="I610" s="117" t="s">
        <v>325</v>
      </c>
      <c r="J610" s="117" t="s">
        <v>907</v>
      </c>
      <c r="K610" s="118"/>
      <c r="L610" s="21"/>
      <c r="M610" s="21"/>
      <c r="N610" s="21">
        <v>85.2</v>
      </c>
      <c r="O610" s="21"/>
      <c r="P610" s="21">
        <v>244.93</v>
      </c>
      <c r="Q610" s="21"/>
      <c r="R610" s="21" t="s">
        <v>329</v>
      </c>
      <c r="S610" s="119">
        <f>DATABASE_Table[[#This Row],[Inicial Asking Price (€) (Total)]]-DATABASE_Table[[#This Row],[Vista membership]]-DATABASE_Table[[#This Row],[FF&amp;E]]</f>
        <v>2080000</v>
      </c>
      <c r="T610" s="120">
        <v>2080000</v>
      </c>
      <c r="U610" s="36">
        <v>2080000</v>
      </c>
      <c r="V610" s="21"/>
      <c r="W610" s="21"/>
      <c r="X610" s="73">
        <f>DATABASE_Table[[#This Row],[Current Asking price( Total)]]-DATABASE_Table[[#This Row],[Vista membership]]-DATABASE_Table[[#This Row],[FF&amp;E]]</f>
        <v>2080000</v>
      </c>
      <c r="Y610" s="37"/>
      <c r="Z610" s="36">
        <v>2080000</v>
      </c>
      <c r="AA610" s="73">
        <f>DATABASE_Table[[#This Row],[Sell price (Total)]]-DATABASE_Table[[#This Row],[FF&amp;E]]-DATABASE_Table[[#This Row],[Vista membership]]</f>
        <v>2080000</v>
      </c>
      <c r="AB610" s="74">
        <v>46141</v>
      </c>
      <c r="AC610" s="74" t="str">
        <f t="shared" si="9"/>
        <v>Q2 2026</v>
      </c>
      <c r="AD610" s="123"/>
      <c r="AE610" s="69">
        <v>46843</v>
      </c>
      <c r="AF610" s="21" t="s">
        <v>57</v>
      </c>
      <c r="AG610" s="21" t="s">
        <v>68</v>
      </c>
      <c r="AH610" s="122"/>
      <c r="AI610" s="122"/>
      <c r="AJ610" s="122"/>
      <c r="AK610" s="122"/>
      <c r="AL610" s="21"/>
      <c r="AM610" s="122" t="s">
        <v>66</v>
      </c>
    </row>
    <row r="611" spans="1:39" customFormat="1" ht="15.75" customHeight="1" x14ac:dyDescent="0.3">
      <c r="A611" t="s">
        <v>66</v>
      </c>
      <c r="B611" s="21" t="s">
        <v>927</v>
      </c>
      <c r="C611" s="21" t="s">
        <v>764</v>
      </c>
      <c r="D611" s="117" t="s">
        <v>457</v>
      </c>
      <c r="E611" s="21"/>
      <c r="F611" s="21" t="s">
        <v>533</v>
      </c>
      <c r="G611" s="21">
        <v>344.99</v>
      </c>
      <c r="H611" s="21"/>
      <c r="I611" s="117" t="s">
        <v>325</v>
      </c>
      <c r="J611" s="117" t="s">
        <v>908</v>
      </c>
      <c r="K611" s="118"/>
      <c r="L611" s="21"/>
      <c r="M611" s="21"/>
      <c r="N611" s="21">
        <v>83.71</v>
      </c>
      <c r="O611" s="21"/>
      <c r="P611" s="21">
        <v>246.15</v>
      </c>
      <c r="Q611" s="21"/>
      <c r="R611" s="21" t="s">
        <v>329</v>
      </c>
      <c r="S611" s="119">
        <f>DATABASE_Table[[#This Row],[Inicial Asking Price (€) (Total)]]-DATABASE_Table[[#This Row],[Vista membership]]-DATABASE_Table[[#This Row],[FF&amp;E]]</f>
        <v>2060000</v>
      </c>
      <c r="T611" s="120">
        <v>2060000</v>
      </c>
      <c r="U611" s="36">
        <v>2060000</v>
      </c>
      <c r="V611" s="21"/>
      <c r="W611" s="21"/>
      <c r="X611" s="73">
        <f>DATABASE_Table[[#This Row],[Current Asking price( Total)]]-DATABASE_Table[[#This Row],[Vista membership]]-DATABASE_Table[[#This Row],[FF&amp;E]]</f>
        <v>2060000</v>
      </c>
      <c r="Y611" s="37"/>
      <c r="Z611" s="36">
        <v>2060000</v>
      </c>
      <c r="AA611" s="73">
        <f>DATABASE_Table[[#This Row],[Sell price (Total)]]-DATABASE_Table[[#This Row],[FF&amp;E]]-DATABASE_Table[[#This Row],[Vista membership]]</f>
        <v>2060000</v>
      </c>
      <c r="AB611" s="74">
        <v>46141</v>
      </c>
      <c r="AC611" s="74" t="str">
        <f t="shared" si="9"/>
        <v>Q2 2026</v>
      </c>
      <c r="AD611" s="123"/>
      <c r="AE611" s="69">
        <v>46843</v>
      </c>
      <c r="AF611" s="21" t="s">
        <v>57</v>
      </c>
      <c r="AG611" s="21" t="s">
        <v>68</v>
      </c>
      <c r="AH611" s="122"/>
      <c r="AI611" s="122"/>
      <c r="AJ611" s="122"/>
      <c r="AK611" s="122"/>
      <c r="AL611" s="21"/>
      <c r="AM611" s="122" t="s">
        <v>66</v>
      </c>
    </row>
    <row r="612" spans="1:39" customFormat="1" ht="15.75" customHeight="1" x14ac:dyDescent="0.3">
      <c r="A612" t="s">
        <v>66</v>
      </c>
      <c r="B612" s="21" t="s">
        <v>927</v>
      </c>
      <c r="C612" s="21" t="s">
        <v>764</v>
      </c>
      <c r="D612" s="117" t="s">
        <v>458</v>
      </c>
      <c r="E612" s="21"/>
      <c r="F612" s="21" t="s">
        <v>532</v>
      </c>
      <c r="G612" s="21">
        <v>342.39</v>
      </c>
      <c r="H612" s="21"/>
      <c r="I612" s="117" t="s">
        <v>325</v>
      </c>
      <c r="J612" s="117" t="s">
        <v>908</v>
      </c>
      <c r="K612" s="118"/>
      <c r="L612" s="21"/>
      <c r="M612" s="21"/>
      <c r="N612" s="21">
        <v>84.04</v>
      </c>
      <c r="O612" s="21"/>
      <c r="P612" s="21">
        <v>243.22</v>
      </c>
      <c r="Q612" s="21"/>
      <c r="R612" s="21" t="s">
        <v>329</v>
      </c>
      <c r="S612" s="119">
        <f>DATABASE_Table[[#This Row],[Inicial Asking Price (€) (Total)]]-DATABASE_Table[[#This Row],[Vista membership]]-DATABASE_Table[[#This Row],[FF&amp;E]]</f>
        <v>2050000</v>
      </c>
      <c r="T612" s="120">
        <v>2050000</v>
      </c>
      <c r="U612" s="36">
        <v>2050000</v>
      </c>
      <c r="V612" s="21"/>
      <c r="W612" s="21"/>
      <c r="X612" s="73">
        <f>DATABASE_Table[[#This Row],[Current Asking price( Total)]]-DATABASE_Table[[#This Row],[Vista membership]]-DATABASE_Table[[#This Row],[FF&amp;E]]</f>
        <v>2050000</v>
      </c>
      <c r="Y612" s="37"/>
      <c r="Z612" s="36">
        <v>2050000</v>
      </c>
      <c r="AA612" s="73">
        <f>DATABASE_Table[[#This Row],[Sell price (Total)]]-DATABASE_Table[[#This Row],[FF&amp;E]]-DATABASE_Table[[#This Row],[Vista membership]]</f>
        <v>2050000</v>
      </c>
      <c r="AB612" s="74">
        <v>46141</v>
      </c>
      <c r="AC612" s="74" t="str">
        <f t="shared" si="9"/>
        <v>Q2 2026</v>
      </c>
      <c r="AD612" s="123"/>
      <c r="AE612" s="69">
        <v>46843</v>
      </c>
      <c r="AF612" s="21" t="s">
        <v>57</v>
      </c>
      <c r="AG612" s="21" t="s">
        <v>68</v>
      </c>
      <c r="AH612" s="122"/>
      <c r="AI612" s="122"/>
      <c r="AJ612" s="122"/>
      <c r="AK612" s="122"/>
      <c r="AL612" s="21"/>
      <c r="AM612" s="122" t="s">
        <v>66</v>
      </c>
    </row>
    <row r="613" spans="1:39" customFormat="1" ht="15.75" customHeight="1" x14ac:dyDescent="0.3">
      <c r="A613" t="s">
        <v>66</v>
      </c>
      <c r="B613" s="21" t="s">
        <v>927</v>
      </c>
      <c r="C613" s="21" t="s">
        <v>764</v>
      </c>
      <c r="D613" s="117" t="s">
        <v>459</v>
      </c>
      <c r="E613" s="21"/>
      <c r="F613" s="21" t="s">
        <v>532</v>
      </c>
      <c r="G613" s="21">
        <v>345.12</v>
      </c>
      <c r="H613" s="21"/>
      <c r="I613" s="117" t="s">
        <v>325</v>
      </c>
      <c r="J613" s="117" t="s">
        <v>908</v>
      </c>
      <c r="K613" s="118"/>
      <c r="L613" s="21"/>
      <c r="M613" s="21"/>
      <c r="N613" s="21">
        <v>83.71</v>
      </c>
      <c r="O613" s="21"/>
      <c r="P613" s="21">
        <v>246.28</v>
      </c>
      <c r="Q613" s="21"/>
      <c r="R613" s="21" t="s">
        <v>329</v>
      </c>
      <c r="S613" s="119">
        <f>DATABASE_Table[[#This Row],[Inicial Asking Price (€) (Total)]]-DATABASE_Table[[#This Row],[Vista membership]]-DATABASE_Table[[#This Row],[FF&amp;E]]</f>
        <v>1990000</v>
      </c>
      <c r="T613" s="120">
        <v>1990000</v>
      </c>
      <c r="U613" s="36">
        <v>1990000</v>
      </c>
      <c r="V613" s="21"/>
      <c r="W613" s="21"/>
      <c r="X613" s="73">
        <f>DATABASE_Table[[#This Row],[Current Asking price( Total)]]-DATABASE_Table[[#This Row],[Vista membership]]-DATABASE_Table[[#This Row],[FF&amp;E]]</f>
        <v>1990000</v>
      </c>
      <c r="Y613" s="37"/>
      <c r="Z613" s="36">
        <v>1990000</v>
      </c>
      <c r="AA613" s="73">
        <f>DATABASE_Table[[#This Row],[Sell price (Total)]]-DATABASE_Table[[#This Row],[FF&amp;E]]-DATABASE_Table[[#This Row],[Vista membership]]</f>
        <v>1990000</v>
      </c>
      <c r="AB613" s="74">
        <v>46141</v>
      </c>
      <c r="AC613" s="74" t="str">
        <f t="shared" si="9"/>
        <v>Q2 2026</v>
      </c>
      <c r="AD613" s="123"/>
      <c r="AE613" s="69">
        <v>46843</v>
      </c>
      <c r="AF613" s="21" t="s">
        <v>57</v>
      </c>
      <c r="AG613" s="21" t="s">
        <v>68</v>
      </c>
      <c r="AH613" s="122"/>
      <c r="AI613" s="122"/>
      <c r="AJ613" s="122"/>
      <c r="AK613" s="122"/>
      <c r="AL613" s="21"/>
      <c r="AM613" s="122" t="s">
        <v>66</v>
      </c>
    </row>
    <row r="614" spans="1:39" customFormat="1" ht="15.75" customHeight="1" x14ac:dyDescent="0.3">
      <c r="A614" t="s">
        <v>66</v>
      </c>
      <c r="B614" s="21" t="s">
        <v>927</v>
      </c>
      <c r="C614" s="21" t="s">
        <v>764</v>
      </c>
      <c r="D614" s="117" t="s">
        <v>460</v>
      </c>
      <c r="E614" s="21"/>
      <c r="F614" s="21" t="s">
        <v>533</v>
      </c>
      <c r="G614" s="21">
        <v>342.3</v>
      </c>
      <c r="H614" s="21"/>
      <c r="I614" s="117" t="s">
        <v>325</v>
      </c>
      <c r="J614" s="117" t="s">
        <v>908</v>
      </c>
      <c r="K614" s="118"/>
      <c r="L614" s="21"/>
      <c r="M614" s="21"/>
      <c r="N614" s="21">
        <v>84.04</v>
      </c>
      <c r="O614" s="21"/>
      <c r="P614" s="21">
        <v>243.13</v>
      </c>
      <c r="Q614" s="21"/>
      <c r="R614" s="21" t="s">
        <v>329</v>
      </c>
      <c r="S614" s="119">
        <f>DATABASE_Table[[#This Row],[Inicial Asking Price (€) (Total)]]-DATABASE_Table[[#This Row],[Vista membership]]-DATABASE_Table[[#This Row],[FF&amp;E]]</f>
        <v>1980000</v>
      </c>
      <c r="T614" s="120">
        <v>1980000</v>
      </c>
      <c r="U614" s="36">
        <v>1980000</v>
      </c>
      <c r="V614" s="21"/>
      <c r="W614" s="21"/>
      <c r="X614" s="73">
        <f>DATABASE_Table[[#This Row],[Current Asking price( Total)]]-DATABASE_Table[[#This Row],[Vista membership]]-DATABASE_Table[[#This Row],[FF&amp;E]]</f>
        <v>1980000</v>
      </c>
      <c r="Y614" s="37"/>
      <c r="Z614" s="36">
        <v>1980000</v>
      </c>
      <c r="AA614" s="73">
        <f>DATABASE_Table[[#This Row],[Sell price (Total)]]-DATABASE_Table[[#This Row],[FF&amp;E]]-DATABASE_Table[[#This Row],[Vista membership]]</f>
        <v>1980000</v>
      </c>
      <c r="AB614" s="74">
        <v>46141</v>
      </c>
      <c r="AC614" s="74" t="str">
        <f t="shared" si="9"/>
        <v>Q2 2026</v>
      </c>
      <c r="AD614" s="123"/>
      <c r="AE614" s="69">
        <v>46843</v>
      </c>
      <c r="AF614" s="21" t="s">
        <v>57</v>
      </c>
      <c r="AG614" s="21" t="s">
        <v>68</v>
      </c>
      <c r="AH614" s="122"/>
      <c r="AI614" s="122"/>
      <c r="AJ614" s="122"/>
      <c r="AK614" s="122"/>
      <c r="AL614" s="21"/>
      <c r="AM614" s="122" t="s">
        <v>66</v>
      </c>
    </row>
    <row r="615" spans="1:39" customFormat="1" ht="15.75" customHeight="1" x14ac:dyDescent="0.3">
      <c r="A615" t="s">
        <v>66</v>
      </c>
      <c r="B615" s="21" t="s">
        <v>927</v>
      </c>
      <c r="C615" s="21" t="s">
        <v>764</v>
      </c>
      <c r="D615" s="117" t="s">
        <v>305</v>
      </c>
      <c r="E615" s="21"/>
      <c r="F615" s="21" t="s">
        <v>537</v>
      </c>
      <c r="G615" s="21">
        <v>568.54999999999995</v>
      </c>
      <c r="H615" s="21"/>
      <c r="I615" s="117" t="s">
        <v>325</v>
      </c>
      <c r="J615" s="117" t="s">
        <v>911</v>
      </c>
      <c r="K615" s="118"/>
      <c r="L615" s="21"/>
      <c r="M615" s="21"/>
      <c r="N615" s="21">
        <v>209.11</v>
      </c>
      <c r="O615" s="21"/>
      <c r="P615" s="21">
        <v>331.2</v>
      </c>
      <c r="Q615" s="21"/>
      <c r="R615" s="21" t="s">
        <v>329</v>
      </c>
      <c r="S615" s="119">
        <f>DATABASE_Table[[#This Row],[Inicial Asking Price (€) (Total)]]-DATABASE_Table[[#This Row],[Vista membership]]-DATABASE_Table[[#This Row],[FF&amp;E]]</f>
        <v>2880000</v>
      </c>
      <c r="T615" s="120">
        <v>2880000</v>
      </c>
      <c r="U615" s="36">
        <v>2880000</v>
      </c>
      <c r="V615" s="21"/>
      <c r="W615" s="21"/>
      <c r="X615" s="73">
        <f>DATABASE_Table[[#This Row],[Current Asking price( Total)]]-DATABASE_Table[[#This Row],[Vista membership]]-DATABASE_Table[[#This Row],[FF&amp;E]]</f>
        <v>2880000</v>
      </c>
      <c r="Y615" s="37"/>
      <c r="Z615" s="36">
        <v>2880000</v>
      </c>
      <c r="AA615" s="73">
        <f>DATABASE_Table[[#This Row],[Sell price (Total)]]-DATABASE_Table[[#This Row],[FF&amp;E]]-DATABASE_Table[[#This Row],[Vista membership]]</f>
        <v>2880000</v>
      </c>
      <c r="AB615" s="74">
        <v>46141</v>
      </c>
      <c r="AC615" s="74" t="str">
        <f t="shared" si="9"/>
        <v>Q2 2026</v>
      </c>
      <c r="AD615" s="123"/>
      <c r="AE615" s="69">
        <v>46843</v>
      </c>
      <c r="AF615" s="21" t="s">
        <v>57</v>
      </c>
      <c r="AG615" s="21" t="s">
        <v>68</v>
      </c>
      <c r="AH615" s="122"/>
      <c r="AI615" s="122"/>
      <c r="AJ615" s="122"/>
      <c r="AK615" s="122"/>
      <c r="AL615" s="21"/>
      <c r="AM615" s="122" t="s">
        <v>66</v>
      </c>
    </row>
    <row r="616" spans="1:39" customFormat="1" ht="15.75" customHeight="1" x14ac:dyDescent="0.3">
      <c r="A616" t="s">
        <v>66</v>
      </c>
      <c r="B616" s="21" t="s">
        <v>927</v>
      </c>
      <c r="C616" s="21" t="s">
        <v>764</v>
      </c>
      <c r="D616" s="117" t="s">
        <v>306</v>
      </c>
      <c r="E616" s="21"/>
      <c r="F616" s="21" t="s">
        <v>532</v>
      </c>
      <c r="G616" s="21">
        <v>355.31</v>
      </c>
      <c r="H616" s="21"/>
      <c r="I616" s="117" t="s">
        <v>325</v>
      </c>
      <c r="J616" s="117" t="s">
        <v>908</v>
      </c>
      <c r="K616" s="118"/>
      <c r="L616" s="21"/>
      <c r="M616" s="21"/>
      <c r="N616" s="21">
        <v>115.74</v>
      </c>
      <c r="O616" s="21"/>
      <c r="P616" s="21">
        <v>224.44</v>
      </c>
      <c r="Q616" s="21"/>
      <c r="R616" s="21" t="s">
        <v>329</v>
      </c>
      <c r="S616" s="119">
        <f>DATABASE_Table[[#This Row],[Inicial Asking Price (€) (Total)]]-DATABASE_Table[[#This Row],[Vista membership]]-DATABASE_Table[[#This Row],[FF&amp;E]]</f>
        <v>2090000</v>
      </c>
      <c r="T616" s="120">
        <v>2090000</v>
      </c>
      <c r="U616" s="36">
        <v>2090000</v>
      </c>
      <c r="V616" s="21"/>
      <c r="W616" s="21"/>
      <c r="X616" s="73">
        <f>DATABASE_Table[[#This Row],[Current Asking price( Total)]]-DATABASE_Table[[#This Row],[Vista membership]]-DATABASE_Table[[#This Row],[FF&amp;E]]</f>
        <v>2090000</v>
      </c>
      <c r="Y616" s="37"/>
      <c r="Z616" s="36">
        <v>2090000</v>
      </c>
      <c r="AA616" s="73">
        <f>DATABASE_Table[[#This Row],[Sell price (Total)]]-DATABASE_Table[[#This Row],[FF&amp;E]]-DATABASE_Table[[#This Row],[Vista membership]]</f>
        <v>2090000</v>
      </c>
      <c r="AB616" s="74">
        <v>46141</v>
      </c>
      <c r="AC616" s="74" t="str">
        <f t="shared" si="9"/>
        <v>Q2 2026</v>
      </c>
      <c r="AD616" s="123"/>
      <c r="AE616" s="69">
        <v>46843</v>
      </c>
      <c r="AF616" s="21" t="s">
        <v>57</v>
      </c>
      <c r="AG616" s="21" t="s">
        <v>68</v>
      </c>
      <c r="AH616" s="122"/>
      <c r="AI616" s="122"/>
      <c r="AJ616" s="122"/>
      <c r="AK616" s="122"/>
      <c r="AL616" s="21"/>
      <c r="AM616" s="122" t="s">
        <v>66</v>
      </c>
    </row>
    <row r="617" spans="1:39" customFormat="1" ht="15.75" customHeight="1" x14ac:dyDescent="0.3">
      <c r="A617" t="s">
        <v>66</v>
      </c>
      <c r="B617" s="21" t="s">
        <v>927</v>
      </c>
      <c r="C617" s="21" t="s">
        <v>764</v>
      </c>
      <c r="D617" s="117" t="s">
        <v>538</v>
      </c>
      <c r="E617" s="21"/>
      <c r="F617" s="21" t="s">
        <v>533</v>
      </c>
      <c r="G617" s="21">
        <v>363.73</v>
      </c>
      <c r="H617" s="21"/>
      <c r="I617" s="117" t="s">
        <v>325</v>
      </c>
      <c r="J617" s="117" t="s">
        <v>912</v>
      </c>
      <c r="K617" s="118"/>
      <c r="L617" s="21"/>
      <c r="M617" s="21"/>
      <c r="N617" s="21">
        <v>124.56</v>
      </c>
      <c r="O617" s="21"/>
      <c r="P617" s="21">
        <v>223.86</v>
      </c>
      <c r="Q617" s="21"/>
      <c r="R617" s="21" t="s">
        <v>329</v>
      </c>
      <c r="S617" s="119">
        <f>DATABASE_Table[[#This Row],[Inicial Asking Price (€) (Total)]]-DATABASE_Table[[#This Row],[Vista membership]]-DATABASE_Table[[#This Row],[FF&amp;E]]</f>
        <v>2080000</v>
      </c>
      <c r="T617" s="120">
        <v>2080000</v>
      </c>
      <c r="U617" s="36">
        <v>2080000</v>
      </c>
      <c r="V617" s="21"/>
      <c r="W617" s="21"/>
      <c r="X617" s="73">
        <f>DATABASE_Table[[#This Row],[Current Asking price( Total)]]-DATABASE_Table[[#This Row],[Vista membership]]-DATABASE_Table[[#This Row],[FF&amp;E]]</f>
        <v>2080000</v>
      </c>
      <c r="Y617" s="37"/>
      <c r="Z617" s="36">
        <v>2080000</v>
      </c>
      <c r="AA617" s="73">
        <f>DATABASE_Table[[#This Row],[Sell price (Total)]]-DATABASE_Table[[#This Row],[FF&amp;E]]-DATABASE_Table[[#This Row],[Vista membership]]</f>
        <v>2080000</v>
      </c>
      <c r="AB617" s="74">
        <v>46141</v>
      </c>
      <c r="AC617" s="74" t="str">
        <f t="shared" si="9"/>
        <v>Q2 2026</v>
      </c>
      <c r="AD617" s="123"/>
      <c r="AE617" s="69">
        <v>46843</v>
      </c>
      <c r="AF617" s="21" t="s">
        <v>57</v>
      </c>
      <c r="AG617" s="21" t="s">
        <v>68</v>
      </c>
      <c r="AH617" s="122"/>
      <c r="AI617" s="122"/>
      <c r="AJ617" s="122"/>
      <c r="AK617" s="122"/>
      <c r="AL617" s="21"/>
      <c r="AM617" s="122" t="s">
        <v>66</v>
      </c>
    </row>
    <row r="618" spans="1:39" customFormat="1" ht="15.75" customHeight="1" x14ac:dyDescent="0.3">
      <c r="A618" t="s">
        <v>66</v>
      </c>
      <c r="B618" s="21" t="s">
        <v>927</v>
      </c>
      <c r="C618" s="21" t="s">
        <v>764</v>
      </c>
      <c r="D618" s="117" t="s">
        <v>539</v>
      </c>
      <c r="E618" s="21"/>
      <c r="F618" s="21" t="s">
        <v>533</v>
      </c>
      <c r="G618" s="21">
        <v>355.2</v>
      </c>
      <c r="H618" s="21"/>
      <c r="I618" s="117" t="s">
        <v>325</v>
      </c>
      <c r="J618" s="117" t="s">
        <v>908</v>
      </c>
      <c r="K618" s="118"/>
      <c r="L618" s="21"/>
      <c r="M618" s="21"/>
      <c r="N618" s="21">
        <v>115.74</v>
      </c>
      <c r="O618" s="21"/>
      <c r="P618" s="21">
        <v>224.33</v>
      </c>
      <c r="Q618" s="21"/>
      <c r="R618" s="21" t="s">
        <v>329</v>
      </c>
      <c r="S618" s="119">
        <f>DATABASE_Table[[#This Row],[Inicial Asking Price (€) (Total)]]-DATABASE_Table[[#This Row],[Vista membership]]-DATABASE_Table[[#This Row],[FF&amp;E]]</f>
        <v>2070000</v>
      </c>
      <c r="T618" s="120">
        <v>2070000</v>
      </c>
      <c r="U618" s="36">
        <v>2070000</v>
      </c>
      <c r="V618" s="21"/>
      <c r="W618" s="21"/>
      <c r="X618" s="73">
        <f>DATABASE_Table[[#This Row],[Current Asking price( Total)]]-DATABASE_Table[[#This Row],[Vista membership]]-DATABASE_Table[[#This Row],[FF&amp;E]]</f>
        <v>2070000</v>
      </c>
      <c r="Y618" s="37"/>
      <c r="Z618" s="36">
        <v>2070000</v>
      </c>
      <c r="AA618" s="73">
        <f>DATABASE_Table[[#This Row],[Sell price (Total)]]-DATABASE_Table[[#This Row],[FF&amp;E]]-DATABASE_Table[[#This Row],[Vista membership]]</f>
        <v>2070000</v>
      </c>
      <c r="AB618" s="74">
        <v>46141</v>
      </c>
      <c r="AC618" s="74" t="str">
        <f t="shared" si="9"/>
        <v>Q2 2026</v>
      </c>
      <c r="AD618" s="123"/>
      <c r="AE618" s="69">
        <v>46843</v>
      </c>
      <c r="AF618" s="21" t="s">
        <v>57</v>
      </c>
      <c r="AG618" s="21" t="s">
        <v>68</v>
      </c>
      <c r="AH618" s="122"/>
      <c r="AI618" s="122"/>
      <c r="AJ618" s="122"/>
      <c r="AK618" s="122"/>
      <c r="AL618" s="21"/>
      <c r="AM618" s="122" t="s">
        <v>66</v>
      </c>
    </row>
    <row r="619" spans="1:39" customFormat="1" ht="15.75" customHeight="1" x14ac:dyDescent="0.3">
      <c r="A619" t="s">
        <v>66</v>
      </c>
      <c r="B619" s="21" t="s">
        <v>927</v>
      </c>
      <c r="C619" s="21" t="s">
        <v>764</v>
      </c>
      <c r="D619" s="117" t="s">
        <v>540</v>
      </c>
      <c r="E619" s="21"/>
      <c r="F619" s="21" t="s">
        <v>533</v>
      </c>
      <c r="G619" s="21">
        <v>363.7</v>
      </c>
      <c r="H619" s="21"/>
      <c r="I619" s="117" t="s">
        <v>325</v>
      </c>
      <c r="J619" s="117" t="s">
        <v>912</v>
      </c>
      <c r="K619" s="118"/>
      <c r="L619" s="21"/>
      <c r="M619" s="21"/>
      <c r="N619" s="21">
        <v>124.56</v>
      </c>
      <c r="O619" s="21"/>
      <c r="P619" s="21">
        <v>223.83</v>
      </c>
      <c r="Q619" s="21"/>
      <c r="R619" s="21" t="s">
        <v>329</v>
      </c>
      <c r="S619" s="119">
        <f>DATABASE_Table[[#This Row],[Inicial Asking Price (€) (Total)]]-DATABASE_Table[[#This Row],[Vista membership]]-DATABASE_Table[[#This Row],[FF&amp;E]]</f>
        <v>2050000</v>
      </c>
      <c r="T619" s="120">
        <v>2050000</v>
      </c>
      <c r="U619" s="36">
        <v>2050000</v>
      </c>
      <c r="V619" s="21"/>
      <c r="W619" s="21"/>
      <c r="X619" s="73">
        <f>DATABASE_Table[[#This Row],[Current Asking price( Total)]]-DATABASE_Table[[#This Row],[Vista membership]]-DATABASE_Table[[#This Row],[FF&amp;E]]</f>
        <v>2050000</v>
      </c>
      <c r="Y619" s="37"/>
      <c r="Z619" s="36">
        <v>2050000</v>
      </c>
      <c r="AA619" s="73">
        <f>DATABASE_Table[[#This Row],[Sell price (Total)]]-DATABASE_Table[[#This Row],[FF&amp;E]]-DATABASE_Table[[#This Row],[Vista membership]]</f>
        <v>2050000</v>
      </c>
      <c r="AB619" s="74">
        <v>46141</v>
      </c>
      <c r="AC619" s="74" t="str">
        <f t="shared" si="9"/>
        <v>Q2 2026</v>
      </c>
      <c r="AD619" s="123"/>
      <c r="AE619" s="69">
        <v>46843</v>
      </c>
      <c r="AF619" s="21" t="s">
        <v>57</v>
      </c>
      <c r="AG619" s="21" t="s">
        <v>68</v>
      </c>
      <c r="AH619" s="122"/>
      <c r="AI619" s="122"/>
      <c r="AJ619" s="122"/>
      <c r="AK619" s="122"/>
      <c r="AL619" s="21"/>
      <c r="AM619" s="122" t="s">
        <v>66</v>
      </c>
    </row>
    <row r="620" spans="1:39" customFormat="1" ht="15.75" customHeight="1" x14ac:dyDescent="0.3">
      <c r="A620" t="s">
        <v>66</v>
      </c>
      <c r="B620" s="21" t="s">
        <v>927</v>
      </c>
      <c r="C620" s="21" t="s">
        <v>764</v>
      </c>
      <c r="D620" s="117" t="s">
        <v>541</v>
      </c>
      <c r="E620" s="21"/>
      <c r="F620" s="21" t="s">
        <v>533</v>
      </c>
      <c r="G620" s="21">
        <v>355.14</v>
      </c>
      <c r="H620" s="21"/>
      <c r="I620" s="117" t="s">
        <v>325</v>
      </c>
      <c r="J620" s="117" t="s">
        <v>908</v>
      </c>
      <c r="K620" s="118"/>
      <c r="L620" s="21"/>
      <c r="M620" s="21"/>
      <c r="N620" s="21">
        <v>115.74</v>
      </c>
      <c r="O620" s="21"/>
      <c r="P620" s="21">
        <v>224.27</v>
      </c>
      <c r="Q620" s="21"/>
      <c r="R620" s="21" t="s">
        <v>329</v>
      </c>
      <c r="S620" s="119">
        <f>DATABASE_Table[[#This Row],[Inicial Asking Price (€) (Total)]]-DATABASE_Table[[#This Row],[Vista membership]]-DATABASE_Table[[#This Row],[FF&amp;E]]</f>
        <v>2040000</v>
      </c>
      <c r="T620" s="120">
        <v>2040000</v>
      </c>
      <c r="U620" s="36">
        <v>2040000</v>
      </c>
      <c r="V620" s="21"/>
      <c r="W620" s="21"/>
      <c r="X620" s="73">
        <f>DATABASE_Table[[#This Row],[Current Asking price( Total)]]-DATABASE_Table[[#This Row],[Vista membership]]-DATABASE_Table[[#This Row],[FF&amp;E]]</f>
        <v>2040000</v>
      </c>
      <c r="Y620" s="37"/>
      <c r="Z620" s="36">
        <v>2040000</v>
      </c>
      <c r="AA620" s="73">
        <f>DATABASE_Table[[#This Row],[Sell price (Total)]]-DATABASE_Table[[#This Row],[FF&amp;E]]-DATABASE_Table[[#This Row],[Vista membership]]</f>
        <v>2040000</v>
      </c>
      <c r="AB620" s="74">
        <v>46141</v>
      </c>
      <c r="AC620" s="74" t="str">
        <f t="shared" si="9"/>
        <v>Q2 2026</v>
      </c>
      <c r="AD620" s="123"/>
      <c r="AE620" s="69">
        <v>46843</v>
      </c>
      <c r="AF620" s="21" t="s">
        <v>57</v>
      </c>
      <c r="AG620" s="21" t="s">
        <v>68</v>
      </c>
      <c r="AH620" s="122"/>
      <c r="AI620" s="122"/>
      <c r="AJ620" s="122"/>
      <c r="AK620" s="122"/>
      <c r="AL620" s="21"/>
      <c r="AM620" s="122" t="s">
        <v>66</v>
      </c>
    </row>
    <row r="621" spans="1:39" customFormat="1" ht="15.75" customHeight="1" x14ac:dyDescent="0.3">
      <c r="A621" t="s">
        <v>66</v>
      </c>
      <c r="B621" s="21" t="s">
        <v>927</v>
      </c>
      <c r="C621" s="21" t="s">
        <v>764</v>
      </c>
      <c r="D621" s="117" t="s">
        <v>542</v>
      </c>
      <c r="E621" s="21"/>
      <c r="F621" s="21" t="s">
        <v>532</v>
      </c>
      <c r="G621" s="21">
        <v>396.94</v>
      </c>
      <c r="H621" s="21"/>
      <c r="I621" s="117" t="s">
        <v>325</v>
      </c>
      <c r="J621" s="117" t="s">
        <v>913</v>
      </c>
      <c r="K621" s="118"/>
      <c r="L621" s="21"/>
      <c r="M621" s="21"/>
      <c r="N621" s="21">
        <v>146.99</v>
      </c>
      <c r="O621" s="21"/>
      <c r="P621" s="21">
        <v>234.61</v>
      </c>
      <c r="Q621" s="21"/>
      <c r="R621" s="21" t="s">
        <v>329</v>
      </c>
      <c r="S621" s="119">
        <f>DATABASE_Table[[#This Row],[Inicial Asking Price (€) (Total)]]-DATABASE_Table[[#This Row],[Vista membership]]-DATABASE_Table[[#This Row],[FF&amp;E]]</f>
        <v>2040000</v>
      </c>
      <c r="T621" s="120">
        <v>2040000</v>
      </c>
      <c r="U621" s="36">
        <v>2040000</v>
      </c>
      <c r="V621" s="21"/>
      <c r="W621" s="21"/>
      <c r="X621" s="73">
        <f>DATABASE_Table[[#This Row],[Current Asking price( Total)]]-DATABASE_Table[[#This Row],[Vista membership]]-DATABASE_Table[[#This Row],[FF&amp;E]]</f>
        <v>2040000</v>
      </c>
      <c r="Y621" s="37"/>
      <c r="Z621" s="36">
        <v>2040000</v>
      </c>
      <c r="AA621" s="73">
        <f>DATABASE_Table[[#This Row],[Sell price (Total)]]-DATABASE_Table[[#This Row],[FF&amp;E]]-DATABASE_Table[[#This Row],[Vista membership]]</f>
        <v>2040000</v>
      </c>
      <c r="AB621" s="74">
        <v>46141</v>
      </c>
      <c r="AC621" s="74" t="str">
        <f t="shared" si="9"/>
        <v>Q2 2026</v>
      </c>
      <c r="AD621" s="123"/>
      <c r="AE621" s="69">
        <v>46843</v>
      </c>
      <c r="AF621" s="21" t="s">
        <v>57</v>
      </c>
      <c r="AG621" s="21" t="s">
        <v>68</v>
      </c>
      <c r="AH621" s="122"/>
      <c r="AI621" s="122"/>
      <c r="AJ621" s="122"/>
      <c r="AK621" s="122"/>
      <c r="AL621" s="21"/>
      <c r="AM621" s="122" t="s">
        <v>66</v>
      </c>
    </row>
    <row r="622" spans="1:39" customFormat="1" ht="15.75" customHeight="1" x14ac:dyDescent="0.3">
      <c r="A622" t="s">
        <v>66</v>
      </c>
      <c r="B622" s="21" t="s">
        <v>927</v>
      </c>
      <c r="C622" s="21" t="s">
        <v>764</v>
      </c>
      <c r="D622" s="117" t="s">
        <v>543</v>
      </c>
      <c r="E622" s="21"/>
      <c r="F622" s="21" t="s">
        <v>544</v>
      </c>
      <c r="G622" s="21">
        <v>240.78</v>
      </c>
      <c r="H622" s="21"/>
      <c r="I622" s="117" t="s">
        <v>325</v>
      </c>
      <c r="J622" s="117" t="s">
        <v>914</v>
      </c>
      <c r="K622" s="118"/>
      <c r="L622" s="21"/>
      <c r="M622" s="21"/>
      <c r="N622" s="21">
        <v>75.489999999999995</v>
      </c>
      <c r="O622" s="21"/>
      <c r="P622" s="21">
        <v>148.91</v>
      </c>
      <c r="Q622" s="21"/>
      <c r="R622" s="21" t="s">
        <v>329</v>
      </c>
      <c r="S622" s="119">
        <f>DATABASE_Table[[#This Row],[Inicial Asking Price (€) (Total)]]-DATABASE_Table[[#This Row],[Vista membership]]-DATABASE_Table[[#This Row],[FF&amp;E]]</f>
        <v>1430000</v>
      </c>
      <c r="T622" s="120">
        <v>1430000</v>
      </c>
      <c r="U622" s="36">
        <v>1430000</v>
      </c>
      <c r="V622" s="21"/>
      <c r="W622" s="21"/>
      <c r="X622" s="73">
        <f>DATABASE_Table[[#This Row],[Current Asking price( Total)]]-DATABASE_Table[[#This Row],[Vista membership]]-DATABASE_Table[[#This Row],[FF&amp;E]]</f>
        <v>1430000</v>
      </c>
      <c r="Y622" s="37"/>
      <c r="Z622" s="36">
        <v>1430000</v>
      </c>
      <c r="AA622" s="73">
        <f>DATABASE_Table[[#This Row],[Sell price (Total)]]-DATABASE_Table[[#This Row],[FF&amp;E]]-DATABASE_Table[[#This Row],[Vista membership]]</f>
        <v>1430000</v>
      </c>
      <c r="AB622" s="74">
        <v>46141</v>
      </c>
      <c r="AC622" s="74" t="str">
        <f t="shared" si="9"/>
        <v>Q2 2026</v>
      </c>
      <c r="AD622" s="123"/>
      <c r="AE622" s="69">
        <v>46843</v>
      </c>
      <c r="AF622" s="21" t="s">
        <v>57</v>
      </c>
      <c r="AG622" s="21" t="s">
        <v>68</v>
      </c>
      <c r="AH622" s="122"/>
      <c r="AI622" s="122"/>
      <c r="AJ622" s="122"/>
      <c r="AK622" s="122"/>
      <c r="AL622" s="21"/>
      <c r="AM622" s="122" t="s">
        <v>66</v>
      </c>
    </row>
    <row r="623" spans="1:39" customFormat="1" ht="15.75" customHeight="1" x14ac:dyDescent="0.3">
      <c r="A623" t="s">
        <v>66</v>
      </c>
      <c r="B623" s="21" t="s">
        <v>927</v>
      </c>
      <c r="C623" s="21" t="s">
        <v>764</v>
      </c>
      <c r="D623" s="117" t="s">
        <v>545</v>
      </c>
      <c r="E623" s="21"/>
      <c r="F623" s="21" t="s">
        <v>546</v>
      </c>
      <c r="G623" s="21">
        <v>447.28</v>
      </c>
      <c r="H623" s="21"/>
      <c r="I623" s="117" t="s">
        <v>325</v>
      </c>
      <c r="J623" s="117" t="s">
        <v>915</v>
      </c>
      <c r="K623" s="118"/>
      <c r="L623" s="21"/>
      <c r="M623" s="21"/>
      <c r="N623" s="21">
        <v>110.49</v>
      </c>
      <c r="O623" s="21"/>
      <c r="P623" s="21">
        <v>303.99</v>
      </c>
      <c r="Q623" s="21"/>
      <c r="R623" s="21" t="s">
        <v>329</v>
      </c>
      <c r="S623" s="119">
        <f>DATABASE_Table[[#This Row],[Inicial Asking Price (€) (Total)]]-DATABASE_Table[[#This Row],[Vista membership]]-DATABASE_Table[[#This Row],[FF&amp;E]]</f>
        <v>3060000</v>
      </c>
      <c r="T623" s="120">
        <v>3060000</v>
      </c>
      <c r="U623" s="36">
        <v>3060000</v>
      </c>
      <c r="V623" s="21"/>
      <c r="W623" s="21"/>
      <c r="X623" s="73">
        <f>DATABASE_Table[[#This Row],[Current Asking price( Total)]]-DATABASE_Table[[#This Row],[Vista membership]]-DATABASE_Table[[#This Row],[FF&amp;E]]</f>
        <v>3060000</v>
      </c>
      <c r="Y623" s="37"/>
      <c r="Z623" s="36">
        <v>3060000</v>
      </c>
      <c r="AA623" s="73">
        <f>DATABASE_Table[[#This Row],[Sell price (Total)]]-DATABASE_Table[[#This Row],[FF&amp;E]]-DATABASE_Table[[#This Row],[Vista membership]]</f>
        <v>3060000</v>
      </c>
      <c r="AB623" s="74">
        <v>46141</v>
      </c>
      <c r="AC623" s="74" t="str">
        <f t="shared" si="9"/>
        <v>Q2 2026</v>
      </c>
      <c r="AD623" s="123"/>
      <c r="AE623" s="69">
        <v>46843</v>
      </c>
      <c r="AF623" s="21" t="s">
        <v>57</v>
      </c>
      <c r="AG623" s="21" t="s">
        <v>68</v>
      </c>
      <c r="AH623" s="122"/>
      <c r="AI623" s="122"/>
      <c r="AJ623" s="122"/>
      <c r="AK623" s="122"/>
      <c r="AL623" s="21"/>
      <c r="AM623" s="122" t="s">
        <v>66</v>
      </c>
    </row>
    <row r="624" spans="1:39" customFormat="1" ht="15.75" customHeight="1" x14ac:dyDescent="0.3">
      <c r="A624" t="s">
        <v>66</v>
      </c>
      <c r="B624" s="21" t="s">
        <v>927</v>
      </c>
      <c r="C624" s="21" t="s">
        <v>764</v>
      </c>
      <c r="D624" s="117" t="s">
        <v>547</v>
      </c>
      <c r="E624" s="21"/>
      <c r="F624" s="21" t="s">
        <v>546</v>
      </c>
      <c r="G624" s="21">
        <v>447.28</v>
      </c>
      <c r="H624" s="21"/>
      <c r="I624" s="117" t="s">
        <v>325</v>
      </c>
      <c r="J624" s="117" t="s">
        <v>915</v>
      </c>
      <c r="K624" s="118"/>
      <c r="L624" s="21"/>
      <c r="M624" s="21"/>
      <c r="N624" s="21">
        <v>110.49</v>
      </c>
      <c r="O624" s="21"/>
      <c r="P624" s="21">
        <v>303.99</v>
      </c>
      <c r="Q624" s="21"/>
      <c r="R624" s="21" t="s">
        <v>329</v>
      </c>
      <c r="S624" s="119">
        <f>DATABASE_Table[[#This Row],[Inicial Asking Price (€) (Total)]]-DATABASE_Table[[#This Row],[Vista membership]]-DATABASE_Table[[#This Row],[FF&amp;E]]</f>
        <v>2990000</v>
      </c>
      <c r="T624" s="120">
        <v>2990000</v>
      </c>
      <c r="U624" s="36">
        <v>2990000</v>
      </c>
      <c r="V624" s="21"/>
      <c r="W624" s="21"/>
      <c r="X624" s="73">
        <f>DATABASE_Table[[#This Row],[Current Asking price( Total)]]-DATABASE_Table[[#This Row],[Vista membership]]-DATABASE_Table[[#This Row],[FF&amp;E]]</f>
        <v>2990000</v>
      </c>
      <c r="Y624" s="37"/>
      <c r="Z624" s="36">
        <v>2990000</v>
      </c>
      <c r="AA624" s="73">
        <f>DATABASE_Table[[#This Row],[Sell price (Total)]]-DATABASE_Table[[#This Row],[FF&amp;E]]-DATABASE_Table[[#This Row],[Vista membership]]</f>
        <v>2990000</v>
      </c>
      <c r="AB624" s="74">
        <v>46141</v>
      </c>
      <c r="AC624" s="74" t="str">
        <f t="shared" si="9"/>
        <v>Q2 2026</v>
      </c>
      <c r="AD624" s="123"/>
      <c r="AE624" s="69">
        <v>46843</v>
      </c>
      <c r="AF624" s="21" t="s">
        <v>57</v>
      </c>
      <c r="AG624" s="21" t="s">
        <v>68</v>
      </c>
      <c r="AH624" s="122"/>
      <c r="AI624" s="122"/>
      <c r="AJ624" s="122"/>
      <c r="AK624" s="122"/>
      <c r="AL624" s="21"/>
      <c r="AM624" s="122" t="s">
        <v>66</v>
      </c>
    </row>
    <row r="625" spans="1:39" customFormat="1" ht="15.75" customHeight="1" x14ac:dyDescent="0.3">
      <c r="A625" t="s">
        <v>66</v>
      </c>
      <c r="B625" s="21" t="s">
        <v>927</v>
      </c>
      <c r="C625" s="21" t="s">
        <v>764</v>
      </c>
      <c r="D625" s="117" t="s">
        <v>548</v>
      </c>
      <c r="E625" s="21"/>
      <c r="F625" s="21" t="s">
        <v>546</v>
      </c>
      <c r="G625" s="21">
        <v>445.43</v>
      </c>
      <c r="H625" s="21"/>
      <c r="I625" s="117" t="s">
        <v>325</v>
      </c>
      <c r="J625" s="117" t="s">
        <v>915</v>
      </c>
      <c r="K625" s="118"/>
      <c r="L625" s="21"/>
      <c r="M625" s="21"/>
      <c r="N625" s="21">
        <v>110.49</v>
      </c>
      <c r="O625" s="21"/>
      <c r="P625" s="21">
        <v>302.14</v>
      </c>
      <c r="Q625" s="21"/>
      <c r="R625" s="21" t="s">
        <v>329</v>
      </c>
      <c r="S625" s="119">
        <f>DATABASE_Table[[#This Row],[Inicial Asking Price (€) (Total)]]-DATABASE_Table[[#This Row],[Vista membership]]-DATABASE_Table[[#This Row],[FF&amp;E]]</f>
        <v>2890000</v>
      </c>
      <c r="T625" s="120">
        <v>2890000</v>
      </c>
      <c r="U625" s="36">
        <v>2890000</v>
      </c>
      <c r="V625" s="21"/>
      <c r="W625" s="21"/>
      <c r="X625" s="73">
        <f>DATABASE_Table[[#This Row],[Current Asking price( Total)]]-DATABASE_Table[[#This Row],[Vista membership]]-DATABASE_Table[[#This Row],[FF&amp;E]]</f>
        <v>2890000</v>
      </c>
      <c r="Y625" s="37"/>
      <c r="Z625" s="36">
        <v>2890000</v>
      </c>
      <c r="AA625" s="73">
        <f>DATABASE_Table[[#This Row],[Sell price (Total)]]-DATABASE_Table[[#This Row],[FF&amp;E]]-DATABASE_Table[[#This Row],[Vista membership]]</f>
        <v>2890000</v>
      </c>
      <c r="AB625" s="74">
        <v>46141</v>
      </c>
      <c r="AC625" s="74" t="str">
        <f t="shared" si="9"/>
        <v>Q2 2026</v>
      </c>
      <c r="AD625" s="123"/>
      <c r="AE625" s="69">
        <v>46843</v>
      </c>
      <c r="AF625" s="21" t="s">
        <v>57</v>
      </c>
      <c r="AG625" s="21" t="s">
        <v>68</v>
      </c>
      <c r="AH625" s="122"/>
      <c r="AI625" s="122"/>
      <c r="AJ625" s="122"/>
      <c r="AK625" s="122"/>
      <c r="AL625" s="21"/>
      <c r="AM625" s="122" t="s">
        <v>66</v>
      </c>
    </row>
    <row r="626" spans="1:39" customFormat="1" ht="15.75" customHeight="1" x14ac:dyDescent="0.3">
      <c r="A626" t="s">
        <v>66</v>
      </c>
      <c r="B626" s="21" t="s">
        <v>927</v>
      </c>
      <c r="C626" s="21" t="s">
        <v>764</v>
      </c>
      <c r="D626" s="117" t="s">
        <v>549</v>
      </c>
      <c r="E626" s="21"/>
      <c r="F626" s="21" t="s">
        <v>550</v>
      </c>
      <c r="G626" s="21">
        <v>327.23</v>
      </c>
      <c r="H626" s="21"/>
      <c r="I626" s="117" t="s">
        <v>325</v>
      </c>
      <c r="J626" s="117" t="s">
        <v>916</v>
      </c>
      <c r="K626" s="118"/>
      <c r="L626" s="21"/>
      <c r="M626" s="21"/>
      <c r="N626" s="21">
        <v>113.23</v>
      </c>
      <c r="O626" s="21"/>
      <c r="P626" s="21">
        <v>195.61</v>
      </c>
      <c r="Q626" s="21"/>
      <c r="R626" s="21" t="s">
        <v>329</v>
      </c>
      <c r="S626" s="119">
        <f>DATABASE_Table[[#This Row],[Inicial Asking Price (€) (Total)]]-DATABASE_Table[[#This Row],[Vista membership]]-DATABASE_Table[[#This Row],[FF&amp;E]]</f>
        <v>1930000</v>
      </c>
      <c r="T626" s="120">
        <v>1930000</v>
      </c>
      <c r="U626" s="36">
        <v>1930000</v>
      </c>
      <c r="V626" s="21"/>
      <c r="W626" s="21"/>
      <c r="X626" s="73">
        <f>DATABASE_Table[[#This Row],[Current Asking price( Total)]]-DATABASE_Table[[#This Row],[Vista membership]]-DATABASE_Table[[#This Row],[FF&amp;E]]</f>
        <v>1930000</v>
      </c>
      <c r="Y626" s="37"/>
      <c r="Z626" s="36">
        <v>1930000</v>
      </c>
      <c r="AA626" s="73">
        <f>DATABASE_Table[[#This Row],[Sell price (Total)]]-DATABASE_Table[[#This Row],[FF&amp;E]]-DATABASE_Table[[#This Row],[Vista membership]]</f>
        <v>1930000</v>
      </c>
      <c r="AB626" s="74">
        <v>46141</v>
      </c>
      <c r="AC626" s="74" t="str">
        <f t="shared" si="9"/>
        <v>Q2 2026</v>
      </c>
      <c r="AD626" s="123"/>
      <c r="AE626" s="69">
        <v>46843</v>
      </c>
      <c r="AF626" s="21" t="s">
        <v>57</v>
      </c>
      <c r="AG626" s="21" t="s">
        <v>68</v>
      </c>
      <c r="AH626" s="122"/>
      <c r="AI626" s="122"/>
      <c r="AJ626" s="122"/>
      <c r="AK626" s="122"/>
      <c r="AL626" s="21"/>
      <c r="AM626" s="122" t="s">
        <v>66</v>
      </c>
    </row>
    <row r="627" spans="1:39" customFormat="1" ht="15.75" customHeight="1" x14ac:dyDescent="0.3">
      <c r="A627" t="s">
        <v>66</v>
      </c>
      <c r="B627" s="21" t="s">
        <v>927</v>
      </c>
      <c r="C627" s="21" t="s">
        <v>764</v>
      </c>
      <c r="D627" s="117" t="s">
        <v>551</v>
      </c>
      <c r="E627" s="21"/>
      <c r="F627" s="21" t="s">
        <v>552</v>
      </c>
      <c r="G627" s="21">
        <v>258.68</v>
      </c>
      <c r="H627" s="21"/>
      <c r="I627" s="117" t="s">
        <v>325</v>
      </c>
      <c r="J627" s="117" t="s">
        <v>917</v>
      </c>
      <c r="K627" s="118"/>
      <c r="L627" s="21"/>
      <c r="M627" s="21"/>
      <c r="N627" s="21">
        <v>75.849999999999994</v>
      </c>
      <c r="O627" s="21"/>
      <c r="P627" s="21">
        <v>164.05</v>
      </c>
      <c r="Q627" s="21"/>
      <c r="R627" s="21" t="s">
        <v>329</v>
      </c>
      <c r="S627" s="119">
        <f>DATABASE_Table[[#This Row],[Inicial Asking Price (€) (Total)]]-DATABASE_Table[[#This Row],[Vista membership]]-DATABASE_Table[[#This Row],[FF&amp;E]]</f>
        <v>1340000</v>
      </c>
      <c r="T627" s="120">
        <v>1340000</v>
      </c>
      <c r="U627" s="36">
        <v>1340000</v>
      </c>
      <c r="V627" s="21"/>
      <c r="W627" s="21"/>
      <c r="X627" s="73">
        <f>DATABASE_Table[[#This Row],[Current Asking price( Total)]]-DATABASE_Table[[#This Row],[Vista membership]]-DATABASE_Table[[#This Row],[FF&amp;E]]</f>
        <v>1340000</v>
      </c>
      <c r="Y627" s="37"/>
      <c r="Z627" s="36">
        <v>1340000</v>
      </c>
      <c r="AA627" s="73">
        <f>DATABASE_Table[[#This Row],[Sell price (Total)]]-DATABASE_Table[[#This Row],[FF&amp;E]]-DATABASE_Table[[#This Row],[Vista membership]]</f>
        <v>1340000</v>
      </c>
      <c r="AB627" s="74">
        <v>46141</v>
      </c>
      <c r="AC627" s="74" t="str">
        <f t="shared" si="9"/>
        <v>Q2 2026</v>
      </c>
      <c r="AD627" s="123"/>
      <c r="AE627" s="69">
        <v>46843</v>
      </c>
      <c r="AF627" s="21" t="s">
        <v>57</v>
      </c>
      <c r="AG627" s="21" t="s">
        <v>68</v>
      </c>
      <c r="AH627" s="122"/>
      <c r="AI627" s="122"/>
      <c r="AJ627" s="122"/>
      <c r="AK627" s="122"/>
      <c r="AL627" s="21"/>
      <c r="AM627" s="122" t="s">
        <v>66</v>
      </c>
    </row>
    <row r="628" spans="1:39" customFormat="1" ht="15.75" customHeight="1" x14ac:dyDescent="0.3">
      <c r="A628" t="s">
        <v>66</v>
      </c>
      <c r="B628" s="21" t="s">
        <v>927</v>
      </c>
      <c r="C628" s="21" t="s">
        <v>764</v>
      </c>
      <c r="D628" s="117" t="s">
        <v>435</v>
      </c>
      <c r="E628" s="21"/>
      <c r="F628" s="21" t="s">
        <v>419</v>
      </c>
      <c r="G628" s="21">
        <v>87.35</v>
      </c>
      <c r="H628" s="21"/>
      <c r="I628" s="117" t="s">
        <v>325</v>
      </c>
      <c r="J628" s="117" t="s">
        <v>906</v>
      </c>
      <c r="K628" s="118"/>
      <c r="L628" s="21"/>
      <c r="M628" s="21"/>
      <c r="N628" s="21">
        <v>15.12</v>
      </c>
      <c r="O628" s="21"/>
      <c r="P628" s="21">
        <v>63.86</v>
      </c>
      <c r="Q628" s="21"/>
      <c r="R628" s="21" t="s">
        <v>329</v>
      </c>
      <c r="S628" s="119">
        <f>DATABASE_Table[[#This Row],[Inicial Asking Price (€) (Total)]]-DATABASE_Table[[#This Row],[Vista membership]]-DATABASE_Table[[#This Row],[FF&amp;E]]</f>
        <v>660000</v>
      </c>
      <c r="T628" s="120">
        <v>660000</v>
      </c>
      <c r="U628" s="36">
        <v>660000</v>
      </c>
      <c r="V628" s="21"/>
      <c r="W628" s="21"/>
      <c r="X628" s="73">
        <f>DATABASE_Table[[#This Row],[Current Asking price( Total)]]-DATABASE_Table[[#This Row],[Vista membership]]-DATABASE_Table[[#This Row],[FF&amp;E]]</f>
        <v>660000</v>
      </c>
      <c r="Y628" s="37"/>
      <c r="Z628" s="36">
        <v>660000</v>
      </c>
      <c r="AA628" s="73">
        <f>DATABASE_Table[[#This Row],[Sell price (Total)]]-DATABASE_Table[[#This Row],[FF&amp;E]]-DATABASE_Table[[#This Row],[Vista membership]]</f>
        <v>660000</v>
      </c>
      <c r="AB628" s="74">
        <v>46141</v>
      </c>
      <c r="AC628" s="74" t="str">
        <f t="shared" si="9"/>
        <v>Q2 2026</v>
      </c>
      <c r="AD628" s="123"/>
      <c r="AE628" s="69">
        <v>46843</v>
      </c>
      <c r="AF628" s="21" t="s">
        <v>57</v>
      </c>
      <c r="AG628" s="21" t="s">
        <v>68</v>
      </c>
      <c r="AH628" s="122"/>
      <c r="AI628" s="122"/>
      <c r="AJ628" s="122"/>
      <c r="AK628" s="122"/>
      <c r="AL628" s="21"/>
      <c r="AM628" s="122" t="s">
        <v>66</v>
      </c>
    </row>
    <row r="629" spans="1:39" customFormat="1" ht="15.75" customHeight="1" x14ac:dyDescent="0.3">
      <c r="A629" t="s">
        <v>66</v>
      </c>
      <c r="B629" s="21" t="s">
        <v>927</v>
      </c>
      <c r="C629" s="21" t="s">
        <v>764</v>
      </c>
      <c r="D629" s="117" t="s">
        <v>436</v>
      </c>
      <c r="E629" s="21"/>
      <c r="F629" s="21" t="s">
        <v>419</v>
      </c>
      <c r="G629" s="21">
        <v>89.62</v>
      </c>
      <c r="H629" s="21"/>
      <c r="I629" s="117" t="s">
        <v>325</v>
      </c>
      <c r="J629" s="117" t="s">
        <v>905</v>
      </c>
      <c r="K629" s="118"/>
      <c r="L629" s="21"/>
      <c r="M629" s="21"/>
      <c r="N629" s="21">
        <v>19.03</v>
      </c>
      <c r="O629" s="21"/>
      <c r="P629" s="21">
        <v>63.31</v>
      </c>
      <c r="Q629" s="21"/>
      <c r="R629" s="21" t="s">
        <v>329</v>
      </c>
      <c r="S629" s="119">
        <f>DATABASE_Table[[#This Row],[Inicial Asking Price (€) (Total)]]-DATABASE_Table[[#This Row],[Vista membership]]-DATABASE_Table[[#This Row],[FF&amp;E]]</f>
        <v>640000</v>
      </c>
      <c r="T629" s="120">
        <v>640000</v>
      </c>
      <c r="U629" s="36">
        <v>640000</v>
      </c>
      <c r="V629" s="21"/>
      <c r="W629" s="21"/>
      <c r="X629" s="73">
        <f>DATABASE_Table[[#This Row],[Current Asking price( Total)]]-DATABASE_Table[[#This Row],[Vista membership]]-DATABASE_Table[[#This Row],[FF&amp;E]]</f>
        <v>640000</v>
      </c>
      <c r="Y629" s="37"/>
      <c r="Z629" s="36">
        <v>640000</v>
      </c>
      <c r="AA629" s="73">
        <f>DATABASE_Table[[#This Row],[Sell price (Total)]]-DATABASE_Table[[#This Row],[FF&amp;E]]-DATABASE_Table[[#This Row],[Vista membership]]</f>
        <v>640000</v>
      </c>
      <c r="AB629" s="74">
        <v>46141</v>
      </c>
      <c r="AC629" s="74" t="str">
        <f t="shared" si="9"/>
        <v>Q2 2026</v>
      </c>
      <c r="AD629" s="123"/>
      <c r="AE629" s="69">
        <v>46843</v>
      </c>
      <c r="AF629" s="21" t="s">
        <v>57</v>
      </c>
      <c r="AG629" s="21" t="s">
        <v>68</v>
      </c>
      <c r="AH629" s="122"/>
      <c r="AI629" s="122"/>
      <c r="AJ629" s="122"/>
      <c r="AK629" s="122"/>
      <c r="AL629" s="21"/>
      <c r="AM629" s="122" t="s">
        <v>66</v>
      </c>
    </row>
    <row r="630" spans="1:39" customFormat="1" ht="15.75" customHeight="1" x14ac:dyDescent="0.3">
      <c r="A630" t="s">
        <v>66</v>
      </c>
      <c r="B630" s="21" t="s">
        <v>927</v>
      </c>
      <c r="C630" s="21" t="s">
        <v>764</v>
      </c>
      <c r="D630" s="117" t="s">
        <v>437</v>
      </c>
      <c r="E630" s="21"/>
      <c r="F630" s="21" t="s">
        <v>419</v>
      </c>
      <c r="G630" s="21">
        <v>86.99</v>
      </c>
      <c r="H630" s="21"/>
      <c r="I630" s="117" t="s">
        <v>325</v>
      </c>
      <c r="J630" s="117" t="s">
        <v>906</v>
      </c>
      <c r="K630" s="118"/>
      <c r="L630" s="21"/>
      <c r="M630" s="21"/>
      <c r="N630" s="21">
        <v>15.09</v>
      </c>
      <c r="O630" s="21"/>
      <c r="P630" s="21">
        <v>63.53</v>
      </c>
      <c r="Q630" s="21"/>
      <c r="R630" s="21" t="s">
        <v>329</v>
      </c>
      <c r="S630" s="119">
        <f>DATABASE_Table[[#This Row],[Inicial Asking Price (€) (Total)]]-DATABASE_Table[[#This Row],[Vista membership]]-DATABASE_Table[[#This Row],[FF&amp;E]]</f>
        <v>660000</v>
      </c>
      <c r="T630" s="120">
        <v>660000</v>
      </c>
      <c r="U630" s="36">
        <v>660000</v>
      </c>
      <c r="V630" s="21"/>
      <c r="W630" s="21"/>
      <c r="X630" s="73">
        <f>DATABASE_Table[[#This Row],[Current Asking price( Total)]]-DATABASE_Table[[#This Row],[Vista membership]]-DATABASE_Table[[#This Row],[FF&amp;E]]</f>
        <v>660000</v>
      </c>
      <c r="Y630" s="37"/>
      <c r="Z630" s="36">
        <v>660000</v>
      </c>
      <c r="AA630" s="73">
        <f>DATABASE_Table[[#This Row],[Sell price (Total)]]-DATABASE_Table[[#This Row],[FF&amp;E]]-DATABASE_Table[[#This Row],[Vista membership]]</f>
        <v>660000</v>
      </c>
      <c r="AB630" s="74">
        <v>46141</v>
      </c>
      <c r="AC630" s="74" t="str">
        <f t="shared" si="9"/>
        <v>Q2 2026</v>
      </c>
      <c r="AD630" s="123"/>
      <c r="AE630" s="69">
        <v>46843</v>
      </c>
      <c r="AF630" s="21" t="s">
        <v>57</v>
      </c>
      <c r="AG630" s="21" t="s">
        <v>68</v>
      </c>
      <c r="AH630" s="122"/>
      <c r="AI630" s="122"/>
      <c r="AJ630" s="122"/>
      <c r="AK630" s="122"/>
      <c r="AL630" s="21"/>
      <c r="AM630" s="122" t="s">
        <v>66</v>
      </c>
    </row>
    <row r="631" spans="1:39" customFormat="1" ht="15.75" customHeight="1" x14ac:dyDescent="0.3">
      <c r="A631" t="s">
        <v>66</v>
      </c>
      <c r="B631" s="21" t="s">
        <v>927</v>
      </c>
      <c r="C631" s="21" t="s">
        <v>764</v>
      </c>
      <c r="D631" s="117" t="s">
        <v>438</v>
      </c>
      <c r="E631" s="21"/>
      <c r="F631" s="21" t="s">
        <v>419</v>
      </c>
      <c r="G631" s="21">
        <v>90.53</v>
      </c>
      <c r="H631" s="21"/>
      <c r="I631" s="117" t="s">
        <v>325</v>
      </c>
      <c r="J631" s="117" t="s">
        <v>905</v>
      </c>
      <c r="K631" s="118"/>
      <c r="L631" s="21"/>
      <c r="M631" s="21"/>
      <c r="N631" s="21">
        <v>19.03</v>
      </c>
      <c r="O631" s="21"/>
      <c r="P631" s="21">
        <v>64.22</v>
      </c>
      <c r="Q631" s="21"/>
      <c r="R631" s="21" t="s">
        <v>329</v>
      </c>
      <c r="S631" s="119">
        <f>DATABASE_Table[[#This Row],[Inicial Asking Price (€) (Total)]]-DATABASE_Table[[#This Row],[Vista membership]]-DATABASE_Table[[#This Row],[FF&amp;E]]</f>
        <v>640000</v>
      </c>
      <c r="T631" s="120">
        <v>640000</v>
      </c>
      <c r="U631" s="36">
        <v>640000</v>
      </c>
      <c r="V631" s="21"/>
      <c r="W631" s="21"/>
      <c r="X631" s="73">
        <f>DATABASE_Table[[#This Row],[Current Asking price( Total)]]-DATABASE_Table[[#This Row],[Vista membership]]-DATABASE_Table[[#This Row],[FF&amp;E]]</f>
        <v>640000</v>
      </c>
      <c r="Y631" s="37"/>
      <c r="Z631" s="36">
        <v>640000</v>
      </c>
      <c r="AA631" s="73">
        <f>DATABASE_Table[[#This Row],[Sell price (Total)]]-DATABASE_Table[[#This Row],[FF&amp;E]]-DATABASE_Table[[#This Row],[Vista membership]]</f>
        <v>640000</v>
      </c>
      <c r="AB631" s="74">
        <v>46141</v>
      </c>
      <c r="AC631" s="74" t="str">
        <f t="shared" si="9"/>
        <v>Q2 2026</v>
      </c>
      <c r="AD631" s="123"/>
      <c r="AE631" s="69">
        <v>46843</v>
      </c>
      <c r="AF631" s="21" t="s">
        <v>57</v>
      </c>
      <c r="AG631" s="21" t="s">
        <v>68</v>
      </c>
      <c r="AH631" s="122"/>
      <c r="AI631" s="122"/>
      <c r="AJ631" s="122"/>
      <c r="AK631" s="122"/>
      <c r="AL631" s="21"/>
      <c r="AM631" s="122" t="s">
        <v>66</v>
      </c>
    </row>
    <row r="632" spans="1:39" customFormat="1" ht="15.75" customHeight="1" x14ac:dyDescent="0.3">
      <c r="A632" t="s">
        <v>66</v>
      </c>
      <c r="B632" s="21" t="s">
        <v>927</v>
      </c>
      <c r="C632" s="21" t="s">
        <v>764</v>
      </c>
      <c r="D632" s="117" t="s">
        <v>439</v>
      </c>
      <c r="E632" s="21"/>
      <c r="F632" s="21" t="s">
        <v>419</v>
      </c>
      <c r="G632" s="21">
        <v>87.33</v>
      </c>
      <c r="H632" s="21"/>
      <c r="I632" s="117" t="s">
        <v>325</v>
      </c>
      <c r="J632" s="117" t="s">
        <v>906</v>
      </c>
      <c r="K632" s="118"/>
      <c r="L632" s="21"/>
      <c r="M632" s="21"/>
      <c r="N632" s="21">
        <v>15.12</v>
      </c>
      <c r="O632" s="21"/>
      <c r="P632" s="21">
        <v>63.84</v>
      </c>
      <c r="Q632" s="21"/>
      <c r="R632" s="21" t="s">
        <v>329</v>
      </c>
      <c r="S632" s="119">
        <f>DATABASE_Table[[#This Row],[Inicial Asking Price (€) (Total)]]-DATABASE_Table[[#This Row],[Vista membership]]-DATABASE_Table[[#This Row],[FF&amp;E]]</f>
        <v>660000</v>
      </c>
      <c r="T632" s="120">
        <v>660000</v>
      </c>
      <c r="U632" s="36">
        <v>660000</v>
      </c>
      <c r="V632" s="21"/>
      <c r="W632" s="21"/>
      <c r="X632" s="73">
        <f>DATABASE_Table[[#This Row],[Current Asking price( Total)]]-DATABASE_Table[[#This Row],[Vista membership]]-DATABASE_Table[[#This Row],[FF&amp;E]]</f>
        <v>660000</v>
      </c>
      <c r="Y632" s="37"/>
      <c r="Z632" s="36">
        <v>660000</v>
      </c>
      <c r="AA632" s="73">
        <f>DATABASE_Table[[#This Row],[Sell price (Total)]]-DATABASE_Table[[#This Row],[FF&amp;E]]-DATABASE_Table[[#This Row],[Vista membership]]</f>
        <v>660000</v>
      </c>
      <c r="AB632" s="74">
        <v>46141</v>
      </c>
      <c r="AC632" s="74" t="str">
        <f t="shared" si="9"/>
        <v>Q2 2026</v>
      </c>
      <c r="AD632" s="123"/>
      <c r="AE632" s="69">
        <v>46843</v>
      </c>
      <c r="AF632" s="21" t="s">
        <v>57</v>
      </c>
      <c r="AG632" s="21" t="s">
        <v>68</v>
      </c>
      <c r="AH632" s="122"/>
      <c r="AI632" s="122"/>
      <c r="AJ632" s="122"/>
      <c r="AK632" s="122"/>
      <c r="AL632" s="21"/>
      <c r="AM632" s="122" t="s">
        <v>66</v>
      </c>
    </row>
    <row r="633" spans="1:39" customFormat="1" ht="15.75" customHeight="1" x14ac:dyDescent="0.3">
      <c r="A633" t="s">
        <v>66</v>
      </c>
      <c r="B633" s="21" t="s">
        <v>927</v>
      </c>
      <c r="C633" s="21" t="s">
        <v>764</v>
      </c>
      <c r="D633" s="117" t="s">
        <v>440</v>
      </c>
      <c r="E633" s="21"/>
      <c r="F633" s="21" t="s">
        <v>419</v>
      </c>
      <c r="G633" s="21">
        <v>89.32</v>
      </c>
      <c r="H633" s="21"/>
      <c r="I633" s="117" t="s">
        <v>325</v>
      </c>
      <c r="J633" s="117" t="s">
        <v>905</v>
      </c>
      <c r="K633" s="118"/>
      <c r="L633" s="21"/>
      <c r="M633" s="21"/>
      <c r="N633" s="21">
        <v>19.010000000000002</v>
      </c>
      <c r="O633" s="21"/>
      <c r="P633" s="21">
        <v>63.03</v>
      </c>
      <c r="Q633" s="21"/>
      <c r="R633" s="21" t="s">
        <v>329</v>
      </c>
      <c r="S633" s="119">
        <f>DATABASE_Table[[#This Row],[Inicial Asking Price (€) (Total)]]-DATABASE_Table[[#This Row],[Vista membership]]-DATABASE_Table[[#This Row],[FF&amp;E]]</f>
        <v>630000</v>
      </c>
      <c r="T633" s="120">
        <v>630000</v>
      </c>
      <c r="U633" s="36">
        <v>630000</v>
      </c>
      <c r="V633" s="21"/>
      <c r="W633" s="21"/>
      <c r="X633" s="73">
        <f>DATABASE_Table[[#This Row],[Current Asking price( Total)]]-DATABASE_Table[[#This Row],[Vista membership]]-DATABASE_Table[[#This Row],[FF&amp;E]]</f>
        <v>630000</v>
      </c>
      <c r="Y633" s="37"/>
      <c r="Z633" s="36">
        <v>630000</v>
      </c>
      <c r="AA633" s="73">
        <f>DATABASE_Table[[#This Row],[Sell price (Total)]]-DATABASE_Table[[#This Row],[FF&amp;E]]-DATABASE_Table[[#This Row],[Vista membership]]</f>
        <v>630000</v>
      </c>
      <c r="AB633" s="74">
        <v>46141</v>
      </c>
      <c r="AC633" s="74" t="str">
        <f t="shared" si="9"/>
        <v>Q2 2026</v>
      </c>
      <c r="AD633" s="123"/>
      <c r="AE633" s="69">
        <v>46843</v>
      </c>
      <c r="AF633" s="21" t="s">
        <v>57</v>
      </c>
      <c r="AG633" s="21" t="s">
        <v>68</v>
      </c>
      <c r="AH633" s="122"/>
      <c r="AI633" s="122"/>
      <c r="AJ633" s="122"/>
      <c r="AK633" s="122"/>
      <c r="AL633" s="21"/>
      <c r="AM633" s="122" t="s">
        <v>66</v>
      </c>
    </row>
    <row r="634" spans="1:39" customFormat="1" ht="15.75" customHeight="1" x14ac:dyDescent="0.3">
      <c r="A634" t="s">
        <v>66</v>
      </c>
      <c r="B634" s="21" t="s">
        <v>927</v>
      </c>
      <c r="C634" s="21" t="s">
        <v>764</v>
      </c>
      <c r="D634" s="117" t="s">
        <v>282</v>
      </c>
      <c r="E634" s="21"/>
      <c r="F634" s="21" t="s">
        <v>534</v>
      </c>
      <c r="G634" s="21">
        <v>290.99</v>
      </c>
      <c r="H634" s="21"/>
      <c r="I634" s="117" t="s">
        <v>325</v>
      </c>
      <c r="J634" s="117" t="s">
        <v>909</v>
      </c>
      <c r="K634" s="118"/>
      <c r="L634" s="21"/>
      <c r="M634" s="21"/>
      <c r="N634" s="21">
        <v>83.84</v>
      </c>
      <c r="O634" s="21"/>
      <c r="P634" s="21">
        <v>191.87</v>
      </c>
      <c r="Q634" s="21"/>
      <c r="R634" s="2" t="s">
        <v>625</v>
      </c>
      <c r="S634" s="119">
        <f>DATABASE_Table[[#This Row],[Inicial Asking Price (€) (Total)]]-DATABASE_Table[[#This Row],[Vista membership]]-DATABASE_Table[[#This Row],[FF&amp;E]]</f>
        <v>1470000</v>
      </c>
      <c r="T634" s="120">
        <v>1470000</v>
      </c>
      <c r="U634" s="36">
        <v>1470000</v>
      </c>
      <c r="V634" s="21"/>
      <c r="W634" s="21"/>
      <c r="X634" s="73">
        <f>DATABASE_Table[[#This Row],[Current Asking price( Total)]]-DATABASE_Table[[#This Row],[Vista membership]]-DATABASE_Table[[#This Row],[FF&amp;E]]</f>
        <v>1470000</v>
      </c>
      <c r="Y634" s="37"/>
      <c r="Z634" s="36">
        <v>1470000</v>
      </c>
      <c r="AA634" s="73">
        <f>DATABASE_Table[[#This Row],[Sell price (Total)]]-DATABASE_Table[[#This Row],[FF&amp;E]]-DATABASE_Table[[#This Row],[Vista membership]]</f>
        <v>1470000</v>
      </c>
      <c r="AB634" s="74">
        <v>46141</v>
      </c>
      <c r="AC634" s="74" t="str">
        <f t="shared" si="9"/>
        <v>Q2 2026</v>
      </c>
      <c r="AD634" s="123">
        <v>46144</v>
      </c>
      <c r="AE634" s="69">
        <v>46843</v>
      </c>
      <c r="AF634" s="21" t="s">
        <v>57</v>
      </c>
      <c r="AG634" s="21" t="s">
        <v>68</v>
      </c>
      <c r="AH634" s="122"/>
      <c r="AI634" s="122"/>
      <c r="AJ634" s="122"/>
      <c r="AK634" s="122"/>
      <c r="AL634" s="21"/>
      <c r="AM634" s="122" t="s">
        <v>66</v>
      </c>
    </row>
    <row r="635" spans="1:39" customFormat="1" ht="15.75" customHeight="1" x14ac:dyDescent="0.3">
      <c r="A635" t="s">
        <v>66</v>
      </c>
      <c r="B635" s="21" t="s">
        <v>927</v>
      </c>
      <c r="C635" s="21" t="s">
        <v>764</v>
      </c>
      <c r="D635" s="117" t="s">
        <v>531</v>
      </c>
      <c r="E635" s="21"/>
      <c r="F635" s="21" t="s">
        <v>419</v>
      </c>
      <c r="G635" s="21">
        <v>93.05</v>
      </c>
      <c r="H635" s="21"/>
      <c r="I635" s="117" t="s">
        <v>325</v>
      </c>
      <c r="J635" s="117" t="s">
        <v>906</v>
      </c>
      <c r="K635" s="118"/>
      <c r="L635" s="21"/>
      <c r="M635" s="21"/>
      <c r="N635" s="21">
        <v>18.989999999999998</v>
      </c>
      <c r="O635" s="21"/>
      <c r="P635" s="21">
        <v>65.69</v>
      </c>
      <c r="Q635" s="21"/>
      <c r="R635" s="21" t="s">
        <v>329</v>
      </c>
      <c r="S635" s="119">
        <f>DATABASE_Table[[#This Row],[Inicial Asking Price (€) (Total)]]-DATABASE_Table[[#This Row],[Vista membership]]-DATABASE_Table[[#This Row],[FF&amp;E]]</f>
        <v>710000</v>
      </c>
      <c r="T635" s="120">
        <v>710000</v>
      </c>
      <c r="U635" s="36">
        <v>710000</v>
      </c>
      <c r="V635" s="21"/>
      <c r="W635" s="21"/>
      <c r="X635" s="73">
        <f>DATABASE_Table[[#This Row],[Current Asking price( Total)]]-DATABASE_Table[[#This Row],[Vista membership]]-DATABASE_Table[[#This Row],[FF&amp;E]]</f>
        <v>710000</v>
      </c>
      <c r="Y635" s="37"/>
      <c r="Z635" s="36">
        <v>710000</v>
      </c>
      <c r="AA635" s="73">
        <f>DATABASE_Table[[#This Row],[Sell price (Total)]]-DATABASE_Table[[#This Row],[FF&amp;E]]-DATABASE_Table[[#This Row],[Vista membership]]</f>
        <v>710000</v>
      </c>
      <c r="AB635" s="74">
        <v>46141</v>
      </c>
      <c r="AC635" s="74" t="str">
        <f t="shared" si="9"/>
        <v>Q2 2026</v>
      </c>
      <c r="AD635" s="123"/>
      <c r="AE635" s="69">
        <v>46843</v>
      </c>
      <c r="AF635" s="21" t="s">
        <v>57</v>
      </c>
      <c r="AG635" s="21" t="s">
        <v>68</v>
      </c>
      <c r="AH635" s="122"/>
      <c r="AI635" s="122"/>
      <c r="AJ635" s="122"/>
      <c r="AK635" s="122"/>
      <c r="AL635" s="21"/>
      <c r="AM635" s="122" t="s">
        <v>66</v>
      </c>
    </row>
    <row r="636" spans="1:39" customFormat="1" ht="15.75" customHeight="1" x14ac:dyDescent="0.3">
      <c r="A636" t="s">
        <v>31</v>
      </c>
      <c r="B636" s="21" t="s">
        <v>31</v>
      </c>
      <c r="C636" s="21" t="s">
        <v>688</v>
      </c>
      <c r="D636" s="117" t="s">
        <v>363</v>
      </c>
      <c r="E636" s="21" t="s">
        <v>9</v>
      </c>
      <c r="F636" s="21" t="s">
        <v>320</v>
      </c>
      <c r="G636" s="21"/>
      <c r="H636" s="21"/>
      <c r="I636" s="117" t="s">
        <v>325</v>
      </c>
      <c r="J636" s="117" t="s">
        <v>325</v>
      </c>
      <c r="K636" s="118"/>
      <c r="L636" s="21">
        <v>0</v>
      </c>
      <c r="M636" s="21"/>
      <c r="N636" s="21">
        <v>16</v>
      </c>
      <c r="O636" s="21"/>
      <c r="P636" s="21">
        <v>137</v>
      </c>
      <c r="Q636" s="21"/>
      <c r="R636" s="21" t="s">
        <v>625</v>
      </c>
      <c r="S636" s="119">
        <f>DATABASE_Table[[#This Row],[Inicial Asking Price (€) (Total)]]-DATABASE_Table[[#This Row],[Vista membership]]-DATABASE_Table[[#This Row],[FF&amp;E]]</f>
        <v>860000</v>
      </c>
      <c r="T636" s="124">
        <v>860000</v>
      </c>
      <c r="U636" s="124">
        <v>860000</v>
      </c>
      <c r="V636" s="21"/>
      <c r="W636" s="21"/>
      <c r="X636" s="73">
        <f>DATABASE_Table[[#This Row],[Current Asking price( Total)]]-DATABASE_Table[[#This Row],[Vista membership]]-DATABASE_Table[[#This Row],[FF&amp;E]]</f>
        <v>860000</v>
      </c>
      <c r="Y636" s="126">
        <v>0</v>
      </c>
      <c r="Z636" s="124">
        <v>860000</v>
      </c>
      <c r="AA636" s="73">
        <f>DATABASE_Table[[#This Row],[Sell price (Total)]]-DATABASE_Table[[#This Row],[FF&amp;E]]-DATABASE_Table[[#This Row],[Vista membership]]</f>
        <v>860000</v>
      </c>
      <c r="AB636" s="74">
        <v>46114</v>
      </c>
      <c r="AC636" s="74" t="str">
        <f t="shared" si="9"/>
        <v>Q2 2026</v>
      </c>
      <c r="AD636" s="121">
        <v>46171</v>
      </c>
      <c r="AE636" s="69"/>
      <c r="AF636" s="21" t="s">
        <v>10</v>
      </c>
      <c r="AG636" s="21" t="s">
        <v>801</v>
      </c>
      <c r="AH636" s="122" t="s">
        <v>32</v>
      </c>
      <c r="AI636" s="122" t="s">
        <v>802</v>
      </c>
      <c r="AJ636" s="122" t="s">
        <v>33</v>
      </c>
      <c r="AK636" s="122" t="s">
        <v>803</v>
      </c>
      <c r="AL636" s="21" t="s">
        <v>15</v>
      </c>
      <c r="AM636" s="122" t="s">
        <v>31</v>
      </c>
    </row>
    <row r="637" spans="1:39" customFormat="1" ht="15.75" customHeight="1" x14ac:dyDescent="0.3">
      <c r="A637" t="s">
        <v>31</v>
      </c>
      <c r="B637" s="21" t="s">
        <v>31</v>
      </c>
      <c r="C637" s="21" t="s">
        <v>688</v>
      </c>
      <c r="D637" s="117" t="s">
        <v>371</v>
      </c>
      <c r="E637" s="21" t="s">
        <v>9</v>
      </c>
      <c r="F637" s="21" t="s">
        <v>320</v>
      </c>
      <c r="G637" s="21"/>
      <c r="H637" s="21"/>
      <c r="I637" s="117" t="s">
        <v>325</v>
      </c>
      <c r="J637" s="117" t="s">
        <v>587</v>
      </c>
      <c r="K637" s="118"/>
      <c r="L637" s="21">
        <v>0</v>
      </c>
      <c r="M637" s="21"/>
      <c r="N637" s="21">
        <v>172</v>
      </c>
      <c r="O637" s="21"/>
      <c r="P637" s="21">
        <v>135</v>
      </c>
      <c r="Q637" s="21"/>
      <c r="R637" s="21" t="s">
        <v>625</v>
      </c>
      <c r="S637" s="119">
        <f>DATABASE_Table[[#This Row],[Inicial Asking Price (€) (Total)]]-DATABASE_Table[[#This Row],[Vista membership]]-DATABASE_Table[[#This Row],[FF&amp;E]]</f>
        <v>1150000</v>
      </c>
      <c r="T637" s="124">
        <v>1150000</v>
      </c>
      <c r="U637" s="124">
        <v>1150000</v>
      </c>
      <c r="V637" s="21"/>
      <c r="W637" s="21"/>
      <c r="X637" s="73">
        <f>DATABASE_Table[[#This Row],[Current Asking price( Total)]]-DATABASE_Table[[#This Row],[Vista membership]]-DATABASE_Table[[#This Row],[FF&amp;E]]</f>
        <v>1150000</v>
      </c>
      <c r="Y637" s="126">
        <v>0</v>
      </c>
      <c r="Z637" s="124">
        <v>1150000</v>
      </c>
      <c r="AA637" s="73">
        <f>DATABASE_Table[[#This Row],[Sell price (Total)]]-DATABASE_Table[[#This Row],[FF&amp;E]]-DATABASE_Table[[#This Row],[Vista membership]]</f>
        <v>1150000</v>
      </c>
      <c r="AB637" s="74">
        <v>46114</v>
      </c>
      <c r="AC637" s="74" t="str">
        <f t="shared" si="9"/>
        <v>Q2 2026</v>
      </c>
      <c r="AD637" s="121">
        <v>46190</v>
      </c>
      <c r="AE637" s="69"/>
      <c r="AF637" s="21" t="s">
        <v>10</v>
      </c>
      <c r="AG637" s="21" t="s">
        <v>801</v>
      </c>
      <c r="AH637" s="122" t="s">
        <v>32</v>
      </c>
      <c r="AI637" s="122" t="s">
        <v>802</v>
      </c>
      <c r="AJ637" s="122" t="s">
        <v>33</v>
      </c>
      <c r="AK637" s="122" t="s">
        <v>803</v>
      </c>
      <c r="AL637" s="21" t="s">
        <v>15</v>
      </c>
      <c r="AM637" s="122" t="s">
        <v>31</v>
      </c>
    </row>
    <row r="638" spans="1:39" customFormat="1" ht="15.75" customHeight="1" x14ac:dyDescent="0.3">
      <c r="A638" t="s">
        <v>31</v>
      </c>
      <c r="B638" s="21" t="s">
        <v>31</v>
      </c>
      <c r="C638" s="21" t="s">
        <v>688</v>
      </c>
      <c r="D638" s="117" t="s">
        <v>367</v>
      </c>
      <c r="E638" s="21" t="s">
        <v>9</v>
      </c>
      <c r="F638" s="21" t="s">
        <v>319</v>
      </c>
      <c r="G638" s="21"/>
      <c r="H638" s="21"/>
      <c r="I638" s="117" t="s">
        <v>325</v>
      </c>
      <c r="J638" s="117" t="s">
        <v>325</v>
      </c>
      <c r="K638" s="118"/>
      <c r="L638" s="21">
        <v>0</v>
      </c>
      <c r="M638" s="21"/>
      <c r="N638" s="21">
        <v>18</v>
      </c>
      <c r="O638" s="21"/>
      <c r="P638" s="21">
        <v>108</v>
      </c>
      <c r="Q638" s="21"/>
      <c r="R638" s="21" t="s">
        <v>326</v>
      </c>
      <c r="S638" s="119">
        <f>DATABASE_Table[[#This Row],[Inicial Asking Price (€) (Total)]]-DATABASE_Table[[#This Row],[Vista membership]]-DATABASE_Table[[#This Row],[FF&amp;E]]</f>
        <v>740000</v>
      </c>
      <c r="T638" s="124">
        <v>740000</v>
      </c>
      <c r="U638" s="124">
        <v>740000</v>
      </c>
      <c r="V638" s="21"/>
      <c r="W638" s="21"/>
      <c r="X638" s="73">
        <f>DATABASE_Table[[#This Row],[Current Asking price( Total)]]-DATABASE_Table[[#This Row],[Vista membership]]-DATABASE_Table[[#This Row],[FF&amp;E]]</f>
        <v>740000</v>
      </c>
      <c r="Y638" s="126">
        <v>0</v>
      </c>
      <c r="Z638" s="124">
        <v>740000</v>
      </c>
      <c r="AA638" s="73">
        <f>DATABASE_Table[[#This Row],[Sell price (Total)]]-DATABASE_Table[[#This Row],[FF&amp;E]]-DATABASE_Table[[#This Row],[Vista membership]]</f>
        <v>740000</v>
      </c>
      <c r="AB638" s="74">
        <v>46114</v>
      </c>
      <c r="AC638" s="74" t="str">
        <f t="shared" si="9"/>
        <v>Q2 2026</v>
      </c>
      <c r="AD638" s="123">
        <v>46139</v>
      </c>
      <c r="AE638" s="69"/>
      <c r="AF638" s="21" t="s">
        <v>10</v>
      </c>
      <c r="AG638" s="21" t="s">
        <v>801</v>
      </c>
      <c r="AH638" s="122" t="s">
        <v>32</v>
      </c>
      <c r="AI638" s="122" t="s">
        <v>802</v>
      </c>
      <c r="AJ638" s="122" t="s">
        <v>33</v>
      </c>
      <c r="AK638" s="122" t="s">
        <v>803</v>
      </c>
      <c r="AL638" s="21" t="s">
        <v>15</v>
      </c>
      <c r="AM638" s="122" t="s">
        <v>31</v>
      </c>
    </row>
    <row r="639" spans="1:39" customFormat="1" ht="15.75" customHeight="1" x14ac:dyDescent="0.3">
      <c r="A639" t="s">
        <v>31</v>
      </c>
      <c r="B639" s="21" t="s">
        <v>31</v>
      </c>
      <c r="C639" s="21" t="s">
        <v>688</v>
      </c>
      <c r="D639" s="117" t="s">
        <v>372</v>
      </c>
      <c r="E639" s="21" t="s">
        <v>9</v>
      </c>
      <c r="F639" s="21" t="s">
        <v>319</v>
      </c>
      <c r="G639" s="21"/>
      <c r="H639" s="21"/>
      <c r="I639" s="117" t="s">
        <v>325</v>
      </c>
      <c r="J639" s="117" t="s">
        <v>587</v>
      </c>
      <c r="K639" s="118"/>
      <c r="L639" s="21">
        <v>0</v>
      </c>
      <c r="M639" s="21"/>
      <c r="N639" s="21">
        <v>109</v>
      </c>
      <c r="O639" s="21"/>
      <c r="P639" s="21">
        <v>109</v>
      </c>
      <c r="Q639" s="21"/>
      <c r="R639" s="21" t="s">
        <v>326</v>
      </c>
      <c r="S639" s="119">
        <f>DATABASE_Table[[#This Row],[Inicial Asking Price (€) (Total)]]-DATABASE_Table[[#This Row],[Vista membership]]-DATABASE_Table[[#This Row],[FF&amp;E]]</f>
        <v>950000</v>
      </c>
      <c r="T639" s="124">
        <v>950000</v>
      </c>
      <c r="U639" s="124">
        <v>950000</v>
      </c>
      <c r="V639" s="21"/>
      <c r="W639" s="21"/>
      <c r="X639" s="73">
        <f>DATABASE_Table[[#This Row],[Current Asking price( Total)]]-DATABASE_Table[[#This Row],[Vista membership]]-DATABASE_Table[[#This Row],[FF&amp;E]]</f>
        <v>950000</v>
      </c>
      <c r="Y639" s="126">
        <v>0</v>
      </c>
      <c r="Z639" s="124">
        <v>950000</v>
      </c>
      <c r="AA639" s="73">
        <f>DATABASE_Table[[#This Row],[Sell price (Total)]]-DATABASE_Table[[#This Row],[FF&amp;E]]-DATABASE_Table[[#This Row],[Vista membership]]</f>
        <v>950000</v>
      </c>
      <c r="AB639" s="74">
        <v>46114</v>
      </c>
      <c r="AC639" s="74" t="str">
        <f t="shared" si="9"/>
        <v>Q2 2026</v>
      </c>
      <c r="AD639" s="123">
        <v>46132</v>
      </c>
      <c r="AE639" s="69"/>
      <c r="AF639" s="21" t="s">
        <v>10</v>
      </c>
      <c r="AG639" s="21" t="s">
        <v>801</v>
      </c>
      <c r="AH639" s="122" t="s">
        <v>32</v>
      </c>
      <c r="AI639" s="122" t="s">
        <v>802</v>
      </c>
      <c r="AJ639" s="122" t="s">
        <v>33</v>
      </c>
      <c r="AK639" s="122" t="s">
        <v>803</v>
      </c>
      <c r="AL639" s="21" t="s">
        <v>15</v>
      </c>
      <c r="AM639" s="122" t="s">
        <v>31</v>
      </c>
    </row>
    <row r="640" spans="1:39" customFormat="1" ht="15.75" customHeight="1" x14ac:dyDescent="0.3">
      <c r="A640" t="s">
        <v>31</v>
      </c>
      <c r="B640" s="21" t="s">
        <v>31</v>
      </c>
      <c r="C640" s="21" t="s">
        <v>688</v>
      </c>
      <c r="D640" s="117" t="s">
        <v>346</v>
      </c>
      <c r="E640" s="21" t="s">
        <v>9</v>
      </c>
      <c r="F640" s="21" t="s">
        <v>320</v>
      </c>
      <c r="G640" s="21"/>
      <c r="H640" s="21"/>
      <c r="I640" s="117" t="s">
        <v>325</v>
      </c>
      <c r="J640" s="117" t="s">
        <v>325</v>
      </c>
      <c r="K640" s="118"/>
      <c r="L640" s="21">
        <v>77</v>
      </c>
      <c r="M640" s="21"/>
      <c r="N640" s="21">
        <v>0</v>
      </c>
      <c r="O640" s="21"/>
      <c r="P640" s="21">
        <v>139</v>
      </c>
      <c r="Q640" s="21"/>
      <c r="R640" s="21" t="s">
        <v>625</v>
      </c>
      <c r="S640" s="119">
        <f>DATABASE_Table[[#This Row],[Inicial Asking Price (€) (Total)]]-DATABASE_Table[[#This Row],[Vista membership]]-DATABASE_Table[[#This Row],[FF&amp;E]]</f>
        <v>900000</v>
      </c>
      <c r="T640" s="124">
        <v>900000</v>
      </c>
      <c r="U640" s="124">
        <v>900000</v>
      </c>
      <c r="V640" s="21"/>
      <c r="W640" s="21"/>
      <c r="X640" s="73">
        <f>DATABASE_Table[[#This Row],[Current Asking price( Total)]]-DATABASE_Table[[#This Row],[Vista membership]]-DATABASE_Table[[#This Row],[FF&amp;E]]</f>
        <v>900000</v>
      </c>
      <c r="Y640" s="126">
        <v>0</v>
      </c>
      <c r="Z640" s="124">
        <v>900000</v>
      </c>
      <c r="AA640" s="73">
        <f>DATABASE_Table[[#This Row],[Sell price (Total)]]-DATABASE_Table[[#This Row],[FF&amp;E]]-DATABASE_Table[[#This Row],[Vista membership]]</f>
        <v>900000</v>
      </c>
      <c r="AB640" s="74">
        <v>46114</v>
      </c>
      <c r="AC640" s="74" t="str">
        <f t="shared" si="9"/>
        <v>Q2 2026</v>
      </c>
      <c r="AD640" s="123">
        <v>46178</v>
      </c>
      <c r="AE640" s="69"/>
      <c r="AF640" s="21" t="s">
        <v>10</v>
      </c>
      <c r="AG640" s="21" t="s">
        <v>801</v>
      </c>
      <c r="AH640" s="122" t="s">
        <v>32</v>
      </c>
      <c r="AI640" s="122" t="s">
        <v>802</v>
      </c>
      <c r="AJ640" s="122" t="s">
        <v>33</v>
      </c>
      <c r="AK640" s="122" t="s">
        <v>803</v>
      </c>
      <c r="AL640" s="21" t="s">
        <v>15</v>
      </c>
      <c r="AM640" s="122" t="s">
        <v>31</v>
      </c>
    </row>
    <row r="641" spans="1:39" customFormat="1" ht="15.75" customHeight="1" x14ac:dyDescent="0.3">
      <c r="A641" t="s">
        <v>31</v>
      </c>
      <c r="B641" s="21" t="s">
        <v>31</v>
      </c>
      <c r="C641" s="21" t="s">
        <v>688</v>
      </c>
      <c r="D641" s="117" t="s">
        <v>359</v>
      </c>
      <c r="E641" s="21" t="s">
        <v>9</v>
      </c>
      <c r="F641" s="21" t="s">
        <v>320</v>
      </c>
      <c r="G641" s="21"/>
      <c r="H641" s="21"/>
      <c r="I641" s="117" t="s">
        <v>325</v>
      </c>
      <c r="J641" s="117" t="s">
        <v>587</v>
      </c>
      <c r="K641" s="118"/>
      <c r="L641" s="21">
        <v>0</v>
      </c>
      <c r="M641" s="21"/>
      <c r="N641" s="21">
        <v>137</v>
      </c>
      <c r="O641" s="21"/>
      <c r="P641" s="21">
        <v>140</v>
      </c>
      <c r="Q641" s="21"/>
      <c r="R641" s="21" t="s">
        <v>625</v>
      </c>
      <c r="S641" s="119">
        <f>DATABASE_Table[[#This Row],[Inicial Asking Price (€) (Total)]]-DATABASE_Table[[#This Row],[Vista membership]]-DATABASE_Table[[#This Row],[FF&amp;E]]</f>
        <v>1000000</v>
      </c>
      <c r="T641" s="124">
        <v>1000000</v>
      </c>
      <c r="U641" s="124">
        <v>1000000</v>
      </c>
      <c r="V641" s="21"/>
      <c r="W641" s="21"/>
      <c r="X641" s="73">
        <f>DATABASE_Table[[#This Row],[Current Asking price( Total)]]-DATABASE_Table[[#This Row],[Vista membership]]-DATABASE_Table[[#This Row],[FF&amp;E]]</f>
        <v>1000000</v>
      </c>
      <c r="Y641" s="126">
        <v>0</v>
      </c>
      <c r="Z641" s="124">
        <v>1000000</v>
      </c>
      <c r="AA641" s="73">
        <f>DATABASE_Table[[#This Row],[Sell price (Total)]]-DATABASE_Table[[#This Row],[FF&amp;E]]-DATABASE_Table[[#This Row],[Vista membership]]</f>
        <v>1000000</v>
      </c>
      <c r="AB641" s="74">
        <v>46114</v>
      </c>
      <c r="AC641" s="74" t="str">
        <f t="shared" si="9"/>
        <v>Q2 2026</v>
      </c>
      <c r="AD641" s="123">
        <v>46185</v>
      </c>
      <c r="AE641" s="69"/>
      <c r="AF641" s="21" t="s">
        <v>10</v>
      </c>
      <c r="AG641" s="21" t="s">
        <v>801</v>
      </c>
      <c r="AH641" s="122" t="s">
        <v>32</v>
      </c>
      <c r="AI641" s="122" t="s">
        <v>802</v>
      </c>
      <c r="AJ641" s="122" t="s">
        <v>33</v>
      </c>
      <c r="AK641" s="122" t="s">
        <v>803</v>
      </c>
      <c r="AL641" s="21" t="s">
        <v>15</v>
      </c>
      <c r="AM641" s="122" t="s">
        <v>31</v>
      </c>
    </row>
    <row r="642" spans="1:39" customFormat="1" ht="15.75" customHeight="1" x14ac:dyDescent="0.3">
      <c r="A642" t="s">
        <v>31</v>
      </c>
      <c r="B642" s="21" t="s">
        <v>31</v>
      </c>
      <c r="C642" s="21" t="s">
        <v>688</v>
      </c>
      <c r="D642" s="117" t="s">
        <v>352</v>
      </c>
      <c r="E642" s="21" t="s">
        <v>9</v>
      </c>
      <c r="F642" s="21" t="s">
        <v>319</v>
      </c>
      <c r="G642" s="21"/>
      <c r="H642" s="21"/>
      <c r="I642" s="117" t="s">
        <v>325</v>
      </c>
      <c r="J642" s="117" t="s">
        <v>325</v>
      </c>
      <c r="K642" s="118"/>
      <c r="L642" s="21">
        <v>0</v>
      </c>
      <c r="M642" s="21"/>
      <c r="N642" s="21">
        <v>16</v>
      </c>
      <c r="O642" s="21"/>
      <c r="P642" s="21">
        <v>105</v>
      </c>
      <c r="Q642" s="21"/>
      <c r="R642" s="21" t="s">
        <v>326</v>
      </c>
      <c r="S642" s="119">
        <f>DATABASE_Table[[#This Row],[Inicial Asking Price (€) (Total)]]-DATABASE_Table[[#This Row],[Vista membership]]-DATABASE_Table[[#This Row],[FF&amp;E]]</f>
        <v>670000</v>
      </c>
      <c r="T642" s="124">
        <v>670000</v>
      </c>
      <c r="U642" s="124">
        <v>670000</v>
      </c>
      <c r="V642" s="21"/>
      <c r="W642" s="21"/>
      <c r="X642" s="73">
        <f>DATABASE_Table[[#This Row],[Current Asking price( Total)]]-DATABASE_Table[[#This Row],[Vista membership]]-DATABASE_Table[[#This Row],[FF&amp;E]]</f>
        <v>670000</v>
      </c>
      <c r="Y642" s="126">
        <v>0</v>
      </c>
      <c r="Z642" s="124">
        <v>670000</v>
      </c>
      <c r="AA642" s="73">
        <f>DATABASE_Table[[#This Row],[Sell price (Total)]]-DATABASE_Table[[#This Row],[FF&amp;E]]-DATABASE_Table[[#This Row],[Vista membership]]</f>
        <v>670000</v>
      </c>
      <c r="AB642" s="74">
        <v>46114</v>
      </c>
      <c r="AC642" s="74" t="str">
        <f t="shared" ref="AC642:AC705" si="10">IF(AB642="","TO LAUNCH","Q"&amp;ROUNDUP(MONTH(AB642)/3,0)&amp;" "&amp;YEAR(AB642))</f>
        <v>Q2 2026</v>
      </c>
      <c r="AD642" s="123">
        <v>46114</v>
      </c>
      <c r="AE642" s="69"/>
      <c r="AF642" s="21" t="s">
        <v>10</v>
      </c>
      <c r="AG642" s="21" t="s">
        <v>801</v>
      </c>
      <c r="AH642" s="122" t="s">
        <v>32</v>
      </c>
      <c r="AI642" s="122" t="s">
        <v>802</v>
      </c>
      <c r="AJ642" s="122" t="s">
        <v>33</v>
      </c>
      <c r="AK642" s="122" t="s">
        <v>803</v>
      </c>
      <c r="AL642" s="21" t="s">
        <v>15</v>
      </c>
      <c r="AM642" s="122" t="s">
        <v>31</v>
      </c>
    </row>
    <row r="643" spans="1:39" customFormat="1" ht="15.75" customHeight="1" x14ac:dyDescent="0.3">
      <c r="A643" t="s">
        <v>31</v>
      </c>
      <c r="B643" s="21" t="s">
        <v>31</v>
      </c>
      <c r="C643" s="21" t="s">
        <v>688</v>
      </c>
      <c r="D643" s="117" t="s">
        <v>353</v>
      </c>
      <c r="E643" s="21" t="s">
        <v>9</v>
      </c>
      <c r="F643" s="21" t="s">
        <v>320</v>
      </c>
      <c r="G643" s="21"/>
      <c r="H643" s="21"/>
      <c r="I643" s="117" t="s">
        <v>325</v>
      </c>
      <c r="J643" s="117" t="s">
        <v>587</v>
      </c>
      <c r="K643" s="118"/>
      <c r="L643" s="21">
        <v>0</v>
      </c>
      <c r="M643" s="21"/>
      <c r="N643" s="21">
        <v>138</v>
      </c>
      <c r="O643" s="21"/>
      <c r="P643" s="21">
        <v>140</v>
      </c>
      <c r="Q643" s="21"/>
      <c r="R643" s="21" t="s">
        <v>326</v>
      </c>
      <c r="S643" s="119">
        <f>DATABASE_Table[[#This Row],[Inicial Asking Price (€) (Total)]]-DATABASE_Table[[#This Row],[Vista membership]]-DATABASE_Table[[#This Row],[FF&amp;E]]</f>
        <v>930000</v>
      </c>
      <c r="T643" s="124">
        <v>930000</v>
      </c>
      <c r="U643" s="124">
        <v>930000</v>
      </c>
      <c r="V643" s="21"/>
      <c r="W643" s="21"/>
      <c r="X643" s="73">
        <f>DATABASE_Table[[#This Row],[Current Asking price( Total)]]-DATABASE_Table[[#This Row],[Vista membership]]-DATABASE_Table[[#This Row],[FF&amp;E]]</f>
        <v>930000</v>
      </c>
      <c r="Y643" s="126">
        <v>0</v>
      </c>
      <c r="Z643" s="124">
        <v>930000</v>
      </c>
      <c r="AA643" s="73">
        <f>DATABASE_Table[[#This Row],[Sell price (Total)]]-DATABASE_Table[[#This Row],[FF&amp;E]]-DATABASE_Table[[#This Row],[Vista membership]]</f>
        <v>930000</v>
      </c>
      <c r="AB643" s="74">
        <v>46114</v>
      </c>
      <c r="AC643" s="74" t="str">
        <f t="shared" si="10"/>
        <v>Q2 2026</v>
      </c>
      <c r="AD643" s="123">
        <v>46115</v>
      </c>
      <c r="AE643" s="69"/>
      <c r="AF643" s="21" t="s">
        <v>10</v>
      </c>
      <c r="AG643" s="21" t="s">
        <v>801</v>
      </c>
      <c r="AH643" s="122" t="s">
        <v>32</v>
      </c>
      <c r="AI643" s="122" t="s">
        <v>802</v>
      </c>
      <c r="AJ643" s="122" t="s">
        <v>33</v>
      </c>
      <c r="AK643" s="122" t="s">
        <v>803</v>
      </c>
      <c r="AL643" s="21" t="s">
        <v>15</v>
      </c>
      <c r="AM643" s="122" t="s">
        <v>31</v>
      </c>
    </row>
    <row r="644" spans="1:39" customFormat="1" ht="15.75" customHeight="1" x14ac:dyDescent="0.3">
      <c r="A644" t="s">
        <v>31</v>
      </c>
      <c r="B644" s="21" t="s">
        <v>31</v>
      </c>
      <c r="C644" s="21" t="s">
        <v>688</v>
      </c>
      <c r="D644" s="117" t="s">
        <v>355</v>
      </c>
      <c r="E644" s="21" t="s">
        <v>9</v>
      </c>
      <c r="F644" s="21" t="s">
        <v>319</v>
      </c>
      <c r="G644" s="21"/>
      <c r="H644" s="21"/>
      <c r="I644" s="117" t="s">
        <v>325</v>
      </c>
      <c r="J644" s="117" t="s">
        <v>325</v>
      </c>
      <c r="K644" s="118"/>
      <c r="L644" s="21">
        <v>0</v>
      </c>
      <c r="M644" s="21"/>
      <c r="N644" s="21">
        <v>19</v>
      </c>
      <c r="O644" s="21"/>
      <c r="P644" s="21">
        <v>108</v>
      </c>
      <c r="Q644" s="21"/>
      <c r="R644" s="21" t="s">
        <v>326</v>
      </c>
      <c r="S644" s="119">
        <f>DATABASE_Table[[#This Row],[Inicial Asking Price (€) (Total)]]-DATABASE_Table[[#This Row],[Vista membership]]-DATABASE_Table[[#This Row],[FF&amp;E]]</f>
        <v>710000</v>
      </c>
      <c r="T644" s="124">
        <v>710000</v>
      </c>
      <c r="U644" s="124">
        <v>710000</v>
      </c>
      <c r="V644" s="21"/>
      <c r="W644" s="21"/>
      <c r="X644" s="73">
        <f>DATABASE_Table[[#This Row],[Current Asking price( Total)]]-DATABASE_Table[[#This Row],[Vista membership]]-DATABASE_Table[[#This Row],[FF&amp;E]]</f>
        <v>710000</v>
      </c>
      <c r="Y644" s="126">
        <v>0</v>
      </c>
      <c r="Z644" s="124">
        <v>710000</v>
      </c>
      <c r="AA644" s="73">
        <f>DATABASE_Table[[#This Row],[Sell price (Total)]]-DATABASE_Table[[#This Row],[FF&amp;E]]-DATABASE_Table[[#This Row],[Vista membership]]</f>
        <v>710000</v>
      </c>
      <c r="AB644" s="74">
        <v>46114</v>
      </c>
      <c r="AC644" s="74" t="str">
        <f t="shared" si="10"/>
        <v>Q2 2026</v>
      </c>
      <c r="AD644" s="123"/>
      <c r="AE644" s="69"/>
      <c r="AF644" s="21" t="s">
        <v>10</v>
      </c>
      <c r="AG644" s="21" t="s">
        <v>801</v>
      </c>
      <c r="AH644" s="122" t="s">
        <v>32</v>
      </c>
      <c r="AI644" s="122" t="s">
        <v>802</v>
      </c>
      <c r="AJ644" s="122" t="s">
        <v>33</v>
      </c>
      <c r="AK644" s="122" t="s">
        <v>803</v>
      </c>
      <c r="AL644" s="21" t="s">
        <v>15</v>
      </c>
      <c r="AM644" s="122" t="s">
        <v>31</v>
      </c>
    </row>
    <row r="645" spans="1:39" customFormat="1" ht="15.75" customHeight="1" x14ac:dyDescent="0.3">
      <c r="A645" t="s">
        <v>31</v>
      </c>
      <c r="B645" s="21" t="s">
        <v>31</v>
      </c>
      <c r="C645" s="21" t="s">
        <v>688</v>
      </c>
      <c r="D645" s="117" t="s">
        <v>358</v>
      </c>
      <c r="E645" s="21" t="s">
        <v>9</v>
      </c>
      <c r="F645" s="21" t="s">
        <v>319</v>
      </c>
      <c r="G645" s="21"/>
      <c r="H645" s="21"/>
      <c r="I645" s="117" t="s">
        <v>325</v>
      </c>
      <c r="J645" s="117" t="s">
        <v>325</v>
      </c>
      <c r="K645" s="118"/>
      <c r="L645" s="21">
        <v>0</v>
      </c>
      <c r="M645" s="21"/>
      <c r="N645" s="21">
        <v>16</v>
      </c>
      <c r="O645" s="21"/>
      <c r="P645" s="21">
        <v>105</v>
      </c>
      <c r="Q645" s="21"/>
      <c r="R645" s="21" t="s">
        <v>326</v>
      </c>
      <c r="S645" s="119">
        <f>DATABASE_Table[[#This Row],[Inicial Asking Price (€) (Total)]]-DATABASE_Table[[#This Row],[Vista membership]]-DATABASE_Table[[#This Row],[FF&amp;E]]</f>
        <v>700000</v>
      </c>
      <c r="T645" s="124">
        <v>700000</v>
      </c>
      <c r="U645" s="124">
        <v>700000</v>
      </c>
      <c r="V645" s="21"/>
      <c r="W645" s="21"/>
      <c r="X645" s="73">
        <f>DATABASE_Table[[#This Row],[Current Asking price( Total)]]-DATABASE_Table[[#This Row],[Vista membership]]-DATABASE_Table[[#This Row],[FF&amp;E]]</f>
        <v>700000</v>
      </c>
      <c r="Y645" s="126">
        <v>0</v>
      </c>
      <c r="Z645" s="124">
        <v>700000</v>
      </c>
      <c r="AA645" s="73">
        <f>DATABASE_Table[[#This Row],[Sell price (Total)]]-DATABASE_Table[[#This Row],[FF&amp;E]]-DATABASE_Table[[#This Row],[Vista membership]]</f>
        <v>700000</v>
      </c>
      <c r="AB645" s="74">
        <v>46114</v>
      </c>
      <c r="AC645" s="74" t="str">
        <f t="shared" si="10"/>
        <v>Q2 2026</v>
      </c>
      <c r="AD645" s="123">
        <v>46156</v>
      </c>
      <c r="AE645" s="69"/>
      <c r="AF645" s="21" t="s">
        <v>10</v>
      </c>
      <c r="AG645" s="21" t="s">
        <v>801</v>
      </c>
      <c r="AH645" s="122" t="s">
        <v>32</v>
      </c>
      <c r="AI645" s="122" t="s">
        <v>802</v>
      </c>
      <c r="AJ645" s="122" t="s">
        <v>33</v>
      </c>
      <c r="AK645" s="122" t="s">
        <v>803</v>
      </c>
      <c r="AL645" s="21" t="s">
        <v>15</v>
      </c>
      <c r="AM645" s="122" t="s">
        <v>31</v>
      </c>
    </row>
    <row r="646" spans="1:39" customFormat="1" ht="15.75" customHeight="1" x14ac:dyDescent="0.3">
      <c r="A646" t="s">
        <v>31</v>
      </c>
      <c r="B646" s="21" t="s">
        <v>31</v>
      </c>
      <c r="C646" s="21" t="s">
        <v>688</v>
      </c>
      <c r="D646" s="117" t="s">
        <v>361</v>
      </c>
      <c r="E646" s="21" t="s">
        <v>9</v>
      </c>
      <c r="F646" s="21" t="s">
        <v>319</v>
      </c>
      <c r="G646" s="21"/>
      <c r="H646" s="21"/>
      <c r="I646" s="117" t="s">
        <v>325</v>
      </c>
      <c r="J646" s="117" t="s">
        <v>325</v>
      </c>
      <c r="K646" s="118"/>
      <c r="L646" s="21">
        <v>0</v>
      </c>
      <c r="M646" s="21"/>
      <c r="N646" s="21">
        <v>19</v>
      </c>
      <c r="O646" s="21"/>
      <c r="P646" s="21">
        <v>108</v>
      </c>
      <c r="Q646" s="21"/>
      <c r="R646" s="21" t="s">
        <v>327</v>
      </c>
      <c r="S646" s="119">
        <f>DATABASE_Table[[#This Row],[Inicial Asking Price (€) (Total)]]-DATABASE_Table[[#This Row],[Vista membership]]-DATABASE_Table[[#This Row],[FF&amp;E]]</f>
        <v>750000</v>
      </c>
      <c r="T646" s="124">
        <v>750000</v>
      </c>
      <c r="U646" s="124">
        <v>750000</v>
      </c>
      <c r="V646" s="21"/>
      <c r="W646" s="21"/>
      <c r="X646" s="73">
        <f>DATABASE_Table[[#This Row],[Current Asking price( Total)]]-DATABASE_Table[[#This Row],[Vista membership]]-DATABASE_Table[[#This Row],[FF&amp;E]]</f>
        <v>750000</v>
      </c>
      <c r="Y646" s="126">
        <v>0</v>
      </c>
      <c r="Z646" s="124">
        <v>750000</v>
      </c>
      <c r="AA646" s="73">
        <f>DATABASE_Table[[#This Row],[Sell price (Total)]]-DATABASE_Table[[#This Row],[FF&amp;E]]-DATABASE_Table[[#This Row],[Vista membership]]</f>
        <v>750000</v>
      </c>
      <c r="AB646" s="74">
        <v>46114</v>
      </c>
      <c r="AC646" s="74" t="str">
        <f t="shared" si="10"/>
        <v>Q2 2026</v>
      </c>
      <c r="AD646" s="123">
        <v>46166</v>
      </c>
      <c r="AE646" s="69"/>
      <c r="AF646" s="21" t="s">
        <v>10</v>
      </c>
      <c r="AG646" s="21" t="s">
        <v>801</v>
      </c>
      <c r="AH646" s="122" t="s">
        <v>32</v>
      </c>
      <c r="AI646" s="122" t="s">
        <v>802</v>
      </c>
      <c r="AJ646" s="122" t="s">
        <v>33</v>
      </c>
      <c r="AK646" s="122" t="s">
        <v>803</v>
      </c>
      <c r="AL646" s="21" t="s">
        <v>15</v>
      </c>
      <c r="AM646" s="122" t="s">
        <v>31</v>
      </c>
    </row>
    <row r="647" spans="1:39" customFormat="1" ht="15.75" customHeight="1" x14ac:dyDescent="0.3">
      <c r="A647" t="s">
        <v>31</v>
      </c>
      <c r="B647" s="21" t="s">
        <v>31</v>
      </c>
      <c r="C647" s="21" t="s">
        <v>688</v>
      </c>
      <c r="D647" s="117" t="s">
        <v>347</v>
      </c>
      <c r="E647" s="21" t="s">
        <v>9</v>
      </c>
      <c r="F647" s="21" t="s">
        <v>320</v>
      </c>
      <c r="G647" s="21"/>
      <c r="H647" s="21"/>
      <c r="I647" s="117" t="s">
        <v>325</v>
      </c>
      <c r="J647" s="117" t="s">
        <v>325</v>
      </c>
      <c r="K647" s="118"/>
      <c r="L647" s="21">
        <v>76</v>
      </c>
      <c r="M647" s="21"/>
      <c r="N647" s="21">
        <v>0</v>
      </c>
      <c r="O647" s="21"/>
      <c r="P647" s="21">
        <v>134</v>
      </c>
      <c r="Q647" s="21"/>
      <c r="R647" s="21" t="s">
        <v>326</v>
      </c>
      <c r="S647" s="119">
        <f>DATABASE_Table[[#This Row],[Inicial Asking Price (€) (Total)]]-DATABASE_Table[[#This Row],[Vista membership]]-DATABASE_Table[[#This Row],[FF&amp;E]]</f>
        <v>1090000</v>
      </c>
      <c r="T647" s="124">
        <v>1090000</v>
      </c>
      <c r="U647" s="124">
        <v>1090000</v>
      </c>
      <c r="V647" s="21"/>
      <c r="W647" s="21"/>
      <c r="X647" s="73">
        <f>DATABASE_Table[[#This Row],[Current Asking price( Total)]]-DATABASE_Table[[#This Row],[Vista membership]]-DATABASE_Table[[#This Row],[FF&amp;E]]</f>
        <v>1090000</v>
      </c>
      <c r="Y647" s="126">
        <v>1.8348623853211E-2</v>
      </c>
      <c r="Z647" s="124">
        <v>1070000</v>
      </c>
      <c r="AA647" s="73">
        <f>DATABASE_Table[[#This Row],[Sell price (Total)]]-DATABASE_Table[[#This Row],[FF&amp;E]]-DATABASE_Table[[#This Row],[Vista membership]]</f>
        <v>1070000</v>
      </c>
      <c r="AB647" s="74">
        <v>46114</v>
      </c>
      <c r="AC647" s="74" t="str">
        <f t="shared" si="10"/>
        <v>Q2 2026</v>
      </c>
      <c r="AD647" s="123"/>
      <c r="AE647" s="69"/>
      <c r="AF647" s="21" t="s">
        <v>10</v>
      </c>
      <c r="AG647" s="21" t="s">
        <v>801</v>
      </c>
      <c r="AH647" s="122" t="s">
        <v>32</v>
      </c>
      <c r="AI647" s="122" t="s">
        <v>802</v>
      </c>
      <c r="AJ647" s="122" t="s">
        <v>33</v>
      </c>
      <c r="AK647" s="122" t="s">
        <v>803</v>
      </c>
      <c r="AL647" s="21" t="s">
        <v>15</v>
      </c>
      <c r="AM647" s="122" t="s">
        <v>31</v>
      </c>
    </row>
    <row r="648" spans="1:39" customFormat="1" ht="15.75" customHeight="1" x14ac:dyDescent="0.3">
      <c r="A648" t="s">
        <v>31</v>
      </c>
      <c r="B648" s="21" t="s">
        <v>31</v>
      </c>
      <c r="C648" s="21" t="s">
        <v>688</v>
      </c>
      <c r="D648" s="117" t="s">
        <v>340</v>
      </c>
      <c r="E648" s="21" t="s">
        <v>9</v>
      </c>
      <c r="F648" s="21" t="s">
        <v>320</v>
      </c>
      <c r="G648" s="21"/>
      <c r="H648" s="21"/>
      <c r="I648" s="117" t="s">
        <v>325</v>
      </c>
      <c r="J648" s="117" t="s">
        <v>325</v>
      </c>
      <c r="K648" s="118"/>
      <c r="L648" s="21">
        <v>84</v>
      </c>
      <c r="M648" s="21"/>
      <c r="N648" s="21">
        <v>0</v>
      </c>
      <c r="O648" s="21"/>
      <c r="P648" s="21">
        <v>138</v>
      </c>
      <c r="Q648" s="21"/>
      <c r="R648" s="21" t="s">
        <v>326</v>
      </c>
      <c r="S648" s="119">
        <f>DATABASE_Table[[#This Row],[Inicial Asking Price (€) (Total)]]-DATABASE_Table[[#This Row],[Vista membership]]-DATABASE_Table[[#This Row],[FF&amp;E]]</f>
        <v>1020000</v>
      </c>
      <c r="T648" s="124">
        <v>1020000</v>
      </c>
      <c r="U648" s="124">
        <v>1020000</v>
      </c>
      <c r="V648" s="21"/>
      <c r="W648" s="21"/>
      <c r="X648" s="73">
        <f>DATABASE_Table[[#This Row],[Current Asking price( Total)]]-DATABASE_Table[[#This Row],[Vista membership]]-DATABASE_Table[[#This Row],[FF&amp;E]]</f>
        <v>1020000</v>
      </c>
      <c r="Y648" s="126">
        <v>0.02</v>
      </c>
      <c r="Z648" s="124">
        <v>999600</v>
      </c>
      <c r="AA648" s="73">
        <f>DATABASE_Table[[#This Row],[Sell price (Total)]]-DATABASE_Table[[#This Row],[FF&amp;E]]-DATABASE_Table[[#This Row],[Vista membership]]</f>
        <v>999600</v>
      </c>
      <c r="AB648" s="74">
        <v>46114</v>
      </c>
      <c r="AC648" s="74" t="str">
        <f t="shared" si="10"/>
        <v>Q2 2026</v>
      </c>
      <c r="AD648" s="123"/>
      <c r="AE648" s="69"/>
      <c r="AF648" s="21" t="s">
        <v>10</v>
      </c>
      <c r="AG648" s="21" t="s">
        <v>801</v>
      </c>
      <c r="AH648" s="122" t="s">
        <v>32</v>
      </c>
      <c r="AI648" s="122" t="s">
        <v>802</v>
      </c>
      <c r="AJ648" s="122" t="s">
        <v>33</v>
      </c>
      <c r="AK648" s="122" t="s">
        <v>803</v>
      </c>
      <c r="AL648" s="21" t="s">
        <v>15</v>
      </c>
      <c r="AM648" s="122" t="s">
        <v>31</v>
      </c>
    </row>
    <row r="649" spans="1:39" customFormat="1" ht="15.75" customHeight="1" x14ac:dyDescent="0.3">
      <c r="A649" t="s">
        <v>31</v>
      </c>
      <c r="B649" s="21" t="s">
        <v>31</v>
      </c>
      <c r="C649" s="21" t="s">
        <v>688</v>
      </c>
      <c r="D649" s="117" t="s">
        <v>341</v>
      </c>
      <c r="E649" s="21" t="s">
        <v>9</v>
      </c>
      <c r="F649" s="21" t="s">
        <v>319</v>
      </c>
      <c r="G649" s="21"/>
      <c r="H649" s="21"/>
      <c r="I649" s="117" t="s">
        <v>325</v>
      </c>
      <c r="J649" s="117" t="s">
        <v>325</v>
      </c>
      <c r="K649" s="118"/>
      <c r="L649" s="21">
        <v>78</v>
      </c>
      <c r="M649" s="21"/>
      <c r="N649" s="21">
        <v>0</v>
      </c>
      <c r="O649" s="21"/>
      <c r="P649" s="21">
        <v>105</v>
      </c>
      <c r="Q649" s="21"/>
      <c r="R649" s="21" t="s">
        <v>326</v>
      </c>
      <c r="S649" s="119">
        <f>DATABASE_Table[[#This Row],[Inicial Asking Price (€) (Total)]]-DATABASE_Table[[#This Row],[Vista membership]]-DATABASE_Table[[#This Row],[FF&amp;E]]</f>
        <v>760000</v>
      </c>
      <c r="T649" s="124">
        <v>760000</v>
      </c>
      <c r="U649" s="124">
        <v>760000</v>
      </c>
      <c r="V649" s="21"/>
      <c r="W649" s="21"/>
      <c r="X649" s="73">
        <f>DATABASE_Table[[#This Row],[Current Asking price( Total)]]-DATABASE_Table[[#This Row],[Vista membership]]-DATABASE_Table[[#This Row],[FF&amp;E]]</f>
        <v>760000</v>
      </c>
      <c r="Y649" s="126">
        <v>0.02</v>
      </c>
      <c r="Z649" s="124">
        <v>744800</v>
      </c>
      <c r="AA649" s="73">
        <f>DATABASE_Table[[#This Row],[Sell price (Total)]]-DATABASE_Table[[#This Row],[FF&amp;E]]-DATABASE_Table[[#This Row],[Vista membership]]</f>
        <v>744800</v>
      </c>
      <c r="AB649" s="74">
        <v>46114</v>
      </c>
      <c r="AC649" s="74" t="str">
        <f t="shared" si="10"/>
        <v>Q2 2026</v>
      </c>
      <c r="AD649" s="123"/>
      <c r="AE649" s="69"/>
      <c r="AF649" s="21" t="s">
        <v>10</v>
      </c>
      <c r="AG649" s="21" t="s">
        <v>801</v>
      </c>
      <c r="AH649" s="122" t="s">
        <v>32</v>
      </c>
      <c r="AI649" s="122" t="s">
        <v>802</v>
      </c>
      <c r="AJ649" s="122" t="s">
        <v>33</v>
      </c>
      <c r="AK649" s="122" t="s">
        <v>803</v>
      </c>
      <c r="AL649" s="21" t="s">
        <v>15</v>
      </c>
      <c r="AM649" s="122" t="s">
        <v>31</v>
      </c>
    </row>
    <row r="650" spans="1:39" customFormat="1" ht="15.75" customHeight="1" x14ac:dyDescent="0.3">
      <c r="A650" t="s">
        <v>31</v>
      </c>
      <c r="B650" s="21" t="s">
        <v>31</v>
      </c>
      <c r="C650" s="21" t="s">
        <v>688</v>
      </c>
      <c r="D650" s="117" t="s">
        <v>357</v>
      </c>
      <c r="E650" s="21" t="s">
        <v>9</v>
      </c>
      <c r="F650" s="21" t="s">
        <v>320</v>
      </c>
      <c r="G650" s="21"/>
      <c r="H650" s="21"/>
      <c r="I650" s="117" t="s">
        <v>325</v>
      </c>
      <c r="J650" s="117" t="s">
        <v>325</v>
      </c>
      <c r="K650" s="118"/>
      <c r="L650" s="21">
        <v>0</v>
      </c>
      <c r="M650" s="21"/>
      <c r="N650" s="21">
        <v>18</v>
      </c>
      <c r="O650" s="21"/>
      <c r="P650" s="21">
        <v>137</v>
      </c>
      <c r="Q650" s="21"/>
      <c r="R650" s="21" t="s">
        <v>326</v>
      </c>
      <c r="S650" s="119">
        <f>DATABASE_Table[[#This Row],[Inicial Asking Price (€) (Total)]]-DATABASE_Table[[#This Row],[Vista membership]]-DATABASE_Table[[#This Row],[FF&amp;E]]</f>
        <v>800000</v>
      </c>
      <c r="T650" s="124">
        <v>800000</v>
      </c>
      <c r="U650" s="124">
        <v>800000</v>
      </c>
      <c r="V650" s="21"/>
      <c r="W650" s="21"/>
      <c r="X650" s="73">
        <f>DATABASE_Table[[#This Row],[Current Asking price( Total)]]-DATABASE_Table[[#This Row],[Vista membership]]-DATABASE_Table[[#This Row],[FF&amp;E]]</f>
        <v>800000</v>
      </c>
      <c r="Y650" s="126">
        <v>0.02</v>
      </c>
      <c r="Z650" s="124">
        <v>784000</v>
      </c>
      <c r="AA650" s="73">
        <f>DATABASE_Table[[#This Row],[Sell price (Total)]]-DATABASE_Table[[#This Row],[FF&amp;E]]-DATABASE_Table[[#This Row],[Vista membership]]</f>
        <v>784000</v>
      </c>
      <c r="AB650" s="74">
        <v>46114</v>
      </c>
      <c r="AC650" s="74" t="str">
        <f t="shared" si="10"/>
        <v>Q2 2026</v>
      </c>
      <c r="AD650" s="123"/>
      <c r="AE650" s="69"/>
      <c r="AF650" s="21" t="s">
        <v>10</v>
      </c>
      <c r="AG650" s="21" t="s">
        <v>801</v>
      </c>
      <c r="AH650" s="122" t="s">
        <v>32</v>
      </c>
      <c r="AI650" s="122" t="s">
        <v>802</v>
      </c>
      <c r="AJ650" s="122" t="s">
        <v>33</v>
      </c>
      <c r="AK650" s="122" t="s">
        <v>803</v>
      </c>
      <c r="AL650" s="21" t="s">
        <v>15</v>
      </c>
      <c r="AM650" s="122" t="s">
        <v>31</v>
      </c>
    </row>
    <row r="651" spans="1:39" customFormat="1" ht="15.75" customHeight="1" x14ac:dyDescent="0.3">
      <c r="A651" t="s">
        <v>31</v>
      </c>
      <c r="B651" s="21" t="s">
        <v>31</v>
      </c>
      <c r="C651" s="21" t="s">
        <v>688</v>
      </c>
      <c r="D651" s="117" t="s">
        <v>339</v>
      </c>
      <c r="E651" s="21" t="s">
        <v>9</v>
      </c>
      <c r="F651" s="21" t="s">
        <v>320</v>
      </c>
      <c r="G651" s="21"/>
      <c r="H651" s="21"/>
      <c r="I651" s="117" t="s">
        <v>325</v>
      </c>
      <c r="J651" s="117" t="s">
        <v>325</v>
      </c>
      <c r="K651" s="118"/>
      <c r="L651" s="21">
        <v>102</v>
      </c>
      <c r="M651" s="21"/>
      <c r="N651" s="21">
        <v>0</v>
      </c>
      <c r="O651" s="21"/>
      <c r="P651" s="21">
        <v>139</v>
      </c>
      <c r="Q651" s="21"/>
      <c r="R651" s="21" t="s">
        <v>625</v>
      </c>
      <c r="S651" s="119">
        <f>DATABASE_Table[[#This Row],[Inicial Asking Price (€) (Total)]]-DATABASE_Table[[#This Row],[Vista membership]]-DATABASE_Table[[#This Row],[FF&amp;E]]</f>
        <v>920000</v>
      </c>
      <c r="T651" s="124">
        <v>920000</v>
      </c>
      <c r="U651" s="124">
        <v>920000</v>
      </c>
      <c r="V651" s="21"/>
      <c r="W651" s="21"/>
      <c r="X651" s="73">
        <f>DATABASE_Table[[#This Row],[Current Asking price( Total)]]-DATABASE_Table[[#This Row],[Vista membership]]-DATABASE_Table[[#This Row],[FF&amp;E]]</f>
        <v>920000</v>
      </c>
      <c r="Y651" s="126">
        <v>2.1739130434782601E-2</v>
      </c>
      <c r="Z651" s="124">
        <v>900000</v>
      </c>
      <c r="AA651" s="73">
        <f>DATABASE_Table[[#This Row],[Sell price (Total)]]-DATABASE_Table[[#This Row],[FF&amp;E]]-DATABASE_Table[[#This Row],[Vista membership]]</f>
        <v>900000</v>
      </c>
      <c r="AB651" s="74">
        <v>46114</v>
      </c>
      <c r="AC651" s="74" t="str">
        <f t="shared" si="10"/>
        <v>Q2 2026</v>
      </c>
      <c r="AD651" s="121">
        <v>46154</v>
      </c>
      <c r="AE651" s="69"/>
      <c r="AF651" s="21" t="s">
        <v>10</v>
      </c>
      <c r="AG651" s="21" t="s">
        <v>801</v>
      </c>
      <c r="AH651" s="122" t="s">
        <v>32</v>
      </c>
      <c r="AI651" s="122" t="s">
        <v>802</v>
      </c>
      <c r="AJ651" s="122" t="s">
        <v>33</v>
      </c>
      <c r="AK651" s="122" t="s">
        <v>803</v>
      </c>
      <c r="AL651" s="21" t="s">
        <v>15</v>
      </c>
      <c r="AM651" s="122" t="s">
        <v>31</v>
      </c>
    </row>
    <row r="652" spans="1:39" customFormat="1" ht="15.75" customHeight="1" x14ac:dyDescent="0.3">
      <c r="A652" t="s">
        <v>31</v>
      </c>
      <c r="B652" s="21" t="s">
        <v>31</v>
      </c>
      <c r="C652" s="21" t="s">
        <v>688</v>
      </c>
      <c r="D652" s="117" t="s">
        <v>365</v>
      </c>
      <c r="E652" s="21" t="s">
        <v>9</v>
      </c>
      <c r="F652" s="21" t="s">
        <v>320</v>
      </c>
      <c r="G652" s="21"/>
      <c r="H652" s="21"/>
      <c r="I652" s="117" t="s">
        <v>325</v>
      </c>
      <c r="J652" s="117" t="s">
        <v>587</v>
      </c>
      <c r="K652" s="118"/>
      <c r="L652" s="21">
        <v>0</v>
      </c>
      <c r="M652" s="21"/>
      <c r="N652" s="21">
        <v>174</v>
      </c>
      <c r="O652" s="21"/>
      <c r="P652" s="21">
        <v>136</v>
      </c>
      <c r="Q652" s="21"/>
      <c r="R652" s="21" t="s">
        <v>326</v>
      </c>
      <c r="S652" s="119">
        <f>DATABASE_Table[[#This Row],[Inicial Asking Price (€) (Total)]]-DATABASE_Table[[#This Row],[Vista membership]]-DATABASE_Table[[#This Row],[FF&amp;E]]</f>
        <v>1040000</v>
      </c>
      <c r="T652" s="124">
        <v>1040000</v>
      </c>
      <c r="U652" s="124">
        <v>1040000</v>
      </c>
      <c r="V652" s="21"/>
      <c r="W652" s="21"/>
      <c r="X652" s="73">
        <f>DATABASE_Table[[#This Row],[Current Asking price( Total)]]-DATABASE_Table[[#This Row],[Vista membership]]-DATABASE_Table[[#This Row],[FF&amp;E]]</f>
        <v>1040000</v>
      </c>
      <c r="Y652" s="126">
        <v>2.5000000000000001E-2</v>
      </c>
      <c r="Z652" s="124">
        <v>1014000</v>
      </c>
      <c r="AA652" s="73">
        <f>DATABASE_Table[[#This Row],[Sell price (Total)]]-DATABASE_Table[[#This Row],[FF&amp;E]]-DATABASE_Table[[#This Row],[Vista membership]]</f>
        <v>1014000</v>
      </c>
      <c r="AB652" s="74">
        <v>46114</v>
      </c>
      <c r="AC652" s="74" t="str">
        <f t="shared" si="10"/>
        <v>Q2 2026</v>
      </c>
      <c r="AD652" s="123">
        <v>46171</v>
      </c>
      <c r="AE652" s="69"/>
      <c r="AF652" s="21" t="s">
        <v>10</v>
      </c>
      <c r="AG652" s="21" t="s">
        <v>801</v>
      </c>
      <c r="AH652" s="122" t="s">
        <v>32</v>
      </c>
      <c r="AI652" s="122" t="s">
        <v>802</v>
      </c>
      <c r="AJ652" s="122" t="s">
        <v>33</v>
      </c>
      <c r="AK652" s="122" t="s">
        <v>803</v>
      </c>
      <c r="AL652" s="21" t="s">
        <v>15</v>
      </c>
      <c r="AM652" s="122" t="s">
        <v>31</v>
      </c>
    </row>
    <row r="653" spans="1:39" customFormat="1" ht="15.75" customHeight="1" x14ac:dyDescent="0.3">
      <c r="A653" t="s">
        <v>31</v>
      </c>
      <c r="B653" s="21" t="s">
        <v>31</v>
      </c>
      <c r="C653" s="21" t="s">
        <v>688</v>
      </c>
      <c r="D653" s="117" t="s">
        <v>370</v>
      </c>
      <c r="E653" s="21" t="s">
        <v>9</v>
      </c>
      <c r="F653" s="21" t="s">
        <v>319</v>
      </c>
      <c r="G653" s="21"/>
      <c r="H653" s="21"/>
      <c r="I653" s="117" t="s">
        <v>325</v>
      </c>
      <c r="J653" s="117" t="s">
        <v>325</v>
      </c>
      <c r="K653" s="118"/>
      <c r="L653" s="21">
        <v>0</v>
      </c>
      <c r="M653" s="21"/>
      <c r="N653" s="21">
        <v>18</v>
      </c>
      <c r="O653" s="21"/>
      <c r="P653" s="21">
        <v>105</v>
      </c>
      <c r="Q653" s="21"/>
      <c r="R653" s="21" t="s">
        <v>326</v>
      </c>
      <c r="S653" s="119">
        <f>DATABASE_Table[[#This Row],[Inicial Asking Price (€) (Total)]]-DATABASE_Table[[#This Row],[Vista membership]]-DATABASE_Table[[#This Row],[FF&amp;E]]</f>
        <v>750000</v>
      </c>
      <c r="T653" s="124">
        <v>750000</v>
      </c>
      <c r="U653" s="124">
        <v>750000</v>
      </c>
      <c r="V653" s="21"/>
      <c r="W653" s="21"/>
      <c r="X653" s="73">
        <f>DATABASE_Table[[#This Row],[Current Asking price( Total)]]-DATABASE_Table[[#This Row],[Vista membership]]-DATABASE_Table[[#This Row],[FF&amp;E]]</f>
        <v>750000</v>
      </c>
      <c r="Y653" s="126">
        <v>2.5000000000000001E-2</v>
      </c>
      <c r="Z653" s="124">
        <v>731250</v>
      </c>
      <c r="AA653" s="73">
        <f>DATABASE_Table[[#This Row],[Sell price (Total)]]-DATABASE_Table[[#This Row],[FF&amp;E]]-DATABASE_Table[[#This Row],[Vista membership]]</f>
        <v>731250</v>
      </c>
      <c r="AB653" s="74">
        <v>46114</v>
      </c>
      <c r="AC653" s="74" t="str">
        <f t="shared" si="10"/>
        <v>Q2 2026</v>
      </c>
      <c r="AD653" s="123">
        <v>46114</v>
      </c>
      <c r="AE653" s="69"/>
      <c r="AF653" s="21" t="s">
        <v>10</v>
      </c>
      <c r="AG653" s="21" t="s">
        <v>801</v>
      </c>
      <c r="AH653" s="122" t="s">
        <v>32</v>
      </c>
      <c r="AI653" s="122" t="s">
        <v>802</v>
      </c>
      <c r="AJ653" s="122" t="s">
        <v>33</v>
      </c>
      <c r="AK653" s="122" t="s">
        <v>803</v>
      </c>
      <c r="AL653" s="21" t="s">
        <v>15</v>
      </c>
      <c r="AM653" s="122" t="s">
        <v>31</v>
      </c>
    </row>
    <row r="654" spans="1:39" customFormat="1" ht="15.75" customHeight="1" x14ac:dyDescent="0.3">
      <c r="A654" t="s">
        <v>31</v>
      </c>
      <c r="B654" s="21" t="s">
        <v>31</v>
      </c>
      <c r="C654" s="21" t="s">
        <v>688</v>
      </c>
      <c r="D654" s="117" t="s">
        <v>351</v>
      </c>
      <c r="E654" s="21" t="s">
        <v>9</v>
      </c>
      <c r="F654" s="21" t="s">
        <v>320</v>
      </c>
      <c r="G654" s="21"/>
      <c r="H654" s="21"/>
      <c r="I654" s="117" t="s">
        <v>325</v>
      </c>
      <c r="J654" s="117" t="s">
        <v>325</v>
      </c>
      <c r="K654" s="118"/>
      <c r="L654" s="21">
        <v>0</v>
      </c>
      <c r="M654" s="21"/>
      <c r="N654" s="21">
        <v>18</v>
      </c>
      <c r="O654" s="21"/>
      <c r="P654" s="21">
        <v>137</v>
      </c>
      <c r="Q654" s="21"/>
      <c r="R654" s="21" t="s">
        <v>326</v>
      </c>
      <c r="S654" s="119">
        <f>DATABASE_Table[[#This Row],[Inicial Asking Price (€) (Total)]]-DATABASE_Table[[#This Row],[Vista membership]]-DATABASE_Table[[#This Row],[FF&amp;E]]</f>
        <v>780000</v>
      </c>
      <c r="T654" s="124">
        <v>780000</v>
      </c>
      <c r="U654" s="124">
        <v>780000</v>
      </c>
      <c r="V654" s="21"/>
      <c r="W654" s="21"/>
      <c r="X654" s="73">
        <f>DATABASE_Table[[#This Row],[Current Asking price( Total)]]-DATABASE_Table[[#This Row],[Vista membership]]-DATABASE_Table[[#This Row],[FF&amp;E]]</f>
        <v>780000</v>
      </c>
      <c r="Y654" s="126">
        <v>2.5000000000000001E-2</v>
      </c>
      <c r="Z654" s="124">
        <v>760500</v>
      </c>
      <c r="AA654" s="73">
        <f>DATABASE_Table[[#This Row],[Sell price (Total)]]-DATABASE_Table[[#This Row],[FF&amp;E]]-DATABASE_Table[[#This Row],[Vista membership]]</f>
        <v>760500</v>
      </c>
      <c r="AB654" s="74">
        <v>46114</v>
      </c>
      <c r="AC654" s="74" t="str">
        <f t="shared" si="10"/>
        <v>Q2 2026</v>
      </c>
      <c r="AD654" s="123">
        <v>46114</v>
      </c>
      <c r="AE654" s="69"/>
      <c r="AF654" s="21" t="s">
        <v>10</v>
      </c>
      <c r="AG654" s="21" t="s">
        <v>801</v>
      </c>
      <c r="AH654" s="122" t="s">
        <v>32</v>
      </c>
      <c r="AI654" s="122" t="s">
        <v>802</v>
      </c>
      <c r="AJ654" s="122" t="s">
        <v>33</v>
      </c>
      <c r="AK654" s="122" t="s">
        <v>803</v>
      </c>
      <c r="AL654" s="21" t="s">
        <v>15</v>
      </c>
      <c r="AM654" s="122" t="s">
        <v>31</v>
      </c>
    </row>
    <row r="655" spans="1:39" customFormat="1" ht="15.75" customHeight="1" x14ac:dyDescent="0.3">
      <c r="A655" t="s">
        <v>31</v>
      </c>
      <c r="B655" s="21" t="s">
        <v>31</v>
      </c>
      <c r="C655" s="21" t="s">
        <v>688</v>
      </c>
      <c r="D655" s="117" t="s">
        <v>354</v>
      </c>
      <c r="E655" s="21" t="s">
        <v>9</v>
      </c>
      <c r="F655" s="21" t="s">
        <v>319</v>
      </c>
      <c r="G655" s="21"/>
      <c r="H655" s="21"/>
      <c r="I655" s="117" t="s">
        <v>325</v>
      </c>
      <c r="J655" s="117" t="s">
        <v>325</v>
      </c>
      <c r="K655" s="118"/>
      <c r="L655" s="21">
        <v>0</v>
      </c>
      <c r="M655" s="21"/>
      <c r="N655" s="21">
        <v>16</v>
      </c>
      <c r="O655" s="21"/>
      <c r="P655" s="21">
        <v>107</v>
      </c>
      <c r="Q655" s="21"/>
      <c r="R655" s="21" t="s">
        <v>326</v>
      </c>
      <c r="S655" s="119">
        <f>DATABASE_Table[[#This Row],[Inicial Asking Price (€) (Total)]]-DATABASE_Table[[#This Row],[Vista membership]]-DATABASE_Table[[#This Row],[FF&amp;E]]</f>
        <v>670000</v>
      </c>
      <c r="T655" s="124">
        <v>670000</v>
      </c>
      <c r="U655" s="124">
        <v>670000</v>
      </c>
      <c r="V655" s="21"/>
      <c r="W655" s="21"/>
      <c r="X655" s="73">
        <f>DATABASE_Table[[#This Row],[Current Asking price( Total)]]-DATABASE_Table[[#This Row],[Vista membership]]-DATABASE_Table[[#This Row],[FF&amp;E]]</f>
        <v>670000</v>
      </c>
      <c r="Y655" s="126">
        <v>2.5000000000000001E-2</v>
      </c>
      <c r="Z655" s="124">
        <v>653250</v>
      </c>
      <c r="AA655" s="73">
        <f>DATABASE_Table[[#This Row],[Sell price (Total)]]-DATABASE_Table[[#This Row],[FF&amp;E]]-DATABASE_Table[[#This Row],[Vista membership]]</f>
        <v>653250</v>
      </c>
      <c r="AB655" s="74">
        <v>46114</v>
      </c>
      <c r="AC655" s="74" t="str">
        <f t="shared" si="10"/>
        <v>Q2 2026</v>
      </c>
      <c r="AD655" s="123">
        <v>46114</v>
      </c>
      <c r="AE655" s="69"/>
      <c r="AF655" s="21" t="s">
        <v>10</v>
      </c>
      <c r="AG655" s="21" t="s">
        <v>801</v>
      </c>
      <c r="AH655" s="122" t="s">
        <v>32</v>
      </c>
      <c r="AI655" s="122" t="s">
        <v>802</v>
      </c>
      <c r="AJ655" s="122" t="s">
        <v>33</v>
      </c>
      <c r="AK655" s="122" t="s">
        <v>803</v>
      </c>
      <c r="AL655" s="21" t="s">
        <v>15</v>
      </c>
      <c r="AM655" s="122" t="s">
        <v>31</v>
      </c>
    </row>
    <row r="656" spans="1:39" customFormat="1" ht="15.75" customHeight="1" x14ac:dyDescent="0.3">
      <c r="A656" t="s">
        <v>31</v>
      </c>
      <c r="B656" s="21" t="s">
        <v>31</v>
      </c>
      <c r="C656" s="21" t="s">
        <v>688</v>
      </c>
      <c r="D656" s="117" t="s">
        <v>366</v>
      </c>
      <c r="E656" s="21" t="s">
        <v>9</v>
      </c>
      <c r="F656" s="21" t="s">
        <v>421</v>
      </c>
      <c r="G656" s="21"/>
      <c r="H656" s="21"/>
      <c r="I656" s="117" t="s">
        <v>325</v>
      </c>
      <c r="J656" s="117" t="s">
        <v>587</v>
      </c>
      <c r="K656" s="118"/>
      <c r="L656" s="21">
        <v>0</v>
      </c>
      <c r="M656" s="21"/>
      <c r="N656" s="21">
        <v>145</v>
      </c>
      <c r="O656" s="21"/>
      <c r="P656" s="21">
        <v>208</v>
      </c>
      <c r="Q656" s="21"/>
      <c r="R656" s="21" t="s">
        <v>625</v>
      </c>
      <c r="S656" s="119">
        <f>DATABASE_Table[[#This Row],[Inicial Asking Price (€) (Total)]]-DATABASE_Table[[#This Row],[Vista membership]]-DATABASE_Table[[#This Row],[FF&amp;E]]</f>
        <v>1280000</v>
      </c>
      <c r="T656" s="124">
        <v>1280000</v>
      </c>
      <c r="U656" s="124">
        <v>1280000</v>
      </c>
      <c r="V656" s="21"/>
      <c r="W656" s="21"/>
      <c r="X656" s="73">
        <f>DATABASE_Table[[#This Row],[Current Asking price( Total)]]-DATABASE_Table[[#This Row],[Vista membership]]-DATABASE_Table[[#This Row],[FF&amp;E]]</f>
        <v>1280000</v>
      </c>
      <c r="Y656" s="126">
        <v>2.5000000000000001E-2</v>
      </c>
      <c r="Z656" s="124">
        <v>1248000</v>
      </c>
      <c r="AA656" s="73">
        <f>DATABASE_Table[[#This Row],[Sell price (Total)]]-DATABASE_Table[[#This Row],[FF&amp;E]]-DATABASE_Table[[#This Row],[Vista membership]]</f>
        <v>1248000</v>
      </c>
      <c r="AB656" s="74">
        <v>46114</v>
      </c>
      <c r="AC656" s="74" t="str">
        <f t="shared" si="10"/>
        <v>Q2 2026</v>
      </c>
      <c r="AD656" s="121">
        <v>46188</v>
      </c>
      <c r="AE656" s="69"/>
      <c r="AF656" s="21" t="s">
        <v>10</v>
      </c>
      <c r="AG656" s="21" t="s">
        <v>801</v>
      </c>
      <c r="AH656" s="122" t="s">
        <v>32</v>
      </c>
      <c r="AI656" s="122" t="s">
        <v>802</v>
      </c>
      <c r="AJ656" s="122" t="s">
        <v>33</v>
      </c>
      <c r="AK656" s="122" t="s">
        <v>803</v>
      </c>
      <c r="AL656" s="21" t="s">
        <v>15</v>
      </c>
      <c r="AM656" s="122" t="s">
        <v>31</v>
      </c>
    </row>
    <row r="657" spans="1:39" customFormat="1" ht="15.75" customHeight="1" x14ac:dyDescent="0.3">
      <c r="A657" t="s">
        <v>31</v>
      </c>
      <c r="B657" s="21" t="s">
        <v>31</v>
      </c>
      <c r="C657" s="21" t="s">
        <v>688</v>
      </c>
      <c r="D657" s="117" t="s">
        <v>369</v>
      </c>
      <c r="E657" s="21" t="s">
        <v>9</v>
      </c>
      <c r="F657" s="21" t="s">
        <v>320</v>
      </c>
      <c r="G657" s="21"/>
      <c r="H657" s="21"/>
      <c r="I657" s="117" t="s">
        <v>325</v>
      </c>
      <c r="J657" s="117" t="s">
        <v>325</v>
      </c>
      <c r="K657" s="118"/>
      <c r="L657" s="21">
        <v>0</v>
      </c>
      <c r="M657" s="21"/>
      <c r="N657" s="21">
        <v>13</v>
      </c>
      <c r="O657" s="21"/>
      <c r="P657" s="21">
        <v>137</v>
      </c>
      <c r="Q657" s="21"/>
      <c r="R657" s="21" t="s">
        <v>625</v>
      </c>
      <c r="S657" s="119">
        <f>DATABASE_Table[[#This Row],[Inicial Asking Price (€) (Total)]]-DATABASE_Table[[#This Row],[Vista membership]]-DATABASE_Table[[#This Row],[FF&amp;E]]</f>
        <v>860000</v>
      </c>
      <c r="T657" s="124">
        <v>860000</v>
      </c>
      <c r="U657" s="124">
        <v>860000</v>
      </c>
      <c r="V657" s="21"/>
      <c r="W657" s="21"/>
      <c r="X657" s="73">
        <f>DATABASE_Table[[#This Row],[Current Asking price( Total)]]-DATABASE_Table[[#This Row],[Vista membership]]-DATABASE_Table[[#This Row],[FF&amp;E]]</f>
        <v>860000</v>
      </c>
      <c r="Y657" s="126">
        <v>2.5000000000000001E-2</v>
      </c>
      <c r="Z657" s="124">
        <v>838500</v>
      </c>
      <c r="AA657" s="73">
        <f>DATABASE_Table[[#This Row],[Sell price (Total)]]-DATABASE_Table[[#This Row],[FF&amp;E]]-DATABASE_Table[[#This Row],[Vista membership]]</f>
        <v>838500</v>
      </c>
      <c r="AB657" s="74">
        <v>46114</v>
      </c>
      <c r="AC657" s="74" t="str">
        <f t="shared" si="10"/>
        <v>Q2 2026</v>
      </c>
      <c r="AD657" s="121">
        <v>46174</v>
      </c>
      <c r="AE657" s="69"/>
      <c r="AF657" s="21" t="s">
        <v>10</v>
      </c>
      <c r="AG657" s="21" t="s">
        <v>801</v>
      </c>
      <c r="AH657" s="122" t="s">
        <v>32</v>
      </c>
      <c r="AI657" s="122" t="s">
        <v>802</v>
      </c>
      <c r="AJ657" s="122" t="s">
        <v>33</v>
      </c>
      <c r="AK657" s="122" t="s">
        <v>803</v>
      </c>
      <c r="AL657" s="21" t="s">
        <v>15</v>
      </c>
      <c r="AM657" s="122" t="s">
        <v>31</v>
      </c>
    </row>
    <row r="658" spans="1:39" customFormat="1" ht="15.75" customHeight="1" x14ac:dyDescent="0.3">
      <c r="A658" t="s">
        <v>31</v>
      </c>
      <c r="B658" s="21" t="s">
        <v>31</v>
      </c>
      <c r="C658" s="21" t="s">
        <v>688</v>
      </c>
      <c r="D658" s="117" t="s">
        <v>364</v>
      </c>
      <c r="E658" s="21" t="s">
        <v>9</v>
      </c>
      <c r="F658" s="21" t="s">
        <v>319</v>
      </c>
      <c r="G658" s="21"/>
      <c r="H658" s="21"/>
      <c r="I658" s="117" t="s">
        <v>325</v>
      </c>
      <c r="J658" s="117" t="s">
        <v>325</v>
      </c>
      <c r="K658" s="118"/>
      <c r="L658" s="21">
        <v>0</v>
      </c>
      <c r="M658" s="21"/>
      <c r="N658" s="21">
        <v>20</v>
      </c>
      <c r="O658" s="21"/>
      <c r="P658" s="21">
        <v>105</v>
      </c>
      <c r="Q658" s="21"/>
      <c r="R658" s="21" t="s">
        <v>326</v>
      </c>
      <c r="S658" s="119">
        <f>DATABASE_Table[[#This Row],[Inicial Asking Price (€) (Total)]]-DATABASE_Table[[#This Row],[Vista membership]]-DATABASE_Table[[#This Row],[FF&amp;E]]</f>
        <v>750000</v>
      </c>
      <c r="T658" s="124">
        <v>750000</v>
      </c>
      <c r="U658" s="124">
        <v>750000</v>
      </c>
      <c r="V658" s="21"/>
      <c r="W658" s="21"/>
      <c r="X658" s="73">
        <f>DATABASE_Table[[#This Row],[Current Asking price( Total)]]-DATABASE_Table[[#This Row],[Vista membership]]-DATABASE_Table[[#This Row],[FF&amp;E]]</f>
        <v>750000</v>
      </c>
      <c r="Y658" s="126">
        <v>2.6666666666666599E-2</v>
      </c>
      <c r="Z658" s="124">
        <v>730000</v>
      </c>
      <c r="AA658" s="73">
        <f>DATABASE_Table[[#This Row],[Sell price (Total)]]-DATABASE_Table[[#This Row],[FF&amp;E]]-DATABASE_Table[[#This Row],[Vista membership]]</f>
        <v>730000</v>
      </c>
      <c r="AB658" s="74">
        <v>46114</v>
      </c>
      <c r="AC658" s="74" t="str">
        <f t="shared" si="10"/>
        <v>Q2 2026</v>
      </c>
      <c r="AD658" s="123"/>
      <c r="AE658" s="69"/>
      <c r="AF658" s="21" t="s">
        <v>10</v>
      </c>
      <c r="AG658" s="21" t="s">
        <v>801</v>
      </c>
      <c r="AH658" s="122" t="s">
        <v>32</v>
      </c>
      <c r="AI658" s="122" t="s">
        <v>802</v>
      </c>
      <c r="AJ658" s="122" t="s">
        <v>33</v>
      </c>
      <c r="AK658" s="122" t="s">
        <v>803</v>
      </c>
      <c r="AL658" s="21" t="s">
        <v>15</v>
      </c>
      <c r="AM658" s="122" t="s">
        <v>31</v>
      </c>
    </row>
    <row r="659" spans="1:39" customFormat="1" ht="15.75" customHeight="1" x14ac:dyDescent="0.3">
      <c r="A659" t="s">
        <v>31</v>
      </c>
      <c r="B659" s="21" t="s">
        <v>31</v>
      </c>
      <c r="C659" s="21" t="s">
        <v>688</v>
      </c>
      <c r="D659" s="117" t="s">
        <v>336</v>
      </c>
      <c r="E659" s="21" t="s">
        <v>9</v>
      </c>
      <c r="F659" s="21" t="s">
        <v>319</v>
      </c>
      <c r="G659" s="21"/>
      <c r="H659" s="21"/>
      <c r="I659" s="117" t="s">
        <v>325</v>
      </c>
      <c r="J659" s="117" t="s">
        <v>325</v>
      </c>
      <c r="K659" s="118"/>
      <c r="L659" s="21">
        <v>163</v>
      </c>
      <c r="M659" s="21"/>
      <c r="N659" s="21">
        <v>0</v>
      </c>
      <c r="O659" s="21"/>
      <c r="P659" s="21">
        <v>111</v>
      </c>
      <c r="Q659" s="21"/>
      <c r="R659" s="21" t="s">
        <v>329</v>
      </c>
      <c r="S659" s="119">
        <f>DATABASE_Table[[#This Row],[Inicial Asking Price (€) (Total)]]-DATABASE_Table[[#This Row],[Vista membership]]-DATABASE_Table[[#This Row],[FF&amp;E]]</f>
        <v>840000</v>
      </c>
      <c r="T659" s="124">
        <v>840000</v>
      </c>
      <c r="U659" s="124">
        <v>840000</v>
      </c>
      <c r="V659" s="21"/>
      <c r="W659" s="21"/>
      <c r="X659" s="73">
        <f>DATABASE_Table[[#This Row],[Current Asking price( Total)]]-DATABASE_Table[[#This Row],[Vista membership]]-DATABASE_Table[[#This Row],[FF&amp;E]]</f>
        <v>840000</v>
      </c>
      <c r="Y659" s="126"/>
      <c r="Z659" s="124">
        <v>820000</v>
      </c>
      <c r="AA659" s="73">
        <f>DATABASE_Table[[#This Row],[Sell price (Total)]]-DATABASE_Table[[#This Row],[FF&amp;E]]-DATABASE_Table[[#This Row],[Vista membership]]</f>
        <v>820000</v>
      </c>
      <c r="AB659" s="74">
        <v>46114</v>
      </c>
      <c r="AC659" s="74" t="str">
        <f t="shared" si="10"/>
        <v>Q2 2026</v>
      </c>
      <c r="AD659" s="123">
        <v>45630</v>
      </c>
      <c r="AE659" s="69"/>
      <c r="AF659" s="21" t="s">
        <v>10</v>
      </c>
      <c r="AG659" s="21" t="s">
        <v>801</v>
      </c>
      <c r="AH659" s="122" t="s">
        <v>32</v>
      </c>
      <c r="AI659" s="122" t="s">
        <v>802</v>
      </c>
      <c r="AJ659" s="122" t="s">
        <v>33</v>
      </c>
      <c r="AK659" s="122" t="s">
        <v>803</v>
      </c>
      <c r="AL659" s="21" t="s">
        <v>15</v>
      </c>
      <c r="AM659" s="122" t="s">
        <v>31</v>
      </c>
    </row>
    <row r="660" spans="1:39" customFormat="1" ht="15.75" customHeight="1" x14ac:dyDescent="0.3">
      <c r="A660" t="s">
        <v>31</v>
      </c>
      <c r="B660" s="21" t="s">
        <v>31</v>
      </c>
      <c r="C660" s="21" t="s">
        <v>688</v>
      </c>
      <c r="D660" s="117" t="s">
        <v>362</v>
      </c>
      <c r="E660" s="21" t="s">
        <v>9</v>
      </c>
      <c r="F660" s="21" t="s">
        <v>319</v>
      </c>
      <c r="G660" s="21"/>
      <c r="H660" s="21"/>
      <c r="I660" s="117" t="s">
        <v>325</v>
      </c>
      <c r="J660" s="117" t="s">
        <v>325</v>
      </c>
      <c r="K660" s="118"/>
      <c r="L660" s="21">
        <v>0</v>
      </c>
      <c r="M660" s="21"/>
      <c r="N660" s="21">
        <v>21</v>
      </c>
      <c r="O660" s="21"/>
      <c r="P660" s="21">
        <v>108</v>
      </c>
      <c r="Q660" s="21"/>
      <c r="R660" s="21" t="s">
        <v>329</v>
      </c>
      <c r="S660" s="119">
        <f>DATABASE_Table[[#This Row],[Inicial Asking Price (€) (Total)]]-DATABASE_Table[[#This Row],[Vista membership]]-DATABASE_Table[[#This Row],[FF&amp;E]]</f>
        <v>840000</v>
      </c>
      <c r="T660" s="124">
        <v>840000</v>
      </c>
      <c r="U660" s="124">
        <v>840000</v>
      </c>
      <c r="V660" s="21"/>
      <c r="W660" s="21"/>
      <c r="X660" s="73">
        <f>DATABASE_Table[[#This Row],[Current Asking price( Total)]]-DATABASE_Table[[#This Row],[Vista membership]]-DATABASE_Table[[#This Row],[FF&amp;E]]</f>
        <v>840000</v>
      </c>
      <c r="Y660" s="126"/>
      <c r="Z660" s="124">
        <v>820000</v>
      </c>
      <c r="AA660" s="73">
        <f>DATABASE_Table[[#This Row],[Sell price (Total)]]-DATABASE_Table[[#This Row],[FF&amp;E]]-DATABASE_Table[[#This Row],[Vista membership]]</f>
        <v>820000</v>
      </c>
      <c r="AB660" s="74">
        <v>46114</v>
      </c>
      <c r="AC660" s="74" t="str">
        <f t="shared" si="10"/>
        <v>Q2 2026</v>
      </c>
      <c r="AD660" s="123"/>
      <c r="AE660" s="69"/>
      <c r="AF660" s="21" t="s">
        <v>10</v>
      </c>
      <c r="AG660" s="21" t="s">
        <v>801</v>
      </c>
      <c r="AH660" s="122" t="s">
        <v>32</v>
      </c>
      <c r="AI660" s="122" t="s">
        <v>802</v>
      </c>
      <c r="AJ660" s="122" t="s">
        <v>33</v>
      </c>
      <c r="AK660" s="122" t="s">
        <v>803</v>
      </c>
      <c r="AL660" s="21" t="s">
        <v>15</v>
      </c>
      <c r="AM660" s="122" t="s">
        <v>31</v>
      </c>
    </row>
    <row r="661" spans="1:39" customFormat="1" ht="15.75" customHeight="1" x14ac:dyDescent="0.3">
      <c r="A661" t="s">
        <v>31</v>
      </c>
      <c r="B661" s="21" t="s">
        <v>31</v>
      </c>
      <c r="C661" s="21" t="s">
        <v>688</v>
      </c>
      <c r="D661" s="117" t="s">
        <v>368</v>
      </c>
      <c r="E661" s="21" t="s">
        <v>9</v>
      </c>
      <c r="F661" s="21" t="s">
        <v>319</v>
      </c>
      <c r="G661" s="21"/>
      <c r="H661" s="21"/>
      <c r="I661" s="117" t="s">
        <v>325</v>
      </c>
      <c r="J661" s="117" t="s">
        <v>325</v>
      </c>
      <c r="K661" s="118"/>
      <c r="L661" s="21">
        <v>0</v>
      </c>
      <c r="M661" s="21"/>
      <c r="N661" s="21">
        <v>21</v>
      </c>
      <c r="O661" s="21"/>
      <c r="P661" s="21">
        <v>108</v>
      </c>
      <c r="Q661" s="21"/>
      <c r="R661" s="21" t="s">
        <v>329</v>
      </c>
      <c r="S661" s="119">
        <f>DATABASE_Table[[#This Row],[Inicial Asking Price (€) (Total)]]-DATABASE_Table[[#This Row],[Vista membership]]-DATABASE_Table[[#This Row],[FF&amp;E]]</f>
        <v>860000</v>
      </c>
      <c r="T661" s="124">
        <v>860000</v>
      </c>
      <c r="U661" s="124">
        <v>860000</v>
      </c>
      <c r="V661" s="21"/>
      <c r="W661" s="21"/>
      <c r="X661" s="73">
        <f>DATABASE_Table[[#This Row],[Current Asking price( Total)]]-DATABASE_Table[[#This Row],[Vista membership]]-DATABASE_Table[[#This Row],[FF&amp;E]]</f>
        <v>860000</v>
      </c>
      <c r="Y661" s="126"/>
      <c r="Z661" s="124">
        <v>840000</v>
      </c>
      <c r="AA661" s="73">
        <f>DATABASE_Table[[#This Row],[Sell price (Total)]]-DATABASE_Table[[#This Row],[FF&amp;E]]-DATABASE_Table[[#This Row],[Vista membership]]</f>
        <v>840000</v>
      </c>
      <c r="AB661" s="74">
        <v>46114</v>
      </c>
      <c r="AC661" s="74" t="str">
        <f t="shared" si="10"/>
        <v>Q2 2026</v>
      </c>
      <c r="AD661" s="123"/>
      <c r="AE661" s="69"/>
      <c r="AF661" s="21" t="s">
        <v>10</v>
      </c>
      <c r="AG661" s="21" t="s">
        <v>801</v>
      </c>
      <c r="AH661" s="122" t="s">
        <v>32</v>
      </c>
      <c r="AI661" s="122" t="s">
        <v>802</v>
      </c>
      <c r="AJ661" s="122" t="s">
        <v>33</v>
      </c>
      <c r="AK661" s="122" t="s">
        <v>803</v>
      </c>
      <c r="AL661" s="21" t="s">
        <v>15</v>
      </c>
      <c r="AM661" s="122" t="s">
        <v>31</v>
      </c>
    </row>
    <row r="662" spans="1:39" customFormat="1" ht="15.75" customHeight="1" x14ac:dyDescent="0.3">
      <c r="A662" t="s">
        <v>31</v>
      </c>
      <c r="B662" s="21" t="s">
        <v>31</v>
      </c>
      <c r="C662" s="21" t="s">
        <v>688</v>
      </c>
      <c r="D662" s="117" t="s">
        <v>373</v>
      </c>
      <c r="E662" s="21" t="s">
        <v>9</v>
      </c>
      <c r="F662" s="21" t="s">
        <v>321</v>
      </c>
      <c r="G662" s="21"/>
      <c r="H662" s="21"/>
      <c r="I662" s="117" t="s">
        <v>325</v>
      </c>
      <c r="J662" s="117" t="s">
        <v>587</v>
      </c>
      <c r="K662" s="118"/>
      <c r="L662" s="21">
        <v>0</v>
      </c>
      <c r="M662" s="21"/>
      <c r="N662" s="21">
        <v>152</v>
      </c>
      <c r="O662" s="21"/>
      <c r="P662" s="21">
        <v>233</v>
      </c>
      <c r="Q662" s="21"/>
      <c r="R662" s="21" t="s">
        <v>329</v>
      </c>
      <c r="S662" s="119">
        <f>DATABASE_Table[[#This Row],[Inicial Asking Price (€) (Total)]]-DATABASE_Table[[#This Row],[Vista membership]]-DATABASE_Table[[#This Row],[FF&amp;E]]</f>
        <v>1760000</v>
      </c>
      <c r="T662" s="124">
        <v>1760000</v>
      </c>
      <c r="U662" s="124">
        <v>1760000</v>
      </c>
      <c r="V662" s="21"/>
      <c r="W662" s="21"/>
      <c r="X662" s="73">
        <f>DATABASE_Table[[#This Row],[Current Asking price( Total)]]-DATABASE_Table[[#This Row],[Vista membership]]-DATABASE_Table[[#This Row],[FF&amp;E]]</f>
        <v>1760000</v>
      </c>
      <c r="Y662" s="126"/>
      <c r="Z662" s="124">
        <v>1710000</v>
      </c>
      <c r="AA662" s="73">
        <f>DATABASE_Table[[#This Row],[Sell price (Total)]]-DATABASE_Table[[#This Row],[FF&amp;E]]-DATABASE_Table[[#This Row],[Vista membership]]</f>
        <v>1710000</v>
      </c>
      <c r="AB662" s="74">
        <v>46114</v>
      </c>
      <c r="AC662" s="74" t="str">
        <f t="shared" si="10"/>
        <v>Q2 2026</v>
      </c>
      <c r="AD662" s="123"/>
      <c r="AE662" s="69"/>
      <c r="AF662" s="21" t="s">
        <v>10</v>
      </c>
      <c r="AG662" s="21" t="s">
        <v>801</v>
      </c>
      <c r="AH662" s="122" t="s">
        <v>32</v>
      </c>
      <c r="AI662" s="122" t="s">
        <v>802</v>
      </c>
      <c r="AJ662" s="122" t="s">
        <v>33</v>
      </c>
      <c r="AK662" s="122" t="s">
        <v>803</v>
      </c>
      <c r="AL662" s="21" t="s">
        <v>15</v>
      </c>
      <c r="AM662" s="122" t="s">
        <v>31</v>
      </c>
    </row>
    <row r="663" spans="1:39" customFormat="1" ht="15.75" customHeight="1" x14ac:dyDescent="0.3">
      <c r="A663" t="s">
        <v>31</v>
      </c>
      <c r="B663" s="21" t="s">
        <v>31</v>
      </c>
      <c r="C663" s="21" t="s">
        <v>688</v>
      </c>
      <c r="D663" s="117" t="s">
        <v>374</v>
      </c>
      <c r="E663" s="21" t="s">
        <v>9</v>
      </c>
      <c r="F663" s="21" t="s">
        <v>321</v>
      </c>
      <c r="G663" s="21"/>
      <c r="H663" s="21"/>
      <c r="I663" s="117" t="s">
        <v>325</v>
      </c>
      <c r="J663" s="117" t="s">
        <v>587</v>
      </c>
      <c r="K663" s="118"/>
      <c r="L663" s="21">
        <v>0</v>
      </c>
      <c r="M663" s="21"/>
      <c r="N663" s="21">
        <v>155</v>
      </c>
      <c r="O663" s="21"/>
      <c r="P663" s="21">
        <v>233</v>
      </c>
      <c r="Q663" s="21"/>
      <c r="R663" s="21" t="s">
        <v>329</v>
      </c>
      <c r="S663" s="119">
        <f>DATABASE_Table[[#This Row],[Inicial Asking Price (€) (Total)]]-DATABASE_Table[[#This Row],[Vista membership]]-DATABASE_Table[[#This Row],[FF&amp;E]]</f>
        <v>1870000</v>
      </c>
      <c r="T663" s="124">
        <v>1870000</v>
      </c>
      <c r="U663" s="124">
        <v>1870000</v>
      </c>
      <c r="V663" s="21"/>
      <c r="W663" s="21"/>
      <c r="X663" s="73">
        <f>DATABASE_Table[[#This Row],[Current Asking price( Total)]]-DATABASE_Table[[#This Row],[Vista membership]]-DATABASE_Table[[#This Row],[FF&amp;E]]</f>
        <v>1870000</v>
      </c>
      <c r="Y663" s="126"/>
      <c r="Z663" s="124">
        <v>1820000</v>
      </c>
      <c r="AA663" s="73">
        <f>DATABASE_Table[[#This Row],[Sell price (Total)]]-DATABASE_Table[[#This Row],[FF&amp;E]]-DATABASE_Table[[#This Row],[Vista membership]]</f>
        <v>1820000</v>
      </c>
      <c r="AB663" s="74">
        <v>46114</v>
      </c>
      <c r="AC663" s="74" t="str">
        <f t="shared" si="10"/>
        <v>Q2 2026</v>
      </c>
      <c r="AD663" s="123"/>
      <c r="AE663" s="69"/>
      <c r="AF663" s="21" t="s">
        <v>10</v>
      </c>
      <c r="AG663" s="21" t="s">
        <v>801</v>
      </c>
      <c r="AH663" s="122" t="s">
        <v>32</v>
      </c>
      <c r="AI663" s="122" t="s">
        <v>802</v>
      </c>
      <c r="AJ663" s="122" t="s">
        <v>33</v>
      </c>
      <c r="AK663" s="122" t="s">
        <v>803</v>
      </c>
      <c r="AL663" s="21" t="s">
        <v>15</v>
      </c>
      <c r="AM663" s="122" t="s">
        <v>31</v>
      </c>
    </row>
    <row r="664" spans="1:39" customFormat="1" ht="15.75" customHeight="1" x14ac:dyDescent="0.3">
      <c r="A664" t="s">
        <v>31</v>
      </c>
      <c r="B664" s="21" t="s">
        <v>31</v>
      </c>
      <c r="C664" s="21" t="s">
        <v>688</v>
      </c>
      <c r="D664" s="117" t="s">
        <v>337</v>
      </c>
      <c r="E664" s="21" t="s">
        <v>9</v>
      </c>
      <c r="F664" s="21" t="s">
        <v>320</v>
      </c>
      <c r="G664" s="21"/>
      <c r="H664" s="21"/>
      <c r="I664" s="117" t="s">
        <v>325</v>
      </c>
      <c r="J664" s="117" t="s">
        <v>325</v>
      </c>
      <c r="K664" s="118"/>
      <c r="L664" s="21">
        <v>99</v>
      </c>
      <c r="M664" s="21"/>
      <c r="N664" s="21">
        <v>0</v>
      </c>
      <c r="O664" s="21"/>
      <c r="P664" s="21">
        <v>139</v>
      </c>
      <c r="Q664" s="21"/>
      <c r="R664" s="21" t="s">
        <v>329</v>
      </c>
      <c r="S664" s="119">
        <f>DATABASE_Table[[#This Row],[Inicial Asking Price (€) (Total)]]-DATABASE_Table[[#This Row],[Vista membership]]-DATABASE_Table[[#This Row],[FF&amp;E]]</f>
        <v>950000</v>
      </c>
      <c r="T664" s="124">
        <v>950000</v>
      </c>
      <c r="U664" s="124">
        <v>950000</v>
      </c>
      <c r="V664" s="21"/>
      <c r="W664" s="21"/>
      <c r="X664" s="73">
        <f>DATABASE_Table[[#This Row],[Current Asking price( Total)]]-DATABASE_Table[[#This Row],[Vista membership]]-DATABASE_Table[[#This Row],[FF&amp;E]]</f>
        <v>950000</v>
      </c>
      <c r="Y664" s="126"/>
      <c r="Z664" s="124">
        <v>940000</v>
      </c>
      <c r="AA664" s="73">
        <f>DATABASE_Table[[#This Row],[Sell price (Total)]]-DATABASE_Table[[#This Row],[FF&amp;E]]-DATABASE_Table[[#This Row],[Vista membership]]</f>
        <v>940000</v>
      </c>
      <c r="AB664" s="74">
        <v>46114</v>
      </c>
      <c r="AC664" s="74" t="str">
        <f t="shared" si="10"/>
        <v>Q2 2026</v>
      </c>
      <c r="AD664" s="123"/>
      <c r="AE664" s="69"/>
      <c r="AF664" s="21" t="s">
        <v>10</v>
      </c>
      <c r="AG664" s="21" t="s">
        <v>801</v>
      </c>
      <c r="AH664" s="122" t="s">
        <v>32</v>
      </c>
      <c r="AI664" s="122" t="s">
        <v>802</v>
      </c>
      <c r="AJ664" s="122" t="s">
        <v>33</v>
      </c>
      <c r="AK664" s="122" t="s">
        <v>803</v>
      </c>
      <c r="AL664" s="21" t="s">
        <v>15</v>
      </c>
      <c r="AM664" s="122" t="s">
        <v>31</v>
      </c>
    </row>
    <row r="665" spans="1:39" customFormat="1" ht="15.75" customHeight="1" x14ac:dyDescent="0.3">
      <c r="A665" t="s">
        <v>31</v>
      </c>
      <c r="B665" s="21" t="s">
        <v>31</v>
      </c>
      <c r="C665" s="21" t="s">
        <v>688</v>
      </c>
      <c r="D665" s="117" t="s">
        <v>338</v>
      </c>
      <c r="E665" s="21" t="s">
        <v>9</v>
      </c>
      <c r="F665" s="21" t="s">
        <v>319</v>
      </c>
      <c r="G665" s="21"/>
      <c r="H665" s="21"/>
      <c r="I665" s="117" t="s">
        <v>325</v>
      </c>
      <c r="J665" s="117" t="s">
        <v>325</v>
      </c>
      <c r="K665" s="118"/>
      <c r="L665" s="21">
        <v>73</v>
      </c>
      <c r="M665" s="21"/>
      <c r="N665" s="21">
        <v>0</v>
      </c>
      <c r="O665" s="21"/>
      <c r="P665" s="21">
        <v>106</v>
      </c>
      <c r="Q665" s="21"/>
      <c r="R665" s="21" t="s">
        <v>329</v>
      </c>
      <c r="S665" s="119">
        <f>DATABASE_Table[[#This Row],[Inicial Asking Price (€) (Total)]]-DATABASE_Table[[#This Row],[Vista membership]]-DATABASE_Table[[#This Row],[FF&amp;E]]</f>
        <v>790000</v>
      </c>
      <c r="T665" s="124">
        <v>790000</v>
      </c>
      <c r="U665" s="124">
        <v>790000</v>
      </c>
      <c r="V665" s="21"/>
      <c r="W665" s="21"/>
      <c r="X665" s="73">
        <f>DATABASE_Table[[#This Row],[Current Asking price( Total)]]-DATABASE_Table[[#This Row],[Vista membership]]-DATABASE_Table[[#This Row],[FF&amp;E]]</f>
        <v>790000</v>
      </c>
      <c r="Y665" s="126"/>
      <c r="Z665" s="124">
        <v>780000</v>
      </c>
      <c r="AA665" s="73">
        <f>DATABASE_Table[[#This Row],[Sell price (Total)]]-DATABASE_Table[[#This Row],[FF&amp;E]]-DATABASE_Table[[#This Row],[Vista membership]]</f>
        <v>780000</v>
      </c>
      <c r="AB665" s="74">
        <v>46114</v>
      </c>
      <c r="AC665" s="74" t="str">
        <f t="shared" si="10"/>
        <v>Q2 2026</v>
      </c>
      <c r="AD665" s="123"/>
      <c r="AE665" s="69"/>
      <c r="AF665" s="21" t="s">
        <v>10</v>
      </c>
      <c r="AG665" s="21" t="s">
        <v>801</v>
      </c>
      <c r="AH665" s="122" t="s">
        <v>32</v>
      </c>
      <c r="AI665" s="122" t="s">
        <v>802</v>
      </c>
      <c r="AJ665" s="122" t="s">
        <v>33</v>
      </c>
      <c r="AK665" s="122" t="s">
        <v>803</v>
      </c>
      <c r="AL665" s="21" t="s">
        <v>15</v>
      </c>
      <c r="AM665" s="122" t="s">
        <v>31</v>
      </c>
    </row>
    <row r="666" spans="1:39" customFormat="1" ht="15.75" customHeight="1" x14ac:dyDescent="0.3">
      <c r="A666" t="s">
        <v>31</v>
      </c>
      <c r="B666" s="21" t="s">
        <v>31</v>
      </c>
      <c r="C666" s="21" t="s">
        <v>688</v>
      </c>
      <c r="D666" s="117" t="s">
        <v>342</v>
      </c>
      <c r="E666" s="21" t="s">
        <v>9</v>
      </c>
      <c r="F666" s="21" t="s">
        <v>319</v>
      </c>
      <c r="G666" s="21"/>
      <c r="H666" s="21"/>
      <c r="I666" s="117" t="s">
        <v>325</v>
      </c>
      <c r="J666" s="117" t="s">
        <v>325</v>
      </c>
      <c r="K666" s="118"/>
      <c r="L666" s="21">
        <v>150</v>
      </c>
      <c r="M666" s="21"/>
      <c r="N666" s="21">
        <v>0</v>
      </c>
      <c r="O666" s="21"/>
      <c r="P666" s="21">
        <v>111</v>
      </c>
      <c r="Q666" s="21"/>
      <c r="R666" s="21" t="s">
        <v>329</v>
      </c>
      <c r="S666" s="119">
        <f>DATABASE_Table[[#This Row],[Inicial Asking Price (€) (Total)]]-DATABASE_Table[[#This Row],[Vista membership]]-DATABASE_Table[[#This Row],[FF&amp;E]]</f>
        <v>890000</v>
      </c>
      <c r="T666" s="124">
        <v>890000</v>
      </c>
      <c r="U666" s="124">
        <v>890000</v>
      </c>
      <c r="V666" s="21"/>
      <c r="W666" s="21"/>
      <c r="X666" s="73">
        <f>DATABASE_Table[[#This Row],[Current Asking price( Total)]]-DATABASE_Table[[#This Row],[Vista membership]]-DATABASE_Table[[#This Row],[FF&amp;E]]</f>
        <v>890000</v>
      </c>
      <c r="Y666" s="126"/>
      <c r="Z666" s="124">
        <v>870000</v>
      </c>
      <c r="AA666" s="73">
        <f>DATABASE_Table[[#This Row],[Sell price (Total)]]-DATABASE_Table[[#This Row],[FF&amp;E]]-DATABASE_Table[[#This Row],[Vista membership]]</f>
        <v>870000</v>
      </c>
      <c r="AB666" s="74">
        <v>46114</v>
      </c>
      <c r="AC666" s="74" t="str">
        <f t="shared" si="10"/>
        <v>Q2 2026</v>
      </c>
      <c r="AD666" s="123"/>
      <c r="AE666" s="69"/>
      <c r="AF666" s="21" t="s">
        <v>10</v>
      </c>
      <c r="AG666" s="21" t="s">
        <v>801</v>
      </c>
      <c r="AH666" s="122" t="s">
        <v>32</v>
      </c>
      <c r="AI666" s="122" t="s">
        <v>802</v>
      </c>
      <c r="AJ666" s="122" t="s">
        <v>33</v>
      </c>
      <c r="AK666" s="122" t="s">
        <v>803</v>
      </c>
      <c r="AL666" s="21" t="s">
        <v>15</v>
      </c>
      <c r="AM666" s="122" t="s">
        <v>31</v>
      </c>
    </row>
    <row r="667" spans="1:39" customFormat="1" ht="15.75" customHeight="1" x14ac:dyDescent="0.3">
      <c r="A667" t="s">
        <v>31</v>
      </c>
      <c r="B667" s="21" t="s">
        <v>31</v>
      </c>
      <c r="C667" s="21" t="s">
        <v>688</v>
      </c>
      <c r="D667" s="117" t="s">
        <v>343</v>
      </c>
      <c r="E667" s="21" t="s">
        <v>9</v>
      </c>
      <c r="F667" s="21" t="s">
        <v>319</v>
      </c>
      <c r="G667" s="21"/>
      <c r="H667" s="21"/>
      <c r="I667" s="117" t="s">
        <v>325</v>
      </c>
      <c r="J667" s="117" t="s">
        <v>325</v>
      </c>
      <c r="K667" s="118"/>
      <c r="L667" s="21">
        <v>181</v>
      </c>
      <c r="M667" s="21"/>
      <c r="N667" s="21">
        <v>0</v>
      </c>
      <c r="O667" s="21"/>
      <c r="P667" s="21">
        <v>111</v>
      </c>
      <c r="Q667" s="21"/>
      <c r="R667" s="21" t="s">
        <v>329</v>
      </c>
      <c r="S667" s="119">
        <f>DATABASE_Table[[#This Row],[Inicial Asking Price (€) (Total)]]-DATABASE_Table[[#This Row],[Vista membership]]-DATABASE_Table[[#This Row],[FF&amp;E]]</f>
        <v>860000</v>
      </c>
      <c r="T667" s="124">
        <v>860000</v>
      </c>
      <c r="U667" s="124">
        <v>860000</v>
      </c>
      <c r="V667" s="21"/>
      <c r="W667" s="21"/>
      <c r="X667" s="73">
        <f>DATABASE_Table[[#This Row],[Current Asking price( Total)]]-DATABASE_Table[[#This Row],[Vista membership]]-DATABASE_Table[[#This Row],[FF&amp;E]]</f>
        <v>860000</v>
      </c>
      <c r="Y667" s="126"/>
      <c r="Z667" s="124">
        <v>840000</v>
      </c>
      <c r="AA667" s="73">
        <f>DATABASE_Table[[#This Row],[Sell price (Total)]]-DATABASE_Table[[#This Row],[FF&amp;E]]-DATABASE_Table[[#This Row],[Vista membership]]</f>
        <v>840000</v>
      </c>
      <c r="AB667" s="74">
        <v>46114</v>
      </c>
      <c r="AC667" s="74" t="str">
        <f t="shared" si="10"/>
        <v>Q2 2026</v>
      </c>
      <c r="AD667" s="123"/>
      <c r="AE667" s="69"/>
      <c r="AF667" s="21" t="s">
        <v>10</v>
      </c>
      <c r="AG667" s="21" t="s">
        <v>801</v>
      </c>
      <c r="AH667" s="122" t="s">
        <v>32</v>
      </c>
      <c r="AI667" s="122" t="s">
        <v>802</v>
      </c>
      <c r="AJ667" s="122" t="s">
        <v>33</v>
      </c>
      <c r="AK667" s="122" t="s">
        <v>803</v>
      </c>
      <c r="AL667" s="21" t="s">
        <v>15</v>
      </c>
      <c r="AM667" s="122" t="s">
        <v>31</v>
      </c>
    </row>
    <row r="668" spans="1:39" customFormat="1" ht="15.75" customHeight="1" x14ac:dyDescent="0.3">
      <c r="A668" t="s">
        <v>31</v>
      </c>
      <c r="B668" s="21" t="s">
        <v>31</v>
      </c>
      <c r="C668" s="21" t="s">
        <v>688</v>
      </c>
      <c r="D668" s="117" t="s">
        <v>344</v>
      </c>
      <c r="E668" s="21" t="s">
        <v>9</v>
      </c>
      <c r="F668" s="21" t="s">
        <v>320</v>
      </c>
      <c r="G668" s="21"/>
      <c r="H668" s="21"/>
      <c r="I668" s="117" t="s">
        <v>325</v>
      </c>
      <c r="J668" s="117" t="s">
        <v>325</v>
      </c>
      <c r="K668" s="118"/>
      <c r="L668" s="21">
        <v>95</v>
      </c>
      <c r="M668" s="21"/>
      <c r="N668" s="21">
        <v>0</v>
      </c>
      <c r="O668" s="21"/>
      <c r="P668" s="21">
        <v>139</v>
      </c>
      <c r="Q668" s="21"/>
      <c r="R668" s="21" t="s">
        <v>329</v>
      </c>
      <c r="S668" s="119">
        <f>DATABASE_Table[[#This Row],[Inicial Asking Price (€) (Total)]]-DATABASE_Table[[#This Row],[Vista membership]]-DATABASE_Table[[#This Row],[FF&amp;E]]</f>
        <v>960000</v>
      </c>
      <c r="T668" s="124">
        <v>960000</v>
      </c>
      <c r="U668" s="124">
        <v>960000</v>
      </c>
      <c r="V668" s="21"/>
      <c r="W668" s="21"/>
      <c r="X668" s="73">
        <f>DATABASE_Table[[#This Row],[Current Asking price( Total)]]-DATABASE_Table[[#This Row],[Vista membership]]-DATABASE_Table[[#This Row],[FF&amp;E]]</f>
        <v>960000</v>
      </c>
      <c r="Y668" s="126"/>
      <c r="Z668" s="124">
        <v>940000</v>
      </c>
      <c r="AA668" s="73">
        <f>DATABASE_Table[[#This Row],[Sell price (Total)]]-DATABASE_Table[[#This Row],[FF&amp;E]]-DATABASE_Table[[#This Row],[Vista membership]]</f>
        <v>940000</v>
      </c>
      <c r="AB668" s="74">
        <v>46114</v>
      </c>
      <c r="AC668" s="74" t="str">
        <f t="shared" si="10"/>
        <v>Q2 2026</v>
      </c>
      <c r="AD668" s="123"/>
      <c r="AE668" s="69"/>
      <c r="AF668" s="21" t="s">
        <v>10</v>
      </c>
      <c r="AG668" s="21" t="s">
        <v>801</v>
      </c>
      <c r="AH668" s="122" t="s">
        <v>32</v>
      </c>
      <c r="AI668" s="122" t="s">
        <v>802</v>
      </c>
      <c r="AJ668" s="122" t="s">
        <v>33</v>
      </c>
      <c r="AK668" s="122" t="s">
        <v>803</v>
      </c>
      <c r="AL668" s="21" t="s">
        <v>15</v>
      </c>
      <c r="AM668" s="122" t="s">
        <v>31</v>
      </c>
    </row>
    <row r="669" spans="1:39" customFormat="1" ht="15.75" customHeight="1" x14ac:dyDescent="0.3">
      <c r="A669" t="s">
        <v>31</v>
      </c>
      <c r="B669" s="21" t="s">
        <v>31</v>
      </c>
      <c r="C669" s="21" t="s">
        <v>688</v>
      </c>
      <c r="D669" s="117" t="s">
        <v>345</v>
      </c>
      <c r="E669" s="21" t="s">
        <v>9</v>
      </c>
      <c r="F669" s="21" t="s">
        <v>319</v>
      </c>
      <c r="G669" s="21"/>
      <c r="H669" s="21"/>
      <c r="I669" s="117" t="s">
        <v>325</v>
      </c>
      <c r="J669" s="117" t="s">
        <v>325</v>
      </c>
      <c r="K669" s="118"/>
      <c r="L669" s="21">
        <v>82</v>
      </c>
      <c r="M669" s="21"/>
      <c r="N669" s="21">
        <v>0</v>
      </c>
      <c r="O669" s="21"/>
      <c r="P669" s="21">
        <v>106</v>
      </c>
      <c r="Q669" s="21"/>
      <c r="R669" s="21" t="s">
        <v>329</v>
      </c>
      <c r="S669" s="119">
        <f>DATABASE_Table[[#This Row],[Inicial Asking Price (€) (Total)]]-DATABASE_Table[[#This Row],[Vista membership]]-DATABASE_Table[[#This Row],[FF&amp;E]]</f>
        <v>820000</v>
      </c>
      <c r="T669" s="124">
        <v>820000</v>
      </c>
      <c r="U669" s="124">
        <v>820000</v>
      </c>
      <c r="V669" s="21"/>
      <c r="W669" s="21"/>
      <c r="X669" s="73">
        <f>DATABASE_Table[[#This Row],[Current Asking price( Total)]]-DATABASE_Table[[#This Row],[Vista membership]]-DATABASE_Table[[#This Row],[FF&amp;E]]</f>
        <v>820000</v>
      </c>
      <c r="Y669" s="126"/>
      <c r="Z669" s="124">
        <v>800000</v>
      </c>
      <c r="AA669" s="73">
        <f>DATABASE_Table[[#This Row],[Sell price (Total)]]-DATABASE_Table[[#This Row],[FF&amp;E]]-DATABASE_Table[[#This Row],[Vista membership]]</f>
        <v>800000</v>
      </c>
      <c r="AB669" s="74">
        <v>46114</v>
      </c>
      <c r="AC669" s="74" t="str">
        <f t="shared" si="10"/>
        <v>Q2 2026</v>
      </c>
      <c r="AD669" s="123"/>
      <c r="AE669" s="69"/>
      <c r="AF669" s="21" t="s">
        <v>10</v>
      </c>
      <c r="AG669" s="21" t="s">
        <v>801</v>
      </c>
      <c r="AH669" s="122" t="s">
        <v>32</v>
      </c>
      <c r="AI669" s="122" t="s">
        <v>802</v>
      </c>
      <c r="AJ669" s="122" t="s">
        <v>33</v>
      </c>
      <c r="AK669" s="122" t="s">
        <v>803</v>
      </c>
      <c r="AL669" s="21" t="s">
        <v>15</v>
      </c>
      <c r="AM669" s="122" t="s">
        <v>31</v>
      </c>
    </row>
    <row r="670" spans="1:39" customFormat="1" ht="15.75" customHeight="1" x14ac:dyDescent="0.3">
      <c r="A670" t="s">
        <v>31</v>
      </c>
      <c r="B670" s="21" t="s">
        <v>31</v>
      </c>
      <c r="C670" s="21" t="s">
        <v>688</v>
      </c>
      <c r="D670" s="117" t="s">
        <v>348</v>
      </c>
      <c r="E670" s="21" t="s">
        <v>9</v>
      </c>
      <c r="F670" s="21" t="s">
        <v>319</v>
      </c>
      <c r="G670" s="21"/>
      <c r="H670" s="21"/>
      <c r="I670" s="117" t="s">
        <v>325</v>
      </c>
      <c r="J670" s="117" t="s">
        <v>325</v>
      </c>
      <c r="K670" s="118"/>
      <c r="L670" s="21">
        <v>67</v>
      </c>
      <c r="M670" s="21"/>
      <c r="N670" s="21">
        <v>0</v>
      </c>
      <c r="O670" s="21"/>
      <c r="P670" s="21">
        <v>105</v>
      </c>
      <c r="Q670" s="21"/>
      <c r="R670" s="21" t="s">
        <v>329</v>
      </c>
      <c r="S670" s="119">
        <f>DATABASE_Table[[#This Row],[Inicial Asking Price (€) (Total)]]-DATABASE_Table[[#This Row],[Vista membership]]-DATABASE_Table[[#This Row],[FF&amp;E]]</f>
        <v>800000</v>
      </c>
      <c r="T670" s="124">
        <v>800000</v>
      </c>
      <c r="U670" s="124">
        <v>800000</v>
      </c>
      <c r="V670" s="21"/>
      <c r="W670" s="21"/>
      <c r="X670" s="73">
        <f>DATABASE_Table[[#This Row],[Current Asking price( Total)]]-DATABASE_Table[[#This Row],[Vista membership]]-DATABASE_Table[[#This Row],[FF&amp;E]]</f>
        <v>800000</v>
      </c>
      <c r="Y670" s="126"/>
      <c r="Z670" s="124">
        <v>780000</v>
      </c>
      <c r="AA670" s="73">
        <f>DATABASE_Table[[#This Row],[Sell price (Total)]]-DATABASE_Table[[#This Row],[FF&amp;E]]-DATABASE_Table[[#This Row],[Vista membership]]</f>
        <v>780000</v>
      </c>
      <c r="AB670" s="74">
        <v>46114</v>
      </c>
      <c r="AC670" s="74" t="str">
        <f t="shared" si="10"/>
        <v>Q2 2026</v>
      </c>
      <c r="AD670" s="123"/>
      <c r="AE670" s="69"/>
      <c r="AF670" s="21" t="s">
        <v>10</v>
      </c>
      <c r="AG670" s="21" t="s">
        <v>801</v>
      </c>
      <c r="AH670" s="122" t="s">
        <v>32</v>
      </c>
      <c r="AI670" s="122" t="s">
        <v>802</v>
      </c>
      <c r="AJ670" s="122" t="s">
        <v>33</v>
      </c>
      <c r="AK670" s="122" t="s">
        <v>803</v>
      </c>
      <c r="AL670" s="21" t="s">
        <v>15</v>
      </c>
      <c r="AM670" s="122" t="s">
        <v>31</v>
      </c>
    </row>
    <row r="671" spans="1:39" customFormat="1" ht="15.75" customHeight="1" x14ac:dyDescent="0.3">
      <c r="A671" t="s">
        <v>31</v>
      </c>
      <c r="B671" s="21" t="s">
        <v>31</v>
      </c>
      <c r="C671" s="21" t="s">
        <v>688</v>
      </c>
      <c r="D671" s="117" t="s">
        <v>349</v>
      </c>
      <c r="E671" s="21" t="s">
        <v>9</v>
      </c>
      <c r="F671" s="21" t="s">
        <v>319</v>
      </c>
      <c r="G671" s="21"/>
      <c r="H671" s="21"/>
      <c r="I671" s="117" t="s">
        <v>325</v>
      </c>
      <c r="J671" s="117" t="s">
        <v>325</v>
      </c>
      <c r="K671" s="118"/>
      <c r="L671" s="21">
        <v>124</v>
      </c>
      <c r="M671" s="21"/>
      <c r="N671" s="21">
        <v>0</v>
      </c>
      <c r="O671" s="21"/>
      <c r="P671" s="21">
        <v>111</v>
      </c>
      <c r="Q671" s="21"/>
      <c r="R671" s="21" t="s">
        <v>329</v>
      </c>
      <c r="S671" s="119">
        <f>DATABASE_Table[[#This Row],[Inicial Asking Price (€) (Total)]]-DATABASE_Table[[#This Row],[Vista membership]]-DATABASE_Table[[#This Row],[FF&amp;E]]</f>
        <v>930000</v>
      </c>
      <c r="T671" s="124">
        <v>930000</v>
      </c>
      <c r="U671" s="124">
        <v>930000</v>
      </c>
      <c r="V671" s="21"/>
      <c r="W671" s="21"/>
      <c r="X671" s="73">
        <f>DATABASE_Table[[#This Row],[Current Asking price( Total)]]-DATABASE_Table[[#This Row],[Vista membership]]-DATABASE_Table[[#This Row],[FF&amp;E]]</f>
        <v>930000</v>
      </c>
      <c r="Y671" s="126"/>
      <c r="Z671" s="124">
        <v>910000</v>
      </c>
      <c r="AA671" s="73">
        <f>DATABASE_Table[[#This Row],[Sell price (Total)]]-DATABASE_Table[[#This Row],[FF&amp;E]]-DATABASE_Table[[#This Row],[Vista membership]]</f>
        <v>910000</v>
      </c>
      <c r="AB671" s="74">
        <v>46114</v>
      </c>
      <c r="AC671" s="74" t="str">
        <f t="shared" si="10"/>
        <v>Q2 2026</v>
      </c>
      <c r="AD671" s="123"/>
      <c r="AE671" s="69"/>
      <c r="AF671" s="21" t="s">
        <v>10</v>
      </c>
      <c r="AG671" s="21" t="s">
        <v>801</v>
      </c>
      <c r="AH671" s="122" t="s">
        <v>32</v>
      </c>
      <c r="AI671" s="122" t="s">
        <v>802</v>
      </c>
      <c r="AJ671" s="122" t="s">
        <v>33</v>
      </c>
      <c r="AK671" s="122" t="s">
        <v>803</v>
      </c>
      <c r="AL671" s="21" t="s">
        <v>15</v>
      </c>
      <c r="AM671" s="122" t="s">
        <v>31</v>
      </c>
    </row>
    <row r="672" spans="1:39" customFormat="1" ht="15.75" customHeight="1" x14ac:dyDescent="0.3">
      <c r="A672" t="s">
        <v>31</v>
      </c>
      <c r="B672" s="21" t="s">
        <v>31</v>
      </c>
      <c r="C672" s="21" t="s">
        <v>688</v>
      </c>
      <c r="D672" s="117" t="s">
        <v>350</v>
      </c>
      <c r="E672" s="21" t="s">
        <v>9</v>
      </c>
      <c r="F672" s="21" t="s">
        <v>319</v>
      </c>
      <c r="G672" s="21"/>
      <c r="H672" s="21"/>
      <c r="I672" s="117" t="s">
        <v>325</v>
      </c>
      <c r="J672" s="117" t="s">
        <v>325</v>
      </c>
      <c r="K672" s="118"/>
      <c r="L672" s="21">
        <v>0</v>
      </c>
      <c r="M672" s="21"/>
      <c r="N672" s="21">
        <v>19</v>
      </c>
      <c r="O672" s="21"/>
      <c r="P672" s="21">
        <v>108</v>
      </c>
      <c r="Q672" s="21"/>
      <c r="R672" s="21" t="s">
        <v>329</v>
      </c>
      <c r="S672" s="119">
        <f>DATABASE_Table[[#This Row],[Inicial Asking Price (€) (Total)]]-DATABASE_Table[[#This Row],[Vista membership]]-DATABASE_Table[[#This Row],[FF&amp;E]]</f>
        <v>760000</v>
      </c>
      <c r="T672" s="124">
        <v>760000</v>
      </c>
      <c r="U672" s="124">
        <v>760000</v>
      </c>
      <c r="V672" s="21"/>
      <c r="W672" s="21"/>
      <c r="X672" s="73">
        <f>DATABASE_Table[[#This Row],[Current Asking price( Total)]]-DATABASE_Table[[#This Row],[Vista membership]]-DATABASE_Table[[#This Row],[FF&amp;E]]</f>
        <v>760000</v>
      </c>
      <c r="Y672" s="126"/>
      <c r="Z672" s="124">
        <v>750000</v>
      </c>
      <c r="AA672" s="73">
        <f>DATABASE_Table[[#This Row],[Sell price (Total)]]-DATABASE_Table[[#This Row],[FF&amp;E]]-DATABASE_Table[[#This Row],[Vista membership]]</f>
        <v>750000</v>
      </c>
      <c r="AB672" s="74">
        <v>46114</v>
      </c>
      <c r="AC672" s="74" t="str">
        <f t="shared" si="10"/>
        <v>Q2 2026</v>
      </c>
      <c r="AD672" s="123"/>
      <c r="AE672" s="69"/>
      <c r="AF672" s="21" t="s">
        <v>10</v>
      </c>
      <c r="AG672" s="21" t="s">
        <v>801</v>
      </c>
      <c r="AH672" s="122" t="s">
        <v>32</v>
      </c>
      <c r="AI672" s="122" t="s">
        <v>802</v>
      </c>
      <c r="AJ672" s="122" t="s">
        <v>33</v>
      </c>
      <c r="AK672" s="122" t="s">
        <v>803</v>
      </c>
      <c r="AL672" s="21" t="s">
        <v>15</v>
      </c>
      <c r="AM672" s="122" t="s">
        <v>31</v>
      </c>
    </row>
    <row r="673" spans="1:39" customFormat="1" ht="15.75" customHeight="1" x14ac:dyDescent="0.3">
      <c r="A673" t="s">
        <v>31</v>
      </c>
      <c r="B673" s="21" t="s">
        <v>31</v>
      </c>
      <c r="C673" s="21" t="s">
        <v>688</v>
      </c>
      <c r="D673" s="117" t="s">
        <v>356</v>
      </c>
      <c r="E673" s="21" t="s">
        <v>9</v>
      </c>
      <c r="F673" s="21" t="s">
        <v>319</v>
      </c>
      <c r="G673" s="21"/>
      <c r="H673" s="21"/>
      <c r="I673" s="117" t="s">
        <v>325</v>
      </c>
      <c r="J673" s="117" t="s">
        <v>325</v>
      </c>
      <c r="K673" s="118"/>
      <c r="L673" s="21">
        <v>0</v>
      </c>
      <c r="M673" s="21"/>
      <c r="N673" s="21">
        <v>21</v>
      </c>
      <c r="O673" s="21"/>
      <c r="P673" s="21">
        <v>108</v>
      </c>
      <c r="Q673" s="21"/>
      <c r="R673" s="21" t="s">
        <v>329</v>
      </c>
      <c r="S673" s="119">
        <f>DATABASE_Table[[#This Row],[Inicial Asking Price (€) (Total)]]-DATABASE_Table[[#This Row],[Vista membership]]-DATABASE_Table[[#This Row],[FF&amp;E]]</f>
        <v>790000</v>
      </c>
      <c r="T673" s="124">
        <v>790000</v>
      </c>
      <c r="U673" s="124">
        <v>790000</v>
      </c>
      <c r="V673" s="21"/>
      <c r="W673" s="21"/>
      <c r="X673" s="73">
        <f>DATABASE_Table[[#This Row],[Current Asking price( Total)]]-DATABASE_Table[[#This Row],[Vista membership]]-DATABASE_Table[[#This Row],[FF&amp;E]]</f>
        <v>790000</v>
      </c>
      <c r="Y673" s="126"/>
      <c r="Z673" s="124">
        <v>780000</v>
      </c>
      <c r="AA673" s="73">
        <f>DATABASE_Table[[#This Row],[Sell price (Total)]]-DATABASE_Table[[#This Row],[FF&amp;E]]-DATABASE_Table[[#This Row],[Vista membership]]</f>
        <v>780000</v>
      </c>
      <c r="AB673" s="74">
        <v>46114</v>
      </c>
      <c r="AC673" s="74" t="str">
        <f t="shared" si="10"/>
        <v>Q2 2026</v>
      </c>
      <c r="AD673" s="123"/>
      <c r="AE673" s="69"/>
      <c r="AF673" s="21" t="s">
        <v>10</v>
      </c>
      <c r="AG673" s="21" t="s">
        <v>801</v>
      </c>
      <c r="AH673" s="122" t="s">
        <v>32</v>
      </c>
      <c r="AI673" s="122" t="s">
        <v>802</v>
      </c>
      <c r="AJ673" s="122" t="s">
        <v>33</v>
      </c>
      <c r="AK673" s="122" t="s">
        <v>803</v>
      </c>
      <c r="AL673" s="21" t="s">
        <v>15</v>
      </c>
      <c r="AM673" s="122" t="s">
        <v>31</v>
      </c>
    </row>
    <row r="674" spans="1:39" customFormat="1" ht="15.75" customHeight="1" x14ac:dyDescent="0.3">
      <c r="A674" t="s">
        <v>31</v>
      </c>
      <c r="B674" s="21" t="s">
        <v>31</v>
      </c>
      <c r="C674" s="21" t="s">
        <v>688</v>
      </c>
      <c r="D674" s="117" t="s">
        <v>360</v>
      </c>
      <c r="E674" s="21" t="s">
        <v>9</v>
      </c>
      <c r="F674" s="21" t="s">
        <v>319</v>
      </c>
      <c r="G674" s="21"/>
      <c r="H674" s="21"/>
      <c r="I674" s="117" t="s">
        <v>325</v>
      </c>
      <c r="J674" s="117" t="s">
        <v>325</v>
      </c>
      <c r="K674" s="118"/>
      <c r="L674" s="21">
        <v>0</v>
      </c>
      <c r="M674" s="21"/>
      <c r="N674" s="21">
        <v>17</v>
      </c>
      <c r="O674" s="21"/>
      <c r="P674" s="21">
        <v>107</v>
      </c>
      <c r="Q674" s="21"/>
      <c r="R674" s="21" t="s">
        <v>329</v>
      </c>
      <c r="S674" s="119">
        <f>DATABASE_Table[[#This Row],[Inicial Asking Price (€) (Total)]]-DATABASE_Table[[#This Row],[Vista membership]]-DATABASE_Table[[#This Row],[FF&amp;E]]</f>
        <v>760000</v>
      </c>
      <c r="T674" s="124">
        <v>760000</v>
      </c>
      <c r="U674" s="124">
        <v>760000</v>
      </c>
      <c r="V674" s="21"/>
      <c r="W674" s="21"/>
      <c r="X674" s="73">
        <f>DATABASE_Table[[#This Row],[Current Asking price( Total)]]-DATABASE_Table[[#This Row],[Vista membership]]-DATABASE_Table[[#This Row],[FF&amp;E]]</f>
        <v>760000</v>
      </c>
      <c r="Y674" s="126"/>
      <c r="Z674" s="124">
        <v>740000</v>
      </c>
      <c r="AA674" s="73">
        <f>DATABASE_Table[[#This Row],[Sell price (Total)]]-DATABASE_Table[[#This Row],[FF&amp;E]]-DATABASE_Table[[#This Row],[Vista membership]]</f>
        <v>740000</v>
      </c>
      <c r="AB674" s="74">
        <v>46114</v>
      </c>
      <c r="AC674" s="74" t="str">
        <f t="shared" si="10"/>
        <v>Q2 2026</v>
      </c>
      <c r="AD674" s="123"/>
      <c r="AE674" s="69"/>
      <c r="AF674" s="21" t="s">
        <v>10</v>
      </c>
      <c r="AG674" s="21" t="s">
        <v>801</v>
      </c>
      <c r="AH674" s="122" t="s">
        <v>32</v>
      </c>
      <c r="AI674" s="122" t="s">
        <v>802</v>
      </c>
      <c r="AJ674" s="122" t="s">
        <v>33</v>
      </c>
      <c r="AK674" s="122" t="s">
        <v>803</v>
      </c>
      <c r="AL674" s="21" t="s">
        <v>15</v>
      </c>
      <c r="AM674" s="122" t="s">
        <v>31</v>
      </c>
    </row>
    <row r="675" spans="1:39" customFormat="1" ht="15.75" customHeight="1" x14ac:dyDescent="0.3">
      <c r="A675" t="s">
        <v>37</v>
      </c>
      <c r="B675" s="21" t="s">
        <v>687</v>
      </c>
      <c r="C675" s="21" t="s">
        <v>688</v>
      </c>
      <c r="D675" s="117" t="s">
        <v>357</v>
      </c>
      <c r="E675" s="21" t="s">
        <v>9</v>
      </c>
      <c r="F675" s="21" t="s">
        <v>383</v>
      </c>
      <c r="G675" s="21">
        <v>323.58999999999997</v>
      </c>
      <c r="H675" s="21">
        <v>165.79</v>
      </c>
      <c r="I675" s="117" t="s">
        <v>325</v>
      </c>
      <c r="J675" s="117" t="s">
        <v>325</v>
      </c>
      <c r="K675" s="118"/>
      <c r="L675" s="21"/>
      <c r="M675" s="21"/>
      <c r="N675" s="21"/>
      <c r="O675" s="21"/>
      <c r="P675" s="21">
        <v>157.80000000000001</v>
      </c>
      <c r="Q675" s="21"/>
      <c r="R675" s="21" t="s">
        <v>625</v>
      </c>
      <c r="S675" s="119">
        <f>DATABASE_Table[[#This Row],[Inicial Asking Price (€) (Total)]]-DATABASE_Table[[#This Row],[Vista membership]]-DATABASE_Table[[#This Row],[FF&amp;E]]</f>
        <v>1602100</v>
      </c>
      <c r="T675" s="125">
        <v>1691050</v>
      </c>
      <c r="U675" s="124">
        <v>1750000</v>
      </c>
      <c r="V675" s="21">
        <v>24600</v>
      </c>
      <c r="W675" s="21">
        <v>64350</v>
      </c>
      <c r="X675" s="73">
        <f>DATABASE_Table[[#This Row],[Current Asking price( Total)]]-DATABASE_Table[[#This Row],[Vista membership]]-DATABASE_Table[[#This Row],[FF&amp;E]]</f>
        <v>1661050</v>
      </c>
      <c r="Y675" s="126">
        <v>0</v>
      </c>
      <c r="Z675" s="124">
        <v>1750000</v>
      </c>
      <c r="AA675" s="73">
        <f>DATABASE_Table[[#This Row],[Sell price (Total)]]-DATABASE_Table[[#This Row],[FF&amp;E]]-DATABASE_Table[[#This Row],[Vista membership]]</f>
        <v>1661050</v>
      </c>
      <c r="AB675" s="74">
        <v>45673</v>
      </c>
      <c r="AC675" s="74" t="str">
        <f t="shared" si="10"/>
        <v>Q1 2025</v>
      </c>
      <c r="AD675" s="121">
        <v>45953</v>
      </c>
      <c r="AE675" s="69"/>
      <c r="AF675" s="21" t="s">
        <v>10</v>
      </c>
      <c r="AG675" s="21" t="s">
        <v>35</v>
      </c>
      <c r="AH675" s="122" t="s">
        <v>38</v>
      </c>
      <c r="AI675" s="122" t="s">
        <v>39</v>
      </c>
      <c r="AJ675" s="122" t="s">
        <v>40</v>
      </c>
      <c r="AK675" s="122" t="s">
        <v>804</v>
      </c>
      <c r="AL675" s="21" t="s">
        <v>41</v>
      </c>
      <c r="AM675" s="122" t="s">
        <v>37</v>
      </c>
    </row>
    <row r="676" spans="1:39" customFormat="1" ht="15.75" customHeight="1" x14ac:dyDescent="0.3">
      <c r="A676" t="s">
        <v>37</v>
      </c>
      <c r="B676" s="21" t="s">
        <v>687</v>
      </c>
      <c r="C676" s="21" t="s">
        <v>688</v>
      </c>
      <c r="D676" s="117" t="s">
        <v>358</v>
      </c>
      <c r="E676" s="21" t="s">
        <v>9</v>
      </c>
      <c r="F676" s="21" t="s">
        <v>383</v>
      </c>
      <c r="G676" s="21">
        <v>323.58999999999997</v>
      </c>
      <c r="H676" s="21">
        <v>165.79</v>
      </c>
      <c r="I676" s="117" t="s">
        <v>325</v>
      </c>
      <c r="J676" s="117" t="s">
        <v>325</v>
      </c>
      <c r="K676" s="118"/>
      <c r="L676" s="21"/>
      <c r="M676" s="21"/>
      <c r="N676" s="21"/>
      <c r="O676" s="21"/>
      <c r="P676" s="21">
        <v>157.80000000000001</v>
      </c>
      <c r="Q676" s="21"/>
      <c r="R676" s="21" t="s">
        <v>625</v>
      </c>
      <c r="S676" s="119">
        <f>DATABASE_Table[[#This Row],[Inicial Asking Price (€) (Total)]]-DATABASE_Table[[#This Row],[Vista membership]]-DATABASE_Table[[#This Row],[FF&amp;E]]</f>
        <v>1602100</v>
      </c>
      <c r="T676" s="125">
        <v>1691050</v>
      </c>
      <c r="U676" s="124">
        <v>1750000</v>
      </c>
      <c r="V676" s="21">
        <v>24600</v>
      </c>
      <c r="W676" s="21">
        <v>64350</v>
      </c>
      <c r="X676" s="73">
        <f>DATABASE_Table[[#This Row],[Current Asking price( Total)]]-DATABASE_Table[[#This Row],[Vista membership]]-DATABASE_Table[[#This Row],[FF&amp;E]]</f>
        <v>1661050</v>
      </c>
      <c r="Y676" s="126">
        <v>0</v>
      </c>
      <c r="Z676" s="124">
        <v>1750000</v>
      </c>
      <c r="AA676" s="73">
        <f>DATABASE_Table[[#This Row],[Sell price (Total)]]-DATABASE_Table[[#This Row],[FF&amp;E]]-DATABASE_Table[[#This Row],[Vista membership]]</f>
        <v>1661050</v>
      </c>
      <c r="AB676" s="74">
        <v>45673</v>
      </c>
      <c r="AC676" s="74" t="str">
        <f t="shared" si="10"/>
        <v>Q1 2025</v>
      </c>
      <c r="AD676" s="121">
        <v>45964</v>
      </c>
      <c r="AE676" s="69"/>
      <c r="AF676" s="21" t="s">
        <v>10</v>
      </c>
      <c r="AG676" s="21" t="s">
        <v>35</v>
      </c>
      <c r="AH676" s="122" t="s">
        <v>38</v>
      </c>
      <c r="AI676" s="122" t="s">
        <v>39</v>
      </c>
      <c r="AJ676" s="122" t="s">
        <v>40</v>
      </c>
      <c r="AK676" s="122" t="s">
        <v>804</v>
      </c>
      <c r="AL676" s="21" t="s">
        <v>41</v>
      </c>
      <c r="AM676" s="122" t="s">
        <v>37</v>
      </c>
    </row>
    <row r="677" spans="1:39" customFormat="1" ht="15.75" customHeight="1" x14ac:dyDescent="0.3">
      <c r="A677" t="s">
        <v>37</v>
      </c>
      <c r="B677" s="21" t="s">
        <v>687</v>
      </c>
      <c r="C677" s="21" t="s">
        <v>688</v>
      </c>
      <c r="D677" s="117" t="s">
        <v>359</v>
      </c>
      <c r="E677" s="21" t="s">
        <v>9</v>
      </c>
      <c r="F677" s="21" t="s">
        <v>383</v>
      </c>
      <c r="G677" s="21">
        <v>323.58999999999997</v>
      </c>
      <c r="H677" s="21">
        <v>165.79</v>
      </c>
      <c r="I677" s="117" t="s">
        <v>325</v>
      </c>
      <c r="J677" s="117" t="s">
        <v>325</v>
      </c>
      <c r="K677" s="118"/>
      <c r="L677" s="21"/>
      <c r="M677" s="21"/>
      <c r="N677" s="21"/>
      <c r="O677" s="21"/>
      <c r="P677" s="21">
        <v>157.80000000000001</v>
      </c>
      <c r="Q677" s="21"/>
      <c r="R677" s="21" t="s">
        <v>625</v>
      </c>
      <c r="S677" s="119">
        <f>DATABASE_Table[[#This Row],[Inicial Asking Price (€) (Total)]]-DATABASE_Table[[#This Row],[Vista membership]]-DATABASE_Table[[#This Row],[FF&amp;E]]</f>
        <v>1652100</v>
      </c>
      <c r="T677" s="125">
        <v>1741050</v>
      </c>
      <c r="U677" s="124">
        <v>1800000</v>
      </c>
      <c r="V677" s="21">
        <v>24600</v>
      </c>
      <c r="W677" s="21">
        <v>64350</v>
      </c>
      <c r="X677" s="73">
        <f>DATABASE_Table[[#This Row],[Current Asking price( Total)]]-DATABASE_Table[[#This Row],[Vista membership]]-DATABASE_Table[[#This Row],[FF&amp;E]]</f>
        <v>1711050</v>
      </c>
      <c r="Y677" s="126">
        <v>0</v>
      </c>
      <c r="Z677" s="124">
        <v>1800000</v>
      </c>
      <c r="AA677" s="73">
        <f>DATABASE_Table[[#This Row],[Sell price (Total)]]-DATABASE_Table[[#This Row],[FF&amp;E]]-DATABASE_Table[[#This Row],[Vista membership]]</f>
        <v>1711050</v>
      </c>
      <c r="AB677" s="74">
        <v>45673</v>
      </c>
      <c r="AC677" s="74" t="str">
        <f t="shared" si="10"/>
        <v>Q1 2025</v>
      </c>
      <c r="AD677" s="121">
        <v>46014</v>
      </c>
      <c r="AE677" s="69"/>
      <c r="AF677" s="21" t="s">
        <v>10</v>
      </c>
      <c r="AG677" s="21" t="s">
        <v>35</v>
      </c>
      <c r="AH677" s="122" t="s">
        <v>38</v>
      </c>
      <c r="AI677" s="122" t="s">
        <v>39</v>
      </c>
      <c r="AJ677" s="122" t="s">
        <v>40</v>
      </c>
      <c r="AK677" s="122" t="s">
        <v>804</v>
      </c>
      <c r="AL677" s="21" t="s">
        <v>41</v>
      </c>
      <c r="AM677" s="122" t="s">
        <v>37</v>
      </c>
    </row>
    <row r="678" spans="1:39" customFormat="1" ht="15.75" customHeight="1" x14ac:dyDescent="0.3">
      <c r="A678" t="s">
        <v>37</v>
      </c>
      <c r="B678" s="21" t="s">
        <v>687</v>
      </c>
      <c r="C678" s="21" t="s">
        <v>688</v>
      </c>
      <c r="D678" s="117" t="s">
        <v>336</v>
      </c>
      <c r="E678" s="21" t="s">
        <v>9</v>
      </c>
      <c r="F678" s="21" t="s">
        <v>383</v>
      </c>
      <c r="G678" s="21">
        <v>323.58999999999997</v>
      </c>
      <c r="H678" s="21">
        <v>165.79</v>
      </c>
      <c r="I678" s="117" t="s">
        <v>325</v>
      </c>
      <c r="J678" s="117" t="s">
        <v>325</v>
      </c>
      <c r="K678" s="118"/>
      <c r="L678" s="21"/>
      <c r="M678" s="21"/>
      <c r="N678" s="21"/>
      <c r="O678" s="21"/>
      <c r="P678" s="21">
        <v>157.80000000000001</v>
      </c>
      <c r="Q678" s="21"/>
      <c r="R678" s="21" t="s">
        <v>625</v>
      </c>
      <c r="S678" s="119">
        <f>DATABASE_Table[[#This Row],[Inicial Asking Price (€) (Total)]]-DATABASE_Table[[#This Row],[Vista membership]]-DATABASE_Table[[#This Row],[FF&amp;E]]</f>
        <v>1852100</v>
      </c>
      <c r="T678" s="125">
        <v>1941050</v>
      </c>
      <c r="U678" s="124">
        <v>2000000</v>
      </c>
      <c r="V678" s="21">
        <v>24600</v>
      </c>
      <c r="W678" s="21">
        <v>64350</v>
      </c>
      <c r="X678" s="73">
        <f>DATABASE_Table[[#This Row],[Current Asking price( Total)]]-DATABASE_Table[[#This Row],[Vista membership]]-DATABASE_Table[[#This Row],[FF&amp;E]]</f>
        <v>1911050</v>
      </c>
      <c r="Y678" s="126">
        <v>1.9356499999999999E-2</v>
      </c>
      <c r="Z678" s="124">
        <v>1961287</v>
      </c>
      <c r="AA678" s="73">
        <f>DATABASE_Table[[#This Row],[Sell price (Total)]]-DATABASE_Table[[#This Row],[FF&amp;E]]-DATABASE_Table[[#This Row],[Vista membership]]</f>
        <v>1872337</v>
      </c>
      <c r="AB678" s="74">
        <v>45673</v>
      </c>
      <c r="AC678" s="74" t="str">
        <f t="shared" si="10"/>
        <v>Q1 2025</v>
      </c>
      <c r="AD678" s="121">
        <v>46020</v>
      </c>
      <c r="AE678" s="69"/>
      <c r="AF678" s="21" t="s">
        <v>10</v>
      </c>
      <c r="AG678" s="21" t="s">
        <v>35</v>
      </c>
      <c r="AH678" s="122" t="s">
        <v>38</v>
      </c>
      <c r="AI678" s="122" t="s">
        <v>39</v>
      </c>
      <c r="AJ678" s="122" t="s">
        <v>40</v>
      </c>
      <c r="AK678" s="122" t="s">
        <v>804</v>
      </c>
      <c r="AL678" s="21" t="s">
        <v>41</v>
      </c>
      <c r="AM678" s="122" t="s">
        <v>37</v>
      </c>
    </row>
    <row r="679" spans="1:39" customFormat="1" ht="15.75" customHeight="1" x14ac:dyDescent="0.3">
      <c r="A679" t="s">
        <v>37</v>
      </c>
      <c r="B679" s="21" t="s">
        <v>687</v>
      </c>
      <c r="C679" s="21" t="s">
        <v>688</v>
      </c>
      <c r="D679" s="117" t="s">
        <v>404</v>
      </c>
      <c r="E679" s="21" t="s">
        <v>9</v>
      </c>
      <c r="F679" s="21" t="s">
        <v>762</v>
      </c>
      <c r="G679" s="21">
        <v>295.31</v>
      </c>
      <c r="H679" s="21">
        <v>135.54</v>
      </c>
      <c r="I679" s="117" t="s">
        <v>843</v>
      </c>
      <c r="J679" s="117" t="s">
        <v>325</v>
      </c>
      <c r="K679" s="118">
        <v>25.77</v>
      </c>
      <c r="L679" s="21"/>
      <c r="M679" s="21"/>
      <c r="N679" s="21"/>
      <c r="O679" s="21"/>
      <c r="P679" s="21">
        <v>134</v>
      </c>
      <c r="Q679" s="21"/>
      <c r="R679" s="21" t="s">
        <v>625</v>
      </c>
      <c r="S679" s="119">
        <f>DATABASE_Table[[#This Row],[Inicial Asking Price (€) (Total)]]-DATABASE_Table[[#This Row],[Vista membership]]-DATABASE_Table[[#This Row],[FF&amp;E]]</f>
        <v>1137700</v>
      </c>
      <c r="T679" s="125">
        <v>1208850</v>
      </c>
      <c r="U679" s="124">
        <v>1280000</v>
      </c>
      <c r="V679" s="21">
        <v>24600</v>
      </c>
      <c r="W679" s="21">
        <v>46550</v>
      </c>
      <c r="X679" s="73">
        <f>DATABASE_Table[[#This Row],[Current Asking price( Total)]]-DATABASE_Table[[#This Row],[Vista membership]]-DATABASE_Table[[#This Row],[FF&amp;E]]</f>
        <v>1208850</v>
      </c>
      <c r="Y679" s="126">
        <v>2.34375E-2</v>
      </c>
      <c r="Z679" s="124">
        <v>1250000</v>
      </c>
      <c r="AA679" s="73">
        <f>DATABASE_Table[[#This Row],[Sell price (Total)]]-DATABASE_Table[[#This Row],[FF&amp;E]]-DATABASE_Table[[#This Row],[Vista membership]]</f>
        <v>1178850</v>
      </c>
      <c r="AB679" s="74">
        <v>45673</v>
      </c>
      <c r="AC679" s="74" t="str">
        <f t="shared" si="10"/>
        <v>Q1 2025</v>
      </c>
      <c r="AD679" s="121">
        <v>46171</v>
      </c>
      <c r="AE679" s="69"/>
      <c r="AF679" s="21" t="s">
        <v>10</v>
      </c>
      <c r="AG679" s="21" t="s">
        <v>35</v>
      </c>
      <c r="AH679" s="122" t="s">
        <v>38</v>
      </c>
      <c r="AI679" s="122" t="s">
        <v>39</v>
      </c>
      <c r="AJ679" s="122" t="s">
        <v>40</v>
      </c>
      <c r="AK679" s="122" t="s">
        <v>804</v>
      </c>
      <c r="AL679" s="21" t="s">
        <v>41</v>
      </c>
      <c r="AM679" s="122" t="s">
        <v>37</v>
      </c>
    </row>
    <row r="680" spans="1:39" customFormat="1" ht="15.75" customHeight="1" x14ac:dyDescent="0.3">
      <c r="A680" t="s">
        <v>37</v>
      </c>
      <c r="B680" s="21" t="s">
        <v>687</v>
      </c>
      <c r="C680" s="21" t="s">
        <v>688</v>
      </c>
      <c r="D680" s="117" t="s">
        <v>347</v>
      </c>
      <c r="E680" s="21" t="s">
        <v>9</v>
      </c>
      <c r="F680" s="21" t="s">
        <v>760</v>
      </c>
      <c r="G680" s="21">
        <v>296.95999999999998</v>
      </c>
      <c r="H680" s="21">
        <v>113.29</v>
      </c>
      <c r="I680" s="117" t="s">
        <v>325</v>
      </c>
      <c r="J680" s="117" t="s">
        <v>325</v>
      </c>
      <c r="K680" s="118">
        <v>18.66</v>
      </c>
      <c r="L680" s="21"/>
      <c r="M680" s="21"/>
      <c r="N680" s="21"/>
      <c r="O680" s="21"/>
      <c r="P680" s="21">
        <v>165.01</v>
      </c>
      <c r="Q680" s="21"/>
      <c r="R680" s="21" t="s">
        <v>327</v>
      </c>
      <c r="S680" s="119">
        <f>DATABASE_Table[[#This Row],[Inicial Asking Price (€) (Total)]]-DATABASE_Table[[#This Row],[Vista membership]]-DATABASE_Table[[#This Row],[FF&amp;E]]</f>
        <v>2252100</v>
      </c>
      <c r="T680" s="125">
        <v>2341050</v>
      </c>
      <c r="U680" s="124">
        <v>2400000</v>
      </c>
      <c r="V680" s="21">
        <v>24600</v>
      </c>
      <c r="W680" s="21">
        <v>64350</v>
      </c>
      <c r="X680" s="73">
        <f>DATABASE_Table[[#This Row],[Current Asking price( Total)]]-DATABASE_Table[[#This Row],[Vista membership]]-DATABASE_Table[[#This Row],[FF&amp;E]]</f>
        <v>2311050</v>
      </c>
      <c r="Y680" s="126">
        <v>7.0833333333333304E-2</v>
      </c>
      <c r="Z680" s="124">
        <v>2230000</v>
      </c>
      <c r="AA680" s="73">
        <f>DATABASE_Table[[#This Row],[Sell price (Total)]]-DATABASE_Table[[#This Row],[FF&amp;E]]-DATABASE_Table[[#This Row],[Vista membership]]</f>
        <v>2141050</v>
      </c>
      <c r="AB680" s="74">
        <v>45673</v>
      </c>
      <c r="AC680" s="74" t="str">
        <f t="shared" si="10"/>
        <v>Q1 2025</v>
      </c>
      <c r="AD680" s="123">
        <v>45905</v>
      </c>
      <c r="AE680" s="69"/>
      <c r="AF680" s="21" t="s">
        <v>10</v>
      </c>
      <c r="AG680" s="21" t="s">
        <v>35</v>
      </c>
      <c r="AH680" s="122" t="s">
        <v>38</v>
      </c>
      <c r="AI680" s="122" t="s">
        <v>39</v>
      </c>
      <c r="AJ680" s="122" t="s">
        <v>40</v>
      </c>
      <c r="AK680" s="122" t="s">
        <v>804</v>
      </c>
      <c r="AL680" s="21" t="s">
        <v>41</v>
      </c>
      <c r="AM680" s="122" t="s">
        <v>37</v>
      </c>
    </row>
    <row r="681" spans="1:39" customFormat="1" ht="15.75" customHeight="1" x14ac:dyDescent="0.3">
      <c r="A681" t="s">
        <v>37</v>
      </c>
      <c r="B681" s="21" t="s">
        <v>687</v>
      </c>
      <c r="C681" s="21" t="s">
        <v>688</v>
      </c>
      <c r="D681" s="117" t="s">
        <v>362</v>
      </c>
      <c r="E681" s="21" t="s">
        <v>9</v>
      </c>
      <c r="F681" s="21" t="s">
        <v>759</v>
      </c>
      <c r="G681" s="21">
        <v>404.86</v>
      </c>
      <c r="H681" s="21">
        <v>163.77000000000001</v>
      </c>
      <c r="I681" s="117" t="s">
        <v>325</v>
      </c>
      <c r="J681" s="117" t="s">
        <v>325</v>
      </c>
      <c r="K681" s="118">
        <v>19.649999999999999</v>
      </c>
      <c r="L681" s="21"/>
      <c r="M681" s="21"/>
      <c r="N681" s="21"/>
      <c r="O681" s="21"/>
      <c r="P681" s="21">
        <v>221.44</v>
      </c>
      <c r="Q681" s="21"/>
      <c r="R681" s="21" t="s">
        <v>329</v>
      </c>
      <c r="S681" s="119">
        <f>DATABASE_Table[[#This Row],[Inicial Asking Price (€) (Total)]]-DATABASE_Table[[#This Row],[Vista membership]]-DATABASE_Table[[#This Row],[FF&amp;E]]</f>
        <v>2614600</v>
      </c>
      <c r="T681" s="125">
        <v>2722300</v>
      </c>
      <c r="U681" s="124">
        <v>2830000</v>
      </c>
      <c r="V681" s="21">
        <v>24600</v>
      </c>
      <c r="W681" s="21">
        <v>83100</v>
      </c>
      <c r="X681" s="73">
        <f>DATABASE_Table[[#This Row],[Current Asking price( Total)]]-DATABASE_Table[[#This Row],[Vista membership]]-DATABASE_Table[[#This Row],[FF&amp;E]]</f>
        <v>2722300</v>
      </c>
      <c r="Y681" s="126"/>
      <c r="Z681" s="124">
        <v>2830000</v>
      </c>
      <c r="AA681" s="73">
        <f>DATABASE_Table[[#This Row],[Sell price (Total)]]-DATABASE_Table[[#This Row],[FF&amp;E]]-DATABASE_Table[[#This Row],[Vista membership]]</f>
        <v>2722300</v>
      </c>
      <c r="AB681" s="74">
        <v>45673</v>
      </c>
      <c r="AC681" s="74" t="str">
        <f t="shared" si="10"/>
        <v>Q1 2025</v>
      </c>
      <c r="AD681" s="123"/>
      <c r="AE681" s="69"/>
      <c r="AF681" s="21" t="s">
        <v>10</v>
      </c>
      <c r="AG681" s="21" t="s">
        <v>35</v>
      </c>
      <c r="AH681" s="122" t="s">
        <v>38</v>
      </c>
      <c r="AI681" s="122" t="s">
        <v>39</v>
      </c>
      <c r="AJ681" s="122" t="s">
        <v>40</v>
      </c>
      <c r="AK681" s="122" t="s">
        <v>804</v>
      </c>
      <c r="AL681" s="21" t="s">
        <v>41</v>
      </c>
      <c r="AM681" s="122" t="s">
        <v>37</v>
      </c>
    </row>
    <row r="682" spans="1:39" customFormat="1" ht="15.75" customHeight="1" x14ac:dyDescent="0.3">
      <c r="A682" t="s">
        <v>37</v>
      </c>
      <c r="B682" s="21" t="s">
        <v>687</v>
      </c>
      <c r="C682" s="21" t="s">
        <v>688</v>
      </c>
      <c r="D682" s="117" t="s">
        <v>363</v>
      </c>
      <c r="E682" s="21" t="s">
        <v>9</v>
      </c>
      <c r="F682" s="21" t="s">
        <v>759</v>
      </c>
      <c r="G682" s="21">
        <v>404.86</v>
      </c>
      <c r="H682" s="21">
        <v>163.77000000000001</v>
      </c>
      <c r="I682" s="117" t="s">
        <v>325</v>
      </c>
      <c r="J682" s="117" t="s">
        <v>325</v>
      </c>
      <c r="K682" s="118">
        <v>19.649999999999999</v>
      </c>
      <c r="L682" s="21"/>
      <c r="M682" s="21"/>
      <c r="N682" s="21"/>
      <c r="O682" s="21"/>
      <c r="P682" s="21">
        <v>221.44</v>
      </c>
      <c r="Q682" s="21"/>
      <c r="R682" s="21" t="s">
        <v>329</v>
      </c>
      <c r="S682" s="119">
        <f>DATABASE_Table[[#This Row],[Inicial Asking Price (€) (Total)]]-DATABASE_Table[[#This Row],[Vista membership]]-DATABASE_Table[[#This Row],[FF&amp;E]]</f>
        <v>2614600</v>
      </c>
      <c r="T682" s="125">
        <v>2722300</v>
      </c>
      <c r="U682" s="124">
        <v>2830000</v>
      </c>
      <c r="V682" s="21">
        <v>24600</v>
      </c>
      <c r="W682" s="21">
        <v>83100</v>
      </c>
      <c r="X682" s="73">
        <f>DATABASE_Table[[#This Row],[Current Asking price( Total)]]-DATABASE_Table[[#This Row],[Vista membership]]-DATABASE_Table[[#This Row],[FF&amp;E]]</f>
        <v>2722300</v>
      </c>
      <c r="Y682" s="126"/>
      <c r="Z682" s="124">
        <v>2830000</v>
      </c>
      <c r="AA682" s="73">
        <f>DATABASE_Table[[#This Row],[Sell price (Total)]]-DATABASE_Table[[#This Row],[FF&amp;E]]-DATABASE_Table[[#This Row],[Vista membership]]</f>
        <v>2722300</v>
      </c>
      <c r="AB682" s="74">
        <v>45673</v>
      </c>
      <c r="AC682" s="74" t="str">
        <f t="shared" si="10"/>
        <v>Q1 2025</v>
      </c>
      <c r="AD682" s="123"/>
      <c r="AE682" s="69"/>
      <c r="AF682" s="21" t="s">
        <v>10</v>
      </c>
      <c r="AG682" s="21" t="s">
        <v>35</v>
      </c>
      <c r="AH682" s="122" t="s">
        <v>38</v>
      </c>
      <c r="AI682" s="122" t="s">
        <v>39</v>
      </c>
      <c r="AJ682" s="122" t="s">
        <v>40</v>
      </c>
      <c r="AK682" s="122" t="s">
        <v>804</v>
      </c>
      <c r="AL682" s="21" t="s">
        <v>41</v>
      </c>
      <c r="AM682" s="122" t="s">
        <v>37</v>
      </c>
    </row>
    <row r="683" spans="1:39" customFormat="1" ht="15.75" customHeight="1" x14ac:dyDescent="0.3">
      <c r="A683" t="s">
        <v>37</v>
      </c>
      <c r="B683" s="21" t="s">
        <v>687</v>
      </c>
      <c r="C683" s="21" t="s">
        <v>688</v>
      </c>
      <c r="D683" s="117" t="s">
        <v>364</v>
      </c>
      <c r="E683" s="21" t="s">
        <v>9</v>
      </c>
      <c r="F683" s="21" t="s">
        <v>759</v>
      </c>
      <c r="G683" s="21">
        <v>404.86</v>
      </c>
      <c r="H683" s="21">
        <v>163.77000000000001</v>
      </c>
      <c r="I683" s="117" t="s">
        <v>325</v>
      </c>
      <c r="J683" s="117" t="s">
        <v>325</v>
      </c>
      <c r="K683" s="118">
        <v>19.649999999999999</v>
      </c>
      <c r="L683" s="21"/>
      <c r="M683" s="21"/>
      <c r="N683" s="21"/>
      <c r="O683" s="21"/>
      <c r="P683" s="21">
        <v>221.44</v>
      </c>
      <c r="Q683" s="21"/>
      <c r="R683" s="21" t="s">
        <v>329</v>
      </c>
      <c r="S683" s="119">
        <f>DATABASE_Table[[#This Row],[Inicial Asking Price (€) (Total)]]-DATABASE_Table[[#This Row],[Vista membership]]-DATABASE_Table[[#This Row],[FF&amp;E]]</f>
        <v>2464600</v>
      </c>
      <c r="T683" s="125">
        <v>2572300</v>
      </c>
      <c r="U683" s="124">
        <v>2680000</v>
      </c>
      <c r="V683" s="21">
        <v>24600</v>
      </c>
      <c r="W683" s="21">
        <v>83100</v>
      </c>
      <c r="X683" s="73">
        <f>DATABASE_Table[[#This Row],[Current Asking price( Total)]]-DATABASE_Table[[#This Row],[Vista membership]]-DATABASE_Table[[#This Row],[FF&amp;E]]</f>
        <v>2572300</v>
      </c>
      <c r="Y683" s="126"/>
      <c r="Z683" s="124">
        <v>2680000</v>
      </c>
      <c r="AA683" s="73">
        <f>DATABASE_Table[[#This Row],[Sell price (Total)]]-DATABASE_Table[[#This Row],[FF&amp;E]]-DATABASE_Table[[#This Row],[Vista membership]]</f>
        <v>2572300</v>
      </c>
      <c r="AB683" s="74">
        <v>45673</v>
      </c>
      <c r="AC683" s="74" t="str">
        <f t="shared" si="10"/>
        <v>Q1 2025</v>
      </c>
      <c r="AD683" s="123"/>
      <c r="AE683" s="69"/>
      <c r="AF683" s="21" t="s">
        <v>10</v>
      </c>
      <c r="AG683" s="21" t="s">
        <v>35</v>
      </c>
      <c r="AH683" s="122" t="s">
        <v>38</v>
      </c>
      <c r="AI683" s="122" t="s">
        <v>39</v>
      </c>
      <c r="AJ683" s="122" t="s">
        <v>40</v>
      </c>
      <c r="AK683" s="122" t="s">
        <v>804</v>
      </c>
      <c r="AL683" s="21" t="s">
        <v>41</v>
      </c>
      <c r="AM683" s="122" t="s">
        <v>37</v>
      </c>
    </row>
    <row r="684" spans="1:39" customFormat="1" ht="15.75" customHeight="1" x14ac:dyDescent="0.3">
      <c r="A684" t="s">
        <v>37</v>
      </c>
      <c r="B684" s="21" t="s">
        <v>687</v>
      </c>
      <c r="C684" s="21" t="s">
        <v>688</v>
      </c>
      <c r="D684" s="117" t="s">
        <v>365</v>
      </c>
      <c r="E684" s="21" t="s">
        <v>9</v>
      </c>
      <c r="F684" s="21" t="s">
        <v>762</v>
      </c>
      <c r="G684" s="21">
        <v>441.31</v>
      </c>
      <c r="H684" s="21">
        <v>289.7</v>
      </c>
      <c r="I684" s="117" t="s">
        <v>325</v>
      </c>
      <c r="J684" s="117" t="s">
        <v>325</v>
      </c>
      <c r="K684" s="118">
        <v>20</v>
      </c>
      <c r="L684" s="21"/>
      <c r="M684" s="21"/>
      <c r="N684" s="21"/>
      <c r="O684" s="21"/>
      <c r="P684" s="21">
        <v>131.61000000000001</v>
      </c>
      <c r="Q684" s="21"/>
      <c r="R684" s="21" t="s">
        <v>329</v>
      </c>
      <c r="S684" s="119">
        <f>DATABASE_Table[[#This Row],[Inicial Asking Price (€) (Total)]]-DATABASE_Table[[#This Row],[Vista membership]]-DATABASE_Table[[#This Row],[FF&amp;E]]</f>
        <v>1407700</v>
      </c>
      <c r="T684" s="125">
        <v>1478850</v>
      </c>
      <c r="U684" s="124">
        <v>1550000</v>
      </c>
      <c r="V684" s="21">
        <v>24600</v>
      </c>
      <c r="W684" s="21">
        <v>46550</v>
      </c>
      <c r="X684" s="73">
        <f>DATABASE_Table[[#This Row],[Current Asking price( Total)]]-DATABASE_Table[[#This Row],[Vista membership]]-DATABASE_Table[[#This Row],[FF&amp;E]]</f>
        <v>1478850</v>
      </c>
      <c r="Y684" s="126"/>
      <c r="Z684" s="124">
        <v>1550000</v>
      </c>
      <c r="AA684" s="73">
        <f>DATABASE_Table[[#This Row],[Sell price (Total)]]-DATABASE_Table[[#This Row],[FF&amp;E]]-DATABASE_Table[[#This Row],[Vista membership]]</f>
        <v>1478850</v>
      </c>
      <c r="AB684" s="74">
        <v>45673</v>
      </c>
      <c r="AC684" s="74" t="str">
        <f t="shared" si="10"/>
        <v>Q1 2025</v>
      </c>
      <c r="AD684" s="123"/>
      <c r="AE684" s="69"/>
      <c r="AF684" s="21" t="s">
        <v>10</v>
      </c>
      <c r="AG684" s="21" t="s">
        <v>35</v>
      </c>
      <c r="AH684" s="122" t="s">
        <v>38</v>
      </c>
      <c r="AI684" s="122" t="s">
        <v>39</v>
      </c>
      <c r="AJ684" s="122" t="s">
        <v>40</v>
      </c>
      <c r="AK684" s="122" t="s">
        <v>804</v>
      </c>
      <c r="AL684" s="21" t="s">
        <v>41</v>
      </c>
      <c r="AM684" s="122" t="s">
        <v>37</v>
      </c>
    </row>
    <row r="685" spans="1:39" customFormat="1" ht="15.75" customHeight="1" x14ac:dyDescent="0.3">
      <c r="A685" t="s">
        <v>37</v>
      </c>
      <c r="B685" s="21" t="s">
        <v>687</v>
      </c>
      <c r="C685" s="21" t="s">
        <v>688</v>
      </c>
      <c r="D685" s="117" t="s">
        <v>366</v>
      </c>
      <c r="E685" s="21" t="s">
        <v>9</v>
      </c>
      <c r="F685" s="21" t="s">
        <v>762</v>
      </c>
      <c r="G685" s="21">
        <v>276.3</v>
      </c>
      <c r="H685" s="21">
        <v>115.09</v>
      </c>
      <c r="I685" s="117" t="s">
        <v>325</v>
      </c>
      <c r="J685" s="117" t="s">
        <v>325</v>
      </c>
      <c r="K685" s="118">
        <v>25.77</v>
      </c>
      <c r="L685" s="21"/>
      <c r="M685" s="21"/>
      <c r="N685" s="21"/>
      <c r="O685" s="21"/>
      <c r="P685" s="21">
        <v>135.44</v>
      </c>
      <c r="Q685" s="21"/>
      <c r="R685" s="21" t="s">
        <v>329</v>
      </c>
      <c r="S685" s="119">
        <f>DATABASE_Table[[#This Row],[Inicial Asking Price (€) (Total)]]-DATABASE_Table[[#This Row],[Vista membership]]-DATABASE_Table[[#This Row],[FF&amp;E]]</f>
        <v>1267700</v>
      </c>
      <c r="T685" s="125">
        <v>1338850</v>
      </c>
      <c r="U685" s="124">
        <v>1410000</v>
      </c>
      <c r="V685" s="21">
        <v>24600</v>
      </c>
      <c r="W685" s="21">
        <v>46550</v>
      </c>
      <c r="X685" s="73">
        <f>DATABASE_Table[[#This Row],[Current Asking price( Total)]]-DATABASE_Table[[#This Row],[Vista membership]]-DATABASE_Table[[#This Row],[FF&amp;E]]</f>
        <v>1338850</v>
      </c>
      <c r="Y685" s="126"/>
      <c r="Z685" s="124">
        <v>1410000</v>
      </c>
      <c r="AA685" s="73">
        <f>DATABASE_Table[[#This Row],[Sell price (Total)]]-DATABASE_Table[[#This Row],[FF&amp;E]]-DATABASE_Table[[#This Row],[Vista membership]]</f>
        <v>1338850</v>
      </c>
      <c r="AB685" s="74">
        <v>45673</v>
      </c>
      <c r="AC685" s="74" t="str">
        <f t="shared" si="10"/>
        <v>Q1 2025</v>
      </c>
      <c r="AD685" s="123"/>
      <c r="AE685" s="69"/>
      <c r="AF685" s="21" t="s">
        <v>10</v>
      </c>
      <c r="AG685" s="21" t="s">
        <v>35</v>
      </c>
      <c r="AH685" s="122" t="s">
        <v>38</v>
      </c>
      <c r="AI685" s="122" t="s">
        <v>39</v>
      </c>
      <c r="AJ685" s="122" t="s">
        <v>40</v>
      </c>
      <c r="AK685" s="122" t="s">
        <v>804</v>
      </c>
      <c r="AL685" s="21" t="s">
        <v>41</v>
      </c>
      <c r="AM685" s="122" t="s">
        <v>37</v>
      </c>
    </row>
    <row r="686" spans="1:39" customFormat="1" ht="15.75" customHeight="1" x14ac:dyDescent="0.3">
      <c r="A686" t="s">
        <v>37</v>
      </c>
      <c r="B686" s="21" t="s">
        <v>687</v>
      </c>
      <c r="C686" s="21" t="s">
        <v>688</v>
      </c>
      <c r="D686" s="117" t="s">
        <v>367</v>
      </c>
      <c r="E686" s="21" t="s">
        <v>9</v>
      </c>
      <c r="F686" s="21" t="s">
        <v>762</v>
      </c>
      <c r="G686" s="21">
        <v>276.3</v>
      </c>
      <c r="H686" s="21">
        <v>115.09</v>
      </c>
      <c r="I686" s="117" t="s">
        <v>325</v>
      </c>
      <c r="J686" s="117" t="s">
        <v>325</v>
      </c>
      <c r="K686" s="118">
        <v>25.77</v>
      </c>
      <c r="L686" s="21"/>
      <c r="M686" s="21"/>
      <c r="N686" s="21"/>
      <c r="O686" s="21"/>
      <c r="P686" s="21">
        <v>135.44</v>
      </c>
      <c r="Q686" s="21"/>
      <c r="R686" s="21" t="s">
        <v>329</v>
      </c>
      <c r="S686" s="119">
        <f>DATABASE_Table[[#This Row],[Inicial Asking Price (€) (Total)]]-DATABASE_Table[[#This Row],[Vista membership]]-DATABASE_Table[[#This Row],[FF&amp;E]]</f>
        <v>1287700</v>
      </c>
      <c r="T686" s="125">
        <v>1358850</v>
      </c>
      <c r="U686" s="124">
        <v>1430000</v>
      </c>
      <c r="V686" s="21">
        <v>24600</v>
      </c>
      <c r="W686" s="21">
        <v>46550</v>
      </c>
      <c r="X686" s="73">
        <f>DATABASE_Table[[#This Row],[Current Asking price( Total)]]-DATABASE_Table[[#This Row],[Vista membership]]-DATABASE_Table[[#This Row],[FF&amp;E]]</f>
        <v>1358850</v>
      </c>
      <c r="Y686" s="126"/>
      <c r="Z686" s="124">
        <v>1430000</v>
      </c>
      <c r="AA686" s="73">
        <f>DATABASE_Table[[#This Row],[Sell price (Total)]]-DATABASE_Table[[#This Row],[FF&amp;E]]-DATABASE_Table[[#This Row],[Vista membership]]</f>
        <v>1358850</v>
      </c>
      <c r="AB686" s="74">
        <v>45673</v>
      </c>
      <c r="AC686" s="74" t="str">
        <f t="shared" si="10"/>
        <v>Q1 2025</v>
      </c>
      <c r="AD686" s="123">
        <v>46093</v>
      </c>
      <c r="AE686" s="69"/>
      <c r="AF686" s="21" t="s">
        <v>10</v>
      </c>
      <c r="AG686" s="21" t="s">
        <v>35</v>
      </c>
      <c r="AH686" s="122" t="s">
        <v>38</v>
      </c>
      <c r="AI686" s="122" t="s">
        <v>39</v>
      </c>
      <c r="AJ686" s="122" t="s">
        <v>40</v>
      </c>
      <c r="AK686" s="122" t="s">
        <v>804</v>
      </c>
      <c r="AL686" s="21" t="s">
        <v>41</v>
      </c>
      <c r="AM686" s="122" t="s">
        <v>37</v>
      </c>
    </row>
    <row r="687" spans="1:39" customFormat="1" ht="15.75" customHeight="1" x14ac:dyDescent="0.3">
      <c r="A687" t="s">
        <v>37</v>
      </c>
      <c r="B687" s="21" t="s">
        <v>687</v>
      </c>
      <c r="C687" s="21" t="s">
        <v>688</v>
      </c>
      <c r="D687" s="117" t="s">
        <v>368</v>
      </c>
      <c r="E687" s="21" t="s">
        <v>9</v>
      </c>
      <c r="F687" s="21" t="s">
        <v>762</v>
      </c>
      <c r="G687" s="21">
        <v>282.98</v>
      </c>
      <c r="H687" s="21">
        <v>115.68</v>
      </c>
      <c r="I687" s="117" t="s">
        <v>325</v>
      </c>
      <c r="J687" s="117" t="s">
        <v>325</v>
      </c>
      <c r="K687" s="118">
        <v>25.77</v>
      </c>
      <c r="L687" s="21"/>
      <c r="M687" s="21"/>
      <c r="N687" s="21"/>
      <c r="O687" s="21"/>
      <c r="P687" s="21">
        <v>141.53</v>
      </c>
      <c r="Q687" s="21"/>
      <c r="R687" s="21" t="s">
        <v>329</v>
      </c>
      <c r="S687" s="119">
        <f>DATABASE_Table[[#This Row],[Inicial Asking Price (€) (Total)]]-DATABASE_Table[[#This Row],[Vista membership]]-DATABASE_Table[[#This Row],[FF&amp;E]]</f>
        <v>1387700</v>
      </c>
      <c r="T687" s="125">
        <v>1458850</v>
      </c>
      <c r="U687" s="124">
        <v>1530000</v>
      </c>
      <c r="V687" s="21">
        <v>24600</v>
      </c>
      <c r="W687" s="21">
        <v>46550</v>
      </c>
      <c r="X687" s="73">
        <f>DATABASE_Table[[#This Row],[Current Asking price( Total)]]-DATABASE_Table[[#This Row],[Vista membership]]-DATABASE_Table[[#This Row],[FF&amp;E]]</f>
        <v>1458850</v>
      </c>
      <c r="Y687" s="126"/>
      <c r="Z687" s="124">
        <v>1530000</v>
      </c>
      <c r="AA687" s="73">
        <f>DATABASE_Table[[#This Row],[Sell price (Total)]]-DATABASE_Table[[#This Row],[FF&amp;E]]-DATABASE_Table[[#This Row],[Vista membership]]</f>
        <v>1458850</v>
      </c>
      <c r="AB687" s="74">
        <v>45673</v>
      </c>
      <c r="AC687" s="74" t="str">
        <f t="shared" si="10"/>
        <v>Q1 2025</v>
      </c>
      <c r="AD687" s="123"/>
      <c r="AE687" s="69"/>
      <c r="AF687" s="21" t="s">
        <v>10</v>
      </c>
      <c r="AG687" s="21" t="s">
        <v>35</v>
      </c>
      <c r="AH687" s="122" t="s">
        <v>38</v>
      </c>
      <c r="AI687" s="122" t="s">
        <v>39</v>
      </c>
      <c r="AJ687" s="122" t="s">
        <v>40</v>
      </c>
      <c r="AK687" s="122" t="s">
        <v>804</v>
      </c>
      <c r="AL687" s="21" t="s">
        <v>41</v>
      </c>
      <c r="AM687" s="122" t="s">
        <v>37</v>
      </c>
    </row>
    <row r="688" spans="1:39" customFormat="1" ht="15.75" customHeight="1" x14ac:dyDescent="0.3">
      <c r="A688" t="s">
        <v>37</v>
      </c>
      <c r="B688" s="21" t="s">
        <v>687</v>
      </c>
      <c r="C688" s="21" t="s">
        <v>688</v>
      </c>
      <c r="D688" s="117" t="s">
        <v>369</v>
      </c>
      <c r="E688" s="21" t="s">
        <v>9</v>
      </c>
      <c r="F688" s="21" t="s">
        <v>762</v>
      </c>
      <c r="G688" s="21">
        <v>339.85</v>
      </c>
      <c r="H688" s="21">
        <v>175.75</v>
      </c>
      <c r="I688" s="117" t="s">
        <v>325</v>
      </c>
      <c r="J688" s="117" t="s">
        <v>325</v>
      </c>
      <c r="K688" s="118">
        <v>25.77</v>
      </c>
      <c r="L688" s="21"/>
      <c r="M688" s="21"/>
      <c r="N688" s="21"/>
      <c r="O688" s="21"/>
      <c r="P688" s="21">
        <v>138.33000000000001</v>
      </c>
      <c r="Q688" s="21"/>
      <c r="R688" s="21" t="s">
        <v>329</v>
      </c>
      <c r="S688" s="119">
        <f>DATABASE_Table[[#This Row],[Inicial Asking Price (€) (Total)]]-DATABASE_Table[[#This Row],[Vista membership]]-DATABASE_Table[[#This Row],[FF&amp;E]]</f>
        <v>1587700</v>
      </c>
      <c r="T688" s="125">
        <v>1658850</v>
      </c>
      <c r="U688" s="124">
        <v>1730000</v>
      </c>
      <c r="V688" s="21">
        <v>24600</v>
      </c>
      <c r="W688" s="21">
        <v>46550</v>
      </c>
      <c r="X688" s="73">
        <f>DATABASE_Table[[#This Row],[Current Asking price( Total)]]-DATABASE_Table[[#This Row],[Vista membership]]-DATABASE_Table[[#This Row],[FF&amp;E]]</f>
        <v>1658850</v>
      </c>
      <c r="Y688" s="126"/>
      <c r="Z688" s="124">
        <v>1730000</v>
      </c>
      <c r="AA688" s="73">
        <f>DATABASE_Table[[#This Row],[Sell price (Total)]]-DATABASE_Table[[#This Row],[FF&amp;E]]-DATABASE_Table[[#This Row],[Vista membership]]</f>
        <v>1658850</v>
      </c>
      <c r="AB688" s="74">
        <v>45673</v>
      </c>
      <c r="AC688" s="74" t="str">
        <f t="shared" si="10"/>
        <v>Q1 2025</v>
      </c>
      <c r="AD688" s="123"/>
      <c r="AE688" s="69"/>
      <c r="AF688" s="21" t="s">
        <v>10</v>
      </c>
      <c r="AG688" s="21" t="s">
        <v>35</v>
      </c>
      <c r="AH688" s="122" t="s">
        <v>38</v>
      </c>
      <c r="AI688" s="122" t="s">
        <v>39</v>
      </c>
      <c r="AJ688" s="122" t="s">
        <v>40</v>
      </c>
      <c r="AK688" s="122" t="s">
        <v>804</v>
      </c>
      <c r="AL688" s="21" t="s">
        <v>41</v>
      </c>
      <c r="AM688" s="122" t="s">
        <v>37</v>
      </c>
    </row>
    <row r="689" spans="1:39" customFormat="1" ht="15.75" customHeight="1" x14ac:dyDescent="0.3">
      <c r="A689" t="s">
        <v>37</v>
      </c>
      <c r="B689" s="21" t="s">
        <v>687</v>
      </c>
      <c r="C689" s="21" t="s">
        <v>688</v>
      </c>
      <c r="D689" s="117" t="s">
        <v>370</v>
      </c>
      <c r="E689" s="21" t="s">
        <v>9</v>
      </c>
      <c r="F689" s="21" t="s">
        <v>762</v>
      </c>
      <c r="G689" s="21">
        <v>330.51</v>
      </c>
      <c r="H689" s="21">
        <v>169.3</v>
      </c>
      <c r="I689" s="117" t="s">
        <v>325</v>
      </c>
      <c r="J689" s="117" t="s">
        <v>325</v>
      </c>
      <c r="K689" s="118">
        <v>25.77</v>
      </c>
      <c r="L689" s="21"/>
      <c r="M689" s="21"/>
      <c r="N689" s="21"/>
      <c r="O689" s="21"/>
      <c r="P689" s="21">
        <v>135.44</v>
      </c>
      <c r="Q689" s="21"/>
      <c r="R689" s="21" t="s">
        <v>329</v>
      </c>
      <c r="S689" s="119">
        <f>DATABASE_Table[[#This Row],[Inicial Asking Price (€) (Total)]]-DATABASE_Table[[#This Row],[Vista membership]]-DATABASE_Table[[#This Row],[FF&amp;E]]</f>
        <v>1587700</v>
      </c>
      <c r="T689" s="125">
        <v>1658850</v>
      </c>
      <c r="U689" s="124">
        <v>1730000</v>
      </c>
      <c r="V689" s="21">
        <v>24600</v>
      </c>
      <c r="W689" s="21">
        <v>46550</v>
      </c>
      <c r="X689" s="73">
        <f>DATABASE_Table[[#This Row],[Current Asking price( Total)]]-DATABASE_Table[[#This Row],[Vista membership]]-DATABASE_Table[[#This Row],[FF&amp;E]]</f>
        <v>1658850</v>
      </c>
      <c r="Y689" s="126"/>
      <c r="Z689" s="124">
        <v>1730000</v>
      </c>
      <c r="AA689" s="73">
        <f>DATABASE_Table[[#This Row],[Sell price (Total)]]-DATABASE_Table[[#This Row],[FF&amp;E]]-DATABASE_Table[[#This Row],[Vista membership]]</f>
        <v>1658850</v>
      </c>
      <c r="AB689" s="74">
        <v>45673</v>
      </c>
      <c r="AC689" s="74" t="str">
        <f t="shared" si="10"/>
        <v>Q1 2025</v>
      </c>
      <c r="AD689" s="123"/>
      <c r="AE689" s="69"/>
      <c r="AF689" s="21" t="s">
        <v>10</v>
      </c>
      <c r="AG689" s="21" t="s">
        <v>35</v>
      </c>
      <c r="AH689" s="122" t="s">
        <v>38</v>
      </c>
      <c r="AI689" s="122" t="s">
        <v>39</v>
      </c>
      <c r="AJ689" s="122" t="s">
        <v>40</v>
      </c>
      <c r="AK689" s="122" t="s">
        <v>804</v>
      </c>
      <c r="AL689" s="21" t="s">
        <v>41</v>
      </c>
      <c r="AM689" s="122" t="s">
        <v>37</v>
      </c>
    </row>
    <row r="690" spans="1:39" customFormat="1" ht="15.75" customHeight="1" x14ac:dyDescent="0.3">
      <c r="A690" t="s">
        <v>37</v>
      </c>
      <c r="B690" s="21" t="s">
        <v>687</v>
      </c>
      <c r="C690" s="21" t="s">
        <v>688</v>
      </c>
      <c r="D690" s="117" t="s">
        <v>371</v>
      </c>
      <c r="E690" s="21" t="s">
        <v>9</v>
      </c>
      <c r="F690" s="21" t="s">
        <v>762</v>
      </c>
      <c r="G690" s="21">
        <v>330.51</v>
      </c>
      <c r="H690" s="21">
        <v>169.3</v>
      </c>
      <c r="I690" s="117" t="s">
        <v>325</v>
      </c>
      <c r="J690" s="117" t="s">
        <v>325</v>
      </c>
      <c r="K690" s="118">
        <v>25.77</v>
      </c>
      <c r="L690" s="21"/>
      <c r="M690" s="21"/>
      <c r="N690" s="21"/>
      <c r="O690" s="21"/>
      <c r="P690" s="21">
        <v>135.44</v>
      </c>
      <c r="Q690" s="21"/>
      <c r="R690" s="21" t="s">
        <v>329</v>
      </c>
      <c r="S690" s="119">
        <f>DATABASE_Table[[#This Row],[Inicial Asking Price (€) (Total)]]-DATABASE_Table[[#This Row],[Vista membership]]-DATABASE_Table[[#This Row],[FF&amp;E]]</f>
        <v>1637700</v>
      </c>
      <c r="T690" s="125">
        <v>1708850</v>
      </c>
      <c r="U690" s="124">
        <v>1780000</v>
      </c>
      <c r="V690" s="21">
        <v>24600</v>
      </c>
      <c r="W690" s="21">
        <v>46550</v>
      </c>
      <c r="X690" s="73">
        <f>DATABASE_Table[[#This Row],[Current Asking price( Total)]]-DATABASE_Table[[#This Row],[Vista membership]]-DATABASE_Table[[#This Row],[FF&amp;E]]</f>
        <v>1708850</v>
      </c>
      <c r="Y690" s="126"/>
      <c r="Z690" s="124">
        <v>1780000</v>
      </c>
      <c r="AA690" s="73">
        <f>DATABASE_Table[[#This Row],[Sell price (Total)]]-DATABASE_Table[[#This Row],[FF&amp;E]]-DATABASE_Table[[#This Row],[Vista membership]]</f>
        <v>1708850</v>
      </c>
      <c r="AB690" s="74">
        <v>45673</v>
      </c>
      <c r="AC690" s="74" t="str">
        <f t="shared" si="10"/>
        <v>Q1 2025</v>
      </c>
      <c r="AD690" s="123"/>
      <c r="AE690" s="69"/>
      <c r="AF690" s="21" t="s">
        <v>10</v>
      </c>
      <c r="AG690" s="21" t="s">
        <v>35</v>
      </c>
      <c r="AH690" s="122" t="s">
        <v>38</v>
      </c>
      <c r="AI690" s="122" t="s">
        <v>39</v>
      </c>
      <c r="AJ690" s="122" t="s">
        <v>40</v>
      </c>
      <c r="AK690" s="122" t="s">
        <v>804</v>
      </c>
      <c r="AL690" s="21" t="s">
        <v>41</v>
      </c>
      <c r="AM690" s="122" t="s">
        <v>37</v>
      </c>
    </row>
    <row r="691" spans="1:39" customFormat="1" ht="15.75" customHeight="1" x14ac:dyDescent="0.3">
      <c r="A691" t="s">
        <v>37</v>
      </c>
      <c r="B691" s="21" t="s">
        <v>687</v>
      </c>
      <c r="C691" s="21" t="s">
        <v>688</v>
      </c>
      <c r="D691" s="117" t="s">
        <v>372</v>
      </c>
      <c r="E691" s="21" t="s">
        <v>9</v>
      </c>
      <c r="F691" s="21" t="s">
        <v>760</v>
      </c>
      <c r="G691" s="21">
        <v>469.43</v>
      </c>
      <c r="H691" s="21">
        <v>273.51</v>
      </c>
      <c r="I691" s="117" t="s">
        <v>325</v>
      </c>
      <c r="J691" s="117" t="s">
        <v>325</v>
      </c>
      <c r="K691" s="118">
        <v>32.840000000000003</v>
      </c>
      <c r="L691" s="21"/>
      <c r="M691" s="21"/>
      <c r="N691" s="21"/>
      <c r="O691" s="21"/>
      <c r="P691" s="21">
        <v>163.08000000000001</v>
      </c>
      <c r="Q691" s="21"/>
      <c r="R691" s="21" t="s">
        <v>329</v>
      </c>
      <c r="S691" s="119">
        <f>DATABASE_Table[[#This Row],[Inicial Asking Price (€) (Total)]]-DATABASE_Table[[#This Row],[Vista membership]]-DATABASE_Table[[#This Row],[FF&amp;E]]</f>
        <v>1838200</v>
      </c>
      <c r="T691" s="125">
        <v>1924100</v>
      </c>
      <c r="U691" s="124">
        <v>2010000</v>
      </c>
      <c r="V691" s="21">
        <v>24600</v>
      </c>
      <c r="W691" s="21">
        <v>61300</v>
      </c>
      <c r="X691" s="73">
        <f>DATABASE_Table[[#This Row],[Current Asking price( Total)]]-DATABASE_Table[[#This Row],[Vista membership]]-DATABASE_Table[[#This Row],[FF&amp;E]]</f>
        <v>1924100</v>
      </c>
      <c r="Y691" s="126"/>
      <c r="Z691" s="124">
        <v>2010000</v>
      </c>
      <c r="AA691" s="73">
        <f>DATABASE_Table[[#This Row],[Sell price (Total)]]-DATABASE_Table[[#This Row],[FF&amp;E]]-DATABASE_Table[[#This Row],[Vista membership]]</f>
        <v>1924100</v>
      </c>
      <c r="AB691" s="74">
        <v>45673</v>
      </c>
      <c r="AC691" s="74" t="str">
        <f t="shared" si="10"/>
        <v>Q1 2025</v>
      </c>
      <c r="AD691" s="123"/>
      <c r="AE691" s="69"/>
      <c r="AF691" s="21" t="s">
        <v>10</v>
      </c>
      <c r="AG691" s="21" t="s">
        <v>35</v>
      </c>
      <c r="AH691" s="122" t="s">
        <v>38</v>
      </c>
      <c r="AI691" s="122" t="s">
        <v>39</v>
      </c>
      <c r="AJ691" s="122" t="s">
        <v>40</v>
      </c>
      <c r="AK691" s="122" t="s">
        <v>804</v>
      </c>
      <c r="AL691" s="21" t="s">
        <v>41</v>
      </c>
      <c r="AM691" s="122" t="s">
        <v>37</v>
      </c>
    </row>
    <row r="692" spans="1:39" customFormat="1" ht="15.75" customHeight="1" x14ac:dyDescent="0.3">
      <c r="A692" t="s">
        <v>37</v>
      </c>
      <c r="B692" s="21" t="s">
        <v>687</v>
      </c>
      <c r="C692" s="21" t="s">
        <v>688</v>
      </c>
      <c r="D692" s="117" t="s">
        <v>373</v>
      </c>
      <c r="E692" s="21" t="s">
        <v>9</v>
      </c>
      <c r="F692" s="21" t="s">
        <v>760</v>
      </c>
      <c r="G692" s="21">
        <v>508.42</v>
      </c>
      <c r="H692" s="21">
        <v>313.45999999999998</v>
      </c>
      <c r="I692" s="117" t="s">
        <v>325</v>
      </c>
      <c r="J692" s="117" t="s">
        <v>325</v>
      </c>
      <c r="K692" s="118">
        <v>32.840000000000003</v>
      </c>
      <c r="L692" s="21"/>
      <c r="M692" s="21"/>
      <c r="N692" s="21"/>
      <c r="O692" s="21"/>
      <c r="P692" s="21">
        <v>162.12</v>
      </c>
      <c r="Q692" s="21"/>
      <c r="R692" s="21" t="s">
        <v>329</v>
      </c>
      <c r="S692" s="119">
        <f>DATABASE_Table[[#This Row],[Inicial Asking Price (€) (Total)]]-DATABASE_Table[[#This Row],[Vista membership]]-DATABASE_Table[[#This Row],[FF&amp;E]]</f>
        <v>1858200</v>
      </c>
      <c r="T692" s="125">
        <v>1944100</v>
      </c>
      <c r="U692" s="124">
        <v>2030000</v>
      </c>
      <c r="V692" s="21">
        <v>24600</v>
      </c>
      <c r="W692" s="21">
        <v>61300</v>
      </c>
      <c r="X692" s="73">
        <f>DATABASE_Table[[#This Row],[Current Asking price( Total)]]-DATABASE_Table[[#This Row],[Vista membership]]-DATABASE_Table[[#This Row],[FF&amp;E]]</f>
        <v>1944100</v>
      </c>
      <c r="Y692" s="126"/>
      <c r="Z692" s="124">
        <v>2030000</v>
      </c>
      <c r="AA692" s="73">
        <f>DATABASE_Table[[#This Row],[Sell price (Total)]]-DATABASE_Table[[#This Row],[FF&amp;E]]-DATABASE_Table[[#This Row],[Vista membership]]</f>
        <v>1944100</v>
      </c>
      <c r="AB692" s="74">
        <v>45673</v>
      </c>
      <c r="AC692" s="74" t="str">
        <f t="shared" si="10"/>
        <v>Q1 2025</v>
      </c>
      <c r="AD692" s="123"/>
      <c r="AE692" s="69"/>
      <c r="AF692" s="21" t="s">
        <v>10</v>
      </c>
      <c r="AG692" s="21" t="s">
        <v>35</v>
      </c>
      <c r="AH692" s="122" t="s">
        <v>38</v>
      </c>
      <c r="AI692" s="122" t="s">
        <v>39</v>
      </c>
      <c r="AJ692" s="122" t="s">
        <v>40</v>
      </c>
      <c r="AK692" s="122" t="s">
        <v>804</v>
      </c>
      <c r="AL692" s="21" t="s">
        <v>41</v>
      </c>
      <c r="AM692" s="122" t="s">
        <v>37</v>
      </c>
    </row>
    <row r="693" spans="1:39" customFormat="1" ht="15.75" customHeight="1" x14ac:dyDescent="0.3">
      <c r="A693" t="s">
        <v>37</v>
      </c>
      <c r="B693" s="21" t="s">
        <v>687</v>
      </c>
      <c r="C693" s="21" t="s">
        <v>688</v>
      </c>
      <c r="D693" s="117" t="s">
        <v>374</v>
      </c>
      <c r="E693" s="21" t="s">
        <v>9</v>
      </c>
      <c r="F693" s="21" t="s">
        <v>760</v>
      </c>
      <c r="G693" s="21">
        <v>459.56</v>
      </c>
      <c r="H693" s="21">
        <v>264.60000000000002</v>
      </c>
      <c r="I693" s="117" t="s">
        <v>325</v>
      </c>
      <c r="J693" s="117" t="s">
        <v>325</v>
      </c>
      <c r="K693" s="118">
        <v>32.840000000000003</v>
      </c>
      <c r="L693" s="21"/>
      <c r="M693" s="21"/>
      <c r="N693" s="21"/>
      <c r="O693" s="21"/>
      <c r="P693" s="21">
        <v>162.12</v>
      </c>
      <c r="Q693" s="21"/>
      <c r="R693" s="21" t="s">
        <v>329</v>
      </c>
      <c r="S693" s="119">
        <f>DATABASE_Table[[#This Row],[Inicial Asking Price (€) (Total)]]-DATABASE_Table[[#This Row],[Vista membership]]-DATABASE_Table[[#This Row],[FF&amp;E]]</f>
        <v>2058200</v>
      </c>
      <c r="T693" s="125">
        <v>2144100</v>
      </c>
      <c r="U693" s="124">
        <v>2230000</v>
      </c>
      <c r="V693" s="21">
        <v>24600</v>
      </c>
      <c r="W693" s="21">
        <v>61300</v>
      </c>
      <c r="X693" s="73">
        <f>DATABASE_Table[[#This Row],[Current Asking price( Total)]]-DATABASE_Table[[#This Row],[Vista membership]]-DATABASE_Table[[#This Row],[FF&amp;E]]</f>
        <v>2144100</v>
      </c>
      <c r="Y693" s="126"/>
      <c r="Z693" s="124">
        <v>2230000</v>
      </c>
      <c r="AA693" s="73">
        <f>DATABASE_Table[[#This Row],[Sell price (Total)]]-DATABASE_Table[[#This Row],[FF&amp;E]]-DATABASE_Table[[#This Row],[Vista membership]]</f>
        <v>2144100</v>
      </c>
      <c r="AB693" s="74">
        <v>45673</v>
      </c>
      <c r="AC693" s="74" t="str">
        <f t="shared" si="10"/>
        <v>Q1 2025</v>
      </c>
      <c r="AD693" s="123"/>
      <c r="AE693" s="69"/>
      <c r="AF693" s="21" t="s">
        <v>10</v>
      </c>
      <c r="AG693" s="21" t="s">
        <v>35</v>
      </c>
      <c r="AH693" s="122" t="s">
        <v>38</v>
      </c>
      <c r="AI693" s="122" t="s">
        <v>39</v>
      </c>
      <c r="AJ693" s="122" t="s">
        <v>40</v>
      </c>
      <c r="AK693" s="122" t="s">
        <v>804</v>
      </c>
      <c r="AL693" s="21" t="s">
        <v>41</v>
      </c>
      <c r="AM693" s="122" t="s">
        <v>37</v>
      </c>
    </row>
    <row r="694" spans="1:39" customFormat="1" ht="15.75" customHeight="1" x14ac:dyDescent="0.3">
      <c r="A694" t="s">
        <v>37</v>
      </c>
      <c r="B694" s="21" t="s">
        <v>687</v>
      </c>
      <c r="C694" s="21" t="s">
        <v>688</v>
      </c>
      <c r="D694" s="117" t="s">
        <v>375</v>
      </c>
      <c r="E694" s="21" t="s">
        <v>9</v>
      </c>
      <c r="F694" s="21" t="s">
        <v>760</v>
      </c>
      <c r="G694" s="21">
        <v>416.4</v>
      </c>
      <c r="H694" s="21">
        <v>220.48</v>
      </c>
      <c r="I694" s="117" t="s">
        <v>325</v>
      </c>
      <c r="J694" s="117" t="s">
        <v>325</v>
      </c>
      <c r="K694" s="118">
        <v>32.840000000000003</v>
      </c>
      <c r="L694" s="21"/>
      <c r="M694" s="21"/>
      <c r="N694" s="21"/>
      <c r="O694" s="21"/>
      <c r="P694" s="21">
        <v>163.08000000000001</v>
      </c>
      <c r="Q694" s="21"/>
      <c r="R694" s="21" t="s">
        <v>329</v>
      </c>
      <c r="S694" s="119">
        <f>DATABASE_Table[[#This Row],[Inicial Asking Price (€) (Total)]]-DATABASE_Table[[#This Row],[Vista membership]]-DATABASE_Table[[#This Row],[FF&amp;E]]</f>
        <v>1958200</v>
      </c>
      <c r="T694" s="125">
        <v>2044100</v>
      </c>
      <c r="U694" s="124">
        <v>2130000</v>
      </c>
      <c r="V694" s="21">
        <v>24600</v>
      </c>
      <c r="W694" s="21">
        <v>61300</v>
      </c>
      <c r="X694" s="73">
        <f>DATABASE_Table[[#This Row],[Current Asking price( Total)]]-DATABASE_Table[[#This Row],[Vista membership]]-DATABASE_Table[[#This Row],[FF&amp;E]]</f>
        <v>2044100</v>
      </c>
      <c r="Y694" s="126"/>
      <c r="Z694" s="124">
        <v>2130000</v>
      </c>
      <c r="AA694" s="73">
        <f>DATABASE_Table[[#This Row],[Sell price (Total)]]-DATABASE_Table[[#This Row],[FF&amp;E]]-DATABASE_Table[[#This Row],[Vista membership]]</f>
        <v>2044100</v>
      </c>
      <c r="AB694" s="74">
        <v>45673</v>
      </c>
      <c r="AC694" s="74" t="str">
        <f t="shared" si="10"/>
        <v>Q1 2025</v>
      </c>
      <c r="AD694" s="123"/>
      <c r="AE694" s="69"/>
      <c r="AF694" s="21" t="s">
        <v>10</v>
      </c>
      <c r="AG694" s="21" t="s">
        <v>35</v>
      </c>
      <c r="AH694" s="122" t="s">
        <v>38</v>
      </c>
      <c r="AI694" s="122" t="s">
        <v>39</v>
      </c>
      <c r="AJ694" s="122" t="s">
        <v>40</v>
      </c>
      <c r="AK694" s="122" t="s">
        <v>804</v>
      </c>
      <c r="AL694" s="21" t="s">
        <v>41</v>
      </c>
      <c r="AM694" s="122" t="s">
        <v>37</v>
      </c>
    </row>
    <row r="695" spans="1:39" customFormat="1" ht="15.75" customHeight="1" x14ac:dyDescent="0.3">
      <c r="A695" t="s">
        <v>37</v>
      </c>
      <c r="B695" s="21" t="s">
        <v>687</v>
      </c>
      <c r="C695" s="21" t="s">
        <v>688</v>
      </c>
      <c r="D695" s="117" t="s">
        <v>376</v>
      </c>
      <c r="E695" s="21" t="s">
        <v>9</v>
      </c>
      <c r="F695" s="21" t="s">
        <v>762</v>
      </c>
      <c r="G695" s="21">
        <v>333.99</v>
      </c>
      <c r="H695" s="21">
        <v>172.78</v>
      </c>
      <c r="I695" s="117" t="s">
        <v>325</v>
      </c>
      <c r="J695" s="117" t="s">
        <v>325</v>
      </c>
      <c r="K695" s="118">
        <v>25.77</v>
      </c>
      <c r="L695" s="21"/>
      <c r="M695" s="21"/>
      <c r="N695" s="21"/>
      <c r="O695" s="21"/>
      <c r="P695" s="21">
        <v>135.44</v>
      </c>
      <c r="Q695" s="21"/>
      <c r="R695" s="21" t="s">
        <v>329</v>
      </c>
      <c r="S695" s="119">
        <f>DATABASE_Table[[#This Row],[Inicial Asking Price (€) (Total)]]-DATABASE_Table[[#This Row],[Vista membership]]-DATABASE_Table[[#This Row],[FF&amp;E]]</f>
        <v>1737700</v>
      </c>
      <c r="T695" s="125">
        <v>1808850</v>
      </c>
      <c r="U695" s="124">
        <v>1880000</v>
      </c>
      <c r="V695" s="21">
        <v>24600</v>
      </c>
      <c r="W695" s="21">
        <v>46550</v>
      </c>
      <c r="X695" s="73">
        <f>DATABASE_Table[[#This Row],[Current Asking price( Total)]]-DATABASE_Table[[#This Row],[Vista membership]]-DATABASE_Table[[#This Row],[FF&amp;E]]</f>
        <v>1808850</v>
      </c>
      <c r="Y695" s="126"/>
      <c r="Z695" s="124">
        <v>1880000</v>
      </c>
      <c r="AA695" s="73">
        <f>DATABASE_Table[[#This Row],[Sell price (Total)]]-DATABASE_Table[[#This Row],[FF&amp;E]]-DATABASE_Table[[#This Row],[Vista membership]]</f>
        <v>1808850</v>
      </c>
      <c r="AB695" s="74">
        <v>45673</v>
      </c>
      <c r="AC695" s="74" t="str">
        <f t="shared" si="10"/>
        <v>Q1 2025</v>
      </c>
      <c r="AD695" s="123"/>
      <c r="AE695" s="69"/>
      <c r="AF695" s="21" t="s">
        <v>10</v>
      </c>
      <c r="AG695" s="21" t="s">
        <v>35</v>
      </c>
      <c r="AH695" s="122" t="s">
        <v>38</v>
      </c>
      <c r="AI695" s="122" t="s">
        <v>39</v>
      </c>
      <c r="AJ695" s="122" t="s">
        <v>40</v>
      </c>
      <c r="AK695" s="122" t="s">
        <v>804</v>
      </c>
      <c r="AL695" s="21" t="s">
        <v>41</v>
      </c>
      <c r="AM695" s="122" t="s">
        <v>37</v>
      </c>
    </row>
    <row r="696" spans="1:39" customFormat="1" ht="15.75" customHeight="1" x14ac:dyDescent="0.3">
      <c r="A696" t="s">
        <v>37</v>
      </c>
      <c r="B696" s="21" t="s">
        <v>687</v>
      </c>
      <c r="C696" s="21" t="s">
        <v>688</v>
      </c>
      <c r="D696" s="117" t="s">
        <v>377</v>
      </c>
      <c r="E696" s="21" t="s">
        <v>9</v>
      </c>
      <c r="F696" s="21" t="s">
        <v>762</v>
      </c>
      <c r="G696" s="21">
        <v>333.99</v>
      </c>
      <c r="H696" s="21">
        <v>172.78</v>
      </c>
      <c r="I696" s="117" t="s">
        <v>325</v>
      </c>
      <c r="J696" s="117" t="s">
        <v>325</v>
      </c>
      <c r="K696" s="118">
        <v>25.77</v>
      </c>
      <c r="L696" s="21"/>
      <c r="M696" s="21"/>
      <c r="N696" s="21"/>
      <c r="O696" s="21"/>
      <c r="P696" s="21">
        <v>135.44</v>
      </c>
      <c r="Q696" s="21"/>
      <c r="R696" s="21" t="s">
        <v>329</v>
      </c>
      <c r="S696" s="119">
        <f>DATABASE_Table[[#This Row],[Inicial Asking Price (€) (Total)]]-DATABASE_Table[[#This Row],[Vista membership]]-DATABASE_Table[[#This Row],[FF&amp;E]]</f>
        <v>1717700</v>
      </c>
      <c r="T696" s="125">
        <v>1788850</v>
      </c>
      <c r="U696" s="124">
        <v>1860000</v>
      </c>
      <c r="V696" s="21">
        <v>24600</v>
      </c>
      <c r="W696" s="21">
        <v>46550</v>
      </c>
      <c r="X696" s="73">
        <f>DATABASE_Table[[#This Row],[Current Asking price( Total)]]-DATABASE_Table[[#This Row],[Vista membership]]-DATABASE_Table[[#This Row],[FF&amp;E]]</f>
        <v>1788850</v>
      </c>
      <c r="Y696" s="126"/>
      <c r="Z696" s="124">
        <v>1860000</v>
      </c>
      <c r="AA696" s="73">
        <f>DATABASE_Table[[#This Row],[Sell price (Total)]]-DATABASE_Table[[#This Row],[FF&amp;E]]-DATABASE_Table[[#This Row],[Vista membership]]</f>
        <v>1788850</v>
      </c>
      <c r="AB696" s="74">
        <v>45673</v>
      </c>
      <c r="AC696" s="74" t="str">
        <f t="shared" si="10"/>
        <v>Q1 2025</v>
      </c>
      <c r="AD696" s="123"/>
      <c r="AE696" s="69"/>
      <c r="AF696" s="21" t="s">
        <v>10</v>
      </c>
      <c r="AG696" s="21" t="s">
        <v>35</v>
      </c>
      <c r="AH696" s="122" t="s">
        <v>38</v>
      </c>
      <c r="AI696" s="122" t="s">
        <v>39</v>
      </c>
      <c r="AJ696" s="122" t="s">
        <v>40</v>
      </c>
      <c r="AK696" s="122" t="s">
        <v>804</v>
      </c>
      <c r="AL696" s="21" t="s">
        <v>41</v>
      </c>
      <c r="AM696" s="122" t="s">
        <v>37</v>
      </c>
    </row>
    <row r="697" spans="1:39" customFormat="1" ht="15.75" customHeight="1" x14ac:dyDescent="0.3">
      <c r="A697" t="s">
        <v>37</v>
      </c>
      <c r="B697" s="21" t="s">
        <v>687</v>
      </c>
      <c r="C697" s="21" t="s">
        <v>688</v>
      </c>
      <c r="D697" s="117" t="s">
        <v>378</v>
      </c>
      <c r="E697" s="21" t="s">
        <v>9</v>
      </c>
      <c r="F697" s="21" t="s">
        <v>762</v>
      </c>
      <c r="G697" s="21">
        <v>343.47</v>
      </c>
      <c r="H697" s="21">
        <v>179.37</v>
      </c>
      <c r="I697" s="117" t="s">
        <v>325</v>
      </c>
      <c r="J697" s="117" t="s">
        <v>325</v>
      </c>
      <c r="K697" s="118">
        <v>25.77</v>
      </c>
      <c r="L697" s="21"/>
      <c r="M697" s="21"/>
      <c r="N697" s="21"/>
      <c r="O697" s="21"/>
      <c r="P697" s="21">
        <v>138.33000000000001</v>
      </c>
      <c r="Q697" s="21"/>
      <c r="R697" s="21" t="s">
        <v>329</v>
      </c>
      <c r="S697" s="119">
        <f>DATABASE_Table[[#This Row],[Inicial Asking Price (€) (Total)]]-DATABASE_Table[[#This Row],[Vista membership]]-DATABASE_Table[[#This Row],[FF&amp;E]]</f>
        <v>1717700</v>
      </c>
      <c r="T697" s="125">
        <v>1788850</v>
      </c>
      <c r="U697" s="124">
        <v>1860000</v>
      </c>
      <c r="V697" s="21">
        <v>24600</v>
      </c>
      <c r="W697" s="21">
        <v>46550</v>
      </c>
      <c r="X697" s="73">
        <f>DATABASE_Table[[#This Row],[Current Asking price( Total)]]-DATABASE_Table[[#This Row],[Vista membership]]-DATABASE_Table[[#This Row],[FF&amp;E]]</f>
        <v>1788850</v>
      </c>
      <c r="Y697" s="126"/>
      <c r="Z697" s="124">
        <v>1860000</v>
      </c>
      <c r="AA697" s="73">
        <f>DATABASE_Table[[#This Row],[Sell price (Total)]]-DATABASE_Table[[#This Row],[FF&amp;E]]-DATABASE_Table[[#This Row],[Vista membership]]</f>
        <v>1788850</v>
      </c>
      <c r="AB697" s="74">
        <v>45673</v>
      </c>
      <c r="AC697" s="74" t="str">
        <f t="shared" si="10"/>
        <v>Q1 2025</v>
      </c>
      <c r="AD697" s="123"/>
      <c r="AE697" s="69"/>
      <c r="AF697" s="21" t="s">
        <v>10</v>
      </c>
      <c r="AG697" s="21" t="s">
        <v>35</v>
      </c>
      <c r="AH697" s="122" t="s">
        <v>38</v>
      </c>
      <c r="AI697" s="122" t="s">
        <v>39</v>
      </c>
      <c r="AJ697" s="122" t="s">
        <v>40</v>
      </c>
      <c r="AK697" s="122" t="s">
        <v>804</v>
      </c>
      <c r="AL697" s="21" t="s">
        <v>41</v>
      </c>
      <c r="AM697" s="122" t="s">
        <v>37</v>
      </c>
    </row>
    <row r="698" spans="1:39" customFormat="1" ht="15.75" customHeight="1" x14ac:dyDescent="0.3">
      <c r="A698" t="s">
        <v>37</v>
      </c>
      <c r="B698" s="21" t="s">
        <v>687</v>
      </c>
      <c r="C698" s="21" t="s">
        <v>688</v>
      </c>
      <c r="D698" s="117" t="s">
        <v>379</v>
      </c>
      <c r="E698" s="21" t="s">
        <v>9</v>
      </c>
      <c r="F698" s="21" t="s">
        <v>762</v>
      </c>
      <c r="G698" s="21">
        <v>282.32</v>
      </c>
      <c r="H698" s="21">
        <v>116.67</v>
      </c>
      <c r="I698" s="117" t="s">
        <v>325</v>
      </c>
      <c r="J698" s="117" t="s">
        <v>325</v>
      </c>
      <c r="K698" s="118">
        <v>25.77</v>
      </c>
      <c r="L698" s="21"/>
      <c r="M698" s="21"/>
      <c r="N698" s="21"/>
      <c r="O698" s="21"/>
      <c r="P698" s="21">
        <v>139.88</v>
      </c>
      <c r="Q698" s="21"/>
      <c r="R698" s="21" t="s">
        <v>329</v>
      </c>
      <c r="S698" s="119">
        <f>DATABASE_Table[[#This Row],[Inicial Asking Price (€) (Total)]]-DATABASE_Table[[#This Row],[Vista membership]]-DATABASE_Table[[#This Row],[FF&amp;E]]</f>
        <v>1507700</v>
      </c>
      <c r="T698" s="125">
        <v>1578850</v>
      </c>
      <c r="U698" s="124">
        <v>1650000</v>
      </c>
      <c r="V698" s="21">
        <v>24600</v>
      </c>
      <c r="W698" s="21">
        <v>46550</v>
      </c>
      <c r="X698" s="73">
        <f>DATABASE_Table[[#This Row],[Current Asking price( Total)]]-DATABASE_Table[[#This Row],[Vista membership]]-DATABASE_Table[[#This Row],[FF&amp;E]]</f>
        <v>1578850</v>
      </c>
      <c r="Y698" s="126"/>
      <c r="Z698" s="124">
        <v>1650000</v>
      </c>
      <c r="AA698" s="73">
        <f>DATABASE_Table[[#This Row],[Sell price (Total)]]-DATABASE_Table[[#This Row],[FF&amp;E]]-DATABASE_Table[[#This Row],[Vista membership]]</f>
        <v>1578850</v>
      </c>
      <c r="AB698" s="74">
        <v>45673</v>
      </c>
      <c r="AC698" s="74" t="str">
        <f t="shared" si="10"/>
        <v>Q1 2025</v>
      </c>
      <c r="AD698" s="123"/>
      <c r="AE698" s="69"/>
      <c r="AF698" s="21" t="s">
        <v>10</v>
      </c>
      <c r="AG698" s="21" t="s">
        <v>35</v>
      </c>
      <c r="AH698" s="122" t="s">
        <v>38</v>
      </c>
      <c r="AI698" s="122" t="s">
        <v>39</v>
      </c>
      <c r="AJ698" s="122" t="s">
        <v>40</v>
      </c>
      <c r="AK698" s="122" t="s">
        <v>804</v>
      </c>
      <c r="AL698" s="21" t="s">
        <v>41</v>
      </c>
      <c r="AM698" s="122" t="s">
        <v>37</v>
      </c>
    </row>
    <row r="699" spans="1:39" customFormat="1" ht="15.75" customHeight="1" x14ac:dyDescent="0.3">
      <c r="A699" t="s">
        <v>37</v>
      </c>
      <c r="B699" s="21" t="s">
        <v>687</v>
      </c>
      <c r="C699" s="21" t="s">
        <v>688</v>
      </c>
      <c r="D699" s="117" t="s">
        <v>380</v>
      </c>
      <c r="E699" s="21" t="s">
        <v>9</v>
      </c>
      <c r="F699" s="21" t="s">
        <v>762</v>
      </c>
      <c r="G699" s="21">
        <v>280.27</v>
      </c>
      <c r="H699" s="21">
        <v>119.06</v>
      </c>
      <c r="I699" s="117" t="s">
        <v>325</v>
      </c>
      <c r="J699" s="117" t="s">
        <v>325</v>
      </c>
      <c r="K699" s="118">
        <v>25.77</v>
      </c>
      <c r="L699" s="21"/>
      <c r="M699" s="21"/>
      <c r="N699" s="21"/>
      <c r="O699" s="21"/>
      <c r="P699" s="21">
        <v>135.44</v>
      </c>
      <c r="Q699" s="21"/>
      <c r="R699" s="21" t="s">
        <v>329</v>
      </c>
      <c r="S699" s="119">
        <f>DATABASE_Table[[#This Row],[Inicial Asking Price (€) (Total)]]-DATABASE_Table[[#This Row],[Vista membership]]-DATABASE_Table[[#This Row],[FF&amp;E]]</f>
        <v>1417700</v>
      </c>
      <c r="T699" s="125">
        <v>1488850</v>
      </c>
      <c r="U699" s="124">
        <v>1560000</v>
      </c>
      <c r="V699" s="21">
        <v>24600</v>
      </c>
      <c r="W699" s="21">
        <v>46550</v>
      </c>
      <c r="X699" s="73">
        <f>DATABASE_Table[[#This Row],[Current Asking price( Total)]]-DATABASE_Table[[#This Row],[Vista membership]]-DATABASE_Table[[#This Row],[FF&amp;E]]</f>
        <v>1488850</v>
      </c>
      <c r="Y699" s="126"/>
      <c r="Z699" s="124">
        <v>1560000</v>
      </c>
      <c r="AA699" s="73">
        <f>DATABASE_Table[[#This Row],[Sell price (Total)]]-DATABASE_Table[[#This Row],[FF&amp;E]]-DATABASE_Table[[#This Row],[Vista membership]]</f>
        <v>1488850</v>
      </c>
      <c r="AB699" s="74">
        <v>45673</v>
      </c>
      <c r="AC699" s="74" t="str">
        <f t="shared" si="10"/>
        <v>Q1 2025</v>
      </c>
      <c r="AD699" s="123"/>
      <c r="AE699" s="69"/>
      <c r="AF699" s="21" t="s">
        <v>10</v>
      </c>
      <c r="AG699" s="21" t="s">
        <v>35</v>
      </c>
      <c r="AH699" s="122" t="s">
        <v>38</v>
      </c>
      <c r="AI699" s="122" t="s">
        <v>39</v>
      </c>
      <c r="AJ699" s="122" t="s">
        <v>40</v>
      </c>
      <c r="AK699" s="122" t="s">
        <v>804</v>
      </c>
      <c r="AL699" s="21" t="s">
        <v>41</v>
      </c>
      <c r="AM699" s="122" t="s">
        <v>37</v>
      </c>
    </row>
    <row r="700" spans="1:39" customFormat="1" ht="15.75" customHeight="1" x14ac:dyDescent="0.3">
      <c r="A700" t="s">
        <v>37</v>
      </c>
      <c r="B700" s="21" t="s">
        <v>687</v>
      </c>
      <c r="C700" s="21" t="s">
        <v>688</v>
      </c>
      <c r="D700" s="117" t="s">
        <v>381</v>
      </c>
      <c r="E700" s="21" t="s">
        <v>9</v>
      </c>
      <c r="F700" s="21" t="s">
        <v>762</v>
      </c>
      <c r="G700" s="21">
        <v>280.27</v>
      </c>
      <c r="H700" s="21">
        <v>119.06</v>
      </c>
      <c r="I700" s="117" t="s">
        <v>325</v>
      </c>
      <c r="J700" s="117" t="s">
        <v>325</v>
      </c>
      <c r="K700" s="118">
        <v>25.77</v>
      </c>
      <c r="L700" s="21"/>
      <c r="M700" s="21"/>
      <c r="N700" s="21"/>
      <c r="O700" s="21"/>
      <c r="P700" s="21">
        <v>135.44</v>
      </c>
      <c r="Q700" s="21"/>
      <c r="R700" s="21" t="s">
        <v>329</v>
      </c>
      <c r="S700" s="119">
        <f>DATABASE_Table[[#This Row],[Inicial Asking Price (€) (Total)]]-DATABASE_Table[[#This Row],[Vista membership]]-DATABASE_Table[[#This Row],[FF&amp;E]]</f>
        <v>1397700</v>
      </c>
      <c r="T700" s="125">
        <v>1468850</v>
      </c>
      <c r="U700" s="124">
        <v>1540000</v>
      </c>
      <c r="V700" s="21">
        <v>24600</v>
      </c>
      <c r="W700" s="21">
        <v>46550</v>
      </c>
      <c r="X700" s="73">
        <f>DATABASE_Table[[#This Row],[Current Asking price( Total)]]-DATABASE_Table[[#This Row],[Vista membership]]-DATABASE_Table[[#This Row],[FF&amp;E]]</f>
        <v>1468850</v>
      </c>
      <c r="Y700" s="126"/>
      <c r="Z700" s="124">
        <v>1540000</v>
      </c>
      <c r="AA700" s="73">
        <f>DATABASE_Table[[#This Row],[Sell price (Total)]]-DATABASE_Table[[#This Row],[FF&amp;E]]-DATABASE_Table[[#This Row],[Vista membership]]</f>
        <v>1468850</v>
      </c>
      <c r="AB700" s="74">
        <v>45673</v>
      </c>
      <c r="AC700" s="74" t="str">
        <f t="shared" si="10"/>
        <v>Q1 2025</v>
      </c>
      <c r="AD700" s="123"/>
      <c r="AE700" s="69"/>
      <c r="AF700" s="21" t="s">
        <v>10</v>
      </c>
      <c r="AG700" s="21" t="s">
        <v>35</v>
      </c>
      <c r="AH700" s="122" t="s">
        <v>38</v>
      </c>
      <c r="AI700" s="122" t="s">
        <v>39</v>
      </c>
      <c r="AJ700" s="122" t="s">
        <v>40</v>
      </c>
      <c r="AK700" s="122" t="s">
        <v>804</v>
      </c>
      <c r="AL700" s="21" t="s">
        <v>41</v>
      </c>
      <c r="AM700" s="122" t="s">
        <v>37</v>
      </c>
    </row>
    <row r="701" spans="1:39" customFormat="1" ht="15.75" customHeight="1" x14ac:dyDescent="0.3">
      <c r="A701" t="s">
        <v>37</v>
      </c>
      <c r="B701" s="21" t="s">
        <v>687</v>
      </c>
      <c r="C701" s="21" t="s">
        <v>688</v>
      </c>
      <c r="D701" s="117" t="s">
        <v>382</v>
      </c>
      <c r="E701" s="21" t="s">
        <v>9</v>
      </c>
      <c r="F701" s="21" t="s">
        <v>762</v>
      </c>
      <c r="G701" s="21">
        <v>405.04</v>
      </c>
      <c r="H701" s="21">
        <v>240.94</v>
      </c>
      <c r="I701" s="117" t="s">
        <v>325</v>
      </c>
      <c r="J701" s="117" t="s">
        <v>325</v>
      </c>
      <c r="K701" s="118">
        <v>25.77</v>
      </c>
      <c r="L701" s="21"/>
      <c r="M701" s="21"/>
      <c r="N701" s="21"/>
      <c r="O701" s="21"/>
      <c r="P701" s="21">
        <v>138.33000000000001</v>
      </c>
      <c r="Q701" s="21"/>
      <c r="R701" s="21" t="s">
        <v>329</v>
      </c>
      <c r="S701" s="119">
        <f>DATABASE_Table[[#This Row],[Inicial Asking Price (€) (Total)]]-DATABASE_Table[[#This Row],[Vista membership]]-DATABASE_Table[[#This Row],[FF&amp;E]]</f>
        <v>1587700</v>
      </c>
      <c r="T701" s="125">
        <v>1658850</v>
      </c>
      <c r="U701" s="124">
        <v>1730000</v>
      </c>
      <c r="V701" s="21">
        <v>24600</v>
      </c>
      <c r="W701" s="21">
        <v>46550</v>
      </c>
      <c r="X701" s="73">
        <f>DATABASE_Table[[#This Row],[Current Asking price( Total)]]-DATABASE_Table[[#This Row],[Vista membership]]-DATABASE_Table[[#This Row],[FF&amp;E]]</f>
        <v>1658850</v>
      </c>
      <c r="Y701" s="126"/>
      <c r="Z701" s="124">
        <v>1730000</v>
      </c>
      <c r="AA701" s="73">
        <f>DATABASE_Table[[#This Row],[Sell price (Total)]]-DATABASE_Table[[#This Row],[FF&amp;E]]-DATABASE_Table[[#This Row],[Vista membership]]</f>
        <v>1658850</v>
      </c>
      <c r="AB701" s="74">
        <v>45673</v>
      </c>
      <c r="AC701" s="74" t="str">
        <f t="shared" si="10"/>
        <v>Q1 2025</v>
      </c>
      <c r="AD701" s="123"/>
      <c r="AE701" s="69"/>
      <c r="AF701" s="21" t="s">
        <v>10</v>
      </c>
      <c r="AG701" s="21" t="s">
        <v>35</v>
      </c>
      <c r="AH701" s="122" t="s">
        <v>38</v>
      </c>
      <c r="AI701" s="122" t="s">
        <v>39</v>
      </c>
      <c r="AJ701" s="122" t="s">
        <v>40</v>
      </c>
      <c r="AK701" s="122" t="s">
        <v>804</v>
      </c>
      <c r="AL701" s="21" t="s">
        <v>41</v>
      </c>
      <c r="AM701" s="122" t="s">
        <v>37</v>
      </c>
    </row>
    <row r="702" spans="1:39" customFormat="1" ht="15.75" customHeight="1" x14ac:dyDescent="0.3">
      <c r="A702" t="s">
        <v>37</v>
      </c>
      <c r="B702" s="21" t="s">
        <v>687</v>
      </c>
      <c r="C702" s="21" t="s">
        <v>688</v>
      </c>
      <c r="D702" s="117" t="s">
        <v>385</v>
      </c>
      <c r="E702" s="21" t="s">
        <v>9</v>
      </c>
      <c r="F702" s="21" t="s">
        <v>762</v>
      </c>
      <c r="G702" s="21">
        <v>398.1</v>
      </c>
      <c r="H702" s="21">
        <v>234.02</v>
      </c>
      <c r="I702" s="117" t="s">
        <v>325</v>
      </c>
      <c r="J702" s="117" t="s">
        <v>325</v>
      </c>
      <c r="K702" s="118">
        <v>25.77</v>
      </c>
      <c r="L702" s="21"/>
      <c r="M702" s="21"/>
      <c r="N702" s="21"/>
      <c r="O702" s="21"/>
      <c r="P702" s="21">
        <v>138.31</v>
      </c>
      <c r="Q702" s="21"/>
      <c r="R702" s="21" t="s">
        <v>329</v>
      </c>
      <c r="S702" s="119">
        <f>DATABASE_Table[[#This Row],[Inicial Asking Price (€) (Total)]]-DATABASE_Table[[#This Row],[Vista membership]]-DATABASE_Table[[#This Row],[FF&amp;E]]</f>
        <v>1387700</v>
      </c>
      <c r="T702" s="125">
        <v>1458850</v>
      </c>
      <c r="U702" s="124">
        <v>1530000</v>
      </c>
      <c r="V702" s="21">
        <v>24600</v>
      </c>
      <c r="W702" s="21">
        <v>46550</v>
      </c>
      <c r="X702" s="73">
        <f>DATABASE_Table[[#This Row],[Current Asking price( Total)]]-DATABASE_Table[[#This Row],[Vista membership]]-DATABASE_Table[[#This Row],[FF&amp;E]]</f>
        <v>1458850</v>
      </c>
      <c r="Y702" s="126"/>
      <c r="Z702" s="124">
        <v>1530000</v>
      </c>
      <c r="AA702" s="73">
        <f>DATABASE_Table[[#This Row],[Sell price (Total)]]-DATABASE_Table[[#This Row],[FF&amp;E]]-DATABASE_Table[[#This Row],[Vista membership]]</f>
        <v>1458850</v>
      </c>
      <c r="AB702" s="74">
        <v>45673</v>
      </c>
      <c r="AC702" s="74" t="str">
        <f t="shared" si="10"/>
        <v>Q1 2025</v>
      </c>
      <c r="AD702" s="123"/>
      <c r="AE702" s="69"/>
      <c r="AF702" s="21" t="s">
        <v>10</v>
      </c>
      <c r="AG702" s="21" t="s">
        <v>35</v>
      </c>
      <c r="AH702" s="122" t="s">
        <v>38</v>
      </c>
      <c r="AI702" s="122" t="s">
        <v>39</v>
      </c>
      <c r="AJ702" s="122" t="s">
        <v>40</v>
      </c>
      <c r="AK702" s="122" t="s">
        <v>804</v>
      </c>
      <c r="AL702" s="21" t="s">
        <v>41</v>
      </c>
      <c r="AM702" s="122" t="s">
        <v>37</v>
      </c>
    </row>
    <row r="703" spans="1:39" customFormat="1" ht="15.75" customHeight="1" x14ac:dyDescent="0.3">
      <c r="A703" t="s">
        <v>37</v>
      </c>
      <c r="B703" s="21" t="s">
        <v>687</v>
      </c>
      <c r="C703" s="21" t="s">
        <v>688</v>
      </c>
      <c r="D703" s="117" t="s">
        <v>386</v>
      </c>
      <c r="E703" s="21" t="s">
        <v>9</v>
      </c>
      <c r="F703" s="21" t="s">
        <v>762</v>
      </c>
      <c r="G703" s="21">
        <v>280.27</v>
      </c>
      <c r="H703" s="21">
        <v>119.06</v>
      </c>
      <c r="I703" s="117" t="s">
        <v>325</v>
      </c>
      <c r="J703" s="117" t="s">
        <v>325</v>
      </c>
      <c r="K703" s="118">
        <v>25.77</v>
      </c>
      <c r="L703" s="21"/>
      <c r="M703" s="21"/>
      <c r="N703" s="21"/>
      <c r="O703" s="21"/>
      <c r="P703" s="21">
        <v>135.44</v>
      </c>
      <c r="Q703" s="21"/>
      <c r="R703" s="21" t="s">
        <v>329</v>
      </c>
      <c r="S703" s="119">
        <f>DATABASE_Table[[#This Row],[Inicial Asking Price (€) (Total)]]-DATABASE_Table[[#This Row],[Vista membership]]-DATABASE_Table[[#This Row],[FF&amp;E]]</f>
        <v>1227700</v>
      </c>
      <c r="T703" s="125">
        <v>1298850</v>
      </c>
      <c r="U703" s="124">
        <v>1370000</v>
      </c>
      <c r="V703" s="21">
        <v>24600</v>
      </c>
      <c r="W703" s="21">
        <v>46550</v>
      </c>
      <c r="X703" s="73">
        <f>DATABASE_Table[[#This Row],[Current Asking price( Total)]]-DATABASE_Table[[#This Row],[Vista membership]]-DATABASE_Table[[#This Row],[FF&amp;E]]</f>
        <v>1298850</v>
      </c>
      <c r="Y703" s="126"/>
      <c r="Z703" s="124">
        <v>1370000</v>
      </c>
      <c r="AA703" s="73">
        <f>DATABASE_Table[[#This Row],[Sell price (Total)]]-DATABASE_Table[[#This Row],[FF&amp;E]]-DATABASE_Table[[#This Row],[Vista membership]]</f>
        <v>1298850</v>
      </c>
      <c r="AB703" s="74">
        <v>45673</v>
      </c>
      <c r="AC703" s="74" t="str">
        <f t="shared" si="10"/>
        <v>Q1 2025</v>
      </c>
      <c r="AD703" s="123"/>
      <c r="AE703" s="69"/>
      <c r="AF703" s="21" t="s">
        <v>10</v>
      </c>
      <c r="AG703" s="21" t="s">
        <v>35</v>
      </c>
      <c r="AH703" s="122" t="s">
        <v>38</v>
      </c>
      <c r="AI703" s="122" t="s">
        <v>39</v>
      </c>
      <c r="AJ703" s="122" t="s">
        <v>40</v>
      </c>
      <c r="AK703" s="122" t="s">
        <v>804</v>
      </c>
      <c r="AL703" s="21" t="s">
        <v>41</v>
      </c>
      <c r="AM703" s="122" t="s">
        <v>37</v>
      </c>
    </row>
    <row r="704" spans="1:39" customFormat="1" ht="15.75" customHeight="1" x14ac:dyDescent="0.3">
      <c r="A704" t="s">
        <v>37</v>
      </c>
      <c r="B704" s="21" t="s">
        <v>687</v>
      </c>
      <c r="C704" s="21" t="s">
        <v>688</v>
      </c>
      <c r="D704" s="117" t="s">
        <v>387</v>
      </c>
      <c r="E704" s="21" t="s">
        <v>9</v>
      </c>
      <c r="F704" s="21" t="s">
        <v>762</v>
      </c>
      <c r="G704" s="21">
        <v>288.99</v>
      </c>
      <c r="H704" s="21">
        <v>121.69</v>
      </c>
      <c r="I704" s="117" t="s">
        <v>325</v>
      </c>
      <c r="J704" s="117" t="s">
        <v>325</v>
      </c>
      <c r="K704" s="118">
        <v>25.77</v>
      </c>
      <c r="L704" s="21"/>
      <c r="M704" s="21"/>
      <c r="N704" s="21"/>
      <c r="O704" s="21"/>
      <c r="P704" s="21">
        <v>141.53</v>
      </c>
      <c r="Q704" s="21"/>
      <c r="R704" s="21" t="s">
        <v>329</v>
      </c>
      <c r="S704" s="119">
        <f>DATABASE_Table[[#This Row],[Inicial Asking Price (€) (Total)]]-DATABASE_Table[[#This Row],[Vista membership]]-DATABASE_Table[[#This Row],[FF&amp;E]]</f>
        <v>1327700</v>
      </c>
      <c r="T704" s="125">
        <v>1398850</v>
      </c>
      <c r="U704" s="124">
        <v>1470000</v>
      </c>
      <c r="V704" s="21">
        <v>24600</v>
      </c>
      <c r="W704" s="21">
        <v>46550</v>
      </c>
      <c r="X704" s="73">
        <f>DATABASE_Table[[#This Row],[Current Asking price( Total)]]-DATABASE_Table[[#This Row],[Vista membership]]-DATABASE_Table[[#This Row],[FF&amp;E]]</f>
        <v>1398850</v>
      </c>
      <c r="Y704" s="126"/>
      <c r="Z704" s="124">
        <v>1470000</v>
      </c>
      <c r="AA704" s="73">
        <f>DATABASE_Table[[#This Row],[Sell price (Total)]]-DATABASE_Table[[#This Row],[FF&amp;E]]-DATABASE_Table[[#This Row],[Vista membership]]</f>
        <v>1398850</v>
      </c>
      <c r="AB704" s="74">
        <v>45673</v>
      </c>
      <c r="AC704" s="74" t="str">
        <f t="shared" si="10"/>
        <v>Q1 2025</v>
      </c>
      <c r="AD704" s="123"/>
      <c r="AE704" s="69"/>
      <c r="AF704" s="21" t="s">
        <v>10</v>
      </c>
      <c r="AG704" s="21" t="s">
        <v>35</v>
      </c>
      <c r="AH704" s="122" t="s">
        <v>38</v>
      </c>
      <c r="AI704" s="122" t="s">
        <v>39</v>
      </c>
      <c r="AJ704" s="122" t="s">
        <v>40</v>
      </c>
      <c r="AK704" s="122" t="s">
        <v>804</v>
      </c>
      <c r="AL704" s="21" t="s">
        <v>41</v>
      </c>
      <c r="AM704" s="122" t="s">
        <v>37</v>
      </c>
    </row>
    <row r="705" spans="1:39" customFormat="1" ht="15.75" customHeight="1" x14ac:dyDescent="0.3">
      <c r="A705" t="s">
        <v>37</v>
      </c>
      <c r="B705" s="21" t="s">
        <v>687</v>
      </c>
      <c r="C705" s="21" t="s">
        <v>688</v>
      </c>
      <c r="D705" s="117" t="s">
        <v>388</v>
      </c>
      <c r="E705" s="21" t="s">
        <v>9</v>
      </c>
      <c r="F705" s="21" t="s">
        <v>762</v>
      </c>
      <c r="G705" s="21">
        <v>334.97</v>
      </c>
      <c r="H705" s="21">
        <v>170.89</v>
      </c>
      <c r="I705" s="117" t="s">
        <v>325</v>
      </c>
      <c r="J705" s="117" t="s">
        <v>325</v>
      </c>
      <c r="K705" s="118">
        <v>25.77</v>
      </c>
      <c r="L705" s="21"/>
      <c r="M705" s="21"/>
      <c r="N705" s="21"/>
      <c r="O705" s="21"/>
      <c r="P705" s="21">
        <v>138.31</v>
      </c>
      <c r="Q705" s="21"/>
      <c r="R705" s="21" t="s">
        <v>329</v>
      </c>
      <c r="S705" s="119">
        <f>DATABASE_Table[[#This Row],[Inicial Asking Price (€) (Total)]]-DATABASE_Table[[#This Row],[Vista membership]]-DATABASE_Table[[#This Row],[FF&amp;E]]</f>
        <v>1517700</v>
      </c>
      <c r="T705" s="125">
        <v>1588850</v>
      </c>
      <c r="U705" s="124">
        <v>1660000</v>
      </c>
      <c r="V705" s="21">
        <v>24600</v>
      </c>
      <c r="W705" s="21">
        <v>46550</v>
      </c>
      <c r="X705" s="73">
        <f>DATABASE_Table[[#This Row],[Current Asking price( Total)]]-DATABASE_Table[[#This Row],[Vista membership]]-DATABASE_Table[[#This Row],[FF&amp;E]]</f>
        <v>1588850</v>
      </c>
      <c r="Y705" s="126"/>
      <c r="Z705" s="124">
        <v>1660000</v>
      </c>
      <c r="AA705" s="73">
        <f>DATABASE_Table[[#This Row],[Sell price (Total)]]-DATABASE_Table[[#This Row],[FF&amp;E]]-DATABASE_Table[[#This Row],[Vista membership]]</f>
        <v>1588850</v>
      </c>
      <c r="AB705" s="74">
        <v>45673</v>
      </c>
      <c r="AC705" s="74" t="str">
        <f t="shared" si="10"/>
        <v>Q1 2025</v>
      </c>
      <c r="AD705" s="123"/>
      <c r="AE705" s="69"/>
      <c r="AF705" s="21" t="s">
        <v>10</v>
      </c>
      <c r="AG705" s="21" t="s">
        <v>35</v>
      </c>
      <c r="AH705" s="122" t="s">
        <v>38</v>
      </c>
      <c r="AI705" s="122" t="s">
        <v>39</v>
      </c>
      <c r="AJ705" s="122" t="s">
        <v>40</v>
      </c>
      <c r="AK705" s="122" t="s">
        <v>804</v>
      </c>
      <c r="AL705" s="21" t="s">
        <v>41</v>
      </c>
      <c r="AM705" s="122" t="s">
        <v>37</v>
      </c>
    </row>
    <row r="706" spans="1:39" customFormat="1" ht="15.75" customHeight="1" x14ac:dyDescent="0.3">
      <c r="A706" t="s">
        <v>37</v>
      </c>
      <c r="B706" s="21" t="s">
        <v>687</v>
      </c>
      <c r="C706" s="21" t="s">
        <v>688</v>
      </c>
      <c r="D706" s="117" t="s">
        <v>389</v>
      </c>
      <c r="E706" s="21" t="s">
        <v>9</v>
      </c>
      <c r="F706" s="21" t="s">
        <v>762</v>
      </c>
      <c r="G706" s="21">
        <v>330.51</v>
      </c>
      <c r="H706" s="21">
        <v>169.3</v>
      </c>
      <c r="I706" s="117" t="s">
        <v>325</v>
      </c>
      <c r="J706" s="117" t="s">
        <v>325</v>
      </c>
      <c r="K706" s="118">
        <v>25.77</v>
      </c>
      <c r="L706" s="21"/>
      <c r="M706" s="21"/>
      <c r="N706" s="21"/>
      <c r="O706" s="21"/>
      <c r="P706" s="21">
        <v>135.44</v>
      </c>
      <c r="Q706" s="21"/>
      <c r="R706" s="21" t="s">
        <v>329</v>
      </c>
      <c r="S706" s="119">
        <f>DATABASE_Table[[#This Row],[Inicial Asking Price (€) (Total)]]-DATABASE_Table[[#This Row],[Vista membership]]-DATABASE_Table[[#This Row],[FF&amp;E]]</f>
        <v>1517700</v>
      </c>
      <c r="T706" s="125">
        <v>1588850</v>
      </c>
      <c r="U706" s="124">
        <v>1660000</v>
      </c>
      <c r="V706" s="21">
        <v>24600</v>
      </c>
      <c r="W706" s="21">
        <v>46550</v>
      </c>
      <c r="X706" s="73">
        <f>DATABASE_Table[[#This Row],[Current Asking price( Total)]]-DATABASE_Table[[#This Row],[Vista membership]]-DATABASE_Table[[#This Row],[FF&amp;E]]</f>
        <v>1588850</v>
      </c>
      <c r="Y706" s="126"/>
      <c r="Z706" s="124">
        <v>1660000</v>
      </c>
      <c r="AA706" s="73">
        <f>DATABASE_Table[[#This Row],[Sell price (Total)]]-DATABASE_Table[[#This Row],[FF&amp;E]]-DATABASE_Table[[#This Row],[Vista membership]]</f>
        <v>1588850</v>
      </c>
      <c r="AB706" s="74">
        <v>45673</v>
      </c>
      <c r="AC706" s="74" t="str">
        <f t="shared" ref="AC706:AC769" si="11">IF(AB706="","TO LAUNCH","Q"&amp;ROUNDUP(MONTH(AB706)/3,0)&amp;" "&amp;YEAR(AB706))</f>
        <v>Q1 2025</v>
      </c>
      <c r="AD706" s="123"/>
      <c r="AE706" s="69"/>
      <c r="AF706" s="21" t="s">
        <v>10</v>
      </c>
      <c r="AG706" s="21" t="s">
        <v>35</v>
      </c>
      <c r="AH706" s="122" t="s">
        <v>38</v>
      </c>
      <c r="AI706" s="122" t="s">
        <v>39</v>
      </c>
      <c r="AJ706" s="122" t="s">
        <v>40</v>
      </c>
      <c r="AK706" s="122" t="s">
        <v>804</v>
      </c>
      <c r="AL706" s="21" t="s">
        <v>41</v>
      </c>
      <c r="AM706" s="122" t="s">
        <v>37</v>
      </c>
    </row>
    <row r="707" spans="1:39" customFormat="1" ht="15.75" customHeight="1" x14ac:dyDescent="0.3">
      <c r="A707" t="s">
        <v>37</v>
      </c>
      <c r="B707" s="21" t="s">
        <v>687</v>
      </c>
      <c r="C707" s="21" t="s">
        <v>688</v>
      </c>
      <c r="D707" s="117" t="s">
        <v>337</v>
      </c>
      <c r="E707" s="21" t="s">
        <v>9</v>
      </c>
      <c r="F707" s="21" t="s">
        <v>383</v>
      </c>
      <c r="G707" s="21">
        <v>323.58999999999997</v>
      </c>
      <c r="H707" s="21">
        <v>165.79</v>
      </c>
      <c r="I707" s="117" t="s">
        <v>325</v>
      </c>
      <c r="J707" s="117" t="s">
        <v>325</v>
      </c>
      <c r="K707" s="118"/>
      <c r="L707" s="21"/>
      <c r="M707" s="21"/>
      <c r="N707" s="21"/>
      <c r="O707" s="21"/>
      <c r="P707" s="21">
        <v>157.80000000000001</v>
      </c>
      <c r="Q707" s="21"/>
      <c r="R707" s="21" t="s">
        <v>329</v>
      </c>
      <c r="S707" s="119">
        <f>DATABASE_Table[[#This Row],[Inicial Asking Price (€) (Total)]]-DATABASE_Table[[#This Row],[Vista membership]]-DATABASE_Table[[#This Row],[FF&amp;E]]</f>
        <v>1652100</v>
      </c>
      <c r="T707" s="125">
        <v>1741050</v>
      </c>
      <c r="U707" s="124">
        <v>1830000</v>
      </c>
      <c r="V707" s="21">
        <v>24600</v>
      </c>
      <c r="W707" s="21">
        <v>64350</v>
      </c>
      <c r="X707" s="73">
        <f>DATABASE_Table[[#This Row],[Current Asking price( Total)]]-DATABASE_Table[[#This Row],[Vista membership]]-DATABASE_Table[[#This Row],[FF&amp;E]]</f>
        <v>1741050</v>
      </c>
      <c r="Y707" s="126"/>
      <c r="Z707" s="124">
        <v>1830000</v>
      </c>
      <c r="AA707" s="73">
        <f>DATABASE_Table[[#This Row],[Sell price (Total)]]-DATABASE_Table[[#This Row],[FF&amp;E]]-DATABASE_Table[[#This Row],[Vista membership]]</f>
        <v>1741050</v>
      </c>
      <c r="AB707" s="74">
        <v>45673</v>
      </c>
      <c r="AC707" s="74" t="str">
        <f t="shared" si="11"/>
        <v>Q1 2025</v>
      </c>
      <c r="AD707" s="123"/>
      <c r="AE707" s="69"/>
      <c r="AF707" s="21" t="s">
        <v>10</v>
      </c>
      <c r="AG707" s="21" t="s">
        <v>35</v>
      </c>
      <c r="AH707" s="122" t="s">
        <v>38</v>
      </c>
      <c r="AI707" s="122" t="s">
        <v>39</v>
      </c>
      <c r="AJ707" s="122" t="s">
        <v>40</v>
      </c>
      <c r="AK707" s="122" t="s">
        <v>804</v>
      </c>
      <c r="AL707" s="21" t="s">
        <v>41</v>
      </c>
      <c r="AM707" s="122" t="s">
        <v>37</v>
      </c>
    </row>
    <row r="708" spans="1:39" customFormat="1" ht="15.75" customHeight="1" x14ac:dyDescent="0.3">
      <c r="A708" t="s">
        <v>37</v>
      </c>
      <c r="B708" s="21" t="s">
        <v>687</v>
      </c>
      <c r="C708" s="21" t="s">
        <v>688</v>
      </c>
      <c r="D708" s="117" t="s">
        <v>390</v>
      </c>
      <c r="E708" s="21" t="s">
        <v>9</v>
      </c>
      <c r="F708" s="21" t="s">
        <v>762</v>
      </c>
      <c r="G708" s="21">
        <v>330.51</v>
      </c>
      <c r="H708" s="21">
        <v>169.3</v>
      </c>
      <c r="I708" s="117" t="s">
        <v>325</v>
      </c>
      <c r="J708" s="117" t="s">
        <v>325</v>
      </c>
      <c r="K708" s="118">
        <v>25.77</v>
      </c>
      <c r="L708" s="21"/>
      <c r="M708" s="21"/>
      <c r="N708" s="21"/>
      <c r="O708" s="21"/>
      <c r="P708" s="21">
        <v>135.44</v>
      </c>
      <c r="Q708" s="21"/>
      <c r="R708" s="21" t="s">
        <v>329</v>
      </c>
      <c r="S708" s="119">
        <f>DATABASE_Table[[#This Row],[Inicial Asking Price (€) (Total)]]-DATABASE_Table[[#This Row],[Vista membership]]-DATABASE_Table[[#This Row],[FF&amp;E]]</f>
        <v>1537700</v>
      </c>
      <c r="T708" s="125">
        <v>1608850</v>
      </c>
      <c r="U708" s="124">
        <v>1680000</v>
      </c>
      <c r="V708" s="21">
        <v>24600</v>
      </c>
      <c r="W708" s="21">
        <v>46550</v>
      </c>
      <c r="X708" s="73">
        <f>DATABASE_Table[[#This Row],[Current Asking price( Total)]]-DATABASE_Table[[#This Row],[Vista membership]]-DATABASE_Table[[#This Row],[FF&amp;E]]</f>
        <v>1608850</v>
      </c>
      <c r="Y708" s="126"/>
      <c r="Z708" s="124">
        <v>1680000</v>
      </c>
      <c r="AA708" s="73">
        <f>DATABASE_Table[[#This Row],[Sell price (Total)]]-DATABASE_Table[[#This Row],[FF&amp;E]]-DATABASE_Table[[#This Row],[Vista membership]]</f>
        <v>1608850</v>
      </c>
      <c r="AB708" s="74">
        <v>45673</v>
      </c>
      <c r="AC708" s="74" t="str">
        <f t="shared" si="11"/>
        <v>Q1 2025</v>
      </c>
      <c r="AD708" s="123"/>
      <c r="AE708" s="69"/>
      <c r="AF708" s="21" t="s">
        <v>10</v>
      </c>
      <c r="AG708" s="21" t="s">
        <v>35</v>
      </c>
      <c r="AH708" s="122" t="s">
        <v>38</v>
      </c>
      <c r="AI708" s="122" t="s">
        <v>39</v>
      </c>
      <c r="AJ708" s="122" t="s">
        <v>40</v>
      </c>
      <c r="AK708" s="122" t="s">
        <v>804</v>
      </c>
      <c r="AL708" s="21" t="s">
        <v>41</v>
      </c>
      <c r="AM708" s="122" t="s">
        <v>37</v>
      </c>
    </row>
    <row r="709" spans="1:39" customFormat="1" ht="15.75" customHeight="1" x14ac:dyDescent="0.3">
      <c r="A709" t="s">
        <v>37</v>
      </c>
      <c r="B709" s="21" t="s">
        <v>687</v>
      </c>
      <c r="C709" s="21" t="s">
        <v>688</v>
      </c>
      <c r="D709" s="117" t="s">
        <v>391</v>
      </c>
      <c r="E709" s="21" t="s">
        <v>9</v>
      </c>
      <c r="F709" s="21" t="s">
        <v>760</v>
      </c>
      <c r="G709" s="21">
        <v>485.91</v>
      </c>
      <c r="H709" s="21">
        <v>289.99</v>
      </c>
      <c r="I709" s="117" t="s">
        <v>325</v>
      </c>
      <c r="J709" s="117" t="s">
        <v>325</v>
      </c>
      <c r="K709" s="118">
        <v>32.840000000000003</v>
      </c>
      <c r="L709" s="21"/>
      <c r="M709" s="21"/>
      <c r="N709" s="21"/>
      <c r="O709" s="21"/>
      <c r="P709" s="21">
        <v>163.08000000000001</v>
      </c>
      <c r="Q709" s="21"/>
      <c r="R709" s="21" t="s">
        <v>329</v>
      </c>
      <c r="S709" s="119">
        <f>DATABASE_Table[[#This Row],[Inicial Asking Price (€) (Total)]]-DATABASE_Table[[#This Row],[Vista membership]]-DATABASE_Table[[#This Row],[FF&amp;E]]</f>
        <v>1758200</v>
      </c>
      <c r="T709" s="125">
        <v>1844100</v>
      </c>
      <c r="U709" s="124">
        <v>1930000</v>
      </c>
      <c r="V709" s="21">
        <v>24600</v>
      </c>
      <c r="W709" s="21">
        <v>61300</v>
      </c>
      <c r="X709" s="73">
        <f>DATABASE_Table[[#This Row],[Current Asking price( Total)]]-DATABASE_Table[[#This Row],[Vista membership]]-DATABASE_Table[[#This Row],[FF&amp;E]]</f>
        <v>1844100</v>
      </c>
      <c r="Y709" s="126"/>
      <c r="Z709" s="124">
        <v>1930000</v>
      </c>
      <c r="AA709" s="73">
        <f>DATABASE_Table[[#This Row],[Sell price (Total)]]-DATABASE_Table[[#This Row],[FF&amp;E]]-DATABASE_Table[[#This Row],[Vista membership]]</f>
        <v>1844100</v>
      </c>
      <c r="AB709" s="74">
        <v>45673</v>
      </c>
      <c r="AC709" s="74" t="str">
        <f t="shared" si="11"/>
        <v>Q1 2025</v>
      </c>
      <c r="AD709" s="123"/>
      <c r="AE709" s="69"/>
      <c r="AF709" s="21" t="s">
        <v>10</v>
      </c>
      <c r="AG709" s="21" t="s">
        <v>35</v>
      </c>
      <c r="AH709" s="122" t="s">
        <v>38</v>
      </c>
      <c r="AI709" s="122" t="s">
        <v>39</v>
      </c>
      <c r="AJ709" s="122" t="s">
        <v>40</v>
      </c>
      <c r="AK709" s="122" t="s">
        <v>804</v>
      </c>
      <c r="AL709" s="21" t="s">
        <v>41</v>
      </c>
      <c r="AM709" s="122" t="s">
        <v>37</v>
      </c>
    </row>
    <row r="710" spans="1:39" customFormat="1" ht="15.75" customHeight="1" x14ac:dyDescent="0.3">
      <c r="A710" t="s">
        <v>37</v>
      </c>
      <c r="B710" s="21" t="s">
        <v>687</v>
      </c>
      <c r="C710" s="21" t="s">
        <v>688</v>
      </c>
      <c r="D710" s="117" t="s">
        <v>392</v>
      </c>
      <c r="E710" s="21" t="s">
        <v>9</v>
      </c>
      <c r="F710" s="21" t="s">
        <v>760</v>
      </c>
      <c r="G710" s="21">
        <v>577.83000000000004</v>
      </c>
      <c r="H710" s="21">
        <v>382.85</v>
      </c>
      <c r="I710" s="117" t="s">
        <v>325</v>
      </c>
      <c r="J710" s="117" t="s">
        <v>325</v>
      </c>
      <c r="K710" s="118">
        <v>32.840000000000003</v>
      </c>
      <c r="L710" s="21"/>
      <c r="M710" s="21"/>
      <c r="N710" s="21"/>
      <c r="O710" s="21"/>
      <c r="P710" s="21">
        <v>162.13999999999999</v>
      </c>
      <c r="Q710" s="21"/>
      <c r="R710" s="21" t="s">
        <v>329</v>
      </c>
      <c r="S710" s="119">
        <f>DATABASE_Table[[#This Row],[Inicial Asking Price (€) (Total)]]-DATABASE_Table[[#This Row],[Vista membership]]-DATABASE_Table[[#This Row],[FF&amp;E]]</f>
        <v>1818200</v>
      </c>
      <c r="T710" s="125">
        <v>1904100</v>
      </c>
      <c r="U710" s="124">
        <v>1990000</v>
      </c>
      <c r="V710" s="21">
        <v>24600</v>
      </c>
      <c r="W710" s="21">
        <v>61300</v>
      </c>
      <c r="X710" s="73">
        <f>DATABASE_Table[[#This Row],[Current Asking price( Total)]]-DATABASE_Table[[#This Row],[Vista membership]]-DATABASE_Table[[#This Row],[FF&amp;E]]</f>
        <v>1904100</v>
      </c>
      <c r="Y710" s="126"/>
      <c r="Z710" s="124">
        <v>1990000</v>
      </c>
      <c r="AA710" s="73">
        <f>DATABASE_Table[[#This Row],[Sell price (Total)]]-DATABASE_Table[[#This Row],[FF&amp;E]]-DATABASE_Table[[#This Row],[Vista membership]]</f>
        <v>1904100</v>
      </c>
      <c r="AB710" s="74">
        <v>45673</v>
      </c>
      <c r="AC710" s="74" t="str">
        <f t="shared" si="11"/>
        <v>Q1 2025</v>
      </c>
      <c r="AD710" s="123"/>
      <c r="AE710" s="69"/>
      <c r="AF710" s="21" t="s">
        <v>10</v>
      </c>
      <c r="AG710" s="21" t="s">
        <v>35</v>
      </c>
      <c r="AH710" s="122" t="s">
        <v>38</v>
      </c>
      <c r="AI710" s="122" t="s">
        <v>39</v>
      </c>
      <c r="AJ710" s="122" t="s">
        <v>40</v>
      </c>
      <c r="AK710" s="122" t="s">
        <v>804</v>
      </c>
      <c r="AL710" s="21" t="s">
        <v>41</v>
      </c>
      <c r="AM710" s="122" t="s">
        <v>37</v>
      </c>
    </row>
    <row r="711" spans="1:39" customFormat="1" ht="15.75" customHeight="1" x14ac:dyDescent="0.3">
      <c r="A711" t="s">
        <v>37</v>
      </c>
      <c r="B711" s="21" t="s">
        <v>687</v>
      </c>
      <c r="C711" s="21" t="s">
        <v>688</v>
      </c>
      <c r="D711" s="117" t="s">
        <v>393</v>
      </c>
      <c r="E711" s="21" t="s">
        <v>9</v>
      </c>
      <c r="F711" s="21" t="s">
        <v>760</v>
      </c>
      <c r="G711" s="21">
        <v>449.88</v>
      </c>
      <c r="H711" s="21">
        <v>254.9</v>
      </c>
      <c r="I711" s="117" t="s">
        <v>325</v>
      </c>
      <c r="J711" s="117" t="s">
        <v>325</v>
      </c>
      <c r="K711" s="118">
        <v>32.840000000000003</v>
      </c>
      <c r="L711" s="21"/>
      <c r="M711" s="21"/>
      <c r="N711" s="21"/>
      <c r="O711" s="21"/>
      <c r="P711" s="21">
        <v>162.13999999999999</v>
      </c>
      <c r="Q711" s="21"/>
      <c r="R711" s="21" t="s">
        <v>329</v>
      </c>
      <c r="S711" s="119">
        <f>DATABASE_Table[[#This Row],[Inicial Asking Price (€) (Total)]]-DATABASE_Table[[#This Row],[Vista membership]]-DATABASE_Table[[#This Row],[FF&amp;E]]</f>
        <v>1908200</v>
      </c>
      <c r="T711" s="125">
        <v>1994100</v>
      </c>
      <c r="U711" s="124">
        <v>2080000</v>
      </c>
      <c r="V711" s="21">
        <v>24600</v>
      </c>
      <c r="W711" s="21">
        <v>61300</v>
      </c>
      <c r="X711" s="73">
        <f>DATABASE_Table[[#This Row],[Current Asking price( Total)]]-DATABASE_Table[[#This Row],[Vista membership]]-DATABASE_Table[[#This Row],[FF&amp;E]]</f>
        <v>1994100</v>
      </c>
      <c r="Y711" s="126"/>
      <c r="Z711" s="124">
        <v>2080000</v>
      </c>
      <c r="AA711" s="73">
        <f>DATABASE_Table[[#This Row],[Sell price (Total)]]-DATABASE_Table[[#This Row],[FF&amp;E]]-DATABASE_Table[[#This Row],[Vista membership]]</f>
        <v>1994100</v>
      </c>
      <c r="AB711" s="74">
        <v>45673</v>
      </c>
      <c r="AC711" s="74" t="str">
        <f t="shared" si="11"/>
        <v>Q1 2025</v>
      </c>
      <c r="AD711" s="123"/>
      <c r="AE711" s="69"/>
      <c r="AF711" s="21" t="s">
        <v>10</v>
      </c>
      <c r="AG711" s="21" t="s">
        <v>35</v>
      </c>
      <c r="AH711" s="122" t="s">
        <v>38</v>
      </c>
      <c r="AI711" s="122" t="s">
        <v>39</v>
      </c>
      <c r="AJ711" s="122" t="s">
        <v>40</v>
      </c>
      <c r="AK711" s="122" t="s">
        <v>804</v>
      </c>
      <c r="AL711" s="21" t="s">
        <v>41</v>
      </c>
      <c r="AM711" s="122" t="s">
        <v>37</v>
      </c>
    </row>
    <row r="712" spans="1:39" customFormat="1" ht="15.75" customHeight="1" x14ac:dyDescent="0.3">
      <c r="A712" t="s">
        <v>37</v>
      </c>
      <c r="B712" s="21" t="s">
        <v>687</v>
      </c>
      <c r="C712" s="21" t="s">
        <v>688</v>
      </c>
      <c r="D712" s="117" t="s">
        <v>394</v>
      </c>
      <c r="E712" s="21" t="s">
        <v>9</v>
      </c>
      <c r="F712" s="21" t="s">
        <v>760</v>
      </c>
      <c r="G712" s="21">
        <v>414.3</v>
      </c>
      <c r="H712" s="21">
        <v>218.38</v>
      </c>
      <c r="I712" s="117" t="s">
        <v>325</v>
      </c>
      <c r="J712" s="117" t="s">
        <v>325</v>
      </c>
      <c r="K712" s="118">
        <v>32.840000000000003</v>
      </c>
      <c r="L712" s="21"/>
      <c r="M712" s="21"/>
      <c r="N712" s="21"/>
      <c r="O712" s="21"/>
      <c r="P712" s="21">
        <v>163.08000000000001</v>
      </c>
      <c r="Q712" s="21"/>
      <c r="R712" s="21" t="s">
        <v>329</v>
      </c>
      <c r="S712" s="119">
        <f>DATABASE_Table[[#This Row],[Inicial Asking Price (€) (Total)]]-DATABASE_Table[[#This Row],[Vista membership]]-DATABASE_Table[[#This Row],[FF&amp;E]]</f>
        <v>1878200</v>
      </c>
      <c r="T712" s="125">
        <v>1964100</v>
      </c>
      <c r="U712" s="124">
        <v>2050000</v>
      </c>
      <c r="V712" s="21">
        <v>24600</v>
      </c>
      <c r="W712" s="21">
        <v>61300</v>
      </c>
      <c r="X712" s="73">
        <f>DATABASE_Table[[#This Row],[Current Asking price( Total)]]-DATABASE_Table[[#This Row],[Vista membership]]-DATABASE_Table[[#This Row],[FF&amp;E]]</f>
        <v>1964100</v>
      </c>
      <c r="Y712" s="126"/>
      <c r="Z712" s="124">
        <v>2050000</v>
      </c>
      <c r="AA712" s="73">
        <f>DATABASE_Table[[#This Row],[Sell price (Total)]]-DATABASE_Table[[#This Row],[FF&amp;E]]-DATABASE_Table[[#This Row],[Vista membership]]</f>
        <v>1964100</v>
      </c>
      <c r="AB712" s="74">
        <v>45673</v>
      </c>
      <c r="AC712" s="74" t="str">
        <f t="shared" si="11"/>
        <v>Q1 2025</v>
      </c>
      <c r="AD712" s="123"/>
      <c r="AE712" s="69"/>
      <c r="AF712" s="21" t="s">
        <v>10</v>
      </c>
      <c r="AG712" s="21" t="s">
        <v>35</v>
      </c>
      <c r="AH712" s="122" t="s">
        <v>38</v>
      </c>
      <c r="AI712" s="122" t="s">
        <v>39</v>
      </c>
      <c r="AJ712" s="122" t="s">
        <v>40</v>
      </c>
      <c r="AK712" s="122" t="s">
        <v>804</v>
      </c>
      <c r="AL712" s="21" t="s">
        <v>41</v>
      </c>
      <c r="AM712" s="122" t="s">
        <v>37</v>
      </c>
    </row>
    <row r="713" spans="1:39" customFormat="1" ht="15.75" customHeight="1" x14ac:dyDescent="0.3">
      <c r="A713" t="s">
        <v>37</v>
      </c>
      <c r="B713" s="21" t="s">
        <v>687</v>
      </c>
      <c r="C713" s="21" t="s">
        <v>688</v>
      </c>
      <c r="D713" s="117" t="s">
        <v>395</v>
      </c>
      <c r="E713" s="21" t="s">
        <v>9</v>
      </c>
      <c r="F713" s="21" t="s">
        <v>762</v>
      </c>
      <c r="G713" s="21">
        <v>324.14999999999998</v>
      </c>
      <c r="H713" s="21">
        <v>162.94</v>
      </c>
      <c r="I713" s="117" t="s">
        <v>325</v>
      </c>
      <c r="J713" s="117" t="s">
        <v>325</v>
      </c>
      <c r="K713" s="118">
        <v>25.77</v>
      </c>
      <c r="L713" s="21"/>
      <c r="M713" s="21"/>
      <c r="N713" s="21"/>
      <c r="O713" s="21"/>
      <c r="P713" s="21">
        <v>135.44</v>
      </c>
      <c r="Q713" s="21"/>
      <c r="R713" s="21" t="s">
        <v>329</v>
      </c>
      <c r="S713" s="119">
        <f>DATABASE_Table[[#This Row],[Inicial Asking Price (€) (Total)]]-DATABASE_Table[[#This Row],[Vista membership]]-DATABASE_Table[[#This Row],[FF&amp;E]]</f>
        <v>1687700</v>
      </c>
      <c r="T713" s="125">
        <v>1758850</v>
      </c>
      <c r="U713" s="124">
        <v>1830000</v>
      </c>
      <c r="V713" s="21">
        <v>24600</v>
      </c>
      <c r="W713" s="21">
        <v>46550</v>
      </c>
      <c r="X713" s="73">
        <f>DATABASE_Table[[#This Row],[Current Asking price( Total)]]-DATABASE_Table[[#This Row],[Vista membership]]-DATABASE_Table[[#This Row],[FF&amp;E]]</f>
        <v>1758850</v>
      </c>
      <c r="Y713" s="126"/>
      <c r="Z713" s="124">
        <v>1830000</v>
      </c>
      <c r="AA713" s="73">
        <f>DATABASE_Table[[#This Row],[Sell price (Total)]]-DATABASE_Table[[#This Row],[FF&amp;E]]-DATABASE_Table[[#This Row],[Vista membership]]</f>
        <v>1758850</v>
      </c>
      <c r="AB713" s="74">
        <v>45673</v>
      </c>
      <c r="AC713" s="74" t="str">
        <f t="shared" si="11"/>
        <v>Q1 2025</v>
      </c>
      <c r="AD713" s="123"/>
      <c r="AE713" s="69"/>
      <c r="AF713" s="21" t="s">
        <v>10</v>
      </c>
      <c r="AG713" s="21" t="s">
        <v>35</v>
      </c>
      <c r="AH713" s="122" t="s">
        <v>38</v>
      </c>
      <c r="AI713" s="122" t="s">
        <v>39</v>
      </c>
      <c r="AJ713" s="122" t="s">
        <v>40</v>
      </c>
      <c r="AK713" s="122" t="s">
        <v>804</v>
      </c>
      <c r="AL713" s="21" t="s">
        <v>41</v>
      </c>
      <c r="AM713" s="122" t="s">
        <v>37</v>
      </c>
    </row>
    <row r="714" spans="1:39" customFormat="1" ht="15.75" customHeight="1" x14ac:dyDescent="0.3">
      <c r="A714" t="s">
        <v>37</v>
      </c>
      <c r="B714" s="21" t="s">
        <v>687</v>
      </c>
      <c r="C714" s="21" t="s">
        <v>688</v>
      </c>
      <c r="D714" s="117" t="s">
        <v>396</v>
      </c>
      <c r="E714" s="21" t="s">
        <v>9</v>
      </c>
      <c r="F714" s="21" t="s">
        <v>762</v>
      </c>
      <c r="G714" s="21">
        <v>333.99</v>
      </c>
      <c r="H714" s="21">
        <v>172.78</v>
      </c>
      <c r="I714" s="117" t="s">
        <v>325</v>
      </c>
      <c r="J714" s="117" t="s">
        <v>325</v>
      </c>
      <c r="K714" s="118">
        <v>25.77</v>
      </c>
      <c r="L714" s="21"/>
      <c r="M714" s="21"/>
      <c r="N714" s="21"/>
      <c r="O714" s="21"/>
      <c r="P714" s="21">
        <v>135.44</v>
      </c>
      <c r="Q714" s="21"/>
      <c r="R714" s="21" t="s">
        <v>329</v>
      </c>
      <c r="S714" s="119">
        <f>DATABASE_Table[[#This Row],[Inicial Asking Price (€) (Total)]]-DATABASE_Table[[#This Row],[Vista membership]]-DATABASE_Table[[#This Row],[FF&amp;E]]</f>
        <v>1667700</v>
      </c>
      <c r="T714" s="125">
        <v>1738850</v>
      </c>
      <c r="U714" s="124">
        <v>1810000</v>
      </c>
      <c r="V714" s="21">
        <v>24600</v>
      </c>
      <c r="W714" s="21">
        <v>46550</v>
      </c>
      <c r="X714" s="73">
        <f>DATABASE_Table[[#This Row],[Current Asking price( Total)]]-DATABASE_Table[[#This Row],[Vista membership]]-DATABASE_Table[[#This Row],[FF&amp;E]]</f>
        <v>1738850</v>
      </c>
      <c r="Y714" s="126"/>
      <c r="Z714" s="124">
        <v>1810000</v>
      </c>
      <c r="AA714" s="73">
        <f>DATABASE_Table[[#This Row],[Sell price (Total)]]-DATABASE_Table[[#This Row],[FF&amp;E]]-DATABASE_Table[[#This Row],[Vista membership]]</f>
        <v>1738850</v>
      </c>
      <c r="AB714" s="74">
        <v>45673</v>
      </c>
      <c r="AC714" s="74" t="str">
        <f t="shared" si="11"/>
        <v>Q1 2025</v>
      </c>
      <c r="AD714" s="123"/>
      <c r="AE714" s="69"/>
      <c r="AF714" s="21" t="s">
        <v>10</v>
      </c>
      <c r="AG714" s="21" t="s">
        <v>35</v>
      </c>
      <c r="AH714" s="122" t="s">
        <v>38</v>
      </c>
      <c r="AI714" s="122" t="s">
        <v>39</v>
      </c>
      <c r="AJ714" s="122" t="s">
        <v>40</v>
      </c>
      <c r="AK714" s="122" t="s">
        <v>804</v>
      </c>
      <c r="AL714" s="21" t="s">
        <v>41</v>
      </c>
      <c r="AM714" s="122" t="s">
        <v>37</v>
      </c>
    </row>
    <row r="715" spans="1:39" customFormat="1" ht="15.75" customHeight="1" x14ac:dyDescent="0.3">
      <c r="A715" t="s">
        <v>37</v>
      </c>
      <c r="B715" s="21" t="s">
        <v>687</v>
      </c>
      <c r="C715" s="21" t="s">
        <v>688</v>
      </c>
      <c r="D715" s="117" t="s">
        <v>397</v>
      </c>
      <c r="E715" s="21" t="s">
        <v>9</v>
      </c>
      <c r="F715" s="21" t="s">
        <v>762</v>
      </c>
      <c r="G715" s="21">
        <v>343.45</v>
      </c>
      <c r="H715" s="21">
        <v>179.37</v>
      </c>
      <c r="I715" s="117" t="s">
        <v>325</v>
      </c>
      <c r="J715" s="117" t="s">
        <v>325</v>
      </c>
      <c r="K715" s="118">
        <v>25.77</v>
      </c>
      <c r="L715" s="21"/>
      <c r="M715" s="21"/>
      <c r="N715" s="21"/>
      <c r="O715" s="21"/>
      <c r="P715" s="21">
        <v>138.31</v>
      </c>
      <c r="Q715" s="21"/>
      <c r="R715" s="21" t="s">
        <v>329</v>
      </c>
      <c r="S715" s="119">
        <f>DATABASE_Table[[#This Row],[Inicial Asking Price (€) (Total)]]-DATABASE_Table[[#This Row],[Vista membership]]-DATABASE_Table[[#This Row],[FF&amp;E]]</f>
        <v>1667700</v>
      </c>
      <c r="T715" s="125">
        <v>1738850</v>
      </c>
      <c r="U715" s="124">
        <v>1810000</v>
      </c>
      <c r="V715" s="21">
        <v>24600</v>
      </c>
      <c r="W715" s="21">
        <v>46550</v>
      </c>
      <c r="X715" s="73">
        <f>DATABASE_Table[[#This Row],[Current Asking price( Total)]]-DATABASE_Table[[#This Row],[Vista membership]]-DATABASE_Table[[#This Row],[FF&amp;E]]</f>
        <v>1738850</v>
      </c>
      <c r="Y715" s="126"/>
      <c r="Z715" s="124">
        <v>1810000</v>
      </c>
      <c r="AA715" s="73">
        <f>DATABASE_Table[[#This Row],[Sell price (Total)]]-DATABASE_Table[[#This Row],[FF&amp;E]]-DATABASE_Table[[#This Row],[Vista membership]]</f>
        <v>1738850</v>
      </c>
      <c r="AB715" s="74">
        <v>45673</v>
      </c>
      <c r="AC715" s="74" t="str">
        <f t="shared" si="11"/>
        <v>Q1 2025</v>
      </c>
      <c r="AD715" s="123"/>
      <c r="AE715" s="69"/>
      <c r="AF715" s="21" t="s">
        <v>10</v>
      </c>
      <c r="AG715" s="21" t="s">
        <v>35</v>
      </c>
      <c r="AH715" s="122" t="s">
        <v>38</v>
      </c>
      <c r="AI715" s="122" t="s">
        <v>39</v>
      </c>
      <c r="AJ715" s="122" t="s">
        <v>40</v>
      </c>
      <c r="AK715" s="122" t="s">
        <v>804</v>
      </c>
      <c r="AL715" s="21" t="s">
        <v>41</v>
      </c>
      <c r="AM715" s="122" t="s">
        <v>37</v>
      </c>
    </row>
    <row r="716" spans="1:39" customFormat="1" ht="15.75" customHeight="1" x14ac:dyDescent="0.3">
      <c r="A716" t="s">
        <v>37</v>
      </c>
      <c r="B716" s="21" t="s">
        <v>687</v>
      </c>
      <c r="C716" s="21" t="s">
        <v>688</v>
      </c>
      <c r="D716" s="117" t="s">
        <v>398</v>
      </c>
      <c r="E716" s="21" t="s">
        <v>9</v>
      </c>
      <c r="F716" s="21" t="s">
        <v>762</v>
      </c>
      <c r="G716" s="21">
        <v>284.95999999999998</v>
      </c>
      <c r="H716" s="21">
        <v>117.66</v>
      </c>
      <c r="I716" s="117" t="s">
        <v>325</v>
      </c>
      <c r="J716" s="117" t="s">
        <v>325</v>
      </c>
      <c r="K716" s="118">
        <v>25.77</v>
      </c>
      <c r="L716" s="21"/>
      <c r="M716" s="21"/>
      <c r="N716" s="21"/>
      <c r="O716" s="21"/>
      <c r="P716" s="21">
        <v>141.53</v>
      </c>
      <c r="Q716" s="21"/>
      <c r="R716" s="21" t="s">
        <v>329</v>
      </c>
      <c r="S716" s="119">
        <f>DATABASE_Table[[#This Row],[Inicial Asking Price (€) (Total)]]-DATABASE_Table[[#This Row],[Vista membership]]-DATABASE_Table[[#This Row],[FF&amp;E]]</f>
        <v>1457700</v>
      </c>
      <c r="T716" s="125">
        <v>1528850</v>
      </c>
      <c r="U716" s="124">
        <v>1600000</v>
      </c>
      <c r="V716" s="21">
        <v>24600</v>
      </c>
      <c r="W716" s="21">
        <v>46550</v>
      </c>
      <c r="X716" s="73">
        <f>DATABASE_Table[[#This Row],[Current Asking price( Total)]]-DATABASE_Table[[#This Row],[Vista membership]]-DATABASE_Table[[#This Row],[FF&amp;E]]</f>
        <v>1528850</v>
      </c>
      <c r="Y716" s="126"/>
      <c r="Z716" s="124">
        <v>1600000</v>
      </c>
      <c r="AA716" s="73">
        <f>DATABASE_Table[[#This Row],[Sell price (Total)]]-DATABASE_Table[[#This Row],[FF&amp;E]]-DATABASE_Table[[#This Row],[Vista membership]]</f>
        <v>1528850</v>
      </c>
      <c r="AB716" s="74">
        <v>45673</v>
      </c>
      <c r="AC716" s="74" t="str">
        <f t="shared" si="11"/>
        <v>Q1 2025</v>
      </c>
      <c r="AD716" s="123"/>
      <c r="AE716" s="69"/>
      <c r="AF716" s="21" t="s">
        <v>10</v>
      </c>
      <c r="AG716" s="21" t="s">
        <v>35</v>
      </c>
      <c r="AH716" s="122" t="s">
        <v>38</v>
      </c>
      <c r="AI716" s="122" t="s">
        <v>39</v>
      </c>
      <c r="AJ716" s="122" t="s">
        <v>40</v>
      </c>
      <c r="AK716" s="122" t="s">
        <v>804</v>
      </c>
      <c r="AL716" s="21" t="s">
        <v>41</v>
      </c>
      <c r="AM716" s="122" t="s">
        <v>37</v>
      </c>
    </row>
    <row r="717" spans="1:39" customFormat="1" ht="15.75" customHeight="1" x14ac:dyDescent="0.3">
      <c r="A717" t="s">
        <v>37</v>
      </c>
      <c r="B717" s="21" t="s">
        <v>687</v>
      </c>
      <c r="C717" s="21" t="s">
        <v>688</v>
      </c>
      <c r="D717" s="117" t="s">
        <v>399</v>
      </c>
      <c r="E717" s="21" t="s">
        <v>9</v>
      </c>
      <c r="F717" s="21" t="s">
        <v>762</v>
      </c>
      <c r="G717" s="21">
        <v>278.27</v>
      </c>
      <c r="H717" s="21">
        <v>117.06</v>
      </c>
      <c r="I717" s="117" t="s">
        <v>325</v>
      </c>
      <c r="J717" s="117" t="s">
        <v>325</v>
      </c>
      <c r="K717" s="118">
        <v>25.77</v>
      </c>
      <c r="L717" s="21"/>
      <c r="M717" s="21"/>
      <c r="N717" s="21"/>
      <c r="O717" s="21"/>
      <c r="P717" s="21">
        <v>135.44</v>
      </c>
      <c r="Q717" s="21"/>
      <c r="R717" s="21" t="s">
        <v>329</v>
      </c>
      <c r="S717" s="119">
        <f>DATABASE_Table[[#This Row],[Inicial Asking Price (€) (Total)]]-DATABASE_Table[[#This Row],[Vista membership]]-DATABASE_Table[[#This Row],[FF&amp;E]]</f>
        <v>1347700</v>
      </c>
      <c r="T717" s="125">
        <v>1418850</v>
      </c>
      <c r="U717" s="124">
        <v>1490000</v>
      </c>
      <c r="V717" s="21">
        <v>24600</v>
      </c>
      <c r="W717" s="21">
        <v>46550</v>
      </c>
      <c r="X717" s="73">
        <f>DATABASE_Table[[#This Row],[Current Asking price( Total)]]-DATABASE_Table[[#This Row],[Vista membership]]-DATABASE_Table[[#This Row],[FF&amp;E]]</f>
        <v>1418850</v>
      </c>
      <c r="Y717" s="126"/>
      <c r="Z717" s="124">
        <v>1490000</v>
      </c>
      <c r="AA717" s="73">
        <f>DATABASE_Table[[#This Row],[Sell price (Total)]]-DATABASE_Table[[#This Row],[FF&amp;E]]-DATABASE_Table[[#This Row],[Vista membership]]</f>
        <v>1418850</v>
      </c>
      <c r="AB717" s="74">
        <v>45673</v>
      </c>
      <c r="AC717" s="74" t="str">
        <f t="shared" si="11"/>
        <v>Q1 2025</v>
      </c>
      <c r="AD717" s="123"/>
      <c r="AE717" s="69"/>
      <c r="AF717" s="21" t="s">
        <v>10</v>
      </c>
      <c r="AG717" s="21" t="s">
        <v>35</v>
      </c>
      <c r="AH717" s="122" t="s">
        <v>38</v>
      </c>
      <c r="AI717" s="122" t="s">
        <v>39</v>
      </c>
      <c r="AJ717" s="122" t="s">
        <v>40</v>
      </c>
      <c r="AK717" s="122" t="s">
        <v>804</v>
      </c>
      <c r="AL717" s="21" t="s">
        <v>41</v>
      </c>
      <c r="AM717" s="122" t="s">
        <v>37</v>
      </c>
    </row>
    <row r="718" spans="1:39" customFormat="1" ht="15.75" customHeight="1" x14ac:dyDescent="0.3">
      <c r="A718" t="s">
        <v>37</v>
      </c>
      <c r="B718" s="21" t="s">
        <v>687</v>
      </c>
      <c r="C718" s="21" t="s">
        <v>688</v>
      </c>
      <c r="D718" s="117" t="s">
        <v>400</v>
      </c>
      <c r="E718" s="21" t="s">
        <v>9</v>
      </c>
      <c r="F718" s="21" t="s">
        <v>762</v>
      </c>
      <c r="G718" s="21">
        <v>280.27</v>
      </c>
      <c r="H718" s="21">
        <v>119.06</v>
      </c>
      <c r="I718" s="117" t="s">
        <v>325</v>
      </c>
      <c r="J718" s="117" t="s">
        <v>325</v>
      </c>
      <c r="K718" s="118">
        <v>25.77</v>
      </c>
      <c r="L718" s="21"/>
      <c r="M718" s="21"/>
      <c r="N718" s="21"/>
      <c r="O718" s="21"/>
      <c r="P718" s="21">
        <v>135.44</v>
      </c>
      <c r="Q718" s="21"/>
      <c r="R718" s="21" t="s">
        <v>329</v>
      </c>
      <c r="S718" s="119">
        <f>DATABASE_Table[[#This Row],[Inicial Asking Price (€) (Total)]]-DATABASE_Table[[#This Row],[Vista membership]]-DATABASE_Table[[#This Row],[FF&amp;E]]</f>
        <v>1347700</v>
      </c>
      <c r="T718" s="125">
        <v>1418850</v>
      </c>
      <c r="U718" s="124">
        <v>1490000</v>
      </c>
      <c r="V718" s="21">
        <v>24600</v>
      </c>
      <c r="W718" s="21">
        <v>46550</v>
      </c>
      <c r="X718" s="73">
        <f>DATABASE_Table[[#This Row],[Current Asking price( Total)]]-DATABASE_Table[[#This Row],[Vista membership]]-DATABASE_Table[[#This Row],[FF&amp;E]]</f>
        <v>1418850</v>
      </c>
      <c r="Y718" s="126"/>
      <c r="Z718" s="124">
        <v>1490000</v>
      </c>
      <c r="AA718" s="73">
        <f>DATABASE_Table[[#This Row],[Sell price (Total)]]-DATABASE_Table[[#This Row],[FF&amp;E]]-DATABASE_Table[[#This Row],[Vista membership]]</f>
        <v>1418850</v>
      </c>
      <c r="AB718" s="74">
        <v>45673</v>
      </c>
      <c r="AC718" s="74" t="str">
        <f t="shared" si="11"/>
        <v>Q1 2025</v>
      </c>
      <c r="AD718" s="123"/>
      <c r="AE718" s="69"/>
      <c r="AF718" s="21" t="s">
        <v>10</v>
      </c>
      <c r="AG718" s="21" t="s">
        <v>35</v>
      </c>
      <c r="AH718" s="122" t="s">
        <v>38</v>
      </c>
      <c r="AI718" s="122" t="s">
        <v>39</v>
      </c>
      <c r="AJ718" s="122" t="s">
        <v>40</v>
      </c>
      <c r="AK718" s="122" t="s">
        <v>804</v>
      </c>
      <c r="AL718" s="21" t="s">
        <v>41</v>
      </c>
      <c r="AM718" s="122" t="s">
        <v>37</v>
      </c>
    </row>
    <row r="719" spans="1:39" customFormat="1" ht="15.75" customHeight="1" x14ac:dyDescent="0.3">
      <c r="A719" t="s">
        <v>37</v>
      </c>
      <c r="B719" s="21" t="s">
        <v>687</v>
      </c>
      <c r="C719" s="21" t="s">
        <v>688</v>
      </c>
      <c r="D719" s="117" t="s">
        <v>401</v>
      </c>
      <c r="E719" s="21" t="s">
        <v>9</v>
      </c>
      <c r="F719" s="21" t="s">
        <v>762</v>
      </c>
      <c r="G719" s="21">
        <v>280.27</v>
      </c>
      <c r="H719" s="21">
        <v>119.06</v>
      </c>
      <c r="I719" s="117" t="s">
        <v>325</v>
      </c>
      <c r="J719" s="117" t="s">
        <v>325</v>
      </c>
      <c r="K719" s="118">
        <v>25.77</v>
      </c>
      <c r="L719" s="21"/>
      <c r="M719" s="21"/>
      <c r="N719" s="21"/>
      <c r="O719" s="21"/>
      <c r="P719" s="21">
        <v>135.44</v>
      </c>
      <c r="Q719" s="21"/>
      <c r="R719" s="21" t="s">
        <v>329</v>
      </c>
      <c r="S719" s="119">
        <f>DATABASE_Table[[#This Row],[Inicial Asking Price (€) (Total)]]-DATABASE_Table[[#This Row],[Vista membership]]-DATABASE_Table[[#This Row],[FF&amp;E]]</f>
        <v>1337700</v>
      </c>
      <c r="T719" s="125">
        <v>1408850</v>
      </c>
      <c r="U719" s="124">
        <v>1480000</v>
      </c>
      <c r="V719" s="21">
        <v>24600</v>
      </c>
      <c r="W719" s="21">
        <v>46550</v>
      </c>
      <c r="X719" s="73">
        <f>DATABASE_Table[[#This Row],[Current Asking price( Total)]]-DATABASE_Table[[#This Row],[Vista membership]]-DATABASE_Table[[#This Row],[FF&amp;E]]</f>
        <v>1408850</v>
      </c>
      <c r="Y719" s="126"/>
      <c r="Z719" s="124">
        <v>1480000</v>
      </c>
      <c r="AA719" s="73">
        <f>DATABASE_Table[[#This Row],[Sell price (Total)]]-DATABASE_Table[[#This Row],[FF&amp;E]]-DATABASE_Table[[#This Row],[Vista membership]]</f>
        <v>1408850</v>
      </c>
      <c r="AB719" s="74">
        <v>45673</v>
      </c>
      <c r="AC719" s="74" t="str">
        <f t="shared" si="11"/>
        <v>Q1 2025</v>
      </c>
      <c r="AD719" s="123"/>
      <c r="AE719" s="69"/>
      <c r="AF719" s="21" t="s">
        <v>10</v>
      </c>
      <c r="AG719" s="21" t="s">
        <v>35</v>
      </c>
      <c r="AH719" s="122" t="s">
        <v>38</v>
      </c>
      <c r="AI719" s="122" t="s">
        <v>39</v>
      </c>
      <c r="AJ719" s="122" t="s">
        <v>40</v>
      </c>
      <c r="AK719" s="122" t="s">
        <v>804</v>
      </c>
      <c r="AL719" s="21" t="s">
        <v>41</v>
      </c>
      <c r="AM719" s="122" t="s">
        <v>37</v>
      </c>
    </row>
    <row r="720" spans="1:39" customFormat="1" ht="15.75" customHeight="1" x14ac:dyDescent="0.3">
      <c r="A720" t="s">
        <v>37</v>
      </c>
      <c r="B720" s="21" t="s">
        <v>687</v>
      </c>
      <c r="C720" s="21" t="s">
        <v>688</v>
      </c>
      <c r="D720" s="117" t="s">
        <v>402</v>
      </c>
      <c r="E720" s="21" t="s">
        <v>9</v>
      </c>
      <c r="F720" s="21" t="s">
        <v>762</v>
      </c>
      <c r="G720" s="21">
        <v>331.16</v>
      </c>
      <c r="H720" s="21">
        <v>167.06</v>
      </c>
      <c r="I720" s="117" t="s">
        <v>325</v>
      </c>
      <c r="J720" s="117" t="s">
        <v>325</v>
      </c>
      <c r="K720" s="118">
        <v>25.77</v>
      </c>
      <c r="L720" s="21"/>
      <c r="M720" s="21"/>
      <c r="N720" s="21"/>
      <c r="O720" s="21"/>
      <c r="P720" s="21">
        <v>138.33000000000001</v>
      </c>
      <c r="Q720" s="21"/>
      <c r="R720" s="21" t="s">
        <v>329</v>
      </c>
      <c r="S720" s="119">
        <f>DATABASE_Table[[#This Row],[Inicial Asking Price (€) (Total)]]-DATABASE_Table[[#This Row],[Vista membership]]-DATABASE_Table[[#This Row],[FF&amp;E]]</f>
        <v>1477700</v>
      </c>
      <c r="T720" s="125">
        <v>1548850</v>
      </c>
      <c r="U720" s="124">
        <v>1620000</v>
      </c>
      <c r="V720" s="21">
        <v>24600</v>
      </c>
      <c r="W720" s="21">
        <v>46550</v>
      </c>
      <c r="X720" s="73">
        <f>DATABASE_Table[[#This Row],[Current Asking price( Total)]]-DATABASE_Table[[#This Row],[Vista membership]]-DATABASE_Table[[#This Row],[FF&amp;E]]</f>
        <v>1548850</v>
      </c>
      <c r="Y720" s="126"/>
      <c r="Z720" s="124">
        <v>1620000</v>
      </c>
      <c r="AA720" s="73">
        <f>DATABASE_Table[[#This Row],[Sell price (Total)]]-DATABASE_Table[[#This Row],[FF&amp;E]]-DATABASE_Table[[#This Row],[Vista membership]]</f>
        <v>1548850</v>
      </c>
      <c r="AB720" s="74">
        <v>45673</v>
      </c>
      <c r="AC720" s="74" t="str">
        <f t="shared" si="11"/>
        <v>Q1 2025</v>
      </c>
      <c r="AD720" s="123"/>
      <c r="AE720" s="69"/>
      <c r="AF720" s="21" t="s">
        <v>10</v>
      </c>
      <c r="AG720" s="21" t="s">
        <v>35</v>
      </c>
      <c r="AH720" s="122" t="s">
        <v>38</v>
      </c>
      <c r="AI720" s="122" t="s">
        <v>39</v>
      </c>
      <c r="AJ720" s="122" t="s">
        <v>40</v>
      </c>
      <c r="AK720" s="122" t="s">
        <v>804</v>
      </c>
      <c r="AL720" s="21" t="s">
        <v>41</v>
      </c>
      <c r="AM720" s="122" t="s">
        <v>37</v>
      </c>
    </row>
    <row r="721" spans="1:39" customFormat="1" ht="15.75" customHeight="1" x14ac:dyDescent="0.3">
      <c r="A721" t="s">
        <v>37</v>
      </c>
      <c r="B721" s="21" t="s">
        <v>687</v>
      </c>
      <c r="C721" s="21" t="s">
        <v>688</v>
      </c>
      <c r="D721" s="117" t="s">
        <v>403</v>
      </c>
      <c r="E721" s="21" t="s">
        <v>9</v>
      </c>
      <c r="F721" s="21" t="s">
        <v>762</v>
      </c>
      <c r="G721" s="21">
        <v>287.45999999999998</v>
      </c>
      <c r="H721" s="21">
        <v>121.28</v>
      </c>
      <c r="I721" s="117" t="s">
        <v>325</v>
      </c>
      <c r="J721" s="117" t="s">
        <v>325</v>
      </c>
      <c r="K721" s="118">
        <v>25.77</v>
      </c>
      <c r="L721" s="21"/>
      <c r="M721" s="21"/>
      <c r="N721" s="21"/>
      <c r="O721" s="21"/>
      <c r="P721" s="21">
        <v>140.41</v>
      </c>
      <c r="Q721" s="21"/>
      <c r="R721" s="21" t="s">
        <v>329</v>
      </c>
      <c r="S721" s="119">
        <f>DATABASE_Table[[#This Row],[Inicial Asking Price (€) (Total)]]-DATABASE_Table[[#This Row],[Vista membership]]-DATABASE_Table[[#This Row],[FF&amp;E]]</f>
        <v>1177700</v>
      </c>
      <c r="T721" s="125">
        <v>1248850</v>
      </c>
      <c r="U721" s="124">
        <v>1320000</v>
      </c>
      <c r="V721" s="21">
        <v>24600</v>
      </c>
      <c r="W721" s="21">
        <v>46550</v>
      </c>
      <c r="X721" s="73">
        <f>DATABASE_Table[[#This Row],[Current Asking price( Total)]]-DATABASE_Table[[#This Row],[Vista membership]]-DATABASE_Table[[#This Row],[FF&amp;E]]</f>
        <v>1248850</v>
      </c>
      <c r="Y721" s="126"/>
      <c r="Z721" s="124">
        <v>1320000</v>
      </c>
      <c r="AA721" s="73">
        <f>DATABASE_Table[[#This Row],[Sell price (Total)]]-DATABASE_Table[[#This Row],[FF&amp;E]]-DATABASE_Table[[#This Row],[Vista membership]]</f>
        <v>1248850</v>
      </c>
      <c r="AB721" s="74">
        <v>45673</v>
      </c>
      <c r="AC721" s="74" t="str">
        <f t="shared" si="11"/>
        <v>Q1 2025</v>
      </c>
      <c r="AD721" s="123"/>
      <c r="AE721" s="69"/>
      <c r="AF721" s="21" t="s">
        <v>10</v>
      </c>
      <c r="AG721" s="21" t="s">
        <v>35</v>
      </c>
      <c r="AH721" s="122" t="s">
        <v>38</v>
      </c>
      <c r="AI721" s="122" t="s">
        <v>39</v>
      </c>
      <c r="AJ721" s="122" t="s">
        <v>40</v>
      </c>
      <c r="AK721" s="122" t="s">
        <v>804</v>
      </c>
      <c r="AL721" s="21" t="s">
        <v>41</v>
      </c>
      <c r="AM721" s="122" t="s">
        <v>37</v>
      </c>
    </row>
    <row r="722" spans="1:39" customFormat="1" ht="15.75" customHeight="1" x14ac:dyDescent="0.3">
      <c r="A722" t="s">
        <v>37</v>
      </c>
      <c r="B722" s="21" t="s">
        <v>687</v>
      </c>
      <c r="C722" s="21" t="s">
        <v>688</v>
      </c>
      <c r="D722" s="117" t="s">
        <v>405</v>
      </c>
      <c r="E722" s="21" t="s">
        <v>9</v>
      </c>
      <c r="F722" s="21" t="s">
        <v>762</v>
      </c>
      <c r="G722" s="21">
        <v>315.94</v>
      </c>
      <c r="H722" s="21">
        <v>156.16999999999999</v>
      </c>
      <c r="I722" s="117" t="s">
        <v>843</v>
      </c>
      <c r="J722" s="117" t="s">
        <v>325</v>
      </c>
      <c r="K722" s="118">
        <v>25.77</v>
      </c>
      <c r="L722" s="21"/>
      <c r="M722" s="21"/>
      <c r="N722" s="21"/>
      <c r="O722" s="21"/>
      <c r="P722" s="21">
        <v>134</v>
      </c>
      <c r="Q722" s="21"/>
      <c r="R722" s="21" t="s">
        <v>329</v>
      </c>
      <c r="S722" s="119">
        <f>DATABASE_Table[[#This Row],[Inicial Asking Price (€) (Total)]]-DATABASE_Table[[#This Row],[Vista membership]]-DATABASE_Table[[#This Row],[FF&amp;E]]</f>
        <v>1147700</v>
      </c>
      <c r="T722" s="125">
        <v>1218850</v>
      </c>
      <c r="U722" s="124">
        <v>1290000</v>
      </c>
      <c r="V722" s="21">
        <v>24600</v>
      </c>
      <c r="W722" s="21">
        <v>46550</v>
      </c>
      <c r="X722" s="73">
        <f>DATABASE_Table[[#This Row],[Current Asking price( Total)]]-DATABASE_Table[[#This Row],[Vista membership]]-DATABASE_Table[[#This Row],[FF&amp;E]]</f>
        <v>1218850</v>
      </c>
      <c r="Y722" s="126"/>
      <c r="Z722" s="124">
        <v>1290000</v>
      </c>
      <c r="AA722" s="73">
        <f>DATABASE_Table[[#This Row],[Sell price (Total)]]-DATABASE_Table[[#This Row],[FF&amp;E]]-DATABASE_Table[[#This Row],[Vista membership]]</f>
        <v>1218850</v>
      </c>
      <c r="AB722" s="74">
        <v>45673</v>
      </c>
      <c r="AC722" s="74" t="str">
        <f t="shared" si="11"/>
        <v>Q1 2025</v>
      </c>
      <c r="AD722" s="123"/>
      <c r="AE722" s="69"/>
      <c r="AF722" s="21" t="s">
        <v>10</v>
      </c>
      <c r="AG722" s="21" t="s">
        <v>35</v>
      </c>
      <c r="AH722" s="122" t="s">
        <v>38</v>
      </c>
      <c r="AI722" s="122" t="s">
        <v>39</v>
      </c>
      <c r="AJ722" s="122" t="s">
        <v>40</v>
      </c>
      <c r="AK722" s="122" t="s">
        <v>804</v>
      </c>
      <c r="AL722" s="21" t="s">
        <v>41</v>
      </c>
      <c r="AM722" s="122" t="s">
        <v>37</v>
      </c>
    </row>
    <row r="723" spans="1:39" customFormat="1" ht="15.75" customHeight="1" x14ac:dyDescent="0.3">
      <c r="A723" t="s">
        <v>37</v>
      </c>
      <c r="B723" s="21" t="s">
        <v>687</v>
      </c>
      <c r="C723" s="21" t="s">
        <v>688</v>
      </c>
      <c r="D723" s="117" t="s">
        <v>406</v>
      </c>
      <c r="E723" s="21" t="s">
        <v>9</v>
      </c>
      <c r="F723" s="21" t="s">
        <v>762</v>
      </c>
      <c r="G723" s="21">
        <v>325.83</v>
      </c>
      <c r="H723" s="21">
        <v>166.06</v>
      </c>
      <c r="I723" s="117" t="s">
        <v>843</v>
      </c>
      <c r="J723" s="117" t="s">
        <v>325</v>
      </c>
      <c r="K723" s="118">
        <v>25.77</v>
      </c>
      <c r="L723" s="21"/>
      <c r="M723" s="21"/>
      <c r="N723" s="21"/>
      <c r="O723" s="21"/>
      <c r="P723" s="21">
        <v>134</v>
      </c>
      <c r="Q723" s="21"/>
      <c r="R723" s="21" t="s">
        <v>329</v>
      </c>
      <c r="S723" s="119">
        <f>DATABASE_Table[[#This Row],[Inicial Asking Price (€) (Total)]]-DATABASE_Table[[#This Row],[Vista membership]]-DATABASE_Table[[#This Row],[FF&amp;E]]</f>
        <v>1157700</v>
      </c>
      <c r="T723" s="125">
        <v>1228850</v>
      </c>
      <c r="U723" s="124">
        <v>1300000</v>
      </c>
      <c r="V723" s="21">
        <v>24600</v>
      </c>
      <c r="W723" s="21">
        <v>46550</v>
      </c>
      <c r="X723" s="73">
        <f>DATABASE_Table[[#This Row],[Current Asking price( Total)]]-DATABASE_Table[[#This Row],[Vista membership]]-DATABASE_Table[[#This Row],[FF&amp;E]]</f>
        <v>1228850</v>
      </c>
      <c r="Y723" s="126"/>
      <c r="Z723" s="124">
        <v>1300000</v>
      </c>
      <c r="AA723" s="73">
        <f>DATABASE_Table[[#This Row],[Sell price (Total)]]-DATABASE_Table[[#This Row],[FF&amp;E]]-DATABASE_Table[[#This Row],[Vista membership]]</f>
        <v>1228850</v>
      </c>
      <c r="AB723" s="74">
        <v>45673</v>
      </c>
      <c r="AC723" s="74" t="str">
        <f t="shared" si="11"/>
        <v>Q1 2025</v>
      </c>
      <c r="AD723" s="123"/>
      <c r="AE723" s="69"/>
      <c r="AF723" s="21" t="s">
        <v>10</v>
      </c>
      <c r="AG723" s="21" t="s">
        <v>35</v>
      </c>
      <c r="AH723" s="122" t="s">
        <v>38</v>
      </c>
      <c r="AI723" s="122" t="s">
        <v>39</v>
      </c>
      <c r="AJ723" s="122" t="s">
        <v>40</v>
      </c>
      <c r="AK723" s="122" t="s">
        <v>804</v>
      </c>
      <c r="AL723" s="21" t="s">
        <v>41</v>
      </c>
      <c r="AM723" s="122" t="s">
        <v>37</v>
      </c>
    </row>
    <row r="724" spans="1:39" customFormat="1" ht="15.75" customHeight="1" x14ac:dyDescent="0.3">
      <c r="A724" t="s">
        <v>37</v>
      </c>
      <c r="B724" s="21" t="s">
        <v>687</v>
      </c>
      <c r="C724" s="21" t="s">
        <v>688</v>
      </c>
      <c r="D724" s="117" t="s">
        <v>407</v>
      </c>
      <c r="E724" s="21" t="s">
        <v>9</v>
      </c>
      <c r="F724" s="21" t="s">
        <v>762</v>
      </c>
      <c r="G724" s="21">
        <v>336.85</v>
      </c>
      <c r="H724" s="21">
        <v>177.08</v>
      </c>
      <c r="I724" s="117" t="s">
        <v>843</v>
      </c>
      <c r="J724" s="117" t="s">
        <v>325</v>
      </c>
      <c r="K724" s="118">
        <v>25.77</v>
      </c>
      <c r="L724" s="21"/>
      <c r="M724" s="21"/>
      <c r="N724" s="21"/>
      <c r="O724" s="21"/>
      <c r="P724" s="21">
        <v>134</v>
      </c>
      <c r="Q724" s="21"/>
      <c r="R724" s="21" t="s">
        <v>329</v>
      </c>
      <c r="S724" s="119">
        <f>DATABASE_Table[[#This Row],[Inicial Asking Price (€) (Total)]]-DATABASE_Table[[#This Row],[Vista membership]]-DATABASE_Table[[#This Row],[FF&amp;E]]</f>
        <v>1177700</v>
      </c>
      <c r="T724" s="125">
        <v>1248850</v>
      </c>
      <c r="U724" s="124">
        <v>1320000</v>
      </c>
      <c r="V724" s="21">
        <v>24600</v>
      </c>
      <c r="W724" s="21">
        <v>46550</v>
      </c>
      <c r="X724" s="73">
        <f>DATABASE_Table[[#This Row],[Current Asking price( Total)]]-DATABASE_Table[[#This Row],[Vista membership]]-DATABASE_Table[[#This Row],[FF&amp;E]]</f>
        <v>1248850</v>
      </c>
      <c r="Y724" s="126"/>
      <c r="Z724" s="124">
        <v>1320000</v>
      </c>
      <c r="AA724" s="73">
        <f>DATABASE_Table[[#This Row],[Sell price (Total)]]-DATABASE_Table[[#This Row],[FF&amp;E]]-DATABASE_Table[[#This Row],[Vista membership]]</f>
        <v>1248850</v>
      </c>
      <c r="AB724" s="74">
        <v>45673</v>
      </c>
      <c r="AC724" s="74" t="str">
        <f t="shared" si="11"/>
        <v>Q1 2025</v>
      </c>
      <c r="AD724" s="123"/>
      <c r="AE724" s="69"/>
      <c r="AF724" s="21" t="s">
        <v>10</v>
      </c>
      <c r="AG724" s="21" t="s">
        <v>35</v>
      </c>
      <c r="AH724" s="122" t="s">
        <v>38</v>
      </c>
      <c r="AI724" s="122" t="s">
        <v>39</v>
      </c>
      <c r="AJ724" s="122" t="s">
        <v>40</v>
      </c>
      <c r="AK724" s="122" t="s">
        <v>804</v>
      </c>
      <c r="AL724" s="21" t="s">
        <v>41</v>
      </c>
      <c r="AM724" s="122" t="s">
        <v>37</v>
      </c>
    </row>
    <row r="725" spans="1:39" customFormat="1" ht="15.75" customHeight="1" x14ac:dyDescent="0.3">
      <c r="A725" t="s">
        <v>37</v>
      </c>
      <c r="B725" s="21" t="s">
        <v>687</v>
      </c>
      <c r="C725" s="21" t="s">
        <v>688</v>
      </c>
      <c r="D725" s="117" t="s">
        <v>408</v>
      </c>
      <c r="E725" s="21" t="s">
        <v>9</v>
      </c>
      <c r="F725" s="21" t="s">
        <v>762</v>
      </c>
      <c r="G725" s="21">
        <v>343.23</v>
      </c>
      <c r="H725" s="21">
        <v>183.46</v>
      </c>
      <c r="I725" s="117" t="s">
        <v>843</v>
      </c>
      <c r="J725" s="117" t="s">
        <v>325</v>
      </c>
      <c r="K725" s="118">
        <v>25.77</v>
      </c>
      <c r="L725" s="21"/>
      <c r="M725" s="21"/>
      <c r="N725" s="21"/>
      <c r="O725" s="21"/>
      <c r="P725" s="21">
        <v>134</v>
      </c>
      <c r="Q725" s="21"/>
      <c r="R725" s="21" t="s">
        <v>329</v>
      </c>
      <c r="S725" s="119">
        <f>DATABASE_Table[[#This Row],[Inicial Asking Price (€) (Total)]]-DATABASE_Table[[#This Row],[Vista membership]]-DATABASE_Table[[#This Row],[FF&amp;E]]</f>
        <v>1187700</v>
      </c>
      <c r="T725" s="125">
        <v>1258850</v>
      </c>
      <c r="U725" s="124">
        <v>1330000</v>
      </c>
      <c r="V725" s="21">
        <v>24600</v>
      </c>
      <c r="W725" s="21">
        <v>46550</v>
      </c>
      <c r="X725" s="73">
        <f>DATABASE_Table[[#This Row],[Current Asking price( Total)]]-DATABASE_Table[[#This Row],[Vista membership]]-DATABASE_Table[[#This Row],[FF&amp;E]]</f>
        <v>1258850</v>
      </c>
      <c r="Y725" s="126"/>
      <c r="Z725" s="124">
        <v>1330000</v>
      </c>
      <c r="AA725" s="73">
        <f>DATABASE_Table[[#This Row],[Sell price (Total)]]-DATABASE_Table[[#This Row],[FF&amp;E]]-DATABASE_Table[[#This Row],[Vista membership]]</f>
        <v>1258850</v>
      </c>
      <c r="AB725" s="74">
        <v>45673</v>
      </c>
      <c r="AC725" s="74" t="str">
        <f t="shared" si="11"/>
        <v>Q1 2025</v>
      </c>
      <c r="AD725" s="123"/>
      <c r="AE725" s="69"/>
      <c r="AF725" s="21" t="s">
        <v>10</v>
      </c>
      <c r="AG725" s="21" t="s">
        <v>35</v>
      </c>
      <c r="AH725" s="122" t="s">
        <v>38</v>
      </c>
      <c r="AI725" s="122" t="s">
        <v>39</v>
      </c>
      <c r="AJ725" s="122" t="s">
        <v>40</v>
      </c>
      <c r="AK725" s="122" t="s">
        <v>804</v>
      </c>
      <c r="AL725" s="21" t="s">
        <v>41</v>
      </c>
      <c r="AM725" s="122" t="s">
        <v>37</v>
      </c>
    </row>
    <row r="726" spans="1:39" customFormat="1" ht="15.75" customHeight="1" x14ac:dyDescent="0.3">
      <c r="A726" t="s">
        <v>37</v>
      </c>
      <c r="B726" s="21" t="s">
        <v>687</v>
      </c>
      <c r="C726" s="21" t="s">
        <v>688</v>
      </c>
      <c r="D726" s="117" t="s">
        <v>409</v>
      </c>
      <c r="E726" s="21" t="s">
        <v>9</v>
      </c>
      <c r="F726" s="21" t="s">
        <v>762</v>
      </c>
      <c r="G726" s="21">
        <v>354.02</v>
      </c>
      <c r="H726" s="21">
        <v>187.84</v>
      </c>
      <c r="I726" s="117" t="s">
        <v>843</v>
      </c>
      <c r="J726" s="117" t="s">
        <v>325</v>
      </c>
      <c r="K726" s="118">
        <v>25.77</v>
      </c>
      <c r="L726" s="21"/>
      <c r="M726" s="21"/>
      <c r="N726" s="21"/>
      <c r="O726" s="21"/>
      <c r="P726" s="21">
        <v>140.41</v>
      </c>
      <c r="Q726" s="21"/>
      <c r="R726" s="21" t="s">
        <v>329</v>
      </c>
      <c r="S726" s="119">
        <f>DATABASE_Table[[#This Row],[Inicial Asking Price (€) (Total)]]-DATABASE_Table[[#This Row],[Vista membership]]-DATABASE_Table[[#This Row],[FF&amp;E]]</f>
        <v>1297700</v>
      </c>
      <c r="T726" s="125">
        <v>1368850</v>
      </c>
      <c r="U726" s="124">
        <v>1440000</v>
      </c>
      <c r="V726" s="21">
        <v>24600</v>
      </c>
      <c r="W726" s="21">
        <v>46550</v>
      </c>
      <c r="X726" s="73">
        <f>DATABASE_Table[[#This Row],[Current Asking price( Total)]]-DATABASE_Table[[#This Row],[Vista membership]]-DATABASE_Table[[#This Row],[FF&amp;E]]</f>
        <v>1368850</v>
      </c>
      <c r="Y726" s="126"/>
      <c r="Z726" s="124">
        <v>1440000</v>
      </c>
      <c r="AA726" s="73">
        <f>DATABASE_Table[[#This Row],[Sell price (Total)]]-DATABASE_Table[[#This Row],[FF&amp;E]]-DATABASE_Table[[#This Row],[Vista membership]]</f>
        <v>1368850</v>
      </c>
      <c r="AB726" s="74">
        <v>45673</v>
      </c>
      <c r="AC726" s="74" t="str">
        <f t="shared" si="11"/>
        <v>Q1 2025</v>
      </c>
      <c r="AD726" s="123"/>
      <c r="AE726" s="69"/>
      <c r="AF726" s="21" t="s">
        <v>10</v>
      </c>
      <c r="AG726" s="21" t="s">
        <v>35</v>
      </c>
      <c r="AH726" s="122" t="s">
        <v>38</v>
      </c>
      <c r="AI726" s="122" t="s">
        <v>39</v>
      </c>
      <c r="AJ726" s="122" t="s">
        <v>40</v>
      </c>
      <c r="AK726" s="122" t="s">
        <v>804</v>
      </c>
      <c r="AL726" s="21" t="s">
        <v>41</v>
      </c>
      <c r="AM726" s="122" t="s">
        <v>37</v>
      </c>
    </row>
    <row r="727" spans="1:39" customFormat="1" ht="15.75" customHeight="1" x14ac:dyDescent="0.3">
      <c r="A727" t="s">
        <v>37</v>
      </c>
      <c r="B727" s="21" t="s">
        <v>687</v>
      </c>
      <c r="C727" s="21" t="s">
        <v>688</v>
      </c>
      <c r="D727" s="117" t="s">
        <v>410</v>
      </c>
      <c r="E727" s="21" t="s">
        <v>9</v>
      </c>
      <c r="F727" s="21" t="s">
        <v>762</v>
      </c>
      <c r="G727" s="21">
        <v>409.3</v>
      </c>
      <c r="H727" s="21">
        <v>243.12</v>
      </c>
      <c r="I727" s="117" t="s">
        <v>843</v>
      </c>
      <c r="J727" s="117" t="s">
        <v>325</v>
      </c>
      <c r="K727" s="118">
        <v>25.77</v>
      </c>
      <c r="L727" s="21"/>
      <c r="M727" s="21"/>
      <c r="N727" s="21"/>
      <c r="O727" s="21"/>
      <c r="P727" s="21">
        <v>140.41</v>
      </c>
      <c r="Q727" s="21"/>
      <c r="R727" s="21" t="s">
        <v>329</v>
      </c>
      <c r="S727" s="119">
        <f>DATABASE_Table[[#This Row],[Inicial Asking Price (€) (Total)]]-DATABASE_Table[[#This Row],[Vista membership]]-DATABASE_Table[[#This Row],[FF&amp;E]]</f>
        <v>1487700</v>
      </c>
      <c r="T727" s="125">
        <v>1558850</v>
      </c>
      <c r="U727" s="124">
        <v>1630000</v>
      </c>
      <c r="V727" s="21">
        <v>24600</v>
      </c>
      <c r="W727" s="21">
        <v>46550</v>
      </c>
      <c r="X727" s="73">
        <f>DATABASE_Table[[#This Row],[Current Asking price( Total)]]-DATABASE_Table[[#This Row],[Vista membership]]-DATABASE_Table[[#This Row],[FF&amp;E]]</f>
        <v>1558850</v>
      </c>
      <c r="Y727" s="126"/>
      <c r="Z727" s="124">
        <v>1630000</v>
      </c>
      <c r="AA727" s="73">
        <f>DATABASE_Table[[#This Row],[Sell price (Total)]]-DATABASE_Table[[#This Row],[FF&amp;E]]-DATABASE_Table[[#This Row],[Vista membership]]</f>
        <v>1558850</v>
      </c>
      <c r="AB727" s="74">
        <v>45673</v>
      </c>
      <c r="AC727" s="74" t="str">
        <f t="shared" si="11"/>
        <v>Q1 2025</v>
      </c>
      <c r="AD727" s="123"/>
      <c r="AE727" s="69"/>
      <c r="AF727" s="21" t="s">
        <v>10</v>
      </c>
      <c r="AG727" s="21" t="s">
        <v>35</v>
      </c>
      <c r="AH727" s="122" t="s">
        <v>38</v>
      </c>
      <c r="AI727" s="122" t="s">
        <v>39</v>
      </c>
      <c r="AJ727" s="122" t="s">
        <v>40</v>
      </c>
      <c r="AK727" s="122" t="s">
        <v>804</v>
      </c>
      <c r="AL727" s="21" t="s">
        <v>41</v>
      </c>
      <c r="AM727" s="122" t="s">
        <v>37</v>
      </c>
    </row>
    <row r="728" spans="1:39" customFormat="1" ht="15.75" customHeight="1" x14ac:dyDescent="0.3">
      <c r="A728" t="s">
        <v>37</v>
      </c>
      <c r="B728" s="21" t="s">
        <v>687</v>
      </c>
      <c r="C728" s="21" t="s">
        <v>688</v>
      </c>
      <c r="D728" s="117" t="s">
        <v>411</v>
      </c>
      <c r="E728" s="21" t="s">
        <v>9</v>
      </c>
      <c r="F728" s="21" t="s">
        <v>762</v>
      </c>
      <c r="G728" s="21">
        <v>394.6</v>
      </c>
      <c r="H728" s="21">
        <v>234.83</v>
      </c>
      <c r="I728" s="117" t="s">
        <v>843</v>
      </c>
      <c r="J728" s="117" t="s">
        <v>325</v>
      </c>
      <c r="K728" s="118">
        <v>25.77</v>
      </c>
      <c r="L728" s="21"/>
      <c r="M728" s="21"/>
      <c r="N728" s="21"/>
      <c r="O728" s="21"/>
      <c r="P728" s="21">
        <v>134</v>
      </c>
      <c r="Q728" s="21"/>
      <c r="R728" s="21" t="s">
        <v>329</v>
      </c>
      <c r="S728" s="119">
        <f>DATABASE_Table[[#This Row],[Inicial Asking Price (€) (Total)]]-DATABASE_Table[[#This Row],[Vista membership]]-DATABASE_Table[[#This Row],[FF&amp;E]]</f>
        <v>1467700</v>
      </c>
      <c r="T728" s="125">
        <v>1538850</v>
      </c>
      <c r="U728" s="124">
        <v>1610000</v>
      </c>
      <c r="V728" s="21">
        <v>24600</v>
      </c>
      <c r="W728" s="21">
        <v>46550</v>
      </c>
      <c r="X728" s="73">
        <f>DATABASE_Table[[#This Row],[Current Asking price( Total)]]-DATABASE_Table[[#This Row],[Vista membership]]-DATABASE_Table[[#This Row],[FF&amp;E]]</f>
        <v>1538850</v>
      </c>
      <c r="Y728" s="126"/>
      <c r="Z728" s="124">
        <v>1610000</v>
      </c>
      <c r="AA728" s="73">
        <f>DATABASE_Table[[#This Row],[Sell price (Total)]]-DATABASE_Table[[#This Row],[FF&amp;E]]-DATABASE_Table[[#This Row],[Vista membership]]</f>
        <v>1538850</v>
      </c>
      <c r="AB728" s="74">
        <v>45673</v>
      </c>
      <c r="AC728" s="74" t="str">
        <f t="shared" si="11"/>
        <v>Q1 2025</v>
      </c>
      <c r="AD728" s="123"/>
      <c r="AE728" s="69"/>
      <c r="AF728" s="21" t="s">
        <v>10</v>
      </c>
      <c r="AG728" s="21" t="s">
        <v>35</v>
      </c>
      <c r="AH728" s="122" t="s">
        <v>38</v>
      </c>
      <c r="AI728" s="122" t="s">
        <v>39</v>
      </c>
      <c r="AJ728" s="122" t="s">
        <v>40</v>
      </c>
      <c r="AK728" s="122" t="s">
        <v>804</v>
      </c>
      <c r="AL728" s="21" t="s">
        <v>41</v>
      </c>
      <c r="AM728" s="122" t="s">
        <v>37</v>
      </c>
    </row>
    <row r="729" spans="1:39" customFormat="1" ht="15.75" customHeight="1" x14ac:dyDescent="0.3">
      <c r="A729" t="s">
        <v>37</v>
      </c>
      <c r="B729" s="21" t="s">
        <v>687</v>
      </c>
      <c r="C729" s="21" t="s">
        <v>688</v>
      </c>
      <c r="D729" s="117" t="s">
        <v>412</v>
      </c>
      <c r="E729" s="21" t="s">
        <v>9</v>
      </c>
      <c r="F729" s="21" t="s">
        <v>762</v>
      </c>
      <c r="G729" s="21">
        <v>396.13</v>
      </c>
      <c r="H729" s="21">
        <v>236.36</v>
      </c>
      <c r="I729" s="117" t="s">
        <v>843</v>
      </c>
      <c r="J729" s="117" t="s">
        <v>325</v>
      </c>
      <c r="K729" s="118">
        <v>25.77</v>
      </c>
      <c r="L729" s="21"/>
      <c r="M729" s="21"/>
      <c r="N729" s="21"/>
      <c r="O729" s="21"/>
      <c r="P729" s="21">
        <v>134</v>
      </c>
      <c r="Q729" s="21"/>
      <c r="R729" s="21" t="s">
        <v>329</v>
      </c>
      <c r="S729" s="119">
        <f>DATABASE_Table[[#This Row],[Inicial Asking Price (€) (Total)]]-DATABASE_Table[[#This Row],[Vista membership]]-DATABASE_Table[[#This Row],[FF&amp;E]]</f>
        <v>1487700</v>
      </c>
      <c r="T729" s="125">
        <v>1558850</v>
      </c>
      <c r="U729" s="124">
        <v>1630000</v>
      </c>
      <c r="V729" s="21">
        <v>24600</v>
      </c>
      <c r="W729" s="21">
        <v>46550</v>
      </c>
      <c r="X729" s="73">
        <f>DATABASE_Table[[#This Row],[Current Asking price( Total)]]-DATABASE_Table[[#This Row],[Vista membership]]-DATABASE_Table[[#This Row],[FF&amp;E]]</f>
        <v>1558850</v>
      </c>
      <c r="Y729" s="126"/>
      <c r="Z729" s="124">
        <v>1630000</v>
      </c>
      <c r="AA729" s="73">
        <f>DATABASE_Table[[#This Row],[Sell price (Total)]]-DATABASE_Table[[#This Row],[FF&amp;E]]-DATABASE_Table[[#This Row],[Vista membership]]</f>
        <v>1558850</v>
      </c>
      <c r="AB729" s="74">
        <v>45673</v>
      </c>
      <c r="AC729" s="74" t="str">
        <f t="shared" si="11"/>
        <v>Q1 2025</v>
      </c>
      <c r="AD729" s="123"/>
      <c r="AE729" s="69"/>
      <c r="AF729" s="21" t="s">
        <v>10</v>
      </c>
      <c r="AG729" s="21" t="s">
        <v>35</v>
      </c>
      <c r="AH729" s="122" t="s">
        <v>38</v>
      </c>
      <c r="AI729" s="122" t="s">
        <v>39</v>
      </c>
      <c r="AJ729" s="122" t="s">
        <v>40</v>
      </c>
      <c r="AK729" s="122" t="s">
        <v>804</v>
      </c>
      <c r="AL729" s="21" t="s">
        <v>41</v>
      </c>
      <c r="AM729" s="122" t="s">
        <v>37</v>
      </c>
    </row>
    <row r="730" spans="1:39" customFormat="1" ht="15.75" customHeight="1" x14ac:dyDescent="0.3">
      <c r="A730" t="s">
        <v>37</v>
      </c>
      <c r="B730" s="21" t="s">
        <v>687</v>
      </c>
      <c r="C730" s="21" t="s">
        <v>688</v>
      </c>
      <c r="D730" s="117" t="s">
        <v>413</v>
      </c>
      <c r="E730" s="21" t="s">
        <v>9</v>
      </c>
      <c r="F730" s="21" t="s">
        <v>762</v>
      </c>
      <c r="G730" s="21">
        <v>342.41</v>
      </c>
      <c r="H730" s="21">
        <v>181.96</v>
      </c>
      <c r="I730" s="117" t="s">
        <v>843</v>
      </c>
      <c r="J730" s="117" t="s">
        <v>325</v>
      </c>
      <c r="K730" s="118">
        <v>25.77</v>
      </c>
      <c r="L730" s="21"/>
      <c r="M730" s="21"/>
      <c r="N730" s="21"/>
      <c r="O730" s="21"/>
      <c r="P730" s="21">
        <v>134.68</v>
      </c>
      <c r="Q730" s="21"/>
      <c r="R730" s="21" t="s">
        <v>329</v>
      </c>
      <c r="S730" s="119">
        <f>DATABASE_Table[[#This Row],[Inicial Asking Price (€) (Total)]]-DATABASE_Table[[#This Row],[Vista membership]]-DATABASE_Table[[#This Row],[FF&amp;E]]</f>
        <v>1497700</v>
      </c>
      <c r="T730" s="125">
        <v>1568850</v>
      </c>
      <c r="U730" s="124">
        <v>1640000</v>
      </c>
      <c r="V730" s="21">
        <v>24600</v>
      </c>
      <c r="W730" s="21">
        <v>46550</v>
      </c>
      <c r="X730" s="73">
        <f>DATABASE_Table[[#This Row],[Current Asking price( Total)]]-DATABASE_Table[[#This Row],[Vista membership]]-DATABASE_Table[[#This Row],[FF&amp;E]]</f>
        <v>1568850</v>
      </c>
      <c r="Y730" s="126"/>
      <c r="Z730" s="124">
        <v>1640000</v>
      </c>
      <c r="AA730" s="73">
        <f>DATABASE_Table[[#This Row],[Sell price (Total)]]-DATABASE_Table[[#This Row],[FF&amp;E]]-DATABASE_Table[[#This Row],[Vista membership]]</f>
        <v>1568850</v>
      </c>
      <c r="AB730" s="74">
        <v>45673</v>
      </c>
      <c r="AC730" s="74" t="str">
        <f t="shared" si="11"/>
        <v>Q1 2025</v>
      </c>
      <c r="AD730" s="123"/>
      <c r="AE730" s="69"/>
      <c r="AF730" s="21" t="s">
        <v>10</v>
      </c>
      <c r="AG730" s="21" t="s">
        <v>35</v>
      </c>
      <c r="AH730" s="122" t="s">
        <v>38</v>
      </c>
      <c r="AI730" s="122" t="s">
        <v>39</v>
      </c>
      <c r="AJ730" s="122" t="s">
        <v>40</v>
      </c>
      <c r="AK730" s="122" t="s">
        <v>804</v>
      </c>
      <c r="AL730" s="21" t="s">
        <v>41</v>
      </c>
      <c r="AM730" s="122" t="s">
        <v>37</v>
      </c>
    </row>
    <row r="731" spans="1:39" customFormat="1" ht="15.75" customHeight="1" x14ac:dyDescent="0.3">
      <c r="A731" t="s">
        <v>37</v>
      </c>
      <c r="B731" s="21" t="s">
        <v>687</v>
      </c>
      <c r="C731" s="21" t="s">
        <v>688</v>
      </c>
      <c r="D731" s="117" t="s">
        <v>414</v>
      </c>
      <c r="E731" s="21" t="s">
        <v>9</v>
      </c>
      <c r="F731" s="21" t="s">
        <v>760</v>
      </c>
      <c r="G731" s="21">
        <v>523.07000000000005</v>
      </c>
      <c r="H731" s="21">
        <v>328.71</v>
      </c>
      <c r="I731" s="117" t="s">
        <v>843</v>
      </c>
      <c r="J731" s="117" t="s">
        <v>325</v>
      </c>
      <c r="K731" s="118">
        <v>31.95</v>
      </c>
      <c r="L731" s="21"/>
      <c r="M731" s="21"/>
      <c r="N731" s="21"/>
      <c r="O731" s="21"/>
      <c r="P731" s="21">
        <v>162.41</v>
      </c>
      <c r="Q731" s="21"/>
      <c r="R731" s="21" t="s">
        <v>329</v>
      </c>
      <c r="S731" s="119">
        <f>DATABASE_Table[[#This Row],[Inicial Asking Price (€) (Total)]]-DATABASE_Table[[#This Row],[Vista membership]]-DATABASE_Table[[#This Row],[FF&amp;E]]</f>
        <v>1708200</v>
      </c>
      <c r="T731" s="125">
        <v>1794100</v>
      </c>
      <c r="U731" s="124">
        <v>1880000</v>
      </c>
      <c r="V731" s="21">
        <v>24600</v>
      </c>
      <c r="W731" s="21">
        <v>61300</v>
      </c>
      <c r="X731" s="73">
        <f>DATABASE_Table[[#This Row],[Current Asking price( Total)]]-DATABASE_Table[[#This Row],[Vista membership]]-DATABASE_Table[[#This Row],[FF&amp;E]]</f>
        <v>1794100</v>
      </c>
      <c r="Y731" s="126"/>
      <c r="Z731" s="124">
        <v>1880000</v>
      </c>
      <c r="AA731" s="73">
        <f>DATABASE_Table[[#This Row],[Sell price (Total)]]-DATABASE_Table[[#This Row],[FF&amp;E]]-DATABASE_Table[[#This Row],[Vista membership]]</f>
        <v>1794100</v>
      </c>
      <c r="AB731" s="74">
        <v>45673</v>
      </c>
      <c r="AC731" s="74" t="str">
        <f t="shared" si="11"/>
        <v>Q1 2025</v>
      </c>
      <c r="AD731" s="123"/>
      <c r="AE731" s="69"/>
      <c r="AF731" s="21" t="s">
        <v>10</v>
      </c>
      <c r="AG731" s="21" t="s">
        <v>35</v>
      </c>
      <c r="AH731" s="122" t="s">
        <v>38</v>
      </c>
      <c r="AI731" s="122" t="s">
        <v>39</v>
      </c>
      <c r="AJ731" s="122" t="s">
        <v>40</v>
      </c>
      <c r="AK731" s="122" t="s">
        <v>804</v>
      </c>
      <c r="AL731" s="21" t="s">
        <v>41</v>
      </c>
      <c r="AM731" s="122" t="s">
        <v>37</v>
      </c>
    </row>
    <row r="732" spans="1:39" customFormat="1" ht="15.75" customHeight="1" x14ac:dyDescent="0.3">
      <c r="A732" t="s">
        <v>37</v>
      </c>
      <c r="B732" s="21" t="s">
        <v>687</v>
      </c>
      <c r="C732" s="21" t="s">
        <v>688</v>
      </c>
      <c r="D732" s="117" t="s">
        <v>415</v>
      </c>
      <c r="E732" s="21" t="s">
        <v>9</v>
      </c>
      <c r="F732" s="21" t="s">
        <v>760</v>
      </c>
      <c r="G732" s="21">
        <v>749.44</v>
      </c>
      <c r="H732" s="21">
        <v>555.95000000000005</v>
      </c>
      <c r="I732" s="117" t="s">
        <v>843</v>
      </c>
      <c r="J732" s="117" t="s">
        <v>325</v>
      </c>
      <c r="K732" s="118">
        <v>31.95</v>
      </c>
      <c r="L732" s="21"/>
      <c r="M732" s="21"/>
      <c r="N732" s="21"/>
      <c r="O732" s="21"/>
      <c r="P732" s="21">
        <v>161.54</v>
      </c>
      <c r="Q732" s="21"/>
      <c r="R732" s="21" t="s">
        <v>329</v>
      </c>
      <c r="S732" s="119">
        <f>DATABASE_Table[[#This Row],[Inicial Asking Price (€) (Total)]]-DATABASE_Table[[#This Row],[Vista membership]]-DATABASE_Table[[#This Row],[FF&amp;E]]</f>
        <v>1858200</v>
      </c>
      <c r="T732" s="125">
        <v>1944100</v>
      </c>
      <c r="U732" s="124">
        <v>2030000</v>
      </c>
      <c r="V732" s="21">
        <v>24600</v>
      </c>
      <c r="W732" s="21">
        <v>61300</v>
      </c>
      <c r="X732" s="73">
        <f>DATABASE_Table[[#This Row],[Current Asking price( Total)]]-DATABASE_Table[[#This Row],[Vista membership]]-DATABASE_Table[[#This Row],[FF&amp;E]]</f>
        <v>1944100</v>
      </c>
      <c r="Y732" s="126"/>
      <c r="Z732" s="124">
        <v>2030000</v>
      </c>
      <c r="AA732" s="73">
        <f>DATABASE_Table[[#This Row],[Sell price (Total)]]-DATABASE_Table[[#This Row],[FF&amp;E]]-DATABASE_Table[[#This Row],[Vista membership]]</f>
        <v>1944100</v>
      </c>
      <c r="AB732" s="74">
        <v>45673</v>
      </c>
      <c r="AC732" s="74" t="str">
        <f t="shared" si="11"/>
        <v>Q1 2025</v>
      </c>
      <c r="AD732" s="123"/>
      <c r="AE732" s="69"/>
      <c r="AF732" s="21" t="s">
        <v>10</v>
      </c>
      <c r="AG732" s="21" t="s">
        <v>35</v>
      </c>
      <c r="AH732" s="122" t="s">
        <v>38</v>
      </c>
      <c r="AI732" s="122" t="s">
        <v>39</v>
      </c>
      <c r="AJ732" s="122" t="s">
        <v>40</v>
      </c>
      <c r="AK732" s="122" t="s">
        <v>804</v>
      </c>
      <c r="AL732" s="21" t="s">
        <v>41</v>
      </c>
      <c r="AM732" s="122" t="s">
        <v>37</v>
      </c>
    </row>
    <row r="733" spans="1:39" customFormat="1" ht="15.75" customHeight="1" x14ac:dyDescent="0.3">
      <c r="A733" t="s">
        <v>37</v>
      </c>
      <c r="B733" s="21" t="s">
        <v>687</v>
      </c>
      <c r="C733" s="21" t="s">
        <v>688</v>
      </c>
      <c r="D733" s="117" t="s">
        <v>338</v>
      </c>
      <c r="E733" s="21" t="s">
        <v>9</v>
      </c>
      <c r="F733" s="21" t="s">
        <v>383</v>
      </c>
      <c r="G733" s="21">
        <v>323.58999999999997</v>
      </c>
      <c r="H733" s="21">
        <v>165.79</v>
      </c>
      <c r="I733" s="117" t="s">
        <v>325</v>
      </c>
      <c r="J733" s="117" t="s">
        <v>325</v>
      </c>
      <c r="K733" s="118"/>
      <c r="L733" s="21"/>
      <c r="M733" s="21"/>
      <c r="N733" s="21"/>
      <c r="O733" s="21"/>
      <c r="P733" s="21">
        <v>157.80000000000001</v>
      </c>
      <c r="Q733" s="21"/>
      <c r="R733" s="21" t="s">
        <v>329</v>
      </c>
      <c r="S733" s="119">
        <f>DATABASE_Table[[#This Row],[Inicial Asking Price (€) (Total)]]-DATABASE_Table[[#This Row],[Vista membership]]-DATABASE_Table[[#This Row],[FF&amp;E]]</f>
        <v>1652100</v>
      </c>
      <c r="T733" s="125">
        <v>1741050</v>
      </c>
      <c r="U733" s="124">
        <v>1830000</v>
      </c>
      <c r="V733" s="21">
        <v>24600</v>
      </c>
      <c r="W733" s="21">
        <v>64350</v>
      </c>
      <c r="X733" s="73">
        <f>DATABASE_Table[[#This Row],[Current Asking price( Total)]]-DATABASE_Table[[#This Row],[Vista membership]]-DATABASE_Table[[#This Row],[FF&amp;E]]</f>
        <v>1741050</v>
      </c>
      <c r="Y733" s="126"/>
      <c r="Z733" s="124">
        <v>1830000</v>
      </c>
      <c r="AA733" s="73">
        <f>DATABASE_Table[[#This Row],[Sell price (Total)]]-DATABASE_Table[[#This Row],[FF&amp;E]]-DATABASE_Table[[#This Row],[Vista membership]]</f>
        <v>1741050</v>
      </c>
      <c r="AB733" s="74">
        <v>45673</v>
      </c>
      <c r="AC733" s="74" t="str">
        <f t="shared" si="11"/>
        <v>Q1 2025</v>
      </c>
      <c r="AD733" s="123"/>
      <c r="AE733" s="69"/>
      <c r="AF733" s="21" t="s">
        <v>10</v>
      </c>
      <c r="AG733" s="21" t="s">
        <v>35</v>
      </c>
      <c r="AH733" s="122" t="s">
        <v>38</v>
      </c>
      <c r="AI733" s="122" t="s">
        <v>39</v>
      </c>
      <c r="AJ733" s="122" t="s">
        <v>40</v>
      </c>
      <c r="AK733" s="122" t="s">
        <v>804</v>
      </c>
      <c r="AL733" s="21" t="s">
        <v>41</v>
      </c>
      <c r="AM733" s="122" t="s">
        <v>37</v>
      </c>
    </row>
    <row r="734" spans="1:39" customFormat="1" ht="15.75" customHeight="1" x14ac:dyDescent="0.3">
      <c r="A734" t="s">
        <v>37</v>
      </c>
      <c r="B734" s="21" t="s">
        <v>687</v>
      </c>
      <c r="C734" s="21" t="s">
        <v>688</v>
      </c>
      <c r="D734" s="117" t="s">
        <v>339</v>
      </c>
      <c r="E734" s="21" t="s">
        <v>9</v>
      </c>
      <c r="F734" s="21" t="s">
        <v>383</v>
      </c>
      <c r="G734" s="21">
        <v>321.57</v>
      </c>
      <c r="H734" s="21">
        <v>163.77000000000001</v>
      </c>
      <c r="I734" s="117" t="s">
        <v>325</v>
      </c>
      <c r="J734" s="117" t="s">
        <v>325</v>
      </c>
      <c r="K734" s="118"/>
      <c r="L734" s="21"/>
      <c r="M734" s="21"/>
      <c r="N734" s="21"/>
      <c r="O734" s="21"/>
      <c r="P734" s="21">
        <v>157.80000000000001</v>
      </c>
      <c r="Q734" s="21"/>
      <c r="R734" s="21" t="s">
        <v>329</v>
      </c>
      <c r="S734" s="119">
        <f>DATABASE_Table[[#This Row],[Inicial Asking Price (€) (Total)]]-DATABASE_Table[[#This Row],[Vista membership]]-DATABASE_Table[[#This Row],[FF&amp;E]]</f>
        <v>1702100</v>
      </c>
      <c r="T734" s="125">
        <v>1791050</v>
      </c>
      <c r="U734" s="124">
        <v>1880000</v>
      </c>
      <c r="V734" s="21">
        <v>24600</v>
      </c>
      <c r="W734" s="21">
        <v>64350</v>
      </c>
      <c r="X734" s="73">
        <f>DATABASE_Table[[#This Row],[Current Asking price( Total)]]-DATABASE_Table[[#This Row],[Vista membership]]-DATABASE_Table[[#This Row],[FF&amp;E]]</f>
        <v>1791050</v>
      </c>
      <c r="Y734" s="126"/>
      <c r="Z734" s="124">
        <v>1880000</v>
      </c>
      <c r="AA734" s="73">
        <f>DATABASE_Table[[#This Row],[Sell price (Total)]]-DATABASE_Table[[#This Row],[FF&amp;E]]-DATABASE_Table[[#This Row],[Vista membership]]</f>
        <v>1791050</v>
      </c>
      <c r="AB734" s="74">
        <v>45673</v>
      </c>
      <c r="AC734" s="74" t="str">
        <f t="shared" si="11"/>
        <v>Q1 2025</v>
      </c>
      <c r="AD734" s="123"/>
      <c r="AE734" s="69"/>
      <c r="AF734" s="21" t="s">
        <v>10</v>
      </c>
      <c r="AG734" s="21" t="s">
        <v>35</v>
      </c>
      <c r="AH734" s="122" t="s">
        <v>38</v>
      </c>
      <c r="AI734" s="122" t="s">
        <v>39</v>
      </c>
      <c r="AJ734" s="122" t="s">
        <v>40</v>
      </c>
      <c r="AK734" s="122" t="s">
        <v>804</v>
      </c>
      <c r="AL734" s="21" t="s">
        <v>41</v>
      </c>
      <c r="AM734" s="122" t="s">
        <v>37</v>
      </c>
    </row>
    <row r="735" spans="1:39" customFormat="1" ht="15.75" customHeight="1" x14ac:dyDescent="0.3">
      <c r="A735" t="s">
        <v>37</v>
      </c>
      <c r="B735" s="21" t="s">
        <v>687</v>
      </c>
      <c r="C735" s="21" t="s">
        <v>688</v>
      </c>
      <c r="D735" s="117" t="s">
        <v>340</v>
      </c>
      <c r="E735" s="21" t="s">
        <v>9</v>
      </c>
      <c r="F735" s="21" t="s">
        <v>383</v>
      </c>
      <c r="G735" s="21">
        <v>323.58999999999997</v>
      </c>
      <c r="H735" s="21">
        <v>165.79</v>
      </c>
      <c r="I735" s="117" t="s">
        <v>325</v>
      </c>
      <c r="J735" s="117" t="s">
        <v>325</v>
      </c>
      <c r="K735" s="118"/>
      <c r="L735" s="21"/>
      <c r="M735" s="21"/>
      <c r="N735" s="21"/>
      <c r="O735" s="21"/>
      <c r="P735" s="21">
        <v>157.80000000000001</v>
      </c>
      <c r="Q735" s="21"/>
      <c r="R735" s="21" t="s">
        <v>329</v>
      </c>
      <c r="S735" s="119">
        <f>DATABASE_Table[[#This Row],[Inicial Asking Price (€) (Total)]]-DATABASE_Table[[#This Row],[Vista membership]]-DATABASE_Table[[#This Row],[FF&amp;E]]</f>
        <v>1602100</v>
      </c>
      <c r="T735" s="125">
        <v>1691050</v>
      </c>
      <c r="U735" s="124">
        <v>1780000</v>
      </c>
      <c r="V735" s="21">
        <v>24600</v>
      </c>
      <c r="W735" s="21">
        <v>64350</v>
      </c>
      <c r="X735" s="73">
        <f>DATABASE_Table[[#This Row],[Current Asking price( Total)]]-DATABASE_Table[[#This Row],[Vista membership]]-DATABASE_Table[[#This Row],[FF&amp;E]]</f>
        <v>1691050</v>
      </c>
      <c r="Y735" s="126"/>
      <c r="Z735" s="124">
        <v>1780000</v>
      </c>
      <c r="AA735" s="73">
        <f>DATABASE_Table[[#This Row],[Sell price (Total)]]-DATABASE_Table[[#This Row],[FF&amp;E]]-DATABASE_Table[[#This Row],[Vista membership]]</f>
        <v>1691050</v>
      </c>
      <c r="AB735" s="74">
        <v>45673</v>
      </c>
      <c r="AC735" s="74" t="str">
        <f t="shared" si="11"/>
        <v>Q1 2025</v>
      </c>
      <c r="AD735" s="123"/>
      <c r="AE735" s="69"/>
      <c r="AF735" s="21" t="s">
        <v>10</v>
      </c>
      <c r="AG735" s="21" t="s">
        <v>35</v>
      </c>
      <c r="AH735" s="122" t="s">
        <v>38</v>
      </c>
      <c r="AI735" s="122" t="s">
        <v>39</v>
      </c>
      <c r="AJ735" s="122" t="s">
        <v>40</v>
      </c>
      <c r="AK735" s="122" t="s">
        <v>804</v>
      </c>
      <c r="AL735" s="21" t="s">
        <v>41</v>
      </c>
      <c r="AM735" s="122" t="s">
        <v>37</v>
      </c>
    </row>
    <row r="736" spans="1:39" customFormat="1" ht="15.75" customHeight="1" x14ac:dyDescent="0.3">
      <c r="A736" t="s">
        <v>37</v>
      </c>
      <c r="B736" s="21" t="s">
        <v>687</v>
      </c>
      <c r="C736" s="21" t="s">
        <v>688</v>
      </c>
      <c r="D736" s="117" t="s">
        <v>341</v>
      </c>
      <c r="E736" s="21" t="s">
        <v>9</v>
      </c>
      <c r="F736" s="21" t="s">
        <v>383</v>
      </c>
      <c r="G736" s="21">
        <v>321.57</v>
      </c>
      <c r="H736" s="21">
        <v>163.77000000000001</v>
      </c>
      <c r="I736" s="117" t="s">
        <v>325</v>
      </c>
      <c r="J736" s="117" t="s">
        <v>325</v>
      </c>
      <c r="K736" s="118"/>
      <c r="L736" s="21"/>
      <c r="M736" s="21"/>
      <c r="N736" s="21"/>
      <c r="O736" s="21"/>
      <c r="P736" s="21">
        <v>157.80000000000001</v>
      </c>
      <c r="Q736" s="21"/>
      <c r="R736" s="21" t="s">
        <v>329</v>
      </c>
      <c r="S736" s="119">
        <f>DATABASE_Table[[#This Row],[Inicial Asking Price (€) (Total)]]-DATABASE_Table[[#This Row],[Vista membership]]-DATABASE_Table[[#This Row],[FF&amp;E]]</f>
        <v>1702100</v>
      </c>
      <c r="T736" s="125">
        <v>1791050</v>
      </c>
      <c r="U736" s="124">
        <v>1880000</v>
      </c>
      <c r="V736" s="21">
        <v>24600</v>
      </c>
      <c r="W736" s="21">
        <v>64350</v>
      </c>
      <c r="X736" s="73">
        <f>DATABASE_Table[[#This Row],[Current Asking price( Total)]]-DATABASE_Table[[#This Row],[Vista membership]]-DATABASE_Table[[#This Row],[FF&amp;E]]</f>
        <v>1791050</v>
      </c>
      <c r="Y736" s="126"/>
      <c r="Z736" s="124">
        <v>1880000</v>
      </c>
      <c r="AA736" s="73">
        <f>DATABASE_Table[[#This Row],[Sell price (Total)]]-DATABASE_Table[[#This Row],[FF&amp;E]]-DATABASE_Table[[#This Row],[Vista membership]]</f>
        <v>1791050</v>
      </c>
      <c r="AB736" s="74">
        <v>45673</v>
      </c>
      <c r="AC736" s="74" t="str">
        <f t="shared" si="11"/>
        <v>Q1 2025</v>
      </c>
      <c r="AD736" s="123"/>
      <c r="AE736" s="69"/>
      <c r="AF736" s="21" t="s">
        <v>10</v>
      </c>
      <c r="AG736" s="21" t="s">
        <v>35</v>
      </c>
      <c r="AH736" s="122" t="s">
        <v>38</v>
      </c>
      <c r="AI736" s="122" t="s">
        <v>39</v>
      </c>
      <c r="AJ736" s="122" t="s">
        <v>40</v>
      </c>
      <c r="AK736" s="122" t="s">
        <v>804</v>
      </c>
      <c r="AL736" s="21" t="s">
        <v>41</v>
      </c>
      <c r="AM736" s="122" t="s">
        <v>37</v>
      </c>
    </row>
    <row r="737" spans="1:39" customFormat="1" ht="15.75" customHeight="1" x14ac:dyDescent="0.3">
      <c r="A737" t="s">
        <v>37</v>
      </c>
      <c r="B737" s="21" t="s">
        <v>687</v>
      </c>
      <c r="C737" s="21" t="s">
        <v>688</v>
      </c>
      <c r="D737" s="117" t="s">
        <v>342</v>
      </c>
      <c r="E737" s="21" t="s">
        <v>9</v>
      </c>
      <c r="F737" s="21" t="s">
        <v>383</v>
      </c>
      <c r="G737" s="21">
        <v>323.58999999999997</v>
      </c>
      <c r="H737" s="21">
        <v>165.79</v>
      </c>
      <c r="I737" s="117" t="s">
        <v>325</v>
      </c>
      <c r="J737" s="117" t="s">
        <v>325</v>
      </c>
      <c r="K737" s="118"/>
      <c r="L737" s="21"/>
      <c r="M737" s="21"/>
      <c r="N737" s="21"/>
      <c r="O737" s="21"/>
      <c r="P737" s="21">
        <v>157.80000000000001</v>
      </c>
      <c r="Q737" s="21"/>
      <c r="R737" s="21" t="s">
        <v>329</v>
      </c>
      <c r="S737" s="119">
        <f>DATABASE_Table[[#This Row],[Inicial Asking Price (€) (Total)]]-DATABASE_Table[[#This Row],[Vista membership]]-DATABASE_Table[[#This Row],[FF&amp;E]]</f>
        <v>1702100</v>
      </c>
      <c r="T737" s="125">
        <v>1791050</v>
      </c>
      <c r="U737" s="124">
        <v>1880000</v>
      </c>
      <c r="V737" s="21">
        <v>24600</v>
      </c>
      <c r="W737" s="21">
        <v>64350</v>
      </c>
      <c r="X737" s="73">
        <f>DATABASE_Table[[#This Row],[Current Asking price( Total)]]-DATABASE_Table[[#This Row],[Vista membership]]-DATABASE_Table[[#This Row],[FF&amp;E]]</f>
        <v>1791050</v>
      </c>
      <c r="Y737" s="126"/>
      <c r="Z737" s="124">
        <v>1880000</v>
      </c>
      <c r="AA737" s="73">
        <f>DATABASE_Table[[#This Row],[Sell price (Total)]]-DATABASE_Table[[#This Row],[FF&amp;E]]-DATABASE_Table[[#This Row],[Vista membership]]</f>
        <v>1791050</v>
      </c>
      <c r="AB737" s="74">
        <v>45673</v>
      </c>
      <c r="AC737" s="74" t="str">
        <f t="shared" si="11"/>
        <v>Q1 2025</v>
      </c>
      <c r="AD737" s="123"/>
      <c r="AE737" s="69"/>
      <c r="AF737" s="21" t="s">
        <v>10</v>
      </c>
      <c r="AG737" s="21" t="s">
        <v>35</v>
      </c>
      <c r="AH737" s="122" t="s">
        <v>38</v>
      </c>
      <c r="AI737" s="122" t="s">
        <v>39</v>
      </c>
      <c r="AJ737" s="122" t="s">
        <v>40</v>
      </c>
      <c r="AK737" s="122" t="s">
        <v>804</v>
      </c>
      <c r="AL737" s="21" t="s">
        <v>41</v>
      </c>
      <c r="AM737" s="122" t="s">
        <v>37</v>
      </c>
    </row>
    <row r="738" spans="1:39" customFormat="1" ht="15.75" customHeight="1" x14ac:dyDescent="0.3">
      <c r="A738" t="s">
        <v>37</v>
      </c>
      <c r="B738" s="21" t="s">
        <v>687</v>
      </c>
      <c r="C738" s="21" t="s">
        <v>688</v>
      </c>
      <c r="D738" s="117" t="s">
        <v>343</v>
      </c>
      <c r="E738" s="21" t="s">
        <v>9</v>
      </c>
      <c r="F738" s="21" t="s">
        <v>759</v>
      </c>
      <c r="G738" s="21">
        <v>406.88</v>
      </c>
      <c r="H738" s="21">
        <v>165.79</v>
      </c>
      <c r="I738" s="117" t="s">
        <v>325</v>
      </c>
      <c r="J738" s="117" t="s">
        <v>325</v>
      </c>
      <c r="K738" s="118">
        <v>19.649999999999999</v>
      </c>
      <c r="L738" s="21"/>
      <c r="M738" s="21"/>
      <c r="N738" s="21"/>
      <c r="O738" s="21"/>
      <c r="P738" s="21">
        <v>221.44</v>
      </c>
      <c r="Q738" s="21"/>
      <c r="R738" s="21" t="s">
        <v>329</v>
      </c>
      <c r="S738" s="119">
        <f>DATABASE_Table[[#This Row],[Inicial Asking Price (€) (Total)]]-DATABASE_Table[[#This Row],[Vista membership]]-DATABASE_Table[[#This Row],[FF&amp;E]]</f>
        <v>2614600</v>
      </c>
      <c r="T738" s="125">
        <v>2722300</v>
      </c>
      <c r="U738" s="124">
        <v>2830000</v>
      </c>
      <c r="V738" s="21">
        <v>24600</v>
      </c>
      <c r="W738" s="21">
        <v>83100</v>
      </c>
      <c r="X738" s="73">
        <f>DATABASE_Table[[#This Row],[Current Asking price( Total)]]-DATABASE_Table[[#This Row],[Vista membership]]-DATABASE_Table[[#This Row],[FF&amp;E]]</f>
        <v>2722300</v>
      </c>
      <c r="Y738" s="126"/>
      <c r="Z738" s="124">
        <v>2830000</v>
      </c>
      <c r="AA738" s="73">
        <f>DATABASE_Table[[#This Row],[Sell price (Total)]]-DATABASE_Table[[#This Row],[FF&amp;E]]-DATABASE_Table[[#This Row],[Vista membership]]</f>
        <v>2722300</v>
      </c>
      <c r="AB738" s="74">
        <v>45673</v>
      </c>
      <c r="AC738" s="74" t="str">
        <f t="shared" si="11"/>
        <v>Q1 2025</v>
      </c>
      <c r="AD738" s="123"/>
      <c r="AE738" s="69"/>
      <c r="AF738" s="21" t="s">
        <v>10</v>
      </c>
      <c r="AG738" s="21" t="s">
        <v>35</v>
      </c>
      <c r="AH738" s="122" t="s">
        <v>38</v>
      </c>
      <c r="AI738" s="122" t="s">
        <v>39</v>
      </c>
      <c r="AJ738" s="122" t="s">
        <v>40</v>
      </c>
      <c r="AK738" s="122" t="s">
        <v>804</v>
      </c>
      <c r="AL738" s="21" t="s">
        <v>41</v>
      </c>
      <c r="AM738" s="122" t="s">
        <v>37</v>
      </c>
    </row>
    <row r="739" spans="1:39" customFormat="1" ht="15.75" customHeight="1" x14ac:dyDescent="0.3">
      <c r="A739" t="s">
        <v>37</v>
      </c>
      <c r="B739" s="21" t="s">
        <v>687</v>
      </c>
      <c r="C739" s="21" t="s">
        <v>688</v>
      </c>
      <c r="D739" s="117" t="s">
        <v>344</v>
      </c>
      <c r="E739" s="21" t="s">
        <v>9</v>
      </c>
      <c r="F739" s="21" t="s">
        <v>760</v>
      </c>
      <c r="G739" s="21">
        <v>296.95999999999998</v>
      </c>
      <c r="H739" s="21">
        <v>113.29</v>
      </c>
      <c r="I739" s="117" t="s">
        <v>325</v>
      </c>
      <c r="J739" s="117" t="s">
        <v>325</v>
      </c>
      <c r="K739" s="118">
        <v>18.66</v>
      </c>
      <c r="L739" s="21"/>
      <c r="M739" s="21"/>
      <c r="N739" s="21"/>
      <c r="O739" s="21"/>
      <c r="P739" s="21">
        <v>165.01</v>
      </c>
      <c r="Q739" s="21"/>
      <c r="R739" s="21" t="s">
        <v>329</v>
      </c>
      <c r="S739" s="119">
        <f>DATABASE_Table[[#This Row],[Inicial Asking Price (€) (Total)]]-DATABASE_Table[[#This Row],[Vista membership]]-DATABASE_Table[[#This Row],[FF&amp;E]]</f>
        <v>1952100</v>
      </c>
      <c r="T739" s="125">
        <v>2041050</v>
      </c>
      <c r="U739" s="124">
        <v>2130000</v>
      </c>
      <c r="V739" s="21">
        <v>24600</v>
      </c>
      <c r="W739" s="21">
        <v>64350</v>
      </c>
      <c r="X739" s="73">
        <f>DATABASE_Table[[#This Row],[Current Asking price( Total)]]-DATABASE_Table[[#This Row],[Vista membership]]-DATABASE_Table[[#This Row],[FF&amp;E]]</f>
        <v>2041050</v>
      </c>
      <c r="Y739" s="126"/>
      <c r="Z739" s="124">
        <v>2130000</v>
      </c>
      <c r="AA739" s="73">
        <f>DATABASE_Table[[#This Row],[Sell price (Total)]]-DATABASE_Table[[#This Row],[FF&amp;E]]-DATABASE_Table[[#This Row],[Vista membership]]</f>
        <v>2041050</v>
      </c>
      <c r="AB739" s="74">
        <v>45673</v>
      </c>
      <c r="AC739" s="74" t="str">
        <f t="shared" si="11"/>
        <v>Q1 2025</v>
      </c>
      <c r="AD739" s="123"/>
      <c r="AE739" s="69"/>
      <c r="AF739" s="21" t="s">
        <v>10</v>
      </c>
      <c r="AG739" s="21" t="s">
        <v>35</v>
      </c>
      <c r="AH739" s="122" t="s">
        <v>38</v>
      </c>
      <c r="AI739" s="122" t="s">
        <v>39</v>
      </c>
      <c r="AJ739" s="122" t="s">
        <v>40</v>
      </c>
      <c r="AK739" s="122" t="s">
        <v>804</v>
      </c>
      <c r="AL739" s="21" t="s">
        <v>41</v>
      </c>
      <c r="AM739" s="122" t="s">
        <v>37</v>
      </c>
    </row>
    <row r="740" spans="1:39" customFormat="1" ht="15.75" customHeight="1" x14ac:dyDescent="0.3">
      <c r="A740" t="s">
        <v>37</v>
      </c>
      <c r="B740" s="21" t="s">
        <v>687</v>
      </c>
      <c r="C740" s="21" t="s">
        <v>688</v>
      </c>
      <c r="D740" s="117" t="s">
        <v>345</v>
      </c>
      <c r="E740" s="21" t="s">
        <v>9</v>
      </c>
      <c r="F740" s="21" t="s">
        <v>383</v>
      </c>
      <c r="G740" s="21">
        <v>323.58999999999997</v>
      </c>
      <c r="H740" s="21">
        <v>165.79</v>
      </c>
      <c r="I740" s="117" t="s">
        <v>325</v>
      </c>
      <c r="J740" s="117" t="s">
        <v>325</v>
      </c>
      <c r="K740" s="118"/>
      <c r="L740" s="21"/>
      <c r="M740" s="21"/>
      <c r="N740" s="21"/>
      <c r="O740" s="21"/>
      <c r="P740" s="21">
        <v>157.80000000000001</v>
      </c>
      <c r="Q740" s="21"/>
      <c r="R740" s="21" t="s">
        <v>329</v>
      </c>
      <c r="S740" s="119">
        <f>DATABASE_Table[[#This Row],[Inicial Asking Price (€) (Total)]]-DATABASE_Table[[#This Row],[Vista membership]]-DATABASE_Table[[#This Row],[FF&amp;E]]</f>
        <v>1952100</v>
      </c>
      <c r="T740" s="125">
        <v>2041050</v>
      </c>
      <c r="U740" s="124">
        <v>2130000</v>
      </c>
      <c r="V740" s="21">
        <v>24600</v>
      </c>
      <c r="W740" s="21">
        <v>64350</v>
      </c>
      <c r="X740" s="73">
        <f>DATABASE_Table[[#This Row],[Current Asking price( Total)]]-DATABASE_Table[[#This Row],[Vista membership]]-DATABASE_Table[[#This Row],[FF&amp;E]]</f>
        <v>2041050</v>
      </c>
      <c r="Y740" s="126"/>
      <c r="Z740" s="124">
        <v>2130000</v>
      </c>
      <c r="AA740" s="73">
        <f>DATABASE_Table[[#This Row],[Sell price (Total)]]-DATABASE_Table[[#This Row],[FF&amp;E]]-DATABASE_Table[[#This Row],[Vista membership]]</f>
        <v>2041050</v>
      </c>
      <c r="AB740" s="74">
        <v>45673</v>
      </c>
      <c r="AC740" s="74" t="str">
        <f t="shared" si="11"/>
        <v>Q1 2025</v>
      </c>
      <c r="AD740" s="123"/>
      <c r="AE740" s="69"/>
      <c r="AF740" s="21" t="s">
        <v>10</v>
      </c>
      <c r="AG740" s="21" t="s">
        <v>35</v>
      </c>
      <c r="AH740" s="122" t="s">
        <v>38</v>
      </c>
      <c r="AI740" s="122" t="s">
        <v>39</v>
      </c>
      <c r="AJ740" s="122" t="s">
        <v>40</v>
      </c>
      <c r="AK740" s="122" t="s">
        <v>804</v>
      </c>
      <c r="AL740" s="21" t="s">
        <v>41</v>
      </c>
      <c r="AM740" s="122" t="s">
        <v>37</v>
      </c>
    </row>
    <row r="741" spans="1:39" customFormat="1" ht="15.75" customHeight="1" x14ac:dyDescent="0.3">
      <c r="A741" t="s">
        <v>37</v>
      </c>
      <c r="B741" s="21" t="s">
        <v>687</v>
      </c>
      <c r="C741" s="21" t="s">
        <v>688</v>
      </c>
      <c r="D741" s="117" t="s">
        <v>346</v>
      </c>
      <c r="E741" s="21" t="s">
        <v>9</v>
      </c>
      <c r="F741" s="21" t="s">
        <v>759</v>
      </c>
      <c r="G741" s="21">
        <v>406.88</v>
      </c>
      <c r="H741" s="21">
        <v>165.79</v>
      </c>
      <c r="I741" s="117" t="s">
        <v>325</v>
      </c>
      <c r="J741" s="117" t="s">
        <v>325</v>
      </c>
      <c r="K741" s="118">
        <v>19.649999999999999</v>
      </c>
      <c r="L741" s="21"/>
      <c r="M741" s="21"/>
      <c r="N741" s="21"/>
      <c r="O741" s="21"/>
      <c r="P741" s="21">
        <v>221.44</v>
      </c>
      <c r="Q741" s="21"/>
      <c r="R741" s="21" t="s">
        <v>329</v>
      </c>
      <c r="S741" s="119">
        <f>DATABASE_Table[[#This Row],[Inicial Asking Price (€) (Total)]]-DATABASE_Table[[#This Row],[Vista membership]]-DATABASE_Table[[#This Row],[FF&amp;E]]</f>
        <v>3114600</v>
      </c>
      <c r="T741" s="125">
        <v>3222300</v>
      </c>
      <c r="U741" s="124">
        <v>3330000</v>
      </c>
      <c r="V741" s="21">
        <v>24600</v>
      </c>
      <c r="W741" s="21">
        <v>83100</v>
      </c>
      <c r="X741" s="73">
        <f>DATABASE_Table[[#This Row],[Current Asking price( Total)]]-DATABASE_Table[[#This Row],[Vista membership]]-DATABASE_Table[[#This Row],[FF&amp;E]]</f>
        <v>3222300</v>
      </c>
      <c r="Y741" s="126"/>
      <c r="Z741" s="124">
        <v>3330000</v>
      </c>
      <c r="AA741" s="73">
        <f>DATABASE_Table[[#This Row],[Sell price (Total)]]-DATABASE_Table[[#This Row],[FF&amp;E]]-DATABASE_Table[[#This Row],[Vista membership]]</f>
        <v>3222300</v>
      </c>
      <c r="AB741" s="74">
        <v>45673</v>
      </c>
      <c r="AC741" s="74" t="str">
        <f t="shared" si="11"/>
        <v>Q1 2025</v>
      </c>
      <c r="AD741" s="123"/>
      <c r="AE741" s="69"/>
      <c r="AF741" s="21" t="s">
        <v>10</v>
      </c>
      <c r="AG741" s="21" t="s">
        <v>35</v>
      </c>
      <c r="AH741" s="122" t="s">
        <v>38</v>
      </c>
      <c r="AI741" s="122" t="s">
        <v>39</v>
      </c>
      <c r="AJ741" s="122" t="s">
        <v>40</v>
      </c>
      <c r="AK741" s="122" t="s">
        <v>804</v>
      </c>
      <c r="AL741" s="21" t="s">
        <v>41</v>
      </c>
      <c r="AM741" s="122" t="s">
        <v>37</v>
      </c>
    </row>
    <row r="742" spans="1:39" customFormat="1" ht="15.75" customHeight="1" x14ac:dyDescent="0.3">
      <c r="A742" t="s">
        <v>37</v>
      </c>
      <c r="B742" s="21" t="s">
        <v>687</v>
      </c>
      <c r="C742" s="21" t="s">
        <v>688</v>
      </c>
      <c r="D742" s="117" t="s">
        <v>348</v>
      </c>
      <c r="E742" s="21" t="s">
        <v>9</v>
      </c>
      <c r="F742" s="21" t="s">
        <v>383</v>
      </c>
      <c r="G742" s="21">
        <v>321.57</v>
      </c>
      <c r="H742" s="21">
        <v>163.77000000000001</v>
      </c>
      <c r="I742" s="117" t="s">
        <v>325</v>
      </c>
      <c r="J742" s="117" t="s">
        <v>325</v>
      </c>
      <c r="K742" s="118"/>
      <c r="L742" s="21"/>
      <c r="M742" s="21"/>
      <c r="N742" s="21"/>
      <c r="O742" s="21"/>
      <c r="P742" s="21">
        <v>157.80000000000001</v>
      </c>
      <c r="Q742" s="21"/>
      <c r="R742" s="21" t="s">
        <v>329</v>
      </c>
      <c r="S742" s="119">
        <f>DATABASE_Table[[#This Row],[Inicial Asking Price (€) (Total)]]-DATABASE_Table[[#This Row],[Vista membership]]-DATABASE_Table[[#This Row],[FF&amp;E]]</f>
        <v>2052100</v>
      </c>
      <c r="T742" s="125">
        <v>2141050</v>
      </c>
      <c r="U742" s="124">
        <v>2230000</v>
      </c>
      <c r="V742" s="21">
        <v>24600</v>
      </c>
      <c r="W742" s="21">
        <v>64350</v>
      </c>
      <c r="X742" s="73">
        <f>DATABASE_Table[[#This Row],[Current Asking price( Total)]]-DATABASE_Table[[#This Row],[Vista membership]]-DATABASE_Table[[#This Row],[FF&amp;E]]</f>
        <v>2141050</v>
      </c>
      <c r="Y742" s="126"/>
      <c r="Z742" s="124">
        <v>2230000</v>
      </c>
      <c r="AA742" s="73">
        <f>DATABASE_Table[[#This Row],[Sell price (Total)]]-DATABASE_Table[[#This Row],[FF&amp;E]]-DATABASE_Table[[#This Row],[Vista membership]]</f>
        <v>2141050</v>
      </c>
      <c r="AB742" s="74">
        <v>45673</v>
      </c>
      <c r="AC742" s="74" t="str">
        <f t="shared" si="11"/>
        <v>Q1 2025</v>
      </c>
      <c r="AD742" s="123"/>
      <c r="AE742" s="69"/>
      <c r="AF742" s="21" t="s">
        <v>10</v>
      </c>
      <c r="AG742" s="21" t="s">
        <v>35</v>
      </c>
      <c r="AH742" s="122" t="s">
        <v>38</v>
      </c>
      <c r="AI742" s="122" t="s">
        <v>39</v>
      </c>
      <c r="AJ742" s="122" t="s">
        <v>40</v>
      </c>
      <c r="AK742" s="122" t="s">
        <v>804</v>
      </c>
      <c r="AL742" s="21" t="s">
        <v>41</v>
      </c>
      <c r="AM742" s="122" t="s">
        <v>37</v>
      </c>
    </row>
    <row r="743" spans="1:39" customFormat="1" ht="15.75" customHeight="1" x14ac:dyDescent="0.3">
      <c r="A743" t="s">
        <v>37</v>
      </c>
      <c r="B743" s="21" t="s">
        <v>687</v>
      </c>
      <c r="C743" s="21" t="s">
        <v>688</v>
      </c>
      <c r="D743" s="117" t="s">
        <v>349</v>
      </c>
      <c r="E743" s="21" t="s">
        <v>9</v>
      </c>
      <c r="F743" s="21" t="s">
        <v>759</v>
      </c>
      <c r="G743" s="21">
        <v>404.86</v>
      </c>
      <c r="H743" s="21">
        <v>163.77000000000001</v>
      </c>
      <c r="I743" s="117" t="s">
        <v>325</v>
      </c>
      <c r="J743" s="117" t="s">
        <v>325</v>
      </c>
      <c r="K743" s="118">
        <v>19.649999999999999</v>
      </c>
      <c r="L743" s="21"/>
      <c r="M743" s="21"/>
      <c r="N743" s="21"/>
      <c r="O743" s="21"/>
      <c r="P743" s="21">
        <v>221.44</v>
      </c>
      <c r="Q743" s="21"/>
      <c r="R743" s="21" t="s">
        <v>329</v>
      </c>
      <c r="S743" s="119">
        <f>DATABASE_Table[[#This Row],[Inicial Asking Price (€) (Total)]]-DATABASE_Table[[#This Row],[Vista membership]]-DATABASE_Table[[#This Row],[FF&amp;E]]</f>
        <v>2814600</v>
      </c>
      <c r="T743" s="125">
        <v>2922300</v>
      </c>
      <c r="U743" s="124">
        <v>3030000</v>
      </c>
      <c r="V743" s="21">
        <v>24600</v>
      </c>
      <c r="W743" s="21">
        <v>83100</v>
      </c>
      <c r="X743" s="73">
        <f>DATABASE_Table[[#This Row],[Current Asking price( Total)]]-DATABASE_Table[[#This Row],[Vista membership]]-DATABASE_Table[[#This Row],[FF&amp;E]]</f>
        <v>2922300</v>
      </c>
      <c r="Y743" s="126"/>
      <c r="Z743" s="124">
        <v>3030000</v>
      </c>
      <c r="AA743" s="73">
        <f>DATABASE_Table[[#This Row],[Sell price (Total)]]-DATABASE_Table[[#This Row],[FF&amp;E]]-DATABASE_Table[[#This Row],[Vista membership]]</f>
        <v>2922300</v>
      </c>
      <c r="AB743" s="74">
        <v>45673</v>
      </c>
      <c r="AC743" s="74" t="str">
        <f t="shared" si="11"/>
        <v>Q1 2025</v>
      </c>
      <c r="AD743" s="123"/>
      <c r="AE743" s="69"/>
      <c r="AF743" s="21" t="s">
        <v>10</v>
      </c>
      <c r="AG743" s="21" t="s">
        <v>35</v>
      </c>
      <c r="AH743" s="122" t="s">
        <v>38</v>
      </c>
      <c r="AI743" s="122" t="s">
        <v>39</v>
      </c>
      <c r="AJ743" s="122" t="s">
        <v>40</v>
      </c>
      <c r="AK743" s="122" t="s">
        <v>804</v>
      </c>
      <c r="AL743" s="21" t="s">
        <v>41</v>
      </c>
      <c r="AM743" s="122" t="s">
        <v>37</v>
      </c>
    </row>
    <row r="744" spans="1:39" customFormat="1" ht="15.75" customHeight="1" x14ac:dyDescent="0.3">
      <c r="A744" t="s">
        <v>37</v>
      </c>
      <c r="B744" s="21" t="s">
        <v>687</v>
      </c>
      <c r="C744" s="21" t="s">
        <v>688</v>
      </c>
      <c r="D744" s="117" t="s">
        <v>350</v>
      </c>
      <c r="E744" s="21" t="s">
        <v>9</v>
      </c>
      <c r="F744" s="21" t="s">
        <v>760</v>
      </c>
      <c r="G744" s="21">
        <v>294.94</v>
      </c>
      <c r="H744" s="21">
        <v>111.27</v>
      </c>
      <c r="I744" s="117" t="s">
        <v>325</v>
      </c>
      <c r="J744" s="117" t="s">
        <v>325</v>
      </c>
      <c r="K744" s="118">
        <v>18.66</v>
      </c>
      <c r="L744" s="21"/>
      <c r="M744" s="21"/>
      <c r="N744" s="21"/>
      <c r="O744" s="21"/>
      <c r="P744" s="21">
        <v>165.01</v>
      </c>
      <c r="Q744" s="21"/>
      <c r="R744" s="21" t="s">
        <v>329</v>
      </c>
      <c r="S744" s="119">
        <f>DATABASE_Table[[#This Row],[Inicial Asking Price (€) (Total)]]-DATABASE_Table[[#This Row],[Vista membership]]-DATABASE_Table[[#This Row],[FF&amp;E]]</f>
        <v>2102100</v>
      </c>
      <c r="T744" s="125">
        <v>2191050</v>
      </c>
      <c r="U744" s="124">
        <v>2280000</v>
      </c>
      <c r="V744" s="21">
        <v>24600</v>
      </c>
      <c r="W744" s="21">
        <v>64350</v>
      </c>
      <c r="X744" s="73">
        <f>DATABASE_Table[[#This Row],[Current Asking price( Total)]]-DATABASE_Table[[#This Row],[Vista membership]]-DATABASE_Table[[#This Row],[FF&amp;E]]</f>
        <v>2191050</v>
      </c>
      <c r="Y744" s="126"/>
      <c r="Z744" s="124">
        <v>2280000</v>
      </c>
      <c r="AA744" s="73">
        <f>DATABASE_Table[[#This Row],[Sell price (Total)]]-DATABASE_Table[[#This Row],[FF&amp;E]]-DATABASE_Table[[#This Row],[Vista membership]]</f>
        <v>2191050</v>
      </c>
      <c r="AB744" s="74">
        <v>45673</v>
      </c>
      <c r="AC744" s="74" t="str">
        <f t="shared" si="11"/>
        <v>Q1 2025</v>
      </c>
      <c r="AD744" s="123"/>
      <c r="AE744" s="69"/>
      <c r="AF744" s="21" t="s">
        <v>10</v>
      </c>
      <c r="AG744" s="21" t="s">
        <v>35</v>
      </c>
      <c r="AH744" s="122" t="s">
        <v>38</v>
      </c>
      <c r="AI744" s="122" t="s">
        <v>39</v>
      </c>
      <c r="AJ744" s="122" t="s">
        <v>40</v>
      </c>
      <c r="AK744" s="122" t="s">
        <v>804</v>
      </c>
      <c r="AL744" s="21" t="s">
        <v>41</v>
      </c>
      <c r="AM744" s="122" t="s">
        <v>37</v>
      </c>
    </row>
    <row r="745" spans="1:39" customFormat="1" ht="15.75" customHeight="1" x14ac:dyDescent="0.3">
      <c r="A745" t="s">
        <v>37</v>
      </c>
      <c r="B745" s="21" t="s">
        <v>687</v>
      </c>
      <c r="C745" s="21" t="s">
        <v>688</v>
      </c>
      <c r="D745" s="117" t="s">
        <v>351</v>
      </c>
      <c r="E745" s="21" t="s">
        <v>9</v>
      </c>
      <c r="F745" s="21" t="s">
        <v>383</v>
      </c>
      <c r="G745" s="21">
        <v>281.89</v>
      </c>
      <c r="H745" s="21">
        <v>124.09</v>
      </c>
      <c r="I745" s="117" t="s">
        <v>325</v>
      </c>
      <c r="J745" s="117" t="s">
        <v>325</v>
      </c>
      <c r="K745" s="118"/>
      <c r="L745" s="21"/>
      <c r="M745" s="21"/>
      <c r="N745" s="21"/>
      <c r="O745" s="21"/>
      <c r="P745" s="21">
        <v>157.80000000000001</v>
      </c>
      <c r="Q745" s="21"/>
      <c r="R745" s="21" t="s">
        <v>329</v>
      </c>
      <c r="S745" s="119">
        <f>DATABASE_Table[[#This Row],[Inicial Asking Price (€) (Total)]]-DATABASE_Table[[#This Row],[Vista membership]]-DATABASE_Table[[#This Row],[FF&amp;E]]</f>
        <v>1802100</v>
      </c>
      <c r="T745" s="125">
        <v>1891050</v>
      </c>
      <c r="U745" s="124">
        <v>1980000</v>
      </c>
      <c r="V745" s="21">
        <v>24600</v>
      </c>
      <c r="W745" s="21">
        <v>64350</v>
      </c>
      <c r="X745" s="73">
        <f>DATABASE_Table[[#This Row],[Current Asking price( Total)]]-DATABASE_Table[[#This Row],[Vista membership]]-DATABASE_Table[[#This Row],[FF&amp;E]]</f>
        <v>1891050</v>
      </c>
      <c r="Y745" s="126"/>
      <c r="Z745" s="124">
        <v>1980000</v>
      </c>
      <c r="AA745" s="73">
        <f>DATABASE_Table[[#This Row],[Sell price (Total)]]-DATABASE_Table[[#This Row],[FF&amp;E]]-DATABASE_Table[[#This Row],[Vista membership]]</f>
        <v>1891050</v>
      </c>
      <c r="AB745" s="74">
        <v>45673</v>
      </c>
      <c r="AC745" s="74" t="str">
        <f t="shared" si="11"/>
        <v>Q1 2025</v>
      </c>
      <c r="AD745" s="123"/>
      <c r="AE745" s="69"/>
      <c r="AF745" s="21" t="s">
        <v>10</v>
      </c>
      <c r="AG745" s="21" t="s">
        <v>35</v>
      </c>
      <c r="AH745" s="122" t="s">
        <v>38</v>
      </c>
      <c r="AI745" s="122" t="s">
        <v>39</v>
      </c>
      <c r="AJ745" s="122" t="s">
        <v>40</v>
      </c>
      <c r="AK745" s="122" t="s">
        <v>804</v>
      </c>
      <c r="AL745" s="21" t="s">
        <v>41</v>
      </c>
      <c r="AM745" s="122" t="s">
        <v>37</v>
      </c>
    </row>
    <row r="746" spans="1:39" customFormat="1" ht="15.75" customHeight="1" x14ac:dyDescent="0.3">
      <c r="A746" t="s">
        <v>37</v>
      </c>
      <c r="B746" s="21" t="s">
        <v>687</v>
      </c>
      <c r="C746" s="21" t="s">
        <v>688</v>
      </c>
      <c r="D746" s="117" t="s">
        <v>352</v>
      </c>
      <c r="E746" s="21" t="s">
        <v>9</v>
      </c>
      <c r="F746" s="21" t="s">
        <v>383</v>
      </c>
      <c r="G746" s="21">
        <v>321.57</v>
      </c>
      <c r="H746" s="21">
        <v>163.77000000000001</v>
      </c>
      <c r="I746" s="117" t="s">
        <v>325</v>
      </c>
      <c r="J746" s="117" t="s">
        <v>325</v>
      </c>
      <c r="K746" s="118"/>
      <c r="L746" s="21"/>
      <c r="M746" s="21"/>
      <c r="N746" s="21"/>
      <c r="O746" s="21"/>
      <c r="P746" s="21">
        <v>157.80000000000001</v>
      </c>
      <c r="Q746" s="21"/>
      <c r="R746" s="21" t="s">
        <v>329</v>
      </c>
      <c r="S746" s="119">
        <f>DATABASE_Table[[#This Row],[Inicial Asking Price (€) (Total)]]-DATABASE_Table[[#This Row],[Vista membership]]-DATABASE_Table[[#This Row],[FF&amp;E]]</f>
        <v>1452100</v>
      </c>
      <c r="T746" s="125">
        <v>1541050</v>
      </c>
      <c r="U746" s="124">
        <v>1630000</v>
      </c>
      <c r="V746" s="21">
        <v>24600</v>
      </c>
      <c r="W746" s="21">
        <v>64350</v>
      </c>
      <c r="X746" s="73">
        <f>DATABASE_Table[[#This Row],[Current Asking price( Total)]]-DATABASE_Table[[#This Row],[Vista membership]]-DATABASE_Table[[#This Row],[FF&amp;E]]</f>
        <v>1541050</v>
      </c>
      <c r="Y746" s="126"/>
      <c r="Z746" s="124">
        <v>1630000</v>
      </c>
      <c r="AA746" s="73">
        <f>DATABASE_Table[[#This Row],[Sell price (Total)]]-DATABASE_Table[[#This Row],[FF&amp;E]]-DATABASE_Table[[#This Row],[Vista membership]]</f>
        <v>1541050</v>
      </c>
      <c r="AB746" s="74">
        <v>45673</v>
      </c>
      <c r="AC746" s="74" t="str">
        <f t="shared" si="11"/>
        <v>Q1 2025</v>
      </c>
      <c r="AD746" s="123"/>
      <c r="AE746" s="69"/>
      <c r="AF746" s="21" t="s">
        <v>10</v>
      </c>
      <c r="AG746" s="21" t="s">
        <v>35</v>
      </c>
      <c r="AH746" s="122" t="s">
        <v>38</v>
      </c>
      <c r="AI746" s="122" t="s">
        <v>39</v>
      </c>
      <c r="AJ746" s="122" t="s">
        <v>40</v>
      </c>
      <c r="AK746" s="122" t="s">
        <v>804</v>
      </c>
      <c r="AL746" s="21" t="s">
        <v>41</v>
      </c>
      <c r="AM746" s="122" t="s">
        <v>37</v>
      </c>
    </row>
    <row r="747" spans="1:39" customFormat="1" ht="15.75" customHeight="1" x14ac:dyDescent="0.3">
      <c r="A747" t="s">
        <v>37</v>
      </c>
      <c r="B747" s="21" t="s">
        <v>687</v>
      </c>
      <c r="C747" s="21" t="s">
        <v>688</v>
      </c>
      <c r="D747" s="117" t="s">
        <v>353</v>
      </c>
      <c r="E747" s="21" t="s">
        <v>9</v>
      </c>
      <c r="F747" s="21" t="s">
        <v>760</v>
      </c>
      <c r="G747" s="21">
        <v>296.95999999999998</v>
      </c>
      <c r="H747" s="21">
        <v>113.29</v>
      </c>
      <c r="I747" s="117" t="s">
        <v>325</v>
      </c>
      <c r="J747" s="117" t="s">
        <v>325</v>
      </c>
      <c r="K747" s="118">
        <v>18.66</v>
      </c>
      <c r="L747" s="21"/>
      <c r="M747" s="21"/>
      <c r="N747" s="21"/>
      <c r="O747" s="21"/>
      <c r="P747" s="21">
        <v>165.01</v>
      </c>
      <c r="Q747" s="21"/>
      <c r="R747" s="21" t="s">
        <v>329</v>
      </c>
      <c r="S747" s="119">
        <f>DATABASE_Table[[#This Row],[Inicial Asking Price (€) (Total)]]-DATABASE_Table[[#This Row],[Vista membership]]-DATABASE_Table[[#This Row],[FF&amp;E]]</f>
        <v>1752100</v>
      </c>
      <c r="T747" s="125">
        <v>1841050</v>
      </c>
      <c r="U747" s="124">
        <v>1930000</v>
      </c>
      <c r="V747" s="21">
        <v>24600</v>
      </c>
      <c r="W747" s="21">
        <v>64350</v>
      </c>
      <c r="X747" s="73">
        <f>DATABASE_Table[[#This Row],[Current Asking price( Total)]]-DATABASE_Table[[#This Row],[Vista membership]]-DATABASE_Table[[#This Row],[FF&amp;E]]</f>
        <v>1841050</v>
      </c>
      <c r="Y747" s="126"/>
      <c r="Z747" s="124">
        <v>1930000</v>
      </c>
      <c r="AA747" s="73">
        <f>DATABASE_Table[[#This Row],[Sell price (Total)]]-DATABASE_Table[[#This Row],[FF&amp;E]]-DATABASE_Table[[#This Row],[Vista membership]]</f>
        <v>1841050</v>
      </c>
      <c r="AB747" s="74">
        <v>45673</v>
      </c>
      <c r="AC747" s="74" t="str">
        <f t="shared" si="11"/>
        <v>Q1 2025</v>
      </c>
      <c r="AD747" s="123"/>
      <c r="AE747" s="69"/>
      <c r="AF747" s="21" t="s">
        <v>10</v>
      </c>
      <c r="AG747" s="21" t="s">
        <v>35</v>
      </c>
      <c r="AH747" s="122" t="s">
        <v>38</v>
      </c>
      <c r="AI747" s="122" t="s">
        <v>39</v>
      </c>
      <c r="AJ747" s="122" t="s">
        <v>40</v>
      </c>
      <c r="AK747" s="122" t="s">
        <v>804</v>
      </c>
      <c r="AL747" s="21" t="s">
        <v>41</v>
      </c>
      <c r="AM747" s="122" t="s">
        <v>37</v>
      </c>
    </row>
    <row r="748" spans="1:39" customFormat="1" ht="15.75" customHeight="1" x14ac:dyDescent="0.3">
      <c r="A748" t="s">
        <v>37</v>
      </c>
      <c r="B748" s="21" t="s">
        <v>687</v>
      </c>
      <c r="C748" s="21" t="s">
        <v>688</v>
      </c>
      <c r="D748" s="117" t="s">
        <v>354</v>
      </c>
      <c r="E748" s="21" t="s">
        <v>9</v>
      </c>
      <c r="F748" s="21" t="s">
        <v>759</v>
      </c>
      <c r="G748" s="21">
        <v>404.86</v>
      </c>
      <c r="H748" s="21">
        <v>163.77000000000001</v>
      </c>
      <c r="I748" s="117" t="s">
        <v>325</v>
      </c>
      <c r="J748" s="117" t="s">
        <v>325</v>
      </c>
      <c r="K748" s="118">
        <v>19.649999999999999</v>
      </c>
      <c r="L748" s="21"/>
      <c r="M748" s="21"/>
      <c r="N748" s="21"/>
      <c r="O748" s="21"/>
      <c r="P748" s="21">
        <v>221.44</v>
      </c>
      <c r="Q748" s="21"/>
      <c r="R748" s="21" t="s">
        <v>329</v>
      </c>
      <c r="S748" s="119">
        <f>DATABASE_Table[[#This Row],[Inicial Asking Price (€) (Total)]]-DATABASE_Table[[#This Row],[Vista membership]]-DATABASE_Table[[#This Row],[FF&amp;E]]</f>
        <v>2314600</v>
      </c>
      <c r="T748" s="125">
        <v>2422300</v>
      </c>
      <c r="U748" s="124">
        <v>2530000</v>
      </c>
      <c r="V748" s="21">
        <v>24600</v>
      </c>
      <c r="W748" s="21">
        <v>83100</v>
      </c>
      <c r="X748" s="73">
        <f>DATABASE_Table[[#This Row],[Current Asking price( Total)]]-DATABASE_Table[[#This Row],[Vista membership]]-DATABASE_Table[[#This Row],[FF&amp;E]]</f>
        <v>2422300</v>
      </c>
      <c r="Y748" s="126"/>
      <c r="Z748" s="124">
        <v>2530000</v>
      </c>
      <c r="AA748" s="73">
        <f>DATABASE_Table[[#This Row],[Sell price (Total)]]-DATABASE_Table[[#This Row],[FF&amp;E]]-DATABASE_Table[[#This Row],[Vista membership]]</f>
        <v>2422300</v>
      </c>
      <c r="AB748" s="74">
        <v>45673</v>
      </c>
      <c r="AC748" s="74" t="str">
        <f t="shared" si="11"/>
        <v>Q1 2025</v>
      </c>
      <c r="AD748" s="123"/>
      <c r="AE748" s="69"/>
      <c r="AF748" s="21" t="s">
        <v>10</v>
      </c>
      <c r="AG748" s="21" t="s">
        <v>35</v>
      </c>
      <c r="AH748" s="122" t="s">
        <v>38</v>
      </c>
      <c r="AI748" s="122" t="s">
        <v>39</v>
      </c>
      <c r="AJ748" s="122" t="s">
        <v>40</v>
      </c>
      <c r="AK748" s="122" t="s">
        <v>804</v>
      </c>
      <c r="AL748" s="21" t="s">
        <v>41</v>
      </c>
      <c r="AM748" s="122" t="s">
        <v>37</v>
      </c>
    </row>
    <row r="749" spans="1:39" customFormat="1" ht="15.75" customHeight="1" x14ac:dyDescent="0.3">
      <c r="A749" t="s">
        <v>37</v>
      </c>
      <c r="B749" s="21" t="s">
        <v>687</v>
      </c>
      <c r="C749" s="21" t="s">
        <v>688</v>
      </c>
      <c r="D749" s="117" t="s">
        <v>355</v>
      </c>
      <c r="E749" s="21" t="s">
        <v>9</v>
      </c>
      <c r="F749" s="21" t="s">
        <v>383</v>
      </c>
      <c r="G749" s="21">
        <v>321.57</v>
      </c>
      <c r="H749" s="21">
        <v>163.77000000000001</v>
      </c>
      <c r="I749" s="117" t="s">
        <v>325</v>
      </c>
      <c r="J749" s="117" t="s">
        <v>325</v>
      </c>
      <c r="K749" s="118"/>
      <c r="L749" s="21"/>
      <c r="M749" s="21"/>
      <c r="N749" s="21"/>
      <c r="O749" s="21"/>
      <c r="P749" s="21">
        <v>157.80000000000001</v>
      </c>
      <c r="Q749" s="21"/>
      <c r="R749" s="21" t="s">
        <v>329</v>
      </c>
      <c r="S749" s="119">
        <f>DATABASE_Table[[#This Row],[Inicial Asking Price (€) (Total)]]-DATABASE_Table[[#This Row],[Vista membership]]-DATABASE_Table[[#This Row],[FF&amp;E]]</f>
        <v>1552100</v>
      </c>
      <c r="T749" s="125">
        <v>1641050</v>
      </c>
      <c r="U749" s="124">
        <v>1730000</v>
      </c>
      <c r="V749" s="21">
        <v>24600</v>
      </c>
      <c r="W749" s="21">
        <v>64350</v>
      </c>
      <c r="X749" s="73">
        <f>DATABASE_Table[[#This Row],[Current Asking price( Total)]]-DATABASE_Table[[#This Row],[Vista membership]]-DATABASE_Table[[#This Row],[FF&amp;E]]</f>
        <v>1641050</v>
      </c>
      <c r="Y749" s="126"/>
      <c r="Z749" s="124">
        <v>1730000</v>
      </c>
      <c r="AA749" s="73">
        <f>DATABASE_Table[[#This Row],[Sell price (Total)]]-DATABASE_Table[[#This Row],[FF&amp;E]]-DATABASE_Table[[#This Row],[Vista membership]]</f>
        <v>1641050</v>
      </c>
      <c r="AB749" s="74">
        <v>45673</v>
      </c>
      <c r="AC749" s="74" t="str">
        <f t="shared" si="11"/>
        <v>Q1 2025</v>
      </c>
      <c r="AD749" s="123"/>
      <c r="AE749" s="69"/>
      <c r="AF749" s="21" t="s">
        <v>10</v>
      </c>
      <c r="AG749" s="21" t="s">
        <v>35</v>
      </c>
      <c r="AH749" s="122" t="s">
        <v>38</v>
      </c>
      <c r="AI749" s="122" t="s">
        <v>39</v>
      </c>
      <c r="AJ749" s="122" t="s">
        <v>40</v>
      </c>
      <c r="AK749" s="122" t="s">
        <v>804</v>
      </c>
      <c r="AL749" s="21" t="s">
        <v>41</v>
      </c>
      <c r="AM749" s="122" t="s">
        <v>37</v>
      </c>
    </row>
    <row r="750" spans="1:39" customFormat="1" ht="15.75" customHeight="1" x14ac:dyDescent="0.3">
      <c r="A750" t="s">
        <v>37</v>
      </c>
      <c r="B750" s="21" t="s">
        <v>687</v>
      </c>
      <c r="C750" s="21" t="s">
        <v>688</v>
      </c>
      <c r="D750" s="117" t="s">
        <v>356</v>
      </c>
      <c r="E750" s="21" t="s">
        <v>9</v>
      </c>
      <c r="F750" s="21" t="s">
        <v>383</v>
      </c>
      <c r="G750" s="21">
        <v>321.57</v>
      </c>
      <c r="H750" s="21">
        <v>163.77000000000001</v>
      </c>
      <c r="I750" s="117" t="s">
        <v>325</v>
      </c>
      <c r="J750" s="117" t="s">
        <v>325</v>
      </c>
      <c r="K750" s="118"/>
      <c r="L750" s="21"/>
      <c r="M750" s="21"/>
      <c r="N750" s="21"/>
      <c r="O750" s="21"/>
      <c r="P750" s="21">
        <v>157.80000000000001</v>
      </c>
      <c r="Q750" s="21"/>
      <c r="R750" s="21" t="s">
        <v>329</v>
      </c>
      <c r="S750" s="119">
        <f>DATABASE_Table[[#This Row],[Inicial Asking Price (€) (Total)]]-DATABASE_Table[[#This Row],[Vista membership]]-DATABASE_Table[[#This Row],[FF&amp;E]]</f>
        <v>1552100</v>
      </c>
      <c r="T750" s="125">
        <v>1641050</v>
      </c>
      <c r="U750" s="124">
        <v>1730000</v>
      </c>
      <c r="V750" s="21">
        <v>24600</v>
      </c>
      <c r="W750" s="21">
        <v>64350</v>
      </c>
      <c r="X750" s="73">
        <f>DATABASE_Table[[#This Row],[Current Asking price( Total)]]-DATABASE_Table[[#This Row],[Vista membership]]-DATABASE_Table[[#This Row],[FF&amp;E]]</f>
        <v>1641050</v>
      </c>
      <c r="Y750" s="126"/>
      <c r="Z750" s="124">
        <v>1730000</v>
      </c>
      <c r="AA750" s="73">
        <f>DATABASE_Table[[#This Row],[Sell price (Total)]]-DATABASE_Table[[#This Row],[FF&amp;E]]-DATABASE_Table[[#This Row],[Vista membership]]</f>
        <v>1641050</v>
      </c>
      <c r="AB750" s="74">
        <v>45673</v>
      </c>
      <c r="AC750" s="74" t="str">
        <f t="shared" si="11"/>
        <v>Q1 2025</v>
      </c>
      <c r="AD750" s="123"/>
      <c r="AE750" s="69"/>
      <c r="AF750" s="21" t="s">
        <v>10</v>
      </c>
      <c r="AG750" s="21" t="s">
        <v>35</v>
      </c>
      <c r="AH750" s="122" t="s">
        <v>38</v>
      </c>
      <c r="AI750" s="122" t="s">
        <v>39</v>
      </c>
      <c r="AJ750" s="122" t="s">
        <v>40</v>
      </c>
      <c r="AK750" s="122" t="s">
        <v>804</v>
      </c>
      <c r="AL750" s="21" t="s">
        <v>41</v>
      </c>
      <c r="AM750" s="122" t="s">
        <v>37</v>
      </c>
    </row>
    <row r="751" spans="1:39" customFormat="1" ht="15.75" customHeight="1" x14ac:dyDescent="0.3">
      <c r="A751" t="s">
        <v>37</v>
      </c>
      <c r="B751" s="21" t="s">
        <v>687</v>
      </c>
      <c r="C751" s="21" t="s">
        <v>688</v>
      </c>
      <c r="D751" s="117" t="s">
        <v>360</v>
      </c>
      <c r="E751" s="21" t="s">
        <v>9</v>
      </c>
      <c r="F751" s="21" t="s">
        <v>383</v>
      </c>
      <c r="G751" s="21">
        <v>323.58999999999997</v>
      </c>
      <c r="H751" s="21">
        <v>165.79</v>
      </c>
      <c r="I751" s="117" t="s">
        <v>325</v>
      </c>
      <c r="J751" s="117" t="s">
        <v>325</v>
      </c>
      <c r="K751" s="118"/>
      <c r="L751" s="21"/>
      <c r="M751" s="21"/>
      <c r="N751" s="21"/>
      <c r="O751" s="21"/>
      <c r="P751" s="21">
        <v>157.80000000000001</v>
      </c>
      <c r="Q751" s="21"/>
      <c r="R751" s="21" t="s">
        <v>329</v>
      </c>
      <c r="S751" s="119">
        <f>DATABASE_Table[[#This Row],[Inicial Asking Price (€) (Total)]]-DATABASE_Table[[#This Row],[Vista membership]]-DATABASE_Table[[#This Row],[FF&amp;E]]</f>
        <v>1652100</v>
      </c>
      <c r="T751" s="125">
        <v>1741050</v>
      </c>
      <c r="U751" s="124">
        <v>1830000</v>
      </c>
      <c r="V751" s="21">
        <v>24600</v>
      </c>
      <c r="W751" s="21">
        <v>64350</v>
      </c>
      <c r="X751" s="73">
        <f>DATABASE_Table[[#This Row],[Current Asking price( Total)]]-DATABASE_Table[[#This Row],[Vista membership]]-DATABASE_Table[[#This Row],[FF&amp;E]]</f>
        <v>1741050</v>
      </c>
      <c r="Y751" s="126"/>
      <c r="Z751" s="124">
        <v>1825000</v>
      </c>
      <c r="AA751" s="73">
        <f>DATABASE_Table[[#This Row],[Sell price (Total)]]-DATABASE_Table[[#This Row],[FF&amp;E]]-DATABASE_Table[[#This Row],[Vista membership]]</f>
        <v>1736050</v>
      </c>
      <c r="AB751" s="74">
        <v>45673</v>
      </c>
      <c r="AC751" s="74" t="str">
        <f t="shared" si="11"/>
        <v>Q1 2025</v>
      </c>
      <c r="AD751" s="123"/>
      <c r="AE751" s="69"/>
      <c r="AF751" s="21" t="s">
        <v>10</v>
      </c>
      <c r="AG751" s="21" t="s">
        <v>35</v>
      </c>
      <c r="AH751" s="122" t="s">
        <v>38</v>
      </c>
      <c r="AI751" s="122" t="s">
        <v>39</v>
      </c>
      <c r="AJ751" s="122" t="s">
        <v>40</v>
      </c>
      <c r="AK751" s="122" t="s">
        <v>804</v>
      </c>
      <c r="AL751" s="21" t="s">
        <v>41</v>
      </c>
      <c r="AM751" s="122" t="s">
        <v>37</v>
      </c>
    </row>
    <row r="752" spans="1:39" customFormat="1" ht="15.75" customHeight="1" x14ac:dyDescent="0.3">
      <c r="A752" t="s">
        <v>37</v>
      </c>
      <c r="B752" s="21" t="s">
        <v>687</v>
      </c>
      <c r="C752" s="21" t="s">
        <v>688</v>
      </c>
      <c r="D752" s="117" t="s">
        <v>361</v>
      </c>
      <c r="E752" s="21" t="s">
        <v>9</v>
      </c>
      <c r="F752" s="21" t="s">
        <v>761</v>
      </c>
      <c r="G752" s="21">
        <v>296.86</v>
      </c>
      <c r="H752" s="21">
        <v>112.83</v>
      </c>
      <c r="I752" s="117" t="s">
        <v>325</v>
      </c>
      <c r="J752" s="117" t="s">
        <v>325</v>
      </c>
      <c r="K752" s="118">
        <v>18.66</v>
      </c>
      <c r="L752" s="21"/>
      <c r="M752" s="21"/>
      <c r="N752" s="21"/>
      <c r="O752" s="21"/>
      <c r="P752" s="21">
        <v>165.37</v>
      </c>
      <c r="Q752" s="21"/>
      <c r="R752" s="21" t="s">
        <v>329</v>
      </c>
      <c r="S752" s="119">
        <f>DATABASE_Table[[#This Row],[Inicial Asking Price (€) (Total)]]-DATABASE_Table[[#This Row],[Vista membership]]-DATABASE_Table[[#This Row],[FF&amp;E]]</f>
        <v>1902100</v>
      </c>
      <c r="T752" s="125">
        <v>1991050</v>
      </c>
      <c r="U752" s="124">
        <v>2080000</v>
      </c>
      <c r="V752" s="21">
        <v>24600</v>
      </c>
      <c r="W752" s="21">
        <v>64350</v>
      </c>
      <c r="X752" s="73">
        <f>DATABASE_Table[[#This Row],[Current Asking price( Total)]]-DATABASE_Table[[#This Row],[Vista membership]]-DATABASE_Table[[#This Row],[FF&amp;E]]</f>
        <v>1991050</v>
      </c>
      <c r="Y752" s="126"/>
      <c r="Z752" s="124">
        <v>2080000</v>
      </c>
      <c r="AA752" s="73">
        <f>DATABASE_Table[[#This Row],[Sell price (Total)]]-DATABASE_Table[[#This Row],[FF&amp;E]]-DATABASE_Table[[#This Row],[Vista membership]]</f>
        <v>1991050</v>
      </c>
      <c r="AB752" s="74">
        <v>45673</v>
      </c>
      <c r="AC752" s="74" t="str">
        <f t="shared" si="11"/>
        <v>Q1 2025</v>
      </c>
      <c r="AD752" s="123"/>
      <c r="AE752" s="69"/>
      <c r="AF752" s="21" t="s">
        <v>10</v>
      </c>
      <c r="AG752" s="21" t="s">
        <v>35</v>
      </c>
      <c r="AH752" s="122" t="s">
        <v>38</v>
      </c>
      <c r="AI752" s="122" t="s">
        <v>39</v>
      </c>
      <c r="AJ752" s="122" t="s">
        <v>40</v>
      </c>
      <c r="AK752" s="122" t="s">
        <v>804</v>
      </c>
      <c r="AL752" s="21" t="s">
        <v>41</v>
      </c>
      <c r="AM752" s="122" t="s">
        <v>37</v>
      </c>
    </row>
    <row r="753" spans="1:39" customFormat="1" ht="15.75" customHeight="1" x14ac:dyDescent="0.3">
      <c r="A753" t="s">
        <v>55</v>
      </c>
      <c r="B753" s="21" t="s">
        <v>55</v>
      </c>
      <c r="C753" s="21" t="s">
        <v>764</v>
      </c>
      <c r="D753" s="117" t="s">
        <v>344</v>
      </c>
      <c r="E753" s="21" t="s">
        <v>56</v>
      </c>
      <c r="F753" s="21" t="s">
        <v>320</v>
      </c>
      <c r="G753" s="21">
        <v>456</v>
      </c>
      <c r="H753" s="21"/>
      <c r="I753" s="117" t="s">
        <v>841</v>
      </c>
      <c r="J753" s="117" t="s">
        <v>325</v>
      </c>
      <c r="K753" s="118"/>
      <c r="L753" s="21"/>
      <c r="M753" s="21"/>
      <c r="N753" s="21">
        <v>213</v>
      </c>
      <c r="O753" s="21"/>
      <c r="P753" s="21">
        <v>243</v>
      </c>
      <c r="Q753" s="21"/>
      <c r="R753" s="21" t="s">
        <v>329</v>
      </c>
      <c r="S753" s="119">
        <f>DATABASE_Table[[#This Row],[Inicial Asking Price (€) (Total)]]-DATABASE_Table[[#This Row],[Vista membership]]-DATABASE_Table[[#This Row],[FF&amp;E]]</f>
        <v>4000000</v>
      </c>
      <c r="T753" s="120">
        <v>4000000</v>
      </c>
      <c r="U753" s="120">
        <v>4000000</v>
      </c>
      <c r="V753" s="21"/>
      <c r="W753" s="21"/>
      <c r="X753" s="73">
        <f>DATABASE_Table[[#This Row],[Current Asking price( Total)]]-DATABASE_Table[[#This Row],[Vista membership]]-DATABASE_Table[[#This Row],[FF&amp;E]]</f>
        <v>4000000</v>
      </c>
      <c r="Y753" s="37">
        <v>0</v>
      </c>
      <c r="Z753" s="36">
        <v>4000000</v>
      </c>
      <c r="AA753" s="73">
        <f>DATABASE_Table[[#This Row],[Sell price (Total)]]-DATABASE_Table[[#This Row],[FF&amp;E]]-DATABASE_Table[[#This Row],[Vista membership]]</f>
        <v>4000000</v>
      </c>
      <c r="AB753" s="74">
        <v>45979</v>
      </c>
      <c r="AC753" s="74" t="str">
        <f t="shared" si="11"/>
        <v>Q4 2025</v>
      </c>
      <c r="AD753" s="123"/>
      <c r="AE753" s="69" t="s">
        <v>32</v>
      </c>
      <c r="AF753" s="21" t="s">
        <v>57</v>
      </c>
      <c r="AG753" s="21" t="s">
        <v>58</v>
      </c>
      <c r="AH753" s="122" t="s">
        <v>32</v>
      </c>
      <c r="AI753" s="122" t="s">
        <v>807</v>
      </c>
      <c r="AJ753" s="122" t="s">
        <v>59</v>
      </c>
      <c r="AK753" s="122" t="s">
        <v>60</v>
      </c>
      <c r="AL753" s="21" t="s">
        <v>41</v>
      </c>
      <c r="AM753" s="122" t="s">
        <v>55</v>
      </c>
    </row>
    <row r="754" spans="1:39" customFormat="1" ht="15.75" customHeight="1" x14ac:dyDescent="0.3">
      <c r="A754" t="s">
        <v>55</v>
      </c>
      <c r="B754" s="21" t="s">
        <v>55</v>
      </c>
      <c r="C754" s="21" t="s">
        <v>764</v>
      </c>
      <c r="D754" s="117" t="s">
        <v>336</v>
      </c>
      <c r="E754" s="21" t="s">
        <v>56</v>
      </c>
      <c r="F754" s="21" t="s">
        <v>320</v>
      </c>
      <c r="G754" s="21">
        <v>456</v>
      </c>
      <c r="H754" s="21"/>
      <c r="I754" s="117" t="s">
        <v>841</v>
      </c>
      <c r="J754" s="117" t="s">
        <v>325</v>
      </c>
      <c r="K754" s="118"/>
      <c r="L754" s="21"/>
      <c r="M754" s="21"/>
      <c r="N754" s="21">
        <v>213</v>
      </c>
      <c r="O754" s="21"/>
      <c r="P754" s="21">
        <v>243</v>
      </c>
      <c r="Q754" s="21"/>
      <c r="R754" s="21" t="s">
        <v>329</v>
      </c>
      <c r="S754" s="119">
        <f>DATABASE_Table[[#This Row],[Inicial Asking Price (€) (Total)]]-DATABASE_Table[[#This Row],[Vista membership]]-DATABASE_Table[[#This Row],[FF&amp;E]]</f>
        <v>4100000</v>
      </c>
      <c r="T754" s="120">
        <v>4100000</v>
      </c>
      <c r="U754" s="120">
        <v>4100000</v>
      </c>
      <c r="V754" s="21"/>
      <c r="W754" s="21"/>
      <c r="X754" s="73">
        <f>DATABASE_Table[[#This Row],[Current Asking price( Total)]]-DATABASE_Table[[#This Row],[Vista membership]]-DATABASE_Table[[#This Row],[FF&amp;E]]</f>
        <v>4100000</v>
      </c>
      <c r="Y754" s="37">
        <v>0</v>
      </c>
      <c r="Z754" s="36">
        <v>4100000</v>
      </c>
      <c r="AA754" s="73">
        <f>DATABASE_Table[[#This Row],[Sell price (Total)]]-DATABASE_Table[[#This Row],[FF&amp;E]]-DATABASE_Table[[#This Row],[Vista membership]]</f>
        <v>4100000</v>
      </c>
      <c r="AB754" s="74">
        <v>45979</v>
      </c>
      <c r="AC754" s="74" t="str">
        <f t="shared" si="11"/>
        <v>Q4 2025</v>
      </c>
      <c r="AD754" s="123"/>
      <c r="AE754" s="69" t="s">
        <v>32</v>
      </c>
      <c r="AF754" s="21" t="s">
        <v>57</v>
      </c>
      <c r="AG754" s="21" t="s">
        <v>58</v>
      </c>
      <c r="AH754" s="122" t="s">
        <v>32</v>
      </c>
      <c r="AI754" s="122" t="s">
        <v>807</v>
      </c>
      <c r="AJ754" s="122" t="s">
        <v>59</v>
      </c>
      <c r="AK754" s="122" t="s">
        <v>60</v>
      </c>
      <c r="AL754" s="21" t="s">
        <v>41</v>
      </c>
      <c r="AM754" s="122" t="s">
        <v>55</v>
      </c>
    </row>
    <row r="755" spans="1:39" customFormat="1" ht="15.75" customHeight="1" x14ac:dyDescent="0.3">
      <c r="A755" t="s">
        <v>55</v>
      </c>
      <c r="B755" s="21" t="s">
        <v>55</v>
      </c>
      <c r="C755" s="21" t="s">
        <v>764</v>
      </c>
      <c r="D755" s="117" t="s">
        <v>337</v>
      </c>
      <c r="E755" s="21" t="s">
        <v>56</v>
      </c>
      <c r="F755" s="21" t="s">
        <v>320</v>
      </c>
      <c r="G755" s="21">
        <v>454</v>
      </c>
      <c r="H755" s="21"/>
      <c r="I755" s="117" t="s">
        <v>841</v>
      </c>
      <c r="J755" s="117" t="s">
        <v>325</v>
      </c>
      <c r="K755" s="118"/>
      <c r="L755" s="21"/>
      <c r="M755" s="21"/>
      <c r="N755" s="21">
        <v>213</v>
      </c>
      <c r="O755" s="21"/>
      <c r="P755" s="21">
        <v>241</v>
      </c>
      <c r="Q755" s="21"/>
      <c r="R755" s="21" t="s">
        <v>329</v>
      </c>
      <c r="S755" s="119">
        <f>DATABASE_Table[[#This Row],[Inicial Asking Price (€) (Total)]]-DATABASE_Table[[#This Row],[Vista membership]]-DATABASE_Table[[#This Row],[FF&amp;E]]</f>
        <v>4300000</v>
      </c>
      <c r="T755" s="120">
        <v>4300000</v>
      </c>
      <c r="U755" s="120">
        <v>4300000</v>
      </c>
      <c r="V755" s="21"/>
      <c r="W755" s="21"/>
      <c r="X755" s="73">
        <f>DATABASE_Table[[#This Row],[Current Asking price( Total)]]-DATABASE_Table[[#This Row],[Vista membership]]-DATABASE_Table[[#This Row],[FF&amp;E]]</f>
        <v>4300000</v>
      </c>
      <c r="Y755" s="37">
        <v>0</v>
      </c>
      <c r="Z755" s="36">
        <v>4300000</v>
      </c>
      <c r="AA755" s="73">
        <f>DATABASE_Table[[#This Row],[Sell price (Total)]]-DATABASE_Table[[#This Row],[FF&amp;E]]-DATABASE_Table[[#This Row],[Vista membership]]</f>
        <v>4300000</v>
      </c>
      <c r="AB755" s="74">
        <v>45979</v>
      </c>
      <c r="AC755" s="74" t="str">
        <f t="shared" si="11"/>
        <v>Q4 2025</v>
      </c>
      <c r="AD755" s="123"/>
      <c r="AE755" s="69" t="s">
        <v>32</v>
      </c>
      <c r="AF755" s="21" t="s">
        <v>57</v>
      </c>
      <c r="AG755" s="21" t="s">
        <v>58</v>
      </c>
      <c r="AH755" s="122" t="s">
        <v>32</v>
      </c>
      <c r="AI755" s="122" t="s">
        <v>807</v>
      </c>
      <c r="AJ755" s="122" t="s">
        <v>59</v>
      </c>
      <c r="AK755" s="122" t="s">
        <v>60</v>
      </c>
      <c r="AL755" s="21" t="s">
        <v>41</v>
      </c>
      <c r="AM755" s="122" t="s">
        <v>55</v>
      </c>
    </row>
    <row r="756" spans="1:39" customFormat="1" ht="15.75" customHeight="1" x14ac:dyDescent="0.3">
      <c r="A756" t="s">
        <v>55</v>
      </c>
      <c r="B756" s="21" t="s">
        <v>55</v>
      </c>
      <c r="C756" s="21" t="s">
        <v>764</v>
      </c>
      <c r="D756" s="117" t="s">
        <v>338</v>
      </c>
      <c r="E756" s="21" t="s">
        <v>56</v>
      </c>
      <c r="F756" s="21" t="s">
        <v>320</v>
      </c>
      <c r="G756" s="21">
        <v>454</v>
      </c>
      <c r="H756" s="21"/>
      <c r="I756" s="117" t="s">
        <v>841</v>
      </c>
      <c r="J756" s="117" t="s">
        <v>325</v>
      </c>
      <c r="K756" s="118"/>
      <c r="L756" s="21"/>
      <c r="M756" s="21"/>
      <c r="N756" s="21">
        <v>213</v>
      </c>
      <c r="O756" s="21"/>
      <c r="P756" s="21">
        <v>241</v>
      </c>
      <c r="Q756" s="21"/>
      <c r="R756" s="21" t="s">
        <v>329</v>
      </c>
      <c r="S756" s="119">
        <f>DATABASE_Table[[#This Row],[Inicial Asking Price (€) (Total)]]-DATABASE_Table[[#This Row],[Vista membership]]-DATABASE_Table[[#This Row],[FF&amp;E]]</f>
        <v>4700000</v>
      </c>
      <c r="T756" s="120">
        <v>4700000</v>
      </c>
      <c r="U756" s="120">
        <v>4700000</v>
      </c>
      <c r="V756" s="21"/>
      <c r="W756" s="21"/>
      <c r="X756" s="73">
        <f>DATABASE_Table[[#This Row],[Current Asking price( Total)]]-DATABASE_Table[[#This Row],[Vista membership]]-DATABASE_Table[[#This Row],[FF&amp;E]]</f>
        <v>4700000</v>
      </c>
      <c r="Y756" s="37">
        <v>0</v>
      </c>
      <c r="Z756" s="36">
        <v>4700000</v>
      </c>
      <c r="AA756" s="73">
        <f>DATABASE_Table[[#This Row],[Sell price (Total)]]-DATABASE_Table[[#This Row],[FF&amp;E]]-DATABASE_Table[[#This Row],[Vista membership]]</f>
        <v>4700000</v>
      </c>
      <c r="AB756" s="74">
        <v>45979</v>
      </c>
      <c r="AC756" s="74" t="str">
        <f t="shared" si="11"/>
        <v>Q4 2025</v>
      </c>
      <c r="AD756" s="123"/>
      <c r="AE756" s="69" t="s">
        <v>32</v>
      </c>
      <c r="AF756" s="21" t="s">
        <v>57</v>
      </c>
      <c r="AG756" s="21" t="s">
        <v>58</v>
      </c>
      <c r="AH756" s="122" t="s">
        <v>32</v>
      </c>
      <c r="AI756" s="122" t="s">
        <v>807</v>
      </c>
      <c r="AJ756" s="122" t="s">
        <v>59</v>
      </c>
      <c r="AK756" s="122" t="s">
        <v>60</v>
      </c>
      <c r="AL756" s="21" t="s">
        <v>41</v>
      </c>
      <c r="AM756" s="122" t="s">
        <v>55</v>
      </c>
    </row>
    <row r="757" spans="1:39" customFormat="1" ht="15.75" customHeight="1" x14ac:dyDescent="0.3">
      <c r="A757" t="s">
        <v>55</v>
      </c>
      <c r="B757" s="21" t="s">
        <v>55</v>
      </c>
      <c r="C757" s="21" t="s">
        <v>764</v>
      </c>
      <c r="D757" s="117" t="s">
        <v>339</v>
      </c>
      <c r="E757" s="21" t="s">
        <v>56</v>
      </c>
      <c r="F757" s="21" t="s">
        <v>320</v>
      </c>
      <c r="G757" s="21">
        <v>454</v>
      </c>
      <c r="H757" s="21"/>
      <c r="I757" s="117" t="s">
        <v>841</v>
      </c>
      <c r="J757" s="117" t="s">
        <v>325</v>
      </c>
      <c r="K757" s="118"/>
      <c r="L757" s="21"/>
      <c r="M757" s="21"/>
      <c r="N757" s="21">
        <v>213</v>
      </c>
      <c r="O757" s="21"/>
      <c r="P757" s="21">
        <v>241</v>
      </c>
      <c r="Q757" s="21"/>
      <c r="R757" s="21" t="s">
        <v>327</v>
      </c>
      <c r="S757" s="119">
        <f>DATABASE_Table[[#This Row],[Inicial Asking Price (€) (Total)]]-DATABASE_Table[[#This Row],[Vista membership]]-DATABASE_Table[[#This Row],[FF&amp;E]]</f>
        <v>5200000</v>
      </c>
      <c r="T757" s="120">
        <v>5200000</v>
      </c>
      <c r="U757" s="120">
        <v>5200000</v>
      </c>
      <c r="V757" s="21"/>
      <c r="W757" s="21"/>
      <c r="X757" s="73">
        <f>DATABASE_Table[[#This Row],[Current Asking price( Total)]]-DATABASE_Table[[#This Row],[Vista membership]]-DATABASE_Table[[#This Row],[FF&amp;E]]</f>
        <v>5200000</v>
      </c>
      <c r="Y757" s="37">
        <v>0</v>
      </c>
      <c r="Z757" s="36">
        <v>5200000</v>
      </c>
      <c r="AA757" s="73">
        <f>DATABASE_Table[[#This Row],[Sell price (Total)]]-DATABASE_Table[[#This Row],[FF&amp;E]]-DATABASE_Table[[#This Row],[Vista membership]]</f>
        <v>5200000</v>
      </c>
      <c r="AB757" s="74">
        <v>45979</v>
      </c>
      <c r="AC757" s="74" t="str">
        <f t="shared" si="11"/>
        <v>Q4 2025</v>
      </c>
      <c r="AD757" s="123">
        <v>45991</v>
      </c>
      <c r="AE757" s="69" t="s">
        <v>32</v>
      </c>
      <c r="AF757" s="21" t="s">
        <v>57</v>
      </c>
      <c r="AG757" s="21" t="s">
        <v>58</v>
      </c>
      <c r="AH757" s="122" t="s">
        <v>32</v>
      </c>
      <c r="AI757" s="122" t="s">
        <v>807</v>
      </c>
      <c r="AJ757" s="122" t="s">
        <v>59</v>
      </c>
      <c r="AK757" s="122" t="s">
        <v>60</v>
      </c>
      <c r="AL757" s="21" t="s">
        <v>61</v>
      </c>
      <c r="AM757" s="122" t="s">
        <v>55</v>
      </c>
    </row>
    <row r="758" spans="1:39" customFormat="1" ht="15.75" customHeight="1" x14ac:dyDescent="0.3">
      <c r="A758" t="s">
        <v>55</v>
      </c>
      <c r="B758" s="21" t="s">
        <v>55</v>
      </c>
      <c r="C758" s="21" t="s">
        <v>764</v>
      </c>
      <c r="D758" s="117" t="s">
        <v>345</v>
      </c>
      <c r="E758" s="21" t="s">
        <v>56</v>
      </c>
      <c r="F758" s="21" t="s">
        <v>628</v>
      </c>
      <c r="G758" s="21">
        <v>460</v>
      </c>
      <c r="H758" s="21"/>
      <c r="I758" s="117" t="s">
        <v>841</v>
      </c>
      <c r="J758" s="117" t="s">
        <v>325</v>
      </c>
      <c r="K758" s="118"/>
      <c r="L758" s="21"/>
      <c r="M758" s="21"/>
      <c r="N758" s="21">
        <v>196</v>
      </c>
      <c r="O758" s="21"/>
      <c r="P758" s="21">
        <v>264</v>
      </c>
      <c r="Q758" s="21"/>
      <c r="R758" s="21" t="s">
        <v>329</v>
      </c>
      <c r="S758" s="119">
        <f>DATABASE_Table[[#This Row],[Inicial Asking Price (€) (Total)]]-DATABASE_Table[[#This Row],[Vista membership]]-DATABASE_Table[[#This Row],[FF&amp;E]]</f>
        <v>5300000</v>
      </c>
      <c r="T758" s="120">
        <v>5300000</v>
      </c>
      <c r="U758" s="120">
        <v>5300000</v>
      </c>
      <c r="V758" s="21"/>
      <c r="W758" s="21"/>
      <c r="X758" s="73">
        <f>DATABASE_Table[[#This Row],[Current Asking price( Total)]]-DATABASE_Table[[#This Row],[Vista membership]]-DATABASE_Table[[#This Row],[FF&amp;E]]</f>
        <v>5300000</v>
      </c>
      <c r="Y758" s="37">
        <v>0</v>
      </c>
      <c r="Z758" s="36">
        <v>5300000</v>
      </c>
      <c r="AA758" s="73">
        <f>DATABASE_Table[[#This Row],[Sell price (Total)]]-DATABASE_Table[[#This Row],[FF&amp;E]]-DATABASE_Table[[#This Row],[Vista membership]]</f>
        <v>5300000</v>
      </c>
      <c r="AB758" s="74">
        <v>45979</v>
      </c>
      <c r="AC758" s="74" t="str">
        <f t="shared" si="11"/>
        <v>Q4 2025</v>
      </c>
      <c r="AD758" s="123"/>
      <c r="AE758" s="69" t="s">
        <v>32</v>
      </c>
      <c r="AF758" s="21" t="s">
        <v>57</v>
      </c>
      <c r="AG758" s="21" t="s">
        <v>58</v>
      </c>
      <c r="AH758" s="122" t="s">
        <v>32</v>
      </c>
      <c r="AI758" s="122" t="s">
        <v>807</v>
      </c>
      <c r="AJ758" s="122" t="s">
        <v>59</v>
      </c>
      <c r="AK758" s="122" t="s">
        <v>60</v>
      </c>
      <c r="AL758" s="21" t="s">
        <v>41</v>
      </c>
      <c r="AM758" s="122" t="s">
        <v>55</v>
      </c>
    </row>
    <row r="759" spans="1:39" customFormat="1" ht="15.75" customHeight="1" x14ac:dyDescent="0.3">
      <c r="A759" t="s">
        <v>55</v>
      </c>
      <c r="B759" s="21" t="s">
        <v>55</v>
      </c>
      <c r="C759" s="21" t="s">
        <v>764</v>
      </c>
      <c r="D759" s="117" t="s">
        <v>347</v>
      </c>
      <c r="E759" s="21" t="s">
        <v>56</v>
      </c>
      <c r="F759" s="21" t="s">
        <v>628</v>
      </c>
      <c r="G759" s="21">
        <v>460</v>
      </c>
      <c r="H759" s="21"/>
      <c r="I759" s="117" t="s">
        <v>841</v>
      </c>
      <c r="J759" s="117" t="s">
        <v>325</v>
      </c>
      <c r="K759" s="118"/>
      <c r="L759" s="21"/>
      <c r="M759" s="21"/>
      <c r="N759" s="21">
        <v>196</v>
      </c>
      <c r="O759" s="21"/>
      <c r="P759" s="21">
        <v>264</v>
      </c>
      <c r="Q759" s="21"/>
      <c r="R759" s="21" t="s">
        <v>329</v>
      </c>
      <c r="S759" s="119">
        <f>DATABASE_Table[[#This Row],[Inicial Asking Price (€) (Total)]]-DATABASE_Table[[#This Row],[Vista membership]]-DATABASE_Table[[#This Row],[FF&amp;E]]</f>
        <v>5700000</v>
      </c>
      <c r="T759" s="120">
        <v>5700000</v>
      </c>
      <c r="U759" s="120">
        <v>5700000</v>
      </c>
      <c r="V759" s="21"/>
      <c r="W759" s="21"/>
      <c r="X759" s="73">
        <f>DATABASE_Table[[#This Row],[Current Asking price( Total)]]-DATABASE_Table[[#This Row],[Vista membership]]-DATABASE_Table[[#This Row],[FF&amp;E]]</f>
        <v>5700000</v>
      </c>
      <c r="Y759" s="37">
        <v>0</v>
      </c>
      <c r="Z759" s="36">
        <v>5700000</v>
      </c>
      <c r="AA759" s="73">
        <f>DATABASE_Table[[#This Row],[Sell price (Total)]]-DATABASE_Table[[#This Row],[FF&amp;E]]-DATABASE_Table[[#This Row],[Vista membership]]</f>
        <v>5700000</v>
      </c>
      <c r="AB759" s="74">
        <v>45979</v>
      </c>
      <c r="AC759" s="74" t="str">
        <f t="shared" si="11"/>
        <v>Q4 2025</v>
      </c>
      <c r="AD759" s="123"/>
      <c r="AE759" s="69" t="s">
        <v>32</v>
      </c>
      <c r="AF759" s="21" t="s">
        <v>57</v>
      </c>
      <c r="AG759" s="21" t="s">
        <v>58</v>
      </c>
      <c r="AH759" s="122" t="s">
        <v>32</v>
      </c>
      <c r="AI759" s="122" t="s">
        <v>807</v>
      </c>
      <c r="AJ759" s="122" t="s">
        <v>59</v>
      </c>
      <c r="AK759" s="122" t="s">
        <v>60</v>
      </c>
      <c r="AL759" s="21" t="s">
        <v>41</v>
      </c>
      <c r="AM759" s="122" t="s">
        <v>55</v>
      </c>
    </row>
    <row r="760" spans="1:39" customFormat="1" ht="15.75" customHeight="1" x14ac:dyDescent="0.3">
      <c r="A760" t="s">
        <v>55</v>
      </c>
      <c r="B760" s="21" t="s">
        <v>55</v>
      </c>
      <c r="C760" s="21" t="s">
        <v>764</v>
      </c>
      <c r="D760" s="117" t="s">
        <v>340</v>
      </c>
      <c r="E760" s="21" t="s">
        <v>56</v>
      </c>
      <c r="F760" s="21" t="s">
        <v>320</v>
      </c>
      <c r="G760" s="21">
        <v>458</v>
      </c>
      <c r="H760" s="21"/>
      <c r="I760" s="117" t="s">
        <v>841</v>
      </c>
      <c r="J760" s="117" t="s">
        <v>325</v>
      </c>
      <c r="K760" s="118"/>
      <c r="L760" s="21"/>
      <c r="M760" s="21"/>
      <c r="N760" s="21">
        <v>213</v>
      </c>
      <c r="O760" s="21"/>
      <c r="P760" s="21">
        <v>245</v>
      </c>
      <c r="Q760" s="21"/>
      <c r="R760" s="21" t="s">
        <v>327</v>
      </c>
      <c r="S760" s="119">
        <f>DATABASE_Table[[#This Row],[Inicial Asking Price (€) (Total)]]-DATABASE_Table[[#This Row],[Vista membership]]-DATABASE_Table[[#This Row],[FF&amp;E]]</f>
        <v>5700000</v>
      </c>
      <c r="T760" s="120">
        <v>5700000</v>
      </c>
      <c r="U760" s="120">
        <v>5700000</v>
      </c>
      <c r="V760" s="21"/>
      <c r="W760" s="21"/>
      <c r="X760" s="73">
        <f>DATABASE_Table[[#This Row],[Current Asking price( Total)]]-DATABASE_Table[[#This Row],[Vista membership]]-DATABASE_Table[[#This Row],[FF&amp;E]]</f>
        <v>5700000</v>
      </c>
      <c r="Y760" s="37">
        <v>0</v>
      </c>
      <c r="Z760" s="36">
        <v>5700000</v>
      </c>
      <c r="AA760" s="73">
        <f>DATABASE_Table[[#This Row],[Sell price (Total)]]-DATABASE_Table[[#This Row],[FF&amp;E]]-DATABASE_Table[[#This Row],[Vista membership]]</f>
        <v>5700000</v>
      </c>
      <c r="AB760" s="74">
        <v>45979</v>
      </c>
      <c r="AC760" s="74" t="str">
        <f t="shared" si="11"/>
        <v>Q4 2025</v>
      </c>
      <c r="AD760" s="123">
        <v>45991</v>
      </c>
      <c r="AE760" s="69" t="s">
        <v>32</v>
      </c>
      <c r="AF760" s="21" t="s">
        <v>57</v>
      </c>
      <c r="AG760" s="21" t="s">
        <v>58</v>
      </c>
      <c r="AH760" s="122" t="s">
        <v>32</v>
      </c>
      <c r="AI760" s="122" t="s">
        <v>807</v>
      </c>
      <c r="AJ760" s="122" t="s">
        <v>59</v>
      </c>
      <c r="AK760" s="122" t="s">
        <v>60</v>
      </c>
      <c r="AL760" s="21" t="s">
        <v>61</v>
      </c>
      <c r="AM760" s="122" t="s">
        <v>55</v>
      </c>
    </row>
    <row r="761" spans="1:39" customFormat="1" ht="15.75" customHeight="1" x14ac:dyDescent="0.3">
      <c r="A761" t="s">
        <v>55</v>
      </c>
      <c r="B761" s="21" t="s">
        <v>55</v>
      </c>
      <c r="C761" s="21" t="s">
        <v>764</v>
      </c>
      <c r="D761" s="117" t="s">
        <v>352</v>
      </c>
      <c r="E761" s="21" t="s">
        <v>56</v>
      </c>
      <c r="F761" s="21" t="s">
        <v>629</v>
      </c>
      <c r="G761" s="21">
        <v>654</v>
      </c>
      <c r="H761" s="21"/>
      <c r="I761" s="117" t="s">
        <v>840</v>
      </c>
      <c r="J761" s="117" t="s">
        <v>325</v>
      </c>
      <c r="K761" s="118"/>
      <c r="L761" s="21"/>
      <c r="M761" s="21"/>
      <c r="N761" s="21">
        <v>290</v>
      </c>
      <c r="O761" s="21"/>
      <c r="P761" s="21">
        <v>364</v>
      </c>
      <c r="Q761" s="21"/>
      <c r="R761" s="21" t="s">
        <v>329</v>
      </c>
      <c r="S761" s="119">
        <f>DATABASE_Table[[#This Row],[Inicial Asking Price (€) (Total)]]-DATABASE_Table[[#This Row],[Vista membership]]-DATABASE_Table[[#This Row],[FF&amp;E]]</f>
        <v>7700000</v>
      </c>
      <c r="T761" s="120">
        <v>7700000</v>
      </c>
      <c r="U761" s="120">
        <v>7700000</v>
      </c>
      <c r="V761" s="21"/>
      <c r="W761" s="21"/>
      <c r="X761" s="73">
        <f>DATABASE_Table[[#This Row],[Current Asking price( Total)]]-DATABASE_Table[[#This Row],[Vista membership]]-DATABASE_Table[[#This Row],[FF&amp;E]]</f>
        <v>7700000</v>
      </c>
      <c r="Y761" s="37">
        <v>0</v>
      </c>
      <c r="Z761" s="36">
        <v>7700000</v>
      </c>
      <c r="AA761" s="73">
        <f>DATABASE_Table[[#This Row],[Sell price (Total)]]-DATABASE_Table[[#This Row],[FF&amp;E]]-DATABASE_Table[[#This Row],[Vista membership]]</f>
        <v>7700000</v>
      </c>
      <c r="AB761" s="74">
        <v>45979</v>
      </c>
      <c r="AC761" s="74" t="str">
        <f t="shared" si="11"/>
        <v>Q4 2025</v>
      </c>
      <c r="AD761" s="123"/>
      <c r="AE761" s="69" t="s">
        <v>32</v>
      </c>
      <c r="AF761" s="21" t="s">
        <v>57</v>
      </c>
      <c r="AG761" s="21" t="s">
        <v>58</v>
      </c>
      <c r="AH761" s="122" t="s">
        <v>32</v>
      </c>
      <c r="AI761" s="122" t="s">
        <v>807</v>
      </c>
      <c r="AJ761" s="122" t="s">
        <v>59</v>
      </c>
      <c r="AK761" s="122" t="s">
        <v>60</v>
      </c>
      <c r="AL761" s="21" t="s">
        <v>41</v>
      </c>
      <c r="AM761" s="122" t="s">
        <v>55</v>
      </c>
    </row>
    <row r="762" spans="1:39" customFormat="1" ht="15.75" customHeight="1" x14ac:dyDescent="0.3">
      <c r="A762" t="s">
        <v>55</v>
      </c>
      <c r="B762" s="21" t="s">
        <v>55</v>
      </c>
      <c r="C762" s="21" t="s">
        <v>764</v>
      </c>
      <c r="D762" s="117" t="s">
        <v>351</v>
      </c>
      <c r="E762" s="21" t="s">
        <v>56</v>
      </c>
      <c r="F762" s="21" t="s">
        <v>629</v>
      </c>
      <c r="G762" s="21">
        <v>654</v>
      </c>
      <c r="H762" s="21"/>
      <c r="I762" s="117" t="s">
        <v>840</v>
      </c>
      <c r="J762" s="117" t="s">
        <v>325</v>
      </c>
      <c r="K762" s="118"/>
      <c r="L762" s="21"/>
      <c r="M762" s="21"/>
      <c r="N762" s="21">
        <v>290</v>
      </c>
      <c r="O762" s="21"/>
      <c r="P762" s="21">
        <v>364</v>
      </c>
      <c r="Q762" s="21"/>
      <c r="R762" s="21" t="s">
        <v>329</v>
      </c>
      <c r="S762" s="119">
        <f>DATABASE_Table[[#This Row],[Inicial Asking Price (€) (Total)]]-DATABASE_Table[[#This Row],[Vista membership]]-DATABASE_Table[[#This Row],[FF&amp;E]]</f>
        <v>8400000</v>
      </c>
      <c r="T762" s="120">
        <v>8400000</v>
      </c>
      <c r="U762" s="120">
        <v>8400000</v>
      </c>
      <c r="V762" s="21"/>
      <c r="W762" s="21"/>
      <c r="X762" s="73">
        <f>DATABASE_Table[[#This Row],[Current Asking price( Total)]]-DATABASE_Table[[#This Row],[Vista membership]]-DATABASE_Table[[#This Row],[FF&amp;E]]</f>
        <v>8400000</v>
      </c>
      <c r="Y762" s="37">
        <v>0</v>
      </c>
      <c r="Z762" s="36">
        <v>8400000</v>
      </c>
      <c r="AA762" s="73">
        <f>DATABASE_Table[[#This Row],[Sell price (Total)]]-DATABASE_Table[[#This Row],[FF&amp;E]]-DATABASE_Table[[#This Row],[Vista membership]]</f>
        <v>8400000</v>
      </c>
      <c r="AB762" s="74">
        <v>45979</v>
      </c>
      <c r="AC762" s="74" t="str">
        <f t="shared" si="11"/>
        <v>Q4 2025</v>
      </c>
      <c r="AD762" s="123"/>
      <c r="AE762" s="69" t="s">
        <v>32</v>
      </c>
      <c r="AF762" s="21" t="s">
        <v>57</v>
      </c>
      <c r="AG762" s="21" t="s">
        <v>58</v>
      </c>
      <c r="AH762" s="122" t="s">
        <v>32</v>
      </c>
      <c r="AI762" s="122" t="s">
        <v>807</v>
      </c>
      <c r="AJ762" s="122" t="s">
        <v>59</v>
      </c>
      <c r="AK762" s="122" t="s">
        <v>60</v>
      </c>
      <c r="AL762" s="21" t="s">
        <v>41</v>
      </c>
      <c r="AM762" s="122" t="s">
        <v>55</v>
      </c>
    </row>
    <row r="763" spans="1:39" customFormat="1" ht="15.75" customHeight="1" x14ac:dyDescent="0.3">
      <c r="A763" t="s">
        <v>55</v>
      </c>
      <c r="B763" s="21" t="s">
        <v>55</v>
      </c>
      <c r="C763" s="21" t="s">
        <v>764</v>
      </c>
      <c r="D763" s="117" t="s">
        <v>349</v>
      </c>
      <c r="E763" s="21" t="s">
        <v>56</v>
      </c>
      <c r="F763" s="21" t="s">
        <v>629</v>
      </c>
      <c r="G763" s="21">
        <v>654</v>
      </c>
      <c r="H763" s="21"/>
      <c r="I763" s="117" t="s">
        <v>841</v>
      </c>
      <c r="J763" s="117" t="s">
        <v>325</v>
      </c>
      <c r="K763" s="118"/>
      <c r="L763" s="21"/>
      <c r="M763" s="21"/>
      <c r="N763" s="21">
        <v>290</v>
      </c>
      <c r="O763" s="21"/>
      <c r="P763" s="21">
        <v>364</v>
      </c>
      <c r="Q763" s="21"/>
      <c r="R763" s="21" t="s">
        <v>329</v>
      </c>
      <c r="S763" s="119">
        <f>DATABASE_Table[[#This Row],[Inicial Asking Price (€) (Total)]]-DATABASE_Table[[#This Row],[Vista membership]]-DATABASE_Table[[#This Row],[FF&amp;E]]</f>
        <v>9000000</v>
      </c>
      <c r="T763" s="120">
        <v>9000000</v>
      </c>
      <c r="U763" s="120">
        <v>9000000</v>
      </c>
      <c r="V763" s="21"/>
      <c r="W763" s="21"/>
      <c r="X763" s="73">
        <f>DATABASE_Table[[#This Row],[Current Asking price( Total)]]-DATABASE_Table[[#This Row],[Vista membership]]-DATABASE_Table[[#This Row],[FF&amp;E]]</f>
        <v>9000000</v>
      </c>
      <c r="Y763" s="37">
        <v>0</v>
      </c>
      <c r="Z763" s="36">
        <v>9000000</v>
      </c>
      <c r="AA763" s="73">
        <f>DATABASE_Table[[#This Row],[Sell price (Total)]]-DATABASE_Table[[#This Row],[FF&amp;E]]-DATABASE_Table[[#This Row],[Vista membership]]</f>
        <v>9000000</v>
      </c>
      <c r="AB763" s="74">
        <v>45979</v>
      </c>
      <c r="AC763" s="74" t="str">
        <f t="shared" si="11"/>
        <v>Q4 2025</v>
      </c>
      <c r="AD763" s="123"/>
      <c r="AE763" s="69" t="s">
        <v>32</v>
      </c>
      <c r="AF763" s="21" t="s">
        <v>57</v>
      </c>
      <c r="AG763" s="21" t="s">
        <v>58</v>
      </c>
      <c r="AH763" s="122" t="s">
        <v>32</v>
      </c>
      <c r="AI763" s="122" t="s">
        <v>807</v>
      </c>
      <c r="AJ763" s="122" t="s">
        <v>59</v>
      </c>
      <c r="AK763" s="122" t="s">
        <v>60</v>
      </c>
      <c r="AL763" s="21" t="s">
        <v>41</v>
      </c>
      <c r="AM763" s="122" t="s">
        <v>55</v>
      </c>
    </row>
    <row r="764" spans="1:39" customFormat="1" ht="15.75" customHeight="1" x14ac:dyDescent="0.3">
      <c r="A764" t="s">
        <v>55</v>
      </c>
      <c r="B764" s="21" t="s">
        <v>55</v>
      </c>
      <c r="C764" s="21" t="s">
        <v>764</v>
      </c>
      <c r="D764" s="117" t="s">
        <v>350</v>
      </c>
      <c r="E764" s="21" t="s">
        <v>56</v>
      </c>
      <c r="F764" s="21" t="s">
        <v>629</v>
      </c>
      <c r="G764" s="21">
        <v>654</v>
      </c>
      <c r="H764" s="21"/>
      <c r="I764" s="117" t="s">
        <v>840</v>
      </c>
      <c r="J764" s="117" t="s">
        <v>325</v>
      </c>
      <c r="K764" s="118"/>
      <c r="L764" s="21"/>
      <c r="M764" s="21"/>
      <c r="N764" s="21">
        <v>290</v>
      </c>
      <c r="O764" s="21"/>
      <c r="P764" s="21">
        <v>364</v>
      </c>
      <c r="Q764" s="21"/>
      <c r="R764" s="21" t="s">
        <v>329</v>
      </c>
      <c r="S764" s="119">
        <f>DATABASE_Table[[#This Row],[Inicial Asking Price (€) (Total)]]-DATABASE_Table[[#This Row],[Vista membership]]-DATABASE_Table[[#This Row],[FF&amp;E]]</f>
        <v>9600000</v>
      </c>
      <c r="T764" s="120">
        <v>9600000</v>
      </c>
      <c r="U764" s="120">
        <v>9600000</v>
      </c>
      <c r="V764" s="21"/>
      <c r="W764" s="21"/>
      <c r="X764" s="73">
        <f>DATABASE_Table[[#This Row],[Current Asking price( Total)]]-DATABASE_Table[[#This Row],[Vista membership]]-DATABASE_Table[[#This Row],[FF&amp;E]]</f>
        <v>9600000</v>
      </c>
      <c r="Y764" s="37">
        <v>0</v>
      </c>
      <c r="Z764" s="36">
        <v>9600000</v>
      </c>
      <c r="AA764" s="73">
        <f>DATABASE_Table[[#This Row],[Sell price (Total)]]-DATABASE_Table[[#This Row],[FF&amp;E]]-DATABASE_Table[[#This Row],[Vista membership]]</f>
        <v>9600000</v>
      </c>
      <c r="AB764" s="74">
        <v>45979</v>
      </c>
      <c r="AC764" s="74" t="str">
        <f t="shared" si="11"/>
        <v>Q4 2025</v>
      </c>
      <c r="AD764" s="123"/>
      <c r="AE764" s="69" t="s">
        <v>32</v>
      </c>
      <c r="AF764" s="21" t="s">
        <v>57</v>
      </c>
      <c r="AG764" s="21" t="s">
        <v>58</v>
      </c>
      <c r="AH764" s="122" t="s">
        <v>32</v>
      </c>
      <c r="AI764" s="122" t="s">
        <v>807</v>
      </c>
      <c r="AJ764" s="122" t="s">
        <v>59</v>
      </c>
      <c r="AK764" s="122" t="s">
        <v>60</v>
      </c>
      <c r="AL764" s="21" t="s">
        <v>41</v>
      </c>
      <c r="AM764" s="122" t="s">
        <v>55</v>
      </c>
    </row>
    <row r="765" spans="1:39" customFormat="1" ht="15.75" customHeight="1" x14ac:dyDescent="0.3">
      <c r="A765" t="s">
        <v>55</v>
      </c>
      <c r="B765" s="21" t="s">
        <v>55</v>
      </c>
      <c r="C765" s="21" t="s">
        <v>764</v>
      </c>
      <c r="D765" s="117" t="s">
        <v>343</v>
      </c>
      <c r="E765" s="21" t="s">
        <v>56</v>
      </c>
      <c r="F765" s="21" t="s">
        <v>320</v>
      </c>
      <c r="G765" s="21">
        <v>454</v>
      </c>
      <c r="H765" s="21"/>
      <c r="I765" s="117" t="s">
        <v>841</v>
      </c>
      <c r="J765" s="117" t="s">
        <v>325</v>
      </c>
      <c r="K765" s="118"/>
      <c r="L765" s="21"/>
      <c r="M765" s="21"/>
      <c r="N765" s="21">
        <v>213</v>
      </c>
      <c r="O765" s="21"/>
      <c r="P765" s="21">
        <v>241</v>
      </c>
      <c r="Q765" s="21"/>
      <c r="R765" s="21" t="s">
        <v>326</v>
      </c>
      <c r="S765" s="119">
        <f>DATABASE_Table[[#This Row],[Inicial Asking Price (€) (Total)]]-DATABASE_Table[[#This Row],[Vista membership]]-DATABASE_Table[[#This Row],[FF&amp;E]]</f>
        <v>4500000</v>
      </c>
      <c r="T765" s="120">
        <v>4500000</v>
      </c>
      <c r="U765" s="36">
        <v>4500000</v>
      </c>
      <c r="V765" s="21"/>
      <c r="W765" s="21"/>
      <c r="X765" s="73">
        <f>DATABASE_Table[[#This Row],[Current Asking price( Total)]]-DATABASE_Table[[#This Row],[Vista membership]]-DATABASE_Table[[#This Row],[FF&amp;E]]</f>
        <v>4500000</v>
      </c>
      <c r="Y765" s="37">
        <v>0.05</v>
      </c>
      <c r="Z765" s="36">
        <v>4275000</v>
      </c>
      <c r="AA765" s="73">
        <f>DATABASE_Table[[#This Row],[Sell price (Total)]]-DATABASE_Table[[#This Row],[FF&amp;E]]-DATABASE_Table[[#This Row],[Vista membership]]</f>
        <v>4275000</v>
      </c>
      <c r="AB765" s="74">
        <v>45979</v>
      </c>
      <c r="AC765" s="74" t="str">
        <f t="shared" si="11"/>
        <v>Q4 2025</v>
      </c>
      <c r="AD765" s="123">
        <v>45979</v>
      </c>
      <c r="AE765" s="69" t="s">
        <v>32</v>
      </c>
      <c r="AF765" s="21" t="s">
        <v>57</v>
      </c>
      <c r="AG765" s="21" t="s">
        <v>58</v>
      </c>
      <c r="AH765" s="122" t="s">
        <v>32</v>
      </c>
      <c r="AI765" s="122" t="s">
        <v>807</v>
      </c>
      <c r="AJ765" s="122" t="s">
        <v>59</v>
      </c>
      <c r="AK765" s="122" t="s">
        <v>60</v>
      </c>
      <c r="AL765" s="21" t="s">
        <v>61</v>
      </c>
      <c r="AM765" s="122" t="s">
        <v>55</v>
      </c>
    </row>
    <row r="766" spans="1:39" customFormat="1" ht="15.75" customHeight="1" x14ac:dyDescent="0.3">
      <c r="A766" t="s">
        <v>55</v>
      </c>
      <c r="B766" s="21" t="s">
        <v>55</v>
      </c>
      <c r="C766" s="21" t="s">
        <v>764</v>
      </c>
      <c r="D766" s="117" t="s">
        <v>342</v>
      </c>
      <c r="E766" s="21" t="s">
        <v>56</v>
      </c>
      <c r="F766" s="21" t="s">
        <v>320</v>
      </c>
      <c r="G766" s="21">
        <v>454</v>
      </c>
      <c r="H766" s="21"/>
      <c r="I766" s="117" t="s">
        <v>841</v>
      </c>
      <c r="J766" s="117" t="s">
        <v>325</v>
      </c>
      <c r="K766" s="118"/>
      <c r="L766" s="21"/>
      <c r="M766" s="21"/>
      <c r="N766" s="21">
        <v>213</v>
      </c>
      <c r="O766" s="21"/>
      <c r="P766" s="21">
        <v>241</v>
      </c>
      <c r="Q766" s="21"/>
      <c r="R766" s="21" t="s">
        <v>329</v>
      </c>
      <c r="S766" s="119">
        <f>DATABASE_Table[[#This Row],[Inicial Asking Price (€) (Total)]]-DATABASE_Table[[#This Row],[Vista membership]]-DATABASE_Table[[#This Row],[FF&amp;E]]</f>
        <v>5000000</v>
      </c>
      <c r="T766" s="120">
        <v>5000000</v>
      </c>
      <c r="U766" s="120">
        <v>5000000</v>
      </c>
      <c r="V766" s="21"/>
      <c r="W766" s="21"/>
      <c r="X766" s="73">
        <f>DATABASE_Table[[#This Row],[Current Asking price( Total)]]-DATABASE_Table[[#This Row],[Vista membership]]-DATABASE_Table[[#This Row],[FF&amp;E]]</f>
        <v>5000000</v>
      </c>
      <c r="Y766" s="37"/>
      <c r="Z766" s="36">
        <v>5000000</v>
      </c>
      <c r="AA766" s="73">
        <f>DATABASE_Table[[#This Row],[Sell price (Total)]]-DATABASE_Table[[#This Row],[FF&amp;E]]-DATABASE_Table[[#This Row],[Vista membership]]</f>
        <v>5000000</v>
      </c>
      <c r="AB766" s="74">
        <v>45979</v>
      </c>
      <c r="AC766" s="74" t="str">
        <f t="shared" si="11"/>
        <v>Q4 2025</v>
      </c>
      <c r="AD766" s="123"/>
      <c r="AE766" s="69" t="s">
        <v>32</v>
      </c>
      <c r="AF766" s="21" t="s">
        <v>57</v>
      </c>
      <c r="AG766" s="21" t="s">
        <v>58</v>
      </c>
      <c r="AH766" s="122" t="s">
        <v>32</v>
      </c>
      <c r="AI766" s="122" t="s">
        <v>807</v>
      </c>
      <c r="AJ766" s="122" t="s">
        <v>59</v>
      </c>
      <c r="AK766" s="122" t="s">
        <v>60</v>
      </c>
      <c r="AL766" s="21" t="s">
        <v>61</v>
      </c>
      <c r="AM766" s="122" t="s">
        <v>55</v>
      </c>
    </row>
    <row r="767" spans="1:39" customFormat="1" ht="15.75" customHeight="1" x14ac:dyDescent="0.3">
      <c r="A767" t="s">
        <v>55</v>
      </c>
      <c r="B767" s="21" t="s">
        <v>55</v>
      </c>
      <c r="C767" s="21" t="s">
        <v>764</v>
      </c>
      <c r="D767" s="117" t="s">
        <v>341</v>
      </c>
      <c r="E767" s="21" t="s">
        <v>56</v>
      </c>
      <c r="F767" s="21" t="s">
        <v>320</v>
      </c>
      <c r="G767" s="21">
        <v>454</v>
      </c>
      <c r="H767" s="21"/>
      <c r="I767" s="117" t="s">
        <v>841</v>
      </c>
      <c r="J767" s="117" t="s">
        <v>325</v>
      </c>
      <c r="K767" s="118"/>
      <c r="L767" s="21"/>
      <c r="M767" s="21"/>
      <c r="N767" s="21">
        <v>213</v>
      </c>
      <c r="O767" s="21"/>
      <c r="P767" s="21">
        <v>241</v>
      </c>
      <c r="Q767" s="21"/>
      <c r="R767" s="21" t="s">
        <v>329</v>
      </c>
      <c r="S767" s="119">
        <f>DATABASE_Table[[#This Row],[Inicial Asking Price (€) (Total)]]-DATABASE_Table[[#This Row],[Vista membership]]-DATABASE_Table[[#This Row],[FF&amp;E]]</f>
        <v>5500000</v>
      </c>
      <c r="T767" s="120">
        <v>5500000</v>
      </c>
      <c r="U767" s="120">
        <v>5500000</v>
      </c>
      <c r="V767" s="21"/>
      <c r="W767" s="21"/>
      <c r="X767" s="73">
        <f>DATABASE_Table[[#This Row],[Current Asking price( Total)]]-DATABASE_Table[[#This Row],[Vista membership]]-DATABASE_Table[[#This Row],[FF&amp;E]]</f>
        <v>5500000</v>
      </c>
      <c r="Y767" s="37"/>
      <c r="Z767" s="36">
        <v>5225000</v>
      </c>
      <c r="AA767" s="73">
        <f>DATABASE_Table[[#This Row],[Sell price (Total)]]-DATABASE_Table[[#This Row],[FF&amp;E]]-DATABASE_Table[[#This Row],[Vista membership]]</f>
        <v>5225000</v>
      </c>
      <c r="AB767" s="74">
        <v>45979</v>
      </c>
      <c r="AC767" s="74" t="str">
        <f t="shared" si="11"/>
        <v>Q4 2025</v>
      </c>
      <c r="AD767" s="123"/>
      <c r="AE767" s="69" t="s">
        <v>32</v>
      </c>
      <c r="AF767" s="21" t="s">
        <v>57</v>
      </c>
      <c r="AG767" s="21" t="s">
        <v>58</v>
      </c>
      <c r="AH767" s="122" t="s">
        <v>32</v>
      </c>
      <c r="AI767" s="122" t="s">
        <v>807</v>
      </c>
      <c r="AJ767" s="122" t="s">
        <v>59</v>
      </c>
      <c r="AK767" s="122" t="s">
        <v>60</v>
      </c>
      <c r="AL767" s="21" t="s">
        <v>61</v>
      </c>
      <c r="AM767" s="122" t="s">
        <v>55</v>
      </c>
    </row>
    <row r="768" spans="1:39" customFormat="1" ht="15.75" customHeight="1" x14ac:dyDescent="0.3">
      <c r="A768" t="s">
        <v>55</v>
      </c>
      <c r="B768" s="21" t="s">
        <v>55</v>
      </c>
      <c r="C768" s="21" t="s">
        <v>764</v>
      </c>
      <c r="D768" s="117" t="s">
        <v>348</v>
      </c>
      <c r="E768" s="21" t="s">
        <v>56</v>
      </c>
      <c r="F768" s="21" t="s">
        <v>628</v>
      </c>
      <c r="G768" s="21">
        <v>458</v>
      </c>
      <c r="H768" s="21"/>
      <c r="I768" s="117" t="s">
        <v>900</v>
      </c>
      <c r="J768" s="117" t="s">
        <v>325</v>
      </c>
      <c r="K768" s="118"/>
      <c r="L768" s="21"/>
      <c r="M768" s="21"/>
      <c r="N768" s="21">
        <v>196</v>
      </c>
      <c r="O768" s="21"/>
      <c r="P768" s="21">
        <v>262</v>
      </c>
      <c r="Q768" s="21"/>
      <c r="R768" s="21" t="s">
        <v>329</v>
      </c>
      <c r="S768" s="119">
        <f>DATABASE_Table[[#This Row],[Inicial Asking Price (€) (Total)]]-DATABASE_Table[[#This Row],[Vista membership]]-DATABASE_Table[[#This Row],[FF&amp;E]]</f>
        <v>6100000</v>
      </c>
      <c r="T768" s="120">
        <v>6100000</v>
      </c>
      <c r="U768" s="120">
        <v>6100000</v>
      </c>
      <c r="V768" s="21"/>
      <c r="W768" s="21"/>
      <c r="X768" s="73">
        <f>DATABASE_Table[[#This Row],[Current Asking price( Total)]]-DATABASE_Table[[#This Row],[Vista membership]]-DATABASE_Table[[#This Row],[FF&amp;E]]</f>
        <v>6100000</v>
      </c>
      <c r="Y768" s="37"/>
      <c r="Z768" s="36">
        <v>5795000</v>
      </c>
      <c r="AA768" s="73">
        <f>DATABASE_Table[[#This Row],[Sell price (Total)]]-DATABASE_Table[[#This Row],[FF&amp;E]]-DATABASE_Table[[#This Row],[Vista membership]]</f>
        <v>5795000</v>
      </c>
      <c r="AB768" s="74">
        <v>45979</v>
      </c>
      <c r="AC768" s="74" t="str">
        <f t="shared" si="11"/>
        <v>Q4 2025</v>
      </c>
      <c r="AD768" s="123"/>
      <c r="AE768" s="69" t="s">
        <v>32</v>
      </c>
      <c r="AF768" s="21" t="s">
        <v>57</v>
      </c>
      <c r="AG768" s="21" t="s">
        <v>58</v>
      </c>
      <c r="AH768" s="122" t="s">
        <v>32</v>
      </c>
      <c r="AI768" s="122" t="s">
        <v>807</v>
      </c>
      <c r="AJ768" s="122" t="s">
        <v>59</v>
      </c>
      <c r="AK768" s="122" t="s">
        <v>60</v>
      </c>
      <c r="AL768" s="21" t="s">
        <v>61</v>
      </c>
      <c r="AM768" s="122" t="s">
        <v>55</v>
      </c>
    </row>
    <row r="769" spans="1:39" customFormat="1" ht="15.75" customHeight="1" x14ac:dyDescent="0.3">
      <c r="A769" t="s">
        <v>27</v>
      </c>
      <c r="B769" s="21" t="s">
        <v>563</v>
      </c>
      <c r="C769" s="21" t="s">
        <v>688</v>
      </c>
      <c r="D769" s="117" t="s">
        <v>346</v>
      </c>
      <c r="E769" s="21" t="s">
        <v>9</v>
      </c>
      <c r="F769" s="21" t="s">
        <v>319</v>
      </c>
      <c r="G769" s="21">
        <v>78.3</v>
      </c>
      <c r="H769" s="21"/>
      <c r="I769" s="117" t="s">
        <v>325</v>
      </c>
      <c r="J769" s="117" t="s">
        <v>325</v>
      </c>
      <c r="K769" s="118"/>
      <c r="L769" s="21"/>
      <c r="M769" s="21"/>
      <c r="N769" s="21"/>
      <c r="O769" s="21"/>
      <c r="P769" s="21">
        <v>78.3</v>
      </c>
      <c r="Q769" s="21"/>
      <c r="R769" s="21" t="s">
        <v>625</v>
      </c>
      <c r="S769" s="119">
        <f>DATABASE_Table[[#This Row],[Inicial Asking Price (€) (Total)]]-DATABASE_Table[[#This Row],[Vista membership]]-DATABASE_Table[[#This Row],[FF&amp;E]]</f>
        <v>440000</v>
      </c>
      <c r="T769" s="125">
        <v>440000</v>
      </c>
      <c r="U769" s="124">
        <v>418000</v>
      </c>
      <c r="V769" s="21"/>
      <c r="W769" s="21"/>
      <c r="X769" s="73">
        <f>DATABASE_Table[[#This Row],[Current Asking price( Total)]]-DATABASE_Table[[#This Row],[Vista membership]]-DATABASE_Table[[#This Row],[FF&amp;E]]</f>
        <v>418000</v>
      </c>
      <c r="Y769" s="126">
        <v>-5.2631578947368397E-2</v>
      </c>
      <c r="Z769" s="124">
        <v>440000</v>
      </c>
      <c r="AA769" s="73">
        <f>DATABASE_Table[[#This Row],[Sell price (Total)]]-DATABASE_Table[[#This Row],[FF&amp;E]]-DATABASE_Table[[#This Row],[Vista membership]]</f>
        <v>440000</v>
      </c>
      <c r="AB769" s="74">
        <v>45382</v>
      </c>
      <c r="AC769" s="74" t="str">
        <f t="shared" si="11"/>
        <v>Q1 2024</v>
      </c>
      <c r="AD769" s="121">
        <v>45866</v>
      </c>
      <c r="AE769" s="69"/>
      <c r="AF769" s="21" t="s">
        <v>10</v>
      </c>
      <c r="AG769" s="21" t="s">
        <v>11</v>
      </c>
      <c r="AH769" s="122" t="s">
        <v>28</v>
      </c>
      <c r="AI769" s="122" t="s">
        <v>29</v>
      </c>
      <c r="AJ769" s="122" t="s">
        <v>799</v>
      </c>
      <c r="AK769" s="122" t="s">
        <v>800</v>
      </c>
      <c r="AL769" s="21" t="s">
        <v>30</v>
      </c>
      <c r="AM769" s="122" t="s">
        <v>27</v>
      </c>
    </row>
    <row r="770" spans="1:39" customFormat="1" ht="15.75" customHeight="1" x14ac:dyDescent="0.3">
      <c r="A770" t="s">
        <v>27</v>
      </c>
      <c r="B770" s="21" t="s">
        <v>563</v>
      </c>
      <c r="C770" s="21" t="s">
        <v>688</v>
      </c>
      <c r="D770" s="117" t="s">
        <v>362</v>
      </c>
      <c r="E770" s="21" t="s">
        <v>9</v>
      </c>
      <c r="F770" s="21" t="s">
        <v>320</v>
      </c>
      <c r="G770" s="21">
        <v>130.91999999999999</v>
      </c>
      <c r="H770" s="21"/>
      <c r="I770" s="117" t="s">
        <v>325</v>
      </c>
      <c r="J770" s="117" t="s">
        <v>325</v>
      </c>
      <c r="K770" s="118"/>
      <c r="L770" s="21"/>
      <c r="M770" s="21"/>
      <c r="N770" s="21"/>
      <c r="O770" s="21"/>
      <c r="P770" s="21">
        <v>130.91999999999999</v>
      </c>
      <c r="Q770" s="21"/>
      <c r="R770" s="21" t="s">
        <v>625</v>
      </c>
      <c r="S770" s="119">
        <f>DATABASE_Table[[#This Row],[Inicial Asking Price (€) (Total)]]-DATABASE_Table[[#This Row],[Vista membership]]-DATABASE_Table[[#This Row],[FF&amp;E]]</f>
        <v>660000</v>
      </c>
      <c r="T770" s="125">
        <v>660000</v>
      </c>
      <c r="U770" s="124">
        <v>660000</v>
      </c>
      <c r="V770" s="21"/>
      <c r="W770" s="21"/>
      <c r="X770" s="73">
        <f>DATABASE_Table[[#This Row],[Current Asking price( Total)]]-DATABASE_Table[[#This Row],[Vista membership]]-DATABASE_Table[[#This Row],[FF&amp;E]]</f>
        <v>660000</v>
      </c>
      <c r="Y770" s="126">
        <v>0</v>
      </c>
      <c r="Z770" s="124">
        <v>660000</v>
      </c>
      <c r="AA770" s="73">
        <f>DATABASE_Table[[#This Row],[Sell price (Total)]]-DATABASE_Table[[#This Row],[FF&amp;E]]-DATABASE_Table[[#This Row],[Vista membership]]</f>
        <v>660000</v>
      </c>
      <c r="AB770" s="74">
        <v>45382</v>
      </c>
      <c r="AC770" s="74" t="str">
        <f t="shared" ref="AC770:AC833" si="12">IF(AB770="","TO LAUNCH","Q"&amp;ROUNDUP(MONTH(AB770)/3,0)&amp;" "&amp;YEAR(AB770))</f>
        <v>Q1 2024</v>
      </c>
      <c r="AD770" s="121">
        <v>45849</v>
      </c>
      <c r="AE770" s="69"/>
      <c r="AF770" s="21" t="s">
        <v>10</v>
      </c>
      <c r="AG770" s="21" t="s">
        <v>11</v>
      </c>
      <c r="AH770" s="122" t="s">
        <v>28</v>
      </c>
      <c r="AI770" s="122" t="s">
        <v>29</v>
      </c>
      <c r="AJ770" s="122" t="s">
        <v>799</v>
      </c>
      <c r="AK770" s="122" t="s">
        <v>800</v>
      </c>
      <c r="AL770" s="21" t="s">
        <v>30</v>
      </c>
      <c r="AM770" s="122" t="s">
        <v>27</v>
      </c>
    </row>
    <row r="771" spans="1:39" customFormat="1" ht="15.75" customHeight="1" x14ac:dyDescent="0.3">
      <c r="A771" t="s">
        <v>27</v>
      </c>
      <c r="B771" s="21" t="s">
        <v>563</v>
      </c>
      <c r="C771" s="21" t="s">
        <v>688</v>
      </c>
      <c r="D771" s="117" t="s">
        <v>363</v>
      </c>
      <c r="E771" s="21" t="s">
        <v>9</v>
      </c>
      <c r="F771" s="21" t="s">
        <v>320</v>
      </c>
      <c r="G771" s="21">
        <v>130.91999999999999</v>
      </c>
      <c r="H771" s="21"/>
      <c r="I771" s="117" t="s">
        <v>325</v>
      </c>
      <c r="J771" s="117" t="s">
        <v>325</v>
      </c>
      <c r="K771" s="118"/>
      <c r="L771" s="21"/>
      <c r="M771" s="21"/>
      <c r="N771" s="21"/>
      <c r="O771" s="21"/>
      <c r="P771" s="21">
        <v>130.91999999999999</v>
      </c>
      <c r="Q771" s="21"/>
      <c r="R771" s="21" t="s">
        <v>625</v>
      </c>
      <c r="S771" s="119">
        <f>DATABASE_Table[[#This Row],[Inicial Asking Price (€) (Total)]]-DATABASE_Table[[#This Row],[Vista membership]]-DATABASE_Table[[#This Row],[FF&amp;E]]</f>
        <v>680000</v>
      </c>
      <c r="T771" s="125">
        <v>680000</v>
      </c>
      <c r="U771" s="124">
        <v>680000</v>
      </c>
      <c r="V771" s="21"/>
      <c r="W771" s="21"/>
      <c r="X771" s="73">
        <f>DATABASE_Table[[#This Row],[Current Asking price( Total)]]-DATABASE_Table[[#This Row],[Vista membership]]-DATABASE_Table[[#This Row],[FF&amp;E]]</f>
        <v>680000</v>
      </c>
      <c r="Y771" s="126">
        <v>0</v>
      </c>
      <c r="Z771" s="124">
        <v>680000</v>
      </c>
      <c r="AA771" s="73">
        <f>DATABASE_Table[[#This Row],[Sell price (Total)]]-DATABASE_Table[[#This Row],[FF&amp;E]]-DATABASE_Table[[#This Row],[Vista membership]]</f>
        <v>680000</v>
      </c>
      <c r="AB771" s="74">
        <v>45382</v>
      </c>
      <c r="AC771" s="74" t="str">
        <f t="shared" si="12"/>
        <v>Q1 2024</v>
      </c>
      <c r="AD771" s="121">
        <v>45664</v>
      </c>
      <c r="AE771" s="69"/>
      <c r="AF771" s="21" t="s">
        <v>10</v>
      </c>
      <c r="AG771" s="21" t="s">
        <v>11</v>
      </c>
      <c r="AH771" s="122" t="s">
        <v>28</v>
      </c>
      <c r="AI771" s="122" t="s">
        <v>29</v>
      </c>
      <c r="AJ771" s="122" t="s">
        <v>799</v>
      </c>
      <c r="AK771" s="122" t="s">
        <v>800</v>
      </c>
      <c r="AL771" s="21" t="s">
        <v>30</v>
      </c>
      <c r="AM771" s="122" t="s">
        <v>27</v>
      </c>
    </row>
    <row r="772" spans="1:39" customFormat="1" ht="15.75" customHeight="1" x14ac:dyDescent="0.3">
      <c r="A772" t="s">
        <v>27</v>
      </c>
      <c r="B772" s="21" t="s">
        <v>563</v>
      </c>
      <c r="C772" s="21" t="s">
        <v>688</v>
      </c>
      <c r="D772" s="117" t="s">
        <v>364</v>
      </c>
      <c r="E772" s="21" t="s">
        <v>9</v>
      </c>
      <c r="F772" s="21" t="s">
        <v>320</v>
      </c>
      <c r="G772" s="21">
        <v>130.91999999999999</v>
      </c>
      <c r="H772" s="21"/>
      <c r="I772" s="117" t="s">
        <v>325</v>
      </c>
      <c r="J772" s="117" t="s">
        <v>325</v>
      </c>
      <c r="K772" s="118"/>
      <c r="L772" s="21"/>
      <c r="M772" s="21"/>
      <c r="N772" s="21"/>
      <c r="O772" s="21"/>
      <c r="P772" s="21">
        <v>130.91999999999999</v>
      </c>
      <c r="Q772" s="21"/>
      <c r="R772" s="21" t="s">
        <v>625</v>
      </c>
      <c r="S772" s="119">
        <f>DATABASE_Table[[#This Row],[Inicial Asking Price (€) (Total)]]-DATABASE_Table[[#This Row],[Vista membership]]-DATABASE_Table[[#This Row],[FF&amp;E]]</f>
        <v>660000</v>
      </c>
      <c r="T772" s="125">
        <v>660000</v>
      </c>
      <c r="U772" s="124">
        <v>660000</v>
      </c>
      <c r="V772" s="21"/>
      <c r="W772" s="21"/>
      <c r="X772" s="73">
        <f>DATABASE_Table[[#This Row],[Current Asking price( Total)]]-DATABASE_Table[[#This Row],[Vista membership]]-DATABASE_Table[[#This Row],[FF&amp;E]]</f>
        <v>660000</v>
      </c>
      <c r="Y772" s="126">
        <v>0</v>
      </c>
      <c r="Z772" s="124">
        <v>660000</v>
      </c>
      <c r="AA772" s="73">
        <f>DATABASE_Table[[#This Row],[Sell price (Total)]]-DATABASE_Table[[#This Row],[FF&amp;E]]-DATABASE_Table[[#This Row],[Vista membership]]</f>
        <v>660000</v>
      </c>
      <c r="AB772" s="74">
        <v>45382</v>
      </c>
      <c r="AC772" s="74" t="str">
        <f t="shared" si="12"/>
        <v>Q1 2024</v>
      </c>
      <c r="AD772" s="121">
        <v>45849</v>
      </c>
      <c r="AE772" s="69"/>
      <c r="AF772" s="21" t="s">
        <v>10</v>
      </c>
      <c r="AG772" s="21" t="s">
        <v>11</v>
      </c>
      <c r="AH772" s="122" t="s">
        <v>28</v>
      </c>
      <c r="AI772" s="122" t="s">
        <v>29</v>
      </c>
      <c r="AJ772" s="122" t="s">
        <v>799</v>
      </c>
      <c r="AK772" s="122" t="s">
        <v>800</v>
      </c>
      <c r="AL772" s="21" t="s">
        <v>30</v>
      </c>
      <c r="AM772" s="122" t="s">
        <v>27</v>
      </c>
    </row>
    <row r="773" spans="1:39" customFormat="1" ht="15.75" customHeight="1" x14ac:dyDescent="0.3">
      <c r="A773" t="s">
        <v>27</v>
      </c>
      <c r="B773" s="21" t="s">
        <v>563</v>
      </c>
      <c r="C773" s="21" t="s">
        <v>688</v>
      </c>
      <c r="D773" s="117" t="s">
        <v>365</v>
      </c>
      <c r="E773" s="21" t="s">
        <v>9</v>
      </c>
      <c r="F773" s="21" t="s">
        <v>320</v>
      </c>
      <c r="G773" s="21">
        <v>130.91999999999999</v>
      </c>
      <c r="H773" s="21"/>
      <c r="I773" s="117" t="s">
        <v>325</v>
      </c>
      <c r="J773" s="117" t="s">
        <v>325</v>
      </c>
      <c r="K773" s="118"/>
      <c r="L773" s="21"/>
      <c r="M773" s="21"/>
      <c r="N773" s="21"/>
      <c r="O773" s="21"/>
      <c r="P773" s="21">
        <v>130.91999999999999</v>
      </c>
      <c r="Q773" s="21"/>
      <c r="R773" s="21" t="s">
        <v>625</v>
      </c>
      <c r="S773" s="119">
        <f>DATABASE_Table[[#This Row],[Inicial Asking Price (€) (Total)]]-DATABASE_Table[[#This Row],[Vista membership]]-DATABASE_Table[[#This Row],[FF&amp;E]]</f>
        <v>650000</v>
      </c>
      <c r="T773" s="125">
        <v>650000</v>
      </c>
      <c r="U773" s="124">
        <v>650000</v>
      </c>
      <c r="V773" s="21"/>
      <c r="W773" s="21"/>
      <c r="X773" s="73">
        <f>DATABASE_Table[[#This Row],[Current Asking price( Total)]]-DATABASE_Table[[#This Row],[Vista membership]]-DATABASE_Table[[#This Row],[FF&amp;E]]</f>
        <v>650000</v>
      </c>
      <c r="Y773" s="126">
        <v>0</v>
      </c>
      <c r="Z773" s="124">
        <v>650000</v>
      </c>
      <c r="AA773" s="73">
        <f>DATABASE_Table[[#This Row],[Sell price (Total)]]-DATABASE_Table[[#This Row],[FF&amp;E]]-DATABASE_Table[[#This Row],[Vista membership]]</f>
        <v>650000</v>
      </c>
      <c r="AB773" s="74">
        <v>45382</v>
      </c>
      <c r="AC773" s="74" t="str">
        <f t="shared" si="12"/>
        <v>Q1 2024</v>
      </c>
      <c r="AD773" s="121">
        <v>46170</v>
      </c>
      <c r="AE773" s="69"/>
      <c r="AF773" s="21" t="s">
        <v>10</v>
      </c>
      <c r="AG773" s="21" t="s">
        <v>11</v>
      </c>
      <c r="AH773" s="122" t="s">
        <v>28</v>
      </c>
      <c r="AI773" s="122" t="s">
        <v>29</v>
      </c>
      <c r="AJ773" s="122" t="s">
        <v>799</v>
      </c>
      <c r="AK773" s="122" t="s">
        <v>800</v>
      </c>
      <c r="AL773" s="21" t="s">
        <v>30</v>
      </c>
      <c r="AM773" s="122" t="s">
        <v>27</v>
      </c>
    </row>
    <row r="774" spans="1:39" customFormat="1" ht="15.75" customHeight="1" x14ac:dyDescent="0.3">
      <c r="A774" t="s">
        <v>27</v>
      </c>
      <c r="B774" s="21" t="s">
        <v>563</v>
      </c>
      <c r="C774" s="21" t="s">
        <v>688</v>
      </c>
      <c r="D774" s="117" t="s">
        <v>366</v>
      </c>
      <c r="E774" s="21" t="s">
        <v>9</v>
      </c>
      <c r="F774" s="21" t="s">
        <v>320</v>
      </c>
      <c r="G774" s="21">
        <v>130.91999999999999</v>
      </c>
      <c r="H774" s="21"/>
      <c r="I774" s="117" t="s">
        <v>325</v>
      </c>
      <c r="J774" s="117" t="s">
        <v>325</v>
      </c>
      <c r="K774" s="118"/>
      <c r="L774" s="21"/>
      <c r="M774" s="21"/>
      <c r="N774" s="21"/>
      <c r="O774" s="21"/>
      <c r="P774" s="21">
        <v>130.91999999999999</v>
      </c>
      <c r="Q774" s="21"/>
      <c r="R774" s="21" t="s">
        <v>625</v>
      </c>
      <c r="S774" s="119">
        <f>DATABASE_Table[[#This Row],[Inicial Asking Price (€) (Total)]]-DATABASE_Table[[#This Row],[Vista membership]]-DATABASE_Table[[#This Row],[FF&amp;E]]</f>
        <v>650000</v>
      </c>
      <c r="T774" s="125">
        <v>650000</v>
      </c>
      <c r="U774" s="124">
        <v>670000</v>
      </c>
      <c r="V774" s="21"/>
      <c r="W774" s="21"/>
      <c r="X774" s="73">
        <f>DATABASE_Table[[#This Row],[Current Asking price( Total)]]-DATABASE_Table[[#This Row],[Vista membership]]-DATABASE_Table[[#This Row],[FF&amp;E]]</f>
        <v>670000</v>
      </c>
      <c r="Y774" s="126">
        <v>0</v>
      </c>
      <c r="Z774" s="124">
        <v>670000</v>
      </c>
      <c r="AA774" s="73">
        <f>DATABASE_Table[[#This Row],[Sell price (Total)]]-DATABASE_Table[[#This Row],[FF&amp;E]]-DATABASE_Table[[#This Row],[Vista membership]]</f>
        <v>670000</v>
      </c>
      <c r="AB774" s="74">
        <v>45382</v>
      </c>
      <c r="AC774" s="74" t="str">
        <f t="shared" si="12"/>
        <v>Q1 2024</v>
      </c>
      <c r="AD774" s="121">
        <v>46044</v>
      </c>
      <c r="AE774" s="69"/>
      <c r="AF774" s="21" t="s">
        <v>10</v>
      </c>
      <c r="AG774" s="21" t="s">
        <v>11</v>
      </c>
      <c r="AH774" s="122" t="s">
        <v>28</v>
      </c>
      <c r="AI774" s="122" t="s">
        <v>29</v>
      </c>
      <c r="AJ774" s="122" t="s">
        <v>799</v>
      </c>
      <c r="AK774" s="122" t="s">
        <v>800</v>
      </c>
      <c r="AL774" s="21" t="s">
        <v>30</v>
      </c>
      <c r="AM774" s="122" t="s">
        <v>27</v>
      </c>
    </row>
    <row r="775" spans="1:39" customFormat="1" ht="15.75" customHeight="1" x14ac:dyDescent="0.3">
      <c r="A775" t="s">
        <v>27</v>
      </c>
      <c r="B775" s="21" t="s">
        <v>563</v>
      </c>
      <c r="C775" s="21" t="s">
        <v>688</v>
      </c>
      <c r="D775" s="117" t="s">
        <v>367</v>
      </c>
      <c r="E775" s="21" t="s">
        <v>9</v>
      </c>
      <c r="F775" s="21" t="s">
        <v>320</v>
      </c>
      <c r="G775" s="21">
        <v>130.91999999999999</v>
      </c>
      <c r="H775" s="21"/>
      <c r="I775" s="117" t="s">
        <v>325</v>
      </c>
      <c r="J775" s="117" t="s">
        <v>325</v>
      </c>
      <c r="K775" s="118"/>
      <c r="L775" s="21"/>
      <c r="M775" s="21"/>
      <c r="N775" s="21"/>
      <c r="O775" s="21"/>
      <c r="P775" s="21">
        <v>130.91999999999999</v>
      </c>
      <c r="Q775" s="21"/>
      <c r="R775" s="21" t="s">
        <v>625</v>
      </c>
      <c r="S775" s="119">
        <f>DATABASE_Table[[#This Row],[Inicial Asking Price (€) (Total)]]-DATABASE_Table[[#This Row],[Vista membership]]-DATABASE_Table[[#This Row],[FF&amp;E]]</f>
        <v>650000</v>
      </c>
      <c r="T775" s="125">
        <v>650000</v>
      </c>
      <c r="U775" s="124">
        <v>670000</v>
      </c>
      <c r="V775" s="21"/>
      <c r="W775" s="21"/>
      <c r="X775" s="73">
        <f>DATABASE_Table[[#This Row],[Current Asking price( Total)]]-DATABASE_Table[[#This Row],[Vista membership]]-DATABASE_Table[[#This Row],[FF&amp;E]]</f>
        <v>670000</v>
      </c>
      <c r="Y775" s="126">
        <v>0</v>
      </c>
      <c r="Z775" s="124">
        <v>670000</v>
      </c>
      <c r="AA775" s="73">
        <f>DATABASE_Table[[#This Row],[Sell price (Total)]]-DATABASE_Table[[#This Row],[FF&amp;E]]-DATABASE_Table[[#This Row],[Vista membership]]</f>
        <v>670000</v>
      </c>
      <c r="AB775" s="74">
        <v>45382</v>
      </c>
      <c r="AC775" s="74" t="str">
        <f t="shared" si="12"/>
        <v>Q1 2024</v>
      </c>
      <c r="AD775" s="121">
        <v>45943</v>
      </c>
      <c r="AE775" s="69"/>
      <c r="AF775" s="21" t="s">
        <v>10</v>
      </c>
      <c r="AG775" s="21" t="s">
        <v>11</v>
      </c>
      <c r="AH775" s="122" t="s">
        <v>28</v>
      </c>
      <c r="AI775" s="122" t="s">
        <v>29</v>
      </c>
      <c r="AJ775" s="122" t="s">
        <v>799</v>
      </c>
      <c r="AK775" s="122" t="s">
        <v>800</v>
      </c>
      <c r="AL775" s="21" t="s">
        <v>30</v>
      </c>
      <c r="AM775" s="122" t="s">
        <v>27</v>
      </c>
    </row>
    <row r="776" spans="1:39" customFormat="1" ht="15.75" customHeight="1" x14ac:dyDescent="0.3">
      <c r="A776" t="s">
        <v>27</v>
      </c>
      <c r="B776" s="21" t="s">
        <v>563</v>
      </c>
      <c r="C776" s="21" t="s">
        <v>688</v>
      </c>
      <c r="D776" s="117" t="s">
        <v>369</v>
      </c>
      <c r="E776" s="21" t="s">
        <v>9</v>
      </c>
      <c r="F776" s="21" t="s">
        <v>319</v>
      </c>
      <c r="G776" s="21">
        <v>104.7</v>
      </c>
      <c r="H776" s="21"/>
      <c r="I776" s="117" t="s">
        <v>325</v>
      </c>
      <c r="J776" s="117" t="s">
        <v>325</v>
      </c>
      <c r="K776" s="118"/>
      <c r="L776" s="21"/>
      <c r="M776" s="21"/>
      <c r="N776" s="21"/>
      <c r="O776" s="21"/>
      <c r="P776" s="21">
        <v>104.7</v>
      </c>
      <c r="Q776" s="21"/>
      <c r="R776" s="21" t="s">
        <v>625</v>
      </c>
      <c r="S776" s="119">
        <f>DATABASE_Table[[#This Row],[Inicial Asking Price (€) (Total)]]-DATABASE_Table[[#This Row],[Vista membership]]-DATABASE_Table[[#This Row],[FF&amp;E]]</f>
        <v>550000</v>
      </c>
      <c r="T776" s="125">
        <v>550000</v>
      </c>
      <c r="U776" s="124">
        <v>550000</v>
      </c>
      <c r="V776" s="21"/>
      <c r="W776" s="21"/>
      <c r="X776" s="73">
        <f>DATABASE_Table[[#This Row],[Current Asking price( Total)]]-DATABASE_Table[[#This Row],[Vista membership]]-DATABASE_Table[[#This Row],[FF&amp;E]]</f>
        <v>550000</v>
      </c>
      <c r="Y776" s="126">
        <v>0</v>
      </c>
      <c r="Z776" s="124">
        <v>550000</v>
      </c>
      <c r="AA776" s="73">
        <f>DATABASE_Table[[#This Row],[Sell price (Total)]]-DATABASE_Table[[#This Row],[FF&amp;E]]-DATABASE_Table[[#This Row],[Vista membership]]</f>
        <v>550000</v>
      </c>
      <c r="AB776" s="74">
        <v>45382</v>
      </c>
      <c r="AC776" s="74" t="str">
        <f t="shared" si="12"/>
        <v>Q1 2024</v>
      </c>
      <c r="AD776" s="123">
        <v>45905</v>
      </c>
      <c r="AE776" s="69"/>
      <c r="AF776" s="21" t="s">
        <v>10</v>
      </c>
      <c r="AG776" s="21" t="s">
        <v>11</v>
      </c>
      <c r="AH776" s="122" t="s">
        <v>28</v>
      </c>
      <c r="AI776" s="122" t="s">
        <v>29</v>
      </c>
      <c r="AJ776" s="122" t="s">
        <v>799</v>
      </c>
      <c r="AK776" s="122" t="s">
        <v>800</v>
      </c>
      <c r="AL776" s="21" t="s">
        <v>30</v>
      </c>
      <c r="AM776" s="122" t="s">
        <v>27</v>
      </c>
    </row>
    <row r="777" spans="1:39" customFormat="1" ht="15.75" customHeight="1" x14ac:dyDescent="0.3">
      <c r="A777" t="s">
        <v>27</v>
      </c>
      <c r="B777" s="21" t="s">
        <v>563</v>
      </c>
      <c r="C777" s="21" t="s">
        <v>688</v>
      </c>
      <c r="D777" s="117" t="s">
        <v>370</v>
      </c>
      <c r="E777" s="21" t="s">
        <v>9</v>
      </c>
      <c r="F777" s="21" t="s">
        <v>319</v>
      </c>
      <c r="G777" s="21">
        <v>104.7</v>
      </c>
      <c r="H777" s="21"/>
      <c r="I777" s="117" t="s">
        <v>325</v>
      </c>
      <c r="J777" s="117" t="s">
        <v>325</v>
      </c>
      <c r="K777" s="118"/>
      <c r="L777" s="21"/>
      <c r="M777" s="21"/>
      <c r="N777" s="21"/>
      <c r="O777" s="21"/>
      <c r="P777" s="21">
        <v>104.7</v>
      </c>
      <c r="Q777" s="21"/>
      <c r="R777" s="21" t="s">
        <v>625</v>
      </c>
      <c r="S777" s="119">
        <f>DATABASE_Table[[#This Row],[Inicial Asking Price (€) (Total)]]-DATABASE_Table[[#This Row],[Vista membership]]-DATABASE_Table[[#This Row],[FF&amp;E]]</f>
        <v>550000</v>
      </c>
      <c r="T777" s="125">
        <v>550000</v>
      </c>
      <c r="U777" s="124">
        <v>550000</v>
      </c>
      <c r="V777" s="21"/>
      <c r="W777" s="21"/>
      <c r="X777" s="73">
        <f>DATABASE_Table[[#This Row],[Current Asking price( Total)]]-DATABASE_Table[[#This Row],[Vista membership]]-DATABASE_Table[[#This Row],[FF&amp;E]]</f>
        <v>550000</v>
      </c>
      <c r="Y777" s="126">
        <v>0</v>
      </c>
      <c r="Z777" s="124">
        <v>550000</v>
      </c>
      <c r="AA777" s="73">
        <f>DATABASE_Table[[#This Row],[Sell price (Total)]]-DATABASE_Table[[#This Row],[FF&amp;E]]-DATABASE_Table[[#This Row],[Vista membership]]</f>
        <v>550000</v>
      </c>
      <c r="AB777" s="74">
        <v>45382</v>
      </c>
      <c r="AC777" s="74" t="str">
        <f t="shared" si="12"/>
        <v>Q1 2024</v>
      </c>
      <c r="AD777" s="123">
        <v>45928</v>
      </c>
      <c r="AE777" s="69"/>
      <c r="AF777" s="21" t="s">
        <v>10</v>
      </c>
      <c r="AG777" s="21" t="s">
        <v>11</v>
      </c>
      <c r="AH777" s="122" t="s">
        <v>28</v>
      </c>
      <c r="AI777" s="122" t="s">
        <v>29</v>
      </c>
      <c r="AJ777" s="122" t="s">
        <v>799</v>
      </c>
      <c r="AK777" s="122" t="s">
        <v>800</v>
      </c>
      <c r="AL777" s="21" t="s">
        <v>30</v>
      </c>
      <c r="AM777" s="122" t="s">
        <v>27</v>
      </c>
    </row>
    <row r="778" spans="1:39" customFormat="1" ht="15.75" customHeight="1" x14ac:dyDescent="0.3">
      <c r="A778" t="s">
        <v>27</v>
      </c>
      <c r="B778" s="21" t="s">
        <v>563</v>
      </c>
      <c r="C778" s="21" t="s">
        <v>688</v>
      </c>
      <c r="D778" s="117" t="s">
        <v>371</v>
      </c>
      <c r="E778" s="21" t="s">
        <v>9</v>
      </c>
      <c r="F778" s="21" t="s">
        <v>319</v>
      </c>
      <c r="G778" s="21">
        <v>104.7</v>
      </c>
      <c r="H778" s="21"/>
      <c r="I778" s="117" t="s">
        <v>325</v>
      </c>
      <c r="J778" s="117" t="s">
        <v>325</v>
      </c>
      <c r="K778" s="118"/>
      <c r="L778" s="21"/>
      <c r="M778" s="21"/>
      <c r="N778" s="21"/>
      <c r="O778" s="21"/>
      <c r="P778" s="21">
        <v>104.7</v>
      </c>
      <c r="Q778" s="21"/>
      <c r="R778" s="21" t="s">
        <v>625</v>
      </c>
      <c r="S778" s="119">
        <f>DATABASE_Table[[#This Row],[Inicial Asking Price (€) (Total)]]-DATABASE_Table[[#This Row],[Vista membership]]-DATABASE_Table[[#This Row],[FF&amp;E]]</f>
        <v>550000</v>
      </c>
      <c r="T778" s="125">
        <v>550000</v>
      </c>
      <c r="U778" s="124">
        <v>550000</v>
      </c>
      <c r="V778" s="21"/>
      <c r="W778" s="21"/>
      <c r="X778" s="73">
        <f>DATABASE_Table[[#This Row],[Current Asking price( Total)]]-DATABASE_Table[[#This Row],[Vista membership]]-DATABASE_Table[[#This Row],[FF&amp;E]]</f>
        <v>550000</v>
      </c>
      <c r="Y778" s="126">
        <v>0</v>
      </c>
      <c r="Z778" s="124">
        <v>550000</v>
      </c>
      <c r="AA778" s="73">
        <f>DATABASE_Table[[#This Row],[Sell price (Total)]]-DATABASE_Table[[#This Row],[FF&amp;E]]-DATABASE_Table[[#This Row],[Vista membership]]</f>
        <v>550000</v>
      </c>
      <c r="AB778" s="74">
        <v>45382</v>
      </c>
      <c r="AC778" s="74" t="str">
        <f t="shared" si="12"/>
        <v>Q1 2024</v>
      </c>
      <c r="AD778" s="123">
        <v>45973</v>
      </c>
      <c r="AE778" s="69"/>
      <c r="AF778" s="21" t="s">
        <v>10</v>
      </c>
      <c r="AG778" s="21" t="s">
        <v>11</v>
      </c>
      <c r="AH778" s="122" t="s">
        <v>28</v>
      </c>
      <c r="AI778" s="122" t="s">
        <v>29</v>
      </c>
      <c r="AJ778" s="122" t="s">
        <v>799</v>
      </c>
      <c r="AK778" s="122" t="s">
        <v>800</v>
      </c>
      <c r="AL778" s="21" t="s">
        <v>30</v>
      </c>
      <c r="AM778" s="122" t="s">
        <v>27</v>
      </c>
    </row>
    <row r="779" spans="1:39" customFormat="1" ht="15.75" customHeight="1" x14ac:dyDescent="0.3">
      <c r="A779" t="s">
        <v>27</v>
      </c>
      <c r="B779" s="21" t="s">
        <v>563</v>
      </c>
      <c r="C779" s="21" t="s">
        <v>688</v>
      </c>
      <c r="D779" s="117" t="s">
        <v>372</v>
      </c>
      <c r="E779" s="21" t="s">
        <v>9</v>
      </c>
      <c r="F779" s="21" t="s">
        <v>319</v>
      </c>
      <c r="G779" s="21">
        <v>104.7</v>
      </c>
      <c r="H779" s="21"/>
      <c r="I779" s="117" t="s">
        <v>325</v>
      </c>
      <c r="J779" s="117" t="s">
        <v>325</v>
      </c>
      <c r="K779" s="118"/>
      <c r="L779" s="21"/>
      <c r="M779" s="21"/>
      <c r="N779" s="21"/>
      <c r="O779" s="21"/>
      <c r="P779" s="21">
        <v>104.7</v>
      </c>
      <c r="Q779" s="21"/>
      <c r="R779" s="21" t="s">
        <v>625</v>
      </c>
      <c r="S779" s="119">
        <f>DATABASE_Table[[#This Row],[Inicial Asking Price (€) (Total)]]-DATABASE_Table[[#This Row],[Vista membership]]-DATABASE_Table[[#This Row],[FF&amp;E]]</f>
        <v>550000</v>
      </c>
      <c r="T779" s="125">
        <v>550000</v>
      </c>
      <c r="U779" s="124">
        <v>550000</v>
      </c>
      <c r="V779" s="21"/>
      <c r="W779" s="21"/>
      <c r="X779" s="73">
        <f>DATABASE_Table[[#This Row],[Current Asking price( Total)]]-DATABASE_Table[[#This Row],[Vista membership]]-DATABASE_Table[[#This Row],[FF&amp;E]]</f>
        <v>550000</v>
      </c>
      <c r="Y779" s="126">
        <v>0</v>
      </c>
      <c r="Z779" s="124">
        <v>550000</v>
      </c>
      <c r="AA779" s="73">
        <f>DATABASE_Table[[#This Row],[Sell price (Total)]]-DATABASE_Table[[#This Row],[FF&amp;E]]-DATABASE_Table[[#This Row],[Vista membership]]</f>
        <v>550000</v>
      </c>
      <c r="AB779" s="74">
        <v>45382</v>
      </c>
      <c r="AC779" s="74" t="str">
        <f t="shared" si="12"/>
        <v>Q1 2024</v>
      </c>
      <c r="AD779" s="123">
        <v>45895</v>
      </c>
      <c r="AE779" s="69"/>
      <c r="AF779" s="21" t="s">
        <v>10</v>
      </c>
      <c r="AG779" s="21" t="s">
        <v>11</v>
      </c>
      <c r="AH779" s="122" t="s">
        <v>28</v>
      </c>
      <c r="AI779" s="122" t="s">
        <v>29</v>
      </c>
      <c r="AJ779" s="122" t="s">
        <v>799</v>
      </c>
      <c r="AK779" s="122" t="s">
        <v>800</v>
      </c>
      <c r="AL779" s="21" t="s">
        <v>30</v>
      </c>
      <c r="AM779" s="122" t="s">
        <v>27</v>
      </c>
    </row>
    <row r="780" spans="1:39" customFormat="1" ht="15.75" customHeight="1" x14ac:dyDescent="0.3">
      <c r="A780" t="s">
        <v>27</v>
      </c>
      <c r="B780" s="21" t="s">
        <v>563</v>
      </c>
      <c r="C780" s="21" t="s">
        <v>688</v>
      </c>
      <c r="D780" s="117" t="s">
        <v>373</v>
      </c>
      <c r="E780" s="21" t="s">
        <v>9</v>
      </c>
      <c r="F780" s="21" t="s">
        <v>319</v>
      </c>
      <c r="G780" s="21">
        <v>104.7</v>
      </c>
      <c r="H780" s="21"/>
      <c r="I780" s="117" t="s">
        <v>325</v>
      </c>
      <c r="J780" s="117" t="s">
        <v>325</v>
      </c>
      <c r="K780" s="118"/>
      <c r="L780" s="21"/>
      <c r="M780" s="21"/>
      <c r="N780" s="21"/>
      <c r="O780" s="21"/>
      <c r="P780" s="21">
        <v>104.7</v>
      </c>
      <c r="Q780" s="21"/>
      <c r="R780" s="21" t="s">
        <v>625</v>
      </c>
      <c r="S780" s="119">
        <f>DATABASE_Table[[#This Row],[Inicial Asking Price (€) (Total)]]-DATABASE_Table[[#This Row],[Vista membership]]-DATABASE_Table[[#This Row],[FF&amp;E]]</f>
        <v>540000</v>
      </c>
      <c r="T780" s="125">
        <v>540000</v>
      </c>
      <c r="U780" s="124">
        <v>540000</v>
      </c>
      <c r="V780" s="21"/>
      <c r="W780" s="21"/>
      <c r="X780" s="73">
        <f>DATABASE_Table[[#This Row],[Current Asking price( Total)]]-DATABASE_Table[[#This Row],[Vista membership]]-DATABASE_Table[[#This Row],[FF&amp;E]]</f>
        <v>540000</v>
      </c>
      <c r="Y780" s="126">
        <v>0</v>
      </c>
      <c r="Z780" s="124">
        <v>540000</v>
      </c>
      <c r="AA780" s="73">
        <f>DATABASE_Table[[#This Row],[Sell price (Total)]]-DATABASE_Table[[#This Row],[FF&amp;E]]-DATABASE_Table[[#This Row],[Vista membership]]</f>
        <v>540000</v>
      </c>
      <c r="AB780" s="74">
        <v>45382</v>
      </c>
      <c r="AC780" s="74" t="str">
        <f t="shared" si="12"/>
        <v>Q1 2024</v>
      </c>
      <c r="AD780" s="123">
        <v>45897</v>
      </c>
      <c r="AE780" s="69"/>
      <c r="AF780" s="21" t="s">
        <v>10</v>
      </c>
      <c r="AG780" s="21" t="s">
        <v>11</v>
      </c>
      <c r="AH780" s="122" t="s">
        <v>28</v>
      </c>
      <c r="AI780" s="122" t="s">
        <v>29</v>
      </c>
      <c r="AJ780" s="122" t="s">
        <v>799</v>
      </c>
      <c r="AK780" s="122" t="s">
        <v>800</v>
      </c>
      <c r="AL780" s="21" t="s">
        <v>30</v>
      </c>
      <c r="AM780" s="122" t="s">
        <v>27</v>
      </c>
    </row>
    <row r="781" spans="1:39" customFormat="1" ht="15.75" customHeight="1" x14ac:dyDescent="0.3">
      <c r="A781" t="s">
        <v>27</v>
      </c>
      <c r="B781" s="21" t="s">
        <v>563</v>
      </c>
      <c r="C781" s="21" t="s">
        <v>688</v>
      </c>
      <c r="D781" s="117" t="s">
        <v>374</v>
      </c>
      <c r="E781" s="21" t="s">
        <v>9</v>
      </c>
      <c r="F781" s="21" t="s">
        <v>319</v>
      </c>
      <c r="G781" s="21">
        <v>104.7</v>
      </c>
      <c r="H781" s="21"/>
      <c r="I781" s="117" t="s">
        <v>325</v>
      </c>
      <c r="J781" s="117" t="s">
        <v>325</v>
      </c>
      <c r="K781" s="118"/>
      <c r="L781" s="21"/>
      <c r="M781" s="21"/>
      <c r="N781" s="21"/>
      <c r="O781" s="21"/>
      <c r="P781" s="21">
        <v>104.7</v>
      </c>
      <c r="Q781" s="21"/>
      <c r="R781" s="21" t="s">
        <v>625</v>
      </c>
      <c r="S781" s="119">
        <f>DATABASE_Table[[#This Row],[Inicial Asking Price (€) (Total)]]-DATABASE_Table[[#This Row],[Vista membership]]-DATABASE_Table[[#This Row],[FF&amp;E]]</f>
        <v>550000</v>
      </c>
      <c r="T781" s="125">
        <v>550000</v>
      </c>
      <c r="U781" s="124">
        <v>550000</v>
      </c>
      <c r="V781" s="21"/>
      <c r="W781" s="21"/>
      <c r="X781" s="73">
        <f>DATABASE_Table[[#This Row],[Current Asking price( Total)]]-DATABASE_Table[[#This Row],[Vista membership]]-DATABASE_Table[[#This Row],[FF&amp;E]]</f>
        <v>550000</v>
      </c>
      <c r="Y781" s="126">
        <v>0</v>
      </c>
      <c r="Z781" s="124">
        <v>550000</v>
      </c>
      <c r="AA781" s="73">
        <f>DATABASE_Table[[#This Row],[Sell price (Total)]]-DATABASE_Table[[#This Row],[FF&amp;E]]-DATABASE_Table[[#This Row],[Vista membership]]</f>
        <v>550000</v>
      </c>
      <c r="AB781" s="74">
        <v>45382</v>
      </c>
      <c r="AC781" s="74" t="str">
        <f t="shared" si="12"/>
        <v>Q1 2024</v>
      </c>
      <c r="AD781" s="123">
        <v>45931</v>
      </c>
      <c r="AE781" s="69"/>
      <c r="AF781" s="21" t="s">
        <v>10</v>
      </c>
      <c r="AG781" s="21" t="s">
        <v>11</v>
      </c>
      <c r="AH781" s="122" t="s">
        <v>28</v>
      </c>
      <c r="AI781" s="122" t="s">
        <v>29</v>
      </c>
      <c r="AJ781" s="122" t="s">
        <v>799</v>
      </c>
      <c r="AK781" s="122" t="s">
        <v>800</v>
      </c>
      <c r="AL781" s="21" t="s">
        <v>30</v>
      </c>
      <c r="AM781" s="122" t="s">
        <v>27</v>
      </c>
    </row>
    <row r="782" spans="1:39" customFormat="1" ht="15.75" customHeight="1" x14ac:dyDescent="0.3">
      <c r="A782" t="s">
        <v>27</v>
      </c>
      <c r="B782" s="21" t="s">
        <v>563</v>
      </c>
      <c r="C782" s="21" t="s">
        <v>688</v>
      </c>
      <c r="D782" s="117" t="s">
        <v>376</v>
      </c>
      <c r="E782" s="21" t="s">
        <v>9</v>
      </c>
      <c r="F782" s="21" t="s">
        <v>319</v>
      </c>
      <c r="G782" s="21">
        <v>104.7</v>
      </c>
      <c r="H782" s="21"/>
      <c r="I782" s="117" t="s">
        <v>325</v>
      </c>
      <c r="J782" s="117" t="s">
        <v>325</v>
      </c>
      <c r="K782" s="118"/>
      <c r="L782" s="21"/>
      <c r="M782" s="21"/>
      <c r="N782" s="21"/>
      <c r="O782" s="21"/>
      <c r="P782" s="21">
        <v>104.7</v>
      </c>
      <c r="Q782" s="21"/>
      <c r="R782" s="21" t="s">
        <v>625</v>
      </c>
      <c r="S782" s="119">
        <f>DATABASE_Table[[#This Row],[Inicial Asking Price (€) (Total)]]-DATABASE_Table[[#This Row],[Vista membership]]-DATABASE_Table[[#This Row],[FF&amp;E]]</f>
        <v>550000</v>
      </c>
      <c r="T782" s="125">
        <v>550000</v>
      </c>
      <c r="U782" s="124">
        <v>550000</v>
      </c>
      <c r="V782" s="21"/>
      <c r="W782" s="21"/>
      <c r="X782" s="73">
        <f>DATABASE_Table[[#This Row],[Current Asking price( Total)]]-DATABASE_Table[[#This Row],[Vista membership]]-DATABASE_Table[[#This Row],[FF&amp;E]]</f>
        <v>550000</v>
      </c>
      <c r="Y782" s="126">
        <v>0</v>
      </c>
      <c r="Z782" s="124">
        <v>550000</v>
      </c>
      <c r="AA782" s="73">
        <f>DATABASE_Table[[#This Row],[Sell price (Total)]]-DATABASE_Table[[#This Row],[FF&amp;E]]-DATABASE_Table[[#This Row],[Vista membership]]</f>
        <v>550000</v>
      </c>
      <c r="AB782" s="74">
        <v>45382</v>
      </c>
      <c r="AC782" s="74" t="str">
        <f t="shared" si="12"/>
        <v>Q1 2024</v>
      </c>
      <c r="AD782" s="123">
        <v>45833</v>
      </c>
      <c r="AE782" s="69"/>
      <c r="AF782" s="21" t="s">
        <v>10</v>
      </c>
      <c r="AG782" s="21" t="s">
        <v>11</v>
      </c>
      <c r="AH782" s="122" t="s">
        <v>28</v>
      </c>
      <c r="AI782" s="122" t="s">
        <v>29</v>
      </c>
      <c r="AJ782" s="122" t="s">
        <v>799</v>
      </c>
      <c r="AK782" s="122" t="s">
        <v>800</v>
      </c>
      <c r="AL782" s="21" t="s">
        <v>30</v>
      </c>
      <c r="AM782" s="122" t="s">
        <v>27</v>
      </c>
    </row>
    <row r="783" spans="1:39" customFormat="1" ht="15.75" customHeight="1" x14ac:dyDescent="0.3">
      <c r="A783" t="s">
        <v>27</v>
      </c>
      <c r="B783" s="21" t="s">
        <v>563</v>
      </c>
      <c r="C783" s="21" t="s">
        <v>688</v>
      </c>
      <c r="D783" s="117" t="s">
        <v>377</v>
      </c>
      <c r="E783" s="21" t="s">
        <v>9</v>
      </c>
      <c r="F783" s="21" t="s">
        <v>319</v>
      </c>
      <c r="G783" s="21">
        <v>104.7</v>
      </c>
      <c r="H783" s="21"/>
      <c r="I783" s="117" t="s">
        <v>325</v>
      </c>
      <c r="J783" s="117" t="s">
        <v>325</v>
      </c>
      <c r="K783" s="118"/>
      <c r="L783" s="21"/>
      <c r="M783" s="21"/>
      <c r="N783" s="21"/>
      <c r="O783" s="21"/>
      <c r="P783" s="21">
        <v>104.7</v>
      </c>
      <c r="Q783" s="21"/>
      <c r="R783" s="21" t="s">
        <v>625</v>
      </c>
      <c r="S783" s="119">
        <f>DATABASE_Table[[#This Row],[Inicial Asking Price (€) (Total)]]-DATABASE_Table[[#This Row],[Vista membership]]-DATABASE_Table[[#This Row],[FF&amp;E]]</f>
        <v>540000</v>
      </c>
      <c r="T783" s="125">
        <v>540000</v>
      </c>
      <c r="U783" s="124">
        <v>555000</v>
      </c>
      <c r="V783" s="21"/>
      <c r="W783" s="21"/>
      <c r="X783" s="73">
        <f>DATABASE_Table[[#This Row],[Current Asking price( Total)]]-DATABASE_Table[[#This Row],[Vista membership]]-DATABASE_Table[[#This Row],[FF&amp;E]]</f>
        <v>555000</v>
      </c>
      <c r="Y783" s="126">
        <v>0</v>
      </c>
      <c r="Z783" s="124">
        <v>555000</v>
      </c>
      <c r="AA783" s="73">
        <f>DATABASE_Table[[#This Row],[Sell price (Total)]]-DATABASE_Table[[#This Row],[FF&amp;E]]-DATABASE_Table[[#This Row],[Vista membership]]</f>
        <v>555000</v>
      </c>
      <c r="AB783" s="74">
        <v>45382</v>
      </c>
      <c r="AC783" s="74" t="str">
        <f t="shared" si="12"/>
        <v>Q1 2024</v>
      </c>
      <c r="AD783" s="123">
        <v>45954</v>
      </c>
      <c r="AE783" s="69"/>
      <c r="AF783" s="21" t="s">
        <v>10</v>
      </c>
      <c r="AG783" s="21" t="s">
        <v>11</v>
      </c>
      <c r="AH783" s="122" t="s">
        <v>28</v>
      </c>
      <c r="AI783" s="122" t="s">
        <v>29</v>
      </c>
      <c r="AJ783" s="122" t="s">
        <v>799</v>
      </c>
      <c r="AK783" s="122" t="s">
        <v>800</v>
      </c>
      <c r="AL783" s="21" t="s">
        <v>30</v>
      </c>
      <c r="AM783" s="122" t="s">
        <v>27</v>
      </c>
    </row>
    <row r="784" spans="1:39" customFormat="1" ht="15.75" customHeight="1" x14ac:dyDescent="0.3">
      <c r="A784" t="s">
        <v>27</v>
      </c>
      <c r="B784" s="21" t="s">
        <v>563</v>
      </c>
      <c r="C784" s="21" t="s">
        <v>688</v>
      </c>
      <c r="D784" s="117" t="s">
        <v>378</v>
      </c>
      <c r="E784" s="21" t="s">
        <v>9</v>
      </c>
      <c r="F784" s="21" t="s">
        <v>319</v>
      </c>
      <c r="G784" s="21">
        <v>104.7</v>
      </c>
      <c r="H784" s="21"/>
      <c r="I784" s="117" t="s">
        <v>325</v>
      </c>
      <c r="J784" s="117" t="s">
        <v>325</v>
      </c>
      <c r="K784" s="118"/>
      <c r="L784" s="21"/>
      <c r="M784" s="21"/>
      <c r="N784" s="21"/>
      <c r="O784" s="21"/>
      <c r="P784" s="21">
        <v>104.7</v>
      </c>
      <c r="Q784" s="21"/>
      <c r="R784" s="21" t="s">
        <v>625</v>
      </c>
      <c r="S784" s="119">
        <f>DATABASE_Table[[#This Row],[Inicial Asking Price (€) (Total)]]-DATABASE_Table[[#This Row],[Vista membership]]-DATABASE_Table[[#This Row],[FF&amp;E]]</f>
        <v>540000</v>
      </c>
      <c r="T784" s="125">
        <v>540000</v>
      </c>
      <c r="U784" s="124">
        <v>540000</v>
      </c>
      <c r="V784" s="21"/>
      <c r="W784" s="21"/>
      <c r="X784" s="73">
        <f>DATABASE_Table[[#This Row],[Current Asking price( Total)]]-DATABASE_Table[[#This Row],[Vista membership]]-DATABASE_Table[[#This Row],[FF&amp;E]]</f>
        <v>540000</v>
      </c>
      <c r="Y784" s="126">
        <v>0</v>
      </c>
      <c r="Z784" s="124">
        <v>540000</v>
      </c>
      <c r="AA784" s="73">
        <f>DATABASE_Table[[#This Row],[Sell price (Total)]]-DATABASE_Table[[#This Row],[FF&amp;E]]-DATABASE_Table[[#This Row],[Vista membership]]</f>
        <v>540000</v>
      </c>
      <c r="AB784" s="74">
        <v>45382</v>
      </c>
      <c r="AC784" s="74" t="str">
        <f t="shared" si="12"/>
        <v>Q1 2024</v>
      </c>
      <c r="AD784" s="123">
        <v>45954</v>
      </c>
      <c r="AE784" s="69"/>
      <c r="AF784" s="21" t="s">
        <v>10</v>
      </c>
      <c r="AG784" s="21" t="s">
        <v>11</v>
      </c>
      <c r="AH784" s="122" t="s">
        <v>28</v>
      </c>
      <c r="AI784" s="122" t="s">
        <v>29</v>
      </c>
      <c r="AJ784" s="122" t="s">
        <v>799</v>
      </c>
      <c r="AK784" s="122" t="s">
        <v>800</v>
      </c>
      <c r="AL784" s="21" t="s">
        <v>30</v>
      </c>
      <c r="AM784" s="122" t="s">
        <v>27</v>
      </c>
    </row>
    <row r="785" spans="1:39" customFormat="1" ht="15.75" customHeight="1" x14ac:dyDescent="0.3">
      <c r="A785" t="s">
        <v>27</v>
      </c>
      <c r="B785" s="21" t="s">
        <v>563</v>
      </c>
      <c r="C785" s="21" t="s">
        <v>688</v>
      </c>
      <c r="D785" s="117" t="s">
        <v>379</v>
      </c>
      <c r="E785" s="21" t="s">
        <v>9</v>
      </c>
      <c r="F785" s="21" t="s">
        <v>319</v>
      </c>
      <c r="G785" s="21">
        <v>104.7</v>
      </c>
      <c r="H785" s="21"/>
      <c r="I785" s="117" t="s">
        <v>325</v>
      </c>
      <c r="J785" s="117" t="s">
        <v>325</v>
      </c>
      <c r="K785" s="118"/>
      <c r="L785" s="21"/>
      <c r="M785" s="21"/>
      <c r="N785" s="21"/>
      <c r="O785" s="21"/>
      <c r="P785" s="21">
        <v>104.7</v>
      </c>
      <c r="Q785" s="21"/>
      <c r="R785" s="21" t="s">
        <v>625</v>
      </c>
      <c r="S785" s="119">
        <f>DATABASE_Table[[#This Row],[Inicial Asking Price (€) (Total)]]-DATABASE_Table[[#This Row],[Vista membership]]-DATABASE_Table[[#This Row],[FF&amp;E]]</f>
        <v>550000</v>
      </c>
      <c r="T785" s="125">
        <v>550000</v>
      </c>
      <c r="U785" s="124">
        <v>565000</v>
      </c>
      <c r="V785" s="21"/>
      <c r="W785" s="21"/>
      <c r="X785" s="73">
        <f>DATABASE_Table[[#This Row],[Current Asking price( Total)]]-DATABASE_Table[[#This Row],[Vista membership]]-DATABASE_Table[[#This Row],[FF&amp;E]]</f>
        <v>565000</v>
      </c>
      <c r="Y785" s="126">
        <v>0</v>
      </c>
      <c r="Z785" s="124">
        <v>565000</v>
      </c>
      <c r="AA785" s="73">
        <f>DATABASE_Table[[#This Row],[Sell price (Total)]]-DATABASE_Table[[#This Row],[FF&amp;E]]-DATABASE_Table[[#This Row],[Vista membership]]</f>
        <v>565000</v>
      </c>
      <c r="AB785" s="74">
        <v>45382</v>
      </c>
      <c r="AC785" s="74" t="str">
        <f t="shared" si="12"/>
        <v>Q1 2024</v>
      </c>
      <c r="AD785" s="123">
        <v>46072</v>
      </c>
      <c r="AE785" s="69"/>
      <c r="AF785" s="21" t="s">
        <v>10</v>
      </c>
      <c r="AG785" s="21" t="s">
        <v>11</v>
      </c>
      <c r="AH785" s="122" t="s">
        <v>28</v>
      </c>
      <c r="AI785" s="122" t="s">
        <v>29</v>
      </c>
      <c r="AJ785" s="122" t="s">
        <v>799</v>
      </c>
      <c r="AK785" s="122" t="s">
        <v>800</v>
      </c>
      <c r="AL785" s="21" t="s">
        <v>30</v>
      </c>
      <c r="AM785" s="122" t="s">
        <v>27</v>
      </c>
    </row>
    <row r="786" spans="1:39" customFormat="1" ht="15.75" customHeight="1" x14ac:dyDescent="0.3">
      <c r="A786" t="s">
        <v>27</v>
      </c>
      <c r="B786" s="21" t="s">
        <v>563</v>
      </c>
      <c r="C786" s="21" t="s">
        <v>688</v>
      </c>
      <c r="D786" s="117" t="s">
        <v>380</v>
      </c>
      <c r="E786" s="21" t="s">
        <v>9</v>
      </c>
      <c r="F786" s="21" t="s">
        <v>319</v>
      </c>
      <c r="G786" s="21">
        <v>104.7</v>
      </c>
      <c r="H786" s="21"/>
      <c r="I786" s="117" t="s">
        <v>325</v>
      </c>
      <c r="J786" s="117" t="s">
        <v>325</v>
      </c>
      <c r="K786" s="118"/>
      <c r="L786" s="21"/>
      <c r="M786" s="21"/>
      <c r="N786" s="21"/>
      <c r="O786" s="21"/>
      <c r="P786" s="21">
        <v>104.7</v>
      </c>
      <c r="Q786" s="21"/>
      <c r="R786" s="21" t="s">
        <v>625</v>
      </c>
      <c r="S786" s="119">
        <f>DATABASE_Table[[#This Row],[Inicial Asking Price (€) (Total)]]-DATABASE_Table[[#This Row],[Vista membership]]-DATABASE_Table[[#This Row],[FF&amp;E]]</f>
        <v>550000</v>
      </c>
      <c r="T786" s="125">
        <v>550000</v>
      </c>
      <c r="U786" s="124">
        <v>565000</v>
      </c>
      <c r="V786" s="21"/>
      <c r="W786" s="21"/>
      <c r="X786" s="73">
        <f>DATABASE_Table[[#This Row],[Current Asking price( Total)]]-DATABASE_Table[[#This Row],[Vista membership]]-DATABASE_Table[[#This Row],[FF&amp;E]]</f>
        <v>565000</v>
      </c>
      <c r="Y786" s="126">
        <v>0</v>
      </c>
      <c r="Z786" s="124">
        <v>565000</v>
      </c>
      <c r="AA786" s="73">
        <f>DATABASE_Table[[#This Row],[Sell price (Total)]]-DATABASE_Table[[#This Row],[FF&amp;E]]-DATABASE_Table[[#This Row],[Vista membership]]</f>
        <v>565000</v>
      </c>
      <c r="AB786" s="74">
        <v>45382</v>
      </c>
      <c r="AC786" s="74" t="str">
        <f t="shared" si="12"/>
        <v>Q1 2024</v>
      </c>
      <c r="AD786" s="123">
        <v>45940</v>
      </c>
      <c r="AE786" s="69"/>
      <c r="AF786" s="21" t="s">
        <v>10</v>
      </c>
      <c r="AG786" s="21" t="s">
        <v>11</v>
      </c>
      <c r="AH786" s="122" t="s">
        <v>28</v>
      </c>
      <c r="AI786" s="122" t="s">
        <v>29</v>
      </c>
      <c r="AJ786" s="122" t="s">
        <v>799</v>
      </c>
      <c r="AK786" s="122" t="s">
        <v>800</v>
      </c>
      <c r="AL786" s="21" t="s">
        <v>30</v>
      </c>
      <c r="AM786" s="122" t="s">
        <v>27</v>
      </c>
    </row>
    <row r="787" spans="1:39" customFormat="1" ht="15.75" customHeight="1" x14ac:dyDescent="0.3">
      <c r="A787" t="s">
        <v>27</v>
      </c>
      <c r="B787" s="21" t="s">
        <v>563</v>
      </c>
      <c r="C787" s="21" t="s">
        <v>688</v>
      </c>
      <c r="D787" s="117" t="s">
        <v>381</v>
      </c>
      <c r="E787" s="21" t="s">
        <v>9</v>
      </c>
      <c r="F787" s="21" t="s">
        <v>319</v>
      </c>
      <c r="G787" s="21">
        <v>104.7</v>
      </c>
      <c r="H787" s="21"/>
      <c r="I787" s="117" t="s">
        <v>325</v>
      </c>
      <c r="J787" s="117" t="s">
        <v>325</v>
      </c>
      <c r="K787" s="118"/>
      <c r="L787" s="21"/>
      <c r="M787" s="21"/>
      <c r="N787" s="21"/>
      <c r="O787" s="21"/>
      <c r="P787" s="21">
        <v>104.7</v>
      </c>
      <c r="Q787" s="21"/>
      <c r="R787" s="21" t="s">
        <v>625</v>
      </c>
      <c r="S787" s="119">
        <f>DATABASE_Table[[#This Row],[Inicial Asking Price (€) (Total)]]-DATABASE_Table[[#This Row],[Vista membership]]-DATABASE_Table[[#This Row],[FF&amp;E]]</f>
        <v>540000</v>
      </c>
      <c r="T787" s="125">
        <v>540000</v>
      </c>
      <c r="U787" s="124">
        <v>555000</v>
      </c>
      <c r="V787" s="21"/>
      <c r="W787" s="21"/>
      <c r="X787" s="73">
        <f>DATABASE_Table[[#This Row],[Current Asking price( Total)]]-DATABASE_Table[[#This Row],[Vista membership]]-DATABASE_Table[[#This Row],[FF&amp;E]]</f>
        <v>555000</v>
      </c>
      <c r="Y787" s="126">
        <v>0</v>
      </c>
      <c r="Z787" s="124">
        <v>555000</v>
      </c>
      <c r="AA787" s="73">
        <f>DATABASE_Table[[#This Row],[Sell price (Total)]]-DATABASE_Table[[#This Row],[FF&amp;E]]-DATABASE_Table[[#This Row],[Vista membership]]</f>
        <v>555000</v>
      </c>
      <c r="AB787" s="74">
        <v>45382</v>
      </c>
      <c r="AC787" s="74" t="str">
        <f t="shared" si="12"/>
        <v>Q1 2024</v>
      </c>
      <c r="AD787" s="123">
        <v>45943</v>
      </c>
      <c r="AE787" s="69"/>
      <c r="AF787" s="21" t="s">
        <v>10</v>
      </c>
      <c r="AG787" s="21" t="s">
        <v>11</v>
      </c>
      <c r="AH787" s="122" t="s">
        <v>28</v>
      </c>
      <c r="AI787" s="122" t="s">
        <v>29</v>
      </c>
      <c r="AJ787" s="122" t="s">
        <v>799</v>
      </c>
      <c r="AK787" s="122" t="s">
        <v>800</v>
      </c>
      <c r="AL787" s="21" t="s">
        <v>30</v>
      </c>
      <c r="AM787" s="122" t="s">
        <v>27</v>
      </c>
    </row>
    <row r="788" spans="1:39" customFormat="1" ht="15.75" customHeight="1" x14ac:dyDescent="0.3">
      <c r="A788" t="s">
        <v>27</v>
      </c>
      <c r="B788" s="21" t="s">
        <v>563</v>
      </c>
      <c r="C788" s="21" t="s">
        <v>688</v>
      </c>
      <c r="D788" s="117" t="s">
        <v>386</v>
      </c>
      <c r="E788" s="21" t="s">
        <v>9</v>
      </c>
      <c r="F788" s="21" t="s">
        <v>320</v>
      </c>
      <c r="G788" s="21">
        <v>130.91999999999999</v>
      </c>
      <c r="H788" s="21"/>
      <c r="I788" s="117" t="s">
        <v>325</v>
      </c>
      <c r="J788" s="117" t="s">
        <v>325</v>
      </c>
      <c r="K788" s="118"/>
      <c r="L788" s="21"/>
      <c r="M788" s="21"/>
      <c r="N788" s="21"/>
      <c r="O788" s="21"/>
      <c r="P788" s="21">
        <v>130.91999999999999</v>
      </c>
      <c r="Q788" s="21"/>
      <c r="R788" s="21" t="s">
        <v>625</v>
      </c>
      <c r="S788" s="119">
        <f>DATABASE_Table[[#This Row],[Inicial Asking Price (€) (Total)]]-DATABASE_Table[[#This Row],[Vista membership]]-DATABASE_Table[[#This Row],[FF&amp;E]]</f>
        <v>710000</v>
      </c>
      <c r="T788" s="125">
        <v>710000</v>
      </c>
      <c r="U788" s="124">
        <v>710000</v>
      </c>
      <c r="V788" s="21"/>
      <c r="W788" s="21"/>
      <c r="X788" s="73">
        <f>DATABASE_Table[[#This Row],[Current Asking price( Total)]]-DATABASE_Table[[#This Row],[Vista membership]]-DATABASE_Table[[#This Row],[FF&amp;E]]</f>
        <v>710000</v>
      </c>
      <c r="Y788" s="126">
        <v>0</v>
      </c>
      <c r="Z788" s="124">
        <v>710000</v>
      </c>
      <c r="AA788" s="73">
        <f>DATABASE_Table[[#This Row],[Sell price (Total)]]-DATABASE_Table[[#This Row],[FF&amp;E]]-DATABASE_Table[[#This Row],[Vista membership]]</f>
        <v>710000</v>
      </c>
      <c r="AB788" s="74">
        <v>45382</v>
      </c>
      <c r="AC788" s="74" t="str">
        <f t="shared" si="12"/>
        <v>Q1 2024</v>
      </c>
      <c r="AD788" s="123">
        <v>45891</v>
      </c>
      <c r="AE788" s="69"/>
      <c r="AF788" s="21" t="s">
        <v>10</v>
      </c>
      <c r="AG788" s="21" t="s">
        <v>11</v>
      </c>
      <c r="AH788" s="122" t="s">
        <v>28</v>
      </c>
      <c r="AI788" s="122" t="s">
        <v>29</v>
      </c>
      <c r="AJ788" s="122" t="s">
        <v>799</v>
      </c>
      <c r="AK788" s="122" t="s">
        <v>800</v>
      </c>
      <c r="AL788" s="21" t="s">
        <v>30</v>
      </c>
      <c r="AM788" s="122" t="s">
        <v>27</v>
      </c>
    </row>
    <row r="789" spans="1:39" customFormat="1" ht="15.75" customHeight="1" x14ac:dyDescent="0.3">
      <c r="A789" t="s">
        <v>27</v>
      </c>
      <c r="B789" s="21" t="s">
        <v>563</v>
      </c>
      <c r="C789" s="21" t="s">
        <v>688</v>
      </c>
      <c r="D789" s="117" t="s">
        <v>387</v>
      </c>
      <c r="E789" s="21" t="s">
        <v>9</v>
      </c>
      <c r="F789" s="21" t="s">
        <v>320</v>
      </c>
      <c r="G789" s="21">
        <v>130.91999999999999</v>
      </c>
      <c r="H789" s="21"/>
      <c r="I789" s="117" t="s">
        <v>325</v>
      </c>
      <c r="J789" s="117" t="s">
        <v>325</v>
      </c>
      <c r="K789" s="118"/>
      <c r="L789" s="21"/>
      <c r="M789" s="21"/>
      <c r="N789" s="21"/>
      <c r="O789" s="21"/>
      <c r="P789" s="21">
        <v>130.91999999999999</v>
      </c>
      <c r="Q789" s="21"/>
      <c r="R789" s="21" t="s">
        <v>625</v>
      </c>
      <c r="S789" s="119">
        <f>DATABASE_Table[[#This Row],[Inicial Asking Price (€) (Total)]]-DATABASE_Table[[#This Row],[Vista membership]]-DATABASE_Table[[#This Row],[FF&amp;E]]</f>
        <v>710000</v>
      </c>
      <c r="T789" s="125">
        <v>710000</v>
      </c>
      <c r="U789" s="124">
        <v>740000</v>
      </c>
      <c r="V789" s="21"/>
      <c r="W789" s="21"/>
      <c r="X789" s="73">
        <f>DATABASE_Table[[#This Row],[Current Asking price( Total)]]-DATABASE_Table[[#This Row],[Vista membership]]-DATABASE_Table[[#This Row],[FF&amp;E]]</f>
        <v>740000</v>
      </c>
      <c r="Y789" s="126">
        <v>0</v>
      </c>
      <c r="Z789" s="124">
        <v>740000</v>
      </c>
      <c r="AA789" s="73">
        <f>DATABASE_Table[[#This Row],[Sell price (Total)]]-DATABASE_Table[[#This Row],[FF&amp;E]]-DATABASE_Table[[#This Row],[Vista membership]]</f>
        <v>740000</v>
      </c>
      <c r="AB789" s="74">
        <v>45382</v>
      </c>
      <c r="AC789" s="74" t="str">
        <f t="shared" si="12"/>
        <v>Q1 2024</v>
      </c>
      <c r="AD789" s="121">
        <v>46044</v>
      </c>
      <c r="AE789" s="69"/>
      <c r="AF789" s="21" t="s">
        <v>10</v>
      </c>
      <c r="AG789" s="21" t="s">
        <v>11</v>
      </c>
      <c r="AH789" s="122" t="s">
        <v>28</v>
      </c>
      <c r="AI789" s="122" t="s">
        <v>29</v>
      </c>
      <c r="AJ789" s="122" t="s">
        <v>799</v>
      </c>
      <c r="AK789" s="122" t="s">
        <v>800</v>
      </c>
      <c r="AL789" s="21" t="s">
        <v>30</v>
      </c>
      <c r="AM789" s="122" t="s">
        <v>27</v>
      </c>
    </row>
    <row r="790" spans="1:39" customFormat="1" ht="15.75" customHeight="1" x14ac:dyDescent="0.3">
      <c r="A790" t="s">
        <v>27</v>
      </c>
      <c r="B790" s="21" t="s">
        <v>563</v>
      </c>
      <c r="C790" s="21" t="s">
        <v>688</v>
      </c>
      <c r="D790" s="117" t="s">
        <v>389</v>
      </c>
      <c r="E790" s="21" t="s">
        <v>9</v>
      </c>
      <c r="F790" s="21" t="s">
        <v>319</v>
      </c>
      <c r="G790" s="21">
        <v>78.3</v>
      </c>
      <c r="H790" s="21"/>
      <c r="I790" s="117" t="s">
        <v>325</v>
      </c>
      <c r="J790" s="117" t="s">
        <v>325</v>
      </c>
      <c r="K790" s="118"/>
      <c r="L790" s="21"/>
      <c r="M790" s="21"/>
      <c r="N790" s="21"/>
      <c r="O790" s="21"/>
      <c r="P790" s="21">
        <v>78.3</v>
      </c>
      <c r="Q790" s="21"/>
      <c r="R790" s="21" t="s">
        <v>625</v>
      </c>
      <c r="S790" s="119">
        <f>DATABASE_Table[[#This Row],[Inicial Asking Price (€) (Total)]]-DATABASE_Table[[#This Row],[Vista membership]]-DATABASE_Table[[#This Row],[FF&amp;E]]</f>
        <v>465000</v>
      </c>
      <c r="T790" s="125">
        <v>465000</v>
      </c>
      <c r="U790" s="124">
        <v>465000</v>
      </c>
      <c r="V790" s="21"/>
      <c r="W790" s="21"/>
      <c r="X790" s="73">
        <f>DATABASE_Table[[#This Row],[Current Asking price( Total)]]-DATABASE_Table[[#This Row],[Vista membership]]-DATABASE_Table[[#This Row],[FF&amp;E]]</f>
        <v>465000</v>
      </c>
      <c r="Y790" s="126">
        <v>0</v>
      </c>
      <c r="Z790" s="124">
        <v>465000</v>
      </c>
      <c r="AA790" s="73">
        <f>DATABASE_Table[[#This Row],[Sell price (Total)]]-DATABASE_Table[[#This Row],[FF&amp;E]]-DATABASE_Table[[#This Row],[Vista membership]]</f>
        <v>465000</v>
      </c>
      <c r="AB790" s="74">
        <v>45382</v>
      </c>
      <c r="AC790" s="74" t="str">
        <f t="shared" si="12"/>
        <v>Q1 2024</v>
      </c>
      <c r="AD790" s="121">
        <v>45604</v>
      </c>
      <c r="AE790" s="69"/>
      <c r="AF790" s="21" t="s">
        <v>10</v>
      </c>
      <c r="AG790" s="21" t="s">
        <v>11</v>
      </c>
      <c r="AH790" s="122" t="s">
        <v>28</v>
      </c>
      <c r="AI790" s="122" t="s">
        <v>29</v>
      </c>
      <c r="AJ790" s="122" t="s">
        <v>799</v>
      </c>
      <c r="AK790" s="122" t="s">
        <v>800</v>
      </c>
      <c r="AL790" s="21" t="s">
        <v>30</v>
      </c>
      <c r="AM790" s="122" t="s">
        <v>27</v>
      </c>
    </row>
    <row r="791" spans="1:39" customFormat="1" ht="15.75" customHeight="1" x14ac:dyDescent="0.3">
      <c r="A791" t="s">
        <v>27</v>
      </c>
      <c r="B791" s="21" t="s">
        <v>563</v>
      </c>
      <c r="C791" s="21" t="s">
        <v>688</v>
      </c>
      <c r="D791" s="117" t="s">
        <v>390</v>
      </c>
      <c r="E791" s="21" t="s">
        <v>9</v>
      </c>
      <c r="F791" s="21" t="s">
        <v>319</v>
      </c>
      <c r="G791" s="21">
        <v>78.3</v>
      </c>
      <c r="H791" s="21"/>
      <c r="I791" s="117" t="s">
        <v>325</v>
      </c>
      <c r="J791" s="117" t="s">
        <v>325</v>
      </c>
      <c r="K791" s="118"/>
      <c r="L791" s="21"/>
      <c r="M791" s="21"/>
      <c r="N791" s="21"/>
      <c r="O791" s="21"/>
      <c r="P791" s="21">
        <v>78.3</v>
      </c>
      <c r="Q791" s="21"/>
      <c r="R791" s="21" t="s">
        <v>625</v>
      </c>
      <c r="S791" s="119">
        <f>DATABASE_Table[[#This Row],[Inicial Asking Price (€) (Total)]]-DATABASE_Table[[#This Row],[Vista membership]]-DATABASE_Table[[#This Row],[FF&amp;E]]</f>
        <v>465000</v>
      </c>
      <c r="T791" s="125">
        <v>465000</v>
      </c>
      <c r="U791" s="124">
        <v>465000</v>
      </c>
      <c r="V791" s="21"/>
      <c r="W791" s="21"/>
      <c r="X791" s="73">
        <f>DATABASE_Table[[#This Row],[Current Asking price( Total)]]-DATABASE_Table[[#This Row],[Vista membership]]-DATABASE_Table[[#This Row],[FF&amp;E]]</f>
        <v>465000</v>
      </c>
      <c r="Y791" s="126">
        <v>0</v>
      </c>
      <c r="Z791" s="124">
        <v>465000</v>
      </c>
      <c r="AA791" s="73">
        <f>DATABASE_Table[[#This Row],[Sell price (Total)]]-DATABASE_Table[[#This Row],[FF&amp;E]]-DATABASE_Table[[#This Row],[Vista membership]]</f>
        <v>465000</v>
      </c>
      <c r="AB791" s="74">
        <v>45382</v>
      </c>
      <c r="AC791" s="74" t="str">
        <f t="shared" si="12"/>
        <v>Q1 2024</v>
      </c>
      <c r="AD791" s="121">
        <v>45611</v>
      </c>
      <c r="AE791" s="69"/>
      <c r="AF791" s="21" t="s">
        <v>10</v>
      </c>
      <c r="AG791" s="21" t="s">
        <v>11</v>
      </c>
      <c r="AH791" s="122" t="s">
        <v>28</v>
      </c>
      <c r="AI791" s="122" t="s">
        <v>29</v>
      </c>
      <c r="AJ791" s="122" t="s">
        <v>799</v>
      </c>
      <c r="AK791" s="122" t="s">
        <v>800</v>
      </c>
      <c r="AL791" s="21" t="s">
        <v>30</v>
      </c>
      <c r="AM791" s="122" t="s">
        <v>27</v>
      </c>
    </row>
    <row r="792" spans="1:39" customFormat="1" ht="15.75" customHeight="1" x14ac:dyDescent="0.3">
      <c r="A792" t="s">
        <v>27</v>
      </c>
      <c r="B792" s="21" t="s">
        <v>563</v>
      </c>
      <c r="C792" s="21" t="s">
        <v>688</v>
      </c>
      <c r="D792" s="117" t="s">
        <v>391</v>
      </c>
      <c r="E792" s="21" t="s">
        <v>9</v>
      </c>
      <c r="F792" s="21" t="s">
        <v>319</v>
      </c>
      <c r="G792" s="21">
        <v>78.3</v>
      </c>
      <c r="H792" s="21"/>
      <c r="I792" s="117" t="s">
        <v>325</v>
      </c>
      <c r="J792" s="117" t="s">
        <v>325</v>
      </c>
      <c r="K792" s="118"/>
      <c r="L792" s="21"/>
      <c r="M792" s="21"/>
      <c r="N792" s="21"/>
      <c r="O792" s="21"/>
      <c r="P792" s="21">
        <v>78.3</v>
      </c>
      <c r="Q792" s="21"/>
      <c r="R792" s="21" t="s">
        <v>625</v>
      </c>
      <c r="S792" s="119">
        <f>DATABASE_Table[[#This Row],[Inicial Asking Price (€) (Total)]]-DATABASE_Table[[#This Row],[Vista membership]]-DATABASE_Table[[#This Row],[FF&amp;E]]</f>
        <v>465000</v>
      </c>
      <c r="T792" s="125">
        <v>465000</v>
      </c>
      <c r="U792" s="124">
        <v>465000</v>
      </c>
      <c r="V792" s="21"/>
      <c r="W792" s="21"/>
      <c r="X792" s="73">
        <f>DATABASE_Table[[#This Row],[Current Asking price( Total)]]-DATABASE_Table[[#This Row],[Vista membership]]-DATABASE_Table[[#This Row],[FF&amp;E]]</f>
        <v>465000</v>
      </c>
      <c r="Y792" s="126">
        <v>0</v>
      </c>
      <c r="Z792" s="124">
        <v>465000</v>
      </c>
      <c r="AA792" s="73">
        <f>DATABASE_Table[[#This Row],[Sell price (Total)]]-DATABASE_Table[[#This Row],[FF&amp;E]]-DATABASE_Table[[#This Row],[Vista membership]]</f>
        <v>465000</v>
      </c>
      <c r="AB792" s="74">
        <v>45382</v>
      </c>
      <c r="AC792" s="74" t="str">
        <f t="shared" si="12"/>
        <v>Q1 2024</v>
      </c>
      <c r="AD792" s="121">
        <v>45784</v>
      </c>
      <c r="AE792" s="69"/>
      <c r="AF792" s="21" t="s">
        <v>10</v>
      </c>
      <c r="AG792" s="21" t="s">
        <v>11</v>
      </c>
      <c r="AH792" s="122" t="s">
        <v>28</v>
      </c>
      <c r="AI792" s="122" t="s">
        <v>29</v>
      </c>
      <c r="AJ792" s="122" t="s">
        <v>799</v>
      </c>
      <c r="AK792" s="122" t="s">
        <v>800</v>
      </c>
      <c r="AL792" s="21" t="s">
        <v>30</v>
      </c>
      <c r="AM792" s="122" t="s">
        <v>27</v>
      </c>
    </row>
    <row r="793" spans="1:39" customFormat="1" ht="15.75" customHeight="1" x14ac:dyDescent="0.3">
      <c r="A793" t="s">
        <v>27</v>
      </c>
      <c r="B793" s="21" t="s">
        <v>563</v>
      </c>
      <c r="C793" s="21" t="s">
        <v>688</v>
      </c>
      <c r="D793" s="117" t="s">
        <v>392</v>
      </c>
      <c r="E793" s="21" t="s">
        <v>9</v>
      </c>
      <c r="F793" s="21" t="s">
        <v>319</v>
      </c>
      <c r="G793" s="21">
        <v>104.7</v>
      </c>
      <c r="H793" s="21"/>
      <c r="I793" s="117" t="s">
        <v>325</v>
      </c>
      <c r="J793" s="117" t="s">
        <v>325</v>
      </c>
      <c r="K793" s="118"/>
      <c r="L793" s="21"/>
      <c r="M793" s="21"/>
      <c r="N793" s="21"/>
      <c r="O793" s="21"/>
      <c r="P793" s="21">
        <v>104.7</v>
      </c>
      <c r="Q793" s="21"/>
      <c r="R793" s="21" t="s">
        <v>625</v>
      </c>
      <c r="S793" s="119">
        <f>DATABASE_Table[[#This Row],[Inicial Asking Price (€) (Total)]]-DATABASE_Table[[#This Row],[Vista membership]]-DATABASE_Table[[#This Row],[FF&amp;E]]</f>
        <v>570000</v>
      </c>
      <c r="T793" s="125">
        <v>570000</v>
      </c>
      <c r="U793" s="124">
        <v>585000</v>
      </c>
      <c r="V793" s="21"/>
      <c r="W793" s="21"/>
      <c r="X793" s="73">
        <f>DATABASE_Table[[#This Row],[Current Asking price( Total)]]-DATABASE_Table[[#This Row],[Vista membership]]-DATABASE_Table[[#This Row],[FF&amp;E]]</f>
        <v>585000</v>
      </c>
      <c r="Y793" s="126">
        <v>0</v>
      </c>
      <c r="Z793" s="124">
        <v>585000</v>
      </c>
      <c r="AA793" s="73">
        <f>DATABASE_Table[[#This Row],[Sell price (Total)]]-DATABASE_Table[[#This Row],[FF&amp;E]]-DATABASE_Table[[#This Row],[Vista membership]]</f>
        <v>585000</v>
      </c>
      <c r="AB793" s="74">
        <v>45382</v>
      </c>
      <c r="AC793" s="74" t="str">
        <f t="shared" si="12"/>
        <v>Q1 2024</v>
      </c>
      <c r="AD793" s="121">
        <v>46106</v>
      </c>
      <c r="AE793" s="69"/>
      <c r="AF793" s="21" t="s">
        <v>10</v>
      </c>
      <c r="AG793" s="21" t="s">
        <v>11</v>
      </c>
      <c r="AH793" s="122" t="s">
        <v>28</v>
      </c>
      <c r="AI793" s="122" t="s">
        <v>29</v>
      </c>
      <c r="AJ793" s="122" t="s">
        <v>799</v>
      </c>
      <c r="AK793" s="122" t="s">
        <v>800</v>
      </c>
      <c r="AL793" s="21" t="s">
        <v>30</v>
      </c>
      <c r="AM793" s="122" t="s">
        <v>27</v>
      </c>
    </row>
    <row r="794" spans="1:39" customFormat="1" ht="15.75" customHeight="1" x14ac:dyDescent="0.3">
      <c r="A794" t="s">
        <v>27</v>
      </c>
      <c r="B794" s="21" t="s">
        <v>563</v>
      </c>
      <c r="C794" s="21" t="s">
        <v>688</v>
      </c>
      <c r="D794" s="117" t="s">
        <v>393</v>
      </c>
      <c r="E794" s="21" t="s">
        <v>9</v>
      </c>
      <c r="F794" s="21" t="s">
        <v>320</v>
      </c>
      <c r="G794" s="21">
        <v>130.91999999999999</v>
      </c>
      <c r="H794" s="21"/>
      <c r="I794" s="117" t="s">
        <v>325</v>
      </c>
      <c r="J794" s="117" t="s">
        <v>325</v>
      </c>
      <c r="K794" s="118"/>
      <c r="L794" s="21"/>
      <c r="M794" s="21"/>
      <c r="N794" s="21"/>
      <c r="O794" s="21"/>
      <c r="P794" s="21">
        <v>130.91999999999999</v>
      </c>
      <c r="Q794" s="21"/>
      <c r="R794" s="21" t="s">
        <v>625</v>
      </c>
      <c r="S794" s="119">
        <f>DATABASE_Table[[#This Row],[Inicial Asking Price (€) (Total)]]-DATABASE_Table[[#This Row],[Vista membership]]-DATABASE_Table[[#This Row],[FF&amp;E]]</f>
        <v>720000</v>
      </c>
      <c r="T794" s="125">
        <v>720000</v>
      </c>
      <c r="U794" s="124">
        <v>720000</v>
      </c>
      <c r="V794" s="21"/>
      <c r="W794" s="21"/>
      <c r="X794" s="73">
        <f>DATABASE_Table[[#This Row],[Current Asking price( Total)]]-DATABASE_Table[[#This Row],[Vista membership]]-DATABASE_Table[[#This Row],[FF&amp;E]]</f>
        <v>720000</v>
      </c>
      <c r="Y794" s="126">
        <v>0</v>
      </c>
      <c r="Z794" s="124">
        <v>720000</v>
      </c>
      <c r="AA794" s="73">
        <f>DATABASE_Table[[#This Row],[Sell price (Total)]]-DATABASE_Table[[#This Row],[FF&amp;E]]-DATABASE_Table[[#This Row],[Vista membership]]</f>
        <v>720000</v>
      </c>
      <c r="AB794" s="74">
        <v>45382</v>
      </c>
      <c r="AC794" s="74" t="str">
        <f t="shared" si="12"/>
        <v>Q1 2024</v>
      </c>
      <c r="AD794" s="121">
        <v>45888</v>
      </c>
      <c r="AE794" s="69"/>
      <c r="AF794" s="21" t="s">
        <v>10</v>
      </c>
      <c r="AG794" s="21" t="s">
        <v>11</v>
      </c>
      <c r="AH794" s="122" t="s">
        <v>28</v>
      </c>
      <c r="AI794" s="122" t="s">
        <v>29</v>
      </c>
      <c r="AJ794" s="122" t="s">
        <v>799</v>
      </c>
      <c r="AK794" s="122" t="s">
        <v>800</v>
      </c>
      <c r="AL794" s="21" t="s">
        <v>30</v>
      </c>
      <c r="AM794" s="122" t="s">
        <v>27</v>
      </c>
    </row>
    <row r="795" spans="1:39" customFormat="1" ht="15.75" customHeight="1" x14ac:dyDescent="0.3">
      <c r="A795" t="s">
        <v>27</v>
      </c>
      <c r="B795" s="21" t="s">
        <v>563</v>
      </c>
      <c r="C795" s="21" t="s">
        <v>688</v>
      </c>
      <c r="D795" s="117" t="s">
        <v>395</v>
      </c>
      <c r="E795" s="21" t="s">
        <v>9</v>
      </c>
      <c r="F795" s="21" t="s">
        <v>319</v>
      </c>
      <c r="G795" s="21">
        <v>104.7</v>
      </c>
      <c r="H795" s="21"/>
      <c r="I795" s="117" t="s">
        <v>325</v>
      </c>
      <c r="J795" s="117" t="s">
        <v>325</v>
      </c>
      <c r="K795" s="118"/>
      <c r="L795" s="21"/>
      <c r="M795" s="21"/>
      <c r="N795" s="21"/>
      <c r="O795" s="21"/>
      <c r="P795" s="21">
        <v>104.7</v>
      </c>
      <c r="Q795" s="21"/>
      <c r="R795" s="21" t="s">
        <v>625</v>
      </c>
      <c r="S795" s="119">
        <f>DATABASE_Table[[#This Row],[Inicial Asking Price (€) (Total)]]-DATABASE_Table[[#This Row],[Vista membership]]-DATABASE_Table[[#This Row],[FF&amp;E]]</f>
        <v>570000</v>
      </c>
      <c r="T795" s="125">
        <v>570000</v>
      </c>
      <c r="U795" s="124">
        <v>587100</v>
      </c>
      <c r="V795" s="21"/>
      <c r="W795" s="21"/>
      <c r="X795" s="73">
        <f>DATABASE_Table[[#This Row],[Current Asking price( Total)]]-DATABASE_Table[[#This Row],[Vista membership]]-DATABASE_Table[[#This Row],[FF&amp;E]]</f>
        <v>587100</v>
      </c>
      <c r="Y795" s="126">
        <v>0</v>
      </c>
      <c r="Z795" s="124">
        <v>587100</v>
      </c>
      <c r="AA795" s="73">
        <f>DATABASE_Table[[#This Row],[Sell price (Total)]]-DATABASE_Table[[#This Row],[FF&amp;E]]-DATABASE_Table[[#This Row],[Vista membership]]</f>
        <v>587100</v>
      </c>
      <c r="AB795" s="74">
        <v>45382</v>
      </c>
      <c r="AC795" s="74" t="str">
        <f t="shared" si="12"/>
        <v>Q1 2024</v>
      </c>
      <c r="AD795" s="121">
        <v>46141</v>
      </c>
      <c r="AE795" s="69"/>
      <c r="AF795" s="21" t="s">
        <v>10</v>
      </c>
      <c r="AG795" s="21" t="s">
        <v>11</v>
      </c>
      <c r="AH795" s="122" t="s">
        <v>28</v>
      </c>
      <c r="AI795" s="122" t="s">
        <v>29</v>
      </c>
      <c r="AJ795" s="122" t="s">
        <v>799</v>
      </c>
      <c r="AK795" s="122" t="s">
        <v>800</v>
      </c>
      <c r="AL795" s="21" t="s">
        <v>30</v>
      </c>
      <c r="AM795" s="122" t="s">
        <v>27</v>
      </c>
    </row>
    <row r="796" spans="1:39" customFormat="1" ht="15.75" customHeight="1" x14ac:dyDescent="0.3">
      <c r="A796" t="s">
        <v>27</v>
      </c>
      <c r="B796" s="21" t="s">
        <v>563</v>
      </c>
      <c r="C796" s="21" t="s">
        <v>688</v>
      </c>
      <c r="D796" s="117" t="s">
        <v>401</v>
      </c>
      <c r="E796" s="21" t="s">
        <v>9</v>
      </c>
      <c r="F796" s="21" t="s">
        <v>320</v>
      </c>
      <c r="G796" s="21">
        <v>130.91999999999999</v>
      </c>
      <c r="H796" s="21"/>
      <c r="I796" s="117" t="s">
        <v>325</v>
      </c>
      <c r="J796" s="117" t="s">
        <v>325</v>
      </c>
      <c r="K796" s="118"/>
      <c r="L796" s="21"/>
      <c r="M796" s="21"/>
      <c r="N796" s="21"/>
      <c r="O796" s="21"/>
      <c r="P796" s="21">
        <v>130.91999999999999</v>
      </c>
      <c r="Q796" s="21"/>
      <c r="R796" s="21" t="s">
        <v>625</v>
      </c>
      <c r="S796" s="119">
        <f>DATABASE_Table[[#This Row],[Inicial Asking Price (€) (Total)]]-DATABASE_Table[[#This Row],[Vista membership]]-DATABASE_Table[[#This Row],[FF&amp;E]]</f>
        <v>675000</v>
      </c>
      <c r="T796" s="125">
        <v>675000</v>
      </c>
      <c r="U796" s="124">
        <v>675000</v>
      </c>
      <c r="V796" s="21"/>
      <c r="W796" s="21"/>
      <c r="X796" s="73">
        <f>DATABASE_Table[[#This Row],[Current Asking price( Total)]]-DATABASE_Table[[#This Row],[Vista membership]]-DATABASE_Table[[#This Row],[FF&amp;E]]</f>
        <v>675000</v>
      </c>
      <c r="Y796" s="126">
        <v>0</v>
      </c>
      <c r="Z796" s="124">
        <v>675000</v>
      </c>
      <c r="AA796" s="73">
        <f>DATABASE_Table[[#This Row],[Sell price (Total)]]-DATABASE_Table[[#This Row],[FF&amp;E]]-DATABASE_Table[[#This Row],[Vista membership]]</f>
        <v>675000</v>
      </c>
      <c r="AB796" s="74">
        <v>45382</v>
      </c>
      <c r="AC796" s="74" t="str">
        <f t="shared" si="12"/>
        <v>Q1 2024</v>
      </c>
      <c r="AD796" s="121">
        <v>46170</v>
      </c>
      <c r="AE796" s="69"/>
      <c r="AF796" s="21" t="s">
        <v>10</v>
      </c>
      <c r="AG796" s="21" t="s">
        <v>11</v>
      </c>
      <c r="AH796" s="122" t="s">
        <v>28</v>
      </c>
      <c r="AI796" s="122" t="s">
        <v>29</v>
      </c>
      <c r="AJ796" s="122" t="s">
        <v>799</v>
      </c>
      <c r="AK796" s="122" t="s">
        <v>800</v>
      </c>
      <c r="AL796" s="21" t="s">
        <v>30</v>
      </c>
      <c r="AM796" s="122" t="s">
        <v>27</v>
      </c>
    </row>
    <row r="797" spans="1:39" customFormat="1" ht="15.75" customHeight="1" x14ac:dyDescent="0.3">
      <c r="A797" t="s">
        <v>27</v>
      </c>
      <c r="B797" s="21" t="s">
        <v>563</v>
      </c>
      <c r="C797" s="21" t="s">
        <v>688</v>
      </c>
      <c r="D797" s="117" t="s">
        <v>402</v>
      </c>
      <c r="E797" s="21" t="s">
        <v>9</v>
      </c>
      <c r="F797" s="21" t="s">
        <v>320</v>
      </c>
      <c r="G797" s="21">
        <v>130.91999999999999</v>
      </c>
      <c r="H797" s="21"/>
      <c r="I797" s="117" t="s">
        <v>325</v>
      </c>
      <c r="J797" s="117" t="s">
        <v>325</v>
      </c>
      <c r="K797" s="118"/>
      <c r="L797" s="21"/>
      <c r="M797" s="21"/>
      <c r="N797" s="21"/>
      <c r="O797" s="21"/>
      <c r="P797" s="21">
        <v>130.91999999999999</v>
      </c>
      <c r="Q797" s="21"/>
      <c r="R797" s="21" t="s">
        <v>625</v>
      </c>
      <c r="S797" s="119">
        <f>DATABASE_Table[[#This Row],[Inicial Asking Price (€) (Total)]]-DATABASE_Table[[#This Row],[Vista membership]]-DATABASE_Table[[#This Row],[FF&amp;E]]</f>
        <v>750000</v>
      </c>
      <c r="T797" s="125">
        <v>750000</v>
      </c>
      <c r="U797" s="124">
        <v>750000</v>
      </c>
      <c r="V797" s="21"/>
      <c r="W797" s="21"/>
      <c r="X797" s="73">
        <f>DATABASE_Table[[#This Row],[Current Asking price( Total)]]-DATABASE_Table[[#This Row],[Vista membership]]-DATABASE_Table[[#This Row],[FF&amp;E]]</f>
        <v>750000</v>
      </c>
      <c r="Y797" s="126">
        <v>0</v>
      </c>
      <c r="Z797" s="124">
        <v>750000</v>
      </c>
      <c r="AA797" s="73">
        <f>DATABASE_Table[[#This Row],[Sell price (Total)]]-DATABASE_Table[[#This Row],[FF&amp;E]]-DATABASE_Table[[#This Row],[Vista membership]]</f>
        <v>750000</v>
      </c>
      <c r="AB797" s="74">
        <v>45382</v>
      </c>
      <c r="AC797" s="74" t="str">
        <f t="shared" si="12"/>
        <v>Q1 2024</v>
      </c>
      <c r="AD797" s="121">
        <v>45950</v>
      </c>
      <c r="AE797" s="69"/>
      <c r="AF797" s="21" t="s">
        <v>10</v>
      </c>
      <c r="AG797" s="21" t="s">
        <v>11</v>
      </c>
      <c r="AH797" s="122" t="s">
        <v>28</v>
      </c>
      <c r="AI797" s="122" t="s">
        <v>29</v>
      </c>
      <c r="AJ797" s="122" t="s">
        <v>799</v>
      </c>
      <c r="AK797" s="122" t="s">
        <v>800</v>
      </c>
      <c r="AL797" s="21" t="s">
        <v>30</v>
      </c>
      <c r="AM797" s="122" t="s">
        <v>27</v>
      </c>
    </row>
    <row r="798" spans="1:39" customFormat="1" ht="15.75" customHeight="1" x14ac:dyDescent="0.3">
      <c r="A798" t="s">
        <v>27</v>
      </c>
      <c r="B798" s="21" t="s">
        <v>563</v>
      </c>
      <c r="C798" s="21" t="s">
        <v>688</v>
      </c>
      <c r="D798" s="117" t="s">
        <v>403</v>
      </c>
      <c r="E798" s="21" t="s">
        <v>9</v>
      </c>
      <c r="F798" s="21" t="s">
        <v>320</v>
      </c>
      <c r="G798" s="21">
        <v>130.91999999999999</v>
      </c>
      <c r="H798" s="21"/>
      <c r="I798" s="117" t="s">
        <v>325</v>
      </c>
      <c r="J798" s="117" t="s">
        <v>325</v>
      </c>
      <c r="K798" s="118"/>
      <c r="L798" s="21"/>
      <c r="M798" s="21"/>
      <c r="N798" s="21"/>
      <c r="O798" s="21"/>
      <c r="P798" s="21">
        <v>130.91999999999999</v>
      </c>
      <c r="Q798" s="21"/>
      <c r="R798" s="21" t="s">
        <v>625</v>
      </c>
      <c r="S798" s="119">
        <f>DATABASE_Table[[#This Row],[Inicial Asking Price (€) (Total)]]-DATABASE_Table[[#This Row],[Vista membership]]-DATABASE_Table[[#This Row],[FF&amp;E]]</f>
        <v>670000</v>
      </c>
      <c r="T798" s="125">
        <v>670000</v>
      </c>
      <c r="U798" s="124">
        <v>670000</v>
      </c>
      <c r="V798" s="21"/>
      <c r="W798" s="21"/>
      <c r="X798" s="73">
        <f>DATABASE_Table[[#This Row],[Current Asking price( Total)]]-DATABASE_Table[[#This Row],[Vista membership]]-DATABASE_Table[[#This Row],[FF&amp;E]]</f>
        <v>670000</v>
      </c>
      <c r="Y798" s="126">
        <v>0</v>
      </c>
      <c r="Z798" s="124">
        <v>670000</v>
      </c>
      <c r="AA798" s="73">
        <f>DATABASE_Table[[#This Row],[Sell price (Total)]]-DATABASE_Table[[#This Row],[FF&amp;E]]-DATABASE_Table[[#This Row],[Vista membership]]</f>
        <v>670000</v>
      </c>
      <c r="AB798" s="74">
        <v>45382</v>
      </c>
      <c r="AC798" s="74" t="str">
        <f t="shared" si="12"/>
        <v>Q1 2024</v>
      </c>
      <c r="AD798" s="121">
        <v>46176</v>
      </c>
      <c r="AE798" s="69"/>
      <c r="AF798" s="21" t="s">
        <v>10</v>
      </c>
      <c r="AG798" s="21" t="s">
        <v>11</v>
      </c>
      <c r="AH798" s="122" t="s">
        <v>28</v>
      </c>
      <c r="AI798" s="122" t="s">
        <v>29</v>
      </c>
      <c r="AJ798" s="122" t="s">
        <v>799</v>
      </c>
      <c r="AK798" s="122" t="s">
        <v>800</v>
      </c>
      <c r="AL798" s="21" t="s">
        <v>30</v>
      </c>
      <c r="AM798" s="122" t="s">
        <v>27</v>
      </c>
    </row>
    <row r="799" spans="1:39" customFormat="1" ht="15.75" customHeight="1" x14ac:dyDescent="0.3">
      <c r="A799" t="s">
        <v>27</v>
      </c>
      <c r="B799" s="21" t="s">
        <v>563</v>
      </c>
      <c r="C799" s="21" t="s">
        <v>688</v>
      </c>
      <c r="D799" s="117" t="s">
        <v>404</v>
      </c>
      <c r="E799" s="21" t="s">
        <v>9</v>
      </c>
      <c r="F799" s="21" t="s">
        <v>319</v>
      </c>
      <c r="G799" s="21">
        <v>104.7</v>
      </c>
      <c r="H799" s="21"/>
      <c r="I799" s="117" t="s">
        <v>325</v>
      </c>
      <c r="J799" s="117" t="s">
        <v>325</v>
      </c>
      <c r="K799" s="118"/>
      <c r="L799" s="21"/>
      <c r="M799" s="21"/>
      <c r="N799" s="21"/>
      <c r="O799" s="21"/>
      <c r="P799" s="21">
        <v>104.7</v>
      </c>
      <c r="Q799" s="21"/>
      <c r="R799" s="21" t="s">
        <v>625</v>
      </c>
      <c r="S799" s="119">
        <f>DATABASE_Table[[#This Row],[Inicial Asking Price (€) (Total)]]-DATABASE_Table[[#This Row],[Vista membership]]-DATABASE_Table[[#This Row],[FF&amp;E]]</f>
        <v>590000</v>
      </c>
      <c r="T799" s="125">
        <v>590000</v>
      </c>
      <c r="U799" s="124">
        <v>590000</v>
      </c>
      <c r="V799" s="21"/>
      <c r="W799" s="21"/>
      <c r="X799" s="73">
        <f>DATABASE_Table[[#This Row],[Current Asking price( Total)]]-DATABASE_Table[[#This Row],[Vista membership]]-DATABASE_Table[[#This Row],[FF&amp;E]]</f>
        <v>590000</v>
      </c>
      <c r="Y799" s="126">
        <v>0</v>
      </c>
      <c r="Z799" s="124">
        <v>590000</v>
      </c>
      <c r="AA799" s="73">
        <f>DATABASE_Table[[#This Row],[Sell price (Total)]]-DATABASE_Table[[#This Row],[FF&amp;E]]-DATABASE_Table[[#This Row],[Vista membership]]</f>
        <v>590000</v>
      </c>
      <c r="AB799" s="74">
        <v>45382</v>
      </c>
      <c r="AC799" s="74" t="str">
        <f t="shared" si="12"/>
        <v>Q1 2024</v>
      </c>
      <c r="AD799" s="121">
        <v>45960</v>
      </c>
      <c r="AE799" s="69"/>
      <c r="AF799" s="21" t="s">
        <v>10</v>
      </c>
      <c r="AG799" s="21" t="s">
        <v>11</v>
      </c>
      <c r="AH799" s="122" t="s">
        <v>28</v>
      </c>
      <c r="AI799" s="122" t="s">
        <v>29</v>
      </c>
      <c r="AJ799" s="122" t="s">
        <v>799</v>
      </c>
      <c r="AK799" s="122" t="s">
        <v>800</v>
      </c>
      <c r="AL799" s="21" t="s">
        <v>30</v>
      </c>
      <c r="AM799" s="122" t="s">
        <v>27</v>
      </c>
    </row>
    <row r="800" spans="1:39" customFormat="1" ht="15.75" customHeight="1" x14ac:dyDescent="0.3">
      <c r="A800" t="s">
        <v>27</v>
      </c>
      <c r="B800" s="21" t="s">
        <v>563</v>
      </c>
      <c r="C800" s="21" t="s">
        <v>688</v>
      </c>
      <c r="D800" s="117" t="s">
        <v>405</v>
      </c>
      <c r="E800" s="21" t="s">
        <v>9</v>
      </c>
      <c r="F800" s="21" t="s">
        <v>320</v>
      </c>
      <c r="G800" s="21">
        <v>130.91999999999999</v>
      </c>
      <c r="H800" s="21"/>
      <c r="I800" s="117" t="s">
        <v>325</v>
      </c>
      <c r="J800" s="117" t="s">
        <v>325</v>
      </c>
      <c r="K800" s="118"/>
      <c r="L800" s="21"/>
      <c r="M800" s="21"/>
      <c r="N800" s="21"/>
      <c r="O800" s="21"/>
      <c r="P800" s="21">
        <v>130.91999999999999</v>
      </c>
      <c r="Q800" s="21"/>
      <c r="R800" s="21" t="s">
        <v>625</v>
      </c>
      <c r="S800" s="119">
        <f>DATABASE_Table[[#This Row],[Inicial Asking Price (€) (Total)]]-DATABASE_Table[[#This Row],[Vista membership]]-DATABASE_Table[[#This Row],[FF&amp;E]]</f>
        <v>660000</v>
      </c>
      <c r="T800" s="125">
        <v>660000</v>
      </c>
      <c r="U800" s="124">
        <v>690000</v>
      </c>
      <c r="V800" s="21"/>
      <c r="W800" s="21"/>
      <c r="X800" s="73">
        <f>DATABASE_Table[[#This Row],[Current Asking price( Total)]]-DATABASE_Table[[#This Row],[Vista membership]]-DATABASE_Table[[#This Row],[FF&amp;E]]</f>
        <v>690000</v>
      </c>
      <c r="Y800" s="126">
        <v>0</v>
      </c>
      <c r="Z800" s="124">
        <v>690000</v>
      </c>
      <c r="AA800" s="73">
        <f>DATABASE_Table[[#This Row],[Sell price (Total)]]-DATABASE_Table[[#This Row],[FF&amp;E]]-DATABASE_Table[[#This Row],[Vista membership]]</f>
        <v>690000</v>
      </c>
      <c r="AB800" s="74">
        <v>45382</v>
      </c>
      <c r="AC800" s="74" t="str">
        <f t="shared" si="12"/>
        <v>Q1 2024</v>
      </c>
      <c r="AD800" s="121">
        <v>46171</v>
      </c>
      <c r="AE800" s="69"/>
      <c r="AF800" s="21" t="s">
        <v>10</v>
      </c>
      <c r="AG800" s="21" t="s">
        <v>11</v>
      </c>
      <c r="AH800" s="122" t="s">
        <v>28</v>
      </c>
      <c r="AI800" s="122" t="s">
        <v>29</v>
      </c>
      <c r="AJ800" s="122" t="s">
        <v>799</v>
      </c>
      <c r="AK800" s="122" t="s">
        <v>800</v>
      </c>
      <c r="AL800" s="21" t="s">
        <v>30</v>
      </c>
      <c r="AM800" s="122" t="s">
        <v>27</v>
      </c>
    </row>
    <row r="801" spans="1:39" customFormat="1" ht="15.75" customHeight="1" x14ac:dyDescent="0.3">
      <c r="A801" t="s">
        <v>27</v>
      </c>
      <c r="B801" s="21" t="s">
        <v>563</v>
      </c>
      <c r="C801" s="21" t="s">
        <v>688</v>
      </c>
      <c r="D801" s="117" t="s">
        <v>406</v>
      </c>
      <c r="E801" s="21" t="s">
        <v>9</v>
      </c>
      <c r="F801" s="21" t="s">
        <v>320</v>
      </c>
      <c r="G801" s="21">
        <v>130.91999999999999</v>
      </c>
      <c r="H801" s="21"/>
      <c r="I801" s="117" t="s">
        <v>325</v>
      </c>
      <c r="J801" s="117" t="s">
        <v>325</v>
      </c>
      <c r="K801" s="118"/>
      <c r="L801" s="21"/>
      <c r="M801" s="21"/>
      <c r="N801" s="21"/>
      <c r="O801" s="21"/>
      <c r="P801" s="21">
        <v>130.91999999999999</v>
      </c>
      <c r="Q801" s="21"/>
      <c r="R801" s="21" t="s">
        <v>625</v>
      </c>
      <c r="S801" s="119">
        <f>DATABASE_Table[[#This Row],[Inicial Asking Price (€) (Total)]]-DATABASE_Table[[#This Row],[Vista membership]]-DATABASE_Table[[#This Row],[FF&amp;E]]</f>
        <v>660000</v>
      </c>
      <c r="T801" s="125">
        <v>660000</v>
      </c>
      <c r="U801" s="124">
        <v>690000</v>
      </c>
      <c r="V801" s="21"/>
      <c r="W801" s="21"/>
      <c r="X801" s="73">
        <f>DATABASE_Table[[#This Row],[Current Asking price( Total)]]-DATABASE_Table[[#This Row],[Vista membership]]-DATABASE_Table[[#This Row],[FF&amp;E]]</f>
        <v>690000</v>
      </c>
      <c r="Y801" s="126">
        <v>0</v>
      </c>
      <c r="Z801" s="124">
        <v>690000</v>
      </c>
      <c r="AA801" s="73">
        <f>DATABASE_Table[[#This Row],[Sell price (Total)]]-DATABASE_Table[[#This Row],[FF&amp;E]]-DATABASE_Table[[#This Row],[Vista membership]]</f>
        <v>690000</v>
      </c>
      <c r="AB801" s="74">
        <v>45382</v>
      </c>
      <c r="AC801" s="74" t="str">
        <f t="shared" si="12"/>
        <v>Q1 2024</v>
      </c>
      <c r="AD801" s="121">
        <v>46120</v>
      </c>
      <c r="AE801" s="69"/>
      <c r="AF801" s="21" t="s">
        <v>10</v>
      </c>
      <c r="AG801" s="21" t="s">
        <v>11</v>
      </c>
      <c r="AH801" s="122" t="s">
        <v>28</v>
      </c>
      <c r="AI801" s="122" t="s">
        <v>29</v>
      </c>
      <c r="AJ801" s="122" t="s">
        <v>799</v>
      </c>
      <c r="AK801" s="122" t="s">
        <v>800</v>
      </c>
      <c r="AL801" s="21" t="s">
        <v>30</v>
      </c>
      <c r="AM801" s="122" t="s">
        <v>27</v>
      </c>
    </row>
    <row r="802" spans="1:39" customFormat="1" ht="15.75" customHeight="1" x14ac:dyDescent="0.3">
      <c r="A802" t="s">
        <v>27</v>
      </c>
      <c r="B802" s="21" t="s">
        <v>563</v>
      </c>
      <c r="C802" s="21" t="s">
        <v>688</v>
      </c>
      <c r="D802" s="117" t="s">
        <v>408</v>
      </c>
      <c r="E802" s="21" t="s">
        <v>9</v>
      </c>
      <c r="F802" s="21" t="s">
        <v>320</v>
      </c>
      <c r="G802" s="21">
        <v>130.91999999999999</v>
      </c>
      <c r="H802" s="21"/>
      <c r="I802" s="117" t="s">
        <v>325</v>
      </c>
      <c r="J802" s="117" t="s">
        <v>325</v>
      </c>
      <c r="K802" s="118"/>
      <c r="L802" s="21"/>
      <c r="M802" s="21"/>
      <c r="N802" s="21"/>
      <c r="O802" s="21"/>
      <c r="P802" s="21">
        <v>130.91999999999999</v>
      </c>
      <c r="Q802" s="21"/>
      <c r="R802" s="21" t="s">
        <v>625</v>
      </c>
      <c r="S802" s="119">
        <f>DATABASE_Table[[#This Row],[Inicial Asking Price (€) (Total)]]-DATABASE_Table[[#This Row],[Vista membership]]-DATABASE_Table[[#This Row],[FF&amp;E]]</f>
        <v>630000</v>
      </c>
      <c r="T802" s="125">
        <v>630000</v>
      </c>
      <c r="U802" s="124">
        <v>650000</v>
      </c>
      <c r="V802" s="21"/>
      <c r="W802" s="21"/>
      <c r="X802" s="73">
        <f>DATABASE_Table[[#This Row],[Current Asking price( Total)]]-DATABASE_Table[[#This Row],[Vista membership]]-DATABASE_Table[[#This Row],[FF&amp;E]]</f>
        <v>650000</v>
      </c>
      <c r="Y802" s="126">
        <v>0</v>
      </c>
      <c r="Z802" s="124">
        <v>650000</v>
      </c>
      <c r="AA802" s="73">
        <f>DATABASE_Table[[#This Row],[Sell price (Total)]]-DATABASE_Table[[#This Row],[FF&amp;E]]-DATABASE_Table[[#This Row],[Vista membership]]</f>
        <v>650000</v>
      </c>
      <c r="AB802" s="74">
        <v>45382</v>
      </c>
      <c r="AC802" s="74" t="str">
        <f t="shared" si="12"/>
        <v>Q1 2024</v>
      </c>
      <c r="AD802" s="121">
        <v>46156</v>
      </c>
      <c r="AE802" s="69"/>
      <c r="AF802" s="21" t="s">
        <v>10</v>
      </c>
      <c r="AG802" s="21" t="s">
        <v>11</v>
      </c>
      <c r="AH802" s="122" t="s">
        <v>28</v>
      </c>
      <c r="AI802" s="122" t="s">
        <v>29</v>
      </c>
      <c r="AJ802" s="122" t="s">
        <v>799</v>
      </c>
      <c r="AK802" s="122" t="s">
        <v>800</v>
      </c>
      <c r="AL802" s="21" t="s">
        <v>30</v>
      </c>
      <c r="AM802" s="122" t="s">
        <v>27</v>
      </c>
    </row>
    <row r="803" spans="1:39" customFormat="1" ht="15.75" customHeight="1" x14ac:dyDescent="0.3">
      <c r="A803" t="s">
        <v>27</v>
      </c>
      <c r="B803" s="21" t="s">
        <v>563</v>
      </c>
      <c r="C803" s="21" t="s">
        <v>688</v>
      </c>
      <c r="D803" s="117" t="s">
        <v>411</v>
      </c>
      <c r="E803" s="21" t="s">
        <v>9</v>
      </c>
      <c r="F803" s="21" t="s">
        <v>319</v>
      </c>
      <c r="G803" s="21">
        <v>78.3</v>
      </c>
      <c r="H803" s="21"/>
      <c r="I803" s="117" t="s">
        <v>325</v>
      </c>
      <c r="J803" s="117" t="s">
        <v>325</v>
      </c>
      <c r="K803" s="118"/>
      <c r="L803" s="21"/>
      <c r="M803" s="21"/>
      <c r="N803" s="21"/>
      <c r="O803" s="21"/>
      <c r="P803" s="21">
        <v>78.3</v>
      </c>
      <c r="Q803" s="21"/>
      <c r="R803" s="21" t="s">
        <v>625</v>
      </c>
      <c r="S803" s="119">
        <f>DATABASE_Table[[#This Row],[Inicial Asking Price (€) (Total)]]-DATABASE_Table[[#This Row],[Vista membership]]-DATABASE_Table[[#This Row],[FF&amp;E]]</f>
        <v>435000</v>
      </c>
      <c r="T803" s="125">
        <v>435000</v>
      </c>
      <c r="U803" s="124">
        <v>435000</v>
      </c>
      <c r="V803" s="21"/>
      <c r="W803" s="21"/>
      <c r="X803" s="73">
        <f>DATABASE_Table[[#This Row],[Current Asking price( Total)]]-DATABASE_Table[[#This Row],[Vista membership]]-DATABASE_Table[[#This Row],[FF&amp;E]]</f>
        <v>435000</v>
      </c>
      <c r="Y803" s="126">
        <v>0</v>
      </c>
      <c r="Z803" s="124">
        <v>435000</v>
      </c>
      <c r="AA803" s="73">
        <f>DATABASE_Table[[#This Row],[Sell price (Total)]]-DATABASE_Table[[#This Row],[FF&amp;E]]-DATABASE_Table[[#This Row],[Vista membership]]</f>
        <v>435000</v>
      </c>
      <c r="AB803" s="74">
        <v>45382</v>
      </c>
      <c r="AC803" s="74" t="str">
        <f t="shared" si="12"/>
        <v>Q1 2024</v>
      </c>
      <c r="AD803" s="121">
        <v>45862</v>
      </c>
      <c r="AE803" s="69"/>
      <c r="AF803" s="21" t="s">
        <v>10</v>
      </c>
      <c r="AG803" s="21" t="s">
        <v>11</v>
      </c>
      <c r="AH803" s="122" t="s">
        <v>28</v>
      </c>
      <c r="AI803" s="122" t="s">
        <v>29</v>
      </c>
      <c r="AJ803" s="122" t="s">
        <v>799</v>
      </c>
      <c r="AK803" s="122" t="s">
        <v>800</v>
      </c>
      <c r="AL803" s="21" t="s">
        <v>30</v>
      </c>
      <c r="AM803" s="122" t="s">
        <v>27</v>
      </c>
    </row>
    <row r="804" spans="1:39" customFormat="1" ht="15.75" customHeight="1" x14ac:dyDescent="0.3">
      <c r="A804" t="s">
        <v>27</v>
      </c>
      <c r="B804" s="21" t="s">
        <v>563</v>
      </c>
      <c r="C804" s="21" t="s">
        <v>688</v>
      </c>
      <c r="D804" s="117" t="s">
        <v>412</v>
      </c>
      <c r="E804" s="21" t="s">
        <v>9</v>
      </c>
      <c r="F804" s="21" t="s">
        <v>319</v>
      </c>
      <c r="G804" s="21">
        <v>78.3</v>
      </c>
      <c r="H804" s="21"/>
      <c r="I804" s="117" t="s">
        <v>325</v>
      </c>
      <c r="J804" s="117" t="s">
        <v>325</v>
      </c>
      <c r="K804" s="118"/>
      <c r="L804" s="21"/>
      <c r="M804" s="21"/>
      <c r="N804" s="21"/>
      <c r="O804" s="21"/>
      <c r="P804" s="21">
        <v>78.3</v>
      </c>
      <c r="Q804" s="21"/>
      <c r="R804" s="21" t="s">
        <v>625</v>
      </c>
      <c r="S804" s="119">
        <f>DATABASE_Table[[#This Row],[Inicial Asking Price (€) (Total)]]-DATABASE_Table[[#This Row],[Vista membership]]-DATABASE_Table[[#This Row],[FF&amp;E]]</f>
        <v>435000</v>
      </c>
      <c r="T804" s="125">
        <v>435000</v>
      </c>
      <c r="U804" s="124">
        <v>413250</v>
      </c>
      <c r="V804" s="21"/>
      <c r="W804" s="21"/>
      <c r="X804" s="73">
        <f>DATABASE_Table[[#This Row],[Current Asking price( Total)]]-DATABASE_Table[[#This Row],[Vista membership]]-DATABASE_Table[[#This Row],[FF&amp;E]]</f>
        <v>413250</v>
      </c>
      <c r="Y804" s="126">
        <v>0</v>
      </c>
      <c r="Z804" s="124">
        <v>413250</v>
      </c>
      <c r="AA804" s="73">
        <f>DATABASE_Table[[#This Row],[Sell price (Total)]]-DATABASE_Table[[#This Row],[FF&amp;E]]-DATABASE_Table[[#This Row],[Vista membership]]</f>
        <v>413250</v>
      </c>
      <c r="AB804" s="74">
        <v>45382</v>
      </c>
      <c r="AC804" s="74" t="str">
        <f t="shared" si="12"/>
        <v>Q1 2024</v>
      </c>
      <c r="AD804" s="121">
        <v>45510</v>
      </c>
      <c r="AE804" s="69"/>
      <c r="AF804" s="21" t="s">
        <v>10</v>
      </c>
      <c r="AG804" s="21" t="s">
        <v>11</v>
      </c>
      <c r="AH804" s="122" t="s">
        <v>28</v>
      </c>
      <c r="AI804" s="122" t="s">
        <v>29</v>
      </c>
      <c r="AJ804" s="122" t="s">
        <v>799</v>
      </c>
      <c r="AK804" s="122" t="s">
        <v>800</v>
      </c>
      <c r="AL804" s="21" t="s">
        <v>30</v>
      </c>
      <c r="AM804" s="122" t="s">
        <v>27</v>
      </c>
    </row>
    <row r="805" spans="1:39" customFormat="1" ht="15.75" customHeight="1" x14ac:dyDescent="0.3">
      <c r="A805" t="s">
        <v>27</v>
      </c>
      <c r="B805" s="21" t="s">
        <v>563</v>
      </c>
      <c r="C805" s="21" t="s">
        <v>688</v>
      </c>
      <c r="D805" s="117" t="s">
        <v>413</v>
      </c>
      <c r="E805" s="21" t="s">
        <v>9</v>
      </c>
      <c r="F805" s="21" t="s">
        <v>319</v>
      </c>
      <c r="G805" s="21">
        <v>104.7</v>
      </c>
      <c r="H805" s="21"/>
      <c r="I805" s="117" t="s">
        <v>325</v>
      </c>
      <c r="J805" s="117" t="s">
        <v>325</v>
      </c>
      <c r="K805" s="118"/>
      <c r="L805" s="21"/>
      <c r="M805" s="21"/>
      <c r="N805" s="21"/>
      <c r="O805" s="21"/>
      <c r="P805" s="21">
        <v>104.7</v>
      </c>
      <c r="Q805" s="21"/>
      <c r="R805" s="21" t="s">
        <v>625</v>
      </c>
      <c r="S805" s="119">
        <f>DATABASE_Table[[#This Row],[Inicial Asking Price (€) (Total)]]-DATABASE_Table[[#This Row],[Vista membership]]-DATABASE_Table[[#This Row],[FF&amp;E]]</f>
        <v>530000</v>
      </c>
      <c r="T805" s="125">
        <v>530000</v>
      </c>
      <c r="U805" s="124">
        <v>530000</v>
      </c>
      <c r="V805" s="21"/>
      <c r="W805" s="21"/>
      <c r="X805" s="73">
        <f>DATABASE_Table[[#This Row],[Current Asking price( Total)]]-DATABASE_Table[[#This Row],[Vista membership]]-DATABASE_Table[[#This Row],[FF&amp;E]]</f>
        <v>530000</v>
      </c>
      <c r="Y805" s="126">
        <v>0</v>
      </c>
      <c r="Z805" s="124">
        <v>530000</v>
      </c>
      <c r="AA805" s="73">
        <f>DATABASE_Table[[#This Row],[Sell price (Total)]]-DATABASE_Table[[#This Row],[FF&amp;E]]-DATABASE_Table[[#This Row],[Vista membership]]</f>
        <v>530000</v>
      </c>
      <c r="AB805" s="74">
        <v>45382</v>
      </c>
      <c r="AC805" s="74" t="str">
        <f t="shared" si="12"/>
        <v>Q1 2024</v>
      </c>
      <c r="AD805" s="121">
        <v>45891</v>
      </c>
      <c r="AE805" s="69"/>
      <c r="AF805" s="21" t="s">
        <v>10</v>
      </c>
      <c r="AG805" s="21" t="s">
        <v>11</v>
      </c>
      <c r="AH805" s="122" t="s">
        <v>28</v>
      </c>
      <c r="AI805" s="122" t="s">
        <v>29</v>
      </c>
      <c r="AJ805" s="122" t="s">
        <v>799</v>
      </c>
      <c r="AK805" s="122" t="s">
        <v>800</v>
      </c>
      <c r="AL805" s="21" t="s">
        <v>30</v>
      </c>
      <c r="AM805" s="122" t="s">
        <v>27</v>
      </c>
    </row>
    <row r="806" spans="1:39" customFormat="1" ht="15.75" customHeight="1" x14ac:dyDescent="0.3">
      <c r="A806" t="s">
        <v>27</v>
      </c>
      <c r="B806" s="21" t="s">
        <v>563</v>
      </c>
      <c r="C806" s="21" t="s">
        <v>688</v>
      </c>
      <c r="D806" s="117" t="s">
        <v>414</v>
      </c>
      <c r="E806" s="21" t="s">
        <v>9</v>
      </c>
      <c r="F806" s="21" t="s">
        <v>319</v>
      </c>
      <c r="G806" s="21">
        <v>104.7</v>
      </c>
      <c r="H806" s="21"/>
      <c r="I806" s="117" t="s">
        <v>325</v>
      </c>
      <c r="J806" s="117" t="s">
        <v>325</v>
      </c>
      <c r="K806" s="118"/>
      <c r="L806" s="21"/>
      <c r="M806" s="21"/>
      <c r="N806" s="21"/>
      <c r="O806" s="21"/>
      <c r="P806" s="21">
        <v>104.7</v>
      </c>
      <c r="Q806" s="21"/>
      <c r="R806" s="21" t="s">
        <v>625</v>
      </c>
      <c r="S806" s="119">
        <f>DATABASE_Table[[#This Row],[Inicial Asking Price (€) (Total)]]-DATABASE_Table[[#This Row],[Vista membership]]-DATABASE_Table[[#This Row],[FF&amp;E]]</f>
        <v>530000</v>
      </c>
      <c r="T806" s="125">
        <v>530000</v>
      </c>
      <c r="U806" s="124">
        <v>530000</v>
      </c>
      <c r="V806" s="21"/>
      <c r="W806" s="21"/>
      <c r="X806" s="73">
        <f>DATABASE_Table[[#This Row],[Current Asking price( Total)]]-DATABASE_Table[[#This Row],[Vista membership]]-DATABASE_Table[[#This Row],[FF&amp;E]]</f>
        <v>530000</v>
      </c>
      <c r="Y806" s="126">
        <v>0</v>
      </c>
      <c r="Z806" s="124">
        <v>530000</v>
      </c>
      <c r="AA806" s="73">
        <f>DATABASE_Table[[#This Row],[Sell price (Total)]]-DATABASE_Table[[#This Row],[FF&amp;E]]-DATABASE_Table[[#This Row],[Vista membership]]</f>
        <v>530000</v>
      </c>
      <c r="AB806" s="74">
        <v>45382</v>
      </c>
      <c r="AC806" s="74" t="str">
        <f t="shared" si="12"/>
        <v>Q1 2024</v>
      </c>
      <c r="AD806" s="121">
        <v>45931</v>
      </c>
      <c r="AE806" s="69"/>
      <c r="AF806" s="21" t="s">
        <v>10</v>
      </c>
      <c r="AG806" s="21" t="s">
        <v>11</v>
      </c>
      <c r="AH806" s="122" t="s">
        <v>28</v>
      </c>
      <c r="AI806" s="122" t="s">
        <v>29</v>
      </c>
      <c r="AJ806" s="122" t="s">
        <v>799</v>
      </c>
      <c r="AK806" s="122" t="s">
        <v>800</v>
      </c>
      <c r="AL806" s="21" t="s">
        <v>30</v>
      </c>
      <c r="AM806" s="122" t="s">
        <v>27</v>
      </c>
    </row>
    <row r="807" spans="1:39" customFormat="1" ht="15.75" customHeight="1" x14ac:dyDescent="0.3">
      <c r="A807" t="s">
        <v>27</v>
      </c>
      <c r="B807" s="21" t="s">
        <v>563</v>
      </c>
      <c r="C807" s="21" t="s">
        <v>688</v>
      </c>
      <c r="D807" s="117" t="s">
        <v>422</v>
      </c>
      <c r="E807" s="21" t="s">
        <v>9</v>
      </c>
      <c r="F807" s="21" t="s">
        <v>320</v>
      </c>
      <c r="G807" s="21">
        <v>130.91999999999999</v>
      </c>
      <c r="H807" s="21"/>
      <c r="I807" s="117" t="s">
        <v>891</v>
      </c>
      <c r="J807" s="117" t="s">
        <v>325</v>
      </c>
      <c r="K807" s="118"/>
      <c r="L807" s="21"/>
      <c r="M807" s="21"/>
      <c r="N807" s="21"/>
      <c r="O807" s="21"/>
      <c r="P807" s="21">
        <v>130.91999999999999</v>
      </c>
      <c r="Q807" s="21"/>
      <c r="R807" s="21" t="s">
        <v>625</v>
      </c>
      <c r="S807" s="119">
        <f>DATABASE_Table[[#This Row],[Inicial Asking Price (€) (Total)]]-DATABASE_Table[[#This Row],[Vista membership]]-DATABASE_Table[[#This Row],[FF&amp;E]]</f>
        <v>660000</v>
      </c>
      <c r="T807" s="125">
        <v>660000</v>
      </c>
      <c r="U807" s="124">
        <v>670000</v>
      </c>
      <c r="V807" s="21"/>
      <c r="W807" s="21"/>
      <c r="X807" s="73">
        <f>DATABASE_Table[[#This Row],[Current Asking price( Total)]]-DATABASE_Table[[#This Row],[Vista membership]]-DATABASE_Table[[#This Row],[FF&amp;E]]</f>
        <v>670000</v>
      </c>
      <c r="Y807" s="126">
        <v>0</v>
      </c>
      <c r="Z807" s="124">
        <v>670000</v>
      </c>
      <c r="AA807" s="73">
        <f>DATABASE_Table[[#This Row],[Sell price (Total)]]-DATABASE_Table[[#This Row],[FF&amp;E]]-DATABASE_Table[[#This Row],[Vista membership]]</f>
        <v>670000</v>
      </c>
      <c r="AB807" s="74">
        <v>45382</v>
      </c>
      <c r="AC807" s="74" t="str">
        <f t="shared" si="12"/>
        <v>Q1 2024</v>
      </c>
      <c r="AD807" s="121">
        <v>46133</v>
      </c>
      <c r="AE807" s="69"/>
      <c r="AF807" s="21" t="s">
        <v>10</v>
      </c>
      <c r="AG807" s="21" t="s">
        <v>11</v>
      </c>
      <c r="AH807" s="122" t="s">
        <v>28</v>
      </c>
      <c r="AI807" s="122" t="s">
        <v>29</v>
      </c>
      <c r="AJ807" s="122" t="s">
        <v>799</v>
      </c>
      <c r="AK807" s="122" t="s">
        <v>800</v>
      </c>
      <c r="AL807" s="21" t="s">
        <v>30</v>
      </c>
      <c r="AM807" s="122" t="s">
        <v>27</v>
      </c>
    </row>
    <row r="808" spans="1:39" customFormat="1" ht="15.75" customHeight="1" x14ac:dyDescent="0.3">
      <c r="A808" t="s">
        <v>27</v>
      </c>
      <c r="B808" s="21" t="s">
        <v>563</v>
      </c>
      <c r="C808" s="21" t="s">
        <v>688</v>
      </c>
      <c r="D808" s="117" t="s">
        <v>425</v>
      </c>
      <c r="E808" s="21" t="s">
        <v>9</v>
      </c>
      <c r="F808" s="21" t="s">
        <v>319</v>
      </c>
      <c r="G808" s="21">
        <v>78.3</v>
      </c>
      <c r="H808" s="21"/>
      <c r="I808" s="117" t="s">
        <v>590</v>
      </c>
      <c r="J808" s="117" t="s">
        <v>325</v>
      </c>
      <c r="K808" s="118"/>
      <c r="L808" s="21"/>
      <c r="M808" s="21"/>
      <c r="N808" s="21"/>
      <c r="O808" s="21"/>
      <c r="P808" s="21">
        <v>78.3</v>
      </c>
      <c r="Q808" s="21"/>
      <c r="R808" s="21" t="s">
        <v>625</v>
      </c>
      <c r="S808" s="119">
        <f>DATABASE_Table[[#This Row],[Inicial Asking Price (€) (Total)]]-DATABASE_Table[[#This Row],[Vista membership]]-DATABASE_Table[[#This Row],[FF&amp;E]]</f>
        <v>455000</v>
      </c>
      <c r="T808" s="125">
        <v>455000</v>
      </c>
      <c r="U808" s="124">
        <v>455000</v>
      </c>
      <c r="V808" s="21"/>
      <c r="W808" s="21"/>
      <c r="X808" s="73">
        <f>DATABASE_Table[[#This Row],[Current Asking price( Total)]]-DATABASE_Table[[#This Row],[Vista membership]]-DATABASE_Table[[#This Row],[FF&amp;E]]</f>
        <v>455000</v>
      </c>
      <c r="Y808" s="126">
        <v>0</v>
      </c>
      <c r="Z808" s="124">
        <v>455000</v>
      </c>
      <c r="AA808" s="73">
        <f>DATABASE_Table[[#This Row],[Sell price (Total)]]-DATABASE_Table[[#This Row],[FF&amp;E]]-DATABASE_Table[[#This Row],[Vista membership]]</f>
        <v>455000</v>
      </c>
      <c r="AB808" s="74">
        <v>45382</v>
      </c>
      <c r="AC808" s="74" t="str">
        <f t="shared" si="12"/>
        <v>Q1 2024</v>
      </c>
      <c r="AD808" s="121">
        <v>45834</v>
      </c>
      <c r="AE808" s="69"/>
      <c r="AF808" s="21" t="s">
        <v>10</v>
      </c>
      <c r="AG808" s="21" t="s">
        <v>11</v>
      </c>
      <c r="AH808" s="122" t="s">
        <v>28</v>
      </c>
      <c r="AI808" s="122" t="s">
        <v>29</v>
      </c>
      <c r="AJ808" s="122" t="s">
        <v>799</v>
      </c>
      <c r="AK808" s="122" t="s">
        <v>800</v>
      </c>
      <c r="AL808" s="21" t="s">
        <v>30</v>
      </c>
      <c r="AM808" s="122" t="s">
        <v>27</v>
      </c>
    </row>
    <row r="809" spans="1:39" customFormat="1" ht="15.75" customHeight="1" x14ac:dyDescent="0.3">
      <c r="A809" t="s">
        <v>27</v>
      </c>
      <c r="B809" s="21" t="s">
        <v>563</v>
      </c>
      <c r="C809" s="21" t="s">
        <v>688</v>
      </c>
      <c r="D809" s="117" t="s">
        <v>427</v>
      </c>
      <c r="E809" s="21" t="s">
        <v>9</v>
      </c>
      <c r="F809" s="21" t="s">
        <v>319</v>
      </c>
      <c r="G809" s="21">
        <v>78.3</v>
      </c>
      <c r="H809" s="21"/>
      <c r="I809" s="117" t="s">
        <v>893</v>
      </c>
      <c r="J809" s="117" t="s">
        <v>325</v>
      </c>
      <c r="K809" s="118"/>
      <c r="L809" s="21"/>
      <c r="M809" s="21"/>
      <c r="N809" s="21"/>
      <c r="O809" s="21"/>
      <c r="P809" s="21">
        <v>78.3</v>
      </c>
      <c r="Q809" s="21"/>
      <c r="R809" s="21" t="s">
        <v>625</v>
      </c>
      <c r="S809" s="119">
        <f>DATABASE_Table[[#This Row],[Inicial Asking Price (€) (Total)]]-DATABASE_Table[[#This Row],[Vista membership]]-DATABASE_Table[[#This Row],[FF&amp;E]]</f>
        <v>455000</v>
      </c>
      <c r="T809" s="125">
        <v>455000</v>
      </c>
      <c r="U809" s="124">
        <v>455000</v>
      </c>
      <c r="V809" s="21"/>
      <c r="W809" s="21"/>
      <c r="X809" s="73">
        <f>DATABASE_Table[[#This Row],[Current Asking price( Total)]]-DATABASE_Table[[#This Row],[Vista membership]]-DATABASE_Table[[#This Row],[FF&amp;E]]</f>
        <v>455000</v>
      </c>
      <c r="Y809" s="126">
        <v>0</v>
      </c>
      <c r="Z809" s="124">
        <v>455000</v>
      </c>
      <c r="AA809" s="73">
        <f>DATABASE_Table[[#This Row],[Sell price (Total)]]-DATABASE_Table[[#This Row],[FF&amp;E]]-DATABASE_Table[[#This Row],[Vista membership]]</f>
        <v>455000</v>
      </c>
      <c r="AB809" s="74">
        <v>45382</v>
      </c>
      <c r="AC809" s="74" t="str">
        <f t="shared" si="12"/>
        <v>Q1 2024</v>
      </c>
      <c r="AD809" s="121">
        <v>45898</v>
      </c>
      <c r="AE809" s="69"/>
      <c r="AF809" s="21" t="s">
        <v>10</v>
      </c>
      <c r="AG809" s="21" t="s">
        <v>11</v>
      </c>
      <c r="AH809" s="122" t="s">
        <v>28</v>
      </c>
      <c r="AI809" s="122" t="s">
        <v>29</v>
      </c>
      <c r="AJ809" s="122" t="s">
        <v>799</v>
      </c>
      <c r="AK809" s="122" t="s">
        <v>800</v>
      </c>
      <c r="AL809" s="21" t="s">
        <v>30</v>
      </c>
      <c r="AM809" s="122" t="s">
        <v>27</v>
      </c>
    </row>
    <row r="810" spans="1:39" customFormat="1" ht="15.75" customHeight="1" x14ac:dyDescent="0.3">
      <c r="A810" t="s">
        <v>27</v>
      </c>
      <c r="B810" s="21" t="s">
        <v>563</v>
      </c>
      <c r="C810" s="21" t="s">
        <v>688</v>
      </c>
      <c r="D810" s="117" t="s">
        <v>428</v>
      </c>
      <c r="E810" s="21" t="s">
        <v>9</v>
      </c>
      <c r="F810" s="21" t="s">
        <v>319</v>
      </c>
      <c r="G810" s="21">
        <v>78.3</v>
      </c>
      <c r="H810" s="21"/>
      <c r="I810" s="117" t="s">
        <v>592</v>
      </c>
      <c r="J810" s="117" t="s">
        <v>325</v>
      </c>
      <c r="K810" s="118"/>
      <c r="L810" s="21"/>
      <c r="M810" s="21"/>
      <c r="N810" s="21"/>
      <c r="O810" s="21"/>
      <c r="P810" s="21">
        <v>78.3</v>
      </c>
      <c r="Q810" s="21"/>
      <c r="R810" s="21" t="s">
        <v>625</v>
      </c>
      <c r="S810" s="119">
        <f>DATABASE_Table[[#This Row],[Inicial Asking Price (€) (Total)]]-DATABASE_Table[[#This Row],[Vista membership]]-DATABASE_Table[[#This Row],[FF&amp;E]]</f>
        <v>455000</v>
      </c>
      <c r="T810" s="125">
        <v>455000</v>
      </c>
      <c r="U810" s="124">
        <v>455000</v>
      </c>
      <c r="V810" s="21"/>
      <c r="W810" s="21"/>
      <c r="X810" s="73">
        <f>DATABASE_Table[[#This Row],[Current Asking price( Total)]]-DATABASE_Table[[#This Row],[Vista membership]]-DATABASE_Table[[#This Row],[FF&amp;E]]</f>
        <v>455000</v>
      </c>
      <c r="Y810" s="126">
        <v>0</v>
      </c>
      <c r="Z810" s="124">
        <v>455000</v>
      </c>
      <c r="AA810" s="73">
        <f>DATABASE_Table[[#This Row],[Sell price (Total)]]-DATABASE_Table[[#This Row],[FF&amp;E]]-DATABASE_Table[[#This Row],[Vista membership]]</f>
        <v>455000</v>
      </c>
      <c r="AB810" s="74">
        <v>45382</v>
      </c>
      <c r="AC810" s="74" t="str">
        <f t="shared" si="12"/>
        <v>Q1 2024</v>
      </c>
      <c r="AD810" s="121">
        <v>45869</v>
      </c>
      <c r="AE810" s="69"/>
      <c r="AF810" s="21" t="s">
        <v>10</v>
      </c>
      <c r="AG810" s="21" t="s">
        <v>11</v>
      </c>
      <c r="AH810" s="122" t="s">
        <v>28</v>
      </c>
      <c r="AI810" s="122" t="s">
        <v>29</v>
      </c>
      <c r="AJ810" s="122" t="s">
        <v>799</v>
      </c>
      <c r="AK810" s="122" t="s">
        <v>800</v>
      </c>
      <c r="AL810" s="21" t="s">
        <v>30</v>
      </c>
      <c r="AM810" s="122" t="s">
        <v>27</v>
      </c>
    </row>
    <row r="811" spans="1:39" customFormat="1" ht="15.75" customHeight="1" x14ac:dyDescent="0.3">
      <c r="A811" t="s">
        <v>27</v>
      </c>
      <c r="B811" s="21" t="s">
        <v>563</v>
      </c>
      <c r="C811" s="21" t="s">
        <v>688</v>
      </c>
      <c r="D811" s="117" t="s">
        <v>429</v>
      </c>
      <c r="E811" s="21" t="s">
        <v>9</v>
      </c>
      <c r="F811" s="21" t="s">
        <v>319</v>
      </c>
      <c r="G811" s="21">
        <v>78.3</v>
      </c>
      <c r="H811" s="21"/>
      <c r="I811" s="117" t="s">
        <v>593</v>
      </c>
      <c r="J811" s="117" t="s">
        <v>325</v>
      </c>
      <c r="K811" s="118"/>
      <c r="L811" s="21"/>
      <c r="M811" s="21"/>
      <c r="N811" s="21"/>
      <c r="O811" s="21"/>
      <c r="P811" s="21">
        <v>78.3</v>
      </c>
      <c r="Q811" s="21"/>
      <c r="R811" s="21" t="s">
        <v>625</v>
      </c>
      <c r="S811" s="119">
        <f>DATABASE_Table[[#This Row],[Inicial Asking Price (€) (Total)]]-DATABASE_Table[[#This Row],[Vista membership]]-DATABASE_Table[[#This Row],[FF&amp;E]]</f>
        <v>455000</v>
      </c>
      <c r="T811" s="125">
        <v>455000</v>
      </c>
      <c r="U811" s="124">
        <v>455000</v>
      </c>
      <c r="V811" s="21"/>
      <c r="W811" s="21"/>
      <c r="X811" s="73">
        <f>DATABASE_Table[[#This Row],[Current Asking price( Total)]]-DATABASE_Table[[#This Row],[Vista membership]]-DATABASE_Table[[#This Row],[FF&amp;E]]</f>
        <v>455000</v>
      </c>
      <c r="Y811" s="126">
        <v>0</v>
      </c>
      <c r="Z811" s="124">
        <v>455000</v>
      </c>
      <c r="AA811" s="73">
        <f>DATABASE_Table[[#This Row],[Sell price (Total)]]-DATABASE_Table[[#This Row],[FF&amp;E]]-DATABASE_Table[[#This Row],[Vista membership]]</f>
        <v>455000</v>
      </c>
      <c r="AB811" s="74">
        <v>45382</v>
      </c>
      <c r="AC811" s="74" t="str">
        <f t="shared" si="12"/>
        <v>Q1 2024</v>
      </c>
      <c r="AD811" s="121">
        <v>45891</v>
      </c>
      <c r="AE811" s="69"/>
      <c r="AF811" s="21" t="s">
        <v>10</v>
      </c>
      <c r="AG811" s="21" t="s">
        <v>11</v>
      </c>
      <c r="AH811" s="122" t="s">
        <v>28</v>
      </c>
      <c r="AI811" s="122" t="s">
        <v>29</v>
      </c>
      <c r="AJ811" s="122" t="s">
        <v>799</v>
      </c>
      <c r="AK811" s="122" t="s">
        <v>800</v>
      </c>
      <c r="AL811" s="21" t="s">
        <v>30</v>
      </c>
      <c r="AM811" s="122" t="s">
        <v>27</v>
      </c>
    </row>
    <row r="812" spans="1:39" customFormat="1" ht="15.75" customHeight="1" x14ac:dyDescent="0.3">
      <c r="A812" t="s">
        <v>27</v>
      </c>
      <c r="B812" s="21" t="s">
        <v>563</v>
      </c>
      <c r="C812" s="21" t="s">
        <v>688</v>
      </c>
      <c r="D812" s="117" t="s">
        <v>430</v>
      </c>
      <c r="E812" s="21" t="s">
        <v>9</v>
      </c>
      <c r="F812" s="21" t="s">
        <v>319</v>
      </c>
      <c r="G812" s="21">
        <v>104.7</v>
      </c>
      <c r="H812" s="21"/>
      <c r="I812" s="117" t="s">
        <v>894</v>
      </c>
      <c r="J812" s="117" t="s">
        <v>325</v>
      </c>
      <c r="K812" s="118"/>
      <c r="L812" s="21"/>
      <c r="M812" s="21"/>
      <c r="N812" s="21"/>
      <c r="O812" s="21"/>
      <c r="P812" s="21">
        <v>104.7</v>
      </c>
      <c r="Q812" s="21"/>
      <c r="R812" s="21" t="s">
        <v>625</v>
      </c>
      <c r="S812" s="119">
        <f>DATABASE_Table[[#This Row],[Inicial Asking Price (€) (Total)]]-DATABASE_Table[[#This Row],[Vista membership]]-DATABASE_Table[[#This Row],[FF&amp;E]]</f>
        <v>600000</v>
      </c>
      <c r="T812" s="125">
        <v>600000</v>
      </c>
      <c r="U812" s="124">
        <v>570000</v>
      </c>
      <c r="V812" s="21"/>
      <c r="W812" s="21"/>
      <c r="X812" s="73">
        <f>DATABASE_Table[[#This Row],[Current Asking price( Total)]]-DATABASE_Table[[#This Row],[Vista membership]]-DATABASE_Table[[#This Row],[FF&amp;E]]</f>
        <v>570000</v>
      </c>
      <c r="Y812" s="126">
        <v>0</v>
      </c>
      <c r="Z812" s="124">
        <v>570000</v>
      </c>
      <c r="AA812" s="73">
        <f>DATABASE_Table[[#This Row],[Sell price (Total)]]-DATABASE_Table[[#This Row],[FF&amp;E]]-DATABASE_Table[[#This Row],[Vista membership]]</f>
        <v>570000</v>
      </c>
      <c r="AB812" s="74">
        <v>45382</v>
      </c>
      <c r="AC812" s="74" t="str">
        <f t="shared" si="12"/>
        <v>Q1 2024</v>
      </c>
      <c r="AD812" s="121">
        <v>45574</v>
      </c>
      <c r="AE812" s="69"/>
      <c r="AF812" s="21" t="s">
        <v>10</v>
      </c>
      <c r="AG812" s="21" t="s">
        <v>11</v>
      </c>
      <c r="AH812" s="122" t="s">
        <v>28</v>
      </c>
      <c r="AI812" s="122" t="s">
        <v>29</v>
      </c>
      <c r="AJ812" s="122" t="s">
        <v>799</v>
      </c>
      <c r="AK812" s="122" t="s">
        <v>800</v>
      </c>
      <c r="AL812" s="21" t="s">
        <v>30</v>
      </c>
      <c r="AM812" s="122" t="s">
        <v>27</v>
      </c>
    </row>
    <row r="813" spans="1:39" customFormat="1" ht="15.75" customHeight="1" x14ac:dyDescent="0.3">
      <c r="A813" t="s">
        <v>27</v>
      </c>
      <c r="B813" s="21" t="s">
        <v>563</v>
      </c>
      <c r="C813" s="21" t="s">
        <v>688</v>
      </c>
      <c r="D813" s="117" t="s">
        <v>431</v>
      </c>
      <c r="E813" s="21" t="s">
        <v>9</v>
      </c>
      <c r="F813" s="21" t="s">
        <v>320</v>
      </c>
      <c r="G813" s="21">
        <v>130.91999999999999</v>
      </c>
      <c r="H813" s="21"/>
      <c r="I813" s="117" t="s">
        <v>594</v>
      </c>
      <c r="J813" s="117" t="s">
        <v>325</v>
      </c>
      <c r="K813" s="118"/>
      <c r="L813" s="21"/>
      <c r="M813" s="21"/>
      <c r="N813" s="21"/>
      <c r="O813" s="21"/>
      <c r="P813" s="21">
        <v>130.91999999999999</v>
      </c>
      <c r="Q813" s="21"/>
      <c r="R813" s="21" t="s">
        <v>625</v>
      </c>
      <c r="S813" s="119">
        <f>DATABASE_Table[[#This Row],[Inicial Asking Price (€) (Total)]]-DATABASE_Table[[#This Row],[Vista membership]]-DATABASE_Table[[#This Row],[FF&amp;E]]</f>
        <v>740000</v>
      </c>
      <c r="T813" s="125">
        <v>740000</v>
      </c>
      <c r="U813" s="124">
        <v>703000</v>
      </c>
      <c r="V813" s="21"/>
      <c r="W813" s="21"/>
      <c r="X813" s="73">
        <f>DATABASE_Table[[#This Row],[Current Asking price( Total)]]-DATABASE_Table[[#This Row],[Vista membership]]-DATABASE_Table[[#This Row],[FF&amp;E]]</f>
        <v>703000</v>
      </c>
      <c r="Y813" s="126">
        <v>0</v>
      </c>
      <c r="Z813" s="124">
        <v>703000</v>
      </c>
      <c r="AA813" s="73">
        <f>DATABASE_Table[[#This Row],[Sell price (Total)]]-DATABASE_Table[[#This Row],[FF&amp;E]]-DATABASE_Table[[#This Row],[Vista membership]]</f>
        <v>703000</v>
      </c>
      <c r="AB813" s="74">
        <v>45382</v>
      </c>
      <c r="AC813" s="74" t="str">
        <f t="shared" si="12"/>
        <v>Q1 2024</v>
      </c>
      <c r="AD813" s="121">
        <v>45574</v>
      </c>
      <c r="AE813" s="69"/>
      <c r="AF813" s="21" t="s">
        <v>10</v>
      </c>
      <c r="AG813" s="21" t="s">
        <v>11</v>
      </c>
      <c r="AH813" s="122" t="s">
        <v>28</v>
      </c>
      <c r="AI813" s="122" t="s">
        <v>29</v>
      </c>
      <c r="AJ813" s="122" t="s">
        <v>799</v>
      </c>
      <c r="AK813" s="122" t="s">
        <v>800</v>
      </c>
      <c r="AL813" s="21" t="s">
        <v>30</v>
      </c>
      <c r="AM813" s="122" t="s">
        <v>27</v>
      </c>
    </row>
    <row r="814" spans="1:39" customFormat="1" ht="15.75" customHeight="1" x14ac:dyDescent="0.3">
      <c r="A814" t="s">
        <v>27</v>
      </c>
      <c r="B814" s="21" t="s">
        <v>563</v>
      </c>
      <c r="C814" s="21" t="s">
        <v>688</v>
      </c>
      <c r="D814" s="117" t="s">
        <v>432</v>
      </c>
      <c r="E814" s="21" t="s">
        <v>9</v>
      </c>
      <c r="F814" s="21" t="s">
        <v>320</v>
      </c>
      <c r="G814" s="21">
        <v>130.91999999999999</v>
      </c>
      <c r="H814" s="21"/>
      <c r="I814" s="117" t="s">
        <v>595</v>
      </c>
      <c r="J814" s="117" t="s">
        <v>325</v>
      </c>
      <c r="K814" s="118"/>
      <c r="L814" s="21"/>
      <c r="M814" s="21"/>
      <c r="N814" s="21"/>
      <c r="O814" s="21"/>
      <c r="P814" s="21">
        <v>130.91999999999999</v>
      </c>
      <c r="Q814" s="21"/>
      <c r="R814" s="21" t="s">
        <v>625</v>
      </c>
      <c r="S814" s="119">
        <f>DATABASE_Table[[#This Row],[Inicial Asking Price (€) (Total)]]-DATABASE_Table[[#This Row],[Vista membership]]-DATABASE_Table[[#This Row],[FF&amp;E]]</f>
        <v>740000</v>
      </c>
      <c r="T814" s="125">
        <v>740000</v>
      </c>
      <c r="U814" s="124">
        <v>740000</v>
      </c>
      <c r="V814" s="21"/>
      <c r="W814" s="21"/>
      <c r="X814" s="73">
        <f>DATABASE_Table[[#This Row],[Current Asking price( Total)]]-DATABASE_Table[[#This Row],[Vista membership]]-DATABASE_Table[[#This Row],[FF&amp;E]]</f>
        <v>740000</v>
      </c>
      <c r="Y814" s="126">
        <v>0</v>
      </c>
      <c r="Z814" s="124">
        <v>740000</v>
      </c>
      <c r="AA814" s="73">
        <f>DATABASE_Table[[#This Row],[Sell price (Total)]]-DATABASE_Table[[#This Row],[FF&amp;E]]-DATABASE_Table[[#This Row],[Vista membership]]</f>
        <v>740000</v>
      </c>
      <c r="AB814" s="74">
        <v>45382</v>
      </c>
      <c r="AC814" s="74" t="str">
        <f t="shared" si="12"/>
        <v>Q1 2024</v>
      </c>
      <c r="AD814" s="121">
        <v>45887</v>
      </c>
      <c r="AE814" s="69"/>
      <c r="AF814" s="21" t="s">
        <v>10</v>
      </c>
      <c r="AG814" s="21" t="s">
        <v>11</v>
      </c>
      <c r="AH814" s="122" t="s">
        <v>28</v>
      </c>
      <c r="AI814" s="122" t="s">
        <v>29</v>
      </c>
      <c r="AJ814" s="122" t="s">
        <v>799</v>
      </c>
      <c r="AK814" s="122" t="s">
        <v>800</v>
      </c>
      <c r="AL814" s="21" t="s">
        <v>30</v>
      </c>
      <c r="AM814" s="122" t="s">
        <v>27</v>
      </c>
    </row>
    <row r="815" spans="1:39" customFormat="1" ht="15.75" customHeight="1" x14ac:dyDescent="0.3">
      <c r="A815" t="s">
        <v>27</v>
      </c>
      <c r="B815" s="21" t="s">
        <v>563</v>
      </c>
      <c r="C815" s="21" t="s">
        <v>688</v>
      </c>
      <c r="D815" s="117" t="s">
        <v>339</v>
      </c>
      <c r="E815" s="21" t="s">
        <v>9</v>
      </c>
      <c r="F815" s="21" t="s">
        <v>319</v>
      </c>
      <c r="G815" s="21">
        <v>78.3</v>
      </c>
      <c r="H815" s="21"/>
      <c r="I815" s="117" t="s">
        <v>325</v>
      </c>
      <c r="J815" s="117" t="s">
        <v>325</v>
      </c>
      <c r="K815" s="118"/>
      <c r="L815" s="21"/>
      <c r="M815" s="21"/>
      <c r="N815" s="21"/>
      <c r="O815" s="21"/>
      <c r="P815" s="21">
        <v>78.3</v>
      </c>
      <c r="Q815" s="21"/>
      <c r="R815" s="21" t="s">
        <v>625</v>
      </c>
      <c r="S815" s="119">
        <f>DATABASE_Table[[#This Row],[Inicial Asking Price (€) (Total)]]-DATABASE_Table[[#This Row],[Vista membership]]-DATABASE_Table[[#This Row],[FF&amp;E]]</f>
        <v>460000</v>
      </c>
      <c r="T815" s="125">
        <v>460000</v>
      </c>
      <c r="U815" s="124">
        <v>437000</v>
      </c>
      <c r="V815" s="21"/>
      <c r="W815" s="21"/>
      <c r="X815" s="73">
        <f>DATABASE_Table[[#This Row],[Current Asking price( Total)]]-DATABASE_Table[[#This Row],[Vista membership]]-DATABASE_Table[[#This Row],[FF&amp;E]]</f>
        <v>437000</v>
      </c>
      <c r="Y815" s="126">
        <v>0</v>
      </c>
      <c r="Z815" s="124">
        <v>437000</v>
      </c>
      <c r="AA815" s="73">
        <f>DATABASE_Table[[#This Row],[Sell price (Total)]]-DATABASE_Table[[#This Row],[FF&amp;E]]-DATABASE_Table[[#This Row],[Vista membership]]</f>
        <v>437000</v>
      </c>
      <c r="AB815" s="74">
        <v>45382</v>
      </c>
      <c r="AC815" s="74" t="str">
        <f t="shared" si="12"/>
        <v>Q1 2024</v>
      </c>
      <c r="AD815" s="121">
        <v>45714</v>
      </c>
      <c r="AE815" s="69"/>
      <c r="AF815" s="21" t="s">
        <v>10</v>
      </c>
      <c r="AG815" s="21" t="s">
        <v>11</v>
      </c>
      <c r="AH815" s="122" t="s">
        <v>28</v>
      </c>
      <c r="AI815" s="122" t="s">
        <v>29</v>
      </c>
      <c r="AJ815" s="122" t="s">
        <v>799</v>
      </c>
      <c r="AK815" s="122" t="s">
        <v>800</v>
      </c>
      <c r="AL815" s="21" t="s">
        <v>30</v>
      </c>
      <c r="AM815" s="122" t="s">
        <v>27</v>
      </c>
    </row>
    <row r="816" spans="1:39" customFormat="1" ht="15.75" customHeight="1" x14ac:dyDescent="0.3">
      <c r="A816" t="s">
        <v>27</v>
      </c>
      <c r="B816" s="21" t="s">
        <v>563</v>
      </c>
      <c r="C816" s="21" t="s">
        <v>688</v>
      </c>
      <c r="D816" s="117" t="s">
        <v>340</v>
      </c>
      <c r="E816" s="21" t="s">
        <v>9</v>
      </c>
      <c r="F816" s="21" t="s">
        <v>319</v>
      </c>
      <c r="G816" s="21">
        <v>78.3</v>
      </c>
      <c r="H816" s="21"/>
      <c r="I816" s="117" t="s">
        <v>325</v>
      </c>
      <c r="J816" s="117" t="s">
        <v>325</v>
      </c>
      <c r="K816" s="118"/>
      <c r="L816" s="21"/>
      <c r="M816" s="21"/>
      <c r="N816" s="21"/>
      <c r="O816" s="21"/>
      <c r="P816" s="21">
        <v>78.3</v>
      </c>
      <c r="Q816" s="21"/>
      <c r="R816" s="21" t="s">
        <v>625</v>
      </c>
      <c r="S816" s="119">
        <f>DATABASE_Table[[#This Row],[Inicial Asking Price (€) (Total)]]-DATABASE_Table[[#This Row],[Vista membership]]-DATABASE_Table[[#This Row],[FF&amp;E]]</f>
        <v>760000</v>
      </c>
      <c r="T816" s="124">
        <v>760000</v>
      </c>
      <c r="U816" s="124">
        <v>399000</v>
      </c>
      <c r="V816" s="21"/>
      <c r="W816" s="21"/>
      <c r="X816" s="73">
        <f>DATABASE_Table[[#This Row],[Current Asking price( Total)]]-DATABASE_Table[[#This Row],[Vista membership]]-DATABASE_Table[[#This Row],[FF&amp;E]]</f>
        <v>399000</v>
      </c>
      <c r="Y816" s="126">
        <v>0</v>
      </c>
      <c r="Z816" s="124">
        <v>399000</v>
      </c>
      <c r="AA816" s="73">
        <f>DATABASE_Table[[#This Row],[Sell price (Total)]]-DATABASE_Table[[#This Row],[FF&amp;E]]-DATABASE_Table[[#This Row],[Vista membership]]</f>
        <v>399000</v>
      </c>
      <c r="AB816" s="74">
        <v>45382</v>
      </c>
      <c r="AC816" s="74" t="str">
        <f t="shared" si="12"/>
        <v>Q1 2024</v>
      </c>
      <c r="AD816" s="121">
        <v>45595</v>
      </c>
      <c r="AE816" s="69"/>
      <c r="AF816" s="21" t="s">
        <v>10</v>
      </c>
      <c r="AG816" s="21" t="s">
        <v>11</v>
      </c>
      <c r="AH816" s="122" t="s">
        <v>28</v>
      </c>
      <c r="AI816" s="122" t="s">
        <v>29</v>
      </c>
      <c r="AJ816" s="122" t="s">
        <v>799</v>
      </c>
      <c r="AK816" s="122" t="s">
        <v>800</v>
      </c>
      <c r="AL816" s="21" t="s">
        <v>30</v>
      </c>
      <c r="AM816" s="122" t="s">
        <v>27</v>
      </c>
    </row>
    <row r="817" spans="1:39" customFormat="1" ht="15.75" customHeight="1" x14ac:dyDescent="0.3">
      <c r="A817" t="s">
        <v>27</v>
      </c>
      <c r="B817" s="21" t="s">
        <v>563</v>
      </c>
      <c r="C817" s="21" t="s">
        <v>688</v>
      </c>
      <c r="D817" s="117" t="s">
        <v>341</v>
      </c>
      <c r="E817" s="21" t="s">
        <v>9</v>
      </c>
      <c r="F817" s="21" t="s">
        <v>319</v>
      </c>
      <c r="G817" s="21">
        <v>78.3</v>
      </c>
      <c r="H817" s="21"/>
      <c r="I817" s="117" t="s">
        <v>325</v>
      </c>
      <c r="J817" s="117" t="s">
        <v>325</v>
      </c>
      <c r="K817" s="118"/>
      <c r="L817" s="21"/>
      <c r="M817" s="21"/>
      <c r="N817" s="21"/>
      <c r="O817" s="21"/>
      <c r="P817" s="21">
        <v>78.3</v>
      </c>
      <c r="Q817" s="21"/>
      <c r="R817" s="21" t="s">
        <v>625</v>
      </c>
      <c r="S817" s="119">
        <f>DATABASE_Table[[#This Row],[Inicial Asking Price (€) (Total)]]-DATABASE_Table[[#This Row],[Vista membership]]-DATABASE_Table[[#This Row],[FF&amp;E]]</f>
        <v>840000</v>
      </c>
      <c r="T817" s="124">
        <v>840000</v>
      </c>
      <c r="U817" s="124">
        <v>420000</v>
      </c>
      <c r="V817" s="21"/>
      <c r="W817" s="21"/>
      <c r="X817" s="73">
        <f>DATABASE_Table[[#This Row],[Current Asking price( Total)]]-DATABASE_Table[[#This Row],[Vista membership]]-DATABASE_Table[[#This Row],[FF&amp;E]]</f>
        <v>420000</v>
      </c>
      <c r="Y817" s="126">
        <v>0</v>
      </c>
      <c r="Z817" s="124">
        <v>420000</v>
      </c>
      <c r="AA817" s="73">
        <f>DATABASE_Table[[#This Row],[Sell price (Total)]]-DATABASE_Table[[#This Row],[FF&amp;E]]-DATABASE_Table[[#This Row],[Vista membership]]</f>
        <v>420000</v>
      </c>
      <c r="AB817" s="74">
        <v>45382</v>
      </c>
      <c r="AC817" s="74" t="str">
        <f t="shared" si="12"/>
        <v>Q1 2024</v>
      </c>
      <c r="AD817" s="121">
        <v>45747</v>
      </c>
      <c r="AE817" s="69"/>
      <c r="AF817" s="21" t="s">
        <v>10</v>
      </c>
      <c r="AG817" s="21" t="s">
        <v>11</v>
      </c>
      <c r="AH817" s="122" t="s">
        <v>28</v>
      </c>
      <c r="AI817" s="122" t="s">
        <v>29</v>
      </c>
      <c r="AJ817" s="122" t="s">
        <v>799</v>
      </c>
      <c r="AK817" s="122" t="s">
        <v>800</v>
      </c>
      <c r="AL817" s="21" t="s">
        <v>30</v>
      </c>
      <c r="AM817" s="122" t="s">
        <v>27</v>
      </c>
    </row>
    <row r="818" spans="1:39" customFormat="1" ht="15.75" customHeight="1" x14ac:dyDescent="0.3">
      <c r="A818" t="s">
        <v>27</v>
      </c>
      <c r="B818" s="21" t="s">
        <v>563</v>
      </c>
      <c r="C818" s="21" t="s">
        <v>688</v>
      </c>
      <c r="D818" s="117" t="s">
        <v>342</v>
      </c>
      <c r="E818" s="21" t="s">
        <v>9</v>
      </c>
      <c r="F818" s="21" t="s">
        <v>319</v>
      </c>
      <c r="G818" s="21">
        <v>78.3</v>
      </c>
      <c r="H818" s="21"/>
      <c r="I818" s="117" t="s">
        <v>325</v>
      </c>
      <c r="J818" s="117" t="s">
        <v>325</v>
      </c>
      <c r="K818" s="118"/>
      <c r="L818" s="21"/>
      <c r="M818" s="21"/>
      <c r="N818" s="21"/>
      <c r="O818" s="21"/>
      <c r="P818" s="21">
        <v>78.3</v>
      </c>
      <c r="Q818" s="21"/>
      <c r="R818" s="21" t="s">
        <v>625</v>
      </c>
      <c r="S818" s="119">
        <f>DATABASE_Table[[#This Row],[Inicial Asking Price (€) (Total)]]-DATABASE_Table[[#This Row],[Vista membership]]-DATABASE_Table[[#This Row],[FF&amp;E]]</f>
        <v>860000</v>
      </c>
      <c r="T818" s="124">
        <v>860000</v>
      </c>
      <c r="U818" s="124">
        <v>399000</v>
      </c>
      <c r="V818" s="21"/>
      <c r="W818" s="21"/>
      <c r="X818" s="73">
        <f>DATABASE_Table[[#This Row],[Current Asking price( Total)]]-DATABASE_Table[[#This Row],[Vista membership]]-DATABASE_Table[[#This Row],[FF&amp;E]]</f>
        <v>399000</v>
      </c>
      <c r="Y818" s="126">
        <v>0</v>
      </c>
      <c r="Z818" s="124">
        <v>399000</v>
      </c>
      <c r="AA818" s="73">
        <f>DATABASE_Table[[#This Row],[Sell price (Total)]]-DATABASE_Table[[#This Row],[FF&amp;E]]-DATABASE_Table[[#This Row],[Vista membership]]</f>
        <v>399000</v>
      </c>
      <c r="AB818" s="74">
        <v>45382</v>
      </c>
      <c r="AC818" s="74" t="str">
        <f t="shared" si="12"/>
        <v>Q1 2024</v>
      </c>
      <c r="AD818" s="121">
        <v>45819</v>
      </c>
      <c r="AE818" s="69"/>
      <c r="AF818" s="21" t="s">
        <v>10</v>
      </c>
      <c r="AG818" s="21" t="s">
        <v>11</v>
      </c>
      <c r="AH818" s="122" t="s">
        <v>28</v>
      </c>
      <c r="AI818" s="122" t="s">
        <v>29</v>
      </c>
      <c r="AJ818" s="122" t="s">
        <v>799</v>
      </c>
      <c r="AK818" s="122" t="s">
        <v>800</v>
      </c>
      <c r="AL818" s="21" t="s">
        <v>30</v>
      </c>
      <c r="AM818" s="122" t="s">
        <v>27</v>
      </c>
    </row>
    <row r="819" spans="1:39" customFormat="1" ht="15.75" customHeight="1" x14ac:dyDescent="0.3">
      <c r="A819" t="s">
        <v>27</v>
      </c>
      <c r="B819" s="21" t="s">
        <v>563</v>
      </c>
      <c r="C819" s="21" t="s">
        <v>688</v>
      </c>
      <c r="D819" s="117" t="s">
        <v>343</v>
      </c>
      <c r="E819" s="21" t="s">
        <v>9</v>
      </c>
      <c r="F819" s="21" t="s">
        <v>319</v>
      </c>
      <c r="G819" s="21">
        <v>78.3</v>
      </c>
      <c r="H819" s="21"/>
      <c r="I819" s="117" t="s">
        <v>325</v>
      </c>
      <c r="J819" s="117" t="s">
        <v>325</v>
      </c>
      <c r="K819" s="118"/>
      <c r="L819" s="21"/>
      <c r="M819" s="21"/>
      <c r="N819" s="21"/>
      <c r="O819" s="21"/>
      <c r="P819" s="21">
        <v>78.3</v>
      </c>
      <c r="Q819" s="21"/>
      <c r="R819" s="21" t="s">
        <v>625</v>
      </c>
      <c r="S819" s="119">
        <f>DATABASE_Table[[#This Row],[Inicial Asking Price (€) (Total)]]-DATABASE_Table[[#This Row],[Vista membership]]-DATABASE_Table[[#This Row],[FF&amp;E]]</f>
        <v>1760000</v>
      </c>
      <c r="T819" s="124">
        <v>1760000</v>
      </c>
      <c r="U819" s="124">
        <v>399000</v>
      </c>
      <c r="V819" s="21"/>
      <c r="W819" s="21"/>
      <c r="X819" s="73">
        <f>DATABASE_Table[[#This Row],[Current Asking price( Total)]]-DATABASE_Table[[#This Row],[Vista membership]]-DATABASE_Table[[#This Row],[FF&amp;E]]</f>
        <v>399000</v>
      </c>
      <c r="Y819" s="126">
        <v>0</v>
      </c>
      <c r="Z819" s="124">
        <v>399000</v>
      </c>
      <c r="AA819" s="73">
        <f>DATABASE_Table[[#This Row],[Sell price (Total)]]-DATABASE_Table[[#This Row],[FF&amp;E]]-DATABASE_Table[[#This Row],[Vista membership]]</f>
        <v>399000</v>
      </c>
      <c r="AB819" s="74">
        <v>45382</v>
      </c>
      <c r="AC819" s="74" t="str">
        <f t="shared" si="12"/>
        <v>Q1 2024</v>
      </c>
      <c r="AD819" s="121">
        <v>45574</v>
      </c>
      <c r="AE819" s="69"/>
      <c r="AF819" s="21" t="s">
        <v>10</v>
      </c>
      <c r="AG819" s="21" t="s">
        <v>11</v>
      </c>
      <c r="AH819" s="122" t="s">
        <v>28</v>
      </c>
      <c r="AI819" s="122" t="s">
        <v>29</v>
      </c>
      <c r="AJ819" s="122" t="s">
        <v>799</v>
      </c>
      <c r="AK819" s="122" t="s">
        <v>800</v>
      </c>
      <c r="AL819" s="21" t="s">
        <v>30</v>
      </c>
      <c r="AM819" s="122" t="s">
        <v>27</v>
      </c>
    </row>
    <row r="820" spans="1:39" customFormat="1" ht="15.75" customHeight="1" x14ac:dyDescent="0.3">
      <c r="A820" t="s">
        <v>27</v>
      </c>
      <c r="B820" s="21" t="s">
        <v>563</v>
      </c>
      <c r="C820" s="21" t="s">
        <v>688</v>
      </c>
      <c r="D820" s="117" t="s">
        <v>344</v>
      </c>
      <c r="E820" s="21" t="s">
        <v>9</v>
      </c>
      <c r="F820" s="21" t="s">
        <v>319</v>
      </c>
      <c r="G820" s="21">
        <v>78.3</v>
      </c>
      <c r="H820" s="21"/>
      <c r="I820" s="117" t="s">
        <v>325</v>
      </c>
      <c r="J820" s="117" t="s">
        <v>325</v>
      </c>
      <c r="K820" s="118"/>
      <c r="L820" s="21"/>
      <c r="M820" s="21"/>
      <c r="N820" s="21"/>
      <c r="O820" s="21"/>
      <c r="P820" s="21">
        <v>78.3</v>
      </c>
      <c r="Q820" s="21"/>
      <c r="R820" s="21" t="s">
        <v>625</v>
      </c>
      <c r="S820" s="119">
        <f>DATABASE_Table[[#This Row],[Inicial Asking Price (€) (Total)]]-DATABASE_Table[[#This Row],[Vista membership]]-DATABASE_Table[[#This Row],[FF&amp;E]]</f>
        <v>1870000</v>
      </c>
      <c r="T820" s="124">
        <v>1870000</v>
      </c>
      <c r="U820" s="124">
        <v>420000</v>
      </c>
      <c r="V820" s="21"/>
      <c r="W820" s="21"/>
      <c r="X820" s="73">
        <f>DATABASE_Table[[#This Row],[Current Asking price( Total)]]-DATABASE_Table[[#This Row],[Vista membership]]-DATABASE_Table[[#This Row],[FF&amp;E]]</f>
        <v>420000</v>
      </c>
      <c r="Y820" s="126">
        <v>0</v>
      </c>
      <c r="Z820" s="124">
        <v>420000</v>
      </c>
      <c r="AA820" s="73">
        <f>DATABASE_Table[[#This Row],[Sell price (Total)]]-DATABASE_Table[[#This Row],[FF&amp;E]]-DATABASE_Table[[#This Row],[Vista membership]]</f>
        <v>420000</v>
      </c>
      <c r="AB820" s="74">
        <v>45382</v>
      </c>
      <c r="AC820" s="74" t="str">
        <f t="shared" si="12"/>
        <v>Q1 2024</v>
      </c>
      <c r="AD820" s="121">
        <v>45705</v>
      </c>
      <c r="AE820" s="69"/>
      <c r="AF820" s="21" t="s">
        <v>10</v>
      </c>
      <c r="AG820" s="21" t="s">
        <v>11</v>
      </c>
      <c r="AH820" s="122" t="s">
        <v>28</v>
      </c>
      <c r="AI820" s="122" t="s">
        <v>29</v>
      </c>
      <c r="AJ820" s="122" t="s">
        <v>799</v>
      </c>
      <c r="AK820" s="122" t="s">
        <v>800</v>
      </c>
      <c r="AL820" s="21" t="s">
        <v>30</v>
      </c>
      <c r="AM820" s="122" t="s">
        <v>27</v>
      </c>
    </row>
    <row r="821" spans="1:39" customFormat="1" ht="15.75" customHeight="1" x14ac:dyDescent="0.3">
      <c r="A821" t="s">
        <v>27</v>
      </c>
      <c r="B821" s="21" t="s">
        <v>563</v>
      </c>
      <c r="C821" s="21" t="s">
        <v>688</v>
      </c>
      <c r="D821" s="117" t="s">
        <v>385</v>
      </c>
      <c r="E821" s="21" t="s">
        <v>9</v>
      </c>
      <c r="F821" s="21" t="s">
        <v>320</v>
      </c>
      <c r="G821" s="21">
        <v>130.91999999999999</v>
      </c>
      <c r="H821" s="21"/>
      <c r="I821" s="117" t="s">
        <v>325</v>
      </c>
      <c r="J821" s="117" t="s">
        <v>325</v>
      </c>
      <c r="K821" s="118"/>
      <c r="L821" s="21"/>
      <c r="M821" s="21"/>
      <c r="N821" s="21"/>
      <c r="O821" s="21"/>
      <c r="P821" s="21">
        <v>130.91999999999999</v>
      </c>
      <c r="Q821" s="21"/>
      <c r="R821" s="21" t="s">
        <v>326</v>
      </c>
      <c r="S821" s="119">
        <f>DATABASE_Table[[#This Row],[Inicial Asking Price (€) (Total)]]-DATABASE_Table[[#This Row],[Vista membership]]-DATABASE_Table[[#This Row],[FF&amp;E]]</f>
        <v>710000</v>
      </c>
      <c r="T821" s="125">
        <v>710000</v>
      </c>
      <c r="U821" s="124">
        <v>740000</v>
      </c>
      <c r="V821" s="21"/>
      <c r="W821" s="21"/>
      <c r="X821" s="73">
        <f>DATABASE_Table[[#This Row],[Current Asking price( Total)]]-DATABASE_Table[[#This Row],[Vista membership]]-DATABASE_Table[[#This Row],[FF&amp;E]]</f>
        <v>740000</v>
      </c>
      <c r="Y821" s="126">
        <v>0</v>
      </c>
      <c r="Z821" s="124">
        <v>740000</v>
      </c>
      <c r="AA821" s="73">
        <f>DATABASE_Table[[#This Row],[Sell price (Total)]]-DATABASE_Table[[#This Row],[FF&amp;E]]-DATABASE_Table[[#This Row],[Vista membership]]</f>
        <v>740000</v>
      </c>
      <c r="AB821" s="74">
        <v>45382</v>
      </c>
      <c r="AC821" s="74" t="str">
        <f t="shared" si="12"/>
        <v>Q1 2024</v>
      </c>
      <c r="AD821" s="123">
        <v>46121</v>
      </c>
      <c r="AE821" s="69"/>
      <c r="AF821" s="21" t="s">
        <v>10</v>
      </c>
      <c r="AG821" s="21" t="s">
        <v>11</v>
      </c>
      <c r="AH821" s="122" t="s">
        <v>28</v>
      </c>
      <c r="AI821" s="122" t="s">
        <v>29</v>
      </c>
      <c r="AJ821" s="122" t="s">
        <v>799</v>
      </c>
      <c r="AK821" s="122" t="s">
        <v>800</v>
      </c>
      <c r="AL821" s="21" t="s">
        <v>30</v>
      </c>
      <c r="AM821" s="122" t="s">
        <v>27</v>
      </c>
    </row>
    <row r="822" spans="1:39" customFormat="1" ht="15.75" customHeight="1" x14ac:dyDescent="0.3">
      <c r="A822" t="s">
        <v>27</v>
      </c>
      <c r="B822" s="21" t="s">
        <v>563</v>
      </c>
      <c r="C822" s="21" t="s">
        <v>688</v>
      </c>
      <c r="D822" s="117" t="s">
        <v>345</v>
      </c>
      <c r="E822" s="21" t="s">
        <v>9</v>
      </c>
      <c r="F822" s="21" t="s">
        <v>319</v>
      </c>
      <c r="G822" s="21">
        <v>78.3</v>
      </c>
      <c r="H822" s="21"/>
      <c r="I822" s="117" t="s">
        <v>325</v>
      </c>
      <c r="J822" s="117" t="s">
        <v>325</v>
      </c>
      <c r="K822" s="118"/>
      <c r="L822" s="21"/>
      <c r="M822" s="21"/>
      <c r="N822" s="21"/>
      <c r="O822" s="21"/>
      <c r="P822" s="21">
        <v>78.3</v>
      </c>
      <c r="Q822" s="21"/>
      <c r="R822" s="21" t="s">
        <v>625</v>
      </c>
      <c r="S822" s="119">
        <f>DATABASE_Table[[#This Row],[Inicial Asking Price (€) (Total)]]-DATABASE_Table[[#This Row],[Vista membership]]-DATABASE_Table[[#This Row],[FF&amp;E]]</f>
        <v>440000</v>
      </c>
      <c r="T822" s="125">
        <v>440000</v>
      </c>
      <c r="U822" s="124">
        <v>418000</v>
      </c>
      <c r="V822" s="21"/>
      <c r="W822" s="21"/>
      <c r="X822" s="73">
        <f>DATABASE_Table[[#This Row],[Current Asking price( Total)]]-DATABASE_Table[[#This Row],[Vista membership]]-DATABASE_Table[[#This Row],[FF&amp;E]]</f>
        <v>418000</v>
      </c>
      <c r="Y822" s="126">
        <v>0</v>
      </c>
      <c r="Z822" s="124">
        <v>418000</v>
      </c>
      <c r="AA822" s="73">
        <f>DATABASE_Table[[#This Row],[Sell price (Total)]]-DATABASE_Table[[#This Row],[FF&amp;E]]-DATABASE_Table[[#This Row],[Vista membership]]</f>
        <v>418000</v>
      </c>
      <c r="AB822" s="74">
        <v>45382</v>
      </c>
      <c r="AC822" s="74" t="str">
        <f t="shared" si="12"/>
        <v>Q1 2024</v>
      </c>
      <c r="AD822" s="121">
        <v>45525</v>
      </c>
      <c r="AE822" s="69"/>
      <c r="AF822" s="21" t="s">
        <v>10</v>
      </c>
      <c r="AG822" s="21" t="s">
        <v>11</v>
      </c>
      <c r="AH822" s="122" t="s">
        <v>28</v>
      </c>
      <c r="AI822" s="122" t="s">
        <v>29</v>
      </c>
      <c r="AJ822" s="122" t="s">
        <v>799</v>
      </c>
      <c r="AK822" s="122" t="s">
        <v>800</v>
      </c>
      <c r="AL822" s="21" t="s">
        <v>30</v>
      </c>
      <c r="AM822" s="122" t="s">
        <v>27</v>
      </c>
    </row>
    <row r="823" spans="1:39" customFormat="1" ht="15.75" customHeight="1" x14ac:dyDescent="0.3">
      <c r="A823" t="s">
        <v>27</v>
      </c>
      <c r="B823" s="21" t="s">
        <v>563</v>
      </c>
      <c r="C823" s="21" t="s">
        <v>688</v>
      </c>
      <c r="D823" s="117" t="s">
        <v>347</v>
      </c>
      <c r="E823" s="21" t="s">
        <v>9</v>
      </c>
      <c r="F823" s="21" t="s">
        <v>319</v>
      </c>
      <c r="G823" s="21">
        <v>78.3</v>
      </c>
      <c r="H823" s="21"/>
      <c r="I823" s="117" t="s">
        <v>325</v>
      </c>
      <c r="J823" s="117" t="s">
        <v>325</v>
      </c>
      <c r="K823" s="118"/>
      <c r="L823" s="21"/>
      <c r="M823" s="21"/>
      <c r="N823" s="21"/>
      <c r="O823" s="21"/>
      <c r="P823" s="21">
        <v>78.3</v>
      </c>
      <c r="Q823" s="21"/>
      <c r="R823" s="21" t="s">
        <v>625</v>
      </c>
      <c r="S823" s="119">
        <f>DATABASE_Table[[#This Row],[Inicial Asking Price (€) (Total)]]-DATABASE_Table[[#This Row],[Vista membership]]-DATABASE_Table[[#This Row],[FF&amp;E]]</f>
        <v>440000</v>
      </c>
      <c r="T823" s="125">
        <v>440000</v>
      </c>
      <c r="U823" s="124">
        <v>440000</v>
      </c>
      <c r="V823" s="21"/>
      <c r="W823" s="21"/>
      <c r="X823" s="73">
        <f>DATABASE_Table[[#This Row],[Current Asking price( Total)]]-DATABASE_Table[[#This Row],[Vista membership]]-DATABASE_Table[[#This Row],[FF&amp;E]]</f>
        <v>440000</v>
      </c>
      <c r="Y823" s="126">
        <v>0</v>
      </c>
      <c r="Z823" s="124">
        <v>440000</v>
      </c>
      <c r="AA823" s="73">
        <f>DATABASE_Table[[#This Row],[Sell price (Total)]]-DATABASE_Table[[#This Row],[FF&amp;E]]-DATABASE_Table[[#This Row],[Vista membership]]</f>
        <v>440000</v>
      </c>
      <c r="AB823" s="74">
        <v>45382</v>
      </c>
      <c r="AC823" s="74" t="str">
        <f t="shared" si="12"/>
        <v>Q1 2024</v>
      </c>
      <c r="AD823" s="121">
        <v>45657</v>
      </c>
      <c r="AE823" s="69"/>
      <c r="AF823" s="21" t="s">
        <v>10</v>
      </c>
      <c r="AG823" s="21" t="s">
        <v>11</v>
      </c>
      <c r="AH823" s="122" t="s">
        <v>28</v>
      </c>
      <c r="AI823" s="122" t="s">
        <v>29</v>
      </c>
      <c r="AJ823" s="122" t="s">
        <v>799</v>
      </c>
      <c r="AK823" s="122" t="s">
        <v>800</v>
      </c>
      <c r="AL823" s="21" t="s">
        <v>30</v>
      </c>
      <c r="AM823" s="122" t="s">
        <v>27</v>
      </c>
    </row>
    <row r="824" spans="1:39" customFormat="1" ht="15.75" customHeight="1" x14ac:dyDescent="0.3">
      <c r="A824" t="s">
        <v>27</v>
      </c>
      <c r="B824" s="21" t="s">
        <v>563</v>
      </c>
      <c r="C824" s="21" t="s">
        <v>688</v>
      </c>
      <c r="D824" s="117" t="s">
        <v>348</v>
      </c>
      <c r="E824" s="21" t="s">
        <v>9</v>
      </c>
      <c r="F824" s="21" t="s">
        <v>319</v>
      </c>
      <c r="G824" s="21">
        <v>78.3</v>
      </c>
      <c r="H824" s="21"/>
      <c r="I824" s="117" t="s">
        <v>325</v>
      </c>
      <c r="J824" s="117" t="s">
        <v>325</v>
      </c>
      <c r="K824" s="118"/>
      <c r="L824" s="21"/>
      <c r="M824" s="21"/>
      <c r="N824" s="21"/>
      <c r="O824" s="21"/>
      <c r="P824" s="21">
        <v>78.3</v>
      </c>
      <c r="Q824" s="21"/>
      <c r="R824" s="21" t="s">
        <v>625</v>
      </c>
      <c r="S824" s="119">
        <f>DATABASE_Table[[#This Row],[Inicial Asking Price (€) (Total)]]-DATABASE_Table[[#This Row],[Vista membership]]-DATABASE_Table[[#This Row],[FF&amp;E]]</f>
        <v>440000</v>
      </c>
      <c r="T824" s="125">
        <v>440000</v>
      </c>
      <c r="U824" s="124">
        <v>418000</v>
      </c>
      <c r="V824" s="21"/>
      <c r="W824" s="21"/>
      <c r="X824" s="73">
        <f>DATABASE_Table[[#This Row],[Current Asking price( Total)]]-DATABASE_Table[[#This Row],[Vista membership]]-DATABASE_Table[[#This Row],[FF&amp;E]]</f>
        <v>418000</v>
      </c>
      <c r="Y824" s="126">
        <v>0</v>
      </c>
      <c r="Z824" s="124">
        <v>418000</v>
      </c>
      <c r="AA824" s="73">
        <f>DATABASE_Table[[#This Row],[Sell price (Total)]]-DATABASE_Table[[#This Row],[FF&amp;E]]-DATABASE_Table[[#This Row],[Vista membership]]</f>
        <v>418000</v>
      </c>
      <c r="AB824" s="74">
        <v>45382</v>
      </c>
      <c r="AC824" s="74" t="str">
        <f t="shared" si="12"/>
        <v>Q1 2024</v>
      </c>
      <c r="AD824" s="121">
        <v>45888</v>
      </c>
      <c r="AE824" s="69"/>
      <c r="AF824" s="21" t="s">
        <v>10</v>
      </c>
      <c r="AG824" s="21" t="s">
        <v>11</v>
      </c>
      <c r="AH824" s="122" t="s">
        <v>28</v>
      </c>
      <c r="AI824" s="122" t="s">
        <v>29</v>
      </c>
      <c r="AJ824" s="122" t="s">
        <v>799</v>
      </c>
      <c r="AK824" s="122" t="s">
        <v>800</v>
      </c>
      <c r="AL824" s="21" t="s">
        <v>30</v>
      </c>
      <c r="AM824" s="122" t="s">
        <v>27</v>
      </c>
    </row>
    <row r="825" spans="1:39" customFormat="1" ht="15.75" customHeight="1" x14ac:dyDescent="0.3">
      <c r="A825" t="s">
        <v>27</v>
      </c>
      <c r="B825" s="21" t="s">
        <v>563</v>
      </c>
      <c r="C825" s="21" t="s">
        <v>688</v>
      </c>
      <c r="D825" s="117" t="s">
        <v>349</v>
      </c>
      <c r="E825" s="21" t="s">
        <v>9</v>
      </c>
      <c r="F825" s="21" t="s">
        <v>319</v>
      </c>
      <c r="G825" s="21">
        <v>78.3</v>
      </c>
      <c r="H825" s="21"/>
      <c r="I825" s="117" t="s">
        <v>325</v>
      </c>
      <c r="J825" s="117" t="s">
        <v>325</v>
      </c>
      <c r="K825" s="118"/>
      <c r="L825" s="21"/>
      <c r="M825" s="21"/>
      <c r="N825" s="21"/>
      <c r="O825" s="21"/>
      <c r="P825" s="21">
        <v>78.3</v>
      </c>
      <c r="Q825" s="21"/>
      <c r="R825" s="21" t="s">
        <v>625</v>
      </c>
      <c r="S825" s="119">
        <f>DATABASE_Table[[#This Row],[Inicial Asking Price (€) (Total)]]-DATABASE_Table[[#This Row],[Vista membership]]-DATABASE_Table[[#This Row],[FF&amp;E]]</f>
        <v>440000</v>
      </c>
      <c r="T825" s="125">
        <v>440000</v>
      </c>
      <c r="U825" s="124">
        <v>440000</v>
      </c>
      <c r="V825" s="21"/>
      <c r="W825" s="21"/>
      <c r="X825" s="73">
        <f>DATABASE_Table[[#This Row],[Current Asking price( Total)]]-DATABASE_Table[[#This Row],[Vista membership]]-DATABASE_Table[[#This Row],[FF&amp;E]]</f>
        <v>440000</v>
      </c>
      <c r="Y825" s="126">
        <v>0</v>
      </c>
      <c r="Z825" s="124">
        <v>440000</v>
      </c>
      <c r="AA825" s="73">
        <f>DATABASE_Table[[#This Row],[Sell price (Total)]]-DATABASE_Table[[#This Row],[FF&amp;E]]-DATABASE_Table[[#This Row],[Vista membership]]</f>
        <v>440000</v>
      </c>
      <c r="AB825" s="74">
        <v>45382</v>
      </c>
      <c r="AC825" s="74" t="str">
        <f t="shared" si="12"/>
        <v>Q1 2024</v>
      </c>
      <c r="AD825" s="121">
        <v>45819</v>
      </c>
      <c r="AE825" s="69"/>
      <c r="AF825" s="21" t="s">
        <v>10</v>
      </c>
      <c r="AG825" s="21" t="s">
        <v>11</v>
      </c>
      <c r="AH825" s="122" t="s">
        <v>28</v>
      </c>
      <c r="AI825" s="122" t="s">
        <v>29</v>
      </c>
      <c r="AJ825" s="122" t="s">
        <v>799</v>
      </c>
      <c r="AK825" s="122" t="s">
        <v>800</v>
      </c>
      <c r="AL825" s="21" t="s">
        <v>30</v>
      </c>
      <c r="AM825" s="122" t="s">
        <v>27</v>
      </c>
    </row>
    <row r="826" spans="1:39" customFormat="1" ht="15.75" customHeight="1" x14ac:dyDescent="0.3">
      <c r="A826" t="s">
        <v>27</v>
      </c>
      <c r="B826" s="21" t="s">
        <v>563</v>
      </c>
      <c r="C826" s="21" t="s">
        <v>688</v>
      </c>
      <c r="D826" s="117" t="s">
        <v>350</v>
      </c>
      <c r="E826" s="21" t="s">
        <v>9</v>
      </c>
      <c r="F826" s="21" t="s">
        <v>319</v>
      </c>
      <c r="G826" s="21">
        <v>78.3</v>
      </c>
      <c r="H826" s="21"/>
      <c r="I826" s="117" t="s">
        <v>325</v>
      </c>
      <c r="J826" s="117" t="s">
        <v>325</v>
      </c>
      <c r="K826" s="118"/>
      <c r="L826" s="21"/>
      <c r="M826" s="21"/>
      <c r="N826" s="21"/>
      <c r="O826" s="21"/>
      <c r="P826" s="21">
        <v>78.3</v>
      </c>
      <c r="Q826" s="21"/>
      <c r="R826" s="21" t="s">
        <v>625</v>
      </c>
      <c r="S826" s="119">
        <f>DATABASE_Table[[#This Row],[Inicial Asking Price (€) (Total)]]-DATABASE_Table[[#This Row],[Vista membership]]-DATABASE_Table[[#This Row],[FF&amp;E]]</f>
        <v>440000</v>
      </c>
      <c r="T826" s="125">
        <v>440000</v>
      </c>
      <c r="U826" s="124">
        <v>440000</v>
      </c>
      <c r="V826" s="21"/>
      <c r="W826" s="21"/>
      <c r="X826" s="73">
        <f>DATABASE_Table[[#This Row],[Current Asking price( Total)]]-DATABASE_Table[[#This Row],[Vista membership]]-DATABASE_Table[[#This Row],[FF&amp;E]]</f>
        <v>440000</v>
      </c>
      <c r="Y826" s="126">
        <v>0</v>
      </c>
      <c r="Z826" s="124">
        <v>440000</v>
      </c>
      <c r="AA826" s="73">
        <f>DATABASE_Table[[#This Row],[Sell price (Total)]]-DATABASE_Table[[#This Row],[FF&amp;E]]-DATABASE_Table[[#This Row],[Vista membership]]</f>
        <v>440000</v>
      </c>
      <c r="AB826" s="74">
        <v>45382</v>
      </c>
      <c r="AC826" s="74" t="str">
        <f t="shared" si="12"/>
        <v>Q1 2024</v>
      </c>
      <c r="AD826" s="121">
        <v>45671</v>
      </c>
      <c r="AE826" s="69"/>
      <c r="AF826" s="21" t="s">
        <v>10</v>
      </c>
      <c r="AG826" s="21" t="s">
        <v>11</v>
      </c>
      <c r="AH826" s="122" t="s">
        <v>28</v>
      </c>
      <c r="AI826" s="122" t="s">
        <v>29</v>
      </c>
      <c r="AJ826" s="122" t="s">
        <v>799</v>
      </c>
      <c r="AK826" s="122" t="s">
        <v>800</v>
      </c>
      <c r="AL826" s="21" t="s">
        <v>30</v>
      </c>
      <c r="AM826" s="122" t="s">
        <v>27</v>
      </c>
    </row>
    <row r="827" spans="1:39" customFormat="1" ht="15.75" customHeight="1" x14ac:dyDescent="0.3">
      <c r="A827" t="s">
        <v>27</v>
      </c>
      <c r="B827" s="21" t="s">
        <v>563</v>
      </c>
      <c r="C827" s="21" t="s">
        <v>688</v>
      </c>
      <c r="D827" s="117" t="s">
        <v>351</v>
      </c>
      <c r="E827" s="21" t="s">
        <v>9</v>
      </c>
      <c r="F827" s="21" t="s">
        <v>319</v>
      </c>
      <c r="G827" s="21">
        <v>78.3</v>
      </c>
      <c r="H827" s="21"/>
      <c r="I827" s="117" t="s">
        <v>325</v>
      </c>
      <c r="J827" s="117" t="s">
        <v>325</v>
      </c>
      <c r="K827" s="118"/>
      <c r="L827" s="21"/>
      <c r="M827" s="21"/>
      <c r="N827" s="21"/>
      <c r="O827" s="21"/>
      <c r="P827" s="21">
        <v>78.3</v>
      </c>
      <c r="Q827" s="21"/>
      <c r="R827" s="21" t="s">
        <v>625</v>
      </c>
      <c r="S827" s="119">
        <f>DATABASE_Table[[#This Row],[Inicial Asking Price (€) (Total)]]-DATABASE_Table[[#This Row],[Vista membership]]-DATABASE_Table[[#This Row],[FF&amp;E]]</f>
        <v>460000</v>
      </c>
      <c r="T827" s="125">
        <v>460000</v>
      </c>
      <c r="U827" s="124">
        <v>437000</v>
      </c>
      <c r="V827" s="21"/>
      <c r="W827" s="21"/>
      <c r="X827" s="73">
        <f>DATABASE_Table[[#This Row],[Current Asking price( Total)]]-DATABASE_Table[[#This Row],[Vista membership]]-DATABASE_Table[[#This Row],[FF&amp;E]]</f>
        <v>437000</v>
      </c>
      <c r="Y827" s="126">
        <v>0</v>
      </c>
      <c r="Z827" s="124">
        <v>437000</v>
      </c>
      <c r="AA827" s="73">
        <f>DATABASE_Table[[#This Row],[Sell price (Total)]]-DATABASE_Table[[#This Row],[FF&amp;E]]-DATABASE_Table[[#This Row],[Vista membership]]</f>
        <v>437000</v>
      </c>
      <c r="AB827" s="74">
        <v>45382</v>
      </c>
      <c r="AC827" s="74" t="str">
        <f t="shared" si="12"/>
        <v>Q1 2024</v>
      </c>
      <c r="AD827" s="121">
        <v>45614</v>
      </c>
      <c r="AE827" s="69"/>
      <c r="AF827" s="21" t="s">
        <v>10</v>
      </c>
      <c r="AG827" s="21" t="s">
        <v>11</v>
      </c>
      <c r="AH827" s="122" t="s">
        <v>28</v>
      </c>
      <c r="AI827" s="122" t="s">
        <v>29</v>
      </c>
      <c r="AJ827" s="122" t="s">
        <v>799</v>
      </c>
      <c r="AK827" s="122" t="s">
        <v>800</v>
      </c>
      <c r="AL827" s="21" t="s">
        <v>30</v>
      </c>
      <c r="AM827" s="122" t="s">
        <v>27</v>
      </c>
    </row>
    <row r="828" spans="1:39" customFormat="1" ht="15.75" customHeight="1" x14ac:dyDescent="0.3">
      <c r="A828" t="s">
        <v>27</v>
      </c>
      <c r="B828" s="21" t="s">
        <v>563</v>
      </c>
      <c r="C828" s="21" t="s">
        <v>688</v>
      </c>
      <c r="D828" s="117" t="s">
        <v>353</v>
      </c>
      <c r="E828" s="21" t="s">
        <v>9</v>
      </c>
      <c r="F828" s="21" t="s">
        <v>319</v>
      </c>
      <c r="G828" s="21">
        <v>104.7</v>
      </c>
      <c r="H828" s="21"/>
      <c r="I828" s="117" t="s">
        <v>325</v>
      </c>
      <c r="J828" s="117" t="s">
        <v>325</v>
      </c>
      <c r="K828" s="118"/>
      <c r="L828" s="21"/>
      <c r="M828" s="21"/>
      <c r="N828" s="21"/>
      <c r="O828" s="21"/>
      <c r="P828" s="21">
        <v>104.7</v>
      </c>
      <c r="Q828" s="21"/>
      <c r="R828" s="21" t="s">
        <v>625</v>
      </c>
      <c r="S828" s="119">
        <f>DATABASE_Table[[#This Row],[Inicial Asking Price (€) (Total)]]-DATABASE_Table[[#This Row],[Vista membership]]-DATABASE_Table[[#This Row],[FF&amp;E]]</f>
        <v>575000</v>
      </c>
      <c r="T828" s="125">
        <v>575000</v>
      </c>
      <c r="U828" s="124">
        <v>575000</v>
      </c>
      <c r="V828" s="21"/>
      <c r="W828" s="21"/>
      <c r="X828" s="73">
        <f>DATABASE_Table[[#This Row],[Current Asking price( Total)]]-DATABASE_Table[[#This Row],[Vista membership]]-DATABASE_Table[[#This Row],[FF&amp;E]]</f>
        <v>575000</v>
      </c>
      <c r="Y828" s="126">
        <v>0</v>
      </c>
      <c r="Z828" s="124">
        <v>575000</v>
      </c>
      <c r="AA828" s="73">
        <f>DATABASE_Table[[#This Row],[Sell price (Total)]]-DATABASE_Table[[#This Row],[FF&amp;E]]-DATABASE_Table[[#This Row],[Vista membership]]</f>
        <v>575000</v>
      </c>
      <c r="AB828" s="74">
        <v>45382</v>
      </c>
      <c r="AC828" s="74" t="str">
        <f t="shared" si="12"/>
        <v>Q1 2024</v>
      </c>
      <c r="AD828" s="121">
        <v>45876</v>
      </c>
      <c r="AE828" s="69"/>
      <c r="AF828" s="21" t="s">
        <v>10</v>
      </c>
      <c r="AG828" s="21" t="s">
        <v>11</v>
      </c>
      <c r="AH828" s="122" t="s">
        <v>28</v>
      </c>
      <c r="AI828" s="122" t="s">
        <v>29</v>
      </c>
      <c r="AJ828" s="122" t="s">
        <v>799</v>
      </c>
      <c r="AK828" s="122" t="s">
        <v>800</v>
      </c>
      <c r="AL828" s="21" t="s">
        <v>30</v>
      </c>
      <c r="AM828" s="122" t="s">
        <v>27</v>
      </c>
    </row>
    <row r="829" spans="1:39" customFormat="1" ht="15.75" customHeight="1" x14ac:dyDescent="0.3">
      <c r="A829" t="s">
        <v>27</v>
      </c>
      <c r="B829" s="21" t="s">
        <v>563</v>
      </c>
      <c r="C829" s="21" t="s">
        <v>688</v>
      </c>
      <c r="D829" s="117" t="s">
        <v>354</v>
      </c>
      <c r="E829" s="21" t="s">
        <v>9</v>
      </c>
      <c r="F829" s="21" t="s">
        <v>320</v>
      </c>
      <c r="G829" s="21">
        <v>130.91999999999999</v>
      </c>
      <c r="H829" s="21"/>
      <c r="I829" s="117" t="s">
        <v>325</v>
      </c>
      <c r="J829" s="117" t="s">
        <v>325</v>
      </c>
      <c r="K829" s="118"/>
      <c r="L829" s="21"/>
      <c r="M829" s="21"/>
      <c r="N829" s="21"/>
      <c r="O829" s="21"/>
      <c r="P829" s="21">
        <v>130.91999999999999</v>
      </c>
      <c r="Q829" s="21"/>
      <c r="R829" s="21" t="s">
        <v>625</v>
      </c>
      <c r="S829" s="119">
        <f>DATABASE_Table[[#This Row],[Inicial Asking Price (€) (Total)]]-DATABASE_Table[[#This Row],[Vista membership]]-DATABASE_Table[[#This Row],[FF&amp;E]]</f>
        <v>700000</v>
      </c>
      <c r="T829" s="125">
        <v>700000</v>
      </c>
      <c r="U829" s="124">
        <v>700000</v>
      </c>
      <c r="V829" s="21"/>
      <c r="W829" s="21"/>
      <c r="X829" s="73">
        <f>DATABASE_Table[[#This Row],[Current Asking price( Total)]]-DATABASE_Table[[#This Row],[Vista membership]]-DATABASE_Table[[#This Row],[FF&amp;E]]</f>
        <v>700000</v>
      </c>
      <c r="Y829" s="126">
        <v>0</v>
      </c>
      <c r="Z829" s="124">
        <v>700000</v>
      </c>
      <c r="AA829" s="73">
        <f>DATABASE_Table[[#This Row],[Sell price (Total)]]-DATABASE_Table[[#This Row],[FF&amp;E]]-DATABASE_Table[[#This Row],[Vista membership]]</f>
        <v>700000</v>
      </c>
      <c r="AB829" s="74">
        <v>45382</v>
      </c>
      <c r="AC829" s="74" t="str">
        <f t="shared" si="12"/>
        <v>Q1 2024</v>
      </c>
      <c r="AD829" s="121">
        <v>45891</v>
      </c>
      <c r="AE829" s="69"/>
      <c r="AF829" s="21" t="s">
        <v>10</v>
      </c>
      <c r="AG829" s="21" t="s">
        <v>11</v>
      </c>
      <c r="AH829" s="122" t="s">
        <v>28</v>
      </c>
      <c r="AI829" s="122" t="s">
        <v>29</v>
      </c>
      <c r="AJ829" s="122" t="s">
        <v>799</v>
      </c>
      <c r="AK829" s="122" t="s">
        <v>800</v>
      </c>
      <c r="AL829" s="21" t="s">
        <v>30</v>
      </c>
      <c r="AM829" s="122" t="s">
        <v>27</v>
      </c>
    </row>
    <row r="830" spans="1:39" customFormat="1" ht="15.75" customHeight="1" x14ac:dyDescent="0.3">
      <c r="A830" t="s">
        <v>27</v>
      </c>
      <c r="B830" s="21" t="s">
        <v>563</v>
      </c>
      <c r="C830" s="21" t="s">
        <v>688</v>
      </c>
      <c r="D830" s="117" t="s">
        <v>355</v>
      </c>
      <c r="E830" s="21" t="s">
        <v>9</v>
      </c>
      <c r="F830" s="21" t="s">
        <v>320</v>
      </c>
      <c r="G830" s="21">
        <v>130.91999999999999</v>
      </c>
      <c r="H830" s="21"/>
      <c r="I830" s="117" t="s">
        <v>325</v>
      </c>
      <c r="J830" s="117" t="s">
        <v>325</v>
      </c>
      <c r="K830" s="118"/>
      <c r="L830" s="21"/>
      <c r="M830" s="21"/>
      <c r="N830" s="21"/>
      <c r="O830" s="21"/>
      <c r="P830" s="21">
        <v>130.91999999999999</v>
      </c>
      <c r="Q830" s="21"/>
      <c r="R830" s="21" t="s">
        <v>625</v>
      </c>
      <c r="S830" s="119">
        <f>DATABASE_Table[[#This Row],[Inicial Asking Price (€) (Total)]]-DATABASE_Table[[#This Row],[Vista membership]]-DATABASE_Table[[#This Row],[FF&amp;E]]</f>
        <v>660000</v>
      </c>
      <c r="T830" s="125">
        <v>660000</v>
      </c>
      <c r="U830" s="124">
        <v>660000</v>
      </c>
      <c r="V830" s="21"/>
      <c r="W830" s="21"/>
      <c r="X830" s="73">
        <f>DATABASE_Table[[#This Row],[Current Asking price( Total)]]-DATABASE_Table[[#This Row],[Vista membership]]-DATABASE_Table[[#This Row],[FF&amp;E]]</f>
        <v>660000</v>
      </c>
      <c r="Y830" s="126">
        <v>0</v>
      </c>
      <c r="Z830" s="124">
        <v>660000</v>
      </c>
      <c r="AA830" s="73">
        <f>DATABASE_Table[[#This Row],[Sell price (Total)]]-DATABASE_Table[[#This Row],[FF&amp;E]]-DATABASE_Table[[#This Row],[Vista membership]]</f>
        <v>660000</v>
      </c>
      <c r="AB830" s="74">
        <v>45382</v>
      </c>
      <c r="AC830" s="74" t="str">
        <f t="shared" si="12"/>
        <v>Q1 2024</v>
      </c>
      <c r="AD830" s="121">
        <v>45967</v>
      </c>
      <c r="AE830" s="69"/>
      <c r="AF830" s="21" t="s">
        <v>10</v>
      </c>
      <c r="AG830" s="21" t="s">
        <v>11</v>
      </c>
      <c r="AH830" s="122" t="s">
        <v>28</v>
      </c>
      <c r="AI830" s="122" t="s">
        <v>29</v>
      </c>
      <c r="AJ830" s="122" t="s">
        <v>799</v>
      </c>
      <c r="AK830" s="122" t="s">
        <v>800</v>
      </c>
      <c r="AL830" s="21" t="s">
        <v>30</v>
      </c>
      <c r="AM830" s="122" t="s">
        <v>27</v>
      </c>
    </row>
    <row r="831" spans="1:39" customFormat="1" ht="15.75" customHeight="1" x14ac:dyDescent="0.3">
      <c r="A831" t="s">
        <v>27</v>
      </c>
      <c r="B831" s="21" t="s">
        <v>563</v>
      </c>
      <c r="C831" s="21" t="s">
        <v>688</v>
      </c>
      <c r="D831" s="117" t="s">
        <v>356</v>
      </c>
      <c r="E831" s="21" t="s">
        <v>9</v>
      </c>
      <c r="F831" s="21" t="s">
        <v>320</v>
      </c>
      <c r="G831" s="21">
        <v>130.91999999999999</v>
      </c>
      <c r="H831" s="21"/>
      <c r="I831" s="117" t="s">
        <v>325</v>
      </c>
      <c r="J831" s="117" t="s">
        <v>325</v>
      </c>
      <c r="K831" s="118"/>
      <c r="L831" s="21"/>
      <c r="M831" s="21"/>
      <c r="N831" s="21"/>
      <c r="O831" s="21"/>
      <c r="P831" s="21">
        <v>130.91999999999999</v>
      </c>
      <c r="Q831" s="21"/>
      <c r="R831" s="21" t="s">
        <v>625</v>
      </c>
      <c r="S831" s="119">
        <f>DATABASE_Table[[#This Row],[Inicial Asking Price (€) (Total)]]-DATABASE_Table[[#This Row],[Vista membership]]-DATABASE_Table[[#This Row],[FF&amp;E]]</f>
        <v>660000</v>
      </c>
      <c r="T831" s="125">
        <v>660000</v>
      </c>
      <c r="U831" s="124">
        <v>680000</v>
      </c>
      <c r="V831" s="21"/>
      <c r="W831" s="21"/>
      <c r="X831" s="73">
        <f>DATABASE_Table[[#This Row],[Current Asking price( Total)]]-DATABASE_Table[[#This Row],[Vista membership]]-DATABASE_Table[[#This Row],[FF&amp;E]]</f>
        <v>680000</v>
      </c>
      <c r="Y831" s="126">
        <v>0</v>
      </c>
      <c r="Z831" s="124">
        <v>680000</v>
      </c>
      <c r="AA831" s="73">
        <f>DATABASE_Table[[#This Row],[Sell price (Total)]]-DATABASE_Table[[#This Row],[FF&amp;E]]-DATABASE_Table[[#This Row],[Vista membership]]</f>
        <v>680000</v>
      </c>
      <c r="AB831" s="74">
        <v>45382</v>
      </c>
      <c r="AC831" s="74" t="str">
        <f t="shared" si="12"/>
        <v>Q1 2024</v>
      </c>
      <c r="AD831" s="121">
        <v>45922</v>
      </c>
      <c r="AE831" s="69"/>
      <c r="AF831" s="21" t="s">
        <v>10</v>
      </c>
      <c r="AG831" s="21" t="s">
        <v>11</v>
      </c>
      <c r="AH831" s="122" t="s">
        <v>28</v>
      </c>
      <c r="AI831" s="122" t="s">
        <v>29</v>
      </c>
      <c r="AJ831" s="122" t="s">
        <v>799</v>
      </c>
      <c r="AK831" s="122" t="s">
        <v>800</v>
      </c>
      <c r="AL831" s="21" t="s">
        <v>30</v>
      </c>
      <c r="AM831" s="122" t="s">
        <v>27</v>
      </c>
    </row>
    <row r="832" spans="1:39" customFormat="1" ht="15.75" customHeight="1" x14ac:dyDescent="0.3">
      <c r="A832" t="s">
        <v>27</v>
      </c>
      <c r="B832" s="21" t="s">
        <v>563</v>
      </c>
      <c r="C832" s="21" t="s">
        <v>688</v>
      </c>
      <c r="D832" s="117" t="s">
        <v>357</v>
      </c>
      <c r="E832" s="21" t="s">
        <v>9</v>
      </c>
      <c r="F832" s="21" t="s">
        <v>320</v>
      </c>
      <c r="G832" s="21">
        <v>130.91999999999999</v>
      </c>
      <c r="H832" s="21"/>
      <c r="I832" s="117" t="s">
        <v>325</v>
      </c>
      <c r="J832" s="117" t="s">
        <v>325</v>
      </c>
      <c r="K832" s="118"/>
      <c r="L832" s="21"/>
      <c r="M832" s="21"/>
      <c r="N832" s="21"/>
      <c r="O832" s="21"/>
      <c r="P832" s="21">
        <v>130.91999999999999</v>
      </c>
      <c r="Q832" s="21"/>
      <c r="R832" s="21" t="s">
        <v>625</v>
      </c>
      <c r="S832" s="119">
        <f>DATABASE_Table[[#This Row],[Inicial Asking Price (€) (Total)]]-DATABASE_Table[[#This Row],[Vista membership]]-DATABASE_Table[[#This Row],[FF&amp;E]]</f>
        <v>660000</v>
      </c>
      <c r="T832" s="125">
        <v>660000</v>
      </c>
      <c r="U832" s="124">
        <v>660000</v>
      </c>
      <c r="V832" s="21"/>
      <c r="W832" s="21"/>
      <c r="X832" s="73">
        <f>DATABASE_Table[[#This Row],[Current Asking price( Total)]]-DATABASE_Table[[#This Row],[Vista membership]]-DATABASE_Table[[#This Row],[FF&amp;E]]</f>
        <v>660000</v>
      </c>
      <c r="Y832" s="126">
        <v>0</v>
      </c>
      <c r="Z832" s="124">
        <v>660000</v>
      </c>
      <c r="AA832" s="73">
        <f>DATABASE_Table[[#This Row],[Sell price (Total)]]-DATABASE_Table[[#This Row],[FF&amp;E]]-DATABASE_Table[[#This Row],[Vista membership]]</f>
        <v>660000</v>
      </c>
      <c r="AB832" s="74">
        <v>45382</v>
      </c>
      <c r="AC832" s="74" t="str">
        <f t="shared" si="12"/>
        <v>Q1 2024</v>
      </c>
      <c r="AD832" s="121">
        <v>45947</v>
      </c>
      <c r="AE832" s="69"/>
      <c r="AF832" s="21" t="s">
        <v>10</v>
      </c>
      <c r="AG832" s="21" t="s">
        <v>11</v>
      </c>
      <c r="AH832" s="122" t="s">
        <v>28</v>
      </c>
      <c r="AI832" s="122" t="s">
        <v>29</v>
      </c>
      <c r="AJ832" s="122" t="s">
        <v>799</v>
      </c>
      <c r="AK832" s="122" t="s">
        <v>800</v>
      </c>
      <c r="AL832" s="21" t="s">
        <v>30</v>
      </c>
      <c r="AM832" s="122" t="s">
        <v>27</v>
      </c>
    </row>
    <row r="833" spans="1:39" customFormat="1" ht="15.75" customHeight="1" x14ac:dyDescent="0.3">
      <c r="A833" t="s">
        <v>27</v>
      </c>
      <c r="B833" s="21" t="s">
        <v>563</v>
      </c>
      <c r="C833" s="21" t="s">
        <v>688</v>
      </c>
      <c r="D833" s="117" t="s">
        <v>358</v>
      </c>
      <c r="E833" s="21" t="s">
        <v>9</v>
      </c>
      <c r="F833" s="21" t="s">
        <v>320</v>
      </c>
      <c r="G833" s="21">
        <v>130.91999999999999</v>
      </c>
      <c r="H833" s="21"/>
      <c r="I833" s="117" t="s">
        <v>325</v>
      </c>
      <c r="J833" s="117" t="s">
        <v>325</v>
      </c>
      <c r="K833" s="118"/>
      <c r="L833" s="21"/>
      <c r="M833" s="21"/>
      <c r="N833" s="21"/>
      <c r="O833" s="21"/>
      <c r="P833" s="21">
        <v>130.91999999999999</v>
      </c>
      <c r="Q833" s="21"/>
      <c r="R833" s="21" t="s">
        <v>625</v>
      </c>
      <c r="S833" s="119">
        <f>DATABASE_Table[[#This Row],[Inicial Asking Price (€) (Total)]]-DATABASE_Table[[#This Row],[Vista membership]]-DATABASE_Table[[#This Row],[FF&amp;E]]</f>
        <v>660000</v>
      </c>
      <c r="T833" s="125">
        <v>660000</v>
      </c>
      <c r="U833" s="124">
        <v>660000</v>
      </c>
      <c r="V833" s="21"/>
      <c r="W833" s="21"/>
      <c r="X833" s="73">
        <f>DATABASE_Table[[#This Row],[Current Asking price( Total)]]-DATABASE_Table[[#This Row],[Vista membership]]-DATABASE_Table[[#This Row],[FF&amp;E]]</f>
        <v>660000</v>
      </c>
      <c r="Y833" s="126">
        <v>0</v>
      </c>
      <c r="Z833" s="124">
        <v>660000</v>
      </c>
      <c r="AA833" s="73">
        <f>DATABASE_Table[[#This Row],[Sell price (Total)]]-DATABASE_Table[[#This Row],[FF&amp;E]]-DATABASE_Table[[#This Row],[Vista membership]]</f>
        <v>660000</v>
      </c>
      <c r="AB833" s="74">
        <v>45382</v>
      </c>
      <c r="AC833" s="74" t="str">
        <f t="shared" si="12"/>
        <v>Q1 2024</v>
      </c>
      <c r="AD833" s="121">
        <v>45954</v>
      </c>
      <c r="AE833" s="69"/>
      <c r="AF833" s="21" t="s">
        <v>10</v>
      </c>
      <c r="AG833" s="21" t="s">
        <v>11</v>
      </c>
      <c r="AH833" s="122" t="s">
        <v>28</v>
      </c>
      <c r="AI833" s="122" t="s">
        <v>29</v>
      </c>
      <c r="AJ833" s="122" t="s">
        <v>799</v>
      </c>
      <c r="AK833" s="122" t="s">
        <v>800</v>
      </c>
      <c r="AL833" s="21" t="s">
        <v>30</v>
      </c>
      <c r="AM833" s="122" t="s">
        <v>27</v>
      </c>
    </row>
    <row r="834" spans="1:39" customFormat="1" ht="15.75" customHeight="1" x14ac:dyDescent="0.3">
      <c r="A834" t="s">
        <v>27</v>
      </c>
      <c r="B834" s="21" t="s">
        <v>563</v>
      </c>
      <c r="C834" s="21" t="s">
        <v>688</v>
      </c>
      <c r="D834" s="117" t="s">
        <v>359</v>
      </c>
      <c r="E834" s="21" t="s">
        <v>9</v>
      </c>
      <c r="F834" s="21" t="s">
        <v>320</v>
      </c>
      <c r="G834" s="21">
        <v>130.91999999999999</v>
      </c>
      <c r="H834" s="21"/>
      <c r="I834" s="117" t="s">
        <v>325</v>
      </c>
      <c r="J834" s="117" t="s">
        <v>325</v>
      </c>
      <c r="K834" s="118"/>
      <c r="L834" s="21"/>
      <c r="M834" s="21"/>
      <c r="N834" s="21"/>
      <c r="O834" s="21"/>
      <c r="P834" s="21">
        <v>130.91999999999999</v>
      </c>
      <c r="Q834" s="21"/>
      <c r="R834" s="21" t="s">
        <v>625</v>
      </c>
      <c r="S834" s="119">
        <f>DATABASE_Table[[#This Row],[Inicial Asking Price (€) (Total)]]-DATABASE_Table[[#This Row],[Vista membership]]-DATABASE_Table[[#This Row],[FF&amp;E]]</f>
        <v>660000</v>
      </c>
      <c r="T834" s="125">
        <v>660000</v>
      </c>
      <c r="U834" s="124">
        <v>660000</v>
      </c>
      <c r="V834" s="21"/>
      <c r="W834" s="21"/>
      <c r="X834" s="73">
        <f>DATABASE_Table[[#This Row],[Current Asking price( Total)]]-DATABASE_Table[[#This Row],[Vista membership]]-DATABASE_Table[[#This Row],[FF&amp;E]]</f>
        <v>660000</v>
      </c>
      <c r="Y834" s="126">
        <v>0</v>
      </c>
      <c r="Z834" s="124">
        <v>660000</v>
      </c>
      <c r="AA834" s="73">
        <f>DATABASE_Table[[#This Row],[Sell price (Total)]]-DATABASE_Table[[#This Row],[FF&amp;E]]-DATABASE_Table[[#This Row],[Vista membership]]</f>
        <v>660000</v>
      </c>
      <c r="AB834" s="74">
        <v>45382</v>
      </c>
      <c r="AC834" s="74" t="str">
        <f t="shared" ref="AC834:AC897" si="13">IF(AB834="","TO LAUNCH","Q"&amp;ROUNDUP(MONTH(AB834)/3,0)&amp;" "&amp;YEAR(AB834))</f>
        <v>Q1 2024</v>
      </c>
      <c r="AD834" s="121">
        <v>45604</v>
      </c>
      <c r="AE834" s="69"/>
      <c r="AF834" s="21" t="s">
        <v>10</v>
      </c>
      <c r="AG834" s="21" t="s">
        <v>11</v>
      </c>
      <c r="AH834" s="122" t="s">
        <v>28</v>
      </c>
      <c r="AI834" s="122" t="s">
        <v>29</v>
      </c>
      <c r="AJ834" s="122" t="s">
        <v>799</v>
      </c>
      <c r="AK834" s="122" t="s">
        <v>800</v>
      </c>
      <c r="AL834" s="21" t="s">
        <v>30</v>
      </c>
      <c r="AM834" s="122" t="s">
        <v>27</v>
      </c>
    </row>
    <row r="835" spans="1:39" customFormat="1" ht="15.75" customHeight="1" x14ac:dyDescent="0.3">
      <c r="A835" t="s">
        <v>27</v>
      </c>
      <c r="B835" s="21" t="s">
        <v>563</v>
      </c>
      <c r="C835" s="21" t="s">
        <v>688</v>
      </c>
      <c r="D835" s="117" t="s">
        <v>360</v>
      </c>
      <c r="E835" s="21" t="s">
        <v>9</v>
      </c>
      <c r="F835" s="21" t="s">
        <v>320</v>
      </c>
      <c r="G835" s="21">
        <v>130.91999999999999</v>
      </c>
      <c r="H835" s="21"/>
      <c r="I835" s="117" t="s">
        <v>325</v>
      </c>
      <c r="J835" s="117" t="s">
        <v>325</v>
      </c>
      <c r="K835" s="118"/>
      <c r="L835" s="21"/>
      <c r="M835" s="21"/>
      <c r="N835" s="21"/>
      <c r="O835" s="21"/>
      <c r="P835" s="21">
        <v>130.91999999999999</v>
      </c>
      <c r="Q835" s="21"/>
      <c r="R835" s="21" t="s">
        <v>625</v>
      </c>
      <c r="S835" s="119">
        <f>DATABASE_Table[[#This Row],[Inicial Asking Price (€) (Total)]]-DATABASE_Table[[#This Row],[Vista membership]]-DATABASE_Table[[#This Row],[FF&amp;E]]</f>
        <v>660000</v>
      </c>
      <c r="T835" s="125">
        <v>660000</v>
      </c>
      <c r="U835" s="124">
        <v>627000</v>
      </c>
      <c r="V835" s="21"/>
      <c r="W835" s="21"/>
      <c r="X835" s="73">
        <f>DATABASE_Table[[#This Row],[Current Asking price( Total)]]-DATABASE_Table[[#This Row],[Vista membership]]-DATABASE_Table[[#This Row],[FF&amp;E]]</f>
        <v>627000</v>
      </c>
      <c r="Y835" s="126">
        <v>0</v>
      </c>
      <c r="Z835" s="124">
        <v>627000</v>
      </c>
      <c r="AA835" s="73">
        <f>DATABASE_Table[[#This Row],[Sell price (Total)]]-DATABASE_Table[[#This Row],[FF&amp;E]]-DATABASE_Table[[#This Row],[Vista membership]]</f>
        <v>627000</v>
      </c>
      <c r="AB835" s="74">
        <v>45382</v>
      </c>
      <c r="AC835" s="74" t="str">
        <f t="shared" si="13"/>
        <v>Q1 2024</v>
      </c>
      <c r="AD835" s="121">
        <v>45546</v>
      </c>
      <c r="AE835" s="69"/>
      <c r="AF835" s="21" t="s">
        <v>10</v>
      </c>
      <c r="AG835" s="21" t="s">
        <v>11</v>
      </c>
      <c r="AH835" s="122" t="s">
        <v>28</v>
      </c>
      <c r="AI835" s="122" t="s">
        <v>29</v>
      </c>
      <c r="AJ835" s="122" t="s">
        <v>799</v>
      </c>
      <c r="AK835" s="122" t="s">
        <v>800</v>
      </c>
      <c r="AL835" s="21" t="s">
        <v>30</v>
      </c>
      <c r="AM835" s="122" t="s">
        <v>27</v>
      </c>
    </row>
    <row r="836" spans="1:39" customFormat="1" ht="15.75" customHeight="1" x14ac:dyDescent="0.3">
      <c r="A836" t="s">
        <v>27</v>
      </c>
      <c r="B836" s="21" t="s">
        <v>563</v>
      </c>
      <c r="C836" s="21" t="s">
        <v>688</v>
      </c>
      <c r="D836" s="117" t="s">
        <v>361</v>
      </c>
      <c r="E836" s="21" t="s">
        <v>9</v>
      </c>
      <c r="F836" s="21" t="s">
        <v>319</v>
      </c>
      <c r="G836" s="21">
        <v>104.7</v>
      </c>
      <c r="H836" s="21"/>
      <c r="I836" s="117" t="s">
        <v>325</v>
      </c>
      <c r="J836" s="117" t="s">
        <v>325</v>
      </c>
      <c r="K836" s="118"/>
      <c r="L836" s="21"/>
      <c r="M836" s="21"/>
      <c r="N836" s="21"/>
      <c r="O836" s="21"/>
      <c r="P836" s="21">
        <v>104.7</v>
      </c>
      <c r="Q836" s="21"/>
      <c r="R836" s="21" t="s">
        <v>625</v>
      </c>
      <c r="S836" s="119">
        <f>DATABASE_Table[[#This Row],[Inicial Asking Price (€) (Total)]]-DATABASE_Table[[#This Row],[Vista membership]]-DATABASE_Table[[#This Row],[FF&amp;E]]</f>
        <v>570000</v>
      </c>
      <c r="T836" s="125">
        <v>570000</v>
      </c>
      <c r="U836" s="124">
        <v>541500</v>
      </c>
      <c r="V836" s="21"/>
      <c r="W836" s="21"/>
      <c r="X836" s="73">
        <f>DATABASE_Table[[#This Row],[Current Asking price( Total)]]-DATABASE_Table[[#This Row],[Vista membership]]-DATABASE_Table[[#This Row],[FF&amp;E]]</f>
        <v>541500</v>
      </c>
      <c r="Y836" s="126">
        <v>0</v>
      </c>
      <c r="Z836" s="124">
        <v>541500</v>
      </c>
      <c r="AA836" s="73">
        <f>DATABASE_Table[[#This Row],[Sell price (Total)]]-DATABASE_Table[[#This Row],[FF&amp;E]]-DATABASE_Table[[#This Row],[Vista membership]]</f>
        <v>541500</v>
      </c>
      <c r="AB836" s="74">
        <v>45382</v>
      </c>
      <c r="AC836" s="74" t="str">
        <f t="shared" si="13"/>
        <v>Q1 2024</v>
      </c>
      <c r="AD836" s="121">
        <v>45574</v>
      </c>
      <c r="AE836" s="69"/>
      <c r="AF836" s="21" t="s">
        <v>10</v>
      </c>
      <c r="AG836" s="21" t="s">
        <v>11</v>
      </c>
      <c r="AH836" s="122" t="s">
        <v>28</v>
      </c>
      <c r="AI836" s="122" t="s">
        <v>29</v>
      </c>
      <c r="AJ836" s="122" t="s">
        <v>799</v>
      </c>
      <c r="AK836" s="122" t="s">
        <v>800</v>
      </c>
      <c r="AL836" s="21" t="s">
        <v>30</v>
      </c>
      <c r="AM836" s="122" t="s">
        <v>27</v>
      </c>
    </row>
    <row r="837" spans="1:39" customFormat="1" ht="15.75" customHeight="1" x14ac:dyDescent="0.3">
      <c r="A837" t="s">
        <v>27</v>
      </c>
      <c r="B837" s="21" t="s">
        <v>563</v>
      </c>
      <c r="C837" s="21" t="s">
        <v>688</v>
      </c>
      <c r="D837" s="117" t="s">
        <v>398</v>
      </c>
      <c r="E837" s="21" t="s">
        <v>9</v>
      </c>
      <c r="F837" s="21" t="s">
        <v>320</v>
      </c>
      <c r="G837" s="21">
        <v>130.91999999999999</v>
      </c>
      <c r="H837" s="21"/>
      <c r="I837" s="117" t="s">
        <v>325</v>
      </c>
      <c r="J837" s="117" t="s">
        <v>325</v>
      </c>
      <c r="K837" s="118"/>
      <c r="L837" s="21"/>
      <c r="M837" s="21"/>
      <c r="N837" s="21"/>
      <c r="O837" s="21"/>
      <c r="P837" s="21">
        <v>130.91999999999999</v>
      </c>
      <c r="Q837" s="21"/>
      <c r="R837" s="21" t="s">
        <v>327</v>
      </c>
      <c r="S837" s="119">
        <f>DATABASE_Table[[#This Row],[Inicial Asking Price (€) (Total)]]-DATABASE_Table[[#This Row],[Vista membership]]-DATABASE_Table[[#This Row],[FF&amp;E]]</f>
        <v>750000</v>
      </c>
      <c r="T837" s="125">
        <v>750000</v>
      </c>
      <c r="U837" s="124">
        <v>750000</v>
      </c>
      <c r="V837" s="21"/>
      <c r="W837" s="21"/>
      <c r="X837" s="73">
        <f>DATABASE_Table[[#This Row],[Current Asking price( Total)]]-DATABASE_Table[[#This Row],[Vista membership]]-DATABASE_Table[[#This Row],[FF&amp;E]]</f>
        <v>750000</v>
      </c>
      <c r="Y837" s="126">
        <v>0</v>
      </c>
      <c r="Z837" s="124">
        <v>750000</v>
      </c>
      <c r="AA837" s="73">
        <f>DATABASE_Table[[#This Row],[Sell price (Total)]]-DATABASE_Table[[#This Row],[FF&amp;E]]-DATABASE_Table[[#This Row],[Vista membership]]</f>
        <v>750000</v>
      </c>
      <c r="AB837" s="74">
        <v>45382</v>
      </c>
      <c r="AC837" s="74" t="str">
        <f t="shared" si="13"/>
        <v>Q1 2024</v>
      </c>
      <c r="AD837" s="123">
        <v>45781</v>
      </c>
      <c r="AE837" s="69"/>
      <c r="AF837" s="21" t="s">
        <v>10</v>
      </c>
      <c r="AG837" s="21" t="s">
        <v>11</v>
      </c>
      <c r="AH837" s="122" t="s">
        <v>28</v>
      </c>
      <c r="AI837" s="122" t="s">
        <v>29</v>
      </c>
      <c r="AJ837" s="122" t="s">
        <v>799</v>
      </c>
      <c r="AK837" s="122" t="s">
        <v>800</v>
      </c>
      <c r="AL837" s="21" t="s">
        <v>30</v>
      </c>
      <c r="AM837" s="122" t="s">
        <v>27</v>
      </c>
    </row>
    <row r="838" spans="1:39" customFormat="1" ht="15.75" customHeight="1" x14ac:dyDescent="0.3">
      <c r="A838" t="s">
        <v>27</v>
      </c>
      <c r="B838" s="21" t="s">
        <v>563</v>
      </c>
      <c r="C838" s="21" t="s">
        <v>688</v>
      </c>
      <c r="D838" s="117" t="s">
        <v>415</v>
      </c>
      <c r="E838" s="21" t="s">
        <v>9</v>
      </c>
      <c r="F838" s="21" t="s">
        <v>320</v>
      </c>
      <c r="G838" s="21">
        <v>130.91999999999999</v>
      </c>
      <c r="H838" s="21"/>
      <c r="I838" s="117" t="s">
        <v>325</v>
      </c>
      <c r="J838" s="117" t="s">
        <v>325</v>
      </c>
      <c r="K838" s="118"/>
      <c r="L838" s="21"/>
      <c r="M838" s="21"/>
      <c r="N838" s="21"/>
      <c r="O838" s="21"/>
      <c r="P838" s="21">
        <v>130.91999999999999</v>
      </c>
      <c r="Q838" s="21"/>
      <c r="R838" s="21" t="s">
        <v>326</v>
      </c>
      <c r="S838" s="119">
        <f>DATABASE_Table[[#This Row],[Inicial Asking Price (€) (Total)]]-DATABASE_Table[[#This Row],[Vista membership]]-DATABASE_Table[[#This Row],[FF&amp;E]]</f>
        <v>660000</v>
      </c>
      <c r="T838" s="125">
        <v>660000</v>
      </c>
      <c r="U838" s="124">
        <v>680000</v>
      </c>
      <c r="V838" s="21"/>
      <c r="W838" s="21"/>
      <c r="X838" s="73">
        <f>DATABASE_Table[[#This Row],[Current Asking price( Total)]]-DATABASE_Table[[#This Row],[Vista membership]]-DATABASE_Table[[#This Row],[FF&amp;E]]</f>
        <v>680000</v>
      </c>
      <c r="Y838" s="126">
        <v>0</v>
      </c>
      <c r="Z838" s="124">
        <v>680000</v>
      </c>
      <c r="AA838" s="73">
        <f>DATABASE_Table[[#This Row],[Sell price (Total)]]-DATABASE_Table[[#This Row],[FF&amp;E]]-DATABASE_Table[[#This Row],[Vista membership]]</f>
        <v>680000</v>
      </c>
      <c r="AB838" s="74">
        <v>45382</v>
      </c>
      <c r="AC838" s="74" t="str">
        <f t="shared" si="13"/>
        <v>Q1 2024</v>
      </c>
      <c r="AD838" s="123">
        <v>46190</v>
      </c>
      <c r="AE838" s="69"/>
      <c r="AF838" s="21" t="s">
        <v>10</v>
      </c>
      <c r="AG838" s="21" t="s">
        <v>11</v>
      </c>
      <c r="AH838" s="122" t="s">
        <v>28</v>
      </c>
      <c r="AI838" s="122" t="s">
        <v>29</v>
      </c>
      <c r="AJ838" s="122" t="s">
        <v>799</v>
      </c>
      <c r="AK838" s="122" t="s">
        <v>800</v>
      </c>
      <c r="AL838" s="21" t="s">
        <v>30</v>
      </c>
      <c r="AM838" s="122" t="s">
        <v>27</v>
      </c>
    </row>
    <row r="839" spans="1:39" customFormat="1" ht="15.75" customHeight="1" x14ac:dyDescent="0.3">
      <c r="A839" t="s">
        <v>27</v>
      </c>
      <c r="B839" s="21" t="s">
        <v>563</v>
      </c>
      <c r="C839" s="21" t="s">
        <v>688</v>
      </c>
      <c r="D839" s="117" t="s">
        <v>375</v>
      </c>
      <c r="E839" s="21" t="s">
        <v>9</v>
      </c>
      <c r="F839" s="21" t="s">
        <v>319</v>
      </c>
      <c r="G839" s="21">
        <v>104.7</v>
      </c>
      <c r="H839" s="21"/>
      <c r="I839" s="117" t="s">
        <v>325</v>
      </c>
      <c r="J839" s="117" t="s">
        <v>325</v>
      </c>
      <c r="K839" s="118"/>
      <c r="L839" s="21"/>
      <c r="M839" s="21"/>
      <c r="N839" s="21"/>
      <c r="O839" s="21"/>
      <c r="P839" s="21">
        <v>104.7</v>
      </c>
      <c r="Q839" s="21"/>
      <c r="R839" s="21" t="s">
        <v>625</v>
      </c>
      <c r="S839" s="119">
        <f>DATABASE_Table[[#This Row],[Inicial Asking Price (€) (Total)]]-DATABASE_Table[[#This Row],[Vista membership]]-DATABASE_Table[[#This Row],[FF&amp;E]]</f>
        <v>550000</v>
      </c>
      <c r="T839" s="125">
        <v>550000</v>
      </c>
      <c r="U839" s="124">
        <v>550000</v>
      </c>
      <c r="V839" s="21"/>
      <c r="W839" s="21"/>
      <c r="X839" s="73">
        <f>DATABASE_Table[[#This Row],[Current Asking price( Total)]]-DATABASE_Table[[#This Row],[Vista membership]]-DATABASE_Table[[#This Row],[FF&amp;E]]</f>
        <v>550000</v>
      </c>
      <c r="Y839" s="126">
        <v>0.01</v>
      </c>
      <c r="Z839" s="124">
        <v>544500</v>
      </c>
      <c r="AA839" s="73">
        <f>DATABASE_Table[[#This Row],[Sell price (Total)]]-DATABASE_Table[[#This Row],[FF&amp;E]]-DATABASE_Table[[#This Row],[Vista membership]]</f>
        <v>544500</v>
      </c>
      <c r="AB839" s="74">
        <v>45382</v>
      </c>
      <c r="AC839" s="74" t="str">
        <f t="shared" si="13"/>
        <v>Q1 2024</v>
      </c>
      <c r="AD839" s="123">
        <v>45870</v>
      </c>
      <c r="AE839" s="69"/>
      <c r="AF839" s="21" t="s">
        <v>10</v>
      </c>
      <c r="AG839" s="21" t="s">
        <v>11</v>
      </c>
      <c r="AH839" s="122" t="s">
        <v>28</v>
      </c>
      <c r="AI839" s="122" t="s">
        <v>29</v>
      </c>
      <c r="AJ839" s="122" t="s">
        <v>799</v>
      </c>
      <c r="AK839" s="122" t="s">
        <v>800</v>
      </c>
      <c r="AL839" s="21" t="s">
        <v>30</v>
      </c>
      <c r="AM839" s="122" t="s">
        <v>27</v>
      </c>
    </row>
    <row r="840" spans="1:39" customFormat="1" ht="15.75" customHeight="1" x14ac:dyDescent="0.3">
      <c r="A840" t="s">
        <v>27</v>
      </c>
      <c r="B840" s="21" t="s">
        <v>563</v>
      </c>
      <c r="C840" s="21" t="s">
        <v>688</v>
      </c>
      <c r="D840" s="117" t="s">
        <v>368</v>
      </c>
      <c r="E840" s="21" t="s">
        <v>9</v>
      </c>
      <c r="F840" s="21" t="s">
        <v>319</v>
      </c>
      <c r="G840" s="21">
        <v>104.7</v>
      </c>
      <c r="H840" s="21"/>
      <c r="I840" s="117" t="s">
        <v>325</v>
      </c>
      <c r="J840" s="117" t="s">
        <v>325</v>
      </c>
      <c r="K840" s="118"/>
      <c r="L840" s="21"/>
      <c r="M840" s="21"/>
      <c r="N840" s="21"/>
      <c r="O840" s="21"/>
      <c r="P840" s="21">
        <v>104.7</v>
      </c>
      <c r="Q840" s="21"/>
      <c r="R840" s="21" t="s">
        <v>625</v>
      </c>
      <c r="S840" s="119">
        <f>DATABASE_Table[[#This Row],[Inicial Asking Price (€) (Total)]]-DATABASE_Table[[#This Row],[Vista membership]]-DATABASE_Table[[#This Row],[FF&amp;E]]</f>
        <v>540000</v>
      </c>
      <c r="T840" s="125">
        <v>540000</v>
      </c>
      <c r="U840" s="124">
        <v>555000</v>
      </c>
      <c r="V840" s="21"/>
      <c r="W840" s="21"/>
      <c r="X840" s="73">
        <f>DATABASE_Table[[#This Row],[Current Asking price( Total)]]-DATABASE_Table[[#This Row],[Vista membership]]-DATABASE_Table[[#This Row],[FF&amp;E]]</f>
        <v>555000</v>
      </c>
      <c r="Y840" s="126">
        <v>0.02</v>
      </c>
      <c r="Z840" s="124">
        <v>543900</v>
      </c>
      <c r="AA840" s="73">
        <f>DATABASE_Table[[#This Row],[Sell price (Total)]]-DATABASE_Table[[#This Row],[FF&amp;E]]-DATABASE_Table[[#This Row],[Vista membership]]</f>
        <v>543900</v>
      </c>
      <c r="AB840" s="74">
        <v>45382</v>
      </c>
      <c r="AC840" s="74" t="str">
        <f t="shared" si="13"/>
        <v>Q1 2024</v>
      </c>
      <c r="AD840" s="121">
        <v>45922</v>
      </c>
      <c r="AE840" s="69"/>
      <c r="AF840" s="21" t="s">
        <v>10</v>
      </c>
      <c r="AG840" s="21" t="s">
        <v>11</v>
      </c>
      <c r="AH840" s="122" t="s">
        <v>28</v>
      </c>
      <c r="AI840" s="122" t="s">
        <v>29</v>
      </c>
      <c r="AJ840" s="122" t="s">
        <v>799</v>
      </c>
      <c r="AK840" s="122" t="s">
        <v>800</v>
      </c>
      <c r="AL840" s="21" t="s">
        <v>30</v>
      </c>
      <c r="AM840" s="122" t="s">
        <v>27</v>
      </c>
    </row>
    <row r="841" spans="1:39" customFormat="1" ht="15.75" customHeight="1" x14ac:dyDescent="0.3">
      <c r="A841" t="s">
        <v>27</v>
      </c>
      <c r="B841" s="21" t="s">
        <v>563</v>
      </c>
      <c r="C841" s="21" t="s">
        <v>688</v>
      </c>
      <c r="D841" s="117" t="s">
        <v>352</v>
      </c>
      <c r="E841" s="21" t="s">
        <v>9</v>
      </c>
      <c r="F841" s="21" t="s">
        <v>320</v>
      </c>
      <c r="G841" s="21">
        <v>130.91999999999999</v>
      </c>
      <c r="H841" s="21"/>
      <c r="I841" s="117" t="s">
        <v>325</v>
      </c>
      <c r="J841" s="117" t="s">
        <v>325</v>
      </c>
      <c r="K841" s="118"/>
      <c r="L841" s="21"/>
      <c r="M841" s="21"/>
      <c r="N841" s="21"/>
      <c r="O841" s="21"/>
      <c r="P841" s="21">
        <v>130.91999999999999</v>
      </c>
      <c r="Q841" s="21"/>
      <c r="R841" s="21" t="s">
        <v>625</v>
      </c>
      <c r="S841" s="119">
        <f>DATABASE_Table[[#This Row],[Inicial Asking Price (€) (Total)]]-DATABASE_Table[[#This Row],[Vista membership]]-DATABASE_Table[[#This Row],[FF&amp;E]]</f>
        <v>725000</v>
      </c>
      <c r="T841" s="125">
        <v>725000</v>
      </c>
      <c r="U841" s="124">
        <v>725000</v>
      </c>
      <c r="V841" s="21"/>
      <c r="W841" s="21"/>
      <c r="X841" s="73">
        <f>DATABASE_Table[[#This Row],[Current Asking price( Total)]]-DATABASE_Table[[#This Row],[Vista membership]]-DATABASE_Table[[#This Row],[FF&amp;E]]</f>
        <v>725000</v>
      </c>
      <c r="Y841" s="126">
        <v>4.8275862068965503E-2</v>
      </c>
      <c r="Z841" s="124">
        <v>690000</v>
      </c>
      <c r="AA841" s="73">
        <f>DATABASE_Table[[#This Row],[Sell price (Total)]]-DATABASE_Table[[#This Row],[FF&amp;E]]-DATABASE_Table[[#This Row],[Vista membership]]</f>
        <v>690000</v>
      </c>
      <c r="AB841" s="74">
        <v>45382</v>
      </c>
      <c r="AC841" s="74" t="str">
        <f t="shared" si="13"/>
        <v>Q1 2024</v>
      </c>
      <c r="AD841" s="121">
        <v>45866</v>
      </c>
      <c r="AE841" s="69"/>
      <c r="AF841" s="21" t="s">
        <v>10</v>
      </c>
      <c r="AG841" s="21" t="s">
        <v>11</v>
      </c>
      <c r="AH841" s="122" t="s">
        <v>28</v>
      </c>
      <c r="AI841" s="122" t="s">
        <v>29</v>
      </c>
      <c r="AJ841" s="122" t="s">
        <v>799</v>
      </c>
      <c r="AK841" s="122" t="s">
        <v>800</v>
      </c>
      <c r="AL841" s="21" t="s">
        <v>30</v>
      </c>
      <c r="AM841" s="122" t="s">
        <v>27</v>
      </c>
    </row>
    <row r="842" spans="1:39" customFormat="1" ht="15.75" customHeight="1" x14ac:dyDescent="0.3">
      <c r="A842" t="s">
        <v>27</v>
      </c>
      <c r="B842" s="21" t="s">
        <v>563</v>
      </c>
      <c r="C842" s="21" t="s">
        <v>688</v>
      </c>
      <c r="D842" s="117" t="s">
        <v>388</v>
      </c>
      <c r="E842" s="21" t="s">
        <v>9</v>
      </c>
      <c r="F842" s="21" t="s">
        <v>319</v>
      </c>
      <c r="G842" s="21">
        <v>78.3</v>
      </c>
      <c r="H842" s="21"/>
      <c r="I842" s="117" t="s">
        <v>325</v>
      </c>
      <c r="J842" s="117" t="s">
        <v>325</v>
      </c>
      <c r="K842" s="118"/>
      <c r="L842" s="21"/>
      <c r="M842" s="21"/>
      <c r="N842" s="21"/>
      <c r="O842" s="21"/>
      <c r="P842" s="21">
        <v>78.3</v>
      </c>
      <c r="Q842" s="21"/>
      <c r="R842" s="21" t="s">
        <v>625</v>
      </c>
      <c r="S842" s="119">
        <f>DATABASE_Table[[#This Row],[Inicial Asking Price (€) (Total)]]-DATABASE_Table[[#This Row],[Vista membership]]-DATABASE_Table[[#This Row],[FF&amp;E]]</f>
        <v>470000</v>
      </c>
      <c r="T842" s="125">
        <v>470000</v>
      </c>
      <c r="U842" s="124">
        <v>470000</v>
      </c>
      <c r="V842" s="21"/>
      <c r="W842" s="21"/>
      <c r="X842" s="73">
        <f>DATABASE_Table[[#This Row],[Current Asking price( Total)]]-DATABASE_Table[[#This Row],[Vista membership]]-DATABASE_Table[[#This Row],[FF&amp;E]]</f>
        <v>470000</v>
      </c>
      <c r="Y842" s="126">
        <v>0.05</v>
      </c>
      <c r="Z842" s="124">
        <v>446500</v>
      </c>
      <c r="AA842" s="73">
        <f>DATABASE_Table[[#This Row],[Sell price (Total)]]-DATABASE_Table[[#This Row],[FF&amp;E]]-DATABASE_Table[[#This Row],[Vista membership]]</f>
        <v>446500</v>
      </c>
      <c r="AB842" s="74">
        <v>45382</v>
      </c>
      <c r="AC842" s="74" t="str">
        <f t="shared" si="13"/>
        <v>Q1 2024</v>
      </c>
      <c r="AD842" s="121">
        <v>45574</v>
      </c>
      <c r="AE842" s="69"/>
      <c r="AF842" s="21" t="s">
        <v>10</v>
      </c>
      <c r="AG842" s="21" t="s">
        <v>11</v>
      </c>
      <c r="AH842" s="122" t="s">
        <v>28</v>
      </c>
      <c r="AI842" s="122" t="s">
        <v>29</v>
      </c>
      <c r="AJ842" s="122" t="s">
        <v>799</v>
      </c>
      <c r="AK842" s="122" t="s">
        <v>800</v>
      </c>
      <c r="AL842" s="21" t="s">
        <v>30</v>
      </c>
      <c r="AM842" s="122" t="s">
        <v>27</v>
      </c>
    </row>
    <row r="843" spans="1:39" customFormat="1" ht="15.75" customHeight="1" x14ac:dyDescent="0.3">
      <c r="A843" t="s">
        <v>27</v>
      </c>
      <c r="B843" s="21" t="s">
        <v>563</v>
      </c>
      <c r="C843" s="21" t="s">
        <v>688</v>
      </c>
      <c r="D843" s="117" t="s">
        <v>433</v>
      </c>
      <c r="E843" s="21" t="s">
        <v>9</v>
      </c>
      <c r="F843" s="21" t="s">
        <v>320</v>
      </c>
      <c r="G843" s="21">
        <v>130.91999999999999</v>
      </c>
      <c r="H843" s="21"/>
      <c r="I843" s="117" t="s">
        <v>895</v>
      </c>
      <c r="J843" s="117" t="s">
        <v>325</v>
      </c>
      <c r="K843" s="118"/>
      <c r="L843" s="21"/>
      <c r="M843" s="21"/>
      <c r="N843" s="21"/>
      <c r="O843" s="21"/>
      <c r="P843" s="21">
        <v>130.91999999999999</v>
      </c>
      <c r="Q843" s="21"/>
      <c r="R843" s="21" t="s">
        <v>625</v>
      </c>
      <c r="S843" s="119">
        <f>DATABASE_Table[[#This Row],[Inicial Asking Price (€) (Total)]]-DATABASE_Table[[#This Row],[Vista membership]]-DATABASE_Table[[#This Row],[FF&amp;E]]</f>
        <v>730000</v>
      </c>
      <c r="T843" s="125">
        <v>730000</v>
      </c>
      <c r="U843" s="124">
        <v>770000</v>
      </c>
      <c r="V843" s="21"/>
      <c r="W843" s="21"/>
      <c r="X843" s="73">
        <f>DATABASE_Table[[#This Row],[Current Asking price( Total)]]-DATABASE_Table[[#This Row],[Vista membership]]-DATABASE_Table[[#This Row],[FF&amp;E]]</f>
        <v>770000</v>
      </c>
      <c r="Y843" s="126">
        <v>5.1948051948052E-2</v>
      </c>
      <c r="Z843" s="124">
        <v>730000</v>
      </c>
      <c r="AA843" s="73">
        <f>DATABASE_Table[[#This Row],[Sell price (Total)]]-DATABASE_Table[[#This Row],[FF&amp;E]]-DATABASE_Table[[#This Row],[Vista membership]]</f>
        <v>730000</v>
      </c>
      <c r="AB843" s="74">
        <v>45382</v>
      </c>
      <c r="AC843" s="74" t="str">
        <f t="shared" si="13"/>
        <v>Q1 2024</v>
      </c>
      <c r="AD843" s="121">
        <v>45939</v>
      </c>
      <c r="AE843" s="69"/>
      <c r="AF843" s="21" t="s">
        <v>10</v>
      </c>
      <c r="AG843" s="21" t="s">
        <v>11</v>
      </c>
      <c r="AH843" s="122" t="s">
        <v>28</v>
      </c>
      <c r="AI843" s="122" t="s">
        <v>29</v>
      </c>
      <c r="AJ843" s="122" t="s">
        <v>799</v>
      </c>
      <c r="AK843" s="122" t="s">
        <v>800</v>
      </c>
      <c r="AL843" s="21" t="s">
        <v>30</v>
      </c>
      <c r="AM843" s="122" t="s">
        <v>27</v>
      </c>
    </row>
    <row r="844" spans="1:39" customFormat="1" ht="15.75" customHeight="1" x14ac:dyDescent="0.3">
      <c r="A844" t="s">
        <v>27</v>
      </c>
      <c r="B844" s="21" t="s">
        <v>563</v>
      </c>
      <c r="C844" s="21" t="s">
        <v>688</v>
      </c>
      <c r="D844" s="117" t="s">
        <v>382</v>
      </c>
      <c r="E844" s="21" t="s">
        <v>9</v>
      </c>
      <c r="F844" s="21" t="s">
        <v>320</v>
      </c>
      <c r="G844" s="21">
        <v>130.91999999999999</v>
      </c>
      <c r="H844" s="21"/>
      <c r="I844" s="117" t="s">
        <v>325</v>
      </c>
      <c r="J844" s="117" t="s">
        <v>325</v>
      </c>
      <c r="K844" s="118"/>
      <c r="L844" s="21"/>
      <c r="M844" s="21"/>
      <c r="N844" s="21"/>
      <c r="O844" s="21"/>
      <c r="P844" s="21">
        <v>130.91999999999999</v>
      </c>
      <c r="Q844" s="21"/>
      <c r="R844" s="21" t="s">
        <v>329</v>
      </c>
      <c r="S844" s="119">
        <f>DATABASE_Table[[#This Row],[Inicial Asking Price (€) (Total)]]-DATABASE_Table[[#This Row],[Vista membership]]-DATABASE_Table[[#This Row],[FF&amp;E]]</f>
        <v>710000</v>
      </c>
      <c r="T844" s="125">
        <v>710000</v>
      </c>
      <c r="U844" s="124">
        <v>750000</v>
      </c>
      <c r="V844" s="21"/>
      <c r="W844" s="21"/>
      <c r="X844" s="73">
        <f>DATABASE_Table[[#This Row],[Current Asking price( Total)]]-DATABASE_Table[[#This Row],[Vista membership]]-DATABASE_Table[[#This Row],[FF&amp;E]]</f>
        <v>750000</v>
      </c>
      <c r="Y844" s="126"/>
      <c r="Z844" s="124">
        <v>750000</v>
      </c>
      <c r="AA844" s="73">
        <f>DATABASE_Table[[#This Row],[Sell price (Total)]]-DATABASE_Table[[#This Row],[FF&amp;E]]-DATABASE_Table[[#This Row],[Vista membership]]</f>
        <v>750000</v>
      </c>
      <c r="AB844" s="74">
        <v>45382</v>
      </c>
      <c r="AC844" s="74" t="str">
        <f t="shared" si="13"/>
        <v>Q1 2024</v>
      </c>
      <c r="AD844" s="123"/>
      <c r="AE844" s="69"/>
      <c r="AF844" s="21" t="s">
        <v>10</v>
      </c>
      <c r="AG844" s="21" t="s">
        <v>11</v>
      </c>
      <c r="AH844" s="122" t="s">
        <v>28</v>
      </c>
      <c r="AI844" s="122" t="s">
        <v>29</v>
      </c>
      <c r="AJ844" s="122" t="s">
        <v>799</v>
      </c>
      <c r="AK844" s="122" t="s">
        <v>800</v>
      </c>
      <c r="AL844" s="21" t="s">
        <v>30</v>
      </c>
      <c r="AM844" s="122" t="s">
        <v>27</v>
      </c>
    </row>
    <row r="845" spans="1:39" customFormat="1" ht="15.75" customHeight="1" x14ac:dyDescent="0.3">
      <c r="A845" t="s">
        <v>27</v>
      </c>
      <c r="B845" s="21" t="s">
        <v>563</v>
      </c>
      <c r="C845" s="21" t="s">
        <v>688</v>
      </c>
      <c r="D845" s="117" t="s">
        <v>394</v>
      </c>
      <c r="E845" s="21" t="s">
        <v>9</v>
      </c>
      <c r="F845" s="21" t="s">
        <v>321</v>
      </c>
      <c r="G845" s="21">
        <v>157.13999999999999</v>
      </c>
      <c r="H845" s="21"/>
      <c r="I845" s="117" t="s">
        <v>325</v>
      </c>
      <c r="J845" s="117" t="s">
        <v>325</v>
      </c>
      <c r="K845" s="118"/>
      <c r="L845" s="21"/>
      <c r="M845" s="21"/>
      <c r="N845" s="21"/>
      <c r="O845" s="21"/>
      <c r="P845" s="21">
        <v>157.13999999999999</v>
      </c>
      <c r="Q845" s="21"/>
      <c r="R845" s="21" t="s">
        <v>329</v>
      </c>
      <c r="S845" s="119">
        <f>DATABASE_Table[[#This Row],[Inicial Asking Price (€) (Total)]]-DATABASE_Table[[#This Row],[Vista membership]]-DATABASE_Table[[#This Row],[FF&amp;E]]</f>
        <v>925000</v>
      </c>
      <c r="T845" s="125">
        <v>925000</v>
      </c>
      <c r="U845" s="124">
        <v>925000</v>
      </c>
      <c r="V845" s="21"/>
      <c r="W845" s="21"/>
      <c r="X845" s="73">
        <f>DATABASE_Table[[#This Row],[Current Asking price( Total)]]-DATABASE_Table[[#This Row],[Vista membership]]-DATABASE_Table[[#This Row],[FF&amp;E]]</f>
        <v>925000</v>
      </c>
      <c r="Y845" s="126"/>
      <c r="Z845" s="124">
        <v>925000</v>
      </c>
      <c r="AA845" s="73">
        <f>DATABASE_Table[[#This Row],[Sell price (Total)]]-DATABASE_Table[[#This Row],[FF&amp;E]]-DATABASE_Table[[#This Row],[Vista membership]]</f>
        <v>925000</v>
      </c>
      <c r="AB845" s="74">
        <v>45382</v>
      </c>
      <c r="AC845" s="74" t="str">
        <f t="shared" si="13"/>
        <v>Q1 2024</v>
      </c>
      <c r="AD845" s="123"/>
      <c r="AE845" s="69"/>
      <c r="AF845" s="21" t="s">
        <v>10</v>
      </c>
      <c r="AG845" s="21" t="s">
        <v>11</v>
      </c>
      <c r="AH845" s="122" t="s">
        <v>28</v>
      </c>
      <c r="AI845" s="122" t="s">
        <v>29</v>
      </c>
      <c r="AJ845" s="122" t="s">
        <v>799</v>
      </c>
      <c r="AK845" s="122" t="s">
        <v>800</v>
      </c>
      <c r="AL845" s="21" t="s">
        <v>30</v>
      </c>
      <c r="AM845" s="122" t="s">
        <v>27</v>
      </c>
    </row>
    <row r="846" spans="1:39" customFormat="1" ht="15.75" customHeight="1" x14ac:dyDescent="0.3">
      <c r="A846" t="s">
        <v>27</v>
      </c>
      <c r="B846" s="21" t="s">
        <v>563</v>
      </c>
      <c r="C846" s="21" t="s">
        <v>688</v>
      </c>
      <c r="D846" s="117" t="s">
        <v>396</v>
      </c>
      <c r="E846" s="21" t="s">
        <v>9</v>
      </c>
      <c r="F846" s="21" t="s">
        <v>321</v>
      </c>
      <c r="G846" s="21">
        <v>157.13999999999999</v>
      </c>
      <c r="H846" s="21"/>
      <c r="I846" s="117" t="s">
        <v>325</v>
      </c>
      <c r="J846" s="117" t="s">
        <v>325</v>
      </c>
      <c r="K846" s="118"/>
      <c r="L846" s="21"/>
      <c r="M846" s="21"/>
      <c r="N846" s="21"/>
      <c r="O846" s="21"/>
      <c r="P846" s="21">
        <v>157.13999999999999</v>
      </c>
      <c r="Q846" s="21"/>
      <c r="R846" s="21" t="s">
        <v>329</v>
      </c>
      <c r="S846" s="119">
        <f>DATABASE_Table[[#This Row],[Inicial Asking Price (€) (Total)]]-DATABASE_Table[[#This Row],[Vista membership]]-DATABASE_Table[[#This Row],[FF&amp;E]]</f>
        <v>925000</v>
      </c>
      <c r="T846" s="125">
        <v>925000</v>
      </c>
      <c r="U846" s="124">
        <v>925000</v>
      </c>
      <c r="V846" s="21"/>
      <c r="W846" s="21"/>
      <c r="X846" s="73">
        <f>DATABASE_Table[[#This Row],[Current Asking price( Total)]]-DATABASE_Table[[#This Row],[Vista membership]]-DATABASE_Table[[#This Row],[FF&amp;E]]</f>
        <v>925000</v>
      </c>
      <c r="Y846" s="126"/>
      <c r="Z846" s="124">
        <v>925000</v>
      </c>
      <c r="AA846" s="73">
        <f>DATABASE_Table[[#This Row],[Sell price (Total)]]-DATABASE_Table[[#This Row],[FF&amp;E]]-DATABASE_Table[[#This Row],[Vista membership]]</f>
        <v>925000</v>
      </c>
      <c r="AB846" s="74">
        <v>45382</v>
      </c>
      <c r="AC846" s="74" t="str">
        <f t="shared" si="13"/>
        <v>Q1 2024</v>
      </c>
      <c r="AD846" s="123"/>
      <c r="AE846" s="69"/>
      <c r="AF846" s="21" t="s">
        <v>10</v>
      </c>
      <c r="AG846" s="21" t="s">
        <v>11</v>
      </c>
      <c r="AH846" s="122" t="s">
        <v>28</v>
      </c>
      <c r="AI846" s="122" t="s">
        <v>29</v>
      </c>
      <c r="AJ846" s="122" t="s">
        <v>799</v>
      </c>
      <c r="AK846" s="122" t="s">
        <v>800</v>
      </c>
      <c r="AL846" s="21" t="s">
        <v>30</v>
      </c>
      <c r="AM846" s="122" t="s">
        <v>27</v>
      </c>
    </row>
    <row r="847" spans="1:39" customFormat="1" ht="15.75" customHeight="1" x14ac:dyDescent="0.3">
      <c r="A847" t="s">
        <v>27</v>
      </c>
      <c r="B847" s="21" t="s">
        <v>563</v>
      </c>
      <c r="C847" s="21" t="s">
        <v>688</v>
      </c>
      <c r="D847" s="117" t="s">
        <v>397</v>
      </c>
      <c r="E847" s="21" t="s">
        <v>9</v>
      </c>
      <c r="F847" s="21" t="s">
        <v>321</v>
      </c>
      <c r="G847" s="21">
        <v>157.13999999999999</v>
      </c>
      <c r="H847" s="21"/>
      <c r="I847" s="117" t="s">
        <v>325</v>
      </c>
      <c r="J847" s="117" t="s">
        <v>325</v>
      </c>
      <c r="K847" s="118"/>
      <c r="L847" s="21"/>
      <c r="M847" s="21"/>
      <c r="N847" s="21"/>
      <c r="O847" s="21"/>
      <c r="P847" s="21">
        <v>157.13999999999999</v>
      </c>
      <c r="Q847" s="21"/>
      <c r="R847" s="21" t="s">
        <v>329</v>
      </c>
      <c r="S847" s="119">
        <f>DATABASE_Table[[#This Row],[Inicial Asking Price (€) (Total)]]-DATABASE_Table[[#This Row],[Vista membership]]-DATABASE_Table[[#This Row],[FF&amp;E]]</f>
        <v>925000</v>
      </c>
      <c r="T847" s="125">
        <v>925000</v>
      </c>
      <c r="U847" s="124">
        <v>925000</v>
      </c>
      <c r="V847" s="21"/>
      <c r="W847" s="21"/>
      <c r="X847" s="73">
        <f>DATABASE_Table[[#This Row],[Current Asking price( Total)]]-DATABASE_Table[[#This Row],[Vista membership]]-DATABASE_Table[[#This Row],[FF&amp;E]]</f>
        <v>925000</v>
      </c>
      <c r="Y847" s="126"/>
      <c r="Z847" s="124">
        <v>925000</v>
      </c>
      <c r="AA847" s="73">
        <f>DATABASE_Table[[#This Row],[Sell price (Total)]]-DATABASE_Table[[#This Row],[FF&amp;E]]-DATABASE_Table[[#This Row],[Vista membership]]</f>
        <v>925000</v>
      </c>
      <c r="AB847" s="74">
        <v>45382</v>
      </c>
      <c r="AC847" s="74" t="str">
        <f t="shared" si="13"/>
        <v>Q1 2024</v>
      </c>
      <c r="AD847" s="123"/>
      <c r="AE847" s="69"/>
      <c r="AF847" s="21" t="s">
        <v>10</v>
      </c>
      <c r="AG847" s="21" t="s">
        <v>11</v>
      </c>
      <c r="AH847" s="122" t="s">
        <v>28</v>
      </c>
      <c r="AI847" s="122" t="s">
        <v>29</v>
      </c>
      <c r="AJ847" s="122" t="s">
        <v>799</v>
      </c>
      <c r="AK847" s="122" t="s">
        <v>800</v>
      </c>
      <c r="AL847" s="21" t="s">
        <v>30</v>
      </c>
      <c r="AM847" s="122" t="s">
        <v>27</v>
      </c>
    </row>
    <row r="848" spans="1:39" customFormat="1" ht="15.75" customHeight="1" x14ac:dyDescent="0.3">
      <c r="A848" t="s">
        <v>27</v>
      </c>
      <c r="B848" s="21" t="s">
        <v>563</v>
      </c>
      <c r="C848" s="21" t="s">
        <v>688</v>
      </c>
      <c r="D848" s="117" t="s">
        <v>399</v>
      </c>
      <c r="E848" s="21" t="s">
        <v>9</v>
      </c>
      <c r="F848" s="21" t="s">
        <v>321</v>
      </c>
      <c r="G848" s="21">
        <v>157.13999999999999</v>
      </c>
      <c r="H848" s="21"/>
      <c r="I848" s="117" t="s">
        <v>325</v>
      </c>
      <c r="J848" s="117" t="s">
        <v>325</v>
      </c>
      <c r="K848" s="118"/>
      <c r="L848" s="21"/>
      <c r="M848" s="21"/>
      <c r="N848" s="21"/>
      <c r="O848" s="21"/>
      <c r="P848" s="21">
        <v>157.13999999999999</v>
      </c>
      <c r="Q848" s="21"/>
      <c r="R848" s="21" t="s">
        <v>329</v>
      </c>
      <c r="S848" s="119">
        <f>DATABASE_Table[[#This Row],[Inicial Asking Price (€) (Total)]]-DATABASE_Table[[#This Row],[Vista membership]]-DATABASE_Table[[#This Row],[FF&amp;E]]</f>
        <v>925000</v>
      </c>
      <c r="T848" s="125">
        <v>925000</v>
      </c>
      <c r="U848" s="124">
        <v>925000</v>
      </c>
      <c r="V848" s="21"/>
      <c r="W848" s="21"/>
      <c r="X848" s="73">
        <f>DATABASE_Table[[#This Row],[Current Asking price( Total)]]-DATABASE_Table[[#This Row],[Vista membership]]-DATABASE_Table[[#This Row],[FF&amp;E]]</f>
        <v>925000</v>
      </c>
      <c r="Y848" s="126"/>
      <c r="Z848" s="124">
        <v>925000</v>
      </c>
      <c r="AA848" s="73">
        <f>DATABASE_Table[[#This Row],[Sell price (Total)]]-DATABASE_Table[[#This Row],[FF&amp;E]]-DATABASE_Table[[#This Row],[Vista membership]]</f>
        <v>925000</v>
      </c>
      <c r="AB848" s="74">
        <v>45382</v>
      </c>
      <c r="AC848" s="74" t="str">
        <f t="shared" si="13"/>
        <v>Q1 2024</v>
      </c>
      <c r="AD848" s="123"/>
      <c r="AE848" s="69"/>
      <c r="AF848" s="21" t="s">
        <v>10</v>
      </c>
      <c r="AG848" s="21" t="s">
        <v>11</v>
      </c>
      <c r="AH848" s="122" t="s">
        <v>28</v>
      </c>
      <c r="AI848" s="122" t="s">
        <v>29</v>
      </c>
      <c r="AJ848" s="122" t="s">
        <v>799</v>
      </c>
      <c r="AK848" s="122" t="s">
        <v>800</v>
      </c>
      <c r="AL848" s="21" t="s">
        <v>30</v>
      </c>
      <c r="AM848" s="122" t="s">
        <v>27</v>
      </c>
    </row>
    <row r="849" spans="1:39" customFormat="1" ht="15.75" customHeight="1" x14ac:dyDescent="0.3">
      <c r="A849" t="s">
        <v>27</v>
      </c>
      <c r="B849" s="21" t="s">
        <v>563</v>
      </c>
      <c r="C849" s="21" t="s">
        <v>688</v>
      </c>
      <c r="D849" s="117" t="s">
        <v>400</v>
      </c>
      <c r="E849" s="21" t="s">
        <v>9</v>
      </c>
      <c r="F849" s="21" t="s">
        <v>320</v>
      </c>
      <c r="G849" s="21">
        <v>130.91999999999999</v>
      </c>
      <c r="H849" s="21"/>
      <c r="I849" s="117" t="s">
        <v>325</v>
      </c>
      <c r="J849" s="117" t="s">
        <v>325</v>
      </c>
      <c r="K849" s="118"/>
      <c r="L849" s="21"/>
      <c r="M849" s="21"/>
      <c r="N849" s="21"/>
      <c r="O849" s="21"/>
      <c r="P849" s="21">
        <v>130.91999999999999</v>
      </c>
      <c r="Q849" s="21"/>
      <c r="R849" s="21" t="s">
        <v>329</v>
      </c>
      <c r="S849" s="119">
        <f>DATABASE_Table[[#This Row],[Inicial Asking Price (€) (Total)]]-DATABASE_Table[[#This Row],[Vista membership]]-DATABASE_Table[[#This Row],[FF&amp;E]]</f>
        <v>700000</v>
      </c>
      <c r="T849" s="125">
        <v>700000</v>
      </c>
      <c r="U849" s="124">
        <v>710000</v>
      </c>
      <c r="V849" s="21"/>
      <c r="W849" s="21"/>
      <c r="X849" s="73">
        <f>DATABASE_Table[[#This Row],[Current Asking price( Total)]]-DATABASE_Table[[#This Row],[Vista membership]]-DATABASE_Table[[#This Row],[FF&amp;E]]</f>
        <v>710000</v>
      </c>
      <c r="Y849" s="126"/>
      <c r="Z849" s="124">
        <v>710000</v>
      </c>
      <c r="AA849" s="73">
        <f>DATABASE_Table[[#This Row],[Sell price (Total)]]-DATABASE_Table[[#This Row],[FF&amp;E]]-DATABASE_Table[[#This Row],[Vista membership]]</f>
        <v>710000</v>
      </c>
      <c r="AB849" s="74">
        <v>45382</v>
      </c>
      <c r="AC849" s="74" t="str">
        <f t="shared" si="13"/>
        <v>Q1 2024</v>
      </c>
      <c r="AD849" s="123"/>
      <c r="AE849" s="69"/>
      <c r="AF849" s="21" t="s">
        <v>10</v>
      </c>
      <c r="AG849" s="21" t="s">
        <v>11</v>
      </c>
      <c r="AH849" s="122" t="s">
        <v>28</v>
      </c>
      <c r="AI849" s="122" t="s">
        <v>29</v>
      </c>
      <c r="AJ849" s="122" t="s">
        <v>799</v>
      </c>
      <c r="AK849" s="122" t="s">
        <v>800</v>
      </c>
      <c r="AL849" s="21" t="s">
        <v>30</v>
      </c>
      <c r="AM849" s="122" t="s">
        <v>27</v>
      </c>
    </row>
    <row r="850" spans="1:39" customFormat="1" ht="15.75" customHeight="1" x14ac:dyDescent="0.3">
      <c r="A850" t="s">
        <v>27</v>
      </c>
      <c r="B850" s="21" t="s">
        <v>563</v>
      </c>
      <c r="C850" s="21" t="s">
        <v>688</v>
      </c>
      <c r="D850" s="117" t="s">
        <v>407</v>
      </c>
      <c r="E850" s="21" t="s">
        <v>9</v>
      </c>
      <c r="F850" s="21" t="s">
        <v>320</v>
      </c>
      <c r="G850" s="21">
        <v>130.91999999999999</v>
      </c>
      <c r="H850" s="21"/>
      <c r="I850" s="117" t="s">
        <v>325</v>
      </c>
      <c r="J850" s="117" t="s">
        <v>325</v>
      </c>
      <c r="K850" s="118"/>
      <c r="L850" s="21"/>
      <c r="M850" s="21"/>
      <c r="N850" s="21"/>
      <c r="O850" s="21"/>
      <c r="P850" s="21">
        <v>130.91999999999999</v>
      </c>
      <c r="Q850" s="21"/>
      <c r="R850" s="21" t="s">
        <v>329</v>
      </c>
      <c r="S850" s="119">
        <f>DATABASE_Table[[#This Row],[Inicial Asking Price (€) (Total)]]-DATABASE_Table[[#This Row],[Vista membership]]-DATABASE_Table[[#This Row],[FF&amp;E]]</f>
        <v>630000</v>
      </c>
      <c r="T850" s="125">
        <v>630000</v>
      </c>
      <c r="U850" s="124">
        <v>660000</v>
      </c>
      <c r="V850" s="21"/>
      <c r="W850" s="21"/>
      <c r="X850" s="73">
        <f>DATABASE_Table[[#This Row],[Current Asking price( Total)]]-DATABASE_Table[[#This Row],[Vista membership]]-DATABASE_Table[[#This Row],[FF&amp;E]]</f>
        <v>660000</v>
      </c>
      <c r="Y850" s="126"/>
      <c r="Z850" s="124">
        <v>660000</v>
      </c>
      <c r="AA850" s="73">
        <f>DATABASE_Table[[#This Row],[Sell price (Total)]]-DATABASE_Table[[#This Row],[FF&amp;E]]-DATABASE_Table[[#This Row],[Vista membership]]</f>
        <v>660000</v>
      </c>
      <c r="AB850" s="74">
        <v>45382</v>
      </c>
      <c r="AC850" s="74" t="str">
        <f t="shared" si="13"/>
        <v>Q1 2024</v>
      </c>
      <c r="AD850" s="123"/>
      <c r="AE850" s="69"/>
      <c r="AF850" s="21" t="s">
        <v>10</v>
      </c>
      <c r="AG850" s="21" t="s">
        <v>11</v>
      </c>
      <c r="AH850" s="122" t="s">
        <v>28</v>
      </c>
      <c r="AI850" s="122" t="s">
        <v>29</v>
      </c>
      <c r="AJ850" s="122" t="s">
        <v>799</v>
      </c>
      <c r="AK850" s="122" t="s">
        <v>800</v>
      </c>
      <c r="AL850" s="21" t="s">
        <v>30</v>
      </c>
      <c r="AM850" s="122" t="s">
        <v>27</v>
      </c>
    </row>
    <row r="851" spans="1:39" customFormat="1" ht="15.75" customHeight="1" x14ac:dyDescent="0.3">
      <c r="A851" t="s">
        <v>27</v>
      </c>
      <c r="B851" s="21" t="s">
        <v>563</v>
      </c>
      <c r="C851" s="21" t="s">
        <v>688</v>
      </c>
      <c r="D851" s="117" t="s">
        <v>409</v>
      </c>
      <c r="E851" s="21" t="s">
        <v>9</v>
      </c>
      <c r="F851" s="21" t="s">
        <v>320</v>
      </c>
      <c r="G851" s="21">
        <v>130.91999999999999</v>
      </c>
      <c r="H851" s="21"/>
      <c r="I851" s="117" t="s">
        <v>325</v>
      </c>
      <c r="J851" s="117" t="s">
        <v>325</v>
      </c>
      <c r="K851" s="118"/>
      <c r="L851" s="21"/>
      <c r="M851" s="21"/>
      <c r="N851" s="21"/>
      <c r="O851" s="21"/>
      <c r="P851" s="21">
        <v>130.91999999999999</v>
      </c>
      <c r="Q851" s="21"/>
      <c r="R851" s="21" t="s">
        <v>329</v>
      </c>
      <c r="S851" s="119">
        <f>DATABASE_Table[[#This Row],[Inicial Asking Price (€) (Total)]]-DATABASE_Table[[#This Row],[Vista membership]]-DATABASE_Table[[#This Row],[FF&amp;E]]</f>
        <v>660000</v>
      </c>
      <c r="T851" s="125">
        <v>660000</v>
      </c>
      <c r="U851" s="124">
        <v>690000</v>
      </c>
      <c r="V851" s="21"/>
      <c r="W851" s="21"/>
      <c r="X851" s="73">
        <f>DATABASE_Table[[#This Row],[Current Asking price( Total)]]-DATABASE_Table[[#This Row],[Vista membership]]-DATABASE_Table[[#This Row],[FF&amp;E]]</f>
        <v>690000</v>
      </c>
      <c r="Y851" s="126"/>
      <c r="Z851" s="124">
        <v>690000</v>
      </c>
      <c r="AA851" s="73">
        <f>DATABASE_Table[[#This Row],[Sell price (Total)]]-DATABASE_Table[[#This Row],[FF&amp;E]]-DATABASE_Table[[#This Row],[Vista membership]]</f>
        <v>690000</v>
      </c>
      <c r="AB851" s="74">
        <v>45382</v>
      </c>
      <c r="AC851" s="74" t="str">
        <f t="shared" si="13"/>
        <v>Q1 2024</v>
      </c>
      <c r="AD851" s="123"/>
      <c r="AE851" s="69"/>
      <c r="AF851" s="21" t="s">
        <v>10</v>
      </c>
      <c r="AG851" s="21" t="s">
        <v>11</v>
      </c>
      <c r="AH851" s="122" t="s">
        <v>28</v>
      </c>
      <c r="AI851" s="122" t="s">
        <v>29</v>
      </c>
      <c r="AJ851" s="122" t="s">
        <v>799</v>
      </c>
      <c r="AK851" s="122" t="s">
        <v>800</v>
      </c>
      <c r="AL851" s="21" t="s">
        <v>30</v>
      </c>
      <c r="AM851" s="122" t="s">
        <v>27</v>
      </c>
    </row>
    <row r="852" spans="1:39" customFormat="1" ht="15.75" customHeight="1" x14ac:dyDescent="0.3">
      <c r="A852" t="s">
        <v>27</v>
      </c>
      <c r="B852" s="21" t="s">
        <v>563</v>
      </c>
      <c r="C852" s="21" t="s">
        <v>688</v>
      </c>
      <c r="D852" s="117" t="s">
        <v>410</v>
      </c>
      <c r="E852" s="21" t="s">
        <v>9</v>
      </c>
      <c r="F852" s="21" t="s">
        <v>320</v>
      </c>
      <c r="G852" s="21">
        <v>130.91999999999999</v>
      </c>
      <c r="H852" s="21"/>
      <c r="I852" s="117" t="s">
        <v>325</v>
      </c>
      <c r="J852" s="117" t="s">
        <v>325</v>
      </c>
      <c r="K852" s="118"/>
      <c r="L852" s="21"/>
      <c r="M852" s="21"/>
      <c r="N852" s="21"/>
      <c r="O852" s="21"/>
      <c r="P852" s="21">
        <v>130.91999999999999</v>
      </c>
      <c r="Q852" s="21"/>
      <c r="R852" s="21" t="s">
        <v>329</v>
      </c>
      <c r="S852" s="119">
        <f>DATABASE_Table[[#This Row],[Inicial Asking Price (€) (Total)]]-DATABASE_Table[[#This Row],[Vista membership]]-DATABASE_Table[[#This Row],[FF&amp;E]]</f>
        <v>660000</v>
      </c>
      <c r="T852" s="125">
        <v>660000</v>
      </c>
      <c r="U852" s="124">
        <v>690000</v>
      </c>
      <c r="V852" s="21"/>
      <c r="W852" s="21"/>
      <c r="X852" s="73">
        <f>DATABASE_Table[[#This Row],[Current Asking price( Total)]]-DATABASE_Table[[#This Row],[Vista membership]]-DATABASE_Table[[#This Row],[FF&amp;E]]</f>
        <v>690000</v>
      </c>
      <c r="Y852" s="126"/>
      <c r="Z852" s="124">
        <v>690000</v>
      </c>
      <c r="AA852" s="73">
        <f>DATABASE_Table[[#This Row],[Sell price (Total)]]-DATABASE_Table[[#This Row],[FF&amp;E]]-DATABASE_Table[[#This Row],[Vista membership]]</f>
        <v>690000</v>
      </c>
      <c r="AB852" s="74">
        <v>45382</v>
      </c>
      <c r="AC852" s="74" t="str">
        <f t="shared" si="13"/>
        <v>Q1 2024</v>
      </c>
      <c r="AD852" s="123"/>
      <c r="AE852" s="69"/>
      <c r="AF852" s="21" t="s">
        <v>10</v>
      </c>
      <c r="AG852" s="21" t="s">
        <v>11</v>
      </c>
      <c r="AH852" s="122" t="s">
        <v>28</v>
      </c>
      <c r="AI852" s="122" t="s">
        <v>29</v>
      </c>
      <c r="AJ852" s="122" t="s">
        <v>799</v>
      </c>
      <c r="AK852" s="122" t="s">
        <v>800</v>
      </c>
      <c r="AL852" s="21" t="s">
        <v>30</v>
      </c>
      <c r="AM852" s="122" t="s">
        <v>27</v>
      </c>
    </row>
    <row r="853" spans="1:39" customFormat="1" ht="15.75" customHeight="1" x14ac:dyDescent="0.3">
      <c r="A853" t="s">
        <v>27</v>
      </c>
      <c r="B853" s="21" t="s">
        <v>563</v>
      </c>
      <c r="C853" s="21" t="s">
        <v>688</v>
      </c>
      <c r="D853" s="117" t="s">
        <v>423</v>
      </c>
      <c r="E853" s="21" t="s">
        <v>9</v>
      </c>
      <c r="F853" s="21" t="s">
        <v>320</v>
      </c>
      <c r="G853" s="21">
        <v>130.91999999999999</v>
      </c>
      <c r="H853" s="21"/>
      <c r="I853" s="117" t="s">
        <v>892</v>
      </c>
      <c r="J853" s="117" t="s">
        <v>325</v>
      </c>
      <c r="K853" s="118"/>
      <c r="L853" s="21"/>
      <c r="M853" s="21"/>
      <c r="N853" s="21"/>
      <c r="O853" s="21"/>
      <c r="P853" s="21">
        <v>130.91999999999999</v>
      </c>
      <c r="Q853" s="21"/>
      <c r="R853" s="21" t="s">
        <v>329</v>
      </c>
      <c r="S853" s="119">
        <f>DATABASE_Table[[#This Row],[Inicial Asking Price (€) (Total)]]-DATABASE_Table[[#This Row],[Vista membership]]-DATABASE_Table[[#This Row],[FF&amp;E]]</f>
        <v>700000</v>
      </c>
      <c r="T853" s="125">
        <v>700000</v>
      </c>
      <c r="U853" s="124">
        <v>730000</v>
      </c>
      <c r="V853" s="21"/>
      <c r="W853" s="21"/>
      <c r="X853" s="73">
        <f>DATABASE_Table[[#This Row],[Current Asking price( Total)]]-DATABASE_Table[[#This Row],[Vista membership]]-DATABASE_Table[[#This Row],[FF&amp;E]]</f>
        <v>730000</v>
      </c>
      <c r="Y853" s="126"/>
      <c r="Z853" s="124">
        <v>730000</v>
      </c>
      <c r="AA853" s="73">
        <f>DATABASE_Table[[#This Row],[Sell price (Total)]]-DATABASE_Table[[#This Row],[FF&amp;E]]-DATABASE_Table[[#This Row],[Vista membership]]</f>
        <v>730000</v>
      </c>
      <c r="AB853" s="74">
        <v>45382</v>
      </c>
      <c r="AC853" s="74" t="str">
        <f t="shared" si="13"/>
        <v>Q1 2024</v>
      </c>
      <c r="AD853" s="123"/>
      <c r="AE853" s="69"/>
      <c r="AF853" s="21" t="s">
        <v>10</v>
      </c>
      <c r="AG853" s="21" t="s">
        <v>11</v>
      </c>
      <c r="AH853" s="122" t="s">
        <v>28</v>
      </c>
      <c r="AI853" s="122" t="s">
        <v>29</v>
      </c>
      <c r="AJ853" s="122" t="s">
        <v>799</v>
      </c>
      <c r="AK853" s="122" t="s">
        <v>800</v>
      </c>
      <c r="AL853" s="21" t="s">
        <v>30</v>
      </c>
      <c r="AM853" s="122" t="s">
        <v>27</v>
      </c>
    </row>
    <row r="854" spans="1:39" customFormat="1" ht="15.75" customHeight="1" x14ac:dyDescent="0.3">
      <c r="A854" t="s">
        <v>27</v>
      </c>
      <c r="B854" s="21" t="s">
        <v>563</v>
      </c>
      <c r="C854" s="21" t="s">
        <v>688</v>
      </c>
      <c r="D854" s="117" t="s">
        <v>424</v>
      </c>
      <c r="E854" s="21" t="s">
        <v>9</v>
      </c>
      <c r="F854" s="21" t="s">
        <v>320</v>
      </c>
      <c r="G854" s="21">
        <v>130.91999999999999</v>
      </c>
      <c r="H854" s="21"/>
      <c r="I854" s="117" t="s">
        <v>589</v>
      </c>
      <c r="J854" s="117" t="s">
        <v>325</v>
      </c>
      <c r="K854" s="118"/>
      <c r="L854" s="21"/>
      <c r="M854" s="21"/>
      <c r="N854" s="21"/>
      <c r="O854" s="21"/>
      <c r="P854" s="21">
        <v>130.91999999999999</v>
      </c>
      <c r="Q854" s="21"/>
      <c r="R854" s="21" t="s">
        <v>329</v>
      </c>
      <c r="S854" s="119">
        <f>DATABASE_Table[[#This Row],[Inicial Asking Price (€) (Total)]]-DATABASE_Table[[#This Row],[Vista membership]]-DATABASE_Table[[#This Row],[FF&amp;E]]</f>
        <v>700000</v>
      </c>
      <c r="T854" s="125">
        <v>700000</v>
      </c>
      <c r="U854" s="124">
        <v>730000</v>
      </c>
      <c r="V854" s="21"/>
      <c r="W854" s="21"/>
      <c r="X854" s="73">
        <f>DATABASE_Table[[#This Row],[Current Asking price( Total)]]-DATABASE_Table[[#This Row],[Vista membership]]-DATABASE_Table[[#This Row],[FF&amp;E]]</f>
        <v>730000</v>
      </c>
      <c r="Y854" s="126"/>
      <c r="Z854" s="124">
        <v>730000</v>
      </c>
      <c r="AA854" s="73">
        <f>DATABASE_Table[[#This Row],[Sell price (Total)]]-DATABASE_Table[[#This Row],[FF&amp;E]]-DATABASE_Table[[#This Row],[Vista membership]]</f>
        <v>730000</v>
      </c>
      <c r="AB854" s="74">
        <v>45382</v>
      </c>
      <c r="AC854" s="74" t="str">
        <f t="shared" si="13"/>
        <v>Q1 2024</v>
      </c>
      <c r="AD854" s="123"/>
      <c r="AE854" s="69"/>
      <c r="AF854" s="21" t="s">
        <v>10</v>
      </c>
      <c r="AG854" s="21" t="s">
        <v>11</v>
      </c>
      <c r="AH854" s="122" t="s">
        <v>28</v>
      </c>
      <c r="AI854" s="122" t="s">
        <v>29</v>
      </c>
      <c r="AJ854" s="122" t="s">
        <v>799</v>
      </c>
      <c r="AK854" s="122" t="s">
        <v>800</v>
      </c>
      <c r="AL854" s="21" t="s">
        <v>30</v>
      </c>
      <c r="AM854" s="122" t="s">
        <v>27</v>
      </c>
    </row>
    <row r="855" spans="1:39" customFormat="1" ht="15.75" customHeight="1" x14ac:dyDescent="0.3">
      <c r="A855" t="s">
        <v>27</v>
      </c>
      <c r="B855" s="21" t="s">
        <v>563</v>
      </c>
      <c r="C855" s="21" t="s">
        <v>688</v>
      </c>
      <c r="D855" s="117" t="s">
        <v>426</v>
      </c>
      <c r="E855" s="21" t="s">
        <v>9</v>
      </c>
      <c r="F855" s="21" t="s">
        <v>320</v>
      </c>
      <c r="G855" s="21">
        <v>130.91999999999999</v>
      </c>
      <c r="H855" s="21"/>
      <c r="I855" s="117" t="s">
        <v>591</v>
      </c>
      <c r="J855" s="117" t="s">
        <v>325</v>
      </c>
      <c r="K855" s="118"/>
      <c r="L855" s="21"/>
      <c r="M855" s="21"/>
      <c r="N855" s="21"/>
      <c r="O855" s="21"/>
      <c r="P855" s="21">
        <v>130.91999999999999</v>
      </c>
      <c r="Q855" s="21"/>
      <c r="R855" s="21" t="s">
        <v>329</v>
      </c>
      <c r="S855" s="119">
        <f>DATABASE_Table[[#This Row],[Inicial Asking Price (€) (Total)]]-DATABASE_Table[[#This Row],[Vista membership]]-DATABASE_Table[[#This Row],[FF&amp;E]]</f>
        <v>700000</v>
      </c>
      <c r="T855" s="125">
        <v>700000</v>
      </c>
      <c r="U855" s="124">
        <v>730000</v>
      </c>
      <c r="V855" s="21"/>
      <c r="W855" s="21"/>
      <c r="X855" s="73">
        <f>DATABASE_Table[[#This Row],[Current Asking price( Total)]]-DATABASE_Table[[#This Row],[Vista membership]]-DATABASE_Table[[#This Row],[FF&amp;E]]</f>
        <v>730000</v>
      </c>
      <c r="Y855" s="126"/>
      <c r="Z855" s="124">
        <v>730000</v>
      </c>
      <c r="AA855" s="73">
        <f>DATABASE_Table[[#This Row],[Sell price (Total)]]-DATABASE_Table[[#This Row],[FF&amp;E]]-DATABASE_Table[[#This Row],[Vista membership]]</f>
        <v>730000</v>
      </c>
      <c r="AB855" s="74">
        <v>45382</v>
      </c>
      <c r="AC855" s="74" t="str">
        <f t="shared" si="13"/>
        <v>Q1 2024</v>
      </c>
      <c r="AD855" s="123"/>
      <c r="AE855" s="69"/>
      <c r="AF855" s="21" t="s">
        <v>10</v>
      </c>
      <c r="AG855" s="21" t="s">
        <v>11</v>
      </c>
      <c r="AH855" s="122" t="s">
        <v>28</v>
      </c>
      <c r="AI855" s="122" t="s">
        <v>29</v>
      </c>
      <c r="AJ855" s="122" t="s">
        <v>799</v>
      </c>
      <c r="AK855" s="122" t="s">
        <v>800</v>
      </c>
      <c r="AL855" s="21" t="s">
        <v>30</v>
      </c>
      <c r="AM855" s="122" t="s">
        <v>27</v>
      </c>
    </row>
    <row r="856" spans="1:39" customFormat="1" ht="15.75" customHeight="1" x14ac:dyDescent="0.3">
      <c r="A856" t="s">
        <v>22</v>
      </c>
      <c r="B856" s="21" t="s">
        <v>562</v>
      </c>
      <c r="C856" s="21" t="s">
        <v>688</v>
      </c>
      <c r="D856" s="117" t="s">
        <v>336</v>
      </c>
      <c r="E856" s="21" t="s">
        <v>9</v>
      </c>
      <c r="F856" s="21" t="s">
        <v>320</v>
      </c>
      <c r="G856" s="21">
        <v>158</v>
      </c>
      <c r="H856" s="21"/>
      <c r="I856" s="117" t="s">
        <v>325</v>
      </c>
      <c r="J856" s="117" t="s">
        <v>325</v>
      </c>
      <c r="K856" s="118"/>
      <c r="L856" s="21"/>
      <c r="M856" s="21"/>
      <c r="N856" s="21"/>
      <c r="O856" s="21"/>
      <c r="P856" s="21">
        <v>158</v>
      </c>
      <c r="Q856" s="21"/>
      <c r="R856" s="21" t="s">
        <v>923</v>
      </c>
      <c r="S856" s="119">
        <f>DATABASE_Table[[#This Row],[Inicial Asking Price (€) (Total)]]-DATABASE_Table[[#This Row],[Vista membership]]-DATABASE_Table[[#This Row],[FF&amp;E]]</f>
        <v>830000</v>
      </c>
      <c r="T856" s="125">
        <v>830000</v>
      </c>
      <c r="U856" s="124">
        <v>850000</v>
      </c>
      <c r="V856" s="21"/>
      <c r="W856" s="21"/>
      <c r="X856" s="73">
        <f>DATABASE_Table[[#This Row],[Current Asking price( Total)]]-DATABASE_Table[[#This Row],[Vista membership]]-DATABASE_Table[[#This Row],[FF&amp;E]]</f>
        <v>850000</v>
      </c>
      <c r="Y856" s="126">
        <v>0</v>
      </c>
      <c r="Z856" s="124">
        <v>850000</v>
      </c>
      <c r="AA856" s="73">
        <f>DATABASE_Table[[#This Row],[Sell price (Total)]]-DATABASE_Table[[#This Row],[FF&amp;E]]-DATABASE_Table[[#This Row],[Vista membership]]</f>
        <v>850000</v>
      </c>
      <c r="AB856" s="74">
        <v>45035</v>
      </c>
      <c r="AC856" s="74" t="str">
        <f t="shared" si="13"/>
        <v>Q2 2023</v>
      </c>
      <c r="AD856" s="123">
        <v>45898</v>
      </c>
      <c r="AE856" s="69"/>
      <c r="AF856" s="21" t="s">
        <v>10</v>
      </c>
      <c r="AG856" s="21" t="s">
        <v>23</v>
      </c>
      <c r="AH856" s="122" t="s">
        <v>24</v>
      </c>
      <c r="AI856" s="122" t="s">
        <v>797</v>
      </c>
      <c r="AJ856" s="122" t="s">
        <v>25</v>
      </c>
      <c r="AK856" s="122" t="s">
        <v>798</v>
      </c>
      <c r="AL856" s="21" t="s">
        <v>26</v>
      </c>
      <c r="AM856" s="122" t="s">
        <v>22</v>
      </c>
    </row>
    <row r="857" spans="1:39" customFormat="1" ht="15.75" customHeight="1" x14ac:dyDescent="0.3">
      <c r="A857" t="s">
        <v>22</v>
      </c>
      <c r="B857" s="21" t="s">
        <v>562</v>
      </c>
      <c r="C857" s="21" t="s">
        <v>688</v>
      </c>
      <c r="D857" s="117" t="s">
        <v>362</v>
      </c>
      <c r="E857" s="21" t="s">
        <v>9</v>
      </c>
      <c r="F857" s="21" t="s">
        <v>319</v>
      </c>
      <c r="G857" s="21">
        <v>117</v>
      </c>
      <c r="H857" s="21"/>
      <c r="I857" s="117" t="s">
        <v>325</v>
      </c>
      <c r="J857" s="117" t="s">
        <v>325</v>
      </c>
      <c r="K857" s="118"/>
      <c r="L857" s="21"/>
      <c r="M857" s="21"/>
      <c r="N857" s="21"/>
      <c r="O857" s="21"/>
      <c r="P857" s="21">
        <v>117</v>
      </c>
      <c r="Q857" s="21"/>
      <c r="R857" s="21" t="s">
        <v>923</v>
      </c>
      <c r="S857" s="119">
        <f>DATABASE_Table[[#This Row],[Inicial Asking Price (€) (Total)]]-DATABASE_Table[[#This Row],[Vista membership]]-DATABASE_Table[[#This Row],[FF&amp;E]]</f>
        <v>490000</v>
      </c>
      <c r="T857" s="125">
        <v>490000</v>
      </c>
      <c r="U857" s="124">
        <v>490000</v>
      </c>
      <c r="V857" s="21"/>
      <c r="W857" s="21"/>
      <c r="X857" s="73">
        <f>DATABASE_Table[[#This Row],[Current Asking price( Total)]]-DATABASE_Table[[#This Row],[Vista membership]]-DATABASE_Table[[#This Row],[FF&amp;E]]</f>
        <v>490000</v>
      </c>
      <c r="Y857" s="126">
        <v>0</v>
      </c>
      <c r="Z857" s="124">
        <v>490000</v>
      </c>
      <c r="AA857" s="73">
        <f>DATABASE_Table[[#This Row],[Sell price (Total)]]-DATABASE_Table[[#This Row],[FF&amp;E]]-DATABASE_Table[[#This Row],[Vista membership]]</f>
        <v>490000</v>
      </c>
      <c r="AB857" s="74">
        <v>45035</v>
      </c>
      <c r="AC857" s="74" t="str">
        <f t="shared" si="13"/>
        <v>Q2 2023</v>
      </c>
      <c r="AD857" s="123">
        <v>46125</v>
      </c>
      <c r="AE857" s="69"/>
      <c r="AF857" s="21" t="s">
        <v>10</v>
      </c>
      <c r="AG857" s="21" t="s">
        <v>23</v>
      </c>
      <c r="AH857" s="122" t="s">
        <v>24</v>
      </c>
      <c r="AI857" s="122" t="s">
        <v>797</v>
      </c>
      <c r="AJ857" s="122" t="s">
        <v>25</v>
      </c>
      <c r="AK857" s="122" t="s">
        <v>798</v>
      </c>
      <c r="AL857" s="21" t="s">
        <v>26</v>
      </c>
      <c r="AM857" s="122" t="s">
        <v>22</v>
      </c>
    </row>
    <row r="858" spans="1:39" customFormat="1" ht="15.75" customHeight="1" x14ac:dyDescent="0.3">
      <c r="A858" t="s">
        <v>22</v>
      </c>
      <c r="B858" s="21" t="s">
        <v>562</v>
      </c>
      <c r="C858" s="21" t="s">
        <v>688</v>
      </c>
      <c r="D858" s="117" t="s">
        <v>363</v>
      </c>
      <c r="E858" s="21" t="s">
        <v>9</v>
      </c>
      <c r="F858" s="21" t="s">
        <v>320</v>
      </c>
      <c r="G858" s="21">
        <v>157</v>
      </c>
      <c r="H858" s="21"/>
      <c r="I858" s="117" t="s">
        <v>325</v>
      </c>
      <c r="J858" s="117" t="s">
        <v>325</v>
      </c>
      <c r="K858" s="118"/>
      <c r="L858" s="21"/>
      <c r="M858" s="21"/>
      <c r="N858" s="21"/>
      <c r="O858" s="21"/>
      <c r="P858" s="21">
        <v>157</v>
      </c>
      <c r="Q858" s="21"/>
      <c r="R858" s="21" t="s">
        <v>923</v>
      </c>
      <c r="S858" s="119">
        <f>DATABASE_Table[[#This Row],[Inicial Asking Price (€) (Total)]]-DATABASE_Table[[#This Row],[Vista membership]]-DATABASE_Table[[#This Row],[FF&amp;E]]</f>
        <v>740000</v>
      </c>
      <c r="T858" s="125">
        <v>740000</v>
      </c>
      <c r="U858" s="124">
        <v>830000</v>
      </c>
      <c r="V858" s="21"/>
      <c r="W858" s="21"/>
      <c r="X858" s="73">
        <f>DATABASE_Table[[#This Row],[Current Asking price( Total)]]-DATABASE_Table[[#This Row],[Vista membership]]-DATABASE_Table[[#This Row],[FF&amp;E]]</f>
        <v>830000</v>
      </c>
      <c r="Y858" s="126">
        <v>0</v>
      </c>
      <c r="Z858" s="124">
        <v>830000</v>
      </c>
      <c r="AA858" s="73">
        <f>DATABASE_Table[[#This Row],[Sell price (Total)]]-DATABASE_Table[[#This Row],[FF&amp;E]]-DATABASE_Table[[#This Row],[Vista membership]]</f>
        <v>830000</v>
      </c>
      <c r="AB858" s="74">
        <v>45035</v>
      </c>
      <c r="AC858" s="74" t="str">
        <f t="shared" si="13"/>
        <v>Q2 2023</v>
      </c>
      <c r="AD858" s="123"/>
      <c r="AE858" s="69"/>
      <c r="AF858" s="21" t="s">
        <v>10</v>
      </c>
      <c r="AG858" s="21" t="s">
        <v>23</v>
      </c>
      <c r="AH858" s="122" t="s">
        <v>24</v>
      </c>
      <c r="AI858" s="122" t="s">
        <v>797</v>
      </c>
      <c r="AJ858" s="122" t="s">
        <v>25</v>
      </c>
      <c r="AK858" s="122" t="s">
        <v>798</v>
      </c>
      <c r="AL858" s="21" t="s">
        <v>26</v>
      </c>
      <c r="AM858" s="122" t="s">
        <v>22</v>
      </c>
    </row>
    <row r="859" spans="1:39" customFormat="1" ht="15.75" customHeight="1" x14ac:dyDescent="0.3">
      <c r="A859" t="s">
        <v>22</v>
      </c>
      <c r="B859" s="21" t="s">
        <v>562</v>
      </c>
      <c r="C859" s="21" t="s">
        <v>688</v>
      </c>
      <c r="D859" s="117" t="s">
        <v>364</v>
      </c>
      <c r="E859" s="21" t="s">
        <v>9</v>
      </c>
      <c r="F859" s="21" t="s">
        <v>319</v>
      </c>
      <c r="G859" s="21">
        <v>124</v>
      </c>
      <c r="H859" s="21"/>
      <c r="I859" s="117" t="s">
        <v>325</v>
      </c>
      <c r="J859" s="117" t="s">
        <v>325</v>
      </c>
      <c r="K859" s="118"/>
      <c r="L859" s="21"/>
      <c r="M859" s="21"/>
      <c r="N859" s="21"/>
      <c r="O859" s="21"/>
      <c r="P859" s="21">
        <v>124</v>
      </c>
      <c r="Q859" s="21"/>
      <c r="R859" s="21" t="s">
        <v>923</v>
      </c>
      <c r="S859" s="119">
        <f>DATABASE_Table[[#This Row],[Inicial Asking Price (€) (Total)]]-DATABASE_Table[[#This Row],[Vista membership]]-DATABASE_Table[[#This Row],[FF&amp;E]]</f>
        <v>630000</v>
      </c>
      <c r="T859" s="125">
        <v>630000</v>
      </c>
      <c r="U859" s="124">
        <v>680000</v>
      </c>
      <c r="V859" s="21"/>
      <c r="W859" s="21"/>
      <c r="X859" s="73">
        <f>DATABASE_Table[[#This Row],[Current Asking price( Total)]]-DATABASE_Table[[#This Row],[Vista membership]]-DATABASE_Table[[#This Row],[FF&amp;E]]</f>
        <v>680000</v>
      </c>
      <c r="Y859" s="126">
        <v>0</v>
      </c>
      <c r="Z859" s="124">
        <v>680000</v>
      </c>
      <c r="AA859" s="73">
        <f>DATABASE_Table[[#This Row],[Sell price (Total)]]-DATABASE_Table[[#This Row],[FF&amp;E]]-DATABASE_Table[[#This Row],[Vista membership]]</f>
        <v>680000</v>
      </c>
      <c r="AB859" s="74">
        <v>45035</v>
      </c>
      <c r="AC859" s="74" t="str">
        <f t="shared" si="13"/>
        <v>Q2 2023</v>
      </c>
      <c r="AD859" s="123"/>
      <c r="AE859" s="69"/>
      <c r="AF859" s="21" t="s">
        <v>10</v>
      </c>
      <c r="AG859" s="21" t="s">
        <v>23</v>
      </c>
      <c r="AH859" s="122" t="s">
        <v>24</v>
      </c>
      <c r="AI859" s="122" t="s">
        <v>797</v>
      </c>
      <c r="AJ859" s="122" t="s">
        <v>25</v>
      </c>
      <c r="AK859" s="122" t="s">
        <v>798</v>
      </c>
      <c r="AL859" s="21" t="s">
        <v>26</v>
      </c>
      <c r="AM859" s="122" t="s">
        <v>22</v>
      </c>
    </row>
    <row r="860" spans="1:39" customFormat="1" ht="15.75" customHeight="1" x14ac:dyDescent="0.3">
      <c r="A860" t="s">
        <v>22</v>
      </c>
      <c r="B860" s="21" t="s">
        <v>562</v>
      </c>
      <c r="C860" s="21" t="s">
        <v>688</v>
      </c>
      <c r="D860" s="117" t="s">
        <v>365</v>
      </c>
      <c r="E860" s="21" t="s">
        <v>9</v>
      </c>
      <c r="F860" s="21" t="s">
        <v>319</v>
      </c>
      <c r="G860" s="21">
        <v>119</v>
      </c>
      <c r="H860" s="21"/>
      <c r="I860" s="117" t="s">
        <v>325</v>
      </c>
      <c r="J860" s="117" t="s">
        <v>325</v>
      </c>
      <c r="K860" s="118"/>
      <c r="L860" s="21"/>
      <c r="M860" s="21"/>
      <c r="N860" s="21"/>
      <c r="O860" s="21"/>
      <c r="P860" s="21">
        <v>119</v>
      </c>
      <c r="Q860" s="21"/>
      <c r="R860" s="21" t="s">
        <v>923</v>
      </c>
      <c r="S860" s="119">
        <f>DATABASE_Table[[#This Row],[Inicial Asking Price (€) (Total)]]-DATABASE_Table[[#This Row],[Vista membership]]-DATABASE_Table[[#This Row],[FF&amp;E]]</f>
        <v>590000</v>
      </c>
      <c r="T860" s="125">
        <v>590000</v>
      </c>
      <c r="U860" s="124">
        <v>630000</v>
      </c>
      <c r="V860" s="21"/>
      <c r="W860" s="21"/>
      <c r="X860" s="73">
        <f>DATABASE_Table[[#This Row],[Current Asking price( Total)]]-DATABASE_Table[[#This Row],[Vista membership]]-DATABASE_Table[[#This Row],[FF&amp;E]]</f>
        <v>630000</v>
      </c>
      <c r="Y860" s="126">
        <v>0</v>
      </c>
      <c r="Z860" s="124">
        <v>630000</v>
      </c>
      <c r="AA860" s="73">
        <f>DATABASE_Table[[#This Row],[Sell price (Total)]]-DATABASE_Table[[#This Row],[FF&amp;E]]-DATABASE_Table[[#This Row],[Vista membership]]</f>
        <v>630000</v>
      </c>
      <c r="AB860" s="74">
        <v>45035</v>
      </c>
      <c r="AC860" s="74" t="str">
        <f t="shared" si="13"/>
        <v>Q2 2023</v>
      </c>
      <c r="AD860" s="123"/>
      <c r="AE860" s="69"/>
      <c r="AF860" s="21" t="s">
        <v>10</v>
      </c>
      <c r="AG860" s="21" t="s">
        <v>23</v>
      </c>
      <c r="AH860" s="122" t="s">
        <v>24</v>
      </c>
      <c r="AI860" s="122" t="s">
        <v>797</v>
      </c>
      <c r="AJ860" s="122" t="s">
        <v>25</v>
      </c>
      <c r="AK860" s="122" t="s">
        <v>798</v>
      </c>
      <c r="AL860" s="21" t="s">
        <v>26</v>
      </c>
      <c r="AM860" s="122" t="s">
        <v>22</v>
      </c>
    </row>
    <row r="861" spans="1:39" customFormat="1" ht="15.75" customHeight="1" x14ac:dyDescent="0.3">
      <c r="A861" t="s">
        <v>22</v>
      </c>
      <c r="B861" s="21" t="s">
        <v>562</v>
      </c>
      <c r="C861" s="21" t="s">
        <v>688</v>
      </c>
      <c r="D861" s="117" t="s">
        <v>368</v>
      </c>
      <c r="E861" s="21" t="s">
        <v>9</v>
      </c>
      <c r="F861" s="21" t="s">
        <v>319</v>
      </c>
      <c r="G861" s="21">
        <v>119</v>
      </c>
      <c r="H861" s="21"/>
      <c r="I861" s="117" t="s">
        <v>325</v>
      </c>
      <c r="J861" s="117" t="s">
        <v>325</v>
      </c>
      <c r="K861" s="118"/>
      <c r="L861" s="21"/>
      <c r="M861" s="21"/>
      <c r="N861" s="21"/>
      <c r="O861" s="21"/>
      <c r="P861" s="21">
        <v>119</v>
      </c>
      <c r="Q861" s="21"/>
      <c r="R861" s="21" t="s">
        <v>923</v>
      </c>
      <c r="S861" s="119">
        <f>DATABASE_Table[[#This Row],[Inicial Asking Price (€) (Total)]]-DATABASE_Table[[#This Row],[Vista membership]]-DATABASE_Table[[#This Row],[FF&amp;E]]</f>
        <v>590000</v>
      </c>
      <c r="T861" s="125">
        <v>590000</v>
      </c>
      <c r="U861" s="124">
        <v>630000</v>
      </c>
      <c r="V861" s="21"/>
      <c r="W861" s="21"/>
      <c r="X861" s="73">
        <f>DATABASE_Table[[#This Row],[Current Asking price( Total)]]-DATABASE_Table[[#This Row],[Vista membership]]-DATABASE_Table[[#This Row],[FF&amp;E]]</f>
        <v>630000</v>
      </c>
      <c r="Y861" s="126">
        <v>0</v>
      </c>
      <c r="Z861" s="124">
        <v>630000</v>
      </c>
      <c r="AA861" s="73">
        <f>DATABASE_Table[[#This Row],[Sell price (Total)]]-DATABASE_Table[[#This Row],[FF&amp;E]]-DATABASE_Table[[#This Row],[Vista membership]]</f>
        <v>630000</v>
      </c>
      <c r="AB861" s="74">
        <v>45035</v>
      </c>
      <c r="AC861" s="74" t="str">
        <f t="shared" si="13"/>
        <v>Q2 2023</v>
      </c>
      <c r="AD861" s="123">
        <v>46023</v>
      </c>
      <c r="AE861" s="69"/>
      <c r="AF861" s="21" t="s">
        <v>10</v>
      </c>
      <c r="AG861" s="21" t="s">
        <v>23</v>
      </c>
      <c r="AH861" s="122" t="s">
        <v>24</v>
      </c>
      <c r="AI861" s="122" t="s">
        <v>797</v>
      </c>
      <c r="AJ861" s="122" t="s">
        <v>25</v>
      </c>
      <c r="AK861" s="122" t="s">
        <v>798</v>
      </c>
      <c r="AL861" s="21" t="s">
        <v>26</v>
      </c>
      <c r="AM861" s="122" t="s">
        <v>22</v>
      </c>
    </row>
    <row r="862" spans="1:39" customFormat="1" ht="15.75" customHeight="1" x14ac:dyDescent="0.3">
      <c r="A862" t="s">
        <v>22</v>
      </c>
      <c r="B862" s="21" t="s">
        <v>562</v>
      </c>
      <c r="C862" s="21" t="s">
        <v>688</v>
      </c>
      <c r="D862" s="117" t="s">
        <v>370</v>
      </c>
      <c r="E862" s="21" t="s">
        <v>9</v>
      </c>
      <c r="F862" s="21" t="s">
        <v>319</v>
      </c>
      <c r="G862" s="21">
        <v>119</v>
      </c>
      <c r="H862" s="21"/>
      <c r="I862" s="117" t="s">
        <v>325</v>
      </c>
      <c r="J862" s="117" t="s">
        <v>325</v>
      </c>
      <c r="K862" s="118"/>
      <c r="L862" s="21"/>
      <c r="M862" s="21"/>
      <c r="N862" s="21"/>
      <c r="O862" s="21"/>
      <c r="P862" s="21">
        <v>119</v>
      </c>
      <c r="Q862" s="21"/>
      <c r="R862" s="21" t="s">
        <v>923</v>
      </c>
      <c r="S862" s="119">
        <f>DATABASE_Table[[#This Row],[Inicial Asking Price (€) (Total)]]-DATABASE_Table[[#This Row],[Vista membership]]-DATABASE_Table[[#This Row],[FF&amp;E]]</f>
        <v>590000</v>
      </c>
      <c r="T862" s="125">
        <v>590000</v>
      </c>
      <c r="U862" s="124">
        <v>640000</v>
      </c>
      <c r="V862" s="21"/>
      <c r="W862" s="21"/>
      <c r="X862" s="73">
        <f>DATABASE_Table[[#This Row],[Current Asking price( Total)]]-DATABASE_Table[[#This Row],[Vista membership]]-DATABASE_Table[[#This Row],[FF&amp;E]]</f>
        <v>640000</v>
      </c>
      <c r="Y862" s="126">
        <v>0</v>
      </c>
      <c r="Z862" s="124">
        <v>640000</v>
      </c>
      <c r="AA862" s="73">
        <f>DATABASE_Table[[#This Row],[Sell price (Total)]]-DATABASE_Table[[#This Row],[FF&amp;E]]-DATABASE_Table[[#This Row],[Vista membership]]</f>
        <v>640000</v>
      </c>
      <c r="AB862" s="74">
        <v>45035</v>
      </c>
      <c r="AC862" s="74" t="str">
        <f t="shared" si="13"/>
        <v>Q2 2023</v>
      </c>
      <c r="AD862" s="123">
        <v>45923</v>
      </c>
      <c r="AE862" s="69"/>
      <c r="AF862" s="21" t="s">
        <v>10</v>
      </c>
      <c r="AG862" s="21" t="s">
        <v>23</v>
      </c>
      <c r="AH862" s="122" t="s">
        <v>24</v>
      </c>
      <c r="AI862" s="122" t="s">
        <v>797</v>
      </c>
      <c r="AJ862" s="122" t="s">
        <v>25</v>
      </c>
      <c r="AK862" s="122" t="s">
        <v>798</v>
      </c>
      <c r="AL862" s="21" t="s">
        <v>26</v>
      </c>
      <c r="AM862" s="122" t="s">
        <v>22</v>
      </c>
    </row>
    <row r="863" spans="1:39" customFormat="1" ht="15.75" customHeight="1" x14ac:dyDescent="0.3">
      <c r="A863" t="s">
        <v>22</v>
      </c>
      <c r="B863" s="21" t="s">
        <v>562</v>
      </c>
      <c r="C863" s="21" t="s">
        <v>688</v>
      </c>
      <c r="D863" s="117" t="s">
        <v>371</v>
      </c>
      <c r="E863" s="21" t="s">
        <v>9</v>
      </c>
      <c r="F863" s="21" t="s">
        <v>319</v>
      </c>
      <c r="G863" s="21">
        <v>119</v>
      </c>
      <c r="H863" s="21"/>
      <c r="I863" s="117" t="s">
        <v>325</v>
      </c>
      <c r="J863" s="117" t="s">
        <v>325</v>
      </c>
      <c r="K863" s="118"/>
      <c r="L863" s="21"/>
      <c r="M863" s="21"/>
      <c r="N863" s="21"/>
      <c r="O863" s="21"/>
      <c r="P863" s="21">
        <v>119</v>
      </c>
      <c r="Q863" s="21"/>
      <c r="R863" s="21" t="s">
        <v>923</v>
      </c>
      <c r="S863" s="119">
        <f>DATABASE_Table[[#This Row],[Inicial Asking Price (€) (Total)]]-DATABASE_Table[[#This Row],[Vista membership]]-DATABASE_Table[[#This Row],[FF&amp;E]]</f>
        <v>590000</v>
      </c>
      <c r="T863" s="125">
        <v>590000</v>
      </c>
      <c r="U863" s="124">
        <v>640000</v>
      </c>
      <c r="V863" s="21"/>
      <c r="W863" s="21"/>
      <c r="X863" s="73">
        <f>DATABASE_Table[[#This Row],[Current Asking price( Total)]]-DATABASE_Table[[#This Row],[Vista membership]]-DATABASE_Table[[#This Row],[FF&amp;E]]</f>
        <v>640000</v>
      </c>
      <c r="Y863" s="126">
        <v>0</v>
      </c>
      <c r="Z863" s="124">
        <v>640000</v>
      </c>
      <c r="AA863" s="73">
        <f>DATABASE_Table[[#This Row],[Sell price (Total)]]-DATABASE_Table[[#This Row],[FF&amp;E]]-DATABASE_Table[[#This Row],[Vista membership]]</f>
        <v>640000</v>
      </c>
      <c r="AB863" s="74">
        <v>45035</v>
      </c>
      <c r="AC863" s="74" t="str">
        <f t="shared" si="13"/>
        <v>Q2 2023</v>
      </c>
      <c r="AD863" s="123">
        <v>45923</v>
      </c>
      <c r="AE863" s="69"/>
      <c r="AF863" s="21" t="s">
        <v>10</v>
      </c>
      <c r="AG863" s="21" t="s">
        <v>23</v>
      </c>
      <c r="AH863" s="122" t="s">
        <v>24</v>
      </c>
      <c r="AI863" s="122" t="s">
        <v>797</v>
      </c>
      <c r="AJ863" s="122" t="s">
        <v>25</v>
      </c>
      <c r="AK863" s="122" t="s">
        <v>798</v>
      </c>
      <c r="AL863" s="21" t="s">
        <v>26</v>
      </c>
      <c r="AM863" s="122" t="s">
        <v>22</v>
      </c>
    </row>
    <row r="864" spans="1:39" customFormat="1" ht="15.75" customHeight="1" x14ac:dyDescent="0.3">
      <c r="A864" t="s">
        <v>22</v>
      </c>
      <c r="B864" s="21" t="s">
        <v>562</v>
      </c>
      <c r="C864" s="21" t="s">
        <v>688</v>
      </c>
      <c r="D864" s="117" t="s">
        <v>374</v>
      </c>
      <c r="E864" s="21" t="s">
        <v>9</v>
      </c>
      <c r="F864" s="21" t="s">
        <v>319</v>
      </c>
      <c r="G864" s="21">
        <v>119</v>
      </c>
      <c r="H864" s="21"/>
      <c r="I864" s="117" t="s">
        <v>325</v>
      </c>
      <c r="J864" s="117" t="s">
        <v>325</v>
      </c>
      <c r="K864" s="118"/>
      <c r="L864" s="21"/>
      <c r="M864" s="21"/>
      <c r="N864" s="21"/>
      <c r="O864" s="21"/>
      <c r="P864" s="21">
        <v>119</v>
      </c>
      <c r="Q864" s="21"/>
      <c r="R864" s="21" t="s">
        <v>923</v>
      </c>
      <c r="S864" s="119">
        <f>DATABASE_Table[[#This Row],[Inicial Asking Price (€) (Total)]]-DATABASE_Table[[#This Row],[Vista membership]]-DATABASE_Table[[#This Row],[FF&amp;E]]</f>
        <v>590000</v>
      </c>
      <c r="T864" s="125">
        <v>590000</v>
      </c>
      <c r="U864" s="124">
        <v>630000</v>
      </c>
      <c r="V864" s="21"/>
      <c r="W864" s="21"/>
      <c r="X864" s="73">
        <f>DATABASE_Table[[#This Row],[Current Asking price( Total)]]-DATABASE_Table[[#This Row],[Vista membership]]-DATABASE_Table[[#This Row],[FF&amp;E]]</f>
        <v>630000</v>
      </c>
      <c r="Y864" s="126">
        <v>0</v>
      </c>
      <c r="Z864" s="124">
        <v>630000</v>
      </c>
      <c r="AA864" s="73">
        <f>DATABASE_Table[[#This Row],[Sell price (Total)]]-DATABASE_Table[[#This Row],[FF&amp;E]]-DATABASE_Table[[#This Row],[Vista membership]]</f>
        <v>630000</v>
      </c>
      <c r="AB864" s="74">
        <v>45035</v>
      </c>
      <c r="AC864" s="74" t="str">
        <f t="shared" si="13"/>
        <v>Q2 2023</v>
      </c>
      <c r="AD864" s="123">
        <v>45250</v>
      </c>
      <c r="AE864" s="69"/>
      <c r="AF864" s="21" t="s">
        <v>10</v>
      </c>
      <c r="AG864" s="21" t="s">
        <v>23</v>
      </c>
      <c r="AH864" s="122" t="s">
        <v>24</v>
      </c>
      <c r="AI864" s="122" t="s">
        <v>797</v>
      </c>
      <c r="AJ864" s="122" t="s">
        <v>25</v>
      </c>
      <c r="AK864" s="122" t="s">
        <v>798</v>
      </c>
      <c r="AL864" s="21" t="s">
        <v>26</v>
      </c>
      <c r="AM864" s="122" t="s">
        <v>22</v>
      </c>
    </row>
    <row r="865" spans="1:39" customFormat="1" ht="15.75" customHeight="1" x14ac:dyDescent="0.3">
      <c r="A865" t="s">
        <v>22</v>
      </c>
      <c r="B865" s="21" t="s">
        <v>562</v>
      </c>
      <c r="C865" s="21" t="s">
        <v>688</v>
      </c>
      <c r="D865" s="117" t="s">
        <v>375</v>
      </c>
      <c r="E865" s="21" t="s">
        <v>9</v>
      </c>
      <c r="F865" s="21" t="s">
        <v>319</v>
      </c>
      <c r="G865" s="21">
        <v>119</v>
      </c>
      <c r="H865" s="21"/>
      <c r="I865" s="117" t="s">
        <v>325</v>
      </c>
      <c r="J865" s="117" t="s">
        <v>325</v>
      </c>
      <c r="K865" s="118"/>
      <c r="L865" s="21"/>
      <c r="M865" s="21"/>
      <c r="N865" s="21"/>
      <c r="O865" s="21"/>
      <c r="P865" s="21">
        <v>119</v>
      </c>
      <c r="Q865" s="21"/>
      <c r="R865" s="21" t="s">
        <v>923</v>
      </c>
      <c r="S865" s="119">
        <f>DATABASE_Table[[#This Row],[Inicial Asking Price (€) (Total)]]-DATABASE_Table[[#This Row],[Vista membership]]-DATABASE_Table[[#This Row],[FF&amp;E]]</f>
        <v>590000</v>
      </c>
      <c r="T865" s="125">
        <v>590000</v>
      </c>
      <c r="U865" s="124">
        <v>660000</v>
      </c>
      <c r="V865" s="21"/>
      <c r="W865" s="21"/>
      <c r="X865" s="73">
        <f>DATABASE_Table[[#This Row],[Current Asking price( Total)]]-DATABASE_Table[[#This Row],[Vista membership]]-DATABASE_Table[[#This Row],[FF&amp;E]]</f>
        <v>660000</v>
      </c>
      <c r="Y865" s="126">
        <v>0</v>
      </c>
      <c r="Z865" s="124">
        <v>660000</v>
      </c>
      <c r="AA865" s="73">
        <f>DATABASE_Table[[#This Row],[Sell price (Total)]]-DATABASE_Table[[#This Row],[FF&amp;E]]-DATABASE_Table[[#This Row],[Vista membership]]</f>
        <v>660000</v>
      </c>
      <c r="AB865" s="74">
        <v>45035</v>
      </c>
      <c r="AC865" s="74" t="str">
        <f t="shared" si="13"/>
        <v>Q2 2023</v>
      </c>
      <c r="AD865" s="123">
        <v>45923</v>
      </c>
      <c r="AE865" s="69"/>
      <c r="AF865" s="21" t="s">
        <v>10</v>
      </c>
      <c r="AG865" s="21" t="s">
        <v>23</v>
      </c>
      <c r="AH865" s="122" t="s">
        <v>24</v>
      </c>
      <c r="AI865" s="122" t="s">
        <v>797</v>
      </c>
      <c r="AJ865" s="122" t="s">
        <v>25</v>
      </c>
      <c r="AK865" s="122" t="s">
        <v>798</v>
      </c>
      <c r="AL865" s="21" t="s">
        <v>26</v>
      </c>
      <c r="AM865" s="122" t="s">
        <v>22</v>
      </c>
    </row>
    <row r="866" spans="1:39" customFormat="1" ht="15.75" customHeight="1" x14ac:dyDescent="0.3">
      <c r="A866" t="s">
        <v>22</v>
      </c>
      <c r="B866" s="21" t="s">
        <v>562</v>
      </c>
      <c r="C866" s="21" t="s">
        <v>688</v>
      </c>
      <c r="D866" s="117" t="s">
        <v>376</v>
      </c>
      <c r="E866" s="21" t="s">
        <v>9</v>
      </c>
      <c r="F866" s="21" t="s">
        <v>319</v>
      </c>
      <c r="G866" s="21">
        <v>119</v>
      </c>
      <c r="H866" s="21"/>
      <c r="I866" s="117" t="s">
        <v>325</v>
      </c>
      <c r="J866" s="117" t="s">
        <v>325</v>
      </c>
      <c r="K866" s="118"/>
      <c r="L866" s="21"/>
      <c r="M866" s="21"/>
      <c r="N866" s="21"/>
      <c r="O866" s="21"/>
      <c r="P866" s="21">
        <v>119</v>
      </c>
      <c r="Q866" s="21"/>
      <c r="R866" s="21" t="s">
        <v>923</v>
      </c>
      <c r="S866" s="119">
        <f>DATABASE_Table[[#This Row],[Inicial Asking Price (€) (Total)]]-DATABASE_Table[[#This Row],[Vista membership]]-DATABASE_Table[[#This Row],[FF&amp;E]]</f>
        <v>590000</v>
      </c>
      <c r="T866" s="125">
        <v>590000</v>
      </c>
      <c r="U866" s="124">
        <v>590000</v>
      </c>
      <c r="V866" s="21"/>
      <c r="W866" s="21"/>
      <c r="X866" s="73">
        <f>DATABASE_Table[[#This Row],[Current Asking price( Total)]]-DATABASE_Table[[#This Row],[Vista membership]]-DATABASE_Table[[#This Row],[FF&amp;E]]</f>
        <v>590000</v>
      </c>
      <c r="Y866" s="126">
        <v>0</v>
      </c>
      <c r="Z866" s="124">
        <v>590000</v>
      </c>
      <c r="AA866" s="73">
        <f>DATABASE_Table[[#This Row],[Sell price (Total)]]-DATABASE_Table[[#This Row],[FF&amp;E]]-DATABASE_Table[[#This Row],[Vista membership]]</f>
        <v>590000</v>
      </c>
      <c r="AB866" s="74">
        <v>45035</v>
      </c>
      <c r="AC866" s="74" t="str">
        <f t="shared" si="13"/>
        <v>Q2 2023</v>
      </c>
      <c r="AD866" s="123">
        <v>45035</v>
      </c>
      <c r="AE866" s="69"/>
      <c r="AF866" s="21" t="s">
        <v>10</v>
      </c>
      <c r="AG866" s="21" t="s">
        <v>23</v>
      </c>
      <c r="AH866" s="122" t="s">
        <v>24</v>
      </c>
      <c r="AI866" s="122" t="s">
        <v>797</v>
      </c>
      <c r="AJ866" s="122" t="s">
        <v>25</v>
      </c>
      <c r="AK866" s="122" t="s">
        <v>798</v>
      </c>
      <c r="AL866" s="21" t="s">
        <v>26</v>
      </c>
      <c r="AM866" s="122" t="s">
        <v>22</v>
      </c>
    </row>
    <row r="867" spans="1:39" customFormat="1" ht="15.75" customHeight="1" x14ac:dyDescent="0.3">
      <c r="A867" t="s">
        <v>22</v>
      </c>
      <c r="B867" s="21" t="s">
        <v>562</v>
      </c>
      <c r="C867" s="21" t="s">
        <v>688</v>
      </c>
      <c r="D867" s="117" t="s">
        <v>377</v>
      </c>
      <c r="E867" s="21" t="s">
        <v>9</v>
      </c>
      <c r="F867" s="21" t="s">
        <v>320</v>
      </c>
      <c r="G867" s="21">
        <v>162</v>
      </c>
      <c r="H867" s="21"/>
      <c r="I867" s="117" t="s">
        <v>325</v>
      </c>
      <c r="J867" s="117" t="s">
        <v>325</v>
      </c>
      <c r="K867" s="118"/>
      <c r="L867" s="21"/>
      <c r="M867" s="21"/>
      <c r="N867" s="21"/>
      <c r="O867" s="21"/>
      <c r="P867" s="21">
        <v>162</v>
      </c>
      <c r="Q867" s="21"/>
      <c r="R867" s="21" t="s">
        <v>923</v>
      </c>
      <c r="S867" s="119">
        <f>DATABASE_Table[[#This Row],[Inicial Asking Price (€) (Total)]]-DATABASE_Table[[#This Row],[Vista membership]]-DATABASE_Table[[#This Row],[FF&amp;E]]</f>
        <v>840000</v>
      </c>
      <c r="T867" s="125">
        <v>840000</v>
      </c>
      <c r="U867" s="124">
        <v>840000</v>
      </c>
      <c r="V867" s="21"/>
      <c r="W867" s="21"/>
      <c r="X867" s="73">
        <f>DATABASE_Table[[#This Row],[Current Asking price( Total)]]-DATABASE_Table[[#This Row],[Vista membership]]-DATABASE_Table[[#This Row],[FF&amp;E]]</f>
        <v>840000</v>
      </c>
      <c r="Y867" s="126">
        <v>0</v>
      </c>
      <c r="Z867" s="124">
        <v>840000</v>
      </c>
      <c r="AA867" s="73">
        <f>DATABASE_Table[[#This Row],[Sell price (Total)]]-DATABASE_Table[[#This Row],[FF&amp;E]]-DATABASE_Table[[#This Row],[Vista membership]]</f>
        <v>840000</v>
      </c>
      <c r="AB867" s="74">
        <v>45035</v>
      </c>
      <c r="AC867" s="74" t="str">
        <f t="shared" si="13"/>
        <v>Q2 2023</v>
      </c>
      <c r="AD867" s="123">
        <v>45071</v>
      </c>
      <c r="AE867" s="69"/>
      <c r="AF867" s="21" t="s">
        <v>10</v>
      </c>
      <c r="AG867" s="21" t="s">
        <v>23</v>
      </c>
      <c r="AH867" s="122" t="s">
        <v>24</v>
      </c>
      <c r="AI867" s="122" t="s">
        <v>797</v>
      </c>
      <c r="AJ867" s="122" t="s">
        <v>25</v>
      </c>
      <c r="AK867" s="122" t="s">
        <v>798</v>
      </c>
      <c r="AL867" s="21" t="s">
        <v>26</v>
      </c>
      <c r="AM867" s="122" t="s">
        <v>22</v>
      </c>
    </row>
    <row r="868" spans="1:39" customFormat="1" ht="15.75" customHeight="1" x14ac:dyDescent="0.3">
      <c r="A868" t="s">
        <v>22</v>
      </c>
      <c r="B868" s="21" t="s">
        <v>562</v>
      </c>
      <c r="C868" s="21" t="s">
        <v>688</v>
      </c>
      <c r="D868" s="117" t="s">
        <v>378</v>
      </c>
      <c r="E868" s="21" t="s">
        <v>9</v>
      </c>
      <c r="F868" s="21" t="s">
        <v>320</v>
      </c>
      <c r="G868" s="21">
        <v>146</v>
      </c>
      <c r="H868" s="21"/>
      <c r="I868" s="117" t="s">
        <v>325</v>
      </c>
      <c r="J868" s="117" t="s">
        <v>325</v>
      </c>
      <c r="K868" s="118"/>
      <c r="L868" s="21"/>
      <c r="M868" s="21"/>
      <c r="N868" s="21"/>
      <c r="O868" s="21"/>
      <c r="P868" s="21">
        <v>146</v>
      </c>
      <c r="Q868" s="21"/>
      <c r="R868" s="21" t="s">
        <v>923</v>
      </c>
      <c r="S868" s="119">
        <f>DATABASE_Table[[#This Row],[Inicial Asking Price (€) (Total)]]-DATABASE_Table[[#This Row],[Vista membership]]-DATABASE_Table[[#This Row],[FF&amp;E]]</f>
        <v>960000</v>
      </c>
      <c r="T868" s="125">
        <v>960000</v>
      </c>
      <c r="U868" s="124">
        <v>1150000</v>
      </c>
      <c r="V868" s="21"/>
      <c r="W868" s="21"/>
      <c r="X868" s="73">
        <f>DATABASE_Table[[#This Row],[Current Asking price( Total)]]-DATABASE_Table[[#This Row],[Vista membership]]-DATABASE_Table[[#This Row],[FF&amp;E]]</f>
        <v>1150000</v>
      </c>
      <c r="Y868" s="126">
        <v>0</v>
      </c>
      <c r="Z868" s="124">
        <v>1150000</v>
      </c>
      <c r="AA868" s="73">
        <f>DATABASE_Table[[#This Row],[Sell price (Total)]]-DATABASE_Table[[#This Row],[FF&amp;E]]-DATABASE_Table[[#This Row],[Vista membership]]</f>
        <v>1150000</v>
      </c>
      <c r="AB868" s="74">
        <v>45035</v>
      </c>
      <c r="AC868" s="74" t="str">
        <f t="shared" si="13"/>
        <v>Q2 2023</v>
      </c>
      <c r="AD868" s="123">
        <v>45145</v>
      </c>
      <c r="AE868" s="69"/>
      <c r="AF868" s="21" t="s">
        <v>10</v>
      </c>
      <c r="AG868" s="21" t="s">
        <v>23</v>
      </c>
      <c r="AH868" s="122" t="s">
        <v>24</v>
      </c>
      <c r="AI868" s="122" t="s">
        <v>797</v>
      </c>
      <c r="AJ868" s="122" t="s">
        <v>25</v>
      </c>
      <c r="AK868" s="122" t="s">
        <v>798</v>
      </c>
      <c r="AL868" s="21" t="s">
        <v>26</v>
      </c>
      <c r="AM868" s="122" t="s">
        <v>22</v>
      </c>
    </row>
    <row r="869" spans="1:39" customFormat="1" ht="15.75" customHeight="1" x14ac:dyDescent="0.3">
      <c r="A869" t="s">
        <v>22</v>
      </c>
      <c r="B869" s="21" t="s">
        <v>562</v>
      </c>
      <c r="C869" s="21" t="s">
        <v>688</v>
      </c>
      <c r="D869" s="117" t="s">
        <v>379</v>
      </c>
      <c r="E869" s="21" t="s">
        <v>9</v>
      </c>
      <c r="F869" s="21" t="s">
        <v>320</v>
      </c>
      <c r="G869" s="21">
        <v>143</v>
      </c>
      <c r="H869" s="21"/>
      <c r="I869" s="117" t="s">
        <v>325</v>
      </c>
      <c r="J869" s="117" t="s">
        <v>325</v>
      </c>
      <c r="K869" s="118"/>
      <c r="L869" s="21"/>
      <c r="M869" s="21"/>
      <c r="N869" s="21"/>
      <c r="O869" s="21"/>
      <c r="P869" s="21">
        <v>143</v>
      </c>
      <c r="Q869" s="21"/>
      <c r="R869" s="21" t="s">
        <v>923</v>
      </c>
      <c r="S869" s="119">
        <f>DATABASE_Table[[#This Row],[Inicial Asking Price (€) (Total)]]-DATABASE_Table[[#This Row],[Vista membership]]-DATABASE_Table[[#This Row],[FF&amp;E]]</f>
        <v>840000</v>
      </c>
      <c r="T869" s="125">
        <v>840000</v>
      </c>
      <c r="U869" s="124">
        <v>1040000</v>
      </c>
      <c r="V869" s="21"/>
      <c r="W869" s="21"/>
      <c r="X869" s="73">
        <f>DATABASE_Table[[#This Row],[Current Asking price( Total)]]-DATABASE_Table[[#This Row],[Vista membership]]-DATABASE_Table[[#This Row],[FF&amp;E]]</f>
        <v>1040000</v>
      </c>
      <c r="Y869" s="126">
        <v>0</v>
      </c>
      <c r="Z869" s="124">
        <v>1040000</v>
      </c>
      <c r="AA869" s="73">
        <f>DATABASE_Table[[#This Row],[Sell price (Total)]]-DATABASE_Table[[#This Row],[FF&amp;E]]-DATABASE_Table[[#This Row],[Vista membership]]</f>
        <v>1040000</v>
      </c>
      <c r="AB869" s="74">
        <v>45035</v>
      </c>
      <c r="AC869" s="74" t="str">
        <f t="shared" si="13"/>
        <v>Q2 2023</v>
      </c>
      <c r="AD869" s="123">
        <v>45923</v>
      </c>
      <c r="AE869" s="69"/>
      <c r="AF869" s="21" t="s">
        <v>10</v>
      </c>
      <c r="AG869" s="21" t="s">
        <v>23</v>
      </c>
      <c r="AH869" s="122" t="s">
        <v>24</v>
      </c>
      <c r="AI869" s="122" t="s">
        <v>797</v>
      </c>
      <c r="AJ869" s="122" t="s">
        <v>25</v>
      </c>
      <c r="AK869" s="122" t="s">
        <v>798</v>
      </c>
      <c r="AL869" s="21" t="s">
        <v>26</v>
      </c>
      <c r="AM869" s="122" t="s">
        <v>22</v>
      </c>
    </row>
    <row r="870" spans="1:39" customFormat="1" ht="15.75" customHeight="1" x14ac:dyDescent="0.3">
      <c r="A870" t="s">
        <v>22</v>
      </c>
      <c r="B870" s="21" t="s">
        <v>562</v>
      </c>
      <c r="C870" s="21" t="s">
        <v>688</v>
      </c>
      <c r="D870" s="117" t="s">
        <v>381</v>
      </c>
      <c r="E870" s="21" t="s">
        <v>9</v>
      </c>
      <c r="F870" s="21" t="s">
        <v>319</v>
      </c>
      <c r="G870" s="21">
        <v>111</v>
      </c>
      <c r="H870" s="21"/>
      <c r="I870" s="117" t="s">
        <v>325</v>
      </c>
      <c r="J870" s="117" t="s">
        <v>325</v>
      </c>
      <c r="K870" s="118"/>
      <c r="L870" s="21"/>
      <c r="M870" s="21"/>
      <c r="N870" s="21"/>
      <c r="O870" s="21"/>
      <c r="P870" s="21">
        <v>111</v>
      </c>
      <c r="Q870" s="21"/>
      <c r="R870" s="21" t="s">
        <v>923</v>
      </c>
      <c r="S870" s="119">
        <f>DATABASE_Table[[#This Row],[Inicial Asking Price (€) (Total)]]-DATABASE_Table[[#This Row],[Vista membership]]-DATABASE_Table[[#This Row],[FF&amp;E]]</f>
        <v>660000</v>
      </c>
      <c r="T870" s="125">
        <v>660000</v>
      </c>
      <c r="U870" s="124">
        <v>830000</v>
      </c>
      <c r="V870" s="21"/>
      <c r="W870" s="21"/>
      <c r="X870" s="73">
        <f>DATABASE_Table[[#This Row],[Current Asking price( Total)]]-DATABASE_Table[[#This Row],[Vista membership]]-DATABASE_Table[[#This Row],[FF&amp;E]]</f>
        <v>830000</v>
      </c>
      <c r="Y870" s="126">
        <v>0</v>
      </c>
      <c r="Z870" s="124">
        <v>830000</v>
      </c>
      <c r="AA870" s="73">
        <f>DATABASE_Table[[#This Row],[Sell price (Total)]]-DATABASE_Table[[#This Row],[FF&amp;E]]-DATABASE_Table[[#This Row],[Vista membership]]</f>
        <v>830000</v>
      </c>
      <c r="AB870" s="74">
        <v>45035</v>
      </c>
      <c r="AC870" s="74" t="str">
        <f t="shared" si="13"/>
        <v>Q2 2023</v>
      </c>
      <c r="AD870" s="123">
        <v>45720</v>
      </c>
      <c r="AE870" s="69"/>
      <c r="AF870" s="21" t="s">
        <v>10</v>
      </c>
      <c r="AG870" s="21" t="s">
        <v>23</v>
      </c>
      <c r="AH870" s="122" t="s">
        <v>24</v>
      </c>
      <c r="AI870" s="122" t="s">
        <v>797</v>
      </c>
      <c r="AJ870" s="122" t="s">
        <v>25</v>
      </c>
      <c r="AK870" s="122" t="s">
        <v>798</v>
      </c>
      <c r="AL870" s="21" t="s">
        <v>26</v>
      </c>
      <c r="AM870" s="122" t="s">
        <v>22</v>
      </c>
    </row>
    <row r="871" spans="1:39" customFormat="1" ht="15.75" customHeight="1" x14ac:dyDescent="0.3">
      <c r="A871" t="s">
        <v>22</v>
      </c>
      <c r="B871" s="21" t="s">
        <v>562</v>
      </c>
      <c r="C871" s="21" t="s">
        <v>688</v>
      </c>
      <c r="D871" s="117" t="s">
        <v>382</v>
      </c>
      <c r="E871" s="21" t="s">
        <v>9</v>
      </c>
      <c r="F871" s="21" t="s">
        <v>320</v>
      </c>
      <c r="G871" s="21">
        <v>143</v>
      </c>
      <c r="H871" s="21"/>
      <c r="I871" s="117" t="s">
        <v>325</v>
      </c>
      <c r="J871" s="117" t="s">
        <v>325</v>
      </c>
      <c r="K871" s="118"/>
      <c r="L871" s="21"/>
      <c r="M871" s="21"/>
      <c r="N871" s="21"/>
      <c r="O871" s="21"/>
      <c r="P871" s="21">
        <v>143</v>
      </c>
      <c r="Q871" s="21"/>
      <c r="R871" s="21" t="s">
        <v>923</v>
      </c>
      <c r="S871" s="119">
        <f>DATABASE_Table[[#This Row],[Inicial Asking Price (€) (Total)]]-DATABASE_Table[[#This Row],[Vista membership]]-DATABASE_Table[[#This Row],[FF&amp;E]]</f>
        <v>840000</v>
      </c>
      <c r="T871" s="125">
        <v>840000</v>
      </c>
      <c r="U871" s="124">
        <v>1050000</v>
      </c>
      <c r="V871" s="21"/>
      <c r="W871" s="21"/>
      <c r="X871" s="73">
        <f>DATABASE_Table[[#This Row],[Current Asking price( Total)]]-DATABASE_Table[[#This Row],[Vista membership]]-DATABASE_Table[[#This Row],[FF&amp;E]]</f>
        <v>1050000</v>
      </c>
      <c r="Y871" s="126">
        <v>0</v>
      </c>
      <c r="Z871" s="124">
        <v>1050000</v>
      </c>
      <c r="AA871" s="73">
        <f>DATABASE_Table[[#This Row],[Sell price (Total)]]-DATABASE_Table[[#This Row],[FF&amp;E]]-DATABASE_Table[[#This Row],[Vista membership]]</f>
        <v>1050000</v>
      </c>
      <c r="AB871" s="74">
        <v>45035</v>
      </c>
      <c r="AC871" s="74" t="str">
        <f t="shared" si="13"/>
        <v>Q2 2023</v>
      </c>
      <c r="AD871" s="123">
        <v>45433</v>
      </c>
      <c r="AE871" s="69"/>
      <c r="AF871" s="21" t="s">
        <v>10</v>
      </c>
      <c r="AG871" s="21" t="s">
        <v>23</v>
      </c>
      <c r="AH871" s="122" t="s">
        <v>24</v>
      </c>
      <c r="AI871" s="122" t="s">
        <v>797</v>
      </c>
      <c r="AJ871" s="122" t="s">
        <v>25</v>
      </c>
      <c r="AK871" s="122" t="s">
        <v>798</v>
      </c>
      <c r="AL871" s="21" t="s">
        <v>26</v>
      </c>
      <c r="AM871" s="122" t="s">
        <v>22</v>
      </c>
    </row>
    <row r="872" spans="1:39" customFormat="1" ht="15.75" customHeight="1" x14ac:dyDescent="0.3">
      <c r="A872" t="s">
        <v>22</v>
      </c>
      <c r="B872" s="21" t="s">
        <v>562</v>
      </c>
      <c r="C872" s="21" t="s">
        <v>688</v>
      </c>
      <c r="D872" s="117" t="s">
        <v>385</v>
      </c>
      <c r="E872" s="21" t="s">
        <v>9</v>
      </c>
      <c r="F872" s="21" t="s">
        <v>320</v>
      </c>
      <c r="G872" s="21">
        <v>146</v>
      </c>
      <c r="H872" s="21"/>
      <c r="I872" s="117" t="s">
        <v>325</v>
      </c>
      <c r="J872" s="117" t="s">
        <v>325</v>
      </c>
      <c r="K872" s="118"/>
      <c r="L872" s="21"/>
      <c r="M872" s="21"/>
      <c r="N872" s="21"/>
      <c r="O872" s="21"/>
      <c r="P872" s="21">
        <v>146</v>
      </c>
      <c r="Q872" s="21"/>
      <c r="R872" s="21" t="s">
        <v>923</v>
      </c>
      <c r="S872" s="119">
        <f>DATABASE_Table[[#This Row],[Inicial Asking Price (€) (Total)]]-DATABASE_Table[[#This Row],[Vista membership]]-DATABASE_Table[[#This Row],[FF&amp;E]]</f>
        <v>960000</v>
      </c>
      <c r="T872" s="125">
        <v>960000</v>
      </c>
      <c r="U872" s="124">
        <v>1200000</v>
      </c>
      <c r="V872" s="21"/>
      <c r="W872" s="21"/>
      <c r="X872" s="73">
        <f>DATABASE_Table[[#This Row],[Current Asking price( Total)]]-DATABASE_Table[[#This Row],[Vista membership]]-DATABASE_Table[[#This Row],[FF&amp;E]]</f>
        <v>1200000</v>
      </c>
      <c r="Y872" s="126">
        <v>0</v>
      </c>
      <c r="Z872" s="124">
        <v>1200000</v>
      </c>
      <c r="AA872" s="73">
        <f>DATABASE_Table[[#This Row],[Sell price (Total)]]-DATABASE_Table[[#This Row],[FF&amp;E]]-DATABASE_Table[[#This Row],[Vista membership]]</f>
        <v>1200000</v>
      </c>
      <c r="AB872" s="74">
        <v>45035</v>
      </c>
      <c r="AC872" s="74" t="str">
        <f t="shared" si="13"/>
        <v>Q2 2023</v>
      </c>
      <c r="AD872" s="123">
        <v>45071</v>
      </c>
      <c r="AE872" s="69"/>
      <c r="AF872" s="21" t="s">
        <v>10</v>
      </c>
      <c r="AG872" s="21" t="s">
        <v>23</v>
      </c>
      <c r="AH872" s="122" t="s">
        <v>24</v>
      </c>
      <c r="AI872" s="122" t="s">
        <v>797</v>
      </c>
      <c r="AJ872" s="122" t="s">
        <v>25</v>
      </c>
      <c r="AK872" s="122" t="s">
        <v>798</v>
      </c>
      <c r="AL872" s="21" t="s">
        <v>26</v>
      </c>
      <c r="AM872" s="122" t="s">
        <v>22</v>
      </c>
    </row>
    <row r="873" spans="1:39" customFormat="1" ht="15.75" customHeight="1" x14ac:dyDescent="0.3">
      <c r="A873" t="s">
        <v>22</v>
      </c>
      <c r="B873" s="21" t="s">
        <v>562</v>
      </c>
      <c r="C873" s="21" t="s">
        <v>688</v>
      </c>
      <c r="D873" s="117" t="s">
        <v>337</v>
      </c>
      <c r="E873" s="21" t="s">
        <v>9</v>
      </c>
      <c r="F873" s="21" t="s">
        <v>319</v>
      </c>
      <c r="G873" s="21">
        <v>111</v>
      </c>
      <c r="H873" s="21"/>
      <c r="I873" s="117" t="s">
        <v>325</v>
      </c>
      <c r="J873" s="117" t="s">
        <v>325</v>
      </c>
      <c r="K873" s="118"/>
      <c r="L873" s="21"/>
      <c r="M873" s="21"/>
      <c r="N873" s="21"/>
      <c r="O873" s="21"/>
      <c r="P873" s="21">
        <v>111</v>
      </c>
      <c r="Q873" s="21"/>
      <c r="R873" s="21" t="s">
        <v>923</v>
      </c>
      <c r="S873" s="119">
        <f>DATABASE_Table[[#This Row],[Inicial Asking Price (€) (Total)]]-DATABASE_Table[[#This Row],[Vista membership]]-DATABASE_Table[[#This Row],[FF&amp;E]]</f>
        <v>570000</v>
      </c>
      <c r="T873" s="125">
        <v>570000</v>
      </c>
      <c r="U873" s="124">
        <v>590000</v>
      </c>
      <c r="V873" s="21"/>
      <c r="W873" s="21"/>
      <c r="X873" s="73">
        <f>DATABASE_Table[[#This Row],[Current Asking price( Total)]]-DATABASE_Table[[#This Row],[Vista membership]]-DATABASE_Table[[#This Row],[FF&amp;E]]</f>
        <v>590000</v>
      </c>
      <c r="Y873" s="126">
        <v>0</v>
      </c>
      <c r="Z873" s="124">
        <v>590000</v>
      </c>
      <c r="AA873" s="73">
        <f>DATABASE_Table[[#This Row],[Sell price (Total)]]-DATABASE_Table[[#This Row],[FF&amp;E]]-DATABASE_Table[[#This Row],[Vista membership]]</f>
        <v>590000</v>
      </c>
      <c r="AB873" s="74">
        <v>45035</v>
      </c>
      <c r="AC873" s="74" t="str">
        <f t="shared" si="13"/>
        <v>Q2 2023</v>
      </c>
      <c r="AD873" s="123">
        <v>45187</v>
      </c>
      <c r="AE873" s="69"/>
      <c r="AF873" s="21" t="s">
        <v>10</v>
      </c>
      <c r="AG873" s="21" t="s">
        <v>23</v>
      </c>
      <c r="AH873" s="122" t="s">
        <v>24</v>
      </c>
      <c r="AI873" s="122" t="s">
        <v>797</v>
      </c>
      <c r="AJ873" s="122" t="s">
        <v>25</v>
      </c>
      <c r="AK873" s="122" t="s">
        <v>798</v>
      </c>
      <c r="AL873" s="21" t="s">
        <v>26</v>
      </c>
      <c r="AM873" s="122" t="s">
        <v>22</v>
      </c>
    </row>
    <row r="874" spans="1:39" customFormat="1" ht="15.75" customHeight="1" x14ac:dyDescent="0.3">
      <c r="A874" t="s">
        <v>22</v>
      </c>
      <c r="B874" s="21" t="s">
        <v>562</v>
      </c>
      <c r="C874" s="21" t="s">
        <v>688</v>
      </c>
      <c r="D874" s="117" t="s">
        <v>338</v>
      </c>
      <c r="E874" s="21" t="s">
        <v>9</v>
      </c>
      <c r="F874" s="21" t="s">
        <v>319</v>
      </c>
      <c r="G874" s="21">
        <v>111</v>
      </c>
      <c r="H874" s="21"/>
      <c r="I874" s="117" t="s">
        <v>325</v>
      </c>
      <c r="J874" s="117" t="s">
        <v>325</v>
      </c>
      <c r="K874" s="118"/>
      <c r="L874" s="21"/>
      <c r="M874" s="21"/>
      <c r="N874" s="21"/>
      <c r="O874" s="21"/>
      <c r="P874" s="21">
        <v>111</v>
      </c>
      <c r="Q874" s="21"/>
      <c r="R874" s="21" t="s">
        <v>923</v>
      </c>
      <c r="S874" s="119">
        <f>DATABASE_Table[[#This Row],[Inicial Asking Price (€) (Total)]]-DATABASE_Table[[#This Row],[Vista membership]]-DATABASE_Table[[#This Row],[FF&amp;E]]</f>
        <v>570000</v>
      </c>
      <c r="T874" s="125">
        <v>570000</v>
      </c>
      <c r="U874" s="124">
        <v>570000</v>
      </c>
      <c r="V874" s="21"/>
      <c r="W874" s="21"/>
      <c r="X874" s="73">
        <f>DATABASE_Table[[#This Row],[Current Asking price( Total)]]-DATABASE_Table[[#This Row],[Vista membership]]-DATABASE_Table[[#This Row],[FF&amp;E]]</f>
        <v>570000</v>
      </c>
      <c r="Y874" s="126">
        <v>0</v>
      </c>
      <c r="Z874" s="124">
        <v>570000</v>
      </c>
      <c r="AA874" s="73">
        <f>DATABASE_Table[[#This Row],[Sell price (Total)]]-DATABASE_Table[[#This Row],[FF&amp;E]]-DATABASE_Table[[#This Row],[Vista membership]]</f>
        <v>570000</v>
      </c>
      <c r="AB874" s="74">
        <v>45035</v>
      </c>
      <c r="AC874" s="74" t="str">
        <f t="shared" si="13"/>
        <v>Q2 2023</v>
      </c>
      <c r="AD874" s="123">
        <v>45096</v>
      </c>
      <c r="AE874" s="69"/>
      <c r="AF874" s="21" t="s">
        <v>10</v>
      </c>
      <c r="AG874" s="21" t="s">
        <v>23</v>
      </c>
      <c r="AH874" s="122" t="s">
        <v>24</v>
      </c>
      <c r="AI874" s="122" t="s">
        <v>797</v>
      </c>
      <c r="AJ874" s="122" t="s">
        <v>25</v>
      </c>
      <c r="AK874" s="122" t="s">
        <v>798</v>
      </c>
      <c r="AL874" s="21" t="s">
        <v>26</v>
      </c>
      <c r="AM874" s="122" t="s">
        <v>22</v>
      </c>
    </row>
    <row r="875" spans="1:39" customFormat="1" ht="15.75" customHeight="1" x14ac:dyDescent="0.3">
      <c r="A875" t="s">
        <v>22</v>
      </c>
      <c r="B875" s="21" t="s">
        <v>562</v>
      </c>
      <c r="C875" s="21" t="s">
        <v>688</v>
      </c>
      <c r="D875" s="117" t="s">
        <v>339</v>
      </c>
      <c r="E875" s="21" t="s">
        <v>9</v>
      </c>
      <c r="F875" s="21" t="s">
        <v>319</v>
      </c>
      <c r="G875" s="21">
        <v>111</v>
      </c>
      <c r="H875" s="21"/>
      <c r="I875" s="117" t="s">
        <v>325</v>
      </c>
      <c r="J875" s="117" t="s">
        <v>325</v>
      </c>
      <c r="K875" s="118"/>
      <c r="L875" s="21"/>
      <c r="M875" s="21"/>
      <c r="N875" s="21"/>
      <c r="O875" s="21"/>
      <c r="P875" s="21">
        <v>111</v>
      </c>
      <c r="Q875" s="21"/>
      <c r="R875" s="21" t="s">
        <v>923</v>
      </c>
      <c r="S875" s="119">
        <f>DATABASE_Table[[#This Row],[Inicial Asking Price (€) (Total)]]-DATABASE_Table[[#This Row],[Vista membership]]-DATABASE_Table[[#This Row],[FF&amp;E]]</f>
        <v>570000</v>
      </c>
      <c r="T875" s="125">
        <v>570000</v>
      </c>
      <c r="U875" s="124">
        <v>570000</v>
      </c>
      <c r="V875" s="21"/>
      <c r="W875" s="21"/>
      <c r="X875" s="73">
        <f>DATABASE_Table[[#This Row],[Current Asking price( Total)]]-DATABASE_Table[[#This Row],[Vista membership]]-DATABASE_Table[[#This Row],[FF&amp;E]]</f>
        <v>570000</v>
      </c>
      <c r="Y875" s="126">
        <v>0</v>
      </c>
      <c r="Z875" s="124">
        <v>570000</v>
      </c>
      <c r="AA875" s="73">
        <f>DATABASE_Table[[#This Row],[Sell price (Total)]]-DATABASE_Table[[#This Row],[FF&amp;E]]-DATABASE_Table[[#This Row],[Vista membership]]</f>
        <v>570000</v>
      </c>
      <c r="AB875" s="74">
        <v>45035</v>
      </c>
      <c r="AC875" s="74" t="str">
        <f t="shared" si="13"/>
        <v>Q2 2023</v>
      </c>
      <c r="AD875" s="123">
        <v>45106</v>
      </c>
      <c r="AE875" s="69"/>
      <c r="AF875" s="21" t="s">
        <v>10</v>
      </c>
      <c r="AG875" s="21" t="s">
        <v>23</v>
      </c>
      <c r="AH875" s="122" t="s">
        <v>24</v>
      </c>
      <c r="AI875" s="122" t="s">
        <v>797</v>
      </c>
      <c r="AJ875" s="122" t="s">
        <v>25</v>
      </c>
      <c r="AK875" s="122" t="s">
        <v>798</v>
      </c>
      <c r="AL875" s="21" t="s">
        <v>26</v>
      </c>
      <c r="AM875" s="122" t="s">
        <v>22</v>
      </c>
    </row>
    <row r="876" spans="1:39" customFormat="1" ht="15.75" customHeight="1" x14ac:dyDescent="0.3">
      <c r="A876" t="s">
        <v>22</v>
      </c>
      <c r="B876" s="21" t="s">
        <v>562</v>
      </c>
      <c r="C876" s="21" t="s">
        <v>688</v>
      </c>
      <c r="D876" s="117" t="s">
        <v>340</v>
      </c>
      <c r="E876" s="21" t="s">
        <v>9</v>
      </c>
      <c r="F876" s="21" t="s">
        <v>319</v>
      </c>
      <c r="G876" s="21">
        <v>111</v>
      </c>
      <c r="H876" s="21"/>
      <c r="I876" s="117" t="s">
        <v>325</v>
      </c>
      <c r="J876" s="117" t="s">
        <v>325</v>
      </c>
      <c r="K876" s="118"/>
      <c r="L876" s="21"/>
      <c r="M876" s="21"/>
      <c r="N876" s="21"/>
      <c r="O876" s="21"/>
      <c r="P876" s="21">
        <v>111</v>
      </c>
      <c r="Q876" s="21"/>
      <c r="R876" s="21" t="s">
        <v>923</v>
      </c>
      <c r="S876" s="119">
        <f>DATABASE_Table[[#This Row],[Inicial Asking Price (€) (Total)]]-DATABASE_Table[[#This Row],[Vista membership]]-DATABASE_Table[[#This Row],[FF&amp;E]]</f>
        <v>570000</v>
      </c>
      <c r="T876" s="125">
        <v>570000</v>
      </c>
      <c r="U876" s="124">
        <v>590000</v>
      </c>
      <c r="V876" s="21"/>
      <c r="W876" s="21"/>
      <c r="X876" s="73">
        <f>DATABASE_Table[[#This Row],[Current Asking price( Total)]]-DATABASE_Table[[#This Row],[Vista membership]]-DATABASE_Table[[#This Row],[FF&amp;E]]</f>
        <v>590000</v>
      </c>
      <c r="Y876" s="126">
        <v>0</v>
      </c>
      <c r="Z876" s="124">
        <v>590000</v>
      </c>
      <c r="AA876" s="73">
        <f>DATABASE_Table[[#This Row],[Sell price (Total)]]-DATABASE_Table[[#This Row],[FF&amp;E]]-DATABASE_Table[[#This Row],[Vista membership]]</f>
        <v>590000</v>
      </c>
      <c r="AB876" s="74">
        <v>45035</v>
      </c>
      <c r="AC876" s="74" t="str">
        <f t="shared" si="13"/>
        <v>Q2 2023</v>
      </c>
      <c r="AD876" s="123">
        <v>45140</v>
      </c>
      <c r="AE876" s="69"/>
      <c r="AF876" s="21" t="s">
        <v>10</v>
      </c>
      <c r="AG876" s="21" t="s">
        <v>23</v>
      </c>
      <c r="AH876" s="122" t="s">
        <v>24</v>
      </c>
      <c r="AI876" s="122" t="s">
        <v>797</v>
      </c>
      <c r="AJ876" s="122" t="s">
        <v>25</v>
      </c>
      <c r="AK876" s="122" t="s">
        <v>798</v>
      </c>
      <c r="AL876" s="21" t="s">
        <v>26</v>
      </c>
      <c r="AM876" s="122" t="s">
        <v>22</v>
      </c>
    </row>
    <row r="877" spans="1:39" customFormat="1" ht="15.75" customHeight="1" x14ac:dyDescent="0.3">
      <c r="A877" t="s">
        <v>22</v>
      </c>
      <c r="B877" s="21" t="s">
        <v>562</v>
      </c>
      <c r="C877" s="21" t="s">
        <v>688</v>
      </c>
      <c r="D877" s="117" t="s">
        <v>341</v>
      </c>
      <c r="E877" s="21" t="s">
        <v>9</v>
      </c>
      <c r="F877" s="21" t="s">
        <v>319</v>
      </c>
      <c r="G877" s="21">
        <v>111</v>
      </c>
      <c r="H877" s="21"/>
      <c r="I877" s="117" t="s">
        <v>325</v>
      </c>
      <c r="J877" s="117" t="s">
        <v>325</v>
      </c>
      <c r="K877" s="118"/>
      <c r="L877" s="21"/>
      <c r="M877" s="21"/>
      <c r="N877" s="21"/>
      <c r="O877" s="21"/>
      <c r="P877" s="21">
        <v>111</v>
      </c>
      <c r="Q877" s="21"/>
      <c r="R877" s="21" t="s">
        <v>923</v>
      </c>
      <c r="S877" s="119">
        <f>DATABASE_Table[[#This Row],[Inicial Asking Price (€) (Total)]]-DATABASE_Table[[#This Row],[Vista membership]]-DATABASE_Table[[#This Row],[FF&amp;E]]</f>
        <v>570000</v>
      </c>
      <c r="T877" s="125">
        <v>570000</v>
      </c>
      <c r="U877" s="124">
        <v>590000</v>
      </c>
      <c r="V877" s="21"/>
      <c r="W877" s="21"/>
      <c r="X877" s="73">
        <f>DATABASE_Table[[#This Row],[Current Asking price( Total)]]-DATABASE_Table[[#This Row],[Vista membership]]-DATABASE_Table[[#This Row],[FF&amp;E]]</f>
        <v>590000</v>
      </c>
      <c r="Y877" s="126">
        <v>0</v>
      </c>
      <c r="Z877" s="124">
        <v>590000</v>
      </c>
      <c r="AA877" s="73">
        <f>DATABASE_Table[[#This Row],[Sell price (Total)]]-DATABASE_Table[[#This Row],[FF&amp;E]]-DATABASE_Table[[#This Row],[Vista membership]]</f>
        <v>590000</v>
      </c>
      <c r="AB877" s="74">
        <v>45035</v>
      </c>
      <c r="AC877" s="74" t="str">
        <f t="shared" si="13"/>
        <v>Q2 2023</v>
      </c>
      <c r="AD877" s="123">
        <v>45140</v>
      </c>
      <c r="AE877" s="69"/>
      <c r="AF877" s="21" t="s">
        <v>10</v>
      </c>
      <c r="AG877" s="21" t="s">
        <v>23</v>
      </c>
      <c r="AH877" s="122" t="s">
        <v>24</v>
      </c>
      <c r="AI877" s="122" t="s">
        <v>797</v>
      </c>
      <c r="AJ877" s="122" t="s">
        <v>25</v>
      </c>
      <c r="AK877" s="122" t="s">
        <v>798</v>
      </c>
      <c r="AL877" s="21" t="s">
        <v>26</v>
      </c>
      <c r="AM877" s="122" t="s">
        <v>22</v>
      </c>
    </row>
    <row r="878" spans="1:39" customFormat="1" ht="15.75" customHeight="1" x14ac:dyDescent="0.3">
      <c r="A878" t="s">
        <v>22</v>
      </c>
      <c r="B878" s="21" t="s">
        <v>562</v>
      </c>
      <c r="C878" s="21" t="s">
        <v>688</v>
      </c>
      <c r="D878" s="117" t="s">
        <v>342</v>
      </c>
      <c r="E878" s="21" t="s">
        <v>9</v>
      </c>
      <c r="F878" s="21" t="s">
        <v>319</v>
      </c>
      <c r="G878" s="21">
        <v>111</v>
      </c>
      <c r="H878" s="21"/>
      <c r="I878" s="117" t="s">
        <v>325</v>
      </c>
      <c r="J878" s="117" t="s">
        <v>325</v>
      </c>
      <c r="K878" s="118"/>
      <c r="L878" s="21"/>
      <c r="M878" s="21"/>
      <c r="N878" s="21"/>
      <c r="O878" s="21"/>
      <c r="P878" s="21">
        <v>111</v>
      </c>
      <c r="Q878" s="21"/>
      <c r="R878" s="21" t="s">
        <v>923</v>
      </c>
      <c r="S878" s="119">
        <f>DATABASE_Table[[#This Row],[Inicial Asking Price (€) (Total)]]-DATABASE_Table[[#This Row],[Vista membership]]-DATABASE_Table[[#This Row],[FF&amp;E]]</f>
        <v>570000</v>
      </c>
      <c r="T878" s="125">
        <v>570000</v>
      </c>
      <c r="U878" s="124">
        <v>600000</v>
      </c>
      <c r="V878" s="21"/>
      <c r="W878" s="21"/>
      <c r="X878" s="73">
        <f>DATABASE_Table[[#This Row],[Current Asking price( Total)]]-DATABASE_Table[[#This Row],[Vista membership]]-DATABASE_Table[[#This Row],[FF&amp;E]]</f>
        <v>600000</v>
      </c>
      <c r="Y878" s="126">
        <v>0</v>
      </c>
      <c r="Z878" s="124">
        <v>600000</v>
      </c>
      <c r="AA878" s="73">
        <f>DATABASE_Table[[#This Row],[Sell price (Total)]]-DATABASE_Table[[#This Row],[FF&amp;E]]-DATABASE_Table[[#This Row],[Vista membership]]</f>
        <v>600000</v>
      </c>
      <c r="AB878" s="74">
        <v>45035</v>
      </c>
      <c r="AC878" s="74" t="str">
        <f t="shared" si="13"/>
        <v>Q2 2023</v>
      </c>
      <c r="AD878" s="123">
        <v>45086</v>
      </c>
      <c r="AE878" s="69"/>
      <c r="AF878" s="21" t="s">
        <v>10</v>
      </c>
      <c r="AG878" s="21" t="s">
        <v>23</v>
      </c>
      <c r="AH878" s="122" t="s">
        <v>24</v>
      </c>
      <c r="AI878" s="122" t="s">
        <v>797</v>
      </c>
      <c r="AJ878" s="122" t="s">
        <v>25</v>
      </c>
      <c r="AK878" s="122" t="s">
        <v>798</v>
      </c>
      <c r="AL878" s="21" t="s">
        <v>26</v>
      </c>
      <c r="AM878" s="122" t="s">
        <v>22</v>
      </c>
    </row>
    <row r="879" spans="1:39" customFormat="1" ht="15.75" customHeight="1" x14ac:dyDescent="0.3">
      <c r="A879" t="s">
        <v>22</v>
      </c>
      <c r="B879" s="21" t="s">
        <v>562</v>
      </c>
      <c r="C879" s="21" t="s">
        <v>688</v>
      </c>
      <c r="D879" s="117" t="s">
        <v>343</v>
      </c>
      <c r="E879" s="21" t="s">
        <v>9</v>
      </c>
      <c r="F879" s="21" t="s">
        <v>319</v>
      </c>
      <c r="G879" s="21">
        <v>111</v>
      </c>
      <c r="H879" s="21"/>
      <c r="I879" s="117" t="s">
        <v>325</v>
      </c>
      <c r="J879" s="117" t="s">
        <v>325</v>
      </c>
      <c r="K879" s="118"/>
      <c r="L879" s="21"/>
      <c r="M879" s="21"/>
      <c r="N879" s="21"/>
      <c r="O879" s="21"/>
      <c r="P879" s="21">
        <v>111</v>
      </c>
      <c r="Q879" s="21"/>
      <c r="R879" s="21" t="s">
        <v>923</v>
      </c>
      <c r="S879" s="119">
        <f>DATABASE_Table[[#This Row],[Inicial Asking Price (€) (Total)]]-DATABASE_Table[[#This Row],[Vista membership]]-DATABASE_Table[[#This Row],[FF&amp;E]]</f>
        <v>570000</v>
      </c>
      <c r="T879" s="125">
        <v>570000</v>
      </c>
      <c r="U879" s="124">
        <v>600000</v>
      </c>
      <c r="V879" s="21"/>
      <c r="W879" s="21"/>
      <c r="X879" s="73">
        <f>DATABASE_Table[[#This Row],[Current Asking price( Total)]]-DATABASE_Table[[#This Row],[Vista membership]]-DATABASE_Table[[#This Row],[FF&amp;E]]</f>
        <v>600000</v>
      </c>
      <c r="Y879" s="126">
        <v>0</v>
      </c>
      <c r="Z879" s="124">
        <v>600000</v>
      </c>
      <c r="AA879" s="73">
        <f>DATABASE_Table[[#This Row],[Sell price (Total)]]-DATABASE_Table[[#This Row],[FF&amp;E]]-DATABASE_Table[[#This Row],[Vista membership]]</f>
        <v>600000</v>
      </c>
      <c r="AB879" s="74">
        <v>45035</v>
      </c>
      <c r="AC879" s="74" t="str">
        <f t="shared" si="13"/>
        <v>Q2 2023</v>
      </c>
      <c r="AD879" s="123">
        <v>45443</v>
      </c>
      <c r="AE879" s="69"/>
      <c r="AF879" s="21" t="s">
        <v>10</v>
      </c>
      <c r="AG879" s="21" t="s">
        <v>23</v>
      </c>
      <c r="AH879" s="122" t="s">
        <v>24</v>
      </c>
      <c r="AI879" s="122" t="s">
        <v>797</v>
      </c>
      <c r="AJ879" s="122" t="s">
        <v>25</v>
      </c>
      <c r="AK879" s="122" t="s">
        <v>798</v>
      </c>
      <c r="AL879" s="21" t="s">
        <v>26</v>
      </c>
      <c r="AM879" s="122" t="s">
        <v>22</v>
      </c>
    </row>
    <row r="880" spans="1:39" customFormat="1" ht="15.75" customHeight="1" x14ac:dyDescent="0.3">
      <c r="A880" t="s">
        <v>22</v>
      </c>
      <c r="B880" s="21" t="s">
        <v>562</v>
      </c>
      <c r="C880" s="21" t="s">
        <v>688</v>
      </c>
      <c r="D880" s="117" t="s">
        <v>345</v>
      </c>
      <c r="E880" s="21" t="s">
        <v>9</v>
      </c>
      <c r="F880" s="21" t="s">
        <v>319</v>
      </c>
      <c r="G880" s="21">
        <v>111</v>
      </c>
      <c r="H880" s="21"/>
      <c r="I880" s="117" t="s">
        <v>325</v>
      </c>
      <c r="J880" s="117" t="s">
        <v>325</v>
      </c>
      <c r="K880" s="118"/>
      <c r="L880" s="21"/>
      <c r="M880" s="21"/>
      <c r="N880" s="21"/>
      <c r="O880" s="21"/>
      <c r="P880" s="21">
        <v>111</v>
      </c>
      <c r="Q880" s="21"/>
      <c r="R880" s="21" t="s">
        <v>923</v>
      </c>
      <c r="S880" s="119">
        <f>DATABASE_Table[[#This Row],[Inicial Asking Price (€) (Total)]]-DATABASE_Table[[#This Row],[Vista membership]]-DATABASE_Table[[#This Row],[FF&amp;E]]</f>
        <v>620000</v>
      </c>
      <c r="T880" s="125">
        <v>620000</v>
      </c>
      <c r="U880" s="124">
        <v>680000</v>
      </c>
      <c r="V880" s="21"/>
      <c r="W880" s="21"/>
      <c r="X880" s="73">
        <f>DATABASE_Table[[#This Row],[Current Asking price( Total)]]-DATABASE_Table[[#This Row],[Vista membership]]-DATABASE_Table[[#This Row],[FF&amp;E]]</f>
        <v>680000</v>
      </c>
      <c r="Y880" s="126">
        <v>0</v>
      </c>
      <c r="Z880" s="124">
        <v>680000</v>
      </c>
      <c r="AA880" s="73">
        <f>DATABASE_Table[[#This Row],[Sell price (Total)]]-DATABASE_Table[[#This Row],[FF&amp;E]]-DATABASE_Table[[#This Row],[Vista membership]]</f>
        <v>680000</v>
      </c>
      <c r="AB880" s="74">
        <v>45035</v>
      </c>
      <c r="AC880" s="74" t="str">
        <f t="shared" si="13"/>
        <v>Q2 2023</v>
      </c>
      <c r="AD880" s="123">
        <v>45923</v>
      </c>
      <c r="AE880" s="69"/>
      <c r="AF880" s="21" t="s">
        <v>10</v>
      </c>
      <c r="AG880" s="21" t="s">
        <v>23</v>
      </c>
      <c r="AH880" s="122" t="s">
        <v>24</v>
      </c>
      <c r="AI880" s="122" t="s">
        <v>797</v>
      </c>
      <c r="AJ880" s="122" t="s">
        <v>25</v>
      </c>
      <c r="AK880" s="122" t="s">
        <v>798</v>
      </c>
      <c r="AL880" s="21" t="s">
        <v>26</v>
      </c>
      <c r="AM880" s="122" t="s">
        <v>22</v>
      </c>
    </row>
    <row r="881" spans="1:39" customFormat="1" ht="15.75" customHeight="1" x14ac:dyDescent="0.3">
      <c r="A881" t="s">
        <v>22</v>
      </c>
      <c r="B881" s="21" t="s">
        <v>562</v>
      </c>
      <c r="C881" s="21" t="s">
        <v>688</v>
      </c>
      <c r="D881" s="117" t="s">
        <v>346</v>
      </c>
      <c r="E881" s="21" t="s">
        <v>9</v>
      </c>
      <c r="F881" s="21" t="s">
        <v>319</v>
      </c>
      <c r="G881" s="21">
        <v>111</v>
      </c>
      <c r="H881" s="21"/>
      <c r="I881" s="117" t="s">
        <v>325</v>
      </c>
      <c r="J881" s="117" t="s">
        <v>325</v>
      </c>
      <c r="K881" s="118"/>
      <c r="L881" s="21"/>
      <c r="M881" s="21"/>
      <c r="N881" s="21"/>
      <c r="O881" s="21"/>
      <c r="P881" s="21">
        <v>111</v>
      </c>
      <c r="Q881" s="21"/>
      <c r="R881" s="21" t="s">
        <v>923</v>
      </c>
      <c r="S881" s="119">
        <f>DATABASE_Table[[#This Row],[Inicial Asking Price (€) (Total)]]-DATABASE_Table[[#This Row],[Vista membership]]-DATABASE_Table[[#This Row],[FF&amp;E]]</f>
        <v>620000</v>
      </c>
      <c r="T881" s="125">
        <v>620000</v>
      </c>
      <c r="U881" s="124">
        <v>650000</v>
      </c>
      <c r="V881" s="21"/>
      <c r="W881" s="21"/>
      <c r="X881" s="73">
        <f>DATABASE_Table[[#This Row],[Current Asking price( Total)]]-DATABASE_Table[[#This Row],[Vista membership]]-DATABASE_Table[[#This Row],[FF&amp;E]]</f>
        <v>650000</v>
      </c>
      <c r="Y881" s="126">
        <v>0</v>
      </c>
      <c r="Z881" s="124">
        <v>650000</v>
      </c>
      <c r="AA881" s="73">
        <f>DATABASE_Table[[#This Row],[Sell price (Total)]]-DATABASE_Table[[#This Row],[FF&amp;E]]-DATABASE_Table[[#This Row],[Vista membership]]</f>
        <v>650000</v>
      </c>
      <c r="AB881" s="74">
        <v>45035</v>
      </c>
      <c r="AC881" s="74" t="str">
        <f t="shared" si="13"/>
        <v>Q2 2023</v>
      </c>
      <c r="AD881" s="123">
        <v>45420</v>
      </c>
      <c r="AE881" s="69"/>
      <c r="AF881" s="21" t="s">
        <v>10</v>
      </c>
      <c r="AG881" s="21" t="s">
        <v>23</v>
      </c>
      <c r="AH881" s="122" t="s">
        <v>24</v>
      </c>
      <c r="AI881" s="122" t="s">
        <v>797</v>
      </c>
      <c r="AJ881" s="122" t="s">
        <v>25</v>
      </c>
      <c r="AK881" s="122" t="s">
        <v>798</v>
      </c>
      <c r="AL881" s="21" t="s">
        <v>26</v>
      </c>
      <c r="AM881" s="122" t="s">
        <v>22</v>
      </c>
    </row>
    <row r="882" spans="1:39" customFormat="1" ht="15.75" customHeight="1" x14ac:dyDescent="0.3">
      <c r="A882" t="s">
        <v>22</v>
      </c>
      <c r="B882" s="21" t="s">
        <v>562</v>
      </c>
      <c r="C882" s="21" t="s">
        <v>688</v>
      </c>
      <c r="D882" s="117" t="s">
        <v>347</v>
      </c>
      <c r="E882" s="21" t="s">
        <v>9</v>
      </c>
      <c r="F882" s="21" t="s">
        <v>319</v>
      </c>
      <c r="G882" s="21">
        <v>111</v>
      </c>
      <c r="H882" s="21"/>
      <c r="I882" s="117" t="s">
        <v>325</v>
      </c>
      <c r="J882" s="117" t="s">
        <v>325</v>
      </c>
      <c r="K882" s="118"/>
      <c r="L882" s="21"/>
      <c r="M882" s="21"/>
      <c r="N882" s="21"/>
      <c r="O882" s="21"/>
      <c r="P882" s="21">
        <v>111</v>
      </c>
      <c r="Q882" s="21"/>
      <c r="R882" s="21" t="s">
        <v>923</v>
      </c>
      <c r="S882" s="119">
        <f>DATABASE_Table[[#This Row],[Inicial Asking Price (€) (Total)]]-DATABASE_Table[[#This Row],[Vista membership]]-DATABASE_Table[[#This Row],[FF&amp;E]]</f>
        <v>620000</v>
      </c>
      <c r="T882" s="125">
        <v>620000</v>
      </c>
      <c r="U882" s="124">
        <v>680000</v>
      </c>
      <c r="V882" s="21"/>
      <c r="W882" s="21"/>
      <c r="X882" s="73">
        <f>DATABASE_Table[[#This Row],[Current Asking price( Total)]]-DATABASE_Table[[#This Row],[Vista membership]]-DATABASE_Table[[#This Row],[FF&amp;E]]</f>
        <v>680000</v>
      </c>
      <c r="Y882" s="126">
        <v>0</v>
      </c>
      <c r="Z882" s="124">
        <v>680000</v>
      </c>
      <c r="AA882" s="73">
        <f>DATABASE_Table[[#This Row],[Sell price (Total)]]-DATABASE_Table[[#This Row],[FF&amp;E]]-DATABASE_Table[[#This Row],[Vista membership]]</f>
        <v>680000</v>
      </c>
      <c r="AB882" s="74">
        <v>45035</v>
      </c>
      <c r="AC882" s="74" t="str">
        <f t="shared" si="13"/>
        <v>Q2 2023</v>
      </c>
      <c r="AD882" s="123">
        <v>45616</v>
      </c>
      <c r="AE882" s="69"/>
      <c r="AF882" s="21" t="s">
        <v>10</v>
      </c>
      <c r="AG882" s="21" t="s">
        <v>23</v>
      </c>
      <c r="AH882" s="122" t="s">
        <v>24</v>
      </c>
      <c r="AI882" s="122" t="s">
        <v>797</v>
      </c>
      <c r="AJ882" s="122" t="s">
        <v>25</v>
      </c>
      <c r="AK882" s="122" t="s">
        <v>798</v>
      </c>
      <c r="AL882" s="21" t="s">
        <v>26</v>
      </c>
      <c r="AM882" s="122" t="s">
        <v>22</v>
      </c>
    </row>
    <row r="883" spans="1:39" customFormat="1" ht="15.75" customHeight="1" x14ac:dyDescent="0.3">
      <c r="A883" t="s">
        <v>22</v>
      </c>
      <c r="B883" s="21" t="s">
        <v>562</v>
      </c>
      <c r="C883" s="21" t="s">
        <v>688</v>
      </c>
      <c r="D883" s="117" t="s">
        <v>348</v>
      </c>
      <c r="E883" s="21" t="s">
        <v>9</v>
      </c>
      <c r="F883" s="21" t="s">
        <v>319</v>
      </c>
      <c r="G883" s="21">
        <v>111</v>
      </c>
      <c r="H883" s="21"/>
      <c r="I883" s="117" t="s">
        <v>325</v>
      </c>
      <c r="J883" s="117" t="s">
        <v>325</v>
      </c>
      <c r="K883" s="118"/>
      <c r="L883" s="21"/>
      <c r="M883" s="21"/>
      <c r="N883" s="21"/>
      <c r="O883" s="21"/>
      <c r="P883" s="21">
        <v>111</v>
      </c>
      <c r="Q883" s="21"/>
      <c r="R883" s="21" t="s">
        <v>923</v>
      </c>
      <c r="S883" s="119">
        <f>DATABASE_Table[[#This Row],[Inicial Asking Price (€) (Total)]]-DATABASE_Table[[#This Row],[Vista membership]]-DATABASE_Table[[#This Row],[FF&amp;E]]</f>
        <v>620000</v>
      </c>
      <c r="T883" s="125">
        <v>620000</v>
      </c>
      <c r="U883" s="124">
        <v>650000</v>
      </c>
      <c r="V883" s="21"/>
      <c r="W883" s="21"/>
      <c r="X883" s="73">
        <f>DATABASE_Table[[#This Row],[Current Asking price( Total)]]-DATABASE_Table[[#This Row],[Vista membership]]-DATABASE_Table[[#This Row],[FF&amp;E]]</f>
        <v>650000</v>
      </c>
      <c r="Y883" s="126">
        <v>0</v>
      </c>
      <c r="Z883" s="124">
        <v>650000</v>
      </c>
      <c r="AA883" s="73">
        <f>DATABASE_Table[[#This Row],[Sell price (Total)]]-DATABASE_Table[[#This Row],[FF&amp;E]]-DATABASE_Table[[#This Row],[Vista membership]]</f>
        <v>650000</v>
      </c>
      <c r="AB883" s="74">
        <v>45035</v>
      </c>
      <c r="AC883" s="74" t="str">
        <f t="shared" si="13"/>
        <v>Q2 2023</v>
      </c>
      <c r="AD883" s="123">
        <v>45395</v>
      </c>
      <c r="AE883" s="69"/>
      <c r="AF883" s="21" t="s">
        <v>10</v>
      </c>
      <c r="AG883" s="21" t="s">
        <v>23</v>
      </c>
      <c r="AH883" s="122" t="s">
        <v>24</v>
      </c>
      <c r="AI883" s="122" t="s">
        <v>797</v>
      </c>
      <c r="AJ883" s="122" t="s">
        <v>25</v>
      </c>
      <c r="AK883" s="122" t="s">
        <v>798</v>
      </c>
      <c r="AL883" s="21" t="s">
        <v>26</v>
      </c>
      <c r="AM883" s="122" t="s">
        <v>22</v>
      </c>
    </row>
    <row r="884" spans="1:39" customFormat="1" ht="15.75" customHeight="1" x14ac:dyDescent="0.3">
      <c r="A884" t="s">
        <v>22</v>
      </c>
      <c r="B884" s="21" t="s">
        <v>562</v>
      </c>
      <c r="C884" s="21" t="s">
        <v>688</v>
      </c>
      <c r="D884" s="117" t="s">
        <v>349</v>
      </c>
      <c r="E884" s="21" t="s">
        <v>9</v>
      </c>
      <c r="F884" s="21" t="s">
        <v>320</v>
      </c>
      <c r="G884" s="21">
        <v>152</v>
      </c>
      <c r="H884" s="21"/>
      <c r="I884" s="117" t="s">
        <v>325</v>
      </c>
      <c r="J884" s="117" t="s">
        <v>325</v>
      </c>
      <c r="K884" s="118"/>
      <c r="L884" s="21"/>
      <c r="M884" s="21"/>
      <c r="N884" s="21"/>
      <c r="O884" s="21"/>
      <c r="P884" s="21">
        <v>152</v>
      </c>
      <c r="Q884" s="21"/>
      <c r="R884" s="21" t="s">
        <v>923</v>
      </c>
      <c r="S884" s="119">
        <f>DATABASE_Table[[#This Row],[Inicial Asking Price (€) (Total)]]-DATABASE_Table[[#This Row],[Vista membership]]-DATABASE_Table[[#This Row],[FF&amp;E]]</f>
        <v>830000</v>
      </c>
      <c r="T884" s="125">
        <v>830000</v>
      </c>
      <c r="U884" s="124">
        <v>870000</v>
      </c>
      <c r="V884" s="21"/>
      <c r="W884" s="21"/>
      <c r="X884" s="73">
        <f>DATABASE_Table[[#This Row],[Current Asking price( Total)]]-DATABASE_Table[[#This Row],[Vista membership]]-DATABASE_Table[[#This Row],[FF&amp;E]]</f>
        <v>870000</v>
      </c>
      <c r="Y884" s="126">
        <v>0</v>
      </c>
      <c r="Z884" s="124">
        <v>870000</v>
      </c>
      <c r="AA884" s="73">
        <f>DATABASE_Table[[#This Row],[Sell price (Total)]]-DATABASE_Table[[#This Row],[FF&amp;E]]-DATABASE_Table[[#This Row],[Vista membership]]</f>
        <v>870000</v>
      </c>
      <c r="AB884" s="74">
        <v>45035</v>
      </c>
      <c r="AC884" s="74" t="str">
        <f t="shared" si="13"/>
        <v>Q2 2023</v>
      </c>
      <c r="AD884" s="123">
        <v>45196</v>
      </c>
      <c r="AE884" s="69"/>
      <c r="AF884" s="21" t="s">
        <v>10</v>
      </c>
      <c r="AG884" s="21" t="s">
        <v>23</v>
      </c>
      <c r="AH884" s="122" t="s">
        <v>24</v>
      </c>
      <c r="AI884" s="122" t="s">
        <v>797</v>
      </c>
      <c r="AJ884" s="122" t="s">
        <v>25</v>
      </c>
      <c r="AK884" s="122" t="s">
        <v>798</v>
      </c>
      <c r="AL884" s="21" t="s">
        <v>26</v>
      </c>
      <c r="AM884" s="122" t="s">
        <v>22</v>
      </c>
    </row>
    <row r="885" spans="1:39" customFormat="1" ht="15.75" customHeight="1" x14ac:dyDescent="0.3">
      <c r="A885" t="s">
        <v>22</v>
      </c>
      <c r="B885" s="21" t="s">
        <v>562</v>
      </c>
      <c r="C885" s="21" t="s">
        <v>688</v>
      </c>
      <c r="D885" s="117" t="s">
        <v>350</v>
      </c>
      <c r="E885" s="21" t="s">
        <v>9</v>
      </c>
      <c r="F885" s="21" t="s">
        <v>320</v>
      </c>
      <c r="G885" s="21">
        <v>159</v>
      </c>
      <c r="H885" s="21"/>
      <c r="I885" s="117" t="s">
        <v>325</v>
      </c>
      <c r="J885" s="117" t="s">
        <v>325</v>
      </c>
      <c r="K885" s="118"/>
      <c r="L885" s="21"/>
      <c r="M885" s="21"/>
      <c r="N885" s="21"/>
      <c r="O885" s="21"/>
      <c r="P885" s="21">
        <v>159</v>
      </c>
      <c r="Q885" s="21"/>
      <c r="R885" s="21" t="s">
        <v>923</v>
      </c>
      <c r="S885" s="119">
        <f>DATABASE_Table[[#This Row],[Inicial Asking Price (€) (Total)]]-DATABASE_Table[[#This Row],[Vista membership]]-DATABASE_Table[[#This Row],[FF&amp;E]]</f>
        <v>740000</v>
      </c>
      <c r="T885" s="125">
        <v>740000</v>
      </c>
      <c r="U885" s="124">
        <v>810000</v>
      </c>
      <c r="V885" s="21"/>
      <c r="W885" s="21"/>
      <c r="X885" s="73">
        <f>DATABASE_Table[[#This Row],[Current Asking price( Total)]]-DATABASE_Table[[#This Row],[Vista membership]]-DATABASE_Table[[#This Row],[FF&amp;E]]</f>
        <v>810000</v>
      </c>
      <c r="Y885" s="126">
        <v>0</v>
      </c>
      <c r="Z885" s="124">
        <v>810000</v>
      </c>
      <c r="AA885" s="73">
        <f>DATABASE_Table[[#This Row],[Sell price (Total)]]-DATABASE_Table[[#This Row],[FF&amp;E]]-DATABASE_Table[[#This Row],[Vista membership]]</f>
        <v>810000</v>
      </c>
      <c r="AB885" s="74">
        <v>45035</v>
      </c>
      <c r="AC885" s="74" t="str">
        <f t="shared" si="13"/>
        <v>Q2 2023</v>
      </c>
      <c r="AD885" s="123">
        <v>45575</v>
      </c>
      <c r="AE885" s="69"/>
      <c r="AF885" s="21" t="s">
        <v>10</v>
      </c>
      <c r="AG885" s="21" t="s">
        <v>23</v>
      </c>
      <c r="AH885" s="122" t="s">
        <v>24</v>
      </c>
      <c r="AI885" s="122" t="s">
        <v>797</v>
      </c>
      <c r="AJ885" s="122" t="s">
        <v>25</v>
      </c>
      <c r="AK885" s="122" t="s">
        <v>798</v>
      </c>
      <c r="AL885" s="21" t="s">
        <v>26</v>
      </c>
      <c r="AM885" s="122" t="s">
        <v>22</v>
      </c>
    </row>
    <row r="886" spans="1:39" customFormat="1" ht="15.75" customHeight="1" x14ac:dyDescent="0.3">
      <c r="A886" t="s">
        <v>22</v>
      </c>
      <c r="B886" s="21" t="s">
        <v>562</v>
      </c>
      <c r="C886" s="21" t="s">
        <v>688</v>
      </c>
      <c r="D886" s="117" t="s">
        <v>351</v>
      </c>
      <c r="E886" s="21" t="s">
        <v>9</v>
      </c>
      <c r="F886" s="21" t="s">
        <v>319</v>
      </c>
      <c r="G886" s="21">
        <v>117</v>
      </c>
      <c r="H886" s="21"/>
      <c r="I886" s="117" t="s">
        <v>325</v>
      </c>
      <c r="J886" s="117" t="s">
        <v>325</v>
      </c>
      <c r="K886" s="118"/>
      <c r="L886" s="21"/>
      <c r="M886" s="21"/>
      <c r="N886" s="21"/>
      <c r="O886" s="21"/>
      <c r="P886" s="21">
        <v>117</v>
      </c>
      <c r="Q886" s="21"/>
      <c r="R886" s="21" t="s">
        <v>923</v>
      </c>
      <c r="S886" s="119">
        <f>DATABASE_Table[[#This Row],[Inicial Asking Price (€) (Total)]]-DATABASE_Table[[#This Row],[Vista membership]]-DATABASE_Table[[#This Row],[FF&amp;E]]</f>
        <v>550000</v>
      </c>
      <c r="T886" s="125">
        <v>550000</v>
      </c>
      <c r="U886" s="124">
        <v>570000</v>
      </c>
      <c r="V886" s="21"/>
      <c r="W886" s="21"/>
      <c r="X886" s="73">
        <f>DATABASE_Table[[#This Row],[Current Asking price( Total)]]-DATABASE_Table[[#This Row],[Vista membership]]-DATABASE_Table[[#This Row],[FF&amp;E]]</f>
        <v>570000</v>
      </c>
      <c r="Y886" s="126">
        <v>0</v>
      </c>
      <c r="Z886" s="124">
        <v>570000</v>
      </c>
      <c r="AA886" s="73">
        <f>DATABASE_Table[[#This Row],[Sell price (Total)]]-DATABASE_Table[[#This Row],[FF&amp;E]]-DATABASE_Table[[#This Row],[Vista membership]]</f>
        <v>570000</v>
      </c>
      <c r="AB886" s="74">
        <v>45035</v>
      </c>
      <c r="AC886" s="74" t="str">
        <f t="shared" si="13"/>
        <v>Q2 2023</v>
      </c>
      <c r="AD886" s="123">
        <v>45153</v>
      </c>
      <c r="AE886" s="69"/>
      <c r="AF886" s="21" t="s">
        <v>10</v>
      </c>
      <c r="AG886" s="21" t="s">
        <v>23</v>
      </c>
      <c r="AH886" s="122" t="s">
        <v>24</v>
      </c>
      <c r="AI886" s="122" t="s">
        <v>797</v>
      </c>
      <c r="AJ886" s="122" t="s">
        <v>25</v>
      </c>
      <c r="AK886" s="122" t="s">
        <v>798</v>
      </c>
      <c r="AL886" s="21" t="s">
        <v>26</v>
      </c>
      <c r="AM886" s="122" t="s">
        <v>22</v>
      </c>
    </row>
    <row r="887" spans="1:39" customFormat="1" ht="15.75" customHeight="1" x14ac:dyDescent="0.3">
      <c r="A887" t="s">
        <v>22</v>
      </c>
      <c r="B887" s="21" t="s">
        <v>562</v>
      </c>
      <c r="C887" s="21" t="s">
        <v>688</v>
      </c>
      <c r="D887" s="117" t="s">
        <v>352</v>
      </c>
      <c r="E887" s="21" t="s">
        <v>9</v>
      </c>
      <c r="F887" s="21" t="s">
        <v>319</v>
      </c>
      <c r="G887" s="21">
        <v>117</v>
      </c>
      <c r="H887" s="21"/>
      <c r="I887" s="117" t="s">
        <v>325</v>
      </c>
      <c r="J887" s="117" t="s">
        <v>325</v>
      </c>
      <c r="K887" s="118"/>
      <c r="L887" s="21"/>
      <c r="M887" s="21"/>
      <c r="N887" s="21"/>
      <c r="O887" s="21"/>
      <c r="P887" s="21">
        <v>117</v>
      </c>
      <c r="Q887" s="21"/>
      <c r="R887" s="21" t="s">
        <v>923</v>
      </c>
      <c r="S887" s="119">
        <f>DATABASE_Table[[#This Row],[Inicial Asking Price (€) (Total)]]-DATABASE_Table[[#This Row],[Vista membership]]-DATABASE_Table[[#This Row],[FF&amp;E]]</f>
        <v>550000</v>
      </c>
      <c r="T887" s="125">
        <v>550000</v>
      </c>
      <c r="U887" s="124">
        <v>570000</v>
      </c>
      <c r="V887" s="21"/>
      <c r="W887" s="21"/>
      <c r="X887" s="73">
        <f>DATABASE_Table[[#This Row],[Current Asking price( Total)]]-DATABASE_Table[[#This Row],[Vista membership]]-DATABASE_Table[[#This Row],[FF&amp;E]]</f>
        <v>570000</v>
      </c>
      <c r="Y887" s="126">
        <v>0</v>
      </c>
      <c r="Z887" s="124">
        <v>570000</v>
      </c>
      <c r="AA887" s="73">
        <f>DATABASE_Table[[#This Row],[Sell price (Total)]]-DATABASE_Table[[#This Row],[FF&amp;E]]-DATABASE_Table[[#This Row],[Vista membership]]</f>
        <v>570000</v>
      </c>
      <c r="AB887" s="74">
        <v>45035</v>
      </c>
      <c r="AC887" s="74" t="str">
        <f t="shared" si="13"/>
        <v>Q2 2023</v>
      </c>
      <c r="AD887" s="123">
        <v>45504</v>
      </c>
      <c r="AE887" s="69"/>
      <c r="AF887" s="21" t="s">
        <v>10</v>
      </c>
      <c r="AG887" s="21" t="s">
        <v>23</v>
      </c>
      <c r="AH887" s="122" t="s">
        <v>24</v>
      </c>
      <c r="AI887" s="122" t="s">
        <v>797</v>
      </c>
      <c r="AJ887" s="122" t="s">
        <v>25</v>
      </c>
      <c r="AK887" s="122" t="s">
        <v>798</v>
      </c>
      <c r="AL887" s="21" t="s">
        <v>26</v>
      </c>
      <c r="AM887" s="122" t="s">
        <v>22</v>
      </c>
    </row>
    <row r="888" spans="1:39" customFormat="1" ht="15.75" customHeight="1" x14ac:dyDescent="0.3">
      <c r="A888" t="s">
        <v>22</v>
      </c>
      <c r="B888" s="21" t="s">
        <v>562</v>
      </c>
      <c r="C888" s="21" t="s">
        <v>688</v>
      </c>
      <c r="D888" s="117" t="s">
        <v>353</v>
      </c>
      <c r="E888" s="21" t="s">
        <v>9</v>
      </c>
      <c r="F888" s="21" t="s">
        <v>319</v>
      </c>
      <c r="G888" s="21">
        <v>117</v>
      </c>
      <c r="H888" s="21"/>
      <c r="I888" s="117" t="s">
        <v>325</v>
      </c>
      <c r="J888" s="117" t="s">
        <v>325</v>
      </c>
      <c r="K888" s="118"/>
      <c r="L888" s="21"/>
      <c r="M888" s="21"/>
      <c r="N888" s="21"/>
      <c r="O888" s="21"/>
      <c r="P888" s="21">
        <v>117</v>
      </c>
      <c r="Q888" s="21"/>
      <c r="R888" s="21" t="s">
        <v>923</v>
      </c>
      <c r="S888" s="119">
        <f>DATABASE_Table[[#This Row],[Inicial Asking Price (€) (Total)]]-DATABASE_Table[[#This Row],[Vista membership]]-DATABASE_Table[[#This Row],[FF&amp;E]]</f>
        <v>550000</v>
      </c>
      <c r="T888" s="125">
        <v>550000</v>
      </c>
      <c r="U888" s="124">
        <v>570000</v>
      </c>
      <c r="V888" s="21"/>
      <c r="W888" s="21"/>
      <c r="X888" s="73">
        <f>DATABASE_Table[[#This Row],[Current Asking price( Total)]]-DATABASE_Table[[#This Row],[Vista membership]]-DATABASE_Table[[#This Row],[FF&amp;E]]</f>
        <v>570000</v>
      </c>
      <c r="Y888" s="126">
        <v>0</v>
      </c>
      <c r="Z888" s="124">
        <v>570000</v>
      </c>
      <c r="AA888" s="73">
        <f>DATABASE_Table[[#This Row],[Sell price (Total)]]-DATABASE_Table[[#This Row],[FF&amp;E]]-DATABASE_Table[[#This Row],[Vista membership]]</f>
        <v>570000</v>
      </c>
      <c r="AB888" s="74">
        <v>45035</v>
      </c>
      <c r="AC888" s="74" t="str">
        <f t="shared" si="13"/>
        <v>Q2 2023</v>
      </c>
      <c r="AD888" s="123">
        <v>45420</v>
      </c>
      <c r="AE888" s="69"/>
      <c r="AF888" s="21" t="s">
        <v>10</v>
      </c>
      <c r="AG888" s="21" t="s">
        <v>23</v>
      </c>
      <c r="AH888" s="122" t="s">
        <v>24</v>
      </c>
      <c r="AI888" s="122" t="s">
        <v>797</v>
      </c>
      <c r="AJ888" s="122" t="s">
        <v>25</v>
      </c>
      <c r="AK888" s="122" t="s">
        <v>798</v>
      </c>
      <c r="AL888" s="21" t="s">
        <v>26</v>
      </c>
      <c r="AM888" s="122" t="s">
        <v>22</v>
      </c>
    </row>
    <row r="889" spans="1:39" customFormat="1" ht="15.75" customHeight="1" x14ac:dyDescent="0.3">
      <c r="A889" t="s">
        <v>22</v>
      </c>
      <c r="B889" s="21" t="s">
        <v>562</v>
      </c>
      <c r="C889" s="21" t="s">
        <v>688</v>
      </c>
      <c r="D889" s="117" t="s">
        <v>354</v>
      </c>
      <c r="E889" s="21" t="s">
        <v>9</v>
      </c>
      <c r="F889" s="21" t="s">
        <v>319</v>
      </c>
      <c r="G889" s="21">
        <v>117</v>
      </c>
      <c r="H889" s="21"/>
      <c r="I889" s="117" t="s">
        <v>325</v>
      </c>
      <c r="J889" s="117" t="s">
        <v>325</v>
      </c>
      <c r="K889" s="118"/>
      <c r="L889" s="21"/>
      <c r="M889" s="21"/>
      <c r="N889" s="21"/>
      <c r="O889" s="21"/>
      <c r="P889" s="21">
        <v>117</v>
      </c>
      <c r="Q889" s="21"/>
      <c r="R889" s="21" t="s">
        <v>923</v>
      </c>
      <c r="S889" s="119">
        <f>DATABASE_Table[[#This Row],[Inicial Asking Price (€) (Total)]]-DATABASE_Table[[#This Row],[Vista membership]]-DATABASE_Table[[#This Row],[FF&amp;E]]</f>
        <v>550000</v>
      </c>
      <c r="T889" s="125">
        <v>550000</v>
      </c>
      <c r="U889" s="124">
        <v>570000</v>
      </c>
      <c r="V889" s="21"/>
      <c r="W889" s="21"/>
      <c r="X889" s="73">
        <f>DATABASE_Table[[#This Row],[Current Asking price( Total)]]-DATABASE_Table[[#This Row],[Vista membership]]-DATABASE_Table[[#This Row],[FF&amp;E]]</f>
        <v>570000</v>
      </c>
      <c r="Y889" s="126">
        <v>0</v>
      </c>
      <c r="Z889" s="124">
        <v>570000</v>
      </c>
      <c r="AA889" s="73">
        <f>DATABASE_Table[[#This Row],[Sell price (Total)]]-DATABASE_Table[[#This Row],[FF&amp;E]]-DATABASE_Table[[#This Row],[Vista membership]]</f>
        <v>570000</v>
      </c>
      <c r="AB889" s="74">
        <v>45035</v>
      </c>
      <c r="AC889" s="74" t="str">
        <f t="shared" si="13"/>
        <v>Q2 2023</v>
      </c>
      <c r="AD889" s="123">
        <v>45128</v>
      </c>
      <c r="AE889" s="69"/>
      <c r="AF889" s="21" t="s">
        <v>10</v>
      </c>
      <c r="AG889" s="21" t="s">
        <v>23</v>
      </c>
      <c r="AH889" s="122" t="s">
        <v>24</v>
      </c>
      <c r="AI889" s="122" t="s">
        <v>797</v>
      </c>
      <c r="AJ889" s="122" t="s">
        <v>25</v>
      </c>
      <c r="AK889" s="122" t="s">
        <v>798</v>
      </c>
      <c r="AL889" s="21" t="s">
        <v>26</v>
      </c>
      <c r="AM889" s="122" t="s">
        <v>22</v>
      </c>
    </row>
    <row r="890" spans="1:39" customFormat="1" ht="15.75" customHeight="1" x14ac:dyDescent="0.3">
      <c r="A890" t="s">
        <v>22</v>
      </c>
      <c r="B890" s="21" t="s">
        <v>562</v>
      </c>
      <c r="C890" s="21" t="s">
        <v>688</v>
      </c>
      <c r="D890" s="117" t="s">
        <v>355</v>
      </c>
      <c r="E890" s="21" t="s">
        <v>9</v>
      </c>
      <c r="F890" s="21" t="s">
        <v>319</v>
      </c>
      <c r="G890" s="21">
        <v>117</v>
      </c>
      <c r="H890" s="21"/>
      <c r="I890" s="117" t="s">
        <v>325</v>
      </c>
      <c r="J890" s="117" t="s">
        <v>325</v>
      </c>
      <c r="K890" s="118"/>
      <c r="L890" s="21"/>
      <c r="M890" s="21"/>
      <c r="N890" s="21"/>
      <c r="O890" s="21"/>
      <c r="P890" s="21">
        <v>117</v>
      </c>
      <c r="Q890" s="21"/>
      <c r="R890" s="21" t="s">
        <v>923</v>
      </c>
      <c r="S890" s="119">
        <f>DATABASE_Table[[#This Row],[Inicial Asking Price (€) (Total)]]-DATABASE_Table[[#This Row],[Vista membership]]-DATABASE_Table[[#This Row],[FF&amp;E]]</f>
        <v>550000</v>
      </c>
      <c r="T890" s="125">
        <v>550000</v>
      </c>
      <c r="U890" s="124">
        <v>570000</v>
      </c>
      <c r="V890" s="21"/>
      <c r="W890" s="21"/>
      <c r="X890" s="73">
        <f>DATABASE_Table[[#This Row],[Current Asking price( Total)]]-DATABASE_Table[[#This Row],[Vista membership]]-DATABASE_Table[[#This Row],[FF&amp;E]]</f>
        <v>570000</v>
      </c>
      <c r="Y890" s="126">
        <v>0</v>
      </c>
      <c r="Z890" s="124">
        <v>570000</v>
      </c>
      <c r="AA890" s="73">
        <f>DATABASE_Table[[#This Row],[Sell price (Total)]]-DATABASE_Table[[#This Row],[FF&amp;E]]-DATABASE_Table[[#This Row],[Vista membership]]</f>
        <v>570000</v>
      </c>
      <c r="AB890" s="74">
        <v>45035</v>
      </c>
      <c r="AC890" s="74" t="str">
        <f t="shared" si="13"/>
        <v>Q2 2023</v>
      </c>
      <c r="AD890" s="123">
        <v>45504</v>
      </c>
      <c r="AE890" s="69"/>
      <c r="AF890" s="21" t="s">
        <v>10</v>
      </c>
      <c r="AG890" s="21" t="s">
        <v>23</v>
      </c>
      <c r="AH890" s="122" t="s">
        <v>24</v>
      </c>
      <c r="AI890" s="122" t="s">
        <v>797</v>
      </c>
      <c r="AJ890" s="122" t="s">
        <v>25</v>
      </c>
      <c r="AK890" s="122" t="s">
        <v>798</v>
      </c>
      <c r="AL890" s="21" t="s">
        <v>26</v>
      </c>
      <c r="AM890" s="122" t="s">
        <v>22</v>
      </c>
    </row>
    <row r="891" spans="1:39" customFormat="1" ht="15.75" customHeight="1" x14ac:dyDescent="0.3">
      <c r="A891" t="s">
        <v>22</v>
      </c>
      <c r="B891" s="21" t="s">
        <v>562</v>
      </c>
      <c r="C891" s="21" t="s">
        <v>688</v>
      </c>
      <c r="D891" s="117" t="s">
        <v>356</v>
      </c>
      <c r="E891" s="21" t="s">
        <v>9</v>
      </c>
      <c r="F891" s="21" t="s">
        <v>319</v>
      </c>
      <c r="G891" s="21">
        <v>117</v>
      </c>
      <c r="H891" s="21"/>
      <c r="I891" s="117" t="s">
        <v>325</v>
      </c>
      <c r="J891" s="117" t="s">
        <v>325</v>
      </c>
      <c r="K891" s="118"/>
      <c r="L891" s="21"/>
      <c r="M891" s="21"/>
      <c r="N891" s="21"/>
      <c r="O891" s="21"/>
      <c r="P891" s="21">
        <v>117</v>
      </c>
      <c r="Q891" s="21"/>
      <c r="R891" s="21" t="s">
        <v>923</v>
      </c>
      <c r="S891" s="119">
        <f>DATABASE_Table[[#This Row],[Inicial Asking Price (€) (Total)]]-DATABASE_Table[[#This Row],[Vista membership]]-DATABASE_Table[[#This Row],[FF&amp;E]]</f>
        <v>550000</v>
      </c>
      <c r="T891" s="125">
        <v>550000</v>
      </c>
      <c r="U891" s="124">
        <v>580000</v>
      </c>
      <c r="V891" s="21"/>
      <c r="W891" s="21"/>
      <c r="X891" s="73">
        <f>DATABASE_Table[[#This Row],[Current Asking price( Total)]]-DATABASE_Table[[#This Row],[Vista membership]]-DATABASE_Table[[#This Row],[FF&amp;E]]</f>
        <v>580000</v>
      </c>
      <c r="Y891" s="126">
        <v>0</v>
      </c>
      <c r="Z891" s="124">
        <v>580000</v>
      </c>
      <c r="AA891" s="73">
        <f>DATABASE_Table[[#This Row],[Sell price (Total)]]-DATABASE_Table[[#This Row],[FF&amp;E]]-DATABASE_Table[[#This Row],[Vista membership]]</f>
        <v>580000</v>
      </c>
      <c r="AB891" s="74">
        <v>45035</v>
      </c>
      <c r="AC891" s="74" t="str">
        <f t="shared" si="13"/>
        <v>Q2 2023</v>
      </c>
      <c r="AD891" s="123">
        <v>45471</v>
      </c>
      <c r="AE891" s="69"/>
      <c r="AF891" s="21" t="s">
        <v>10</v>
      </c>
      <c r="AG891" s="21" t="s">
        <v>23</v>
      </c>
      <c r="AH891" s="122" t="s">
        <v>24</v>
      </c>
      <c r="AI891" s="122" t="s">
        <v>797</v>
      </c>
      <c r="AJ891" s="122" t="s">
        <v>25</v>
      </c>
      <c r="AK891" s="122" t="s">
        <v>798</v>
      </c>
      <c r="AL891" s="21" t="s">
        <v>26</v>
      </c>
      <c r="AM891" s="122" t="s">
        <v>22</v>
      </c>
    </row>
    <row r="892" spans="1:39" customFormat="1" ht="15.75" customHeight="1" x14ac:dyDescent="0.3">
      <c r="A892" t="s">
        <v>22</v>
      </c>
      <c r="B892" s="21" t="s">
        <v>562</v>
      </c>
      <c r="C892" s="21" t="s">
        <v>688</v>
      </c>
      <c r="D892" s="117" t="s">
        <v>357</v>
      </c>
      <c r="E892" s="21" t="s">
        <v>9</v>
      </c>
      <c r="F892" s="21" t="s">
        <v>319</v>
      </c>
      <c r="G892" s="21">
        <v>117</v>
      </c>
      <c r="H892" s="21"/>
      <c r="I892" s="117" t="s">
        <v>325</v>
      </c>
      <c r="J892" s="117" t="s">
        <v>325</v>
      </c>
      <c r="K892" s="118"/>
      <c r="L892" s="21"/>
      <c r="M892" s="21"/>
      <c r="N892" s="21"/>
      <c r="O892" s="21"/>
      <c r="P892" s="21">
        <v>117</v>
      </c>
      <c r="Q892" s="21"/>
      <c r="R892" s="21" t="s">
        <v>923</v>
      </c>
      <c r="S892" s="119">
        <f>DATABASE_Table[[#This Row],[Inicial Asking Price (€) (Total)]]-DATABASE_Table[[#This Row],[Vista membership]]-DATABASE_Table[[#This Row],[FF&amp;E]]</f>
        <v>550000</v>
      </c>
      <c r="T892" s="125">
        <v>550000</v>
      </c>
      <c r="U892" s="124">
        <v>580000</v>
      </c>
      <c r="V892" s="21"/>
      <c r="W892" s="21"/>
      <c r="X892" s="73">
        <f>DATABASE_Table[[#This Row],[Current Asking price( Total)]]-DATABASE_Table[[#This Row],[Vista membership]]-DATABASE_Table[[#This Row],[FF&amp;E]]</f>
        <v>580000</v>
      </c>
      <c r="Y892" s="126">
        <v>0</v>
      </c>
      <c r="Z892" s="124">
        <v>580000</v>
      </c>
      <c r="AA892" s="73">
        <f>DATABASE_Table[[#This Row],[Sell price (Total)]]-DATABASE_Table[[#This Row],[FF&amp;E]]-DATABASE_Table[[#This Row],[Vista membership]]</f>
        <v>580000</v>
      </c>
      <c r="AB892" s="74">
        <v>45035</v>
      </c>
      <c r="AC892" s="74" t="str">
        <f t="shared" si="13"/>
        <v>Q2 2023</v>
      </c>
      <c r="AD892" s="123">
        <v>45414</v>
      </c>
      <c r="AE892" s="69"/>
      <c r="AF892" s="21" t="s">
        <v>10</v>
      </c>
      <c r="AG892" s="21" t="s">
        <v>23</v>
      </c>
      <c r="AH892" s="122" t="s">
        <v>24</v>
      </c>
      <c r="AI892" s="122" t="s">
        <v>797</v>
      </c>
      <c r="AJ892" s="122" t="s">
        <v>25</v>
      </c>
      <c r="AK892" s="122" t="s">
        <v>798</v>
      </c>
      <c r="AL892" s="21" t="s">
        <v>26</v>
      </c>
      <c r="AM892" s="122" t="s">
        <v>22</v>
      </c>
    </row>
    <row r="893" spans="1:39" customFormat="1" ht="15.75" customHeight="1" x14ac:dyDescent="0.3">
      <c r="A893" t="s">
        <v>22</v>
      </c>
      <c r="B893" s="21" t="s">
        <v>562</v>
      </c>
      <c r="C893" s="21" t="s">
        <v>688</v>
      </c>
      <c r="D893" s="117" t="s">
        <v>360</v>
      </c>
      <c r="E893" s="21" t="s">
        <v>9</v>
      </c>
      <c r="F893" s="21" t="s">
        <v>319</v>
      </c>
      <c r="G893" s="21">
        <v>117</v>
      </c>
      <c r="H893" s="21"/>
      <c r="I893" s="117" t="s">
        <v>325</v>
      </c>
      <c r="J893" s="117" t="s">
        <v>325</v>
      </c>
      <c r="K893" s="118"/>
      <c r="L893" s="21"/>
      <c r="M893" s="21"/>
      <c r="N893" s="21"/>
      <c r="O893" s="21"/>
      <c r="P893" s="21">
        <v>117</v>
      </c>
      <c r="Q893" s="21"/>
      <c r="R893" s="21" t="s">
        <v>923</v>
      </c>
      <c r="S893" s="119">
        <f>DATABASE_Table[[#This Row],[Inicial Asking Price (€) (Total)]]-DATABASE_Table[[#This Row],[Vista membership]]-DATABASE_Table[[#This Row],[FF&amp;E]]</f>
        <v>490000</v>
      </c>
      <c r="T893" s="125">
        <v>490000</v>
      </c>
      <c r="U893" s="124">
        <v>610000</v>
      </c>
      <c r="V893" s="21"/>
      <c r="W893" s="21"/>
      <c r="X893" s="73">
        <f>DATABASE_Table[[#This Row],[Current Asking price( Total)]]-DATABASE_Table[[#This Row],[Vista membership]]-DATABASE_Table[[#This Row],[FF&amp;E]]</f>
        <v>610000</v>
      </c>
      <c r="Y893" s="126">
        <v>0</v>
      </c>
      <c r="Z893" s="124">
        <v>610000</v>
      </c>
      <c r="AA893" s="73">
        <f>DATABASE_Table[[#This Row],[Sell price (Total)]]-DATABASE_Table[[#This Row],[FF&amp;E]]-DATABASE_Table[[#This Row],[Vista membership]]</f>
        <v>610000</v>
      </c>
      <c r="AB893" s="74">
        <v>45035</v>
      </c>
      <c r="AC893" s="74" t="str">
        <f t="shared" si="13"/>
        <v>Q2 2023</v>
      </c>
      <c r="AD893" s="123">
        <v>45798</v>
      </c>
      <c r="AE893" s="69"/>
      <c r="AF893" s="21" t="s">
        <v>10</v>
      </c>
      <c r="AG893" s="21" t="s">
        <v>23</v>
      </c>
      <c r="AH893" s="122" t="s">
        <v>24</v>
      </c>
      <c r="AI893" s="122" t="s">
        <v>797</v>
      </c>
      <c r="AJ893" s="122" t="s">
        <v>25</v>
      </c>
      <c r="AK893" s="122" t="s">
        <v>798</v>
      </c>
      <c r="AL893" s="21" t="s">
        <v>26</v>
      </c>
      <c r="AM893" s="122" t="s">
        <v>22</v>
      </c>
    </row>
    <row r="894" spans="1:39" customFormat="1" ht="15.75" customHeight="1" x14ac:dyDescent="0.3">
      <c r="A894" t="s">
        <v>22</v>
      </c>
      <c r="B894" s="21" t="s">
        <v>562</v>
      </c>
      <c r="C894" s="21" t="s">
        <v>688</v>
      </c>
      <c r="D894" s="117" t="s">
        <v>361</v>
      </c>
      <c r="E894" s="21" t="s">
        <v>9</v>
      </c>
      <c r="F894" s="21" t="s">
        <v>319</v>
      </c>
      <c r="G894" s="21">
        <v>117</v>
      </c>
      <c r="H894" s="21"/>
      <c r="I894" s="117" t="s">
        <v>325</v>
      </c>
      <c r="J894" s="117" t="s">
        <v>325</v>
      </c>
      <c r="K894" s="118"/>
      <c r="L894" s="21"/>
      <c r="M894" s="21"/>
      <c r="N894" s="21"/>
      <c r="O894" s="21"/>
      <c r="P894" s="21">
        <v>117</v>
      </c>
      <c r="Q894" s="21"/>
      <c r="R894" s="21" t="s">
        <v>923</v>
      </c>
      <c r="S894" s="119">
        <f>DATABASE_Table[[#This Row],[Inicial Asking Price (€) (Total)]]-DATABASE_Table[[#This Row],[Vista membership]]-DATABASE_Table[[#This Row],[FF&amp;E]]</f>
        <v>490000</v>
      </c>
      <c r="T894" s="125">
        <v>490000</v>
      </c>
      <c r="U894" s="124">
        <v>490000</v>
      </c>
      <c r="V894" s="21"/>
      <c r="W894" s="21"/>
      <c r="X894" s="73">
        <f>DATABASE_Table[[#This Row],[Current Asking price( Total)]]-DATABASE_Table[[#This Row],[Vista membership]]-DATABASE_Table[[#This Row],[FF&amp;E]]</f>
        <v>490000</v>
      </c>
      <c r="Y894" s="126">
        <v>0</v>
      </c>
      <c r="Z894" s="124">
        <v>490000</v>
      </c>
      <c r="AA894" s="73">
        <f>DATABASE_Table[[#This Row],[Sell price (Total)]]-DATABASE_Table[[#This Row],[FF&amp;E]]-DATABASE_Table[[#This Row],[Vista membership]]</f>
        <v>490000</v>
      </c>
      <c r="AB894" s="74">
        <v>45035</v>
      </c>
      <c r="AC894" s="74" t="str">
        <f t="shared" si="13"/>
        <v>Q2 2023</v>
      </c>
      <c r="AD894" s="123">
        <v>45036</v>
      </c>
      <c r="AE894" s="69"/>
      <c r="AF894" s="21" t="s">
        <v>10</v>
      </c>
      <c r="AG894" s="21" t="s">
        <v>23</v>
      </c>
      <c r="AH894" s="122" t="s">
        <v>24</v>
      </c>
      <c r="AI894" s="122" t="s">
        <v>797</v>
      </c>
      <c r="AJ894" s="122" t="s">
        <v>25</v>
      </c>
      <c r="AK894" s="122" t="s">
        <v>798</v>
      </c>
      <c r="AL894" s="21" t="s">
        <v>26</v>
      </c>
      <c r="AM894" s="122" t="s">
        <v>22</v>
      </c>
    </row>
    <row r="895" spans="1:39" customFormat="1" ht="15.75" customHeight="1" x14ac:dyDescent="0.3">
      <c r="A895" t="s">
        <v>22</v>
      </c>
      <c r="B895" s="21" t="s">
        <v>562</v>
      </c>
      <c r="C895" s="21" t="s">
        <v>688</v>
      </c>
      <c r="D895" s="117" t="s">
        <v>380</v>
      </c>
      <c r="E895" s="21" t="s">
        <v>9</v>
      </c>
      <c r="F895" s="21" t="s">
        <v>319</v>
      </c>
      <c r="G895" s="21">
        <v>111</v>
      </c>
      <c r="H895" s="21"/>
      <c r="I895" s="117" t="s">
        <v>325</v>
      </c>
      <c r="J895" s="117" t="s">
        <v>325</v>
      </c>
      <c r="K895" s="118"/>
      <c r="L895" s="21"/>
      <c r="M895" s="21"/>
      <c r="N895" s="21"/>
      <c r="O895" s="21"/>
      <c r="P895" s="21">
        <v>111</v>
      </c>
      <c r="Q895" s="21"/>
      <c r="R895" s="21" t="s">
        <v>923</v>
      </c>
      <c r="S895" s="119">
        <f>DATABASE_Table[[#This Row],[Inicial Asking Price (€) (Total)]]-DATABASE_Table[[#This Row],[Vista membership]]-DATABASE_Table[[#This Row],[FF&amp;E]]</f>
        <v>660000</v>
      </c>
      <c r="T895" s="125">
        <v>660000</v>
      </c>
      <c r="U895" s="124">
        <v>830000</v>
      </c>
      <c r="V895" s="21"/>
      <c r="W895" s="21"/>
      <c r="X895" s="73">
        <f>DATABASE_Table[[#This Row],[Current Asking price( Total)]]-DATABASE_Table[[#This Row],[Vista membership]]-DATABASE_Table[[#This Row],[FF&amp;E]]</f>
        <v>830000</v>
      </c>
      <c r="Y895" s="126">
        <v>6.02409638554217E-2</v>
      </c>
      <c r="Z895" s="124">
        <v>780000</v>
      </c>
      <c r="AA895" s="73">
        <f>DATABASE_Table[[#This Row],[Sell price (Total)]]-DATABASE_Table[[#This Row],[FF&amp;E]]-DATABASE_Table[[#This Row],[Vista membership]]</f>
        <v>780000</v>
      </c>
      <c r="AB895" s="74">
        <v>45035</v>
      </c>
      <c r="AC895" s="74" t="str">
        <f t="shared" si="13"/>
        <v>Q2 2023</v>
      </c>
      <c r="AD895" s="123">
        <v>46093</v>
      </c>
      <c r="AE895" s="69"/>
      <c r="AF895" s="21" t="s">
        <v>10</v>
      </c>
      <c r="AG895" s="21" t="s">
        <v>23</v>
      </c>
      <c r="AH895" s="122" t="s">
        <v>24</v>
      </c>
      <c r="AI895" s="122" t="s">
        <v>797</v>
      </c>
      <c r="AJ895" s="122" t="s">
        <v>25</v>
      </c>
      <c r="AK895" s="122" t="s">
        <v>798</v>
      </c>
      <c r="AL895" s="21" t="s">
        <v>26</v>
      </c>
      <c r="AM895" s="122" t="s">
        <v>22</v>
      </c>
    </row>
    <row r="896" spans="1:39" customFormat="1" ht="15.75" customHeight="1" x14ac:dyDescent="0.3">
      <c r="A896" t="s">
        <v>22</v>
      </c>
      <c r="B896" s="21" t="s">
        <v>562</v>
      </c>
      <c r="C896" s="21" t="s">
        <v>688</v>
      </c>
      <c r="D896" s="117" t="s">
        <v>366</v>
      </c>
      <c r="E896" s="21" t="s">
        <v>9</v>
      </c>
      <c r="F896" s="21" t="s">
        <v>319</v>
      </c>
      <c r="G896" s="21">
        <v>119</v>
      </c>
      <c r="H896" s="21"/>
      <c r="I896" s="117" t="s">
        <v>325</v>
      </c>
      <c r="J896" s="117" t="s">
        <v>325</v>
      </c>
      <c r="K896" s="118"/>
      <c r="L896" s="21"/>
      <c r="M896" s="21"/>
      <c r="N896" s="21"/>
      <c r="O896" s="21"/>
      <c r="P896" s="21">
        <v>119</v>
      </c>
      <c r="Q896" s="21"/>
      <c r="R896" s="21" t="s">
        <v>923</v>
      </c>
      <c r="S896" s="119">
        <f>DATABASE_Table[[#This Row],[Inicial Asking Price (€) (Total)]]-DATABASE_Table[[#This Row],[Vista membership]]-DATABASE_Table[[#This Row],[FF&amp;E]]</f>
        <v>590000</v>
      </c>
      <c r="T896" s="125">
        <v>590000</v>
      </c>
      <c r="U896" s="124">
        <v>630000</v>
      </c>
      <c r="V896" s="21"/>
      <c r="W896" s="21"/>
      <c r="X896" s="73">
        <f>DATABASE_Table[[#This Row],[Current Asking price( Total)]]-DATABASE_Table[[#This Row],[Vista membership]]-DATABASE_Table[[#This Row],[FF&amp;E]]</f>
        <v>630000</v>
      </c>
      <c r="Y896" s="126">
        <v>0.18</v>
      </c>
      <c r="Z896" s="124">
        <v>516600</v>
      </c>
      <c r="AA896" s="73">
        <f>DATABASE_Table[[#This Row],[Sell price (Total)]]-DATABASE_Table[[#This Row],[FF&amp;E]]-DATABASE_Table[[#This Row],[Vista membership]]</f>
        <v>516600</v>
      </c>
      <c r="AB896" s="74">
        <v>45035</v>
      </c>
      <c r="AC896" s="74" t="str">
        <f t="shared" si="13"/>
        <v>Q2 2023</v>
      </c>
      <c r="AD896" s="123"/>
      <c r="AE896" s="69"/>
      <c r="AF896" s="21" t="s">
        <v>10</v>
      </c>
      <c r="AG896" s="21" t="s">
        <v>23</v>
      </c>
      <c r="AH896" s="122" t="s">
        <v>24</v>
      </c>
      <c r="AI896" s="122" t="s">
        <v>797</v>
      </c>
      <c r="AJ896" s="122" t="s">
        <v>25</v>
      </c>
      <c r="AK896" s="122" t="s">
        <v>798</v>
      </c>
      <c r="AL896" s="21" t="s">
        <v>26</v>
      </c>
      <c r="AM896" s="122" t="s">
        <v>22</v>
      </c>
    </row>
    <row r="897" spans="1:39" customFormat="1" ht="15.75" customHeight="1" x14ac:dyDescent="0.3">
      <c r="A897" t="s">
        <v>22</v>
      </c>
      <c r="B897" s="21" t="s">
        <v>562</v>
      </c>
      <c r="C897" s="21" t="s">
        <v>688</v>
      </c>
      <c r="D897" s="117" t="s">
        <v>367</v>
      </c>
      <c r="E897" s="21" t="s">
        <v>9</v>
      </c>
      <c r="F897" s="21" t="s">
        <v>319</v>
      </c>
      <c r="G897" s="21">
        <v>119</v>
      </c>
      <c r="H897" s="21"/>
      <c r="I897" s="117" t="s">
        <v>325</v>
      </c>
      <c r="J897" s="117" t="s">
        <v>325</v>
      </c>
      <c r="K897" s="118"/>
      <c r="L897" s="21"/>
      <c r="M897" s="21"/>
      <c r="N897" s="21"/>
      <c r="O897" s="21"/>
      <c r="P897" s="21">
        <v>119</v>
      </c>
      <c r="Q897" s="21"/>
      <c r="R897" s="21" t="s">
        <v>923</v>
      </c>
      <c r="S897" s="119">
        <f>DATABASE_Table[[#This Row],[Inicial Asking Price (€) (Total)]]-DATABASE_Table[[#This Row],[Vista membership]]-DATABASE_Table[[#This Row],[FF&amp;E]]</f>
        <v>590000</v>
      </c>
      <c r="T897" s="125">
        <v>590000</v>
      </c>
      <c r="U897" s="124">
        <v>630000</v>
      </c>
      <c r="V897" s="21"/>
      <c r="W897" s="21"/>
      <c r="X897" s="73">
        <f>DATABASE_Table[[#This Row],[Current Asking price( Total)]]-DATABASE_Table[[#This Row],[Vista membership]]-DATABASE_Table[[#This Row],[FF&amp;E]]</f>
        <v>630000</v>
      </c>
      <c r="Y897" s="126">
        <v>0.18</v>
      </c>
      <c r="Z897" s="124">
        <v>516600</v>
      </c>
      <c r="AA897" s="73">
        <f>DATABASE_Table[[#This Row],[Sell price (Total)]]-DATABASE_Table[[#This Row],[FF&amp;E]]-DATABASE_Table[[#This Row],[Vista membership]]</f>
        <v>516600</v>
      </c>
      <c r="AB897" s="74">
        <v>45035</v>
      </c>
      <c r="AC897" s="74" t="str">
        <f t="shared" si="13"/>
        <v>Q2 2023</v>
      </c>
      <c r="AD897" s="123">
        <v>46080</v>
      </c>
      <c r="AE897" s="69"/>
      <c r="AF897" s="21" t="s">
        <v>10</v>
      </c>
      <c r="AG897" s="21" t="s">
        <v>23</v>
      </c>
      <c r="AH897" s="122" t="s">
        <v>24</v>
      </c>
      <c r="AI897" s="122" t="s">
        <v>797</v>
      </c>
      <c r="AJ897" s="122" t="s">
        <v>25</v>
      </c>
      <c r="AK897" s="122" t="s">
        <v>798</v>
      </c>
      <c r="AL897" s="21" t="s">
        <v>26</v>
      </c>
      <c r="AM897" s="122" t="s">
        <v>22</v>
      </c>
    </row>
    <row r="898" spans="1:39" customFormat="1" ht="15.75" customHeight="1" x14ac:dyDescent="0.3">
      <c r="A898" t="s">
        <v>22</v>
      </c>
      <c r="B898" s="21" t="s">
        <v>562</v>
      </c>
      <c r="C898" s="21" t="s">
        <v>688</v>
      </c>
      <c r="D898" s="117" t="s">
        <v>369</v>
      </c>
      <c r="E898" s="21" t="s">
        <v>9</v>
      </c>
      <c r="F898" s="21" t="s">
        <v>319</v>
      </c>
      <c r="G898" s="21">
        <v>119</v>
      </c>
      <c r="H898" s="21"/>
      <c r="I898" s="117" t="s">
        <v>325</v>
      </c>
      <c r="J898" s="117" t="s">
        <v>325</v>
      </c>
      <c r="K898" s="118"/>
      <c r="L898" s="21"/>
      <c r="M898" s="21"/>
      <c r="N898" s="21"/>
      <c r="O898" s="21"/>
      <c r="P898" s="21">
        <v>119</v>
      </c>
      <c r="Q898" s="21"/>
      <c r="R898" s="21" t="s">
        <v>923</v>
      </c>
      <c r="S898" s="119">
        <f>DATABASE_Table[[#This Row],[Inicial Asking Price (€) (Total)]]-DATABASE_Table[[#This Row],[Vista membership]]-DATABASE_Table[[#This Row],[FF&amp;E]]</f>
        <v>590000</v>
      </c>
      <c r="T898" s="125">
        <v>590000</v>
      </c>
      <c r="U898" s="124">
        <v>630000</v>
      </c>
      <c r="V898" s="21"/>
      <c r="W898" s="21"/>
      <c r="X898" s="73">
        <f>DATABASE_Table[[#This Row],[Current Asking price( Total)]]-DATABASE_Table[[#This Row],[Vista membership]]-DATABASE_Table[[#This Row],[FF&amp;E]]</f>
        <v>630000</v>
      </c>
      <c r="Y898" s="126">
        <v>0.18</v>
      </c>
      <c r="Z898" s="124">
        <v>516600</v>
      </c>
      <c r="AA898" s="73">
        <f>DATABASE_Table[[#This Row],[Sell price (Total)]]-DATABASE_Table[[#This Row],[FF&amp;E]]-DATABASE_Table[[#This Row],[Vista membership]]</f>
        <v>516600</v>
      </c>
      <c r="AB898" s="74">
        <v>45035</v>
      </c>
      <c r="AC898" s="74" t="str">
        <f t="shared" ref="AC898:AC961" si="14">IF(AB898="","TO LAUNCH","Q"&amp;ROUNDUP(MONTH(AB898)/3,0)&amp;" "&amp;YEAR(AB898))</f>
        <v>Q2 2023</v>
      </c>
      <c r="AD898" s="123"/>
      <c r="AE898" s="69"/>
      <c r="AF898" s="21" t="s">
        <v>10</v>
      </c>
      <c r="AG898" s="21" t="s">
        <v>23</v>
      </c>
      <c r="AH898" s="122" t="s">
        <v>24</v>
      </c>
      <c r="AI898" s="122" t="s">
        <v>797</v>
      </c>
      <c r="AJ898" s="122" t="s">
        <v>25</v>
      </c>
      <c r="AK898" s="122" t="s">
        <v>798</v>
      </c>
      <c r="AL898" s="21" t="s">
        <v>26</v>
      </c>
      <c r="AM898" s="122" t="s">
        <v>22</v>
      </c>
    </row>
    <row r="899" spans="1:39" customFormat="1" ht="15.75" customHeight="1" x14ac:dyDescent="0.3">
      <c r="A899" t="s">
        <v>22</v>
      </c>
      <c r="B899" s="21" t="s">
        <v>562</v>
      </c>
      <c r="C899" s="21" t="s">
        <v>688</v>
      </c>
      <c r="D899" s="117" t="s">
        <v>344</v>
      </c>
      <c r="E899" s="21" t="s">
        <v>9</v>
      </c>
      <c r="F899" s="21" t="s">
        <v>319</v>
      </c>
      <c r="G899" s="21">
        <v>111</v>
      </c>
      <c r="H899" s="21"/>
      <c r="I899" s="117" t="s">
        <v>325</v>
      </c>
      <c r="J899" s="117" t="s">
        <v>325</v>
      </c>
      <c r="K899" s="118"/>
      <c r="L899" s="21"/>
      <c r="M899" s="21"/>
      <c r="N899" s="21"/>
      <c r="O899" s="21"/>
      <c r="P899" s="21">
        <v>111</v>
      </c>
      <c r="Q899" s="21"/>
      <c r="R899" s="21" t="s">
        <v>923</v>
      </c>
      <c r="S899" s="119">
        <f>DATABASE_Table[[#This Row],[Inicial Asking Price (€) (Total)]]-DATABASE_Table[[#This Row],[Vista membership]]-DATABASE_Table[[#This Row],[FF&amp;E]]</f>
        <v>570000</v>
      </c>
      <c r="T899" s="125">
        <v>570000</v>
      </c>
      <c r="U899" s="124">
        <v>630000</v>
      </c>
      <c r="V899" s="21"/>
      <c r="W899" s="21"/>
      <c r="X899" s="73">
        <f>DATABASE_Table[[#This Row],[Current Asking price( Total)]]-DATABASE_Table[[#This Row],[Vista membership]]-DATABASE_Table[[#This Row],[FF&amp;E]]</f>
        <v>630000</v>
      </c>
      <c r="Y899" s="126">
        <v>0.18</v>
      </c>
      <c r="Z899" s="124">
        <v>516600</v>
      </c>
      <c r="AA899" s="73">
        <f>DATABASE_Table[[#This Row],[Sell price (Total)]]-DATABASE_Table[[#This Row],[FF&amp;E]]-DATABASE_Table[[#This Row],[Vista membership]]</f>
        <v>516600</v>
      </c>
      <c r="AB899" s="74">
        <v>45035</v>
      </c>
      <c r="AC899" s="74" t="str">
        <f t="shared" si="14"/>
        <v>Q2 2023</v>
      </c>
      <c r="AD899" s="123">
        <v>45904</v>
      </c>
      <c r="AE899" s="69"/>
      <c r="AF899" s="21" t="s">
        <v>10</v>
      </c>
      <c r="AG899" s="21" t="s">
        <v>23</v>
      </c>
      <c r="AH899" s="122" t="s">
        <v>24</v>
      </c>
      <c r="AI899" s="122" t="s">
        <v>797</v>
      </c>
      <c r="AJ899" s="122" t="s">
        <v>25</v>
      </c>
      <c r="AK899" s="122" t="s">
        <v>798</v>
      </c>
      <c r="AL899" s="21" t="s">
        <v>26</v>
      </c>
      <c r="AM899" s="122" t="s">
        <v>22</v>
      </c>
    </row>
    <row r="900" spans="1:39" customFormat="1" ht="15.75" customHeight="1" x14ac:dyDescent="0.3">
      <c r="A900" t="s">
        <v>22</v>
      </c>
      <c r="B900" s="21" t="s">
        <v>562</v>
      </c>
      <c r="C900" s="21" t="s">
        <v>688</v>
      </c>
      <c r="D900" s="117" t="s">
        <v>358</v>
      </c>
      <c r="E900" s="21" t="s">
        <v>9</v>
      </c>
      <c r="F900" s="21" t="s">
        <v>319</v>
      </c>
      <c r="G900" s="21">
        <v>117</v>
      </c>
      <c r="H900" s="21"/>
      <c r="I900" s="117" t="s">
        <v>325</v>
      </c>
      <c r="J900" s="117" t="s">
        <v>325</v>
      </c>
      <c r="K900" s="118"/>
      <c r="L900" s="21"/>
      <c r="M900" s="21"/>
      <c r="N900" s="21"/>
      <c r="O900" s="21"/>
      <c r="P900" s="21">
        <v>117</v>
      </c>
      <c r="Q900" s="21"/>
      <c r="R900" s="21" t="s">
        <v>923</v>
      </c>
      <c r="S900" s="119">
        <f>DATABASE_Table[[#This Row],[Inicial Asking Price (€) (Total)]]-DATABASE_Table[[#This Row],[Vista membership]]-DATABASE_Table[[#This Row],[FF&amp;E]]</f>
        <v>550000</v>
      </c>
      <c r="T900" s="125">
        <v>550000</v>
      </c>
      <c r="U900" s="124">
        <v>610000</v>
      </c>
      <c r="V900" s="21"/>
      <c r="W900" s="21"/>
      <c r="X900" s="73">
        <f>DATABASE_Table[[#This Row],[Current Asking price( Total)]]-DATABASE_Table[[#This Row],[Vista membership]]-DATABASE_Table[[#This Row],[FF&amp;E]]</f>
        <v>610000</v>
      </c>
      <c r="Y900" s="126">
        <v>0.18</v>
      </c>
      <c r="Z900" s="124">
        <v>500200</v>
      </c>
      <c r="AA900" s="73">
        <f>DATABASE_Table[[#This Row],[Sell price (Total)]]-DATABASE_Table[[#This Row],[FF&amp;E]]-DATABASE_Table[[#This Row],[Vista membership]]</f>
        <v>500200</v>
      </c>
      <c r="AB900" s="74">
        <v>45035</v>
      </c>
      <c r="AC900" s="74" t="str">
        <f t="shared" si="14"/>
        <v>Q2 2023</v>
      </c>
      <c r="AD900" s="123">
        <v>45904</v>
      </c>
      <c r="AE900" s="69"/>
      <c r="AF900" s="21" t="s">
        <v>10</v>
      </c>
      <c r="AG900" s="21" t="s">
        <v>23</v>
      </c>
      <c r="AH900" s="122" t="s">
        <v>24</v>
      </c>
      <c r="AI900" s="122" t="s">
        <v>797</v>
      </c>
      <c r="AJ900" s="122" t="s">
        <v>25</v>
      </c>
      <c r="AK900" s="122" t="s">
        <v>798</v>
      </c>
      <c r="AL900" s="21" t="s">
        <v>26</v>
      </c>
      <c r="AM900" s="122" t="s">
        <v>22</v>
      </c>
    </row>
    <row r="901" spans="1:39" customFormat="1" ht="15.75" customHeight="1" x14ac:dyDescent="0.3">
      <c r="A901" t="s">
        <v>22</v>
      </c>
      <c r="B901" s="21" t="s">
        <v>562</v>
      </c>
      <c r="C901" s="21" t="s">
        <v>688</v>
      </c>
      <c r="D901" s="117" t="s">
        <v>359</v>
      </c>
      <c r="E901" s="21" t="s">
        <v>9</v>
      </c>
      <c r="F901" s="21" t="s">
        <v>319</v>
      </c>
      <c r="G901" s="21">
        <v>117</v>
      </c>
      <c r="H901" s="21"/>
      <c r="I901" s="117" t="s">
        <v>325</v>
      </c>
      <c r="J901" s="117" t="s">
        <v>325</v>
      </c>
      <c r="K901" s="118"/>
      <c r="L901" s="21"/>
      <c r="M901" s="21"/>
      <c r="N901" s="21"/>
      <c r="O901" s="21"/>
      <c r="P901" s="21">
        <v>117</v>
      </c>
      <c r="Q901" s="21"/>
      <c r="R901" s="21" t="s">
        <v>923</v>
      </c>
      <c r="S901" s="119">
        <f>DATABASE_Table[[#This Row],[Inicial Asking Price (€) (Total)]]-DATABASE_Table[[#This Row],[Vista membership]]-DATABASE_Table[[#This Row],[FF&amp;E]]</f>
        <v>490000</v>
      </c>
      <c r="T901" s="125">
        <v>490000</v>
      </c>
      <c r="U901" s="124">
        <v>610000</v>
      </c>
      <c r="V901" s="21"/>
      <c r="W901" s="21"/>
      <c r="X901" s="73">
        <f>DATABASE_Table[[#This Row],[Current Asking price( Total)]]-DATABASE_Table[[#This Row],[Vista membership]]-DATABASE_Table[[#This Row],[FF&amp;E]]</f>
        <v>610000</v>
      </c>
      <c r="Y901" s="126">
        <v>0.18</v>
      </c>
      <c r="Z901" s="124">
        <v>500200</v>
      </c>
      <c r="AA901" s="73">
        <f>DATABASE_Table[[#This Row],[Sell price (Total)]]-DATABASE_Table[[#This Row],[FF&amp;E]]-DATABASE_Table[[#This Row],[Vista membership]]</f>
        <v>500200</v>
      </c>
      <c r="AB901" s="74">
        <v>45035</v>
      </c>
      <c r="AC901" s="74" t="str">
        <f t="shared" si="14"/>
        <v>Q2 2023</v>
      </c>
      <c r="AD901" s="123">
        <v>45904</v>
      </c>
      <c r="AE901" s="69"/>
      <c r="AF901" s="21" t="s">
        <v>10</v>
      </c>
      <c r="AG901" s="21" t="s">
        <v>23</v>
      </c>
      <c r="AH901" s="122" t="s">
        <v>24</v>
      </c>
      <c r="AI901" s="122" t="s">
        <v>797</v>
      </c>
      <c r="AJ901" s="122" t="s">
        <v>25</v>
      </c>
      <c r="AK901" s="122" t="s">
        <v>798</v>
      </c>
      <c r="AL901" s="21" t="s">
        <v>26</v>
      </c>
      <c r="AM901" s="122" t="s">
        <v>22</v>
      </c>
    </row>
    <row r="902" spans="1:39" customFormat="1" ht="15.75" customHeight="1" x14ac:dyDescent="0.3">
      <c r="A902" t="s">
        <v>22</v>
      </c>
      <c r="B902" s="21" t="s">
        <v>562</v>
      </c>
      <c r="C902" s="21" t="s">
        <v>688</v>
      </c>
      <c r="D902" s="117" t="s">
        <v>372</v>
      </c>
      <c r="E902" s="21" t="s">
        <v>9</v>
      </c>
      <c r="F902" s="21" t="s">
        <v>319</v>
      </c>
      <c r="G902" s="21">
        <v>119</v>
      </c>
      <c r="H902" s="21"/>
      <c r="I902" s="117" t="s">
        <v>325</v>
      </c>
      <c r="J902" s="117" t="s">
        <v>325</v>
      </c>
      <c r="K902" s="118"/>
      <c r="L902" s="21"/>
      <c r="M902" s="21"/>
      <c r="N902" s="21"/>
      <c r="O902" s="21"/>
      <c r="P902" s="21">
        <v>119</v>
      </c>
      <c r="Q902" s="21"/>
      <c r="R902" s="21" t="s">
        <v>923</v>
      </c>
      <c r="S902" s="119">
        <f>DATABASE_Table[[#This Row],[Inicial Asking Price (€) (Total)]]-DATABASE_Table[[#This Row],[Vista membership]]-DATABASE_Table[[#This Row],[FF&amp;E]]</f>
        <v>590000</v>
      </c>
      <c r="T902" s="125">
        <v>590000</v>
      </c>
      <c r="U902" s="124">
        <v>640000</v>
      </c>
      <c r="V902" s="21"/>
      <c r="W902" s="21"/>
      <c r="X902" s="73">
        <f>DATABASE_Table[[#This Row],[Current Asking price( Total)]]-DATABASE_Table[[#This Row],[Vista membership]]-DATABASE_Table[[#This Row],[FF&amp;E]]</f>
        <v>640000</v>
      </c>
      <c r="Y902" s="126">
        <v>0.1928125</v>
      </c>
      <c r="Z902" s="124">
        <v>516600</v>
      </c>
      <c r="AA902" s="73">
        <f>DATABASE_Table[[#This Row],[Sell price (Total)]]-DATABASE_Table[[#This Row],[FF&amp;E]]-DATABASE_Table[[#This Row],[Vista membership]]</f>
        <v>516600</v>
      </c>
      <c r="AB902" s="74">
        <v>45035</v>
      </c>
      <c r="AC902" s="74" t="str">
        <f t="shared" si="14"/>
        <v>Q2 2023</v>
      </c>
      <c r="AD902" s="123">
        <v>45918</v>
      </c>
      <c r="AE902" s="69"/>
      <c r="AF902" s="21" t="s">
        <v>10</v>
      </c>
      <c r="AG902" s="21" t="s">
        <v>23</v>
      </c>
      <c r="AH902" s="122" t="s">
        <v>24</v>
      </c>
      <c r="AI902" s="122" t="s">
        <v>797</v>
      </c>
      <c r="AJ902" s="122" t="s">
        <v>25</v>
      </c>
      <c r="AK902" s="122" t="s">
        <v>798</v>
      </c>
      <c r="AL902" s="21" t="s">
        <v>26</v>
      </c>
      <c r="AM902" s="122" t="s">
        <v>22</v>
      </c>
    </row>
    <row r="903" spans="1:39" customFormat="1" ht="15.75" customHeight="1" x14ac:dyDescent="0.3">
      <c r="A903" t="s">
        <v>22</v>
      </c>
      <c r="B903" s="21" t="s">
        <v>562</v>
      </c>
      <c r="C903" s="21" t="s">
        <v>688</v>
      </c>
      <c r="D903" s="117" t="s">
        <v>373</v>
      </c>
      <c r="E903" s="21" t="s">
        <v>9</v>
      </c>
      <c r="F903" s="21" t="s">
        <v>319</v>
      </c>
      <c r="G903" s="21">
        <v>119</v>
      </c>
      <c r="H903" s="21"/>
      <c r="I903" s="117" t="s">
        <v>325</v>
      </c>
      <c r="J903" s="117" t="s">
        <v>325</v>
      </c>
      <c r="K903" s="118"/>
      <c r="L903" s="21"/>
      <c r="M903" s="21"/>
      <c r="N903" s="21"/>
      <c r="O903" s="21"/>
      <c r="P903" s="21">
        <v>119</v>
      </c>
      <c r="Q903" s="21"/>
      <c r="R903" s="21" t="s">
        <v>923</v>
      </c>
      <c r="S903" s="119">
        <f>DATABASE_Table[[#This Row],[Inicial Asking Price (€) (Total)]]-DATABASE_Table[[#This Row],[Vista membership]]-DATABASE_Table[[#This Row],[FF&amp;E]]</f>
        <v>590000</v>
      </c>
      <c r="T903" s="125">
        <v>590000</v>
      </c>
      <c r="U903" s="124">
        <v>640000</v>
      </c>
      <c r="V903" s="21"/>
      <c r="W903" s="21"/>
      <c r="X903" s="73">
        <f>DATABASE_Table[[#This Row],[Current Asking price( Total)]]-DATABASE_Table[[#This Row],[Vista membership]]-DATABASE_Table[[#This Row],[FF&amp;E]]</f>
        <v>640000</v>
      </c>
      <c r="Y903" s="126">
        <v>0.1928125</v>
      </c>
      <c r="Z903" s="124">
        <v>516600</v>
      </c>
      <c r="AA903" s="73">
        <f>DATABASE_Table[[#This Row],[Sell price (Total)]]-DATABASE_Table[[#This Row],[FF&amp;E]]-DATABASE_Table[[#This Row],[Vista membership]]</f>
        <v>516600</v>
      </c>
      <c r="AB903" s="74">
        <v>45035</v>
      </c>
      <c r="AC903" s="74" t="str">
        <f t="shared" si="14"/>
        <v>Q2 2023</v>
      </c>
      <c r="AD903" s="123">
        <v>45918</v>
      </c>
      <c r="AE903" s="69"/>
      <c r="AF903" s="21" t="s">
        <v>10</v>
      </c>
      <c r="AG903" s="21" t="s">
        <v>23</v>
      </c>
      <c r="AH903" s="122" t="s">
        <v>24</v>
      </c>
      <c r="AI903" s="122" t="s">
        <v>797</v>
      </c>
      <c r="AJ903" s="122" t="s">
        <v>25</v>
      </c>
      <c r="AK903" s="122" t="s">
        <v>798</v>
      </c>
      <c r="AL903" s="21" t="s">
        <v>26</v>
      </c>
      <c r="AM903" s="122" t="s">
        <v>22</v>
      </c>
    </row>
    <row r="904" spans="1:39" customFormat="1" ht="15.75" customHeight="1" x14ac:dyDescent="0.3">
      <c r="A904" t="s">
        <v>48</v>
      </c>
      <c r="B904" s="21" t="s">
        <v>565</v>
      </c>
      <c r="C904" s="21" t="s">
        <v>688</v>
      </c>
      <c r="D904" s="117" t="s">
        <v>747</v>
      </c>
      <c r="E904" s="21" t="s">
        <v>9</v>
      </c>
      <c r="F904" s="21" t="s">
        <v>319</v>
      </c>
      <c r="G904" s="21">
        <v>161</v>
      </c>
      <c r="H904" s="21"/>
      <c r="I904" s="117" t="s">
        <v>325</v>
      </c>
      <c r="J904" s="117" t="s">
        <v>325</v>
      </c>
      <c r="K904" s="118">
        <v>57.1</v>
      </c>
      <c r="L904" s="21"/>
      <c r="M904" s="21"/>
      <c r="N904" s="21"/>
      <c r="O904" s="21"/>
      <c r="P904" s="21">
        <v>103.9</v>
      </c>
      <c r="Q904" s="21"/>
      <c r="R904" s="21" t="s">
        <v>326</v>
      </c>
      <c r="S904" s="119">
        <f>DATABASE_Table[[#This Row],[Inicial Asking Price (€) (Total)]]-DATABASE_Table[[#This Row],[Vista membership]]-DATABASE_Table[[#This Row],[FF&amp;E]]</f>
        <v>1177000</v>
      </c>
      <c r="T904" s="125">
        <v>1250000</v>
      </c>
      <c r="U904" s="124">
        <v>1350000</v>
      </c>
      <c r="V904" s="21">
        <v>50000</v>
      </c>
      <c r="W904" s="21">
        <v>23000</v>
      </c>
      <c r="X904" s="73">
        <f>DATABASE_Table[[#This Row],[Current Asking price( Total)]]-DATABASE_Table[[#This Row],[Vista membership]]-DATABASE_Table[[#This Row],[FF&amp;E]]</f>
        <v>1277000</v>
      </c>
      <c r="Y904" s="126">
        <v>0</v>
      </c>
      <c r="Z904" s="124">
        <v>1350000</v>
      </c>
      <c r="AA904" s="73">
        <f>DATABASE_Table[[#This Row],[Sell price (Total)]]-DATABASE_Table[[#This Row],[FF&amp;E]]-DATABASE_Table[[#This Row],[Vista membership]]</f>
        <v>1277000</v>
      </c>
      <c r="AB904" s="74">
        <v>46057</v>
      </c>
      <c r="AC904" s="74" t="str">
        <f t="shared" si="14"/>
        <v>Q1 2026</v>
      </c>
      <c r="AD904" s="123"/>
      <c r="AE904" s="69"/>
      <c r="AF904" s="21" t="s">
        <v>10</v>
      </c>
      <c r="AG904" s="21" t="s">
        <v>34</v>
      </c>
      <c r="AH904" s="122" t="s">
        <v>32</v>
      </c>
      <c r="AI904" s="122" t="s">
        <v>683</v>
      </c>
      <c r="AJ904" s="122" t="s">
        <v>49</v>
      </c>
      <c r="AK904" s="122" t="s">
        <v>50</v>
      </c>
      <c r="AL904" s="21" t="s">
        <v>51</v>
      </c>
      <c r="AM904" s="122" t="s">
        <v>48</v>
      </c>
    </row>
    <row r="905" spans="1:39" customFormat="1" ht="15.75" customHeight="1" x14ac:dyDescent="0.3">
      <c r="A905" t="s">
        <v>48</v>
      </c>
      <c r="B905" s="21" t="s">
        <v>565</v>
      </c>
      <c r="C905" s="21" t="s">
        <v>688</v>
      </c>
      <c r="D905" s="117" t="s">
        <v>704</v>
      </c>
      <c r="E905" s="21" t="s">
        <v>9</v>
      </c>
      <c r="F905" s="21" t="s">
        <v>319</v>
      </c>
      <c r="G905" s="21">
        <v>129.4</v>
      </c>
      <c r="H905" s="21"/>
      <c r="I905" s="117" t="s">
        <v>842</v>
      </c>
      <c r="J905" s="117" t="s">
        <v>325</v>
      </c>
      <c r="K905" s="118">
        <v>25.5</v>
      </c>
      <c r="L905" s="21"/>
      <c r="M905" s="21"/>
      <c r="N905" s="21"/>
      <c r="O905" s="21"/>
      <c r="P905" s="21">
        <v>103.9</v>
      </c>
      <c r="Q905" s="21"/>
      <c r="R905" s="21" t="s">
        <v>625</v>
      </c>
      <c r="S905" s="119">
        <f>DATABASE_Table[[#This Row],[Inicial Asking Price (€) (Total)]]-DATABASE_Table[[#This Row],[Vista membership]]-DATABASE_Table[[#This Row],[FF&amp;E]]</f>
        <v>1057000</v>
      </c>
      <c r="T905" s="125">
        <v>1130000</v>
      </c>
      <c r="U905" s="124">
        <v>1230000</v>
      </c>
      <c r="V905" s="21">
        <v>50000</v>
      </c>
      <c r="W905" s="21">
        <v>23000</v>
      </c>
      <c r="X905" s="73">
        <f>DATABASE_Table[[#This Row],[Current Asking price( Total)]]-DATABASE_Table[[#This Row],[Vista membership]]-DATABASE_Table[[#This Row],[FF&amp;E]]</f>
        <v>1157000</v>
      </c>
      <c r="Y905" s="126">
        <v>6.94308943089431E-2</v>
      </c>
      <c r="Z905" s="124">
        <v>1144600</v>
      </c>
      <c r="AA905" s="73">
        <f>DATABASE_Table[[#This Row],[Sell price (Total)]]-DATABASE_Table[[#This Row],[FF&amp;E]]-DATABASE_Table[[#This Row],[Vista membership]]</f>
        <v>1071600</v>
      </c>
      <c r="AB905" s="74">
        <v>46057</v>
      </c>
      <c r="AC905" s="74" t="str">
        <f t="shared" si="14"/>
        <v>Q1 2026</v>
      </c>
      <c r="AD905" s="123">
        <v>46057</v>
      </c>
      <c r="AE905" s="69"/>
      <c r="AF905" s="21" t="s">
        <v>10</v>
      </c>
      <c r="AG905" s="21" t="s">
        <v>34</v>
      </c>
      <c r="AH905" s="122" t="s">
        <v>32</v>
      </c>
      <c r="AI905" s="122" t="s">
        <v>683</v>
      </c>
      <c r="AJ905" s="122" t="s">
        <v>49</v>
      </c>
      <c r="AK905" s="122" t="s">
        <v>50</v>
      </c>
      <c r="AL905" s="21" t="s">
        <v>51</v>
      </c>
      <c r="AM905" s="122" t="s">
        <v>48</v>
      </c>
    </row>
    <row r="906" spans="1:39" customFormat="1" ht="15.75" customHeight="1" x14ac:dyDescent="0.3">
      <c r="A906" t="s">
        <v>48</v>
      </c>
      <c r="B906" s="21" t="s">
        <v>565</v>
      </c>
      <c r="C906" s="21" t="s">
        <v>688</v>
      </c>
      <c r="D906" s="117" t="s">
        <v>746</v>
      </c>
      <c r="E906" s="21" t="s">
        <v>9</v>
      </c>
      <c r="F906" s="21" t="s">
        <v>319</v>
      </c>
      <c r="G906" s="21">
        <v>161</v>
      </c>
      <c r="H906" s="21"/>
      <c r="I906" s="117" t="s">
        <v>842</v>
      </c>
      <c r="J906" s="117" t="s">
        <v>325</v>
      </c>
      <c r="K906" s="118">
        <v>57.1</v>
      </c>
      <c r="L906" s="21"/>
      <c r="M906" s="21"/>
      <c r="N906" s="21"/>
      <c r="O906" s="21"/>
      <c r="P906" s="21">
        <v>103.9</v>
      </c>
      <c r="Q906" s="21"/>
      <c r="R906" s="21" t="s">
        <v>625</v>
      </c>
      <c r="S906" s="119">
        <f>DATABASE_Table[[#This Row],[Inicial Asking Price (€) (Total)]]-DATABASE_Table[[#This Row],[Vista membership]]-DATABASE_Table[[#This Row],[FF&amp;E]]</f>
        <v>1267000</v>
      </c>
      <c r="T906" s="125">
        <v>1340000</v>
      </c>
      <c r="U906" s="124">
        <v>1440000</v>
      </c>
      <c r="V906" s="21">
        <v>50000</v>
      </c>
      <c r="W906" s="21">
        <v>23000</v>
      </c>
      <c r="X906" s="73">
        <f>DATABASE_Table[[#This Row],[Current Asking price( Total)]]-DATABASE_Table[[#This Row],[Vista membership]]-DATABASE_Table[[#This Row],[FF&amp;E]]</f>
        <v>1367000</v>
      </c>
      <c r="Y906" s="126">
        <v>0.202569444444444</v>
      </c>
      <c r="Z906" s="124">
        <v>1148300</v>
      </c>
      <c r="AA906" s="73">
        <f>DATABASE_Table[[#This Row],[Sell price (Total)]]-DATABASE_Table[[#This Row],[FF&amp;E]]-DATABASE_Table[[#This Row],[Vista membership]]</f>
        <v>1075300</v>
      </c>
      <c r="AB906" s="74">
        <v>46057</v>
      </c>
      <c r="AC906" s="74" t="str">
        <f t="shared" si="14"/>
        <v>Q1 2026</v>
      </c>
      <c r="AD906" s="123">
        <v>46057</v>
      </c>
      <c r="AE906" s="69"/>
      <c r="AF906" s="21" t="s">
        <v>10</v>
      </c>
      <c r="AG906" s="21" t="s">
        <v>34</v>
      </c>
      <c r="AH906" s="122" t="s">
        <v>32</v>
      </c>
      <c r="AI906" s="122" t="s">
        <v>683</v>
      </c>
      <c r="AJ906" s="122" t="s">
        <v>49</v>
      </c>
      <c r="AK906" s="122" t="s">
        <v>50</v>
      </c>
      <c r="AL906" s="21" t="s">
        <v>51</v>
      </c>
      <c r="AM906" s="122" t="s">
        <v>48</v>
      </c>
    </row>
    <row r="907" spans="1:39" customFormat="1" ht="15.75" customHeight="1" x14ac:dyDescent="0.3">
      <c r="A907" t="s">
        <v>48</v>
      </c>
      <c r="B907" s="21" t="s">
        <v>565</v>
      </c>
      <c r="C907" s="21" t="s">
        <v>688</v>
      </c>
      <c r="D907" s="117" t="s">
        <v>842</v>
      </c>
      <c r="E907" s="21" t="s">
        <v>9</v>
      </c>
      <c r="F907" s="21" t="s">
        <v>320</v>
      </c>
      <c r="G907" s="21">
        <v>213.2</v>
      </c>
      <c r="H907" s="21"/>
      <c r="I907" s="117" t="s">
        <v>842</v>
      </c>
      <c r="J907" s="117" t="s">
        <v>325</v>
      </c>
      <c r="K907" s="118">
        <v>63.6</v>
      </c>
      <c r="L907" s="21"/>
      <c r="M907" s="21"/>
      <c r="N907" s="21"/>
      <c r="O907" s="21"/>
      <c r="P907" s="21">
        <v>149.6</v>
      </c>
      <c r="Q907" s="21"/>
      <c r="R907" s="21" t="s">
        <v>329</v>
      </c>
      <c r="S907" s="119">
        <f>DATABASE_Table[[#This Row],[Inicial Asking Price (€) (Total)]]-DATABASE_Table[[#This Row],[Vista membership]]-DATABASE_Table[[#This Row],[FF&amp;E]]</f>
        <v>1860000</v>
      </c>
      <c r="T907" s="125">
        <v>1940000</v>
      </c>
      <c r="U907" s="124">
        <v>2020000</v>
      </c>
      <c r="V907" s="21">
        <v>50000</v>
      </c>
      <c r="W907" s="21">
        <v>30000</v>
      </c>
      <c r="X907" s="73">
        <f>DATABASE_Table[[#This Row],[Current Asking price( Total)]]-DATABASE_Table[[#This Row],[Vista membership]]-DATABASE_Table[[#This Row],[FF&amp;E]]</f>
        <v>1940000</v>
      </c>
      <c r="Y907" s="126"/>
      <c r="Z907" s="124">
        <v>2020000</v>
      </c>
      <c r="AA907" s="73">
        <f>DATABASE_Table[[#This Row],[Sell price (Total)]]-DATABASE_Table[[#This Row],[FF&amp;E]]-DATABASE_Table[[#This Row],[Vista membership]]</f>
        <v>1940000</v>
      </c>
      <c r="AB907" s="74">
        <v>46057</v>
      </c>
      <c r="AC907" s="74" t="str">
        <f t="shared" si="14"/>
        <v>Q1 2026</v>
      </c>
      <c r="AD907" s="123"/>
      <c r="AE907" s="69"/>
      <c r="AF907" s="21" t="s">
        <v>10</v>
      </c>
      <c r="AG907" s="21" t="s">
        <v>34</v>
      </c>
      <c r="AH907" s="122" t="s">
        <v>32</v>
      </c>
      <c r="AI907" s="122" t="s">
        <v>683</v>
      </c>
      <c r="AJ907" s="122" t="s">
        <v>49</v>
      </c>
      <c r="AK907" s="122" t="s">
        <v>50</v>
      </c>
      <c r="AL907" s="21" t="s">
        <v>51</v>
      </c>
      <c r="AM907" s="122" t="s">
        <v>48</v>
      </c>
    </row>
    <row r="908" spans="1:39" customFormat="1" ht="15.75" customHeight="1" x14ac:dyDescent="0.3">
      <c r="A908" t="s">
        <v>48</v>
      </c>
      <c r="B908" s="21" t="s">
        <v>565</v>
      </c>
      <c r="C908" s="21" t="s">
        <v>688</v>
      </c>
      <c r="D908" s="117" t="s">
        <v>851</v>
      </c>
      <c r="E908" s="21" t="s">
        <v>9</v>
      </c>
      <c r="F908" s="21" t="s">
        <v>320</v>
      </c>
      <c r="G908" s="21">
        <v>222.7</v>
      </c>
      <c r="H908" s="21"/>
      <c r="I908" s="117" t="s">
        <v>842</v>
      </c>
      <c r="J908" s="117" t="s">
        <v>325</v>
      </c>
      <c r="K908" s="118">
        <v>82.9</v>
      </c>
      <c r="L908" s="21"/>
      <c r="M908" s="21"/>
      <c r="N908" s="21"/>
      <c r="O908" s="21"/>
      <c r="P908" s="21">
        <v>139.80000000000001</v>
      </c>
      <c r="Q908" s="21"/>
      <c r="R908" s="21" t="s">
        <v>329</v>
      </c>
      <c r="S908" s="119">
        <f>DATABASE_Table[[#This Row],[Inicial Asking Price (€) (Total)]]-DATABASE_Table[[#This Row],[Vista membership]]-DATABASE_Table[[#This Row],[FF&amp;E]]</f>
        <v>2250000</v>
      </c>
      <c r="T908" s="125">
        <v>2330000</v>
      </c>
      <c r="U908" s="124">
        <v>2410000</v>
      </c>
      <c r="V908" s="21">
        <v>50000</v>
      </c>
      <c r="W908" s="21">
        <v>30000</v>
      </c>
      <c r="X908" s="73">
        <f>DATABASE_Table[[#This Row],[Current Asking price( Total)]]-DATABASE_Table[[#This Row],[Vista membership]]-DATABASE_Table[[#This Row],[FF&amp;E]]</f>
        <v>2330000</v>
      </c>
      <c r="Y908" s="126"/>
      <c r="Z908" s="124">
        <v>2410000</v>
      </c>
      <c r="AA908" s="73">
        <f>DATABASE_Table[[#This Row],[Sell price (Total)]]-DATABASE_Table[[#This Row],[FF&amp;E]]-DATABASE_Table[[#This Row],[Vista membership]]</f>
        <v>2330000</v>
      </c>
      <c r="AB908" s="74">
        <v>46057</v>
      </c>
      <c r="AC908" s="74" t="str">
        <f t="shared" si="14"/>
        <v>Q1 2026</v>
      </c>
      <c r="AD908" s="123"/>
      <c r="AE908" s="69"/>
      <c r="AF908" s="21" t="s">
        <v>10</v>
      </c>
      <c r="AG908" s="21" t="s">
        <v>34</v>
      </c>
      <c r="AH908" s="122" t="s">
        <v>32</v>
      </c>
      <c r="AI908" s="122" t="s">
        <v>683</v>
      </c>
      <c r="AJ908" s="122" t="s">
        <v>49</v>
      </c>
      <c r="AK908" s="122" t="s">
        <v>50</v>
      </c>
      <c r="AL908" s="21" t="s">
        <v>51</v>
      </c>
      <c r="AM908" s="122" t="s">
        <v>48</v>
      </c>
    </row>
    <row r="909" spans="1:39" customFormat="1" ht="15.75" customHeight="1" x14ac:dyDescent="0.3">
      <c r="A909" t="s">
        <v>48</v>
      </c>
      <c r="B909" s="21" t="s">
        <v>565</v>
      </c>
      <c r="C909" s="21" t="s">
        <v>688</v>
      </c>
      <c r="D909" s="117" t="s">
        <v>689</v>
      </c>
      <c r="E909" s="21" t="s">
        <v>9</v>
      </c>
      <c r="F909" s="21" t="s">
        <v>320</v>
      </c>
      <c r="G909" s="21">
        <v>183.9</v>
      </c>
      <c r="H909" s="21"/>
      <c r="I909" s="117" t="s">
        <v>842</v>
      </c>
      <c r="J909" s="117" t="s">
        <v>325</v>
      </c>
      <c r="K909" s="118">
        <v>34.299999999999997</v>
      </c>
      <c r="L909" s="21"/>
      <c r="M909" s="21"/>
      <c r="N909" s="21"/>
      <c r="O909" s="21"/>
      <c r="P909" s="21">
        <v>149.6</v>
      </c>
      <c r="Q909" s="21"/>
      <c r="R909" s="21" t="s">
        <v>329</v>
      </c>
      <c r="S909" s="119">
        <f>DATABASE_Table[[#This Row],[Inicial Asking Price (€) (Total)]]-DATABASE_Table[[#This Row],[Vista membership]]-DATABASE_Table[[#This Row],[FF&amp;E]]</f>
        <v>1910000</v>
      </c>
      <c r="T909" s="125">
        <v>1990000</v>
      </c>
      <c r="U909" s="124">
        <v>2070000</v>
      </c>
      <c r="V909" s="21">
        <v>50000</v>
      </c>
      <c r="W909" s="21">
        <v>30000</v>
      </c>
      <c r="X909" s="73">
        <f>DATABASE_Table[[#This Row],[Current Asking price( Total)]]-DATABASE_Table[[#This Row],[Vista membership]]-DATABASE_Table[[#This Row],[FF&amp;E]]</f>
        <v>1990000</v>
      </c>
      <c r="Y909" s="126"/>
      <c r="Z909" s="124">
        <v>2070000</v>
      </c>
      <c r="AA909" s="73">
        <f>DATABASE_Table[[#This Row],[Sell price (Total)]]-DATABASE_Table[[#This Row],[FF&amp;E]]-DATABASE_Table[[#This Row],[Vista membership]]</f>
        <v>1990000</v>
      </c>
      <c r="AB909" s="74">
        <v>46057</v>
      </c>
      <c r="AC909" s="74" t="str">
        <f t="shared" si="14"/>
        <v>Q1 2026</v>
      </c>
      <c r="AD909" s="123"/>
      <c r="AE909" s="69"/>
      <c r="AF909" s="21" t="s">
        <v>10</v>
      </c>
      <c r="AG909" s="21" t="s">
        <v>34</v>
      </c>
      <c r="AH909" s="122" t="s">
        <v>32</v>
      </c>
      <c r="AI909" s="122" t="s">
        <v>683</v>
      </c>
      <c r="AJ909" s="122" t="s">
        <v>49</v>
      </c>
      <c r="AK909" s="122" t="s">
        <v>50</v>
      </c>
      <c r="AL909" s="21" t="s">
        <v>51</v>
      </c>
      <c r="AM909" s="122" t="s">
        <v>48</v>
      </c>
    </row>
    <row r="910" spans="1:39" customFormat="1" ht="15.75" customHeight="1" x14ac:dyDescent="0.3">
      <c r="A910" t="s">
        <v>48</v>
      </c>
      <c r="B910" s="21" t="s">
        <v>565</v>
      </c>
      <c r="C910" s="21" t="s">
        <v>688</v>
      </c>
      <c r="D910" s="117" t="s">
        <v>690</v>
      </c>
      <c r="E910" s="21" t="s">
        <v>9</v>
      </c>
      <c r="F910" s="21" t="s">
        <v>319</v>
      </c>
      <c r="G910" s="21">
        <v>129.4</v>
      </c>
      <c r="H910" s="21"/>
      <c r="I910" s="117" t="s">
        <v>842</v>
      </c>
      <c r="J910" s="117" t="s">
        <v>325</v>
      </c>
      <c r="K910" s="118">
        <v>25.5</v>
      </c>
      <c r="L910" s="21"/>
      <c r="M910" s="21"/>
      <c r="N910" s="21"/>
      <c r="O910" s="21"/>
      <c r="P910" s="21">
        <v>103.9</v>
      </c>
      <c r="Q910" s="21"/>
      <c r="R910" s="21" t="s">
        <v>329</v>
      </c>
      <c r="S910" s="119">
        <f>DATABASE_Table[[#This Row],[Inicial Asking Price (€) (Total)]]-DATABASE_Table[[#This Row],[Vista membership]]-DATABASE_Table[[#This Row],[FF&amp;E]]</f>
        <v>1007000</v>
      </c>
      <c r="T910" s="125">
        <v>1080000</v>
      </c>
      <c r="U910" s="124">
        <v>1150000</v>
      </c>
      <c r="V910" s="21">
        <v>50000</v>
      </c>
      <c r="W910" s="21">
        <v>23000</v>
      </c>
      <c r="X910" s="73">
        <f>DATABASE_Table[[#This Row],[Current Asking price( Total)]]-DATABASE_Table[[#This Row],[Vista membership]]-DATABASE_Table[[#This Row],[FF&amp;E]]</f>
        <v>1077000</v>
      </c>
      <c r="Y910" s="126"/>
      <c r="Z910" s="124">
        <v>1150000</v>
      </c>
      <c r="AA910" s="73">
        <f>DATABASE_Table[[#This Row],[Sell price (Total)]]-DATABASE_Table[[#This Row],[FF&amp;E]]-DATABASE_Table[[#This Row],[Vista membership]]</f>
        <v>1077000</v>
      </c>
      <c r="AB910" s="74">
        <v>46057</v>
      </c>
      <c r="AC910" s="74" t="str">
        <f t="shared" si="14"/>
        <v>Q1 2026</v>
      </c>
      <c r="AD910" s="123"/>
      <c r="AE910" s="69"/>
      <c r="AF910" s="21" t="s">
        <v>10</v>
      </c>
      <c r="AG910" s="21" t="s">
        <v>34</v>
      </c>
      <c r="AH910" s="122" t="s">
        <v>32</v>
      </c>
      <c r="AI910" s="122" t="s">
        <v>683</v>
      </c>
      <c r="AJ910" s="122" t="s">
        <v>49</v>
      </c>
      <c r="AK910" s="122" t="s">
        <v>50</v>
      </c>
      <c r="AL910" s="21" t="s">
        <v>51</v>
      </c>
      <c r="AM910" s="122" t="s">
        <v>48</v>
      </c>
    </row>
    <row r="911" spans="1:39" customFormat="1" ht="15.75" customHeight="1" x14ac:dyDescent="0.3">
      <c r="A911" t="s">
        <v>48</v>
      </c>
      <c r="B911" s="21" t="s">
        <v>565</v>
      </c>
      <c r="C911" s="21" t="s">
        <v>688</v>
      </c>
      <c r="D911" s="117" t="s">
        <v>691</v>
      </c>
      <c r="E911" s="21" t="s">
        <v>9</v>
      </c>
      <c r="F911" s="21" t="s">
        <v>319</v>
      </c>
      <c r="G911" s="21">
        <v>129.4</v>
      </c>
      <c r="H911" s="21"/>
      <c r="I911" s="117" t="s">
        <v>842</v>
      </c>
      <c r="J911" s="117" t="s">
        <v>325</v>
      </c>
      <c r="K911" s="118">
        <v>25.5</v>
      </c>
      <c r="L911" s="21"/>
      <c r="M911" s="21"/>
      <c r="N911" s="21"/>
      <c r="O911" s="21"/>
      <c r="P911" s="21">
        <v>103.9</v>
      </c>
      <c r="Q911" s="21"/>
      <c r="R911" s="21" t="s">
        <v>329</v>
      </c>
      <c r="S911" s="119">
        <f>DATABASE_Table[[#This Row],[Inicial Asking Price (€) (Total)]]-DATABASE_Table[[#This Row],[Vista membership]]-DATABASE_Table[[#This Row],[FF&amp;E]]</f>
        <v>927000</v>
      </c>
      <c r="T911" s="125">
        <v>1000000</v>
      </c>
      <c r="U911" s="124">
        <v>1060000</v>
      </c>
      <c r="V911" s="21">
        <v>50000</v>
      </c>
      <c r="W911" s="21">
        <v>23000</v>
      </c>
      <c r="X911" s="73">
        <f>DATABASE_Table[[#This Row],[Current Asking price( Total)]]-DATABASE_Table[[#This Row],[Vista membership]]-DATABASE_Table[[#This Row],[FF&amp;E]]</f>
        <v>987000</v>
      </c>
      <c r="Y911" s="126"/>
      <c r="Z911" s="124">
        <v>1060000</v>
      </c>
      <c r="AA911" s="73">
        <f>DATABASE_Table[[#This Row],[Sell price (Total)]]-DATABASE_Table[[#This Row],[FF&amp;E]]-DATABASE_Table[[#This Row],[Vista membership]]</f>
        <v>987000</v>
      </c>
      <c r="AB911" s="74">
        <v>46057</v>
      </c>
      <c r="AC911" s="74" t="str">
        <f t="shared" si="14"/>
        <v>Q1 2026</v>
      </c>
      <c r="AD911" s="123"/>
      <c r="AE911" s="69"/>
      <c r="AF911" s="21" t="s">
        <v>10</v>
      </c>
      <c r="AG911" s="21" t="s">
        <v>34</v>
      </c>
      <c r="AH911" s="122" t="s">
        <v>32</v>
      </c>
      <c r="AI911" s="122" t="s">
        <v>683</v>
      </c>
      <c r="AJ911" s="122" t="s">
        <v>49</v>
      </c>
      <c r="AK911" s="122" t="s">
        <v>50</v>
      </c>
      <c r="AL911" s="21" t="s">
        <v>51</v>
      </c>
      <c r="AM911" s="122" t="s">
        <v>48</v>
      </c>
    </row>
    <row r="912" spans="1:39" customFormat="1" ht="15.75" customHeight="1" x14ac:dyDescent="0.3">
      <c r="A912" t="s">
        <v>48</v>
      </c>
      <c r="B912" s="21" t="s">
        <v>565</v>
      </c>
      <c r="C912" s="21" t="s">
        <v>688</v>
      </c>
      <c r="D912" s="117" t="s">
        <v>692</v>
      </c>
      <c r="E912" s="21" t="s">
        <v>9</v>
      </c>
      <c r="F912" s="21" t="s">
        <v>319</v>
      </c>
      <c r="G912" s="21">
        <v>130</v>
      </c>
      <c r="H912" s="21"/>
      <c r="I912" s="117" t="s">
        <v>842</v>
      </c>
      <c r="J912" s="117" t="s">
        <v>325</v>
      </c>
      <c r="K912" s="118">
        <v>25.4</v>
      </c>
      <c r="L912" s="21"/>
      <c r="M912" s="21"/>
      <c r="N912" s="21"/>
      <c r="O912" s="21"/>
      <c r="P912" s="21">
        <v>104.6</v>
      </c>
      <c r="Q912" s="21"/>
      <c r="R912" s="21" t="s">
        <v>329</v>
      </c>
      <c r="S912" s="119">
        <f>DATABASE_Table[[#This Row],[Inicial Asking Price (€) (Total)]]-DATABASE_Table[[#This Row],[Vista membership]]-DATABASE_Table[[#This Row],[FF&amp;E]]</f>
        <v>847000</v>
      </c>
      <c r="T912" s="125">
        <v>920000</v>
      </c>
      <c r="U912" s="124">
        <v>980000</v>
      </c>
      <c r="V912" s="21">
        <v>50000</v>
      </c>
      <c r="W912" s="21">
        <v>23000</v>
      </c>
      <c r="X912" s="73">
        <f>DATABASE_Table[[#This Row],[Current Asking price( Total)]]-DATABASE_Table[[#This Row],[Vista membership]]-DATABASE_Table[[#This Row],[FF&amp;E]]</f>
        <v>907000</v>
      </c>
      <c r="Y912" s="126"/>
      <c r="Z912" s="124">
        <v>980000</v>
      </c>
      <c r="AA912" s="73">
        <f>DATABASE_Table[[#This Row],[Sell price (Total)]]-DATABASE_Table[[#This Row],[FF&amp;E]]-DATABASE_Table[[#This Row],[Vista membership]]</f>
        <v>907000</v>
      </c>
      <c r="AB912" s="74">
        <v>46057</v>
      </c>
      <c r="AC912" s="74" t="str">
        <f t="shared" si="14"/>
        <v>Q1 2026</v>
      </c>
      <c r="AD912" s="123"/>
      <c r="AE912" s="69"/>
      <c r="AF912" s="21" t="s">
        <v>10</v>
      </c>
      <c r="AG912" s="21" t="s">
        <v>34</v>
      </c>
      <c r="AH912" s="122" t="s">
        <v>32</v>
      </c>
      <c r="AI912" s="122" t="s">
        <v>683</v>
      </c>
      <c r="AJ912" s="122" t="s">
        <v>49</v>
      </c>
      <c r="AK912" s="122" t="s">
        <v>50</v>
      </c>
      <c r="AL912" s="21" t="s">
        <v>51</v>
      </c>
      <c r="AM912" s="122" t="s">
        <v>48</v>
      </c>
    </row>
    <row r="913" spans="1:39" customFormat="1" ht="15.75" customHeight="1" x14ac:dyDescent="0.3">
      <c r="A913" t="s">
        <v>48</v>
      </c>
      <c r="B913" s="21" t="s">
        <v>565</v>
      </c>
      <c r="C913" s="21" t="s">
        <v>688</v>
      </c>
      <c r="D913" s="117" t="s">
        <v>693</v>
      </c>
      <c r="E913" s="21" t="s">
        <v>9</v>
      </c>
      <c r="F913" s="21" t="s">
        <v>319</v>
      </c>
      <c r="G913" s="21">
        <v>130.1</v>
      </c>
      <c r="H913" s="21"/>
      <c r="I913" s="117" t="s">
        <v>842</v>
      </c>
      <c r="J913" s="117" t="s">
        <v>325</v>
      </c>
      <c r="K913" s="118">
        <v>25.5</v>
      </c>
      <c r="L913" s="21"/>
      <c r="M913" s="21"/>
      <c r="N913" s="21"/>
      <c r="O913" s="21"/>
      <c r="P913" s="21">
        <v>104.6</v>
      </c>
      <c r="Q913" s="21"/>
      <c r="R913" s="21" t="s">
        <v>329</v>
      </c>
      <c r="S913" s="119">
        <f>DATABASE_Table[[#This Row],[Inicial Asking Price (€) (Total)]]-DATABASE_Table[[#This Row],[Vista membership]]-DATABASE_Table[[#This Row],[FF&amp;E]]</f>
        <v>927000</v>
      </c>
      <c r="T913" s="125">
        <v>1000000</v>
      </c>
      <c r="U913" s="124">
        <v>1060000</v>
      </c>
      <c r="V913" s="21">
        <v>50000</v>
      </c>
      <c r="W913" s="21">
        <v>23000</v>
      </c>
      <c r="X913" s="73">
        <f>DATABASE_Table[[#This Row],[Current Asking price( Total)]]-DATABASE_Table[[#This Row],[Vista membership]]-DATABASE_Table[[#This Row],[FF&amp;E]]</f>
        <v>987000</v>
      </c>
      <c r="Y913" s="126"/>
      <c r="Z913" s="124">
        <v>1060000</v>
      </c>
      <c r="AA913" s="73">
        <f>DATABASE_Table[[#This Row],[Sell price (Total)]]-DATABASE_Table[[#This Row],[FF&amp;E]]-DATABASE_Table[[#This Row],[Vista membership]]</f>
        <v>987000</v>
      </c>
      <c r="AB913" s="74">
        <v>46057</v>
      </c>
      <c r="AC913" s="74" t="str">
        <f t="shared" si="14"/>
        <v>Q1 2026</v>
      </c>
      <c r="AD913" s="123"/>
      <c r="AE913" s="69"/>
      <c r="AF913" s="21" t="s">
        <v>10</v>
      </c>
      <c r="AG913" s="21" t="s">
        <v>34</v>
      </c>
      <c r="AH913" s="122" t="s">
        <v>32</v>
      </c>
      <c r="AI913" s="122" t="s">
        <v>683</v>
      </c>
      <c r="AJ913" s="122" t="s">
        <v>49</v>
      </c>
      <c r="AK913" s="122" t="s">
        <v>50</v>
      </c>
      <c r="AL913" s="21" t="s">
        <v>51</v>
      </c>
      <c r="AM913" s="122" t="s">
        <v>48</v>
      </c>
    </row>
    <row r="914" spans="1:39" customFormat="1" ht="15.75" customHeight="1" x14ac:dyDescent="0.3">
      <c r="A914" t="s">
        <v>48</v>
      </c>
      <c r="B914" s="21" t="s">
        <v>565</v>
      </c>
      <c r="C914" s="21" t="s">
        <v>688</v>
      </c>
      <c r="D914" s="117" t="s">
        <v>694</v>
      </c>
      <c r="E914" s="21" t="s">
        <v>9</v>
      </c>
      <c r="F914" s="21" t="s">
        <v>319</v>
      </c>
      <c r="G914" s="21">
        <v>129.4</v>
      </c>
      <c r="H914" s="21"/>
      <c r="I914" s="117" t="s">
        <v>842</v>
      </c>
      <c r="J914" s="117" t="s">
        <v>325</v>
      </c>
      <c r="K914" s="118">
        <v>25.5</v>
      </c>
      <c r="L914" s="21"/>
      <c r="M914" s="21"/>
      <c r="N914" s="21"/>
      <c r="O914" s="21"/>
      <c r="P914" s="21">
        <v>103.9</v>
      </c>
      <c r="Q914" s="21"/>
      <c r="R914" s="21" t="s">
        <v>329</v>
      </c>
      <c r="S914" s="119">
        <f>DATABASE_Table[[#This Row],[Inicial Asking Price (€) (Total)]]-DATABASE_Table[[#This Row],[Vista membership]]-DATABASE_Table[[#This Row],[FF&amp;E]]</f>
        <v>1007000</v>
      </c>
      <c r="T914" s="125">
        <v>1080000</v>
      </c>
      <c r="U914" s="124">
        <v>1150000</v>
      </c>
      <c r="V914" s="21">
        <v>50000</v>
      </c>
      <c r="W914" s="21">
        <v>23000</v>
      </c>
      <c r="X914" s="73">
        <f>DATABASE_Table[[#This Row],[Current Asking price( Total)]]-DATABASE_Table[[#This Row],[Vista membership]]-DATABASE_Table[[#This Row],[FF&amp;E]]</f>
        <v>1077000</v>
      </c>
      <c r="Y914" s="126"/>
      <c r="Z914" s="124">
        <v>1150000</v>
      </c>
      <c r="AA914" s="73">
        <f>DATABASE_Table[[#This Row],[Sell price (Total)]]-DATABASE_Table[[#This Row],[FF&amp;E]]-DATABASE_Table[[#This Row],[Vista membership]]</f>
        <v>1077000</v>
      </c>
      <c r="AB914" s="74">
        <v>46057</v>
      </c>
      <c r="AC914" s="74" t="str">
        <f t="shared" si="14"/>
        <v>Q1 2026</v>
      </c>
      <c r="AD914" s="123"/>
      <c r="AE914" s="69"/>
      <c r="AF914" s="21" t="s">
        <v>10</v>
      </c>
      <c r="AG914" s="21" t="s">
        <v>34</v>
      </c>
      <c r="AH914" s="122" t="s">
        <v>32</v>
      </c>
      <c r="AI914" s="122" t="s">
        <v>683</v>
      </c>
      <c r="AJ914" s="122" t="s">
        <v>49</v>
      </c>
      <c r="AK914" s="122" t="s">
        <v>50</v>
      </c>
      <c r="AL914" s="21" t="s">
        <v>51</v>
      </c>
      <c r="AM914" s="122" t="s">
        <v>48</v>
      </c>
    </row>
    <row r="915" spans="1:39" customFormat="1" ht="15.75" customHeight="1" x14ac:dyDescent="0.3">
      <c r="A915" t="s">
        <v>48</v>
      </c>
      <c r="B915" s="21" t="s">
        <v>565</v>
      </c>
      <c r="C915" s="21" t="s">
        <v>688</v>
      </c>
      <c r="D915" s="117" t="s">
        <v>695</v>
      </c>
      <c r="E915" s="21" t="s">
        <v>9</v>
      </c>
      <c r="F915" s="21" t="s">
        <v>319</v>
      </c>
      <c r="G915" s="21">
        <v>129.4</v>
      </c>
      <c r="H915" s="21"/>
      <c r="I915" s="117" t="s">
        <v>842</v>
      </c>
      <c r="J915" s="117" t="s">
        <v>325</v>
      </c>
      <c r="K915" s="118">
        <v>25.5</v>
      </c>
      <c r="L915" s="21"/>
      <c r="M915" s="21"/>
      <c r="N915" s="21"/>
      <c r="O915" s="21"/>
      <c r="P915" s="21">
        <v>103.9</v>
      </c>
      <c r="Q915" s="21"/>
      <c r="R915" s="21" t="s">
        <v>329</v>
      </c>
      <c r="S915" s="119">
        <f>DATABASE_Table[[#This Row],[Inicial Asking Price (€) (Total)]]-DATABASE_Table[[#This Row],[Vista membership]]-DATABASE_Table[[#This Row],[FF&amp;E]]</f>
        <v>1087000</v>
      </c>
      <c r="T915" s="125">
        <v>1160000</v>
      </c>
      <c r="U915" s="124">
        <v>1230000</v>
      </c>
      <c r="V915" s="21">
        <v>50000</v>
      </c>
      <c r="W915" s="21">
        <v>23000</v>
      </c>
      <c r="X915" s="73">
        <f>DATABASE_Table[[#This Row],[Current Asking price( Total)]]-DATABASE_Table[[#This Row],[Vista membership]]-DATABASE_Table[[#This Row],[FF&amp;E]]</f>
        <v>1157000</v>
      </c>
      <c r="Y915" s="126"/>
      <c r="Z915" s="124">
        <v>1230000</v>
      </c>
      <c r="AA915" s="73">
        <f>DATABASE_Table[[#This Row],[Sell price (Total)]]-DATABASE_Table[[#This Row],[FF&amp;E]]-DATABASE_Table[[#This Row],[Vista membership]]</f>
        <v>1157000</v>
      </c>
      <c r="AB915" s="74">
        <v>46057</v>
      </c>
      <c r="AC915" s="74" t="str">
        <f t="shared" si="14"/>
        <v>Q1 2026</v>
      </c>
      <c r="AD915" s="123"/>
      <c r="AE915" s="69"/>
      <c r="AF915" s="21" t="s">
        <v>10</v>
      </c>
      <c r="AG915" s="21" t="s">
        <v>34</v>
      </c>
      <c r="AH915" s="122" t="s">
        <v>32</v>
      </c>
      <c r="AI915" s="122" t="s">
        <v>683</v>
      </c>
      <c r="AJ915" s="122" t="s">
        <v>49</v>
      </c>
      <c r="AK915" s="122" t="s">
        <v>50</v>
      </c>
      <c r="AL915" s="21" t="s">
        <v>51</v>
      </c>
      <c r="AM915" s="122" t="s">
        <v>48</v>
      </c>
    </row>
    <row r="916" spans="1:39" customFormat="1" ht="15.75" customHeight="1" x14ac:dyDescent="0.3">
      <c r="A916" t="s">
        <v>48</v>
      </c>
      <c r="B916" s="21" t="s">
        <v>565</v>
      </c>
      <c r="C916" s="21" t="s">
        <v>688</v>
      </c>
      <c r="D916" s="117" t="s">
        <v>696</v>
      </c>
      <c r="E916" s="21" t="s">
        <v>9</v>
      </c>
      <c r="F916" s="21" t="s">
        <v>319</v>
      </c>
      <c r="G916" s="21">
        <v>129.4</v>
      </c>
      <c r="H916" s="21"/>
      <c r="I916" s="117" t="s">
        <v>842</v>
      </c>
      <c r="J916" s="117" t="s">
        <v>325</v>
      </c>
      <c r="K916" s="118">
        <v>25.5</v>
      </c>
      <c r="L916" s="21"/>
      <c r="M916" s="21"/>
      <c r="N916" s="21"/>
      <c r="O916" s="21"/>
      <c r="P916" s="21">
        <v>103.9</v>
      </c>
      <c r="Q916" s="21"/>
      <c r="R916" s="21" t="s">
        <v>329</v>
      </c>
      <c r="S916" s="119">
        <f>DATABASE_Table[[#This Row],[Inicial Asking Price (€) (Total)]]-DATABASE_Table[[#This Row],[Vista membership]]-DATABASE_Table[[#This Row],[FF&amp;E]]</f>
        <v>1147000</v>
      </c>
      <c r="T916" s="125">
        <v>1220000</v>
      </c>
      <c r="U916" s="124">
        <v>1290000</v>
      </c>
      <c r="V916" s="21">
        <v>50000</v>
      </c>
      <c r="W916" s="21">
        <v>23000</v>
      </c>
      <c r="X916" s="73">
        <f>DATABASE_Table[[#This Row],[Current Asking price( Total)]]-DATABASE_Table[[#This Row],[Vista membership]]-DATABASE_Table[[#This Row],[FF&amp;E]]</f>
        <v>1217000</v>
      </c>
      <c r="Y916" s="126"/>
      <c r="Z916" s="124">
        <v>1290000</v>
      </c>
      <c r="AA916" s="73">
        <f>DATABASE_Table[[#This Row],[Sell price (Total)]]-DATABASE_Table[[#This Row],[FF&amp;E]]-DATABASE_Table[[#This Row],[Vista membership]]</f>
        <v>1217000</v>
      </c>
      <c r="AB916" s="74">
        <v>46057</v>
      </c>
      <c r="AC916" s="74" t="str">
        <f t="shared" si="14"/>
        <v>Q1 2026</v>
      </c>
      <c r="AD916" s="123"/>
      <c r="AE916" s="69"/>
      <c r="AF916" s="21" t="s">
        <v>10</v>
      </c>
      <c r="AG916" s="21" t="s">
        <v>34</v>
      </c>
      <c r="AH916" s="122" t="s">
        <v>32</v>
      </c>
      <c r="AI916" s="122" t="s">
        <v>683</v>
      </c>
      <c r="AJ916" s="122" t="s">
        <v>49</v>
      </c>
      <c r="AK916" s="122" t="s">
        <v>50</v>
      </c>
      <c r="AL916" s="21" t="s">
        <v>51</v>
      </c>
      <c r="AM916" s="122" t="s">
        <v>48</v>
      </c>
    </row>
    <row r="917" spans="1:39" customFormat="1" ht="15.75" customHeight="1" x14ac:dyDescent="0.3">
      <c r="A917" t="s">
        <v>48</v>
      </c>
      <c r="B917" s="21" t="s">
        <v>565</v>
      </c>
      <c r="C917" s="21" t="s">
        <v>688</v>
      </c>
      <c r="D917" s="117" t="s">
        <v>697</v>
      </c>
      <c r="E917" s="21" t="s">
        <v>9</v>
      </c>
      <c r="F917" s="21" t="s">
        <v>319</v>
      </c>
      <c r="G917" s="21">
        <v>129.4</v>
      </c>
      <c r="H917" s="21"/>
      <c r="I917" s="117" t="s">
        <v>842</v>
      </c>
      <c r="J917" s="117" t="s">
        <v>325</v>
      </c>
      <c r="K917" s="118">
        <v>25.5</v>
      </c>
      <c r="L917" s="21"/>
      <c r="M917" s="21"/>
      <c r="N917" s="21"/>
      <c r="O917" s="21"/>
      <c r="P917" s="21">
        <v>103.9</v>
      </c>
      <c r="Q917" s="21"/>
      <c r="R917" s="21" t="s">
        <v>329</v>
      </c>
      <c r="S917" s="119">
        <f>DATABASE_Table[[#This Row],[Inicial Asking Price (€) (Total)]]-DATABASE_Table[[#This Row],[Vista membership]]-DATABASE_Table[[#This Row],[FF&amp;E]]</f>
        <v>1207000</v>
      </c>
      <c r="T917" s="125">
        <v>1280000</v>
      </c>
      <c r="U917" s="124">
        <v>1350000</v>
      </c>
      <c r="V917" s="21">
        <v>50000</v>
      </c>
      <c r="W917" s="21">
        <v>23000</v>
      </c>
      <c r="X917" s="73">
        <f>DATABASE_Table[[#This Row],[Current Asking price( Total)]]-DATABASE_Table[[#This Row],[Vista membership]]-DATABASE_Table[[#This Row],[FF&amp;E]]</f>
        <v>1277000</v>
      </c>
      <c r="Y917" s="126"/>
      <c r="Z917" s="124">
        <v>1350000</v>
      </c>
      <c r="AA917" s="73">
        <f>DATABASE_Table[[#This Row],[Sell price (Total)]]-DATABASE_Table[[#This Row],[FF&amp;E]]-DATABASE_Table[[#This Row],[Vista membership]]</f>
        <v>1277000</v>
      </c>
      <c r="AB917" s="74">
        <v>46057</v>
      </c>
      <c r="AC917" s="74" t="str">
        <f t="shared" si="14"/>
        <v>Q1 2026</v>
      </c>
      <c r="AD917" s="123"/>
      <c r="AE917" s="69"/>
      <c r="AF917" s="21" t="s">
        <v>10</v>
      </c>
      <c r="AG917" s="21" t="s">
        <v>34</v>
      </c>
      <c r="AH917" s="122" t="s">
        <v>32</v>
      </c>
      <c r="AI917" s="122" t="s">
        <v>683</v>
      </c>
      <c r="AJ917" s="122" t="s">
        <v>49</v>
      </c>
      <c r="AK917" s="122" t="s">
        <v>50</v>
      </c>
      <c r="AL917" s="21" t="s">
        <v>51</v>
      </c>
      <c r="AM917" s="122" t="s">
        <v>48</v>
      </c>
    </row>
    <row r="918" spans="1:39" customFormat="1" ht="15.75" customHeight="1" x14ac:dyDescent="0.3">
      <c r="A918" t="s">
        <v>48</v>
      </c>
      <c r="B918" s="21" t="s">
        <v>565</v>
      </c>
      <c r="C918" s="21" t="s">
        <v>688</v>
      </c>
      <c r="D918" s="117" t="s">
        <v>829</v>
      </c>
      <c r="E918" s="21" t="s">
        <v>9</v>
      </c>
      <c r="F918" s="21" t="s">
        <v>419</v>
      </c>
      <c r="G918" s="21">
        <v>105.3</v>
      </c>
      <c r="H918" s="21"/>
      <c r="I918" s="117" t="s">
        <v>842</v>
      </c>
      <c r="J918" s="117" t="s">
        <v>325</v>
      </c>
      <c r="K918" s="118">
        <v>42.4</v>
      </c>
      <c r="L918" s="21"/>
      <c r="M918" s="21"/>
      <c r="N918" s="21"/>
      <c r="O918" s="21"/>
      <c r="P918" s="21">
        <v>62.9</v>
      </c>
      <c r="Q918" s="21"/>
      <c r="R918" s="21" t="s">
        <v>329</v>
      </c>
      <c r="S918" s="119">
        <f>DATABASE_Table[[#This Row],[Inicial Asking Price (€) (Total)]]-DATABASE_Table[[#This Row],[Vista membership]]-DATABASE_Table[[#This Row],[FF&amp;E]]</f>
        <v>585000</v>
      </c>
      <c r="T918" s="125">
        <v>650000</v>
      </c>
      <c r="U918" s="124">
        <v>710000</v>
      </c>
      <c r="V918" s="21">
        <v>50000</v>
      </c>
      <c r="W918" s="21">
        <v>15000</v>
      </c>
      <c r="X918" s="73">
        <f>DATABASE_Table[[#This Row],[Current Asking price( Total)]]-DATABASE_Table[[#This Row],[Vista membership]]-DATABASE_Table[[#This Row],[FF&amp;E]]</f>
        <v>645000</v>
      </c>
      <c r="Y918" s="126"/>
      <c r="Z918" s="124">
        <v>710000</v>
      </c>
      <c r="AA918" s="73">
        <f>DATABASE_Table[[#This Row],[Sell price (Total)]]-DATABASE_Table[[#This Row],[FF&amp;E]]-DATABASE_Table[[#This Row],[Vista membership]]</f>
        <v>645000</v>
      </c>
      <c r="AB918" s="74">
        <v>46057</v>
      </c>
      <c r="AC918" s="74" t="str">
        <f t="shared" si="14"/>
        <v>Q1 2026</v>
      </c>
      <c r="AD918" s="123"/>
      <c r="AE918" s="69"/>
      <c r="AF918" s="21" t="s">
        <v>10</v>
      </c>
      <c r="AG918" s="21" t="s">
        <v>34</v>
      </c>
      <c r="AH918" s="122" t="s">
        <v>32</v>
      </c>
      <c r="AI918" s="122" t="s">
        <v>683</v>
      </c>
      <c r="AJ918" s="122" t="s">
        <v>49</v>
      </c>
      <c r="AK918" s="122" t="s">
        <v>50</v>
      </c>
      <c r="AL918" s="21" t="s">
        <v>51</v>
      </c>
      <c r="AM918" s="122" t="s">
        <v>48</v>
      </c>
    </row>
    <row r="919" spans="1:39" customFormat="1" ht="15.75" customHeight="1" x14ac:dyDescent="0.3">
      <c r="A919" t="s">
        <v>48</v>
      </c>
      <c r="B919" s="21" t="s">
        <v>565</v>
      </c>
      <c r="C919" s="21" t="s">
        <v>688</v>
      </c>
      <c r="D919" s="117" t="s">
        <v>852</v>
      </c>
      <c r="E919" s="21" t="s">
        <v>9</v>
      </c>
      <c r="F919" s="21" t="s">
        <v>320</v>
      </c>
      <c r="G919" s="21">
        <v>160.19999999999999</v>
      </c>
      <c r="H919" s="21"/>
      <c r="I919" s="117" t="s">
        <v>842</v>
      </c>
      <c r="J919" s="117" t="s">
        <v>325</v>
      </c>
      <c r="K919" s="118">
        <v>20.399999999999999</v>
      </c>
      <c r="L919" s="21"/>
      <c r="M919" s="21"/>
      <c r="N919" s="21"/>
      <c r="O919" s="21"/>
      <c r="P919" s="21">
        <v>139.80000000000001</v>
      </c>
      <c r="Q919" s="21"/>
      <c r="R919" s="21" t="s">
        <v>329</v>
      </c>
      <c r="S919" s="119">
        <f>DATABASE_Table[[#This Row],[Inicial Asking Price (€) (Total)]]-DATABASE_Table[[#This Row],[Vista membership]]-DATABASE_Table[[#This Row],[FF&amp;E]]</f>
        <v>2060000</v>
      </c>
      <c r="T919" s="125">
        <v>2140000</v>
      </c>
      <c r="U919" s="124">
        <v>2220000</v>
      </c>
      <c r="V919" s="21">
        <v>50000</v>
      </c>
      <c r="W919" s="21">
        <v>30000</v>
      </c>
      <c r="X919" s="73">
        <f>DATABASE_Table[[#This Row],[Current Asking price( Total)]]-DATABASE_Table[[#This Row],[Vista membership]]-DATABASE_Table[[#This Row],[FF&amp;E]]</f>
        <v>2140000</v>
      </c>
      <c r="Y919" s="126"/>
      <c r="Z919" s="124">
        <v>2220000</v>
      </c>
      <c r="AA919" s="73">
        <f>DATABASE_Table[[#This Row],[Sell price (Total)]]-DATABASE_Table[[#This Row],[FF&amp;E]]-DATABASE_Table[[#This Row],[Vista membership]]</f>
        <v>2140000</v>
      </c>
      <c r="AB919" s="74">
        <v>46057</v>
      </c>
      <c r="AC919" s="74" t="str">
        <f t="shared" si="14"/>
        <v>Q1 2026</v>
      </c>
      <c r="AD919" s="123"/>
      <c r="AE919" s="69"/>
      <c r="AF919" s="21" t="s">
        <v>10</v>
      </c>
      <c r="AG919" s="21" t="s">
        <v>34</v>
      </c>
      <c r="AH919" s="122" t="s">
        <v>32</v>
      </c>
      <c r="AI919" s="122" t="s">
        <v>683</v>
      </c>
      <c r="AJ919" s="122" t="s">
        <v>49</v>
      </c>
      <c r="AK919" s="122" t="s">
        <v>50</v>
      </c>
      <c r="AL919" s="21" t="s">
        <v>51</v>
      </c>
      <c r="AM919" s="122" t="s">
        <v>48</v>
      </c>
    </row>
    <row r="920" spans="1:39" customFormat="1" ht="15.75" customHeight="1" x14ac:dyDescent="0.3">
      <c r="A920" t="s">
        <v>48</v>
      </c>
      <c r="B920" s="21" t="s">
        <v>565</v>
      </c>
      <c r="C920" s="21" t="s">
        <v>688</v>
      </c>
      <c r="D920" s="117" t="s">
        <v>698</v>
      </c>
      <c r="E920" s="21" t="s">
        <v>9</v>
      </c>
      <c r="F920" s="21" t="s">
        <v>419</v>
      </c>
      <c r="G920" s="21">
        <v>80.900000000000006</v>
      </c>
      <c r="H920" s="21"/>
      <c r="I920" s="117" t="s">
        <v>842</v>
      </c>
      <c r="J920" s="117" t="s">
        <v>325</v>
      </c>
      <c r="K920" s="118">
        <v>18</v>
      </c>
      <c r="L920" s="21"/>
      <c r="M920" s="21"/>
      <c r="N920" s="21"/>
      <c r="O920" s="21"/>
      <c r="P920" s="21">
        <v>62.9</v>
      </c>
      <c r="Q920" s="21"/>
      <c r="R920" s="21" t="s">
        <v>329</v>
      </c>
      <c r="S920" s="119">
        <f>DATABASE_Table[[#This Row],[Inicial Asking Price (€) (Total)]]-DATABASE_Table[[#This Row],[Vista membership]]-DATABASE_Table[[#This Row],[FF&amp;E]]</f>
        <v>575000</v>
      </c>
      <c r="T920" s="125">
        <v>640000</v>
      </c>
      <c r="U920" s="124">
        <v>700000</v>
      </c>
      <c r="V920" s="21">
        <v>50000</v>
      </c>
      <c r="W920" s="21">
        <v>15000</v>
      </c>
      <c r="X920" s="73">
        <f>DATABASE_Table[[#This Row],[Current Asking price( Total)]]-DATABASE_Table[[#This Row],[Vista membership]]-DATABASE_Table[[#This Row],[FF&amp;E]]</f>
        <v>635000</v>
      </c>
      <c r="Y920" s="126"/>
      <c r="Z920" s="124">
        <v>700000</v>
      </c>
      <c r="AA920" s="73">
        <f>DATABASE_Table[[#This Row],[Sell price (Total)]]-DATABASE_Table[[#This Row],[FF&amp;E]]-DATABASE_Table[[#This Row],[Vista membership]]</f>
        <v>635000</v>
      </c>
      <c r="AB920" s="74">
        <v>46057</v>
      </c>
      <c r="AC920" s="74" t="str">
        <f t="shared" si="14"/>
        <v>Q1 2026</v>
      </c>
      <c r="AD920" s="123"/>
      <c r="AE920" s="69"/>
      <c r="AF920" s="21" t="s">
        <v>10</v>
      </c>
      <c r="AG920" s="21" t="s">
        <v>34</v>
      </c>
      <c r="AH920" s="122" t="s">
        <v>32</v>
      </c>
      <c r="AI920" s="122" t="s">
        <v>683</v>
      </c>
      <c r="AJ920" s="122" t="s">
        <v>49</v>
      </c>
      <c r="AK920" s="122" t="s">
        <v>50</v>
      </c>
      <c r="AL920" s="21" t="s">
        <v>51</v>
      </c>
      <c r="AM920" s="122" t="s">
        <v>48</v>
      </c>
    </row>
    <row r="921" spans="1:39" customFormat="1" ht="15.75" customHeight="1" x14ac:dyDescent="0.3">
      <c r="A921" t="s">
        <v>48</v>
      </c>
      <c r="B921" s="21" t="s">
        <v>565</v>
      </c>
      <c r="C921" s="21" t="s">
        <v>688</v>
      </c>
      <c r="D921" s="117" t="s">
        <v>699</v>
      </c>
      <c r="E921" s="21" t="s">
        <v>9</v>
      </c>
      <c r="F921" s="21" t="s">
        <v>419</v>
      </c>
      <c r="G921" s="21">
        <v>81.099999999999994</v>
      </c>
      <c r="H921" s="21"/>
      <c r="I921" s="117" t="s">
        <v>842</v>
      </c>
      <c r="J921" s="117" t="s">
        <v>325</v>
      </c>
      <c r="K921" s="118">
        <v>18</v>
      </c>
      <c r="L921" s="21"/>
      <c r="M921" s="21"/>
      <c r="N921" s="21"/>
      <c r="O921" s="21"/>
      <c r="P921" s="21">
        <v>63.1</v>
      </c>
      <c r="Q921" s="21"/>
      <c r="R921" s="21" t="s">
        <v>329</v>
      </c>
      <c r="S921" s="119">
        <f>DATABASE_Table[[#This Row],[Inicial Asking Price (€) (Total)]]-DATABASE_Table[[#This Row],[Vista membership]]-DATABASE_Table[[#This Row],[FF&amp;E]]</f>
        <v>615000</v>
      </c>
      <c r="T921" s="125">
        <v>680000</v>
      </c>
      <c r="U921" s="124">
        <v>740000</v>
      </c>
      <c r="V921" s="21">
        <v>50000</v>
      </c>
      <c r="W921" s="21">
        <v>15000</v>
      </c>
      <c r="X921" s="73">
        <f>DATABASE_Table[[#This Row],[Current Asking price( Total)]]-DATABASE_Table[[#This Row],[Vista membership]]-DATABASE_Table[[#This Row],[FF&amp;E]]</f>
        <v>675000</v>
      </c>
      <c r="Y921" s="126"/>
      <c r="Z921" s="124">
        <v>740000</v>
      </c>
      <c r="AA921" s="73">
        <f>DATABASE_Table[[#This Row],[Sell price (Total)]]-DATABASE_Table[[#This Row],[FF&amp;E]]-DATABASE_Table[[#This Row],[Vista membership]]</f>
        <v>675000</v>
      </c>
      <c r="AB921" s="74">
        <v>46057</v>
      </c>
      <c r="AC921" s="74" t="str">
        <f t="shared" si="14"/>
        <v>Q1 2026</v>
      </c>
      <c r="AD921" s="123"/>
      <c r="AE921" s="69"/>
      <c r="AF921" s="21" t="s">
        <v>10</v>
      </c>
      <c r="AG921" s="21" t="s">
        <v>34</v>
      </c>
      <c r="AH921" s="122" t="s">
        <v>32</v>
      </c>
      <c r="AI921" s="122" t="s">
        <v>683</v>
      </c>
      <c r="AJ921" s="122" t="s">
        <v>49</v>
      </c>
      <c r="AK921" s="122" t="s">
        <v>50</v>
      </c>
      <c r="AL921" s="21" t="s">
        <v>51</v>
      </c>
      <c r="AM921" s="122" t="s">
        <v>48</v>
      </c>
    </row>
    <row r="922" spans="1:39" customFormat="1" ht="15.75" customHeight="1" x14ac:dyDescent="0.3">
      <c r="A922" t="s">
        <v>48</v>
      </c>
      <c r="B922" s="21" t="s">
        <v>565</v>
      </c>
      <c r="C922" s="21" t="s">
        <v>688</v>
      </c>
      <c r="D922" s="117" t="s">
        <v>700</v>
      </c>
      <c r="E922" s="21" t="s">
        <v>9</v>
      </c>
      <c r="F922" s="21" t="s">
        <v>419</v>
      </c>
      <c r="G922" s="21">
        <v>81.099999999999994</v>
      </c>
      <c r="H922" s="21"/>
      <c r="I922" s="117" t="s">
        <v>842</v>
      </c>
      <c r="J922" s="117" t="s">
        <v>325</v>
      </c>
      <c r="K922" s="118">
        <v>18</v>
      </c>
      <c r="L922" s="21"/>
      <c r="M922" s="21"/>
      <c r="N922" s="21"/>
      <c r="O922" s="21"/>
      <c r="P922" s="21">
        <v>63.1</v>
      </c>
      <c r="Q922" s="21"/>
      <c r="R922" s="21" t="s">
        <v>329</v>
      </c>
      <c r="S922" s="119">
        <f>DATABASE_Table[[#This Row],[Inicial Asking Price (€) (Total)]]-DATABASE_Table[[#This Row],[Vista membership]]-DATABASE_Table[[#This Row],[FF&amp;E]]</f>
        <v>655000</v>
      </c>
      <c r="T922" s="125">
        <v>720000</v>
      </c>
      <c r="U922" s="124">
        <v>780000</v>
      </c>
      <c r="V922" s="21">
        <v>50000</v>
      </c>
      <c r="W922" s="21">
        <v>15000</v>
      </c>
      <c r="X922" s="73">
        <f>DATABASE_Table[[#This Row],[Current Asking price( Total)]]-DATABASE_Table[[#This Row],[Vista membership]]-DATABASE_Table[[#This Row],[FF&amp;E]]</f>
        <v>715000</v>
      </c>
      <c r="Y922" s="126"/>
      <c r="Z922" s="124">
        <v>780000</v>
      </c>
      <c r="AA922" s="73">
        <f>DATABASE_Table[[#This Row],[Sell price (Total)]]-DATABASE_Table[[#This Row],[FF&amp;E]]-DATABASE_Table[[#This Row],[Vista membership]]</f>
        <v>715000</v>
      </c>
      <c r="AB922" s="74">
        <v>46057</v>
      </c>
      <c r="AC922" s="74" t="str">
        <f t="shared" si="14"/>
        <v>Q1 2026</v>
      </c>
      <c r="AD922" s="123"/>
      <c r="AE922" s="69"/>
      <c r="AF922" s="21" t="s">
        <v>10</v>
      </c>
      <c r="AG922" s="21" t="s">
        <v>34</v>
      </c>
      <c r="AH922" s="122" t="s">
        <v>32</v>
      </c>
      <c r="AI922" s="122" t="s">
        <v>683</v>
      </c>
      <c r="AJ922" s="122" t="s">
        <v>49</v>
      </c>
      <c r="AK922" s="122" t="s">
        <v>50</v>
      </c>
      <c r="AL922" s="21" t="s">
        <v>51</v>
      </c>
      <c r="AM922" s="122" t="s">
        <v>48</v>
      </c>
    </row>
    <row r="923" spans="1:39" customFormat="1" ht="15.75" customHeight="1" x14ac:dyDescent="0.3">
      <c r="A923" t="s">
        <v>48</v>
      </c>
      <c r="B923" s="21" t="s">
        <v>565</v>
      </c>
      <c r="C923" s="21" t="s">
        <v>688</v>
      </c>
      <c r="D923" s="117" t="s">
        <v>701</v>
      </c>
      <c r="E923" s="21" t="s">
        <v>9</v>
      </c>
      <c r="F923" s="21" t="s">
        <v>419</v>
      </c>
      <c r="G923" s="21">
        <v>81.099999999999994</v>
      </c>
      <c r="H923" s="21"/>
      <c r="I923" s="117" t="s">
        <v>842</v>
      </c>
      <c r="J923" s="117" t="s">
        <v>325</v>
      </c>
      <c r="K923" s="118">
        <v>18</v>
      </c>
      <c r="L923" s="21"/>
      <c r="M923" s="21"/>
      <c r="N923" s="21"/>
      <c r="O923" s="21"/>
      <c r="P923" s="21">
        <v>63.1</v>
      </c>
      <c r="Q923" s="21"/>
      <c r="R923" s="21" t="s">
        <v>329</v>
      </c>
      <c r="S923" s="119">
        <f>DATABASE_Table[[#This Row],[Inicial Asking Price (€) (Total)]]-DATABASE_Table[[#This Row],[Vista membership]]-DATABASE_Table[[#This Row],[FF&amp;E]]</f>
        <v>705000</v>
      </c>
      <c r="T923" s="125">
        <v>770000</v>
      </c>
      <c r="U923" s="124">
        <v>830000</v>
      </c>
      <c r="V923" s="21">
        <v>50000</v>
      </c>
      <c r="W923" s="21">
        <v>15000</v>
      </c>
      <c r="X923" s="73">
        <f>DATABASE_Table[[#This Row],[Current Asking price( Total)]]-DATABASE_Table[[#This Row],[Vista membership]]-DATABASE_Table[[#This Row],[FF&amp;E]]</f>
        <v>765000</v>
      </c>
      <c r="Y923" s="126"/>
      <c r="Z923" s="124">
        <v>830000</v>
      </c>
      <c r="AA923" s="73">
        <f>DATABASE_Table[[#This Row],[Sell price (Total)]]-DATABASE_Table[[#This Row],[FF&amp;E]]-DATABASE_Table[[#This Row],[Vista membership]]</f>
        <v>765000</v>
      </c>
      <c r="AB923" s="74">
        <v>46057</v>
      </c>
      <c r="AC923" s="74" t="str">
        <f t="shared" si="14"/>
        <v>Q1 2026</v>
      </c>
      <c r="AD923" s="123"/>
      <c r="AE923" s="69"/>
      <c r="AF923" s="21" t="s">
        <v>10</v>
      </c>
      <c r="AG923" s="21" t="s">
        <v>34</v>
      </c>
      <c r="AH923" s="122" t="s">
        <v>32</v>
      </c>
      <c r="AI923" s="122" t="s">
        <v>683</v>
      </c>
      <c r="AJ923" s="122" t="s">
        <v>49</v>
      </c>
      <c r="AK923" s="122" t="s">
        <v>50</v>
      </c>
      <c r="AL923" s="21" t="s">
        <v>51</v>
      </c>
      <c r="AM923" s="122" t="s">
        <v>48</v>
      </c>
    </row>
    <row r="924" spans="1:39" customFormat="1" ht="15.75" customHeight="1" x14ac:dyDescent="0.3">
      <c r="A924" t="s">
        <v>48</v>
      </c>
      <c r="B924" s="21" t="s">
        <v>565</v>
      </c>
      <c r="C924" s="21" t="s">
        <v>688</v>
      </c>
      <c r="D924" s="117" t="s">
        <v>853</v>
      </c>
      <c r="E924" s="21" t="s">
        <v>9</v>
      </c>
      <c r="F924" s="21" t="s">
        <v>419</v>
      </c>
      <c r="G924" s="21">
        <v>83</v>
      </c>
      <c r="H924" s="21"/>
      <c r="I924" s="117" t="s">
        <v>842</v>
      </c>
      <c r="J924" s="117" t="s">
        <v>325</v>
      </c>
      <c r="K924" s="118">
        <v>18.7</v>
      </c>
      <c r="L924" s="21"/>
      <c r="M924" s="21"/>
      <c r="N924" s="21"/>
      <c r="O924" s="21"/>
      <c r="P924" s="21">
        <v>64.3</v>
      </c>
      <c r="Q924" s="21"/>
      <c r="R924" s="21" t="s">
        <v>329</v>
      </c>
      <c r="S924" s="119">
        <f>DATABASE_Table[[#This Row],[Inicial Asking Price (€) (Total)]]-DATABASE_Table[[#This Row],[Vista membership]]-DATABASE_Table[[#This Row],[FF&amp;E]]</f>
        <v>765000</v>
      </c>
      <c r="T924" s="125">
        <v>830000</v>
      </c>
      <c r="U924" s="124">
        <v>890000</v>
      </c>
      <c r="V924" s="21">
        <v>50000</v>
      </c>
      <c r="W924" s="21">
        <v>15000</v>
      </c>
      <c r="X924" s="73">
        <f>DATABASE_Table[[#This Row],[Current Asking price( Total)]]-DATABASE_Table[[#This Row],[Vista membership]]-DATABASE_Table[[#This Row],[FF&amp;E]]</f>
        <v>825000</v>
      </c>
      <c r="Y924" s="126"/>
      <c r="Z924" s="124">
        <v>890000</v>
      </c>
      <c r="AA924" s="73">
        <f>DATABASE_Table[[#This Row],[Sell price (Total)]]-DATABASE_Table[[#This Row],[FF&amp;E]]-DATABASE_Table[[#This Row],[Vista membership]]</f>
        <v>825000</v>
      </c>
      <c r="AB924" s="74">
        <v>46057</v>
      </c>
      <c r="AC924" s="74" t="str">
        <f t="shared" si="14"/>
        <v>Q1 2026</v>
      </c>
      <c r="AD924" s="123"/>
      <c r="AE924" s="69"/>
      <c r="AF924" s="21" t="s">
        <v>10</v>
      </c>
      <c r="AG924" s="21" t="s">
        <v>34</v>
      </c>
      <c r="AH924" s="122" t="s">
        <v>32</v>
      </c>
      <c r="AI924" s="122" t="s">
        <v>683</v>
      </c>
      <c r="AJ924" s="122" t="s">
        <v>49</v>
      </c>
      <c r="AK924" s="122" t="s">
        <v>50</v>
      </c>
      <c r="AL924" s="21" t="s">
        <v>51</v>
      </c>
      <c r="AM924" s="122" t="s">
        <v>48</v>
      </c>
    </row>
    <row r="925" spans="1:39" customFormat="1" ht="15.75" customHeight="1" x14ac:dyDescent="0.3">
      <c r="A925" t="s">
        <v>48</v>
      </c>
      <c r="B925" s="21" t="s">
        <v>565</v>
      </c>
      <c r="C925" s="21" t="s">
        <v>688</v>
      </c>
      <c r="D925" s="117" t="s">
        <v>702</v>
      </c>
      <c r="E925" s="21" t="s">
        <v>9</v>
      </c>
      <c r="F925" s="21" t="s">
        <v>320</v>
      </c>
      <c r="G925" s="21">
        <v>195.8</v>
      </c>
      <c r="H925" s="21"/>
      <c r="I925" s="117" t="s">
        <v>842</v>
      </c>
      <c r="J925" s="117" t="s">
        <v>325</v>
      </c>
      <c r="K925" s="118">
        <v>43.9</v>
      </c>
      <c r="L925" s="21"/>
      <c r="M925" s="21"/>
      <c r="N925" s="21"/>
      <c r="O925" s="21"/>
      <c r="P925" s="21">
        <v>151.9</v>
      </c>
      <c r="Q925" s="21"/>
      <c r="R925" s="21" t="s">
        <v>329</v>
      </c>
      <c r="S925" s="119">
        <f>DATABASE_Table[[#This Row],[Inicial Asking Price (€) (Total)]]-DATABASE_Table[[#This Row],[Vista membership]]-DATABASE_Table[[#This Row],[FF&amp;E]]</f>
        <v>2100000</v>
      </c>
      <c r="T925" s="125">
        <v>2180000</v>
      </c>
      <c r="U925" s="124">
        <v>2260000</v>
      </c>
      <c r="V925" s="21">
        <v>50000</v>
      </c>
      <c r="W925" s="21">
        <v>30000</v>
      </c>
      <c r="X925" s="73">
        <f>DATABASE_Table[[#This Row],[Current Asking price( Total)]]-DATABASE_Table[[#This Row],[Vista membership]]-DATABASE_Table[[#This Row],[FF&amp;E]]</f>
        <v>2180000</v>
      </c>
      <c r="Y925" s="126"/>
      <c r="Z925" s="124">
        <v>2260000</v>
      </c>
      <c r="AA925" s="73">
        <f>DATABASE_Table[[#This Row],[Sell price (Total)]]-DATABASE_Table[[#This Row],[FF&amp;E]]-DATABASE_Table[[#This Row],[Vista membership]]</f>
        <v>2180000</v>
      </c>
      <c r="AB925" s="74">
        <v>46057</v>
      </c>
      <c r="AC925" s="74" t="str">
        <f t="shared" si="14"/>
        <v>Q1 2026</v>
      </c>
      <c r="AD925" s="123"/>
      <c r="AE925" s="69"/>
      <c r="AF925" s="21" t="s">
        <v>10</v>
      </c>
      <c r="AG925" s="21" t="s">
        <v>34</v>
      </c>
      <c r="AH925" s="122" t="s">
        <v>32</v>
      </c>
      <c r="AI925" s="122" t="s">
        <v>683</v>
      </c>
      <c r="AJ925" s="122" t="s">
        <v>49</v>
      </c>
      <c r="AK925" s="122" t="s">
        <v>50</v>
      </c>
      <c r="AL925" s="21" t="s">
        <v>51</v>
      </c>
      <c r="AM925" s="122" t="s">
        <v>48</v>
      </c>
    </row>
    <row r="926" spans="1:39" customFormat="1" ht="15.75" customHeight="1" x14ac:dyDescent="0.3">
      <c r="A926" t="s">
        <v>48</v>
      </c>
      <c r="B926" s="21" t="s">
        <v>565</v>
      </c>
      <c r="C926" s="21" t="s">
        <v>688</v>
      </c>
      <c r="D926" s="117" t="s">
        <v>830</v>
      </c>
      <c r="E926" s="21" t="s">
        <v>9</v>
      </c>
      <c r="F926" s="21" t="s">
        <v>419</v>
      </c>
      <c r="G926" s="21">
        <v>105.5</v>
      </c>
      <c r="H926" s="21"/>
      <c r="I926" s="117" t="s">
        <v>842</v>
      </c>
      <c r="J926" s="117" t="s">
        <v>325</v>
      </c>
      <c r="K926" s="118">
        <v>42.4</v>
      </c>
      <c r="L926" s="21"/>
      <c r="M926" s="21"/>
      <c r="N926" s="21"/>
      <c r="O926" s="21"/>
      <c r="P926" s="21">
        <v>63.1</v>
      </c>
      <c r="Q926" s="21"/>
      <c r="R926" s="21" t="s">
        <v>329</v>
      </c>
      <c r="S926" s="119">
        <f>DATABASE_Table[[#This Row],[Inicial Asking Price (€) (Total)]]-DATABASE_Table[[#This Row],[Vista membership]]-DATABASE_Table[[#This Row],[FF&amp;E]]</f>
        <v>625000</v>
      </c>
      <c r="T926" s="125">
        <v>690000</v>
      </c>
      <c r="U926" s="124">
        <v>750000</v>
      </c>
      <c r="V926" s="21">
        <v>50000</v>
      </c>
      <c r="W926" s="21">
        <v>15000</v>
      </c>
      <c r="X926" s="73">
        <f>DATABASE_Table[[#This Row],[Current Asking price( Total)]]-DATABASE_Table[[#This Row],[Vista membership]]-DATABASE_Table[[#This Row],[FF&amp;E]]</f>
        <v>685000</v>
      </c>
      <c r="Y926" s="126"/>
      <c r="Z926" s="124">
        <v>750000</v>
      </c>
      <c r="AA926" s="73">
        <f>DATABASE_Table[[#This Row],[Sell price (Total)]]-DATABASE_Table[[#This Row],[FF&amp;E]]-DATABASE_Table[[#This Row],[Vista membership]]</f>
        <v>685000</v>
      </c>
      <c r="AB926" s="74">
        <v>46057</v>
      </c>
      <c r="AC926" s="74" t="str">
        <f t="shared" si="14"/>
        <v>Q1 2026</v>
      </c>
      <c r="AD926" s="123"/>
      <c r="AE926" s="69"/>
      <c r="AF926" s="21" t="s">
        <v>10</v>
      </c>
      <c r="AG926" s="21" t="s">
        <v>34</v>
      </c>
      <c r="AH926" s="122" t="s">
        <v>32</v>
      </c>
      <c r="AI926" s="122" t="s">
        <v>683</v>
      </c>
      <c r="AJ926" s="122" t="s">
        <v>49</v>
      </c>
      <c r="AK926" s="122" t="s">
        <v>50</v>
      </c>
      <c r="AL926" s="21" t="s">
        <v>51</v>
      </c>
      <c r="AM926" s="122" t="s">
        <v>48</v>
      </c>
    </row>
    <row r="927" spans="1:39" customFormat="1" ht="15.75" customHeight="1" x14ac:dyDescent="0.3">
      <c r="A927" t="s">
        <v>48</v>
      </c>
      <c r="B927" s="21" t="s">
        <v>565</v>
      </c>
      <c r="C927" s="21" t="s">
        <v>688</v>
      </c>
      <c r="D927" s="117" t="s">
        <v>831</v>
      </c>
      <c r="E927" s="21" t="s">
        <v>9</v>
      </c>
      <c r="F927" s="21" t="s">
        <v>419</v>
      </c>
      <c r="G927" s="21">
        <v>105.5</v>
      </c>
      <c r="H927" s="21"/>
      <c r="I927" s="117" t="s">
        <v>842</v>
      </c>
      <c r="J927" s="117" t="s">
        <v>325</v>
      </c>
      <c r="K927" s="118">
        <v>42.4</v>
      </c>
      <c r="L927" s="21"/>
      <c r="M927" s="21"/>
      <c r="N927" s="21"/>
      <c r="O927" s="21"/>
      <c r="P927" s="21">
        <v>63.1</v>
      </c>
      <c r="Q927" s="21"/>
      <c r="R927" s="21" t="s">
        <v>329</v>
      </c>
      <c r="S927" s="119">
        <f>DATABASE_Table[[#This Row],[Inicial Asking Price (€) (Total)]]-DATABASE_Table[[#This Row],[Vista membership]]-DATABASE_Table[[#This Row],[FF&amp;E]]</f>
        <v>675000</v>
      </c>
      <c r="T927" s="125">
        <v>740000</v>
      </c>
      <c r="U927" s="124">
        <v>800000</v>
      </c>
      <c r="V927" s="21">
        <v>50000</v>
      </c>
      <c r="W927" s="21">
        <v>15000</v>
      </c>
      <c r="X927" s="73">
        <f>DATABASE_Table[[#This Row],[Current Asking price( Total)]]-DATABASE_Table[[#This Row],[Vista membership]]-DATABASE_Table[[#This Row],[FF&amp;E]]</f>
        <v>735000</v>
      </c>
      <c r="Y927" s="126"/>
      <c r="Z927" s="124">
        <v>800000</v>
      </c>
      <c r="AA927" s="73">
        <f>DATABASE_Table[[#This Row],[Sell price (Total)]]-DATABASE_Table[[#This Row],[FF&amp;E]]-DATABASE_Table[[#This Row],[Vista membership]]</f>
        <v>735000</v>
      </c>
      <c r="AB927" s="74">
        <v>46057</v>
      </c>
      <c r="AC927" s="74" t="str">
        <f t="shared" si="14"/>
        <v>Q1 2026</v>
      </c>
      <c r="AD927" s="123"/>
      <c r="AE927" s="69"/>
      <c r="AF927" s="21" t="s">
        <v>10</v>
      </c>
      <c r="AG927" s="21" t="s">
        <v>34</v>
      </c>
      <c r="AH927" s="122" t="s">
        <v>32</v>
      </c>
      <c r="AI927" s="122" t="s">
        <v>683</v>
      </c>
      <c r="AJ927" s="122" t="s">
        <v>49</v>
      </c>
      <c r="AK927" s="122" t="s">
        <v>50</v>
      </c>
      <c r="AL927" s="21" t="s">
        <v>51</v>
      </c>
      <c r="AM927" s="122" t="s">
        <v>48</v>
      </c>
    </row>
    <row r="928" spans="1:39" customFormat="1" ht="15.75" customHeight="1" x14ac:dyDescent="0.3">
      <c r="A928" t="s">
        <v>48</v>
      </c>
      <c r="B928" s="21" t="s">
        <v>565</v>
      </c>
      <c r="C928" s="21" t="s">
        <v>688</v>
      </c>
      <c r="D928" s="117" t="s">
        <v>832</v>
      </c>
      <c r="E928" s="21" t="s">
        <v>9</v>
      </c>
      <c r="F928" s="21" t="s">
        <v>419</v>
      </c>
      <c r="G928" s="21">
        <v>105.5</v>
      </c>
      <c r="H928" s="21"/>
      <c r="I928" s="117" t="s">
        <v>842</v>
      </c>
      <c r="J928" s="117" t="s">
        <v>325</v>
      </c>
      <c r="K928" s="118">
        <v>42.4</v>
      </c>
      <c r="L928" s="21"/>
      <c r="M928" s="21"/>
      <c r="N928" s="21"/>
      <c r="O928" s="21"/>
      <c r="P928" s="21">
        <v>63.1</v>
      </c>
      <c r="Q928" s="21"/>
      <c r="R928" s="21" t="s">
        <v>329</v>
      </c>
      <c r="S928" s="119">
        <f>DATABASE_Table[[#This Row],[Inicial Asking Price (€) (Total)]]-DATABASE_Table[[#This Row],[Vista membership]]-DATABASE_Table[[#This Row],[FF&amp;E]]</f>
        <v>725000</v>
      </c>
      <c r="T928" s="125">
        <v>790000</v>
      </c>
      <c r="U928" s="124">
        <v>850000</v>
      </c>
      <c r="V928" s="21">
        <v>50000</v>
      </c>
      <c r="W928" s="21">
        <v>15000</v>
      </c>
      <c r="X928" s="73">
        <f>DATABASE_Table[[#This Row],[Current Asking price( Total)]]-DATABASE_Table[[#This Row],[Vista membership]]-DATABASE_Table[[#This Row],[FF&amp;E]]</f>
        <v>785000</v>
      </c>
      <c r="Y928" s="126"/>
      <c r="Z928" s="124">
        <v>850000</v>
      </c>
      <c r="AA928" s="73">
        <f>DATABASE_Table[[#This Row],[Sell price (Total)]]-DATABASE_Table[[#This Row],[FF&amp;E]]-DATABASE_Table[[#This Row],[Vista membership]]</f>
        <v>785000</v>
      </c>
      <c r="AB928" s="74">
        <v>46057</v>
      </c>
      <c r="AC928" s="74" t="str">
        <f t="shared" si="14"/>
        <v>Q1 2026</v>
      </c>
      <c r="AD928" s="123"/>
      <c r="AE928" s="69"/>
      <c r="AF928" s="21" t="s">
        <v>10</v>
      </c>
      <c r="AG928" s="21" t="s">
        <v>34</v>
      </c>
      <c r="AH928" s="122" t="s">
        <v>32</v>
      </c>
      <c r="AI928" s="122" t="s">
        <v>683</v>
      </c>
      <c r="AJ928" s="122" t="s">
        <v>49</v>
      </c>
      <c r="AK928" s="122" t="s">
        <v>50</v>
      </c>
      <c r="AL928" s="21" t="s">
        <v>51</v>
      </c>
      <c r="AM928" s="122" t="s">
        <v>48</v>
      </c>
    </row>
    <row r="929" spans="1:39" customFormat="1" ht="15.75" customHeight="1" x14ac:dyDescent="0.3">
      <c r="A929" t="s">
        <v>48</v>
      </c>
      <c r="B929" s="21" t="s">
        <v>565</v>
      </c>
      <c r="C929" s="21" t="s">
        <v>688</v>
      </c>
      <c r="D929" s="117" t="s">
        <v>833</v>
      </c>
      <c r="E929" s="21" t="s">
        <v>9</v>
      </c>
      <c r="F929" s="21" t="s">
        <v>419</v>
      </c>
      <c r="G929" s="21">
        <v>100.1</v>
      </c>
      <c r="H929" s="21"/>
      <c r="I929" s="117" t="s">
        <v>842</v>
      </c>
      <c r="J929" s="117" t="s">
        <v>325</v>
      </c>
      <c r="K929" s="118">
        <v>37</v>
      </c>
      <c r="L929" s="21"/>
      <c r="M929" s="21"/>
      <c r="N929" s="21"/>
      <c r="O929" s="21"/>
      <c r="P929" s="21">
        <v>63.1</v>
      </c>
      <c r="Q929" s="21"/>
      <c r="R929" s="21" t="s">
        <v>329</v>
      </c>
      <c r="S929" s="119">
        <f>DATABASE_Table[[#This Row],[Inicial Asking Price (€) (Total)]]-DATABASE_Table[[#This Row],[Vista membership]]-DATABASE_Table[[#This Row],[FF&amp;E]]</f>
        <v>775000</v>
      </c>
      <c r="T929" s="125">
        <v>840000</v>
      </c>
      <c r="U929" s="124">
        <v>900000</v>
      </c>
      <c r="V929" s="21">
        <v>50000</v>
      </c>
      <c r="W929" s="21">
        <v>15000</v>
      </c>
      <c r="X929" s="73">
        <f>DATABASE_Table[[#This Row],[Current Asking price( Total)]]-DATABASE_Table[[#This Row],[Vista membership]]-DATABASE_Table[[#This Row],[FF&amp;E]]</f>
        <v>835000</v>
      </c>
      <c r="Y929" s="126"/>
      <c r="Z929" s="124">
        <v>900000</v>
      </c>
      <c r="AA929" s="73">
        <f>DATABASE_Table[[#This Row],[Sell price (Total)]]-DATABASE_Table[[#This Row],[FF&amp;E]]-DATABASE_Table[[#This Row],[Vista membership]]</f>
        <v>835000</v>
      </c>
      <c r="AB929" s="74">
        <v>46057</v>
      </c>
      <c r="AC929" s="74" t="str">
        <f t="shared" si="14"/>
        <v>Q1 2026</v>
      </c>
      <c r="AD929" s="123"/>
      <c r="AE929" s="69"/>
      <c r="AF929" s="21" t="s">
        <v>10</v>
      </c>
      <c r="AG929" s="21" t="s">
        <v>34</v>
      </c>
      <c r="AH929" s="122" t="s">
        <v>32</v>
      </c>
      <c r="AI929" s="122" t="s">
        <v>683</v>
      </c>
      <c r="AJ929" s="122" t="s">
        <v>49</v>
      </c>
      <c r="AK929" s="122" t="s">
        <v>50</v>
      </c>
      <c r="AL929" s="21" t="s">
        <v>51</v>
      </c>
      <c r="AM929" s="122" t="s">
        <v>48</v>
      </c>
    </row>
    <row r="930" spans="1:39" customFormat="1" ht="15.75" customHeight="1" x14ac:dyDescent="0.3">
      <c r="A930" t="s">
        <v>48</v>
      </c>
      <c r="B930" s="21" t="s">
        <v>565</v>
      </c>
      <c r="C930" s="21" t="s">
        <v>688</v>
      </c>
      <c r="D930" s="117" t="s">
        <v>834</v>
      </c>
      <c r="E930" s="21" t="s">
        <v>9</v>
      </c>
      <c r="F930" s="21" t="s">
        <v>320</v>
      </c>
      <c r="G930" s="21">
        <v>200.9</v>
      </c>
      <c r="H930" s="21"/>
      <c r="I930" s="117" t="s">
        <v>842</v>
      </c>
      <c r="J930" s="117" t="s">
        <v>325</v>
      </c>
      <c r="K930" s="118">
        <v>49</v>
      </c>
      <c r="L930" s="21"/>
      <c r="M930" s="21"/>
      <c r="N930" s="21"/>
      <c r="O930" s="21"/>
      <c r="P930" s="21">
        <v>151.9</v>
      </c>
      <c r="Q930" s="21"/>
      <c r="R930" s="21" t="s">
        <v>329</v>
      </c>
      <c r="S930" s="119">
        <f>DATABASE_Table[[#This Row],[Inicial Asking Price (€) (Total)]]-DATABASE_Table[[#This Row],[Vista membership]]-DATABASE_Table[[#This Row],[FF&amp;E]]</f>
        <v>1930000</v>
      </c>
      <c r="T930" s="125">
        <v>2010000</v>
      </c>
      <c r="U930" s="124">
        <v>2090000</v>
      </c>
      <c r="V930" s="21">
        <v>50000</v>
      </c>
      <c r="W930" s="21">
        <v>30000</v>
      </c>
      <c r="X930" s="73">
        <f>DATABASE_Table[[#This Row],[Current Asking price( Total)]]-DATABASE_Table[[#This Row],[Vista membership]]-DATABASE_Table[[#This Row],[FF&amp;E]]</f>
        <v>2010000</v>
      </c>
      <c r="Y930" s="126"/>
      <c r="Z930" s="124">
        <v>2090000</v>
      </c>
      <c r="AA930" s="73">
        <f>DATABASE_Table[[#This Row],[Sell price (Total)]]-DATABASE_Table[[#This Row],[FF&amp;E]]-DATABASE_Table[[#This Row],[Vista membership]]</f>
        <v>2010000</v>
      </c>
      <c r="AB930" s="74">
        <v>46057</v>
      </c>
      <c r="AC930" s="74" t="str">
        <f t="shared" si="14"/>
        <v>Q1 2026</v>
      </c>
      <c r="AD930" s="123"/>
      <c r="AE930" s="69"/>
      <c r="AF930" s="21" t="s">
        <v>10</v>
      </c>
      <c r="AG930" s="21" t="s">
        <v>34</v>
      </c>
      <c r="AH930" s="122" t="s">
        <v>32</v>
      </c>
      <c r="AI930" s="122" t="s">
        <v>683</v>
      </c>
      <c r="AJ930" s="122" t="s">
        <v>49</v>
      </c>
      <c r="AK930" s="122" t="s">
        <v>50</v>
      </c>
      <c r="AL930" s="21" t="s">
        <v>51</v>
      </c>
      <c r="AM930" s="122" t="s">
        <v>48</v>
      </c>
    </row>
    <row r="931" spans="1:39" customFormat="1" ht="15.75" customHeight="1" x14ac:dyDescent="0.3">
      <c r="A931" t="s">
        <v>48</v>
      </c>
      <c r="B931" s="21" t="s">
        <v>565</v>
      </c>
      <c r="C931" s="21" t="s">
        <v>688</v>
      </c>
      <c r="D931" s="117" t="s">
        <v>843</v>
      </c>
      <c r="E931" s="21" t="s">
        <v>9</v>
      </c>
      <c r="F931" s="21" t="s">
        <v>319</v>
      </c>
      <c r="G931" s="21">
        <v>168.6</v>
      </c>
      <c r="H931" s="21"/>
      <c r="I931" s="117" t="s">
        <v>842</v>
      </c>
      <c r="J931" s="117" t="s">
        <v>325</v>
      </c>
      <c r="K931" s="118">
        <v>64.7</v>
      </c>
      <c r="L931" s="21"/>
      <c r="M931" s="21"/>
      <c r="N931" s="21"/>
      <c r="O931" s="21"/>
      <c r="P931" s="21">
        <v>103.9</v>
      </c>
      <c r="Q931" s="21"/>
      <c r="R931" s="21" t="s">
        <v>329</v>
      </c>
      <c r="S931" s="119">
        <f>DATABASE_Table[[#This Row],[Inicial Asking Price (€) (Total)]]-DATABASE_Table[[#This Row],[Vista membership]]-DATABASE_Table[[#This Row],[FF&amp;E]]</f>
        <v>1037000</v>
      </c>
      <c r="T931" s="125">
        <v>1110000</v>
      </c>
      <c r="U931" s="124">
        <v>1180000</v>
      </c>
      <c r="V931" s="21">
        <v>50000</v>
      </c>
      <c r="W931" s="21">
        <v>23000</v>
      </c>
      <c r="X931" s="73">
        <f>DATABASE_Table[[#This Row],[Current Asking price( Total)]]-DATABASE_Table[[#This Row],[Vista membership]]-DATABASE_Table[[#This Row],[FF&amp;E]]</f>
        <v>1107000</v>
      </c>
      <c r="Y931" s="126"/>
      <c r="Z931" s="124">
        <v>1180000</v>
      </c>
      <c r="AA931" s="73">
        <f>DATABASE_Table[[#This Row],[Sell price (Total)]]-DATABASE_Table[[#This Row],[FF&amp;E]]-DATABASE_Table[[#This Row],[Vista membership]]</f>
        <v>1107000</v>
      </c>
      <c r="AB931" s="74">
        <v>46057</v>
      </c>
      <c r="AC931" s="74" t="str">
        <f t="shared" si="14"/>
        <v>Q1 2026</v>
      </c>
      <c r="AD931" s="123"/>
      <c r="AE931" s="69"/>
      <c r="AF931" s="21" t="s">
        <v>10</v>
      </c>
      <c r="AG931" s="21" t="s">
        <v>34</v>
      </c>
      <c r="AH931" s="122" t="s">
        <v>32</v>
      </c>
      <c r="AI931" s="122" t="s">
        <v>683</v>
      </c>
      <c r="AJ931" s="122" t="s">
        <v>49</v>
      </c>
      <c r="AK931" s="122" t="s">
        <v>50</v>
      </c>
      <c r="AL931" s="21" t="s">
        <v>51</v>
      </c>
      <c r="AM931" s="122" t="s">
        <v>48</v>
      </c>
    </row>
    <row r="932" spans="1:39" customFormat="1" ht="15.75" customHeight="1" x14ac:dyDescent="0.3">
      <c r="A932" t="s">
        <v>48</v>
      </c>
      <c r="B932" s="21" t="s">
        <v>565</v>
      </c>
      <c r="C932" s="21" t="s">
        <v>688</v>
      </c>
      <c r="D932" s="117" t="s">
        <v>703</v>
      </c>
      <c r="E932" s="21" t="s">
        <v>9</v>
      </c>
      <c r="F932" s="21" t="s">
        <v>320</v>
      </c>
      <c r="G932" s="21">
        <v>183.9</v>
      </c>
      <c r="H932" s="21"/>
      <c r="I932" s="117" t="s">
        <v>842</v>
      </c>
      <c r="J932" s="117" t="s">
        <v>325</v>
      </c>
      <c r="K932" s="118">
        <v>34.299999999999997</v>
      </c>
      <c r="L932" s="21"/>
      <c r="M932" s="21"/>
      <c r="N932" s="21"/>
      <c r="O932" s="21"/>
      <c r="P932" s="21">
        <v>149.6</v>
      </c>
      <c r="Q932" s="21"/>
      <c r="R932" s="21" t="s">
        <v>329</v>
      </c>
      <c r="S932" s="119">
        <f>DATABASE_Table[[#This Row],[Inicial Asking Price (€) (Total)]]-DATABASE_Table[[#This Row],[Vista membership]]-DATABASE_Table[[#This Row],[FF&amp;E]]</f>
        <v>2000000</v>
      </c>
      <c r="T932" s="125">
        <v>2080000</v>
      </c>
      <c r="U932" s="124">
        <v>2160000</v>
      </c>
      <c r="V932" s="21">
        <v>50000</v>
      </c>
      <c r="W932" s="21">
        <v>30000</v>
      </c>
      <c r="X932" s="73">
        <f>DATABASE_Table[[#This Row],[Current Asking price( Total)]]-DATABASE_Table[[#This Row],[Vista membership]]-DATABASE_Table[[#This Row],[FF&amp;E]]</f>
        <v>2080000</v>
      </c>
      <c r="Y932" s="126"/>
      <c r="Z932" s="124">
        <v>2160000</v>
      </c>
      <c r="AA932" s="73">
        <f>DATABASE_Table[[#This Row],[Sell price (Total)]]-DATABASE_Table[[#This Row],[FF&amp;E]]-DATABASE_Table[[#This Row],[Vista membership]]</f>
        <v>2080000</v>
      </c>
      <c r="AB932" s="74">
        <v>46057</v>
      </c>
      <c r="AC932" s="74" t="str">
        <f t="shared" si="14"/>
        <v>Q1 2026</v>
      </c>
      <c r="AD932" s="123"/>
      <c r="AE932" s="69"/>
      <c r="AF932" s="21" t="s">
        <v>10</v>
      </c>
      <c r="AG932" s="21" t="s">
        <v>34</v>
      </c>
      <c r="AH932" s="122" t="s">
        <v>32</v>
      </c>
      <c r="AI932" s="122" t="s">
        <v>683</v>
      </c>
      <c r="AJ932" s="122" t="s">
        <v>49</v>
      </c>
      <c r="AK932" s="122" t="s">
        <v>50</v>
      </c>
      <c r="AL932" s="21" t="s">
        <v>51</v>
      </c>
      <c r="AM932" s="122" t="s">
        <v>48</v>
      </c>
    </row>
    <row r="933" spans="1:39" customFormat="1" ht="15.75" customHeight="1" x14ac:dyDescent="0.3">
      <c r="A933" t="s">
        <v>48</v>
      </c>
      <c r="B933" s="21" t="s">
        <v>565</v>
      </c>
      <c r="C933" s="21" t="s">
        <v>688</v>
      </c>
      <c r="D933" s="117" t="s">
        <v>705</v>
      </c>
      <c r="E933" s="21" t="s">
        <v>9</v>
      </c>
      <c r="F933" s="21" t="s">
        <v>319</v>
      </c>
      <c r="G933" s="21">
        <v>129.4</v>
      </c>
      <c r="H933" s="21"/>
      <c r="I933" s="117" t="s">
        <v>842</v>
      </c>
      <c r="J933" s="117" t="s">
        <v>325</v>
      </c>
      <c r="K933" s="118">
        <v>25.5</v>
      </c>
      <c r="L933" s="21"/>
      <c r="M933" s="21"/>
      <c r="N933" s="21"/>
      <c r="O933" s="21"/>
      <c r="P933" s="21">
        <v>103.9</v>
      </c>
      <c r="Q933" s="21"/>
      <c r="R933" s="21" t="s">
        <v>329</v>
      </c>
      <c r="S933" s="119">
        <f>DATABASE_Table[[#This Row],[Inicial Asking Price (€) (Total)]]-DATABASE_Table[[#This Row],[Vista membership]]-DATABASE_Table[[#This Row],[FF&amp;E]]</f>
        <v>977000</v>
      </c>
      <c r="T933" s="125">
        <v>1050000</v>
      </c>
      <c r="U933" s="124">
        <v>1120000</v>
      </c>
      <c r="V933" s="21">
        <v>50000</v>
      </c>
      <c r="W933" s="21">
        <v>23000</v>
      </c>
      <c r="X933" s="73">
        <f>DATABASE_Table[[#This Row],[Current Asking price( Total)]]-DATABASE_Table[[#This Row],[Vista membership]]-DATABASE_Table[[#This Row],[FF&amp;E]]</f>
        <v>1047000</v>
      </c>
      <c r="Y933" s="126"/>
      <c r="Z933" s="124">
        <v>1120000</v>
      </c>
      <c r="AA933" s="73">
        <f>DATABASE_Table[[#This Row],[Sell price (Total)]]-DATABASE_Table[[#This Row],[FF&amp;E]]-DATABASE_Table[[#This Row],[Vista membership]]</f>
        <v>1047000</v>
      </c>
      <c r="AB933" s="74">
        <v>46057</v>
      </c>
      <c r="AC933" s="74" t="str">
        <f t="shared" si="14"/>
        <v>Q1 2026</v>
      </c>
      <c r="AD933" s="123"/>
      <c r="AE933" s="69"/>
      <c r="AF933" s="21" t="s">
        <v>10</v>
      </c>
      <c r="AG933" s="21" t="s">
        <v>34</v>
      </c>
      <c r="AH933" s="122" t="s">
        <v>32</v>
      </c>
      <c r="AI933" s="122" t="s">
        <v>683</v>
      </c>
      <c r="AJ933" s="122" t="s">
        <v>49</v>
      </c>
      <c r="AK933" s="122" t="s">
        <v>50</v>
      </c>
      <c r="AL933" s="21" t="s">
        <v>51</v>
      </c>
      <c r="AM933" s="122" t="s">
        <v>48</v>
      </c>
    </row>
    <row r="934" spans="1:39" customFormat="1" ht="15.75" customHeight="1" x14ac:dyDescent="0.3">
      <c r="A934" t="s">
        <v>48</v>
      </c>
      <c r="B934" s="21" t="s">
        <v>565</v>
      </c>
      <c r="C934" s="21" t="s">
        <v>688</v>
      </c>
      <c r="D934" s="117" t="s">
        <v>706</v>
      </c>
      <c r="E934" s="21" t="s">
        <v>9</v>
      </c>
      <c r="F934" s="21" t="s">
        <v>319</v>
      </c>
      <c r="G934" s="21">
        <v>130</v>
      </c>
      <c r="H934" s="21"/>
      <c r="I934" s="117" t="s">
        <v>842</v>
      </c>
      <c r="J934" s="117" t="s">
        <v>325</v>
      </c>
      <c r="K934" s="118">
        <v>25.4</v>
      </c>
      <c r="L934" s="21"/>
      <c r="M934" s="21"/>
      <c r="N934" s="21"/>
      <c r="O934" s="21"/>
      <c r="P934" s="21">
        <v>104.6</v>
      </c>
      <c r="Q934" s="21"/>
      <c r="R934" s="21" t="s">
        <v>329</v>
      </c>
      <c r="S934" s="119">
        <f>DATABASE_Table[[#This Row],[Inicial Asking Price (€) (Total)]]-DATABASE_Table[[#This Row],[Vista membership]]-DATABASE_Table[[#This Row],[FF&amp;E]]</f>
        <v>887000</v>
      </c>
      <c r="T934" s="125">
        <v>960000</v>
      </c>
      <c r="U934" s="124">
        <v>1020000</v>
      </c>
      <c r="V934" s="21">
        <v>50000</v>
      </c>
      <c r="W934" s="21">
        <v>23000</v>
      </c>
      <c r="X934" s="73">
        <f>DATABASE_Table[[#This Row],[Current Asking price( Total)]]-DATABASE_Table[[#This Row],[Vista membership]]-DATABASE_Table[[#This Row],[FF&amp;E]]</f>
        <v>947000</v>
      </c>
      <c r="Y934" s="126"/>
      <c r="Z934" s="124">
        <v>1020000</v>
      </c>
      <c r="AA934" s="73">
        <f>DATABASE_Table[[#This Row],[Sell price (Total)]]-DATABASE_Table[[#This Row],[FF&amp;E]]-DATABASE_Table[[#This Row],[Vista membership]]</f>
        <v>947000</v>
      </c>
      <c r="AB934" s="74">
        <v>46057</v>
      </c>
      <c r="AC934" s="74" t="str">
        <f t="shared" si="14"/>
        <v>Q1 2026</v>
      </c>
      <c r="AD934" s="123"/>
      <c r="AE934" s="69"/>
      <c r="AF934" s="21" t="s">
        <v>10</v>
      </c>
      <c r="AG934" s="21" t="s">
        <v>34</v>
      </c>
      <c r="AH934" s="122" t="s">
        <v>32</v>
      </c>
      <c r="AI934" s="122" t="s">
        <v>683</v>
      </c>
      <c r="AJ934" s="122" t="s">
        <v>49</v>
      </c>
      <c r="AK934" s="122" t="s">
        <v>50</v>
      </c>
      <c r="AL934" s="21" t="s">
        <v>51</v>
      </c>
      <c r="AM934" s="122" t="s">
        <v>48</v>
      </c>
    </row>
    <row r="935" spans="1:39" customFormat="1" ht="15.75" customHeight="1" x14ac:dyDescent="0.3">
      <c r="A935" t="s">
        <v>48</v>
      </c>
      <c r="B935" s="21" t="s">
        <v>565</v>
      </c>
      <c r="C935" s="21" t="s">
        <v>688</v>
      </c>
      <c r="D935" s="117" t="s">
        <v>707</v>
      </c>
      <c r="E935" s="21" t="s">
        <v>9</v>
      </c>
      <c r="F935" s="21" t="s">
        <v>319</v>
      </c>
      <c r="G935" s="21">
        <v>130.1</v>
      </c>
      <c r="H935" s="21"/>
      <c r="I935" s="117" t="s">
        <v>842</v>
      </c>
      <c r="J935" s="117" t="s">
        <v>325</v>
      </c>
      <c r="K935" s="118">
        <v>25.5</v>
      </c>
      <c r="L935" s="21"/>
      <c r="M935" s="21"/>
      <c r="N935" s="21"/>
      <c r="O935" s="21"/>
      <c r="P935" s="21">
        <v>104.6</v>
      </c>
      <c r="Q935" s="21"/>
      <c r="R935" s="21" t="s">
        <v>329</v>
      </c>
      <c r="S935" s="119">
        <f>DATABASE_Table[[#This Row],[Inicial Asking Price (€) (Total)]]-DATABASE_Table[[#This Row],[Vista membership]]-DATABASE_Table[[#This Row],[FF&amp;E]]</f>
        <v>967000</v>
      </c>
      <c r="T935" s="125">
        <v>1040000</v>
      </c>
      <c r="U935" s="124">
        <v>1140000</v>
      </c>
      <c r="V935" s="21">
        <v>50000</v>
      </c>
      <c r="W935" s="21">
        <v>23000</v>
      </c>
      <c r="X935" s="73">
        <f>DATABASE_Table[[#This Row],[Current Asking price( Total)]]-DATABASE_Table[[#This Row],[Vista membership]]-DATABASE_Table[[#This Row],[FF&amp;E]]</f>
        <v>1067000</v>
      </c>
      <c r="Y935" s="126"/>
      <c r="Z935" s="124">
        <v>1044780</v>
      </c>
      <c r="AA935" s="73">
        <f>DATABASE_Table[[#This Row],[Sell price (Total)]]-DATABASE_Table[[#This Row],[FF&amp;E]]-DATABASE_Table[[#This Row],[Vista membership]]</f>
        <v>971780</v>
      </c>
      <c r="AB935" s="74">
        <v>46057</v>
      </c>
      <c r="AC935" s="74" t="str">
        <f t="shared" si="14"/>
        <v>Q1 2026</v>
      </c>
      <c r="AD935" s="123"/>
      <c r="AE935" s="69"/>
      <c r="AF935" s="21" t="s">
        <v>10</v>
      </c>
      <c r="AG935" s="21" t="s">
        <v>34</v>
      </c>
      <c r="AH935" s="122" t="s">
        <v>32</v>
      </c>
      <c r="AI935" s="122" t="s">
        <v>683</v>
      </c>
      <c r="AJ935" s="122" t="s">
        <v>49</v>
      </c>
      <c r="AK935" s="122" t="s">
        <v>50</v>
      </c>
      <c r="AL935" s="21" t="s">
        <v>51</v>
      </c>
      <c r="AM935" s="122" t="s">
        <v>48</v>
      </c>
    </row>
    <row r="936" spans="1:39" customFormat="1" ht="15.75" customHeight="1" x14ac:dyDescent="0.3">
      <c r="A936" t="s">
        <v>48</v>
      </c>
      <c r="B936" s="21" t="s">
        <v>565</v>
      </c>
      <c r="C936" s="21" t="s">
        <v>688</v>
      </c>
      <c r="D936" s="117" t="s">
        <v>708</v>
      </c>
      <c r="E936" s="21" t="s">
        <v>9</v>
      </c>
      <c r="F936" s="21" t="s">
        <v>319</v>
      </c>
      <c r="G936" s="21">
        <v>129.4</v>
      </c>
      <c r="H936" s="21"/>
      <c r="I936" s="117" t="s">
        <v>842</v>
      </c>
      <c r="J936" s="117" t="s">
        <v>325</v>
      </c>
      <c r="K936" s="118">
        <v>25.5</v>
      </c>
      <c r="L936" s="21"/>
      <c r="M936" s="21"/>
      <c r="N936" s="21"/>
      <c r="O936" s="21"/>
      <c r="P936" s="21">
        <v>103.9</v>
      </c>
      <c r="Q936" s="21"/>
      <c r="R936" s="21" t="s">
        <v>329</v>
      </c>
      <c r="S936" s="119">
        <f>DATABASE_Table[[#This Row],[Inicial Asking Price (€) (Total)]]-DATABASE_Table[[#This Row],[Vista membership]]-DATABASE_Table[[#This Row],[FF&amp;E]]</f>
        <v>1057000</v>
      </c>
      <c r="T936" s="125">
        <v>1130000</v>
      </c>
      <c r="U936" s="124">
        <v>1200000</v>
      </c>
      <c r="V936" s="21">
        <v>50000</v>
      </c>
      <c r="W936" s="21">
        <v>23000</v>
      </c>
      <c r="X936" s="73">
        <f>DATABASE_Table[[#This Row],[Current Asking price( Total)]]-DATABASE_Table[[#This Row],[Vista membership]]-DATABASE_Table[[#This Row],[FF&amp;E]]</f>
        <v>1127000</v>
      </c>
      <c r="Y936" s="126"/>
      <c r="Z936" s="124">
        <v>1200000</v>
      </c>
      <c r="AA936" s="73">
        <f>DATABASE_Table[[#This Row],[Sell price (Total)]]-DATABASE_Table[[#This Row],[FF&amp;E]]-DATABASE_Table[[#This Row],[Vista membership]]</f>
        <v>1127000</v>
      </c>
      <c r="AB936" s="74">
        <v>46057</v>
      </c>
      <c r="AC936" s="74" t="str">
        <f t="shared" si="14"/>
        <v>Q1 2026</v>
      </c>
      <c r="AD936" s="123"/>
      <c r="AE936" s="69"/>
      <c r="AF936" s="21" t="s">
        <v>10</v>
      </c>
      <c r="AG936" s="21" t="s">
        <v>34</v>
      </c>
      <c r="AH936" s="122" t="s">
        <v>32</v>
      </c>
      <c r="AI936" s="122" t="s">
        <v>683</v>
      </c>
      <c r="AJ936" s="122" t="s">
        <v>49</v>
      </c>
      <c r="AK936" s="122" t="s">
        <v>50</v>
      </c>
      <c r="AL936" s="21" t="s">
        <v>51</v>
      </c>
      <c r="AM936" s="122" t="s">
        <v>48</v>
      </c>
    </row>
    <row r="937" spans="1:39" customFormat="1" ht="15.75" customHeight="1" x14ac:dyDescent="0.3">
      <c r="A937" t="s">
        <v>48</v>
      </c>
      <c r="B937" s="21" t="s">
        <v>565</v>
      </c>
      <c r="C937" s="21" t="s">
        <v>688</v>
      </c>
      <c r="D937" s="117" t="s">
        <v>709</v>
      </c>
      <c r="E937" s="21" t="s">
        <v>9</v>
      </c>
      <c r="F937" s="21" t="s">
        <v>319</v>
      </c>
      <c r="G937" s="21">
        <v>129.4</v>
      </c>
      <c r="H937" s="21"/>
      <c r="I937" s="117" t="s">
        <v>842</v>
      </c>
      <c r="J937" s="117" t="s">
        <v>325</v>
      </c>
      <c r="K937" s="118">
        <v>25.5</v>
      </c>
      <c r="L937" s="21"/>
      <c r="M937" s="21"/>
      <c r="N937" s="21"/>
      <c r="O937" s="21"/>
      <c r="P937" s="21">
        <v>103.9</v>
      </c>
      <c r="Q937" s="21"/>
      <c r="R937" s="21" t="s">
        <v>329</v>
      </c>
      <c r="S937" s="119">
        <f>DATABASE_Table[[#This Row],[Inicial Asking Price (€) (Total)]]-DATABASE_Table[[#This Row],[Vista membership]]-DATABASE_Table[[#This Row],[FF&amp;E]]</f>
        <v>1137000</v>
      </c>
      <c r="T937" s="125">
        <v>1210000</v>
      </c>
      <c r="U937" s="124">
        <v>1280000</v>
      </c>
      <c r="V937" s="21">
        <v>50000</v>
      </c>
      <c r="W937" s="21">
        <v>23000</v>
      </c>
      <c r="X937" s="73">
        <f>DATABASE_Table[[#This Row],[Current Asking price( Total)]]-DATABASE_Table[[#This Row],[Vista membership]]-DATABASE_Table[[#This Row],[FF&amp;E]]</f>
        <v>1207000</v>
      </c>
      <c r="Y937" s="126"/>
      <c r="Z937" s="124">
        <v>1280000</v>
      </c>
      <c r="AA937" s="73">
        <f>DATABASE_Table[[#This Row],[Sell price (Total)]]-DATABASE_Table[[#This Row],[FF&amp;E]]-DATABASE_Table[[#This Row],[Vista membership]]</f>
        <v>1207000</v>
      </c>
      <c r="AB937" s="74">
        <v>46057</v>
      </c>
      <c r="AC937" s="74" t="str">
        <f t="shared" si="14"/>
        <v>Q1 2026</v>
      </c>
      <c r="AD937" s="123"/>
      <c r="AE937" s="69"/>
      <c r="AF937" s="21" t="s">
        <v>10</v>
      </c>
      <c r="AG937" s="21" t="s">
        <v>34</v>
      </c>
      <c r="AH937" s="122" t="s">
        <v>32</v>
      </c>
      <c r="AI937" s="122" t="s">
        <v>683</v>
      </c>
      <c r="AJ937" s="122" t="s">
        <v>49</v>
      </c>
      <c r="AK937" s="122" t="s">
        <v>50</v>
      </c>
      <c r="AL937" s="21" t="s">
        <v>51</v>
      </c>
      <c r="AM937" s="122" t="s">
        <v>48</v>
      </c>
    </row>
    <row r="938" spans="1:39" customFormat="1" ht="15.75" customHeight="1" x14ac:dyDescent="0.3">
      <c r="A938" t="s">
        <v>48</v>
      </c>
      <c r="B938" s="21" t="s">
        <v>565</v>
      </c>
      <c r="C938" s="21" t="s">
        <v>688</v>
      </c>
      <c r="D938" s="117" t="s">
        <v>710</v>
      </c>
      <c r="E938" s="21" t="s">
        <v>9</v>
      </c>
      <c r="F938" s="21" t="s">
        <v>319</v>
      </c>
      <c r="G938" s="21">
        <v>129.4</v>
      </c>
      <c r="H938" s="21"/>
      <c r="I938" s="117" t="s">
        <v>842</v>
      </c>
      <c r="J938" s="117" t="s">
        <v>325</v>
      </c>
      <c r="K938" s="118">
        <v>25.5</v>
      </c>
      <c r="L938" s="21"/>
      <c r="M938" s="21"/>
      <c r="N938" s="21"/>
      <c r="O938" s="21"/>
      <c r="P938" s="21">
        <v>103.9</v>
      </c>
      <c r="Q938" s="21"/>
      <c r="R938" s="21" t="s">
        <v>329</v>
      </c>
      <c r="S938" s="119">
        <f>DATABASE_Table[[#This Row],[Inicial Asking Price (€) (Total)]]-DATABASE_Table[[#This Row],[Vista membership]]-DATABASE_Table[[#This Row],[FF&amp;E]]</f>
        <v>1187000</v>
      </c>
      <c r="T938" s="125">
        <v>1260000</v>
      </c>
      <c r="U938" s="124">
        <v>1330000</v>
      </c>
      <c r="V938" s="21">
        <v>50000</v>
      </c>
      <c r="W938" s="21">
        <v>23000</v>
      </c>
      <c r="X938" s="73">
        <f>DATABASE_Table[[#This Row],[Current Asking price( Total)]]-DATABASE_Table[[#This Row],[Vista membership]]-DATABASE_Table[[#This Row],[FF&amp;E]]</f>
        <v>1257000</v>
      </c>
      <c r="Y938" s="126"/>
      <c r="Z938" s="124">
        <v>1330000</v>
      </c>
      <c r="AA938" s="73">
        <f>DATABASE_Table[[#This Row],[Sell price (Total)]]-DATABASE_Table[[#This Row],[FF&amp;E]]-DATABASE_Table[[#This Row],[Vista membership]]</f>
        <v>1257000</v>
      </c>
      <c r="AB938" s="74">
        <v>46057</v>
      </c>
      <c r="AC938" s="74" t="str">
        <f t="shared" si="14"/>
        <v>Q1 2026</v>
      </c>
      <c r="AD938" s="123"/>
      <c r="AE938" s="69"/>
      <c r="AF938" s="21" t="s">
        <v>10</v>
      </c>
      <c r="AG938" s="21" t="s">
        <v>34</v>
      </c>
      <c r="AH938" s="122" t="s">
        <v>32</v>
      </c>
      <c r="AI938" s="122" t="s">
        <v>683</v>
      </c>
      <c r="AJ938" s="122" t="s">
        <v>49</v>
      </c>
      <c r="AK938" s="122" t="s">
        <v>50</v>
      </c>
      <c r="AL938" s="21" t="s">
        <v>51</v>
      </c>
      <c r="AM938" s="122" t="s">
        <v>48</v>
      </c>
    </row>
    <row r="939" spans="1:39" customFormat="1" ht="15.75" customHeight="1" x14ac:dyDescent="0.3">
      <c r="A939" t="s">
        <v>48</v>
      </c>
      <c r="B939" s="21" t="s">
        <v>565</v>
      </c>
      <c r="C939" s="21" t="s">
        <v>688</v>
      </c>
      <c r="D939" s="117" t="s">
        <v>711</v>
      </c>
      <c r="E939" s="21" t="s">
        <v>9</v>
      </c>
      <c r="F939" s="21" t="s">
        <v>319</v>
      </c>
      <c r="G939" s="21">
        <v>129.4</v>
      </c>
      <c r="H939" s="21"/>
      <c r="I939" s="117" t="s">
        <v>842</v>
      </c>
      <c r="J939" s="117" t="s">
        <v>325</v>
      </c>
      <c r="K939" s="118">
        <v>25.5</v>
      </c>
      <c r="L939" s="21"/>
      <c r="M939" s="21"/>
      <c r="N939" s="21"/>
      <c r="O939" s="21"/>
      <c r="P939" s="21">
        <v>103.9</v>
      </c>
      <c r="Q939" s="21"/>
      <c r="R939" s="21" t="s">
        <v>329</v>
      </c>
      <c r="S939" s="119">
        <f>DATABASE_Table[[#This Row],[Inicial Asking Price (€) (Total)]]-DATABASE_Table[[#This Row],[Vista membership]]-DATABASE_Table[[#This Row],[FF&amp;E]]</f>
        <v>1247000</v>
      </c>
      <c r="T939" s="125">
        <v>1320000</v>
      </c>
      <c r="U939" s="124">
        <v>1390000</v>
      </c>
      <c r="V939" s="21">
        <v>50000</v>
      </c>
      <c r="W939" s="21">
        <v>23000</v>
      </c>
      <c r="X939" s="73">
        <f>DATABASE_Table[[#This Row],[Current Asking price( Total)]]-DATABASE_Table[[#This Row],[Vista membership]]-DATABASE_Table[[#This Row],[FF&amp;E]]</f>
        <v>1317000</v>
      </c>
      <c r="Y939" s="126"/>
      <c r="Z939" s="124">
        <v>1390000</v>
      </c>
      <c r="AA939" s="73">
        <f>DATABASE_Table[[#This Row],[Sell price (Total)]]-DATABASE_Table[[#This Row],[FF&amp;E]]-DATABASE_Table[[#This Row],[Vista membership]]</f>
        <v>1317000</v>
      </c>
      <c r="AB939" s="74">
        <v>46057</v>
      </c>
      <c r="AC939" s="74" t="str">
        <f t="shared" si="14"/>
        <v>Q1 2026</v>
      </c>
      <c r="AD939" s="123"/>
      <c r="AE939" s="69"/>
      <c r="AF939" s="21" t="s">
        <v>10</v>
      </c>
      <c r="AG939" s="21" t="s">
        <v>34</v>
      </c>
      <c r="AH939" s="122" t="s">
        <v>32</v>
      </c>
      <c r="AI939" s="122" t="s">
        <v>683</v>
      </c>
      <c r="AJ939" s="122" t="s">
        <v>49</v>
      </c>
      <c r="AK939" s="122" t="s">
        <v>50</v>
      </c>
      <c r="AL939" s="21" t="s">
        <v>51</v>
      </c>
      <c r="AM939" s="122" t="s">
        <v>48</v>
      </c>
    </row>
    <row r="940" spans="1:39" customFormat="1" ht="15.75" customHeight="1" x14ac:dyDescent="0.3">
      <c r="A940" t="s">
        <v>48</v>
      </c>
      <c r="B940" s="21" t="s">
        <v>565</v>
      </c>
      <c r="C940" s="21" t="s">
        <v>688</v>
      </c>
      <c r="D940" s="117" t="s">
        <v>854</v>
      </c>
      <c r="E940" s="21" t="s">
        <v>9</v>
      </c>
      <c r="F940" s="21" t="s">
        <v>421</v>
      </c>
      <c r="G940" s="21">
        <v>280.5</v>
      </c>
      <c r="H940" s="21"/>
      <c r="I940" s="117" t="s">
        <v>842</v>
      </c>
      <c r="J940" s="117" t="s">
        <v>325</v>
      </c>
      <c r="K940" s="118">
        <v>46.5</v>
      </c>
      <c r="L940" s="21"/>
      <c r="M940" s="21"/>
      <c r="N940" s="21"/>
      <c r="O940" s="21"/>
      <c r="P940" s="21">
        <v>234</v>
      </c>
      <c r="Q940" s="21"/>
      <c r="R940" s="21" t="s">
        <v>329</v>
      </c>
      <c r="S940" s="119">
        <f>DATABASE_Table[[#This Row],[Inicial Asking Price (€) (Total)]]-DATABASE_Table[[#This Row],[Vista membership]]-DATABASE_Table[[#This Row],[FF&amp;E]]</f>
        <v>3705000</v>
      </c>
      <c r="T940" s="125">
        <v>3810000</v>
      </c>
      <c r="U940" s="124">
        <v>3930000</v>
      </c>
      <c r="V940" s="21">
        <v>60000</v>
      </c>
      <c r="W940" s="21">
        <v>45000</v>
      </c>
      <c r="X940" s="73">
        <f>DATABASE_Table[[#This Row],[Current Asking price( Total)]]-DATABASE_Table[[#This Row],[Vista membership]]-DATABASE_Table[[#This Row],[FF&amp;E]]</f>
        <v>3825000</v>
      </c>
      <c r="Y940" s="126"/>
      <c r="Z940" s="124">
        <v>3930000</v>
      </c>
      <c r="AA940" s="73">
        <f>DATABASE_Table[[#This Row],[Sell price (Total)]]-DATABASE_Table[[#This Row],[FF&amp;E]]-DATABASE_Table[[#This Row],[Vista membership]]</f>
        <v>3825000</v>
      </c>
      <c r="AB940" s="74">
        <v>46057</v>
      </c>
      <c r="AC940" s="74" t="str">
        <f t="shared" si="14"/>
        <v>Q1 2026</v>
      </c>
      <c r="AD940" s="123"/>
      <c r="AE940" s="69"/>
      <c r="AF940" s="21" t="s">
        <v>10</v>
      </c>
      <c r="AG940" s="21" t="s">
        <v>34</v>
      </c>
      <c r="AH940" s="122" t="s">
        <v>32</v>
      </c>
      <c r="AI940" s="122" t="s">
        <v>683</v>
      </c>
      <c r="AJ940" s="122" t="s">
        <v>49</v>
      </c>
      <c r="AK940" s="122" t="s">
        <v>50</v>
      </c>
      <c r="AL940" s="21" t="s">
        <v>51</v>
      </c>
      <c r="AM940" s="122" t="s">
        <v>48</v>
      </c>
    </row>
    <row r="941" spans="1:39" customFormat="1" ht="15.75" customHeight="1" x14ac:dyDescent="0.3">
      <c r="A941" t="s">
        <v>48</v>
      </c>
      <c r="B941" s="21" t="s">
        <v>565</v>
      </c>
      <c r="C941" s="21" t="s">
        <v>688</v>
      </c>
      <c r="D941" s="117" t="s">
        <v>712</v>
      </c>
      <c r="E941" s="21" t="s">
        <v>9</v>
      </c>
      <c r="F941" s="21" t="s">
        <v>419</v>
      </c>
      <c r="G941" s="21">
        <v>80.900000000000006</v>
      </c>
      <c r="H941" s="21"/>
      <c r="I941" s="117" t="s">
        <v>842</v>
      </c>
      <c r="J941" s="117" t="s">
        <v>325</v>
      </c>
      <c r="K941" s="118">
        <v>18</v>
      </c>
      <c r="L941" s="21"/>
      <c r="M941" s="21"/>
      <c r="N941" s="21"/>
      <c r="O941" s="21"/>
      <c r="P941" s="21">
        <v>62.9</v>
      </c>
      <c r="Q941" s="21"/>
      <c r="R941" s="21" t="s">
        <v>329</v>
      </c>
      <c r="S941" s="119">
        <f>DATABASE_Table[[#This Row],[Inicial Asking Price (€) (Total)]]-DATABASE_Table[[#This Row],[Vista membership]]-DATABASE_Table[[#This Row],[FF&amp;E]]</f>
        <v>625000</v>
      </c>
      <c r="T941" s="125">
        <v>690000</v>
      </c>
      <c r="U941" s="124">
        <v>750000</v>
      </c>
      <c r="V941" s="21">
        <v>50000</v>
      </c>
      <c r="W941" s="21">
        <v>15000</v>
      </c>
      <c r="X941" s="73">
        <f>DATABASE_Table[[#This Row],[Current Asking price( Total)]]-DATABASE_Table[[#This Row],[Vista membership]]-DATABASE_Table[[#This Row],[FF&amp;E]]</f>
        <v>685000</v>
      </c>
      <c r="Y941" s="126"/>
      <c r="Z941" s="124">
        <v>750000</v>
      </c>
      <c r="AA941" s="73">
        <f>DATABASE_Table[[#This Row],[Sell price (Total)]]-DATABASE_Table[[#This Row],[FF&amp;E]]-DATABASE_Table[[#This Row],[Vista membership]]</f>
        <v>685000</v>
      </c>
      <c r="AB941" s="74">
        <v>46057</v>
      </c>
      <c r="AC941" s="74" t="str">
        <f t="shared" si="14"/>
        <v>Q1 2026</v>
      </c>
      <c r="AD941" s="123"/>
      <c r="AE941" s="69"/>
      <c r="AF941" s="21" t="s">
        <v>10</v>
      </c>
      <c r="AG941" s="21" t="s">
        <v>34</v>
      </c>
      <c r="AH941" s="122" t="s">
        <v>32</v>
      </c>
      <c r="AI941" s="122" t="s">
        <v>683</v>
      </c>
      <c r="AJ941" s="122" t="s">
        <v>49</v>
      </c>
      <c r="AK941" s="122" t="s">
        <v>50</v>
      </c>
      <c r="AL941" s="21" t="s">
        <v>51</v>
      </c>
      <c r="AM941" s="122" t="s">
        <v>48</v>
      </c>
    </row>
    <row r="942" spans="1:39" customFormat="1" ht="15.75" customHeight="1" x14ac:dyDescent="0.3">
      <c r="A942" t="s">
        <v>48</v>
      </c>
      <c r="B942" s="21" t="s">
        <v>565</v>
      </c>
      <c r="C942" s="21" t="s">
        <v>688</v>
      </c>
      <c r="D942" s="117" t="s">
        <v>713</v>
      </c>
      <c r="E942" s="21" t="s">
        <v>9</v>
      </c>
      <c r="F942" s="21" t="s">
        <v>419</v>
      </c>
      <c r="G942" s="21">
        <v>81.099999999999994</v>
      </c>
      <c r="H942" s="21"/>
      <c r="I942" s="117" t="s">
        <v>842</v>
      </c>
      <c r="J942" s="117" t="s">
        <v>325</v>
      </c>
      <c r="K942" s="118">
        <v>18</v>
      </c>
      <c r="L942" s="21"/>
      <c r="M942" s="21"/>
      <c r="N942" s="21"/>
      <c r="O942" s="21"/>
      <c r="P942" s="21">
        <v>63.1</v>
      </c>
      <c r="Q942" s="21"/>
      <c r="R942" s="21" t="s">
        <v>329</v>
      </c>
      <c r="S942" s="119">
        <f>DATABASE_Table[[#This Row],[Inicial Asking Price (€) (Total)]]-DATABASE_Table[[#This Row],[Vista membership]]-DATABASE_Table[[#This Row],[FF&amp;E]]</f>
        <v>645000</v>
      </c>
      <c r="T942" s="125">
        <v>710000</v>
      </c>
      <c r="U942" s="124">
        <v>770000</v>
      </c>
      <c r="V942" s="21">
        <v>50000</v>
      </c>
      <c r="W942" s="21">
        <v>15000</v>
      </c>
      <c r="X942" s="73">
        <f>DATABASE_Table[[#This Row],[Current Asking price( Total)]]-DATABASE_Table[[#This Row],[Vista membership]]-DATABASE_Table[[#This Row],[FF&amp;E]]</f>
        <v>705000</v>
      </c>
      <c r="Y942" s="126"/>
      <c r="Z942" s="124">
        <v>770000</v>
      </c>
      <c r="AA942" s="73">
        <f>DATABASE_Table[[#This Row],[Sell price (Total)]]-DATABASE_Table[[#This Row],[FF&amp;E]]-DATABASE_Table[[#This Row],[Vista membership]]</f>
        <v>705000</v>
      </c>
      <c r="AB942" s="74">
        <v>46057</v>
      </c>
      <c r="AC942" s="74" t="str">
        <f t="shared" si="14"/>
        <v>Q1 2026</v>
      </c>
      <c r="AD942" s="123"/>
      <c r="AE942" s="69"/>
      <c r="AF942" s="21" t="s">
        <v>10</v>
      </c>
      <c r="AG942" s="21" t="s">
        <v>34</v>
      </c>
      <c r="AH942" s="122" t="s">
        <v>32</v>
      </c>
      <c r="AI942" s="122" t="s">
        <v>683</v>
      </c>
      <c r="AJ942" s="122" t="s">
        <v>49</v>
      </c>
      <c r="AK942" s="122" t="s">
        <v>50</v>
      </c>
      <c r="AL942" s="21" t="s">
        <v>51</v>
      </c>
      <c r="AM942" s="122" t="s">
        <v>48</v>
      </c>
    </row>
    <row r="943" spans="1:39" customFormat="1" ht="15.75" customHeight="1" x14ac:dyDescent="0.3">
      <c r="A943" t="s">
        <v>48</v>
      </c>
      <c r="B943" s="21" t="s">
        <v>565</v>
      </c>
      <c r="C943" s="21" t="s">
        <v>688</v>
      </c>
      <c r="D943" s="117" t="s">
        <v>714</v>
      </c>
      <c r="E943" s="21" t="s">
        <v>9</v>
      </c>
      <c r="F943" s="21" t="s">
        <v>419</v>
      </c>
      <c r="G943" s="21">
        <v>81.099999999999994</v>
      </c>
      <c r="H943" s="21"/>
      <c r="I943" s="117" t="s">
        <v>842</v>
      </c>
      <c r="J943" s="117" t="s">
        <v>325</v>
      </c>
      <c r="K943" s="118">
        <v>18</v>
      </c>
      <c r="L943" s="21"/>
      <c r="M943" s="21"/>
      <c r="N943" s="21"/>
      <c r="O943" s="21"/>
      <c r="P943" s="21">
        <v>63.1</v>
      </c>
      <c r="Q943" s="21"/>
      <c r="R943" s="21" t="s">
        <v>329</v>
      </c>
      <c r="S943" s="119">
        <f>DATABASE_Table[[#This Row],[Inicial Asking Price (€) (Total)]]-DATABASE_Table[[#This Row],[Vista membership]]-DATABASE_Table[[#This Row],[FF&amp;E]]</f>
        <v>695000</v>
      </c>
      <c r="T943" s="125">
        <v>760000</v>
      </c>
      <c r="U943" s="124">
        <v>820000</v>
      </c>
      <c r="V943" s="21">
        <v>50000</v>
      </c>
      <c r="W943" s="21">
        <v>15000</v>
      </c>
      <c r="X943" s="73">
        <f>DATABASE_Table[[#This Row],[Current Asking price( Total)]]-DATABASE_Table[[#This Row],[Vista membership]]-DATABASE_Table[[#This Row],[FF&amp;E]]</f>
        <v>755000</v>
      </c>
      <c r="Y943" s="126"/>
      <c r="Z943" s="124">
        <v>820000</v>
      </c>
      <c r="AA943" s="73">
        <f>DATABASE_Table[[#This Row],[Sell price (Total)]]-DATABASE_Table[[#This Row],[FF&amp;E]]-DATABASE_Table[[#This Row],[Vista membership]]</f>
        <v>755000</v>
      </c>
      <c r="AB943" s="74">
        <v>46057</v>
      </c>
      <c r="AC943" s="74" t="str">
        <f t="shared" si="14"/>
        <v>Q1 2026</v>
      </c>
      <c r="AD943" s="123"/>
      <c r="AE943" s="69"/>
      <c r="AF943" s="21" t="s">
        <v>10</v>
      </c>
      <c r="AG943" s="21" t="s">
        <v>34</v>
      </c>
      <c r="AH943" s="122" t="s">
        <v>32</v>
      </c>
      <c r="AI943" s="122" t="s">
        <v>683</v>
      </c>
      <c r="AJ943" s="122" t="s">
        <v>49</v>
      </c>
      <c r="AK943" s="122" t="s">
        <v>50</v>
      </c>
      <c r="AL943" s="21" t="s">
        <v>51</v>
      </c>
      <c r="AM943" s="122" t="s">
        <v>48</v>
      </c>
    </row>
    <row r="944" spans="1:39" customFormat="1" ht="15.75" customHeight="1" x14ac:dyDescent="0.3">
      <c r="A944" t="s">
        <v>48</v>
      </c>
      <c r="B944" s="21" t="s">
        <v>565</v>
      </c>
      <c r="C944" s="21" t="s">
        <v>688</v>
      </c>
      <c r="D944" s="117" t="s">
        <v>715</v>
      </c>
      <c r="E944" s="21" t="s">
        <v>9</v>
      </c>
      <c r="F944" s="21" t="s">
        <v>419</v>
      </c>
      <c r="G944" s="21">
        <v>81.099999999999994</v>
      </c>
      <c r="H944" s="21"/>
      <c r="I944" s="117" t="s">
        <v>842</v>
      </c>
      <c r="J944" s="117" t="s">
        <v>325</v>
      </c>
      <c r="K944" s="118">
        <v>18</v>
      </c>
      <c r="L944" s="21"/>
      <c r="M944" s="21"/>
      <c r="N944" s="21"/>
      <c r="O944" s="21"/>
      <c r="P944" s="21">
        <v>63.1</v>
      </c>
      <c r="Q944" s="21"/>
      <c r="R944" s="21" t="s">
        <v>329</v>
      </c>
      <c r="S944" s="119">
        <f>DATABASE_Table[[#This Row],[Inicial Asking Price (€) (Total)]]-DATABASE_Table[[#This Row],[Vista membership]]-DATABASE_Table[[#This Row],[FF&amp;E]]</f>
        <v>735000</v>
      </c>
      <c r="T944" s="125">
        <v>800000</v>
      </c>
      <c r="U944" s="124">
        <v>860000</v>
      </c>
      <c r="V944" s="21">
        <v>50000</v>
      </c>
      <c r="W944" s="21">
        <v>15000</v>
      </c>
      <c r="X944" s="73">
        <f>DATABASE_Table[[#This Row],[Current Asking price( Total)]]-DATABASE_Table[[#This Row],[Vista membership]]-DATABASE_Table[[#This Row],[FF&amp;E]]</f>
        <v>795000</v>
      </c>
      <c r="Y944" s="126"/>
      <c r="Z944" s="124">
        <v>860000</v>
      </c>
      <c r="AA944" s="73">
        <f>DATABASE_Table[[#This Row],[Sell price (Total)]]-DATABASE_Table[[#This Row],[FF&amp;E]]-DATABASE_Table[[#This Row],[Vista membership]]</f>
        <v>795000</v>
      </c>
      <c r="AB944" s="74">
        <v>46057</v>
      </c>
      <c r="AC944" s="74" t="str">
        <f t="shared" si="14"/>
        <v>Q1 2026</v>
      </c>
      <c r="AD944" s="123"/>
      <c r="AE944" s="69"/>
      <c r="AF944" s="21" t="s">
        <v>10</v>
      </c>
      <c r="AG944" s="21" t="s">
        <v>34</v>
      </c>
      <c r="AH944" s="122" t="s">
        <v>32</v>
      </c>
      <c r="AI944" s="122" t="s">
        <v>683</v>
      </c>
      <c r="AJ944" s="122" t="s">
        <v>49</v>
      </c>
      <c r="AK944" s="122" t="s">
        <v>50</v>
      </c>
      <c r="AL944" s="21" t="s">
        <v>51</v>
      </c>
      <c r="AM944" s="122" t="s">
        <v>48</v>
      </c>
    </row>
    <row r="945" spans="1:39" customFormat="1" ht="15.75" customHeight="1" x14ac:dyDescent="0.3">
      <c r="A945" t="s">
        <v>48</v>
      </c>
      <c r="B945" s="21" t="s">
        <v>565</v>
      </c>
      <c r="C945" s="21" t="s">
        <v>688</v>
      </c>
      <c r="D945" s="117" t="s">
        <v>855</v>
      </c>
      <c r="E945" s="21" t="s">
        <v>9</v>
      </c>
      <c r="F945" s="21" t="s">
        <v>419</v>
      </c>
      <c r="G945" s="21">
        <v>83</v>
      </c>
      <c r="H945" s="21"/>
      <c r="I945" s="117" t="s">
        <v>842</v>
      </c>
      <c r="J945" s="117" t="s">
        <v>325</v>
      </c>
      <c r="K945" s="118">
        <v>18.7</v>
      </c>
      <c r="L945" s="21"/>
      <c r="M945" s="21"/>
      <c r="N945" s="21"/>
      <c r="O945" s="21"/>
      <c r="P945" s="21">
        <v>64.3</v>
      </c>
      <c r="Q945" s="21"/>
      <c r="R945" s="21" t="s">
        <v>329</v>
      </c>
      <c r="S945" s="119">
        <f>DATABASE_Table[[#This Row],[Inicial Asking Price (€) (Total)]]-DATABASE_Table[[#This Row],[Vista membership]]-DATABASE_Table[[#This Row],[FF&amp;E]]</f>
        <v>805000</v>
      </c>
      <c r="T945" s="125">
        <v>870000</v>
      </c>
      <c r="U945" s="124">
        <v>930000</v>
      </c>
      <c r="V945" s="21">
        <v>50000</v>
      </c>
      <c r="W945" s="21">
        <v>15000</v>
      </c>
      <c r="X945" s="73">
        <f>DATABASE_Table[[#This Row],[Current Asking price( Total)]]-DATABASE_Table[[#This Row],[Vista membership]]-DATABASE_Table[[#This Row],[FF&amp;E]]</f>
        <v>865000</v>
      </c>
      <c r="Y945" s="126"/>
      <c r="Z945" s="124">
        <v>930000</v>
      </c>
      <c r="AA945" s="73">
        <f>DATABASE_Table[[#This Row],[Sell price (Total)]]-DATABASE_Table[[#This Row],[FF&amp;E]]-DATABASE_Table[[#This Row],[Vista membership]]</f>
        <v>865000</v>
      </c>
      <c r="AB945" s="74">
        <v>46057</v>
      </c>
      <c r="AC945" s="74" t="str">
        <f t="shared" si="14"/>
        <v>Q1 2026</v>
      </c>
      <c r="AD945" s="123"/>
      <c r="AE945" s="69"/>
      <c r="AF945" s="21" t="s">
        <v>10</v>
      </c>
      <c r="AG945" s="21" t="s">
        <v>34</v>
      </c>
      <c r="AH945" s="122" t="s">
        <v>32</v>
      </c>
      <c r="AI945" s="122" t="s">
        <v>683</v>
      </c>
      <c r="AJ945" s="122" t="s">
        <v>49</v>
      </c>
      <c r="AK945" s="122" t="s">
        <v>50</v>
      </c>
      <c r="AL945" s="21" t="s">
        <v>51</v>
      </c>
      <c r="AM945" s="122" t="s">
        <v>48</v>
      </c>
    </row>
    <row r="946" spans="1:39" customFormat="1" ht="15.75" customHeight="1" x14ac:dyDescent="0.3">
      <c r="A946" t="s">
        <v>48</v>
      </c>
      <c r="B946" s="21" t="s">
        <v>565</v>
      </c>
      <c r="C946" s="21" t="s">
        <v>688</v>
      </c>
      <c r="D946" s="117" t="s">
        <v>716</v>
      </c>
      <c r="E946" s="21" t="s">
        <v>9</v>
      </c>
      <c r="F946" s="21" t="s">
        <v>421</v>
      </c>
      <c r="G946" s="21">
        <v>284.8</v>
      </c>
      <c r="H946" s="21"/>
      <c r="I946" s="117" t="s">
        <v>842</v>
      </c>
      <c r="J946" s="117" t="s">
        <v>325</v>
      </c>
      <c r="K946" s="118">
        <v>60.8</v>
      </c>
      <c r="L946" s="21"/>
      <c r="M946" s="21"/>
      <c r="N946" s="21"/>
      <c r="O946" s="21"/>
      <c r="P946" s="21">
        <v>224</v>
      </c>
      <c r="Q946" s="21"/>
      <c r="R946" s="21" t="s">
        <v>329</v>
      </c>
      <c r="S946" s="119">
        <f>DATABASE_Table[[#This Row],[Inicial Asking Price (€) (Total)]]-DATABASE_Table[[#This Row],[Vista membership]]-DATABASE_Table[[#This Row],[FF&amp;E]]</f>
        <v>3525000</v>
      </c>
      <c r="T946" s="125">
        <v>3630000</v>
      </c>
      <c r="U946" s="124">
        <v>3740000</v>
      </c>
      <c r="V946" s="21">
        <v>60000</v>
      </c>
      <c r="W946" s="21">
        <v>45000</v>
      </c>
      <c r="X946" s="73">
        <f>DATABASE_Table[[#This Row],[Current Asking price( Total)]]-DATABASE_Table[[#This Row],[Vista membership]]-DATABASE_Table[[#This Row],[FF&amp;E]]</f>
        <v>3635000</v>
      </c>
      <c r="Y946" s="126"/>
      <c r="Z946" s="124">
        <v>3740000</v>
      </c>
      <c r="AA946" s="73">
        <f>DATABASE_Table[[#This Row],[Sell price (Total)]]-DATABASE_Table[[#This Row],[FF&amp;E]]-DATABASE_Table[[#This Row],[Vista membership]]</f>
        <v>3635000</v>
      </c>
      <c r="AB946" s="74">
        <v>46057</v>
      </c>
      <c r="AC946" s="74" t="str">
        <f t="shared" si="14"/>
        <v>Q1 2026</v>
      </c>
      <c r="AD946" s="123"/>
      <c r="AE946" s="69"/>
      <c r="AF946" s="21" t="s">
        <v>10</v>
      </c>
      <c r="AG946" s="21" t="s">
        <v>34</v>
      </c>
      <c r="AH946" s="122" t="s">
        <v>32</v>
      </c>
      <c r="AI946" s="122" t="s">
        <v>683</v>
      </c>
      <c r="AJ946" s="122" t="s">
        <v>49</v>
      </c>
      <c r="AK946" s="122" t="s">
        <v>50</v>
      </c>
      <c r="AL946" s="21" t="s">
        <v>51</v>
      </c>
      <c r="AM946" s="122" t="s">
        <v>48</v>
      </c>
    </row>
    <row r="947" spans="1:39" customFormat="1" ht="15.75" customHeight="1" x14ac:dyDescent="0.3">
      <c r="A947" t="s">
        <v>48</v>
      </c>
      <c r="B947" s="21" t="s">
        <v>565</v>
      </c>
      <c r="C947" s="21" t="s">
        <v>688</v>
      </c>
      <c r="D947" s="117" t="s">
        <v>844</v>
      </c>
      <c r="E947" s="21" t="s">
        <v>9</v>
      </c>
      <c r="F947" s="21" t="s">
        <v>319</v>
      </c>
      <c r="G947" s="21">
        <v>168.6</v>
      </c>
      <c r="H947" s="21"/>
      <c r="I947" s="117" t="s">
        <v>842</v>
      </c>
      <c r="J947" s="117" t="s">
        <v>325</v>
      </c>
      <c r="K947" s="118">
        <v>64.7</v>
      </c>
      <c r="L947" s="21"/>
      <c r="M947" s="21"/>
      <c r="N947" s="21"/>
      <c r="O947" s="21"/>
      <c r="P947" s="21">
        <v>103.9</v>
      </c>
      <c r="Q947" s="21"/>
      <c r="R947" s="21" t="s">
        <v>329</v>
      </c>
      <c r="S947" s="119">
        <f>DATABASE_Table[[#This Row],[Inicial Asking Price (€) (Total)]]-DATABASE_Table[[#This Row],[Vista membership]]-DATABASE_Table[[#This Row],[FF&amp;E]]</f>
        <v>957000</v>
      </c>
      <c r="T947" s="125">
        <v>1030000</v>
      </c>
      <c r="U947" s="124">
        <v>1100000</v>
      </c>
      <c r="V947" s="21">
        <v>50000</v>
      </c>
      <c r="W947" s="21">
        <v>23000</v>
      </c>
      <c r="X947" s="73">
        <f>DATABASE_Table[[#This Row],[Current Asking price( Total)]]-DATABASE_Table[[#This Row],[Vista membership]]-DATABASE_Table[[#This Row],[FF&amp;E]]</f>
        <v>1027000</v>
      </c>
      <c r="Y947" s="126"/>
      <c r="Z947" s="124">
        <v>1100000</v>
      </c>
      <c r="AA947" s="73">
        <f>DATABASE_Table[[#This Row],[Sell price (Total)]]-DATABASE_Table[[#This Row],[FF&amp;E]]-DATABASE_Table[[#This Row],[Vista membership]]</f>
        <v>1027000</v>
      </c>
      <c r="AB947" s="74">
        <v>46057</v>
      </c>
      <c r="AC947" s="74" t="str">
        <f t="shared" si="14"/>
        <v>Q1 2026</v>
      </c>
      <c r="AD947" s="123"/>
      <c r="AE947" s="69"/>
      <c r="AF947" s="21" t="s">
        <v>10</v>
      </c>
      <c r="AG947" s="21" t="s">
        <v>34</v>
      </c>
      <c r="AH947" s="122" t="s">
        <v>32</v>
      </c>
      <c r="AI947" s="122" t="s">
        <v>683</v>
      </c>
      <c r="AJ947" s="122" t="s">
        <v>49</v>
      </c>
      <c r="AK947" s="122" t="s">
        <v>50</v>
      </c>
      <c r="AL947" s="21" t="s">
        <v>51</v>
      </c>
      <c r="AM947" s="122" t="s">
        <v>48</v>
      </c>
    </row>
    <row r="948" spans="1:39" customFormat="1" ht="15.75" customHeight="1" x14ac:dyDescent="0.3">
      <c r="A948" t="s">
        <v>48</v>
      </c>
      <c r="B948" s="21" t="s">
        <v>565</v>
      </c>
      <c r="C948" s="21" t="s">
        <v>688</v>
      </c>
      <c r="D948" s="117" t="s">
        <v>717</v>
      </c>
      <c r="E948" s="21" t="s">
        <v>9</v>
      </c>
      <c r="F948" s="21" t="s">
        <v>320</v>
      </c>
      <c r="G948" s="21">
        <v>183.9</v>
      </c>
      <c r="H948" s="21"/>
      <c r="I948" s="117" t="s">
        <v>842</v>
      </c>
      <c r="J948" s="117" t="s">
        <v>325</v>
      </c>
      <c r="K948" s="118">
        <v>34.299999999999997</v>
      </c>
      <c r="L948" s="21"/>
      <c r="M948" s="21"/>
      <c r="N948" s="21"/>
      <c r="O948" s="21"/>
      <c r="P948" s="21">
        <v>149.6</v>
      </c>
      <c r="Q948" s="21"/>
      <c r="R948" s="21" t="s">
        <v>329</v>
      </c>
      <c r="S948" s="119">
        <f>DATABASE_Table[[#This Row],[Inicial Asking Price (€) (Total)]]-DATABASE_Table[[#This Row],[Vista membership]]-DATABASE_Table[[#This Row],[FF&amp;E]]</f>
        <v>2110000</v>
      </c>
      <c r="T948" s="125">
        <v>2190000</v>
      </c>
      <c r="U948" s="124">
        <v>2270000</v>
      </c>
      <c r="V948" s="21">
        <v>50000</v>
      </c>
      <c r="W948" s="21">
        <v>30000</v>
      </c>
      <c r="X948" s="73">
        <f>DATABASE_Table[[#This Row],[Current Asking price( Total)]]-DATABASE_Table[[#This Row],[Vista membership]]-DATABASE_Table[[#This Row],[FF&amp;E]]</f>
        <v>2190000</v>
      </c>
      <c r="Y948" s="126"/>
      <c r="Z948" s="124">
        <v>2270000</v>
      </c>
      <c r="AA948" s="73">
        <f>DATABASE_Table[[#This Row],[Sell price (Total)]]-DATABASE_Table[[#This Row],[FF&amp;E]]-DATABASE_Table[[#This Row],[Vista membership]]</f>
        <v>2190000</v>
      </c>
      <c r="AB948" s="74">
        <v>46057</v>
      </c>
      <c r="AC948" s="74" t="str">
        <f t="shared" si="14"/>
        <v>Q1 2026</v>
      </c>
      <c r="AD948" s="123"/>
      <c r="AE948" s="69"/>
      <c r="AF948" s="21" t="s">
        <v>10</v>
      </c>
      <c r="AG948" s="21" t="s">
        <v>34</v>
      </c>
      <c r="AH948" s="122" t="s">
        <v>32</v>
      </c>
      <c r="AI948" s="122" t="s">
        <v>683</v>
      </c>
      <c r="AJ948" s="122" t="s">
        <v>49</v>
      </c>
      <c r="AK948" s="122" t="s">
        <v>50</v>
      </c>
      <c r="AL948" s="21" t="s">
        <v>51</v>
      </c>
      <c r="AM948" s="122" t="s">
        <v>48</v>
      </c>
    </row>
    <row r="949" spans="1:39" customFormat="1" ht="15.75" customHeight="1" x14ac:dyDescent="0.3">
      <c r="A949" t="s">
        <v>48</v>
      </c>
      <c r="B949" s="21" t="s">
        <v>565</v>
      </c>
      <c r="C949" s="21" t="s">
        <v>688</v>
      </c>
      <c r="D949" s="117" t="s">
        <v>718</v>
      </c>
      <c r="E949" s="21" t="s">
        <v>9</v>
      </c>
      <c r="F949" s="21" t="s">
        <v>319</v>
      </c>
      <c r="G949" s="21">
        <v>129.4</v>
      </c>
      <c r="H949" s="21"/>
      <c r="I949" s="117" t="s">
        <v>842</v>
      </c>
      <c r="J949" s="117" t="s">
        <v>325</v>
      </c>
      <c r="K949" s="118">
        <v>25.5</v>
      </c>
      <c r="L949" s="21"/>
      <c r="M949" s="21"/>
      <c r="N949" s="21"/>
      <c r="O949" s="21"/>
      <c r="P949" s="21">
        <v>103.9</v>
      </c>
      <c r="Q949" s="21"/>
      <c r="R949" s="21" t="s">
        <v>329</v>
      </c>
      <c r="S949" s="119">
        <f>DATABASE_Table[[#This Row],[Inicial Asking Price (€) (Total)]]-DATABASE_Table[[#This Row],[Vista membership]]-DATABASE_Table[[#This Row],[FF&amp;E]]</f>
        <v>1097000</v>
      </c>
      <c r="T949" s="125">
        <v>1170000</v>
      </c>
      <c r="U949" s="124">
        <v>1240000</v>
      </c>
      <c r="V949" s="21">
        <v>50000</v>
      </c>
      <c r="W949" s="21">
        <v>23000</v>
      </c>
      <c r="X949" s="73">
        <f>DATABASE_Table[[#This Row],[Current Asking price( Total)]]-DATABASE_Table[[#This Row],[Vista membership]]-DATABASE_Table[[#This Row],[FF&amp;E]]</f>
        <v>1167000</v>
      </c>
      <c r="Y949" s="126"/>
      <c r="Z949" s="124">
        <v>1240000</v>
      </c>
      <c r="AA949" s="73">
        <f>DATABASE_Table[[#This Row],[Sell price (Total)]]-DATABASE_Table[[#This Row],[FF&amp;E]]-DATABASE_Table[[#This Row],[Vista membership]]</f>
        <v>1167000</v>
      </c>
      <c r="AB949" s="74">
        <v>46057</v>
      </c>
      <c r="AC949" s="74" t="str">
        <f t="shared" si="14"/>
        <v>Q1 2026</v>
      </c>
      <c r="AD949" s="123"/>
      <c r="AE949" s="69"/>
      <c r="AF949" s="21" t="s">
        <v>10</v>
      </c>
      <c r="AG949" s="21" t="s">
        <v>34</v>
      </c>
      <c r="AH949" s="122" t="s">
        <v>32</v>
      </c>
      <c r="AI949" s="122" t="s">
        <v>683</v>
      </c>
      <c r="AJ949" s="122" t="s">
        <v>49</v>
      </c>
      <c r="AK949" s="122" t="s">
        <v>50</v>
      </c>
      <c r="AL949" s="21" t="s">
        <v>51</v>
      </c>
      <c r="AM949" s="122" t="s">
        <v>48</v>
      </c>
    </row>
    <row r="950" spans="1:39" customFormat="1" ht="15.75" customHeight="1" x14ac:dyDescent="0.3">
      <c r="A950" t="s">
        <v>48</v>
      </c>
      <c r="B950" s="21" t="s">
        <v>565</v>
      </c>
      <c r="C950" s="21" t="s">
        <v>688</v>
      </c>
      <c r="D950" s="117" t="s">
        <v>719</v>
      </c>
      <c r="E950" s="21" t="s">
        <v>9</v>
      </c>
      <c r="F950" s="21" t="s">
        <v>319</v>
      </c>
      <c r="G950" s="21">
        <v>130.1</v>
      </c>
      <c r="H950" s="21"/>
      <c r="I950" s="117" t="s">
        <v>842</v>
      </c>
      <c r="J950" s="117" t="s">
        <v>325</v>
      </c>
      <c r="K950" s="118">
        <v>25.5</v>
      </c>
      <c r="L950" s="21"/>
      <c r="M950" s="21"/>
      <c r="N950" s="21"/>
      <c r="O950" s="21"/>
      <c r="P950" s="21">
        <v>104.6</v>
      </c>
      <c r="Q950" s="21"/>
      <c r="R950" s="21" t="s">
        <v>329</v>
      </c>
      <c r="S950" s="119">
        <f>DATABASE_Table[[#This Row],[Inicial Asking Price (€) (Total)]]-DATABASE_Table[[#This Row],[Vista membership]]-DATABASE_Table[[#This Row],[FF&amp;E]]</f>
        <v>1017000</v>
      </c>
      <c r="T950" s="125">
        <v>1090000</v>
      </c>
      <c r="U950" s="124">
        <v>1160000</v>
      </c>
      <c r="V950" s="21">
        <v>50000</v>
      </c>
      <c r="W950" s="21">
        <v>23000</v>
      </c>
      <c r="X950" s="73">
        <f>DATABASE_Table[[#This Row],[Current Asking price( Total)]]-DATABASE_Table[[#This Row],[Vista membership]]-DATABASE_Table[[#This Row],[FF&amp;E]]</f>
        <v>1087000</v>
      </c>
      <c r="Y950" s="126"/>
      <c r="Z950" s="124">
        <v>1160000</v>
      </c>
      <c r="AA950" s="73">
        <f>DATABASE_Table[[#This Row],[Sell price (Total)]]-DATABASE_Table[[#This Row],[FF&amp;E]]-DATABASE_Table[[#This Row],[Vista membership]]</f>
        <v>1087000</v>
      </c>
      <c r="AB950" s="74">
        <v>46057</v>
      </c>
      <c r="AC950" s="74" t="str">
        <f t="shared" si="14"/>
        <v>Q1 2026</v>
      </c>
      <c r="AD950" s="123"/>
      <c r="AE950" s="69"/>
      <c r="AF950" s="21" t="s">
        <v>10</v>
      </c>
      <c r="AG950" s="21" t="s">
        <v>34</v>
      </c>
      <c r="AH950" s="122" t="s">
        <v>32</v>
      </c>
      <c r="AI950" s="122" t="s">
        <v>683</v>
      </c>
      <c r="AJ950" s="122" t="s">
        <v>49</v>
      </c>
      <c r="AK950" s="122" t="s">
        <v>50</v>
      </c>
      <c r="AL950" s="21" t="s">
        <v>51</v>
      </c>
      <c r="AM950" s="122" t="s">
        <v>48</v>
      </c>
    </row>
    <row r="951" spans="1:39" customFormat="1" ht="15.75" customHeight="1" x14ac:dyDescent="0.3">
      <c r="A951" t="s">
        <v>48</v>
      </c>
      <c r="B951" s="21" t="s">
        <v>565</v>
      </c>
      <c r="C951" s="21" t="s">
        <v>688</v>
      </c>
      <c r="D951" s="117" t="s">
        <v>720</v>
      </c>
      <c r="E951" s="21" t="s">
        <v>9</v>
      </c>
      <c r="F951" s="21" t="s">
        <v>319</v>
      </c>
      <c r="G951" s="21">
        <v>130</v>
      </c>
      <c r="H951" s="21"/>
      <c r="I951" s="117" t="s">
        <v>842</v>
      </c>
      <c r="J951" s="117" t="s">
        <v>325</v>
      </c>
      <c r="K951" s="118">
        <v>25.4</v>
      </c>
      <c r="L951" s="21"/>
      <c r="M951" s="21"/>
      <c r="N951" s="21"/>
      <c r="O951" s="21"/>
      <c r="P951" s="21">
        <v>104.6</v>
      </c>
      <c r="Q951" s="21"/>
      <c r="R951" s="21" t="s">
        <v>329</v>
      </c>
      <c r="S951" s="119">
        <f>DATABASE_Table[[#This Row],[Inicial Asking Price (€) (Total)]]-DATABASE_Table[[#This Row],[Vista membership]]-DATABASE_Table[[#This Row],[FF&amp;E]]</f>
        <v>937000</v>
      </c>
      <c r="T951" s="125">
        <v>1010000</v>
      </c>
      <c r="U951" s="124">
        <v>1070000</v>
      </c>
      <c r="V951" s="21">
        <v>50000</v>
      </c>
      <c r="W951" s="21">
        <v>23000</v>
      </c>
      <c r="X951" s="73">
        <f>DATABASE_Table[[#This Row],[Current Asking price( Total)]]-DATABASE_Table[[#This Row],[Vista membership]]-DATABASE_Table[[#This Row],[FF&amp;E]]</f>
        <v>997000</v>
      </c>
      <c r="Y951" s="126"/>
      <c r="Z951" s="124">
        <v>1070000</v>
      </c>
      <c r="AA951" s="73">
        <f>DATABASE_Table[[#This Row],[Sell price (Total)]]-DATABASE_Table[[#This Row],[FF&amp;E]]-DATABASE_Table[[#This Row],[Vista membership]]</f>
        <v>997000</v>
      </c>
      <c r="AB951" s="74">
        <v>46057</v>
      </c>
      <c r="AC951" s="74" t="str">
        <f t="shared" si="14"/>
        <v>Q1 2026</v>
      </c>
      <c r="AD951" s="123"/>
      <c r="AE951" s="69"/>
      <c r="AF951" s="21" t="s">
        <v>10</v>
      </c>
      <c r="AG951" s="21" t="s">
        <v>34</v>
      </c>
      <c r="AH951" s="122" t="s">
        <v>32</v>
      </c>
      <c r="AI951" s="122" t="s">
        <v>683</v>
      </c>
      <c r="AJ951" s="122" t="s">
        <v>49</v>
      </c>
      <c r="AK951" s="122" t="s">
        <v>50</v>
      </c>
      <c r="AL951" s="21" t="s">
        <v>51</v>
      </c>
      <c r="AM951" s="122" t="s">
        <v>48</v>
      </c>
    </row>
    <row r="952" spans="1:39" customFormat="1" ht="15.75" customHeight="1" x14ac:dyDescent="0.3">
      <c r="A952" t="s">
        <v>48</v>
      </c>
      <c r="B952" s="21" t="s">
        <v>565</v>
      </c>
      <c r="C952" s="21" t="s">
        <v>688</v>
      </c>
      <c r="D952" s="117" t="s">
        <v>721</v>
      </c>
      <c r="E952" s="21" t="s">
        <v>9</v>
      </c>
      <c r="F952" s="21" t="s">
        <v>319</v>
      </c>
      <c r="G952" s="21">
        <v>130.1</v>
      </c>
      <c r="H952" s="21"/>
      <c r="I952" s="117" t="s">
        <v>842</v>
      </c>
      <c r="J952" s="117" t="s">
        <v>325</v>
      </c>
      <c r="K952" s="118">
        <v>25.5</v>
      </c>
      <c r="L952" s="21"/>
      <c r="M952" s="21"/>
      <c r="N952" s="21"/>
      <c r="O952" s="21"/>
      <c r="P952" s="21">
        <v>104.6</v>
      </c>
      <c r="Q952" s="21"/>
      <c r="R952" s="21" t="s">
        <v>329</v>
      </c>
      <c r="S952" s="119">
        <f>DATABASE_Table[[#This Row],[Inicial Asking Price (€) (Total)]]-DATABASE_Table[[#This Row],[Vista membership]]-DATABASE_Table[[#This Row],[FF&amp;E]]</f>
        <v>1017000</v>
      </c>
      <c r="T952" s="125">
        <v>1090000</v>
      </c>
      <c r="U952" s="124">
        <v>1160000</v>
      </c>
      <c r="V952" s="21">
        <v>50000</v>
      </c>
      <c r="W952" s="21">
        <v>23000</v>
      </c>
      <c r="X952" s="73">
        <f>DATABASE_Table[[#This Row],[Current Asking price( Total)]]-DATABASE_Table[[#This Row],[Vista membership]]-DATABASE_Table[[#This Row],[FF&amp;E]]</f>
        <v>1087000</v>
      </c>
      <c r="Y952" s="126"/>
      <c r="Z952" s="124">
        <v>1160000</v>
      </c>
      <c r="AA952" s="73">
        <f>DATABASE_Table[[#This Row],[Sell price (Total)]]-DATABASE_Table[[#This Row],[FF&amp;E]]-DATABASE_Table[[#This Row],[Vista membership]]</f>
        <v>1087000</v>
      </c>
      <c r="AB952" s="74">
        <v>46057</v>
      </c>
      <c r="AC952" s="74" t="str">
        <f t="shared" si="14"/>
        <v>Q1 2026</v>
      </c>
      <c r="AD952" s="123"/>
      <c r="AE952" s="69"/>
      <c r="AF952" s="21" t="s">
        <v>10</v>
      </c>
      <c r="AG952" s="21" t="s">
        <v>34</v>
      </c>
      <c r="AH952" s="122" t="s">
        <v>32</v>
      </c>
      <c r="AI952" s="122" t="s">
        <v>683</v>
      </c>
      <c r="AJ952" s="122" t="s">
        <v>49</v>
      </c>
      <c r="AK952" s="122" t="s">
        <v>50</v>
      </c>
      <c r="AL952" s="21" t="s">
        <v>51</v>
      </c>
      <c r="AM952" s="122" t="s">
        <v>48</v>
      </c>
    </row>
    <row r="953" spans="1:39" customFormat="1" ht="15.75" customHeight="1" x14ac:dyDescent="0.3">
      <c r="A953" t="s">
        <v>48</v>
      </c>
      <c r="B953" s="21" t="s">
        <v>565</v>
      </c>
      <c r="C953" s="21" t="s">
        <v>688</v>
      </c>
      <c r="D953" s="117" t="s">
        <v>722</v>
      </c>
      <c r="E953" s="21" t="s">
        <v>9</v>
      </c>
      <c r="F953" s="21" t="s">
        <v>319</v>
      </c>
      <c r="G953" s="21">
        <v>129.4</v>
      </c>
      <c r="H953" s="21"/>
      <c r="I953" s="117" t="s">
        <v>842</v>
      </c>
      <c r="J953" s="117" t="s">
        <v>325</v>
      </c>
      <c r="K953" s="118">
        <v>25.5</v>
      </c>
      <c r="L953" s="21"/>
      <c r="M953" s="21"/>
      <c r="N953" s="21"/>
      <c r="O953" s="21"/>
      <c r="P953" s="21">
        <v>103.9</v>
      </c>
      <c r="Q953" s="21"/>
      <c r="R953" s="21" t="s">
        <v>329</v>
      </c>
      <c r="S953" s="119">
        <f>DATABASE_Table[[#This Row],[Inicial Asking Price (€) (Total)]]-DATABASE_Table[[#This Row],[Vista membership]]-DATABASE_Table[[#This Row],[FF&amp;E]]</f>
        <v>1097000</v>
      </c>
      <c r="T953" s="125">
        <v>1170000</v>
      </c>
      <c r="U953" s="124">
        <v>1240000</v>
      </c>
      <c r="V953" s="21">
        <v>50000</v>
      </c>
      <c r="W953" s="21">
        <v>23000</v>
      </c>
      <c r="X953" s="73">
        <f>DATABASE_Table[[#This Row],[Current Asking price( Total)]]-DATABASE_Table[[#This Row],[Vista membership]]-DATABASE_Table[[#This Row],[FF&amp;E]]</f>
        <v>1167000</v>
      </c>
      <c r="Y953" s="126"/>
      <c r="Z953" s="124">
        <v>1240000</v>
      </c>
      <c r="AA953" s="73">
        <f>DATABASE_Table[[#This Row],[Sell price (Total)]]-DATABASE_Table[[#This Row],[FF&amp;E]]-DATABASE_Table[[#This Row],[Vista membership]]</f>
        <v>1167000</v>
      </c>
      <c r="AB953" s="74">
        <v>46057</v>
      </c>
      <c r="AC953" s="74" t="str">
        <f t="shared" si="14"/>
        <v>Q1 2026</v>
      </c>
      <c r="AD953" s="123"/>
      <c r="AE953" s="69"/>
      <c r="AF953" s="21" t="s">
        <v>10</v>
      </c>
      <c r="AG953" s="21" t="s">
        <v>34</v>
      </c>
      <c r="AH953" s="122" t="s">
        <v>32</v>
      </c>
      <c r="AI953" s="122" t="s">
        <v>683</v>
      </c>
      <c r="AJ953" s="122" t="s">
        <v>49</v>
      </c>
      <c r="AK953" s="122" t="s">
        <v>50</v>
      </c>
      <c r="AL953" s="21" t="s">
        <v>51</v>
      </c>
      <c r="AM953" s="122" t="s">
        <v>48</v>
      </c>
    </row>
    <row r="954" spans="1:39" customFormat="1" ht="15.75" customHeight="1" x14ac:dyDescent="0.3">
      <c r="A954" t="s">
        <v>48</v>
      </c>
      <c r="B954" s="21" t="s">
        <v>565</v>
      </c>
      <c r="C954" s="21" t="s">
        <v>688</v>
      </c>
      <c r="D954" s="117" t="s">
        <v>723</v>
      </c>
      <c r="E954" s="21" t="s">
        <v>9</v>
      </c>
      <c r="F954" s="21" t="s">
        <v>319</v>
      </c>
      <c r="G954" s="21">
        <v>129.4</v>
      </c>
      <c r="H954" s="21"/>
      <c r="I954" s="117" t="s">
        <v>842</v>
      </c>
      <c r="J954" s="117" t="s">
        <v>325</v>
      </c>
      <c r="K954" s="118">
        <v>25.5</v>
      </c>
      <c r="L954" s="21"/>
      <c r="M954" s="21"/>
      <c r="N954" s="21"/>
      <c r="O954" s="21"/>
      <c r="P954" s="21">
        <v>103.9</v>
      </c>
      <c r="Q954" s="21"/>
      <c r="R954" s="21" t="s">
        <v>329</v>
      </c>
      <c r="S954" s="119">
        <f>DATABASE_Table[[#This Row],[Inicial Asking Price (€) (Total)]]-DATABASE_Table[[#This Row],[Vista membership]]-DATABASE_Table[[#This Row],[FF&amp;E]]</f>
        <v>1177000</v>
      </c>
      <c r="T954" s="125">
        <v>1250000</v>
      </c>
      <c r="U954" s="124">
        <v>1320000</v>
      </c>
      <c r="V954" s="21">
        <v>50000</v>
      </c>
      <c r="W954" s="21">
        <v>23000</v>
      </c>
      <c r="X954" s="73">
        <f>DATABASE_Table[[#This Row],[Current Asking price( Total)]]-DATABASE_Table[[#This Row],[Vista membership]]-DATABASE_Table[[#This Row],[FF&amp;E]]</f>
        <v>1247000</v>
      </c>
      <c r="Y954" s="126"/>
      <c r="Z954" s="124">
        <v>1320000</v>
      </c>
      <c r="AA954" s="73">
        <f>DATABASE_Table[[#This Row],[Sell price (Total)]]-DATABASE_Table[[#This Row],[FF&amp;E]]-DATABASE_Table[[#This Row],[Vista membership]]</f>
        <v>1247000</v>
      </c>
      <c r="AB954" s="74">
        <v>46057</v>
      </c>
      <c r="AC954" s="74" t="str">
        <f t="shared" si="14"/>
        <v>Q1 2026</v>
      </c>
      <c r="AD954" s="123"/>
      <c r="AE954" s="69"/>
      <c r="AF954" s="21" t="s">
        <v>10</v>
      </c>
      <c r="AG954" s="21" t="s">
        <v>34</v>
      </c>
      <c r="AH954" s="122" t="s">
        <v>32</v>
      </c>
      <c r="AI954" s="122" t="s">
        <v>683</v>
      </c>
      <c r="AJ954" s="122" t="s">
        <v>49</v>
      </c>
      <c r="AK954" s="122" t="s">
        <v>50</v>
      </c>
      <c r="AL954" s="21" t="s">
        <v>51</v>
      </c>
      <c r="AM954" s="122" t="s">
        <v>48</v>
      </c>
    </row>
    <row r="955" spans="1:39" customFormat="1" ht="15.75" customHeight="1" x14ac:dyDescent="0.3">
      <c r="A955" t="s">
        <v>48</v>
      </c>
      <c r="B955" s="21" t="s">
        <v>565</v>
      </c>
      <c r="C955" s="21" t="s">
        <v>688</v>
      </c>
      <c r="D955" s="117" t="s">
        <v>724</v>
      </c>
      <c r="E955" s="21" t="s">
        <v>9</v>
      </c>
      <c r="F955" s="21" t="s">
        <v>319</v>
      </c>
      <c r="G955" s="21">
        <v>129.4</v>
      </c>
      <c r="H955" s="21"/>
      <c r="I955" s="117" t="s">
        <v>842</v>
      </c>
      <c r="J955" s="117" t="s">
        <v>325</v>
      </c>
      <c r="K955" s="118">
        <v>25.5</v>
      </c>
      <c r="L955" s="21"/>
      <c r="M955" s="21"/>
      <c r="N955" s="21"/>
      <c r="O955" s="21"/>
      <c r="P955" s="21">
        <v>103.9</v>
      </c>
      <c r="Q955" s="21"/>
      <c r="R955" s="21" t="s">
        <v>329</v>
      </c>
      <c r="S955" s="119">
        <f>DATABASE_Table[[#This Row],[Inicial Asking Price (€) (Total)]]-DATABASE_Table[[#This Row],[Vista membership]]-DATABASE_Table[[#This Row],[FF&amp;E]]</f>
        <v>1237000</v>
      </c>
      <c r="T955" s="125">
        <v>1310000</v>
      </c>
      <c r="U955" s="124">
        <v>1380000</v>
      </c>
      <c r="V955" s="21">
        <v>50000</v>
      </c>
      <c r="W955" s="21">
        <v>23000</v>
      </c>
      <c r="X955" s="73">
        <f>DATABASE_Table[[#This Row],[Current Asking price( Total)]]-DATABASE_Table[[#This Row],[Vista membership]]-DATABASE_Table[[#This Row],[FF&amp;E]]</f>
        <v>1307000</v>
      </c>
      <c r="Y955" s="126"/>
      <c r="Z955" s="124">
        <v>1380000</v>
      </c>
      <c r="AA955" s="73">
        <f>DATABASE_Table[[#This Row],[Sell price (Total)]]-DATABASE_Table[[#This Row],[FF&amp;E]]-DATABASE_Table[[#This Row],[Vista membership]]</f>
        <v>1307000</v>
      </c>
      <c r="AB955" s="74">
        <v>46057</v>
      </c>
      <c r="AC955" s="74" t="str">
        <f t="shared" si="14"/>
        <v>Q1 2026</v>
      </c>
      <c r="AD955" s="123"/>
      <c r="AE955" s="69"/>
      <c r="AF955" s="21" t="s">
        <v>10</v>
      </c>
      <c r="AG955" s="21" t="s">
        <v>34</v>
      </c>
      <c r="AH955" s="122" t="s">
        <v>32</v>
      </c>
      <c r="AI955" s="122" t="s">
        <v>683</v>
      </c>
      <c r="AJ955" s="122" t="s">
        <v>49</v>
      </c>
      <c r="AK955" s="122" t="s">
        <v>50</v>
      </c>
      <c r="AL955" s="21" t="s">
        <v>51</v>
      </c>
      <c r="AM955" s="122" t="s">
        <v>48</v>
      </c>
    </row>
    <row r="956" spans="1:39" customFormat="1" ht="15.75" customHeight="1" x14ac:dyDescent="0.3">
      <c r="A956" t="s">
        <v>48</v>
      </c>
      <c r="B956" s="21" t="s">
        <v>565</v>
      </c>
      <c r="C956" s="21" t="s">
        <v>688</v>
      </c>
      <c r="D956" s="117" t="s">
        <v>725</v>
      </c>
      <c r="E956" s="21" t="s">
        <v>9</v>
      </c>
      <c r="F956" s="21" t="s">
        <v>319</v>
      </c>
      <c r="G956" s="21">
        <v>129.4</v>
      </c>
      <c r="H956" s="21"/>
      <c r="I956" s="117" t="s">
        <v>842</v>
      </c>
      <c r="J956" s="117" t="s">
        <v>325</v>
      </c>
      <c r="K956" s="118">
        <v>25.5</v>
      </c>
      <c r="L956" s="21"/>
      <c r="M956" s="21"/>
      <c r="N956" s="21"/>
      <c r="O956" s="21"/>
      <c r="P956" s="21">
        <v>103.9</v>
      </c>
      <c r="Q956" s="21"/>
      <c r="R956" s="21" t="s">
        <v>329</v>
      </c>
      <c r="S956" s="119">
        <f>DATABASE_Table[[#This Row],[Inicial Asking Price (€) (Total)]]-DATABASE_Table[[#This Row],[Vista membership]]-DATABASE_Table[[#This Row],[FF&amp;E]]</f>
        <v>1297000</v>
      </c>
      <c r="T956" s="125">
        <v>1370000</v>
      </c>
      <c r="U956" s="124">
        <v>1440000</v>
      </c>
      <c r="V956" s="21">
        <v>50000</v>
      </c>
      <c r="W956" s="21">
        <v>23000</v>
      </c>
      <c r="X956" s="73">
        <f>DATABASE_Table[[#This Row],[Current Asking price( Total)]]-DATABASE_Table[[#This Row],[Vista membership]]-DATABASE_Table[[#This Row],[FF&amp;E]]</f>
        <v>1367000</v>
      </c>
      <c r="Y956" s="126"/>
      <c r="Z956" s="124">
        <v>1440000</v>
      </c>
      <c r="AA956" s="73">
        <f>DATABASE_Table[[#This Row],[Sell price (Total)]]-DATABASE_Table[[#This Row],[FF&amp;E]]-DATABASE_Table[[#This Row],[Vista membership]]</f>
        <v>1367000</v>
      </c>
      <c r="AB956" s="74">
        <v>46057</v>
      </c>
      <c r="AC956" s="74" t="str">
        <f t="shared" si="14"/>
        <v>Q1 2026</v>
      </c>
      <c r="AD956" s="123"/>
      <c r="AE956" s="69"/>
      <c r="AF956" s="21" t="s">
        <v>10</v>
      </c>
      <c r="AG956" s="21" t="s">
        <v>34</v>
      </c>
      <c r="AH956" s="122" t="s">
        <v>32</v>
      </c>
      <c r="AI956" s="122" t="s">
        <v>683</v>
      </c>
      <c r="AJ956" s="122" t="s">
        <v>49</v>
      </c>
      <c r="AK956" s="122" t="s">
        <v>50</v>
      </c>
      <c r="AL956" s="21" t="s">
        <v>51</v>
      </c>
      <c r="AM956" s="122" t="s">
        <v>48</v>
      </c>
    </row>
    <row r="957" spans="1:39" customFormat="1" ht="15.75" customHeight="1" x14ac:dyDescent="0.3">
      <c r="A957" t="s">
        <v>48</v>
      </c>
      <c r="B957" s="21" t="s">
        <v>565</v>
      </c>
      <c r="C957" s="21" t="s">
        <v>688</v>
      </c>
      <c r="D957" s="117" t="s">
        <v>726</v>
      </c>
      <c r="E957" s="21" t="s">
        <v>9</v>
      </c>
      <c r="F957" s="21" t="s">
        <v>419</v>
      </c>
      <c r="G957" s="21">
        <v>80.900000000000006</v>
      </c>
      <c r="H957" s="21"/>
      <c r="I957" s="117" t="s">
        <v>842</v>
      </c>
      <c r="J957" s="117" t="s">
        <v>325</v>
      </c>
      <c r="K957" s="118">
        <v>18</v>
      </c>
      <c r="L957" s="21"/>
      <c r="M957" s="21"/>
      <c r="N957" s="21"/>
      <c r="O957" s="21"/>
      <c r="P957" s="21">
        <v>62.9</v>
      </c>
      <c r="Q957" s="21"/>
      <c r="R957" s="21" t="s">
        <v>329</v>
      </c>
      <c r="S957" s="119">
        <f>DATABASE_Table[[#This Row],[Inicial Asking Price (€) (Total)]]-DATABASE_Table[[#This Row],[Vista membership]]-DATABASE_Table[[#This Row],[FF&amp;E]]</f>
        <v>645000</v>
      </c>
      <c r="T957" s="125">
        <v>710000</v>
      </c>
      <c r="U957" s="124">
        <v>770000</v>
      </c>
      <c r="V957" s="21">
        <v>50000</v>
      </c>
      <c r="W957" s="21">
        <v>15000</v>
      </c>
      <c r="X957" s="73">
        <f>DATABASE_Table[[#This Row],[Current Asking price( Total)]]-DATABASE_Table[[#This Row],[Vista membership]]-DATABASE_Table[[#This Row],[FF&amp;E]]</f>
        <v>705000</v>
      </c>
      <c r="Y957" s="126"/>
      <c r="Z957" s="124">
        <v>770000</v>
      </c>
      <c r="AA957" s="73">
        <f>DATABASE_Table[[#This Row],[Sell price (Total)]]-DATABASE_Table[[#This Row],[FF&amp;E]]-DATABASE_Table[[#This Row],[Vista membership]]</f>
        <v>705000</v>
      </c>
      <c r="AB957" s="74">
        <v>46057</v>
      </c>
      <c r="AC957" s="74" t="str">
        <f t="shared" si="14"/>
        <v>Q1 2026</v>
      </c>
      <c r="AD957" s="123"/>
      <c r="AE957" s="69"/>
      <c r="AF957" s="21" t="s">
        <v>10</v>
      </c>
      <c r="AG957" s="21" t="s">
        <v>34</v>
      </c>
      <c r="AH957" s="122" t="s">
        <v>32</v>
      </c>
      <c r="AI957" s="122" t="s">
        <v>683</v>
      </c>
      <c r="AJ957" s="122" t="s">
        <v>49</v>
      </c>
      <c r="AK957" s="122" t="s">
        <v>50</v>
      </c>
      <c r="AL957" s="21" t="s">
        <v>51</v>
      </c>
      <c r="AM957" s="122" t="s">
        <v>48</v>
      </c>
    </row>
    <row r="958" spans="1:39" customFormat="1" ht="15.75" customHeight="1" x14ac:dyDescent="0.3">
      <c r="A958" t="s">
        <v>48</v>
      </c>
      <c r="B958" s="21" t="s">
        <v>565</v>
      </c>
      <c r="C958" s="21" t="s">
        <v>688</v>
      </c>
      <c r="D958" s="117" t="s">
        <v>727</v>
      </c>
      <c r="E958" s="21" t="s">
        <v>9</v>
      </c>
      <c r="F958" s="21" t="s">
        <v>419</v>
      </c>
      <c r="G958" s="21">
        <v>81.099999999999994</v>
      </c>
      <c r="H958" s="21"/>
      <c r="I958" s="117" t="s">
        <v>842</v>
      </c>
      <c r="J958" s="117" t="s">
        <v>325</v>
      </c>
      <c r="K958" s="118">
        <v>18</v>
      </c>
      <c r="L958" s="21"/>
      <c r="M958" s="21"/>
      <c r="N958" s="21"/>
      <c r="O958" s="21"/>
      <c r="P958" s="21">
        <v>63.1</v>
      </c>
      <c r="Q958" s="21"/>
      <c r="R958" s="21" t="s">
        <v>329</v>
      </c>
      <c r="S958" s="119">
        <f>DATABASE_Table[[#This Row],[Inicial Asking Price (€) (Total)]]-DATABASE_Table[[#This Row],[Vista membership]]-DATABASE_Table[[#This Row],[FF&amp;E]]</f>
        <v>685000</v>
      </c>
      <c r="T958" s="125">
        <v>750000</v>
      </c>
      <c r="U958" s="124">
        <v>810000</v>
      </c>
      <c r="V958" s="21">
        <v>50000</v>
      </c>
      <c r="W958" s="21">
        <v>15000</v>
      </c>
      <c r="X958" s="73">
        <f>DATABASE_Table[[#This Row],[Current Asking price( Total)]]-DATABASE_Table[[#This Row],[Vista membership]]-DATABASE_Table[[#This Row],[FF&amp;E]]</f>
        <v>745000</v>
      </c>
      <c r="Y958" s="126"/>
      <c r="Z958" s="124">
        <v>810000</v>
      </c>
      <c r="AA958" s="73">
        <f>DATABASE_Table[[#This Row],[Sell price (Total)]]-DATABASE_Table[[#This Row],[FF&amp;E]]-DATABASE_Table[[#This Row],[Vista membership]]</f>
        <v>745000</v>
      </c>
      <c r="AB958" s="74">
        <v>46057</v>
      </c>
      <c r="AC958" s="74" t="str">
        <f t="shared" si="14"/>
        <v>Q1 2026</v>
      </c>
      <c r="AD958" s="123"/>
      <c r="AE958" s="69"/>
      <c r="AF958" s="21" t="s">
        <v>10</v>
      </c>
      <c r="AG958" s="21" t="s">
        <v>34</v>
      </c>
      <c r="AH958" s="122" t="s">
        <v>32</v>
      </c>
      <c r="AI958" s="122" t="s">
        <v>683</v>
      </c>
      <c r="AJ958" s="122" t="s">
        <v>49</v>
      </c>
      <c r="AK958" s="122" t="s">
        <v>50</v>
      </c>
      <c r="AL958" s="21" t="s">
        <v>51</v>
      </c>
      <c r="AM958" s="122" t="s">
        <v>48</v>
      </c>
    </row>
    <row r="959" spans="1:39" customFormat="1" ht="15.75" customHeight="1" x14ac:dyDescent="0.3">
      <c r="A959" t="s">
        <v>48</v>
      </c>
      <c r="B959" s="21" t="s">
        <v>565</v>
      </c>
      <c r="C959" s="21" t="s">
        <v>688</v>
      </c>
      <c r="D959" s="117" t="s">
        <v>728</v>
      </c>
      <c r="E959" s="21" t="s">
        <v>9</v>
      </c>
      <c r="F959" s="21" t="s">
        <v>419</v>
      </c>
      <c r="G959" s="21">
        <v>81.099999999999994</v>
      </c>
      <c r="H959" s="21"/>
      <c r="I959" s="117" t="s">
        <v>842</v>
      </c>
      <c r="J959" s="117" t="s">
        <v>325</v>
      </c>
      <c r="K959" s="118">
        <v>18</v>
      </c>
      <c r="L959" s="21"/>
      <c r="M959" s="21"/>
      <c r="N959" s="21"/>
      <c r="O959" s="21"/>
      <c r="P959" s="21">
        <v>63.1</v>
      </c>
      <c r="Q959" s="21"/>
      <c r="R959" s="21" t="s">
        <v>329</v>
      </c>
      <c r="S959" s="119">
        <f>DATABASE_Table[[#This Row],[Inicial Asking Price (€) (Total)]]-DATABASE_Table[[#This Row],[Vista membership]]-DATABASE_Table[[#This Row],[FF&amp;E]]</f>
        <v>725000</v>
      </c>
      <c r="T959" s="125">
        <v>790000</v>
      </c>
      <c r="U959" s="124">
        <v>850000</v>
      </c>
      <c r="V959" s="21">
        <v>50000</v>
      </c>
      <c r="W959" s="21">
        <v>15000</v>
      </c>
      <c r="X959" s="73">
        <f>DATABASE_Table[[#This Row],[Current Asking price( Total)]]-DATABASE_Table[[#This Row],[Vista membership]]-DATABASE_Table[[#This Row],[FF&amp;E]]</f>
        <v>785000</v>
      </c>
      <c r="Y959" s="126"/>
      <c r="Z959" s="124">
        <v>850000</v>
      </c>
      <c r="AA959" s="73">
        <f>DATABASE_Table[[#This Row],[Sell price (Total)]]-DATABASE_Table[[#This Row],[FF&amp;E]]-DATABASE_Table[[#This Row],[Vista membership]]</f>
        <v>785000</v>
      </c>
      <c r="AB959" s="74">
        <v>46057</v>
      </c>
      <c r="AC959" s="74" t="str">
        <f t="shared" si="14"/>
        <v>Q1 2026</v>
      </c>
      <c r="AD959" s="123"/>
      <c r="AE959" s="69"/>
      <c r="AF959" s="21" t="s">
        <v>10</v>
      </c>
      <c r="AG959" s="21" t="s">
        <v>34</v>
      </c>
      <c r="AH959" s="122" t="s">
        <v>32</v>
      </c>
      <c r="AI959" s="122" t="s">
        <v>683</v>
      </c>
      <c r="AJ959" s="122" t="s">
        <v>49</v>
      </c>
      <c r="AK959" s="122" t="s">
        <v>50</v>
      </c>
      <c r="AL959" s="21" t="s">
        <v>51</v>
      </c>
      <c r="AM959" s="122" t="s">
        <v>48</v>
      </c>
    </row>
    <row r="960" spans="1:39" customFormat="1" ht="15.75" customHeight="1" x14ac:dyDescent="0.3">
      <c r="A960" t="s">
        <v>48</v>
      </c>
      <c r="B960" s="21" t="s">
        <v>565</v>
      </c>
      <c r="C960" s="21" t="s">
        <v>688</v>
      </c>
      <c r="D960" s="117" t="s">
        <v>729</v>
      </c>
      <c r="E960" s="21" t="s">
        <v>9</v>
      </c>
      <c r="F960" s="21" t="s">
        <v>419</v>
      </c>
      <c r="G960" s="21">
        <v>81.099999999999994</v>
      </c>
      <c r="H960" s="21"/>
      <c r="I960" s="117" t="s">
        <v>842</v>
      </c>
      <c r="J960" s="117" t="s">
        <v>325</v>
      </c>
      <c r="K960" s="118">
        <v>18</v>
      </c>
      <c r="L960" s="21"/>
      <c r="M960" s="21"/>
      <c r="N960" s="21"/>
      <c r="O960" s="21"/>
      <c r="P960" s="21">
        <v>63.1</v>
      </c>
      <c r="Q960" s="21"/>
      <c r="R960" s="21" t="s">
        <v>329</v>
      </c>
      <c r="S960" s="119">
        <f>DATABASE_Table[[#This Row],[Inicial Asking Price (€) (Total)]]-DATABASE_Table[[#This Row],[Vista membership]]-DATABASE_Table[[#This Row],[FF&amp;E]]</f>
        <v>775000</v>
      </c>
      <c r="T960" s="125">
        <v>840000</v>
      </c>
      <c r="U960" s="124">
        <v>900000</v>
      </c>
      <c r="V960" s="21">
        <v>50000</v>
      </c>
      <c r="W960" s="21">
        <v>15000</v>
      </c>
      <c r="X960" s="73">
        <f>DATABASE_Table[[#This Row],[Current Asking price( Total)]]-DATABASE_Table[[#This Row],[Vista membership]]-DATABASE_Table[[#This Row],[FF&amp;E]]</f>
        <v>835000</v>
      </c>
      <c r="Y960" s="126"/>
      <c r="Z960" s="124">
        <v>900000</v>
      </c>
      <c r="AA960" s="73">
        <f>DATABASE_Table[[#This Row],[Sell price (Total)]]-DATABASE_Table[[#This Row],[FF&amp;E]]-DATABASE_Table[[#This Row],[Vista membership]]</f>
        <v>835000</v>
      </c>
      <c r="AB960" s="74">
        <v>46057</v>
      </c>
      <c r="AC960" s="74" t="str">
        <f t="shared" si="14"/>
        <v>Q1 2026</v>
      </c>
      <c r="AD960" s="123"/>
      <c r="AE960" s="69"/>
      <c r="AF960" s="21" t="s">
        <v>10</v>
      </c>
      <c r="AG960" s="21" t="s">
        <v>34</v>
      </c>
      <c r="AH960" s="122" t="s">
        <v>32</v>
      </c>
      <c r="AI960" s="122" t="s">
        <v>683</v>
      </c>
      <c r="AJ960" s="122" t="s">
        <v>49</v>
      </c>
      <c r="AK960" s="122" t="s">
        <v>50</v>
      </c>
      <c r="AL960" s="21" t="s">
        <v>51</v>
      </c>
      <c r="AM960" s="122" t="s">
        <v>48</v>
      </c>
    </row>
    <row r="961" spans="1:39" customFormat="1" ht="15.75" customHeight="1" x14ac:dyDescent="0.3">
      <c r="A961" t="s">
        <v>48</v>
      </c>
      <c r="B961" s="21" t="s">
        <v>565</v>
      </c>
      <c r="C961" s="21" t="s">
        <v>688</v>
      </c>
      <c r="D961" s="117" t="s">
        <v>730</v>
      </c>
      <c r="E961" s="21" t="s">
        <v>9</v>
      </c>
      <c r="F961" s="21" t="s">
        <v>419</v>
      </c>
      <c r="G961" s="21">
        <v>83</v>
      </c>
      <c r="H961" s="21"/>
      <c r="I961" s="117" t="s">
        <v>842</v>
      </c>
      <c r="J961" s="117" t="s">
        <v>325</v>
      </c>
      <c r="K961" s="118">
        <v>18.7</v>
      </c>
      <c r="L961" s="21"/>
      <c r="M961" s="21"/>
      <c r="N961" s="21"/>
      <c r="O961" s="21"/>
      <c r="P961" s="21">
        <v>64.3</v>
      </c>
      <c r="Q961" s="21"/>
      <c r="R961" s="21" t="s">
        <v>329</v>
      </c>
      <c r="S961" s="119">
        <f>DATABASE_Table[[#This Row],[Inicial Asking Price (€) (Total)]]-DATABASE_Table[[#This Row],[Vista membership]]-DATABASE_Table[[#This Row],[FF&amp;E]]</f>
        <v>835000</v>
      </c>
      <c r="T961" s="125">
        <v>900000</v>
      </c>
      <c r="U961" s="124">
        <v>960000</v>
      </c>
      <c r="V961" s="21">
        <v>50000</v>
      </c>
      <c r="W961" s="21">
        <v>15000</v>
      </c>
      <c r="X961" s="73">
        <f>DATABASE_Table[[#This Row],[Current Asking price( Total)]]-DATABASE_Table[[#This Row],[Vista membership]]-DATABASE_Table[[#This Row],[FF&amp;E]]</f>
        <v>895000</v>
      </c>
      <c r="Y961" s="126"/>
      <c r="Z961" s="124">
        <v>960000</v>
      </c>
      <c r="AA961" s="73">
        <f>DATABASE_Table[[#This Row],[Sell price (Total)]]-DATABASE_Table[[#This Row],[FF&amp;E]]-DATABASE_Table[[#This Row],[Vista membership]]</f>
        <v>895000</v>
      </c>
      <c r="AB961" s="74">
        <v>46057</v>
      </c>
      <c r="AC961" s="74" t="str">
        <f t="shared" si="14"/>
        <v>Q1 2026</v>
      </c>
      <c r="AD961" s="123"/>
      <c r="AE961" s="69"/>
      <c r="AF961" s="21" t="s">
        <v>10</v>
      </c>
      <c r="AG961" s="21" t="s">
        <v>34</v>
      </c>
      <c r="AH961" s="122" t="s">
        <v>32</v>
      </c>
      <c r="AI961" s="122" t="s">
        <v>683</v>
      </c>
      <c r="AJ961" s="122" t="s">
        <v>49</v>
      </c>
      <c r="AK961" s="122" t="s">
        <v>50</v>
      </c>
      <c r="AL961" s="21" t="s">
        <v>51</v>
      </c>
      <c r="AM961" s="122" t="s">
        <v>48</v>
      </c>
    </row>
    <row r="962" spans="1:39" customFormat="1" ht="15.75" customHeight="1" x14ac:dyDescent="0.3">
      <c r="A962" t="s">
        <v>48</v>
      </c>
      <c r="B962" s="21" t="s">
        <v>565</v>
      </c>
      <c r="C962" s="21" t="s">
        <v>688</v>
      </c>
      <c r="D962" s="117" t="s">
        <v>845</v>
      </c>
      <c r="E962" s="21" t="s">
        <v>9</v>
      </c>
      <c r="F962" s="21" t="s">
        <v>319</v>
      </c>
      <c r="G962" s="21">
        <v>160.19999999999999</v>
      </c>
      <c r="H962" s="21"/>
      <c r="I962" s="117" t="s">
        <v>842</v>
      </c>
      <c r="J962" s="117" t="s">
        <v>325</v>
      </c>
      <c r="K962" s="118">
        <v>55.6</v>
      </c>
      <c r="L962" s="21"/>
      <c r="M962" s="21"/>
      <c r="N962" s="21"/>
      <c r="O962" s="21"/>
      <c r="P962" s="21">
        <v>104.6</v>
      </c>
      <c r="Q962" s="21"/>
      <c r="R962" s="21" t="s">
        <v>329</v>
      </c>
      <c r="S962" s="119">
        <f>DATABASE_Table[[#This Row],[Inicial Asking Price (€) (Total)]]-DATABASE_Table[[#This Row],[Vista membership]]-DATABASE_Table[[#This Row],[FF&amp;E]]</f>
        <v>847000</v>
      </c>
      <c r="T962" s="125">
        <v>920000</v>
      </c>
      <c r="U962" s="124">
        <v>980000</v>
      </c>
      <c r="V962" s="21">
        <v>50000</v>
      </c>
      <c r="W962" s="21">
        <v>23000</v>
      </c>
      <c r="X962" s="73">
        <f>DATABASE_Table[[#This Row],[Current Asking price( Total)]]-DATABASE_Table[[#This Row],[Vista membership]]-DATABASE_Table[[#This Row],[FF&amp;E]]</f>
        <v>907000</v>
      </c>
      <c r="Y962" s="126"/>
      <c r="Z962" s="124">
        <v>980000</v>
      </c>
      <c r="AA962" s="73">
        <f>DATABASE_Table[[#This Row],[Sell price (Total)]]-DATABASE_Table[[#This Row],[FF&amp;E]]-DATABASE_Table[[#This Row],[Vista membership]]</f>
        <v>907000</v>
      </c>
      <c r="AB962" s="74">
        <v>46057</v>
      </c>
      <c r="AC962" s="74" t="str">
        <f t="shared" ref="AC962:AC1025" si="15">IF(AB962="","TO LAUNCH","Q"&amp;ROUNDUP(MONTH(AB962)/3,0)&amp;" "&amp;YEAR(AB962))</f>
        <v>Q1 2026</v>
      </c>
      <c r="AD962" s="123"/>
      <c r="AE962" s="69"/>
      <c r="AF962" s="21" t="s">
        <v>10</v>
      </c>
      <c r="AG962" s="21" t="s">
        <v>34</v>
      </c>
      <c r="AH962" s="122" t="s">
        <v>32</v>
      </c>
      <c r="AI962" s="122" t="s">
        <v>683</v>
      </c>
      <c r="AJ962" s="122" t="s">
        <v>49</v>
      </c>
      <c r="AK962" s="122" t="s">
        <v>50</v>
      </c>
      <c r="AL962" s="21" t="s">
        <v>51</v>
      </c>
      <c r="AM962" s="122" t="s">
        <v>48</v>
      </c>
    </row>
    <row r="963" spans="1:39" customFormat="1" ht="15.75" customHeight="1" x14ac:dyDescent="0.3">
      <c r="A963" t="s">
        <v>48</v>
      </c>
      <c r="B963" s="21" t="s">
        <v>565</v>
      </c>
      <c r="C963" s="21" t="s">
        <v>688</v>
      </c>
      <c r="D963" s="117" t="s">
        <v>731</v>
      </c>
      <c r="E963" s="21" t="s">
        <v>9</v>
      </c>
      <c r="F963" s="21" t="s">
        <v>320</v>
      </c>
      <c r="G963" s="21">
        <v>183.9</v>
      </c>
      <c r="H963" s="21"/>
      <c r="I963" s="117" t="s">
        <v>842</v>
      </c>
      <c r="J963" s="117" t="s">
        <v>325</v>
      </c>
      <c r="K963" s="118">
        <v>34.299999999999997</v>
      </c>
      <c r="L963" s="21"/>
      <c r="M963" s="21"/>
      <c r="N963" s="21"/>
      <c r="O963" s="21"/>
      <c r="P963" s="21">
        <v>149.6</v>
      </c>
      <c r="Q963" s="21"/>
      <c r="R963" s="21" t="s">
        <v>329</v>
      </c>
      <c r="S963" s="119">
        <f>DATABASE_Table[[#This Row],[Inicial Asking Price (€) (Total)]]-DATABASE_Table[[#This Row],[Vista membership]]-DATABASE_Table[[#This Row],[FF&amp;E]]</f>
        <v>2190000</v>
      </c>
      <c r="T963" s="125">
        <v>2270000</v>
      </c>
      <c r="U963" s="124">
        <v>2350000</v>
      </c>
      <c r="V963" s="21">
        <v>50000</v>
      </c>
      <c r="W963" s="21">
        <v>30000</v>
      </c>
      <c r="X963" s="73">
        <f>DATABASE_Table[[#This Row],[Current Asking price( Total)]]-DATABASE_Table[[#This Row],[Vista membership]]-DATABASE_Table[[#This Row],[FF&amp;E]]</f>
        <v>2270000</v>
      </c>
      <c r="Y963" s="126"/>
      <c r="Z963" s="124">
        <v>2350000</v>
      </c>
      <c r="AA963" s="73">
        <f>DATABASE_Table[[#This Row],[Sell price (Total)]]-DATABASE_Table[[#This Row],[FF&amp;E]]-DATABASE_Table[[#This Row],[Vista membership]]</f>
        <v>2270000</v>
      </c>
      <c r="AB963" s="74">
        <v>46057</v>
      </c>
      <c r="AC963" s="74" t="str">
        <f t="shared" si="15"/>
        <v>Q1 2026</v>
      </c>
      <c r="AD963" s="123"/>
      <c r="AE963" s="69"/>
      <c r="AF963" s="21" t="s">
        <v>10</v>
      </c>
      <c r="AG963" s="21" t="s">
        <v>34</v>
      </c>
      <c r="AH963" s="122" t="s">
        <v>32</v>
      </c>
      <c r="AI963" s="122" t="s">
        <v>683</v>
      </c>
      <c r="AJ963" s="122" t="s">
        <v>49</v>
      </c>
      <c r="AK963" s="122" t="s">
        <v>50</v>
      </c>
      <c r="AL963" s="21" t="s">
        <v>51</v>
      </c>
      <c r="AM963" s="122" t="s">
        <v>48</v>
      </c>
    </row>
    <row r="964" spans="1:39" customFormat="1" ht="15.75" customHeight="1" x14ac:dyDescent="0.3">
      <c r="A964" t="s">
        <v>48</v>
      </c>
      <c r="B964" s="21" t="s">
        <v>565</v>
      </c>
      <c r="C964" s="21" t="s">
        <v>688</v>
      </c>
      <c r="D964" s="117" t="s">
        <v>732</v>
      </c>
      <c r="E964" s="21" t="s">
        <v>9</v>
      </c>
      <c r="F964" s="21" t="s">
        <v>319</v>
      </c>
      <c r="G964" s="21">
        <v>129.4</v>
      </c>
      <c r="H964" s="21"/>
      <c r="I964" s="117" t="s">
        <v>842</v>
      </c>
      <c r="J964" s="117" t="s">
        <v>325</v>
      </c>
      <c r="K964" s="118">
        <v>25.5</v>
      </c>
      <c r="L964" s="21"/>
      <c r="M964" s="21"/>
      <c r="N964" s="21"/>
      <c r="O964" s="21"/>
      <c r="P964" s="21">
        <v>103.9</v>
      </c>
      <c r="Q964" s="21"/>
      <c r="R964" s="21" t="s">
        <v>329</v>
      </c>
      <c r="S964" s="119">
        <f>DATABASE_Table[[#This Row],[Inicial Asking Price (€) (Total)]]-DATABASE_Table[[#This Row],[Vista membership]]-DATABASE_Table[[#This Row],[FF&amp;E]]</f>
        <v>1147000</v>
      </c>
      <c r="T964" s="125">
        <v>1220000</v>
      </c>
      <c r="U964" s="124">
        <v>1290000</v>
      </c>
      <c r="V964" s="21">
        <v>50000</v>
      </c>
      <c r="W964" s="21">
        <v>23000</v>
      </c>
      <c r="X964" s="73">
        <f>DATABASE_Table[[#This Row],[Current Asking price( Total)]]-DATABASE_Table[[#This Row],[Vista membership]]-DATABASE_Table[[#This Row],[FF&amp;E]]</f>
        <v>1217000</v>
      </c>
      <c r="Y964" s="126"/>
      <c r="Z964" s="124">
        <v>1290000</v>
      </c>
      <c r="AA964" s="73">
        <f>DATABASE_Table[[#This Row],[Sell price (Total)]]-DATABASE_Table[[#This Row],[FF&amp;E]]-DATABASE_Table[[#This Row],[Vista membership]]</f>
        <v>1217000</v>
      </c>
      <c r="AB964" s="74">
        <v>46057</v>
      </c>
      <c r="AC964" s="74" t="str">
        <f t="shared" si="15"/>
        <v>Q1 2026</v>
      </c>
      <c r="AD964" s="123"/>
      <c r="AE964" s="69"/>
      <c r="AF964" s="21" t="s">
        <v>10</v>
      </c>
      <c r="AG964" s="21" t="s">
        <v>34</v>
      </c>
      <c r="AH964" s="122" t="s">
        <v>32</v>
      </c>
      <c r="AI964" s="122" t="s">
        <v>683</v>
      </c>
      <c r="AJ964" s="122" t="s">
        <v>49</v>
      </c>
      <c r="AK964" s="122" t="s">
        <v>50</v>
      </c>
      <c r="AL964" s="21" t="s">
        <v>51</v>
      </c>
      <c r="AM964" s="122" t="s">
        <v>48</v>
      </c>
    </row>
    <row r="965" spans="1:39" customFormat="1" ht="15.75" customHeight="1" x14ac:dyDescent="0.3">
      <c r="A965" t="s">
        <v>48</v>
      </c>
      <c r="B965" s="21" t="s">
        <v>565</v>
      </c>
      <c r="C965" s="21" t="s">
        <v>688</v>
      </c>
      <c r="D965" s="117" t="s">
        <v>733</v>
      </c>
      <c r="E965" s="21" t="s">
        <v>9</v>
      </c>
      <c r="F965" s="21" t="s">
        <v>319</v>
      </c>
      <c r="G965" s="21">
        <v>129.4</v>
      </c>
      <c r="H965" s="21"/>
      <c r="I965" s="117" t="s">
        <v>842</v>
      </c>
      <c r="J965" s="117" t="s">
        <v>325</v>
      </c>
      <c r="K965" s="118">
        <v>25.5</v>
      </c>
      <c r="L965" s="21"/>
      <c r="M965" s="21"/>
      <c r="N965" s="21"/>
      <c r="O965" s="21"/>
      <c r="P965" s="21">
        <v>103.9</v>
      </c>
      <c r="Q965" s="21"/>
      <c r="R965" s="21" t="s">
        <v>329</v>
      </c>
      <c r="S965" s="119">
        <f>DATABASE_Table[[#This Row],[Inicial Asking Price (€) (Total)]]-DATABASE_Table[[#This Row],[Vista membership]]-DATABASE_Table[[#This Row],[FF&amp;E]]</f>
        <v>1067000</v>
      </c>
      <c r="T965" s="125">
        <v>1140000</v>
      </c>
      <c r="U965" s="124">
        <v>1210000</v>
      </c>
      <c r="V965" s="21">
        <v>50000</v>
      </c>
      <c r="W965" s="21">
        <v>23000</v>
      </c>
      <c r="X965" s="73">
        <f>DATABASE_Table[[#This Row],[Current Asking price( Total)]]-DATABASE_Table[[#This Row],[Vista membership]]-DATABASE_Table[[#This Row],[FF&amp;E]]</f>
        <v>1137000</v>
      </c>
      <c r="Y965" s="126"/>
      <c r="Z965" s="124">
        <v>1210000</v>
      </c>
      <c r="AA965" s="73">
        <f>DATABASE_Table[[#This Row],[Sell price (Total)]]-DATABASE_Table[[#This Row],[FF&amp;E]]-DATABASE_Table[[#This Row],[Vista membership]]</f>
        <v>1137000</v>
      </c>
      <c r="AB965" s="74">
        <v>46057</v>
      </c>
      <c r="AC965" s="74" t="str">
        <f t="shared" si="15"/>
        <v>Q1 2026</v>
      </c>
      <c r="AD965" s="123"/>
      <c r="AE965" s="69"/>
      <c r="AF965" s="21" t="s">
        <v>10</v>
      </c>
      <c r="AG965" s="21" t="s">
        <v>34</v>
      </c>
      <c r="AH965" s="122" t="s">
        <v>32</v>
      </c>
      <c r="AI965" s="122" t="s">
        <v>683</v>
      </c>
      <c r="AJ965" s="122" t="s">
        <v>49</v>
      </c>
      <c r="AK965" s="122" t="s">
        <v>50</v>
      </c>
      <c r="AL965" s="21" t="s">
        <v>51</v>
      </c>
      <c r="AM965" s="122" t="s">
        <v>48</v>
      </c>
    </row>
    <row r="966" spans="1:39" customFormat="1" ht="15.75" customHeight="1" x14ac:dyDescent="0.3">
      <c r="A966" t="s">
        <v>48</v>
      </c>
      <c r="B966" s="21" t="s">
        <v>565</v>
      </c>
      <c r="C966" s="21" t="s">
        <v>688</v>
      </c>
      <c r="D966" s="117" t="s">
        <v>734</v>
      </c>
      <c r="E966" s="21" t="s">
        <v>9</v>
      </c>
      <c r="F966" s="21" t="s">
        <v>319</v>
      </c>
      <c r="G966" s="21">
        <v>130</v>
      </c>
      <c r="H966" s="21"/>
      <c r="I966" s="117" t="s">
        <v>842</v>
      </c>
      <c r="J966" s="117" t="s">
        <v>325</v>
      </c>
      <c r="K966" s="118">
        <v>25.4</v>
      </c>
      <c r="L966" s="21"/>
      <c r="M966" s="21"/>
      <c r="N966" s="21"/>
      <c r="O966" s="21"/>
      <c r="P966" s="21">
        <v>104.6</v>
      </c>
      <c r="Q966" s="21"/>
      <c r="R966" s="21" t="s">
        <v>329</v>
      </c>
      <c r="S966" s="119">
        <f>DATABASE_Table[[#This Row],[Inicial Asking Price (€) (Total)]]-DATABASE_Table[[#This Row],[Vista membership]]-DATABASE_Table[[#This Row],[FF&amp;E]]</f>
        <v>977000</v>
      </c>
      <c r="T966" s="125">
        <v>1050000</v>
      </c>
      <c r="U966" s="124">
        <v>1120000</v>
      </c>
      <c r="V966" s="21">
        <v>50000</v>
      </c>
      <c r="W966" s="21">
        <v>23000</v>
      </c>
      <c r="X966" s="73">
        <f>DATABASE_Table[[#This Row],[Current Asking price( Total)]]-DATABASE_Table[[#This Row],[Vista membership]]-DATABASE_Table[[#This Row],[FF&amp;E]]</f>
        <v>1047000</v>
      </c>
      <c r="Y966" s="126"/>
      <c r="Z966" s="124">
        <v>1120000</v>
      </c>
      <c r="AA966" s="73">
        <f>DATABASE_Table[[#This Row],[Sell price (Total)]]-DATABASE_Table[[#This Row],[FF&amp;E]]-DATABASE_Table[[#This Row],[Vista membership]]</f>
        <v>1047000</v>
      </c>
      <c r="AB966" s="74">
        <v>46057</v>
      </c>
      <c r="AC966" s="74" t="str">
        <f t="shared" si="15"/>
        <v>Q1 2026</v>
      </c>
      <c r="AD966" s="123"/>
      <c r="AE966" s="69"/>
      <c r="AF966" s="21" t="s">
        <v>10</v>
      </c>
      <c r="AG966" s="21" t="s">
        <v>34</v>
      </c>
      <c r="AH966" s="122" t="s">
        <v>32</v>
      </c>
      <c r="AI966" s="122" t="s">
        <v>683</v>
      </c>
      <c r="AJ966" s="122" t="s">
        <v>49</v>
      </c>
      <c r="AK966" s="122" t="s">
        <v>50</v>
      </c>
      <c r="AL966" s="21" t="s">
        <v>51</v>
      </c>
      <c r="AM966" s="122" t="s">
        <v>48</v>
      </c>
    </row>
    <row r="967" spans="1:39" customFormat="1" ht="15.75" customHeight="1" x14ac:dyDescent="0.3">
      <c r="A967" t="s">
        <v>48</v>
      </c>
      <c r="B967" s="21" t="s">
        <v>565</v>
      </c>
      <c r="C967" s="21" t="s">
        <v>688</v>
      </c>
      <c r="D967" s="117" t="s">
        <v>735</v>
      </c>
      <c r="E967" s="21" t="s">
        <v>9</v>
      </c>
      <c r="F967" s="21" t="s">
        <v>319</v>
      </c>
      <c r="G967" s="21">
        <v>130.1</v>
      </c>
      <c r="H967" s="21"/>
      <c r="I967" s="117" t="s">
        <v>842</v>
      </c>
      <c r="J967" s="117" t="s">
        <v>325</v>
      </c>
      <c r="K967" s="118">
        <v>25.5</v>
      </c>
      <c r="L967" s="21"/>
      <c r="M967" s="21"/>
      <c r="N967" s="21"/>
      <c r="O967" s="21"/>
      <c r="P967" s="21">
        <v>104.6</v>
      </c>
      <c r="Q967" s="21"/>
      <c r="R967" s="21" t="s">
        <v>329</v>
      </c>
      <c r="S967" s="119">
        <f>DATABASE_Table[[#This Row],[Inicial Asking Price (€) (Total)]]-DATABASE_Table[[#This Row],[Vista membership]]-DATABASE_Table[[#This Row],[FF&amp;E]]</f>
        <v>1057000</v>
      </c>
      <c r="T967" s="125">
        <v>1130000</v>
      </c>
      <c r="U967" s="124">
        <v>1200000</v>
      </c>
      <c r="V967" s="21">
        <v>50000</v>
      </c>
      <c r="W967" s="21">
        <v>23000</v>
      </c>
      <c r="X967" s="73">
        <f>DATABASE_Table[[#This Row],[Current Asking price( Total)]]-DATABASE_Table[[#This Row],[Vista membership]]-DATABASE_Table[[#This Row],[FF&amp;E]]</f>
        <v>1127000</v>
      </c>
      <c r="Y967" s="126"/>
      <c r="Z967" s="124">
        <v>1200000</v>
      </c>
      <c r="AA967" s="73">
        <f>DATABASE_Table[[#This Row],[Sell price (Total)]]-DATABASE_Table[[#This Row],[FF&amp;E]]-DATABASE_Table[[#This Row],[Vista membership]]</f>
        <v>1127000</v>
      </c>
      <c r="AB967" s="74">
        <v>46057</v>
      </c>
      <c r="AC967" s="74" t="str">
        <f t="shared" si="15"/>
        <v>Q1 2026</v>
      </c>
      <c r="AD967" s="123"/>
      <c r="AE967" s="69"/>
      <c r="AF967" s="21" t="s">
        <v>10</v>
      </c>
      <c r="AG967" s="21" t="s">
        <v>34</v>
      </c>
      <c r="AH967" s="122" t="s">
        <v>32</v>
      </c>
      <c r="AI967" s="122" t="s">
        <v>683</v>
      </c>
      <c r="AJ967" s="122" t="s">
        <v>49</v>
      </c>
      <c r="AK967" s="122" t="s">
        <v>50</v>
      </c>
      <c r="AL967" s="21" t="s">
        <v>51</v>
      </c>
      <c r="AM967" s="122" t="s">
        <v>48</v>
      </c>
    </row>
    <row r="968" spans="1:39" customFormat="1" ht="15.75" customHeight="1" x14ac:dyDescent="0.3">
      <c r="A968" t="s">
        <v>48</v>
      </c>
      <c r="B968" s="21" t="s">
        <v>565</v>
      </c>
      <c r="C968" s="21" t="s">
        <v>688</v>
      </c>
      <c r="D968" s="117" t="s">
        <v>736</v>
      </c>
      <c r="E968" s="21" t="s">
        <v>9</v>
      </c>
      <c r="F968" s="21" t="s">
        <v>319</v>
      </c>
      <c r="G968" s="21">
        <v>129.4</v>
      </c>
      <c r="H968" s="21"/>
      <c r="I968" s="117" t="s">
        <v>842</v>
      </c>
      <c r="J968" s="117" t="s">
        <v>325</v>
      </c>
      <c r="K968" s="118">
        <v>25.5</v>
      </c>
      <c r="L968" s="21"/>
      <c r="M968" s="21"/>
      <c r="N968" s="21"/>
      <c r="O968" s="21"/>
      <c r="P968" s="21">
        <v>103.9</v>
      </c>
      <c r="Q968" s="21"/>
      <c r="R968" s="21" t="s">
        <v>329</v>
      </c>
      <c r="S968" s="119">
        <f>DATABASE_Table[[#This Row],[Inicial Asking Price (€) (Total)]]-DATABASE_Table[[#This Row],[Vista membership]]-DATABASE_Table[[#This Row],[FF&amp;E]]</f>
        <v>1147000</v>
      </c>
      <c r="T968" s="125">
        <v>1220000</v>
      </c>
      <c r="U968" s="124">
        <v>1290000</v>
      </c>
      <c r="V968" s="21">
        <v>50000</v>
      </c>
      <c r="W968" s="21">
        <v>23000</v>
      </c>
      <c r="X968" s="73">
        <f>DATABASE_Table[[#This Row],[Current Asking price( Total)]]-DATABASE_Table[[#This Row],[Vista membership]]-DATABASE_Table[[#This Row],[FF&amp;E]]</f>
        <v>1217000</v>
      </c>
      <c r="Y968" s="126"/>
      <c r="Z968" s="124">
        <v>1290000</v>
      </c>
      <c r="AA968" s="73">
        <f>DATABASE_Table[[#This Row],[Sell price (Total)]]-DATABASE_Table[[#This Row],[FF&amp;E]]-DATABASE_Table[[#This Row],[Vista membership]]</f>
        <v>1217000</v>
      </c>
      <c r="AB968" s="74">
        <v>46057</v>
      </c>
      <c r="AC968" s="74" t="str">
        <f t="shared" si="15"/>
        <v>Q1 2026</v>
      </c>
      <c r="AD968" s="123"/>
      <c r="AE968" s="69"/>
      <c r="AF968" s="21" t="s">
        <v>10</v>
      </c>
      <c r="AG968" s="21" t="s">
        <v>34</v>
      </c>
      <c r="AH968" s="122" t="s">
        <v>32</v>
      </c>
      <c r="AI968" s="122" t="s">
        <v>683</v>
      </c>
      <c r="AJ968" s="122" t="s">
        <v>49</v>
      </c>
      <c r="AK968" s="122" t="s">
        <v>50</v>
      </c>
      <c r="AL968" s="21" t="s">
        <v>51</v>
      </c>
      <c r="AM968" s="122" t="s">
        <v>48</v>
      </c>
    </row>
    <row r="969" spans="1:39" customFormat="1" ht="15.75" customHeight="1" x14ac:dyDescent="0.3">
      <c r="A969" t="s">
        <v>48</v>
      </c>
      <c r="B969" s="21" t="s">
        <v>565</v>
      </c>
      <c r="C969" s="21" t="s">
        <v>688</v>
      </c>
      <c r="D969" s="117" t="s">
        <v>737</v>
      </c>
      <c r="E969" s="21" t="s">
        <v>9</v>
      </c>
      <c r="F969" s="21" t="s">
        <v>319</v>
      </c>
      <c r="G969" s="21">
        <v>129.4</v>
      </c>
      <c r="H969" s="21"/>
      <c r="I969" s="117" t="s">
        <v>842</v>
      </c>
      <c r="J969" s="117" t="s">
        <v>325</v>
      </c>
      <c r="K969" s="118">
        <v>25.5</v>
      </c>
      <c r="L969" s="21"/>
      <c r="M969" s="21"/>
      <c r="N969" s="21"/>
      <c r="O969" s="21"/>
      <c r="P969" s="21">
        <v>103.9</v>
      </c>
      <c r="Q969" s="21"/>
      <c r="R969" s="21" t="s">
        <v>329</v>
      </c>
      <c r="S969" s="119">
        <f>DATABASE_Table[[#This Row],[Inicial Asking Price (€) (Total)]]-DATABASE_Table[[#This Row],[Vista membership]]-DATABASE_Table[[#This Row],[FF&amp;E]]</f>
        <v>1227000</v>
      </c>
      <c r="T969" s="125">
        <v>1300000</v>
      </c>
      <c r="U969" s="124">
        <v>1370000</v>
      </c>
      <c r="V969" s="21">
        <v>50000</v>
      </c>
      <c r="W969" s="21">
        <v>23000</v>
      </c>
      <c r="X969" s="73">
        <f>DATABASE_Table[[#This Row],[Current Asking price( Total)]]-DATABASE_Table[[#This Row],[Vista membership]]-DATABASE_Table[[#This Row],[FF&amp;E]]</f>
        <v>1297000</v>
      </c>
      <c r="Y969" s="126"/>
      <c r="Z969" s="124">
        <v>1370000</v>
      </c>
      <c r="AA969" s="73">
        <f>DATABASE_Table[[#This Row],[Sell price (Total)]]-DATABASE_Table[[#This Row],[FF&amp;E]]-DATABASE_Table[[#This Row],[Vista membership]]</f>
        <v>1297000</v>
      </c>
      <c r="AB969" s="74">
        <v>46057</v>
      </c>
      <c r="AC969" s="74" t="str">
        <f t="shared" si="15"/>
        <v>Q1 2026</v>
      </c>
      <c r="AD969" s="123"/>
      <c r="AE969" s="69"/>
      <c r="AF969" s="21" t="s">
        <v>10</v>
      </c>
      <c r="AG969" s="21" t="s">
        <v>34</v>
      </c>
      <c r="AH969" s="122" t="s">
        <v>32</v>
      </c>
      <c r="AI969" s="122" t="s">
        <v>683</v>
      </c>
      <c r="AJ969" s="122" t="s">
        <v>49</v>
      </c>
      <c r="AK969" s="122" t="s">
        <v>50</v>
      </c>
      <c r="AL969" s="21" t="s">
        <v>51</v>
      </c>
      <c r="AM969" s="122" t="s">
        <v>48</v>
      </c>
    </row>
    <row r="970" spans="1:39" customFormat="1" ht="15.75" customHeight="1" x14ac:dyDescent="0.3">
      <c r="A970" t="s">
        <v>48</v>
      </c>
      <c r="B970" s="21" t="s">
        <v>565</v>
      </c>
      <c r="C970" s="21" t="s">
        <v>688</v>
      </c>
      <c r="D970" s="117" t="s">
        <v>738</v>
      </c>
      <c r="E970" s="21" t="s">
        <v>9</v>
      </c>
      <c r="F970" s="21" t="s">
        <v>319</v>
      </c>
      <c r="G970" s="21">
        <v>129.4</v>
      </c>
      <c r="H970" s="21"/>
      <c r="I970" s="117" t="s">
        <v>842</v>
      </c>
      <c r="J970" s="117" t="s">
        <v>325</v>
      </c>
      <c r="K970" s="118">
        <v>25.5</v>
      </c>
      <c r="L970" s="21"/>
      <c r="M970" s="21"/>
      <c r="N970" s="21"/>
      <c r="O970" s="21"/>
      <c r="P970" s="21">
        <v>103.9</v>
      </c>
      <c r="Q970" s="21"/>
      <c r="R970" s="21" t="s">
        <v>329</v>
      </c>
      <c r="S970" s="119">
        <f>DATABASE_Table[[#This Row],[Inicial Asking Price (€) (Total)]]-DATABASE_Table[[#This Row],[Vista membership]]-DATABASE_Table[[#This Row],[FF&amp;E]]</f>
        <v>1287000</v>
      </c>
      <c r="T970" s="125">
        <v>1360000</v>
      </c>
      <c r="U970" s="124">
        <v>1430000</v>
      </c>
      <c r="V970" s="21">
        <v>50000</v>
      </c>
      <c r="W970" s="21">
        <v>23000</v>
      </c>
      <c r="X970" s="73">
        <f>DATABASE_Table[[#This Row],[Current Asking price( Total)]]-DATABASE_Table[[#This Row],[Vista membership]]-DATABASE_Table[[#This Row],[FF&amp;E]]</f>
        <v>1357000</v>
      </c>
      <c r="Y970" s="126"/>
      <c r="Z970" s="124">
        <v>1430000</v>
      </c>
      <c r="AA970" s="73">
        <f>DATABASE_Table[[#This Row],[Sell price (Total)]]-DATABASE_Table[[#This Row],[FF&amp;E]]-DATABASE_Table[[#This Row],[Vista membership]]</f>
        <v>1357000</v>
      </c>
      <c r="AB970" s="74">
        <v>46057</v>
      </c>
      <c r="AC970" s="74" t="str">
        <f t="shared" si="15"/>
        <v>Q1 2026</v>
      </c>
      <c r="AD970" s="123"/>
      <c r="AE970" s="69"/>
      <c r="AF970" s="21" t="s">
        <v>10</v>
      </c>
      <c r="AG970" s="21" t="s">
        <v>34</v>
      </c>
      <c r="AH970" s="122" t="s">
        <v>32</v>
      </c>
      <c r="AI970" s="122" t="s">
        <v>683</v>
      </c>
      <c r="AJ970" s="122" t="s">
        <v>49</v>
      </c>
      <c r="AK970" s="122" t="s">
        <v>50</v>
      </c>
      <c r="AL970" s="21" t="s">
        <v>51</v>
      </c>
      <c r="AM970" s="122" t="s">
        <v>48</v>
      </c>
    </row>
    <row r="971" spans="1:39" customFormat="1" ht="15.75" customHeight="1" x14ac:dyDescent="0.3">
      <c r="A971" t="s">
        <v>48</v>
      </c>
      <c r="B971" s="21" t="s">
        <v>565</v>
      </c>
      <c r="C971" s="21" t="s">
        <v>688</v>
      </c>
      <c r="D971" s="117" t="s">
        <v>739</v>
      </c>
      <c r="E971" s="21" t="s">
        <v>9</v>
      </c>
      <c r="F971" s="21" t="s">
        <v>319</v>
      </c>
      <c r="G971" s="21">
        <v>129.4</v>
      </c>
      <c r="H971" s="21"/>
      <c r="I971" s="117" t="s">
        <v>842</v>
      </c>
      <c r="J971" s="117" t="s">
        <v>325</v>
      </c>
      <c r="K971" s="118">
        <v>25.5</v>
      </c>
      <c r="L971" s="21"/>
      <c r="M971" s="21"/>
      <c r="N971" s="21"/>
      <c r="O971" s="21"/>
      <c r="P971" s="21">
        <v>103.9</v>
      </c>
      <c r="Q971" s="21"/>
      <c r="R971" s="21" t="s">
        <v>329</v>
      </c>
      <c r="S971" s="119">
        <f>DATABASE_Table[[#This Row],[Inicial Asking Price (€) (Total)]]-DATABASE_Table[[#This Row],[Vista membership]]-DATABASE_Table[[#This Row],[FF&amp;E]]</f>
        <v>1337000</v>
      </c>
      <c r="T971" s="125">
        <v>1410000</v>
      </c>
      <c r="U971" s="124">
        <v>1480000</v>
      </c>
      <c r="V971" s="21">
        <v>50000</v>
      </c>
      <c r="W971" s="21">
        <v>23000</v>
      </c>
      <c r="X971" s="73">
        <f>DATABASE_Table[[#This Row],[Current Asking price( Total)]]-DATABASE_Table[[#This Row],[Vista membership]]-DATABASE_Table[[#This Row],[FF&amp;E]]</f>
        <v>1407000</v>
      </c>
      <c r="Y971" s="126"/>
      <c r="Z971" s="124">
        <v>1480000</v>
      </c>
      <c r="AA971" s="73">
        <f>DATABASE_Table[[#This Row],[Sell price (Total)]]-DATABASE_Table[[#This Row],[FF&amp;E]]-DATABASE_Table[[#This Row],[Vista membership]]</f>
        <v>1407000</v>
      </c>
      <c r="AB971" s="74">
        <v>46057</v>
      </c>
      <c r="AC971" s="74" t="str">
        <f t="shared" si="15"/>
        <v>Q1 2026</v>
      </c>
      <c r="AD971" s="123"/>
      <c r="AE971" s="69"/>
      <c r="AF971" s="21" t="s">
        <v>10</v>
      </c>
      <c r="AG971" s="21" t="s">
        <v>34</v>
      </c>
      <c r="AH971" s="122" t="s">
        <v>32</v>
      </c>
      <c r="AI971" s="122" t="s">
        <v>683</v>
      </c>
      <c r="AJ971" s="122" t="s">
        <v>49</v>
      </c>
      <c r="AK971" s="122" t="s">
        <v>50</v>
      </c>
      <c r="AL971" s="21" t="s">
        <v>51</v>
      </c>
      <c r="AM971" s="122" t="s">
        <v>48</v>
      </c>
    </row>
    <row r="972" spans="1:39" customFormat="1" ht="15.75" customHeight="1" x14ac:dyDescent="0.3">
      <c r="A972" t="s">
        <v>48</v>
      </c>
      <c r="B972" s="21" t="s">
        <v>565</v>
      </c>
      <c r="C972" s="21" t="s">
        <v>688</v>
      </c>
      <c r="D972" s="117" t="s">
        <v>856</v>
      </c>
      <c r="E972" s="21" t="s">
        <v>9</v>
      </c>
      <c r="F972" s="21" t="s">
        <v>421</v>
      </c>
      <c r="G972" s="21">
        <v>406.3</v>
      </c>
      <c r="H972" s="21"/>
      <c r="I972" s="117" t="s">
        <v>842</v>
      </c>
      <c r="J972" s="117" t="s">
        <v>325</v>
      </c>
      <c r="K972" s="118">
        <v>154.19999999999999</v>
      </c>
      <c r="L972" s="21"/>
      <c r="M972" s="21"/>
      <c r="N972" s="21"/>
      <c r="O972" s="21"/>
      <c r="P972" s="21">
        <v>252.1</v>
      </c>
      <c r="Q972" s="21"/>
      <c r="R972" s="21" t="s">
        <v>329</v>
      </c>
      <c r="S972" s="119">
        <f>DATABASE_Table[[#This Row],[Inicial Asking Price (€) (Total)]]-DATABASE_Table[[#This Row],[Vista membership]]-DATABASE_Table[[#This Row],[FF&amp;E]]</f>
        <v>4508000</v>
      </c>
      <c r="T972" s="125">
        <v>4620000</v>
      </c>
      <c r="U972" s="124">
        <v>4750000</v>
      </c>
      <c r="V972" s="21">
        <v>60000</v>
      </c>
      <c r="W972" s="21">
        <v>52000</v>
      </c>
      <c r="X972" s="73">
        <f>DATABASE_Table[[#This Row],[Current Asking price( Total)]]-DATABASE_Table[[#This Row],[Vista membership]]-DATABASE_Table[[#This Row],[FF&amp;E]]</f>
        <v>4638000</v>
      </c>
      <c r="Y972" s="126"/>
      <c r="Z972" s="124">
        <v>4750000</v>
      </c>
      <c r="AA972" s="73">
        <f>DATABASE_Table[[#This Row],[Sell price (Total)]]-DATABASE_Table[[#This Row],[FF&amp;E]]-DATABASE_Table[[#This Row],[Vista membership]]</f>
        <v>4638000</v>
      </c>
      <c r="AB972" s="74">
        <v>46057</v>
      </c>
      <c r="AC972" s="74" t="str">
        <f t="shared" si="15"/>
        <v>Q1 2026</v>
      </c>
      <c r="AD972" s="123"/>
      <c r="AE972" s="69"/>
      <c r="AF972" s="21" t="s">
        <v>10</v>
      </c>
      <c r="AG972" s="21" t="s">
        <v>34</v>
      </c>
      <c r="AH972" s="122" t="s">
        <v>32</v>
      </c>
      <c r="AI972" s="122" t="s">
        <v>683</v>
      </c>
      <c r="AJ972" s="122" t="s">
        <v>49</v>
      </c>
      <c r="AK972" s="122" t="s">
        <v>50</v>
      </c>
      <c r="AL972" s="21" t="s">
        <v>51</v>
      </c>
      <c r="AM972" s="122" t="s">
        <v>48</v>
      </c>
    </row>
    <row r="973" spans="1:39" customFormat="1" ht="15.75" customHeight="1" x14ac:dyDescent="0.3">
      <c r="A973" t="s">
        <v>48</v>
      </c>
      <c r="B973" s="21" t="s">
        <v>565</v>
      </c>
      <c r="C973" s="21" t="s">
        <v>688</v>
      </c>
      <c r="D973" s="117" t="s">
        <v>740</v>
      </c>
      <c r="E973" s="21" t="s">
        <v>9</v>
      </c>
      <c r="F973" s="21" t="s">
        <v>419</v>
      </c>
      <c r="G973" s="21">
        <v>80.900000000000006</v>
      </c>
      <c r="H973" s="21"/>
      <c r="I973" s="117" t="s">
        <v>842</v>
      </c>
      <c r="J973" s="117" t="s">
        <v>325</v>
      </c>
      <c r="K973" s="118">
        <v>18</v>
      </c>
      <c r="L973" s="21"/>
      <c r="M973" s="21"/>
      <c r="N973" s="21"/>
      <c r="O973" s="21"/>
      <c r="P973" s="21">
        <v>62.9</v>
      </c>
      <c r="Q973" s="21"/>
      <c r="R973" s="21" t="s">
        <v>329</v>
      </c>
      <c r="S973" s="119">
        <f>DATABASE_Table[[#This Row],[Inicial Asking Price (€) (Total)]]-DATABASE_Table[[#This Row],[Vista membership]]-DATABASE_Table[[#This Row],[FF&amp;E]]</f>
        <v>685000</v>
      </c>
      <c r="T973" s="125">
        <v>750000</v>
      </c>
      <c r="U973" s="124">
        <v>810000</v>
      </c>
      <c r="V973" s="21">
        <v>50000</v>
      </c>
      <c r="W973" s="21">
        <v>15000</v>
      </c>
      <c r="X973" s="73">
        <f>DATABASE_Table[[#This Row],[Current Asking price( Total)]]-DATABASE_Table[[#This Row],[Vista membership]]-DATABASE_Table[[#This Row],[FF&amp;E]]</f>
        <v>745000</v>
      </c>
      <c r="Y973" s="126"/>
      <c r="Z973" s="124">
        <v>810000</v>
      </c>
      <c r="AA973" s="73">
        <f>DATABASE_Table[[#This Row],[Sell price (Total)]]-DATABASE_Table[[#This Row],[FF&amp;E]]-DATABASE_Table[[#This Row],[Vista membership]]</f>
        <v>745000</v>
      </c>
      <c r="AB973" s="74">
        <v>46057</v>
      </c>
      <c r="AC973" s="74" t="str">
        <f t="shared" si="15"/>
        <v>Q1 2026</v>
      </c>
      <c r="AD973" s="123"/>
      <c r="AE973" s="69"/>
      <c r="AF973" s="21" t="s">
        <v>10</v>
      </c>
      <c r="AG973" s="21" t="s">
        <v>34</v>
      </c>
      <c r="AH973" s="122" t="s">
        <v>32</v>
      </c>
      <c r="AI973" s="122" t="s">
        <v>683</v>
      </c>
      <c r="AJ973" s="122" t="s">
        <v>49</v>
      </c>
      <c r="AK973" s="122" t="s">
        <v>50</v>
      </c>
      <c r="AL973" s="21" t="s">
        <v>51</v>
      </c>
      <c r="AM973" s="122" t="s">
        <v>48</v>
      </c>
    </row>
    <row r="974" spans="1:39" customFormat="1" ht="15.75" customHeight="1" x14ac:dyDescent="0.3">
      <c r="A974" t="s">
        <v>48</v>
      </c>
      <c r="B974" s="21" t="s">
        <v>565</v>
      </c>
      <c r="C974" s="21" t="s">
        <v>688</v>
      </c>
      <c r="D974" s="117" t="s">
        <v>741</v>
      </c>
      <c r="E974" s="21" t="s">
        <v>9</v>
      </c>
      <c r="F974" s="21" t="s">
        <v>419</v>
      </c>
      <c r="G974" s="21">
        <v>81.099999999999994</v>
      </c>
      <c r="H974" s="21"/>
      <c r="I974" s="117" t="s">
        <v>842</v>
      </c>
      <c r="J974" s="117" t="s">
        <v>325</v>
      </c>
      <c r="K974" s="118">
        <v>18</v>
      </c>
      <c r="L974" s="21"/>
      <c r="M974" s="21"/>
      <c r="N974" s="21"/>
      <c r="O974" s="21"/>
      <c r="P974" s="21">
        <v>63.1</v>
      </c>
      <c r="Q974" s="21"/>
      <c r="R974" s="21" t="s">
        <v>329</v>
      </c>
      <c r="S974" s="119">
        <f>DATABASE_Table[[#This Row],[Inicial Asking Price (€) (Total)]]-DATABASE_Table[[#This Row],[Vista membership]]-DATABASE_Table[[#This Row],[FF&amp;E]]</f>
        <v>725000</v>
      </c>
      <c r="T974" s="125">
        <v>790000</v>
      </c>
      <c r="U974" s="124">
        <v>850000</v>
      </c>
      <c r="V974" s="21">
        <v>50000</v>
      </c>
      <c r="W974" s="21">
        <v>15000</v>
      </c>
      <c r="X974" s="73">
        <f>DATABASE_Table[[#This Row],[Current Asking price( Total)]]-DATABASE_Table[[#This Row],[Vista membership]]-DATABASE_Table[[#This Row],[FF&amp;E]]</f>
        <v>785000</v>
      </c>
      <c r="Y974" s="126"/>
      <c r="Z974" s="124">
        <v>850000</v>
      </c>
      <c r="AA974" s="73">
        <f>DATABASE_Table[[#This Row],[Sell price (Total)]]-DATABASE_Table[[#This Row],[FF&amp;E]]-DATABASE_Table[[#This Row],[Vista membership]]</f>
        <v>785000</v>
      </c>
      <c r="AB974" s="74">
        <v>46057</v>
      </c>
      <c r="AC974" s="74" t="str">
        <f t="shared" si="15"/>
        <v>Q1 2026</v>
      </c>
      <c r="AD974" s="123"/>
      <c r="AE974" s="69"/>
      <c r="AF974" s="21" t="s">
        <v>10</v>
      </c>
      <c r="AG974" s="21" t="s">
        <v>34</v>
      </c>
      <c r="AH974" s="122" t="s">
        <v>32</v>
      </c>
      <c r="AI974" s="122" t="s">
        <v>683</v>
      </c>
      <c r="AJ974" s="122" t="s">
        <v>49</v>
      </c>
      <c r="AK974" s="122" t="s">
        <v>50</v>
      </c>
      <c r="AL974" s="21" t="s">
        <v>51</v>
      </c>
      <c r="AM974" s="122" t="s">
        <v>48</v>
      </c>
    </row>
    <row r="975" spans="1:39" customFormat="1" ht="15.75" customHeight="1" x14ac:dyDescent="0.3">
      <c r="A975" t="s">
        <v>48</v>
      </c>
      <c r="B975" s="21" t="s">
        <v>565</v>
      </c>
      <c r="C975" s="21" t="s">
        <v>688</v>
      </c>
      <c r="D975" s="117" t="s">
        <v>742</v>
      </c>
      <c r="E975" s="21" t="s">
        <v>9</v>
      </c>
      <c r="F975" s="21" t="s">
        <v>419</v>
      </c>
      <c r="G975" s="21">
        <v>81.099999999999994</v>
      </c>
      <c r="H975" s="21"/>
      <c r="I975" s="117" t="s">
        <v>842</v>
      </c>
      <c r="J975" s="117" t="s">
        <v>325</v>
      </c>
      <c r="K975" s="118">
        <v>18</v>
      </c>
      <c r="L975" s="21"/>
      <c r="M975" s="21"/>
      <c r="N975" s="21"/>
      <c r="O975" s="21"/>
      <c r="P975" s="21">
        <v>63.1</v>
      </c>
      <c r="Q975" s="21"/>
      <c r="R975" s="21" t="s">
        <v>329</v>
      </c>
      <c r="S975" s="119">
        <f>DATABASE_Table[[#This Row],[Inicial Asking Price (€) (Total)]]-DATABASE_Table[[#This Row],[Vista membership]]-DATABASE_Table[[#This Row],[FF&amp;E]]</f>
        <v>765000</v>
      </c>
      <c r="T975" s="125">
        <v>830000</v>
      </c>
      <c r="U975" s="124">
        <v>890000</v>
      </c>
      <c r="V975" s="21">
        <v>50000</v>
      </c>
      <c r="W975" s="21">
        <v>15000</v>
      </c>
      <c r="X975" s="73">
        <f>DATABASE_Table[[#This Row],[Current Asking price( Total)]]-DATABASE_Table[[#This Row],[Vista membership]]-DATABASE_Table[[#This Row],[FF&amp;E]]</f>
        <v>825000</v>
      </c>
      <c r="Y975" s="126"/>
      <c r="Z975" s="124">
        <v>890000</v>
      </c>
      <c r="AA975" s="73">
        <f>DATABASE_Table[[#This Row],[Sell price (Total)]]-DATABASE_Table[[#This Row],[FF&amp;E]]-DATABASE_Table[[#This Row],[Vista membership]]</f>
        <v>825000</v>
      </c>
      <c r="AB975" s="74">
        <v>46057</v>
      </c>
      <c r="AC975" s="74" t="str">
        <f t="shared" si="15"/>
        <v>Q1 2026</v>
      </c>
      <c r="AD975" s="123"/>
      <c r="AE975" s="69"/>
      <c r="AF975" s="21" t="s">
        <v>10</v>
      </c>
      <c r="AG975" s="21" t="s">
        <v>34</v>
      </c>
      <c r="AH975" s="122" t="s">
        <v>32</v>
      </c>
      <c r="AI975" s="122" t="s">
        <v>683</v>
      </c>
      <c r="AJ975" s="122" t="s">
        <v>49</v>
      </c>
      <c r="AK975" s="122" t="s">
        <v>50</v>
      </c>
      <c r="AL975" s="21" t="s">
        <v>51</v>
      </c>
      <c r="AM975" s="122" t="s">
        <v>48</v>
      </c>
    </row>
    <row r="976" spans="1:39" customFormat="1" ht="15.75" customHeight="1" x14ac:dyDescent="0.3">
      <c r="A976" t="s">
        <v>48</v>
      </c>
      <c r="B976" s="21" t="s">
        <v>565</v>
      </c>
      <c r="C976" s="21" t="s">
        <v>688</v>
      </c>
      <c r="D976" s="117" t="s">
        <v>743</v>
      </c>
      <c r="E976" s="21" t="s">
        <v>9</v>
      </c>
      <c r="F976" s="21" t="s">
        <v>419</v>
      </c>
      <c r="G976" s="21">
        <v>81.099999999999994</v>
      </c>
      <c r="H976" s="21"/>
      <c r="I976" s="117" t="s">
        <v>842</v>
      </c>
      <c r="J976" s="117" t="s">
        <v>325</v>
      </c>
      <c r="K976" s="118">
        <v>18</v>
      </c>
      <c r="L976" s="21"/>
      <c r="M976" s="21"/>
      <c r="N976" s="21"/>
      <c r="O976" s="21"/>
      <c r="P976" s="21">
        <v>63.1</v>
      </c>
      <c r="Q976" s="21"/>
      <c r="R976" s="21" t="s">
        <v>329</v>
      </c>
      <c r="S976" s="119">
        <f>DATABASE_Table[[#This Row],[Inicial Asking Price (€) (Total)]]-DATABASE_Table[[#This Row],[Vista membership]]-DATABASE_Table[[#This Row],[FF&amp;E]]</f>
        <v>805000</v>
      </c>
      <c r="T976" s="125">
        <v>870000</v>
      </c>
      <c r="U976" s="124">
        <v>930000</v>
      </c>
      <c r="V976" s="21">
        <v>50000</v>
      </c>
      <c r="W976" s="21">
        <v>15000</v>
      </c>
      <c r="X976" s="73">
        <f>DATABASE_Table[[#This Row],[Current Asking price( Total)]]-DATABASE_Table[[#This Row],[Vista membership]]-DATABASE_Table[[#This Row],[FF&amp;E]]</f>
        <v>865000</v>
      </c>
      <c r="Y976" s="126"/>
      <c r="Z976" s="124">
        <v>930000</v>
      </c>
      <c r="AA976" s="73">
        <f>DATABASE_Table[[#This Row],[Sell price (Total)]]-DATABASE_Table[[#This Row],[FF&amp;E]]-DATABASE_Table[[#This Row],[Vista membership]]</f>
        <v>865000</v>
      </c>
      <c r="AB976" s="74">
        <v>46057</v>
      </c>
      <c r="AC976" s="74" t="str">
        <f t="shared" si="15"/>
        <v>Q1 2026</v>
      </c>
      <c r="AD976" s="123"/>
      <c r="AE976" s="69"/>
      <c r="AF976" s="21" t="s">
        <v>10</v>
      </c>
      <c r="AG976" s="21" t="s">
        <v>34</v>
      </c>
      <c r="AH976" s="122" t="s">
        <v>32</v>
      </c>
      <c r="AI976" s="122" t="s">
        <v>683</v>
      </c>
      <c r="AJ976" s="122" t="s">
        <v>49</v>
      </c>
      <c r="AK976" s="122" t="s">
        <v>50</v>
      </c>
      <c r="AL976" s="21" t="s">
        <v>51</v>
      </c>
      <c r="AM976" s="122" t="s">
        <v>48</v>
      </c>
    </row>
    <row r="977" spans="1:39" customFormat="1" ht="15.75" customHeight="1" x14ac:dyDescent="0.3">
      <c r="A977" t="s">
        <v>48</v>
      </c>
      <c r="B977" s="21" t="s">
        <v>565</v>
      </c>
      <c r="C977" s="21" t="s">
        <v>688</v>
      </c>
      <c r="D977" s="117" t="s">
        <v>857</v>
      </c>
      <c r="E977" s="21" t="s">
        <v>9</v>
      </c>
      <c r="F977" s="21" t="s">
        <v>419</v>
      </c>
      <c r="G977" s="21">
        <v>83</v>
      </c>
      <c r="H977" s="21"/>
      <c r="I977" s="117" t="s">
        <v>842</v>
      </c>
      <c r="J977" s="117" t="s">
        <v>325</v>
      </c>
      <c r="K977" s="118">
        <v>18.7</v>
      </c>
      <c r="L977" s="21"/>
      <c r="M977" s="21"/>
      <c r="N977" s="21"/>
      <c r="O977" s="21"/>
      <c r="P977" s="21">
        <v>64.3</v>
      </c>
      <c r="Q977" s="21"/>
      <c r="R977" s="21" t="s">
        <v>329</v>
      </c>
      <c r="S977" s="119">
        <f>DATABASE_Table[[#This Row],[Inicial Asking Price (€) (Total)]]-DATABASE_Table[[#This Row],[Vista membership]]-DATABASE_Table[[#This Row],[FF&amp;E]]</f>
        <v>875000</v>
      </c>
      <c r="T977" s="125">
        <v>940000</v>
      </c>
      <c r="U977" s="124">
        <v>1000000</v>
      </c>
      <c r="V977" s="21">
        <v>50000</v>
      </c>
      <c r="W977" s="21">
        <v>15000</v>
      </c>
      <c r="X977" s="73">
        <f>DATABASE_Table[[#This Row],[Current Asking price( Total)]]-DATABASE_Table[[#This Row],[Vista membership]]-DATABASE_Table[[#This Row],[FF&amp;E]]</f>
        <v>935000</v>
      </c>
      <c r="Y977" s="126"/>
      <c r="Z977" s="124">
        <v>1000000</v>
      </c>
      <c r="AA977" s="73">
        <f>DATABASE_Table[[#This Row],[Sell price (Total)]]-DATABASE_Table[[#This Row],[FF&amp;E]]-DATABASE_Table[[#This Row],[Vista membership]]</f>
        <v>935000</v>
      </c>
      <c r="AB977" s="74">
        <v>46057</v>
      </c>
      <c r="AC977" s="74" t="str">
        <f t="shared" si="15"/>
        <v>Q1 2026</v>
      </c>
      <c r="AD977" s="123"/>
      <c r="AE977" s="69"/>
      <c r="AF977" s="21" t="s">
        <v>10</v>
      </c>
      <c r="AG977" s="21" t="s">
        <v>34</v>
      </c>
      <c r="AH977" s="122" t="s">
        <v>32</v>
      </c>
      <c r="AI977" s="122" t="s">
        <v>683</v>
      </c>
      <c r="AJ977" s="122" t="s">
        <v>49</v>
      </c>
      <c r="AK977" s="122" t="s">
        <v>50</v>
      </c>
      <c r="AL977" s="21" t="s">
        <v>51</v>
      </c>
      <c r="AM977" s="122" t="s">
        <v>48</v>
      </c>
    </row>
    <row r="978" spans="1:39" customFormat="1" ht="15.75" customHeight="1" x14ac:dyDescent="0.3">
      <c r="A978" t="s">
        <v>48</v>
      </c>
      <c r="B978" s="21" t="s">
        <v>565</v>
      </c>
      <c r="C978" s="21" t="s">
        <v>688</v>
      </c>
      <c r="D978" s="117" t="s">
        <v>744</v>
      </c>
      <c r="E978" s="21" t="s">
        <v>9</v>
      </c>
      <c r="F978" s="21" t="s">
        <v>421</v>
      </c>
      <c r="G978" s="21">
        <v>396.4</v>
      </c>
      <c r="H978" s="21"/>
      <c r="I978" s="117" t="s">
        <v>842</v>
      </c>
      <c r="J978" s="117" t="s">
        <v>325</v>
      </c>
      <c r="K978" s="118">
        <v>159.5</v>
      </c>
      <c r="L978" s="21"/>
      <c r="M978" s="21"/>
      <c r="N978" s="21"/>
      <c r="O978" s="21"/>
      <c r="P978" s="21">
        <v>236.9</v>
      </c>
      <c r="Q978" s="21"/>
      <c r="R978" s="21" t="s">
        <v>329</v>
      </c>
      <c r="S978" s="119">
        <f>DATABASE_Table[[#This Row],[Inicial Asking Price (€) (Total)]]-DATABASE_Table[[#This Row],[Vista membership]]-DATABASE_Table[[#This Row],[FF&amp;E]]</f>
        <v>4388000</v>
      </c>
      <c r="T978" s="125">
        <v>4500000</v>
      </c>
      <c r="U978" s="124">
        <v>4630000</v>
      </c>
      <c r="V978" s="21">
        <v>60000</v>
      </c>
      <c r="W978" s="21">
        <v>52000</v>
      </c>
      <c r="X978" s="73">
        <f>DATABASE_Table[[#This Row],[Current Asking price( Total)]]-DATABASE_Table[[#This Row],[Vista membership]]-DATABASE_Table[[#This Row],[FF&amp;E]]</f>
        <v>4518000</v>
      </c>
      <c r="Y978" s="126"/>
      <c r="Z978" s="124">
        <v>4630000</v>
      </c>
      <c r="AA978" s="73">
        <f>DATABASE_Table[[#This Row],[Sell price (Total)]]-DATABASE_Table[[#This Row],[FF&amp;E]]-DATABASE_Table[[#This Row],[Vista membership]]</f>
        <v>4518000</v>
      </c>
      <c r="AB978" s="74">
        <v>46057</v>
      </c>
      <c r="AC978" s="74" t="str">
        <f t="shared" si="15"/>
        <v>Q1 2026</v>
      </c>
      <c r="AD978" s="123"/>
      <c r="AE978" s="69"/>
      <c r="AF978" s="21" t="s">
        <v>10</v>
      </c>
      <c r="AG978" s="21" t="s">
        <v>34</v>
      </c>
      <c r="AH978" s="122" t="s">
        <v>32</v>
      </c>
      <c r="AI978" s="122" t="s">
        <v>683</v>
      </c>
      <c r="AJ978" s="122" t="s">
        <v>49</v>
      </c>
      <c r="AK978" s="122" t="s">
        <v>50</v>
      </c>
      <c r="AL978" s="21" t="s">
        <v>51</v>
      </c>
      <c r="AM978" s="122" t="s">
        <v>48</v>
      </c>
    </row>
    <row r="979" spans="1:39" customFormat="1" ht="15.75" customHeight="1" x14ac:dyDescent="0.3">
      <c r="A979" t="s">
        <v>48</v>
      </c>
      <c r="B979" s="21" t="s">
        <v>565</v>
      </c>
      <c r="C979" s="21" t="s">
        <v>688</v>
      </c>
      <c r="D979" s="117" t="s">
        <v>846</v>
      </c>
      <c r="E979" s="21" t="s">
        <v>9</v>
      </c>
      <c r="F979" s="21" t="s">
        <v>319</v>
      </c>
      <c r="G979" s="21">
        <v>169.3</v>
      </c>
      <c r="H979" s="21"/>
      <c r="I979" s="117" t="s">
        <v>842</v>
      </c>
      <c r="J979" s="117" t="s">
        <v>325</v>
      </c>
      <c r="K979" s="118">
        <v>64.7</v>
      </c>
      <c r="L979" s="21"/>
      <c r="M979" s="21"/>
      <c r="N979" s="21"/>
      <c r="O979" s="21"/>
      <c r="P979" s="21">
        <v>104.6</v>
      </c>
      <c r="Q979" s="21"/>
      <c r="R979" s="21" t="s">
        <v>329</v>
      </c>
      <c r="S979" s="119">
        <f>DATABASE_Table[[#This Row],[Inicial Asking Price (€) (Total)]]-DATABASE_Table[[#This Row],[Vista membership]]-DATABASE_Table[[#This Row],[FF&amp;E]]</f>
        <v>947000</v>
      </c>
      <c r="T979" s="125">
        <v>1020000</v>
      </c>
      <c r="U979" s="124">
        <v>1080000</v>
      </c>
      <c r="V979" s="21">
        <v>50000</v>
      </c>
      <c r="W979" s="21">
        <v>23000</v>
      </c>
      <c r="X979" s="73">
        <f>DATABASE_Table[[#This Row],[Current Asking price( Total)]]-DATABASE_Table[[#This Row],[Vista membership]]-DATABASE_Table[[#This Row],[FF&amp;E]]</f>
        <v>1007000</v>
      </c>
      <c r="Y979" s="126"/>
      <c r="Z979" s="124">
        <v>1080000</v>
      </c>
      <c r="AA979" s="73">
        <f>DATABASE_Table[[#This Row],[Sell price (Total)]]-DATABASE_Table[[#This Row],[FF&amp;E]]-DATABASE_Table[[#This Row],[Vista membership]]</f>
        <v>1007000</v>
      </c>
      <c r="AB979" s="74">
        <v>46057</v>
      </c>
      <c r="AC979" s="74" t="str">
        <f t="shared" si="15"/>
        <v>Q1 2026</v>
      </c>
      <c r="AD979" s="123"/>
      <c r="AE979" s="69"/>
      <c r="AF979" s="21" t="s">
        <v>10</v>
      </c>
      <c r="AG979" s="21" t="s">
        <v>34</v>
      </c>
      <c r="AH979" s="122" t="s">
        <v>32</v>
      </c>
      <c r="AI979" s="122" t="s">
        <v>683</v>
      </c>
      <c r="AJ979" s="122" t="s">
        <v>49</v>
      </c>
      <c r="AK979" s="122" t="s">
        <v>50</v>
      </c>
      <c r="AL979" s="21" t="s">
        <v>51</v>
      </c>
      <c r="AM979" s="122" t="s">
        <v>48</v>
      </c>
    </row>
    <row r="980" spans="1:39" customFormat="1" ht="15.75" customHeight="1" x14ac:dyDescent="0.3">
      <c r="A980" t="s">
        <v>48</v>
      </c>
      <c r="B980" s="21" t="s">
        <v>565</v>
      </c>
      <c r="C980" s="21" t="s">
        <v>688</v>
      </c>
      <c r="D980" s="117" t="s">
        <v>745</v>
      </c>
      <c r="E980" s="21" t="s">
        <v>9</v>
      </c>
      <c r="F980" s="21" t="s">
        <v>320</v>
      </c>
      <c r="G980" s="21">
        <v>230.1</v>
      </c>
      <c r="H980" s="21"/>
      <c r="I980" s="117" t="s">
        <v>842</v>
      </c>
      <c r="J980" s="117" t="s">
        <v>325</v>
      </c>
      <c r="K980" s="118">
        <v>80.5</v>
      </c>
      <c r="L980" s="21"/>
      <c r="M980" s="21"/>
      <c r="N980" s="21"/>
      <c r="O980" s="21"/>
      <c r="P980" s="21">
        <v>149.6</v>
      </c>
      <c r="Q980" s="21"/>
      <c r="R980" s="21" t="s">
        <v>329</v>
      </c>
      <c r="S980" s="119">
        <f>DATABASE_Table[[#This Row],[Inicial Asking Price (€) (Total)]]-DATABASE_Table[[#This Row],[Vista membership]]-DATABASE_Table[[#This Row],[FF&amp;E]]</f>
        <v>2410000</v>
      </c>
      <c r="T980" s="125">
        <v>2490000</v>
      </c>
      <c r="U980" s="124">
        <v>2580000</v>
      </c>
      <c r="V980" s="21">
        <v>50000</v>
      </c>
      <c r="W980" s="21">
        <v>30000</v>
      </c>
      <c r="X980" s="73">
        <f>DATABASE_Table[[#This Row],[Current Asking price( Total)]]-DATABASE_Table[[#This Row],[Vista membership]]-DATABASE_Table[[#This Row],[FF&amp;E]]</f>
        <v>2500000</v>
      </c>
      <c r="Y980" s="126"/>
      <c r="Z980" s="124">
        <v>2580000</v>
      </c>
      <c r="AA980" s="73">
        <f>DATABASE_Table[[#This Row],[Sell price (Total)]]-DATABASE_Table[[#This Row],[FF&amp;E]]-DATABASE_Table[[#This Row],[Vista membership]]</f>
        <v>2500000</v>
      </c>
      <c r="AB980" s="74">
        <v>46057</v>
      </c>
      <c r="AC980" s="74" t="str">
        <f t="shared" si="15"/>
        <v>Q1 2026</v>
      </c>
      <c r="AD980" s="123"/>
      <c r="AE980" s="69"/>
      <c r="AF980" s="21" t="s">
        <v>10</v>
      </c>
      <c r="AG980" s="21" t="s">
        <v>34</v>
      </c>
      <c r="AH980" s="122" t="s">
        <v>32</v>
      </c>
      <c r="AI980" s="122" t="s">
        <v>683</v>
      </c>
      <c r="AJ980" s="122" t="s">
        <v>49</v>
      </c>
      <c r="AK980" s="122" t="s">
        <v>50</v>
      </c>
      <c r="AL980" s="21" t="s">
        <v>51</v>
      </c>
      <c r="AM980" s="122" t="s">
        <v>48</v>
      </c>
    </row>
    <row r="981" spans="1:39" customFormat="1" ht="15.75" customHeight="1" x14ac:dyDescent="0.3">
      <c r="A981" t="s">
        <v>48</v>
      </c>
      <c r="B981" s="21" t="s">
        <v>565</v>
      </c>
      <c r="C981" s="21" t="s">
        <v>688</v>
      </c>
      <c r="D981" s="117" t="s">
        <v>748</v>
      </c>
      <c r="E981" s="21" t="s">
        <v>9</v>
      </c>
      <c r="F981" s="21" t="s">
        <v>319</v>
      </c>
      <c r="G981" s="21">
        <v>161.6</v>
      </c>
      <c r="H981" s="21"/>
      <c r="I981" s="117" t="s">
        <v>325</v>
      </c>
      <c r="J981" s="117" t="s">
        <v>325</v>
      </c>
      <c r="K981" s="118">
        <v>57</v>
      </c>
      <c r="L981" s="21"/>
      <c r="M981" s="21"/>
      <c r="N981" s="21"/>
      <c r="O981" s="21"/>
      <c r="P981" s="21">
        <v>104.6</v>
      </c>
      <c r="Q981" s="21"/>
      <c r="R981" s="21" t="s">
        <v>329</v>
      </c>
      <c r="S981" s="119">
        <f>DATABASE_Table[[#This Row],[Inicial Asking Price (€) (Total)]]-DATABASE_Table[[#This Row],[Vista membership]]-DATABASE_Table[[#This Row],[FF&amp;E]]</f>
        <v>1087000</v>
      </c>
      <c r="T981" s="125">
        <v>1160000</v>
      </c>
      <c r="U981" s="124">
        <v>1230000</v>
      </c>
      <c r="V981" s="21">
        <v>50000</v>
      </c>
      <c r="W981" s="21">
        <v>23000</v>
      </c>
      <c r="X981" s="73">
        <f>DATABASE_Table[[#This Row],[Current Asking price( Total)]]-DATABASE_Table[[#This Row],[Vista membership]]-DATABASE_Table[[#This Row],[FF&amp;E]]</f>
        <v>1157000</v>
      </c>
      <c r="Y981" s="126"/>
      <c r="Z981" s="124">
        <v>1230000</v>
      </c>
      <c r="AA981" s="73">
        <f>DATABASE_Table[[#This Row],[Sell price (Total)]]-DATABASE_Table[[#This Row],[FF&amp;E]]-DATABASE_Table[[#This Row],[Vista membership]]</f>
        <v>1157000</v>
      </c>
      <c r="AB981" s="74">
        <v>46057</v>
      </c>
      <c r="AC981" s="74" t="str">
        <f t="shared" si="15"/>
        <v>Q1 2026</v>
      </c>
      <c r="AD981" s="123"/>
      <c r="AE981" s="69"/>
      <c r="AF981" s="21" t="s">
        <v>10</v>
      </c>
      <c r="AG981" s="21" t="s">
        <v>34</v>
      </c>
      <c r="AH981" s="122" t="s">
        <v>32</v>
      </c>
      <c r="AI981" s="122" t="s">
        <v>683</v>
      </c>
      <c r="AJ981" s="122" t="s">
        <v>49</v>
      </c>
      <c r="AK981" s="122" t="s">
        <v>50</v>
      </c>
      <c r="AL981" s="21" t="s">
        <v>51</v>
      </c>
      <c r="AM981" s="122" t="s">
        <v>48</v>
      </c>
    </row>
    <row r="982" spans="1:39" customFormat="1" ht="15.75" customHeight="1" x14ac:dyDescent="0.3">
      <c r="A982" t="s">
        <v>48</v>
      </c>
      <c r="B982" s="21" t="s">
        <v>565</v>
      </c>
      <c r="C982" s="21" t="s">
        <v>688</v>
      </c>
      <c r="D982" s="117" t="s">
        <v>749</v>
      </c>
      <c r="E982" s="21" t="s">
        <v>9</v>
      </c>
      <c r="F982" s="21" t="s">
        <v>319</v>
      </c>
      <c r="G982" s="21">
        <v>161.69999999999999</v>
      </c>
      <c r="H982" s="21"/>
      <c r="I982" s="117" t="s">
        <v>325</v>
      </c>
      <c r="J982" s="117" t="s">
        <v>325</v>
      </c>
      <c r="K982" s="118">
        <v>57.1</v>
      </c>
      <c r="L982" s="21"/>
      <c r="M982" s="21"/>
      <c r="N982" s="21"/>
      <c r="O982" s="21"/>
      <c r="P982" s="21">
        <v>104.6</v>
      </c>
      <c r="Q982" s="21"/>
      <c r="R982" s="21" t="s">
        <v>329</v>
      </c>
      <c r="S982" s="119">
        <f>DATABASE_Table[[#This Row],[Inicial Asking Price (€) (Total)]]-DATABASE_Table[[#This Row],[Vista membership]]-DATABASE_Table[[#This Row],[FF&amp;E]]</f>
        <v>1177000</v>
      </c>
      <c r="T982" s="125">
        <v>1250000</v>
      </c>
      <c r="U982" s="124">
        <v>1320000</v>
      </c>
      <c r="V982" s="21">
        <v>50000</v>
      </c>
      <c r="W982" s="21">
        <v>23000</v>
      </c>
      <c r="X982" s="73">
        <f>DATABASE_Table[[#This Row],[Current Asking price( Total)]]-DATABASE_Table[[#This Row],[Vista membership]]-DATABASE_Table[[#This Row],[FF&amp;E]]</f>
        <v>1247000</v>
      </c>
      <c r="Y982" s="126"/>
      <c r="Z982" s="124">
        <v>1320000</v>
      </c>
      <c r="AA982" s="73">
        <f>DATABASE_Table[[#This Row],[Sell price (Total)]]-DATABASE_Table[[#This Row],[FF&amp;E]]-DATABASE_Table[[#This Row],[Vista membership]]</f>
        <v>1247000</v>
      </c>
      <c r="AB982" s="74">
        <v>46057</v>
      </c>
      <c r="AC982" s="74" t="str">
        <f t="shared" si="15"/>
        <v>Q1 2026</v>
      </c>
      <c r="AD982" s="123"/>
      <c r="AE982" s="69"/>
      <c r="AF982" s="21" t="s">
        <v>10</v>
      </c>
      <c r="AG982" s="21" t="s">
        <v>34</v>
      </c>
      <c r="AH982" s="122" t="s">
        <v>32</v>
      </c>
      <c r="AI982" s="122" t="s">
        <v>683</v>
      </c>
      <c r="AJ982" s="122" t="s">
        <v>49</v>
      </c>
      <c r="AK982" s="122" t="s">
        <v>50</v>
      </c>
      <c r="AL982" s="21" t="s">
        <v>51</v>
      </c>
      <c r="AM982" s="122" t="s">
        <v>48</v>
      </c>
    </row>
    <row r="983" spans="1:39" customFormat="1" ht="15.75" customHeight="1" x14ac:dyDescent="0.3">
      <c r="A983" t="s">
        <v>48</v>
      </c>
      <c r="B983" s="21" t="s">
        <v>565</v>
      </c>
      <c r="C983" s="21" t="s">
        <v>688</v>
      </c>
      <c r="D983" s="117" t="s">
        <v>750</v>
      </c>
      <c r="E983" s="21" t="s">
        <v>9</v>
      </c>
      <c r="F983" s="21" t="s">
        <v>319</v>
      </c>
      <c r="G983" s="21">
        <v>161</v>
      </c>
      <c r="H983" s="21"/>
      <c r="I983" s="117" t="s">
        <v>325</v>
      </c>
      <c r="J983" s="117" t="s">
        <v>325</v>
      </c>
      <c r="K983" s="118">
        <v>57.1</v>
      </c>
      <c r="L983" s="21"/>
      <c r="M983" s="21"/>
      <c r="N983" s="21"/>
      <c r="O983" s="21"/>
      <c r="P983" s="21">
        <v>103.9</v>
      </c>
      <c r="Q983" s="21"/>
      <c r="R983" s="21" t="s">
        <v>329</v>
      </c>
      <c r="S983" s="119">
        <f>DATABASE_Table[[#This Row],[Inicial Asking Price (€) (Total)]]-DATABASE_Table[[#This Row],[Vista membership]]-DATABASE_Table[[#This Row],[FF&amp;E]]</f>
        <v>1267000</v>
      </c>
      <c r="T983" s="125">
        <v>1340000</v>
      </c>
      <c r="U983" s="124">
        <v>1410000</v>
      </c>
      <c r="V983" s="21">
        <v>50000</v>
      </c>
      <c r="W983" s="21">
        <v>23000</v>
      </c>
      <c r="X983" s="73">
        <f>DATABASE_Table[[#This Row],[Current Asking price( Total)]]-DATABASE_Table[[#This Row],[Vista membership]]-DATABASE_Table[[#This Row],[FF&amp;E]]</f>
        <v>1337000</v>
      </c>
      <c r="Y983" s="126"/>
      <c r="Z983" s="124">
        <v>1410000</v>
      </c>
      <c r="AA983" s="73">
        <f>DATABASE_Table[[#This Row],[Sell price (Total)]]-DATABASE_Table[[#This Row],[FF&amp;E]]-DATABASE_Table[[#This Row],[Vista membership]]</f>
        <v>1337000</v>
      </c>
      <c r="AB983" s="74">
        <v>46057</v>
      </c>
      <c r="AC983" s="74" t="str">
        <f t="shared" si="15"/>
        <v>Q1 2026</v>
      </c>
      <c r="AD983" s="123"/>
      <c r="AE983" s="69"/>
      <c r="AF983" s="21" t="s">
        <v>10</v>
      </c>
      <c r="AG983" s="21" t="s">
        <v>34</v>
      </c>
      <c r="AH983" s="122" t="s">
        <v>32</v>
      </c>
      <c r="AI983" s="122" t="s">
        <v>683</v>
      </c>
      <c r="AJ983" s="122" t="s">
        <v>49</v>
      </c>
      <c r="AK983" s="122" t="s">
        <v>50</v>
      </c>
      <c r="AL983" s="21" t="s">
        <v>51</v>
      </c>
      <c r="AM983" s="122" t="s">
        <v>48</v>
      </c>
    </row>
    <row r="984" spans="1:39" customFormat="1" ht="15.75" customHeight="1" x14ac:dyDescent="0.3">
      <c r="A984" t="s">
        <v>48</v>
      </c>
      <c r="B984" s="21" t="s">
        <v>565</v>
      </c>
      <c r="C984" s="21" t="s">
        <v>688</v>
      </c>
      <c r="D984" s="117" t="s">
        <v>751</v>
      </c>
      <c r="E984" s="21" t="s">
        <v>9</v>
      </c>
      <c r="F984" s="21" t="s">
        <v>319</v>
      </c>
      <c r="G984" s="21">
        <v>161</v>
      </c>
      <c r="H984" s="21"/>
      <c r="I984" s="117" t="s">
        <v>325</v>
      </c>
      <c r="J984" s="117" t="s">
        <v>325</v>
      </c>
      <c r="K984" s="118">
        <v>57.1</v>
      </c>
      <c r="L984" s="21"/>
      <c r="M984" s="21"/>
      <c r="N984" s="21"/>
      <c r="O984" s="21"/>
      <c r="P984" s="21">
        <v>103.9</v>
      </c>
      <c r="Q984" s="21"/>
      <c r="R984" s="21" t="s">
        <v>329</v>
      </c>
      <c r="S984" s="119">
        <f>DATABASE_Table[[#This Row],[Inicial Asking Price (€) (Total)]]-DATABASE_Table[[#This Row],[Vista membership]]-DATABASE_Table[[#This Row],[FF&amp;E]]</f>
        <v>1347000</v>
      </c>
      <c r="T984" s="125">
        <v>1420000</v>
      </c>
      <c r="U984" s="124">
        <v>1490000</v>
      </c>
      <c r="V984" s="21">
        <v>50000</v>
      </c>
      <c r="W984" s="21">
        <v>23000</v>
      </c>
      <c r="X984" s="73">
        <f>DATABASE_Table[[#This Row],[Current Asking price( Total)]]-DATABASE_Table[[#This Row],[Vista membership]]-DATABASE_Table[[#This Row],[FF&amp;E]]</f>
        <v>1417000</v>
      </c>
      <c r="Y984" s="126"/>
      <c r="Z984" s="124">
        <v>1490000</v>
      </c>
      <c r="AA984" s="73">
        <f>DATABASE_Table[[#This Row],[Sell price (Total)]]-DATABASE_Table[[#This Row],[FF&amp;E]]-DATABASE_Table[[#This Row],[Vista membership]]</f>
        <v>1417000</v>
      </c>
      <c r="AB984" s="74">
        <v>46057</v>
      </c>
      <c r="AC984" s="74" t="str">
        <f t="shared" si="15"/>
        <v>Q1 2026</v>
      </c>
      <c r="AD984" s="123"/>
      <c r="AE984" s="69"/>
      <c r="AF984" s="21" t="s">
        <v>10</v>
      </c>
      <c r="AG984" s="21" t="s">
        <v>34</v>
      </c>
      <c r="AH984" s="122" t="s">
        <v>32</v>
      </c>
      <c r="AI984" s="122" t="s">
        <v>683</v>
      </c>
      <c r="AJ984" s="122" t="s">
        <v>49</v>
      </c>
      <c r="AK984" s="122" t="s">
        <v>50</v>
      </c>
      <c r="AL984" s="21" t="s">
        <v>51</v>
      </c>
      <c r="AM984" s="122" t="s">
        <v>48</v>
      </c>
    </row>
    <row r="985" spans="1:39" customFormat="1" ht="15.75" customHeight="1" x14ac:dyDescent="0.3">
      <c r="A985" t="s">
        <v>48</v>
      </c>
      <c r="B985" s="21" t="s">
        <v>565</v>
      </c>
      <c r="C985" s="21" t="s">
        <v>688</v>
      </c>
      <c r="D985" s="117" t="s">
        <v>752</v>
      </c>
      <c r="E985" s="21" t="s">
        <v>9</v>
      </c>
      <c r="F985" s="21" t="s">
        <v>319</v>
      </c>
      <c r="G985" s="21">
        <v>161</v>
      </c>
      <c r="H985" s="21"/>
      <c r="I985" s="117" t="s">
        <v>325</v>
      </c>
      <c r="J985" s="117" t="s">
        <v>325</v>
      </c>
      <c r="K985" s="118">
        <v>57.1</v>
      </c>
      <c r="L985" s="21"/>
      <c r="M985" s="21"/>
      <c r="N985" s="21"/>
      <c r="O985" s="21"/>
      <c r="P985" s="21">
        <v>103.9</v>
      </c>
      <c r="Q985" s="21"/>
      <c r="R985" s="21" t="s">
        <v>329</v>
      </c>
      <c r="S985" s="119">
        <f>DATABASE_Table[[#This Row],[Inicial Asking Price (€) (Total)]]-DATABASE_Table[[#This Row],[Vista membership]]-DATABASE_Table[[#This Row],[FF&amp;E]]</f>
        <v>1407000</v>
      </c>
      <c r="T985" s="125">
        <v>1480000</v>
      </c>
      <c r="U985" s="124">
        <v>1550000</v>
      </c>
      <c r="V985" s="21">
        <v>50000</v>
      </c>
      <c r="W985" s="21">
        <v>23000</v>
      </c>
      <c r="X985" s="73">
        <f>DATABASE_Table[[#This Row],[Current Asking price( Total)]]-DATABASE_Table[[#This Row],[Vista membership]]-DATABASE_Table[[#This Row],[FF&amp;E]]</f>
        <v>1477000</v>
      </c>
      <c r="Y985" s="126"/>
      <c r="Z985" s="124">
        <v>1550000</v>
      </c>
      <c r="AA985" s="73">
        <f>DATABASE_Table[[#This Row],[Sell price (Total)]]-DATABASE_Table[[#This Row],[FF&amp;E]]-DATABASE_Table[[#This Row],[Vista membership]]</f>
        <v>1477000</v>
      </c>
      <c r="AB985" s="74">
        <v>46057</v>
      </c>
      <c r="AC985" s="74" t="str">
        <f t="shared" si="15"/>
        <v>Q1 2026</v>
      </c>
      <c r="AD985" s="123"/>
      <c r="AE985" s="69"/>
      <c r="AF985" s="21" t="s">
        <v>10</v>
      </c>
      <c r="AG985" s="21" t="s">
        <v>34</v>
      </c>
      <c r="AH985" s="122" t="s">
        <v>32</v>
      </c>
      <c r="AI985" s="122" t="s">
        <v>683</v>
      </c>
      <c r="AJ985" s="122" t="s">
        <v>49</v>
      </c>
      <c r="AK985" s="122" t="s">
        <v>50</v>
      </c>
      <c r="AL985" s="21" t="s">
        <v>51</v>
      </c>
      <c r="AM985" s="122" t="s">
        <v>48</v>
      </c>
    </row>
    <row r="986" spans="1:39" customFormat="1" ht="15.75" customHeight="1" x14ac:dyDescent="0.3">
      <c r="A986" t="s">
        <v>48</v>
      </c>
      <c r="B986" s="21" t="s">
        <v>565</v>
      </c>
      <c r="C986" s="21" t="s">
        <v>688</v>
      </c>
      <c r="D986" s="117" t="s">
        <v>753</v>
      </c>
      <c r="E986" s="21" t="s">
        <v>9</v>
      </c>
      <c r="F986" s="21" t="s">
        <v>319</v>
      </c>
      <c r="G986" s="21">
        <v>161</v>
      </c>
      <c r="H986" s="21"/>
      <c r="I986" s="117" t="s">
        <v>325</v>
      </c>
      <c r="J986" s="117" t="s">
        <v>325</v>
      </c>
      <c r="K986" s="118">
        <v>57.1</v>
      </c>
      <c r="L986" s="21"/>
      <c r="M986" s="21"/>
      <c r="N986" s="21"/>
      <c r="O986" s="21"/>
      <c r="P986" s="21">
        <v>103.9</v>
      </c>
      <c r="Q986" s="21"/>
      <c r="R986" s="21" t="s">
        <v>329</v>
      </c>
      <c r="S986" s="119">
        <f>DATABASE_Table[[#This Row],[Inicial Asking Price (€) (Total)]]-DATABASE_Table[[#This Row],[Vista membership]]-DATABASE_Table[[#This Row],[FF&amp;E]]</f>
        <v>1467000</v>
      </c>
      <c r="T986" s="125">
        <v>1540000</v>
      </c>
      <c r="U986" s="124">
        <v>1610000</v>
      </c>
      <c r="V986" s="21">
        <v>50000</v>
      </c>
      <c r="W986" s="21">
        <v>23000</v>
      </c>
      <c r="X986" s="73">
        <f>DATABASE_Table[[#This Row],[Current Asking price( Total)]]-DATABASE_Table[[#This Row],[Vista membership]]-DATABASE_Table[[#This Row],[FF&amp;E]]</f>
        <v>1537000</v>
      </c>
      <c r="Y986" s="126"/>
      <c r="Z986" s="124">
        <v>1610000</v>
      </c>
      <c r="AA986" s="73">
        <f>DATABASE_Table[[#This Row],[Sell price (Total)]]-DATABASE_Table[[#This Row],[FF&amp;E]]-DATABASE_Table[[#This Row],[Vista membership]]</f>
        <v>1537000</v>
      </c>
      <c r="AB986" s="74">
        <v>46057</v>
      </c>
      <c r="AC986" s="74" t="str">
        <f t="shared" si="15"/>
        <v>Q1 2026</v>
      </c>
      <c r="AD986" s="123"/>
      <c r="AE986" s="69"/>
      <c r="AF986" s="21" t="s">
        <v>10</v>
      </c>
      <c r="AG986" s="21" t="s">
        <v>34</v>
      </c>
      <c r="AH986" s="122" t="s">
        <v>32</v>
      </c>
      <c r="AI986" s="122" t="s">
        <v>683</v>
      </c>
      <c r="AJ986" s="122" t="s">
        <v>49</v>
      </c>
      <c r="AK986" s="122" t="s">
        <v>50</v>
      </c>
      <c r="AL986" s="21" t="s">
        <v>51</v>
      </c>
      <c r="AM986" s="122" t="s">
        <v>48</v>
      </c>
    </row>
    <row r="987" spans="1:39" customFormat="1" ht="15.75" customHeight="1" x14ac:dyDescent="0.3">
      <c r="A987" t="s">
        <v>48</v>
      </c>
      <c r="B987" s="21" t="s">
        <v>565</v>
      </c>
      <c r="C987" s="21" t="s">
        <v>688</v>
      </c>
      <c r="D987" s="117" t="s">
        <v>754</v>
      </c>
      <c r="E987" s="21" t="s">
        <v>9</v>
      </c>
      <c r="F987" s="21" t="s">
        <v>419</v>
      </c>
      <c r="G987" s="21">
        <v>99.4</v>
      </c>
      <c r="H987" s="21"/>
      <c r="I987" s="117" t="s">
        <v>325</v>
      </c>
      <c r="J987" s="117" t="s">
        <v>325</v>
      </c>
      <c r="K987" s="118">
        <v>36.5</v>
      </c>
      <c r="L987" s="21"/>
      <c r="M987" s="21"/>
      <c r="N987" s="21"/>
      <c r="O987" s="21"/>
      <c r="P987" s="21">
        <v>62.9</v>
      </c>
      <c r="Q987" s="21"/>
      <c r="R987" s="21" t="s">
        <v>329</v>
      </c>
      <c r="S987" s="119">
        <f>DATABASE_Table[[#This Row],[Inicial Asking Price (€) (Total)]]-DATABASE_Table[[#This Row],[Vista membership]]-DATABASE_Table[[#This Row],[FF&amp;E]]</f>
        <v>765000</v>
      </c>
      <c r="T987" s="125">
        <v>830000</v>
      </c>
      <c r="U987" s="124">
        <v>890000</v>
      </c>
      <c r="V987" s="21">
        <v>50000</v>
      </c>
      <c r="W987" s="21">
        <v>15000</v>
      </c>
      <c r="X987" s="73">
        <f>DATABASE_Table[[#This Row],[Current Asking price( Total)]]-DATABASE_Table[[#This Row],[Vista membership]]-DATABASE_Table[[#This Row],[FF&amp;E]]</f>
        <v>825000</v>
      </c>
      <c r="Y987" s="126"/>
      <c r="Z987" s="124">
        <v>890000</v>
      </c>
      <c r="AA987" s="73">
        <f>DATABASE_Table[[#This Row],[Sell price (Total)]]-DATABASE_Table[[#This Row],[FF&amp;E]]-DATABASE_Table[[#This Row],[Vista membership]]</f>
        <v>825000</v>
      </c>
      <c r="AB987" s="74">
        <v>46057</v>
      </c>
      <c r="AC987" s="74" t="str">
        <f t="shared" si="15"/>
        <v>Q1 2026</v>
      </c>
      <c r="AD987" s="123"/>
      <c r="AE987" s="69"/>
      <c r="AF987" s="21" t="s">
        <v>10</v>
      </c>
      <c r="AG987" s="21" t="s">
        <v>34</v>
      </c>
      <c r="AH987" s="122" t="s">
        <v>32</v>
      </c>
      <c r="AI987" s="122" t="s">
        <v>683</v>
      </c>
      <c r="AJ987" s="122" t="s">
        <v>49</v>
      </c>
      <c r="AK987" s="122" t="s">
        <v>50</v>
      </c>
      <c r="AL987" s="21" t="s">
        <v>51</v>
      </c>
      <c r="AM987" s="122" t="s">
        <v>48</v>
      </c>
    </row>
    <row r="988" spans="1:39" customFormat="1" ht="15.75" customHeight="1" x14ac:dyDescent="0.3">
      <c r="A988" t="s">
        <v>48</v>
      </c>
      <c r="B988" s="21" t="s">
        <v>565</v>
      </c>
      <c r="C988" s="21" t="s">
        <v>688</v>
      </c>
      <c r="D988" s="117" t="s">
        <v>755</v>
      </c>
      <c r="E988" s="21" t="s">
        <v>9</v>
      </c>
      <c r="F988" s="21" t="s">
        <v>419</v>
      </c>
      <c r="G988" s="21">
        <v>99.6</v>
      </c>
      <c r="H988" s="21"/>
      <c r="I988" s="117" t="s">
        <v>325</v>
      </c>
      <c r="J988" s="117" t="s">
        <v>325</v>
      </c>
      <c r="K988" s="118">
        <v>36.5</v>
      </c>
      <c r="L988" s="21"/>
      <c r="M988" s="21"/>
      <c r="N988" s="21"/>
      <c r="O988" s="21"/>
      <c r="P988" s="21">
        <v>63.1</v>
      </c>
      <c r="Q988" s="21"/>
      <c r="R988" s="21" t="s">
        <v>329</v>
      </c>
      <c r="S988" s="119">
        <f>DATABASE_Table[[#This Row],[Inicial Asking Price (€) (Total)]]-DATABASE_Table[[#This Row],[Vista membership]]-DATABASE_Table[[#This Row],[FF&amp;E]]</f>
        <v>805000</v>
      </c>
      <c r="T988" s="125">
        <v>870000</v>
      </c>
      <c r="U988" s="124">
        <v>930000</v>
      </c>
      <c r="V988" s="21">
        <v>50000</v>
      </c>
      <c r="W988" s="21">
        <v>15000</v>
      </c>
      <c r="X988" s="73">
        <f>DATABASE_Table[[#This Row],[Current Asking price( Total)]]-DATABASE_Table[[#This Row],[Vista membership]]-DATABASE_Table[[#This Row],[FF&amp;E]]</f>
        <v>865000</v>
      </c>
      <c r="Y988" s="126"/>
      <c r="Z988" s="124">
        <v>930000</v>
      </c>
      <c r="AA988" s="73">
        <f>DATABASE_Table[[#This Row],[Sell price (Total)]]-DATABASE_Table[[#This Row],[FF&amp;E]]-DATABASE_Table[[#This Row],[Vista membership]]</f>
        <v>865000</v>
      </c>
      <c r="AB988" s="74">
        <v>46057</v>
      </c>
      <c r="AC988" s="74" t="str">
        <f t="shared" si="15"/>
        <v>Q1 2026</v>
      </c>
      <c r="AD988" s="123"/>
      <c r="AE988" s="69"/>
      <c r="AF988" s="21" t="s">
        <v>10</v>
      </c>
      <c r="AG988" s="21" t="s">
        <v>34</v>
      </c>
      <c r="AH988" s="122" t="s">
        <v>32</v>
      </c>
      <c r="AI988" s="122" t="s">
        <v>683</v>
      </c>
      <c r="AJ988" s="122" t="s">
        <v>49</v>
      </c>
      <c r="AK988" s="122" t="s">
        <v>50</v>
      </c>
      <c r="AL988" s="21" t="s">
        <v>51</v>
      </c>
      <c r="AM988" s="122" t="s">
        <v>48</v>
      </c>
    </row>
    <row r="989" spans="1:39" customFormat="1" ht="15.75" customHeight="1" x14ac:dyDescent="0.3">
      <c r="A989" t="s">
        <v>48</v>
      </c>
      <c r="B989" s="21" t="s">
        <v>565</v>
      </c>
      <c r="C989" s="21" t="s">
        <v>688</v>
      </c>
      <c r="D989" s="117" t="s">
        <v>756</v>
      </c>
      <c r="E989" s="21" t="s">
        <v>9</v>
      </c>
      <c r="F989" s="21" t="s">
        <v>419</v>
      </c>
      <c r="G989" s="21">
        <v>99.6</v>
      </c>
      <c r="H989" s="21"/>
      <c r="I989" s="117" t="s">
        <v>325</v>
      </c>
      <c r="J989" s="117" t="s">
        <v>325</v>
      </c>
      <c r="K989" s="118">
        <v>36.5</v>
      </c>
      <c r="L989" s="21"/>
      <c r="M989" s="21"/>
      <c r="N989" s="21"/>
      <c r="O989" s="21"/>
      <c r="P989" s="21">
        <v>63.1</v>
      </c>
      <c r="Q989" s="21"/>
      <c r="R989" s="21" t="s">
        <v>329</v>
      </c>
      <c r="S989" s="119">
        <f>DATABASE_Table[[#This Row],[Inicial Asking Price (€) (Total)]]-DATABASE_Table[[#This Row],[Vista membership]]-DATABASE_Table[[#This Row],[FF&amp;E]]</f>
        <v>845000</v>
      </c>
      <c r="T989" s="125">
        <v>910000</v>
      </c>
      <c r="U989" s="124">
        <v>970000</v>
      </c>
      <c r="V989" s="21">
        <v>50000</v>
      </c>
      <c r="W989" s="21">
        <v>15000</v>
      </c>
      <c r="X989" s="73">
        <f>DATABASE_Table[[#This Row],[Current Asking price( Total)]]-DATABASE_Table[[#This Row],[Vista membership]]-DATABASE_Table[[#This Row],[FF&amp;E]]</f>
        <v>905000</v>
      </c>
      <c r="Y989" s="126"/>
      <c r="Z989" s="124">
        <v>970000</v>
      </c>
      <c r="AA989" s="73">
        <f>DATABASE_Table[[#This Row],[Sell price (Total)]]-DATABASE_Table[[#This Row],[FF&amp;E]]-DATABASE_Table[[#This Row],[Vista membership]]</f>
        <v>905000</v>
      </c>
      <c r="AB989" s="74">
        <v>46057</v>
      </c>
      <c r="AC989" s="74" t="str">
        <f t="shared" si="15"/>
        <v>Q1 2026</v>
      </c>
      <c r="AD989" s="123"/>
      <c r="AE989" s="69"/>
      <c r="AF989" s="21" t="s">
        <v>10</v>
      </c>
      <c r="AG989" s="21" t="s">
        <v>34</v>
      </c>
      <c r="AH989" s="122" t="s">
        <v>32</v>
      </c>
      <c r="AI989" s="122" t="s">
        <v>683</v>
      </c>
      <c r="AJ989" s="122" t="s">
        <v>49</v>
      </c>
      <c r="AK989" s="122" t="s">
        <v>50</v>
      </c>
      <c r="AL989" s="21" t="s">
        <v>51</v>
      </c>
      <c r="AM989" s="122" t="s">
        <v>48</v>
      </c>
    </row>
    <row r="990" spans="1:39" customFormat="1" ht="15.75" customHeight="1" x14ac:dyDescent="0.3">
      <c r="A990" t="s">
        <v>48</v>
      </c>
      <c r="B990" s="21" t="s">
        <v>565</v>
      </c>
      <c r="C990" s="21" t="s">
        <v>688</v>
      </c>
      <c r="D990" s="117" t="s">
        <v>757</v>
      </c>
      <c r="E990" s="21" t="s">
        <v>9</v>
      </c>
      <c r="F990" s="21" t="s">
        <v>419</v>
      </c>
      <c r="G990" s="21">
        <v>99.6</v>
      </c>
      <c r="H990" s="21"/>
      <c r="I990" s="117" t="s">
        <v>325</v>
      </c>
      <c r="J990" s="117" t="s">
        <v>325</v>
      </c>
      <c r="K990" s="118">
        <v>36.5</v>
      </c>
      <c r="L990" s="21"/>
      <c r="M990" s="21"/>
      <c r="N990" s="21"/>
      <c r="O990" s="21"/>
      <c r="P990" s="21">
        <v>63.1</v>
      </c>
      <c r="Q990" s="21"/>
      <c r="R990" s="21" t="s">
        <v>329</v>
      </c>
      <c r="S990" s="119">
        <f>DATABASE_Table[[#This Row],[Inicial Asking Price (€) (Total)]]-DATABASE_Table[[#This Row],[Vista membership]]-DATABASE_Table[[#This Row],[FF&amp;E]]</f>
        <v>895000</v>
      </c>
      <c r="T990" s="125">
        <v>960000</v>
      </c>
      <c r="U990" s="124">
        <v>1020000</v>
      </c>
      <c r="V990" s="21">
        <v>50000</v>
      </c>
      <c r="W990" s="21">
        <v>15000</v>
      </c>
      <c r="X990" s="73">
        <f>DATABASE_Table[[#This Row],[Current Asking price( Total)]]-DATABASE_Table[[#This Row],[Vista membership]]-DATABASE_Table[[#This Row],[FF&amp;E]]</f>
        <v>955000</v>
      </c>
      <c r="Y990" s="126"/>
      <c r="Z990" s="124">
        <v>1020000</v>
      </c>
      <c r="AA990" s="73">
        <f>DATABASE_Table[[#This Row],[Sell price (Total)]]-DATABASE_Table[[#This Row],[FF&amp;E]]-DATABASE_Table[[#This Row],[Vista membership]]</f>
        <v>955000</v>
      </c>
      <c r="AB990" s="74">
        <v>46057</v>
      </c>
      <c r="AC990" s="74" t="str">
        <f t="shared" si="15"/>
        <v>Q1 2026</v>
      </c>
      <c r="AD990" s="123"/>
      <c r="AE990" s="69"/>
      <c r="AF990" s="21" t="s">
        <v>10</v>
      </c>
      <c r="AG990" s="21" t="s">
        <v>34</v>
      </c>
      <c r="AH990" s="122" t="s">
        <v>32</v>
      </c>
      <c r="AI990" s="122" t="s">
        <v>683</v>
      </c>
      <c r="AJ990" s="122" t="s">
        <v>49</v>
      </c>
      <c r="AK990" s="122" t="s">
        <v>50</v>
      </c>
      <c r="AL990" s="21" t="s">
        <v>51</v>
      </c>
      <c r="AM990" s="122" t="s">
        <v>48</v>
      </c>
    </row>
    <row r="991" spans="1:39" customFormat="1" ht="15.75" customHeight="1" x14ac:dyDescent="0.3">
      <c r="A991" t="s">
        <v>48</v>
      </c>
      <c r="B991" s="21" t="s">
        <v>565</v>
      </c>
      <c r="C991" s="21" t="s">
        <v>688</v>
      </c>
      <c r="D991" s="117" t="s">
        <v>758</v>
      </c>
      <c r="E991" s="21" t="s">
        <v>9</v>
      </c>
      <c r="F991" s="21" t="s">
        <v>419</v>
      </c>
      <c r="G991" s="21">
        <v>101.5</v>
      </c>
      <c r="H991" s="21"/>
      <c r="I991" s="117" t="s">
        <v>325</v>
      </c>
      <c r="J991" s="117" t="s">
        <v>325</v>
      </c>
      <c r="K991" s="118">
        <v>37.200000000000003</v>
      </c>
      <c r="L991" s="21"/>
      <c r="M991" s="21"/>
      <c r="N991" s="21"/>
      <c r="O991" s="21"/>
      <c r="P991" s="21">
        <v>64.3</v>
      </c>
      <c r="Q991" s="21"/>
      <c r="R991" s="21" t="s">
        <v>329</v>
      </c>
      <c r="S991" s="119">
        <f>DATABASE_Table[[#This Row],[Inicial Asking Price (€) (Total)]]-DATABASE_Table[[#This Row],[Vista membership]]-DATABASE_Table[[#This Row],[FF&amp;E]]</f>
        <v>965000</v>
      </c>
      <c r="T991" s="125">
        <v>1030000</v>
      </c>
      <c r="U991" s="124">
        <v>1100000</v>
      </c>
      <c r="V991" s="21">
        <v>50000</v>
      </c>
      <c r="W991" s="21">
        <v>15000</v>
      </c>
      <c r="X991" s="73">
        <f>DATABASE_Table[[#This Row],[Current Asking price( Total)]]-DATABASE_Table[[#This Row],[Vista membership]]-DATABASE_Table[[#This Row],[FF&amp;E]]</f>
        <v>1035000</v>
      </c>
      <c r="Y991" s="126"/>
      <c r="Z991" s="124">
        <v>1100000</v>
      </c>
      <c r="AA991" s="73">
        <f>DATABASE_Table[[#This Row],[Sell price (Total)]]-DATABASE_Table[[#This Row],[FF&amp;E]]-DATABASE_Table[[#This Row],[Vista membership]]</f>
        <v>1035000</v>
      </c>
      <c r="AB991" s="74">
        <v>46057</v>
      </c>
      <c r="AC991" s="74" t="str">
        <f t="shared" si="15"/>
        <v>Q1 2026</v>
      </c>
      <c r="AD991" s="123"/>
      <c r="AE991" s="69"/>
      <c r="AF991" s="21" t="s">
        <v>10</v>
      </c>
      <c r="AG991" s="21" t="s">
        <v>34</v>
      </c>
      <c r="AH991" s="122" t="s">
        <v>32</v>
      </c>
      <c r="AI991" s="122" t="s">
        <v>683</v>
      </c>
      <c r="AJ991" s="122" t="s">
        <v>49</v>
      </c>
      <c r="AK991" s="122" t="s">
        <v>50</v>
      </c>
      <c r="AL991" s="21" t="s">
        <v>51</v>
      </c>
      <c r="AM991" s="122" t="s">
        <v>48</v>
      </c>
    </row>
    <row r="992" spans="1:39" customFormat="1" ht="15.75" customHeight="1" x14ac:dyDescent="0.3">
      <c r="A992" t="s">
        <v>48</v>
      </c>
      <c r="B992" s="21" t="s">
        <v>565</v>
      </c>
      <c r="C992" s="21" t="s">
        <v>688</v>
      </c>
      <c r="D992" s="117" t="s">
        <v>847</v>
      </c>
      <c r="E992" s="21" t="s">
        <v>9</v>
      </c>
      <c r="F992" s="21" t="s">
        <v>319</v>
      </c>
      <c r="G992" s="21">
        <v>168.6</v>
      </c>
      <c r="H992" s="21"/>
      <c r="I992" s="117" t="s">
        <v>842</v>
      </c>
      <c r="J992" s="117" t="s">
        <v>325</v>
      </c>
      <c r="K992" s="118">
        <v>64.7</v>
      </c>
      <c r="L992" s="21"/>
      <c r="M992" s="21"/>
      <c r="N992" s="21"/>
      <c r="O992" s="21"/>
      <c r="P992" s="21">
        <v>103.9</v>
      </c>
      <c r="Q992" s="21"/>
      <c r="R992" s="21" t="s">
        <v>329</v>
      </c>
      <c r="S992" s="119">
        <f>DATABASE_Table[[#This Row],[Inicial Asking Price (€) (Total)]]-DATABASE_Table[[#This Row],[Vista membership]]-DATABASE_Table[[#This Row],[FF&amp;E]]</f>
        <v>1037000</v>
      </c>
      <c r="T992" s="125">
        <v>1110000</v>
      </c>
      <c r="U992" s="124">
        <v>1180000</v>
      </c>
      <c r="V992" s="21">
        <v>50000</v>
      </c>
      <c r="W992" s="21">
        <v>23000</v>
      </c>
      <c r="X992" s="73">
        <f>DATABASE_Table[[#This Row],[Current Asking price( Total)]]-DATABASE_Table[[#This Row],[Vista membership]]-DATABASE_Table[[#This Row],[FF&amp;E]]</f>
        <v>1107000</v>
      </c>
      <c r="Y992" s="126"/>
      <c r="Z992" s="124">
        <v>1180000</v>
      </c>
      <c r="AA992" s="73">
        <f>DATABASE_Table[[#This Row],[Sell price (Total)]]-DATABASE_Table[[#This Row],[FF&amp;E]]-DATABASE_Table[[#This Row],[Vista membership]]</f>
        <v>1107000</v>
      </c>
      <c r="AB992" s="74">
        <v>46057</v>
      </c>
      <c r="AC992" s="74" t="str">
        <f t="shared" si="15"/>
        <v>Q1 2026</v>
      </c>
      <c r="AD992" s="123"/>
      <c r="AE992" s="69"/>
      <c r="AF992" s="21" t="s">
        <v>10</v>
      </c>
      <c r="AG992" s="21" t="s">
        <v>34</v>
      </c>
      <c r="AH992" s="122" t="s">
        <v>32</v>
      </c>
      <c r="AI992" s="122" t="s">
        <v>683</v>
      </c>
      <c r="AJ992" s="122" t="s">
        <v>49</v>
      </c>
      <c r="AK992" s="122" t="s">
        <v>50</v>
      </c>
      <c r="AL992" s="21" t="s">
        <v>51</v>
      </c>
      <c r="AM992" s="122" t="s">
        <v>48</v>
      </c>
    </row>
    <row r="993" spans="1:39" customFormat="1" ht="15.75" customHeight="1" x14ac:dyDescent="0.3">
      <c r="A993" t="s">
        <v>48</v>
      </c>
      <c r="B993" s="21" t="s">
        <v>565</v>
      </c>
      <c r="C993" s="21" t="s">
        <v>688</v>
      </c>
      <c r="D993" s="117" t="s">
        <v>848</v>
      </c>
      <c r="E993" s="21" t="s">
        <v>9</v>
      </c>
      <c r="F993" s="21" t="s">
        <v>319</v>
      </c>
      <c r="G993" s="21">
        <v>168.6</v>
      </c>
      <c r="H993" s="21"/>
      <c r="I993" s="117" t="s">
        <v>842</v>
      </c>
      <c r="J993" s="117" t="s">
        <v>325</v>
      </c>
      <c r="K993" s="118">
        <v>64.7</v>
      </c>
      <c r="L993" s="21"/>
      <c r="M993" s="21"/>
      <c r="N993" s="21"/>
      <c r="O993" s="21"/>
      <c r="P993" s="21">
        <v>103.9</v>
      </c>
      <c r="Q993" s="21"/>
      <c r="R993" s="21" t="s">
        <v>329</v>
      </c>
      <c r="S993" s="119">
        <f>DATABASE_Table[[#This Row],[Inicial Asking Price (€) (Total)]]-DATABASE_Table[[#This Row],[Vista membership]]-DATABASE_Table[[#This Row],[FF&amp;E]]</f>
        <v>1127000</v>
      </c>
      <c r="T993" s="125">
        <v>1200000</v>
      </c>
      <c r="U993" s="124">
        <v>1270000</v>
      </c>
      <c r="V993" s="21">
        <v>50000</v>
      </c>
      <c r="W993" s="21">
        <v>23000</v>
      </c>
      <c r="X993" s="73">
        <f>DATABASE_Table[[#This Row],[Current Asking price( Total)]]-DATABASE_Table[[#This Row],[Vista membership]]-DATABASE_Table[[#This Row],[FF&amp;E]]</f>
        <v>1197000</v>
      </c>
      <c r="Y993" s="126"/>
      <c r="Z993" s="124">
        <v>1270000</v>
      </c>
      <c r="AA993" s="73">
        <f>DATABASE_Table[[#This Row],[Sell price (Total)]]-DATABASE_Table[[#This Row],[FF&amp;E]]-DATABASE_Table[[#This Row],[Vista membership]]</f>
        <v>1197000</v>
      </c>
      <c r="AB993" s="74">
        <v>46057</v>
      </c>
      <c r="AC993" s="74" t="str">
        <f t="shared" si="15"/>
        <v>Q1 2026</v>
      </c>
      <c r="AD993" s="123"/>
      <c r="AE993" s="69"/>
      <c r="AF993" s="21" t="s">
        <v>10</v>
      </c>
      <c r="AG993" s="21" t="s">
        <v>34</v>
      </c>
      <c r="AH993" s="122" t="s">
        <v>32</v>
      </c>
      <c r="AI993" s="122" t="s">
        <v>683</v>
      </c>
      <c r="AJ993" s="122" t="s">
        <v>49</v>
      </c>
      <c r="AK993" s="122" t="s">
        <v>50</v>
      </c>
      <c r="AL993" s="21" t="s">
        <v>51</v>
      </c>
      <c r="AM993" s="122" t="s">
        <v>48</v>
      </c>
    </row>
    <row r="994" spans="1:39" customFormat="1" ht="15.75" customHeight="1" x14ac:dyDescent="0.3">
      <c r="A994" t="s">
        <v>48</v>
      </c>
      <c r="B994" s="21" t="s">
        <v>565</v>
      </c>
      <c r="C994" s="21" t="s">
        <v>688</v>
      </c>
      <c r="D994" s="117" t="s">
        <v>849</v>
      </c>
      <c r="E994" s="21" t="s">
        <v>9</v>
      </c>
      <c r="F994" s="21" t="s">
        <v>319</v>
      </c>
      <c r="G994" s="21">
        <v>168.6</v>
      </c>
      <c r="H994" s="21"/>
      <c r="I994" s="117" t="s">
        <v>842</v>
      </c>
      <c r="J994" s="117" t="s">
        <v>325</v>
      </c>
      <c r="K994" s="118">
        <v>64.7</v>
      </c>
      <c r="L994" s="21"/>
      <c r="M994" s="21"/>
      <c r="N994" s="21"/>
      <c r="O994" s="21"/>
      <c r="P994" s="21">
        <v>103.9</v>
      </c>
      <c r="Q994" s="21"/>
      <c r="R994" s="21" t="s">
        <v>329</v>
      </c>
      <c r="S994" s="119">
        <f>DATABASE_Table[[#This Row],[Inicial Asking Price (€) (Total)]]-DATABASE_Table[[#This Row],[Vista membership]]-DATABASE_Table[[#This Row],[FF&amp;E]]</f>
        <v>1187000</v>
      </c>
      <c r="T994" s="125">
        <v>1260000</v>
      </c>
      <c r="U994" s="124">
        <v>1330000</v>
      </c>
      <c r="V994" s="21">
        <v>50000</v>
      </c>
      <c r="W994" s="21">
        <v>23000</v>
      </c>
      <c r="X994" s="73">
        <f>DATABASE_Table[[#This Row],[Current Asking price( Total)]]-DATABASE_Table[[#This Row],[Vista membership]]-DATABASE_Table[[#This Row],[FF&amp;E]]</f>
        <v>1257000</v>
      </c>
      <c r="Y994" s="126"/>
      <c r="Z994" s="124">
        <v>1330000</v>
      </c>
      <c r="AA994" s="73">
        <f>DATABASE_Table[[#This Row],[Sell price (Total)]]-DATABASE_Table[[#This Row],[FF&amp;E]]-DATABASE_Table[[#This Row],[Vista membership]]</f>
        <v>1257000</v>
      </c>
      <c r="AB994" s="74">
        <v>46057</v>
      </c>
      <c r="AC994" s="74" t="str">
        <f t="shared" si="15"/>
        <v>Q1 2026</v>
      </c>
      <c r="AD994" s="123"/>
      <c r="AE994" s="69"/>
      <c r="AF994" s="21" t="s">
        <v>10</v>
      </c>
      <c r="AG994" s="21" t="s">
        <v>34</v>
      </c>
      <c r="AH994" s="122" t="s">
        <v>32</v>
      </c>
      <c r="AI994" s="122" t="s">
        <v>683</v>
      </c>
      <c r="AJ994" s="122" t="s">
        <v>49</v>
      </c>
      <c r="AK994" s="122" t="s">
        <v>50</v>
      </c>
      <c r="AL994" s="21" t="s">
        <v>51</v>
      </c>
      <c r="AM994" s="122" t="s">
        <v>48</v>
      </c>
    </row>
    <row r="995" spans="1:39" customFormat="1" ht="15.75" customHeight="1" x14ac:dyDescent="0.3">
      <c r="A995" t="s">
        <v>48</v>
      </c>
      <c r="B995" s="21" t="s">
        <v>565</v>
      </c>
      <c r="C995" s="21" t="s">
        <v>688</v>
      </c>
      <c r="D995" s="117" t="s">
        <v>850</v>
      </c>
      <c r="E995" s="21" t="s">
        <v>9</v>
      </c>
      <c r="F995" s="21" t="s">
        <v>319</v>
      </c>
      <c r="G995" s="21">
        <v>167.8</v>
      </c>
      <c r="H995" s="21"/>
      <c r="I995" s="117" t="s">
        <v>842</v>
      </c>
      <c r="J995" s="117" t="s">
        <v>325</v>
      </c>
      <c r="K995" s="118">
        <v>63.9</v>
      </c>
      <c r="L995" s="21"/>
      <c r="M995" s="21"/>
      <c r="N995" s="21"/>
      <c r="O995" s="21"/>
      <c r="P995" s="21">
        <v>103.9</v>
      </c>
      <c r="Q995" s="21"/>
      <c r="R995" s="21" t="s">
        <v>329</v>
      </c>
      <c r="S995" s="119">
        <f>DATABASE_Table[[#This Row],[Inicial Asking Price (€) (Total)]]-DATABASE_Table[[#This Row],[Vista membership]]-DATABASE_Table[[#This Row],[FF&amp;E]]</f>
        <v>1247000</v>
      </c>
      <c r="T995" s="125">
        <v>1320000</v>
      </c>
      <c r="U995" s="124">
        <v>1390000</v>
      </c>
      <c r="V995" s="21">
        <v>50000</v>
      </c>
      <c r="W995" s="21">
        <v>23000</v>
      </c>
      <c r="X995" s="73">
        <f>DATABASE_Table[[#This Row],[Current Asking price( Total)]]-DATABASE_Table[[#This Row],[Vista membership]]-DATABASE_Table[[#This Row],[FF&amp;E]]</f>
        <v>1317000</v>
      </c>
      <c r="Y995" s="126"/>
      <c r="Z995" s="124">
        <v>1390000</v>
      </c>
      <c r="AA995" s="73">
        <f>DATABASE_Table[[#This Row],[Sell price (Total)]]-DATABASE_Table[[#This Row],[FF&amp;E]]-DATABASE_Table[[#This Row],[Vista membership]]</f>
        <v>1317000</v>
      </c>
      <c r="AB995" s="74">
        <v>46057</v>
      </c>
      <c r="AC995" s="74" t="str">
        <f t="shared" si="15"/>
        <v>Q1 2026</v>
      </c>
      <c r="AD995" s="123"/>
      <c r="AE995" s="69"/>
      <c r="AF995" s="21" t="s">
        <v>10</v>
      </c>
      <c r="AG995" s="21" t="s">
        <v>34</v>
      </c>
      <c r="AH995" s="122" t="s">
        <v>32</v>
      </c>
      <c r="AI995" s="122" t="s">
        <v>683</v>
      </c>
      <c r="AJ995" s="122" t="s">
        <v>49</v>
      </c>
      <c r="AK995" s="122" t="s">
        <v>50</v>
      </c>
      <c r="AL995" s="21" t="s">
        <v>51</v>
      </c>
      <c r="AM995" s="122" t="s">
        <v>48</v>
      </c>
    </row>
    <row r="996" spans="1:39" customFormat="1" ht="15.75" customHeight="1" x14ac:dyDescent="0.3">
      <c r="A996" t="s">
        <v>1109</v>
      </c>
      <c r="B996" s="21" t="s">
        <v>686</v>
      </c>
      <c r="C996" s="21" t="s">
        <v>688</v>
      </c>
      <c r="D996" s="117" t="s">
        <v>362</v>
      </c>
      <c r="E996" s="21"/>
      <c r="F996" s="21" t="s">
        <v>384</v>
      </c>
      <c r="G996" s="21">
        <v>158.05609999999999</v>
      </c>
      <c r="H996" s="21"/>
      <c r="I996" s="117" t="s">
        <v>325</v>
      </c>
      <c r="J996" s="117" t="s">
        <v>325</v>
      </c>
      <c r="K996" s="118"/>
      <c r="L996" s="21"/>
      <c r="M996" s="21"/>
      <c r="N996" s="21"/>
      <c r="O996" s="21"/>
      <c r="P996" s="21">
        <v>158.05609999999999</v>
      </c>
      <c r="Q996" s="21"/>
      <c r="R996" s="21" t="s">
        <v>923</v>
      </c>
      <c r="S996" s="119">
        <f>DATABASE_Table[[#This Row],[Inicial Asking Price (€) (Total)]]-DATABASE_Table[[#This Row],[Vista membership]]-DATABASE_Table[[#This Row],[FF&amp;E]]</f>
        <v>956900</v>
      </c>
      <c r="T996" s="125">
        <v>956900</v>
      </c>
      <c r="U996" s="124">
        <v>991999.99818600004</v>
      </c>
      <c r="V996" s="21"/>
      <c r="W996" s="21"/>
      <c r="X996" s="73">
        <f>DATABASE_Table[[#This Row],[Current Asking price( Total)]]-DATABASE_Table[[#This Row],[Vista membership]]-DATABASE_Table[[#This Row],[FF&amp;E]]</f>
        <v>991999.99818600004</v>
      </c>
      <c r="Y996" s="126">
        <v>-1.82862902597947E-9</v>
      </c>
      <c r="Z996" s="124">
        <v>992000</v>
      </c>
      <c r="AA996" s="73">
        <f>DATABASE_Table[[#This Row],[Sell price (Total)]]-DATABASE_Table[[#This Row],[FF&amp;E]]-DATABASE_Table[[#This Row],[Vista membership]]</f>
        <v>992000</v>
      </c>
      <c r="AB996" s="74">
        <v>44641</v>
      </c>
      <c r="AC996" s="74" t="str">
        <f t="shared" si="15"/>
        <v>Q1 2022</v>
      </c>
      <c r="AD996" s="123"/>
      <c r="AE996" s="69"/>
      <c r="AF996" s="21" t="s">
        <v>10</v>
      </c>
      <c r="AG996" s="21"/>
      <c r="AH996" s="122"/>
      <c r="AI996" s="122"/>
      <c r="AJ996" s="122"/>
      <c r="AK996" s="122"/>
      <c r="AL996" s="21"/>
      <c r="AM996" s="122" t="s">
        <v>686</v>
      </c>
    </row>
    <row r="997" spans="1:39" customFormat="1" ht="15.75" customHeight="1" x14ac:dyDescent="0.3">
      <c r="A997" t="s">
        <v>1109</v>
      </c>
      <c r="B997" s="21" t="s">
        <v>686</v>
      </c>
      <c r="C997" s="21" t="s">
        <v>688</v>
      </c>
      <c r="D997" s="117" t="s">
        <v>363</v>
      </c>
      <c r="E997" s="21"/>
      <c r="F997" s="21" t="s">
        <v>384</v>
      </c>
      <c r="G997" s="21">
        <v>152.87280000000001</v>
      </c>
      <c r="H997" s="21"/>
      <c r="I997" s="117" t="s">
        <v>325</v>
      </c>
      <c r="J997" s="117" t="s">
        <v>325</v>
      </c>
      <c r="K997" s="118"/>
      <c r="L997" s="21"/>
      <c r="M997" s="21"/>
      <c r="N997" s="21"/>
      <c r="O997" s="21"/>
      <c r="P997" s="21">
        <v>152.87280000000001</v>
      </c>
      <c r="Q997" s="21"/>
      <c r="R997" s="21" t="s">
        <v>923</v>
      </c>
      <c r="S997" s="119">
        <f>DATABASE_Table[[#This Row],[Inicial Asking Price (€) (Total)]]-DATABASE_Table[[#This Row],[Vista membership]]-DATABASE_Table[[#This Row],[FF&amp;E]]</f>
        <v>942100</v>
      </c>
      <c r="T997" s="125">
        <v>942100</v>
      </c>
      <c r="U997" s="124">
        <v>959999.99834399996</v>
      </c>
      <c r="V997" s="21"/>
      <c r="W997" s="21"/>
      <c r="X997" s="73">
        <f>DATABASE_Table[[#This Row],[Current Asking price( Total)]]-DATABASE_Table[[#This Row],[Vista membership]]-DATABASE_Table[[#This Row],[FF&amp;E]]</f>
        <v>959999.99834399996</v>
      </c>
      <c r="Y997" s="126">
        <v>-1.72500014272714E-9</v>
      </c>
      <c r="Z997" s="124">
        <v>960000</v>
      </c>
      <c r="AA997" s="73">
        <f>DATABASE_Table[[#This Row],[Sell price (Total)]]-DATABASE_Table[[#This Row],[FF&amp;E]]-DATABASE_Table[[#This Row],[Vista membership]]</f>
        <v>960000</v>
      </c>
      <c r="AB997" s="74">
        <v>44641</v>
      </c>
      <c r="AC997" s="74" t="str">
        <f t="shared" si="15"/>
        <v>Q1 2022</v>
      </c>
      <c r="AD997" s="123"/>
      <c r="AE997" s="69"/>
      <c r="AF997" s="21" t="s">
        <v>10</v>
      </c>
      <c r="AG997" s="21"/>
      <c r="AH997" s="122"/>
      <c r="AI997" s="122"/>
      <c r="AJ997" s="122"/>
      <c r="AK997" s="122"/>
      <c r="AL997" s="21"/>
      <c r="AM997" s="122" t="s">
        <v>686</v>
      </c>
    </row>
    <row r="998" spans="1:39" customFormat="1" ht="15.75" customHeight="1" x14ac:dyDescent="0.3">
      <c r="A998" t="s">
        <v>1109</v>
      </c>
      <c r="B998" s="21" t="s">
        <v>686</v>
      </c>
      <c r="C998" s="21" t="s">
        <v>688</v>
      </c>
      <c r="D998" s="117" t="s">
        <v>336</v>
      </c>
      <c r="E998" s="21"/>
      <c r="F998" s="21" t="s">
        <v>384</v>
      </c>
      <c r="G998" s="21">
        <v>165.44130000000001</v>
      </c>
      <c r="H998" s="21"/>
      <c r="I998" s="117" t="s">
        <v>325</v>
      </c>
      <c r="J998" s="117" t="s">
        <v>325</v>
      </c>
      <c r="K998" s="118"/>
      <c r="L998" s="21"/>
      <c r="M998" s="21"/>
      <c r="N998" s="21"/>
      <c r="O998" s="21"/>
      <c r="P998" s="21">
        <v>165.44130000000001</v>
      </c>
      <c r="Q998" s="21"/>
      <c r="R998" s="21" t="s">
        <v>923</v>
      </c>
      <c r="S998" s="119">
        <f>DATABASE_Table[[#This Row],[Inicial Asking Price (€) (Total)]]-DATABASE_Table[[#This Row],[Vista membership]]-DATABASE_Table[[#This Row],[FF&amp;E]]</f>
        <v>1054782</v>
      </c>
      <c r="T998" s="125">
        <v>1054782</v>
      </c>
      <c r="U998" s="124">
        <v>1200000</v>
      </c>
      <c r="V998" s="21"/>
      <c r="W998" s="21"/>
      <c r="X998" s="73">
        <f>DATABASE_Table[[#This Row],[Current Asking price( Total)]]-DATABASE_Table[[#This Row],[Vista membership]]-DATABASE_Table[[#This Row],[FF&amp;E]]</f>
        <v>1200000</v>
      </c>
      <c r="Y998" s="126">
        <v>0</v>
      </c>
      <c r="Z998" s="124">
        <v>1200000</v>
      </c>
      <c r="AA998" s="73">
        <f>DATABASE_Table[[#This Row],[Sell price (Total)]]-DATABASE_Table[[#This Row],[FF&amp;E]]-DATABASE_Table[[#This Row],[Vista membership]]</f>
        <v>1200000</v>
      </c>
      <c r="AB998" s="74">
        <v>44641</v>
      </c>
      <c r="AC998" s="74" t="str">
        <f t="shared" si="15"/>
        <v>Q1 2022</v>
      </c>
      <c r="AD998" s="123">
        <v>45590</v>
      </c>
      <c r="AE998" s="69"/>
      <c r="AF998" s="21" t="s">
        <v>10</v>
      </c>
      <c r="AG998" s="21"/>
      <c r="AH998" s="122"/>
      <c r="AI998" s="122"/>
      <c r="AJ998" s="122"/>
      <c r="AK998" s="122"/>
      <c r="AL998" s="21"/>
      <c r="AM998" s="122" t="s">
        <v>686</v>
      </c>
    </row>
    <row r="999" spans="1:39" customFormat="1" ht="15.75" customHeight="1" x14ac:dyDescent="0.3">
      <c r="A999" t="s">
        <v>1109</v>
      </c>
      <c r="B999" s="21" t="s">
        <v>686</v>
      </c>
      <c r="C999" s="21" t="s">
        <v>688</v>
      </c>
      <c r="D999" s="117" t="s">
        <v>364</v>
      </c>
      <c r="E999" s="21"/>
      <c r="F999" s="21" t="s">
        <v>384</v>
      </c>
      <c r="G999" s="21">
        <v>152.87280000000001</v>
      </c>
      <c r="H999" s="21"/>
      <c r="I999" s="117" t="s">
        <v>325</v>
      </c>
      <c r="J999" s="117" t="s">
        <v>325</v>
      </c>
      <c r="K999" s="118"/>
      <c r="L999" s="21"/>
      <c r="M999" s="21"/>
      <c r="N999" s="21"/>
      <c r="O999" s="21"/>
      <c r="P999" s="21">
        <v>152.87280000000001</v>
      </c>
      <c r="Q999" s="21"/>
      <c r="R999" s="21" t="s">
        <v>923</v>
      </c>
      <c r="S999" s="119">
        <f>DATABASE_Table[[#This Row],[Inicial Asking Price (€) (Total)]]-DATABASE_Table[[#This Row],[Vista membership]]-DATABASE_Table[[#This Row],[FF&amp;E]]</f>
        <v>942100</v>
      </c>
      <c r="T999" s="125">
        <v>942100</v>
      </c>
      <c r="U999" s="124">
        <v>990000</v>
      </c>
      <c r="V999" s="21"/>
      <c r="W999" s="21"/>
      <c r="X999" s="73">
        <f>DATABASE_Table[[#This Row],[Current Asking price( Total)]]-DATABASE_Table[[#This Row],[Vista membership]]-DATABASE_Table[[#This Row],[FF&amp;E]]</f>
        <v>990000</v>
      </c>
      <c r="Y999" s="126">
        <v>0</v>
      </c>
      <c r="Z999" s="124">
        <v>990000</v>
      </c>
      <c r="AA999" s="73">
        <f>DATABASE_Table[[#This Row],[Sell price (Total)]]-DATABASE_Table[[#This Row],[FF&amp;E]]-DATABASE_Table[[#This Row],[Vista membership]]</f>
        <v>990000</v>
      </c>
      <c r="AB999" s="74">
        <v>44641</v>
      </c>
      <c r="AC999" s="74" t="str">
        <f t="shared" si="15"/>
        <v>Q1 2022</v>
      </c>
      <c r="AD999" s="123"/>
      <c r="AE999" s="69"/>
      <c r="AF999" s="21" t="s">
        <v>10</v>
      </c>
      <c r="AG999" s="21"/>
      <c r="AH999" s="122"/>
      <c r="AI999" s="122"/>
      <c r="AJ999" s="122"/>
      <c r="AK999" s="122"/>
      <c r="AL999" s="21"/>
      <c r="AM999" s="122" t="s">
        <v>686</v>
      </c>
    </row>
    <row r="1000" spans="1:39" customFormat="1" ht="15.75" customHeight="1" x14ac:dyDescent="0.3">
      <c r="A1000" t="s">
        <v>1109</v>
      </c>
      <c r="B1000" s="21" t="s">
        <v>686</v>
      </c>
      <c r="C1000" s="21" t="s">
        <v>688</v>
      </c>
      <c r="D1000" s="117" t="s">
        <v>365</v>
      </c>
      <c r="E1000" s="21"/>
      <c r="F1000" s="21" t="s">
        <v>384</v>
      </c>
      <c r="G1000" s="21">
        <v>164.08609999999999</v>
      </c>
      <c r="H1000" s="21"/>
      <c r="I1000" s="117" t="s">
        <v>325</v>
      </c>
      <c r="J1000" s="117" t="s">
        <v>325</v>
      </c>
      <c r="K1000" s="118"/>
      <c r="L1000" s="21"/>
      <c r="M1000" s="21"/>
      <c r="N1000" s="21"/>
      <c r="O1000" s="21"/>
      <c r="P1000" s="21">
        <v>164.08609999999999</v>
      </c>
      <c r="Q1000" s="21"/>
      <c r="R1000" s="21" t="s">
        <v>923</v>
      </c>
      <c r="S1000" s="119">
        <f>DATABASE_Table[[#This Row],[Inicial Asking Price (€) (Total)]]-DATABASE_Table[[#This Row],[Vista membership]]-DATABASE_Table[[#This Row],[FF&amp;E]]</f>
        <v>1035900</v>
      </c>
      <c r="T1000" s="125">
        <v>1035900</v>
      </c>
      <c r="U1000" s="124">
        <v>1160000</v>
      </c>
      <c r="V1000" s="21"/>
      <c r="W1000" s="21"/>
      <c r="X1000" s="73">
        <f>DATABASE_Table[[#This Row],[Current Asking price( Total)]]-DATABASE_Table[[#This Row],[Vista membership]]-DATABASE_Table[[#This Row],[FF&amp;E]]</f>
        <v>1160000</v>
      </c>
      <c r="Y1000" s="126">
        <v>0</v>
      </c>
      <c r="Z1000" s="124">
        <v>1160000</v>
      </c>
      <c r="AA1000" s="73">
        <f>DATABASE_Table[[#This Row],[Sell price (Total)]]-DATABASE_Table[[#This Row],[FF&amp;E]]-DATABASE_Table[[#This Row],[Vista membership]]</f>
        <v>1160000</v>
      </c>
      <c r="AB1000" s="74">
        <v>44641</v>
      </c>
      <c r="AC1000" s="74" t="str">
        <f t="shared" si="15"/>
        <v>Q1 2022</v>
      </c>
      <c r="AD1000" s="123"/>
      <c r="AE1000" s="69"/>
      <c r="AF1000" s="21" t="s">
        <v>10</v>
      </c>
      <c r="AG1000" s="21"/>
      <c r="AH1000" s="122"/>
      <c r="AI1000" s="122"/>
      <c r="AJ1000" s="122"/>
      <c r="AK1000" s="122"/>
      <c r="AL1000" s="21"/>
      <c r="AM1000" s="122" t="s">
        <v>686</v>
      </c>
    </row>
    <row r="1001" spans="1:39" customFormat="1" ht="15.75" customHeight="1" x14ac:dyDescent="0.3">
      <c r="A1001" t="s">
        <v>1109</v>
      </c>
      <c r="B1001" s="21" t="s">
        <v>686</v>
      </c>
      <c r="C1001" s="21" t="s">
        <v>688</v>
      </c>
      <c r="D1001" s="117" t="s">
        <v>367</v>
      </c>
      <c r="E1001" s="21"/>
      <c r="F1001" s="21" t="s">
        <v>383</v>
      </c>
      <c r="G1001" s="21">
        <v>188.2499</v>
      </c>
      <c r="H1001" s="21"/>
      <c r="I1001" s="117" t="s">
        <v>325</v>
      </c>
      <c r="J1001" s="117" t="s">
        <v>325</v>
      </c>
      <c r="K1001" s="118"/>
      <c r="L1001" s="21"/>
      <c r="M1001" s="21"/>
      <c r="N1001" s="21"/>
      <c r="O1001" s="21"/>
      <c r="P1001" s="21">
        <v>188.2499</v>
      </c>
      <c r="Q1001" s="21"/>
      <c r="R1001" s="21" t="s">
        <v>923</v>
      </c>
      <c r="S1001" s="119">
        <f>DATABASE_Table[[#This Row],[Inicial Asking Price (€) (Total)]]-DATABASE_Table[[#This Row],[Vista membership]]-DATABASE_Table[[#This Row],[FF&amp;E]]</f>
        <v>1094742</v>
      </c>
      <c r="T1001" s="125">
        <v>1094742</v>
      </c>
      <c r="U1001" s="124">
        <v>1135000</v>
      </c>
      <c r="V1001" s="21"/>
      <c r="W1001" s="21"/>
      <c r="X1001" s="73">
        <f>DATABASE_Table[[#This Row],[Current Asking price( Total)]]-DATABASE_Table[[#This Row],[Vista membership]]-DATABASE_Table[[#This Row],[FF&amp;E]]</f>
        <v>1135000</v>
      </c>
      <c r="Y1001" s="126">
        <v>0</v>
      </c>
      <c r="Z1001" s="124">
        <v>1135000</v>
      </c>
      <c r="AA1001" s="73">
        <f>DATABASE_Table[[#This Row],[Sell price (Total)]]-DATABASE_Table[[#This Row],[FF&amp;E]]-DATABASE_Table[[#This Row],[Vista membership]]</f>
        <v>1135000</v>
      </c>
      <c r="AB1001" s="74">
        <v>44641</v>
      </c>
      <c r="AC1001" s="74" t="str">
        <f t="shared" si="15"/>
        <v>Q1 2022</v>
      </c>
      <c r="AD1001" s="123">
        <v>46171</v>
      </c>
      <c r="AE1001" s="69"/>
      <c r="AF1001" s="21" t="s">
        <v>10</v>
      </c>
      <c r="AG1001" s="21"/>
      <c r="AH1001" s="122"/>
      <c r="AI1001" s="122"/>
      <c r="AJ1001" s="122"/>
      <c r="AK1001" s="122"/>
      <c r="AL1001" s="21"/>
      <c r="AM1001" s="122" t="s">
        <v>686</v>
      </c>
    </row>
    <row r="1002" spans="1:39" customFormat="1" ht="15.75" customHeight="1" x14ac:dyDescent="0.3">
      <c r="A1002" t="s">
        <v>1109</v>
      </c>
      <c r="B1002" s="21" t="s">
        <v>686</v>
      </c>
      <c r="C1002" s="21" t="s">
        <v>688</v>
      </c>
      <c r="D1002" s="117" t="s">
        <v>368</v>
      </c>
      <c r="E1002" s="21"/>
      <c r="F1002" s="21" t="s">
        <v>383</v>
      </c>
      <c r="G1002" s="21">
        <v>189.1061</v>
      </c>
      <c r="H1002" s="21"/>
      <c r="I1002" s="117" t="s">
        <v>325</v>
      </c>
      <c r="J1002" s="117" t="s">
        <v>325</v>
      </c>
      <c r="K1002" s="118"/>
      <c r="L1002" s="21"/>
      <c r="M1002" s="21"/>
      <c r="N1002" s="21"/>
      <c r="O1002" s="21"/>
      <c r="P1002" s="21">
        <v>189.1061</v>
      </c>
      <c r="Q1002" s="21"/>
      <c r="R1002" s="21" t="s">
        <v>923</v>
      </c>
      <c r="S1002" s="119">
        <f>DATABASE_Table[[#This Row],[Inicial Asking Price (€) (Total)]]-DATABASE_Table[[#This Row],[Vista membership]]-DATABASE_Table[[#This Row],[FF&amp;E]]</f>
        <v>1133100</v>
      </c>
      <c r="T1002" s="125">
        <v>1133100</v>
      </c>
      <c r="U1002" s="124">
        <v>1190000</v>
      </c>
      <c r="V1002" s="21"/>
      <c r="W1002" s="21"/>
      <c r="X1002" s="73">
        <f>DATABASE_Table[[#This Row],[Current Asking price( Total)]]-DATABASE_Table[[#This Row],[Vista membership]]-DATABASE_Table[[#This Row],[FF&amp;E]]</f>
        <v>1190000</v>
      </c>
      <c r="Y1002" s="126">
        <v>0</v>
      </c>
      <c r="Z1002" s="124">
        <v>1190000</v>
      </c>
      <c r="AA1002" s="73">
        <f>DATABASE_Table[[#This Row],[Sell price (Total)]]-DATABASE_Table[[#This Row],[FF&amp;E]]-DATABASE_Table[[#This Row],[Vista membership]]</f>
        <v>1190000</v>
      </c>
      <c r="AB1002" s="74">
        <v>44641</v>
      </c>
      <c r="AC1002" s="74" t="str">
        <f t="shared" si="15"/>
        <v>Q1 2022</v>
      </c>
      <c r="AD1002" s="123">
        <v>44810</v>
      </c>
      <c r="AE1002" s="69"/>
      <c r="AF1002" s="21" t="s">
        <v>10</v>
      </c>
      <c r="AG1002" s="21"/>
      <c r="AH1002" s="122"/>
      <c r="AI1002" s="122"/>
      <c r="AJ1002" s="122"/>
      <c r="AK1002" s="122"/>
      <c r="AL1002" s="21"/>
      <c r="AM1002" s="122" t="s">
        <v>686</v>
      </c>
    </row>
    <row r="1003" spans="1:39" customFormat="1" ht="15.75" customHeight="1" x14ac:dyDescent="0.3">
      <c r="A1003" t="s">
        <v>1109</v>
      </c>
      <c r="B1003" s="21" t="s">
        <v>686</v>
      </c>
      <c r="C1003" s="21" t="s">
        <v>688</v>
      </c>
      <c r="D1003" s="117" t="s">
        <v>369</v>
      </c>
      <c r="E1003" s="21"/>
      <c r="F1003" s="21" t="s">
        <v>383</v>
      </c>
      <c r="G1003" s="21">
        <v>189.1061</v>
      </c>
      <c r="H1003" s="21"/>
      <c r="I1003" s="117" t="s">
        <v>325</v>
      </c>
      <c r="J1003" s="117" t="s">
        <v>325</v>
      </c>
      <c r="K1003" s="118"/>
      <c r="L1003" s="21"/>
      <c r="M1003" s="21"/>
      <c r="N1003" s="21"/>
      <c r="O1003" s="21"/>
      <c r="P1003" s="21">
        <v>189.1061</v>
      </c>
      <c r="Q1003" s="21"/>
      <c r="R1003" s="21" t="s">
        <v>923</v>
      </c>
      <c r="S1003" s="119">
        <f>DATABASE_Table[[#This Row],[Inicial Asking Price (€) (Total)]]-DATABASE_Table[[#This Row],[Vista membership]]-DATABASE_Table[[#This Row],[FF&amp;E]]</f>
        <v>1133100</v>
      </c>
      <c r="T1003" s="125">
        <v>1133100</v>
      </c>
      <c r="U1003" s="124">
        <v>1234800</v>
      </c>
      <c r="V1003" s="21"/>
      <c r="W1003" s="21"/>
      <c r="X1003" s="73">
        <f>DATABASE_Table[[#This Row],[Current Asking price( Total)]]-DATABASE_Table[[#This Row],[Vista membership]]-DATABASE_Table[[#This Row],[FF&amp;E]]</f>
        <v>1234800</v>
      </c>
      <c r="Y1003" s="126">
        <v>0</v>
      </c>
      <c r="Z1003" s="124">
        <v>1234800</v>
      </c>
      <c r="AA1003" s="73">
        <f>DATABASE_Table[[#This Row],[Sell price (Total)]]-DATABASE_Table[[#This Row],[FF&amp;E]]-DATABASE_Table[[#This Row],[Vista membership]]</f>
        <v>1234800</v>
      </c>
      <c r="AB1003" s="74">
        <v>44641</v>
      </c>
      <c r="AC1003" s="74" t="str">
        <f t="shared" si="15"/>
        <v>Q1 2022</v>
      </c>
      <c r="AD1003" s="123">
        <v>44817</v>
      </c>
      <c r="AE1003" s="69"/>
      <c r="AF1003" s="21" t="s">
        <v>10</v>
      </c>
      <c r="AG1003" s="21"/>
      <c r="AH1003" s="122"/>
      <c r="AI1003" s="122"/>
      <c r="AJ1003" s="122"/>
      <c r="AK1003" s="122"/>
      <c r="AL1003" s="21"/>
      <c r="AM1003" s="122" t="s">
        <v>686</v>
      </c>
    </row>
    <row r="1004" spans="1:39" customFormat="1" ht="15.75" customHeight="1" x14ac:dyDescent="0.3">
      <c r="A1004" t="s">
        <v>1109</v>
      </c>
      <c r="B1004" s="21" t="s">
        <v>686</v>
      </c>
      <c r="C1004" s="21" t="s">
        <v>688</v>
      </c>
      <c r="D1004" s="117" t="s">
        <v>370</v>
      </c>
      <c r="E1004" s="21"/>
      <c r="F1004" s="21" t="s">
        <v>383</v>
      </c>
      <c r="G1004" s="21">
        <v>188.36330000000001</v>
      </c>
      <c r="H1004" s="21"/>
      <c r="I1004" s="117" t="s">
        <v>325</v>
      </c>
      <c r="J1004" s="117" t="s">
        <v>325</v>
      </c>
      <c r="K1004" s="118"/>
      <c r="L1004" s="21"/>
      <c r="M1004" s="21"/>
      <c r="N1004" s="21"/>
      <c r="O1004" s="21"/>
      <c r="P1004" s="21">
        <v>188.36330000000001</v>
      </c>
      <c r="Q1004" s="21"/>
      <c r="R1004" s="21" t="s">
        <v>923</v>
      </c>
      <c r="S1004" s="119">
        <f>DATABASE_Table[[#This Row],[Inicial Asking Price (€) (Total)]]-DATABASE_Table[[#This Row],[Vista membership]]-DATABASE_Table[[#This Row],[FF&amp;E]]</f>
        <v>1174632</v>
      </c>
      <c r="T1004" s="125">
        <v>1174632</v>
      </c>
      <c r="U1004" s="124">
        <v>1220000</v>
      </c>
      <c r="V1004" s="21"/>
      <c r="W1004" s="21"/>
      <c r="X1004" s="73">
        <f>DATABASE_Table[[#This Row],[Current Asking price( Total)]]-DATABASE_Table[[#This Row],[Vista membership]]-DATABASE_Table[[#This Row],[FF&amp;E]]</f>
        <v>1220000</v>
      </c>
      <c r="Y1004" s="126">
        <v>0</v>
      </c>
      <c r="Z1004" s="124">
        <v>1220000</v>
      </c>
      <c r="AA1004" s="73">
        <f>DATABASE_Table[[#This Row],[Sell price (Total)]]-DATABASE_Table[[#This Row],[FF&amp;E]]-DATABASE_Table[[#This Row],[Vista membership]]</f>
        <v>1220000</v>
      </c>
      <c r="AB1004" s="74">
        <v>44641</v>
      </c>
      <c r="AC1004" s="74" t="str">
        <f t="shared" si="15"/>
        <v>Q1 2022</v>
      </c>
      <c r="AD1004" s="123">
        <v>44659</v>
      </c>
      <c r="AE1004" s="69"/>
      <c r="AF1004" s="21" t="s">
        <v>10</v>
      </c>
      <c r="AG1004" s="21"/>
      <c r="AH1004" s="122"/>
      <c r="AI1004" s="122"/>
      <c r="AJ1004" s="122"/>
      <c r="AK1004" s="122"/>
      <c r="AL1004" s="21"/>
      <c r="AM1004" s="122" t="s">
        <v>686</v>
      </c>
    </row>
    <row r="1005" spans="1:39" customFormat="1" ht="15.75" customHeight="1" x14ac:dyDescent="0.3">
      <c r="A1005" t="s">
        <v>1109</v>
      </c>
      <c r="B1005" s="21" t="s">
        <v>686</v>
      </c>
      <c r="C1005" s="21" t="s">
        <v>688</v>
      </c>
      <c r="D1005" s="117" t="s">
        <v>371</v>
      </c>
      <c r="E1005" s="21"/>
      <c r="F1005" s="21" t="s">
        <v>383</v>
      </c>
      <c r="G1005" s="21">
        <v>189.03110000000001</v>
      </c>
      <c r="H1005" s="21"/>
      <c r="I1005" s="117" t="s">
        <v>325</v>
      </c>
      <c r="J1005" s="117" t="s">
        <v>325</v>
      </c>
      <c r="K1005" s="118"/>
      <c r="L1005" s="21"/>
      <c r="M1005" s="21"/>
      <c r="N1005" s="21"/>
      <c r="O1005" s="21"/>
      <c r="P1005" s="21">
        <v>189.03110000000001</v>
      </c>
      <c r="Q1005" s="21"/>
      <c r="R1005" s="21" t="s">
        <v>923</v>
      </c>
      <c r="S1005" s="119">
        <f>DATABASE_Table[[#This Row],[Inicial Asking Price (€) (Total)]]-DATABASE_Table[[#This Row],[Vista membership]]-DATABASE_Table[[#This Row],[FF&amp;E]]</f>
        <v>1181568</v>
      </c>
      <c r="T1005" s="125">
        <v>1181568</v>
      </c>
      <c r="U1005" s="124">
        <v>1185000</v>
      </c>
      <c r="V1005" s="21"/>
      <c r="W1005" s="21"/>
      <c r="X1005" s="73">
        <f>DATABASE_Table[[#This Row],[Current Asking price( Total)]]-DATABASE_Table[[#This Row],[Vista membership]]-DATABASE_Table[[#This Row],[FF&amp;E]]</f>
        <v>1185000</v>
      </c>
      <c r="Y1005" s="126">
        <v>0</v>
      </c>
      <c r="Z1005" s="124">
        <v>1185000</v>
      </c>
      <c r="AA1005" s="73">
        <f>DATABASE_Table[[#This Row],[Sell price (Total)]]-DATABASE_Table[[#This Row],[FF&amp;E]]-DATABASE_Table[[#This Row],[Vista membership]]</f>
        <v>1185000</v>
      </c>
      <c r="AB1005" s="74">
        <v>44641</v>
      </c>
      <c r="AC1005" s="74" t="str">
        <f t="shared" si="15"/>
        <v>Q1 2022</v>
      </c>
      <c r="AD1005" s="123">
        <v>44659</v>
      </c>
      <c r="AE1005" s="69"/>
      <c r="AF1005" s="21" t="s">
        <v>10</v>
      </c>
      <c r="AG1005" s="21"/>
      <c r="AH1005" s="122"/>
      <c r="AI1005" s="122"/>
      <c r="AJ1005" s="122"/>
      <c r="AK1005" s="122"/>
      <c r="AL1005" s="21"/>
      <c r="AM1005" s="122" t="s">
        <v>686</v>
      </c>
    </row>
    <row r="1006" spans="1:39" customFormat="1" ht="15.75" customHeight="1" x14ac:dyDescent="0.3">
      <c r="A1006" t="s">
        <v>1109</v>
      </c>
      <c r="B1006" s="21" t="s">
        <v>686</v>
      </c>
      <c r="C1006" s="21" t="s">
        <v>688</v>
      </c>
      <c r="D1006" s="117" t="s">
        <v>372</v>
      </c>
      <c r="E1006" s="21"/>
      <c r="F1006" s="21" t="s">
        <v>383</v>
      </c>
      <c r="G1006" s="21">
        <v>188.2499</v>
      </c>
      <c r="H1006" s="21"/>
      <c r="I1006" s="117" t="s">
        <v>325</v>
      </c>
      <c r="J1006" s="117" t="s">
        <v>325</v>
      </c>
      <c r="K1006" s="118"/>
      <c r="L1006" s="21"/>
      <c r="M1006" s="21"/>
      <c r="N1006" s="21"/>
      <c r="O1006" s="21"/>
      <c r="P1006" s="21">
        <v>188.2499</v>
      </c>
      <c r="Q1006" s="21"/>
      <c r="R1006" s="21" t="s">
        <v>923</v>
      </c>
      <c r="S1006" s="119">
        <f>DATABASE_Table[[#This Row],[Inicial Asking Price (€) (Total)]]-DATABASE_Table[[#This Row],[Vista membership]]-DATABASE_Table[[#This Row],[FF&amp;E]]</f>
        <v>1072170</v>
      </c>
      <c r="T1006" s="125">
        <v>1072170</v>
      </c>
      <c r="U1006" s="124">
        <v>1072170</v>
      </c>
      <c r="V1006" s="21"/>
      <c r="W1006" s="21"/>
      <c r="X1006" s="73">
        <f>DATABASE_Table[[#This Row],[Current Asking price( Total)]]-DATABASE_Table[[#This Row],[Vista membership]]-DATABASE_Table[[#This Row],[FF&amp;E]]</f>
        <v>1072170</v>
      </c>
      <c r="Y1006" s="126">
        <v>0</v>
      </c>
      <c r="Z1006" s="124">
        <v>1072170</v>
      </c>
      <c r="AA1006" s="73">
        <f>DATABASE_Table[[#This Row],[Sell price (Total)]]-DATABASE_Table[[#This Row],[FF&amp;E]]-DATABASE_Table[[#This Row],[Vista membership]]</f>
        <v>1072170</v>
      </c>
      <c r="AB1006" s="74">
        <v>44641</v>
      </c>
      <c r="AC1006" s="74" t="str">
        <f t="shared" si="15"/>
        <v>Q1 2022</v>
      </c>
      <c r="AD1006" s="123">
        <v>44663</v>
      </c>
      <c r="AE1006" s="69"/>
      <c r="AF1006" s="21" t="s">
        <v>10</v>
      </c>
      <c r="AG1006" s="21"/>
      <c r="AH1006" s="122"/>
      <c r="AI1006" s="122"/>
      <c r="AJ1006" s="122"/>
      <c r="AK1006" s="122"/>
      <c r="AL1006" s="21"/>
      <c r="AM1006" s="122" t="s">
        <v>686</v>
      </c>
    </row>
    <row r="1007" spans="1:39" customFormat="1" ht="15.75" customHeight="1" x14ac:dyDescent="0.3">
      <c r="A1007" t="s">
        <v>1109</v>
      </c>
      <c r="B1007" s="21" t="s">
        <v>686</v>
      </c>
      <c r="C1007" s="21" t="s">
        <v>688</v>
      </c>
      <c r="D1007" s="117" t="s">
        <v>373</v>
      </c>
      <c r="E1007" s="21"/>
      <c r="F1007" s="21" t="s">
        <v>383</v>
      </c>
      <c r="G1007" s="21">
        <v>189.1061</v>
      </c>
      <c r="H1007" s="21"/>
      <c r="I1007" s="117" t="s">
        <v>325</v>
      </c>
      <c r="J1007" s="117" t="s">
        <v>325</v>
      </c>
      <c r="K1007" s="118"/>
      <c r="L1007" s="21"/>
      <c r="M1007" s="21"/>
      <c r="N1007" s="21"/>
      <c r="O1007" s="21"/>
      <c r="P1007" s="21">
        <v>189.1061</v>
      </c>
      <c r="Q1007" s="21"/>
      <c r="R1007" s="21" t="s">
        <v>923</v>
      </c>
      <c r="S1007" s="119">
        <f>DATABASE_Table[[#This Row],[Inicial Asking Price (€) (Total)]]-DATABASE_Table[[#This Row],[Vista membership]]-DATABASE_Table[[#This Row],[FF&amp;E]]</f>
        <v>1076445</v>
      </c>
      <c r="T1007" s="125">
        <v>1076445</v>
      </c>
      <c r="U1007" s="124">
        <v>1250000</v>
      </c>
      <c r="V1007" s="21"/>
      <c r="W1007" s="21"/>
      <c r="X1007" s="73">
        <f>DATABASE_Table[[#This Row],[Current Asking price( Total)]]-DATABASE_Table[[#This Row],[Vista membership]]-DATABASE_Table[[#This Row],[FF&amp;E]]</f>
        <v>1250000</v>
      </c>
      <c r="Y1007" s="126">
        <v>0</v>
      </c>
      <c r="Z1007" s="124">
        <v>1250000</v>
      </c>
      <c r="AA1007" s="73">
        <f>DATABASE_Table[[#This Row],[Sell price (Total)]]-DATABASE_Table[[#This Row],[FF&amp;E]]-DATABASE_Table[[#This Row],[Vista membership]]</f>
        <v>1250000</v>
      </c>
      <c r="AB1007" s="74">
        <v>44641</v>
      </c>
      <c r="AC1007" s="74" t="str">
        <f t="shared" si="15"/>
        <v>Q1 2022</v>
      </c>
      <c r="AD1007" s="123">
        <v>44798</v>
      </c>
      <c r="AE1007" s="69"/>
      <c r="AF1007" s="21" t="s">
        <v>10</v>
      </c>
      <c r="AG1007" s="21"/>
      <c r="AH1007" s="122"/>
      <c r="AI1007" s="122"/>
      <c r="AJ1007" s="122"/>
      <c r="AK1007" s="122"/>
      <c r="AL1007" s="21"/>
      <c r="AM1007" s="122" t="s">
        <v>686</v>
      </c>
    </row>
    <row r="1008" spans="1:39" customFormat="1" ht="15.75" customHeight="1" x14ac:dyDescent="0.3">
      <c r="A1008" t="s">
        <v>1109</v>
      </c>
      <c r="B1008" s="21" t="s">
        <v>686</v>
      </c>
      <c r="C1008" s="21" t="s">
        <v>688</v>
      </c>
      <c r="D1008" s="117" t="s">
        <v>374</v>
      </c>
      <c r="E1008" s="21"/>
      <c r="F1008" s="21" t="s">
        <v>383</v>
      </c>
      <c r="G1008" s="21">
        <v>189.1061</v>
      </c>
      <c r="H1008" s="21"/>
      <c r="I1008" s="117" t="s">
        <v>325</v>
      </c>
      <c r="J1008" s="117" t="s">
        <v>325</v>
      </c>
      <c r="K1008" s="118"/>
      <c r="L1008" s="21"/>
      <c r="M1008" s="21"/>
      <c r="N1008" s="21"/>
      <c r="O1008" s="21"/>
      <c r="P1008" s="21">
        <v>189.1061</v>
      </c>
      <c r="Q1008" s="21"/>
      <c r="R1008" s="21" t="s">
        <v>923</v>
      </c>
      <c r="S1008" s="119">
        <f>DATABASE_Table[[#This Row],[Inicial Asking Price (€) (Total)]]-DATABASE_Table[[#This Row],[Vista membership]]-DATABASE_Table[[#This Row],[FF&amp;E]]</f>
        <v>1099107</v>
      </c>
      <c r="T1008" s="125">
        <v>1099107</v>
      </c>
      <c r="U1008" s="124">
        <v>1235000</v>
      </c>
      <c r="V1008" s="21"/>
      <c r="W1008" s="21"/>
      <c r="X1008" s="73">
        <f>DATABASE_Table[[#This Row],[Current Asking price( Total)]]-DATABASE_Table[[#This Row],[Vista membership]]-DATABASE_Table[[#This Row],[FF&amp;E]]</f>
        <v>1235000</v>
      </c>
      <c r="Y1008" s="126">
        <v>0</v>
      </c>
      <c r="Z1008" s="124">
        <v>1235000</v>
      </c>
      <c r="AA1008" s="73">
        <f>DATABASE_Table[[#This Row],[Sell price (Total)]]-DATABASE_Table[[#This Row],[FF&amp;E]]-DATABASE_Table[[#This Row],[Vista membership]]</f>
        <v>1235000</v>
      </c>
      <c r="AB1008" s="74">
        <v>44641</v>
      </c>
      <c r="AC1008" s="74" t="str">
        <f t="shared" si="15"/>
        <v>Q1 2022</v>
      </c>
      <c r="AD1008" s="123">
        <v>44841</v>
      </c>
      <c r="AE1008" s="69"/>
      <c r="AF1008" s="21" t="s">
        <v>10</v>
      </c>
      <c r="AG1008" s="21"/>
      <c r="AH1008" s="122"/>
      <c r="AI1008" s="122"/>
      <c r="AJ1008" s="122"/>
      <c r="AK1008" s="122"/>
      <c r="AL1008" s="21"/>
      <c r="AM1008" s="122" t="s">
        <v>686</v>
      </c>
    </row>
    <row r="1009" spans="1:39" customFormat="1" ht="15.75" customHeight="1" x14ac:dyDescent="0.3">
      <c r="A1009" t="s">
        <v>1109</v>
      </c>
      <c r="B1009" s="21" t="s">
        <v>686</v>
      </c>
      <c r="C1009" s="21" t="s">
        <v>688</v>
      </c>
      <c r="D1009" s="117" t="s">
        <v>375</v>
      </c>
      <c r="E1009" s="21"/>
      <c r="F1009" s="21" t="s">
        <v>383</v>
      </c>
      <c r="G1009" s="21">
        <v>188.36330000000001</v>
      </c>
      <c r="H1009" s="21"/>
      <c r="I1009" s="117" t="s">
        <v>325</v>
      </c>
      <c r="J1009" s="117" t="s">
        <v>325</v>
      </c>
      <c r="K1009" s="118"/>
      <c r="L1009" s="21"/>
      <c r="M1009" s="21"/>
      <c r="N1009" s="21"/>
      <c r="O1009" s="21"/>
      <c r="P1009" s="21">
        <v>188.36330000000001</v>
      </c>
      <c r="Q1009" s="21"/>
      <c r="R1009" s="21" t="s">
        <v>923</v>
      </c>
      <c r="S1009" s="119">
        <f>DATABASE_Table[[#This Row],[Inicial Asking Price (€) (Total)]]-DATABASE_Table[[#This Row],[Vista membership]]-DATABASE_Table[[#This Row],[FF&amp;E]]</f>
        <v>1151600</v>
      </c>
      <c r="T1009" s="125">
        <v>1151600</v>
      </c>
      <c r="U1009" s="124">
        <v>1152000</v>
      </c>
      <c r="V1009" s="21"/>
      <c r="W1009" s="21"/>
      <c r="X1009" s="73">
        <f>DATABASE_Table[[#This Row],[Current Asking price( Total)]]-DATABASE_Table[[#This Row],[Vista membership]]-DATABASE_Table[[#This Row],[FF&amp;E]]</f>
        <v>1152000</v>
      </c>
      <c r="Y1009" s="126">
        <v>0</v>
      </c>
      <c r="Z1009" s="124">
        <v>1152000</v>
      </c>
      <c r="AA1009" s="73">
        <f>DATABASE_Table[[#This Row],[Sell price (Total)]]-DATABASE_Table[[#This Row],[FF&amp;E]]-DATABASE_Table[[#This Row],[Vista membership]]</f>
        <v>1152000</v>
      </c>
      <c r="AB1009" s="74">
        <v>44641</v>
      </c>
      <c r="AC1009" s="74" t="str">
        <f t="shared" si="15"/>
        <v>Q1 2022</v>
      </c>
      <c r="AD1009" s="123">
        <v>44641</v>
      </c>
      <c r="AE1009" s="69"/>
      <c r="AF1009" s="21" t="s">
        <v>10</v>
      </c>
      <c r="AG1009" s="21"/>
      <c r="AH1009" s="122"/>
      <c r="AI1009" s="122"/>
      <c r="AJ1009" s="122"/>
      <c r="AK1009" s="122"/>
      <c r="AL1009" s="21"/>
      <c r="AM1009" s="122" t="s">
        <v>686</v>
      </c>
    </row>
    <row r="1010" spans="1:39" customFormat="1" ht="15.75" customHeight="1" x14ac:dyDescent="0.3">
      <c r="A1010" t="s">
        <v>1109</v>
      </c>
      <c r="B1010" s="21" t="s">
        <v>686</v>
      </c>
      <c r="C1010" s="21" t="s">
        <v>688</v>
      </c>
      <c r="D1010" s="117" t="s">
        <v>337</v>
      </c>
      <c r="E1010" s="21"/>
      <c r="F1010" s="21" t="s">
        <v>384</v>
      </c>
      <c r="G1010" s="21">
        <v>152.73410000000001</v>
      </c>
      <c r="H1010" s="21"/>
      <c r="I1010" s="117" t="s">
        <v>325</v>
      </c>
      <c r="J1010" s="117" t="s">
        <v>325</v>
      </c>
      <c r="K1010" s="118"/>
      <c r="L1010" s="21"/>
      <c r="M1010" s="21"/>
      <c r="N1010" s="21"/>
      <c r="O1010" s="21"/>
      <c r="P1010" s="21">
        <v>152.73410000000001</v>
      </c>
      <c r="Q1010" s="21"/>
      <c r="R1010" s="21" t="s">
        <v>923</v>
      </c>
      <c r="S1010" s="119">
        <f>DATABASE_Table[[#This Row],[Inicial Asking Price (€) (Total)]]-DATABASE_Table[[#This Row],[Vista membership]]-DATABASE_Table[[#This Row],[FF&amp;E]]</f>
        <v>956250</v>
      </c>
      <c r="T1010" s="125">
        <v>956250</v>
      </c>
      <c r="U1010" s="124">
        <v>960000</v>
      </c>
      <c r="V1010" s="21"/>
      <c r="W1010" s="21"/>
      <c r="X1010" s="73">
        <f>DATABASE_Table[[#This Row],[Current Asking price( Total)]]-DATABASE_Table[[#This Row],[Vista membership]]-DATABASE_Table[[#This Row],[FF&amp;E]]</f>
        <v>960000</v>
      </c>
      <c r="Y1010" s="126">
        <v>0</v>
      </c>
      <c r="Z1010" s="124">
        <v>960000</v>
      </c>
      <c r="AA1010" s="73">
        <f>DATABASE_Table[[#This Row],[Sell price (Total)]]-DATABASE_Table[[#This Row],[FF&amp;E]]-DATABASE_Table[[#This Row],[Vista membership]]</f>
        <v>960000</v>
      </c>
      <c r="AB1010" s="74">
        <v>44641</v>
      </c>
      <c r="AC1010" s="74" t="str">
        <f t="shared" si="15"/>
        <v>Q1 2022</v>
      </c>
      <c r="AD1010" s="123">
        <v>44658</v>
      </c>
      <c r="AE1010" s="69"/>
      <c r="AF1010" s="21" t="s">
        <v>10</v>
      </c>
      <c r="AG1010" s="21"/>
      <c r="AH1010" s="122"/>
      <c r="AI1010" s="122"/>
      <c r="AJ1010" s="122"/>
      <c r="AK1010" s="122"/>
      <c r="AL1010" s="21"/>
      <c r="AM1010" s="122" t="s">
        <v>686</v>
      </c>
    </row>
    <row r="1011" spans="1:39" customFormat="1" ht="15.75" customHeight="1" x14ac:dyDescent="0.3">
      <c r="A1011" t="s">
        <v>1109</v>
      </c>
      <c r="B1011" s="21" t="s">
        <v>686</v>
      </c>
      <c r="C1011" s="21" t="s">
        <v>688</v>
      </c>
      <c r="D1011" s="117" t="s">
        <v>338</v>
      </c>
      <c r="E1011" s="21"/>
      <c r="F1011" s="21" t="s">
        <v>384</v>
      </c>
      <c r="G1011" s="21">
        <v>152.87280000000001</v>
      </c>
      <c r="H1011" s="21"/>
      <c r="I1011" s="117" t="s">
        <v>325</v>
      </c>
      <c r="J1011" s="117" t="s">
        <v>325</v>
      </c>
      <c r="K1011" s="118"/>
      <c r="L1011" s="21"/>
      <c r="M1011" s="21"/>
      <c r="N1011" s="21"/>
      <c r="O1011" s="21"/>
      <c r="P1011" s="21">
        <v>152.87280000000001</v>
      </c>
      <c r="Q1011" s="21"/>
      <c r="R1011" s="21" t="s">
        <v>923</v>
      </c>
      <c r="S1011" s="119">
        <f>DATABASE_Table[[#This Row],[Inicial Asking Price (€) (Total)]]-DATABASE_Table[[#This Row],[Vista membership]]-DATABASE_Table[[#This Row],[FF&amp;E]]</f>
        <v>956250</v>
      </c>
      <c r="T1011" s="125">
        <v>956250</v>
      </c>
      <c r="U1011" s="124">
        <v>1040000</v>
      </c>
      <c r="V1011" s="21"/>
      <c r="W1011" s="21"/>
      <c r="X1011" s="73">
        <f>DATABASE_Table[[#This Row],[Current Asking price( Total)]]-DATABASE_Table[[#This Row],[Vista membership]]-DATABASE_Table[[#This Row],[FF&amp;E]]</f>
        <v>1040000</v>
      </c>
      <c r="Y1011" s="126">
        <v>0</v>
      </c>
      <c r="Z1011" s="124">
        <v>1040000</v>
      </c>
      <c r="AA1011" s="73">
        <f>DATABASE_Table[[#This Row],[Sell price (Total)]]-DATABASE_Table[[#This Row],[FF&amp;E]]-DATABASE_Table[[#This Row],[Vista membership]]</f>
        <v>1040000</v>
      </c>
      <c r="AB1011" s="74">
        <v>44641</v>
      </c>
      <c r="AC1011" s="74" t="str">
        <f t="shared" si="15"/>
        <v>Q1 2022</v>
      </c>
      <c r="AD1011" s="123">
        <v>45163</v>
      </c>
      <c r="AE1011" s="69"/>
      <c r="AF1011" s="21" t="s">
        <v>10</v>
      </c>
      <c r="AG1011" s="21"/>
      <c r="AH1011" s="122"/>
      <c r="AI1011" s="122"/>
      <c r="AJ1011" s="122"/>
      <c r="AK1011" s="122"/>
      <c r="AL1011" s="21"/>
      <c r="AM1011" s="122" t="s">
        <v>686</v>
      </c>
    </row>
    <row r="1012" spans="1:39" customFormat="1" ht="15.75" customHeight="1" x14ac:dyDescent="0.3">
      <c r="A1012" t="s">
        <v>1109</v>
      </c>
      <c r="B1012" s="21" t="s">
        <v>686</v>
      </c>
      <c r="C1012" s="21" t="s">
        <v>688</v>
      </c>
      <c r="D1012" s="117" t="s">
        <v>339</v>
      </c>
      <c r="E1012" s="21"/>
      <c r="F1012" s="21" t="s">
        <v>384</v>
      </c>
      <c r="G1012" s="21">
        <v>156.83949999999999</v>
      </c>
      <c r="H1012" s="21"/>
      <c r="I1012" s="117" t="s">
        <v>325</v>
      </c>
      <c r="J1012" s="117" t="s">
        <v>325</v>
      </c>
      <c r="K1012" s="118"/>
      <c r="L1012" s="21"/>
      <c r="M1012" s="21"/>
      <c r="N1012" s="21"/>
      <c r="O1012" s="21"/>
      <c r="P1012" s="21">
        <v>156.83949999999999</v>
      </c>
      <c r="Q1012" s="21"/>
      <c r="R1012" s="21" t="s">
        <v>923</v>
      </c>
      <c r="S1012" s="119">
        <f>DATABASE_Table[[#This Row],[Inicial Asking Price (€) (Total)]]-DATABASE_Table[[#This Row],[Vista membership]]-DATABASE_Table[[#This Row],[FF&amp;E]]</f>
        <v>973488</v>
      </c>
      <c r="T1012" s="125">
        <v>973488</v>
      </c>
      <c r="U1012" s="124">
        <v>1060000</v>
      </c>
      <c r="V1012" s="21"/>
      <c r="W1012" s="21"/>
      <c r="X1012" s="73">
        <f>DATABASE_Table[[#This Row],[Current Asking price( Total)]]-DATABASE_Table[[#This Row],[Vista membership]]-DATABASE_Table[[#This Row],[FF&amp;E]]</f>
        <v>1060000</v>
      </c>
      <c r="Y1012" s="126">
        <v>0</v>
      </c>
      <c r="Z1012" s="124">
        <v>1060000</v>
      </c>
      <c r="AA1012" s="73">
        <f>DATABASE_Table[[#This Row],[Sell price (Total)]]-DATABASE_Table[[#This Row],[FF&amp;E]]-DATABASE_Table[[#This Row],[Vista membership]]</f>
        <v>1060000</v>
      </c>
      <c r="AB1012" s="74">
        <v>44641</v>
      </c>
      <c r="AC1012" s="74" t="str">
        <f t="shared" si="15"/>
        <v>Q1 2022</v>
      </c>
      <c r="AD1012" s="123">
        <v>45133</v>
      </c>
      <c r="AE1012" s="69"/>
      <c r="AF1012" s="21" t="s">
        <v>10</v>
      </c>
      <c r="AG1012" s="21"/>
      <c r="AH1012" s="122"/>
      <c r="AI1012" s="122"/>
      <c r="AJ1012" s="122"/>
      <c r="AK1012" s="122"/>
      <c r="AL1012" s="21"/>
      <c r="AM1012" s="122" t="s">
        <v>686</v>
      </c>
    </row>
    <row r="1013" spans="1:39" customFormat="1" ht="15.75" customHeight="1" x14ac:dyDescent="0.3">
      <c r="A1013" t="s">
        <v>1109</v>
      </c>
      <c r="B1013" s="21" t="s">
        <v>686</v>
      </c>
      <c r="C1013" s="21" t="s">
        <v>688</v>
      </c>
      <c r="D1013" s="117" t="s">
        <v>340</v>
      </c>
      <c r="E1013" s="21"/>
      <c r="F1013" s="21" t="s">
        <v>384</v>
      </c>
      <c r="G1013" s="21">
        <v>158.05609999999999</v>
      </c>
      <c r="H1013" s="21"/>
      <c r="I1013" s="117" t="s">
        <v>325</v>
      </c>
      <c r="J1013" s="117" t="s">
        <v>325</v>
      </c>
      <c r="K1013" s="118"/>
      <c r="L1013" s="21"/>
      <c r="M1013" s="21"/>
      <c r="N1013" s="21"/>
      <c r="O1013" s="21"/>
      <c r="P1013" s="21">
        <v>158.05609999999999</v>
      </c>
      <c r="Q1013" s="21"/>
      <c r="R1013" s="21" t="s">
        <v>923</v>
      </c>
      <c r="S1013" s="119">
        <f>DATABASE_Table[[#This Row],[Inicial Asking Price (€) (Total)]]-DATABASE_Table[[#This Row],[Vista membership]]-DATABASE_Table[[#This Row],[FF&amp;E]]</f>
        <v>1009680</v>
      </c>
      <c r="T1013" s="125">
        <v>1009680</v>
      </c>
      <c r="U1013" s="124">
        <v>1040000</v>
      </c>
      <c r="V1013" s="21"/>
      <c r="W1013" s="21"/>
      <c r="X1013" s="73">
        <f>DATABASE_Table[[#This Row],[Current Asking price( Total)]]-DATABASE_Table[[#This Row],[Vista membership]]-DATABASE_Table[[#This Row],[FF&amp;E]]</f>
        <v>1040000</v>
      </c>
      <c r="Y1013" s="126">
        <v>0</v>
      </c>
      <c r="Z1013" s="124">
        <v>1040000</v>
      </c>
      <c r="AA1013" s="73">
        <f>DATABASE_Table[[#This Row],[Sell price (Total)]]-DATABASE_Table[[#This Row],[FF&amp;E]]-DATABASE_Table[[#This Row],[Vista membership]]</f>
        <v>1040000</v>
      </c>
      <c r="AB1013" s="74">
        <v>44641</v>
      </c>
      <c r="AC1013" s="74" t="str">
        <f t="shared" si="15"/>
        <v>Q1 2022</v>
      </c>
      <c r="AD1013" s="123">
        <v>45058</v>
      </c>
      <c r="AE1013" s="69"/>
      <c r="AF1013" s="21" t="s">
        <v>10</v>
      </c>
      <c r="AG1013" s="21"/>
      <c r="AH1013" s="122"/>
      <c r="AI1013" s="122"/>
      <c r="AJ1013" s="122"/>
      <c r="AK1013" s="122"/>
      <c r="AL1013" s="21"/>
      <c r="AM1013" s="122" t="s">
        <v>686</v>
      </c>
    </row>
    <row r="1014" spans="1:39" customFormat="1" ht="15.75" customHeight="1" x14ac:dyDescent="0.3">
      <c r="A1014" t="s">
        <v>1109</v>
      </c>
      <c r="B1014" s="21" t="s">
        <v>686</v>
      </c>
      <c r="C1014" s="21" t="s">
        <v>688</v>
      </c>
      <c r="D1014" s="117" t="s">
        <v>341</v>
      </c>
      <c r="E1014" s="21"/>
      <c r="F1014" s="21" t="s">
        <v>384</v>
      </c>
      <c r="G1014" s="21">
        <v>152.87280000000001</v>
      </c>
      <c r="H1014" s="21"/>
      <c r="I1014" s="117" t="s">
        <v>325</v>
      </c>
      <c r="J1014" s="117" t="s">
        <v>325</v>
      </c>
      <c r="K1014" s="118"/>
      <c r="L1014" s="21"/>
      <c r="M1014" s="21"/>
      <c r="N1014" s="21"/>
      <c r="O1014" s="21"/>
      <c r="P1014" s="21">
        <v>152.87280000000001</v>
      </c>
      <c r="Q1014" s="21"/>
      <c r="R1014" s="21" t="s">
        <v>923</v>
      </c>
      <c r="S1014" s="119">
        <f>DATABASE_Table[[#This Row],[Inicial Asking Price (€) (Total)]]-DATABASE_Table[[#This Row],[Vista membership]]-DATABASE_Table[[#This Row],[FF&amp;E]]</f>
        <v>984375</v>
      </c>
      <c r="T1014" s="125">
        <v>984375</v>
      </c>
      <c r="U1014" s="124">
        <v>1050000</v>
      </c>
      <c r="V1014" s="21"/>
      <c r="W1014" s="21"/>
      <c r="X1014" s="73">
        <f>DATABASE_Table[[#This Row],[Current Asking price( Total)]]-DATABASE_Table[[#This Row],[Vista membership]]-DATABASE_Table[[#This Row],[FF&amp;E]]</f>
        <v>1050000</v>
      </c>
      <c r="Y1014" s="126">
        <v>0</v>
      </c>
      <c r="Z1014" s="124">
        <v>1050000</v>
      </c>
      <c r="AA1014" s="73">
        <f>DATABASE_Table[[#This Row],[Sell price (Total)]]-DATABASE_Table[[#This Row],[FF&amp;E]]-DATABASE_Table[[#This Row],[Vista membership]]</f>
        <v>1050000</v>
      </c>
      <c r="AB1014" s="74">
        <v>44641</v>
      </c>
      <c r="AC1014" s="74" t="str">
        <f t="shared" si="15"/>
        <v>Q1 2022</v>
      </c>
      <c r="AD1014" s="123">
        <v>45348</v>
      </c>
      <c r="AE1014" s="69"/>
      <c r="AF1014" s="21" t="s">
        <v>10</v>
      </c>
      <c r="AG1014" s="21"/>
      <c r="AH1014" s="122"/>
      <c r="AI1014" s="122"/>
      <c r="AJ1014" s="122"/>
      <c r="AK1014" s="122"/>
      <c r="AL1014" s="21"/>
      <c r="AM1014" s="122" t="s">
        <v>686</v>
      </c>
    </row>
    <row r="1015" spans="1:39" customFormat="1" ht="15.75" customHeight="1" x14ac:dyDescent="0.3">
      <c r="A1015" t="s">
        <v>1109</v>
      </c>
      <c r="B1015" s="21" t="s">
        <v>686</v>
      </c>
      <c r="C1015" s="21" t="s">
        <v>688</v>
      </c>
      <c r="D1015" s="117" t="s">
        <v>342</v>
      </c>
      <c r="E1015" s="21"/>
      <c r="F1015" s="21" t="s">
        <v>384</v>
      </c>
      <c r="G1015" s="21">
        <v>152.87280000000001</v>
      </c>
      <c r="H1015" s="21"/>
      <c r="I1015" s="117" t="s">
        <v>325</v>
      </c>
      <c r="J1015" s="117" t="s">
        <v>325</v>
      </c>
      <c r="K1015" s="118"/>
      <c r="L1015" s="21"/>
      <c r="M1015" s="21"/>
      <c r="N1015" s="21"/>
      <c r="O1015" s="21"/>
      <c r="P1015" s="21">
        <v>152.87280000000001</v>
      </c>
      <c r="Q1015" s="21"/>
      <c r="R1015" s="21" t="s">
        <v>923</v>
      </c>
      <c r="S1015" s="119">
        <f>DATABASE_Table[[#This Row],[Inicial Asking Price (€) (Total)]]-DATABASE_Table[[#This Row],[Vista membership]]-DATABASE_Table[[#This Row],[FF&amp;E]]</f>
        <v>984375</v>
      </c>
      <c r="T1015" s="125">
        <v>984375</v>
      </c>
      <c r="U1015" s="124">
        <v>1050000</v>
      </c>
      <c r="V1015" s="21"/>
      <c r="W1015" s="21"/>
      <c r="X1015" s="73">
        <f>DATABASE_Table[[#This Row],[Current Asking price( Total)]]-DATABASE_Table[[#This Row],[Vista membership]]-DATABASE_Table[[#This Row],[FF&amp;E]]</f>
        <v>1050000</v>
      </c>
      <c r="Y1015" s="126">
        <v>0</v>
      </c>
      <c r="Z1015" s="124">
        <v>1050000</v>
      </c>
      <c r="AA1015" s="73">
        <f>DATABASE_Table[[#This Row],[Sell price (Total)]]-DATABASE_Table[[#This Row],[FF&amp;E]]-DATABASE_Table[[#This Row],[Vista membership]]</f>
        <v>1050000</v>
      </c>
      <c r="AB1015" s="74">
        <v>44641</v>
      </c>
      <c r="AC1015" s="74" t="str">
        <f t="shared" si="15"/>
        <v>Q1 2022</v>
      </c>
      <c r="AD1015" s="123">
        <v>45531</v>
      </c>
      <c r="AE1015" s="69"/>
      <c r="AF1015" s="21" t="s">
        <v>10</v>
      </c>
      <c r="AG1015" s="21"/>
      <c r="AH1015" s="122"/>
      <c r="AI1015" s="122"/>
      <c r="AJ1015" s="122"/>
      <c r="AK1015" s="122"/>
      <c r="AL1015" s="21"/>
      <c r="AM1015" s="122" t="s">
        <v>686</v>
      </c>
    </row>
    <row r="1016" spans="1:39" customFormat="1" ht="15.75" customHeight="1" x14ac:dyDescent="0.3">
      <c r="A1016" t="s">
        <v>1109</v>
      </c>
      <c r="B1016" s="21" t="s">
        <v>686</v>
      </c>
      <c r="C1016" s="21" t="s">
        <v>688</v>
      </c>
      <c r="D1016" s="117" t="s">
        <v>343</v>
      </c>
      <c r="E1016" s="21"/>
      <c r="F1016" s="21" t="s">
        <v>384</v>
      </c>
      <c r="G1016" s="21">
        <v>152.87280000000001</v>
      </c>
      <c r="H1016" s="21"/>
      <c r="I1016" s="117" t="s">
        <v>325</v>
      </c>
      <c r="J1016" s="117" t="s">
        <v>325</v>
      </c>
      <c r="K1016" s="118"/>
      <c r="L1016" s="21"/>
      <c r="M1016" s="21"/>
      <c r="N1016" s="21"/>
      <c r="O1016" s="21"/>
      <c r="P1016" s="21">
        <v>152.87280000000001</v>
      </c>
      <c r="Q1016" s="21"/>
      <c r="R1016" s="21" t="s">
        <v>923</v>
      </c>
      <c r="S1016" s="119">
        <f>DATABASE_Table[[#This Row],[Inicial Asking Price (€) (Total)]]-DATABASE_Table[[#This Row],[Vista membership]]-DATABASE_Table[[#This Row],[FF&amp;E]]</f>
        <v>984375</v>
      </c>
      <c r="T1016" s="125">
        <v>984375</v>
      </c>
      <c r="U1016" s="124">
        <v>1030000</v>
      </c>
      <c r="V1016" s="21"/>
      <c r="W1016" s="21"/>
      <c r="X1016" s="73">
        <f>DATABASE_Table[[#This Row],[Current Asking price( Total)]]-DATABASE_Table[[#This Row],[Vista membership]]-DATABASE_Table[[#This Row],[FF&amp;E]]</f>
        <v>1030000</v>
      </c>
      <c r="Y1016" s="126">
        <v>0</v>
      </c>
      <c r="Z1016" s="124">
        <v>1030000</v>
      </c>
      <c r="AA1016" s="73">
        <f>DATABASE_Table[[#This Row],[Sell price (Total)]]-DATABASE_Table[[#This Row],[FF&amp;E]]-DATABASE_Table[[#This Row],[Vista membership]]</f>
        <v>1030000</v>
      </c>
      <c r="AB1016" s="74">
        <v>44641</v>
      </c>
      <c r="AC1016" s="74" t="str">
        <f t="shared" si="15"/>
        <v>Q1 2022</v>
      </c>
      <c r="AD1016" s="123">
        <v>45223</v>
      </c>
      <c r="AE1016" s="69"/>
      <c r="AF1016" s="21" t="s">
        <v>10</v>
      </c>
      <c r="AG1016" s="21"/>
      <c r="AH1016" s="122"/>
      <c r="AI1016" s="122"/>
      <c r="AJ1016" s="122"/>
      <c r="AK1016" s="122"/>
      <c r="AL1016" s="21"/>
      <c r="AM1016" s="122" t="s">
        <v>686</v>
      </c>
    </row>
    <row r="1017" spans="1:39" customFormat="1" ht="15.75" customHeight="1" x14ac:dyDescent="0.3">
      <c r="A1017" t="s">
        <v>1109</v>
      </c>
      <c r="B1017" s="21" t="s">
        <v>686</v>
      </c>
      <c r="C1017" s="21" t="s">
        <v>688</v>
      </c>
      <c r="D1017" s="117" t="s">
        <v>344</v>
      </c>
      <c r="E1017" s="21"/>
      <c r="F1017" s="21" t="s">
        <v>384</v>
      </c>
      <c r="G1017" s="21">
        <v>152.87280000000001</v>
      </c>
      <c r="H1017" s="21"/>
      <c r="I1017" s="117" t="s">
        <v>325</v>
      </c>
      <c r="J1017" s="117" t="s">
        <v>325</v>
      </c>
      <c r="K1017" s="118"/>
      <c r="L1017" s="21"/>
      <c r="M1017" s="21"/>
      <c r="N1017" s="21"/>
      <c r="O1017" s="21"/>
      <c r="P1017" s="21">
        <v>152.87280000000001</v>
      </c>
      <c r="Q1017" s="21"/>
      <c r="R1017" s="21" t="s">
        <v>923</v>
      </c>
      <c r="S1017" s="119">
        <f>DATABASE_Table[[#This Row],[Inicial Asking Price (€) (Total)]]-DATABASE_Table[[#This Row],[Vista membership]]-DATABASE_Table[[#This Row],[FF&amp;E]]</f>
        <v>984375</v>
      </c>
      <c r="T1017" s="125">
        <v>984375</v>
      </c>
      <c r="U1017" s="124">
        <v>1050000</v>
      </c>
      <c r="V1017" s="21"/>
      <c r="W1017" s="21"/>
      <c r="X1017" s="73">
        <f>DATABASE_Table[[#This Row],[Current Asking price( Total)]]-DATABASE_Table[[#This Row],[Vista membership]]-DATABASE_Table[[#This Row],[FF&amp;E]]</f>
        <v>1050000</v>
      </c>
      <c r="Y1017" s="126">
        <v>0</v>
      </c>
      <c r="Z1017" s="124">
        <v>1050000</v>
      </c>
      <c r="AA1017" s="73">
        <f>DATABASE_Table[[#This Row],[Sell price (Total)]]-DATABASE_Table[[#This Row],[FF&amp;E]]-DATABASE_Table[[#This Row],[Vista membership]]</f>
        <v>1050000</v>
      </c>
      <c r="AB1017" s="74">
        <v>44641</v>
      </c>
      <c r="AC1017" s="74" t="str">
        <f t="shared" si="15"/>
        <v>Q1 2022</v>
      </c>
      <c r="AD1017" s="123">
        <v>45764</v>
      </c>
      <c r="AE1017" s="69"/>
      <c r="AF1017" s="21" t="s">
        <v>10</v>
      </c>
      <c r="AG1017" s="21"/>
      <c r="AH1017" s="122"/>
      <c r="AI1017" s="122"/>
      <c r="AJ1017" s="122"/>
      <c r="AK1017" s="122"/>
      <c r="AL1017" s="21"/>
      <c r="AM1017" s="122" t="s">
        <v>686</v>
      </c>
    </row>
    <row r="1018" spans="1:39" customFormat="1" ht="15.75" customHeight="1" x14ac:dyDescent="0.3">
      <c r="A1018" t="s">
        <v>1109</v>
      </c>
      <c r="B1018" s="21" t="s">
        <v>686</v>
      </c>
      <c r="C1018" s="21" t="s">
        <v>688</v>
      </c>
      <c r="D1018" s="117" t="s">
        <v>345</v>
      </c>
      <c r="E1018" s="21"/>
      <c r="F1018" s="21" t="s">
        <v>384</v>
      </c>
      <c r="G1018" s="21">
        <v>152.87280000000001</v>
      </c>
      <c r="H1018" s="21"/>
      <c r="I1018" s="117" t="s">
        <v>325</v>
      </c>
      <c r="J1018" s="117" t="s">
        <v>325</v>
      </c>
      <c r="K1018" s="118"/>
      <c r="L1018" s="21"/>
      <c r="M1018" s="21"/>
      <c r="N1018" s="21"/>
      <c r="O1018" s="21"/>
      <c r="P1018" s="21">
        <v>152.87280000000001</v>
      </c>
      <c r="Q1018" s="21"/>
      <c r="R1018" s="21" t="s">
        <v>923</v>
      </c>
      <c r="S1018" s="119">
        <f>DATABASE_Table[[#This Row],[Inicial Asking Price (€) (Total)]]-DATABASE_Table[[#This Row],[Vista membership]]-DATABASE_Table[[#This Row],[FF&amp;E]]</f>
        <v>984375</v>
      </c>
      <c r="T1018" s="125">
        <v>984375</v>
      </c>
      <c r="U1018" s="124">
        <v>1100000</v>
      </c>
      <c r="V1018" s="21"/>
      <c r="W1018" s="21"/>
      <c r="X1018" s="73">
        <f>DATABASE_Table[[#This Row],[Current Asking price( Total)]]-DATABASE_Table[[#This Row],[Vista membership]]-DATABASE_Table[[#This Row],[FF&amp;E]]</f>
        <v>1100000</v>
      </c>
      <c r="Y1018" s="126">
        <v>0</v>
      </c>
      <c r="Z1018" s="124">
        <v>1100000</v>
      </c>
      <c r="AA1018" s="73">
        <f>DATABASE_Table[[#This Row],[Sell price (Total)]]-DATABASE_Table[[#This Row],[FF&amp;E]]-DATABASE_Table[[#This Row],[Vista membership]]</f>
        <v>1100000</v>
      </c>
      <c r="AB1018" s="74">
        <v>44641</v>
      </c>
      <c r="AC1018" s="74" t="str">
        <f t="shared" si="15"/>
        <v>Q1 2022</v>
      </c>
      <c r="AD1018" s="123">
        <v>45678</v>
      </c>
      <c r="AE1018" s="69"/>
      <c r="AF1018" s="21" t="s">
        <v>10</v>
      </c>
      <c r="AG1018" s="21"/>
      <c r="AH1018" s="122"/>
      <c r="AI1018" s="122"/>
      <c r="AJ1018" s="122"/>
      <c r="AK1018" s="122"/>
      <c r="AL1018" s="21"/>
      <c r="AM1018" s="122" t="s">
        <v>686</v>
      </c>
    </row>
    <row r="1019" spans="1:39" customFormat="1" ht="15.75" customHeight="1" x14ac:dyDescent="0.3">
      <c r="A1019" t="s">
        <v>1109</v>
      </c>
      <c r="B1019" s="21" t="s">
        <v>686</v>
      </c>
      <c r="C1019" s="21" t="s">
        <v>688</v>
      </c>
      <c r="D1019" s="117" t="s">
        <v>346</v>
      </c>
      <c r="E1019" s="21"/>
      <c r="F1019" s="21" t="s">
        <v>384</v>
      </c>
      <c r="G1019" s="21">
        <v>156.83949999999999</v>
      </c>
      <c r="H1019" s="21"/>
      <c r="I1019" s="117" t="s">
        <v>325</v>
      </c>
      <c r="J1019" s="117" t="s">
        <v>325</v>
      </c>
      <c r="K1019" s="118"/>
      <c r="L1019" s="21"/>
      <c r="M1019" s="21"/>
      <c r="N1019" s="21"/>
      <c r="O1019" s="21"/>
      <c r="P1019" s="21">
        <v>156.83949999999999</v>
      </c>
      <c r="Q1019" s="21"/>
      <c r="R1019" s="21" t="s">
        <v>923</v>
      </c>
      <c r="S1019" s="119">
        <f>DATABASE_Table[[#This Row],[Inicial Asking Price (€) (Total)]]-DATABASE_Table[[#This Row],[Vista membership]]-DATABASE_Table[[#This Row],[FF&amp;E]]</f>
        <v>1009050</v>
      </c>
      <c r="T1019" s="125">
        <v>1009050</v>
      </c>
      <c r="U1019" s="124">
        <v>1060000</v>
      </c>
      <c r="V1019" s="21"/>
      <c r="W1019" s="21"/>
      <c r="X1019" s="73">
        <f>DATABASE_Table[[#This Row],[Current Asking price( Total)]]-DATABASE_Table[[#This Row],[Vista membership]]-DATABASE_Table[[#This Row],[FF&amp;E]]</f>
        <v>1060000</v>
      </c>
      <c r="Y1019" s="126">
        <v>0</v>
      </c>
      <c r="Z1019" s="124">
        <v>1060000</v>
      </c>
      <c r="AA1019" s="73">
        <f>DATABASE_Table[[#This Row],[Sell price (Total)]]-DATABASE_Table[[#This Row],[FF&amp;E]]-DATABASE_Table[[#This Row],[Vista membership]]</f>
        <v>1060000</v>
      </c>
      <c r="AB1019" s="74">
        <v>44641</v>
      </c>
      <c r="AC1019" s="74" t="str">
        <f t="shared" si="15"/>
        <v>Q1 2022</v>
      </c>
      <c r="AD1019" s="123">
        <v>45021</v>
      </c>
      <c r="AE1019" s="69"/>
      <c r="AF1019" s="21" t="s">
        <v>10</v>
      </c>
      <c r="AG1019" s="21"/>
      <c r="AH1019" s="122"/>
      <c r="AI1019" s="122"/>
      <c r="AJ1019" s="122"/>
      <c r="AK1019" s="122"/>
      <c r="AL1019" s="21"/>
      <c r="AM1019" s="122" t="s">
        <v>686</v>
      </c>
    </row>
    <row r="1020" spans="1:39" customFormat="1" ht="15.75" customHeight="1" x14ac:dyDescent="0.3">
      <c r="A1020" t="s">
        <v>1109</v>
      </c>
      <c r="B1020" s="21" t="s">
        <v>686</v>
      </c>
      <c r="C1020" s="21" t="s">
        <v>688</v>
      </c>
      <c r="D1020" s="117" t="s">
        <v>347</v>
      </c>
      <c r="E1020" s="21"/>
      <c r="F1020" s="21" t="s">
        <v>384</v>
      </c>
      <c r="G1020" s="21">
        <v>158.05609999999999</v>
      </c>
      <c r="H1020" s="21"/>
      <c r="I1020" s="117" t="s">
        <v>325</v>
      </c>
      <c r="J1020" s="117" t="s">
        <v>325</v>
      </c>
      <c r="K1020" s="118"/>
      <c r="L1020" s="21"/>
      <c r="M1020" s="21"/>
      <c r="N1020" s="21"/>
      <c r="O1020" s="21"/>
      <c r="P1020" s="21">
        <v>158.05609999999999</v>
      </c>
      <c r="Q1020" s="21"/>
      <c r="R1020" s="21" t="s">
        <v>923</v>
      </c>
      <c r="S1020" s="119">
        <f>DATABASE_Table[[#This Row],[Inicial Asking Price (€) (Total)]]-DATABASE_Table[[#This Row],[Vista membership]]-DATABASE_Table[[#This Row],[FF&amp;E]]</f>
        <v>1040472</v>
      </c>
      <c r="T1020" s="125">
        <v>1040472</v>
      </c>
      <c r="U1020" s="124">
        <v>1050000</v>
      </c>
      <c r="V1020" s="21"/>
      <c r="W1020" s="21"/>
      <c r="X1020" s="73">
        <f>DATABASE_Table[[#This Row],[Current Asking price( Total)]]-DATABASE_Table[[#This Row],[Vista membership]]-DATABASE_Table[[#This Row],[FF&amp;E]]</f>
        <v>1050000</v>
      </c>
      <c r="Y1020" s="126">
        <v>0</v>
      </c>
      <c r="Z1020" s="124">
        <v>1050000</v>
      </c>
      <c r="AA1020" s="73">
        <f>DATABASE_Table[[#This Row],[Sell price (Total)]]-DATABASE_Table[[#This Row],[FF&amp;E]]-DATABASE_Table[[#This Row],[Vista membership]]</f>
        <v>1050000</v>
      </c>
      <c r="AB1020" s="74">
        <v>44641</v>
      </c>
      <c r="AC1020" s="74" t="str">
        <f t="shared" si="15"/>
        <v>Q1 2022</v>
      </c>
      <c r="AD1020" s="123">
        <v>45153</v>
      </c>
      <c r="AE1020" s="69"/>
      <c r="AF1020" s="21" t="s">
        <v>10</v>
      </c>
      <c r="AG1020" s="21"/>
      <c r="AH1020" s="122"/>
      <c r="AI1020" s="122"/>
      <c r="AJ1020" s="122"/>
      <c r="AK1020" s="122"/>
      <c r="AL1020" s="21"/>
      <c r="AM1020" s="122" t="s">
        <v>686</v>
      </c>
    </row>
    <row r="1021" spans="1:39" customFormat="1" ht="15.75" customHeight="1" x14ac:dyDescent="0.3">
      <c r="A1021" t="s">
        <v>1109</v>
      </c>
      <c r="B1021" s="21" t="s">
        <v>686</v>
      </c>
      <c r="C1021" s="21" t="s">
        <v>688</v>
      </c>
      <c r="D1021" s="117" t="s">
        <v>348</v>
      </c>
      <c r="E1021" s="21"/>
      <c r="F1021" s="21" t="s">
        <v>384</v>
      </c>
      <c r="G1021" s="21">
        <v>152.87280000000001</v>
      </c>
      <c r="H1021" s="21"/>
      <c r="I1021" s="117" t="s">
        <v>325</v>
      </c>
      <c r="J1021" s="117" t="s">
        <v>325</v>
      </c>
      <c r="K1021" s="118"/>
      <c r="L1021" s="21"/>
      <c r="M1021" s="21"/>
      <c r="N1021" s="21"/>
      <c r="O1021" s="21"/>
      <c r="P1021" s="21">
        <v>152.87280000000001</v>
      </c>
      <c r="Q1021" s="21"/>
      <c r="R1021" s="21" t="s">
        <v>923</v>
      </c>
      <c r="S1021" s="119">
        <f>DATABASE_Table[[#This Row],[Inicial Asking Price (€) (Total)]]-DATABASE_Table[[#This Row],[Vista membership]]-DATABASE_Table[[#This Row],[FF&amp;E]]</f>
        <v>1012500</v>
      </c>
      <c r="T1021" s="125">
        <v>1012500</v>
      </c>
      <c r="U1021" s="124">
        <v>1100000</v>
      </c>
      <c r="V1021" s="21"/>
      <c r="W1021" s="21"/>
      <c r="X1021" s="73">
        <f>DATABASE_Table[[#This Row],[Current Asking price( Total)]]-DATABASE_Table[[#This Row],[Vista membership]]-DATABASE_Table[[#This Row],[FF&amp;E]]</f>
        <v>1100000</v>
      </c>
      <c r="Y1021" s="126">
        <v>0</v>
      </c>
      <c r="Z1021" s="124">
        <v>1100000</v>
      </c>
      <c r="AA1021" s="73">
        <f>DATABASE_Table[[#This Row],[Sell price (Total)]]-DATABASE_Table[[#This Row],[FF&amp;E]]-DATABASE_Table[[#This Row],[Vista membership]]</f>
        <v>1100000</v>
      </c>
      <c r="AB1021" s="74">
        <v>44641</v>
      </c>
      <c r="AC1021" s="74" t="str">
        <f t="shared" si="15"/>
        <v>Q1 2022</v>
      </c>
      <c r="AD1021" s="123">
        <v>45644</v>
      </c>
      <c r="AE1021" s="69"/>
      <c r="AF1021" s="21" t="s">
        <v>10</v>
      </c>
      <c r="AG1021" s="21"/>
      <c r="AH1021" s="122"/>
      <c r="AI1021" s="122"/>
      <c r="AJ1021" s="122"/>
      <c r="AK1021" s="122"/>
      <c r="AL1021" s="21"/>
      <c r="AM1021" s="122" t="s">
        <v>686</v>
      </c>
    </row>
    <row r="1022" spans="1:39" customFormat="1" ht="15.75" customHeight="1" x14ac:dyDescent="0.3">
      <c r="A1022" t="s">
        <v>1109</v>
      </c>
      <c r="B1022" s="21" t="s">
        <v>686</v>
      </c>
      <c r="C1022" s="21" t="s">
        <v>688</v>
      </c>
      <c r="D1022" s="117" t="s">
        <v>349</v>
      </c>
      <c r="E1022" s="21"/>
      <c r="F1022" s="21" t="s">
        <v>384</v>
      </c>
      <c r="G1022" s="21">
        <v>152.87280000000001</v>
      </c>
      <c r="H1022" s="21"/>
      <c r="I1022" s="117" t="s">
        <v>325</v>
      </c>
      <c r="J1022" s="117" t="s">
        <v>325</v>
      </c>
      <c r="K1022" s="118"/>
      <c r="L1022" s="21"/>
      <c r="M1022" s="21"/>
      <c r="N1022" s="21"/>
      <c r="O1022" s="21"/>
      <c r="P1022" s="21">
        <v>152.87280000000001</v>
      </c>
      <c r="Q1022" s="21"/>
      <c r="R1022" s="21" t="s">
        <v>923</v>
      </c>
      <c r="S1022" s="119">
        <f>DATABASE_Table[[#This Row],[Inicial Asking Price (€) (Total)]]-DATABASE_Table[[#This Row],[Vista membership]]-DATABASE_Table[[#This Row],[FF&amp;E]]</f>
        <v>1012500</v>
      </c>
      <c r="T1022" s="125">
        <v>1012500</v>
      </c>
      <c r="U1022" s="124">
        <v>1100000</v>
      </c>
      <c r="V1022" s="21"/>
      <c r="W1022" s="21"/>
      <c r="X1022" s="73">
        <f>DATABASE_Table[[#This Row],[Current Asking price( Total)]]-DATABASE_Table[[#This Row],[Vista membership]]-DATABASE_Table[[#This Row],[FF&amp;E]]</f>
        <v>1100000</v>
      </c>
      <c r="Y1022" s="126">
        <v>0</v>
      </c>
      <c r="Z1022" s="124">
        <v>1100000</v>
      </c>
      <c r="AA1022" s="73">
        <f>DATABASE_Table[[#This Row],[Sell price (Total)]]-DATABASE_Table[[#This Row],[FF&amp;E]]-DATABASE_Table[[#This Row],[Vista membership]]</f>
        <v>1100000</v>
      </c>
      <c r="AB1022" s="74">
        <v>44641</v>
      </c>
      <c r="AC1022" s="74" t="str">
        <f t="shared" si="15"/>
        <v>Q1 2022</v>
      </c>
      <c r="AD1022" s="123">
        <v>45657</v>
      </c>
      <c r="AE1022" s="69"/>
      <c r="AF1022" s="21" t="s">
        <v>10</v>
      </c>
      <c r="AG1022" s="21"/>
      <c r="AH1022" s="122"/>
      <c r="AI1022" s="122"/>
      <c r="AJ1022" s="122"/>
      <c r="AK1022" s="122"/>
      <c r="AL1022" s="21"/>
      <c r="AM1022" s="122" t="s">
        <v>686</v>
      </c>
    </row>
    <row r="1023" spans="1:39" customFormat="1" ht="15.75" customHeight="1" x14ac:dyDescent="0.3">
      <c r="A1023" t="s">
        <v>1109</v>
      </c>
      <c r="B1023" s="21" t="s">
        <v>686</v>
      </c>
      <c r="C1023" s="21" t="s">
        <v>688</v>
      </c>
      <c r="D1023" s="117" t="s">
        <v>350</v>
      </c>
      <c r="E1023" s="21"/>
      <c r="F1023" s="21" t="s">
        <v>384</v>
      </c>
      <c r="G1023" s="21">
        <v>164.08609999999999</v>
      </c>
      <c r="H1023" s="21"/>
      <c r="I1023" s="117" t="s">
        <v>325</v>
      </c>
      <c r="J1023" s="117" t="s">
        <v>325</v>
      </c>
      <c r="K1023" s="118"/>
      <c r="L1023" s="21"/>
      <c r="M1023" s="21"/>
      <c r="N1023" s="21"/>
      <c r="O1023" s="21"/>
      <c r="P1023" s="21">
        <v>164.08609999999999</v>
      </c>
      <c r="Q1023" s="21"/>
      <c r="R1023" s="21" t="s">
        <v>923</v>
      </c>
      <c r="S1023" s="119">
        <f>DATABASE_Table[[#This Row],[Inicial Asking Price (€) (Total)]]-DATABASE_Table[[#This Row],[Vista membership]]-DATABASE_Table[[#This Row],[FF&amp;E]]</f>
        <v>1108188</v>
      </c>
      <c r="T1023" s="125">
        <v>1108188</v>
      </c>
      <c r="U1023" s="124">
        <v>1180000</v>
      </c>
      <c r="V1023" s="21"/>
      <c r="W1023" s="21"/>
      <c r="X1023" s="73">
        <f>DATABASE_Table[[#This Row],[Current Asking price( Total)]]-DATABASE_Table[[#This Row],[Vista membership]]-DATABASE_Table[[#This Row],[FF&amp;E]]</f>
        <v>1180000</v>
      </c>
      <c r="Y1023" s="126">
        <v>0</v>
      </c>
      <c r="Z1023" s="124">
        <v>1180000</v>
      </c>
      <c r="AA1023" s="73">
        <f>DATABASE_Table[[#This Row],[Sell price (Total)]]-DATABASE_Table[[#This Row],[FF&amp;E]]-DATABASE_Table[[#This Row],[Vista membership]]</f>
        <v>1180000</v>
      </c>
      <c r="AB1023" s="74">
        <v>44641</v>
      </c>
      <c r="AC1023" s="74" t="str">
        <f t="shared" si="15"/>
        <v>Q1 2022</v>
      </c>
      <c r="AD1023" s="123">
        <v>44735</v>
      </c>
      <c r="AE1023" s="69"/>
      <c r="AF1023" s="21" t="s">
        <v>10</v>
      </c>
      <c r="AG1023" s="21"/>
      <c r="AH1023" s="122"/>
      <c r="AI1023" s="122"/>
      <c r="AJ1023" s="122"/>
      <c r="AK1023" s="122"/>
      <c r="AL1023" s="21"/>
      <c r="AM1023" s="122" t="s">
        <v>686</v>
      </c>
    </row>
    <row r="1024" spans="1:39" customFormat="1" ht="15.75" customHeight="1" x14ac:dyDescent="0.3">
      <c r="A1024" t="s">
        <v>1109</v>
      </c>
      <c r="B1024" s="21" t="s">
        <v>686</v>
      </c>
      <c r="C1024" s="21" t="s">
        <v>688</v>
      </c>
      <c r="D1024" s="117" t="s">
        <v>351</v>
      </c>
      <c r="E1024" s="21"/>
      <c r="F1024" s="21" t="s">
        <v>384</v>
      </c>
      <c r="G1024" s="21">
        <v>165.44130000000001</v>
      </c>
      <c r="H1024" s="21"/>
      <c r="I1024" s="117" t="s">
        <v>325</v>
      </c>
      <c r="J1024" s="117" t="s">
        <v>325</v>
      </c>
      <c r="K1024" s="118"/>
      <c r="L1024" s="21"/>
      <c r="M1024" s="21"/>
      <c r="N1024" s="21"/>
      <c r="O1024" s="21"/>
      <c r="P1024" s="21">
        <v>165.44130000000001</v>
      </c>
      <c r="Q1024" s="21"/>
      <c r="R1024" s="21" t="s">
        <v>923</v>
      </c>
      <c r="S1024" s="119">
        <f>DATABASE_Table[[#This Row],[Inicial Asking Price (€) (Total)]]-DATABASE_Table[[#This Row],[Vista membership]]-DATABASE_Table[[#This Row],[FF&amp;E]]</f>
        <v>1116828</v>
      </c>
      <c r="T1024" s="125">
        <v>1116828</v>
      </c>
      <c r="U1024" s="124">
        <v>1130000</v>
      </c>
      <c r="V1024" s="21"/>
      <c r="W1024" s="21"/>
      <c r="X1024" s="73">
        <f>DATABASE_Table[[#This Row],[Current Asking price( Total)]]-DATABASE_Table[[#This Row],[Vista membership]]-DATABASE_Table[[#This Row],[FF&amp;E]]</f>
        <v>1130000</v>
      </c>
      <c r="Y1024" s="126">
        <v>0</v>
      </c>
      <c r="Z1024" s="124">
        <v>1130000</v>
      </c>
      <c r="AA1024" s="73">
        <f>DATABASE_Table[[#This Row],[Sell price (Total)]]-DATABASE_Table[[#This Row],[FF&amp;E]]-DATABASE_Table[[#This Row],[Vista membership]]</f>
        <v>1130000</v>
      </c>
      <c r="AB1024" s="74">
        <v>44641</v>
      </c>
      <c r="AC1024" s="74" t="str">
        <f t="shared" si="15"/>
        <v>Q1 2022</v>
      </c>
      <c r="AD1024" s="123">
        <v>44810</v>
      </c>
      <c r="AE1024" s="69"/>
      <c r="AF1024" s="21" t="s">
        <v>10</v>
      </c>
      <c r="AG1024" s="21"/>
      <c r="AH1024" s="122"/>
      <c r="AI1024" s="122"/>
      <c r="AJ1024" s="122"/>
      <c r="AK1024" s="122"/>
      <c r="AL1024" s="21"/>
      <c r="AM1024" s="122" t="s">
        <v>686</v>
      </c>
    </row>
    <row r="1025" spans="1:39" customFormat="1" ht="15.75" customHeight="1" x14ac:dyDescent="0.3">
      <c r="A1025" t="s">
        <v>1109</v>
      </c>
      <c r="B1025" s="21" t="s">
        <v>686</v>
      </c>
      <c r="C1025" s="21" t="s">
        <v>688</v>
      </c>
      <c r="D1025" s="117" t="s">
        <v>353</v>
      </c>
      <c r="E1025" s="21"/>
      <c r="F1025" s="21" t="s">
        <v>384</v>
      </c>
      <c r="G1025" s="21">
        <v>152.87280000000001</v>
      </c>
      <c r="H1025" s="21"/>
      <c r="I1025" s="117" t="s">
        <v>325</v>
      </c>
      <c r="J1025" s="117" t="s">
        <v>325</v>
      </c>
      <c r="K1025" s="118"/>
      <c r="L1025" s="21"/>
      <c r="M1025" s="21"/>
      <c r="N1025" s="21"/>
      <c r="O1025" s="21"/>
      <c r="P1025" s="21">
        <v>152.87280000000001</v>
      </c>
      <c r="Q1025" s="21"/>
      <c r="R1025" s="21" t="s">
        <v>923</v>
      </c>
      <c r="S1025" s="119">
        <f>DATABASE_Table[[#This Row],[Inicial Asking Price (€) (Total)]]-DATABASE_Table[[#This Row],[Vista membership]]-DATABASE_Table[[#This Row],[FF&amp;E]]</f>
        <v>894995</v>
      </c>
      <c r="T1025" s="125">
        <v>894995</v>
      </c>
      <c r="U1025" s="124">
        <v>960000</v>
      </c>
      <c r="V1025" s="21"/>
      <c r="W1025" s="21"/>
      <c r="X1025" s="73">
        <f>DATABASE_Table[[#This Row],[Current Asking price( Total)]]-DATABASE_Table[[#This Row],[Vista membership]]-DATABASE_Table[[#This Row],[FF&amp;E]]</f>
        <v>960000</v>
      </c>
      <c r="Y1025" s="126">
        <v>0</v>
      </c>
      <c r="Z1025" s="124">
        <v>960000</v>
      </c>
      <c r="AA1025" s="73">
        <f>DATABASE_Table[[#This Row],[Sell price (Total)]]-DATABASE_Table[[#This Row],[FF&amp;E]]-DATABASE_Table[[#This Row],[Vista membership]]</f>
        <v>960000</v>
      </c>
      <c r="AB1025" s="74">
        <v>44641</v>
      </c>
      <c r="AC1025" s="74" t="str">
        <f t="shared" si="15"/>
        <v>Q1 2022</v>
      </c>
      <c r="AD1025" s="123">
        <v>44756</v>
      </c>
      <c r="AE1025" s="69"/>
      <c r="AF1025" s="21" t="s">
        <v>10</v>
      </c>
      <c r="AG1025" s="21"/>
      <c r="AH1025" s="122"/>
      <c r="AI1025" s="122"/>
      <c r="AJ1025" s="122"/>
      <c r="AK1025" s="122"/>
      <c r="AL1025" s="21"/>
      <c r="AM1025" s="122" t="s">
        <v>686</v>
      </c>
    </row>
    <row r="1026" spans="1:39" customFormat="1" ht="15.75" customHeight="1" x14ac:dyDescent="0.3">
      <c r="A1026" t="s">
        <v>1109</v>
      </c>
      <c r="B1026" s="21" t="s">
        <v>686</v>
      </c>
      <c r="C1026" s="21" t="s">
        <v>688</v>
      </c>
      <c r="D1026" s="117" t="s">
        <v>354</v>
      </c>
      <c r="E1026" s="21"/>
      <c r="F1026" s="21" t="s">
        <v>384</v>
      </c>
      <c r="G1026" s="21">
        <v>156.83949999999999</v>
      </c>
      <c r="H1026" s="21"/>
      <c r="I1026" s="117" t="s">
        <v>325</v>
      </c>
      <c r="J1026" s="117" t="s">
        <v>325</v>
      </c>
      <c r="K1026" s="118"/>
      <c r="L1026" s="21"/>
      <c r="M1026" s="21"/>
      <c r="N1026" s="21"/>
      <c r="O1026" s="21"/>
      <c r="P1026" s="21">
        <v>156.83949999999999</v>
      </c>
      <c r="Q1026" s="21"/>
      <c r="R1026" s="21" t="s">
        <v>923</v>
      </c>
      <c r="S1026" s="119">
        <f>DATABASE_Table[[#This Row],[Inicial Asking Price (€) (Total)]]-DATABASE_Table[[#This Row],[Vista membership]]-DATABASE_Table[[#This Row],[FF&amp;E]]</f>
        <v>912950</v>
      </c>
      <c r="T1026" s="125">
        <v>912950</v>
      </c>
      <c r="U1026" s="124">
        <v>992000</v>
      </c>
      <c r="V1026" s="21"/>
      <c r="W1026" s="21"/>
      <c r="X1026" s="73">
        <f>DATABASE_Table[[#This Row],[Current Asking price( Total)]]-DATABASE_Table[[#This Row],[Vista membership]]-DATABASE_Table[[#This Row],[FF&amp;E]]</f>
        <v>992000</v>
      </c>
      <c r="Y1026" s="126">
        <v>0</v>
      </c>
      <c r="Z1026" s="124">
        <v>992000</v>
      </c>
      <c r="AA1026" s="73">
        <f>DATABASE_Table[[#This Row],[Sell price (Total)]]-DATABASE_Table[[#This Row],[FF&amp;E]]-DATABASE_Table[[#This Row],[Vista membership]]</f>
        <v>992000</v>
      </c>
      <c r="AB1026" s="74">
        <v>44641</v>
      </c>
      <c r="AC1026" s="74" t="str">
        <f t="shared" ref="AC1026:AC1089" si="16">IF(AB1026="","TO LAUNCH","Q"&amp;ROUNDUP(MONTH(AB1026)/3,0)&amp;" "&amp;YEAR(AB1026))</f>
        <v>Q1 2022</v>
      </c>
      <c r="AD1026" s="123">
        <v>45163</v>
      </c>
      <c r="AE1026" s="69"/>
      <c r="AF1026" s="21" t="s">
        <v>10</v>
      </c>
      <c r="AG1026" s="21"/>
      <c r="AH1026" s="122"/>
      <c r="AI1026" s="122"/>
      <c r="AJ1026" s="122"/>
      <c r="AK1026" s="122"/>
      <c r="AL1026" s="21"/>
      <c r="AM1026" s="122" t="s">
        <v>686</v>
      </c>
    </row>
    <row r="1027" spans="1:39" customFormat="1" ht="15.75" customHeight="1" x14ac:dyDescent="0.3">
      <c r="A1027" t="s">
        <v>1109</v>
      </c>
      <c r="B1027" s="21" t="s">
        <v>686</v>
      </c>
      <c r="C1027" s="21" t="s">
        <v>688</v>
      </c>
      <c r="D1027" s="117" t="s">
        <v>355</v>
      </c>
      <c r="E1027" s="21"/>
      <c r="F1027" s="21" t="s">
        <v>384</v>
      </c>
      <c r="G1027" s="21">
        <v>158.05609999999999</v>
      </c>
      <c r="H1027" s="21"/>
      <c r="I1027" s="117" t="s">
        <v>325</v>
      </c>
      <c r="J1027" s="117" t="s">
        <v>325</v>
      </c>
      <c r="K1027" s="118"/>
      <c r="L1027" s="21"/>
      <c r="M1027" s="21"/>
      <c r="N1027" s="21"/>
      <c r="O1027" s="21"/>
      <c r="P1027" s="21">
        <v>158.05609999999999</v>
      </c>
      <c r="Q1027" s="21"/>
      <c r="R1027" s="21" t="s">
        <v>923</v>
      </c>
      <c r="S1027" s="119">
        <f>DATABASE_Table[[#This Row],[Inicial Asking Price (€) (Total)]]-DATABASE_Table[[#This Row],[Vista membership]]-DATABASE_Table[[#This Row],[FF&amp;E]]</f>
        <v>928815</v>
      </c>
      <c r="T1027" s="125">
        <v>928815</v>
      </c>
      <c r="U1027" s="124">
        <v>992000</v>
      </c>
      <c r="V1027" s="21"/>
      <c r="W1027" s="21"/>
      <c r="X1027" s="73">
        <f>DATABASE_Table[[#This Row],[Current Asking price( Total)]]-DATABASE_Table[[#This Row],[Vista membership]]-DATABASE_Table[[#This Row],[FF&amp;E]]</f>
        <v>992000</v>
      </c>
      <c r="Y1027" s="126">
        <v>0</v>
      </c>
      <c r="Z1027" s="124">
        <v>992000</v>
      </c>
      <c r="AA1027" s="73">
        <f>DATABASE_Table[[#This Row],[Sell price (Total)]]-DATABASE_Table[[#This Row],[FF&amp;E]]-DATABASE_Table[[#This Row],[Vista membership]]</f>
        <v>992000</v>
      </c>
      <c r="AB1027" s="74">
        <v>44641</v>
      </c>
      <c r="AC1027" s="74" t="str">
        <f t="shared" si="16"/>
        <v>Q1 2022</v>
      </c>
      <c r="AD1027" s="123">
        <v>45051</v>
      </c>
      <c r="AE1027" s="69"/>
      <c r="AF1027" s="21" t="s">
        <v>10</v>
      </c>
      <c r="AG1027" s="21"/>
      <c r="AH1027" s="122"/>
      <c r="AI1027" s="122"/>
      <c r="AJ1027" s="122"/>
      <c r="AK1027" s="122"/>
      <c r="AL1027" s="21"/>
      <c r="AM1027" s="122" t="s">
        <v>686</v>
      </c>
    </row>
    <row r="1028" spans="1:39" customFormat="1" ht="15.75" customHeight="1" x14ac:dyDescent="0.3">
      <c r="A1028" t="s">
        <v>1109</v>
      </c>
      <c r="B1028" s="21" t="s">
        <v>686</v>
      </c>
      <c r="C1028" s="21" t="s">
        <v>688</v>
      </c>
      <c r="D1028" s="117" t="s">
        <v>356</v>
      </c>
      <c r="E1028" s="21"/>
      <c r="F1028" s="21" t="s">
        <v>384</v>
      </c>
      <c r="G1028" s="21">
        <v>152.87280000000001</v>
      </c>
      <c r="H1028" s="21"/>
      <c r="I1028" s="117" t="s">
        <v>325</v>
      </c>
      <c r="J1028" s="117" t="s">
        <v>325</v>
      </c>
      <c r="K1028" s="118"/>
      <c r="L1028" s="21"/>
      <c r="M1028" s="21"/>
      <c r="N1028" s="21"/>
      <c r="O1028" s="21"/>
      <c r="P1028" s="21">
        <v>152.87280000000001</v>
      </c>
      <c r="Q1028" s="21"/>
      <c r="R1028" s="21" t="s">
        <v>923</v>
      </c>
      <c r="S1028" s="119">
        <f>DATABASE_Table[[#This Row],[Inicial Asking Price (€) (Total)]]-DATABASE_Table[[#This Row],[Vista membership]]-DATABASE_Table[[#This Row],[FF&amp;E]]</f>
        <v>894995</v>
      </c>
      <c r="T1028" s="125">
        <v>894995</v>
      </c>
      <c r="U1028" s="124">
        <v>960000</v>
      </c>
      <c r="V1028" s="21"/>
      <c r="W1028" s="21"/>
      <c r="X1028" s="73">
        <f>DATABASE_Table[[#This Row],[Current Asking price( Total)]]-DATABASE_Table[[#This Row],[Vista membership]]-DATABASE_Table[[#This Row],[FF&amp;E]]</f>
        <v>960000</v>
      </c>
      <c r="Y1028" s="126">
        <v>0</v>
      </c>
      <c r="Z1028" s="124">
        <v>960000</v>
      </c>
      <c r="AA1028" s="73">
        <f>DATABASE_Table[[#This Row],[Sell price (Total)]]-DATABASE_Table[[#This Row],[FF&amp;E]]-DATABASE_Table[[#This Row],[Vista membership]]</f>
        <v>960000</v>
      </c>
      <c r="AB1028" s="74">
        <v>44641</v>
      </c>
      <c r="AC1028" s="74" t="str">
        <f t="shared" si="16"/>
        <v>Q1 2022</v>
      </c>
      <c r="AD1028" s="123">
        <v>45083</v>
      </c>
      <c r="AE1028" s="69"/>
      <c r="AF1028" s="21" t="s">
        <v>10</v>
      </c>
      <c r="AG1028" s="21"/>
      <c r="AH1028" s="122"/>
      <c r="AI1028" s="122"/>
      <c r="AJ1028" s="122"/>
      <c r="AK1028" s="122"/>
      <c r="AL1028" s="21"/>
      <c r="AM1028" s="122" t="s">
        <v>686</v>
      </c>
    </row>
    <row r="1029" spans="1:39" customFormat="1" ht="15.75" customHeight="1" x14ac:dyDescent="0.3">
      <c r="A1029" t="s">
        <v>1109</v>
      </c>
      <c r="B1029" s="21" t="s">
        <v>686</v>
      </c>
      <c r="C1029" s="21" t="s">
        <v>688</v>
      </c>
      <c r="D1029" s="117" t="s">
        <v>357</v>
      </c>
      <c r="E1029" s="21"/>
      <c r="F1029" s="21" t="s">
        <v>384</v>
      </c>
      <c r="G1029" s="21">
        <v>152.87280000000001</v>
      </c>
      <c r="H1029" s="21"/>
      <c r="I1029" s="117" t="s">
        <v>325</v>
      </c>
      <c r="J1029" s="117" t="s">
        <v>325</v>
      </c>
      <c r="K1029" s="118"/>
      <c r="L1029" s="21"/>
      <c r="M1029" s="21"/>
      <c r="N1029" s="21"/>
      <c r="O1029" s="21"/>
      <c r="P1029" s="21">
        <v>152.87280000000001</v>
      </c>
      <c r="Q1029" s="21"/>
      <c r="R1029" s="21" t="s">
        <v>923</v>
      </c>
      <c r="S1029" s="119">
        <f>DATABASE_Table[[#This Row],[Inicial Asking Price (€) (Total)]]-DATABASE_Table[[#This Row],[Vista membership]]-DATABASE_Table[[#This Row],[FF&amp;E]]</f>
        <v>913837</v>
      </c>
      <c r="T1029" s="125">
        <v>913837</v>
      </c>
      <c r="U1029" s="124">
        <v>960000</v>
      </c>
      <c r="V1029" s="21"/>
      <c r="W1029" s="21"/>
      <c r="X1029" s="73">
        <f>DATABASE_Table[[#This Row],[Current Asking price( Total)]]-DATABASE_Table[[#This Row],[Vista membership]]-DATABASE_Table[[#This Row],[FF&amp;E]]</f>
        <v>960000</v>
      </c>
      <c r="Y1029" s="126">
        <v>0</v>
      </c>
      <c r="Z1029" s="124">
        <v>960000</v>
      </c>
      <c r="AA1029" s="73">
        <f>DATABASE_Table[[#This Row],[Sell price (Total)]]-DATABASE_Table[[#This Row],[FF&amp;E]]-DATABASE_Table[[#This Row],[Vista membership]]</f>
        <v>960000</v>
      </c>
      <c r="AB1029" s="74">
        <v>44641</v>
      </c>
      <c r="AC1029" s="74" t="str">
        <f t="shared" si="16"/>
        <v>Q1 2022</v>
      </c>
      <c r="AD1029" s="123">
        <v>45090</v>
      </c>
      <c r="AE1029" s="69"/>
      <c r="AF1029" s="21" t="s">
        <v>10</v>
      </c>
      <c r="AG1029" s="21"/>
      <c r="AH1029" s="122"/>
      <c r="AI1029" s="122"/>
      <c r="AJ1029" s="122"/>
      <c r="AK1029" s="122"/>
      <c r="AL1029" s="21"/>
      <c r="AM1029" s="122" t="s">
        <v>686</v>
      </c>
    </row>
    <row r="1030" spans="1:39" customFormat="1" ht="15.75" customHeight="1" x14ac:dyDescent="0.3">
      <c r="A1030" t="s">
        <v>1109</v>
      </c>
      <c r="B1030" s="21" t="s">
        <v>686</v>
      </c>
      <c r="C1030" s="21" t="s">
        <v>688</v>
      </c>
      <c r="D1030" s="117" t="s">
        <v>358</v>
      </c>
      <c r="E1030" s="21"/>
      <c r="F1030" s="21" t="s">
        <v>384</v>
      </c>
      <c r="G1030" s="21">
        <v>152.87280000000001</v>
      </c>
      <c r="H1030" s="21"/>
      <c r="I1030" s="117" t="s">
        <v>325</v>
      </c>
      <c r="J1030" s="117" t="s">
        <v>325</v>
      </c>
      <c r="K1030" s="118"/>
      <c r="L1030" s="21"/>
      <c r="M1030" s="21"/>
      <c r="N1030" s="21"/>
      <c r="O1030" s="21"/>
      <c r="P1030" s="21">
        <v>152.87280000000001</v>
      </c>
      <c r="Q1030" s="21"/>
      <c r="R1030" s="21" t="s">
        <v>923</v>
      </c>
      <c r="S1030" s="119">
        <f>DATABASE_Table[[#This Row],[Inicial Asking Price (€) (Total)]]-DATABASE_Table[[#This Row],[Vista membership]]-DATABASE_Table[[#This Row],[FF&amp;E]]</f>
        <v>913837</v>
      </c>
      <c r="T1030" s="125">
        <v>913837</v>
      </c>
      <c r="U1030" s="124">
        <v>960000</v>
      </c>
      <c r="V1030" s="21"/>
      <c r="W1030" s="21"/>
      <c r="X1030" s="73">
        <f>DATABASE_Table[[#This Row],[Current Asking price( Total)]]-DATABASE_Table[[#This Row],[Vista membership]]-DATABASE_Table[[#This Row],[FF&amp;E]]</f>
        <v>960000</v>
      </c>
      <c r="Y1030" s="126">
        <v>0</v>
      </c>
      <c r="Z1030" s="124">
        <v>960000</v>
      </c>
      <c r="AA1030" s="73">
        <f>DATABASE_Table[[#This Row],[Sell price (Total)]]-DATABASE_Table[[#This Row],[FF&amp;E]]-DATABASE_Table[[#This Row],[Vista membership]]</f>
        <v>960000</v>
      </c>
      <c r="AB1030" s="74">
        <v>44641</v>
      </c>
      <c r="AC1030" s="74" t="str">
        <f t="shared" si="16"/>
        <v>Q1 2022</v>
      </c>
      <c r="AD1030" s="123">
        <v>45068</v>
      </c>
      <c r="AE1030" s="69"/>
      <c r="AF1030" s="21" t="s">
        <v>10</v>
      </c>
      <c r="AG1030" s="21"/>
      <c r="AH1030" s="122"/>
      <c r="AI1030" s="122"/>
      <c r="AJ1030" s="122"/>
      <c r="AK1030" s="122"/>
      <c r="AL1030" s="21"/>
      <c r="AM1030" s="122" t="s">
        <v>686</v>
      </c>
    </row>
    <row r="1031" spans="1:39" customFormat="1" ht="15.75" customHeight="1" x14ac:dyDescent="0.3">
      <c r="A1031" t="s">
        <v>1109</v>
      </c>
      <c r="B1031" s="21" t="s">
        <v>686</v>
      </c>
      <c r="C1031" s="21" t="s">
        <v>688</v>
      </c>
      <c r="D1031" s="117" t="s">
        <v>359</v>
      </c>
      <c r="E1031" s="21"/>
      <c r="F1031" s="21" t="s">
        <v>384</v>
      </c>
      <c r="G1031" s="21">
        <v>152.87280000000001</v>
      </c>
      <c r="H1031" s="21"/>
      <c r="I1031" s="117" t="s">
        <v>325</v>
      </c>
      <c r="J1031" s="117" t="s">
        <v>325</v>
      </c>
      <c r="K1031" s="118"/>
      <c r="L1031" s="21"/>
      <c r="M1031" s="21"/>
      <c r="N1031" s="21"/>
      <c r="O1031" s="21"/>
      <c r="P1031" s="21">
        <v>152.87280000000001</v>
      </c>
      <c r="Q1031" s="21"/>
      <c r="R1031" s="21" t="s">
        <v>923</v>
      </c>
      <c r="S1031" s="119">
        <f>DATABASE_Table[[#This Row],[Inicial Asking Price (€) (Total)]]-DATABASE_Table[[#This Row],[Vista membership]]-DATABASE_Table[[#This Row],[FF&amp;E]]</f>
        <v>913837</v>
      </c>
      <c r="T1031" s="125">
        <v>913837</v>
      </c>
      <c r="U1031" s="124">
        <v>960000</v>
      </c>
      <c r="V1031" s="21"/>
      <c r="W1031" s="21"/>
      <c r="X1031" s="73">
        <f>DATABASE_Table[[#This Row],[Current Asking price( Total)]]-DATABASE_Table[[#This Row],[Vista membership]]-DATABASE_Table[[#This Row],[FF&amp;E]]</f>
        <v>960000</v>
      </c>
      <c r="Y1031" s="126">
        <v>0</v>
      </c>
      <c r="Z1031" s="124">
        <v>960000</v>
      </c>
      <c r="AA1031" s="73">
        <f>DATABASE_Table[[#This Row],[Sell price (Total)]]-DATABASE_Table[[#This Row],[FF&amp;E]]-DATABASE_Table[[#This Row],[Vista membership]]</f>
        <v>960000</v>
      </c>
      <c r="AB1031" s="74">
        <v>44641</v>
      </c>
      <c r="AC1031" s="74" t="str">
        <f t="shared" si="16"/>
        <v>Q1 2022</v>
      </c>
      <c r="AD1031" s="123">
        <v>45091</v>
      </c>
      <c r="AE1031" s="69"/>
      <c r="AF1031" s="21" t="s">
        <v>10</v>
      </c>
      <c r="AG1031" s="21"/>
      <c r="AH1031" s="122"/>
      <c r="AI1031" s="122"/>
      <c r="AJ1031" s="122"/>
      <c r="AK1031" s="122"/>
      <c r="AL1031" s="21"/>
      <c r="AM1031" s="122" t="s">
        <v>686</v>
      </c>
    </row>
    <row r="1032" spans="1:39" customFormat="1" ht="15.75" customHeight="1" x14ac:dyDescent="0.3">
      <c r="A1032" t="s">
        <v>1109</v>
      </c>
      <c r="B1032" s="21" t="s">
        <v>686</v>
      </c>
      <c r="C1032" s="21" t="s">
        <v>688</v>
      </c>
      <c r="D1032" s="117" t="s">
        <v>360</v>
      </c>
      <c r="E1032" s="21"/>
      <c r="F1032" s="21" t="s">
        <v>384</v>
      </c>
      <c r="G1032" s="21">
        <v>152.87280000000001</v>
      </c>
      <c r="H1032" s="21"/>
      <c r="I1032" s="117" t="s">
        <v>325</v>
      </c>
      <c r="J1032" s="117" t="s">
        <v>325</v>
      </c>
      <c r="K1032" s="118"/>
      <c r="L1032" s="21"/>
      <c r="M1032" s="21"/>
      <c r="N1032" s="21"/>
      <c r="O1032" s="21"/>
      <c r="P1032" s="21">
        <v>152.87280000000001</v>
      </c>
      <c r="Q1032" s="21"/>
      <c r="R1032" s="21" t="s">
        <v>923</v>
      </c>
      <c r="S1032" s="119">
        <f>DATABASE_Table[[#This Row],[Inicial Asking Price (€) (Total)]]-DATABASE_Table[[#This Row],[Vista membership]]-DATABASE_Table[[#This Row],[FF&amp;E]]</f>
        <v>913837</v>
      </c>
      <c r="T1032" s="125">
        <v>913837</v>
      </c>
      <c r="U1032" s="124">
        <v>960000</v>
      </c>
      <c r="V1032" s="21"/>
      <c r="W1032" s="21"/>
      <c r="X1032" s="73">
        <f>DATABASE_Table[[#This Row],[Current Asking price( Total)]]-DATABASE_Table[[#This Row],[Vista membership]]-DATABASE_Table[[#This Row],[FF&amp;E]]</f>
        <v>960000</v>
      </c>
      <c r="Y1032" s="126">
        <v>0</v>
      </c>
      <c r="Z1032" s="124">
        <v>960000</v>
      </c>
      <c r="AA1032" s="73">
        <f>DATABASE_Table[[#This Row],[Sell price (Total)]]-DATABASE_Table[[#This Row],[FF&amp;E]]-DATABASE_Table[[#This Row],[Vista membership]]</f>
        <v>960000</v>
      </c>
      <c r="AB1032" s="74">
        <v>44641</v>
      </c>
      <c r="AC1032" s="74" t="str">
        <f t="shared" si="16"/>
        <v>Q1 2022</v>
      </c>
      <c r="AD1032" s="123">
        <v>45091</v>
      </c>
      <c r="AE1032" s="69"/>
      <c r="AF1032" s="21" t="s">
        <v>10</v>
      </c>
      <c r="AG1032" s="21"/>
      <c r="AH1032" s="122"/>
      <c r="AI1032" s="122"/>
      <c r="AJ1032" s="122"/>
      <c r="AK1032" s="122"/>
      <c r="AL1032" s="21"/>
      <c r="AM1032" s="122" t="s">
        <v>686</v>
      </c>
    </row>
    <row r="1033" spans="1:39" customFormat="1" ht="15.75" customHeight="1" x14ac:dyDescent="0.3">
      <c r="A1033" t="s">
        <v>1109</v>
      </c>
      <c r="B1033" s="21" t="s">
        <v>686</v>
      </c>
      <c r="C1033" s="21" t="s">
        <v>688</v>
      </c>
      <c r="D1033" s="117" t="s">
        <v>361</v>
      </c>
      <c r="E1033" s="21"/>
      <c r="F1033" s="21" t="s">
        <v>384</v>
      </c>
      <c r="G1033" s="21">
        <v>156.83949999999999</v>
      </c>
      <c r="H1033" s="21"/>
      <c r="I1033" s="117" t="s">
        <v>325</v>
      </c>
      <c r="J1033" s="117" t="s">
        <v>325</v>
      </c>
      <c r="K1033" s="118"/>
      <c r="L1033" s="21"/>
      <c r="M1033" s="21"/>
      <c r="N1033" s="21"/>
      <c r="O1033" s="21"/>
      <c r="P1033" s="21">
        <v>156.83949999999999</v>
      </c>
      <c r="Q1033" s="21"/>
      <c r="R1033" s="21" t="s">
        <v>923</v>
      </c>
      <c r="S1033" s="119">
        <f>DATABASE_Table[[#This Row],[Inicial Asking Price (€) (Total)]]-DATABASE_Table[[#This Row],[Vista membership]]-DATABASE_Table[[#This Row],[FF&amp;E]]</f>
        <v>925768</v>
      </c>
      <c r="T1033" s="125">
        <v>925768</v>
      </c>
      <c r="U1033" s="124">
        <v>992000</v>
      </c>
      <c r="V1033" s="21"/>
      <c r="W1033" s="21"/>
      <c r="X1033" s="73">
        <f>DATABASE_Table[[#This Row],[Current Asking price( Total)]]-DATABASE_Table[[#This Row],[Vista membership]]-DATABASE_Table[[#This Row],[FF&amp;E]]</f>
        <v>992000</v>
      </c>
      <c r="Y1033" s="126">
        <v>0</v>
      </c>
      <c r="Z1033" s="124">
        <v>992000</v>
      </c>
      <c r="AA1033" s="73">
        <f>DATABASE_Table[[#This Row],[Sell price (Total)]]-DATABASE_Table[[#This Row],[FF&amp;E]]-DATABASE_Table[[#This Row],[Vista membership]]</f>
        <v>992000</v>
      </c>
      <c r="AB1033" s="74">
        <v>44641</v>
      </c>
      <c r="AC1033" s="74" t="str">
        <f t="shared" si="16"/>
        <v>Q1 2022</v>
      </c>
      <c r="AD1033" s="123">
        <v>45092</v>
      </c>
      <c r="AE1033" s="69"/>
      <c r="AF1033" s="21" t="s">
        <v>10</v>
      </c>
      <c r="AG1033" s="21"/>
      <c r="AH1033" s="122"/>
      <c r="AI1033" s="122"/>
      <c r="AJ1033" s="122"/>
      <c r="AK1033" s="122"/>
      <c r="AL1033" s="21"/>
      <c r="AM1033" s="122" t="s">
        <v>686</v>
      </c>
    </row>
    <row r="1034" spans="1:39" customFormat="1" ht="15.75" customHeight="1" x14ac:dyDescent="0.3">
      <c r="A1034" t="s">
        <v>1109</v>
      </c>
      <c r="B1034" s="21" t="s">
        <v>686</v>
      </c>
      <c r="C1034" s="21" t="s">
        <v>688</v>
      </c>
      <c r="D1034" s="117" t="s">
        <v>352</v>
      </c>
      <c r="E1034" s="21"/>
      <c r="F1034" s="21" t="s">
        <v>384</v>
      </c>
      <c r="G1034" s="21">
        <v>152.73410000000001</v>
      </c>
      <c r="H1034" s="21"/>
      <c r="I1034" s="117" t="s">
        <v>325</v>
      </c>
      <c r="J1034" s="117" t="s">
        <v>325</v>
      </c>
      <c r="K1034" s="118"/>
      <c r="L1034" s="21"/>
      <c r="M1034" s="21"/>
      <c r="N1034" s="21"/>
      <c r="O1034" s="21"/>
      <c r="P1034" s="21">
        <v>152.73410000000001</v>
      </c>
      <c r="Q1034" s="21"/>
      <c r="R1034" s="21" t="s">
        <v>923</v>
      </c>
      <c r="S1034" s="119">
        <f>DATABASE_Table[[#This Row],[Inicial Asking Price (€) (Total)]]-DATABASE_Table[[#This Row],[Vista membership]]-DATABASE_Table[[#This Row],[FF&amp;E]]</f>
        <v>989205</v>
      </c>
      <c r="T1034" s="125">
        <v>989205</v>
      </c>
      <c r="U1034" s="124">
        <v>995000</v>
      </c>
      <c r="V1034" s="21"/>
      <c r="W1034" s="21"/>
      <c r="X1034" s="73">
        <f>DATABASE_Table[[#This Row],[Current Asking price( Total)]]-DATABASE_Table[[#This Row],[Vista membership]]-DATABASE_Table[[#This Row],[FF&amp;E]]</f>
        <v>995000</v>
      </c>
      <c r="Y1034" s="126">
        <v>1.11022302462516E-16</v>
      </c>
      <c r="Z1034" s="124">
        <v>995000</v>
      </c>
      <c r="AA1034" s="73">
        <f>DATABASE_Table[[#This Row],[Sell price (Total)]]-DATABASE_Table[[#This Row],[FF&amp;E]]-DATABASE_Table[[#This Row],[Vista membership]]</f>
        <v>995000</v>
      </c>
      <c r="AB1034" s="74">
        <v>44641</v>
      </c>
      <c r="AC1034" s="74" t="str">
        <f t="shared" si="16"/>
        <v>Q1 2022</v>
      </c>
      <c r="AD1034" s="123">
        <v>45147</v>
      </c>
      <c r="AE1034" s="69"/>
      <c r="AF1034" s="21" t="s">
        <v>10</v>
      </c>
      <c r="AG1034" s="21"/>
      <c r="AH1034" s="122"/>
      <c r="AI1034" s="122"/>
      <c r="AJ1034" s="122"/>
      <c r="AK1034" s="122"/>
      <c r="AL1034" s="21"/>
      <c r="AM1034" s="122" t="s">
        <v>686</v>
      </c>
    </row>
    <row r="1035" spans="1:39" customFormat="1" ht="15.75" customHeight="1" x14ac:dyDescent="0.3">
      <c r="A1035" t="s">
        <v>1109</v>
      </c>
      <c r="B1035" s="21" t="s">
        <v>686</v>
      </c>
      <c r="C1035" s="21" t="s">
        <v>688</v>
      </c>
      <c r="D1035" s="117" t="s">
        <v>366</v>
      </c>
      <c r="E1035" s="21"/>
      <c r="F1035" s="21" t="s">
        <v>383</v>
      </c>
      <c r="G1035" s="21">
        <v>189.03110000000001</v>
      </c>
      <c r="H1035" s="21"/>
      <c r="I1035" s="117" t="s">
        <v>325</v>
      </c>
      <c r="J1035" s="117" t="s">
        <v>325</v>
      </c>
      <c r="K1035" s="118"/>
      <c r="L1035" s="21"/>
      <c r="M1035" s="21"/>
      <c r="N1035" s="21"/>
      <c r="O1035" s="21"/>
      <c r="P1035" s="21">
        <v>189.03110000000001</v>
      </c>
      <c r="Q1035" s="21"/>
      <c r="R1035" s="21" t="s">
        <v>923</v>
      </c>
      <c r="S1035" s="119">
        <f>DATABASE_Table[[#This Row],[Inicial Asking Price (€) (Total)]]-DATABASE_Table[[#This Row],[Vista membership]]-DATABASE_Table[[#This Row],[FF&amp;E]]</f>
        <v>1216320</v>
      </c>
      <c r="T1035" s="125">
        <v>1216320</v>
      </c>
      <c r="U1035" s="124">
        <v>1345000.0036530001</v>
      </c>
      <c r="V1035" s="21"/>
      <c r="W1035" s="21"/>
      <c r="X1035" s="73">
        <f>DATABASE_Table[[#This Row],[Current Asking price( Total)]]-DATABASE_Table[[#This Row],[Vista membership]]-DATABASE_Table[[#This Row],[FF&amp;E]]</f>
        <v>1345000.0036530001</v>
      </c>
      <c r="Y1035" s="126">
        <v>2.7159849924629502E-9</v>
      </c>
      <c r="Z1035" s="124">
        <v>1345000</v>
      </c>
      <c r="AA1035" s="73">
        <f>DATABASE_Table[[#This Row],[Sell price (Total)]]-DATABASE_Table[[#This Row],[FF&amp;E]]-DATABASE_Table[[#This Row],[Vista membership]]</f>
        <v>1345000</v>
      </c>
      <c r="AB1035" s="74">
        <v>44641</v>
      </c>
      <c r="AC1035" s="74" t="str">
        <f t="shared" si="16"/>
        <v>Q1 2022</v>
      </c>
      <c r="AD1035" s="123"/>
      <c r="AE1035" s="69"/>
      <c r="AF1035" s="21" t="s">
        <v>10</v>
      </c>
      <c r="AG1035" s="21"/>
      <c r="AH1035" s="122"/>
      <c r="AI1035" s="122"/>
      <c r="AJ1035" s="122"/>
      <c r="AK1035" s="122"/>
      <c r="AL1035" s="21"/>
      <c r="AM1035" s="122" t="s">
        <v>686</v>
      </c>
    </row>
    <row r="1036" spans="1:39" customFormat="1" ht="15.75" customHeight="1" x14ac:dyDescent="0.3">
      <c r="A1036" t="s">
        <v>1110</v>
      </c>
      <c r="B1036" s="21" t="s">
        <v>778</v>
      </c>
      <c r="C1036" s="21" t="s">
        <v>781</v>
      </c>
      <c r="D1036" s="117" t="s">
        <v>446</v>
      </c>
      <c r="E1036" s="21" t="s">
        <v>88</v>
      </c>
      <c r="F1036" s="21" t="s">
        <v>383</v>
      </c>
      <c r="G1036" s="21">
        <v>311.70999999999998</v>
      </c>
      <c r="H1036" s="21"/>
      <c r="I1036" s="117" t="s">
        <v>843</v>
      </c>
      <c r="J1036" s="117" t="s">
        <v>587</v>
      </c>
      <c r="K1036" s="118">
        <v>0</v>
      </c>
      <c r="L1036" s="21">
        <v>98.43</v>
      </c>
      <c r="M1036" s="21">
        <v>46.1</v>
      </c>
      <c r="N1036" s="21"/>
      <c r="O1036" s="21"/>
      <c r="P1036" s="21">
        <v>167.18</v>
      </c>
      <c r="Q1036" s="21"/>
      <c r="R1036" s="21" t="s">
        <v>329</v>
      </c>
      <c r="S1036" s="119">
        <f>DATABASE_Table[[#This Row],[Inicial Asking Price (€) (Total)]]-DATABASE_Table[[#This Row],[Vista membership]]-DATABASE_Table[[#This Row],[FF&amp;E]]</f>
        <v>810000</v>
      </c>
      <c r="T1036" s="120">
        <v>810000</v>
      </c>
      <c r="U1036" s="36">
        <v>860000</v>
      </c>
      <c r="V1036" s="21"/>
      <c r="W1036" s="21"/>
      <c r="X1036" s="73">
        <f>DATABASE_Table[[#This Row],[Current Asking price( Total)]]-DATABASE_Table[[#This Row],[Vista membership]]-DATABASE_Table[[#This Row],[FF&amp;E]]</f>
        <v>860000</v>
      </c>
      <c r="Y1036" s="37">
        <v>0</v>
      </c>
      <c r="Z1036" s="36">
        <v>840000</v>
      </c>
      <c r="AA1036" s="73">
        <f>DATABASE_Table[[#This Row],[Sell price (Total)]]-DATABASE_Table[[#This Row],[FF&amp;E]]-DATABASE_Table[[#This Row],[Vista membership]]</f>
        <v>840000</v>
      </c>
      <c r="AB1036" s="74">
        <v>46171</v>
      </c>
      <c r="AC1036" s="74" t="str">
        <f t="shared" si="16"/>
        <v>Q2 2026</v>
      </c>
      <c r="AD1036" s="123">
        <v>46171</v>
      </c>
      <c r="AE1036" s="69">
        <v>47208</v>
      </c>
      <c r="AF1036" s="21" t="s">
        <v>80</v>
      </c>
      <c r="AG1036" s="21" t="s">
        <v>81</v>
      </c>
      <c r="AH1036" s="122" t="s">
        <v>89</v>
      </c>
      <c r="AI1036" s="122" t="s">
        <v>90</v>
      </c>
      <c r="AJ1036" s="122" t="s">
        <v>91</v>
      </c>
      <c r="AK1036" s="122" t="s">
        <v>92</v>
      </c>
      <c r="AL1036" s="21" t="s">
        <v>30</v>
      </c>
      <c r="AM1036" s="122" t="s">
        <v>87</v>
      </c>
    </row>
    <row r="1037" spans="1:39" customFormat="1" ht="15.75" customHeight="1" x14ac:dyDescent="0.3">
      <c r="A1037" t="s">
        <v>1110</v>
      </c>
      <c r="B1037" s="21" t="s">
        <v>778</v>
      </c>
      <c r="C1037" s="21" t="s">
        <v>781</v>
      </c>
      <c r="D1037" s="117" t="s">
        <v>443</v>
      </c>
      <c r="E1037" s="21" t="s">
        <v>88</v>
      </c>
      <c r="F1037" s="21" t="s">
        <v>383</v>
      </c>
      <c r="G1037" s="21">
        <v>274.31</v>
      </c>
      <c r="H1037" s="21"/>
      <c r="I1037" s="117" t="s">
        <v>843</v>
      </c>
      <c r="J1037" s="117" t="s">
        <v>587</v>
      </c>
      <c r="K1037" s="118">
        <v>0</v>
      </c>
      <c r="L1037" s="21">
        <v>68.33</v>
      </c>
      <c r="M1037" s="21">
        <v>44.52</v>
      </c>
      <c r="N1037" s="21"/>
      <c r="O1037" s="21"/>
      <c r="P1037" s="21">
        <v>161.46</v>
      </c>
      <c r="Q1037" s="21"/>
      <c r="R1037" s="21" t="s">
        <v>329</v>
      </c>
      <c r="S1037" s="119">
        <f>DATABASE_Table[[#This Row],[Inicial Asking Price (€) (Total)]]-DATABASE_Table[[#This Row],[Vista membership]]-DATABASE_Table[[#This Row],[FF&amp;E]]</f>
        <v>840000</v>
      </c>
      <c r="T1037" s="120">
        <v>840000</v>
      </c>
      <c r="U1037" s="36">
        <v>860000</v>
      </c>
      <c r="V1037" s="21"/>
      <c r="W1037" s="21"/>
      <c r="X1037" s="73">
        <f>DATABASE_Table[[#This Row],[Current Asking price( Total)]]-DATABASE_Table[[#This Row],[Vista membership]]-DATABASE_Table[[#This Row],[FF&amp;E]]</f>
        <v>860000</v>
      </c>
      <c r="Y1037" s="37">
        <v>0</v>
      </c>
      <c r="Z1037" s="36">
        <v>800000</v>
      </c>
      <c r="AA1037" s="73">
        <f>DATABASE_Table[[#This Row],[Sell price (Total)]]-DATABASE_Table[[#This Row],[FF&amp;E]]-DATABASE_Table[[#This Row],[Vista membership]]</f>
        <v>800000</v>
      </c>
      <c r="AB1037" s="74">
        <v>46171</v>
      </c>
      <c r="AC1037" s="74" t="str">
        <f t="shared" si="16"/>
        <v>Q2 2026</v>
      </c>
      <c r="AD1037" s="123">
        <v>46171</v>
      </c>
      <c r="AE1037" s="69">
        <v>47208</v>
      </c>
      <c r="AF1037" s="21" t="s">
        <v>80</v>
      </c>
      <c r="AG1037" s="21" t="s">
        <v>81</v>
      </c>
      <c r="AH1037" s="122" t="s">
        <v>89</v>
      </c>
      <c r="AI1037" s="122" t="s">
        <v>90</v>
      </c>
      <c r="AJ1037" s="122" t="s">
        <v>91</v>
      </c>
      <c r="AK1037" s="122" t="s">
        <v>92</v>
      </c>
      <c r="AL1037" s="21" t="s">
        <v>30</v>
      </c>
      <c r="AM1037" s="122" t="s">
        <v>87</v>
      </c>
    </row>
    <row r="1038" spans="1:39" customFormat="1" ht="15.75" customHeight="1" x14ac:dyDescent="0.3">
      <c r="A1038" t="s">
        <v>1110</v>
      </c>
      <c r="B1038" s="21" t="s">
        <v>778</v>
      </c>
      <c r="C1038" s="21" t="s">
        <v>781</v>
      </c>
      <c r="D1038" s="117" t="s">
        <v>452</v>
      </c>
      <c r="E1038" s="21" t="s">
        <v>88</v>
      </c>
      <c r="F1038" s="21" t="s">
        <v>383</v>
      </c>
      <c r="G1038" s="21">
        <v>335.26</v>
      </c>
      <c r="H1038" s="21"/>
      <c r="I1038" s="117" t="s">
        <v>843</v>
      </c>
      <c r="J1038" s="117" t="s">
        <v>587</v>
      </c>
      <c r="K1038" s="118">
        <v>0</v>
      </c>
      <c r="L1038" s="21">
        <v>129.28</v>
      </c>
      <c r="M1038" s="21">
        <v>44.52</v>
      </c>
      <c r="N1038" s="21"/>
      <c r="O1038" s="21"/>
      <c r="P1038" s="21">
        <v>161.46</v>
      </c>
      <c r="Q1038" s="21"/>
      <c r="R1038" s="21" t="s">
        <v>329</v>
      </c>
      <c r="S1038" s="119">
        <f>DATABASE_Table[[#This Row],[Inicial Asking Price (€) (Total)]]-DATABASE_Table[[#This Row],[Vista membership]]-DATABASE_Table[[#This Row],[FF&amp;E]]</f>
        <v>960000</v>
      </c>
      <c r="T1038" s="120">
        <v>960000</v>
      </c>
      <c r="U1038" s="36">
        <v>1000000</v>
      </c>
      <c r="V1038" s="21"/>
      <c r="W1038" s="21"/>
      <c r="X1038" s="73">
        <f>DATABASE_Table[[#This Row],[Current Asking price( Total)]]-DATABASE_Table[[#This Row],[Vista membership]]-DATABASE_Table[[#This Row],[FF&amp;E]]</f>
        <v>1000000</v>
      </c>
      <c r="Y1038" s="37">
        <v>0</v>
      </c>
      <c r="Z1038" s="36">
        <v>860000</v>
      </c>
      <c r="AA1038" s="73">
        <f>DATABASE_Table[[#This Row],[Sell price (Total)]]-DATABASE_Table[[#This Row],[FF&amp;E]]-DATABASE_Table[[#This Row],[Vista membership]]</f>
        <v>860000</v>
      </c>
      <c r="AB1038" s="74">
        <v>46171</v>
      </c>
      <c r="AC1038" s="74" t="str">
        <f t="shared" si="16"/>
        <v>Q2 2026</v>
      </c>
      <c r="AD1038" s="123">
        <v>46171</v>
      </c>
      <c r="AE1038" s="69">
        <v>47208</v>
      </c>
      <c r="AF1038" s="21" t="s">
        <v>80</v>
      </c>
      <c r="AG1038" s="21" t="s">
        <v>81</v>
      </c>
      <c r="AH1038" s="122" t="s">
        <v>89</v>
      </c>
      <c r="AI1038" s="122" t="s">
        <v>90</v>
      </c>
      <c r="AJ1038" s="122" t="s">
        <v>91</v>
      </c>
      <c r="AK1038" s="122" t="s">
        <v>92</v>
      </c>
      <c r="AL1038" s="21" t="s">
        <v>30</v>
      </c>
      <c r="AM1038" s="122" t="s">
        <v>87</v>
      </c>
    </row>
    <row r="1039" spans="1:39" customFormat="1" ht="15.75" customHeight="1" x14ac:dyDescent="0.3">
      <c r="A1039" t="s">
        <v>1110</v>
      </c>
      <c r="B1039" s="21" t="s">
        <v>778</v>
      </c>
      <c r="C1039" s="21" t="s">
        <v>781</v>
      </c>
      <c r="D1039" s="117" t="s">
        <v>463</v>
      </c>
      <c r="E1039" s="21" t="s">
        <v>88</v>
      </c>
      <c r="F1039" s="21" t="s">
        <v>462</v>
      </c>
      <c r="G1039" s="21">
        <v>349.32</v>
      </c>
      <c r="H1039" s="21"/>
      <c r="I1039" s="117" t="s">
        <v>843</v>
      </c>
      <c r="J1039" s="117" t="s">
        <v>587</v>
      </c>
      <c r="K1039" s="118">
        <v>9.57</v>
      </c>
      <c r="L1039" s="21">
        <v>88.24</v>
      </c>
      <c r="M1039" s="21">
        <v>51.75</v>
      </c>
      <c r="N1039" s="21"/>
      <c r="O1039" s="21"/>
      <c r="P1039" s="21">
        <v>199.76</v>
      </c>
      <c r="Q1039" s="21"/>
      <c r="R1039" s="21" t="s">
        <v>329</v>
      </c>
      <c r="S1039" s="119">
        <f>DATABASE_Table[[#This Row],[Inicial Asking Price (€) (Total)]]-DATABASE_Table[[#This Row],[Vista membership]]-DATABASE_Table[[#This Row],[FF&amp;E]]</f>
        <v>1090000</v>
      </c>
      <c r="T1039" s="120">
        <v>1090000</v>
      </c>
      <c r="U1039" s="36">
        <v>1120000</v>
      </c>
      <c r="V1039" s="21"/>
      <c r="W1039" s="21"/>
      <c r="X1039" s="73">
        <f>DATABASE_Table[[#This Row],[Current Asking price( Total)]]-DATABASE_Table[[#This Row],[Vista membership]]-DATABASE_Table[[#This Row],[FF&amp;E]]</f>
        <v>1120000</v>
      </c>
      <c r="Y1039" s="37">
        <v>0</v>
      </c>
      <c r="Z1039" s="36">
        <v>970000</v>
      </c>
      <c r="AA1039" s="73">
        <f>DATABASE_Table[[#This Row],[Sell price (Total)]]-DATABASE_Table[[#This Row],[FF&amp;E]]-DATABASE_Table[[#This Row],[Vista membership]]</f>
        <v>970000</v>
      </c>
      <c r="AB1039" s="74">
        <v>46171</v>
      </c>
      <c r="AC1039" s="74" t="str">
        <f t="shared" si="16"/>
        <v>Q2 2026</v>
      </c>
      <c r="AD1039" s="123">
        <v>46185</v>
      </c>
      <c r="AE1039" s="69">
        <v>47208</v>
      </c>
      <c r="AF1039" s="21" t="s">
        <v>80</v>
      </c>
      <c r="AG1039" s="21" t="s">
        <v>81</v>
      </c>
      <c r="AH1039" s="122" t="s">
        <v>89</v>
      </c>
      <c r="AI1039" s="122" t="s">
        <v>90</v>
      </c>
      <c r="AJ1039" s="122" t="s">
        <v>91</v>
      </c>
      <c r="AK1039" s="122" t="s">
        <v>92</v>
      </c>
      <c r="AL1039" s="21" t="s">
        <v>30</v>
      </c>
      <c r="AM1039" s="122" t="s">
        <v>87</v>
      </c>
    </row>
    <row r="1040" spans="1:39" customFormat="1" ht="15.75" customHeight="1" x14ac:dyDescent="0.3">
      <c r="A1040" t="s">
        <v>1110</v>
      </c>
      <c r="B1040" s="21" t="s">
        <v>778</v>
      </c>
      <c r="C1040" s="21" t="s">
        <v>781</v>
      </c>
      <c r="D1040" s="117" t="s">
        <v>469</v>
      </c>
      <c r="E1040" s="21" t="s">
        <v>88</v>
      </c>
      <c r="F1040" s="21" t="s">
        <v>468</v>
      </c>
      <c r="G1040" s="21">
        <v>365.67</v>
      </c>
      <c r="H1040" s="21"/>
      <c r="I1040" s="117" t="s">
        <v>843</v>
      </c>
      <c r="J1040" s="117" t="s">
        <v>587</v>
      </c>
      <c r="K1040" s="118">
        <v>0</v>
      </c>
      <c r="L1040" s="21">
        <v>95.36</v>
      </c>
      <c r="M1040" s="21">
        <v>53.5</v>
      </c>
      <c r="N1040" s="21"/>
      <c r="O1040" s="21"/>
      <c r="P1040" s="21">
        <v>216.81</v>
      </c>
      <c r="Q1040" s="21"/>
      <c r="R1040" s="21" t="s">
        <v>329</v>
      </c>
      <c r="S1040" s="119">
        <f>DATABASE_Table[[#This Row],[Inicial Asking Price (€) (Total)]]-DATABASE_Table[[#This Row],[Vista membership]]-DATABASE_Table[[#This Row],[FF&amp;E]]</f>
        <v>1060000</v>
      </c>
      <c r="T1040" s="120">
        <v>1060000</v>
      </c>
      <c r="U1040" s="120">
        <v>1090000</v>
      </c>
      <c r="V1040" s="21"/>
      <c r="W1040" s="21"/>
      <c r="X1040" s="73">
        <f>DATABASE_Table[[#This Row],[Current Asking price( Total)]]-DATABASE_Table[[#This Row],[Vista membership]]-DATABASE_Table[[#This Row],[FF&amp;E]]</f>
        <v>1090000</v>
      </c>
      <c r="Y1040" s="37">
        <v>0</v>
      </c>
      <c r="Z1040" s="36">
        <v>1090000</v>
      </c>
      <c r="AA1040" s="73">
        <f>DATABASE_Table[[#This Row],[Sell price (Total)]]-DATABASE_Table[[#This Row],[FF&amp;E]]-DATABASE_Table[[#This Row],[Vista membership]]</f>
        <v>1090000</v>
      </c>
      <c r="AB1040" s="74">
        <v>46171</v>
      </c>
      <c r="AC1040" s="74" t="str">
        <f t="shared" si="16"/>
        <v>Q2 2026</v>
      </c>
      <c r="AD1040" s="123">
        <v>46185</v>
      </c>
      <c r="AE1040" s="69">
        <v>47208</v>
      </c>
      <c r="AF1040" s="21" t="s">
        <v>80</v>
      </c>
      <c r="AG1040" s="21" t="s">
        <v>81</v>
      </c>
      <c r="AH1040" s="122" t="s">
        <v>89</v>
      </c>
      <c r="AI1040" s="122" t="s">
        <v>90</v>
      </c>
      <c r="AJ1040" s="122" t="s">
        <v>91</v>
      </c>
      <c r="AK1040" s="122" t="s">
        <v>92</v>
      </c>
      <c r="AL1040" s="21" t="s">
        <v>30</v>
      </c>
      <c r="AM1040" s="122" t="s">
        <v>87</v>
      </c>
    </row>
    <row r="1041" spans="1:39" customFormat="1" ht="15.75" customHeight="1" x14ac:dyDescent="0.3">
      <c r="A1041" t="s">
        <v>1110</v>
      </c>
      <c r="B1041" s="21" t="s">
        <v>778</v>
      </c>
      <c r="C1041" s="21" t="s">
        <v>781</v>
      </c>
      <c r="D1041" s="117" t="s">
        <v>447</v>
      </c>
      <c r="E1041" s="21" t="s">
        <v>88</v>
      </c>
      <c r="F1041" s="21" t="s">
        <v>383</v>
      </c>
      <c r="G1041" s="21">
        <v>324.74</v>
      </c>
      <c r="H1041" s="21"/>
      <c r="I1041" s="117" t="s">
        <v>843</v>
      </c>
      <c r="J1041" s="117" t="s">
        <v>587</v>
      </c>
      <c r="K1041" s="118">
        <v>0</v>
      </c>
      <c r="L1041" s="21">
        <v>111.46</v>
      </c>
      <c r="M1041" s="21">
        <v>46.1</v>
      </c>
      <c r="N1041" s="21"/>
      <c r="O1041" s="21"/>
      <c r="P1041" s="21">
        <v>167.18</v>
      </c>
      <c r="Q1041" s="21"/>
      <c r="R1041" s="21" t="s">
        <v>329</v>
      </c>
      <c r="S1041" s="119">
        <f>DATABASE_Table[[#This Row],[Inicial Asking Price (€) (Total)]]-DATABASE_Table[[#This Row],[Vista membership]]-DATABASE_Table[[#This Row],[FF&amp;E]]</f>
        <v>800000</v>
      </c>
      <c r="T1041" s="120">
        <v>800000</v>
      </c>
      <c r="U1041" s="36">
        <v>820000</v>
      </c>
      <c r="V1041" s="21"/>
      <c r="W1041" s="21"/>
      <c r="X1041" s="73">
        <f>DATABASE_Table[[#This Row],[Current Asking price( Total)]]-DATABASE_Table[[#This Row],[Vista membership]]-DATABASE_Table[[#This Row],[FF&amp;E]]</f>
        <v>820000</v>
      </c>
      <c r="Y1041" s="37"/>
      <c r="Z1041" s="36"/>
      <c r="AA1041" s="73">
        <f>DATABASE_Table[[#This Row],[Sell price (Total)]]-DATABASE_Table[[#This Row],[FF&amp;E]]-DATABASE_Table[[#This Row],[Vista membership]]</f>
        <v>0</v>
      </c>
      <c r="AB1041" s="74">
        <v>46171</v>
      </c>
      <c r="AC1041" s="74" t="str">
        <f t="shared" si="16"/>
        <v>Q2 2026</v>
      </c>
      <c r="AD1041" s="123"/>
      <c r="AE1041" s="69">
        <v>47208</v>
      </c>
      <c r="AF1041" s="21" t="s">
        <v>80</v>
      </c>
      <c r="AG1041" s="21" t="s">
        <v>81</v>
      </c>
      <c r="AH1041" s="122" t="s">
        <v>89</v>
      </c>
      <c r="AI1041" s="122" t="s">
        <v>90</v>
      </c>
      <c r="AJ1041" s="122" t="s">
        <v>91</v>
      </c>
      <c r="AK1041" s="122" t="s">
        <v>92</v>
      </c>
      <c r="AL1041" s="21" t="s">
        <v>30</v>
      </c>
      <c r="AM1041" s="122" t="s">
        <v>87</v>
      </c>
    </row>
    <row r="1042" spans="1:39" customFormat="1" ht="15.75" customHeight="1" x14ac:dyDescent="0.3">
      <c r="A1042" t="s">
        <v>1110</v>
      </c>
      <c r="B1042" s="21" t="s">
        <v>778</v>
      </c>
      <c r="C1042" s="21" t="s">
        <v>781</v>
      </c>
      <c r="D1042" s="117" t="s">
        <v>437</v>
      </c>
      <c r="E1042" s="21" t="s">
        <v>88</v>
      </c>
      <c r="F1042" s="21" t="s">
        <v>383</v>
      </c>
      <c r="G1042" s="21">
        <v>209.64</v>
      </c>
      <c r="H1042" s="21"/>
      <c r="I1042" s="117" t="s">
        <v>843</v>
      </c>
      <c r="J1042" s="117" t="s">
        <v>586</v>
      </c>
      <c r="K1042" s="118">
        <v>0</v>
      </c>
      <c r="L1042" s="21">
        <v>3.66</v>
      </c>
      <c r="M1042" s="21">
        <v>44.52</v>
      </c>
      <c r="N1042" s="21"/>
      <c r="O1042" s="21"/>
      <c r="P1042" s="21">
        <v>161.46</v>
      </c>
      <c r="Q1042" s="21"/>
      <c r="R1042" s="21" t="s">
        <v>329</v>
      </c>
      <c r="S1042" s="119">
        <f>DATABASE_Table[[#This Row],[Inicial Asking Price (€) (Total)]]-DATABASE_Table[[#This Row],[Vista membership]]-DATABASE_Table[[#This Row],[FF&amp;E]]</f>
        <v>820000</v>
      </c>
      <c r="T1042" s="120">
        <v>820000</v>
      </c>
      <c r="U1042" s="36">
        <v>870000</v>
      </c>
      <c r="V1042" s="21"/>
      <c r="W1042" s="21"/>
      <c r="X1042" s="73">
        <f>DATABASE_Table[[#This Row],[Current Asking price( Total)]]-DATABASE_Table[[#This Row],[Vista membership]]-DATABASE_Table[[#This Row],[FF&amp;E]]</f>
        <v>870000</v>
      </c>
      <c r="Y1042" s="37"/>
      <c r="Z1042" s="36"/>
      <c r="AA1042" s="73">
        <f>DATABASE_Table[[#This Row],[Sell price (Total)]]-DATABASE_Table[[#This Row],[FF&amp;E]]-DATABASE_Table[[#This Row],[Vista membership]]</f>
        <v>0</v>
      </c>
      <c r="AB1042" s="74">
        <v>46171</v>
      </c>
      <c r="AC1042" s="74" t="str">
        <f t="shared" si="16"/>
        <v>Q2 2026</v>
      </c>
      <c r="AD1042" s="123"/>
      <c r="AE1042" s="69">
        <v>47208</v>
      </c>
      <c r="AF1042" s="21" t="s">
        <v>80</v>
      </c>
      <c r="AG1042" s="21" t="s">
        <v>81</v>
      </c>
      <c r="AH1042" s="122" t="s">
        <v>89</v>
      </c>
      <c r="AI1042" s="122" t="s">
        <v>90</v>
      </c>
      <c r="AJ1042" s="122" t="s">
        <v>91</v>
      </c>
      <c r="AK1042" s="122" t="s">
        <v>92</v>
      </c>
      <c r="AL1042" s="21" t="s">
        <v>30</v>
      </c>
      <c r="AM1042" s="122" t="s">
        <v>87</v>
      </c>
    </row>
    <row r="1043" spans="1:39" customFormat="1" ht="15.75" customHeight="1" x14ac:dyDescent="0.3">
      <c r="A1043" t="s">
        <v>1110</v>
      </c>
      <c r="B1043" s="21" t="s">
        <v>778</v>
      </c>
      <c r="C1043" s="21" t="s">
        <v>781</v>
      </c>
      <c r="D1043" s="117" t="s">
        <v>434</v>
      </c>
      <c r="E1043" s="21" t="s">
        <v>88</v>
      </c>
      <c r="F1043" s="21" t="s">
        <v>383</v>
      </c>
      <c r="G1043" s="21">
        <v>213.28</v>
      </c>
      <c r="H1043" s="21"/>
      <c r="I1043" s="117" t="s">
        <v>843</v>
      </c>
      <c r="J1043" s="117" t="s">
        <v>586</v>
      </c>
      <c r="K1043" s="118">
        <v>0</v>
      </c>
      <c r="L1043" s="21">
        <v>0</v>
      </c>
      <c r="M1043" s="21">
        <v>46.1</v>
      </c>
      <c r="N1043" s="21"/>
      <c r="O1043" s="21"/>
      <c r="P1043" s="21">
        <v>167.18</v>
      </c>
      <c r="Q1043" s="21"/>
      <c r="R1043" s="21" t="s">
        <v>588</v>
      </c>
      <c r="S1043" s="119">
        <f>DATABASE_Table[[#This Row],[Inicial Asking Price (€) (Total)]]-DATABASE_Table[[#This Row],[Vista membership]]-DATABASE_Table[[#This Row],[FF&amp;E]]</f>
        <v>820000</v>
      </c>
      <c r="T1043" s="120">
        <v>820000</v>
      </c>
      <c r="U1043" s="36">
        <v>840000</v>
      </c>
      <c r="V1043" s="21"/>
      <c r="W1043" s="21"/>
      <c r="X1043" s="73">
        <f>DATABASE_Table[[#This Row],[Current Asking price( Total)]]-DATABASE_Table[[#This Row],[Vista membership]]-DATABASE_Table[[#This Row],[FF&amp;E]]</f>
        <v>840000</v>
      </c>
      <c r="Y1043" s="37"/>
      <c r="Z1043" s="36"/>
      <c r="AA1043" s="73">
        <f>DATABASE_Table[[#This Row],[Sell price (Total)]]-DATABASE_Table[[#This Row],[FF&amp;E]]-DATABASE_Table[[#This Row],[Vista membership]]</f>
        <v>0</v>
      </c>
      <c r="AB1043" s="74">
        <v>46171</v>
      </c>
      <c r="AC1043" s="74" t="str">
        <f t="shared" si="16"/>
        <v>Q2 2026</v>
      </c>
      <c r="AD1043" s="123"/>
      <c r="AE1043" s="69">
        <v>47208</v>
      </c>
      <c r="AF1043" s="21" t="s">
        <v>80</v>
      </c>
      <c r="AG1043" s="21" t="s">
        <v>81</v>
      </c>
      <c r="AH1043" s="122" t="s">
        <v>89</v>
      </c>
      <c r="AI1043" s="122" t="s">
        <v>90</v>
      </c>
      <c r="AJ1043" s="122" t="s">
        <v>91</v>
      </c>
      <c r="AK1043" s="122" t="s">
        <v>92</v>
      </c>
      <c r="AL1043" s="21" t="s">
        <v>30</v>
      </c>
      <c r="AM1043" s="122" t="s">
        <v>87</v>
      </c>
    </row>
    <row r="1044" spans="1:39" customFormat="1" ht="15.75" customHeight="1" x14ac:dyDescent="0.3">
      <c r="A1044" t="s">
        <v>1110</v>
      </c>
      <c r="B1044" s="21" t="s">
        <v>778</v>
      </c>
      <c r="C1044" s="21" t="s">
        <v>781</v>
      </c>
      <c r="D1044" s="117" t="s">
        <v>436</v>
      </c>
      <c r="E1044" s="21" t="s">
        <v>88</v>
      </c>
      <c r="F1044" s="21" t="s">
        <v>383</v>
      </c>
      <c r="G1044" s="21">
        <v>205.98</v>
      </c>
      <c r="H1044" s="21"/>
      <c r="I1044" s="117" t="s">
        <v>843</v>
      </c>
      <c r="J1044" s="117" t="s">
        <v>586</v>
      </c>
      <c r="K1044" s="118">
        <v>0</v>
      </c>
      <c r="L1044" s="21">
        <v>0</v>
      </c>
      <c r="M1044" s="21">
        <v>44.52</v>
      </c>
      <c r="N1044" s="21"/>
      <c r="O1044" s="21"/>
      <c r="P1044" s="21">
        <v>161.46</v>
      </c>
      <c r="Q1044" s="21"/>
      <c r="R1044" s="21" t="s">
        <v>588</v>
      </c>
      <c r="S1044" s="119">
        <f>DATABASE_Table[[#This Row],[Inicial Asking Price (€) (Total)]]-DATABASE_Table[[#This Row],[Vista membership]]-DATABASE_Table[[#This Row],[FF&amp;E]]</f>
        <v>820000</v>
      </c>
      <c r="T1044" s="120">
        <v>820000</v>
      </c>
      <c r="U1044" s="36">
        <v>840000</v>
      </c>
      <c r="V1044" s="21"/>
      <c r="W1044" s="21"/>
      <c r="X1044" s="73">
        <f>DATABASE_Table[[#This Row],[Current Asking price( Total)]]-DATABASE_Table[[#This Row],[Vista membership]]-DATABASE_Table[[#This Row],[FF&amp;E]]</f>
        <v>840000</v>
      </c>
      <c r="Y1044" s="37"/>
      <c r="Z1044" s="36"/>
      <c r="AA1044" s="73">
        <f>DATABASE_Table[[#This Row],[Sell price (Total)]]-DATABASE_Table[[#This Row],[FF&amp;E]]-DATABASE_Table[[#This Row],[Vista membership]]</f>
        <v>0</v>
      </c>
      <c r="AB1044" s="74">
        <v>46171</v>
      </c>
      <c r="AC1044" s="74" t="str">
        <f t="shared" si="16"/>
        <v>Q2 2026</v>
      </c>
      <c r="AD1044" s="123"/>
      <c r="AE1044" s="69">
        <v>47208</v>
      </c>
      <c r="AF1044" s="21" t="s">
        <v>80</v>
      </c>
      <c r="AG1044" s="21" t="s">
        <v>81</v>
      </c>
      <c r="AH1044" s="122" t="s">
        <v>89</v>
      </c>
      <c r="AI1044" s="122" t="s">
        <v>90</v>
      </c>
      <c r="AJ1044" s="122" t="s">
        <v>91</v>
      </c>
      <c r="AK1044" s="122" t="s">
        <v>92</v>
      </c>
      <c r="AL1044" s="21" t="s">
        <v>30</v>
      </c>
      <c r="AM1044" s="122" t="s">
        <v>87</v>
      </c>
    </row>
    <row r="1045" spans="1:39" customFormat="1" ht="15.75" customHeight="1" x14ac:dyDescent="0.3">
      <c r="A1045" t="s">
        <v>1110</v>
      </c>
      <c r="B1045" s="21" t="s">
        <v>778</v>
      </c>
      <c r="C1045" s="21" t="s">
        <v>781</v>
      </c>
      <c r="D1045" s="117" t="s">
        <v>445</v>
      </c>
      <c r="E1045" s="21" t="s">
        <v>88</v>
      </c>
      <c r="F1045" s="21" t="s">
        <v>383</v>
      </c>
      <c r="G1045" s="21">
        <v>293.75</v>
      </c>
      <c r="H1045" s="21"/>
      <c r="I1045" s="117" t="s">
        <v>843</v>
      </c>
      <c r="J1045" s="117" t="s">
        <v>587</v>
      </c>
      <c r="K1045" s="118">
        <v>0</v>
      </c>
      <c r="L1045" s="21">
        <v>87.77</v>
      </c>
      <c r="M1045" s="21">
        <v>44.52</v>
      </c>
      <c r="N1045" s="21"/>
      <c r="O1045" s="21"/>
      <c r="P1045" s="21">
        <v>161.46</v>
      </c>
      <c r="Q1045" s="21"/>
      <c r="R1045" s="21" t="s">
        <v>588</v>
      </c>
      <c r="S1045" s="119">
        <f>DATABASE_Table[[#This Row],[Inicial Asking Price (€) (Total)]]-DATABASE_Table[[#This Row],[Vista membership]]-DATABASE_Table[[#This Row],[FF&amp;E]]</f>
        <v>820000</v>
      </c>
      <c r="T1045" s="120">
        <v>820000</v>
      </c>
      <c r="U1045" s="36">
        <v>860000</v>
      </c>
      <c r="V1045" s="21"/>
      <c r="W1045" s="21"/>
      <c r="X1045" s="73">
        <f>DATABASE_Table[[#This Row],[Current Asking price( Total)]]-DATABASE_Table[[#This Row],[Vista membership]]-DATABASE_Table[[#This Row],[FF&amp;E]]</f>
        <v>860000</v>
      </c>
      <c r="Y1045" s="37"/>
      <c r="Z1045" s="36"/>
      <c r="AA1045" s="73">
        <f>DATABASE_Table[[#This Row],[Sell price (Total)]]-DATABASE_Table[[#This Row],[FF&amp;E]]-DATABASE_Table[[#This Row],[Vista membership]]</f>
        <v>0</v>
      </c>
      <c r="AB1045" s="74">
        <v>46171</v>
      </c>
      <c r="AC1045" s="74" t="str">
        <f t="shared" si="16"/>
        <v>Q2 2026</v>
      </c>
      <c r="AD1045" s="123"/>
      <c r="AE1045" s="69">
        <v>47208</v>
      </c>
      <c r="AF1045" s="21" t="s">
        <v>80</v>
      </c>
      <c r="AG1045" s="21" t="s">
        <v>81</v>
      </c>
      <c r="AH1045" s="122" t="s">
        <v>89</v>
      </c>
      <c r="AI1045" s="122" t="s">
        <v>90</v>
      </c>
      <c r="AJ1045" s="122" t="s">
        <v>91</v>
      </c>
      <c r="AK1045" s="122" t="s">
        <v>92</v>
      </c>
      <c r="AL1045" s="21" t="s">
        <v>30</v>
      </c>
      <c r="AM1045" s="122" t="s">
        <v>87</v>
      </c>
    </row>
    <row r="1046" spans="1:39" customFormat="1" ht="15.75" customHeight="1" x14ac:dyDescent="0.3">
      <c r="A1046" t="s">
        <v>1110</v>
      </c>
      <c r="B1046" s="21" t="s">
        <v>778</v>
      </c>
      <c r="C1046" s="21" t="s">
        <v>781</v>
      </c>
      <c r="D1046" s="117" t="s">
        <v>438</v>
      </c>
      <c r="E1046" s="21" t="s">
        <v>88</v>
      </c>
      <c r="F1046" s="21" t="s">
        <v>383</v>
      </c>
      <c r="G1046" s="21">
        <v>219.42</v>
      </c>
      <c r="H1046" s="21"/>
      <c r="I1046" s="117" t="s">
        <v>843</v>
      </c>
      <c r="J1046" s="117" t="s">
        <v>586</v>
      </c>
      <c r="K1046" s="118">
        <v>0</v>
      </c>
      <c r="L1046" s="21">
        <v>13.44</v>
      </c>
      <c r="M1046" s="21">
        <v>44.52</v>
      </c>
      <c r="N1046" s="21"/>
      <c r="O1046" s="21"/>
      <c r="P1046" s="21">
        <v>161.46</v>
      </c>
      <c r="Q1046" s="21"/>
      <c r="R1046" s="21" t="s">
        <v>329</v>
      </c>
      <c r="S1046" s="119">
        <f>DATABASE_Table[[#This Row],[Inicial Asking Price (€) (Total)]]-DATABASE_Table[[#This Row],[Vista membership]]-DATABASE_Table[[#This Row],[FF&amp;E]]</f>
        <v>830000</v>
      </c>
      <c r="T1046" s="120">
        <v>830000</v>
      </c>
      <c r="U1046" s="36">
        <v>890000</v>
      </c>
      <c r="V1046" s="21"/>
      <c r="W1046" s="21"/>
      <c r="X1046" s="73">
        <f>DATABASE_Table[[#This Row],[Current Asking price( Total)]]-DATABASE_Table[[#This Row],[Vista membership]]-DATABASE_Table[[#This Row],[FF&amp;E]]</f>
        <v>890000</v>
      </c>
      <c r="Y1046" s="37"/>
      <c r="Z1046" s="36"/>
      <c r="AA1046" s="73">
        <f>DATABASE_Table[[#This Row],[Sell price (Total)]]-DATABASE_Table[[#This Row],[FF&amp;E]]-DATABASE_Table[[#This Row],[Vista membership]]</f>
        <v>0</v>
      </c>
      <c r="AB1046" s="74">
        <v>46171</v>
      </c>
      <c r="AC1046" s="74" t="str">
        <f t="shared" si="16"/>
        <v>Q2 2026</v>
      </c>
      <c r="AD1046" s="123"/>
      <c r="AE1046" s="69">
        <v>47208</v>
      </c>
      <c r="AF1046" s="21" t="s">
        <v>80</v>
      </c>
      <c r="AG1046" s="21" t="s">
        <v>81</v>
      </c>
      <c r="AH1046" s="122" t="s">
        <v>89</v>
      </c>
      <c r="AI1046" s="122" t="s">
        <v>90</v>
      </c>
      <c r="AJ1046" s="122" t="s">
        <v>91</v>
      </c>
      <c r="AK1046" s="122" t="s">
        <v>92</v>
      </c>
      <c r="AL1046" s="21" t="s">
        <v>30</v>
      </c>
      <c r="AM1046" s="122" t="s">
        <v>87</v>
      </c>
    </row>
    <row r="1047" spans="1:39" customFormat="1" ht="15.75" customHeight="1" x14ac:dyDescent="0.3">
      <c r="A1047" t="s">
        <v>1110</v>
      </c>
      <c r="B1047" s="21" t="s">
        <v>778</v>
      </c>
      <c r="C1047" s="21" t="s">
        <v>781</v>
      </c>
      <c r="D1047" s="117" t="s">
        <v>444</v>
      </c>
      <c r="E1047" s="21" t="s">
        <v>88</v>
      </c>
      <c r="F1047" s="21" t="s">
        <v>383</v>
      </c>
      <c r="G1047" s="21">
        <v>284.88</v>
      </c>
      <c r="H1047" s="21"/>
      <c r="I1047" s="117" t="s">
        <v>843</v>
      </c>
      <c r="J1047" s="117" t="s">
        <v>587</v>
      </c>
      <c r="K1047" s="118">
        <v>0</v>
      </c>
      <c r="L1047" s="21">
        <v>78.900000000000006</v>
      </c>
      <c r="M1047" s="21">
        <v>44.52</v>
      </c>
      <c r="N1047" s="21"/>
      <c r="O1047" s="21"/>
      <c r="P1047" s="21">
        <v>161.46</v>
      </c>
      <c r="Q1047" s="21"/>
      <c r="R1047" s="21" t="s">
        <v>329</v>
      </c>
      <c r="S1047" s="119">
        <f>DATABASE_Table[[#This Row],[Inicial Asking Price (€) (Total)]]-DATABASE_Table[[#This Row],[Vista membership]]-DATABASE_Table[[#This Row],[FF&amp;E]]</f>
        <v>830000</v>
      </c>
      <c r="T1047" s="120">
        <v>830000</v>
      </c>
      <c r="U1047" s="36">
        <v>850000</v>
      </c>
      <c r="V1047" s="21"/>
      <c r="W1047" s="21"/>
      <c r="X1047" s="73">
        <f>DATABASE_Table[[#This Row],[Current Asking price( Total)]]-DATABASE_Table[[#This Row],[Vista membership]]-DATABASE_Table[[#This Row],[FF&amp;E]]</f>
        <v>850000</v>
      </c>
      <c r="Y1047" s="37"/>
      <c r="Z1047" s="36"/>
      <c r="AA1047" s="73">
        <f>DATABASE_Table[[#This Row],[Sell price (Total)]]-DATABASE_Table[[#This Row],[FF&amp;E]]-DATABASE_Table[[#This Row],[Vista membership]]</f>
        <v>0</v>
      </c>
      <c r="AB1047" s="74">
        <v>46171</v>
      </c>
      <c r="AC1047" s="74" t="str">
        <f t="shared" si="16"/>
        <v>Q2 2026</v>
      </c>
      <c r="AD1047" s="123"/>
      <c r="AE1047" s="69">
        <v>47208</v>
      </c>
      <c r="AF1047" s="21" t="s">
        <v>80</v>
      </c>
      <c r="AG1047" s="21" t="s">
        <v>81</v>
      </c>
      <c r="AH1047" s="122" t="s">
        <v>89</v>
      </c>
      <c r="AI1047" s="122" t="s">
        <v>90</v>
      </c>
      <c r="AJ1047" s="122" t="s">
        <v>91</v>
      </c>
      <c r="AK1047" s="122" t="s">
        <v>92</v>
      </c>
      <c r="AL1047" s="21" t="s">
        <v>30</v>
      </c>
      <c r="AM1047" s="122" t="s">
        <v>87</v>
      </c>
    </row>
    <row r="1048" spans="1:39" customFormat="1" ht="15.75" customHeight="1" x14ac:dyDescent="0.3">
      <c r="A1048" t="s">
        <v>1110</v>
      </c>
      <c r="B1048" s="21" t="s">
        <v>778</v>
      </c>
      <c r="C1048" s="21" t="s">
        <v>781</v>
      </c>
      <c r="D1048" s="117" t="s">
        <v>448</v>
      </c>
      <c r="E1048" s="21" t="s">
        <v>88</v>
      </c>
      <c r="F1048" s="21" t="s">
        <v>383</v>
      </c>
      <c r="G1048" s="21">
        <v>318.91000000000003</v>
      </c>
      <c r="H1048" s="21"/>
      <c r="I1048" s="117" t="s">
        <v>843</v>
      </c>
      <c r="J1048" s="117" t="s">
        <v>587</v>
      </c>
      <c r="K1048" s="118">
        <v>0</v>
      </c>
      <c r="L1048" s="21">
        <v>112.93</v>
      </c>
      <c r="M1048" s="21">
        <v>44.52</v>
      </c>
      <c r="N1048" s="21"/>
      <c r="O1048" s="21"/>
      <c r="P1048" s="21">
        <v>161.46</v>
      </c>
      <c r="Q1048" s="21"/>
      <c r="R1048" s="21" t="s">
        <v>329</v>
      </c>
      <c r="S1048" s="119">
        <f>DATABASE_Table[[#This Row],[Inicial Asking Price (€) (Total)]]-DATABASE_Table[[#This Row],[Vista membership]]-DATABASE_Table[[#This Row],[FF&amp;E]]</f>
        <v>830000</v>
      </c>
      <c r="T1048" s="120">
        <v>830000</v>
      </c>
      <c r="U1048" s="36">
        <v>850000</v>
      </c>
      <c r="V1048" s="21"/>
      <c r="W1048" s="21"/>
      <c r="X1048" s="73">
        <f>DATABASE_Table[[#This Row],[Current Asking price( Total)]]-DATABASE_Table[[#This Row],[Vista membership]]-DATABASE_Table[[#This Row],[FF&amp;E]]</f>
        <v>850000</v>
      </c>
      <c r="Y1048" s="37"/>
      <c r="Z1048" s="36"/>
      <c r="AA1048" s="73">
        <f>DATABASE_Table[[#This Row],[Sell price (Total)]]-DATABASE_Table[[#This Row],[FF&amp;E]]-DATABASE_Table[[#This Row],[Vista membership]]</f>
        <v>0</v>
      </c>
      <c r="AB1048" s="74">
        <v>46171</v>
      </c>
      <c r="AC1048" s="74" t="str">
        <f t="shared" si="16"/>
        <v>Q2 2026</v>
      </c>
      <c r="AD1048" s="123"/>
      <c r="AE1048" s="69">
        <v>47208</v>
      </c>
      <c r="AF1048" s="21" t="s">
        <v>80</v>
      </c>
      <c r="AG1048" s="21" t="s">
        <v>81</v>
      </c>
      <c r="AH1048" s="122" t="s">
        <v>89</v>
      </c>
      <c r="AI1048" s="122" t="s">
        <v>90</v>
      </c>
      <c r="AJ1048" s="122" t="s">
        <v>91</v>
      </c>
      <c r="AK1048" s="122" t="s">
        <v>92</v>
      </c>
      <c r="AL1048" s="21" t="s">
        <v>30</v>
      </c>
      <c r="AM1048" s="122" t="s">
        <v>87</v>
      </c>
    </row>
    <row r="1049" spans="1:39" customFormat="1" ht="15.75" customHeight="1" x14ac:dyDescent="0.3">
      <c r="A1049" t="s">
        <v>1110</v>
      </c>
      <c r="B1049" s="21" t="s">
        <v>778</v>
      </c>
      <c r="C1049" s="21" t="s">
        <v>781</v>
      </c>
      <c r="D1049" s="117" t="s">
        <v>439</v>
      </c>
      <c r="E1049" s="21" t="s">
        <v>88</v>
      </c>
      <c r="F1049" s="21" t="s">
        <v>383</v>
      </c>
      <c r="G1049" s="21">
        <v>233.12</v>
      </c>
      <c r="H1049" s="21"/>
      <c r="I1049" s="117" t="s">
        <v>843</v>
      </c>
      <c r="J1049" s="117" t="s">
        <v>586</v>
      </c>
      <c r="K1049" s="118">
        <v>0</v>
      </c>
      <c r="L1049" s="21">
        <v>27.14</v>
      </c>
      <c r="M1049" s="21">
        <v>44.52</v>
      </c>
      <c r="N1049" s="21"/>
      <c r="O1049" s="21"/>
      <c r="P1049" s="21">
        <v>161.46</v>
      </c>
      <c r="Q1049" s="21"/>
      <c r="R1049" s="21" t="s">
        <v>588</v>
      </c>
      <c r="S1049" s="119">
        <f>DATABASE_Table[[#This Row],[Inicial Asking Price (€) (Total)]]-DATABASE_Table[[#This Row],[Vista membership]]-DATABASE_Table[[#This Row],[FF&amp;E]]</f>
        <v>830000</v>
      </c>
      <c r="T1049" s="120">
        <v>830000</v>
      </c>
      <c r="U1049" s="36">
        <v>850000</v>
      </c>
      <c r="V1049" s="21"/>
      <c r="W1049" s="21"/>
      <c r="X1049" s="73">
        <f>DATABASE_Table[[#This Row],[Current Asking price( Total)]]-DATABASE_Table[[#This Row],[Vista membership]]-DATABASE_Table[[#This Row],[FF&amp;E]]</f>
        <v>850000</v>
      </c>
      <c r="Y1049" s="37"/>
      <c r="Z1049" s="36"/>
      <c r="AA1049" s="73">
        <f>DATABASE_Table[[#This Row],[Sell price (Total)]]-DATABASE_Table[[#This Row],[FF&amp;E]]-DATABASE_Table[[#This Row],[Vista membership]]</f>
        <v>0</v>
      </c>
      <c r="AB1049" s="74">
        <v>46171</v>
      </c>
      <c r="AC1049" s="74" t="str">
        <f t="shared" si="16"/>
        <v>Q2 2026</v>
      </c>
      <c r="AD1049" s="123"/>
      <c r="AE1049" s="69">
        <v>47208</v>
      </c>
      <c r="AF1049" s="21" t="s">
        <v>80</v>
      </c>
      <c r="AG1049" s="21" t="s">
        <v>81</v>
      </c>
      <c r="AH1049" s="122" t="s">
        <v>89</v>
      </c>
      <c r="AI1049" s="122" t="s">
        <v>90</v>
      </c>
      <c r="AJ1049" s="122" t="s">
        <v>91</v>
      </c>
      <c r="AK1049" s="122" t="s">
        <v>92</v>
      </c>
      <c r="AL1049" s="21" t="s">
        <v>30</v>
      </c>
      <c r="AM1049" s="122" t="s">
        <v>87</v>
      </c>
    </row>
    <row r="1050" spans="1:39" customFormat="1" ht="15.75" customHeight="1" x14ac:dyDescent="0.3">
      <c r="A1050" t="s">
        <v>1110</v>
      </c>
      <c r="B1050" s="21" t="s">
        <v>778</v>
      </c>
      <c r="C1050" s="21" t="s">
        <v>781</v>
      </c>
      <c r="D1050" s="117" t="s">
        <v>435</v>
      </c>
      <c r="E1050" s="21" t="s">
        <v>88</v>
      </c>
      <c r="F1050" s="21" t="s">
        <v>383</v>
      </c>
      <c r="G1050" s="21">
        <v>205.98</v>
      </c>
      <c r="H1050" s="21"/>
      <c r="I1050" s="117" t="s">
        <v>843</v>
      </c>
      <c r="J1050" s="117" t="s">
        <v>586</v>
      </c>
      <c r="K1050" s="118">
        <v>0</v>
      </c>
      <c r="L1050" s="21">
        <v>0</v>
      </c>
      <c r="M1050" s="21">
        <v>44.52</v>
      </c>
      <c r="N1050" s="21"/>
      <c r="O1050" s="21"/>
      <c r="P1050" s="21">
        <v>161.46</v>
      </c>
      <c r="Q1050" s="21"/>
      <c r="R1050" s="21" t="s">
        <v>329</v>
      </c>
      <c r="S1050" s="119">
        <f>DATABASE_Table[[#This Row],[Inicial Asking Price (€) (Total)]]-DATABASE_Table[[#This Row],[Vista membership]]-DATABASE_Table[[#This Row],[FF&amp;E]]</f>
        <v>840000</v>
      </c>
      <c r="T1050" s="120">
        <v>840000</v>
      </c>
      <c r="U1050" s="36">
        <v>860000</v>
      </c>
      <c r="V1050" s="21"/>
      <c r="W1050" s="21"/>
      <c r="X1050" s="73">
        <f>DATABASE_Table[[#This Row],[Current Asking price( Total)]]-DATABASE_Table[[#This Row],[Vista membership]]-DATABASE_Table[[#This Row],[FF&amp;E]]</f>
        <v>860000</v>
      </c>
      <c r="Y1050" s="37"/>
      <c r="Z1050" s="36"/>
      <c r="AA1050" s="73">
        <f>DATABASE_Table[[#This Row],[Sell price (Total)]]-DATABASE_Table[[#This Row],[FF&amp;E]]-DATABASE_Table[[#This Row],[Vista membership]]</f>
        <v>0</v>
      </c>
      <c r="AB1050" s="74">
        <v>46171</v>
      </c>
      <c r="AC1050" s="74" t="str">
        <f t="shared" si="16"/>
        <v>Q2 2026</v>
      </c>
      <c r="AD1050" s="123"/>
      <c r="AE1050" s="69">
        <v>47208</v>
      </c>
      <c r="AF1050" s="21" t="s">
        <v>80</v>
      </c>
      <c r="AG1050" s="21" t="s">
        <v>81</v>
      </c>
      <c r="AH1050" s="122" t="s">
        <v>89</v>
      </c>
      <c r="AI1050" s="122" t="s">
        <v>90</v>
      </c>
      <c r="AJ1050" s="122" t="s">
        <v>91</v>
      </c>
      <c r="AK1050" s="122" t="s">
        <v>92</v>
      </c>
      <c r="AL1050" s="21" t="s">
        <v>30</v>
      </c>
      <c r="AM1050" s="122" t="s">
        <v>87</v>
      </c>
    </row>
    <row r="1051" spans="1:39" customFormat="1" ht="15.75" customHeight="1" x14ac:dyDescent="0.3">
      <c r="A1051" t="s">
        <v>1110</v>
      </c>
      <c r="B1051" s="21" t="s">
        <v>778</v>
      </c>
      <c r="C1051" s="21" t="s">
        <v>781</v>
      </c>
      <c r="D1051" s="117" t="s">
        <v>440</v>
      </c>
      <c r="E1051" s="21" t="s">
        <v>88</v>
      </c>
      <c r="F1051" s="21" t="s">
        <v>383</v>
      </c>
      <c r="G1051" s="21">
        <v>245.15</v>
      </c>
      <c r="H1051" s="21"/>
      <c r="I1051" s="117" t="s">
        <v>843</v>
      </c>
      <c r="J1051" s="117" t="s">
        <v>587</v>
      </c>
      <c r="K1051" s="118">
        <v>0</v>
      </c>
      <c r="L1051" s="21">
        <v>39.17</v>
      </c>
      <c r="M1051" s="21">
        <v>44.52</v>
      </c>
      <c r="N1051" s="21"/>
      <c r="O1051" s="21"/>
      <c r="P1051" s="21">
        <v>161.46</v>
      </c>
      <c r="Q1051" s="21"/>
      <c r="R1051" s="21" t="s">
        <v>329</v>
      </c>
      <c r="S1051" s="119">
        <f>DATABASE_Table[[#This Row],[Inicial Asking Price (€) (Total)]]-DATABASE_Table[[#This Row],[Vista membership]]-DATABASE_Table[[#This Row],[FF&amp;E]]</f>
        <v>840000</v>
      </c>
      <c r="T1051" s="120">
        <v>840000</v>
      </c>
      <c r="U1051" s="36">
        <v>860000</v>
      </c>
      <c r="V1051" s="21"/>
      <c r="W1051" s="21"/>
      <c r="X1051" s="73">
        <f>DATABASE_Table[[#This Row],[Current Asking price( Total)]]-DATABASE_Table[[#This Row],[Vista membership]]-DATABASE_Table[[#This Row],[FF&amp;E]]</f>
        <v>860000</v>
      </c>
      <c r="Y1051" s="37"/>
      <c r="Z1051" s="36"/>
      <c r="AA1051" s="73">
        <f>DATABASE_Table[[#This Row],[Sell price (Total)]]-DATABASE_Table[[#This Row],[FF&amp;E]]-DATABASE_Table[[#This Row],[Vista membership]]</f>
        <v>0</v>
      </c>
      <c r="AB1051" s="74">
        <v>46171</v>
      </c>
      <c r="AC1051" s="74" t="str">
        <f t="shared" si="16"/>
        <v>Q2 2026</v>
      </c>
      <c r="AD1051" s="123"/>
      <c r="AE1051" s="69">
        <v>47208</v>
      </c>
      <c r="AF1051" s="21" t="s">
        <v>80</v>
      </c>
      <c r="AG1051" s="21" t="s">
        <v>81</v>
      </c>
      <c r="AH1051" s="122" t="s">
        <v>89</v>
      </c>
      <c r="AI1051" s="122" t="s">
        <v>90</v>
      </c>
      <c r="AJ1051" s="122" t="s">
        <v>91</v>
      </c>
      <c r="AK1051" s="122" t="s">
        <v>92</v>
      </c>
      <c r="AL1051" s="21" t="s">
        <v>30</v>
      </c>
      <c r="AM1051" s="122" t="s">
        <v>87</v>
      </c>
    </row>
    <row r="1052" spans="1:39" customFormat="1" ht="15.75" customHeight="1" x14ac:dyDescent="0.3">
      <c r="A1052" t="s">
        <v>1110</v>
      </c>
      <c r="B1052" s="21" t="s">
        <v>778</v>
      </c>
      <c r="C1052" s="21" t="s">
        <v>781</v>
      </c>
      <c r="D1052" s="117" t="s">
        <v>441</v>
      </c>
      <c r="E1052" s="21" t="s">
        <v>88</v>
      </c>
      <c r="F1052" s="21" t="s">
        <v>383</v>
      </c>
      <c r="G1052" s="21">
        <v>254.75</v>
      </c>
      <c r="H1052" s="21"/>
      <c r="I1052" s="117" t="s">
        <v>843</v>
      </c>
      <c r="J1052" s="117" t="s">
        <v>587</v>
      </c>
      <c r="K1052" s="118">
        <v>0</v>
      </c>
      <c r="L1052" s="21">
        <v>48.77</v>
      </c>
      <c r="M1052" s="21">
        <v>44.52</v>
      </c>
      <c r="N1052" s="21"/>
      <c r="O1052" s="21"/>
      <c r="P1052" s="21">
        <v>161.46</v>
      </c>
      <c r="Q1052" s="21"/>
      <c r="R1052" s="21" t="s">
        <v>588</v>
      </c>
      <c r="S1052" s="119">
        <f>DATABASE_Table[[#This Row],[Inicial Asking Price (€) (Total)]]-DATABASE_Table[[#This Row],[Vista membership]]-DATABASE_Table[[#This Row],[FF&amp;E]]</f>
        <v>840000</v>
      </c>
      <c r="T1052" s="120">
        <v>840000</v>
      </c>
      <c r="U1052" s="36">
        <v>860000</v>
      </c>
      <c r="V1052" s="21"/>
      <c r="W1052" s="21"/>
      <c r="X1052" s="73">
        <f>DATABASE_Table[[#This Row],[Current Asking price( Total)]]-DATABASE_Table[[#This Row],[Vista membership]]-DATABASE_Table[[#This Row],[FF&amp;E]]</f>
        <v>860000</v>
      </c>
      <c r="Y1052" s="37"/>
      <c r="Z1052" s="36"/>
      <c r="AA1052" s="73">
        <f>DATABASE_Table[[#This Row],[Sell price (Total)]]-DATABASE_Table[[#This Row],[FF&amp;E]]-DATABASE_Table[[#This Row],[Vista membership]]</f>
        <v>0</v>
      </c>
      <c r="AB1052" s="74">
        <v>46171</v>
      </c>
      <c r="AC1052" s="74" t="str">
        <f t="shared" si="16"/>
        <v>Q2 2026</v>
      </c>
      <c r="AD1052" s="123"/>
      <c r="AE1052" s="69">
        <v>47208</v>
      </c>
      <c r="AF1052" s="21" t="s">
        <v>80</v>
      </c>
      <c r="AG1052" s="21" t="s">
        <v>81</v>
      </c>
      <c r="AH1052" s="122" t="s">
        <v>89</v>
      </c>
      <c r="AI1052" s="122" t="s">
        <v>90</v>
      </c>
      <c r="AJ1052" s="122" t="s">
        <v>91</v>
      </c>
      <c r="AK1052" s="122" t="s">
        <v>92</v>
      </c>
      <c r="AL1052" s="21" t="s">
        <v>30</v>
      </c>
      <c r="AM1052" s="122" t="s">
        <v>87</v>
      </c>
    </row>
    <row r="1053" spans="1:39" customFormat="1" ht="15.75" customHeight="1" x14ac:dyDescent="0.3">
      <c r="A1053" t="s">
        <v>1110</v>
      </c>
      <c r="B1053" s="21" t="s">
        <v>778</v>
      </c>
      <c r="C1053" s="21" t="s">
        <v>781</v>
      </c>
      <c r="D1053" s="117" t="s">
        <v>442</v>
      </c>
      <c r="E1053" s="21" t="s">
        <v>88</v>
      </c>
      <c r="F1053" s="21" t="s">
        <v>383</v>
      </c>
      <c r="G1053" s="21">
        <v>263.92</v>
      </c>
      <c r="H1053" s="21"/>
      <c r="I1053" s="117" t="s">
        <v>843</v>
      </c>
      <c r="J1053" s="117" t="s">
        <v>587</v>
      </c>
      <c r="K1053" s="118">
        <v>0</v>
      </c>
      <c r="L1053" s="21">
        <v>57.94</v>
      </c>
      <c r="M1053" s="21">
        <v>44.52</v>
      </c>
      <c r="N1053" s="21"/>
      <c r="O1053" s="21"/>
      <c r="P1053" s="21">
        <v>161.46</v>
      </c>
      <c r="Q1053" s="21"/>
      <c r="R1053" s="21" t="s">
        <v>588</v>
      </c>
      <c r="S1053" s="119">
        <f>DATABASE_Table[[#This Row],[Inicial Asking Price (€) (Total)]]-DATABASE_Table[[#This Row],[Vista membership]]-DATABASE_Table[[#This Row],[FF&amp;E]]</f>
        <v>840000</v>
      </c>
      <c r="T1053" s="120">
        <v>840000</v>
      </c>
      <c r="U1053" s="36">
        <v>880000</v>
      </c>
      <c r="V1053" s="21"/>
      <c r="W1053" s="21"/>
      <c r="X1053" s="73">
        <f>DATABASE_Table[[#This Row],[Current Asking price( Total)]]-DATABASE_Table[[#This Row],[Vista membership]]-DATABASE_Table[[#This Row],[FF&amp;E]]</f>
        <v>880000</v>
      </c>
      <c r="Y1053" s="37"/>
      <c r="Z1053" s="36"/>
      <c r="AA1053" s="73">
        <f>DATABASE_Table[[#This Row],[Sell price (Total)]]-DATABASE_Table[[#This Row],[FF&amp;E]]-DATABASE_Table[[#This Row],[Vista membership]]</f>
        <v>0</v>
      </c>
      <c r="AB1053" s="74">
        <v>46171</v>
      </c>
      <c r="AC1053" s="74" t="str">
        <f t="shared" si="16"/>
        <v>Q2 2026</v>
      </c>
      <c r="AD1053" s="123"/>
      <c r="AE1053" s="69">
        <v>47208</v>
      </c>
      <c r="AF1053" s="21" t="s">
        <v>80</v>
      </c>
      <c r="AG1053" s="21" t="s">
        <v>81</v>
      </c>
      <c r="AH1053" s="122" t="s">
        <v>89</v>
      </c>
      <c r="AI1053" s="122" t="s">
        <v>90</v>
      </c>
      <c r="AJ1053" s="122" t="s">
        <v>91</v>
      </c>
      <c r="AK1053" s="122" t="s">
        <v>92</v>
      </c>
      <c r="AL1053" s="21" t="s">
        <v>30</v>
      </c>
      <c r="AM1053" s="122" t="s">
        <v>87</v>
      </c>
    </row>
    <row r="1054" spans="1:39" customFormat="1" ht="15.75" customHeight="1" x14ac:dyDescent="0.3">
      <c r="A1054" t="s">
        <v>1110</v>
      </c>
      <c r="B1054" s="21" t="s">
        <v>778</v>
      </c>
      <c r="C1054" s="21" t="s">
        <v>781</v>
      </c>
      <c r="D1054" s="117" t="s">
        <v>450</v>
      </c>
      <c r="E1054" s="21" t="s">
        <v>88</v>
      </c>
      <c r="F1054" s="21" t="s">
        <v>383</v>
      </c>
      <c r="G1054" s="21">
        <v>327.27999999999997</v>
      </c>
      <c r="H1054" s="21"/>
      <c r="I1054" s="117" t="s">
        <v>843</v>
      </c>
      <c r="J1054" s="117" t="s">
        <v>587</v>
      </c>
      <c r="K1054" s="118">
        <v>0</v>
      </c>
      <c r="L1054" s="21">
        <v>121.3</v>
      </c>
      <c r="M1054" s="21">
        <v>44.52</v>
      </c>
      <c r="N1054" s="21"/>
      <c r="O1054" s="21"/>
      <c r="P1054" s="21">
        <v>161.46</v>
      </c>
      <c r="Q1054" s="21"/>
      <c r="R1054" s="21" t="s">
        <v>588</v>
      </c>
      <c r="S1054" s="119">
        <f>DATABASE_Table[[#This Row],[Inicial Asking Price (€) (Total)]]-DATABASE_Table[[#This Row],[Vista membership]]-DATABASE_Table[[#This Row],[FF&amp;E]]</f>
        <v>950000</v>
      </c>
      <c r="T1054" s="120">
        <v>950000</v>
      </c>
      <c r="U1054" s="36">
        <v>970000</v>
      </c>
      <c r="V1054" s="21"/>
      <c r="W1054" s="21"/>
      <c r="X1054" s="73">
        <f>DATABASE_Table[[#This Row],[Current Asking price( Total)]]-DATABASE_Table[[#This Row],[Vista membership]]-DATABASE_Table[[#This Row],[FF&amp;E]]</f>
        <v>970000</v>
      </c>
      <c r="Y1054" s="37"/>
      <c r="Z1054" s="36"/>
      <c r="AA1054" s="73">
        <f>DATABASE_Table[[#This Row],[Sell price (Total)]]-DATABASE_Table[[#This Row],[FF&amp;E]]-DATABASE_Table[[#This Row],[Vista membership]]</f>
        <v>0</v>
      </c>
      <c r="AB1054" s="74">
        <v>46171</v>
      </c>
      <c r="AC1054" s="74" t="str">
        <f t="shared" si="16"/>
        <v>Q2 2026</v>
      </c>
      <c r="AD1054" s="123"/>
      <c r="AE1054" s="69">
        <v>47208</v>
      </c>
      <c r="AF1054" s="21" t="s">
        <v>80</v>
      </c>
      <c r="AG1054" s="21" t="s">
        <v>81</v>
      </c>
      <c r="AH1054" s="122" t="s">
        <v>89</v>
      </c>
      <c r="AI1054" s="122" t="s">
        <v>90</v>
      </c>
      <c r="AJ1054" s="122" t="s">
        <v>91</v>
      </c>
      <c r="AK1054" s="122" t="s">
        <v>92</v>
      </c>
      <c r="AL1054" s="21" t="s">
        <v>30</v>
      </c>
      <c r="AM1054" s="122" t="s">
        <v>87</v>
      </c>
    </row>
    <row r="1055" spans="1:39" customFormat="1" ht="15.75" customHeight="1" x14ac:dyDescent="0.3">
      <c r="A1055" t="s">
        <v>1110</v>
      </c>
      <c r="B1055" s="21" t="s">
        <v>778</v>
      </c>
      <c r="C1055" s="21" t="s">
        <v>781</v>
      </c>
      <c r="D1055" s="117" t="s">
        <v>451</v>
      </c>
      <c r="E1055" s="21" t="s">
        <v>88</v>
      </c>
      <c r="F1055" s="21" t="s">
        <v>383</v>
      </c>
      <c r="G1055" s="21">
        <v>331.52</v>
      </c>
      <c r="H1055" s="21"/>
      <c r="I1055" s="117" t="s">
        <v>843</v>
      </c>
      <c r="J1055" s="117" t="s">
        <v>587</v>
      </c>
      <c r="K1055" s="118">
        <v>0</v>
      </c>
      <c r="L1055" s="21">
        <v>125.54</v>
      </c>
      <c r="M1055" s="21">
        <v>44.52</v>
      </c>
      <c r="N1055" s="21"/>
      <c r="O1055" s="21"/>
      <c r="P1055" s="21">
        <v>161.46</v>
      </c>
      <c r="Q1055" s="21"/>
      <c r="R1055" s="21" t="s">
        <v>588</v>
      </c>
      <c r="S1055" s="119">
        <f>DATABASE_Table[[#This Row],[Inicial Asking Price (€) (Total)]]-DATABASE_Table[[#This Row],[Vista membership]]-DATABASE_Table[[#This Row],[FF&amp;E]]</f>
        <v>950000</v>
      </c>
      <c r="T1055" s="120">
        <v>950000</v>
      </c>
      <c r="U1055" s="36">
        <v>970000</v>
      </c>
      <c r="V1055" s="21"/>
      <c r="W1055" s="21"/>
      <c r="X1055" s="73">
        <f>DATABASE_Table[[#This Row],[Current Asking price( Total)]]-DATABASE_Table[[#This Row],[Vista membership]]-DATABASE_Table[[#This Row],[FF&amp;E]]</f>
        <v>970000</v>
      </c>
      <c r="Y1055" s="37"/>
      <c r="Z1055" s="36"/>
      <c r="AA1055" s="73">
        <f>DATABASE_Table[[#This Row],[Sell price (Total)]]-DATABASE_Table[[#This Row],[FF&amp;E]]-DATABASE_Table[[#This Row],[Vista membership]]</f>
        <v>0</v>
      </c>
      <c r="AB1055" s="74">
        <v>46171</v>
      </c>
      <c r="AC1055" s="74" t="str">
        <f t="shared" si="16"/>
        <v>Q2 2026</v>
      </c>
      <c r="AD1055" s="123"/>
      <c r="AE1055" s="69">
        <v>47208</v>
      </c>
      <c r="AF1055" s="21" t="s">
        <v>80</v>
      </c>
      <c r="AG1055" s="21" t="s">
        <v>81</v>
      </c>
      <c r="AH1055" s="122" t="s">
        <v>89</v>
      </c>
      <c r="AI1055" s="122" t="s">
        <v>90</v>
      </c>
      <c r="AJ1055" s="122" t="s">
        <v>91</v>
      </c>
      <c r="AK1055" s="122" t="s">
        <v>92</v>
      </c>
      <c r="AL1055" s="21" t="s">
        <v>30</v>
      </c>
      <c r="AM1055" s="122" t="s">
        <v>87</v>
      </c>
    </row>
    <row r="1056" spans="1:39" customFormat="1" ht="15.75" customHeight="1" x14ac:dyDescent="0.3">
      <c r="A1056" t="s">
        <v>1110</v>
      </c>
      <c r="B1056" s="21" t="s">
        <v>778</v>
      </c>
      <c r="C1056" s="21" t="s">
        <v>781</v>
      </c>
      <c r="D1056" s="117" t="s">
        <v>449</v>
      </c>
      <c r="E1056" s="21" t="s">
        <v>88</v>
      </c>
      <c r="F1056" s="21" t="s">
        <v>383</v>
      </c>
      <c r="G1056" s="21">
        <v>323.13</v>
      </c>
      <c r="H1056" s="21"/>
      <c r="I1056" s="117" t="s">
        <v>843</v>
      </c>
      <c r="J1056" s="117" t="s">
        <v>587</v>
      </c>
      <c r="K1056" s="118">
        <v>0</v>
      </c>
      <c r="L1056" s="21">
        <v>117.15</v>
      </c>
      <c r="M1056" s="21">
        <v>44.52</v>
      </c>
      <c r="N1056" s="21"/>
      <c r="O1056" s="21"/>
      <c r="P1056" s="21">
        <v>161.46</v>
      </c>
      <c r="Q1056" s="21"/>
      <c r="R1056" s="21" t="s">
        <v>588</v>
      </c>
      <c r="S1056" s="119">
        <f>DATABASE_Table[[#This Row],[Inicial Asking Price (€) (Total)]]-DATABASE_Table[[#This Row],[Vista membership]]-DATABASE_Table[[#This Row],[FF&amp;E]]</f>
        <v>960000</v>
      </c>
      <c r="T1056" s="120">
        <v>960000</v>
      </c>
      <c r="U1056" s="36">
        <v>980000</v>
      </c>
      <c r="V1056" s="21"/>
      <c r="W1056" s="21"/>
      <c r="X1056" s="73">
        <f>DATABASE_Table[[#This Row],[Current Asking price( Total)]]-DATABASE_Table[[#This Row],[Vista membership]]-DATABASE_Table[[#This Row],[FF&amp;E]]</f>
        <v>980000</v>
      </c>
      <c r="Y1056" s="37"/>
      <c r="Z1056" s="36"/>
      <c r="AA1056" s="73">
        <f>DATABASE_Table[[#This Row],[Sell price (Total)]]-DATABASE_Table[[#This Row],[FF&amp;E]]-DATABASE_Table[[#This Row],[Vista membership]]</f>
        <v>0</v>
      </c>
      <c r="AB1056" s="74">
        <v>46171</v>
      </c>
      <c r="AC1056" s="74" t="str">
        <f t="shared" si="16"/>
        <v>Q2 2026</v>
      </c>
      <c r="AD1056" s="123"/>
      <c r="AE1056" s="69">
        <v>47208</v>
      </c>
      <c r="AF1056" s="21" t="s">
        <v>80</v>
      </c>
      <c r="AG1056" s="21" t="s">
        <v>81</v>
      </c>
      <c r="AH1056" s="122" t="s">
        <v>89</v>
      </c>
      <c r="AI1056" s="122" t="s">
        <v>90</v>
      </c>
      <c r="AJ1056" s="122" t="s">
        <v>91</v>
      </c>
      <c r="AK1056" s="122" t="s">
        <v>92</v>
      </c>
      <c r="AL1056" s="21" t="s">
        <v>30</v>
      </c>
      <c r="AM1056" s="86" t="s">
        <v>87</v>
      </c>
    </row>
    <row r="1057" spans="1:39" customFormat="1" ht="15.75" customHeight="1" x14ac:dyDescent="0.3">
      <c r="A1057" t="s">
        <v>1110</v>
      </c>
      <c r="B1057" s="21" t="s">
        <v>778</v>
      </c>
      <c r="C1057" s="21" t="s">
        <v>781</v>
      </c>
      <c r="D1057" s="117" t="s">
        <v>453</v>
      </c>
      <c r="E1057" s="21" t="s">
        <v>88</v>
      </c>
      <c r="F1057" s="21" t="s">
        <v>383</v>
      </c>
      <c r="G1057" s="21">
        <v>338.27</v>
      </c>
      <c r="H1057" s="21"/>
      <c r="I1057" s="117" t="s">
        <v>843</v>
      </c>
      <c r="J1057" s="117" t="s">
        <v>587</v>
      </c>
      <c r="K1057" s="118">
        <v>0</v>
      </c>
      <c r="L1057" s="21">
        <v>132.29</v>
      </c>
      <c r="M1057" s="21">
        <v>44.52</v>
      </c>
      <c r="N1057" s="21"/>
      <c r="O1057" s="21"/>
      <c r="P1057" s="21">
        <v>161.46</v>
      </c>
      <c r="Q1057" s="21"/>
      <c r="R1057" s="21" t="s">
        <v>329</v>
      </c>
      <c r="S1057" s="119">
        <f>DATABASE_Table[[#This Row],[Inicial Asking Price (€) (Total)]]-DATABASE_Table[[#This Row],[Vista membership]]-DATABASE_Table[[#This Row],[FF&amp;E]]</f>
        <v>990000</v>
      </c>
      <c r="T1057" s="120">
        <v>990000</v>
      </c>
      <c r="U1057" s="36">
        <v>1060000</v>
      </c>
      <c r="V1057" s="21"/>
      <c r="W1057" s="21"/>
      <c r="X1057" s="73">
        <f>DATABASE_Table[[#This Row],[Current Asking price( Total)]]-DATABASE_Table[[#This Row],[Vista membership]]-DATABASE_Table[[#This Row],[FF&amp;E]]</f>
        <v>1060000</v>
      </c>
      <c r="Y1057" s="37"/>
      <c r="Z1057" s="36"/>
      <c r="AA1057" s="73">
        <f>DATABASE_Table[[#This Row],[Sell price (Total)]]-DATABASE_Table[[#This Row],[FF&amp;E]]-DATABASE_Table[[#This Row],[Vista membership]]</f>
        <v>0</v>
      </c>
      <c r="AB1057" s="74">
        <v>46171</v>
      </c>
      <c r="AC1057" s="74" t="str">
        <f t="shared" si="16"/>
        <v>Q2 2026</v>
      </c>
      <c r="AD1057" s="123"/>
      <c r="AE1057" s="69">
        <v>47208</v>
      </c>
      <c r="AF1057" s="21" t="s">
        <v>80</v>
      </c>
      <c r="AG1057" s="21" t="s">
        <v>81</v>
      </c>
      <c r="AH1057" s="122" t="s">
        <v>89</v>
      </c>
      <c r="AI1057" s="122" t="s">
        <v>90</v>
      </c>
      <c r="AJ1057" s="122" t="s">
        <v>91</v>
      </c>
      <c r="AK1057" s="122" t="s">
        <v>92</v>
      </c>
      <c r="AL1057" s="21" t="s">
        <v>30</v>
      </c>
      <c r="AM1057" s="122" t="s">
        <v>87</v>
      </c>
    </row>
    <row r="1058" spans="1:39" customFormat="1" ht="15.75" customHeight="1" x14ac:dyDescent="0.3">
      <c r="A1058" t="s">
        <v>1110</v>
      </c>
      <c r="B1058" s="21" t="s">
        <v>778</v>
      </c>
      <c r="C1058" s="21" t="s">
        <v>781</v>
      </c>
      <c r="D1058" s="117" t="s">
        <v>455</v>
      </c>
      <c r="E1058" s="21" t="s">
        <v>88</v>
      </c>
      <c r="F1058" s="21" t="s">
        <v>383</v>
      </c>
      <c r="G1058" s="21">
        <v>336.52</v>
      </c>
      <c r="H1058" s="21"/>
      <c r="I1058" s="117" t="s">
        <v>843</v>
      </c>
      <c r="J1058" s="117" t="s">
        <v>587</v>
      </c>
      <c r="K1058" s="118">
        <v>0</v>
      </c>
      <c r="L1058" s="21">
        <v>130.54</v>
      </c>
      <c r="M1058" s="21">
        <v>44.52</v>
      </c>
      <c r="N1058" s="21"/>
      <c r="O1058" s="21"/>
      <c r="P1058" s="21">
        <v>161.46</v>
      </c>
      <c r="Q1058" s="21"/>
      <c r="R1058" s="21" t="s">
        <v>329</v>
      </c>
      <c r="S1058" s="119">
        <f>DATABASE_Table[[#This Row],[Inicial Asking Price (€) (Total)]]-DATABASE_Table[[#This Row],[Vista membership]]-DATABASE_Table[[#This Row],[FF&amp;E]]</f>
        <v>1060000</v>
      </c>
      <c r="T1058" s="120">
        <v>1060000</v>
      </c>
      <c r="U1058" s="36">
        <v>1090000</v>
      </c>
      <c r="V1058" s="21"/>
      <c r="W1058" s="21"/>
      <c r="X1058" s="73">
        <f>DATABASE_Table[[#This Row],[Current Asking price( Total)]]-DATABASE_Table[[#This Row],[Vista membership]]-DATABASE_Table[[#This Row],[FF&amp;E]]</f>
        <v>1090000</v>
      </c>
      <c r="Y1058" s="37"/>
      <c r="Z1058" s="36"/>
      <c r="AA1058" s="73">
        <f>DATABASE_Table[[#This Row],[Sell price (Total)]]-DATABASE_Table[[#This Row],[FF&amp;E]]-DATABASE_Table[[#This Row],[Vista membership]]</f>
        <v>0</v>
      </c>
      <c r="AB1058" s="74">
        <v>46171</v>
      </c>
      <c r="AC1058" s="74" t="str">
        <f t="shared" si="16"/>
        <v>Q2 2026</v>
      </c>
      <c r="AD1058" s="123"/>
      <c r="AE1058" s="69">
        <v>47208</v>
      </c>
      <c r="AF1058" s="21" t="s">
        <v>80</v>
      </c>
      <c r="AG1058" s="21" t="s">
        <v>81</v>
      </c>
      <c r="AH1058" s="122" t="s">
        <v>89</v>
      </c>
      <c r="AI1058" s="122" t="s">
        <v>90</v>
      </c>
      <c r="AJ1058" s="122" t="s">
        <v>91</v>
      </c>
      <c r="AK1058" s="122" t="s">
        <v>92</v>
      </c>
      <c r="AL1058" s="21" t="s">
        <v>30</v>
      </c>
      <c r="AM1058" s="122" t="s">
        <v>87</v>
      </c>
    </row>
    <row r="1059" spans="1:39" customFormat="1" ht="15.75" customHeight="1" x14ac:dyDescent="0.3">
      <c r="A1059" t="s">
        <v>1110</v>
      </c>
      <c r="B1059" s="21" t="s">
        <v>778</v>
      </c>
      <c r="C1059" s="21" t="s">
        <v>781</v>
      </c>
      <c r="D1059" s="117" t="s">
        <v>459</v>
      </c>
      <c r="E1059" s="21" t="s">
        <v>88</v>
      </c>
      <c r="F1059" s="21" t="s">
        <v>383</v>
      </c>
      <c r="G1059" s="21">
        <v>297.44</v>
      </c>
      <c r="H1059" s="21"/>
      <c r="I1059" s="117" t="s">
        <v>843</v>
      </c>
      <c r="J1059" s="117" t="s">
        <v>587</v>
      </c>
      <c r="K1059" s="118">
        <v>0</v>
      </c>
      <c r="L1059" s="21">
        <v>91.46</v>
      </c>
      <c r="M1059" s="21">
        <v>44.52</v>
      </c>
      <c r="N1059" s="21"/>
      <c r="O1059" s="21"/>
      <c r="P1059" s="21">
        <v>161.46</v>
      </c>
      <c r="Q1059" s="21"/>
      <c r="R1059" s="21" t="s">
        <v>329</v>
      </c>
      <c r="S1059" s="119">
        <f>DATABASE_Table[[#This Row],[Inicial Asking Price (€) (Total)]]-DATABASE_Table[[#This Row],[Vista membership]]-DATABASE_Table[[#This Row],[FF&amp;E]]</f>
        <v>1060000</v>
      </c>
      <c r="T1059" s="120">
        <v>1060000</v>
      </c>
      <c r="U1059" s="36">
        <v>1090000</v>
      </c>
      <c r="V1059" s="21"/>
      <c r="W1059" s="21"/>
      <c r="X1059" s="73">
        <f>DATABASE_Table[[#This Row],[Current Asking price( Total)]]-DATABASE_Table[[#This Row],[Vista membership]]-DATABASE_Table[[#This Row],[FF&amp;E]]</f>
        <v>1090000</v>
      </c>
      <c r="Y1059" s="37"/>
      <c r="Z1059" s="36"/>
      <c r="AA1059" s="73">
        <f>DATABASE_Table[[#This Row],[Sell price (Total)]]-DATABASE_Table[[#This Row],[FF&amp;E]]-DATABASE_Table[[#This Row],[Vista membership]]</f>
        <v>0</v>
      </c>
      <c r="AB1059" s="74">
        <v>46171</v>
      </c>
      <c r="AC1059" s="74" t="str">
        <f t="shared" si="16"/>
        <v>Q2 2026</v>
      </c>
      <c r="AD1059" s="123"/>
      <c r="AE1059" s="69">
        <v>47208</v>
      </c>
      <c r="AF1059" s="21" t="s">
        <v>80</v>
      </c>
      <c r="AG1059" s="21" t="s">
        <v>81</v>
      </c>
      <c r="AH1059" s="122" t="s">
        <v>89</v>
      </c>
      <c r="AI1059" s="122" t="s">
        <v>90</v>
      </c>
      <c r="AJ1059" s="122" t="s">
        <v>91</v>
      </c>
      <c r="AK1059" s="122" t="s">
        <v>92</v>
      </c>
      <c r="AL1059" s="21" t="s">
        <v>30</v>
      </c>
      <c r="AM1059" s="122" t="s">
        <v>87</v>
      </c>
    </row>
    <row r="1060" spans="1:39" customFormat="1" ht="15.75" customHeight="1" x14ac:dyDescent="0.3">
      <c r="A1060" t="s">
        <v>1110</v>
      </c>
      <c r="B1060" s="21" t="s">
        <v>778</v>
      </c>
      <c r="C1060" s="21" t="s">
        <v>781</v>
      </c>
      <c r="D1060" s="117" t="s">
        <v>460</v>
      </c>
      <c r="E1060" s="21" t="s">
        <v>88</v>
      </c>
      <c r="F1060" s="21" t="s">
        <v>383</v>
      </c>
      <c r="G1060" s="21">
        <v>301.74</v>
      </c>
      <c r="H1060" s="21"/>
      <c r="I1060" s="117" t="s">
        <v>843</v>
      </c>
      <c r="J1060" s="117" t="s">
        <v>587</v>
      </c>
      <c r="K1060" s="118">
        <v>0</v>
      </c>
      <c r="L1060" s="21">
        <v>88.46</v>
      </c>
      <c r="M1060" s="21">
        <v>46.1</v>
      </c>
      <c r="N1060" s="21"/>
      <c r="O1060" s="21"/>
      <c r="P1060" s="21">
        <v>167.18</v>
      </c>
      <c r="Q1060" s="21"/>
      <c r="R1060" s="21" t="s">
        <v>329</v>
      </c>
      <c r="S1060" s="119">
        <f>DATABASE_Table[[#This Row],[Inicial Asking Price (€) (Total)]]-DATABASE_Table[[#This Row],[Vista membership]]-DATABASE_Table[[#This Row],[FF&amp;E]]</f>
        <v>1060000</v>
      </c>
      <c r="T1060" s="120">
        <v>1060000</v>
      </c>
      <c r="U1060" s="36">
        <v>1110000</v>
      </c>
      <c r="V1060" s="21"/>
      <c r="W1060" s="21"/>
      <c r="X1060" s="73">
        <f>DATABASE_Table[[#This Row],[Current Asking price( Total)]]-DATABASE_Table[[#This Row],[Vista membership]]-DATABASE_Table[[#This Row],[FF&amp;E]]</f>
        <v>1110000</v>
      </c>
      <c r="Y1060" s="37"/>
      <c r="Z1060" s="36"/>
      <c r="AA1060" s="73">
        <f>DATABASE_Table[[#This Row],[Sell price (Total)]]-DATABASE_Table[[#This Row],[FF&amp;E]]-DATABASE_Table[[#This Row],[Vista membership]]</f>
        <v>0</v>
      </c>
      <c r="AB1060" s="74">
        <v>46171</v>
      </c>
      <c r="AC1060" s="74" t="str">
        <f t="shared" si="16"/>
        <v>Q2 2026</v>
      </c>
      <c r="AD1060" s="123"/>
      <c r="AE1060" s="69">
        <v>47208</v>
      </c>
      <c r="AF1060" s="21" t="s">
        <v>80</v>
      </c>
      <c r="AG1060" s="21" t="s">
        <v>81</v>
      </c>
      <c r="AH1060" s="122" t="s">
        <v>89</v>
      </c>
      <c r="AI1060" s="122" t="s">
        <v>90</v>
      </c>
      <c r="AJ1060" s="122" t="s">
        <v>91</v>
      </c>
      <c r="AK1060" s="122" t="s">
        <v>92</v>
      </c>
      <c r="AL1060" s="21" t="s">
        <v>30</v>
      </c>
      <c r="AM1060" s="122" t="s">
        <v>87</v>
      </c>
    </row>
    <row r="1061" spans="1:39" customFormat="1" ht="15.75" customHeight="1" x14ac:dyDescent="0.3">
      <c r="A1061" t="s">
        <v>1110</v>
      </c>
      <c r="B1061" s="21" t="s">
        <v>778</v>
      </c>
      <c r="C1061" s="21" t="s">
        <v>781</v>
      </c>
      <c r="D1061" s="117" t="s">
        <v>456</v>
      </c>
      <c r="E1061" s="21" t="s">
        <v>88</v>
      </c>
      <c r="F1061" s="21" t="s">
        <v>383</v>
      </c>
      <c r="G1061" s="21">
        <v>331.29</v>
      </c>
      <c r="H1061" s="21"/>
      <c r="I1061" s="117" t="s">
        <v>843</v>
      </c>
      <c r="J1061" s="117" t="s">
        <v>587</v>
      </c>
      <c r="K1061" s="118">
        <v>0</v>
      </c>
      <c r="L1061" s="21">
        <v>125.31</v>
      </c>
      <c r="M1061" s="21">
        <v>44.52</v>
      </c>
      <c r="N1061" s="21"/>
      <c r="O1061" s="21"/>
      <c r="P1061" s="21">
        <v>161.46</v>
      </c>
      <c r="Q1061" s="21"/>
      <c r="R1061" s="21" t="s">
        <v>588</v>
      </c>
      <c r="S1061" s="119">
        <f>DATABASE_Table[[#This Row],[Inicial Asking Price (€) (Total)]]-DATABASE_Table[[#This Row],[Vista membership]]-DATABASE_Table[[#This Row],[FF&amp;E]]</f>
        <v>1060000</v>
      </c>
      <c r="T1061" s="120">
        <v>1060000</v>
      </c>
      <c r="U1061" s="36">
        <v>1090000</v>
      </c>
      <c r="V1061" s="21"/>
      <c r="W1061" s="21"/>
      <c r="X1061" s="73">
        <f>DATABASE_Table[[#This Row],[Current Asking price( Total)]]-DATABASE_Table[[#This Row],[Vista membership]]-DATABASE_Table[[#This Row],[FF&amp;E]]</f>
        <v>1090000</v>
      </c>
      <c r="Y1061" s="37"/>
      <c r="Z1061" s="36"/>
      <c r="AA1061" s="73">
        <f>DATABASE_Table[[#This Row],[Sell price (Total)]]-DATABASE_Table[[#This Row],[FF&amp;E]]-DATABASE_Table[[#This Row],[Vista membership]]</f>
        <v>0</v>
      </c>
      <c r="AB1061" s="74">
        <v>46171</v>
      </c>
      <c r="AC1061" s="74" t="str">
        <f t="shared" si="16"/>
        <v>Q2 2026</v>
      </c>
      <c r="AD1061" s="123"/>
      <c r="AE1061" s="69">
        <v>47208</v>
      </c>
      <c r="AF1061" s="21" t="s">
        <v>80</v>
      </c>
      <c r="AG1061" s="21" t="s">
        <v>81</v>
      </c>
      <c r="AH1061" s="122" t="s">
        <v>89</v>
      </c>
      <c r="AI1061" s="122" t="s">
        <v>90</v>
      </c>
      <c r="AJ1061" s="122" t="s">
        <v>91</v>
      </c>
      <c r="AK1061" s="122" t="s">
        <v>92</v>
      </c>
      <c r="AL1061" s="21" t="s">
        <v>30</v>
      </c>
      <c r="AM1061" s="122" t="s">
        <v>87</v>
      </c>
    </row>
    <row r="1062" spans="1:39" customFormat="1" ht="15.75" customHeight="1" x14ac:dyDescent="0.3">
      <c r="A1062" t="s">
        <v>1110</v>
      </c>
      <c r="B1062" s="21" t="s">
        <v>778</v>
      </c>
      <c r="C1062" s="21" t="s">
        <v>781</v>
      </c>
      <c r="D1062" s="117" t="s">
        <v>457</v>
      </c>
      <c r="E1062" s="21" t="s">
        <v>88</v>
      </c>
      <c r="F1062" s="21" t="s">
        <v>383</v>
      </c>
      <c r="G1062" s="21">
        <v>321.44</v>
      </c>
      <c r="H1062" s="21"/>
      <c r="I1062" s="117" t="s">
        <v>843</v>
      </c>
      <c r="J1062" s="117" t="s">
        <v>587</v>
      </c>
      <c r="K1062" s="118">
        <v>0</v>
      </c>
      <c r="L1062" s="21">
        <v>115.46</v>
      </c>
      <c r="M1062" s="21">
        <v>44.52</v>
      </c>
      <c r="N1062" s="21"/>
      <c r="O1062" s="21"/>
      <c r="P1062" s="21">
        <v>161.46</v>
      </c>
      <c r="Q1062" s="21"/>
      <c r="R1062" s="21" t="s">
        <v>588</v>
      </c>
      <c r="S1062" s="119">
        <f>DATABASE_Table[[#This Row],[Inicial Asking Price (€) (Total)]]-DATABASE_Table[[#This Row],[Vista membership]]-DATABASE_Table[[#This Row],[FF&amp;E]]</f>
        <v>1060000</v>
      </c>
      <c r="T1062" s="120">
        <v>1060000</v>
      </c>
      <c r="U1062" s="36">
        <v>1090000</v>
      </c>
      <c r="V1062" s="21"/>
      <c r="W1062" s="21"/>
      <c r="X1062" s="73">
        <f>DATABASE_Table[[#This Row],[Current Asking price( Total)]]-DATABASE_Table[[#This Row],[Vista membership]]-DATABASE_Table[[#This Row],[FF&amp;E]]</f>
        <v>1090000</v>
      </c>
      <c r="Y1062" s="37"/>
      <c r="Z1062" s="36"/>
      <c r="AA1062" s="73">
        <f>DATABASE_Table[[#This Row],[Sell price (Total)]]-DATABASE_Table[[#This Row],[FF&amp;E]]-DATABASE_Table[[#This Row],[Vista membership]]</f>
        <v>0</v>
      </c>
      <c r="AB1062" s="74">
        <v>46171</v>
      </c>
      <c r="AC1062" s="74" t="str">
        <f t="shared" si="16"/>
        <v>Q2 2026</v>
      </c>
      <c r="AD1062" s="123"/>
      <c r="AE1062" s="69">
        <v>47208</v>
      </c>
      <c r="AF1062" s="21" t="s">
        <v>80</v>
      </c>
      <c r="AG1062" s="21" t="s">
        <v>81</v>
      </c>
      <c r="AH1062" s="122" t="s">
        <v>89</v>
      </c>
      <c r="AI1062" s="122" t="s">
        <v>90</v>
      </c>
      <c r="AJ1062" s="122" t="s">
        <v>91</v>
      </c>
      <c r="AK1062" s="122" t="s">
        <v>92</v>
      </c>
      <c r="AL1062" s="21" t="s">
        <v>30</v>
      </c>
      <c r="AM1062" s="122" t="s">
        <v>87</v>
      </c>
    </row>
    <row r="1063" spans="1:39" customFormat="1" ht="15.75" customHeight="1" x14ac:dyDescent="0.3">
      <c r="A1063" t="s">
        <v>1110</v>
      </c>
      <c r="B1063" s="21" t="s">
        <v>778</v>
      </c>
      <c r="C1063" s="21" t="s">
        <v>781</v>
      </c>
      <c r="D1063" s="117" t="s">
        <v>458</v>
      </c>
      <c r="E1063" s="21" t="s">
        <v>88</v>
      </c>
      <c r="F1063" s="21" t="s">
        <v>383</v>
      </c>
      <c r="G1063" s="21">
        <v>309.29000000000002</v>
      </c>
      <c r="H1063" s="21"/>
      <c r="I1063" s="117" t="s">
        <v>843</v>
      </c>
      <c r="J1063" s="117" t="s">
        <v>587</v>
      </c>
      <c r="K1063" s="118">
        <v>0</v>
      </c>
      <c r="L1063" s="21">
        <v>103.31</v>
      </c>
      <c r="M1063" s="21">
        <v>44.52</v>
      </c>
      <c r="N1063" s="21"/>
      <c r="O1063" s="21"/>
      <c r="P1063" s="21">
        <v>161.46</v>
      </c>
      <c r="Q1063" s="21"/>
      <c r="R1063" s="21" t="s">
        <v>588</v>
      </c>
      <c r="S1063" s="119">
        <f>DATABASE_Table[[#This Row],[Inicial Asking Price (€) (Total)]]-DATABASE_Table[[#This Row],[Vista membership]]-DATABASE_Table[[#This Row],[FF&amp;E]]</f>
        <v>1060000</v>
      </c>
      <c r="T1063" s="120">
        <v>1060000</v>
      </c>
      <c r="U1063" s="36">
        <v>1110000</v>
      </c>
      <c r="V1063" s="21"/>
      <c r="W1063" s="21"/>
      <c r="X1063" s="73">
        <f>DATABASE_Table[[#This Row],[Current Asking price( Total)]]-DATABASE_Table[[#This Row],[Vista membership]]-DATABASE_Table[[#This Row],[FF&amp;E]]</f>
        <v>1110000</v>
      </c>
      <c r="Y1063" s="37"/>
      <c r="Z1063" s="36"/>
      <c r="AA1063" s="73">
        <f>DATABASE_Table[[#This Row],[Sell price (Total)]]-DATABASE_Table[[#This Row],[FF&amp;E]]-DATABASE_Table[[#This Row],[Vista membership]]</f>
        <v>0</v>
      </c>
      <c r="AB1063" s="74">
        <v>46171</v>
      </c>
      <c r="AC1063" s="74" t="str">
        <f t="shared" si="16"/>
        <v>Q2 2026</v>
      </c>
      <c r="AD1063" s="123"/>
      <c r="AE1063" s="69">
        <v>47208</v>
      </c>
      <c r="AF1063" s="21" t="s">
        <v>80</v>
      </c>
      <c r="AG1063" s="21" t="s">
        <v>81</v>
      </c>
      <c r="AH1063" s="122" t="s">
        <v>89</v>
      </c>
      <c r="AI1063" s="122" t="s">
        <v>90</v>
      </c>
      <c r="AJ1063" s="122" t="s">
        <v>91</v>
      </c>
      <c r="AK1063" s="122" t="s">
        <v>92</v>
      </c>
      <c r="AL1063" s="21" t="s">
        <v>30</v>
      </c>
      <c r="AM1063" s="122" t="s">
        <v>87</v>
      </c>
    </row>
    <row r="1064" spans="1:39" customFormat="1" ht="15.75" customHeight="1" x14ac:dyDescent="0.3">
      <c r="A1064" t="s">
        <v>1110</v>
      </c>
      <c r="B1064" s="21" t="s">
        <v>778</v>
      </c>
      <c r="C1064" s="21" t="s">
        <v>781</v>
      </c>
      <c r="D1064" s="117" t="s">
        <v>461</v>
      </c>
      <c r="E1064" s="21" t="s">
        <v>88</v>
      </c>
      <c r="F1064" s="21" t="s">
        <v>462</v>
      </c>
      <c r="G1064" s="21">
        <v>346.47</v>
      </c>
      <c r="H1064" s="21"/>
      <c r="I1064" s="117" t="s">
        <v>843</v>
      </c>
      <c r="J1064" s="117" t="s">
        <v>587</v>
      </c>
      <c r="K1064" s="118">
        <v>9.4700000000000006</v>
      </c>
      <c r="L1064" s="21">
        <v>89.13</v>
      </c>
      <c r="M1064" s="21">
        <v>49.45</v>
      </c>
      <c r="N1064" s="21"/>
      <c r="O1064" s="21"/>
      <c r="P1064" s="21">
        <v>198.42</v>
      </c>
      <c r="Q1064" s="21"/>
      <c r="R1064" s="21" t="s">
        <v>588</v>
      </c>
      <c r="S1064" s="119">
        <f>DATABASE_Table[[#This Row],[Inicial Asking Price (€) (Total)]]-DATABASE_Table[[#This Row],[Vista membership]]-DATABASE_Table[[#This Row],[FF&amp;E]]</f>
        <v>1060000</v>
      </c>
      <c r="T1064" s="120">
        <v>1060000</v>
      </c>
      <c r="U1064" s="36">
        <v>1090000</v>
      </c>
      <c r="V1064" s="21"/>
      <c r="W1064" s="21"/>
      <c r="X1064" s="73">
        <f>DATABASE_Table[[#This Row],[Current Asking price( Total)]]-DATABASE_Table[[#This Row],[Vista membership]]-DATABASE_Table[[#This Row],[FF&amp;E]]</f>
        <v>1090000</v>
      </c>
      <c r="Y1064" s="37"/>
      <c r="Z1064" s="36"/>
      <c r="AA1064" s="73">
        <f>DATABASE_Table[[#This Row],[Sell price (Total)]]-DATABASE_Table[[#This Row],[FF&amp;E]]-DATABASE_Table[[#This Row],[Vista membership]]</f>
        <v>0</v>
      </c>
      <c r="AB1064" s="74">
        <v>46171</v>
      </c>
      <c r="AC1064" s="74" t="str">
        <f t="shared" si="16"/>
        <v>Q2 2026</v>
      </c>
      <c r="AD1064" s="123"/>
      <c r="AE1064" s="69">
        <v>47208</v>
      </c>
      <c r="AF1064" s="21" t="s">
        <v>80</v>
      </c>
      <c r="AG1064" s="21" t="s">
        <v>81</v>
      </c>
      <c r="AH1064" s="122" t="s">
        <v>89</v>
      </c>
      <c r="AI1064" s="122" t="s">
        <v>90</v>
      </c>
      <c r="AJ1064" s="122" t="s">
        <v>91</v>
      </c>
      <c r="AK1064" s="122" t="s">
        <v>92</v>
      </c>
      <c r="AL1064" s="21" t="s">
        <v>30</v>
      </c>
      <c r="AM1064" s="122" t="s">
        <v>87</v>
      </c>
    </row>
    <row r="1065" spans="1:39" customFormat="1" ht="15.75" customHeight="1" x14ac:dyDescent="0.3">
      <c r="A1065" t="s">
        <v>1110</v>
      </c>
      <c r="B1065" s="21" t="s">
        <v>778</v>
      </c>
      <c r="C1065" s="21" t="s">
        <v>781</v>
      </c>
      <c r="D1065" s="117" t="s">
        <v>454</v>
      </c>
      <c r="E1065" s="21" t="s">
        <v>88</v>
      </c>
      <c r="F1065" s="21" t="s">
        <v>383</v>
      </c>
      <c r="G1065" s="21">
        <v>338.53</v>
      </c>
      <c r="H1065" s="21"/>
      <c r="I1065" s="117" t="s">
        <v>843</v>
      </c>
      <c r="J1065" s="117" t="s">
        <v>587</v>
      </c>
      <c r="K1065" s="118">
        <v>0</v>
      </c>
      <c r="L1065" s="21">
        <v>132.55000000000001</v>
      </c>
      <c r="M1065" s="21">
        <v>44.52</v>
      </c>
      <c r="N1065" s="21"/>
      <c r="O1065" s="21"/>
      <c r="P1065" s="21">
        <v>161.46</v>
      </c>
      <c r="Q1065" s="21"/>
      <c r="R1065" s="21" t="s">
        <v>588</v>
      </c>
      <c r="S1065" s="119">
        <f>DATABASE_Table[[#This Row],[Inicial Asking Price (€) (Total)]]-DATABASE_Table[[#This Row],[Vista membership]]-DATABASE_Table[[#This Row],[FF&amp;E]]</f>
        <v>1120000</v>
      </c>
      <c r="T1065" s="120">
        <v>1120000</v>
      </c>
      <c r="U1065" s="36">
        <v>1190000</v>
      </c>
      <c r="V1065" s="21"/>
      <c r="W1065" s="21"/>
      <c r="X1065" s="73">
        <f>DATABASE_Table[[#This Row],[Current Asking price( Total)]]-DATABASE_Table[[#This Row],[Vista membership]]-DATABASE_Table[[#This Row],[FF&amp;E]]</f>
        <v>1190000</v>
      </c>
      <c r="Y1065" s="37"/>
      <c r="Z1065" s="36"/>
      <c r="AA1065" s="73">
        <f>DATABASE_Table[[#This Row],[Sell price (Total)]]-DATABASE_Table[[#This Row],[FF&amp;E]]-DATABASE_Table[[#This Row],[Vista membership]]</f>
        <v>0</v>
      </c>
      <c r="AB1065" s="74">
        <v>46171</v>
      </c>
      <c r="AC1065" s="74" t="str">
        <f t="shared" si="16"/>
        <v>Q2 2026</v>
      </c>
      <c r="AD1065" s="123"/>
      <c r="AE1065" s="69">
        <v>47208</v>
      </c>
      <c r="AF1065" s="21" t="s">
        <v>80</v>
      </c>
      <c r="AG1065" s="21" t="s">
        <v>81</v>
      </c>
      <c r="AH1065" s="122" t="s">
        <v>89</v>
      </c>
      <c r="AI1065" s="122" t="s">
        <v>90</v>
      </c>
      <c r="AJ1065" s="122" t="s">
        <v>91</v>
      </c>
      <c r="AK1065" s="122" t="s">
        <v>92</v>
      </c>
      <c r="AL1065" s="21" t="s">
        <v>30</v>
      </c>
      <c r="AM1065" s="122" t="s">
        <v>87</v>
      </c>
    </row>
    <row r="1066" spans="1:39" customFormat="1" ht="15.75" customHeight="1" x14ac:dyDescent="0.3">
      <c r="A1066" t="s">
        <v>1110</v>
      </c>
      <c r="B1066" s="21" t="s">
        <v>778</v>
      </c>
      <c r="C1066" s="21" t="s">
        <v>781</v>
      </c>
      <c r="D1066" s="117" t="s">
        <v>465</v>
      </c>
      <c r="E1066" s="21" t="s">
        <v>88</v>
      </c>
      <c r="F1066" s="21" t="s">
        <v>462</v>
      </c>
      <c r="G1066" s="21">
        <v>360.04</v>
      </c>
      <c r="H1066" s="21"/>
      <c r="I1066" s="117" t="s">
        <v>843</v>
      </c>
      <c r="J1066" s="117" t="s">
        <v>587</v>
      </c>
      <c r="K1066" s="118">
        <v>9.57</v>
      </c>
      <c r="L1066" s="21">
        <v>98.96</v>
      </c>
      <c r="M1066" s="21">
        <v>51.75</v>
      </c>
      <c r="N1066" s="21"/>
      <c r="O1066" s="21"/>
      <c r="P1066" s="21">
        <v>199.76</v>
      </c>
      <c r="Q1066" s="21"/>
      <c r="R1066" s="21" t="s">
        <v>588</v>
      </c>
      <c r="S1066" s="119">
        <f>DATABASE_Table[[#This Row],[Inicial Asking Price (€) (Total)]]-DATABASE_Table[[#This Row],[Vista membership]]-DATABASE_Table[[#This Row],[FF&amp;E]]</f>
        <v>1190000</v>
      </c>
      <c r="T1066" s="120">
        <v>1190000</v>
      </c>
      <c r="U1066" s="36">
        <v>1220000</v>
      </c>
      <c r="V1066" s="21"/>
      <c r="W1066" s="21"/>
      <c r="X1066" s="73">
        <f>DATABASE_Table[[#This Row],[Current Asking price( Total)]]-DATABASE_Table[[#This Row],[Vista membership]]-DATABASE_Table[[#This Row],[FF&amp;E]]</f>
        <v>1220000</v>
      </c>
      <c r="Y1066" s="37"/>
      <c r="Z1066" s="36"/>
      <c r="AA1066" s="73">
        <f>DATABASE_Table[[#This Row],[Sell price (Total)]]-DATABASE_Table[[#This Row],[FF&amp;E]]-DATABASE_Table[[#This Row],[Vista membership]]</f>
        <v>0</v>
      </c>
      <c r="AB1066" s="74">
        <v>46171</v>
      </c>
      <c r="AC1066" s="74" t="str">
        <f t="shared" si="16"/>
        <v>Q2 2026</v>
      </c>
      <c r="AD1066" s="123"/>
      <c r="AE1066" s="69">
        <v>47208</v>
      </c>
      <c r="AF1066" s="21" t="s">
        <v>80</v>
      </c>
      <c r="AG1066" s="21" t="s">
        <v>81</v>
      </c>
      <c r="AH1066" s="122" t="s">
        <v>89</v>
      </c>
      <c r="AI1066" s="122" t="s">
        <v>90</v>
      </c>
      <c r="AJ1066" s="122" t="s">
        <v>91</v>
      </c>
      <c r="AK1066" s="122" t="s">
        <v>92</v>
      </c>
      <c r="AL1066" s="21" t="s">
        <v>30</v>
      </c>
      <c r="AM1066" s="122" t="s">
        <v>87</v>
      </c>
    </row>
    <row r="1067" spans="1:39" customFormat="1" ht="15.75" customHeight="1" x14ac:dyDescent="0.3">
      <c r="A1067" t="s">
        <v>1110</v>
      </c>
      <c r="B1067" s="21" t="s">
        <v>778</v>
      </c>
      <c r="C1067" s="21" t="s">
        <v>781</v>
      </c>
      <c r="D1067" s="117" t="s">
        <v>466</v>
      </c>
      <c r="E1067" s="21" t="s">
        <v>88</v>
      </c>
      <c r="F1067" s="21" t="s">
        <v>462</v>
      </c>
      <c r="G1067" s="21">
        <v>373.34</v>
      </c>
      <c r="H1067" s="21"/>
      <c r="I1067" s="117" t="s">
        <v>843</v>
      </c>
      <c r="J1067" s="117" t="s">
        <v>587</v>
      </c>
      <c r="K1067" s="118">
        <v>9.57</v>
      </c>
      <c r="L1067" s="21">
        <v>103.98</v>
      </c>
      <c r="M1067" s="21">
        <v>53.31</v>
      </c>
      <c r="N1067" s="21"/>
      <c r="O1067" s="21"/>
      <c r="P1067" s="21">
        <v>206.48</v>
      </c>
      <c r="Q1067" s="21"/>
      <c r="R1067" s="21" t="s">
        <v>588</v>
      </c>
      <c r="S1067" s="119">
        <f>DATABASE_Table[[#This Row],[Inicial Asking Price (€) (Total)]]-DATABASE_Table[[#This Row],[Vista membership]]-DATABASE_Table[[#This Row],[FF&amp;E]]</f>
        <v>1190000</v>
      </c>
      <c r="T1067" s="120">
        <v>1190000</v>
      </c>
      <c r="U1067" s="36">
        <v>1220000</v>
      </c>
      <c r="V1067" s="21"/>
      <c r="W1067" s="21"/>
      <c r="X1067" s="73">
        <f>DATABASE_Table[[#This Row],[Current Asking price( Total)]]-DATABASE_Table[[#This Row],[Vista membership]]-DATABASE_Table[[#This Row],[FF&amp;E]]</f>
        <v>1220000</v>
      </c>
      <c r="Y1067" s="37"/>
      <c r="Z1067" s="36"/>
      <c r="AA1067" s="73">
        <f>DATABASE_Table[[#This Row],[Sell price (Total)]]-DATABASE_Table[[#This Row],[FF&amp;E]]-DATABASE_Table[[#This Row],[Vista membership]]</f>
        <v>0</v>
      </c>
      <c r="AB1067" s="74">
        <v>46171</v>
      </c>
      <c r="AC1067" s="74" t="str">
        <f t="shared" si="16"/>
        <v>Q2 2026</v>
      </c>
      <c r="AD1067" s="123"/>
      <c r="AE1067" s="69">
        <v>47208</v>
      </c>
      <c r="AF1067" s="21" t="s">
        <v>80</v>
      </c>
      <c r="AG1067" s="21" t="s">
        <v>81</v>
      </c>
      <c r="AH1067" s="122" t="s">
        <v>89</v>
      </c>
      <c r="AI1067" s="122" t="s">
        <v>90</v>
      </c>
      <c r="AJ1067" s="122" t="s">
        <v>91</v>
      </c>
      <c r="AK1067" s="122" t="s">
        <v>92</v>
      </c>
      <c r="AL1067" s="21" t="s">
        <v>30</v>
      </c>
      <c r="AM1067" s="122" t="s">
        <v>87</v>
      </c>
    </row>
    <row r="1068" spans="1:39" customFormat="1" ht="15.75" customHeight="1" x14ac:dyDescent="0.3">
      <c r="A1068" t="s">
        <v>1110</v>
      </c>
      <c r="B1068" s="21" t="s">
        <v>778</v>
      </c>
      <c r="C1068" s="21" t="s">
        <v>781</v>
      </c>
      <c r="D1068" s="117" t="s">
        <v>464</v>
      </c>
      <c r="E1068" s="21" t="s">
        <v>88</v>
      </c>
      <c r="F1068" s="21" t="s">
        <v>462</v>
      </c>
      <c r="G1068" s="21">
        <v>355.86</v>
      </c>
      <c r="H1068" s="21"/>
      <c r="I1068" s="117" t="s">
        <v>843</v>
      </c>
      <c r="J1068" s="117" t="s">
        <v>587</v>
      </c>
      <c r="K1068" s="118">
        <v>9.57</v>
      </c>
      <c r="L1068" s="21">
        <v>94.78</v>
      </c>
      <c r="M1068" s="21">
        <v>51.75</v>
      </c>
      <c r="N1068" s="21"/>
      <c r="O1068" s="21"/>
      <c r="P1068" s="21">
        <v>199.76</v>
      </c>
      <c r="Q1068" s="21"/>
      <c r="R1068" s="21" t="s">
        <v>329</v>
      </c>
      <c r="S1068" s="119">
        <f>DATABASE_Table[[#This Row],[Inicial Asking Price (€) (Total)]]-DATABASE_Table[[#This Row],[Vista membership]]-DATABASE_Table[[#This Row],[FF&amp;E]]</f>
        <v>1240000</v>
      </c>
      <c r="T1068" s="120">
        <v>1240000</v>
      </c>
      <c r="U1068" s="36">
        <v>1270000</v>
      </c>
      <c r="V1068" s="21"/>
      <c r="W1068" s="21"/>
      <c r="X1068" s="73">
        <f>DATABASE_Table[[#This Row],[Current Asking price( Total)]]-DATABASE_Table[[#This Row],[Vista membership]]-DATABASE_Table[[#This Row],[FF&amp;E]]</f>
        <v>1270000</v>
      </c>
      <c r="Y1068" s="37"/>
      <c r="Z1068" s="36"/>
      <c r="AA1068" s="73">
        <f>DATABASE_Table[[#This Row],[Sell price (Total)]]-DATABASE_Table[[#This Row],[FF&amp;E]]-DATABASE_Table[[#This Row],[Vista membership]]</f>
        <v>0</v>
      </c>
      <c r="AB1068" s="74">
        <v>46171</v>
      </c>
      <c r="AC1068" s="74" t="str">
        <f t="shared" si="16"/>
        <v>Q2 2026</v>
      </c>
      <c r="AD1068" s="123"/>
      <c r="AE1068" s="69">
        <v>47208</v>
      </c>
      <c r="AF1068" s="21" t="s">
        <v>80</v>
      </c>
      <c r="AG1068" s="21" t="s">
        <v>81</v>
      </c>
      <c r="AH1068" s="122" t="s">
        <v>89</v>
      </c>
      <c r="AI1068" s="122" t="s">
        <v>90</v>
      </c>
      <c r="AJ1068" s="122" t="s">
        <v>91</v>
      </c>
      <c r="AK1068" s="122" t="s">
        <v>92</v>
      </c>
      <c r="AL1068" s="21" t="s">
        <v>30</v>
      </c>
      <c r="AM1068" s="122" t="s">
        <v>87</v>
      </c>
    </row>
    <row r="1069" spans="1:39" customFormat="1" ht="15.75" customHeight="1" x14ac:dyDescent="0.3">
      <c r="A1069" t="s">
        <v>1110</v>
      </c>
      <c r="B1069" s="21" t="s">
        <v>778</v>
      </c>
      <c r="C1069" s="21" t="s">
        <v>781</v>
      </c>
      <c r="D1069" s="117" t="s">
        <v>467</v>
      </c>
      <c r="E1069" s="21" t="s">
        <v>88</v>
      </c>
      <c r="F1069" s="21" t="s">
        <v>468</v>
      </c>
      <c r="G1069" s="21">
        <v>377.21</v>
      </c>
      <c r="H1069" s="21"/>
      <c r="I1069" s="117" t="s">
        <v>845</v>
      </c>
      <c r="J1069" s="117" t="s">
        <v>587</v>
      </c>
      <c r="K1069" s="118">
        <v>0</v>
      </c>
      <c r="L1069" s="21">
        <v>98.04</v>
      </c>
      <c r="M1069" s="21">
        <v>55.07</v>
      </c>
      <c r="N1069" s="21"/>
      <c r="O1069" s="21"/>
      <c r="P1069" s="21">
        <v>224.1</v>
      </c>
      <c r="Q1069" s="21"/>
      <c r="R1069" s="21" t="s">
        <v>588</v>
      </c>
      <c r="S1069" s="119">
        <f>DATABASE_Table[[#This Row],[Inicial Asking Price (€) (Total)]]-DATABASE_Table[[#This Row],[Vista membership]]-DATABASE_Table[[#This Row],[FF&amp;E]]</f>
        <v>1250000</v>
      </c>
      <c r="T1069" s="120">
        <v>1250000</v>
      </c>
      <c r="U1069" s="36">
        <v>1330000</v>
      </c>
      <c r="V1069" s="21"/>
      <c r="W1069" s="21"/>
      <c r="X1069" s="73">
        <f>DATABASE_Table[[#This Row],[Current Asking price( Total)]]-DATABASE_Table[[#This Row],[Vista membership]]-DATABASE_Table[[#This Row],[FF&amp;E]]</f>
        <v>1330000</v>
      </c>
      <c r="Y1069" s="37"/>
      <c r="Z1069" s="36"/>
      <c r="AA1069" s="73">
        <f>DATABASE_Table[[#This Row],[Sell price (Total)]]-DATABASE_Table[[#This Row],[FF&amp;E]]-DATABASE_Table[[#This Row],[Vista membership]]</f>
        <v>0</v>
      </c>
      <c r="AB1069" s="74">
        <v>46171</v>
      </c>
      <c r="AC1069" s="74" t="str">
        <f t="shared" si="16"/>
        <v>Q2 2026</v>
      </c>
      <c r="AD1069" s="123"/>
      <c r="AE1069" s="69">
        <v>47208</v>
      </c>
      <c r="AF1069" s="21" t="s">
        <v>80</v>
      </c>
      <c r="AG1069" s="21" t="s">
        <v>81</v>
      </c>
      <c r="AH1069" s="122" t="s">
        <v>89</v>
      </c>
      <c r="AI1069" s="122" t="s">
        <v>90</v>
      </c>
      <c r="AJ1069" s="122" t="s">
        <v>91</v>
      </c>
      <c r="AK1069" s="122" t="s">
        <v>92</v>
      </c>
      <c r="AL1069" s="21" t="s">
        <v>30</v>
      </c>
      <c r="AM1069" s="122" t="s">
        <v>87</v>
      </c>
    </row>
    <row r="1070" spans="1:39" customFormat="1" ht="15.75" customHeight="1" x14ac:dyDescent="0.3">
      <c r="A1070" t="s">
        <v>1110</v>
      </c>
      <c r="B1070" s="21" t="s">
        <v>778</v>
      </c>
      <c r="C1070" s="21" t="s">
        <v>781</v>
      </c>
      <c r="D1070" s="117" t="s">
        <v>473</v>
      </c>
      <c r="E1070" s="21" t="s">
        <v>88</v>
      </c>
      <c r="F1070" s="21" t="s">
        <v>468</v>
      </c>
      <c r="G1070" s="21">
        <v>362.84</v>
      </c>
      <c r="H1070" s="21"/>
      <c r="I1070" s="117" t="s">
        <v>843</v>
      </c>
      <c r="J1070" s="117" t="s">
        <v>587</v>
      </c>
      <c r="K1070" s="118">
        <v>0</v>
      </c>
      <c r="L1070" s="21">
        <v>92.53</v>
      </c>
      <c r="M1070" s="21">
        <v>53.5</v>
      </c>
      <c r="N1070" s="21"/>
      <c r="O1070" s="21"/>
      <c r="P1070" s="21">
        <v>216.81</v>
      </c>
      <c r="Q1070" s="21"/>
      <c r="R1070" s="21" t="s">
        <v>329</v>
      </c>
      <c r="S1070" s="119">
        <f>DATABASE_Table[[#This Row],[Inicial Asking Price (€) (Total)]]-DATABASE_Table[[#This Row],[Vista membership]]-DATABASE_Table[[#This Row],[FF&amp;E]]</f>
        <v>1060000</v>
      </c>
      <c r="T1070" s="120">
        <v>1060000</v>
      </c>
      <c r="U1070" s="120">
        <v>1090000</v>
      </c>
      <c r="V1070" s="21"/>
      <c r="W1070" s="21"/>
      <c r="X1070" s="73">
        <f>DATABASE_Table[[#This Row],[Current Asking price( Total)]]-DATABASE_Table[[#This Row],[Vista membership]]-DATABASE_Table[[#This Row],[FF&amp;E]]</f>
        <v>1090000</v>
      </c>
      <c r="Y1070" s="37"/>
      <c r="Z1070" s="36"/>
      <c r="AA1070" s="73">
        <f>DATABASE_Table[[#This Row],[Sell price (Total)]]-DATABASE_Table[[#This Row],[FF&amp;E]]-DATABASE_Table[[#This Row],[Vista membership]]</f>
        <v>0</v>
      </c>
      <c r="AB1070" s="74">
        <v>46171</v>
      </c>
      <c r="AC1070" s="74" t="str">
        <f t="shared" si="16"/>
        <v>Q2 2026</v>
      </c>
      <c r="AD1070" s="123"/>
      <c r="AE1070" s="69">
        <v>47208</v>
      </c>
      <c r="AF1070" s="21" t="s">
        <v>80</v>
      </c>
      <c r="AG1070" s="21" t="s">
        <v>81</v>
      </c>
      <c r="AH1070" s="122" t="s">
        <v>89</v>
      </c>
      <c r="AI1070" s="122" t="s">
        <v>90</v>
      </c>
      <c r="AJ1070" s="122" t="s">
        <v>91</v>
      </c>
      <c r="AK1070" s="122" t="s">
        <v>92</v>
      </c>
      <c r="AL1070" s="21" t="s">
        <v>30</v>
      </c>
      <c r="AM1070" s="122" t="s">
        <v>87</v>
      </c>
    </row>
    <row r="1071" spans="1:39" customFormat="1" ht="15.75" customHeight="1" x14ac:dyDescent="0.3">
      <c r="A1071" t="s">
        <v>1110</v>
      </c>
      <c r="B1071" s="21" t="s">
        <v>778</v>
      </c>
      <c r="C1071" s="21" t="s">
        <v>781</v>
      </c>
      <c r="D1071" s="117" t="s">
        <v>476</v>
      </c>
      <c r="E1071" s="21" t="s">
        <v>88</v>
      </c>
      <c r="F1071" s="21" t="s">
        <v>468</v>
      </c>
      <c r="G1071" s="21">
        <v>369.54</v>
      </c>
      <c r="H1071" s="21"/>
      <c r="I1071" s="117" t="s">
        <v>843</v>
      </c>
      <c r="J1071" s="117" t="s">
        <v>587</v>
      </c>
      <c r="K1071" s="118">
        <v>0</v>
      </c>
      <c r="L1071" s="21">
        <v>90.37</v>
      </c>
      <c r="M1071" s="21">
        <v>55.07</v>
      </c>
      <c r="N1071" s="21"/>
      <c r="O1071" s="21"/>
      <c r="P1071" s="21">
        <v>224.1</v>
      </c>
      <c r="Q1071" s="21"/>
      <c r="R1071" s="21" t="s">
        <v>329</v>
      </c>
      <c r="S1071" s="119">
        <f>DATABASE_Table[[#This Row],[Inicial Asking Price (€) (Total)]]-DATABASE_Table[[#This Row],[Vista membership]]-DATABASE_Table[[#This Row],[FF&amp;E]]</f>
        <v>1090000</v>
      </c>
      <c r="T1071" s="120">
        <v>1090000</v>
      </c>
      <c r="U1071" s="120">
        <v>1120000</v>
      </c>
      <c r="V1071" s="21"/>
      <c r="W1071" s="21"/>
      <c r="X1071" s="73">
        <f>DATABASE_Table[[#This Row],[Current Asking price( Total)]]-DATABASE_Table[[#This Row],[Vista membership]]-DATABASE_Table[[#This Row],[FF&amp;E]]</f>
        <v>1120000</v>
      </c>
      <c r="Y1071" s="37"/>
      <c r="Z1071" s="36"/>
      <c r="AA1071" s="73">
        <f>DATABASE_Table[[#This Row],[Sell price (Total)]]-DATABASE_Table[[#This Row],[FF&amp;E]]-DATABASE_Table[[#This Row],[Vista membership]]</f>
        <v>0</v>
      </c>
      <c r="AB1071" s="74">
        <v>46171</v>
      </c>
      <c r="AC1071" s="74" t="str">
        <f t="shared" si="16"/>
        <v>Q2 2026</v>
      </c>
      <c r="AD1071" s="123"/>
      <c r="AE1071" s="69">
        <v>47208</v>
      </c>
      <c r="AF1071" s="21" t="s">
        <v>80</v>
      </c>
      <c r="AG1071" s="21" t="s">
        <v>81</v>
      </c>
      <c r="AH1071" s="122" t="s">
        <v>89</v>
      </c>
      <c r="AI1071" s="122" t="s">
        <v>90</v>
      </c>
      <c r="AJ1071" s="122" t="s">
        <v>91</v>
      </c>
      <c r="AK1071" s="122" t="s">
        <v>92</v>
      </c>
      <c r="AL1071" s="21" t="s">
        <v>30</v>
      </c>
      <c r="AM1071" s="122" t="s">
        <v>87</v>
      </c>
    </row>
    <row r="1072" spans="1:39" customFormat="1" ht="15.75" customHeight="1" x14ac:dyDescent="0.3">
      <c r="A1072" t="s">
        <v>1110</v>
      </c>
      <c r="B1072" s="21" t="s">
        <v>778</v>
      </c>
      <c r="C1072" s="21" t="s">
        <v>781</v>
      </c>
      <c r="D1072" s="117" t="s">
        <v>477</v>
      </c>
      <c r="E1072" s="21" t="s">
        <v>88</v>
      </c>
      <c r="F1072" s="21" t="s">
        <v>478</v>
      </c>
      <c r="G1072" s="21">
        <v>401.91</v>
      </c>
      <c r="H1072" s="21"/>
      <c r="I1072" s="117" t="s">
        <v>843</v>
      </c>
      <c r="J1072" s="117" t="s">
        <v>587</v>
      </c>
      <c r="K1072" s="118">
        <v>0</v>
      </c>
      <c r="L1072" s="21">
        <v>92.83</v>
      </c>
      <c r="M1072" s="21">
        <v>57.45</v>
      </c>
      <c r="N1072" s="21"/>
      <c r="O1072" s="21"/>
      <c r="P1072" s="21">
        <v>251.63</v>
      </c>
      <c r="Q1072" s="21"/>
      <c r="R1072" s="21" t="s">
        <v>329</v>
      </c>
      <c r="S1072" s="119">
        <f>DATABASE_Table[[#This Row],[Inicial Asking Price (€) (Total)]]-DATABASE_Table[[#This Row],[Vista membership]]-DATABASE_Table[[#This Row],[FF&amp;E]]</f>
        <v>1240000</v>
      </c>
      <c r="T1072" s="120">
        <v>1240000</v>
      </c>
      <c r="U1072" s="120">
        <v>1270000</v>
      </c>
      <c r="V1072" s="21"/>
      <c r="W1072" s="21"/>
      <c r="X1072" s="73">
        <f>DATABASE_Table[[#This Row],[Current Asking price( Total)]]-DATABASE_Table[[#This Row],[Vista membership]]-DATABASE_Table[[#This Row],[FF&amp;E]]</f>
        <v>1270000</v>
      </c>
      <c r="Y1072" s="37"/>
      <c r="Z1072" s="36"/>
      <c r="AA1072" s="73">
        <f>DATABASE_Table[[#This Row],[Sell price (Total)]]-DATABASE_Table[[#This Row],[FF&amp;E]]-DATABASE_Table[[#This Row],[Vista membership]]</f>
        <v>0</v>
      </c>
      <c r="AB1072" s="74">
        <v>46171</v>
      </c>
      <c r="AC1072" s="74" t="str">
        <f t="shared" si="16"/>
        <v>Q2 2026</v>
      </c>
      <c r="AD1072" s="123"/>
      <c r="AE1072" s="69">
        <v>47208</v>
      </c>
      <c r="AF1072" s="21" t="s">
        <v>80</v>
      </c>
      <c r="AG1072" s="21" t="s">
        <v>81</v>
      </c>
      <c r="AH1072" s="122" t="s">
        <v>89</v>
      </c>
      <c r="AI1072" s="122" t="s">
        <v>90</v>
      </c>
      <c r="AJ1072" s="122" t="s">
        <v>91</v>
      </c>
      <c r="AK1072" s="122" t="s">
        <v>92</v>
      </c>
      <c r="AL1072" s="21" t="s">
        <v>30</v>
      </c>
      <c r="AM1072" s="122" t="s">
        <v>87</v>
      </c>
    </row>
    <row r="1073" spans="1:39" customFormat="1" ht="15.75" customHeight="1" x14ac:dyDescent="0.3">
      <c r="A1073" t="s">
        <v>1110</v>
      </c>
      <c r="B1073" s="21" t="s">
        <v>778</v>
      </c>
      <c r="C1073" s="21" t="s">
        <v>781</v>
      </c>
      <c r="D1073" s="117" t="s">
        <v>470</v>
      </c>
      <c r="E1073" s="21" t="s">
        <v>88</v>
      </c>
      <c r="F1073" s="21" t="s">
        <v>468</v>
      </c>
      <c r="G1073" s="21">
        <v>365.81</v>
      </c>
      <c r="H1073" s="21"/>
      <c r="I1073" s="117" t="s">
        <v>843</v>
      </c>
      <c r="J1073" s="117" t="s">
        <v>587</v>
      </c>
      <c r="K1073" s="118">
        <v>0</v>
      </c>
      <c r="L1073" s="21">
        <v>95.5</v>
      </c>
      <c r="M1073" s="21">
        <v>53.5</v>
      </c>
      <c r="N1073" s="21"/>
      <c r="O1073" s="21"/>
      <c r="P1073" s="21">
        <v>216.81</v>
      </c>
      <c r="Q1073" s="21"/>
      <c r="R1073" s="21" t="s">
        <v>588</v>
      </c>
      <c r="S1073" s="119">
        <f>DATABASE_Table[[#This Row],[Inicial Asking Price (€) (Total)]]-DATABASE_Table[[#This Row],[Vista membership]]-DATABASE_Table[[#This Row],[FF&amp;E]]</f>
        <v>0</v>
      </c>
      <c r="T1073" s="120"/>
      <c r="U1073" s="36"/>
      <c r="V1073" s="21"/>
      <c r="W1073" s="21"/>
      <c r="X1073" s="73">
        <f>DATABASE_Table[[#This Row],[Current Asking price( Total)]]-DATABASE_Table[[#This Row],[Vista membership]]-DATABASE_Table[[#This Row],[FF&amp;E]]</f>
        <v>0</v>
      </c>
      <c r="Y1073" s="37"/>
      <c r="Z1073" s="36"/>
      <c r="AA1073" s="73">
        <f>DATABASE_Table[[#This Row],[Sell price (Total)]]-DATABASE_Table[[#This Row],[FF&amp;E]]-DATABASE_Table[[#This Row],[Vista membership]]</f>
        <v>0</v>
      </c>
      <c r="AB1073" s="74">
        <v>46171</v>
      </c>
      <c r="AC1073" s="74" t="str">
        <f t="shared" si="16"/>
        <v>Q2 2026</v>
      </c>
      <c r="AD1073" s="123"/>
      <c r="AE1073" s="69">
        <v>47208</v>
      </c>
      <c r="AF1073" s="21" t="s">
        <v>80</v>
      </c>
      <c r="AG1073" s="21" t="s">
        <v>81</v>
      </c>
      <c r="AH1073" s="122" t="s">
        <v>89</v>
      </c>
      <c r="AI1073" s="122" t="s">
        <v>90</v>
      </c>
      <c r="AJ1073" s="122" t="s">
        <v>91</v>
      </c>
      <c r="AK1073" s="122" t="s">
        <v>92</v>
      </c>
      <c r="AL1073" s="21" t="s">
        <v>30</v>
      </c>
      <c r="AM1073" s="122" t="s">
        <v>87</v>
      </c>
    </row>
    <row r="1074" spans="1:39" customFormat="1" ht="15.75" customHeight="1" x14ac:dyDescent="0.3">
      <c r="A1074" t="s">
        <v>1110</v>
      </c>
      <c r="B1074" s="21" t="s">
        <v>778</v>
      </c>
      <c r="C1074" s="21" t="s">
        <v>781</v>
      </c>
      <c r="D1074" s="117" t="s">
        <v>471</v>
      </c>
      <c r="E1074" s="21" t="s">
        <v>88</v>
      </c>
      <c r="F1074" s="21" t="s">
        <v>468</v>
      </c>
      <c r="G1074" s="21">
        <v>365.79</v>
      </c>
      <c r="H1074" s="21"/>
      <c r="I1074" s="117" t="s">
        <v>843</v>
      </c>
      <c r="J1074" s="117" t="s">
        <v>587</v>
      </c>
      <c r="K1074" s="118">
        <v>0</v>
      </c>
      <c r="L1074" s="21">
        <v>95.48</v>
      </c>
      <c r="M1074" s="21">
        <v>53.5</v>
      </c>
      <c r="N1074" s="21"/>
      <c r="O1074" s="21"/>
      <c r="P1074" s="21">
        <v>216.81</v>
      </c>
      <c r="Q1074" s="21"/>
      <c r="R1074" s="21" t="s">
        <v>588</v>
      </c>
      <c r="S1074" s="119">
        <f>DATABASE_Table[[#This Row],[Inicial Asking Price (€) (Total)]]-DATABASE_Table[[#This Row],[Vista membership]]-DATABASE_Table[[#This Row],[FF&amp;E]]</f>
        <v>0</v>
      </c>
      <c r="T1074" s="120"/>
      <c r="U1074" s="36"/>
      <c r="V1074" s="21"/>
      <c r="W1074" s="21"/>
      <c r="X1074" s="73">
        <f>DATABASE_Table[[#This Row],[Current Asking price( Total)]]-DATABASE_Table[[#This Row],[Vista membership]]-DATABASE_Table[[#This Row],[FF&amp;E]]</f>
        <v>0</v>
      </c>
      <c r="Y1074" s="37"/>
      <c r="Z1074" s="36"/>
      <c r="AA1074" s="73">
        <f>DATABASE_Table[[#This Row],[Sell price (Total)]]-DATABASE_Table[[#This Row],[FF&amp;E]]-DATABASE_Table[[#This Row],[Vista membership]]</f>
        <v>0</v>
      </c>
      <c r="AB1074" s="74">
        <v>46171</v>
      </c>
      <c r="AC1074" s="74" t="str">
        <f t="shared" si="16"/>
        <v>Q2 2026</v>
      </c>
      <c r="AD1074" s="123"/>
      <c r="AE1074" s="69">
        <v>47208</v>
      </c>
      <c r="AF1074" s="21" t="s">
        <v>80</v>
      </c>
      <c r="AG1074" s="21" t="s">
        <v>81</v>
      </c>
      <c r="AH1074" s="122" t="s">
        <v>89</v>
      </c>
      <c r="AI1074" s="122" t="s">
        <v>90</v>
      </c>
      <c r="AJ1074" s="122" t="s">
        <v>91</v>
      </c>
      <c r="AK1074" s="122" t="s">
        <v>92</v>
      </c>
      <c r="AL1074" s="21" t="s">
        <v>30</v>
      </c>
      <c r="AM1074" s="122" t="s">
        <v>87</v>
      </c>
    </row>
    <row r="1075" spans="1:39" customFormat="1" ht="15.75" customHeight="1" x14ac:dyDescent="0.3">
      <c r="A1075" t="s">
        <v>1110</v>
      </c>
      <c r="B1075" s="21" t="s">
        <v>778</v>
      </c>
      <c r="C1075" s="21" t="s">
        <v>781</v>
      </c>
      <c r="D1075" s="117" t="s">
        <v>472</v>
      </c>
      <c r="E1075" s="21" t="s">
        <v>88</v>
      </c>
      <c r="F1075" s="21" t="s">
        <v>468</v>
      </c>
      <c r="G1075" s="21">
        <v>364.63</v>
      </c>
      <c r="H1075" s="21"/>
      <c r="I1075" s="117" t="s">
        <v>843</v>
      </c>
      <c r="J1075" s="117" t="s">
        <v>587</v>
      </c>
      <c r="K1075" s="118">
        <v>0</v>
      </c>
      <c r="L1075" s="21">
        <v>94.32</v>
      </c>
      <c r="M1075" s="21">
        <v>53.5</v>
      </c>
      <c r="N1075" s="21"/>
      <c r="O1075" s="21"/>
      <c r="P1075" s="21">
        <v>216.81</v>
      </c>
      <c r="Q1075" s="21"/>
      <c r="R1075" s="21" t="s">
        <v>588</v>
      </c>
      <c r="S1075" s="119">
        <f>DATABASE_Table[[#This Row],[Inicial Asking Price (€) (Total)]]-DATABASE_Table[[#This Row],[Vista membership]]-DATABASE_Table[[#This Row],[FF&amp;E]]</f>
        <v>0</v>
      </c>
      <c r="T1075" s="120"/>
      <c r="U1075" s="36"/>
      <c r="V1075" s="21"/>
      <c r="W1075" s="21"/>
      <c r="X1075" s="73">
        <f>DATABASE_Table[[#This Row],[Current Asking price( Total)]]-DATABASE_Table[[#This Row],[Vista membership]]-DATABASE_Table[[#This Row],[FF&amp;E]]</f>
        <v>0</v>
      </c>
      <c r="Y1075" s="37"/>
      <c r="Z1075" s="36"/>
      <c r="AA1075" s="73">
        <f>DATABASE_Table[[#This Row],[Sell price (Total)]]-DATABASE_Table[[#This Row],[FF&amp;E]]-DATABASE_Table[[#This Row],[Vista membership]]</f>
        <v>0</v>
      </c>
      <c r="AB1075" s="74">
        <v>46171</v>
      </c>
      <c r="AC1075" s="74" t="str">
        <f t="shared" si="16"/>
        <v>Q2 2026</v>
      </c>
      <c r="AD1075" s="123"/>
      <c r="AE1075" s="69">
        <v>47208</v>
      </c>
      <c r="AF1075" s="21" t="s">
        <v>80</v>
      </c>
      <c r="AG1075" s="21" t="s">
        <v>81</v>
      </c>
      <c r="AH1075" s="122" t="s">
        <v>89</v>
      </c>
      <c r="AI1075" s="122" t="s">
        <v>90</v>
      </c>
      <c r="AJ1075" s="122" t="s">
        <v>91</v>
      </c>
      <c r="AK1075" s="122" t="s">
        <v>92</v>
      </c>
      <c r="AL1075" s="21" t="s">
        <v>30</v>
      </c>
      <c r="AM1075" s="122" t="s">
        <v>87</v>
      </c>
    </row>
    <row r="1076" spans="1:39" customFormat="1" ht="15.75" customHeight="1" x14ac:dyDescent="0.3">
      <c r="A1076" t="s">
        <v>1110</v>
      </c>
      <c r="B1076" s="21" t="s">
        <v>778</v>
      </c>
      <c r="C1076" s="21" t="s">
        <v>781</v>
      </c>
      <c r="D1076" s="117" t="s">
        <v>474</v>
      </c>
      <c r="E1076" s="21" t="s">
        <v>88</v>
      </c>
      <c r="F1076" s="21" t="s">
        <v>468</v>
      </c>
      <c r="G1076" s="21">
        <v>360.37</v>
      </c>
      <c r="H1076" s="21"/>
      <c r="I1076" s="117" t="s">
        <v>843</v>
      </c>
      <c r="J1076" s="117" t="s">
        <v>587</v>
      </c>
      <c r="K1076" s="118">
        <v>0</v>
      </c>
      <c r="L1076" s="21">
        <v>90.06</v>
      </c>
      <c r="M1076" s="21">
        <v>53.5</v>
      </c>
      <c r="N1076" s="21"/>
      <c r="O1076" s="21"/>
      <c r="P1076" s="21">
        <v>216.81</v>
      </c>
      <c r="Q1076" s="21"/>
      <c r="R1076" s="21" t="s">
        <v>588</v>
      </c>
      <c r="S1076" s="119">
        <f>DATABASE_Table[[#This Row],[Inicial Asking Price (€) (Total)]]-DATABASE_Table[[#This Row],[Vista membership]]-DATABASE_Table[[#This Row],[FF&amp;E]]</f>
        <v>0</v>
      </c>
      <c r="T1076" s="120"/>
      <c r="U1076" s="36"/>
      <c r="V1076" s="21"/>
      <c r="W1076" s="21"/>
      <c r="X1076" s="73">
        <f>DATABASE_Table[[#This Row],[Current Asking price( Total)]]-DATABASE_Table[[#This Row],[Vista membership]]-DATABASE_Table[[#This Row],[FF&amp;E]]</f>
        <v>0</v>
      </c>
      <c r="Y1076" s="37"/>
      <c r="Z1076" s="36"/>
      <c r="AA1076" s="73">
        <f>DATABASE_Table[[#This Row],[Sell price (Total)]]-DATABASE_Table[[#This Row],[FF&amp;E]]-DATABASE_Table[[#This Row],[Vista membership]]</f>
        <v>0</v>
      </c>
      <c r="AB1076" s="74">
        <v>46171</v>
      </c>
      <c r="AC1076" s="74" t="str">
        <f t="shared" si="16"/>
        <v>Q2 2026</v>
      </c>
      <c r="AD1076" s="123"/>
      <c r="AE1076" s="69">
        <v>47208</v>
      </c>
      <c r="AF1076" s="21" t="s">
        <v>80</v>
      </c>
      <c r="AG1076" s="21" t="s">
        <v>81</v>
      </c>
      <c r="AH1076" s="122" t="s">
        <v>89</v>
      </c>
      <c r="AI1076" s="122" t="s">
        <v>90</v>
      </c>
      <c r="AJ1076" s="122" t="s">
        <v>91</v>
      </c>
      <c r="AK1076" s="122" t="s">
        <v>92</v>
      </c>
      <c r="AL1076" s="21" t="s">
        <v>30</v>
      </c>
      <c r="AM1076" s="122" t="s">
        <v>87</v>
      </c>
    </row>
    <row r="1077" spans="1:39" customFormat="1" ht="15.75" customHeight="1" x14ac:dyDescent="0.3">
      <c r="A1077" t="s">
        <v>1110</v>
      </c>
      <c r="B1077" s="21" t="s">
        <v>778</v>
      </c>
      <c r="C1077" s="21" t="s">
        <v>781</v>
      </c>
      <c r="D1077" s="117" t="s">
        <v>475</v>
      </c>
      <c r="E1077" s="21" t="s">
        <v>88</v>
      </c>
      <c r="F1077" s="21" t="s">
        <v>468</v>
      </c>
      <c r="G1077" s="21">
        <v>358.23</v>
      </c>
      <c r="H1077" s="21"/>
      <c r="I1077" s="117" t="s">
        <v>843</v>
      </c>
      <c r="J1077" s="117" t="s">
        <v>587</v>
      </c>
      <c r="K1077" s="118">
        <v>0</v>
      </c>
      <c r="L1077" s="21">
        <v>87.92</v>
      </c>
      <c r="M1077" s="21">
        <v>53.5</v>
      </c>
      <c r="N1077" s="21"/>
      <c r="O1077" s="21"/>
      <c r="P1077" s="21">
        <v>216.81</v>
      </c>
      <c r="Q1077" s="21"/>
      <c r="R1077" s="21" t="s">
        <v>588</v>
      </c>
      <c r="S1077" s="119">
        <f>DATABASE_Table[[#This Row],[Inicial Asking Price (€) (Total)]]-DATABASE_Table[[#This Row],[Vista membership]]-DATABASE_Table[[#This Row],[FF&amp;E]]</f>
        <v>0</v>
      </c>
      <c r="T1077" s="120"/>
      <c r="U1077" s="36"/>
      <c r="V1077" s="21"/>
      <c r="W1077" s="21"/>
      <c r="X1077" s="73">
        <f>DATABASE_Table[[#This Row],[Current Asking price( Total)]]-DATABASE_Table[[#This Row],[Vista membership]]-DATABASE_Table[[#This Row],[FF&amp;E]]</f>
        <v>0</v>
      </c>
      <c r="Y1077" s="37"/>
      <c r="Z1077" s="36"/>
      <c r="AA1077" s="73">
        <f>DATABASE_Table[[#This Row],[Sell price (Total)]]-DATABASE_Table[[#This Row],[FF&amp;E]]-DATABASE_Table[[#This Row],[Vista membership]]</f>
        <v>0</v>
      </c>
      <c r="AB1077" s="74">
        <v>46171</v>
      </c>
      <c r="AC1077" s="74" t="str">
        <f t="shared" si="16"/>
        <v>Q2 2026</v>
      </c>
      <c r="AD1077" s="123"/>
      <c r="AE1077" s="69">
        <v>47208</v>
      </c>
      <c r="AF1077" s="21" t="s">
        <v>80</v>
      </c>
      <c r="AG1077" s="21" t="s">
        <v>81</v>
      </c>
      <c r="AH1077" s="122" t="s">
        <v>89</v>
      </c>
      <c r="AI1077" s="122" t="s">
        <v>90</v>
      </c>
      <c r="AJ1077" s="122" t="s">
        <v>91</v>
      </c>
      <c r="AK1077" s="122" t="s">
        <v>92</v>
      </c>
      <c r="AL1077" s="21" t="s">
        <v>30</v>
      </c>
      <c r="AM1077" s="122" t="s">
        <v>87</v>
      </c>
    </row>
    <row r="1078" spans="1:39" customFormat="1" ht="15.75" customHeight="1" x14ac:dyDescent="0.3">
      <c r="A1078" t="s">
        <v>1110</v>
      </c>
      <c r="B1078" s="21" t="s">
        <v>778</v>
      </c>
      <c r="C1078" s="21" t="s">
        <v>781</v>
      </c>
      <c r="D1078" s="117" t="s">
        <v>479</v>
      </c>
      <c r="E1078" s="21" t="s">
        <v>88</v>
      </c>
      <c r="F1078" s="21" t="s">
        <v>478</v>
      </c>
      <c r="G1078" s="21">
        <v>387.26</v>
      </c>
      <c r="H1078" s="21"/>
      <c r="I1078" s="117" t="s">
        <v>843</v>
      </c>
      <c r="J1078" s="117" t="s">
        <v>587</v>
      </c>
      <c r="K1078" s="118">
        <v>0</v>
      </c>
      <c r="L1078" s="21">
        <v>87.97</v>
      </c>
      <c r="M1078" s="21">
        <v>55.99</v>
      </c>
      <c r="N1078" s="21"/>
      <c r="O1078" s="21"/>
      <c r="P1078" s="21">
        <v>243.3</v>
      </c>
      <c r="Q1078" s="21"/>
      <c r="R1078" s="21" t="s">
        <v>588</v>
      </c>
      <c r="S1078" s="119">
        <f>DATABASE_Table[[#This Row],[Inicial Asking Price (€) (Total)]]-DATABASE_Table[[#This Row],[Vista membership]]-DATABASE_Table[[#This Row],[FF&amp;E]]</f>
        <v>0</v>
      </c>
      <c r="T1078" s="120"/>
      <c r="U1078" s="36"/>
      <c r="V1078" s="21"/>
      <c r="W1078" s="21"/>
      <c r="X1078" s="73">
        <f>DATABASE_Table[[#This Row],[Current Asking price( Total)]]-DATABASE_Table[[#This Row],[Vista membership]]-DATABASE_Table[[#This Row],[FF&amp;E]]</f>
        <v>0</v>
      </c>
      <c r="Y1078" s="37"/>
      <c r="Z1078" s="36"/>
      <c r="AA1078" s="73">
        <f>DATABASE_Table[[#This Row],[Sell price (Total)]]-DATABASE_Table[[#This Row],[FF&amp;E]]-DATABASE_Table[[#This Row],[Vista membership]]</f>
        <v>0</v>
      </c>
      <c r="AB1078" s="74">
        <v>46171</v>
      </c>
      <c r="AC1078" s="74" t="str">
        <f t="shared" si="16"/>
        <v>Q2 2026</v>
      </c>
      <c r="AD1078" s="123"/>
      <c r="AE1078" s="69">
        <v>47208</v>
      </c>
      <c r="AF1078" s="21" t="s">
        <v>80</v>
      </c>
      <c r="AG1078" s="21" t="s">
        <v>81</v>
      </c>
      <c r="AH1078" s="122" t="s">
        <v>89</v>
      </c>
      <c r="AI1078" s="122" t="s">
        <v>90</v>
      </c>
      <c r="AJ1078" s="122" t="s">
        <v>91</v>
      </c>
      <c r="AK1078" s="122" t="s">
        <v>92</v>
      </c>
      <c r="AL1078" s="21" t="s">
        <v>30</v>
      </c>
      <c r="AM1078" s="122" t="s">
        <v>87</v>
      </c>
    </row>
    <row r="1079" spans="1:39" customFormat="1" ht="15.75" customHeight="1" x14ac:dyDescent="0.3">
      <c r="A1079" t="s">
        <v>1110</v>
      </c>
      <c r="B1079" s="21" t="s">
        <v>778</v>
      </c>
      <c r="C1079" s="21" t="s">
        <v>781</v>
      </c>
      <c r="D1079" s="117" t="s">
        <v>480</v>
      </c>
      <c r="E1079" s="21" t="s">
        <v>88</v>
      </c>
      <c r="F1079" s="21" t="s">
        <v>478</v>
      </c>
      <c r="G1079" s="21">
        <v>387.03</v>
      </c>
      <c r="H1079" s="21"/>
      <c r="I1079" s="117" t="s">
        <v>843</v>
      </c>
      <c r="J1079" s="117" t="s">
        <v>587</v>
      </c>
      <c r="K1079" s="118">
        <v>0</v>
      </c>
      <c r="L1079" s="21">
        <v>87.74</v>
      </c>
      <c r="M1079" s="21">
        <v>55.99</v>
      </c>
      <c r="N1079" s="21"/>
      <c r="O1079" s="21"/>
      <c r="P1079" s="21">
        <v>243.3</v>
      </c>
      <c r="Q1079" s="21"/>
      <c r="R1079" s="21" t="s">
        <v>588</v>
      </c>
      <c r="S1079" s="119">
        <f>DATABASE_Table[[#This Row],[Inicial Asking Price (€) (Total)]]-DATABASE_Table[[#This Row],[Vista membership]]-DATABASE_Table[[#This Row],[FF&amp;E]]</f>
        <v>0</v>
      </c>
      <c r="T1079" s="120"/>
      <c r="U1079" s="36"/>
      <c r="V1079" s="21"/>
      <c r="W1079" s="21"/>
      <c r="X1079" s="73">
        <f>DATABASE_Table[[#This Row],[Current Asking price( Total)]]-DATABASE_Table[[#This Row],[Vista membership]]-DATABASE_Table[[#This Row],[FF&amp;E]]</f>
        <v>0</v>
      </c>
      <c r="Y1079" s="37"/>
      <c r="Z1079" s="36"/>
      <c r="AA1079" s="73">
        <f>DATABASE_Table[[#This Row],[Sell price (Total)]]-DATABASE_Table[[#This Row],[FF&amp;E]]-DATABASE_Table[[#This Row],[Vista membership]]</f>
        <v>0</v>
      </c>
      <c r="AB1079" s="74">
        <v>46171</v>
      </c>
      <c r="AC1079" s="74" t="str">
        <f t="shared" si="16"/>
        <v>Q2 2026</v>
      </c>
      <c r="AD1079" s="123"/>
      <c r="AE1079" s="69">
        <v>47208</v>
      </c>
      <c r="AF1079" s="21" t="s">
        <v>80</v>
      </c>
      <c r="AG1079" s="21" t="s">
        <v>81</v>
      </c>
      <c r="AH1079" s="122" t="s">
        <v>89</v>
      </c>
      <c r="AI1079" s="122" t="s">
        <v>90</v>
      </c>
      <c r="AJ1079" s="122" t="s">
        <v>91</v>
      </c>
      <c r="AK1079" s="122" t="s">
        <v>92</v>
      </c>
      <c r="AL1079" s="21" t="s">
        <v>30</v>
      </c>
      <c r="AM1079" s="122" t="s">
        <v>87</v>
      </c>
    </row>
    <row r="1080" spans="1:39" customFormat="1" ht="15.75" customHeight="1" x14ac:dyDescent="0.3">
      <c r="A1080" t="s">
        <v>1110</v>
      </c>
      <c r="B1080" s="21" t="s">
        <v>778</v>
      </c>
      <c r="C1080" s="21" t="s">
        <v>781</v>
      </c>
      <c r="D1080" s="117" t="s">
        <v>481</v>
      </c>
      <c r="E1080" s="21" t="s">
        <v>88</v>
      </c>
      <c r="F1080" s="21" t="s">
        <v>478</v>
      </c>
      <c r="G1080" s="21">
        <v>382.78</v>
      </c>
      <c r="H1080" s="21"/>
      <c r="I1080" s="117" t="s">
        <v>845</v>
      </c>
      <c r="J1080" s="117" t="s">
        <v>587</v>
      </c>
      <c r="K1080" s="118">
        <v>0</v>
      </c>
      <c r="L1080" s="21">
        <v>73.7</v>
      </c>
      <c r="M1080" s="21">
        <v>57.45</v>
      </c>
      <c r="N1080" s="21"/>
      <c r="O1080" s="21"/>
      <c r="P1080" s="21">
        <v>251.63</v>
      </c>
      <c r="Q1080" s="21"/>
      <c r="R1080" s="21" t="s">
        <v>588</v>
      </c>
      <c r="S1080" s="119">
        <f>DATABASE_Table[[#This Row],[Inicial Asking Price (€) (Total)]]-DATABASE_Table[[#This Row],[Vista membership]]-DATABASE_Table[[#This Row],[FF&amp;E]]</f>
        <v>0</v>
      </c>
      <c r="T1080" s="120"/>
      <c r="U1080" s="36"/>
      <c r="V1080" s="21"/>
      <c r="W1080" s="21"/>
      <c r="X1080" s="73">
        <f>DATABASE_Table[[#This Row],[Current Asking price( Total)]]-DATABASE_Table[[#This Row],[Vista membership]]-DATABASE_Table[[#This Row],[FF&amp;E]]</f>
        <v>0</v>
      </c>
      <c r="Y1080" s="37"/>
      <c r="Z1080" s="36"/>
      <c r="AA1080" s="73">
        <f>DATABASE_Table[[#This Row],[Sell price (Total)]]-DATABASE_Table[[#This Row],[FF&amp;E]]-DATABASE_Table[[#This Row],[Vista membership]]</f>
        <v>0</v>
      </c>
      <c r="AB1080" s="74">
        <v>46171</v>
      </c>
      <c r="AC1080" s="74" t="str">
        <f t="shared" si="16"/>
        <v>Q2 2026</v>
      </c>
      <c r="AD1080" s="123"/>
      <c r="AE1080" s="69">
        <v>47208</v>
      </c>
      <c r="AF1080" s="21" t="s">
        <v>80</v>
      </c>
      <c r="AG1080" s="21" t="s">
        <v>81</v>
      </c>
      <c r="AH1080" s="122" t="s">
        <v>89</v>
      </c>
      <c r="AI1080" s="122" t="s">
        <v>90</v>
      </c>
      <c r="AJ1080" s="122" t="s">
        <v>91</v>
      </c>
      <c r="AK1080" s="122" t="s">
        <v>92</v>
      </c>
      <c r="AL1080" s="21" t="s">
        <v>30</v>
      </c>
      <c r="AM1080" s="122" t="s">
        <v>87</v>
      </c>
    </row>
    <row r="1081" spans="1:39" customFormat="1" ht="15.75" customHeight="1" x14ac:dyDescent="0.3">
      <c r="A1081" t="s">
        <v>42</v>
      </c>
      <c r="B1081" s="21" t="s">
        <v>564</v>
      </c>
      <c r="C1081" s="21" t="s">
        <v>688</v>
      </c>
      <c r="D1081" s="117" t="s">
        <v>389</v>
      </c>
      <c r="E1081" s="21" t="s">
        <v>9</v>
      </c>
      <c r="F1081" s="21" t="s">
        <v>419</v>
      </c>
      <c r="G1081" s="21">
        <v>77.86</v>
      </c>
      <c r="H1081" s="21"/>
      <c r="I1081" s="117" t="s">
        <v>325</v>
      </c>
      <c r="J1081" s="117" t="s">
        <v>325</v>
      </c>
      <c r="K1081" s="118"/>
      <c r="L1081" s="21"/>
      <c r="M1081" s="21"/>
      <c r="N1081" s="21">
        <v>19.79</v>
      </c>
      <c r="O1081" s="21"/>
      <c r="P1081" s="21">
        <v>58.07</v>
      </c>
      <c r="Q1081" s="21"/>
      <c r="R1081" s="21" t="s">
        <v>625</v>
      </c>
      <c r="S1081" s="119">
        <f>DATABASE_Table[[#This Row],[Inicial Asking Price (€) (Total)]]-DATABASE_Table[[#This Row],[Vista membership]]-DATABASE_Table[[#This Row],[FF&amp;E]]</f>
        <v>517232.76879999996</v>
      </c>
      <c r="T1081" s="125">
        <v>571832.76879999996</v>
      </c>
      <c r="U1081" s="124">
        <v>640000</v>
      </c>
      <c r="V1081" s="21">
        <v>24600</v>
      </c>
      <c r="W1081" s="21">
        <v>30000</v>
      </c>
      <c r="X1081" s="73">
        <f>DATABASE_Table[[#This Row],[Current Asking price( Total)]]-DATABASE_Table[[#This Row],[Vista membership]]-DATABASE_Table[[#This Row],[FF&amp;E]]</f>
        <v>585400</v>
      </c>
      <c r="Y1081" s="126">
        <v>0</v>
      </c>
      <c r="Z1081" s="124">
        <v>640000</v>
      </c>
      <c r="AA1081" s="73">
        <f>DATABASE_Table[[#This Row],[Sell price (Total)]]-DATABASE_Table[[#This Row],[FF&amp;E]]-DATABASE_Table[[#This Row],[Vista membership]]</f>
        <v>585400</v>
      </c>
      <c r="AB1081" s="74">
        <v>45807</v>
      </c>
      <c r="AC1081" s="74" t="str">
        <f t="shared" si="16"/>
        <v>Q2 2025</v>
      </c>
      <c r="AD1081" s="121">
        <v>45932</v>
      </c>
      <c r="AE1081" s="69"/>
      <c r="AF1081" s="21" t="s">
        <v>10</v>
      </c>
      <c r="AG1081" s="21" t="s">
        <v>35</v>
      </c>
      <c r="AH1081" s="122" t="s">
        <v>43</v>
      </c>
      <c r="AI1081" s="122" t="s">
        <v>44</v>
      </c>
      <c r="AJ1081" s="122" t="s">
        <v>45</v>
      </c>
      <c r="AK1081" s="122" t="s">
        <v>46</v>
      </c>
      <c r="AL1081" s="21" t="s">
        <v>47</v>
      </c>
      <c r="AM1081" s="122" t="s">
        <v>42</v>
      </c>
    </row>
    <row r="1082" spans="1:39" customFormat="1" ht="15.75" customHeight="1" x14ac:dyDescent="0.3">
      <c r="A1082" t="s">
        <v>42</v>
      </c>
      <c r="B1082" s="21" t="s">
        <v>564</v>
      </c>
      <c r="C1082" s="21" t="s">
        <v>688</v>
      </c>
      <c r="D1082" s="117" t="s">
        <v>392</v>
      </c>
      <c r="E1082" s="21" t="s">
        <v>9</v>
      </c>
      <c r="F1082" s="21" t="s">
        <v>319</v>
      </c>
      <c r="G1082" s="21">
        <v>281.45999999999998</v>
      </c>
      <c r="H1082" s="21"/>
      <c r="I1082" s="117" t="s">
        <v>325</v>
      </c>
      <c r="J1082" s="117" t="s">
        <v>325</v>
      </c>
      <c r="K1082" s="118"/>
      <c r="L1082" s="21"/>
      <c r="M1082" s="21"/>
      <c r="N1082" s="21">
        <v>188.97</v>
      </c>
      <c r="O1082" s="21"/>
      <c r="P1082" s="21">
        <v>92.49</v>
      </c>
      <c r="Q1082" s="21"/>
      <c r="R1082" s="21" t="s">
        <v>625</v>
      </c>
      <c r="S1082" s="119">
        <f>DATABASE_Table[[#This Row],[Inicial Asking Price (€) (Total)]]-DATABASE_Table[[#This Row],[Vista membership]]-DATABASE_Table[[#This Row],[FF&amp;E]]</f>
        <v>995272.77600000007</v>
      </c>
      <c r="T1082" s="125">
        <v>1069872.7760000001</v>
      </c>
      <c r="U1082" s="124">
        <v>1240000</v>
      </c>
      <c r="V1082" s="21">
        <v>24600</v>
      </c>
      <c r="W1082" s="21">
        <v>50000</v>
      </c>
      <c r="X1082" s="73">
        <f>DATABASE_Table[[#This Row],[Current Asking price( Total)]]-DATABASE_Table[[#This Row],[Vista membership]]-DATABASE_Table[[#This Row],[FF&amp;E]]</f>
        <v>1165400</v>
      </c>
      <c r="Y1082" s="126">
        <v>0</v>
      </c>
      <c r="Z1082" s="124">
        <v>1240000</v>
      </c>
      <c r="AA1082" s="73">
        <f>DATABASE_Table[[#This Row],[Sell price (Total)]]-DATABASE_Table[[#This Row],[FF&amp;E]]-DATABASE_Table[[#This Row],[Vista membership]]</f>
        <v>1165400</v>
      </c>
      <c r="AB1082" s="74">
        <v>45807</v>
      </c>
      <c r="AC1082" s="74" t="str">
        <f t="shared" si="16"/>
        <v>Q2 2025</v>
      </c>
      <c r="AD1082" s="121">
        <v>46058</v>
      </c>
      <c r="AE1082" s="69"/>
      <c r="AF1082" s="21" t="s">
        <v>10</v>
      </c>
      <c r="AG1082" s="21" t="s">
        <v>35</v>
      </c>
      <c r="AH1082" s="122" t="s">
        <v>43</v>
      </c>
      <c r="AI1082" s="122" t="s">
        <v>44</v>
      </c>
      <c r="AJ1082" s="122" t="s">
        <v>45</v>
      </c>
      <c r="AK1082" s="122" t="s">
        <v>46</v>
      </c>
      <c r="AL1082" s="21" t="s">
        <v>47</v>
      </c>
      <c r="AM1082" s="122" t="s">
        <v>42</v>
      </c>
    </row>
    <row r="1083" spans="1:39" customFormat="1" ht="15.75" customHeight="1" x14ac:dyDescent="0.3">
      <c r="A1083" t="s">
        <v>42</v>
      </c>
      <c r="B1083" s="21" t="s">
        <v>564</v>
      </c>
      <c r="C1083" s="21" t="s">
        <v>688</v>
      </c>
      <c r="D1083" s="117" t="s">
        <v>350</v>
      </c>
      <c r="E1083" s="21" t="s">
        <v>9</v>
      </c>
      <c r="F1083" s="21" t="s">
        <v>419</v>
      </c>
      <c r="G1083" s="21">
        <v>96.02</v>
      </c>
      <c r="H1083" s="21"/>
      <c r="I1083" s="117" t="s">
        <v>325</v>
      </c>
      <c r="J1083" s="117" t="s">
        <v>325</v>
      </c>
      <c r="K1083" s="118">
        <v>28.44</v>
      </c>
      <c r="L1083" s="21"/>
      <c r="M1083" s="21"/>
      <c r="N1083" s="21"/>
      <c r="O1083" s="21"/>
      <c r="P1083" s="21">
        <v>67.58</v>
      </c>
      <c r="Q1083" s="21"/>
      <c r="R1083" s="21" t="s">
        <v>625</v>
      </c>
      <c r="S1083" s="119">
        <f>DATABASE_Table[[#This Row],[Inicial Asking Price (€) (Total)]]-DATABASE_Table[[#This Row],[Vista membership]]-DATABASE_Table[[#This Row],[FF&amp;E]]</f>
        <v>545858.82999999996</v>
      </c>
      <c r="T1083" s="125">
        <v>600458.82999999996</v>
      </c>
      <c r="U1083" s="124">
        <v>640000</v>
      </c>
      <c r="V1083" s="21">
        <v>24600</v>
      </c>
      <c r="W1083" s="21">
        <v>30000</v>
      </c>
      <c r="X1083" s="73">
        <f>DATABASE_Table[[#This Row],[Current Asking price( Total)]]-DATABASE_Table[[#This Row],[Vista membership]]-DATABASE_Table[[#This Row],[FF&amp;E]]</f>
        <v>585400</v>
      </c>
      <c r="Y1083" s="126">
        <v>0</v>
      </c>
      <c r="Z1083" s="124">
        <v>640000</v>
      </c>
      <c r="AA1083" s="73">
        <f>DATABASE_Table[[#This Row],[Sell price (Total)]]-DATABASE_Table[[#This Row],[FF&amp;E]]-DATABASE_Table[[#This Row],[Vista membership]]</f>
        <v>585400</v>
      </c>
      <c r="AB1083" s="74">
        <v>45807</v>
      </c>
      <c r="AC1083" s="74" t="str">
        <f t="shared" si="16"/>
        <v>Q2 2025</v>
      </c>
      <c r="AD1083" s="121">
        <v>46120</v>
      </c>
      <c r="AE1083" s="69"/>
      <c r="AF1083" s="21" t="s">
        <v>10</v>
      </c>
      <c r="AG1083" s="21" t="s">
        <v>35</v>
      </c>
      <c r="AH1083" s="122" t="s">
        <v>43</v>
      </c>
      <c r="AI1083" s="122" t="s">
        <v>44</v>
      </c>
      <c r="AJ1083" s="122" t="s">
        <v>45</v>
      </c>
      <c r="AK1083" s="122" t="s">
        <v>46</v>
      </c>
      <c r="AL1083" s="21" t="s">
        <v>47</v>
      </c>
      <c r="AM1083" s="122" t="s">
        <v>42</v>
      </c>
    </row>
    <row r="1084" spans="1:39" customFormat="1" ht="15.75" customHeight="1" x14ac:dyDescent="0.3">
      <c r="A1084" t="s">
        <v>42</v>
      </c>
      <c r="B1084" s="21" t="s">
        <v>564</v>
      </c>
      <c r="C1084" s="21" t="s">
        <v>688</v>
      </c>
      <c r="D1084" s="117" t="s">
        <v>353</v>
      </c>
      <c r="E1084" s="21" t="s">
        <v>9</v>
      </c>
      <c r="F1084" s="21" t="s">
        <v>416</v>
      </c>
      <c r="G1084" s="21">
        <v>116.76</v>
      </c>
      <c r="H1084" s="21"/>
      <c r="I1084" s="117" t="s">
        <v>325</v>
      </c>
      <c r="J1084" s="117" t="s">
        <v>325</v>
      </c>
      <c r="K1084" s="118">
        <v>28.58</v>
      </c>
      <c r="L1084" s="21"/>
      <c r="M1084" s="21"/>
      <c r="N1084" s="21"/>
      <c r="O1084" s="21"/>
      <c r="P1084" s="21">
        <v>88.18</v>
      </c>
      <c r="Q1084" s="21"/>
      <c r="R1084" s="21" t="s">
        <v>625</v>
      </c>
      <c r="S1084" s="119">
        <f>DATABASE_Table[[#This Row],[Inicial Asking Price (€) (Total)]]-DATABASE_Table[[#This Row],[Vista membership]]-DATABASE_Table[[#This Row],[FF&amp;E]]</f>
        <v>663281.04</v>
      </c>
      <c r="T1084" s="125">
        <v>727881.04</v>
      </c>
      <c r="U1084" s="124">
        <v>780000</v>
      </c>
      <c r="V1084" s="21">
        <v>24600</v>
      </c>
      <c r="W1084" s="21">
        <v>40000</v>
      </c>
      <c r="X1084" s="73">
        <f>DATABASE_Table[[#This Row],[Current Asking price( Total)]]-DATABASE_Table[[#This Row],[Vista membership]]-DATABASE_Table[[#This Row],[FF&amp;E]]</f>
        <v>715400</v>
      </c>
      <c r="Y1084" s="126">
        <v>0</v>
      </c>
      <c r="Z1084" s="124">
        <v>780000</v>
      </c>
      <c r="AA1084" s="73">
        <f>DATABASE_Table[[#This Row],[Sell price (Total)]]-DATABASE_Table[[#This Row],[FF&amp;E]]-DATABASE_Table[[#This Row],[Vista membership]]</f>
        <v>715400</v>
      </c>
      <c r="AB1084" s="74">
        <v>45807</v>
      </c>
      <c r="AC1084" s="74" t="str">
        <f t="shared" si="16"/>
        <v>Q2 2025</v>
      </c>
      <c r="AD1084" s="121">
        <v>46120</v>
      </c>
      <c r="AE1084" s="69"/>
      <c r="AF1084" s="21" t="s">
        <v>10</v>
      </c>
      <c r="AG1084" s="21" t="s">
        <v>35</v>
      </c>
      <c r="AH1084" s="122" t="s">
        <v>43</v>
      </c>
      <c r="AI1084" s="122" t="s">
        <v>44</v>
      </c>
      <c r="AJ1084" s="122" t="s">
        <v>45</v>
      </c>
      <c r="AK1084" s="122" t="s">
        <v>46</v>
      </c>
      <c r="AL1084" s="21" t="s">
        <v>47</v>
      </c>
      <c r="AM1084" s="122" t="s">
        <v>42</v>
      </c>
    </row>
    <row r="1085" spans="1:39" customFormat="1" ht="15.75" customHeight="1" x14ac:dyDescent="0.3">
      <c r="A1085" t="s">
        <v>42</v>
      </c>
      <c r="B1085" s="21" t="s">
        <v>564</v>
      </c>
      <c r="C1085" s="21" t="s">
        <v>688</v>
      </c>
      <c r="D1085" s="117" t="s">
        <v>378</v>
      </c>
      <c r="E1085" s="21" t="s">
        <v>9</v>
      </c>
      <c r="F1085" s="21" t="s">
        <v>419</v>
      </c>
      <c r="G1085" s="21">
        <v>80.2</v>
      </c>
      <c r="H1085" s="21"/>
      <c r="I1085" s="117" t="s">
        <v>325</v>
      </c>
      <c r="J1085" s="117" t="s">
        <v>325</v>
      </c>
      <c r="K1085" s="118">
        <v>20.37</v>
      </c>
      <c r="L1085" s="21"/>
      <c r="M1085" s="21"/>
      <c r="N1085" s="21"/>
      <c r="O1085" s="21"/>
      <c r="P1085" s="21">
        <v>59.83</v>
      </c>
      <c r="Q1085" s="21"/>
      <c r="R1085" s="21" t="s">
        <v>625</v>
      </c>
      <c r="S1085" s="119">
        <f>DATABASE_Table[[#This Row],[Inicial Asking Price (€) (Total)]]-DATABASE_Table[[#This Row],[Vista membership]]-DATABASE_Table[[#This Row],[FF&amp;E]]</f>
        <v>505183.23860000004</v>
      </c>
      <c r="T1085" s="125">
        <v>559783.23860000004</v>
      </c>
      <c r="U1085" s="124">
        <v>600000</v>
      </c>
      <c r="V1085" s="21">
        <v>24600</v>
      </c>
      <c r="W1085" s="21">
        <v>30000</v>
      </c>
      <c r="X1085" s="73">
        <f>DATABASE_Table[[#This Row],[Current Asking price( Total)]]-DATABASE_Table[[#This Row],[Vista membership]]-DATABASE_Table[[#This Row],[FF&amp;E]]</f>
        <v>545400</v>
      </c>
      <c r="Y1085" s="126">
        <v>1.6666666666666701E-2</v>
      </c>
      <c r="Z1085" s="124">
        <v>590000</v>
      </c>
      <c r="AA1085" s="73">
        <f>DATABASE_Table[[#This Row],[Sell price (Total)]]-DATABASE_Table[[#This Row],[FF&amp;E]]-DATABASE_Table[[#This Row],[Vista membership]]</f>
        <v>535400</v>
      </c>
      <c r="AB1085" s="74">
        <v>45807</v>
      </c>
      <c r="AC1085" s="74" t="str">
        <f t="shared" si="16"/>
        <v>Q2 2025</v>
      </c>
      <c r="AD1085" s="121">
        <v>45978</v>
      </c>
      <c r="AE1085" s="69"/>
      <c r="AF1085" s="21" t="s">
        <v>10</v>
      </c>
      <c r="AG1085" s="21" t="s">
        <v>35</v>
      </c>
      <c r="AH1085" s="122" t="s">
        <v>43</v>
      </c>
      <c r="AI1085" s="122" t="s">
        <v>44</v>
      </c>
      <c r="AJ1085" s="122" t="s">
        <v>45</v>
      </c>
      <c r="AK1085" s="122" t="s">
        <v>46</v>
      </c>
      <c r="AL1085" s="21" t="s">
        <v>47</v>
      </c>
      <c r="AM1085" s="122" t="s">
        <v>42</v>
      </c>
    </row>
    <row r="1086" spans="1:39" customFormat="1" ht="15.75" customHeight="1" x14ac:dyDescent="0.3">
      <c r="A1086" t="s">
        <v>42</v>
      </c>
      <c r="B1086" s="21" t="s">
        <v>564</v>
      </c>
      <c r="C1086" s="21" t="s">
        <v>688</v>
      </c>
      <c r="D1086" s="117" t="s">
        <v>363</v>
      </c>
      <c r="E1086" s="21" t="s">
        <v>9</v>
      </c>
      <c r="F1086" s="21" t="s">
        <v>419</v>
      </c>
      <c r="G1086" s="21">
        <v>77.790000000000006</v>
      </c>
      <c r="H1086" s="21"/>
      <c r="I1086" s="117" t="s">
        <v>325</v>
      </c>
      <c r="J1086" s="117" t="s">
        <v>325</v>
      </c>
      <c r="K1086" s="118">
        <v>19.8</v>
      </c>
      <c r="L1086" s="21"/>
      <c r="M1086" s="21"/>
      <c r="N1086" s="21"/>
      <c r="O1086" s="21"/>
      <c r="P1086" s="21">
        <v>57.99</v>
      </c>
      <c r="Q1086" s="21"/>
      <c r="R1086" s="21" t="s">
        <v>625</v>
      </c>
      <c r="S1086" s="119">
        <f>DATABASE_Table[[#This Row],[Inicial Asking Price (€) (Total)]]-DATABASE_Table[[#This Row],[Vista membership]]-DATABASE_Table[[#This Row],[FF&amp;E]]</f>
        <v>488671.48580000002</v>
      </c>
      <c r="T1086" s="125">
        <v>543271.48580000002</v>
      </c>
      <c r="U1086" s="124">
        <v>570000</v>
      </c>
      <c r="V1086" s="21">
        <v>24600</v>
      </c>
      <c r="W1086" s="21">
        <v>30000</v>
      </c>
      <c r="X1086" s="73">
        <f>DATABASE_Table[[#This Row],[Current Asking price( Total)]]-DATABASE_Table[[#This Row],[Vista membership]]-DATABASE_Table[[#This Row],[FF&amp;E]]</f>
        <v>515400</v>
      </c>
      <c r="Y1086" s="126">
        <v>0.05</v>
      </c>
      <c r="Z1086" s="124">
        <v>541500</v>
      </c>
      <c r="AA1086" s="73">
        <f>DATABASE_Table[[#This Row],[Sell price (Total)]]-DATABASE_Table[[#This Row],[FF&amp;E]]-DATABASE_Table[[#This Row],[Vista membership]]</f>
        <v>486900</v>
      </c>
      <c r="AB1086" s="74">
        <v>45807</v>
      </c>
      <c r="AC1086" s="74" t="str">
        <f t="shared" si="16"/>
        <v>Q2 2025</v>
      </c>
      <c r="AD1086" s="121">
        <v>46051</v>
      </c>
      <c r="AE1086" s="69"/>
      <c r="AF1086" s="21" t="s">
        <v>10</v>
      </c>
      <c r="AG1086" s="21" t="s">
        <v>35</v>
      </c>
      <c r="AH1086" s="122" t="s">
        <v>43</v>
      </c>
      <c r="AI1086" s="122" t="s">
        <v>44</v>
      </c>
      <c r="AJ1086" s="122" t="s">
        <v>45</v>
      </c>
      <c r="AK1086" s="122" t="s">
        <v>46</v>
      </c>
      <c r="AL1086" s="21" t="s">
        <v>47</v>
      </c>
      <c r="AM1086" s="122" t="s">
        <v>42</v>
      </c>
    </row>
    <row r="1087" spans="1:39" customFormat="1" ht="15.75" customHeight="1" x14ac:dyDescent="0.3">
      <c r="A1087" t="s">
        <v>42</v>
      </c>
      <c r="B1087" s="21" t="s">
        <v>564</v>
      </c>
      <c r="C1087" s="21" t="s">
        <v>688</v>
      </c>
      <c r="D1087" s="117" t="s">
        <v>351</v>
      </c>
      <c r="E1087" s="21" t="s">
        <v>9</v>
      </c>
      <c r="F1087" s="21" t="s">
        <v>319</v>
      </c>
      <c r="G1087" s="21">
        <v>151.09</v>
      </c>
      <c r="H1087" s="21"/>
      <c r="I1087" s="117" t="s">
        <v>325</v>
      </c>
      <c r="J1087" s="117" t="s">
        <v>325</v>
      </c>
      <c r="K1087" s="118">
        <v>61.03</v>
      </c>
      <c r="L1087" s="21"/>
      <c r="M1087" s="21"/>
      <c r="N1087" s="21"/>
      <c r="O1087" s="21"/>
      <c r="P1087" s="21">
        <v>90.06</v>
      </c>
      <c r="Q1087" s="21"/>
      <c r="R1087" s="21" t="s">
        <v>625</v>
      </c>
      <c r="S1087" s="119">
        <f>DATABASE_Table[[#This Row],[Inicial Asking Price (€) (Total)]]-DATABASE_Table[[#This Row],[Vista membership]]-DATABASE_Table[[#This Row],[FF&amp;E]]</f>
        <v>727345.06</v>
      </c>
      <c r="T1087" s="125">
        <v>791945.06</v>
      </c>
      <c r="U1087" s="124">
        <v>840000</v>
      </c>
      <c r="V1087" s="21">
        <v>24600</v>
      </c>
      <c r="W1087" s="21">
        <v>40000</v>
      </c>
      <c r="X1087" s="73">
        <f>DATABASE_Table[[#This Row],[Current Asking price( Total)]]-DATABASE_Table[[#This Row],[Vista membership]]-DATABASE_Table[[#This Row],[FF&amp;E]]</f>
        <v>775400</v>
      </c>
      <c r="Y1087" s="126">
        <v>6.4642857142857099E-2</v>
      </c>
      <c r="Z1087" s="124">
        <v>785700</v>
      </c>
      <c r="AA1087" s="73">
        <f>DATABASE_Table[[#This Row],[Sell price (Total)]]-DATABASE_Table[[#This Row],[FF&amp;E]]-DATABASE_Table[[#This Row],[Vista membership]]</f>
        <v>721100</v>
      </c>
      <c r="AB1087" s="74">
        <v>45807</v>
      </c>
      <c r="AC1087" s="74" t="str">
        <f t="shared" si="16"/>
        <v>Q2 2025</v>
      </c>
      <c r="AD1087" s="121">
        <v>46073</v>
      </c>
      <c r="AE1087" s="69"/>
      <c r="AF1087" s="21" t="s">
        <v>10</v>
      </c>
      <c r="AG1087" s="21" t="s">
        <v>35</v>
      </c>
      <c r="AH1087" s="122" t="s">
        <v>43</v>
      </c>
      <c r="AI1087" s="122" t="s">
        <v>44</v>
      </c>
      <c r="AJ1087" s="122" t="s">
        <v>45</v>
      </c>
      <c r="AK1087" s="122" t="s">
        <v>46</v>
      </c>
      <c r="AL1087" s="21" t="s">
        <v>47</v>
      </c>
      <c r="AM1087" s="122" t="s">
        <v>42</v>
      </c>
    </row>
    <row r="1088" spans="1:39" customFormat="1" ht="15.75" customHeight="1" x14ac:dyDescent="0.3">
      <c r="A1088" t="s">
        <v>42</v>
      </c>
      <c r="B1088" s="21" t="s">
        <v>564</v>
      </c>
      <c r="C1088" s="21" t="s">
        <v>688</v>
      </c>
      <c r="D1088" s="117" t="s">
        <v>336</v>
      </c>
      <c r="E1088" s="21" t="s">
        <v>9</v>
      </c>
      <c r="F1088" s="21" t="s">
        <v>319</v>
      </c>
      <c r="G1088" s="21">
        <v>118.78</v>
      </c>
      <c r="H1088" s="21"/>
      <c r="I1088" s="117" t="s">
        <v>325</v>
      </c>
      <c r="J1088" s="117" t="s">
        <v>325</v>
      </c>
      <c r="K1088" s="118">
        <v>28.9</v>
      </c>
      <c r="L1088" s="21"/>
      <c r="M1088" s="21"/>
      <c r="N1088" s="21"/>
      <c r="O1088" s="21"/>
      <c r="P1088" s="21">
        <v>89.88</v>
      </c>
      <c r="Q1088" s="21"/>
      <c r="R1088" s="21" t="s">
        <v>329</v>
      </c>
      <c r="S1088" s="119">
        <f>DATABASE_Table[[#This Row],[Inicial Asking Price (€) (Total)]]-DATABASE_Table[[#This Row],[Vista membership]]-DATABASE_Table[[#This Row],[FF&amp;E]]</f>
        <v>676586.24</v>
      </c>
      <c r="T1088" s="125">
        <v>741186.24</v>
      </c>
      <c r="U1088" s="124">
        <v>790000</v>
      </c>
      <c r="V1088" s="21">
        <v>24600</v>
      </c>
      <c r="W1088" s="21">
        <v>40000</v>
      </c>
      <c r="X1088" s="73">
        <f>DATABASE_Table[[#This Row],[Current Asking price( Total)]]-DATABASE_Table[[#This Row],[Vista membership]]-DATABASE_Table[[#This Row],[FF&amp;E]]</f>
        <v>725400</v>
      </c>
      <c r="Y1088" s="126"/>
      <c r="Z1088" s="124">
        <v>790000</v>
      </c>
      <c r="AA1088" s="73">
        <f>DATABASE_Table[[#This Row],[Sell price (Total)]]-DATABASE_Table[[#This Row],[FF&amp;E]]-DATABASE_Table[[#This Row],[Vista membership]]</f>
        <v>725400</v>
      </c>
      <c r="AB1088" s="74">
        <v>45807</v>
      </c>
      <c r="AC1088" s="74" t="str">
        <f t="shared" si="16"/>
        <v>Q2 2025</v>
      </c>
      <c r="AD1088" s="123">
        <v>46090</v>
      </c>
      <c r="AE1088" s="69"/>
      <c r="AF1088" s="21" t="s">
        <v>10</v>
      </c>
      <c r="AG1088" s="21" t="s">
        <v>35</v>
      </c>
      <c r="AH1088" s="122" t="s">
        <v>43</v>
      </c>
      <c r="AI1088" s="122" t="s">
        <v>44</v>
      </c>
      <c r="AJ1088" s="122" t="s">
        <v>45</v>
      </c>
      <c r="AK1088" s="122" t="s">
        <v>46</v>
      </c>
      <c r="AL1088" s="21" t="s">
        <v>47</v>
      </c>
      <c r="AM1088" s="122" t="s">
        <v>42</v>
      </c>
    </row>
    <row r="1089" spans="1:39" customFormat="1" ht="15.75" customHeight="1" x14ac:dyDescent="0.3">
      <c r="A1089" t="s">
        <v>42</v>
      </c>
      <c r="B1089" s="21" t="s">
        <v>564</v>
      </c>
      <c r="C1089" s="21" t="s">
        <v>688</v>
      </c>
      <c r="D1089" s="117" t="s">
        <v>362</v>
      </c>
      <c r="E1089" s="21" t="s">
        <v>9</v>
      </c>
      <c r="F1089" s="21" t="s">
        <v>419</v>
      </c>
      <c r="G1089" s="21">
        <v>89.44</v>
      </c>
      <c r="H1089" s="21"/>
      <c r="I1089" s="117" t="s">
        <v>325</v>
      </c>
      <c r="J1089" s="117" t="s">
        <v>325</v>
      </c>
      <c r="K1089" s="118">
        <v>26.52</v>
      </c>
      <c r="L1089" s="21"/>
      <c r="M1089" s="21"/>
      <c r="N1089" s="21"/>
      <c r="O1089" s="21"/>
      <c r="P1089" s="21">
        <v>62.92</v>
      </c>
      <c r="Q1089" s="21"/>
      <c r="R1089" s="21" t="s">
        <v>329</v>
      </c>
      <c r="S1089" s="119">
        <f>DATABASE_Table[[#This Row],[Inicial Asking Price (€) (Total)]]-DATABASE_Table[[#This Row],[Vista membership]]-DATABASE_Table[[#This Row],[FF&amp;E]]</f>
        <v>541064.86640000006</v>
      </c>
      <c r="T1089" s="125">
        <v>595664.86640000006</v>
      </c>
      <c r="U1089" s="124">
        <v>650000</v>
      </c>
      <c r="V1089" s="21">
        <v>24600</v>
      </c>
      <c r="W1089" s="21">
        <v>30000</v>
      </c>
      <c r="X1089" s="73">
        <f>DATABASE_Table[[#This Row],[Current Asking price( Total)]]-DATABASE_Table[[#This Row],[Vista membership]]-DATABASE_Table[[#This Row],[FF&amp;E]]</f>
        <v>595400</v>
      </c>
      <c r="Y1089" s="126"/>
      <c r="Z1089" s="124">
        <v>650000</v>
      </c>
      <c r="AA1089" s="73">
        <f>DATABASE_Table[[#This Row],[Sell price (Total)]]-DATABASE_Table[[#This Row],[FF&amp;E]]-DATABASE_Table[[#This Row],[Vista membership]]</f>
        <v>595400</v>
      </c>
      <c r="AB1089" s="74">
        <v>45807</v>
      </c>
      <c r="AC1089" s="74" t="str">
        <f t="shared" si="16"/>
        <v>Q2 2025</v>
      </c>
      <c r="AD1089" s="123"/>
      <c r="AE1089" s="69"/>
      <c r="AF1089" s="21" t="s">
        <v>10</v>
      </c>
      <c r="AG1089" s="21" t="s">
        <v>35</v>
      </c>
      <c r="AH1089" s="122" t="s">
        <v>43</v>
      </c>
      <c r="AI1089" s="122" t="s">
        <v>44</v>
      </c>
      <c r="AJ1089" s="122" t="s">
        <v>45</v>
      </c>
      <c r="AK1089" s="122" t="s">
        <v>46</v>
      </c>
      <c r="AL1089" s="21" t="s">
        <v>47</v>
      </c>
      <c r="AM1089" s="122" t="s">
        <v>42</v>
      </c>
    </row>
    <row r="1090" spans="1:39" customFormat="1" ht="15.75" customHeight="1" x14ac:dyDescent="0.3">
      <c r="A1090" t="s">
        <v>42</v>
      </c>
      <c r="B1090" s="21" t="s">
        <v>564</v>
      </c>
      <c r="C1090" s="21" t="s">
        <v>688</v>
      </c>
      <c r="D1090" s="117" t="s">
        <v>364</v>
      </c>
      <c r="E1090" s="21" t="s">
        <v>9</v>
      </c>
      <c r="F1090" s="21" t="s">
        <v>319</v>
      </c>
      <c r="G1090" s="21">
        <v>138.82</v>
      </c>
      <c r="H1090" s="21"/>
      <c r="I1090" s="117" t="s">
        <v>325</v>
      </c>
      <c r="J1090" s="117" t="s">
        <v>325</v>
      </c>
      <c r="K1090" s="118">
        <v>48.14</v>
      </c>
      <c r="L1090" s="21"/>
      <c r="M1090" s="21"/>
      <c r="N1090" s="21"/>
      <c r="O1090" s="21"/>
      <c r="P1090" s="21">
        <v>90.68</v>
      </c>
      <c r="Q1090" s="21"/>
      <c r="R1090" s="21" t="s">
        <v>329</v>
      </c>
      <c r="S1090" s="119">
        <f>DATABASE_Table[[#This Row],[Inicial Asking Price (€) (Total)]]-DATABASE_Table[[#This Row],[Vista membership]]-DATABASE_Table[[#This Row],[FF&amp;E]]</f>
        <v>766794.01599999995</v>
      </c>
      <c r="T1090" s="125">
        <v>831394.01599999995</v>
      </c>
      <c r="U1090" s="124">
        <v>900000</v>
      </c>
      <c r="V1090" s="21">
        <v>24600</v>
      </c>
      <c r="W1090" s="21">
        <v>40000</v>
      </c>
      <c r="X1090" s="73">
        <f>DATABASE_Table[[#This Row],[Current Asking price( Total)]]-DATABASE_Table[[#This Row],[Vista membership]]-DATABASE_Table[[#This Row],[FF&amp;E]]</f>
        <v>835400</v>
      </c>
      <c r="Y1090" s="126"/>
      <c r="Z1090" s="124">
        <v>900000</v>
      </c>
      <c r="AA1090" s="73">
        <f>DATABASE_Table[[#This Row],[Sell price (Total)]]-DATABASE_Table[[#This Row],[FF&amp;E]]-DATABASE_Table[[#This Row],[Vista membership]]</f>
        <v>835400</v>
      </c>
      <c r="AB1090" s="74">
        <v>45807</v>
      </c>
      <c r="AC1090" s="74" t="str">
        <f t="shared" ref="AC1090:AC1142" si="17">IF(AB1090="","TO LAUNCH","Q"&amp;ROUNDUP(MONTH(AB1090)/3,0)&amp;" "&amp;YEAR(AB1090))</f>
        <v>Q2 2025</v>
      </c>
      <c r="AD1090" s="123">
        <v>46139</v>
      </c>
      <c r="AE1090" s="69"/>
      <c r="AF1090" s="21" t="s">
        <v>10</v>
      </c>
      <c r="AG1090" s="21" t="s">
        <v>35</v>
      </c>
      <c r="AH1090" s="122" t="s">
        <v>43</v>
      </c>
      <c r="AI1090" s="122" t="s">
        <v>44</v>
      </c>
      <c r="AJ1090" s="122" t="s">
        <v>45</v>
      </c>
      <c r="AK1090" s="122" t="s">
        <v>46</v>
      </c>
      <c r="AL1090" s="21" t="s">
        <v>47</v>
      </c>
      <c r="AM1090" s="122" t="s">
        <v>42</v>
      </c>
    </row>
    <row r="1091" spans="1:39" customFormat="1" ht="15.75" customHeight="1" x14ac:dyDescent="0.3">
      <c r="A1091" t="s">
        <v>42</v>
      </c>
      <c r="B1091" s="21" t="s">
        <v>564</v>
      </c>
      <c r="C1091" s="21" t="s">
        <v>688</v>
      </c>
      <c r="D1091" s="117" t="s">
        <v>365</v>
      </c>
      <c r="E1091" s="21" t="s">
        <v>9</v>
      </c>
      <c r="F1091" s="21" t="s">
        <v>416</v>
      </c>
      <c r="G1091" s="21">
        <v>131.57</v>
      </c>
      <c r="H1091" s="21"/>
      <c r="I1091" s="117" t="s">
        <v>325</v>
      </c>
      <c r="J1091" s="117" t="s">
        <v>325</v>
      </c>
      <c r="K1091" s="118">
        <v>34.01</v>
      </c>
      <c r="L1091" s="21"/>
      <c r="M1091" s="21"/>
      <c r="N1091" s="21"/>
      <c r="O1091" s="21"/>
      <c r="P1091" s="21">
        <v>97.56</v>
      </c>
      <c r="Q1091" s="21"/>
      <c r="R1091" s="21" t="s">
        <v>329</v>
      </c>
      <c r="S1091" s="119">
        <f>DATABASE_Table[[#This Row],[Inicial Asking Price (€) (Total)]]-DATABASE_Table[[#This Row],[Vista membership]]-DATABASE_Table[[#This Row],[FF&amp;E]]</f>
        <v>784816.95279999997</v>
      </c>
      <c r="T1091" s="125">
        <v>849416.95279999997</v>
      </c>
      <c r="U1091" s="124">
        <v>920000</v>
      </c>
      <c r="V1091" s="21">
        <v>24600</v>
      </c>
      <c r="W1091" s="21">
        <v>40000</v>
      </c>
      <c r="X1091" s="73">
        <f>DATABASE_Table[[#This Row],[Current Asking price( Total)]]-DATABASE_Table[[#This Row],[Vista membership]]-DATABASE_Table[[#This Row],[FF&amp;E]]</f>
        <v>855400</v>
      </c>
      <c r="Y1091" s="126"/>
      <c r="Z1091" s="124">
        <v>920000</v>
      </c>
      <c r="AA1091" s="73">
        <f>DATABASE_Table[[#This Row],[Sell price (Total)]]-DATABASE_Table[[#This Row],[FF&amp;E]]-DATABASE_Table[[#This Row],[Vista membership]]</f>
        <v>855400</v>
      </c>
      <c r="AB1091" s="74">
        <v>45807</v>
      </c>
      <c r="AC1091" s="74" t="str">
        <f t="shared" si="17"/>
        <v>Q2 2025</v>
      </c>
      <c r="AD1091" s="123"/>
      <c r="AE1091" s="69"/>
      <c r="AF1091" s="21" t="s">
        <v>10</v>
      </c>
      <c r="AG1091" s="21" t="s">
        <v>35</v>
      </c>
      <c r="AH1091" s="122" t="s">
        <v>43</v>
      </c>
      <c r="AI1091" s="122" t="s">
        <v>44</v>
      </c>
      <c r="AJ1091" s="122" t="s">
        <v>45</v>
      </c>
      <c r="AK1091" s="122" t="s">
        <v>46</v>
      </c>
      <c r="AL1091" s="21" t="s">
        <v>47</v>
      </c>
      <c r="AM1091" s="122" t="s">
        <v>42</v>
      </c>
    </row>
    <row r="1092" spans="1:39" customFormat="1" ht="15.75" customHeight="1" x14ac:dyDescent="0.3">
      <c r="A1092" t="s">
        <v>42</v>
      </c>
      <c r="B1092" s="21" t="s">
        <v>564</v>
      </c>
      <c r="C1092" s="21" t="s">
        <v>688</v>
      </c>
      <c r="D1092" s="117" t="s">
        <v>366</v>
      </c>
      <c r="E1092" s="21" t="s">
        <v>9</v>
      </c>
      <c r="F1092" s="21" t="s">
        <v>319</v>
      </c>
      <c r="G1092" s="21">
        <v>117.28</v>
      </c>
      <c r="H1092" s="21"/>
      <c r="I1092" s="117" t="s">
        <v>325</v>
      </c>
      <c r="J1092" s="117" t="s">
        <v>325</v>
      </c>
      <c r="K1092" s="118">
        <v>28.67</v>
      </c>
      <c r="L1092" s="21"/>
      <c r="M1092" s="21"/>
      <c r="N1092" s="21"/>
      <c r="O1092" s="21"/>
      <c r="P1092" s="21">
        <v>88.61</v>
      </c>
      <c r="Q1092" s="21"/>
      <c r="R1092" s="21" t="s">
        <v>329</v>
      </c>
      <c r="S1092" s="119">
        <f>DATABASE_Table[[#This Row],[Inicial Asking Price (€) (Total)]]-DATABASE_Table[[#This Row],[Vista membership]]-DATABASE_Table[[#This Row],[FF&amp;E]]</f>
        <v>706789.57680000004</v>
      </c>
      <c r="T1092" s="125">
        <v>771389.57680000004</v>
      </c>
      <c r="U1092" s="124">
        <v>820000</v>
      </c>
      <c r="V1092" s="21">
        <v>24600</v>
      </c>
      <c r="W1092" s="21">
        <v>40000</v>
      </c>
      <c r="X1092" s="73">
        <f>DATABASE_Table[[#This Row],[Current Asking price( Total)]]-DATABASE_Table[[#This Row],[Vista membership]]-DATABASE_Table[[#This Row],[FF&amp;E]]</f>
        <v>755400</v>
      </c>
      <c r="Y1092" s="126"/>
      <c r="Z1092" s="124">
        <v>795400</v>
      </c>
      <c r="AA1092" s="73">
        <f>DATABASE_Table[[#This Row],[Sell price (Total)]]-DATABASE_Table[[#This Row],[FF&amp;E]]-DATABASE_Table[[#This Row],[Vista membership]]</f>
        <v>730800</v>
      </c>
      <c r="AB1092" s="74">
        <v>45807</v>
      </c>
      <c r="AC1092" s="74" t="str">
        <f t="shared" si="17"/>
        <v>Q2 2025</v>
      </c>
      <c r="AD1092" s="123"/>
      <c r="AE1092" s="69"/>
      <c r="AF1092" s="21" t="s">
        <v>10</v>
      </c>
      <c r="AG1092" s="21" t="s">
        <v>35</v>
      </c>
      <c r="AH1092" s="122" t="s">
        <v>43</v>
      </c>
      <c r="AI1092" s="122" t="s">
        <v>44</v>
      </c>
      <c r="AJ1092" s="122" t="s">
        <v>45</v>
      </c>
      <c r="AK1092" s="122" t="s">
        <v>46</v>
      </c>
      <c r="AL1092" s="21" t="s">
        <v>47</v>
      </c>
      <c r="AM1092" s="122" t="s">
        <v>42</v>
      </c>
    </row>
    <row r="1093" spans="1:39" customFormat="1" ht="15.75" customHeight="1" x14ac:dyDescent="0.3">
      <c r="A1093" t="s">
        <v>42</v>
      </c>
      <c r="B1093" s="21" t="s">
        <v>564</v>
      </c>
      <c r="C1093" s="21" t="s">
        <v>688</v>
      </c>
      <c r="D1093" s="117" t="s">
        <v>367</v>
      </c>
      <c r="E1093" s="21" t="s">
        <v>9</v>
      </c>
      <c r="F1093" s="21" t="s">
        <v>418</v>
      </c>
      <c r="G1093" s="21">
        <v>151.03</v>
      </c>
      <c r="H1093" s="21"/>
      <c r="I1093" s="117" t="s">
        <v>325</v>
      </c>
      <c r="J1093" s="117" t="s">
        <v>325</v>
      </c>
      <c r="K1093" s="118">
        <v>37.68</v>
      </c>
      <c r="L1093" s="21"/>
      <c r="M1093" s="21"/>
      <c r="N1093" s="21"/>
      <c r="O1093" s="21"/>
      <c r="P1093" s="21">
        <v>113.35</v>
      </c>
      <c r="Q1093" s="21"/>
      <c r="R1093" s="21" t="s">
        <v>329</v>
      </c>
      <c r="S1093" s="119">
        <f>DATABASE_Table[[#This Row],[Inicial Asking Price (€) (Total)]]-DATABASE_Table[[#This Row],[Vista membership]]-DATABASE_Table[[#This Row],[FF&amp;E]]</f>
        <v>1021959.966</v>
      </c>
      <c r="T1093" s="125">
        <v>1096559.966</v>
      </c>
      <c r="U1093" s="124">
        <v>1120000</v>
      </c>
      <c r="V1093" s="21">
        <v>24600</v>
      </c>
      <c r="W1093" s="21">
        <v>50000</v>
      </c>
      <c r="X1093" s="73">
        <f>DATABASE_Table[[#This Row],[Current Asking price( Total)]]-DATABASE_Table[[#This Row],[Vista membership]]-DATABASE_Table[[#This Row],[FF&amp;E]]</f>
        <v>1045400</v>
      </c>
      <c r="Y1093" s="126"/>
      <c r="Z1093" s="124">
        <v>1120000</v>
      </c>
      <c r="AA1093" s="73">
        <f>DATABASE_Table[[#This Row],[Sell price (Total)]]-DATABASE_Table[[#This Row],[FF&amp;E]]-DATABASE_Table[[#This Row],[Vista membership]]</f>
        <v>1045400</v>
      </c>
      <c r="AB1093" s="74">
        <v>45807</v>
      </c>
      <c r="AC1093" s="74" t="str">
        <f t="shared" si="17"/>
        <v>Q2 2025</v>
      </c>
      <c r="AD1093" s="123"/>
      <c r="AE1093" s="69"/>
      <c r="AF1093" s="21" t="s">
        <v>10</v>
      </c>
      <c r="AG1093" s="21" t="s">
        <v>35</v>
      </c>
      <c r="AH1093" s="122" t="s">
        <v>43</v>
      </c>
      <c r="AI1093" s="122" t="s">
        <v>44</v>
      </c>
      <c r="AJ1093" s="122" t="s">
        <v>45</v>
      </c>
      <c r="AK1093" s="122" t="s">
        <v>46</v>
      </c>
      <c r="AL1093" s="21" t="s">
        <v>47</v>
      </c>
      <c r="AM1093" s="122" t="s">
        <v>42</v>
      </c>
    </row>
    <row r="1094" spans="1:39" customFormat="1" ht="15.75" customHeight="1" x14ac:dyDescent="0.3">
      <c r="A1094" t="s">
        <v>42</v>
      </c>
      <c r="B1094" s="21" t="s">
        <v>564</v>
      </c>
      <c r="C1094" s="21" t="s">
        <v>688</v>
      </c>
      <c r="D1094" s="117" t="s">
        <v>368</v>
      </c>
      <c r="E1094" s="21" t="s">
        <v>9</v>
      </c>
      <c r="F1094" s="21" t="s">
        <v>416</v>
      </c>
      <c r="G1094" s="21">
        <v>121.16</v>
      </c>
      <c r="H1094" s="21"/>
      <c r="I1094" s="117" t="s">
        <v>325</v>
      </c>
      <c r="J1094" s="117" t="s">
        <v>325</v>
      </c>
      <c r="K1094" s="118">
        <v>31.7</v>
      </c>
      <c r="L1094" s="21"/>
      <c r="M1094" s="21"/>
      <c r="N1094" s="21"/>
      <c r="O1094" s="21"/>
      <c r="P1094" s="21">
        <v>89.46</v>
      </c>
      <c r="Q1094" s="21"/>
      <c r="R1094" s="21" t="s">
        <v>329</v>
      </c>
      <c r="S1094" s="119">
        <f>DATABASE_Table[[#This Row],[Inicial Asking Price (€) (Total)]]-DATABASE_Table[[#This Row],[Vista membership]]-DATABASE_Table[[#This Row],[FF&amp;E]]</f>
        <v>710428.48239999998</v>
      </c>
      <c r="T1094" s="125">
        <v>775028.48239999998</v>
      </c>
      <c r="U1094" s="124">
        <v>840000</v>
      </c>
      <c r="V1094" s="21">
        <v>24600</v>
      </c>
      <c r="W1094" s="21">
        <v>40000</v>
      </c>
      <c r="X1094" s="73">
        <f>DATABASE_Table[[#This Row],[Current Asking price( Total)]]-DATABASE_Table[[#This Row],[Vista membership]]-DATABASE_Table[[#This Row],[FF&amp;E]]</f>
        <v>775400</v>
      </c>
      <c r="Y1094" s="126"/>
      <c r="Z1094" s="124">
        <v>840000</v>
      </c>
      <c r="AA1094" s="73">
        <f>DATABASE_Table[[#This Row],[Sell price (Total)]]-DATABASE_Table[[#This Row],[FF&amp;E]]-DATABASE_Table[[#This Row],[Vista membership]]</f>
        <v>775400</v>
      </c>
      <c r="AB1094" s="74">
        <v>45807</v>
      </c>
      <c r="AC1094" s="74" t="str">
        <f t="shared" si="17"/>
        <v>Q2 2025</v>
      </c>
      <c r="AD1094" s="123"/>
      <c r="AE1094" s="69"/>
      <c r="AF1094" s="21" t="s">
        <v>10</v>
      </c>
      <c r="AG1094" s="21" t="s">
        <v>35</v>
      </c>
      <c r="AH1094" s="122" t="s">
        <v>43</v>
      </c>
      <c r="AI1094" s="122" t="s">
        <v>44</v>
      </c>
      <c r="AJ1094" s="122" t="s">
        <v>45</v>
      </c>
      <c r="AK1094" s="122" t="s">
        <v>46</v>
      </c>
      <c r="AL1094" s="21" t="s">
        <v>47</v>
      </c>
      <c r="AM1094" s="122" t="s">
        <v>42</v>
      </c>
    </row>
    <row r="1095" spans="1:39" customFormat="1" ht="15.75" customHeight="1" x14ac:dyDescent="0.3">
      <c r="A1095" t="s">
        <v>42</v>
      </c>
      <c r="B1095" s="21" t="s">
        <v>564</v>
      </c>
      <c r="C1095" s="21" t="s">
        <v>688</v>
      </c>
      <c r="D1095" s="117" t="s">
        <v>369</v>
      </c>
      <c r="E1095" s="21" t="s">
        <v>9</v>
      </c>
      <c r="F1095" s="21" t="s">
        <v>416</v>
      </c>
      <c r="G1095" s="21">
        <v>117.29</v>
      </c>
      <c r="H1095" s="21"/>
      <c r="I1095" s="117" t="s">
        <v>325</v>
      </c>
      <c r="J1095" s="117" t="s">
        <v>325</v>
      </c>
      <c r="K1095" s="118">
        <v>28.46</v>
      </c>
      <c r="L1095" s="21"/>
      <c r="M1095" s="21"/>
      <c r="N1095" s="21"/>
      <c r="O1095" s="21"/>
      <c r="P1095" s="21">
        <v>88.83</v>
      </c>
      <c r="Q1095" s="21"/>
      <c r="R1095" s="21" t="s">
        <v>329</v>
      </c>
      <c r="S1095" s="119">
        <f>DATABASE_Table[[#This Row],[Inicial Asking Price (€) (Total)]]-DATABASE_Table[[#This Row],[Vista membership]]-DATABASE_Table[[#This Row],[FF&amp;E]]</f>
        <v>701271.14520000003</v>
      </c>
      <c r="T1095" s="125">
        <v>765871.14520000003</v>
      </c>
      <c r="U1095" s="124">
        <v>830000</v>
      </c>
      <c r="V1095" s="21">
        <v>24600</v>
      </c>
      <c r="W1095" s="21">
        <v>40000</v>
      </c>
      <c r="X1095" s="73">
        <f>DATABASE_Table[[#This Row],[Current Asking price( Total)]]-DATABASE_Table[[#This Row],[Vista membership]]-DATABASE_Table[[#This Row],[FF&amp;E]]</f>
        <v>765400</v>
      </c>
      <c r="Y1095" s="126"/>
      <c r="Z1095" s="124">
        <v>830000</v>
      </c>
      <c r="AA1095" s="73">
        <f>DATABASE_Table[[#This Row],[Sell price (Total)]]-DATABASE_Table[[#This Row],[FF&amp;E]]-DATABASE_Table[[#This Row],[Vista membership]]</f>
        <v>765400</v>
      </c>
      <c r="AB1095" s="74">
        <v>45807</v>
      </c>
      <c r="AC1095" s="74" t="str">
        <f t="shared" si="17"/>
        <v>Q2 2025</v>
      </c>
      <c r="AD1095" s="123"/>
      <c r="AE1095" s="69"/>
      <c r="AF1095" s="21" t="s">
        <v>10</v>
      </c>
      <c r="AG1095" s="21" t="s">
        <v>35</v>
      </c>
      <c r="AH1095" s="122" t="s">
        <v>43</v>
      </c>
      <c r="AI1095" s="122" t="s">
        <v>44</v>
      </c>
      <c r="AJ1095" s="122" t="s">
        <v>45</v>
      </c>
      <c r="AK1095" s="122" t="s">
        <v>46</v>
      </c>
      <c r="AL1095" s="21" t="s">
        <v>47</v>
      </c>
      <c r="AM1095" s="122" t="s">
        <v>42</v>
      </c>
    </row>
    <row r="1096" spans="1:39" customFormat="1" ht="15.75" customHeight="1" x14ac:dyDescent="0.3">
      <c r="A1096" t="s">
        <v>42</v>
      </c>
      <c r="B1096" s="21" t="s">
        <v>564</v>
      </c>
      <c r="C1096" s="21" t="s">
        <v>688</v>
      </c>
      <c r="D1096" s="117" t="s">
        <v>370</v>
      </c>
      <c r="E1096" s="21" t="s">
        <v>9</v>
      </c>
      <c r="F1096" s="21" t="s">
        <v>419</v>
      </c>
      <c r="G1096" s="21">
        <v>96.42</v>
      </c>
      <c r="H1096" s="21"/>
      <c r="I1096" s="117" t="s">
        <v>325</v>
      </c>
      <c r="J1096" s="117" t="s">
        <v>325</v>
      </c>
      <c r="K1096" s="118">
        <v>28.56</v>
      </c>
      <c r="L1096" s="21"/>
      <c r="M1096" s="21"/>
      <c r="N1096" s="21"/>
      <c r="O1096" s="21"/>
      <c r="P1096" s="21">
        <v>67.86</v>
      </c>
      <c r="Q1096" s="21"/>
      <c r="R1096" s="21" t="s">
        <v>329</v>
      </c>
      <c r="S1096" s="119">
        <f>DATABASE_Table[[#This Row],[Inicial Asking Price (€) (Total)]]-DATABASE_Table[[#This Row],[Vista membership]]-DATABASE_Table[[#This Row],[FF&amp;E]]</f>
        <v>580548.89060000004</v>
      </c>
      <c r="T1096" s="125">
        <v>635148.89060000004</v>
      </c>
      <c r="U1096" s="124">
        <v>690000</v>
      </c>
      <c r="V1096" s="21">
        <v>24600</v>
      </c>
      <c r="W1096" s="21">
        <v>30000</v>
      </c>
      <c r="X1096" s="73">
        <f>DATABASE_Table[[#This Row],[Current Asking price( Total)]]-DATABASE_Table[[#This Row],[Vista membership]]-DATABASE_Table[[#This Row],[FF&amp;E]]</f>
        <v>635400</v>
      </c>
      <c r="Y1096" s="126"/>
      <c r="Z1096" s="124">
        <v>690000</v>
      </c>
      <c r="AA1096" s="73">
        <f>DATABASE_Table[[#This Row],[Sell price (Total)]]-DATABASE_Table[[#This Row],[FF&amp;E]]-DATABASE_Table[[#This Row],[Vista membership]]</f>
        <v>635400</v>
      </c>
      <c r="AB1096" s="74">
        <v>45807</v>
      </c>
      <c r="AC1096" s="74" t="str">
        <f t="shared" si="17"/>
        <v>Q2 2025</v>
      </c>
      <c r="AD1096" s="123"/>
      <c r="AE1096" s="69"/>
      <c r="AF1096" s="21" t="s">
        <v>10</v>
      </c>
      <c r="AG1096" s="21" t="s">
        <v>35</v>
      </c>
      <c r="AH1096" s="122" t="s">
        <v>43</v>
      </c>
      <c r="AI1096" s="122" t="s">
        <v>44</v>
      </c>
      <c r="AJ1096" s="122" t="s">
        <v>45</v>
      </c>
      <c r="AK1096" s="122" t="s">
        <v>46</v>
      </c>
      <c r="AL1096" s="21" t="s">
        <v>47</v>
      </c>
      <c r="AM1096" s="122" t="s">
        <v>42</v>
      </c>
    </row>
    <row r="1097" spans="1:39" customFormat="1" ht="15.75" customHeight="1" x14ac:dyDescent="0.3">
      <c r="A1097" t="s">
        <v>42</v>
      </c>
      <c r="B1097" s="21" t="s">
        <v>564</v>
      </c>
      <c r="C1097" s="21" t="s">
        <v>688</v>
      </c>
      <c r="D1097" s="117" t="s">
        <v>371</v>
      </c>
      <c r="E1097" s="21" t="s">
        <v>9</v>
      </c>
      <c r="F1097" s="21" t="s">
        <v>319</v>
      </c>
      <c r="G1097" s="21">
        <v>119.05</v>
      </c>
      <c r="H1097" s="21"/>
      <c r="I1097" s="117" t="s">
        <v>325</v>
      </c>
      <c r="J1097" s="117" t="s">
        <v>325</v>
      </c>
      <c r="K1097" s="118">
        <v>28.99</v>
      </c>
      <c r="L1097" s="21"/>
      <c r="M1097" s="21"/>
      <c r="N1097" s="21"/>
      <c r="O1097" s="21"/>
      <c r="P1097" s="21">
        <v>90.06</v>
      </c>
      <c r="Q1097" s="21"/>
      <c r="R1097" s="21" t="s">
        <v>329</v>
      </c>
      <c r="S1097" s="119">
        <f>DATABASE_Table[[#This Row],[Inicial Asking Price (€) (Total)]]-DATABASE_Table[[#This Row],[Vista membership]]-DATABASE_Table[[#This Row],[FF&amp;E]]</f>
        <v>711800.14639999997</v>
      </c>
      <c r="T1097" s="125">
        <v>776400.14639999997</v>
      </c>
      <c r="U1097" s="124">
        <v>850000</v>
      </c>
      <c r="V1097" s="21">
        <v>24600</v>
      </c>
      <c r="W1097" s="21">
        <v>40000</v>
      </c>
      <c r="X1097" s="73">
        <f>DATABASE_Table[[#This Row],[Current Asking price( Total)]]-DATABASE_Table[[#This Row],[Vista membership]]-DATABASE_Table[[#This Row],[FF&amp;E]]</f>
        <v>785400</v>
      </c>
      <c r="Y1097" s="126"/>
      <c r="Z1097" s="124">
        <v>850000</v>
      </c>
      <c r="AA1097" s="73">
        <f>DATABASE_Table[[#This Row],[Sell price (Total)]]-DATABASE_Table[[#This Row],[FF&amp;E]]-DATABASE_Table[[#This Row],[Vista membership]]</f>
        <v>785400</v>
      </c>
      <c r="AB1097" s="74">
        <v>45807</v>
      </c>
      <c r="AC1097" s="74" t="str">
        <f t="shared" si="17"/>
        <v>Q2 2025</v>
      </c>
      <c r="AD1097" s="123"/>
      <c r="AE1097" s="69"/>
      <c r="AF1097" s="21" t="s">
        <v>10</v>
      </c>
      <c r="AG1097" s="21" t="s">
        <v>35</v>
      </c>
      <c r="AH1097" s="122" t="s">
        <v>43</v>
      </c>
      <c r="AI1097" s="122" t="s">
        <v>44</v>
      </c>
      <c r="AJ1097" s="122" t="s">
        <v>45</v>
      </c>
      <c r="AK1097" s="122" t="s">
        <v>46</v>
      </c>
      <c r="AL1097" s="21" t="s">
        <v>47</v>
      </c>
      <c r="AM1097" s="122" t="s">
        <v>42</v>
      </c>
    </row>
    <row r="1098" spans="1:39" customFormat="1" ht="15.75" customHeight="1" x14ac:dyDescent="0.3">
      <c r="A1098" t="s">
        <v>42</v>
      </c>
      <c r="B1098" s="21" t="s">
        <v>564</v>
      </c>
      <c r="C1098" s="21" t="s">
        <v>688</v>
      </c>
      <c r="D1098" s="117" t="s">
        <v>372</v>
      </c>
      <c r="E1098" s="21" t="s">
        <v>9</v>
      </c>
      <c r="F1098" s="21" t="s">
        <v>416</v>
      </c>
      <c r="G1098" s="21">
        <v>127.12</v>
      </c>
      <c r="H1098" s="21"/>
      <c r="I1098" s="117" t="s">
        <v>325</v>
      </c>
      <c r="J1098" s="117" t="s">
        <v>325</v>
      </c>
      <c r="K1098" s="118">
        <v>37.6</v>
      </c>
      <c r="L1098" s="21"/>
      <c r="M1098" s="21"/>
      <c r="N1098" s="21"/>
      <c r="O1098" s="21"/>
      <c r="P1098" s="21">
        <v>89.52</v>
      </c>
      <c r="Q1098" s="21"/>
      <c r="R1098" s="21" t="s">
        <v>329</v>
      </c>
      <c r="S1098" s="119">
        <f>DATABASE_Table[[#This Row],[Inicial Asking Price (€) (Total)]]-DATABASE_Table[[#This Row],[Vista membership]]-DATABASE_Table[[#This Row],[FF&amp;E]]</f>
        <v>724474.77760000003</v>
      </c>
      <c r="T1098" s="125">
        <v>789074.77760000003</v>
      </c>
      <c r="U1098" s="124">
        <v>860000</v>
      </c>
      <c r="V1098" s="21">
        <v>24600</v>
      </c>
      <c r="W1098" s="21">
        <v>40000</v>
      </c>
      <c r="X1098" s="73">
        <f>DATABASE_Table[[#This Row],[Current Asking price( Total)]]-DATABASE_Table[[#This Row],[Vista membership]]-DATABASE_Table[[#This Row],[FF&amp;E]]</f>
        <v>795400</v>
      </c>
      <c r="Y1098" s="126"/>
      <c r="Z1098" s="124">
        <v>860000</v>
      </c>
      <c r="AA1098" s="73">
        <f>DATABASE_Table[[#This Row],[Sell price (Total)]]-DATABASE_Table[[#This Row],[FF&amp;E]]-DATABASE_Table[[#This Row],[Vista membership]]</f>
        <v>795400</v>
      </c>
      <c r="AB1098" s="74">
        <v>45807</v>
      </c>
      <c r="AC1098" s="74" t="str">
        <f t="shared" si="17"/>
        <v>Q2 2025</v>
      </c>
      <c r="AD1098" s="123"/>
      <c r="AE1098" s="69"/>
      <c r="AF1098" s="21" t="s">
        <v>10</v>
      </c>
      <c r="AG1098" s="21" t="s">
        <v>35</v>
      </c>
      <c r="AH1098" s="122" t="s">
        <v>43</v>
      </c>
      <c r="AI1098" s="122" t="s">
        <v>44</v>
      </c>
      <c r="AJ1098" s="122" t="s">
        <v>45</v>
      </c>
      <c r="AK1098" s="122" t="s">
        <v>46</v>
      </c>
      <c r="AL1098" s="21" t="s">
        <v>47</v>
      </c>
      <c r="AM1098" s="122" t="s">
        <v>42</v>
      </c>
    </row>
    <row r="1099" spans="1:39" customFormat="1" ht="15.75" customHeight="1" x14ac:dyDescent="0.3">
      <c r="A1099" t="s">
        <v>42</v>
      </c>
      <c r="B1099" s="21" t="s">
        <v>564</v>
      </c>
      <c r="C1099" s="21" t="s">
        <v>688</v>
      </c>
      <c r="D1099" s="117" t="s">
        <v>373</v>
      </c>
      <c r="E1099" s="21" t="s">
        <v>9</v>
      </c>
      <c r="F1099" s="21" t="s">
        <v>416</v>
      </c>
      <c r="G1099" s="21">
        <v>116.75</v>
      </c>
      <c r="H1099" s="21"/>
      <c r="I1099" s="117" t="s">
        <v>325</v>
      </c>
      <c r="J1099" s="117" t="s">
        <v>325</v>
      </c>
      <c r="K1099" s="118">
        <v>28.58</v>
      </c>
      <c r="L1099" s="21"/>
      <c r="M1099" s="21"/>
      <c r="N1099" s="21"/>
      <c r="O1099" s="21"/>
      <c r="P1099" s="21">
        <v>88.17</v>
      </c>
      <c r="Q1099" s="21"/>
      <c r="R1099" s="21" t="s">
        <v>329</v>
      </c>
      <c r="S1099" s="119">
        <f>DATABASE_Table[[#This Row],[Inicial Asking Price (€) (Total)]]-DATABASE_Table[[#This Row],[Vista membership]]-DATABASE_Table[[#This Row],[FF&amp;E]]</f>
        <v>703135.98959999997</v>
      </c>
      <c r="T1099" s="125">
        <v>767735.98959999997</v>
      </c>
      <c r="U1099" s="124">
        <v>850000</v>
      </c>
      <c r="V1099" s="21">
        <v>24600</v>
      </c>
      <c r="W1099" s="21">
        <v>40000</v>
      </c>
      <c r="X1099" s="73">
        <f>DATABASE_Table[[#This Row],[Current Asking price( Total)]]-DATABASE_Table[[#This Row],[Vista membership]]-DATABASE_Table[[#This Row],[FF&amp;E]]</f>
        <v>785400</v>
      </c>
      <c r="Y1099" s="126"/>
      <c r="Z1099" s="124">
        <v>850000</v>
      </c>
      <c r="AA1099" s="73">
        <f>DATABASE_Table[[#This Row],[Sell price (Total)]]-DATABASE_Table[[#This Row],[FF&amp;E]]-DATABASE_Table[[#This Row],[Vista membership]]</f>
        <v>785400</v>
      </c>
      <c r="AB1099" s="74">
        <v>45807</v>
      </c>
      <c r="AC1099" s="74" t="str">
        <f t="shared" si="17"/>
        <v>Q2 2025</v>
      </c>
      <c r="AD1099" s="123"/>
      <c r="AE1099" s="69"/>
      <c r="AF1099" s="21" t="s">
        <v>10</v>
      </c>
      <c r="AG1099" s="21" t="s">
        <v>35</v>
      </c>
      <c r="AH1099" s="122" t="s">
        <v>43</v>
      </c>
      <c r="AI1099" s="122" t="s">
        <v>44</v>
      </c>
      <c r="AJ1099" s="122" t="s">
        <v>45</v>
      </c>
      <c r="AK1099" s="122" t="s">
        <v>46</v>
      </c>
      <c r="AL1099" s="21" t="s">
        <v>47</v>
      </c>
      <c r="AM1099" s="122" t="s">
        <v>42</v>
      </c>
    </row>
    <row r="1100" spans="1:39" customFormat="1" ht="15.75" customHeight="1" x14ac:dyDescent="0.3">
      <c r="A1100" t="s">
        <v>42</v>
      </c>
      <c r="B1100" s="21" t="s">
        <v>564</v>
      </c>
      <c r="C1100" s="21" t="s">
        <v>688</v>
      </c>
      <c r="D1100" s="117" t="s">
        <v>374</v>
      </c>
      <c r="E1100" s="21" t="s">
        <v>9</v>
      </c>
      <c r="F1100" s="21" t="s">
        <v>416</v>
      </c>
      <c r="G1100" s="21">
        <v>116.89</v>
      </c>
      <c r="H1100" s="21"/>
      <c r="I1100" s="117" t="s">
        <v>325</v>
      </c>
      <c r="J1100" s="117" t="s">
        <v>325</v>
      </c>
      <c r="K1100" s="118">
        <v>28.58</v>
      </c>
      <c r="L1100" s="21"/>
      <c r="M1100" s="21"/>
      <c r="N1100" s="21"/>
      <c r="O1100" s="21"/>
      <c r="P1100" s="21">
        <v>88.31</v>
      </c>
      <c r="Q1100" s="21"/>
      <c r="R1100" s="21" t="s">
        <v>329</v>
      </c>
      <c r="S1100" s="119">
        <f>DATABASE_Table[[#This Row],[Inicial Asking Price (€) (Total)]]-DATABASE_Table[[#This Row],[Vista membership]]-DATABASE_Table[[#This Row],[FF&amp;E]]</f>
        <v>704256.1128</v>
      </c>
      <c r="T1100" s="125">
        <v>768856.1128</v>
      </c>
      <c r="U1100" s="124">
        <v>850000</v>
      </c>
      <c r="V1100" s="21">
        <v>24600</v>
      </c>
      <c r="W1100" s="21">
        <v>40000</v>
      </c>
      <c r="X1100" s="73">
        <f>DATABASE_Table[[#This Row],[Current Asking price( Total)]]-DATABASE_Table[[#This Row],[Vista membership]]-DATABASE_Table[[#This Row],[FF&amp;E]]</f>
        <v>785400</v>
      </c>
      <c r="Y1100" s="126"/>
      <c r="Z1100" s="124">
        <v>850000</v>
      </c>
      <c r="AA1100" s="73">
        <f>DATABASE_Table[[#This Row],[Sell price (Total)]]-DATABASE_Table[[#This Row],[FF&amp;E]]-DATABASE_Table[[#This Row],[Vista membership]]</f>
        <v>785400</v>
      </c>
      <c r="AB1100" s="74">
        <v>45807</v>
      </c>
      <c r="AC1100" s="74" t="str">
        <f t="shared" si="17"/>
        <v>Q2 2025</v>
      </c>
      <c r="AD1100" s="123"/>
      <c r="AE1100" s="69"/>
      <c r="AF1100" s="21" t="s">
        <v>10</v>
      </c>
      <c r="AG1100" s="21" t="s">
        <v>35</v>
      </c>
      <c r="AH1100" s="122" t="s">
        <v>43</v>
      </c>
      <c r="AI1100" s="122" t="s">
        <v>44</v>
      </c>
      <c r="AJ1100" s="122" t="s">
        <v>45</v>
      </c>
      <c r="AK1100" s="122" t="s">
        <v>46</v>
      </c>
      <c r="AL1100" s="21" t="s">
        <v>47</v>
      </c>
      <c r="AM1100" s="122" t="s">
        <v>42</v>
      </c>
    </row>
    <row r="1101" spans="1:39" customFormat="1" ht="15.75" customHeight="1" x14ac:dyDescent="0.3">
      <c r="A1101" t="s">
        <v>42</v>
      </c>
      <c r="B1101" s="21" t="s">
        <v>564</v>
      </c>
      <c r="C1101" s="21" t="s">
        <v>688</v>
      </c>
      <c r="D1101" s="117" t="s">
        <v>375</v>
      </c>
      <c r="E1101" s="21" t="s">
        <v>9</v>
      </c>
      <c r="F1101" s="21" t="s">
        <v>319</v>
      </c>
      <c r="G1101" s="21">
        <v>119.33</v>
      </c>
      <c r="H1101" s="21"/>
      <c r="I1101" s="117" t="s">
        <v>325</v>
      </c>
      <c r="J1101" s="117" t="s">
        <v>325</v>
      </c>
      <c r="K1101" s="118">
        <v>29</v>
      </c>
      <c r="L1101" s="21"/>
      <c r="M1101" s="21"/>
      <c r="N1101" s="21"/>
      <c r="O1101" s="21"/>
      <c r="P1101" s="21">
        <v>90.33</v>
      </c>
      <c r="Q1101" s="21"/>
      <c r="R1101" s="21" t="s">
        <v>329</v>
      </c>
      <c r="S1101" s="119">
        <f>DATABASE_Table[[#This Row],[Inicial Asking Price (€) (Total)]]-DATABASE_Table[[#This Row],[Vista membership]]-DATABASE_Table[[#This Row],[FF&amp;E]]</f>
        <v>721039.49040000001</v>
      </c>
      <c r="T1101" s="125">
        <v>785639.49040000001</v>
      </c>
      <c r="U1101" s="124">
        <v>840000</v>
      </c>
      <c r="V1101" s="21">
        <v>24600</v>
      </c>
      <c r="W1101" s="21">
        <v>40000</v>
      </c>
      <c r="X1101" s="73">
        <f>DATABASE_Table[[#This Row],[Current Asking price( Total)]]-DATABASE_Table[[#This Row],[Vista membership]]-DATABASE_Table[[#This Row],[FF&amp;E]]</f>
        <v>775400</v>
      </c>
      <c r="Y1101" s="126"/>
      <c r="Z1101" s="124">
        <v>840000</v>
      </c>
      <c r="AA1101" s="73">
        <f>DATABASE_Table[[#This Row],[Sell price (Total)]]-DATABASE_Table[[#This Row],[FF&amp;E]]-DATABASE_Table[[#This Row],[Vista membership]]</f>
        <v>775400</v>
      </c>
      <c r="AB1101" s="74">
        <v>45807</v>
      </c>
      <c r="AC1101" s="74" t="str">
        <f t="shared" si="17"/>
        <v>Q2 2025</v>
      </c>
      <c r="AD1101" s="123"/>
      <c r="AE1101" s="69"/>
      <c r="AF1101" s="21" t="s">
        <v>10</v>
      </c>
      <c r="AG1101" s="21" t="s">
        <v>35</v>
      </c>
      <c r="AH1101" s="122" t="s">
        <v>43</v>
      </c>
      <c r="AI1101" s="122" t="s">
        <v>44</v>
      </c>
      <c r="AJ1101" s="122" t="s">
        <v>45</v>
      </c>
      <c r="AK1101" s="122" t="s">
        <v>46</v>
      </c>
      <c r="AL1101" s="21" t="s">
        <v>47</v>
      </c>
      <c r="AM1101" s="122" t="s">
        <v>42</v>
      </c>
    </row>
    <row r="1102" spans="1:39" customFormat="1" ht="15.75" customHeight="1" x14ac:dyDescent="0.3">
      <c r="A1102" t="s">
        <v>42</v>
      </c>
      <c r="B1102" s="21" t="s">
        <v>564</v>
      </c>
      <c r="C1102" s="21" t="s">
        <v>688</v>
      </c>
      <c r="D1102" s="117" t="s">
        <v>376</v>
      </c>
      <c r="E1102" s="21" t="s">
        <v>9</v>
      </c>
      <c r="F1102" s="21" t="s">
        <v>416</v>
      </c>
      <c r="G1102" s="21">
        <v>123.3</v>
      </c>
      <c r="H1102" s="21"/>
      <c r="I1102" s="117" t="s">
        <v>325</v>
      </c>
      <c r="J1102" s="117" t="s">
        <v>325</v>
      </c>
      <c r="K1102" s="118">
        <v>33.21</v>
      </c>
      <c r="L1102" s="21"/>
      <c r="M1102" s="21"/>
      <c r="N1102" s="21"/>
      <c r="O1102" s="21"/>
      <c r="P1102" s="21">
        <v>90.09</v>
      </c>
      <c r="Q1102" s="21"/>
      <c r="R1102" s="21" t="s">
        <v>329</v>
      </c>
      <c r="S1102" s="119">
        <f>DATABASE_Table[[#This Row],[Inicial Asking Price (€) (Total)]]-DATABASE_Table[[#This Row],[Vista membership]]-DATABASE_Table[[#This Row],[FF&amp;E]]</f>
        <v>717095.71959999995</v>
      </c>
      <c r="T1102" s="125">
        <v>781695.71959999995</v>
      </c>
      <c r="U1102" s="124">
        <v>850000</v>
      </c>
      <c r="V1102" s="21">
        <v>24600</v>
      </c>
      <c r="W1102" s="21">
        <v>40000</v>
      </c>
      <c r="X1102" s="73">
        <f>DATABASE_Table[[#This Row],[Current Asking price( Total)]]-DATABASE_Table[[#This Row],[Vista membership]]-DATABASE_Table[[#This Row],[FF&amp;E]]</f>
        <v>785400</v>
      </c>
      <c r="Y1102" s="126"/>
      <c r="Z1102" s="124">
        <v>850000</v>
      </c>
      <c r="AA1102" s="73">
        <f>DATABASE_Table[[#This Row],[Sell price (Total)]]-DATABASE_Table[[#This Row],[FF&amp;E]]-DATABASE_Table[[#This Row],[Vista membership]]</f>
        <v>785400</v>
      </c>
      <c r="AB1102" s="74">
        <v>45807</v>
      </c>
      <c r="AC1102" s="74" t="str">
        <f t="shared" si="17"/>
        <v>Q2 2025</v>
      </c>
      <c r="AD1102" s="123"/>
      <c r="AE1102" s="69"/>
      <c r="AF1102" s="21" t="s">
        <v>10</v>
      </c>
      <c r="AG1102" s="21" t="s">
        <v>35</v>
      </c>
      <c r="AH1102" s="122" t="s">
        <v>43</v>
      </c>
      <c r="AI1102" s="122" t="s">
        <v>44</v>
      </c>
      <c r="AJ1102" s="122" t="s">
        <v>45</v>
      </c>
      <c r="AK1102" s="122" t="s">
        <v>46</v>
      </c>
      <c r="AL1102" s="21" t="s">
        <v>47</v>
      </c>
      <c r="AM1102" s="122" t="s">
        <v>42</v>
      </c>
    </row>
    <row r="1103" spans="1:39" customFormat="1" ht="15.75" customHeight="1" x14ac:dyDescent="0.3">
      <c r="A1103" t="s">
        <v>42</v>
      </c>
      <c r="B1103" s="21" t="s">
        <v>564</v>
      </c>
      <c r="C1103" s="21" t="s">
        <v>688</v>
      </c>
      <c r="D1103" s="117" t="s">
        <v>377</v>
      </c>
      <c r="E1103" s="21" t="s">
        <v>9</v>
      </c>
      <c r="F1103" s="21" t="s">
        <v>319</v>
      </c>
      <c r="G1103" s="21">
        <v>125.61</v>
      </c>
      <c r="H1103" s="21"/>
      <c r="I1103" s="117" t="s">
        <v>325</v>
      </c>
      <c r="J1103" s="117" t="s">
        <v>325</v>
      </c>
      <c r="K1103" s="118">
        <v>31.83</v>
      </c>
      <c r="L1103" s="21"/>
      <c r="M1103" s="21"/>
      <c r="N1103" s="21"/>
      <c r="O1103" s="21"/>
      <c r="P1103" s="21">
        <v>93.78</v>
      </c>
      <c r="Q1103" s="21"/>
      <c r="R1103" s="21" t="s">
        <v>329</v>
      </c>
      <c r="S1103" s="119">
        <f>DATABASE_Table[[#This Row],[Inicial Asking Price (€) (Total)]]-DATABASE_Table[[#This Row],[Vista membership]]-DATABASE_Table[[#This Row],[FF&amp;E]]</f>
        <v>744797.72320000001</v>
      </c>
      <c r="T1103" s="125">
        <v>809397.72320000001</v>
      </c>
      <c r="U1103" s="124">
        <v>880000</v>
      </c>
      <c r="V1103" s="21">
        <v>24600</v>
      </c>
      <c r="W1103" s="21">
        <v>40000</v>
      </c>
      <c r="X1103" s="73">
        <f>DATABASE_Table[[#This Row],[Current Asking price( Total)]]-DATABASE_Table[[#This Row],[Vista membership]]-DATABASE_Table[[#This Row],[FF&amp;E]]</f>
        <v>815400</v>
      </c>
      <c r="Y1103" s="126"/>
      <c r="Z1103" s="124">
        <v>880000</v>
      </c>
      <c r="AA1103" s="73">
        <f>DATABASE_Table[[#This Row],[Sell price (Total)]]-DATABASE_Table[[#This Row],[FF&amp;E]]-DATABASE_Table[[#This Row],[Vista membership]]</f>
        <v>815400</v>
      </c>
      <c r="AB1103" s="74">
        <v>45807</v>
      </c>
      <c r="AC1103" s="74" t="str">
        <f t="shared" si="17"/>
        <v>Q2 2025</v>
      </c>
      <c r="AD1103" s="123"/>
      <c r="AE1103" s="69"/>
      <c r="AF1103" s="21" t="s">
        <v>10</v>
      </c>
      <c r="AG1103" s="21" t="s">
        <v>35</v>
      </c>
      <c r="AH1103" s="122" t="s">
        <v>43</v>
      </c>
      <c r="AI1103" s="122" t="s">
        <v>44</v>
      </c>
      <c r="AJ1103" s="122" t="s">
        <v>45</v>
      </c>
      <c r="AK1103" s="122" t="s">
        <v>46</v>
      </c>
      <c r="AL1103" s="21" t="s">
        <v>47</v>
      </c>
      <c r="AM1103" s="122" t="s">
        <v>42</v>
      </c>
    </row>
    <row r="1104" spans="1:39" customFormat="1" ht="15.75" customHeight="1" x14ac:dyDescent="0.3">
      <c r="A1104" t="s">
        <v>42</v>
      </c>
      <c r="B1104" s="21" t="s">
        <v>564</v>
      </c>
      <c r="C1104" s="21" t="s">
        <v>688</v>
      </c>
      <c r="D1104" s="117" t="s">
        <v>379</v>
      </c>
      <c r="E1104" s="21" t="s">
        <v>9</v>
      </c>
      <c r="F1104" s="21" t="s">
        <v>416</v>
      </c>
      <c r="G1104" s="21">
        <v>116.88</v>
      </c>
      <c r="H1104" s="21"/>
      <c r="I1104" s="117" t="s">
        <v>325</v>
      </c>
      <c r="J1104" s="117" t="s">
        <v>325</v>
      </c>
      <c r="K1104" s="118">
        <v>28.68</v>
      </c>
      <c r="L1104" s="21"/>
      <c r="M1104" s="21"/>
      <c r="N1104" s="21"/>
      <c r="O1104" s="21"/>
      <c r="P1104" s="21">
        <v>88.2</v>
      </c>
      <c r="Q1104" s="21"/>
      <c r="R1104" s="21" t="s">
        <v>329</v>
      </c>
      <c r="S1104" s="119">
        <f>DATABASE_Table[[#This Row],[Inicial Asking Price (€) (Total)]]-DATABASE_Table[[#This Row],[Vista membership]]-DATABASE_Table[[#This Row],[FF&amp;E]]</f>
        <v>703524.01599999995</v>
      </c>
      <c r="T1104" s="125">
        <v>768124.01599999995</v>
      </c>
      <c r="U1104" s="124">
        <v>840000</v>
      </c>
      <c r="V1104" s="21">
        <v>24600</v>
      </c>
      <c r="W1104" s="21">
        <v>40000</v>
      </c>
      <c r="X1104" s="73">
        <f>DATABASE_Table[[#This Row],[Current Asking price( Total)]]-DATABASE_Table[[#This Row],[Vista membership]]-DATABASE_Table[[#This Row],[FF&amp;E]]</f>
        <v>775400</v>
      </c>
      <c r="Y1104" s="126"/>
      <c r="Z1104" s="124">
        <v>840000</v>
      </c>
      <c r="AA1104" s="73">
        <f>DATABASE_Table[[#This Row],[Sell price (Total)]]-DATABASE_Table[[#This Row],[FF&amp;E]]-DATABASE_Table[[#This Row],[Vista membership]]</f>
        <v>775400</v>
      </c>
      <c r="AB1104" s="74">
        <v>45807</v>
      </c>
      <c r="AC1104" s="74" t="str">
        <f t="shared" si="17"/>
        <v>Q2 2025</v>
      </c>
      <c r="AD1104" s="123"/>
      <c r="AE1104" s="69"/>
      <c r="AF1104" s="21" t="s">
        <v>10</v>
      </c>
      <c r="AG1104" s="21" t="s">
        <v>35</v>
      </c>
      <c r="AH1104" s="122" t="s">
        <v>43</v>
      </c>
      <c r="AI1104" s="122" t="s">
        <v>44</v>
      </c>
      <c r="AJ1104" s="122" t="s">
        <v>45</v>
      </c>
      <c r="AK1104" s="122" t="s">
        <v>46</v>
      </c>
      <c r="AL1104" s="21" t="s">
        <v>47</v>
      </c>
      <c r="AM1104" s="122" t="s">
        <v>42</v>
      </c>
    </row>
    <row r="1105" spans="1:39" customFormat="1" ht="15.75" customHeight="1" x14ac:dyDescent="0.3">
      <c r="A1105" t="s">
        <v>42</v>
      </c>
      <c r="B1105" s="21" t="s">
        <v>564</v>
      </c>
      <c r="C1105" s="21" t="s">
        <v>688</v>
      </c>
      <c r="D1105" s="117" t="s">
        <v>380</v>
      </c>
      <c r="E1105" s="21" t="s">
        <v>9</v>
      </c>
      <c r="F1105" s="21" t="s">
        <v>319</v>
      </c>
      <c r="G1105" s="21">
        <v>125.51</v>
      </c>
      <c r="H1105" s="21"/>
      <c r="I1105" s="117" t="s">
        <v>325</v>
      </c>
      <c r="J1105" s="117" t="s">
        <v>325</v>
      </c>
      <c r="K1105" s="118">
        <v>31.83</v>
      </c>
      <c r="L1105" s="21"/>
      <c r="M1105" s="21"/>
      <c r="N1105" s="21"/>
      <c r="O1105" s="21"/>
      <c r="P1105" s="21">
        <v>93.68</v>
      </c>
      <c r="Q1105" s="21"/>
      <c r="R1105" s="21" t="s">
        <v>329</v>
      </c>
      <c r="S1105" s="119">
        <f>DATABASE_Table[[#This Row],[Inicial Asking Price (€) (Total)]]-DATABASE_Table[[#This Row],[Vista membership]]-DATABASE_Table[[#This Row],[FF&amp;E]]</f>
        <v>751353.73840000003</v>
      </c>
      <c r="T1105" s="125">
        <v>815953.73840000003</v>
      </c>
      <c r="U1105" s="124">
        <v>900000</v>
      </c>
      <c r="V1105" s="21">
        <v>24600</v>
      </c>
      <c r="W1105" s="21">
        <v>40000</v>
      </c>
      <c r="X1105" s="73">
        <f>DATABASE_Table[[#This Row],[Current Asking price( Total)]]-DATABASE_Table[[#This Row],[Vista membership]]-DATABASE_Table[[#This Row],[FF&amp;E]]</f>
        <v>835400</v>
      </c>
      <c r="Y1105" s="126"/>
      <c r="Z1105" s="124">
        <v>900000</v>
      </c>
      <c r="AA1105" s="73">
        <f>DATABASE_Table[[#This Row],[Sell price (Total)]]-DATABASE_Table[[#This Row],[FF&amp;E]]-DATABASE_Table[[#This Row],[Vista membership]]</f>
        <v>835400</v>
      </c>
      <c r="AB1105" s="74">
        <v>45807</v>
      </c>
      <c r="AC1105" s="74" t="str">
        <f t="shared" si="17"/>
        <v>Q2 2025</v>
      </c>
      <c r="AD1105" s="123"/>
      <c r="AE1105" s="69"/>
      <c r="AF1105" s="21" t="s">
        <v>10</v>
      </c>
      <c r="AG1105" s="21" t="s">
        <v>35</v>
      </c>
      <c r="AH1105" s="122" t="s">
        <v>43</v>
      </c>
      <c r="AI1105" s="122" t="s">
        <v>44</v>
      </c>
      <c r="AJ1105" s="122" t="s">
        <v>45</v>
      </c>
      <c r="AK1105" s="122" t="s">
        <v>46</v>
      </c>
      <c r="AL1105" s="21" t="s">
        <v>47</v>
      </c>
      <c r="AM1105" s="122" t="s">
        <v>42</v>
      </c>
    </row>
    <row r="1106" spans="1:39" customFormat="1" ht="15.75" customHeight="1" x14ac:dyDescent="0.3">
      <c r="A1106" t="s">
        <v>42</v>
      </c>
      <c r="B1106" s="21" t="s">
        <v>564</v>
      </c>
      <c r="C1106" s="21" t="s">
        <v>688</v>
      </c>
      <c r="D1106" s="117" t="s">
        <v>381</v>
      </c>
      <c r="E1106" s="21" t="s">
        <v>9</v>
      </c>
      <c r="F1106" s="21" t="s">
        <v>319</v>
      </c>
      <c r="G1106" s="21">
        <v>119</v>
      </c>
      <c r="H1106" s="21"/>
      <c r="I1106" s="117" t="s">
        <v>325</v>
      </c>
      <c r="J1106" s="117" t="s">
        <v>325</v>
      </c>
      <c r="K1106" s="118"/>
      <c r="L1106" s="21"/>
      <c r="M1106" s="21"/>
      <c r="N1106" s="21">
        <v>29.15</v>
      </c>
      <c r="O1106" s="21"/>
      <c r="P1106" s="21">
        <v>89.85</v>
      </c>
      <c r="Q1106" s="21"/>
      <c r="R1106" s="21" t="s">
        <v>329</v>
      </c>
      <c r="S1106" s="119">
        <f>DATABASE_Table[[#This Row],[Inicial Asking Price (€) (Total)]]-DATABASE_Table[[#This Row],[Vista membership]]-DATABASE_Table[[#This Row],[FF&amp;E]]</f>
        <v>758112.33600000001</v>
      </c>
      <c r="T1106" s="125">
        <v>822712.33600000001</v>
      </c>
      <c r="U1106" s="124">
        <v>890000</v>
      </c>
      <c r="V1106" s="21">
        <v>24600</v>
      </c>
      <c r="W1106" s="21">
        <v>40000</v>
      </c>
      <c r="X1106" s="73">
        <f>DATABASE_Table[[#This Row],[Current Asking price( Total)]]-DATABASE_Table[[#This Row],[Vista membership]]-DATABASE_Table[[#This Row],[FF&amp;E]]</f>
        <v>825400</v>
      </c>
      <c r="Y1106" s="126"/>
      <c r="Z1106" s="124">
        <v>890000</v>
      </c>
      <c r="AA1106" s="73">
        <f>DATABASE_Table[[#This Row],[Sell price (Total)]]-DATABASE_Table[[#This Row],[FF&amp;E]]-DATABASE_Table[[#This Row],[Vista membership]]</f>
        <v>825400</v>
      </c>
      <c r="AB1106" s="74">
        <v>45807</v>
      </c>
      <c r="AC1106" s="74" t="str">
        <f t="shared" si="17"/>
        <v>Q2 2025</v>
      </c>
      <c r="AD1106" s="123"/>
      <c r="AE1106" s="69"/>
      <c r="AF1106" s="21" t="s">
        <v>10</v>
      </c>
      <c r="AG1106" s="21" t="s">
        <v>35</v>
      </c>
      <c r="AH1106" s="122" t="s">
        <v>43</v>
      </c>
      <c r="AI1106" s="122" t="s">
        <v>44</v>
      </c>
      <c r="AJ1106" s="122" t="s">
        <v>45</v>
      </c>
      <c r="AK1106" s="122" t="s">
        <v>46</v>
      </c>
      <c r="AL1106" s="21" t="s">
        <v>47</v>
      </c>
      <c r="AM1106" s="122" t="s">
        <v>42</v>
      </c>
    </row>
    <row r="1107" spans="1:39" customFormat="1" ht="15.75" customHeight="1" x14ac:dyDescent="0.3">
      <c r="A1107" t="s">
        <v>42</v>
      </c>
      <c r="B1107" s="21" t="s">
        <v>564</v>
      </c>
      <c r="C1107" s="21" t="s">
        <v>688</v>
      </c>
      <c r="D1107" s="117" t="s">
        <v>382</v>
      </c>
      <c r="E1107" s="21" t="s">
        <v>9</v>
      </c>
      <c r="F1107" s="21" t="s">
        <v>416</v>
      </c>
      <c r="G1107" s="21">
        <v>117.03</v>
      </c>
      <c r="H1107" s="21"/>
      <c r="I1107" s="117" t="s">
        <v>325</v>
      </c>
      <c r="J1107" s="117" t="s">
        <v>325</v>
      </c>
      <c r="K1107" s="118"/>
      <c r="L1107" s="21"/>
      <c r="M1107" s="21"/>
      <c r="N1107" s="21">
        <v>28.6</v>
      </c>
      <c r="O1107" s="21"/>
      <c r="P1107" s="21">
        <v>88.43</v>
      </c>
      <c r="Q1107" s="21"/>
      <c r="R1107" s="21" t="s">
        <v>329</v>
      </c>
      <c r="S1107" s="119">
        <f>DATABASE_Table[[#This Row],[Inicial Asking Price (€) (Total)]]-DATABASE_Table[[#This Row],[Vista membership]]-DATABASE_Table[[#This Row],[FF&amp;E]]</f>
        <v>737964.91839999997</v>
      </c>
      <c r="T1107" s="125">
        <v>802564.91839999997</v>
      </c>
      <c r="U1107" s="124">
        <v>890000</v>
      </c>
      <c r="V1107" s="21">
        <v>24600</v>
      </c>
      <c r="W1107" s="21">
        <v>40000</v>
      </c>
      <c r="X1107" s="73">
        <f>DATABASE_Table[[#This Row],[Current Asking price( Total)]]-DATABASE_Table[[#This Row],[Vista membership]]-DATABASE_Table[[#This Row],[FF&amp;E]]</f>
        <v>825400</v>
      </c>
      <c r="Y1107" s="126"/>
      <c r="Z1107" s="124">
        <v>890000</v>
      </c>
      <c r="AA1107" s="73">
        <f>DATABASE_Table[[#This Row],[Sell price (Total)]]-DATABASE_Table[[#This Row],[FF&amp;E]]-DATABASE_Table[[#This Row],[Vista membership]]</f>
        <v>825400</v>
      </c>
      <c r="AB1107" s="74">
        <v>45807</v>
      </c>
      <c r="AC1107" s="74" t="str">
        <f t="shared" si="17"/>
        <v>Q2 2025</v>
      </c>
      <c r="AD1107" s="123"/>
      <c r="AE1107" s="69"/>
      <c r="AF1107" s="21" t="s">
        <v>10</v>
      </c>
      <c r="AG1107" s="21" t="s">
        <v>35</v>
      </c>
      <c r="AH1107" s="122" t="s">
        <v>43</v>
      </c>
      <c r="AI1107" s="122" t="s">
        <v>44</v>
      </c>
      <c r="AJ1107" s="122" t="s">
        <v>45</v>
      </c>
      <c r="AK1107" s="122" t="s">
        <v>46</v>
      </c>
      <c r="AL1107" s="21" t="s">
        <v>47</v>
      </c>
      <c r="AM1107" s="122" t="s">
        <v>42</v>
      </c>
    </row>
    <row r="1108" spans="1:39" customFormat="1" ht="15.75" customHeight="1" x14ac:dyDescent="0.3">
      <c r="A1108" t="s">
        <v>42</v>
      </c>
      <c r="B1108" s="21" t="s">
        <v>564</v>
      </c>
      <c r="C1108" s="21" t="s">
        <v>688</v>
      </c>
      <c r="D1108" s="117" t="s">
        <v>385</v>
      </c>
      <c r="E1108" s="21" t="s">
        <v>9</v>
      </c>
      <c r="F1108" s="21" t="s">
        <v>319</v>
      </c>
      <c r="G1108" s="21">
        <v>117.69</v>
      </c>
      <c r="H1108" s="21"/>
      <c r="I1108" s="117" t="s">
        <v>325</v>
      </c>
      <c r="J1108" s="117" t="s">
        <v>325</v>
      </c>
      <c r="K1108" s="118"/>
      <c r="L1108" s="21"/>
      <c r="M1108" s="21"/>
      <c r="N1108" s="21">
        <v>28.24</v>
      </c>
      <c r="O1108" s="21"/>
      <c r="P1108" s="21">
        <v>89.45</v>
      </c>
      <c r="Q1108" s="21"/>
      <c r="R1108" s="21" t="s">
        <v>329</v>
      </c>
      <c r="S1108" s="119">
        <f>DATABASE_Table[[#This Row],[Inicial Asking Price (€) (Total)]]-DATABASE_Table[[#This Row],[Vista membership]]-DATABASE_Table[[#This Row],[FF&amp;E]]</f>
        <v>745970.41599999997</v>
      </c>
      <c r="T1108" s="125">
        <v>810570.41599999997</v>
      </c>
      <c r="U1108" s="124">
        <v>890000</v>
      </c>
      <c r="V1108" s="21">
        <v>24600</v>
      </c>
      <c r="W1108" s="21">
        <v>40000</v>
      </c>
      <c r="X1108" s="73">
        <f>DATABASE_Table[[#This Row],[Current Asking price( Total)]]-DATABASE_Table[[#This Row],[Vista membership]]-DATABASE_Table[[#This Row],[FF&amp;E]]</f>
        <v>825400</v>
      </c>
      <c r="Y1108" s="126"/>
      <c r="Z1108" s="124">
        <v>890000</v>
      </c>
      <c r="AA1108" s="73">
        <f>DATABASE_Table[[#This Row],[Sell price (Total)]]-DATABASE_Table[[#This Row],[FF&amp;E]]-DATABASE_Table[[#This Row],[Vista membership]]</f>
        <v>825400</v>
      </c>
      <c r="AB1108" s="74">
        <v>45807</v>
      </c>
      <c r="AC1108" s="74" t="str">
        <f t="shared" si="17"/>
        <v>Q2 2025</v>
      </c>
      <c r="AD1108" s="123"/>
      <c r="AE1108" s="69"/>
      <c r="AF1108" s="21" t="s">
        <v>10</v>
      </c>
      <c r="AG1108" s="21" t="s">
        <v>35</v>
      </c>
      <c r="AH1108" s="122" t="s">
        <v>43</v>
      </c>
      <c r="AI1108" s="122" t="s">
        <v>44</v>
      </c>
      <c r="AJ1108" s="122" t="s">
        <v>45</v>
      </c>
      <c r="AK1108" s="122" t="s">
        <v>46</v>
      </c>
      <c r="AL1108" s="21" t="s">
        <v>47</v>
      </c>
      <c r="AM1108" s="122" t="s">
        <v>42</v>
      </c>
    </row>
    <row r="1109" spans="1:39" customFormat="1" ht="15.75" customHeight="1" x14ac:dyDescent="0.3">
      <c r="A1109" t="s">
        <v>42</v>
      </c>
      <c r="B1109" s="21" t="s">
        <v>564</v>
      </c>
      <c r="C1109" s="21" t="s">
        <v>688</v>
      </c>
      <c r="D1109" s="117" t="s">
        <v>386</v>
      </c>
      <c r="E1109" s="21" t="s">
        <v>9</v>
      </c>
      <c r="F1109" s="21" t="s">
        <v>416</v>
      </c>
      <c r="G1109" s="21">
        <v>118.03</v>
      </c>
      <c r="H1109" s="21"/>
      <c r="I1109" s="117" t="s">
        <v>325</v>
      </c>
      <c r="J1109" s="117" t="s">
        <v>325</v>
      </c>
      <c r="K1109" s="118"/>
      <c r="L1109" s="21"/>
      <c r="M1109" s="21"/>
      <c r="N1109" s="21">
        <v>28.84</v>
      </c>
      <c r="O1109" s="21"/>
      <c r="P1109" s="21">
        <v>89.19</v>
      </c>
      <c r="Q1109" s="21"/>
      <c r="R1109" s="21" t="s">
        <v>329</v>
      </c>
      <c r="S1109" s="119">
        <f>DATABASE_Table[[#This Row],[Inicial Asking Price (€) (Total)]]-DATABASE_Table[[#This Row],[Vista membership]]-DATABASE_Table[[#This Row],[FF&amp;E]]</f>
        <v>744681.98719999997</v>
      </c>
      <c r="T1109" s="125">
        <v>809281.98719999997</v>
      </c>
      <c r="U1109" s="124">
        <v>890000</v>
      </c>
      <c r="V1109" s="21">
        <v>24600</v>
      </c>
      <c r="W1109" s="21">
        <v>40000</v>
      </c>
      <c r="X1109" s="73">
        <f>DATABASE_Table[[#This Row],[Current Asking price( Total)]]-DATABASE_Table[[#This Row],[Vista membership]]-DATABASE_Table[[#This Row],[FF&amp;E]]</f>
        <v>825400</v>
      </c>
      <c r="Y1109" s="126"/>
      <c r="Z1109" s="124">
        <v>890000</v>
      </c>
      <c r="AA1109" s="73">
        <f>DATABASE_Table[[#This Row],[Sell price (Total)]]-DATABASE_Table[[#This Row],[FF&amp;E]]-DATABASE_Table[[#This Row],[Vista membership]]</f>
        <v>825400</v>
      </c>
      <c r="AB1109" s="74">
        <v>45807</v>
      </c>
      <c r="AC1109" s="74" t="str">
        <f t="shared" si="17"/>
        <v>Q2 2025</v>
      </c>
      <c r="AD1109" s="123"/>
      <c r="AE1109" s="69"/>
      <c r="AF1109" s="21" t="s">
        <v>10</v>
      </c>
      <c r="AG1109" s="21" t="s">
        <v>35</v>
      </c>
      <c r="AH1109" s="122" t="s">
        <v>43</v>
      </c>
      <c r="AI1109" s="122" t="s">
        <v>44</v>
      </c>
      <c r="AJ1109" s="122" t="s">
        <v>45</v>
      </c>
      <c r="AK1109" s="122" t="s">
        <v>46</v>
      </c>
      <c r="AL1109" s="21" t="s">
        <v>47</v>
      </c>
      <c r="AM1109" s="122" t="s">
        <v>42</v>
      </c>
    </row>
    <row r="1110" spans="1:39" customFormat="1" ht="15.75" customHeight="1" x14ac:dyDescent="0.3">
      <c r="A1110" t="s">
        <v>42</v>
      </c>
      <c r="B1110" s="21" t="s">
        <v>564</v>
      </c>
      <c r="C1110" s="21" t="s">
        <v>688</v>
      </c>
      <c r="D1110" s="117" t="s">
        <v>387</v>
      </c>
      <c r="E1110" s="21" t="s">
        <v>9</v>
      </c>
      <c r="F1110" s="21" t="s">
        <v>319</v>
      </c>
      <c r="G1110" s="21">
        <v>281.44</v>
      </c>
      <c r="H1110" s="21"/>
      <c r="I1110" s="117" t="s">
        <v>325</v>
      </c>
      <c r="J1110" s="117" t="s">
        <v>325</v>
      </c>
      <c r="K1110" s="118"/>
      <c r="L1110" s="21"/>
      <c r="M1110" s="21"/>
      <c r="N1110" s="21">
        <v>188.97</v>
      </c>
      <c r="O1110" s="21"/>
      <c r="P1110" s="21">
        <v>92.47</v>
      </c>
      <c r="Q1110" s="21"/>
      <c r="R1110" s="21" t="s">
        <v>329</v>
      </c>
      <c r="S1110" s="119">
        <f>DATABASE_Table[[#This Row],[Inicial Asking Price (€) (Total)]]-DATABASE_Table[[#This Row],[Vista membership]]-DATABASE_Table[[#This Row],[FF&amp;E]]</f>
        <v>987434.81440000003</v>
      </c>
      <c r="T1110" s="125">
        <v>1062034.8144</v>
      </c>
      <c r="U1110" s="124">
        <v>1200000</v>
      </c>
      <c r="V1110" s="21">
        <v>24600</v>
      </c>
      <c r="W1110" s="21">
        <v>50000</v>
      </c>
      <c r="X1110" s="73">
        <f>DATABASE_Table[[#This Row],[Current Asking price( Total)]]-DATABASE_Table[[#This Row],[Vista membership]]-DATABASE_Table[[#This Row],[FF&amp;E]]</f>
        <v>1125400</v>
      </c>
      <c r="Y1110" s="126"/>
      <c r="Z1110" s="124">
        <v>1200000</v>
      </c>
      <c r="AA1110" s="73">
        <f>DATABASE_Table[[#This Row],[Sell price (Total)]]-DATABASE_Table[[#This Row],[FF&amp;E]]-DATABASE_Table[[#This Row],[Vista membership]]</f>
        <v>1125400</v>
      </c>
      <c r="AB1110" s="74">
        <v>45807</v>
      </c>
      <c r="AC1110" s="74" t="str">
        <f t="shared" si="17"/>
        <v>Q2 2025</v>
      </c>
      <c r="AD1110" s="123"/>
      <c r="AE1110" s="69"/>
      <c r="AF1110" s="21" t="s">
        <v>10</v>
      </c>
      <c r="AG1110" s="21" t="s">
        <v>35</v>
      </c>
      <c r="AH1110" s="122" t="s">
        <v>43</v>
      </c>
      <c r="AI1110" s="122" t="s">
        <v>44</v>
      </c>
      <c r="AJ1110" s="122" t="s">
        <v>45</v>
      </c>
      <c r="AK1110" s="122" t="s">
        <v>46</v>
      </c>
      <c r="AL1110" s="21" t="s">
        <v>47</v>
      </c>
      <c r="AM1110" s="122" t="s">
        <v>42</v>
      </c>
    </row>
    <row r="1111" spans="1:39" customFormat="1" ht="15.75" customHeight="1" x14ac:dyDescent="0.3">
      <c r="A1111" t="s">
        <v>42</v>
      </c>
      <c r="B1111" s="21" t="s">
        <v>564</v>
      </c>
      <c r="C1111" s="21" t="s">
        <v>688</v>
      </c>
      <c r="D1111" s="117" t="s">
        <v>388</v>
      </c>
      <c r="E1111" s="21" t="s">
        <v>9</v>
      </c>
      <c r="F1111" s="21" t="s">
        <v>419</v>
      </c>
      <c r="G1111" s="21">
        <v>89.42</v>
      </c>
      <c r="H1111" s="21"/>
      <c r="I1111" s="117" t="s">
        <v>325</v>
      </c>
      <c r="J1111" s="117" t="s">
        <v>325</v>
      </c>
      <c r="K1111" s="118"/>
      <c r="L1111" s="21"/>
      <c r="M1111" s="21"/>
      <c r="N1111" s="21">
        <v>26.51</v>
      </c>
      <c r="O1111" s="21"/>
      <c r="P1111" s="21">
        <v>62.91</v>
      </c>
      <c r="Q1111" s="21"/>
      <c r="R1111" s="21" t="s">
        <v>329</v>
      </c>
      <c r="S1111" s="119">
        <f>DATABASE_Table[[#This Row],[Inicial Asking Price (€) (Total)]]-DATABASE_Table[[#This Row],[Vista membership]]-DATABASE_Table[[#This Row],[FF&amp;E]]</f>
        <v>571187.51439999999</v>
      </c>
      <c r="T1111" s="125">
        <v>625787.51439999999</v>
      </c>
      <c r="U1111" s="124">
        <v>690000</v>
      </c>
      <c r="V1111" s="21">
        <v>24600</v>
      </c>
      <c r="W1111" s="21">
        <v>30000</v>
      </c>
      <c r="X1111" s="73">
        <f>DATABASE_Table[[#This Row],[Current Asking price( Total)]]-DATABASE_Table[[#This Row],[Vista membership]]-DATABASE_Table[[#This Row],[FF&amp;E]]</f>
        <v>635400</v>
      </c>
      <c r="Y1111" s="126"/>
      <c r="Z1111" s="124">
        <v>690000</v>
      </c>
      <c r="AA1111" s="73">
        <f>DATABASE_Table[[#This Row],[Sell price (Total)]]-DATABASE_Table[[#This Row],[FF&amp;E]]-DATABASE_Table[[#This Row],[Vista membership]]</f>
        <v>635400</v>
      </c>
      <c r="AB1111" s="74">
        <v>45807</v>
      </c>
      <c r="AC1111" s="74" t="str">
        <f t="shared" si="17"/>
        <v>Q2 2025</v>
      </c>
      <c r="AD1111" s="123"/>
      <c r="AE1111" s="69"/>
      <c r="AF1111" s="21" t="s">
        <v>10</v>
      </c>
      <c r="AG1111" s="21" t="s">
        <v>35</v>
      </c>
      <c r="AH1111" s="122" t="s">
        <v>43</v>
      </c>
      <c r="AI1111" s="122" t="s">
        <v>44</v>
      </c>
      <c r="AJ1111" s="122" t="s">
        <v>45</v>
      </c>
      <c r="AK1111" s="122" t="s">
        <v>46</v>
      </c>
      <c r="AL1111" s="21" t="s">
        <v>47</v>
      </c>
      <c r="AM1111" s="122" t="s">
        <v>42</v>
      </c>
    </row>
    <row r="1112" spans="1:39" customFormat="1" ht="15.75" customHeight="1" x14ac:dyDescent="0.3">
      <c r="A1112" t="s">
        <v>42</v>
      </c>
      <c r="B1112" s="21" t="s">
        <v>564</v>
      </c>
      <c r="C1112" s="21" t="s">
        <v>688</v>
      </c>
      <c r="D1112" s="117" t="s">
        <v>337</v>
      </c>
      <c r="E1112" s="21" t="s">
        <v>9</v>
      </c>
      <c r="F1112" s="21" t="s">
        <v>416</v>
      </c>
      <c r="G1112" s="21">
        <v>117.3</v>
      </c>
      <c r="H1112" s="21"/>
      <c r="I1112" s="117" t="s">
        <v>325</v>
      </c>
      <c r="J1112" s="117" t="s">
        <v>325</v>
      </c>
      <c r="K1112" s="118">
        <v>28.6</v>
      </c>
      <c r="L1112" s="21"/>
      <c r="M1112" s="21"/>
      <c r="N1112" s="21"/>
      <c r="O1112" s="21"/>
      <c r="P1112" s="21">
        <v>88.7</v>
      </c>
      <c r="Q1112" s="21"/>
      <c r="R1112" s="21" t="s">
        <v>329</v>
      </c>
      <c r="S1112" s="119">
        <f>DATABASE_Table[[#This Row],[Inicial Asking Price (€) (Total)]]-DATABASE_Table[[#This Row],[Vista membership]]-DATABASE_Table[[#This Row],[FF&amp;E]]</f>
        <v>660671.80000000005</v>
      </c>
      <c r="T1112" s="125">
        <v>725271.8</v>
      </c>
      <c r="U1112" s="124">
        <v>790000</v>
      </c>
      <c r="V1112" s="21">
        <v>24600</v>
      </c>
      <c r="W1112" s="21">
        <v>40000</v>
      </c>
      <c r="X1112" s="73">
        <f>DATABASE_Table[[#This Row],[Current Asking price( Total)]]-DATABASE_Table[[#This Row],[Vista membership]]-DATABASE_Table[[#This Row],[FF&amp;E]]</f>
        <v>725400</v>
      </c>
      <c r="Y1112" s="126"/>
      <c r="Z1112" s="124">
        <v>790000</v>
      </c>
      <c r="AA1112" s="73">
        <f>DATABASE_Table[[#This Row],[Sell price (Total)]]-DATABASE_Table[[#This Row],[FF&amp;E]]-DATABASE_Table[[#This Row],[Vista membership]]</f>
        <v>725400</v>
      </c>
      <c r="AB1112" s="74">
        <v>45807</v>
      </c>
      <c r="AC1112" s="74" t="str">
        <f t="shared" si="17"/>
        <v>Q2 2025</v>
      </c>
      <c r="AD1112" s="123"/>
      <c r="AE1112" s="69"/>
      <c r="AF1112" s="21" t="s">
        <v>10</v>
      </c>
      <c r="AG1112" s="21" t="s">
        <v>35</v>
      </c>
      <c r="AH1112" s="122" t="s">
        <v>43</v>
      </c>
      <c r="AI1112" s="122" t="s">
        <v>44</v>
      </c>
      <c r="AJ1112" s="122" t="s">
        <v>45</v>
      </c>
      <c r="AK1112" s="122" t="s">
        <v>46</v>
      </c>
      <c r="AL1112" s="21" t="s">
        <v>47</v>
      </c>
      <c r="AM1112" s="122" t="s">
        <v>42</v>
      </c>
    </row>
    <row r="1113" spans="1:39" customFormat="1" ht="15.75" customHeight="1" x14ac:dyDescent="0.3">
      <c r="A1113" t="s">
        <v>42</v>
      </c>
      <c r="B1113" s="21" t="s">
        <v>564</v>
      </c>
      <c r="C1113" s="21" t="s">
        <v>688</v>
      </c>
      <c r="D1113" s="117" t="s">
        <v>390</v>
      </c>
      <c r="E1113" s="21" t="s">
        <v>9</v>
      </c>
      <c r="F1113" s="21" t="s">
        <v>319</v>
      </c>
      <c r="G1113" s="21">
        <v>138.88</v>
      </c>
      <c r="H1113" s="21"/>
      <c r="I1113" s="117" t="s">
        <v>325</v>
      </c>
      <c r="J1113" s="117" t="s">
        <v>325</v>
      </c>
      <c r="K1113" s="118"/>
      <c r="L1113" s="21"/>
      <c r="M1113" s="21"/>
      <c r="N1113" s="21">
        <v>48.41</v>
      </c>
      <c r="O1113" s="21"/>
      <c r="P1113" s="21">
        <v>90.47</v>
      </c>
      <c r="Q1113" s="21"/>
      <c r="R1113" s="21" t="s">
        <v>329</v>
      </c>
      <c r="S1113" s="119">
        <f>DATABASE_Table[[#This Row],[Inicial Asking Price (€) (Total)]]-DATABASE_Table[[#This Row],[Vista membership]]-DATABASE_Table[[#This Row],[FF&amp;E]]</f>
        <v>807541.228</v>
      </c>
      <c r="T1113" s="125">
        <v>872141.228</v>
      </c>
      <c r="U1113" s="124">
        <v>940000</v>
      </c>
      <c r="V1113" s="21">
        <v>24600</v>
      </c>
      <c r="W1113" s="21">
        <v>40000</v>
      </c>
      <c r="X1113" s="73">
        <f>DATABASE_Table[[#This Row],[Current Asking price( Total)]]-DATABASE_Table[[#This Row],[Vista membership]]-DATABASE_Table[[#This Row],[FF&amp;E]]</f>
        <v>875400</v>
      </c>
      <c r="Y1113" s="126"/>
      <c r="Z1113" s="124">
        <v>940000</v>
      </c>
      <c r="AA1113" s="73">
        <f>DATABASE_Table[[#This Row],[Sell price (Total)]]-DATABASE_Table[[#This Row],[FF&amp;E]]-DATABASE_Table[[#This Row],[Vista membership]]</f>
        <v>875400</v>
      </c>
      <c r="AB1113" s="74">
        <v>45807</v>
      </c>
      <c r="AC1113" s="74" t="str">
        <f t="shared" si="17"/>
        <v>Q2 2025</v>
      </c>
      <c r="AD1113" s="123"/>
      <c r="AE1113" s="69"/>
      <c r="AF1113" s="21" t="s">
        <v>10</v>
      </c>
      <c r="AG1113" s="21" t="s">
        <v>35</v>
      </c>
      <c r="AH1113" s="122" t="s">
        <v>43</v>
      </c>
      <c r="AI1113" s="122" t="s">
        <v>44</v>
      </c>
      <c r="AJ1113" s="122" t="s">
        <v>45</v>
      </c>
      <c r="AK1113" s="122" t="s">
        <v>46</v>
      </c>
      <c r="AL1113" s="21" t="s">
        <v>47</v>
      </c>
      <c r="AM1113" s="122" t="s">
        <v>42</v>
      </c>
    </row>
    <row r="1114" spans="1:39" customFormat="1" ht="15.75" customHeight="1" x14ac:dyDescent="0.3">
      <c r="A1114" t="s">
        <v>42</v>
      </c>
      <c r="B1114" s="21" t="s">
        <v>564</v>
      </c>
      <c r="C1114" s="21" t="s">
        <v>688</v>
      </c>
      <c r="D1114" s="117" t="s">
        <v>391</v>
      </c>
      <c r="E1114" s="21" t="s">
        <v>9</v>
      </c>
      <c r="F1114" s="21" t="s">
        <v>416</v>
      </c>
      <c r="G1114" s="21">
        <v>131.33000000000001</v>
      </c>
      <c r="H1114" s="21"/>
      <c r="I1114" s="117" t="s">
        <v>325</v>
      </c>
      <c r="J1114" s="117" t="s">
        <v>325</v>
      </c>
      <c r="K1114" s="118"/>
      <c r="L1114" s="21"/>
      <c r="M1114" s="21"/>
      <c r="N1114" s="21">
        <v>34.020000000000003</v>
      </c>
      <c r="O1114" s="21"/>
      <c r="P1114" s="21">
        <v>97.31</v>
      </c>
      <c r="Q1114" s="21"/>
      <c r="R1114" s="21" t="s">
        <v>329</v>
      </c>
      <c r="S1114" s="119">
        <f>DATABASE_Table[[#This Row],[Inicial Asking Price (€) (Total)]]-DATABASE_Table[[#This Row],[Vista membership]]-DATABASE_Table[[#This Row],[FF&amp;E]]</f>
        <v>826897.58559999999</v>
      </c>
      <c r="T1114" s="125">
        <v>891497.58559999999</v>
      </c>
      <c r="U1114" s="124">
        <v>960000</v>
      </c>
      <c r="V1114" s="21">
        <v>24600</v>
      </c>
      <c r="W1114" s="21">
        <v>40000</v>
      </c>
      <c r="X1114" s="73">
        <f>DATABASE_Table[[#This Row],[Current Asking price( Total)]]-DATABASE_Table[[#This Row],[Vista membership]]-DATABASE_Table[[#This Row],[FF&amp;E]]</f>
        <v>895400</v>
      </c>
      <c r="Y1114" s="126"/>
      <c r="Z1114" s="124">
        <v>960000</v>
      </c>
      <c r="AA1114" s="73">
        <f>DATABASE_Table[[#This Row],[Sell price (Total)]]-DATABASE_Table[[#This Row],[FF&amp;E]]-DATABASE_Table[[#This Row],[Vista membership]]</f>
        <v>895400</v>
      </c>
      <c r="AB1114" s="74">
        <v>45807</v>
      </c>
      <c r="AC1114" s="74" t="str">
        <f t="shared" si="17"/>
        <v>Q2 2025</v>
      </c>
      <c r="AD1114" s="123"/>
      <c r="AE1114" s="69"/>
      <c r="AF1114" s="21" t="s">
        <v>10</v>
      </c>
      <c r="AG1114" s="21" t="s">
        <v>35</v>
      </c>
      <c r="AH1114" s="122" t="s">
        <v>43</v>
      </c>
      <c r="AI1114" s="122" t="s">
        <v>44</v>
      </c>
      <c r="AJ1114" s="122" t="s">
        <v>45</v>
      </c>
      <c r="AK1114" s="122" t="s">
        <v>46</v>
      </c>
      <c r="AL1114" s="21" t="s">
        <v>47</v>
      </c>
      <c r="AM1114" s="122" t="s">
        <v>42</v>
      </c>
    </row>
    <row r="1115" spans="1:39" customFormat="1" ht="15.75" customHeight="1" x14ac:dyDescent="0.3">
      <c r="A1115" t="s">
        <v>42</v>
      </c>
      <c r="B1115" s="21" t="s">
        <v>564</v>
      </c>
      <c r="C1115" s="21" t="s">
        <v>688</v>
      </c>
      <c r="D1115" s="117" t="s">
        <v>393</v>
      </c>
      <c r="E1115" s="21" t="s">
        <v>9</v>
      </c>
      <c r="F1115" s="21" t="s">
        <v>416</v>
      </c>
      <c r="G1115" s="21">
        <v>121.24</v>
      </c>
      <c r="H1115" s="21"/>
      <c r="I1115" s="117" t="s">
        <v>325</v>
      </c>
      <c r="J1115" s="117" t="s">
        <v>325</v>
      </c>
      <c r="K1115" s="118"/>
      <c r="L1115" s="21"/>
      <c r="M1115" s="21"/>
      <c r="N1115" s="21">
        <v>31.74</v>
      </c>
      <c r="O1115" s="21"/>
      <c r="P1115" s="21">
        <v>89.5</v>
      </c>
      <c r="Q1115" s="21"/>
      <c r="R1115" s="21" t="s">
        <v>329</v>
      </c>
      <c r="S1115" s="119">
        <f>DATABASE_Table[[#This Row],[Inicial Asking Price (€) (Total)]]-DATABASE_Table[[#This Row],[Vista membership]]-DATABASE_Table[[#This Row],[FF&amp;E]]</f>
        <v>750925.16</v>
      </c>
      <c r="T1115" s="125">
        <v>815525.16</v>
      </c>
      <c r="U1115" s="124">
        <v>890000</v>
      </c>
      <c r="V1115" s="21">
        <v>24600</v>
      </c>
      <c r="W1115" s="21">
        <v>40000</v>
      </c>
      <c r="X1115" s="73">
        <f>DATABASE_Table[[#This Row],[Current Asking price( Total)]]-DATABASE_Table[[#This Row],[Vista membership]]-DATABASE_Table[[#This Row],[FF&amp;E]]</f>
        <v>825400</v>
      </c>
      <c r="Y1115" s="126"/>
      <c r="Z1115" s="124">
        <v>890000</v>
      </c>
      <c r="AA1115" s="73">
        <f>DATABASE_Table[[#This Row],[Sell price (Total)]]-DATABASE_Table[[#This Row],[FF&amp;E]]-DATABASE_Table[[#This Row],[Vista membership]]</f>
        <v>825400</v>
      </c>
      <c r="AB1115" s="74">
        <v>45807</v>
      </c>
      <c r="AC1115" s="74" t="str">
        <f t="shared" si="17"/>
        <v>Q2 2025</v>
      </c>
      <c r="AD1115" s="123"/>
      <c r="AE1115" s="69"/>
      <c r="AF1115" s="21" t="s">
        <v>10</v>
      </c>
      <c r="AG1115" s="21" t="s">
        <v>35</v>
      </c>
      <c r="AH1115" s="122" t="s">
        <v>43</v>
      </c>
      <c r="AI1115" s="122" t="s">
        <v>44</v>
      </c>
      <c r="AJ1115" s="122" t="s">
        <v>45</v>
      </c>
      <c r="AK1115" s="122" t="s">
        <v>46</v>
      </c>
      <c r="AL1115" s="21" t="s">
        <v>47</v>
      </c>
      <c r="AM1115" s="122" t="s">
        <v>42</v>
      </c>
    </row>
    <row r="1116" spans="1:39" customFormat="1" ht="15.75" customHeight="1" x14ac:dyDescent="0.3">
      <c r="A1116" t="s">
        <v>42</v>
      </c>
      <c r="B1116" s="21" t="s">
        <v>564</v>
      </c>
      <c r="C1116" s="21" t="s">
        <v>688</v>
      </c>
      <c r="D1116" s="117" t="s">
        <v>394</v>
      </c>
      <c r="E1116" s="21" t="s">
        <v>9</v>
      </c>
      <c r="F1116" s="21" t="s">
        <v>416</v>
      </c>
      <c r="G1116" s="21">
        <v>117.38</v>
      </c>
      <c r="H1116" s="21"/>
      <c r="I1116" s="117" t="s">
        <v>325</v>
      </c>
      <c r="J1116" s="117" t="s">
        <v>325</v>
      </c>
      <c r="K1116" s="118"/>
      <c r="L1116" s="21"/>
      <c r="M1116" s="21"/>
      <c r="N1116" s="21">
        <v>28.5</v>
      </c>
      <c r="O1116" s="21"/>
      <c r="P1116" s="21">
        <v>88.88</v>
      </c>
      <c r="Q1116" s="21"/>
      <c r="R1116" s="21" t="s">
        <v>329</v>
      </c>
      <c r="S1116" s="119">
        <f>DATABASE_Table[[#This Row],[Inicial Asking Price (€) (Total)]]-DATABASE_Table[[#This Row],[Vista membership]]-DATABASE_Table[[#This Row],[FF&amp;E]]</f>
        <v>741583.81440000003</v>
      </c>
      <c r="T1116" s="125">
        <v>806183.81440000003</v>
      </c>
      <c r="U1116" s="124">
        <v>890000</v>
      </c>
      <c r="V1116" s="21">
        <v>24600</v>
      </c>
      <c r="W1116" s="21">
        <v>40000</v>
      </c>
      <c r="X1116" s="73">
        <f>DATABASE_Table[[#This Row],[Current Asking price( Total)]]-DATABASE_Table[[#This Row],[Vista membership]]-DATABASE_Table[[#This Row],[FF&amp;E]]</f>
        <v>825400</v>
      </c>
      <c r="Y1116" s="126"/>
      <c r="Z1116" s="124">
        <v>890000</v>
      </c>
      <c r="AA1116" s="73">
        <f>DATABASE_Table[[#This Row],[Sell price (Total)]]-DATABASE_Table[[#This Row],[FF&amp;E]]-DATABASE_Table[[#This Row],[Vista membership]]</f>
        <v>825400</v>
      </c>
      <c r="AB1116" s="74">
        <v>45807</v>
      </c>
      <c r="AC1116" s="74" t="str">
        <f t="shared" si="17"/>
        <v>Q2 2025</v>
      </c>
      <c r="AD1116" s="123"/>
      <c r="AE1116" s="69"/>
      <c r="AF1116" s="21" t="s">
        <v>10</v>
      </c>
      <c r="AG1116" s="21" t="s">
        <v>35</v>
      </c>
      <c r="AH1116" s="122" t="s">
        <v>43</v>
      </c>
      <c r="AI1116" s="122" t="s">
        <v>44</v>
      </c>
      <c r="AJ1116" s="122" t="s">
        <v>45</v>
      </c>
      <c r="AK1116" s="122" t="s">
        <v>46</v>
      </c>
      <c r="AL1116" s="21" t="s">
        <v>47</v>
      </c>
      <c r="AM1116" s="122" t="s">
        <v>42</v>
      </c>
    </row>
    <row r="1117" spans="1:39" customFormat="1" ht="15.75" customHeight="1" x14ac:dyDescent="0.3">
      <c r="A1117" t="s">
        <v>42</v>
      </c>
      <c r="B1117" s="21" t="s">
        <v>564</v>
      </c>
      <c r="C1117" s="21" t="s">
        <v>688</v>
      </c>
      <c r="D1117" s="117" t="s">
        <v>395</v>
      </c>
      <c r="E1117" s="21" t="s">
        <v>9</v>
      </c>
      <c r="F1117" s="21" t="s">
        <v>420</v>
      </c>
      <c r="G1117" s="21">
        <v>477.84</v>
      </c>
      <c r="H1117" s="21"/>
      <c r="I1117" s="117" t="s">
        <v>325</v>
      </c>
      <c r="J1117" s="117" t="s">
        <v>325</v>
      </c>
      <c r="K1117" s="118"/>
      <c r="L1117" s="21"/>
      <c r="M1117" s="21"/>
      <c r="N1117" s="21">
        <v>295.16000000000003</v>
      </c>
      <c r="O1117" s="21"/>
      <c r="P1117" s="21">
        <v>182.68</v>
      </c>
      <c r="Q1117" s="21"/>
      <c r="R1117" s="21" t="s">
        <v>329</v>
      </c>
      <c r="S1117" s="119">
        <f>DATABASE_Table[[#This Row],[Inicial Asking Price (€) (Total)]]-DATABASE_Table[[#This Row],[Vista membership]]-DATABASE_Table[[#This Row],[FF&amp;E]]</f>
        <v>2125235.7856000001</v>
      </c>
      <c r="T1117" s="125">
        <v>2249835.7856000001</v>
      </c>
      <c r="U1117" s="124">
        <v>2380000</v>
      </c>
      <c r="V1117" s="21">
        <v>24600</v>
      </c>
      <c r="W1117" s="21">
        <v>100000</v>
      </c>
      <c r="X1117" s="73">
        <f>DATABASE_Table[[#This Row],[Current Asking price( Total)]]-DATABASE_Table[[#This Row],[Vista membership]]-DATABASE_Table[[#This Row],[FF&amp;E]]</f>
        <v>2255400</v>
      </c>
      <c r="Y1117" s="126"/>
      <c r="Z1117" s="124">
        <v>2380000</v>
      </c>
      <c r="AA1117" s="73">
        <f>DATABASE_Table[[#This Row],[Sell price (Total)]]-DATABASE_Table[[#This Row],[FF&amp;E]]-DATABASE_Table[[#This Row],[Vista membership]]</f>
        <v>2255400</v>
      </c>
      <c r="AB1117" s="74">
        <v>45807</v>
      </c>
      <c r="AC1117" s="74" t="str">
        <f t="shared" si="17"/>
        <v>Q2 2025</v>
      </c>
      <c r="AD1117" s="123"/>
      <c r="AE1117" s="69"/>
      <c r="AF1117" s="21" t="s">
        <v>10</v>
      </c>
      <c r="AG1117" s="21" t="s">
        <v>35</v>
      </c>
      <c r="AH1117" s="122" t="s">
        <v>43</v>
      </c>
      <c r="AI1117" s="122" t="s">
        <v>44</v>
      </c>
      <c r="AJ1117" s="122" t="s">
        <v>45</v>
      </c>
      <c r="AK1117" s="122" t="s">
        <v>46</v>
      </c>
      <c r="AL1117" s="21" t="s">
        <v>47</v>
      </c>
      <c r="AM1117" s="122" t="s">
        <v>42</v>
      </c>
    </row>
    <row r="1118" spans="1:39" customFormat="1" ht="15.75" customHeight="1" x14ac:dyDescent="0.3">
      <c r="A1118" t="s">
        <v>42</v>
      </c>
      <c r="B1118" s="21" t="s">
        <v>564</v>
      </c>
      <c r="C1118" s="21" t="s">
        <v>688</v>
      </c>
      <c r="D1118" s="117" t="s">
        <v>396</v>
      </c>
      <c r="E1118" s="21" t="s">
        <v>9</v>
      </c>
      <c r="F1118" s="21" t="s">
        <v>416</v>
      </c>
      <c r="G1118" s="21">
        <v>127.58</v>
      </c>
      <c r="H1118" s="21"/>
      <c r="I1118" s="117" t="s">
        <v>325</v>
      </c>
      <c r="J1118" s="117" t="s">
        <v>325</v>
      </c>
      <c r="K1118" s="118"/>
      <c r="L1118" s="21"/>
      <c r="M1118" s="21"/>
      <c r="N1118" s="21">
        <v>38.020000000000003</v>
      </c>
      <c r="O1118" s="21"/>
      <c r="P1118" s="21">
        <v>89.56</v>
      </c>
      <c r="Q1118" s="21"/>
      <c r="R1118" s="21" t="s">
        <v>329</v>
      </c>
      <c r="S1118" s="119">
        <f>DATABASE_Table[[#This Row],[Inicial Asking Price (€) (Total)]]-DATABASE_Table[[#This Row],[Vista membership]]-DATABASE_Table[[#This Row],[FF&amp;E]]</f>
        <v>765820.94559999998</v>
      </c>
      <c r="T1118" s="125">
        <v>830420.94559999998</v>
      </c>
      <c r="U1118" s="124">
        <v>900000</v>
      </c>
      <c r="V1118" s="21">
        <v>24600</v>
      </c>
      <c r="W1118" s="21">
        <v>40000</v>
      </c>
      <c r="X1118" s="73">
        <f>DATABASE_Table[[#This Row],[Current Asking price( Total)]]-DATABASE_Table[[#This Row],[Vista membership]]-DATABASE_Table[[#This Row],[FF&amp;E]]</f>
        <v>835400</v>
      </c>
      <c r="Y1118" s="126"/>
      <c r="Z1118" s="124">
        <v>900000</v>
      </c>
      <c r="AA1118" s="73">
        <f>DATABASE_Table[[#This Row],[Sell price (Total)]]-DATABASE_Table[[#This Row],[FF&amp;E]]-DATABASE_Table[[#This Row],[Vista membership]]</f>
        <v>835400</v>
      </c>
      <c r="AB1118" s="74">
        <v>45807</v>
      </c>
      <c r="AC1118" s="74" t="str">
        <f t="shared" si="17"/>
        <v>Q2 2025</v>
      </c>
      <c r="AD1118" s="123"/>
      <c r="AE1118" s="69"/>
      <c r="AF1118" s="21" t="s">
        <v>10</v>
      </c>
      <c r="AG1118" s="21" t="s">
        <v>35</v>
      </c>
      <c r="AH1118" s="122" t="s">
        <v>43</v>
      </c>
      <c r="AI1118" s="122" t="s">
        <v>44</v>
      </c>
      <c r="AJ1118" s="122" t="s">
        <v>45</v>
      </c>
      <c r="AK1118" s="122" t="s">
        <v>46</v>
      </c>
      <c r="AL1118" s="21" t="s">
        <v>47</v>
      </c>
      <c r="AM1118" s="122" t="s">
        <v>42</v>
      </c>
    </row>
    <row r="1119" spans="1:39" customFormat="1" ht="15.75" customHeight="1" x14ac:dyDescent="0.3">
      <c r="A1119" t="s">
        <v>42</v>
      </c>
      <c r="B1119" s="21" t="s">
        <v>564</v>
      </c>
      <c r="C1119" s="21" t="s">
        <v>688</v>
      </c>
      <c r="D1119" s="117" t="s">
        <v>397</v>
      </c>
      <c r="E1119" s="21" t="s">
        <v>9</v>
      </c>
      <c r="F1119" s="21" t="s">
        <v>416</v>
      </c>
      <c r="G1119" s="21">
        <v>116.75</v>
      </c>
      <c r="H1119" s="21"/>
      <c r="I1119" s="117" t="s">
        <v>325</v>
      </c>
      <c r="J1119" s="117" t="s">
        <v>325</v>
      </c>
      <c r="K1119" s="118"/>
      <c r="L1119" s="21"/>
      <c r="M1119" s="21"/>
      <c r="N1119" s="21">
        <v>28.58</v>
      </c>
      <c r="O1119" s="21"/>
      <c r="P1119" s="21">
        <v>88.17</v>
      </c>
      <c r="Q1119" s="21"/>
      <c r="R1119" s="21" t="s">
        <v>329</v>
      </c>
      <c r="S1119" s="119">
        <f>DATABASE_Table[[#This Row],[Inicial Asking Price (€) (Total)]]-DATABASE_Table[[#This Row],[Vista membership]]-DATABASE_Table[[#This Row],[FF&amp;E]]</f>
        <v>743066.4192</v>
      </c>
      <c r="T1119" s="125">
        <v>807666.4192</v>
      </c>
      <c r="U1119" s="124">
        <v>900000</v>
      </c>
      <c r="V1119" s="21">
        <v>24600</v>
      </c>
      <c r="W1119" s="21">
        <v>40000</v>
      </c>
      <c r="X1119" s="73">
        <f>DATABASE_Table[[#This Row],[Current Asking price( Total)]]-DATABASE_Table[[#This Row],[Vista membership]]-DATABASE_Table[[#This Row],[FF&amp;E]]</f>
        <v>835400</v>
      </c>
      <c r="Y1119" s="126"/>
      <c r="Z1119" s="124">
        <v>900000</v>
      </c>
      <c r="AA1119" s="73">
        <f>DATABASE_Table[[#This Row],[Sell price (Total)]]-DATABASE_Table[[#This Row],[FF&amp;E]]-DATABASE_Table[[#This Row],[Vista membership]]</f>
        <v>835400</v>
      </c>
      <c r="AB1119" s="74">
        <v>45807</v>
      </c>
      <c r="AC1119" s="74" t="str">
        <f t="shared" si="17"/>
        <v>Q2 2025</v>
      </c>
      <c r="AD1119" s="123"/>
      <c r="AE1119" s="69"/>
      <c r="AF1119" s="21" t="s">
        <v>10</v>
      </c>
      <c r="AG1119" s="21" t="s">
        <v>35</v>
      </c>
      <c r="AH1119" s="122" t="s">
        <v>43</v>
      </c>
      <c r="AI1119" s="122" t="s">
        <v>44</v>
      </c>
      <c r="AJ1119" s="122" t="s">
        <v>45</v>
      </c>
      <c r="AK1119" s="122" t="s">
        <v>46</v>
      </c>
      <c r="AL1119" s="21" t="s">
        <v>47</v>
      </c>
      <c r="AM1119" s="122" t="s">
        <v>42</v>
      </c>
    </row>
    <row r="1120" spans="1:39" customFormat="1" ht="15.75" customHeight="1" x14ac:dyDescent="0.3">
      <c r="A1120" t="s">
        <v>42</v>
      </c>
      <c r="B1120" s="21" t="s">
        <v>564</v>
      </c>
      <c r="C1120" s="21" t="s">
        <v>688</v>
      </c>
      <c r="D1120" s="117" t="s">
        <v>398</v>
      </c>
      <c r="E1120" s="21" t="s">
        <v>9</v>
      </c>
      <c r="F1120" s="21" t="s">
        <v>319</v>
      </c>
      <c r="G1120" s="21">
        <v>259.44</v>
      </c>
      <c r="H1120" s="21"/>
      <c r="I1120" s="117" t="s">
        <v>325</v>
      </c>
      <c r="J1120" s="117" t="s">
        <v>325</v>
      </c>
      <c r="K1120" s="118"/>
      <c r="L1120" s="21"/>
      <c r="M1120" s="21"/>
      <c r="N1120" s="21">
        <v>164.51</v>
      </c>
      <c r="O1120" s="21"/>
      <c r="P1120" s="21">
        <v>94.93</v>
      </c>
      <c r="Q1120" s="21"/>
      <c r="R1120" s="21" t="s">
        <v>329</v>
      </c>
      <c r="S1120" s="119">
        <f>DATABASE_Table[[#This Row],[Inicial Asking Price (€) (Total)]]-DATABASE_Table[[#This Row],[Vista membership]]-DATABASE_Table[[#This Row],[FF&amp;E]]</f>
        <v>990538.43360000011</v>
      </c>
      <c r="T1120" s="125">
        <v>1065138.4336000001</v>
      </c>
      <c r="U1120" s="124">
        <v>1170000</v>
      </c>
      <c r="V1120" s="21">
        <v>24600</v>
      </c>
      <c r="W1120" s="21">
        <v>50000</v>
      </c>
      <c r="X1120" s="73">
        <f>DATABASE_Table[[#This Row],[Current Asking price( Total)]]-DATABASE_Table[[#This Row],[Vista membership]]-DATABASE_Table[[#This Row],[FF&amp;E]]</f>
        <v>1095400</v>
      </c>
      <c r="Y1120" s="126"/>
      <c r="Z1120" s="124">
        <v>1170000</v>
      </c>
      <c r="AA1120" s="73">
        <f>DATABASE_Table[[#This Row],[Sell price (Total)]]-DATABASE_Table[[#This Row],[FF&amp;E]]-DATABASE_Table[[#This Row],[Vista membership]]</f>
        <v>1095400</v>
      </c>
      <c r="AB1120" s="74">
        <v>45807</v>
      </c>
      <c r="AC1120" s="74" t="str">
        <f t="shared" si="17"/>
        <v>Q2 2025</v>
      </c>
      <c r="AD1120" s="123"/>
      <c r="AE1120" s="69"/>
      <c r="AF1120" s="21" t="s">
        <v>10</v>
      </c>
      <c r="AG1120" s="21" t="s">
        <v>35</v>
      </c>
      <c r="AH1120" s="122" t="s">
        <v>43</v>
      </c>
      <c r="AI1120" s="122" t="s">
        <v>44</v>
      </c>
      <c r="AJ1120" s="122" t="s">
        <v>45</v>
      </c>
      <c r="AK1120" s="122" t="s">
        <v>46</v>
      </c>
      <c r="AL1120" s="21" t="s">
        <v>47</v>
      </c>
      <c r="AM1120" s="122" t="s">
        <v>42</v>
      </c>
    </row>
    <row r="1121" spans="1:39" customFormat="1" ht="15.75" customHeight="1" x14ac:dyDescent="0.3">
      <c r="A1121" t="s">
        <v>42</v>
      </c>
      <c r="B1121" s="21" t="s">
        <v>564</v>
      </c>
      <c r="C1121" s="21" t="s">
        <v>688</v>
      </c>
      <c r="D1121" s="117" t="s">
        <v>399</v>
      </c>
      <c r="E1121" s="21" t="s">
        <v>9</v>
      </c>
      <c r="F1121" s="21" t="s">
        <v>319</v>
      </c>
      <c r="G1121" s="21">
        <v>274.99</v>
      </c>
      <c r="H1121" s="21"/>
      <c r="I1121" s="117" t="s">
        <v>325</v>
      </c>
      <c r="J1121" s="117" t="s">
        <v>325</v>
      </c>
      <c r="K1121" s="118"/>
      <c r="L1121" s="21"/>
      <c r="M1121" s="21"/>
      <c r="N1121" s="21">
        <v>180.36</v>
      </c>
      <c r="O1121" s="21"/>
      <c r="P1121" s="21">
        <v>94.63</v>
      </c>
      <c r="Q1121" s="21"/>
      <c r="R1121" s="21" t="s">
        <v>329</v>
      </c>
      <c r="S1121" s="119">
        <f>DATABASE_Table[[#This Row],[Inicial Asking Price (€) (Total)]]-DATABASE_Table[[#This Row],[Vista membership]]-DATABASE_Table[[#This Row],[FF&amp;E]]</f>
        <v>999681.57759999996</v>
      </c>
      <c r="T1121" s="125">
        <v>1074281.5776</v>
      </c>
      <c r="U1121" s="124">
        <v>1190000</v>
      </c>
      <c r="V1121" s="21">
        <v>24600</v>
      </c>
      <c r="W1121" s="21">
        <v>50000</v>
      </c>
      <c r="X1121" s="73">
        <f>DATABASE_Table[[#This Row],[Current Asking price( Total)]]-DATABASE_Table[[#This Row],[Vista membership]]-DATABASE_Table[[#This Row],[FF&amp;E]]</f>
        <v>1115400</v>
      </c>
      <c r="Y1121" s="126"/>
      <c r="Z1121" s="124">
        <v>1190000</v>
      </c>
      <c r="AA1121" s="73">
        <f>DATABASE_Table[[#This Row],[Sell price (Total)]]-DATABASE_Table[[#This Row],[FF&amp;E]]-DATABASE_Table[[#This Row],[Vista membership]]</f>
        <v>1115400</v>
      </c>
      <c r="AB1121" s="74">
        <v>45807</v>
      </c>
      <c r="AC1121" s="74" t="str">
        <f t="shared" si="17"/>
        <v>Q2 2025</v>
      </c>
      <c r="AD1121" s="123"/>
      <c r="AE1121" s="69"/>
      <c r="AF1121" s="21" t="s">
        <v>10</v>
      </c>
      <c r="AG1121" s="21" t="s">
        <v>35</v>
      </c>
      <c r="AH1121" s="122" t="s">
        <v>43</v>
      </c>
      <c r="AI1121" s="122" t="s">
        <v>44</v>
      </c>
      <c r="AJ1121" s="122" t="s">
        <v>45</v>
      </c>
      <c r="AK1121" s="122" t="s">
        <v>46</v>
      </c>
      <c r="AL1121" s="21" t="s">
        <v>47</v>
      </c>
      <c r="AM1121" s="122" t="s">
        <v>42</v>
      </c>
    </row>
    <row r="1122" spans="1:39" customFormat="1" ht="15.75" customHeight="1" x14ac:dyDescent="0.3">
      <c r="A1122" t="s">
        <v>42</v>
      </c>
      <c r="B1122" s="21" t="s">
        <v>564</v>
      </c>
      <c r="C1122" s="21" t="s">
        <v>688</v>
      </c>
      <c r="D1122" s="117" t="s">
        <v>338</v>
      </c>
      <c r="E1122" s="21" t="s">
        <v>9</v>
      </c>
      <c r="F1122" s="21" t="s">
        <v>319</v>
      </c>
      <c r="G1122" s="21">
        <v>117.29</v>
      </c>
      <c r="H1122" s="21"/>
      <c r="I1122" s="117" t="s">
        <v>325</v>
      </c>
      <c r="J1122" s="117" t="s">
        <v>325</v>
      </c>
      <c r="K1122" s="118">
        <v>28.25</v>
      </c>
      <c r="L1122" s="21"/>
      <c r="M1122" s="21"/>
      <c r="N1122" s="21"/>
      <c r="O1122" s="21"/>
      <c r="P1122" s="21">
        <v>89.04</v>
      </c>
      <c r="Q1122" s="21"/>
      <c r="R1122" s="21" t="s">
        <v>329</v>
      </c>
      <c r="S1122" s="119">
        <f>DATABASE_Table[[#This Row],[Inicial Asking Price (€) (Total)]]-DATABASE_Table[[#This Row],[Vista membership]]-DATABASE_Table[[#This Row],[FF&amp;E]]</f>
        <v>662694.96</v>
      </c>
      <c r="T1122" s="125">
        <v>727294.96</v>
      </c>
      <c r="U1122" s="124">
        <v>790000</v>
      </c>
      <c r="V1122" s="21">
        <v>24600</v>
      </c>
      <c r="W1122" s="21">
        <v>40000</v>
      </c>
      <c r="X1122" s="73">
        <f>DATABASE_Table[[#This Row],[Current Asking price( Total)]]-DATABASE_Table[[#This Row],[Vista membership]]-DATABASE_Table[[#This Row],[FF&amp;E]]</f>
        <v>725400</v>
      </c>
      <c r="Y1122" s="126"/>
      <c r="Z1122" s="124">
        <v>790000</v>
      </c>
      <c r="AA1122" s="73">
        <f>DATABASE_Table[[#This Row],[Sell price (Total)]]-DATABASE_Table[[#This Row],[FF&amp;E]]-DATABASE_Table[[#This Row],[Vista membership]]</f>
        <v>725400</v>
      </c>
      <c r="AB1122" s="74">
        <v>45807</v>
      </c>
      <c r="AC1122" s="74" t="str">
        <f t="shared" si="17"/>
        <v>Q2 2025</v>
      </c>
      <c r="AD1122" s="123"/>
      <c r="AE1122" s="69"/>
      <c r="AF1122" s="21" t="s">
        <v>10</v>
      </c>
      <c r="AG1122" s="21" t="s">
        <v>35</v>
      </c>
      <c r="AH1122" s="122" t="s">
        <v>43</v>
      </c>
      <c r="AI1122" s="122" t="s">
        <v>44</v>
      </c>
      <c r="AJ1122" s="122" t="s">
        <v>45</v>
      </c>
      <c r="AK1122" s="122" t="s">
        <v>46</v>
      </c>
      <c r="AL1122" s="21" t="s">
        <v>47</v>
      </c>
      <c r="AM1122" s="122" t="s">
        <v>42</v>
      </c>
    </row>
    <row r="1123" spans="1:39" customFormat="1" ht="15.75" customHeight="1" x14ac:dyDescent="0.3">
      <c r="A1123" t="s">
        <v>42</v>
      </c>
      <c r="B1123" s="21" t="s">
        <v>564</v>
      </c>
      <c r="C1123" s="21" t="s">
        <v>688</v>
      </c>
      <c r="D1123" s="117" t="s">
        <v>339</v>
      </c>
      <c r="E1123" s="21" t="s">
        <v>9</v>
      </c>
      <c r="F1123" s="21" t="s">
        <v>416</v>
      </c>
      <c r="G1123" s="21">
        <v>118.14</v>
      </c>
      <c r="H1123" s="21"/>
      <c r="I1123" s="117" t="s">
        <v>325</v>
      </c>
      <c r="J1123" s="117" t="s">
        <v>325</v>
      </c>
      <c r="K1123" s="118">
        <v>28.84</v>
      </c>
      <c r="L1123" s="21"/>
      <c r="M1123" s="21"/>
      <c r="N1123" s="21"/>
      <c r="O1123" s="21"/>
      <c r="P1123" s="21">
        <v>89.3</v>
      </c>
      <c r="Q1123" s="21"/>
      <c r="R1123" s="21" t="s">
        <v>329</v>
      </c>
      <c r="S1123" s="119">
        <f>DATABASE_Table[[#This Row],[Inicial Asking Price (€) (Total)]]-DATABASE_Table[[#This Row],[Vista membership]]-DATABASE_Table[[#This Row],[FF&amp;E]]</f>
        <v>665511.4</v>
      </c>
      <c r="T1123" s="125">
        <v>730111.4</v>
      </c>
      <c r="U1123" s="124">
        <v>790000</v>
      </c>
      <c r="V1123" s="21">
        <v>24600</v>
      </c>
      <c r="W1123" s="21">
        <v>40000</v>
      </c>
      <c r="X1123" s="73">
        <f>DATABASE_Table[[#This Row],[Current Asking price( Total)]]-DATABASE_Table[[#This Row],[Vista membership]]-DATABASE_Table[[#This Row],[FF&amp;E]]</f>
        <v>725400</v>
      </c>
      <c r="Y1123" s="126"/>
      <c r="Z1123" s="124">
        <v>790000</v>
      </c>
      <c r="AA1123" s="73">
        <f>DATABASE_Table[[#This Row],[Sell price (Total)]]-DATABASE_Table[[#This Row],[FF&amp;E]]-DATABASE_Table[[#This Row],[Vista membership]]</f>
        <v>725400</v>
      </c>
      <c r="AB1123" s="74">
        <v>45807</v>
      </c>
      <c r="AC1123" s="74" t="str">
        <f t="shared" si="17"/>
        <v>Q2 2025</v>
      </c>
      <c r="AD1123" s="123"/>
      <c r="AE1123" s="69"/>
      <c r="AF1123" s="21" t="s">
        <v>10</v>
      </c>
      <c r="AG1123" s="21" t="s">
        <v>35</v>
      </c>
      <c r="AH1123" s="122" t="s">
        <v>43</v>
      </c>
      <c r="AI1123" s="122" t="s">
        <v>44</v>
      </c>
      <c r="AJ1123" s="122" t="s">
        <v>45</v>
      </c>
      <c r="AK1123" s="122" t="s">
        <v>46</v>
      </c>
      <c r="AL1123" s="21" t="s">
        <v>47</v>
      </c>
      <c r="AM1123" s="122" t="s">
        <v>42</v>
      </c>
    </row>
    <row r="1124" spans="1:39" customFormat="1" ht="15.75" customHeight="1" x14ac:dyDescent="0.3">
      <c r="A1124" t="s">
        <v>42</v>
      </c>
      <c r="B1124" s="21" t="s">
        <v>564</v>
      </c>
      <c r="C1124" s="21" t="s">
        <v>688</v>
      </c>
      <c r="D1124" s="117" t="s">
        <v>340</v>
      </c>
      <c r="E1124" s="21" t="s">
        <v>9</v>
      </c>
      <c r="F1124" s="21" t="s">
        <v>417</v>
      </c>
      <c r="G1124" s="21">
        <v>97.59</v>
      </c>
      <c r="H1124" s="21"/>
      <c r="I1124" s="117" t="s">
        <v>325</v>
      </c>
      <c r="J1124" s="117" t="s">
        <v>325</v>
      </c>
      <c r="K1124" s="118">
        <v>26.18</v>
      </c>
      <c r="L1124" s="21"/>
      <c r="M1124" s="21"/>
      <c r="N1124" s="21"/>
      <c r="O1124" s="21"/>
      <c r="P1124" s="21">
        <v>71.41</v>
      </c>
      <c r="Q1124" s="21"/>
      <c r="R1124" s="21" t="s">
        <v>329</v>
      </c>
      <c r="S1124" s="119">
        <f>DATABASE_Table[[#This Row],[Inicial Asking Price (€) (Total)]]-DATABASE_Table[[#This Row],[Vista membership]]-DATABASE_Table[[#This Row],[FF&amp;E]]</f>
        <v>572676.78500000003</v>
      </c>
      <c r="T1124" s="125">
        <v>627276.78500000003</v>
      </c>
      <c r="U1124" s="124">
        <v>680000</v>
      </c>
      <c r="V1124" s="21">
        <v>24600</v>
      </c>
      <c r="W1124" s="21">
        <v>30000</v>
      </c>
      <c r="X1124" s="73">
        <f>DATABASE_Table[[#This Row],[Current Asking price( Total)]]-DATABASE_Table[[#This Row],[Vista membership]]-DATABASE_Table[[#This Row],[FF&amp;E]]</f>
        <v>625400</v>
      </c>
      <c r="Y1124" s="126"/>
      <c r="Z1124" s="124">
        <v>680000</v>
      </c>
      <c r="AA1124" s="73">
        <f>DATABASE_Table[[#This Row],[Sell price (Total)]]-DATABASE_Table[[#This Row],[FF&amp;E]]-DATABASE_Table[[#This Row],[Vista membership]]</f>
        <v>625400</v>
      </c>
      <c r="AB1124" s="74">
        <v>45807</v>
      </c>
      <c r="AC1124" s="74" t="str">
        <f t="shared" si="17"/>
        <v>Q2 2025</v>
      </c>
      <c r="AD1124" s="123"/>
      <c r="AE1124" s="69"/>
      <c r="AF1124" s="21" t="s">
        <v>10</v>
      </c>
      <c r="AG1124" s="21" t="s">
        <v>35</v>
      </c>
      <c r="AH1124" s="122" t="s">
        <v>43</v>
      </c>
      <c r="AI1124" s="122" t="s">
        <v>44</v>
      </c>
      <c r="AJ1124" s="122" t="s">
        <v>45</v>
      </c>
      <c r="AK1124" s="122" t="s">
        <v>46</v>
      </c>
      <c r="AL1124" s="21" t="s">
        <v>47</v>
      </c>
      <c r="AM1124" s="122" t="s">
        <v>42</v>
      </c>
    </row>
    <row r="1125" spans="1:39" customFormat="1" ht="15.75" customHeight="1" x14ac:dyDescent="0.3">
      <c r="A1125" t="s">
        <v>42</v>
      </c>
      <c r="B1125" s="21" t="s">
        <v>564</v>
      </c>
      <c r="C1125" s="21" t="s">
        <v>688</v>
      </c>
      <c r="D1125" s="117" t="s">
        <v>341</v>
      </c>
      <c r="E1125" s="21" t="s">
        <v>9</v>
      </c>
      <c r="F1125" s="21" t="s">
        <v>418</v>
      </c>
      <c r="G1125" s="21">
        <v>166.6</v>
      </c>
      <c r="H1125" s="21"/>
      <c r="I1125" s="117" t="s">
        <v>325</v>
      </c>
      <c r="J1125" s="117" t="s">
        <v>325</v>
      </c>
      <c r="K1125" s="118">
        <v>51.68</v>
      </c>
      <c r="L1125" s="21"/>
      <c r="M1125" s="21"/>
      <c r="N1125" s="21"/>
      <c r="O1125" s="21"/>
      <c r="P1125" s="21">
        <v>114.92</v>
      </c>
      <c r="Q1125" s="21"/>
      <c r="R1125" s="21" t="s">
        <v>329</v>
      </c>
      <c r="S1125" s="119">
        <f>DATABASE_Table[[#This Row],[Inicial Asking Price (€) (Total)]]-DATABASE_Table[[#This Row],[Vista membership]]-DATABASE_Table[[#This Row],[FF&amp;E]]</f>
        <v>985565.96</v>
      </c>
      <c r="T1125" s="125">
        <v>1060165.96</v>
      </c>
      <c r="U1125" s="124">
        <v>1100000</v>
      </c>
      <c r="V1125" s="21">
        <v>24600</v>
      </c>
      <c r="W1125" s="21">
        <v>50000</v>
      </c>
      <c r="X1125" s="73">
        <f>DATABASE_Table[[#This Row],[Current Asking price( Total)]]-DATABASE_Table[[#This Row],[Vista membership]]-DATABASE_Table[[#This Row],[FF&amp;E]]</f>
        <v>1025400</v>
      </c>
      <c r="Y1125" s="126"/>
      <c r="Z1125" s="124">
        <v>1100000</v>
      </c>
      <c r="AA1125" s="73">
        <f>DATABASE_Table[[#This Row],[Sell price (Total)]]-DATABASE_Table[[#This Row],[FF&amp;E]]-DATABASE_Table[[#This Row],[Vista membership]]</f>
        <v>1025400</v>
      </c>
      <c r="AB1125" s="74">
        <v>45807</v>
      </c>
      <c r="AC1125" s="74" t="str">
        <f t="shared" si="17"/>
        <v>Q2 2025</v>
      </c>
      <c r="AD1125" s="123"/>
      <c r="AE1125" s="69"/>
      <c r="AF1125" s="21" t="s">
        <v>10</v>
      </c>
      <c r="AG1125" s="21" t="s">
        <v>35</v>
      </c>
      <c r="AH1125" s="122" t="s">
        <v>43</v>
      </c>
      <c r="AI1125" s="122" t="s">
        <v>44</v>
      </c>
      <c r="AJ1125" s="122" t="s">
        <v>45</v>
      </c>
      <c r="AK1125" s="122" t="s">
        <v>46</v>
      </c>
      <c r="AL1125" s="21" t="s">
        <v>47</v>
      </c>
      <c r="AM1125" s="122" t="s">
        <v>42</v>
      </c>
    </row>
    <row r="1126" spans="1:39" customFormat="1" ht="15.75" customHeight="1" x14ac:dyDescent="0.3">
      <c r="A1126" t="s">
        <v>42</v>
      </c>
      <c r="B1126" s="21" t="s">
        <v>564</v>
      </c>
      <c r="C1126" s="21" t="s">
        <v>688</v>
      </c>
      <c r="D1126" s="117" t="s">
        <v>342</v>
      </c>
      <c r="E1126" s="21" t="s">
        <v>9</v>
      </c>
      <c r="F1126" s="21" t="s">
        <v>419</v>
      </c>
      <c r="G1126" s="21">
        <v>97.45</v>
      </c>
      <c r="H1126" s="21"/>
      <c r="I1126" s="117" t="s">
        <v>325</v>
      </c>
      <c r="J1126" s="117" t="s">
        <v>325</v>
      </c>
      <c r="K1126" s="118">
        <v>34.520000000000003</v>
      </c>
      <c r="L1126" s="21"/>
      <c r="M1126" s="21"/>
      <c r="N1126" s="21"/>
      <c r="O1126" s="21"/>
      <c r="P1126" s="21">
        <v>62.93</v>
      </c>
      <c r="Q1126" s="21"/>
      <c r="R1126" s="21" t="s">
        <v>329</v>
      </c>
      <c r="S1126" s="119">
        <f>DATABASE_Table[[#This Row],[Inicial Asking Price (€) (Total)]]-DATABASE_Table[[#This Row],[Vista membership]]-DATABASE_Table[[#This Row],[FF&amp;E]]</f>
        <v>521702.81000000006</v>
      </c>
      <c r="T1126" s="125">
        <v>576302.81000000006</v>
      </c>
      <c r="U1126" s="124">
        <v>630000</v>
      </c>
      <c r="V1126" s="21">
        <v>24600</v>
      </c>
      <c r="W1126" s="21">
        <v>30000</v>
      </c>
      <c r="X1126" s="73">
        <f>DATABASE_Table[[#This Row],[Current Asking price( Total)]]-DATABASE_Table[[#This Row],[Vista membership]]-DATABASE_Table[[#This Row],[FF&amp;E]]</f>
        <v>575400</v>
      </c>
      <c r="Y1126" s="126"/>
      <c r="Z1126" s="124">
        <v>630000</v>
      </c>
      <c r="AA1126" s="73">
        <f>DATABASE_Table[[#This Row],[Sell price (Total)]]-DATABASE_Table[[#This Row],[FF&amp;E]]-DATABASE_Table[[#This Row],[Vista membership]]</f>
        <v>575400</v>
      </c>
      <c r="AB1126" s="74">
        <v>45807</v>
      </c>
      <c r="AC1126" s="74" t="str">
        <f t="shared" si="17"/>
        <v>Q2 2025</v>
      </c>
      <c r="AD1126" s="123"/>
      <c r="AE1126" s="69"/>
      <c r="AF1126" s="21" t="s">
        <v>10</v>
      </c>
      <c r="AG1126" s="21" t="s">
        <v>35</v>
      </c>
      <c r="AH1126" s="122" t="s">
        <v>43</v>
      </c>
      <c r="AI1126" s="122" t="s">
        <v>44</v>
      </c>
      <c r="AJ1126" s="122" t="s">
        <v>45</v>
      </c>
      <c r="AK1126" s="122" t="s">
        <v>46</v>
      </c>
      <c r="AL1126" s="21" t="s">
        <v>47</v>
      </c>
      <c r="AM1126" s="122" t="s">
        <v>42</v>
      </c>
    </row>
    <row r="1127" spans="1:39" customFormat="1" ht="15.75" customHeight="1" x14ac:dyDescent="0.3">
      <c r="A1127" t="s">
        <v>42</v>
      </c>
      <c r="B1127" s="21" t="s">
        <v>564</v>
      </c>
      <c r="C1127" s="21" t="s">
        <v>688</v>
      </c>
      <c r="D1127" s="117" t="s">
        <v>343</v>
      </c>
      <c r="E1127" s="21" t="s">
        <v>9</v>
      </c>
      <c r="F1127" s="21" t="s">
        <v>419</v>
      </c>
      <c r="G1127" s="21">
        <v>83.62</v>
      </c>
      <c r="H1127" s="21"/>
      <c r="I1127" s="117" t="s">
        <v>325</v>
      </c>
      <c r="J1127" s="117" t="s">
        <v>325</v>
      </c>
      <c r="K1127" s="118">
        <v>25.6</v>
      </c>
      <c r="L1127" s="21"/>
      <c r="M1127" s="21"/>
      <c r="N1127" s="21"/>
      <c r="O1127" s="21"/>
      <c r="P1127" s="21">
        <v>58.02</v>
      </c>
      <c r="Q1127" s="21"/>
      <c r="R1127" s="21" t="s">
        <v>329</v>
      </c>
      <c r="S1127" s="119">
        <f>DATABASE_Table[[#This Row],[Inicial Asking Price (€) (Total)]]-DATABASE_Table[[#This Row],[Vista membership]]-DATABASE_Table[[#This Row],[FF&amp;E]]</f>
        <v>470158.14</v>
      </c>
      <c r="T1127" s="125">
        <v>524758.14</v>
      </c>
      <c r="U1127" s="124">
        <v>560000</v>
      </c>
      <c r="V1127" s="21">
        <v>24600</v>
      </c>
      <c r="W1127" s="21">
        <v>30000</v>
      </c>
      <c r="X1127" s="73">
        <f>DATABASE_Table[[#This Row],[Current Asking price( Total)]]-DATABASE_Table[[#This Row],[Vista membership]]-DATABASE_Table[[#This Row],[FF&amp;E]]</f>
        <v>505400</v>
      </c>
      <c r="Y1127" s="126"/>
      <c r="Z1127" s="124">
        <v>560000</v>
      </c>
      <c r="AA1127" s="73">
        <f>DATABASE_Table[[#This Row],[Sell price (Total)]]-DATABASE_Table[[#This Row],[FF&amp;E]]-DATABASE_Table[[#This Row],[Vista membership]]</f>
        <v>505400</v>
      </c>
      <c r="AB1127" s="74">
        <v>45807</v>
      </c>
      <c r="AC1127" s="74" t="str">
        <f t="shared" si="17"/>
        <v>Q2 2025</v>
      </c>
      <c r="AD1127" s="123"/>
      <c r="AE1127" s="69"/>
      <c r="AF1127" s="21" t="s">
        <v>10</v>
      </c>
      <c r="AG1127" s="21" t="s">
        <v>35</v>
      </c>
      <c r="AH1127" s="122" t="s">
        <v>43</v>
      </c>
      <c r="AI1127" s="122" t="s">
        <v>44</v>
      </c>
      <c r="AJ1127" s="122" t="s">
        <v>45</v>
      </c>
      <c r="AK1127" s="122" t="s">
        <v>46</v>
      </c>
      <c r="AL1127" s="21" t="s">
        <v>47</v>
      </c>
      <c r="AM1127" s="122" t="s">
        <v>42</v>
      </c>
    </row>
    <row r="1128" spans="1:39" customFormat="1" ht="15.75" customHeight="1" x14ac:dyDescent="0.3">
      <c r="A1128" t="s">
        <v>42</v>
      </c>
      <c r="B1128" s="21" t="s">
        <v>564</v>
      </c>
      <c r="C1128" s="21" t="s">
        <v>688</v>
      </c>
      <c r="D1128" s="117" t="s">
        <v>344</v>
      </c>
      <c r="E1128" s="21" t="s">
        <v>9</v>
      </c>
      <c r="F1128" s="21" t="s">
        <v>319</v>
      </c>
      <c r="G1128" s="21">
        <v>145.47</v>
      </c>
      <c r="H1128" s="21"/>
      <c r="I1128" s="117" t="s">
        <v>325</v>
      </c>
      <c r="J1128" s="117" t="s">
        <v>325</v>
      </c>
      <c r="K1128" s="118">
        <v>54.84</v>
      </c>
      <c r="L1128" s="21"/>
      <c r="M1128" s="21"/>
      <c r="N1128" s="21"/>
      <c r="O1128" s="21"/>
      <c r="P1128" s="21">
        <v>90.63</v>
      </c>
      <c r="Q1128" s="21"/>
      <c r="R1128" s="21" t="s">
        <v>329</v>
      </c>
      <c r="S1128" s="119">
        <f>DATABASE_Table[[#This Row],[Inicial Asking Price (€) (Total)]]-DATABASE_Table[[#This Row],[Vista membership]]-DATABASE_Table[[#This Row],[FF&amp;E]]</f>
        <v>731567.5</v>
      </c>
      <c r="T1128" s="125">
        <v>796167.5</v>
      </c>
      <c r="U1128" s="124">
        <v>870000</v>
      </c>
      <c r="V1128" s="21">
        <v>24600</v>
      </c>
      <c r="W1128" s="21">
        <v>40000</v>
      </c>
      <c r="X1128" s="73">
        <f>DATABASE_Table[[#This Row],[Current Asking price( Total)]]-DATABASE_Table[[#This Row],[Vista membership]]-DATABASE_Table[[#This Row],[FF&amp;E]]</f>
        <v>805400</v>
      </c>
      <c r="Y1128" s="126"/>
      <c r="Z1128" s="124">
        <v>870000</v>
      </c>
      <c r="AA1128" s="73">
        <f>DATABASE_Table[[#This Row],[Sell price (Total)]]-DATABASE_Table[[#This Row],[FF&amp;E]]-DATABASE_Table[[#This Row],[Vista membership]]</f>
        <v>805400</v>
      </c>
      <c r="AB1128" s="74">
        <v>45807</v>
      </c>
      <c r="AC1128" s="74" t="str">
        <f t="shared" si="17"/>
        <v>Q2 2025</v>
      </c>
      <c r="AD1128" s="123"/>
      <c r="AE1128" s="69"/>
      <c r="AF1128" s="21" t="s">
        <v>10</v>
      </c>
      <c r="AG1128" s="21" t="s">
        <v>35</v>
      </c>
      <c r="AH1128" s="122" t="s">
        <v>43</v>
      </c>
      <c r="AI1128" s="122" t="s">
        <v>44</v>
      </c>
      <c r="AJ1128" s="122" t="s">
        <v>45</v>
      </c>
      <c r="AK1128" s="122" t="s">
        <v>46</v>
      </c>
      <c r="AL1128" s="21" t="s">
        <v>47</v>
      </c>
      <c r="AM1128" s="122" t="s">
        <v>42</v>
      </c>
    </row>
    <row r="1129" spans="1:39" customFormat="1" ht="15.75" customHeight="1" x14ac:dyDescent="0.3">
      <c r="A1129" t="s">
        <v>42</v>
      </c>
      <c r="B1129" s="21" t="s">
        <v>564</v>
      </c>
      <c r="C1129" s="21" t="s">
        <v>688</v>
      </c>
      <c r="D1129" s="117" t="s">
        <v>345</v>
      </c>
      <c r="E1129" s="21" t="s">
        <v>9</v>
      </c>
      <c r="F1129" s="21" t="s">
        <v>416</v>
      </c>
      <c r="G1129" s="21">
        <v>127.24</v>
      </c>
      <c r="H1129" s="21"/>
      <c r="I1129" s="117" t="s">
        <v>325</v>
      </c>
      <c r="J1129" s="117" t="s">
        <v>325</v>
      </c>
      <c r="K1129" s="118">
        <v>29.68</v>
      </c>
      <c r="L1129" s="21"/>
      <c r="M1129" s="21"/>
      <c r="N1129" s="21"/>
      <c r="O1129" s="21"/>
      <c r="P1129" s="21">
        <v>97.56</v>
      </c>
      <c r="Q1129" s="21"/>
      <c r="R1129" s="21" t="s">
        <v>329</v>
      </c>
      <c r="S1129" s="119">
        <f>DATABASE_Table[[#This Row],[Inicial Asking Price (€) (Total)]]-DATABASE_Table[[#This Row],[Vista membership]]-DATABASE_Table[[#This Row],[FF&amp;E]]</f>
        <v>735709.28</v>
      </c>
      <c r="T1129" s="125">
        <v>800309.28</v>
      </c>
      <c r="U1129" s="124">
        <v>850000</v>
      </c>
      <c r="V1129" s="21">
        <v>24600</v>
      </c>
      <c r="W1129" s="21">
        <v>40000</v>
      </c>
      <c r="X1129" s="73">
        <f>DATABASE_Table[[#This Row],[Current Asking price( Total)]]-DATABASE_Table[[#This Row],[Vista membership]]-DATABASE_Table[[#This Row],[FF&amp;E]]</f>
        <v>785400</v>
      </c>
      <c r="Y1129" s="126"/>
      <c r="Z1129" s="124">
        <v>850000</v>
      </c>
      <c r="AA1129" s="73">
        <f>DATABASE_Table[[#This Row],[Sell price (Total)]]-DATABASE_Table[[#This Row],[FF&amp;E]]-DATABASE_Table[[#This Row],[Vista membership]]</f>
        <v>785400</v>
      </c>
      <c r="AB1129" s="74">
        <v>45807</v>
      </c>
      <c r="AC1129" s="74" t="str">
        <f t="shared" si="17"/>
        <v>Q2 2025</v>
      </c>
      <c r="AD1129" s="123"/>
      <c r="AE1129" s="69"/>
      <c r="AF1129" s="21" t="s">
        <v>10</v>
      </c>
      <c r="AG1129" s="21" t="s">
        <v>35</v>
      </c>
      <c r="AH1129" s="122" t="s">
        <v>43</v>
      </c>
      <c r="AI1129" s="122" t="s">
        <v>44</v>
      </c>
      <c r="AJ1129" s="122" t="s">
        <v>45</v>
      </c>
      <c r="AK1129" s="122" t="s">
        <v>46</v>
      </c>
      <c r="AL1129" s="21" t="s">
        <v>47</v>
      </c>
      <c r="AM1129" s="122" t="s">
        <v>42</v>
      </c>
    </row>
    <row r="1130" spans="1:39" customFormat="1" ht="15.75" customHeight="1" x14ac:dyDescent="0.3">
      <c r="A1130" t="s">
        <v>42</v>
      </c>
      <c r="B1130" s="21" t="s">
        <v>564</v>
      </c>
      <c r="C1130" s="21" t="s">
        <v>688</v>
      </c>
      <c r="D1130" s="117" t="s">
        <v>346</v>
      </c>
      <c r="E1130" s="21" t="s">
        <v>9</v>
      </c>
      <c r="F1130" s="21" t="s">
        <v>319</v>
      </c>
      <c r="G1130" s="21">
        <v>117.28</v>
      </c>
      <c r="H1130" s="21"/>
      <c r="I1130" s="117" t="s">
        <v>325</v>
      </c>
      <c r="J1130" s="117" t="s">
        <v>325</v>
      </c>
      <c r="K1130" s="118">
        <v>28.67</v>
      </c>
      <c r="L1130" s="21"/>
      <c r="M1130" s="21"/>
      <c r="N1130" s="21"/>
      <c r="O1130" s="21"/>
      <c r="P1130" s="21">
        <v>88.61</v>
      </c>
      <c r="Q1130" s="21"/>
      <c r="R1130" s="21" t="s">
        <v>329</v>
      </c>
      <c r="S1130" s="119">
        <f>DATABASE_Table[[#This Row],[Inicial Asking Price (€) (Total)]]-DATABASE_Table[[#This Row],[Vista membership]]-DATABASE_Table[[#This Row],[FF&amp;E]]</f>
        <v>666659.88</v>
      </c>
      <c r="T1130" s="125">
        <v>731259.88</v>
      </c>
      <c r="U1130" s="124">
        <v>800000</v>
      </c>
      <c r="V1130" s="21">
        <v>24600</v>
      </c>
      <c r="W1130" s="21">
        <v>40000</v>
      </c>
      <c r="X1130" s="73">
        <f>DATABASE_Table[[#This Row],[Current Asking price( Total)]]-DATABASE_Table[[#This Row],[Vista membership]]-DATABASE_Table[[#This Row],[FF&amp;E]]</f>
        <v>735400</v>
      </c>
      <c r="Y1130" s="126"/>
      <c r="Z1130" s="124">
        <v>800000</v>
      </c>
      <c r="AA1130" s="73">
        <f>DATABASE_Table[[#This Row],[Sell price (Total)]]-DATABASE_Table[[#This Row],[FF&amp;E]]-DATABASE_Table[[#This Row],[Vista membership]]</f>
        <v>735400</v>
      </c>
      <c r="AB1130" s="74">
        <v>45807</v>
      </c>
      <c r="AC1130" s="74" t="str">
        <f t="shared" si="17"/>
        <v>Q2 2025</v>
      </c>
      <c r="AD1130" s="123"/>
      <c r="AE1130" s="69"/>
      <c r="AF1130" s="21" t="s">
        <v>10</v>
      </c>
      <c r="AG1130" s="21" t="s">
        <v>35</v>
      </c>
      <c r="AH1130" s="122" t="s">
        <v>43</v>
      </c>
      <c r="AI1130" s="122" t="s">
        <v>44</v>
      </c>
      <c r="AJ1130" s="122" t="s">
        <v>45</v>
      </c>
      <c r="AK1130" s="122" t="s">
        <v>46</v>
      </c>
      <c r="AL1130" s="21" t="s">
        <v>47</v>
      </c>
      <c r="AM1130" s="122" t="s">
        <v>42</v>
      </c>
    </row>
    <row r="1131" spans="1:39" customFormat="1" ht="15.75" customHeight="1" x14ac:dyDescent="0.3">
      <c r="A1131" t="s">
        <v>42</v>
      </c>
      <c r="B1131" s="21" t="s">
        <v>564</v>
      </c>
      <c r="C1131" s="21" t="s">
        <v>688</v>
      </c>
      <c r="D1131" s="117" t="s">
        <v>347</v>
      </c>
      <c r="E1131" s="21" t="s">
        <v>9</v>
      </c>
      <c r="F1131" s="21" t="s">
        <v>418</v>
      </c>
      <c r="G1131" s="21">
        <v>165</v>
      </c>
      <c r="H1131" s="21"/>
      <c r="I1131" s="117" t="s">
        <v>325</v>
      </c>
      <c r="J1131" s="117" t="s">
        <v>325</v>
      </c>
      <c r="K1131" s="118">
        <v>51.63</v>
      </c>
      <c r="L1131" s="21"/>
      <c r="M1131" s="21"/>
      <c r="N1131" s="21"/>
      <c r="O1131" s="21"/>
      <c r="P1131" s="21">
        <v>113.37</v>
      </c>
      <c r="Q1131" s="21"/>
      <c r="R1131" s="21" t="s">
        <v>329</v>
      </c>
      <c r="S1131" s="119">
        <f>DATABASE_Table[[#This Row],[Inicial Asking Price (€) (Total)]]-DATABASE_Table[[#This Row],[Vista membership]]-DATABASE_Table[[#This Row],[FF&amp;E]]</f>
        <v>1010148.8999999999</v>
      </c>
      <c r="T1131" s="125">
        <v>1084748.8999999999</v>
      </c>
      <c r="U1131" s="124">
        <v>1110000</v>
      </c>
      <c r="V1131" s="21">
        <v>24600</v>
      </c>
      <c r="W1131" s="21">
        <v>50000</v>
      </c>
      <c r="X1131" s="73">
        <f>DATABASE_Table[[#This Row],[Current Asking price( Total)]]-DATABASE_Table[[#This Row],[Vista membership]]-DATABASE_Table[[#This Row],[FF&amp;E]]</f>
        <v>1035400</v>
      </c>
      <c r="Y1131" s="126"/>
      <c r="Z1131" s="124">
        <v>1110000</v>
      </c>
      <c r="AA1131" s="73">
        <f>DATABASE_Table[[#This Row],[Sell price (Total)]]-DATABASE_Table[[#This Row],[FF&amp;E]]-DATABASE_Table[[#This Row],[Vista membership]]</f>
        <v>1035400</v>
      </c>
      <c r="AB1131" s="74">
        <v>45807</v>
      </c>
      <c r="AC1131" s="74" t="str">
        <f t="shared" si="17"/>
        <v>Q2 2025</v>
      </c>
      <c r="AD1131" s="123"/>
      <c r="AE1131" s="69"/>
      <c r="AF1131" s="21" t="s">
        <v>10</v>
      </c>
      <c r="AG1131" s="21" t="s">
        <v>35</v>
      </c>
      <c r="AH1131" s="122" t="s">
        <v>43</v>
      </c>
      <c r="AI1131" s="122" t="s">
        <v>44</v>
      </c>
      <c r="AJ1131" s="122" t="s">
        <v>45</v>
      </c>
      <c r="AK1131" s="122" t="s">
        <v>46</v>
      </c>
      <c r="AL1131" s="21" t="s">
        <v>47</v>
      </c>
      <c r="AM1131" s="122" t="s">
        <v>42</v>
      </c>
    </row>
    <row r="1132" spans="1:39" customFormat="1" ht="15.75" customHeight="1" x14ac:dyDescent="0.3">
      <c r="A1132" t="s">
        <v>42</v>
      </c>
      <c r="B1132" s="21" t="s">
        <v>564</v>
      </c>
      <c r="C1132" s="21" t="s">
        <v>688</v>
      </c>
      <c r="D1132" s="117" t="s">
        <v>348</v>
      </c>
      <c r="E1132" s="21" t="s">
        <v>9</v>
      </c>
      <c r="F1132" s="21" t="s">
        <v>416</v>
      </c>
      <c r="G1132" s="21">
        <v>130.21</v>
      </c>
      <c r="H1132" s="21"/>
      <c r="I1132" s="117" t="s">
        <v>325</v>
      </c>
      <c r="J1132" s="117" t="s">
        <v>325</v>
      </c>
      <c r="K1132" s="118">
        <v>41.51</v>
      </c>
      <c r="L1132" s="21"/>
      <c r="M1132" s="21"/>
      <c r="N1132" s="21"/>
      <c r="O1132" s="21"/>
      <c r="P1132" s="21">
        <v>88.7</v>
      </c>
      <c r="Q1132" s="21"/>
      <c r="R1132" s="21" t="s">
        <v>329</v>
      </c>
      <c r="S1132" s="119">
        <f>DATABASE_Table[[#This Row],[Inicial Asking Price (€) (Total)]]-DATABASE_Table[[#This Row],[Vista membership]]-DATABASE_Table[[#This Row],[FF&amp;E]]</f>
        <v>675519.9</v>
      </c>
      <c r="T1132" s="125">
        <v>740119.9</v>
      </c>
      <c r="U1132" s="124">
        <v>800000</v>
      </c>
      <c r="V1132" s="21">
        <v>24600</v>
      </c>
      <c r="W1132" s="21">
        <v>40000</v>
      </c>
      <c r="X1132" s="73">
        <f>DATABASE_Table[[#This Row],[Current Asking price( Total)]]-DATABASE_Table[[#This Row],[Vista membership]]-DATABASE_Table[[#This Row],[FF&amp;E]]</f>
        <v>735400</v>
      </c>
      <c r="Y1132" s="126"/>
      <c r="Z1132" s="124">
        <v>800000</v>
      </c>
      <c r="AA1132" s="73">
        <f>DATABASE_Table[[#This Row],[Sell price (Total)]]-DATABASE_Table[[#This Row],[FF&amp;E]]-DATABASE_Table[[#This Row],[Vista membership]]</f>
        <v>735400</v>
      </c>
      <c r="AB1132" s="74">
        <v>45807</v>
      </c>
      <c r="AC1132" s="74" t="str">
        <f t="shared" si="17"/>
        <v>Q2 2025</v>
      </c>
      <c r="AD1132" s="123"/>
      <c r="AE1132" s="69"/>
      <c r="AF1132" s="21" t="s">
        <v>10</v>
      </c>
      <c r="AG1132" s="21" t="s">
        <v>35</v>
      </c>
      <c r="AH1132" s="122" t="s">
        <v>43</v>
      </c>
      <c r="AI1132" s="122" t="s">
        <v>44</v>
      </c>
      <c r="AJ1132" s="122" t="s">
        <v>45</v>
      </c>
      <c r="AK1132" s="122" t="s">
        <v>46</v>
      </c>
      <c r="AL1132" s="21" t="s">
        <v>47</v>
      </c>
      <c r="AM1132" s="122" t="s">
        <v>42</v>
      </c>
    </row>
    <row r="1133" spans="1:39" customFormat="1" ht="15.75" customHeight="1" x14ac:dyDescent="0.3">
      <c r="A1133" t="s">
        <v>42</v>
      </c>
      <c r="B1133" s="21" t="s">
        <v>564</v>
      </c>
      <c r="C1133" s="21" t="s">
        <v>688</v>
      </c>
      <c r="D1133" s="117" t="s">
        <v>349</v>
      </c>
      <c r="E1133" s="21" t="s">
        <v>9</v>
      </c>
      <c r="F1133" s="21" t="s">
        <v>416</v>
      </c>
      <c r="G1133" s="21">
        <v>125.97</v>
      </c>
      <c r="H1133" s="21"/>
      <c r="I1133" s="117" t="s">
        <v>325</v>
      </c>
      <c r="J1133" s="117" t="s">
        <v>325</v>
      </c>
      <c r="K1133" s="118">
        <v>37.15</v>
      </c>
      <c r="L1133" s="21"/>
      <c r="M1133" s="21"/>
      <c r="N1133" s="21"/>
      <c r="O1133" s="21"/>
      <c r="P1133" s="21">
        <v>88.82</v>
      </c>
      <c r="Q1133" s="21"/>
      <c r="R1133" s="21" t="s">
        <v>329</v>
      </c>
      <c r="S1133" s="119">
        <f>DATABASE_Table[[#This Row],[Inicial Asking Price (€) (Total)]]-DATABASE_Table[[#This Row],[Vista membership]]-DATABASE_Table[[#This Row],[FF&amp;E]]</f>
        <v>671577.18</v>
      </c>
      <c r="T1133" s="125">
        <v>736177.18</v>
      </c>
      <c r="U1133" s="124">
        <v>800000</v>
      </c>
      <c r="V1133" s="21">
        <v>24600</v>
      </c>
      <c r="W1133" s="21">
        <v>40000</v>
      </c>
      <c r="X1133" s="73">
        <f>DATABASE_Table[[#This Row],[Current Asking price( Total)]]-DATABASE_Table[[#This Row],[Vista membership]]-DATABASE_Table[[#This Row],[FF&amp;E]]</f>
        <v>735400</v>
      </c>
      <c r="Y1133" s="126"/>
      <c r="Z1133" s="124">
        <v>800000</v>
      </c>
      <c r="AA1133" s="73">
        <f>DATABASE_Table[[#This Row],[Sell price (Total)]]-DATABASE_Table[[#This Row],[FF&amp;E]]-DATABASE_Table[[#This Row],[Vista membership]]</f>
        <v>735400</v>
      </c>
      <c r="AB1133" s="74">
        <v>45807</v>
      </c>
      <c r="AC1133" s="74" t="str">
        <f t="shared" si="17"/>
        <v>Q2 2025</v>
      </c>
      <c r="AD1133" s="123"/>
      <c r="AE1133" s="69"/>
      <c r="AF1133" s="21" t="s">
        <v>10</v>
      </c>
      <c r="AG1133" s="21" t="s">
        <v>35</v>
      </c>
      <c r="AH1133" s="122" t="s">
        <v>43</v>
      </c>
      <c r="AI1133" s="122" t="s">
        <v>44</v>
      </c>
      <c r="AJ1133" s="122" t="s">
        <v>45</v>
      </c>
      <c r="AK1133" s="122" t="s">
        <v>46</v>
      </c>
      <c r="AL1133" s="21" t="s">
        <v>47</v>
      </c>
      <c r="AM1133" s="122" t="s">
        <v>42</v>
      </c>
    </row>
    <row r="1134" spans="1:39" customFormat="1" ht="15.75" customHeight="1" x14ac:dyDescent="0.3">
      <c r="A1134" t="s">
        <v>42</v>
      </c>
      <c r="B1134" s="21" t="s">
        <v>564</v>
      </c>
      <c r="C1134" s="21" t="s">
        <v>688</v>
      </c>
      <c r="D1134" s="117" t="s">
        <v>352</v>
      </c>
      <c r="E1134" s="21" t="s">
        <v>9</v>
      </c>
      <c r="F1134" s="21" t="s">
        <v>416</v>
      </c>
      <c r="G1134" s="21">
        <v>117.68</v>
      </c>
      <c r="H1134" s="21"/>
      <c r="I1134" s="117" t="s">
        <v>325</v>
      </c>
      <c r="J1134" s="117" t="s">
        <v>325</v>
      </c>
      <c r="K1134" s="118">
        <v>29</v>
      </c>
      <c r="L1134" s="21"/>
      <c r="M1134" s="21"/>
      <c r="N1134" s="21"/>
      <c r="O1134" s="21"/>
      <c r="P1134" s="21">
        <v>88.68</v>
      </c>
      <c r="Q1134" s="21"/>
      <c r="R1134" s="21" t="s">
        <v>329</v>
      </c>
      <c r="S1134" s="119">
        <f>DATABASE_Table[[#This Row],[Inicial Asking Price (€) (Total)]]-DATABASE_Table[[#This Row],[Vista membership]]-DATABASE_Table[[#This Row],[FF&amp;E]]</f>
        <v>667676.64</v>
      </c>
      <c r="T1134" s="125">
        <v>732276.64</v>
      </c>
      <c r="U1134" s="124">
        <v>800000</v>
      </c>
      <c r="V1134" s="21">
        <v>24600</v>
      </c>
      <c r="W1134" s="21">
        <v>40000</v>
      </c>
      <c r="X1134" s="73">
        <f>DATABASE_Table[[#This Row],[Current Asking price( Total)]]-DATABASE_Table[[#This Row],[Vista membership]]-DATABASE_Table[[#This Row],[FF&amp;E]]</f>
        <v>735400</v>
      </c>
      <c r="Y1134" s="126"/>
      <c r="Z1134" s="124">
        <v>800000</v>
      </c>
      <c r="AA1134" s="73">
        <f>DATABASE_Table[[#This Row],[Sell price (Total)]]-DATABASE_Table[[#This Row],[FF&amp;E]]-DATABASE_Table[[#This Row],[Vista membership]]</f>
        <v>735400</v>
      </c>
      <c r="AB1134" s="74">
        <v>45807</v>
      </c>
      <c r="AC1134" s="74" t="str">
        <f t="shared" si="17"/>
        <v>Q2 2025</v>
      </c>
      <c r="AD1134" s="123"/>
      <c r="AE1134" s="69"/>
      <c r="AF1134" s="21" t="s">
        <v>10</v>
      </c>
      <c r="AG1134" s="21" t="s">
        <v>35</v>
      </c>
      <c r="AH1134" s="122" t="s">
        <v>43</v>
      </c>
      <c r="AI1134" s="122" t="s">
        <v>44</v>
      </c>
      <c r="AJ1134" s="122" t="s">
        <v>45</v>
      </c>
      <c r="AK1134" s="122" t="s">
        <v>46</v>
      </c>
      <c r="AL1134" s="21" t="s">
        <v>47</v>
      </c>
      <c r="AM1134" s="122" t="s">
        <v>42</v>
      </c>
    </row>
    <row r="1135" spans="1:39" customFormat="1" ht="15.75" customHeight="1" x14ac:dyDescent="0.3">
      <c r="A1135" t="s">
        <v>42</v>
      </c>
      <c r="B1135" s="21" t="s">
        <v>564</v>
      </c>
      <c r="C1135" s="21" t="s">
        <v>688</v>
      </c>
      <c r="D1135" s="117" t="s">
        <v>354</v>
      </c>
      <c r="E1135" s="21" t="s">
        <v>9</v>
      </c>
      <c r="F1135" s="21" t="s">
        <v>416</v>
      </c>
      <c r="G1135" s="21">
        <v>116.78</v>
      </c>
      <c r="H1135" s="21"/>
      <c r="I1135" s="117" t="s">
        <v>325</v>
      </c>
      <c r="J1135" s="117" t="s">
        <v>325</v>
      </c>
      <c r="K1135" s="118">
        <v>28.57</v>
      </c>
      <c r="L1135" s="21"/>
      <c r="M1135" s="21"/>
      <c r="N1135" s="21"/>
      <c r="O1135" s="21"/>
      <c r="P1135" s="21">
        <v>88.21</v>
      </c>
      <c r="Q1135" s="21"/>
      <c r="R1135" s="21" t="s">
        <v>329</v>
      </c>
      <c r="S1135" s="119">
        <f>DATABASE_Table[[#This Row],[Inicial Asking Price (€) (Total)]]-DATABASE_Table[[#This Row],[Vista membership]]-DATABASE_Table[[#This Row],[FF&amp;E]]</f>
        <v>663492.68000000005</v>
      </c>
      <c r="T1135" s="125">
        <v>728092.68</v>
      </c>
      <c r="U1135" s="124">
        <v>770000</v>
      </c>
      <c r="V1135" s="21">
        <v>24600</v>
      </c>
      <c r="W1135" s="21">
        <v>40000</v>
      </c>
      <c r="X1135" s="73">
        <f>DATABASE_Table[[#This Row],[Current Asking price( Total)]]-DATABASE_Table[[#This Row],[Vista membership]]-DATABASE_Table[[#This Row],[FF&amp;E]]</f>
        <v>705400</v>
      </c>
      <c r="Y1135" s="126"/>
      <c r="Z1135" s="124">
        <v>770000</v>
      </c>
      <c r="AA1135" s="73">
        <f>DATABASE_Table[[#This Row],[Sell price (Total)]]-DATABASE_Table[[#This Row],[FF&amp;E]]-DATABASE_Table[[#This Row],[Vista membership]]</f>
        <v>705400</v>
      </c>
      <c r="AB1135" s="74">
        <v>45807</v>
      </c>
      <c r="AC1135" s="74" t="str">
        <f t="shared" si="17"/>
        <v>Q2 2025</v>
      </c>
      <c r="AD1135" s="123"/>
      <c r="AE1135" s="69"/>
      <c r="AF1135" s="21" t="s">
        <v>10</v>
      </c>
      <c r="AG1135" s="21" t="s">
        <v>35</v>
      </c>
      <c r="AH1135" s="122" t="s">
        <v>43</v>
      </c>
      <c r="AI1135" s="122" t="s">
        <v>44</v>
      </c>
      <c r="AJ1135" s="122" t="s">
        <v>45</v>
      </c>
      <c r="AK1135" s="122" t="s">
        <v>46</v>
      </c>
      <c r="AL1135" s="21" t="s">
        <v>47</v>
      </c>
      <c r="AM1135" s="122" t="s">
        <v>42</v>
      </c>
    </row>
    <row r="1136" spans="1:39" customFormat="1" ht="15.75" customHeight="1" x14ac:dyDescent="0.3">
      <c r="A1136" t="s">
        <v>42</v>
      </c>
      <c r="B1136" s="21" t="s">
        <v>564</v>
      </c>
      <c r="C1136" s="21" t="s">
        <v>688</v>
      </c>
      <c r="D1136" s="117" t="s">
        <v>355</v>
      </c>
      <c r="E1136" s="21" t="s">
        <v>9</v>
      </c>
      <c r="F1136" s="21" t="s">
        <v>319</v>
      </c>
      <c r="G1136" s="21">
        <v>140.91999999999999</v>
      </c>
      <c r="H1136" s="21"/>
      <c r="I1136" s="117" t="s">
        <v>325</v>
      </c>
      <c r="J1136" s="117" t="s">
        <v>325</v>
      </c>
      <c r="K1136" s="118">
        <v>50.58</v>
      </c>
      <c r="L1136" s="21"/>
      <c r="M1136" s="21"/>
      <c r="N1136" s="21"/>
      <c r="O1136" s="21"/>
      <c r="P1136" s="21">
        <v>90.34</v>
      </c>
      <c r="Q1136" s="21"/>
      <c r="R1136" s="21" t="s">
        <v>329</v>
      </c>
      <c r="S1136" s="119">
        <f>DATABASE_Table[[#This Row],[Inicial Asking Price (€) (Total)]]-DATABASE_Table[[#This Row],[Vista membership]]-DATABASE_Table[[#This Row],[FF&amp;E]]</f>
        <v>724585.6</v>
      </c>
      <c r="T1136" s="125">
        <v>789185.6</v>
      </c>
      <c r="U1136" s="124">
        <v>860000</v>
      </c>
      <c r="V1136" s="21">
        <v>24600</v>
      </c>
      <c r="W1136" s="21">
        <v>40000</v>
      </c>
      <c r="X1136" s="73">
        <f>DATABASE_Table[[#This Row],[Current Asking price( Total)]]-DATABASE_Table[[#This Row],[Vista membership]]-DATABASE_Table[[#This Row],[FF&amp;E]]</f>
        <v>795400</v>
      </c>
      <c r="Y1136" s="126"/>
      <c r="Z1136" s="124">
        <v>860000</v>
      </c>
      <c r="AA1136" s="73">
        <f>DATABASE_Table[[#This Row],[Sell price (Total)]]-DATABASE_Table[[#This Row],[FF&amp;E]]-DATABASE_Table[[#This Row],[Vista membership]]</f>
        <v>795400</v>
      </c>
      <c r="AB1136" s="74">
        <v>45807</v>
      </c>
      <c r="AC1136" s="74" t="str">
        <f t="shared" si="17"/>
        <v>Q2 2025</v>
      </c>
      <c r="AD1136" s="123"/>
      <c r="AE1136" s="69"/>
      <c r="AF1136" s="21" t="s">
        <v>10</v>
      </c>
      <c r="AG1136" s="21" t="s">
        <v>35</v>
      </c>
      <c r="AH1136" s="122" t="s">
        <v>43</v>
      </c>
      <c r="AI1136" s="122" t="s">
        <v>44</v>
      </c>
      <c r="AJ1136" s="122" t="s">
        <v>45</v>
      </c>
      <c r="AK1136" s="122" t="s">
        <v>46</v>
      </c>
      <c r="AL1136" s="21" t="s">
        <v>47</v>
      </c>
      <c r="AM1136" s="122" t="s">
        <v>42</v>
      </c>
    </row>
    <row r="1137" spans="1:41" ht="16.2" customHeight="1" x14ac:dyDescent="0.3">
      <c r="A1137" t="s">
        <v>42</v>
      </c>
      <c r="B1137" s="21" t="s">
        <v>564</v>
      </c>
      <c r="C1137" s="21" t="s">
        <v>688</v>
      </c>
      <c r="D1137" s="117" t="s">
        <v>356</v>
      </c>
      <c r="E1137" s="21" t="s">
        <v>9</v>
      </c>
      <c r="F1137" s="21" t="s">
        <v>319</v>
      </c>
      <c r="G1137" s="21">
        <v>118.99</v>
      </c>
      <c r="H1137" s="21"/>
      <c r="I1137" s="117" t="s">
        <v>325</v>
      </c>
      <c r="J1137" s="117" t="s">
        <v>325</v>
      </c>
      <c r="K1137" s="118">
        <v>28.9</v>
      </c>
      <c r="L1137" s="21"/>
      <c r="M1137" s="21"/>
      <c r="N1137" s="21"/>
      <c r="O1137" s="21"/>
      <c r="P1137" s="21">
        <v>90.09</v>
      </c>
      <c r="Q1137" s="21"/>
      <c r="R1137" s="21" t="s">
        <v>329</v>
      </c>
      <c r="S1137" s="119">
        <f>DATABASE_Table[[#This Row],[Inicial Asking Price (€) (Total)]]-DATABASE_Table[[#This Row],[Vista membership]]-DATABASE_Table[[#This Row],[FF&amp;E]]</f>
        <v>711904.61959999998</v>
      </c>
      <c r="T1137" s="125">
        <v>776504.61959999998</v>
      </c>
      <c r="U1137" s="124">
        <v>850000</v>
      </c>
      <c r="V1137" s="21">
        <v>24600</v>
      </c>
      <c r="W1137" s="21">
        <v>40000</v>
      </c>
      <c r="X1137" s="73">
        <f>DATABASE_Table[[#This Row],[Current Asking price( Total)]]-DATABASE_Table[[#This Row],[Vista membership]]-DATABASE_Table[[#This Row],[FF&amp;E]]</f>
        <v>785400</v>
      </c>
      <c r="Y1137" s="126"/>
      <c r="Z1137" s="124">
        <v>850000</v>
      </c>
      <c r="AA1137" s="73">
        <f>DATABASE_Table[[#This Row],[Sell price (Total)]]-DATABASE_Table[[#This Row],[FF&amp;E]]-DATABASE_Table[[#This Row],[Vista membership]]</f>
        <v>785400</v>
      </c>
      <c r="AB1137" s="74">
        <v>45807</v>
      </c>
      <c r="AC1137" s="74" t="str">
        <f t="shared" si="17"/>
        <v>Q2 2025</v>
      </c>
      <c r="AD1137" s="123"/>
      <c r="AE1137" s="69"/>
      <c r="AF1137" s="21" t="s">
        <v>10</v>
      </c>
      <c r="AG1137" s="21" t="s">
        <v>35</v>
      </c>
      <c r="AH1137" s="122" t="s">
        <v>43</v>
      </c>
      <c r="AI1137" s="122" t="s">
        <v>44</v>
      </c>
      <c r="AJ1137" s="122" t="s">
        <v>45</v>
      </c>
      <c r="AK1137" s="122" t="s">
        <v>46</v>
      </c>
      <c r="AL1137" s="21" t="s">
        <v>47</v>
      </c>
      <c r="AM1137" s="122" t="s">
        <v>42</v>
      </c>
      <c r="AN1137"/>
    </row>
    <row r="1138" spans="1:41" ht="16.2" customHeight="1" x14ac:dyDescent="0.3">
      <c r="A1138" t="s">
        <v>42</v>
      </c>
      <c r="B1138" s="21" t="s">
        <v>564</v>
      </c>
      <c r="C1138" s="21" t="s">
        <v>688</v>
      </c>
      <c r="D1138" s="117" t="s">
        <v>357</v>
      </c>
      <c r="E1138" s="21" t="s">
        <v>9</v>
      </c>
      <c r="F1138" s="21" t="s">
        <v>416</v>
      </c>
      <c r="G1138" s="21">
        <v>117.31</v>
      </c>
      <c r="H1138" s="21"/>
      <c r="I1138" s="117" t="s">
        <v>325</v>
      </c>
      <c r="J1138" s="117" t="s">
        <v>325</v>
      </c>
      <c r="K1138" s="118">
        <v>28.6</v>
      </c>
      <c r="L1138" s="21"/>
      <c r="M1138" s="21"/>
      <c r="N1138" s="21"/>
      <c r="O1138" s="21"/>
      <c r="P1138" s="21">
        <v>88.71</v>
      </c>
      <c r="Q1138" s="21"/>
      <c r="R1138" s="21" t="s">
        <v>329</v>
      </c>
      <c r="S1138" s="119">
        <f>DATABASE_Table[[#This Row],[Inicial Asking Price (€) (Total)]]-DATABASE_Table[[#This Row],[Vista membership]]-DATABASE_Table[[#This Row],[FF&amp;E]]</f>
        <v>700527.65240000002</v>
      </c>
      <c r="T1138" s="125">
        <v>765127.65240000002</v>
      </c>
      <c r="U1138" s="124">
        <v>840000</v>
      </c>
      <c r="V1138" s="21">
        <v>24600</v>
      </c>
      <c r="W1138" s="21">
        <v>40000</v>
      </c>
      <c r="X1138" s="73">
        <f>DATABASE_Table[[#This Row],[Current Asking price( Total)]]-DATABASE_Table[[#This Row],[Vista membership]]-DATABASE_Table[[#This Row],[FF&amp;E]]</f>
        <v>775400</v>
      </c>
      <c r="Y1138" s="126"/>
      <c r="Z1138" s="124">
        <v>840000</v>
      </c>
      <c r="AA1138" s="73">
        <f>DATABASE_Table[[#This Row],[Sell price (Total)]]-DATABASE_Table[[#This Row],[FF&amp;E]]-DATABASE_Table[[#This Row],[Vista membership]]</f>
        <v>775400</v>
      </c>
      <c r="AB1138" s="74">
        <v>45807</v>
      </c>
      <c r="AC1138" s="74" t="str">
        <f t="shared" si="17"/>
        <v>Q2 2025</v>
      </c>
      <c r="AD1138" s="123"/>
      <c r="AE1138" s="69"/>
      <c r="AF1138" s="21" t="s">
        <v>10</v>
      </c>
      <c r="AG1138" s="21" t="s">
        <v>35</v>
      </c>
      <c r="AH1138" s="122" t="s">
        <v>43</v>
      </c>
      <c r="AI1138" s="122" t="s">
        <v>44</v>
      </c>
      <c r="AJ1138" s="122" t="s">
        <v>45</v>
      </c>
      <c r="AK1138" s="122" t="s">
        <v>46</v>
      </c>
      <c r="AL1138" s="21" t="s">
        <v>47</v>
      </c>
      <c r="AM1138" s="122" t="s">
        <v>42</v>
      </c>
      <c r="AN1138"/>
    </row>
    <row r="1139" spans="1:41" ht="16.2" customHeight="1" x14ac:dyDescent="0.3">
      <c r="A1139" t="s">
        <v>42</v>
      </c>
      <c r="B1139" s="21" t="s">
        <v>564</v>
      </c>
      <c r="C1139" s="21" t="s">
        <v>688</v>
      </c>
      <c r="D1139" s="117" t="s">
        <v>358</v>
      </c>
      <c r="E1139" s="21" t="s">
        <v>9</v>
      </c>
      <c r="F1139" s="21" t="s">
        <v>319</v>
      </c>
      <c r="G1139" s="21">
        <v>117.44</v>
      </c>
      <c r="H1139" s="21"/>
      <c r="I1139" s="117" t="s">
        <v>325</v>
      </c>
      <c r="J1139" s="117" t="s">
        <v>325</v>
      </c>
      <c r="K1139" s="118">
        <v>28.26</v>
      </c>
      <c r="L1139" s="21"/>
      <c r="M1139" s="21"/>
      <c r="N1139" s="21"/>
      <c r="O1139" s="21"/>
      <c r="P1139" s="21">
        <v>89.18</v>
      </c>
      <c r="Q1139" s="21"/>
      <c r="R1139" s="21" t="s">
        <v>329</v>
      </c>
      <c r="S1139" s="119">
        <f>DATABASE_Table[[#This Row],[Inicial Asking Price (€) (Total)]]-DATABASE_Table[[#This Row],[Vista membership]]-DATABASE_Table[[#This Row],[FF&amp;E]]</f>
        <v>703747.99919999996</v>
      </c>
      <c r="T1139" s="125">
        <v>768347.99919999996</v>
      </c>
      <c r="U1139" s="124">
        <v>840000</v>
      </c>
      <c r="V1139" s="21">
        <v>24600</v>
      </c>
      <c r="W1139" s="21">
        <v>40000</v>
      </c>
      <c r="X1139" s="73">
        <f>DATABASE_Table[[#This Row],[Current Asking price( Total)]]-DATABASE_Table[[#This Row],[Vista membership]]-DATABASE_Table[[#This Row],[FF&amp;E]]</f>
        <v>775400</v>
      </c>
      <c r="Y1139" s="126"/>
      <c r="Z1139" s="124">
        <v>840000</v>
      </c>
      <c r="AA1139" s="73">
        <f>DATABASE_Table[[#This Row],[Sell price (Total)]]-DATABASE_Table[[#This Row],[FF&amp;E]]-DATABASE_Table[[#This Row],[Vista membership]]</f>
        <v>775400</v>
      </c>
      <c r="AB1139" s="74">
        <v>45807</v>
      </c>
      <c r="AC1139" s="74" t="str">
        <f t="shared" si="17"/>
        <v>Q2 2025</v>
      </c>
      <c r="AD1139" s="123"/>
      <c r="AE1139" s="69"/>
      <c r="AF1139" s="21" t="s">
        <v>10</v>
      </c>
      <c r="AG1139" s="21" t="s">
        <v>35</v>
      </c>
      <c r="AH1139" s="122" t="s">
        <v>43</v>
      </c>
      <c r="AI1139" s="122" t="s">
        <v>44</v>
      </c>
      <c r="AJ1139" s="122" t="s">
        <v>45</v>
      </c>
      <c r="AK1139" s="122" t="s">
        <v>46</v>
      </c>
      <c r="AL1139" s="21" t="s">
        <v>47</v>
      </c>
      <c r="AM1139" s="122" t="s">
        <v>42</v>
      </c>
      <c r="AN1139"/>
    </row>
    <row r="1140" spans="1:41" ht="16.2" customHeight="1" x14ac:dyDescent="0.3">
      <c r="A1140" t="s">
        <v>42</v>
      </c>
      <c r="B1140" s="21" t="s">
        <v>564</v>
      </c>
      <c r="C1140" s="21" t="s">
        <v>688</v>
      </c>
      <c r="D1140" s="117" t="s">
        <v>359</v>
      </c>
      <c r="E1140" s="21" t="s">
        <v>9</v>
      </c>
      <c r="F1140" s="21" t="s">
        <v>416</v>
      </c>
      <c r="G1140" s="21">
        <v>118.23</v>
      </c>
      <c r="H1140" s="21"/>
      <c r="I1140" s="117" t="s">
        <v>325</v>
      </c>
      <c r="J1140" s="117" t="s">
        <v>325</v>
      </c>
      <c r="K1140" s="118">
        <v>28.84</v>
      </c>
      <c r="L1140" s="21"/>
      <c r="M1140" s="21"/>
      <c r="N1140" s="21"/>
      <c r="O1140" s="21"/>
      <c r="P1140" s="21">
        <v>89.39</v>
      </c>
      <c r="Q1140" s="21"/>
      <c r="R1140" s="21" t="s">
        <v>329</v>
      </c>
      <c r="S1140" s="119">
        <f>DATABASE_Table[[#This Row],[Inicial Asking Price (€) (Total)]]-DATABASE_Table[[#This Row],[Vista membership]]-DATABASE_Table[[#This Row],[FF&amp;E]]</f>
        <v>706270.11159999995</v>
      </c>
      <c r="T1140" s="125">
        <v>770870.11159999995</v>
      </c>
      <c r="U1140" s="124">
        <v>840000</v>
      </c>
      <c r="V1140" s="21">
        <v>24600</v>
      </c>
      <c r="W1140" s="21">
        <v>40000</v>
      </c>
      <c r="X1140" s="73">
        <f>DATABASE_Table[[#This Row],[Current Asking price( Total)]]-DATABASE_Table[[#This Row],[Vista membership]]-DATABASE_Table[[#This Row],[FF&amp;E]]</f>
        <v>775400</v>
      </c>
      <c r="Y1140" s="126"/>
      <c r="Z1140" s="124">
        <v>840000</v>
      </c>
      <c r="AA1140" s="73">
        <f>DATABASE_Table[[#This Row],[Sell price (Total)]]-DATABASE_Table[[#This Row],[FF&amp;E]]-DATABASE_Table[[#This Row],[Vista membership]]</f>
        <v>775400</v>
      </c>
      <c r="AB1140" s="74">
        <v>45807</v>
      </c>
      <c r="AC1140" s="74" t="str">
        <f t="shared" si="17"/>
        <v>Q2 2025</v>
      </c>
      <c r="AD1140" s="123"/>
      <c r="AE1140" s="69"/>
      <c r="AF1140" s="21" t="s">
        <v>10</v>
      </c>
      <c r="AG1140" s="21" t="s">
        <v>35</v>
      </c>
      <c r="AH1140" s="122" t="s">
        <v>43</v>
      </c>
      <c r="AI1140" s="122" t="s">
        <v>44</v>
      </c>
      <c r="AJ1140" s="122" t="s">
        <v>45</v>
      </c>
      <c r="AK1140" s="122" t="s">
        <v>46</v>
      </c>
      <c r="AL1140" s="21" t="s">
        <v>47</v>
      </c>
      <c r="AM1140" s="122" t="s">
        <v>42</v>
      </c>
      <c r="AN1140"/>
    </row>
    <row r="1141" spans="1:41" ht="16.2" customHeight="1" x14ac:dyDescent="0.3">
      <c r="A1141" t="s">
        <v>42</v>
      </c>
      <c r="B1141" s="21" t="s">
        <v>564</v>
      </c>
      <c r="C1141" s="21" t="s">
        <v>688</v>
      </c>
      <c r="D1141" s="117" t="s">
        <v>360</v>
      </c>
      <c r="E1141" s="21" t="s">
        <v>9</v>
      </c>
      <c r="F1141" s="21" t="s">
        <v>417</v>
      </c>
      <c r="G1141" s="21">
        <v>101.96</v>
      </c>
      <c r="H1141" s="21"/>
      <c r="I1141" s="117" t="s">
        <v>325</v>
      </c>
      <c r="J1141" s="117" t="s">
        <v>325</v>
      </c>
      <c r="K1141" s="118">
        <v>30.59</v>
      </c>
      <c r="L1141" s="21"/>
      <c r="M1141" s="21"/>
      <c r="N1141" s="21"/>
      <c r="O1141" s="21"/>
      <c r="P1141" s="21">
        <v>71.37</v>
      </c>
      <c r="Q1141" s="21"/>
      <c r="R1141" s="21" t="s">
        <v>329</v>
      </c>
      <c r="S1141" s="119">
        <f>DATABASE_Table[[#This Row],[Inicial Asking Price (€) (Total)]]-DATABASE_Table[[#This Row],[Vista membership]]-DATABASE_Table[[#This Row],[FF&amp;E]]</f>
        <v>613003.19270000001</v>
      </c>
      <c r="T1141" s="125">
        <v>667603.19270000001</v>
      </c>
      <c r="U1141" s="124">
        <v>720000</v>
      </c>
      <c r="V1141" s="21">
        <v>24600</v>
      </c>
      <c r="W1141" s="21">
        <v>30000</v>
      </c>
      <c r="X1141" s="73">
        <f>DATABASE_Table[[#This Row],[Current Asking price( Total)]]-DATABASE_Table[[#This Row],[Vista membership]]-DATABASE_Table[[#This Row],[FF&amp;E]]</f>
        <v>665400</v>
      </c>
      <c r="Y1141" s="126"/>
      <c r="Z1141" s="124">
        <v>720000</v>
      </c>
      <c r="AA1141" s="73">
        <f>DATABASE_Table[[#This Row],[Sell price (Total)]]-DATABASE_Table[[#This Row],[FF&amp;E]]-DATABASE_Table[[#This Row],[Vista membership]]</f>
        <v>665400</v>
      </c>
      <c r="AB1141" s="74">
        <v>45807</v>
      </c>
      <c r="AC1141" s="74" t="str">
        <f t="shared" si="17"/>
        <v>Q2 2025</v>
      </c>
      <c r="AD1141" s="123"/>
      <c r="AE1141" s="69"/>
      <c r="AF1141" s="21" t="s">
        <v>10</v>
      </c>
      <c r="AG1141" s="21" t="s">
        <v>35</v>
      </c>
      <c r="AH1141" s="122" t="s">
        <v>43</v>
      </c>
      <c r="AI1141" s="122" t="s">
        <v>44</v>
      </c>
      <c r="AJ1141" s="122" t="s">
        <v>45</v>
      </c>
      <c r="AK1141" s="122" t="s">
        <v>46</v>
      </c>
      <c r="AL1141" s="21" t="s">
        <v>47</v>
      </c>
      <c r="AM1141" s="122" t="s">
        <v>42</v>
      </c>
      <c r="AN1141"/>
    </row>
    <row r="1142" spans="1:41" ht="16.2" customHeight="1" x14ac:dyDescent="0.3">
      <c r="A1142" t="s">
        <v>42</v>
      </c>
      <c r="B1142" s="21" t="s">
        <v>564</v>
      </c>
      <c r="C1142" s="21" t="s">
        <v>688</v>
      </c>
      <c r="D1142" s="117" t="s">
        <v>361</v>
      </c>
      <c r="E1142" s="21" t="s">
        <v>9</v>
      </c>
      <c r="F1142" s="21" t="s">
        <v>418</v>
      </c>
      <c r="G1142" s="21">
        <v>153.04</v>
      </c>
      <c r="H1142" s="21"/>
      <c r="I1142" s="117" t="s">
        <v>325</v>
      </c>
      <c r="J1142" s="117" t="s">
        <v>325</v>
      </c>
      <c r="K1142" s="118">
        <v>37.74</v>
      </c>
      <c r="L1142" s="21"/>
      <c r="M1142" s="21"/>
      <c r="N1142" s="21"/>
      <c r="O1142" s="21"/>
      <c r="P1142" s="21">
        <v>115.3</v>
      </c>
      <c r="Q1142" s="21"/>
      <c r="R1142" s="21" t="s">
        <v>329</v>
      </c>
      <c r="S1142" s="119">
        <f>DATABASE_Table[[#This Row],[Inicial Asking Price (€) (Total)]]-DATABASE_Table[[#This Row],[Vista membership]]-DATABASE_Table[[#This Row],[FF&amp;E]]</f>
        <v>1059822.0759999999</v>
      </c>
      <c r="T1142" s="125">
        <v>1134422.0759999999</v>
      </c>
      <c r="U1142" s="124">
        <v>1150000</v>
      </c>
      <c r="V1142" s="21">
        <v>24600</v>
      </c>
      <c r="W1142" s="21">
        <v>50000</v>
      </c>
      <c r="X1142" s="73">
        <f>DATABASE_Table[[#This Row],[Current Asking price( Total)]]-DATABASE_Table[[#This Row],[Vista membership]]-DATABASE_Table[[#This Row],[FF&amp;E]]</f>
        <v>1075400</v>
      </c>
      <c r="Y1142" s="126"/>
      <c r="Z1142" s="124">
        <v>1150000</v>
      </c>
      <c r="AA1142" s="73">
        <f>DATABASE_Table[[#This Row],[Sell price (Total)]]-DATABASE_Table[[#This Row],[FF&amp;E]]-DATABASE_Table[[#This Row],[Vista membership]]</f>
        <v>1075400</v>
      </c>
      <c r="AB1142" s="74">
        <v>45807</v>
      </c>
      <c r="AC1142" s="74" t="str">
        <f t="shared" si="17"/>
        <v>Q2 2025</v>
      </c>
      <c r="AD1142" s="123"/>
      <c r="AE1142" s="69"/>
      <c r="AF1142" s="21" t="s">
        <v>10</v>
      </c>
      <c r="AG1142" s="21" t="s">
        <v>35</v>
      </c>
      <c r="AH1142" s="122" t="s">
        <v>43</v>
      </c>
      <c r="AI1142" s="122" t="s">
        <v>44</v>
      </c>
      <c r="AJ1142" s="122" t="s">
        <v>45</v>
      </c>
      <c r="AK1142" s="122" t="s">
        <v>46</v>
      </c>
      <c r="AL1142" s="21" t="s">
        <v>47</v>
      </c>
      <c r="AM1142" s="122" t="s">
        <v>42</v>
      </c>
      <c r="AN1142"/>
    </row>
    <row r="1143" spans="1:41" x14ac:dyDescent="0.3">
      <c r="B1143" s="21"/>
      <c r="C1143" s="21"/>
      <c r="D1143" s="21"/>
      <c r="E1143" s="21"/>
      <c r="G1143" s="21"/>
      <c r="H1143" s="21"/>
      <c r="I1143" s="21"/>
      <c r="J1143" s="21"/>
      <c r="K1143" s="21"/>
      <c r="L1143" s="21"/>
      <c r="M1143" s="21"/>
      <c r="N1143" s="21"/>
      <c r="O1143" s="21"/>
      <c r="P1143" s="21"/>
      <c r="Q1143" s="21"/>
      <c r="R1143" s="21"/>
      <c r="S1143" s="21"/>
      <c r="T1143" s="21"/>
      <c r="U1143" s="36"/>
      <c r="V1143" s="36"/>
      <c r="W1143" s="21"/>
      <c r="X1143" s="21"/>
      <c r="Y1143" s="71"/>
      <c r="Z1143" s="37" t="s">
        <v>325</v>
      </c>
      <c r="AA1143" s="36"/>
      <c r="AB1143" s="75"/>
      <c r="AC1143" s="75"/>
      <c r="AD1143" s="21"/>
      <c r="AE1143" s="69"/>
      <c r="AF1143" s="21"/>
      <c r="AH1143" s="21"/>
      <c r="AI1143" s="21"/>
      <c r="AJ1143" s="21"/>
      <c r="AK1143" s="21"/>
      <c r="AL1143" s="21"/>
      <c r="AM1143" s="21"/>
      <c r="AN1143" s="21"/>
    </row>
    <row r="1144" spans="1:41" x14ac:dyDescent="0.3">
      <c r="B1144" s="21"/>
      <c r="C1144" s="21"/>
      <c r="D1144" s="21"/>
      <c r="E1144" s="21"/>
      <c r="G1144" s="21"/>
      <c r="H1144" s="21"/>
      <c r="I1144" s="21"/>
      <c r="J1144" s="21"/>
      <c r="K1144" s="21"/>
      <c r="L1144" s="21"/>
      <c r="M1144" s="21"/>
      <c r="N1144" s="21"/>
      <c r="O1144" s="21"/>
      <c r="P1144" s="21"/>
      <c r="Q1144" s="21"/>
      <c r="R1144" s="21"/>
      <c r="S1144" s="21"/>
      <c r="T1144" s="21"/>
      <c r="U1144" s="36"/>
      <c r="V1144" s="36"/>
      <c r="W1144" s="21"/>
      <c r="X1144" s="21"/>
      <c r="Y1144" s="71"/>
      <c r="Z1144" s="37" t="s">
        <v>325</v>
      </c>
      <c r="AA1144" s="36"/>
      <c r="AB1144" s="75"/>
      <c r="AC1144" s="75"/>
      <c r="AE1144" s="69"/>
      <c r="AF1144" s="81"/>
      <c r="AH1144" s="21"/>
      <c r="AI1144" s="21"/>
      <c r="AJ1144" s="21"/>
      <c r="AK1144" s="21"/>
      <c r="AL1144" s="21"/>
      <c r="AM1144" s="21"/>
      <c r="AN1144" s="21"/>
    </row>
    <row r="1145" spans="1:41" x14ac:dyDescent="0.3">
      <c r="B1145" s="21"/>
      <c r="C1145" s="21"/>
      <c r="D1145" s="21"/>
      <c r="E1145" s="21"/>
      <c r="G1145" s="21"/>
      <c r="H1145" s="21"/>
      <c r="I1145" s="21"/>
      <c r="J1145" s="21"/>
      <c r="K1145" s="21"/>
      <c r="L1145" s="21"/>
      <c r="M1145" s="21"/>
      <c r="N1145" s="21"/>
      <c r="O1145" s="21"/>
      <c r="P1145" s="21"/>
      <c r="Q1145" s="21"/>
      <c r="R1145" s="21"/>
      <c r="S1145" s="21"/>
      <c r="T1145" s="21"/>
      <c r="U1145" s="36"/>
      <c r="V1145" s="36"/>
      <c r="W1145" s="21"/>
      <c r="X1145" s="21"/>
      <c r="Y1145" s="71"/>
      <c r="Z1145" s="37" t="s">
        <v>325</v>
      </c>
      <c r="AA1145" s="36"/>
      <c r="AB1145" s="75"/>
      <c r="AC1145" s="75"/>
      <c r="AE1145" s="69"/>
      <c r="AF1145" s="21"/>
      <c r="AH1145" s="21"/>
      <c r="AI1145" s="21"/>
      <c r="AJ1145" s="21"/>
      <c r="AK1145" s="21"/>
      <c r="AL1145" s="21"/>
      <c r="AM1145" s="21"/>
      <c r="AN1145" s="21"/>
    </row>
    <row r="1146" spans="1:41" x14ac:dyDescent="0.3">
      <c r="B1146" s="21"/>
      <c r="C1146" s="21"/>
      <c r="D1146" s="21"/>
      <c r="E1146" s="21"/>
      <c r="G1146" s="21"/>
      <c r="H1146" s="21"/>
      <c r="I1146" s="21"/>
      <c r="J1146" s="21"/>
      <c r="K1146" s="21"/>
      <c r="L1146" s="21"/>
      <c r="M1146" s="21"/>
      <c r="N1146" s="21"/>
      <c r="O1146" s="21"/>
      <c r="P1146" s="21"/>
      <c r="Q1146" s="21"/>
      <c r="R1146" s="21"/>
      <c r="S1146" s="21"/>
      <c r="T1146" s="21"/>
      <c r="U1146" s="36"/>
      <c r="V1146" s="36"/>
      <c r="W1146" s="21"/>
      <c r="X1146" s="21"/>
      <c r="Y1146" s="71"/>
      <c r="Z1146" s="37" t="s">
        <v>325</v>
      </c>
      <c r="AA1146" s="36"/>
      <c r="AB1146" s="75"/>
      <c r="AC1146" s="75"/>
      <c r="AE1146" s="69"/>
      <c r="AF1146" s="21"/>
      <c r="AH1146" s="21"/>
      <c r="AI1146" s="21"/>
      <c r="AJ1146" s="21"/>
      <c r="AK1146" s="21"/>
      <c r="AL1146" s="21"/>
      <c r="AM1146" s="21"/>
      <c r="AN1146" s="21"/>
      <c r="AO1146" s="2"/>
    </row>
    <row r="1147" spans="1:41" x14ac:dyDescent="0.3">
      <c r="B1147" s="21"/>
      <c r="C1147" s="21"/>
      <c r="D1147" s="21"/>
      <c r="E1147" s="21"/>
      <c r="G1147" s="21"/>
      <c r="H1147" s="21"/>
      <c r="I1147" s="21"/>
      <c r="J1147" s="21"/>
      <c r="K1147" s="21"/>
      <c r="L1147" s="21"/>
      <c r="M1147" s="21"/>
      <c r="N1147" s="21"/>
      <c r="O1147" s="21"/>
      <c r="P1147" s="21"/>
      <c r="Q1147" s="21"/>
      <c r="R1147" s="21"/>
      <c r="S1147" s="21"/>
      <c r="T1147" s="21"/>
      <c r="U1147" s="36"/>
      <c r="V1147" s="36"/>
      <c r="W1147" s="21"/>
      <c r="X1147" s="21"/>
      <c r="Y1147" s="71"/>
      <c r="Z1147" s="37" t="s">
        <v>325</v>
      </c>
      <c r="AA1147" s="36"/>
      <c r="AB1147" s="75"/>
      <c r="AC1147" s="75"/>
      <c r="AE1147" s="69"/>
      <c r="AF1147" s="21"/>
      <c r="AH1147" s="21"/>
      <c r="AI1147" s="21"/>
      <c r="AJ1147" s="21"/>
      <c r="AK1147" s="21"/>
      <c r="AL1147" s="21"/>
      <c r="AM1147" s="21"/>
      <c r="AN1147" s="21"/>
      <c r="AO1147" s="2"/>
    </row>
    <row r="1148" spans="1:41" x14ac:dyDescent="0.3">
      <c r="B1148" s="21"/>
      <c r="C1148" s="21"/>
      <c r="D1148" s="21"/>
      <c r="E1148" s="21"/>
      <c r="G1148" s="21"/>
      <c r="H1148" s="21"/>
      <c r="I1148" s="21"/>
      <c r="J1148" s="21"/>
      <c r="K1148" s="21"/>
      <c r="L1148" s="21"/>
      <c r="M1148" s="21"/>
      <c r="N1148" s="21"/>
      <c r="O1148" s="21"/>
      <c r="P1148" s="21"/>
      <c r="Q1148" s="21"/>
      <c r="R1148" s="21"/>
      <c r="S1148" s="21"/>
      <c r="T1148" s="21"/>
      <c r="U1148" s="36"/>
      <c r="V1148" s="36"/>
      <c r="W1148" s="21"/>
      <c r="X1148" s="21"/>
      <c r="Y1148" s="71"/>
      <c r="Z1148" s="37" t="s">
        <v>325</v>
      </c>
      <c r="AA1148" s="36"/>
      <c r="AB1148" s="75"/>
      <c r="AC1148" s="75"/>
      <c r="AE1148" s="69"/>
      <c r="AF1148" s="21"/>
      <c r="AH1148" s="21"/>
      <c r="AI1148" s="21"/>
      <c r="AJ1148" s="21"/>
      <c r="AK1148" s="21"/>
      <c r="AL1148" s="21"/>
      <c r="AM1148" s="21"/>
      <c r="AN1148" s="21"/>
      <c r="AO1148" s="2"/>
    </row>
    <row r="1149" spans="1:41" x14ac:dyDescent="0.3">
      <c r="B1149" s="21"/>
      <c r="C1149" s="21"/>
      <c r="D1149" s="21"/>
      <c r="E1149" s="21"/>
      <c r="G1149" s="21"/>
      <c r="H1149" s="21"/>
      <c r="I1149" s="21"/>
      <c r="J1149" s="21"/>
      <c r="K1149" s="21"/>
      <c r="L1149" s="21"/>
      <c r="M1149" s="21"/>
      <c r="N1149" s="21"/>
      <c r="O1149" s="21"/>
      <c r="P1149" s="21"/>
      <c r="Q1149" s="21"/>
      <c r="R1149" s="21"/>
      <c r="S1149" s="21"/>
      <c r="T1149" s="21"/>
      <c r="U1149" s="36"/>
      <c r="V1149" s="36"/>
      <c r="W1149" s="21"/>
      <c r="X1149" s="21"/>
      <c r="Y1149" s="71"/>
      <c r="Z1149" s="37" t="s">
        <v>325</v>
      </c>
      <c r="AA1149" s="36"/>
      <c r="AB1149" s="75"/>
      <c r="AC1149" s="75"/>
      <c r="AE1149" s="69"/>
      <c r="AF1149" s="21"/>
      <c r="AH1149" s="21"/>
      <c r="AI1149" s="21"/>
      <c r="AJ1149" s="21"/>
      <c r="AK1149" s="21"/>
      <c r="AL1149" s="21"/>
      <c r="AM1149" s="21"/>
      <c r="AN1149" s="21"/>
    </row>
    <row r="1150" spans="1:41" x14ac:dyDescent="0.3">
      <c r="B1150" s="21"/>
      <c r="C1150" s="21"/>
      <c r="D1150" s="21"/>
      <c r="E1150" s="21"/>
      <c r="G1150" s="21"/>
      <c r="H1150" s="21"/>
      <c r="I1150" s="21"/>
      <c r="J1150" s="21"/>
      <c r="K1150" s="21"/>
      <c r="L1150" s="21"/>
      <c r="M1150" s="21"/>
      <c r="N1150" s="21"/>
      <c r="O1150" s="21"/>
      <c r="P1150" s="21"/>
      <c r="Q1150" s="21"/>
      <c r="R1150" s="21"/>
      <c r="S1150" s="21"/>
      <c r="T1150" s="21"/>
      <c r="U1150" s="36"/>
      <c r="V1150" s="36"/>
      <c r="W1150" s="21"/>
      <c r="X1150" s="21"/>
      <c r="Y1150" s="71"/>
      <c r="Z1150" s="37" t="s">
        <v>325</v>
      </c>
      <c r="AA1150" s="36"/>
      <c r="AB1150" s="75"/>
      <c r="AC1150" s="75"/>
      <c r="AE1150" s="69"/>
      <c r="AF1150" s="21"/>
      <c r="AH1150" s="21"/>
      <c r="AI1150" s="21"/>
      <c r="AJ1150" s="21"/>
      <c r="AK1150" s="21"/>
      <c r="AL1150" s="21"/>
      <c r="AM1150" s="21"/>
      <c r="AN1150" s="21"/>
    </row>
    <row r="1151" spans="1:41" x14ac:dyDescent="0.3">
      <c r="B1151" s="21"/>
      <c r="C1151" s="21"/>
      <c r="D1151" s="21"/>
      <c r="E1151" s="21"/>
      <c r="G1151" s="21"/>
      <c r="H1151" s="21"/>
      <c r="I1151" s="21"/>
      <c r="J1151" s="21"/>
      <c r="K1151" s="21"/>
      <c r="L1151" s="21"/>
      <c r="M1151" s="21"/>
      <c r="N1151" s="21"/>
      <c r="O1151" s="21"/>
      <c r="P1151" s="21"/>
      <c r="Q1151" s="21"/>
      <c r="R1151" s="21"/>
      <c r="S1151" s="21"/>
      <c r="T1151" s="21"/>
      <c r="U1151" s="36"/>
      <c r="V1151" s="36"/>
      <c r="W1151" s="21"/>
      <c r="X1151" s="21"/>
      <c r="Y1151" s="71"/>
      <c r="Z1151" s="37" t="s">
        <v>325</v>
      </c>
      <c r="AA1151" s="36"/>
      <c r="AB1151" s="75"/>
      <c r="AC1151" s="75"/>
      <c r="AE1151" s="69"/>
      <c r="AF1151" s="21"/>
      <c r="AH1151" s="21"/>
      <c r="AI1151" s="21"/>
      <c r="AJ1151" s="21"/>
      <c r="AK1151" s="21"/>
      <c r="AL1151" s="21"/>
      <c r="AM1151" s="21"/>
      <c r="AN1151" s="21"/>
    </row>
    <row r="1152" spans="1:41" x14ac:dyDescent="0.3">
      <c r="B1152" s="21"/>
      <c r="C1152" s="21"/>
      <c r="D1152" s="21"/>
      <c r="E1152" s="21"/>
      <c r="G1152" s="21"/>
      <c r="H1152" s="21"/>
      <c r="I1152" s="21"/>
      <c r="J1152" s="21"/>
      <c r="K1152" s="21"/>
      <c r="L1152" s="21"/>
      <c r="M1152" s="21"/>
      <c r="N1152" s="21"/>
      <c r="O1152" s="21"/>
      <c r="P1152" s="21"/>
      <c r="Q1152" s="21"/>
      <c r="R1152" s="21"/>
      <c r="S1152" s="21"/>
      <c r="T1152" s="21"/>
      <c r="U1152" s="36"/>
      <c r="V1152" s="36"/>
      <c r="W1152" s="21"/>
      <c r="X1152" s="21"/>
      <c r="Y1152" s="71"/>
      <c r="Z1152" s="37" t="s">
        <v>325</v>
      </c>
      <c r="AA1152" s="36"/>
      <c r="AB1152" s="75"/>
      <c r="AC1152" s="75"/>
      <c r="AE1152" s="69"/>
      <c r="AF1152" s="21"/>
      <c r="AH1152" s="21"/>
      <c r="AI1152" s="21"/>
      <c r="AJ1152" s="21"/>
      <c r="AK1152" s="21"/>
      <c r="AL1152" s="21"/>
      <c r="AM1152" s="21"/>
      <c r="AN1152" s="21"/>
    </row>
    <row r="1153" spans="2:40" x14ac:dyDescent="0.3">
      <c r="B1153" s="21"/>
      <c r="C1153" s="21"/>
      <c r="D1153" s="21"/>
      <c r="E1153" s="21"/>
      <c r="G1153" s="21"/>
      <c r="H1153" s="21"/>
      <c r="I1153" s="21"/>
      <c r="J1153" s="21"/>
      <c r="K1153" s="21"/>
      <c r="L1153" s="21"/>
      <c r="M1153" s="21"/>
      <c r="N1153" s="21"/>
      <c r="O1153" s="21"/>
      <c r="P1153" s="21"/>
      <c r="Q1153" s="21"/>
      <c r="R1153" s="21"/>
      <c r="S1153" s="21"/>
      <c r="T1153" s="21"/>
      <c r="U1153" s="36"/>
      <c r="V1153" s="36"/>
      <c r="W1153" s="21"/>
      <c r="X1153" s="21"/>
      <c r="Y1153" s="71"/>
      <c r="Z1153" s="37" t="s">
        <v>325</v>
      </c>
      <c r="AA1153" s="36"/>
      <c r="AB1153" s="75"/>
      <c r="AC1153" s="75"/>
      <c r="AE1153" s="69"/>
      <c r="AF1153" s="21"/>
      <c r="AH1153" s="21"/>
      <c r="AI1153" s="21"/>
      <c r="AJ1153" s="21"/>
      <c r="AK1153" s="21"/>
      <c r="AL1153" s="21"/>
      <c r="AM1153" s="21"/>
      <c r="AN1153" s="21"/>
    </row>
    <row r="1154" spans="2:40" x14ac:dyDescent="0.3">
      <c r="B1154" s="21"/>
      <c r="C1154" s="21"/>
      <c r="D1154" s="21"/>
      <c r="E1154" s="21"/>
      <c r="G1154" s="21"/>
      <c r="H1154" s="21"/>
      <c r="I1154" s="21"/>
      <c r="J1154" s="21"/>
      <c r="K1154" s="21"/>
      <c r="L1154" s="21"/>
      <c r="M1154" s="21"/>
      <c r="N1154" s="21"/>
      <c r="O1154" s="21"/>
      <c r="P1154" s="21"/>
      <c r="Q1154" s="21"/>
      <c r="R1154" s="21"/>
      <c r="S1154" s="21"/>
      <c r="T1154" s="21"/>
      <c r="U1154" s="36"/>
      <c r="V1154" s="36"/>
      <c r="W1154" s="21"/>
      <c r="X1154" s="21"/>
      <c r="Y1154" s="71"/>
      <c r="Z1154" s="37" t="s">
        <v>325</v>
      </c>
      <c r="AA1154" s="36"/>
      <c r="AB1154" s="75"/>
      <c r="AC1154" s="75"/>
      <c r="AE1154" s="69"/>
      <c r="AF1154" s="21"/>
      <c r="AH1154" s="21"/>
      <c r="AI1154" s="21"/>
      <c r="AJ1154" s="21"/>
      <c r="AK1154" s="21"/>
      <c r="AL1154" s="21"/>
      <c r="AM1154" s="21"/>
      <c r="AN1154" s="21"/>
    </row>
    <row r="1155" spans="2:40" x14ac:dyDescent="0.3">
      <c r="B1155" s="21"/>
      <c r="C1155" s="21"/>
      <c r="D1155" s="21"/>
      <c r="E1155" s="21"/>
      <c r="G1155" s="21"/>
      <c r="H1155" s="21"/>
      <c r="I1155" s="21"/>
      <c r="J1155" s="21"/>
      <c r="K1155" s="21"/>
      <c r="L1155" s="21"/>
      <c r="M1155" s="21"/>
      <c r="N1155" s="21"/>
      <c r="O1155" s="21"/>
      <c r="P1155" s="21"/>
      <c r="Q1155" s="21"/>
      <c r="R1155" s="21"/>
      <c r="S1155" s="21"/>
      <c r="T1155" s="21"/>
      <c r="U1155" s="36"/>
      <c r="V1155" s="36"/>
      <c r="W1155" s="21"/>
      <c r="X1155" s="21"/>
      <c r="Y1155" s="71"/>
      <c r="Z1155" s="37" t="s">
        <v>325</v>
      </c>
      <c r="AA1155" s="36"/>
      <c r="AB1155" s="75"/>
      <c r="AC1155" s="75"/>
      <c r="AE1155" s="69"/>
      <c r="AF1155" s="21"/>
      <c r="AH1155" s="21"/>
      <c r="AI1155" s="21"/>
      <c r="AJ1155" s="21"/>
      <c r="AK1155" s="21"/>
      <c r="AL1155" s="21"/>
      <c r="AM1155" s="21"/>
      <c r="AN1155" s="21"/>
    </row>
    <row r="1156" spans="2:40" x14ac:dyDescent="0.3">
      <c r="B1156" s="21"/>
      <c r="C1156" s="21"/>
      <c r="D1156" s="21"/>
      <c r="E1156" s="21"/>
      <c r="G1156" s="21"/>
      <c r="H1156" s="21"/>
      <c r="I1156" s="21"/>
      <c r="J1156" s="21"/>
      <c r="K1156" s="21"/>
      <c r="L1156" s="21"/>
      <c r="M1156" s="21"/>
      <c r="N1156" s="21"/>
      <c r="O1156" s="21"/>
      <c r="P1156" s="21"/>
      <c r="Q1156" s="21"/>
      <c r="R1156" s="21"/>
      <c r="S1156" s="21"/>
      <c r="T1156" s="21"/>
      <c r="U1156" s="36"/>
      <c r="V1156" s="36"/>
      <c r="W1156" s="21"/>
      <c r="X1156" s="21"/>
      <c r="Y1156" s="71"/>
      <c r="Z1156" s="37" t="s">
        <v>325</v>
      </c>
      <c r="AA1156" s="36"/>
      <c r="AB1156" s="75"/>
      <c r="AC1156" s="75"/>
      <c r="AE1156" s="69"/>
      <c r="AF1156" s="21"/>
      <c r="AH1156" s="21"/>
      <c r="AI1156" s="21"/>
      <c r="AJ1156" s="21"/>
      <c r="AK1156" s="21"/>
      <c r="AL1156" s="21"/>
      <c r="AM1156" s="21"/>
      <c r="AN1156" s="21"/>
    </row>
    <row r="1157" spans="2:40" x14ac:dyDescent="0.3">
      <c r="B1157" s="21"/>
      <c r="C1157" s="21"/>
      <c r="D1157" s="21"/>
      <c r="E1157" s="21"/>
      <c r="G1157" s="21"/>
      <c r="H1157" s="21"/>
      <c r="I1157" s="21"/>
      <c r="J1157" s="21"/>
      <c r="K1157" s="21"/>
      <c r="L1157" s="21"/>
      <c r="M1157" s="21"/>
      <c r="N1157" s="21"/>
      <c r="O1157" s="21"/>
      <c r="P1157" s="21"/>
      <c r="Q1157" s="21"/>
      <c r="R1157" s="21"/>
      <c r="S1157" s="21"/>
      <c r="T1157" s="21"/>
      <c r="U1157" s="36"/>
      <c r="V1157" s="36"/>
      <c r="W1157" s="21"/>
      <c r="X1157" s="21"/>
      <c r="Y1157" s="71"/>
      <c r="Z1157" s="37" t="s">
        <v>325</v>
      </c>
      <c r="AA1157" s="36"/>
      <c r="AB1157" s="75"/>
      <c r="AC1157" s="75"/>
      <c r="AE1157" s="69"/>
      <c r="AF1157" s="21"/>
      <c r="AH1157" s="21"/>
      <c r="AI1157" s="21"/>
      <c r="AJ1157" s="21"/>
      <c r="AK1157" s="21"/>
      <c r="AL1157" s="21"/>
      <c r="AM1157" s="21"/>
      <c r="AN1157" s="21"/>
    </row>
    <row r="1158" spans="2:40" x14ac:dyDescent="0.3">
      <c r="B1158" s="21"/>
      <c r="C1158" s="21"/>
      <c r="D1158" s="21"/>
      <c r="E1158" s="21"/>
      <c r="G1158" s="21"/>
      <c r="H1158" s="21"/>
      <c r="I1158" s="21"/>
      <c r="J1158" s="21"/>
      <c r="K1158" s="21"/>
      <c r="L1158" s="21"/>
      <c r="M1158" s="21"/>
      <c r="N1158" s="21"/>
      <c r="O1158" s="21"/>
      <c r="P1158" s="21"/>
      <c r="Q1158" s="21"/>
      <c r="R1158" s="21"/>
      <c r="S1158" s="21"/>
      <c r="T1158" s="21"/>
      <c r="U1158" s="36"/>
      <c r="V1158" s="36"/>
      <c r="W1158" s="21"/>
      <c r="X1158" s="21"/>
      <c r="Y1158" s="71"/>
      <c r="Z1158" s="37" t="s">
        <v>325</v>
      </c>
      <c r="AA1158" s="36"/>
      <c r="AB1158" s="75"/>
      <c r="AC1158" s="75"/>
      <c r="AE1158" s="69"/>
      <c r="AF1158" s="21"/>
      <c r="AH1158" s="21"/>
      <c r="AI1158" s="21"/>
      <c r="AJ1158" s="21"/>
      <c r="AK1158" s="21"/>
      <c r="AL1158" s="21"/>
      <c r="AM1158" s="21"/>
      <c r="AN1158" s="21"/>
    </row>
    <row r="1159" spans="2:40" x14ac:dyDescent="0.3">
      <c r="B1159" s="21"/>
      <c r="C1159" s="21"/>
      <c r="D1159" s="21"/>
      <c r="E1159" s="21"/>
      <c r="G1159" s="21"/>
      <c r="H1159" s="21"/>
      <c r="I1159" s="21"/>
      <c r="J1159" s="21"/>
      <c r="K1159" s="21"/>
      <c r="L1159" s="21"/>
      <c r="M1159" s="21"/>
      <c r="N1159" s="21"/>
      <c r="O1159" s="21"/>
      <c r="P1159" s="21"/>
      <c r="Q1159" s="21"/>
      <c r="R1159" s="21"/>
      <c r="S1159" s="21"/>
      <c r="T1159" s="21"/>
      <c r="U1159" s="36"/>
      <c r="V1159" s="36"/>
      <c r="W1159" s="21"/>
      <c r="X1159" s="21"/>
      <c r="Y1159" s="71"/>
      <c r="Z1159" s="37" t="s">
        <v>325</v>
      </c>
      <c r="AA1159" s="36"/>
      <c r="AB1159" s="75"/>
      <c r="AC1159" s="75"/>
      <c r="AE1159" s="69"/>
      <c r="AF1159" s="21"/>
      <c r="AH1159" s="21"/>
      <c r="AI1159" s="21"/>
      <c r="AJ1159" s="21"/>
      <c r="AK1159" s="21"/>
      <c r="AL1159" s="21"/>
      <c r="AM1159" s="21"/>
      <c r="AN1159" s="21"/>
    </row>
    <row r="1160" spans="2:40" x14ac:dyDescent="0.3">
      <c r="B1160" s="21"/>
      <c r="C1160" s="21"/>
      <c r="D1160" s="21"/>
      <c r="E1160" s="21"/>
      <c r="G1160" s="21"/>
      <c r="H1160" s="21"/>
      <c r="I1160" s="21"/>
      <c r="J1160" s="21"/>
      <c r="K1160" s="21"/>
      <c r="L1160" s="21"/>
      <c r="M1160" s="21"/>
      <c r="N1160" s="21"/>
      <c r="O1160" s="21"/>
      <c r="P1160" s="21"/>
      <c r="Q1160" s="21"/>
      <c r="R1160" s="21"/>
      <c r="S1160" s="21"/>
      <c r="T1160" s="21"/>
      <c r="U1160" s="36"/>
      <c r="V1160" s="36"/>
      <c r="W1160" s="21"/>
      <c r="X1160" s="21"/>
      <c r="Y1160" s="71"/>
      <c r="Z1160" s="37" t="s">
        <v>325</v>
      </c>
      <c r="AA1160" s="36"/>
      <c r="AB1160" s="75"/>
      <c r="AC1160" s="75"/>
      <c r="AE1160" s="69"/>
      <c r="AF1160" s="21"/>
      <c r="AH1160" s="21"/>
      <c r="AI1160" s="21"/>
      <c r="AJ1160" s="21"/>
      <c r="AK1160" s="21"/>
      <c r="AL1160" s="21"/>
      <c r="AM1160" s="21"/>
      <c r="AN1160" s="21"/>
    </row>
    <row r="1161" spans="2:40" x14ac:dyDescent="0.3">
      <c r="B1161" s="21"/>
      <c r="C1161" s="21"/>
      <c r="D1161" s="21"/>
      <c r="E1161" s="21"/>
      <c r="G1161" s="21"/>
      <c r="H1161" s="21"/>
      <c r="I1161" s="21"/>
      <c r="J1161" s="21"/>
      <c r="K1161" s="21"/>
      <c r="L1161" s="21"/>
      <c r="M1161" s="21"/>
      <c r="N1161" s="21"/>
      <c r="O1161" s="21"/>
      <c r="P1161" s="21"/>
      <c r="Q1161" s="21"/>
      <c r="R1161" s="21"/>
      <c r="S1161" s="21"/>
      <c r="T1161" s="21"/>
      <c r="U1161" s="36"/>
      <c r="V1161" s="36"/>
      <c r="W1161" s="21"/>
      <c r="X1161" s="21"/>
      <c r="Y1161" s="71"/>
      <c r="Z1161" s="37" t="s">
        <v>325</v>
      </c>
      <c r="AA1161" s="36"/>
      <c r="AB1161" s="75"/>
      <c r="AC1161" s="75"/>
      <c r="AE1161" s="69"/>
      <c r="AF1161" s="21"/>
      <c r="AH1161" s="21"/>
      <c r="AI1161" s="21"/>
      <c r="AJ1161" s="21"/>
      <c r="AK1161" s="21"/>
      <c r="AL1161" s="21"/>
      <c r="AM1161" s="21"/>
      <c r="AN1161" s="21"/>
    </row>
    <row r="1162" spans="2:40" x14ac:dyDescent="0.3">
      <c r="B1162" s="21"/>
      <c r="C1162" s="21"/>
      <c r="D1162" s="21"/>
      <c r="E1162" s="21"/>
      <c r="G1162" s="21"/>
      <c r="H1162" s="21"/>
      <c r="I1162" s="21"/>
      <c r="J1162" s="21"/>
      <c r="K1162" s="21"/>
      <c r="L1162" s="21"/>
      <c r="M1162" s="21"/>
      <c r="N1162" s="21"/>
      <c r="O1162" s="21"/>
      <c r="P1162" s="21"/>
      <c r="Q1162" s="21"/>
      <c r="R1162" s="21"/>
      <c r="S1162" s="21"/>
      <c r="T1162" s="21"/>
      <c r="U1162" s="36"/>
      <c r="V1162" s="36"/>
      <c r="W1162" s="21"/>
      <c r="X1162" s="21"/>
      <c r="Y1162" s="71"/>
      <c r="Z1162" s="37" t="s">
        <v>325</v>
      </c>
      <c r="AA1162" s="36"/>
      <c r="AB1162" s="75"/>
      <c r="AC1162" s="75"/>
      <c r="AE1162" s="69"/>
      <c r="AF1162" s="21"/>
      <c r="AH1162" s="21"/>
      <c r="AI1162" s="21"/>
      <c r="AJ1162" s="21"/>
      <c r="AK1162" s="21"/>
      <c r="AL1162" s="21"/>
      <c r="AM1162" s="21"/>
      <c r="AN1162" s="21"/>
    </row>
    <row r="1163" spans="2:40" x14ac:dyDescent="0.3">
      <c r="B1163" s="21"/>
      <c r="C1163" s="21"/>
      <c r="D1163" s="21"/>
      <c r="E1163" s="21"/>
      <c r="G1163" s="21"/>
      <c r="H1163" s="21"/>
      <c r="I1163" s="21"/>
      <c r="J1163" s="21"/>
      <c r="K1163" s="21"/>
      <c r="L1163" s="21"/>
      <c r="M1163" s="21"/>
      <c r="N1163" s="21"/>
      <c r="O1163" s="21"/>
      <c r="P1163" s="21"/>
      <c r="Q1163" s="21"/>
      <c r="R1163" s="21"/>
      <c r="S1163" s="21"/>
      <c r="T1163" s="21"/>
      <c r="U1163" s="36"/>
      <c r="V1163" s="36"/>
      <c r="W1163" s="21"/>
      <c r="X1163" s="21"/>
      <c r="Y1163" s="71"/>
      <c r="Z1163" s="37" t="s">
        <v>325</v>
      </c>
      <c r="AA1163" s="36"/>
      <c r="AB1163" s="75"/>
      <c r="AC1163" s="75"/>
      <c r="AE1163" s="69"/>
      <c r="AF1163" s="21"/>
      <c r="AH1163" s="21"/>
      <c r="AI1163" s="21"/>
      <c r="AJ1163" s="21"/>
      <c r="AK1163" s="21"/>
      <c r="AL1163" s="21"/>
      <c r="AM1163" s="21"/>
      <c r="AN1163" s="21"/>
    </row>
    <row r="1164" spans="2:40" x14ac:dyDescent="0.3">
      <c r="B1164" s="21"/>
      <c r="C1164" s="21"/>
      <c r="D1164" s="21"/>
      <c r="E1164" s="21"/>
      <c r="G1164" s="21"/>
      <c r="H1164" s="21"/>
      <c r="I1164" s="21"/>
      <c r="J1164" s="21"/>
      <c r="K1164" s="21"/>
      <c r="L1164" s="21"/>
      <c r="M1164" s="21"/>
      <c r="N1164" s="21"/>
      <c r="O1164" s="21"/>
      <c r="P1164" s="21"/>
      <c r="Q1164" s="21"/>
      <c r="R1164" s="21"/>
      <c r="S1164" s="21"/>
      <c r="T1164" s="21"/>
      <c r="U1164" s="36"/>
      <c r="V1164" s="36"/>
      <c r="W1164" s="21"/>
      <c r="X1164" s="21"/>
      <c r="Y1164" s="71"/>
      <c r="Z1164" s="37" t="s">
        <v>325</v>
      </c>
      <c r="AA1164" s="36"/>
      <c r="AB1164" s="75"/>
      <c r="AC1164" s="75"/>
      <c r="AE1164" s="69"/>
      <c r="AF1164" s="21"/>
      <c r="AH1164" s="21"/>
      <c r="AI1164" s="21"/>
      <c r="AJ1164" s="21"/>
      <c r="AK1164" s="21"/>
      <c r="AL1164" s="21"/>
      <c r="AM1164" s="21"/>
      <c r="AN1164" s="21"/>
    </row>
    <row r="1165" spans="2:40" x14ac:dyDescent="0.3">
      <c r="B1165" s="21"/>
      <c r="C1165" s="21"/>
      <c r="D1165" s="21"/>
      <c r="E1165" s="21"/>
      <c r="G1165" s="21"/>
      <c r="H1165" s="21"/>
      <c r="I1165" s="21"/>
      <c r="J1165" s="21"/>
      <c r="K1165" s="21"/>
      <c r="L1165" s="21"/>
      <c r="M1165" s="21"/>
      <c r="N1165" s="21"/>
      <c r="O1165" s="21"/>
      <c r="P1165" s="21"/>
      <c r="Q1165" s="21"/>
      <c r="R1165" s="21"/>
      <c r="S1165" s="21"/>
      <c r="T1165" s="21"/>
      <c r="U1165" s="36"/>
      <c r="V1165" s="36"/>
      <c r="W1165" s="21"/>
      <c r="X1165" s="21"/>
      <c r="Y1165" s="71"/>
      <c r="Z1165" s="37" t="s">
        <v>325</v>
      </c>
      <c r="AA1165" s="36"/>
      <c r="AB1165" s="75"/>
      <c r="AC1165" s="75"/>
      <c r="AE1165" s="69"/>
      <c r="AF1165" s="21"/>
      <c r="AH1165" s="21"/>
      <c r="AI1165" s="21"/>
      <c r="AJ1165" s="21"/>
      <c r="AK1165" s="21"/>
      <c r="AL1165" s="21"/>
      <c r="AM1165" s="21"/>
      <c r="AN1165" s="21"/>
    </row>
    <row r="1169" spans="5:40" x14ac:dyDescent="0.3">
      <c r="E1169" s="21"/>
      <c r="AH1169" s="21"/>
      <c r="AI1169" s="21"/>
      <c r="AJ1169" s="21"/>
      <c r="AK1169" s="21"/>
      <c r="AL1169" s="21"/>
      <c r="AM1169" s="21"/>
      <c r="AN1169" s="21"/>
    </row>
    <row r="1170" spans="5:40" x14ac:dyDescent="0.3">
      <c r="E1170" s="21"/>
      <c r="AH1170" s="21"/>
      <c r="AI1170" s="21"/>
      <c r="AJ1170" s="21"/>
      <c r="AK1170" s="21"/>
      <c r="AL1170" s="21"/>
      <c r="AM1170" s="21"/>
      <c r="AN1170" s="21"/>
    </row>
    <row r="1171" spans="5:40" x14ac:dyDescent="0.3">
      <c r="E1171" s="21"/>
      <c r="AH1171" s="21"/>
      <c r="AI1171" s="21"/>
      <c r="AJ1171" s="21"/>
      <c r="AK1171" s="21"/>
      <c r="AL1171" s="21"/>
      <c r="AM1171" s="21"/>
      <c r="AN1171" s="21"/>
    </row>
    <row r="1172" spans="5:40" x14ac:dyDescent="0.3">
      <c r="E1172" s="21"/>
      <c r="AH1172" s="21"/>
      <c r="AI1172" s="21"/>
      <c r="AJ1172" s="21"/>
      <c r="AK1172" s="21"/>
      <c r="AL1172" s="21"/>
      <c r="AM1172" s="21"/>
      <c r="AN1172" s="21"/>
    </row>
    <row r="1173" spans="5:40" x14ac:dyDescent="0.3">
      <c r="E1173" s="21"/>
      <c r="AH1173" s="21"/>
      <c r="AI1173" s="21"/>
      <c r="AJ1173" s="21"/>
      <c r="AK1173" s="21"/>
      <c r="AL1173" s="21"/>
      <c r="AM1173" s="21"/>
      <c r="AN1173" s="21"/>
    </row>
    <row r="1174" spans="5:40" x14ac:dyDescent="0.3">
      <c r="E1174" s="21"/>
      <c r="AH1174" s="21"/>
      <c r="AI1174" s="21"/>
      <c r="AJ1174" s="21"/>
      <c r="AK1174" s="21"/>
      <c r="AL1174" s="21"/>
      <c r="AM1174" s="21"/>
      <c r="AN1174" s="21"/>
    </row>
    <row r="1175" spans="5:40" x14ac:dyDescent="0.3">
      <c r="E1175" s="21"/>
      <c r="AH1175" s="21"/>
      <c r="AI1175" s="21"/>
      <c r="AJ1175" s="21"/>
      <c r="AK1175" s="21"/>
      <c r="AL1175" s="21"/>
      <c r="AM1175" s="21"/>
      <c r="AN1175" s="21"/>
    </row>
    <row r="1176" spans="5:40" x14ac:dyDescent="0.3">
      <c r="E1176" s="21"/>
      <c r="AH1176" s="21"/>
      <c r="AI1176" s="21"/>
      <c r="AJ1176" s="21"/>
      <c r="AK1176" s="21"/>
      <c r="AL1176" s="21"/>
      <c r="AM1176" s="21"/>
      <c r="AN1176" s="21"/>
    </row>
    <row r="1177" spans="5:40" x14ac:dyDescent="0.3">
      <c r="E1177" s="21"/>
      <c r="AH1177" s="21"/>
      <c r="AI1177" s="21"/>
      <c r="AJ1177" s="21"/>
      <c r="AK1177" s="21"/>
      <c r="AL1177" s="21"/>
      <c r="AM1177" s="21"/>
      <c r="AN1177" s="21"/>
    </row>
    <row r="1178" spans="5:40" x14ac:dyDescent="0.3">
      <c r="E1178" s="21"/>
      <c r="AH1178" s="21"/>
      <c r="AI1178" s="21"/>
      <c r="AJ1178" s="21"/>
      <c r="AK1178" s="21"/>
      <c r="AL1178" s="21"/>
      <c r="AM1178" s="21"/>
      <c r="AN1178" s="21"/>
    </row>
    <row r="1179" spans="5:40" x14ac:dyDescent="0.3">
      <c r="E1179" s="21"/>
      <c r="AH1179" s="21"/>
      <c r="AI1179" s="21"/>
      <c r="AJ1179" s="21"/>
      <c r="AK1179" s="21"/>
      <c r="AL1179" s="21"/>
      <c r="AM1179" s="21"/>
      <c r="AN1179" s="21"/>
    </row>
    <row r="1180" spans="5:40" x14ac:dyDescent="0.3">
      <c r="E1180" s="21"/>
      <c r="AH1180" s="21"/>
      <c r="AI1180" s="21"/>
      <c r="AJ1180" s="21"/>
      <c r="AK1180" s="21"/>
      <c r="AL1180" s="21"/>
      <c r="AM1180" s="21"/>
      <c r="AN1180" s="21"/>
    </row>
    <row r="1181" spans="5:40" x14ac:dyDescent="0.3">
      <c r="E1181" s="21"/>
      <c r="AH1181" s="21"/>
      <c r="AI1181" s="21"/>
      <c r="AJ1181" s="21"/>
      <c r="AK1181" s="21"/>
      <c r="AL1181" s="21"/>
      <c r="AM1181" s="21"/>
      <c r="AN1181" s="21"/>
    </row>
    <row r="1182" spans="5:40" x14ac:dyDescent="0.3">
      <c r="E1182" s="21"/>
      <c r="AH1182" s="21"/>
      <c r="AI1182" s="21"/>
      <c r="AJ1182" s="21"/>
      <c r="AK1182" s="21"/>
      <c r="AL1182" s="21"/>
      <c r="AM1182" s="21"/>
      <c r="AN1182" s="21"/>
    </row>
    <row r="1183" spans="5:40" x14ac:dyDescent="0.3">
      <c r="E1183" s="21"/>
      <c r="AH1183" s="21"/>
      <c r="AI1183" s="21"/>
      <c r="AJ1183" s="21"/>
      <c r="AK1183" s="21"/>
      <c r="AL1183" s="21"/>
      <c r="AM1183" s="21"/>
      <c r="AN1183" s="21"/>
    </row>
    <row r="1184" spans="5:40" x14ac:dyDescent="0.3">
      <c r="E1184" s="21"/>
      <c r="AH1184" s="21"/>
      <c r="AI1184" s="21"/>
      <c r="AJ1184" s="21"/>
      <c r="AK1184" s="21"/>
      <c r="AL1184" s="21"/>
      <c r="AM1184" s="21"/>
      <c r="AN1184" s="21"/>
    </row>
    <row r="1185" spans="5:40" x14ac:dyDescent="0.3">
      <c r="E1185" s="21"/>
      <c r="AH1185" s="21"/>
      <c r="AI1185" s="21"/>
      <c r="AJ1185" s="21"/>
      <c r="AK1185" s="21"/>
      <c r="AL1185" s="21"/>
      <c r="AM1185" s="21"/>
      <c r="AN1185" s="21"/>
    </row>
    <row r="1186" spans="5:40" x14ac:dyDescent="0.3">
      <c r="E1186" s="21"/>
      <c r="AH1186" s="21"/>
      <c r="AI1186" s="21"/>
      <c r="AJ1186" s="21"/>
      <c r="AK1186" s="21"/>
      <c r="AL1186" s="21"/>
      <c r="AM1186" s="21"/>
      <c r="AN1186" s="21"/>
    </row>
    <row r="1187" spans="5:40" x14ac:dyDescent="0.3">
      <c r="E1187" s="21"/>
      <c r="AH1187" s="21"/>
      <c r="AI1187" s="21"/>
      <c r="AJ1187" s="21"/>
      <c r="AK1187" s="21"/>
      <c r="AL1187" s="21"/>
      <c r="AM1187" s="21"/>
      <c r="AN1187" s="21"/>
    </row>
    <row r="1188" spans="5:40" x14ac:dyDescent="0.3">
      <c r="E1188" s="21"/>
      <c r="AH1188" s="21"/>
      <c r="AI1188" s="21"/>
      <c r="AJ1188" s="21"/>
      <c r="AK1188" s="21"/>
      <c r="AL1188" s="21"/>
      <c r="AM1188" s="21"/>
      <c r="AN1188" s="21"/>
    </row>
    <row r="1189" spans="5:40" x14ac:dyDescent="0.3">
      <c r="E1189" s="21"/>
      <c r="AH1189" s="21"/>
      <c r="AI1189" s="21"/>
      <c r="AJ1189" s="21"/>
      <c r="AK1189" s="21"/>
      <c r="AL1189" s="21"/>
      <c r="AM1189" s="21"/>
      <c r="AN1189" s="21"/>
    </row>
    <row r="1190" spans="5:40" x14ac:dyDescent="0.3">
      <c r="E1190" s="21"/>
      <c r="AH1190" s="21"/>
      <c r="AI1190" s="21"/>
      <c r="AJ1190" s="21"/>
      <c r="AK1190" s="21"/>
      <c r="AL1190" s="21"/>
      <c r="AM1190" s="21"/>
      <c r="AN1190" s="21"/>
    </row>
    <row r="1191" spans="5:40" x14ac:dyDescent="0.3">
      <c r="E1191" s="21"/>
      <c r="AH1191" s="21"/>
      <c r="AI1191" s="21"/>
      <c r="AJ1191" s="21"/>
      <c r="AK1191" s="21"/>
      <c r="AL1191" s="21"/>
      <c r="AM1191" s="21"/>
      <c r="AN1191" s="21"/>
    </row>
    <row r="1192" spans="5:40" x14ac:dyDescent="0.3">
      <c r="E1192" s="21"/>
      <c r="AH1192" s="21"/>
      <c r="AI1192" s="21"/>
      <c r="AJ1192" s="21"/>
      <c r="AK1192" s="21"/>
      <c r="AL1192" s="21"/>
      <c r="AM1192" s="21"/>
      <c r="AN1192" s="21"/>
    </row>
    <row r="1193" spans="5:40" x14ac:dyDescent="0.3">
      <c r="E1193" s="21"/>
      <c r="AH1193" s="21"/>
      <c r="AI1193" s="21"/>
      <c r="AJ1193" s="21"/>
      <c r="AK1193" s="21"/>
      <c r="AL1193" s="21"/>
      <c r="AM1193" s="21"/>
      <c r="AN1193" s="21"/>
    </row>
    <row r="1194" spans="5:40" x14ac:dyDescent="0.3">
      <c r="E1194" s="21"/>
      <c r="AH1194" s="21"/>
      <c r="AI1194" s="21"/>
      <c r="AJ1194" s="21"/>
      <c r="AK1194" s="21"/>
      <c r="AL1194" s="21"/>
      <c r="AM1194" s="21"/>
      <c r="AN1194" s="21"/>
    </row>
    <row r="1195" spans="5:40" x14ac:dyDescent="0.3">
      <c r="E1195" s="21"/>
      <c r="AH1195" s="21"/>
      <c r="AI1195" s="21"/>
      <c r="AJ1195" s="21"/>
      <c r="AK1195" s="21"/>
      <c r="AL1195" s="21"/>
      <c r="AM1195" s="21"/>
      <c r="AN1195" s="21"/>
    </row>
    <row r="1196" spans="5:40" x14ac:dyDescent="0.3">
      <c r="E1196" s="21"/>
      <c r="AH1196" s="21"/>
      <c r="AI1196" s="21"/>
      <c r="AJ1196" s="21"/>
      <c r="AK1196" s="21"/>
      <c r="AL1196" s="21"/>
      <c r="AM1196" s="21"/>
      <c r="AN1196" s="21"/>
    </row>
    <row r="1197" spans="5:40" x14ac:dyDescent="0.3">
      <c r="E1197" s="21"/>
      <c r="AH1197" s="21"/>
      <c r="AI1197" s="21"/>
      <c r="AJ1197" s="21"/>
      <c r="AK1197" s="21"/>
      <c r="AL1197" s="21"/>
      <c r="AM1197" s="21"/>
      <c r="AN1197" s="21"/>
    </row>
    <row r="1198" spans="5:40" x14ac:dyDescent="0.3">
      <c r="E1198" s="21"/>
      <c r="AH1198" s="21"/>
      <c r="AI1198" s="21"/>
      <c r="AJ1198" s="21"/>
      <c r="AK1198" s="21"/>
      <c r="AL1198" s="21"/>
      <c r="AM1198" s="21"/>
      <c r="AN1198" s="21"/>
    </row>
    <row r="1199" spans="5:40" x14ac:dyDescent="0.3">
      <c r="E1199" s="21"/>
      <c r="AH1199" s="21"/>
      <c r="AI1199" s="21"/>
      <c r="AJ1199" s="21"/>
      <c r="AK1199" s="21"/>
      <c r="AL1199" s="21"/>
      <c r="AM1199" s="21"/>
      <c r="AN1199" s="21"/>
    </row>
    <row r="1200" spans="5:40" x14ac:dyDescent="0.3">
      <c r="E1200" s="21"/>
      <c r="AH1200" s="21"/>
      <c r="AI1200" s="21"/>
      <c r="AJ1200" s="21"/>
      <c r="AK1200" s="21"/>
      <c r="AL1200" s="21"/>
      <c r="AM1200" s="21"/>
      <c r="AN1200" s="21"/>
    </row>
    <row r="1201" spans="5:40" x14ac:dyDescent="0.3">
      <c r="E1201" s="21"/>
      <c r="AH1201" s="21"/>
      <c r="AI1201" s="21"/>
      <c r="AJ1201" s="21"/>
      <c r="AK1201" s="21"/>
      <c r="AL1201" s="21"/>
      <c r="AM1201" s="21"/>
      <c r="AN1201" s="21"/>
    </row>
    <row r="1202" spans="5:40" x14ac:dyDescent="0.3">
      <c r="E1202" s="21"/>
      <c r="AH1202" s="21"/>
      <c r="AI1202" s="21"/>
      <c r="AJ1202" s="21"/>
      <c r="AK1202" s="21"/>
      <c r="AL1202" s="21"/>
      <c r="AM1202" s="21"/>
      <c r="AN1202" s="21"/>
    </row>
    <row r="1203" spans="5:40" x14ac:dyDescent="0.3">
      <c r="E1203" s="21"/>
      <c r="AH1203" s="21"/>
      <c r="AI1203" s="21"/>
      <c r="AJ1203" s="21"/>
      <c r="AK1203" s="21"/>
      <c r="AL1203" s="21"/>
      <c r="AM1203" s="21"/>
      <c r="AN1203" s="21"/>
    </row>
    <row r="1204" spans="5:40" x14ac:dyDescent="0.3">
      <c r="E1204" s="21"/>
      <c r="AH1204" s="21"/>
      <c r="AI1204" s="21"/>
      <c r="AJ1204" s="21"/>
      <c r="AK1204" s="21"/>
      <c r="AL1204" s="21"/>
      <c r="AM1204" s="21"/>
      <c r="AN1204" s="21"/>
    </row>
    <row r="1205" spans="5:40" x14ac:dyDescent="0.3">
      <c r="E1205" s="21"/>
      <c r="AH1205" s="21"/>
      <c r="AI1205" s="21"/>
      <c r="AJ1205" s="21"/>
      <c r="AK1205" s="21"/>
      <c r="AL1205" s="21"/>
      <c r="AM1205" s="21"/>
      <c r="AN1205" s="21"/>
    </row>
    <row r="1206" spans="5:40" x14ac:dyDescent="0.3">
      <c r="E1206" s="21"/>
      <c r="AH1206" s="21"/>
      <c r="AI1206" s="21"/>
      <c r="AJ1206" s="21"/>
      <c r="AK1206" s="21"/>
      <c r="AL1206" s="21"/>
      <c r="AM1206" s="21"/>
      <c r="AN1206" s="21"/>
    </row>
    <row r="1207" spans="5:40" x14ac:dyDescent="0.3">
      <c r="E1207" s="21"/>
      <c r="AH1207" s="21"/>
      <c r="AI1207" s="21"/>
      <c r="AJ1207" s="21"/>
      <c r="AK1207" s="21"/>
      <c r="AL1207" s="21"/>
      <c r="AM1207" s="21"/>
      <c r="AN1207" s="21"/>
    </row>
    <row r="1208" spans="5:40" x14ac:dyDescent="0.3">
      <c r="E1208" s="21"/>
      <c r="AH1208" s="21"/>
      <c r="AI1208" s="21"/>
      <c r="AJ1208" s="21"/>
      <c r="AK1208" s="21"/>
      <c r="AL1208" s="21"/>
      <c r="AM1208" s="21"/>
      <c r="AN1208" s="21"/>
    </row>
    <row r="1209" spans="5:40" x14ac:dyDescent="0.3">
      <c r="E1209" s="21"/>
      <c r="AH1209" s="21"/>
      <c r="AI1209" s="21"/>
      <c r="AJ1209" s="21"/>
      <c r="AK1209" s="21"/>
      <c r="AL1209" s="21"/>
      <c r="AM1209" s="21"/>
      <c r="AN1209" s="21"/>
    </row>
    <row r="1210" spans="5:40" x14ac:dyDescent="0.3">
      <c r="E1210" s="21"/>
      <c r="AH1210" s="21"/>
      <c r="AI1210" s="21"/>
      <c r="AJ1210" s="21"/>
      <c r="AK1210" s="21"/>
      <c r="AL1210" s="21"/>
      <c r="AM1210" s="21"/>
      <c r="AN1210" s="21"/>
    </row>
    <row r="1211" spans="5:40" x14ac:dyDescent="0.3">
      <c r="E1211" s="21"/>
      <c r="AH1211" s="21"/>
      <c r="AI1211" s="21"/>
      <c r="AJ1211" s="21"/>
      <c r="AK1211" s="21"/>
      <c r="AL1211" s="21"/>
      <c r="AM1211" s="21"/>
      <c r="AN1211" s="21"/>
    </row>
    <row r="1212" spans="5:40" x14ac:dyDescent="0.3">
      <c r="E1212" s="21"/>
      <c r="AH1212" s="21"/>
      <c r="AI1212" s="21"/>
      <c r="AJ1212" s="21"/>
      <c r="AK1212" s="21"/>
      <c r="AL1212" s="21"/>
      <c r="AM1212" s="21"/>
      <c r="AN1212" s="21"/>
    </row>
    <row r="1213" spans="5:40" x14ac:dyDescent="0.3">
      <c r="E1213" s="21"/>
      <c r="AH1213" s="21"/>
      <c r="AI1213" s="21"/>
      <c r="AJ1213" s="21"/>
      <c r="AK1213" s="21"/>
      <c r="AL1213" s="21"/>
      <c r="AM1213" s="21"/>
      <c r="AN1213" s="21"/>
    </row>
    <row r="1214" spans="5:40" x14ac:dyDescent="0.3">
      <c r="E1214" s="21"/>
      <c r="AH1214" s="21"/>
      <c r="AI1214" s="21"/>
      <c r="AJ1214" s="21"/>
      <c r="AK1214" s="21"/>
      <c r="AL1214" s="21"/>
      <c r="AM1214" s="21"/>
      <c r="AN1214" s="21"/>
    </row>
    <row r="1215" spans="5:40" x14ac:dyDescent="0.3">
      <c r="E1215" s="21"/>
      <c r="AH1215" s="21"/>
      <c r="AI1215" s="21"/>
      <c r="AJ1215" s="21"/>
      <c r="AK1215" s="21"/>
      <c r="AL1215" s="21"/>
      <c r="AM1215" s="21"/>
      <c r="AN1215" s="21"/>
    </row>
    <row r="1216" spans="5:40" x14ac:dyDescent="0.3">
      <c r="E1216" s="21"/>
      <c r="AH1216" s="21"/>
      <c r="AI1216" s="21"/>
      <c r="AJ1216" s="21"/>
      <c r="AK1216" s="21"/>
      <c r="AL1216" s="21"/>
      <c r="AM1216" s="21"/>
      <c r="AN1216" s="21"/>
    </row>
    <row r="1217" spans="5:40" x14ac:dyDescent="0.3">
      <c r="E1217" s="21"/>
      <c r="AH1217" s="21"/>
      <c r="AI1217" s="21"/>
      <c r="AJ1217" s="21"/>
      <c r="AK1217" s="21"/>
      <c r="AL1217" s="21"/>
      <c r="AM1217" s="21"/>
      <c r="AN1217" s="21"/>
    </row>
    <row r="1218" spans="5:40" x14ac:dyDescent="0.3">
      <c r="E1218" s="21"/>
      <c r="AH1218" s="21"/>
      <c r="AI1218" s="21"/>
      <c r="AJ1218" s="21"/>
      <c r="AK1218" s="21"/>
      <c r="AL1218" s="21"/>
      <c r="AM1218" s="21"/>
      <c r="AN1218" s="21"/>
    </row>
    <row r="1219" spans="5:40" x14ac:dyDescent="0.3">
      <c r="E1219" s="21"/>
      <c r="AH1219" s="21"/>
      <c r="AI1219" s="21"/>
      <c r="AJ1219" s="21"/>
      <c r="AK1219" s="21"/>
      <c r="AL1219" s="21"/>
      <c r="AM1219" s="21"/>
      <c r="AN1219" s="21"/>
    </row>
    <row r="1220" spans="5:40" x14ac:dyDescent="0.3">
      <c r="E1220" s="21"/>
      <c r="AH1220" s="21"/>
      <c r="AI1220" s="21"/>
      <c r="AJ1220" s="21"/>
      <c r="AK1220" s="21"/>
      <c r="AL1220" s="21"/>
      <c r="AM1220" s="21"/>
      <c r="AN1220" s="21"/>
    </row>
    <row r="1221" spans="5:40" x14ac:dyDescent="0.3">
      <c r="E1221" s="21"/>
      <c r="AH1221" s="21"/>
      <c r="AI1221" s="21"/>
      <c r="AJ1221" s="21"/>
      <c r="AK1221" s="21"/>
      <c r="AL1221" s="21"/>
      <c r="AM1221" s="21"/>
      <c r="AN1221" s="21"/>
    </row>
    <row r="1222" spans="5:40" x14ac:dyDescent="0.3">
      <c r="E1222" s="21"/>
      <c r="AH1222" s="21"/>
      <c r="AI1222" s="21"/>
      <c r="AJ1222" s="21"/>
      <c r="AK1222" s="21"/>
      <c r="AL1222" s="21"/>
      <c r="AM1222" s="21"/>
      <c r="AN1222" s="21"/>
    </row>
    <row r="1223" spans="5:40" x14ac:dyDescent="0.3">
      <c r="E1223" s="21"/>
      <c r="AH1223" s="21"/>
      <c r="AI1223" s="21"/>
      <c r="AJ1223" s="21"/>
      <c r="AK1223" s="21"/>
      <c r="AL1223" s="21"/>
      <c r="AM1223" s="21"/>
      <c r="AN1223" s="21"/>
    </row>
    <row r="1224" spans="5:40" x14ac:dyDescent="0.3">
      <c r="E1224" s="21"/>
      <c r="AH1224" s="21"/>
      <c r="AI1224" s="21"/>
      <c r="AJ1224" s="21"/>
      <c r="AK1224" s="21"/>
      <c r="AL1224" s="21"/>
      <c r="AM1224" s="21"/>
      <c r="AN1224" s="21"/>
    </row>
    <row r="1225" spans="5:40" x14ac:dyDescent="0.3">
      <c r="E1225" s="21"/>
      <c r="AH1225" s="21"/>
      <c r="AI1225" s="21"/>
      <c r="AJ1225" s="21"/>
      <c r="AK1225" s="21"/>
      <c r="AL1225" s="21"/>
      <c r="AM1225" s="21"/>
      <c r="AN1225" s="21"/>
    </row>
  </sheetData>
  <autoFilter ref="A1:A1142" xr:uid="{E2B7B412-B938-4A00-AA83-46A9072C0421}"/>
  <phoneticPr fontId="1" type="noConversion"/>
  <conditionalFormatting sqref="A1 B1:B1048576">
    <cfRule type="containsText" dxfId="107" priority="3" operator="containsText" text="Center">
      <formula>NOT(ISERROR(SEARCH("Center",A1)))</formula>
    </cfRule>
    <cfRule type="containsText" dxfId="106" priority="4" operator="containsText" text="North">
      <formula>NOT(ISERROR(SEARCH("North",A1)))</formula>
    </cfRule>
    <cfRule type="containsText" dxfId="105" priority="5" operator="containsText" text="Algarve">
      <formula>NOT(ISERROR(SEARCH("Algarve",A1)))</formula>
    </cfRule>
    <cfRule type="containsText" dxfId="104" priority="6" operator="containsText" text="Vilamoura">
      <formula>NOT(ISERROR(SEARCH("Vilamoura",A1)))</formula>
    </cfRule>
  </conditionalFormatting>
  <conditionalFormatting sqref="R1:R1048576">
    <cfRule type="containsText" dxfId="103" priority="1" operator="containsText" text="PRE-RESERVED">
      <formula>NOT(ISERROR(SEARCH("PRE-RESERVED",R1)))</formula>
    </cfRule>
    <cfRule type="containsText" dxfId="102" priority="2" operator="containsText" text="RESERVED">
      <formula>NOT(ISERROR(SEARCH("RESERVED",R1)))</formula>
    </cfRule>
  </conditionalFormatting>
  <pageMargins left="0.7" right="0.7" top="0.75" bottom="0.75" header="0.3" footer="0.3"/>
  <pageSetup paperSize="9" orientation="portrait" r:id="rId1"/>
  <legacy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33F612-59F4-40B3-9809-B30853112636}">
  <sheetPr>
    <tabColor rgb="FFC2B59E"/>
    <pageSetUpPr fitToPage="1"/>
  </sheetPr>
  <dimension ref="A1:AL74"/>
  <sheetViews>
    <sheetView showGridLines="0" topLeftCell="A2" zoomScale="71" zoomScaleNormal="40" zoomScaleSheetLayoutView="70" workbookViewId="0">
      <pane xSplit="1" topLeftCell="N1" activePane="topRight" state="frozen"/>
      <selection activeCell="I25" sqref="I25"/>
      <selection pane="topRight" activeCell="U24" sqref="U24"/>
    </sheetView>
  </sheetViews>
  <sheetFormatPr defaultColWidth="8.6640625" defaultRowHeight="14.4" outlineLevelCol="2" x14ac:dyDescent="0.3"/>
  <cols>
    <col min="1" max="1" width="20.33203125" bestFit="1" customWidth="1"/>
    <col min="2" max="6" width="11.77734375" customWidth="1"/>
    <col min="7" max="12" width="11.77734375" customWidth="1" outlineLevel="2"/>
    <col min="13" max="13" width="11.77734375" style="79" customWidth="1" outlineLevel="2"/>
    <col min="14" max="14" width="11.77734375" customWidth="1" outlineLevel="2"/>
    <col min="15" max="16" width="11.77734375" customWidth="1" outlineLevel="1"/>
    <col min="17" max="18" width="11.77734375" customWidth="1"/>
    <col min="19" max="22" width="11.77734375" customWidth="1" outlineLevel="1"/>
    <col min="23" max="24" width="11.77734375" customWidth="1"/>
    <col min="25" max="25" width="11.77734375" customWidth="1" outlineLevel="1"/>
    <col min="26" max="26" width="11.77734375" customWidth="1"/>
    <col min="27" max="27" width="11.77734375" customWidth="1" outlineLevel="1"/>
    <col min="28" max="38" width="11.77734375" customWidth="1"/>
  </cols>
  <sheetData>
    <row r="1" spans="1:38" s="1" customFormat="1" ht="20.399999999999999" customHeight="1" x14ac:dyDescent="0.3">
      <c r="A1" s="114" t="s">
        <v>52</v>
      </c>
    </row>
    <row r="2" spans="1:38" s="2" customFormat="1" ht="46.2" customHeight="1" x14ac:dyDescent="0.3">
      <c r="A2" s="95" t="s">
        <v>335</v>
      </c>
      <c r="B2" s="95" t="s">
        <v>684</v>
      </c>
      <c r="C2" s="96" t="s">
        <v>765</v>
      </c>
      <c r="D2" s="97" t="s">
        <v>1</v>
      </c>
      <c r="E2" s="95" t="s">
        <v>93</v>
      </c>
      <c r="F2" s="95" t="s">
        <v>763</v>
      </c>
      <c r="G2" s="98" t="s">
        <v>675</v>
      </c>
      <c r="H2" s="99" t="s">
        <v>676</v>
      </c>
      <c r="I2" s="99" t="s">
        <v>677</v>
      </c>
      <c r="J2" s="100" t="s">
        <v>678</v>
      </c>
      <c r="K2" s="98" t="s">
        <v>679</v>
      </c>
      <c r="L2" s="98" t="s">
        <v>779</v>
      </c>
      <c r="M2" s="98" t="s">
        <v>680</v>
      </c>
      <c r="N2" s="101" t="s">
        <v>681</v>
      </c>
      <c r="O2" s="102" t="s">
        <v>94</v>
      </c>
      <c r="P2" s="102" t="s">
        <v>95</v>
      </c>
      <c r="Q2" s="95" t="s">
        <v>624</v>
      </c>
      <c r="R2" s="103" t="s">
        <v>331</v>
      </c>
      <c r="S2" s="104" t="s">
        <v>332</v>
      </c>
      <c r="T2" s="105" t="s">
        <v>333</v>
      </c>
      <c r="U2" s="105" t="s">
        <v>682</v>
      </c>
      <c r="V2" s="105" t="s">
        <v>97</v>
      </c>
      <c r="W2" s="95" t="s">
        <v>330</v>
      </c>
      <c r="X2" s="106" t="s">
        <v>919</v>
      </c>
      <c r="Y2" s="105" t="s">
        <v>334</v>
      </c>
      <c r="Z2" s="95" t="s">
        <v>98</v>
      </c>
      <c r="AA2" s="107" t="s">
        <v>933</v>
      </c>
      <c r="AB2" s="108" t="s">
        <v>934</v>
      </c>
      <c r="AC2" s="108" t="s">
        <v>928</v>
      </c>
      <c r="AD2" s="109" t="s">
        <v>926</v>
      </c>
      <c r="AE2" s="97" t="s">
        <v>792</v>
      </c>
      <c r="AF2" s="97" t="s">
        <v>793</v>
      </c>
      <c r="AG2" s="97" t="s">
        <v>2</v>
      </c>
      <c r="AH2" s="97" t="s">
        <v>3</v>
      </c>
      <c r="AI2" s="97" t="s">
        <v>5</v>
      </c>
      <c r="AJ2" s="97" t="s">
        <v>794</v>
      </c>
      <c r="AK2" s="97" t="s">
        <v>6</v>
      </c>
      <c r="AL2" s="95" t="s">
        <v>918</v>
      </c>
    </row>
    <row r="3" spans="1:38" s="112" customFormat="1" ht="13.8" x14ac:dyDescent="0.3">
      <c r="A3" s="129" t="str" cm="1">
        <f t="array" ref="A3:AL57">_xlfn._xlws.FILTER(DATABASE_Table[],DATABASE_Table[Development]=$A$1,"")</f>
        <v>BOTÂNICA</v>
      </c>
      <c r="B3" s="129" t="str">
        <v>Vilamoura</v>
      </c>
      <c r="C3" s="110" t="str">
        <v>AM</v>
      </c>
      <c r="D3" s="110" t="str">
        <v>Vilamoura, Algarve</v>
      </c>
      <c r="E3" s="110" t="str">
        <v>T3</v>
      </c>
      <c r="F3" s="110">
        <v>224.31</v>
      </c>
      <c r="G3" s="110">
        <v>0</v>
      </c>
      <c r="H3" s="110" t="str">
        <v>2</v>
      </c>
      <c r="I3" s="110" t="str">
        <v/>
      </c>
      <c r="J3" s="110">
        <v>55.65</v>
      </c>
      <c r="K3" s="110">
        <v>0</v>
      </c>
      <c r="L3" s="110">
        <v>0</v>
      </c>
      <c r="M3" s="110">
        <v>0</v>
      </c>
      <c r="N3" s="110">
        <v>0</v>
      </c>
      <c r="O3" s="110">
        <v>168.66</v>
      </c>
      <c r="P3" s="110">
        <v>0</v>
      </c>
      <c r="Q3" s="110" t="str">
        <v>RESERVED</v>
      </c>
      <c r="R3" s="110">
        <v>1660542.65</v>
      </c>
      <c r="S3" s="110">
        <v>1660542.65</v>
      </c>
      <c r="T3" s="110">
        <v>1670000</v>
      </c>
      <c r="U3" s="110">
        <v>0</v>
      </c>
      <c r="V3" s="110">
        <v>0</v>
      </c>
      <c r="W3" s="110">
        <v>1670000</v>
      </c>
      <c r="X3" s="110">
        <v>-4.1916167664670698E-2</v>
      </c>
      <c r="Y3" s="110">
        <v>1740000</v>
      </c>
      <c r="Z3" s="110">
        <v>1740000</v>
      </c>
      <c r="AA3" s="110">
        <v>46029</v>
      </c>
      <c r="AB3" s="111" t="str">
        <v>Q1 2026</v>
      </c>
      <c r="AC3" s="112">
        <v>0</v>
      </c>
      <c r="AD3" s="112">
        <v>0</v>
      </c>
      <c r="AE3" s="112" t="str">
        <v>Ana Damásio</v>
      </c>
      <c r="AF3" s="112" t="str">
        <v>Elisabete Figueiredo</v>
      </c>
      <c r="AG3" s="112" t="str">
        <v>Botanica Apartments - New Development - *Vilamoura</v>
      </c>
      <c r="AH3" s="112" t="str">
        <v>Tranquil gardens. Communal parks. Perfectly-planted balconies. Botanica, a sense of well-being and connection to nature within a central urban location. One of the last opportunities to own a property in the heart of Vilamoura.</v>
      </c>
      <c r="AI3" s="112" t="str">
        <v>Indoor Heated Pool, Spa, Outdoor Pool, Gym, Underground Parking</v>
      </c>
      <c r="AJ3" s="112"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3" s="112" t="str">
        <v>Samuel Torres de Carvalho</v>
      </c>
      <c r="AL3" s="112" t="str">
        <v>Botanica</v>
      </c>
    </row>
    <row r="4" spans="1:38" x14ac:dyDescent="0.3">
      <c r="A4" s="129" t="str">
        <v>BOTÂNICA</v>
      </c>
      <c r="B4" s="129" t="str">
        <v>Vilamoura</v>
      </c>
      <c r="C4" s="110" t="str">
        <v>J</v>
      </c>
      <c r="D4" s="110" t="str">
        <v>Vilamoura, Algarve</v>
      </c>
      <c r="E4" s="110" t="str">
        <v>T3</v>
      </c>
      <c r="F4" s="110">
        <v>924.59</v>
      </c>
      <c r="G4" s="110">
        <v>0</v>
      </c>
      <c r="H4" s="110" t="str">
        <v>2</v>
      </c>
      <c r="I4" s="110" t="str">
        <v/>
      </c>
      <c r="J4" s="110">
        <v>9.86</v>
      </c>
      <c r="K4" s="110">
        <v>0</v>
      </c>
      <c r="L4" s="110">
        <v>0</v>
      </c>
      <c r="M4" s="110">
        <v>739.52</v>
      </c>
      <c r="N4" s="110">
        <v>0</v>
      </c>
      <c r="O4" s="110">
        <v>175.21</v>
      </c>
      <c r="P4" s="110">
        <v>0</v>
      </c>
      <c r="Q4" s="110" t="str">
        <v>PRE-RESERVED</v>
      </c>
      <c r="R4" s="110">
        <v>1737489.39</v>
      </c>
      <c r="S4" s="110">
        <v>1737489.39</v>
      </c>
      <c r="T4" s="110">
        <v>1670400</v>
      </c>
      <c r="U4" s="110">
        <v>0</v>
      </c>
      <c r="V4" s="110">
        <v>0</v>
      </c>
      <c r="W4" s="110">
        <v>1670400</v>
      </c>
      <c r="X4" s="110">
        <v>-4.1666666666666699E-2</v>
      </c>
      <c r="Y4" s="110">
        <v>1740000</v>
      </c>
      <c r="Z4" s="110">
        <v>1740000</v>
      </c>
      <c r="AA4" s="110">
        <v>46029</v>
      </c>
      <c r="AB4" s="111" t="str">
        <v>Q1 2026</v>
      </c>
      <c r="AC4">
        <v>0</v>
      </c>
      <c r="AD4">
        <v>0</v>
      </c>
      <c r="AE4" t="str">
        <v>Ana Damásio</v>
      </c>
      <c r="AF4" t="str">
        <v>Elisabete Figueiredo</v>
      </c>
      <c r="AG4" t="str">
        <v>Botanica Apartments - New Development - *Vilamoura</v>
      </c>
      <c r="AH4" t="str">
        <v>Tranquil gardens. Communal parks. Perfectly-planted balconies. Botanica, a sense of well-being and connection to nature within a central urban location. One of the last opportunities to own a property in the heart of Vilamoura.</v>
      </c>
      <c r="AI4" t="str">
        <v>Indoor Heated Pool, Spa, Outdoor Pool, Gym, Underground Parking</v>
      </c>
      <c r="AJ4"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4" t="str">
        <v>Samuel Torres de Carvalho</v>
      </c>
      <c r="AL4" t="str">
        <v>Botanica</v>
      </c>
    </row>
    <row r="5" spans="1:38" x14ac:dyDescent="0.3">
      <c r="A5" s="129" t="str">
        <v>BOTÂNICA</v>
      </c>
      <c r="B5" s="129" t="str">
        <v>Vilamoura</v>
      </c>
      <c r="C5" s="110" t="str">
        <v>AG</v>
      </c>
      <c r="D5" s="110" t="str">
        <v>Vilamoura, Algarve</v>
      </c>
      <c r="E5" s="110" t="str">
        <v>T2</v>
      </c>
      <c r="F5" s="110">
        <v>142.88</v>
      </c>
      <c r="G5" s="110">
        <v>0</v>
      </c>
      <c r="H5" s="110" t="str">
        <v>2</v>
      </c>
      <c r="I5" s="110" t="str">
        <v/>
      </c>
      <c r="J5" s="110">
        <v>28.39</v>
      </c>
      <c r="K5" s="110">
        <v>0</v>
      </c>
      <c r="L5" s="110">
        <v>0</v>
      </c>
      <c r="M5" s="110">
        <v>0</v>
      </c>
      <c r="N5" s="110">
        <v>0</v>
      </c>
      <c r="O5" s="110">
        <v>114.49</v>
      </c>
      <c r="P5" s="110">
        <v>0</v>
      </c>
      <c r="Q5" s="110" t="str">
        <v xml:space="preserve">PSPA </v>
      </c>
      <c r="R5" s="110">
        <v>949860.054</v>
      </c>
      <c r="S5" s="110">
        <v>949860.054</v>
      </c>
      <c r="T5" s="110">
        <v>950000</v>
      </c>
      <c r="U5" s="110">
        <v>0</v>
      </c>
      <c r="V5" s="110">
        <v>0</v>
      </c>
      <c r="W5" s="110">
        <v>950000</v>
      </c>
      <c r="X5" s="110">
        <v>0</v>
      </c>
      <c r="Y5" s="110">
        <v>950000</v>
      </c>
      <c r="Z5" s="110">
        <v>950000</v>
      </c>
      <c r="AA5" s="110">
        <v>46029</v>
      </c>
      <c r="AB5" s="111" t="str">
        <v>Q1 2026</v>
      </c>
      <c r="AC5">
        <v>46125</v>
      </c>
      <c r="AD5">
        <v>0</v>
      </c>
      <c r="AE5" t="str">
        <v>Ana Damásio</v>
      </c>
      <c r="AF5" t="str">
        <v>Elisabete Figueiredo</v>
      </c>
      <c r="AG5" t="str">
        <v>Botanica Apartments - New Development - *Vilamoura</v>
      </c>
      <c r="AH5" t="str">
        <v>Tranquil gardens. Communal parks. Perfectly-planted balconies. Botanica, a sense of well-being and connection to nature within a central urban location. One of the last opportunities to own a property in the heart of Vilamoura.</v>
      </c>
      <c r="AI5" t="str">
        <v>Indoor Heated Pool, Spa, Outdoor Pool, Gym, Underground Parking</v>
      </c>
      <c r="AJ5"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5" t="str">
        <v>Samuel Torres de Carvalho</v>
      </c>
      <c r="AL5" t="str">
        <v>Botanica</v>
      </c>
    </row>
    <row r="6" spans="1:38" x14ac:dyDescent="0.3">
      <c r="A6" s="129" t="str">
        <v>BOTÂNICA</v>
      </c>
      <c r="B6" s="129" t="str">
        <v>Vilamoura</v>
      </c>
      <c r="C6" s="110" t="str">
        <v>BG</v>
      </c>
      <c r="D6" s="110" t="str">
        <v>Vilamoura, Algarve</v>
      </c>
      <c r="E6" s="110" t="str">
        <v>T2</v>
      </c>
      <c r="F6" s="110">
        <v>151.22999999999999</v>
      </c>
      <c r="G6" s="110">
        <v>0</v>
      </c>
      <c r="H6" s="110" t="str">
        <v>1</v>
      </c>
      <c r="I6" s="110" t="str">
        <v/>
      </c>
      <c r="J6" s="110">
        <v>27.59</v>
      </c>
      <c r="K6" s="110">
        <v>0</v>
      </c>
      <c r="L6" s="110">
        <v>0</v>
      </c>
      <c r="M6" s="110">
        <v>0</v>
      </c>
      <c r="N6" s="110">
        <v>0</v>
      </c>
      <c r="O6" s="110">
        <v>123.64</v>
      </c>
      <c r="P6" s="110">
        <v>0</v>
      </c>
      <c r="Q6" s="110" t="str">
        <v xml:space="preserve">PSPA </v>
      </c>
      <c r="R6" s="110">
        <v>1044782.64</v>
      </c>
      <c r="S6" s="110">
        <v>1044782.64</v>
      </c>
      <c r="T6" s="110">
        <v>1050000</v>
      </c>
      <c r="U6" s="110">
        <v>0</v>
      </c>
      <c r="V6" s="110">
        <v>0</v>
      </c>
      <c r="W6" s="110">
        <v>1050000</v>
      </c>
      <c r="X6" s="110">
        <v>0</v>
      </c>
      <c r="Y6" s="110">
        <v>1050000</v>
      </c>
      <c r="Z6" s="110">
        <v>1050000</v>
      </c>
      <c r="AA6" s="110">
        <v>46029</v>
      </c>
      <c r="AB6" s="111" t="str">
        <v>Q1 2026</v>
      </c>
      <c r="AC6">
        <v>46139</v>
      </c>
      <c r="AD6">
        <v>0</v>
      </c>
      <c r="AE6" t="str">
        <v>Ana Damásio</v>
      </c>
      <c r="AF6" t="str">
        <v>Elisabete Figueiredo</v>
      </c>
      <c r="AG6" t="str">
        <v>Botanica Apartments - New Development - *Vilamoura</v>
      </c>
      <c r="AH6" t="str">
        <v>Tranquil gardens. Communal parks. Perfectly-planted balconies. Botanica, a sense of well-being and connection to nature within a central urban location. One of the last opportunities to own a property in the heart of Vilamoura.</v>
      </c>
      <c r="AI6" t="str">
        <v>Indoor Heated Pool, Spa, Outdoor Pool, Gym, Underground Parking</v>
      </c>
      <c r="AJ6"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6" t="str">
        <v>Samuel Torres de Carvalho</v>
      </c>
      <c r="AL6" t="str">
        <v>Botanica</v>
      </c>
    </row>
    <row r="7" spans="1:38" x14ac:dyDescent="0.3">
      <c r="A7" s="129" t="str">
        <v>BOTÂNICA</v>
      </c>
      <c r="B7" s="129" t="str">
        <v>Vilamoura</v>
      </c>
      <c r="C7" s="110" t="str">
        <v>BH</v>
      </c>
      <c r="D7" s="110" t="str">
        <v>Vilamoura, Algarve</v>
      </c>
      <c r="E7" s="110" t="str">
        <v>T3</v>
      </c>
      <c r="F7" s="110">
        <v>318.70999999999998</v>
      </c>
      <c r="G7" s="110">
        <v>0</v>
      </c>
      <c r="H7" s="110" t="str">
        <v>1</v>
      </c>
      <c r="I7" s="110" t="str">
        <v/>
      </c>
      <c r="J7" s="110">
        <v>55.52</v>
      </c>
      <c r="K7" s="110">
        <v>0</v>
      </c>
      <c r="L7" s="110">
        <v>0</v>
      </c>
      <c r="M7" s="110">
        <v>102</v>
      </c>
      <c r="N7" s="110">
        <v>0</v>
      </c>
      <c r="O7" s="110">
        <v>161.19</v>
      </c>
      <c r="P7" s="110">
        <v>0</v>
      </c>
      <c r="Q7" s="110" t="str">
        <v xml:space="preserve">PSPA </v>
      </c>
      <c r="R7" s="110">
        <v>1804385.31</v>
      </c>
      <c r="S7" s="110">
        <v>1804385.31</v>
      </c>
      <c r="T7" s="110">
        <v>1810000</v>
      </c>
      <c r="U7" s="110">
        <v>0</v>
      </c>
      <c r="V7" s="110">
        <v>0</v>
      </c>
      <c r="W7" s="110">
        <v>1810000</v>
      </c>
      <c r="X7" s="110">
        <v>0</v>
      </c>
      <c r="Y7" s="110">
        <v>1810000</v>
      </c>
      <c r="Z7" s="110">
        <v>1810000</v>
      </c>
      <c r="AA7" s="110">
        <v>46029</v>
      </c>
      <c r="AB7" s="111" t="str">
        <v>Q1 2026</v>
      </c>
      <c r="AC7">
        <v>46093</v>
      </c>
      <c r="AD7">
        <v>0</v>
      </c>
      <c r="AE7" t="str">
        <v>Ana Damásio</v>
      </c>
      <c r="AF7" t="str">
        <v>Elisabete Figueiredo</v>
      </c>
      <c r="AG7" t="str">
        <v>Botanica Apartments - New Development - *Vilamoura</v>
      </c>
      <c r="AH7" t="str">
        <v>Tranquil gardens. Communal parks. Perfectly-planted balconies. Botanica, a sense of well-being and connection to nature within a central urban location. One of the last opportunities to own a property in the heart of Vilamoura.</v>
      </c>
      <c r="AI7" t="str">
        <v>Indoor Heated Pool, Spa, Outdoor Pool, Gym, Underground Parking</v>
      </c>
      <c r="AJ7"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7" t="str">
        <v>Samuel Torres de Carvalho</v>
      </c>
      <c r="AL7" t="str">
        <v>Botanica</v>
      </c>
    </row>
    <row r="8" spans="1:38" x14ac:dyDescent="0.3">
      <c r="A8" s="129" t="str">
        <v>BOTÂNICA</v>
      </c>
      <c r="B8" s="129" t="str">
        <v>Vilamoura</v>
      </c>
      <c r="C8" s="110" t="str">
        <v>F</v>
      </c>
      <c r="D8" s="110" t="str">
        <v>Vilamoura, Algarve</v>
      </c>
      <c r="E8" s="110" t="str">
        <v>T2</v>
      </c>
      <c r="F8" s="110">
        <v>284.64</v>
      </c>
      <c r="G8" s="110">
        <v>0</v>
      </c>
      <c r="H8" s="110" t="str">
        <v>2</v>
      </c>
      <c r="I8" s="110" t="str">
        <v/>
      </c>
      <c r="J8" s="110">
        <v>0</v>
      </c>
      <c r="K8" s="110">
        <v>0</v>
      </c>
      <c r="L8" s="110">
        <v>0</v>
      </c>
      <c r="M8" s="110">
        <v>158.43</v>
      </c>
      <c r="N8" s="110">
        <v>0</v>
      </c>
      <c r="O8" s="110">
        <v>126.21</v>
      </c>
      <c r="P8" s="110">
        <v>0</v>
      </c>
      <c r="Q8" s="110" t="str">
        <v xml:space="preserve">PSPA </v>
      </c>
      <c r="R8" s="110">
        <v>1066894.29</v>
      </c>
      <c r="S8" s="110">
        <v>1066894.29</v>
      </c>
      <c r="T8" s="110">
        <v>1070000</v>
      </c>
      <c r="U8" s="110">
        <v>0</v>
      </c>
      <c r="V8" s="110">
        <v>0</v>
      </c>
      <c r="W8" s="110">
        <v>1070000</v>
      </c>
      <c r="X8" s="110">
        <v>0</v>
      </c>
      <c r="Y8" s="110">
        <v>1070000</v>
      </c>
      <c r="Z8" s="110">
        <v>1070000</v>
      </c>
      <c r="AA8" s="110">
        <v>46029</v>
      </c>
      <c r="AB8" s="111" t="str">
        <v>Q1 2026</v>
      </c>
      <c r="AC8">
        <v>46167</v>
      </c>
      <c r="AD8">
        <v>0</v>
      </c>
      <c r="AE8" t="str">
        <v>Ana Damásio</v>
      </c>
      <c r="AF8" t="str">
        <v>Elisabete Figueiredo</v>
      </c>
      <c r="AG8" t="str">
        <v>Botanica Apartments - New Development - *Vilamoura</v>
      </c>
      <c r="AH8" t="str">
        <v>Tranquil gardens. Communal parks. Perfectly-planted balconies. Botanica, a sense of well-being and connection to nature within a central urban location. One of the last opportunities to own a property in the heart of Vilamoura.</v>
      </c>
      <c r="AI8" t="str">
        <v>Indoor Heated Pool, Spa, Outdoor Pool, Gym, Underground Parking</v>
      </c>
      <c r="AJ8"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8" t="str">
        <v>Samuel Torres de Carvalho</v>
      </c>
      <c r="AL8" t="str">
        <v>Botanica</v>
      </c>
    </row>
    <row r="9" spans="1:38" x14ac:dyDescent="0.3">
      <c r="A9" s="129" t="str">
        <v>BOTÂNICA</v>
      </c>
      <c r="B9" s="129" t="str">
        <v>Vilamoura</v>
      </c>
      <c r="C9" s="110" t="str">
        <v>AX</v>
      </c>
      <c r="D9" s="110" t="str">
        <v>Vilamoura, Algarve</v>
      </c>
      <c r="E9" s="110" t="str">
        <v>T4</v>
      </c>
      <c r="F9" s="110">
        <v>389.41</v>
      </c>
      <c r="G9" s="110">
        <v>0</v>
      </c>
      <c r="H9" s="110" t="str">
        <v>1</v>
      </c>
      <c r="I9" s="110" t="str">
        <v/>
      </c>
      <c r="J9" s="110">
        <v>55.75</v>
      </c>
      <c r="K9" s="110">
        <v>0</v>
      </c>
      <c r="L9" s="110">
        <v>0</v>
      </c>
      <c r="M9" s="110">
        <v>136.30000000000001</v>
      </c>
      <c r="N9" s="110">
        <v>0</v>
      </c>
      <c r="O9" s="110">
        <v>197.36</v>
      </c>
      <c r="P9" s="110">
        <v>0</v>
      </c>
      <c r="Q9" s="110" t="str">
        <v>PRE-RESERVED</v>
      </c>
      <c r="R9" s="110">
        <v>2350904.85</v>
      </c>
      <c r="S9" s="110">
        <v>2350904.85</v>
      </c>
      <c r="T9" s="110">
        <v>2360000</v>
      </c>
      <c r="U9" s="110">
        <v>0</v>
      </c>
      <c r="V9" s="110">
        <v>0</v>
      </c>
      <c r="W9" s="110">
        <v>2360000</v>
      </c>
      <c r="X9" s="110">
        <v>0</v>
      </c>
      <c r="Y9" s="110">
        <v>2360000</v>
      </c>
      <c r="Z9" s="110">
        <v>2360000</v>
      </c>
      <c r="AA9" s="110">
        <v>46029</v>
      </c>
      <c r="AB9" s="111" t="str">
        <v>Q1 2026</v>
      </c>
      <c r="AC9">
        <v>0</v>
      </c>
      <c r="AD9">
        <v>0</v>
      </c>
      <c r="AE9" t="str">
        <v>Ana Damásio</v>
      </c>
      <c r="AF9" t="str">
        <v>Elisabete Figueiredo</v>
      </c>
      <c r="AG9" t="str">
        <v>Botanica Apartments - New Development - *Vilamoura</v>
      </c>
      <c r="AH9" t="str">
        <v>Tranquil gardens. Communal parks. Perfectly-planted balconies. Botanica, a sense of well-being and connection to nature within a central urban location. One of the last opportunities to own a property in the heart of Vilamoura.</v>
      </c>
      <c r="AI9" t="str">
        <v>Indoor Heated Pool, Spa, Outdoor Pool, Gym, Underground Parking</v>
      </c>
      <c r="AJ9"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9" t="str">
        <v>Samuel Torres de Carvalho</v>
      </c>
      <c r="AL9" t="str">
        <v>Botanica</v>
      </c>
    </row>
    <row r="10" spans="1:38" x14ac:dyDescent="0.3">
      <c r="A10" s="110" t="str">
        <v>BOTÂNICA</v>
      </c>
      <c r="B10" s="110" t="str">
        <v>Vilamoura</v>
      </c>
      <c r="C10" s="110" t="str">
        <v>K</v>
      </c>
      <c r="D10" s="110" t="str">
        <v>Vilamoura, Algarve</v>
      </c>
      <c r="E10" s="110" t="str">
        <v>T2</v>
      </c>
      <c r="F10" s="110">
        <v>701.9</v>
      </c>
      <c r="G10" s="110">
        <v>0</v>
      </c>
      <c r="H10" s="110" t="str">
        <v>2</v>
      </c>
      <c r="I10" s="110" t="str">
        <v/>
      </c>
      <c r="J10" s="110">
        <v>0</v>
      </c>
      <c r="K10" s="110">
        <v>0</v>
      </c>
      <c r="L10" s="110">
        <v>0</v>
      </c>
      <c r="M10" s="110">
        <v>577.21</v>
      </c>
      <c r="N10" s="110">
        <v>0</v>
      </c>
      <c r="O10" s="110">
        <v>124.69</v>
      </c>
      <c r="P10" s="110">
        <v>0</v>
      </c>
      <c r="Q10" s="110" t="str">
        <v>RESERVED</v>
      </c>
      <c r="R10" s="110">
        <v>1330910.2949999999</v>
      </c>
      <c r="S10" s="110">
        <v>1330910.2949999999</v>
      </c>
      <c r="T10" s="110">
        <v>1393600</v>
      </c>
      <c r="U10" s="110">
        <v>0</v>
      </c>
      <c r="V10" s="110">
        <v>0</v>
      </c>
      <c r="W10" s="110">
        <v>1393600</v>
      </c>
      <c r="X10" s="110">
        <v>0</v>
      </c>
      <c r="Y10" s="110">
        <v>1393600</v>
      </c>
      <c r="Z10" s="110">
        <v>1393600</v>
      </c>
      <c r="AA10" s="110">
        <v>46029</v>
      </c>
      <c r="AB10" s="111" t="str">
        <v>Q1 2026</v>
      </c>
      <c r="AC10">
        <v>0</v>
      </c>
      <c r="AD10">
        <v>0</v>
      </c>
      <c r="AE10" t="str">
        <v>Ana Damásio</v>
      </c>
      <c r="AF10" t="str">
        <v>Elisabete Figueiredo</v>
      </c>
      <c r="AG10" t="str">
        <v>Botanica Apartments - New Development - *Vilamoura</v>
      </c>
      <c r="AH10" t="str">
        <v>Tranquil gardens. Communal parks. Perfectly-planted balconies. Botanica, a sense of well-being and connection to nature within a central urban location. One of the last opportunities to own a property in the heart of Vilamoura.</v>
      </c>
      <c r="AI10" t="str">
        <v>Indoor Heated Pool, Spa, Outdoor Pool, Gym, Underground Parking</v>
      </c>
      <c r="AJ10"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10" t="str">
        <v>Samuel Torres de Carvalho</v>
      </c>
      <c r="AL10" t="str">
        <v>Botanica</v>
      </c>
    </row>
    <row r="11" spans="1:38" x14ac:dyDescent="0.3">
      <c r="A11" s="110" t="str">
        <v>BOTÂNICA</v>
      </c>
      <c r="B11" s="110" t="str">
        <v>Vilamoura</v>
      </c>
      <c r="C11" s="110" t="str">
        <v>S</v>
      </c>
      <c r="D11" s="110" t="str">
        <v>Vilamoura, Algarve</v>
      </c>
      <c r="E11" s="110" t="str">
        <v>T2</v>
      </c>
      <c r="F11" s="110">
        <v>146.33000000000001</v>
      </c>
      <c r="G11" s="110">
        <v>0</v>
      </c>
      <c r="H11" s="110" t="str">
        <v>2</v>
      </c>
      <c r="I11" s="110" t="str">
        <v/>
      </c>
      <c r="J11" s="110">
        <v>13.97</v>
      </c>
      <c r="K11" s="110">
        <v>0</v>
      </c>
      <c r="L11" s="110">
        <v>0</v>
      </c>
      <c r="M11" s="110">
        <v>14.42</v>
      </c>
      <c r="N11" s="110">
        <v>0</v>
      </c>
      <c r="O11" s="110">
        <v>117.94</v>
      </c>
      <c r="P11" s="110">
        <v>0</v>
      </c>
      <c r="Q11" s="110" t="str">
        <v>PRE-RESERVED</v>
      </c>
      <c r="R11" s="110">
        <v>901385.49600000004</v>
      </c>
      <c r="S11" s="110">
        <v>901385.49600000004</v>
      </c>
      <c r="T11" s="110">
        <v>910000</v>
      </c>
      <c r="U11" s="110">
        <v>0</v>
      </c>
      <c r="V11" s="110">
        <v>0</v>
      </c>
      <c r="W11" s="110">
        <v>910000</v>
      </c>
      <c r="X11" s="110">
        <v>0</v>
      </c>
      <c r="Y11" s="110">
        <v>910000</v>
      </c>
      <c r="Z11" s="110">
        <v>910000</v>
      </c>
      <c r="AA11" s="110">
        <v>46029</v>
      </c>
      <c r="AB11" s="111" t="str">
        <v>Q1 2026</v>
      </c>
      <c r="AC11">
        <v>0</v>
      </c>
      <c r="AD11">
        <v>0</v>
      </c>
      <c r="AE11" t="str">
        <v>Ana Damásio</v>
      </c>
      <c r="AF11" t="str">
        <v>Elisabete Figueiredo</v>
      </c>
      <c r="AG11" t="str">
        <v>Botanica Apartments - New Development - *Vilamoura</v>
      </c>
      <c r="AH11" t="str">
        <v>Tranquil gardens. Communal parks. Perfectly-planted balconies. Botanica, a sense of well-being and connection to nature within a central urban location. One of the last opportunities to own a property in the heart of Vilamoura.</v>
      </c>
      <c r="AI11" t="str">
        <v>Indoor Heated Pool, Spa, Outdoor Pool, Gym, Underground Parking</v>
      </c>
      <c r="AJ11"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11" t="str">
        <v>Samuel Torres de Carvalho</v>
      </c>
      <c r="AL11" t="str">
        <v>Botanica</v>
      </c>
    </row>
    <row r="12" spans="1:38" x14ac:dyDescent="0.3">
      <c r="A12" s="110" t="str">
        <v>BOTÂNICA</v>
      </c>
      <c r="B12" s="110" t="str">
        <v>Vilamoura</v>
      </c>
      <c r="C12" s="110" t="str">
        <v>AZ</v>
      </c>
      <c r="D12" s="110" t="str">
        <v>Vilamoura, Algarve</v>
      </c>
      <c r="E12" s="110" t="str">
        <v>T3</v>
      </c>
      <c r="F12" s="110">
        <v>319.7</v>
      </c>
      <c r="G12" s="110">
        <v>0</v>
      </c>
      <c r="H12" s="110" t="str">
        <v>1</v>
      </c>
      <c r="I12" s="110" t="str">
        <v/>
      </c>
      <c r="J12" s="110">
        <v>55.52</v>
      </c>
      <c r="K12" s="110">
        <v>0</v>
      </c>
      <c r="L12" s="110">
        <v>0</v>
      </c>
      <c r="M12" s="110">
        <v>97.96</v>
      </c>
      <c r="N12" s="110">
        <v>0</v>
      </c>
      <c r="O12" s="110">
        <v>166.22</v>
      </c>
      <c r="P12" s="110">
        <v>0</v>
      </c>
      <c r="Q12" s="110" t="str">
        <v>RESERVED</v>
      </c>
      <c r="R12" s="110">
        <v>1873737.58</v>
      </c>
      <c r="S12" s="110">
        <v>1873737.58</v>
      </c>
      <c r="T12" s="110">
        <v>1955200</v>
      </c>
      <c r="U12" s="110">
        <v>0</v>
      </c>
      <c r="V12" s="110">
        <v>0</v>
      </c>
      <c r="W12" s="110">
        <v>1955200</v>
      </c>
      <c r="X12" s="110">
        <v>7.5695581014729703E-3</v>
      </c>
      <c r="Y12" s="110">
        <v>1940400</v>
      </c>
      <c r="Z12" s="110">
        <v>1940400</v>
      </c>
      <c r="AA12" s="110">
        <v>46029</v>
      </c>
      <c r="AB12" s="111" t="str">
        <v>Q1 2026</v>
      </c>
      <c r="AC12">
        <v>0</v>
      </c>
      <c r="AD12">
        <v>0</v>
      </c>
      <c r="AE12" t="str">
        <v>Ana Damásio</v>
      </c>
      <c r="AF12" t="str">
        <v>Elisabete Figueiredo</v>
      </c>
      <c r="AG12" t="str">
        <v>Botanica Apartments - New Development - *Vilamoura</v>
      </c>
      <c r="AH12" t="str">
        <v>Tranquil gardens. Communal parks. Perfectly-planted balconies. Botanica, a sense of well-being and connection to nature within a central urban location. One of the last opportunities to own a property in the heart of Vilamoura.</v>
      </c>
      <c r="AI12" t="str">
        <v>Indoor Heated Pool, Spa, Outdoor Pool, Gym, Underground Parking</v>
      </c>
      <c r="AJ12"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12" t="str">
        <v>Samuel Torres de Carvalho</v>
      </c>
      <c r="AL12" t="str">
        <v>Botanica</v>
      </c>
    </row>
    <row r="13" spans="1:38" x14ac:dyDescent="0.3">
      <c r="A13" s="110" t="str">
        <v>BOTÂNICA</v>
      </c>
      <c r="B13" s="110" t="str">
        <v>Vilamoura</v>
      </c>
      <c r="C13" s="110" t="str">
        <v>AC</v>
      </c>
      <c r="D13" s="110" t="str">
        <v>Vilamoura, Algarve</v>
      </c>
      <c r="E13" s="110" t="str">
        <v>T2</v>
      </c>
      <c r="F13" s="110">
        <v>151.4</v>
      </c>
      <c r="G13" s="110">
        <v>0</v>
      </c>
      <c r="H13" s="110" t="str">
        <v>2</v>
      </c>
      <c r="I13" s="110" t="str">
        <v/>
      </c>
      <c r="J13" s="110">
        <v>27.6</v>
      </c>
      <c r="K13" s="110">
        <v>0</v>
      </c>
      <c r="L13" s="110">
        <v>0</v>
      </c>
      <c r="M13" s="110">
        <v>0</v>
      </c>
      <c r="N13" s="110">
        <v>0</v>
      </c>
      <c r="O13" s="110">
        <v>123.8</v>
      </c>
      <c r="P13" s="110">
        <v>0</v>
      </c>
      <c r="Q13" s="110" t="str">
        <v>RESERVED</v>
      </c>
      <c r="R13" s="110">
        <v>1063508.1599999999</v>
      </c>
      <c r="S13" s="110">
        <v>1063508.1599999999</v>
      </c>
      <c r="T13" s="110">
        <v>1070000</v>
      </c>
      <c r="U13" s="110">
        <v>0</v>
      </c>
      <c r="V13" s="110">
        <v>0</v>
      </c>
      <c r="W13" s="110">
        <v>1070000</v>
      </c>
      <c r="X13" s="110">
        <v>0.01</v>
      </c>
      <c r="Y13" s="110">
        <v>1059300</v>
      </c>
      <c r="Z13" s="110">
        <v>1059300</v>
      </c>
      <c r="AA13" s="110">
        <v>46029</v>
      </c>
      <c r="AB13" s="111" t="str">
        <v>Q1 2026</v>
      </c>
      <c r="AC13">
        <v>0</v>
      </c>
      <c r="AD13">
        <v>0</v>
      </c>
      <c r="AE13" t="str">
        <v>Ana Damásio</v>
      </c>
      <c r="AF13" t="str">
        <v>Elisabete Figueiredo</v>
      </c>
      <c r="AG13" t="str">
        <v>Botanica Apartments - New Development - *Vilamoura</v>
      </c>
      <c r="AH13" t="str">
        <v>Tranquil gardens. Communal parks. Perfectly-planted balconies. Botanica, a sense of well-being and connection to nature within a central urban location. One of the last opportunities to own a property in the heart of Vilamoura.</v>
      </c>
      <c r="AI13" t="str">
        <v>Indoor Heated Pool, Spa, Outdoor Pool, Gym, Underground Parking</v>
      </c>
      <c r="AJ13"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13" t="str">
        <v>Samuel Torres de Carvalho</v>
      </c>
      <c r="AL13" t="str">
        <v>Botanica</v>
      </c>
    </row>
    <row r="14" spans="1:38" x14ac:dyDescent="0.3">
      <c r="A14" s="110" t="str">
        <v>BOTÂNICA</v>
      </c>
      <c r="B14" s="110" t="str">
        <v>Vilamoura</v>
      </c>
      <c r="C14" s="110" t="str">
        <v>AD</v>
      </c>
      <c r="D14" s="110" t="str">
        <v>Vilamoura, Algarve</v>
      </c>
      <c r="E14" s="110" t="str">
        <v>T2</v>
      </c>
      <c r="F14" s="110">
        <v>151.53</v>
      </c>
      <c r="G14" s="110">
        <v>0</v>
      </c>
      <c r="H14" s="110" t="str">
        <v>2</v>
      </c>
      <c r="I14" s="110" t="str">
        <v/>
      </c>
      <c r="J14" s="110">
        <v>27.61</v>
      </c>
      <c r="K14" s="110">
        <v>0</v>
      </c>
      <c r="L14" s="110">
        <v>0</v>
      </c>
      <c r="M14" s="110">
        <v>0</v>
      </c>
      <c r="N14" s="110">
        <v>0</v>
      </c>
      <c r="O14" s="110">
        <v>123.92</v>
      </c>
      <c r="P14" s="110">
        <v>0</v>
      </c>
      <c r="Q14" s="110" t="str">
        <v>RESERVED</v>
      </c>
      <c r="R14" s="110">
        <v>1064498.5560000001</v>
      </c>
      <c r="S14" s="110">
        <v>1064498.5560000001</v>
      </c>
      <c r="T14" s="110">
        <v>1070000</v>
      </c>
      <c r="U14" s="110">
        <v>0</v>
      </c>
      <c r="V14" s="110">
        <v>0</v>
      </c>
      <c r="W14" s="110">
        <v>1070000</v>
      </c>
      <c r="X14" s="110">
        <v>0.01</v>
      </c>
      <c r="Y14" s="110">
        <v>1059300</v>
      </c>
      <c r="Z14" s="110">
        <v>1059300</v>
      </c>
      <c r="AA14" s="110">
        <v>46029</v>
      </c>
      <c r="AB14" s="111" t="str">
        <v>Q1 2026</v>
      </c>
      <c r="AC14">
        <v>0</v>
      </c>
      <c r="AD14">
        <v>0</v>
      </c>
      <c r="AE14" t="str">
        <v>Ana Damásio</v>
      </c>
      <c r="AF14" t="str">
        <v>Elisabete Figueiredo</v>
      </c>
      <c r="AG14" t="str">
        <v>Botanica Apartments - New Development - *Vilamoura</v>
      </c>
      <c r="AH14" t="str">
        <v>Tranquil gardens. Communal parks. Perfectly-planted balconies. Botanica, a sense of well-being and connection to nature within a central urban location. One of the last opportunities to own a property in the heart of Vilamoura.</v>
      </c>
      <c r="AI14" t="str">
        <v>Indoor Heated Pool, Spa, Outdoor Pool, Gym, Underground Parking</v>
      </c>
      <c r="AJ14"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14" t="str">
        <v>Samuel Torres de Carvalho</v>
      </c>
      <c r="AL14" t="str">
        <v>Botanica</v>
      </c>
    </row>
    <row r="15" spans="1:38" x14ac:dyDescent="0.3">
      <c r="A15" s="110" t="str">
        <v>BOTÂNICA</v>
      </c>
      <c r="B15" s="110" t="str">
        <v>Vilamoura</v>
      </c>
      <c r="C15" s="110" t="str">
        <v>BC</v>
      </c>
      <c r="D15" s="110" t="str">
        <v>Vilamoura, Algarve</v>
      </c>
      <c r="E15" s="110" t="str">
        <v>T3</v>
      </c>
      <c r="F15" s="110">
        <v>319.63</v>
      </c>
      <c r="G15" s="110">
        <v>0</v>
      </c>
      <c r="H15" s="110" t="str">
        <v>1</v>
      </c>
      <c r="I15" s="110" t="str">
        <v/>
      </c>
      <c r="J15" s="110">
        <v>55.5</v>
      </c>
      <c r="K15" s="110">
        <v>0</v>
      </c>
      <c r="L15" s="110">
        <v>0</v>
      </c>
      <c r="M15" s="110">
        <v>101.74</v>
      </c>
      <c r="N15" s="110">
        <v>0</v>
      </c>
      <c r="O15" s="110">
        <v>162.38999999999999</v>
      </c>
      <c r="P15" s="110">
        <v>0</v>
      </c>
      <c r="Q15" s="110" t="str">
        <v>RESERVED</v>
      </c>
      <c r="R15" s="110">
        <v>1790881.95</v>
      </c>
      <c r="S15" s="110">
        <v>1790881.95</v>
      </c>
      <c r="T15" s="110">
        <v>1800000</v>
      </c>
      <c r="U15" s="110">
        <v>0</v>
      </c>
      <c r="V15" s="110">
        <v>0</v>
      </c>
      <c r="W15" s="110">
        <v>1800000</v>
      </c>
      <c r="X15" s="110">
        <v>0.04</v>
      </c>
      <c r="Y15" s="110">
        <v>1728000</v>
      </c>
      <c r="Z15" s="110">
        <v>1728000</v>
      </c>
      <c r="AA15" s="110">
        <v>46029</v>
      </c>
      <c r="AB15" s="111" t="str">
        <v>Q1 2026</v>
      </c>
      <c r="AC15">
        <v>0</v>
      </c>
      <c r="AD15">
        <v>0</v>
      </c>
      <c r="AE15" t="str">
        <v>Ana Damásio</v>
      </c>
      <c r="AF15" t="str">
        <v>Elisabete Figueiredo</v>
      </c>
      <c r="AG15" t="str">
        <v>Botanica Apartments - New Development - *Vilamoura</v>
      </c>
      <c r="AH15" t="str">
        <v>Tranquil gardens. Communal parks. Perfectly-planted balconies. Botanica, a sense of well-being and connection to nature within a central urban location. One of the last opportunities to own a property in the heart of Vilamoura.</v>
      </c>
      <c r="AI15" t="str">
        <v>Indoor Heated Pool, Spa, Outdoor Pool, Gym, Underground Parking</v>
      </c>
      <c r="AJ15"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15" t="str">
        <v>Samuel Torres de Carvalho</v>
      </c>
      <c r="AL15" t="str">
        <v>Botanica</v>
      </c>
    </row>
    <row r="16" spans="1:38" x14ac:dyDescent="0.3">
      <c r="A16" s="110" t="str">
        <v>BOTÂNICA</v>
      </c>
      <c r="B16" s="110" t="str">
        <v>Vilamoura</v>
      </c>
      <c r="C16" s="110" t="str">
        <v>AF</v>
      </c>
      <c r="D16" s="110" t="str">
        <v>Vilamoura, Algarve</v>
      </c>
      <c r="E16" s="110" t="str">
        <v>T2</v>
      </c>
      <c r="F16" s="110">
        <v>146.43</v>
      </c>
      <c r="G16" s="110">
        <v>0</v>
      </c>
      <c r="H16" s="110" t="str">
        <v>2</v>
      </c>
      <c r="I16" s="110" t="str">
        <v/>
      </c>
      <c r="J16" s="110">
        <v>28.49</v>
      </c>
      <c r="K16" s="110">
        <v>0</v>
      </c>
      <c r="L16" s="110">
        <v>0</v>
      </c>
      <c r="M16" s="110">
        <v>0</v>
      </c>
      <c r="N16" s="110">
        <v>0</v>
      </c>
      <c r="O16" s="110">
        <v>117.94</v>
      </c>
      <c r="P16" s="110">
        <v>0</v>
      </c>
      <c r="Q16" s="110" t="str">
        <v xml:space="preserve">PSPA </v>
      </c>
      <c r="R16" s="110">
        <v>926643.76199999999</v>
      </c>
      <c r="S16" s="110">
        <v>926643.76199999999</v>
      </c>
      <c r="T16" s="110">
        <v>930000</v>
      </c>
      <c r="U16" s="110">
        <v>0</v>
      </c>
      <c r="V16" s="110">
        <v>0</v>
      </c>
      <c r="W16" s="110">
        <v>930000</v>
      </c>
      <c r="X16" s="110">
        <v>0.04</v>
      </c>
      <c r="Y16" s="110">
        <v>892800</v>
      </c>
      <c r="Z16" s="110">
        <v>892800</v>
      </c>
      <c r="AA16" s="110">
        <v>46029</v>
      </c>
      <c r="AB16" s="111" t="str">
        <v>Q1 2026</v>
      </c>
      <c r="AC16">
        <v>46136</v>
      </c>
      <c r="AD16">
        <v>0</v>
      </c>
      <c r="AE16" t="str">
        <v>Ana Damásio</v>
      </c>
      <c r="AF16" t="str">
        <v>Elisabete Figueiredo</v>
      </c>
      <c r="AG16" t="str">
        <v>Botanica Apartments - New Development - *Vilamoura</v>
      </c>
      <c r="AH16" t="str">
        <v>Tranquil gardens. Communal parks. Perfectly-planted balconies. Botanica, a sense of well-being and connection to nature within a central urban location. One of the last opportunities to own a property in the heart of Vilamoura.</v>
      </c>
      <c r="AI16" t="str">
        <v>Indoor Heated Pool, Spa, Outdoor Pool, Gym, Underground Parking</v>
      </c>
      <c r="AJ16"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16" t="str">
        <v>Samuel Torres de Carvalho</v>
      </c>
      <c r="AL16" t="str">
        <v>Botanica</v>
      </c>
    </row>
    <row r="17" spans="1:38" x14ac:dyDescent="0.3">
      <c r="A17" s="110" t="str">
        <v>BOTÂNICA</v>
      </c>
      <c r="B17" s="110" t="str">
        <v>Vilamoura</v>
      </c>
      <c r="C17" s="110" t="str">
        <v>G</v>
      </c>
      <c r="D17" s="110" t="str">
        <v>Vilamoura, Algarve</v>
      </c>
      <c r="E17" s="110" t="str">
        <v>T2</v>
      </c>
      <c r="F17" s="110">
        <v>260.27</v>
      </c>
      <c r="G17" s="110">
        <v>0</v>
      </c>
      <c r="H17" s="110" t="str">
        <v>2</v>
      </c>
      <c r="I17" s="110" t="str">
        <v/>
      </c>
      <c r="J17" s="110">
        <v>0</v>
      </c>
      <c r="K17" s="110">
        <v>0</v>
      </c>
      <c r="L17" s="110">
        <v>0</v>
      </c>
      <c r="M17" s="110">
        <v>135.21</v>
      </c>
      <c r="N17" s="110">
        <v>0</v>
      </c>
      <c r="O17" s="110">
        <v>125.06</v>
      </c>
      <c r="P17" s="110">
        <v>0</v>
      </c>
      <c r="Q17" s="110" t="str">
        <v xml:space="preserve">PSPA </v>
      </c>
      <c r="R17" s="110">
        <v>1042833.33</v>
      </c>
      <c r="S17" s="110">
        <v>1042833.33</v>
      </c>
      <c r="T17" s="110">
        <v>1050000</v>
      </c>
      <c r="U17" s="110">
        <v>0</v>
      </c>
      <c r="V17" s="110">
        <v>0</v>
      </c>
      <c r="W17" s="110">
        <v>1050000</v>
      </c>
      <c r="X17" s="110">
        <v>0.04</v>
      </c>
      <c r="Y17" s="110">
        <v>1008000</v>
      </c>
      <c r="Z17" s="110">
        <v>1008000</v>
      </c>
      <c r="AA17" s="110">
        <v>46029</v>
      </c>
      <c r="AB17" s="111" t="str">
        <v>Q1 2026</v>
      </c>
      <c r="AC17" t="str">
        <v>27/042/2026</v>
      </c>
      <c r="AD17">
        <v>0</v>
      </c>
      <c r="AE17" t="str">
        <v>Ana Damásio</v>
      </c>
      <c r="AF17" t="str">
        <v>Elisabete Figueiredo</v>
      </c>
      <c r="AG17" t="str">
        <v>Botanica Apartments - New Development - *Vilamoura</v>
      </c>
      <c r="AH17" t="str">
        <v>Tranquil gardens. Communal parks. Perfectly-planted balconies. Botanica, a sense of well-being and connection to nature within a central urban location. One of the last opportunities to own a property in the heart of Vilamoura.</v>
      </c>
      <c r="AI17" t="str">
        <v>Indoor Heated Pool, Spa, Outdoor Pool, Gym, Underground Parking</v>
      </c>
      <c r="AJ17"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17" t="str">
        <v>Samuel Torres de Carvalho</v>
      </c>
      <c r="AL17" t="str">
        <v>Botanica</v>
      </c>
    </row>
    <row r="18" spans="1:38" x14ac:dyDescent="0.3">
      <c r="A18" s="110" t="str">
        <v>BOTÂNICA</v>
      </c>
      <c r="B18" s="110" t="str">
        <v>Vilamoura</v>
      </c>
      <c r="C18" s="110" t="str">
        <v>H</v>
      </c>
      <c r="D18" s="110" t="str">
        <v>Vilamoura, Algarve</v>
      </c>
      <c r="E18" s="110" t="str">
        <v>T2</v>
      </c>
      <c r="F18" s="110">
        <v>255.53</v>
      </c>
      <c r="G18" s="110">
        <v>0</v>
      </c>
      <c r="H18" s="110" t="str">
        <v>2</v>
      </c>
      <c r="I18" s="110" t="str">
        <v/>
      </c>
      <c r="J18" s="110">
        <v>0</v>
      </c>
      <c r="K18" s="110">
        <v>0</v>
      </c>
      <c r="L18" s="110">
        <v>0</v>
      </c>
      <c r="M18" s="110">
        <v>130.37</v>
      </c>
      <c r="N18" s="110">
        <v>0</v>
      </c>
      <c r="O18" s="110">
        <v>125.16</v>
      </c>
      <c r="P18" s="110">
        <v>0</v>
      </c>
      <c r="Q18" s="110" t="str">
        <v xml:space="preserve">PSPA </v>
      </c>
      <c r="R18" s="110">
        <v>1040172.21</v>
      </c>
      <c r="S18" s="110">
        <v>1040172.21</v>
      </c>
      <c r="T18" s="110">
        <v>1050000</v>
      </c>
      <c r="U18" s="110">
        <v>0</v>
      </c>
      <c r="V18" s="110">
        <v>0</v>
      </c>
      <c r="W18" s="110">
        <v>1050000</v>
      </c>
      <c r="X18" s="110">
        <v>0.04</v>
      </c>
      <c r="Y18" s="110">
        <v>1008000</v>
      </c>
      <c r="Z18" s="110">
        <v>1008000</v>
      </c>
      <c r="AA18" s="110">
        <v>46029</v>
      </c>
      <c r="AB18" s="111" t="str">
        <v>Q1 2026</v>
      </c>
      <c r="AC18">
        <v>46171</v>
      </c>
      <c r="AD18">
        <v>0</v>
      </c>
      <c r="AE18" t="str">
        <v>Ana Damásio</v>
      </c>
      <c r="AF18" t="str">
        <v>Elisabete Figueiredo</v>
      </c>
      <c r="AG18" t="str">
        <v>Botanica Apartments - New Development - *Vilamoura</v>
      </c>
      <c r="AH18" t="str">
        <v>Tranquil gardens. Communal parks. Perfectly-planted balconies. Botanica, a sense of well-being and connection to nature within a central urban location. One of the last opportunities to own a property in the heart of Vilamoura.</v>
      </c>
      <c r="AI18" t="str">
        <v>Indoor Heated Pool, Spa, Outdoor Pool, Gym, Underground Parking</v>
      </c>
      <c r="AJ18"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18" t="str">
        <v>Samuel Torres de Carvalho</v>
      </c>
      <c r="AL18" t="str">
        <v>Botanica</v>
      </c>
    </row>
    <row r="19" spans="1:38" x14ac:dyDescent="0.3">
      <c r="A19" s="110" t="str">
        <v>BOTÂNICA</v>
      </c>
      <c r="B19" s="110" t="str">
        <v>Vilamoura</v>
      </c>
      <c r="C19" s="110" t="str">
        <v>AV</v>
      </c>
      <c r="D19" s="110" t="str">
        <v>Vilamoura, Algarve</v>
      </c>
      <c r="E19" s="110" t="str">
        <v>T2</v>
      </c>
      <c r="F19" s="110">
        <v>151.24</v>
      </c>
      <c r="G19" s="110">
        <v>0</v>
      </c>
      <c r="H19" s="110" t="str">
        <v>2</v>
      </c>
      <c r="I19" s="110" t="str">
        <v/>
      </c>
      <c r="J19" s="110">
        <v>27.6</v>
      </c>
      <c r="K19" s="110">
        <v>0</v>
      </c>
      <c r="L19" s="110">
        <v>0</v>
      </c>
      <c r="M19" s="110">
        <v>0</v>
      </c>
      <c r="N19" s="110">
        <v>0</v>
      </c>
      <c r="O19" s="110">
        <v>123.64</v>
      </c>
      <c r="P19" s="110">
        <v>0</v>
      </c>
      <c r="Q19" s="110" t="str">
        <v>RESERVED</v>
      </c>
      <c r="R19" s="110">
        <v>1001272.8</v>
      </c>
      <c r="S19" s="110">
        <v>1001272.8</v>
      </c>
      <c r="T19" s="110">
        <v>1010000</v>
      </c>
      <c r="U19" s="110">
        <v>0</v>
      </c>
      <c r="V19" s="110">
        <v>0</v>
      </c>
      <c r="W19" s="110">
        <v>1010000</v>
      </c>
      <c r="X19" s="110">
        <v>5.2400000000000002E-2</v>
      </c>
      <c r="Y19" s="110">
        <v>957076</v>
      </c>
      <c r="Z19" s="110">
        <v>957076</v>
      </c>
      <c r="AA19" s="110">
        <v>46029</v>
      </c>
      <c r="AB19" s="111" t="str">
        <v>Q1 2026</v>
      </c>
      <c r="AC19">
        <v>0</v>
      </c>
      <c r="AD19">
        <v>0</v>
      </c>
      <c r="AE19" t="str">
        <v>Ana Damásio</v>
      </c>
      <c r="AF19" t="str">
        <v>Elisabete Figueiredo</v>
      </c>
      <c r="AG19" t="str">
        <v>Botanica Apartments - New Development - *Vilamoura</v>
      </c>
      <c r="AH19" t="str">
        <v>Tranquil gardens. Communal parks. Perfectly-planted balconies. Botanica, a sense of well-being and connection to nature within a central urban location. One of the last opportunities to own a property in the heart of Vilamoura.</v>
      </c>
      <c r="AI19" t="str">
        <v>Indoor Heated Pool, Spa, Outdoor Pool, Gym, Underground Parking</v>
      </c>
      <c r="AJ19"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19" t="str">
        <v>Samuel Torres de Carvalho</v>
      </c>
      <c r="AL19" t="str">
        <v>Botanica</v>
      </c>
    </row>
    <row r="20" spans="1:38" x14ac:dyDescent="0.3">
      <c r="A20" s="110" t="str">
        <v>BOTÂNICA</v>
      </c>
      <c r="B20" s="110" t="str">
        <v>Vilamoura</v>
      </c>
      <c r="C20" s="110" t="str">
        <v>AW</v>
      </c>
      <c r="D20" s="110" t="str">
        <v>Vilamoura, Algarve</v>
      </c>
      <c r="E20" s="110" t="str">
        <v>T2</v>
      </c>
      <c r="F20" s="110">
        <v>151.25</v>
      </c>
      <c r="G20" s="110">
        <v>0</v>
      </c>
      <c r="H20" s="110" t="str">
        <v>1</v>
      </c>
      <c r="I20" s="110" t="str">
        <v/>
      </c>
      <c r="J20" s="110">
        <v>27.61</v>
      </c>
      <c r="K20" s="110">
        <v>0</v>
      </c>
      <c r="L20" s="110">
        <v>0</v>
      </c>
      <c r="M20" s="110">
        <v>0</v>
      </c>
      <c r="N20" s="110">
        <v>0</v>
      </c>
      <c r="O20" s="110">
        <v>123.64</v>
      </c>
      <c r="P20" s="110">
        <v>0</v>
      </c>
      <c r="Q20" s="110" t="str">
        <v>RESERVED</v>
      </c>
      <c r="R20" s="110">
        <v>1001295.57</v>
      </c>
      <c r="S20" s="110">
        <v>1001295.57</v>
      </c>
      <c r="T20" s="110">
        <v>1010000</v>
      </c>
      <c r="U20" s="110">
        <v>0</v>
      </c>
      <c r="V20" s="110">
        <v>0</v>
      </c>
      <c r="W20" s="110">
        <v>1010000</v>
      </c>
      <c r="X20" s="110">
        <v>5.2400000000000002E-2</v>
      </c>
      <c r="Y20" s="110">
        <v>957076</v>
      </c>
      <c r="Z20" s="110">
        <v>957076</v>
      </c>
      <c r="AA20" s="110">
        <v>46029</v>
      </c>
      <c r="AB20" s="111" t="str">
        <v>Q1 2026</v>
      </c>
      <c r="AC20">
        <v>0</v>
      </c>
      <c r="AD20">
        <v>0</v>
      </c>
      <c r="AE20" t="str">
        <v>Ana Damásio</v>
      </c>
      <c r="AF20" t="str">
        <v>Elisabete Figueiredo</v>
      </c>
      <c r="AG20" t="str">
        <v>Botanica Apartments - New Development - *Vilamoura</v>
      </c>
      <c r="AH20" t="str">
        <v>Tranquil gardens. Communal parks. Perfectly-planted balconies. Botanica, a sense of well-being and connection to nature within a central urban location. One of the last opportunities to own a property in the heart of Vilamoura.</v>
      </c>
      <c r="AI20" t="str">
        <v>Indoor Heated Pool, Spa, Outdoor Pool, Gym, Underground Parking</v>
      </c>
      <c r="AJ20"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20" t="str">
        <v>Samuel Torres de Carvalho</v>
      </c>
      <c r="AL20" t="str">
        <v>Botanica</v>
      </c>
    </row>
    <row r="21" spans="1:38" x14ac:dyDescent="0.3">
      <c r="A21" s="110" t="str">
        <v>BOTÂNICA</v>
      </c>
      <c r="B21" s="110" t="str">
        <v>Vilamoura</v>
      </c>
      <c r="C21" s="110" t="str">
        <v>BF</v>
      </c>
      <c r="D21" s="110" t="str">
        <v>Vilamoura, Algarve</v>
      </c>
      <c r="E21" s="110" t="str">
        <v>T2</v>
      </c>
      <c r="F21" s="110">
        <v>151.22999999999999</v>
      </c>
      <c r="G21" s="110">
        <v>0</v>
      </c>
      <c r="H21" s="110" t="str">
        <v>1</v>
      </c>
      <c r="I21" s="110" t="str">
        <v/>
      </c>
      <c r="J21" s="110">
        <v>27.59</v>
      </c>
      <c r="K21" s="110">
        <v>0</v>
      </c>
      <c r="L21" s="110">
        <v>0</v>
      </c>
      <c r="M21" s="110">
        <v>0</v>
      </c>
      <c r="N21" s="110">
        <v>0</v>
      </c>
      <c r="O21" s="110">
        <v>123.64</v>
      </c>
      <c r="P21" s="110">
        <v>0</v>
      </c>
      <c r="Q21" s="110" t="str">
        <v>RESERVED</v>
      </c>
      <c r="R21" s="110">
        <v>1044782.64</v>
      </c>
      <c r="S21" s="110">
        <v>1044782.64</v>
      </c>
      <c r="T21" s="110">
        <v>1050000</v>
      </c>
      <c r="U21" s="110">
        <v>0</v>
      </c>
      <c r="V21" s="110">
        <v>0</v>
      </c>
      <c r="W21" s="110">
        <v>1050000</v>
      </c>
      <c r="X21" s="110">
        <v>5.2400000000000002E-2</v>
      </c>
      <c r="Y21" s="110">
        <v>994980</v>
      </c>
      <c r="Z21" s="110">
        <v>994980</v>
      </c>
      <c r="AA21" s="110">
        <v>46029</v>
      </c>
      <c r="AB21" s="111" t="str">
        <v>Q1 2026</v>
      </c>
      <c r="AC21">
        <v>0</v>
      </c>
      <c r="AD21">
        <v>0</v>
      </c>
      <c r="AE21" t="str">
        <v>Ana Damásio</v>
      </c>
      <c r="AF21" t="str">
        <v>Elisabete Figueiredo</v>
      </c>
      <c r="AG21" t="str">
        <v>Botanica Apartments - New Development - *Vilamoura</v>
      </c>
      <c r="AH21" t="str">
        <v>Tranquil gardens. Communal parks. Perfectly-planted balconies. Botanica, a sense of well-being and connection to nature within a central urban location. One of the last opportunities to own a property in the heart of Vilamoura.</v>
      </c>
      <c r="AI21" t="str">
        <v>Indoor Heated Pool, Spa, Outdoor Pool, Gym, Underground Parking</v>
      </c>
      <c r="AJ21"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21" t="str">
        <v>Samuel Torres de Carvalho</v>
      </c>
      <c r="AL21" t="str">
        <v>Botanica</v>
      </c>
    </row>
    <row r="22" spans="1:38" x14ac:dyDescent="0.3">
      <c r="A22" s="110" t="str">
        <v>BOTÂNICA</v>
      </c>
      <c r="B22" s="110" t="str">
        <v>Vilamoura</v>
      </c>
      <c r="C22" s="110" t="str">
        <v>AA</v>
      </c>
      <c r="D22" s="110" t="str">
        <v>Vilamoura, Algarve</v>
      </c>
      <c r="E22" s="110" t="str">
        <v>T2</v>
      </c>
      <c r="F22" s="110">
        <v>151.47999999999999</v>
      </c>
      <c r="G22" s="110">
        <v>0</v>
      </c>
      <c r="H22" s="110" t="str">
        <v>2</v>
      </c>
      <c r="I22" s="110" t="str">
        <v/>
      </c>
      <c r="J22" s="110">
        <v>27.61</v>
      </c>
      <c r="K22" s="110">
        <v>0</v>
      </c>
      <c r="L22" s="110">
        <v>0</v>
      </c>
      <c r="M22" s="110">
        <v>0</v>
      </c>
      <c r="N22" s="110">
        <v>0</v>
      </c>
      <c r="O22" s="110">
        <v>123.87</v>
      </c>
      <c r="P22" s="110">
        <v>0</v>
      </c>
      <c r="Q22" s="110" t="str">
        <v>RESERVED</v>
      </c>
      <c r="R22" s="110">
        <v>1064095.956</v>
      </c>
      <c r="S22" s="110">
        <v>1064095.956</v>
      </c>
      <c r="T22" s="110">
        <v>1070000</v>
      </c>
      <c r="U22" s="110">
        <v>0</v>
      </c>
      <c r="V22" s="110">
        <v>0</v>
      </c>
      <c r="W22" s="110">
        <v>1070000</v>
      </c>
      <c r="X22" s="110">
        <v>0.08</v>
      </c>
      <c r="Y22" s="110">
        <v>984400</v>
      </c>
      <c r="Z22" s="110">
        <v>984400</v>
      </c>
      <c r="AA22" s="110">
        <v>46029</v>
      </c>
      <c r="AB22" s="111" t="str">
        <v>Q1 2026</v>
      </c>
      <c r="AC22">
        <v>46013</v>
      </c>
      <c r="AD22">
        <v>0</v>
      </c>
      <c r="AE22" t="str">
        <v>Ana Damásio</v>
      </c>
      <c r="AF22" t="str">
        <v>Elisabete Figueiredo</v>
      </c>
      <c r="AG22" t="str">
        <v>Botanica Apartments - New Development - *Vilamoura</v>
      </c>
      <c r="AH22" t="str">
        <v>Tranquil gardens. Communal parks. Perfectly-planted balconies. Botanica, a sense of well-being and connection to nature within a central urban location. One of the last opportunities to own a property in the heart of Vilamoura.</v>
      </c>
      <c r="AI22" t="str">
        <v>Indoor Heated Pool, Spa, Outdoor Pool, Gym, Underground Parking</v>
      </c>
      <c r="AJ22"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22" t="str">
        <v>Samuel Torres de Carvalho</v>
      </c>
      <c r="AL22" t="str">
        <v>Botanica</v>
      </c>
    </row>
    <row r="23" spans="1:38" x14ac:dyDescent="0.3">
      <c r="A23" s="110" t="str">
        <v>BOTÂNICA</v>
      </c>
      <c r="B23" s="110" t="str">
        <v>Vilamoura</v>
      </c>
      <c r="C23" s="110" t="str">
        <v>AK</v>
      </c>
      <c r="D23" s="110" t="str">
        <v>Vilamoura, Algarve</v>
      </c>
      <c r="E23" s="110" t="str">
        <v>T2</v>
      </c>
      <c r="F23" s="110">
        <v>151.5</v>
      </c>
      <c r="G23" s="110">
        <v>0</v>
      </c>
      <c r="H23" s="110" t="str">
        <v>2</v>
      </c>
      <c r="I23" s="110" t="str">
        <v/>
      </c>
      <c r="J23" s="110">
        <v>27.61</v>
      </c>
      <c r="K23" s="110">
        <v>0</v>
      </c>
      <c r="L23" s="110">
        <v>0</v>
      </c>
      <c r="M23" s="110">
        <v>0</v>
      </c>
      <c r="N23" s="110">
        <v>0</v>
      </c>
      <c r="O23" s="110">
        <v>123.89</v>
      </c>
      <c r="P23" s="110">
        <v>0</v>
      </c>
      <c r="Q23" s="110" t="str">
        <v>RESERVED</v>
      </c>
      <c r="R23" s="110">
        <v>950852.56200000003</v>
      </c>
      <c r="S23" s="110">
        <v>950852.56200000003</v>
      </c>
      <c r="T23" s="110">
        <v>960000</v>
      </c>
      <c r="U23" s="110">
        <v>0</v>
      </c>
      <c r="V23" s="110">
        <v>0</v>
      </c>
      <c r="W23" s="110">
        <v>960000</v>
      </c>
      <c r="X23" s="110">
        <v>0.08</v>
      </c>
      <c r="Y23" s="110">
        <v>883200</v>
      </c>
      <c r="Z23" s="110">
        <v>883200</v>
      </c>
      <c r="AA23" s="110">
        <v>46029</v>
      </c>
      <c r="AB23" s="111" t="str">
        <v>Q1 2026</v>
      </c>
      <c r="AC23">
        <v>0</v>
      </c>
      <c r="AD23">
        <v>0</v>
      </c>
      <c r="AE23" t="str">
        <v>Ana Damásio</v>
      </c>
      <c r="AF23" t="str">
        <v>Elisabete Figueiredo</v>
      </c>
      <c r="AG23" t="str">
        <v>Botanica Apartments - New Development - *Vilamoura</v>
      </c>
      <c r="AH23" t="str">
        <v>Tranquil gardens. Communal parks. Perfectly-planted balconies. Botanica, a sense of well-being and connection to nature within a central urban location. One of the last opportunities to own a property in the heart of Vilamoura.</v>
      </c>
      <c r="AI23" t="str">
        <v>Indoor Heated Pool, Spa, Outdoor Pool, Gym, Underground Parking</v>
      </c>
      <c r="AJ23"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23" t="str">
        <v>Samuel Torres de Carvalho</v>
      </c>
      <c r="AL23" t="str">
        <v>Botanica</v>
      </c>
    </row>
    <row r="24" spans="1:38" x14ac:dyDescent="0.3">
      <c r="A24" s="110" t="str">
        <v>BOTÂNICA</v>
      </c>
      <c r="B24" s="110" t="str">
        <v>Vilamoura</v>
      </c>
      <c r="C24" s="110" t="str">
        <v>BB</v>
      </c>
      <c r="D24" s="110" t="str">
        <v>Vilamoura, Algarve</v>
      </c>
      <c r="E24" s="110" t="str">
        <v>T2</v>
      </c>
      <c r="F24" s="110">
        <v>151.27000000000001</v>
      </c>
      <c r="G24" s="110">
        <v>0</v>
      </c>
      <c r="H24" s="110" t="str">
        <v>1</v>
      </c>
      <c r="I24" s="110" t="str">
        <v/>
      </c>
      <c r="J24" s="110">
        <v>27.59</v>
      </c>
      <c r="K24" s="110">
        <v>0</v>
      </c>
      <c r="L24" s="110">
        <v>0</v>
      </c>
      <c r="M24" s="110">
        <v>0</v>
      </c>
      <c r="N24" s="110">
        <v>0</v>
      </c>
      <c r="O24" s="110">
        <v>123.68</v>
      </c>
      <c r="P24" s="110">
        <v>0</v>
      </c>
      <c r="Q24" s="110" t="str">
        <v>RESERVED</v>
      </c>
      <c r="R24" s="110">
        <v>1158318.5460000001</v>
      </c>
      <c r="S24" s="110">
        <v>1158318.5460000001</v>
      </c>
      <c r="T24" s="110">
        <v>1160000</v>
      </c>
      <c r="U24" s="110">
        <v>0</v>
      </c>
      <c r="V24" s="110">
        <v>0</v>
      </c>
      <c r="W24" s="110">
        <v>1160000</v>
      </c>
      <c r="X24" s="110">
        <v>0.10958275862069</v>
      </c>
      <c r="Y24" s="110">
        <v>1032884</v>
      </c>
      <c r="Z24" s="110">
        <v>1032884</v>
      </c>
      <c r="AA24" s="110">
        <v>46029</v>
      </c>
      <c r="AB24" s="111" t="str">
        <v>Q1 2026</v>
      </c>
      <c r="AC24">
        <v>0</v>
      </c>
      <c r="AD24">
        <v>0</v>
      </c>
      <c r="AE24" t="str">
        <v>Ana Damásio</v>
      </c>
      <c r="AF24" t="str">
        <v>Elisabete Figueiredo</v>
      </c>
      <c r="AG24" t="str">
        <v>Botanica Apartments - New Development - *Vilamoura</v>
      </c>
      <c r="AH24" t="str">
        <v>Tranquil gardens. Communal parks. Perfectly-planted balconies. Botanica, a sense of well-being and connection to nature within a central urban location. One of the last opportunities to own a property in the heart of Vilamoura.</v>
      </c>
      <c r="AI24" t="str">
        <v>Indoor Heated Pool, Spa, Outdoor Pool, Gym, Underground Parking</v>
      </c>
      <c r="AJ24"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24" t="str">
        <v>Samuel Torres de Carvalho</v>
      </c>
      <c r="AL24" t="str">
        <v>Botanica</v>
      </c>
    </row>
    <row r="25" spans="1:38" x14ac:dyDescent="0.3">
      <c r="A25" s="110" t="str">
        <v>BOTÂNICA</v>
      </c>
      <c r="B25" s="110" t="str">
        <v>Vilamoura</v>
      </c>
      <c r="C25" s="110" t="str">
        <v>AB</v>
      </c>
      <c r="D25" s="110" t="str">
        <v>Vilamoura, Algarve</v>
      </c>
      <c r="E25" s="110" t="str">
        <v>T3</v>
      </c>
      <c r="F25" s="110">
        <v>195.81</v>
      </c>
      <c r="G25" s="110">
        <v>0</v>
      </c>
      <c r="H25" s="110" t="str">
        <v>3</v>
      </c>
      <c r="I25" s="110" t="str">
        <v/>
      </c>
      <c r="J25" s="110">
        <v>32.97</v>
      </c>
      <c r="K25" s="110">
        <v>0</v>
      </c>
      <c r="L25" s="110">
        <v>0</v>
      </c>
      <c r="M25" s="110">
        <v>0</v>
      </c>
      <c r="N25" s="110">
        <v>0</v>
      </c>
      <c r="O25" s="110">
        <v>162.84</v>
      </c>
      <c r="P25" s="110">
        <v>0</v>
      </c>
      <c r="Q25" s="110" t="str">
        <v>AVAILABLE</v>
      </c>
      <c r="R25" s="110">
        <v>1369756.83</v>
      </c>
      <c r="S25" s="110">
        <v>1369756.83</v>
      </c>
      <c r="T25" s="110">
        <v>1425000</v>
      </c>
      <c r="U25" s="110">
        <v>0</v>
      </c>
      <c r="V25" s="110">
        <v>0</v>
      </c>
      <c r="W25" s="110">
        <v>1425000</v>
      </c>
      <c r="X25" s="110">
        <v>0</v>
      </c>
      <c r="Y25" s="110">
        <v>1411100</v>
      </c>
      <c r="Z25" s="110">
        <v>1411100</v>
      </c>
      <c r="AA25" s="110">
        <v>46029</v>
      </c>
      <c r="AB25" s="111" t="str">
        <v>Q1 2026</v>
      </c>
      <c r="AC25">
        <v>0</v>
      </c>
      <c r="AD25">
        <v>0</v>
      </c>
      <c r="AE25" t="str">
        <v>Ana Damásio</v>
      </c>
      <c r="AF25" t="str">
        <v>Elisabete Figueiredo</v>
      </c>
      <c r="AG25" t="str">
        <v>Botanica Apartments - New Development - *Vilamoura</v>
      </c>
      <c r="AH25" t="str">
        <v>Tranquil gardens. Communal parks. Perfectly-planted balconies. Botanica, a sense of well-being and connection to nature within a central urban location. One of the last opportunities to own a property in the heart of Vilamoura.</v>
      </c>
      <c r="AI25" t="str">
        <v>Indoor Heated Pool, Spa, Outdoor Pool, Gym, Underground Parking</v>
      </c>
      <c r="AJ25"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25" t="str">
        <v>Samuel Torres de Carvalho</v>
      </c>
      <c r="AL25" t="str">
        <v>Botanica</v>
      </c>
    </row>
    <row r="26" spans="1:38" x14ac:dyDescent="0.3">
      <c r="A26" s="110" t="str">
        <v>BOTÂNICA</v>
      </c>
      <c r="B26" s="110" t="str">
        <v>Vilamoura</v>
      </c>
      <c r="C26" s="110" t="str">
        <v>AE</v>
      </c>
      <c r="D26" s="110" t="str">
        <v>Vilamoura, Algarve</v>
      </c>
      <c r="E26" s="110" t="str">
        <v>T3</v>
      </c>
      <c r="F26" s="110">
        <v>223.94</v>
      </c>
      <c r="G26" s="110">
        <v>0</v>
      </c>
      <c r="H26" s="110" t="str">
        <v>3</v>
      </c>
      <c r="I26" s="110" t="str">
        <v/>
      </c>
      <c r="J26" s="110">
        <v>55.67</v>
      </c>
      <c r="K26" s="110">
        <v>0</v>
      </c>
      <c r="L26" s="110">
        <v>0</v>
      </c>
      <c r="M26" s="110">
        <v>0</v>
      </c>
      <c r="N26" s="110">
        <v>0</v>
      </c>
      <c r="O26" s="110">
        <v>168.27</v>
      </c>
      <c r="P26" s="110">
        <v>0</v>
      </c>
      <c r="Q26" s="110" t="str">
        <v>AVAILABLE</v>
      </c>
      <c r="R26" s="110">
        <v>1537842.54</v>
      </c>
      <c r="S26" s="110">
        <v>1537842.54</v>
      </c>
      <c r="T26" s="110">
        <v>1690000</v>
      </c>
      <c r="U26" s="110">
        <v>0</v>
      </c>
      <c r="V26" s="110">
        <v>0</v>
      </c>
      <c r="W26" s="110">
        <v>1690000</v>
      </c>
      <c r="X26" s="110">
        <v>0</v>
      </c>
      <c r="Y26" s="110">
        <v>1586200</v>
      </c>
      <c r="Z26" s="110">
        <v>1586200</v>
      </c>
      <c r="AA26" s="110">
        <v>46029</v>
      </c>
      <c r="AB26" s="111" t="str">
        <v>Q1 2026</v>
      </c>
      <c r="AC26">
        <v>0</v>
      </c>
      <c r="AD26">
        <v>0</v>
      </c>
      <c r="AE26" t="str">
        <v>Ana Damásio</v>
      </c>
      <c r="AF26" t="str">
        <v>Elisabete Figueiredo</v>
      </c>
      <c r="AG26" t="str">
        <v>Botanica Apartments - New Development - *Vilamoura</v>
      </c>
      <c r="AH26" t="str">
        <v>Tranquil gardens. Communal parks. Perfectly-planted balconies. Botanica, a sense of well-being and connection to nature within a central urban location. One of the last opportunities to own a property in the heart of Vilamoura.</v>
      </c>
      <c r="AI26" t="str">
        <v>Indoor Heated Pool, Spa, Outdoor Pool, Gym, Underground Parking</v>
      </c>
      <c r="AJ26"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26" t="str">
        <v>Samuel Torres de Carvalho</v>
      </c>
      <c r="AL26" t="str">
        <v>Botanica</v>
      </c>
    </row>
    <row r="27" spans="1:38" x14ac:dyDescent="0.3">
      <c r="A27" s="110" t="str">
        <v>BOTÂNICA</v>
      </c>
      <c r="B27" s="110" t="str">
        <v>Vilamoura</v>
      </c>
      <c r="C27" s="110" t="str">
        <v>AH</v>
      </c>
      <c r="D27" s="110" t="str">
        <v>Vilamoura, Algarve</v>
      </c>
      <c r="E27" s="110" t="str">
        <v>T2</v>
      </c>
      <c r="F27" s="110">
        <v>151.37</v>
      </c>
      <c r="G27" s="110">
        <v>0</v>
      </c>
      <c r="H27" s="110" t="str">
        <v>2</v>
      </c>
      <c r="I27" s="110" t="str">
        <v/>
      </c>
      <c r="J27" s="110">
        <v>27.61</v>
      </c>
      <c r="K27" s="110">
        <v>0</v>
      </c>
      <c r="L27" s="110">
        <v>0</v>
      </c>
      <c r="M27" s="110">
        <v>0</v>
      </c>
      <c r="N27" s="110">
        <v>0</v>
      </c>
      <c r="O27" s="110">
        <v>123.76</v>
      </c>
      <c r="P27" s="110">
        <v>0</v>
      </c>
      <c r="Q27" s="110" t="str">
        <v>AVAILABLE</v>
      </c>
      <c r="R27" s="110">
        <v>949917.34199999995</v>
      </c>
      <c r="S27" s="110">
        <v>949917.34199999995</v>
      </c>
      <c r="T27" s="110">
        <v>950000</v>
      </c>
      <c r="U27" s="110">
        <v>0</v>
      </c>
      <c r="V27" s="110">
        <v>0</v>
      </c>
      <c r="W27" s="110">
        <v>950000</v>
      </c>
      <c r="X27" s="110">
        <v>0</v>
      </c>
      <c r="Y27" s="110">
        <v>950000</v>
      </c>
      <c r="Z27" s="110">
        <v>950000</v>
      </c>
      <c r="AA27" s="110">
        <v>46029</v>
      </c>
      <c r="AB27" s="111" t="str">
        <v>Q1 2026</v>
      </c>
      <c r="AC27">
        <v>0</v>
      </c>
      <c r="AD27">
        <v>0</v>
      </c>
      <c r="AE27" t="str">
        <v>Ana Damásio</v>
      </c>
      <c r="AF27" t="str">
        <v>Elisabete Figueiredo</v>
      </c>
      <c r="AG27" t="str">
        <v>Botanica Apartments - New Development - *Vilamoura</v>
      </c>
      <c r="AH27" t="str">
        <v>Tranquil gardens. Communal parks. Perfectly-planted balconies. Botanica, a sense of well-being and connection to nature within a central urban location. One of the last opportunities to own a property in the heart of Vilamoura.</v>
      </c>
      <c r="AI27" t="str">
        <v>Indoor Heated Pool, Spa, Outdoor Pool, Gym, Underground Parking</v>
      </c>
      <c r="AJ27"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27" t="str">
        <v>Samuel Torres de Carvalho</v>
      </c>
      <c r="AL27" t="str">
        <v>Botanica</v>
      </c>
    </row>
    <row r="28" spans="1:38" x14ac:dyDescent="0.3">
      <c r="A28" s="110" t="str">
        <v>BOTÂNICA</v>
      </c>
      <c r="B28" s="110" t="str">
        <v>Vilamoura</v>
      </c>
      <c r="C28" s="110" t="str">
        <v>AI</v>
      </c>
      <c r="D28" s="110" t="str">
        <v>Vilamoura, Algarve</v>
      </c>
      <c r="E28" s="110" t="str">
        <v>T2</v>
      </c>
      <c r="F28" s="110">
        <v>151.24</v>
      </c>
      <c r="G28" s="110">
        <v>0</v>
      </c>
      <c r="H28" s="110" t="str">
        <v>3</v>
      </c>
      <c r="I28" s="110" t="str">
        <v/>
      </c>
      <c r="J28" s="110">
        <v>27.6</v>
      </c>
      <c r="K28" s="110">
        <v>0</v>
      </c>
      <c r="L28" s="110">
        <v>0</v>
      </c>
      <c r="M28" s="110">
        <v>0</v>
      </c>
      <c r="N28" s="110">
        <v>0</v>
      </c>
      <c r="O28" s="110">
        <v>123.64</v>
      </c>
      <c r="P28" s="110">
        <v>0</v>
      </c>
      <c r="Q28" s="110" t="str">
        <v>AVAILABLE</v>
      </c>
      <c r="R28" s="110">
        <v>949032.48</v>
      </c>
      <c r="S28" s="110">
        <v>949032.48</v>
      </c>
      <c r="T28" s="110">
        <v>950000</v>
      </c>
      <c r="U28" s="110">
        <v>0</v>
      </c>
      <c r="V28" s="110">
        <v>0</v>
      </c>
      <c r="W28" s="110">
        <v>950000</v>
      </c>
      <c r="X28" s="110">
        <v>0</v>
      </c>
      <c r="Y28" s="110">
        <v>950000</v>
      </c>
      <c r="Z28" s="110">
        <v>950000</v>
      </c>
      <c r="AA28" s="110">
        <v>46029</v>
      </c>
      <c r="AB28" s="111" t="str">
        <v>Q1 2026</v>
      </c>
      <c r="AC28">
        <v>0</v>
      </c>
      <c r="AD28">
        <v>0</v>
      </c>
      <c r="AE28" t="str">
        <v>Ana Damásio</v>
      </c>
      <c r="AF28" t="str">
        <v>Elisabete Figueiredo</v>
      </c>
      <c r="AG28" t="str">
        <v>Botanica Apartments - New Development - *Vilamoura</v>
      </c>
      <c r="AH28" t="str">
        <v>Tranquil gardens. Communal parks. Perfectly-planted balconies. Botanica, a sense of well-being and connection to nature within a central urban location. One of the last opportunities to own a property in the heart of Vilamoura.</v>
      </c>
      <c r="AI28" t="str">
        <v>Indoor Heated Pool, Spa, Outdoor Pool, Gym, Underground Parking</v>
      </c>
      <c r="AJ28"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28" t="str">
        <v>Samuel Torres de Carvalho</v>
      </c>
      <c r="AL28" t="str">
        <v>Botanica</v>
      </c>
    </row>
    <row r="29" spans="1:38" x14ac:dyDescent="0.3">
      <c r="A29" s="110" t="str">
        <v>BOTÂNICA</v>
      </c>
      <c r="B29" s="110" t="str">
        <v>Vilamoura</v>
      </c>
      <c r="C29" s="110" t="str">
        <v>AJ</v>
      </c>
      <c r="D29" s="110" t="str">
        <v>Vilamoura, Algarve</v>
      </c>
      <c r="E29" s="110" t="str">
        <v>T2</v>
      </c>
      <c r="F29" s="110">
        <v>151.25</v>
      </c>
      <c r="G29" s="110">
        <v>0</v>
      </c>
      <c r="H29" s="110" t="str">
        <v>2</v>
      </c>
      <c r="I29" s="110" t="str">
        <v/>
      </c>
      <c r="J29" s="110">
        <v>27.61</v>
      </c>
      <c r="K29" s="110">
        <v>0</v>
      </c>
      <c r="L29" s="110">
        <v>0</v>
      </c>
      <c r="M29" s="110">
        <v>0</v>
      </c>
      <c r="N29" s="110">
        <v>0</v>
      </c>
      <c r="O29" s="110">
        <v>123.64</v>
      </c>
      <c r="P29" s="110">
        <v>0</v>
      </c>
      <c r="Q29" s="110" t="str">
        <v>AVAILABLE</v>
      </c>
      <c r="R29" s="110">
        <v>949054.06200000003</v>
      </c>
      <c r="S29" s="110">
        <v>949054.06200000003</v>
      </c>
      <c r="T29" s="110">
        <v>995000</v>
      </c>
      <c r="U29" s="110">
        <v>0</v>
      </c>
      <c r="V29" s="110">
        <v>0</v>
      </c>
      <c r="W29" s="110">
        <v>995000</v>
      </c>
      <c r="X29" s="110">
        <v>0</v>
      </c>
      <c r="Y29" s="110">
        <v>978500</v>
      </c>
      <c r="Z29" s="110">
        <v>978500</v>
      </c>
      <c r="AA29" s="110">
        <v>46029</v>
      </c>
      <c r="AB29" s="111" t="str">
        <v>Q1 2026</v>
      </c>
      <c r="AC29">
        <v>0</v>
      </c>
      <c r="AD29">
        <v>0</v>
      </c>
      <c r="AE29" t="str">
        <v>Ana Damásio</v>
      </c>
      <c r="AF29" t="str">
        <v>Elisabete Figueiredo</v>
      </c>
      <c r="AG29" t="str">
        <v>Botanica Apartments - New Development - *Vilamoura</v>
      </c>
      <c r="AH29" t="str">
        <v>Tranquil gardens. Communal parks. Perfectly-planted balconies. Botanica, a sense of well-being and connection to nature within a central urban location. One of the last opportunities to own a property in the heart of Vilamoura.</v>
      </c>
      <c r="AI29" t="str">
        <v>Indoor Heated Pool, Spa, Outdoor Pool, Gym, Underground Parking</v>
      </c>
      <c r="AJ29"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29" t="str">
        <v>Samuel Torres de Carvalho</v>
      </c>
      <c r="AL29" t="str">
        <v>Botanica</v>
      </c>
    </row>
    <row r="30" spans="1:38" x14ac:dyDescent="0.3">
      <c r="A30" s="110" t="str">
        <v>BOTÂNICA</v>
      </c>
      <c r="B30" s="110" t="str">
        <v>Vilamoura</v>
      </c>
      <c r="C30" s="110" t="str">
        <v>AL</v>
      </c>
      <c r="D30" s="110" t="str">
        <v>Vilamoura, Algarve</v>
      </c>
      <c r="E30" s="110" t="str">
        <v>T3</v>
      </c>
      <c r="F30" s="110">
        <v>224.06</v>
      </c>
      <c r="G30" s="110">
        <v>0</v>
      </c>
      <c r="H30" s="110" t="str">
        <v>3</v>
      </c>
      <c r="I30" s="110" t="str">
        <v/>
      </c>
      <c r="J30" s="110">
        <v>55.65</v>
      </c>
      <c r="K30" s="110">
        <v>0</v>
      </c>
      <c r="L30" s="110">
        <v>0</v>
      </c>
      <c r="M30" s="110">
        <v>0</v>
      </c>
      <c r="N30" s="110">
        <v>0</v>
      </c>
      <c r="O30" s="110">
        <v>168.41</v>
      </c>
      <c r="P30" s="110">
        <v>0</v>
      </c>
      <c r="Q30" s="110" t="str">
        <v>AVAILABLE</v>
      </c>
      <c r="R30" s="110">
        <v>1562843.1</v>
      </c>
      <c r="S30" s="110">
        <v>1562843.1</v>
      </c>
      <c r="T30" s="110">
        <v>1575000</v>
      </c>
      <c r="U30" s="110">
        <v>0</v>
      </c>
      <c r="V30" s="110">
        <v>0</v>
      </c>
      <c r="W30" s="110">
        <v>1575000</v>
      </c>
      <c r="X30" s="110">
        <v>0</v>
      </c>
      <c r="Y30" s="110">
        <v>1570000</v>
      </c>
      <c r="Z30" s="110">
        <v>1570000</v>
      </c>
      <c r="AA30" s="110">
        <v>46029</v>
      </c>
      <c r="AB30" s="111" t="str">
        <v>Q1 2026</v>
      </c>
      <c r="AC30">
        <v>0</v>
      </c>
      <c r="AD30">
        <v>0</v>
      </c>
      <c r="AE30" t="str">
        <v>Ana Damásio</v>
      </c>
      <c r="AF30" t="str">
        <v>Elisabete Figueiredo</v>
      </c>
      <c r="AG30" t="str">
        <v>Botanica Apartments - New Development - *Vilamoura</v>
      </c>
      <c r="AH30" t="str">
        <v>Tranquil gardens. Communal parks. Perfectly-planted balconies. Botanica, a sense of well-being and connection to nature within a central urban location. One of the last opportunities to own a property in the heart of Vilamoura.</v>
      </c>
      <c r="AI30" t="str">
        <v>Indoor Heated Pool, Spa, Outdoor Pool, Gym, Underground Parking</v>
      </c>
      <c r="AJ30"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30" t="str">
        <v>Samuel Torres de Carvalho</v>
      </c>
      <c r="AL30" t="str">
        <v>Botanica</v>
      </c>
    </row>
    <row r="31" spans="1:38" x14ac:dyDescent="0.3">
      <c r="A31" s="110" t="str">
        <v>BOTÂNICA</v>
      </c>
      <c r="B31" s="110" t="str">
        <v>Vilamoura</v>
      </c>
      <c r="C31" s="110" t="str">
        <v>AN</v>
      </c>
      <c r="D31" s="110" t="str">
        <v>Vilamoura, Algarve</v>
      </c>
      <c r="E31" s="110" t="str">
        <v>T4</v>
      </c>
      <c r="F31" s="110">
        <v>394.05</v>
      </c>
      <c r="G31" s="110">
        <v>0</v>
      </c>
      <c r="H31" s="110" t="str">
        <v>2</v>
      </c>
      <c r="I31" s="110" t="str">
        <v/>
      </c>
      <c r="J31" s="110">
        <v>55.75</v>
      </c>
      <c r="K31" s="110">
        <v>0</v>
      </c>
      <c r="L31" s="110">
        <v>0</v>
      </c>
      <c r="M31" s="110">
        <v>140.94</v>
      </c>
      <c r="N31" s="110">
        <v>0</v>
      </c>
      <c r="O31" s="110">
        <v>197.36</v>
      </c>
      <c r="P31" s="110">
        <v>0</v>
      </c>
      <c r="Q31" s="110" t="str">
        <v>AVAILABLE</v>
      </c>
      <c r="R31" s="110">
        <v>2355679.41</v>
      </c>
      <c r="S31" s="110">
        <v>2355679.41</v>
      </c>
      <c r="T31" s="110">
        <v>2375000</v>
      </c>
      <c r="U31" s="110">
        <v>0</v>
      </c>
      <c r="V31" s="110">
        <v>0</v>
      </c>
      <c r="W31" s="110">
        <v>2375000</v>
      </c>
      <c r="X31" s="110">
        <v>0</v>
      </c>
      <c r="Y31" s="110">
        <v>2360000</v>
      </c>
      <c r="Z31" s="110">
        <v>2360000</v>
      </c>
      <c r="AA31" s="110">
        <v>46029</v>
      </c>
      <c r="AB31" s="111" t="str">
        <v>Q1 2026</v>
      </c>
      <c r="AC31">
        <v>0</v>
      </c>
      <c r="AD31">
        <v>0</v>
      </c>
      <c r="AE31" t="str">
        <v>Ana Damásio</v>
      </c>
      <c r="AF31" t="str">
        <v>Elisabete Figueiredo</v>
      </c>
      <c r="AG31" t="str">
        <v>Botanica Apartments - New Development - *Vilamoura</v>
      </c>
      <c r="AH31" t="str">
        <v>Tranquil gardens. Communal parks. Perfectly-planted balconies. Botanica, a sense of well-being and connection to nature within a central urban location. One of the last opportunities to own a property in the heart of Vilamoura.</v>
      </c>
      <c r="AI31" t="str">
        <v>Indoor Heated Pool, Spa, Outdoor Pool, Gym, Underground Parking</v>
      </c>
      <c r="AJ31"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31" t="str">
        <v>Samuel Torres de Carvalho</v>
      </c>
      <c r="AL31" t="str">
        <v>Botanica</v>
      </c>
    </row>
    <row r="32" spans="1:38" x14ac:dyDescent="0.3">
      <c r="A32" s="110" t="str">
        <v>BOTÂNICA</v>
      </c>
      <c r="B32" s="110" t="str">
        <v>Vilamoura</v>
      </c>
      <c r="C32" s="110" t="str">
        <v>AO</v>
      </c>
      <c r="D32" s="110" t="str">
        <v>Vilamoura, Algarve</v>
      </c>
      <c r="E32" s="110" t="str">
        <v>T3</v>
      </c>
      <c r="F32" s="110">
        <v>195.9</v>
      </c>
      <c r="G32" s="110">
        <v>0</v>
      </c>
      <c r="H32" s="110" t="str">
        <v>2</v>
      </c>
      <c r="I32" s="110" t="str">
        <v/>
      </c>
      <c r="J32" s="110">
        <v>32.97</v>
      </c>
      <c r="K32" s="110">
        <v>0</v>
      </c>
      <c r="L32" s="110">
        <v>0</v>
      </c>
      <c r="M32" s="110">
        <v>0</v>
      </c>
      <c r="N32" s="110">
        <v>0</v>
      </c>
      <c r="O32" s="110">
        <v>162.93</v>
      </c>
      <c r="P32" s="110">
        <v>0</v>
      </c>
      <c r="Q32" s="110" t="str">
        <v>AVAILABLE</v>
      </c>
      <c r="R32" s="110">
        <v>1437870.72</v>
      </c>
      <c r="S32" s="110">
        <v>1437870.72</v>
      </c>
      <c r="T32" s="110">
        <v>1500000</v>
      </c>
      <c r="U32" s="110">
        <v>0</v>
      </c>
      <c r="V32" s="110">
        <v>0</v>
      </c>
      <c r="W32" s="110">
        <v>1500000</v>
      </c>
      <c r="X32" s="110">
        <v>0</v>
      </c>
      <c r="Y32" s="110">
        <v>1483200</v>
      </c>
      <c r="Z32" s="110">
        <v>1483200</v>
      </c>
      <c r="AA32" s="110">
        <v>46029</v>
      </c>
      <c r="AB32" s="111" t="str">
        <v>Q1 2026</v>
      </c>
      <c r="AC32">
        <v>0</v>
      </c>
      <c r="AD32">
        <v>0</v>
      </c>
      <c r="AE32" t="str">
        <v>Ana Damásio</v>
      </c>
      <c r="AF32" t="str">
        <v>Elisabete Figueiredo</v>
      </c>
      <c r="AG32" t="str">
        <v>Botanica Apartments - New Development - *Vilamoura</v>
      </c>
      <c r="AH32" t="str">
        <v>Tranquil gardens. Communal parks. Perfectly-planted balconies. Botanica, a sense of well-being and connection to nature within a central urban location. One of the last opportunities to own a property in the heart of Vilamoura.</v>
      </c>
      <c r="AI32" t="str">
        <v>Indoor Heated Pool, Spa, Outdoor Pool, Gym, Underground Parking</v>
      </c>
      <c r="AJ32"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32" t="str">
        <v>Samuel Torres de Carvalho</v>
      </c>
      <c r="AL32" t="str">
        <v>Botanica</v>
      </c>
    </row>
    <row r="33" spans="1:38" x14ac:dyDescent="0.3">
      <c r="A33" s="110" t="str">
        <v>BOTÂNICA</v>
      </c>
      <c r="B33" s="110" t="str">
        <v>Vilamoura</v>
      </c>
      <c r="C33" s="110" t="str">
        <v>AP</v>
      </c>
      <c r="D33" s="110" t="str">
        <v>Vilamoura, Algarve</v>
      </c>
      <c r="E33" s="110" t="str">
        <v>T2</v>
      </c>
      <c r="F33" s="110">
        <v>151.36000000000001</v>
      </c>
      <c r="G33" s="110">
        <v>0</v>
      </c>
      <c r="H33" s="110" t="str">
        <v>2</v>
      </c>
      <c r="I33" s="110" t="str">
        <v/>
      </c>
      <c r="J33" s="110">
        <v>27.6</v>
      </c>
      <c r="K33" s="110">
        <v>0</v>
      </c>
      <c r="L33" s="110">
        <v>0</v>
      </c>
      <c r="M33" s="110">
        <v>0</v>
      </c>
      <c r="N33" s="110">
        <v>0</v>
      </c>
      <c r="O33" s="110">
        <v>123.76</v>
      </c>
      <c r="P33" s="110">
        <v>0</v>
      </c>
      <c r="Q33" s="110" t="str">
        <v>AVAILABLE</v>
      </c>
      <c r="R33" s="110">
        <v>1115473.9199999999</v>
      </c>
      <c r="S33" s="110">
        <v>1115473.9199999999</v>
      </c>
      <c r="T33" s="110">
        <v>1175000</v>
      </c>
      <c r="U33" s="110">
        <v>0</v>
      </c>
      <c r="V33" s="110">
        <v>0</v>
      </c>
      <c r="W33" s="110">
        <v>1175000</v>
      </c>
      <c r="X33" s="110">
        <v>0</v>
      </c>
      <c r="Y33" s="110">
        <v>1120000</v>
      </c>
      <c r="Z33" s="110">
        <v>1120000</v>
      </c>
      <c r="AA33" s="110">
        <v>46029</v>
      </c>
      <c r="AB33" s="111" t="str">
        <v>Q1 2026</v>
      </c>
      <c r="AC33">
        <v>0</v>
      </c>
      <c r="AD33">
        <v>0</v>
      </c>
      <c r="AE33" t="str">
        <v>Ana Damásio</v>
      </c>
      <c r="AF33" t="str">
        <v>Elisabete Figueiredo</v>
      </c>
      <c r="AG33" t="str">
        <v>Botanica Apartments - New Development - *Vilamoura</v>
      </c>
      <c r="AH33" t="str">
        <v>Tranquil gardens. Communal parks. Perfectly-planted balconies. Botanica, a sense of well-being and connection to nature within a central urban location. One of the last opportunities to own a property in the heart of Vilamoura.</v>
      </c>
      <c r="AI33" t="str">
        <v>Indoor Heated Pool, Spa, Outdoor Pool, Gym, Underground Parking</v>
      </c>
      <c r="AJ33"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33" t="str">
        <v>Samuel Torres de Carvalho</v>
      </c>
      <c r="AL33" t="str">
        <v>Botanica</v>
      </c>
    </row>
    <row r="34" spans="1:38" x14ac:dyDescent="0.3">
      <c r="A34" s="110" t="str">
        <v>BOTÂNICA</v>
      </c>
      <c r="B34" s="110" t="str">
        <v>Vilamoura</v>
      </c>
      <c r="C34" s="110" t="str">
        <v>AQ</v>
      </c>
      <c r="D34" s="110" t="str">
        <v>Vilamoura, Algarve</v>
      </c>
      <c r="E34" s="110" t="str">
        <v>T4</v>
      </c>
      <c r="F34" s="110">
        <v>390.53</v>
      </c>
      <c r="G34" s="110">
        <v>0</v>
      </c>
      <c r="H34" s="110" t="str">
        <v>2</v>
      </c>
      <c r="I34" s="110" t="str">
        <v/>
      </c>
      <c r="J34" s="110">
        <v>55.75</v>
      </c>
      <c r="K34" s="110">
        <v>0</v>
      </c>
      <c r="L34" s="110">
        <v>0</v>
      </c>
      <c r="M34" s="110">
        <v>137.41999999999999</v>
      </c>
      <c r="N34" s="110">
        <v>0</v>
      </c>
      <c r="O34" s="110">
        <v>197.36</v>
      </c>
      <c r="P34" s="110">
        <v>0</v>
      </c>
      <c r="Q34" s="110" t="str">
        <v>AVAILABLE</v>
      </c>
      <c r="R34" s="110">
        <v>2452859.787</v>
      </c>
      <c r="S34" s="110">
        <v>2452859.787</v>
      </c>
      <c r="T34" s="110">
        <v>2533800</v>
      </c>
      <c r="U34" s="110">
        <v>0</v>
      </c>
      <c r="V34" s="110">
        <v>0</v>
      </c>
      <c r="W34" s="110">
        <v>2533800</v>
      </c>
      <c r="X34" s="110">
        <v>0</v>
      </c>
      <c r="Y34" s="110">
        <v>2533800</v>
      </c>
      <c r="Z34" s="110">
        <v>2533800</v>
      </c>
      <c r="AA34" s="110">
        <v>46029</v>
      </c>
      <c r="AB34" s="111" t="str">
        <v>Q1 2026</v>
      </c>
      <c r="AC34">
        <v>0</v>
      </c>
      <c r="AD34">
        <v>0</v>
      </c>
      <c r="AE34" t="str">
        <v>Ana Damásio</v>
      </c>
      <c r="AF34" t="str">
        <v>Elisabete Figueiredo</v>
      </c>
      <c r="AG34" t="str">
        <v>Botanica Apartments - New Development - *Vilamoura</v>
      </c>
      <c r="AH34" t="str">
        <v>Tranquil gardens. Communal parks. Perfectly-planted balconies. Botanica, a sense of well-being and connection to nature within a central urban location. One of the last opportunities to own a property in the heart of Vilamoura.</v>
      </c>
      <c r="AI34" t="str">
        <v>Indoor Heated Pool, Spa, Outdoor Pool, Gym, Underground Parking</v>
      </c>
      <c r="AJ34"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34" t="str">
        <v>Samuel Torres de Carvalho</v>
      </c>
      <c r="AL34" t="str">
        <v>Botanica</v>
      </c>
    </row>
    <row r="35" spans="1:38" x14ac:dyDescent="0.3">
      <c r="A35" s="110" t="str">
        <v>BOTÂNICA</v>
      </c>
      <c r="B35" s="110" t="str">
        <v>Vilamoura</v>
      </c>
      <c r="C35" s="110" t="str">
        <v>AR</v>
      </c>
      <c r="D35" s="110" t="str">
        <v>Vilamoura, Algarve</v>
      </c>
      <c r="E35" s="110" t="str">
        <v>T3</v>
      </c>
      <c r="F35" s="110">
        <v>223.92</v>
      </c>
      <c r="G35" s="110">
        <v>0</v>
      </c>
      <c r="H35" s="110" t="str">
        <v>2</v>
      </c>
      <c r="I35" s="110" t="str">
        <v/>
      </c>
      <c r="J35" s="110">
        <v>55.65</v>
      </c>
      <c r="K35" s="110">
        <v>0</v>
      </c>
      <c r="L35" s="110">
        <v>0</v>
      </c>
      <c r="M35" s="110">
        <v>0</v>
      </c>
      <c r="N35" s="110">
        <v>0</v>
      </c>
      <c r="O35" s="110">
        <v>168.27</v>
      </c>
      <c r="P35" s="110">
        <v>0</v>
      </c>
      <c r="Q35" s="110" t="str">
        <v>AVAILABLE</v>
      </c>
      <c r="R35" s="110">
        <v>1609335</v>
      </c>
      <c r="S35" s="110">
        <v>1609335</v>
      </c>
      <c r="T35" s="110">
        <v>1675000</v>
      </c>
      <c r="U35" s="110">
        <v>0</v>
      </c>
      <c r="V35" s="110">
        <v>0</v>
      </c>
      <c r="W35" s="110">
        <v>1675000</v>
      </c>
      <c r="X35" s="110">
        <v>0</v>
      </c>
      <c r="Y35" s="110">
        <v>1674400</v>
      </c>
      <c r="Z35" s="110">
        <v>1674400</v>
      </c>
      <c r="AA35" s="110">
        <v>46029</v>
      </c>
      <c r="AB35" s="111" t="str">
        <v>Q1 2026</v>
      </c>
      <c r="AC35">
        <v>0</v>
      </c>
      <c r="AD35">
        <v>0</v>
      </c>
      <c r="AE35" t="str">
        <v>Ana Damásio</v>
      </c>
      <c r="AF35" t="str">
        <v>Elisabete Figueiredo</v>
      </c>
      <c r="AG35" t="str">
        <v>Botanica Apartments - New Development - *Vilamoura</v>
      </c>
      <c r="AH35" t="str">
        <v>Tranquil gardens. Communal parks. Perfectly-planted balconies. Botanica, a sense of well-being and connection to nature within a central urban location. One of the last opportunities to own a property in the heart of Vilamoura.</v>
      </c>
      <c r="AI35" t="str">
        <v>Indoor Heated Pool, Spa, Outdoor Pool, Gym, Underground Parking</v>
      </c>
      <c r="AJ35"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35" t="str">
        <v>Samuel Torres de Carvalho</v>
      </c>
      <c r="AL35" t="str">
        <v>Botanica</v>
      </c>
    </row>
    <row r="36" spans="1:38" x14ac:dyDescent="0.3">
      <c r="A36" s="110" t="str">
        <v>BOTÂNICA</v>
      </c>
      <c r="B36" s="110" t="str">
        <v>Vilamoura</v>
      </c>
      <c r="C36" s="110" t="str">
        <v>AS</v>
      </c>
      <c r="D36" s="110" t="str">
        <v>Vilamoura, Algarve</v>
      </c>
      <c r="E36" s="110" t="str">
        <v>T2</v>
      </c>
      <c r="F36" s="110">
        <v>146.43</v>
      </c>
      <c r="G36" s="110">
        <v>0</v>
      </c>
      <c r="H36" s="110" t="str">
        <v>2</v>
      </c>
      <c r="I36" s="110" t="str">
        <v/>
      </c>
      <c r="J36" s="110">
        <v>28.49</v>
      </c>
      <c r="K36" s="110">
        <v>0</v>
      </c>
      <c r="L36" s="110">
        <v>0</v>
      </c>
      <c r="M36" s="110">
        <v>0</v>
      </c>
      <c r="N36" s="110">
        <v>0</v>
      </c>
      <c r="O36" s="110">
        <v>117.94</v>
      </c>
      <c r="P36" s="110">
        <v>0</v>
      </c>
      <c r="Q36" s="110" t="str">
        <v>AVAILABLE</v>
      </c>
      <c r="R36" s="110">
        <v>976732.61399999994</v>
      </c>
      <c r="S36" s="110">
        <v>976732.61399999994</v>
      </c>
      <c r="T36" s="110">
        <v>980000</v>
      </c>
      <c r="U36" s="110">
        <v>0</v>
      </c>
      <c r="V36" s="110">
        <v>0</v>
      </c>
      <c r="W36" s="110">
        <v>980000</v>
      </c>
      <c r="X36" s="110">
        <v>0</v>
      </c>
      <c r="Y36" s="110">
        <v>980000</v>
      </c>
      <c r="Z36" s="110">
        <v>980000</v>
      </c>
      <c r="AA36" s="110">
        <v>46029</v>
      </c>
      <c r="AB36" s="111" t="str">
        <v>Q1 2026</v>
      </c>
      <c r="AC36">
        <v>0</v>
      </c>
      <c r="AD36">
        <v>0</v>
      </c>
      <c r="AE36" t="str">
        <v>Ana Damásio</v>
      </c>
      <c r="AF36" t="str">
        <v>Elisabete Figueiredo</v>
      </c>
      <c r="AG36" t="str">
        <v>Botanica Apartments - New Development - *Vilamoura</v>
      </c>
      <c r="AH36" t="str">
        <v>Tranquil gardens. Communal parks. Perfectly-planted balconies. Botanica, a sense of well-being and connection to nature within a central urban location. One of the last opportunities to own a property in the heart of Vilamoura.</v>
      </c>
      <c r="AI36" t="str">
        <v>Indoor Heated Pool, Spa, Outdoor Pool, Gym, Underground Parking</v>
      </c>
      <c r="AJ36"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36" t="str">
        <v>Samuel Torres de Carvalho</v>
      </c>
      <c r="AL36" t="str">
        <v>Botanica</v>
      </c>
    </row>
    <row r="37" spans="1:38" x14ac:dyDescent="0.3">
      <c r="A37" s="110" t="str">
        <v>BOTÂNICA</v>
      </c>
      <c r="B37" s="110" t="str">
        <v>Vilamoura</v>
      </c>
      <c r="C37" s="110" t="str">
        <v>AT</v>
      </c>
      <c r="D37" s="110" t="str">
        <v>Vilamoura, Algarve</v>
      </c>
      <c r="E37" s="110" t="str">
        <v>T2</v>
      </c>
      <c r="F37" s="110">
        <v>142.88</v>
      </c>
      <c r="G37" s="110">
        <v>0</v>
      </c>
      <c r="H37" s="110" t="str">
        <v>2</v>
      </c>
      <c r="I37" s="110" t="str">
        <v/>
      </c>
      <c r="J37" s="110">
        <v>28.39</v>
      </c>
      <c r="K37" s="110">
        <v>0</v>
      </c>
      <c r="L37" s="110">
        <v>0</v>
      </c>
      <c r="M37" s="110">
        <v>0</v>
      </c>
      <c r="N37" s="110">
        <v>0</v>
      </c>
      <c r="O37" s="110">
        <v>114.49</v>
      </c>
      <c r="P37" s="110">
        <v>0</v>
      </c>
      <c r="Q37" s="110" t="str">
        <v>AVAILABLE</v>
      </c>
      <c r="R37" s="110">
        <v>998570.826</v>
      </c>
      <c r="S37" s="110">
        <v>998570.826</v>
      </c>
      <c r="T37" s="110">
        <v>1050000</v>
      </c>
      <c r="U37" s="110">
        <v>0</v>
      </c>
      <c r="V37" s="110">
        <v>0</v>
      </c>
      <c r="W37" s="110">
        <v>1050000</v>
      </c>
      <c r="X37" s="110">
        <v>0</v>
      </c>
      <c r="Y37" s="110">
        <v>1030000</v>
      </c>
      <c r="Z37" s="110">
        <v>1030000</v>
      </c>
      <c r="AA37" s="110">
        <v>46029</v>
      </c>
      <c r="AB37" s="111" t="str">
        <v>Q1 2026</v>
      </c>
      <c r="AC37">
        <v>0</v>
      </c>
      <c r="AD37">
        <v>0</v>
      </c>
      <c r="AE37" t="str">
        <v>Ana Damásio</v>
      </c>
      <c r="AF37" t="str">
        <v>Elisabete Figueiredo</v>
      </c>
      <c r="AG37" t="str">
        <v>Botanica Apartments - New Development - *Vilamoura</v>
      </c>
      <c r="AH37" t="str">
        <v>Tranquil gardens. Communal parks. Perfectly-planted balconies. Botanica, a sense of well-being and connection to nature within a central urban location. One of the last opportunities to own a property in the heart of Vilamoura.</v>
      </c>
      <c r="AI37" t="str">
        <v>Indoor Heated Pool, Spa, Outdoor Pool, Gym, Underground Parking</v>
      </c>
      <c r="AJ37"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37" t="str">
        <v>Samuel Torres de Carvalho</v>
      </c>
      <c r="AL37" t="str">
        <v>Botanica</v>
      </c>
    </row>
    <row r="38" spans="1:38" x14ac:dyDescent="0.3">
      <c r="A38" s="110" t="str">
        <v>BOTÂNICA</v>
      </c>
      <c r="B38" s="110" t="str">
        <v>Vilamoura</v>
      </c>
      <c r="C38" s="110" t="str">
        <v>AU</v>
      </c>
      <c r="D38" s="110" t="str">
        <v>Vilamoura, Algarve</v>
      </c>
      <c r="E38" s="110" t="str">
        <v>T4</v>
      </c>
      <c r="F38" s="110">
        <v>387.81</v>
      </c>
      <c r="G38" s="110">
        <v>0</v>
      </c>
      <c r="H38" s="110" t="str">
        <v>2</v>
      </c>
      <c r="I38" s="110" t="str">
        <v/>
      </c>
      <c r="J38" s="110">
        <v>55.75</v>
      </c>
      <c r="K38" s="110">
        <v>0</v>
      </c>
      <c r="L38" s="110">
        <v>0</v>
      </c>
      <c r="M38" s="110">
        <v>134.69999999999999</v>
      </c>
      <c r="N38" s="110">
        <v>0</v>
      </c>
      <c r="O38" s="110">
        <v>197.36</v>
      </c>
      <c r="P38" s="110">
        <v>0</v>
      </c>
      <c r="Q38" s="110" t="str">
        <v>AVAILABLE</v>
      </c>
      <c r="R38" s="110">
        <v>2449940.9550000001</v>
      </c>
      <c r="S38" s="110">
        <v>2449940.9550000001</v>
      </c>
      <c r="T38" s="110">
        <v>2550000</v>
      </c>
      <c r="U38" s="110">
        <v>0</v>
      </c>
      <c r="V38" s="110">
        <v>0</v>
      </c>
      <c r="W38" s="110">
        <v>2550000</v>
      </c>
      <c r="X38" s="110">
        <v>0</v>
      </c>
      <c r="Y38" s="110">
        <v>2548000</v>
      </c>
      <c r="Z38" s="110">
        <v>2548000</v>
      </c>
      <c r="AA38" s="110">
        <v>46029</v>
      </c>
      <c r="AB38" s="111" t="str">
        <v>Q1 2026</v>
      </c>
      <c r="AC38">
        <v>0</v>
      </c>
      <c r="AD38">
        <v>0</v>
      </c>
      <c r="AE38" t="str">
        <v>Ana Damásio</v>
      </c>
      <c r="AF38" t="str">
        <v>Elisabete Figueiredo</v>
      </c>
      <c r="AG38" t="str">
        <v>Botanica Apartments - New Development - *Vilamoura</v>
      </c>
      <c r="AH38" t="str">
        <v>Tranquil gardens. Communal parks. Perfectly-planted balconies. Botanica, a sense of well-being and connection to nature within a central urban location. One of the last opportunities to own a property in the heart of Vilamoura.</v>
      </c>
      <c r="AI38" t="str">
        <v>Indoor Heated Pool, Spa, Outdoor Pool, Gym, Underground Parking</v>
      </c>
      <c r="AJ38"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38" t="str">
        <v>Samuel Torres de Carvalho</v>
      </c>
      <c r="AL38" t="str">
        <v>Botanica</v>
      </c>
    </row>
    <row r="39" spans="1:38" x14ac:dyDescent="0.3">
      <c r="A39" s="110" t="str">
        <v>BOTÂNICA</v>
      </c>
      <c r="B39" s="110" t="str">
        <v>Vilamoura</v>
      </c>
      <c r="C39" s="110" t="str">
        <v>AY</v>
      </c>
      <c r="D39" s="110" t="str">
        <v>Vilamoura, Algarve</v>
      </c>
      <c r="E39" s="110" t="str">
        <v>T3</v>
      </c>
      <c r="F39" s="110">
        <v>224.52</v>
      </c>
      <c r="G39" s="110">
        <v>0</v>
      </c>
      <c r="H39" s="110" t="str">
        <v>1</v>
      </c>
      <c r="I39" s="110" t="str">
        <v/>
      </c>
      <c r="J39" s="110">
        <v>55.65</v>
      </c>
      <c r="K39" s="110">
        <v>0</v>
      </c>
      <c r="L39" s="110">
        <v>0</v>
      </c>
      <c r="M39" s="110">
        <v>0</v>
      </c>
      <c r="N39" s="110">
        <v>0</v>
      </c>
      <c r="O39" s="110">
        <v>168.87</v>
      </c>
      <c r="P39" s="110">
        <v>0</v>
      </c>
      <c r="Q39" s="110" t="str">
        <v>AVAILABLE</v>
      </c>
      <c r="R39" s="110">
        <v>1638520</v>
      </c>
      <c r="S39" s="110">
        <v>1638520</v>
      </c>
      <c r="T39" s="110">
        <v>1725000</v>
      </c>
      <c r="U39" s="110">
        <v>0</v>
      </c>
      <c r="V39" s="110">
        <v>0</v>
      </c>
      <c r="W39" s="110">
        <v>1725000</v>
      </c>
      <c r="X39" s="110">
        <v>0</v>
      </c>
      <c r="Y39" s="110">
        <v>1705600</v>
      </c>
      <c r="Z39" s="110">
        <v>1705600</v>
      </c>
      <c r="AA39" s="110">
        <v>46029</v>
      </c>
      <c r="AB39" s="111" t="str">
        <v>Q1 2026</v>
      </c>
      <c r="AC39">
        <v>0</v>
      </c>
      <c r="AD39">
        <v>0</v>
      </c>
      <c r="AE39" t="str">
        <v>Ana Damásio</v>
      </c>
      <c r="AF39" t="str">
        <v>Elisabete Figueiredo</v>
      </c>
      <c r="AG39" t="str">
        <v>Botanica Apartments - New Development - *Vilamoura</v>
      </c>
      <c r="AH39" t="str">
        <v>Tranquil gardens. Communal parks. Perfectly-planted balconies. Botanica, a sense of well-being and connection to nature within a central urban location. One of the last opportunities to own a property in the heart of Vilamoura.</v>
      </c>
      <c r="AI39" t="str">
        <v>Indoor Heated Pool, Spa, Outdoor Pool, Gym, Underground Parking</v>
      </c>
      <c r="AJ39"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39" t="str">
        <v>Samuel Torres de Carvalho</v>
      </c>
      <c r="AL39" t="str">
        <v>Botanica</v>
      </c>
    </row>
    <row r="40" spans="1:38" x14ac:dyDescent="0.3">
      <c r="A40" s="110" t="str">
        <v>BOTÂNICA</v>
      </c>
      <c r="B40" s="110" t="str">
        <v>Vilamoura</v>
      </c>
      <c r="C40" s="110" t="str">
        <v>BA</v>
      </c>
      <c r="D40" s="110" t="str">
        <v>Vilamoura, Algarve</v>
      </c>
      <c r="E40" s="110" t="str">
        <v>T3</v>
      </c>
      <c r="F40" s="110">
        <v>195.86</v>
      </c>
      <c r="G40" s="110">
        <v>0</v>
      </c>
      <c r="H40" s="110" t="str">
        <v>1</v>
      </c>
      <c r="I40" s="110" t="str">
        <v/>
      </c>
      <c r="J40" s="110">
        <v>33</v>
      </c>
      <c r="K40" s="110">
        <v>0</v>
      </c>
      <c r="L40" s="110">
        <v>0</v>
      </c>
      <c r="M40" s="110">
        <v>0</v>
      </c>
      <c r="N40" s="110">
        <v>0</v>
      </c>
      <c r="O40" s="110">
        <v>162.86000000000001</v>
      </c>
      <c r="P40" s="110">
        <v>0</v>
      </c>
      <c r="Q40" s="110" t="str">
        <v>AVAILABLE</v>
      </c>
      <c r="R40" s="110">
        <v>1493510.2</v>
      </c>
      <c r="S40" s="110">
        <v>1493510.2</v>
      </c>
      <c r="T40" s="110">
        <v>1575000</v>
      </c>
      <c r="U40" s="110">
        <v>0</v>
      </c>
      <c r="V40" s="110">
        <v>0</v>
      </c>
      <c r="W40" s="110">
        <v>1575000</v>
      </c>
      <c r="X40" s="110">
        <v>0</v>
      </c>
      <c r="Y40" s="110">
        <v>1560000</v>
      </c>
      <c r="Z40" s="110">
        <v>1560000</v>
      </c>
      <c r="AA40" s="110">
        <v>46029</v>
      </c>
      <c r="AB40" s="111" t="str">
        <v>Q1 2026</v>
      </c>
      <c r="AC40">
        <v>0</v>
      </c>
      <c r="AD40">
        <v>0</v>
      </c>
      <c r="AE40" t="str">
        <v>Ana Damásio</v>
      </c>
      <c r="AF40" t="str">
        <v>Elisabete Figueiredo</v>
      </c>
      <c r="AG40" t="str">
        <v>Botanica Apartments - New Development - *Vilamoura</v>
      </c>
      <c r="AH40" t="str">
        <v>Tranquil gardens. Communal parks. Perfectly-planted balconies. Botanica, a sense of well-being and connection to nature within a central urban location. One of the last opportunities to own a property in the heart of Vilamoura.</v>
      </c>
      <c r="AI40" t="str">
        <v>Indoor Heated Pool, Spa, Outdoor Pool, Gym, Underground Parking</v>
      </c>
      <c r="AJ40"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40" t="str">
        <v>Samuel Torres de Carvalho</v>
      </c>
      <c r="AL40" t="str">
        <v>Botanica</v>
      </c>
    </row>
    <row r="41" spans="1:38" x14ac:dyDescent="0.3">
      <c r="A41" s="110" t="str">
        <v>BOTÂNICA</v>
      </c>
      <c r="B41" s="110" t="str">
        <v>Vilamoura</v>
      </c>
      <c r="C41" s="110" t="str">
        <v>BD</v>
      </c>
      <c r="D41" s="110" t="str">
        <v>Vilamoura, Algarve</v>
      </c>
      <c r="E41" s="110" t="str">
        <v>T2</v>
      </c>
      <c r="F41" s="110">
        <v>215.97</v>
      </c>
      <c r="G41" s="110">
        <v>0</v>
      </c>
      <c r="H41" s="110" t="str">
        <v>1</v>
      </c>
      <c r="I41" s="110" t="str">
        <v/>
      </c>
      <c r="J41" s="110">
        <v>26.62</v>
      </c>
      <c r="K41" s="110">
        <v>0</v>
      </c>
      <c r="L41" s="110">
        <v>0</v>
      </c>
      <c r="M41" s="110">
        <v>73.11</v>
      </c>
      <c r="N41" s="110">
        <v>0</v>
      </c>
      <c r="O41" s="110">
        <v>116.24</v>
      </c>
      <c r="P41" s="110">
        <v>0</v>
      </c>
      <c r="Q41" s="110" t="str">
        <v>AVAILABLE</v>
      </c>
      <c r="R41" s="110">
        <v>1166778.6240000001</v>
      </c>
      <c r="S41" s="110">
        <v>1166778.6240000001</v>
      </c>
      <c r="T41" s="110">
        <v>1225000</v>
      </c>
      <c r="U41" s="110">
        <v>0</v>
      </c>
      <c r="V41" s="110">
        <v>0</v>
      </c>
      <c r="W41" s="110">
        <v>1225000</v>
      </c>
      <c r="X41" s="110">
        <v>0</v>
      </c>
      <c r="Y41" s="110">
        <v>1205100</v>
      </c>
      <c r="Z41" s="110">
        <v>1205100</v>
      </c>
      <c r="AA41" s="110">
        <v>46029</v>
      </c>
      <c r="AB41" s="111" t="str">
        <v>Q1 2026</v>
      </c>
      <c r="AC41">
        <v>0</v>
      </c>
      <c r="AD41">
        <v>0</v>
      </c>
      <c r="AE41" t="str">
        <v>Ana Damásio</v>
      </c>
      <c r="AF41" t="str">
        <v>Elisabete Figueiredo</v>
      </c>
      <c r="AG41" t="str">
        <v>Botanica Apartments - New Development - *Vilamoura</v>
      </c>
      <c r="AH41" t="str">
        <v>Tranquil gardens. Communal parks. Perfectly-planted balconies. Botanica, a sense of well-being and connection to nature within a central urban location. One of the last opportunities to own a property in the heart of Vilamoura.</v>
      </c>
      <c r="AI41" t="str">
        <v>Indoor Heated Pool, Spa, Outdoor Pool, Gym, Underground Parking</v>
      </c>
      <c r="AJ41"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41" t="str">
        <v>Samuel Torres de Carvalho</v>
      </c>
      <c r="AL41" t="str">
        <v>Botanica</v>
      </c>
    </row>
    <row r="42" spans="1:38" x14ac:dyDescent="0.3">
      <c r="A42" s="110" t="str">
        <v>BOTÂNICA</v>
      </c>
      <c r="B42" s="110" t="str">
        <v>Vilamoura</v>
      </c>
      <c r="C42" s="110" t="str">
        <v>BE</v>
      </c>
      <c r="D42" s="110" t="str">
        <v>Vilamoura, Algarve</v>
      </c>
      <c r="E42" s="110" t="str">
        <v>T2</v>
      </c>
      <c r="F42" s="110">
        <v>212.48</v>
      </c>
      <c r="G42" s="110">
        <v>0</v>
      </c>
      <c r="H42" s="110" t="str">
        <v>1</v>
      </c>
      <c r="I42" s="110" t="str">
        <v/>
      </c>
      <c r="J42" s="110">
        <v>26.62</v>
      </c>
      <c r="K42" s="110">
        <v>0</v>
      </c>
      <c r="L42" s="110">
        <v>0</v>
      </c>
      <c r="M42" s="110">
        <v>72.89</v>
      </c>
      <c r="N42" s="110">
        <v>0</v>
      </c>
      <c r="O42" s="110">
        <v>112.97</v>
      </c>
      <c r="P42" s="110">
        <v>0</v>
      </c>
      <c r="Q42" s="110" t="str">
        <v>AVAILABLE</v>
      </c>
      <c r="R42" s="110">
        <v>1192356.9240000001</v>
      </c>
      <c r="S42" s="110">
        <v>1192356.9240000001</v>
      </c>
      <c r="T42" s="110">
        <v>1250000</v>
      </c>
      <c r="U42" s="110">
        <v>0</v>
      </c>
      <c r="V42" s="110">
        <v>0</v>
      </c>
      <c r="W42" s="110">
        <v>1250000</v>
      </c>
      <c r="X42" s="110">
        <v>0</v>
      </c>
      <c r="Y42" s="110">
        <v>1248000</v>
      </c>
      <c r="Z42" s="110">
        <v>1248000</v>
      </c>
      <c r="AA42" s="110">
        <v>46029</v>
      </c>
      <c r="AB42" s="111" t="str">
        <v>Q1 2026</v>
      </c>
      <c r="AC42">
        <v>0</v>
      </c>
      <c r="AD42">
        <v>0</v>
      </c>
      <c r="AE42" t="str">
        <v>Ana Damásio</v>
      </c>
      <c r="AF42" t="str">
        <v>Elisabete Figueiredo</v>
      </c>
      <c r="AG42" t="str">
        <v>Botanica Apartments - New Development - *Vilamoura</v>
      </c>
      <c r="AH42" t="str">
        <v>Tranquil gardens. Communal parks. Perfectly-planted balconies. Botanica, a sense of well-being and connection to nature within a central urban location. One of the last opportunities to own a property in the heart of Vilamoura.</v>
      </c>
      <c r="AI42" t="str">
        <v>Indoor Heated Pool, Spa, Outdoor Pool, Gym, Underground Parking</v>
      </c>
      <c r="AJ42"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42" t="str">
        <v>Samuel Torres de Carvalho</v>
      </c>
      <c r="AL42" t="str">
        <v>Botanica</v>
      </c>
    </row>
    <row r="43" spans="1:38" x14ac:dyDescent="0.3">
      <c r="A43" s="110" t="str">
        <v>BOTÂNICA</v>
      </c>
      <c r="B43" s="110" t="str">
        <v>Vilamoura</v>
      </c>
      <c r="C43" s="110" t="str">
        <v>I</v>
      </c>
      <c r="D43" s="110" t="str">
        <v>Vilamoura, Algarve</v>
      </c>
      <c r="E43" s="110" t="str">
        <v>T2</v>
      </c>
      <c r="F43" s="110">
        <v>249.77</v>
      </c>
      <c r="G43" s="110">
        <v>0</v>
      </c>
      <c r="H43" s="110" t="str">
        <v>2</v>
      </c>
      <c r="I43" s="110" t="str">
        <v/>
      </c>
      <c r="J43" s="110">
        <v>0</v>
      </c>
      <c r="K43" s="110">
        <v>0</v>
      </c>
      <c r="L43" s="110">
        <v>0</v>
      </c>
      <c r="M43" s="110">
        <v>123.56</v>
      </c>
      <c r="N43" s="110">
        <v>0</v>
      </c>
      <c r="O43" s="110">
        <v>126.21</v>
      </c>
      <c r="P43" s="110">
        <v>0</v>
      </c>
      <c r="Q43" s="110" t="str">
        <v>AVAILABLE</v>
      </c>
      <c r="R43" s="110">
        <v>1042729.38</v>
      </c>
      <c r="S43" s="110">
        <v>1042729.38</v>
      </c>
      <c r="T43" s="110">
        <v>1095500</v>
      </c>
      <c r="U43" s="110">
        <v>0</v>
      </c>
      <c r="V43" s="110">
        <v>0</v>
      </c>
      <c r="W43" s="110">
        <v>1095500</v>
      </c>
      <c r="X43" s="110">
        <v>0</v>
      </c>
      <c r="Y43" s="110">
        <v>1081500</v>
      </c>
      <c r="Z43" s="110">
        <v>1081500</v>
      </c>
      <c r="AA43" s="110">
        <v>46029</v>
      </c>
      <c r="AB43" s="111" t="str">
        <v>Q1 2026</v>
      </c>
      <c r="AC43">
        <v>0</v>
      </c>
      <c r="AD43">
        <v>0</v>
      </c>
      <c r="AE43" t="str">
        <v>Ana Damásio</v>
      </c>
      <c r="AF43" t="str">
        <v>Elisabete Figueiredo</v>
      </c>
      <c r="AG43" t="str">
        <v>Botanica Apartments - New Development - *Vilamoura</v>
      </c>
      <c r="AH43" t="str">
        <v>Tranquil gardens. Communal parks. Perfectly-planted balconies. Botanica, a sense of well-being and connection to nature within a central urban location. One of the last opportunities to own a property in the heart of Vilamoura.</v>
      </c>
      <c r="AI43" t="str">
        <v>Indoor Heated Pool, Spa, Outdoor Pool, Gym, Underground Parking</v>
      </c>
      <c r="AJ43"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43" t="str">
        <v>Samuel Torres de Carvalho</v>
      </c>
      <c r="AL43" t="str">
        <v>Botanica</v>
      </c>
    </row>
    <row r="44" spans="1:38" x14ac:dyDescent="0.3">
      <c r="A44" s="110" t="str">
        <v>BOTÂNICA</v>
      </c>
      <c r="B44" s="110" t="str">
        <v>Vilamoura</v>
      </c>
      <c r="C44" s="110" t="str">
        <v>L</v>
      </c>
      <c r="D44" s="110" t="str">
        <v>Vilamoura, Algarve</v>
      </c>
      <c r="E44" s="110" t="str">
        <v>T3</v>
      </c>
      <c r="F44" s="110">
        <v>559.03</v>
      </c>
      <c r="G44" s="110">
        <v>0</v>
      </c>
      <c r="H44" s="110" t="str">
        <v>2</v>
      </c>
      <c r="I44" s="110" t="str">
        <v/>
      </c>
      <c r="J44" s="110">
        <v>0</v>
      </c>
      <c r="K44" s="110">
        <v>0</v>
      </c>
      <c r="L44" s="110">
        <v>0</v>
      </c>
      <c r="M44" s="110">
        <v>391.15</v>
      </c>
      <c r="N44" s="110">
        <v>0</v>
      </c>
      <c r="O44" s="110">
        <v>167.88</v>
      </c>
      <c r="P44" s="110">
        <v>0</v>
      </c>
      <c r="Q44" s="110" t="str">
        <v>AVAILABLE</v>
      </c>
      <c r="R44" s="110">
        <v>1727255.5625</v>
      </c>
      <c r="S44" s="110">
        <v>1727255.5625</v>
      </c>
      <c r="T44" s="110">
        <v>1800000</v>
      </c>
      <c r="U44" s="110">
        <v>0</v>
      </c>
      <c r="V44" s="110">
        <v>0</v>
      </c>
      <c r="W44" s="110">
        <v>1800000</v>
      </c>
      <c r="X44" s="110">
        <v>0</v>
      </c>
      <c r="Y44" s="110">
        <v>1799200</v>
      </c>
      <c r="Z44" s="110">
        <v>1799200</v>
      </c>
      <c r="AA44" s="110">
        <v>46029</v>
      </c>
      <c r="AB44" s="111" t="str">
        <v>Q1 2026</v>
      </c>
      <c r="AC44">
        <v>0</v>
      </c>
      <c r="AD44">
        <v>0</v>
      </c>
      <c r="AE44" t="str">
        <v>Ana Damásio</v>
      </c>
      <c r="AF44" t="str">
        <v>Elisabete Figueiredo</v>
      </c>
      <c r="AG44" t="str">
        <v>Botanica Apartments - New Development - *Vilamoura</v>
      </c>
      <c r="AH44" t="str">
        <v>Tranquil gardens. Communal parks. Perfectly-planted balconies. Botanica, a sense of well-being and connection to nature within a central urban location. One of the last opportunities to own a property in the heart of Vilamoura.</v>
      </c>
      <c r="AI44" t="str">
        <v>Indoor Heated Pool, Spa, Outdoor Pool, Gym, Underground Parking</v>
      </c>
      <c r="AJ44"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44" t="str">
        <v>Samuel Torres de Carvalho</v>
      </c>
      <c r="AL44" t="str">
        <v>Botanica</v>
      </c>
    </row>
    <row r="45" spans="1:38" x14ac:dyDescent="0.3">
      <c r="A45" s="110" t="str">
        <v>BOTÂNICA</v>
      </c>
      <c r="B45" s="110" t="str">
        <v>Vilamoura</v>
      </c>
      <c r="C45" s="110" t="str">
        <v>M</v>
      </c>
      <c r="D45" s="110" t="str">
        <v>Vilamoura, Algarve</v>
      </c>
      <c r="E45" s="110" t="str">
        <v>T3</v>
      </c>
      <c r="F45" s="110">
        <v>223.75</v>
      </c>
      <c r="G45" s="110">
        <v>0</v>
      </c>
      <c r="H45" s="110" t="str">
        <v>2</v>
      </c>
      <c r="I45" s="110" t="str">
        <v/>
      </c>
      <c r="J45" s="110">
        <v>45.36</v>
      </c>
      <c r="K45" s="110">
        <v>0</v>
      </c>
      <c r="L45" s="110">
        <v>0</v>
      </c>
      <c r="M45" s="110">
        <v>10.29</v>
      </c>
      <c r="N45" s="110">
        <v>0</v>
      </c>
      <c r="O45" s="110">
        <v>168.1</v>
      </c>
      <c r="P45" s="110">
        <v>0</v>
      </c>
      <c r="Q45" s="110" t="str">
        <v>AVAILABLE</v>
      </c>
      <c r="R45" s="110">
        <v>1548293.5</v>
      </c>
      <c r="S45" s="110">
        <v>1548293.5</v>
      </c>
      <c r="T45" s="110">
        <v>1550000</v>
      </c>
      <c r="U45" s="110">
        <v>0</v>
      </c>
      <c r="V45" s="110">
        <v>0</v>
      </c>
      <c r="W45" s="110">
        <v>1550000</v>
      </c>
      <c r="X45" s="110">
        <v>0</v>
      </c>
      <c r="Y45" s="110">
        <v>1550000</v>
      </c>
      <c r="Z45" s="110">
        <v>1550000</v>
      </c>
      <c r="AA45" s="110">
        <v>46029</v>
      </c>
      <c r="AB45" s="111" t="str">
        <v>Q1 2026</v>
      </c>
      <c r="AC45">
        <v>0</v>
      </c>
      <c r="AD45">
        <v>0</v>
      </c>
      <c r="AE45" t="str">
        <v>Ana Damásio</v>
      </c>
      <c r="AF45" t="str">
        <v>Elisabete Figueiredo</v>
      </c>
      <c r="AG45" t="str">
        <v>Botanica Apartments - New Development - *Vilamoura</v>
      </c>
      <c r="AH45" t="str">
        <v>Tranquil gardens. Communal parks. Perfectly-planted balconies. Botanica, a sense of well-being and connection to nature within a central urban location. One of the last opportunities to own a property in the heart of Vilamoura.</v>
      </c>
      <c r="AI45" t="str">
        <v>Indoor Heated Pool, Spa, Outdoor Pool, Gym, Underground Parking</v>
      </c>
      <c r="AJ45"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45" t="str">
        <v>Samuel Torres de Carvalho</v>
      </c>
      <c r="AL45" t="str">
        <v>Botanica</v>
      </c>
    </row>
    <row r="46" spans="1:38" x14ac:dyDescent="0.3">
      <c r="A46" s="110" t="str">
        <v>BOTÂNICA</v>
      </c>
      <c r="B46" s="110" t="str">
        <v>Vilamoura</v>
      </c>
      <c r="C46" s="110" t="str">
        <v>N</v>
      </c>
      <c r="D46" s="110" t="str">
        <v>Vilamoura, Algarve</v>
      </c>
      <c r="E46" s="110" t="str">
        <v>T2</v>
      </c>
      <c r="F46" s="110">
        <v>151.47999999999999</v>
      </c>
      <c r="G46" s="110">
        <v>0</v>
      </c>
      <c r="H46" s="110" t="str">
        <v>2</v>
      </c>
      <c r="I46" s="110" t="str">
        <v/>
      </c>
      <c r="J46" s="110">
        <v>20.100000000000001</v>
      </c>
      <c r="K46" s="110">
        <v>0</v>
      </c>
      <c r="L46" s="110">
        <v>0</v>
      </c>
      <c r="M46" s="110">
        <v>7.51</v>
      </c>
      <c r="N46" s="110">
        <v>0</v>
      </c>
      <c r="O46" s="110">
        <v>123.87</v>
      </c>
      <c r="P46" s="110">
        <v>0</v>
      </c>
      <c r="Q46" s="110" t="str">
        <v>AVAILABLE</v>
      </c>
      <c r="R46" s="110">
        <v>1037929.662</v>
      </c>
      <c r="S46" s="110">
        <v>1037929.662</v>
      </c>
      <c r="T46" s="110">
        <v>1050000</v>
      </c>
      <c r="U46" s="110">
        <v>0</v>
      </c>
      <c r="V46" s="110">
        <v>0</v>
      </c>
      <c r="W46" s="110">
        <v>1050000</v>
      </c>
      <c r="X46" s="110">
        <v>0</v>
      </c>
      <c r="Y46" s="110">
        <v>1040000</v>
      </c>
      <c r="Z46" s="110">
        <v>1040000</v>
      </c>
      <c r="AA46" s="110">
        <v>46029</v>
      </c>
      <c r="AB46" s="111" t="str">
        <v>Q1 2026</v>
      </c>
      <c r="AC46">
        <v>0</v>
      </c>
      <c r="AD46">
        <v>0</v>
      </c>
      <c r="AE46" t="str">
        <v>Ana Damásio</v>
      </c>
      <c r="AF46" t="str">
        <v>Elisabete Figueiredo</v>
      </c>
      <c r="AG46" t="str">
        <v>Botanica Apartments - New Development - *Vilamoura</v>
      </c>
      <c r="AH46" t="str">
        <v>Tranquil gardens. Communal parks. Perfectly-planted balconies. Botanica, a sense of well-being and connection to nature within a central urban location. One of the last opportunities to own a property in the heart of Vilamoura.</v>
      </c>
      <c r="AI46" t="str">
        <v>Indoor Heated Pool, Spa, Outdoor Pool, Gym, Underground Parking</v>
      </c>
      <c r="AJ46"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46" t="str">
        <v>Samuel Torres de Carvalho</v>
      </c>
      <c r="AL46" t="str">
        <v>Botanica</v>
      </c>
    </row>
    <row r="47" spans="1:38" x14ac:dyDescent="0.3">
      <c r="A47" s="110" t="str">
        <v>BOTÂNICA</v>
      </c>
      <c r="B47" s="110" t="str">
        <v>Vilamoura</v>
      </c>
      <c r="C47" s="110" t="str">
        <v>O</v>
      </c>
      <c r="D47" s="110" t="str">
        <v>Vilamoura, Algarve</v>
      </c>
      <c r="E47" s="110" t="str">
        <v>T3</v>
      </c>
      <c r="F47" s="110">
        <v>195.87</v>
      </c>
      <c r="G47" s="110">
        <v>0</v>
      </c>
      <c r="H47" s="110" t="str">
        <v>2</v>
      </c>
      <c r="I47" s="110" t="str">
        <v/>
      </c>
      <c r="J47" s="110">
        <v>25.36</v>
      </c>
      <c r="K47" s="110">
        <v>0</v>
      </c>
      <c r="L47" s="110">
        <v>0</v>
      </c>
      <c r="M47" s="110">
        <v>7.62</v>
      </c>
      <c r="N47" s="110">
        <v>0</v>
      </c>
      <c r="O47" s="110">
        <v>162.88999999999999</v>
      </c>
      <c r="P47" s="110">
        <v>0</v>
      </c>
      <c r="Q47" s="110" t="str">
        <v>AVAILABLE</v>
      </c>
      <c r="R47" s="110">
        <v>1336484.24</v>
      </c>
      <c r="S47" s="110">
        <v>1336484.24</v>
      </c>
      <c r="T47" s="110">
        <v>1350000</v>
      </c>
      <c r="U47" s="110">
        <v>0</v>
      </c>
      <c r="V47" s="110">
        <v>0</v>
      </c>
      <c r="W47" s="110">
        <v>1350000</v>
      </c>
      <c r="X47" s="110">
        <v>0</v>
      </c>
      <c r="Y47" s="110">
        <v>1340000</v>
      </c>
      <c r="Z47" s="110">
        <v>1340000</v>
      </c>
      <c r="AA47" s="110">
        <v>46029</v>
      </c>
      <c r="AB47" s="111" t="str">
        <v>Q1 2026</v>
      </c>
      <c r="AC47">
        <v>0</v>
      </c>
      <c r="AD47">
        <v>0</v>
      </c>
      <c r="AE47" t="str">
        <v>Ana Damásio</v>
      </c>
      <c r="AF47" t="str">
        <v>Elisabete Figueiredo</v>
      </c>
      <c r="AG47" t="str">
        <v>Botanica Apartments - New Development - *Vilamoura</v>
      </c>
      <c r="AH47" t="str">
        <v>Tranquil gardens. Communal parks. Perfectly-planted balconies. Botanica, a sense of well-being and connection to nature within a central urban location. One of the last opportunities to own a property in the heart of Vilamoura.</v>
      </c>
      <c r="AI47" t="str">
        <v>Indoor Heated Pool, Spa, Outdoor Pool, Gym, Underground Parking</v>
      </c>
      <c r="AJ47"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47" t="str">
        <v>Samuel Torres de Carvalho</v>
      </c>
      <c r="AL47" t="str">
        <v>Botanica</v>
      </c>
    </row>
    <row r="48" spans="1:38" x14ac:dyDescent="0.3">
      <c r="A48" s="110" t="str">
        <v>BOTÂNICA</v>
      </c>
      <c r="B48" s="110" t="str">
        <v>Vilamoura</v>
      </c>
      <c r="C48" s="110" t="str">
        <v>P</v>
      </c>
      <c r="D48" s="110" t="str">
        <v>Vilamoura, Algarve</v>
      </c>
      <c r="E48" s="110" t="str">
        <v>T2</v>
      </c>
      <c r="F48" s="110">
        <v>151.41</v>
      </c>
      <c r="G48" s="110">
        <v>0</v>
      </c>
      <c r="H48" s="110" t="str">
        <v>2</v>
      </c>
      <c r="I48" s="110" t="str">
        <v/>
      </c>
      <c r="J48" s="110">
        <v>20.100000000000001</v>
      </c>
      <c r="K48" s="110">
        <v>0</v>
      </c>
      <c r="L48" s="110">
        <v>0</v>
      </c>
      <c r="M48" s="110">
        <v>7.51</v>
      </c>
      <c r="N48" s="110">
        <v>0</v>
      </c>
      <c r="O48" s="110">
        <v>123.8</v>
      </c>
      <c r="P48" s="110">
        <v>0</v>
      </c>
      <c r="Q48" s="110" t="str">
        <v>AVAILABLE</v>
      </c>
      <c r="R48" s="110">
        <v>1037379.882</v>
      </c>
      <c r="S48" s="110">
        <v>1037379.882</v>
      </c>
      <c r="T48" s="110">
        <v>1050000</v>
      </c>
      <c r="U48" s="110">
        <v>0</v>
      </c>
      <c r="V48" s="110">
        <v>0</v>
      </c>
      <c r="W48" s="110">
        <v>1050000</v>
      </c>
      <c r="X48" s="110">
        <v>0</v>
      </c>
      <c r="Y48" s="110">
        <v>1040000</v>
      </c>
      <c r="Z48" s="110">
        <v>1040000</v>
      </c>
      <c r="AA48" s="110">
        <v>46029</v>
      </c>
      <c r="AB48" s="111" t="str">
        <v>Q1 2026</v>
      </c>
      <c r="AC48">
        <v>0</v>
      </c>
      <c r="AD48">
        <v>0</v>
      </c>
      <c r="AE48" t="str">
        <v>Ana Damásio</v>
      </c>
      <c r="AF48" t="str">
        <v>Elisabete Figueiredo</v>
      </c>
      <c r="AG48" t="str">
        <v>Botanica Apartments - New Development - *Vilamoura</v>
      </c>
      <c r="AH48" t="str">
        <v>Tranquil gardens. Communal parks. Perfectly-planted balconies. Botanica, a sense of well-being and connection to nature within a central urban location. One of the last opportunities to own a property in the heart of Vilamoura.</v>
      </c>
      <c r="AI48" t="str">
        <v>Indoor Heated Pool, Spa, Outdoor Pool, Gym, Underground Parking</v>
      </c>
      <c r="AJ48"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48" t="str">
        <v>Samuel Torres de Carvalho</v>
      </c>
      <c r="AL48" t="str">
        <v>Botanica</v>
      </c>
    </row>
    <row r="49" spans="1:38" x14ac:dyDescent="0.3">
      <c r="A49" t="str">
        <v>BOTÂNICA</v>
      </c>
      <c r="B49" t="str">
        <v>Vilamoura</v>
      </c>
      <c r="C49" t="str">
        <v>Q</v>
      </c>
      <c r="D49" t="str">
        <v>Vilamoura, Algarve</v>
      </c>
      <c r="E49" t="str">
        <v>T2</v>
      </c>
      <c r="F49">
        <v>151.53</v>
      </c>
      <c r="G49">
        <v>0</v>
      </c>
      <c r="H49" t="str">
        <v>2</v>
      </c>
      <c r="I49" t="str">
        <v/>
      </c>
      <c r="J49">
        <v>15.79</v>
      </c>
      <c r="K49">
        <v>0</v>
      </c>
      <c r="L49">
        <v>0</v>
      </c>
      <c r="M49" s="79">
        <v>11.82</v>
      </c>
      <c r="N49">
        <v>0</v>
      </c>
      <c r="O49">
        <v>123.92</v>
      </c>
      <c r="P49">
        <v>0</v>
      </c>
      <c r="Q49" t="str">
        <v>AVAILABLE</v>
      </c>
      <c r="R49">
        <v>1038322.362</v>
      </c>
      <c r="S49">
        <v>1038322.362</v>
      </c>
      <c r="T49">
        <v>1075000</v>
      </c>
      <c r="U49">
        <v>0</v>
      </c>
      <c r="V49">
        <v>0</v>
      </c>
      <c r="W49">
        <v>1075000</v>
      </c>
      <c r="X49">
        <v>0</v>
      </c>
      <c r="Y49">
        <v>1071200</v>
      </c>
      <c r="Z49">
        <v>1071200</v>
      </c>
      <c r="AA49">
        <v>46029</v>
      </c>
      <c r="AB49" t="str">
        <v>Q1 2026</v>
      </c>
      <c r="AC49">
        <v>0</v>
      </c>
      <c r="AD49">
        <v>0</v>
      </c>
      <c r="AE49" t="str">
        <v>Ana Damásio</v>
      </c>
      <c r="AF49" t="str">
        <v>Elisabete Figueiredo</v>
      </c>
      <c r="AG49" t="str">
        <v>Botanica Apartments - New Development - *Vilamoura</v>
      </c>
      <c r="AH49" t="str">
        <v>Tranquil gardens. Communal parks. Perfectly-planted balconies. Botanica, a sense of well-being and connection to nature within a central urban location. One of the last opportunities to own a property in the heart of Vilamoura.</v>
      </c>
      <c r="AI49" t="str">
        <v>Indoor Heated Pool, Spa, Outdoor Pool, Gym, Underground Parking</v>
      </c>
      <c r="AJ49"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49" t="str">
        <v>Samuel Torres de Carvalho</v>
      </c>
      <c r="AL49" t="str">
        <v>Botanica</v>
      </c>
    </row>
    <row r="50" spans="1:38" x14ac:dyDescent="0.3">
      <c r="A50" t="str">
        <v>BOTÂNICA</v>
      </c>
      <c r="B50" t="str">
        <v>Vilamoura</v>
      </c>
      <c r="C50" t="str">
        <v>R</v>
      </c>
      <c r="D50" t="str">
        <v>Vilamoura, Algarve</v>
      </c>
      <c r="E50" t="str">
        <v>T3</v>
      </c>
      <c r="F50">
        <v>223.91</v>
      </c>
      <c r="G50">
        <v>0</v>
      </c>
      <c r="H50" t="str">
        <v>2</v>
      </c>
      <c r="I50" t="str">
        <v/>
      </c>
      <c r="J50">
        <v>33.85</v>
      </c>
      <c r="K50">
        <v>0</v>
      </c>
      <c r="L50">
        <v>0</v>
      </c>
      <c r="M50" s="79">
        <v>21.79</v>
      </c>
      <c r="N50">
        <v>0</v>
      </c>
      <c r="O50">
        <v>168.27</v>
      </c>
      <c r="P50">
        <v>0</v>
      </c>
      <c r="Q50" t="str">
        <v>AVAILABLE</v>
      </c>
      <c r="R50">
        <v>1502029.62</v>
      </c>
      <c r="S50">
        <v>1502029.62</v>
      </c>
      <c r="T50">
        <v>1510000</v>
      </c>
      <c r="U50">
        <v>0</v>
      </c>
      <c r="V50">
        <v>0</v>
      </c>
      <c r="W50">
        <v>1510000</v>
      </c>
      <c r="X50">
        <v>0</v>
      </c>
      <c r="Y50">
        <v>1510000</v>
      </c>
      <c r="Z50">
        <v>1510000</v>
      </c>
      <c r="AA50">
        <v>46029</v>
      </c>
      <c r="AB50" t="str">
        <v>Q1 2026</v>
      </c>
      <c r="AC50">
        <v>0</v>
      </c>
      <c r="AD50">
        <v>0</v>
      </c>
      <c r="AE50" t="str">
        <v>Ana Damásio</v>
      </c>
      <c r="AF50" t="str">
        <v>Elisabete Figueiredo</v>
      </c>
      <c r="AG50" t="str">
        <v>Botanica Apartments - New Development - *Vilamoura</v>
      </c>
      <c r="AH50" t="str">
        <v>Tranquil gardens. Communal parks. Perfectly-planted balconies. Botanica, a sense of well-being and connection to nature within a central urban location. One of the last opportunities to own a property in the heart of Vilamoura.</v>
      </c>
      <c r="AI50" t="str">
        <v>Indoor Heated Pool, Spa, Outdoor Pool, Gym, Underground Parking</v>
      </c>
      <c r="AJ50"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50" t="str">
        <v>Samuel Torres de Carvalho</v>
      </c>
      <c r="AL50" t="str">
        <v>Botanica</v>
      </c>
    </row>
    <row r="51" spans="1:38" x14ac:dyDescent="0.3">
      <c r="A51" t="str">
        <v>BOTÂNICA</v>
      </c>
      <c r="B51" t="str">
        <v>Vilamoura</v>
      </c>
      <c r="C51" t="str">
        <v>T</v>
      </c>
      <c r="D51" t="str">
        <v>Vilamoura, Algarve</v>
      </c>
      <c r="E51" t="str">
        <v>T2</v>
      </c>
      <c r="F51">
        <v>142.88999999999999</v>
      </c>
      <c r="G51">
        <v>0</v>
      </c>
      <c r="H51" t="str">
        <v>2</v>
      </c>
      <c r="I51" t="str">
        <v/>
      </c>
      <c r="J51">
        <v>26.79</v>
      </c>
      <c r="K51">
        <v>0</v>
      </c>
      <c r="L51">
        <v>0</v>
      </c>
      <c r="M51" s="79">
        <v>1.61</v>
      </c>
      <c r="N51">
        <v>0</v>
      </c>
      <c r="O51">
        <v>114.49</v>
      </c>
      <c r="P51">
        <v>0</v>
      </c>
      <c r="Q51" t="str">
        <v>AVAILABLE</v>
      </c>
      <c r="R51">
        <v>925527.24</v>
      </c>
      <c r="S51">
        <v>925527.24</v>
      </c>
      <c r="T51">
        <v>950000</v>
      </c>
      <c r="U51">
        <v>0</v>
      </c>
      <c r="V51">
        <v>0</v>
      </c>
      <c r="W51">
        <v>950000</v>
      </c>
      <c r="X51">
        <v>0</v>
      </c>
      <c r="Y51">
        <v>930000</v>
      </c>
      <c r="Z51">
        <v>930000</v>
      </c>
      <c r="AA51">
        <v>46029</v>
      </c>
      <c r="AB51" t="str">
        <v>Q1 2026</v>
      </c>
      <c r="AC51">
        <v>0</v>
      </c>
      <c r="AD51">
        <v>0</v>
      </c>
      <c r="AE51" t="str">
        <v>Ana Damásio</v>
      </c>
      <c r="AF51" t="str">
        <v>Elisabete Figueiredo</v>
      </c>
      <c r="AG51" t="str">
        <v>Botanica Apartments - New Development - *Vilamoura</v>
      </c>
      <c r="AH51" t="str">
        <v>Tranquil gardens. Communal parks. Perfectly-planted balconies. Botanica, a sense of well-being and connection to nature within a central urban location. One of the last opportunities to own a property in the heart of Vilamoura.</v>
      </c>
      <c r="AI51" t="str">
        <v>Indoor Heated Pool, Spa, Outdoor Pool, Gym, Underground Parking</v>
      </c>
      <c r="AJ51"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51" t="str">
        <v>Samuel Torres de Carvalho</v>
      </c>
      <c r="AL51" t="str">
        <v>Botanica</v>
      </c>
    </row>
    <row r="52" spans="1:38" x14ac:dyDescent="0.3">
      <c r="A52" t="str">
        <v>BOTÂNICA</v>
      </c>
      <c r="B52" t="str">
        <v>Vilamoura</v>
      </c>
      <c r="C52" t="str">
        <v>U</v>
      </c>
      <c r="D52" t="str">
        <v>Vilamoura, Algarve</v>
      </c>
      <c r="E52" t="str">
        <v>T2</v>
      </c>
      <c r="F52">
        <v>151.37</v>
      </c>
      <c r="G52">
        <v>0</v>
      </c>
      <c r="H52" t="str">
        <v>2</v>
      </c>
      <c r="I52" t="str">
        <v/>
      </c>
      <c r="J52">
        <v>20.100000000000001</v>
      </c>
      <c r="K52">
        <v>0</v>
      </c>
      <c r="L52">
        <v>0</v>
      </c>
      <c r="M52" s="79">
        <v>7.51</v>
      </c>
      <c r="N52">
        <v>0</v>
      </c>
      <c r="O52">
        <v>123.76</v>
      </c>
      <c r="P52">
        <v>0</v>
      </c>
      <c r="Q52" t="str">
        <v>AVAILABLE</v>
      </c>
      <c r="R52">
        <v>923772.82799999998</v>
      </c>
      <c r="S52">
        <v>923772.82799999998</v>
      </c>
      <c r="T52">
        <v>895000</v>
      </c>
      <c r="U52">
        <v>0</v>
      </c>
      <c r="V52">
        <v>0</v>
      </c>
      <c r="W52">
        <v>895000</v>
      </c>
      <c r="X52">
        <v>0</v>
      </c>
      <c r="Y52">
        <v>930000</v>
      </c>
      <c r="Z52">
        <v>930000</v>
      </c>
      <c r="AA52">
        <v>46029</v>
      </c>
      <c r="AB52" t="str">
        <v>Q1 2026</v>
      </c>
      <c r="AC52">
        <v>0</v>
      </c>
      <c r="AD52">
        <v>0</v>
      </c>
      <c r="AE52" t="str">
        <v>Ana Damásio</v>
      </c>
      <c r="AF52" t="str">
        <v>Elisabete Figueiredo</v>
      </c>
      <c r="AG52" t="str">
        <v>Botanica Apartments - New Development - *Vilamoura</v>
      </c>
      <c r="AH52" t="str">
        <v>Tranquil gardens. Communal parks. Perfectly-planted balconies. Botanica, a sense of well-being and connection to nature within a central urban location. One of the last opportunities to own a property in the heart of Vilamoura.</v>
      </c>
      <c r="AI52" t="str">
        <v>Indoor Heated Pool, Spa, Outdoor Pool, Gym, Underground Parking</v>
      </c>
      <c r="AJ52"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52" t="str">
        <v>Samuel Torres de Carvalho</v>
      </c>
      <c r="AL52" t="str">
        <v>Botanica</v>
      </c>
    </row>
    <row r="53" spans="1:38" x14ac:dyDescent="0.3">
      <c r="A53" t="str">
        <v>BOTÂNICA</v>
      </c>
      <c r="B53" t="str">
        <v>Vilamoura</v>
      </c>
      <c r="C53" t="str">
        <v>V</v>
      </c>
      <c r="D53" t="str">
        <v>Vilamoura, Algarve</v>
      </c>
      <c r="E53" t="str">
        <v>T2</v>
      </c>
      <c r="F53">
        <v>151.25</v>
      </c>
      <c r="G53">
        <v>0</v>
      </c>
      <c r="H53" t="str">
        <v>2</v>
      </c>
      <c r="I53" t="str">
        <v/>
      </c>
      <c r="J53">
        <v>20.100000000000001</v>
      </c>
      <c r="K53">
        <v>0</v>
      </c>
      <c r="L53">
        <v>0</v>
      </c>
      <c r="M53" s="79">
        <v>7.51</v>
      </c>
      <c r="N53">
        <v>0</v>
      </c>
      <c r="O53">
        <v>123.64</v>
      </c>
      <c r="P53">
        <v>0</v>
      </c>
      <c r="Q53" t="str">
        <v>AVAILABLE</v>
      </c>
      <c r="R53">
        <v>922933.30799999996</v>
      </c>
      <c r="S53">
        <v>922933.30799999996</v>
      </c>
      <c r="T53">
        <v>930000</v>
      </c>
      <c r="U53">
        <v>0</v>
      </c>
      <c r="V53">
        <v>0</v>
      </c>
      <c r="W53">
        <v>930000</v>
      </c>
      <c r="X53">
        <v>0</v>
      </c>
      <c r="Y53">
        <v>930000</v>
      </c>
      <c r="Z53">
        <v>930000</v>
      </c>
      <c r="AA53">
        <v>46029</v>
      </c>
      <c r="AB53" t="str">
        <v>Q1 2026</v>
      </c>
      <c r="AC53">
        <v>0</v>
      </c>
      <c r="AD53">
        <v>0</v>
      </c>
      <c r="AE53" t="str">
        <v>Ana Damásio</v>
      </c>
      <c r="AF53" t="str">
        <v>Elisabete Figueiredo</v>
      </c>
      <c r="AG53" t="str">
        <v>Botanica Apartments - New Development - *Vilamoura</v>
      </c>
      <c r="AH53" t="str">
        <v>Tranquil gardens. Communal parks. Perfectly-planted balconies. Botanica, a sense of well-being and connection to nature within a central urban location. One of the last opportunities to own a property in the heart of Vilamoura.</v>
      </c>
      <c r="AI53" t="str">
        <v>Indoor Heated Pool, Spa, Outdoor Pool, Gym, Underground Parking</v>
      </c>
      <c r="AJ53"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53" t="str">
        <v>Samuel Torres de Carvalho</v>
      </c>
      <c r="AL53" t="str">
        <v>Botanica</v>
      </c>
    </row>
    <row r="54" spans="1:38" x14ac:dyDescent="0.3">
      <c r="A54" t="str">
        <v>BOTÂNICA</v>
      </c>
      <c r="B54" t="str">
        <v>Vilamoura</v>
      </c>
      <c r="C54" t="str">
        <v>W</v>
      </c>
      <c r="D54" t="str">
        <v>Vilamoura, Algarve</v>
      </c>
      <c r="E54" t="str">
        <v>T2</v>
      </c>
      <c r="F54">
        <v>151.25</v>
      </c>
      <c r="G54">
        <v>0</v>
      </c>
      <c r="H54" t="str">
        <v>2</v>
      </c>
      <c r="I54" t="str">
        <v/>
      </c>
      <c r="J54">
        <v>20.100000000000001</v>
      </c>
      <c r="K54">
        <v>0</v>
      </c>
      <c r="L54">
        <v>0</v>
      </c>
      <c r="M54" s="79">
        <v>7.51</v>
      </c>
      <c r="N54">
        <v>0</v>
      </c>
      <c r="O54">
        <v>123.64</v>
      </c>
      <c r="P54">
        <v>0</v>
      </c>
      <c r="Q54" t="str">
        <v>AVAILABLE</v>
      </c>
      <c r="R54">
        <v>922933.30799999996</v>
      </c>
      <c r="S54">
        <v>922933.30799999996</v>
      </c>
      <c r="T54">
        <v>950000</v>
      </c>
      <c r="U54">
        <v>0</v>
      </c>
      <c r="V54">
        <v>0</v>
      </c>
      <c r="W54">
        <v>950000</v>
      </c>
      <c r="X54">
        <v>0</v>
      </c>
      <c r="Y54">
        <v>930000</v>
      </c>
      <c r="Z54">
        <v>930000</v>
      </c>
      <c r="AA54">
        <v>46029</v>
      </c>
      <c r="AB54" t="str">
        <v>Q1 2026</v>
      </c>
      <c r="AC54">
        <v>0</v>
      </c>
      <c r="AD54">
        <v>0</v>
      </c>
      <c r="AE54" t="str">
        <v>Ana Damásio</v>
      </c>
      <c r="AF54" t="str">
        <v>Elisabete Figueiredo</v>
      </c>
      <c r="AG54" t="str">
        <v>Botanica Apartments - New Development - *Vilamoura</v>
      </c>
      <c r="AH54" t="str">
        <v>Tranquil gardens. Communal parks. Perfectly-planted balconies. Botanica, a sense of well-being and connection to nature within a central urban location. One of the last opportunities to own a property in the heart of Vilamoura.</v>
      </c>
      <c r="AI54" t="str">
        <v>Indoor Heated Pool, Spa, Outdoor Pool, Gym, Underground Parking</v>
      </c>
      <c r="AJ54"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54" t="str">
        <v>Samuel Torres de Carvalho</v>
      </c>
      <c r="AL54" t="str">
        <v>Botanica</v>
      </c>
    </row>
    <row r="55" spans="1:38" x14ac:dyDescent="0.3">
      <c r="A55" t="str">
        <v>BOTÂNICA</v>
      </c>
      <c r="B55" t="str">
        <v>Vilamoura</v>
      </c>
      <c r="C55" t="str">
        <v>X</v>
      </c>
      <c r="D55" t="str">
        <v>Vilamoura, Algarve</v>
      </c>
      <c r="E55" t="str">
        <v>T2</v>
      </c>
      <c r="F55">
        <v>151.5</v>
      </c>
      <c r="G55">
        <v>0</v>
      </c>
      <c r="H55" t="str">
        <v>2</v>
      </c>
      <c r="I55" t="str">
        <v/>
      </c>
      <c r="J55">
        <v>27.61</v>
      </c>
      <c r="K55">
        <v>0</v>
      </c>
      <c r="L55">
        <v>0</v>
      </c>
      <c r="M55" s="79">
        <v>0</v>
      </c>
      <c r="N55">
        <v>0</v>
      </c>
      <c r="O55">
        <v>123.89</v>
      </c>
      <c r="P55">
        <v>0</v>
      </c>
      <c r="Q55" t="str">
        <v>AVAILABLE</v>
      </c>
      <c r="R55">
        <v>924682.30799999996</v>
      </c>
      <c r="S55">
        <v>924682.30799999996</v>
      </c>
      <c r="T55">
        <v>950000</v>
      </c>
      <c r="U55">
        <v>0</v>
      </c>
      <c r="V55">
        <v>0</v>
      </c>
      <c r="W55">
        <v>950000</v>
      </c>
      <c r="X55">
        <v>0</v>
      </c>
      <c r="Y55">
        <v>930000</v>
      </c>
      <c r="Z55">
        <v>930000</v>
      </c>
      <c r="AA55">
        <v>46029</v>
      </c>
      <c r="AB55" t="str">
        <v>Q1 2026</v>
      </c>
      <c r="AC55">
        <v>0</v>
      </c>
      <c r="AD55">
        <v>0</v>
      </c>
      <c r="AE55" t="str">
        <v>Ana Damásio</v>
      </c>
      <c r="AF55" t="str">
        <v>Elisabete Figueiredo</v>
      </c>
      <c r="AG55" t="str">
        <v>Botanica Apartments - New Development - *Vilamoura</v>
      </c>
      <c r="AH55" t="str">
        <v>Tranquil gardens. Communal parks. Perfectly-planted balconies. Botanica, a sense of well-being and connection to nature within a central urban location. One of the last opportunities to own a property in the heart of Vilamoura.</v>
      </c>
      <c r="AI55" t="str">
        <v>Indoor Heated Pool, Spa, Outdoor Pool, Gym, Underground Parking</v>
      </c>
      <c r="AJ55"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55" t="str">
        <v>Samuel Torres de Carvalho</v>
      </c>
      <c r="AL55" t="str">
        <v>Botanica</v>
      </c>
    </row>
    <row r="56" spans="1:38" x14ac:dyDescent="0.3">
      <c r="A56" t="str">
        <v>BOTÂNICA</v>
      </c>
      <c r="B56" t="str">
        <v>Vilamoura</v>
      </c>
      <c r="C56" t="str">
        <v>Y</v>
      </c>
      <c r="D56" t="str">
        <v>Vilamoura, Algarve</v>
      </c>
      <c r="E56" t="str">
        <v>T3</v>
      </c>
      <c r="F56">
        <v>224.06</v>
      </c>
      <c r="G56">
        <v>0</v>
      </c>
      <c r="H56" t="str">
        <v>2</v>
      </c>
      <c r="I56" t="str">
        <v/>
      </c>
      <c r="J56">
        <v>44.72</v>
      </c>
      <c r="K56">
        <v>0</v>
      </c>
      <c r="L56">
        <v>0</v>
      </c>
      <c r="M56" s="79">
        <v>10.93</v>
      </c>
      <c r="N56">
        <v>0</v>
      </c>
      <c r="O56">
        <v>168.41</v>
      </c>
      <c r="P56">
        <v>0</v>
      </c>
      <c r="Q56" t="str">
        <v>AVAILABLE</v>
      </c>
      <c r="R56">
        <v>1527052.8</v>
      </c>
      <c r="S56">
        <v>1527052.8</v>
      </c>
      <c r="T56">
        <v>1550000</v>
      </c>
      <c r="U56">
        <v>0</v>
      </c>
      <c r="V56">
        <v>0</v>
      </c>
      <c r="W56">
        <v>1550000</v>
      </c>
      <c r="X56">
        <v>0</v>
      </c>
      <c r="Y56">
        <v>1530000</v>
      </c>
      <c r="Z56">
        <v>1530000</v>
      </c>
      <c r="AA56">
        <v>46029</v>
      </c>
      <c r="AB56" t="str">
        <v>Q1 2026</v>
      </c>
      <c r="AC56">
        <v>0</v>
      </c>
      <c r="AD56">
        <v>0</v>
      </c>
      <c r="AE56" t="str">
        <v>Ana Damásio</v>
      </c>
      <c r="AF56" t="str">
        <v>Elisabete Figueiredo</v>
      </c>
      <c r="AG56" t="str">
        <v>Botanica Apartments - New Development - *Vilamoura</v>
      </c>
      <c r="AH56" t="str">
        <v>Tranquil gardens. Communal parks. Perfectly-planted balconies. Botanica, a sense of well-being and connection to nature within a central urban location. One of the last opportunities to own a property in the heart of Vilamoura.</v>
      </c>
      <c r="AI56" t="str">
        <v>Indoor Heated Pool, Spa, Outdoor Pool, Gym, Underground Parking</v>
      </c>
      <c r="AJ56"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56" t="str">
        <v>Samuel Torres de Carvalho</v>
      </c>
      <c r="AL56" t="str">
        <v>Botanica</v>
      </c>
    </row>
    <row r="57" spans="1:38" x14ac:dyDescent="0.3">
      <c r="A57" t="str">
        <v>BOTÂNICA</v>
      </c>
      <c r="B57" t="str">
        <v>Vilamoura</v>
      </c>
      <c r="C57" t="str">
        <v>Z</v>
      </c>
      <c r="D57" t="str">
        <v>Vilamoura, Algarve</v>
      </c>
      <c r="E57" t="str">
        <v>T3</v>
      </c>
      <c r="F57">
        <v>223.75</v>
      </c>
      <c r="G57">
        <v>0</v>
      </c>
      <c r="H57" t="str">
        <v>2</v>
      </c>
      <c r="I57" t="str">
        <v/>
      </c>
      <c r="J57">
        <v>55.65</v>
      </c>
      <c r="K57">
        <v>0</v>
      </c>
      <c r="L57">
        <v>0</v>
      </c>
      <c r="M57" s="79">
        <v>0</v>
      </c>
      <c r="N57">
        <v>0</v>
      </c>
      <c r="O57">
        <v>168.1</v>
      </c>
      <c r="P57">
        <v>0</v>
      </c>
      <c r="Q57" t="str">
        <v>AVAILABLE</v>
      </c>
      <c r="R57">
        <v>1584023.35</v>
      </c>
      <c r="S57">
        <v>1584023.35</v>
      </c>
      <c r="T57">
        <v>1650000</v>
      </c>
      <c r="U57">
        <v>0</v>
      </c>
      <c r="V57">
        <v>0</v>
      </c>
      <c r="W57">
        <v>1650000</v>
      </c>
      <c r="X57">
        <v>0</v>
      </c>
      <c r="Y57">
        <v>1637700</v>
      </c>
      <c r="Z57">
        <v>1637700</v>
      </c>
      <c r="AA57">
        <v>46029</v>
      </c>
      <c r="AB57" t="str">
        <v>Q1 2026</v>
      </c>
      <c r="AC57">
        <v>0</v>
      </c>
      <c r="AD57">
        <v>0</v>
      </c>
      <c r="AE57" t="str">
        <v>Ana Damásio</v>
      </c>
      <c r="AF57" t="str">
        <v>Elisabete Figueiredo</v>
      </c>
      <c r="AG57" t="str">
        <v>Botanica Apartments - New Development - *Vilamoura</v>
      </c>
      <c r="AH57" t="str">
        <v>Tranquil gardens. Communal parks. Perfectly-planted balconies. Botanica, a sense of well-being and connection to nature within a central urban location. One of the last opportunities to own a property in the heart of Vilamoura.</v>
      </c>
      <c r="AI57" t="str">
        <v>Indoor Heated Pool, Spa, Outdoor Pool, Gym, Underground Parking</v>
      </c>
      <c r="AJ57" t="str">
        <v>Apartamentos residenciais com piscina e zonas exteriores comuns de excelência; Resident's Lounge e zona de co-work; Zona kids e piscina para crianças; Piscina de interior aquecida; Sauna, hamman e zona de massagens; Ginásio de topo; Garagem em box; Zona comercial dentro do condomínio.</v>
      </c>
      <c r="AK57" t="str">
        <v>Samuel Torres de Carvalho</v>
      </c>
      <c r="AL57" t="str">
        <v>Botanica</v>
      </c>
    </row>
    <row r="74" spans="11:12" x14ac:dyDescent="0.3">
      <c r="K74" s="113"/>
      <c r="L74" s="78"/>
    </row>
  </sheetData>
  <autoFilter ref="A2:AL2" xr:uid="{8C381E57-20A3-4D29-9AC1-A20B676A56DB}"/>
  <conditionalFormatting sqref="A2">
    <cfRule type="containsText" dxfId="101" priority="3" operator="containsText" text="Center">
      <formula>NOT(ISERROR(SEARCH("Center",A2)))</formula>
    </cfRule>
    <cfRule type="containsText" dxfId="100" priority="4" operator="containsText" text="North">
      <formula>NOT(ISERROR(SEARCH("North",A2)))</formula>
    </cfRule>
    <cfRule type="containsText" dxfId="99" priority="5" operator="containsText" text="Algarve">
      <formula>NOT(ISERROR(SEARCH("Algarve",A2)))</formula>
    </cfRule>
    <cfRule type="containsText" dxfId="98" priority="6" operator="containsText" text="Vilamoura">
      <formula>NOT(ISERROR(SEARCH("Vilamoura",A2)))</formula>
    </cfRule>
  </conditionalFormatting>
  <conditionalFormatting sqref="Q2">
    <cfRule type="containsText" dxfId="97" priority="1" operator="containsText" text="PRE-RESERVED">
      <formula>NOT(ISERROR(SEARCH("PRE-RESERVED",Q2)))</formula>
    </cfRule>
    <cfRule type="containsText" dxfId="96" priority="2" operator="containsText" text="RESERVED">
      <formula>NOT(ISERROR(SEARCH("RESERVED",Q2)))</formula>
    </cfRule>
  </conditionalFormatting>
  <pageMargins left="0.7" right="0.7" top="0.75" bottom="0.75" header="0.3" footer="0.3"/>
  <pageSetup paperSize="8" scale="69" fitToHeight="0"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4243D-3A11-46FE-B530-5A4A12B400F0}">
  <sheetPr>
    <tabColor rgb="FFC2B59E"/>
    <pageSetUpPr fitToPage="1"/>
  </sheetPr>
  <dimension ref="A1:AL74"/>
  <sheetViews>
    <sheetView showGridLines="0" zoomScale="71" zoomScaleNormal="40" zoomScaleSheetLayoutView="70" workbookViewId="0">
      <pane xSplit="1" topLeftCell="H1" activePane="topRight" state="frozen"/>
      <selection activeCell="I25" sqref="I25"/>
      <selection pane="topRight" activeCell="A2" sqref="A2"/>
    </sheetView>
  </sheetViews>
  <sheetFormatPr defaultColWidth="8.6640625" defaultRowHeight="14.4" outlineLevelCol="2" x14ac:dyDescent="0.3"/>
  <cols>
    <col min="1" max="1" width="20.33203125" bestFit="1" customWidth="1"/>
    <col min="2" max="6" width="11.77734375" customWidth="1"/>
    <col min="7" max="12" width="11.77734375" customWidth="1" outlineLevel="2"/>
    <col min="13" max="13" width="11.77734375" style="79" customWidth="1" outlineLevel="2"/>
    <col min="14" max="14" width="11.77734375" customWidth="1" outlineLevel="2"/>
    <col min="15" max="16" width="11.77734375" customWidth="1" outlineLevel="1"/>
    <col min="17" max="18" width="11.77734375" customWidth="1"/>
    <col min="19" max="22" width="11.77734375" customWidth="1" outlineLevel="1"/>
    <col min="23" max="24" width="11.77734375" customWidth="1"/>
    <col min="25" max="25" width="11.77734375" customWidth="1" outlineLevel="1"/>
    <col min="26" max="26" width="11.77734375" customWidth="1"/>
    <col min="27" max="27" width="11.77734375" customWidth="1" outlineLevel="1"/>
    <col min="28" max="38" width="11.77734375" customWidth="1"/>
  </cols>
  <sheetData>
    <row r="1" spans="1:38" s="1" customFormat="1" ht="20.399999999999999" customHeight="1" x14ac:dyDescent="0.3">
      <c r="A1" s="114" t="s">
        <v>968</v>
      </c>
    </row>
    <row r="2" spans="1:38" s="2" customFormat="1" ht="46.2" customHeight="1" x14ac:dyDescent="0.3">
      <c r="A2" s="95" t="s">
        <v>335</v>
      </c>
      <c r="B2" s="95" t="s">
        <v>684</v>
      </c>
      <c r="C2" s="96" t="s">
        <v>765</v>
      </c>
      <c r="D2" s="97" t="s">
        <v>1</v>
      </c>
      <c r="E2" s="95" t="s">
        <v>93</v>
      </c>
      <c r="F2" s="95" t="s">
        <v>763</v>
      </c>
      <c r="G2" s="98" t="s">
        <v>675</v>
      </c>
      <c r="H2" s="99" t="s">
        <v>676</v>
      </c>
      <c r="I2" s="99" t="s">
        <v>677</v>
      </c>
      <c r="J2" s="100" t="s">
        <v>678</v>
      </c>
      <c r="K2" s="98" t="s">
        <v>679</v>
      </c>
      <c r="L2" s="98" t="s">
        <v>779</v>
      </c>
      <c r="M2" s="98" t="s">
        <v>680</v>
      </c>
      <c r="N2" s="101" t="s">
        <v>681</v>
      </c>
      <c r="O2" s="102" t="s">
        <v>94</v>
      </c>
      <c r="P2" s="102" t="s">
        <v>95</v>
      </c>
      <c r="Q2" s="95" t="s">
        <v>624</v>
      </c>
      <c r="R2" s="103" t="s">
        <v>331</v>
      </c>
      <c r="S2" s="104" t="s">
        <v>332</v>
      </c>
      <c r="T2" s="105" t="s">
        <v>333</v>
      </c>
      <c r="U2" s="105" t="s">
        <v>682</v>
      </c>
      <c r="V2" s="105" t="s">
        <v>97</v>
      </c>
      <c r="W2" s="95" t="s">
        <v>330</v>
      </c>
      <c r="X2" s="106" t="s">
        <v>919</v>
      </c>
      <c r="Y2" s="105" t="s">
        <v>334</v>
      </c>
      <c r="Z2" s="95" t="s">
        <v>98</v>
      </c>
      <c r="AA2" s="107" t="s">
        <v>933</v>
      </c>
      <c r="AB2" s="108" t="s">
        <v>934</v>
      </c>
      <c r="AC2" s="108" t="s">
        <v>928</v>
      </c>
      <c r="AD2" s="109" t="s">
        <v>926</v>
      </c>
      <c r="AE2" s="97" t="s">
        <v>792</v>
      </c>
      <c r="AF2" s="97" t="s">
        <v>793</v>
      </c>
      <c r="AG2" s="97" t="s">
        <v>2</v>
      </c>
      <c r="AH2" s="97" t="s">
        <v>3</v>
      </c>
      <c r="AI2" s="97" t="s">
        <v>5</v>
      </c>
      <c r="AJ2" s="97" t="s">
        <v>794</v>
      </c>
      <c r="AK2" s="97" t="s">
        <v>6</v>
      </c>
      <c r="AL2" s="95" t="s">
        <v>918</v>
      </c>
    </row>
    <row r="3" spans="1:38" s="112" customFormat="1" ht="13.8" x14ac:dyDescent="0.3">
      <c r="A3" s="129" t="str" cm="1">
        <f t="array" ref="A3">_xlfn._xlws.FILTER(DATABASE_Table[],DATABASE_Table[Development]=$A$1,"")</f>
        <v/>
      </c>
      <c r="B3" s="129"/>
      <c r="C3" s="110"/>
      <c r="D3" s="110"/>
      <c r="E3" s="110"/>
      <c r="F3" s="110"/>
      <c r="G3" s="110"/>
      <c r="H3" s="110"/>
      <c r="I3" s="110"/>
      <c r="J3" s="110"/>
      <c r="K3" s="110"/>
      <c r="L3" s="110"/>
      <c r="M3" s="110"/>
      <c r="N3" s="110"/>
      <c r="O3" s="110"/>
      <c r="P3" s="110"/>
      <c r="Q3" s="110"/>
      <c r="R3" s="110"/>
      <c r="S3" s="110"/>
      <c r="T3" s="110"/>
      <c r="U3" s="110"/>
      <c r="V3" s="110"/>
      <c r="W3" s="110"/>
      <c r="X3" s="110"/>
      <c r="Y3" s="110"/>
      <c r="Z3" s="110"/>
      <c r="AA3" s="110"/>
      <c r="AB3" s="111"/>
    </row>
    <row r="4" spans="1:38" x14ac:dyDescent="0.3">
      <c r="A4" s="129"/>
      <c r="B4" s="129"/>
      <c r="C4" s="110"/>
      <c r="D4" s="110"/>
      <c r="E4" s="110"/>
      <c r="F4" s="110"/>
      <c r="G4" s="110"/>
      <c r="H4" s="110"/>
      <c r="I4" s="110"/>
      <c r="J4" s="110"/>
      <c r="K4" s="110"/>
      <c r="L4" s="110"/>
      <c r="M4" s="110"/>
      <c r="N4" s="110"/>
      <c r="O4" s="110"/>
      <c r="P4" s="110"/>
      <c r="Q4" s="110"/>
      <c r="R4" s="110"/>
      <c r="S4" s="110"/>
      <c r="T4" s="110"/>
      <c r="U4" s="110"/>
      <c r="V4" s="110"/>
      <c r="W4" s="110"/>
      <c r="X4" s="110"/>
      <c r="Y4" s="110"/>
      <c r="Z4" s="110"/>
      <c r="AA4" s="110"/>
      <c r="AB4" s="111"/>
    </row>
    <row r="5" spans="1:38" x14ac:dyDescent="0.3">
      <c r="A5" s="129"/>
      <c r="B5" s="129"/>
      <c r="C5" s="110"/>
      <c r="D5" s="110"/>
      <c r="E5" s="110"/>
      <c r="F5" s="110"/>
      <c r="G5" s="110"/>
      <c r="H5" s="110"/>
      <c r="I5" s="110"/>
      <c r="J5" s="110"/>
      <c r="K5" s="110"/>
      <c r="L5" s="110"/>
      <c r="M5" s="110"/>
      <c r="N5" s="110"/>
      <c r="O5" s="110"/>
      <c r="P5" s="110"/>
      <c r="Q5" s="110"/>
      <c r="R5" s="110"/>
      <c r="S5" s="110"/>
      <c r="T5" s="110"/>
      <c r="U5" s="110"/>
      <c r="V5" s="110"/>
      <c r="W5" s="110"/>
      <c r="X5" s="110"/>
      <c r="Y5" s="110"/>
      <c r="Z5" s="110"/>
      <c r="AA5" s="110"/>
      <c r="AB5" s="111"/>
    </row>
    <row r="6" spans="1:38" x14ac:dyDescent="0.3">
      <c r="A6" s="129"/>
      <c r="B6" s="129"/>
      <c r="C6" s="110"/>
      <c r="D6" s="110"/>
      <c r="E6" s="110"/>
      <c r="F6" s="110"/>
      <c r="G6" s="110"/>
      <c r="H6" s="110"/>
      <c r="I6" s="110"/>
      <c r="J6" s="110"/>
      <c r="K6" s="110"/>
      <c r="L6" s="110"/>
      <c r="M6" s="110"/>
      <c r="N6" s="110"/>
      <c r="O6" s="110"/>
      <c r="P6" s="110"/>
      <c r="Q6" s="110"/>
      <c r="R6" s="110"/>
      <c r="S6" s="110"/>
      <c r="T6" s="110"/>
      <c r="U6" s="110"/>
      <c r="V6" s="110"/>
      <c r="W6" s="110"/>
      <c r="X6" s="110"/>
      <c r="Y6" s="110"/>
      <c r="Z6" s="110"/>
      <c r="AA6" s="110"/>
      <c r="AB6" s="111"/>
    </row>
    <row r="7" spans="1:38" x14ac:dyDescent="0.3">
      <c r="A7" s="129"/>
      <c r="B7" s="129"/>
      <c r="C7" s="110"/>
      <c r="D7" s="110"/>
      <c r="E7" s="110"/>
      <c r="F7" s="110"/>
      <c r="G7" s="110"/>
      <c r="H7" s="110"/>
      <c r="I7" s="110"/>
      <c r="J7" s="110"/>
      <c r="K7" s="110"/>
      <c r="L7" s="110"/>
      <c r="M7" s="110"/>
      <c r="N7" s="110"/>
      <c r="O7" s="110"/>
      <c r="P7" s="110"/>
      <c r="Q7" s="110"/>
      <c r="R7" s="110"/>
      <c r="S7" s="110"/>
      <c r="T7" s="110"/>
      <c r="U7" s="110"/>
      <c r="V7" s="110"/>
      <c r="W7" s="110"/>
      <c r="X7" s="110"/>
      <c r="Y7" s="110"/>
      <c r="Z7" s="110"/>
      <c r="AA7" s="110"/>
      <c r="AB7" s="111"/>
    </row>
    <row r="8" spans="1:38" x14ac:dyDescent="0.3">
      <c r="A8" s="129"/>
      <c r="B8" s="129"/>
      <c r="C8" s="110"/>
      <c r="D8" s="110"/>
      <c r="E8" s="110"/>
      <c r="F8" s="110"/>
      <c r="G8" s="110"/>
      <c r="H8" s="110"/>
      <c r="I8" s="110"/>
      <c r="J8" s="110"/>
      <c r="K8" s="110"/>
      <c r="L8" s="110"/>
      <c r="M8" s="110"/>
      <c r="N8" s="110"/>
      <c r="O8" s="110"/>
      <c r="P8" s="110"/>
      <c r="Q8" s="110"/>
      <c r="R8" s="110"/>
      <c r="S8" s="110"/>
      <c r="T8" s="110"/>
      <c r="U8" s="110"/>
      <c r="V8" s="110"/>
      <c r="W8" s="110"/>
      <c r="X8" s="110"/>
      <c r="Y8" s="110"/>
      <c r="Z8" s="110"/>
      <c r="AA8" s="110"/>
      <c r="AB8" s="111"/>
    </row>
    <row r="9" spans="1:38" x14ac:dyDescent="0.3">
      <c r="A9" s="129"/>
      <c r="B9" s="129"/>
      <c r="C9" s="110"/>
      <c r="D9" s="110"/>
      <c r="E9" s="110"/>
      <c r="F9" s="110"/>
      <c r="G9" s="110"/>
      <c r="H9" s="110"/>
      <c r="I9" s="110"/>
      <c r="J9" s="110"/>
      <c r="K9" s="110"/>
      <c r="L9" s="110"/>
      <c r="M9" s="110"/>
      <c r="N9" s="110"/>
      <c r="O9" s="110"/>
      <c r="P9" s="110"/>
      <c r="Q9" s="110"/>
      <c r="R9" s="110"/>
      <c r="S9" s="110"/>
      <c r="T9" s="110"/>
      <c r="U9" s="110"/>
      <c r="V9" s="110"/>
      <c r="W9" s="110"/>
      <c r="X9" s="110"/>
      <c r="Y9" s="110"/>
      <c r="Z9" s="110"/>
      <c r="AA9" s="110"/>
      <c r="AB9" s="111"/>
    </row>
    <row r="10" spans="1:38" x14ac:dyDescent="0.3">
      <c r="A10" s="110"/>
      <c r="B10" s="110"/>
      <c r="C10" s="110"/>
      <c r="D10" s="110"/>
      <c r="E10" s="110"/>
      <c r="F10" s="110"/>
      <c r="G10" s="110"/>
      <c r="H10" s="110"/>
      <c r="I10" s="110"/>
      <c r="J10" s="110"/>
      <c r="K10" s="110"/>
      <c r="L10" s="110"/>
      <c r="M10" s="110"/>
      <c r="N10" s="110"/>
      <c r="O10" s="110"/>
      <c r="P10" s="110"/>
      <c r="Q10" s="110"/>
      <c r="R10" s="110"/>
      <c r="S10" s="110"/>
      <c r="T10" s="110"/>
      <c r="U10" s="110"/>
      <c r="V10" s="110"/>
      <c r="W10" s="110"/>
      <c r="X10" s="110"/>
      <c r="Y10" s="110"/>
      <c r="Z10" s="110"/>
      <c r="AA10" s="110"/>
      <c r="AB10" s="111"/>
    </row>
    <row r="11" spans="1:38" x14ac:dyDescent="0.3">
      <c r="A11" s="110"/>
      <c r="B11" s="110"/>
      <c r="C11" s="110"/>
      <c r="D11" s="110"/>
      <c r="E11" s="110"/>
      <c r="F11" s="110"/>
      <c r="G11" s="110"/>
      <c r="H11" s="110"/>
      <c r="I11" s="110"/>
      <c r="J11" s="110"/>
      <c r="K11" s="110"/>
      <c r="L11" s="110"/>
      <c r="M11" s="110"/>
      <c r="N11" s="110"/>
      <c r="O11" s="110"/>
      <c r="P11" s="110"/>
      <c r="Q11" s="110"/>
      <c r="R11" s="110"/>
      <c r="S11" s="110"/>
      <c r="T11" s="110"/>
      <c r="U11" s="110"/>
      <c r="V11" s="110"/>
      <c r="W11" s="110"/>
      <c r="X11" s="110"/>
      <c r="Y11" s="110"/>
      <c r="Z11" s="110"/>
      <c r="AA11" s="110"/>
      <c r="AB11" s="111"/>
    </row>
    <row r="12" spans="1:38" x14ac:dyDescent="0.3">
      <c r="A12" s="110"/>
      <c r="B12" s="110"/>
      <c r="C12" s="110"/>
      <c r="D12" s="110"/>
      <c r="E12" s="110"/>
      <c r="F12" s="110"/>
      <c r="G12" s="110"/>
      <c r="H12" s="110"/>
      <c r="I12" s="110"/>
      <c r="J12" s="110"/>
      <c r="K12" s="110"/>
      <c r="L12" s="110"/>
      <c r="M12" s="110"/>
      <c r="N12" s="110"/>
      <c r="O12" s="110"/>
      <c r="P12" s="110"/>
      <c r="Q12" s="110"/>
      <c r="R12" s="110"/>
      <c r="S12" s="110"/>
      <c r="T12" s="110"/>
      <c r="U12" s="110"/>
      <c r="V12" s="110"/>
      <c r="W12" s="110"/>
      <c r="X12" s="110"/>
      <c r="Y12" s="110"/>
      <c r="Z12" s="110"/>
      <c r="AA12" s="110"/>
      <c r="AB12" s="111"/>
    </row>
    <row r="13" spans="1:38" x14ac:dyDescent="0.3">
      <c r="A13" s="110"/>
      <c r="B13" s="110"/>
      <c r="C13" s="110"/>
      <c r="D13" s="110"/>
      <c r="E13" s="110"/>
      <c r="F13" s="110"/>
      <c r="G13" s="110"/>
      <c r="H13" s="110"/>
      <c r="I13" s="110"/>
      <c r="J13" s="110"/>
      <c r="K13" s="110"/>
      <c r="L13" s="110"/>
      <c r="M13" s="110"/>
      <c r="N13" s="110"/>
      <c r="O13" s="110"/>
      <c r="P13" s="110"/>
      <c r="Q13" s="110"/>
      <c r="R13" s="110"/>
      <c r="S13" s="110"/>
      <c r="T13" s="110"/>
      <c r="U13" s="110"/>
      <c r="V13" s="110"/>
      <c r="W13" s="110"/>
      <c r="X13" s="110"/>
      <c r="Y13" s="110"/>
      <c r="Z13" s="110"/>
      <c r="AA13" s="110"/>
      <c r="AB13" s="111"/>
    </row>
    <row r="14" spans="1:38" x14ac:dyDescent="0.3">
      <c r="A14" s="110"/>
      <c r="B14" s="110"/>
      <c r="C14" s="110"/>
      <c r="D14" s="110"/>
      <c r="E14" s="110"/>
      <c r="F14" s="110"/>
      <c r="G14" s="110"/>
      <c r="H14" s="110"/>
      <c r="I14" s="110"/>
      <c r="J14" s="110"/>
      <c r="K14" s="110"/>
      <c r="L14" s="110"/>
      <c r="M14" s="110"/>
      <c r="N14" s="110"/>
      <c r="O14" s="110"/>
      <c r="P14" s="110"/>
      <c r="Q14" s="110"/>
      <c r="R14" s="110"/>
      <c r="S14" s="110"/>
      <c r="T14" s="110"/>
      <c r="U14" s="110"/>
      <c r="V14" s="110"/>
      <c r="W14" s="110"/>
      <c r="X14" s="110"/>
      <c r="Y14" s="110"/>
      <c r="Z14" s="110"/>
      <c r="AA14" s="110"/>
      <c r="AB14" s="111"/>
    </row>
    <row r="15" spans="1:38" x14ac:dyDescent="0.3">
      <c r="A15" s="110"/>
      <c r="B15" s="110"/>
      <c r="C15" s="110"/>
      <c r="D15" s="110"/>
      <c r="E15" s="110"/>
      <c r="F15" s="110"/>
      <c r="G15" s="110"/>
      <c r="H15" s="110"/>
      <c r="I15" s="110"/>
      <c r="J15" s="110"/>
      <c r="K15" s="110"/>
      <c r="L15" s="110"/>
      <c r="M15" s="110"/>
      <c r="N15" s="110"/>
      <c r="O15" s="110"/>
      <c r="P15" s="110"/>
      <c r="Q15" s="110"/>
      <c r="R15" s="110"/>
      <c r="S15" s="110"/>
      <c r="T15" s="110"/>
      <c r="U15" s="110"/>
      <c r="V15" s="110"/>
      <c r="W15" s="110"/>
      <c r="X15" s="110"/>
      <c r="Y15" s="110"/>
      <c r="Z15" s="110"/>
      <c r="AA15" s="110"/>
      <c r="AB15" s="111"/>
    </row>
    <row r="16" spans="1:38" x14ac:dyDescent="0.3">
      <c r="A16" s="110"/>
      <c r="B16" s="110"/>
      <c r="C16" s="110"/>
      <c r="D16" s="110"/>
      <c r="E16" s="110"/>
      <c r="F16" s="110"/>
      <c r="G16" s="110"/>
      <c r="H16" s="110"/>
      <c r="I16" s="110"/>
      <c r="J16" s="110"/>
      <c r="K16" s="110"/>
      <c r="L16" s="110"/>
      <c r="M16" s="110"/>
      <c r="N16" s="110"/>
      <c r="O16" s="110"/>
      <c r="P16" s="110"/>
      <c r="Q16" s="110"/>
      <c r="R16" s="110"/>
      <c r="S16" s="110"/>
      <c r="T16" s="110"/>
      <c r="U16" s="110"/>
      <c r="V16" s="110"/>
      <c r="W16" s="110"/>
      <c r="X16" s="110"/>
      <c r="Y16" s="110"/>
      <c r="Z16" s="110"/>
      <c r="AA16" s="110"/>
      <c r="AB16" s="111"/>
    </row>
    <row r="17" spans="1:28" x14ac:dyDescent="0.3">
      <c r="A17" s="110"/>
      <c r="B17" s="110"/>
      <c r="C17" s="110"/>
      <c r="D17" s="110"/>
      <c r="E17" s="110"/>
      <c r="F17" s="110"/>
      <c r="G17" s="110"/>
      <c r="H17" s="110"/>
      <c r="I17" s="110"/>
      <c r="J17" s="110"/>
      <c r="K17" s="110"/>
      <c r="L17" s="110"/>
      <c r="M17" s="110"/>
      <c r="N17" s="110"/>
      <c r="O17" s="110"/>
      <c r="P17" s="110"/>
      <c r="Q17" s="110"/>
      <c r="R17" s="110"/>
      <c r="S17" s="110"/>
      <c r="T17" s="110"/>
      <c r="U17" s="110"/>
      <c r="V17" s="110"/>
      <c r="W17" s="110"/>
      <c r="X17" s="110"/>
      <c r="Y17" s="110"/>
      <c r="Z17" s="110"/>
      <c r="AA17" s="110"/>
      <c r="AB17" s="111"/>
    </row>
    <row r="18" spans="1:28" x14ac:dyDescent="0.3">
      <c r="A18" s="110"/>
      <c r="B18" s="110"/>
      <c r="C18" s="110"/>
      <c r="D18" s="110"/>
      <c r="E18" s="110"/>
      <c r="F18" s="110"/>
      <c r="G18" s="110"/>
      <c r="H18" s="110"/>
      <c r="I18" s="110"/>
      <c r="J18" s="110"/>
      <c r="K18" s="110"/>
      <c r="L18" s="110"/>
      <c r="M18" s="110"/>
      <c r="N18" s="110"/>
      <c r="O18" s="110"/>
      <c r="P18" s="110"/>
      <c r="Q18" s="110"/>
      <c r="R18" s="110"/>
      <c r="S18" s="110"/>
      <c r="T18" s="110"/>
      <c r="U18" s="110"/>
      <c r="V18" s="110"/>
      <c r="W18" s="110"/>
      <c r="X18" s="110"/>
      <c r="Y18" s="110"/>
      <c r="Z18" s="110"/>
      <c r="AA18" s="110"/>
      <c r="AB18" s="111"/>
    </row>
    <row r="19" spans="1:28" x14ac:dyDescent="0.3">
      <c r="A19" s="110"/>
      <c r="B19" s="110"/>
      <c r="C19" s="110"/>
      <c r="D19" s="110"/>
      <c r="E19" s="110"/>
      <c r="F19" s="110"/>
      <c r="G19" s="110"/>
      <c r="H19" s="110"/>
      <c r="I19" s="110"/>
      <c r="J19" s="110"/>
      <c r="K19" s="110"/>
      <c r="L19" s="110"/>
      <c r="M19" s="110"/>
      <c r="N19" s="110"/>
      <c r="O19" s="110"/>
      <c r="P19" s="110"/>
      <c r="Q19" s="110"/>
      <c r="R19" s="110"/>
      <c r="S19" s="110"/>
      <c r="T19" s="110"/>
      <c r="U19" s="110"/>
      <c r="V19" s="110"/>
      <c r="W19" s="110"/>
      <c r="X19" s="110"/>
      <c r="Y19" s="110"/>
      <c r="Z19" s="110"/>
      <c r="AA19" s="110"/>
      <c r="AB19" s="111"/>
    </row>
    <row r="20" spans="1:28" x14ac:dyDescent="0.3">
      <c r="A20" s="110"/>
      <c r="B20" s="110"/>
      <c r="C20" s="110"/>
      <c r="D20" s="110"/>
      <c r="E20" s="110"/>
      <c r="F20" s="110"/>
      <c r="G20" s="110"/>
      <c r="H20" s="110"/>
      <c r="I20" s="110"/>
      <c r="J20" s="110"/>
      <c r="K20" s="110"/>
      <c r="L20" s="110"/>
      <c r="M20" s="110"/>
      <c r="N20" s="110"/>
      <c r="O20" s="110"/>
      <c r="P20" s="110"/>
      <c r="Q20" s="110"/>
      <c r="R20" s="110"/>
      <c r="S20" s="110"/>
      <c r="T20" s="110"/>
      <c r="U20" s="110"/>
      <c r="V20" s="110"/>
      <c r="W20" s="110"/>
      <c r="X20" s="110"/>
      <c r="Y20" s="110"/>
      <c r="Z20" s="110"/>
      <c r="AA20" s="110"/>
      <c r="AB20" s="111"/>
    </row>
    <row r="21" spans="1:28" x14ac:dyDescent="0.3">
      <c r="A21" s="110"/>
      <c r="B21" s="110"/>
      <c r="C21" s="110"/>
      <c r="D21" s="110"/>
      <c r="E21" s="110"/>
      <c r="F21" s="110"/>
      <c r="G21" s="110"/>
      <c r="H21" s="110"/>
      <c r="I21" s="110"/>
      <c r="J21" s="110"/>
      <c r="K21" s="110"/>
      <c r="L21" s="110"/>
      <c r="M21" s="110"/>
      <c r="N21" s="110"/>
      <c r="O21" s="110"/>
      <c r="P21" s="110"/>
      <c r="Q21" s="110"/>
      <c r="R21" s="110"/>
      <c r="S21" s="110"/>
      <c r="T21" s="110"/>
      <c r="U21" s="110"/>
      <c r="V21" s="110"/>
      <c r="W21" s="110"/>
      <c r="X21" s="110"/>
      <c r="Y21" s="110"/>
      <c r="Z21" s="110"/>
      <c r="AA21" s="110"/>
      <c r="AB21" s="111"/>
    </row>
    <row r="22" spans="1:28" x14ac:dyDescent="0.3">
      <c r="A22" s="110"/>
      <c r="B22" s="110"/>
      <c r="C22" s="110"/>
      <c r="D22" s="110"/>
      <c r="E22" s="110"/>
      <c r="F22" s="110"/>
      <c r="G22" s="110"/>
      <c r="H22" s="110"/>
      <c r="I22" s="110"/>
      <c r="J22" s="110"/>
      <c r="K22" s="110"/>
      <c r="L22" s="110"/>
      <c r="M22" s="110"/>
      <c r="N22" s="110"/>
      <c r="O22" s="110"/>
      <c r="P22" s="110"/>
      <c r="Q22" s="110"/>
      <c r="R22" s="110"/>
      <c r="S22" s="110"/>
      <c r="T22" s="110"/>
      <c r="U22" s="110"/>
      <c r="V22" s="110"/>
      <c r="W22" s="110"/>
      <c r="X22" s="110"/>
      <c r="Y22" s="110"/>
      <c r="Z22" s="110"/>
      <c r="AA22" s="110"/>
      <c r="AB22" s="111"/>
    </row>
    <row r="23" spans="1:28" x14ac:dyDescent="0.3">
      <c r="A23" s="110"/>
      <c r="B23" s="110"/>
      <c r="C23" s="110"/>
      <c r="D23" s="110"/>
      <c r="E23" s="110"/>
      <c r="F23" s="110"/>
      <c r="G23" s="110"/>
      <c r="H23" s="110"/>
      <c r="I23" s="110"/>
      <c r="J23" s="110"/>
      <c r="K23" s="110"/>
      <c r="L23" s="110"/>
      <c r="M23" s="110"/>
      <c r="N23" s="110"/>
      <c r="O23" s="110"/>
      <c r="P23" s="110"/>
      <c r="Q23" s="110"/>
      <c r="R23" s="110"/>
      <c r="S23" s="110"/>
      <c r="T23" s="110"/>
      <c r="U23" s="110"/>
      <c r="V23" s="110"/>
      <c r="W23" s="110"/>
      <c r="X23" s="110"/>
      <c r="Y23" s="110"/>
      <c r="Z23" s="110"/>
      <c r="AA23" s="110"/>
      <c r="AB23" s="111"/>
    </row>
    <row r="24" spans="1:28" x14ac:dyDescent="0.3">
      <c r="A24" s="110"/>
      <c r="B24" s="110"/>
      <c r="C24" s="110"/>
      <c r="D24" s="110"/>
      <c r="E24" s="110"/>
      <c r="F24" s="110"/>
      <c r="G24" s="110"/>
      <c r="H24" s="110"/>
      <c r="I24" s="110"/>
      <c r="J24" s="110"/>
      <c r="K24" s="110"/>
      <c r="L24" s="110"/>
      <c r="M24" s="110"/>
      <c r="N24" s="110"/>
      <c r="O24" s="110"/>
      <c r="P24" s="110"/>
      <c r="Q24" s="110"/>
      <c r="R24" s="110"/>
      <c r="S24" s="110"/>
      <c r="T24" s="110"/>
      <c r="U24" s="110"/>
      <c r="V24" s="110"/>
      <c r="W24" s="110"/>
      <c r="X24" s="110"/>
      <c r="Y24" s="110"/>
      <c r="Z24" s="110"/>
      <c r="AA24" s="110"/>
      <c r="AB24" s="111"/>
    </row>
    <row r="25" spans="1:28" x14ac:dyDescent="0.3">
      <c r="A25" s="110"/>
      <c r="B25" s="110"/>
      <c r="C25" s="110"/>
      <c r="D25" s="110"/>
      <c r="E25" s="110"/>
      <c r="F25" s="110"/>
      <c r="G25" s="110"/>
      <c r="H25" s="110"/>
      <c r="I25" s="110"/>
      <c r="J25" s="110"/>
      <c r="K25" s="110"/>
      <c r="L25" s="110"/>
      <c r="M25" s="110"/>
      <c r="N25" s="110"/>
      <c r="O25" s="110"/>
      <c r="P25" s="110"/>
      <c r="Q25" s="110"/>
      <c r="R25" s="110"/>
      <c r="S25" s="110"/>
      <c r="T25" s="110"/>
      <c r="U25" s="110"/>
      <c r="V25" s="110"/>
      <c r="W25" s="110"/>
      <c r="X25" s="110"/>
      <c r="Y25" s="110"/>
      <c r="Z25" s="110"/>
      <c r="AA25" s="110"/>
      <c r="AB25" s="111"/>
    </row>
    <row r="26" spans="1:28" x14ac:dyDescent="0.3">
      <c r="A26" s="110"/>
      <c r="B26" s="110"/>
      <c r="C26" s="110"/>
      <c r="D26" s="110"/>
      <c r="E26" s="110"/>
      <c r="F26" s="110"/>
      <c r="G26" s="110"/>
      <c r="H26" s="110"/>
      <c r="I26" s="110"/>
      <c r="J26" s="110"/>
      <c r="K26" s="110"/>
      <c r="L26" s="110"/>
      <c r="M26" s="110"/>
      <c r="N26" s="110"/>
      <c r="O26" s="110"/>
      <c r="P26" s="110"/>
      <c r="Q26" s="110"/>
      <c r="R26" s="110"/>
      <c r="S26" s="110"/>
      <c r="T26" s="110"/>
      <c r="U26" s="110"/>
      <c r="V26" s="110"/>
      <c r="W26" s="110"/>
      <c r="X26" s="110"/>
      <c r="Y26" s="110"/>
      <c r="Z26" s="110"/>
      <c r="AA26" s="110"/>
      <c r="AB26" s="111"/>
    </row>
    <row r="27" spans="1:28" x14ac:dyDescent="0.3">
      <c r="A27" s="110"/>
      <c r="B27" s="110"/>
      <c r="C27" s="110"/>
      <c r="D27" s="110"/>
      <c r="E27" s="110"/>
      <c r="F27" s="110"/>
      <c r="G27" s="110"/>
      <c r="H27" s="110"/>
      <c r="I27" s="110"/>
      <c r="J27" s="110"/>
      <c r="K27" s="110"/>
      <c r="L27" s="110"/>
      <c r="M27" s="110"/>
      <c r="N27" s="110"/>
      <c r="O27" s="110"/>
      <c r="P27" s="110"/>
      <c r="Q27" s="110"/>
      <c r="R27" s="110"/>
      <c r="S27" s="110"/>
      <c r="T27" s="110"/>
      <c r="U27" s="110"/>
      <c r="V27" s="110"/>
      <c r="W27" s="110"/>
      <c r="X27" s="110"/>
      <c r="Y27" s="110"/>
      <c r="Z27" s="110"/>
      <c r="AA27" s="110"/>
      <c r="AB27" s="111"/>
    </row>
    <row r="28" spans="1:28" x14ac:dyDescent="0.3">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c r="Y28" s="110"/>
      <c r="Z28" s="110"/>
      <c r="AA28" s="110"/>
      <c r="AB28" s="111"/>
    </row>
    <row r="29" spans="1:28" x14ac:dyDescent="0.3">
      <c r="A29" s="110"/>
      <c r="B29" s="110"/>
      <c r="C29" s="110"/>
      <c r="D29" s="110"/>
      <c r="E29" s="110"/>
      <c r="F29" s="110"/>
      <c r="G29" s="110"/>
      <c r="H29" s="110"/>
      <c r="I29" s="110"/>
      <c r="J29" s="110"/>
      <c r="K29" s="110"/>
      <c r="L29" s="110"/>
      <c r="M29" s="110"/>
      <c r="N29" s="110"/>
      <c r="O29" s="110"/>
      <c r="P29" s="110"/>
      <c r="Q29" s="110"/>
      <c r="R29" s="110"/>
      <c r="S29" s="110"/>
      <c r="T29" s="110"/>
      <c r="U29" s="110"/>
      <c r="V29" s="110"/>
      <c r="W29" s="110"/>
      <c r="X29" s="110"/>
      <c r="Y29" s="110"/>
      <c r="Z29" s="110"/>
      <c r="AA29" s="110"/>
      <c r="AB29" s="111"/>
    </row>
    <row r="30" spans="1:28" x14ac:dyDescent="0.3">
      <c r="A30" s="110"/>
      <c r="B30" s="110"/>
      <c r="C30" s="110"/>
      <c r="D30" s="110"/>
      <c r="E30" s="110"/>
      <c r="F30" s="110"/>
      <c r="G30" s="110"/>
      <c r="H30" s="110"/>
      <c r="I30" s="110"/>
      <c r="J30" s="110"/>
      <c r="K30" s="110"/>
      <c r="L30" s="110"/>
      <c r="M30" s="110"/>
      <c r="N30" s="110"/>
      <c r="O30" s="110"/>
      <c r="P30" s="110"/>
      <c r="Q30" s="110"/>
      <c r="R30" s="110"/>
      <c r="S30" s="110"/>
      <c r="T30" s="110"/>
      <c r="U30" s="110"/>
      <c r="V30" s="110"/>
      <c r="W30" s="110"/>
      <c r="X30" s="110"/>
      <c r="Y30" s="110"/>
      <c r="Z30" s="110"/>
      <c r="AA30" s="110"/>
      <c r="AB30" s="111"/>
    </row>
    <row r="31" spans="1:28" x14ac:dyDescent="0.3">
      <c r="A31" s="110"/>
      <c r="B31" s="110"/>
      <c r="C31" s="110"/>
      <c r="D31" s="110"/>
      <c r="E31" s="110"/>
      <c r="F31" s="110"/>
      <c r="G31" s="110"/>
      <c r="H31" s="110"/>
      <c r="I31" s="110"/>
      <c r="J31" s="110"/>
      <c r="K31" s="110"/>
      <c r="L31" s="110"/>
      <c r="M31" s="110"/>
      <c r="N31" s="110"/>
      <c r="O31" s="110"/>
      <c r="P31" s="110"/>
      <c r="Q31" s="110"/>
      <c r="R31" s="110"/>
      <c r="S31" s="110"/>
      <c r="T31" s="110"/>
      <c r="U31" s="110"/>
      <c r="V31" s="110"/>
      <c r="W31" s="110"/>
      <c r="X31" s="110"/>
      <c r="Y31" s="110"/>
      <c r="Z31" s="110"/>
      <c r="AA31" s="110"/>
      <c r="AB31" s="111"/>
    </row>
    <row r="32" spans="1:28" x14ac:dyDescent="0.3">
      <c r="A32" s="110"/>
      <c r="B32" s="110"/>
      <c r="C32" s="110"/>
      <c r="D32" s="110"/>
      <c r="E32" s="110"/>
      <c r="F32" s="110"/>
      <c r="G32" s="110"/>
      <c r="H32" s="110"/>
      <c r="I32" s="110"/>
      <c r="J32" s="110"/>
      <c r="K32" s="110"/>
      <c r="L32" s="110"/>
      <c r="M32" s="110"/>
      <c r="N32" s="110"/>
      <c r="O32" s="110"/>
      <c r="P32" s="110"/>
      <c r="Q32" s="110"/>
      <c r="R32" s="110"/>
      <c r="S32" s="110"/>
      <c r="T32" s="110"/>
      <c r="U32" s="110"/>
      <c r="V32" s="110"/>
      <c r="W32" s="110"/>
      <c r="X32" s="110"/>
      <c r="Y32" s="110"/>
      <c r="Z32" s="110"/>
      <c r="AA32" s="110"/>
      <c r="AB32" s="111"/>
    </row>
    <row r="33" spans="1:28" x14ac:dyDescent="0.3">
      <c r="A33" s="110"/>
      <c r="B33" s="110"/>
      <c r="C33" s="110"/>
      <c r="D33" s="110"/>
      <c r="E33" s="110"/>
      <c r="F33" s="110"/>
      <c r="G33" s="110"/>
      <c r="H33" s="110"/>
      <c r="I33" s="110"/>
      <c r="J33" s="110"/>
      <c r="K33" s="110"/>
      <c r="L33" s="110"/>
      <c r="M33" s="110"/>
      <c r="N33" s="110"/>
      <c r="O33" s="110"/>
      <c r="P33" s="110"/>
      <c r="Q33" s="110"/>
      <c r="R33" s="110"/>
      <c r="S33" s="110"/>
      <c r="T33" s="110"/>
      <c r="U33" s="110"/>
      <c r="V33" s="110"/>
      <c r="W33" s="110"/>
      <c r="X33" s="110"/>
      <c r="Y33" s="110"/>
      <c r="Z33" s="110"/>
      <c r="AA33" s="110"/>
      <c r="AB33" s="111"/>
    </row>
    <row r="34" spans="1:28" x14ac:dyDescent="0.3">
      <c r="A34" s="110"/>
      <c r="B34" s="110"/>
      <c r="C34" s="110"/>
      <c r="D34" s="110"/>
      <c r="E34" s="110"/>
      <c r="F34" s="110"/>
      <c r="G34" s="110"/>
      <c r="H34" s="110"/>
      <c r="I34" s="110"/>
      <c r="J34" s="110"/>
      <c r="K34" s="110"/>
      <c r="L34" s="110"/>
      <c r="M34" s="110"/>
      <c r="N34" s="110"/>
      <c r="O34" s="110"/>
      <c r="P34" s="110"/>
      <c r="Q34" s="110"/>
      <c r="R34" s="110"/>
      <c r="S34" s="110"/>
      <c r="T34" s="110"/>
      <c r="U34" s="110"/>
      <c r="V34" s="110"/>
      <c r="W34" s="110"/>
      <c r="X34" s="110"/>
      <c r="Y34" s="110"/>
      <c r="Z34" s="110"/>
      <c r="AA34" s="110"/>
      <c r="AB34" s="111"/>
    </row>
    <row r="35" spans="1:28" x14ac:dyDescent="0.3">
      <c r="A35" s="110"/>
      <c r="B35" s="110"/>
      <c r="C35" s="110"/>
      <c r="D35" s="110"/>
      <c r="E35" s="110"/>
      <c r="F35" s="110"/>
      <c r="G35" s="110"/>
      <c r="H35" s="110"/>
      <c r="I35" s="110"/>
      <c r="J35" s="110"/>
      <c r="K35" s="110"/>
      <c r="L35" s="110"/>
      <c r="M35" s="110"/>
      <c r="N35" s="110"/>
      <c r="O35" s="110"/>
      <c r="P35" s="110"/>
      <c r="Q35" s="110"/>
      <c r="R35" s="110"/>
      <c r="S35" s="110"/>
      <c r="T35" s="110"/>
      <c r="U35" s="110"/>
      <c r="V35" s="110"/>
      <c r="W35" s="110"/>
      <c r="X35" s="110"/>
      <c r="Y35" s="110"/>
      <c r="Z35" s="110"/>
      <c r="AA35" s="110"/>
      <c r="AB35" s="111"/>
    </row>
    <row r="36" spans="1:28" x14ac:dyDescent="0.3">
      <c r="A36" s="110"/>
      <c r="B36" s="110"/>
      <c r="C36" s="110"/>
      <c r="D36" s="110"/>
      <c r="E36" s="110"/>
      <c r="F36" s="110"/>
      <c r="G36" s="110"/>
      <c r="H36" s="110"/>
      <c r="I36" s="110"/>
      <c r="J36" s="110"/>
      <c r="K36" s="110"/>
      <c r="L36" s="110"/>
      <c r="M36" s="110"/>
      <c r="N36" s="110"/>
      <c r="O36" s="110"/>
      <c r="P36" s="110"/>
      <c r="Q36" s="110"/>
      <c r="R36" s="110"/>
      <c r="S36" s="110"/>
      <c r="T36" s="110"/>
      <c r="U36" s="110"/>
      <c r="V36" s="110"/>
      <c r="W36" s="110"/>
      <c r="X36" s="110"/>
      <c r="Y36" s="110"/>
      <c r="Z36" s="110"/>
      <c r="AA36" s="110"/>
      <c r="AB36" s="111"/>
    </row>
    <row r="37" spans="1:28" x14ac:dyDescent="0.3">
      <c r="A37" s="110"/>
      <c r="B37" s="110"/>
      <c r="C37" s="110"/>
      <c r="D37" s="110"/>
      <c r="E37" s="110"/>
      <c r="F37" s="110"/>
      <c r="G37" s="110"/>
      <c r="H37" s="110"/>
      <c r="I37" s="110"/>
      <c r="J37" s="110"/>
      <c r="K37" s="110"/>
      <c r="L37" s="110"/>
      <c r="M37" s="110"/>
      <c r="N37" s="110"/>
      <c r="O37" s="110"/>
      <c r="P37" s="110"/>
      <c r="Q37" s="110"/>
      <c r="R37" s="110"/>
      <c r="S37" s="110"/>
      <c r="T37" s="110"/>
      <c r="U37" s="110"/>
      <c r="V37" s="110"/>
      <c r="W37" s="110"/>
      <c r="X37" s="110"/>
      <c r="Y37" s="110"/>
      <c r="Z37" s="110"/>
      <c r="AA37" s="110"/>
      <c r="AB37" s="111"/>
    </row>
    <row r="38" spans="1:28" x14ac:dyDescent="0.3">
      <c r="A38" s="110"/>
      <c r="B38" s="110"/>
      <c r="C38" s="110"/>
      <c r="D38" s="110"/>
      <c r="E38" s="110"/>
      <c r="F38" s="110"/>
      <c r="G38" s="110"/>
      <c r="H38" s="110"/>
      <c r="I38" s="110"/>
      <c r="J38" s="110"/>
      <c r="K38" s="110"/>
      <c r="L38" s="110"/>
      <c r="M38" s="110"/>
      <c r="N38" s="110"/>
      <c r="O38" s="110"/>
      <c r="P38" s="110"/>
      <c r="Q38" s="110"/>
      <c r="R38" s="110"/>
      <c r="S38" s="110"/>
      <c r="T38" s="110"/>
      <c r="U38" s="110"/>
      <c r="V38" s="110"/>
      <c r="W38" s="110"/>
      <c r="X38" s="110"/>
      <c r="Y38" s="110"/>
      <c r="Z38" s="110"/>
      <c r="AA38" s="110"/>
      <c r="AB38" s="111"/>
    </row>
    <row r="39" spans="1:28" x14ac:dyDescent="0.3">
      <c r="A39" s="110"/>
      <c r="B39" s="110"/>
      <c r="C39" s="110"/>
      <c r="D39" s="110"/>
      <c r="E39" s="110"/>
      <c r="F39" s="110"/>
      <c r="G39" s="110"/>
      <c r="H39" s="110"/>
      <c r="I39" s="110"/>
      <c r="J39" s="110"/>
      <c r="K39" s="110"/>
      <c r="L39" s="110"/>
      <c r="M39" s="110"/>
      <c r="N39" s="110"/>
      <c r="O39" s="110"/>
      <c r="P39" s="110"/>
      <c r="Q39" s="110"/>
      <c r="R39" s="110"/>
      <c r="S39" s="110"/>
      <c r="T39" s="110"/>
      <c r="U39" s="110"/>
      <c r="V39" s="110"/>
      <c r="W39" s="110"/>
      <c r="X39" s="110"/>
      <c r="Y39" s="110"/>
      <c r="Z39" s="110"/>
      <c r="AA39" s="110"/>
      <c r="AB39" s="111"/>
    </row>
    <row r="40" spans="1:28" x14ac:dyDescent="0.3">
      <c r="A40" s="110"/>
      <c r="B40" s="110"/>
      <c r="C40" s="110"/>
      <c r="D40" s="110"/>
      <c r="E40" s="110"/>
      <c r="F40" s="110"/>
      <c r="G40" s="110"/>
      <c r="H40" s="110"/>
      <c r="I40" s="110"/>
      <c r="J40" s="110"/>
      <c r="K40" s="110"/>
      <c r="L40" s="110"/>
      <c r="M40" s="110"/>
      <c r="N40" s="110"/>
      <c r="O40" s="110"/>
      <c r="P40" s="110"/>
      <c r="Q40" s="110"/>
      <c r="R40" s="110"/>
      <c r="S40" s="110"/>
      <c r="T40" s="110"/>
      <c r="U40" s="110"/>
      <c r="V40" s="110"/>
      <c r="W40" s="110"/>
      <c r="X40" s="110"/>
      <c r="Y40" s="110"/>
      <c r="Z40" s="110"/>
      <c r="AA40" s="110"/>
      <c r="AB40" s="111"/>
    </row>
    <row r="41" spans="1:28" x14ac:dyDescent="0.3">
      <c r="A41" s="110"/>
      <c r="B41" s="110"/>
      <c r="C41" s="110"/>
      <c r="D41" s="110"/>
      <c r="E41" s="110"/>
      <c r="F41" s="110"/>
      <c r="G41" s="110"/>
      <c r="H41" s="110"/>
      <c r="I41" s="110"/>
      <c r="J41" s="110"/>
      <c r="K41" s="110"/>
      <c r="L41" s="110"/>
      <c r="M41" s="110"/>
      <c r="N41" s="110"/>
      <c r="O41" s="110"/>
      <c r="P41" s="110"/>
      <c r="Q41" s="110"/>
      <c r="R41" s="110"/>
      <c r="S41" s="110"/>
      <c r="T41" s="110"/>
      <c r="U41" s="110"/>
      <c r="V41" s="110"/>
      <c r="W41" s="110"/>
      <c r="X41" s="110"/>
      <c r="Y41" s="110"/>
      <c r="Z41" s="110"/>
      <c r="AA41" s="110"/>
      <c r="AB41" s="111"/>
    </row>
    <row r="42" spans="1:28" x14ac:dyDescent="0.3">
      <c r="A42" s="110"/>
      <c r="B42" s="110"/>
      <c r="C42" s="110"/>
      <c r="D42" s="110"/>
      <c r="E42" s="110"/>
      <c r="F42" s="110"/>
      <c r="G42" s="110"/>
      <c r="H42" s="110"/>
      <c r="I42" s="110"/>
      <c r="J42" s="110"/>
      <c r="K42" s="110"/>
      <c r="L42" s="110"/>
      <c r="M42" s="110"/>
      <c r="N42" s="110"/>
      <c r="O42" s="110"/>
      <c r="P42" s="110"/>
      <c r="Q42" s="110"/>
      <c r="R42" s="110"/>
      <c r="S42" s="110"/>
      <c r="T42" s="110"/>
      <c r="U42" s="110"/>
      <c r="V42" s="110"/>
      <c r="W42" s="110"/>
      <c r="X42" s="110"/>
      <c r="Y42" s="110"/>
      <c r="Z42" s="110"/>
      <c r="AA42" s="110"/>
      <c r="AB42" s="111"/>
    </row>
    <row r="43" spans="1:28" x14ac:dyDescent="0.3">
      <c r="A43" s="110"/>
      <c r="B43" s="110"/>
      <c r="C43" s="110"/>
      <c r="D43" s="110"/>
      <c r="E43" s="110"/>
      <c r="F43" s="110"/>
      <c r="G43" s="110"/>
      <c r="H43" s="110"/>
      <c r="I43" s="110"/>
      <c r="J43" s="110"/>
      <c r="K43" s="110"/>
      <c r="L43" s="110"/>
      <c r="M43" s="110"/>
      <c r="N43" s="110"/>
      <c r="O43" s="110"/>
      <c r="P43" s="110"/>
      <c r="Q43" s="110"/>
      <c r="R43" s="110"/>
      <c r="S43" s="110"/>
      <c r="T43" s="110"/>
      <c r="U43" s="110"/>
      <c r="V43" s="110"/>
      <c r="W43" s="110"/>
      <c r="X43" s="110"/>
      <c r="Y43" s="110"/>
      <c r="Z43" s="110"/>
      <c r="AA43" s="110"/>
      <c r="AB43" s="111"/>
    </row>
    <row r="44" spans="1:28" x14ac:dyDescent="0.3">
      <c r="A44" s="110"/>
      <c r="B44" s="110"/>
      <c r="C44" s="110"/>
      <c r="D44" s="110"/>
      <c r="E44" s="110"/>
      <c r="F44" s="110"/>
      <c r="G44" s="110"/>
      <c r="H44" s="110"/>
      <c r="I44" s="110"/>
      <c r="J44" s="110"/>
      <c r="K44" s="110"/>
      <c r="L44" s="110"/>
      <c r="M44" s="110"/>
      <c r="N44" s="110"/>
      <c r="O44" s="110"/>
      <c r="P44" s="110"/>
      <c r="Q44" s="110"/>
      <c r="R44" s="110"/>
      <c r="S44" s="110"/>
      <c r="T44" s="110"/>
      <c r="U44" s="110"/>
      <c r="V44" s="110"/>
      <c r="W44" s="110"/>
      <c r="X44" s="110"/>
      <c r="Y44" s="110"/>
      <c r="Z44" s="110"/>
      <c r="AA44" s="110"/>
      <c r="AB44" s="111"/>
    </row>
    <row r="45" spans="1:28" x14ac:dyDescent="0.3">
      <c r="A45" s="110"/>
      <c r="B45" s="110"/>
      <c r="C45" s="110"/>
      <c r="D45" s="110"/>
      <c r="E45" s="110"/>
      <c r="F45" s="110"/>
      <c r="G45" s="110"/>
      <c r="H45" s="110"/>
      <c r="I45" s="110"/>
      <c r="J45" s="110"/>
      <c r="K45" s="110"/>
      <c r="L45" s="110"/>
      <c r="M45" s="110"/>
      <c r="N45" s="110"/>
      <c r="O45" s="110"/>
      <c r="P45" s="110"/>
      <c r="Q45" s="110"/>
      <c r="R45" s="110"/>
      <c r="S45" s="110"/>
      <c r="T45" s="110"/>
      <c r="U45" s="110"/>
      <c r="V45" s="110"/>
      <c r="W45" s="110"/>
      <c r="X45" s="110"/>
      <c r="Y45" s="110"/>
      <c r="Z45" s="110"/>
      <c r="AA45" s="110"/>
      <c r="AB45" s="111"/>
    </row>
    <row r="46" spans="1:28" x14ac:dyDescent="0.3">
      <c r="A46" s="110"/>
      <c r="B46" s="110"/>
      <c r="C46" s="110"/>
      <c r="D46" s="110"/>
      <c r="E46" s="110"/>
      <c r="F46" s="110"/>
      <c r="G46" s="110"/>
      <c r="H46" s="110"/>
      <c r="I46" s="110"/>
      <c r="J46" s="110"/>
      <c r="K46" s="110"/>
      <c r="L46" s="110"/>
      <c r="M46" s="110"/>
      <c r="N46" s="110"/>
      <c r="O46" s="110"/>
      <c r="P46" s="110"/>
      <c r="Q46" s="110"/>
      <c r="R46" s="110"/>
      <c r="S46" s="110"/>
      <c r="T46" s="110"/>
      <c r="U46" s="110"/>
      <c r="V46" s="110"/>
      <c r="W46" s="110"/>
      <c r="X46" s="110"/>
      <c r="Y46" s="110"/>
      <c r="Z46" s="110"/>
      <c r="AA46" s="110"/>
      <c r="AB46" s="111"/>
    </row>
    <row r="47" spans="1:28" x14ac:dyDescent="0.3">
      <c r="A47" s="110"/>
      <c r="B47" s="110"/>
      <c r="C47" s="110"/>
      <c r="D47" s="110"/>
      <c r="E47" s="110"/>
      <c r="F47" s="110"/>
      <c r="G47" s="110"/>
      <c r="H47" s="110"/>
      <c r="I47" s="110"/>
      <c r="J47" s="110"/>
      <c r="K47" s="110"/>
      <c r="L47" s="110"/>
      <c r="M47" s="110"/>
      <c r="N47" s="110"/>
      <c r="O47" s="110"/>
      <c r="P47" s="110"/>
      <c r="Q47" s="110"/>
      <c r="R47" s="110"/>
      <c r="S47" s="110"/>
      <c r="T47" s="110"/>
      <c r="U47" s="110"/>
      <c r="V47" s="110"/>
      <c r="W47" s="110"/>
      <c r="X47" s="110"/>
      <c r="Y47" s="110"/>
      <c r="Z47" s="110"/>
      <c r="AA47" s="110"/>
      <c r="AB47" s="111"/>
    </row>
    <row r="48" spans="1:28" x14ac:dyDescent="0.3">
      <c r="A48" s="110"/>
      <c r="B48" s="110"/>
      <c r="C48" s="110"/>
      <c r="D48" s="110"/>
      <c r="E48" s="110"/>
      <c r="F48" s="110"/>
      <c r="G48" s="110"/>
      <c r="H48" s="110"/>
      <c r="I48" s="110"/>
      <c r="J48" s="110"/>
      <c r="K48" s="110"/>
      <c r="L48" s="110"/>
      <c r="M48" s="110"/>
      <c r="N48" s="110"/>
      <c r="O48" s="110"/>
      <c r="P48" s="110"/>
      <c r="Q48" s="110"/>
      <c r="R48" s="110"/>
      <c r="S48" s="110"/>
      <c r="T48" s="110"/>
      <c r="U48" s="110"/>
      <c r="V48" s="110"/>
      <c r="W48" s="110"/>
      <c r="X48" s="110"/>
      <c r="Y48" s="110"/>
      <c r="Z48" s="110"/>
      <c r="AA48" s="110"/>
      <c r="AB48" s="111"/>
    </row>
    <row r="74" spans="11:12" x14ac:dyDescent="0.3">
      <c r="K74" s="113"/>
      <c r="L74" s="78"/>
    </row>
  </sheetData>
  <autoFilter ref="A2:AL2" xr:uid="{8C381E57-20A3-4D29-9AC1-A20B676A56DB}"/>
  <conditionalFormatting sqref="A2">
    <cfRule type="containsText" dxfId="95" priority="3" operator="containsText" text="Center">
      <formula>NOT(ISERROR(SEARCH("Center",A2)))</formula>
    </cfRule>
    <cfRule type="containsText" dxfId="94" priority="4" operator="containsText" text="North">
      <formula>NOT(ISERROR(SEARCH("North",A2)))</formula>
    </cfRule>
    <cfRule type="containsText" dxfId="93" priority="5" operator="containsText" text="Algarve">
      <formula>NOT(ISERROR(SEARCH("Algarve",A2)))</formula>
    </cfRule>
    <cfRule type="containsText" dxfId="92" priority="6" operator="containsText" text="Vilamoura">
      <formula>NOT(ISERROR(SEARCH("Vilamoura",A2)))</formula>
    </cfRule>
  </conditionalFormatting>
  <conditionalFormatting sqref="Q2">
    <cfRule type="containsText" dxfId="91" priority="1" operator="containsText" text="PRE-RESERVED">
      <formula>NOT(ISERROR(SEARCH("PRE-RESERVED",Q2)))</formula>
    </cfRule>
    <cfRule type="containsText" dxfId="90" priority="2" operator="containsText" text="RESERVED">
      <formula>NOT(ISERROR(SEARCH("RESERVED",Q2)))</formula>
    </cfRule>
  </conditionalFormatting>
  <pageMargins left="0.7" right="0.7" top="0.75" bottom="0.75" header="0.3" footer="0.3"/>
  <pageSetup paperSize="8" scale="69" fitToHeight="0"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A1198-CBF1-4EA0-B0BF-46EA2E819541}">
  <sheetPr>
    <tabColor rgb="FFC2B59E"/>
    <pageSetUpPr fitToPage="1"/>
  </sheetPr>
  <dimension ref="A1:AL74"/>
  <sheetViews>
    <sheetView showGridLines="0" zoomScale="71" zoomScaleNormal="40" zoomScaleSheetLayoutView="70" workbookViewId="0">
      <pane xSplit="1" topLeftCell="O1" activePane="topRight" state="frozen"/>
      <selection activeCell="I25" sqref="I25"/>
      <selection pane="topRight" activeCell="A2" sqref="A2"/>
    </sheetView>
  </sheetViews>
  <sheetFormatPr defaultColWidth="8.6640625" defaultRowHeight="14.4" outlineLevelCol="2" x14ac:dyDescent="0.3"/>
  <cols>
    <col min="1" max="1" width="20.33203125" bestFit="1" customWidth="1"/>
    <col min="2" max="6" width="11.77734375" customWidth="1"/>
    <col min="7" max="12" width="11.77734375" customWidth="1" outlineLevel="2"/>
    <col min="13" max="13" width="11.77734375" style="79" customWidth="1" outlineLevel="2"/>
    <col min="14" max="14" width="11.77734375" customWidth="1" outlineLevel="2"/>
    <col min="15" max="16" width="11.77734375" customWidth="1" outlineLevel="1"/>
    <col min="17" max="18" width="11.77734375" customWidth="1"/>
    <col min="19" max="22" width="11.77734375" customWidth="1" outlineLevel="1"/>
    <col min="23" max="24" width="11.77734375" customWidth="1"/>
    <col min="25" max="25" width="11.77734375" customWidth="1" outlineLevel="1"/>
    <col min="26" max="26" width="11.77734375" customWidth="1"/>
    <col min="27" max="27" width="11.77734375" customWidth="1" outlineLevel="1"/>
    <col min="28" max="38" width="11.77734375" customWidth="1"/>
  </cols>
  <sheetData>
    <row r="1" spans="1:38" s="1" customFormat="1" ht="20.399999999999999" customHeight="1" x14ac:dyDescent="0.3">
      <c r="A1" s="114" t="s">
        <v>962</v>
      </c>
    </row>
    <row r="2" spans="1:38" s="2" customFormat="1" ht="46.2" customHeight="1" x14ac:dyDescent="0.3">
      <c r="A2" s="95" t="s">
        <v>335</v>
      </c>
      <c r="B2" s="95" t="s">
        <v>684</v>
      </c>
      <c r="C2" s="96" t="s">
        <v>765</v>
      </c>
      <c r="D2" s="97" t="s">
        <v>1</v>
      </c>
      <c r="E2" s="95" t="s">
        <v>93</v>
      </c>
      <c r="F2" s="95" t="s">
        <v>763</v>
      </c>
      <c r="G2" s="98" t="s">
        <v>675</v>
      </c>
      <c r="H2" s="99" t="s">
        <v>676</v>
      </c>
      <c r="I2" s="99" t="s">
        <v>677</v>
      </c>
      <c r="J2" s="100" t="s">
        <v>678</v>
      </c>
      <c r="K2" s="98" t="s">
        <v>679</v>
      </c>
      <c r="L2" s="98" t="s">
        <v>779</v>
      </c>
      <c r="M2" s="98" t="s">
        <v>680</v>
      </c>
      <c r="N2" s="101" t="s">
        <v>681</v>
      </c>
      <c r="O2" s="102" t="s">
        <v>94</v>
      </c>
      <c r="P2" s="102" t="s">
        <v>95</v>
      </c>
      <c r="Q2" s="95" t="s">
        <v>624</v>
      </c>
      <c r="R2" s="103" t="s">
        <v>331</v>
      </c>
      <c r="S2" s="104" t="s">
        <v>332</v>
      </c>
      <c r="T2" s="105" t="s">
        <v>333</v>
      </c>
      <c r="U2" s="105" t="s">
        <v>682</v>
      </c>
      <c r="V2" s="105" t="s">
        <v>97</v>
      </c>
      <c r="W2" s="95" t="s">
        <v>330</v>
      </c>
      <c r="X2" s="106" t="s">
        <v>919</v>
      </c>
      <c r="Y2" s="105" t="s">
        <v>334</v>
      </c>
      <c r="Z2" s="95" t="s">
        <v>98</v>
      </c>
      <c r="AA2" s="107" t="s">
        <v>933</v>
      </c>
      <c r="AB2" s="108" t="s">
        <v>934</v>
      </c>
      <c r="AC2" s="108" t="s">
        <v>928</v>
      </c>
      <c r="AD2" s="109" t="s">
        <v>926</v>
      </c>
      <c r="AE2" s="97" t="s">
        <v>792</v>
      </c>
      <c r="AF2" s="97" t="s">
        <v>793</v>
      </c>
      <c r="AG2" s="97" t="s">
        <v>2</v>
      </c>
      <c r="AH2" s="97" t="s">
        <v>3</v>
      </c>
      <c r="AI2" s="97" t="s">
        <v>5</v>
      </c>
      <c r="AJ2" s="97" t="s">
        <v>794</v>
      </c>
      <c r="AK2" s="97" t="s">
        <v>6</v>
      </c>
      <c r="AL2" s="95" t="s">
        <v>918</v>
      </c>
    </row>
    <row r="3" spans="1:38" s="112" customFormat="1" ht="13.8" x14ac:dyDescent="0.3">
      <c r="A3" s="129" t="str" cm="1">
        <f t="array" ref="A3">_xlfn._xlws.FILTER(DATABASE_Table[],DATABASE_Table[Development]=$A$1,"")</f>
        <v/>
      </c>
      <c r="B3" s="129"/>
      <c r="C3" s="110"/>
      <c r="D3" s="110"/>
      <c r="E3" s="110"/>
      <c r="F3" s="110"/>
      <c r="G3" s="110"/>
      <c r="H3" s="110"/>
      <c r="I3" s="110"/>
      <c r="J3" s="110"/>
      <c r="K3" s="110"/>
      <c r="L3" s="110"/>
      <c r="M3" s="110"/>
      <c r="N3" s="110"/>
      <c r="O3" s="110"/>
      <c r="P3" s="110"/>
      <c r="Q3" s="110"/>
      <c r="R3" s="110"/>
      <c r="S3" s="110"/>
      <c r="T3" s="110"/>
      <c r="U3" s="110"/>
      <c r="V3" s="110"/>
      <c r="W3" s="110"/>
      <c r="X3" s="110"/>
      <c r="Y3" s="110"/>
      <c r="Z3" s="110"/>
      <c r="AA3" s="110"/>
      <c r="AB3" s="111"/>
    </row>
    <row r="4" spans="1:38" x14ac:dyDescent="0.3">
      <c r="A4" s="129"/>
      <c r="B4" s="129"/>
      <c r="C4" s="110"/>
      <c r="D4" s="110"/>
      <c r="E4" s="110"/>
      <c r="F4" s="110"/>
      <c r="G4" s="110"/>
      <c r="H4" s="110"/>
      <c r="I4" s="110"/>
      <c r="J4" s="110"/>
      <c r="K4" s="110"/>
      <c r="L4" s="110"/>
      <c r="M4" s="110"/>
      <c r="N4" s="110"/>
      <c r="O4" s="110"/>
      <c r="P4" s="110"/>
      <c r="Q4" s="110"/>
      <c r="R4" s="110"/>
      <c r="S4" s="110"/>
      <c r="T4" s="110"/>
      <c r="U4" s="110"/>
      <c r="V4" s="110"/>
      <c r="W4" s="110"/>
      <c r="X4" s="110"/>
      <c r="Y4" s="110"/>
      <c r="Z4" s="110"/>
      <c r="AA4" s="110"/>
      <c r="AB4" s="111"/>
    </row>
    <row r="5" spans="1:38" x14ac:dyDescent="0.3">
      <c r="A5" s="129"/>
      <c r="B5" s="129"/>
      <c r="C5" s="110"/>
      <c r="D5" s="110"/>
      <c r="E5" s="110"/>
      <c r="F5" s="110"/>
      <c r="G5" s="110"/>
      <c r="H5" s="110"/>
      <c r="I5" s="110"/>
      <c r="J5" s="110"/>
      <c r="K5" s="110"/>
      <c r="L5" s="110"/>
      <c r="M5" s="110"/>
      <c r="N5" s="110"/>
      <c r="O5" s="110"/>
      <c r="P5" s="110"/>
      <c r="Q5" s="110"/>
      <c r="R5" s="110"/>
      <c r="S5" s="110"/>
      <c r="T5" s="110"/>
      <c r="U5" s="110"/>
      <c r="V5" s="110"/>
      <c r="W5" s="110"/>
      <c r="X5" s="110"/>
      <c r="Y5" s="110"/>
      <c r="Z5" s="110"/>
      <c r="AA5" s="110"/>
      <c r="AB5" s="111"/>
    </row>
    <row r="6" spans="1:38" x14ac:dyDescent="0.3">
      <c r="A6" s="129"/>
      <c r="B6" s="129"/>
      <c r="C6" s="110"/>
      <c r="D6" s="110"/>
      <c r="E6" s="110"/>
      <c r="F6" s="110"/>
      <c r="G6" s="110"/>
      <c r="H6" s="110"/>
      <c r="I6" s="110"/>
      <c r="J6" s="110"/>
      <c r="K6" s="110"/>
      <c r="L6" s="110"/>
      <c r="M6" s="110"/>
      <c r="N6" s="110"/>
      <c r="O6" s="110"/>
      <c r="P6" s="110"/>
      <c r="Q6" s="110"/>
      <c r="R6" s="110"/>
      <c r="S6" s="110"/>
      <c r="T6" s="110"/>
      <c r="U6" s="110"/>
      <c r="V6" s="110"/>
      <c r="W6" s="110"/>
      <c r="X6" s="110"/>
      <c r="Y6" s="110"/>
      <c r="Z6" s="110"/>
      <c r="AA6" s="110"/>
      <c r="AB6" s="111"/>
    </row>
    <row r="7" spans="1:38" x14ac:dyDescent="0.3">
      <c r="A7" s="129"/>
      <c r="B7" s="129"/>
      <c r="C7" s="110"/>
      <c r="D7" s="110"/>
      <c r="E7" s="110"/>
      <c r="F7" s="110"/>
      <c r="G7" s="110"/>
      <c r="H7" s="110"/>
      <c r="I7" s="110"/>
      <c r="J7" s="110"/>
      <c r="K7" s="110"/>
      <c r="L7" s="110"/>
      <c r="M7" s="110"/>
      <c r="N7" s="110"/>
      <c r="O7" s="110"/>
      <c r="P7" s="110"/>
      <c r="Q7" s="110"/>
      <c r="R7" s="110"/>
      <c r="S7" s="110"/>
      <c r="T7" s="110"/>
      <c r="U7" s="110"/>
      <c r="V7" s="110"/>
      <c r="W7" s="110"/>
      <c r="X7" s="110"/>
      <c r="Y7" s="110"/>
      <c r="Z7" s="110"/>
      <c r="AA7" s="110"/>
      <c r="AB7" s="111"/>
    </row>
    <row r="8" spans="1:38" x14ac:dyDescent="0.3">
      <c r="A8" s="129"/>
      <c r="B8" s="129"/>
      <c r="C8" s="110"/>
      <c r="D8" s="110"/>
      <c r="E8" s="110"/>
      <c r="F8" s="110"/>
      <c r="G8" s="110"/>
      <c r="H8" s="110"/>
      <c r="I8" s="110"/>
      <c r="J8" s="110"/>
      <c r="K8" s="110"/>
      <c r="L8" s="110"/>
      <c r="M8" s="110"/>
      <c r="N8" s="110"/>
      <c r="O8" s="110"/>
      <c r="P8" s="110"/>
      <c r="Q8" s="110"/>
      <c r="R8" s="110"/>
      <c r="S8" s="110"/>
      <c r="T8" s="110"/>
      <c r="U8" s="110"/>
      <c r="V8" s="110"/>
      <c r="W8" s="110"/>
      <c r="X8" s="110"/>
      <c r="Y8" s="110"/>
      <c r="Z8" s="110"/>
      <c r="AA8" s="110"/>
      <c r="AB8" s="111"/>
    </row>
    <row r="9" spans="1:38" x14ac:dyDescent="0.3">
      <c r="A9" s="129"/>
      <c r="B9" s="129"/>
      <c r="C9" s="110"/>
      <c r="D9" s="110"/>
      <c r="E9" s="110"/>
      <c r="F9" s="110"/>
      <c r="G9" s="110"/>
      <c r="H9" s="110"/>
      <c r="I9" s="110"/>
      <c r="J9" s="110"/>
      <c r="K9" s="110"/>
      <c r="L9" s="110"/>
      <c r="M9" s="110"/>
      <c r="N9" s="110"/>
      <c r="O9" s="110"/>
      <c r="P9" s="110"/>
      <c r="Q9" s="110"/>
      <c r="R9" s="110"/>
      <c r="S9" s="110"/>
      <c r="T9" s="110"/>
      <c r="U9" s="110"/>
      <c r="V9" s="110"/>
      <c r="W9" s="110"/>
      <c r="X9" s="110"/>
      <c r="Y9" s="110"/>
      <c r="Z9" s="110"/>
      <c r="AA9" s="110"/>
      <c r="AB9" s="111"/>
    </row>
    <row r="10" spans="1:38" x14ac:dyDescent="0.3">
      <c r="A10" s="110"/>
      <c r="B10" s="110"/>
      <c r="C10" s="110"/>
      <c r="D10" s="110"/>
      <c r="E10" s="110"/>
      <c r="F10" s="110"/>
      <c r="G10" s="110"/>
      <c r="H10" s="110"/>
      <c r="I10" s="110"/>
      <c r="J10" s="110"/>
      <c r="K10" s="110"/>
      <c r="L10" s="110"/>
      <c r="M10" s="110"/>
      <c r="N10" s="110"/>
      <c r="O10" s="110"/>
      <c r="P10" s="110"/>
      <c r="Q10" s="110"/>
      <c r="R10" s="110"/>
      <c r="S10" s="110"/>
      <c r="T10" s="110"/>
      <c r="U10" s="110"/>
      <c r="V10" s="110"/>
      <c r="W10" s="110"/>
      <c r="X10" s="110"/>
      <c r="Y10" s="110"/>
      <c r="Z10" s="110"/>
      <c r="AA10" s="110"/>
      <c r="AB10" s="111"/>
    </row>
    <row r="11" spans="1:38" x14ac:dyDescent="0.3">
      <c r="A11" s="110"/>
      <c r="B11" s="110"/>
      <c r="C11" s="110"/>
      <c r="D11" s="110"/>
      <c r="E11" s="110"/>
      <c r="F11" s="110"/>
      <c r="G11" s="110"/>
      <c r="H11" s="110"/>
      <c r="I11" s="110"/>
      <c r="J11" s="110"/>
      <c r="K11" s="110"/>
      <c r="L11" s="110"/>
      <c r="M11" s="110"/>
      <c r="N11" s="110"/>
      <c r="O11" s="110"/>
      <c r="P11" s="110"/>
      <c r="Q11" s="110"/>
      <c r="R11" s="110"/>
      <c r="S11" s="110"/>
      <c r="T11" s="110"/>
      <c r="U11" s="110"/>
      <c r="V11" s="110"/>
      <c r="W11" s="110"/>
      <c r="X11" s="110"/>
      <c r="Y11" s="110"/>
      <c r="Z11" s="110"/>
      <c r="AA11" s="110"/>
      <c r="AB11" s="111"/>
    </row>
    <row r="12" spans="1:38" x14ac:dyDescent="0.3">
      <c r="A12" s="110"/>
      <c r="B12" s="110"/>
      <c r="C12" s="110"/>
      <c r="D12" s="110"/>
      <c r="E12" s="110"/>
      <c r="F12" s="110"/>
      <c r="G12" s="110"/>
      <c r="H12" s="110"/>
      <c r="I12" s="110"/>
      <c r="J12" s="110"/>
      <c r="K12" s="110"/>
      <c r="L12" s="110"/>
      <c r="M12" s="110"/>
      <c r="N12" s="110"/>
      <c r="O12" s="110"/>
      <c r="P12" s="110"/>
      <c r="Q12" s="110"/>
      <c r="R12" s="110"/>
      <c r="S12" s="110"/>
      <c r="T12" s="110"/>
      <c r="U12" s="110"/>
      <c r="V12" s="110"/>
      <c r="W12" s="110"/>
      <c r="X12" s="110"/>
      <c r="Y12" s="110"/>
      <c r="Z12" s="110"/>
      <c r="AA12" s="110"/>
      <c r="AB12" s="111"/>
    </row>
    <row r="13" spans="1:38" x14ac:dyDescent="0.3">
      <c r="A13" s="110"/>
      <c r="B13" s="110"/>
      <c r="C13" s="110"/>
      <c r="D13" s="110"/>
      <c r="E13" s="110"/>
      <c r="F13" s="110"/>
      <c r="G13" s="110"/>
      <c r="H13" s="110"/>
      <c r="I13" s="110"/>
      <c r="J13" s="110"/>
      <c r="K13" s="110"/>
      <c r="L13" s="110"/>
      <c r="M13" s="110"/>
      <c r="N13" s="110"/>
      <c r="O13" s="110"/>
      <c r="P13" s="110"/>
      <c r="Q13" s="110"/>
      <c r="R13" s="110"/>
      <c r="S13" s="110"/>
      <c r="T13" s="110"/>
      <c r="U13" s="110"/>
      <c r="V13" s="110"/>
      <c r="W13" s="110"/>
      <c r="X13" s="110"/>
      <c r="Y13" s="110"/>
      <c r="Z13" s="110"/>
      <c r="AA13" s="110"/>
      <c r="AB13" s="111"/>
    </row>
    <row r="14" spans="1:38" x14ac:dyDescent="0.3">
      <c r="A14" s="110"/>
      <c r="B14" s="110"/>
      <c r="C14" s="110"/>
      <c r="D14" s="110"/>
      <c r="E14" s="110"/>
      <c r="F14" s="110"/>
      <c r="G14" s="110"/>
      <c r="H14" s="110"/>
      <c r="I14" s="110"/>
      <c r="J14" s="110"/>
      <c r="K14" s="110"/>
      <c r="L14" s="110"/>
      <c r="M14" s="110"/>
      <c r="N14" s="110"/>
      <c r="O14" s="110"/>
      <c r="P14" s="110"/>
      <c r="Q14" s="110"/>
      <c r="R14" s="110"/>
      <c r="S14" s="110"/>
      <c r="T14" s="110"/>
      <c r="U14" s="110"/>
      <c r="V14" s="110"/>
      <c r="W14" s="110"/>
      <c r="X14" s="110"/>
      <c r="Y14" s="110"/>
      <c r="Z14" s="110"/>
      <c r="AA14" s="110"/>
      <c r="AB14" s="111"/>
    </row>
    <row r="15" spans="1:38" x14ac:dyDescent="0.3">
      <c r="A15" s="110"/>
      <c r="B15" s="110"/>
      <c r="C15" s="110"/>
      <c r="D15" s="110"/>
      <c r="E15" s="110"/>
      <c r="F15" s="110"/>
      <c r="G15" s="110"/>
      <c r="H15" s="110"/>
      <c r="I15" s="110"/>
      <c r="J15" s="110"/>
      <c r="K15" s="110"/>
      <c r="L15" s="110"/>
      <c r="M15" s="110"/>
      <c r="N15" s="110"/>
      <c r="O15" s="110"/>
      <c r="P15" s="110"/>
      <c r="Q15" s="110"/>
      <c r="R15" s="110"/>
      <c r="S15" s="110"/>
      <c r="T15" s="110"/>
      <c r="U15" s="110"/>
      <c r="V15" s="110"/>
      <c r="W15" s="110"/>
      <c r="X15" s="110"/>
      <c r="Y15" s="110"/>
      <c r="Z15" s="110"/>
      <c r="AA15" s="110"/>
      <c r="AB15" s="111"/>
    </row>
    <row r="16" spans="1:38" x14ac:dyDescent="0.3">
      <c r="A16" s="110"/>
      <c r="B16" s="110"/>
      <c r="C16" s="110"/>
      <c r="D16" s="110"/>
      <c r="E16" s="110"/>
      <c r="F16" s="110"/>
      <c r="G16" s="110"/>
      <c r="H16" s="110"/>
      <c r="I16" s="110"/>
      <c r="J16" s="110"/>
      <c r="K16" s="110"/>
      <c r="L16" s="110"/>
      <c r="M16" s="110"/>
      <c r="N16" s="110"/>
      <c r="O16" s="110"/>
      <c r="P16" s="110"/>
      <c r="Q16" s="110"/>
      <c r="R16" s="110"/>
      <c r="S16" s="110"/>
      <c r="T16" s="110"/>
      <c r="U16" s="110"/>
      <c r="V16" s="110"/>
      <c r="W16" s="110"/>
      <c r="X16" s="110"/>
      <c r="Y16" s="110"/>
      <c r="Z16" s="110"/>
      <c r="AA16" s="110"/>
      <c r="AB16" s="111"/>
    </row>
    <row r="17" spans="1:28" x14ac:dyDescent="0.3">
      <c r="A17" s="110"/>
      <c r="B17" s="110"/>
      <c r="C17" s="110"/>
      <c r="D17" s="110"/>
      <c r="E17" s="110"/>
      <c r="F17" s="110"/>
      <c r="G17" s="110"/>
      <c r="H17" s="110"/>
      <c r="I17" s="110"/>
      <c r="J17" s="110"/>
      <c r="K17" s="110"/>
      <c r="L17" s="110"/>
      <c r="M17" s="110"/>
      <c r="N17" s="110"/>
      <c r="O17" s="110"/>
      <c r="P17" s="110"/>
      <c r="Q17" s="110"/>
      <c r="R17" s="110"/>
      <c r="S17" s="110"/>
      <c r="T17" s="110"/>
      <c r="U17" s="110"/>
      <c r="V17" s="110"/>
      <c r="W17" s="110"/>
      <c r="X17" s="110"/>
      <c r="Y17" s="110"/>
      <c r="Z17" s="110"/>
      <c r="AA17" s="110"/>
      <c r="AB17" s="111"/>
    </row>
    <row r="18" spans="1:28" x14ac:dyDescent="0.3">
      <c r="A18" s="110"/>
      <c r="B18" s="110"/>
      <c r="C18" s="110"/>
      <c r="D18" s="110"/>
      <c r="E18" s="110"/>
      <c r="F18" s="110"/>
      <c r="G18" s="110"/>
      <c r="H18" s="110"/>
      <c r="I18" s="110"/>
      <c r="J18" s="110"/>
      <c r="K18" s="110"/>
      <c r="L18" s="110"/>
      <c r="M18" s="110"/>
      <c r="N18" s="110"/>
      <c r="O18" s="110"/>
      <c r="P18" s="110"/>
      <c r="Q18" s="110"/>
      <c r="R18" s="110"/>
      <c r="S18" s="110"/>
      <c r="T18" s="110"/>
      <c r="U18" s="110"/>
      <c r="V18" s="110"/>
      <c r="W18" s="110"/>
      <c r="X18" s="110"/>
      <c r="Y18" s="110"/>
      <c r="Z18" s="110"/>
      <c r="AA18" s="110"/>
      <c r="AB18" s="111"/>
    </row>
    <row r="19" spans="1:28" x14ac:dyDescent="0.3">
      <c r="A19" s="110"/>
      <c r="B19" s="110"/>
      <c r="C19" s="110"/>
      <c r="D19" s="110"/>
      <c r="E19" s="110"/>
      <c r="F19" s="110"/>
      <c r="G19" s="110"/>
      <c r="H19" s="110"/>
      <c r="I19" s="110"/>
      <c r="J19" s="110"/>
      <c r="K19" s="110"/>
      <c r="L19" s="110"/>
      <c r="M19" s="110"/>
      <c r="N19" s="110"/>
      <c r="O19" s="110"/>
      <c r="P19" s="110"/>
      <c r="Q19" s="110"/>
      <c r="R19" s="110"/>
      <c r="S19" s="110"/>
      <c r="T19" s="110"/>
      <c r="U19" s="110"/>
      <c r="V19" s="110"/>
      <c r="W19" s="110"/>
      <c r="X19" s="110"/>
      <c r="Y19" s="110"/>
      <c r="Z19" s="110"/>
      <c r="AA19" s="110"/>
      <c r="AB19" s="111"/>
    </row>
    <row r="20" spans="1:28" x14ac:dyDescent="0.3">
      <c r="A20" s="110"/>
      <c r="B20" s="110"/>
      <c r="C20" s="110"/>
      <c r="D20" s="110"/>
      <c r="E20" s="110"/>
      <c r="F20" s="110"/>
      <c r="G20" s="110"/>
      <c r="H20" s="110"/>
      <c r="I20" s="110"/>
      <c r="J20" s="110"/>
      <c r="K20" s="110"/>
      <c r="L20" s="110"/>
      <c r="M20" s="110"/>
      <c r="N20" s="110"/>
      <c r="O20" s="110"/>
      <c r="P20" s="110"/>
      <c r="Q20" s="110"/>
      <c r="R20" s="110"/>
      <c r="S20" s="110"/>
      <c r="T20" s="110"/>
      <c r="U20" s="110"/>
      <c r="V20" s="110"/>
      <c r="W20" s="110"/>
      <c r="X20" s="110"/>
      <c r="Y20" s="110"/>
      <c r="Z20" s="110"/>
      <c r="AA20" s="110"/>
      <c r="AB20" s="111"/>
    </row>
    <row r="21" spans="1:28" x14ac:dyDescent="0.3">
      <c r="A21" s="110"/>
      <c r="B21" s="110"/>
      <c r="C21" s="110"/>
      <c r="D21" s="110"/>
      <c r="E21" s="110"/>
      <c r="F21" s="110"/>
      <c r="G21" s="110"/>
      <c r="H21" s="110"/>
      <c r="I21" s="110"/>
      <c r="J21" s="110"/>
      <c r="K21" s="110"/>
      <c r="L21" s="110"/>
      <c r="M21" s="110"/>
      <c r="N21" s="110"/>
      <c r="O21" s="110"/>
      <c r="P21" s="110"/>
      <c r="Q21" s="110"/>
      <c r="R21" s="110"/>
      <c r="S21" s="110"/>
      <c r="T21" s="110"/>
      <c r="U21" s="110"/>
      <c r="V21" s="110"/>
      <c r="W21" s="110"/>
      <c r="X21" s="110"/>
      <c r="Y21" s="110"/>
      <c r="Z21" s="110"/>
      <c r="AA21" s="110"/>
      <c r="AB21" s="111"/>
    </row>
    <row r="22" spans="1:28" x14ac:dyDescent="0.3">
      <c r="A22" s="110"/>
      <c r="B22" s="110"/>
      <c r="C22" s="110"/>
      <c r="D22" s="110"/>
      <c r="E22" s="110"/>
      <c r="F22" s="110"/>
      <c r="G22" s="110"/>
      <c r="H22" s="110"/>
      <c r="I22" s="110"/>
      <c r="J22" s="110"/>
      <c r="K22" s="110"/>
      <c r="L22" s="110"/>
      <c r="M22" s="110"/>
      <c r="N22" s="110"/>
      <c r="O22" s="110"/>
      <c r="P22" s="110"/>
      <c r="Q22" s="110"/>
      <c r="R22" s="110"/>
      <c r="S22" s="110"/>
      <c r="T22" s="110"/>
      <c r="U22" s="110"/>
      <c r="V22" s="110"/>
      <c r="W22" s="110"/>
      <c r="X22" s="110"/>
      <c r="Y22" s="110"/>
      <c r="Z22" s="110"/>
      <c r="AA22" s="110"/>
      <c r="AB22" s="111"/>
    </row>
    <row r="23" spans="1:28" x14ac:dyDescent="0.3">
      <c r="A23" s="110"/>
      <c r="B23" s="110"/>
      <c r="C23" s="110"/>
      <c r="D23" s="110"/>
      <c r="E23" s="110"/>
      <c r="F23" s="110"/>
      <c r="G23" s="110"/>
      <c r="H23" s="110"/>
      <c r="I23" s="110"/>
      <c r="J23" s="110"/>
      <c r="K23" s="110"/>
      <c r="L23" s="110"/>
      <c r="M23" s="110"/>
      <c r="N23" s="110"/>
      <c r="O23" s="110"/>
      <c r="P23" s="110"/>
      <c r="Q23" s="110"/>
      <c r="R23" s="110"/>
      <c r="S23" s="110"/>
      <c r="T23" s="110"/>
      <c r="U23" s="110"/>
      <c r="V23" s="110"/>
      <c r="W23" s="110"/>
      <c r="X23" s="110"/>
      <c r="Y23" s="110"/>
      <c r="Z23" s="110"/>
      <c r="AA23" s="110"/>
      <c r="AB23" s="111"/>
    </row>
    <row r="24" spans="1:28" x14ac:dyDescent="0.3">
      <c r="A24" s="110"/>
      <c r="B24" s="110"/>
      <c r="C24" s="110"/>
      <c r="D24" s="110"/>
      <c r="E24" s="110"/>
      <c r="F24" s="110"/>
      <c r="G24" s="110"/>
      <c r="H24" s="110"/>
      <c r="I24" s="110"/>
      <c r="J24" s="110"/>
      <c r="K24" s="110"/>
      <c r="L24" s="110"/>
      <c r="M24" s="110"/>
      <c r="N24" s="110"/>
      <c r="O24" s="110"/>
      <c r="P24" s="110"/>
      <c r="Q24" s="110"/>
      <c r="R24" s="110"/>
      <c r="S24" s="110"/>
      <c r="T24" s="110"/>
      <c r="U24" s="110"/>
      <c r="V24" s="110"/>
      <c r="W24" s="110"/>
      <c r="X24" s="110"/>
      <c r="Y24" s="110"/>
      <c r="Z24" s="110"/>
      <c r="AA24" s="110"/>
      <c r="AB24" s="111"/>
    </row>
    <row r="25" spans="1:28" x14ac:dyDescent="0.3">
      <c r="A25" s="110"/>
      <c r="B25" s="110"/>
      <c r="C25" s="110"/>
      <c r="D25" s="110"/>
      <c r="E25" s="110"/>
      <c r="F25" s="110"/>
      <c r="G25" s="110"/>
      <c r="H25" s="110"/>
      <c r="I25" s="110"/>
      <c r="J25" s="110"/>
      <c r="K25" s="110"/>
      <c r="L25" s="110"/>
      <c r="M25" s="110"/>
      <c r="N25" s="110"/>
      <c r="O25" s="110"/>
      <c r="P25" s="110"/>
      <c r="Q25" s="110"/>
      <c r="R25" s="110"/>
      <c r="S25" s="110"/>
      <c r="T25" s="110"/>
      <c r="U25" s="110"/>
      <c r="V25" s="110"/>
      <c r="W25" s="110"/>
      <c r="X25" s="110"/>
      <c r="Y25" s="110"/>
      <c r="Z25" s="110"/>
      <c r="AA25" s="110"/>
      <c r="AB25" s="111"/>
    </row>
    <row r="26" spans="1:28" x14ac:dyDescent="0.3">
      <c r="A26" s="110"/>
      <c r="B26" s="110"/>
      <c r="C26" s="110"/>
      <c r="D26" s="110"/>
      <c r="E26" s="110"/>
      <c r="F26" s="110"/>
      <c r="G26" s="110"/>
      <c r="H26" s="110"/>
      <c r="I26" s="110"/>
      <c r="J26" s="110"/>
      <c r="K26" s="110"/>
      <c r="L26" s="110"/>
      <c r="M26" s="110"/>
      <c r="N26" s="110"/>
      <c r="O26" s="110"/>
      <c r="P26" s="110"/>
      <c r="Q26" s="110"/>
      <c r="R26" s="110"/>
      <c r="S26" s="110"/>
      <c r="T26" s="110"/>
      <c r="U26" s="110"/>
      <c r="V26" s="110"/>
      <c r="W26" s="110"/>
      <c r="X26" s="110"/>
      <c r="Y26" s="110"/>
      <c r="Z26" s="110"/>
      <c r="AA26" s="110"/>
      <c r="AB26" s="111"/>
    </row>
    <row r="27" spans="1:28" x14ac:dyDescent="0.3">
      <c r="A27" s="110"/>
      <c r="B27" s="110"/>
      <c r="C27" s="110"/>
      <c r="D27" s="110"/>
      <c r="E27" s="110"/>
      <c r="F27" s="110"/>
      <c r="G27" s="110"/>
      <c r="H27" s="110"/>
      <c r="I27" s="110"/>
      <c r="J27" s="110"/>
      <c r="K27" s="110"/>
      <c r="L27" s="110"/>
      <c r="M27" s="110"/>
      <c r="N27" s="110"/>
      <c r="O27" s="110"/>
      <c r="P27" s="110"/>
      <c r="Q27" s="110"/>
      <c r="R27" s="110"/>
      <c r="S27" s="110"/>
      <c r="T27" s="110"/>
      <c r="U27" s="110"/>
      <c r="V27" s="110"/>
      <c r="W27" s="110"/>
      <c r="X27" s="110"/>
      <c r="Y27" s="110"/>
      <c r="Z27" s="110"/>
      <c r="AA27" s="110"/>
      <c r="AB27" s="111"/>
    </row>
    <row r="28" spans="1:28" x14ac:dyDescent="0.3">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c r="Y28" s="110"/>
      <c r="Z28" s="110"/>
      <c r="AA28" s="110"/>
      <c r="AB28" s="111"/>
    </row>
    <row r="29" spans="1:28" x14ac:dyDescent="0.3">
      <c r="A29" s="110"/>
      <c r="B29" s="110"/>
      <c r="C29" s="110"/>
      <c r="D29" s="110"/>
      <c r="E29" s="110"/>
      <c r="F29" s="110"/>
      <c r="G29" s="110"/>
      <c r="H29" s="110"/>
      <c r="I29" s="110"/>
      <c r="J29" s="110"/>
      <c r="K29" s="110"/>
      <c r="L29" s="110"/>
      <c r="M29" s="110"/>
      <c r="N29" s="110"/>
      <c r="O29" s="110"/>
      <c r="P29" s="110"/>
      <c r="Q29" s="110"/>
      <c r="R29" s="110"/>
      <c r="S29" s="110"/>
      <c r="T29" s="110"/>
      <c r="U29" s="110"/>
      <c r="V29" s="110"/>
      <c r="W29" s="110"/>
      <c r="X29" s="110"/>
      <c r="Y29" s="110"/>
      <c r="Z29" s="110"/>
      <c r="AA29" s="110"/>
      <c r="AB29" s="111"/>
    </row>
    <row r="30" spans="1:28" x14ac:dyDescent="0.3">
      <c r="A30" s="110"/>
      <c r="B30" s="110"/>
      <c r="C30" s="110"/>
      <c r="D30" s="110"/>
      <c r="E30" s="110"/>
      <c r="F30" s="110"/>
      <c r="G30" s="110"/>
      <c r="H30" s="110"/>
      <c r="I30" s="110"/>
      <c r="J30" s="110"/>
      <c r="K30" s="110"/>
      <c r="L30" s="110"/>
      <c r="M30" s="110"/>
      <c r="N30" s="110"/>
      <c r="O30" s="110"/>
      <c r="P30" s="110"/>
      <c r="Q30" s="110"/>
      <c r="R30" s="110"/>
      <c r="S30" s="110"/>
      <c r="T30" s="110"/>
      <c r="U30" s="110"/>
      <c r="V30" s="110"/>
      <c r="W30" s="110"/>
      <c r="X30" s="110"/>
      <c r="Y30" s="110"/>
      <c r="Z30" s="110"/>
      <c r="AA30" s="110"/>
      <c r="AB30" s="111"/>
    </row>
    <row r="31" spans="1:28" x14ac:dyDescent="0.3">
      <c r="A31" s="110"/>
      <c r="B31" s="110"/>
      <c r="C31" s="110"/>
      <c r="D31" s="110"/>
      <c r="E31" s="110"/>
      <c r="F31" s="110"/>
      <c r="G31" s="110"/>
      <c r="H31" s="110"/>
      <c r="I31" s="110"/>
      <c r="J31" s="110"/>
      <c r="K31" s="110"/>
      <c r="L31" s="110"/>
      <c r="M31" s="110"/>
      <c r="N31" s="110"/>
      <c r="O31" s="110"/>
      <c r="P31" s="110"/>
      <c r="Q31" s="110"/>
      <c r="R31" s="110"/>
      <c r="S31" s="110"/>
      <c r="T31" s="110"/>
      <c r="U31" s="110"/>
      <c r="V31" s="110"/>
      <c r="W31" s="110"/>
      <c r="X31" s="110"/>
      <c r="Y31" s="110"/>
      <c r="Z31" s="110"/>
      <c r="AA31" s="110"/>
      <c r="AB31" s="111"/>
    </row>
    <row r="32" spans="1:28" x14ac:dyDescent="0.3">
      <c r="A32" s="110"/>
      <c r="B32" s="110"/>
      <c r="C32" s="110"/>
      <c r="D32" s="110"/>
      <c r="E32" s="110"/>
      <c r="F32" s="110"/>
      <c r="G32" s="110"/>
      <c r="H32" s="110"/>
      <c r="I32" s="110"/>
      <c r="J32" s="110"/>
      <c r="K32" s="110"/>
      <c r="L32" s="110"/>
      <c r="M32" s="110"/>
      <c r="N32" s="110"/>
      <c r="O32" s="110"/>
      <c r="P32" s="110"/>
      <c r="Q32" s="110"/>
      <c r="R32" s="110"/>
      <c r="S32" s="110"/>
      <c r="T32" s="110"/>
      <c r="U32" s="110"/>
      <c r="V32" s="110"/>
      <c r="W32" s="110"/>
      <c r="X32" s="110"/>
      <c r="Y32" s="110"/>
      <c r="Z32" s="110"/>
      <c r="AA32" s="110"/>
      <c r="AB32" s="111"/>
    </row>
    <row r="33" spans="1:28" x14ac:dyDescent="0.3">
      <c r="A33" s="110"/>
      <c r="B33" s="110"/>
      <c r="C33" s="110"/>
      <c r="D33" s="110"/>
      <c r="E33" s="110"/>
      <c r="F33" s="110"/>
      <c r="G33" s="110"/>
      <c r="H33" s="110"/>
      <c r="I33" s="110"/>
      <c r="J33" s="110"/>
      <c r="K33" s="110"/>
      <c r="L33" s="110"/>
      <c r="M33" s="110"/>
      <c r="N33" s="110"/>
      <c r="O33" s="110"/>
      <c r="P33" s="110"/>
      <c r="Q33" s="110"/>
      <c r="R33" s="110"/>
      <c r="S33" s="110"/>
      <c r="T33" s="110"/>
      <c r="U33" s="110"/>
      <c r="V33" s="110"/>
      <c r="W33" s="110"/>
      <c r="X33" s="110"/>
      <c r="Y33" s="110"/>
      <c r="Z33" s="110"/>
      <c r="AA33" s="110"/>
      <c r="AB33" s="111"/>
    </row>
    <row r="34" spans="1:28" x14ac:dyDescent="0.3">
      <c r="A34" s="110"/>
      <c r="B34" s="110"/>
      <c r="C34" s="110"/>
      <c r="D34" s="110"/>
      <c r="E34" s="110"/>
      <c r="F34" s="110"/>
      <c r="G34" s="110"/>
      <c r="H34" s="110"/>
      <c r="I34" s="110"/>
      <c r="J34" s="110"/>
      <c r="K34" s="110"/>
      <c r="L34" s="110"/>
      <c r="M34" s="110"/>
      <c r="N34" s="110"/>
      <c r="O34" s="110"/>
      <c r="P34" s="110"/>
      <c r="Q34" s="110"/>
      <c r="R34" s="110"/>
      <c r="S34" s="110"/>
      <c r="T34" s="110"/>
      <c r="U34" s="110"/>
      <c r="V34" s="110"/>
      <c r="W34" s="110"/>
      <c r="X34" s="110"/>
      <c r="Y34" s="110"/>
      <c r="Z34" s="110"/>
      <c r="AA34" s="110"/>
      <c r="AB34" s="111"/>
    </row>
    <row r="35" spans="1:28" x14ac:dyDescent="0.3">
      <c r="A35" s="110"/>
      <c r="B35" s="110"/>
      <c r="C35" s="110"/>
      <c r="D35" s="110"/>
      <c r="E35" s="110"/>
      <c r="F35" s="110"/>
      <c r="G35" s="110"/>
      <c r="H35" s="110"/>
      <c r="I35" s="110"/>
      <c r="J35" s="110"/>
      <c r="K35" s="110"/>
      <c r="L35" s="110"/>
      <c r="M35" s="110"/>
      <c r="N35" s="110"/>
      <c r="O35" s="110"/>
      <c r="P35" s="110"/>
      <c r="Q35" s="110"/>
      <c r="R35" s="110"/>
      <c r="S35" s="110"/>
      <c r="T35" s="110"/>
      <c r="U35" s="110"/>
      <c r="V35" s="110"/>
      <c r="W35" s="110"/>
      <c r="X35" s="110"/>
      <c r="Y35" s="110"/>
      <c r="Z35" s="110"/>
      <c r="AA35" s="110"/>
      <c r="AB35" s="111"/>
    </row>
    <row r="36" spans="1:28" x14ac:dyDescent="0.3">
      <c r="A36" s="110"/>
      <c r="B36" s="110"/>
      <c r="C36" s="110"/>
      <c r="D36" s="110"/>
      <c r="E36" s="110"/>
      <c r="F36" s="110"/>
      <c r="G36" s="110"/>
      <c r="H36" s="110"/>
      <c r="I36" s="110"/>
      <c r="J36" s="110"/>
      <c r="K36" s="110"/>
      <c r="L36" s="110"/>
      <c r="M36" s="110"/>
      <c r="N36" s="110"/>
      <c r="O36" s="110"/>
      <c r="P36" s="110"/>
      <c r="Q36" s="110"/>
      <c r="R36" s="110"/>
      <c r="S36" s="110"/>
      <c r="T36" s="110"/>
      <c r="U36" s="110"/>
      <c r="V36" s="110"/>
      <c r="W36" s="110"/>
      <c r="X36" s="110"/>
      <c r="Y36" s="110"/>
      <c r="Z36" s="110"/>
      <c r="AA36" s="110"/>
      <c r="AB36" s="111"/>
    </row>
    <row r="37" spans="1:28" x14ac:dyDescent="0.3">
      <c r="A37" s="110"/>
      <c r="B37" s="110"/>
      <c r="C37" s="110"/>
      <c r="D37" s="110"/>
      <c r="E37" s="110"/>
      <c r="F37" s="110"/>
      <c r="G37" s="110"/>
      <c r="H37" s="110"/>
      <c r="I37" s="110"/>
      <c r="J37" s="110"/>
      <c r="K37" s="110"/>
      <c r="L37" s="110"/>
      <c r="M37" s="110"/>
      <c r="N37" s="110"/>
      <c r="O37" s="110"/>
      <c r="P37" s="110"/>
      <c r="Q37" s="110"/>
      <c r="R37" s="110"/>
      <c r="S37" s="110"/>
      <c r="T37" s="110"/>
      <c r="U37" s="110"/>
      <c r="V37" s="110"/>
      <c r="W37" s="110"/>
      <c r="X37" s="110"/>
      <c r="Y37" s="110"/>
      <c r="Z37" s="110"/>
      <c r="AA37" s="110"/>
      <c r="AB37" s="111"/>
    </row>
    <row r="38" spans="1:28" x14ac:dyDescent="0.3">
      <c r="A38" s="110"/>
      <c r="B38" s="110"/>
      <c r="C38" s="110"/>
      <c r="D38" s="110"/>
      <c r="E38" s="110"/>
      <c r="F38" s="110"/>
      <c r="G38" s="110"/>
      <c r="H38" s="110"/>
      <c r="I38" s="110"/>
      <c r="J38" s="110"/>
      <c r="K38" s="110"/>
      <c r="L38" s="110"/>
      <c r="M38" s="110"/>
      <c r="N38" s="110"/>
      <c r="O38" s="110"/>
      <c r="P38" s="110"/>
      <c r="Q38" s="110"/>
      <c r="R38" s="110"/>
      <c r="S38" s="110"/>
      <c r="T38" s="110"/>
      <c r="U38" s="110"/>
      <c r="V38" s="110"/>
      <c r="W38" s="110"/>
      <c r="X38" s="110"/>
      <c r="Y38" s="110"/>
      <c r="Z38" s="110"/>
      <c r="AA38" s="110"/>
      <c r="AB38" s="111"/>
    </row>
    <row r="39" spans="1:28" x14ac:dyDescent="0.3">
      <c r="A39" s="110"/>
      <c r="B39" s="110"/>
      <c r="C39" s="110"/>
      <c r="D39" s="110"/>
      <c r="E39" s="110"/>
      <c r="F39" s="110"/>
      <c r="G39" s="110"/>
      <c r="H39" s="110"/>
      <c r="I39" s="110"/>
      <c r="J39" s="110"/>
      <c r="K39" s="110"/>
      <c r="L39" s="110"/>
      <c r="M39" s="110"/>
      <c r="N39" s="110"/>
      <c r="O39" s="110"/>
      <c r="P39" s="110"/>
      <c r="Q39" s="110"/>
      <c r="R39" s="110"/>
      <c r="S39" s="110"/>
      <c r="T39" s="110"/>
      <c r="U39" s="110"/>
      <c r="V39" s="110"/>
      <c r="W39" s="110"/>
      <c r="X39" s="110"/>
      <c r="Y39" s="110"/>
      <c r="Z39" s="110"/>
      <c r="AA39" s="110"/>
      <c r="AB39" s="111"/>
    </row>
    <row r="40" spans="1:28" x14ac:dyDescent="0.3">
      <c r="A40" s="110"/>
      <c r="B40" s="110"/>
      <c r="C40" s="110"/>
      <c r="D40" s="110"/>
      <c r="E40" s="110"/>
      <c r="F40" s="110"/>
      <c r="G40" s="110"/>
      <c r="H40" s="110"/>
      <c r="I40" s="110"/>
      <c r="J40" s="110"/>
      <c r="K40" s="110"/>
      <c r="L40" s="110"/>
      <c r="M40" s="110"/>
      <c r="N40" s="110"/>
      <c r="O40" s="110"/>
      <c r="P40" s="110"/>
      <c r="Q40" s="110"/>
      <c r="R40" s="110"/>
      <c r="S40" s="110"/>
      <c r="T40" s="110"/>
      <c r="U40" s="110"/>
      <c r="V40" s="110"/>
      <c r="W40" s="110"/>
      <c r="X40" s="110"/>
      <c r="Y40" s="110"/>
      <c r="Z40" s="110"/>
      <c r="AA40" s="110"/>
      <c r="AB40" s="111"/>
    </row>
    <row r="41" spans="1:28" x14ac:dyDescent="0.3">
      <c r="A41" s="110"/>
      <c r="B41" s="110"/>
      <c r="C41" s="110"/>
      <c r="D41" s="110"/>
      <c r="E41" s="110"/>
      <c r="F41" s="110"/>
      <c r="G41" s="110"/>
      <c r="H41" s="110"/>
      <c r="I41" s="110"/>
      <c r="J41" s="110"/>
      <c r="K41" s="110"/>
      <c r="L41" s="110"/>
      <c r="M41" s="110"/>
      <c r="N41" s="110"/>
      <c r="O41" s="110"/>
      <c r="P41" s="110"/>
      <c r="Q41" s="110"/>
      <c r="R41" s="110"/>
      <c r="S41" s="110"/>
      <c r="T41" s="110"/>
      <c r="U41" s="110"/>
      <c r="V41" s="110"/>
      <c r="W41" s="110"/>
      <c r="X41" s="110"/>
      <c r="Y41" s="110"/>
      <c r="Z41" s="110"/>
      <c r="AA41" s="110"/>
      <c r="AB41" s="111"/>
    </row>
    <row r="42" spans="1:28" x14ac:dyDescent="0.3">
      <c r="A42" s="110"/>
      <c r="B42" s="110"/>
      <c r="C42" s="110"/>
      <c r="D42" s="110"/>
      <c r="E42" s="110"/>
      <c r="F42" s="110"/>
      <c r="G42" s="110"/>
      <c r="H42" s="110"/>
      <c r="I42" s="110"/>
      <c r="J42" s="110"/>
      <c r="K42" s="110"/>
      <c r="L42" s="110"/>
      <c r="M42" s="110"/>
      <c r="N42" s="110"/>
      <c r="O42" s="110"/>
      <c r="P42" s="110"/>
      <c r="Q42" s="110"/>
      <c r="R42" s="110"/>
      <c r="S42" s="110"/>
      <c r="T42" s="110"/>
      <c r="U42" s="110"/>
      <c r="V42" s="110"/>
      <c r="W42" s="110"/>
      <c r="X42" s="110"/>
      <c r="Y42" s="110"/>
      <c r="Z42" s="110"/>
      <c r="AA42" s="110"/>
      <c r="AB42" s="111"/>
    </row>
    <row r="43" spans="1:28" x14ac:dyDescent="0.3">
      <c r="A43" s="110"/>
      <c r="B43" s="110"/>
      <c r="C43" s="110"/>
      <c r="D43" s="110"/>
      <c r="E43" s="110"/>
      <c r="F43" s="110"/>
      <c r="G43" s="110"/>
      <c r="H43" s="110"/>
      <c r="I43" s="110"/>
      <c r="J43" s="110"/>
      <c r="K43" s="110"/>
      <c r="L43" s="110"/>
      <c r="M43" s="110"/>
      <c r="N43" s="110"/>
      <c r="O43" s="110"/>
      <c r="P43" s="110"/>
      <c r="Q43" s="110"/>
      <c r="R43" s="110"/>
      <c r="S43" s="110"/>
      <c r="T43" s="110"/>
      <c r="U43" s="110"/>
      <c r="V43" s="110"/>
      <c r="W43" s="110"/>
      <c r="X43" s="110"/>
      <c r="Y43" s="110"/>
      <c r="Z43" s="110"/>
      <c r="AA43" s="110"/>
      <c r="AB43" s="111"/>
    </row>
    <row r="44" spans="1:28" x14ac:dyDescent="0.3">
      <c r="A44" s="110"/>
      <c r="B44" s="110"/>
      <c r="C44" s="110"/>
      <c r="D44" s="110"/>
      <c r="E44" s="110"/>
      <c r="F44" s="110"/>
      <c r="G44" s="110"/>
      <c r="H44" s="110"/>
      <c r="I44" s="110"/>
      <c r="J44" s="110"/>
      <c r="K44" s="110"/>
      <c r="L44" s="110"/>
      <c r="M44" s="110"/>
      <c r="N44" s="110"/>
      <c r="O44" s="110"/>
      <c r="P44" s="110"/>
      <c r="Q44" s="110"/>
      <c r="R44" s="110"/>
      <c r="S44" s="110"/>
      <c r="T44" s="110"/>
      <c r="U44" s="110"/>
      <c r="V44" s="110"/>
      <c r="W44" s="110"/>
      <c r="X44" s="110"/>
      <c r="Y44" s="110"/>
      <c r="Z44" s="110"/>
      <c r="AA44" s="110"/>
      <c r="AB44" s="111"/>
    </row>
    <row r="45" spans="1:28" x14ac:dyDescent="0.3">
      <c r="A45" s="110"/>
      <c r="B45" s="110"/>
      <c r="C45" s="110"/>
      <c r="D45" s="110"/>
      <c r="E45" s="110"/>
      <c r="F45" s="110"/>
      <c r="G45" s="110"/>
      <c r="H45" s="110"/>
      <c r="I45" s="110"/>
      <c r="J45" s="110"/>
      <c r="K45" s="110"/>
      <c r="L45" s="110"/>
      <c r="M45" s="110"/>
      <c r="N45" s="110"/>
      <c r="O45" s="110"/>
      <c r="P45" s="110"/>
      <c r="Q45" s="110"/>
      <c r="R45" s="110"/>
      <c r="S45" s="110"/>
      <c r="T45" s="110"/>
      <c r="U45" s="110"/>
      <c r="V45" s="110"/>
      <c r="W45" s="110"/>
      <c r="X45" s="110"/>
      <c r="Y45" s="110"/>
      <c r="Z45" s="110"/>
      <c r="AA45" s="110"/>
      <c r="AB45" s="111"/>
    </row>
    <row r="46" spans="1:28" x14ac:dyDescent="0.3">
      <c r="A46" s="110"/>
      <c r="B46" s="110"/>
      <c r="C46" s="110"/>
      <c r="D46" s="110"/>
      <c r="E46" s="110"/>
      <c r="F46" s="110"/>
      <c r="G46" s="110"/>
      <c r="H46" s="110"/>
      <c r="I46" s="110"/>
      <c r="J46" s="110"/>
      <c r="K46" s="110"/>
      <c r="L46" s="110"/>
      <c r="M46" s="110"/>
      <c r="N46" s="110"/>
      <c r="O46" s="110"/>
      <c r="P46" s="110"/>
      <c r="Q46" s="110"/>
      <c r="R46" s="110"/>
      <c r="S46" s="110"/>
      <c r="T46" s="110"/>
      <c r="U46" s="110"/>
      <c r="V46" s="110"/>
      <c r="W46" s="110"/>
      <c r="X46" s="110"/>
      <c r="Y46" s="110"/>
      <c r="Z46" s="110"/>
      <c r="AA46" s="110"/>
      <c r="AB46" s="111"/>
    </row>
    <row r="47" spans="1:28" x14ac:dyDescent="0.3">
      <c r="A47" s="110"/>
      <c r="B47" s="110"/>
      <c r="C47" s="110"/>
      <c r="D47" s="110"/>
      <c r="E47" s="110"/>
      <c r="F47" s="110"/>
      <c r="G47" s="110"/>
      <c r="H47" s="110"/>
      <c r="I47" s="110"/>
      <c r="J47" s="110"/>
      <c r="K47" s="110"/>
      <c r="L47" s="110"/>
      <c r="M47" s="110"/>
      <c r="N47" s="110"/>
      <c r="O47" s="110"/>
      <c r="P47" s="110"/>
      <c r="Q47" s="110"/>
      <c r="R47" s="110"/>
      <c r="S47" s="110"/>
      <c r="T47" s="110"/>
      <c r="U47" s="110"/>
      <c r="V47" s="110"/>
      <c r="W47" s="110"/>
      <c r="X47" s="110"/>
      <c r="Y47" s="110"/>
      <c r="Z47" s="110"/>
      <c r="AA47" s="110"/>
      <c r="AB47" s="111"/>
    </row>
    <row r="48" spans="1:28" x14ac:dyDescent="0.3">
      <c r="A48" s="110"/>
      <c r="B48" s="110"/>
      <c r="C48" s="110"/>
      <c r="D48" s="110"/>
      <c r="E48" s="110"/>
      <c r="F48" s="110"/>
      <c r="G48" s="110"/>
      <c r="H48" s="110"/>
      <c r="I48" s="110"/>
      <c r="J48" s="110"/>
      <c r="K48" s="110"/>
      <c r="L48" s="110"/>
      <c r="M48" s="110"/>
      <c r="N48" s="110"/>
      <c r="O48" s="110"/>
      <c r="P48" s="110"/>
      <c r="Q48" s="110"/>
      <c r="R48" s="110"/>
      <c r="S48" s="110"/>
      <c r="T48" s="110"/>
      <c r="U48" s="110"/>
      <c r="V48" s="110"/>
      <c r="W48" s="110"/>
      <c r="X48" s="110"/>
      <c r="Y48" s="110"/>
      <c r="Z48" s="110"/>
      <c r="AA48" s="110"/>
      <c r="AB48" s="111"/>
    </row>
    <row r="74" spans="11:12" x14ac:dyDescent="0.3">
      <c r="K74" s="113"/>
      <c r="L74" s="78"/>
    </row>
  </sheetData>
  <autoFilter ref="A2:AL2" xr:uid="{8C381E57-20A3-4D29-9AC1-A20B676A56DB}"/>
  <conditionalFormatting sqref="A2">
    <cfRule type="containsText" dxfId="89" priority="3" operator="containsText" text="Center">
      <formula>NOT(ISERROR(SEARCH("Center",A2)))</formula>
    </cfRule>
    <cfRule type="containsText" dxfId="88" priority="4" operator="containsText" text="North">
      <formula>NOT(ISERROR(SEARCH("North",A2)))</formula>
    </cfRule>
    <cfRule type="containsText" dxfId="87" priority="5" operator="containsText" text="Algarve">
      <formula>NOT(ISERROR(SEARCH("Algarve",A2)))</formula>
    </cfRule>
    <cfRule type="containsText" dxfId="86" priority="6" operator="containsText" text="Vilamoura">
      <formula>NOT(ISERROR(SEARCH("Vilamoura",A2)))</formula>
    </cfRule>
  </conditionalFormatting>
  <conditionalFormatting sqref="Q2">
    <cfRule type="containsText" dxfId="85" priority="1" operator="containsText" text="PRE-RESERVED">
      <formula>NOT(ISERROR(SEARCH("PRE-RESERVED",Q2)))</formula>
    </cfRule>
    <cfRule type="containsText" dxfId="84" priority="2" operator="containsText" text="RESERVED">
      <formula>NOT(ISERROR(SEARCH("RESERVED",Q2)))</formula>
    </cfRule>
  </conditionalFormatting>
  <pageMargins left="0.7" right="0.7" top="0.75" bottom="0.75" header="0.3" footer="0.3"/>
  <pageSetup paperSize="8" scale="69" fitToHeight="0"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81E57-20A3-4D29-9AC1-A20B676A56DB}">
  <sheetPr>
    <tabColor rgb="FFC2B59E"/>
    <pageSetUpPr fitToPage="1"/>
  </sheetPr>
  <dimension ref="A1:AL74"/>
  <sheetViews>
    <sheetView showGridLines="0" zoomScale="71" zoomScaleNormal="40" zoomScaleSheetLayoutView="70" workbookViewId="0">
      <pane xSplit="1" topLeftCell="AB1" activePane="topRight" state="frozen"/>
      <selection activeCell="I25" sqref="I25"/>
      <selection pane="topRight"/>
    </sheetView>
  </sheetViews>
  <sheetFormatPr defaultColWidth="8.6640625" defaultRowHeight="14.4" outlineLevelCol="2" x14ac:dyDescent="0.3"/>
  <cols>
    <col min="1" max="1" width="20.33203125" bestFit="1" customWidth="1"/>
    <col min="2" max="6" width="11.77734375" customWidth="1"/>
    <col min="7" max="12" width="11.77734375" customWidth="1" outlineLevel="2"/>
    <col min="13" max="13" width="11.77734375" style="79" customWidth="1" outlineLevel="2"/>
    <col min="14" max="14" width="11.77734375" customWidth="1" outlineLevel="2"/>
    <col min="15" max="16" width="11.77734375" customWidth="1" outlineLevel="1"/>
    <col min="17" max="18" width="11.77734375" customWidth="1"/>
    <col min="19" max="22" width="11.77734375" customWidth="1" outlineLevel="1"/>
    <col min="23" max="24" width="11.77734375" customWidth="1"/>
    <col min="25" max="25" width="11.77734375" customWidth="1" outlineLevel="1"/>
    <col min="26" max="26" width="11.77734375" customWidth="1"/>
    <col min="27" max="27" width="11.77734375" customWidth="1" outlineLevel="1"/>
    <col min="28" max="38" width="11.77734375" customWidth="1"/>
  </cols>
  <sheetData>
    <row r="1" spans="1:38" s="1" customFormat="1" ht="20.399999999999999" customHeight="1" x14ac:dyDescent="0.3">
      <c r="A1" s="114" t="s">
        <v>8</v>
      </c>
    </row>
    <row r="2" spans="1:38" s="2" customFormat="1" ht="46.2" customHeight="1" x14ac:dyDescent="0.3">
      <c r="A2" s="95" t="s">
        <v>335</v>
      </c>
      <c r="B2" s="95" t="s">
        <v>684</v>
      </c>
      <c r="C2" s="96" t="s">
        <v>765</v>
      </c>
      <c r="D2" s="97" t="s">
        <v>1</v>
      </c>
      <c r="E2" s="95" t="s">
        <v>93</v>
      </c>
      <c r="F2" s="95" t="s">
        <v>763</v>
      </c>
      <c r="G2" s="98" t="s">
        <v>675</v>
      </c>
      <c r="H2" s="99" t="s">
        <v>676</v>
      </c>
      <c r="I2" s="99" t="s">
        <v>677</v>
      </c>
      <c r="J2" s="100" t="s">
        <v>678</v>
      </c>
      <c r="K2" s="98" t="s">
        <v>679</v>
      </c>
      <c r="L2" s="98" t="s">
        <v>779</v>
      </c>
      <c r="M2" s="98" t="s">
        <v>680</v>
      </c>
      <c r="N2" s="101" t="s">
        <v>681</v>
      </c>
      <c r="O2" s="102" t="s">
        <v>94</v>
      </c>
      <c r="P2" s="102" t="s">
        <v>95</v>
      </c>
      <c r="Q2" s="95" t="s">
        <v>624</v>
      </c>
      <c r="R2" s="103" t="s">
        <v>331</v>
      </c>
      <c r="S2" s="104" t="s">
        <v>332</v>
      </c>
      <c r="T2" s="105" t="s">
        <v>333</v>
      </c>
      <c r="U2" s="105" t="s">
        <v>682</v>
      </c>
      <c r="V2" s="105" t="s">
        <v>97</v>
      </c>
      <c r="W2" s="95" t="s">
        <v>330</v>
      </c>
      <c r="X2" s="106" t="s">
        <v>919</v>
      </c>
      <c r="Y2" s="105" t="s">
        <v>334</v>
      </c>
      <c r="Z2" s="95" t="s">
        <v>98</v>
      </c>
      <c r="AA2" s="107" t="s">
        <v>933</v>
      </c>
      <c r="AB2" s="108" t="s">
        <v>934</v>
      </c>
      <c r="AC2" s="108" t="s">
        <v>928</v>
      </c>
      <c r="AD2" s="109" t="s">
        <v>926</v>
      </c>
      <c r="AE2" s="97" t="s">
        <v>792</v>
      </c>
      <c r="AF2" s="97" t="s">
        <v>793</v>
      </c>
      <c r="AG2" s="97" t="s">
        <v>2</v>
      </c>
      <c r="AH2" s="97" t="s">
        <v>3</v>
      </c>
      <c r="AI2" s="97" t="s">
        <v>5</v>
      </c>
      <c r="AJ2" s="97" t="s">
        <v>794</v>
      </c>
      <c r="AK2" s="97" t="s">
        <v>6</v>
      </c>
      <c r="AL2" s="95" t="s">
        <v>918</v>
      </c>
    </row>
    <row r="3" spans="1:38" s="112" customFormat="1" ht="13.8" x14ac:dyDescent="0.3">
      <c r="A3" s="129" t="str" cm="1">
        <f t="array" ref="A3:AL49">_xlfn._xlws.FILTER(DATABASE_Table[],DATABASE_Table[Development]=$A$1,"")</f>
        <v>NOBILUS</v>
      </c>
      <c r="B3" s="129" t="str">
        <v>Vilamoura</v>
      </c>
      <c r="C3" s="110" t="str">
        <v>AK</v>
      </c>
      <c r="D3" s="110" t="str">
        <v>Vilamoura, Algarve</v>
      </c>
      <c r="E3" s="110" t="str">
        <v>T2</v>
      </c>
      <c r="F3" s="110">
        <v>111.82</v>
      </c>
      <c r="G3" s="110">
        <v>3.99</v>
      </c>
      <c r="H3" s="110" t="str">
        <v/>
      </c>
      <c r="I3" s="110" t="str">
        <v/>
      </c>
      <c r="J3" s="110">
        <v>0</v>
      </c>
      <c r="K3" s="110">
        <v>0</v>
      </c>
      <c r="L3" s="110">
        <v>0</v>
      </c>
      <c r="M3" s="110">
        <v>0</v>
      </c>
      <c r="N3" s="110">
        <v>0</v>
      </c>
      <c r="O3" s="110">
        <v>111.82</v>
      </c>
      <c r="P3" s="110">
        <v>0</v>
      </c>
      <c r="Q3" s="110" t="str">
        <v xml:space="preserve">PSPA </v>
      </c>
      <c r="R3" s="110">
        <v>720000</v>
      </c>
      <c r="S3" s="110">
        <v>720000</v>
      </c>
      <c r="T3" s="110">
        <v>650000</v>
      </c>
      <c r="U3" s="110">
        <v>0</v>
      </c>
      <c r="V3" s="110">
        <v>0</v>
      </c>
      <c r="W3" s="110">
        <v>650000</v>
      </c>
      <c r="X3" s="110">
        <v>-5.2307692307692402E-2</v>
      </c>
      <c r="Y3" s="110">
        <v>684000</v>
      </c>
      <c r="Z3" s="110">
        <v>684000</v>
      </c>
      <c r="AA3" s="110">
        <v>45441</v>
      </c>
      <c r="AB3" s="111" t="str">
        <v>Q2 2024</v>
      </c>
      <c r="AC3" s="112">
        <v>45898</v>
      </c>
      <c r="AD3" s="112">
        <v>0</v>
      </c>
      <c r="AE3" s="112" t="str">
        <v>Ana Damásio</v>
      </c>
      <c r="AF3" s="112" t="str">
        <v>Elisabete Figueiredo</v>
      </c>
      <c r="AG3" s="112" t="str">
        <v>https://www.vilamouraworld.com/real-estate/nobilus/</v>
      </c>
      <c r="AH3" s="112" t="str">
        <v>Renowned as one of the area’s most high-end residential choices, Nobilus is made from the finest sustainable materials. Find your zen in this eco-minded paradise.</v>
      </c>
      <c r="AI3" s="112" t="str">
        <v>Gym, Sauna, Condo Pool, Private Pools, Outdoor Areas, Smart Home Technology, Underground Parking</v>
      </c>
      <c r="AJ3" s="112" t="str">
        <v>Projeto construção sustentável; Excelente localização; Arquitetura de excelência em Vilamoura (Atelier Fragmentos); Piscina de condomínio e piscinas privativas; Garagens privadas.</v>
      </c>
      <c r="AK3" s="112" t="str">
        <v>Fragmentos</v>
      </c>
      <c r="AL3" s="112" t="str">
        <v>Nobilus</v>
      </c>
    </row>
    <row r="4" spans="1:38" x14ac:dyDescent="0.3">
      <c r="A4" s="129" t="str">
        <v>NOBILUS</v>
      </c>
      <c r="B4" s="129" t="str">
        <v>Vilamoura</v>
      </c>
      <c r="C4" s="110" t="str">
        <v>A</v>
      </c>
      <c r="D4" s="110" t="str">
        <v>Vilamoura, Algarve</v>
      </c>
      <c r="E4" s="110" t="str">
        <v>T2</v>
      </c>
      <c r="F4" s="110">
        <v>112.9</v>
      </c>
      <c r="G4" s="110">
        <v>3.99</v>
      </c>
      <c r="H4" s="110" t="str">
        <v>18-19</v>
      </c>
      <c r="I4" s="110" t="str">
        <v/>
      </c>
      <c r="J4" s="110">
        <v>0</v>
      </c>
      <c r="K4" s="110">
        <v>0</v>
      </c>
      <c r="L4" s="110">
        <v>0</v>
      </c>
      <c r="M4" s="110">
        <v>0</v>
      </c>
      <c r="N4" s="110">
        <v>0</v>
      </c>
      <c r="O4" s="110">
        <v>112.9</v>
      </c>
      <c r="P4" s="110">
        <v>0</v>
      </c>
      <c r="Q4" s="110" t="str">
        <v xml:space="preserve">PSPA </v>
      </c>
      <c r="R4" s="110">
        <v>725000</v>
      </c>
      <c r="S4" s="110">
        <v>725000</v>
      </c>
      <c r="T4" s="110">
        <v>725000</v>
      </c>
      <c r="U4" s="110">
        <v>0</v>
      </c>
      <c r="V4" s="110">
        <v>0</v>
      </c>
      <c r="W4" s="110">
        <v>725000</v>
      </c>
      <c r="X4" s="110">
        <v>0</v>
      </c>
      <c r="Y4" s="110">
        <v>725000</v>
      </c>
      <c r="Z4" s="110">
        <v>725000</v>
      </c>
      <c r="AA4" s="110">
        <v>45441</v>
      </c>
      <c r="AB4" s="111" t="str">
        <v>Q2 2024</v>
      </c>
      <c r="AC4">
        <v>46013</v>
      </c>
      <c r="AD4">
        <v>0</v>
      </c>
      <c r="AE4" t="str">
        <v>Ana Damásio</v>
      </c>
      <c r="AF4" t="str">
        <v>Elisabete Figueiredo</v>
      </c>
      <c r="AG4" t="str">
        <v>https://www.vilamouraworld.com/real-estate/nobilus/</v>
      </c>
      <c r="AH4" t="str">
        <v>Renowned as one of the area’s most high-end residential choices, Nobilus is made from the finest sustainable materials. Find your zen in this eco-minded paradise.</v>
      </c>
      <c r="AI4" t="str">
        <v>Gym, Sauna, Condo Pool, Private Pools, Outdoor Areas, Smart Home Technology, Underground Parking</v>
      </c>
      <c r="AJ4" t="str">
        <v>Projeto construção sustentável; Excelente localização; Arquitetura de excelência em Vilamoura (Atelier Fragmentos); Piscina de condomínio e piscinas privativas; Garagens privadas.</v>
      </c>
      <c r="AK4" t="str">
        <v>Fragmentos</v>
      </c>
      <c r="AL4" t="str">
        <v>Nobilus</v>
      </c>
    </row>
    <row r="5" spans="1:38" x14ac:dyDescent="0.3">
      <c r="A5" s="129" t="str">
        <v>NOBILUS</v>
      </c>
      <c r="B5" s="129" t="str">
        <v>Vilamoura</v>
      </c>
      <c r="C5" s="110" t="str">
        <v>AB</v>
      </c>
      <c r="D5" s="110" t="str">
        <v>Vilamoura, Algarve</v>
      </c>
      <c r="E5" s="110" t="str">
        <v>T3</v>
      </c>
      <c r="F5" s="110">
        <v>153.46</v>
      </c>
      <c r="G5" s="110">
        <v>3.99</v>
      </c>
      <c r="H5" s="110" t="str">
        <v>72</v>
      </c>
      <c r="I5" s="110" t="str">
        <v>Yes</v>
      </c>
      <c r="J5" s="110">
        <v>0</v>
      </c>
      <c r="K5" s="110">
        <v>0</v>
      </c>
      <c r="L5" s="110">
        <v>0</v>
      </c>
      <c r="M5" s="110">
        <v>0</v>
      </c>
      <c r="N5" s="110">
        <v>0</v>
      </c>
      <c r="O5" s="110">
        <v>153.46</v>
      </c>
      <c r="P5" s="110">
        <v>0</v>
      </c>
      <c r="Q5" s="110" t="str">
        <v xml:space="preserve">PSPA </v>
      </c>
      <c r="R5" s="110">
        <v>1040000</v>
      </c>
      <c r="S5" s="110">
        <v>1040000</v>
      </c>
      <c r="T5" s="110">
        <v>988000</v>
      </c>
      <c r="U5" s="110">
        <v>0</v>
      </c>
      <c r="V5" s="110">
        <v>0</v>
      </c>
      <c r="W5" s="110">
        <v>988000</v>
      </c>
      <c r="X5" s="110">
        <v>0</v>
      </c>
      <c r="Y5" s="110">
        <v>988000</v>
      </c>
      <c r="Z5" s="110">
        <v>988000</v>
      </c>
      <c r="AA5" s="110">
        <v>45441</v>
      </c>
      <c r="AB5" s="111" t="str">
        <v>Q2 2024</v>
      </c>
      <c r="AC5">
        <v>45630</v>
      </c>
      <c r="AD5">
        <v>0</v>
      </c>
      <c r="AE5" t="str">
        <v>Ana Damásio</v>
      </c>
      <c r="AF5" t="str">
        <v>Elisabete Figueiredo</v>
      </c>
      <c r="AG5" t="str">
        <v>https://www.vilamouraworld.com/real-estate/nobilus/</v>
      </c>
      <c r="AH5" t="str">
        <v>Renowned as one of the area’s most high-end residential choices, Nobilus is made from the finest sustainable materials. Find your zen in this eco-minded paradise.</v>
      </c>
      <c r="AI5" t="str">
        <v>Gym, Sauna, Condo Pool, Private Pools, Outdoor Areas, Smart Home Technology, Underground Parking</v>
      </c>
      <c r="AJ5" t="str">
        <v>Projeto construção sustentável; Excelente localização; Arquitetura de excelência em Vilamoura (Atelier Fragmentos); Piscina de condomínio e piscinas privativas; Garagens privadas.</v>
      </c>
      <c r="AK5" t="str">
        <v>Fragmentos</v>
      </c>
      <c r="AL5" t="str">
        <v>Nobilus</v>
      </c>
    </row>
    <row r="6" spans="1:38" x14ac:dyDescent="0.3">
      <c r="A6" s="129" t="str">
        <v>NOBILUS</v>
      </c>
      <c r="B6" s="129" t="str">
        <v>Vilamoura</v>
      </c>
      <c r="C6" s="110" t="str">
        <v>AE</v>
      </c>
      <c r="D6" s="110" t="str">
        <v>Vilamoura, Algarve</v>
      </c>
      <c r="E6" s="110" t="str">
        <v>T3</v>
      </c>
      <c r="F6" s="110">
        <v>153.4</v>
      </c>
      <c r="G6" s="110">
        <v>3.99</v>
      </c>
      <c r="H6" s="110" t="str">
        <v>63-64</v>
      </c>
      <c r="I6" s="110" t="str">
        <v>Yes</v>
      </c>
      <c r="J6" s="110">
        <v>0</v>
      </c>
      <c r="K6" s="110">
        <v>0</v>
      </c>
      <c r="L6" s="110">
        <v>0</v>
      </c>
      <c r="M6" s="110">
        <v>0</v>
      </c>
      <c r="N6" s="110">
        <v>0</v>
      </c>
      <c r="O6" s="110">
        <v>153.4</v>
      </c>
      <c r="P6" s="110">
        <v>0</v>
      </c>
      <c r="Q6" s="110" t="str">
        <v xml:space="preserve">PSPA </v>
      </c>
      <c r="R6" s="110">
        <v>1110000</v>
      </c>
      <c r="S6" s="110">
        <v>1110000</v>
      </c>
      <c r="T6" s="110">
        <v>1054500</v>
      </c>
      <c r="U6" s="110">
        <v>0</v>
      </c>
      <c r="V6" s="110">
        <v>0</v>
      </c>
      <c r="W6" s="110">
        <v>1054500</v>
      </c>
      <c r="X6" s="110">
        <v>0</v>
      </c>
      <c r="Y6" s="110">
        <v>1054500</v>
      </c>
      <c r="Z6" s="110">
        <v>1054500</v>
      </c>
      <c r="AA6" s="110">
        <v>45441</v>
      </c>
      <c r="AB6" s="111" t="str">
        <v>Q2 2024</v>
      </c>
      <c r="AC6">
        <v>45716</v>
      </c>
      <c r="AD6">
        <v>0</v>
      </c>
      <c r="AE6" t="str">
        <v>Ana Damásio</v>
      </c>
      <c r="AF6" t="str">
        <v>Elisabete Figueiredo</v>
      </c>
      <c r="AG6" t="str">
        <v>https://www.vilamouraworld.com/real-estate/nobilus/</v>
      </c>
      <c r="AH6" t="str">
        <v>Renowned as one of the area’s most high-end residential choices, Nobilus is made from the finest sustainable materials. Find your zen in this eco-minded paradise.</v>
      </c>
      <c r="AI6" t="str">
        <v>Gym, Sauna, Condo Pool, Private Pools, Outdoor Areas, Smart Home Technology, Underground Parking</v>
      </c>
      <c r="AJ6" t="str">
        <v>Projeto construção sustentável; Excelente localização; Arquitetura de excelência em Vilamoura (Atelier Fragmentos); Piscina de condomínio e piscinas privativas; Garagens privadas.</v>
      </c>
      <c r="AK6" t="str">
        <v>Fragmentos</v>
      </c>
      <c r="AL6" t="str">
        <v>Nobilus</v>
      </c>
    </row>
    <row r="7" spans="1:38" x14ac:dyDescent="0.3">
      <c r="A7" s="129" t="str">
        <v>NOBILUS</v>
      </c>
      <c r="B7" s="129" t="str">
        <v>Vilamoura</v>
      </c>
      <c r="C7" s="110" t="str">
        <v>AL</v>
      </c>
      <c r="D7" s="110" t="str">
        <v>Vilamoura, Algarve</v>
      </c>
      <c r="E7" s="110" t="str">
        <v>T2</v>
      </c>
      <c r="F7" s="110">
        <v>109.17</v>
      </c>
      <c r="G7" s="110">
        <v>3.99</v>
      </c>
      <c r="H7" s="110" t="str">
        <v/>
      </c>
      <c r="I7" s="110" t="str">
        <v/>
      </c>
      <c r="J7" s="110">
        <v>0</v>
      </c>
      <c r="K7" s="110">
        <v>0</v>
      </c>
      <c r="L7" s="110">
        <v>0</v>
      </c>
      <c r="M7" s="110">
        <v>0</v>
      </c>
      <c r="N7" s="110">
        <v>0</v>
      </c>
      <c r="O7" s="110">
        <v>109.17</v>
      </c>
      <c r="P7" s="110">
        <v>0</v>
      </c>
      <c r="Q7" s="110" t="str">
        <v xml:space="preserve">PSPA </v>
      </c>
      <c r="R7" s="110">
        <v>720000</v>
      </c>
      <c r="S7" s="110">
        <v>720000</v>
      </c>
      <c r="T7" s="110">
        <v>684000</v>
      </c>
      <c r="U7" s="110">
        <v>0</v>
      </c>
      <c r="V7" s="110">
        <v>0</v>
      </c>
      <c r="W7" s="110">
        <v>684000</v>
      </c>
      <c r="X7" s="110">
        <v>0</v>
      </c>
      <c r="Y7" s="110">
        <v>684000</v>
      </c>
      <c r="Z7" s="110">
        <v>684000</v>
      </c>
      <c r="AA7" s="110">
        <v>45441</v>
      </c>
      <c r="AB7" s="111" t="str">
        <v>Q2 2024</v>
      </c>
      <c r="AC7">
        <v>45955</v>
      </c>
      <c r="AD7">
        <v>0</v>
      </c>
      <c r="AE7" t="str">
        <v>Ana Damásio</v>
      </c>
      <c r="AF7" t="str">
        <v>Elisabete Figueiredo</v>
      </c>
      <c r="AG7" t="str">
        <v>https://www.vilamouraworld.com/real-estate/nobilus/</v>
      </c>
      <c r="AH7" t="str">
        <v>Renowned as one of the area’s most high-end residential choices, Nobilus is made from the finest sustainable materials. Find your zen in this eco-minded paradise.</v>
      </c>
      <c r="AI7" t="str">
        <v>Gym, Sauna, Condo Pool, Private Pools, Outdoor Areas, Smart Home Technology, Underground Parking</v>
      </c>
      <c r="AJ7" t="str">
        <v>Projeto construção sustentável; Excelente localização; Arquitetura de excelência em Vilamoura (Atelier Fragmentos); Piscina de condomínio e piscinas privativas; Garagens privadas.</v>
      </c>
      <c r="AK7" t="str">
        <v>Fragmentos</v>
      </c>
      <c r="AL7" t="str">
        <v>Nobilus</v>
      </c>
    </row>
    <row r="8" spans="1:38" x14ac:dyDescent="0.3">
      <c r="A8" s="129" t="str">
        <v>NOBILUS</v>
      </c>
      <c r="B8" s="129" t="str">
        <v>Vilamoura</v>
      </c>
      <c r="C8" s="110" t="str">
        <v>AQ</v>
      </c>
      <c r="D8" s="110" t="str">
        <v>Vilamoura, Algarve</v>
      </c>
      <c r="E8" s="110" t="str">
        <v>T2</v>
      </c>
      <c r="F8" s="110">
        <v>109.16</v>
      </c>
      <c r="G8" s="110">
        <v>0</v>
      </c>
      <c r="H8" s="110" t="str">
        <v/>
      </c>
      <c r="I8" s="110" t="str">
        <v/>
      </c>
      <c r="J8" s="110">
        <v>0</v>
      </c>
      <c r="K8" s="110">
        <v>0</v>
      </c>
      <c r="L8" s="110">
        <v>0</v>
      </c>
      <c r="M8" s="110">
        <v>0</v>
      </c>
      <c r="N8" s="110">
        <v>0</v>
      </c>
      <c r="O8" s="110">
        <v>109.16</v>
      </c>
      <c r="P8" s="110">
        <v>0</v>
      </c>
      <c r="Q8" s="110" t="str">
        <v xml:space="preserve">PSPA </v>
      </c>
      <c r="R8" s="110">
        <v>720000</v>
      </c>
      <c r="S8" s="110">
        <v>720000</v>
      </c>
      <c r="T8" s="110">
        <v>684000</v>
      </c>
      <c r="U8" s="110">
        <v>0</v>
      </c>
      <c r="V8" s="110">
        <v>0</v>
      </c>
      <c r="W8" s="110">
        <v>684000</v>
      </c>
      <c r="X8" s="110">
        <v>0</v>
      </c>
      <c r="Y8" s="110">
        <v>684000</v>
      </c>
      <c r="Z8" s="110">
        <v>684000</v>
      </c>
      <c r="AA8" s="110">
        <v>45441</v>
      </c>
      <c r="AB8" s="111" t="str">
        <v>Q2 2024</v>
      </c>
      <c r="AC8">
        <v>45687</v>
      </c>
      <c r="AD8">
        <v>0</v>
      </c>
      <c r="AE8" t="str">
        <v>Ana Damásio</v>
      </c>
      <c r="AF8" t="str">
        <v>Elisabete Figueiredo</v>
      </c>
      <c r="AG8" t="str">
        <v>https://www.vilamouraworld.com/real-estate/nobilus/</v>
      </c>
      <c r="AH8" t="str">
        <v>Renowned as one of the area’s most high-end residential choices, Nobilus is made from the finest sustainable materials. Find your zen in this eco-minded paradise.</v>
      </c>
      <c r="AI8" t="str">
        <v>Gym, Sauna, Condo Pool, Private Pools, Outdoor Areas, Smart Home Technology, Underground Parking</v>
      </c>
      <c r="AJ8" t="str">
        <v>Projeto construção sustentável; Excelente localização; Arquitetura de excelência em Vilamoura (Atelier Fragmentos); Piscina de condomínio e piscinas privativas; Garagens privadas.</v>
      </c>
      <c r="AK8" t="str">
        <v>Fragmentos</v>
      </c>
      <c r="AL8" t="str">
        <v>Nobilus</v>
      </c>
    </row>
    <row r="9" spans="1:38" x14ac:dyDescent="0.3">
      <c r="A9" s="129" t="str">
        <v>NOBILUS</v>
      </c>
      <c r="B9" s="129" t="str">
        <v>Vilamoura</v>
      </c>
      <c r="C9" s="110" t="str">
        <v>D</v>
      </c>
      <c r="D9" s="110" t="str">
        <v>Vilamoura, Algarve</v>
      </c>
      <c r="E9" s="110" t="str">
        <v>T2</v>
      </c>
      <c r="F9" s="110">
        <v>112.9</v>
      </c>
      <c r="G9" s="110">
        <v>0</v>
      </c>
      <c r="H9" s="110" t="str">
        <v>93</v>
      </c>
      <c r="I9" s="110" t="str">
        <v/>
      </c>
      <c r="J9" s="110">
        <v>32.36</v>
      </c>
      <c r="K9" s="110">
        <v>0</v>
      </c>
      <c r="L9" s="110">
        <v>0</v>
      </c>
      <c r="M9" s="110">
        <v>0</v>
      </c>
      <c r="N9" s="110">
        <v>0</v>
      </c>
      <c r="O9" s="110">
        <v>112.9</v>
      </c>
      <c r="P9" s="110">
        <v>0</v>
      </c>
      <c r="Q9" s="110" t="str">
        <v xml:space="preserve">PSPA </v>
      </c>
      <c r="R9" s="110">
        <v>780000</v>
      </c>
      <c r="S9" s="110">
        <v>780000</v>
      </c>
      <c r="T9" s="110">
        <v>780000</v>
      </c>
      <c r="U9" s="110">
        <v>0</v>
      </c>
      <c r="V9" s="110">
        <v>0</v>
      </c>
      <c r="W9" s="110">
        <v>780000</v>
      </c>
      <c r="X9" s="110">
        <v>0</v>
      </c>
      <c r="Y9" s="110">
        <v>780000</v>
      </c>
      <c r="Z9" s="110">
        <v>780000</v>
      </c>
      <c r="AA9" s="110">
        <v>45441</v>
      </c>
      <c r="AB9" s="111" t="str">
        <v>Q2 2024</v>
      </c>
      <c r="AC9">
        <v>45988</v>
      </c>
      <c r="AD9">
        <v>0</v>
      </c>
      <c r="AE9" t="str">
        <v>Ana Damásio</v>
      </c>
      <c r="AF9" t="str">
        <v>Elisabete Figueiredo</v>
      </c>
      <c r="AG9" t="str">
        <v>https://www.vilamouraworld.com/real-estate/nobilus/</v>
      </c>
      <c r="AH9" t="str">
        <v>Renowned as one of the area’s most high-end residential choices, Nobilus is made from the finest sustainable materials. Find your zen in this eco-minded paradise.</v>
      </c>
      <c r="AI9" t="str">
        <v>Gym, Sauna, Condo Pool, Private Pools, Outdoor Areas, Smart Home Technology, Underground Parking</v>
      </c>
      <c r="AJ9" t="str">
        <v>Projeto construção sustentável; Excelente localização; Arquitetura de excelência em Vilamoura (Atelier Fragmentos); Piscina de condomínio e piscinas privativas; Garagens privadas.</v>
      </c>
      <c r="AK9" t="str">
        <v>Fragmentos</v>
      </c>
      <c r="AL9" t="str">
        <v>Nobilus</v>
      </c>
    </row>
    <row r="10" spans="1:38" x14ac:dyDescent="0.3">
      <c r="A10" s="110" t="str">
        <v>NOBILUS</v>
      </c>
      <c r="B10" s="110" t="str">
        <v>Vilamoura</v>
      </c>
      <c r="C10" s="110" t="str">
        <v>F</v>
      </c>
      <c r="D10" s="110" t="str">
        <v>Vilamoura, Algarve</v>
      </c>
      <c r="E10" s="110" t="str">
        <v>T2</v>
      </c>
      <c r="F10" s="110">
        <v>106.6</v>
      </c>
      <c r="G10" s="110">
        <v>3.37</v>
      </c>
      <c r="H10" s="110" t="str">
        <v>36-37</v>
      </c>
      <c r="I10" s="110" t="str">
        <v/>
      </c>
      <c r="J10" s="110">
        <v>0</v>
      </c>
      <c r="K10" s="110">
        <v>0</v>
      </c>
      <c r="L10" s="110">
        <v>0</v>
      </c>
      <c r="M10" s="110">
        <v>0</v>
      </c>
      <c r="N10" s="110">
        <v>0</v>
      </c>
      <c r="O10" s="110">
        <v>106.6</v>
      </c>
      <c r="P10" s="110">
        <v>0</v>
      </c>
      <c r="Q10" s="110" t="str">
        <v xml:space="preserve">PSPA </v>
      </c>
      <c r="R10" s="110">
        <v>700000</v>
      </c>
      <c r="S10" s="110">
        <v>700000</v>
      </c>
      <c r="T10" s="110">
        <v>700000</v>
      </c>
      <c r="U10" s="110">
        <v>0</v>
      </c>
      <c r="V10" s="110">
        <v>0</v>
      </c>
      <c r="W10" s="110">
        <v>700000</v>
      </c>
      <c r="X10" s="110">
        <v>0</v>
      </c>
      <c r="Y10" s="110">
        <v>700000</v>
      </c>
      <c r="Z10" s="110">
        <v>700000</v>
      </c>
      <c r="AA10" s="110">
        <v>45441</v>
      </c>
      <c r="AB10" s="111" t="str">
        <v>Q2 2024</v>
      </c>
      <c r="AC10">
        <v>45936</v>
      </c>
      <c r="AD10">
        <v>0</v>
      </c>
      <c r="AE10" t="str">
        <v>Ana Damásio</v>
      </c>
      <c r="AF10" t="str">
        <v>Elisabete Figueiredo</v>
      </c>
      <c r="AG10" t="str">
        <v>https://www.vilamouraworld.com/real-estate/nobilus/</v>
      </c>
      <c r="AH10" t="str">
        <v>Renowned as one of the area’s most high-end residential choices, Nobilus is made from the finest sustainable materials. Find your zen in this eco-minded paradise.</v>
      </c>
      <c r="AI10" t="str">
        <v>Gym, Sauna, Condo Pool, Private Pools, Outdoor Areas, Smart Home Technology, Underground Parking</v>
      </c>
      <c r="AJ10" t="str">
        <v>Projeto construção sustentável; Excelente localização; Arquitetura de excelência em Vilamoura (Atelier Fragmentos); Piscina de condomínio e piscinas privativas; Garagens privadas.</v>
      </c>
      <c r="AK10" t="str">
        <v>Fragmentos</v>
      </c>
      <c r="AL10" t="str">
        <v>Nobilus</v>
      </c>
    </row>
    <row r="11" spans="1:38" x14ac:dyDescent="0.3">
      <c r="A11" s="110" t="str">
        <v>NOBILUS</v>
      </c>
      <c r="B11" s="110" t="str">
        <v>Vilamoura</v>
      </c>
      <c r="C11" s="110" t="str">
        <v>J</v>
      </c>
      <c r="D11" s="110" t="str">
        <v>Vilamoura, Algarve</v>
      </c>
      <c r="E11" s="110" t="str">
        <v>T3</v>
      </c>
      <c r="F11" s="110">
        <v>153.72</v>
      </c>
      <c r="G11" s="110">
        <v>4.45</v>
      </c>
      <c r="H11" s="110" t="str">
        <v>33-34</v>
      </c>
      <c r="I11" s="110" t="str">
        <v>Yes</v>
      </c>
      <c r="J11" s="110">
        <v>0</v>
      </c>
      <c r="K11" s="110">
        <v>0</v>
      </c>
      <c r="L11" s="110">
        <v>0</v>
      </c>
      <c r="M11" s="110">
        <v>0</v>
      </c>
      <c r="N11" s="110">
        <v>0</v>
      </c>
      <c r="O11" s="110">
        <v>153.72</v>
      </c>
      <c r="P11" s="110">
        <v>0</v>
      </c>
      <c r="Q11" s="110" t="str">
        <v xml:space="preserve">PSPA </v>
      </c>
      <c r="R11" s="110">
        <v>1080000</v>
      </c>
      <c r="S11" s="110">
        <v>1080000</v>
      </c>
      <c r="T11" s="110">
        <v>1080000</v>
      </c>
      <c r="U11" s="110">
        <v>0</v>
      </c>
      <c r="V11" s="110">
        <v>0</v>
      </c>
      <c r="W11" s="110">
        <v>1080000</v>
      </c>
      <c r="X11" s="110">
        <v>0</v>
      </c>
      <c r="Y11" s="110">
        <v>1080000</v>
      </c>
      <c r="Z11" s="110">
        <v>1080000</v>
      </c>
      <c r="AA11" s="110">
        <v>45441</v>
      </c>
      <c r="AB11" s="111" t="str">
        <v>Q2 2024</v>
      </c>
      <c r="AC11">
        <v>46013</v>
      </c>
      <c r="AD11">
        <v>0</v>
      </c>
      <c r="AE11" t="str">
        <v>Ana Damásio</v>
      </c>
      <c r="AF11" t="str">
        <v>Elisabete Figueiredo</v>
      </c>
      <c r="AG11" t="str">
        <v>https://www.vilamouraworld.com/real-estate/nobilus/</v>
      </c>
      <c r="AH11" t="str">
        <v>Renowned as one of the area’s most high-end residential choices, Nobilus is made from the finest sustainable materials. Find your zen in this eco-minded paradise.</v>
      </c>
      <c r="AI11" t="str">
        <v>Gym, Sauna, Condo Pool, Private Pools, Outdoor Areas, Smart Home Technology, Underground Parking</v>
      </c>
      <c r="AJ11" t="str">
        <v>Projeto construção sustentável; Excelente localização; Arquitetura de excelência em Vilamoura (Atelier Fragmentos); Piscina de condomínio e piscinas privativas; Garagens privadas.</v>
      </c>
      <c r="AK11" t="str">
        <v>Fragmentos</v>
      </c>
      <c r="AL11" t="str">
        <v>Nobilus</v>
      </c>
    </row>
    <row r="12" spans="1:38" x14ac:dyDescent="0.3">
      <c r="A12" s="110" t="str">
        <v>NOBILUS</v>
      </c>
      <c r="B12" s="110" t="str">
        <v>Vilamoura</v>
      </c>
      <c r="C12" s="110" t="str">
        <v>Y</v>
      </c>
      <c r="D12" s="110" t="str">
        <v>Vilamoura, Algarve</v>
      </c>
      <c r="E12" s="110" t="str">
        <v>T3</v>
      </c>
      <c r="F12" s="110">
        <v>150.91</v>
      </c>
      <c r="G12" s="110">
        <v>4.46</v>
      </c>
      <c r="H12" s="110" t="str">
        <v>70-71</v>
      </c>
      <c r="I12" s="110" t="str">
        <v>Yes</v>
      </c>
      <c r="J12" s="110">
        <v>5.15</v>
      </c>
      <c r="K12" s="110">
        <v>0</v>
      </c>
      <c r="L12" s="110">
        <v>0</v>
      </c>
      <c r="M12" s="110">
        <v>0</v>
      </c>
      <c r="N12" s="110">
        <v>0</v>
      </c>
      <c r="O12" s="110">
        <v>150.91</v>
      </c>
      <c r="P12" s="110">
        <v>0</v>
      </c>
      <c r="Q12" s="110" t="str">
        <v xml:space="preserve">PSPA </v>
      </c>
      <c r="R12" s="110">
        <v>1280000</v>
      </c>
      <c r="S12" s="110">
        <v>1280000</v>
      </c>
      <c r="T12" s="110">
        <v>1216000</v>
      </c>
      <c r="U12" s="110">
        <v>0</v>
      </c>
      <c r="V12" s="110">
        <v>0</v>
      </c>
      <c r="W12" s="110">
        <v>1216000</v>
      </c>
      <c r="X12" s="110">
        <v>0</v>
      </c>
      <c r="Y12" s="110">
        <v>1216000</v>
      </c>
      <c r="Z12" s="110">
        <v>1216000</v>
      </c>
      <c r="AA12" s="110">
        <v>45441</v>
      </c>
      <c r="AB12" s="111" t="str">
        <v>Q2 2024</v>
      </c>
      <c r="AC12">
        <v>45701</v>
      </c>
      <c r="AD12">
        <v>0</v>
      </c>
      <c r="AE12" t="str">
        <v>Ana Damásio</v>
      </c>
      <c r="AF12" t="str">
        <v>Elisabete Figueiredo</v>
      </c>
      <c r="AG12" t="str">
        <v>https://www.vilamouraworld.com/real-estate/nobilus/</v>
      </c>
      <c r="AH12" t="str">
        <v>Renowned as one of the area’s most high-end residential choices, Nobilus is made from the finest sustainable materials. Find your zen in this eco-minded paradise.</v>
      </c>
      <c r="AI12" t="str">
        <v>Gym, Sauna, Condo Pool, Private Pools, Outdoor Areas, Smart Home Technology, Underground Parking</v>
      </c>
      <c r="AJ12" t="str">
        <v>Projeto construção sustentável; Excelente localização; Arquitetura de excelência em Vilamoura (Atelier Fragmentos); Piscina de condomínio e piscinas privativas; Garagens privadas.</v>
      </c>
      <c r="AK12" t="str">
        <v>Fragmentos</v>
      </c>
      <c r="AL12" t="str">
        <v>Nobilus</v>
      </c>
    </row>
    <row r="13" spans="1:38" x14ac:dyDescent="0.3">
      <c r="A13" s="110" t="str">
        <v>NOBILUS</v>
      </c>
      <c r="B13" s="110" t="str">
        <v>Vilamoura</v>
      </c>
      <c r="C13" s="110" t="str">
        <v>AO</v>
      </c>
      <c r="D13" s="110" t="str">
        <v>Vilamoura, Algarve</v>
      </c>
      <c r="E13" s="110" t="str">
        <v>T2</v>
      </c>
      <c r="F13" s="110">
        <v>113.23</v>
      </c>
      <c r="G13" s="110">
        <v>0</v>
      </c>
      <c r="H13" s="110" t="str">
        <v/>
      </c>
      <c r="I13" s="110" t="str">
        <v/>
      </c>
      <c r="J13" s="110">
        <v>7.98</v>
      </c>
      <c r="K13" s="110">
        <v>0</v>
      </c>
      <c r="L13" s="110">
        <v>0</v>
      </c>
      <c r="M13" s="110">
        <v>0</v>
      </c>
      <c r="N13" s="110">
        <v>0</v>
      </c>
      <c r="O13" s="110">
        <v>113.23</v>
      </c>
      <c r="P13" s="110">
        <v>0</v>
      </c>
      <c r="Q13" s="110" t="str">
        <v xml:space="preserve">PSPA </v>
      </c>
      <c r="R13" s="110">
        <v>750000</v>
      </c>
      <c r="S13" s="110">
        <v>750000</v>
      </c>
      <c r="T13" s="110">
        <v>750000</v>
      </c>
      <c r="U13" s="110">
        <v>0</v>
      </c>
      <c r="V13" s="110">
        <v>0</v>
      </c>
      <c r="W13" s="110">
        <v>750000</v>
      </c>
      <c r="X13" s="110">
        <v>0.01</v>
      </c>
      <c r="Y13" s="110">
        <v>742500</v>
      </c>
      <c r="Z13" s="110">
        <v>742500</v>
      </c>
      <c r="AA13" s="110">
        <v>45441</v>
      </c>
      <c r="AB13" s="111" t="str">
        <v>Q2 2024</v>
      </c>
      <c r="AC13">
        <v>46093</v>
      </c>
      <c r="AD13">
        <v>0</v>
      </c>
      <c r="AE13" t="str">
        <v>Ana Damásio</v>
      </c>
      <c r="AF13" t="str">
        <v>Elisabete Figueiredo</v>
      </c>
      <c r="AG13" t="str">
        <v>https://www.vilamouraworld.com/real-estate/nobilus/</v>
      </c>
      <c r="AH13" t="str">
        <v>Renowned as one of the area’s most high-end residential choices, Nobilus is made from the finest sustainable materials. Find your zen in this eco-minded paradise.</v>
      </c>
      <c r="AI13" t="str">
        <v>Gym, Sauna, Condo Pool, Private Pools, Outdoor Areas, Smart Home Technology, Underground Parking</v>
      </c>
      <c r="AJ13" t="str">
        <v>Projeto construção sustentável; Excelente localização; Arquitetura de excelência em Vilamoura (Atelier Fragmentos); Piscina de condomínio e piscinas privativas; Garagens privadas.</v>
      </c>
      <c r="AK13" t="str">
        <v>Fragmentos</v>
      </c>
      <c r="AL13" t="str">
        <v>Nobilus</v>
      </c>
    </row>
    <row r="14" spans="1:38" x14ac:dyDescent="0.3">
      <c r="A14" s="110" t="str">
        <v>NOBILUS</v>
      </c>
      <c r="B14" s="110" t="str">
        <v>Vilamoura</v>
      </c>
      <c r="C14" s="110" t="str">
        <v>B</v>
      </c>
      <c r="D14" s="110" t="str">
        <v>Vilamoura, Algarve</v>
      </c>
      <c r="E14" s="110" t="str">
        <v>T2</v>
      </c>
      <c r="F14" s="110">
        <v>112.9</v>
      </c>
      <c r="G14" s="110">
        <v>0</v>
      </c>
      <c r="H14" s="110" t="str">
        <v>14-15</v>
      </c>
      <c r="I14" s="110" t="str">
        <v/>
      </c>
      <c r="J14" s="110">
        <v>17.59</v>
      </c>
      <c r="K14" s="110">
        <v>0</v>
      </c>
      <c r="L14" s="110">
        <v>0</v>
      </c>
      <c r="M14" s="110">
        <v>0</v>
      </c>
      <c r="N14" s="110">
        <v>0</v>
      </c>
      <c r="O14" s="110">
        <v>112.9</v>
      </c>
      <c r="P14" s="110">
        <v>0</v>
      </c>
      <c r="Q14" s="110" t="str">
        <v xml:space="preserve">PSPA </v>
      </c>
      <c r="R14" s="110">
        <v>685000</v>
      </c>
      <c r="S14" s="110">
        <v>685000</v>
      </c>
      <c r="T14" s="110">
        <v>685000</v>
      </c>
      <c r="U14" s="110">
        <v>0</v>
      </c>
      <c r="V14" s="110">
        <v>0</v>
      </c>
      <c r="W14" s="110">
        <v>685000</v>
      </c>
      <c r="X14" s="110">
        <v>0.01</v>
      </c>
      <c r="Y14" s="110">
        <v>678150</v>
      </c>
      <c r="Z14" s="110">
        <v>678150</v>
      </c>
      <c r="AA14" s="110">
        <v>45441</v>
      </c>
      <c r="AB14" s="111" t="str">
        <v>Q2 2024</v>
      </c>
      <c r="AC14">
        <v>46149</v>
      </c>
      <c r="AD14">
        <v>0</v>
      </c>
      <c r="AE14" t="str">
        <v>Ana Damásio</v>
      </c>
      <c r="AF14" t="str">
        <v>Elisabete Figueiredo</v>
      </c>
      <c r="AG14" t="str">
        <v>https://www.vilamouraworld.com/real-estate/nobilus/</v>
      </c>
      <c r="AH14" t="str">
        <v>Renowned as one of the area’s most high-end residential choices, Nobilus is made from the finest sustainable materials. Find your zen in this eco-minded paradise.</v>
      </c>
      <c r="AI14" t="str">
        <v>Gym, Sauna, Condo Pool, Private Pools, Outdoor Areas, Smart Home Technology, Underground Parking</v>
      </c>
      <c r="AJ14" t="str">
        <v>Projeto construção sustentável; Excelente localização; Arquitetura de excelência em Vilamoura (Atelier Fragmentos); Piscina de condomínio e piscinas privativas; Garagens privadas.</v>
      </c>
      <c r="AK14" t="str">
        <v>Fragmentos</v>
      </c>
      <c r="AL14" t="str">
        <v>Nobilus</v>
      </c>
    </row>
    <row r="15" spans="1:38" x14ac:dyDescent="0.3">
      <c r="A15" s="110" t="str">
        <v>NOBILUS</v>
      </c>
      <c r="B15" s="110" t="str">
        <v>Vilamoura</v>
      </c>
      <c r="C15" s="110" t="str">
        <v>I</v>
      </c>
      <c r="D15" s="110" t="str">
        <v>Vilamoura, Algarve</v>
      </c>
      <c r="E15" s="110" t="str">
        <v>T3</v>
      </c>
      <c r="F15" s="110">
        <v>164.33</v>
      </c>
      <c r="G15" s="110">
        <v>4.46</v>
      </c>
      <c r="H15" s="110" t="str">
        <v>92</v>
      </c>
      <c r="I15" s="110" t="str">
        <v>Yes</v>
      </c>
      <c r="J15" s="110">
        <v>5.67</v>
      </c>
      <c r="K15" s="110">
        <v>0</v>
      </c>
      <c r="L15" s="110">
        <v>0</v>
      </c>
      <c r="M15" s="110">
        <v>0</v>
      </c>
      <c r="N15" s="110">
        <v>0</v>
      </c>
      <c r="O15" s="110">
        <v>164.33</v>
      </c>
      <c r="P15" s="110">
        <v>0</v>
      </c>
      <c r="Q15" s="110" t="str">
        <v xml:space="preserve">PSPA </v>
      </c>
      <c r="R15" s="110">
        <v>1130000</v>
      </c>
      <c r="S15" s="110">
        <v>1130000</v>
      </c>
      <c r="T15" s="110">
        <v>1130000</v>
      </c>
      <c r="U15" s="110">
        <v>0</v>
      </c>
      <c r="V15" s="110">
        <v>0</v>
      </c>
      <c r="W15" s="110">
        <v>1130000</v>
      </c>
      <c r="X15" s="110">
        <v>2.6548672566371698E-2</v>
      </c>
      <c r="Y15" s="110">
        <v>1100000</v>
      </c>
      <c r="Z15" s="110">
        <v>1100000</v>
      </c>
      <c r="AA15" s="110">
        <v>45441</v>
      </c>
      <c r="AB15" s="111" t="str">
        <v>Q2 2024</v>
      </c>
      <c r="AC15">
        <v>46090</v>
      </c>
      <c r="AD15">
        <v>0</v>
      </c>
      <c r="AE15" t="str">
        <v>Ana Damásio</v>
      </c>
      <c r="AF15" t="str">
        <v>Elisabete Figueiredo</v>
      </c>
      <c r="AG15" t="str">
        <v>https://www.vilamouraworld.com/real-estate/nobilus/</v>
      </c>
      <c r="AH15" t="str">
        <v>Renowned as one of the area’s most high-end residential choices, Nobilus is made from the finest sustainable materials. Find your zen in this eco-minded paradise.</v>
      </c>
      <c r="AI15" t="str">
        <v>Gym, Sauna, Condo Pool, Private Pools, Outdoor Areas, Smart Home Technology, Underground Parking</v>
      </c>
      <c r="AJ15" t="str">
        <v>Projeto construção sustentável; Excelente localização; Arquitetura de excelência em Vilamoura (Atelier Fragmentos); Piscina de condomínio e piscinas privativas; Garagens privadas.</v>
      </c>
      <c r="AK15" t="str">
        <v>Fragmentos</v>
      </c>
      <c r="AL15" t="str">
        <v>Nobilus</v>
      </c>
    </row>
    <row r="16" spans="1:38" x14ac:dyDescent="0.3">
      <c r="A16" s="110" t="str">
        <v>NOBILUS</v>
      </c>
      <c r="B16" s="110" t="str">
        <v>Vilamoura</v>
      </c>
      <c r="C16" s="110" t="str">
        <v>H</v>
      </c>
      <c r="D16" s="110" t="str">
        <v>Vilamoura, Algarve</v>
      </c>
      <c r="E16" s="110" t="str">
        <v>T3</v>
      </c>
      <c r="F16" s="110">
        <v>164.44</v>
      </c>
      <c r="G16" s="110">
        <v>4.46</v>
      </c>
      <c r="H16" s="110" t="str">
        <v>87-88</v>
      </c>
      <c r="I16" s="110" t="str">
        <v>Yes</v>
      </c>
      <c r="J16" s="110">
        <v>5.67</v>
      </c>
      <c r="K16" s="110">
        <v>0</v>
      </c>
      <c r="L16" s="110">
        <v>0</v>
      </c>
      <c r="M16" s="110">
        <v>0</v>
      </c>
      <c r="N16" s="110">
        <v>0</v>
      </c>
      <c r="O16" s="110">
        <v>164.44</v>
      </c>
      <c r="P16" s="110">
        <v>0</v>
      </c>
      <c r="Q16" s="110" t="str">
        <v xml:space="preserve">PSPA </v>
      </c>
      <c r="R16" s="110">
        <v>1170000</v>
      </c>
      <c r="S16" s="110">
        <v>1170000</v>
      </c>
      <c r="T16" s="110">
        <v>1170000</v>
      </c>
      <c r="U16" s="110">
        <v>0</v>
      </c>
      <c r="V16" s="110">
        <v>0</v>
      </c>
      <c r="W16" s="110">
        <v>1170000</v>
      </c>
      <c r="X16" s="110">
        <v>0.03</v>
      </c>
      <c r="Y16" s="110">
        <v>1134900</v>
      </c>
      <c r="Z16" s="110">
        <v>1134900</v>
      </c>
      <c r="AA16" s="110">
        <v>45441</v>
      </c>
      <c r="AB16" s="111" t="str">
        <v>Q2 2024</v>
      </c>
      <c r="AC16">
        <v>45985</v>
      </c>
      <c r="AD16">
        <v>0</v>
      </c>
      <c r="AE16" t="str">
        <v>Ana Damásio</v>
      </c>
      <c r="AF16" t="str">
        <v>Elisabete Figueiredo</v>
      </c>
      <c r="AG16" t="str">
        <v>https://www.vilamouraworld.com/real-estate/nobilus/</v>
      </c>
      <c r="AH16" t="str">
        <v>Renowned as one of the area’s most high-end residential choices, Nobilus is made from the finest sustainable materials. Find your zen in this eco-minded paradise.</v>
      </c>
      <c r="AI16" t="str">
        <v>Gym, Sauna, Condo Pool, Private Pools, Outdoor Areas, Smart Home Technology, Underground Parking</v>
      </c>
      <c r="AJ16" t="str">
        <v>Projeto construção sustentável; Excelente localização; Arquitetura de excelência em Vilamoura (Atelier Fragmentos); Piscina de condomínio e piscinas privativas; Garagens privadas.</v>
      </c>
      <c r="AK16" t="str">
        <v>Fragmentos</v>
      </c>
      <c r="AL16" t="str">
        <v>Nobilus</v>
      </c>
    </row>
    <row r="17" spans="1:38" x14ac:dyDescent="0.3">
      <c r="A17" s="110" t="str">
        <v>NOBILUS</v>
      </c>
      <c r="B17" s="110" t="str">
        <v>Vilamoura</v>
      </c>
      <c r="C17" s="110" t="str">
        <v>AA</v>
      </c>
      <c r="D17" s="110" t="str">
        <v>Vilamoura, Algarve</v>
      </c>
      <c r="E17" s="110" t="str">
        <v>T2</v>
      </c>
      <c r="F17" s="110">
        <v>106.14</v>
      </c>
      <c r="G17" s="110">
        <v>0</v>
      </c>
      <c r="H17" s="110" t="str">
        <v>50</v>
      </c>
      <c r="I17" s="110" t="str">
        <v/>
      </c>
      <c r="J17" s="110">
        <v>0</v>
      </c>
      <c r="K17" s="110">
        <v>0</v>
      </c>
      <c r="L17" s="110">
        <v>0</v>
      </c>
      <c r="M17" s="110">
        <v>0</v>
      </c>
      <c r="N17" s="110">
        <v>0</v>
      </c>
      <c r="O17" s="110">
        <v>106.14</v>
      </c>
      <c r="P17" s="110">
        <v>0</v>
      </c>
      <c r="Q17" s="110" t="str">
        <v>AVAILABLE</v>
      </c>
      <c r="R17" s="110">
        <v>710000</v>
      </c>
      <c r="S17" s="110">
        <v>710000</v>
      </c>
      <c r="T17" s="110">
        <v>710000</v>
      </c>
      <c r="U17" s="110">
        <v>0</v>
      </c>
      <c r="V17" s="110">
        <v>0</v>
      </c>
      <c r="W17" s="110">
        <v>710000</v>
      </c>
      <c r="X17" s="110">
        <v>0</v>
      </c>
      <c r="Y17" s="110">
        <v>710000</v>
      </c>
      <c r="Z17" s="110">
        <v>710000</v>
      </c>
      <c r="AA17" s="110">
        <v>45441</v>
      </c>
      <c r="AB17" s="111" t="str">
        <v>Q2 2024</v>
      </c>
      <c r="AC17">
        <v>0</v>
      </c>
      <c r="AD17">
        <v>0</v>
      </c>
      <c r="AE17" t="str">
        <v>Ana Damásio</v>
      </c>
      <c r="AF17" t="str">
        <v>Elisabete Figueiredo</v>
      </c>
      <c r="AG17" t="str">
        <v>https://www.vilamouraworld.com/real-estate/nobilus/</v>
      </c>
      <c r="AH17" t="str">
        <v>Renowned as one of the area’s most high-end residential choices, Nobilus is made from the finest sustainable materials. Find your zen in this eco-minded paradise.</v>
      </c>
      <c r="AI17" t="str">
        <v>Gym, Sauna, Condo Pool, Private Pools, Outdoor Areas, Smart Home Technology, Underground Parking</v>
      </c>
      <c r="AJ17" t="str">
        <v>Projeto construção sustentável; Excelente localização; Arquitetura de excelência em Vilamoura (Atelier Fragmentos); Piscina de condomínio e piscinas privativas; Garagens privadas.</v>
      </c>
      <c r="AK17" t="str">
        <v>Fragmentos</v>
      </c>
      <c r="AL17" t="str">
        <v>Nobilus</v>
      </c>
    </row>
    <row r="18" spans="1:38" x14ac:dyDescent="0.3">
      <c r="A18" s="110" t="str">
        <v>NOBILUS</v>
      </c>
      <c r="B18" s="110" t="str">
        <v>Vilamoura</v>
      </c>
      <c r="C18" s="110" t="str">
        <v>AC</v>
      </c>
      <c r="D18" s="110" t="str">
        <v>Vilamoura, Algarve</v>
      </c>
      <c r="E18" s="110" t="str">
        <v>T3</v>
      </c>
      <c r="F18" s="110">
        <v>164.42</v>
      </c>
      <c r="G18" s="110">
        <v>4.45</v>
      </c>
      <c r="H18" s="110" t="str">
        <v>51-52</v>
      </c>
      <c r="I18" s="110" t="str">
        <v>Yes</v>
      </c>
      <c r="J18" s="110">
        <v>0</v>
      </c>
      <c r="K18" s="110">
        <v>0</v>
      </c>
      <c r="L18" s="110">
        <v>0</v>
      </c>
      <c r="M18" s="110">
        <v>0</v>
      </c>
      <c r="N18" s="110">
        <v>0</v>
      </c>
      <c r="O18" s="110">
        <v>164.42</v>
      </c>
      <c r="P18" s="110">
        <v>0</v>
      </c>
      <c r="Q18" s="110" t="str">
        <v>AVAILABLE</v>
      </c>
      <c r="R18" s="110">
        <v>1150000</v>
      </c>
      <c r="S18" s="110">
        <v>1150000</v>
      </c>
      <c r="T18" s="110">
        <v>1150000</v>
      </c>
      <c r="U18" s="110">
        <v>0</v>
      </c>
      <c r="V18" s="110">
        <v>0</v>
      </c>
      <c r="W18" s="110">
        <v>1150000</v>
      </c>
      <c r="X18" s="110">
        <v>0</v>
      </c>
      <c r="Y18" s="110">
        <v>1150000</v>
      </c>
      <c r="Z18" s="110">
        <v>1150000</v>
      </c>
      <c r="AA18" s="110">
        <v>45441</v>
      </c>
      <c r="AB18" s="111" t="str">
        <v>Q2 2024</v>
      </c>
      <c r="AC18">
        <v>0</v>
      </c>
      <c r="AD18">
        <v>0</v>
      </c>
      <c r="AE18" t="str">
        <v>Ana Damásio</v>
      </c>
      <c r="AF18" t="str">
        <v>Elisabete Figueiredo</v>
      </c>
      <c r="AG18" t="str">
        <v>https://www.vilamouraworld.com/real-estate/nobilus/</v>
      </c>
      <c r="AH18" t="str">
        <v>Renowned as one of the area’s most high-end residential choices, Nobilus is made from the finest sustainable materials. Find your zen in this eco-minded paradise.</v>
      </c>
      <c r="AI18" t="str">
        <v>Gym, Sauna, Condo Pool, Private Pools, Outdoor Areas, Smart Home Technology, Underground Parking</v>
      </c>
      <c r="AJ18" t="str">
        <v>Projeto construção sustentável; Excelente localização; Arquitetura de excelência em Vilamoura (Atelier Fragmentos); Piscina de condomínio e piscinas privativas; Garagens privadas.</v>
      </c>
      <c r="AK18" t="str">
        <v>Fragmentos</v>
      </c>
      <c r="AL18" t="str">
        <v>Nobilus</v>
      </c>
    </row>
    <row r="19" spans="1:38" x14ac:dyDescent="0.3">
      <c r="A19" s="110" t="str">
        <v>NOBILUS</v>
      </c>
      <c r="B19" s="110" t="str">
        <v>Vilamoura</v>
      </c>
      <c r="C19" s="110" t="str">
        <v>AD</v>
      </c>
      <c r="D19" s="110" t="str">
        <v>Vilamoura, Algarve</v>
      </c>
      <c r="E19" s="110" t="str">
        <v>T3</v>
      </c>
      <c r="F19" s="110">
        <v>164.4</v>
      </c>
      <c r="G19" s="110">
        <v>4.4800000000000004</v>
      </c>
      <c r="H19" s="110" t="str">
        <v>68-69</v>
      </c>
      <c r="I19" s="110" t="str">
        <v>Yes</v>
      </c>
      <c r="J19" s="110">
        <v>5.75</v>
      </c>
      <c r="K19" s="110">
        <v>0</v>
      </c>
      <c r="L19" s="110">
        <v>0</v>
      </c>
      <c r="M19" s="110">
        <v>0</v>
      </c>
      <c r="N19" s="110">
        <v>0</v>
      </c>
      <c r="O19" s="110">
        <v>164.4</v>
      </c>
      <c r="P19" s="110">
        <v>0</v>
      </c>
      <c r="Q19" s="110" t="str">
        <v>AVAILABLE</v>
      </c>
      <c r="R19" s="110">
        <v>1140000</v>
      </c>
      <c r="S19" s="110">
        <v>1140000</v>
      </c>
      <c r="T19" s="110">
        <v>1140000</v>
      </c>
      <c r="U19" s="110">
        <v>0</v>
      </c>
      <c r="V19" s="110">
        <v>0</v>
      </c>
      <c r="W19" s="110">
        <v>1140000</v>
      </c>
      <c r="X19" s="110">
        <v>0</v>
      </c>
      <c r="Y19" s="110">
        <v>1140000</v>
      </c>
      <c r="Z19" s="110">
        <v>1140000</v>
      </c>
      <c r="AA19" s="110">
        <v>45441</v>
      </c>
      <c r="AB19" s="111" t="str">
        <v>Q2 2024</v>
      </c>
      <c r="AC19">
        <v>46167</v>
      </c>
      <c r="AD19">
        <v>0</v>
      </c>
      <c r="AE19" t="str">
        <v>Ana Damásio</v>
      </c>
      <c r="AF19" t="str">
        <v>Elisabete Figueiredo</v>
      </c>
      <c r="AG19" t="str">
        <v>https://www.vilamouraworld.com/real-estate/nobilus/</v>
      </c>
      <c r="AH19" t="str">
        <v>Renowned as one of the area’s most high-end residential choices, Nobilus is made from the finest sustainable materials. Find your zen in this eco-minded paradise.</v>
      </c>
      <c r="AI19" t="str">
        <v>Gym, Sauna, Condo Pool, Private Pools, Outdoor Areas, Smart Home Technology, Underground Parking</v>
      </c>
      <c r="AJ19" t="str">
        <v>Projeto construção sustentável; Excelente localização; Arquitetura de excelência em Vilamoura (Atelier Fragmentos); Piscina de condomínio e piscinas privativas; Garagens privadas.</v>
      </c>
      <c r="AK19" t="str">
        <v>Fragmentos</v>
      </c>
      <c r="AL19" t="str">
        <v>Nobilus</v>
      </c>
    </row>
    <row r="20" spans="1:38" x14ac:dyDescent="0.3">
      <c r="A20" s="110" t="str">
        <v>NOBILUS</v>
      </c>
      <c r="B20" s="110" t="str">
        <v>Vilamoura</v>
      </c>
      <c r="C20" s="110" t="str">
        <v>AF</v>
      </c>
      <c r="D20" s="110" t="str">
        <v>Vilamoura, Algarve</v>
      </c>
      <c r="E20" s="110" t="str">
        <v>T2</v>
      </c>
      <c r="F20" s="110">
        <v>106.03</v>
      </c>
      <c r="G20" s="110">
        <v>3.37</v>
      </c>
      <c r="H20" s="110" t="str">
        <v>59-60-61-62</v>
      </c>
      <c r="I20" s="110" t="str">
        <v/>
      </c>
      <c r="J20" s="110">
        <v>0</v>
      </c>
      <c r="K20" s="110">
        <v>0</v>
      </c>
      <c r="L20" s="110">
        <v>0</v>
      </c>
      <c r="M20" s="110">
        <v>0</v>
      </c>
      <c r="N20" s="110">
        <v>0</v>
      </c>
      <c r="O20" s="110">
        <v>106.03</v>
      </c>
      <c r="P20" s="110">
        <v>0</v>
      </c>
      <c r="Q20" s="110" t="str">
        <v>AVAILABLE</v>
      </c>
      <c r="R20" s="110">
        <v>710000</v>
      </c>
      <c r="S20" s="110">
        <v>710000</v>
      </c>
      <c r="T20" s="110">
        <v>710000</v>
      </c>
      <c r="U20" s="110">
        <v>0</v>
      </c>
      <c r="V20" s="110">
        <v>0</v>
      </c>
      <c r="W20" s="110">
        <v>710000</v>
      </c>
      <c r="X20" s="110">
        <v>0</v>
      </c>
      <c r="Y20" s="110">
        <v>710000</v>
      </c>
      <c r="Z20" s="110">
        <v>710000</v>
      </c>
      <c r="AA20" s="110">
        <v>45441</v>
      </c>
      <c r="AB20" s="111" t="str">
        <v>Q2 2024</v>
      </c>
      <c r="AC20">
        <v>46125</v>
      </c>
      <c r="AD20">
        <v>0</v>
      </c>
      <c r="AE20" t="str">
        <v>Ana Damásio</v>
      </c>
      <c r="AF20" t="str">
        <v>Elisabete Figueiredo</v>
      </c>
      <c r="AG20" t="str">
        <v>https://www.vilamouraworld.com/real-estate/nobilus/</v>
      </c>
      <c r="AH20" t="str">
        <v>Renowned as one of the area’s most high-end residential choices, Nobilus is made from the finest sustainable materials. Find your zen in this eco-minded paradise.</v>
      </c>
      <c r="AI20" t="str">
        <v>Gym, Sauna, Condo Pool, Private Pools, Outdoor Areas, Smart Home Technology, Underground Parking</v>
      </c>
      <c r="AJ20" t="str">
        <v>Projeto construção sustentável; Excelente localização; Arquitetura de excelência em Vilamoura (Atelier Fragmentos); Piscina de condomínio e piscinas privativas; Garagens privadas.</v>
      </c>
      <c r="AK20" t="str">
        <v>Fragmentos</v>
      </c>
      <c r="AL20" t="str">
        <v>Nobilus</v>
      </c>
    </row>
    <row r="21" spans="1:38" x14ac:dyDescent="0.3">
      <c r="A21" s="110" t="str">
        <v>NOBILUS</v>
      </c>
      <c r="B21" s="110" t="str">
        <v>Vilamoura</v>
      </c>
      <c r="C21" s="110" t="str">
        <v>AG</v>
      </c>
      <c r="D21" s="110" t="str">
        <v>Vilamoura, Algarve</v>
      </c>
      <c r="E21" s="110" t="str">
        <v>T3</v>
      </c>
      <c r="F21" s="110">
        <v>153.4</v>
      </c>
      <c r="G21" s="110">
        <v>4.46</v>
      </c>
      <c r="H21" s="110" t="str">
        <v>55-56</v>
      </c>
      <c r="I21" s="110" t="str">
        <v/>
      </c>
      <c r="J21" s="110">
        <v>35.18</v>
      </c>
      <c r="K21" s="110">
        <v>0</v>
      </c>
      <c r="L21" s="110">
        <v>0</v>
      </c>
      <c r="M21" s="110">
        <v>0</v>
      </c>
      <c r="N21" s="110">
        <v>0</v>
      </c>
      <c r="O21" s="110">
        <v>153.4</v>
      </c>
      <c r="P21" s="110">
        <v>0</v>
      </c>
      <c r="Q21" s="110" t="str">
        <v>AVAILABLE</v>
      </c>
      <c r="R21" s="110">
        <v>980000</v>
      </c>
      <c r="S21" s="110">
        <v>980000</v>
      </c>
      <c r="T21" s="110">
        <v>980000</v>
      </c>
      <c r="U21" s="110">
        <v>0</v>
      </c>
      <c r="V21" s="110">
        <v>0</v>
      </c>
      <c r="W21" s="110">
        <v>980000</v>
      </c>
      <c r="X21" s="110">
        <v>0</v>
      </c>
      <c r="Y21" s="110">
        <v>980000</v>
      </c>
      <c r="Z21" s="110">
        <v>980000</v>
      </c>
      <c r="AA21" s="110">
        <v>45441</v>
      </c>
      <c r="AB21" s="111" t="str">
        <v>Q2 2024</v>
      </c>
      <c r="AC21">
        <v>0</v>
      </c>
      <c r="AD21">
        <v>0</v>
      </c>
      <c r="AE21" t="str">
        <v>Ana Damásio</v>
      </c>
      <c r="AF21" t="str">
        <v>Elisabete Figueiredo</v>
      </c>
      <c r="AG21" t="str">
        <v>https://www.vilamouraworld.com/real-estate/nobilus/</v>
      </c>
      <c r="AH21" t="str">
        <v>Renowned as one of the area’s most high-end residential choices, Nobilus is made from the finest sustainable materials. Find your zen in this eco-minded paradise.</v>
      </c>
      <c r="AI21" t="str">
        <v>Gym, Sauna, Condo Pool, Private Pools, Outdoor Areas, Smart Home Technology, Underground Parking</v>
      </c>
      <c r="AJ21" t="str">
        <v>Projeto construção sustentável; Excelente localização; Arquitetura de excelência em Vilamoura (Atelier Fragmentos); Piscina de condomínio e piscinas privativas; Garagens privadas.</v>
      </c>
      <c r="AK21" t="str">
        <v>Fragmentos</v>
      </c>
      <c r="AL21" t="str">
        <v>Nobilus</v>
      </c>
    </row>
    <row r="22" spans="1:38" x14ac:dyDescent="0.3">
      <c r="A22" s="110" t="str">
        <v>NOBILUS</v>
      </c>
      <c r="B22" s="110" t="str">
        <v>Vilamoura</v>
      </c>
      <c r="C22" s="110" t="str">
        <v>AH</v>
      </c>
      <c r="D22" s="110" t="str">
        <v>Vilamoura, Algarve</v>
      </c>
      <c r="E22" s="110" t="str">
        <v>T3</v>
      </c>
      <c r="F22" s="110">
        <v>154.74</v>
      </c>
      <c r="G22" s="110">
        <v>4.45</v>
      </c>
      <c r="H22" s="110" t="str">
        <v>65-66</v>
      </c>
      <c r="I22" s="110" t="str">
        <v/>
      </c>
      <c r="J22" s="110">
        <v>21.06</v>
      </c>
      <c r="K22" s="110">
        <v>0</v>
      </c>
      <c r="L22" s="110">
        <v>0</v>
      </c>
      <c r="M22" s="110">
        <v>0</v>
      </c>
      <c r="N22" s="110">
        <v>0</v>
      </c>
      <c r="O22" s="110">
        <v>154.74</v>
      </c>
      <c r="P22" s="110">
        <v>0</v>
      </c>
      <c r="Q22" s="110" t="str">
        <v>AVAILABLE</v>
      </c>
      <c r="R22" s="110">
        <v>1005000</v>
      </c>
      <c r="S22" s="110">
        <v>1005000</v>
      </c>
      <c r="T22" s="110">
        <v>1005000</v>
      </c>
      <c r="U22" s="110">
        <v>0</v>
      </c>
      <c r="V22" s="110">
        <v>0</v>
      </c>
      <c r="W22" s="110">
        <v>1005000</v>
      </c>
      <c r="X22" s="110">
        <v>0</v>
      </c>
      <c r="Y22" s="110">
        <v>1005000</v>
      </c>
      <c r="Z22" s="110">
        <v>1005000</v>
      </c>
      <c r="AA22" s="110">
        <v>45441</v>
      </c>
      <c r="AB22" s="111" t="str">
        <v>Q2 2024</v>
      </c>
      <c r="AC22">
        <v>0</v>
      </c>
      <c r="AD22">
        <v>0</v>
      </c>
      <c r="AE22" t="str">
        <v>Ana Damásio</v>
      </c>
      <c r="AF22" t="str">
        <v>Elisabete Figueiredo</v>
      </c>
      <c r="AG22" t="str">
        <v>https://www.vilamouraworld.com/real-estate/nobilus/</v>
      </c>
      <c r="AH22" t="str">
        <v>Renowned as one of the area’s most high-end residential choices, Nobilus is made from the finest sustainable materials. Find your zen in this eco-minded paradise.</v>
      </c>
      <c r="AI22" t="str">
        <v>Gym, Sauna, Condo Pool, Private Pools, Outdoor Areas, Smart Home Technology, Underground Parking</v>
      </c>
      <c r="AJ22" t="str">
        <v>Projeto construção sustentável; Excelente localização; Arquitetura de excelência em Vilamoura (Atelier Fragmentos); Piscina de condomínio e piscinas privativas; Garagens privadas.</v>
      </c>
      <c r="AK22" t="str">
        <v>Fragmentos</v>
      </c>
      <c r="AL22" t="str">
        <v>Nobilus</v>
      </c>
    </row>
    <row r="23" spans="1:38" x14ac:dyDescent="0.3">
      <c r="A23" s="110" t="str">
        <v>NOBILUS</v>
      </c>
      <c r="B23" s="110" t="str">
        <v>Vilamoura</v>
      </c>
      <c r="C23" s="110" t="str">
        <v>AI</v>
      </c>
      <c r="D23" s="110" t="str">
        <v>Vilamoura, Algarve</v>
      </c>
      <c r="E23" s="110" t="str">
        <v>T4</v>
      </c>
      <c r="F23" s="110">
        <v>191.33</v>
      </c>
      <c r="G23" s="110">
        <v>4.45</v>
      </c>
      <c r="H23" s="110" t="str">
        <v>57-58</v>
      </c>
      <c r="I23" s="110" t="str">
        <v>Yes</v>
      </c>
      <c r="J23" s="110">
        <v>7.92</v>
      </c>
      <c r="K23" s="110">
        <v>0</v>
      </c>
      <c r="L23" s="110">
        <v>0</v>
      </c>
      <c r="M23" s="110">
        <v>0</v>
      </c>
      <c r="N23" s="110">
        <v>0</v>
      </c>
      <c r="O23" s="110">
        <v>191.33</v>
      </c>
      <c r="P23" s="110">
        <v>0</v>
      </c>
      <c r="Q23" s="110" t="str">
        <v>AVAILABLE</v>
      </c>
      <c r="R23" s="110">
        <v>1540000</v>
      </c>
      <c r="S23" s="110">
        <v>1540000</v>
      </c>
      <c r="T23" s="110">
        <v>1540000</v>
      </c>
      <c r="U23" s="110">
        <v>0</v>
      </c>
      <c r="V23" s="110">
        <v>0</v>
      </c>
      <c r="W23" s="110">
        <v>1540000</v>
      </c>
      <c r="X23" s="110">
        <v>0</v>
      </c>
      <c r="Y23" s="110">
        <v>1540000</v>
      </c>
      <c r="Z23" s="110">
        <v>1540000</v>
      </c>
      <c r="AA23" s="110">
        <v>45441</v>
      </c>
      <c r="AB23" s="111" t="str">
        <v>Q2 2024</v>
      </c>
      <c r="AC23">
        <v>0</v>
      </c>
      <c r="AD23">
        <v>0</v>
      </c>
      <c r="AE23" t="str">
        <v>Ana Damásio</v>
      </c>
      <c r="AF23" t="str">
        <v>Elisabete Figueiredo</v>
      </c>
      <c r="AG23" t="str">
        <v>https://www.vilamouraworld.com/real-estate/nobilus/</v>
      </c>
      <c r="AH23" t="str">
        <v>Renowned as one of the area’s most high-end residential choices, Nobilus is made from the finest sustainable materials. Find your zen in this eco-minded paradise.</v>
      </c>
      <c r="AI23" t="str">
        <v>Gym, Sauna, Condo Pool, Private Pools, Outdoor Areas, Smart Home Technology, Underground Parking</v>
      </c>
      <c r="AJ23" t="str">
        <v>Projeto construção sustentável; Excelente localização; Arquitetura de excelência em Vilamoura (Atelier Fragmentos); Piscina de condomínio e piscinas privativas; Garagens privadas.</v>
      </c>
      <c r="AK23" t="str">
        <v>Fragmentos</v>
      </c>
      <c r="AL23" t="str">
        <v>Nobilus</v>
      </c>
    </row>
    <row r="24" spans="1:38" x14ac:dyDescent="0.3">
      <c r="A24" s="110" t="str">
        <v>NOBILUS</v>
      </c>
      <c r="B24" s="110" t="str">
        <v>Vilamoura</v>
      </c>
      <c r="C24" s="110" t="str">
        <v>AJ</v>
      </c>
      <c r="D24" s="110" t="str">
        <v>Vilamoura, Algarve</v>
      </c>
      <c r="E24" s="110" t="str">
        <v>T4</v>
      </c>
      <c r="F24" s="110">
        <v>191.33</v>
      </c>
      <c r="G24" s="110">
        <v>4.4800000000000004</v>
      </c>
      <c r="H24" s="110" t="str">
        <v/>
      </c>
      <c r="I24" s="110" t="str">
        <v>Yes</v>
      </c>
      <c r="J24" s="110">
        <v>7.19</v>
      </c>
      <c r="K24" s="110">
        <v>0</v>
      </c>
      <c r="L24" s="110">
        <v>0</v>
      </c>
      <c r="M24" s="110">
        <v>0</v>
      </c>
      <c r="N24" s="110">
        <v>0</v>
      </c>
      <c r="O24" s="110">
        <v>191.33</v>
      </c>
      <c r="P24" s="110">
        <v>0</v>
      </c>
      <c r="Q24" s="110" t="str">
        <v>AVAILABLE</v>
      </c>
      <c r="R24" s="110">
        <v>1530000</v>
      </c>
      <c r="S24" s="110">
        <v>1530000</v>
      </c>
      <c r="T24" s="110">
        <v>1530000</v>
      </c>
      <c r="U24" s="110">
        <v>0</v>
      </c>
      <c r="V24" s="110">
        <v>0</v>
      </c>
      <c r="W24" s="110">
        <v>1530000</v>
      </c>
      <c r="X24" s="110">
        <v>0</v>
      </c>
      <c r="Y24" s="110">
        <v>1530000</v>
      </c>
      <c r="Z24" s="110">
        <v>1530000</v>
      </c>
      <c r="AA24" s="110">
        <v>45441</v>
      </c>
      <c r="AB24" s="111" t="str">
        <v>Q2 2024</v>
      </c>
      <c r="AC24">
        <v>0</v>
      </c>
      <c r="AD24">
        <v>0</v>
      </c>
      <c r="AE24" t="str">
        <v>Ana Damásio</v>
      </c>
      <c r="AF24" t="str">
        <v>Elisabete Figueiredo</v>
      </c>
      <c r="AG24" t="str">
        <v>https://www.vilamouraworld.com/real-estate/nobilus/</v>
      </c>
      <c r="AH24" t="str">
        <v>Renowned as one of the area’s most high-end residential choices, Nobilus is made from the finest sustainable materials. Find your zen in this eco-minded paradise.</v>
      </c>
      <c r="AI24" t="str">
        <v>Gym, Sauna, Condo Pool, Private Pools, Outdoor Areas, Smart Home Technology, Underground Parking</v>
      </c>
      <c r="AJ24" t="str">
        <v>Projeto construção sustentável; Excelente localização; Arquitetura de excelência em Vilamoura (Atelier Fragmentos); Piscina de condomínio e piscinas privativas; Garagens privadas.</v>
      </c>
      <c r="AK24" t="str">
        <v>Fragmentos</v>
      </c>
      <c r="AL24" t="str">
        <v>Nobilus</v>
      </c>
    </row>
    <row r="25" spans="1:38" x14ac:dyDescent="0.3">
      <c r="A25" s="110" t="str">
        <v>NOBILUS</v>
      </c>
      <c r="B25" s="110" t="str">
        <v>Vilamoura</v>
      </c>
      <c r="C25" s="110" t="str">
        <v>AM</v>
      </c>
      <c r="D25" s="110" t="str">
        <v>Vilamoura, Algarve</v>
      </c>
      <c r="E25" s="110" t="str">
        <v>T2</v>
      </c>
      <c r="F25" s="110">
        <v>111.44</v>
      </c>
      <c r="G25" s="110">
        <v>0</v>
      </c>
      <c r="H25" s="110" t="str">
        <v/>
      </c>
      <c r="I25" s="110" t="str">
        <v/>
      </c>
      <c r="J25" s="110">
        <v>9.11</v>
      </c>
      <c r="K25" s="110">
        <v>0</v>
      </c>
      <c r="L25" s="110">
        <v>0</v>
      </c>
      <c r="M25" s="110">
        <v>0</v>
      </c>
      <c r="N25" s="110">
        <v>0</v>
      </c>
      <c r="O25" s="110">
        <v>111.44</v>
      </c>
      <c r="P25" s="110">
        <v>0</v>
      </c>
      <c r="Q25" s="110" t="str">
        <v>AVAILABLE</v>
      </c>
      <c r="R25" s="110">
        <v>720000</v>
      </c>
      <c r="S25" s="110">
        <v>720000</v>
      </c>
      <c r="T25" s="110">
        <v>720000</v>
      </c>
      <c r="U25" s="110">
        <v>0</v>
      </c>
      <c r="V25" s="110">
        <v>0</v>
      </c>
      <c r="W25" s="110">
        <v>720000</v>
      </c>
      <c r="X25" s="110">
        <v>0</v>
      </c>
      <c r="Y25" s="110">
        <v>720000</v>
      </c>
      <c r="Z25" s="110">
        <v>720000</v>
      </c>
      <c r="AA25" s="110">
        <v>45441</v>
      </c>
      <c r="AB25" s="111" t="str">
        <v>Q2 2024</v>
      </c>
      <c r="AC25">
        <v>0</v>
      </c>
      <c r="AD25">
        <v>0</v>
      </c>
      <c r="AE25" t="str">
        <v>Ana Damásio</v>
      </c>
      <c r="AF25" t="str">
        <v>Elisabete Figueiredo</v>
      </c>
      <c r="AG25" t="str">
        <v>https://www.vilamouraworld.com/real-estate/nobilus/</v>
      </c>
      <c r="AH25" t="str">
        <v>Renowned as one of the area’s most high-end residential choices, Nobilus is made from the finest sustainable materials. Find your zen in this eco-minded paradise.</v>
      </c>
      <c r="AI25" t="str">
        <v>Gym, Sauna, Condo Pool, Private Pools, Outdoor Areas, Smart Home Technology, Underground Parking</v>
      </c>
      <c r="AJ25" t="str">
        <v>Projeto construção sustentável; Excelente localização; Arquitetura de excelência em Vilamoura (Atelier Fragmentos); Piscina de condomínio e piscinas privativas; Garagens privadas.</v>
      </c>
      <c r="AK25" t="str">
        <v>Fragmentos</v>
      </c>
      <c r="AL25" t="str">
        <v>Nobilus</v>
      </c>
    </row>
    <row r="26" spans="1:38" x14ac:dyDescent="0.3">
      <c r="A26" s="110" t="str">
        <v>NOBILUS</v>
      </c>
      <c r="B26" s="110" t="str">
        <v>Vilamoura</v>
      </c>
      <c r="C26" s="110" t="str">
        <v>AN</v>
      </c>
      <c r="D26" s="110" t="str">
        <v>Vilamoura, Algarve</v>
      </c>
      <c r="E26" s="110" t="str">
        <v>T2</v>
      </c>
      <c r="F26" s="110">
        <v>109.31</v>
      </c>
      <c r="G26" s="110">
        <v>0</v>
      </c>
      <c r="H26" s="110" t="str">
        <v/>
      </c>
      <c r="I26" s="110" t="str">
        <v/>
      </c>
      <c r="J26" s="110">
        <v>7.67</v>
      </c>
      <c r="K26" s="110">
        <v>0</v>
      </c>
      <c r="L26" s="110">
        <v>0</v>
      </c>
      <c r="M26" s="110">
        <v>0</v>
      </c>
      <c r="N26" s="110">
        <v>0</v>
      </c>
      <c r="O26" s="110">
        <v>109.31</v>
      </c>
      <c r="P26" s="110">
        <v>0</v>
      </c>
      <c r="Q26" s="110" t="str">
        <v>AVAILABLE</v>
      </c>
      <c r="R26" s="110">
        <v>720000</v>
      </c>
      <c r="S26" s="110">
        <v>720000</v>
      </c>
      <c r="T26" s="110">
        <v>720000</v>
      </c>
      <c r="U26" s="110">
        <v>0</v>
      </c>
      <c r="V26" s="110">
        <v>0</v>
      </c>
      <c r="W26" s="110">
        <v>720000</v>
      </c>
      <c r="X26" s="110">
        <v>0</v>
      </c>
      <c r="Y26" s="110">
        <v>720000</v>
      </c>
      <c r="Z26" s="110">
        <v>720000</v>
      </c>
      <c r="AA26" s="110">
        <v>45441</v>
      </c>
      <c r="AB26" s="111" t="str">
        <v>Q2 2024</v>
      </c>
      <c r="AC26">
        <v>0</v>
      </c>
      <c r="AD26">
        <v>0</v>
      </c>
      <c r="AE26" t="str">
        <v>Ana Damásio</v>
      </c>
      <c r="AF26" t="str">
        <v>Elisabete Figueiredo</v>
      </c>
      <c r="AG26" t="str">
        <v>https://www.vilamouraworld.com/real-estate/nobilus/</v>
      </c>
      <c r="AH26" t="str">
        <v>Renowned as one of the area’s most high-end residential choices, Nobilus is made from the finest sustainable materials. Find your zen in this eco-minded paradise.</v>
      </c>
      <c r="AI26" t="str">
        <v>Gym, Sauna, Condo Pool, Private Pools, Outdoor Areas, Smart Home Technology, Underground Parking</v>
      </c>
      <c r="AJ26" t="str">
        <v>Projeto construção sustentável; Excelente localização; Arquitetura de excelência em Vilamoura (Atelier Fragmentos); Piscina de condomínio e piscinas privativas; Garagens privadas.</v>
      </c>
      <c r="AK26" t="str">
        <v>Fragmentos</v>
      </c>
      <c r="AL26" t="str">
        <v>Nobilus</v>
      </c>
    </row>
    <row r="27" spans="1:38" x14ac:dyDescent="0.3">
      <c r="A27" s="110" t="str">
        <v>NOBILUS</v>
      </c>
      <c r="B27" s="110" t="str">
        <v>Vilamoura</v>
      </c>
      <c r="C27" s="110" t="str">
        <v>AP</v>
      </c>
      <c r="D27" s="110" t="str">
        <v>Vilamoura, Algarve</v>
      </c>
      <c r="E27" s="110" t="str">
        <v>T2</v>
      </c>
      <c r="F27" s="110">
        <v>111.39</v>
      </c>
      <c r="G27" s="110">
        <v>0</v>
      </c>
      <c r="H27" s="110" t="str">
        <v/>
      </c>
      <c r="I27" s="110" t="str">
        <v/>
      </c>
      <c r="J27" s="110">
        <v>4.55</v>
      </c>
      <c r="K27" s="110">
        <v>0</v>
      </c>
      <c r="L27" s="110">
        <v>0</v>
      </c>
      <c r="M27" s="110">
        <v>0</v>
      </c>
      <c r="N27" s="110">
        <v>0</v>
      </c>
      <c r="O27" s="110">
        <v>111.39</v>
      </c>
      <c r="P27" s="110">
        <v>0</v>
      </c>
      <c r="Q27" s="110" t="str">
        <v>AVAILABLE</v>
      </c>
      <c r="R27" s="110">
        <v>720000</v>
      </c>
      <c r="S27" s="110">
        <v>720000</v>
      </c>
      <c r="T27" s="110">
        <v>720000</v>
      </c>
      <c r="U27" s="110">
        <v>0</v>
      </c>
      <c r="V27" s="110">
        <v>0</v>
      </c>
      <c r="W27" s="110">
        <v>720000</v>
      </c>
      <c r="X27" s="110">
        <v>0</v>
      </c>
      <c r="Y27" s="110">
        <v>720000</v>
      </c>
      <c r="Z27" s="110">
        <v>720000</v>
      </c>
      <c r="AA27" s="110">
        <v>45441</v>
      </c>
      <c r="AB27" s="111" t="str">
        <v>Q2 2024</v>
      </c>
      <c r="AC27">
        <v>0</v>
      </c>
      <c r="AD27">
        <v>0</v>
      </c>
      <c r="AE27" t="str">
        <v>Ana Damásio</v>
      </c>
      <c r="AF27" t="str">
        <v>Elisabete Figueiredo</v>
      </c>
      <c r="AG27" t="str">
        <v>https://www.vilamouraworld.com/real-estate/nobilus/</v>
      </c>
      <c r="AH27" t="str">
        <v>Renowned as one of the area’s most high-end residential choices, Nobilus is made from the finest sustainable materials. Find your zen in this eco-minded paradise.</v>
      </c>
      <c r="AI27" t="str">
        <v>Gym, Sauna, Condo Pool, Private Pools, Outdoor Areas, Smart Home Technology, Underground Parking</v>
      </c>
      <c r="AJ27" t="str">
        <v>Projeto construção sustentável; Excelente localização; Arquitetura de excelência em Vilamoura (Atelier Fragmentos); Piscina de condomínio e piscinas privativas; Garagens privadas.</v>
      </c>
      <c r="AK27" t="str">
        <v>Fragmentos</v>
      </c>
      <c r="AL27" t="str">
        <v>Nobilus</v>
      </c>
    </row>
    <row r="28" spans="1:38" x14ac:dyDescent="0.3">
      <c r="A28" s="110" t="str">
        <v>NOBILUS</v>
      </c>
      <c r="B28" s="110" t="str">
        <v>Vilamoura</v>
      </c>
      <c r="C28" s="110" t="str">
        <v>AR</v>
      </c>
      <c r="D28" s="110" t="str">
        <v>Vilamoura, Algarve</v>
      </c>
      <c r="E28" s="110" t="str">
        <v>T4</v>
      </c>
      <c r="F28" s="110">
        <v>202.2</v>
      </c>
      <c r="G28" s="110">
        <v>6.13</v>
      </c>
      <c r="H28" s="110" t="str">
        <v/>
      </c>
      <c r="I28" s="110" t="str">
        <v>Yes</v>
      </c>
      <c r="J28" s="110">
        <v>33.729999999999997</v>
      </c>
      <c r="K28" s="110">
        <v>0</v>
      </c>
      <c r="L28" s="110">
        <v>0</v>
      </c>
      <c r="M28" s="110">
        <v>0</v>
      </c>
      <c r="N28" s="110">
        <v>0</v>
      </c>
      <c r="O28" s="110">
        <v>202.2</v>
      </c>
      <c r="P28" s="110">
        <v>0</v>
      </c>
      <c r="Q28" s="110" t="str">
        <v>AVAILABLE</v>
      </c>
      <c r="R28" s="110">
        <v>1650000</v>
      </c>
      <c r="S28" s="110">
        <v>1650000</v>
      </c>
      <c r="T28" s="110">
        <v>1650000</v>
      </c>
      <c r="U28" s="110">
        <v>0</v>
      </c>
      <c r="V28" s="110">
        <v>0</v>
      </c>
      <c r="W28" s="110">
        <v>1650000</v>
      </c>
      <c r="X28" s="110">
        <v>0</v>
      </c>
      <c r="Y28" s="110">
        <v>1650000</v>
      </c>
      <c r="Z28" s="110">
        <v>1650000</v>
      </c>
      <c r="AA28" s="110">
        <v>45441</v>
      </c>
      <c r="AB28" s="111" t="str">
        <v>Q2 2024</v>
      </c>
      <c r="AC28">
        <v>0</v>
      </c>
      <c r="AD28">
        <v>0</v>
      </c>
      <c r="AE28" t="str">
        <v>Ana Damásio</v>
      </c>
      <c r="AF28" t="str">
        <v>Elisabete Figueiredo</v>
      </c>
      <c r="AG28" t="str">
        <v>https://www.vilamouraworld.com/real-estate/nobilus/</v>
      </c>
      <c r="AH28" t="str">
        <v>Renowned as one of the area’s most high-end residential choices, Nobilus is made from the finest sustainable materials. Find your zen in this eco-minded paradise.</v>
      </c>
      <c r="AI28" t="str">
        <v>Gym, Sauna, Condo Pool, Private Pools, Outdoor Areas, Smart Home Technology, Underground Parking</v>
      </c>
      <c r="AJ28" t="str">
        <v>Projeto construção sustentável; Excelente localização; Arquitetura de excelência em Vilamoura (Atelier Fragmentos); Piscina de condomínio e piscinas privativas; Garagens privadas.</v>
      </c>
      <c r="AK28" t="str">
        <v>Fragmentos</v>
      </c>
      <c r="AL28" t="str">
        <v>Nobilus</v>
      </c>
    </row>
    <row r="29" spans="1:38" x14ac:dyDescent="0.3">
      <c r="A29" s="110" t="str">
        <v>NOBILUS</v>
      </c>
      <c r="B29" s="110" t="str">
        <v>Vilamoura</v>
      </c>
      <c r="C29" s="110" t="str">
        <v>AS</v>
      </c>
      <c r="D29" s="110" t="str">
        <v>Vilamoura, Algarve</v>
      </c>
      <c r="E29" s="110" t="str">
        <v>T2</v>
      </c>
      <c r="F29" s="110">
        <v>108.99</v>
      </c>
      <c r="G29" s="110">
        <v>0</v>
      </c>
      <c r="H29" s="110" t="str">
        <v/>
      </c>
      <c r="I29" s="110" t="str">
        <v/>
      </c>
      <c r="J29" s="110">
        <v>4.3099999999999996</v>
      </c>
      <c r="K29" s="110">
        <v>0</v>
      </c>
      <c r="L29" s="110">
        <v>0</v>
      </c>
      <c r="M29" s="110">
        <v>0</v>
      </c>
      <c r="N29" s="110">
        <v>0</v>
      </c>
      <c r="O29" s="110">
        <v>108.99</v>
      </c>
      <c r="P29" s="110">
        <v>0</v>
      </c>
      <c r="Q29" s="110" t="str">
        <v>AVAILABLE</v>
      </c>
      <c r="R29" s="110">
        <v>710000</v>
      </c>
      <c r="S29" s="110">
        <v>710000</v>
      </c>
      <c r="T29" s="110">
        <v>710000</v>
      </c>
      <c r="U29" s="110">
        <v>0</v>
      </c>
      <c r="V29" s="110">
        <v>0</v>
      </c>
      <c r="W29" s="110">
        <v>710000</v>
      </c>
      <c r="X29" s="110">
        <v>0</v>
      </c>
      <c r="Y29" s="110">
        <v>710000</v>
      </c>
      <c r="Z29" s="110">
        <v>710000</v>
      </c>
      <c r="AA29" s="110">
        <v>45441</v>
      </c>
      <c r="AB29" s="111" t="str">
        <v>Q2 2024</v>
      </c>
      <c r="AC29">
        <v>0</v>
      </c>
      <c r="AD29">
        <v>0</v>
      </c>
      <c r="AE29" t="str">
        <v>Ana Damásio</v>
      </c>
      <c r="AF29" t="str">
        <v>Elisabete Figueiredo</v>
      </c>
      <c r="AG29" t="str">
        <v>https://www.vilamouraworld.com/real-estate/nobilus/</v>
      </c>
      <c r="AH29" t="str">
        <v>Renowned as one of the area’s most high-end residential choices, Nobilus is made from the finest sustainable materials. Find your zen in this eco-minded paradise.</v>
      </c>
      <c r="AI29" t="str">
        <v>Gym, Sauna, Condo Pool, Private Pools, Outdoor Areas, Smart Home Technology, Underground Parking</v>
      </c>
      <c r="AJ29" t="str">
        <v>Projeto construção sustentável; Excelente localização; Arquitetura de excelência em Vilamoura (Atelier Fragmentos); Piscina de condomínio e piscinas privativas; Garagens privadas.</v>
      </c>
      <c r="AK29" t="str">
        <v>Fragmentos</v>
      </c>
      <c r="AL29" t="str">
        <v>Nobilus</v>
      </c>
    </row>
    <row r="30" spans="1:38" x14ac:dyDescent="0.3">
      <c r="A30" s="110" t="str">
        <v>NOBILUS</v>
      </c>
      <c r="B30" s="110" t="str">
        <v>Vilamoura</v>
      </c>
      <c r="C30" s="110" t="str">
        <v>AT</v>
      </c>
      <c r="D30" s="110" t="str">
        <v>Vilamoura, Algarve</v>
      </c>
      <c r="E30" s="110" t="str">
        <v>T2</v>
      </c>
      <c r="F30" s="110">
        <v>110.8</v>
      </c>
      <c r="G30" s="110">
        <v>0</v>
      </c>
      <c r="H30" s="110" t="str">
        <v/>
      </c>
      <c r="I30" s="110" t="str">
        <v/>
      </c>
      <c r="J30" s="110">
        <v>8.9600000000000009</v>
      </c>
      <c r="K30" s="110">
        <v>0</v>
      </c>
      <c r="L30" s="110">
        <v>0</v>
      </c>
      <c r="M30" s="110">
        <v>0</v>
      </c>
      <c r="N30" s="110">
        <v>0</v>
      </c>
      <c r="O30" s="110">
        <v>110.8</v>
      </c>
      <c r="P30" s="110">
        <v>0</v>
      </c>
      <c r="Q30" s="110" t="str">
        <v>AVAILABLE</v>
      </c>
      <c r="R30" s="110">
        <v>750000</v>
      </c>
      <c r="S30" s="110">
        <v>750000</v>
      </c>
      <c r="T30" s="110">
        <v>750000</v>
      </c>
      <c r="U30" s="110">
        <v>0</v>
      </c>
      <c r="V30" s="110">
        <v>0</v>
      </c>
      <c r="W30" s="110">
        <v>750000</v>
      </c>
      <c r="X30" s="110">
        <v>0</v>
      </c>
      <c r="Y30" s="110">
        <v>750000</v>
      </c>
      <c r="Z30" s="110">
        <v>750000</v>
      </c>
      <c r="AA30" s="110">
        <v>45441</v>
      </c>
      <c r="AB30" s="111" t="str">
        <v>Q2 2024</v>
      </c>
      <c r="AC30">
        <v>0</v>
      </c>
      <c r="AD30">
        <v>0</v>
      </c>
      <c r="AE30" t="str">
        <v>Ana Damásio</v>
      </c>
      <c r="AF30" t="str">
        <v>Elisabete Figueiredo</v>
      </c>
      <c r="AG30" t="str">
        <v>https://www.vilamouraworld.com/real-estate/nobilus/</v>
      </c>
      <c r="AH30" t="str">
        <v>Renowned as one of the area’s most high-end residential choices, Nobilus is made from the finest sustainable materials. Find your zen in this eco-minded paradise.</v>
      </c>
      <c r="AI30" t="str">
        <v>Gym, Sauna, Condo Pool, Private Pools, Outdoor Areas, Smart Home Technology, Underground Parking</v>
      </c>
      <c r="AJ30" t="str">
        <v>Projeto construção sustentável; Excelente localização; Arquitetura de excelência em Vilamoura (Atelier Fragmentos); Piscina de condomínio e piscinas privativas; Garagens privadas.</v>
      </c>
      <c r="AK30" t="str">
        <v>Fragmentos</v>
      </c>
      <c r="AL30" t="str">
        <v>Nobilus</v>
      </c>
    </row>
    <row r="31" spans="1:38" x14ac:dyDescent="0.3">
      <c r="A31" s="110" t="str">
        <v>NOBILUS</v>
      </c>
      <c r="B31" s="110" t="str">
        <v>Vilamoura</v>
      </c>
      <c r="C31" s="110" t="str">
        <v>AU</v>
      </c>
      <c r="D31" s="110" t="str">
        <v>Vilamoura, Algarve</v>
      </c>
      <c r="E31" s="110" t="str">
        <v>T2</v>
      </c>
      <c r="F31" s="110">
        <v>114.72</v>
      </c>
      <c r="G31" s="110">
        <v>0</v>
      </c>
      <c r="H31" s="110" t="str">
        <v/>
      </c>
      <c r="I31" s="110" t="str">
        <v/>
      </c>
      <c r="J31" s="110">
        <v>43.32</v>
      </c>
      <c r="K31" s="110">
        <v>0</v>
      </c>
      <c r="L31" s="110">
        <v>0</v>
      </c>
      <c r="M31" s="110">
        <v>0</v>
      </c>
      <c r="N31" s="110">
        <v>0</v>
      </c>
      <c r="O31" s="110">
        <v>114.72</v>
      </c>
      <c r="P31" s="110">
        <v>0</v>
      </c>
      <c r="Q31" s="110" t="str">
        <v>AVAILABLE</v>
      </c>
      <c r="R31" s="110">
        <v>885000</v>
      </c>
      <c r="S31" s="110">
        <v>885000</v>
      </c>
      <c r="T31" s="110">
        <v>885000</v>
      </c>
      <c r="U31" s="110">
        <v>0</v>
      </c>
      <c r="V31" s="110">
        <v>0</v>
      </c>
      <c r="W31" s="110">
        <v>885000</v>
      </c>
      <c r="X31" s="110">
        <v>0</v>
      </c>
      <c r="Y31" s="110">
        <v>885000</v>
      </c>
      <c r="Z31" s="110">
        <v>885000</v>
      </c>
      <c r="AA31" s="110">
        <v>45441</v>
      </c>
      <c r="AB31" s="111" t="str">
        <v>Q2 2024</v>
      </c>
      <c r="AC31">
        <v>0</v>
      </c>
      <c r="AD31">
        <v>0</v>
      </c>
      <c r="AE31" t="str">
        <v>Ana Damásio</v>
      </c>
      <c r="AF31" t="str">
        <v>Elisabete Figueiredo</v>
      </c>
      <c r="AG31" t="str">
        <v>https://www.vilamouraworld.com/real-estate/nobilus/</v>
      </c>
      <c r="AH31" t="str">
        <v>Renowned as one of the area’s most high-end residential choices, Nobilus is made from the finest sustainable materials. Find your zen in this eco-minded paradise.</v>
      </c>
      <c r="AI31" t="str">
        <v>Gym, Sauna, Condo Pool, Private Pools, Outdoor Areas, Smart Home Technology, Underground Parking</v>
      </c>
      <c r="AJ31" t="str">
        <v>Projeto construção sustentável; Excelente localização; Arquitetura de excelência em Vilamoura (Atelier Fragmentos); Piscina de condomínio e piscinas privativas; Garagens privadas.</v>
      </c>
      <c r="AK31" t="str">
        <v>Fragmentos</v>
      </c>
      <c r="AL31" t="str">
        <v>Nobilus</v>
      </c>
    </row>
    <row r="32" spans="1:38" x14ac:dyDescent="0.3">
      <c r="A32" s="110" t="str">
        <v>NOBILUS</v>
      </c>
      <c r="B32" s="110" t="str">
        <v>Vilamoura</v>
      </c>
      <c r="C32" s="110" t="str">
        <v>C</v>
      </c>
      <c r="D32" s="110" t="str">
        <v>Vilamoura, Algarve</v>
      </c>
      <c r="E32" s="110" t="str">
        <v>T2</v>
      </c>
      <c r="F32" s="110">
        <v>112.9</v>
      </c>
      <c r="G32" s="110">
        <v>0</v>
      </c>
      <c r="H32" s="110" t="str">
        <v>46369</v>
      </c>
      <c r="I32" s="110" t="str">
        <v/>
      </c>
      <c r="J32" s="110">
        <v>27.51</v>
      </c>
      <c r="K32" s="110">
        <v>0</v>
      </c>
      <c r="L32" s="110">
        <v>0</v>
      </c>
      <c r="M32" s="110">
        <v>0</v>
      </c>
      <c r="N32" s="110">
        <v>0</v>
      </c>
      <c r="O32" s="110">
        <v>112.9</v>
      </c>
      <c r="P32" s="110">
        <v>0</v>
      </c>
      <c r="Q32" s="110" t="str">
        <v>AVAILABLE</v>
      </c>
      <c r="R32" s="110">
        <v>695000</v>
      </c>
      <c r="S32" s="110">
        <v>695000</v>
      </c>
      <c r="T32" s="110">
        <v>695000</v>
      </c>
      <c r="U32" s="110">
        <v>0</v>
      </c>
      <c r="V32" s="110">
        <v>0</v>
      </c>
      <c r="W32" s="110">
        <v>695000</v>
      </c>
      <c r="X32" s="110">
        <v>0</v>
      </c>
      <c r="Y32" s="110">
        <v>695000</v>
      </c>
      <c r="Z32" s="110">
        <v>695000</v>
      </c>
      <c r="AA32" s="110">
        <v>45441</v>
      </c>
      <c r="AB32" s="111" t="str">
        <v>Q2 2024</v>
      </c>
      <c r="AC32">
        <v>0</v>
      </c>
      <c r="AD32">
        <v>0</v>
      </c>
      <c r="AE32" t="str">
        <v>Ana Damásio</v>
      </c>
      <c r="AF32" t="str">
        <v>Elisabete Figueiredo</v>
      </c>
      <c r="AG32" t="str">
        <v>https://www.vilamouraworld.com/real-estate/nobilus/</v>
      </c>
      <c r="AH32" t="str">
        <v>Renowned as one of the area’s most high-end residential choices, Nobilus is made from the finest sustainable materials. Find your zen in this eco-minded paradise.</v>
      </c>
      <c r="AI32" t="str">
        <v>Gym, Sauna, Condo Pool, Private Pools, Outdoor Areas, Smart Home Technology, Underground Parking</v>
      </c>
      <c r="AJ32" t="str">
        <v>Projeto construção sustentável; Excelente localização; Arquitetura de excelência em Vilamoura (Atelier Fragmentos); Piscina de condomínio e piscinas privativas; Garagens privadas.</v>
      </c>
      <c r="AK32" t="str">
        <v>Fragmentos</v>
      </c>
      <c r="AL32" t="str">
        <v>Nobilus</v>
      </c>
    </row>
    <row r="33" spans="1:38" x14ac:dyDescent="0.3">
      <c r="A33" s="110" t="str">
        <v>NOBILUS</v>
      </c>
      <c r="B33" s="110" t="str">
        <v>Vilamoura</v>
      </c>
      <c r="C33" s="110" t="str">
        <v>E</v>
      </c>
      <c r="D33" s="110" t="str">
        <v>Vilamoura, Algarve</v>
      </c>
      <c r="E33" s="110" t="str">
        <v>T2</v>
      </c>
      <c r="F33" s="110">
        <v>112.9</v>
      </c>
      <c r="G33" s="110">
        <v>0</v>
      </c>
      <c r="H33" s="110" t="str">
        <v>35-91</v>
      </c>
      <c r="I33" s="110" t="str">
        <v/>
      </c>
      <c r="J33" s="110">
        <v>21.52</v>
      </c>
      <c r="K33" s="110">
        <v>0</v>
      </c>
      <c r="L33" s="110">
        <v>0</v>
      </c>
      <c r="M33" s="110">
        <v>0</v>
      </c>
      <c r="N33" s="110">
        <v>0</v>
      </c>
      <c r="O33" s="110">
        <v>112.9</v>
      </c>
      <c r="P33" s="110">
        <v>0</v>
      </c>
      <c r="Q33" s="110" t="str">
        <v>AVAILABLE</v>
      </c>
      <c r="R33" s="110">
        <v>760000</v>
      </c>
      <c r="S33" s="110">
        <v>760000</v>
      </c>
      <c r="T33" s="110">
        <v>760000</v>
      </c>
      <c r="U33" s="110">
        <v>0</v>
      </c>
      <c r="V33" s="110">
        <v>0</v>
      </c>
      <c r="W33" s="110">
        <v>760000</v>
      </c>
      <c r="X33" s="110">
        <v>0</v>
      </c>
      <c r="Y33" s="110">
        <v>760000</v>
      </c>
      <c r="Z33" s="110">
        <v>760000</v>
      </c>
      <c r="AA33" s="110">
        <v>45441</v>
      </c>
      <c r="AB33" s="111" t="str">
        <v>Q2 2024</v>
      </c>
      <c r="AC33">
        <v>0</v>
      </c>
      <c r="AD33">
        <v>0</v>
      </c>
      <c r="AE33" t="str">
        <v>Ana Damásio</v>
      </c>
      <c r="AF33" t="str">
        <v>Elisabete Figueiredo</v>
      </c>
      <c r="AG33" t="str">
        <v>https://www.vilamouraworld.com/real-estate/nobilus/</v>
      </c>
      <c r="AH33" t="str">
        <v>Renowned as one of the area’s most high-end residential choices, Nobilus is made from the finest sustainable materials. Find your zen in this eco-minded paradise.</v>
      </c>
      <c r="AI33" t="str">
        <v>Gym, Sauna, Condo Pool, Private Pools, Outdoor Areas, Smart Home Technology, Underground Parking</v>
      </c>
      <c r="AJ33" t="str">
        <v>Projeto construção sustentável; Excelente localização; Arquitetura de excelência em Vilamoura (Atelier Fragmentos); Piscina de condomínio e piscinas privativas; Garagens privadas.</v>
      </c>
      <c r="AK33" t="str">
        <v>Fragmentos</v>
      </c>
      <c r="AL33" t="str">
        <v>Nobilus</v>
      </c>
    </row>
    <row r="34" spans="1:38" x14ac:dyDescent="0.3">
      <c r="A34" s="110" t="str">
        <v>NOBILUS</v>
      </c>
      <c r="B34" s="110" t="str">
        <v>Vilamoura</v>
      </c>
      <c r="C34" s="110" t="str">
        <v>G</v>
      </c>
      <c r="D34" s="110" t="str">
        <v>Vilamoura, Algarve</v>
      </c>
      <c r="E34" s="110" t="str">
        <v>T3</v>
      </c>
      <c r="F34" s="110">
        <v>153.5</v>
      </c>
      <c r="G34" s="110">
        <v>3.99</v>
      </c>
      <c r="H34" s="110" t="str">
        <v>38-39</v>
      </c>
      <c r="I34" s="110" t="str">
        <v>Yes</v>
      </c>
      <c r="J34" s="110">
        <v>0</v>
      </c>
      <c r="K34" s="110">
        <v>0</v>
      </c>
      <c r="L34" s="110">
        <v>0</v>
      </c>
      <c r="M34" s="110">
        <v>0</v>
      </c>
      <c r="N34" s="110">
        <v>0</v>
      </c>
      <c r="O34" s="110">
        <v>153.5</v>
      </c>
      <c r="P34" s="110">
        <v>0</v>
      </c>
      <c r="Q34" s="110" t="str">
        <v>AVAILABLE</v>
      </c>
      <c r="R34" s="110">
        <v>1080000</v>
      </c>
      <c r="S34" s="110">
        <v>1080000</v>
      </c>
      <c r="T34" s="110">
        <v>1080000</v>
      </c>
      <c r="U34" s="110">
        <v>0</v>
      </c>
      <c r="V34" s="110">
        <v>0</v>
      </c>
      <c r="W34" s="110">
        <v>1080000</v>
      </c>
      <c r="X34" s="110">
        <v>0</v>
      </c>
      <c r="Y34" s="110">
        <v>1080000</v>
      </c>
      <c r="Z34" s="110">
        <v>1080000</v>
      </c>
      <c r="AA34" s="110">
        <v>45441</v>
      </c>
      <c r="AB34" s="111" t="str">
        <v>Q2 2024</v>
      </c>
      <c r="AC34">
        <v>0</v>
      </c>
      <c r="AD34">
        <v>0</v>
      </c>
      <c r="AE34" t="str">
        <v>Ana Damásio</v>
      </c>
      <c r="AF34" t="str">
        <v>Elisabete Figueiredo</v>
      </c>
      <c r="AG34" t="str">
        <v>https://www.vilamouraworld.com/real-estate/nobilus/</v>
      </c>
      <c r="AH34" t="str">
        <v>Renowned as one of the area’s most high-end residential choices, Nobilus is made from the finest sustainable materials. Find your zen in this eco-minded paradise.</v>
      </c>
      <c r="AI34" t="str">
        <v>Gym, Sauna, Condo Pool, Private Pools, Outdoor Areas, Smart Home Technology, Underground Parking</v>
      </c>
      <c r="AJ34" t="str">
        <v>Projeto construção sustentável; Excelente localização; Arquitetura de excelência em Vilamoura (Atelier Fragmentos); Piscina de condomínio e piscinas privativas; Garagens privadas.</v>
      </c>
      <c r="AK34" t="str">
        <v>Fragmentos</v>
      </c>
      <c r="AL34" t="str">
        <v>Nobilus</v>
      </c>
    </row>
    <row r="35" spans="1:38" x14ac:dyDescent="0.3">
      <c r="A35" s="110" t="str">
        <v>NOBILUS</v>
      </c>
      <c r="B35" s="110" t="str">
        <v>Vilamoura</v>
      </c>
      <c r="C35" s="110" t="str">
        <v>K</v>
      </c>
      <c r="D35" s="110" t="str">
        <v>Vilamoura, Algarve</v>
      </c>
      <c r="E35" s="110" t="str">
        <v>T2</v>
      </c>
      <c r="F35" s="110">
        <v>106.73</v>
      </c>
      <c r="G35" s="110">
        <v>3.37</v>
      </c>
      <c r="H35" s="110" t="str">
        <v>89-90</v>
      </c>
      <c r="I35" s="110" t="str">
        <v/>
      </c>
      <c r="J35" s="110">
        <v>0</v>
      </c>
      <c r="K35" s="110">
        <v>0</v>
      </c>
      <c r="L35" s="110">
        <v>0</v>
      </c>
      <c r="M35" s="110">
        <v>0</v>
      </c>
      <c r="N35" s="110">
        <v>0</v>
      </c>
      <c r="O35" s="110">
        <v>106.73</v>
      </c>
      <c r="P35" s="110">
        <v>0</v>
      </c>
      <c r="Q35" s="110" t="str">
        <v>AVAILABLE</v>
      </c>
      <c r="R35" s="110">
        <v>680000</v>
      </c>
      <c r="S35" s="110">
        <v>680000</v>
      </c>
      <c r="T35" s="110">
        <v>680000</v>
      </c>
      <c r="U35" s="110">
        <v>0</v>
      </c>
      <c r="V35" s="110">
        <v>0</v>
      </c>
      <c r="W35" s="110">
        <v>680000</v>
      </c>
      <c r="X35" s="110">
        <v>0</v>
      </c>
      <c r="Y35" s="110">
        <v>680000</v>
      </c>
      <c r="Z35" s="110">
        <v>680000</v>
      </c>
      <c r="AA35" s="110">
        <v>45441</v>
      </c>
      <c r="AB35" s="111" t="str">
        <v>Q2 2024</v>
      </c>
      <c r="AC35">
        <v>0</v>
      </c>
      <c r="AD35">
        <v>0</v>
      </c>
      <c r="AE35" t="str">
        <v>Ana Damásio</v>
      </c>
      <c r="AF35" t="str">
        <v>Elisabete Figueiredo</v>
      </c>
      <c r="AG35" t="str">
        <v>https://www.vilamouraworld.com/real-estate/nobilus/</v>
      </c>
      <c r="AH35" t="str">
        <v>Renowned as one of the area’s most high-end residential choices, Nobilus is made from the finest sustainable materials. Find your zen in this eco-minded paradise.</v>
      </c>
      <c r="AI35" t="str">
        <v>Gym, Sauna, Condo Pool, Private Pools, Outdoor Areas, Smart Home Technology, Underground Parking</v>
      </c>
      <c r="AJ35" t="str">
        <v>Projeto construção sustentável; Excelente localização; Arquitetura de excelência em Vilamoura (Atelier Fragmentos); Piscina de condomínio e piscinas privativas; Garagens privadas.</v>
      </c>
      <c r="AK35" t="str">
        <v>Fragmentos</v>
      </c>
      <c r="AL35" t="str">
        <v>Nobilus</v>
      </c>
    </row>
    <row r="36" spans="1:38" x14ac:dyDescent="0.3">
      <c r="A36" s="110" t="str">
        <v>NOBILUS</v>
      </c>
      <c r="B36" s="110" t="str">
        <v>Vilamoura</v>
      </c>
      <c r="C36" s="110" t="str">
        <v>L</v>
      </c>
      <c r="D36" s="110" t="str">
        <v>Vilamoura, Algarve</v>
      </c>
      <c r="E36" s="110" t="str">
        <v>T3</v>
      </c>
      <c r="F36" s="110">
        <v>153.5</v>
      </c>
      <c r="G36" s="110">
        <v>3.99</v>
      </c>
      <c r="H36" s="110" t="str">
        <v>40-86</v>
      </c>
      <c r="I36" s="110" t="str">
        <v/>
      </c>
      <c r="J36" s="110">
        <v>34.409999999999997</v>
      </c>
      <c r="K36" s="110">
        <v>0</v>
      </c>
      <c r="L36" s="110">
        <v>0</v>
      </c>
      <c r="M36" s="110">
        <v>0</v>
      </c>
      <c r="N36" s="110">
        <v>0</v>
      </c>
      <c r="O36" s="110">
        <v>153.5</v>
      </c>
      <c r="P36" s="110">
        <v>0</v>
      </c>
      <c r="Q36" s="110" t="str">
        <v>AVAILABLE</v>
      </c>
      <c r="R36" s="110">
        <v>1120000</v>
      </c>
      <c r="S36" s="110">
        <v>1120000</v>
      </c>
      <c r="T36" s="110">
        <v>1120000</v>
      </c>
      <c r="U36" s="110">
        <v>0</v>
      </c>
      <c r="V36" s="110">
        <v>0</v>
      </c>
      <c r="W36" s="110">
        <v>1120000</v>
      </c>
      <c r="X36" s="110">
        <v>0</v>
      </c>
      <c r="Y36" s="110">
        <v>1120000</v>
      </c>
      <c r="Z36" s="110">
        <v>1120000</v>
      </c>
      <c r="AA36" s="110">
        <v>45441</v>
      </c>
      <c r="AB36" s="111" t="str">
        <v>Q2 2024</v>
      </c>
      <c r="AC36">
        <v>0</v>
      </c>
      <c r="AD36">
        <v>0</v>
      </c>
      <c r="AE36" t="str">
        <v>Ana Damásio</v>
      </c>
      <c r="AF36" t="str">
        <v>Elisabete Figueiredo</v>
      </c>
      <c r="AG36" t="str">
        <v>https://www.vilamouraworld.com/real-estate/nobilus/</v>
      </c>
      <c r="AH36" t="str">
        <v>Renowned as one of the area’s most high-end residential choices, Nobilus is made from the finest sustainable materials. Find your zen in this eco-minded paradise.</v>
      </c>
      <c r="AI36" t="str">
        <v>Gym, Sauna, Condo Pool, Private Pools, Outdoor Areas, Smart Home Technology, Underground Parking</v>
      </c>
      <c r="AJ36" t="str">
        <v>Projeto construção sustentável; Excelente localização; Arquitetura de excelência em Vilamoura (Atelier Fragmentos); Piscina de condomínio e piscinas privativas; Garagens privadas.</v>
      </c>
      <c r="AK36" t="str">
        <v>Fragmentos</v>
      </c>
      <c r="AL36" t="str">
        <v>Nobilus</v>
      </c>
    </row>
    <row r="37" spans="1:38" x14ac:dyDescent="0.3">
      <c r="A37" s="110" t="str">
        <v>NOBILUS</v>
      </c>
      <c r="B37" s="110" t="str">
        <v>Vilamoura</v>
      </c>
      <c r="C37" s="110" t="str">
        <v>M</v>
      </c>
      <c r="D37" s="110" t="str">
        <v>Vilamoura, Algarve</v>
      </c>
      <c r="E37" s="110" t="str">
        <v>T3</v>
      </c>
      <c r="F37" s="110">
        <v>153.52000000000001</v>
      </c>
      <c r="G37" s="110">
        <v>4.45</v>
      </c>
      <c r="H37" s="110" t="str">
        <v>41-42</v>
      </c>
      <c r="I37" s="110" t="str">
        <v/>
      </c>
      <c r="J37" s="110">
        <v>31.83</v>
      </c>
      <c r="K37" s="110">
        <v>0</v>
      </c>
      <c r="L37" s="110">
        <v>0</v>
      </c>
      <c r="M37" s="110">
        <v>0</v>
      </c>
      <c r="N37" s="110">
        <v>0</v>
      </c>
      <c r="O37" s="110">
        <v>153.52000000000001</v>
      </c>
      <c r="P37" s="110">
        <v>0</v>
      </c>
      <c r="Q37" s="110" t="str">
        <v>AVAILABLE</v>
      </c>
      <c r="R37" s="110">
        <v>1080000</v>
      </c>
      <c r="S37" s="110">
        <v>1080000</v>
      </c>
      <c r="T37" s="110">
        <v>1080000</v>
      </c>
      <c r="U37" s="110">
        <v>0</v>
      </c>
      <c r="V37" s="110">
        <v>0</v>
      </c>
      <c r="W37" s="110">
        <v>1080000</v>
      </c>
      <c r="X37" s="110">
        <v>0</v>
      </c>
      <c r="Y37" s="110">
        <v>1080000</v>
      </c>
      <c r="Z37" s="110">
        <v>1080000</v>
      </c>
      <c r="AA37" s="110">
        <v>45441</v>
      </c>
      <c r="AB37" s="111" t="str">
        <v>Q2 2024</v>
      </c>
      <c r="AC37">
        <v>0</v>
      </c>
      <c r="AD37">
        <v>0</v>
      </c>
      <c r="AE37" t="str">
        <v>Ana Damásio</v>
      </c>
      <c r="AF37" t="str">
        <v>Elisabete Figueiredo</v>
      </c>
      <c r="AG37" t="str">
        <v>https://www.vilamouraworld.com/real-estate/nobilus/</v>
      </c>
      <c r="AH37" t="str">
        <v>Renowned as one of the area’s most high-end residential choices, Nobilus is made from the finest sustainable materials. Find your zen in this eco-minded paradise.</v>
      </c>
      <c r="AI37" t="str">
        <v>Gym, Sauna, Condo Pool, Private Pools, Outdoor Areas, Smart Home Technology, Underground Parking</v>
      </c>
      <c r="AJ37" t="str">
        <v>Projeto construção sustentável; Excelente localização; Arquitetura de excelência em Vilamoura (Atelier Fragmentos); Piscina de condomínio e piscinas privativas; Garagens privadas.</v>
      </c>
      <c r="AK37" t="str">
        <v>Fragmentos</v>
      </c>
      <c r="AL37" t="str">
        <v>Nobilus</v>
      </c>
    </row>
    <row r="38" spans="1:38" x14ac:dyDescent="0.3">
      <c r="A38" s="110" t="str">
        <v>NOBILUS</v>
      </c>
      <c r="B38" s="110" t="str">
        <v>Vilamoura</v>
      </c>
      <c r="C38" s="110" t="str">
        <v>N</v>
      </c>
      <c r="D38" s="110" t="str">
        <v>Vilamoura, Algarve</v>
      </c>
      <c r="E38" s="110" t="str">
        <v>T4</v>
      </c>
      <c r="F38" s="110">
        <v>191.33</v>
      </c>
      <c r="G38" s="110">
        <v>4.47</v>
      </c>
      <c r="H38" s="110" t="str">
        <v>84-85</v>
      </c>
      <c r="I38" s="110" t="str">
        <v>Yes</v>
      </c>
      <c r="J38" s="110">
        <v>6.84</v>
      </c>
      <c r="K38" s="110">
        <v>0</v>
      </c>
      <c r="L38" s="110">
        <v>0</v>
      </c>
      <c r="M38" s="110">
        <v>0</v>
      </c>
      <c r="N38" s="110">
        <v>0</v>
      </c>
      <c r="O38" s="110">
        <v>191.33</v>
      </c>
      <c r="P38" s="110">
        <v>0</v>
      </c>
      <c r="Q38" s="110" t="str">
        <v>AVAILABLE</v>
      </c>
      <c r="R38" s="110">
        <v>1650000</v>
      </c>
      <c r="S38" s="110">
        <v>1650000</v>
      </c>
      <c r="T38" s="110">
        <v>1650000</v>
      </c>
      <c r="U38" s="110">
        <v>0</v>
      </c>
      <c r="V38" s="110">
        <v>0</v>
      </c>
      <c r="W38" s="110">
        <v>1650000</v>
      </c>
      <c r="X38" s="110">
        <v>0</v>
      </c>
      <c r="Y38" s="110">
        <v>1650000</v>
      </c>
      <c r="Z38" s="110">
        <v>1650000</v>
      </c>
      <c r="AA38" s="110">
        <v>45441</v>
      </c>
      <c r="AB38" s="111" t="str">
        <v>Q2 2024</v>
      </c>
      <c r="AC38">
        <v>0</v>
      </c>
      <c r="AD38">
        <v>0</v>
      </c>
      <c r="AE38" t="str">
        <v>Ana Damásio</v>
      </c>
      <c r="AF38" t="str">
        <v>Elisabete Figueiredo</v>
      </c>
      <c r="AG38" t="str">
        <v>https://www.vilamouraworld.com/real-estate/nobilus/</v>
      </c>
      <c r="AH38" t="str">
        <v>Renowned as one of the area’s most high-end residential choices, Nobilus is made from the finest sustainable materials. Find your zen in this eco-minded paradise.</v>
      </c>
      <c r="AI38" t="str">
        <v>Gym, Sauna, Condo Pool, Private Pools, Outdoor Areas, Smart Home Technology, Underground Parking</v>
      </c>
      <c r="AJ38" t="str">
        <v>Projeto construção sustentável; Excelente localização; Arquitetura de excelência em Vilamoura (Atelier Fragmentos); Piscina de condomínio e piscinas privativas; Garagens privadas.</v>
      </c>
      <c r="AK38" t="str">
        <v>Fragmentos</v>
      </c>
      <c r="AL38" t="str">
        <v>Nobilus</v>
      </c>
    </row>
    <row r="39" spans="1:38" x14ac:dyDescent="0.3">
      <c r="A39" s="110" t="str">
        <v>NOBILUS</v>
      </c>
      <c r="B39" s="110" t="str">
        <v>Vilamoura</v>
      </c>
      <c r="C39" s="110" t="str">
        <v>O</v>
      </c>
      <c r="D39" s="110" t="str">
        <v>Vilamoura, Algarve</v>
      </c>
      <c r="E39" s="110" t="str">
        <v>T4</v>
      </c>
      <c r="F39" s="110">
        <v>191.63</v>
      </c>
      <c r="G39" s="110">
        <v>4.47</v>
      </c>
      <c r="H39" s="110" t="str">
        <v>43</v>
      </c>
      <c r="I39" s="110" t="str">
        <v>Yes</v>
      </c>
      <c r="J39" s="110">
        <v>6.95</v>
      </c>
      <c r="K39" s="110">
        <v>0</v>
      </c>
      <c r="L39" s="110">
        <v>0</v>
      </c>
      <c r="M39" s="110">
        <v>0</v>
      </c>
      <c r="N39" s="110">
        <v>0</v>
      </c>
      <c r="O39" s="110">
        <v>191.63</v>
      </c>
      <c r="P39" s="110">
        <v>0</v>
      </c>
      <c r="Q39" s="110" t="str">
        <v>AVAILABLE</v>
      </c>
      <c r="R39" s="110">
        <v>1580000</v>
      </c>
      <c r="S39" s="110">
        <v>1580000</v>
      </c>
      <c r="T39" s="110">
        <v>1580000</v>
      </c>
      <c r="U39" s="110">
        <v>0</v>
      </c>
      <c r="V39" s="110">
        <v>0</v>
      </c>
      <c r="W39" s="110">
        <v>1580000</v>
      </c>
      <c r="X39" s="110">
        <v>0</v>
      </c>
      <c r="Y39" s="110">
        <v>1580000</v>
      </c>
      <c r="Z39" s="110">
        <v>1580000</v>
      </c>
      <c r="AA39" s="110">
        <v>45441</v>
      </c>
      <c r="AB39" s="111" t="str">
        <v>Q2 2024</v>
      </c>
      <c r="AC39">
        <v>0</v>
      </c>
      <c r="AD39">
        <v>0</v>
      </c>
      <c r="AE39" t="str">
        <v>Ana Damásio</v>
      </c>
      <c r="AF39" t="str">
        <v>Elisabete Figueiredo</v>
      </c>
      <c r="AG39" t="str">
        <v>https://www.vilamouraworld.com/real-estate/nobilus/</v>
      </c>
      <c r="AH39" t="str">
        <v>Renowned as one of the area’s most high-end residential choices, Nobilus is made from the finest sustainable materials. Find your zen in this eco-minded paradise.</v>
      </c>
      <c r="AI39" t="str">
        <v>Gym, Sauna, Condo Pool, Private Pools, Outdoor Areas, Smart Home Technology, Underground Parking</v>
      </c>
      <c r="AJ39" t="str">
        <v>Projeto construção sustentável; Excelente localização; Arquitetura de excelência em Vilamoura (Atelier Fragmentos); Piscina de condomínio e piscinas privativas; Garagens privadas.</v>
      </c>
      <c r="AK39" t="str">
        <v>Fragmentos</v>
      </c>
      <c r="AL39" t="str">
        <v>Nobilus</v>
      </c>
    </row>
    <row r="40" spans="1:38" x14ac:dyDescent="0.3">
      <c r="A40" s="110" t="str">
        <v>NOBILUS</v>
      </c>
      <c r="B40" s="110" t="str">
        <v>Vilamoura</v>
      </c>
      <c r="C40" s="110" t="str">
        <v>P</v>
      </c>
      <c r="D40" s="110" t="str">
        <v>Vilamoura, Algarve</v>
      </c>
      <c r="E40" s="110" t="str">
        <v>T2</v>
      </c>
      <c r="F40" s="110">
        <v>106.73</v>
      </c>
      <c r="G40" s="110">
        <v>0</v>
      </c>
      <c r="H40" s="110" t="str">
        <v>82-83</v>
      </c>
      <c r="I40" s="110" t="str">
        <v/>
      </c>
      <c r="J40" s="110">
        <v>0</v>
      </c>
      <c r="K40" s="110">
        <v>0</v>
      </c>
      <c r="L40" s="110">
        <v>0</v>
      </c>
      <c r="M40" s="110">
        <v>0</v>
      </c>
      <c r="N40" s="110">
        <v>0</v>
      </c>
      <c r="O40" s="110">
        <v>106.73</v>
      </c>
      <c r="P40" s="110">
        <v>0</v>
      </c>
      <c r="Q40" s="110" t="str">
        <v>AVAILABLE</v>
      </c>
      <c r="R40" s="110">
        <v>710000</v>
      </c>
      <c r="S40" s="110">
        <v>710000</v>
      </c>
      <c r="T40" s="110">
        <v>710000</v>
      </c>
      <c r="U40" s="110">
        <v>0</v>
      </c>
      <c r="V40" s="110">
        <v>0</v>
      </c>
      <c r="W40" s="110">
        <v>710000</v>
      </c>
      <c r="X40" s="110">
        <v>0</v>
      </c>
      <c r="Y40" s="110">
        <v>710000</v>
      </c>
      <c r="Z40" s="110">
        <v>710000</v>
      </c>
      <c r="AA40" s="110">
        <v>45441</v>
      </c>
      <c r="AB40" s="111" t="str">
        <v>Q2 2024</v>
      </c>
      <c r="AC40">
        <v>0</v>
      </c>
      <c r="AD40">
        <v>0</v>
      </c>
      <c r="AE40" t="str">
        <v>Ana Damásio</v>
      </c>
      <c r="AF40" t="str">
        <v>Elisabete Figueiredo</v>
      </c>
      <c r="AG40" t="str">
        <v>https://www.vilamouraworld.com/real-estate/nobilus/</v>
      </c>
      <c r="AH40" t="str">
        <v>Renowned as one of the area’s most high-end residential choices, Nobilus is made from the finest sustainable materials. Find your zen in this eco-minded paradise.</v>
      </c>
      <c r="AI40" t="str">
        <v>Gym, Sauna, Condo Pool, Private Pools, Outdoor Areas, Smart Home Technology, Underground Parking</v>
      </c>
      <c r="AJ40" t="str">
        <v>Projeto construção sustentável; Excelente localização; Arquitetura de excelência em Vilamoura (Atelier Fragmentos); Piscina de condomínio e piscinas privativas; Garagens privadas.</v>
      </c>
      <c r="AK40" t="str">
        <v>Fragmentos</v>
      </c>
      <c r="AL40" t="str">
        <v>Nobilus</v>
      </c>
    </row>
    <row r="41" spans="1:38" x14ac:dyDescent="0.3">
      <c r="A41" s="110" t="str">
        <v>NOBILUS</v>
      </c>
      <c r="B41" s="110" t="str">
        <v>Vilamoura</v>
      </c>
      <c r="C41" s="110" t="str">
        <v>Q</v>
      </c>
      <c r="D41" s="110" t="str">
        <v>Vilamoura, Algarve</v>
      </c>
      <c r="E41" s="110" t="str">
        <v>T3</v>
      </c>
      <c r="F41" s="110">
        <v>153.01</v>
      </c>
      <c r="G41" s="110">
        <v>4.46</v>
      </c>
      <c r="H41" s="110" t="str">
        <v>48-49</v>
      </c>
      <c r="I41" s="110" t="str">
        <v>Yes</v>
      </c>
      <c r="J41" s="110">
        <v>0</v>
      </c>
      <c r="K41" s="110">
        <v>0</v>
      </c>
      <c r="L41" s="110">
        <v>0</v>
      </c>
      <c r="M41" s="110">
        <v>0</v>
      </c>
      <c r="N41" s="110">
        <v>0</v>
      </c>
      <c r="O41" s="110">
        <v>153.01</v>
      </c>
      <c r="P41" s="110">
        <v>0</v>
      </c>
      <c r="Q41" s="110" t="str">
        <v>AVAILABLE</v>
      </c>
      <c r="R41" s="110">
        <v>995000</v>
      </c>
      <c r="S41" s="110">
        <v>995000</v>
      </c>
      <c r="T41" s="110">
        <v>995000</v>
      </c>
      <c r="U41" s="110">
        <v>0</v>
      </c>
      <c r="V41" s="110">
        <v>0</v>
      </c>
      <c r="W41" s="110">
        <v>995000</v>
      </c>
      <c r="X41" s="110">
        <v>0</v>
      </c>
      <c r="Y41" s="110">
        <v>995000</v>
      </c>
      <c r="Z41" s="110">
        <v>995000</v>
      </c>
      <c r="AA41" s="110">
        <v>45441</v>
      </c>
      <c r="AB41" s="111" t="str">
        <v>Q2 2024</v>
      </c>
      <c r="AC41">
        <v>0</v>
      </c>
      <c r="AD41">
        <v>0</v>
      </c>
      <c r="AE41" t="str">
        <v>Ana Damásio</v>
      </c>
      <c r="AF41" t="str">
        <v>Elisabete Figueiredo</v>
      </c>
      <c r="AG41" t="str">
        <v>https://www.vilamouraworld.com/real-estate/nobilus/</v>
      </c>
      <c r="AH41" t="str">
        <v>Renowned as one of the area’s most high-end residential choices, Nobilus is made from the finest sustainable materials. Find your zen in this eco-minded paradise.</v>
      </c>
      <c r="AI41" t="str">
        <v>Gym, Sauna, Condo Pool, Private Pools, Outdoor Areas, Smart Home Technology, Underground Parking</v>
      </c>
      <c r="AJ41" t="str">
        <v>Projeto construção sustentável; Excelente localização; Arquitetura de excelência em Vilamoura (Atelier Fragmentos); Piscina de condomínio e piscinas privativas; Garagens privadas.</v>
      </c>
      <c r="AK41" t="str">
        <v>Fragmentos</v>
      </c>
      <c r="AL41" t="str">
        <v>Nobilus</v>
      </c>
    </row>
    <row r="42" spans="1:38" x14ac:dyDescent="0.3">
      <c r="A42" s="110" t="str">
        <v>NOBILUS</v>
      </c>
      <c r="B42" s="110" t="str">
        <v>Vilamoura</v>
      </c>
      <c r="C42" s="110" t="str">
        <v>R</v>
      </c>
      <c r="D42" s="110" t="str">
        <v>Vilamoura, Algarve</v>
      </c>
      <c r="E42" s="110" t="str">
        <v>T3</v>
      </c>
      <c r="F42" s="110">
        <v>164.1</v>
      </c>
      <c r="G42" s="110">
        <v>4.46</v>
      </c>
      <c r="H42" s="110" t="str">
        <v>73-74</v>
      </c>
      <c r="I42" s="110" t="str">
        <v>Yes</v>
      </c>
      <c r="J42" s="110">
        <v>11.25</v>
      </c>
      <c r="K42" s="110">
        <v>0</v>
      </c>
      <c r="L42" s="110">
        <v>0</v>
      </c>
      <c r="M42" s="110">
        <v>0</v>
      </c>
      <c r="N42" s="110">
        <v>0</v>
      </c>
      <c r="O42" s="110">
        <v>164.1</v>
      </c>
      <c r="P42" s="110">
        <v>0</v>
      </c>
      <c r="Q42" s="110" t="str">
        <v>AVAILABLE</v>
      </c>
      <c r="R42" s="110">
        <v>1140000</v>
      </c>
      <c r="S42" s="110">
        <v>1140000</v>
      </c>
      <c r="T42" s="110">
        <v>1140000</v>
      </c>
      <c r="U42" s="110">
        <v>0</v>
      </c>
      <c r="V42" s="110">
        <v>0</v>
      </c>
      <c r="W42" s="110">
        <v>1140000</v>
      </c>
      <c r="X42" s="110">
        <v>0</v>
      </c>
      <c r="Y42" s="110">
        <v>1140000</v>
      </c>
      <c r="Z42" s="110">
        <v>1140000</v>
      </c>
      <c r="AA42" s="110">
        <v>45441</v>
      </c>
      <c r="AB42" s="111" t="str">
        <v>Q2 2024</v>
      </c>
      <c r="AC42">
        <v>0</v>
      </c>
      <c r="AD42">
        <v>0</v>
      </c>
      <c r="AE42" t="str">
        <v>Ana Damásio</v>
      </c>
      <c r="AF42" t="str">
        <v>Elisabete Figueiredo</v>
      </c>
      <c r="AG42" t="str">
        <v>https://www.vilamouraworld.com/real-estate/nobilus/</v>
      </c>
      <c r="AH42" t="str">
        <v>Renowned as one of the area’s most high-end residential choices, Nobilus is made from the finest sustainable materials. Find your zen in this eco-minded paradise.</v>
      </c>
      <c r="AI42" t="str">
        <v>Gym, Sauna, Condo Pool, Private Pools, Outdoor Areas, Smart Home Technology, Underground Parking</v>
      </c>
      <c r="AJ42" t="str">
        <v>Projeto construção sustentável; Excelente localização; Arquitetura de excelência em Vilamoura (Atelier Fragmentos); Piscina de condomínio e piscinas privativas; Garagens privadas.</v>
      </c>
      <c r="AK42" t="str">
        <v>Fragmentos</v>
      </c>
      <c r="AL42" t="str">
        <v>Nobilus</v>
      </c>
    </row>
    <row r="43" spans="1:38" x14ac:dyDescent="0.3">
      <c r="A43" s="110" t="str">
        <v>NOBILUS</v>
      </c>
      <c r="B43" s="110" t="str">
        <v>Vilamoura</v>
      </c>
      <c r="C43" s="110" t="str">
        <v>S</v>
      </c>
      <c r="D43" s="110" t="str">
        <v>Vilamoura, Algarve</v>
      </c>
      <c r="E43" s="110" t="str">
        <v>T3</v>
      </c>
      <c r="F43" s="110">
        <v>164.59</v>
      </c>
      <c r="G43" s="110">
        <v>4.47</v>
      </c>
      <c r="H43" s="110" t="str">
        <v>75-77</v>
      </c>
      <c r="I43" s="110" t="str">
        <v>Yes</v>
      </c>
      <c r="J43" s="110">
        <v>5.68</v>
      </c>
      <c r="K43" s="110">
        <v>0</v>
      </c>
      <c r="L43" s="110">
        <v>0</v>
      </c>
      <c r="M43" s="110">
        <v>0</v>
      </c>
      <c r="N43" s="110">
        <v>0</v>
      </c>
      <c r="O43" s="110">
        <v>164.59</v>
      </c>
      <c r="P43" s="110">
        <v>0</v>
      </c>
      <c r="Q43" s="110" t="str">
        <v>AVAILABLE</v>
      </c>
      <c r="R43" s="110">
        <v>1120000</v>
      </c>
      <c r="S43" s="110">
        <v>1120000</v>
      </c>
      <c r="T43" s="110">
        <v>1120000</v>
      </c>
      <c r="U43" s="110">
        <v>0</v>
      </c>
      <c r="V43" s="110">
        <v>0</v>
      </c>
      <c r="W43" s="110">
        <v>1120000</v>
      </c>
      <c r="X43" s="110">
        <v>0</v>
      </c>
      <c r="Y43" s="110">
        <v>1120000</v>
      </c>
      <c r="Z43" s="110">
        <v>1120000</v>
      </c>
      <c r="AA43" s="110">
        <v>45441</v>
      </c>
      <c r="AB43" s="111" t="str">
        <v>Q2 2024</v>
      </c>
      <c r="AC43">
        <v>0</v>
      </c>
      <c r="AD43">
        <v>0</v>
      </c>
      <c r="AE43" t="str">
        <v>Ana Damásio</v>
      </c>
      <c r="AF43" t="str">
        <v>Elisabete Figueiredo</v>
      </c>
      <c r="AG43" t="str">
        <v>https://www.vilamouraworld.com/real-estate/nobilus/</v>
      </c>
      <c r="AH43" t="str">
        <v>Renowned as one of the area’s most high-end residential choices, Nobilus is made from the finest sustainable materials. Find your zen in this eco-minded paradise.</v>
      </c>
      <c r="AI43" t="str">
        <v>Gym, Sauna, Condo Pool, Private Pools, Outdoor Areas, Smart Home Technology, Underground Parking</v>
      </c>
      <c r="AJ43" t="str">
        <v>Projeto construção sustentável; Excelente localização; Arquitetura de excelência em Vilamoura (Atelier Fragmentos); Piscina de condomínio e piscinas privativas; Garagens privadas.</v>
      </c>
      <c r="AK43" t="str">
        <v>Fragmentos</v>
      </c>
      <c r="AL43" t="str">
        <v>Nobilus</v>
      </c>
    </row>
    <row r="44" spans="1:38" x14ac:dyDescent="0.3">
      <c r="A44" s="110" t="str">
        <v>NOBILUS</v>
      </c>
      <c r="B44" s="110" t="str">
        <v>Vilamoura</v>
      </c>
      <c r="C44" s="110" t="str">
        <v>T</v>
      </c>
      <c r="D44" s="110" t="str">
        <v>Vilamoura, Algarve</v>
      </c>
      <c r="E44" s="110" t="str">
        <v>T3</v>
      </c>
      <c r="F44" s="110">
        <v>152.91</v>
      </c>
      <c r="G44" s="110">
        <v>3.99</v>
      </c>
      <c r="H44" s="110" t="str">
        <v>77</v>
      </c>
      <c r="I44" s="110" t="str">
        <v>Yes</v>
      </c>
      <c r="J44" s="110">
        <v>0</v>
      </c>
      <c r="K44" s="110">
        <v>0</v>
      </c>
      <c r="L44" s="110">
        <v>0</v>
      </c>
      <c r="M44" s="110">
        <v>0</v>
      </c>
      <c r="N44" s="110">
        <v>0</v>
      </c>
      <c r="O44" s="110">
        <v>152.91</v>
      </c>
      <c r="P44" s="110">
        <v>0</v>
      </c>
      <c r="Q44" s="110" t="str">
        <v>AVAILABLE</v>
      </c>
      <c r="R44" s="110">
        <v>1110000</v>
      </c>
      <c r="S44" s="110">
        <v>1110000</v>
      </c>
      <c r="T44" s="110">
        <v>1110000</v>
      </c>
      <c r="U44" s="110">
        <v>0</v>
      </c>
      <c r="V44" s="110">
        <v>0</v>
      </c>
      <c r="W44" s="110">
        <v>1110000</v>
      </c>
      <c r="X44" s="110">
        <v>0</v>
      </c>
      <c r="Y44" s="110">
        <v>1110000</v>
      </c>
      <c r="Z44" s="110">
        <v>1110000</v>
      </c>
      <c r="AA44" s="110">
        <v>45441</v>
      </c>
      <c r="AB44" s="111" t="str">
        <v>Q2 2024</v>
      </c>
      <c r="AC44">
        <v>0</v>
      </c>
      <c r="AD44">
        <v>0</v>
      </c>
      <c r="AE44" t="str">
        <v>Ana Damásio</v>
      </c>
      <c r="AF44" t="str">
        <v>Elisabete Figueiredo</v>
      </c>
      <c r="AG44" t="str">
        <v>https://www.vilamouraworld.com/real-estate/nobilus/</v>
      </c>
      <c r="AH44" t="str">
        <v>Renowned as one of the area’s most high-end residential choices, Nobilus is made from the finest sustainable materials. Find your zen in this eco-minded paradise.</v>
      </c>
      <c r="AI44" t="str">
        <v>Gym, Sauna, Condo Pool, Private Pools, Outdoor Areas, Smart Home Technology, Underground Parking</v>
      </c>
      <c r="AJ44" t="str">
        <v>Projeto construção sustentável; Excelente localização; Arquitetura de excelência em Vilamoura (Atelier Fragmentos); Piscina de condomínio e piscinas privativas; Garagens privadas.</v>
      </c>
      <c r="AK44" t="str">
        <v>Fragmentos</v>
      </c>
      <c r="AL44" t="str">
        <v>Nobilus</v>
      </c>
    </row>
    <row r="45" spans="1:38" x14ac:dyDescent="0.3">
      <c r="A45" s="110" t="str">
        <v>NOBILUS</v>
      </c>
      <c r="B45" s="110" t="str">
        <v>Vilamoura</v>
      </c>
      <c r="C45" s="110" t="str">
        <v>U</v>
      </c>
      <c r="D45" s="110" t="str">
        <v>Vilamoura, Algarve</v>
      </c>
      <c r="E45" s="110" t="str">
        <v>T2</v>
      </c>
      <c r="F45" s="110">
        <v>106.61</v>
      </c>
      <c r="G45" s="110">
        <v>0</v>
      </c>
      <c r="H45" s="110" t="str">
        <v>80-81</v>
      </c>
      <c r="I45" s="110" t="str">
        <v/>
      </c>
      <c r="J45" s="110">
        <v>0</v>
      </c>
      <c r="K45" s="110">
        <v>0</v>
      </c>
      <c r="L45" s="110">
        <v>0</v>
      </c>
      <c r="M45" s="110">
        <v>0</v>
      </c>
      <c r="N45" s="110">
        <v>0</v>
      </c>
      <c r="O45" s="110">
        <v>106.61</v>
      </c>
      <c r="P45" s="110">
        <v>0</v>
      </c>
      <c r="Q45" s="110" t="str">
        <v>AVAILABLE</v>
      </c>
      <c r="R45" s="110">
        <v>710000</v>
      </c>
      <c r="S45" s="110">
        <v>710000</v>
      </c>
      <c r="T45" s="110">
        <v>710000</v>
      </c>
      <c r="U45" s="110">
        <v>0</v>
      </c>
      <c r="V45" s="110">
        <v>0</v>
      </c>
      <c r="W45" s="110">
        <v>710000</v>
      </c>
      <c r="X45" s="110">
        <v>0</v>
      </c>
      <c r="Y45" s="110">
        <v>710000</v>
      </c>
      <c r="Z45" s="110">
        <v>710000</v>
      </c>
      <c r="AA45" s="110">
        <v>45441</v>
      </c>
      <c r="AB45" s="111" t="str">
        <v>Q2 2024</v>
      </c>
      <c r="AC45">
        <v>0</v>
      </c>
      <c r="AD45">
        <v>0</v>
      </c>
      <c r="AE45" t="str">
        <v>Ana Damásio</v>
      </c>
      <c r="AF45" t="str">
        <v>Elisabete Figueiredo</v>
      </c>
      <c r="AG45" t="str">
        <v>https://www.vilamouraworld.com/real-estate/nobilus/</v>
      </c>
      <c r="AH45" t="str">
        <v>Renowned as one of the area’s most high-end residential choices, Nobilus is made from the finest sustainable materials. Find your zen in this eco-minded paradise.</v>
      </c>
      <c r="AI45" t="str">
        <v>Gym, Sauna, Condo Pool, Private Pools, Outdoor Areas, Smart Home Technology, Underground Parking</v>
      </c>
      <c r="AJ45" t="str">
        <v>Projeto construção sustentável; Excelente localização; Arquitetura de excelência em Vilamoura (Atelier Fragmentos); Piscina de condomínio e piscinas privativas; Garagens privadas.</v>
      </c>
      <c r="AK45" t="str">
        <v>Fragmentos</v>
      </c>
      <c r="AL45" t="str">
        <v>Nobilus</v>
      </c>
    </row>
    <row r="46" spans="1:38" x14ac:dyDescent="0.3">
      <c r="A46" s="110" t="str">
        <v>NOBILUS</v>
      </c>
      <c r="B46" s="110" t="str">
        <v>Vilamoura</v>
      </c>
      <c r="C46" s="110" t="str">
        <v>V</v>
      </c>
      <c r="D46" s="110" t="str">
        <v>Vilamoura, Algarve</v>
      </c>
      <c r="E46" s="110" t="str">
        <v>T3</v>
      </c>
      <c r="F46" s="110">
        <v>152.91</v>
      </c>
      <c r="G46" s="110">
        <v>3.37</v>
      </c>
      <c r="H46" s="110" t="str">
        <v>78-79</v>
      </c>
      <c r="I46" s="110" t="str">
        <v/>
      </c>
      <c r="J46" s="110">
        <v>45.97</v>
      </c>
      <c r="K46" s="110">
        <v>0</v>
      </c>
      <c r="L46" s="110">
        <v>0</v>
      </c>
      <c r="M46" s="110">
        <v>0</v>
      </c>
      <c r="N46" s="110">
        <v>0</v>
      </c>
      <c r="O46" s="110">
        <v>152.91</v>
      </c>
      <c r="P46" s="110">
        <v>0</v>
      </c>
      <c r="Q46" s="110" t="str">
        <v>AVAILABLE</v>
      </c>
      <c r="R46" s="110">
        <v>1010000</v>
      </c>
      <c r="S46" s="110">
        <v>1010000</v>
      </c>
      <c r="T46" s="110">
        <v>1010000</v>
      </c>
      <c r="U46" s="110">
        <v>0</v>
      </c>
      <c r="V46" s="110">
        <v>0</v>
      </c>
      <c r="W46" s="110">
        <v>1010000</v>
      </c>
      <c r="X46" s="110">
        <v>0</v>
      </c>
      <c r="Y46" s="110">
        <v>1010000</v>
      </c>
      <c r="Z46" s="110">
        <v>1010000</v>
      </c>
      <c r="AA46" s="110">
        <v>45441</v>
      </c>
      <c r="AB46" s="111" t="str">
        <v>Q2 2024</v>
      </c>
      <c r="AC46">
        <v>0</v>
      </c>
      <c r="AD46">
        <v>0</v>
      </c>
      <c r="AE46" t="str">
        <v>Ana Damásio</v>
      </c>
      <c r="AF46" t="str">
        <v>Elisabete Figueiredo</v>
      </c>
      <c r="AG46" t="str">
        <v>https://www.vilamouraworld.com/real-estate/nobilus/</v>
      </c>
      <c r="AH46" t="str">
        <v>Renowned as one of the area’s most high-end residential choices, Nobilus is made from the finest sustainable materials. Find your zen in this eco-minded paradise.</v>
      </c>
      <c r="AI46" t="str">
        <v>Gym, Sauna, Condo Pool, Private Pools, Outdoor Areas, Smart Home Technology, Underground Parking</v>
      </c>
      <c r="AJ46" t="str">
        <v>Projeto construção sustentável; Excelente localização; Arquitetura de excelência em Vilamoura (Atelier Fragmentos); Piscina de condomínio e piscinas privativas; Garagens privadas.</v>
      </c>
      <c r="AK46" t="str">
        <v>Fragmentos</v>
      </c>
      <c r="AL46" t="str">
        <v>Nobilus</v>
      </c>
    </row>
    <row r="47" spans="1:38" x14ac:dyDescent="0.3">
      <c r="A47" s="110" t="str">
        <v>NOBILUS</v>
      </c>
      <c r="B47" s="110" t="str">
        <v>Vilamoura</v>
      </c>
      <c r="C47" s="110" t="str">
        <v>W</v>
      </c>
      <c r="D47" s="110" t="str">
        <v>Vilamoura, Algarve</v>
      </c>
      <c r="E47" s="110" t="str">
        <v>T3</v>
      </c>
      <c r="F47" s="110">
        <v>152.9</v>
      </c>
      <c r="G47" s="110">
        <v>3.99</v>
      </c>
      <c r="H47" s="110" t="str">
        <v>46-47</v>
      </c>
      <c r="I47" s="110" t="str">
        <v/>
      </c>
      <c r="J47" s="110">
        <v>38.56</v>
      </c>
      <c r="K47" s="110">
        <v>0</v>
      </c>
      <c r="L47" s="110">
        <v>0</v>
      </c>
      <c r="M47" s="110">
        <v>0</v>
      </c>
      <c r="N47" s="110">
        <v>0</v>
      </c>
      <c r="O47" s="110">
        <v>152.9</v>
      </c>
      <c r="P47" s="110">
        <v>0</v>
      </c>
      <c r="Q47" s="110" t="str">
        <v>AVAILABLE</v>
      </c>
      <c r="R47" s="110">
        <v>970000</v>
      </c>
      <c r="S47" s="110">
        <v>970000</v>
      </c>
      <c r="T47" s="110">
        <v>970000</v>
      </c>
      <c r="U47" s="110">
        <v>0</v>
      </c>
      <c r="V47" s="110">
        <v>0</v>
      </c>
      <c r="W47" s="110">
        <v>970000</v>
      </c>
      <c r="X47" s="110">
        <v>0</v>
      </c>
      <c r="Y47" s="110">
        <v>970000</v>
      </c>
      <c r="Z47" s="110">
        <v>970000</v>
      </c>
      <c r="AA47" s="110">
        <v>45441</v>
      </c>
      <c r="AB47" s="111" t="str">
        <v>Q2 2024</v>
      </c>
      <c r="AC47">
        <v>0</v>
      </c>
      <c r="AD47">
        <v>0</v>
      </c>
      <c r="AE47" t="str">
        <v>Ana Damásio</v>
      </c>
      <c r="AF47" t="str">
        <v>Elisabete Figueiredo</v>
      </c>
      <c r="AG47" t="str">
        <v>https://www.vilamouraworld.com/real-estate/nobilus/</v>
      </c>
      <c r="AH47" t="str">
        <v>Renowned as one of the area’s most high-end residential choices, Nobilus is made from the finest sustainable materials. Find your zen in this eco-minded paradise.</v>
      </c>
      <c r="AI47" t="str">
        <v>Gym, Sauna, Condo Pool, Private Pools, Outdoor Areas, Smart Home Technology, Underground Parking</v>
      </c>
      <c r="AJ47" t="str">
        <v>Projeto construção sustentável; Excelente localização; Arquitetura de excelência em Vilamoura (Atelier Fragmentos); Piscina de condomínio e piscinas privativas; Garagens privadas.</v>
      </c>
      <c r="AK47" t="str">
        <v>Fragmentos</v>
      </c>
      <c r="AL47" t="str">
        <v>Nobilus</v>
      </c>
    </row>
    <row r="48" spans="1:38" x14ac:dyDescent="0.3">
      <c r="A48" s="110" t="str">
        <v>NOBILUS</v>
      </c>
      <c r="B48" s="110" t="str">
        <v>Vilamoura</v>
      </c>
      <c r="C48" s="110" t="str">
        <v>X</v>
      </c>
      <c r="D48" s="110" t="str">
        <v>Vilamoura, Algarve</v>
      </c>
      <c r="E48" s="110" t="str">
        <v>T2</v>
      </c>
      <c r="F48" s="110">
        <v>111</v>
      </c>
      <c r="G48" s="110">
        <v>4.47</v>
      </c>
      <c r="H48" s="110" t="str">
        <v>44-45</v>
      </c>
      <c r="I48" s="110" t="str">
        <v>Yes</v>
      </c>
      <c r="J48" s="110">
        <v>7.8</v>
      </c>
      <c r="K48" s="110">
        <v>0</v>
      </c>
      <c r="L48" s="110">
        <v>0</v>
      </c>
      <c r="M48" s="110">
        <v>0</v>
      </c>
      <c r="N48" s="110">
        <v>0</v>
      </c>
      <c r="O48" s="110">
        <v>111</v>
      </c>
      <c r="P48" s="110">
        <v>0</v>
      </c>
      <c r="Q48" s="110" t="str">
        <v>AVAILABLE</v>
      </c>
      <c r="R48" s="110">
        <v>910000</v>
      </c>
      <c r="S48" s="110">
        <v>910000</v>
      </c>
      <c r="T48" s="110">
        <v>910000</v>
      </c>
      <c r="U48" s="110">
        <v>0</v>
      </c>
      <c r="V48" s="110">
        <v>0</v>
      </c>
      <c r="W48" s="110">
        <v>910000</v>
      </c>
      <c r="X48" s="110">
        <v>0</v>
      </c>
      <c r="Y48" s="110">
        <v>910000</v>
      </c>
      <c r="Z48" s="110">
        <v>910000</v>
      </c>
      <c r="AA48" s="110">
        <v>45441</v>
      </c>
      <c r="AB48" s="111" t="str">
        <v>Q2 2024</v>
      </c>
      <c r="AC48">
        <v>0</v>
      </c>
      <c r="AD48">
        <v>0</v>
      </c>
      <c r="AE48" t="str">
        <v>Ana Damásio</v>
      </c>
      <c r="AF48" t="str">
        <v>Elisabete Figueiredo</v>
      </c>
      <c r="AG48" t="str">
        <v>https://www.vilamouraworld.com/real-estate/nobilus/</v>
      </c>
      <c r="AH48" t="str">
        <v>Renowned as one of the area’s most high-end residential choices, Nobilus is made from the finest sustainable materials. Find your zen in this eco-minded paradise.</v>
      </c>
      <c r="AI48" t="str">
        <v>Gym, Sauna, Condo Pool, Private Pools, Outdoor Areas, Smart Home Technology, Underground Parking</v>
      </c>
      <c r="AJ48" t="str">
        <v>Projeto construção sustentável; Excelente localização; Arquitetura de excelência em Vilamoura (Atelier Fragmentos); Piscina de condomínio e piscinas privativas; Garagens privadas.</v>
      </c>
      <c r="AK48" t="str">
        <v>Fragmentos</v>
      </c>
      <c r="AL48" t="str">
        <v>Nobilus</v>
      </c>
    </row>
    <row r="49" spans="1:38" x14ac:dyDescent="0.3">
      <c r="A49" t="str">
        <v>NOBILUS</v>
      </c>
      <c r="B49" t="str">
        <v>Vilamoura</v>
      </c>
      <c r="C49" t="str">
        <v>Z</v>
      </c>
      <c r="D49" t="str">
        <v>Vilamoura, Algarve</v>
      </c>
      <c r="E49" t="str">
        <v>T2</v>
      </c>
      <c r="F49">
        <v>111</v>
      </c>
      <c r="G49">
        <v>4.45</v>
      </c>
      <c r="H49" t="str">
        <v>53-54</v>
      </c>
      <c r="I49" t="str">
        <v/>
      </c>
      <c r="J49">
        <v>0</v>
      </c>
      <c r="K49">
        <v>0</v>
      </c>
      <c r="L49">
        <v>0</v>
      </c>
      <c r="M49" s="79">
        <v>0</v>
      </c>
      <c r="N49">
        <v>0</v>
      </c>
      <c r="O49">
        <v>111</v>
      </c>
      <c r="P49">
        <v>0</v>
      </c>
      <c r="Q49" t="str">
        <v>AVAILABLE</v>
      </c>
      <c r="R49">
        <v>890000</v>
      </c>
      <c r="S49">
        <v>890000</v>
      </c>
      <c r="T49">
        <v>890000</v>
      </c>
      <c r="U49">
        <v>0</v>
      </c>
      <c r="V49">
        <v>0</v>
      </c>
      <c r="W49">
        <v>890000</v>
      </c>
      <c r="X49">
        <v>0</v>
      </c>
      <c r="Y49">
        <v>890000</v>
      </c>
      <c r="Z49">
        <v>890000</v>
      </c>
      <c r="AA49">
        <v>45441</v>
      </c>
      <c r="AB49" t="str">
        <v>Q2 2024</v>
      </c>
      <c r="AC49">
        <v>0</v>
      </c>
      <c r="AD49">
        <v>0</v>
      </c>
      <c r="AE49" t="str">
        <v>Ana Damásio</v>
      </c>
      <c r="AF49" t="str">
        <v>Elisabete Figueiredo</v>
      </c>
      <c r="AG49" t="str">
        <v>https://www.vilamouraworld.com/real-estate/nobilus/</v>
      </c>
      <c r="AH49" t="str">
        <v>Renowned as one of the area’s most high-end residential choices, Nobilus is made from the finest sustainable materials. Find your zen in this eco-minded paradise.</v>
      </c>
      <c r="AI49" t="str">
        <v>Gym, Sauna, Condo Pool, Private Pools, Outdoor Areas, Smart Home Technology, Underground Parking</v>
      </c>
      <c r="AJ49" t="str">
        <v>Projeto construção sustentável; Excelente localização; Arquitetura de excelência em Vilamoura (Atelier Fragmentos); Piscina de condomínio e piscinas privativas; Garagens privadas.</v>
      </c>
      <c r="AK49" t="str">
        <v>Fragmentos</v>
      </c>
      <c r="AL49" t="str">
        <v>Nobilus</v>
      </c>
    </row>
    <row r="74" spans="11:12" x14ac:dyDescent="0.3">
      <c r="K74" s="113"/>
      <c r="L74" s="78"/>
    </row>
  </sheetData>
  <autoFilter ref="A2:AL2" xr:uid="{8C381E57-20A3-4D29-9AC1-A20B676A56DB}"/>
  <conditionalFormatting sqref="A2">
    <cfRule type="containsText" dxfId="83" priority="3" operator="containsText" text="Center">
      <formula>NOT(ISERROR(SEARCH("Center",A2)))</formula>
    </cfRule>
    <cfRule type="containsText" dxfId="82" priority="4" operator="containsText" text="North">
      <formula>NOT(ISERROR(SEARCH("North",A2)))</formula>
    </cfRule>
    <cfRule type="containsText" dxfId="81" priority="5" operator="containsText" text="Algarve">
      <formula>NOT(ISERROR(SEARCH("Algarve",A2)))</formula>
    </cfRule>
    <cfRule type="containsText" dxfId="80" priority="6" operator="containsText" text="Vilamoura">
      <formula>NOT(ISERROR(SEARCH("Vilamoura",A2)))</formula>
    </cfRule>
  </conditionalFormatting>
  <conditionalFormatting sqref="Q2">
    <cfRule type="containsText" dxfId="79" priority="1" operator="containsText" text="PRE-RESERVED">
      <formula>NOT(ISERROR(SEARCH("PRE-RESERVED",Q2)))</formula>
    </cfRule>
    <cfRule type="containsText" dxfId="78" priority="2" operator="containsText" text="RESERVED">
      <formula>NOT(ISERROR(SEARCH("RESERVED",Q2)))</formula>
    </cfRule>
  </conditionalFormatting>
  <pageMargins left="0.7" right="0.7" top="0.75" bottom="0.75" header="0.3" footer="0.3"/>
  <pageSetup paperSize="8" scale="69" fitToHeight="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F23D5-E148-4318-BC47-58C609E86FED}">
  <sheetPr>
    <tabColor rgb="FFC2B59E"/>
    <pageSetUpPr fitToPage="1"/>
  </sheetPr>
  <dimension ref="A1:AL74"/>
  <sheetViews>
    <sheetView showGridLines="0" zoomScale="71" zoomScaleNormal="40" zoomScaleSheetLayoutView="70" workbookViewId="0">
      <pane xSplit="1" topLeftCell="H1" activePane="topRight" state="frozen"/>
      <selection activeCell="I25" sqref="I25"/>
      <selection pane="topRight" activeCell="A2" sqref="A2"/>
    </sheetView>
  </sheetViews>
  <sheetFormatPr defaultColWidth="8.6640625" defaultRowHeight="14.4" outlineLevelCol="2" x14ac:dyDescent="0.3"/>
  <cols>
    <col min="1" max="1" width="20.33203125" bestFit="1" customWidth="1"/>
    <col min="2" max="6" width="11.77734375" customWidth="1"/>
    <col min="7" max="12" width="11.77734375" customWidth="1" outlineLevel="2"/>
    <col min="13" max="13" width="11.77734375" style="79" customWidth="1" outlineLevel="2"/>
    <col min="14" max="14" width="11.77734375" customWidth="1" outlineLevel="2"/>
    <col min="15" max="16" width="11.77734375" customWidth="1" outlineLevel="1"/>
    <col min="17" max="18" width="11.77734375" customWidth="1"/>
    <col min="19" max="22" width="11.77734375" customWidth="1" outlineLevel="1"/>
    <col min="23" max="24" width="11.77734375" customWidth="1"/>
    <col min="25" max="25" width="11.77734375" customWidth="1" outlineLevel="1"/>
    <col min="26" max="26" width="11.77734375" customWidth="1"/>
    <col min="27" max="27" width="11.77734375" customWidth="1" outlineLevel="1"/>
    <col min="28" max="38" width="11.77734375" customWidth="1"/>
  </cols>
  <sheetData>
    <row r="1" spans="1:38" s="1" customFormat="1" ht="20.399999999999999" customHeight="1" x14ac:dyDescent="0.3">
      <c r="A1" s="114" t="s">
        <v>16</v>
      </c>
    </row>
    <row r="2" spans="1:38" s="2" customFormat="1" ht="46.2" customHeight="1" x14ac:dyDescent="0.3">
      <c r="A2" s="95" t="s">
        <v>335</v>
      </c>
      <c r="B2" s="95" t="s">
        <v>684</v>
      </c>
      <c r="C2" s="96" t="s">
        <v>765</v>
      </c>
      <c r="D2" s="97" t="s">
        <v>1</v>
      </c>
      <c r="E2" s="95" t="s">
        <v>93</v>
      </c>
      <c r="F2" s="95" t="s">
        <v>763</v>
      </c>
      <c r="G2" s="98" t="s">
        <v>675</v>
      </c>
      <c r="H2" s="99" t="s">
        <v>676</v>
      </c>
      <c r="I2" s="99" t="s">
        <v>677</v>
      </c>
      <c r="J2" s="100" t="s">
        <v>678</v>
      </c>
      <c r="K2" s="98" t="s">
        <v>679</v>
      </c>
      <c r="L2" s="98" t="s">
        <v>779</v>
      </c>
      <c r="M2" s="98" t="s">
        <v>680</v>
      </c>
      <c r="N2" s="101" t="s">
        <v>681</v>
      </c>
      <c r="O2" s="102" t="s">
        <v>94</v>
      </c>
      <c r="P2" s="102" t="s">
        <v>95</v>
      </c>
      <c r="Q2" s="95" t="s">
        <v>624</v>
      </c>
      <c r="R2" s="103" t="s">
        <v>331</v>
      </c>
      <c r="S2" s="104" t="s">
        <v>332</v>
      </c>
      <c r="T2" s="105" t="s">
        <v>333</v>
      </c>
      <c r="U2" s="105" t="s">
        <v>682</v>
      </c>
      <c r="V2" s="105" t="s">
        <v>97</v>
      </c>
      <c r="W2" s="95" t="s">
        <v>330</v>
      </c>
      <c r="X2" s="106" t="s">
        <v>919</v>
      </c>
      <c r="Y2" s="105" t="s">
        <v>334</v>
      </c>
      <c r="Z2" s="95" t="s">
        <v>98</v>
      </c>
      <c r="AA2" s="107" t="s">
        <v>933</v>
      </c>
      <c r="AB2" s="108" t="s">
        <v>934</v>
      </c>
      <c r="AC2" s="108" t="s">
        <v>928</v>
      </c>
      <c r="AD2" s="109" t="s">
        <v>926</v>
      </c>
      <c r="AE2" s="97" t="s">
        <v>792</v>
      </c>
      <c r="AF2" s="97" t="s">
        <v>793</v>
      </c>
      <c r="AG2" s="97" t="s">
        <v>2</v>
      </c>
      <c r="AH2" s="97" t="s">
        <v>3</v>
      </c>
      <c r="AI2" s="97" t="s">
        <v>5</v>
      </c>
      <c r="AJ2" s="97" t="s">
        <v>794</v>
      </c>
      <c r="AK2" s="97" t="s">
        <v>6</v>
      </c>
      <c r="AL2" s="95" t="s">
        <v>918</v>
      </c>
    </row>
    <row r="3" spans="1:38" s="112" customFormat="1" ht="13.8" x14ac:dyDescent="0.3">
      <c r="A3" s="129" t="str" cm="1">
        <f t="array" ref="A3:AL40">_xlfn._xlws.FILTER(DATABASE_Table[],DATABASE_Table[Development]=$A$1,"")</f>
        <v>NATURA VILLAGE 4</v>
      </c>
      <c r="B3" s="129" t="str">
        <v>Vilamoura</v>
      </c>
      <c r="C3" s="110" t="str">
        <v>A</v>
      </c>
      <c r="D3" s="110" t="str">
        <v>Vilamoura, Algarve</v>
      </c>
      <c r="E3" s="110" t="str">
        <v>V3</v>
      </c>
      <c r="F3" s="110">
        <v>169.99</v>
      </c>
      <c r="G3" s="110">
        <v>0</v>
      </c>
      <c r="H3" s="110" t="str">
        <v/>
      </c>
      <c r="I3" s="110" t="str">
        <v/>
      </c>
      <c r="J3" s="110">
        <v>0</v>
      </c>
      <c r="K3" s="110">
        <v>0</v>
      </c>
      <c r="L3" s="110">
        <v>0</v>
      </c>
      <c r="M3" s="110">
        <v>0</v>
      </c>
      <c r="N3" s="110">
        <v>0</v>
      </c>
      <c r="O3" s="110">
        <v>169.99</v>
      </c>
      <c r="P3" s="110">
        <v>0</v>
      </c>
      <c r="Q3" s="110" t="str">
        <v xml:space="preserve">DEED </v>
      </c>
      <c r="R3" s="110">
        <v>950000</v>
      </c>
      <c r="S3" s="110">
        <v>950000</v>
      </c>
      <c r="T3" s="110">
        <v>970000</v>
      </c>
      <c r="U3" s="110">
        <v>0</v>
      </c>
      <c r="V3" s="110">
        <v>0</v>
      </c>
      <c r="W3" s="110">
        <v>970000</v>
      </c>
      <c r="X3" s="110">
        <v>0</v>
      </c>
      <c r="Y3" s="110">
        <v>970000</v>
      </c>
      <c r="Z3" s="110">
        <v>970000</v>
      </c>
      <c r="AA3" s="110">
        <v>45287</v>
      </c>
      <c r="AB3" s="111" t="str">
        <v>Q4 2023</v>
      </c>
      <c r="AC3" s="112">
        <v>45846</v>
      </c>
      <c r="AD3" s="112">
        <v>0</v>
      </c>
      <c r="AE3" s="112" t="str">
        <v>Ana Damásio</v>
      </c>
      <c r="AF3" s="112" t="str">
        <v>Francisço Guerreiro</v>
      </c>
      <c r="AG3" s="112" t="str">
        <v>https://www.vilamouraworld.com/real-estate/natura-village/</v>
      </c>
      <c r="AH3" s="112" t="str">
        <v>A 5 minute bike ride away from the Environmental Park, this is the location for a serene lifestyle. Experience a home crafted with care and balance.</v>
      </c>
      <c r="AI3" s="112" t="str">
        <v>Gym, Sauna, Condo Pool, Private Pools, Outdoor Areas, Private Parking</v>
      </c>
      <c r="AJ3" s="112" t="str">
        <v>Condomínio privado; Villas de 2 e 3 quartos; Piscinas privativas; Localização refúgio junto ao parque natural e campos de golfe; Garagens privadas; Ginásio e piscina comum; Excelentes espaços exteriores privados e de condomínio.</v>
      </c>
      <c r="AK3" s="112" t="str">
        <v>AN_DRE</v>
      </c>
      <c r="AL3" s="112" t="str">
        <v>Natura Village</v>
      </c>
    </row>
    <row r="4" spans="1:38" x14ac:dyDescent="0.3">
      <c r="A4" s="129" t="str">
        <v>NATURA VILLAGE 4</v>
      </c>
      <c r="B4" s="129" t="str">
        <v>Vilamoura</v>
      </c>
      <c r="C4" s="110" t="str">
        <v>B</v>
      </c>
      <c r="D4" s="110" t="str">
        <v>Vilamoura, Algarve</v>
      </c>
      <c r="E4" s="110" t="str">
        <v>V3</v>
      </c>
      <c r="F4" s="110">
        <v>169.91</v>
      </c>
      <c r="G4" s="110">
        <v>0</v>
      </c>
      <c r="H4" s="110" t="str">
        <v/>
      </c>
      <c r="I4" s="110" t="str">
        <v/>
      </c>
      <c r="J4" s="110">
        <v>0</v>
      </c>
      <c r="K4" s="110">
        <v>0</v>
      </c>
      <c r="L4" s="110">
        <v>0</v>
      </c>
      <c r="M4" s="110">
        <v>0</v>
      </c>
      <c r="N4" s="110">
        <v>0</v>
      </c>
      <c r="O4" s="110">
        <v>169.91</v>
      </c>
      <c r="P4" s="110">
        <v>0</v>
      </c>
      <c r="Q4" s="110" t="str">
        <v xml:space="preserve">DEED </v>
      </c>
      <c r="R4" s="110">
        <v>850000</v>
      </c>
      <c r="S4" s="110">
        <v>850000</v>
      </c>
      <c r="T4" s="110">
        <v>850000</v>
      </c>
      <c r="U4" s="110">
        <v>0</v>
      </c>
      <c r="V4" s="110">
        <v>0</v>
      </c>
      <c r="W4" s="110">
        <v>850000</v>
      </c>
      <c r="X4" s="110">
        <v>0</v>
      </c>
      <c r="Y4" s="110">
        <v>850000</v>
      </c>
      <c r="Z4" s="110">
        <v>850000</v>
      </c>
      <c r="AA4" s="110">
        <v>45287</v>
      </c>
      <c r="AB4" s="111" t="str">
        <v>Q4 2023</v>
      </c>
      <c r="AC4">
        <v>45077</v>
      </c>
      <c r="AD4">
        <v>0</v>
      </c>
      <c r="AE4" t="str">
        <v>Ana Damásio</v>
      </c>
      <c r="AF4" t="str">
        <v>Francisço Guerreiro</v>
      </c>
      <c r="AG4" t="str">
        <v>https://www.vilamouraworld.com/real-estate/natura-village/</v>
      </c>
      <c r="AH4" t="str">
        <v>A 5 minute bike ride away from the Environmental Park, this is the location for a serene lifestyle. Experience a home crafted with care and balance.</v>
      </c>
      <c r="AI4" t="str">
        <v>Gym, Sauna, Condo Pool, Private Pools, Outdoor Areas, Private Parking</v>
      </c>
      <c r="AJ4" t="str">
        <v>Condomínio privado; Villas de 2 e 3 quartos; Piscinas privativas; Localização refúgio junto ao parque natural e campos de golfe; Garagens privadas; Ginásio e piscina comum; Excelentes espaços exteriores privados e de condomínio.</v>
      </c>
      <c r="AK4" t="str">
        <v>AN_DRE</v>
      </c>
      <c r="AL4" t="str">
        <v>Natura Village</v>
      </c>
    </row>
    <row r="5" spans="1:38" x14ac:dyDescent="0.3">
      <c r="A5" s="129" t="str">
        <v>NATURA VILLAGE 4</v>
      </c>
      <c r="B5" s="129" t="str">
        <v>Vilamoura</v>
      </c>
      <c r="C5" s="110" t="str">
        <v>C</v>
      </c>
      <c r="D5" s="110" t="str">
        <v>Vilamoura, Algarve</v>
      </c>
      <c r="E5" s="110" t="str">
        <v>V3</v>
      </c>
      <c r="F5" s="110">
        <v>177.48</v>
      </c>
      <c r="G5" s="110">
        <v>0</v>
      </c>
      <c r="H5" s="110" t="str">
        <v/>
      </c>
      <c r="I5" s="110" t="str">
        <v/>
      </c>
      <c r="J5" s="110">
        <v>0</v>
      </c>
      <c r="K5" s="110">
        <v>0</v>
      </c>
      <c r="L5" s="110">
        <v>0</v>
      </c>
      <c r="M5" s="110">
        <v>0</v>
      </c>
      <c r="N5" s="110">
        <v>0</v>
      </c>
      <c r="O5" s="110">
        <v>177.48</v>
      </c>
      <c r="P5" s="110">
        <v>0</v>
      </c>
      <c r="Q5" s="110" t="str">
        <v xml:space="preserve">DEED </v>
      </c>
      <c r="R5" s="110">
        <v>980000</v>
      </c>
      <c r="S5" s="110">
        <v>980000</v>
      </c>
      <c r="T5" s="110">
        <v>931000</v>
      </c>
      <c r="U5" s="110">
        <v>0</v>
      </c>
      <c r="V5" s="110">
        <v>0</v>
      </c>
      <c r="W5" s="110">
        <v>931000</v>
      </c>
      <c r="X5" s="110">
        <v>0</v>
      </c>
      <c r="Y5" s="110">
        <v>931000</v>
      </c>
      <c r="Z5" s="110">
        <v>931000</v>
      </c>
      <c r="AA5" s="110">
        <v>45287</v>
      </c>
      <c r="AB5" s="111" t="str">
        <v>Q4 2023</v>
      </c>
      <c r="AC5">
        <v>45086</v>
      </c>
      <c r="AD5">
        <v>0</v>
      </c>
      <c r="AE5" t="str">
        <v>Ana Damásio</v>
      </c>
      <c r="AF5" t="str">
        <v>Francisço Guerreiro</v>
      </c>
      <c r="AG5" t="str">
        <v>https://www.vilamouraworld.com/real-estate/natura-village/</v>
      </c>
      <c r="AH5" t="str">
        <v>A 5 minute bike ride away from the Environmental Park, this is the location for a serene lifestyle. Experience a home crafted with care and balance.</v>
      </c>
      <c r="AI5" t="str">
        <v>Gym, Sauna, Condo Pool, Private Pools, Outdoor Areas, Private Parking</v>
      </c>
      <c r="AJ5" t="str">
        <v>Condomínio privado; Villas de 2 e 3 quartos; Piscinas privativas; Localização refúgio junto ao parque natural e campos de golfe; Garagens privadas; Ginásio e piscina comum; Excelentes espaços exteriores privados e de condomínio.</v>
      </c>
      <c r="AK5" t="str">
        <v>AN_DRE</v>
      </c>
      <c r="AL5" t="str">
        <v>Natura Village</v>
      </c>
    </row>
    <row r="6" spans="1:38" x14ac:dyDescent="0.3">
      <c r="A6" s="129" t="str">
        <v>NATURA VILLAGE 4</v>
      </c>
      <c r="B6" s="129" t="str">
        <v>Vilamoura</v>
      </c>
      <c r="C6" s="110" t="str">
        <v>D</v>
      </c>
      <c r="D6" s="110" t="str">
        <v>Vilamoura, Algarve</v>
      </c>
      <c r="E6" s="110" t="str">
        <v>V3</v>
      </c>
      <c r="F6" s="110">
        <v>169.89</v>
      </c>
      <c r="G6" s="110">
        <v>0</v>
      </c>
      <c r="H6" s="110" t="str">
        <v/>
      </c>
      <c r="I6" s="110" t="str">
        <v/>
      </c>
      <c r="J6" s="110">
        <v>0</v>
      </c>
      <c r="K6" s="110">
        <v>0</v>
      </c>
      <c r="L6" s="110">
        <v>0</v>
      </c>
      <c r="M6" s="110">
        <v>0</v>
      </c>
      <c r="N6" s="110">
        <v>0</v>
      </c>
      <c r="O6" s="110">
        <v>169.89</v>
      </c>
      <c r="P6" s="110">
        <v>0</v>
      </c>
      <c r="Q6" s="110" t="str">
        <v xml:space="preserve">DEED </v>
      </c>
      <c r="R6" s="110">
        <v>960000</v>
      </c>
      <c r="S6" s="110">
        <v>960000</v>
      </c>
      <c r="T6" s="110">
        <v>960000</v>
      </c>
      <c r="U6" s="110">
        <v>0</v>
      </c>
      <c r="V6" s="110">
        <v>0</v>
      </c>
      <c r="W6" s="110">
        <v>960000</v>
      </c>
      <c r="X6" s="110">
        <v>0</v>
      </c>
      <c r="Y6" s="110">
        <v>960000</v>
      </c>
      <c r="Z6" s="110">
        <v>960000</v>
      </c>
      <c r="AA6" s="110">
        <v>45287</v>
      </c>
      <c r="AB6" s="111" t="str">
        <v>Q4 2023</v>
      </c>
      <c r="AC6">
        <v>45131</v>
      </c>
      <c r="AD6">
        <v>0</v>
      </c>
      <c r="AE6" t="str">
        <v>Ana Damásio</v>
      </c>
      <c r="AF6" t="str">
        <v>Francisço Guerreiro</v>
      </c>
      <c r="AG6" t="str">
        <v>https://www.vilamouraworld.com/real-estate/natura-village/</v>
      </c>
      <c r="AH6" t="str">
        <v>A 5 minute bike ride away from the Environmental Park, this is the location for a serene lifestyle. Experience a home crafted with care and balance.</v>
      </c>
      <c r="AI6" t="str">
        <v>Gym, Sauna, Condo Pool, Private Pools, Outdoor Areas, Private Parking</v>
      </c>
      <c r="AJ6" t="str">
        <v>Condomínio privado; Villas de 2 e 3 quartos; Piscinas privativas; Localização refúgio junto ao parque natural e campos de golfe; Garagens privadas; Ginásio e piscina comum; Excelentes espaços exteriores privados e de condomínio.</v>
      </c>
      <c r="AK6" t="str">
        <v>AN_DRE</v>
      </c>
      <c r="AL6" t="str">
        <v>Natura Village</v>
      </c>
    </row>
    <row r="7" spans="1:38" x14ac:dyDescent="0.3">
      <c r="A7" s="129" t="str">
        <v>NATURA VILLAGE 4</v>
      </c>
      <c r="B7" s="129" t="str">
        <v>Vilamoura</v>
      </c>
      <c r="C7" s="110" t="str">
        <v>E</v>
      </c>
      <c r="D7" s="110" t="str">
        <v>Vilamoura, Algarve</v>
      </c>
      <c r="E7" s="110" t="str">
        <v>V3</v>
      </c>
      <c r="F7" s="110">
        <v>170</v>
      </c>
      <c r="G7" s="110">
        <v>0</v>
      </c>
      <c r="H7" s="110" t="str">
        <v/>
      </c>
      <c r="I7" s="110" t="str">
        <v/>
      </c>
      <c r="J7" s="110">
        <v>0</v>
      </c>
      <c r="K7" s="110">
        <v>0</v>
      </c>
      <c r="L7" s="110">
        <v>0</v>
      </c>
      <c r="M7" s="110">
        <v>0</v>
      </c>
      <c r="N7" s="110">
        <v>0</v>
      </c>
      <c r="O7" s="110">
        <v>170</v>
      </c>
      <c r="P7" s="110">
        <v>0</v>
      </c>
      <c r="Q7" s="110" t="str">
        <v xml:space="preserve">DEED </v>
      </c>
      <c r="R7" s="110">
        <v>940000</v>
      </c>
      <c r="S7" s="110">
        <v>940000</v>
      </c>
      <c r="T7" s="110">
        <v>960000</v>
      </c>
      <c r="U7" s="110">
        <v>0</v>
      </c>
      <c r="V7" s="110">
        <v>0</v>
      </c>
      <c r="W7" s="110">
        <v>960000</v>
      </c>
      <c r="X7" s="110">
        <v>0</v>
      </c>
      <c r="Y7" s="110">
        <v>960000</v>
      </c>
      <c r="Z7" s="110">
        <v>960000</v>
      </c>
      <c r="AA7" s="110">
        <v>45287</v>
      </c>
      <c r="AB7" s="111" t="str">
        <v>Q4 2023</v>
      </c>
      <c r="AC7">
        <v>45133</v>
      </c>
      <c r="AD7">
        <v>0</v>
      </c>
      <c r="AE7" t="str">
        <v>Ana Damásio</v>
      </c>
      <c r="AF7" t="str">
        <v>Francisço Guerreiro</v>
      </c>
      <c r="AG7" t="str">
        <v>https://www.vilamouraworld.com/real-estate/natura-village/</v>
      </c>
      <c r="AH7" t="str">
        <v>A 5 minute bike ride away from the Environmental Park, this is the location for a serene lifestyle. Experience a home crafted with care and balance.</v>
      </c>
      <c r="AI7" t="str">
        <v>Gym, Sauna, Condo Pool, Private Pools, Outdoor Areas, Private Parking</v>
      </c>
      <c r="AJ7" t="str">
        <v>Condomínio privado; Villas de 2 e 3 quartos; Piscinas privativas; Localização refúgio junto ao parque natural e campos de golfe; Garagens privadas; Ginásio e piscina comum; Excelentes espaços exteriores privados e de condomínio.</v>
      </c>
      <c r="AK7" t="str">
        <v>AN_DRE</v>
      </c>
      <c r="AL7" t="str">
        <v>Natura Village</v>
      </c>
    </row>
    <row r="8" spans="1:38" x14ac:dyDescent="0.3">
      <c r="A8" s="129" t="str">
        <v>NATURA VILLAGE 4</v>
      </c>
      <c r="B8" s="129" t="str">
        <v>Vilamoura</v>
      </c>
      <c r="C8" s="110" t="str">
        <v>F</v>
      </c>
      <c r="D8" s="110" t="str">
        <v>Vilamoura, Algarve</v>
      </c>
      <c r="E8" s="110" t="str">
        <v>V3</v>
      </c>
      <c r="F8" s="110">
        <v>177.48</v>
      </c>
      <c r="G8" s="110">
        <v>0</v>
      </c>
      <c r="H8" s="110" t="str">
        <v/>
      </c>
      <c r="I8" s="110" t="str">
        <v/>
      </c>
      <c r="J8" s="110">
        <v>0</v>
      </c>
      <c r="K8" s="110">
        <v>0</v>
      </c>
      <c r="L8" s="110">
        <v>0</v>
      </c>
      <c r="M8" s="110">
        <v>0</v>
      </c>
      <c r="N8" s="110">
        <v>0</v>
      </c>
      <c r="O8" s="110">
        <v>177.48</v>
      </c>
      <c r="P8" s="110">
        <v>0</v>
      </c>
      <c r="Q8" s="110" t="str">
        <v xml:space="preserve">DEED </v>
      </c>
      <c r="R8" s="110">
        <v>990000</v>
      </c>
      <c r="S8" s="110">
        <v>990000</v>
      </c>
      <c r="T8" s="110">
        <v>990000</v>
      </c>
      <c r="U8" s="110">
        <v>0</v>
      </c>
      <c r="V8" s="110">
        <v>0</v>
      </c>
      <c r="W8" s="110">
        <v>990000</v>
      </c>
      <c r="X8" s="110">
        <v>0</v>
      </c>
      <c r="Y8" s="110">
        <v>990000</v>
      </c>
      <c r="Z8" s="110">
        <v>990000</v>
      </c>
      <c r="AA8" s="110">
        <v>45287</v>
      </c>
      <c r="AB8" s="111" t="str">
        <v>Q4 2023</v>
      </c>
      <c r="AC8">
        <v>45133</v>
      </c>
      <c r="AD8">
        <v>0</v>
      </c>
      <c r="AE8" t="str">
        <v>Ana Damásio</v>
      </c>
      <c r="AF8" t="str">
        <v>Francisço Guerreiro</v>
      </c>
      <c r="AG8" t="str">
        <v>https://www.vilamouraworld.com/real-estate/natura-village/</v>
      </c>
      <c r="AH8" t="str">
        <v>A 5 minute bike ride away from the Environmental Park, this is the location for a serene lifestyle. Experience a home crafted with care and balance.</v>
      </c>
      <c r="AI8" t="str">
        <v>Gym, Sauna, Condo Pool, Private Pools, Outdoor Areas, Private Parking</v>
      </c>
      <c r="AJ8" t="str">
        <v>Condomínio privado; Villas de 2 e 3 quartos; Piscinas privativas; Localização refúgio junto ao parque natural e campos de golfe; Garagens privadas; Ginásio e piscina comum; Excelentes espaços exteriores privados e de condomínio.</v>
      </c>
      <c r="AK8" t="str">
        <v>AN_DRE</v>
      </c>
      <c r="AL8" t="str">
        <v>Natura Village</v>
      </c>
    </row>
    <row r="9" spans="1:38" x14ac:dyDescent="0.3">
      <c r="A9" s="129" t="str">
        <v>NATURA VILLAGE 4</v>
      </c>
      <c r="B9" s="129" t="str">
        <v>Vilamoura</v>
      </c>
      <c r="C9" s="110" t="str">
        <v>J</v>
      </c>
      <c r="D9" s="110" t="str">
        <v>Vilamoura, Algarve</v>
      </c>
      <c r="E9" s="110" t="str">
        <v>V2</v>
      </c>
      <c r="F9" s="110">
        <v>146.38</v>
      </c>
      <c r="G9" s="110">
        <v>0</v>
      </c>
      <c r="H9" s="110" t="str">
        <v/>
      </c>
      <c r="I9" s="110" t="str">
        <v/>
      </c>
      <c r="J9" s="110">
        <v>0</v>
      </c>
      <c r="K9" s="110">
        <v>0</v>
      </c>
      <c r="L9" s="110">
        <v>0</v>
      </c>
      <c r="M9" s="110">
        <v>0</v>
      </c>
      <c r="N9" s="110">
        <v>0</v>
      </c>
      <c r="O9" s="110">
        <v>146.38</v>
      </c>
      <c r="P9" s="110">
        <v>0</v>
      </c>
      <c r="Q9" s="110" t="str">
        <v xml:space="preserve">DEED </v>
      </c>
      <c r="R9" s="110">
        <v>810000</v>
      </c>
      <c r="S9" s="110">
        <v>810000</v>
      </c>
      <c r="T9" s="110">
        <v>830000</v>
      </c>
      <c r="U9" s="110">
        <v>0</v>
      </c>
      <c r="V9" s="110">
        <v>0</v>
      </c>
      <c r="W9" s="110">
        <v>830000</v>
      </c>
      <c r="X9" s="110">
        <v>0</v>
      </c>
      <c r="Y9" s="110">
        <v>830000</v>
      </c>
      <c r="Z9" s="110">
        <v>830000</v>
      </c>
      <c r="AA9" s="110">
        <v>45287</v>
      </c>
      <c r="AB9" s="111" t="str">
        <v>Q4 2023</v>
      </c>
      <c r="AC9">
        <v>45841</v>
      </c>
      <c r="AD9">
        <v>0</v>
      </c>
      <c r="AE9" t="str">
        <v>Ana Damásio</v>
      </c>
      <c r="AF9" t="str">
        <v>Francisço Guerreiro</v>
      </c>
      <c r="AG9" t="str">
        <v>https://www.vilamouraworld.com/real-estate/natura-village/</v>
      </c>
      <c r="AH9" t="str">
        <v>A 5 minute bike ride away from the Environmental Park, this is the location for a serene lifestyle. Experience a home crafted with care and balance.</v>
      </c>
      <c r="AI9" t="str">
        <v>Gym, Sauna, Condo Pool, Private Pools, Outdoor Areas, Private Parking</v>
      </c>
      <c r="AJ9" t="str">
        <v>Condomínio privado; Villas de 2 e 3 quartos; Piscinas privativas; Localização refúgio junto ao parque natural e campos de golfe; Garagens privadas; Ginásio e piscina comum; Excelentes espaços exteriores privados e de condomínio.</v>
      </c>
      <c r="AK9" t="str">
        <v>AN_DRE</v>
      </c>
      <c r="AL9" t="str">
        <v>Natura Village</v>
      </c>
    </row>
    <row r="10" spans="1:38" x14ac:dyDescent="0.3">
      <c r="A10" s="110" t="str">
        <v>NATURA VILLAGE 4</v>
      </c>
      <c r="B10" s="110" t="str">
        <v>Vilamoura</v>
      </c>
      <c r="C10" s="110" t="str">
        <v>K</v>
      </c>
      <c r="D10" s="110" t="str">
        <v>Vilamoura, Algarve</v>
      </c>
      <c r="E10" s="110" t="str">
        <v>V2</v>
      </c>
      <c r="F10" s="110">
        <v>139.88</v>
      </c>
      <c r="G10" s="110">
        <v>0</v>
      </c>
      <c r="H10" s="110" t="str">
        <v/>
      </c>
      <c r="I10" s="110" t="str">
        <v/>
      </c>
      <c r="J10" s="110">
        <v>0</v>
      </c>
      <c r="K10" s="110">
        <v>0</v>
      </c>
      <c r="L10" s="110">
        <v>0</v>
      </c>
      <c r="M10" s="110">
        <v>0</v>
      </c>
      <c r="N10" s="110">
        <v>0</v>
      </c>
      <c r="O10" s="110">
        <v>139.88</v>
      </c>
      <c r="P10" s="110">
        <v>0</v>
      </c>
      <c r="Q10" s="110" t="str">
        <v xml:space="preserve">DEED </v>
      </c>
      <c r="R10" s="110">
        <v>740000</v>
      </c>
      <c r="S10" s="110">
        <v>740000</v>
      </c>
      <c r="T10" s="110">
        <v>760000</v>
      </c>
      <c r="U10" s="110">
        <v>0</v>
      </c>
      <c r="V10" s="110">
        <v>0</v>
      </c>
      <c r="W10" s="110">
        <v>760000</v>
      </c>
      <c r="X10" s="110">
        <v>0</v>
      </c>
      <c r="Y10" s="110">
        <v>760000</v>
      </c>
      <c r="Z10" s="110">
        <v>760000</v>
      </c>
      <c r="AA10" s="110">
        <v>45287</v>
      </c>
      <c r="AB10" s="111" t="str">
        <v>Q4 2023</v>
      </c>
      <c r="AC10">
        <v>45287</v>
      </c>
      <c r="AD10">
        <v>0</v>
      </c>
      <c r="AE10" t="str">
        <v>Ana Damásio</v>
      </c>
      <c r="AF10" t="str">
        <v>Francisço Guerreiro</v>
      </c>
      <c r="AG10" t="str">
        <v>https://www.vilamouraworld.com/real-estate/natura-village/</v>
      </c>
      <c r="AH10" t="str">
        <v>A 5 minute bike ride away from the Environmental Park, this is the location for a serene lifestyle. Experience a home crafted with care and balance.</v>
      </c>
      <c r="AI10" t="str">
        <v>Gym, Sauna, Condo Pool, Private Pools, Outdoor Areas, Private Parking</v>
      </c>
      <c r="AJ10" t="str">
        <v>Condomínio privado; Villas de 2 e 3 quartos; Piscinas privativas; Localização refúgio junto ao parque natural e campos de golfe; Garagens privadas; Ginásio e piscina comum; Excelentes espaços exteriores privados e de condomínio.</v>
      </c>
      <c r="AK10" t="str">
        <v>AN_DRE</v>
      </c>
      <c r="AL10" t="str">
        <v>Natura Village</v>
      </c>
    </row>
    <row r="11" spans="1:38" x14ac:dyDescent="0.3">
      <c r="A11" s="110" t="str">
        <v>NATURA VILLAGE 4</v>
      </c>
      <c r="B11" s="110" t="str">
        <v>Vilamoura</v>
      </c>
      <c r="C11" s="110" t="str">
        <v>L</v>
      </c>
      <c r="D11" s="110" t="str">
        <v>Vilamoura, Algarve</v>
      </c>
      <c r="E11" s="110" t="str">
        <v>V2</v>
      </c>
      <c r="F11" s="110">
        <v>150.28</v>
      </c>
      <c r="G11" s="110">
        <v>0</v>
      </c>
      <c r="H11" s="110" t="str">
        <v/>
      </c>
      <c r="I11" s="110" t="str">
        <v/>
      </c>
      <c r="J11" s="110">
        <v>0</v>
      </c>
      <c r="K11" s="110">
        <v>0</v>
      </c>
      <c r="L11" s="110">
        <v>0</v>
      </c>
      <c r="M11" s="110">
        <v>0</v>
      </c>
      <c r="N11" s="110">
        <v>0</v>
      </c>
      <c r="O11" s="110">
        <v>150.28</v>
      </c>
      <c r="P11" s="110">
        <v>0</v>
      </c>
      <c r="Q11" s="110" t="str">
        <v xml:space="preserve">DEED </v>
      </c>
      <c r="R11" s="110">
        <v>840000</v>
      </c>
      <c r="S11" s="110">
        <v>840000</v>
      </c>
      <c r="T11" s="110">
        <v>860000</v>
      </c>
      <c r="U11" s="110">
        <v>0</v>
      </c>
      <c r="V11" s="110">
        <v>0</v>
      </c>
      <c r="W11" s="110">
        <v>860000</v>
      </c>
      <c r="X11" s="110">
        <v>0</v>
      </c>
      <c r="Y11" s="110">
        <v>860000</v>
      </c>
      <c r="Z11" s="110">
        <v>860000</v>
      </c>
      <c r="AA11" s="110">
        <v>45287</v>
      </c>
      <c r="AB11" s="111" t="str">
        <v>Q4 2023</v>
      </c>
      <c r="AC11">
        <v>45841</v>
      </c>
      <c r="AD11">
        <v>0</v>
      </c>
      <c r="AE11" t="str">
        <v>Ana Damásio</v>
      </c>
      <c r="AF11" t="str">
        <v>Francisço Guerreiro</v>
      </c>
      <c r="AG11" t="str">
        <v>https://www.vilamouraworld.com/real-estate/natura-village/</v>
      </c>
      <c r="AH11" t="str">
        <v>A 5 minute bike ride away from the Environmental Park, this is the location for a serene lifestyle. Experience a home crafted with care and balance.</v>
      </c>
      <c r="AI11" t="str">
        <v>Gym, Sauna, Condo Pool, Private Pools, Outdoor Areas, Private Parking</v>
      </c>
      <c r="AJ11" t="str">
        <v>Condomínio privado; Villas de 2 e 3 quartos; Piscinas privativas; Localização refúgio junto ao parque natural e campos de golfe; Garagens privadas; Ginásio e piscina comum; Excelentes espaços exteriores privados e de condomínio.</v>
      </c>
      <c r="AK11" t="str">
        <v>AN_DRE</v>
      </c>
      <c r="AL11" t="str">
        <v>Natura Village</v>
      </c>
    </row>
    <row r="12" spans="1:38" x14ac:dyDescent="0.3">
      <c r="A12" s="110" t="str">
        <v>NATURA VILLAGE 4</v>
      </c>
      <c r="B12" s="110" t="str">
        <v>Vilamoura</v>
      </c>
      <c r="C12" s="110" t="str">
        <v>H</v>
      </c>
      <c r="D12" s="110" t="str">
        <v>Vilamoura, Algarve</v>
      </c>
      <c r="E12" s="110" t="str">
        <v>V2</v>
      </c>
      <c r="F12" s="110">
        <v>149.33000000000001</v>
      </c>
      <c r="G12" s="110">
        <v>0</v>
      </c>
      <c r="H12" s="110" t="str">
        <v/>
      </c>
      <c r="I12" s="110" t="str">
        <v/>
      </c>
      <c r="J12" s="110">
        <v>0</v>
      </c>
      <c r="K12" s="110">
        <v>0</v>
      </c>
      <c r="L12" s="110">
        <v>0</v>
      </c>
      <c r="M12" s="110">
        <v>0</v>
      </c>
      <c r="N12" s="110">
        <v>0</v>
      </c>
      <c r="O12" s="110">
        <v>149.33000000000001</v>
      </c>
      <c r="P12" s="110">
        <v>0</v>
      </c>
      <c r="Q12" s="110" t="str">
        <v>PRE-RESERVED</v>
      </c>
      <c r="R12" s="110">
        <v>820000</v>
      </c>
      <c r="S12" s="110">
        <v>820000</v>
      </c>
      <c r="T12" s="110">
        <v>820000</v>
      </c>
      <c r="U12" s="110">
        <v>0</v>
      </c>
      <c r="V12" s="110">
        <v>0</v>
      </c>
      <c r="W12" s="110">
        <v>820000</v>
      </c>
      <c r="X12" s="110">
        <v>0</v>
      </c>
      <c r="Y12" s="110">
        <v>820000</v>
      </c>
      <c r="Z12" s="110">
        <v>820000</v>
      </c>
      <c r="AA12" s="110">
        <v>45287</v>
      </c>
      <c r="AB12" s="111" t="str">
        <v>Q4 2023</v>
      </c>
      <c r="AC12">
        <v>46165</v>
      </c>
      <c r="AD12">
        <v>0</v>
      </c>
      <c r="AE12" t="str">
        <v>Ana Damásio</v>
      </c>
      <c r="AF12" t="str">
        <v>Francisço Guerreiro</v>
      </c>
      <c r="AG12" t="str">
        <v>https://www.vilamouraworld.com/real-estate/natura-village/</v>
      </c>
      <c r="AH12" t="str">
        <v>A 5 minute bike ride away from the Environmental Park, this is the location for a serene lifestyle. Experience a home crafted with care and balance.</v>
      </c>
      <c r="AI12" t="str">
        <v>Gym, Sauna, Condo Pool, Private Pools, Outdoor Areas, Private Parking</v>
      </c>
      <c r="AJ12" t="str">
        <v>Condomínio privado; Villas de 2 e 3 quartos; Piscinas privativas; Localização refúgio junto ao parque natural e campos de golfe; Garagens privadas; Ginásio e piscina comum; Excelentes espaços exteriores privados e de condomínio.</v>
      </c>
      <c r="AK12" t="str">
        <v>AN_DRE</v>
      </c>
      <c r="AL12" t="str">
        <v>Natura Village</v>
      </c>
    </row>
    <row r="13" spans="1:38" x14ac:dyDescent="0.3">
      <c r="A13" s="110" t="str">
        <v>NATURA VILLAGE 4</v>
      </c>
      <c r="B13" s="110" t="str">
        <v>Vilamoura</v>
      </c>
      <c r="C13" s="110" t="str">
        <v>G</v>
      </c>
      <c r="D13" s="110" t="str">
        <v>Vilamoura, Algarve</v>
      </c>
      <c r="E13" s="110" t="str">
        <v>V2</v>
      </c>
      <c r="F13" s="110">
        <v>146.72</v>
      </c>
      <c r="G13" s="110">
        <v>0</v>
      </c>
      <c r="H13" s="110" t="str">
        <v/>
      </c>
      <c r="I13" s="110" t="str">
        <v/>
      </c>
      <c r="J13" s="110">
        <v>0</v>
      </c>
      <c r="K13" s="110">
        <v>0</v>
      </c>
      <c r="L13" s="110">
        <v>0</v>
      </c>
      <c r="M13" s="110">
        <v>0</v>
      </c>
      <c r="N13" s="110">
        <v>0</v>
      </c>
      <c r="O13" s="110">
        <v>146.72</v>
      </c>
      <c r="P13" s="110">
        <v>0</v>
      </c>
      <c r="Q13" s="110" t="str">
        <v xml:space="preserve">DEED </v>
      </c>
      <c r="R13" s="110">
        <v>860000</v>
      </c>
      <c r="S13" s="110">
        <v>860000</v>
      </c>
      <c r="T13" s="110">
        <v>860000</v>
      </c>
      <c r="U13" s="110">
        <v>0</v>
      </c>
      <c r="V13" s="110">
        <v>0</v>
      </c>
      <c r="W13" s="110">
        <v>860000</v>
      </c>
      <c r="X13" s="110">
        <v>0.03</v>
      </c>
      <c r="Y13" s="110">
        <v>834200</v>
      </c>
      <c r="Z13" s="110">
        <v>834200</v>
      </c>
      <c r="AA13" s="110">
        <v>45287</v>
      </c>
      <c r="AB13" s="111" t="str">
        <v>Q4 2023</v>
      </c>
      <c r="AC13">
        <v>45848</v>
      </c>
      <c r="AD13">
        <v>0</v>
      </c>
      <c r="AE13" t="str">
        <v>Ana Damásio</v>
      </c>
      <c r="AF13" t="str">
        <v>Francisço Guerreiro</v>
      </c>
      <c r="AG13" t="str">
        <v>https://www.vilamouraworld.com/real-estate/natura-village/</v>
      </c>
      <c r="AH13" t="str">
        <v>A 5 minute bike ride away from the Environmental Park, this is the location for a serene lifestyle. Experience a home crafted with care and balance.</v>
      </c>
      <c r="AI13" t="str">
        <v>Gym, Sauna, Condo Pool, Private Pools, Outdoor Areas, Private Parking</v>
      </c>
      <c r="AJ13" t="str">
        <v>Condomínio privado; Villas de 2 e 3 quartos; Piscinas privativas; Localização refúgio junto ao parque natural e campos de golfe; Garagens privadas; Ginásio e piscina comum; Excelentes espaços exteriores privados e de condomínio.</v>
      </c>
      <c r="AK13" t="str">
        <v>AN_DRE</v>
      </c>
      <c r="AL13" t="str">
        <v>Natura Village</v>
      </c>
    </row>
    <row r="14" spans="1:38" x14ac:dyDescent="0.3">
      <c r="A14" s="110" t="str">
        <v>NATURA VILLAGE 4</v>
      </c>
      <c r="B14" s="110" t="str">
        <v>Vilamoura</v>
      </c>
      <c r="C14" s="110" t="str">
        <v>I</v>
      </c>
      <c r="D14" s="110" t="str">
        <v>Vilamoura, Algarve</v>
      </c>
      <c r="E14" s="110" t="str">
        <v>V2</v>
      </c>
      <c r="F14" s="110">
        <v>146.21</v>
      </c>
      <c r="G14" s="110">
        <v>0</v>
      </c>
      <c r="H14" s="110" t="str">
        <v/>
      </c>
      <c r="I14" s="110" t="str">
        <v/>
      </c>
      <c r="J14" s="110">
        <v>0</v>
      </c>
      <c r="K14" s="110">
        <v>0</v>
      </c>
      <c r="L14" s="110">
        <v>0</v>
      </c>
      <c r="M14" s="110">
        <v>0</v>
      </c>
      <c r="N14" s="110">
        <v>0</v>
      </c>
      <c r="O14" s="110">
        <v>146.21</v>
      </c>
      <c r="P14" s="110">
        <v>0</v>
      </c>
      <c r="Q14" s="110" t="str">
        <v>AVAILABLE</v>
      </c>
      <c r="R14" s="110">
        <v>790000</v>
      </c>
      <c r="S14" s="110">
        <v>790000</v>
      </c>
      <c r="T14" s="110">
        <v>790000</v>
      </c>
      <c r="U14" s="110">
        <v>0</v>
      </c>
      <c r="V14" s="110">
        <v>0</v>
      </c>
      <c r="W14" s="110">
        <v>790000</v>
      </c>
      <c r="X14" s="110">
        <v>0</v>
      </c>
      <c r="Y14" s="110">
        <v>790000</v>
      </c>
      <c r="Z14" s="110">
        <v>790000</v>
      </c>
      <c r="AA14" s="110">
        <v>45287</v>
      </c>
      <c r="AB14" s="111" t="str">
        <v>Q4 2023</v>
      </c>
      <c r="AC14">
        <v>0</v>
      </c>
      <c r="AD14">
        <v>0</v>
      </c>
      <c r="AE14" t="str">
        <v>Ana Damásio</v>
      </c>
      <c r="AF14" t="str">
        <v>Francisço Guerreiro</v>
      </c>
      <c r="AG14" t="str">
        <v>https://www.vilamouraworld.com/real-estate/natura-village/</v>
      </c>
      <c r="AH14" t="str">
        <v>A 5 minute bike ride away from the Environmental Park, this is the location for a serene lifestyle. Experience a home crafted with care and balance.</v>
      </c>
      <c r="AI14" t="str">
        <v>Gym, Sauna, Condo Pool, Private Pools, Outdoor Areas, Private Parking</v>
      </c>
      <c r="AJ14" t="str">
        <v>Condomínio privado; Villas de 2 e 3 quartos; Piscinas privativas; Localização refúgio junto ao parque natural e campos de golfe; Garagens privadas; Ginásio e piscina comum; Excelentes espaços exteriores privados e de condomínio.</v>
      </c>
      <c r="AK14" t="str">
        <v>AN_DRE</v>
      </c>
      <c r="AL14" t="str">
        <v>Natura Village</v>
      </c>
    </row>
    <row r="15" spans="1:38" x14ac:dyDescent="0.3">
      <c r="A15" s="110" t="str">
        <v>NATURA VILLAGE 7</v>
      </c>
      <c r="B15" s="110" t="str">
        <v>Vilamoura</v>
      </c>
      <c r="C15" s="110" t="str">
        <v>A</v>
      </c>
      <c r="D15" s="110" t="str">
        <v>Vilamoura, Algarve</v>
      </c>
      <c r="E15" s="110" t="str">
        <v>V2</v>
      </c>
      <c r="F15" s="110">
        <v>146.33000000000001</v>
      </c>
      <c r="G15" s="110">
        <v>0</v>
      </c>
      <c r="H15" s="110" t="str">
        <v/>
      </c>
      <c r="I15" s="110" t="str">
        <v/>
      </c>
      <c r="J15" s="110">
        <v>0</v>
      </c>
      <c r="K15" s="110">
        <v>0</v>
      </c>
      <c r="L15" s="110">
        <v>0</v>
      </c>
      <c r="M15" s="110">
        <v>0</v>
      </c>
      <c r="N15" s="110">
        <v>0</v>
      </c>
      <c r="O15" s="110">
        <v>146.33000000000001</v>
      </c>
      <c r="P15" s="110">
        <v>0</v>
      </c>
      <c r="Q15" s="110" t="str">
        <v xml:space="preserve">DEED </v>
      </c>
      <c r="R15" s="110">
        <v>810000</v>
      </c>
      <c r="S15" s="110">
        <v>810000</v>
      </c>
      <c r="T15" s="110">
        <v>830000</v>
      </c>
      <c r="U15" s="110">
        <v>0</v>
      </c>
      <c r="V15" s="110">
        <v>0</v>
      </c>
      <c r="W15" s="110">
        <v>830000</v>
      </c>
      <c r="X15" s="110">
        <v>0</v>
      </c>
      <c r="Y15" s="110">
        <v>830000</v>
      </c>
      <c r="Z15" s="110">
        <v>830000</v>
      </c>
      <c r="AA15" s="110">
        <v>45287</v>
      </c>
      <c r="AB15" s="111" t="str">
        <v>Q4 2023</v>
      </c>
      <c r="AC15">
        <v>45537</v>
      </c>
      <c r="AD15">
        <v>0</v>
      </c>
      <c r="AE15" t="str">
        <v>Ana Damásio</v>
      </c>
      <c r="AF15" t="str">
        <v>Francisço Guerreiro</v>
      </c>
      <c r="AG15" t="str">
        <v>https://www.vilamouraworld.com/real-estate/natura-village/</v>
      </c>
      <c r="AH15" t="str">
        <v>A 5 minute bike ride away from the Environmental Park, this is the location for a serene lifestyle. Experience a home crafted with care and balance.</v>
      </c>
      <c r="AI15" t="str">
        <v>Gym, Sauna, Condo Pool, Private Pools, Outdoor Areas, Private Parking</v>
      </c>
      <c r="AJ15" t="str">
        <v>Condomínio privado; Villas de 2 e 3 quartos; Piscinas privativas; Localização refúgio junto ao parque natural e campos de golfe; Garagens privadas; Ginásio e piscina comum; Excelentes espaços exteriores privados e de condomínio.</v>
      </c>
      <c r="AK15" t="str">
        <v>AN_DRE</v>
      </c>
      <c r="AL15" t="str">
        <v>Natura Village</v>
      </c>
    </row>
    <row r="16" spans="1:38" x14ac:dyDescent="0.3">
      <c r="A16" s="110" t="str">
        <v>NATURA VILLAGE 7</v>
      </c>
      <c r="B16" s="110" t="str">
        <v>Vilamoura</v>
      </c>
      <c r="C16" s="110" t="str">
        <v>B</v>
      </c>
      <c r="D16" s="110" t="str">
        <v>Vilamoura, Algarve</v>
      </c>
      <c r="E16" s="110" t="str">
        <v>V2</v>
      </c>
      <c r="F16" s="110">
        <v>146.69</v>
      </c>
      <c r="G16" s="110">
        <v>0</v>
      </c>
      <c r="H16" s="110" t="str">
        <v/>
      </c>
      <c r="I16" s="110" t="str">
        <v/>
      </c>
      <c r="J16" s="110">
        <v>0</v>
      </c>
      <c r="K16" s="110">
        <v>0</v>
      </c>
      <c r="L16" s="110">
        <v>0</v>
      </c>
      <c r="M16" s="110">
        <v>0</v>
      </c>
      <c r="N16" s="110">
        <v>0</v>
      </c>
      <c r="O16" s="110">
        <v>146.69</v>
      </c>
      <c r="P16" s="110">
        <v>0</v>
      </c>
      <c r="Q16" s="110" t="str">
        <v xml:space="preserve">DEED </v>
      </c>
      <c r="R16" s="110">
        <v>790000</v>
      </c>
      <c r="S16" s="110">
        <v>790000</v>
      </c>
      <c r="T16" s="110">
        <v>810000</v>
      </c>
      <c r="U16" s="110">
        <v>0</v>
      </c>
      <c r="V16" s="110">
        <v>0</v>
      </c>
      <c r="W16" s="110">
        <v>810000</v>
      </c>
      <c r="X16" s="110">
        <v>0</v>
      </c>
      <c r="Y16" s="110">
        <v>810000</v>
      </c>
      <c r="Z16" s="110">
        <v>810000</v>
      </c>
      <c r="AA16" s="110">
        <v>45287</v>
      </c>
      <c r="AB16" s="111" t="str">
        <v>Q4 2023</v>
      </c>
      <c r="AC16">
        <v>45771</v>
      </c>
      <c r="AD16">
        <v>0</v>
      </c>
      <c r="AE16" t="str">
        <v>Ana Damásio</v>
      </c>
      <c r="AF16" t="str">
        <v>Francisço Guerreiro</v>
      </c>
      <c r="AG16" t="str">
        <v>https://www.vilamouraworld.com/real-estate/natura-village/</v>
      </c>
      <c r="AH16" t="str">
        <v>A 5 minute bike ride away from the Environmental Park, this is the location for a serene lifestyle. Experience a home crafted with care and balance.</v>
      </c>
      <c r="AI16" t="str">
        <v>Gym, Sauna, Condo Pool, Private Pools, Outdoor Areas, Private Parking</v>
      </c>
      <c r="AJ16" t="str">
        <v>Condomínio privado; Villas de 2 e 3 quartos; Piscinas privativas; Localização refúgio junto ao parque natural e campos de golfe; Garagens privadas; Ginásio e piscina comum; Excelentes espaços exteriores privados e de condomínio.</v>
      </c>
      <c r="AK16" t="str">
        <v>AN_DRE</v>
      </c>
      <c r="AL16" t="str">
        <v>Natura Village</v>
      </c>
    </row>
    <row r="17" spans="1:38" x14ac:dyDescent="0.3">
      <c r="A17" s="110" t="str">
        <v>NATURA VILLAGE 7</v>
      </c>
      <c r="B17" s="110" t="str">
        <v>Vilamoura</v>
      </c>
      <c r="C17" s="110" t="str">
        <v>C</v>
      </c>
      <c r="D17" s="110" t="str">
        <v>Vilamoura, Algarve</v>
      </c>
      <c r="E17" s="110" t="str">
        <v>V2</v>
      </c>
      <c r="F17" s="110">
        <v>139.57</v>
      </c>
      <c r="G17" s="110">
        <v>0</v>
      </c>
      <c r="H17" s="110" t="str">
        <v/>
      </c>
      <c r="I17" s="110" t="str">
        <v/>
      </c>
      <c r="J17" s="110">
        <v>0</v>
      </c>
      <c r="K17" s="110">
        <v>0</v>
      </c>
      <c r="L17" s="110">
        <v>0</v>
      </c>
      <c r="M17" s="110">
        <v>0</v>
      </c>
      <c r="N17" s="110">
        <v>0</v>
      </c>
      <c r="O17" s="110">
        <v>139.57</v>
      </c>
      <c r="P17" s="110">
        <v>0</v>
      </c>
      <c r="Q17" s="110" t="str">
        <v xml:space="preserve">DEED </v>
      </c>
      <c r="R17" s="110">
        <v>760000</v>
      </c>
      <c r="S17" s="110">
        <v>760000</v>
      </c>
      <c r="T17" s="110">
        <v>780000</v>
      </c>
      <c r="U17" s="110">
        <v>0</v>
      </c>
      <c r="V17" s="110">
        <v>0</v>
      </c>
      <c r="W17" s="110">
        <v>780000</v>
      </c>
      <c r="X17" s="110">
        <v>0</v>
      </c>
      <c r="Y17" s="110">
        <v>780000</v>
      </c>
      <c r="Z17" s="110">
        <v>780000</v>
      </c>
      <c r="AA17" s="110">
        <v>45287</v>
      </c>
      <c r="AB17" s="111" t="str">
        <v>Q4 2023</v>
      </c>
      <c r="AC17">
        <v>45548</v>
      </c>
      <c r="AD17">
        <v>0</v>
      </c>
      <c r="AE17" t="str">
        <v>Ana Damásio</v>
      </c>
      <c r="AF17" t="str">
        <v>Francisço Guerreiro</v>
      </c>
      <c r="AG17" t="str">
        <v>https://www.vilamouraworld.com/real-estate/natura-village/</v>
      </c>
      <c r="AH17" t="str">
        <v>A 5 minute bike ride away from the Environmental Park, this is the location for a serene lifestyle. Experience a home crafted with care and balance.</v>
      </c>
      <c r="AI17" t="str">
        <v>Gym, Sauna, Condo Pool, Private Pools, Outdoor Areas, Private Parking</v>
      </c>
      <c r="AJ17" t="str">
        <v>Condomínio privado; Villas de 2 e 3 quartos; Piscinas privativas; Localização refúgio junto ao parque natural e campos de golfe; Garagens privadas; Ginásio e piscina comum; Excelentes espaços exteriores privados e de condomínio.</v>
      </c>
      <c r="AK17" t="str">
        <v>AN_DRE</v>
      </c>
      <c r="AL17" t="str">
        <v>Natura Village</v>
      </c>
    </row>
    <row r="18" spans="1:38" x14ac:dyDescent="0.3">
      <c r="A18" s="110" t="str">
        <v>NATURA VILLAGE 7</v>
      </c>
      <c r="B18" s="110" t="str">
        <v>Vilamoura</v>
      </c>
      <c r="C18" s="110" t="str">
        <v>D</v>
      </c>
      <c r="D18" s="110" t="str">
        <v>Vilamoura, Algarve</v>
      </c>
      <c r="E18" s="110" t="str">
        <v>V3</v>
      </c>
      <c r="F18" s="110">
        <v>170.86</v>
      </c>
      <c r="G18" s="110">
        <v>0</v>
      </c>
      <c r="H18" s="110" t="str">
        <v/>
      </c>
      <c r="I18" s="110" t="str">
        <v/>
      </c>
      <c r="J18" s="110">
        <v>0</v>
      </c>
      <c r="K18" s="110">
        <v>0</v>
      </c>
      <c r="L18" s="110">
        <v>0</v>
      </c>
      <c r="M18" s="110">
        <v>0</v>
      </c>
      <c r="N18" s="110">
        <v>0</v>
      </c>
      <c r="O18" s="110">
        <v>170.86</v>
      </c>
      <c r="P18" s="110">
        <v>0</v>
      </c>
      <c r="Q18" s="110" t="str">
        <v xml:space="preserve">DEED </v>
      </c>
      <c r="R18" s="110">
        <v>930000</v>
      </c>
      <c r="S18" s="110">
        <v>930000</v>
      </c>
      <c r="T18" s="110">
        <v>883500</v>
      </c>
      <c r="U18" s="110">
        <v>0</v>
      </c>
      <c r="V18" s="110">
        <v>0</v>
      </c>
      <c r="W18" s="110">
        <v>883500</v>
      </c>
      <c r="X18" s="110">
        <v>0</v>
      </c>
      <c r="Y18" s="110">
        <v>883500</v>
      </c>
      <c r="Z18" s="110">
        <v>883500</v>
      </c>
      <c r="AA18" s="110">
        <v>45287</v>
      </c>
      <c r="AB18" s="111" t="str">
        <v>Q4 2023</v>
      </c>
      <c r="AC18">
        <v>45019</v>
      </c>
      <c r="AD18">
        <v>0</v>
      </c>
      <c r="AE18" t="str">
        <v>Ana Damásio</v>
      </c>
      <c r="AF18" t="str">
        <v>Francisço Guerreiro</v>
      </c>
      <c r="AG18" t="str">
        <v>https://www.vilamouraworld.com/real-estate/natura-village/</v>
      </c>
      <c r="AH18" t="str">
        <v>A 5 minute bike ride away from the Environmental Park, this is the location for a serene lifestyle. Experience a home crafted with care and balance.</v>
      </c>
      <c r="AI18" t="str">
        <v>Gym, Sauna, Condo Pool, Private Pools, Outdoor Areas, Private Parking</v>
      </c>
      <c r="AJ18" t="str">
        <v>Condomínio privado; Villas de 2 e 3 quartos; Piscinas privativas; Localização refúgio junto ao parque natural e campos de golfe; Garagens privadas; Ginásio e piscina comum; Excelentes espaços exteriores privados e de condomínio.</v>
      </c>
      <c r="AK18" t="str">
        <v>AN_DRE</v>
      </c>
      <c r="AL18" t="str">
        <v>Natura Village</v>
      </c>
    </row>
    <row r="19" spans="1:38" x14ac:dyDescent="0.3">
      <c r="A19" s="110" t="str">
        <v>NATURA VILLAGE 7</v>
      </c>
      <c r="B19" s="110" t="str">
        <v>Vilamoura</v>
      </c>
      <c r="C19" s="110" t="str">
        <v>F</v>
      </c>
      <c r="D19" s="110" t="str">
        <v>Vilamoura, Algarve</v>
      </c>
      <c r="E19" s="110" t="str">
        <v>V2</v>
      </c>
      <c r="F19" s="110">
        <v>139.58000000000001</v>
      </c>
      <c r="G19" s="110">
        <v>0</v>
      </c>
      <c r="H19" s="110" t="str">
        <v/>
      </c>
      <c r="I19" s="110" t="str">
        <v/>
      </c>
      <c r="J19" s="110">
        <v>0</v>
      </c>
      <c r="K19" s="110">
        <v>0</v>
      </c>
      <c r="L19" s="110">
        <v>0</v>
      </c>
      <c r="M19" s="110">
        <v>0</v>
      </c>
      <c r="N19" s="110">
        <v>0</v>
      </c>
      <c r="O19" s="110">
        <v>139.58000000000001</v>
      </c>
      <c r="P19" s="110">
        <v>0</v>
      </c>
      <c r="Q19" s="110" t="str">
        <v xml:space="preserve">DEED </v>
      </c>
      <c r="R19" s="110">
        <v>760000</v>
      </c>
      <c r="S19" s="110">
        <v>760000</v>
      </c>
      <c r="T19" s="110">
        <v>780000</v>
      </c>
      <c r="U19" s="110">
        <v>0</v>
      </c>
      <c r="V19" s="110">
        <v>0</v>
      </c>
      <c r="W19" s="110">
        <v>780000</v>
      </c>
      <c r="X19" s="110">
        <v>0</v>
      </c>
      <c r="Y19" s="110">
        <v>780000</v>
      </c>
      <c r="Z19" s="110">
        <v>780000</v>
      </c>
      <c r="AA19" s="110">
        <v>45287</v>
      </c>
      <c r="AB19" s="111" t="str">
        <v>Q4 2023</v>
      </c>
      <c r="AC19">
        <v>45841</v>
      </c>
      <c r="AD19">
        <v>0</v>
      </c>
      <c r="AE19" t="str">
        <v>Ana Damásio</v>
      </c>
      <c r="AF19" t="str">
        <v>Francisço Guerreiro</v>
      </c>
      <c r="AG19" t="str">
        <v>https://www.vilamouraworld.com/real-estate/natura-village/</v>
      </c>
      <c r="AH19" t="str">
        <v>A 5 minute bike ride away from the Environmental Park, this is the location for a serene lifestyle. Experience a home crafted with care and balance.</v>
      </c>
      <c r="AI19" t="str">
        <v>Gym, Sauna, Condo Pool, Private Pools, Outdoor Areas, Private Parking</v>
      </c>
      <c r="AJ19" t="str">
        <v>Condomínio privado; Villas de 2 e 3 quartos; Piscinas privativas; Localização refúgio junto ao parque natural e campos de golfe; Garagens privadas; Ginásio e piscina comum; Excelentes espaços exteriores privados e de condomínio.</v>
      </c>
      <c r="AK19" t="str">
        <v>AN_DRE</v>
      </c>
      <c r="AL19" t="str">
        <v>Natura Village</v>
      </c>
    </row>
    <row r="20" spans="1:38" x14ac:dyDescent="0.3">
      <c r="A20" s="110" t="str">
        <v>NATURA VILLAGE 7</v>
      </c>
      <c r="B20" s="110" t="str">
        <v>Vilamoura</v>
      </c>
      <c r="C20" s="110" t="str">
        <v>G</v>
      </c>
      <c r="D20" s="110" t="str">
        <v>Vilamoura, Algarve</v>
      </c>
      <c r="E20" s="110" t="str">
        <v>V3</v>
      </c>
      <c r="F20" s="110">
        <v>163.53</v>
      </c>
      <c r="G20" s="110">
        <v>0</v>
      </c>
      <c r="H20" s="110" t="str">
        <v/>
      </c>
      <c r="I20" s="110" t="str">
        <v/>
      </c>
      <c r="J20" s="110">
        <v>0</v>
      </c>
      <c r="K20" s="110">
        <v>0</v>
      </c>
      <c r="L20" s="110">
        <v>0</v>
      </c>
      <c r="M20" s="110">
        <v>0</v>
      </c>
      <c r="N20" s="110">
        <v>0</v>
      </c>
      <c r="O20" s="110">
        <v>163.53</v>
      </c>
      <c r="P20" s="110">
        <v>0</v>
      </c>
      <c r="Q20" s="110" t="str">
        <v xml:space="preserve">DEED </v>
      </c>
      <c r="R20" s="110">
        <v>920000</v>
      </c>
      <c r="S20" s="110">
        <v>920000</v>
      </c>
      <c r="T20" s="110">
        <v>960000</v>
      </c>
      <c r="U20" s="110">
        <v>0</v>
      </c>
      <c r="V20" s="110">
        <v>0</v>
      </c>
      <c r="W20" s="110">
        <v>960000</v>
      </c>
      <c r="X20" s="110">
        <v>0</v>
      </c>
      <c r="Y20" s="110">
        <v>960000</v>
      </c>
      <c r="Z20" s="110">
        <v>960000</v>
      </c>
      <c r="AA20" s="110">
        <v>45287</v>
      </c>
      <c r="AB20" s="111" t="str">
        <v>Q4 2023</v>
      </c>
      <c r="AC20">
        <v>45532</v>
      </c>
      <c r="AD20">
        <v>0</v>
      </c>
      <c r="AE20" t="str">
        <v>Ana Damásio</v>
      </c>
      <c r="AF20" t="str">
        <v>Francisço Guerreiro</v>
      </c>
      <c r="AG20" t="str">
        <v>https://www.vilamouraworld.com/real-estate/natura-village/</v>
      </c>
      <c r="AH20" t="str">
        <v>A 5 minute bike ride away from the Environmental Park, this is the location for a serene lifestyle. Experience a home crafted with care and balance.</v>
      </c>
      <c r="AI20" t="str">
        <v>Gym, Sauna, Condo Pool, Private Pools, Outdoor Areas, Private Parking</v>
      </c>
      <c r="AJ20" t="str">
        <v>Condomínio privado; Villas de 2 e 3 quartos; Piscinas privativas; Localização refúgio junto ao parque natural e campos de golfe; Garagens privadas; Ginásio e piscina comum; Excelentes espaços exteriores privados e de condomínio.</v>
      </c>
      <c r="AK20" t="str">
        <v>AN_DRE</v>
      </c>
      <c r="AL20" t="str">
        <v>Natura Village</v>
      </c>
    </row>
    <row r="21" spans="1:38" x14ac:dyDescent="0.3">
      <c r="A21" s="110" t="str">
        <v>NATURA VILLAGE 7</v>
      </c>
      <c r="B21" s="110" t="str">
        <v>Vilamoura</v>
      </c>
      <c r="C21" s="110" t="str">
        <v>J</v>
      </c>
      <c r="D21" s="110" t="str">
        <v>Vilamoura, Algarve</v>
      </c>
      <c r="E21" s="110" t="str">
        <v>V2</v>
      </c>
      <c r="F21" s="110">
        <v>145.87</v>
      </c>
      <c r="G21" s="110">
        <v>0</v>
      </c>
      <c r="H21" s="110" t="str">
        <v/>
      </c>
      <c r="I21" s="110" t="str">
        <v/>
      </c>
      <c r="J21" s="110">
        <v>0</v>
      </c>
      <c r="K21" s="110">
        <v>0</v>
      </c>
      <c r="L21" s="110">
        <v>0</v>
      </c>
      <c r="M21" s="110">
        <v>0</v>
      </c>
      <c r="N21" s="110">
        <v>0</v>
      </c>
      <c r="O21" s="110">
        <v>145.87</v>
      </c>
      <c r="P21" s="110">
        <v>0</v>
      </c>
      <c r="Q21" s="110" t="str">
        <v xml:space="preserve">DEED </v>
      </c>
      <c r="R21" s="110">
        <v>810000</v>
      </c>
      <c r="S21" s="110">
        <v>810000</v>
      </c>
      <c r="T21" s="110">
        <v>830000</v>
      </c>
      <c r="U21" s="110">
        <v>0</v>
      </c>
      <c r="V21" s="110">
        <v>0</v>
      </c>
      <c r="W21" s="110">
        <v>830000</v>
      </c>
      <c r="X21" s="110">
        <v>0</v>
      </c>
      <c r="Y21" s="110">
        <v>830000</v>
      </c>
      <c r="Z21" s="110">
        <v>830000</v>
      </c>
      <c r="AA21" s="110">
        <v>45287</v>
      </c>
      <c r="AB21" s="111" t="str">
        <v>Q4 2023</v>
      </c>
      <c r="AC21">
        <v>45657</v>
      </c>
      <c r="AD21">
        <v>0</v>
      </c>
      <c r="AE21" t="str">
        <v>Ana Damásio</v>
      </c>
      <c r="AF21" t="str">
        <v>Francisço Guerreiro</v>
      </c>
      <c r="AG21" t="str">
        <v>https://www.vilamouraworld.com/real-estate/natura-village/</v>
      </c>
      <c r="AH21" t="str">
        <v>A 5 minute bike ride away from the Environmental Park, this is the location for a serene lifestyle. Experience a home crafted with care and balance.</v>
      </c>
      <c r="AI21" t="str">
        <v>Gym, Sauna, Condo Pool, Private Pools, Outdoor Areas, Private Parking</v>
      </c>
      <c r="AJ21" t="str">
        <v>Condomínio privado; Villas de 2 e 3 quartos; Piscinas privativas; Localização refúgio junto ao parque natural e campos de golfe; Garagens privadas; Ginásio e piscina comum; Excelentes espaços exteriores privados e de condomínio.</v>
      </c>
      <c r="AK21" t="str">
        <v>AN_DRE</v>
      </c>
      <c r="AL21" t="str">
        <v>Natura Village</v>
      </c>
    </row>
    <row r="22" spans="1:38" x14ac:dyDescent="0.3">
      <c r="A22" s="110" t="str">
        <v>NATURA VILLAGE 7</v>
      </c>
      <c r="B22" s="110" t="str">
        <v>Vilamoura</v>
      </c>
      <c r="C22" s="110" t="str">
        <v>K</v>
      </c>
      <c r="D22" s="110" t="str">
        <v>Vilamoura, Algarve</v>
      </c>
      <c r="E22" s="110" t="str">
        <v>V3</v>
      </c>
      <c r="F22" s="110">
        <v>164.09</v>
      </c>
      <c r="G22" s="110">
        <v>0</v>
      </c>
      <c r="H22" s="110" t="str">
        <v/>
      </c>
      <c r="I22" s="110" t="str">
        <v/>
      </c>
      <c r="J22" s="110">
        <v>0</v>
      </c>
      <c r="K22" s="110">
        <v>0</v>
      </c>
      <c r="L22" s="110">
        <v>0</v>
      </c>
      <c r="M22" s="110">
        <v>0</v>
      </c>
      <c r="N22" s="110">
        <v>0</v>
      </c>
      <c r="O22" s="110">
        <v>164.09</v>
      </c>
      <c r="P22" s="110">
        <v>0</v>
      </c>
      <c r="Q22" s="110" t="str">
        <v xml:space="preserve">DEED </v>
      </c>
      <c r="R22" s="110">
        <v>930000</v>
      </c>
      <c r="S22" s="110">
        <v>930000</v>
      </c>
      <c r="T22" s="110">
        <v>950000</v>
      </c>
      <c r="U22" s="110">
        <v>0</v>
      </c>
      <c r="V22" s="110">
        <v>0</v>
      </c>
      <c r="W22" s="110">
        <v>950000</v>
      </c>
      <c r="X22" s="110">
        <v>0</v>
      </c>
      <c r="Y22" s="110">
        <v>950000</v>
      </c>
      <c r="Z22" s="110">
        <v>950000</v>
      </c>
      <c r="AA22" s="110">
        <v>45287</v>
      </c>
      <c r="AB22" s="111" t="str">
        <v>Q4 2023</v>
      </c>
      <c r="AC22">
        <v>45967</v>
      </c>
      <c r="AD22">
        <v>0</v>
      </c>
      <c r="AE22" t="str">
        <v>Ana Damásio</v>
      </c>
      <c r="AF22" t="str">
        <v>Francisço Guerreiro</v>
      </c>
      <c r="AG22" t="str">
        <v>https://www.vilamouraworld.com/real-estate/natura-village/</v>
      </c>
      <c r="AH22" t="str">
        <v>A 5 minute bike ride away from the Environmental Park, this is the location for a serene lifestyle. Experience a home crafted with care and balance.</v>
      </c>
      <c r="AI22" t="str">
        <v>Gym, Sauna, Condo Pool, Private Pools, Outdoor Areas, Private Parking</v>
      </c>
      <c r="AJ22" t="str">
        <v>Condomínio privado; Villas de 2 e 3 quartos; Piscinas privativas; Localização refúgio junto ao parque natural e campos de golfe; Garagens privadas; Ginásio e piscina comum; Excelentes espaços exteriores privados e de condomínio.</v>
      </c>
      <c r="AK22" t="str">
        <v>AN_DRE</v>
      </c>
      <c r="AL22" t="str">
        <v>Natura Village</v>
      </c>
    </row>
    <row r="23" spans="1:38" x14ac:dyDescent="0.3">
      <c r="A23" s="110" t="str">
        <v>NATURA VILLAGE 7</v>
      </c>
      <c r="B23" s="110" t="str">
        <v>Vilamoura</v>
      </c>
      <c r="C23" s="110" t="str">
        <v>L</v>
      </c>
      <c r="D23" s="110" t="str">
        <v>Vilamoura, Algarve</v>
      </c>
      <c r="E23" s="110" t="str">
        <v>V3</v>
      </c>
      <c r="F23" s="110">
        <v>161.47999999999999</v>
      </c>
      <c r="G23" s="110">
        <v>0</v>
      </c>
      <c r="H23" s="110" t="str">
        <v/>
      </c>
      <c r="I23" s="110" t="str">
        <v/>
      </c>
      <c r="J23" s="110">
        <v>0</v>
      </c>
      <c r="K23" s="110">
        <v>0</v>
      </c>
      <c r="L23" s="110">
        <v>0</v>
      </c>
      <c r="M23" s="110">
        <v>0</v>
      </c>
      <c r="N23" s="110">
        <v>0</v>
      </c>
      <c r="O23" s="110">
        <v>161.47999999999999</v>
      </c>
      <c r="P23" s="110">
        <v>0</v>
      </c>
      <c r="Q23" s="110" t="str">
        <v xml:space="preserve">DEED </v>
      </c>
      <c r="R23" s="110">
        <v>930000</v>
      </c>
      <c r="S23" s="110">
        <v>930000</v>
      </c>
      <c r="T23" s="110">
        <v>930000</v>
      </c>
      <c r="U23" s="110">
        <v>0</v>
      </c>
      <c r="V23" s="110">
        <v>0</v>
      </c>
      <c r="W23" s="110">
        <v>930000</v>
      </c>
      <c r="X23" s="110">
        <v>0</v>
      </c>
      <c r="Y23" s="110">
        <v>930000</v>
      </c>
      <c r="Z23" s="110">
        <v>930000</v>
      </c>
      <c r="AA23" s="110">
        <v>45287</v>
      </c>
      <c r="AB23" s="111" t="str">
        <v>Q4 2023</v>
      </c>
      <c r="AC23">
        <v>45094</v>
      </c>
      <c r="AD23">
        <v>0</v>
      </c>
      <c r="AE23" t="str">
        <v>Ana Damásio</v>
      </c>
      <c r="AF23" t="str">
        <v>Francisço Guerreiro</v>
      </c>
      <c r="AG23" t="str">
        <v>https://www.vilamouraworld.com/real-estate/natura-village/</v>
      </c>
      <c r="AH23" t="str">
        <v>A 5 minute bike ride away from the Environmental Park, this is the location for a serene lifestyle. Experience a home crafted with care and balance.</v>
      </c>
      <c r="AI23" t="str">
        <v>Gym, Sauna, Condo Pool, Private Pools, Outdoor Areas, Private Parking</v>
      </c>
      <c r="AJ23" t="str">
        <v>Condomínio privado; Villas de 2 e 3 quartos; Piscinas privativas; Localização refúgio junto ao parque natural e campos de golfe; Garagens privadas; Ginásio e piscina comum; Excelentes espaços exteriores privados e de condomínio.</v>
      </c>
      <c r="AK23" t="str">
        <v>AN_DRE</v>
      </c>
      <c r="AL23" t="str">
        <v>Natura Village</v>
      </c>
    </row>
    <row r="24" spans="1:38" x14ac:dyDescent="0.3">
      <c r="A24" s="110" t="str">
        <v>NATURA VILLAGE 7</v>
      </c>
      <c r="B24" s="110" t="str">
        <v>Vilamoura</v>
      </c>
      <c r="C24" s="110" t="str">
        <v>M</v>
      </c>
      <c r="D24" s="110" t="str">
        <v>Vilamoura, Algarve</v>
      </c>
      <c r="E24" s="110" t="str">
        <v>V2</v>
      </c>
      <c r="F24" s="110">
        <v>149.22999999999999</v>
      </c>
      <c r="G24" s="110">
        <v>0</v>
      </c>
      <c r="H24" s="110" t="str">
        <v/>
      </c>
      <c r="I24" s="110" t="str">
        <v/>
      </c>
      <c r="J24" s="110">
        <v>0</v>
      </c>
      <c r="K24" s="110">
        <v>0</v>
      </c>
      <c r="L24" s="110">
        <v>0</v>
      </c>
      <c r="M24" s="110">
        <v>0</v>
      </c>
      <c r="N24" s="110">
        <v>0</v>
      </c>
      <c r="O24" s="110">
        <v>149.22999999999999</v>
      </c>
      <c r="P24" s="110">
        <v>0</v>
      </c>
      <c r="Q24" s="110" t="str">
        <v xml:space="preserve">DEED </v>
      </c>
      <c r="R24" s="110">
        <v>830000</v>
      </c>
      <c r="S24" s="110">
        <v>830000</v>
      </c>
      <c r="T24" s="110">
        <v>850000</v>
      </c>
      <c r="U24" s="110">
        <v>0</v>
      </c>
      <c r="V24" s="110">
        <v>0</v>
      </c>
      <c r="W24" s="110">
        <v>850000</v>
      </c>
      <c r="X24" s="110">
        <v>0</v>
      </c>
      <c r="Y24" s="110">
        <v>850000</v>
      </c>
      <c r="Z24" s="110">
        <v>850000</v>
      </c>
      <c r="AA24" s="110">
        <v>45287</v>
      </c>
      <c r="AB24" s="111" t="str">
        <v>Q4 2023</v>
      </c>
      <c r="AC24">
        <v>45906</v>
      </c>
      <c r="AD24">
        <v>0</v>
      </c>
      <c r="AE24" t="str">
        <v>Ana Damásio</v>
      </c>
      <c r="AF24" t="str">
        <v>Francisço Guerreiro</v>
      </c>
      <c r="AG24" t="str">
        <v>https://www.vilamouraworld.com/real-estate/natura-village/</v>
      </c>
      <c r="AH24" t="str">
        <v>A 5 minute bike ride away from the Environmental Park, this is the location for a serene lifestyle. Experience a home crafted with care and balance.</v>
      </c>
      <c r="AI24" t="str">
        <v>Gym, Sauna, Condo Pool, Private Pools, Outdoor Areas, Private Parking</v>
      </c>
      <c r="AJ24" t="str">
        <v>Condomínio privado; Villas de 2 e 3 quartos; Piscinas privativas; Localização refúgio junto ao parque natural e campos de golfe; Garagens privadas; Ginásio e piscina comum; Excelentes espaços exteriores privados e de condomínio.</v>
      </c>
      <c r="AK24" t="str">
        <v>AN_DRE</v>
      </c>
      <c r="AL24" t="str">
        <v>Natura Village</v>
      </c>
    </row>
    <row r="25" spans="1:38" x14ac:dyDescent="0.3">
      <c r="A25" s="110" t="str">
        <v>NATURA VILLAGE 7</v>
      </c>
      <c r="B25" s="110" t="str">
        <v>Vilamoura</v>
      </c>
      <c r="C25" s="110" t="str">
        <v>N</v>
      </c>
      <c r="D25" s="110" t="str">
        <v>Vilamoura, Algarve</v>
      </c>
      <c r="E25" s="110" t="str">
        <v>V3</v>
      </c>
      <c r="F25" s="110">
        <v>170.14</v>
      </c>
      <c r="G25" s="110">
        <v>0</v>
      </c>
      <c r="H25" s="110" t="str">
        <v/>
      </c>
      <c r="I25" s="110" t="str">
        <v/>
      </c>
      <c r="J25" s="110">
        <v>0</v>
      </c>
      <c r="K25" s="110">
        <v>0</v>
      </c>
      <c r="L25" s="110">
        <v>0</v>
      </c>
      <c r="M25" s="110">
        <v>0</v>
      </c>
      <c r="N25" s="110">
        <v>0</v>
      </c>
      <c r="O25" s="110">
        <v>170.14</v>
      </c>
      <c r="P25" s="110">
        <v>0</v>
      </c>
      <c r="Q25" s="110" t="str">
        <v xml:space="preserve">DEED </v>
      </c>
      <c r="R25" s="110">
        <v>980000</v>
      </c>
      <c r="S25" s="110">
        <v>980000</v>
      </c>
      <c r="T25" s="110">
        <v>980000</v>
      </c>
      <c r="U25" s="110">
        <v>0</v>
      </c>
      <c r="V25" s="110">
        <v>0</v>
      </c>
      <c r="W25" s="110">
        <v>980000</v>
      </c>
      <c r="X25" s="110">
        <v>0</v>
      </c>
      <c r="Y25" s="110">
        <v>980000</v>
      </c>
      <c r="Z25" s="110">
        <v>980000</v>
      </c>
      <c r="AA25" s="110">
        <v>45287</v>
      </c>
      <c r="AB25" s="111" t="str">
        <v>Q4 2023</v>
      </c>
      <c r="AC25">
        <v>45520</v>
      </c>
      <c r="AD25">
        <v>0</v>
      </c>
      <c r="AE25" t="str">
        <v>Ana Damásio</v>
      </c>
      <c r="AF25" t="str">
        <v>Francisço Guerreiro</v>
      </c>
      <c r="AG25" t="str">
        <v>https://www.vilamouraworld.com/real-estate/natura-village/</v>
      </c>
      <c r="AH25" t="str">
        <v>A 5 minute bike ride away from the Environmental Park, this is the location for a serene lifestyle. Experience a home crafted with care and balance.</v>
      </c>
      <c r="AI25" t="str">
        <v>Gym, Sauna, Condo Pool, Private Pools, Outdoor Areas, Private Parking</v>
      </c>
      <c r="AJ25" t="str">
        <v>Condomínio privado; Villas de 2 e 3 quartos; Piscinas privativas; Localização refúgio junto ao parque natural e campos de golfe; Garagens privadas; Ginásio e piscina comum; Excelentes espaços exteriores privados e de condomínio.</v>
      </c>
      <c r="AK25" t="str">
        <v>AN_DRE</v>
      </c>
      <c r="AL25" t="str">
        <v>Natura Village</v>
      </c>
    </row>
    <row r="26" spans="1:38" x14ac:dyDescent="0.3">
      <c r="A26" s="110" t="str">
        <v>NATURA VILLAGE 7</v>
      </c>
      <c r="B26" s="110" t="str">
        <v>Vilamoura</v>
      </c>
      <c r="C26" s="110" t="str">
        <v>I</v>
      </c>
      <c r="D26" s="110" t="str">
        <v>Vilamoura, Algarve</v>
      </c>
      <c r="E26" s="110" t="str">
        <v>V2</v>
      </c>
      <c r="F26" s="110">
        <v>145.41</v>
      </c>
      <c r="G26" s="110">
        <v>0</v>
      </c>
      <c r="H26" s="110" t="str">
        <v/>
      </c>
      <c r="I26" s="110" t="str">
        <v/>
      </c>
      <c r="J26" s="110">
        <v>0</v>
      </c>
      <c r="K26" s="110">
        <v>0</v>
      </c>
      <c r="L26" s="110">
        <v>0</v>
      </c>
      <c r="M26" s="110">
        <v>0</v>
      </c>
      <c r="N26" s="110">
        <v>0</v>
      </c>
      <c r="O26" s="110">
        <v>145.41</v>
      </c>
      <c r="P26" s="110">
        <v>0</v>
      </c>
      <c r="Q26" s="110" t="str">
        <v>RESERVED</v>
      </c>
      <c r="R26" s="110">
        <v>810000</v>
      </c>
      <c r="S26" s="110">
        <v>810000</v>
      </c>
      <c r="T26" s="110">
        <v>830000</v>
      </c>
      <c r="U26" s="110">
        <v>0</v>
      </c>
      <c r="V26" s="110">
        <v>0</v>
      </c>
      <c r="W26" s="110">
        <v>830000</v>
      </c>
      <c r="X26" s="110">
        <v>8.4337349397590692E-3</v>
      </c>
      <c r="Y26" s="110">
        <v>823000</v>
      </c>
      <c r="Z26" s="110">
        <v>823000</v>
      </c>
      <c r="AA26" s="110">
        <v>45287</v>
      </c>
      <c r="AB26" s="111" t="str">
        <v>Q4 2023</v>
      </c>
      <c r="AC26">
        <v>46188</v>
      </c>
      <c r="AD26">
        <v>0</v>
      </c>
      <c r="AE26" t="str">
        <v>Ana Damásio</v>
      </c>
      <c r="AF26" t="str">
        <v>Francisço Guerreiro</v>
      </c>
      <c r="AG26" t="str">
        <v>https://www.vilamouraworld.com/real-estate/natura-village/</v>
      </c>
      <c r="AH26" t="str">
        <v>A 5 minute bike ride away from the Environmental Park, this is the location for a serene lifestyle. Experience a home crafted with care and balance.</v>
      </c>
      <c r="AI26" t="str">
        <v>Gym, Sauna, Condo Pool, Private Pools, Outdoor Areas, Private Parking</v>
      </c>
      <c r="AJ26" t="str">
        <v>Condomínio privado; Villas de 2 e 3 quartos; Piscinas privativas; Localização refúgio junto ao parque natural e campos de golfe; Garagens privadas; Ginásio e piscina comum; Excelentes espaços exteriores privados e de condomínio.</v>
      </c>
      <c r="AK26" t="str">
        <v>AN_DRE</v>
      </c>
      <c r="AL26" t="str">
        <v>Natura Village</v>
      </c>
    </row>
    <row r="27" spans="1:38" x14ac:dyDescent="0.3">
      <c r="A27" s="110" t="str">
        <v>NATURA VILLAGE 7</v>
      </c>
      <c r="B27" s="110" t="str">
        <v>Vilamoura</v>
      </c>
      <c r="C27" s="110" t="str">
        <v>E</v>
      </c>
      <c r="D27" s="110" t="str">
        <v>Vilamoura, Algarve</v>
      </c>
      <c r="E27" s="110" t="str">
        <v>V3</v>
      </c>
      <c r="F27" s="110">
        <v>170.86</v>
      </c>
      <c r="G27" s="110">
        <v>0</v>
      </c>
      <c r="H27" s="110" t="str">
        <v/>
      </c>
      <c r="I27" s="110" t="str">
        <v/>
      </c>
      <c r="J27" s="110">
        <v>0</v>
      </c>
      <c r="K27" s="110">
        <v>0</v>
      </c>
      <c r="L27" s="110">
        <v>0</v>
      </c>
      <c r="M27" s="110">
        <v>0</v>
      </c>
      <c r="N27" s="110">
        <v>0</v>
      </c>
      <c r="O27" s="110">
        <v>170.86</v>
      </c>
      <c r="P27" s="110">
        <v>0</v>
      </c>
      <c r="Q27" s="110" t="str">
        <v xml:space="preserve">DEED </v>
      </c>
      <c r="R27" s="110">
        <v>940000</v>
      </c>
      <c r="S27" s="110">
        <v>940000</v>
      </c>
      <c r="T27" s="110">
        <v>960000</v>
      </c>
      <c r="U27" s="110">
        <v>0</v>
      </c>
      <c r="V27" s="110">
        <v>0</v>
      </c>
      <c r="W27" s="110">
        <v>960000</v>
      </c>
      <c r="X27" s="110">
        <v>6.25E-2</v>
      </c>
      <c r="Y27" s="110">
        <v>900000</v>
      </c>
      <c r="Z27" s="110">
        <v>900000</v>
      </c>
      <c r="AA27" s="110">
        <v>45287</v>
      </c>
      <c r="AB27" s="111" t="str">
        <v>Q4 2023</v>
      </c>
      <c r="AC27">
        <v>46102</v>
      </c>
      <c r="AD27">
        <v>0</v>
      </c>
      <c r="AE27" t="str">
        <v>Ana Damásio</v>
      </c>
      <c r="AF27" t="str">
        <v>Francisço Guerreiro</v>
      </c>
      <c r="AG27" t="str">
        <v>https://www.vilamouraworld.com/real-estate/natura-village/</v>
      </c>
      <c r="AH27" t="str">
        <v>A 5 minute bike ride away from the Environmental Park, this is the location for a serene lifestyle. Experience a home crafted with care and balance.</v>
      </c>
      <c r="AI27" t="str">
        <v>Gym, Sauna, Condo Pool, Private Pools, Outdoor Areas, Private Parking</v>
      </c>
      <c r="AJ27" t="str">
        <v>Condomínio privado; Villas de 2 e 3 quartos; Piscinas privativas; Localização refúgio junto ao parque natural e campos de golfe; Garagens privadas; Ginásio e piscina comum; Excelentes espaços exteriores privados e de condomínio.</v>
      </c>
      <c r="AK27" t="str">
        <v>AN_DRE</v>
      </c>
      <c r="AL27" t="str">
        <v>Natura Village</v>
      </c>
    </row>
    <row r="28" spans="1:38" x14ac:dyDescent="0.3">
      <c r="A28" s="110" t="str">
        <v>NATURA VILLAGE 7</v>
      </c>
      <c r="B28" s="110" t="str">
        <v>Vilamoura</v>
      </c>
      <c r="C28" s="110" t="str">
        <v>H</v>
      </c>
      <c r="D28" s="110" t="str">
        <v>Vilamoura, Algarve</v>
      </c>
      <c r="E28" s="110" t="str">
        <v>V2</v>
      </c>
      <c r="F28" s="110">
        <v>148.86000000000001</v>
      </c>
      <c r="G28" s="110">
        <v>0</v>
      </c>
      <c r="H28" s="110" t="str">
        <v/>
      </c>
      <c r="I28" s="110" t="str">
        <v/>
      </c>
      <c r="J28" s="110">
        <v>0</v>
      </c>
      <c r="K28" s="110">
        <v>0</v>
      </c>
      <c r="L28" s="110">
        <v>0</v>
      </c>
      <c r="M28" s="110">
        <v>0</v>
      </c>
      <c r="N28" s="110">
        <v>0</v>
      </c>
      <c r="O28" s="110">
        <v>148.86000000000001</v>
      </c>
      <c r="P28" s="110">
        <v>0</v>
      </c>
      <c r="Q28" s="110" t="str">
        <v xml:space="preserve">DEED </v>
      </c>
      <c r="R28" s="110">
        <v>850000</v>
      </c>
      <c r="S28" s="110">
        <v>850000</v>
      </c>
      <c r="T28" s="110">
        <v>870000</v>
      </c>
      <c r="U28" s="110">
        <v>0</v>
      </c>
      <c r="V28" s="110">
        <v>0</v>
      </c>
      <c r="W28" s="110">
        <v>870000</v>
      </c>
      <c r="X28" s="110">
        <v>0</v>
      </c>
      <c r="Y28" s="110">
        <v>870000</v>
      </c>
      <c r="Z28" s="110">
        <v>870000</v>
      </c>
      <c r="AA28" s="110">
        <v>45287</v>
      </c>
      <c r="AB28" s="111" t="str">
        <v>Q4 2023</v>
      </c>
      <c r="AC28">
        <v>45954</v>
      </c>
      <c r="AD28">
        <v>0</v>
      </c>
      <c r="AE28" t="str">
        <v>Ana Damásio</v>
      </c>
      <c r="AF28" t="str">
        <v>Francisço Guerreiro</v>
      </c>
      <c r="AG28" t="str">
        <v>https://www.vilamouraworld.com/real-estate/natura-village/</v>
      </c>
      <c r="AH28" t="str">
        <v>A 5 minute bike ride away from the Environmental Park, this is the location for a serene lifestyle. Experience a home crafted with care and balance.</v>
      </c>
      <c r="AI28" t="str">
        <v>Gym, Sauna, Condo Pool, Private Pools, Outdoor Areas, Private Parking</v>
      </c>
      <c r="AJ28" t="str">
        <v>Condomínio privado; Villas de 2 e 3 quartos; Piscinas privativas; Localização refúgio junto ao parque natural e campos de golfe; Garagens privadas; Ginásio e piscina comum; Excelentes espaços exteriores privados e de condomínio.</v>
      </c>
      <c r="AK28" t="str">
        <v>AN_DRE</v>
      </c>
      <c r="AL28" t="str">
        <v>Natura Village</v>
      </c>
    </row>
    <row r="29" spans="1:38" x14ac:dyDescent="0.3">
      <c r="A29" s="110" t="str">
        <v>NATURA VILLAGE 9</v>
      </c>
      <c r="B29" s="110" t="str">
        <v>Vilamoura</v>
      </c>
      <c r="C29" s="110" t="str">
        <v>E</v>
      </c>
      <c r="D29" s="110" t="str">
        <v>Vilamoura, Algarve</v>
      </c>
      <c r="E29" s="110" t="str">
        <v>V3</v>
      </c>
      <c r="F29" s="110">
        <v>192.99</v>
      </c>
      <c r="G29" s="110">
        <v>0</v>
      </c>
      <c r="H29" s="110" t="str">
        <v/>
      </c>
      <c r="I29" s="110" t="str">
        <v/>
      </c>
      <c r="J29" s="110">
        <v>0</v>
      </c>
      <c r="K29" s="110">
        <v>0</v>
      </c>
      <c r="L29" s="110">
        <v>0</v>
      </c>
      <c r="M29" s="110">
        <v>0</v>
      </c>
      <c r="N29" s="110">
        <v>0</v>
      </c>
      <c r="O29" s="110">
        <v>192.99</v>
      </c>
      <c r="P29" s="110">
        <v>0</v>
      </c>
      <c r="Q29" s="110" t="str">
        <v xml:space="preserve">PSPA </v>
      </c>
      <c r="R29" s="110">
        <v>1140000</v>
      </c>
      <c r="S29" s="110">
        <v>1140000</v>
      </c>
      <c r="T29" s="110">
        <v>1140000</v>
      </c>
      <c r="U29" s="110">
        <v>0</v>
      </c>
      <c r="V29" s="110">
        <v>0</v>
      </c>
      <c r="W29" s="110">
        <v>1140000</v>
      </c>
      <c r="X29" s="110">
        <v>0</v>
      </c>
      <c r="Y29" s="110">
        <v>1140000</v>
      </c>
      <c r="Z29" s="110">
        <v>1140000</v>
      </c>
      <c r="AA29" s="110">
        <v>45287</v>
      </c>
      <c r="AB29" s="111" t="str">
        <v>Q4 2023</v>
      </c>
      <c r="AC29">
        <v>46107</v>
      </c>
      <c r="AD29">
        <v>0</v>
      </c>
      <c r="AE29" t="str">
        <v>Ana Damásio</v>
      </c>
      <c r="AF29" t="str">
        <v>Francisço Guerreiro</v>
      </c>
      <c r="AG29" t="str">
        <v>https://www.vilamouraworld.com/real-estate/natura-village/</v>
      </c>
      <c r="AH29" t="str">
        <v>A 5 minute bike ride away from the Environmental Park, this is the location for a serene lifestyle. Experience a home crafted with care and balance.</v>
      </c>
      <c r="AI29" t="str">
        <v>Gym, Sauna, Condo Pool, Private Pools, Outdoor Areas, Private Parking</v>
      </c>
      <c r="AJ29" t="str">
        <v>Condomínio privado; Villas de 2 e 3 quartos; Piscinas privativas; Localização refúgio junto ao parque natural e campos de golfe; Garagens privadas; Ginásio e piscina comum; Excelentes espaços exteriores privados e de condomínio.</v>
      </c>
      <c r="AK29" t="str">
        <v>AN_DRE</v>
      </c>
      <c r="AL29" t="str">
        <v>Natura Village</v>
      </c>
    </row>
    <row r="30" spans="1:38" x14ac:dyDescent="0.3">
      <c r="A30" s="110" t="str">
        <v>NATURA VILLAGE 9</v>
      </c>
      <c r="B30" s="110" t="str">
        <v>Vilamoura</v>
      </c>
      <c r="C30" s="110" t="str">
        <v>F</v>
      </c>
      <c r="D30" s="110" t="str">
        <v>Vilamoura, Algarve</v>
      </c>
      <c r="E30" s="110" t="str">
        <v>V3</v>
      </c>
      <c r="F30" s="110">
        <v>183.88</v>
      </c>
      <c r="G30" s="110">
        <v>0</v>
      </c>
      <c r="H30" s="110" t="str">
        <v/>
      </c>
      <c r="I30" s="110" t="str">
        <v/>
      </c>
      <c r="J30" s="110">
        <v>0</v>
      </c>
      <c r="K30" s="110">
        <v>0</v>
      </c>
      <c r="L30" s="110">
        <v>0</v>
      </c>
      <c r="M30" s="110">
        <v>0</v>
      </c>
      <c r="N30" s="110">
        <v>0</v>
      </c>
      <c r="O30" s="110">
        <v>183.88</v>
      </c>
      <c r="P30" s="110">
        <v>0</v>
      </c>
      <c r="Q30" s="110" t="str">
        <v xml:space="preserve">PSPA </v>
      </c>
      <c r="R30" s="110">
        <v>1360000</v>
      </c>
      <c r="S30" s="110">
        <v>1360000</v>
      </c>
      <c r="T30" s="110">
        <v>1360000</v>
      </c>
      <c r="U30" s="110">
        <v>0</v>
      </c>
      <c r="V30" s="110">
        <v>0</v>
      </c>
      <c r="W30" s="110">
        <v>1360000</v>
      </c>
      <c r="X30" s="110">
        <v>0</v>
      </c>
      <c r="Y30" s="110">
        <v>1360000</v>
      </c>
      <c r="Z30" s="110">
        <v>1360000</v>
      </c>
      <c r="AA30" s="110">
        <v>45287</v>
      </c>
      <c r="AB30" s="111" t="str">
        <v>Q4 2023</v>
      </c>
      <c r="AC30">
        <v>45933</v>
      </c>
      <c r="AD30">
        <v>0</v>
      </c>
      <c r="AE30" t="str">
        <v>Ana Damásio</v>
      </c>
      <c r="AF30" t="str">
        <v>Francisço Guerreiro</v>
      </c>
      <c r="AG30" t="str">
        <v>https://www.vilamouraworld.com/real-estate/natura-village/</v>
      </c>
      <c r="AH30" t="str">
        <v>A 5 minute bike ride away from the Environmental Park, this is the location for a serene lifestyle. Experience a home crafted with care and balance.</v>
      </c>
      <c r="AI30" t="str">
        <v>Gym, Sauna, Condo Pool, Private Pools, Outdoor Areas, Private Parking</v>
      </c>
      <c r="AJ30" t="str">
        <v>Condomínio privado; Villas de 2 e 3 quartos; Piscinas privativas; Localização refúgio junto ao parque natural e campos de golfe; Garagens privadas; Ginásio e piscina comum; Excelentes espaços exteriores privados e de condomínio.</v>
      </c>
      <c r="AK30" t="str">
        <v>AN_DRE</v>
      </c>
      <c r="AL30" t="str">
        <v>Natura Village</v>
      </c>
    </row>
    <row r="31" spans="1:38" x14ac:dyDescent="0.3">
      <c r="A31" s="110" t="str">
        <v>NATURA VILLAGE 9</v>
      </c>
      <c r="B31" s="110" t="str">
        <v>Vilamoura</v>
      </c>
      <c r="C31" s="110" t="str">
        <v>J</v>
      </c>
      <c r="D31" s="110" t="str">
        <v>Vilamoura, Algarve</v>
      </c>
      <c r="E31" s="110" t="str">
        <v>V3</v>
      </c>
      <c r="F31" s="110">
        <v>192.67</v>
      </c>
      <c r="G31" s="110">
        <v>0</v>
      </c>
      <c r="H31" s="110" t="str">
        <v/>
      </c>
      <c r="I31" s="110" t="str">
        <v/>
      </c>
      <c r="J31" s="110">
        <v>0</v>
      </c>
      <c r="K31" s="110">
        <v>0</v>
      </c>
      <c r="L31" s="110">
        <v>0</v>
      </c>
      <c r="M31" s="110">
        <v>0</v>
      </c>
      <c r="N31" s="110">
        <v>0</v>
      </c>
      <c r="O31" s="110">
        <v>192.67</v>
      </c>
      <c r="P31" s="110">
        <v>0</v>
      </c>
      <c r="Q31" s="110" t="str">
        <v xml:space="preserve">PSPA </v>
      </c>
      <c r="R31" s="110">
        <v>1390000</v>
      </c>
      <c r="S31" s="110">
        <v>1390000</v>
      </c>
      <c r="T31" s="110">
        <v>1390000</v>
      </c>
      <c r="U31" s="110">
        <v>0</v>
      </c>
      <c r="V31" s="110">
        <v>0</v>
      </c>
      <c r="W31" s="110">
        <v>1390000</v>
      </c>
      <c r="X31" s="110">
        <v>0</v>
      </c>
      <c r="Y31" s="110">
        <v>1390000</v>
      </c>
      <c r="Z31" s="110">
        <v>1390000</v>
      </c>
      <c r="AA31" s="110">
        <v>45287</v>
      </c>
      <c r="AB31" s="111" t="str">
        <v>Q4 2023</v>
      </c>
      <c r="AC31">
        <v>45747</v>
      </c>
      <c r="AD31">
        <v>0</v>
      </c>
      <c r="AE31" t="str">
        <v>Ana Damásio</v>
      </c>
      <c r="AF31" t="str">
        <v>Francisço Guerreiro</v>
      </c>
      <c r="AG31" t="str">
        <v>https://www.vilamouraworld.com/real-estate/natura-village/</v>
      </c>
      <c r="AH31" t="str">
        <v>A 5 minute bike ride away from the Environmental Park, this is the location for a serene lifestyle. Experience a home crafted with care and balance.</v>
      </c>
      <c r="AI31" t="str">
        <v>Gym, Sauna, Condo Pool, Private Pools, Outdoor Areas, Private Parking</v>
      </c>
      <c r="AJ31" t="str">
        <v>Condomínio privado; Villas de 2 e 3 quartos; Piscinas privativas; Localização refúgio junto ao parque natural e campos de golfe; Garagens privadas; Ginásio e piscina comum; Excelentes espaços exteriores privados e de condomínio.</v>
      </c>
      <c r="AK31" t="str">
        <v>AN_DRE</v>
      </c>
      <c r="AL31" t="str">
        <v>Natura Village</v>
      </c>
    </row>
    <row r="32" spans="1:38" x14ac:dyDescent="0.3">
      <c r="A32" s="110" t="str">
        <v>NATURA VILLAGE 9</v>
      </c>
      <c r="B32" s="110" t="str">
        <v>Vilamoura</v>
      </c>
      <c r="C32" s="110" t="str">
        <v>C</v>
      </c>
      <c r="D32" s="110" t="str">
        <v>Vilamoura, Algarve</v>
      </c>
      <c r="E32" s="110" t="str">
        <v>V3</v>
      </c>
      <c r="F32" s="110">
        <v>183.29</v>
      </c>
      <c r="G32" s="110">
        <v>0</v>
      </c>
      <c r="H32" s="110" t="str">
        <v/>
      </c>
      <c r="I32" s="110" t="str">
        <v/>
      </c>
      <c r="J32" s="110">
        <v>0</v>
      </c>
      <c r="K32" s="110">
        <v>0</v>
      </c>
      <c r="L32" s="110">
        <v>0</v>
      </c>
      <c r="M32" s="110">
        <v>0</v>
      </c>
      <c r="N32" s="110">
        <v>0</v>
      </c>
      <c r="O32" s="110">
        <v>183.29</v>
      </c>
      <c r="P32" s="110">
        <v>0</v>
      </c>
      <c r="Q32" s="110" t="str">
        <v>PRE-RESERVED</v>
      </c>
      <c r="R32" s="110">
        <v>1290000</v>
      </c>
      <c r="S32" s="110">
        <v>1290000</v>
      </c>
      <c r="T32" s="110">
        <v>1290000</v>
      </c>
      <c r="U32" s="110">
        <v>0</v>
      </c>
      <c r="V32" s="110">
        <v>0</v>
      </c>
      <c r="W32" s="110">
        <v>1290000</v>
      </c>
      <c r="X32" s="110">
        <v>0</v>
      </c>
      <c r="Y32" s="110">
        <v>1290000</v>
      </c>
      <c r="Z32" s="110">
        <v>1290000</v>
      </c>
      <c r="AA32" s="110">
        <v>45287</v>
      </c>
      <c r="AB32" s="111" t="str">
        <v>Q4 2023</v>
      </c>
      <c r="AC32">
        <v>46132</v>
      </c>
      <c r="AD32">
        <v>0</v>
      </c>
      <c r="AE32" t="str">
        <v>Ana Damásio</v>
      </c>
      <c r="AF32" t="str">
        <v>Francisço Guerreiro</v>
      </c>
      <c r="AG32" t="str">
        <v>https://www.vilamouraworld.com/real-estate/natura-village/</v>
      </c>
      <c r="AH32" t="str">
        <v>A 5 minute bike ride away from the Environmental Park, this is the location for a serene lifestyle. Experience a home crafted with care and balance.</v>
      </c>
      <c r="AI32" t="str">
        <v>Gym, Sauna, Condo Pool, Private Pools, Outdoor Areas, Private Parking</v>
      </c>
      <c r="AJ32" t="str">
        <v>Condomínio privado; Villas de 2 e 3 quartos; Piscinas privativas; Localização refúgio junto ao parque natural e campos de golfe; Garagens privadas; Ginásio e piscina comum; Excelentes espaços exteriores privados e de condomínio.</v>
      </c>
      <c r="AK32" t="str">
        <v>AN_DRE</v>
      </c>
      <c r="AL32" t="str">
        <v>Natura Village</v>
      </c>
    </row>
    <row r="33" spans="1:38" x14ac:dyDescent="0.3">
      <c r="A33" s="110" t="str">
        <v>NATURA VILLAGE 9</v>
      </c>
      <c r="B33" s="110" t="str">
        <v>Vilamoura</v>
      </c>
      <c r="C33" s="110" t="str">
        <v>I</v>
      </c>
      <c r="D33" s="110" t="str">
        <v>Vilamoura, Algarve</v>
      </c>
      <c r="E33" s="110" t="str">
        <v>V3</v>
      </c>
      <c r="F33" s="110">
        <v>183.29</v>
      </c>
      <c r="G33" s="110">
        <v>0</v>
      </c>
      <c r="H33" s="110" t="str">
        <v/>
      </c>
      <c r="I33" s="110" t="str">
        <v/>
      </c>
      <c r="J33" s="110">
        <v>0</v>
      </c>
      <c r="K33" s="110">
        <v>0</v>
      </c>
      <c r="L33" s="110">
        <v>0</v>
      </c>
      <c r="M33" s="110">
        <v>0</v>
      </c>
      <c r="N33" s="110">
        <v>0</v>
      </c>
      <c r="O33" s="110">
        <v>183.29</v>
      </c>
      <c r="P33" s="110">
        <v>0</v>
      </c>
      <c r="Q33" s="110" t="str">
        <v>RESERVED</v>
      </c>
      <c r="R33" s="110">
        <v>1220000</v>
      </c>
      <c r="S33" s="110">
        <v>1220000</v>
      </c>
      <c r="T33" s="110">
        <v>1220000</v>
      </c>
      <c r="U33" s="110">
        <v>0</v>
      </c>
      <c r="V33" s="110">
        <v>0</v>
      </c>
      <c r="W33" s="110">
        <v>1220000</v>
      </c>
      <c r="X33" s="110">
        <v>0</v>
      </c>
      <c r="Y33" s="110">
        <v>1220000</v>
      </c>
      <c r="Z33" s="110">
        <v>1220000</v>
      </c>
      <c r="AA33" s="110">
        <v>45287</v>
      </c>
      <c r="AB33" s="111" t="str">
        <v>Q4 2023</v>
      </c>
      <c r="AC33">
        <v>46163</v>
      </c>
      <c r="AD33">
        <v>0</v>
      </c>
      <c r="AE33" t="str">
        <v>Ana Damásio</v>
      </c>
      <c r="AF33" t="str">
        <v>Francisço Guerreiro</v>
      </c>
      <c r="AG33" t="str">
        <v>https://www.vilamouraworld.com/real-estate/natura-village/</v>
      </c>
      <c r="AH33" t="str">
        <v>A 5 minute bike ride away from the Environmental Park, this is the location for a serene lifestyle. Experience a home crafted with care and balance.</v>
      </c>
      <c r="AI33" t="str">
        <v>Gym, Sauna, Condo Pool, Private Pools, Outdoor Areas, Private Parking</v>
      </c>
      <c r="AJ33" t="str">
        <v>Condomínio privado; Villas de 2 e 3 quartos; Piscinas privativas; Localização refúgio junto ao parque natural e campos de golfe; Garagens privadas; Ginásio e piscina comum; Excelentes espaços exteriores privados e de condomínio.</v>
      </c>
      <c r="AK33" t="str">
        <v>AN_DRE</v>
      </c>
      <c r="AL33" t="str">
        <v>Natura Village</v>
      </c>
    </row>
    <row r="34" spans="1:38" x14ac:dyDescent="0.3">
      <c r="A34" s="110" t="str">
        <v>NATURA VILLAGE 9</v>
      </c>
      <c r="B34" s="110" t="str">
        <v>Vilamoura</v>
      </c>
      <c r="C34" s="110" t="str">
        <v>A</v>
      </c>
      <c r="D34" s="110" t="str">
        <v>Vilamoura, Algarve</v>
      </c>
      <c r="E34" s="110" t="str">
        <v>V3</v>
      </c>
      <c r="F34" s="110">
        <v>193.26</v>
      </c>
      <c r="G34" s="110">
        <v>0</v>
      </c>
      <c r="H34" s="110" t="str">
        <v/>
      </c>
      <c r="I34" s="110" t="str">
        <v/>
      </c>
      <c r="J34" s="110">
        <v>0</v>
      </c>
      <c r="K34" s="110">
        <v>0</v>
      </c>
      <c r="L34" s="110">
        <v>0</v>
      </c>
      <c r="M34" s="110">
        <v>0</v>
      </c>
      <c r="N34" s="110">
        <v>0</v>
      </c>
      <c r="O34" s="110">
        <v>193.26</v>
      </c>
      <c r="P34" s="110">
        <v>0</v>
      </c>
      <c r="Q34" s="110" t="str">
        <v>AVAILABLE</v>
      </c>
      <c r="R34" s="110">
        <v>1230000</v>
      </c>
      <c r="S34" s="110">
        <v>1230000</v>
      </c>
      <c r="T34" s="110">
        <v>1230000</v>
      </c>
      <c r="U34" s="110">
        <v>0</v>
      </c>
      <c r="V34" s="110">
        <v>0</v>
      </c>
      <c r="W34" s="110">
        <v>1230000</v>
      </c>
      <c r="X34" s="110">
        <v>0</v>
      </c>
      <c r="Y34" s="110">
        <v>1230000</v>
      </c>
      <c r="Z34" s="110">
        <v>1230000</v>
      </c>
      <c r="AA34" s="110">
        <v>45287</v>
      </c>
      <c r="AB34" s="111" t="str">
        <v>Q4 2023</v>
      </c>
      <c r="AC34">
        <v>0</v>
      </c>
      <c r="AD34">
        <v>0</v>
      </c>
      <c r="AE34" t="str">
        <v>Ana Damásio</v>
      </c>
      <c r="AF34" t="str">
        <v>Francisço Guerreiro</v>
      </c>
      <c r="AG34" t="str">
        <v>https://www.vilamouraworld.com/real-estate/natura-village/</v>
      </c>
      <c r="AH34" t="str">
        <v>A 5 minute bike ride away from the Environmental Park, this is the location for a serene lifestyle. Experience a home crafted with care and balance.</v>
      </c>
      <c r="AI34" t="str">
        <v>Gym, Sauna, Condo Pool, Private Pools, Outdoor Areas, Private Parking</v>
      </c>
      <c r="AJ34" t="str">
        <v>Condomínio privado; Villas de 2 e 3 quartos; Piscinas privativas; Localização refúgio junto ao parque natural e campos de golfe; Garagens privadas; Ginásio e piscina comum; Excelentes espaços exteriores privados e de condomínio.</v>
      </c>
      <c r="AK34" t="str">
        <v>AN_DRE</v>
      </c>
      <c r="AL34" t="str">
        <v>Natura Village</v>
      </c>
    </row>
    <row r="35" spans="1:38" x14ac:dyDescent="0.3">
      <c r="A35" s="110" t="str">
        <v>NATURA VILLAGE 9</v>
      </c>
      <c r="B35" s="110" t="str">
        <v>Vilamoura</v>
      </c>
      <c r="C35" s="110" t="str">
        <v>B</v>
      </c>
      <c r="D35" s="110" t="str">
        <v>Vilamoura, Algarve</v>
      </c>
      <c r="E35" s="110" t="str">
        <v>V3</v>
      </c>
      <c r="F35" s="110">
        <v>192.99</v>
      </c>
      <c r="G35" s="110">
        <v>0</v>
      </c>
      <c r="H35" s="110" t="str">
        <v/>
      </c>
      <c r="I35" s="110" t="str">
        <v/>
      </c>
      <c r="J35" s="110">
        <v>0</v>
      </c>
      <c r="K35" s="110">
        <v>0</v>
      </c>
      <c r="L35" s="110">
        <v>0</v>
      </c>
      <c r="M35" s="110">
        <v>0</v>
      </c>
      <c r="N35" s="110">
        <v>0</v>
      </c>
      <c r="O35" s="110">
        <v>192.99</v>
      </c>
      <c r="P35" s="110">
        <v>0</v>
      </c>
      <c r="Q35" s="110" t="str">
        <v>AVAILABLE</v>
      </c>
      <c r="R35" s="110">
        <v>1120000</v>
      </c>
      <c r="S35" s="110">
        <v>1120000</v>
      </c>
      <c r="T35" s="110">
        <v>1120000</v>
      </c>
      <c r="U35" s="110">
        <v>0</v>
      </c>
      <c r="V35" s="110">
        <v>0</v>
      </c>
      <c r="W35" s="110">
        <v>1120000</v>
      </c>
      <c r="X35" s="110">
        <v>0</v>
      </c>
      <c r="Y35" s="110">
        <v>1120000</v>
      </c>
      <c r="Z35" s="110">
        <v>1120000</v>
      </c>
      <c r="AA35" s="110">
        <v>45287</v>
      </c>
      <c r="AB35" s="111" t="str">
        <v>Q4 2023</v>
      </c>
      <c r="AC35">
        <v>0</v>
      </c>
      <c r="AD35">
        <v>0</v>
      </c>
      <c r="AE35" t="str">
        <v>Ana Damásio</v>
      </c>
      <c r="AF35" t="str">
        <v>Francisço Guerreiro</v>
      </c>
      <c r="AG35" t="str">
        <v>https://www.vilamouraworld.com/real-estate/natura-village/</v>
      </c>
      <c r="AH35" t="str">
        <v>A 5 minute bike ride away from the Environmental Park, this is the location for a serene lifestyle. Experience a home crafted with care and balance.</v>
      </c>
      <c r="AI35" t="str">
        <v>Gym, Sauna, Condo Pool, Private Pools, Outdoor Areas, Private Parking</v>
      </c>
      <c r="AJ35" t="str">
        <v>Condomínio privado; Villas de 2 e 3 quartos; Piscinas privativas; Localização refúgio junto ao parque natural e campos de golfe; Garagens privadas; Ginásio e piscina comum; Excelentes espaços exteriores privados e de condomínio.</v>
      </c>
      <c r="AK35" t="str">
        <v>AN_DRE</v>
      </c>
      <c r="AL35" t="str">
        <v>Natura Village</v>
      </c>
    </row>
    <row r="36" spans="1:38" x14ac:dyDescent="0.3">
      <c r="A36" s="110" t="str">
        <v>NATURA VILLAGE 9</v>
      </c>
      <c r="B36" s="110" t="str">
        <v>Vilamoura</v>
      </c>
      <c r="C36" s="110" t="str">
        <v>D</v>
      </c>
      <c r="D36" s="110" t="str">
        <v>Vilamoura, Algarve</v>
      </c>
      <c r="E36" s="110" t="str">
        <v>V3</v>
      </c>
      <c r="F36" s="110">
        <v>192.67</v>
      </c>
      <c r="G36" s="110">
        <v>0</v>
      </c>
      <c r="H36" s="110" t="str">
        <v/>
      </c>
      <c r="I36" s="110" t="str">
        <v/>
      </c>
      <c r="J36" s="110">
        <v>0</v>
      </c>
      <c r="K36" s="110">
        <v>0</v>
      </c>
      <c r="L36" s="110">
        <v>0</v>
      </c>
      <c r="M36" s="110">
        <v>0</v>
      </c>
      <c r="N36" s="110">
        <v>0</v>
      </c>
      <c r="O36" s="110">
        <v>192.67</v>
      </c>
      <c r="P36" s="110">
        <v>0</v>
      </c>
      <c r="Q36" s="110" t="str">
        <v>AVAILABLE</v>
      </c>
      <c r="R36" s="110">
        <v>1280000</v>
      </c>
      <c r="S36" s="110">
        <v>1280000</v>
      </c>
      <c r="T36" s="110">
        <v>1280000</v>
      </c>
      <c r="U36" s="110">
        <v>0</v>
      </c>
      <c r="V36" s="110">
        <v>0</v>
      </c>
      <c r="W36" s="110">
        <v>1280000</v>
      </c>
      <c r="X36" s="110">
        <v>0</v>
      </c>
      <c r="Y36" s="110">
        <v>1280000</v>
      </c>
      <c r="Z36" s="110">
        <v>1280000</v>
      </c>
      <c r="AA36" s="110">
        <v>45287</v>
      </c>
      <c r="AB36" s="111" t="str">
        <v>Q4 2023</v>
      </c>
      <c r="AC36">
        <v>0</v>
      </c>
      <c r="AD36">
        <v>0</v>
      </c>
      <c r="AE36" t="str">
        <v>Ana Damásio</v>
      </c>
      <c r="AF36" t="str">
        <v>Francisço Guerreiro</v>
      </c>
      <c r="AG36" t="str">
        <v>https://www.vilamouraworld.com/real-estate/natura-village/</v>
      </c>
      <c r="AH36" t="str">
        <v>A 5 minute bike ride away from the Environmental Park, this is the location for a serene lifestyle. Experience a home crafted with care and balance.</v>
      </c>
      <c r="AI36" t="str">
        <v>Gym, Sauna, Condo Pool, Private Pools, Outdoor Areas, Private Parking</v>
      </c>
      <c r="AJ36" t="str">
        <v>Condomínio privado; Villas de 2 e 3 quartos; Piscinas privativas; Localização refúgio junto ao parque natural e campos de golfe; Garagens privadas; Ginásio e piscina comum; Excelentes espaços exteriores privados e de condomínio.</v>
      </c>
      <c r="AK36" t="str">
        <v>AN_DRE</v>
      </c>
      <c r="AL36" t="str">
        <v>Natura Village</v>
      </c>
    </row>
    <row r="37" spans="1:38" x14ac:dyDescent="0.3">
      <c r="A37" s="110" t="str">
        <v>NATURA VILLAGE 9</v>
      </c>
      <c r="B37" s="110" t="str">
        <v>Vilamoura</v>
      </c>
      <c r="C37" s="110" t="str">
        <v>G</v>
      </c>
      <c r="D37" s="110" t="str">
        <v>Vilamoura, Algarve</v>
      </c>
      <c r="E37" s="110" t="str">
        <v>V3</v>
      </c>
      <c r="F37" s="110">
        <v>193.26</v>
      </c>
      <c r="G37" s="110">
        <v>0</v>
      </c>
      <c r="H37" s="110" t="str">
        <v/>
      </c>
      <c r="I37" s="110" t="str">
        <v/>
      </c>
      <c r="J37" s="110">
        <v>0</v>
      </c>
      <c r="K37" s="110">
        <v>0</v>
      </c>
      <c r="L37" s="110">
        <v>0</v>
      </c>
      <c r="M37" s="110">
        <v>0</v>
      </c>
      <c r="N37" s="110">
        <v>0</v>
      </c>
      <c r="O37" s="110">
        <v>193.26</v>
      </c>
      <c r="P37" s="110">
        <v>0</v>
      </c>
      <c r="Q37" s="110" t="str">
        <v>AVAILABLE</v>
      </c>
      <c r="R37" s="110">
        <v>1320000</v>
      </c>
      <c r="S37" s="110">
        <v>1320000</v>
      </c>
      <c r="T37" s="110">
        <v>1320000</v>
      </c>
      <c r="U37" s="110">
        <v>0</v>
      </c>
      <c r="V37" s="110">
        <v>0</v>
      </c>
      <c r="W37" s="110">
        <v>1320000</v>
      </c>
      <c r="X37" s="110">
        <v>0</v>
      </c>
      <c r="Y37" s="110">
        <v>1320000</v>
      </c>
      <c r="Z37" s="110">
        <v>1320000</v>
      </c>
      <c r="AA37" s="110">
        <v>45287</v>
      </c>
      <c r="AB37" s="111" t="str">
        <v>Q4 2023</v>
      </c>
      <c r="AC37">
        <v>0</v>
      </c>
      <c r="AD37">
        <v>0</v>
      </c>
      <c r="AE37" t="str">
        <v>Ana Damásio</v>
      </c>
      <c r="AF37" t="str">
        <v>Francisço Guerreiro</v>
      </c>
      <c r="AG37" t="str">
        <v>https://www.vilamouraworld.com/real-estate/natura-village/</v>
      </c>
      <c r="AH37" t="str">
        <v>A 5 minute bike ride away from the Environmental Park, this is the location for a serene lifestyle. Experience a home crafted with care and balance.</v>
      </c>
      <c r="AI37" t="str">
        <v>Gym, Sauna, Condo Pool, Private Pools, Outdoor Areas, Private Parking</v>
      </c>
      <c r="AJ37" t="str">
        <v>Condomínio privado; Villas de 2 e 3 quartos; Piscinas privativas; Localização refúgio junto ao parque natural e campos de golfe; Garagens privadas; Ginásio e piscina comum; Excelentes espaços exteriores privados e de condomínio.</v>
      </c>
      <c r="AK37" t="str">
        <v>AN_DRE</v>
      </c>
      <c r="AL37" t="str">
        <v>Natura Village</v>
      </c>
    </row>
    <row r="38" spans="1:38" x14ac:dyDescent="0.3">
      <c r="A38" s="110" t="str">
        <v>NATURA VILLAGE 9</v>
      </c>
      <c r="B38" s="110" t="str">
        <v>Vilamoura</v>
      </c>
      <c r="C38" s="110" t="str">
        <v>H</v>
      </c>
      <c r="D38" s="110" t="str">
        <v>Vilamoura, Algarve</v>
      </c>
      <c r="E38" s="110" t="str">
        <v>V3</v>
      </c>
      <c r="F38" s="110">
        <v>192.99</v>
      </c>
      <c r="G38" s="110">
        <v>0</v>
      </c>
      <c r="H38" s="110" t="str">
        <v/>
      </c>
      <c r="I38" s="110" t="str">
        <v/>
      </c>
      <c r="J38" s="110">
        <v>0</v>
      </c>
      <c r="K38" s="110">
        <v>0</v>
      </c>
      <c r="L38" s="110">
        <v>0</v>
      </c>
      <c r="M38" s="110">
        <v>0</v>
      </c>
      <c r="N38" s="110">
        <v>0</v>
      </c>
      <c r="O38" s="110">
        <v>192.99</v>
      </c>
      <c r="P38" s="110">
        <v>0</v>
      </c>
      <c r="Q38" s="110" t="str">
        <v>AVAILABLE</v>
      </c>
      <c r="R38" s="110">
        <v>1110000</v>
      </c>
      <c r="S38" s="110">
        <v>1110000</v>
      </c>
      <c r="T38" s="110">
        <v>1110000</v>
      </c>
      <c r="U38" s="110">
        <v>0</v>
      </c>
      <c r="V38" s="110">
        <v>0</v>
      </c>
      <c r="W38" s="110">
        <v>1110000</v>
      </c>
      <c r="X38" s="110">
        <v>0</v>
      </c>
      <c r="Y38" s="110">
        <v>1110000</v>
      </c>
      <c r="Z38" s="110">
        <v>1110000</v>
      </c>
      <c r="AA38" s="110">
        <v>45287</v>
      </c>
      <c r="AB38" s="111" t="str">
        <v>Q4 2023</v>
      </c>
      <c r="AC38">
        <v>0</v>
      </c>
      <c r="AD38">
        <v>0</v>
      </c>
      <c r="AE38" t="str">
        <v>Ana Damásio</v>
      </c>
      <c r="AF38" t="str">
        <v>Francisço Guerreiro</v>
      </c>
      <c r="AG38" t="str">
        <v>https://www.vilamouraworld.com/real-estate/natura-village/</v>
      </c>
      <c r="AH38" t="str">
        <v>A 5 minute bike ride away from the Environmental Park, this is the location for a serene lifestyle. Experience a home crafted with care and balance.</v>
      </c>
      <c r="AI38" t="str">
        <v>Gym, Sauna, Condo Pool, Private Pools, Outdoor Areas, Private Parking</v>
      </c>
      <c r="AJ38" t="str">
        <v>Condomínio privado; Villas de 2 e 3 quartos; Piscinas privativas; Localização refúgio junto ao parque natural e campos de golfe; Garagens privadas; Ginásio e piscina comum; Excelentes espaços exteriores privados e de condomínio.</v>
      </c>
      <c r="AK38" t="str">
        <v>AN_DRE</v>
      </c>
      <c r="AL38" t="str">
        <v>Natura Village</v>
      </c>
    </row>
    <row r="39" spans="1:38" x14ac:dyDescent="0.3">
      <c r="A39" s="110" t="str">
        <v>NATURA VILLAGE 9</v>
      </c>
      <c r="B39" s="110" t="str">
        <v>Vilamoura</v>
      </c>
      <c r="C39" s="110" t="str">
        <v>K</v>
      </c>
      <c r="D39" s="110" t="str">
        <v>Vilamoura, Algarve</v>
      </c>
      <c r="E39" s="110" t="str">
        <v>V3</v>
      </c>
      <c r="F39" s="110">
        <v>192.99</v>
      </c>
      <c r="G39" s="110">
        <v>0</v>
      </c>
      <c r="H39" s="110" t="str">
        <v/>
      </c>
      <c r="I39" s="110" t="str">
        <v/>
      </c>
      <c r="J39" s="110">
        <v>0</v>
      </c>
      <c r="K39" s="110">
        <v>0</v>
      </c>
      <c r="L39" s="110">
        <v>0</v>
      </c>
      <c r="M39" s="110">
        <v>0</v>
      </c>
      <c r="N39" s="110">
        <v>0</v>
      </c>
      <c r="O39" s="110">
        <v>192.99</v>
      </c>
      <c r="P39" s="110">
        <v>0</v>
      </c>
      <c r="Q39" s="110" t="str">
        <v>AVAILABLE</v>
      </c>
      <c r="R39" s="110">
        <v>1180000</v>
      </c>
      <c r="S39" s="110">
        <v>1180000</v>
      </c>
      <c r="T39" s="110">
        <v>1180000</v>
      </c>
      <c r="U39" s="110">
        <v>0</v>
      </c>
      <c r="V39" s="110">
        <v>0</v>
      </c>
      <c r="W39" s="110">
        <v>1180000</v>
      </c>
      <c r="X39" s="110">
        <v>0</v>
      </c>
      <c r="Y39" s="110">
        <v>1180000</v>
      </c>
      <c r="Z39" s="110">
        <v>1180000</v>
      </c>
      <c r="AA39" s="110">
        <v>45287</v>
      </c>
      <c r="AB39" s="111" t="str">
        <v>Q4 2023</v>
      </c>
      <c r="AC39">
        <v>0</v>
      </c>
      <c r="AD39">
        <v>0</v>
      </c>
      <c r="AE39" t="str">
        <v>Ana Damásio</v>
      </c>
      <c r="AF39" t="str">
        <v>Francisço Guerreiro</v>
      </c>
      <c r="AG39" t="str">
        <v>https://www.vilamouraworld.com/real-estate/natura-village/</v>
      </c>
      <c r="AH39" t="str">
        <v>A 5 minute bike ride away from the Environmental Park, this is the location for a serene lifestyle. Experience a home crafted with care and balance.</v>
      </c>
      <c r="AI39" t="str">
        <v>Gym, Sauna, Condo Pool, Private Pools, Outdoor Areas, Private Parking</v>
      </c>
      <c r="AJ39" t="str">
        <v>Condomínio privado; Villas de 2 e 3 quartos; Piscinas privativas; Localização refúgio junto ao parque natural e campos de golfe; Garagens privadas; Ginásio e piscina comum; Excelentes espaços exteriores privados e de condomínio.</v>
      </c>
      <c r="AK39" t="str">
        <v>AN_DRE</v>
      </c>
      <c r="AL39" t="str">
        <v>Natura Village</v>
      </c>
    </row>
    <row r="40" spans="1:38" x14ac:dyDescent="0.3">
      <c r="A40" s="110" t="str">
        <v>NATURA VILLAGE 9</v>
      </c>
      <c r="B40" s="110" t="str">
        <v>Vilamoura</v>
      </c>
      <c r="C40" s="110" t="str">
        <v>L</v>
      </c>
      <c r="D40" s="110" t="str">
        <v>Vilamoura, Algarve</v>
      </c>
      <c r="E40" s="110" t="str">
        <v>V3</v>
      </c>
      <c r="F40" s="110">
        <v>183.88</v>
      </c>
      <c r="G40" s="110">
        <v>0</v>
      </c>
      <c r="H40" s="110" t="str">
        <v/>
      </c>
      <c r="I40" s="110" t="str">
        <v/>
      </c>
      <c r="J40" s="110">
        <v>0</v>
      </c>
      <c r="K40" s="110">
        <v>0</v>
      </c>
      <c r="L40" s="110">
        <v>0</v>
      </c>
      <c r="M40" s="110">
        <v>0</v>
      </c>
      <c r="N40" s="110">
        <v>0</v>
      </c>
      <c r="O40" s="110">
        <v>183.88</v>
      </c>
      <c r="P40" s="110">
        <v>0</v>
      </c>
      <c r="Q40" s="110" t="str">
        <v>AVAILABLE</v>
      </c>
      <c r="R40" s="110">
        <v>1310000</v>
      </c>
      <c r="S40" s="110">
        <v>1310000</v>
      </c>
      <c r="T40" s="110">
        <v>1310000</v>
      </c>
      <c r="U40" s="110">
        <v>0</v>
      </c>
      <c r="V40" s="110">
        <v>0</v>
      </c>
      <c r="W40" s="110">
        <v>1310000</v>
      </c>
      <c r="X40" s="110">
        <v>0</v>
      </c>
      <c r="Y40" s="110">
        <v>1310000</v>
      </c>
      <c r="Z40" s="110">
        <v>1310000</v>
      </c>
      <c r="AA40" s="110">
        <v>45287</v>
      </c>
      <c r="AB40" s="111" t="str">
        <v>Q4 2023</v>
      </c>
      <c r="AC40">
        <v>0</v>
      </c>
      <c r="AD40">
        <v>0</v>
      </c>
      <c r="AE40" t="str">
        <v>Ana Damásio</v>
      </c>
      <c r="AF40" t="str">
        <v>Francisço Guerreiro</v>
      </c>
      <c r="AG40" t="str">
        <v>https://www.vilamouraworld.com/real-estate/natura-village/</v>
      </c>
      <c r="AH40" t="str">
        <v>A 5 minute bike ride away from the Environmental Park, this is the location for a serene lifestyle. Experience a home crafted with care and balance.</v>
      </c>
      <c r="AI40" t="str">
        <v>Gym, Sauna, Condo Pool, Private Pools, Outdoor Areas, Private Parking</v>
      </c>
      <c r="AJ40" t="str">
        <v>Condomínio privado; Villas de 2 e 3 quartos; Piscinas privativas; Localização refúgio junto ao parque natural e campos de golfe; Garagens privadas; Ginásio e piscina comum; Excelentes espaços exteriores privados e de condomínio.</v>
      </c>
      <c r="AK40" t="str">
        <v>AN_DRE</v>
      </c>
      <c r="AL40" t="str">
        <v>Natura Village</v>
      </c>
    </row>
    <row r="41" spans="1:38" x14ac:dyDescent="0.3">
      <c r="A41" s="110"/>
      <c r="B41" s="110"/>
      <c r="C41" s="110"/>
      <c r="D41" s="110"/>
      <c r="E41" s="110"/>
      <c r="F41" s="110"/>
      <c r="G41" s="110"/>
      <c r="H41" s="110"/>
      <c r="I41" s="110"/>
      <c r="J41" s="110"/>
      <c r="K41" s="110"/>
      <c r="L41" s="110"/>
      <c r="M41" s="110"/>
      <c r="N41" s="110"/>
      <c r="O41" s="110"/>
      <c r="P41" s="110"/>
      <c r="Q41" s="110"/>
      <c r="R41" s="110"/>
      <c r="S41" s="110"/>
      <c r="T41" s="110"/>
      <c r="U41" s="110"/>
      <c r="V41" s="110"/>
      <c r="W41" s="110"/>
      <c r="X41" s="110"/>
      <c r="Y41" s="110"/>
      <c r="Z41" s="110"/>
      <c r="AA41" s="110"/>
      <c r="AB41" s="111"/>
    </row>
    <row r="42" spans="1:38" x14ac:dyDescent="0.3">
      <c r="A42" s="110"/>
      <c r="B42" s="110"/>
      <c r="C42" s="110"/>
      <c r="D42" s="110"/>
      <c r="E42" s="110"/>
      <c r="F42" s="110"/>
      <c r="G42" s="110"/>
      <c r="H42" s="110"/>
      <c r="I42" s="110"/>
      <c r="J42" s="110"/>
      <c r="K42" s="110"/>
      <c r="L42" s="110"/>
      <c r="M42" s="110"/>
      <c r="N42" s="110"/>
      <c r="O42" s="110"/>
      <c r="P42" s="110"/>
      <c r="Q42" s="110"/>
      <c r="R42" s="110"/>
      <c r="S42" s="110"/>
      <c r="T42" s="110"/>
      <c r="U42" s="110"/>
      <c r="V42" s="110"/>
      <c r="W42" s="110"/>
      <c r="X42" s="110"/>
      <c r="Y42" s="110"/>
      <c r="Z42" s="110"/>
      <c r="AA42" s="110"/>
      <c r="AB42" s="111"/>
    </row>
    <row r="43" spans="1:38" x14ac:dyDescent="0.3">
      <c r="A43" s="110"/>
      <c r="B43" s="110"/>
      <c r="C43" s="110"/>
      <c r="D43" s="110"/>
      <c r="E43" s="110"/>
      <c r="F43" s="110"/>
      <c r="G43" s="110"/>
      <c r="H43" s="110"/>
      <c r="I43" s="110"/>
      <c r="J43" s="110"/>
      <c r="K43" s="110"/>
      <c r="L43" s="110"/>
      <c r="M43" s="110"/>
      <c r="N43" s="110"/>
      <c r="O43" s="110"/>
      <c r="P43" s="110"/>
      <c r="Q43" s="110"/>
      <c r="R43" s="110"/>
      <c r="S43" s="110"/>
      <c r="T43" s="110"/>
      <c r="U43" s="110"/>
      <c r="V43" s="110"/>
      <c r="W43" s="110"/>
      <c r="X43" s="110"/>
      <c r="Y43" s="110"/>
      <c r="Z43" s="110"/>
      <c r="AA43" s="110"/>
      <c r="AB43" s="111"/>
    </row>
    <row r="44" spans="1:38" x14ac:dyDescent="0.3">
      <c r="A44" s="110"/>
      <c r="B44" s="110"/>
      <c r="C44" s="110"/>
      <c r="D44" s="110"/>
      <c r="E44" s="110"/>
      <c r="F44" s="110"/>
      <c r="G44" s="110"/>
      <c r="H44" s="110"/>
      <c r="I44" s="110"/>
      <c r="J44" s="110"/>
      <c r="K44" s="110"/>
      <c r="L44" s="110"/>
      <c r="M44" s="110"/>
      <c r="N44" s="110"/>
      <c r="O44" s="110"/>
      <c r="P44" s="110"/>
      <c r="Q44" s="110"/>
      <c r="R44" s="110"/>
      <c r="S44" s="110"/>
      <c r="T44" s="110"/>
      <c r="U44" s="110"/>
      <c r="V44" s="110"/>
      <c r="W44" s="110"/>
      <c r="X44" s="110"/>
      <c r="Y44" s="110"/>
      <c r="Z44" s="110"/>
      <c r="AA44" s="110"/>
      <c r="AB44" s="111"/>
    </row>
    <row r="45" spans="1:38" x14ac:dyDescent="0.3">
      <c r="A45" s="110"/>
      <c r="B45" s="110"/>
      <c r="C45" s="110"/>
      <c r="D45" s="110"/>
      <c r="E45" s="110"/>
      <c r="F45" s="110"/>
      <c r="G45" s="110"/>
      <c r="H45" s="110"/>
      <c r="I45" s="110"/>
      <c r="J45" s="110"/>
      <c r="K45" s="110"/>
      <c r="L45" s="110"/>
      <c r="M45" s="110"/>
      <c r="N45" s="110"/>
      <c r="O45" s="110"/>
      <c r="P45" s="110"/>
      <c r="Q45" s="110"/>
      <c r="R45" s="110"/>
      <c r="S45" s="110"/>
      <c r="T45" s="110"/>
      <c r="U45" s="110"/>
      <c r="V45" s="110"/>
      <c r="W45" s="110"/>
      <c r="X45" s="110"/>
      <c r="Y45" s="110"/>
      <c r="Z45" s="110"/>
      <c r="AA45" s="110"/>
      <c r="AB45" s="111"/>
    </row>
    <row r="46" spans="1:38" x14ac:dyDescent="0.3">
      <c r="A46" s="110"/>
      <c r="B46" s="110"/>
      <c r="C46" s="110"/>
      <c r="D46" s="110"/>
      <c r="E46" s="110"/>
      <c r="F46" s="110"/>
      <c r="G46" s="110"/>
      <c r="H46" s="110"/>
      <c r="I46" s="110"/>
      <c r="J46" s="110"/>
      <c r="K46" s="110"/>
      <c r="L46" s="110"/>
      <c r="M46" s="110"/>
      <c r="N46" s="110"/>
      <c r="O46" s="110"/>
      <c r="P46" s="110"/>
      <c r="Q46" s="110"/>
      <c r="R46" s="110"/>
      <c r="S46" s="110"/>
      <c r="T46" s="110"/>
      <c r="U46" s="110"/>
      <c r="V46" s="110"/>
      <c r="W46" s="110"/>
      <c r="X46" s="110"/>
      <c r="Y46" s="110"/>
      <c r="Z46" s="110"/>
      <c r="AA46" s="110"/>
      <c r="AB46" s="111"/>
    </row>
    <row r="47" spans="1:38" x14ac:dyDescent="0.3">
      <c r="A47" s="110"/>
      <c r="B47" s="110"/>
      <c r="C47" s="110"/>
      <c r="D47" s="110"/>
      <c r="E47" s="110"/>
      <c r="F47" s="110"/>
      <c r="G47" s="110"/>
      <c r="H47" s="110"/>
      <c r="I47" s="110"/>
      <c r="J47" s="110"/>
      <c r="K47" s="110"/>
      <c r="L47" s="110"/>
      <c r="M47" s="110"/>
      <c r="N47" s="110"/>
      <c r="O47" s="110"/>
      <c r="P47" s="110"/>
      <c r="Q47" s="110"/>
      <c r="R47" s="110"/>
      <c r="S47" s="110"/>
      <c r="T47" s="110"/>
      <c r="U47" s="110"/>
      <c r="V47" s="110"/>
      <c r="W47" s="110"/>
      <c r="X47" s="110"/>
      <c r="Y47" s="110"/>
      <c r="Z47" s="110"/>
      <c r="AA47" s="110"/>
      <c r="AB47" s="111"/>
    </row>
    <row r="48" spans="1:38" x14ac:dyDescent="0.3">
      <c r="A48" s="110"/>
      <c r="B48" s="110"/>
      <c r="C48" s="110"/>
      <c r="D48" s="110"/>
      <c r="E48" s="110"/>
      <c r="F48" s="110"/>
      <c r="G48" s="110"/>
      <c r="H48" s="110"/>
      <c r="I48" s="110"/>
      <c r="J48" s="110"/>
      <c r="K48" s="110"/>
      <c r="L48" s="110"/>
      <c r="M48" s="110"/>
      <c r="N48" s="110"/>
      <c r="O48" s="110"/>
      <c r="P48" s="110"/>
      <c r="Q48" s="110"/>
      <c r="R48" s="110"/>
      <c r="S48" s="110"/>
      <c r="T48" s="110"/>
      <c r="U48" s="110"/>
      <c r="V48" s="110"/>
      <c r="W48" s="110"/>
      <c r="X48" s="110"/>
      <c r="Y48" s="110"/>
      <c r="Z48" s="110"/>
      <c r="AA48" s="110"/>
      <c r="AB48" s="111"/>
    </row>
    <row r="74" spans="11:12" x14ac:dyDescent="0.3">
      <c r="K74" s="113"/>
      <c r="L74" s="78"/>
    </row>
  </sheetData>
  <autoFilter ref="A2:AL2" xr:uid="{8C381E57-20A3-4D29-9AC1-A20B676A56DB}"/>
  <conditionalFormatting sqref="A2">
    <cfRule type="containsText" dxfId="77" priority="3" operator="containsText" text="Center">
      <formula>NOT(ISERROR(SEARCH("Center",A2)))</formula>
    </cfRule>
    <cfRule type="containsText" dxfId="76" priority="4" operator="containsText" text="North">
      <formula>NOT(ISERROR(SEARCH("North",A2)))</formula>
    </cfRule>
    <cfRule type="containsText" dxfId="75" priority="5" operator="containsText" text="Algarve">
      <formula>NOT(ISERROR(SEARCH("Algarve",A2)))</formula>
    </cfRule>
    <cfRule type="containsText" dxfId="74" priority="6" operator="containsText" text="Vilamoura">
      <formula>NOT(ISERROR(SEARCH("Vilamoura",A2)))</formula>
    </cfRule>
  </conditionalFormatting>
  <conditionalFormatting sqref="Q2">
    <cfRule type="containsText" dxfId="73" priority="1" operator="containsText" text="PRE-RESERVED">
      <formula>NOT(ISERROR(SEARCH("PRE-RESERVED",Q2)))</formula>
    </cfRule>
    <cfRule type="containsText" dxfId="72" priority="2" operator="containsText" text="RESERVED">
      <formula>NOT(ISERROR(SEARCH("RESERVED",Q2)))</formula>
    </cfRule>
  </conditionalFormatting>
  <pageMargins left="0.7" right="0.7" top="0.75" bottom="0.75" header="0.3" footer="0.3"/>
  <pageSetup paperSize="8" scale="69" fitToHeight="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55FFB5-B5C7-40D0-ABFA-7EF03DB89A16}">
  <sheetPr>
    <tabColor rgb="FFC2B59E"/>
    <pageSetUpPr fitToPage="1"/>
  </sheetPr>
  <dimension ref="A1:AL74"/>
  <sheetViews>
    <sheetView showGridLines="0" zoomScale="71" zoomScaleNormal="40" zoomScaleSheetLayoutView="70" workbookViewId="0">
      <pane xSplit="1" topLeftCell="H1" activePane="topRight" state="frozen"/>
      <selection activeCell="I25" sqref="I25"/>
      <selection pane="topRight"/>
    </sheetView>
  </sheetViews>
  <sheetFormatPr defaultColWidth="8.6640625" defaultRowHeight="14.4" outlineLevelCol="2" x14ac:dyDescent="0.3"/>
  <cols>
    <col min="1" max="1" width="20.33203125" bestFit="1" customWidth="1"/>
    <col min="2" max="6" width="11.77734375" customWidth="1"/>
    <col min="7" max="12" width="11.77734375" customWidth="1" outlineLevel="2"/>
    <col min="13" max="13" width="11.77734375" style="79" customWidth="1" outlineLevel="2"/>
    <col min="14" max="14" width="11.77734375" customWidth="1" outlineLevel="2"/>
    <col min="15" max="16" width="11.77734375" customWidth="1" outlineLevel="1"/>
    <col min="17" max="18" width="11.77734375" customWidth="1"/>
    <col min="19" max="22" width="11.77734375" customWidth="1" outlineLevel="1"/>
    <col min="23" max="24" width="11.77734375" customWidth="1"/>
    <col min="25" max="25" width="11.77734375" customWidth="1" outlineLevel="1"/>
    <col min="26" max="26" width="11.77734375" customWidth="1"/>
    <col min="27" max="27" width="11.77734375" customWidth="1" outlineLevel="1"/>
    <col min="28" max="38" width="11.77734375" customWidth="1"/>
  </cols>
  <sheetData>
    <row r="1" spans="1:38" s="1" customFormat="1" ht="20.399999999999999" customHeight="1" x14ac:dyDescent="0.3">
      <c r="A1" s="114" t="s">
        <v>31</v>
      </c>
    </row>
    <row r="2" spans="1:38" s="2" customFormat="1" ht="46.2" customHeight="1" x14ac:dyDescent="0.3">
      <c r="A2" s="95" t="s">
        <v>335</v>
      </c>
      <c r="B2" s="95" t="s">
        <v>684</v>
      </c>
      <c r="C2" s="96" t="s">
        <v>765</v>
      </c>
      <c r="D2" s="97" t="s">
        <v>1</v>
      </c>
      <c r="E2" s="95" t="s">
        <v>93</v>
      </c>
      <c r="F2" s="95" t="s">
        <v>763</v>
      </c>
      <c r="G2" s="98" t="s">
        <v>675</v>
      </c>
      <c r="H2" s="99" t="s">
        <v>676</v>
      </c>
      <c r="I2" s="99" t="s">
        <v>677</v>
      </c>
      <c r="J2" s="100" t="s">
        <v>678</v>
      </c>
      <c r="K2" s="98" t="s">
        <v>679</v>
      </c>
      <c r="L2" s="98" t="s">
        <v>779</v>
      </c>
      <c r="M2" s="98" t="s">
        <v>680</v>
      </c>
      <c r="N2" s="101" t="s">
        <v>681</v>
      </c>
      <c r="O2" s="102" t="s">
        <v>94</v>
      </c>
      <c r="P2" s="102" t="s">
        <v>95</v>
      </c>
      <c r="Q2" s="95" t="s">
        <v>624</v>
      </c>
      <c r="R2" s="103" t="s">
        <v>331</v>
      </c>
      <c r="S2" s="104" t="s">
        <v>332</v>
      </c>
      <c r="T2" s="105" t="s">
        <v>333</v>
      </c>
      <c r="U2" s="105" t="s">
        <v>682</v>
      </c>
      <c r="V2" s="105" t="s">
        <v>97</v>
      </c>
      <c r="W2" s="95" t="s">
        <v>330</v>
      </c>
      <c r="X2" s="106" t="s">
        <v>919</v>
      </c>
      <c r="Y2" s="105" t="s">
        <v>334</v>
      </c>
      <c r="Z2" s="95" t="s">
        <v>98</v>
      </c>
      <c r="AA2" s="107" t="s">
        <v>933</v>
      </c>
      <c r="AB2" s="108" t="s">
        <v>934</v>
      </c>
      <c r="AC2" s="108" t="s">
        <v>928</v>
      </c>
      <c r="AD2" s="109" t="s">
        <v>926</v>
      </c>
      <c r="AE2" s="97" t="s">
        <v>792</v>
      </c>
      <c r="AF2" s="97" t="s">
        <v>793</v>
      </c>
      <c r="AG2" s="97" t="s">
        <v>2</v>
      </c>
      <c r="AH2" s="97" t="s">
        <v>3</v>
      </c>
      <c r="AI2" s="97" t="s">
        <v>5</v>
      </c>
      <c r="AJ2" s="97" t="s">
        <v>794</v>
      </c>
      <c r="AK2" s="97" t="s">
        <v>6</v>
      </c>
      <c r="AL2" s="95" t="s">
        <v>918</v>
      </c>
    </row>
    <row r="3" spans="1:38" s="112" customFormat="1" ht="13.8" x14ac:dyDescent="0.3">
      <c r="A3" s="129" t="str" cm="1">
        <f t="array" ref="A3:AL41">_xlfn._xlws.FILTER(DATABASE_Table[],DATABASE_Table[Development]=$A$1,"")</f>
        <v>Rivus</v>
      </c>
      <c r="B3" s="129" t="str">
        <v>Vilamoura</v>
      </c>
      <c r="C3" s="110" t="str">
        <v>AB</v>
      </c>
      <c r="D3" s="110" t="str">
        <v>Vilamoura, Algarve</v>
      </c>
      <c r="E3" s="110" t="str">
        <v>T3</v>
      </c>
      <c r="F3" s="110">
        <v>0</v>
      </c>
      <c r="G3" s="110">
        <v>0</v>
      </c>
      <c r="H3" s="110" t="str">
        <v/>
      </c>
      <c r="I3" s="110" t="str">
        <v/>
      </c>
      <c r="J3" s="110">
        <v>0</v>
      </c>
      <c r="K3" s="110">
        <v>0</v>
      </c>
      <c r="L3" s="110">
        <v>0</v>
      </c>
      <c r="M3" s="110">
        <v>16</v>
      </c>
      <c r="N3" s="110">
        <v>0</v>
      </c>
      <c r="O3" s="110">
        <v>137</v>
      </c>
      <c r="P3" s="110">
        <v>0</v>
      </c>
      <c r="Q3" s="110" t="str">
        <v xml:space="preserve">PSPA </v>
      </c>
      <c r="R3" s="110">
        <v>860000</v>
      </c>
      <c r="S3" s="110">
        <v>860000</v>
      </c>
      <c r="T3" s="110">
        <v>860000</v>
      </c>
      <c r="U3" s="110">
        <v>0</v>
      </c>
      <c r="V3" s="110">
        <v>0</v>
      </c>
      <c r="W3" s="110">
        <v>860000</v>
      </c>
      <c r="X3" s="110">
        <v>0</v>
      </c>
      <c r="Y3" s="110">
        <v>860000</v>
      </c>
      <c r="Z3" s="110">
        <v>860000</v>
      </c>
      <c r="AA3" s="110">
        <v>46114</v>
      </c>
      <c r="AB3" s="111" t="str">
        <v>Q2 2026</v>
      </c>
      <c r="AC3" s="112">
        <v>46171</v>
      </c>
      <c r="AD3" s="112">
        <v>0</v>
      </c>
      <c r="AE3" s="112" t="str">
        <v>Ana Damásio</v>
      </c>
      <c r="AF3" s="112" t="str">
        <v>Alexandre Costa</v>
      </c>
      <c r="AG3" s="112" t="str">
        <v>TBD</v>
      </c>
      <c r="AH3" s="112" t="str">
        <v>Rivus means contemporary comfort at the heart of Vilamoura. A five-minute cycle from the beach and the marina, this development offers open views, private terraces and pools. Ideal as a primary residence or a second home.</v>
      </c>
      <c r="AI3" s="112" t="str">
        <v>Private Pools and Rooftops, Underground Parking, Community Swimming Pool</v>
      </c>
      <c r="AJ3" s="112" t="str">
        <v>Excelente localização; Arquitetura de excelência em Vilamoura (Atelier Fragmentos); Piscina de condomínio e piscinas privativas; Pricing atrativo; Enorme Potencial de Arrendamento (Rentabilização).</v>
      </c>
      <c r="AK3" s="112" t="str">
        <v>Fragmentos</v>
      </c>
      <c r="AL3" s="112" t="str">
        <v>Rivus</v>
      </c>
    </row>
    <row r="4" spans="1:38" x14ac:dyDescent="0.3">
      <c r="A4" s="129" t="str">
        <v>Rivus</v>
      </c>
      <c r="B4" s="129" t="str">
        <v>Vilamoura</v>
      </c>
      <c r="C4" s="110" t="str">
        <v>AJ</v>
      </c>
      <c r="D4" s="110" t="str">
        <v>Vilamoura, Algarve</v>
      </c>
      <c r="E4" s="110" t="str">
        <v>T3</v>
      </c>
      <c r="F4" s="110">
        <v>0</v>
      </c>
      <c r="G4" s="110">
        <v>0</v>
      </c>
      <c r="H4" s="110" t="str">
        <v/>
      </c>
      <c r="I4" s="110" t="str">
        <v>Yes</v>
      </c>
      <c r="J4" s="110">
        <v>0</v>
      </c>
      <c r="K4" s="110">
        <v>0</v>
      </c>
      <c r="L4" s="110">
        <v>0</v>
      </c>
      <c r="M4" s="110">
        <v>172</v>
      </c>
      <c r="N4" s="110">
        <v>0</v>
      </c>
      <c r="O4" s="110">
        <v>135</v>
      </c>
      <c r="P4" s="110">
        <v>0</v>
      </c>
      <c r="Q4" s="110" t="str">
        <v xml:space="preserve">PSPA </v>
      </c>
      <c r="R4" s="110">
        <v>1150000</v>
      </c>
      <c r="S4" s="110">
        <v>1150000</v>
      </c>
      <c r="T4" s="110">
        <v>1150000</v>
      </c>
      <c r="U4" s="110">
        <v>0</v>
      </c>
      <c r="V4" s="110">
        <v>0</v>
      </c>
      <c r="W4" s="110">
        <v>1150000</v>
      </c>
      <c r="X4" s="110">
        <v>0</v>
      </c>
      <c r="Y4" s="110">
        <v>1150000</v>
      </c>
      <c r="Z4" s="110">
        <v>1150000</v>
      </c>
      <c r="AA4" s="110">
        <v>46114</v>
      </c>
      <c r="AB4" s="111" t="str">
        <v>Q2 2026</v>
      </c>
      <c r="AC4">
        <v>46190</v>
      </c>
      <c r="AD4">
        <v>0</v>
      </c>
      <c r="AE4" t="str">
        <v>Ana Damásio</v>
      </c>
      <c r="AF4" t="str">
        <v>Alexandre Costa</v>
      </c>
      <c r="AG4" t="str">
        <v>TBD</v>
      </c>
      <c r="AH4" t="str">
        <v>Rivus means contemporary comfort at the heart of Vilamoura. A five-minute cycle from the beach and the marina, this development offers open views, private terraces and pools. Ideal as a primary residence or a second home.</v>
      </c>
      <c r="AI4" t="str">
        <v>Private Pools and Rooftops, Underground Parking, Community Swimming Pool</v>
      </c>
      <c r="AJ4" t="str">
        <v>Excelente localização; Arquitetura de excelência em Vilamoura (Atelier Fragmentos); Piscina de condomínio e piscinas privativas; Pricing atrativo; Enorme Potencial de Arrendamento (Rentabilização).</v>
      </c>
      <c r="AK4" t="str">
        <v>Fragmentos</v>
      </c>
      <c r="AL4" t="str">
        <v>Rivus</v>
      </c>
    </row>
    <row r="5" spans="1:38" x14ac:dyDescent="0.3">
      <c r="A5" s="129" t="str">
        <v>Rivus</v>
      </c>
      <c r="B5" s="129" t="str">
        <v>Vilamoura</v>
      </c>
      <c r="C5" s="110" t="str">
        <v>AF</v>
      </c>
      <c r="D5" s="110" t="str">
        <v>Vilamoura, Algarve</v>
      </c>
      <c r="E5" s="110" t="str">
        <v>T2</v>
      </c>
      <c r="F5" s="110">
        <v>0</v>
      </c>
      <c r="G5" s="110">
        <v>0</v>
      </c>
      <c r="H5" s="110" t="str">
        <v/>
      </c>
      <c r="I5" s="110" t="str">
        <v/>
      </c>
      <c r="J5" s="110">
        <v>0</v>
      </c>
      <c r="K5" s="110">
        <v>0</v>
      </c>
      <c r="L5" s="110">
        <v>0</v>
      </c>
      <c r="M5" s="110">
        <v>18</v>
      </c>
      <c r="N5" s="110">
        <v>0</v>
      </c>
      <c r="O5" s="110">
        <v>108</v>
      </c>
      <c r="P5" s="110">
        <v>0</v>
      </c>
      <c r="Q5" s="110" t="str">
        <v>RESERVED</v>
      </c>
      <c r="R5" s="110">
        <v>740000</v>
      </c>
      <c r="S5" s="110">
        <v>740000</v>
      </c>
      <c r="T5" s="110">
        <v>740000</v>
      </c>
      <c r="U5" s="110">
        <v>0</v>
      </c>
      <c r="V5" s="110">
        <v>0</v>
      </c>
      <c r="W5" s="110">
        <v>740000</v>
      </c>
      <c r="X5" s="110">
        <v>0</v>
      </c>
      <c r="Y5" s="110">
        <v>740000</v>
      </c>
      <c r="Z5" s="110">
        <v>740000</v>
      </c>
      <c r="AA5" s="110">
        <v>46114</v>
      </c>
      <c r="AB5" s="111" t="str">
        <v>Q2 2026</v>
      </c>
      <c r="AC5">
        <v>46139</v>
      </c>
      <c r="AD5">
        <v>0</v>
      </c>
      <c r="AE5" t="str">
        <v>Ana Damásio</v>
      </c>
      <c r="AF5" t="str">
        <v>Alexandre Costa</v>
      </c>
      <c r="AG5" t="str">
        <v>TBD</v>
      </c>
      <c r="AH5" t="str">
        <v>Rivus means contemporary comfort at the heart of Vilamoura. A five-minute cycle from the beach and the marina, this development offers open views, private terraces and pools. Ideal as a primary residence or a second home.</v>
      </c>
      <c r="AI5" t="str">
        <v>Private Pools and Rooftops, Underground Parking, Community Swimming Pool</v>
      </c>
      <c r="AJ5" t="str">
        <v>Excelente localização; Arquitetura de excelência em Vilamoura (Atelier Fragmentos); Piscina de condomínio e piscinas privativas; Pricing atrativo; Enorme Potencial de Arrendamento (Rentabilização).</v>
      </c>
      <c r="AK5" t="str">
        <v>Fragmentos</v>
      </c>
      <c r="AL5" t="str">
        <v>Rivus</v>
      </c>
    </row>
    <row r="6" spans="1:38" x14ac:dyDescent="0.3">
      <c r="A6" s="129" t="str">
        <v>Rivus</v>
      </c>
      <c r="B6" s="129" t="str">
        <v>Vilamoura</v>
      </c>
      <c r="C6" s="110" t="str">
        <v>AK</v>
      </c>
      <c r="D6" s="110" t="str">
        <v>Vilamoura, Algarve</v>
      </c>
      <c r="E6" s="110" t="str">
        <v>T2</v>
      </c>
      <c r="F6" s="110">
        <v>0</v>
      </c>
      <c r="G6" s="110">
        <v>0</v>
      </c>
      <c r="H6" s="110" t="str">
        <v/>
      </c>
      <c r="I6" s="110" t="str">
        <v>Yes</v>
      </c>
      <c r="J6" s="110">
        <v>0</v>
      </c>
      <c r="K6" s="110">
        <v>0</v>
      </c>
      <c r="L6" s="110">
        <v>0</v>
      </c>
      <c r="M6" s="110">
        <v>109</v>
      </c>
      <c r="N6" s="110">
        <v>0</v>
      </c>
      <c r="O6" s="110">
        <v>109</v>
      </c>
      <c r="P6" s="110">
        <v>0</v>
      </c>
      <c r="Q6" s="110" t="str">
        <v>RESERVED</v>
      </c>
      <c r="R6" s="110">
        <v>950000</v>
      </c>
      <c r="S6" s="110">
        <v>950000</v>
      </c>
      <c r="T6" s="110">
        <v>950000</v>
      </c>
      <c r="U6" s="110">
        <v>0</v>
      </c>
      <c r="V6" s="110">
        <v>0</v>
      </c>
      <c r="W6" s="110">
        <v>950000</v>
      </c>
      <c r="X6" s="110">
        <v>0</v>
      </c>
      <c r="Y6" s="110">
        <v>950000</v>
      </c>
      <c r="Z6" s="110">
        <v>950000</v>
      </c>
      <c r="AA6" s="110">
        <v>46114</v>
      </c>
      <c r="AB6" s="111" t="str">
        <v>Q2 2026</v>
      </c>
      <c r="AC6">
        <v>46132</v>
      </c>
      <c r="AD6">
        <v>0</v>
      </c>
      <c r="AE6" t="str">
        <v>Ana Damásio</v>
      </c>
      <c r="AF6" t="str">
        <v>Alexandre Costa</v>
      </c>
      <c r="AG6" t="str">
        <v>TBD</v>
      </c>
      <c r="AH6" t="str">
        <v>Rivus means contemporary comfort at the heart of Vilamoura. A five-minute cycle from the beach and the marina, this development offers open views, private terraces and pools. Ideal as a primary residence or a second home.</v>
      </c>
      <c r="AI6" t="str">
        <v>Private Pools and Rooftops, Underground Parking, Community Swimming Pool</v>
      </c>
      <c r="AJ6" t="str">
        <v>Excelente localização; Arquitetura de excelência em Vilamoura (Atelier Fragmentos); Piscina de condomínio e piscinas privativas; Pricing atrativo; Enorme Potencial de Arrendamento (Rentabilização).</v>
      </c>
      <c r="AK6" t="str">
        <v>Fragmentos</v>
      </c>
      <c r="AL6" t="str">
        <v>Rivus</v>
      </c>
    </row>
    <row r="7" spans="1:38" x14ac:dyDescent="0.3">
      <c r="A7" s="129" t="str">
        <v>Rivus</v>
      </c>
      <c r="B7" s="129" t="str">
        <v>Vilamoura</v>
      </c>
      <c r="C7" s="110" t="str">
        <v>K</v>
      </c>
      <c r="D7" s="110" t="str">
        <v>Vilamoura, Algarve</v>
      </c>
      <c r="E7" s="110" t="str">
        <v>T3</v>
      </c>
      <c r="F7" s="110">
        <v>0</v>
      </c>
      <c r="G7" s="110">
        <v>0</v>
      </c>
      <c r="H7" s="110" t="str">
        <v/>
      </c>
      <c r="I7" s="110" t="str">
        <v/>
      </c>
      <c r="J7" s="110">
        <v>0</v>
      </c>
      <c r="K7" s="110">
        <v>77</v>
      </c>
      <c r="L7" s="110">
        <v>0</v>
      </c>
      <c r="M7" s="110">
        <v>0</v>
      </c>
      <c r="N7" s="110">
        <v>0</v>
      </c>
      <c r="O7" s="110">
        <v>139</v>
      </c>
      <c r="P7" s="110">
        <v>0</v>
      </c>
      <c r="Q7" s="110" t="str">
        <v xml:space="preserve">PSPA </v>
      </c>
      <c r="R7" s="110">
        <v>900000</v>
      </c>
      <c r="S7" s="110">
        <v>900000</v>
      </c>
      <c r="T7" s="110">
        <v>900000</v>
      </c>
      <c r="U7" s="110">
        <v>0</v>
      </c>
      <c r="V7" s="110">
        <v>0</v>
      </c>
      <c r="W7" s="110">
        <v>900000</v>
      </c>
      <c r="X7" s="110">
        <v>0</v>
      </c>
      <c r="Y7" s="110">
        <v>900000</v>
      </c>
      <c r="Z7" s="110">
        <v>900000</v>
      </c>
      <c r="AA7" s="110">
        <v>46114</v>
      </c>
      <c r="AB7" s="111" t="str">
        <v>Q2 2026</v>
      </c>
      <c r="AC7">
        <v>46178</v>
      </c>
      <c r="AD7">
        <v>0</v>
      </c>
      <c r="AE7" t="str">
        <v>Ana Damásio</v>
      </c>
      <c r="AF7" t="str">
        <v>Alexandre Costa</v>
      </c>
      <c r="AG7" t="str">
        <v>TBD</v>
      </c>
      <c r="AH7" t="str">
        <v>Rivus means contemporary comfort at the heart of Vilamoura. A five-minute cycle from the beach and the marina, this development offers open views, private terraces and pools. Ideal as a primary residence or a second home.</v>
      </c>
      <c r="AI7" t="str">
        <v>Private Pools and Rooftops, Underground Parking, Community Swimming Pool</v>
      </c>
      <c r="AJ7" t="str">
        <v>Excelente localização; Arquitetura de excelência em Vilamoura (Atelier Fragmentos); Piscina de condomínio e piscinas privativas; Pricing atrativo; Enorme Potencial de Arrendamento (Rentabilização).</v>
      </c>
      <c r="AK7" t="str">
        <v>Fragmentos</v>
      </c>
      <c r="AL7" t="str">
        <v>Rivus</v>
      </c>
    </row>
    <row r="8" spans="1:38" x14ac:dyDescent="0.3">
      <c r="A8" s="129" t="str">
        <v>Rivus</v>
      </c>
      <c r="B8" s="129" t="str">
        <v>Vilamoura</v>
      </c>
      <c r="C8" s="110" t="str">
        <v>X</v>
      </c>
      <c r="D8" s="110" t="str">
        <v>Vilamoura, Algarve</v>
      </c>
      <c r="E8" s="110" t="str">
        <v>T3</v>
      </c>
      <c r="F8" s="110">
        <v>0</v>
      </c>
      <c r="G8" s="110">
        <v>0</v>
      </c>
      <c r="H8" s="110" t="str">
        <v/>
      </c>
      <c r="I8" s="110" t="str">
        <v>Yes</v>
      </c>
      <c r="J8" s="110">
        <v>0</v>
      </c>
      <c r="K8" s="110">
        <v>0</v>
      </c>
      <c r="L8" s="110">
        <v>0</v>
      </c>
      <c r="M8" s="110">
        <v>137</v>
      </c>
      <c r="N8" s="110">
        <v>0</v>
      </c>
      <c r="O8" s="110">
        <v>140</v>
      </c>
      <c r="P8" s="110">
        <v>0</v>
      </c>
      <c r="Q8" s="110" t="str">
        <v xml:space="preserve">PSPA </v>
      </c>
      <c r="R8" s="110">
        <v>1000000</v>
      </c>
      <c r="S8" s="110">
        <v>1000000</v>
      </c>
      <c r="T8" s="110">
        <v>1000000</v>
      </c>
      <c r="U8" s="110">
        <v>0</v>
      </c>
      <c r="V8" s="110">
        <v>0</v>
      </c>
      <c r="W8" s="110">
        <v>1000000</v>
      </c>
      <c r="X8" s="110">
        <v>0</v>
      </c>
      <c r="Y8" s="110">
        <v>1000000</v>
      </c>
      <c r="Z8" s="110">
        <v>1000000</v>
      </c>
      <c r="AA8" s="110">
        <v>46114</v>
      </c>
      <c r="AB8" s="111" t="str">
        <v>Q2 2026</v>
      </c>
      <c r="AC8">
        <v>46185</v>
      </c>
      <c r="AD8">
        <v>0</v>
      </c>
      <c r="AE8" t="str">
        <v>Ana Damásio</v>
      </c>
      <c r="AF8" t="str">
        <v>Alexandre Costa</v>
      </c>
      <c r="AG8" t="str">
        <v>TBD</v>
      </c>
      <c r="AH8" t="str">
        <v>Rivus means contemporary comfort at the heart of Vilamoura. A five-minute cycle from the beach and the marina, this development offers open views, private terraces and pools. Ideal as a primary residence or a second home.</v>
      </c>
      <c r="AI8" t="str">
        <v>Private Pools and Rooftops, Underground Parking, Community Swimming Pool</v>
      </c>
      <c r="AJ8" t="str">
        <v>Excelente localização; Arquitetura de excelência em Vilamoura (Atelier Fragmentos); Piscina de condomínio e piscinas privativas; Pricing atrativo; Enorme Potencial de Arrendamento (Rentabilização).</v>
      </c>
      <c r="AK8" t="str">
        <v>Fragmentos</v>
      </c>
      <c r="AL8" t="str">
        <v>Rivus</v>
      </c>
    </row>
    <row r="9" spans="1:38" x14ac:dyDescent="0.3">
      <c r="A9" s="129" t="str">
        <v>Rivus</v>
      </c>
      <c r="B9" s="129" t="str">
        <v>Vilamoura</v>
      </c>
      <c r="C9" s="110" t="str">
        <v>Q</v>
      </c>
      <c r="D9" s="110" t="str">
        <v>Vilamoura, Algarve</v>
      </c>
      <c r="E9" s="110" t="str">
        <v>T2</v>
      </c>
      <c r="F9" s="110">
        <v>0</v>
      </c>
      <c r="G9" s="110">
        <v>0</v>
      </c>
      <c r="H9" s="110" t="str">
        <v/>
      </c>
      <c r="I9" s="110" t="str">
        <v/>
      </c>
      <c r="J9" s="110">
        <v>0</v>
      </c>
      <c r="K9" s="110">
        <v>0</v>
      </c>
      <c r="L9" s="110">
        <v>0</v>
      </c>
      <c r="M9" s="110">
        <v>16</v>
      </c>
      <c r="N9" s="110">
        <v>0</v>
      </c>
      <c r="O9" s="110">
        <v>105</v>
      </c>
      <c r="P9" s="110">
        <v>0</v>
      </c>
      <c r="Q9" s="110" t="str">
        <v>RESERVED</v>
      </c>
      <c r="R9" s="110">
        <v>670000</v>
      </c>
      <c r="S9" s="110">
        <v>670000</v>
      </c>
      <c r="T9" s="110">
        <v>670000</v>
      </c>
      <c r="U9" s="110">
        <v>0</v>
      </c>
      <c r="V9" s="110">
        <v>0</v>
      </c>
      <c r="W9" s="110">
        <v>670000</v>
      </c>
      <c r="X9" s="110">
        <v>0</v>
      </c>
      <c r="Y9" s="110">
        <v>670000</v>
      </c>
      <c r="Z9" s="110">
        <v>670000</v>
      </c>
      <c r="AA9" s="110">
        <v>46114</v>
      </c>
      <c r="AB9" s="111" t="str">
        <v>Q2 2026</v>
      </c>
      <c r="AC9">
        <v>46114</v>
      </c>
      <c r="AD9">
        <v>0</v>
      </c>
      <c r="AE9" t="str">
        <v>Ana Damásio</v>
      </c>
      <c r="AF9" t="str">
        <v>Alexandre Costa</v>
      </c>
      <c r="AG9" t="str">
        <v>TBD</v>
      </c>
      <c r="AH9" t="str">
        <v>Rivus means contemporary comfort at the heart of Vilamoura. A five-minute cycle from the beach and the marina, this development offers open views, private terraces and pools. Ideal as a primary residence or a second home.</v>
      </c>
      <c r="AI9" t="str">
        <v>Private Pools and Rooftops, Underground Parking, Community Swimming Pool</v>
      </c>
      <c r="AJ9" t="str">
        <v>Excelente localização; Arquitetura de excelência em Vilamoura (Atelier Fragmentos); Piscina de condomínio e piscinas privativas; Pricing atrativo; Enorme Potencial de Arrendamento (Rentabilização).</v>
      </c>
      <c r="AK9" t="str">
        <v>Fragmentos</v>
      </c>
      <c r="AL9" t="str">
        <v>Rivus</v>
      </c>
    </row>
    <row r="10" spans="1:38" x14ac:dyDescent="0.3">
      <c r="A10" s="110" t="str">
        <v>Rivus</v>
      </c>
      <c r="B10" s="110" t="str">
        <v>Vilamoura</v>
      </c>
      <c r="C10" s="110" t="str">
        <v>R</v>
      </c>
      <c r="D10" s="110" t="str">
        <v>Vilamoura, Algarve</v>
      </c>
      <c r="E10" s="110" t="str">
        <v>T3</v>
      </c>
      <c r="F10" s="110">
        <v>0</v>
      </c>
      <c r="G10" s="110">
        <v>0</v>
      </c>
      <c r="H10" s="110" t="str">
        <v/>
      </c>
      <c r="I10" s="110" t="str">
        <v>Yes</v>
      </c>
      <c r="J10" s="110">
        <v>0</v>
      </c>
      <c r="K10" s="110">
        <v>0</v>
      </c>
      <c r="L10" s="110">
        <v>0</v>
      </c>
      <c r="M10" s="110">
        <v>138</v>
      </c>
      <c r="N10" s="110">
        <v>0</v>
      </c>
      <c r="O10" s="110">
        <v>140</v>
      </c>
      <c r="P10" s="110">
        <v>0</v>
      </c>
      <c r="Q10" s="110" t="str">
        <v>RESERVED</v>
      </c>
      <c r="R10" s="110">
        <v>930000</v>
      </c>
      <c r="S10" s="110">
        <v>930000</v>
      </c>
      <c r="T10" s="110">
        <v>930000</v>
      </c>
      <c r="U10" s="110">
        <v>0</v>
      </c>
      <c r="V10" s="110">
        <v>0</v>
      </c>
      <c r="W10" s="110">
        <v>930000</v>
      </c>
      <c r="X10" s="110">
        <v>0</v>
      </c>
      <c r="Y10" s="110">
        <v>930000</v>
      </c>
      <c r="Z10" s="110">
        <v>930000</v>
      </c>
      <c r="AA10" s="110">
        <v>46114</v>
      </c>
      <c r="AB10" s="111" t="str">
        <v>Q2 2026</v>
      </c>
      <c r="AC10">
        <v>46115</v>
      </c>
      <c r="AD10">
        <v>0</v>
      </c>
      <c r="AE10" t="str">
        <v>Ana Damásio</v>
      </c>
      <c r="AF10" t="str">
        <v>Alexandre Costa</v>
      </c>
      <c r="AG10" t="str">
        <v>TBD</v>
      </c>
      <c r="AH10" t="str">
        <v>Rivus means contemporary comfort at the heart of Vilamoura. A five-minute cycle from the beach and the marina, this development offers open views, private terraces and pools. Ideal as a primary residence or a second home.</v>
      </c>
      <c r="AI10" t="str">
        <v>Private Pools and Rooftops, Underground Parking, Community Swimming Pool</v>
      </c>
      <c r="AJ10" t="str">
        <v>Excelente localização; Arquitetura de excelência em Vilamoura (Atelier Fragmentos); Piscina de condomínio e piscinas privativas; Pricing atrativo; Enorme Potencial de Arrendamento (Rentabilização).</v>
      </c>
      <c r="AK10" t="str">
        <v>Fragmentos</v>
      </c>
      <c r="AL10" t="str">
        <v>Rivus</v>
      </c>
    </row>
    <row r="11" spans="1:38" x14ac:dyDescent="0.3">
      <c r="A11" s="110" t="str">
        <v>Rivus</v>
      </c>
      <c r="B11" s="110" t="str">
        <v>Vilamoura</v>
      </c>
      <c r="C11" s="110" t="str">
        <v>T</v>
      </c>
      <c r="D11" s="110" t="str">
        <v>Vilamoura, Algarve</v>
      </c>
      <c r="E11" s="110" t="str">
        <v>T2</v>
      </c>
      <c r="F11" s="110">
        <v>0</v>
      </c>
      <c r="G11" s="110">
        <v>0</v>
      </c>
      <c r="H11" s="110" t="str">
        <v/>
      </c>
      <c r="I11" s="110" t="str">
        <v/>
      </c>
      <c r="J11" s="110">
        <v>0</v>
      </c>
      <c r="K11" s="110">
        <v>0</v>
      </c>
      <c r="L11" s="110">
        <v>0</v>
      </c>
      <c r="M11" s="110">
        <v>19</v>
      </c>
      <c r="N11" s="110">
        <v>0</v>
      </c>
      <c r="O11" s="110">
        <v>108</v>
      </c>
      <c r="P11" s="110">
        <v>0</v>
      </c>
      <c r="Q11" s="110" t="str">
        <v>RESERVED</v>
      </c>
      <c r="R11" s="110">
        <v>710000</v>
      </c>
      <c r="S11" s="110">
        <v>710000</v>
      </c>
      <c r="T11" s="110">
        <v>710000</v>
      </c>
      <c r="U11" s="110">
        <v>0</v>
      </c>
      <c r="V11" s="110">
        <v>0</v>
      </c>
      <c r="W11" s="110">
        <v>710000</v>
      </c>
      <c r="X11" s="110">
        <v>0</v>
      </c>
      <c r="Y11" s="110">
        <v>710000</v>
      </c>
      <c r="Z11" s="110">
        <v>710000</v>
      </c>
      <c r="AA11" s="110">
        <v>46114</v>
      </c>
      <c r="AB11" s="111" t="str">
        <v>Q2 2026</v>
      </c>
      <c r="AC11">
        <v>0</v>
      </c>
      <c r="AD11">
        <v>0</v>
      </c>
      <c r="AE11" t="str">
        <v>Ana Damásio</v>
      </c>
      <c r="AF11" t="str">
        <v>Alexandre Costa</v>
      </c>
      <c r="AG11" t="str">
        <v>TBD</v>
      </c>
      <c r="AH11" t="str">
        <v>Rivus means contemporary comfort at the heart of Vilamoura. A five-minute cycle from the beach and the marina, this development offers open views, private terraces and pools. Ideal as a primary residence or a second home.</v>
      </c>
      <c r="AI11" t="str">
        <v>Private Pools and Rooftops, Underground Parking, Community Swimming Pool</v>
      </c>
      <c r="AJ11" t="str">
        <v>Excelente localização; Arquitetura de excelência em Vilamoura (Atelier Fragmentos); Piscina de condomínio e piscinas privativas; Pricing atrativo; Enorme Potencial de Arrendamento (Rentabilização).</v>
      </c>
      <c r="AK11" t="str">
        <v>Fragmentos</v>
      </c>
      <c r="AL11" t="str">
        <v>Rivus</v>
      </c>
    </row>
    <row r="12" spans="1:38" x14ac:dyDescent="0.3">
      <c r="A12" s="110" t="str">
        <v>Rivus</v>
      </c>
      <c r="B12" s="110" t="str">
        <v>Vilamoura</v>
      </c>
      <c r="C12" s="110" t="str">
        <v>W</v>
      </c>
      <c r="D12" s="110" t="str">
        <v>Vilamoura, Algarve</v>
      </c>
      <c r="E12" s="110" t="str">
        <v>T2</v>
      </c>
      <c r="F12" s="110">
        <v>0</v>
      </c>
      <c r="G12" s="110">
        <v>0</v>
      </c>
      <c r="H12" s="110" t="str">
        <v/>
      </c>
      <c r="I12" s="110" t="str">
        <v/>
      </c>
      <c r="J12" s="110">
        <v>0</v>
      </c>
      <c r="K12" s="110">
        <v>0</v>
      </c>
      <c r="L12" s="110">
        <v>0</v>
      </c>
      <c r="M12" s="110">
        <v>16</v>
      </c>
      <c r="N12" s="110">
        <v>0</v>
      </c>
      <c r="O12" s="110">
        <v>105</v>
      </c>
      <c r="P12" s="110">
        <v>0</v>
      </c>
      <c r="Q12" s="110" t="str">
        <v>RESERVED</v>
      </c>
      <c r="R12" s="110">
        <v>700000</v>
      </c>
      <c r="S12" s="110">
        <v>700000</v>
      </c>
      <c r="T12" s="110">
        <v>700000</v>
      </c>
      <c r="U12" s="110">
        <v>0</v>
      </c>
      <c r="V12" s="110">
        <v>0</v>
      </c>
      <c r="W12" s="110">
        <v>700000</v>
      </c>
      <c r="X12" s="110">
        <v>0</v>
      </c>
      <c r="Y12" s="110">
        <v>700000</v>
      </c>
      <c r="Z12" s="110">
        <v>700000</v>
      </c>
      <c r="AA12" s="110">
        <v>46114</v>
      </c>
      <c r="AB12" s="111" t="str">
        <v>Q2 2026</v>
      </c>
      <c r="AC12">
        <v>46156</v>
      </c>
      <c r="AD12">
        <v>0</v>
      </c>
      <c r="AE12" t="str">
        <v>Ana Damásio</v>
      </c>
      <c r="AF12" t="str">
        <v>Alexandre Costa</v>
      </c>
      <c r="AG12" t="str">
        <v>TBD</v>
      </c>
      <c r="AH12" t="str">
        <v>Rivus means contemporary comfort at the heart of Vilamoura. A five-minute cycle from the beach and the marina, this development offers open views, private terraces and pools. Ideal as a primary residence or a second home.</v>
      </c>
      <c r="AI12" t="str">
        <v>Private Pools and Rooftops, Underground Parking, Community Swimming Pool</v>
      </c>
      <c r="AJ12" t="str">
        <v>Excelente localização; Arquitetura de excelência em Vilamoura (Atelier Fragmentos); Piscina de condomínio e piscinas privativas; Pricing atrativo; Enorme Potencial de Arrendamento (Rentabilização).</v>
      </c>
      <c r="AK12" t="str">
        <v>Fragmentos</v>
      </c>
      <c r="AL12" t="str">
        <v>Rivus</v>
      </c>
    </row>
    <row r="13" spans="1:38" x14ac:dyDescent="0.3">
      <c r="A13" s="110" t="str">
        <v>Rivus</v>
      </c>
      <c r="B13" s="110" t="str">
        <v>Vilamoura</v>
      </c>
      <c r="C13" s="110" t="str">
        <v>Z</v>
      </c>
      <c r="D13" s="110" t="str">
        <v>Vilamoura, Algarve</v>
      </c>
      <c r="E13" s="110" t="str">
        <v>T2</v>
      </c>
      <c r="F13" s="110">
        <v>0</v>
      </c>
      <c r="G13" s="110">
        <v>0</v>
      </c>
      <c r="H13" s="110" t="str">
        <v/>
      </c>
      <c r="I13" s="110" t="str">
        <v/>
      </c>
      <c r="J13" s="110">
        <v>0</v>
      </c>
      <c r="K13" s="110">
        <v>0</v>
      </c>
      <c r="L13" s="110">
        <v>0</v>
      </c>
      <c r="M13" s="110">
        <v>19</v>
      </c>
      <c r="N13" s="110">
        <v>0</v>
      </c>
      <c r="O13" s="110">
        <v>108</v>
      </c>
      <c r="P13" s="110">
        <v>0</v>
      </c>
      <c r="Q13" s="110" t="str">
        <v>PRE-RESERVED</v>
      </c>
      <c r="R13" s="110">
        <v>750000</v>
      </c>
      <c r="S13" s="110">
        <v>750000</v>
      </c>
      <c r="T13" s="110">
        <v>750000</v>
      </c>
      <c r="U13" s="110">
        <v>0</v>
      </c>
      <c r="V13" s="110">
        <v>0</v>
      </c>
      <c r="W13" s="110">
        <v>750000</v>
      </c>
      <c r="X13" s="110">
        <v>0</v>
      </c>
      <c r="Y13" s="110">
        <v>750000</v>
      </c>
      <c r="Z13" s="110">
        <v>750000</v>
      </c>
      <c r="AA13" s="110">
        <v>46114</v>
      </c>
      <c r="AB13" s="111" t="str">
        <v>Q2 2026</v>
      </c>
      <c r="AC13">
        <v>46166</v>
      </c>
      <c r="AD13">
        <v>0</v>
      </c>
      <c r="AE13" t="str">
        <v>Ana Damásio</v>
      </c>
      <c r="AF13" t="str">
        <v>Alexandre Costa</v>
      </c>
      <c r="AG13" t="str">
        <v>TBD</v>
      </c>
      <c r="AH13" t="str">
        <v>Rivus means contemporary comfort at the heart of Vilamoura. A five-minute cycle from the beach and the marina, this development offers open views, private terraces and pools. Ideal as a primary residence or a second home.</v>
      </c>
      <c r="AI13" t="str">
        <v>Private Pools and Rooftops, Underground Parking, Community Swimming Pool</v>
      </c>
      <c r="AJ13" t="str">
        <v>Excelente localização; Arquitetura de excelência em Vilamoura (Atelier Fragmentos); Piscina de condomínio e piscinas privativas; Pricing atrativo; Enorme Potencial de Arrendamento (Rentabilização).</v>
      </c>
      <c r="AK13" t="str">
        <v>Fragmentos</v>
      </c>
      <c r="AL13" t="str">
        <v>Rivus</v>
      </c>
    </row>
    <row r="14" spans="1:38" x14ac:dyDescent="0.3">
      <c r="A14" s="110" t="str">
        <v>Rivus</v>
      </c>
      <c r="B14" s="110" t="str">
        <v>Vilamoura</v>
      </c>
      <c r="C14" s="110" t="str">
        <v>L</v>
      </c>
      <c r="D14" s="110" t="str">
        <v>Vilamoura, Algarve</v>
      </c>
      <c r="E14" s="110" t="str">
        <v>T3</v>
      </c>
      <c r="F14" s="110">
        <v>0</v>
      </c>
      <c r="G14" s="110">
        <v>0</v>
      </c>
      <c r="H14" s="110" t="str">
        <v/>
      </c>
      <c r="I14" s="110" t="str">
        <v/>
      </c>
      <c r="J14" s="110">
        <v>0</v>
      </c>
      <c r="K14" s="110">
        <v>76</v>
      </c>
      <c r="L14" s="110">
        <v>0</v>
      </c>
      <c r="M14" s="110">
        <v>0</v>
      </c>
      <c r="N14" s="110">
        <v>0</v>
      </c>
      <c r="O14" s="110">
        <v>134</v>
      </c>
      <c r="P14" s="110">
        <v>0</v>
      </c>
      <c r="Q14" s="110" t="str">
        <v>RESERVED</v>
      </c>
      <c r="R14" s="110">
        <v>1090000</v>
      </c>
      <c r="S14" s="110">
        <v>1090000</v>
      </c>
      <c r="T14" s="110">
        <v>1090000</v>
      </c>
      <c r="U14" s="110">
        <v>0</v>
      </c>
      <c r="V14" s="110">
        <v>0</v>
      </c>
      <c r="W14" s="110">
        <v>1090000</v>
      </c>
      <c r="X14" s="110">
        <v>1.8348623853211E-2</v>
      </c>
      <c r="Y14" s="110">
        <v>1070000</v>
      </c>
      <c r="Z14" s="110">
        <v>1070000</v>
      </c>
      <c r="AA14" s="110">
        <v>46114</v>
      </c>
      <c r="AB14" s="111" t="str">
        <v>Q2 2026</v>
      </c>
      <c r="AC14">
        <v>0</v>
      </c>
      <c r="AD14">
        <v>0</v>
      </c>
      <c r="AE14" t="str">
        <v>Ana Damásio</v>
      </c>
      <c r="AF14" t="str">
        <v>Alexandre Costa</v>
      </c>
      <c r="AG14" t="str">
        <v>TBD</v>
      </c>
      <c r="AH14" t="str">
        <v>Rivus means contemporary comfort at the heart of Vilamoura. A five-minute cycle from the beach and the marina, this development offers open views, private terraces and pools. Ideal as a primary residence or a second home.</v>
      </c>
      <c r="AI14" t="str">
        <v>Private Pools and Rooftops, Underground Parking, Community Swimming Pool</v>
      </c>
      <c r="AJ14" t="str">
        <v>Excelente localização; Arquitetura de excelência em Vilamoura (Atelier Fragmentos); Piscina de condomínio e piscinas privativas; Pricing atrativo; Enorme Potencial de Arrendamento (Rentabilização).</v>
      </c>
      <c r="AK14" t="str">
        <v>Fragmentos</v>
      </c>
      <c r="AL14" t="str">
        <v>Rivus</v>
      </c>
    </row>
    <row r="15" spans="1:38" x14ac:dyDescent="0.3">
      <c r="A15" s="110" t="str">
        <v>Rivus</v>
      </c>
      <c r="B15" s="110" t="str">
        <v>Vilamoura</v>
      </c>
      <c r="C15" s="110" t="str">
        <v>E</v>
      </c>
      <c r="D15" s="110" t="str">
        <v>Vilamoura, Algarve</v>
      </c>
      <c r="E15" s="110" t="str">
        <v>T3</v>
      </c>
      <c r="F15" s="110">
        <v>0</v>
      </c>
      <c r="G15" s="110">
        <v>0</v>
      </c>
      <c r="H15" s="110" t="str">
        <v/>
      </c>
      <c r="I15" s="110" t="str">
        <v/>
      </c>
      <c r="J15" s="110">
        <v>0</v>
      </c>
      <c r="K15" s="110">
        <v>84</v>
      </c>
      <c r="L15" s="110">
        <v>0</v>
      </c>
      <c r="M15" s="110">
        <v>0</v>
      </c>
      <c r="N15" s="110">
        <v>0</v>
      </c>
      <c r="O15" s="110">
        <v>138</v>
      </c>
      <c r="P15" s="110">
        <v>0</v>
      </c>
      <c r="Q15" s="110" t="str">
        <v>RESERVED</v>
      </c>
      <c r="R15" s="110">
        <v>1020000</v>
      </c>
      <c r="S15" s="110">
        <v>1020000</v>
      </c>
      <c r="T15" s="110">
        <v>1020000</v>
      </c>
      <c r="U15" s="110">
        <v>0</v>
      </c>
      <c r="V15" s="110">
        <v>0</v>
      </c>
      <c r="W15" s="110">
        <v>1020000</v>
      </c>
      <c r="X15" s="110">
        <v>0.02</v>
      </c>
      <c r="Y15" s="110">
        <v>999600</v>
      </c>
      <c r="Z15" s="110">
        <v>999600</v>
      </c>
      <c r="AA15" s="110">
        <v>46114</v>
      </c>
      <c r="AB15" s="111" t="str">
        <v>Q2 2026</v>
      </c>
      <c r="AC15">
        <v>0</v>
      </c>
      <c r="AD15">
        <v>0</v>
      </c>
      <c r="AE15" t="str">
        <v>Ana Damásio</v>
      </c>
      <c r="AF15" t="str">
        <v>Alexandre Costa</v>
      </c>
      <c r="AG15" t="str">
        <v>TBD</v>
      </c>
      <c r="AH15" t="str">
        <v>Rivus means contemporary comfort at the heart of Vilamoura. A five-minute cycle from the beach and the marina, this development offers open views, private terraces and pools. Ideal as a primary residence or a second home.</v>
      </c>
      <c r="AI15" t="str">
        <v>Private Pools and Rooftops, Underground Parking, Community Swimming Pool</v>
      </c>
      <c r="AJ15" t="str">
        <v>Excelente localização; Arquitetura de excelência em Vilamoura (Atelier Fragmentos); Piscina de condomínio e piscinas privativas; Pricing atrativo; Enorme Potencial de Arrendamento (Rentabilização).</v>
      </c>
      <c r="AK15" t="str">
        <v>Fragmentos</v>
      </c>
      <c r="AL15" t="str">
        <v>Rivus</v>
      </c>
    </row>
    <row r="16" spans="1:38" x14ac:dyDescent="0.3">
      <c r="A16" s="110" t="str">
        <v>Rivus</v>
      </c>
      <c r="B16" s="110" t="str">
        <v>Vilamoura</v>
      </c>
      <c r="C16" s="110" t="str">
        <v>F</v>
      </c>
      <c r="D16" s="110" t="str">
        <v>Vilamoura, Algarve</v>
      </c>
      <c r="E16" s="110" t="str">
        <v>T2</v>
      </c>
      <c r="F16" s="110">
        <v>0</v>
      </c>
      <c r="G16" s="110">
        <v>0</v>
      </c>
      <c r="H16" s="110" t="str">
        <v/>
      </c>
      <c r="I16" s="110" t="str">
        <v/>
      </c>
      <c r="J16" s="110">
        <v>0</v>
      </c>
      <c r="K16" s="110">
        <v>78</v>
      </c>
      <c r="L16" s="110">
        <v>0</v>
      </c>
      <c r="M16" s="110">
        <v>0</v>
      </c>
      <c r="N16" s="110">
        <v>0</v>
      </c>
      <c r="O16" s="110">
        <v>105</v>
      </c>
      <c r="P16" s="110">
        <v>0</v>
      </c>
      <c r="Q16" s="110" t="str">
        <v>RESERVED</v>
      </c>
      <c r="R16" s="110">
        <v>760000</v>
      </c>
      <c r="S16" s="110">
        <v>760000</v>
      </c>
      <c r="T16" s="110">
        <v>760000</v>
      </c>
      <c r="U16" s="110">
        <v>0</v>
      </c>
      <c r="V16" s="110">
        <v>0</v>
      </c>
      <c r="W16" s="110">
        <v>760000</v>
      </c>
      <c r="X16" s="110">
        <v>0.02</v>
      </c>
      <c r="Y16" s="110">
        <v>744800</v>
      </c>
      <c r="Z16" s="110">
        <v>744800</v>
      </c>
      <c r="AA16" s="110">
        <v>46114</v>
      </c>
      <c r="AB16" s="111" t="str">
        <v>Q2 2026</v>
      </c>
      <c r="AC16">
        <v>0</v>
      </c>
      <c r="AD16">
        <v>0</v>
      </c>
      <c r="AE16" t="str">
        <v>Ana Damásio</v>
      </c>
      <c r="AF16" t="str">
        <v>Alexandre Costa</v>
      </c>
      <c r="AG16" t="str">
        <v>TBD</v>
      </c>
      <c r="AH16" t="str">
        <v>Rivus means contemporary comfort at the heart of Vilamoura. A five-minute cycle from the beach and the marina, this development offers open views, private terraces and pools. Ideal as a primary residence or a second home.</v>
      </c>
      <c r="AI16" t="str">
        <v>Private Pools and Rooftops, Underground Parking, Community Swimming Pool</v>
      </c>
      <c r="AJ16" t="str">
        <v>Excelente localização; Arquitetura de excelência em Vilamoura (Atelier Fragmentos); Piscina de condomínio e piscinas privativas; Pricing atrativo; Enorme Potencial de Arrendamento (Rentabilização).</v>
      </c>
      <c r="AK16" t="str">
        <v>Fragmentos</v>
      </c>
      <c r="AL16" t="str">
        <v>Rivus</v>
      </c>
    </row>
    <row r="17" spans="1:38" x14ac:dyDescent="0.3">
      <c r="A17" s="110" t="str">
        <v>Rivus</v>
      </c>
      <c r="B17" s="110" t="str">
        <v>Vilamoura</v>
      </c>
      <c r="C17" s="110" t="str">
        <v>V</v>
      </c>
      <c r="D17" s="110" t="str">
        <v>Vilamoura, Algarve</v>
      </c>
      <c r="E17" s="110" t="str">
        <v>T3</v>
      </c>
      <c r="F17" s="110">
        <v>0</v>
      </c>
      <c r="G17" s="110">
        <v>0</v>
      </c>
      <c r="H17" s="110" t="str">
        <v/>
      </c>
      <c r="I17" s="110" t="str">
        <v/>
      </c>
      <c r="J17" s="110">
        <v>0</v>
      </c>
      <c r="K17" s="110">
        <v>0</v>
      </c>
      <c r="L17" s="110">
        <v>0</v>
      </c>
      <c r="M17" s="110">
        <v>18</v>
      </c>
      <c r="N17" s="110">
        <v>0</v>
      </c>
      <c r="O17" s="110">
        <v>137</v>
      </c>
      <c r="P17" s="110">
        <v>0</v>
      </c>
      <c r="Q17" s="110" t="str">
        <v>RESERVED</v>
      </c>
      <c r="R17" s="110">
        <v>800000</v>
      </c>
      <c r="S17" s="110">
        <v>800000</v>
      </c>
      <c r="T17" s="110">
        <v>800000</v>
      </c>
      <c r="U17" s="110">
        <v>0</v>
      </c>
      <c r="V17" s="110">
        <v>0</v>
      </c>
      <c r="W17" s="110">
        <v>800000</v>
      </c>
      <c r="X17" s="110">
        <v>0.02</v>
      </c>
      <c r="Y17" s="110">
        <v>784000</v>
      </c>
      <c r="Z17" s="110">
        <v>784000</v>
      </c>
      <c r="AA17" s="110">
        <v>46114</v>
      </c>
      <c r="AB17" s="111" t="str">
        <v>Q2 2026</v>
      </c>
      <c r="AC17">
        <v>0</v>
      </c>
      <c r="AD17">
        <v>0</v>
      </c>
      <c r="AE17" t="str">
        <v>Ana Damásio</v>
      </c>
      <c r="AF17" t="str">
        <v>Alexandre Costa</v>
      </c>
      <c r="AG17" t="str">
        <v>TBD</v>
      </c>
      <c r="AH17" t="str">
        <v>Rivus means contemporary comfort at the heart of Vilamoura. A five-minute cycle from the beach and the marina, this development offers open views, private terraces and pools. Ideal as a primary residence or a second home.</v>
      </c>
      <c r="AI17" t="str">
        <v>Private Pools and Rooftops, Underground Parking, Community Swimming Pool</v>
      </c>
      <c r="AJ17" t="str">
        <v>Excelente localização; Arquitetura de excelência em Vilamoura (Atelier Fragmentos); Piscina de condomínio e piscinas privativas; Pricing atrativo; Enorme Potencial de Arrendamento (Rentabilização).</v>
      </c>
      <c r="AK17" t="str">
        <v>Fragmentos</v>
      </c>
      <c r="AL17" t="str">
        <v>Rivus</v>
      </c>
    </row>
    <row r="18" spans="1:38" x14ac:dyDescent="0.3">
      <c r="A18" s="110" t="str">
        <v>Rivus</v>
      </c>
      <c r="B18" s="110" t="str">
        <v>Vilamoura</v>
      </c>
      <c r="C18" s="110" t="str">
        <v>D</v>
      </c>
      <c r="D18" s="110" t="str">
        <v>Vilamoura, Algarve</v>
      </c>
      <c r="E18" s="110" t="str">
        <v>T3</v>
      </c>
      <c r="F18" s="110">
        <v>0</v>
      </c>
      <c r="G18" s="110">
        <v>0</v>
      </c>
      <c r="H18" s="110" t="str">
        <v/>
      </c>
      <c r="I18" s="110" t="str">
        <v/>
      </c>
      <c r="J18" s="110">
        <v>0</v>
      </c>
      <c r="K18" s="110">
        <v>102</v>
      </c>
      <c r="L18" s="110">
        <v>0</v>
      </c>
      <c r="M18" s="110">
        <v>0</v>
      </c>
      <c r="N18" s="110">
        <v>0</v>
      </c>
      <c r="O18" s="110">
        <v>139</v>
      </c>
      <c r="P18" s="110">
        <v>0</v>
      </c>
      <c r="Q18" s="110" t="str">
        <v xml:space="preserve">PSPA </v>
      </c>
      <c r="R18" s="110">
        <v>920000</v>
      </c>
      <c r="S18" s="110">
        <v>920000</v>
      </c>
      <c r="T18" s="110">
        <v>920000</v>
      </c>
      <c r="U18" s="110">
        <v>0</v>
      </c>
      <c r="V18" s="110">
        <v>0</v>
      </c>
      <c r="W18" s="110">
        <v>920000</v>
      </c>
      <c r="X18" s="110">
        <v>2.1739130434782601E-2</v>
      </c>
      <c r="Y18" s="110">
        <v>900000</v>
      </c>
      <c r="Z18" s="110">
        <v>900000</v>
      </c>
      <c r="AA18" s="110">
        <v>46114</v>
      </c>
      <c r="AB18" s="111" t="str">
        <v>Q2 2026</v>
      </c>
      <c r="AC18">
        <v>46154</v>
      </c>
      <c r="AD18">
        <v>0</v>
      </c>
      <c r="AE18" t="str">
        <v>Ana Damásio</v>
      </c>
      <c r="AF18" t="str">
        <v>Alexandre Costa</v>
      </c>
      <c r="AG18" t="str">
        <v>TBD</v>
      </c>
      <c r="AH18" t="str">
        <v>Rivus means contemporary comfort at the heart of Vilamoura. A five-minute cycle from the beach and the marina, this development offers open views, private terraces and pools. Ideal as a primary residence or a second home.</v>
      </c>
      <c r="AI18" t="str">
        <v>Private Pools and Rooftops, Underground Parking, Community Swimming Pool</v>
      </c>
      <c r="AJ18" t="str">
        <v>Excelente localização; Arquitetura de excelência em Vilamoura (Atelier Fragmentos); Piscina de condomínio e piscinas privativas; Pricing atrativo; Enorme Potencial de Arrendamento (Rentabilização).</v>
      </c>
      <c r="AK18" t="str">
        <v>Fragmentos</v>
      </c>
      <c r="AL18" t="str">
        <v>Rivus</v>
      </c>
    </row>
    <row r="19" spans="1:38" x14ac:dyDescent="0.3">
      <c r="A19" s="110" t="str">
        <v>Rivus</v>
      </c>
      <c r="B19" s="110" t="str">
        <v>Vilamoura</v>
      </c>
      <c r="C19" s="110" t="str">
        <v>AD</v>
      </c>
      <c r="D19" s="110" t="str">
        <v>Vilamoura, Algarve</v>
      </c>
      <c r="E19" s="110" t="str">
        <v>T3</v>
      </c>
      <c r="F19" s="110">
        <v>0</v>
      </c>
      <c r="G19" s="110">
        <v>0</v>
      </c>
      <c r="H19" s="110" t="str">
        <v/>
      </c>
      <c r="I19" s="110" t="str">
        <v>Yes</v>
      </c>
      <c r="J19" s="110">
        <v>0</v>
      </c>
      <c r="K19" s="110">
        <v>0</v>
      </c>
      <c r="L19" s="110">
        <v>0</v>
      </c>
      <c r="M19" s="110">
        <v>174</v>
      </c>
      <c r="N19" s="110">
        <v>0</v>
      </c>
      <c r="O19" s="110">
        <v>136</v>
      </c>
      <c r="P19" s="110">
        <v>0</v>
      </c>
      <c r="Q19" s="110" t="str">
        <v>RESERVED</v>
      </c>
      <c r="R19" s="110">
        <v>1040000</v>
      </c>
      <c r="S19" s="110">
        <v>1040000</v>
      </c>
      <c r="T19" s="110">
        <v>1040000</v>
      </c>
      <c r="U19" s="110">
        <v>0</v>
      </c>
      <c r="V19" s="110">
        <v>0</v>
      </c>
      <c r="W19" s="110">
        <v>1040000</v>
      </c>
      <c r="X19" s="110">
        <v>2.5000000000000001E-2</v>
      </c>
      <c r="Y19" s="110">
        <v>1014000</v>
      </c>
      <c r="Z19" s="110">
        <v>1014000</v>
      </c>
      <c r="AA19" s="110">
        <v>46114</v>
      </c>
      <c r="AB19" s="111" t="str">
        <v>Q2 2026</v>
      </c>
      <c r="AC19">
        <v>46171</v>
      </c>
      <c r="AD19">
        <v>0</v>
      </c>
      <c r="AE19" t="str">
        <v>Ana Damásio</v>
      </c>
      <c r="AF19" t="str">
        <v>Alexandre Costa</v>
      </c>
      <c r="AG19" t="str">
        <v>TBD</v>
      </c>
      <c r="AH19" t="str">
        <v>Rivus means contemporary comfort at the heart of Vilamoura. A five-minute cycle from the beach and the marina, this development offers open views, private terraces and pools. Ideal as a primary residence or a second home.</v>
      </c>
      <c r="AI19" t="str">
        <v>Private Pools and Rooftops, Underground Parking, Community Swimming Pool</v>
      </c>
      <c r="AJ19" t="str">
        <v>Excelente localização; Arquitetura de excelência em Vilamoura (Atelier Fragmentos); Piscina de condomínio e piscinas privativas; Pricing atrativo; Enorme Potencial de Arrendamento (Rentabilização).</v>
      </c>
      <c r="AK19" t="str">
        <v>Fragmentos</v>
      </c>
      <c r="AL19" t="str">
        <v>Rivus</v>
      </c>
    </row>
    <row r="20" spans="1:38" x14ac:dyDescent="0.3">
      <c r="A20" s="110" t="str">
        <v>Rivus</v>
      </c>
      <c r="B20" s="110" t="str">
        <v>Vilamoura</v>
      </c>
      <c r="C20" s="110" t="str">
        <v>AI</v>
      </c>
      <c r="D20" s="110" t="str">
        <v>Vilamoura, Algarve</v>
      </c>
      <c r="E20" s="110" t="str">
        <v>T2</v>
      </c>
      <c r="F20" s="110">
        <v>0</v>
      </c>
      <c r="G20" s="110">
        <v>0</v>
      </c>
      <c r="H20" s="110" t="str">
        <v/>
      </c>
      <c r="I20" s="110" t="str">
        <v/>
      </c>
      <c r="J20" s="110">
        <v>0</v>
      </c>
      <c r="K20" s="110">
        <v>0</v>
      </c>
      <c r="L20" s="110">
        <v>0</v>
      </c>
      <c r="M20" s="110">
        <v>18</v>
      </c>
      <c r="N20" s="110">
        <v>0</v>
      </c>
      <c r="O20" s="110">
        <v>105</v>
      </c>
      <c r="P20" s="110">
        <v>0</v>
      </c>
      <c r="Q20" s="110" t="str">
        <v>RESERVED</v>
      </c>
      <c r="R20" s="110">
        <v>750000</v>
      </c>
      <c r="S20" s="110">
        <v>750000</v>
      </c>
      <c r="T20" s="110">
        <v>750000</v>
      </c>
      <c r="U20" s="110">
        <v>0</v>
      </c>
      <c r="V20" s="110">
        <v>0</v>
      </c>
      <c r="W20" s="110">
        <v>750000</v>
      </c>
      <c r="X20" s="110">
        <v>2.5000000000000001E-2</v>
      </c>
      <c r="Y20" s="110">
        <v>731250</v>
      </c>
      <c r="Z20" s="110">
        <v>731250</v>
      </c>
      <c r="AA20" s="110">
        <v>46114</v>
      </c>
      <c r="AB20" s="111" t="str">
        <v>Q2 2026</v>
      </c>
      <c r="AC20">
        <v>46114</v>
      </c>
      <c r="AD20">
        <v>0</v>
      </c>
      <c r="AE20" t="str">
        <v>Ana Damásio</v>
      </c>
      <c r="AF20" t="str">
        <v>Alexandre Costa</v>
      </c>
      <c r="AG20" t="str">
        <v>TBD</v>
      </c>
      <c r="AH20" t="str">
        <v>Rivus means contemporary comfort at the heart of Vilamoura. A five-minute cycle from the beach and the marina, this development offers open views, private terraces and pools. Ideal as a primary residence or a second home.</v>
      </c>
      <c r="AI20" t="str">
        <v>Private Pools and Rooftops, Underground Parking, Community Swimming Pool</v>
      </c>
      <c r="AJ20" t="str">
        <v>Excelente localização; Arquitetura de excelência em Vilamoura (Atelier Fragmentos); Piscina de condomínio e piscinas privativas; Pricing atrativo; Enorme Potencial de Arrendamento (Rentabilização).</v>
      </c>
      <c r="AK20" t="str">
        <v>Fragmentos</v>
      </c>
      <c r="AL20" t="str">
        <v>Rivus</v>
      </c>
    </row>
    <row r="21" spans="1:38" x14ac:dyDescent="0.3">
      <c r="A21" s="110" t="str">
        <v>Rivus</v>
      </c>
      <c r="B21" s="110" t="str">
        <v>Vilamoura</v>
      </c>
      <c r="C21" s="110" t="str">
        <v>P</v>
      </c>
      <c r="D21" s="110" t="str">
        <v>Vilamoura, Algarve</v>
      </c>
      <c r="E21" s="110" t="str">
        <v>T3</v>
      </c>
      <c r="F21" s="110">
        <v>0</v>
      </c>
      <c r="G21" s="110">
        <v>0</v>
      </c>
      <c r="H21" s="110" t="str">
        <v/>
      </c>
      <c r="I21" s="110" t="str">
        <v/>
      </c>
      <c r="J21" s="110">
        <v>0</v>
      </c>
      <c r="K21" s="110">
        <v>0</v>
      </c>
      <c r="L21" s="110">
        <v>0</v>
      </c>
      <c r="M21" s="110">
        <v>18</v>
      </c>
      <c r="N21" s="110">
        <v>0</v>
      </c>
      <c r="O21" s="110">
        <v>137</v>
      </c>
      <c r="P21" s="110">
        <v>0</v>
      </c>
      <c r="Q21" s="110" t="str">
        <v>RESERVED</v>
      </c>
      <c r="R21" s="110">
        <v>780000</v>
      </c>
      <c r="S21" s="110">
        <v>780000</v>
      </c>
      <c r="T21" s="110">
        <v>780000</v>
      </c>
      <c r="U21" s="110">
        <v>0</v>
      </c>
      <c r="V21" s="110">
        <v>0</v>
      </c>
      <c r="W21" s="110">
        <v>780000</v>
      </c>
      <c r="X21" s="110">
        <v>2.5000000000000001E-2</v>
      </c>
      <c r="Y21" s="110">
        <v>760500</v>
      </c>
      <c r="Z21" s="110">
        <v>760500</v>
      </c>
      <c r="AA21" s="110">
        <v>46114</v>
      </c>
      <c r="AB21" s="111" t="str">
        <v>Q2 2026</v>
      </c>
      <c r="AC21">
        <v>46114</v>
      </c>
      <c r="AD21">
        <v>0</v>
      </c>
      <c r="AE21" t="str">
        <v>Ana Damásio</v>
      </c>
      <c r="AF21" t="str">
        <v>Alexandre Costa</v>
      </c>
      <c r="AG21" t="str">
        <v>TBD</v>
      </c>
      <c r="AH21" t="str">
        <v>Rivus means contemporary comfort at the heart of Vilamoura. A five-minute cycle from the beach and the marina, this development offers open views, private terraces and pools. Ideal as a primary residence or a second home.</v>
      </c>
      <c r="AI21" t="str">
        <v>Private Pools and Rooftops, Underground Parking, Community Swimming Pool</v>
      </c>
      <c r="AJ21" t="str">
        <v>Excelente localização; Arquitetura de excelência em Vilamoura (Atelier Fragmentos); Piscina de condomínio e piscinas privativas; Pricing atrativo; Enorme Potencial de Arrendamento (Rentabilização).</v>
      </c>
      <c r="AK21" t="str">
        <v>Fragmentos</v>
      </c>
      <c r="AL21" t="str">
        <v>Rivus</v>
      </c>
    </row>
    <row r="22" spans="1:38" x14ac:dyDescent="0.3">
      <c r="A22" s="110" t="str">
        <v>Rivus</v>
      </c>
      <c r="B22" s="110" t="str">
        <v>Vilamoura</v>
      </c>
      <c r="C22" s="110" t="str">
        <v>S</v>
      </c>
      <c r="D22" s="110" t="str">
        <v>Vilamoura, Algarve</v>
      </c>
      <c r="E22" s="110" t="str">
        <v>T2</v>
      </c>
      <c r="F22" s="110">
        <v>0</v>
      </c>
      <c r="G22" s="110">
        <v>0</v>
      </c>
      <c r="H22" s="110" t="str">
        <v/>
      </c>
      <c r="I22" s="110" t="str">
        <v/>
      </c>
      <c r="J22" s="110">
        <v>0</v>
      </c>
      <c r="K22" s="110">
        <v>0</v>
      </c>
      <c r="L22" s="110">
        <v>0</v>
      </c>
      <c r="M22" s="110">
        <v>16</v>
      </c>
      <c r="N22" s="110">
        <v>0</v>
      </c>
      <c r="O22" s="110">
        <v>107</v>
      </c>
      <c r="P22" s="110">
        <v>0</v>
      </c>
      <c r="Q22" s="110" t="str">
        <v>RESERVED</v>
      </c>
      <c r="R22" s="110">
        <v>670000</v>
      </c>
      <c r="S22" s="110">
        <v>670000</v>
      </c>
      <c r="T22" s="110">
        <v>670000</v>
      </c>
      <c r="U22" s="110">
        <v>0</v>
      </c>
      <c r="V22" s="110">
        <v>0</v>
      </c>
      <c r="W22" s="110">
        <v>670000</v>
      </c>
      <c r="X22" s="110">
        <v>2.5000000000000001E-2</v>
      </c>
      <c r="Y22" s="110">
        <v>653250</v>
      </c>
      <c r="Z22" s="110">
        <v>653250</v>
      </c>
      <c r="AA22" s="110">
        <v>46114</v>
      </c>
      <c r="AB22" s="111" t="str">
        <v>Q2 2026</v>
      </c>
      <c r="AC22">
        <v>46114</v>
      </c>
      <c r="AD22">
        <v>0</v>
      </c>
      <c r="AE22" t="str">
        <v>Ana Damásio</v>
      </c>
      <c r="AF22" t="str">
        <v>Alexandre Costa</v>
      </c>
      <c r="AG22" t="str">
        <v>TBD</v>
      </c>
      <c r="AH22" t="str">
        <v>Rivus means contemporary comfort at the heart of Vilamoura. A five-minute cycle from the beach and the marina, this development offers open views, private terraces and pools. Ideal as a primary residence or a second home.</v>
      </c>
      <c r="AI22" t="str">
        <v>Private Pools and Rooftops, Underground Parking, Community Swimming Pool</v>
      </c>
      <c r="AJ22" t="str">
        <v>Excelente localização; Arquitetura de excelência em Vilamoura (Atelier Fragmentos); Piscina de condomínio e piscinas privativas; Pricing atrativo; Enorme Potencial de Arrendamento (Rentabilização).</v>
      </c>
      <c r="AK22" t="str">
        <v>Fragmentos</v>
      </c>
      <c r="AL22" t="str">
        <v>Rivus</v>
      </c>
    </row>
    <row r="23" spans="1:38" x14ac:dyDescent="0.3">
      <c r="A23" s="110" t="str">
        <v>Rivus</v>
      </c>
      <c r="B23" s="110" t="str">
        <v>Vilamoura</v>
      </c>
      <c r="C23" s="110" t="str">
        <v>AE</v>
      </c>
      <c r="D23" s="110" t="str">
        <v>Vilamoura, Algarve</v>
      </c>
      <c r="E23" s="110" t="str">
        <v>T4 Duplex</v>
      </c>
      <c r="F23" s="110">
        <v>0</v>
      </c>
      <c r="G23" s="110">
        <v>0</v>
      </c>
      <c r="H23" s="110" t="str">
        <v/>
      </c>
      <c r="I23" s="110" t="str">
        <v>Yes</v>
      </c>
      <c r="J23" s="110">
        <v>0</v>
      </c>
      <c r="K23" s="110">
        <v>0</v>
      </c>
      <c r="L23" s="110">
        <v>0</v>
      </c>
      <c r="M23" s="110">
        <v>145</v>
      </c>
      <c r="N23" s="110">
        <v>0</v>
      </c>
      <c r="O23" s="110">
        <v>208</v>
      </c>
      <c r="P23" s="110">
        <v>0</v>
      </c>
      <c r="Q23" s="110" t="str">
        <v xml:space="preserve">PSPA </v>
      </c>
      <c r="R23" s="110">
        <v>1280000</v>
      </c>
      <c r="S23" s="110">
        <v>1280000</v>
      </c>
      <c r="T23" s="110">
        <v>1280000</v>
      </c>
      <c r="U23" s="110">
        <v>0</v>
      </c>
      <c r="V23" s="110">
        <v>0</v>
      </c>
      <c r="W23" s="110">
        <v>1280000</v>
      </c>
      <c r="X23" s="110">
        <v>2.5000000000000001E-2</v>
      </c>
      <c r="Y23" s="110">
        <v>1248000</v>
      </c>
      <c r="Z23" s="110">
        <v>1248000</v>
      </c>
      <c r="AA23" s="110">
        <v>46114</v>
      </c>
      <c r="AB23" s="111" t="str">
        <v>Q2 2026</v>
      </c>
      <c r="AC23">
        <v>46188</v>
      </c>
      <c r="AD23">
        <v>0</v>
      </c>
      <c r="AE23" t="str">
        <v>Ana Damásio</v>
      </c>
      <c r="AF23" t="str">
        <v>Alexandre Costa</v>
      </c>
      <c r="AG23" t="str">
        <v>TBD</v>
      </c>
      <c r="AH23" t="str">
        <v>Rivus means contemporary comfort at the heart of Vilamoura. A five-minute cycle from the beach and the marina, this development offers open views, private terraces and pools. Ideal as a primary residence or a second home.</v>
      </c>
      <c r="AI23" t="str">
        <v>Private Pools and Rooftops, Underground Parking, Community Swimming Pool</v>
      </c>
      <c r="AJ23" t="str">
        <v>Excelente localização; Arquitetura de excelência em Vilamoura (Atelier Fragmentos); Piscina de condomínio e piscinas privativas; Pricing atrativo; Enorme Potencial de Arrendamento (Rentabilização).</v>
      </c>
      <c r="AK23" t="str">
        <v>Fragmentos</v>
      </c>
      <c r="AL23" t="str">
        <v>Rivus</v>
      </c>
    </row>
    <row r="24" spans="1:38" x14ac:dyDescent="0.3">
      <c r="A24" s="110" t="str">
        <v>Rivus</v>
      </c>
      <c r="B24" s="110" t="str">
        <v>Vilamoura</v>
      </c>
      <c r="C24" s="110" t="str">
        <v>AH</v>
      </c>
      <c r="D24" s="110" t="str">
        <v>Vilamoura, Algarve</v>
      </c>
      <c r="E24" s="110" t="str">
        <v>T3</v>
      </c>
      <c r="F24" s="110">
        <v>0</v>
      </c>
      <c r="G24" s="110">
        <v>0</v>
      </c>
      <c r="H24" s="110" t="str">
        <v/>
      </c>
      <c r="I24" s="110" t="str">
        <v/>
      </c>
      <c r="J24" s="110">
        <v>0</v>
      </c>
      <c r="K24" s="110">
        <v>0</v>
      </c>
      <c r="L24" s="110">
        <v>0</v>
      </c>
      <c r="M24" s="110">
        <v>13</v>
      </c>
      <c r="N24" s="110">
        <v>0</v>
      </c>
      <c r="O24" s="110">
        <v>137</v>
      </c>
      <c r="P24" s="110">
        <v>0</v>
      </c>
      <c r="Q24" s="110" t="str">
        <v xml:space="preserve">PSPA </v>
      </c>
      <c r="R24" s="110">
        <v>860000</v>
      </c>
      <c r="S24" s="110">
        <v>860000</v>
      </c>
      <c r="T24" s="110">
        <v>860000</v>
      </c>
      <c r="U24" s="110">
        <v>0</v>
      </c>
      <c r="V24" s="110">
        <v>0</v>
      </c>
      <c r="W24" s="110">
        <v>860000</v>
      </c>
      <c r="X24" s="110">
        <v>2.5000000000000001E-2</v>
      </c>
      <c r="Y24" s="110">
        <v>838500</v>
      </c>
      <c r="Z24" s="110">
        <v>838500</v>
      </c>
      <c r="AA24" s="110">
        <v>46114</v>
      </c>
      <c r="AB24" s="111" t="str">
        <v>Q2 2026</v>
      </c>
      <c r="AC24">
        <v>46174</v>
      </c>
      <c r="AD24">
        <v>0</v>
      </c>
      <c r="AE24" t="str">
        <v>Ana Damásio</v>
      </c>
      <c r="AF24" t="str">
        <v>Alexandre Costa</v>
      </c>
      <c r="AG24" t="str">
        <v>TBD</v>
      </c>
      <c r="AH24" t="str">
        <v>Rivus means contemporary comfort at the heart of Vilamoura. A five-minute cycle from the beach and the marina, this development offers open views, private terraces and pools. Ideal as a primary residence or a second home.</v>
      </c>
      <c r="AI24" t="str">
        <v>Private Pools and Rooftops, Underground Parking, Community Swimming Pool</v>
      </c>
      <c r="AJ24" t="str">
        <v>Excelente localização; Arquitetura de excelência em Vilamoura (Atelier Fragmentos); Piscina de condomínio e piscinas privativas; Pricing atrativo; Enorme Potencial de Arrendamento (Rentabilização).</v>
      </c>
      <c r="AK24" t="str">
        <v>Fragmentos</v>
      </c>
      <c r="AL24" t="str">
        <v>Rivus</v>
      </c>
    </row>
    <row r="25" spans="1:38" x14ac:dyDescent="0.3">
      <c r="A25" s="110" t="str">
        <v>Rivus</v>
      </c>
      <c r="B25" s="110" t="str">
        <v>Vilamoura</v>
      </c>
      <c r="C25" s="110" t="str">
        <v>AC</v>
      </c>
      <c r="D25" s="110" t="str">
        <v>Vilamoura, Algarve</v>
      </c>
      <c r="E25" s="110" t="str">
        <v>T2</v>
      </c>
      <c r="F25" s="110">
        <v>0</v>
      </c>
      <c r="G25" s="110">
        <v>0</v>
      </c>
      <c r="H25" s="110" t="str">
        <v/>
      </c>
      <c r="I25" s="110" t="str">
        <v/>
      </c>
      <c r="J25" s="110">
        <v>0</v>
      </c>
      <c r="K25" s="110">
        <v>0</v>
      </c>
      <c r="L25" s="110">
        <v>0</v>
      </c>
      <c r="M25" s="110">
        <v>20</v>
      </c>
      <c r="N25" s="110">
        <v>0</v>
      </c>
      <c r="O25" s="110">
        <v>105</v>
      </c>
      <c r="P25" s="110">
        <v>0</v>
      </c>
      <c r="Q25" s="110" t="str">
        <v>RESERVED</v>
      </c>
      <c r="R25" s="110">
        <v>750000</v>
      </c>
      <c r="S25" s="110">
        <v>750000</v>
      </c>
      <c r="T25" s="110">
        <v>750000</v>
      </c>
      <c r="U25" s="110">
        <v>0</v>
      </c>
      <c r="V25" s="110">
        <v>0</v>
      </c>
      <c r="W25" s="110">
        <v>750000</v>
      </c>
      <c r="X25" s="110">
        <v>2.6666666666666599E-2</v>
      </c>
      <c r="Y25" s="110">
        <v>730000</v>
      </c>
      <c r="Z25" s="110">
        <v>730000</v>
      </c>
      <c r="AA25" s="110">
        <v>46114</v>
      </c>
      <c r="AB25" s="111" t="str">
        <v>Q2 2026</v>
      </c>
      <c r="AC25">
        <v>0</v>
      </c>
      <c r="AD25">
        <v>0</v>
      </c>
      <c r="AE25" t="str">
        <v>Ana Damásio</v>
      </c>
      <c r="AF25" t="str">
        <v>Alexandre Costa</v>
      </c>
      <c r="AG25" t="str">
        <v>TBD</v>
      </c>
      <c r="AH25" t="str">
        <v>Rivus means contemporary comfort at the heart of Vilamoura. A five-minute cycle from the beach and the marina, this development offers open views, private terraces and pools. Ideal as a primary residence or a second home.</v>
      </c>
      <c r="AI25" t="str">
        <v>Private Pools and Rooftops, Underground Parking, Community Swimming Pool</v>
      </c>
      <c r="AJ25" t="str">
        <v>Excelente localização; Arquitetura de excelência em Vilamoura (Atelier Fragmentos); Piscina de condomínio e piscinas privativas; Pricing atrativo; Enorme Potencial de Arrendamento (Rentabilização).</v>
      </c>
      <c r="AK25" t="str">
        <v>Fragmentos</v>
      </c>
      <c r="AL25" t="str">
        <v>Rivus</v>
      </c>
    </row>
    <row r="26" spans="1:38" x14ac:dyDescent="0.3">
      <c r="A26" s="110" t="str">
        <v>Rivus</v>
      </c>
      <c r="B26" s="110" t="str">
        <v>Vilamoura</v>
      </c>
      <c r="C26" s="110" t="str">
        <v>A</v>
      </c>
      <c r="D26" s="110" t="str">
        <v>Vilamoura, Algarve</v>
      </c>
      <c r="E26" s="110" t="str">
        <v>T2</v>
      </c>
      <c r="F26" s="110">
        <v>0</v>
      </c>
      <c r="G26" s="110">
        <v>0</v>
      </c>
      <c r="H26" s="110" t="str">
        <v/>
      </c>
      <c r="I26" s="110" t="str">
        <v/>
      </c>
      <c r="J26" s="110">
        <v>0</v>
      </c>
      <c r="K26" s="110">
        <v>163</v>
      </c>
      <c r="L26" s="110">
        <v>0</v>
      </c>
      <c r="M26" s="110">
        <v>0</v>
      </c>
      <c r="N26" s="110">
        <v>0</v>
      </c>
      <c r="O26" s="110">
        <v>111</v>
      </c>
      <c r="P26" s="110">
        <v>0</v>
      </c>
      <c r="Q26" s="110" t="str">
        <v>AVAILABLE</v>
      </c>
      <c r="R26" s="110">
        <v>840000</v>
      </c>
      <c r="S26" s="110">
        <v>840000</v>
      </c>
      <c r="T26" s="110">
        <v>840000</v>
      </c>
      <c r="U26" s="110">
        <v>0</v>
      </c>
      <c r="V26" s="110">
        <v>0</v>
      </c>
      <c r="W26" s="110">
        <v>840000</v>
      </c>
      <c r="X26" s="110">
        <v>0</v>
      </c>
      <c r="Y26" s="110">
        <v>820000</v>
      </c>
      <c r="Z26" s="110">
        <v>820000</v>
      </c>
      <c r="AA26" s="110">
        <v>46114</v>
      </c>
      <c r="AB26" s="111" t="str">
        <v>Q2 2026</v>
      </c>
      <c r="AC26">
        <v>45630</v>
      </c>
      <c r="AD26">
        <v>0</v>
      </c>
      <c r="AE26" t="str">
        <v>Ana Damásio</v>
      </c>
      <c r="AF26" t="str">
        <v>Alexandre Costa</v>
      </c>
      <c r="AG26" t="str">
        <v>TBD</v>
      </c>
      <c r="AH26" t="str">
        <v>Rivus means contemporary comfort at the heart of Vilamoura. A five-minute cycle from the beach and the marina, this development offers open views, private terraces and pools. Ideal as a primary residence or a second home.</v>
      </c>
      <c r="AI26" t="str">
        <v>Private Pools and Rooftops, Underground Parking, Community Swimming Pool</v>
      </c>
      <c r="AJ26" t="str">
        <v>Excelente localização; Arquitetura de excelência em Vilamoura (Atelier Fragmentos); Piscina de condomínio e piscinas privativas; Pricing atrativo; Enorme Potencial de Arrendamento (Rentabilização).</v>
      </c>
      <c r="AK26" t="str">
        <v>Fragmentos</v>
      </c>
      <c r="AL26" t="str">
        <v>Rivus</v>
      </c>
    </row>
    <row r="27" spans="1:38" x14ac:dyDescent="0.3">
      <c r="A27" s="110" t="str">
        <v>Rivus</v>
      </c>
      <c r="B27" s="110" t="str">
        <v>Vilamoura</v>
      </c>
      <c r="C27" s="110" t="str">
        <v>AA</v>
      </c>
      <c r="D27" s="110" t="str">
        <v>Vilamoura, Algarve</v>
      </c>
      <c r="E27" s="110" t="str">
        <v>T2</v>
      </c>
      <c r="F27" s="110">
        <v>0</v>
      </c>
      <c r="G27" s="110">
        <v>0</v>
      </c>
      <c r="H27" s="110" t="str">
        <v/>
      </c>
      <c r="I27" s="110" t="str">
        <v/>
      </c>
      <c r="J27" s="110">
        <v>0</v>
      </c>
      <c r="K27" s="110">
        <v>0</v>
      </c>
      <c r="L27" s="110">
        <v>0</v>
      </c>
      <c r="M27" s="110">
        <v>21</v>
      </c>
      <c r="N27" s="110">
        <v>0</v>
      </c>
      <c r="O27" s="110">
        <v>108</v>
      </c>
      <c r="P27" s="110">
        <v>0</v>
      </c>
      <c r="Q27" s="110" t="str">
        <v>AVAILABLE</v>
      </c>
      <c r="R27" s="110">
        <v>840000</v>
      </c>
      <c r="S27" s="110">
        <v>840000</v>
      </c>
      <c r="T27" s="110">
        <v>840000</v>
      </c>
      <c r="U27" s="110">
        <v>0</v>
      </c>
      <c r="V27" s="110">
        <v>0</v>
      </c>
      <c r="W27" s="110">
        <v>840000</v>
      </c>
      <c r="X27" s="110">
        <v>0</v>
      </c>
      <c r="Y27" s="110">
        <v>820000</v>
      </c>
      <c r="Z27" s="110">
        <v>820000</v>
      </c>
      <c r="AA27" s="110">
        <v>46114</v>
      </c>
      <c r="AB27" s="111" t="str">
        <v>Q2 2026</v>
      </c>
      <c r="AC27">
        <v>0</v>
      </c>
      <c r="AD27">
        <v>0</v>
      </c>
      <c r="AE27" t="str">
        <v>Ana Damásio</v>
      </c>
      <c r="AF27" t="str">
        <v>Alexandre Costa</v>
      </c>
      <c r="AG27" t="str">
        <v>TBD</v>
      </c>
      <c r="AH27" t="str">
        <v>Rivus means contemporary comfort at the heart of Vilamoura. A five-minute cycle from the beach and the marina, this development offers open views, private terraces and pools. Ideal as a primary residence or a second home.</v>
      </c>
      <c r="AI27" t="str">
        <v>Private Pools and Rooftops, Underground Parking, Community Swimming Pool</v>
      </c>
      <c r="AJ27" t="str">
        <v>Excelente localização; Arquitetura de excelência em Vilamoura (Atelier Fragmentos); Piscina de condomínio e piscinas privativas; Pricing atrativo; Enorme Potencial de Arrendamento (Rentabilização).</v>
      </c>
      <c r="AK27" t="str">
        <v>Fragmentos</v>
      </c>
      <c r="AL27" t="str">
        <v>Rivus</v>
      </c>
    </row>
    <row r="28" spans="1:38" x14ac:dyDescent="0.3">
      <c r="A28" s="110" t="str">
        <v>Rivus</v>
      </c>
      <c r="B28" s="110" t="str">
        <v>Vilamoura</v>
      </c>
      <c r="C28" s="110" t="str">
        <v>AG</v>
      </c>
      <c r="D28" s="110" t="str">
        <v>Vilamoura, Algarve</v>
      </c>
      <c r="E28" s="110" t="str">
        <v>T2</v>
      </c>
      <c r="F28" s="110">
        <v>0</v>
      </c>
      <c r="G28" s="110">
        <v>0</v>
      </c>
      <c r="H28" s="110" t="str">
        <v/>
      </c>
      <c r="I28" s="110" t="str">
        <v/>
      </c>
      <c r="J28" s="110">
        <v>0</v>
      </c>
      <c r="K28" s="110">
        <v>0</v>
      </c>
      <c r="L28" s="110">
        <v>0</v>
      </c>
      <c r="M28" s="110">
        <v>21</v>
      </c>
      <c r="N28" s="110">
        <v>0</v>
      </c>
      <c r="O28" s="110">
        <v>108</v>
      </c>
      <c r="P28" s="110">
        <v>0</v>
      </c>
      <c r="Q28" s="110" t="str">
        <v>AVAILABLE</v>
      </c>
      <c r="R28" s="110">
        <v>860000</v>
      </c>
      <c r="S28" s="110">
        <v>860000</v>
      </c>
      <c r="T28" s="110">
        <v>860000</v>
      </c>
      <c r="U28" s="110">
        <v>0</v>
      </c>
      <c r="V28" s="110">
        <v>0</v>
      </c>
      <c r="W28" s="110">
        <v>860000</v>
      </c>
      <c r="X28" s="110">
        <v>0</v>
      </c>
      <c r="Y28" s="110">
        <v>840000</v>
      </c>
      <c r="Z28" s="110">
        <v>840000</v>
      </c>
      <c r="AA28" s="110">
        <v>46114</v>
      </c>
      <c r="AB28" s="111" t="str">
        <v>Q2 2026</v>
      </c>
      <c r="AC28">
        <v>0</v>
      </c>
      <c r="AD28">
        <v>0</v>
      </c>
      <c r="AE28" t="str">
        <v>Ana Damásio</v>
      </c>
      <c r="AF28" t="str">
        <v>Alexandre Costa</v>
      </c>
      <c r="AG28" t="str">
        <v>TBD</v>
      </c>
      <c r="AH28" t="str">
        <v>Rivus means contemporary comfort at the heart of Vilamoura. A five-minute cycle from the beach and the marina, this development offers open views, private terraces and pools. Ideal as a primary residence or a second home.</v>
      </c>
      <c r="AI28" t="str">
        <v>Private Pools and Rooftops, Underground Parking, Community Swimming Pool</v>
      </c>
      <c r="AJ28" t="str">
        <v>Excelente localização; Arquitetura de excelência em Vilamoura (Atelier Fragmentos); Piscina de condomínio e piscinas privativas; Pricing atrativo; Enorme Potencial de Arrendamento (Rentabilização).</v>
      </c>
      <c r="AK28" t="str">
        <v>Fragmentos</v>
      </c>
      <c r="AL28" t="str">
        <v>Rivus</v>
      </c>
    </row>
    <row r="29" spans="1:38" x14ac:dyDescent="0.3">
      <c r="A29" s="110" t="str">
        <v>Rivus</v>
      </c>
      <c r="B29" s="110" t="str">
        <v>Vilamoura</v>
      </c>
      <c r="C29" s="110" t="str">
        <v>AL</v>
      </c>
      <c r="D29" s="110" t="str">
        <v>Vilamoura, Algarve</v>
      </c>
      <c r="E29" s="110" t="str">
        <v>T4</v>
      </c>
      <c r="F29" s="110">
        <v>0</v>
      </c>
      <c r="G29" s="110">
        <v>0</v>
      </c>
      <c r="H29" s="110" t="str">
        <v/>
      </c>
      <c r="I29" s="110" t="str">
        <v>Yes</v>
      </c>
      <c r="J29" s="110">
        <v>0</v>
      </c>
      <c r="K29" s="110">
        <v>0</v>
      </c>
      <c r="L29" s="110">
        <v>0</v>
      </c>
      <c r="M29" s="110">
        <v>152</v>
      </c>
      <c r="N29" s="110">
        <v>0</v>
      </c>
      <c r="O29" s="110">
        <v>233</v>
      </c>
      <c r="P29" s="110">
        <v>0</v>
      </c>
      <c r="Q29" s="110" t="str">
        <v>AVAILABLE</v>
      </c>
      <c r="R29" s="110">
        <v>1760000</v>
      </c>
      <c r="S29" s="110">
        <v>1760000</v>
      </c>
      <c r="T29" s="110">
        <v>1760000</v>
      </c>
      <c r="U29" s="110">
        <v>0</v>
      </c>
      <c r="V29" s="110">
        <v>0</v>
      </c>
      <c r="W29" s="110">
        <v>1760000</v>
      </c>
      <c r="X29" s="110">
        <v>0</v>
      </c>
      <c r="Y29" s="110">
        <v>1710000</v>
      </c>
      <c r="Z29" s="110">
        <v>1710000</v>
      </c>
      <c r="AA29" s="110">
        <v>46114</v>
      </c>
      <c r="AB29" s="111" t="str">
        <v>Q2 2026</v>
      </c>
      <c r="AC29">
        <v>0</v>
      </c>
      <c r="AD29">
        <v>0</v>
      </c>
      <c r="AE29" t="str">
        <v>Ana Damásio</v>
      </c>
      <c r="AF29" t="str">
        <v>Alexandre Costa</v>
      </c>
      <c r="AG29" t="str">
        <v>TBD</v>
      </c>
      <c r="AH29" t="str">
        <v>Rivus means contemporary comfort at the heart of Vilamoura. A five-minute cycle from the beach and the marina, this development offers open views, private terraces and pools. Ideal as a primary residence or a second home.</v>
      </c>
      <c r="AI29" t="str">
        <v>Private Pools and Rooftops, Underground Parking, Community Swimming Pool</v>
      </c>
      <c r="AJ29" t="str">
        <v>Excelente localização; Arquitetura de excelência em Vilamoura (Atelier Fragmentos); Piscina de condomínio e piscinas privativas; Pricing atrativo; Enorme Potencial de Arrendamento (Rentabilização).</v>
      </c>
      <c r="AK29" t="str">
        <v>Fragmentos</v>
      </c>
      <c r="AL29" t="str">
        <v>Rivus</v>
      </c>
    </row>
    <row r="30" spans="1:38" x14ac:dyDescent="0.3">
      <c r="A30" s="110" t="str">
        <v>Rivus</v>
      </c>
      <c r="B30" s="110" t="str">
        <v>Vilamoura</v>
      </c>
      <c r="C30" s="110" t="str">
        <v>AM</v>
      </c>
      <c r="D30" s="110" t="str">
        <v>Vilamoura, Algarve</v>
      </c>
      <c r="E30" s="110" t="str">
        <v>T4</v>
      </c>
      <c r="F30" s="110">
        <v>0</v>
      </c>
      <c r="G30" s="110">
        <v>0</v>
      </c>
      <c r="H30" s="110" t="str">
        <v/>
      </c>
      <c r="I30" s="110" t="str">
        <v>Yes</v>
      </c>
      <c r="J30" s="110">
        <v>0</v>
      </c>
      <c r="K30" s="110">
        <v>0</v>
      </c>
      <c r="L30" s="110">
        <v>0</v>
      </c>
      <c r="M30" s="110">
        <v>155</v>
      </c>
      <c r="N30" s="110">
        <v>0</v>
      </c>
      <c r="O30" s="110">
        <v>233</v>
      </c>
      <c r="P30" s="110">
        <v>0</v>
      </c>
      <c r="Q30" s="110" t="str">
        <v>AVAILABLE</v>
      </c>
      <c r="R30" s="110">
        <v>1870000</v>
      </c>
      <c r="S30" s="110">
        <v>1870000</v>
      </c>
      <c r="T30" s="110">
        <v>1870000</v>
      </c>
      <c r="U30" s="110">
        <v>0</v>
      </c>
      <c r="V30" s="110">
        <v>0</v>
      </c>
      <c r="W30" s="110">
        <v>1870000</v>
      </c>
      <c r="X30" s="110">
        <v>0</v>
      </c>
      <c r="Y30" s="110">
        <v>1820000</v>
      </c>
      <c r="Z30" s="110">
        <v>1820000</v>
      </c>
      <c r="AA30" s="110">
        <v>46114</v>
      </c>
      <c r="AB30" s="111" t="str">
        <v>Q2 2026</v>
      </c>
      <c r="AC30">
        <v>0</v>
      </c>
      <c r="AD30">
        <v>0</v>
      </c>
      <c r="AE30" t="str">
        <v>Ana Damásio</v>
      </c>
      <c r="AF30" t="str">
        <v>Alexandre Costa</v>
      </c>
      <c r="AG30" t="str">
        <v>TBD</v>
      </c>
      <c r="AH30" t="str">
        <v>Rivus means contemporary comfort at the heart of Vilamoura. A five-minute cycle from the beach and the marina, this development offers open views, private terraces and pools. Ideal as a primary residence or a second home.</v>
      </c>
      <c r="AI30" t="str">
        <v>Private Pools and Rooftops, Underground Parking, Community Swimming Pool</v>
      </c>
      <c r="AJ30" t="str">
        <v>Excelente localização; Arquitetura de excelência em Vilamoura (Atelier Fragmentos); Piscina de condomínio e piscinas privativas; Pricing atrativo; Enorme Potencial de Arrendamento (Rentabilização).</v>
      </c>
      <c r="AK30" t="str">
        <v>Fragmentos</v>
      </c>
      <c r="AL30" t="str">
        <v>Rivus</v>
      </c>
    </row>
    <row r="31" spans="1:38" x14ac:dyDescent="0.3">
      <c r="A31" s="110" t="str">
        <v>Rivus</v>
      </c>
      <c r="B31" s="110" t="str">
        <v>Vilamoura</v>
      </c>
      <c r="C31" s="110" t="str">
        <v>B</v>
      </c>
      <c r="D31" s="110" t="str">
        <v>Vilamoura, Algarve</v>
      </c>
      <c r="E31" s="110" t="str">
        <v>T3</v>
      </c>
      <c r="F31" s="110">
        <v>0</v>
      </c>
      <c r="G31" s="110">
        <v>0</v>
      </c>
      <c r="H31" s="110" t="str">
        <v/>
      </c>
      <c r="I31" s="110" t="str">
        <v/>
      </c>
      <c r="J31" s="110">
        <v>0</v>
      </c>
      <c r="K31" s="110">
        <v>99</v>
      </c>
      <c r="L31" s="110">
        <v>0</v>
      </c>
      <c r="M31" s="110">
        <v>0</v>
      </c>
      <c r="N31" s="110">
        <v>0</v>
      </c>
      <c r="O31" s="110">
        <v>139</v>
      </c>
      <c r="P31" s="110">
        <v>0</v>
      </c>
      <c r="Q31" s="110" t="str">
        <v>AVAILABLE</v>
      </c>
      <c r="R31" s="110">
        <v>950000</v>
      </c>
      <c r="S31" s="110">
        <v>950000</v>
      </c>
      <c r="T31" s="110">
        <v>950000</v>
      </c>
      <c r="U31" s="110">
        <v>0</v>
      </c>
      <c r="V31" s="110">
        <v>0</v>
      </c>
      <c r="W31" s="110">
        <v>950000</v>
      </c>
      <c r="X31" s="110">
        <v>0</v>
      </c>
      <c r="Y31" s="110">
        <v>940000</v>
      </c>
      <c r="Z31" s="110">
        <v>940000</v>
      </c>
      <c r="AA31" s="110">
        <v>46114</v>
      </c>
      <c r="AB31" s="111" t="str">
        <v>Q2 2026</v>
      </c>
      <c r="AC31">
        <v>0</v>
      </c>
      <c r="AD31">
        <v>0</v>
      </c>
      <c r="AE31" t="str">
        <v>Ana Damásio</v>
      </c>
      <c r="AF31" t="str">
        <v>Alexandre Costa</v>
      </c>
      <c r="AG31" t="str">
        <v>TBD</v>
      </c>
      <c r="AH31" t="str">
        <v>Rivus means contemporary comfort at the heart of Vilamoura. A five-minute cycle from the beach and the marina, this development offers open views, private terraces and pools. Ideal as a primary residence or a second home.</v>
      </c>
      <c r="AI31" t="str">
        <v>Private Pools and Rooftops, Underground Parking, Community Swimming Pool</v>
      </c>
      <c r="AJ31" t="str">
        <v>Excelente localização; Arquitetura de excelência em Vilamoura (Atelier Fragmentos); Piscina de condomínio e piscinas privativas; Pricing atrativo; Enorme Potencial de Arrendamento (Rentabilização).</v>
      </c>
      <c r="AK31" t="str">
        <v>Fragmentos</v>
      </c>
      <c r="AL31" t="str">
        <v>Rivus</v>
      </c>
    </row>
    <row r="32" spans="1:38" x14ac:dyDescent="0.3">
      <c r="A32" s="110" t="str">
        <v>Rivus</v>
      </c>
      <c r="B32" s="110" t="str">
        <v>Vilamoura</v>
      </c>
      <c r="C32" s="110" t="str">
        <v>C</v>
      </c>
      <c r="D32" s="110" t="str">
        <v>Vilamoura, Algarve</v>
      </c>
      <c r="E32" s="110" t="str">
        <v>T2</v>
      </c>
      <c r="F32" s="110">
        <v>0</v>
      </c>
      <c r="G32" s="110">
        <v>0</v>
      </c>
      <c r="H32" s="110" t="str">
        <v/>
      </c>
      <c r="I32" s="110" t="str">
        <v/>
      </c>
      <c r="J32" s="110">
        <v>0</v>
      </c>
      <c r="K32" s="110">
        <v>73</v>
      </c>
      <c r="L32" s="110">
        <v>0</v>
      </c>
      <c r="M32" s="110">
        <v>0</v>
      </c>
      <c r="N32" s="110">
        <v>0</v>
      </c>
      <c r="O32" s="110">
        <v>106</v>
      </c>
      <c r="P32" s="110">
        <v>0</v>
      </c>
      <c r="Q32" s="110" t="str">
        <v>AVAILABLE</v>
      </c>
      <c r="R32" s="110">
        <v>790000</v>
      </c>
      <c r="S32" s="110">
        <v>790000</v>
      </c>
      <c r="T32" s="110">
        <v>790000</v>
      </c>
      <c r="U32" s="110">
        <v>0</v>
      </c>
      <c r="V32" s="110">
        <v>0</v>
      </c>
      <c r="W32" s="110">
        <v>790000</v>
      </c>
      <c r="X32" s="110">
        <v>0</v>
      </c>
      <c r="Y32" s="110">
        <v>780000</v>
      </c>
      <c r="Z32" s="110">
        <v>780000</v>
      </c>
      <c r="AA32" s="110">
        <v>46114</v>
      </c>
      <c r="AB32" s="111" t="str">
        <v>Q2 2026</v>
      </c>
      <c r="AC32">
        <v>0</v>
      </c>
      <c r="AD32">
        <v>0</v>
      </c>
      <c r="AE32" t="str">
        <v>Ana Damásio</v>
      </c>
      <c r="AF32" t="str">
        <v>Alexandre Costa</v>
      </c>
      <c r="AG32" t="str">
        <v>TBD</v>
      </c>
      <c r="AH32" t="str">
        <v>Rivus means contemporary comfort at the heart of Vilamoura. A five-minute cycle from the beach and the marina, this development offers open views, private terraces and pools. Ideal as a primary residence or a second home.</v>
      </c>
      <c r="AI32" t="str">
        <v>Private Pools and Rooftops, Underground Parking, Community Swimming Pool</v>
      </c>
      <c r="AJ32" t="str">
        <v>Excelente localização; Arquitetura de excelência em Vilamoura (Atelier Fragmentos); Piscina de condomínio e piscinas privativas; Pricing atrativo; Enorme Potencial de Arrendamento (Rentabilização).</v>
      </c>
      <c r="AK32" t="str">
        <v>Fragmentos</v>
      </c>
      <c r="AL32" t="str">
        <v>Rivus</v>
      </c>
    </row>
    <row r="33" spans="1:38" x14ac:dyDescent="0.3">
      <c r="A33" s="110" t="str">
        <v>Rivus</v>
      </c>
      <c r="B33" s="110" t="str">
        <v>Vilamoura</v>
      </c>
      <c r="C33" s="110" t="str">
        <v>G</v>
      </c>
      <c r="D33" s="110" t="str">
        <v>Vilamoura, Algarve</v>
      </c>
      <c r="E33" s="110" t="str">
        <v>T2</v>
      </c>
      <c r="F33" s="110">
        <v>0</v>
      </c>
      <c r="G33" s="110">
        <v>0</v>
      </c>
      <c r="H33" s="110" t="str">
        <v/>
      </c>
      <c r="I33" s="110" t="str">
        <v/>
      </c>
      <c r="J33" s="110">
        <v>0</v>
      </c>
      <c r="K33" s="110">
        <v>150</v>
      </c>
      <c r="L33" s="110">
        <v>0</v>
      </c>
      <c r="M33" s="110">
        <v>0</v>
      </c>
      <c r="N33" s="110">
        <v>0</v>
      </c>
      <c r="O33" s="110">
        <v>111</v>
      </c>
      <c r="P33" s="110">
        <v>0</v>
      </c>
      <c r="Q33" s="110" t="str">
        <v>AVAILABLE</v>
      </c>
      <c r="R33" s="110">
        <v>890000</v>
      </c>
      <c r="S33" s="110">
        <v>890000</v>
      </c>
      <c r="T33" s="110">
        <v>890000</v>
      </c>
      <c r="U33" s="110">
        <v>0</v>
      </c>
      <c r="V33" s="110">
        <v>0</v>
      </c>
      <c r="W33" s="110">
        <v>890000</v>
      </c>
      <c r="X33" s="110">
        <v>0</v>
      </c>
      <c r="Y33" s="110">
        <v>870000</v>
      </c>
      <c r="Z33" s="110">
        <v>870000</v>
      </c>
      <c r="AA33" s="110">
        <v>46114</v>
      </c>
      <c r="AB33" s="111" t="str">
        <v>Q2 2026</v>
      </c>
      <c r="AC33">
        <v>0</v>
      </c>
      <c r="AD33">
        <v>0</v>
      </c>
      <c r="AE33" t="str">
        <v>Ana Damásio</v>
      </c>
      <c r="AF33" t="str">
        <v>Alexandre Costa</v>
      </c>
      <c r="AG33" t="str">
        <v>TBD</v>
      </c>
      <c r="AH33" t="str">
        <v>Rivus means contemporary comfort at the heart of Vilamoura. A five-minute cycle from the beach and the marina, this development offers open views, private terraces and pools. Ideal as a primary residence or a second home.</v>
      </c>
      <c r="AI33" t="str">
        <v>Private Pools and Rooftops, Underground Parking, Community Swimming Pool</v>
      </c>
      <c r="AJ33" t="str">
        <v>Excelente localização; Arquitetura de excelência em Vilamoura (Atelier Fragmentos); Piscina de condomínio e piscinas privativas; Pricing atrativo; Enorme Potencial de Arrendamento (Rentabilização).</v>
      </c>
      <c r="AK33" t="str">
        <v>Fragmentos</v>
      </c>
      <c r="AL33" t="str">
        <v>Rivus</v>
      </c>
    </row>
    <row r="34" spans="1:38" x14ac:dyDescent="0.3">
      <c r="A34" s="110" t="str">
        <v>Rivus</v>
      </c>
      <c r="B34" s="110" t="str">
        <v>Vilamoura</v>
      </c>
      <c r="C34" s="110" t="str">
        <v>H</v>
      </c>
      <c r="D34" s="110" t="str">
        <v>Vilamoura, Algarve</v>
      </c>
      <c r="E34" s="110" t="str">
        <v>T2</v>
      </c>
      <c r="F34" s="110">
        <v>0</v>
      </c>
      <c r="G34" s="110">
        <v>0</v>
      </c>
      <c r="H34" s="110" t="str">
        <v/>
      </c>
      <c r="I34" s="110" t="str">
        <v/>
      </c>
      <c r="J34" s="110">
        <v>0</v>
      </c>
      <c r="K34" s="110">
        <v>181</v>
      </c>
      <c r="L34" s="110">
        <v>0</v>
      </c>
      <c r="M34" s="110">
        <v>0</v>
      </c>
      <c r="N34" s="110">
        <v>0</v>
      </c>
      <c r="O34" s="110">
        <v>111</v>
      </c>
      <c r="P34" s="110">
        <v>0</v>
      </c>
      <c r="Q34" s="110" t="str">
        <v>AVAILABLE</v>
      </c>
      <c r="R34" s="110">
        <v>860000</v>
      </c>
      <c r="S34" s="110">
        <v>860000</v>
      </c>
      <c r="T34" s="110">
        <v>860000</v>
      </c>
      <c r="U34" s="110">
        <v>0</v>
      </c>
      <c r="V34" s="110">
        <v>0</v>
      </c>
      <c r="W34" s="110">
        <v>860000</v>
      </c>
      <c r="X34" s="110">
        <v>0</v>
      </c>
      <c r="Y34" s="110">
        <v>840000</v>
      </c>
      <c r="Z34" s="110">
        <v>840000</v>
      </c>
      <c r="AA34" s="110">
        <v>46114</v>
      </c>
      <c r="AB34" s="111" t="str">
        <v>Q2 2026</v>
      </c>
      <c r="AC34">
        <v>0</v>
      </c>
      <c r="AD34">
        <v>0</v>
      </c>
      <c r="AE34" t="str">
        <v>Ana Damásio</v>
      </c>
      <c r="AF34" t="str">
        <v>Alexandre Costa</v>
      </c>
      <c r="AG34" t="str">
        <v>TBD</v>
      </c>
      <c r="AH34" t="str">
        <v>Rivus means contemporary comfort at the heart of Vilamoura. A five-minute cycle from the beach and the marina, this development offers open views, private terraces and pools. Ideal as a primary residence or a second home.</v>
      </c>
      <c r="AI34" t="str">
        <v>Private Pools and Rooftops, Underground Parking, Community Swimming Pool</v>
      </c>
      <c r="AJ34" t="str">
        <v>Excelente localização; Arquitetura de excelência em Vilamoura (Atelier Fragmentos); Piscina de condomínio e piscinas privativas; Pricing atrativo; Enorme Potencial de Arrendamento (Rentabilização).</v>
      </c>
      <c r="AK34" t="str">
        <v>Fragmentos</v>
      </c>
      <c r="AL34" t="str">
        <v>Rivus</v>
      </c>
    </row>
    <row r="35" spans="1:38" x14ac:dyDescent="0.3">
      <c r="A35" s="110" t="str">
        <v>Rivus</v>
      </c>
      <c r="B35" s="110" t="str">
        <v>Vilamoura</v>
      </c>
      <c r="C35" s="110" t="str">
        <v>I</v>
      </c>
      <c r="D35" s="110" t="str">
        <v>Vilamoura, Algarve</v>
      </c>
      <c r="E35" s="110" t="str">
        <v>T3</v>
      </c>
      <c r="F35" s="110">
        <v>0</v>
      </c>
      <c r="G35" s="110">
        <v>0</v>
      </c>
      <c r="H35" s="110" t="str">
        <v/>
      </c>
      <c r="I35" s="110" t="str">
        <v/>
      </c>
      <c r="J35" s="110">
        <v>0</v>
      </c>
      <c r="K35" s="110">
        <v>95</v>
      </c>
      <c r="L35" s="110">
        <v>0</v>
      </c>
      <c r="M35" s="110">
        <v>0</v>
      </c>
      <c r="N35" s="110">
        <v>0</v>
      </c>
      <c r="O35" s="110">
        <v>139</v>
      </c>
      <c r="P35" s="110">
        <v>0</v>
      </c>
      <c r="Q35" s="110" t="str">
        <v>AVAILABLE</v>
      </c>
      <c r="R35" s="110">
        <v>960000</v>
      </c>
      <c r="S35" s="110">
        <v>960000</v>
      </c>
      <c r="T35" s="110">
        <v>960000</v>
      </c>
      <c r="U35" s="110">
        <v>0</v>
      </c>
      <c r="V35" s="110">
        <v>0</v>
      </c>
      <c r="W35" s="110">
        <v>960000</v>
      </c>
      <c r="X35" s="110">
        <v>0</v>
      </c>
      <c r="Y35" s="110">
        <v>940000</v>
      </c>
      <c r="Z35" s="110">
        <v>940000</v>
      </c>
      <c r="AA35" s="110">
        <v>46114</v>
      </c>
      <c r="AB35" s="111" t="str">
        <v>Q2 2026</v>
      </c>
      <c r="AC35">
        <v>0</v>
      </c>
      <c r="AD35">
        <v>0</v>
      </c>
      <c r="AE35" t="str">
        <v>Ana Damásio</v>
      </c>
      <c r="AF35" t="str">
        <v>Alexandre Costa</v>
      </c>
      <c r="AG35" t="str">
        <v>TBD</v>
      </c>
      <c r="AH35" t="str">
        <v>Rivus means contemporary comfort at the heart of Vilamoura. A five-minute cycle from the beach and the marina, this development offers open views, private terraces and pools. Ideal as a primary residence or a second home.</v>
      </c>
      <c r="AI35" t="str">
        <v>Private Pools and Rooftops, Underground Parking, Community Swimming Pool</v>
      </c>
      <c r="AJ35" t="str">
        <v>Excelente localização; Arquitetura de excelência em Vilamoura (Atelier Fragmentos); Piscina de condomínio e piscinas privativas; Pricing atrativo; Enorme Potencial de Arrendamento (Rentabilização).</v>
      </c>
      <c r="AK35" t="str">
        <v>Fragmentos</v>
      </c>
      <c r="AL35" t="str">
        <v>Rivus</v>
      </c>
    </row>
    <row r="36" spans="1:38" x14ac:dyDescent="0.3">
      <c r="A36" s="110" t="str">
        <v>Rivus</v>
      </c>
      <c r="B36" s="110" t="str">
        <v>Vilamoura</v>
      </c>
      <c r="C36" s="110" t="str">
        <v>J</v>
      </c>
      <c r="D36" s="110" t="str">
        <v>Vilamoura, Algarve</v>
      </c>
      <c r="E36" s="110" t="str">
        <v>T2</v>
      </c>
      <c r="F36" s="110">
        <v>0</v>
      </c>
      <c r="G36" s="110">
        <v>0</v>
      </c>
      <c r="H36" s="110" t="str">
        <v/>
      </c>
      <c r="I36" s="110" t="str">
        <v/>
      </c>
      <c r="J36" s="110">
        <v>0</v>
      </c>
      <c r="K36" s="110">
        <v>82</v>
      </c>
      <c r="L36" s="110">
        <v>0</v>
      </c>
      <c r="M36" s="110">
        <v>0</v>
      </c>
      <c r="N36" s="110">
        <v>0</v>
      </c>
      <c r="O36" s="110">
        <v>106</v>
      </c>
      <c r="P36" s="110">
        <v>0</v>
      </c>
      <c r="Q36" s="110" t="str">
        <v>AVAILABLE</v>
      </c>
      <c r="R36" s="110">
        <v>820000</v>
      </c>
      <c r="S36" s="110">
        <v>820000</v>
      </c>
      <c r="T36" s="110">
        <v>820000</v>
      </c>
      <c r="U36" s="110">
        <v>0</v>
      </c>
      <c r="V36" s="110">
        <v>0</v>
      </c>
      <c r="W36" s="110">
        <v>820000</v>
      </c>
      <c r="X36" s="110">
        <v>0</v>
      </c>
      <c r="Y36" s="110">
        <v>800000</v>
      </c>
      <c r="Z36" s="110">
        <v>800000</v>
      </c>
      <c r="AA36" s="110">
        <v>46114</v>
      </c>
      <c r="AB36" s="111" t="str">
        <v>Q2 2026</v>
      </c>
      <c r="AC36">
        <v>0</v>
      </c>
      <c r="AD36">
        <v>0</v>
      </c>
      <c r="AE36" t="str">
        <v>Ana Damásio</v>
      </c>
      <c r="AF36" t="str">
        <v>Alexandre Costa</v>
      </c>
      <c r="AG36" t="str">
        <v>TBD</v>
      </c>
      <c r="AH36" t="str">
        <v>Rivus means contemporary comfort at the heart of Vilamoura. A five-minute cycle from the beach and the marina, this development offers open views, private terraces and pools. Ideal as a primary residence or a second home.</v>
      </c>
      <c r="AI36" t="str">
        <v>Private Pools and Rooftops, Underground Parking, Community Swimming Pool</v>
      </c>
      <c r="AJ36" t="str">
        <v>Excelente localização; Arquitetura de excelência em Vilamoura (Atelier Fragmentos); Piscina de condomínio e piscinas privativas; Pricing atrativo; Enorme Potencial de Arrendamento (Rentabilização).</v>
      </c>
      <c r="AK36" t="str">
        <v>Fragmentos</v>
      </c>
      <c r="AL36" t="str">
        <v>Rivus</v>
      </c>
    </row>
    <row r="37" spans="1:38" x14ac:dyDescent="0.3">
      <c r="A37" s="110" t="str">
        <v>Rivus</v>
      </c>
      <c r="B37" s="110" t="str">
        <v>Vilamoura</v>
      </c>
      <c r="C37" s="110" t="str">
        <v>M</v>
      </c>
      <c r="D37" s="110" t="str">
        <v>Vilamoura, Algarve</v>
      </c>
      <c r="E37" s="110" t="str">
        <v>T2</v>
      </c>
      <c r="F37" s="110">
        <v>0</v>
      </c>
      <c r="G37" s="110">
        <v>0</v>
      </c>
      <c r="H37" s="110" t="str">
        <v/>
      </c>
      <c r="I37" s="110" t="str">
        <v/>
      </c>
      <c r="J37" s="110">
        <v>0</v>
      </c>
      <c r="K37" s="110">
        <v>67</v>
      </c>
      <c r="L37" s="110">
        <v>0</v>
      </c>
      <c r="M37" s="110">
        <v>0</v>
      </c>
      <c r="N37" s="110">
        <v>0</v>
      </c>
      <c r="O37" s="110">
        <v>105</v>
      </c>
      <c r="P37" s="110">
        <v>0</v>
      </c>
      <c r="Q37" s="110" t="str">
        <v>AVAILABLE</v>
      </c>
      <c r="R37" s="110">
        <v>800000</v>
      </c>
      <c r="S37" s="110">
        <v>800000</v>
      </c>
      <c r="T37" s="110">
        <v>800000</v>
      </c>
      <c r="U37" s="110">
        <v>0</v>
      </c>
      <c r="V37" s="110">
        <v>0</v>
      </c>
      <c r="W37" s="110">
        <v>800000</v>
      </c>
      <c r="X37" s="110">
        <v>0</v>
      </c>
      <c r="Y37" s="110">
        <v>780000</v>
      </c>
      <c r="Z37" s="110">
        <v>780000</v>
      </c>
      <c r="AA37" s="110">
        <v>46114</v>
      </c>
      <c r="AB37" s="111" t="str">
        <v>Q2 2026</v>
      </c>
      <c r="AC37">
        <v>0</v>
      </c>
      <c r="AD37">
        <v>0</v>
      </c>
      <c r="AE37" t="str">
        <v>Ana Damásio</v>
      </c>
      <c r="AF37" t="str">
        <v>Alexandre Costa</v>
      </c>
      <c r="AG37" t="str">
        <v>TBD</v>
      </c>
      <c r="AH37" t="str">
        <v>Rivus means contemporary comfort at the heart of Vilamoura. A five-minute cycle from the beach and the marina, this development offers open views, private terraces and pools. Ideal as a primary residence or a second home.</v>
      </c>
      <c r="AI37" t="str">
        <v>Private Pools and Rooftops, Underground Parking, Community Swimming Pool</v>
      </c>
      <c r="AJ37" t="str">
        <v>Excelente localização; Arquitetura de excelência em Vilamoura (Atelier Fragmentos); Piscina de condomínio e piscinas privativas; Pricing atrativo; Enorme Potencial de Arrendamento (Rentabilização).</v>
      </c>
      <c r="AK37" t="str">
        <v>Fragmentos</v>
      </c>
      <c r="AL37" t="str">
        <v>Rivus</v>
      </c>
    </row>
    <row r="38" spans="1:38" x14ac:dyDescent="0.3">
      <c r="A38" s="110" t="str">
        <v>Rivus</v>
      </c>
      <c r="B38" s="110" t="str">
        <v>Vilamoura</v>
      </c>
      <c r="C38" s="110" t="str">
        <v>N</v>
      </c>
      <c r="D38" s="110" t="str">
        <v>Vilamoura, Algarve</v>
      </c>
      <c r="E38" s="110" t="str">
        <v>T2</v>
      </c>
      <c r="F38" s="110">
        <v>0</v>
      </c>
      <c r="G38" s="110">
        <v>0</v>
      </c>
      <c r="H38" s="110" t="str">
        <v/>
      </c>
      <c r="I38" s="110" t="str">
        <v/>
      </c>
      <c r="J38" s="110">
        <v>0</v>
      </c>
      <c r="K38" s="110">
        <v>124</v>
      </c>
      <c r="L38" s="110">
        <v>0</v>
      </c>
      <c r="M38" s="110">
        <v>0</v>
      </c>
      <c r="N38" s="110">
        <v>0</v>
      </c>
      <c r="O38" s="110">
        <v>111</v>
      </c>
      <c r="P38" s="110">
        <v>0</v>
      </c>
      <c r="Q38" s="110" t="str">
        <v>AVAILABLE</v>
      </c>
      <c r="R38" s="110">
        <v>930000</v>
      </c>
      <c r="S38" s="110">
        <v>930000</v>
      </c>
      <c r="T38" s="110">
        <v>930000</v>
      </c>
      <c r="U38" s="110">
        <v>0</v>
      </c>
      <c r="V38" s="110">
        <v>0</v>
      </c>
      <c r="W38" s="110">
        <v>930000</v>
      </c>
      <c r="X38" s="110">
        <v>0</v>
      </c>
      <c r="Y38" s="110">
        <v>910000</v>
      </c>
      <c r="Z38" s="110">
        <v>910000</v>
      </c>
      <c r="AA38" s="110">
        <v>46114</v>
      </c>
      <c r="AB38" s="111" t="str">
        <v>Q2 2026</v>
      </c>
      <c r="AC38">
        <v>0</v>
      </c>
      <c r="AD38">
        <v>0</v>
      </c>
      <c r="AE38" t="str">
        <v>Ana Damásio</v>
      </c>
      <c r="AF38" t="str">
        <v>Alexandre Costa</v>
      </c>
      <c r="AG38" t="str">
        <v>TBD</v>
      </c>
      <c r="AH38" t="str">
        <v>Rivus means contemporary comfort at the heart of Vilamoura. A five-minute cycle from the beach and the marina, this development offers open views, private terraces and pools. Ideal as a primary residence or a second home.</v>
      </c>
      <c r="AI38" t="str">
        <v>Private Pools and Rooftops, Underground Parking, Community Swimming Pool</v>
      </c>
      <c r="AJ38" t="str">
        <v>Excelente localização; Arquitetura de excelência em Vilamoura (Atelier Fragmentos); Piscina de condomínio e piscinas privativas; Pricing atrativo; Enorme Potencial de Arrendamento (Rentabilização).</v>
      </c>
      <c r="AK38" t="str">
        <v>Fragmentos</v>
      </c>
      <c r="AL38" t="str">
        <v>Rivus</v>
      </c>
    </row>
    <row r="39" spans="1:38" x14ac:dyDescent="0.3">
      <c r="A39" s="110" t="str">
        <v>Rivus</v>
      </c>
      <c r="B39" s="110" t="str">
        <v>Vilamoura</v>
      </c>
      <c r="C39" s="110" t="str">
        <v>O</v>
      </c>
      <c r="D39" s="110" t="str">
        <v>Vilamoura, Algarve</v>
      </c>
      <c r="E39" s="110" t="str">
        <v>T2</v>
      </c>
      <c r="F39" s="110">
        <v>0</v>
      </c>
      <c r="G39" s="110">
        <v>0</v>
      </c>
      <c r="H39" s="110" t="str">
        <v/>
      </c>
      <c r="I39" s="110" t="str">
        <v/>
      </c>
      <c r="J39" s="110">
        <v>0</v>
      </c>
      <c r="K39" s="110">
        <v>0</v>
      </c>
      <c r="L39" s="110">
        <v>0</v>
      </c>
      <c r="M39" s="110">
        <v>19</v>
      </c>
      <c r="N39" s="110">
        <v>0</v>
      </c>
      <c r="O39" s="110">
        <v>108</v>
      </c>
      <c r="P39" s="110">
        <v>0</v>
      </c>
      <c r="Q39" s="110" t="str">
        <v>AVAILABLE</v>
      </c>
      <c r="R39" s="110">
        <v>760000</v>
      </c>
      <c r="S39" s="110">
        <v>760000</v>
      </c>
      <c r="T39" s="110">
        <v>760000</v>
      </c>
      <c r="U39" s="110">
        <v>0</v>
      </c>
      <c r="V39" s="110">
        <v>0</v>
      </c>
      <c r="W39" s="110">
        <v>760000</v>
      </c>
      <c r="X39" s="110">
        <v>0</v>
      </c>
      <c r="Y39" s="110">
        <v>750000</v>
      </c>
      <c r="Z39" s="110">
        <v>750000</v>
      </c>
      <c r="AA39" s="110">
        <v>46114</v>
      </c>
      <c r="AB39" s="111" t="str">
        <v>Q2 2026</v>
      </c>
      <c r="AC39">
        <v>0</v>
      </c>
      <c r="AD39">
        <v>0</v>
      </c>
      <c r="AE39" t="str">
        <v>Ana Damásio</v>
      </c>
      <c r="AF39" t="str">
        <v>Alexandre Costa</v>
      </c>
      <c r="AG39" t="str">
        <v>TBD</v>
      </c>
      <c r="AH39" t="str">
        <v>Rivus means contemporary comfort at the heart of Vilamoura. A five-minute cycle from the beach and the marina, this development offers open views, private terraces and pools. Ideal as a primary residence or a second home.</v>
      </c>
      <c r="AI39" t="str">
        <v>Private Pools and Rooftops, Underground Parking, Community Swimming Pool</v>
      </c>
      <c r="AJ39" t="str">
        <v>Excelente localização; Arquitetura de excelência em Vilamoura (Atelier Fragmentos); Piscina de condomínio e piscinas privativas; Pricing atrativo; Enorme Potencial de Arrendamento (Rentabilização).</v>
      </c>
      <c r="AK39" t="str">
        <v>Fragmentos</v>
      </c>
      <c r="AL39" t="str">
        <v>Rivus</v>
      </c>
    </row>
    <row r="40" spans="1:38" x14ac:dyDescent="0.3">
      <c r="A40" s="110" t="str">
        <v>Rivus</v>
      </c>
      <c r="B40" s="110" t="str">
        <v>Vilamoura</v>
      </c>
      <c r="C40" s="110" t="str">
        <v>U</v>
      </c>
      <c r="D40" s="110" t="str">
        <v>Vilamoura, Algarve</v>
      </c>
      <c r="E40" s="110" t="str">
        <v>T2</v>
      </c>
      <c r="F40" s="110">
        <v>0</v>
      </c>
      <c r="G40" s="110">
        <v>0</v>
      </c>
      <c r="H40" s="110" t="str">
        <v/>
      </c>
      <c r="I40" s="110" t="str">
        <v/>
      </c>
      <c r="J40" s="110">
        <v>0</v>
      </c>
      <c r="K40" s="110">
        <v>0</v>
      </c>
      <c r="L40" s="110">
        <v>0</v>
      </c>
      <c r="M40" s="110">
        <v>21</v>
      </c>
      <c r="N40" s="110">
        <v>0</v>
      </c>
      <c r="O40" s="110">
        <v>108</v>
      </c>
      <c r="P40" s="110">
        <v>0</v>
      </c>
      <c r="Q40" s="110" t="str">
        <v>AVAILABLE</v>
      </c>
      <c r="R40" s="110">
        <v>790000</v>
      </c>
      <c r="S40" s="110">
        <v>790000</v>
      </c>
      <c r="T40" s="110">
        <v>790000</v>
      </c>
      <c r="U40" s="110">
        <v>0</v>
      </c>
      <c r="V40" s="110">
        <v>0</v>
      </c>
      <c r="W40" s="110">
        <v>790000</v>
      </c>
      <c r="X40" s="110">
        <v>0</v>
      </c>
      <c r="Y40" s="110">
        <v>780000</v>
      </c>
      <c r="Z40" s="110">
        <v>780000</v>
      </c>
      <c r="AA40" s="110">
        <v>46114</v>
      </c>
      <c r="AB40" s="111" t="str">
        <v>Q2 2026</v>
      </c>
      <c r="AC40">
        <v>0</v>
      </c>
      <c r="AD40">
        <v>0</v>
      </c>
      <c r="AE40" t="str">
        <v>Ana Damásio</v>
      </c>
      <c r="AF40" t="str">
        <v>Alexandre Costa</v>
      </c>
      <c r="AG40" t="str">
        <v>TBD</v>
      </c>
      <c r="AH40" t="str">
        <v>Rivus means contemporary comfort at the heart of Vilamoura. A five-minute cycle from the beach and the marina, this development offers open views, private terraces and pools. Ideal as a primary residence or a second home.</v>
      </c>
      <c r="AI40" t="str">
        <v>Private Pools and Rooftops, Underground Parking, Community Swimming Pool</v>
      </c>
      <c r="AJ40" t="str">
        <v>Excelente localização; Arquitetura de excelência em Vilamoura (Atelier Fragmentos); Piscina de condomínio e piscinas privativas; Pricing atrativo; Enorme Potencial de Arrendamento (Rentabilização).</v>
      </c>
      <c r="AK40" t="str">
        <v>Fragmentos</v>
      </c>
      <c r="AL40" t="str">
        <v>Rivus</v>
      </c>
    </row>
    <row r="41" spans="1:38" x14ac:dyDescent="0.3">
      <c r="A41" s="110" t="str">
        <v>Rivus</v>
      </c>
      <c r="B41" s="110" t="str">
        <v>Vilamoura</v>
      </c>
      <c r="C41" s="110" t="str">
        <v>Y</v>
      </c>
      <c r="D41" s="110" t="str">
        <v>Vilamoura, Algarve</v>
      </c>
      <c r="E41" s="110" t="str">
        <v>T2</v>
      </c>
      <c r="F41" s="110">
        <v>0</v>
      </c>
      <c r="G41" s="110">
        <v>0</v>
      </c>
      <c r="H41" s="110" t="str">
        <v/>
      </c>
      <c r="I41" s="110" t="str">
        <v/>
      </c>
      <c r="J41" s="110">
        <v>0</v>
      </c>
      <c r="K41" s="110">
        <v>0</v>
      </c>
      <c r="L41" s="110">
        <v>0</v>
      </c>
      <c r="M41" s="110">
        <v>17</v>
      </c>
      <c r="N41" s="110">
        <v>0</v>
      </c>
      <c r="O41" s="110">
        <v>107</v>
      </c>
      <c r="P41" s="110">
        <v>0</v>
      </c>
      <c r="Q41" s="110" t="str">
        <v>AVAILABLE</v>
      </c>
      <c r="R41" s="110">
        <v>760000</v>
      </c>
      <c r="S41" s="110">
        <v>760000</v>
      </c>
      <c r="T41" s="110">
        <v>760000</v>
      </c>
      <c r="U41" s="110">
        <v>0</v>
      </c>
      <c r="V41" s="110">
        <v>0</v>
      </c>
      <c r="W41" s="110">
        <v>760000</v>
      </c>
      <c r="X41" s="110">
        <v>0</v>
      </c>
      <c r="Y41" s="110">
        <v>740000</v>
      </c>
      <c r="Z41" s="110">
        <v>740000</v>
      </c>
      <c r="AA41" s="110">
        <v>46114</v>
      </c>
      <c r="AB41" s="111" t="str">
        <v>Q2 2026</v>
      </c>
      <c r="AC41">
        <v>0</v>
      </c>
      <c r="AD41">
        <v>0</v>
      </c>
      <c r="AE41" t="str">
        <v>Ana Damásio</v>
      </c>
      <c r="AF41" t="str">
        <v>Alexandre Costa</v>
      </c>
      <c r="AG41" t="str">
        <v>TBD</v>
      </c>
      <c r="AH41" t="str">
        <v>Rivus means contemporary comfort at the heart of Vilamoura. A five-minute cycle from the beach and the marina, this development offers open views, private terraces and pools. Ideal as a primary residence or a second home.</v>
      </c>
      <c r="AI41" t="str">
        <v>Private Pools and Rooftops, Underground Parking, Community Swimming Pool</v>
      </c>
      <c r="AJ41" t="str">
        <v>Excelente localização; Arquitetura de excelência em Vilamoura (Atelier Fragmentos); Piscina de condomínio e piscinas privativas; Pricing atrativo; Enorme Potencial de Arrendamento (Rentabilização).</v>
      </c>
      <c r="AK41" t="str">
        <v>Fragmentos</v>
      </c>
      <c r="AL41" t="str">
        <v>Rivus</v>
      </c>
    </row>
    <row r="42" spans="1:38" x14ac:dyDescent="0.3">
      <c r="A42" s="110"/>
      <c r="B42" s="110"/>
      <c r="C42" s="110"/>
      <c r="D42" s="110"/>
      <c r="E42" s="110"/>
      <c r="F42" s="110"/>
      <c r="G42" s="110"/>
      <c r="H42" s="110"/>
      <c r="I42" s="110"/>
      <c r="J42" s="110"/>
      <c r="K42" s="110"/>
      <c r="L42" s="110"/>
      <c r="M42" s="110"/>
      <c r="N42" s="110"/>
      <c r="O42" s="110"/>
      <c r="P42" s="110"/>
      <c r="Q42" s="110"/>
      <c r="R42" s="110"/>
      <c r="S42" s="110"/>
      <c r="T42" s="110"/>
      <c r="U42" s="110"/>
      <c r="V42" s="110"/>
      <c r="W42" s="110"/>
      <c r="X42" s="110"/>
      <c r="Y42" s="110"/>
      <c r="Z42" s="110"/>
      <c r="AA42" s="110"/>
      <c r="AB42" s="111"/>
    </row>
    <row r="43" spans="1:38" x14ac:dyDescent="0.3">
      <c r="A43" s="110"/>
      <c r="B43" s="110"/>
      <c r="C43" s="110"/>
      <c r="D43" s="110"/>
      <c r="E43" s="110"/>
      <c r="F43" s="110"/>
      <c r="G43" s="110"/>
      <c r="H43" s="110"/>
      <c r="I43" s="110"/>
      <c r="J43" s="110"/>
      <c r="K43" s="110"/>
      <c r="L43" s="110"/>
      <c r="M43" s="110"/>
      <c r="N43" s="110"/>
      <c r="O43" s="110"/>
      <c r="P43" s="110"/>
      <c r="Q43" s="110"/>
      <c r="R43" s="110"/>
      <c r="S43" s="110"/>
      <c r="T43" s="110"/>
      <c r="U43" s="110"/>
      <c r="V43" s="110"/>
      <c r="W43" s="110"/>
      <c r="X43" s="110"/>
      <c r="Y43" s="110"/>
      <c r="Z43" s="110"/>
      <c r="AA43" s="110"/>
      <c r="AB43" s="111"/>
    </row>
    <row r="44" spans="1:38" x14ac:dyDescent="0.3">
      <c r="A44" s="110"/>
      <c r="B44" s="110"/>
      <c r="C44" s="110"/>
      <c r="D44" s="110"/>
      <c r="E44" s="110"/>
      <c r="F44" s="110"/>
      <c r="G44" s="110"/>
      <c r="H44" s="110"/>
      <c r="I44" s="110"/>
      <c r="J44" s="110"/>
      <c r="K44" s="110"/>
      <c r="L44" s="110"/>
      <c r="M44" s="110"/>
      <c r="N44" s="110"/>
      <c r="O44" s="110"/>
      <c r="P44" s="110"/>
      <c r="Q44" s="110"/>
      <c r="R44" s="110"/>
      <c r="S44" s="110"/>
      <c r="T44" s="110"/>
      <c r="U44" s="110"/>
      <c r="V44" s="110"/>
      <c r="W44" s="110"/>
      <c r="X44" s="110"/>
      <c r="Y44" s="110"/>
      <c r="Z44" s="110"/>
      <c r="AA44" s="110"/>
      <c r="AB44" s="111"/>
    </row>
    <row r="45" spans="1:38" x14ac:dyDescent="0.3">
      <c r="A45" s="110"/>
      <c r="B45" s="110"/>
      <c r="C45" s="110"/>
      <c r="D45" s="110"/>
      <c r="E45" s="110"/>
      <c r="F45" s="110"/>
      <c r="G45" s="110"/>
      <c r="H45" s="110"/>
      <c r="I45" s="110"/>
      <c r="J45" s="110"/>
      <c r="K45" s="110"/>
      <c r="L45" s="110"/>
      <c r="M45" s="110"/>
      <c r="N45" s="110"/>
      <c r="O45" s="110"/>
      <c r="P45" s="110"/>
      <c r="Q45" s="110"/>
      <c r="R45" s="110"/>
      <c r="S45" s="110"/>
      <c r="T45" s="110"/>
      <c r="U45" s="110"/>
      <c r="V45" s="110"/>
      <c r="W45" s="110"/>
      <c r="X45" s="110"/>
      <c r="Y45" s="110"/>
      <c r="Z45" s="110"/>
      <c r="AA45" s="110"/>
      <c r="AB45" s="111"/>
    </row>
    <row r="46" spans="1:38" x14ac:dyDescent="0.3">
      <c r="A46" s="110"/>
      <c r="B46" s="110"/>
      <c r="C46" s="110"/>
      <c r="D46" s="110"/>
      <c r="E46" s="110"/>
      <c r="F46" s="110"/>
      <c r="G46" s="110"/>
      <c r="H46" s="110"/>
      <c r="I46" s="110"/>
      <c r="J46" s="110"/>
      <c r="K46" s="110"/>
      <c r="L46" s="110"/>
      <c r="M46" s="110"/>
      <c r="N46" s="110"/>
      <c r="O46" s="110"/>
      <c r="P46" s="110"/>
      <c r="Q46" s="110"/>
      <c r="R46" s="110"/>
      <c r="S46" s="110"/>
      <c r="T46" s="110"/>
      <c r="U46" s="110"/>
      <c r="V46" s="110"/>
      <c r="W46" s="110"/>
      <c r="X46" s="110"/>
      <c r="Y46" s="110"/>
      <c r="Z46" s="110"/>
      <c r="AA46" s="110"/>
      <c r="AB46" s="111"/>
    </row>
    <row r="47" spans="1:38" x14ac:dyDescent="0.3">
      <c r="A47" s="110"/>
      <c r="B47" s="110"/>
      <c r="C47" s="110"/>
      <c r="D47" s="110"/>
      <c r="E47" s="110"/>
      <c r="F47" s="110"/>
      <c r="G47" s="110"/>
      <c r="H47" s="110"/>
      <c r="I47" s="110"/>
      <c r="J47" s="110"/>
      <c r="K47" s="110"/>
      <c r="L47" s="110"/>
      <c r="M47" s="110"/>
      <c r="N47" s="110"/>
      <c r="O47" s="110"/>
      <c r="P47" s="110"/>
      <c r="Q47" s="110"/>
      <c r="R47" s="110"/>
      <c r="S47" s="110"/>
      <c r="T47" s="110"/>
      <c r="U47" s="110"/>
      <c r="V47" s="110"/>
      <c r="W47" s="110"/>
      <c r="X47" s="110"/>
      <c r="Y47" s="110"/>
      <c r="Z47" s="110"/>
      <c r="AA47" s="110"/>
      <c r="AB47" s="111"/>
    </row>
    <row r="48" spans="1:38" x14ac:dyDescent="0.3">
      <c r="A48" s="110"/>
      <c r="B48" s="110"/>
      <c r="C48" s="110"/>
      <c r="D48" s="110"/>
      <c r="E48" s="110"/>
      <c r="F48" s="110"/>
      <c r="G48" s="110"/>
      <c r="H48" s="110"/>
      <c r="I48" s="110"/>
      <c r="J48" s="110"/>
      <c r="K48" s="110"/>
      <c r="L48" s="110"/>
      <c r="M48" s="110"/>
      <c r="N48" s="110"/>
      <c r="O48" s="110"/>
      <c r="P48" s="110"/>
      <c r="Q48" s="110"/>
      <c r="R48" s="110"/>
      <c r="S48" s="110"/>
      <c r="T48" s="110"/>
      <c r="U48" s="110"/>
      <c r="V48" s="110"/>
      <c r="W48" s="110"/>
      <c r="X48" s="110"/>
      <c r="Y48" s="110"/>
      <c r="Z48" s="110"/>
      <c r="AA48" s="110"/>
      <c r="AB48" s="111"/>
    </row>
    <row r="74" spans="11:12" x14ac:dyDescent="0.3">
      <c r="K74" s="113"/>
      <c r="L74" s="78"/>
    </row>
  </sheetData>
  <autoFilter ref="A2:AL2" xr:uid="{8C381E57-20A3-4D29-9AC1-A20B676A56DB}"/>
  <conditionalFormatting sqref="A2">
    <cfRule type="containsText" dxfId="71" priority="3" operator="containsText" text="Center">
      <formula>NOT(ISERROR(SEARCH("Center",A2)))</formula>
    </cfRule>
    <cfRule type="containsText" dxfId="70" priority="4" operator="containsText" text="North">
      <formula>NOT(ISERROR(SEARCH("North",A2)))</formula>
    </cfRule>
    <cfRule type="containsText" dxfId="69" priority="5" operator="containsText" text="Algarve">
      <formula>NOT(ISERROR(SEARCH("Algarve",A2)))</formula>
    </cfRule>
    <cfRule type="containsText" dxfId="68" priority="6" operator="containsText" text="Vilamoura">
      <formula>NOT(ISERROR(SEARCH("Vilamoura",A2)))</formula>
    </cfRule>
  </conditionalFormatting>
  <conditionalFormatting sqref="Q2">
    <cfRule type="containsText" dxfId="67" priority="1" operator="containsText" text="PRE-RESERVED">
      <formula>NOT(ISERROR(SEARCH("PRE-RESERVED",Q2)))</formula>
    </cfRule>
    <cfRule type="containsText" dxfId="66" priority="2" operator="containsText" text="RESERVED">
      <formula>NOT(ISERROR(SEARCH("RESERVED",Q2)))</formula>
    </cfRule>
  </conditionalFormatting>
  <pageMargins left="0.7" right="0.7" top="0.75" bottom="0.75" header="0.3" footer="0.3"/>
  <pageSetup paperSize="8" scale="69" fitToHeight="0"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A2132E-8BCC-4CE6-A16E-A5D9783EC148}">
  <sheetPr>
    <tabColor rgb="FFC2B59E"/>
    <pageSetUpPr fitToPage="1"/>
  </sheetPr>
  <dimension ref="A1:AL103"/>
  <sheetViews>
    <sheetView showGridLines="0" zoomScale="71" zoomScaleNormal="40" zoomScaleSheetLayoutView="70" workbookViewId="0">
      <pane xSplit="1" topLeftCell="H1" activePane="topRight" state="frozen"/>
      <selection activeCell="I25" sqref="I25"/>
      <selection pane="topRight" activeCell="A2" sqref="A2"/>
    </sheetView>
  </sheetViews>
  <sheetFormatPr defaultColWidth="8.6640625" defaultRowHeight="14.4" outlineLevelCol="2" x14ac:dyDescent="0.3"/>
  <cols>
    <col min="1" max="1" width="20.33203125" bestFit="1" customWidth="1"/>
    <col min="2" max="6" width="11.77734375" customWidth="1"/>
    <col min="7" max="12" width="11.77734375" customWidth="1" outlineLevel="2"/>
    <col min="13" max="13" width="11.77734375" style="79" customWidth="1" outlineLevel="2"/>
    <col min="14" max="14" width="11.77734375" customWidth="1" outlineLevel="2"/>
    <col min="15" max="16" width="11.77734375" customWidth="1" outlineLevel="1"/>
    <col min="17" max="18" width="11.77734375" customWidth="1"/>
    <col min="19" max="22" width="11.77734375" customWidth="1" outlineLevel="1"/>
    <col min="23" max="24" width="11.77734375" customWidth="1"/>
    <col min="25" max="25" width="11.77734375" customWidth="1" outlineLevel="1"/>
    <col min="26" max="26" width="11.77734375" customWidth="1"/>
    <col min="27" max="27" width="11.77734375" customWidth="1" outlineLevel="1"/>
    <col min="28" max="38" width="11.77734375" customWidth="1"/>
  </cols>
  <sheetData>
    <row r="1" spans="1:38" s="1" customFormat="1" ht="20.399999999999999" customHeight="1" x14ac:dyDescent="0.3">
      <c r="A1" s="114" t="s">
        <v>37</v>
      </c>
    </row>
    <row r="2" spans="1:38" s="2" customFormat="1" ht="46.2" customHeight="1" x14ac:dyDescent="0.3">
      <c r="A2" s="95" t="s">
        <v>335</v>
      </c>
      <c r="B2" s="95" t="s">
        <v>684</v>
      </c>
      <c r="C2" s="96" t="s">
        <v>765</v>
      </c>
      <c r="D2" s="97" t="s">
        <v>1</v>
      </c>
      <c r="E2" s="95" t="s">
        <v>93</v>
      </c>
      <c r="F2" s="95" t="s">
        <v>763</v>
      </c>
      <c r="G2" s="98" t="s">
        <v>675</v>
      </c>
      <c r="H2" s="99" t="s">
        <v>676</v>
      </c>
      <c r="I2" s="99" t="s">
        <v>677</v>
      </c>
      <c r="J2" s="100" t="s">
        <v>678</v>
      </c>
      <c r="K2" s="98" t="s">
        <v>679</v>
      </c>
      <c r="L2" s="98" t="s">
        <v>779</v>
      </c>
      <c r="M2" s="98" t="s">
        <v>680</v>
      </c>
      <c r="N2" s="101" t="s">
        <v>681</v>
      </c>
      <c r="O2" s="102" t="s">
        <v>94</v>
      </c>
      <c r="P2" s="102" t="s">
        <v>95</v>
      </c>
      <c r="Q2" s="95" t="s">
        <v>624</v>
      </c>
      <c r="R2" s="103" t="s">
        <v>331</v>
      </c>
      <c r="S2" s="104" t="s">
        <v>332</v>
      </c>
      <c r="T2" s="105" t="s">
        <v>333</v>
      </c>
      <c r="U2" s="105" t="s">
        <v>682</v>
      </c>
      <c r="V2" s="105" t="s">
        <v>97</v>
      </c>
      <c r="W2" s="95" t="s">
        <v>330</v>
      </c>
      <c r="X2" s="106" t="s">
        <v>919</v>
      </c>
      <c r="Y2" s="105" t="s">
        <v>334</v>
      </c>
      <c r="Z2" s="95" t="s">
        <v>98</v>
      </c>
      <c r="AA2" s="107" t="s">
        <v>933</v>
      </c>
      <c r="AB2" s="108" t="s">
        <v>934</v>
      </c>
      <c r="AC2" s="108" t="s">
        <v>928</v>
      </c>
      <c r="AD2" s="109" t="s">
        <v>926</v>
      </c>
      <c r="AE2" s="97" t="s">
        <v>792</v>
      </c>
      <c r="AF2" s="97" t="s">
        <v>793</v>
      </c>
      <c r="AG2" s="97" t="s">
        <v>2</v>
      </c>
      <c r="AH2" s="97" t="s">
        <v>3</v>
      </c>
      <c r="AI2" s="97" t="s">
        <v>5</v>
      </c>
      <c r="AJ2" s="97" t="s">
        <v>794</v>
      </c>
      <c r="AK2" s="97" t="s">
        <v>6</v>
      </c>
      <c r="AL2" s="95" t="s">
        <v>918</v>
      </c>
    </row>
    <row r="3" spans="1:38" s="112" customFormat="1" ht="13.8" x14ac:dyDescent="0.3">
      <c r="A3" s="129" t="str" cm="1">
        <f t="array" ref="A3:AL103">_xlfn._xlws.FILTER(DATABASE_Table[],DATABASE_Table[Development]=$A$1,"")</f>
        <v>ELS</v>
      </c>
      <c r="B3" s="129" t="str">
        <v>Vilamoura</v>
      </c>
      <c r="C3" s="110" t="str">
        <v>15</v>
      </c>
      <c r="D3" s="110" t="str">
        <v>Vilamoura, Algarve</v>
      </c>
      <c r="E3" s="110" t="str">
        <v>Plot</v>
      </c>
      <c r="F3" s="110">
        <v>480</v>
      </c>
      <c r="G3" s="110">
        <v>0</v>
      </c>
      <c r="H3" s="110" t="str">
        <v/>
      </c>
      <c r="I3" s="110" t="str">
        <v/>
      </c>
      <c r="J3" s="110">
        <v>0</v>
      </c>
      <c r="K3" s="110">
        <v>0</v>
      </c>
      <c r="L3" s="110">
        <v>0</v>
      </c>
      <c r="M3" s="110">
        <v>0</v>
      </c>
      <c r="N3" s="110">
        <v>0</v>
      </c>
      <c r="O3" s="110">
        <v>480</v>
      </c>
      <c r="P3" s="110">
        <v>0</v>
      </c>
      <c r="Q3" s="110" t="str">
        <v>PRE-RESERVED</v>
      </c>
      <c r="R3" s="110">
        <v>3230000</v>
      </c>
      <c r="S3" s="110">
        <v>3230000</v>
      </c>
      <c r="T3" s="110">
        <v>2200000</v>
      </c>
      <c r="U3" s="110">
        <v>0</v>
      </c>
      <c r="V3" s="110">
        <v>0</v>
      </c>
      <c r="W3" s="110">
        <v>2200000</v>
      </c>
      <c r="X3" s="110">
        <v>0</v>
      </c>
      <c r="Y3" s="110">
        <v>2200000</v>
      </c>
      <c r="Z3" s="110">
        <v>2200000</v>
      </c>
      <c r="AA3" s="110">
        <v>46102</v>
      </c>
      <c r="AB3" s="111" t="str">
        <v>Q1 2026</v>
      </c>
      <c r="AC3" s="112">
        <v>46174</v>
      </c>
      <c r="AD3" s="112">
        <v>0</v>
      </c>
      <c r="AE3" s="112" t="str">
        <v>Ana Damásio</v>
      </c>
      <c r="AF3" s="112" t="str">
        <v>Carla Veiga</v>
      </c>
      <c r="AG3" s="112" t="str">
        <v>Springs Els Club - *Vilamoura</v>
      </c>
      <c r="AH3" s="112" t="str">
        <v>The new chapter of Vilamoura begins here. Join the inner circle with Club access to golf, sport, equestrian &amp; beach life.</v>
      </c>
      <c r="AI3" s="112" t="str">
        <v>Gym, Spa, Lazy River, Private Pools, Outdoor Areas, Smart Home Technology, Tennis Court, Clubhouse, Private Parking, Vista Membership</v>
      </c>
      <c r="AJ3" s="112"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3" s="112" t="str">
        <v>Promontório</v>
      </c>
      <c r="AL3" s="112" t="str">
        <v>Springs - At the Els</v>
      </c>
    </row>
    <row r="4" spans="1:38" x14ac:dyDescent="0.3">
      <c r="A4" s="129" t="str">
        <v>ELS</v>
      </c>
      <c r="B4" s="129" t="str">
        <v>Vilamoura</v>
      </c>
      <c r="C4" s="110" t="str">
        <v>23</v>
      </c>
      <c r="D4" s="110" t="str">
        <v>Vilamoura, Algarve</v>
      </c>
      <c r="E4" s="110" t="str">
        <v>Plot</v>
      </c>
      <c r="F4" s="110">
        <v>260</v>
      </c>
      <c r="G4" s="110">
        <v>0</v>
      </c>
      <c r="H4" s="110" t="str">
        <v/>
      </c>
      <c r="I4" s="110" t="str">
        <v/>
      </c>
      <c r="J4" s="110">
        <v>0</v>
      </c>
      <c r="K4" s="110">
        <v>0</v>
      </c>
      <c r="L4" s="110">
        <v>0</v>
      </c>
      <c r="M4" s="110">
        <v>0</v>
      </c>
      <c r="N4" s="110">
        <v>0</v>
      </c>
      <c r="O4" s="110">
        <v>260</v>
      </c>
      <c r="P4" s="110">
        <v>0</v>
      </c>
      <c r="Q4" s="110" t="str">
        <v>PRE-RESERVED</v>
      </c>
      <c r="R4" s="110">
        <v>3150000</v>
      </c>
      <c r="S4" s="110">
        <v>3150000</v>
      </c>
      <c r="T4" s="110">
        <v>780000</v>
      </c>
      <c r="U4" s="110">
        <v>0</v>
      </c>
      <c r="V4" s="110">
        <v>0</v>
      </c>
      <c r="W4" s="110">
        <v>780000</v>
      </c>
      <c r="X4" s="110">
        <v>0</v>
      </c>
      <c r="Y4" s="110">
        <v>780000</v>
      </c>
      <c r="Z4" s="110">
        <v>780000</v>
      </c>
      <c r="AA4" s="110">
        <v>46102</v>
      </c>
      <c r="AB4" s="111" t="str">
        <v>Q1 2026</v>
      </c>
      <c r="AC4">
        <v>46174</v>
      </c>
      <c r="AD4">
        <v>0</v>
      </c>
      <c r="AE4" t="str">
        <v>Ana Damásio</v>
      </c>
      <c r="AF4" t="str">
        <v>Carla Veiga</v>
      </c>
      <c r="AG4" t="str">
        <v>Springs Els Club - *Vilamoura</v>
      </c>
      <c r="AH4" t="str">
        <v>The new chapter of Vilamoura begins here. Join the inner circle with Club access to golf, sport, equestrian &amp; beach life.</v>
      </c>
      <c r="AI4" t="str">
        <v>Gym, Spa, Lazy River, Private Pools, Outdoor Areas, Smart Home Technology, Tennis Court, Clubhouse, Private Parking, Vista Membership</v>
      </c>
      <c r="AJ4"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4" t="str">
        <v>Promontório</v>
      </c>
      <c r="AL4" t="str">
        <v>Springs - At the Els</v>
      </c>
    </row>
    <row r="5" spans="1:38" x14ac:dyDescent="0.3">
      <c r="A5" s="129" t="str">
        <v>ELS</v>
      </c>
      <c r="B5" s="129" t="str">
        <v>Vilamoura</v>
      </c>
      <c r="C5" s="110" t="str">
        <v>11</v>
      </c>
      <c r="D5" s="110" t="str">
        <v>Vilamoura, Algarve</v>
      </c>
      <c r="E5" s="110" t="str">
        <v>Plot</v>
      </c>
      <c r="F5" s="110">
        <v>298</v>
      </c>
      <c r="G5" s="110">
        <v>0</v>
      </c>
      <c r="H5" s="110" t="str">
        <v/>
      </c>
      <c r="I5" s="110" t="str">
        <v/>
      </c>
      <c r="J5" s="110">
        <v>0</v>
      </c>
      <c r="K5" s="110">
        <v>0</v>
      </c>
      <c r="L5" s="110">
        <v>0</v>
      </c>
      <c r="M5" s="110">
        <v>0</v>
      </c>
      <c r="N5" s="110">
        <v>0</v>
      </c>
      <c r="O5" s="110">
        <v>298</v>
      </c>
      <c r="P5" s="110">
        <v>0</v>
      </c>
      <c r="Q5" s="110" t="str">
        <v xml:space="preserve">PSPA </v>
      </c>
      <c r="R5" s="110">
        <v>3210000</v>
      </c>
      <c r="S5" s="110">
        <v>3210000</v>
      </c>
      <c r="T5" s="110">
        <v>1530000</v>
      </c>
      <c r="U5" s="110">
        <v>0</v>
      </c>
      <c r="V5" s="110">
        <v>0</v>
      </c>
      <c r="W5" s="110">
        <v>1530000</v>
      </c>
      <c r="X5" s="110">
        <v>0</v>
      </c>
      <c r="Y5" s="110">
        <v>1530000</v>
      </c>
      <c r="Z5" s="110">
        <v>1530000</v>
      </c>
      <c r="AA5" s="110">
        <v>46102</v>
      </c>
      <c r="AB5" s="111" t="str">
        <v>Q1 2026</v>
      </c>
      <c r="AC5">
        <v>46104</v>
      </c>
      <c r="AD5">
        <v>0</v>
      </c>
      <c r="AE5" t="str">
        <v>Ana Damásio</v>
      </c>
      <c r="AF5" t="str">
        <v>Carla Veiga</v>
      </c>
      <c r="AG5" t="str">
        <v>Springs Els Club - *Vilamoura</v>
      </c>
      <c r="AH5" t="str">
        <v>The new chapter of Vilamoura begins here. Join the inner circle with Club access to golf, sport, equestrian &amp; beach life.</v>
      </c>
      <c r="AI5" t="str">
        <v>Gym, Spa, Lazy River, Private Pools, Outdoor Areas, Smart Home Technology, Tennis Court, Clubhouse, Private Parking, Vista Membership</v>
      </c>
      <c r="AJ5"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5" t="str">
        <v>Promontório</v>
      </c>
      <c r="AL5" t="str">
        <v>Springs - At the Els</v>
      </c>
    </row>
    <row r="6" spans="1:38" x14ac:dyDescent="0.3">
      <c r="A6" s="129" t="str">
        <v>ELS</v>
      </c>
      <c r="B6" s="129" t="str">
        <v>Vilamoura</v>
      </c>
      <c r="C6" s="110" t="str">
        <v>1</v>
      </c>
      <c r="D6" s="110" t="str">
        <v>Vilamoura, Algarve</v>
      </c>
      <c r="E6" s="110" t="str">
        <v>Plot</v>
      </c>
      <c r="F6" s="110">
        <v>295</v>
      </c>
      <c r="G6" s="110">
        <v>0</v>
      </c>
      <c r="H6" s="110" t="str">
        <v/>
      </c>
      <c r="I6" s="110" t="str">
        <v/>
      </c>
      <c r="J6" s="110">
        <v>0</v>
      </c>
      <c r="K6" s="110">
        <v>0</v>
      </c>
      <c r="L6" s="110">
        <v>0</v>
      </c>
      <c r="M6" s="110">
        <v>0</v>
      </c>
      <c r="N6" s="110">
        <v>0</v>
      </c>
      <c r="O6" s="110">
        <v>295</v>
      </c>
      <c r="P6" s="110">
        <v>0</v>
      </c>
      <c r="Q6" s="110" t="str">
        <v>AVAILABLE</v>
      </c>
      <c r="R6" s="110">
        <v>2690000</v>
      </c>
      <c r="S6" s="110">
        <v>2690000</v>
      </c>
      <c r="T6" s="110">
        <v>2580000</v>
      </c>
      <c r="U6" s="110">
        <v>0</v>
      </c>
      <c r="V6" s="110">
        <v>0</v>
      </c>
      <c r="W6" s="110">
        <v>2580000</v>
      </c>
      <c r="X6" s="110">
        <v>0</v>
      </c>
      <c r="Y6" s="110">
        <v>2580000</v>
      </c>
      <c r="Z6" s="110">
        <v>2580000</v>
      </c>
      <c r="AA6" s="110">
        <v>46102</v>
      </c>
      <c r="AB6" s="111" t="str">
        <v>Q1 2026</v>
      </c>
      <c r="AC6">
        <v>0</v>
      </c>
      <c r="AD6">
        <v>0</v>
      </c>
      <c r="AE6" t="str">
        <v>Ana Damásio</v>
      </c>
      <c r="AF6" t="str">
        <v>Carla Veiga</v>
      </c>
      <c r="AG6" t="str">
        <v>Springs Els Club - *Vilamoura</v>
      </c>
      <c r="AH6" t="str">
        <v>The new chapter of Vilamoura begins here. Join the inner circle with Club access to golf, sport, equestrian &amp; beach life.</v>
      </c>
      <c r="AI6" t="str">
        <v>Gym, Spa, Lazy River, Private Pools, Outdoor Areas, Smart Home Technology, Tennis Court, Clubhouse, Private Parking, Vista Membership</v>
      </c>
      <c r="AJ6"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6" t="str">
        <v>Promontório</v>
      </c>
      <c r="AL6" t="str">
        <v>Springs - At the Els</v>
      </c>
    </row>
    <row r="7" spans="1:38" x14ac:dyDescent="0.3">
      <c r="A7" s="129" t="str">
        <v>ELS</v>
      </c>
      <c r="B7" s="129" t="str">
        <v>Vilamoura</v>
      </c>
      <c r="C7" s="110" t="str">
        <v>10</v>
      </c>
      <c r="D7" s="110" t="str">
        <v>Vilamoura, Algarve</v>
      </c>
      <c r="E7" s="110" t="str">
        <v>Plot</v>
      </c>
      <c r="F7" s="110">
        <v>280</v>
      </c>
      <c r="G7" s="110">
        <v>0</v>
      </c>
      <c r="H7" s="110" t="str">
        <v/>
      </c>
      <c r="I7" s="110" t="str">
        <v/>
      </c>
      <c r="J7" s="110">
        <v>0</v>
      </c>
      <c r="K7" s="110">
        <v>0</v>
      </c>
      <c r="L7" s="110">
        <v>0</v>
      </c>
      <c r="M7" s="110">
        <v>0</v>
      </c>
      <c r="N7" s="110">
        <v>0</v>
      </c>
      <c r="O7" s="110">
        <v>280</v>
      </c>
      <c r="P7" s="110">
        <v>0</v>
      </c>
      <c r="Q7" s="110" t="str">
        <v>AVAILABLE</v>
      </c>
      <c r="R7" s="110">
        <v>3180000</v>
      </c>
      <c r="S7" s="110">
        <v>3180000</v>
      </c>
      <c r="T7" s="110">
        <v>1350000</v>
      </c>
      <c r="U7" s="110">
        <v>0</v>
      </c>
      <c r="V7" s="110">
        <v>0</v>
      </c>
      <c r="W7" s="110">
        <v>1350000</v>
      </c>
      <c r="X7" s="110">
        <v>0</v>
      </c>
      <c r="Y7" s="110">
        <v>1350000</v>
      </c>
      <c r="Z7" s="110">
        <v>1350000</v>
      </c>
      <c r="AA7" s="110">
        <v>46102</v>
      </c>
      <c r="AB7" s="111" t="str">
        <v>Q1 2026</v>
      </c>
      <c r="AC7">
        <v>0</v>
      </c>
      <c r="AD7">
        <v>0</v>
      </c>
      <c r="AE7" t="str">
        <v>Ana Damásio</v>
      </c>
      <c r="AF7" t="str">
        <v>Carla Veiga</v>
      </c>
      <c r="AG7" t="str">
        <v>Springs Els Club - *Vilamoura</v>
      </c>
      <c r="AH7" t="str">
        <v>The new chapter of Vilamoura begins here. Join the inner circle with Club access to golf, sport, equestrian &amp; beach life.</v>
      </c>
      <c r="AI7" t="str">
        <v>Gym, Spa, Lazy River, Private Pools, Outdoor Areas, Smart Home Technology, Tennis Court, Clubhouse, Private Parking, Vista Membership</v>
      </c>
      <c r="AJ7"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7" t="str">
        <v>Promontório</v>
      </c>
      <c r="AL7" t="str">
        <v>Springs - At the Els</v>
      </c>
    </row>
    <row r="8" spans="1:38" x14ac:dyDescent="0.3">
      <c r="A8" s="129" t="str">
        <v>ELS</v>
      </c>
      <c r="B8" s="129" t="str">
        <v>Vilamoura</v>
      </c>
      <c r="C8" s="110" t="str">
        <v>12</v>
      </c>
      <c r="D8" s="110" t="str">
        <v>Vilamoura, Algarve</v>
      </c>
      <c r="E8" s="110" t="str">
        <v>Plot</v>
      </c>
      <c r="F8" s="110">
        <v>280</v>
      </c>
      <c r="G8" s="110">
        <v>0</v>
      </c>
      <c r="H8" s="110" t="str">
        <v/>
      </c>
      <c r="I8" s="110" t="str">
        <v/>
      </c>
      <c r="J8" s="110">
        <v>0</v>
      </c>
      <c r="K8" s="110">
        <v>0</v>
      </c>
      <c r="L8" s="110">
        <v>0</v>
      </c>
      <c r="M8" s="110">
        <v>0</v>
      </c>
      <c r="N8" s="110">
        <v>0</v>
      </c>
      <c r="O8" s="110">
        <v>280</v>
      </c>
      <c r="P8" s="110">
        <v>0</v>
      </c>
      <c r="Q8" s="110" t="str">
        <v>AVAILABLE</v>
      </c>
      <c r="R8" s="110">
        <v>3660000</v>
      </c>
      <c r="S8" s="110">
        <v>3660000</v>
      </c>
      <c r="T8" s="110">
        <v>1220000</v>
      </c>
      <c r="U8" s="110">
        <v>0</v>
      </c>
      <c r="V8" s="110">
        <v>0</v>
      </c>
      <c r="W8" s="110">
        <v>1220000</v>
      </c>
      <c r="X8" s="110">
        <v>0</v>
      </c>
      <c r="Y8" s="110">
        <v>1220000</v>
      </c>
      <c r="Z8" s="110">
        <v>1220000</v>
      </c>
      <c r="AA8" s="110">
        <v>46102</v>
      </c>
      <c r="AB8" s="111" t="str">
        <v>Q1 2026</v>
      </c>
      <c r="AC8">
        <v>0</v>
      </c>
      <c r="AD8">
        <v>0</v>
      </c>
      <c r="AE8" t="str">
        <v>Ana Damásio</v>
      </c>
      <c r="AF8" t="str">
        <v>Carla Veiga</v>
      </c>
      <c r="AG8" t="str">
        <v>Springs Els Club - *Vilamoura</v>
      </c>
      <c r="AH8" t="str">
        <v>The new chapter of Vilamoura begins here. Join the inner circle with Club access to golf, sport, equestrian &amp; beach life.</v>
      </c>
      <c r="AI8" t="str">
        <v>Gym, Spa, Lazy River, Private Pools, Outdoor Areas, Smart Home Technology, Tennis Court, Clubhouse, Private Parking, Vista Membership</v>
      </c>
      <c r="AJ8"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8" t="str">
        <v>Promontório</v>
      </c>
      <c r="AL8" t="str">
        <v>Springs - At the Els</v>
      </c>
    </row>
    <row r="9" spans="1:38" x14ac:dyDescent="0.3">
      <c r="A9" s="129" t="str">
        <v>ELS</v>
      </c>
      <c r="B9" s="129" t="str">
        <v>Vilamoura</v>
      </c>
      <c r="C9" s="110" t="str">
        <v>13</v>
      </c>
      <c r="D9" s="110" t="str">
        <v>Vilamoura, Algarve</v>
      </c>
      <c r="E9" s="110" t="str">
        <v>Plot</v>
      </c>
      <c r="F9" s="110">
        <v>560</v>
      </c>
      <c r="G9" s="110">
        <v>0</v>
      </c>
      <c r="H9" s="110" t="str">
        <v/>
      </c>
      <c r="I9" s="110" t="str">
        <v/>
      </c>
      <c r="J9" s="110">
        <v>0</v>
      </c>
      <c r="K9" s="110">
        <v>0</v>
      </c>
      <c r="L9" s="110">
        <v>0</v>
      </c>
      <c r="M9" s="110">
        <v>0</v>
      </c>
      <c r="N9" s="110">
        <v>0</v>
      </c>
      <c r="O9" s="110">
        <v>560</v>
      </c>
      <c r="P9" s="110">
        <v>0</v>
      </c>
      <c r="Q9" s="110" t="str">
        <v>AVAILABLE</v>
      </c>
      <c r="R9" s="110">
        <v>3360000</v>
      </c>
      <c r="S9" s="110">
        <v>3360000</v>
      </c>
      <c r="T9" s="110">
        <v>2630000</v>
      </c>
      <c r="U9" s="110">
        <v>0</v>
      </c>
      <c r="V9" s="110">
        <v>0</v>
      </c>
      <c r="W9" s="110">
        <v>2630000</v>
      </c>
      <c r="X9" s="110">
        <v>0</v>
      </c>
      <c r="Y9" s="110">
        <v>2630000</v>
      </c>
      <c r="Z9" s="110">
        <v>2630000</v>
      </c>
      <c r="AA9" s="110">
        <v>46102</v>
      </c>
      <c r="AB9" s="111" t="str">
        <v>Q1 2026</v>
      </c>
      <c r="AC9">
        <v>0</v>
      </c>
      <c r="AD9">
        <v>0</v>
      </c>
      <c r="AE9" t="str">
        <v>Ana Damásio</v>
      </c>
      <c r="AF9" t="str">
        <v>Carla Veiga</v>
      </c>
      <c r="AG9" t="str">
        <v>Springs Els Club - *Vilamoura</v>
      </c>
      <c r="AH9" t="str">
        <v>The new chapter of Vilamoura begins here. Join the inner circle with Club access to golf, sport, equestrian &amp; beach life.</v>
      </c>
      <c r="AI9" t="str">
        <v>Gym, Spa, Lazy River, Private Pools, Outdoor Areas, Smart Home Technology, Tennis Court, Clubhouse, Private Parking, Vista Membership</v>
      </c>
      <c r="AJ9"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9" t="str">
        <v>Promontório</v>
      </c>
      <c r="AL9" t="str">
        <v>Springs - At the Els</v>
      </c>
    </row>
    <row r="10" spans="1:38" x14ac:dyDescent="0.3">
      <c r="A10" s="110" t="str">
        <v>ELS</v>
      </c>
      <c r="B10" s="110" t="str">
        <v>Vilamoura</v>
      </c>
      <c r="C10" s="110" t="str">
        <v>14</v>
      </c>
      <c r="D10" s="110" t="str">
        <v>Vilamoura, Algarve</v>
      </c>
      <c r="E10" s="110" t="str">
        <v>Plot</v>
      </c>
      <c r="F10" s="110">
        <v>560</v>
      </c>
      <c r="G10" s="110">
        <v>0</v>
      </c>
      <c r="H10" s="110" t="str">
        <v/>
      </c>
      <c r="I10" s="110" t="str">
        <v/>
      </c>
      <c r="J10" s="110">
        <v>0</v>
      </c>
      <c r="K10" s="110">
        <v>0</v>
      </c>
      <c r="L10" s="110">
        <v>0</v>
      </c>
      <c r="M10" s="110">
        <v>0</v>
      </c>
      <c r="N10" s="110">
        <v>0</v>
      </c>
      <c r="O10" s="110">
        <v>560</v>
      </c>
      <c r="P10" s="110">
        <v>0</v>
      </c>
      <c r="Q10" s="110" t="str">
        <v>AVAILABLE</v>
      </c>
      <c r="R10" s="110">
        <v>3230000</v>
      </c>
      <c r="S10" s="110">
        <v>3230000</v>
      </c>
      <c r="T10" s="110">
        <v>2610000</v>
      </c>
      <c r="U10" s="110">
        <v>0</v>
      </c>
      <c r="V10" s="110">
        <v>0</v>
      </c>
      <c r="W10" s="110">
        <v>2610000</v>
      </c>
      <c r="X10" s="110">
        <v>0</v>
      </c>
      <c r="Y10" s="110">
        <v>2610000</v>
      </c>
      <c r="Z10" s="110">
        <v>2610000</v>
      </c>
      <c r="AA10" s="110">
        <v>46102</v>
      </c>
      <c r="AB10" s="111" t="str">
        <v>Q1 2026</v>
      </c>
      <c r="AC10">
        <v>0</v>
      </c>
      <c r="AD10">
        <v>0</v>
      </c>
      <c r="AE10" t="str">
        <v>Ana Damásio</v>
      </c>
      <c r="AF10" t="str">
        <v>Carla Veiga</v>
      </c>
      <c r="AG10" t="str">
        <v>Springs Els Club - *Vilamoura</v>
      </c>
      <c r="AH10" t="str">
        <v>The new chapter of Vilamoura begins here. Join the inner circle with Club access to golf, sport, equestrian &amp; beach life.</v>
      </c>
      <c r="AI10" t="str">
        <v>Gym, Spa, Lazy River, Private Pools, Outdoor Areas, Smart Home Technology, Tennis Court, Clubhouse, Private Parking, Vista Membership</v>
      </c>
      <c r="AJ10"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10" t="str">
        <v>Promontório</v>
      </c>
      <c r="AL10" t="str">
        <v>Springs - At the Els</v>
      </c>
    </row>
    <row r="11" spans="1:38" x14ac:dyDescent="0.3">
      <c r="A11" s="110" t="str">
        <v>ELS</v>
      </c>
      <c r="B11" s="110" t="str">
        <v>Vilamoura</v>
      </c>
      <c r="C11" s="110" t="str">
        <v>16</v>
      </c>
      <c r="D11" s="110" t="str">
        <v>Vilamoura, Algarve</v>
      </c>
      <c r="E11" s="110" t="str">
        <v>Plot</v>
      </c>
      <c r="F11" s="110">
        <v>480</v>
      </c>
      <c r="G11" s="110">
        <v>0</v>
      </c>
      <c r="H11" s="110" t="str">
        <v/>
      </c>
      <c r="I11" s="110" t="str">
        <v/>
      </c>
      <c r="J11" s="110">
        <v>0</v>
      </c>
      <c r="K11" s="110">
        <v>0</v>
      </c>
      <c r="L11" s="110">
        <v>0</v>
      </c>
      <c r="M11" s="110">
        <v>0</v>
      </c>
      <c r="N11" s="110">
        <v>0</v>
      </c>
      <c r="O11" s="110">
        <v>480</v>
      </c>
      <c r="P11" s="110">
        <v>0</v>
      </c>
      <c r="Q11" s="110" t="str">
        <v>AVAILABLE</v>
      </c>
      <c r="R11" s="110">
        <v>3120000</v>
      </c>
      <c r="S11" s="110">
        <v>3120000</v>
      </c>
      <c r="T11" s="110">
        <v>2160000</v>
      </c>
      <c r="U11" s="110">
        <v>0</v>
      </c>
      <c r="V11" s="110">
        <v>0</v>
      </c>
      <c r="W11" s="110">
        <v>2160000</v>
      </c>
      <c r="X11" s="110">
        <v>0</v>
      </c>
      <c r="Y11" s="110">
        <v>2160000</v>
      </c>
      <c r="Z11" s="110">
        <v>2160000</v>
      </c>
      <c r="AA11" s="110">
        <v>46102</v>
      </c>
      <c r="AB11" s="111" t="str">
        <v>Q1 2026</v>
      </c>
      <c r="AC11">
        <v>0</v>
      </c>
      <c r="AD11">
        <v>0</v>
      </c>
      <c r="AE11" t="str">
        <v>Ana Damásio</v>
      </c>
      <c r="AF11" t="str">
        <v>Carla Veiga</v>
      </c>
      <c r="AG11" t="str">
        <v>Springs Els Club - *Vilamoura</v>
      </c>
      <c r="AH11" t="str">
        <v>The new chapter of Vilamoura begins here. Join the inner circle with Club access to golf, sport, equestrian &amp; beach life.</v>
      </c>
      <c r="AI11" t="str">
        <v>Gym, Spa, Lazy River, Private Pools, Outdoor Areas, Smart Home Technology, Tennis Court, Clubhouse, Private Parking, Vista Membership</v>
      </c>
      <c r="AJ11"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11" t="str">
        <v>Promontório</v>
      </c>
      <c r="AL11" t="str">
        <v>Springs - At the Els</v>
      </c>
    </row>
    <row r="12" spans="1:38" x14ac:dyDescent="0.3">
      <c r="A12" s="110" t="str">
        <v>ELS</v>
      </c>
      <c r="B12" s="110" t="str">
        <v>Vilamoura</v>
      </c>
      <c r="C12" s="110" t="str">
        <v>17</v>
      </c>
      <c r="D12" s="110" t="str">
        <v>Vilamoura, Algarve</v>
      </c>
      <c r="E12" s="110" t="str">
        <v>Plot</v>
      </c>
      <c r="F12" s="110">
        <v>220</v>
      </c>
      <c r="G12" s="110">
        <v>0</v>
      </c>
      <c r="H12" s="110" t="str">
        <v/>
      </c>
      <c r="I12" s="110" t="str">
        <v/>
      </c>
      <c r="J12" s="110">
        <v>0</v>
      </c>
      <c r="K12" s="110">
        <v>0</v>
      </c>
      <c r="L12" s="110">
        <v>0</v>
      </c>
      <c r="M12" s="110">
        <v>0</v>
      </c>
      <c r="N12" s="110">
        <v>0</v>
      </c>
      <c r="O12" s="110">
        <v>220</v>
      </c>
      <c r="P12" s="110">
        <v>0</v>
      </c>
      <c r="Q12" s="110" t="str">
        <v>AVAILABLE</v>
      </c>
      <c r="R12" s="110">
        <v>3100000</v>
      </c>
      <c r="S12" s="110">
        <v>3100000</v>
      </c>
      <c r="T12" s="110">
        <v>980000</v>
      </c>
      <c r="U12" s="110">
        <v>0</v>
      </c>
      <c r="V12" s="110">
        <v>0</v>
      </c>
      <c r="W12" s="110">
        <v>980000</v>
      </c>
      <c r="X12" s="110">
        <v>0</v>
      </c>
      <c r="Y12" s="110">
        <v>980000</v>
      </c>
      <c r="Z12" s="110">
        <v>980000</v>
      </c>
      <c r="AA12" s="110">
        <v>46102</v>
      </c>
      <c r="AB12" s="111" t="str">
        <v>Q1 2026</v>
      </c>
      <c r="AC12">
        <v>0</v>
      </c>
      <c r="AD12">
        <v>0</v>
      </c>
      <c r="AE12" t="str">
        <v>Ana Damásio</v>
      </c>
      <c r="AF12" t="str">
        <v>Carla Veiga</v>
      </c>
      <c r="AG12" t="str">
        <v>Springs Els Club - *Vilamoura</v>
      </c>
      <c r="AH12" t="str">
        <v>The new chapter of Vilamoura begins here. Join the inner circle with Club access to golf, sport, equestrian &amp; beach life.</v>
      </c>
      <c r="AI12" t="str">
        <v>Gym, Spa, Lazy River, Private Pools, Outdoor Areas, Smart Home Technology, Tennis Court, Clubhouse, Private Parking, Vista Membership</v>
      </c>
      <c r="AJ12"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12" t="str">
        <v>Promontório</v>
      </c>
      <c r="AL12" t="str">
        <v>Springs - At the Els</v>
      </c>
    </row>
    <row r="13" spans="1:38" x14ac:dyDescent="0.3">
      <c r="A13" s="110" t="str">
        <v>ELS</v>
      </c>
      <c r="B13" s="110" t="str">
        <v>Vilamoura</v>
      </c>
      <c r="C13" s="110" t="str">
        <v>18</v>
      </c>
      <c r="D13" s="110" t="str">
        <v>Vilamoura, Algarve</v>
      </c>
      <c r="E13" s="110" t="str">
        <v>Plot</v>
      </c>
      <c r="F13" s="110">
        <v>220</v>
      </c>
      <c r="G13" s="110">
        <v>0</v>
      </c>
      <c r="H13" s="110" t="str">
        <v/>
      </c>
      <c r="I13" s="110" t="str">
        <v/>
      </c>
      <c r="J13" s="110">
        <v>0</v>
      </c>
      <c r="K13" s="110">
        <v>0</v>
      </c>
      <c r="L13" s="110">
        <v>0</v>
      </c>
      <c r="M13" s="110">
        <v>0</v>
      </c>
      <c r="N13" s="110">
        <v>0</v>
      </c>
      <c r="O13" s="110">
        <v>220</v>
      </c>
      <c r="P13" s="110">
        <v>0</v>
      </c>
      <c r="Q13" s="110" t="str">
        <v>AVAILABLE</v>
      </c>
      <c r="R13" s="110">
        <v>2790000</v>
      </c>
      <c r="S13" s="110">
        <v>2790000</v>
      </c>
      <c r="T13" s="110">
        <v>990000</v>
      </c>
      <c r="U13" s="110">
        <v>0</v>
      </c>
      <c r="V13" s="110">
        <v>0</v>
      </c>
      <c r="W13" s="110">
        <v>990000</v>
      </c>
      <c r="X13" s="110">
        <v>0</v>
      </c>
      <c r="Y13" s="110">
        <v>990000</v>
      </c>
      <c r="Z13" s="110">
        <v>990000</v>
      </c>
      <c r="AA13" s="110">
        <v>46102</v>
      </c>
      <c r="AB13" s="111" t="str">
        <v>Q1 2026</v>
      </c>
      <c r="AC13">
        <v>0</v>
      </c>
      <c r="AD13">
        <v>0</v>
      </c>
      <c r="AE13" t="str">
        <v>Ana Damásio</v>
      </c>
      <c r="AF13" t="str">
        <v>Carla Veiga</v>
      </c>
      <c r="AG13" t="str">
        <v>Springs Els Club - *Vilamoura</v>
      </c>
      <c r="AH13" t="str">
        <v>The new chapter of Vilamoura begins here. Join the inner circle with Club access to golf, sport, equestrian &amp; beach life.</v>
      </c>
      <c r="AI13" t="str">
        <v>Gym, Spa, Lazy River, Private Pools, Outdoor Areas, Smart Home Technology, Tennis Court, Clubhouse, Private Parking, Vista Membership</v>
      </c>
      <c r="AJ13"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13" t="str">
        <v>Promontório</v>
      </c>
      <c r="AL13" t="str">
        <v>Springs - At the Els</v>
      </c>
    </row>
    <row r="14" spans="1:38" x14ac:dyDescent="0.3">
      <c r="A14" s="110" t="str">
        <v>ELS</v>
      </c>
      <c r="B14" s="110" t="str">
        <v>Vilamoura</v>
      </c>
      <c r="C14" s="110" t="str">
        <v>19</v>
      </c>
      <c r="D14" s="110" t="str">
        <v>Vilamoura, Algarve</v>
      </c>
      <c r="E14" s="110" t="str">
        <v>Plot</v>
      </c>
      <c r="F14" s="110">
        <v>260</v>
      </c>
      <c r="G14" s="110">
        <v>0</v>
      </c>
      <c r="H14" s="110" t="str">
        <v/>
      </c>
      <c r="I14" s="110" t="str">
        <v/>
      </c>
      <c r="J14" s="110">
        <v>0</v>
      </c>
      <c r="K14" s="110">
        <v>0</v>
      </c>
      <c r="L14" s="110">
        <v>0</v>
      </c>
      <c r="M14" s="110">
        <v>0</v>
      </c>
      <c r="N14" s="110">
        <v>0</v>
      </c>
      <c r="O14" s="110">
        <v>260</v>
      </c>
      <c r="P14" s="110">
        <v>0</v>
      </c>
      <c r="Q14" s="110" t="str">
        <v>AVAILABLE</v>
      </c>
      <c r="R14" s="110">
        <v>2920000</v>
      </c>
      <c r="S14" s="110">
        <v>2920000</v>
      </c>
      <c r="T14" s="110">
        <v>660000</v>
      </c>
      <c r="U14" s="110">
        <v>0</v>
      </c>
      <c r="V14" s="110">
        <v>0</v>
      </c>
      <c r="W14" s="110">
        <v>660000</v>
      </c>
      <c r="X14" s="110">
        <v>0</v>
      </c>
      <c r="Y14" s="110">
        <v>660000</v>
      </c>
      <c r="Z14" s="110">
        <v>660000</v>
      </c>
      <c r="AA14" s="110">
        <v>46102</v>
      </c>
      <c r="AB14" s="111" t="str">
        <v>Q1 2026</v>
      </c>
      <c r="AC14">
        <v>0</v>
      </c>
      <c r="AD14">
        <v>0</v>
      </c>
      <c r="AE14" t="str">
        <v>Ana Damásio</v>
      </c>
      <c r="AF14" t="str">
        <v>Carla Veiga</v>
      </c>
      <c r="AG14" t="str">
        <v>Springs Els Club - *Vilamoura</v>
      </c>
      <c r="AH14" t="str">
        <v>The new chapter of Vilamoura begins here. Join the inner circle with Club access to golf, sport, equestrian &amp; beach life.</v>
      </c>
      <c r="AI14" t="str">
        <v>Gym, Spa, Lazy River, Private Pools, Outdoor Areas, Smart Home Technology, Tennis Court, Clubhouse, Private Parking, Vista Membership</v>
      </c>
      <c r="AJ14"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14" t="str">
        <v>Promontório</v>
      </c>
      <c r="AL14" t="str">
        <v>Springs - At the Els</v>
      </c>
    </row>
    <row r="15" spans="1:38" x14ac:dyDescent="0.3">
      <c r="A15" s="110" t="str">
        <v>ELS</v>
      </c>
      <c r="B15" s="110" t="str">
        <v>Vilamoura</v>
      </c>
      <c r="C15" s="110" t="str">
        <v>2</v>
      </c>
      <c r="D15" s="110" t="str">
        <v>Vilamoura, Algarve</v>
      </c>
      <c r="E15" s="110" t="str">
        <v>Plot</v>
      </c>
      <c r="F15" s="110">
        <v>285</v>
      </c>
      <c r="G15" s="110">
        <v>0</v>
      </c>
      <c r="H15" s="110" t="str">
        <v/>
      </c>
      <c r="I15" s="110" t="str">
        <v/>
      </c>
      <c r="J15" s="110">
        <v>0</v>
      </c>
      <c r="K15" s="110">
        <v>0</v>
      </c>
      <c r="L15" s="110">
        <v>0</v>
      </c>
      <c r="M15" s="110">
        <v>0</v>
      </c>
      <c r="N15" s="110">
        <v>0</v>
      </c>
      <c r="O15" s="110">
        <v>285</v>
      </c>
      <c r="P15" s="110">
        <v>0</v>
      </c>
      <c r="Q15" s="110" t="str">
        <v>AVAILABLE</v>
      </c>
      <c r="R15" s="110">
        <v>2640000</v>
      </c>
      <c r="S15" s="110">
        <v>2640000</v>
      </c>
      <c r="T15" s="110">
        <v>1510000</v>
      </c>
      <c r="U15" s="110">
        <v>0</v>
      </c>
      <c r="V15" s="110">
        <v>0</v>
      </c>
      <c r="W15" s="110">
        <v>1510000</v>
      </c>
      <c r="X15" s="110">
        <v>0</v>
      </c>
      <c r="Y15" s="110">
        <v>1510000</v>
      </c>
      <c r="Z15" s="110">
        <v>1510000</v>
      </c>
      <c r="AA15" s="110">
        <v>46102</v>
      </c>
      <c r="AB15" s="111" t="str">
        <v>Q1 2026</v>
      </c>
      <c r="AC15">
        <v>0</v>
      </c>
      <c r="AD15">
        <v>0</v>
      </c>
      <c r="AE15" t="str">
        <v>Ana Damásio</v>
      </c>
      <c r="AF15" t="str">
        <v>Carla Veiga</v>
      </c>
      <c r="AG15" t="str">
        <v>Springs Els Club - *Vilamoura</v>
      </c>
      <c r="AH15" t="str">
        <v>The new chapter of Vilamoura begins here. Join the inner circle with Club access to golf, sport, equestrian &amp; beach life.</v>
      </c>
      <c r="AI15" t="str">
        <v>Gym, Spa, Lazy River, Private Pools, Outdoor Areas, Smart Home Technology, Tennis Court, Clubhouse, Private Parking, Vista Membership</v>
      </c>
      <c r="AJ15"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15" t="str">
        <v>Promontório</v>
      </c>
      <c r="AL15" t="str">
        <v>Springs - At the Els</v>
      </c>
    </row>
    <row r="16" spans="1:38" x14ac:dyDescent="0.3">
      <c r="A16" s="110" t="str">
        <v>ELS</v>
      </c>
      <c r="B16" s="110" t="str">
        <v>Vilamoura</v>
      </c>
      <c r="C16" s="110" t="str">
        <v>20</v>
      </c>
      <c r="D16" s="110" t="str">
        <v>Vilamoura, Algarve</v>
      </c>
      <c r="E16" s="110" t="str">
        <v>Plot</v>
      </c>
      <c r="F16" s="110">
        <v>260</v>
      </c>
      <c r="G16" s="110">
        <v>0</v>
      </c>
      <c r="H16" s="110" t="str">
        <v/>
      </c>
      <c r="I16" s="110" t="str">
        <v/>
      </c>
      <c r="J16" s="110">
        <v>0</v>
      </c>
      <c r="K16" s="110">
        <v>0</v>
      </c>
      <c r="L16" s="110">
        <v>0</v>
      </c>
      <c r="M16" s="110">
        <v>0</v>
      </c>
      <c r="N16" s="110">
        <v>0</v>
      </c>
      <c r="O16" s="110">
        <v>260</v>
      </c>
      <c r="P16" s="110">
        <v>0</v>
      </c>
      <c r="Q16" s="110" t="str">
        <v>AVAILABLE</v>
      </c>
      <c r="R16" s="110">
        <v>1840000</v>
      </c>
      <c r="S16" s="110">
        <v>1840000</v>
      </c>
      <c r="T16" s="110">
        <v>640000</v>
      </c>
      <c r="U16" s="110">
        <v>0</v>
      </c>
      <c r="V16" s="110">
        <v>0</v>
      </c>
      <c r="W16" s="110">
        <v>640000</v>
      </c>
      <c r="X16" s="110">
        <v>0</v>
      </c>
      <c r="Y16" s="110">
        <v>640000</v>
      </c>
      <c r="Z16" s="110">
        <v>640000</v>
      </c>
      <c r="AA16" s="110">
        <v>46102</v>
      </c>
      <c r="AB16" s="111" t="str">
        <v>Q1 2026</v>
      </c>
      <c r="AC16">
        <v>0</v>
      </c>
      <c r="AD16">
        <v>0</v>
      </c>
      <c r="AE16" t="str">
        <v>Ana Damásio</v>
      </c>
      <c r="AF16" t="str">
        <v>Carla Veiga</v>
      </c>
      <c r="AG16" t="str">
        <v>Springs Els Club - *Vilamoura</v>
      </c>
      <c r="AH16" t="str">
        <v>The new chapter of Vilamoura begins here. Join the inner circle with Club access to golf, sport, equestrian &amp; beach life.</v>
      </c>
      <c r="AI16" t="str">
        <v>Gym, Spa, Lazy River, Private Pools, Outdoor Areas, Smart Home Technology, Tennis Court, Clubhouse, Private Parking, Vista Membership</v>
      </c>
      <c r="AJ16"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16" t="str">
        <v>Promontório</v>
      </c>
      <c r="AL16" t="str">
        <v>Springs - At the Els</v>
      </c>
    </row>
    <row r="17" spans="1:38" x14ac:dyDescent="0.3">
      <c r="A17" s="110" t="str">
        <v>ELS</v>
      </c>
      <c r="B17" s="110" t="str">
        <v>Vilamoura</v>
      </c>
      <c r="C17" s="110" t="str">
        <v>21</v>
      </c>
      <c r="D17" s="110" t="str">
        <v>Vilamoura, Algarve</v>
      </c>
      <c r="E17" s="110" t="str">
        <v>Plot</v>
      </c>
      <c r="F17" s="110">
        <v>260</v>
      </c>
      <c r="G17" s="110">
        <v>0</v>
      </c>
      <c r="H17" s="110" t="str">
        <v/>
      </c>
      <c r="I17" s="110" t="str">
        <v/>
      </c>
      <c r="J17" s="110">
        <v>0</v>
      </c>
      <c r="K17" s="110">
        <v>0</v>
      </c>
      <c r="L17" s="110">
        <v>0</v>
      </c>
      <c r="M17" s="110">
        <v>0</v>
      </c>
      <c r="N17" s="110">
        <v>0</v>
      </c>
      <c r="O17" s="110">
        <v>260</v>
      </c>
      <c r="P17" s="110">
        <v>0</v>
      </c>
      <c r="Q17" s="110" t="str">
        <v>AVAILABLE</v>
      </c>
      <c r="R17" s="110">
        <v>3150000</v>
      </c>
      <c r="S17" s="110">
        <v>3150000</v>
      </c>
      <c r="T17" s="110">
        <v>660000</v>
      </c>
      <c r="U17" s="110">
        <v>0</v>
      </c>
      <c r="V17" s="110">
        <v>0</v>
      </c>
      <c r="W17" s="110">
        <v>660000</v>
      </c>
      <c r="X17" s="110">
        <v>0</v>
      </c>
      <c r="Y17" s="110">
        <v>660000</v>
      </c>
      <c r="Z17" s="110">
        <v>660000</v>
      </c>
      <c r="AA17" s="110">
        <v>46102</v>
      </c>
      <c r="AB17" s="111" t="str">
        <v>Q1 2026</v>
      </c>
      <c r="AC17">
        <v>0</v>
      </c>
      <c r="AD17">
        <v>0</v>
      </c>
      <c r="AE17" t="str">
        <v>Ana Damásio</v>
      </c>
      <c r="AF17" t="str">
        <v>Carla Veiga</v>
      </c>
      <c r="AG17" t="str">
        <v>Springs Els Club - *Vilamoura</v>
      </c>
      <c r="AH17" t="str">
        <v>The new chapter of Vilamoura begins here. Join the inner circle with Club access to golf, sport, equestrian &amp; beach life.</v>
      </c>
      <c r="AI17" t="str">
        <v>Gym, Spa, Lazy River, Private Pools, Outdoor Areas, Smart Home Technology, Tennis Court, Clubhouse, Private Parking, Vista Membership</v>
      </c>
      <c r="AJ17"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17" t="str">
        <v>Promontório</v>
      </c>
      <c r="AL17" t="str">
        <v>Springs - At the Els</v>
      </c>
    </row>
    <row r="18" spans="1:38" x14ac:dyDescent="0.3">
      <c r="A18" s="110" t="str">
        <v>ELS</v>
      </c>
      <c r="B18" s="110" t="str">
        <v>Vilamoura</v>
      </c>
      <c r="C18" s="110" t="str">
        <v>22</v>
      </c>
      <c r="D18" s="110" t="str">
        <v>Vilamoura, Algarve</v>
      </c>
      <c r="E18" s="110" t="str">
        <v>Plot</v>
      </c>
      <c r="F18" s="110">
        <v>260</v>
      </c>
      <c r="G18" s="110">
        <v>0</v>
      </c>
      <c r="H18" s="110" t="str">
        <v/>
      </c>
      <c r="I18" s="110" t="str">
        <v/>
      </c>
      <c r="J18" s="110">
        <v>0</v>
      </c>
      <c r="K18" s="110">
        <v>0</v>
      </c>
      <c r="L18" s="110">
        <v>0</v>
      </c>
      <c r="M18" s="110">
        <v>0</v>
      </c>
      <c r="N18" s="110">
        <v>0</v>
      </c>
      <c r="O18" s="110">
        <v>260</v>
      </c>
      <c r="P18" s="110">
        <v>0</v>
      </c>
      <c r="Q18" s="110" t="str">
        <v>AVAILABLE</v>
      </c>
      <c r="R18" s="110">
        <v>1840000</v>
      </c>
      <c r="S18" s="110">
        <v>1840000</v>
      </c>
      <c r="T18" s="110">
        <v>650000</v>
      </c>
      <c r="U18" s="110">
        <v>0</v>
      </c>
      <c r="V18" s="110">
        <v>0</v>
      </c>
      <c r="W18" s="110">
        <v>650000</v>
      </c>
      <c r="X18" s="110">
        <v>0</v>
      </c>
      <c r="Y18" s="110">
        <v>650000</v>
      </c>
      <c r="Z18" s="110">
        <v>650000</v>
      </c>
      <c r="AA18" s="110">
        <v>46102</v>
      </c>
      <c r="AB18" s="111" t="str">
        <v>Q1 2026</v>
      </c>
      <c r="AC18">
        <v>0</v>
      </c>
      <c r="AD18">
        <v>0</v>
      </c>
      <c r="AE18" t="str">
        <v>Ana Damásio</v>
      </c>
      <c r="AF18" t="str">
        <v>Carla Veiga</v>
      </c>
      <c r="AG18" t="str">
        <v>Springs Els Club - *Vilamoura</v>
      </c>
      <c r="AH18" t="str">
        <v>The new chapter of Vilamoura begins here. Join the inner circle with Club access to golf, sport, equestrian &amp; beach life.</v>
      </c>
      <c r="AI18" t="str">
        <v>Gym, Spa, Lazy River, Private Pools, Outdoor Areas, Smart Home Technology, Tennis Court, Clubhouse, Private Parking, Vista Membership</v>
      </c>
      <c r="AJ18"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18" t="str">
        <v>Promontório</v>
      </c>
      <c r="AL18" t="str">
        <v>Springs - At the Els</v>
      </c>
    </row>
    <row r="19" spans="1:38" x14ac:dyDescent="0.3">
      <c r="A19" s="110" t="str">
        <v>ELS</v>
      </c>
      <c r="B19" s="110" t="str">
        <v>Vilamoura</v>
      </c>
      <c r="C19" s="110" t="str">
        <v>3</v>
      </c>
      <c r="D19" s="110" t="str">
        <v>Vilamoura, Algarve</v>
      </c>
      <c r="E19" s="110" t="str">
        <v>Plot</v>
      </c>
      <c r="F19" s="110">
        <v>440</v>
      </c>
      <c r="G19" s="110">
        <v>0</v>
      </c>
      <c r="H19" s="110" t="str">
        <v/>
      </c>
      <c r="I19" s="110" t="str">
        <v/>
      </c>
      <c r="J19" s="110">
        <v>0</v>
      </c>
      <c r="K19" s="110">
        <v>0</v>
      </c>
      <c r="L19" s="110">
        <v>0</v>
      </c>
      <c r="M19" s="110">
        <v>0</v>
      </c>
      <c r="N19" s="110">
        <v>0</v>
      </c>
      <c r="O19" s="110">
        <v>440</v>
      </c>
      <c r="P19" s="110">
        <v>0</v>
      </c>
      <c r="Q19" s="110" t="str">
        <v>AVAILABLE</v>
      </c>
      <c r="R19" s="110">
        <v>1230000</v>
      </c>
      <c r="S19" s="110">
        <v>1230000</v>
      </c>
      <c r="T19" s="110">
        <v>2390000</v>
      </c>
      <c r="U19" s="110">
        <v>0</v>
      </c>
      <c r="V19" s="110">
        <v>0</v>
      </c>
      <c r="W19" s="110">
        <v>2390000</v>
      </c>
      <c r="X19" s="110">
        <v>0</v>
      </c>
      <c r="Y19" s="110">
        <v>2390000</v>
      </c>
      <c r="Z19" s="110">
        <v>2390000</v>
      </c>
      <c r="AA19" s="110">
        <v>46102</v>
      </c>
      <c r="AB19" s="111" t="str">
        <v>Q1 2026</v>
      </c>
      <c r="AC19">
        <v>0</v>
      </c>
      <c r="AD19">
        <v>0</v>
      </c>
      <c r="AE19" t="str">
        <v>Ana Damásio</v>
      </c>
      <c r="AF19" t="str">
        <v>Carla Veiga</v>
      </c>
      <c r="AG19" t="str">
        <v>Springs Els Club - *Vilamoura</v>
      </c>
      <c r="AH19" t="str">
        <v>The new chapter of Vilamoura begins here. Join the inner circle with Club access to golf, sport, equestrian &amp; beach life.</v>
      </c>
      <c r="AI19" t="str">
        <v>Gym, Spa, Lazy River, Private Pools, Outdoor Areas, Smart Home Technology, Tennis Court, Clubhouse, Private Parking, Vista Membership</v>
      </c>
      <c r="AJ19"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19" t="str">
        <v>Promontório</v>
      </c>
      <c r="AL19" t="str">
        <v>Springs - At the Els</v>
      </c>
    </row>
    <row r="20" spans="1:38" x14ac:dyDescent="0.3">
      <c r="A20" s="110" t="str">
        <v>ELS</v>
      </c>
      <c r="B20" s="110" t="str">
        <v>Vilamoura</v>
      </c>
      <c r="C20" s="110" t="str">
        <v>4</v>
      </c>
      <c r="D20" s="110" t="str">
        <v>Vilamoura, Algarve</v>
      </c>
      <c r="E20" s="110" t="str">
        <v>Plot</v>
      </c>
      <c r="F20" s="110">
        <v>440</v>
      </c>
      <c r="G20" s="110">
        <v>0</v>
      </c>
      <c r="H20" s="110" t="str">
        <v/>
      </c>
      <c r="I20" s="110" t="str">
        <v/>
      </c>
      <c r="J20" s="110">
        <v>0</v>
      </c>
      <c r="K20" s="110">
        <v>0</v>
      </c>
      <c r="L20" s="110">
        <v>0</v>
      </c>
      <c r="M20" s="110">
        <v>0</v>
      </c>
      <c r="N20" s="110">
        <v>0</v>
      </c>
      <c r="O20" s="110">
        <v>440</v>
      </c>
      <c r="P20" s="110">
        <v>0</v>
      </c>
      <c r="Q20" s="110" t="str">
        <v>AVAILABLE</v>
      </c>
      <c r="R20" s="110">
        <v>1240000</v>
      </c>
      <c r="S20" s="110">
        <v>1240000</v>
      </c>
      <c r="T20" s="110">
        <v>2280000</v>
      </c>
      <c r="U20" s="110">
        <v>0</v>
      </c>
      <c r="V20" s="110">
        <v>0</v>
      </c>
      <c r="W20" s="110">
        <v>2280000</v>
      </c>
      <c r="X20" s="110">
        <v>0</v>
      </c>
      <c r="Y20" s="110">
        <v>2280000</v>
      </c>
      <c r="Z20" s="110">
        <v>2280000</v>
      </c>
      <c r="AA20" s="110">
        <v>46102</v>
      </c>
      <c r="AB20" s="111" t="str">
        <v>Q1 2026</v>
      </c>
      <c r="AC20">
        <v>0</v>
      </c>
      <c r="AD20">
        <v>0</v>
      </c>
      <c r="AE20" t="str">
        <v>Ana Damásio</v>
      </c>
      <c r="AF20" t="str">
        <v>Carla Veiga</v>
      </c>
      <c r="AG20" t="str">
        <v>Springs Els Club - *Vilamoura</v>
      </c>
      <c r="AH20" t="str">
        <v>The new chapter of Vilamoura begins here. Join the inner circle with Club access to golf, sport, equestrian &amp; beach life.</v>
      </c>
      <c r="AI20" t="str">
        <v>Gym, Spa, Lazy River, Private Pools, Outdoor Areas, Smart Home Technology, Tennis Court, Clubhouse, Private Parking, Vista Membership</v>
      </c>
      <c r="AJ20"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20" t="str">
        <v>Promontório</v>
      </c>
      <c r="AL20" t="str">
        <v>Springs - At the Els</v>
      </c>
    </row>
    <row r="21" spans="1:38" x14ac:dyDescent="0.3">
      <c r="A21" s="110" t="str">
        <v>ELS</v>
      </c>
      <c r="B21" s="110" t="str">
        <v>Vilamoura</v>
      </c>
      <c r="C21" s="110" t="str">
        <v>5</v>
      </c>
      <c r="D21" s="110" t="str">
        <v>Vilamoura, Algarve</v>
      </c>
      <c r="E21" s="110" t="str">
        <v>Plot</v>
      </c>
      <c r="F21" s="110">
        <v>520</v>
      </c>
      <c r="G21" s="110">
        <v>0</v>
      </c>
      <c r="H21" s="110" t="str">
        <v/>
      </c>
      <c r="I21" s="110" t="str">
        <v/>
      </c>
      <c r="J21" s="110">
        <v>0</v>
      </c>
      <c r="K21" s="110">
        <v>0</v>
      </c>
      <c r="L21" s="110">
        <v>0</v>
      </c>
      <c r="M21" s="110">
        <v>0</v>
      </c>
      <c r="N21" s="110">
        <v>0</v>
      </c>
      <c r="O21" s="110">
        <v>520</v>
      </c>
      <c r="P21" s="110">
        <v>0</v>
      </c>
      <c r="Q21" s="110" t="str">
        <v>AVAILABLE</v>
      </c>
      <c r="R21" s="110">
        <v>1210000</v>
      </c>
      <c r="S21" s="110">
        <v>1210000</v>
      </c>
      <c r="T21" s="110">
        <v>2540000</v>
      </c>
      <c r="U21" s="110">
        <v>0</v>
      </c>
      <c r="V21" s="110">
        <v>0</v>
      </c>
      <c r="W21" s="110">
        <v>2540000</v>
      </c>
      <c r="X21" s="110">
        <v>0</v>
      </c>
      <c r="Y21" s="110">
        <v>2540000</v>
      </c>
      <c r="Z21" s="110">
        <v>2540000</v>
      </c>
      <c r="AA21" s="110">
        <v>46102</v>
      </c>
      <c r="AB21" s="111" t="str">
        <v>Q1 2026</v>
      </c>
      <c r="AC21">
        <v>0</v>
      </c>
      <c r="AD21">
        <v>0</v>
      </c>
      <c r="AE21" t="str">
        <v>Ana Damásio</v>
      </c>
      <c r="AF21" t="str">
        <v>Carla Veiga</v>
      </c>
      <c r="AG21" t="str">
        <v>Springs Els Club - *Vilamoura</v>
      </c>
      <c r="AH21" t="str">
        <v>The new chapter of Vilamoura begins here. Join the inner circle with Club access to golf, sport, equestrian &amp; beach life.</v>
      </c>
      <c r="AI21" t="str">
        <v>Gym, Spa, Lazy River, Private Pools, Outdoor Areas, Smart Home Technology, Tennis Court, Clubhouse, Private Parking, Vista Membership</v>
      </c>
      <c r="AJ21"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21" t="str">
        <v>Promontório</v>
      </c>
      <c r="AL21" t="str">
        <v>Springs - At the Els</v>
      </c>
    </row>
    <row r="22" spans="1:38" x14ac:dyDescent="0.3">
      <c r="A22" s="110" t="str">
        <v>ELS</v>
      </c>
      <c r="B22" s="110" t="str">
        <v>Vilamoura</v>
      </c>
      <c r="C22" s="110" t="str">
        <v>6</v>
      </c>
      <c r="D22" s="110" t="str">
        <v>Vilamoura, Algarve</v>
      </c>
      <c r="E22" s="110" t="str">
        <v>Plot</v>
      </c>
      <c r="F22" s="110">
        <v>520</v>
      </c>
      <c r="G22" s="110">
        <v>0</v>
      </c>
      <c r="H22" s="110" t="str">
        <v/>
      </c>
      <c r="I22" s="110" t="str">
        <v/>
      </c>
      <c r="J22" s="110">
        <v>0</v>
      </c>
      <c r="K22" s="110">
        <v>0</v>
      </c>
      <c r="L22" s="110">
        <v>0</v>
      </c>
      <c r="M22" s="110">
        <v>0</v>
      </c>
      <c r="N22" s="110">
        <v>0</v>
      </c>
      <c r="O22" s="110">
        <v>520</v>
      </c>
      <c r="P22" s="110">
        <v>0</v>
      </c>
      <c r="Q22" s="110" t="str">
        <v>AVAILABLE</v>
      </c>
      <c r="R22" s="110">
        <v>1200000</v>
      </c>
      <c r="S22" s="110">
        <v>1200000</v>
      </c>
      <c r="T22" s="110">
        <v>2560000</v>
      </c>
      <c r="U22" s="110">
        <v>0</v>
      </c>
      <c r="V22" s="110">
        <v>0</v>
      </c>
      <c r="W22" s="110">
        <v>2560000</v>
      </c>
      <c r="X22" s="110">
        <v>0</v>
      </c>
      <c r="Y22" s="110">
        <v>2560000</v>
      </c>
      <c r="Z22" s="110">
        <v>2560000</v>
      </c>
      <c r="AA22" s="110">
        <v>46102</v>
      </c>
      <c r="AB22" s="111" t="str">
        <v>Q1 2026</v>
      </c>
      <c r="AC22">
        <v>0</v>
      </c>
      <c r="AD22">
        <v>0</v>
      </c>
      <c r="AE22" t="str">
        <v>Ana Damásio</v>
      </c>
      <c r="AF22" t="str">
        <v>Carla Veiga</v>
      </c>
      <c r="AG22" t="str">
        <v>Springs Els Club - *Vilamoura</v>
      </c>
      <c r="AH22" t="str">
        <v>The new chapter of Vilamoura begins here. Join the inner circle with Club access to golf, sport, equestrian &amp; beach life.</v>
      </c>
      <c r="AI22" t="str">
        <v>Gym, Spa, Lazy River, Private Pools, Outdoor Areas, Smart Home Technology, Tennis Court, Clubhouse, Private Parking, Vista Membership</v>
      </c>
      <c r="AJ22"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22" t="str">
        <v>Promontório</v>
      </c>
      <c r="AL22" t="str">
        <v>Springs - At the Els</v>
      </c>
    </row>
    <row r="23" spans="1:38" x14ac:dyDescent="0.3">
      <c r="A23" s="110" t="str">
        <v>ELS</v>
      </c>
      <c r="B23" s="110" t="str">
        <v>Vilamoura</v>
      </c>
      <c r="C23" s="110" t="str">
        <v>7</v>
      </c>
      <c r="D23" s="110" t="str">
        <v>Vilamoura, Algarve</v>
      </c>
      <c r="E23" s="110" t="str">
        <v>Plot</v>
      </c>
      <c r="F23" s="110">
        <v>520</v>
      </c>
      <c r="G23" s="110">
        <v>0</v>
      </c>
      <c r="H23" s="110" t="str">
        <v/>
      </c>
      <c r="I23" s="110" t="str">
        <v/>
      </c>
      <c r="J23" s="110">
        <v>0</v>
      </c>
      <c r="K23" s="110">
        <v>0</v>
      </c>
      <c r="L23" s="110">
        <v>0</v>
      </c>
      <c r="M23" s="110">
        <v>0</v>
      </c>
      <c r="N23" s="110">
        <v>0</v>
      </c>
      <c r="O23" s="110">
        <v>520</v>
      </c>
      <c r="P23" s="110">
        <v>0</v>
      </c>
      <c r="Q23" s="110" t="str">
        <v>AVAILABLE</v>
      </c>
      <c r="R23" s="110">
        <v>1210000</v>
      </c>
      <c r="S23" s="110">
        <v>1210000</v>
      </c>
      <c r="T23" s="110">
        <v>2640000</v>
      </c>
      <c r="U23" s="110">
        <v>0</v>
      </c>
      <c r="V23" s="110">
        <v>0</v>
      </c>
      <c r="W23" s="110">
        <v>2640000</v>
      </c>
      <c r="X23" s="110">
        <v>0</v>
      </c>
      <c r="Y23" s="110">
        <v>2640000</v>
      </c>
      <c r="Z23" s="110">
        <v>2640000</v>
      </c>
      <c r="AA23" s="110">
        <v>46102</v>
      </c>
      <c r="AB23" s="111" t="str">
        <v>Q1 2026</v>
      </c>
      <c r="AC23">
        <v>0</v>
      </c>
      <c r="AD23">
        <v>0</v>
      </c>
      <c r="AE23" t="str">
        <v>Ana Damásio</v>
      </c>
      <c r="AF23" t="str">
        <v>Carla Veiga</v>
      </c>
      <c r="AG23" t="str">
        <v>Springs Els Club - *Vilamoura</v>
      </c>
      <c r="AH23" t="str">
        <v>The new chapter of Vilamoura begins here. Join the inner circle with Club access to golf, sport, equestrian &amp; beach life.</v>
      </c>
      <c r="AI23" t="str">
        <v>Gym, Spa, Lazy River, Private Pools, Outdoor Areas, Smart Home Technology, Tennis Court, Clubhouse, Private Parking, Vista Membership</v>
      </c>
      <c r="AJ23"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23" t="str">
        <v>Promontório</v>
      </c>
      <c r="AL23" t="str">
        <v>Springs - At the Els</v>
      </c>
    </row>
    <row r="24" spans="1:38" x14ac:dyDescent="0.3">
      <c r="A24" s="110" t="str">
        <v>ELS</v>
      </c>
      <c r="B24" s="110" t="str">
        <v>Vilamoura</v>
      </c>
      <c r="C24" s="110" t="str">
        <v>8</v>
      </c>
      <c r="D24" s="110" t="str">
        <v>Vilamoura, Algarve</v>
      </c>
      <c r="E24" s="110" t="str">
        <v>Plot</v>
      </c>
      <c r="F24" s="110">
        <v>520</v>
      </c>
      <c r="G24" s="110">
        <v>0</v>
      </c>
      <c r="H24" s="110" t="str">
        <v/>
      </c>
      <c r="I24" s="110" t="str">
        <v/>
      </c>
      <c r="J24" s="110">
        <v>0</v>
      </c>
      <c r="K24" s="110">
        <v>0</v>
      </c>
      <c r="L24" s="110">
        <v>0</v>
      </c>
      <c r="M24" s="110">
        <v>0</v>
      </c>
      <c r="N24" s="110">
        <v>0</v>
      </c>
      <c r="O24" s="110">
        <v>520</v>
      </c>
      <c r="P24" s="110">
        <v>0</v>
      </c>
      <c r="Q24" s="110" t="str">
        <v>AVAILABLE</v>
      </c>
      <c r="R24" s="110">
        <v>1230000</v>
      </c>
      <c r="S24" s="110">
        <v>1230000</v>
      </c>
      <c r="T24" s="110">
        <v>2640000</v>
      </c>
      <c r="U24" s="110">
        <v>0</v>
      </c>
      <c r="V24" s="110">
        <v>0</v>
      </c>
      <c r="W24" s="110">
        <v>2640000</v>
      </c>
      <c r="X24" s="110">
        <v>0</v>
      </c>
      <c r="Y24" s="110">
        <v>2640000</v>
      </c>
      <c r="Z24" s="110">
        <v>2640000</v>
      </c>
      <c r="AA24" s="110">
        <v>46102</v>
      </c>
      <c r="AB24" s="111" t="str">
        <v>Q1 2026</v>
      </c>
      <c r="AC24">
        <v>0</v>
      </c>
      <c r="AD24">
        <v>0</v>
      </c>
      <c r="AE24" t="str">
        <v>Ana Damásio</v>
      </c>
      <c r="AF24" t="str">
        <v>Carla Veiga</v>
      </c>
      <c r="AG24" t="str">
        <v>Springs Els Club - *Vilamoura</v>
      </c>
      <c r="AH24" t="str">
        <v>The new chapter of Vilamoura begins here. Join the inner circle with Club access to golf, sport, equestrian &amp; beach life.</v>
      </c>
      <c r="AI24" t="str">
        <v>Gym, Spa, Lazy River, Private Pools, Outdoor Areas, Smart Home Technology, Tennis Court, Clubhouse, Private Parking, Vista Membership</v>
      </c>
      <c r="AJ24"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24" t="str">
        <v>Promontório</v>
      </c>
      <c r="AL24" t="str">
        <v>Springs - At the Els</v>
      </c>
    </row>
    <row r="25" spans="1:38" x14ac:dyDescent="0.3">
      <c r="A25" s="110" t="str">
        <v>ELS</v>
      </c>
      <c r="B25" s="110" t="str">
        <v>Vilamoura</v>
      </c>
      <c r="C25" s="110" t="str">
        <v>9</v>
      </c>
      <c r="D25" s="110" t="str">
        <v>Vilamoura, Algarve</v>
      </c>
      <c r="E25" s="110" t="str">
        <v>Plot</v>
      </c>
      <c r="F25" s="110">
        <v>260</v>
      </c>
      <c r="G25" s="110">
        <v>0</v>
      </c>
      <c r="H25" s="110" t="str">
        <v/>
      </c>
      <c r="I25" s="110" t="str">
        <v/>
      </c>
      <c r="J25" s="110">
        <v>0</v>
      </c>
      <c r="K25" s="110">
        <v>0</v>
      </c>
      <c r="L25" s="110">
        <v>0</v>
      </c>
      <c r="M25" s="110">
        <v>0</v>
      </c>
      <c r="N25" s="110">
        <v>0</v>
      </c>
      <c r="O25" s="110">
        <v>260</v>
      </c>
      <c r="P25" s="110">
        <v>0</v>
      </c>
      <c r="Q25" s="110" t="str">
        <v>AVAILABLE</v>
      </c>
      <c r="R25" s="110">
        <v>1430000</v>
      </c>
      <c r="S25" s="110">
        <v>1430000</v>
      </c>
      <c r="T25" s="110">
        <v>1160000</v>
      </c>
      <c r="U25" s="110">
        <v>0</v>
      </c>
      <c r="V25" s="110">
        <v>0</v>
      </c>
      <c r="W25" s="110">
        <v>1160000</v>
      </c>
      <c r="X25" s="110">
        <v>0</v>
      </c>
      <c r="Y25" s="110">
        <v>1160000</v>
      </c>
      <c r="Z25" s="110">
        <v>1160000</v>
      </c>
      <c r="AA25" s="110">
        <v>46102</v>
      </c>
      <c r="AB25" s="111" t="str">
        <v>Q1 2026</v>
      </c>
      <c r="AC25">
        <v>0</v>
      </c>
      <c r="AD25">
        <v>0</v>
      </c>
      <c r="AE25" t="str">
        <v>Ana Damásio</v>
      </c>
      <c r="AF25" t="str">
        <v>Carla Veiga</v>
      </c>
      <c r="AG25" t="str">
        <v>Springs Els Club - *Vilamoura</v>
      </c>
      <c r="AH25" t="str">
        <v>The new chapter of Vilamoura begins here. Join the inner circle with Club access to golf, sport, equestrian &amp; beach life.</v>
      </c>
      <c r="AI25" t="str">
        <v>Gym, Spa, Lazy River, Private Pools, Outdoor Areas, Smart Home Technology, Tennis Court, Clubhouse, Private Parking, Vista Membership</v>
      </c>
      <c r="AJ25"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25" t="str">
        <v>Promontório</v>
      </c>
      <c r="AL25" t="str">
        <v>Springs - At the Els</v>
      </c>
    </row>
    <row r="26" spans="1:38" x14ac:dyDescent="0.3">
      <c r="A26" s="110" t="str">
        <v>SPRINGS</v>
      </c>
      <c r="B26" s="110" t="str">
        <v>Vilamoura</v>
      </c>
      <c r="C26" s="110" t="str">
        <v>V</v>
      </c>
      <c r="D26" s="110" t="str">
        <v>Vilamoura, Algarve</v>
      </c>
      <c r="E26" s="110" t="str">
        <v>V3</v>
      </c>
      <c r="F26" s="110">
        <v>323.58999999999997</v>
      </c>
      <c r="G26" s="110">
        <v>165.79</v>
      </c>
      <c r="H26" s="110" t="str">
        <v/>
      </c>
      <c r="I26" s="110" t="str">
        <v/>
      </c>
      <c r="J26" s="110">
        <v>0</v>
      </c>
      <c r="K26" s="110">
        <v>0</v>
      </c>
      <c r="L26" s="110">
        <v>0</v>
      </c>
      <c r="M26" s="110">
        <v>0</v>
      </c>
      <c r="N26" s="110">
        <v>0</v>
      </c>
      <c r="O26" s="110">
        <v>157.80000000000001</v>
      </c>
      <c r="P26" s="110">
        <v>0</v>
      </c>
      <c r="Q26" s="110" t="str">
        <v xml:space="preserve">PSPA </v>
      </c>
      <c r="R26" s="110">
        <v>1602100</v>
      </c>
      <c r="S26" s="110">
        <v>1691050</v>
      </c>
      <c r="T26" s="110">
        <v>1750000</v>
      </c>
      <c r="U26" s="110">
        <v>24600</v>
      </c>
      <c r="V26" s="110">
        <v>64350</v>
      </c>
      <c r="W26" s="110">
        <v>1661050</v>
      </c>
      <c r="X26" s="110">
        <v>0</v>
      </c>
      <c r="Y26" s="110">
        <v>1750000</v>
      </c>
      <c r="Z26" s="110">
        <v>1661050</v>
      </c>
      <c r="AA26" s="110">
        <v>45673</v>
      </c>
      <c r="AB26" s="111" t="str">
        <v>Q1 2025</v>
      </c>
      <c r="AC26">
        <v>45953</v>
      </c>
      <c r="AD26">
        <v>0</v>
      </c>
      <c r="AE26" t="str">
        <v>Ana Damásio</v>
      </c>
      <c r="AF26" t="str">
        <v>Carla Veiga</v>
      </c>
      <c r="AG26" t="str">
        <v>Springs Els Club - *Vilamoura</v>
      </c>
      <c r="AH26" t="str">
        <v>The new chapter of Vilamoura begins here. Join the inner circle with Club access to golf, sport, equestrian &amp; beach life.</v>
      </c>
      <c r="AI26" t="str">
        <v>Gym, Spa, Lazy River, Private Pools, Outdoor Areas, Smart Home Technology, Tennis Court, Clubhouse, Private Parking, Vista Membership</v>
      </c>
      <c r="AJ26"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26" t="str">
        <v>Promontório</v>
      </c>
      <c r="AL26" t="str">
        <v>Springs - At the Els</v>
      </c>
    </row>
    <row r="27" spans="1:38" x14ac:dyDescent="0.3">
      <c r="A27" s="110" t="str">
        <v>SPRINGS</v>
      </c>
      <c r="B27" s="110" t="str">
        <v>Vilamoura</v>
      </c>
      <c r="C27" s="110" t="str">
        <v>W</v>
      </c>
      <c r="D27" s="110" t="str">
        <v>Vilamoura, Algarve</v>
      </c>
      <c r="E27" s="110" t="str">
        <v>V3</v>
      </c>
      <c r="F27" s="110">
        <v>323.58999999999997</v>
      </c>
      <c r="G27" s="110">
        <v>165.79</v>
      </c>
      <c r="H27" s="110" t="str">
        <v/>
      </c>
      <c r="I27" s="110" t="str">
        <v/>
      </c>
      <c r="J27" s="110">
        <v>0</v>
      </c>
      <c r="K27" s="110">
        <v>0</v>
      </c>
      <c r="L27" s="110">
        <v>0</v>
      </c>
      <c r="M27" s="110">
        <v>0</v>
      </c>
      <c r="N27" s="110">
        <v>0</v>
      </c>
      <c r="O27" s="110">
        <v>157.80000000000001</v>
      </c>
      <c r="P27" s="110">
        <v>0</v>
      </c>
      <c r="Q27" s="110" t="str">
        <v xml:space="preserve">PSPA </v>
      </c>
      <c r="R27" s="110">
        <v>1602100</v>
      </c>
      <c r="S27" s="110">
        <v>1691050</v>
      </c>
      <c r="T27" s="110">
        <v>1750000</v>
      </c>
      <c r="U27" s="110">
        <v>24600</v>
      </c>
      <c r="V27" s="110">
        <v>64350</v>
      </c>
      <c r="W27" s="110">
        <v>1661050</v>
      </c>
      <c r="X27" s="110">
        <v>0</v>
      </c>
      <c r="Y27" s="110">
        <v>1750000</v>
      </c>
      <c r="Z27" s="110">
        <v>1661050</v>
      </c>
      <c r="AA27" s="110">
        <v>45673</v>
      </c>
      <c r="AB27" s="111" t="str">
        <v>Q1 2025</v>
      </c>
      <c r="AC27">
        <v>45964</v>
      </c>
      <c r="AD27">
        <v>0</v>
      </c>
      <c r="AE27" t="str">
        <v>Ana Damásio</v>
      </c>
      <c r="AF27" t="str">
        <v>Carla Veiga</v>
      </c>
      <c r="AG27" t="str">
        <v>Springs Els Club - *Vilamoura</v>
      </c>
      <c r="AH27" t="str">
        <v>The new chapter of Vilamoura begins here. Join the inner circle with Club access to golf, sport, equestrian &amp; beach life.</v>
      </c>
      <c r="AI27" t="str">
        <v>Gym, Spa, Lazy River, Private Pools, Outdoor Areas, Smart Home Technology, Tennis Court, Clubhouse, Private Parking, Vista Membership</v>
      </c>
      <c r="AJ27"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27" t="str">
        <v>Promontório</v>
      </c>
      <c r="AL27" t="str">
        <v>Springs - At the Els</v>
      </c>
    </row>
    <row r="28" spans="1:38" x14ac:dyDescent="0.3">
      <c r="A28" s="110" t="str">
        <v>SPRINGS</v>
      </c>
      <c r="B28" s="110" t="str">
        <v>Vilamoura</v>
      </c>
      <c r="C28" s="110" t="str">
        <v>X</v>
      </c>
      <c r="D28" s="110" t="str">
        <v>Vilamoura, Algarve</v>
      </c>
      <c r="E28" s="110" t="str">
        <v>V3</v>
      </c>
      <c r="F28" s="110">
        <v>323.58999999999997</v>
      </c>
      <c r="G28" s="110">
        <v>165.79</v>
      </c>
      <c r="H28" s="110" t="str">
        <v/>
      </c>
      <c r="I28" s="110" t="str">
        <v/>
      </c>
      <c r="J28" s="110">
        <v>0</v>
      </c>
      <c r="K28" s="110">
        <v>0</v>
      </c>
      <c r="L28" s="110">
        <v>0</v>
      </c>
      <c r="M28" s="110">
        <v>0</v>
      </c>
      <c r="N28" s="110">
        <v>0</v>
      </c>
      <c r="O28" s="110">
        <v>157.80000000000001</v>
      </c>
      <c r="P28" s="110">
        <v>0</v>
      </c>
      <c r="Q28" s="110" t="str">
        <v xml:space="preserve">PSPA </v>
      </c>
      <c r="R28" s="110">
        <v>1652100</v>
      </c>
      <c r="S28" s="110">
        <v>1741050</v>
      </c>
      <c r="T28" s="110">
        <v>1800000</v>
      </c>
      <c r="U28" s="110">
        <v>24600</v>
      </c>
      <c r="V28" s="110">
        <v>64350</v>
      </c>
      <c r="W28" s="110">
        <v>1711050</v>
      </c>
      <c r="X28" s="110">
        <v>0</v>
      </c>
      <c r="Y28" s="110">
        <v>1800000</v>
      </c>
      <c r="Z28" s="110">
        <v>1711050</v>
      </c>
      <c r="AA28" s="110">
        <v>45673</v>
      </c>
      <c r="AB28" s="111" t="str">
        <v>Q1 2025</v>
      </c>
      <c r="AC28">
        <v>46014</v>
      </c>
      <c r="AD28">
        <v>0</v>
      </c>
      <c r="AE28" t="str">
        <v>Ana Damásio</v>
      </c>
      <c r="AF28" t="str">
        <v>Carla Veiga</v>
      </c>
      <c r="AG28" t="str">
        <v>Springs Els Club - *Vilamoura</v>
      </c>
      <c r="AH28" t="str">
        <v>The new chapter of Vilamoura begins here. Join the inner circle with Club access to golf, sport, equestrian &amp; beach life.</v>
      </c>
      <c r="AI28" t="str">
        <v>Gym, Spa, Lazy River, Private Pools, Outdoor Areas, Smart Home Technology, Tennis Court, Clubhouse, Private Parking, Vista Membership</v>
      </c>
      <c r="AJ28"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28" t="str">
        <v>Promontório</v>
      </c>
      <c r="AL28" t="str">
        <v>Springs - At the Els</v>
      </c>
    </row>
    <row r="29" spans="1:38" x14ac:dyDescent="0.3">
      <c r="A29" s="110" t="str">
        <v>SPRINGS</v>
      </c>
      <c r="B29" s="110" t="str">
        <v>Vilamoura</v>
      </c>
      <c r="C29" s="110" t="str">
        <v>A</v>
      </c>
      <c r="D29" s="110" t="str">
        <v>Vilamoura, Algarve</v>
      </c>
      <c r="E29" s="110" t="str">
        <v>V3</v>
      </c>
      <c r="F29" s="110">
        <v>323.58999999999997</v>
      </c>
      <c r="G29" s="110">
        <v>165.79</v>
      </c>
      <c r="H29" s="110" t="str">
        <v/>
      </c>
      <c r="I29" s="110" t="str">
        <v/>
      </c>
      <c r="J29" s="110">
        <v>0</v>
      </c>
      <c r="K29" s="110">
        <v>0</v>
      </c>
      <c r="L29" s="110">
        <v>0</v>
      </c>
      <c r="M29" s="110">
        <v>0</v>
      </c>
      <c r="N29" s="110">
        <v>0</v>
      </c>
      <c r="O29" s="110">
        <v>157.80000000000001</v>
      </c>
      <c r="P29" s="110">
        <v>0</v>
      </c>
      <c r="Q29" s="110" t="str">
        <v xml:space="preserve">PSPA </v>
      </c>
      <c r="R29" s="110">
        <v>1852100</v>
      </c>
      <c r="S29" s="110">
        <v>1941050</v>
      </c>
      <c r="T29" s="110">
        <v>2000000</v>
      </c>
      <c r="U29" s="110">
        <v>24600</v>
      </c>
      <c r="V29" s="110">
        <v>64350</v>
      </c>
      <c r="W29" s="110">
        <v>1911050</v>
      </c>
      <c r="X29" s="110">
        <v>1.9356499999999999E-2</v>
      </c>
      <c r="Y29" s="110">
        <v>1961287</v>
      </c>
      <c r="Z29" s="110">
        <v>1872337</v>
      </c>
      <c r="AA29" s="110">
        <v>45673</v>
      </c>
      <c r="AB29" s="111" t="str">
        <v>Q1 2025</v>
      </c>
      <c r="AC29">
        <v>46020</v>
      </c>
      <c r="AD29">
        <v>0</v>
      </c>
      <c r="AE29" t="str">
        <v>Ana Damásio</v>
      </c>
      <c r="AF29" t="str">
        <v>Carla Veiga</v>
      </c>
      <c r="AG29" t="str">
        <v>Springs Els Club - *Vilamoura</v>
      </c>
      <c r="AH29" t="str">
        <v>The new chapter of Vilamoura begins here. Join the inner circle with Club access to golf, sport, equestrian &amp; beach life.</v>
      </c>
      <c r="AI29" t="str">
        <v>Gym, Spa, Lazy River, Private Pools, Outdoor Areas, Smart Home Technology, Tennis Court, Clubhouse, Private Parking, Vista Membership</v>
      </c>
      <c r="AJ29"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29" t="str">
        <v>Promontório</v>
      </c>
      <c r="AL29" t="str">
        <v>Springs - At the Els</v>
      </c>
    </row>
    <row r="30" spans="1:38" x14ac:dyDescent="0.3">
      <c r="A30" s="110" t="str">
        <v>SPRINGS</v>
      </c>
      <c r="B30" s="110" t="str">
        <v>Vilamoura</v>
      </c>
      <c r="C30" s="110" t="str">
        <v>BO</v>
      </c>
      <c r="D30" s="110" t="str">
        <v>Vilamoura, Algarve</v>
      </c>
      <c r="E30" s="110" t="str">
        <v>V2 Duplex</v>
      </c>
      <c r="F30" s="110">
        <v>295.31</v>
      </c>
      <c r="G30" s="110">
        <v>135.54</v>
      </c>
      <c r="H30" s="110" t="str">
        <v>2</v>
      </c>
      <c r="I30" s="110" t="str">
        <v/>
      </c>
      <c r="J30" s="110">
        <v>25.77</v>
      </c>
      <c r="K30" s="110">
        <v>0</v>
      </c>
      <c r="L30" s="110">
        <v>0</v>
      </c>
      <c r="M30" s="110">
        <v>0</v>
      </c>
      <c r="N30" s="110">
        <v>0</v>
      </c>
      <c r="O30" s="110">
        <v>134</v>
      </c>
      <c r="P30" s="110">
        <v>0</v>
      </c>
      <c r="Q30" s="110" t="str">
        <v xml:space="preserve">PSPA </v>
      </c>
      <c r="R30" s="110">
        <v>1137700</v>
      </c>
      <c r="S30" s="110">
        <v>1208850</v>
      </c>
      <c r="T30" s="110">
        <v>1280000</v>
      </c>
      <c r="U30" s="110">
        <v>24600</v>
      </c>
      <c r="V30" s="110">
        <v>46550</v>
      </c>
      <c r="W30" s="110">
        <v>1208850</v>
      </c>
      <c r="X30" s="110">
        <v>2.34375E-2</v>
      </c>
      <c r="Y30" s="110">
        <v>1250000</v>
      </c>
      <c r="Z30" s="110">
        <v>1178850</v>
      </c>
      <c r="AA30" s="110">
        <v>45673</v>
      </c>
      <c r="AB30" s="111" t="str">
        <v>Q1 2025</v>
      </c>
      <c r="AC30">
        <v>46171</v>
      </c>
      <c r="AD30">
        <v>0</v>
      </c>
      <c r="AE30" t="str">
        <v>Ana Damásio</v>
      </c>
      <c r="AF30" t="str">
        <v>Carla Veiga</v>
      </c>
      <c r="AG30" t="str">
        <v>Springs Els Club - *Vilamoura</v>
      </c>
      <c r="AH30" t="str">
        <v>The new chapter of Vilamoura begins here. Join the inner circle with Club access to golf, sport, equestrian &amp; beach life.</v>
      </c>
      <c r="AI30" t="str">
        <v>Gym, Spa, Lazy River, Private Pools, Outdoor Areas, Smart Home Technology, Tennis Court, Clubhouse, Private Parking, Vista Membership</v>
      </c>
      <c r="AJ30"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30" t="str">
        <v>Promontório</v>
      </c>
      <c r="AL30" t="str">
        <v>Springs - At the Els</v>
      </c>
    </row>
    <row r="31" spans="1:38" x14ac:dyDescent="0.3">
      <c r="A31" s="110" t="str">
        <v>SPRINGS</v>
      </c>
      <c r="B31" s="110" t="str">
        <v>Vilamoura</v>
      </c>
      <c r="C31" s="110" t="str">
        <v>L</v>
      </c>
      <c r="D31" s="110" t="str">
        <v>Vilamoura, Algarve</v>
      </c>
      <c r="E31" s="110" t="str">
        <v>V3 Duplex</v>
      </c>
      <c r="F31" s="110">
        <v>296.95999999999998</v>
      </c>
      <c r="G31" s="110">
        <v>113.29</v>
      </c>
      <c r="H31" s="110" t="str">
        <v/>
      </c>
      <c r="I31" s="110" t="str">
        <v/>
      </c>
      <c r="J31" s="110">
        <v>18.66</v>
      </c>
      <c r="K31" s="110">
        <v>0</v>
      </c>
      <c r="L31" s="110">
        <v>0</v>
      </c>
      <c r="M31" s="110">
        <v>0</v>
      </c>
      <c r="N31" s="110">
        <v>0</v>
      </c>
      <c r="O31" s="110">
        <v>165.01</v>
      </c>
      <c r="P31" s="110">
        <v>0</v>
      </c>
      <c r="Q31" s="110" t="str">
        <v>PRE-RESERVED</v>
      </c>
      <c r="R31" s="110">
        <v>2252100</v>
      </c>
      <c r="S31" s="110">
        <v>2341050</v>
      </c>
      <c r="T31" s="110">
        <v>2400000</v>
      </c>
      <c r="U31" s="110">
        <v>24600</v>
      </c>
      <c r="V31" s="110">
        <v>64350</v>
      </c>
      <c r="W31" s="110">
        <v>2311050</v>
      </c>
      <c r="X31" s="110">
        <v>7.0833333333333304E-2</v>
      </c>
      <c r="Y31" s="110">
        <v>2230000</v>
      </c>
      <c r="Z31" s="110">
        <v>2141050</v>
      </c>
      <c r="AA31" s="110">
        <v>45673</v>
      </c>
      <c r="AB31" s="111" t="str">
        <v>Q1 2025</v>
      </c>
      <c r="AC31">
        <v>45905</v>
      </c>
      <c r="AD31">
        <v>0</v>
      </c>
      <c r="AE31" t="str">
        <v>Ana Damásio</v>
      </c>
      <c r="AF31" t="str">
        <v>Carla Veiga</v>
      </c>
      <c r="AG31" t="str">
        <v>Springs Els Club - *Vilamoura</v>
      </c>
      <c r="AH31" t="str">
        <v>The new chapter of Vilamoura begins here. Join the inner circle with Club access to golf, sport, equestrian &amp; beach life.</v>
      </c>
      <c r="AI31" t="str">
        <v>Gym, Spa, Lazy River, Private Pools, Outdoor Areas, Smart Home Technology, Tennis Court, Clubhouse, Private Parking, Vista Membership</v>
      </c>
      <c r="AJ31"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31" t="str">
        <v>Promontório</v>
      </c>
      <c r="AL31" t="str">
        <v>Springs - At the Els</v>
      </c>
    </row>
    <row r="32" spans="1:38" x14ac:dyDescent="0.3">
      <c r="A32" s="110" t="str">
        <v>SPRINGS</v>
      </c>
      <c r="B32" s="110" t="str">
        <v>Vilamoura</v>
      </c>
      <c r="C32" s="110" t="str">
        <v>AA</v>
      </c>
      <c r="D32" s="110" t="str">
        <v>Vilamoura, Algarve</v>
      </c>
      <c r="E32" s="110" t="str">
        <v>V4 Duplex</v>
      </c>
      <c r="F32" s="110">
        <v>404.86</v>
      </c>
      <c r="G32" s="110">
        <v>163.77000000000001</v>
      </c>
      <c r="H32" s="110" t="str">
        <v/>
      </c>
      <c r="I32" s="110" t="str">
        <v/>
      </c>
      <c r="J32" s="110">
        <v>19.649999999999999</v>
      </c>
      <c r="K32" s="110">
        <v>0</v>
      </c>
      <c r="L32" s="110">
        <v>0</v>
      </c>
      <c r="M32" s="110">
        <v>0</v>
      </c>
      <c r="N32" s="110">
        <v>0</v>
      </c>
      <c r="O32" s="110">
        <v>221.44</v>
      </c>
      <c r="P32" s="110">
        <v>0</v>
      </c>
      <c r="Q32" s="110" t="str">
        <v>AVAILABLE</v>
      </c>
      <c r="R32" s="110">
        <v>2614600</v>
      </c>
      <c r="S32" s="110">
        <v>2722300</v>
      </c>
      <c r="T32" s="110">
        <v>2830000</v>
      </c>
      <c r="U32" s="110">
        <v>24600</v>
      </c>
      <c r="V32" s="110">
        <v>83100</v>
      </c>
      <c r="W32" s="110">
        <v>2722300</v>
      </c>
      <c r="X32" s="110">
        <v>0</v>
      </c>
      <c r="Y32" s="110">
        <v>2830000</v>
      </c>
      <c r="Z32" s="110">
        <v>2722300</v>
      </c>
      <c r="AA32" s="110">
        <v>45673</v>
      </c>
      <c r="AB32" s="111" t="str">
        <v>Q1 2025</v>
      </c>
      <c r="AC32">
        <v>0</v>
      </c>
      <c r="AD32">
        <v>0</v>
      </c>
      <c r="AE32" t="str">
        <v>Ana Damásio</v>
      </c>
      <c r="AF32" t="str">
        <v>Carla Veiga</v>
      </c>
      <c r="AG32" t="str">
        <v>Springs Els Club - *Vilamoura</v>
      </c>
      <c r="AH32" t="str">
        <v>The new chapter of Vilamoura begins here. Join the inner circle with Club access to golf, sport, equestrian &amp; beach life.</v>
      </c>
      <c r="AI32" t="str">
        <v>Gym, Spa, Lazy River, Private Pools, Outdoor Areas, Smart Home Technology, Tennis Court, Clubhouse, Private Parking, Vista Membership</v>
      </c>
      <c r="AJ32"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32" t="str">
        <v>Promontório</v>
      </c>
      <c r="AL32" t="str">
        <v>Springs - At the Els</v>
      </c>
    </row>
    <row r="33" spans="1:38" x14ac:dyDescent="0.3">
      <c r="A33" s="110" t="str">
        <v>SPRINGS</v>
      </c>
      <c r="B33" s="110" t="str">
        <v>Vilamoura</v>
      </c>
      <c r="C33" s="110" t="str">
        <v>AB</v>
      </c>
      <c r="D33" s="110" t="str">
        <v>Vilamoura, Algarve</v>
      </c>
      <c r="E33" s="110" t="str">
        <v>V4 Duplex</v>
      </c>
      <c r="F33" s="110">
        <v>404.86</v>
      </c>
      <c r="G33" s="110">
        <v>163.77000000000001</v>
      </c>
      <c r="H33" s="110" t="str">
        <v/>
      </c>
      <c r="I33" s="110" t="str">
        <v/>
      </c>
      <c r="J33" s="110">
        <v>19.649999999999999</v>
      </c>
      <c r="K33" s="110">
        <v>0</v>
      </c>
      <c r="L33" s="110">
        <v>0</v>
      </c>
      <c r="M33" s="110">
        <v>0</v>
      </c>
      <c r="N33" s="110">
        <v>0</v>
      </c>
      <c r="O33" s="110">
        <v>221.44</v>
      </c>
      <c r="P33" s="110">
        <v>0</v>
      </c>
      <c r="Q33" s="110" t="str">
        <v>AVAILABLE</v>
      </c>
      <c r="R33" s="110">
        <v>2614600</v>
      </c>
      <c r="S33" s="110">
        <v>2722300</v>
      </c>
      <c r="T33" s="110">
        <v>2830000</v>
      </c>
      <c r="U33" s="110">
        <v>24600</v>
      </c>
      <c r="V33" s="110">
        <v>83100</v>
      </c>
      <c r="W33" s="110">
        <v>2722300</v>
      </c>
      <c r="X33" s="110">
        <v>0</v>
      </c>
      <c r="Y33" s="110">
        <v>2830000</v>
      </c>
      <c r="Z33" s="110">
        <v>2722300</v>
      </c>
      <c r="AA33" s="110">
        <v>45673</v>
      </c>
      <c r="AB33" s="111" t="str">
        <v>Q1 2025</v>
      </c>
      <c r="AC33">
        <v>0</v>
      </c>
      <c r="AD33">
        <v>0</v>
      </c>
      <c r="AE33" t="str">
        <v>Ana Damásio</v>
      </c>
      <c r="AF33" t="str">
        <v>Carla Veiga</v>
      </c>
      <c r="AG33" t="str">
        <v>Springs Els Club - *Vilamoura</v>
      </c>
      <c r="AH33" t="str">
        <v>The new chapter of Vilamoura begins here. Join the inner circle with Club access to golf, sport, equestrian &amp; beach life.</v>
      </c>
      <c r="AI33" t="str">
        <v>Gym, Spa, Lazy River, Private Pools, Outdoor Areas, Smart Home Technology, Tennis Court, Clubhouse, Private Parking, Vista Membership</v>
      </c>
      <c r="AJ33"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33" t="str">
        <v>Promontório</v>
      </c>
      <c r="AL33" t="str">
        <v>Springs - At the Els</v>
      </c>
    </row>
    <row r="34" spans="1:38" x14ac:dyDescent="0.3">
      <c r="A34" s="110" t="str">
        <v>SPRINGS</v>
      </c>
      <c r="B34" s="110" t="str">
        <v>Vilamoura</v>
      </c>
      <c r="C34" s="110" t="str">
        <v>AC</v>
      </c>
      <c r="D34" s="110" t="str">
        <v>Vilamoura, Algarve</v>
      </c>
      <c r="E34" s="110" t="str">
        <v>V4 Duplex</v>
      </c>
      <c r="F34" s="110">
        <v>404.86</v>
      </c>
      <c r="G34" s="110">
        <v>163.77000000000001</v>
      </c>
      <c r="H34" s="110" t="str">
        <v/>
      </c>
      <c r="I34" s="110" t="str">
        <v/>
      </c>
      <c r="J34" s="110">
        <v>19.649999999999999</v>
      </c>
      <c r="K34" s="110">
        <v>0</v>
      </c>
      <c r="L34" s="110">
        <v>0</v>
      </c>
      <c r="M34" s="110">
        <v>0</v>
      </c>
      <c r="N34" s="110">
        <v>0</v>
      </c>
      <c r="O34" s="110">
        <v>221.44</v>
      </c>
      <c r="P34" s="110">
        <v>0</v>
      </c>
      <c r="Q34" s="110" t="str">
        <v>AVAILABLE</v>
      </c>
      <c r="R34" s="110">
        <v>2464600</v>
      </c>
      <c r="S34" s="110">
        <v>2572300</v>
      </c>
      <c r="T34" s="110">
        <v>2680000</v>
      </c>
      <c r="U34" s="110">
        <v>24600</v>
      </c>
      <c r="V34" s="110">
        <v>83100</v>
      </c>
      <c r="W34" s="110">
        <v>2572300</v>
      </c>
      <c r="X34" s="110">
        <v>0</v>
      </c>
      <c r="Y34" s="110">
        <v>2680000</v>
      </c>
      <c r="Z34" s="110">
        <v>2572300</v>
      </c>
      <c r="AA34" s="110">
        <v>45673</v>
      </c>
      <c r="AB34" s="111" t="str">
        <v>Q1 2025</v>
      </c>
      <c r="AC34">
        <v>0</v>
      </c>
      <c r="AD34">
        <v>0</v>
      </c>
      <c r="AE34" t="str">
        <v>Ana Damásio</v>
      </c>
      <c r="AF34" t="str">
        <v>Carla Veiga</v>
      </c>
      <c r="AG34" t="str">
        <v>Springs Els Club - *Vilamoura</v>
      </c>
      <c r="AH34" t="str">
        <v>The new chapter of Vilamoura begins here. Join the inner circle with Club access to golf, sport, equestrian &amp; beach life.</v>
      </c>
      <c r="AI34" t="str">
        <v>Gym, Spa, Lazy River, Private Pools, Outdoor Areas, Smart Home Technology, Tennis Court, Clubhouse, Private Parking, Vista Membership</v>
      </c>
      <c r="AJ34"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34" t="str">
        <v>Promontório</v>
      </c>
      <c r="AL34" t="str">
        <v>Springs - At the Els</v>
      </c>
    </row>
    <row r="35" spans="1:38" x14ac:dyDescent="0.3">
      <c r="A35" s="110" t="str">
        <v>SPRINGS</v>
      </c>
      <c r="B35" s="110" t="str">
        <v>Vilamoura</v>
      </c>
      <c r="C35" s="110" t="str">
        <v>AD</v>
      </c>
      <c r="D35" s="110" t="str">
        <v>Vilamoura, Algarve</v>
      </c>
      <c r="E35" s="110" t="str">
        <v>V2 Duplex</v>
      </c>
      <c r="F35" s="110">
        <v>441.31</v>
      </c>
      <c r="G35" s="110">
        <v>289.7</v>
      </c>
      <c r="H35" s="110" t="str">
        <v/>
      </c>
      <c r="I35" s="110" t="str">
        <v/>
      </c>
      <c r="J35" s="110">
        <v>20</v>
      </c>
      <c r="K35" s="110">
        <v>0</v>
      </c>
      <c r="L35" s="110">
        <v>0</v>
      </c>
      <c r="M35" s="110">
        <v>0</v>
      </c>
      <c r="N35" s="110">
        <v>0</v>
      </c>
      <c r="O35" s="110">
        <v>131.61000000000001</v>
      </c>
      <c r="P35" s="110">
        <v>0</v>
      </c>
      <c r="Q35" s="110" t="str">
        <v>AVAILABLE</v>
      </c>
      <c r="R35" s="110">
        <v>1407700</v>
      </c>
      <c r="S35" s="110">
        <v>1478850</v>
      </c>
      <c r="T35" s="110">
        <v>1550000</v>
      </c>
      <c r="U35" s="110">
        <v>24600</v>
      </c>
      <c r="V35" s="110">
        <v>46550</v>
      </c>
      <c r="W35" s="110">
        <v>1478850</v>
      </c>
      <c r="X35" s="110">
        <v>0</v>
      </c>
      <c r="Y35" s="110">
        <v>1550000</v>
      </c>
      <c r="Z35" s="110">
        <v>1478850</v>
      </c>
      <c r="AA35" s="110">
        <v>45673</v>
      </c>
      <c r="AB35" s="111" t="str">
        <v>Q1 2025</v>
      </c>
      <c r="AC35">
        <v>0</v>
      </c>
      <c r="AD35">
        <v>0</v>
      </c>
      <c r="AE35" t="str">
        <v>Ana Damásio</v>
      </c>
      <c r="AF35" t="str">
        <v>Carla Veiga</v>
      </c>
      <c r="AG35" t="str">
        <v>Springs Els Club - *Vilamoura</v>
      </c>
      <c r="AH35" t="str">
        <v>The new chapter of Vilamoura begins here. Join the inner circle with Club access to golf, sport, equestrian &amp; beach life.</v>
      </c>
      <c r="AI35" t="str">
        <v>Gym, Spa, Lazy River, Private Pools, Outdoor Areas, Smart Home Technology, Tennis Court, Clubhouse, Private Parking, Vista Membership</v>
      </c>
      <c r="AJ35"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35" t="str">
        <v>Promontório</v>
      </c>
      <c r="AL35" t="str">
        <v>Springs - At the Els</v>
      </c>
    </row>
    <row r="36" spans="1:38" x14ac:dyDescent="0.3">
      <c r="A36" s="110" t="str">
        <v>SPRINGS</v>
      </c>
      <c r="B36" s="110" t="str">
        <v>Vilamoura</v>
      </c>
      <c r="C36" s="110" t="str">
        <v>AE</v>
      </c>
      <c r="D36" s="110" t="str">
        <v>Vilamoura, Algarve</v>
      </c>
      <c r="E36" s="110" t="str">
        <v>V2 Duplex</v>
      </c>
      <c r="F36" s="110">
        <v>276.3</v>
      </c>
      <c r="G36" s="110">
        <v>115.09</v>
      </c>
      <c r="H36" s="110" t="str">
        <v/>
      </c>
      <c r="I36" s="110" t="str">
        <v/>
      </c>
      <c r="J36" s="110">
        <v>25.77</v>
      </c>
      <c r="K36" s="110">
        <v>0</v>
      </c>
      <c r="L36" s="110">
        <v>0</v>
      </c>
      <c r="M36" s="110">
        <v>0</v>
      </c>
      <c r="N36" s="110">
        <v>0</v>
      </c>
      <c r="O36" s="110">
        <v>135.44</v>
      </c>
      <c r="P36" s="110">
        <v>0</v>
      </c>
      <c r="Q36" s="110" t="str">
        <v>AVAILABLE</v>
      </c>
      <c r="R36" s="110">
        <v>1267700</v>
      </c>
      <c r="S36" s="110">
        <v>1338850</v>
      </c>
      <c r="T36" s="110">
        <v>1410000</v>
      </c>
      <c r="U36" s="110">
        <v>24600</v>
      </c>
      <c r="V36" s="110">
        <v>46550</v>
      </c>
      <c r="W36" s="110">
        <v>1338850</v>
      </c>
      <c r="X36" s="110">
        <v>0</v>
      </c>
      <c r="Y36" s="110">
        <v>1410000</v>
      </c>
      <c r="Z36" s="110">
        <v>1338850</v>
      </c>
      <c r="AA36" s="110">
        <v>45673</v>
      </c>
      <c r="AB36" s="111" t="str">
        <v>Q1 2025</v>
      </c>
      <c r="AC36">
        <v>0</v>
      </c>
      <c r="AD36">
        <v>0</v>
      </c>
      <c r="AE36" t="str">
        <v>Ana Damásio</v>
      </c>
      <c r="AF36" t="str">
        <v>Carla Veiga</v>
      </c>
      <c r="AG36" t="str">
        <v>Springs Els Club - *Vilamoura</v>
      </c>
      <c r="AH36" t="str">
        <v>The new chapter of Vilamoura begins here. Join the inner circle with Club access to golf, sport, equestrian &amp; beach life.</v>
      </c>
      <c r="AI36" t="str">
        <v>Gym, Spa, Lazy River, Private Pools, Outdoor Areas, Smart Home Technology, Tennis Court, Clubhouse, Private Parking, Vista Membership</v>
      </c>
      <c r="AJ36"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36" t="str">
        <v>Promontório</v>
      </c>
      <c r="AL36" t="str">
        <v>Springs - At the Els</v>
      </c>
    </row>
    <row r="37" spans="1:38" x14ac:dyDescent="0.3">
      <c r="A37" s="110" t="str">
        <v>SPRINGS</v>
      </c>
      <c r="B37" s="110" t="str">
        <v>Vilamoura</v>
      </c>
      <c r="C37" s="110" t="str">
        <v>AF</v>
      </c>
      <c r="D37" s="110" t="str">
        <v>Vilamoura, Algarve</v>
      </c>
      <c r="E37" s="110" t="str">
        <v>V2 Duplex</v>
      </c>
      <c r="F37" s="110">
        <v>276.3</v>
      </c>
      <c r="G37" s="110">
        <v>115.09</v>
      </c>
      <c r="H37" s="110" t="str">
        <v/>
      </c>
      <c r="I37" s="110" t="str">
        <v/>
      </c>
      <c r="J37" s="110">
        <v>25.77</v>
      </c>
      <c r="K37" s="110">
        <v>0</v>
      </c>
      <c r="L37" s="110">
        <v>0</v>
      </c>
      <c r="M37" s="110">
        <v>0</v>
      </c>
      <c r="N37" s="110">
        <v>0</v>
      </c>
      <c r="O37" s="110">
        <v>135.44</v>
      </c>
      <c r="P37" s="110">
        <v>0</v>
      </c>
      <c r="Q37" s="110" t="str">
        <v>AVAILABLE</v>
      </c>
      <c r="R37" s="110">
        <v>1287700</v>
      </c>
      <c r="S37" s="110">
        <v>1358850</v>
      </c>
      <c r="T37" s="110">
        <v>1430000</v>
      </c>
      <c r="U37" s="110">
        <v>24600</v>
      </c>
      <c r="V37" s="110">
        <v>46550</v>
      </c>
      <c r="W37" s="110">
        <v>1358850</v>
      </c>
      <c r="X37" s="110">
        <v>0</v>
      </c>
      <c r="Y37" s="110">
        <v>1430000</v>
      </c>
      <c r="Z37" s="110">
        <v>1358850</v>
      </c>
      <c r="AA37" s="110">
        <v>45673</v>
      </c>
      <c r="AB37" s="111" t="str">
        <v>Q1 2025</v>
      </c>
      <c r="AC37">
        <v>46093</v>
      </c>
      <c r="AD37">
        <v>0</v>
      </c>
      <c r="AE37" t="str">
        <v>Ana Damásio</v>
      </c>
      <c r="AF37" t="str">
        <v>Carla Veiga</v>
      </c>
      <c r="AG37" t="str">
        <v>Springs Els Club - *Vilamoura</v>
      </c>
      <c r="AH37" t="str">
        <v>The new chapter of Vilamoura begins here. Join the inner circle with Club access to golf, sport, equestrian &amp; beach life.</v>
      </c>
      <c r="AI37" t="str">
        <v>Gym, Spa, Lazy River, Private Pools, Outdoor Areas, Smart Home Technology, Tennis Court, Clubhouse, Private Parking, Vista Membership</v>
      </c>
      <c r="AJ37"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37" t="str">
        <v>Promontório</v>
      </c>
      <c r="AL37" t="str">
        <v>Springs - At the Els</v>
      </c>
    </row>
    <row r="38" spans="1:38" x14ac:dyDescent="0.3">
      <c r="A38" s="110" t="str">
        <v>SPRINGS</v>
      </c>
      <c r="B38" s="110" t="str">
        <v>Vilamoura</v>
      </c>
      <c r="C38" s="110" t="str">
        <v>AG</v>
      </c>
      <c r="D38" s="110" t="str">
        <v>Vilamoura, Algarve</v>
      </c>
      <c r="E38" s="110" t="str">
        <v>V2 Duplex</v>
      </c>
      <c r="F38" s="110">
        <v>282.98</v>
      </c>
      <c r="G38" s="110">
        <v>115.68</v>
      </c>
      <c r="H38" s="110" t="str">
        <v/>
      </c>
      <c r="I38" s="110" t="str">
        <v/>
      </c>
      <c r="J38" s="110">
        <v>25.77</v>
      </c>
      <c r="K38" s="110">
        <v>0</v>
      </c>
      <c r="L38" s="110">
        <v>0</v>
      </c>
      <c r="M38" s="110">
        <v>0</v>
      </c>
      <c r="N38" s="110">
        <v>0</v>
      </c>
      <c r="O38" s="110">
        <v>141.53</v>
      </c>
      <c r="P38" s="110">
        <v>0</v>
      </c>
      <c r="Q38" s="110" t="str">
        <v>AVAILABLE</v>
      </c>
      <c r="R38" s="110">
        <v>1387700</v>
      </c>
      <c r="S38" s="110">
        <v>1458850</v>
      </c>
      <c r="T38" s="110">
        <v>1530000</v>
      </c>
      <c r="U38" s="110">
        <v>24600</v>
      </c>
      <c r="V38" s="110">
        <v>46550</v>
      </c>
      <c r="W38" s="110">
        <v>1458850</v>
      </c>
      <c r="X38" s="110">
        <v>0</v>
      </c>
      <c r="Y38" s="110">
        <v>1530000</v>
      </c>
      <c r="Z38" s="110">
        <v>1458850</v>
      </c>
      <c r="AA38" s="110">
        <v>45673</v>
      </c>
      <c r="AB38" s="111" t="str">
        <v>Q1 2025</v>
      </c>
      <c r="AC38">
        <v>0</v>
      </c>
      <c r="AD38">
        <v>0</v>
      </c>
      <c r="AE38" t="str">
        <v>Ana Damásio</v>
      </c>
      <c r="AF38" t="str">
        <v>Carla Veiga</v>
      </c>
      <c r="AG38" t="str">
        <v>Springs Els Club - *Vilamoura</v>
      </c>
      <c r="AH38" t="str">
        <v>The new chapter of Vilamoura begins here. Join the inner circle with Club access to golf, sport, equestrian &amp; beach life.</v>
      </c>
      <c r="AI38" t="str">
        <v>Gym, Spa, Lazy River, Private Pools, Outdoor Areas, Smart Home Technology, Tennis Court, Clubhouse, Private Parking, Vista Membership</v>
      </c>
      <c r="AJ38"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38" t="str">
        <v>Promontório</v>
      </c>
      <c r="AL38" t="str">
        <v>Springs - At the Els</v>
      </c>
    </row>
    <row r="39" spans="1:38" x14ac:dyDescent="0.3">
      <c r="A39" s="110" t="str">
        <v>SPRINGS</v>
      </c>
      <c r="B39" s="110" t="str">
        <v>Vilamoura</v>
      </c>
      <c r="C39" s="110" t="str">
        <v>AH</v>
      </c>
      <c r="D39" s="110" t="str">
        <v>Vilamoura, Algarve</v>
      </c>
      <c r="E39" s="110" t="str">
        <v>V2 Duplex</v>
      </c>
      <c r="F39" s="110">
        <v>339.85</v>
      </c>
      <c r="G39" s="110">
        <v>175.75</v>
      </c>
      <c r="H39" s="110" t="str">
        <v/>
      </c>
      <c r="I39" s="110" t="str">
        <v/>
      </c>
      <c r="J39" s="110">
        <v>25.77</v>
      </c>
      <c r="K39" s="110">
        <v>0</v>
      </c>
      <c r="L39" s="110">
        <v>0</v>
      </c>
      <c r="M39" s="110">
        <v>0</v>
      </c>
      <c r="N39" s="110">
        <v>0</v>
      </c>
      <c r="O39" s="110">
        <v>138.33000000000001</v>
      </c>
      <c r="P39" s="110">
        <v>0</v>
      </c>
      <c r="Q39" s="110" t="str">
        <v>AVAILABLE</v>
      </c>
      <c r="R39" s="110">
        <v>1587700</v>
      </c>
      <c r="S39" s="110">
        <v>1658850</v>
      </c>
      <c r="T39" s="110">
        <v>1730000</v>
      </c>
      <c r="U39" s="110">
        <v>24600</v>
      </c>
      <c r="V39" s="110">
        <v>46550</v>
      </c>
      <c r="W39" s="110">
        <v>1658850</v>
      </c>
      <c r="X39" s="110">
        <v>0</v>
      </c>
      <c r="Y39" s="110">
        <v>1730000</v>
      </c>
      <c r="Z39" s="110">
        <v>1658850</v>
      </c>
      <c r="AA39" s="110">
        <v>45673</v>
      </c>
      <c r="AB39" s="111" t="str">
        <v>Q1 2025</v>
      </c>
      <c r="AC39">
        <v>0</v>
      </c>
      <c r="AD39">
        <v>0</v>
      </c>
      <c r="AE39" t="str">
        <v>Ana Damásio</v>
      </c>
      <c r="AF39" t="str">
        <v>Carla Veiga</v>
      </c>
      <c r="AG39" t="str">
        <v>Springs Els Club - *Vilamoura</v>
      </c>
      <c r="AH39" t="str">
        <v>The new chapter of Vilamoura begins here. Join the inner circle with Club access to golf, sport, equestrian &amp; beach life.</v>
      </c>
      <c r="AI39" t="str">
        <v>Gym, Spa, Lazy River, Private Pools, Outdoor Areas, Smart Home Technology, Tennis Court, Clubhouse, Private Parking, Vista Membership</v>
      </c>
      <c r="AJ39"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39" t="str">
        <v>Promontório</v>
      </c>
      <c r="AL39" t="str">
        <v>Springs - At the Els</v>
      </c>
    </row>
    <row r="40" spans="1:38" x14ac:dyDescent="0.3">
      <c r="A40" s="110" t="str">
        <v>SPRINGS</v>
      </c>
      <c r="B40" s="110" t="str">
        <v>Vilamoura</v>
      </c>
      <c r="C40" s="110" t="str">
        <v>AI</v>
      </c>
      <c r="D40" s="110" t="str">
        <v>Vilamoura, Algarve</v>
      </c>
      <c r="E40" s="110" t="str">
        <v>V2 Duplex</v>
      </c>
      <c r="F40" s="110">
        <v>330.51</v>
      </c>
      <c r="G40" s="110">
        <v>169.3</v>
      </c>
      <c r="H40" s="110" t="str">
        <v/>
      </c>
      <c r="I40" s="110" t="str">
        <v/>
      </c>
      <c r="J40" s="110">
        <v>25.77</v>
      </c>
      <c r="K40" s="110">
        <v>0</v>
      </c>
      <c r="L40" s="110">
        <v>0</v>
      </c>
      <c r="M40" s="110">
        <v>0</v>
      </c>
      <c r="N40" s="110">
        <v>0</v>
      </c>
      <c r="O40" s="110">
        <v>135.44</v>
      </c>
      <c r="P40" s="110">
        <v>0</v>
      </c>
      <c r="Q40" s="110" t="str">
        <v>AVAILABLE</v>
      </c>
      <c r="R40" s="110">
        <v>1587700</v>
      </c>
      <c r="S40" s="110">
        <v>1658850</v>
      </c>
      <c r="T40" s="110">
        <v>1730000</v>
      </c>
      <c r="U40" s="110">
        <v>24600</v>
      </c>
      <c r="V40" s="110">
        <v>46550</v>
      </c>
      <c r="W40" s="110">
        <v>1658850</v>
      </c>
      <c r="X40" s="110">
        <v>0</v>
      </c>
      <c r="Y40" s="110">
        <v>1730000</v>
      </c>
      <c r="Z40" s="110">
        <v>1658850</v>
      </c>
      <c r="AA40" s="110">
        <v>45673</v>
      </c>
      <c r="AB40" s="111" t="str">
        <v>Q1 2025</v>
      </c>
      <c r="AC40">
        <v>0</v>
      </c>
      <c r="AD40">
        <v>0</v>
      </c>
      <c r="AE40" t="str">
        <v>Ana Damásio</v>
      </c>
      <c r="AF40" t="str">
        <v>Carla Veiga</v>
      </c>
      <c r="AG40" t="str">
        <v>Springs Els Club - *Vilamoura</v>
      </c>
      <c r="AH40" t="str">
        <v>The new chapter of Vilamoura begins here. Join the inner circle with Club access to golf, sport, equestrian &amp; beach life.</v>
      </c>
      <c r="AI40" t="str">
        <v>Gym, Spa, Lazy River, Private Pools, Outdoor Areas, Smart Home Technology, Tennis Court, Clubhouse, Private Parking, Vista Membership</v>
      </c>
      <c r="AJ40"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40" t="str">
        <v>Promontório</v>
      </c>
      <c r="AL40" t="str">
        <v>Springs - At the Els</v>
      </c>
    </row>
    <row r="41" spans="1:38" x14ac:dyDescent="0.3">
      <c r="A41" s="110" t="str">
        <v>SPRINGS</v>
      </c>
      <c r="B41" s="110" t="str">
        <v>Vilamoura</v>
      </c>
      <c r="C41" s="110" t="str">
        <v>AJ</v>
      </c>
      <c r="D41" s="110" t="str">
        <v>Vilamoura, Algarve</v>
      </c>
      <c r="E41" s="110" t="str">
        <v>V2 Duplex</v>
      </c>
      <c r="F41" s="110">
        <v>330.51</v>
      </c>
      <c r="G41" s="110">
        <v>169.3</v>
      </c>
      <c r="H41" s="110" t="str">
        <v/>
      </c>
      <c r="I41" s="110" t="str">
        <v/>
      </c>
      <c r="J41" s="110">
        <v>25.77</v>
      </c>
      <c r="K41" s="110">
        <v>0</v>
      </c>
      <c r="L41" s="110">
        <v>0</v>
      </c>
      <c r="M41" s="110">
        <v>0</v>
      </c>
      <c r="N41" s="110">
        <v>0</v>
      </c>
      <c r="O41" s="110">
        <v>135.44</v>
      </c>
      <c r="P41" s="110">
        <v>0</v>
      </c>
      <c r="Q41" s="110" t="str">
        <v>AVAILABLE</v>
      </c>
      <c r="R41" s="110">
        <v>1637700</v>
      </c>
      <c r="S41" s="110">
        <v>1708850</v>
      </c>
      <c r="T41" s="110">
        <v>1780000</v>
      </c>
      <c r="U41" s="110">
        <v>24600</v>
      </c>
      <c r="V41" s="110">
        <v>46550</v>
      </c>
      <c r="W41" s="110">
        <v>1708850</v>
      </c>
      <c r="X41" s="110">
        <v>0</v>
      </c>
      <c r="Y41" s="110">
        <v>1780000</v>
      </c>
      <c r="Z41" s="110">
        <v>1708850</v>
      </c>
      <c r="AA41" s="110">
        <v>45673</v>
      </c>
      <c r="AB41" s="111" t="str">
        <v>Q1 2025</v>
      </c>
      <c r="AC41">
        <v>0</v>
      </c>
      <c r="AD41">
        <v>0</v>
      </c>
      <c r="AE41" t="str">
        <v>Ana Damásio</v>
      </c>
      <c r="AF41" t="str">
        <v>Carla Veiga</v>
      </c>
      <c r="AG41" t="str">
        <v>Springs Els Club - *Vilamoura</v>
      </c>
      <c r="AH41" t="str">
        <v>The new chapter of Vilamoura begins here. Join the inner circle with Club access to golf, sport, equestrian &amp; beach life.</v>
      </c>
      <c r="AI41" t="str">
        <v>Gym, Spa, Lazy River, Private Pools, Outdoor Areas, Smart Home Technology, Tennis Court, Clubhouse, Private Parking, Vista Membership</v>
      </c>
      <c r="AJ41"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41" t="str">
        <v>Promontório</v>
      </c>
      <c r="AL41" t="str">
        <v>Springs - At the Els</v>
      </c>
    </row>
    <row r="42" spans="1:38" x14ac:dyDescent="0.3">
      <c r="A42" s="110" t="str">
        <v>SPRINGS</v>
      </c>
      <c r="B42" s="110" t="str">
        <v>Vilamoura</v>
      </c>
      <c r="C42" s="110" t="str">
        <v>AK</v>
      </c>
      <c r="D42" s="110" t="str">
        <v>Vilamoura, Algarve</v>
      </c>
      <c r="E42" s="110" t="str">
        <v>V3 Duplex</v>
      </c>
      <c r="F42" s="110">
        <v>469.43</v>
      </c>
      <c r="G42" s="110">
        <v>273.51</v>
      </c>
      <c r="H42" s="110" t="str">
        <v/>
      </c>
      <c r="I42" s="110" t="str">
        <v/>
      </c>
      <c r="J42" s="110">
        <v>32.840000000000003</v>
      </c>
      <c r="K42" s="110">
        <v>0</v>
      </c>
      <c r="L42" s="110">
        <v>0</v>
      </c>
      <c r="M42" s="110">
        <v>0</v>
      </c>
      <c r="N42" s="110">
        <v>0</v>
      </c>
      <c r="O42" s="110">
        <v>163.08000000000001</v>
      </c>
      <c r="P42" s="110">
        <v>0</v>
      </c>
      <c r="Q42" s="110" t="str">
        <v>AVAILABLE</v>
      </c>
      <c r="R42" s="110">
        <v>1838200</v>
      </c>
      <c r="S42" s="110">
        <v>1924100</v>
      </c>
      <c r="T42" s="110">
        <v>2010000</v>
      </c>
      <c r="U42" s="110">
        <v>24600</v>
      </c>
      <c r="V42" s="110">
        <v>61300</v>
      </c>
      <c r="W42" s="110">
        <v>1924100</v>
      </c>
      <c r="X42" s="110">
        <v>0</v>
      </c>
      <c r="Y42" s="110">
        <v>2010000</v>
      </c>
      <c r="Z42" s="110">
        <v>1924100</v>
      </c>
      <c r="AA42" s="110">
        <v>45673</v>
      </c>
      <c r="AB42" s="111" t="str">
        <v>Q1 2025</v>
      </c>
      <c r="AC42">
        <v>0</v>
      </c>
      <c r="AD42">
        <v>0</v>
      </c>
      <c r="AE42" t="str">
        <v>Ana Damásio</v>
      </c>
      <c r="AF42" t="str">
        <v>Carla Veiga</v>
      </c>
      <c r="AG42" t="str">
        <v>Springs Els Club - *Vilamoura</v>
      </c>
      <c r="AH42" t="str">
        <v>The new chapter of Vilamoura begins here. Join the inner circle with Club access to golf, sport, equestrian &amp; beach life.</v>
      </c>
      <c r="AI42" t="str">
        <v>Gym, Spa, Lazy River, Private Pools, Outdoor Areas, Smart Home Technology, Tennis Court, Clubhouse, Private Parking, Vista Membership</v>
      </c>
      <c r="AJ42"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42" t="str">
        <v>Promontório</v>
      </c>
      <c r="AL42" t="str">
        <v>Springs - At the Els</v>
      </c>
    </row>
    <row r="43" spans="1:38" x14ac:dyDescent="0.3">
      <c r="A43" s="110" t="str">
        <v>SPRINGS</v>
      </c>
      <c r="B43" s="110" t="str">
        <v>Vilamoura</v>
      </c>
      <c r="C43" s="110" t="str">
        <v>AL</v>
      </c>
      <c r="D43" s="110" t="str">
        <v>Vilamoura, Algarve</v>
      </c>
      <c r="E43" s="110" t="str">
        <v>V3 Duplex</v>
      </c>
      <c r="F43" s="110">
        <v>508.42</v>
      </c>
      <c r="G43" s="110">
        <v>313.45999999999998</v>
      </c>
      <c r="H43" s="110" t="str">
        <v/>
      </c>
      <c r="I43" s="110" t="str">
        <v/>
      </c>
      <c r="J43" s="110">
        <v>32.840000000000003</v>
      </c>
      <c r="K43" s="110">
        <v>0</v>
      </c>
      <c r="L43" s="110">
        <v>0</v>
      </c>
      <c r="M43" s="110">
        <v>0</v>
      </c>
      <c r="N43" s="110">
        <v>0</v>
      </c>
      <c r="O43" s="110">
        <v>162.12</v>
      </c>
      <c r="P43" s="110">
        <v>0</v>
      </c>
      <c r="Q43" s="110" t="str">
        <v>AVAILABLE</v>
      </c>
      <c r="R43" s="110">
        <v>1858200</v>
      </c>
      <c r="S43" s="110">
        <v>1944100</v>
      </c>
      <c r="T43" s="110">
        <v>2030000</v>
      </c>
      <c r="U43" s="110">
        <v>24600</v>
      </c>
      <c r="V43" s="110">
        <v>61300</v>
      </c>
      <c r="W43" s="110">
        <v>1944100</v>
      </c>
      <c r="X43" s="110">
        <v>0</v>
      </c>
      <c r="Y43" s="110">
        <v>2030000</v>
      </c>
      <c r="Z43" s="110">
        <v>1944100</v>
      </c>
      <c r="AA43" s="110">
        <v>45673</v>
      </c>
      <c r="AB43" s="111" t="str">
        <v>Q1 2025</v>
      </c>
      <c r="AC43">
        <v>0</v>
      </c>
      <c r="AD43">
        <v>0</v>
      </c>
      <c r="AE43" t="str">
        <v>Ana Damásio</v>
      </c>
      <c r="AF43" t="str">
        <v>Carla Veiga</v>
      </c>
      <c r="AG43" t="str">
        <v>Springs Els Club - *Vilamoura</v>
      </c>
      <c r="AH43" t="str">
        <v>The new chapter of Vilamoura begins here. Join the inner circle with Club access to golf, sport, equestrian &amp; beach life.</v>
      </c>
      <c r="AI43" t="str">
        <v>Gym, Spa, Lazy River, Private Pools, Outdoor Areas, Smart Home Technology, Tennis Court, Clubhouse, Private Parking, Vista Membership</v>
      </c>
      <c r="AJ43"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43" t="str">
        <v>Promontório</v>
      </c>
      <c r="AL43" t="str">
        <v>Springs - At the Els</v>
      </c>
    </row>
    <row r="44" spans="1:38" x14ac:dyDescent="0.3">
      <c r="A44" s="110" t="str">
        <v>SPRINGS</v>
      </c>
      <c r="B44" s="110" t="str">
        <v>Vilamoura</v>
      </c>
      <c r="C44" s="110" t="str">
        <v>AM</v>
      </c>
      <c r="D44" s="110" t="str">
        <v>Vilamoura, Algarve</v>
      </c>
      <c r="E44" s="110" t="str">
        <v>V3 Duplex</v>
      </c>
      <c r="F44" s="110">
        <v>459.56</v>
      </c>
      <c r="G44" s="110">
        <v>264.60000000000002</v>
      </c>
      <c r="H44" s="110" t="str">
        <v/>
      </c>
      <c r="I44" s="110" t="str">
        <v/>
      </c>
      <c r="J44" s="110">
        <v>32.840000000000003</v>
      </c>
      <c r="K44" s="110">
        <v>0</v>
      </c>
      <c r="L44" s="110">
        <v>0</v>
      </c>
      <c r="M44" s="110">
        <v>0</v>
      </c>
      <c r="N44" s="110">
        <v>0</v>
      </c>
      <c r="O44" s="110">
        <v>162.12</v>
      </c>
      <c r="P44" s="110">
        <v>0</v>
      </c>
      <c r="Q44" s="110" t="str">
        <v>AVAILABLE</v>
      </c>
      <c r="R44" s="110">
        <v>2058200</v>
      </c>
      <c r="S44" s="110">
        <v>2144100</v>
      </c>
      <c r="T44" s="110">
        <v>2230000</v>
      </c>
      <c r="U44" s="110">
        <v>24600</v>
      </c>
      <c r="V44" s="110">
        <v>61300</v>
      </c>
      <c r="W44" s="110">
        <v>2144100</v>
      </c>
      <c r="X44" s="110">
        <v>0</v>
      </c>
      <c r="Y44" s="110">
        <v>2230000</v>
      </c>
      <c r="Z44" s="110">
        <v>2144100</v>
      </c>
      <c r="AA44" s="110">
        <v>45673</v>
      </c>
      <c r="AB44" s="111" t="str">
        <v>Q1 2025</v>
      </c>
      <c r="AC44">
        <v>0</v>
      </c>
      <c r="AD44">
        <v>0</v>
      </c>
      <c r="AE44" t="str">
        <v>Ana Damásio</v>
      </c>
      <c r="AF44" t="str">
        <v>Carla Veiga</v>
      </c>
      <c r="AG44" t="str">
        <v>Springs Els Club - *Vilamoura</v>
      </c>
      <c r="AH44" t="str">
        <v>The new chapter of Vilamoura begins here. Join the inner circle with Club access to golf, sport, equestrian &amp; beach life.</v>
      </c>
      <c r="AI44" t="str">
        <v>Gym, Spa, Lazy River, Private Pools, Outdoor Areas, Smart Home Technology, Tennis Court, Clubhouse, Private Parking, Vista Membership</v>
      </c>
      <c r="AJ44"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44" t="str">
        <v>Promontório</v>
      </c>
      <c r="AL44" t="str">
        <v>Springs - At the Els</v>
      </c>
    </row>
    <row r="45" spans="1:38" x14ac:dyDescent="0.3">
      <c r="A45" s="110" t="str">
        <v>SPRINGS</v>
      </c>
      <c r="B45" s="110" t="str">
        <v>Vilamoura</v>
      </c>
      <c r="C45" s="110" t="str">
        <v>AN</v>
      </c>
      <c r="D45" s="110" t="str">
        <v>Vilamoura, Algarve</v>
      </c>
      <c r="E45" s="110" t="str">
        <v>V3 Duplex</v>
      </c>
      <c r="F45" s="110">
        <v>416.4</v>
      </c>
      <c r="G45" s="110">
        <v>220.48</v>
      </c>
      <c r="H45" s="110" t="str">
        <v/>
      </c>
      <c r="I45" s="110" t="str">
        <v/>
      </c>
      <c r="J45" s="110">
        <v>32.840000000000003</v>
      </c>
      <c r="K45" s="110">
        <v>0</v>
      </c>
      <c r="L45" s="110">
        <v>0</v>
      </c>
      <c r="M45" s="110">
        <v>0</v>
      </c>
      <c r="N45" s="110">
        <v>0</v>
      </c>
      <c r="O45" s="110">
        <v>163.08000000000001</v>
      </c>
      <c r="P45" s="110">
        <v>0</v>
      </c>
      <c r="Q45" s="110" t="str">
        <v>AVAILABLE</v>
      </c>
      <c r="R45" s="110">
        <v>1958200</v>
      </c>
      <c r="S45" s="110">
        <v>2044100</v>
      </c>
      <c r="T45" s="110">
        <v>2130000</v>
      </c>
      <c r="U45" s="110">
        <v>24600</v>
      </c>
      <c r="V45" s="110">
        <v>61300</v>
      </c>
      <c r="W45" s="110">
        <v>2044100</v>
      </c>
      <c r="X45" s="110">
        <v>0</v>
      </c>
      <c r="Y45" s="110">
        <v>2130000</v>
      </c>
      <c r="Z45" s="110">
        <v>2044100</v>
      </c>
      <c r="AA45" s="110">
        <v>45673</v>
      </c>
      <c r="AB45" s="111" t="str">
        <v>Q1 2025</v>
      </c>
      <c r="AC45">
        <v>0</v>
      </c>
      <c r="AD45">
        <v>0</v>
      </c>
      <c r="AE45" t="str">
        <v>Ana Damásio</v>
      </c>
      <c r="AF45" t="str">
        <v>Carla Veiga</v>
      </c>
      <c r="AG45" t="str">
        <v>Springs Els Club - *Vilamoura</v>
      </c>
      <c r="AH45" t="str">
        <v>The new chapter of Vilamoura begins here. Join the inner circle with Club access to golf, sport, equestrian &amp; beach life.</v>
      </c>
      <c r="AI45" t="str">
        <v>Gym, Spa, Lazy River, Private Pools, Outdoor Areas, Smart Home Technology, Tennis Court, Clubhouse, Private Parking, Vista Membership</v>
      </c>
      <c r="AJ45"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45" t="str">
        <v>Promontório</v>
      </c>
      <c r="AL45" t="str">
        <v>Springs - At the Els</v>
      </c>
    </row>
    <row r="46" spans="1:38" x14ac:dyDescent="0.3">
      <c r="A46" s="110" t="str">
        <v>SPRINGS</v>
      </c>
      <c r="B46" s="110" t="str">
        <v>Vilamoura</v>
      </c>
      <c r="C46" s="110" t="str">
        <v>AO</v>
      </c>
      <c r="D46" s="110" t="str">
        <v>Vilamoura, Algarve</v>
      </c>
      <c r="E46" s="110" t="str">
        <v>V2 Duplex</v>
      </c>
      <c r="F46" s="110">
        <v>333.99</v>
      </c>
      <c r="G46" s="110">
        <v>172.78</v>
      </c>
      <c r="H46" s="110" t="str">
        <v/>
      </c>
      <c r="I46" s="110" t="str">
        <v/>
      </c>
      <c r="J46" s="110">
        <v>25.77</v>
      </c>
      <c r="K46" s="110">
        <v>0</v>
      </c>
      <c r="L46" s="110">
        <v>0</v>
      </c>
      <c r="M46" s="110">
        <v>0</v>
      </c>
      <c r="N46" s="110">
        <v>0</v>
      </c>
      <c r="O46" s="110">
        <v>135.44</v>
      </c>
      <c r="P46" s="110">
        <v>0</v>
      </c>
      <c r="Q46" s="110" t="str">
        <v>AVAILABLE</v>
      </c>
      <c r="R46" s="110">
        <v>1737700</v>
      </c>
      <c r="S46" s="110">
        <v>1808850</v>
      </c>
      <c r="T46" s="110">
        <v>1880000</v>
      </c>
      <c r="U46" s="110">
        <v>24600</v>
      </c>
      <c r="V46" s="110">
        <v>46550</v>
      </c>
      <c r="W46" s="110">
        <v>1808850</v>
      </c>
      <c r="X46" s="110">
        <v>0</v>
      </c>
      <c r="Y46" s="110">
        <v>1880000</v>
      </c>
      <c r="Z46" s="110">
        <v>1808850</v>
      </c>
      <c r="AA46" s="110">
        <v>45673</v>
      </c>
      <c r="AB46" s="111" t="str">
        <v>Q1 2025</v>
      </c>
      <c r="AC46">
        <v>0</v>
      </c>
      <c r="AD46">
        <v>0</v>
      </c>
      <c r="AE46" t="str">
        <v>Ana Damásio</v>
      </c>
      <c r="AF46" t="str">
        <v>Carla Veiga</v>
      </c>
      <c r="AG46" t="str">
        <v>Springs Els Club - *Vilamoura</v>
      </c>
      <c r="AH46" t="str">
        <v>The new chapter of Vilamoura begins here. Join the inner circle with Club access to golf, sport, equestrian &amp; beach life.</v>
      </c>
      <c r="AI46" t="str">
        <v>Gym, Spa, Lazy River, Private Pools, Outdoor Areas, Smart Home Technology, Tennis Court, Clubhouse, Private Parking, Vista Membership</v>
      </c>
      <c r="AJ46"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46" t="str">
        <v>Promontório</v>
      </c>
      <c r="AL46" t="str">
        <v>Springs - At the Els</v>
      </c>
    </row>
    <row r="47" spans="1:38" x14ac:dyDescent="0.3">
      <c r="A47" s="110" t="str">
        <v>SPRINGS</v>
      </c>
      <c r="B47" s="110" t="str">
        <v>Vilamoura</v>
      </c>
      <c r="C47" s="110" t="str">
        <v>AP</v>
      </c>
      <c r="D47" s="110" t="str">
        <v>Vilamoura, Algarve</v>
      </c>
      <c r="E47" s="110" t="str">
        <v>V2 Duplex</v>
      </c>
      <c r="F47" s="110">
        <v>333.99</v>
      </c>
      <c r="G47" s="110">
        <v>172.78</v>
      </c>
      <c r="H47" s="110" t="str">
        <v/>
      </c>
      <c r="I47" s="110" t="str">
        <v/>
      </c>
      <c r="J47" s="110">
        <v>25.77</v>
      </c>
      <c r="K47" s="110">
        <v>0</v>
      </c>
      <c r="L47" s="110">
        <v>0</v>
      </c>
      <c r="M47" s="110">
        <v>0</v>
      </c>
      <c r="N47" s="110">
        <v>0</v>
      </c>
      <c r="O47" s="110">
        <v>135.44</v>
      </c>
      <c r="P47" s="110">
        <v>0</v>
      </c>
      <c r="Q47" s="110" t="str">
        <v>AVAILABLE</v>
      </c>
      <c r="R47" s="110">
        <v>1717700</v>
      </c>
      <c r="S47" s="110">
        <v>1788850</v>
      </c>
      <c r="T47" s="110">
        <v>1860000</v>
      </c>
      <c r="U47" s="110">
        <v>24600</v>
      </c>
      <c r="V47" s="110">
        <v>46550</v>
      </c>
      <c r="W47" s="110">
        <v>1788850</v>
      </c>
      <c r="X47" s="110">
        <v>0</v>
      </c>
      <c r="Y47" s="110">
        <v>1860000</v>
      </c>
      <c r="Z47" s="110">
        <v>1788850</v>
      </c>
      <c r="AA47" s="110">
        <v>45673</v>
      </c>
      <c r="AB47" s="111" t="str">
        <v>Q1 2025</v>
      </c>
      <c r="AC47">
        <v>0</v>
      </c>
      <c r="AD47">
        <v>0</v>
      </c>
      <c r="AE47" t="str">
        <v>Ana Damásio</v>
      </c>
      <c r="AF47" t="str">
        <v>Carla Veiga</v>
      </c>
      <c r="AG47" t="str">
        <v>Springs Els Club - *Vilamoura</v>
      </c>
      <c r="AH47" t="str">
        <v>The new chapter of Vilamoura begins here. Join the inner circle with Club access to golf, sport, equestrian &amp; beach life.</v>
      </c>
      <c r="AI47" t="str">
        <v>Gym, Spa, Lazy River, Private Pools, Outdoor Areas, Smart Home Technology, Tennis Court, Clubhouse, Private Parking, Vista Membership</v>
      </c>
      <c r="AJ47"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47" t="str">
        <v>Promontório</v>
      </c>
      <c r="AL47" t="str">
        <v>Springs - At the Els</v>
      </c>
    </row>
    <row r="48" spans="1:38" x14ac:dyDescent="0.3">
      <c r="A48" s="110" t="str">
        <v>SPRINGS</v>
      </c>
      <c r="B48" s="110" t="str">
        <v>Vilamoura</v>
      </c>
      <c r="C48" s="110" t="str">
        <v>AQ</v>
      </c>
      <c r="D48" s="110" t="str">
        <v>Vilamoura, Algarve</v>
      </c>
      <c r="E48" s="110" t="str">
        <v>V2 Duplex</v>
      </c>
      <c r="F48" s="110">
        <v>343.47</v>
      </c>
      <c r="G48" s="110">
        <v>179.37</v>
      </c>
      <c r="H48" s="110" t="str">
        <v/>
      </c>
      <c r="I48" s="110" t="str">
        <v/>
      </c>
      <c r="J48" s="110">
        <v>25.77</v>
      </c>
      <c r="K48" s="110">
        <v>0</v>
      </c>
      <c r="L48" s="110">
        <v>0</v>
      </c>
      <c r="M48" s="110">
        <v>0</v>
      </c>
      <c r="N48" s="110">
        <v>0</v>
      </c>
      <c r="O48" s="110">
        <v>138.33000000000001</v>
      </c>
      <c r="P48" s="110">
        <v>0</v>
      </c>
      <c r="Q48" s="110" t="str">
        <v>AVAILABLE</v>
      </c>
      <c r="R48" s="110">
        <v>1717700</v>
      </c>
      <c r="S48" s="110">
        <v>1788850</v>
      </c>
      <c r="T48" s="110">
        <v>1860000</v>
      </c>
      <c r="U48" s="110">
        <v>24600</v>
      </c>
      <c r="V48" s="110">
        <v>46550</v>
      </c>
      <c r="W48" s="110">
        <v>1788850</v>
      </c>
      <c r="X48" s="110">
        <v>0</v>
      </c>
      <c r="Y48" s="110">
        <v>1860000</v>
      </c>
      <c r="Z48" s="110">
        <v>1788850</v>
      </c>
      <c r="AA48" s="110">
        <v>45673</v>
      </c>
      <c r="AB48" s="111" t="str">
        <v>Q1 2025</v>
      </c>
      <c r="AC48">
        <v>0</v>
      </c>
      <c r="AD48">
        <v>0</v>
      </c>
      <c r="AE48" t="str">
        <v>Ana Damásio</v>
      </c>
      <c r="AF48" t="str">
        <v>Carla Veiga</v>
      </c>
      <c r="AG48" t="str">
        <v>Springs Els Club - *Vilamoura</v>
      </c>
      <c r="AH48" t="str">
        <v>The new chapter of Vilamoura begins here. Join the inner circle with Club access to golf, sport, equestrian &amp; beach life.</v>
      </c>
      <c r="AI48" t="str">
        <v>Gym, Spa, Lazy River, Private Pools, Outdoor Areas, Smart Home Technology, Tennis Court, Clubhouse, Private Parking, Vista Membership</v>
      </c>
      <c r="AJ48"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48" t="str">
        <v>Promontório</v>
      </c>
      <c r="AL48" t="str">
        <v>Springs - At the Els</v>
      </c>
    </row>
    <row r="49" spans="1:38" x14ac:dyDescent="0.3">
      <c r="A49" t="str">
        <v>SPRINGS</v>
      </c>
      <c r="B49" t="str">
        <v>Vilamoura</v>
      </c>
      <c r="C49" t="str">
        <v>AR</v>
      </c>
      <c r="D49" t="str">
        <v>Vilamoura, Algarve</v>
      </c>
      <c r="E49" t="str">
        <v>V2 Duplex</v>
      </c>
      <c r="F49">
        <v>282.32</v>
      </c>
      <c r="G49">
        <v>116.67</v>
      </c>
      <c r="H49" t="str">
        <v/>
      </c>
      <c r="I49" t="str">
        <v/>
      </c>
      <c r="J49">
        <v>25.77</v>
      </c>
      <c r="K49">
        <v>0</v>
      </c>
      <c r="L49">
        <v>0</v>
      </c>
      <c r="M49" s="79">
        <v>0</v>
      </c>
      <c r="N49">
        <v>0</v>
      </c>
      <c r="O49">
        <v>139.88</v>
      </c>
      <c r="P49">
        <v>0</v>
      </c>
      <c r="Q49" t="str">
        <v>AVAILABLE</v>
      </c>
      <c r="R49">
        <v>1507700</v>
      </c>
      <c r="S49">
        <v>1578850</v>
      </c>
      <c r="T49">
        <v>1650000</v>
      </c>
      <c r="U49">
        <v>24600</v>
      </c>
      <c r="V49">
        <v>46550</v>
      </c>
      <c r="W49">
        <v>1578850</v>
      </c>
      <c r="X49">
        <v>0</v>
      </c>
      <c r="Y49">
        <v>1650000</v>
      </c>
      <c r="Z49">
        <v>1578850</v>
      </c>
      <c r="AA49">
        <v>45673</v>
      </c>
      <c r="AB49" t="str">
        <v>Q1 2025</v>
      </c>
      <c r="AC49">
        <v>0</v>
      </c>
      <c r="AD49">
        <v>0</v>
      </c>
      <c r="AE49" t="str">
        <v>Ana Damásio</v>
      </c>
      <c r="AF49" t="str">
        <v>Carla Veiga</v>
      </c>
      <c r="AG49" t="str">
        <v>Springs Els Club - *Vilamoura</v>
      </c>
      <c r="AH49" t="str">
        <v>The new chapter of Vilamoura begins here. Join the inner circle with Club access to golf, sport, equestrian &amp; beach life.</v>
      </c>
      <c r="AI49" t="str">
        <v>Gym, Spa, Lazy River, Private Pools, Outdoor Areas, Smart Home Technology, Tennis Court, Clubhouse, Private Parking, Vista Membership</v>
      </c>
      <c r="AJ49"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49" t="str">
        <v>Promontório</v>
      </c>
      <c r="AL49" t="str">
        <v>Springs - At the Els</v>
      </c>
    </row>
    <row r="50" spans="1:38" x14ac:dyDescent="0.3">
      <c r="A50" t="str">
        <v>SPRINGS</v>
      </c>
      <c r="B50" t="str">
        <v>Vilamoura</v>
      </c>
      <c r="C50" t="str">
        <v>AS</v>
      </c>
      <c r="D50" t="str">
        <v>Vilamoura, Algarve</v>
      </c>
      <c r="E50" t="str">
        <v>V2 Duplex</v>
      </c>
      <c r="F50">
        <v>280.27</v>
      </c>
      <c r="G50">
        <v>119.06</v>
      </c>
      <c r="H50" t="str">
        <v/>
      </c>
      <c r="I50" t="str">
        <v/>
      </c>
      <c r="J50">
        <v>25.77</v>
      </c>
      <c r="K50">
        <v>0</v>
      </c>
      <c r="L50">
        <v>0</v>
      </c>
      <c r="M50" s="79">
        <v>0</v>
      </c>
      <c r="N50">
        <v>0</v>
      </c>
      <c r="O50">
        <v>135.44</v>
      </c>
      <c r="P50">
        <v>0</v>
      </c>
      <c r="Q50" t="str">
        <v>AVAILABLE</v>
      </c>
      <c r="R50">
        <v>1417700</v>
      </c>
      <c r="S50">
        <v>1488850</v>
      </c>
      <c r="T50">
        <v>1560000</v>
      </c>
      <c r="U50">
        <v>24600</v>
      </c>
      <c r="V50">
        <v>46550</v>
      </c>
      <c r="W50">
        <v>1488850</v>
      </c>
      <c r="X50">
        <v>0</v>
      </c>
      <c r="Y50">
        <v>1560000</v>
      </c>
      <c r="Z50">
        <v>1488850</v>
      </c>
      <c r="AA50">
        <v>45673</v>
      </c>
      <c r="AB50" t="str">
        <v>Q1 2025</v>
      </c>
      <c r="AC50">
        <v>0</v>
      </c>
      <c r="AD50">
        <v>0</v>
      </c>
      <c r="AE50" t="str">
        <v>Ana Damásio</v>
      </c>
      <c r="AF50" t="str">
        <v>Carla Veiga</v>
      </c>
      <c r="AG50" t="str">
        <v>Springs Els Club - *Vilamoura</v>
      </c>
      <c r="AH50" t="str">
        <v>The new chapter of Vilamoura begins here. Join the inner circle with Club access to golf, sport, equestrian &amp; beach life.</v>
      </c>
      <c r="AI50" t="str">
        <v>Gym, Spa, Lazy River, Private Pools, Outdoor Areas, Smart Home Technology, Tennis Court, Clubhouse, Private Parking, Vista Membership</v>
      </c>
      <c r="AJ50"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50" t="str">
        <v>Promontório</v>
      </c>
      <c r="AL50" t="str">
        <v>Springs - At the Els</v>
      </c>
    </row>
    <row r="51" spans="1:38" x14ac:dyDescent="0.3">
      <c r="A51" t="str">
        <v>SPRINGS</v>
      </c>
      <c r="B51" t="str">
        <v>Vilamoura</v>
      </c>
      <c r="C51" t="str">
        <v>AT</v>
      </c>
      <c r="D51" t="str">
        <v>Vilamoura, Algarve</v>
      </c>
      <c r="E51" t="str">
        <v>V2 Duplex</v>
      </c>
      <c r="F51">
        <v>280.27</v>
      </c>
      <c r="G51">
        <v>119.06</v>
      </c>
      <c r="H51" t="str">
        <v/>
      </c>
      <c r="I51" t="str">
        <v/>
      </c>
      <c r="J51">
        <v>25.77</v>
      </c>
      <c r="K51">
        <v>0</v>
      </c>
      <c r="L51">
        <v>0</v>
      </c>
      <c r="M51" s="79">
        <v>0</v>
      </c>
      <c r="N51">
        <v>0</v>
      </c>
      <c r="O51">
        <v>135.44</v>
      </c>
      <c r="P51">
        <v>0</v>
      </c>
      <c r="Q51" t="str">
        <v>AVAILABLE</v>
      </c>
      <c r="R51">
        <v>1397700</v>
      </c>
      <c r="S51">
        <v>1468850</v>
      </c>
      <c r="T51">
        <v>1540000</v>
      </c>
      <c r="U51">
        <v>24600</v>
      </c>
      <c r="V51">
        <v>46550</v>
      </c>
      <c r="W51">
        <v>1468850</v>
      </c>
      <c r="X51">
        <v>0</v>
      </c>
      <c r="Y51">
        <v>1540000</v>
      </c>
      <c r="Z51">
        <v>1468850</v>
      </c>
      <c r="AA51">
        <v>45673</v>
      </c>
      <c r="AB51" t="str">
        <v>Q1 2025</v>
      </c>
      <c r="AC51">
        <v>0</v>
      </c>
      <c r="AD51">
        <v>0</v>
      </c>
      <c r="AE51" t="str">
        <v>Ana Damásio</v>
      </c>
      <c r="AF51" t="str">
        <v>Carla Veiga</v>
      </c>
      <c r="AG51" t="str">
        <v>Springs Els Club - *Vilamoura</v>
      </c>
      <c r="AH51" t="str">
        <v>The new chapter of Vilamoura begins here. Join the inner circle with Club access to golf, sport, equestrian &amp; beach life.</v>
      </c>
      <c r="AI51" t="str">
        <v>Gym, Spa, Lazy River, Private Pools, Outdoor Areas, Smart Home Technology, Tennis Court, Clubhouse, Private Parking, Vista Membership</v>
      </c>
      <c r="AJ51"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51" t="str">
        <v>Promontório</v>
      </c>
      <c r="AL51" t="str">
        <v>Springs - At the Els</v>
      </c>
    </row>
    <row r="52" spans="1:38" x14ac:dyDescent="0.3">
      <c r="A52" t="str">
        <v>SPRINGS</v>
      </c>
      <c r="B52" t="str">
        <v>Vilamoura</v>
      </c>
      <c r="C52" t="str">
        <v>AU</v>
      </c>
      <c r="D52" t="str">
        <v>Vilamoura, Algarve</v>
      </c>
      <c r="E52" t="str">
        <v>V2 Duplex</v>
      </c>
      <c r="F52">
        <v>405.04</v>
      </c>
      <c r="G52">
        <v>240.94</v>
      </c>
      <c r="H52" t="str">
        <v/>
      </c>
      <c r="I52" t="str">
        <v/>
      </c>
      <c r="J52">
        <v>25.77</v>
      </c>
      <c r="K52">
        <v>0</v>
      </c>
      <c r="L52">
        <v>0</v>
      </c>
      <c r="M52" s="79">
        <v>0</v>
      </c>
      <c r="N52">
        <v>0</v>
      </c>
      <c r="O52">
        <v>138.33000000000001</v>
      </c>
      <c r="P52">
        <v>0</v>
      </c>
      <c r="Q52" t="str">
        <v>AVAILABLE</v>
      </c>
      <c r="R52">
        <v>1587700</v>
      </c>
      <c r="S52">
        <v>1658850</v>
      </c>
      <c r="T52">
        <v>1730000</v>
      </c>
      <c r="U52">
        <v>24600</v>
      </c>
      <c r="V52">
        <v>46550</v>
      </c>
      <c r="W52">
        <v>1658850</v>
      </c>
      <c r="X52">
        <v>0</v>
      </c>
      <c r="Y52">
        <v>1730000</v>
      </c>
      <c r="Z52">
        <v>1658850</v>
      </c>
      <c r="AA52">
        <v>45673</v>
      </c>
      <c r="AB52" t="str">
        <v>Q1 2025</v>
      </c>
      <c r="AC52">
        <v>0</v>
      </c>
      <c r="AD52">
        <v>0</v>
      </c>
      <c r="AE52" t="str">
        <v>Ana Damásio</v>
      </c>
      <c r="AF52" t="str">
        <v>Carla Veiga</v>
      </c>
      <c r="AG52" t="str">
        <v>Springs Els Club - *Vilamoura</v>
      </c>
      <c r="AH52" t="str">
        <v>The new chapter of Vilamoura begins here. Join the inner circle with Club access to golf, sport, equestrian &amp; beach life.</v>
      </c>
      <c r="AI52" t="str">
        <v>Gym, Spa, Lazy River, Private Pools, Outdoor Areas, Smart Home Technology, Tennis Court, Clubhouse, Private Parking, Vista Membership</v>
      </c>
      <c r="AJ52"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52" t="str">
        <v>Promontório</v>
      </c>
      <c r="AL52" t="str">
        <v>Springs - At the Els</v>
      </c>
    </row>
    <row r="53" spans="1:38" x14ac:dyDescent="0.3">
      <c r="A53" t="str">
        <v>SPRINGS</v>
      </c>
      <c r="B53" t="str">
        <v>Vilamoura</v>
      </c>
      <c r="C53" t="str">
        <v>AV</v>
      </c>
      <c r="D53" t="str">
        <v>Vilamoura, Algarve</v>
      </c>
      <c r="E53" t="str">
        <v>V2 Duplex</v>
      </c>
      <c r="F53">
        <v>398.1</v>
      </c>
      <c r="G53">
        <v>234.02</v>
      </c>
      <c r="H53" t="str">
        <v/>
      </c>
      <c r="I53" t="str">
        <v/>
      </c>
      <c r="J53">
        <v>25.77</v>
      </c>
      <c r="K53">
        <v>0</v>
      </c>
      <c r="L53">
        <v>0</v>
      </c>
      <c r="M53" s="79">
        <v>0</v>
      </c>
      <c r="N53">
        <v>0</v>
      </c>
      <c r="O53">
        <v>138.31</v>
      </c>
      <c r="P53">
        <v>0</v>
      </c>
      <c r="Q53" t="str">
        <v>AVAILABLE</v>
      </c>
      <c r="R53">
        <v>1387700</v>
      </c>
      <c r="S53">
        <v>1458850</v>
      </c>
      <c r="T53">
        <v>1530000</v>
      </c>
      <c r="U53">
        <v>24600</v>
      </c>
      <c r="V53">
        <v>46550</v>
      </c>
      <c r="W53">
        <v>1458850</v>
      </c>
      <c r="X53">
        <v>0</v>
      </c>
      <c r="Y53">
        <v>1530000</v>
      </c>
      <c r="Z53">
        <v>1458850</v>
      </c>
      <c r="AA53">
        <v>45673</v>
      </c>
      <c r="AB53" t="str">
        <v>Q1 2025</v>
      </c>
      <c r="AC53">
        <v>0</v>
      </c>
      <c r="AD53">
        <v>0</v>
      </c>
      <c r="AE53" t="str">
        <v>Ana Damásio</v>
      </c>
      <c r="AF53" t="str">
        <v>Carla Veiga</v>
      </c>
      <c r="AG53" t="str">
        <v>Springs Els Club - *Vilamoura</v>
      </c>
      <c r="AH53" t="str">
        <v>The new chapter of Vilamoura begins here. Join the inner circle with Club access to golf, sport, equestrian &amp; beach life.</v>
      </c>
      <c r="AI53" t="str">
        <v>Gym, Spa, Lazy River, Private Pools, Outdoor Areas, Smart Home Technology, Tennis Court, Clubhouse, Private Parking, Vista Membership</v>
      </c>
      <c r="AJ53"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53" t="str">
        <v>Promontório</v>
      </c>
      <c r="AL53" t="str">
        <v>Springs - At the Els</v>
      </c>
    </row>
    <row r="54" spans="1:38" x14ac:dyDescent="0.3">
      <c r="A54" t="str">
        <v>SPRINGS</v>
      </c>
      <c r="B54" t="str">
        <v>Vilamoura</v>
      </c>
      <c r="C54" t="str">
        <v>AW</v>
      </c>
      <c r="D54" t="str">
        <v>Vilamoura, Algarve</v>
      </c>
      <c r="E54" t="str">
        <v>V2 Duplex</v>
      </c>
      <c r="F54">
        <v>280.27</v>
      </c>
      <c r="G54">
        <v>119.06</v>
      </c>
      <c r="H54" t="str">
        <v/>
      </c>
      <c r="I54" t="str">
        <v/>
      </c>
      <c r="J54">
        <v>25.77</v>
      </c>
      <c r="K54">
        <v>0</v>
      </c>
      <c r="L54">
        <v>0</v>
      </c>
      <c r="M54" s="79">
        <v>0</v>
      </c>
      <c r="N54">
        <v>0</v>
      </c>
      <c r="O54">
        <v>135.44</v>
      </c>
      <c r="P54">
        <v>0</v>
      </c>
      <c r="Q54" t="str">
        <v>AVAILABLE</v>
      </c>
      <c r="R54">
        <v>1227700</v>
      </c>
      <c r="S54">
        <v>1298850</v>
      </c>
      <c r="T54">
        <v>1370000</v>
      </c>
      <c r="U54">
        <v>24600</v>
      </c>
      <c r="V54">
        <v>46550</v>
      </c>
      <c r="W54">
        <v>1298850</v>
      </c>
      <c r="X54">
        <v>0</v>
      </c>
      <c r="Y54">
        <v>1370000</v>
      </c>
      <c r="Z54">
        <v>1298850</v>
      </c>
      <c r="AA54">
        <v>45673</v>
      </c>
      <c r="AB54" t="str">
        <v>Q1 2025</v>
      </c>
      <c r="AC54">
        <v>0</v>
      </c>
      <c r="AD54">
        <v>0</v>
      </c>
      <c r="AE54" t="str">
        <v>Ana Damásio</v>
      </c>
      <c r="AF54" t="str">
        <v>Carla Veiga</v>
      </c>
      <c r="AG54" t="str">
        <v>Springs Els Club - *Vilamoura</v>
      </c>
      <c r="AH54" t="str">
        <v>The new chapter of Vilamoura begins here. Join the inner circle with Club access to golf, sport, equestrian &amp; beach life.</v>
      </c>
      <c r="AI54" t="str">
        <v>Gym, Spa, Lazy River, Private Pools, Outdoor Areas, Smart Home Technology, Tennis Court, Clubhouse, Private Parking, Vista Membership</v>
      </c>
      <c r="AJ54"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54" t="str">
        <v>Promontório</v>
      </c>
      <c r="AL54" t="str">
        <v>Springs - At the Els</v>
      </c>
    </row>
    <row r="55" spans="1:38" x14ac:dyDescent="0.3">
      <c r="A55" t="str">
        <v>SPRINGS</v>
      </c>
      <c r="B55" t="str">
        <v>Vilamoura</v>
      </c>
      <c r="C55" t="str">
        <v>AX</v>
      </c>
      <c r="D55" t="str">
        <v>Vilamoura, Algarve</v>
      </c>
      <c r="E55" t="str">
        <v>V2 Duplex</v>
      </c>
      <c r="F55">
        <v>288.99</v>
      </c>
      <c r="G55">
        <v>121.69</v>
      </c>
      <c r="H55" t="str">
        <v/>
      </c>
      <c r="I55" t="str">
        <v/>
      </c>
      <c r="J55">
        <v>25.77</v>
      </c>
      <c r="K55">
        <v>0</v>
      </c>
      <c r="L55">
        <v>0</v>
      </c>
      <c r="M55" s="79">
        <v>0</v>
      </c>
      <c r="N55">
        <v>0</v>
      </c>
      <c r="O55">
        <v>141.53</v>
      </c>
      <c r="P55">
        <v>0</v>
      </c>
      <c r="Q55" t="str">
        <v>AVAILABLE</v>
      </c>
      <c r="R55">
        <v>1327700</v>
      </c>
      <c r="S55">
        <v>1398850</v>
      </c>
      <c r="T55">
        <v>1470000</v>
      </c>
      <c r="U55">
        <v>24600</v>
      </c>
      <c r="V55">
        <v>46550</v>
      </c>
      <c r="W55">
        <v>1398850</v>
      </c>
      <c r="X55">
        <v>0</v>
      </c>
      <c r="Y55">
        <v>1470000</v>
      </c>
      <c r="Z55">
        <v>1398850</v>
      </c>
      <c r="AA55">
        <v>45673</v>
      </c>
      <c r="AB55" t="str">
        <v>Q1 2025</v>
      </c>
      <c r="AC55">
        <v>0</v>
      </c>
      <c r="AD55">
        <v>0</v>
      </c>
      <c r="AE55" t="str">
        <v>Ana Damásio</v>
      </c>
      <c r="AF55" t="str">
        <v>Carla Veiga</v>
      </c>
      <c r="AG55" t="str">
        <v>Springs Els Club - *Vilamoura</v>
      </c>
      <c r="AH55" t="str">
        <v>The new chapter of Vilamoura begins here. Join the inner circle with Club access to golf, sport, equestrian &amp; beach life.</v>
      </c>
      <c r="AI55" t="str">
        <v>Gym, Spa, Lazy River, Private Pools, Outdoor Areas, Smart Home Technology, Tennis Court, Clubhouse, Private Parking, Vista Membership</v>
      </c>
      <c r="AJ55"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55" t="str">
        <v>Promontório</v>
      </c>
      <c r="AL55" t="str">
        <v>Springs - At the Els</v>
      </c>
    </row>
    <row r="56" spans="1:38" x14ac:dyDescent="0.3">
      <c r="A56" t="str">
        <v>SPRINGS</v>
      </c>
      <c r="B56" t="str">
        <v>Vilamoura</v>
      </c>
      <c r="C56" t="str">
        <v>AY</v>
      </c>
      <c r="D56" t="str">
        <v>Vilamoura, Algarve</v>
      </c>
      <c r="E56" t="str">
        <v>V2 Duplex</v>
      </c>
      <c r="F56">
        <v>334.97</v>
      </c>
      <c r="G56">
        <v>170.89</v>
      </c>
      <c r="H56" t="str">
        <v/>
      </c>
      <c r="I56" t="str">
        <v/>
      </c>
      <c r="J56">
        <v>25.77</v>
      </c>
      <c r="K56">
        <v>0</v>
      </c>
      <c r="L56">
        <v>0</v>
      </c>
      <c r="M56" s="79">
        <v>0</v>
      </c>
      <c r="N56">
        <v>0</v>
      </c>
      <c r="O56">
        <v>138.31</v>
      </c>
      <c r="P56">
        <v>0</v>
      </c>
      <c r="Q56" t="str">
        <v>AVAILABLE</v>
      </c>
      <c r="R56">
        <v>1517700</v>
      </c>
      <c r="S56">
        <v>1588850</v>
      </c>
      <c r="T56">
        <v>1660000</v>
      </c>
      <c r="U56">
        <v>24600</v>
      </c>
      <c r="V56">
        <v>46550</v>
      </c>
      <c r="W56">
        <v>1588850</v>
      </c>
      <c r="X56">
        <v>0</v>
      </c>
      <c r="Y56">
        <v>1660000</v>
      </c>
      <c r="Z56">
        <v>1588850</v>
      </c>
      <c r="AA56">
        <v>45673</v>
      </c>
      <c r="AB56" t="str">
        <v>Q1 2025</v>
      </c>
      <c r="AC56">
        <v>0</v>
      </c>
      <c r="AD56">
        <v>0</v>
      </c>
      <c r="AE56" t="str">
        <v>Ana Damásio</v>
      </c>
      <c r="AF56" t="str">
        <v>Carla Veiga</v>
      </c>
      <c r="AG56" t="str">
        <v>Springs Els Club - *Vilamoura</v>
      </c>
      <c r="AH56" t="str">
        <v>The new chapter of Vilamoura begins here. Join the inner circle with Club access to golf, sport, equestrian &amp; beach life.</v>
      </c>
      <c r="AI56" t="str">
        <v>Gym, Spa, Lazy River, Private Pools, Outdoor Areas, Smart Home Technology, Tennis Court, Clubhouse, Private Parking, Vista Membership</v>
      </c>
      <c r="AJ56"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56" t="str">
        <v>Promontório</v>
      </c>
      <c r="AL56" t="str">
        <v>Springs - At the Els</v>
      </c>
    </row>
    <row r="57" spans="1:38" x14ac:dyDescent="0.3">
      <c r="A57" t="str">
        <v>SPRINGS</v>
      </c>
      <c r="B57" t="str">
        <v>Vilamoura</v>
      </c>
      <c r="C57" t="str">
        <v>AZ</v>
      </c>
      <c r="D57" t="str">
        <v>Vilamoura, Algarve</v>
      </c>
      <c r="E57" t="str">
        <v>V2 Duplex</v>
      </c>
      <c r="F57">
        <v>330.51</v>
      </c>
      <c r="G57">
        <v>169.3</v>
      </c>
      <c r="H57" t="str">
        <v/>
      </c>
      <c r="I57" t="str">
        <v/>
      </c>
      <c r="J57">
        <v>25.77</v>
      </c>
      <c r="K57">
        <v>0</v>
      </c>
      <c r="L57">
        <v>0</v>
      </c>
      <c r="M57" s="79">
        <v>0</v>
      </c>
      <c r="N57">
        <v>0</v>
      </c>
      <c r="O57">
        <v>135.44</v>
      </c>
      <c r="P57">
        <v>0</v>
      </c>
      <c r="Q57" t="str">
        <v>AVAILABLE</v>
      </c>
      <c r="R57">
        <v>1517700</v>
      </c>
      <c r="S57">
        <v>1588850</v>
      </c>
      <c r="T57">
        <v>1660000</v>
      </c>
      <c r="U57">
        <v>24600</v>
      </c>
      <c r="V57">
        <v>46550</v>
      </c>
      <c r="W57">
        <v>1588850</v>
      </c>
      <c r="X57">
        <v>0</v>
      </c>
      <c r="Y57">
        <v>1660000</v>
      </c>
      <c r="Z57">
        <v>1588850</v>
      </c>
      <c r="AA57">
        <v>45673</v>
      </c>
      <c r="AB57" t="str">
        <v>Q1 2025</v>
      </c>
      <c r="AC57">
        <v>0</v>
      </c>
      <c r="AD57">
        <v>0</v>
      </c>
      <c r="AE57" t="str">
        <v>Ana Damásio</v>
      </c>
      <c r="AF57" t="str">
        <v>Carla Veiga</v>
      </c>
      <c r="AG57" t="str">
        <v>Springs Els Club - *Vilamoura</v>
      </c>
      <c r="AH57" t="str">
        <v>The new chapter of Vilamoura begins here. Join the inner circle with Club access to golf, sport, equestrian &amp; beach life.</v>
      </c>
      <c r="AI57" t="str">
        <v>Gym, Spa, Lazy River, Private Pools, Outdoor Areas, Smart Home Technology, Tennis Court, Clubhouse, Private Parking, Vista Membership</v>
      </c>
      <c r="AJ57"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57" t="str">
        <v>Promontório</v>
      </c>
      <c r="AL57" t="str">
        <v>Springs - At the Els</v>
      </c>
    </row>
    <row r="58" spans="1:38" x14ac:dyDescent="0.3">
      <c r="A58" t="str">
        <v>SPRINGS</v>
      </c>
      <c r="B58" t="str">
        <v>Vilamoura</v>
      </c>
      <c r="C58" t="str">
        <v>B</v>
      </c>
      <c r="D58" t="str">
        <v>Vilamoura, Algarve</v>
      </c>
      <c r="E58" t="str">
        <v>V3</v>
      </c>
      <c r="F58">
        <v>323.58999999999997</v>
      </c>
      <c r="G58">
        <v>165.79</v>
      </c>
      <c r="H58" t="str">
        <v/>
      </c>
      <c r="I58" t="str">
        <v/>
      </c>
      <c r="J58">
        <v>0</v>
      </c>
      <c r="K58">
        <v>0</v>
      </c>
      <c r="L58">
        <v>0</v>
      </c>
      <c r="M58" s="79">
        <v>0</v>
      </c>
      <c r="N58">
        <v>0</v>
      </c>
      <c r="O58">
        <v>157.80000000000001</v>
      </c>
      <c r="P58">
        <v>0</v>
      </c>
      <c r="Q58" t="str">
        <v>AVAILABLE</v>
      </c>
      <c r="R58">
        <v>1652100</v>
      </c>
      <c r="S58">
        <v>1741050</v>
      </c>
      <c r="T58">
        <v>1830000</v>
      </c>
      <c r="U58">
        <v>24600</v>
      </c>
      <c r="V58">
        <v>64350</v>
      </c>
      <c r="W58">
        <v>1741050</v>
      </c>
      <c r="X58">
        <v>0</v>
      </c>
      <c r="Y58">
        <v>1830000</v>
      </c>
      <c r="Z58">
        <v>1741050</v>
      </c>
      <c r="AA58">
        <v>45673</v>
      </c>
      <c r="AB58" t="str">
        <v>Q1 2025</v>
      </c>
      <c r="AC58">
        <v>0</v>
      </c>
      <c r="AD58">
        <v>0</v>
      </c>
      <c r="AE58" t="str">
        <v>Ana Damásio</v>
      </c>
      <c r="AF58" t="str">
        <v>Carla Veiga</v>
      </c>
      <c r="AG58" t="str">
        <v>Springs Els Club - *Vilamoura</v>
      </c>
      <c r="AH58" t="str">
        <v>The new chapter of Vilamoura begins here. Join the inner circle with Club access to golf, sport, equestrian &amp; beach life.</v>
      </c>
      <c r="AI58" t="str">
        <v>Gym, Spa, Lazy River, Private Pools, Outdoor Areas, Smart Home Technology, Tennis Court, Clubhouse, Private Parking, Vista Membership</v>
      </c>
      <c r="AJ58"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58" t="str">
        <v>Promontório</v>
      </c>
      <c r="AL58" t="str">
        <v>Springs - At the Els</v>
      </c>
    </row>
    <row r="59" spans="1:38" x14ac:dyDescent="0.3">
      <c r="A59" t="str">
        <v>SPRINGS</v>
      </c>
      <c r="B59" t="str">
        <v>Vilamoura</v>
      </c>
      <c r="C59" t="str">
        <v>BA</v>
      </c>
      <c r="D59" t="str">
        <v>Vilamoura, Algarve</v>
      </c>
      <c r="E59" t="str">
        <v>V2 Duplex</v>
      </c>
      <c r="F59">
        <v>330.51</v>
      </c>
      <c r="G59">
        <v>169.3</v>
      </c>
      <c r="H59" t="str">
        <v/>
      </c>
      <c r="I59" t="str">
        <v/>
      </c>
      <c r="J59">
        <v>25.77</v>
      </c>
      <c r="K59">
        <v>0</v>
      </c>
      <c r="L59">
        <v>0</v>
      </c>
      <c r="M59" s="79">
        <v>0</v>
      </c>
      <c r="N59">
        <v>0</v>
      </c>
      <c r="O59">
        <v>135.44</v>
      </c>
      <c r="P59">
        <v>0</v>
      </c>
      <c r="Q59" t="str">
        <v>AVAILABLE</v>
      </c>
      <c r="R59">
        <v>1537700</v>
      </c>
      <c r="S59">
        <v>1608850</v>
      </c>
      <c r="T59">
        <v>1680000</v>
      </c>
      <c r="U59">
        <v>24600</v>
      </c>
      <c r="V59">
        <v>46550</v>
      </c>
      <c r="W59">
        <v>1608850</v>
      </c>
      <c r="X59">
        <v>0</v>
      </c>
      <c r="Y59">
        <v>1680000</v>
      </c>
      <c r="Z59">
        <v>1608850</v>
      </c>
      <c r="AA59">
        <v>45673</v>
      </c>
      <c r="AB59" t="str">
        <v>Q1 2025</v>
      </c>
      <c r="AC59">
        <v>0</v>
      </c>
      <c r="AD59">
        <v>0</v>
      </c>
      <c r="AE59" t="str">
        <v>Ana Damásio</v>
      </c>
      <c r="AF59" t="str">
        <v>Carla Veiga</v>
      </c>
      <c r="AG59" t="str">
        <v>Springs Els Club - *Vilamoura</v>
      </c>
      <c r="AH59" t="str">
        <v>The new chapter of Vilamoura begins here. Join the inner circle with Club access to golf, sport, equestrian &amp; beach life.</v>
      </c>
      <c r="AI59" t="str">
        <v>Gym, Spa, Lazy River, Private Pools, Outdoor Areas, Smart Home Technology, Tennis Court, Clubhouse, Private Parking, Vista Membership</v>
      </c>
      <c r="AJ59"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59" t="str">
        <v>Promontório</v>
      </c>
      <c r="AL59" t="str">
        <v>Springs - At the Els</v>
      </c>
    </row>
    <row r="60" spans="1:38" x14ac:dyDescent="0.3">
      <c r="A60" t="str">
        <v>SPRINGS</v>
      </c>
      <c r="B60" t="str">
        <v>Vilamoura</v>
      </c>
      <c r="C60" t="str">
        <v>BB</v>
      </c>
      <c r="D60" t="str">
        <v>Vilamoura, Algarve</v>
      </c>
      <c r="E60" t="str">
        <v>V3 Duplex</v>
      </c>
      <c r="F60">
        <v>485.91</v>
      </c>
      <c r="G60">
        <v>289.99</v>
      </c>
      <c r="H60" t="str">
        <v/>
      </c>
      <c r="I60" t="str">
        <v/>
      </c>
      <c r="J60">
        <v>32.840000000000003</v>
      </c>
      <c r="K60">
        <v>0</v>
      </c>
      <c r="L60">
        <v>0</v>
      </c>
      <c r="M60" s="79">
        <v>0</v>
      </c>
      <c r="N60">
        <v>0</v>
      </c>
      <c r="O60">
        <v>163.08000000000001</v>
      </c>
      <c r="P60">
        <v>0</v>
      </c>
      <c r="Q60" t="str">
        <v>AVAILABLE</v>
      </c>
      <c r="R60">
        <v>1758200</v>
      </c>
      <c r="S60">
        <v>1844100</v>
      </c>
      <c r="T60">
        <v>1930000</v>
      </c>
      <c r="U60">
        <v>24600</v>
      </c>
      <c r="V60">
        <v>61300</v>
      </c>
      <c r="W60">
        <v>1844100</v>
      </c>
      <c r="X60">
        <v>0</v>
      </c>
      <c r="Y60">
        <v>1930000</v>
      </c>
      <c r="Z60">
        <v>1844100</v>
      </c>
      <c r="AA60">
        <v>45673</v>
      </c>
      <c r="AB60" t="str">
        <v>Q1 2025</v>
      </c>
      <c r="AC60">
        <v>0</v>
      </c>
      <c r="AD60">
        <v>0</v>
      </c>
      <c r="AE60" t="str">
        <v>Ana Damásio</v>
      </c>
      <c r="AF60" t="str">
        <v>Carla Veiga</v>
      </c>
      <c r="AG60" t="str">
        <v>Springs Els Club - *Vilamoura</v>
      </c>
      <c r="AH60" t="str">
        <v>The new chapter of Vilamoura begins here. Join the inner circle with Club access to golf, sport, equestrian &amp; beach life.</v>
      </c>
      <c r="AI60" t="str">
        <v>Gym, Spa, Lazy River, Private Pools, Outdoor Areas, Smart Home Technology, Tennis Court, Clubhouse, Private Parking, Vista Membership</v>
      </c>
      <c r="AJ60"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60" t="str">
        <v>Promontório</v>
      </c>
      <c r="AL60" t="str">
        <v>Springs - At the Els</v>
      </c>
    </row>
    <row r="61" spans="1:38" x14ac:dyDescent="0.3">
      <c r="A61" t="str">
        <v>SPRINGS</v>
      </c>
      <c r="B61" t="str">
        <v>Vilamoura</v>
      </c>
      <c r="C61" t="str">
        <v>BC</v>
      </c>
      <c r="D61" t="str">
        <v>Vilamoura, Algarve</v>
      </c>
      <c r="E61" t="str">
        <v>V3 Duplex</v>
      </c>
      <c r="F61">
        <v>577.83000000000004</v>
      </c>
      <c r="G61">
        <v>382.85</v>
      </c>
      <c r="H61" t="str">
        <v/>
      </c>
      <c r="I61" t="str">
        <v/>
      </c>
      <c r="J61">
        <v>32.840000000000003</v>
      </c>
      <c r="K61">
        <v>0</v>
      </c>
      <c r="L61">
        <v>0</v>
      </c>
      <c r="M61" s="79">
        <v>0</v>
      </c>
      <c r="N61">
        <v>0</v>
      </c>
      <c r="O61">
        <v>162.13999999999999</v>
      </c>
      <c r="P61">
        <v>0</v>
      </c>
      <c r="Q61" t="str">
        <v>AVAILABLE</v>
      </c>
      <c r="R61">
        <v>1818200</v>
      </c>
      <c r="S61">
        <v>1904100</v>
      </c>
      <c r="T61">
        <v>1990000</v>
      </c>
      <c r="U61">
        <v>24600</v>
      </c>
      <c r="V61">
        <v>61300</v>
      </c>
      <c r="W61">
        <v>1904100</v>
      </c>
      <c r="X61">
        <v>0</v>
      </c>
      <c r="Y61">
        <v>1990000</v>
      </c>
      <c r="Z61">
        <v>1904100</v>
      </c>
      <c r="AA61">
        <v>45673</v>
      </c>
      <c r="AB61" t="str">
        <v>Q1 2025</v>
      </c>
      <c r="AC61">
        <v>0</v>
      </c>
      <c r="AD61">
        <v>0</v>
      </c>
      <c r="AE61" t="str">
        <v>Ana Damásio</v>
      </c>
      <c r="AF61" t="str">
        <v>Carla Veiga</v>
      </c>
      <c r="AG61" t="str">
        <v>Springs Els Club - *Vilamoura</v>
      </c>
      <c r="AH61" t="str">
        <v>The new chapter of Vilamoura begins here. Join the inner circle with Club access to golf, sport, equestrian &amp; beach life.</v>
      </c>
      <c r="AI61" t="str">
        <v>Gym, Spa, Lazy River, Private Pools, Outdoor Areas, Smart Home Technology, Tennis Court, Clubhouse, Private Parking, Vista Membership</v>
      </c>
      <c r="AJ61"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61" t="str">
        <v>Promontório</v>
      </c>
      <c r="AL61" t="str">
        <v>Springs - At the Els</v>
      </c>
    </row>
    <row r="62" spans="1:38" x14ac:dyDescent="0.3">
      <c r="A62" t="str">
        <v>SPRINGS</v>
      </c>
      <c r="B62" t="str">
        <v>Vilamoura</v>
      </c>
      <c r="C62" t="str">
        <v>BD</v>
      </c>
      <c r="D62" t="str">
        <v>Vilamoura, Algarve</v>
      </c>
      <c r="E62" t="str">
        <v>V3 Duplex</v>
      </c>
      <c r="F62">
        <v>449.88</v>
      </c>
      <c r="G62">
        <v>254.9</v>
      </c>
      <c r="H62" t="str">
        <v/>
      </c>
      <c r="I62" t="str">
        <v/>
      </c>
      <c r="J62">
        <v>32.840000000000003</v>
      </c>
      <c r="K62">
        <v>0</v>
      </c>
      <c r="L62">
        <v>0</v>
      </c>
      <c r="M62" s="79">
        <v>0</v>
      </c>
      <c r="N62">
        <v>0</v>
      </c>
      <c r="O62">
        <v>162.13999999999999</v>
      </c>
      <c r="P62">
        <v>0</v>
      </c>
      <c r="Q62" t="str">
        <v>AVAILABLE</v>
      </c>
      <c r="R62">
        <v>1908200</v>
      </c>
      <c r="S62">
        <v>1994100</v>
      </c>
      <c r="T62">
        <v>2080000</v>
      </c>
      <c r="U62">
        <v>24600</v>
      </c>
      <c r="V62">
        <v>61300</v>
      </c>
      <c r="W62">
        <v>1994100</v>
      </c>
      <c r="X62">
        <v>0</v>
      </c>
      <c r="Y62">
        <v>2080000</v>
      </c>
      <c r="Z62">
        <v>1994100</v>
      </c>
      <c r="AA62">
        <v>45673</v>
      </c>
      <c r="AB62" t="str">
        <v>Q1 2025</v>
      </c>
      <c r="AC62">
        <v>0</v>
      </c>
      <c r="AD62">
        <v>0</v>
      </c>
      <c r="AE62" t="str">
        <v>Ana Damásio</v>
      </c>
      <c r="AF62" t="str">
        <v>Carla Veiga</v>
      </c>
      <c r="AG62" t="str">
        <v>Springs Els Club - *Vilamoura</v>
      </c>
      <c r="AH62" t="str">
        <v>The new chapter of Vilamoura begins here. Join the inner circle with Club access to golf, sport, equestrian &amp; beach life.</v>
      </c>
      <c r="AI62" t="str">
        <v>Gym, Spa, Lazy River, Private Pools, Outdoor Areas, Smart Home Technology, Tennis Court, Clubhouse, Private Parking, Vista Membership</v>
      </c>
      <c r="AJ62"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62" t="str">
        <v>Promontório</v>
      </c>
      <c r="AL62" t="str">
        <v>Springs - At the Els</v>
      </c>
    </row>
    <row r="63" spans="1:38" x14ac:dyDescent="0.3">
      <c r="A63" t="str">
        <v>SPRINGS</v>
      </c>
      <c r="B63" t="str">
        <v>Vilamoura</v>
      </c>
      <c r="C63" t="str">
        <v>BE</v>
      </c>
      <c r="D63" t="str">
        <v>Vilamoura, Algarve</v>
      </c>
      <c r="E63" t="str">
        <v>V3 Duplex</v>
      </c>
      <c r="F63">
        <v>414.3</v>
      </c>
      <c r="G63">
        <v>218.38</v>
      </c>
      <c r="H63" t="str">
        <v/>
      </c>
      <c r="I63" t="str">
        <v/>
      </c>
      <c r="J63">
        <v>32.840000000000003</v>
      </c>
      <c r="K63">
        <v>0</v>
      </c>
      <c r="L63">
        <v>0</v>
      </c>
      <c r="M63" s="79">
        <v>0</v>
      </c>
      <c r="N63">
        <v>0</v>
      </c>
      <c r="O63">
        <v>163.08000000000001</v>
      </c>
      <c r="P63">
        <v>0</v>
      </c>
      <c r="Q63" t="str">
        <v>AVAILABLE</v>
      </c>
      <c r="R63">
        <v>1878200</v>
      </c>
      <c r="S63">
        <v>1964100</v>
      </c>
      <c r="T63">
        <v>2050000</v>
      </c>
      <c r="U63">
        <v>24600</v>
      </c>
      <c r="V63">
        <v>61300</v>
      </c>
      <c r="W63">
        <v>1964100</v>
      </c>
      <c r="X63">
        <v>0</v>
      </c>
      <c r="Y63">
        <v>2050000</v>
      </c>
      <c r="Z63">
        <v>1964100</v>
      </c>
      <c r="AA63">
        <v>45673</v>
      </c>
      <c r="AB63" t="str">
        <v>Q1 2025</v>
      </c>
      <c r="AC63">
        <v>0</v>
      </c>
      <c r="AD63">
        <v>0</v>
      </c>
      <c r="AE63" t="str">
        <v>Ana Damásio</v>
      </c>
      <c r="AF63" t="str">
        <v>Carla Veiga</v>
      </c>
      <c r="AG63" t="str">
        <v>Springs Els Club - *Vilamoura</v>
      </c>
      <c r="AH63" t="str">
        <v>The new chapter of Vilamoura begins here. Join the inner circle with Club access to golf, sport, equestrian &amp; beach life.</v>
      </c>
      <c r="AI63" t="str">
        <v>Gym, Spa, Lazy River, Private Pools, Outdoor Areas, Smart Home Technology, Tennis Court, Clubhouse, Private Parking, Vista Membership</v>
      </c>
      <c r="AJ63"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63" t="str">
        <v>Promontório</v>
      </c>
      <c r="AL63" t="str">
        <v>Springs - At the Els</v>
      </c>
    </row>
    <row r="64" spans="1:38" x14ac:dyDescent="0.3">
      <c r="A64" t="str">
        <v>SPRINGS</v>
      </c>
      <c r="B64" t="str">
        <v>Vilamoura</v>
      </c>
      <c r="C64" t="str">
        <v>BF</v>
      </c>
      <c r="D64" t="str">
        <v>Vilamoura, Algarve</v>
      </c>
      <c r="E64" t="str">
        <v>V2 Duplex</v>
      </c>
      <c r="F64">
        <v>324.14999999999998</v>
      </c>
      <c r="G64">
        <v>162.94</v>
      </c>
      <c r="H64" t="str">
        <v/>
      </c>
      <c r="I64" t="str">
        <v/>
      </c>
      <c r="J64">
        <v>25.77</v>
      </c>
      <c r="K64">
        <v>0</v>
      </c>
      <c r="L64">
        <v>0</v>
      </c>
      <c r="M64" s="79">
        <v>0</v>
      </c>
      <c r="N64">
        <v>0</v>
      </c>
      <c r="O64">
        <v>135.44</v>
      </c>
      <c r="P64">
        <v>0</v>
      </c>
      <c r="Q64" t="str">
        <v>AVAILABLE</v>
      </c>
      <c r="R64">
        <v>1687700</v>
      </c>
      <c r="S64">
        <v>1758850</v>
      </c>
      <c r="T64">
        <v>1830000</v>
      </c>
      <c r="U64">
        <v>24600</v>
      </c>
      <c r="V64">
        <v>46550</v>
      </c>
      <c r="W64">
        <v>1758850</v>
      </c>
      <c r="X64">
        <v>0</v>
      </c>
      <c r="Y64">
        <v>1830000</v>
      </c>
      <c r="Z64">
        <v>1758850</v>
      </c>
      <c r="AA64">
        <v>45673</v>
      </c>
      <c r="AB64" t="str">
        <v>Q1 2025</v>
      </c>
      <c r="AC64">
        <v>0</v>
      </c>
      <c r="AD64">
        <v>0</v>
      </c>
      <c r="AE64" t="str">
        <v>Ana Damásio</v>
      </c>
      <c r="AF64" t="str">
        <v>Carla Veiga</v>
      </c>
      <c r="AG64" t="str">
        <v>Springs Els Club - *Vilamoura</v>
      </c>
      <c r="AH64" t="str">
        <v>The new chapter of Vilamoura begins here. Join the inner circle with Club access to golf, sport, equestrian &amp; beach life.</v>
      </c>
      <c r="AI64" t="str">
        <v>Gym, Spa, Lazy River, Private Pools, Outdoor Areas, Smart Home Technology, Tennis Court, Clubhouse, Private Parking, Vista Membership</v>
      </c>
      <c r="AJ64"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64" t="str">
        <v>Promontório</v>
      </c>
      <c r="AL64" t="str">
        <v>Springs - At the Els</v>
      </c>
    </row>
    <row r="65" spans="1:38" x14ac:dyDescent="0.3">
      <c r="A65" t="str">
        <v>SPRINGS</v>
      </c>
      <c r="B65" t="str">
        <v>Vilamoura</v>
      </c>
      <c r="C65" t="str">
        <v>BG</v>
      </c>
      <c r="D65" t="str">
        <v>Vilamoura, Algarve</v>
      </c>
      <c r="E65" t="str">
        <v>V2 Duplex</v>
      </c>
      <c r="F65">
        <v>333.99</v>
      </c>
      <c r="G65">
        <v>172.78</v>
      </c>
      <c r="H65" t="str">
        <v/>
      </c>
      <c r="I65" t="str">
        <v/>
      </c>
      <c r="J65">
        <v>25.77</v>
      </c>
      <c r="K65">
        <v>0</v>
      </c>
      <c r="L65">
        <v>0</v>
      </c>
      <c r="M65" s="79">
        <v>0</v>
      </c>
      <c r="N65">
        <v>0</v>
      </c>
      <c r="O65">
        <v>135.44</v>
      </c>
      <c r="P65">
        <v>0</v>
      </c>
      <c r="Q65" t="str">
        <v>AVAILABLE</v>
      </c>
      <c r="R65">
        <v>1667700</v>
      </c>
      <c r="S65">
        <v>1738850</v>
      </c>
      <c r="T65">
        <v>1810000</v>
      </c>
      <c r="U65">
        <v>24600</v>
      </c>
      <c r="V65">
        <v>46550</v>
      </c>
      <c r="W65">
        <v>1738850</v>
      </c>
      <c r="X65">
        <v>0</v>
      </c>
      <c r="Y65">
        <v>1810000</v>
      </c>
      <c r="Z65">
        <v>1738850</v>
      </c>
      <c r="AA65">
        <v>45673</v>
      </c>
      <c r="AB65" t="str">
        <v>Q1 2025</v>
      </c>
      <c r="AC65">
        <v>0</v>
      </c>
      <c r="AD65">
        <v>0</v>
      </c>
      <c r="AE65" t="str">
        <v>Ana Damásio</v>
      </c>
      <c r="AF65" t="str">
        <v>Carla Veiga</v>
      </c>
      <c r="AG65" t="str">
        <v>Springs Els Club - *Vilamoura</v>
      </c>
      <c r="AH65" t="str">
        <v>The new chapter of Vilamoura begins here. Join the inner circle with Club access to golf, sport, equestrian &amp; beach life.</v>
      </c>
      <c r="AI65" t="str">
        <v>Gym, Spa, Lazy River, Private Pools, Outdoor Areas, Smart Home Technology, Tennis Court, Clubhouse, Private Parking, Vista Membership</v>
      </c>
      <c r="AJ65"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65" t="str">
        <v>Promontório</v>
      </c>
      <c r="AL65" t="str">
        <v>Springs - At the Els</v>
      </c>
    </row>
    <row r="66" spans="1:38" x14ac:dyDescent="0.3">
      <c r="A66" t="str">
        <v>SPRINGS</v>
      </c>
      <c r="B66" t="str">
        <v>Vilamoura</v>
      </c>
      <c r="C66" t="str">
        <v>BH</v>
      </c>
      <c r="D66" t="str">
        <v>Vilamoura, Algarve</v>
      </c>
      <c r="E66" t="str">
        <v>V2 Duplex</v>
      </c>
      <c r="F66">
        <v>343.45</v>
      </c>
      <c r="G66">
        <v>179.37</v>
      </c>
      <c r="H66" t="str">
        <v/>
      </c>
      <c r="I66" t="str">
        <v/>
      </c>
      <c r="J66">
        <v>25.77</v>
      </c>
      <c r="K66">
        <v>0</v>
      </c>
      <c r="L66">
        <v>0</v>
      </c>
      <c r="M66" s="79">
        <v>0</v>
      </c>
      <c r="N66">
        <v>0</v>
      </c>
      <c r="O66">
        <v>138.31</v>
      </c>
      <c r="P66">
        <v>0</v>
      </c>
      <c r="Q66" t="str">
        <v>AVAILABLE</v>
      </c>
      <c r="R66">
        <v>1667700</v>
      </c>
      <c r="S66">
        <v>1738850</v>
      </c>
      <c r="T66">
        <v>1810000</v>
      </c>
      <c r="U66">
        <v>24600</v>
      </c>
      <c r="V66">
        <v>46550</v>
      </c>
      <c r="W66">
        <v>1738850</v>
      </c>
      <c r="X66">
        <v>0</v>
      </c>
      <c r="Y66">
        <v>1810000</v>
      </c>
      <c r="Z66">
        <v>1738850</v>
      </c>
      <c r="AA66">
        <v>45673</v>
      </c>
      <c r="AB66" t="str">
        <v>Q1 2025</v>
      </c>
      <c r="AC66">
        <v>0</v>
      </c>
      <c r="AD66">
        <v>0</v>
      </c>
      <c r="AE66" t="str">
        <v>Ana Damásio</v>
      </c>
      <c r="AF66" t="str">
        <v>Carla Veiga</v>
      </c>
      <c r="AG66" t="str">
        <v>Springs Els Club - *Vilamoura</v>
      </c>
      <c r="AH66" t="str">
        <v>The new chapter of Vilamoura begins here. Join the inner circle with Club access to golf, sport, equestrian &amp; beach life.</v>
      </c>
      <c r="AI66" t="str">
        <v>Gym, Spa, Lazy River, Private Pools, Outdoor Areas, Smart Home Technology, Tennis Court, Clubhouse, Private Parking, Vista Membership</v>
      </c>
      <c r="AJ66"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66" t="str">
        <v>Promontório</v>
      </c>
      <c r="AL66" t="str">
        <v>Springs - At the Els</v>
      </c>
    </row>
    <row r="67" spans="1:38" x14ac:dyDescent="0.3">
      <c r="A67" t="str">
        <v>SPRINGS</v>
      </c>
      <c r="B67" t="str">
        <v>Vilamoura</v>
      </c>
      <c r="C67" t="str">
        <v>BI</v>
      </c>
      <c r="D67" t="str">
        <v>Vilamoura, Algarve</v>
      </c>
      <c r="E67" t="str">
        <v>V2 Duplex</v>
      </c>
      <c r="F67">
        <v>284.95999999999998</v>
      </c>
      <c r="G67">
        <v>117.66</v>
      </c>
      <c r="H67" t="str">
        <v/>
      </c>
      <c r="I67" t="str">
        <v/>
      </c>
      <c r="J67">
        <v>25.77</v>
      </c>
      <c r="K67">
        <v>0</v>
      </c>
      <c r="L67">
        <v>0</v>
      </c>
      <c r="M67" s="79">
        <v>0</v>
      </c>
      <c r="N67">
        <v>0</v>
      </c>
      <c r="O67">
        <v>141.53</v>
      </c>
      <c r="P67">
        <v>0</v>
      </c>
      <c r="Q67" t="str">
        <v>AVAILABLE</v>
      </c>
      <c r="R67">
        <v>1457700</v>
      </c>
      <c r="S67">
        <v>1528850</v>
      </c>
      <c r="T67">
        <v>1600000</v>
      </c>
      <c r="U67">
        <v>24600</v>
      </c>
      <c r="V67">
        <v>46550</v>
      </c>
      <c r="W67">
        <v>1528850</v>
      </c>
      <c r="X67">
        <v>0</v>
      </c>
      <c r="Y67">
        <v>1600000</v>
      </c>
      <c r="Z67">
        <v>1528850</v>
      </c>
      <c r="AA67">
        <v>45673</v>
      </c>
      <c r="AB67" t="str">
        <v>Q1 2025</v>
      </c>
      <c r="AC67">
        <v>0</v>
      </c>
      <c r="AD67">
        <v>0</v>
      </c>
      <c r="AE67" t="str">
        <v>Ana Damásio</v>
      </c>
      <c r="AF67" t="str">
        <v>Carla Veiga</v>
      </c>
      <c r="AG67" t="str">
        <v>Springs Els Club - *Vilamoura</v>
      </c>
      <c r="AH67" t="str">
        <v>The new chapter of Vilamoura begins here. Join the inner circle with Club access to golf, sport, equestrian &amp; beach life.</v>
      </c>
      <c r="AI67" t="str">
        <v>Gym, Spa, Lazy River, Private Pools, Outdoor Areas, Smart Home Technology, Tennis Court, Clubhouse, Private Parking, Vista Membership</v>
      </c>
      <c r="AJ67"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67" t="str">
        <v>Promontório</v>
      </c>
      <c r="AL67" t="str">
        <v>Springs - At the Els</v>
      </c>
    </row>
    <row r="68" spans="1:38" x14ac:dyDescent="0.3">
      <c r="A68" t="str">
        <v>SPRINGS</v>
      </c>
      <c r="B68" t="str">
        <v>Vilamoura</v>
      </c>
      <c r="C68" t="str">
        <v>BJ</v>
      </c>
      <c r="D68" t="str">
        <v>Vilamoura, Algarve</v>
      </c>
      <c r="E68" t="str">
        <v>V2 Duplex</v>
      </c>
      <c r="F68">
        <v>278.27</v>
      </c>
      <c r="G68">
        <v>117.06</v>
      </c>
      <c r="H68" t="str">
        <v/>
      </c>
      <c r="I68" t="str">
        <v/>
      </c>
      <c r="J68">
        <v>25.77</v>
      </c>
      <c r="K68">
        <v>0</v>
      </c>
      <c r="L68">
        <v>0</v>
      </c>
      <c r="M68" s="79">
        <v>0</v>
      </c>
      <c r="N68">
        <v>0</v>
      </c>
      <c r="O68">
        <v>135.44</v>
      </c>
      <c r="P68">
        <v>0</v>
      </c>
      <c r="Q68" t="str">
        <v>AVAILABLE</v>
      </c>
      <c r="R68">
        <v>1347700</v>
      </c>
      <c r="S68">
        <v>1418850</v>
      </c>
      <c r="T68">
        <v>1490000</v>
      </c>
      <c r="U68">
        <v>24600</v>
      </c>
      <c r="V68">
        <v>46550</v>
      </c>
      <c r="W68">
        <v>1418850</v>
      </c>
      <c r="X68">
        <v>0</v>
      </c>
      <c r="Y68">
        <v>1490000</v>
      </c>
      <c r="Z68">
        <v>1418850</v>
      </c>
      <c r="AA68">
        <v>45673</v>
      </c>
      <c r="AB68" t="str">
        <v>Q1 2025</v>
      </c>
      <c r="AC68">
        <v>0</v>
      </c>
      <c r="AD68">
        <v>0</v>
      </c>
      <c r="AE68" t="str">
        <v>Ana Damásio</v>
      </c>
      <c r="AF68" t="str">
        <v>Carla Veiga</v>
      </c>
      <c r="AG68" t="str">
        <v>Springs Els Club - *Vilamoura</v>
      </c>
      <c r="AH68" t="str">
        <v>The new chapter of Vilamoura begins here. Join the inner circle with Club access to golf, sport, equestrian &amp; beach life.</v>
      </c>
      <c r="AI68" t="str">
        <v>Gym, Spa, Lazy River, Private Pools, Outdoor Areas, Smart Home Technology, Tennis Court, Clubhouse, Private Parking, Vista Membership</v>
      </c>
      <c r="AJ68"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68" t="str">
        <v>Promontório</v>
      </c>
      <c r="AL68" t="str">
        <v>Springs - At the Els</v>
      </c>
    </row>
    <row r="69" spans="1:38" x14ac:dyDescent="0.3">
      <c r="A69" t="str">
        <v>SPRINGS</v>
      </c>
      <c r="B69" t="str">
        <v>Vilamoura</v>
      </c>
      <c r="C69" t="str">
        <v>BK</v>
      </c>
      <c r="D69" t="str">
        <v>Vilamoura, Algarve</v>
      </c>
      <c r="E69" t="str">
        <v>V2 Duplex</v>
      </c>
      <c r="F69">
        <v>280.27</v>
      </c>
      <c r="G69">
        <v>119.06</v>
      </c>
      <c r="H69" t="str">
        <v/>
      </c>
      <c r="I69" t="str">
        <v/>
      </c>
      <c r="J69">
        <v>25.77</v>
      </c>
      <c r="K69">
        <v>0</v>
      </c>
      <c r="L69">
        <v>0</v>
      </c>
      <c r="M69" s="79">
        <v>0</v>
      </c>
      <c r="N69">
        <v>0</v>
      </c>
      <c r="O69">
        <v>135.44</v>
      </c>
      <c r="P69">
        <v>0</v>
      </c>
      <c r="Q69" t="str">
        <v>AVAILABLE</v>
      </c>
      <c r="R69">
        <v>1347700</v>
      </c>
      <c r="S69">
        <v>1418850</v>
      </c>
      <c r="T69">
        <v>1490000</v>
      </c>
      <c r="U69">
        <v>24600</v>
      </c>
      <c r="V69">
        <v>46550</v>
      </c>
      <c r="W69">
        <v>1418850</v>
      </c>
      <c r="X69">
        <v>0</v>
      </c>
      <c r="Y69">
        <v>1490000</v>
      </c>
      <c r="Z69">
        <v>1418850</v>
      </c>
      <c r="AA69">
        <v>45673</v>
      </c>
      <c r="AB69" t="str">
        <v>Q1 2025</v>
      </c>
      <c r="AC69">
        <v>0</v>
      </c>
      <c r="AD69">
        <v>0</v>
      </c>
      <c r="AE69" t="str">
        <v>Ana Damásio</v>
      </c>
      <c r="AF69" t="str">
        <v>Carla Veiga</v>
      </c>
      <c r="AG69" t="str">
        <v>Springs Els Club - *Vilamoura</v>
      </c>
      <c r="AH69" t="str">
        <v>The new chapter of Vilamoura begins here. Join the inner circle with Club access to golf, sport, equestrian &amp; beach life.</v>
      </c>
      <c r="AI69" t="str">
        <v>Gym, Spa, Lazy River, Private Pools, Outdoor Areas, Smart Home Technology, Tennis Court, Clubhouse, Private Parking, Vista Membership</v>
      </c>
      <c r="AJ69"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69" t="str">
        <v>Promontório</v>
      </c>
      <c r="AL69" t="str">
        <v>Springs - At the Els</v>
      </c>
    </row>
    <row r="70" spans="1:38" x14ac:dyDescent="0.3">
      <c r="A70" t="str">
        <v>SPRINGS</v>
      </c>
      <c r="B70" t="str">
        <v>Vilamoura</v>
      </c>
      <c r="C70" t="str">
        <v>BL</v>
      </c>
      <c r="D70" t="str">
        <v>Vilamoura, Algarve</v>
      </c>
      <c r="E70" t="str">
        <v>V2 Duplex</v>
      </c>
      <c r="F70">
        <v>280.27</v>
      </c>
      <c r="G70">
        <v>119.06</v>
      </c>
      <c r="H70" t="str">
        <v/>
      </c>
      <c r="I70" t="str">
        <v/>
      </c>
      <c r="J70">
        <v>25.77</v>
      </c>
      <c r="K70">
        <v>0</v>
      </c>
      <c r="L70">
        <v>0</v>
      </c>
      <c r="M70" s="79">
        <v>0</v>
      </c>
      <c r="N70">
        <v>0</v>
      </c>
      <c r="O70">
        <v>135.44</v>
      </c>
      <c r="P70">
        <v>0</v>
      </c>
      <c r="Q70" t="str">
        <v>AVAILABLE</v>
      </c>
      <c r="R70">
        <v>1337700</v>
      </c>
      <c r="S70">
        <v>1408850</v>
      </c>
      <c r="T70">
        <v>1480000</v>
      </c>
      <c r="U70">
        <v>24600</v>
      </c>
      <c r="V70">
        <v>46550</v>
      </c>
      <c r="W70">
        <v>1408850</v>
      </c>
      <c r="X70">
        <v>0</v>
      </c>
      <c r="Y70">
        <v>1480000</v>
      </c>
      <c r="Z70">
        <v>1408850</v>
      </c>
      <c r="AA70">
        <v>45673</v>
      </c>
      <c r="AB70" t="str">
        <v>Q1 2025</v>
      </c>
      <c r="AC70">
        <v>0</v>
      </c>
      <c r="AD70">
        <v>0</v>
      </c>
      <c r="AE70" t="str">
        <v>Ana Damásio</v>
      </c>
      <c r="AF70" t="str">
        <v>Carla Veiga</v>
      </c>
      <c r="AG70" t="str">
        <v>Springs Els Club - *Vilamoura</v>
      </c>
      <c r="AH70" t="str">
        <v>The new chapter of Vilamoura begins here. Join the inner circle with Club access to golf, sport, equestrian &amp; beach life.</v>
      </c>
      <c r="AI70" t="str">
        <v>Gym, Spa, Lazy River, Private Pools, Outdoor Areas, Smart Home Technology, Tennis Court, Clubhouse, Private Parking, Vista Membership</v>
      </c>
      <c r="AJ70"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70" t="str">
        <v>Promontório</v>
      </c>
      <c r="AL70" t="str">
        <v>Springs - At the Els</v>
      </c>
    </row>
    <row r="71" spans="1:38" x14ac:dyDescent="0.3">
      <c r="A71" t="str">
        <v>SPRINGS</v>
      </c>
      <c r="B71" t="str">
        <v>Vilamoura</v>
      </c>
      <c r="C71" t="str">
        <v>BM</v>
      </c>
      <c r="D71" t="str">
        <v>Vilamoura, Algarve</v>
      </c>
      <c r="E71" t="str">
        <v>V2 Duplex</v>
      </c>
      <c r="F71">
        <v>331.16</v>
      </c>
      <c r="G71">
        <v>167.06</v>
      </c>
      <c r="H71" t="str">
        <v/>
      </c>
      <c r="I71" t="str">
        <v/>
      </c>
      <c r="J71">
        <v>25.77</v>
      </c>
      <c r="K71">
        <v>0</v>
      </c>
      <c r="L71">
        <v>0</v>
      </c>
      <c r="M71" s="79">
        <v>0</v>
      </c>
      <c r="N71">
        <v>0</v>
      </c>
      <c r="O71">
        <v>138.33000000000001</v>
      </c>
      <c r="P71">
        <v>0</v>
      </c>
      <c r="Q71" t="str">
        <v>AVAILABLE</v>
      </c>
      <c r="R71">
        <v>1477700</v>
      </c>
      <c r="S71">
        <v>1548850</v>
      </c>
      <c r="T71">
        <v>1620000</v>
      </c>
      <c r="U71">
        <v>24600</v>
      </c>
      <c r="V71">
        <v>46550</v>
      </c>
      <c r="W71">
        <v>1548850</v>
      </c>
      <c r="X71">
        <v>0</v>
      </c>
      <c r="Y71">
        <v>1620000</v>
      </c>
      <c r="Z71">
        <v>1548850</v>
      </c>
      <c r="AA71">
        <v>45673</v>
      </c>
      <c r="AB71" t="str">
        <v>Q1 2025</v>
      </c>
      <c r="AC71">
        <v>0</v>
      </c>
      <c r="AD71">
        <v>0</v>
      </c>
      <c r="AE71" t="str">
        <v>Ana Damásio</v>
      </c>
      <c r="AF71" t="str">
        <v>Carla Veiga</v>
      </c>
      <c r="AG71" t="str">
        <v>Springs Els Club - *Vilamoura</v>
      </c>
      <c r="AH71" t="str">
        <v>The new chapter of Vilamoura begins here. Join the inner circle with Club access to golf, sport, equestrian &amp; beach life.</v>
      </c>
      <c r="AI71" t="str">
        <v>Gym, Spa, Lazy River, Private Pools, Outdoor Areas, Smart Home Technology, Tennis Court, Clubhouse, Private Parking, Vista Membership</v>
      </c>
      <c r="AJ71"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71" t="str">
        <v>Promontório</v>
      </c>
      <c r="AL71" t="str">
        <v>Springs - At the Els</v>
      </c>
    </row>
    <row r="72" spans="1:38" x14ac:dyDescent="0.3">
      <c r="A72" t="str">
        <v>SPRINGS</v>
      </c>
      <c r="B72" t="str">
        <v>Vilamoura</v>
      </c>
      <c r="C72" t="str">
        <v>BN</v>
      </c>
      <c r="D72" t="str">
        <v>Vilamoura, Algarve</v>
      </c>
      <c r="E72" t="str">
        <v>V2 Duplex</v>
      </c>
      <c r="F72">
        <v>287.45999999999998</v>
      </c>
      <c r="G72">
        <v>121.28</v>
      </c>
      <c r="H72" t="str">
        <v/>
      </c>
      <c r="I72" t="str">
        <v/>
      </c>
      <c r="J72">
        <v>25.77</v>
      </c>
      <c r="K72">
        <v>0</v>
      </c>
      <c r="L72">
        <v>0</v>
      </c>
      <c r="M72" s="79">
        <v>0</v>
      </c>
      <c r="N72">
        <v>0</v>
      </c>
      <c r="O72">
        <v>140.41</v>
      </c>
      <c r="P72">
        <v>0</v>
      </c>
      <c r="Q72" t="str">
        <v>AVAILABLE</v>
      </c>
      <c r="R72">
        <v>1177700</v>
      </c>
      <c r="S72">
        <v>1248850</v>
      </c>
      <c r="T72">
        <v>1320000</v>
      </c>
      <c r="U72">
        <v>24600</v>
      </c>
      <c r="V72">
        <v>46550</v>
      </c>
      <c r="W72">
        <v>1248850</v>
      </c>
      <c r="X72">
        <v>0</v>
      </c>
      <c r="Y72">
        <v>1320000</v>
      </c>
      <c r="Z72">
        <v>1248850</v>
      </c>
      <c r="AA72">
        <v>45673</v>
      </c>
      <c r="AB72" t="str">
        <v>Q1 2025</v>
      </c>
      <c r="AC72">
        <v>0</v>
      </c>
      <c r="AD72">
        <v>0</v>
      </c>
      <c r="AE72" t="str">
        <v>Ana Damásio</v>
      </c>
      <c r="AF72" t="str">
        <v>Carla Veiga</v>
      </c>
      <c r="AG72" t="str">
        <v>Springs Els Club - *Vilamoura</v>
      </c>
      <c r="AH72" t="str">
        <v>The new chapter of Vilamoura begins here. Join the inner circle with Club access to golf, sport, equestrian &amp; beach life.</v>
      </c>
      <c r="AI72" t="str">
        <v>Gym, Spa, Lazy River, Private Pools, Outdoor Areas, Smart Home Technology, Tennis Court, Clubhouse, Private Parking, Vista Membership</v>
      </c>
      <c r="AJ72"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72" t="str">
        <v>Promontório</v>
      </c>
      <c r="AL72" t="str">
        <v>Springs - At the Els</v>
      </c>
    </row>
    <row r="73" spans="1:38" x14ac:dyDescent="0.3">
      <c r="A73" t="str">
        <v>SPRINGS</v>
      </c>
      <c r="B73" t="str">
        <v>Vilamoura</v>
      </c>
      <c r="C73" t="str">
        <v>BP</v>
      </c>
      <c r="D73" t="str">
        <v>Vilamoura, Algarve</v>
      </c>
      <c r="E73" t="str">
        <v>V2 Duplex</v>
      </c>
      <c r="F73">
        <v>315.94</v>
      </c>
      <c r="G73">
        <v>156.16999999999999</v>
      </c>
      <c r="H73" t="str">
        <v>2</v>
      </c>
      <c r="I73" t="str">
        <v/>
      </c>
      <c r="J73">
        <v>25.77</v>
      </c>
      <c r="K73">
        <v>0</v>
      </c>
      <c r="L73">
        <v>0</v>
      </c>
      <c r="M73" s="79">
        <v>0</v>
      </c>
      <c r="N73">
        <v>0</v>
      </c>
      <c r="O73">
        <v>134</v>
      </c>
      <c r="P73">
        <v>0</v>
      </c>
      <c r="Q73" t="str">
        <v>AVAILABLE</v>
      </c>
      <c r="R73">
        <v>1147700</v>
      </c>
      <c r="S73">
        <v>1218850</v>
      </c>
      <c r="T73">
        <v>1290000</v>
      </c>
      <c r="U73">
        <v>24600</v>
      </c>
      <c r="V73">
        <v>46550</v>
      </c>
      <c r="W73">
        <v>1218850</v>
      </c>
      <c r="X73">
        <v>0</v>
      </c>
      <c r="Y73">
        <v>1290000</v>
      </c>
      <c r="Z73">
        <v>1218850</v>
      </c>
      <c r="AA73">
        <v>45673</v>
      </c>
      <c r="AB73" t="str">
        <v>Q1 2025</v>
      </c>
      <c r="AC73">
        <v>0</v>
      </c>
      <c r="AD73">
        <v>0</v>
      </c>
      <c r="AE73" t="str">
        <v>Ana Damásio</v>
      </c>
      <c r="AF73" t="str">
        <v>Carla Veiga</v>
      </c>
      <c r="AG73" t="str">
        <v>Springs Els Club - *Vilamoura</v>
      </c>
      <c r="AH73" t="str">
        <v>The new chapter of Vilamoura begins here. Join the inner circle with Club access to golf, sport, equestrian &amp; beach life.</v>
      </c>
      <c r="AI73" t="str">
        <v>Gym, Spa, Lazy River, Private Pools, Outdoor Areas, Smart Home Technology, Tennis Court, Clubhouse, Private Parking, Vista Membership</v>
      </c>
      <c r="AJ73"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73" t="str">
        <v>Promontório</v>
      </c>
      <c r="AL73" t="str">
        <v>Springs - At the Els</v>
      </c>
    </row>
    <row r="74" spans="1:38" x14ac:dyDescent="0.3">
      <c r="A74" t="str">
        <v>SPRINGS</v>
      </c>
      <c r="B74" t="str">
        <v>Vilamoura</v>
      </c>
      <c r="C74" t="str">
        <v>BQ</v>
      </c>
      <c r="D74" t="str">
        <v>Vilamoura, Algarve</v>
      </c>
      <c r="E74" t="str">
        <v>V2 Duplex</v>
      </c>
      <c r="F74">
        <v>325.83</v>
      </c>
      <c r="G74">
        <v>166.06</v>
      </c>
      <c r="H74" t="str">
        <v>2</v>
      </c>
      <c r="I74" t="str">
        <v/>
      </c>
      <c r="J74">
        <v>25.77</v>
      </c>
      <c r="K74" s="113">
        <v>0</v>
      </c>
      <c r="L74" s="78">
        <v>0</v>
      </c>
      <c r="M74" s="79">
        <v>0</v>
      </c>
      <c r="N74">
        <v>0</v>
      </c>
      <c r="O74">
        <v>134</v>
      </c>
      <c r="P74">
        <v>0</v>
      </c>
      <c r="Q74" t="str">
        <v>AVAILABLE</v>
      </c>
      <c r="R74">
        <v>1157700</v>
      </c>
      <c r="S74">
        <v>1228850</v>
      </c>
      <c r="T74">
        <v>1300000</v>
      </c>
      <c r="U74">
        <v>24600</v>
      </c>
      <c r="V74">
        <v>46550</v>
      </c>
      <c r="W74">
        <v>1228850</v>
      </c>
      <c r="X74">
        <v>0</v>
      </c>
      <c r="Y74">
        <v>1300000</v>
      </c>
      <c r="Z74">
        <v>1228850</v>
      </c>
      <c r="AA74">
        <v>45673</v>
      </c>
      <c r="AB74" t="str">
        <v>Q1 2025</v>
      </c>
      <c r="AC74">
        <v>0</v>
      </c>
      <c r="AD74">
        <v>0</v>
      </c>
      <c r="AE74" t="str">
        <v>Ana Damásio</v>
      </c>
      <c r="AF74" t="str">
        <v>Carla Veiga</v>
      </c>
      <c r="AG74" t="str">
        <v>Springs Els Club - *Vilamoura</v>
      </c>
      <c r="AH74" t="str">
        <v>The new chapter of Vilamoura begins here. Join the inner circle with Club access to golf, sport, equestrian &amp; beach life.</v>
      </c>
      <c r="AI74" t="str">
        <v>Gym, Spa, Lazy River, Private Pools, Outdoor Areas, Smart Home Technology, Tennis Court, Clubhouse, Private Parking, Vista Membership</v>
      </c>
      <c r="AJ74"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74" t="str">
        <v>Promontório</v>
      </c>
      <c r="AL74" t="str">
        <v>Springs - At the Els</v>
      </c>
    </row>
    <row r="75" spans="1:38" x14ac:dyDescent="0.3">
      <c r="A75" t="str">
        <v>SPRINGS</v>
      </c>
      <c r="B75" t="str">
        <v>Vilamoura</v>
      </c>
      <c r="C75" t="str">
        <v>BR</v>
      </c>
      <c r="D75" t="str">
        <v>Vilamoura, Algarve</v>
      </c>
      <c r="E75" t="str">
        <v>V2 Duplex</v>
      </c>
      <c r="F75">
        <v>336.85</v>
      </c>
      <c r="G75">
        <v>177.08</v>
      </c>
      <c r="H75" t="str">
        <v>2</v>
      </c>
      <c r="I75" t="str">
        <v/>
      </c>
      <c r="J75">
        <v>25.77</v>
      </c>
      <c r="K75">
        <v>0</v>
      </c>
      <c r="L75">
        <v>0</v>
      </c>
      <c r="M75" s="79">
        <v>0</v>
      </c>
      <c r="N75">
        <v>0</v>
      </c>
      <c r="O75">
        <v>134</v>
      </c>
      <c r="P75">
        <v>0</v>
      </c>
      <c r="Q75" t="str">
        <v>AVAILABLE</v>
      </c>
      <c r="R75">
        <v>1177700</v>
      </c>
      <c r="S75">
        <v>1248850</v>
      </c>
      <c r="T75">
        <v>1320000</v>
      </c>
      <c r="U75">
        <v>24600</v>
      </c>
      <c r="V75">
        <v>46550</v>
      </c>
      <c r="W75">
        <v>1248850</v>
      </c>
      <c r="X75">
        <v>0</v>
      </c>
      <c r="Y75">
        <v>1320000</v>
      </c>
      <c r="Z75">
        <v>1248850</v>
      </c>
      <c r="AA75">
        <v>45673</v>
      </c>
      <c r="AB75" t="str">
        <v>Q1 2025</v>
      </c>
      <c r="AC75">
        <v>0</v>
      </c>
      <c r="AD75">
        <v>0</v>
      </c>
      <c r="AE75" t="str">
        <v>Ana Damásio</v>
      </c>
      <c r="AF75" t="str">
        <v>Carla Veiga</v>
      </c>
      <c r="AG75" t="str">
        <v>Springs Els Club - *Vilamoura</v>
      </c>
      <c r="AH75" t="str">
        <v>The new chapter of Vilamoura begins here. Join the inner circle with Club access to golf, sport, equestrian &amp; beach life.</v>
      </c>
      <c r="AI75" t="str">
        <v>Gym, Spa, Lazy River, Private Pools, Outdoor Areas, Smart Home Technology, Tennis Court, Clubhouse, Private Parking, Vista Membership</v>
      </c>
      <c r="AJ75"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75" t="str">
        <v>Promontório</v>
      </c>
      <c r="AL75" t="str">
        <v>Springs - At the Els</v>
      </c>
    </row>
    <row r="76" spans="1:38" x14ac:dyDescent="0.3">
      <c r="A76" t="str">
        <v>SPRINGS</v>
      </c>
      <c r="B76" t="str">
        <v>Vilamoura</v>
      </c>
      <c r="C76" t="str">
        <v>BS</v>
      </c>
      <c r="D76" t="str">
        <v>Vilamoura, Algarve</v>
      </c>
      <c r="E76" t="str">
        <v>V2 Duplex</v>
      </c>
      <c r="F76">
        <v>343.23</v>
      </c>
      <c r="G76">
        <v>183.46</v>
      </c>
      <c r="H76" t="str">
        <v>2</v>
      </c>
      <c r="I76" t="str">
        <v/>
      </c>
      <c r="J76">
        <v>25.77</v>
      </c>
      <c r="K76">
        <v>0</v>
      </c>
      <c r="L76">
        <v>0</v>
      </c>
      <c r="M76" s="79">
        <v>0</v>
      </c>
      <c r="N76">
        <v>0</v>
      </c>
      <c r="O76">
        <v>134</v>
      </c>
      <c r="P76">
        <v>0</v>
      </c>
      <c r="Q76" t="str">
        <v>AVAILABLE</v>
      </c>
      <c r="R76">
        <v>1187700</v>
      </c>
      <c r="S76">
        <v>1258850</v>
      </c>
      <c r="T76">
        <v>1330000</v>
      </c>
      <c r="U76">
        <v>24600</v>
      </c>
      <c r="V76">
        <v>46550</v>
      </c>
      <c r="W76">
        <v>1258850</v>
      </c>
      <c r="X76">
        <v>0</v>
      </c>
      <c r="Y76">
        <v>1330000</v>
      </c>
      <c r="Z76">
        <v>1258850</v>
      </c>
      <c r="AA76">
        <v>45673</v>
      </c>
      <c r="AB76" t="str">
        <v>Q1 2025</v>
      </c>
      <c r="AC76">
        <v>0</v>
      </c>
      <c r="AD76">
        <v>0</v>
      </c>
      <c r="AE76" t="str">
        <v>Ana Damásio</v>
      </c>
      <c r="AF76" t="str">
        <v>Carla Veiga</v>
      </c>
      <c r="AG76" t="str">
        <v>Springs Els Club - *Vilamoura</v>
      </c>
      <c r="AH76" t="str">
        <v>The new chapter of Vilamoura begins here. Join the inner circle with Club access to golf, sport, equestrian &amp; beach life.</v>
      </c>
      <c r="AI76" t="str">
        <v>Gym, Spa, Lazy River, Private Pools, Outdoor Areas, Smart Home Technology, Tennis Court, Clubhouse, Private Parking, Vista Membership</v>
      </c>
      <c r="AJ76"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76" t="str">
        <v>Promontório</v>
      </c>
      <c r="AL76" t="str">
        <v>Springs - At the Els</v>
      </c>
    </row>
    <row r="77" spans="1:38" x14ac:dyDescent="0.3">
      <c r="A77" t="str">
        <v>SPRINGS</v>
      </c>
      <c r="B77" t="str">
        <v>Vilamoura</v>
      </c>
      <c r="C77" t="str">
        <v>BT</v>
      </c>
      <c r="D77" t="str">
        <v>Vilamoura, Algarve</v>
      </c>
      <c r="E77" t="str">
        <v>V2 Duplex</v>
      </c>
      <c r="F77">
        <v>354.02</v>
      </c>
      <c r="G77">
        <v>187.84</v>
      </c>
      <c r="H77" t="str">
        <v>2</v>
      </c>
      <c r="I77" t="str">
        <v/>
      </c>
      <c r="J77">
        <v>25.77</v>
      </c>
      <c r="K77">
        <v>0</v>
      </c>
      <c r="L77">
        <v>0</v>
      </c>
      <c r="M77" s="79">
        <v>0</v>
      </c>
      <c r="N77">
        <v>0</v>
      </c>
      <c r="O77">
        <v>140.41</v>
      </c>
      <c r="P77">
        <v>0</v>
      </c>
      <c r="Q77" t="str">
        <v>AVAILABLE</v>
      </c>
      <c r="R77">
        <v>1297700</v>
      </c>
      <c r="S77">
        <v>1368850</v>
      </c>
      <c r="T77">
        <v>1440000</v>
      </c>
      <c r="U77">
        <v>24600</v>
      </c>
      <c r="V77">
        <v>46550</v>
      </c>
      <c r="W77">
        <v>1368850</v>
      </c>
      <c r="X77">
        <v>0</v>
      </c>
      <c r="Y77">
        <v>1440000</v>
      </c>
      <c r="Z77">
        <v>1368850</v>
      </c>
      <c r="AA77">
        <v>45673</v>
      </c>
      <c r="AB77" t="str">
        <v>Q1 2025</v>
      </c>
      <c r="AC77">
        <v>0</v>
      </c>
      <c r="AD77">
        <v>0</v>
      </c>
      <c r="AE77" t="str">
        <v>Ana Damásio</v>
      </c>
      <c r="AF77" t="str">
        <v>Carla Veiga</v>
      </c>
      <c r="AG77" t="str">
        <v>Springs Els Club - *Vilamoura</v>
      </c>
      <c r="AH77" t="str">
        <v>The new chapter of Vilamoura begins here. Join the inner circle with Club access to golf, sport, equestrian &amp; beach life.</v>
      </c>
      <c r="AI77" t="str">
        <v>Gym, Spa, Lazy River, Private Pools, Outdoor Areas, Smart Home Technology, Tennis Court, Clubhouse, Private Parking, Vista Membership</v>
      </c>
      <c r="AJ77"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77" t="str">
        <v>Promontório</v>
      </c>
      <c r="AL77" t="str">
        <v>Springs - At the Els</v>
      </c>
    </row>
    <row r="78" spans="1:38" x14ac:dyDescent="0.3">
      <c r="A78" t="str">
        <v>SPRINGS</v>
      </c>
      <c r="B78" t="str">
        <v>Vilamoura</v>
      </c>
      <c r="C78" t="str">
        <v>BU</v>
      </c>
      <c r="D78" t="str">
        <v>Vilamoura, Algarve</v>
      </c>
      <c r="E78" t="str">
        <v>V2 Duplex</v>
      </c>
      <c r="F78">
        <v>409.3</v>
      </c>
      <c r="G78">
        <v>243.12</v>
      </c>
      <c r="H78" t="str">
        <v>2</v>
      </c>
      <c r="I78" t="str">
        <v/>
      </c>
      <c r="J78">
        <v>25.77</v>
      </c>
      <c r="K78">
        <v>0</v>
      </c>
      <c r="L78">
        <v>0</v>
      </c>
      <c r="M78" s="79">
        <v>0</v>
      </c>
      <c r="N78">
        <v>0</v>
      </c>
      <c r="O78">
        <v>140.41</v>
      </c>
      <c r="P78">
        <v>0</v>
      </c>
      <c r="Q78" t="str">
        <v>AVAILABLE</v>
      </c>
      <c r="R78">
        <v>1487700</v>
      </c>
      <c r="S78">
        <v>1558850</v>
      </c>
      <c r="T78">
        <v>1630000</v>
      </c>
      <c r="U78">
        <v>24600</v>
      </c>
      <c r="V78">
        <v>46550</v>
      </c>
      <c r="W78">
        <v>1558850</v>
      </c>
      <c r="X78">
        <v>0</v>
      </c>
      <c r="Y78">
        <v>1630000</v>
      </c>
      <c r="Z78">
        <v>1558850</v>
      </c>
      <c r="AA78">
        <v>45673</v>
      </c>
      <c r="AB78" t="str">
        <v>Q1 2025</v>
      </c>
      <c r="AC78">
        <v>0</v>
      </c>
      <c r="AD78">
        <v>0</v>
      </c>
      <c r="AE78" t="str">
        <v>Ana Damásio</v>
      </c>
      <c r="AF78" t="str">
        <v>Carla Veiga</v>
      </c>
      <c r="AG78" t="str">
        <v>Springs Els Club - *Vilamoura</v>
      </c>
      <c r="AH78" t="str">
        <v>The new chapter of Vilamoura begins here. Join the inner circle with Club access to golf, sport, equestrian &amp; beach life.</v>
      </c>
      <c r="AI78" t="str">
        <v>Gym, Spa, Lazy River, Private Pools, Outdoor Areas, Smart Home Technology, Tennis Court, Clubhouse, Private Parking, Vista Membership</v>
      </c>
      <c r="AJ78"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78" t="str">
        <v>Promontório</v>
      </c>
      <c r="AL78" t="str">
        <v>Springs - At the Els</v>
      </c>
    </row>
    <row r="79" spans="1:38" x14ac:dyDescent="0.3">
      <c r="A79" t="str">
        <v>SPRINGS</v>
      </c>
      <c r="B79" t="str">
        <v>Vilamoura</v>
      </c>
      <c r="C79" t="str">
        <v>BV</v>
      </c>
      <c r="D79" t="str">
        <v>Vilamoura, Algarve</v>
      </c>
      <c r="E79" t="str">
        <v>V2 Duplex</v>
      </c>
      <c r="F79">
        <v>394.6</v>
      </c>
      <c r="G79">
        <v>234.83</v>
      </c>
      <c r="H79" t="str">
        <v>2</v>
      </c>
      <c r="I79" t="str">
        <v/>
      </c>
      <c r="J79">
        <v>25.77</v>
      </c>
      <c r="K79">
        <v>0</v>
      </c>
      <c r="L79">
        <v>0</v>
      </c>
      <c r="M79" s="79">
        <v>0</v>
      </c>
      <c r="N79">
        <v>0</v>
      </c>
      <c r="O79">
        <v>134</v>
      </c>
      <c r="P79">
        <v>0</v>
      </c>
      <c r="Q79" t="str">
        <v>AVAILABLE</v>
      </c>
      <c r="R79">
        <v>1467700</v>
      </c>
      <c r="S79">
        <v>1538850</v>
      </c>
      <c r="T79">
        <v>1610000</v>
      </c>
      <c r="U79">
        <v>24600</v>
      </c>
      <c r="V79">
        <v>46550</v>
      </c>
      <c r="W79">
        <v>1538850</v>
      </c>
      <c r="X79">
        <v>0</v>
      </c>
      <c r="Y79">
        <v>1610000</v>
      </c>
      <c r="Z79">
        <v>1538850</v>
      </c>
      <c r="AA79">
        <v>45673</v>
      </c>
      <c r="AB79" t="str">
        <v>Q1 2025</v>
      </c>
      <c r="AC79">
        <v>0</v>
      </c>
      <c r="AD79">
        <v>0</v>
      </c>
      <c r="AE79" t="str">
        <v>Ana Damásio</v>
      </c>
      <c r="AF79" t="str">
        <v>Carla Veiga</v>
      </c>
      <c r="AG79" t="str">
        <v>Springs Els Club - *Vilamoura</v>
      </c>
      <c r="AH79" t="str">
        <v>The new chapter of Vilamoura begins here. Join the inner circle with Club access to golf, sport, equestrian &amp; beach life.</v>
      </c>
      <c r="AI79" t="str">
        <v>Gym, Spa, Lazy River, Private Pools, Outdoor Areas, Smart Home Technology, Tennis Court, Clubhouse, Private Parking, Vista Membership</v>
      </c>
      <c r="AJ79"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79" t="str">
        <v>Promontório</v>
      </c>
      <c r="AL79" t="str">
        <v>Springs - At the Els</v>
      </c>
    </row>
    <row r="80" spans="1:38" x14ac:dyDescent="0.3">
      <c r="A80" t="str">
        <v>SPRINGS</v>
      </c>
      <c r="B80" t="str">
        <v>Vilamoura</v>
      </c>
      <c r="C80" t="str">
        <v>BW</v>
      </c>
      <c r="D80" t="str">
        <v>Vilamoura, Algarve</v>
      </c>
      <c r="E80" t="str">
        <v>V2 Duplex</v>
      </c>
      <c r="F80">
        <v>396.13</v>
      </c>
      <c r="G80">
        <v>236.36</v>
      </c>
      <c r="H80" t="str">
        <v>2</v>
      </c>
      <c r="I80" t="str">
        <v/>
      </c>
      <c r="J80">
        <v>25.77</v>
      </c>
      <c r="K80">
        <v>0</v>
      </c>
      <c r="L80">
        <v>0</v>
      </c>
      <c r="M80" s="79">
        <v>0</v>
      </c>
      <c r="N80">
        <v>0</v>
      </c>
      <c r="O80">
        <v>134</v>
      </c>
      <c r="P80">
        <v>0</v>
      </c>
      <c r="Q80" t="str">
        <v>AVAILABLE</v>
      </c>
      <c r="R80">
        <v>1487700</v>
      </c>
      <c r="S80">
        <v>1558850</v>
      </c>
      <c r="T80">
        <v>1630000</v>
      </c>
      <c r="U80">
        <v>24600</v>
      </c>
      <c r="V80">
        <v>46550</v>
      </c>
      <c r="W80">
        <v>1558850</v>
      </c>
      <c r="X80">
        <v>0</v>
      </c>
      <c r="Y80">
        <v>1630000</v>
      </c>
      <c r="Z80">
        <v>1558850</v>
      </c>
      <c r="AA80">
        <v>45673</v>
      </c>
      <c r="AB80" t="str">
        <v>Q1 2025</v>
      </c>
      <c r="AC80">
        <v>0</v>
      </c>
      <c r="AD80">
        <v>0</v>
      </c>
      <c r="AE80" t="str">
        <v>Ana Damásio</v>
      </c>
      <c r="AF80" t="str">
        <v>Carla Veiga</v>
      </c>
      <c r="AG80" t="str">
        <v>Springs Els Club - *Vilamoura</v>
      </c>
      <c r="AH80" t="str">
        <v>The new chapter of Vilamoura begins here. Join the inner circle with Club access to golf, sport, equestrian &amp; beach life.</v>
      </c>
      <c r="AI80" t="str">
        <v>Gym, Spa, Lazy River, Private Pools, Outdoor Areas, Smart Home Technology, Tennis Court, Clubhouse, Private Parking, Vista Membership</v>
      </c>
      <c r="AJ80"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80" t="str">
        <v>Promontório</v>
      </c>
      <c r="AL80" t="str">
        <v>Springs - At the Els</v>
      </c>
    </row>
    <row r="81" spans="1:38" x14ac:dyDescent="0.3">
      <c r="A81" t="str">
        <v>SPRINGS</v>
      </c>
      <c r="B81" t="str">
        <v>Vilamoura</v>
      </c>
      <c r="C81" t="str">
        <v>BX</v>
      </c>
      <c r="D81" t="str">
        <v>Vilamoura, Algarve</v>
      </c>
      <c r="E81" t="str">
        <v>V2 Duplex</v>
      </c>
      <c r="F81">
        <v>342.41</v>
      </c>
      <c r="G81">
        <v>181.96</v>
      </c>
      <c r="H81" t="str">
        <v>2</v>
      </c>
      <c r="I81" t="str">
        <v/>
      </c>
      <c r="J81">
        <v>25.77</v>
      </c>
      <c r="K81">
        <v>0</v>
      </c>
      <c r="L81">
        <v>0</v>
      </c>
      <c r="M81" s="79">
        <v>0</v>
      </c>
      <c r="N81">
        <v>0</v>
      </c>
      <c r="O81">
        <v>134.68</v>
      </c>
      <c r="P81">
        <v>0</v>
      </c>
      <c r="Q81" t="str">
        <v>AVAILABLE</v>
      </c>
      <c r="R81">
        <v>1497700</v>
      </c>
      <c r="S81">
        <v>1568850</v>
      </c>
      <c r="T81">
        <v>1640000</v>
      </c>
      <c r="U81">
        <v>24600</v>
      </c>
      <c r="V81">
        <v>46550</v>
      </c>
      <c r="W81">
        <v>1568850</v>
      </c>
      <c r="X81">
        <v>0</v>
      </c>
      <c r="Y81">
        <v>1640000</v>
      </c>
      <c r="Z81">
        <v>1568850</v>
      </c>
      <c r="AA81">
        <v>45673</v>
      </c>
      <c r="AB81" t="str">
        <v>Q1 2025</v>
      </c>
      <c r="AC81">
        <v>0</v>
      </c>
      <c r="AD81">
        <v>0</v>
      </c>
      <c r="AE81" t="str">
        <v>Ana Damásio</v>
      </c>
      <c r="AF81" t="str">
        <v>Carla Veiga</v>
      </c>
      <c r="AG81" t="str">
        <v>Springs Els Club - *Vilamoura</v>
      </c>
      <c r="AH81" t="str">
        <v>The new chapter of Vilamoura begins here. Join the inner circle with Club access to golf, sport, equestrian &amp; beach life.</v>
      </c>
      <c r="AI81" t="str">
        <v>Gym, Spa, Lazy River, Private Pools, Outdoor Areas, Smart Home Technology, Tennis Court, Clubhouse, Private Parking, Vista Membership</v>
      </c>
      <c r="AJ81"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81" t="str">
        <v>Promontório</v>
      </c>
      <c r="AL81" t="str">
        <v>Springs - At the Els</v>
      </c>
    </row>
    <row r="82" spans="1:38" x14ac:dyDescent="0.3">
      <c r="A82" t="str">
        <v>SPRINGS</v>
      </c>
      <c r="B82" t="str">
        <v>Vilamoura</v>
      </c>
      <c r="C82" t="str">
        <v>BY</v>
      </c>
      <c r="D82" t="str">
        <v>Vilamoura, Algarve</v>
      </c>
      <c r="E82" t="str">
        <v>V3 Duplex</v>
      </c>
      <c r="F82">
        <v>523.07000000000005</v>
      </c>
      <c r="G82">
        <v>328.71</v>
      </c>
      <c r="H82" t="str">
        <v>2</v>
      </c>
      <c r="I82" t="str">
        <v/>
      </c>
      <c r="J82">
        <v>31.95</v>
      </c>
      <c r="K82">
        <v>0</v>
      </c>
      <c r="L82">
        <v>0</v>
      </c>
      <c r="M82" s="79">
        <v>0</v>
      </c>
      <c r="N82">
        <v>0</v>
      </c>
      <c r="O82">
        <v>162.41</v>
      </c>
      <c r="P82">
        <v>0</v>
      </c>
      <c r="Q82" t="str">
        <v>AVAILABLE</v>
      </c>
      <c r="R82">
        <v>1708200</v>
      </c>
      <c r="S82">
        <v>1794100</v>
      </c>
      <c r="T82">
        <v>1880000</v>
      </c>
      <c r="U82">
        <v>24600</v>
      </c>
      <c r="V82">
        <v>61300</v>
      </c>
      <c r="W82">
        <v>1794100</v>
      </c>
      <c r="X82">
        <v>0</v>
      </c>
      <c r="Y82">
        <v>1880000</v>
      </c>
      <c r="Z82">
        <v>1794100</v>
      </c>
      <c r="AA82">
        <v>45673</v>
      </c>
      <c r="AB82" t="str">
        <v>Q1 2025</v>
      </c>
      <c r="AC82">
        <v>0</v>
      </c>
      <c r="AD82">
        <v>0</v>
      </c>
      <c r="AE82" t="str">
        <v>Ana Damásio</v>
      </c>
      <c r="AF82" t="str">
        <v>Carla Veiga</v>
      </c>
      <c r="AG82" t="str">
        <v>Springs Els Club - *Vilamoura</v>
      </c>
      <c r="AH82" t="str">
        <v>The new chapter of Vilamoura begins here. Join the inner circle with Club access to golf, sport, equestrian &amp; beach life.</v>
      </c>
      <c r="AI82" t="str">
        <v>Gym, Spa, Lazy River, Private Pools, Outdoor Areas, Smart Home Technology, Tennis Court, Clubhouse, Private Parking, Vista Membership</v>
      </c>
      <c r="AJ82"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82" t="str">
        <v>Promontório</v>
      </c>
      <c r="AL82" t="str">
        <v>Springs - At the Els</v>
      </c>
    </row>
    <row r="83" spans="1:38" x14ac:dyDescent="0.3">
      <c r="A83" t="str">
        <v>SPRINGS</v>
      </c>
      <c r="B83" t="str">
        <v>Vilamoura</v>
      </c>
      <c r="C83" t="str">
        <v>BZ</v>
      </c>
      <c r="D83" t="str">
        <v>Vilamoura, Algarve</v>
      </c>
      <c r="E83" t="str">
        <v>V3 Duplex</v>
      </c>
      <c r="F83">
        <v>749.44</v>
      </c>
      <c r="G83">
        <v>555.95000000000005</v>
      </c>
      <c r="H83" t="str">
        <v>2</v>
      </c>
      <c r="I83" t="str">
        <v/>
      </c>
      <c r="J83">
        <v>31.95</v>
      </c>
      <c r="K83">
        <v>0</v>
      </c>
      <c r="L83">
        <v>0</v>
      </c>
      <c r="M83" s="79">
        <v>0</v>
      </c>
      <c r="N83">
        <v>0</v>
      </c>
      <c r="O83">
        <v>161.54</v>
      </c>
      <c r="P83">
        <v>0</v>
      </c>
      <c r="Q83" t="str">
        <v>AVAILABLE</v>
      </c>
      <c r="R83">
        <v>1858200</v>
      </c>
      <c r="S83">
        <v>1944100</v>
      </c>
      <c r="T83">
        <v>2030000</v>
      </c>
      <c r="U83">
        <v>24600</v>
      </c>
      <c r="V83">
        <v>61300</v>
      </c>
      <c r="W83">
        <v>1944100</v>
      </c>
      <c r="X83">
        <v>0</v>
      </c>
      <c r="Y83">
        <v>2030000</v>
      </c>
      <c r="Z83">
        <v>1944100</v>
      </c>
      <c r="AA83">
        <v>45673</v>
      </c>
      <c r="AB83" t="str">
        <v>Q1 2025</v>
      </c>
      <c r="AC83">
        <v>0</v>
      </c>
      <c r="AD83">
        <v>0</v>
      </c>
      <c r="AE83" t="str">
        <v>Ana Damásio</v>
      </c>
      <c r="AF83" t="str">
        <v>Carla Veiga</v>
      </c>
      <c r="AG83" t="str">
        <v>Springs Els Club - *Vilamoura</v>
      </c>
      <c r="AH83" t="str">
        <v>The new chapter of Vilamoura begins here. Join the inner circle with Club access to golf, sport, equestrian &amp; beach life.</v>
      </c>
      <c r="AI83" t="str">
        <v>Gym, Spa, Lazy River, Private Pools, Outdoor Areas, Smart Home Technology, Tennis Court, Clubhouse, Private Parking, Vista Membership</v>
      </c>
      <c r="AJ83"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83" t="str">
        <v>Promontório</v>
      </c>
      <c r="AL83" t="str">
        <v>Springs - At the Els</v>
      </c>
    </row>
    <row r="84" spans="1:38" x14ac:dyDescent="0.3">
      <c r="A84" t="str">
        <v>SPRINGS</v>
      </c>
      <c r="B84" t="str">
        <v>Vilamoura</v>
      </c>
      <c r="C84" t="str">
        <v>C</v>
      </c>
      <c r="D84" t="str">
        <v>Vilamoura, Algarve</v>
      </c>
      <c r="E84" t="str">
        <v>V3</v>
      </c>
      <c r="F84">
        <v>323.58999999999997</v>
      </c>
      <c r="G84">
        <v>165.79</v>
      </c>
      <c r="H84" t="str">
        <v/>
      </c>
      <c r="I84" t="str">
        <v/>
      </c>
      <c r="J84">
        <v>0</v>
      </c>
      <c r="K84">
        <v>0</v>
      </c>
      <c r="L84">
        <v>0</v>
      </c>
      <c r="M84" s="79">
        <v>0</v>
      </c>
      <c r="N84">
        <v>0</v>
      </c>
      <c r="O84">
        <v>157.80000000000001</v>
      </c>
      <c r="P84">
        <v>0</v>
      </c>
      <c r="Q84" t="str">
        <v>AVAILABLE</v>
      </c>
      <c r="R84">
        <v>1652100</v>
      </c>
      <c r="S84">
        <v>1741050</v>
      </c>
      <c r="T84">
        <v>1830000</v>
      </c>
      <c r="U84">
        <v>24600</v>
      </c>
      <c r="V84">
        <v>64350</v>
      </c>
      <c r="W84">
        <v>1741050</v>
      </c>
      <c r="X84">
        <v>0</v>
      </c>
      <c r="Y84">
        <v>1830000</v>
      </c>
      <c r="Z84">
        <v>1741050</v>
      </c>
      <c r="AA84">
        <v>45673</v>
      </c>
      <c r="AB84" t="str">
        <v>Q1 2025</v>
      </c>
      <c r="AC84">
        <v>0</v>
      </c>
      <c r="AD84">
        <v>0</v>
      </c>
      <c r="AE84" t="str">
        <v>Ana Damásio</v>
      </c>
      <c r="AF84" t="str">
        <v>Carla Veiga</v>
      </c>
      <c r="AG84" t="str">
        <v>Springs Els Club - *Vilamoura</v>
      </c>
      <c r="AH84" t="str">
        <v>The new chapter of Vilamoura begins here. Join the inner circle with Club access to golf, sport, equestrian &amp; beach life.</v>
      </c>
      <c r="AI84" t="str">
        <v>Gym, Spa, Lazy River, Private Pools, Outdoor Areas, Smart Home Technology, Tennis Court, Clubhouse, Private Parking, Vista Membership</v>
      </c>
      <c r="AJ84"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84" t="str">
        <v>Promontório</v>
      </c>
      <c r="AL84" t="str">
        <v>Springs - At the Els</v>
      </c>
    </row>
    <row r="85" spans="1:38" x14ac:dyDescent="0.3">
      <c r="A85" t="str">
        <v>SPRINGS</v>
      </c>
      <c r="B85" t="str">
        <v>Vilamoura</v>
      </c>
      <c r="C85" t="str">
        <v>D</v>
      </c>
      <c r="D85" t="str">
        <v>Vilamoura, Algarve</v>
      </c>
      <c r="E85" t="str">
        <v>V3</v>
      </c>
      <c r="F85">
        <v>321.57</v>
      </c>
      <c r="G85">
        <v>163.77000000000001</v>
      </c>
      <c r="H85" t="str">
        <v/>
      </c>
      <c r="I85" t="str">
        <v/>
      </c>
      <c r="J85">
        <v>0</v>
      </c>
      <c r="K85">
        <v>0</v>
      </c>
      <c r="L85">
        <v>0</v>
      </c>
      <c r="M85" s="79">
        <v>0</v>
      </c>
      <c r="N85">
        <v>0</v>
      </c>
      <c r="O85">
        <v>157.80000000000001</v>
      </c>
      <c r="P85">
        <v>0</v>
      </c>
      <c r="Q85" t="str">
        <v>AVAILABLE</v>
      </c>
      <c r="R85">
        <v>1702100</v>
      </c>
      <c r="S85">
        <v>1791050</v>
      </c>
      <c r="T85">
        <v>1880000</v>
      </c>
      <c r="U85">
        <v>24600</v>
      </c>
      <c r="V85">
        <v>64350</v>
      </c>
      <c r="W85">
        <v>1791050</v>
      </c>
      <c r="X85">
        <v>0</v>
      </c>
      <c r="Y85">
        <v>1880000</v>
      </c>
      <c r="Z85">
        <v>1791050</v>
      </c>
      <c r="AA85">
        <v>45673</v>
      </c>
      <c r="AB85" t="str">
        <v>Q1 2025</v>
      </c>
      <c r="AC85">
        <v>0</v>
      </c>
      <c r="AD85">
        <v>0</v>
      </c>
      <c r="AE85" t="str">
        <v>Ana Damásio</v>
      </c>
      <c r="AF85" t="str">
        <v>Carla Veiga</v>
      </c>
      <c r="AG85" t="str">
        <v>Springs Els Club - *Vilamoura</v>
      </c>
      <c r="AH85" t="str">
        <v>The new chapter of Vilamoura begins here. Join the inner circle with Club access to golf, sport, equestrian &amp; beach life.</v>
      </c>
      <c r="AI85" t="str">
        <v>Gym, Spa, Lazy River, Private Pools, Outdoor Areas, Smart Home Technology, Tennis Court, Clubhouse, Private Parking, Vista Membership</v>
      </c>
      <c r="AJ85"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85" t="str">
        <v>Promontório</v>
      </c>
      <c r="AL85" t="str">
        <v>Springs - At the Els</v>
      </c>
    </row>
    <row r="86" spans="1:38" x14ac:dyDescent="0.3">
      <c r="A86" t="str">
        <v>SPRINGS</v>
      </c>
      <c r="B86" t="str">
        <v>Vilamoura</v>
      </c>
      <c r="C86" t="str">
        <v>E</v>
      </c>
      <c r="D86" t="str">
        <v>Vilamoura, Algarve</v>
      </c>
      <c r="E86" t="str">
        <v>V3</v>
      </c>
      <c r="F86">
        <v>323.58999999999997</v>
      </c>
      <c r="G86">
        <v>165.79</v>
      </c>
      <c r="H86" t="str">
        <v/>
      </c>
      <c r="I86" t="str">
        <v/>
      </c>
      <c r="J86">
        <v>0</v>
      </c>
      <c r="K86">
        <v>0</v>
      </c>
      <c r="L86">
        <v>0</v>
      </c>
      <c r="M86" s="79">
        <v>0</v>
      </c>
      <c r="N86">
        <v>0</v>
      </c>
      <c r="O86">
        <v>157.80000000000001</v>
      </c>
      <c r="P86">
        <v>0</v>
      </c>
      <c r="Q86" t="str">
        <v>AVAILABLE</v>
      </c>
      <c r="R86">
        <v>1602100</v>
      </c>
      <c r="S86">
        <v>1691050</v>
      </c>
      <c r="T86">
        <v>1780000</v>
      </c>
      <c r="U86">
        <v>24600</v>
      </c>
      <c r="V86">
        <v>64350</v>
      </c>
      <c r="W86">
        <v>1691050</v>
      </c>
      <c r="X86">
        <v>0</v>
      </c>
      <c r="Y86">
        <v>1780000</v>
      </c>
      <c r="Z86">
        <v>1691050</v>
      </c>
      <c r="AA86">
        <v>45673</v>
      </c>
      <c r="AB86" t="str">
        <v>Q1 2025</v>
      </c>
      <c r="AC86">
        <v>0</v>
      </c>
      <c r="AD86">
        <v>0</v>
      </c>
      <c r="AE86" t="str">
        <v>Ana Damásio</v>
      </c>
      <c r="AF86" t="str">
        <v>Carla Veiga</v>
      </c>
      <c r="AG86" t="str">
        <v>Springs Els Club - *Vilamoura</v>
      </c>
      <c r="AH86" t="str">
        <v>The new chapter of Vilamoura begins here. Join the inner circle with Club access to golf, sport, equestrian &amp; beach life.</v>
      </c>
      <c r="AI86" t="str">
        <v>Gym, Spa, Lazy River, Private Pools, Outdoor Areas, Smart Home Technology, Tennis Court, Clubhouse, Private Parking, Vista Membership</v>
      </c>
      <c r="AJ86"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86" t="str">
        <v>Promontório</v>
      </c>
      <c r="AL86" t="str">
        <v>Springs - At the Els</v>
      </c>
    </row>
    <row r="87" spans="1:38" x14ac:dyDescent="0.3">
      <c r="A87" t="str">
        <v>SPRINGS</v>
      </c>
      <c r="B87" t="str">
        <v>Vilamoura</v>
      </c>
      <c r="C87" t="str">
        <v>F</v>
      </c>
      <c r="D87" t="str">
        <v>Vilamoura, Algarve</v>
      </c>
      <c r="E87" t="str">
        <v>V3</v>
      </c>
      <c r="F87">
        <v>321.57</v>
      </c>
      <c r="G87">
        <v>163.77000000000001</v>
      </c>
      <c r="H87" t="str">
        <v/>
      </c>
      <c r="I87" t="str">
        <v/>
      </c>
      <c r="J87">
        <v>0</v>
      </c>
      <c r="K87">
        <v>0</v>
      </c>
      <c r="L87">
        <v>0</v>
      </c>
      <c r="M87" s="79">
        <v>0</v>
      </c>
      <c r="N87">
        <v>0</v>
      </c>
      <c r="O87">
        <v>157.80000000000001</v>
      </c>
      <c r="P87">
        <v>0</v>
      </c>
      <c r="Q87" t="str">
        <v>AVAILABLE</v>
      </c>
      <c r="R87">
        <v>1702100</v>
      </c>
      <c r="S87">
        <v>1791050</v>
      </c>
      <c r="T87">
        <v>1880000</v>
      </c>
      <c r="U87">
        <v>24600</v>
      </c>
      <c r="V87">
        <v>64350</v>
      </c>
      <c r="W87">
        <v>1791050</v>
      </c>
      <c r="X87">
        <v>0</v>
      </c>
      <c r="Y87">
        <v>1880000</v>
      </c>
      <c r="Z87">
        <v>1791050</v>
      </c>
      <c r="AA87">
        <v>45673</v>
      </c>
      <c r="AB87" t="str">
        <v>Q1 2025</v>
      </c>
      <c r="AC87">
        <v>0</v>
      </c>
      <c r="AD87">
        <v>0</v>
      </c>
      <c r="AE87" t="str">
        <v>Ana Damásio</v>
      </c>
      <c r="AF87" t="str">
        <v>Carla Veiga</v>
      </c>
      <c r="AG87" t="str">
        <v>Springs Els Club - *Vilamoura</v>
      </c>
      <c r="AH87" t="str">
        <v>The new chapter of Vilamoura begins here. Join the inner circle with Club access to golf, sport, equestrian &amp; beach life.</v>
      </c>
      <c r="AI87" t="str">
        <v>Gym, Spa, Lazy River, Private Pools, Outdoor Areas, Smart Home Technology, Tennis Court, Clubhouse, Private Parking, Vista Membership</v>
      </c>
      <c r="AJ87"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87" t="str">
        <v>Promontório</v>
      </c>
      <c r="AL87" t="str">
        <v>Springs - At the Els</v>
      </c>
    </row>
    <row r="88" spans="1:38" x14ac:dyDescent="0.3">
      <c r="A88" t="str">
        <v>SPRINGS</v>
      </c>
      <c r="B88" t="str">
        <v>Vilamoura</v>
      </c>
      <c r="C88" t="str">
        <v>G</v>
      </c>
      <c r="D88" t="str">
        <v>Vilamoura, Algarve</v>
      </c>
      <c r="E88" t="str">
        <v>V3</v>
      </c>
      <c r="F88">
        <v>323.58999999999997</v>
      </c>
      <c r="G88">
        <v>165.79</v>
      </c>
      <c r="H88" t="str">
        <v/>
      </c>
      <c r="I88" t="str">
        <v/>
      </c>
      <c r="J88">
        <v>0</v>
      </c>
      <c r="K88">
        <v>0</v>
      </c>
      <c r="L88">
        <v>0</v>
      </c>
      <c r="M88" s="79">
        <v>0</v>
      </c>
      <c r="N88">
        <v>0</v>
      </c>
      <c r="O88">
        <v>157.80000000000001</v>
      </c>
      <c r="P88">
        <v>0</v>
      </c>
      <c r="Q88" t="str">
        <v>AVAILABLE</v>
      </c>
      <c r="R88">
        <v>1702100</v>
      </c>
      <c r="S88">
        <v>1791050</v>
      </c>
      <c r="T88">
        <v>1880000</v>
      </c>
      <c r="U88">
        <v>24600</v>
      </c>
      <c r="V88">
        <v>64350</v>
      </c>
      <c r="W88">
        <v>1791050</v>
      </c>
      <c r="X88">
        <v>0</v>
      </c>
      <c r="Y88">
        <v>1880000</v>
      </c>
      <c r="Z88">
        <v>1791050</v>
      </c>
      <c r="AA88">
        <v>45673</v>
      </c>
      <c r="AB88" t="str">
        <v>Q1 2025</v>
      </c>
      <c r="AC88">
        <v>0</v>
      </c>
      <c r="AD88">
        <v>0</v>
      </c>
      <c r="AE88" t="str">
        <v>Ana Damásio</v>
      </c>
      <c r="AF88" t="str">
        <v>Carla Veiga</v>
      </c>
      <c r="AG88" t="str">
        <v>Springs Els Club - *Vilamoura</v>
      </c>
      <c r="AH88" t="str">
        <v>The new chapter of Vilamoura begins here. Join the inner circle with Club access to golf, sport, equestrian &amp; beach life.</v>
      </c>
      <c r="AI88" t="str">
        <v>Gym, Spa, Lazy River, Private Pools, Outdoor Areas, Smart Home Technology, Tennis Court, Clubhouse, Private Parking, Vista Membership</v>
      </c>
      <c r="AJ88"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88" t="str">
        <v>Promontório</v>
      </c>
      <c r="AL88" t="str">
        <v>Springs - At the Els</v>
      </c>
    </row>
    <row r="89" spans="1:38" x14ac:dyDescent="0.3">
      <c r="A89" t="str">
        <v>SPRINGS</v>
      </c>
      <c r="B89" t="str">
        <v>Vilamoura</v>
      </c>
      <c r="C89" t="str">
        <v>H</v>
      </c>
      <c r="D89" t="str">
        <v>Vilamoura, Algarve</v>
      </c>
      <c r="E89" t="str">
        <v>V4 Duplex</v>
      </c>
      <c r="F89">
        <v>406.88</v>
      </c>
      <c r="G89">
        <v>165.79</v>
      </c>
      <c r="H89" t="str">
        <v/>
      </c>
      <c r="I89" t="str">
        <v/>
      </c>
      <c r="J89">
        <v>19.649999999999999</v>
      </c>
      <c r="K89">
        <v>0</v>
      </c>
      <c r="L89">
        <v>0</v>
      </c>
      <c r="M89" s="79">
        <v>0</v>
      </c>
      <c r="N89">
        <v>0</v>
      </c>
      <c r="O89">
        <v>221.44</v>
      </c>
      <c r="P89">
        <v>0</v>
      </c>
      <c r="Q89" t="str">
        <v>AVAILABLE</v>
      </c>
      <c r="R89">
        <v>2614600</v>
      </c>
      <c r="S89">
        <v>2722300</v>
      </c>
      <c r="T89">
        <v>2830000</v>
      </c>
      <c r="U89">
        <v>24600</v>
      </c>
      <c r="V89">
        <v>83100</v>
      </c>
      <c r="W89">
        <v>2722300</v>
      </c>
      <c r="X89">
        <v>0</v>
      </c>
      <c r="Y89">
        <v>2830000</v>
      </c>
      <c r="Z89">
        <v>2722300</v>
      </c>
      <c r="AA89">
        <v>45673</v>
      </c>
      <c r="AB89" t="str">
        <v>Q1 2025</v>
      </c>
      <c r="AC89">
        <v>0</v>
      </c>
      <c r="AD89">
        <v>0</v>
      </c>
      <c r="AE89" t="str">
        <v>Ana Damásio</v>
      </c>
      <c r="AF89" t="str">
        <v>Carla Veiga</v>
      </c>
      <c r="AG89" t="str">
        <v>Springs Els Club - *Vilamoura</v>
      </c>
      <c r="AH89" t="str">
        <v>The new chapter of Vilamoura begins here. Join the inner circle with Club access to golf, sport, equestrian &amp; beach life.</v>
      </c>
      <c r="AI89" t="str">
        <v>Gym, Spa, Lazy River, Private Pools, Outdoor Areas, Smart Home Technology, Tennis Court, Clubhouse, Private Parking, Vista Membership</v>
      </c>
      <c r="AJ89"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89" t="str">
        <v>Promontório</v>
      </c>
      <c r="AL89" t="str">
        <v>Springs - At the Els</v>
      </c>
    </row>
    <row r="90" spans="1:38" x14ac:dyDescent="0.3">
      <c r="A90" t="str">
        <v>SPRINGS</v>
      </c>
      <c r="B90" t="str">
        <v>Vilamoura</v>
      </c>
      <c r="C90" t="str">
        <v>I</v>
      </c>
      <c r="D90" t="str">
        <v>Vilamoura, Algarve</v>
      </c>
      <c r="E90" t="str">
        <v>V3 Duplex</v>
      </c>
      <c r="F90">
        <v>296.95999999999998</v>
      </c>
      <c r="G90">
        <v>113.29</v>
      </c>
      <c r="H90" t="str">
        <v/>
      </c>
      <c r="I90" t="str">
        <v/>
      </c>
      <c r="J90">
        <v>18.66</v>
      </c>
      <c r="K90">
        <v>0</v>
      </c>
      <c r="L90">
        <v>0</v>
      </c>
      <c r="M90" s="79">
        <v>0</v>
      </c>
      <c r="N90">
        <v>0</v>
      </c>
      <c r="O90">
        <v>165.01</v>
      </c>
      <c r="P90">
        <v>0</v>
      </c>
      <c r="Q90" t="str">
        <v>AVAILABLE</v>
      </c>
      <c r="R90">
        <v>1952100</v>
      </c>
      <c r="S90">
        <v>2041050</v>
      </c>
      <c r="T90">
        <v>2130000</v>
      </c>
      <c r="U90">
        <v>24600</v>
      </c>
      <c r="V90">
        <v>64350</v>
      </c>
      <c r="W90">
        <v>2041050</v>
      </c>
      <c r="X90">
        <v>0</v>
      </c>
      <c r="Y90">
        <v>2130000</v>
      </c>
      <c r="Z90">
        <v>2041050</v>
      </c>
      <c r="AA90">
        <v>45673</v>
      </c>
      <c r="AB90" t="str">
        <v>Q1 2025</v>
      </c>
      <c r="AC90">
        <v>0</v>
      </c>
      <c r="AD90">
        <v>0</v>
      </c>
      <c r="AE90" t="str">
        <v>Ana Damásio</v>
      </c>
      <c r="AF90" t="str">
        <v>Carla Veiga</v>
      </c>
      <c r="AG90" t="str">
        <v>Springs Els Club - *Vilamoura</v>
      </c>
      <c r="AH90" t="str">
        <v>The new chapter of Vilamoura begins here. Join the inner circle with Club access to golf, sport, equestrian &amp; beach life.</v>
      </c>
      <c r="AI90" t="str">
        <v>Gym, Spa, Lazy River, Private Pools, Outdoor Areas, Smart Home Technology, Tennis Court, Clubhouse, Private Parking, Vista Membership</v>
      </c>
      <c r="AJ90"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90" t="str">
        <v>Promontório</v>
      </c>
      <c r="AL90" t="str">
        <v>Springs - At the Els</v>
      </c>
    </row>
    <row r="91" spans="1:38" x14ac:dyDescent="0.3">
      <c r="A91" t="str">
        <v>SPRINGS</v>
      </c>
      <c r="B91" t="str">
        <v>Vilamoura</v>
      </c>
      <c r="C91" t="str">
        <v>J</v>
      </c>
      <c r="D91" t="str">
        <v>Vilamoura, Algarve</v>
      </c>
      <c r="E91" t="str">
        <v>V3</v>
      </c>
      <c r="F91">
        <v>323.58999999999997</v>
      </c>
      <c r="G91">
        <v>165.79</v>
      </c>
      <c r="H91" t="str">
        <v/>
      </c>
      <c r="I91" t="str">
        <v/>
      </c>
      <c r="J91">
        <v>0</v>
      </c>
      <c r="K91">
        <v>0</v>
      </c>
      <c r="L91">
        <v>0</v>
      </c>
      <c r="M91" s="79">
        <v>0</v>
      </c>
      <c r="N91">
        <v>0</v>
      </c>
      <c r="O91">
        <v>157.80000000000001</v>
      </c>
      <c r="P91">
        <v>0</v>
      </c>
      <c r="Q91" t="str">
        <v>AVAILABLE</v>
      </c>
      <c r="R91">
        <v>1952100</v>
      </c>
      <c r="S91">
        <v>2041050</v>
      </c>
      <c r="T91">
        <v>2130000</v>
      </c>
      <c r="U91">
        <v>24600</v>
      </c>
      <c r="V91">
        <v>64350</v>
      </c>
      <c r="W91">
        <v>2041050</v>
      </c>
      <c r="X91">
        <v>0</v>
      </c>
      <c r="Y91">
        <v>2130000</v>
      </c>
      <c r="Z91">
        <v>2041050</v>
      </c>
      <c r="AA91">
        <v>45673</v>
      </c>
      <c r="AB91" t="str">
        <v>Q1 2025</v>
      </c>
      <c r="AC91">
        <v>0</v>
      </c>
      <c r="AD91">
        <v>0</v>
      </c>
      <c r="AE91" t="str">
        <v>Ana Damásio</v>
      </c>
      <c r="AF91" t="str">
        <v>Carla Veiga</v>
      </c>
      <c r="AG91" t="str">
        <v>Springs Els Club - *Vilamoura</v>
      </c>
      <c r="AH91" t="str">
        <v>The new chapter of Vilamoura begins here. Join the inner circle with Club access to golf, sport, equestrian &amp; beach life.</v>
      </c>
      <c r="AI91" t="str">
        <v>Gym, Spa, Lazy River, Private Pools, Outdoor Areas, Smart Home Technology, Tennis Court, Clubhouse, Private Parking, Vista Membership</v>
      </c>
      <c r="AJ91"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91" t="str">
        <v>Promontório</v>
      </c>
      <c r="AL91" t="str">
        <v>Springs - At the Els</v>
      </c>
    </row>
    <row r="92" spans="1:38" x14ac:dyDescent="0.3">
      <c r="A92" t="str">
        <v>SPRINGS</v>
      </c>
      <c r="B92" t="str">
        <v>Vilamoura</v>
      </c>
      <c r="C92" t="str">
        <v>K</v>
      </c>
      <c r="D92" t="str">
        <v>Vilamoura, Algarve</v>
      </c>
      <c r="E92" t="str">
        <v>V4 Duplex</v>
      </c>
      <c r="F92">
        <v>406.88</v>
      </c>
      <c r="G92">
        <v>165.79</v>
      </c>
      <c r="H92" t="str">
        <v/>
      </c>
      <c r="I92" t="str">
        <v/>
      </c>
      <c r="J92">
        <v>19.649999999999999</v>
      </c>
      <c r="K92">
        <v>0</v>
      </c>
      <c r="L92">
        <v>0</v>
      </c>
      <c r="M92" s="79">
        <v>0</v>
      </c>
      <c r="N92">
        <v>0</v>
      </c>
      <c r="O92">
        <v>221.44</v>
      </c>
      <c r="P92">
        <v>0</v>
      </c>
      <c r="Q92" t="str">
        <v>AVAILABLE</v>
      </c>
      <c r="R92">
        <v>3114600</v>
      </c>
      <c r="S92">
        <v>3222300</v>
      </c>
      <c r="T92">
        <v>3330000</v>
      </c>
      <c r="U92">
        <v>24600</v>
      </c>
      <c r="V92">
        <v>83100</v>
      </c>
      <c r="W92">
        <v>3222300</v>
      </c>
      <c r="X92">
        <v>0</v>
      </c>
      <c r="Y92">
        <v>3330000</v>
      </c>
      <c r="Z92">
        <v>3222300</v>
      </c>
      <c r="AA92">
        <v>45673</v>
      </c>
      <c r="AB92" t="str">
        <v>Q1 2025</v>
      </c>
      <c r="AC92">
        <v>0</v>
      </c>
      <c r="AD92">
        <v>0</v>
      </c>
      <c r="AE92" t="str">
        <v>Ana Damásio</v>
      </c>
      <c r="AF92" t="str">
        <v>Carla Veiga</v>
      </c>
      <c r="AG92" t="str">
        <v>Springs Els Club - *Vilamoura</v>
      </c>
      <c r="AH92" t="str">
        <v>The new chapter of Vilamoura begins here. Join the inner circle with Club access to golf, sport, equestrian &amp; beach life.</v>
      </c>
      <c r="AI92" t="str">
        <v>Gym, Spa, Lazy River, Private Pools, Outdoor Areas, Smart Home Technology, Tennis Court, Clubhouse, Private Parking, Vista Membership</v>
      </c>
      <c r="AJ92"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92" t="str">
        <v>Promontório</v>
      </c>
      <c r="AL92" t="str">
        <v>Springs - At the Els</v>
      </c>
    </row>
    <row r="93" spans="1:38" x14ac:dyDescent="0.3">
      <c r="A93" t="str">
        <v>SPRINGS</v>
      </c>
      <c r="B93" t="str">
        <v>Vilamoura</v>
      </c>
      <c r="C93" t="str">
        <v>M</v>
      </c>
      <c r="D93" t="str">
        <v>Vilamoura, Algarve</v>
      </c>
      <c r="E93" t="str">
        <v>V3</v>
      </c>
      <c r="F93">
        <v>321.57</v>
      </c>
      <c r="G93">
        <v>163.77000000000001</v>
      </c>
      <c r="H93" t="str">
        <v/>
      </c>
      <c r="I93" t="str">
        <v/>
      </c>
      <c r="J93">
        <v>0</v>
      </c>
      <c r="K93">
        <v>0</v>
      </c>
      <c r="L93">
        <v>0</v>
      </c>
      <c r="M93" s="79">
        <v>0</v>
      </c>
      <c r="N93">
        <v>0</v>
      </c>
      <c r="O93">
        <v>157.80000000000001</v>
      </c>
      <c r="P93">
        <v>0</v>
      </c>
      <c r="Q93" t="str">
        <v>AVAILABLE</v>
      </c>
      <c r="R93">
        <v>2052100</v>
      </c>
      <c r="S93">
        <v>2141050</v>
      </c>
      <c r="T93">
        <v>2230000</v>
      </c>
      <c r="U93">
        <v>24600</v>
      </c>
      <c r="V93">
        <v>64350</v>
      </c>
      <c r="W93">
        <v>2141050</v>
      </c>
      <c r="X93">
        <v>0</v>
      </c>
      <c r="Y93">
        <v>2230000</v>
      </c>
      <c r="Z93">
        <v>2141050</v>
      </c>
      <c r="AA93">
        <v>45673</v>
      </c>
      <c r="AB93" t="str">
        <v>Q1 2025</v>
      </c>
      <c r="AC93">
        <v>0</v>
      </c>
      <c r="AD93">
        <v>0</v>
      </c>
      <c r="AE93" t="str">
        <v>Ana Damásio</v>
      </c>
      <c r="AF93" t="str">
        <v>Carla Veiga</v>
      </c>
      <c r="AG93" t="str">
        <v>Springs Els Club - *Vilamoura</v>
      </c>
      <c r="AH93" t="str">
        <v>The new chapter of Vilamoura begins here. Join the inner circle with Club access to golf, sport, equestrian &amp; beach life.</v>
      </c>
      <c r="AI93" t="str">
        <v>Gym, Spa, Lazy River, Private Pools, Outdoor Areas, Smart Home Technology, Tennis Court, Clubhouse, Private Parking, Vista Membership</v>
      </c>
      <c r="AJ93"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93" t="str">
        <v>Promontório</v>
      </c>
      <c r="AL93" t="str">
        <v>Springs - At the Els</v>
      </c>
    </row>
    <row r="94" spans="1:38" x14ac:dyDescent="0.3">
      <c r="A94" t="str">
        <v>SPRINGS</v>
      </c>
      <c r="B94" t="str">
        <v>Vilamoura</v>
      </c>
      <c r="C94" t="str">
        <v>N</v>
      </c>
      <c r="D94" t="str">
        <v>Vilamoura, Algarve</v>
      </c>
      <c r="E94" t="str">
        <v>V4 Duplex</v>
      </c>
      <c r="F94">
        <v>404.86</v>
      </c>
      <c r="G94">
        <v>163.77000000000001</v>
      </c>
      <c r="H94" t="str">
        <v/>
      </c>
      <c r="I94" t="str">
        <v/>
      </c>
      <c r="J94">
        <v>19.649999999999999</v>
      </c>
      <c r="K94">
        <v>0</v>
      </c>
      <c r="L94">
        <v>0</v>
      </c>
      <c r="M94" s="79">
        <v>0</v>
      </c>
      <c r="N94">
        <v>0</v>
      </c>
      <c r="O94">
        <v>221.44</v>
      </c>
      <c r="P94">
        <v>0</v>
      </c>
      <c r="Q94" t="str">
        <v>AVAILABLE</v>
      </c>
      <c r="R94">
        <v>2814600</v>
      </c>
      <c r="S94">
        <v>2922300</v>
      </c>
      <c r="T94">
        <v>3030000</v>
      </c>
      <c r="U94">
        <v>24600</v>
      </c>
      <c r="V94">
        <v>83100</v>
      </c>
      <c r="W94">
        <v>2922300</v>
      </c>
      <c r="X94">
        <v>0</v>
      </c>
      <c r="Y94">
        <v>3030000</v>
      </c>
      <c r="Z94">
        <v>2922300</v>
      </c>
      <c r="AA94">
        <v>45673</v>
      </c>
      <c r="AB94" t="str">
        <v>Q1 2025</v>
      </c>
      <c r="AC94">
        <v>0</v>
      </c>
      <c r="AD94">
        <v>0</v>
      </c>
      <c r="AE94" t="str">
        <v>Ana Damásio</v>
      </c>
      <c r="AF94" t="str">
        <v>Carla Veiga</v>
      </c>
      <c r="AG94" t="str">
        <v>Springs Els Club - *Vilamoura</v>
      </c>
      <c r="AH94" t="str">
        <v>The new chapter of Vilamoura begins here. Join the inner circle with Club access to golf, sport, equestrian &amp; beach life.</v>
      </c>
      <c r="AI94" t="str">
        <v>Gym, Spa, Lazy River, Private Pools, Outdoor Areas, Smart Home Technology, Tennis Court, Clubhouse, Private Parking, Vista Membership</v>
      </c>
      <c r="AJ94"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94" t="str">
        <v>Promontório</v>
      </c>
      <c r="AL94" t="str">
        <v>Springs - At the Els</v>
      </c>
    </row>
    <row r="95" spans="1:38" x14ac:dyDescent="0.3">
      <c r="A95" t="str">
        <v>SPRINGS</v>
      </c>
      <c r="B95" t="str">
        <v>Vilamoura</v>
      </c>
      <c r="C95" t="str">
        <v>O</v>
      </c>
      <c r="D95" t="str">
        <v>Vilamoura, Algarve</v>
      </c>
      <c r="E95" t="str">
        <v>V3 Duplex</v>
      </c>
      <c r="F95">
        <v>294.94</v>
      </c>
      <c r="G95">
        <v>111.27</v>
      </c>
      <c r="H95" t="str">
        <v/>
      </c>
      <c r="I95" t="str">
        <v/>
      </c>
      <c r="J95">
        <v>18.66</v>
      </c>
      <c r="K95">
        <v>0</v>
      </c>
      <c r="L95">
        <v>0</v>
      </c>
      <c r="M95" s="79">
        <v>0</v>
      </c>
      <c r="N95">
        <v>0</v>
      </c>
      <c r="O95">
        <v>165.01</v>
      </c>
      <c r="P95">
        <v>0</v>
      </c>
      <c r="Q95" t="str">
        <v>AVAILABLE</v>
      </c>
      <c r="R95">
        <v>2102100</v>
      </c>
      <c r="S95">
        <v>2191050</v>
      </c>
      <c r="T95">
        <v>2280000</v>
      </c>
      <c r="U95">
        <v>24600</v>
      </c>
      <c r="V95">
        <v>64350</v>
      </c>
      <c r="W95">
        <v>2191050</v>
      </c>
      <c r="X95">
        <v>0</v>
      </c>
      <c r="Y95">
        <v>2280000</v>
      </c>
      <c r="Z95">
        <v>2191050</v>
      </c>
      <c r="AA95">
        <v>45673</v>
      </c>
      <c r="AB95" t="str">
        <v>Q1 2025</v>
      </c>
      <c r="AC95">
        <v>0</v>
      </c>
      <c r="AD95">
        <v>0</v>
      </c>
      <c r="AE95" t="str">
        <v>Ana Damásio</v>
      </c>
      <c r="AF95" t="str">
        <v>Carla Veiga</v>
      </c>
      <c r="AG95" t="str">
        <v>Springs Els Club - *Vilamoura</v>
      </c>
      <c r="AH95" t="str">
        <v>The new chapter of Vilamoura begins here. Join the inner circle with Club access to golf, sport, equestrian &amp; beach life.</v>
      </c>
      <c r="AI95" t="str">
        <v>Gym, Spa, Lazy River, Private Pools, Outdoor Areas, Smart Home Technology, Tennis Court, Clubhouse, Private Parking, Vista Membership</v>
      </c>
      <c r="AJ95"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95" t="str">
        <v>Promontório</v>
      </c>
      <c r="AL95" t="str">
        <v>Springs - At the Els</v>
      </c>
    </row>
    <row r="96" spans="1:38" x14ac:dyDescent="0.3">
      <c r="A96" t="str">
        <v>SPRINGS</v>
      </c>
      <c r="B96" t="str">
        <v>Vilamoura</v>
      </c>
      <c r="C96" t="str">
        <v>P</v>
      </c>
      <c r="D96" t="str">
        <v>Vilamoura, Algarve</v>
      </c>
      <c r="E96" t="str">
        <v>V3</v>
      </c>
      <c r="F96">
        <v>281.89</v>
      </c>
      <c r="G96">
        <v>124.09</v>
      </c>
      <c r="H96" t="str">
        <v/>
      </c>
      <c r="I96" t="str">
        <v/>
      </c>
      <c r="J96">
        <v>0</v>
      </c>
      <c r="K96">
        <v>0</v>
      </c>
      <c r="L96">
        <v>0</v>
      </c>
      <c r="M96" s="79">
        <v>0</v>
      </c>
      <c r="N96">
        <v>0</v>
      </c>
      <c r="O96">
        <v>157.80000000000001</v>
      </c>
      <c r="P96">
        <v>0</v>
      </c>
      <c r="Q96" t="str">
        <v>AVAILABLE</v>
      </c>
      <c r="R96">
        <v>1802100</v>
      </c>
      <c r="S96">
        <v>1891050</v>
      </c>
      <c r="T96">
        <v>1980000</v>
      </c>
      <c r="U96">
        <v>24600</v>
      </c>
      <c r="V96">
        <v>64350</v>
      </c>
      <c r="W96">
        <v>1891050</v>
      </c>
      <c r="X96">
        <v>0</v>
      </c>
      <c r="Y96">
        <v>1980000</v>
      </c>
      <c r="Z96">
        <v>1891050</v>
      </c>
      <c r="AA96">
        <v>45673</v>
      </c>
      <c r="AB96" t="str">
        <v>Q1 2025</v>
      </c>
      <c r="AC96">
        <v>0</v>
      </c>
      <c r="AD96">
        <v>0</v>
      </c>
      <c r="AE96" t="str">
        <v>Ana Damásio</v>
      </c>
      <c r="AF96" t="str">
        <v>Carla Veiga</v>
      </c>
      <c r="AG96" t="str">
        <v>Springs Els Club - *Vilamoura</v>
      </c>
      <c r="AH96" t="str">
        <v>The new chapter of Vilamoura begins here. Join the inner circle with Club access to golf, sport, equestrian &amp; beach life.</v>
      </c>
      <c r="AI96" t="str">
        <v>Gym, Spa, Lazy River, Private Pools, Outdoor Areas, Smart Home Technology, Tennis Court, Clubhouse, Private Parking, Vista Membership</v>
      </c>
      <c r="AJ96"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96" t="str">
        <v>Promontório</v>
      </c>
      <c r="AL96" t="str">
        <v>Springs - At the Els</v>
      </c>
    </row>
    <row r="97" spans="1:38" x14ac:dyDescent="0.3">
      <c r="A97" t="str">
        <v>SPRINGS</v>
      </c>
      <c r="B97" t="str">
        <v>Vilamoura</v>
      </c>
      <c r="C97" t="str">
        <v>Q</v>
      </c>
      <c r="D97" t="str">
        <v>Vilamoura, Algarve</v>
      </c>
      <c r="E97" t="str">
        <v>V3</v>
      </c>
      <c r="F97">
        <v>321.57</v>
      </c>
      <c r="G97">
        <v>163.77000000000001</v>
      </c>
      <c r="H97" t="str">
        <v/>
      </c>
      <c r="I97" t="str">
        <v/>
      </c>
      <c r="J97">
        <v>0</v>
      </c>
      <c r="K97">
        <v>0</v>
      </c>
      <c r="L97">
        <v>0</v>
      </c>
      <c r="M97" s="79">
        <v>0</v>
      </c>
      <c r="N97">
        <v>0</v>
      </c>
      <c r="O97">
        <v>157.80000000000001</v>
      </c>
      <c r="P97">
        <v>0</v>
      </c>
      <c r="Q97" t="str">
        <v>AVAILABLE</v>
      </c>
      <c r="R97">
        <v>1452100</v>
      </c>
      <c r="S97">
        <v>1541050</v>
      </c>
      <c r="T97">
        <v>1630000</v>
      </c>
      <c r="U97">
        <v>24600</v>
      </c>
      <c r="V97">
        <v>64350</v>
      </c>
      <c r="W97">
        <v>1541050</v>
      </c>
      <c r="X97">
        <v>0</v>
      </c>
      <c r="Y97">
        <v>1630000</v>
      </c>
      <c r="Z97">
        <v>1541050</v>
      </c>
      <c r="AA97">
        <v>45673</v>
      </c>
      <c r="AB97" t="str">
        <v>Q1 2025</v>
      </c>
      <c r="AC97">
        <v>0</v>
      </c>
      <c r="AD97">
        <v>0</v>
      </c>
      <c r="AE97" t="str">
        <v>Ana Damásio</v>
      </c>
      <c r="AF97" t="str">
        <v>Carla Veiga</v>
      </c>
      <c r="AG97" t="str">
        <v>Springs Els Club - *Vilamoura</v>
      </c>
      <c r="AH97" t="str">
        <v>The new chapter of Vilamoura begins here. Join the inner circle with Club access to golf, sport, equestrian &amp; beach life.</v>
      </c>
      <c r="AI97" t="str">
        <v>Gym, Spa, Lazy River, Private Pools, Outdoor Areas, Smart Home Technology, Tennis Court, Clubhouse, Private Parking, Vista Membership</v>
      </c>
      <c r="AJ97"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97" t="str">
        <v>Promontório</v>
      </c>
      <c r="AL97" t="str">
        <v>Springs - At the Els</v>
      </c>
    </row>
    <row r="98" spans="1:38" x14ac:dyDescent="0.3">
      <c r="A98" t="str">
        <v>SPRINGS</v>
      </c>
      <c r="B98" t="str">
        <v>Vilamoura</v>
      </c>
      <c r="C98" t="str">
        <v>R</v>
      </c>
      <c r="D98" t="str">
        <v>Vilamoura, Algarve</v>
      </c>
      <c r="E98" t="str">
        <v>V3 Duplex</v>
      </c>
      <c r="F98">
        <v>296.95999999999998</v>
      </c>
      <c r="G98">
        <v>113.29</v>
      </c>
      <c r="H98" t="str">
        <v/>
      </c>
      <c r="I98" t="str">
        <v/>
      </c>
      <c r="J98">
        <v>18.66</v>
      </c>
      <c r="K98">
        <v>0</v>
      </c>
      <c r="L98">
        <v>0</v>
      </c>
      <c r="M98" s="79">
        <v>0</v>
      </c>
      <c r="N98">
        <v>0</v>
      </c>
      <c r="O98">
        <v>165.01</v>
      </c>
      <c r="P98">
        <v>0</v>
      </c>
      <c r="Q98" t="str">
        <v>AVAILABLE</v>
      </c>
      <c r="R98">
        <v>1752100</v>
      </c>
      <c r="S98">
        <v>1841050</v>
      </c>
      <c r="T98">
        <v>1930000</v>
      </c>
      <c r="U98">
        <v>24600</v>
      </c>
      <c r="V98">
        <v>64350</v>
      </c>
      <c r="W98">
        <v>1841050</v>
      </c>
      <c r="X98">
        <v>0</v>
      </c>
      <c r="Y98">
        <v>1930000</v>
      </c>
      <c r="Z98">
        <v>1841050</v>
      </c>
      <c r="AA98">
        <v>45673</v>
      </c>
      <c r="AB98" t="str">
        <v>Q1 2025</v>
      </c>
      <c r="AC98">
        <v>0</v>
      </c>
      <c r="AD98">
        <v>0</v>
      </c>
      <c r="AE98" t="str">
        <v>Ana Damásio</v>
      </c>
      <c r="AF98" t="str">
        <v>Carla Veiga</v>
      </c>
      <c r="AG98" t="str">
        <v>Springs Els Club - *Vilamoura</v>
      </c>
      <c r="AH98" t="str">
        <v>The new chapter of Vilamoura begins here. Join the inner circle with Club access to golf, sport, equestrian &amp; beach life.</v>
      </c>
      <c r="AI98" t="str">
        <v>Gym, Spa, Lazy River, Private Pools, Outdoor Areas, Smart Home Technology, Tennis Court, Clubhouse, Private Parking, Vista Membership</v>
      </c>
      <c r="AJ98"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98" t="str">
        <v>Promontório</v>
      </c>
      <c r="AL98" t="str">
        <v>Springs - At the Els</v>
      </c>
    </row>
    <row r="99" spans="1:38" x14ac:dyDescent="0.3">
      <c r="A99" t="str">
        <v>SPRINGS</v>
      </c>
      <c r="B99" t="str">
        <v>Vilamoura</v>
      </c>
      <c r="C99" t="str">
        <v>S</v>
      </c>
      <c r="D99" t="str">
        <v>Vilamoura, Algarve</v>
      </c>
      <c r="E99" t="str">
        <v>V4 Duplex</v>
      </c>
      <c r="F99">
        <v>404.86</v>
      </c>
      <c r="G99">
        <v>163.77000000000001</v>
      </c>
      <c r="H99" t="str">
        <v/>
      </c>
      <c r="I99" t="str">
        <v/>
      </c>
      <c r="J99">
        <v>19.649999999999999</v>
      </c>
      <c r="K99">
        <v>0</v>
      </c>
      <c r="L99">
        <v>0</v>
      </c>
      <c r="M99" s="79">
        <v>0</v>
      </c>
      <c r="N99">
        <v>0</v>
      </c>
      <c r="O99">
        <v>221.44</v>
      </c>
      <c r="P99">
        <v>0</v>
      </c>
      <c r="Q99" t="str">
        <v>AVAILABLE</v>
      </c>
      <c r="R99">
        <v>2314600</v>
      </c>
      <c r="S99">
        <v>2422300</v>
      </c>
      <c r="T99">
        <v>2530000</v>
      </c>
      <c r="U99">
        <v>24600</v>
      </c>
      <c r="V99">
        <v>83100</v>
      </c>
      <c r="W99">
        <v>2422300</v>
      </c>
      <c r="X99">
        <v>0</v>
      </c>
      <c r="Y99">
        <v>2530000</v>
      </c>
      <c r="Z99">
        <v>2422300</v>
      </c>
      <c r="AA99">
        <v>45673</v>
      </c>
      <c r="AB99" t="str">
        <v>Q1 2025</v>
      </c>
      <c r="AC99">
        <v>0</v>
      </c>
      <c r="AD99">
        <v>0</v>
      </c>
      <c r="AE99" t="str">
        <v>Ana Damásio</v>
      </c>
      <c r="AF99" t="str">
        <v>Carla Veiga</v>
      </c>
      <c r="AG99" t="str">
        <v>Springs Els Club - *Vilamoura</v>
      </c>
      <c r="AH99" t="str">
        <v>The new chapter of Vilamoura begins here. Join the inner circle with Club access to golf, sport, equestrian &amp; beach life.</v>
      </c>
      <c r="AI99" t="str">
        <v>Gym, Spa, Lazy River, Private Pools, Outdoor Areas, Smart Home Technology, Tennis Court, Clubhouse, Private Parking, Vista Membership</v>
      </c>
      <c r="AJ99"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99" t="str">
        <v>Promontório</v>
      </c>
      <c r="AL99" t="str">
        <v>Springs - At the Els</v>
      </c>
    </row>
    <row r="100" spans="1:38" x14ac:dyDescent="0.3">
      <c r="A100" t="str">
        <v>SPRINGS</v>
      </c>
      <c r="B100" t="str">
        <v>Vilamoura</v>
      </c>
      <c r="C100" t="str">
        <v>T</v>
      </c>
      <c r="D100" t="str">
        <v>Vilamoura, Algarve</v>
      </c>
      <c r="E100" t="str">
        <v>V3</v>
      </c>
      <c r="F100">
        <v>321.57</v>
      </c>
      <c r="G100">
        <v>163.77000000000001</v>
      </c>
      <c r="H100" t="str">
        <v/>
      </c>
      <c r="I100" t="str">
        <v/>
      </c>
      <c r="J100">
        <v>0</v>
      </c>
      <c r="K100">
        <v>0</v>
      </c>
      <c r="L100">
        <v>0</v>
      </c>
      <c r="M100" s="79">
        <v>0</v>
      </c>
      <c r="N100">
        <v>0</v>
      </c>
      <c r="O100">
        <v>157.80000000000001</v>
      </c>
      <c r="P100">
        <v>0</v>
      </c>
      <c r="Q100" t="str">
        <v>AVAILABLE</v>
      </c>
      <c r="R100">
        <v>1552100</v>
      </c>
      <c r="S100">
        <v>1641050</v>
      </c>
      <c r="T100">
        <v>1730000</v>
      </c>
      <c r="U100">
        <v>24600</v>
      </c>
      <c r="V100">
        <v>64350</v>
      </c>
      <c r="W100">
        <v>1641050</v>
      </c>
      <c r="X100">
        <v>0</v>
      </c>
      <c r="Y100">
        <v>1730000</v>
      </c>
      <c r="Z100">
        <v>1641050</v>
      </c>
      <c r="AA100">
        <v>45673</v>
      </c>
      <c r="AB100" t="str">
        <v>Q1 2025</v>
      </c>
      <c r="AC100">
        <v>0</v>
      </c>
      <c r="AD100">
        <v>0</v>
      </c>
      <c r="AE100" t="str">
        <v>Ana Damásio</v>
      </c>
      <c r="AF100" t="str">
        <v>Carla Veiga</v>
      </c>
      <c r="AG100" t="str">
        <v>Springs Els Club - *Vilamoura</v>
      </c>
      <c r="AH100" t="str">
        <v>The new chapter of Vilamoura begins here. Join the inner circle with Club access to golf, sport, equestrian &amp; beach life.</v>
      </c>
      <c r="AI100" t="str">
        <v>Gym, Spa, Lazy River, Private Pools, Outdoor Areas, Smart Home Technology, Tennis Court, Clubhouse, Private Parking, Vista Membership</v>
      </c>
      <c r="AJ100"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100" t="str">
        <v>Promontório</v>
      </c>
      <c r="AL100" t="str">
        <v>Springs - At the Els</v>
      </c>
    </row>
    <row r="101" spans="1:38" x14ac:dyDescent="0.3">
      <c r="A101" t="str">
        <v>SPRINGS</v>
      </c>
      <c r="B101" t="str">
        <v>Vilamoura</v>
      </c>
      <c r="C101" t="str">
        <v>U</v>
      </c>
      <c r="D101" t="str">
        <v>Vilamoura, Algarve</v>
      </c>
      <c r="E101" t="str">
        <v>V3</v>
      </c>
      <c r="F101">
        <v>321.57</v>
      </c>
      <c r="G101">
        <v>163.77000000000001</v>
      </c>
      <c r="H101" t="str">
        <v/>
      </c>
      <c r="I101" t="str">
        <v/>
      </c>
      <c r="J101">
        <v>0</v>
      </c>
      <c r="K101">
        <v>0</v>
      </c>
      <c r="L101">
        <v>0</v>
      </c>
      <c r="M101" s="79">
        <v>0</v>
      </c>
      <c r="N101">
        <v>0</v>
      </c>
      <c r="O101">
        <v>157.80000000000001</v>
      </c>
      <c r="P101">
        <v>0</v>
      </c>
      <c r="Q101" t="str">
        <v>AVAILABLE</v>
      </c>
      <c r="R101">
        <v>1552100</v>
      </c>
      <c r="S101">
        <v>1641050</v>
      </c>
      <c r="T101">
        <v>1730000</v>
      </c>
      <c r="U101">
        <v>24600</v>
      </c>
      <c r="V101">
        <v>64350</v>
      </c>
      <c r="W101">
        <v>1641050</v>
      </c>
      <c r="X101">
        <v>0</v>
      </c>
      <c r="Y101">
        <v>1730000</v>
      </c>
      <c r="Z101">
        <v>1641050</v>
      </c>
      <c r="AA101">
        <v>45673</v>
      </c>
      <c r="AB101" t="str">
        <v>Q1 2025</v>
      </c>
      <c r="AC101">
        <v>0</v>
      </c>
      <c r="AD101">
        <v>0</v>
      </c>
      <c r="AE101" t="str">
        <v>Ana Damásio</v>
      </c>
      <c r="AF101" t="str">
        <v>Carla Veiga</v>
      </c>
      <c r="AG101" t="str">
        <v>Springs Els Club - *Vilamoura</v>
      </c>
      <c r="AH101" t="str">
        <v>The new chapter of Vilamoura begins here. Join the inner circle with Club access to golf, sport, equestrian &amp; beach life.</v>
      </c>
      <c r="AI101" t="str">
        <v>Gym, Spa, Lazy River, Private Pools, Outdoor Areas, Smart Home Technology, Tennis Court, Clubhouse, Private Parking, Vista Membership</v>
      </c>
      <c r="AJ101"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101" t="str">
        <v>Promontório</v>
      </c>
      <c r="AL101" t="str">
        <v>Springs - At the Els</v>
      </c>
    </row>
    <row r="102" spans="1:38" x14ac:dyDescent="0.3">
      <c r="A102" t="str">
        <v>SPRINGS</v>
      </c>
      <c r="B102" t="str">
        <v>Vilamoura</v>
      </c>
      <c r="C102" t="str">
        <v>Y</v>
      </c>
      <c r="D102" t="str">
        <v>Vilamoura, Algarve</v>
      </c>
      <c r="E102" t="str">
        <v>V3</v>
      </c>
      <c r="F102">
        <v>323.58999999999997</v>
      </c>
      <c r="G102">
        <v>165.79</v>
      </c>
      <c r="H102" t="str">
        <v/>
      </c>
      <c r="I102" t="str">
        <v/>
      </c>
      <c r="J102">
        <v>0</v>
      </c>
      <c r="K102">
        <v>0</v>
      </c>
      <c r="L102">
        <v>0</v>
      </c>
      <c r="M102" s="79">
        <v>0</v>
      </c>
      <c r="N102">
        <v>0</v>
      </c>
      <c r="O102">
        <v>157.80000000000001</v>
      </c>
      <c r="P102">
        <v>0</v>
      </c>
      <c r="Q102" t="str">
        <v>AVAILABLE</v>
      </c>
      <c r="R102">
        <v>1652100</v>
      </c>
      <c r="S102">
        <v>1741050</v>
      </c>
      <c r="T102">
        <v>1830000</v>
      </c>
      <c r="U102">
        <v>24600</v>
      </c>
      <c r="V102">
        <v>64350</v>
      </c>
      <c r="W102">
        <v>1741050</v>
      </c>
      <c r="X102">
        <v>0</v>
      </c>
      <c r="Y102">
        <v>1825000</v>
      </c>
      <c r="Z102">
        <v>1736050</v>
      </c>
      <c r="AA102">
        <v>45673</v>
      </c>
      <c r="AB102" t="str">
        <v>Q1 2025</v>
      </c>
      <c r="AC102">
        <v>0</v>
      </c>
      <c r="AD102">
        <v>0</v>
      </c>
      <c r="AE102" t="str">
        <v>Ana Damásio</v>
      </c>
      <c r="AF102" t="str">
        <v>Carla Veiga</v>
      </c>
      <c r="AG102" t="str">
        <v>Springs Els Club - *Vilamoura</v>
      </c>
      <c r="AH102" t="str">
        <v>The new chapter of Vilamoura begins here. Join the inner circle with Club access to golf, sport, equestrian &amp; beach life.</v>
      </c>
      <c r="AI102" t="str">
        <v>Gym, Spa, Lazy River, Private Pools, Outdoor Areas, Smart Home Technology, Tennis Court, Clubhouse, Private Parking, Vista Membership</v>
      </c>
      <c r="AJ102"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102" t="str">
        <v>Promontório</v>
      </c>
      <c r="AL102" t="str">
        <v>Springs - At the Els</v>
      </c>
    </row>
    <row r="103" spans="1:38" x14ac:dyDescent="0.3">
      <c r="A103" t="str">
        <v>SPRINGS</v>
      </c>
      <c r="B103" t="str">
        <v>Vilamoura</v>
      </c>
      <c r="C103" t="str">
        <v>Z</v>
      </c>
      <c r="D103" t="str">
        <v>Vilamoura, Algarve</v>
      </c>
      <c r="E103" t="str">
        <v>V3 Duplex A</v>
      </c>
      <c r="F103">
        <v>296.86</v>
      </c>
      <c r="G103">
        <v>112.83</v>
      </c>
      <c r="H103" t="str">
        <v/>
      </c>
      <c r="I103" t="str">
        <v/>
      </c>
      <c r="J103">
        <v>18.66</v>
      </c>
      <c r="K103">
        <v>0</v>
      </c>
      <c r="L103">
        <v>0</v>
      </c>
      <c r="M103" s="79">
        <v>0</v>
      </c>
      <c r="N103">
        <v>0</v>
      </c>
      <c r="O103">
        <v>165.37</v>
      </c>
      <c r="P103">
        <v>0</v>
      </c>
      <c r="Q103" t="str">
        <v>AVAILABLE</v>
      </c>
      <c r="R103">
        <v>1902100</v>
      </c>
      <c r="S103">
        <v>1991050</v>
      </c>
      <c r="T103">
        <v>2080000</v>
      </c>
      <c r="U103">
        <v>24600</v>
      </c>
      <c r="V103">
        <v>64350</v>
      </c>
      <c r="W103">
        <v>1991050</v>
      </c>
      <c r="X103">
        <v>0</v>
      </c>
      <c r="Y103">
        <v>2080000</v>
      </c>
      <c r="Z103">
        <v>1991050</v>
      </c>
      <c r="AA103">
        <v>45673</v>
      </c>
      <c r="AB103" t="str">
        <v>Q1 2025</v>
      </c>
      <c r="AC103">
        <v>0</v>
      </c>
      <c r="AD103">
        <v>0</v>
      </c>
      <c r="AE103" t="str">
        <v>Ana Damásio</v>
      </c>
      <c r="AF103" t="str">
        <v>Carla Veiga</v>
      </c>
      <c r="AG103" t="str">
        <v>Springs Els Club - *Vilamoura</v>
      </c>
      <c r="AH103" t="str">
        <v>The new chapter of Vilamoura begins here. Join the inner circle with Club access to golf, sport, equestrian &amp; beach life.</v>
      </c>
      <c r="AI103" t="str">
        <v>Gym, Spa, Lazy River, Private Pools, Outdoor Areas, Smart Home Technology, Tennis Court, Clubhouse, Private Parking, Vista Membership</v>
      </c>
      <c r="AJ103" t="str">
        <v>Projeto de excelência com vista direta para o Els Club, o campo de Golf mais exclusivo de Vilamoura; Club-house com piscina e lazy river; Spa e campos de tenis / padel disponíveis; Possibilidade de rentabilidade através de exploração turística com gestão profissional (Details)</v>
      </c>
      <c r="AK103" t="str">
        <v>Promontório</v>
      </c>
      <c r="AL103" t="str">
        <v>Springs - At the Els</v>
      </c>
    </row>
  </sheetData>
  <autoFilter ref="A2:AL2" xr:uid="{8C381E57-20A3-4D29-9AC1-A20B676A56DB}"/>
  <conditionalFormatting sqref="A2">
    <cfRule type="containsText" dxfId="65" priority="3" operator="containsText" text="Center">
      <formula>NOT(ISERROR(SEARCH("Center",A2)))</formula>
    </cfRule>
    <cfRule type="containsText" dxfId="64" priority="4" operator="containsText" text="North">
      <formula>NOT(ISERROR(SEARCH("North",A2)))</formula>
    </cfRule>
    <cfRule type="containsText" dxfId="63" priority="5" operator="containsText" text="Algarve">
      <formula>NOT(ISERROR(SEARCH("Algarve",A2)))</formula>
    </cfRule>
    <cfRule type="containsText" dxfId="62" priority="6" operator="containsText" text="Vilamoura">
      <formula>NOT(ISERROR(SEARCH("Vilamoura",A2)))</formula>
    </cfRule>
  </conditionalFormatting>
  <conditionalFormatting sqref="Q2">
    <cfRule type="containsText" dxfId="61" priority="1" operator="containsText" text="PRE-RESERVED">
      <formula>NOT(ISERROR(SEARCH("PRE-RESERVED",Q2)))</formula>
    </cfRule>
    <cfRule type="containsText" dxfId="60" priority="2" operator="containsText" text="RESERVED">
      <formula>NOT(ISERROR(SEARCH("RESERVED",Q2)))</formula>
    </cfRule>
  </conditionalFormatting>
  <pageMargins left="0.7" right="0.7" top="0.75" bottom="0.75" header="0.3" footer="0.3"/>
  <pageSetup paperSize="8" scale="69" fitToHeight="0"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A9C83-F044-4AB7-8082-E9BFA8C9C754}">
  <sheetPr>
    <tabColor rgb="FFC2B59E"/>
    <pageSetUpPr fitToPage="1"/>
  </sheetPr>
  <dimension ref="A1:AL89"/>
  <sheetViews>
    <sheetView showGridLines="0" zoomScale="71" zoomScaleNormal="40" zoomScaleSheetLayoutView="70" workbookViewId="0">
      <pane xSplit="1" topLeftCell="H1" activePane="topRight" state="frozen"/>
      <selection activeCell="I25" sqref="I25"/>
      <selection pane="topRight"/>
    </sheetView>
  </sheetViews>
  <sheetFormatPr defaultColWidth="8.6640625" defaultRowHeight="14.4" outlineLevelCol="2" x14ac:dyDescent="0.3"/>
  <cols>
    <col min="1" max="1" width="20.33203125" bestFit="1" customWidth="1"/>
    <col min="2" max="6" width="11.77734375" customWidth="1"/>
    <col min="7" max="12" width="11.77734375" customWidth="1" outlineLevel="2"/>
    <col min="13" max="13" width="11.77734375" style="79" customWidth="1" outlineLevel="2"/>
    <col min="14" max="14" width="11.77734375" customWidth="1" outlineLevel="2"/>
    <col min="15" max="16" width="11.77734375" customWidth="1" outlineLevel="1"/>
    <col min="17" max="18" width="11.77734375" customWidth="1"/>
    <col min="19" max="22" width="11.77734375" customWidth="1" outlineLevel="1"/>
    <col min="23" max="24" width="11.77734375" customWidth="1"/>
    <col min="25" max="25" width="11.77734375" customWidth="1" outlineLevel="1"/>
    <col min="26" max="26" width="11.77734375" customWidth="1"/>
    <col min="27" max="27" width="11.77734375" customWidth="1" outlineLevel="1"/>
    <col min="28" max="38" width="11.77734375" customWidth="1"/>
  </cols>
  <sheetData>
    <row r="1" spans="1:38" s="1" customFormat="1" ht="20.399999999999999" customHeight="1" x14ac:dyDescent="0.3">
      <c r="A1" s="114" t="s">
        <v>27</v>
      </c>
    </row>
    <row r="2" spans="1:38" s="2" customFormat="1" ht="46.2" customHeight="1" x14ac:dyDescent="0.3">
      <c r="A2" s="95" t="s">
        <v>335</v>
      </c>
      <c r="B2" s="95" t="s">
        <v>684</v>
      </c>
      <c r="C2" s="96" t="s">
        <v>765</v>
      </c>
      <c r="D2" s="97" t="s">
        <v>1</v>
      </c>
      <c r="E2" s="95" t="s">
        <v>93</v>
      </c>
      <c r="F2" s="95" t="s">
        <v>763</v>
      </c>
      <c r="G2" s="98" t="s">
        <v>675</v>
      </c>
      <c r="H2" s="99" t="s">
        <v>676</v>
      </c>
      <c r="I2" s="99" t="s">
        <v>677</v>
      </c>
      <c r="J2" s="100" t="s">
        <v>678</v>
      </c>
      <c r="K2" s="98" t="s">
        <v>679</v>
      </c>
      <c r="L2" s="98" t="s">
        <v>779</v>
      </c>
      <c r="M2" s="98" t="s">
        <v>680</v>
      </c>
      <c r="N2" s="101" t="s">
        <v>681</v>
      </c>
      <c r="O2" s="102" t="s">
        <v>94</v>
      </c>
      <c r="P2" s="102" t="s">
        <v>95</v>
      </c>
      <c r="Q2" s="95" t="s">
        <v>624</v>
      </c>
      <c r="R2" s="103" t="s">
        <v>331</v>
      </c>
      <c r="S2" s="104" t="s">
        <v>332</v>
      </c>
      <c r="T2" s="105" t="s">
        <v>333</v>
      </c>
      <c r="U2" s="105" t="s">
        <v>682</v>
      </c>
      <c r="V2" s="105" t="s">
        <v>97</v>
      </c>
      <c r="W2" s="95" t="s">
        <v>330</v>
      </c>
      <c r="X2" s="106" t="s">
        <v>919</v>
      </c>
      <c r="Y2" s="105" t="s">
        <v>334</v>
      </c>
      <c r="Z2" s="95" t="s">
        <v>98</v>
      </c>
      <c r="AA2" s="107" t="s">
        <v>933</v>
      </c>
      <c r="AB2" s="108" t="s">
        <v>934</v>
      </c>
      <c r="AC2" s="108" t="s">
        <v>928</v>
      </c>
      <c r="AD2" s="109" t="s">
        <v>926</v>
      </c>
      <c r="AE2" s="97" t="s">
        <v>792</v>
      </c>
      <c r="AF2" s="97" t="s">
        <v>793</v>
      </c>
      <c r="AG2" s="97" t="s">
        <v>2</v>
      </c>
      <c r="AH2" s="97" t="s">
        <v>3</v>
      </c>
      <c r="AI2" s="97" t="s">
        <v>5</v>
      </c>
      <c r="AJ2" s="97" t="s">
        <v>794</v>
      </c>
      <c r="AK2" s="97" t="s">
        <v>6</v>
      </c>
      <c r="AL2" s="95" t="s">
        <v>918</v>
      </c>
    </row>
    <row r="3" spans="1:38" s="112" customFormat="1" ht="13.8" x14ac:dyDescent="0.3">
      <c r="A3" s="129" t="str" cm="1">
        <f t="array" ref="A3:AL89">_xlfn._xlws.FILTER(DATABASE_Table[],DATABASE_Table[Development]=$A$1,"")</f>
        <v>TERRACOTA</v>
      </c>
      <c r="B3" s="129" t="str">
        <v>Vilamoura</v>
      </c>
      <c r="C3" s="110" t="str">
        <v>K</v>
      </c>
      <c r="D3" s="110" t="str">
        <v>Vilamoura, Algarve</v>
      </c>
      <c r="E3" s="110" t="str">
        <v>T2</v>
      </c>
      <c r="F3" s="110">
        <v>78.3</v>
      </c>
      <c r="G3" s="110">
        <v>0</v>
      </c>
      <c r="H3" s="110" t="str">
        <v/>
      </c>
      <c r="I3" s="110" t="str">
        <v/>
      </c>
      <c r="J3" s="110">
        <v>0</v>
      </c>
      <c r="K3" s="110">
        <v>0</v>
      </c>
      <c r="L3" s="110">
        <v>0</v>
      </c>
      <c r="M3" s="110">
        <v>0</v>
      </c>
      <c r="N3" s="110">
        <v>0</v>
      </c>
      <c r="O3" s="110">
        <v>78.3</v>
      </c>
      <c r="P3" s="110">
        <v>0</v>
      </c>
      <c r="Q3" s="110" t="str">
        <v xml:space="preserve">PSPA </v>
      </c>
      <c r="R3" s="110">
        <v>440000</v>
      </c>
      <c r="S3" s="110">
        <v>440000</v>
      </c>
      <c r="T3" s="110">
        <v>418000</v>
      </c>
      <c r="U3" s="110">
        <v>0</v>
      </c>
      <c r="V3" s="110">
        <v>0</v>
      </c>
      <c r="W3" s="110">
        <v>418000</v>
      </c>
      <c r="X3" s="110">
        <v>-5.2631578947368397E-2</v>
      </c>
      <c r="Y3" s="110">
        <v>440000</v>
      </c>
      <c r="Z3" s="110">
        <v>440000</v>
      </c>
      <c r="AA3" s="110">
        <v>45382</v>
      </c>
      <c r="AB3" s="111" t="str">
        <v>Q1 2024</v>
      </c>
      <c r="AC3" s="112">
        <v>45866</v>
      </c>
      <c r="AD3" s="112">
        <v>0</v>
      </c>
      <c r="AE3" s="112" t="str">
        <v>Ana Damásio</v>
      </c>
      <c r="AF3" s="112" t="str">
        <v>Elisabete Figueiredo</v>
      </c>
      <c r="AG3" s="112" t="str">
        <v>https://www.vilamouraworld.com/real-estate/terracota/</v>
      </c>
      <c r="AH3" s="112" t="str">
        <v>Terracota offers a slice of nature in an urban area – sheltered by spectacular pine trees for a feeling of secluded serenity.</v>
      </c>
      <c r="AI3" s="112" t="str">
        <v>Gym, Sauna, Co-Work Area, Condo Pool, Private Pools, Outdoor Areas, Smart Home Technology, Underground Parking</v>
      </c>
      <c r="AJ3" s="112" t="str">
        <v>Condomínio privado com exteriores de excelência e generosa piscina em estilo praia; Ginásio e spa; Zona de co-work e parque infantil; Rooftops com piscina privativa; Domótica residencial; Excelente price point considerando as amenities disponíveis.</v>
      </c>
      <c r="AK3" s="112" t="str">
        <v>Barbosa Guimarães</v>
      </c>
      <c r="AL3" s="112" t="str">
        <v>Terracota</v>
      </c>
    </row>
    <row r="4" spans="1:38" x14ac:dyDescent="0.3">
      <c r="A4" s="129" t="str">
        <v>TERRACOTA</v>
      </c>
      <c r="B4" s="129" t="str">
        <v>Vilamoura</v>
      </c>
      <c r="C4" s="110" t="str">
        <v>AA</v>
      </c>
      <c r="D4" s="110" t="str">
        <v>Vilamoura, Algarve</v>
      </c>
      <c r="E4" s="110" t="str">
        <v>T3</v>
      </c>
      <c r="F4" s="110">
        <v>130.91999999999999</v>
      </c>
      <c r="G4" s="110">
        <v>0</v>
      </c>
      <c r="H4" s="110" t="str">
        <v/>
      </c>
      <c r="I4" s="110" t="str">
        <v/>
      </c>
      <c r="J4" s="110">
        <v>0</v>
      </c>
      <c r="K4" s="110">
        <v>0</v>
      </c>
      <c r="L4" s="110">
        <v>0</v>
      </c>
      <c r="M4" s="110">
        <v>0</v>
      </c>
      <c r="N4" s="110">
        <v>0</v>
      </c>
      <c r="O4" s="110">
        <v>130.91999999999999</v>
      </c>
      <c r="P4" s="110">
        <v>0</v>
      </c>
      <c r="Q4" s="110" t="str">
        <v xml:space="preserve">PSPA </v>
      </c>
      <c r="R4" s="110">
        <v>660000</v>
      </c>
      <c r="S4" s="110">
        <v>660000</v>
      </c>
      <c r="T4" s="110">
        <v>660000</v>
      </c>
      <c r="U4" s="110">
        <v>0</v>
      </c>
      <c r="V4" s="110">
        <v>0</v>
      </c>
      <c r="W4" s="110">
        <v>660000</v>
      </c>
      <c r="X4" s="110">
        <v>0</v>
      </c>
      <c r="Y4" s="110">
        <v>660000</v>
      </c>
      <c r="Z4" s="110">
        <v>660000</v>
      </c>
      <c r="AA4" s="110">
        <v>45382</v>
      </c>
      <c r="AB4" s="111" t="str">
        <v>Q1 2024</v>
      </c>
      <c r="AC4">
        <v>45849</v>
      </c>
      <c r="AD4">
        <v>0</v>
      </c>
      <c r="AE4" t="str">
        <v>Ana Damásio</v>
      </c>
      <c r="AF4" t="str">
        <v>Elisabete Figueiredo</v>
      </c>
      <c r="AG4" t="str">
        <v>https://www.vilamouraworld.com/real-estate/terracota/</v>
      </c>
      <c r="AH4" t="str">
        <v>Terracota offers a slice of nature in an urban area – sheltered by spectacular pine trees for a feeling of secluded serenity.</v>
      </c>
      <c r="AI4" t="str">
        <v>Gym, Sauna, Co-Work Area, Condo Pool, Private Pools, Outdoor Areas, Smart Home Technology, Underground Parking</v>
      </c>
      <c r="AJ4" t="str">
        <v>Condomínio privado com exteriores de excelência e generosa piscina em estilo praia; Ginásio e spa; Zona de co-work e parque infantil; Rooftops com piscina privativa; Domótica residencial; Excelente price point considerando as amenities disponíveis.</v>
      </c>
      <c r="AK4" t="str">
        <v>Barbosa Guimarães</v>
      </c>
      <c r="AL4" t="str">
        <v>Terracota</v>
      </c>
    </row>
    <row r="5" spans="1:38" x14ac:dyDescent="0.3">
      <c r="A5" s="129" t="str">
        <v>TERRACOTA</v>
      </c>
      <c r="B5" s="129" t="str">
        <v>Vilamoura</v>
      </c>
      <c r="C5" s="110" t="str">
        <v>AB</v>
      </c>
      <c r="D5" s="110" t="str">
        <v>Vilamoura, Algarve</v>
      </c>
      <c r="E5" s="110" t="str">
        <v>T3</v>
      </c>
      <c r="F5" s="110">
        <v>130.91999999999999</v>
      </c>
      <c r="G5" s="110">
        <v>0</v>
      </c>
      <c r="H5" s="110" t="str">
        <v/>
      </c>
      <c r="I5" s="110" t="str">
        <v/>
      </c>
      <c r="J5" s="110">
        <v>0</v>
      </c>
      <c r="K5" s="110">
        <v>0</v>
      </c>
      <c r="L5" s="110">
        <v>0</v>
      </c>
      <c r="M5" s="110">
        <v>0</v>
      </c>
      <c r="N5" s="110">
        <v>0</v>
      </c>
      <c r="O5" s="110">
        <v>130.91999999999999</v>
      </c>
      <c r="P5" s="110">
        <v>0</v>
      </c>
      <c r="Q5" s="110" t="str">
        <v xml:space="preserve">PSPA </v>
      </c>
      <c r="R5" s="110">
        <v>680000</v>
      </c>
      <c r="S5" s="110">
        <v>680000</v>
      </c>
      <c r="T5" s="110">
        <v>680000</v>
      </c>
      <c r="U5" s="110">
        <v>0</v>
      </c>
      <c r="V5" s="110">
        <v>0</v>
      </c>
      <c r="W5" s="110">
        <v>680000</v>
      </c>
      <c r="X5" s="110">
        <v>0</v>
      </c>
      <c r="Y5" s="110">
        <v>680000</v>
      </c>
      <c r="Z5" s="110">
        <v>680000</v>
      </c>
      <c r="AA5" s="110">
        <v>45382</v>
      </c>
      <c r="AB5" s="111" t="str">
        <v>Q1 2024</v>
      </c>
      <c r="AC5">
        <v>45664</v>
      </c>
      <c r="AD5">
        <v>0</v>
      </c>
      <c r="AE5" t="str">
        <v>Ana Damásio</v>
      </c>
      <c r="AF5" t="str">
        <v>Elisabete Figueiredo</v>
      </c>
      <c r="AG5" t="str">
        <v>https://www.vilamouraworld.com/real-estate/terracota/</v>
      </c>
      <c r="AH5" t="str">
        <v>Terracota offers a slice of nature in an urban area – sheltered by spectacular pine trees for a feeling of secluded serenity.</v>
      </c>
      <c r="AI5" t="str">
        <v>Gym, Sauna, Co-Work Area, Condo Pool, Private Pools, Outdoor Areas, Smart Home Technology, Underground Parking</v>
      </c>
      <c r="AJ5" t="str">
        <v>Condomínio privado com exteriores de excelência e generosa piscina em estilo praia; Ginásio e spa; Zona de co-work e parque infantil; Rooftops com piscina privativa; Domótica residencial; Excelente price point considerando as amenities disponíveis.</v>
      </c>
      <c r="AK5" t="str">
        <v>Barbosa Guimarães</v>
      </c>
      <c r="AL5" t="str">
        <v>Terracota</v>
      </c>
    </row>
    <row r="6" spans="1:38" x14ac:dyDescent="0.3">
      <c r="A6" s="129" t="str">
        <v>TERRACOTA</v>
      </c>
      <c r="B6" s="129" t="str">
        <v>Vilamoura</v>
      </c>
      <c r="C6" s="110" t="str">
        <v>AC</v>
      </c>
      <c r="D6" s="110" t="str">
        <v>Vilamoura, Algarve</v>
      </c>
      <c r="E6" s="110" t="str">
        <v>T3</v>
      </c>
      <c r="F6" s="110">
        <v>130.91999999999999</v>
      </c>
      <c r="G6" s="110">
        <v>0</v>
      </c>
      <c r="H6" s="110" t="str">
        <v/>
      </c>
      <c r="I6" s="110" t="str">
        <v/>
      </c>
      <c r="J6" s="110">
        <v>0</v>
      </c>
      <c r="K6" s="110">
        <v>0</v>
      </c>
      <c r="L6" s="110">
        <v>0</v>
      </c>
      <c r="M6" s="110">
        <v>0</v>
      </c>
      <c r="N6" s="110">
        <v>0</v>
      </c>
      <c r="O6" s="110">
        <v>130.91999999999999</v>
      </c>
      <c r="P6" s="110">
        <v>0</v>
      </c>
      <c r="Q6" s="110" t="str">
        <v xml:space="preserve">PSPA </v>
      </c>
      <c r="R6" s="110">
        <v>660000</v>
      </c>
      <c r="S6" s="110">
        <v>660000</v>
      </c>
      <c r="T6" s="110">
        <v>660000</v>
      </c>
      <c r="U6" s="110">
        <v>0</v>
      </c>
      <c r="V6" s="110">
        <v>0</v>
      </c>
      <c r="W6" s="110">
        <v>660000</v>
      </c>
      <c r="X6" s="110">
        <v>0</v>
      </c>
      <c r="Y6" s="110">
        <v>660000</v>
      </c>
      <c r="Z6" s="110">
        <v>660000</v>
      </c>
      <c r="AA6" s="110">
        <v>45382</v>
      </c>
      <c r="AB6" s="111" t="str">
        <v>Q1 2024</v>
      </c>
      <c r="AC6">
        <v>45849</v>
      </c>
      <c r="AD6">
        <v>0</v>
      </c>
      <c r="AE6" t="str">
        <v>Ana Damásio</v>
      </c>
      <c r="AF6" t="str">
        <v>Elisabete Figueiredo</v>
      </c>
      <c r="AG6" t="str">
        <v>https://www.vilamouraworld.com/real-estate/terracota/</v>
      </c>
      <c r="AH6" t="str">
        <v>Terracota offers a slice of nature in an urban area – sheltered by spectacular pine trees for a feeling of secluded serenity.</v>
      </c>
      <c r="AI6" t="str">
        <v>Gym, Sauna, Co-Work Area, Condo Pool, Private Pools, Outdoor Areas, Smart Home Technology, Underground Parking</v>
      </c>
      <c r="AJ6" t="str">
        <v>Condomínio privado com exteriores de excelência e generosa piscina em estilo praia; Ginásio e spa; Zona de co-work e parque infantil; Rooftops com piscina privativa; Domótica residencial; Excelente price point considerando as amenities disponíveis.</v>
      </c>
      <c r="AK6" t="str">
        <v>Barbosa Guimarães</v>
      </c>
      <c r="AL6" t="str">
        <v>Terracota</v>
      </c>
    </row>
    <row r="7" spans="1:38" x14ac:dyDescent="0.3">
      <c r="A7" s="129" t="str">
        <v>TERRACOTA</v>
      </c>
      <c r="B7" s="129" t="str">
        <v>Vilamoura</v>
      </c>
      <c r="C7" s="110" t="str">
        <v>AD</v>
      </c>
      <c r="D7" s="110" t="str">
        <v>Vilamoura, Algarve</v>
      </c>
      <c r="E7" s="110" t="str">
        <v>T3</v>
      </c>
      <c r="F7" s="110">
        <v>130.91999999999999</v>
      </c>
      <c r="G7" s="110">
        <v>0</v>
      </c>
      <c r="H7" s="110" t="str">
        <v/>
      </c>
      <c r="I7" s="110" t="str">
        <v/>
      </c>
      <c r="J7" s="110">
        <v>0</v>
      </c>
      <c r="K7" s="110">
        <v>0</v>
      </c>
      <c r="L7" s="110">
        <v>0</v>
      </c>
      <c r="M7" s="110">
        <v>0</v>
      </c>
      <c r="N7" s="110">
        <v>0</v>
      </c>
      <c r="O7" s="110">
        <v>130.91999999999999</v>
      </c>
      <c r="P7" s="110">
        <v>0</v>
      </c>
      <c r="Q7" s="110" t="str">
        <v xml:space="preserve">PSPA </v>
      </c>
      <c r="R7" s="110">
        <v>650000</v>
      </c>
      <c r="S7" s="110">
        <v>650000</v>
      </c>
      <c r="T7" s="110">
        <v>650000</v>
      </c>
      <c r="U7" s="110">
        <v>0</v>
      </c>
      <c r="V7" s="110">
        <v>0</v>
      </c>
      <c r="W7" s="110">
        <v>650000</v>
      </c>
      <c r="X7" s="110">
        <v>0</v>
      </c>
      <c r="Y7" s="110">
        <v>650000</v>
      </c>
      <c r="Z7" s="110">
        <v>650000</v>
      </c>
      <c r="AA7" s="110">
        <v>45382</v>
      </c>
      <c r="AB7" s="111" t="str">
        <v>Q1 2024</v>
      </c>
      <c r="AC7">
        <v>46170</v>
      </c>
      <c r="AD7">
        <v>0</v>
      </c>
      <c r="AE7" t="str">
        <v>Ana Damásio</v>
      </c>
      <c r="AF7" t="str">
        <v>Elisabete Figueiredo</v>
      </c>
      <c r="AG7" t="str">
        <v>https://www.vilamouraworld.com/real-estate/terracota/</v>
      </c>
      <c r="AH7" t="str">
        <v>Terracota offers a slice of nature in an urban area – sheltered by spectacular pine trees for a feeling of secluded serenity.</v>
      </c>
      <c r="AI7" t="str">
        <v>Gym, Sauna, Co-Work Area, Condo Pool, Private Pools, Outdoor Areas, Smart Home Technology, Underground Parking</v>
      </c>
      <c r="AJ7" t="str">
        <v>Condomínio privado com exteriores de excelência e generosa piscina em estilo praia; Ginásio e spa; Zona de co-work e parque infantil; Rooftops com piscina privativa; Domótica residencial; Excelente price point considerando as amenities disponíveis.</v>
      </c>
      <c r="AK7" t="str">
        <v>Barbosa Guimarães</v>
      </c>
      <c r="AL7" t="str">
        <v>Terracota</v>
      </c>
    </row>
    <row r="8" spans="1:38" x14ac:dyDescent="0.3">
      <c r="A8" s="129" t="str">
        <v>TERRACOTA</v>
      </c>
      <c r="B8" s="129" t="str">
        <v>Vilamoura</v>
      </c>
      <c r="C8" s="110" t="str">
        <v>AE</v>
      </c>
      <c r="D8" s="110" t="str">
        <v>Vilamoura, Algarve</v>
      </c>
      <c r="E8" s="110" t="str">
        <v>T3</v>
      </c>
      <c r="F8" s="110">
        <v>130.91999999999999</v>
      </c>
      <c r="G8" s="110">
        <v>0</v>
      </c>
      <c r="H8" s="110" t="str">
        <v/>
      </c>
      <c r="I8" s="110" t="str">
        <v/>
      </c>
      <c r="J8" s="110">
        <v>0</v>
      </c>
      <c r="K8" s="110">
        <v>0</v>
      </c>
      <c r="L8" s="110">
        <v>0</v>
      </c>
      <c r="M8" s="110">
        <v>0</v>
      </c>
      <c r="N8" s="110">
        <v>0</v>
      </c>
      <c r="O8" s="110">
        <v>130.91999999999999</v>
      </c>
      <c r="P8" s="110">
        <v>0</v>
      </c>
      <c r="Q8" s="110" t="str">
        <v xml:space="preserve">PSPA </v>
      </c>
      <c r="R8" s="110">
        <v>650000</v>
      </c>
      <c r="S8" s="110">
        <v>650000</v>
      </c>
      <c r="T8" s="110">
        <v>670000</v>
      </c>
      <c r="U8" s="110">
        <v>0</v>
      </c>
      <c r="V8" s="110">
        <v>0</v>
      </c>
      <c r="W8" s="110">
        <v>670000</v>
      </c>
      <c r="X8" s="110">
        <v>0</v>
      </c>
      <c r="Y8" s="110">
        <v>670000</v>
      </c>
      <c r="Z8" s="110">
        <v>670000</v>
      </c>
      <c r="AA8" s="110">
        <v>45382</v>
      </c>
      <c r="AB8" s="111" t="str">
        <v>Q1 2024</v>
      </c>
      <c r="AC8">
        <v>46044</v>
      </c>
      <c r="AD8">
        <v>0</v>
      </c>
      <c r="AE8" t="str">
        <v>Ana Damásio</v>
      </c>
      <c r="AF8" t="str">
        <v>Elisabete Figueiredo</v>
      </c>
      <c r="AG8" t="str">
        <v>https://www.vilamouraworld.com/real-estate/terracota/</v>
      </c>
      <c r="AH8" t="str">
        <v>Terracota offers a slice of nature in an urban area – sheltered by spectacular pine trees for a feeling of secluded serenity.</v>
      </c>
      <c r="AI8" t="str">
        <v>Gym, Sauna, Co-Work Area, Condo Pool, Private Pools, Outdoor Areas, Smart Home Technology, Underground Parking</v>
      </c>
      <c r="AJ8" t="str">
        <v>Condomínio privado com exteriores de excelência e generosa piscina em estilo praia; Ginásio e spa; Zona de co-work e parque infantil; Rooftops com piscina privativa; Domótica residencial; Excelente price point considerando as amenities disponíveis.</v>
      </c>
      <c r="AK8" t="str">
        <v>Barbosa Guimarães</v>
      </c>
      <c r="AL8" t="str">
        <v>Terracota</v>
      </c>
    </row>
    <row r="9" spans="1:38" x14ac:dyDescent="0.3">
      <c r="A9" s="129" t="str">
        <v>TERRACOTA</v>
      </c>
      <c r="B9" s="129" t="str">
        <v>Vilamoura</v>
      </c>
      <c r="C9" s="110" t="str">
        <v>AF</v>
      </c>
      <c r="D9" s="110" t="str">
        <v>Vilamoura, Algarve</v>
      </c>
      <c r="E9" s="110" t="str">
        <v>T3</v>
      </c>
      <c r="F9" s="110">
        <v>130.91999999999999</v>
      </c>
      <c r="G9" s="110">
        <v>0</v>
      </c>
      <c r="H9" s="110" t="str">
        <v/>
      </c>
      <c r="I9" s="110" t="str">
        <v/>
      </c>
      <c r="J9" s="110">
        <v>0</v>
      </c>
      <c r="K9" s="110">
        <v>0</v>
      </c>
      <c r="L9" s="110">
        <v>0</v>
      </c>
      <c r="M9" s="110">
        <v>0</v>
      </c>
      <c r="N9" s="110">
        <v>0</v>
      </c>
      <c r="O9" s="110">
        <v>130.91999999999999</v>
      </c>
      <c r="P9" s="110">
        <v>0</v>
      </c>
      <c r="Q9" s="110" t="str">
        <v xml:space="preserve">PSPA </v>
      </c>
      <c r="R9" s="110">
        <v>650000</v>
      </c>
      <c r="S9" s="110">
        <v>650000</v>
      </c>
      <c r="T9" s="110">
        <v>670000</v>
      </c>
      <c r="U9" s="110">
        <v>0</v>
      </c>
      <c r="V9" s="110">
        <v>0</v>
      </c>
      <c r="W9" s="110">
        <v>670000</v>
      </c>
      <c r="X9" s="110">
        <v>0</v>
      </c>
      <c r="Y9" s="110">
        <v>670000</v>
      </c>
      <c r="Z9" s="110">
        <v>670000</v>
      </c>
      <c r="AA9" s="110">
        <v>45382</v>
      </c>
      <c r="AB9" s="111" t="str">
        <v>Q1 2024</v>
      </c>
      <c r="AC9">
        <v>45943</v>
      </c>
      <c r="AD9">
        <v>0</v>
      </c>
      <c r="AE9" t="str">
        <v>Ana Damásio</v>
      </c>
      <c r="AF9" t="str">
        <v>Elisabete Figueiredo</v>
      </c>
      <c r="AG9" t="str">
        <v>https://www.vilamouraworld.com/real-estate/terracota/</v>
      </c>
      <c r="AH9" t="str">
        <v>Terracota offers a slice of nature in an urban area – sheltered by spectacular pine trees for a feeling of secluded serenity.</v>
      </c>
      <c r="AI9" t="str">
        <v>Gym, Sauna, Co-Work Area, Condo Pool, Private Pools, Outdoor Areas, Smart Home Technology, Underground Parking</v>
      </c>
      <c r="AJ9" t="str">
        <v>Condomínio privado com exteriores de excelência e generosa piscina em estilo praia; Ginásio e spa; Zona de co-work e parque infantil; Rooftops com piscina privativa; Domótica residencial; Excelente price point considerando as amenities disponíveis.</v>
      </c>
      <c r="AK9" t="str">
        <v>Barbosa Guimarães</v>
      </c>
      <c r="AL9" t="str">
        <v>Terracota</v>
      </c>
    </row>
    <row r="10" spans="1:38" x14ac:dyDescent="0.3">
      <c r="A10" s="110" t="str">
        <v>TERRACOTA</v>
      </c>
      <c r="B10" s="110" t="str">
        <v>Vilamoura</v>
      </c>
      <c r="C10" s="110" t="str">
        <v>AH</v>
      </c>
      <c r="D10" s="110" t="str">
        <v>Vilamoura, Algarve</v>
      </c>
      <c r="E10" s="110" t="str">
        <v>T2</v>
      </c>
      <c r="F10" s="110">
        <v>104.7</v>
      </c>
      <c r="G10" s="110">
        <v>0</v>
      </c>
      <c r="H10" s="110" t="str">
        <v/>
      </c>
      <c r="I10" s="110" t="str">
        <v/>
      </c>
      <c r="J10" s="110">
        <v>0</v>
      </c>
      <c r="K10" s="110">
        <v>0</v>
      </c>
      <c r="L10" s="110">
        <v>0</v>
      </c>
      <c r="M10" s="110">
        <v>0</v>
      </c>
      <c r="N10" s="110">
        <v>0</v>
      </c>
      <c r="O10" s="110">
        <v>104.7</v>
      </c>
      <c r="P10" s="110">
        <v>0</v>
      </c>
      <c r="Q10" s="110" t="str">
        <v xml:space="preserve">PSPA </v>
      </c>
      <c r="R10" s="110">
        <v>550000</v>
      </c>
      <c r="S10" s="110">
        <v>550000</v>
      </c>
      <c r="T10" s="110">
        <v>550000</v>
      </c>
      <c r="U10" s="110">
        <v>0</v>
      </c>
      <c r="V10" s="110">
        <v>0</v>
      </c>
      <c r="W10" s="110">
        <v>550000</v>
      </c>
      <c r="X10" s="110">
        <v>0</v>
      </c>
      <c r="Y10" s="110">
        <v>550000</v>
      </c>
      <c r="Z10" s="110">
        <v>550000</v>
      </c>
      <c r="AA10" s="110">
        <v>45382</v>
      </c>
      <c r="AB10" s="111" t="str">
        <v>Q1 2024</v>
      </c>
      <c r="AC10">
        <v>45905</v>
      </c>
      <c r="AD10">
        <v>0</v>
      </c>
      <c r="AE10" t="str">
        <v>Ana Damásio</v>
      </c>
      <c r="AF10" t="str">
        <v>Elisabete Figueiredo</v>
      </c>
      <c r="AG10" t="str">
        <v>https://www.vilamouraworld.com/real-estate/terracota/</v>
      </c>
      <c r="AH10" t="str">
        <v>Terracota offers a slice of nature in an urban area – sheltered by spectacular pine trees for a feeling of secluded serenity.</v>
      </c>
      <c r="AI10" t="str">
        <v>Gym, Sauna, Co-Work Area, Condo Pool, Private Pools, Outdoor Areas, Smart Home Technology, Underground Parking</v>
      </c>
      <c r="AJ10" t="str">
        <v>Condomínio privado com exteriores de excelência e generosa piscina em estilo praia; Ginásio e spa; Zona de co-work e parque infantil; Rooftops com piscina privativa; Domótica residencial; Excelente price point considerando as amenities disponíveis.</v>
      </c>
      <c r="AK10" t="str">
        <v>Barbosa Guimarães</v>
      </c>
      <c r="AL10" t="str">
        <v>Terracota</v>
      </c>
    </row>
    <row r="11" spans="1:38" x14ac:dyDescent="0.3">
      <c r="A11" s="110" t="str">
        <v>TERRACOTA</v>
      </c>
      <c r="B11" s="110" t="str">
        <v>Vilamoura</v>
      </c>
      <c r="C11" s="110" t="str">
        <v>AI</v>
      </c>
      <c r="D11" s="110" t="str">
        <v>Vilamoura, Algarve</v>
      </c>
      <c r="E11" s="110" t="str">
        <v>T2</v>
      </c>
      <c r="F11" s="110">
        <v>104.7</v>
      </c>
      <c r="G11" s="110">
        <v>0</v>
      </c>
      <c r="H11" s="110" t="str">
        <v/>
      </c>
      <c r="I11" s="110" t="str">
        <v/>
      </c>
      <c r="J11" s="110">
        <v>0</v>
      </c>
      <c r="K11" s="110">
        <v>0</v>
      </c>
      <c r="L11" s="110">
        <v>0</v>
      </c>
      <c r="M11" s="110">
        <v>0</v>
      </c>
      <c r="N11" s="110">
        <v>0</v>
      </c>
      <c r="O11" s="110">
        <v>104.7</v>
      </c>
      <c r="P11" s="110">
        <v>0</v>
      </c>
      <c r="Q11" s="110" t="str">
        <v xml:space="preserve">PSPA </v>
      </c>
      <c r="R11" s="110">
        <v>550000</v>
      </c>
      <c r="S11" s="110">
        <v>550000</v>
      </c>
      <c r="T11" s="110">
        <v>550000</v>
      </c>
      <c r="U11" s="110">
        <v>0</v>
      </c>
      <c r="V11" s="110">
        <v>0</v>
      </c>
      <c r="W11" s="110">
        <v>550000</v>
      </c>
      <c r="X11" s="110">
        <v>0</v>
      </c>
      <c r="Y11" s="110">
        <v>550000</v>
      </c>
      <c r="Z11" s="110">
        <v>550000</v>
      </c>
      <c r="AA11" s="110">
        <v>45382</v>
      </c>
      <c r="AB11" s="111" t="str">
        <v>Q1 2024</v>
      </c>
      <c r="AC11">
        <v>45928</v>
      </c>
      <c r="AD11">
        <v>0</v>
      </c>
      <c r="AE11" t="str">
        <v>Ana Damásio</v>
      </c>
      <c r="AF11" t="str">
        <v>Elisabete Figueiredo</v>
      </c>
      <c r="AG11" t="str">
        <v>https://www.vilamouraworld.com/real-estate/terracota/</v>
      </c>
      <c r="AH11" t="str">
        <v>Terracota offers a slice of nature in an urban area – sheltered by spectacular pine trees for a feeling of secluded serenity.</v>
      </c>
      <c r="AI11" t="str">
        <v>Gym, Sauna, Co-Work Area, Condo Pool, Private Pools, Outdoor Areas, Smart Home Technology, Underground Parking</v>
      </c>
      <c r="AJ11" t="str">
        <v>Condomínio privado com exteriores de excelência e generosa piscina em estilo praia; Ginásio e spa; Zona de co-work e parque infantil; Rooftops com piscina privativa; Domótica residencial; Excelente price point considerando as amenities disponíveis.</v>
      </c>
      <c r="AK11" t="str">
        <v>Barbosa Guimarães</v>
      </c>
      <c r="AL11" t="str">
        <v>Terracota</v>
      </c>
    </row>
    <row r="12" spans="1:38" x14ac:dyDescent="0.3">
      <c r="A12" s="110" t="str">
        <v>TERRACOTA</v>
      </c>
      <c r="B12" s="110" t="str">
        <v>Vilamoura</v>
      </c>
      <c r="C12" s="110" t="str">
        <v>AJ</v>
      </c>
      <c r="D12" s="110" t="str">
        <v>Vilamoura, Algarve</v>
      </c>
      <c r="E12" s="110" t="str">
        <v>T2</v>
      </c>
      <c r="F12" s="110">
        <v>104.7</v>
      </c>
      <c r="G12" s="110">
        <v>0</v>
      </c>
      <c r="H12" s="110" t="str">
        <v/>
      </c>
      <c r="I12" s="110" t="str">
        <v/>
      </c>
      <c r="J12" s="110">
        <v>0</v>
      </c>
      <c r="K12" s="110">
        <v>0</v>
      </c>
      <c r="L12" s="110">
        <v>0</v>
      </c>
      <c r="M12" s="110">
        <v>0</v>
      </c>
      <c r="N12" s="110">
        <v>0</v>
      </c>
      <c r="O12" s="110">
        <v>104.7</v>
      </c>
      <c r="P12" s="110">
        <v>0</v>
      </c>
      <c r="Q12" s="110" t="str">
        <v xml:space="preserve">PSPA </v>
      </c>
      <c r="R12" s="110">
        <v>550000</v>
      </c>
      <c r="S12" s="110">
        <v>550000</v>
      </c>
      <c r="T12" s="110">
        <v>550000</v>
      </c>
      <c r="U12" s="110">
        <v>0</v>
      </c>
      <c r="V12" s="110">
        <v>0</v>
      </c>
      <c r="W12" s="110">
        <v>550000</v>
      </c>
      <c r="X12" s="110">
        <v>0</v>
      </c>
      <c r="Y12" s="110">
        <v>550000</v>
      </c>
      <c r="Z12" s="110">
        <v>550000</v>
      </c>
      <c r="AA12" s="110">
        <v>45382</v>
      </c>
      <c r="AB12" s="111" t="str">
        <v>Q1 2024</v>
      </c>
      <c r="AC12">
        <v>45973</v>
      </c>
      <c r="AD12">
        <v>0</v>
      </c>
      <c r="AE12" t="str">
        <v>Ana Damásio</v>
      </c>
      <c r="AF12" t="str">
        <v>Elisabete Figueiredo</v>
      </c>
      <c r="AG12" t="str">
        <v>https://www.vilamouraworld.com/real-estate/terracota/</v>
      </c>
      <c r="AH12" t="str">
        <v>Terracota offers a slice of nature in an urban area – sheltered by spectacular pine trees for a feeling of secluded serenity.</v>
      </c>
      <c r="AI12" t="str">
        <v>Gym, Sauna, Co-Work Area, Condo Pool, Private Pools, Outdoor Areas, Smart Home Technology, Underground Parking</v>
      </c>
      <c r="AJ12" t="str">
        <v>Condomínio privado com exteriores de excelência e generosa piscina em estilo praia; Ginásio e spa; Zona de co-work e parque infantil; Rooftops com piscina privativa; Domótica residencial; Excelente price point considerando as amenities disponíveis.</v>
      </c>
      <c r="AK12" t="str">
        <v>Barbosa Guimarães</v>
      </c>
      <c r="AL12" t="str">
        <v>Terracota</v>
      </c>
    </row>
    <row r="13" spans="1:38" x14ac:dyDescent="0.3">
      <c r="A13" s="110" t="str">
        <v>TERRACOTA</v>
      </c>
      <c r="B13" s="110" t="str">
        <v>Vilamoura</v>
      </c>
      <c r="C13" s="110" t="str">
        <v>AK</v>
      </c>
      <c r="D13" s="110" t="str">
        <v>Vilamoura, Algarve</v>
      </c>
      <c r="E13" s="110" t="str">
        <v>T2</v>
      </c>
      <c r="F13" s="110">
        <v>104.7</v>
      </c>
      <c r="G13" s="110">
        <v>0</v>
      </c>
      <c r="H13" s="110" t="str">
        <v/>
      </c>
      <c r="I13" s="110" t="str">
        <v/>
      </c>
      <c r="J13" s="110">
        <v>0</v>
      </c>
      <c r="K13" s="110">
        <v>0</v>
      </c>
      <c r="L13" s="110">
        <v>0</v>
      </c>
      <c r="M13" s="110">
        <v>0</v>
      </c>
      <c r="N13" s="110">
        <v>0</v>
      </c>
      <c r="O13" s="110">
        <v>104.7</v>
      </c>
      <c r="P13" s="110">
        <v>0</v>
      </c>
      <c r="Q13" s="110" t="str">
        <v xml:space="preserve">PSPA </v>
      </c>
      <c r="R13" s="110">
        <v>550000</v>
      </c>
      <c r="S13" s="110">
        <v>550000</v>
      </c>
      <c r="T13" s="110">
        <v>550000</v>
      </c>
      <c r="U13" s="110">
        <v>0</v>
      </c>
      <c r="V13" s="110">
        <v>0</v>
      </c>
      <c r="W13" s="110">
        <v>550000</v>
      </c>
      <c r="X13" s="110">
        <v>0</v>
      </c>
      <c r="Y13" s="110">
        <v>550000</v>
      </c>
      <c r="Z13" s="110">
        <v>550000</v>
      </c>
      <c r="AA13" s="110">
        <v>45382</v>
      </c>
      <c r="AB13" s="111" t="str">
        <v>Q1 2024</v>
      </c>
      <c r="AC13">
        <v>45895</v>
      </c>
      <c r="AD13">
        <v>0</v>
      </c>
      <c r="AE13" t="str">
        <v>Ana Damásio</v>
      </c>
      <c r="AF13" t="str">
        <v>Elisabete Figueiredo</v>
      </c>
      <c r="AG13" t="str">
        <v>https://www.vilamouraworld.com/real-estate/terracota/</v>
      </c>
      <c r="AH13" t="str">
        <v>Terracota offers a slice of nature in an urban area – sheltered by spectacular pine trees for a feeling of secluded serenity.</v>
      </c>
      <c r="AI13" t="str">
        <v>Gym, Sauna, Co-Work Area, Condo Pool, Private Pools, Outdoor Areas, Smart Home Technology, Underground Parking</v>
      </c>
      <c r="AJ13" t="str">
        <v>Condomínio privado com exteriores de excelência e generosa piscina em estilo praia; Ginásio e spa; Zona de co-work e parque infantil; Rooftops com piscina privativa; Domótica residencial; Excelente price point considerando as amenities disponíveis.</v>
      </c>
      <c r="AK13" t="str">
        <v>Barbosa Guimarães</v>
      </c>
      <c r="AL13" t="str">
        <v>Terracota</v>
      </c>
    </row>
    <row r="14" spans="1:38" x14ac:dyDescent="0.3">
      <c r="A14" s="110" t="str">
        <v>TERRACOTA</v>
      </c>
      <c r="B14" s="110" t="str">
        <v>Vilamoura</v>
      </c>
      <c r="C14" s="110" t="str">
        <v>AL</v>
      </c>
      <c r="D14" s="110" t="str">
        <v>Vilamoura, Algarve</v>
      </c>
      <c r="E14" s="110" t="str">
        <v>T2</v>
      </c>
      <c r="F14" s="110">
        <v>104.7</v>
      </c>
      <c r="G14" s="110">
        <v>0</v>
      </c>
      <c r="H14" s="110" t="str">
        <v/>
      </c>
      <c r="I14" s="110" t="str">
        <v/>
      </c>
      <c r="J14" s="110">
        <v>0</v>
      </c>
      <c r="K14" s="110">
        <v>0</v>
      </c>
      <c r="L14" s="110">
        <v>0</v>
      </c>
      <c r="M14" s="110">
        <v>0</v>
      </c>
      <c r="N14" s="110">
        <v>0</v>
      </c>
      <c r="O14" s="110">
        <v>104.7</v>
      </c>
      <c r="P14" s="110">
        <v>0</v>
      </c>
      <c r="Q14" s="110" t="str">
        <v xml:space="preserve">PSPA </v>
      </c>
      <c r="R14" s="110">
        <v>540000</v>
      </c>
      <c r="S14" s="110">
        <v>540000</v>
      </c>
      <c r="T14" s="110">
        <v>540000</v>
      </c>
      <c r="U14" s="110">
        <v>0</v>
      </c>
      <c r="V14" s="110">
        <v>0</v>
      </c>
      <c r="W14" s="110">
        <v>540000</v>
      </c>
      <c r="X14" s="110">
        <v>0</v>
      </c>
      <c r="Y14" s="110">
        <v>540000</v>
      </c>
      <c r="Z14" s="110">
        <v>540000</v>
      </c>
      <c r="AA14" s="110">
        <v>45382</v>
      </c>
      <c r="AB14" s="111" t="str">
        <v>Q1 2024</v>
      </c>
      <c r="AC14">
        <v>45897</v>
      </c>
      <c r="AD14">
        <v>0</v>
      </c>
      <c r="AE14" t="str">
        <v>Ana Damásio</v>
      </c>
      <c r="AF14" t="str">
        <v>Elisabete Figueiredo</v>
      </c>
      <c r="AG14" t="str">
        <v>https://www.vilamouraworld.com/real-estate/terracota/</v>
      </c>
      <c r="AH14" t="str">
        <v>Terracota offers a slice of nature in an urban area – sheltered by spectacular pine trees for a feeling of secluded serenity.</v>
      </c>
      <c r="AI14" t="str">
        <v>Gym, Sauna, Co-Work Area, Condo Pool, Private Pools, Outdoor Areas, Smart Home Technology, Underground Parking</v>
      </c>
      <c r="AJ14" t="str">
        <v>Condomínio privado com exteriores de excelência e generosa piscina em estilo praia; Ginásio e spa; Zona de co-work e parque infantil; Rooftops com piscina privativa; Domótica residencial; Excelente price point considerando as amenities disponíveis.</v>
      </c>
      <c r="AK14" t="str">
        <v>Barbosa Guimarães</v>
      </c>
      <c r="AL14" t="str">
        <v>Terracota</v>
      </c>
    </row>
    <row r="15" spans="1:38" x14ac:dyDescent="0.3">
      <c r="A15" s="110" t="str">
        <v>TERRACOTA</v>
      </c>
      <c r="B15" s="110" t="str">
        <v>Vilamoura</v>
      </c>
      <c r="C15" s="110" t="str">
        <v>AM</v>
      </c>
      <c r="D15" s="110" t="str">
        <v>Vilamoura, Algarve</v>
      </c>
      <c r="E15" s="110" t="str">
        <v>T2</v>
      </c>
      <c r="F15" s="110">
        <v>104.7</v>
      </c>
      <c r="G15" s="110">
        <v>0</v>
      </c>
      <c r="H15" s="110" t="str">
        <v/>
      </c>
      <c r="I15" s="110" t="str">
        <v/>
      </c>
      <c r="J15" s="110">
        <v>0</v>
      </c>
      <c r="K15" s="110">
        <v>0</v>
      </c>
      <c r="L15" s="110">
        <v>0</v>
      </c>
      <c r="M15" s="110">
        <v>0</v>
      </c>
      <c r="N15" s="110">
        <v>0</v>
      </c>
      <c r="O15" s="110">
        <v>104.7</v>
      </c>
      <c r="P15" s="110">
        <v>0</v>
      </c>
      <c r="Q15" s="110" t="str">
        <v xml:space="preserve">PSPA </v>
      </c>
      <c r="R15" s="110">
        <v>550000</v>
      </c>
      <c r="S15" s="110">
        <v>550000</v>
      </c>
      <c r="T15" s="110">
        <v>550000</v>
      </c>
      <c r="U15" s="110">
        <v>0</v>
      </c>
      <c r="V15" s="110">
        <v>0</v>
      </c>
      <c r="W15" s="110">
        <v>550000</v>
      </c>
      <c r="X15" s="110">
        <v>0</v>
      </c>
      <c r="Y15" s="110">
        <v>550000</v>
      </c>
      <c r="Z15" s="110">
        <v>550000</v>
      </c>
      <c r="AA15" s="110">
        <v>45382</v>
      </c>
      <c r="AB15" s="111" t="str">
        <v>Q1 2024</v>
      </c>
      <c r="AC15">
        <v>45931</v>
      </c>
      <c r="AD15">
        <v>0</v>
      </c>
      <c r="AE15" t="str">
        <v>Ana Damásio</v>
      </c>
      <c r="AF15" t="str">
        <v>Elisabete Figueiredo</v>
      </c>
      <c r="AG15" t="str">
        <v>https://www.vilamouraworld.com/real-estate/terracota/</v>
      </c>
      <c r="AH15" t="str">
        <v>Terracota offers a slice of nature in an urban area – sheltered by spectacular pine trees for a feeling of secluded serenity.</v>
      </c>
      <c r="AI15" t="str">
        <v>Gym, Sauna, Co-Work Area, Condo Pool, Private Pools, Outdoor Areas, Smart Home Technology, Underground Parking</v>
      </c>
      <c r="AJ15" t="str">
        <v>Condomínio privado com exteriores de excelência e generosa piscina em estilo praia; Ginásio e spa; Zona de co-work e parque infantil; Rooftops com piscina privativa; Domótica residencial; Excelente price point considerando as amenities disponíveis.</v>
      </c>
      <c r="AK15" t="str">
        <v>Barbosa Guimarães</v>
      </c>
      <c r="AL15" t="str">
        <v>Terracota</v>
      </c>
    </row>
    <row r="16" spans="1:38" x14ac:dyDescent="0.3">
      <c r="A16" s="110" t="str">
        <v>TERRACOTA</v>
      </c>
      <c r="B16" s="110" t="str">
        <v>Vilamoura</v>
      </c>
      <c r="C16" s="110" t="str">
        <v>AO</v>
      </c>
      <c r="D16" s="110" t="str">
        <v>Vilamoura, Algarve</v>
      </c>
      <c r="E16" s="110" t="str">
        <v>T2</v>
      </c>
      <c r="F16" s="110">
        <v>104.7</v>
      </c>
      <c r="G16" s="110">
        <v>0</v>
      </c>
      <c r="H16" s="110" t="str">
        <v/>
      </c>
      <c r="I16" s="110" t="str">
        <v/>
      </c>
      <c r="J16" s="110">
        <v>0</v>
      </c>
      <c r="K16" s="110">
        <v>0</v>
      </c>
      <c r="L16" s="110">
        <v>0</v>
      </c>
      <c r="M16" s="110">
        <v>0</v>
      </c>
      <c r="N16" s="110">
        <v>0</v>
      </c>
      <c r="O16" s="110">
        <v>104.7</v>
      </c>
      <c r="P16" s="110">
        <v>0</v>
      </c>
      <c r="Q16" s="110" t="str">
        <v xml:space="preserve">PSPA </v>
      </c>
      <c r="R16" s="110">
        <v>550000</v>
      </c>
      <c r="S16" s="110">
        <v>550000</v>
      </c>
      <c r="T16" s="110">
        <v>550000</v>
      </c>
      <c r="U16" s="110">
        <v>0</v>
      </c>
      <c r="V16" s="110">
        <v>0</v>
      </c>
      <c r="W16" s="110">
        <v>550000</v>
      </c>
      <c r="X16" s="110">
        <v>0</v>
      </c>
      <c r="Y16" s="110">
        <v>550000</v>
      </c>
      <c r="Z16" s="110">
        <v>550000</v>
      </c>
      <c r="AA16" s="110">
        <v>45382</v>
      </c>
      <c r="AB16" s="111" t="str">
        <v>Q1 2024</v>
      </c>
      <c r="AC16">
        <v>45833</v>
      </c>
      <c r="AD16">
        <v>0</v>
      </c>
      <c r="AE16" t="str">
        <v>Ana Damásio</v>
      </c>
      <c r="AF16" t="str">
        <v>Elisabete Figueiredo</v>
      </c>
      <c r="AG16" t="str">
        <v>https://www.vilamouraworld.com/real-estate/terracota/</v>
      </c>
      <c r="AH16" t="str">
        <v>Terracota offers a slice of nature in an urban area – sheltered by spectacular pine trees for a feeling of secluded serenity.</v>
      </c>
      <c r="AI16" t="str">
        <v>Gym, Sauna, Co-Work Area, Condo Pool, Private Pools, Outdoor Areas, Smart Home Technology, Underground Parking</v>
      </c>
      <c r="AJ16" t="str">
        <v>Condomínio privado com exteriores de excelência e generosa piscina em estilo praia; Ginásio e spa; Zona de co-work e parque infantil; Rooftops com piscina privativa; Domótica residencial; Excelente price point considerando as amenities disponíveis.</v>
      </c>
      <c r="AK16" t="str">
        <v>Barbosa Guimarães</v>
      </c>
      <c r="AL16" t="str">
        <v>Terracota</v>
      </c>
    </row>
    <row r="17" spans="1:38" x14ac:dyDescent="0.3">
      <c r="A17" s="110" t="str">
        <v>TERRACOTA</v>
      </c>
      <c r="B17" s="110" t="str">
        <v>Vilamoura</v>
      </c>
      <c r="C17" s="110" t="str">
        <v>AP</v>
      </c>
      <c r="D17" s="110" t="str">
        <v>Vilamoura, Algarve</v>
      </c>
      <c r="E17" s="110" t="str">
        <v>T2</v>
      </c>
      <c r="F17" s="110">
        <v>104.7</v>
      </c>
      <c r="G17" s="110">
        <v>0</v>
      </c>
      <c r="H17" s="110" t="str">
        <v/>
      </c>
      <c r="I17" s="110" t="str">
        <v/>
      </c>
      <c r="J17" s="110">
        <v>0</v>
      </c>
      <c r="K17" s="110">
        <v>0</v>
      </c>
      <c r="L17" s="110">
        <v>0</v>
      </c>
      <c r="M17" s="110">
        <v>0</v>
      </c>
      <c r="N17" s="110">
        <v>0</v>
      </c>
      <c r="O17" s="110">
        <v>104.7</v>
      </c>
      <c r="P17" s="110">
        <v>0</v>
      </c>
      <c r="Q17" s="110" t="str">
        <v xml:space="preserve">PSPA </v>
      </c>
      <c r="R17" s="110">
        <v>540000</v>
      </c>
      <c r="S17" s="110">
        <v>540000</v>
      </c>
      <c r="T17" s="110">
        <v>555000</v>
      </c>
      <c r="U17" s="110">
        <v>0</v>
      </c>
      <c r="V17" s="110">
        <v>0</v>
      </c>
      <c r="W17" s="110">
        <v>555000</v>
      </c>
      <c r="X17" s="110">
        <v>0</v>
      </c>
      <c r="Y17" s="110">
        <v>555000</v>
      </c>
      <c r="Z17" s="110">
        <v>555000</v>
      </c>
      <c r="AA17" s="110">
        <v>45382</v>
      </c>
      <c r="AB17" s="111" t="str">
        <v>Q1 2024</v>
      </c>
      <c r="AC17">
        <v>45954</v>
      </c>
      <c r="AD17">
        <v>0</v>
      </c>
      <c r="AE17" t="str">
        <v>Ana Damásio</v>
      </c>
      <c r="AF17" t="str">
        <v>Elisabete Figueiredo</v>
      </c>
      <c r="AG17" t="str">
        <v>https://www.vilamouraworld.com/real-estate/terracota/</v>
      </c>
      <c r="AH17" t="str">
        <v>Terracota offers a slice of nature in an urban area – sheltered by spectacular pine trees for a feeling of secluded serenity.</v>
      </c>
      <c r="AI17" t="str">
        <v>Gym, Sauna, Co-Work Area, Condo Pool, Private Pools, Outdoor Areas, Smart Home Technology, Underground Parking</v>
      </c>
      <c r="AJ17" t="str">
        <v>Condomínio privado com exteriores de excelência e generosa piscina em estilo praia; Ginásio e spa; Zona de co-work e parque infantil; Rooftops com piscina privativa; Domótica residencial; Excelente price point considerando as amenities disponíveis.</v>
      </c>
      <c r="AK17" t="str">
        <v>Barbosa Guimarães</v>
      </c>
      <c r="AL17" t="str">
        <v>Terracota</v>
      </c>
    </row>
    <row r="18" spans="1:38" x14ac:dyDescent="0.3">
      <c r="A18" s="110" t="str">
        <v>TERRACOTA</v>
      </c>
      <c r="B18" s="110" t="str">
        <v>Vilamoura</v>
      </c>
      <c r="C18" s="110" t="str">
        <v>AQ</v>
      </c>
      <c r="D18" s="110" t="str">
        <v>Vilamoura, Algarve</v>
      </c>
      <c r="E18" s="110" t="str">
        <v>T2</v>
      </c>
      <c r="F18" s="110">
        <v>104.7</v>
      </c>
      <c r="G18" s="110">
        <v>0</v>
      </c>
      <c r="H18" s="110" t="str">
        <v/>
      </c>
      <c r="I18" s="110" t="str">
        <v/>
      </c>
      <c r="J18" s="110">
        <v>0</v>
      </c>
      <c r="K18" s="110">
        <v>0</v>
      </c>
      <c r="L18" s="110">
        <v>0</v>
      </c>
      <c r="M18" s="110">
        <v>0</v>
      </c>
      <c r="N18" s="110">
        <v>0</v>
      </c>
      <c r="O18" s="110">
        <v>104.7</v>
      </c>
      <c r="P18" s="110">
        <v>0</v>
      </c>
      <c r="Q18" s="110" t="str">
        <v xml:space="preserve">PSPA </v>
      </c>
      <c r="R18" s="110">
        <v>540000</v>
      </c>
      <c r="S18" s="110">
        <v>540000</v>
      </c>
      <c r="T18" s="110">
        <v>540000</v>
      </c>
      <c r="U18" s="110">
        <v>0</v>
      </c>
      <c r="V18" s="110">
        <v>0</v>
      </c>
      <c r="W18" s="110">
        <v>540000</v>
      </c>
      <c r="X18" s="110">
        <v>0</v>
      </c>
      <c r="Y18" s="110">
        <v>540000</v>
      </c>
      <c r="Z18" s="110">
        <v>540000</v>
      </c>
      <c r="AA18" s="110">
        <v>45382</v>
      </c>
      <c r="AB18" s="111" t="str">
        <v>Q1 2024</v>
      </c>
      <c r="AC18">
        <v>45954</v>
      </c>
      <c r="AD18">
        <v>0</v>
      </c>
      <c r="AE18" t="str">
        <v>Ana Damásio</v>
      </c>
      <c r="AF18" t="str">
        <v>Elisabete Figueiredo</v>
      </c>
      <c r="AG18" t="str">
        <v>https://www.vilamouraworld.com/real-estate/terracota/</v>
      </c>
      <c r="AH18" t="str">
        <v>Terracota offers a slice of nature in an urban area – sheltered by spectacular pine trees for a feeling of secluded serenity.</v>
      </c>
      <c r="AI18" t="str">
        <v>Gym, Sauna, Co-Work Area, Condo Pool, Private Pools, Outdoor Areas, Smart Home Technology, Underground Parking</v>
      </c>
      <c r="AJ18" t="str">
        <v>Condomínio privado com exteriores de excelência e generosa piscina em estilo praia; Ginásio e spa; Zona de co-work e parque infantil; Rooftops com piscina privativa; Domótica residencial; Excelente price point considerando as amenities disponíveis.</v>
      </c>
      <c r="AK18" t="str">
        <v>Barbosa Guimarães</v>
      </c>
      <c r="AL18" t="str">
        <v>Terracota</v>
      </c>
    </row>
    <row r="19" spans="1:38" x14ac:dyDescent="0.3">
      <c r="A19" s="110" t="str">
        <v>TERRACOTA</v>
      </c>
      <c r="B19" s="110" t="str">
        <v>Vilamoura</v>
      </c>
      <c r="C19" s="110" t="str">
        <v>AR</v>
      </c>
      <c r="D19" s="110" t="str">
        <v>Vilamoura, Algarve</v>
      </c>
      <c r="E19" s="110" t="str">
        <v>T2</v>
      </c>
      <c r="F19" s="110">
        <v>104.7</v>
      </c>
      <c r="G19" s="110">
        <v>0</v>
      </c>
      <c r="H19" s="110" t="str">
        <v/>
      </c>
      <c r="I19" s="110" t="str">
        <v/>
      </c>
      <c r="J19" s="110">
        <v>0</v>
      </c>
      <c r="K19" s="110">
        <v>0</v>
      </c>
      <c r="L19" s="110">
        <v>0</v>
      </c>
      <c r="M19" s="110">
        <v>0</v>
      </c>
      <c r="N19" s="110">
        <v>0</v>
      </c>
      <c r="O19" s="110">
        <v>104.7</v>
      </c>
      <c r="P19" s="110">
        <v>0</v>
      </c>
      <c r="Q19" s="110" t="str">
        <v xml:space="preserve">PSPA </v>
      </c>
      <c r="R19" s="110">
        <v>550000</v>
      </c>
      <c r="S19" s="110">
        <v>550000</v>
      </c>
      <c r="T19" s="110">
        <v>565000</v>
      </c>
      <c r="U19" s="110">
        <v>0</v>
      </c>
      <c r="V19" s="110">
        <v>0</v>
      </c>
      <c r="W19" s="110">
        <v>565000</v>
      </c>
      <c r="X19" s="110">
        <v>0</v>
      </c>
      <c r="Y19" s="110">
        <v>565000</v>
      </c>
      <c r="Z19" s="110">
        <v>565000</v>
      </c>
      <c r="AA19" s="110">
        <v>45382</v>
      </c>
      <c r="AB19" s="111" t="str">
        <v>Q1 2024</v>
      </c>
      <c r="AC19">
        <v>46072</v>
      </c>
      <c r="AD19">
        <v>0</v>
      </c>
      <c r="AE19" t="str">
        <v>Ana Damásio</v>
      </c>
      <c r="AF19" t="str">
        <v>Elisabete Figueiredo</v>
      </c>
      <c r="AG19" t="str">
        <v>https://www.vilamouraworld.com/real-estate/terracota/</v>
      </c>
      <c r="AH19" t="str">
        <v>Terracota offers a slice of nature in an urban area – sheltered by spectacular pine trees for a feeling of secluded serenity.</v>
      </c>
      <c r="AI19" t="str">
        <v>Gym, Sauna, Co-Work Area, Condo Pool, Private Pools, Outdoor Areas, Smart Home Technology, Underground Parking</v>
      </c>
      <c r="AJ19" t="str">
        <v>Condomínio privado com exteriores de excelência e generosa piscina em estilo praia; Ginásio e spa; Zona de co-work e parque infantil; Rooftops com piscina privativa; Domótica residencial; Excelente price point considerando as amenities disponíveis.</v>
      </c>
      <c r="AK19" t="str">
        <v>Barbosa Guimarães</v>
      </c>
      <c r="AL19" t="str">
        <v>Terracota</v>
      </c>
    </row>
    <row r="20" spans="1:38" x14ac:dyDescent="0.3">
      <c r="A20" s="110" t="str">
        <v>TERRACOTA</v>
      </c>
      <c r="B20" s="110" t="str">
        <v>Vilamoura</v>
      </c>
      <c r="C20" s="110" t="str">
        <v>AS</v>
      </c>
      <c r="D20" s="110" t="str">
        <v>Vilamoura, Algarve</v>
      </c>
      <c r="E20" s="110" t="str">
        <v>T2</v>
      </c>
      <c r="F20" s="110">
        <v>104.7</v>
      </c>
      <c r="G20" s="110">
        <v>0</v>
      </c>
      <c r="H20" s="110" t="str">
        <v/>
      </c>
      <c r="I20" s="110" t="str">
        <v/>
      </c>
      <c r="J20" s="110">
        <v>0</v>
      </c>
      <c r="K20" s="110">
        <v>0</v>
      </c>
      <c r="L20" s="110">
        <v>0</v>
      </c>
      <c r="M20" s="110">
        <v>0</v>
      </c>
      <c r="N20" s="110">
        <v>0</v>
      </c>
      <c r="O20" s="110">
        <v>104.7</v>
      </c>
      <c r="P20" s="110">
        <v>0</v>
      </c>
      <c r="Q20" s="110" t="str">
        <v xml:space="preserve">PSPA </v>
      </c>
      <c r="R20" s="110">
        <v>550000</v>
      </c>
      <c r="S20" s="110">
        <v>550000</v>
      </c>
      <c r="T20" s="110">
        <v>565000</v>
      </c>
      <c r="U20" s="110">
        <v>0</v>
      </c>
      <c r="V20" s="110">
        <v>0</v>
      </c>
      <c r="W20" s="110">
        <v>565000</v>
      </c>
      <c r="X20" s="110">
        <v>0</v>
      </c>
      <c r="Y20" s="110">
        <v>565000</v>
      </c>
      <c r="Z20" s="110">
        <v>565000</v>
      </c>
      <c r="AA20" s="110">
        <v>45382</v>
      </c>
      <c r="AB20" s="111" t="str">
        <v>Q1 2024</v>
      </c>
      <c r="AC20">
        <v>45940</v>
      </c>
      <c r="AD20">
        <v>0</v>
      </c>
      <c r="AE20" t="str">
        <v>Ana Damásio</v>
      </c>
      <c r="AF20" t="str">
        <v>Elisabete Figueiredo</v>
      </c>
      <c r="AG20" t="str">
        <v>https://www.vilamouraworld.com/real-estate/terracota/</v>
      </c>
      <c r="AH20" t="str">
        <v>Terracota offers a slice of nature in an urban area – sheltered by spectacular pine trees for a feeling of secluded serenity.</v>
      </c>
      <c r="AI20" t="str">
        <v>Gym, Sauna, Co-Work Area, Condo Pool, Private Pools, Outdoor Areas, Smart Home Technology, Underground Parking</v>
      </c>
      <c r="AJ20" t="str">
        <v>Condomínio privado com exteriores de excelência e generosa piscina em estilo praia; Ginásio e spa; Zona de co-work e parque infantil; Rooftops com piscina privativa; Domótica residencial; Excelente price point considerando as amenities disponíveis.</v>
      </c>
      <c r="AK20" t="str">
        <v>Barbosa Guimarães</v>
      </c>
      <c r="AL20" t="str">
        <v>Terracota</v>
      </c>
    </row>
    <row r="21" spans="1:38" x14ac:dyDescent="0.3">
      <c r="A21" s="110" t="str">
        <v>TERRACOTA</v>
      </c>
      <c r="B21" s="110" t="str">
        <v>Vilamoura</v>
      </c>
      <c r="C21" s="110" t="str">
        <v>AT</v>
      </c>
      <c r="D21" s="110" t="str">
        <v>Vilamoura, Algarve</v>
      </c>
      <c r="E21" s="110" t="str">
        <v>T2</v>
      </c>
      <c r="F21" s="110">
        <v>104.7</v>
      </c>
      <c r="G21" s="110">
        <v>0</v>
      </c>
      <c r="H21" s="110" t="str">
        <v/>
      </c>
      <c r="I21" s="110" t="str">
        <v/>
      </c>
      <c r="J21" s="110">
        <v>0</v>
      </c>
      <c r="K21" s="110">
        <v>0</v>
      </c>
      <c r="L21" s="110">
        <v>0</v>
      </c>
      <c r="M21" s="110">
        <v>0</v>
      </c>
      <c r="N21" s="110">
        <v>0</v>
      </c>
      <c r="O21" s="110">
        <v>104.7</v>
      </c>
      <c r="P21" s="110">
        <v>0</v>
      </c>
      <c r="Q21" s="110" t="str">
        <v xml:space="preserve">PSPA </v>
      </c>
      <c r="R21" s="110">
        <v>540000</v>
      </c>
      <c r="S21" s="110">
        <v>540000</v>
      </c>
      <c r="T21" s="110">
        <v>555000</v>
      </c>
      <c r="U21" s="110">
        <v>0</v>
      </c>
      <c r="V21" s="110">
        <v>0</v>
      </c>
      <c r="W21" s="110">
        <v>555000</v>
      </c>
      <c r="X21" s="110">
        <v>0</v>
      </c>
      <c r="Y21" s="110">
        <v>555000</v>
      </c>
      <c r="Z21" s="110">
        <v>555000</v>
      </c>
      <c r="AA21" s="110">
        <v>45382</v>
      </c>
      <c r="AB21" s="111" t="str">
        <v>Q1 2024</v>
      </c>
      <c r="AC21">
        <v>45943</v>
      </c>
      <c r="AD21">
        <v>0</v>
      </c>
      <c r="AE21" t="str">
        <v>Ana Damásio</v>
      </c>
      <c r="AF21" t="str">
        <v>Elisabete Figueiredo</v>
      </c>
      <c r="AG21" t="str">
        <v>https://www.vilamouraworld.com/real-estate/terracota/</v>
      </c>
      <c r="AH21" t="str">
        <v>Terracota offers a slice of nature in an urban area – sheltered by spectacular pine trees for a feeling of secluded serenity.</v>
      </c>
      <c r="AI21" t="str">
        <v>Gym, Sauna, Co-Work Area, Condo Pool, Private Pools, Outdoor Areas, Smart Home Technology, Underground Parking</v>
      </c>
      <c r="AJ21" t="str">
        <v>Condomínio privado com exteriores de excelência e generosa piscina em estilo praia; Ginásio e spa; Zona de co-work e parque infantil; Rooftops com piscina privativa; Domótica residencial; Excelente price point considerando as amenities disponíveis.</v>
      </c>
      <c r="AK21" t="str">
        <v>Barbosa Guimarães</v>
      </c>
      <c r="AL21" t="str">
        <v>Terracota</v>
      </c>
    </row>
    <row r="22" spans="1:38" x14ac:dyDescent="0.3">
      <c r="A22" s="110" t="str">
        <v>TERRACOTA</v>
      </c>
      <c r="B22" s="110" t="str">
        <v>Vilamoura</v>
      </c>
      <c r="C22" s="110" t="str">
        <v>AW</v>
      </c>
      <c r="D22" s="110" t="str">
        <v>Vilamoura, Algarve</v>
      </c>
      <c r="E22" s="110" t="str">
        <v>T3</v>
      </c>
      <c r="F22" s="110">
        <v>130.91999999999999</v>
      </c>
      <c r="G22" s="110">
        <v>0</v>
      </c>
      <c r="H22" s="110" t="str">
        <v/>
      </c>
      <c r="I22" s="110" t="str">
        <v/>
      </c>
      <c r="J22" s="110">
        <v>0</v>
      </c>
      <c r="K22" s="110">
        <v>0</v>
      </c>
      <c r="L22" s="110">
        <v>0</v>
      </c>
      <c r="M22" s="110">
        <v>0</v>
      </c>
      <c r="N22" s="110">
        <v>0</v>
      </c>
      <c r="O22" s="110">
        <v>130.91999999999999</v>
      </c>
      <c r="P22" s="110">
        <v>0</v>
      </c>
      <c r="Q22" s="110" t="str">
        <v xml:space="preserve">PSPA </v>
      </c>
      <c r="R22" s="110">
        <v>710000</v>
      </c>
      <c r="S22" s="110">
        <v>710000</v>
      </c>
      <c r="T22" s="110">
        <v>710000</v>
      </c>
      <c r="U22" s="110">
        <v>0</v>
      </c>
      <c r="V22" s="110">
        <v>0</v>
      </c>
      <c r="W22" s="110">
        <v>710000</v>
      </c>
      <c r="X22" s="110">
        <v>0</v>
      </c>
      <c r="Y22" s="110">
        <v>710000</v>
      </c>
      <c r="Z22" s="110">
        <v>710000</v>
      </c>
      <c r="AA22" s="110">
        <v>45382</v>
      </c>
      <c r="AB22" s="111" t="str">
        <v>Q1 2024</v>
      </c>
      <c r="AC22">
        <v>45891</v>
      </c>
      <c r="AD22">
        <v>0</v>
      </c>
      <c r="AE22" t="str">
        <v>Ana Damásio</v>
      </c>
      <c r="AF22" t="str">
        <v>Elisabete Figueiredo</v>
      </c>
      <c r="AG22" t="str">
        <v>https://www.vilamouraworld.com/real-estate/terracota/</v>
      </c>
      <c r="AH22" t="str">
        <v>Terracota offers a slice of nature in an urban area – sheltered by spectacular pine trees for a feeling of secluded serenity.</v>
      </c>
      <c r="AI22" t="str">
        <v>Gym, Sauna, Co-Work Area, Condo Pool, Private Pools, Outdoor Areas, Smart Home Technology, Underground Parking</v>
      </c>
      <c r="AJ22" t="str">
        <v>Condomínio privado com exteriores de excelência e generosa piscina em estilo praia; Ginásio e spa; Zona de co-work e parque infantil; Rooftops com piscina privativa; Domótica residencial; Excelente price point considerando as amenities disponíveis.</v>
      </c>
      <c r="AK22" t="str">
        <v>Barbosa Guimarães</v>
      </c>
      <c r="AL22" t="str">
        <v>Terracota</v>
      </c>
    </row>
    <row r="23" spans="1:38" x14ac:dyDescent="0.3">
      <c r="A23" s="110" t="str">
        <v>TERRACOTA</v>
      </c>
      <c r="B23" s="110" t="str">
        <v>Vilamoura</v>
      </c>
      <c r="C23" s="110" t="str">
        <v>AX</v>
      </c>
      <c r="D23" s="110" t="str">
        <v>Vilamoura, Algarve</v>
      </c>
      <c r="E23" s="110" t="str">
        <v>T3</v>
      </c>
      <c r="F23" s="110">
        <v>130.91999999999999</v>
      </c>
      <c r="G23" s="110">
        <v>0</v>
      </c>
      <c r="H23" s="110" t="str">
        <v/>
      </c>
      <c r="I23" s="110" t="str">
        <v/>
      </c>
      <c r="J23" s="110">
        <v>0</v>
      </c>
      <c r="K23" s="110">
        <v>0</v>
      </c>
      <c r="L23" s="110">
        <v>0</v>
      </c>
      <c r="M23" s="110">
        <v>0</v>
      </c>
      <c r="N23" s="110">
        <v>0</v>
      </c>
      <c r="O23" s="110">
        <v>130.91999999999999</v>
      </c>
      <c r="P23" s="110">
        <v>0</v>
      </c>
      <c r="Q23" s="110" t="str">
        <v xml:space="preserve">PSPA </v>
      </c>
      <c r="R23" s="110">
        <v>710000</v>
      </c>
      <c r="S23" s="110">
        <v>710000</v>
      </c>
      <c r="T23" s="110">
        <v>740000</v>
      </c>
      <c r="U23" s="110">
        <v>0</v>
      </c>
      <c r="V23" s="110">
        <v>0</v>
      </c>
      <c r="W23" s="110">
        <v>740000</v>
      </c>
      <c r="X23" s="110">
        <v>0</v>
      </c>
      <c r="Y23" s="110">
        <v>740000</v>
      </c>
      <c r="Z23" s="110">
        <v>740000</v>
      </c>
      <c r="AA23" s="110">
        <v>45382</v>
      </c>
      <c r="AB23" s="111" t="str">
        <v>Q1 2024</v>
      </c>
      <c r="AC23">
        <v>46044</v>
      </c>
      <c r="AD23">
        <v>0</v>
      </c>
      <c r="AE23" t="str">
        <v>Ana Damásio</v>
      </c>
      <c r="AF23" t="str">
        <v>Elisabete Figueiredo</v>
      </c>
      <c r="AG23" t="str">
        <v>https://www.vilamouraworld.com/real-estate/terracota/</v>
      </c>
      <c r="AH23" t="str">
        <v>Terracota offers a slice of nature in an urban area – sheltered by spectacular pine trees for a feeling of secluded serenity.</v>
      </c>
      <c r="AI23" t="str">
        <v>Gym, Sauna, Co-Work Area, Condo Pool, Private Pools, Outdoor Areas, Smart Home Technology, Underground Parking</v>
      </c>
      <c r="AJ23" t="str">
        <v>Condomínio privado com exteriores de excelência e generosa piscina em estilo praia; Ginásio e spa; Zona de co-work e parque infantil; Rooftops com piscina privativa; Domótica residencial; Excelente price point considerando as amenities disponíveis.</v>
      </c>
      <c r="AK23" t="str">
        <v>Barbosa Guimarães</v>
      </c>
      <c r="AL23" t="str">
        <v>Terracota</v>
      </c>
    </row>
    <row r="24" spans="1:38" x14ac:dyDescent="0.3">
      <c r="A24" s="110" t="str">
        <v>TERRACOTA</v>
      </c>
      <c r="B24" s="110" t="str">
        <v>Vilamoura</v>
      </c>
      <c r="C24" s="110" t="str">
        <v>AZ</v>
      </c>
      <c r="D24" s="110" t="str">
        <v>Vilamoura, Algarve</v>
      </c>
      <c r="E24" s="110" t="str">
        <v>T2</v>
      </c>
      <c r="F24" s="110">
        <v>78.3</v>
      </c>
      <c r="G24" s="110">
        <v>0</v>
      </c>
      <c r="H24" s="110" t="str">
        <v/>
      </c>
      <c r="I24" s="110" t="str">
        <v/>
      </c>
      <c r="J24" s="110">
        <v>0</v>
      </c>
      <c r="K24" s="110">
        <v>0</v>
      </c>
      <c r="L24" s="110">
        <v>0</v>
      </c>
      <c r="M24" s="110">
        <v>0</v>
      </c>
      <c r="N24" s="110">
        <v>0</v>
      </c>
      <c r="O24" s="110">
        <v>78.3</v>
      </c>
      <c r="P24" s="110">
        <v>0</v>
      </c>
      <c r="Q24" s="110" t="str">
        <v xml:space="preserve">PSPA </v>
      </c>
      <c r="R24" s="110">
        <v>465000</v>
      </c>
      <c r="S24" s="110">
        <v>465000</v>
      </c>
      <c r="T24" s="110">
        <v>465000</v>
      </c>
      <c r="U24" s="110">
        <v>0</v>
      </c>
      <c r="V24" s="110">
        <v>0</v>
      </c>
      <c r="W24" s="110">
        <v>465000</v>
      </c>
      <c r="X24" s="110">
        <v>0</v>
      </c>
      <c r="Y24" s="110">
        <v>465000</v>
      </c>
      <c r="Z24" s="110">
        <v>465000</v>
      </c>
      <c r="AA24" s="110">
        <v>45382</v>
      </c>
      <c r="AB24" s="111" t="str">
        <v>Q1 2024</v>
      </c>
      <c r="AC24">
        <v>45604</v>
      </c>
      <c r="AD24">
        <v>0</v>
      </c>
      <c r="AE24" t="str">
        <v>Ana Damásio</v>
      </c>
      <c r="AF24" t="str">
        <v>Elisabete Figueiredo</v>
      </c>
      <c r="AG24" t="str">
        <v>https://www.vilamouraworld.com/real-estate/terracota/</v>
      </c>
      <c r="AH24" t="str">
        <v>Terracota offers a slice of nature in an urban area – sheltered by spectacular pine trees for a feeling of secluded serenity.</v>
      </c>
      <c r="AI24" t="str">
        <v>Gym, Sauna, Co-Work Area, Condo Pool, Private Pools, Outdoor Areas, Smart Home Technology, Underground Parking</v>
      </c>
      <c r="AJ24" t="str">
        <v>Condomínio privado com exteriores de excelência e generosa piscina em estilo praia; Ginásio e spa; Zona de co-work e parque infantil; Rooftops com piscina privativa; Domótica residencial; Excelente price point considerando as amenities disponíveis.</v>
      </c>
      <c r="AK24" t="str">
        <v>Barbosa Guimarães</v>
      </c>
      <c r="AL24" t="str">
        <v>Terracota</v>
      </c>
    </row>
    <row r="25" spans="1:38" x14ac:dyDescent="0.3">
      <c r="A25" s="110" t="str">
        <v>TERRACOTA</v>
      </c>
      <c r="B25" s="110" t="str">
        <v>Vilamoura</v>
      </c>
      <c r="C25" s="110" t="str">
        <v>BA</v>
      </c>
      <c r="D25" s="110" t="str">
        <v>Vilamoura, Algarve</v>
      </c>
      <c r="E25" s="110" t="str">
        <v>T2</v>
      </c>
      <c r="F25" s="110">
        <v>78.3</v>
      </c>
      <c r="G25" s="110">
        <v>0</v>
      </c>
      <c r="H25" s="110" t="str">
        <v/>
      </c>
      <c r="I25" s="110" t="str">
        <v/>
      </c>
      <c r="J25" s="110">
        <v>0</v>
      </c>
      <c r="K25" s="110">
        <v>0</v>
      </c>
      <c r="L25" s="110">
        <v>0</v>
      </c>
      <c r="M25" s="110">
        <v>0</v>
      </c>
      <c r="N25" s="110">
        <v>0</v>
      </c>
      <c r="O25" s="110">
        <v>78.3</v>
      </c>
      <c r="P25" s="110">
        <v>0</v>
      </c>
      <c r="Q25" s="110" t="str">
        <v xml:space="preserve">PSPA </v>
      </c>
      <c r="R25" s="110">
        <v>465000</v>
      </c>
      <c r="S25" s="110">
        <v>465000</v>
      </c>
      <c r="T25" s="110">
        <v>465000</v>
      </c>
      <c r="U25" s="110">
        <v>0</v>
      </c>
      <c r="V25" s="110">
        <v>0</v>
      </c>
      <c r="W25" s="110">
        <v>465000</v>
      </c>
      <c r="X25" s="110">
        <v>0</v>
      </c>
      <c r="Y25" s="110">
        <v>465000</v>
      </c>
      <c r="Z25" s="110">
        <v>465000</v>
      </c>
      <c r="AA25" s="110">
        <v>45382</v>
      </c>
      <c r="AB25" s="111" t="str">
        <v>Q1 2024</v>
      </c>
      <c r="AC25">
        <v>45611</v>
      </c>
      <c r="AD25">
        <v>0</v>
      </c>
      <c r="AE25" t="str">
        <v>Ana Damásio</v>
      </c>
      <c r="AF25" t="str">
        <v>Elisabete Figueiredo</v>
      </c>
      <c r="AG25" t="str">
        <v>https://www.vilamouraworld.com/real-estate/terracota/</v>
      </c>
      <c r="AH25" t="str">
        <v>Terracota offers a slice of nature in an urban area – sheltered by spectacular pine trees for a feeling of secluded serenity.</v>
      </c>
      <c r="AI25" t="str">
        <v>Gym, Sauna, Co-Work Area, Condo Pool, Private Pools, Outdoor Areas, Smart Home Technology, Underground Parking</v>
      </c>
      <c r="AJ25" t="str">
        <v>Condomínio privado com exteriores de excelência e generosa piscina em estilo praia; Ginásio e spa; Zona de co-work e parque infantil; Rooftops com piscina privativa; Domótica residencial; Excelente price point considerando as amenities disponíveis.</v>
      </c>
      <c r="AK25" t="str">
        <v>Barbosa Guimarães</v>
      </c>
      <c r="AL25" t="str">
        <v>Terracota</v>
      </c>
    </row>
    <row r="26" spans="1:38" x14ac:dyDescent="0.3">
      <c r="A26" s="110" t="str">
        <v>TERRACOTA</v>
      </c>
      <c r="B26" s="110" t="str">
        <v>Vilamoura</v>
      </c>
      <c r="C26" s="110" t="str">
        <v>BB</v>
      </c>
      <c r="D26" s="110" t="str">
        <v>Vilamoura, Algarve</v>
      </c>
      <c r="E26" s="110" t="str">
        <v>T2</v>
      </c>
      <c r="F26" s="110">
        <v>78.3</v>
      </c>
      <c r="G26" s="110">
        <v>0</v>
      </c>
      <c r="H26" s="110" t="str">
        <v/>
      </c>
      <c r="I26" s="110" t="str">
        <v/>
      </c>
      <c r="J26" s="110">
        <v>0</v>
      </c>
      <c r="K26" s="110">
        <v>0</v>
      </c>
      <c r="L26" s="110">
        <v>0</v>
      </c>
      <c r="M26" s="110">
        <v>0</v>
      </c>
      <c r="N26" s="110">
        <v>0</v>
      </c>
      <c r="O26" s="110">
        <v>78.3</v>
      </c>
      <c r="P26" s="110">
        <v>0</v>
      </c>
      <c r="Q26" s="110" t="str">
        <v xml:space="preserve">PSPA </v>
      </c>
      <c r="R26" s="110">
        <v>465000</v>
      </c>
      <c r="S26" s="110">
        <v>465000</v>
      </c>
      <c r="T26" s="110">
        <v>465000</v>
      </c>
      <c r="U26" s="110">
        <v>0</v>
      </c>
      <c r="V26" s="110">
        <v>0</v>
      </c>
      <c r="W26" s="110">
        <v>465000</v>
      </c>
      <c r="X26" s="110">
        <v>0</v>
      </c>
      <c r="Y26" s="110">
        <v>465000</v>
      </c>
      <c r="Z26" s="110">
        <v>465000</v>
      </c>
      <c r="AA26" s="110">
        <v>45382</v>
      </c>
      <c r="AB26" s="111" t="str">
        <v>Q1 2024</v>
      </c>
      <c r="AC26">
        <v>45784</v>
      </c>
      <c r="AD26">
        <v>0</v>
      </c>
      <c r="AE26" t="str">
        <v>Ana Damásio</v>
      </c>
      <c r="AF26" t="str">
        <v>Elisabete Figueiredo</v>
      </c>
      <c r="AG26" t="str">
        <v>https://www.vilamouraworld.com/real-estate/terracota/</v>
      </c>
      <c r="AH26" t="str">
        <v>Terracota offers a slice of nature in an urban area – sheltered by spectacular pine trees for a feeling of secluded serenity.</v>
      </c>
      <c r="AI26" t="str">
        <v>Gym, Sauna, Co-Work Area, Condo Pool, Private Pools, Outdoor Areas, Smart Home Technology, Underground Parking</v>
      </c>
      <c r="AJ26" t="str">
        <v>Condomínio privado com exteriores de excelência e generosa piscina em estilo praia; Ginásio e spa; Zona de co-work e parque infantil; Rooftops com piscina privativa; Domótica residencial; Excelente price point considerando as amenities disponíveis.</v>
      </c>
      <c r="AK26" t="str">
        <v>Barbosa Guimarães</v>
      </c>
      <c r="AL26" t="str">
        <v>Terracota</v>
      </c>
    </row>
    <row r="27" spans="1:38" x14ac:dyDescent="0.3">
      <c r="A27" s="110" t="str">
        <v>TERRACOTA</v>
      </c>
      <c r="B27" s="110" t="str">
        <v>Vilamoura</v>
      </c>
      <c r="C27" s="110" t="str">
        <v>BC</v>
      </c>
      <c r="D27" s="110" t="str">
        <v>Vilamoura, Algarve</v>
      </c>
      <c r="E27" s="110" t="str">
        <v>T2</v>
      </c>
      <c r="F27" s="110">
        <v>104.7</v>
      </c>
      <c r="G27" s="110">
        <v>0</v>
      </c>
      <c r="H27" s="110" t="str">
        <v/>
      </c>
      <c r="I27" s="110" t="str">
        <v/>
      </c>
      <c r="J27" s="110">
        <v>0</v>
      </c>
      <c r="K27" s="110">
        <v>0</v>
      </c>
      <c r="L27" s="110">
        <v>0</v>
      </c>
      <c r="M27" s="110">
        <v>0</v>
      </c>
      <c r="N27" s="110">
        <v>0</v>
      </c>
      <c r="O27" s="110">
        <v>104.7</v>
      </c>
      <c r="P27" s="110">
        <v>0</v>
      </c>
      <c r="Q27" s="110" t="str">
        <v xml:space="preserve">PSPA </v>
      </c>
      <c r="R27" s="110">
        <v>570000</v>
      </c>
      <c r="S27" s="110">
        <v>570000</v>
      </c>
      <c r="T27" s="110">
        <v>585000</v>
      </c>
      <c r="U27" s="110">
        <v>0</v>
      </c>
      <c r="V27" s="110">
        <v>0</v>
      </c>
      <c r="W27" s="110">
        <v>585000</v>
      </c>
      <c r="X27" s="110">
        <v>0</v>
      </c>
      <c r="Y27" s="110">
        <v>585000</v>
      </c>
      <c r="Z27" s="110">
        <v>585000</v>
      </c>
      <c r="AA27" s="110">
        <v>45382</v>
      </c>
      <c r="AB27" s="111" t="str">
        <v>Q1 2024</v>
      </c>
      <c r="AC27">
        <v>46106</v>
      </c>
      <c r="AD27">
        <v>0</v>
      </c>
      <c r="AE27" t="str">
        <v>Ana Damásio</v>
      </c>
      <c r="AF27" t="str">
        <v>Elisabete Figueiredo</v>
      </c>
      <c r="AG27" t="str">
        <v>https://www.vilamouraworld.com/real-estate/terracota/</v>
      </c>
      <c r="AH27" t="str">
        <v>Terracota offers a slice of nature in an urban area – sheltered by spectacular pine trees for a feeling of secluded serenity.</v>
      </c>
      <c r="AI27" t="str">
        <v>Gym, Sauna, Co-Work Area, Condo Pool, Private Pools, Outdoor Areas, Smart Home Technology, Underground Parking</v>
      </c>
      <c r="AJ27" t="str">
        <v>Condomínio privado com exteriores de excelência e generosa piscina em estilo praia; Ginásio e spa; Zona de co-work e parque infantil; Rooftops com piscina privativa; Domótica residencial; Excelente price point considerando as amenities disponíveis.</v>
      </c>
      <c r="AK27" t="str">
        <v>Barbosa Guimarães</v>
      </c>
      <c r="AL27" t="str">
        <v>Terracota</v>
      </c>
    </row>
    <row r="28" spans="1:38" x14ac:dyDescent="0.3">
      <c r="A28" s="110" t="str">
        <v>TERRACOTA</v>
      </c>
      <c r="B28" s="110" t="str">
        <v>Vilamoura</v>
      </c>
      <c r="C28" s="110" t="str">
        <v>BD</v>
      </c>
      <c r="D28" s="110" t="str">
        <v>Vilamoura, Algarve</v>
      </c>
      <c r="E28" s="110" t="str">
        <v>T3</v>
      </c>
      <c r="F28" s="110">
        <v>130.91999999999999</v>
      </c>
      <c r="G28" s="110">
        <v>0</v>
      </c>
      <c r="H28" s="110" t="str">
        <v/>
      </c>
      <c r="I28" s="110" t="str">
        <v/>
      </c>
      <c r="J28" s="110">
        <v>0</v>
      </c>
      <c r="K28" s="110">
        <v>0</v>
      </c>
      <c r="L28" s="110">
        <v>0</v>
      </c>
      <c r="M28" s="110">
        <v>0</v>
      </c>
      <c r="N28" s="110">
        <v>0</v>
      </c>
      <c r="O28" s="110">
        <v>130.91999999999999</v>
      </c>
      <c r="P28" s="110">
        <v>0</v>
      </c>
      <c r="Q28" s="110" t="str">
        <v xml:space="preserve">PSPA </v>
      </c>
      <c r="R28" s="110">
        <v>720000</v>
      </c>
      <c r="S28" s="110">
        <v>720000</v>
      </c>
      <c r="T28" s="110">
        <v>720000</v>
      </c>
      <c r="U28" s="110">
        <v>0</v>
      </c>
      <c r="V28" s="110">
        <v>0</v>
      </c>
      <c r="W28" s="110">
        <v>720000</v>
      </c>
      <c r="X28" s="110">
        <v>0</v>
      </c>
      <c r="Y28" s="110">
        <v>720000</v>
      </c>
      <c r="Z28" s="110">
        <v>720000</v>
      </c>
      <c r="AA28" s="110">
        <v>45382</v>
      </c>
      <c r="AB28" s="111" t="str">
        <v>Q1 2024</v>
      </c>
      <c r="AC28">
        <v>45888</v>
      </c>
      <c r="AD28">
        <v>0</v>
      </c>
      <c r="AE28" t="str">
        <v>Ana Damásio</v>
      </c>
      <c r="AF28" t="str">
        <v>Elisabete Figueiredo</v>
      </c>
      <c r="AG28" t="str">
        <v>https://www.vilamouraworld.com/real-estate/terracota/</v>
      </c>
      <c r="AH28" t="str">
        <v>Terracota offers a slice of nature in an urban area – sheltered by spectacular pine trees for a feeling of secluded serenity.</v>
      </c>
      <c r="AI28" t="str">
        <v>Gym, Sauna, Co-Work Area, Condo Pool, Private Pools, Outdoor Areas, Smart Home Technology, Underground Parking</v>
      </c>
      <c r="AJ28" t="str">
        <v>Condomínio privado com exteriores de excelência e generosa piscina em estilo praia; Ginásio e spa; Zona de co-work e parque infantil; Rooftops com piscina privativa; Domótica residencial; Excelente price point considerando as amenities disponíveis.</v>
      </c>
      <c r="AK28" t="str">
        <v>Barbosa Guimarães</v>
      </c>
      <c r="AL28" t="str">
        <v>Terracota</v>
      </c>
    </row>
    <row r="29" spans="1:38" x14ac:dyDescent="0.3">
      <c r="A29" s="110" t="str">
        <v>TERRACOTA</v>
      </c>
      <c r="B29" s="110" t="str">
        <v>Vilamoura</v>
      </c>
      <c r="C29" s="110" t="str">
        <v>BF</v>
      </c>
      <c r="D29" s="110" t="str">
        <v>Vilamoura, Algarve</v>
      </c>
      <c r="E29" s="110" t="str">
        <v>T2</v>
      </c>
      <c r="F29" s="110">
        <v>104.7</v>
      </c>
      <c r="G29" s="110">
        <v>0</v>
      </c>
      <c r="H29" s="110" t="str">
        <v/>
      </c>
      <c r="I29" s="110" t="str">
        <v/>
      </c>
      <c r="J29" s="110">
        <v>0</v>
      </c>
      <c r="K29" s="110">
        <v>0</v>
      </c>
      <c r="L29" s="110">
        <v>0</v>
      </c>
      <c r="M29" s="110">
        <v>0</v>
      </c>
      <c r="N29" s="110">
        <v>0</v>
      </c>
      <c r="O29" s="110">
        <v>104.7</v>
      </c>
      <c r="P29" s="110">
        <v>0</v>
      </c>
      <c r="Q29" s="110" t="str">
        <v xml:space="preserve">PSPA </v>
      </c>
      <c r="R29" s="110">
        <v>570000</v>
      </c>
      <c r="S29" s="110">
        <v>570000</v>
      </c>
      <c r="T29" s="110">
        <v>587100</v>
      </c>
      <c r="U29" s="110">
        <v>0</v>
      </c>
      <c r="V29" s="110">
        <v>0</v>
      </c>
      <c r="W29" s="110">
        <v>587100</v>
      </c>
      <c r="X29" s="110">
        <v>0</v>
      </c>
      <c r="Y29" s="110">
        <v>587100</v>
      </c>
      <c r="Z29" s="110">
        <v>587100</v>
      </c>
      <c r="AA29" s="110">
        <v>45382</v>
      </c>
      <c r="AB29" s="111" t="str">
        <v>Q1 2024</v>
      </c>
      <c r="AC29">
        <v>46141</v>
      </c>
      <c r="AD29">
        <v>0</v>
      </c>
      <c r="AE29" t="str">
        <v>Ana Damásio</v>
      </c>
      <c r="AF29" t="str">
        <v>Elisabete Figueiredo</v>
      </c>
      <c r="AG29" t="str">
        <v>https://www.vilamouraworld.com/real-estate/terracota/</v>
      </c>
      <c r="AH29" t="str">
        <v>Terracota offers a slice of nature in an urban area – sheltered by spectacular pine trees for a feeling of secluded serenity.</v>
      </c>
      <c r="AI29" t="str">
        <v>Gym, Sauna, Co-Work Area, Condo Pool, Private Pools, Outdoor Areas, Smart Home Technology, Underground Parking</v>
      </c>
      <c r="AJ29" t="str">
        <v>Condomínio privado com exteriores de excelência e generosa piscina em estilo praia; Ginásio e spa; Zona de co-work e parque infantil; Rooftops com piscina privativa; Domótica residencial; Excelente price point considerando as amenities disponíveis.</v>
      </c>
      <c r="AK29" t="str">
        <v>Barbosa Guimarães</v>
      </c>
      <c r="AL29" t="str">
        <v>Terracota</v>
      </c>
    </row>
    <row r="30" spans="1:38" x14ac:dyDescent="0.3">
      <c r="A30" s="110" t="str">
        <v>TERRACOTA</v>
      </c>
      <c r="B30" s="110" t="str">
        <v>Vilamoura</v>
      </c>
      <c r="C30" s="110" t="str">
        <v>BL</v>
      </c>
      <c r="D30" s="110" t="str">
        <v>Vilamoura, Algarve</v>
      </c>
      <c r="E30" s="110" t="str">
        <v>T3</v>
      </c>
      <c r="F30" s="110">
        <v>130.91999999999999</v>
      </c>
      <c r="G30" s="110">
        <v>0</v>
      </c>
      <c r="H30" s="110" t="str">
        <v/>
      </c>
      <c r="I30" s="110" t="str">
        <v/>
      </c>
      <c r="J30" s="110">
        <v>0</v>
      </c>
      <c r="K30" s="110">
        <v>0</v>
      </c>
      <c r="L30" s="110">
        <v>0</v>
      </c>
      <c r="M30" s="110">
        <v>0</v>
      </c>
      <c r="N30" s="110">
        <v>0</v>
      </c>
      <c r="O30" s="110">
        <v>130.91999999999999</v>
      </c>
      <c r="P30" s="110">
        <v>0</v>
      </c>
      <c r="Q30" s="110" t="str">
        <v xml:space="preserve">PSPA </v>
      </c>
      <c r="R30" s="110">
        <v>675000</v>
      </c>
      <c r="S30" s="110">
        <v>675000</v>
      </c>
      <c r="T30" s="110">
        <v>675000</v>
      </c>
      <c r="U30" s="110">
        <v>0</v>
      </c>
      <c r="V30" s="110">
        <v>0</v>
      </c>
      <c r="W30" s="110">
        <v>675000</v>
      </c>
      <c r="X30" s="110">
        <v>0</v>
      </c>
      <c r="Y30" s="110">
        <v>675000</v>
      </c>
      <c r="Z30" s="110">
        <v>675000</v>
      </c>
      <c r="AA30" s="110">
        <v>45382</v>
      </c>
      <c r="AB30" s="111" t="str">
        <v>Q1 2024</v>
      </c>
      <c r="AC30">
        <v>46170</v>
      </c>
      <c r="AD30">
        <v>0</v>
      </c>
      <c r="AE30" t="str">
        <v>Ana Damásio</v>
      </c>
      <c r="AF30" t="str">
        <v>Elisabete Figueiredo</v>
      </c>
      <c r="AG30" t="str">
        <v>https://www.vilamouraworld.com/real-estate/terracota/</v>
      </c>
      <c r="AH30" t="str">
        <v>Terracota offers a slice of nature in an urban area – sheltered by spectacular pine trees for a feeling of secluded serenity.</v>
      </c>
      <c r="AI30" t="str">
        <v>Gym, Sauna, Co-Work Area, Condo Pool, Private Pools, Outdoor Areas, Smart Home Technology, Underground Parking</v>
      </c>
      <c r="AJ30" t="str">
        <v>Condomínio privado com exteriores de excelência e generosa piscina em estilo praia; Ginásio e spa; Zona de co-work e parque infantil; Rooftops com piscina privativa; Domótica residencial; Excelente price point considerando as amenities disponíveis.</v>
      </c>
      <c r="AK30" t="str">
        <v>Barbosa Guimarães</v>
      </c>
      <c r="AL30" t="str">
        <v>Terracota</v>
      </c>
    </row>
    <row r="31" spans="1:38" x14ac:dyDescent="0.3">
      <c r="A31" s="110" t="str">
        <v>TERRACOTA</v>
      </c>
      <c r="B31" s="110" t="str">
        <v>Vilamoura</v>
      </c>
      <c r="C31" s="110" t="str">
        <v>BM</v>
      </c>
      <c r="D31" s="110" t="str">
        <v>Vilamoura, Algarve</v>
      </c>
      <c r="E31" s="110" t="str">
        <v>T3</v>
      </c>
      <c r="F31" s="110">
        <v>130.91999999999999</v>
      </c>
      <c r="G31" s="110">
        <v>0</v>
      </c>
      <c r="H31" s="110" t="str">
        <v/>
      </c>
      <c r="I31" s="110" t="str">
        <v/>
      </c>
      <c r="J31" s="110">
        <v>0</v>
      </c>
      <c r="K31" s="110">
        <v>0</v>
      </c>
      <c r="L31" s="110">
        <v>0</v>
      </c>
      <c r="M31" s="110">
        <v>0</v>
      </c>
      <c r="N31" s="110">
        <v>0</v>
      </c>
      <c r="O31" s="110">
        <v>130.91999999999999</v>
      </c>
      <c r="P31" s="110">
        <v>0</v>
      </c>
      <c r="Q31" s="110" t="str">
        <v xml:space="preserve">PSPA </v>
      </c>
      <c r="R31" s="110">
        <v>750000</v>
      </c>
      <c r="S31" s="110">
        <v>750000</v>
      </c>
      <c r="T31" s="110">
        <v>750000</v>
      </c>
      <c r="U31" s="110">
        <v>0</v>
      </c>
      <c r="V31" s="110">
        <v>0</v>
      </c>
      <c r="W31" s="110">
        <v>750000</v>
      </c>
      <c r="X31" s="110">
        <v>0</v>
      </c>
      <c r="Y31" s="110">
        <v>750000</v>
      </c>
      <c r="Z31" s="110">
        <v>750000</v>
      </c>
      <c r="AA31" s="110">
        <v>45382</v>
      </c>
      <c r="AB31" s="111" t="str">
        <v>Q1 2024</v>
      </c>
      <c r="AC31">
        <v>45950</v>
      </c>
      <c r="AD31">
        <v>0</v>
      </c>
      <c r="AE31" t="str">
        <v>Ana Damásio</v>
      </c>
      <c r="AF31" t="str">
        <v>Elisabete Figueiredo</v>
      </c>
      <c r="AG31" t="str">
        <v>https://www.vilamouraworld.com/real-estate/terracota/</v>
      </c>
      <c r="AH31" t="str">
        <v>Terracota offers a slice of nature in an urban area – sheltered by spectacular pine trees for a feeling of secluded serenity.</v>
      </c>
      <c r="AI31" t="str">
        <v>Gym, Sauna, Co-Work Area, Condo Pool, Private Pools, Outdoor Areas, Smart Home Technology, Underground Parking</v>
      </c>
      <c r="AJ31" t="str">
        <v>Condomínio privado com exteriores de excelência e generosa piscina em estilo praia; Ginásio e spa; Zona de co-work e parque infantil; Rooftops com piscina privativa; Domótica residencial; Excelente price point considerando as amenities disponíveis.</v>
      </c>
      <c r="AK31" t="str">
        <v>Barbosa Guimarães</v>
      </c>
      <c r="AL31" t="str">
        <v>Terracota</v>
      </c>
    </row>
    <row r="32" spans="1:38" x14ac:dyDescent="0.3">
      <c r="A32" s="110" t="str">
        <v>TERRACOTA</v>
      </c>
      <c r="B32" s="110" t="str">
        <v>Vilamoura</v>
      </c>
      <c r="C32" s="110" t="str">
        <v>BN</v>
      </c>
      <c r="D32" s="110" t="str">
        <v>Vilamoura, Algarve</v>
      </c>
      <c r="E32" s="110" t="str">
        <v>T3</v>
      </c>
      <c r="F32" s="110">
        <v>130.91999999999999</v>
      </c>
      <c r="G32" s="110">
        <v>0</v>
      </c>
      <c r="H32" s="110" t="str">
        <v/>
      </c>
      <c r="I32" s="110" t="str">
        <v/>
      </c>
      <c r="J32" s="110">
        <v>0</v>
      </c>
      <c r="K32" s="110">
        <v>0</v>
      </c>
      <c r="L32" s="110">
        <v>0</v>
      </c>
      <c r="M32" s="110">
        <v>0</v>
      </c>
      <c r="N32" s="110">
        <v>0</v>
      </c>
      <c r="O32" s="110">
        <v>130.91999999999999</v>
      </c>
      <c r="P32" s="110">
        <v>0</v>
      </c>
      <c r="Q32" s="110" t="str">
        <v xml:space="preserve">PSPA </v>
      </c>
      <c r="R32" s="110">
        <v>670000</v>
      </c>
      <c r="S32" s="110">
        <v>670000</v>
      </c>
      <c r="T32" s="110">
        <v>670000</v>
      </c>
      <c r="U32" s="110">
        <v>0</v>
      </c>
      <c r="V32" s="110">
        <v>0</v>
      </c>
      <c r="W32" s="110">
        <v>670000</v>
      </c>
      <c r="X32" s="110">
        <v>0</v>
      </c>
      <c r="Y32" s="110">
        <v>670000</v>
      </c>
      <c r="Z32" s="110">
        <v>670000</v>
      </c>
      <c r="AA32" s="110">
        <v>45382</v>
      </c>
      <c r="AB32" s="111" t="str">
        <v>Q1 2024</v>
      </c>
      <c r="AC32">
        <v>46176</v>
      </c>
      <c r="AD32">
        <v>0</v>
      </c>
      <c r="AE32" t="str">
        <v>Ana Damásio</v>
      </c>
      <c r="AF32" t="str">
        <v>Elisabete Figueiredo</v>
      </c>
      <c r="AG32" t="str">
        <v>https://www.vilamouraworld.com/real-estate/terracota/</v>
      </c>
      <c r="AH32" t="str">
        <v>Terracota offers a slice of nature in an urban area – sheltered by spectacular pine trees for a feeling of secluded serenity.</v>
      </c>
      <c r="AI32" t="str">
        <v>Gym, Sauna, Co-Work Area, Condo Pool, Private Pools, Outdoor Areas, Smart Home Technology, Underground Parking</v>
      </c>
      <c r="AJ32" t="str">
        <v>Condomínio privado com exteriores de excelência e generosa piscina em estilo praia; Ginásio e spa; Zona de co-work e parque infantil; Rooftops com piscina privativa; Domótica residencial; Excelente price point considerando as amenities disponíveis.</v>
      </c>
      <c r="AK32" t="str">
        <v>Barbosa Guimarães</v>
      </c>
      <c r="AL32" t="str">
        <v>Terracota</v>
      </c>
    </row>
    <row r="33" spans="1:38" x14ac:dyDescent="0.3">
      <c r="A33" s="110" t="str">
        <v>TERRACOTA</v>
      </c>
      <c r="B33" s="110" t="str">
        <v>Vilamoura</v>
      </c>
      <c r="C33" s="110" t="str">
        <v>BO</v>
      </c>
      <c r="D33" s="110" t="str">
        <v>Vilamoura, Algarve</v>
      </c>
      <c r="E33" s="110" t="str">
        <v>T2</v>
      </c>
      <c r="F33" s="110">
        <v>104.7</v>
      </c>
      <c r="G33" s="110">
        <v>0</v>
      </c>
      <c r="H33" s="110" t="str">
        <v/>
      </c>
      <c r="I33" s="110" t="str">
        <v/>
      </c>
      <c r="J33" s="110">
        <v>0</v>
      </c>
      <c r="K33" s="110">
        <v>0</v>
      </c>
      <c r="L33" s="110">
        <v>0</v>
      </c>
      <c r="M33" s="110">
        <v>0</v>
      </c>
      <c r="N33" s="110">
        <v>0</v>
      </c>
      <c r="O33" s="110">
        <v>104.7</v>
      </c>
      <c r="P33" s="110">
        <v>0</v>
      </c>
      <c r="Q33" s="110" t="str">
        <v xml:space="preserve">PSPA </v>
      </c>
      <c r="R33" s="110">
        <v>590000</v>
      </c>
      <c r="S33" s="110">
        <v>590000</v>
      </c>
      <c r="T33" s="110">
        <v>590000</v>
      </c>
      <c r="U33" s="110">
        <v>0</v>
      </c>
      <c r="V33" s="110">
        <v>0</v>
      </c>
      <c r="W33" s="110">
        <v>590000</v>
      </c>
      <c r="X33" s="110">
        <v>0</v>
      </c>
      <c r="Y33" s="110">
        <v>590000</v>
      </c>
      <c r="Z33" s="110">
        <v>590000</v>
      </c>
      <c r="AA33" s="110">
        <v>45382</v>
      </c>
      <c r="AB33" s="111" t="str">
        <v>Q1 2024</v>
      </c>
      <c r="AC33">
        <v>45960</v>
      </c>
      <c r="AD33">
        <v>0</v>
      </c>
      <c r="AE33" t="str">
        <v>Ana Damásio</v>
      </c>
      <c r="AF33" t="str">
        <v>Elisabete Figueiredo</v>
      </c>
      <c r="AG33" t="str">
        <v>https://www.vilamouraworld.com/real-estate/terracota/</v>
      </c>
      <c r="AH33" t="str">
        <v>Terracota offers a slice of nature in an urban area – sheltered by spectacular pine trees for a feeling of secluded serenity.</v>
      </c>
      <c r="AI33" t="str">
        <v>Gym, Sauna, Co-Work Area, Condo Pool, Private Pools, Outdoor Areas, Smart Home Technology, Underground Parking</v>
      </c>
      <c r="AJ33" t="str">
        <v>Condomínio privado com exteriores de excelência e generosa piscina em estilo praia; Ginásio e spa; Zona de co-work e parque infantil; Rooftops com piscina privativa; Domótica residencial; Excelente price point considerando as amenities disponíveis.</v>
      </c>
      <c r="AK33" t="str">
        <v>Barbosa Guimarães</v>
      </c>
      <c r="AL33" t="str">
        <v>Terracota</v>
      </c>
    </row>
    <row r="34" spans="1:38" x14ac:dyDescent="0.3">
      <c r="A34" s="110" t="str">
        <v>TERRACOTA</v>
      </c>
      <c r="B34" s="110" t="str">
        <v>Vilamoura</v>
      </c>
      <c r="C34" s="110" t="str">
        <v>BP</v>
      </c>
      <c r="D34" s="110" t="str">
        <v>Vilamoura, Algarve</v>
      </c>
      <c r="E34" s="110" t="str">
        <v>T3</v>
      </c>
      <c r="F34" s="110">
        <v>130.91999999999999</v>
      </c>
      <c r="G34" s="110">
        <v>0</v>
      </c>
      <c r="H34" s="110" t="str">
        <v/>
      </c>
      <c r="I34" s="110" t="str">
        <v/>
      </c>
      <c r="J34" s="110">
        <v>0</v>
      </c>
      <c r="K34" s="110">
        <v>0</v>
      </c>
      <c r="L34" s="110">
        <v>0</v>
      </c>
      <c r="M34" s="110">
        <v>0</v>
      </c>
      <c r="N34" s="110">
        <v>0</v>
      </c>
      <c r="O34" s="110">
        <v>130.91999999999999</v>
      </c>
      <c r="P34" s="110">
        <v>0</v>
      </c>
      <c r="Q34" s="110" t="str">
        <v xml:space="preserve">PSPA </v>
      </c>
      <c r="R34" s="110">
        <v>660000</v>
      </c>
      <c r="S34" s="110">
        <v>660000</v>
      </c>
      <c r="T34" s="110">
        <v>690000</v>
      </c>
      <c r="U34" s="110">
        <v>0</v>
      </c>
      <c r="V34" s="110">
        <v>0</v>
      </c>
      <c r="W34" s="110">
        <v>690000</v>
      </c>
      <c r="X34" s="110">
        <v>0</v>
      </c>
      <c r="Y34" s="110">
        <v>690000</v>
      </c>
      <c r="Z34" s="110">
        <v>690000</v>
      </c>
      <c r="AA34" s="110">
        <v>45382</v>
      </c>
      <c r="AB34" s="111" t="str">
        <v>Q1 2024</v>
      </c>
      <c r="AC34">
        <v>46171</v>
      </c>
      <c r="AD34">
        <v>0</v>
      </c>
      <c r="AE34" t="str">
        <v>Ana Damásio</v>
      </c>
      <c r="AF34" t="str">
        <v>Elisabete Figueiredo</v>
      </c>
      <c r="AG34" t="str">
        <v>https://www.vilamouraworld.com/real-estate/terracota/</v>
      </c>
      <c r="AH34" t="str">
        <v>Terracota offers a slice of nature in an urban area – sheltered by spectacular pine trees for a feeling of secluded serenity.</v>
      </c>
      <c r="AI34" t="str">
        <v>Gym, Sauna, Co-Work Area, Condo Pool, Private Pools, Outdoor Areas, Smart Home Technology, Underground Parking</v>
      </c>
      <c r="AJ34" t="str">
        <v>Condomínio privado com exteriores de excelência e generosa piscina em estilo praia; Ginásio e spa; Zona de co-work e parque infantil; Rooftops com piscina privativa; Domótica residencial; Excelente price point considerando as amenities disponíveis.</v>
      </c>
      <c r="AK34" t="str">
        <v>Barbosa Guimarães</v>
      </c>
      <c r="AL34" t="str">
        <v>Terracota</v>
      </c>
    </row>
    <row r="35" spans="1:38" x14ac:dyDescent="0.3">
      <c r="A35" s="110" t="str">
        <v>TERRACOTA</v>
      </c>
      <c r="B35" s="110" t="str">
        <v>Vilamoura</v>
      </c>
      <c r="C35" s="110" t="str">
        <v>BQ</v>
      </c>
      <c r="D35" s="110" t="str">
        <v>Vilamoura, Algarve</v>
      </c>
      <c r="E35" s="110" t="str">
        <v>T3</v>
      </c>
      <c r="F35" s="110">
        <v>130.91999999999999</v>
      </c>
      <c r="G35" s="110">
        <v>0</v>
      </c>
      <c r="H35" s="110" t="str">
        <v/>
      </c>
      <c r="I35" s="110" t="str">
        <v/>
      </c>
      <c r="J35" s="110">
        <v>0</v>
      </c>
      <c r="K35" s="110">
        <v>0</v>
      </c>
      <c r="L35" s="110">
        <v>0</v>
      </c>
      <c r="M35" s="110">
        <v>0</v>
      </c>
      <c r="N35" s="110">
        <v>0</v>
      </c>
      <c r="O35" s="110">
        <v>130.91999999999999</v>
      </c>
      <c r="P35" s="110">
        <v>0</v>
      </c>
      <c r="Q35" s="110" t="str">
        <v xml:space="preserve">PSPA </v>
      </c>
      <c r="R35" s="110">
        <v>660000</v>
      </c>
      <c r="S35" s="110">
        <v>660000</v>
      </c>
      <c r="T35" s="110">
        <v>690000</v>
      </c>
      <c r="U35" s="110">
        <v>0</v>
      </c>
      <c r="V35" s="110">
        <v>0</v>
      </c>
      <c r="W35" s="110">
        <v>690000</v>
      </c>
      <c r="X35" s="110">
        <v>0</v>
      </c>
      <c r="Y35" s="110">
        <v>690000</v>
      </c>
      <c r="Z35" s="110">
        <v>690000</v>
      </c>
      <c r="AA35" s="110">
        <v>45382</v>
      </c>
      <c r="AB35" s="111" t="str">
        <v>Q1 2024</v>
      </c>
      <c r="AC35">
        <v>46120</v>
      </c>
      <c r="AD35">
        <v>0</v>
      </c>
      <c r="AE35" t="str">
        <v>Ana Damásio</v>
      </c>
      <c r="AF35" t="str">
        <v>Elisabete Figueiredo</v>
      </c>
      <c r="AG35" t="str">
        <v>https://www.vilamouraworld.com/real-estate/terracota/</v>
      </c>
      <c r="AH35" t="str">
        <v>Terracota offers a slice of nature in an urban area – sheltered by spectacular pine trees for a feeling of secluded serenity.</v>
      </c>
      <c r="AI35" t="str">
        <v>Gym, Sauna, Co-Work Area, Condo Pool, Private Pools, Outdoor Areas, Smart Home Technology, Underground Parking</v>
      </c>
      <c r="AJ35" t="str">
        <v>Condomínio privado com exteriores de excelência e generosa piscina em estilo praia; Ginásio e spa; Zona de co-work e parque infantil; Rooftops com piscina privativa; Domótica residencial; Excelente price point considerando as amenities disponíveis.</v>
      </c>
      <c r="AK35" t="str">
        <v>Barbosa Guimarães</v>
      </c>
      <c r="AL35" t="str">
        <v>Terracota</v>
      </c>
    </row>
    <row r="36" spans="1:38" x14ac:dyDescent="0.3">
      <c r="A36" s="110" t="str">
        <v>TERRACOTA</v>
      </c>
      <c r="B36" s="110" t="str">
        <v>Vilamoura</v>
      </c>
      <c r="C36" s="110" t="str">
        <v>BS</v>
      </c>
      <c r="D36" s="110" t="str">
        <v>Vilamoura, Algarve</v>
      </c>
      <c r="E36" s="110" t="str">
        <v>T3</v>
      </c>
      <c r="F36" s="110">
        <v>130.91999999999999</v>
      </c>
      <c r="G36" s="110">
        <v>0</v>
      </c>
      <c r="H36" s="110" t="str">
        <v/>
      </c>
      <c r="I36" s="110" t="str">
        <v/>
      </c>
      <c r="J36" s="110">
        <v>0</v>
      </c>
      <c r="K36" s="110">
        <v>0</v>
      </c>
      <c r="L36" s="110">
        <v>0</v>
      </c>
      <c r="M36" s="110">
        <v>0</v>
      </c>
      <c r="N36" s="110">
        <v>0</v>
      </c>
      <c r="O36" s="110">
        <v>130.91999999999999</v>
      </c>
      <c r="P36" s="110">
        <v>0</v>
      </c>
      <c r="Q36" s="110" t="str">
        <v xml:space="preserve">PSPA </v>
      </c>
      <c r="R36" s="110">
        <v>630000</v>
      </c>
      <c r="S36" s="110">
        <v>630000</v>
      </c>
      <c r="T36" s="110">
        <v>650000</v>
      </c>
      <c r="U36" s="110">
        <v>0</v>
      </c>
      <c r="V36" s="110">
        <v>0</v>
      </c>
      <c r="W36" s="110">
        <v>650000</v>
      </c>
      <c r="X36" s="110">
        <v>0</v>
      </c>
      <c r="Y36" s="110">
        <v>650000</v>
      </c>
      <c r="Z36" s="110">
        <v>650000</v>
      </c>
      <c r="AA36" s="110">
        <v>45382</v>
      </c>
      <c r="AB36" s="111" t="str">
        <v>Q1 2024</v>
      </c>
      <c r="AC36">
        <v>46156</v>
      </c>
      <c r="AD36">
        <v>0</v>
      </c>
      <c r="AE36" t="str">
        <v>Ana Damásio</v>
      </c>
      <c r="AF36" t="str">
        <v>Elisabete Figueiredo</v>
      </c>
      <c r="AG36" t="str">
        <v>https://www.vilamouraworld.com/real-estate/terracota/</v>
      </c>
      <c r="AH36" t="str">
        <v>Terracota offers a slice of nature in an urban area – sheltered by spectacular pine trees for a feeling of secluded serenity.</v>
      </c>
      <c r="AI36" t="str">
        <v>Gym, Sauna, Co-Work Area, Condo Pool, Private Pools, Outdoor Areas, Smart Home Technology, Underground Parking</v>
      </c>
      <c r="AJ36" t="str">
        <v>Condomínio privado com exteriores de excelência e generosa piscina em estilo praia; Ginásio e spa; Zona de co-work e parque infantil; Rooftops com piscina privativa; Domótica residencial; Excelente price point considerando as amenities disponíveis.</v>
      </c>
      <c r="AK36" t="str">
        <v>Barbosa Guimarães</v>
      </c>
      <c r="AL36" t="str">
        <v>Terracota</v>
      </c>
    </row>
    <row r="37" spans="1:38" x14ac:dyDescent="0.3">
      <c r="A37" s="110" t="str">
        <v>TERRACOTA</v>
      </c>
      <c r="B37" s="110" t="str">
        <v>Vilamoura</v>
      </c>
      <c r="C37" s="110" t="str">
        <v>BV</v>
      </c>
      <c r="D37" s="110" t="str">
        <v>Vilamoura, Algarve</v>
      </c>
      <c r="E37" s="110" t="str">
        <v>T2</v>
      </c>
      <c r="F37" s="110">
        <v>78.3</v>
      </c>
      <c r="G37" s="110">
        <v>0</v>
      </c>
      <c r="H37" s="110" t="str">
        <v/>
      </c>
      <c r="I37" s="110" t="str">
        <v/>
      </c>
      <c r="J37" s="110">
        <v>0</v>
      </c>
      <c r="K37" s="110">
        <v>0</v>
      </c>
      <c r="L37" s="110">
        <v>0</v>
      </c>
      <c r="M37" s="110">
        <v>0</v>
      </c>
      <c r="N37" s="110">
        <v>0</v>
      </c>
      <c r="O37" s="110">
        <v>78.3</v>
      </c>
      <c r="P37" s="110">
        <v>0</v>
      </c>
      <c r="Q37" s="110" t="str">
        <v xml:space="preserve">PSPA </v>
      </c>
      <c r="R37" s="110">
        <v>435000</v>
      </c>
      <c r="S37" s="110">
        <v>435000</v>
      </c>
      <c r="T37" s="110">
        <v>435000</v>
      </c>
      <c r="U37" s="110">
        <v>0</v>
      </c>
      <c r="V37" s="110">
        <v>0</v>
      </c>
      <c r="W37" s="110">
        <v>435000</v>
      </c>
      <c r="X37" s="110">
        <v>0</v>
      </c>
      <c r="Y37" s="110">
        <v>435000</v>
      </c>
      <c r="Z37" s="110">
        <v>435000</v>
      </c>
      <c r="AA37" s="110">
        <v>45382</v>
      </c>
      <c r="AB37" s="111" t="str">
        <v>Q1 2024</v>
      </c>
      <c r="AC37">
        <v>45862</v>
      </c>
      <c r="AD37">
        <v>0</v>
      </c>
      <c r="AE37" t="str">
        <v>Ana Damásio</v>
      </c>
      <c r="AF37" t="str">
        <v>Elisabete Figueiredo</v>
      </c>
      <c r="AG37" t="str">
        <v>https://www.vilamouraworld.com/real-estate/terracota/</v>
      </c>
      <c r="AH37" t="str">
        <v>Terracota offers a slice of nature in an urban area – sheltered by spectacular pine trees for a feeling of secluded serenity.</v>
      </c>
      <c r="AI37" t="str">
        <v>Gym, Sauna, Co-Work Area, Condo Pool, Private Pools, Outdoor Areas, Smart Home Technology, Underground Parking</v>
      </c>
      <c r="AJ37" t="str">
        <v>Condomínio privado com exteriores de excelência e generosa piscina em estilo praia; Ginásio e spa; Zona de co-work e parque infantil; Rooftops com piscina privativa; Domótica residencial; Excelente price point considerando as amenities disponíveis.</v>
      </c>
      <c r="AK37" t="str">
        <v>Barbosa Guimarães</v>
      </c>
      <c r="AL37" t="str">
        <v>Terracota</v>
      </c>
    </row>
    <row r="38" spans="1:38" x14ac:dyDescent="0.3">
      <c r="A38" s="110" t="str">
        <v>TERRACOTA</v>
      </c>
      <c r="B38" s="110" t="str">
        <v>Vilamoura</v>
      </c>
      <c r="C38" s="110" t="str">
        <v>BW</v>
      </c>
      <c r="D38" s="110" t="str">
        <v>Vilamoura, Algarve</v>
      </c>
      <c r="E38" s="110" t="str">
        <v>T2</v>
      </c>
      <c r="F38" s="110">
        <v>78.3</v>
      </c>
      <c r="G38" s="110">
        <v>0</v>
      </c>
      <c r="H38" s="110" t="str">
        <v/>
      </c>
      <c r="I38" s="110" t="str">
        <v/>
      </c>
      <c r="J38" s="110">
        <v>0</v>
      </c>
      <c r="K38" s="110">
        <v>0</v>
      </c>
      <c r="L38" s="110">
        <v>0</v>
      </c>
      <c r="M38" s="110">
        <v>0</v>
      </c>
      <c r="N38" s="110">
        <v>0</v>
      </c>
      <c r="O38" s="110">
        <v>78.3</v>
      </c>
      <c r="P38" s="110">
        <v>0</v>
      </c>
      <c r="Q38" s="110" t="str">
        <v xml:space="preserve">PSPA </v>
      </c>
      <c r="R38" s="110">
        <v>435000</v>
      </c>
      <c r="S38" s="110">
        <v>435000</v>
      </c>
      <c r="T38" s="110">
        <v>413250</v>
      </c>
      <c r="U38" s="110">
        <v>0</v>
      </c>
      <c r="V38" s="110">
        <v>0</v>
      </c>
      <c r="W38" s="110">
        <v>413250</v>
      </c>
      <c r="X38" s="110">
        <v>0</v>
      </c>
      <c r="Y38" s="110">
        <v>413250</v>
      </c>
      <c r="Z38" s="110">
        <v>413250</v>
      </c>
      <c r="AA38" s="110">
        <v>45382</v>
      </c>
      <c r="AB38" s="111" t="str">
        <v>Q1 2024</v>
      </c>
      <c r="AC38">
        <v>45510</v>
      </c>
      <c r="AD38">
        <v>0</v>
      </c>
      <c r="AE38" t="str">
        <v>Ana Damásio</v>
      </c>
      <c r="AF38" t="str">
        <v>Elisabete Figueiredo</v>
      </c>
      <c r="AG38" t="str">
        <v>https://www.vilamouraworld.com/real-estate/terracota/</v>
      </c>
      <c r="AH38" t="str">
        <v>Terracota offers a slice of nature in an urban area – sheltered by spectacular pine trees for a feeling of secluded serenity.</v>
      </c>
      <c r="AI38" t="str">
        <v>Gym, Sauna, Co-Work Area, Condo Pool, Private Pools, Outdoor Areas, Smart Home Technology, Underground Parking</v>
      </c>
      <c r="AJ38" t="str">
        <v>Condomínio privado com exteriores de excelência e generosa piscina em estilo praia; Ginásio e spa; Zona de co-work e parque infantil; Rooftops com piscina privativa; Domótica residencial; Excelente price point considerando as amenities disponíveis.</v>
      </c>
      <c r="AK38" t="str">
        <v>Barbosa Guimarães</v>
      </c>
      <c r="AL38" t="str">
        <v>Terracota</v>
      </c>
    </row>
    <row r="39" spans="1:38" x14ac:dyDescent="0.3">
      <c r="A39" s="110" t="str">
        <v>TERRACOTA</v>
      </c>
      <c r="B39" s="110" t="str">
        <v>Vilamoura</v>
      </c>
      <c r="C39" s="110" t="str">
        <v>BX</v>
      </c>
      <c r="D39" s="110" t="str">
        <v>Vilamoura, Algarve</v>
      </c>
      <c r="E39" s="110" t="str">
        <v>T2</v>
      </c>
      <c r="F39" s="110">
        <v>104.7</v>
      </c>
      <c r="G39" s="110">
        <v>0</v>
      </c>
      <c r="H39" s="110" t="str">
        <v/>
      </c>
      <c r="I39" s="110" t="str">
        <v/>
      </c>
      <c r="J39" s="110">
        <v>0</v>
      </c>
      <c r="K39" s="110">
        <v>0</v>
      </c>
      <c r="L39" s="110">
        <v>0</v>
      </c>
      <c r="M39" s="110">
        <v>0</v>
      </c>
      <c r="N39" s="110">
        <v>0</v>
      </c>
      <c r="O39" s="110">
        <v>104.7</v>
      </c>
      <c r="P39" s="110">
        <v>0</v>
      </c>
      <c r="Q39" s="110" t="str">
        <v xml:space="preserve">PSPA </v>
      </c>
      <c r="R39" s="110">
        <v>530000</v>
      </c>
      <c r="S39" s="110">
        <v>530000</v>
      </c>
      <c r="T39" s="110">
        <v>530000</v>
      </c>
      <c r="U39" s="110">
        <v>0</v>
      </c>
      <c r="V39" s="110">
        <v>0</v>
      </c>
      <c r="W39" s="110">
        <v>530000</v>
      </c>
      <c r="X39" s="110">
        <v>0</v>
      </c>
      <c r="Y39" s="110">
        <v>530000</v>
      </c>
      <c r="Z39" s="110">
        <v>530000</v>
      </c>
      <c r="AA39" s="110">
        <v>45382</v>
      </c>
      <c r="AB39" s="111" t="str">
        <v>Q1 2024</v>
      </c>
      <c r="AC39">
        <v>45891</v>
      </c>
      <c r="AD39">
        <v>0</v>
      </c>
      <c r="AE39" t="str">
        <v>Ana Damásio</v>
      </c>
      <c r="AF39" t="str">
        <v>Elisabete Figueiredo</v>
      </c>
      <c r="AG39" t="str">
        <v>https://www.vilamouraworld.com/real-estate/terracota/</v>
      </c>
      <c r="AH39" t="str">
        <v>Terracota offers a slice of nature in an urban area – sheltered by spectacular pine trees for a feeling of secluded serenity.</v>
      </c>
      <c r="AI39" t="str">
        <v>Gym, Sauna, Co-Work Area, Condo Pool, Private Pools, Outdoor Areas, Smart Home Technology, Underground Parking</v>
      </c>
      <c r="AJ39" t="str">
        <v>Condomínio privado com exteriores de excelência e generosa piscina em estilo praia; Ginásio e spa; Zona de co-work e parque infantil; Rooftops com piscina privativa; Domótica residencial; Excelente price point considerando as amenities disponíveis.</v>
      </c>
      <c r="AK39" t="str">
        <v>Barbosa Guimarães</v>
      </c>
      <c r="AL39" t="str">
        <v>Terracota</v>
      </c>
    </row>
    <row r="40" spans="1:38" x14ac:dyDescent="0.3">
      <c r="A40" s="110" t="str">
        <v>TERRACOTA</v>
      </c>
      <c r="B40" s="110" t="str">
        <v>Vilamoura</v>
      </c>
      <c r="C40" s="110" t="str">
        <v>BY</v>
      </c>
      <c r="D40" s="110" t="str">
        <v>Vilamoura, Algarve</v>
      </c>
      <c r="E40" s="110" t="str">
        <v>T2</v>
      </c>
      <c r="F40" s="110">
        <v>104.7</v>
      </c>
      <c r="G40" s="110">
        <v>0</v>
      </c>
      <c r="H40" s="110" t="str">
        <v/>
      </c>
      <c r="I40" s="110" t="str">
        <v/>
      </c>
      <c r="J40" s="110">
        <v>0</v>
      </c>
      <c r="K40" s="110">
        <v>0</v>
      </c>
      <c r="L40" s="110">
        <v>0</v>
      </c>
      <c r="M40" s="110">
        <v>0</v>
      </c>
      <c r="N40" s="110">
        <v>0</v>
      </c>
      <c r="O40" s="110">
        <v>104.7</v>
      </c>
      <c r="P40" s="110">
        <v>0</v>
      </c>
      <c r="Q40" s="110" t="str">
        <v xml:space="preserve">PSPA </v>
      </c>
      <c r="R40" s="110">
        <v>530000</v>
      </c>
      <c r="S40" s="110">
        <v>530000</v>
      </c>
      <c r="T40" s="110">
        <v>530000</v>
      </c>
      <c r="U40" s="110">
        <v>0</v>
      </c>
      <c r="V40" s="110">
        <v>0</v>
      </c>
      <c r="W40" s="110">
        <v>530000</v>
      </c>
      <c r="X40" s="110">
        <v>0</v>
      </c>
      <c r="Y40" s="110">
        <v>530000</v>
      </c>
      <c r="Z40" s="110">
        <v>530000</v>
      </c>
      <c r="AA40" s="110">
        <v>45382</v>
      </c>
      <c r="AB40" s="111" t="str">
        <v>Q1 2024</v>
      </c>
      <c r="AC40">
        <v>45931</v>
      </c>
      <c r="AD40">
        <v>0</v>
      </c>
      <c r="AE40" t="str">
        <v>Ana Damásio</v>
      </c>
      <c r="AF40" t="str">
        <v>Elisabete Figueiredo</v>
      </c>
      <c r="AG40" t="str">
        <v>https://www.vilamouraworld.com/real-estate/terracota/</v>
      </c>
      <c r="AH40" t="str">
        <v>Terracota offers a slice of nature in an urban area – sheltered by spectacular pine trees for a feeling of secluded serenity.</v>
      </c>
      <c r="AI40" t="str">
        <v>Gym, Sauna, Co-Work Area, Condo Pool, Private Pools, Outdoor Areas, Smart Home Technology, Underground Parking</v>
      </c>
      <c r="AJ40" t="str">
        <v>Condomínio privado com exteriores de excelência e generosa piscina em estilo praia; Ginásio e spa; Zona de co-work e parque infantil; Rooftops com piscina privativa; Domótica residencial; Excelente price point considerando as amenities disponíveis.</v>
      </c>
      <c r="AK40" t="str">
        <v>Barbosa Guimarães</v>
      </c>
      <c r="AL40" t="str">
        <v>Terracota</v>
      </c>
    </row>
    <row r="41" spans="1:38" x14ac:dyDescent="0.3">
      <c r="A41" s="110" t="str">
        <v>TERRACOTA</v>
      </c>
      <c r="B41" s="110" t="str">
        <v>Vilamoura</v>
      </c>
      <c r="C41" s="110" t="str">
        <v>CA</v>
      </c>
      <c r="D41" s="110" t="str">
        <v>Vilamoura, Algarve</v>
      </c>
      <c r="E41" s="110" t="str">
        <v>T3</v>
      </c>
      <c r="F41" s="110">
        <v>130.91999999999999</v>
      </c>
      <c r="G41" s="110">
        <v>0</v>
      </c>
      <c r="H41" s="110" t="str">
        <v>46024</v>
      </c>
      <c r="I41" s="110" t="str">
        <v/>
      </c>
      <c r="J41" s="110">
        <v>0</v>
      </c>
      <c r="K41" s="110">
        <v>0</v>
      </c>
      <c r="L41" s="110">
        <v>0</v>
      </c>
      <c r="M41" s="110">
        <v>0</v>
      </c>
      <c r="N41" s="110">
        <v>0</v>
      </c>
      <c r="O41" s="110">
        <v>130.91999999999999</v>
      </c>
      <c r="P41" s="110">
        <v>0</v>
      </c>
      <c r="Q41" s="110" t="str">
        <v xml:space="preserve">PSPA </v>
      </c>
      <c r="R41" s="110">
        <v>660000</v>
      </c>
      <c r="S41" s="110">
        <v>660000</v>
      </c>
      <c r="T41" s="110">
        <v>670000</v>
      </c>
      <c r="U41" s="110">
        <v>0</v>
      </c>
      <c r="V41" s="110">
        <v>0</v>
      </c>
      <c r="W41" s="110">
        <v>670000</v>
      </c>
      <c r="X41" s="110">
        <v>0</v>
      </c>
      <c r="Y41" s="110">
        <v>670000</v>
      </c>
      <c r="Z41" s="110">
        <v>670000</v>
      </c>
      <c r="AA41" s="110">
        <v>45382</v>
      </c>
      <c r="AB41" s="111" t="str">
        <v>Q1 2024</v>
      </c>
      <c r="AC41">
        <v>46133</v>
      </c>
      <c r="AD41">
        <v>0</v>
      </c>
      <c r="AE41" t="str">
        <v>Ana Damásio</v>
      </c>
      <c r="AF41" t="str">
        <v>Elisabete Figueiredo</v>
      </c>
      <c r="AG41" t="str">
        <v>https://www.vilamouraworld.com/real-estate/terracota/</v>
      </c>
      <c r="AH41" t="str">
        <v>Terracota offers a slice of nature in an urban area – sheltered by spectacular pine trees for a feeling of secluded serenity.</v>
      </c>
      <c r="AI41" t="str">
        <v>Gym, Sauna, Co-Work Area, Condo Pool, Private Pools, Outdoor Areas, Smart Home Technology, Underground Parking</v>
      </c>
      <c r="AJ41" t="str">
        <v>Condomínio privado com exteriores de excelência e generosa piscina em estilo praia; Ginásio e spa; Zona de co-work e parque infantil; Rooftops com piscina privativa; Domótica residencial; Excelente price point considerando as amenities disponíveis.</v>
      </c>
      <c r="AK41" t="str">
        <v>Barbosa Guimarães</v>
      </c>
      <c r="AL41" t="str">
        <v>Terracota</v>
      </c>
    </row>
    <row r="42" spans="1:38" x14ac:dyDescent="0.3">
      <c r="A42" s="110" t="str">
        <v>TERRACOTA</v>
      </c>
      <c r="B42" s="110" t="str">
        <v>Vilamoura</v>
      </c>
      <c r="C42" s="110" t="str">
        <v>CD</v>
      </c>
      <c r="D42" s="110" t="str">
        <v>Vilamoura, Algarve</v>
      </c>
      <c r="E42" s="110" t="str">
        <v>T2</v>
      </c>
      <c r="F42" s="110">
        <v>78.3</v>
      </c>
      <c r="G42" s="110">
        <v>0</v>
      </c>
      <c r="H42" s="110" t="str">
        <v>29-30</v>
      </c>
      <c r="I42" s="110" t="str">
        <v/>
      </c>
      <c r="J42" s="110">
        <v>0</v>
      </c>
      <c r="K42" s="110">
        <v>0</v>
      </c>
      <c r="L42" s="110">
        <v>0</v>
      </c>
      <c r="M42" s="110">
        <v>0</v>
      </c>
      <c r="N42" s="110">
        <v>0</v>
      </c>
      <c r="O42" s="110">
        <v>78.3</v>
      </c>
      <c r="P42" s="110">
        <v>0</v>
      </c>
      <c r="Q42" s="110" t="str">
        <v xml:space="preserve">PSPA </v>
      </c>
      <c r="R42" s="110">
        <v>455000</v>
      </c>
      <c r="S42" s="110">
        <v>455000</v>
      </c>
      <c r="T42" s="110">
        <v>455000</v>
      </c>
      <c r="U42" s="110">
        <v>0</v>
      </c>
      <c r="V42" s="110">
        <v>0</v>
      </c>
      <c r="W42" s="110">
        <v>455000</v>
      </c>
      <c r="X42" s="110">
        <v>0</v>
      </c>
      <c r="Y42" s="110">
        <v>455000</v>
      </c>
      <c r="Z42" s="110">
        <v>455000</v>
      </c>
      <c r="AA42" s="110">
        <v>45382</v>
      </c>
      <c r="AB42" s="111" t="str">
        <v>Q1 2024</v>
      </c>
      <c r="AC42">
        <v>45834</v>
      </c>
      <c r="AD42">
        <v>0</v>
      </c>
      <c r="AE42" t="str">
        <v>Ana Damásio</v>
      </c>
      <c r="AF42" t="str">
        <v>Elisabete Figueiredo</v>
      </c>
      <c r="AG42" t="str">
        <v>https://www.vilamouraworld.com/real-estate/terracota/</v>
      </c>
      <c r="AH42" t="str">
        <v>Terracota offers a slice of nature in an urban area – sheltered by spectacular pine trees for a feeling of secluded serenity.</v>
      </c>
      <c r="AI42" t="str">
        <v>Gym, Sauna, Co-Work Area, Condo Pool, Private Pools, Outdoor Areas, Smart Home Technology, Underground Parking</v>
      </c>
      <c r="AJ42" t="str">
        <v>Condomínio privado com exteriores de excelência e generosa piscina em estilo praia; Ginásio e spa; Zona de co-work e parque infantil; Rooftops com piscina privativa; Domótica residencial; Excelente price point considerando as amenities disponíveis.</v>
      </c>
      <c r="AK42" t="str">
        <v>Barbosa Guimarães</v>
      </c>
      <c r="AL42" t="str">
        <v>Terracota</v>
      </c>
    </row>
    <row r="43" spans="1:38" x14ac:dyDescent="0.3">
      <c r="A43" s="110" t="str">
        <v>TERRACOTA</v>
      </c>
      <c r="B43" s="110" t="str">
        <v>Vilamoura</v>
      </c>
      <c r="C43" s="110" t="str">
        <v>CF</v>
      </c>
      <c r="D43" s="110" t="str">
        <v>Vilamoura, Algarve</v>
      </c>
      <c r="E43" s="110" t="str">
        <v>T2</v>
      </c>
      <c r="F43" s="110">
        <v>78.3</v>
      </c>
      <c r="G43" s="110">
        <v>0</v>
      </c>
      <c r="H43" s="110" t="str">
        <v>46275</v>
      </c>
      <c r="I43" s="110" t="str">
        <v/>
      </c>
      <c r="J43" s="110">
        <v>0</v>
      </c>
      <c r="K43" s="110">
        <v>0</v>
      </c>
      <c r="L43" s="110">
        <v>0</v>
      </c>
      <c r="M43" s="110">
        <v>0</v>
      </c>
      <c r="N43" s="110">
        <v>0</v>
      </c>
      <c r="O43" s="110">
        <v>78.3</v>
      </c>
      <c r="P43" s="110">
        <v>0</v>
      </c>
      <c r="Q43" s="110" t="str">
        <v xml:space="preserve">PSPA </v>
      </c>
      <c r="R43" s="110">
        <v>455000</v>
      </c>
      <c r="S43" s="110">
        <v>455000</v>
      </c>
      <c r="T43" s="110">
        <v>455000</v>
      </c>
      <c r="U43" s="110">
        <v>0</v>
      </c>
      <c r="V43" s="110">
        <v>0</v>
      </c>
      <c r="W43" s="110">
        <v>455000</v>
      </c>
      <c r="X43" s="110">
        <v>0</v>
      </c>
      <c r="Y43" s="110">
        <v>455000</v>
      </c>
      <c r="Z43" s="110">
        <v>455000</v>
      </c>
      <c r="AA43" s="110">
        <v>45382</v>
      </c>
      <c r="AB43" s="111" t="str">
        <v>Q1 2024</v>
      </c>
      <c r="AC43">
        <v>45898</v>
      </c>
      <c r="AD43">
        <v>0</v>
      </c>
      <c r="AE43" t="str">
        <v>Ana Damásio</v>
      </c>
      <c r="AF43" t="str">
        <v>Elisabete Figueiredo</v>
      </c>
      <c r="AG43" t="str">
        <v>https://www.vilamouraworld.com/real-estate/terracota/</v>
      </c>
      <c r="AH43" t="str">
        <v>Terracota offers a slice of nature in an urban area – sheltered by spectacular pine trees for a feeling of secluded serenity.</v>
      </c>
      <c r="AI43" t="str">
        <v>Gym, Sauna, Co-Work Area, Condo Pool, Private Pools, Outdoor Areas, Smart Home Technology, Underground Parking</v>
      </c>
      <c r="AJ43" t="str">
        <v>Condomínio privado com exteriores de excelência e generosa piscina em estilo praia; Ginásio e spa; Zona de co-work e parque infantil; Rooftops com piscina privativa; Domótica residencial; Excelente price point considerando as amenities disponíveis.</v>
      </c>
      <c r="AK43" t="str">
        <v>Barbosa Guimarães</v>
      </c>
      <c r="AL43" t="str">
        <v>Terracota</v>
      </c>
    </row>
    <row r="44" spans="1:38" x14ac:dyDescent="0.3">
      <c r="A44" s="110" t="str">
        <v>TERRACOTA</v>
      </c>
      <c r="B44" s="110" t="str">
        <v>Vilamoura</v>
      </c>
      <c r="C44" s="110" t="str">
        <v>CG</v>
      </c>
      <c r="D44" s="110" t="str">
        <v>Vilamoura, Algarve</v>
      </c>
      <c r="E44" s="110" t="str">
        <v>T2</v>
      </c>
      <c r="F44" s="110">
        <v>78.3</v>
      </c>
      <c r="G44" s="110">
        <v>0</v>
      </c>
      <c r="H44" s="110" t="str">
        <v>25-26</v>
      </c>
      <c r="I44" s="110" t="str">
        <v/>
      </c>
      <c r="J44" s="110">
        <v>0</v>
      </c>
      <c r="K44" s="110">
        <v>0</v>
      </c>
      <c r="L44" s="110">
        <v>0</v>
      </c>
      <c r="M44" s="110">
        <v>0</v>
      </c>
      <c r="N44" s="110">
        <v>0</v>
      </c>
      <c r="O44" s="110">
        <v>78.3</v>
      </c>
      <c r="P44" s="110">
        <v>0</v>
      </c>
      <c r="Q44" s="110" t="str">
        <v xml:space="preserve">PSPA </v>
      </c>
      <c r="R44" s="110">
        <v>455000</v>
      </c>
      <c r="S44" s="110">
        <v>455000</v>
      </c>
      <c r="T44" s="110">
        <v>455000</v>
      </c>
      <c r="U44" s="110">
        <v>0</v>
      </c>
      <c r="V44" s="110">
        <v>0</v>
      </c>
      <c r="W44" s="110">
        <v>455000</v>
      </c>
      <c r="X44" s="110">
        <v>0</v>
      </c>
      <c r="Y44" s="110">
        <v>455000</v>
      </c>
      <c r="Z44" s="110">
        <v>455000</v>
      </c>
      <c r="AA44" s="110">
        <v>45382</v>
      </c>
      <c r="AB44" s="111" t="str">
        <v>Q1 2024</v>
      </c>
      <c r="AC44">
        <v>45869</v>
      </c>
      <c r="AD44">
        <v>0</v>
      </c>
      <c r="AE44" t="str">
        <v>Ana Damásio</v>
      </c>
      <c r="AF44" t="str">
        <v>Elisabete Figueiredo</v>
      </c>
      <c r="AG44" t="str">
        <v>https://www.vilamouraworld.com/real-estate/terracota/</v>
      </c>
      <c r="AH44" t="str">
        <v>Terracota offers a slice of nature in an urban area – sheltered by spectacular pine trees for a feeling of secluded serenity.</v>
      </c>
      <c r="AI44" t="str">
        <v>Gym, Sauna, Co-Work Area, Condo Pool, Private Pools, Outdoor Areas, Smart Home Technology, Underground Parking</v>
      </c>
      <c r="AJ44" t="str">
        <v>Condomínio privado com exteriores de excelência e generosa piscina em estilo praia; Ginásio e spa; Zona de co-work e parque infantil; Rooftops com piscina privativa; Domótica residencial; Excelente price point considerando as amenities disponíveis.</v>
      </c>
      <c r="AK44" t="str">
        <v>Barbosa Guimarães</v>
      </c>
      <c r="AL44" t="str">
        <v>Terracota</v>
      </c>
    </row>
    <row r="45" spans="1:38" x14ac:dyDescent="0.3">
      <c r="A45" s="110" t="str">
        <v>TERRACOTA</v>
      </c>
      <c r="B45" s="110" t="str">
        <v>Vilamoura</v>
      </c>
      <c r="C45" s="110" t="str">
        <v>CH</v>
      </c>
      <c r="D45" s="110" t="str">
        <v>Vilamoura, Algarve</v>
      </c>
      <c r="E45" s="110" t="str">
        <v>T2</v>
      </c>
      <c r="F45" s="110">
        <v>78.3</v>
      </c>
      <c r="G45" s="110">
        <v>0</v>
      </c>
      <c r="H45" s="110" t="str">
        <v>23-24</v>
      </c>
      <c r="I45" s="110" t="str">
        <v/>
      </c>
      <c r="J45" s="110">
        <v>0</v>
      </c>
      <c r="K45" s="110">
        <v>0</v>
      </c>
      <c r="L45" s="110">
        <v>0</v>
      </c>
      <c r="M45" s="110">
        <v>0</v>
      </c>
      <c r="N45" s="110">
        <v>0</v>
      </c>
      <c r="O45" s="110">
        <v>78.3</v>
      </c>
      <c r="P45" s="110">
        <v>0</v>
      </c>
      <c r="Q45" s="110" t="str">
        <v xml:space="preserve">PSPA </v>
      </c>
      <c r="R45" s="110">
        <v>455000</v>
      </c>
      <c r="S45" s="110">
        <v>455000</v>
      </c>
      <c r="T45" s="110">
        <v>455000</v>
      </c>
      <c r="U45" s="110">
        <v>0</v>
      </c>
      <c r="V45" s="110">
        <v>0</v>
      </c>
      <c r="W45" s="110">
        <v>455000</v>
      </c>
      <c r="X45" s="110">
        <v>0</v>
      </c>
      <c r="Y45" s="110">
        <v>455000</v>
      </c>
      <c r="Z45" s="110">
        <v>455000</v>
      </c>
      <c r="AA45" s="110">
        <v>45382</v>
      </c>
      <c r="AB45" s="111" t="str">
        <v>Q1 2024</v>
      </c>
      <c r="AC45">
        <v>45891</v>
      </c>
      <c r="AD45">
        <v>0</v>
      </c>
      <c r="AE45" t="str">
        <v>Ana Damásio</v>
      </c>
      <c r="AF45" t="str">
        <v>Elisabete Figueiredo</v>
      </c>
      <c r="AG45" t="str">
        <v>https://www.vilamouraworld.com/real-estate/terracota/</v>
      </c>
      <c r="AH45" t="str">
        <v>Terracota offers a slice of nature in an urban area – sheltered by spectacular pine trees for a feeling of secluded serenity.</v>
      </c>
      <c r="AI45" t="str">
        <v>Gym, Sauna, Co-Work Area, Condo Pool, Private Pools, Outdoor Areas, Smart Home Technology, Underground Parking</v>
      </c>
      <c r="AJ45" t="str">
        <v>Condomínio privado com exteriores de excelência e generosa piscina em estilo praia; Ginásio e spa; Zona de co-work e parque infantil; Rooftops com piscina privativa; Domótica residencial; Excelente price point considerando as amenities disponíveis.</v>
      </c>
      <c r="AK45" t="str">
        <v>Barbosa Guimarães</v>
      </c>
      <c r="AL45" t="str">
        <v>Terracota</v>
      </c>
    </row>
    <row r="46" spans="1:38" x14ac:dyDescent="0.3">
      <c r="A46" s="110" t="str">
        <v>TERRACOTA</v>
      </c>
      <c r="B46" s="110" t="str">
        <v>Vilamoura</v>
      </c>
      <c r="C46" s="110" t="str">
        <v>CI</v>
      </c>
      <c r="D46" s="110" t="str">
        <v>Vilamoura, Algarve</v>
      </c>
      <c r="E46" s="110" t="str">
        <v>T2</v>
      </c>
      <c r="F46" s="110">
        <v>104.7</v>
      </c>
      <c r="G46" s="110">
        <v>0</v>
      </c>
      <c r="H46" s="110" t="str">
        <v>46348</v>
      </c>
      <c r="I46" s="110" t="str">
        <v/>
      </c>
      <c r="J46" s="110">
        <v>0</v>
      </c>
      <c r="K46" s="110">
        <v>0</v>
      </c>
      <c r="L46" s="110">
        <v>0</v>
      </c>
      <c r="M46" s="110">
        <v>0</v>
      </c>
      <c r="N46" s="110">
        <v>0</v>
      </c>
      <c r="O46" s="110">
        <v>104.7</v>
      </c>
      <c r="P46" s="110">
        <v>0</v>
      </c>
      <c r="Q46" s="110" t="str">
        <v xml:space="preserve">PSPA </v>
      </c>
      <c r="R46" s="110">
        <v>600000</v>
      </c>
      <c r="S46" s="110">
        <v>600000</v>
      </c>
      <c r="T46" s="110">
        <v>570000</v>
      </c>
      <c r="U46" s="110">
        <v>0</v>
      </c>
      <c r="V46" s="110">
        <v>0</v>
      </c>
      <c r="W46" s="110">
        <v>570000</v>
      </c>
      <c r="X46" s="110">
        <v>0</v>
      </c>
      <c r="Y46" s="110">
        <v>570000</v>
      </c>
      <c r="Z46" s="110">
        <v>570000</v>
      </c>
      <c r="AA46" s="110">
        <v>45382</v>
      </c>
      <c r="AB46" s="111" t="str">
        <v>Q1 2024</v>
      </c>
      <c r="AC46">
        <v>45574</v>
      </c>
      <c r="AD46">
        <v>0</v>
      </c>
      <c r="AE46" t="str">
        <v>Ana Damásio</v>
      </c>
      <c r="AF46" t="str">
        <v>Elisabete Figueiredo</v>
      </c>
      <c r="AG46" t="str">
        <v>https://www.vilamouraworld.com/real-estate/terracota/</v>
      </c>
      <c r="AH46" t="str">
        <v>Terracota offers a slice of nature in an urban area – sheltered by spectacular pine trees for a feeling of secluded serenity.</v>
      </c>
      <c r="AI46" t="str">
        <v>Gym, Sauna, Co-Work Area, Condo Pool, Private Pools, Outdoor Areas, Smart Home Technology, Underground Parking</v>
      </c>
      <c r="AJ46" t="str">
        <v>Condomínio privado com exteriores de excelência e generosa piscina em estilo praia; Ginásio e spa; Zona de co-work e parque infantil; Rooftops com piscina privativa; Domótica residencial; Excelente price point considerando as amenities disponíveis.</v>
      </c>
      <c r="AK46" t="str">
        <v>Barbosa Guimarães</v>
      </c>
      <c r="AL46" t="str">
        <v>Terracota</v>
      </c>
    </row>
    <row r="47" spans="1:38" x14ac:dyDescent="0.3">
      <c r="A47" s="110" t="str">
        <v>TERRACOTA</v>
      </c>
      <c r="B47" s="110" t="str">
        <v>Vilamoura</v>
      </c>
      <c r="C47" s="110" t="str">
        <v>CJ</v>
      </c>
      <c r="D47" s="110" t="str">
        <v>Vilamoura, Algarve</v>
      </c>
      <c r="E47" s="110" t="str">
        <v>T3</v>
      </c>
      <c r="F47" s="110">
        <v>130.91999999999999</v>
      </c>
      <c r="G47" s="110">
        <v>0</v>
      </c>
      <c r="H47" s="110" t="str">
        <v>20-21</v>
      </c>
      <c r="I47" s="110" t="str">
        <v/>
      </c>
      <c r="J47" s="110">
        <v>0</v>
      </c>
      <c r="K47" s="110">
        <v>0</v>
      </c>
      <c r="L47" s="110">
        <v>0</v>
      </c>
      <c r="M47" s="110">
        <v>0</v>
      </c>
      <c r="N47" s="110">
        <v>0</v>
      </c>
      <c r="O47" s="110">
        <v>130.91999999999999</v>
      </c>
      <c r="P47" s="110">
        <v>0</v>
      </c>
      <c r="Q47" s="110" t="str">
        <v xml:space="preserve">PSPA </v>
      </c>
      <c r="R47" s="110">
        <v>740000</v>
      </c>
      <c r="S47" s="110">
        <v>740000</v>
      </c>
      <c r="T47" s="110">
        <v>703000</v>
      </c>
      <c r="U47" s="110">
        <v>0</v>
      </c>
      <c r="V47" s="110">
        <v>0</v>
      </c>
      <c r="W47" s="110">
        <v>703000</v>
      </c>
      <c r="X47" s="110">
        <v>0</v>
      </c>
      <c r="Y47" s="110">
        <v>703000</v>
      </c>
      <c r="Z47" s="110">
        <v>703000</v>
      </c>
      <c r="AA47" s="110">
        <v>45382</v>
      </c>
      <c r="AB47" s="111" t="str">
        <v>Q1 2024</v>
      </c>
      <c r="AC47">
        <v>45574</v>
      </c>
      <c r="AD47">
        <v>0</v>
      </c>
      <c r="AE47" t="str">
        <v>Ana Damásio</v>
      </c>
      <c r="AF47" t="str">
        <v>Elisabete Figueiredo</v>
      </c>
      <c r="AG47" t="str">
        <v>https://www.vilamouraworld.com/real-estate/terracota/</v>
      </c>
      <c r="AH47" t="str">
        <v>Terracota offers a slice of nature in an urban area – sheltered by spectacular pine trees for a feeling of secluded serenity.</v>
      </c>
      <c r="AI47" t="str">
        <v>Gym, Sauna, Co-Work Area, Condo Pool, Private Pools, Outdoor Areas, Smart Home Technology, Underground Parking</v>
      </c>
      <c r="AJ47" t="str">
        <v>Condomínio privado com exteriores de excelência e generosa piscina em estilo praia; Ginásio e spa; Zona de co-work e parque infantil; Rooftops com piscina privativa; Domótica residencial; Excelente price point considerando as amenities disponíveis.</v>
      </c>
      <c r="AK47" t="str">
        <v>Barbosa Guimarães</v>
      </c>
      <c r="AL47" t="str">
        <v>Terracota</v>
      </c>
    </row>
    <row r="48" spans="1:38" x14ac:dyDescent="0.3">
      <c r="A48" s="110" t="str">
        <v>TERRACOTA</v>
      </c>
      <c r="B48" s="110" t="str">
        <v>Vilamoura</v>
      </c>
      <c r="C48" s="110" t="str">
        <v>CK</v>
      </c>
      <c r="D48" s="110" t="str">
        <v>Vilamoura, Algarve</v>
      </c>
      <c r="E48" s="110" t="str">
        <v>T3</v>
      </c>
      <c r="F48" s="110">
        <v>130.91999999999999</v>
      </c>
      <c r="G48" s="110">
        <v>0</v>
      </c>
      <c r="H48" s="110" t="str">
        <v>16-17</v>
      </c>
      <c r="I48" s="110" t="str">
        <v/>
      </c>
      <c r="J48" s="110">
        <v>0</v>
      </c>
      <c r="K48" s="110">
        <v>0</v>
      </c>
      <c r="L48" s="110">
        <v>0</v>
      </c>
      <c r="M48" s="110">
        <v>0</v>
      </c>
      <c r="N48" s="110">
        <v>0</v>
      </c>
      <c r="O48" s="110">
        <v>130.91999999999999</v>
      </c>
      <c r="P48" s="110">
        <v>0</v>
      </c>
      <c r="Q48" s="110" t="str">
        <v xml:space="preserve">PSPA </v>
      </c>
      <c r="R48" s="110">
        <v>740000</v>
      </c>
      <c r="S48" s="110">
        <v>740000</v>
      </c>
      <c r="T48" s="110">
        <v>740000</v>
      </c>
      <c r="U48" s="110">
        <v>0</v>
      </c>
      <c r="V48" s="110">
        <v>0</v>
      </c>
      <c r="W48" s="110">
        <v>740000</v>
      </c>
      <c r="X48" s="110">
        <v>0</v>
      </c>
      <c r="Y48" s="110">
        <v>740000</v>
      </c>
      <c r="Z48" s="110">
        <v>740000</v>
      </c>
      <c r="AA48" s="110">
        <v>45382</v>
      </c>
      <c r="AB48" s="111" t="str">
        <v>Q1 2024</v>
      </c>
      <c r="AC48">
        <v>45887</v>
      </c>
      <c r="AD48">
        <v>0</v>
      </c>
      <c r="AE48" t="str">
        <v>Ana Damásio</v>
      </c>
      <c r="AF48" t="str">
        <v>Elisabete Figueiredo</v>
      </c>
      <c r="AG48" t="str">
        <v>https://www.vilamouraworld.com/real-estate/terracota/</v>
      </c>
      <c r="AH48" t="str">
        <v>Terracota offers a slice of nature in an urban area – sheltered by spectacular pine trees for a feeling of secluded serenity.</v>
      </c>
      <c r="AI48" t="str">
        <v>Gym, Sauna, Co-Work Area, Condo Pool, Private Pools, Outdoor Areas, Smart Home Technology, Underground Parking</v>
      </c>
      <c r="AJ48" t="str">
        <v>Condomínio privado com exteriores de excelência e generosa piscina em estilo praia; Ginásio e spa; Zona de co-work e parque infantil; Rooftops com piscina privativa; Domótica residencial; Excelente price point considerando as amenities disponíveis.</v>
      </c>
      <c r="AK48" t="str">
        <v>Barbosa Guimarães</v>
      </c>
      <c r="AL48" t="str">
        <v>Terracota</v>
      </c>
    </row>
    <row r="49" spans="1:38" x14ac:dyDescent="0.3">
      <c r="A49" t="str">
        <v>TERRACOTA</v>
      </c>
      <c r="B49" t="str">
        <v>Vilamoura</v>
      </c>
      <c r="C49" t="str">
        <v>D</v>
      </c>
      <c r="D49" t="str">
        <v>Vilamoura, Algarve</v>
      </c>
      <c r="E49" t="str">
        <v>T2</v>
      </c>
      <c r="F49">
        <v>78.3</v>
      </c>
      <c r="G49">
        <v>0</v>
      </c>
      <c r="H49" t="str">
        <v/>
      </c>
      <c r="I49" t="str">
        <v/>
      </c>
      <c r="J49">
        <v>0</v>
      </c>
      <c r="K49">
        <v>0</v>
      </c>
      <c r="L49">
        <v>0</v>
      </c>
      <c r="M49" s="79">
        <v>0</v>
      </c>
      <c r="N49">
        <v>0</v>
      </c>
      <c r="O49">
        <v>78.3</v>
      </c>
      <c r="P49">
        <v>0</v>
      </c>
      <c r="Q49" t="str">
        <v xml:space="preserve">PSPA </v>
      </c>
      <c r="R49">
        <v>460000</v>
      </c>
      <c r="S49">
        <v>460000</v>
      </c>
      <c r="T49">
        <v>437000</v>
      </c>
      <c r="U49">
        <v>0</v>
      </c>
      <c r="V49">
        <v>0</v>
      </c>
      <c r="W49">
        <v>437000</v>
      </c>
      <c r="X49">
        <v>0</v>
      </c>
      <c r="Y49">
        <v>437000</v>
      </c>
      <c r="Z49">
        <v>437000</v>
      </c>
      <c r="AA49">
        <v>45382</v>
      </c>
      <c r="AB49" t="str">
        <v>Q1 2024</v>
      </c>
      <c r="AC49">
        <v>45714</v>
      </c>
      <c r="AD49">
        <v>0</v>
      </c>
      <c r="AE49" t="str">
        <v>Ana Damásio</v>
      </c>
      <c r="AF49" t="str">
        <v>Elisabete Figueiredo</v>
      </c>
      <c r="AG49" t="str">
        <v>https://www.vilamouraworld.com/real-estate/terracota/</v>
      </c>
      <c r="AH49" t="str">
        <v>Terracota offers a slice of nature in an urban area – sheltered by spectacular pine trees for a feeling of secluded serenity.</v>
      </c>
      <c r="AI49" t="str">
        <v>Gym, Sauna, Co-Work Area, Condo Pool, Private Pools, Outdoor Areas, Smart Home Technology, Underground Parking</v>
      </c>
      <c r="AJ49" t="str">
        <v>Condomínio privado com exteriores de excelência e generosa piscina em estilo praia; Ginásio e spa; Zona de co-work e parque infantil; Rooftops com piscina privativa; Domótica residencial; Excelente price point considerando as amenities disponíveis.</v>
      </c>
      <c r="AK49" t="str">
        <v>Barbosa Guimarães</v>
      </c>
      <c r="AL49" t="str">
        <v>Terracota</v>
      </c>
    </row>
    <row r="50" spans="1:38" x14ac:dyDescent="0.3">
      <c r="A50" t="str">
        <v>TERRACOTA</v>
      </c>
      <c r="B50" t="str">
        <v>Vilamoura</v>
      </c>
      <c r="C50" t="str">
        <v>E</v>
      </c>
      <c r="D50" t="str">
        <v>Vilamoura, Algarve</v>
      </c>
      <c r="E50" t="str">
        <v>T2</v>
      </c>
      <c r="F50">
        <v>78.3</v>
      </c>
      <c r="G50">
        <v>0</v>
      </c>
      <c r="H50" t="str">
        <v/>
      </c>
      <c r="I50" t="str">
        <v/>
      </c>
      <c r="J50">
        <v>0</v>
      </c>
      <c r="K50">
        <v>0</v>
      </c>
      <c r="L50">
        <v>0</v>
      </c>
      <c r="M50" s="79">
        <v>0</v>
      </c>
      <c r="N50">
        <v>0</v>
      </c>
      <c r="O50">
        <v>78.3</v>
      </c>
      <c r="P50">
        <v>0</v>
      </c>
      <c r="Q50" t="str">
        <v xml:space="preserve">PSPA </v>
      </c>
      <c r="R50">
        <v>760000</v>
      </c>
      <c r="S50">
        <v>760000</v>
      </c>
      <c r="T50">
        <v>399000</v>
      </c>
      <c r="U50">
        <v>0</v>
      </c>
      <c r="V50">
        <v>0</v>
      </c>
      <c r="W50">
        <v>399000</v>
      </c>
      <c r="X50">
        <v>0</v>
      </c>
      <c r="Y50">
        <v>399000</v>
      </c>
      <c r="Z50">
        <v>399000</v>
      </c>
      <c r="AA50">
        <v>45382</v>
      </c>
      <c r="AB50" t="str">
        <v>Q1 2024</v>
      </c>
      <c r="AC50">
        <v>45595</v>
      </c>
      <c r="AD50">
        <v>0</v>
      </c>
      <c r="AE50" t="str">
        <v>Ana Damásio</v>
      </c>
      <c r="AF50" t="str">
        <v>Elisabete Figueiredo</v>
      </c>
      <c r="AG50" t="str">
        <v>https://www.vilamouraworld.com/real-estate/terracota/</v>
      </c>
      <c r="AH50" t="str">
        <v>Terracota offers a slice of nature in an urban area – sheltered by spectacular pine trees for a feeling of secluded serenity.</v>
      </c>
      <c r="AI50" t="str">
        <v>Gym, Sauna, Co-Work Area, Condo Pool, Private Pools, Outdoor Areas, Smart Home Technology, Underground Parking</v>
      </c>
      <c r="AJ50" t="str">
        <v>Condomínio privado com exteriores de excelência e generosa piscina em estilo praia; Ginásio e spa; Zona de co-work e parque infantil; Rooftops com piscina privativa; Domótica residencial; Excelente price point considerando as amenities disponíveis.</v>
      </c>
      <c r="AK50" t="str">
        <v>Barbosa Guimarães</v>
      </c>
      <c r="AL50" t="str">
        <v>Terracota</v>
      </c>
    </row>
    <row r="51" spans="1:38" x14ac:dyDescent="0.3">
      <c r="A51" t="str">
        <v>TERRACOTA</v>
      </c>
      <c r="B51" t="str">
        <v>Vilamoura</v>
      </c>
      <c r="C51" t="str">
        <v>F</v>
      </c>
      <c r="D51" t="str">
        <v>Vilamoura, Algarve</v>
      </c>
      <c r="E51" t="str">
        <v>T2</v>
      </c>
      <c r="F51">
        <v>78.3</v>
      </c>
      <c r="G51">
        <v>0</v>
      </c>
      <c r="H51" t="str">
        <v/>
      </c>
      <c r="I51" t="str">
        <v/>
      </c>
      <c r="J51">
        <v>0</v>
      </c>
      <c r="K51">
        <v>0</v>
      </c>
      <c r="L51">
        <v>0</v>
      </c>
      <c r="M51" s="79">
        <v>0</v>
      </c>
      <c r="N51">
        <v>0</v>
      </c>
      <c r="O51">
        <v>78.3</v>
      </c>
      <c r="P51">
        <v>0</v>
      </c>
      <c r="Q51" t="str">
        <v xml:space="preserve">PSPA </v>
      </c>
      <c r="R51">
        <v>840000</v>
      </c>
      <c r="S51">
        <v>840000</v>
      </c>
      <c r="T51">
        <v>420000</v>
      </c>
      <c r="U51">
        <v>0</v>
      </c>
      <c r="V51">
        <v>0</v>
      </c>
      <c r="W51">
        <v>420000</v>
      </c>
      <c r="X51">
        <v>0</v>
      </c>
      <c r="Y51">
        <v>420000</v>
      </c>
      <c r="Z51">
        <v>420000</v>
      </c>
      <c r="AA51">
        <v>45382</v>
      </c>
      <c r="AB51" t="str">
        <v>Q1 2024</v>
      </c>
      <c r="AC51">
        <v>45747</v>
      </c>
      <c r="AD51">
        <v>0</v>
      </c>
      <c r="AE51" t="str">
        <v>Ana Damásio</v>
      </c>
      <c r="AF51" t="str">
        <v>Elisabete Figueiredo</v>
      </c>
      <c r="AG51" t="str">
        <v>https://www.vilamouraworld.com/real-estate/terracota/</v>
      </c>
      <c r="AH51" t="str">
        <v>Terracota offers a slice of nature in an urban area – sheltered by spectacular pine trees for a feeling of secluded serenity.</v>
      </c>
      <c r="AI51" t="str">
        <v>Gym, Sauna, Co-Work Area, Condo Pool, Private Pools, Outdoor Areas, Smart Home Technology, Underground Parking</v>
      </c>
      <c r="AJ51" t="str">
        <v>Condomínio privado com exteriores de excelência e generosa piscina em estilo praia; Ginásio e spa; Zona de co-work e parque infantil; Rooftops com piscina privativa; Domótica residencial; Excelente price point considerando as amenities disponíveis.</v>
      </c>
      <c r="AK51" t="str">
        <v>Barbosa Guimarães</v>
      </c>
      <c r="AL51" t="str">
        <v>Terracota</v>
      </c>
    </row>
    <row r="52" spans="1:38" x14ac:dyDescent="0.3">
      <c r="A52" t="str">
        <v>TERRACOTA</v>
      </c>
      <c r="B52" t="str">
        <v>Vilamoura</v>
      </c>
      <c r="C52" t="str">
        <v>G</v>
      </c>
      <c r="D52" t="str">
        <v>Vilamoura, Algarve</v>
      </c>
      <c r="E52" t="str">
        <v>T2</v>
      </c>
      <c r="F52">
        <v>78.3</v>
      </c>
      <c r="G52">
        <v>0</v>
      </c>
      <c r="H52" t="str">
        <v/>
      </c>
      <c r="I52" t="str">
        <v/>
      </c>
      <c r="J52">
        <v>0</v>
      </c>
      <c r="K52">
        <v>0</v>
      </c>
      <c r="L52">
        <v>0</v>
      </c>
      <c r="M52" s="79">
        <v>0</v>
      </c>
      <c r="N52">
        <v>0</v>
      </c>
      <c r="O52">
        <v>78.3</v>
      </c>
      <c r="P52">
        <v>0</v>
      </c>
      <c r="Q52" t="str">
        <v xml:space="preserve">PSPA </v>
      </c>
      <c r="R52">
        <v>860000</v>
      </c>
      <c r="S52">
        <v>860000</v>
      </c>
      <c r="T52">
        <v>399000</v>
      </c>
      <c r="U52">
        <v>0</v>
      </c>
      <c r="V52">
        <v>0</v>
      </c>
      <c r="W52">
        <v>399000</v>
      </c>
      <c r="X52">
        <v>0</v>
      </c>
      <c r="Y52">
        <v>399000</v>
      </c>
      <c r="Z52">
        <v>399000</v>
      </c>
      <c r="AA52">
        <v>45382</v>
      </c>
      <c r="AB52" t="str">
        <v>Q1 2024</v>
      </c>
      <c r="AC52">
        <v>45819</v>
      </c>
      <c r="AD52">
        <v>0</v>
      </c>
      <c r="AE52" t="str">
        <v>Ana Damásio</v>
      </c>
      <c r="AF52" t="str">
        <v>Elisabete Figueiredo</v>
      </c>
      <c r="AG52" t="str">
        <v>https://www.vilamouraworld.com/real-estate/terracota/</v>
      </c>
      <c r="AH52" t="str">
        <v>Terracota offers a slice of nature in an urban area – sheltered by spectacular pine trees for a feeling of secluded serenity.</v>
      </c>
      <c r="AI52" t="str">
        <v>Gym, Sauna, Co-Work Area, Condo Pool, Private Pools, Outdoor Areas, Smart Home Technology, Underground Parking</v>
      </c>
      <c r="AJ52" t="str">
        <v>Condomínio privado com exteriores de excelência e generosa piscina em estilo praia; Ginásio e spa; Zona de co-work e parque infantil; Rooftops com piscina privativa; Domótica residencial; Excelente price point considerando as amenities disponíveis.</v>
      </c>
      <c r="AK52" t="str">
        <v>Barbosa Guimarães</v>
      </c>
      <c r="AL52" t="str">
        <v>Terracota</v>
      </c>
    </row>
    <row r="53" spans="1:38" x14ac:dyDescent="0.3">
      <c r="A53" t="str">
        <v>TERRACOTA</v>
      </c>
      <c r="B53" t="str">
        <v>Vilamoura</v>
      </c>
      <c r="C53" t="str">
        <v>H</v>
      </c>
      <c r="D53" t="str">
        <v>Vilamoura, Algarve</v>
      </c>
      <c r="E53" t="str">
        <v>T2</v>
      </c>
      <c r="F53">
        <v>78.3</v>
      </c>
      <c r="G53">
        <v>0</v>
      </c>
      <c r="H53" t="str">
        <v/>
      </c>
      <c r="I53" t="str">
        <v/>
      </c>
      <c r="J53">
        <v>0</v>
      </c>
      <c r="K53">
        <v>0</v>
      </c>
      <c r="L53">
        <v>0</v>
      </c>
      <c r="M53" s="79">
        <v>0</v>
      </c>
      <c r="N53">
        <v>0</v>
      </c>
      <c r="O53">
        <v>78.3</v>
      </c>
      <c r="P53">
        <v>0</v>
      </c>
      <c r="Q53" t="str">
        <v xml:space="preserve">PSPA </v>
      </c>
      <c r="R53">
        <v>1760000</v>
      </c>
      <c r="S53">
        <v>1760000</v>
      </c>
      <c r="T53">
        <v>399000</v>
      </c>
      <c r="U53">
        <v>0</v>
      </c>
      <c r="V53">
        <v>0</v>
      </c>
      <c r="W53">
        <v>399000</v>
      </c>
      <c r="X53">
        <v>0</v>
      </c>
      <c r="Y53">
        <v>399000</v>
      </c>
      <c r="Z53">
        <v>399000</v>
      </c>
      <c r="AA53">
        <v>45382</v>
      </c>
      <c r="AB53" t="str">
        <v>Q1 2024</v>
      </c>
      <c r="AC53">
        <v>45574</v>
      </c>
      <c r="AD53">
        <v>0</v>
      </c>
      <c r="AE53" t="str">
        <v>Ana Damásio</v>
      </c>
      <c r="AF53" t="str">
        <v>Elisabete Figueiredo</v>
      </c>
      <c r="AG53" t="str">
        <v>https://www.vilamouraworld.com/real-estate/terracota/</v>
      </c>
      <c r="AH53" t="str">
        <v>Terracota offers a slice of nature in an urban area – sheltered by spectacular pine trees for a feeling of secluded serenity.</v>
      </c>
      <c r="AI53" t="str">
        <v>Gym, Sauna, Co-Work Area, Condo Pool, Private Pools, Outdoor Areas, Smart Home Technology, Underground Parking</v>
      </c>
      <c r="AJ53" t="str">
        <v>Condomínio privado com exteriores de excelência e generosa piscina em estilo praia; Ginásio e spa; Zona de co-work e parque infantil; Rooftops com piscina privativa; Domótica residencial; Excelente price point considerando as amenities disponíveis.</v>
      </c>
      <c r="AK53" t="str">
        <v>Barbosa Guimarães</v>
      </c>
      <c r="AL53" t="str">
        <v>Terracota</v>
      </c>
    </row>
    <row r="54" spans="1:38" x14ac:dyDescent="0.3">
      <c r="A54" t="str">
        <v>TERRACOTA</v>
      </c>
      <c r="B54" t="str">
        <v>Vilamoura</v>
      </c>
      <c r="C54" t="str">
        <v>I</v>
      </c>
      <c r="D54" t="str">
        <v>Vilamoura, Algarve</v>
      </c>
      <c r="E54" t="str">
        <v>T2</v>
      </c>
      <c r="F54">
        <v>78.3</v>
      </c>
      <c r="G54">
        <v>0</v>
      </c>
      <c r="H54" t="str">
        <v/>
      </c>
      <c r="I54" t="str">
        <v/>
      </c>
      <c r="J54">
        <v>0</v>
      </c>
      <c r="K54">
        <v>0</v>
      </c>
      <c r="L54">
        <v>0</v>
      </c>
      <c r="M54" s="79">
        <v>0</v>
      </c>
      <c r="N54">
        <v>0</v>
      </c>
      <c r="O54">
        <v>78.3</v>
      </c>
      <c r="P54">
        <v>0</v>
      </c>
      <c r="Q54" t="str">
        <v xml:space="preserve">PSPA </v>
      </c>
      <c r="R54">
        <v>1870000</v>
      </c>
      <c r="S54">
        <v>1870000</v>
      </c>
      <c r="T54">
        <v>420000</v>
      </c>
      <c r="U54">
        <v>0</v>
      </c>
      <c r="V54">
        <v>0</v>
      </c>
      <c r="W54">
        <v>420000</v>
      </c>
      <c r="X54">
        <v>0</v>
      </c>
      <c r="Y54">
        <v>420000</v>
      </c>
      <c r="Z54">
        <v>420000</v>
      </c>
      <c r="AA54">
        <v>45382</v>
      </c>
      <c r="AB54" t="str">
        <v>Q1 2024</v>
      </c>
      <c r="AC54">
        <v>45705</v>
      </c>
      <c r="AD54">
        <v>0</v>
      </c>
      <c r="AE54" t="str">
        <v>Ana Damásio</v>
      </c>
      <c r="AF54" t="str">
        <v>Elisabete Figueiredo</v>
      </c>
      <c r="AG54" t="str">
        <v>https://www.vilamouraworld.com/real-estate/terracota/</v>
      </c>
      <c r="AH54" t="str">
        <v>Terracota offers a slice of nature in an urban area – sheltered by spectacular pine trees for a feeling of secluded serenity.</v>
      </c>
      <c r="AI54" t="str">
        <v>Gym, Sauna, Co-Work Area, Condo Pool, Private Pools, Outdoor Areas, Smart Home Technology, Underground Parking</v>
      </c>
      <c r="AJ54" t="str">
        <v>Condomínio privado com exteriores de excelência e generosa piscina em estilo praia; Ginásio e spa; Zona de co-work e parque infantil; Rooftops com piscina privativa; Domótica residencial; Excelente price point considerando as amenities disponíveis.</v>
      </c>
      <c r="AK54" t="str">
        <v>Barbosa Guimarães</v>
      </c>
      <c r="AL54" t="str">
        <v>Terracota</v>
      </c>
    </row>
    <row r="55" spans="1:38" x14ac:dyDescent="0.3">
      <c r="A55" t="str">
        <v>TERRACOTA</v>
      </c>
      <c r="B55" t="str">
        <v>Vilamoura</v>
      </c>
      <c r="C55" t="str">
        <v>AV</v>
      </c>
      <c r="D55" t="str">
        <v>Vilamoura, Algarve</v>
      </c>
      <c r="E55" t="str">
        <v>T3</v>
      </c>
      <c r="F55">
        <v>130.91999999999999</v>
      </c>
      <c r="G55">
        <v>0</v>
      </c>
      <c r="H55" t="str">
        <v/>
      </c>
      <c r="I55" t="str">
        <v/>
      </c>
      <c r="J55">
        <v>0</v>
      </c>
      <c r="K55">
        <v>0</v>
      </c>
      <c r="L55">
        <v>0</v>
      </c>
      <c r="M55" s="79">
        <v>0</v>
      </c>
      <c r="N55">
        <v>0</v>
      </c>
      <c r="O55">
        <v>130.91999999999999</v>
      </c>
      <c r="P55">
        <v>0</v>
      </c>
      <c r="Q55" t="str">
        <v>RESERVED</v>
      </c>
      <c r="R55">
        <v>710000</v>
      </c>
      <c r="S55">
        <v>710000</v>
      </c>
      <c r="T55">
        <v>740000</v>
      </c>
      <c r="U55">
        <v>0</v>
      </c>
      <c r="V55">
        <v>0</v>
      </c>
      <c r="W55">
        <v>740000</v>
      </c>
      <c r="X55">
        <v>0</v>
      </c>
      <c r="Y55">
        <v>740000</v>
      </c>
      <c r="Z55">
        <v>740000</v>
      </c>
      <c r="AA55">
        <v>45382</v>
      </c>
      <c r="AB55" t="str">
        <v>Q1 2024</v>
      </c>
      <c r="AC55">
        <v>46121</v>
      </c>
      <c r="AD55">
        <v>0</v>
      </c>
      <c r="AE55" t="str">
        <v>Ana Damásio</v>
      </c>
      <c r="AF55" t="str">
        <v>Elisabete Figueiredo</v>
      </c>
      <c r="AG55" t="str">
        <v>https://www.vilamouraworld.com/real-estate/terracota/</v>
      </c>
      <c r="AH55" t="str">
        <v>Terracota offers a slice of nature in an urban area – sheltered by spectacular pine trees for a feeling of secluded serenity.</v>
      </c>
      <c r="AI55" t="str">
        <v>Gym, Sauna, Co-Work Area, Condo Pool, Private Pools, Outdoor Areas, Smart Home Technology, Underground Parking</v>
      </c>
      <c r="AJ55" t="str">
        <v>Condomínio privado com exteriores de excelência e generosa piscina em estilo praia; Ginásio e spa; Zona de co-work e parque infantil; Rooftops com piscina privativa; Domótica residencial; Excelente price point considerando as amenities disponíveis.</v>
      </c>
      <c r="AK55" t="str">
        <v>Barbosa Guimarães</v>
      </c>
      <c r="AL55" t="str">
        <v>Terracota</v>
      </c>
    </row>
    <row r="56" spans="1:38" x14ac:dyDescent="0.3">
      <c r="A56" t="str">
        <v>TERRACOTA</v>
      </c>
      <c r="B56" t="str">
        <v>Vilamoura</v>
      </c>
      <c r="C56" t="str">
        <v>J</v>
      </c>
      <c r="D56" t="str">
        <v>Vilamoura, Algarve</v>
      </c>
      <c r="E56" t="str">
        <v>T2</v>
      </c>
      <c r="F56">
        <v>78.3</v>
      </c>
      <c r="G56">
        <v>0</v>
      </c>
      <c r="H56" t="str">
        <v/>
      </c>
      <c r="I56" t="str">
        <v/>
      </c>
      <c r="J56">
        <v>0</v>
      </c>
      <c r="K56">
        <v>0</v>
      </c>
      <c r="L56">
        <v>0</v>
      </c>
      <c r="M56" s="79">
        <v>0</v>
      </c>
      <c r="N56">
        <v>0</v>
      </c>
      <c r="O56">
        <v>78.3</v>
      </c>
      <c r="P56">
        <v>0</v>
      </c>
      <c r="Q56" t="str">
        <v xml:space="preserve">PSPA </v>
      </c>
      <c r="R56">
        <v>440000</v>
      </c>
      <c r="S56">
        <v>440000</v>
      </c>
      <c r="T56">
        <v>418000</v>
      </c>
      <c r="U56">
        <v>0</v>
      </c>
      <c r="V56">
        <v>0</v>
      </c>
      <c r="W56">
        <v>418000</v>
      </c>
      <c r="X56">
        <v>0</v>
      </c>
      <c r="Y56">
        <v>418000</v>
      </c>
      <c r="Z56">
        <v>418000</v>
      </c>
      <c r="AA56">
        <v>45382</v>
      </c>
      <c r="AB56" t="str">
        <v>Q1 2024</v>
      </c>
      <c r="AC56">
        <v>45525</v>
      </c>
      <c r="AD56">
        <v>0</v>
      </c>
      <c r="AE56" t="str">
        <v>Ana Damásio</v>
      </c>
      <c r="AF56" t="str">
        <v>Elisabete Figueiredo</v>
      </c>
      <c r="AG56" t="str">
        <v>https://www.vilamouraworld.com/real-estate/terracota/</v>
      </c>
      <c r="AH56" t="str">
        <v>Terracota offers a slice of nature in an urban area – sheltered by spectacular pine trees for a feeling of secluded serenity.</v>
      </c>
      <c r="AI56" t="str">
        <v>Gym, Sauna, Co-Work Area, Condo Pool, Private Pools, Outdoor Areas, Smart Home Technology, Underground Parking</v>
      </c>
      <c r="AJ56" t="str">
        <v>Condomínio privado com exteriores de excelência e generosa piscina em estilo praia; Ginásio e spa; Zona de co-work e parque infantil; Rooftops com piscina privativa; Domótica residencial; Excelente price point considerando as amenities disponíveis.</v>
      </c>
      <c r="AK56" t="str">
        <v>Barbosa Guimarães</v>
      </c>
      <c r="AL56" t="str">
        <v>Terracota</v>
      </c>
    </row>
    <row r="57" spans="1:38" x14ac:dyDescent="0.3">
      <c r="A57" t="str">
        <v>TERRACOTA</v>
      </c>
      <c r="B57" t="str">
        <v>Vilamoura</v>
      </c>
      <c r="C57" t="str">
        <v>L</v>
      </c>
      <c r="D57" t="str">
        <v>Vilamoura, Algarve</v>
      </c>
      <c r="E57" t="str">
        <v>T2</v>
      </c>
      <c r="F57">
        <v>78.3</v>
      </c>
      <c r="G57">
        <v>0</v>
      </c>
      <c r="H57" t="str">
        <v/>
      </c>
      <c r="I57" t="str">
        <v/>
      </c>
      <c r="J57">
        <v>0</v>
      </c>
      <c r="K57">
        <v>0</v>
      </c>
      <c r="L57">
        <v>0</v>
      </c>
      <c r="M57" s="79">
        <v>0</v>
      </c>
      <c r="N57">
        <v>0</v>
      </c>
      <c r="O57">
        <v>78.3</v>
      </c>
      <c r="P57">
        <v>0</v>
      </c>
      <c r="Q57" t="str">
        <v xml:space="preserve">PSPA </v>
      </c>
      <c r="R57">
        <v>440000</v>
      </c>
      <c r="S57">
        <v>440000</v>
      </c>
      <c r="T57">
        <v>440000</v>
      </c>
      <c r="U57">
        <v>0</v>
      </c>
      <c r="V57">
        <v>0</v>
      </c>
      <c r="W57">
        <v>440000</v>
      </c>
      <c r="X57">
        <v>0</v>
      </c>
      <c r="Y57">
        <v>440000</v>
      </c>
      <c r="Z57">
        <v>440000</v>
      </c>
      <c r="AA57">
        <v>45382</v>
      </c>
      <c r="AB57" t="str">
        <v>Q1 2024</v>
      </c>
      <c r="AC57">
        <v>45657</v>
      </c>
      <c r="AD57">
        <v>0</v>
      </c>
      <c r="AE57" t="str">
        <v>Ana Damásio</v>
      </c>
      <c r="AF57" t="str">
        <v>Elisabete Figueiredo</v>
      </c>
      <c r="AG57" t="str">
        <v>https://www.vilamouraworld.com/real-estate/terracota/</v>
      </c>
      <c r="AH57" t="str">
        <v>Terracota offers a slice of nature in an urban area – sheltered by spectacular pine trees for a feeling of secluded serenity.</v>
      </c>
      <c r="AI57" t="str">
        <v>Gym, Sauna, Co-Work Area, Condo Pool, Private Pools, Outdoor Areas, Smart Home Technology, Underground Parking</v>
      </c>
      <c r="AJ57" t="str">
        <v>Condomínio privado com exteriores de excelência e generosa piscina em estilo praia; Ginásio e spa; Zona de co-work e parque infantil; Rooftops com piscina privativa; Domótica residencial; Excelente price point considerando as amenities disponíveis.</v>
      </c>
      <c r="AK57" t="str">
        <v>Barbosa Guimarães</v>
      </c>
      <c r="AL57" t="str">
        <v>Terracota</v>
      </c>
    </row>
    <row r="58" spans="1:38" x14ac:dyDescent="0.3">
      <c r="A58" t="str">
        <v>TERRACOTA</v>
      </c>
      <c r="B58" t="str">
        <v>Vilamoura</v>
      </c>
      <c r="C58" t="str">
        <v>M</v>
      </c>
      <c r="D58" t="str">
        <v>Vilamoura, Algarve</v>
      </c>
      <c r="E58" t="str">
        <v>T2</v>
      </c>
      <c r="F58">
        <v>78.3</v>
      </c>
      <c r="G58">
        <v>0</v>
      </c>
      <c r="H58" t="str">
        <v/>
      </c>
      <c r="I58" t="str">
        <v/>
      </c>
      <c r="J58">
        <v>0</v>
      </c>
      <c r="K58">
        <v>0</v>
      </c>
      <c r="L58">
        <v>0</v>
      </c>
      <c r="M58" s="79">
        <v>0</v>
      </c>
      <c r="N58">
        <v>0</v>
      </c>
      <c r="O58">
        <v>78.3</v>
      </c>
      <c r="P58">
        <v>0</v>
      </c>
      <c r="Q58" t="str">
        <v xml:space="preserve">PSPA </v>
      </c>
      <c r="R58">
        <v>440000</v>
      </c>
      <c r="S58">
        <v>440000</v>
      </c>
      <c r="T58">
        <v>418000</v>
      </c>
      <c r="U58">
        <v>0</v>
      </c>
      <c r="V58">
        <v>0</v>
      </c>
      <c r="W58">
        <v>418000</v>
      </c>
      <c r="X58">
        <v>0</v>
      </c>
      <c r="Y58">
        <v>418000</v>
      </c>
      <c r="Z58">
        <v>418000</v>
      </c>
      <c r="AA58">
        <v>45382</v>
      </c>
      <c r="AB58" t="str">
        <v>Q1 2024</v>
      </c>
      <c r="AC58">
        <v>45888</v>
      </c>
      <c r="AD58">
        <v>0</v>
      </c>
      <c r="AE58" t="str">
        <v>Ana Damásio</v>
      </c>
      <c r="AF58" t="str">
        <v>Elisabete Figueiredo</v>
      </c>
      <c r="AG58" t="str">
        <v>https://www.vilamouraworld.com/real-estate/terracota/</v>
      </c>
      <c r="AH58" t="str">
        <v>Terracota offers a slice of nature in an urban area – sheltered by spectacular pine trees for a feeling of secluded serenity.</v>
      </c>
      <c r="AI58" t="str">
        <v>Gym, Sauna, Co-Work Area, Condo Pool, Private Pools, Outdoor Areas, Smart Home Technology, Underground Parking</v>
      </c>
      <c r="AJ58" t="str">
        <v>Condomínio privado com exteriores de excelência e generosa piscina em estilo praia; Ginásio e spa; Zona de co-work e parque infantil; Rooftops com piscina privativa; Domótica residencial; Excelente price point considerando as amenities disponíveis.</v>
      </c>
      <c r="AK58" t="str">
        <v>Barbosa Guimarães</v>
      </c>
      <c r="AL58" t="str">
        <v>Terracota</v>
      </c>
    </row>
    <row r="59" spans="1:38" x14ac:dyDescent="0.3">
      <c r="A59" t="str">
        <v>TERRACOTA</v>
      </c>
      <c r="B59" t="str">
        <v>Vilamoura</v>
      </c>
      <c r="C59" t="str">
        <v>N</v>
      </c>
      <c r="D59" t="str">
        <v>Vilamoura, Algarve</v>
      </c>
      <c r="E59" t="str">
        <v>T2</v>
      </c>
      <c r="F59">
        <v>78.3</v>
      </c>
      <c r="G59">
        <v>0</v>
      </c>
      <c r="H59" t="str">
        <v/>
      </c>
      <c r="I59" t="str">
        <v/>
      </c>
      <c r="J59">
        <v>0</v>
      </c>
      <c r="K59">
        <v>0</v>
      </c>
      <c r="L59">
        <v>0</v>
      </c>
      <c r="M59" s="79">
        <v>0</v>
      </c>
      <c r="N59">
        <v>0</v>
      </c>
      <c r="O59">
        <v>78.3</v>
      </c>
      <c r="P59">
        <v>0</v>
      </c>
      <c r="Q59" t="str">
        <v xml:space="preserve">PSPA </v>
      </c>
      <c r="R59">
        <v>440000</v>
      </c>
      <c r="S59">
        <v>440000</v>
      </c>
      <c r="T59">
        <v>440000</v>
      </c>
      <c r="U59">
        <v>0</v>
      </c>
      <c r="V59">
        <v>0</v>
      </c>
      <c r="W59">
        <v>440000</v>
      </c>
      <c r="X59">
        <v>0</v>
      </c>
      <c r="Y59">
        <v>440000</v>
      </c>
      <c r="Z59">
        <v>440000</v>
      </c>
      <c r="AA59">
        <v>45382</v>
      </c>
      <c r="AB59" t="str">
        <v>Q1 2024</v>
      </c>
      <c r="AC59">
        <v>45819</v>
      </c>
      <c r="AD59">
        <v>0</v>
      </c>
      <c r="AE59" t="str">
        <v>Ana Damásio</v>
      </c>
      <c r="AF59" t="str">
        <v>Elisabete Figueiredo</v>
      </c>
      <c r="AG59" t="str">
        <v>https://www.vilamouraworld.com/real-estate/terracota/</v>
      </c>
      <c r="AH59" t="str">
        <v>Terracota offers a slice of nature in an urban area – sheltered by spectacular pine trees for a feeling of secluded serenity.</v>
      </c>
      <c r="AI59" t="str">
        <v>Gym, Sauna, Co-Work Area, Condo Pool, Private Pools, Outdoor Areas, Smart Home Technology, Underground Parking</v>
      </c>
      <c r="AJ59" t="str">
        <v>Condomínio privado com exteriores de excelência e generosa piscina em estilo praia; Ginásio e spa; Zona de co-work e parque infantil; Rooftops com piscina privativa; Domótica residencial; Excelente price point considerando as amenities disponíveis.</v>
      </c>
      <c r="AK59" t="str">
        <v>Barbosa Guimarães</v>
      </c>
      <c r="AL59" t="str">
        <v>Terracota</v>
      </c>
    </row>
    <row r="60" spans="1:38" x14ac:dyDescent="0.3">
      <c r="A60" t="str">
        <v>TERRACOTA</v>
      </c>
      <c r="B60" t="str">
        <v>Vilamoura</v>
      </c>
      <c r="C60" t="str">
        <v>O</v>
      </c>
      <c r="D60" t="str">
        <v>Vilamoura, Algarve</v>
      </c>
      <c r="E60" t="str">
        <v>T2</v>
      </c>
      <c r="F60">
        <v>78.3</v>
      </c>
      <c r="G60">
        <v>0</v>
      </c>
      <c r="H60" t="str">
        <v/>
      </c>
      <c r="I60" t="str">
        <v/>
      </c>
      <c r="J60">
        <v>0</v>
      </c>
      <c r="K60">
        <v>0</v>
      </c>
      <c r="L60">
        <v>0</v>
      </c>
      <c r="M60" s="79">
        <v>0</v>
      </c>
      <c r="N60">
        <v>0</v>
      </c>
      <c r="O60">
        <v>78.3</v>
      </c>
      <c r="P60">
        <v>0</v>
      </c>
      <c r="Q60" t="str">
        <v xml:space="preserve">PSPA </v>
      </c>
      <c r="R60">
        <v>440000</v>
      </c>
      <c r="S60">
        <v>440000</v>
      </c>
      <c r="T60">
        <v>440000</v>
      </c>
      <c r="U60">
        <v>0</v>
      </c>
      <c r="V60">
        <v>0</v>
      </c>
      <c r="W60">
        <v>440000</v>
      </c>
      <c r="X60">
        <v>0</v>
      </c>
      <c r="Y60">
        <v>440000</v>
      </c>
      <c r="Z60">
        <v>440000</v>
      </c>
      <c r="AA60">
        <v>45382</v>
      </c>
      <c r="AB60" t="str">
        <v>Q1 2024</v>
      </c>
      <c r="AC60">
        <v>45671</v>
      </c>
      <c r="AD60">
        <v>0</v>
      </c>
      <c r="AE60" t="str">
        <v>Ana Damásio</v>
      </c>
      <c r="AF60" t="str">
        <v>Elisabete Figueiredo</v>
      </c>
      <c r="AG60" t="str">
        <v>https://www.vilamouraworld.com/real-estate/terracota/</v>
      </c>
      <c r="AH60" t="str">
        <v>Terracota offers a slice of nature in an urban area – sheltered by spectacular pine trees for a feeling of secluded serenity.</v>
      </c>
      <c r="AI60" t="str">
        <v>Gym, Sauna, Co-Work Area, Condo Pool, Private Pools, Outdoor Areas, Smart Home Technology, Underground Parking</v>
      </c>
      <c r="AJ60" t="str">
        <v>Condomínio privado com exteriores de excelência e generosa piscina em estilo praia; Ginásio e spa; Zona de co-work e parque infantil; Rooftops com piscina privativa; Domótica residencial; Excelente price point considerando as amenities disponíveis.</v>
      </c>
      <c r="AK60" t="str">
        <v>Barbosa Guimarães</v>
      </c>
      <c r="AL60" t="str">
        <v>Terracota</v>
      </c>
    </row>
    <row r="61" spans="1:38" x14ac:dyDescent="0.3">
      <c r="A61" t="str">
        <v>TERRACOTA</v>
      </c>
      <c r="B61" t="str">
        <v>Vilamoura</v>
      </c>
      <c r="C61" t="str">
        <v>P</v>
      </c>
      <c r="D61" t="str">
        <v>Vilamoura, Algarve</v>
      </c>
      <c r="E61" t="str">
        <v>T2</v>
      </c>
      <c r="F61">
        <v>78.3</v>
      </c>
      <c r="G61">
        <v>0</v>
      </c>
      <c r="H61" t="str">
        <v/>
      </c>
      <c r="I61" t="str">
        <v/>
      </c>
      <c r="J61">
        <v>0</v>
      </c>
      <c r="K61">
        <v>0</v>
      </c>
      <c r="L61">
        <v>0</v>
      </c>
      <c r="M61" s="79">
        <v>0</v>
      </c>
      <c r="N61">
        <v>0</v>
      </c>
      <c r="O61">
        <v>78.3</v>
      </c>
      <c r="P61">
        <v>0</v>
      </c>
      <c r="Q61" t="str">
        <v xml:space="preserve">PSPA </v>
      </c>
      <c r="R61">
        <v>460000</v>
      </c>
      <c r="S61">
        <v>460000</v>
      </c>
      <c r="T61">
        <v>437000</v>
      </c>
      <c r="U61">
        <v>0</v>
      </c>
      <c r="V61">
        <v>0</v>
      </c>
      <c r="W61">
        <v>437000</v>
      </c>
      <c r="X61">
        <v>0</v>
      </c>
      <c r="Y61">
        <v>437000</v>
      </c>
      <c r="Z61">
        <v>437000</v>
      </c>
      <c r="AA61">
        <v>45382</v>
      </c>
      <c r="AB61" t="str">
        <v>Q1 2024</v>
      </c>
      <c r="AC61">
        <v>45614</v>
      </c>
      <c r="AD61">
        <v>0</v>
      </c>
      <c r="AE61" t="str">
        <v>Ana Damásio</v>
      </c>
      <c r="AF61" t="str">
        <v>Elisabete Figueiredo</v>
      </c>
      <c r="AG61" t="str">
        <v>https://www.vilamouraworld.com/real-estate/terracota/</v>
      </c>
      <c r="AH61" t="str">
        <v>Terracota offers a slice of nature in an urban area – sheltered by spectacular pine trees for a feeling of secluded serenity.</v>
      </c>
      <c r="AI61" t="str">
        <v>Gym, Sauna, Co-Work Area, Condo Pool, Private Pools, Outdoor Areas, Smart Home Technology, Underground Parking</v>
      </c>
      <c r="AJ61" t="str">
        <v>Condomínio privado com exteriores de excelência e generosa piscina em estilo praia; Ginásio e spa; Zona de co-work e parque infantil; Rooftops com piscina privativa; Domótica residencial; Excelente price point considerando as amenities disponíveis.</v>
      </c>
      <c r="AK61" t="str">
        <v>Barbosa Guimarães</v>
      </c>
      <c r="AL61" t="str">
        <v>Terracota</v>
      </c>
    </row>
    <row r="62" spans="1:38" x14ac:dyDescent="0.3">
      <c r="A62" t="str">
        <v>TERRACOTA</v>
      </c>
      <c r="B62" t="str">
        <v>Vilamoura</v>
      </c>
      <c r="C62" t="str">
        <v>R</v>
      </c>
      <c r="D62" t="str">
        <v>Vilamoura, Algarve</v>
      </c>
      <c r="E62" t="str">
        <v>T2</v>
      </c>
      <c r="F62">
        <v>104.7</v>
      </c>
      <c r="G62">
        <v>0</v>
      </c>
      <c r="H62" t="str">
        <v/>
      </c>
      <c r="I62" t="str">
        <v/>
      </c>
      <c r="J62">
        <v>0</v>
      </c>
      <c r="K62">
        <v>0</v>
      </c>
      <c r="L62">
        <v>0</v>
      </c>
      <c r="M62" s="79">
        <v>0</v>
      </c>
      <c r="N62">
        <v>0</v>
      </c>
      <c r="O62">
        <v>104.7</v>
      </c>
      <c r="P62">
        <v>0</v>
      </c>
      <c r="Q62" t="str">
        <v xml:space="preserve">PSPA </v>
      </c>
      <c r="R62">
        <v>575000</v>
      </c>
      <c r="S62">
        <v>575000</v>
      </c>
      <c r="T62">
        <v>575000</v>
      </c>
      <c r="U62">
        <v>0</v>
      </c>
      <c r="V62">
        <v>0</v>
      </c>
      <c r="W62">
        <v>575000</v>
      </c>
      <c r="X62">
        <v>0</v>
      </c>
      <c r="Y62">
        <v>575000</v>
      </c>
      <c r="Z62">
        <v>575000</v>
      </c>
      <c r="AA62">
        <v>45382</v>
      </c>
      <c r="AB62" t="str">
        <v>Q1 2024</v>
      </c>
      <c r="AC62">
        <v>45876</v>
      </c>
      <c r="AD62">
        <v>0</v>
      </c>
      <c r="AE62" t="str">
        <v>Ana Damásio</v>
      </c>
      <c r="AF62" t="str">
        <v>Elisabete Figueiredo</v>
      </c>
      <c r="AG62" t="str">
        <v>https://www.vilamouraworld.com/real-estate/terracota/</v>
      </c>
      <c r="AH62" t="str">
        <v>Terracota offers a slice of nature in an urban area – sheltered by spectacular pine trees for a feeling of secluded serenity.</v>
      </c>
      <c r="AI62" t="str">
        <v>Gym, Sauna, Co-Work Area, Condo Pool, Private Pools, Outdoor Areas, Smart Home Technology, Underground Parking</v>
      </c>
      <c r="AJ62" t="str">
        <v>Condomínio privado com exteriores de excelência e generosa piscina em estilo praia; Ginásio e spa; Zona de co-work e parque infantil; Rooftops com piscina privativa; Domótica residencial; Excelente price point considerando as amenities disponíveis.</v>
      </c>
      <c r="AK62" t="str">
        <v>Barbosa Guimarães</v>
      </c>
      <c r="AL62" t="str">
        <v>Terracota</v>
      </c>
    </row>
    <row r="63" spans="1:38" x14ac:dyDescent="0.3">
      <c r="A63" t="str">
        <v>TERRACOTA</v>
      </c>
      <c r="B63" t="str">
        <v>Vilamoura</v>
      </c>
      <c r="C63" t="str">
        <v>S</v>
      </c>
      <c r="D63" t="str">
        <v>Vilamoura, Algarve</v>
      </c>
      <c r="E63" t="str">
        <v>T3</v>
      </c>
      <c r="F63">
        <v>130.91999999999999</v>
      </c>
      <c r="G63">
        <v>0</v>
      </c>
      <c r="H63" t="str">
        <v/>
      </c>
      <c r="I63" t="str">
        <v/>
      </c>
      <c r="J63">
        <v>0</v>
      </c>
      <c r="K63">
        <v>0</v>
      </c>
      <c r="L63">
        <v>0</v>
      </c>
      <c r="M63" s="79">
        <v>0</v>
      </c>
      <c r="N63">
        <v>0</v>
      </c>
      <c r="O63">
        <v>130.91999999999999</v>
      </c>
      <c r="P63">
        <v>0</v>
      </c>
      <c r="Q63" t="str">
        <v xml:space="preserve">PSPA </v>
      </c>
      <c r="R63">
        <v>700000</v>
      </c>
      <c r="S63">
        <v>700000</v>
      </c>
      <c r="T63">
        <v>700000</v>
      </c>
      <c r="U63">
        <v>0</v>
      </c>
      <c r="V63">
        <v>0</v>
      </c>
      <c r="W63">
        <v>700000</v>
      </c>
      <c r="X63">
        <v>0</v>
      </c>
      <c r="Y63">
        <v>700000</v>
      </c>
      <c r="Z63">
        <v>700000</v>
      </c>
      <c r="AA63">
        <v>45382</v>
      </c>
      <c r="AB63" t="str">
        <v>Q1 2024</v>
      </c>
      <c r="AC63">
        <v>45891</v>
      </c>
      <c r="AD63">
        <v>0</v>
      </c>
      <c r="AE63" t="str">
        <v>Ana Damásio</v>
      </c>
      <c r="AF63" t="str">
        <v>Elisabete Figueiredo</v>
      </c>
      <c r="AG63" t="str">
        <v>https://www.vilamouraworld.com/real-estate/terracota/</v>
      </c>
      <c r="AH63" t="str">
        <v>Terracota offers a slice of nature in an urban area – sheltered by spectacular pine trees for a feeling of secluded serenity.</v>
      </c>
      <c r="AI63" t="str">
        <v>Gym, Sauna, Co-Work Area, Condo Pool, Private Pools, Outdoor Areas, Smart Home Technology, Underground Parking</v>
      </c>
      <c r="AJ63" t="str">
        <v>Condomínio privado com exteriores de excelência e generosa piscina em estilo praia; Ginásio e spa; Zona de co-work e parque infantil; Rooftops com piscina privativa; Domótica residencial; Excelente price point considerando as amenities disponíveis.</v>
      </c>
      <c r="AK63" t="str">
        <v>Barbosa Guimarães</v>
      </c>
      <c r="AL63" t="str">
        <v>Terracota</v>
      </c>
    </row>
    <row r="64" spans="1:38" x14ac:dyDescent="0.3">
      <c r="A64" t="str">
        <v>TERRACOTA</v>
      </c>
      <c r="B64" t="str">
        <v>Vilamoura</v>
      </c>
      <c r="C64" t="str">
        <v>T</v>
      </c>
      <c r="D64" t="str">
        <v>Vilamoura, Algarve</v>
      </c>
      <c r="E64" t="str">
        <v>T3</v>
      </c>
      <c r="F64">
        <v>130.91999999999999</v>
      </c>
      <c r="G64">
        <v>0</v>
      </c>
      <c r="H64" t="str">
        <v/>
      </c>
      <c r="I64" t="str">
        <v/>
      </c>
      <c r="J64">
        <v>0</v>
      </c>
      <c r="K64">
        <v>0</v>
      </c>
      <c r="L64">
        <v>0</v>
      </c>
      <c r="M64" s="79">
        <v>0</v>
      </c>
      <c r="N64">
        <v>0</v>
      </c>
      <c r="O64">
        <v>130.91999999999999</v>
      </c>
      <c r="P64">
        <v>0</v>
      </c>
      <c r="Q64" t="str">
        <v xml:space="preserve">PSPA </v>
      </c>
      <c r="R64">
        <v>660000</v>
      </c>
      <c r="S64">
        <v>660000</v>
      </c>
      <c r="T64">
        <v>660000</v>
      </c>
      <c r="U64">
        <v>0</v>
      </c>
      <c r="V64">
        <v>0</v>
      </c>
      <c r="W64">
        <v>660000</v>
      </c>
      <c r="X64">
        <v>0</v>
      </c>
      <c r="Y64">
        <v>660000</v>
      </c>
      <c r="Z64">
        <v>660000</v>
      </c>
      <c r="AA64">
        <v>45382</v>
      </c>
      <c r="AB64" t="str">
        <v>Q1 2024</v>
      </c>
      <c r="AC64">
        <v>45967</v>
      </c>
      <c r="AD64">
        <v>0</v>
      </c>
      <c r="AE64" t="str">
        <v>Ana Damásio</v>
      </c>
      <c r="AF64" t="str">
        <v>Elisabete Figueiredo</v>
      </c>
      <c r="AG64" t="str">
        <v>https://www.vilamouraworld.com/real-estate/terracota/</v>
      </c>
      <c r="AH64" t="str">
        <v>Terracota offers a slice of nature in an urban area – sheltered by spectacular pine trees for a feeling of secluded serenity.</v>
      </c>
      <c r="AI64" t="str">
        <v>Gym, Sauna, Co-Work Area, Condo Pool, Private Pools, Outdoor Areas, Smart Home Technology, Underground Parking</v>
      </c>
      <c r="AJ64" t="str">
        <v>Condomínio privado com exteriores de excelência e generosa piscina em estilo praia; Ginásio e spa; Zona de co-work e parque infantil; Rooftops com piscina privativa; Domótica residencial; Excelente price point considerando as amenities disponíveis.</v>
      </c>
      <c r="AK64" t="str">
        <v>Barbosa Guimarães</v>
      </c>
      <c r="AL64" t="str">
        <v>Terracota</v>
      </c>
    </row>
    <row r="65" spans="1:38" x14ac:dyDescent="0.3">
      <c r="A65" t="str">
        <v>TERRACOTA</v>
      </c>
      <c r="B65" t="str">
        <v>Vilamoura</v>
      </c>
      <c r="C65" t="str">
        <v>U</v>
      </c>
      <c r="D65" t="str">
        <v>Vilamoura, Algarve</v>
      </c>
      <c r="E65" t="str">
        <v>T3</v>
      </c>
      <c r="F65">
        <v>130.91999999999999</v>
      </c>
      <c r="G65">
        <v>0</v>
      </c>
      <c r="H65" t="str">
        <v/>
      </c>
      <c r="I65" t="str">
        <v/>
      </c>
      <c r="J65">
        <v>0</v>
      </c>
      <c r="K65">
        <v>0</v>
      </c>
      <c r="L65">
        <v>0</v>
      </c>
      <c r="M65" s="79">
        <v>0</v>
      </c>
      <c r="N65">
        <v>0</v>
      </c>
      <c r="O65">
        <v>130.91999999999999</v>
      </c>
      <c r="P65">
        <v>0</v>
      </c>
      <c r="Q65" t="str">
        <v xml:space="preserve">PSPA </v>
      </c>
      <c r="R65">
        <v>660000</v>
      </c>
      <c r="S65">
        <v>660000</v>
      </c>
      <c r="T65">
        <v>680000</v>
      </c>
      <c r="U65">
        <v>0</v>
      </c>
      <c r="V65">
        <v>0</v>
      </c>
      <c r="W65">
        <v>680000</v>
      </c>
      <c r="X65">
        <v>0</v>
      </c>
      <c r="Y65">
        <v>680000</v>
      </c>
      <c r="Z65">
        <v>680000</v>
      </c>
      <c r="AA65">
        <v>45382</v>
      </c>
      <c r="AB65" t="str">
        <v>Q1 2024</v>
      </c>
      <c r="AC65">
        <v>45922</v>
      </c>
      <c r="AD65">
        <v>0</v>
      </c>
      <c r="AE65" t="str">
        <v>Ana Damásio</v>
      </c>
      <c r="AF65" t="str">
        <v>Elisabete Figueiredo</v>
      </c>
      <c r="AG65" t="str">
        <v>https://www.vilamouraworld.com/real-estate/terracota/</v>
      </c>
      <c r="AH65" t="str">
        <v>Terracota offers a slice of nature in an urban area – sheltered by spectacular pine trees for a feeling of secluded serenity.</v>
      </c>
      <c r="AI65" t="str">
        <v>Gym, Sauna, Co-Work Area, Condo Pool, Private Pools, Outdoor Areas, Smart Home Technology, Underground Parking</v>
      </c>
      <c r="AJ65" t="str">
        <v>Condomínio privado com exteriores de excelência e generosa piscina em estilo praia; Ginásio e spa; Zona de co-work e parque infantil; Rooftops com piscina privativa; Domótica residencial; Excelente price point considerando as amenities disponíveis.</v>
      </c>
      <c r="AK65" t="str">
        <v>Barbosa Guimarães</v>
      </c>
      <c r="AL65" t="str">
        <v>Terracota</v>
      </c>
    </row>
    <row r="66" spans="1:38" x14ac:dyDescent="0.3">
      <c r="A66" t="str">
        <v>TERRACOTA</v>
      </c>
      <c r="B66" t="str">
        <v>Vilamoura</v>
      </c>
      <c r="C66" t="str">
        <v>V</v>
      </c>
      <c r="D66" t="str">
        <v>Vilamoura, Algarve</v>
      </c>
      <c r="E66" t="str">
        <v>T3</v>
      </c>
      <c r="F66">
        <v>130.91999999999999</v>
      </c>
      <c r="G66">
        <v>0</v>
      </c>
      <c r="H66" t="str">
        <v/>
      </c>
      <c r="I66" t="str">
        <v/>
      </c>
      <c r="J66">
        <v>0</v>
      </c>
      <c r="K66">
        <v>0</v>
      </c>
      <c r="L66">
        <v>0</v>
      </c>
      <c r="M66" s="79">
        <v>0</v>
      </c>
      <c r="N66">
        <v>0</v>
      </c>
      <c r="O66">
        <v>130.91999999999999</v>
      </c>
      <c r="P66">
        <v>0</v>
      </c>
      <c r="Q66" t="str">
        <v xml:space="preserve">PSPA </v>
      </c>
      <c r="R66">
        <v>660000</v>
      </c>
      <c r="S66">
        <v>660000</v>
      </c>
      <c r="T66">
        <v>660000</v>
      </c>
      <c r="U66">
        <v>0</v>
      </c>
      <c r="V66">
        <v>0</v>
      </c>
      <c r="W66">
        <v>660000</v>
      </c>
      <c r="X66">
        <v>0</v>
      </c>
      <c r="Y66">
        <v>660000</v>
      </c>
      <c r="Z66">
        <v>660000</v>
      </c>
      <c r="AA66">
        <v>45382</v>
      </c>
      <c r="AB66" t="str">
        <v>Q1 2024</v>
      </c>
      <c r="AC66">
        <v>45947</v>
      </c>
      <c r="AD66">
        <v>0</v>
      </c>
      <c r="AE66" t="str">
        <v>Ana Damásio</v>
      </c>
      <c r="AF66" t="str">
        <v>Elisabete Figueiredo</v>
      </c>
      <c r="AG66" t="str">
        <v>https://www.vilamouraworld.com/real-estate/terracota/</v>
      </c>
      <c r="AH66" t="str">
        <v>Terracota offers a slice of nature in an urban area – sheltered by spectacular pine trees for a feeling of secluded serenity.</v>
      </c>
      <c r="AI66" t="str">
        <v>Gym, Sauna, Co-Work Area, Condo Pool, Private Pools, Outdoor Areas, Smart Home Technology, Underground Parking</v>
      </c>
      <c r="AJ66" t="str">
        <v>Condomínio privado com exteriores de excelência e generosa piscina em estilo praia; Ginásio e spa; Zona de co-work e parque infantil; Rooftops com piscina privativa; Domótica residencial; Excelente price point considerando as amenities disponíveis.</v>
      </c>
      <c r="AK66" t="str">
        <v>Barbosa Guimarães</v>
      </c>
      <c r="AL66" t="str">
        <v>Terracota</v>
      </c>
    </row>
    <row r="67" spans="1:38" x14ac:dyDescent="0.3">
      <c r="A67" t="str">
        <v>TERRACOTA</v>
      </c>
      <c r="B67" t="str">
        <v>Vilamoura</v>
      </c>
      <c r="C67" t="str">
        <v>W</v>
      </c>
      <c r="D67" t="str">
        <v>Vilamoura, Algarve</v>
      </c>
      <c r="E67" t="str">
        <v>T3</v>
      </c>
      <c r="F67">
        <v>130.91999999999999</v>
      </c>
      <c r="G67">
        <v>0</v>
      </c>
      <c r="H67" t="str">
        <v/>
      </c>
      <c r="I67" t="str">
        <v/>
      </c>
      <c r="J67">
        <v>0</v>
      </c>
      <c r="K67">
        <v>0</v>
      </c>
      <c r="L67">
        <v>0</v>
      </c>
      <c r="M67" s="79">
        <v>0</v>
      </c>
      <c r="N67">
        <v>0</v>
      </c>
      <c r="O67">
        <v>130.91999999999999</v>
      </c>
      <c r="P67">
        <v>0</v>
      </c>
      <c r="Q67" t="str">
        <v xml:space="preserve">PSPA </v>
      </c>
      <c r="R67">
        <v>660000</v>
      </c>
      <c r="S67">
        <v>660000</v>
      </c>
      <c r="T67">
        <v>660000</v>
      </c>
      <c r="U67">
        <v>0</v>
      </c>
      <c r="V67">
        <v>0</v>
      </c>
      <c r="W67">
        <v>660000</v>
      </c>
      <c r="X67">
        <v>0</v>
      </c>
      <c r="Y67">
        <v>660000</v>
      </c>
      <c r="Z67">
        <v>660000</v>
      </c>
      <c r="AA67">
        <v>45382</v>
      </c>
      <c r="AB67" t="str">
        <v>Q1 2024</v>
      </c>
      <c r="AC67">
        <v>45954</v>
      </c>
      <c r="AD67">
        <v>0</v>
      </c>
      <c r="AE67" t="str">
        <v>Ana Damásio</v>
      </c>
      <c r="AF67" t="str">
        <v>Elisabete Figueiredo</v>
      </c>
      <c r="AG67" t="str">
        <v>https://www.vilamouraworld.com/real-estate/terracota/</v>
      </c>
      <c r="AH67" t="str">
        <v>Terracota offers a slice of nature in an urban area – sheltered by spectacular pine trees for a feeling of secluded serenity.</v>
      </c>
      <c r="AI67" t="str">
        <v>Gym, Sauna, Co-Work Area, Condo Pool, Private Pools, Outdoor Areas, Smart Home Technology, Underground Parking</v>
      </c>
      <c r="AJ67" t="str">
        <v>Condomínio privado com exteriores de excelência e generosa piscina em estilo praia; Ginásio e spa; Zona de co-work e parque infantil; Rooftops com piscina privativa; Domótica residencial; Excelente price point considerando as amenities disponíveis.</v>
      </c>
      <c r="AK67" t="str">
        <v>Barbosa Guimarães</v>
      </c>
      <c r="AL67" t="str">
        <v>Terracota</v>
      </c>
    </row>
    <row r="68" spans="1:38" x14ac:dyDescent="0.3">
      <c r="A68" t="str">
        <v>TERRACOTA</v>
      </c>
      <c r="B68" t="str">
        <v>Vilamoura</v>
      </c>
      <c r="C68" t="str">
        <v>X</v>
      </c>
      <c r="D68" t="str">
        <v>Vilamoura, Algarve</v>
      </c>
      <c r="E68" t="str">
        <v>T3</v>
      </c>
      <c r="F68">
        <v>130.91999999999999</v>
      </c>
      <c r="G68">
        <v>0</v>
      </c>
      <c r="H68" t="str">
        <v/>
      </c>
      <c r="I68" t="str">
        <v/>
      </c>
      <c r="J68">
        <v>0</v>
      </c>
      <c r="K68">
        <v>0</v>
      </c>
      <c r="L68">
        <v>0</v>
      </c>
      <c r="M68" s="79">
        <v>0</v>
      </c>
      <c r="N68">
        <v>0</v>
      </c>
      <c r="O68">
        <v>130.91999999999999</v>
      </c>
      <c r="P68">
        <v>0</v>
      </c>
      <c r="Q68" t="str">
        <v xml:space="preserve">PSPA </v>
      </c>
      <c r="R68">
        <v>660000</v>
      </c>
      <c r="S68">
        <v>660000</v>
      </c>
      <c r="T68">
        <v>660000</v>
      </c>
      <c r="U68">
        <v>0</v>
      </c>
      <c r="V68">
        <v>0</v>
      </c>
      <c r="W68">
        <v>660000</v>
      </c>
      <c r="X68">
        <v>0</v>
      </c>
      <c r="Y68">
        <v>660000</v>
      </c>
      <c r="Z68">
        <v>660000</v>
      </c>
      <c r="AA68">
        <v>45382</v>
      </c>
      <c r="AB68" t="str">
        <v>Q1 2024</v>
      </c>
      <c r="AC68">
        <v>45604</v>
      </c>
      <c r="AD68">
        <v>0</v>
      </c>
      <c r="AE68" t="str">
        <v>Ana Damásio</v>
      </c>
      <c r="AF68" t="str">
        <v>Elisabete Figueiredo</v>
      </c>
      <c r="AG68" t="str">
        <v>https://www.vilamouraworld.com/real-estate/terracota/</v>
      </c>
      <c r="AH68" t="str">
        <v>Terracota offers a slice of nature in an urban area – sheltered by spectacular pine trees for a feeling of secluded serenity.</v>
      </c>
      <c r="AI68" t="str">
        <v>Gym, Sauna, Co-Work Area, Condo Pool, Private Pools, Outdoor Areas, Smart Home Technology, Underground Parking</v>
      </c>
      <c r="AJ68" t="str">
        <v>Condomínio privado com exteriores de excelência e generosa piscina em estilo praia; Ginásio e spa; Zona de co-work e parque infantil; Rooftops com piscina privativa; Domótica residencial; Excelente price point considerando as amenities disponíveis.</v>
      </c>
      <c r="AK68" t="str">
        <v>Barbosa Guimarães</v>
      </c>
      <c r="AL68" t="str">
        <v>Terracota</v>
      </c>
    </row>
    <row r="69" spans="1:38" x14ac:dyDescent="0.3">
      <c r="A69" t="str">
        <v>TERRACOTA</v>
      </c>
      <c r="B69" t="str">
        <v>Vilamoura</v>
      </c>
      <c r="C69" t="str">
        <v>Y</v>
      </c>
      <c r="D69" t="str">
        <v>Vilamoura, Algarve</v>
      </c>
      <c r="E69" t="str">
        <v>T3</v>
      </c>
      <c r="F69">
        <v>130.91999999999999</v>
      </c>
      <c r="G69">
        <v>0</v>
      </c>
      <c r="H69" t="str">
        <v/>
      </c>
      <c r="I69" t="str">
        <v/>
      </c>
      <c r="J69">
        <v>0</v>
      </c>
      <c r="K69">
        <v>0</v>
      </c>
      <c r="L69">
        <v>0</v>
      </c>
      <c r="M69" s="79">
        <v>0</v>
      </c>
      <c r="N69">
        <v>0</v>
      </c>
      <c r="O69">
        <v>130.91999999999999</v>
      </c>
      <c r="P69">
        <v>0</v>
      </c>
      <c r="Q69" t="str">
        <v xml:space="preserve">PSPA </v>
      </c>
      <c r="R69">
        <v>660000</v>
      </c>
      <c r="S69">
        <v>660000</v>
      </c>
      <c r="T69">
        <v>627000</v>
      </c>
      <c r="U69">
        <v>0</v>
      </c>
      <c r="V69">
        <v>0</v>
      </c>
      <c r="W69">
        <v>627000</v>
      </c>
      <c r="X69">
        <v>0</v>
      </c>
      <c r="Y69">
        <v>627000</v>
      </c>
      <c r="Z69">
        <v>627000</v>
      </c>
      <c r="AA69">
        <v>45382</v>
      </c>
      <c r="AB69" t="str">
        <v>Q1 2024</v>
      </c>
      <c r="AC69">
        <v>45546</v>
      </c>
      <c r="AD69">
        <v>0</v>
      </c>
      <c r="AE69" t="str">
        <v>Ana Damásio</v>
      </c>
      <c r="AF69" t="str">
        <v>Elisabete Figueiredo</v>
      </c>
      <c r="AG69" t="str">
        <v>https://www.vilamouraworld.com/real-estate/terracota/</v>
      </c>
      <c r="AH69" t="str">
        <v>Terracota offers a slice of nature in an urban area – sheltered by spectacular pine trees for a feeling of secluded serenity.</v>
      </c>
      <c r="AI69" t="str">
        <v>Gym, Sauna, Co-Work Area, Condo Pool, Private Pools, Outdoor Areas, Smart Home Technology, Underground Parking</v>
      </c>
      <c r="AJ69" t="str">
        <v>Condomínio privado com exteriores de excelência e generosa piscina em estilo praia; Ginásio e spa; Zona de co-work e parque infantil; Rooftops com piscina privativa; Domótica residencial; Excelente price point considerando as amenities disponíveis.</v>
      </c>
      <c r="AK69" t="str">
        <v>Barbosa Guimarães</v>
      </c>
      <c r="AL69" t="str">
        <v>Terracota</v>
      </c>
    </row>
    <row r="70" spans="1:38" x14ac:dyDescent="0.3">
      <c r="A70" t="str">
        <v>TERRACOTA</v>
      </c>
      <c r="B70" t="str">
        <v>Vilamoura</v>
      </c>
      <c r="C70" t="str">
        <v>Z</v>
      </c>
      <c r="D70" t="str">
        <v>Vilamoura, Algarve</v>
      </c>
      <c r="E70" t="str">
        <v>T2</v>
      </c>
      <c r="F70">
        <v>104.7</v>
      </c>
      <c r="G70">
        <v>0</v>
      </c>
      <c r="H70" t="str">
        <v/>
      </c>
      <c r="I70" t="str">
        <v/>
      </c>
      <c r="J70">
        <v>0</v>
      </c>
      <c r="K70">
        <v>0</v>
      </c>
      <c r="L70">
        <v>0</v>
      </c>
      <c r="M70" s="79">
        <v>0</v>
      </c>
      <c r="N70">
        <v>0</v>
      </c>
      <c r="O70">
        <v>104.7</v>
      </c>
      <c r="P70">
        <v>0</v>
      </c>
      <c r="Q70" t="str">
        <v xml:space="preserve">PSPA </v>
      </c>
      <c r="R70">
        <v>570000</v>
      </c>
      <c r="S70">
        <v>570000</v>
      </c>
      <c r="T70">
        <v>541500</v>
      </c>
      <c r="U70">
        <v>0</v>
      </c>
      <c r="V70">
        <v>0</v>
      </c>
      <c r="W70">
        <v>541500</v>
      </c>
      <c r="X70">
        <v>0</v>
      </c>
      <c r="Y70">
        <v>541500</v>
      </c>
      <c r="Z70">
        <v>541500</v>
      </c>
      <c r="AA70">
        <v>45382</v>
      </c>
      <c r="AB70" t="str">
        <v>Q1 2024</v>
      </c>
      <c r="AC70">
        <v>45574</v>
      </c>
      <c r="AD70">
        <v>0</v>
      </c>
      <c r="AE70" t="str">
        <v>Ana Damásio</v>
      </c>
      <c r="AF70" t="str">
        <v>Elisabete Figueiredo</v>
      </c>
      <c r="AG70" t="str">
        <v>https://www.vilamouraworld.com/real-estate/terracota/</v>
      </c>
      <c r="AH70" t="str">
        <v>Terracota offers a slice of nature in an urban area – sheltered by spectacular pine trees for a feeling of secluded serenity.</v>
      </c>
      <c r="AI70" t="str">
        <v>Gym, Sauna, Co-Work Area, Condo Pool, Private Pools, Outdoor Areas, Smart Home Technology, Underground Parking</v>
      </c>
      <c r="AJ70" t="str">
        <v>Condomínio privado com exteriores de excelência e generosa piscina em estilo praia; Ginásio e spa; Zona de co-work e parque infantil; Rooftops com piscina privativa; Domótica residencial; Excelente price point considerando as amenities disponíveis.</v>
      </c>
      <c r="AK70" t="str">
        <v>Barbosa Guimarães</v>
      </c>
      <c r="AL70" t="str">
        <v>Terracota</v>
      </c>
    </row>
    <row r="71" spans="1:38" x14ac:dyDescent="0.3">
      <c r="A71" t="str">
        <v>TERRACOTA</v>
      </c>
      <c r="B71" t="str">
        <v>Vilamoura</v>
      </c>
      <c r="C71" t="str">
        <v>BI</v>
      </c>
      <c r="D71" t="str">
        <v>Vilamoura, Algarve</v>
      </c>
      <c r="E71" t="str">
        <v>T3</v>
      </c>
      <c r="F71">
        <v>130.91999999999999</v>
      </c>
      <c r="G71">
        <v>0</v>
      </c>
      <c r="H71" t="str">
        <v/>
      </c>
      <c r="I71" t="str">
        <v/>
      </c>
      <c r="J71">
        <v>0</v>
      </c>
      <c r="K71">
        <v>0</v>
      </c>
      <c r="L71">
        <v>0</v>
      </c>
      <c r="M71" s="79">
        <v>0</v>
      </c>
      <c r="N71">
        <v>0</v>
      </c>
      <c r="O71">
        <v>130.91999999999999</v>
      </c>
      <c r="P71">
        <v>0</v>
      </c>
      <c r="Q71" t="str">
        <v>PRE-RESERVED</v>
      </c>
      <c r="R71">
        <v>750000</v>
      </c>
      <c r="S71">
        <v>750000</v>
      </c>
      <c r="T71">
        <v>750000</v>
      </c>
      <c r="U71">
        <v>0</v>
      </c>
      <c r="V71">
        <v>0</v>
      </c>
      <c r="W71">
        <v>750000</v>
      </c>
      <c r="X71">
        <v>0</v>
      </c>
      <c r="Y71">
        <v>750000</v>
      </c>
      <c r="Z71">
        <v>750000</v>
      </c>
      <c r="AA71">
        <v>45382</v>
      </c>
      <c r="AB71" t="str">
        <v>Q1 2024</v>
      </c>
      <c r="AC71">
        <v>45781</v>
      </c>
      <c r="AD71">
        <v>0</v>
      </c>
      <c r="AE71" t="str">
        <v>Ana Damásio</v>
      </c>
      <c r="AF71" t="str">
        <v>Elisabete Figueiredo</v>
      </c>
      <c r="AG71" t="str">
        <v>https://www.vilamouraworld.com/real-estate/terracota/</v>
      </c>
      <c r="AH71" t="str">
        <v>Terracota offers a slice of nature in an urban area – sheltered by spectacular pine trees for a feeling of secluded serenity.</v>
      </c>
      <c r="AI71" t="str">
        <v>Gym, Sauna, Co-Work Area, Condo Pool, Private Pools, Outdoor Areas, Smart Home Technology, Underground Parking</v>
      </c>
      <c r="AJ71" t="str">
        <v>Condomínio privado com exteriores de excelência e generosa piscina em estilo praia; Ginásio e spa; Zona de co-work e parque infantil; Rooftops com piscina privativa; Domótica residencial; Excelente price point considerando as amenities disponíveis.</v>
      </c>
      <c r="AK71" t="str">
        <v>Barbosa Guimarães</v>
      </c>
      <c r="AL71" t="str">
        <v>Terracota</v>
      </c>
    </row>
    <row r="72" spans="1:38" x14ac:dyDescent="0.3">
      <c r="A72" t="str">
        <v>TERRACOTA</v>
      </c>
      <c r="B72" t="str">
        <v>Vilamoura</v>
      </c>
      <c r="C72" t="str">
        <v>BZ</v>
      </c>
      <c r="D72" t="str">
        <v>Vilamoura, Algarve</v>
      </c>
      <c r="E72" t="str">
        <v>T3</v>
      </c>
      <c r="F72">
        <v>130.91999999999999</v>
      </c>
      <c r="G72">
        <v>0</v>
      </c>
      <c r="H72" t="str">
        <v/>
      </c>
      <c r="I72" t="str">
        <v/>
      </c>
      <c r="J72">
        <v>0</v>
      </c>
      <c r="K72">
        <v>0</v>
      </c>
      <c r="L72">
        <v>0</v>
      </c>
      <c r="M72" s="79">
        <v>0</v>
      </c>
      <c r="N72">
        <v>0</v>
      </c>
      <c r="O72">
        <v>130.91999999999999</v>
      </c>
      <c r="P72">
        <v>0</v>
      </c>
      <c r="Q72" t="str">
        <v>RESERVED</v>
      </c>
      <c r="R72">
        <v>660000</v>
      </c>
      <c r="S72">
        <v>660000</v>
      </c>
      <c r="T72">
        <v>680000</v>
      </c>
      <c r="U72">
        <v>0</v>
      </c>
      <c r="V72">
        <v>0</v>
      </c>
      <c r="W72">
        <v>680000</v>
      </c>
      <c r="X72">
        <v>0</v>
      </c>
      <c r="Y72">
        <v>680000</v>
      </c>
      <c r="Z72">
        <v>680000</v>
      </c>
      <c r="AA72">
        <v>45382</v>
      </c>
      <c r="AB72" t="str">
        <v>Q1 2024</v>
      </c>
      <c r="AC72">
        <v>46190</v>
      </c>
      <c r="AD72">
        <v>0</v>
      </c>
      <c r="AE72" t="str">
        <v>Ana Damásio</v>
      </c>
      <c r="AF72" t="str">
        <v>Elisabete Figueiredo</v>
      </c>
      <c r="AG72" t="str">
        <v>https://www.vilamouraworld.com/real-estate/terracota/</v>
      </c>
      <c r="AH72" t="str">
        <v>Terracota offers a slice of nature in an urban area – sheltered by spectacular pine trees for a feeling of secluded serenity.</v>
      </c>
      <c r="AI72" t="str">
        <v>Gym, Sauna, Co-Work Area, Condo Pool, Private Pools, Outdoor Areas, Smart Home Technology, Underground Parking</v>
      </c>
      <c r="AJ72" t="str">
        <v>Condomínio privado com exteriores de excelência e generosa piscina em estilo praia; Ginásio e spa; Zona de co-work e parque infantil; Rooftops com piscina privativa; Domótica residencial; Excelente price point considerando as amenities disponíveis.</v>
      </c>
      <c r="AK72" t="str">
        <v>Barbosa Guimarães</v>
      </c>
      <c r="AL72" t="str">
        <v>Terracota</v>
      </c>
    </row>
    <row r="73" spans="1:38" x14ac:dyDescent="0.3">
      <c r="A73" t="str">
        <v>TERRACOTA</v>
      </c>
      <c r="B73" t="str">
        <v>Vilamoura</v>
      </c>
      <c r="C73" t="str">
        <v>AN</v>
      </c>
      <c r="D73" t="str">
        <v>Vilamoura, Algarve</v>
      </c>
      <c r="E73" t="str">
        <v>T2</v>
      </c>
      <c r="F73">
        <v>104.7</v>
      </c>
      <c r="G73">
        <v>0</v>
      </c>
      <c r="H73" t="str">
        <v/>
      </c>
      <c r="I73" t="str">
        <v/>
      </c>
      <c r="J73">
        <v>0</v>
      </c>
      <c r="K73">
        <v>0</v>
      </c>
      <c r="L73">
        <v>0</v>
      </c>
      <c r="M73" s="79">
        <v>0</v>
      </c>
      <c r="N73">
        <v>0</v>
      </c>
      <c r="O73">
        <v>104.7</v>
      </c>
      <c r="P73">
        <v>0</v>
      </c>
      <c r="Q73" t="str">
        <v xml:space="preserve">PSPA </v>
      </c>
      <c r="R73">
        <v>550000</v>
      </c>
      <c r="S73">
        <v>550000</v>
      </c>
      <c r="T73">
        <v>550000</v>
      </c>
      <c r="U73">
        <v>0</v>
      </c>
      <c r="V73">
        <v>0</v>
      </c>
      <c r="W73">
        <v>550000</v>
      </c>
      <c r="X73">
        <v>0.01</v>
      </c>
      <c r="Y73">
        <v>544500</v>
      </c>
      <c r="Z73">
        <v>544500</v>
      </c>
      <c r="AA73">
        <v>45382</v>
      </c>
      <c r="AB73" t="str">
        <v>Q1 2024</v>
      </c>
      <c r="AC73">
        <v>45870</v>
      </c>
      <c r="AD73">
        <v>0</v>
      </c>
      <c r="AE73" t="str">
        <v>Ana Damásio</v>
      </c>
      <c r="AF73" t="str">
        <v>Elisabete Figueiredo</v>
      </c>
      <c r="AG73" t="str">
        <v>https://www.vilamouraworld.com/real-estate/terracota/</v>
      </c>
      <c r="AH73" t="str">
        <v>Terracota offers a slice of nature in an urban area – sheltered by spectacular pine trees for a feeling of secluded serenity.</v>
      </c>
      <c r="AI73" t="str">
        <v>Gym, Sauna, Co-Work Area, Condo Pool, Private Pools, Outdoor Areas, Smart Home Technology, Underground Parking</v>
      </c>
      <c r="AJ73" t="str">
        <v>Condomínio privado com exteriores de excelência e generosa piscina em estilo praia; Ginásio e spa; Zona de co-work e parque infantil; Rooftops com piscina privativa; Domótica residencial; Excelente price point considerando as amenities disponíveis.</v>
      </c>
      <c r="AK73" t="str">
        <v>Barbosa Guimarães</v>
      </c>
      <c r="AL73" t="str">
        <v>Terracota</v>
      </c>
    </row>
    <row r="74" spans="1:38" x14ac:dyDescent="0.3">
      <c r="A74" t="str">
        <v>TERRACOTA</v>
      </c>
      <c r="B74" t="str">
        <v>Vilamoura</v>
      </c>
      <c r="C74" t="str">
        <v>AG</v>
      </c>
      <c r="D74" t="str">
        <v>Vilamoura, Algarve</v>
      </c>
      <c r="E74" t="str">
        <v>T2</v>
      </c>
      <c r="F74">
        <v>104.7</v>
      </c>
      <c r="G74">
        <v>0</v>
      </c>
      <c r="H74" t="str">
        <v/>
      </c>
      <c r="I74" t="str">
        <v/>
      </c>
      <c r="J74">
        <v>0</v>
      </c>
      <c r="K74" s="113">
        <v>0</v>
      </c>
      <c r="L74" s="78">
        <v>0</v>
      </c>
      <c r="M74" s="79">
        <v>0</v>
      </c>
      <c r="N74">
        <v>0</v>
      </c>
      <c r="O74">
        <v>104.7</v>
      </c>
      <c r="P74">
        <v>0</v>
      </c>
      <c r="Q74" t="str">
        <v xml:space="preserve">PSPA </v>
      </c>
      <c r="R74">
        <v>540000</v>
      </c>
      <c r="S74">
        <v>540000</v>
      </c>
      <c r="T74">
        <v>555000</v>
      </c>
      <c r="U74">
        <v>0</v>
      </c>
      <c r="V74">
        <v>0</v>
      </c>
      <c r="W74">
        <v>555000</v>
      </c>
      <c r="X74">
        <v>0.02</v>
      </c>
      <c r="Y74">
        <v>543900</v>
      </c>
      <c r="Z74">
        <v>543900</v>
      </c>
      <c r="AA74">
        <v>45382</v>
      </c>
      <c r="AB74" t="str">
        <v>Q1 2024</v>
      </c>
      <c r="AC74">
        <v>45922</v>
      </c>
      <c r="AD74">
        <v>0</v>
      </c>
      <c r="AE74" t="str">
        <v>Ana Damásio</v>
      </c>
      <c r="AF74" t="str">
        <v>Elisabete Figueiredo</v>
      </c>
      <c r="AG74" t="str">
        <v>https://www.vilamouraworld.com/real-estate/terracota/</v>
      </c>
      <c r="AH74" t="str">
        <v>Terracota offers a slice of nature in an urban area – sheltered by spectacular pine trees for a feeling of secluded serenity.</v>
      </c>
      <c r="AI74" t="str">
        <v>Gym, Sauna, Co-Work Area, Condo Pool, Private Pools, Outdoor Areas, Smart Home Technology, Underground Parking</v>
      </c>
      <c r="AJ74" t="str">
        <v>Condomínio privado com exteriores de excelência e generosa piscina em estilo praia; Ginásio e spa; Zona de co-work e parque infantil; Rooftops com piscina privativa; Domótica residencial; Excelente price point considerando as amenities disponíveis.</v>
      </c>
      <c r="AK74" t="str">
        <v>Barbosa Guimarães</v>
      </c>
      <c r="AL74" t="str">
        <v>Terracota</v>
      </c>
    </row>
    <row r="75" spans="1:38" x14ac:dyDescent="0.3">
      <c r="A75" t="str">
        <v>TERRACOTA</v>
      </c>
      <c r="B75" t="str">
        <v>Vilamoura</v>
      </c>
      <c r="C75" t="str">
        <v>Q</v>
      </c>
      <c r="D75" t="str">
        <v>Vilamoura, Algarve</v>
      </c>
      <c r="E75" t="str">
        <v>T3</v>
      </c>
      <c r="F75">
        <v>130.91999999999999</v>
      </c>
      <c r="G75">
        <v>0</v>
      </c>
      <c r="H75" t="str">
        <v/>
      </c>
      <c r="I75" t="str">
        <v/>
      </c>
      <c r="J75">
        <v>0</v>
      </c>
      <c r="K75">
        <v>0</v>
      </c>
      <c r="L75">
        <v>0</v>
      </c>
      <c r="M75" s="79">
        <v>0</v>
      </c>
      <c r="N75">
        <v>0</v>
      </c>
      <c r="O75">
        <v>130.91999999999999</v>
      </c>
      <c r="P75">
        <v>0</v>
      </c>
      <c r="Q75" t="str">
        <v xml:space="preserve">PSPA </v>
      </c>
      <c r="R75">
        <v>725000</v>
      </c>
      <c r="S75">
        <v>725000</v>
      </c>
      <c r="T75">
        <v>725000</v>
      </c>
      <c r="U75">
        <v>0</v>
      </c>
      <c r="V75">
        <v>0</v>
      </c>
      <c r="W75">
        <v>725000</v>
      </c>
      <c r="X75">
        <v>4.8275862068965503E-2</v>
      </c>
      <c r="Y75">
        <v>690000</v>
      </c>
      <c r="Z75">
        <v>690000</v>
      </c>
      <c r="AA75">
        <v>45382</v>
      </c>
      <c r="AB75" t="str">
        <v>Q1 2024</v>
      </c>
      <c r="AC75">
        <v>45866</v>
      </c>
      <c r="AD75">
        <v>0</v>
      </c>
      <c r="AE75" t="str">
        <v>Ana Damásio</v>
      </c>
      <c r="AF75" t="str">
        <v>Elisabete Figueiredo</v>
      </c>
      <c r="AG75" t="str">
        <v>https://www.vilamouraworld.com/real-estate/terracota/</v>
      </c>
      <c r="AH75" t="str">
        <v>Terracota offers a slice of nature in an urban area – sheltered by spectacular pine trees for a feeling of secluded serenity.</v>
      </c>
      <c r="AI75" t="str">
        <v>Gym, Sauna, Co-Work Area, Condo Pool, Private Pools, Outdoor Areas, Smart Home Technology, Underground Parking</v>
      </c>
      <c r="AJ75" t="str">
        <v>Condomínio privado com exteriores de excelência e generosa piscina em estilo praia; Ginásio e spa; Zona de co-work e parque infantil; Rooftops com piscina privativa; Domótica residencial; Excelente price point considerando as amenities disponíveis.</v>
      </c>
      <c r="AK75" t="str">
        <v>Barbosa Guimarães</v>
      </c>
      <c r="AL75" t="str">
        <v>Terracota</v>
      </c>
    </row>
    <row r="76" spans="1:38" x14ac:dyDescent="0.3">
      <c r="A76" t="str">
        <v>TERRACOTA</v>
      </c>
      <c r="B76" t="str">
        <v>Vilamoura</v>
      </c>
      <c r="C76" t="str">
        <v>AY</v>
      </c>
      <c r="D76" t="str">
        <v>Vilamoura, Algarve</v>
      </c>
      <c r="E76" t="str">
        <v>T2</v>
      </c>
      <c r="F76">
        <v>78.3</v>
      </c>
      <c r="G76">
        <v>0</v>
      </c>
      <c r="H76" t="str">
        <v/>
      </c>
      <c r="I76" t="str">
        <v/>
      </c>
      <c r="J76">
        <v>0</v>
      </c>
      <c r="K76">
        <v>0</v>
      </c>
      <c r="L76">
        <v>0</v>
      </c>
      <c r="M76" s="79">
        <v>0</v>
      </c>
      <c r="N76">
        <v>0</v>
      </c>
      <c r="O76">
        <v>78.3</v>
      </c>
      <c r="P76">
        <v>0</v>
      </c>
      <c r="Q76" t="str">
        <v xml:space="preserve">PSPA </v>
      </c>
      <c r="R76">
        <v>470000</v>
      </c>
      <c r="S76">
        <v>470000</v>
      </c>
      <c r="T76">
        <v>470000</v>
      </c>
      <c r="U76">
        <v>0</v>
      </c>
      <c r="V76">
        <v>0</v>
      </c>
      <c r="W76">
        <v>470000</v>
      </c>
      <c r="X76">
        <v>0.05</v>
      </c>
      <c r="Y76">
        <v>446500</v>
      </c>
      <c r="Z76">
        <v>446500</v>
      </c>
      <c r="AA76">
        <v>45382</v>
      </c>
      <c r="AB76" t="str">
        <v>Q1 2024</v>
      </c>
      <c r="AC76">
        <v>45574</v>
      </c>
      <c r="AD76">
        <v>0</v>
      </c>
      <c r="AE76" t="str">
        <v>Ana Damásio</v>
      </c>
      <c r="AF76" t="str">
        <v>Elisabete Figueiredo</v>
      </c>
      <c r="AG76" t="str">
        <v>https://www.vilamouraworld.com/real-estate/terracota/</v>
      </c>
      <c r="AH76" t="str">
        <v>Terracota offers a slice of nature in an urban area – sheltered by spectacular pine trees for a feeling of secluded serenity.</v>
      </c>
      <c r="AI76" t="str">
        <v>Gym, Sauna, Co-Work Area, Condo Pool, Private Pools, Outdoor Areas, Smart Home Technology, Underground Parking</v>
      </c>
      <c r="AJ76" t="str">
        <v>Condomínio privado com exteriores de excelência e generosa piscina em estilo praia; Ginásio e spa; Zona de co-work e parque infantil; Rooftops com piscina privativa; Domótica residencial; Excelente price point considerando as amenities disponíveis.</v>
      </c>
      <c r="AK76" t="str">
        <v>Barbosa Guimarães</v>
      </c>
      <c r="AL76" t="str">
        <v>Terracota</v>
      </c>
    </row>
    <row r="77" spans="1:38" x14ac:dyDescent="0.3">
      <c r="A77" t="str">
        <v>TERRACOTA</v>
      </c>
      <c r="B77" t="str">
        <v>Vilamoura</v>
      </c>
      <c r="C77" t="str">
        <v>CL</v>
      </c>
      <c r="D77" t="str">
        <v>Vilamoura, Algarve</v>
      </c>
      <c r="E77" t="str">
        <v>T3</v>
      </c>
      <c r="F77">
        <v>130.91999999999999</v>
      </c>
      <c r="G77">
        <v>0</v>
      </c>
      <c r="H77" t="str">
        <v>46211</v>
      </c>
      <c r="I77" t="str">
        <v/>
      </c>
      <c r="J77">
        <v>0</v>
      </c>
      <c r="K77">
        <v>0</v>
      </c>
      <c r="L77">
        <v>0</v>
      </c>
      <c r="M77" s="79">
        <v>0</v>
      </c>
      <c r="N77">
        <v>0</v>
      </c>
      <c r="O77">
        <v>130.91999999999999</v>
      </c>
      <c r="P77">
        <v>0</v>
      </c>
      <c r="Q77" t="str">
        <v xml:space="preserve">PSPA </v>
      </c>
      <c r="R77">
        <v>730000</v>
      </c>
      <c r="S77">
        <v>730000</v>
      </c>
      <c r="T77">
        <v>770000</v>
      </c>
      <c r="U77">
        <v>0</v>
      </c>
      <c r="V77">
        <v>0</v>
      </c>
      <c r="W77">
        <v>770000</v>
      </c>
      <c r="X77">
        <v>5.1948051948052E-2</v>
      </c>
      <c r="Y77">
        <v>730000</v>
      </c>
      <c r="Z77">
        <v>730000</v>
      </c>
      <c r="AA77">
        <v>45382</v>
      </c>
      <c r="AB77" t="str">
        <v>Q1 2024</v>
      </c>
      <c r="AC77">
        <v>45939</v>
      </c>
      <c r="AD77">
        <v>0</v>
      </c>
      <c r="AE77" t="str">
        <v>Ana Damásio</v>
      </c>
      <c r="AF77" t="str">
        <v>Elisabete Figueiredo</v>
      </c>
      <c r="AG77" t="str">
        <v>https://www.vilamouraworld.com/real-estate/terracota/</v>
      </c>
      <c r="AH77" t="str">
        <v>Terracota offers a slice of nature in an urban area – sheltered by spectacular pine trees for a feeling of secluded serenity.</v>
      </c>
      <c r="AI77" t="str">
        <v>Gym, Sauna, Co-Work Area, Condo Pool, Private Pools, Outdoor Areas, Smart Home Technology, Underground Parking</v>
      </c>
      <c r="AJ77" t="str">
        <v>Condomínio privado com exteriores de excelência e generosa piscina em estilo praia; Ginásio e spa; Zona de co-work e parque infantil; Rooftops com piscina privativa; Domótica residencial; Excelente price point considerando as amenities disponíveis.</v>
      </c>
      <c r="AK77" t="str">
        <v>Barbosa Guimarães</v>
      </c>
      <c r="AL77" t="str">
        <v>Terracota</v>
      </c>
    </row>
    <row r="78" spans="1:38" x14ac:dyDescent="0.3">
      <c r="A78" t="str">
        <v>TERRACOTA</v>
      </c>
      <c r="B78" t="str">
        <v>Vilamoura</v>
      </c>
      <c r="C78" t="str">
        <v>AU</v>
      </c>
      <c r="D78" t="str">
        <v>Vilamoura, Algarve</v>
      </c>
      <c r="E78" t="str">
        <v>T3</v>
      </c>
      <c r="F78">
        <v>130.91999999999999</v>
      </c>
      <c r="G78">
        <v>0</v>
      </c>
      <c r="H78" t="str">
        <v/>
      </c>
      <c r="I78" t="str">
        <v/>
      </c>
      <c r="J78">
        <v>0</v>
      </c>
      <c r="K78">
        <v>0</v>
      </c>
      <c r="L78">
        <v>0</v>
      </c>
      <c r="M78" s="79">
        <v>0</v>
      </c>
      <c r="N78">
        <v>0</v>
      </c>
      <c r="O78">
        <v>130.91999999999999</v>
      </c>
      <c r="P78">
        <v>0</v>
      </c>
      <c r="Q78" t="str">
        <v>AVAILABLE</v>
      </c>
      <c r="R78">
        <v>710000</v>
      </c>
      <c r="S78">
        <v>710000</v>
      </c>
      <c r="T78">
        <v>750000</v>
      </c>
      <c r="U78">
        <v>0</v>
      </c>
      <c r="V78">
        <v>0</v>
      </c>
      <c r="W78">
        <v>750000</v>
      </c>
      <c r="X78">
        <v>0</v>
      </c>
      <c r="Y78">
        <v>750000</v>
      </c>
      <c r="Z78">
        <v>750000</v>
      </c>
      <c r="AA78">
        <v>45382</v>
      </c>
      <c r="AB78" t="str">
        <v>Q1 2024</v>
      </c>
      <c r="AC78">
        <v>0</v>
      </c>
      <c r="AD78">
        <v>0</v>
      </c>
      <c r="AE78" t="str">
        <v>Ana Damásio</v>
      </c>
      <c r="AF78" t="str">
        <v>Elisabete Figueiredo</v>
      </c>
      <c r="AG78" t="str">
        <v>https://www.vilamouraworld.com/real-estate/terracota/</v>
      </c>
      <c r="AH78" t="str">
        <v>Terracota offers a slice of nature in an urban area – sheltered by spectacular pine trees for a feeling of secluded serenity.</v>
      </c>
      <c r="AI78" t="str">
        <v>Gym, Sauna, Co-Work Area, Condo Pool, Private Pools, Outdoor Areas, Smart Home Technology, Underground Parking</v>
      </c>
      <c r="AJ78" t="str">
        <v>Condomínio privado com exteriores de excelência e generosa piscina em estilo praia; Ginásio e spa; Zona de co-work e parque infantil; Rooftops com piscina privativa; Domótica residencial; Excelente price point considerando as amenities disponíveis.</v>
      </c>
      <c r="AK78" t="str">
        <v>Barbosa Guimarães</v>
      </c>
      <c r="AL78" t="str">
        <v>Terracota</v>
      </c>
    </row>
    <row r="79" spans="1:38" x14ac:dyDescent="0.3">
      <c r="A79" t="str">
        <v>TERRACOTA</v>
      </c>
      <c r="B79" t="str">
        <v>Vilamoura</v>
      </c>
      <c r="C79" t="str">
        <v>BE</v>
      </c>
      <c r="D79" t="str">
        <v>Vilamoura, Algarve</v>
      </c>
      <c r="E79" t="str">
        <v>T4</v>
      </c>
      <c r="F79">
        <v>157.13999999999999</v>
      </c>
      <c r="G79">
        <v>0</v>
      </c>
      <c r="H79" t="str">
        <v/>
      </c>
      <c r="I79" t="str">
        <v/>
      </c>
      <c r="J79">
        <v>0</v>
      </c>
      <c r="K79">
        <v>0</v>
      </c>
      <c r="L79">
        <v>0</v>
      </c>
      <c r="M79" s="79">
        <v>0</v>
      </c>
      <c r="N79">
        <v>0</v>
      </c>
      <c r="O79">
        <v>157.13999999999999</v>
      </c>
      <c r="P79">
        <v>0</v>
      </c>
      <c r="Q79" t="str">
        <v>AVAILABLE</v>
      </c>
      <c r="R79">
        <v>925000</v>
      </c>
      <c r="S79">
        <v>925000</v>
      </c>
      <c r="T79">
        <v>925000</v>
      </c>
      <c r="U79">
        <v>0</v>
      </c>
      <c r="V79">
        <v>0</v>
      </c>
      <c r="W79">
        <v>925000</v>
      </c>
      <c r="X79">
        <v>0</v>
      </c>
      <c r="Y79">
        <v>925000</v>
      </c>
      <c r="Z79">
        <v>925000</v>
      </c>
      <c r="AA79">
        <v>45382</v>
      </c>
      <c r="AB79" t="str">
        <v>Q1 2024</v>
      </c>
      <c r="AC79">
        <v>0</v>
      </c>
      <c r="AD79">
        <v>0</v>
      </c>
      <c r="AE79" t="str">
        <v>Ana Damásio</v>
      </c>
      <c r="AF79" t="str">
        <v>Elisabete Figueiredo</v>
      </c>
      <c r="AG79" t="str">
        <v>https://www.vilamouraworld.com/real-estate/terracota/</v>
      </c>
      <c r="AH79" t="str">
        <v>Terracota offers a slice of nature in an urban area – sheltered by spectacular pine trees for a feeling of secluded serenity.</v>
      </c>
      <c r="AI79" t="str">
        <v>Gym, Sauna, Co-Work Area, Condo Pool, Private Pools, Outdoor Areas, Smart Home Technology, Underground Parking</v>
      </c>
      <c r="AJ79" t="str">
        <v>Condomínio privado com exteriores de excelência e generosa piscina em estilo praia; Ginásio e spa; Zona de co-work e parque infantil; Rooftops com piscina privativa; Domótica residencial; Excelente price point considerando as amenities disponíveis.</v>
      </c>
      <c r="AK79" t="str">
        <v>Barbosa Guimarães</v>
      </c>
      <c r="AL79" t="str">
        <v>Terracota</v>
      </c>
    </row>
    <row r="80" spans="1:38" x14ac:dyDescent="0.3">
      <c r="A80" t="str">
        <v>TERRACOTA</v>
      </c>
      <c r="B80" t="str">
        <v>Vilamoura</v>
      </c>
      <c r="C80" t="str">
        <v>BG</v>
      </c>
      <c r="D80" t="str">
        <v>Vilamoura, Algarve</v>
      </c>
      <c r="E80" t="str">
        <v>T4</v>
      </c>
      <c r="F80">
        <v>157.13999999999999</v>
      </c>
      <c r="G80">
        <v>0</v>
      </c>
      <c r="H80" t="str">
        <v/>
      </c>
      <c r="I80" t="str">
        <v/>
      </c>
      <c r="J80">
        <v>0</v>
      </c>
      <c r="K80">
        <v>0</v>
      </c>
      <c r="L80">
        <v>0</v>
      </c>
      <c r="M80" s="79">
        <v>0</v>
      </c>
      <c r="N80">
        <v>0</v>
      </c>
      <c r="O80">
        <v>157.13999999999999</v>
      </c>
      <c r="P80">
        <v>0</v>
      </c>
      <c r="Q80" t="str">
        <v>AVAILABLE</v>
      </c>
      <c r="R80">
        <v>925000</v>
      </c>
      <c r="S80">
        <v>925000</v>
      </c>
      <c r="T80">
        <v>925000</v>
      </c>
      <c r="U80">
        <v>0</v>
      </c>
      <c r="V80">
        <v>0</v>
      </c>
      <c r="W80">
        <v>925000</v>
      </c>
      <c r="X80">
        <v>0</v>
      </c>
      <c r="Y80">
        <v>925000</v>
      </c>
      <c r="Z80">
        <v>925000</v>
      </c>
      <c r="AA80">
        <v>45382</v>
      </c>
      <c r="AB80" t="str">
        <v>Q1 2024</v>
      </c>
      <c r="AC80">
        <v>0</v>
      </c>
      <c r="AD80">
        <v>0</v>
      </c>
      <c r="AE80" t="str">
        <v>Ana Damásio</v>
      </c>
      <c r="AF80" t="str">
        <v>Elisabete Figueiredo</v>
      </c>
      <c r="AG80" t="str">
        <v>https://www.vilamouraworld.com/real-estate/terracota/</v>
      </c>
      <c r="AH80" t="str">
        <v>Terracota offers a slice of nature in an urban area – sheltered by spectacular pine trees for a feeling of secluded serenity.</v>
      </c>
      <c r="AI80" t="str">
        <v>Gym, Sauna, Co-Work Area, Condo Pool, Private Pools, Outdoor Areas, Smart Home Technology, Underground Parking</v>
      </c>
      <c r="AJ80" t="str">
        <v>Condomínio privado com exteriores de excelência e generosa piscina em estilo praia; Ginásio e spa; Zona de co-work e parque infantil; Rooftops com piscina privativa; Domótica residencial; Excelente price point considerando as amenities disponíveis.</v>
      </c>
      <c r="AK80" t="str">
        <v>Barbosa Guimarães</v>
      </c>
      <c r="AL80" t="str">
        <v>Terracota</v>
      </c>
    </row>
    <row r="81" spans="1:38" x14ac:dyDescent="0.3">
      <c r="A81" t="str">
        <v>TERRACOTA</v>
      </c>
      <c r="B81" t="str">
        <v>Vilamoura</v>
      </c>
      <c r="C81" t="str">
        <v>BH</v>
      </c>
      <c r="D81" t="str">
        <v>Vilamoura, Algarve</v>
      </c>
      <c r="E81" t="str">
        <v>T4</v>
      </c>
      <c r="F81">
        <v>157.13999999999999</v>
      </c>
      <c r="G81">
        <v>0</v>
      </c>
      <c r="H81" t="str">
        <v/>
      </c>
      <c r="I81" t="str">
        <v/>
      </c>
      <c r="J81">
        <v>0</v>
      </c>
      <c r="K81">
        <v>0</v>
      </c>
      <c r="L81">
        <v>0</v>
      </c>
      <c r="M81" s="79">
        <v>0</v>
      </c>
      <c r="N81">
        <v>0</v>
      </c>
      <c r="O81">
        <v>157.13999999999999</v>
      </c>
      <c r="P81">
        <v>0</v>
      </c>
      <c r="Q81" t="str">
        <v>AVAILABLE</v>
      </c>
      <c r="R81">
        <v>925000</v>
      </c>
      <c r="S81">
        <v>925000</v>
      </c>
      <c r="T81">
        <v>925000</v>
      </c>
      <c r="U81">
        <v>0</v>
      </c>
      <c r="V81">
        <v>0</v>
      </c>
      <c r="W81">
        <v>925000</v>
      </c>
      <c r="X81">
        <v>0</v>
      </c>
      <c r="Y81">
        <v>925000</v>
      </c>
      <c r="Z81">
        <v>925000</v>
      </c>
      <c r="AA81">
        <v>45382</v>
      </c>
      <c r="AB81" t="str">
        <v>Q1 2024</v>
      </c>
      <c r="AC81">
        <v>0</v>
      </c>
      <c r="AD81">
        <v>0</v>
      </c>
      <c r="AE81" t="str">
        <v>Ana Damásio</v>
      </c>
      <c r="AF81" t="str">
        <v>Elisabete Figueiredo</v>
      </c>
      <c r="AG81" t="str">
        <v>https://www.vilamouraworld.com/real-estate/terracota/</v>
      </c>
      <c r="AH81" t="str">
        <v>Terracota offers a slice of nature in an urban area – sheltered by spectacular pine trees for a feeling of secluded serenity.</v>
      </c>
      <c r="AI81" t="str">
        <v>Gym, Sauna, Co-Work Area, Condo Pool, Private Pools, Outdoor Areas, Smart Home Technology, Underground Parking</v>
      </c>
      <c r="AJ81" t="str">
        <v>Condomínio privado com exteriores de excelência e generosa piscina em estilo praia; Ginásio e spa; Zona de co-work e parque infantil; Rooftops com piscina privativa; Domótica residencial; Excelente price point considerando as amenities disponíveis.</v>
      </c>
      <c r="AK81" t="str">
        <v>Barbosa Guimarães</v>
      </c>
      <c r="AL81" t="str">
        <v>Terracota</v>
      </c>
    </row>
    <row r="82" spans="1:38" x14ac:dyDescent="0.3">
      <c r="A82" t="str">
        <v>TERRACOTA</v>
      </c>
      <c r="B82" t="str">
        <v>Vilamoura</v>
      </c>
      <c r="C82" t="str">
        <v>BJ</v>
      </c>
      <c r="D82" t="str">
        <v>Vilamoura, Algarve</v>
      </c>
      <c r="E82" t="str">
        <v>T4</v>
      </c>
      <c r="F82">
        <v>157.13999999999999</v>
      </c>
      <c r="G82">
        <v>0</v>
      </c>
      <c r="H82" t="str">
        <v/>
      </c>
      <c r="I82" t="str">
        <v/>
      </c>
      <c r="J82">
        <v>0</v>
      </c>
      <c r="K82">
        <v>0</v>
      </c>
      <c r="L82">
        <v>0</v>
      </c>
      <c r="M82" s="79">
        <v>0</v>
      </c>
      <c r="N82">
        <v>0</v>
      </c>
      <c r="O82">
        <v>157.13999999999999</v>
      </c>
      <c r="P82">
        <v>0</v>
      </c>
      <c r="Q82" t="str">
        <v>AVAILABLE</v>
      </c>
      <c r="R82">
        <v>925000</v>
      </c>
      <c r="S82">
        <v>925000</v>
      </c>
      <c r="T82">
        <v>925000</v>
      </c>
      <c r="U82">
        <v>0</v>
      </c>
      <c r="V82">
        <v>0</v>
      </c>
      <c r="W82">
        <v>925000</v>
      </c>
      <c r="X82">
        <v>0</v>
      </c>
      <c r="Y82">
        <v>925000</v>
      </c>
      <c r="Z82">
        <v>925000</v>
      </c>
      <c r="AA82">
        <v>45382</v>
      </c>
      <c r="AB82" t="str">
        <v>Q1 2024</v>
      </c>
      <c r="AC82">
        <v>0</v>
      </c>
      <c r="AD82">
        <v>0</v>
      </c>
      <c r="AE82" t="str">
        <v>Ana Damásio</v>
      </c>
      <c r="AF82" t="str">
        <v>Elisabete Figueiredo</v>
      </c>
      <c r="AG82" t="str">
        <v>https://www.vilamouraworld.com/real-estate/terracota/</v>
      </c>
      <c r="AH82" t="str">
        <v>Terracota offers a slice of nature in an urban area – sheltered by spectacular pine trees for a feeling of secluded serenity.</v>
      </c>
      <c r="AI82" t="str">
        <v>Gym, Sauna, Co-Work Area, Condo Pool, Private Pools, Outdoor Areas, Smart Home Technology, Underground Parking</v>
      </c>
      <c r="AJ82" t="str">
        <v>Condomínio privado com exteriores de excelência e generosa piscina em estilo praia; Ginásio e spa; Zona de co-work e parque infantil; Rooftops com piscina privativa; Domótica residencial; Excelente price point considerando as amenities disponíveis.</v>
      </c>
      <c r="AK82" t="str">
        <v>Barbosa Guimarães</v>
      </c>
      <c r="AL82" t="str">
        <v>Terracota</v>
      </c>
    </row>
    <row r="83" spans="1:38" x14ac:dyDescent="0.3">
      <c r="A83" t="str">
        <v>TERRACOTA</v>
      </c>
      <c r="B83" t="str">
        <v>Vilamoura</v>
      </c>
      <c r="C83" t="str">
        <v>BK</v>
      </c>
      <c r="D83" t="str">
        <v>Vilamoura, Algarve</v>
      </c>
      <c r="E83" t="str">
        <v>T3</v>
      </c>
      <c r="F83">
        <v>130.91999999999999</v>
      </c>
      <c r="G83">
        <v>0</v>
      </c>
      <c r="H83" t="str">
        <v/>
      </c>
      <c r="I83" t="str">
        <v/>
      </c>
      <c r="J83">
        <v>0</v>
      </c>
      <c r="K83">
        <v>0</v>
      </c>
      <c r="L83">
        <v>0</v>
      </c>
      <c r="M83" s="79">
        <v>0</v>
      </c>
      <c r="N83">
        <v>0</v>
      </c>
      <c r="O83">
        <v>130.91999999999999</v>
      </c>
      <c r="P83">
        <v>0</v>
      </c>
      <c r="Q83" t="str">
        <v>AVAILABLE</v>
      </c>
      <c r="R83">
        <v>700000</v>
      </c>
      <c r="S83">
        <v>700000</v>
      </c>
      <c r="T83">
        <v>710000</v>
      </c>
      <c r="U83">
        <v>0</v>
      </c>
      <c r="V83">
        <v>0</v>
      </c>
      <c r="W83">
        <v>710000</v>
      </c>
      <c r="X83">
        <v>0</v>
      </c>
      <c r="Y83">
        <v>710000</v>
      </c>
      <c r="Z83">
        <v>710000</v>
      </c>
      <c r="AA83">
        <v>45382</v>
      </c>
      <c r="AB83" t="str">
        <v>Q1 2024</v>
      </c>
      <c r="AC83">
        <v>0</v>
      </c>
      <c r="AD83">
        <v>0</v>
      </c>
      <c r="AE83" t="str">
        <v>Ana Damásio</v>
      </c>
      <c r="AF83" t="str">
        <v>Elisabete Figueiredo</v>
      </c>
      <c r="AG83" t="str">
        <v>https://www.vilamouraworld.com/real-estate/terracota/</v>
      </c>
      <c r="AH83" t="str">
        <v>Terracota offers a slice of nature in an urban area – sheltered by spectacular pine trees for a feeling of secluded serenity.</v>
      </c>
      <c r="AI83" t="str">
        <v>Gym, Sauna, Co-Work Area, Condo Pool, Private Pools, Outdoor Areas, Smart Home Technology, Underground Parking</v>
      </c>
      <c r="AJ83" t="str">
        <v>Condomínio privado com exteriores de excelência e generosa piscina em estilo praia; Ginásio e spa; Zona de co-work e parque infantil; Rooftops com piscina privativa; Domótica residencial; Excelente price point considerando as amenities disponíveis.</v>
      </c>
      <c r="AK83" t="str">
        <v>Barbosa Guimarães</v>
      </c>
      <c r="AL83" t="str">
        <v>Terracota</v>
      </c>
    </row>
    <row r="84" spans="1:38" x14ac:dyDescent="0.3">
      <c r="A84" t="str">
        <v>TERRACOTA</v>
      </c>
      <c r="B84" t="str">
        <v>Vilamoura</v>
      </c>
      <c r="C84" t="str">
        <v>BR</v>
      </c>
      <c r="D84" t="str">
        <v>Vilamoura, Algarve</v>
      </c>
      <c r="E84" t="str">
        <v>T3</v>
      </c>
      <c r="F84">
        <v>130.91999999999999</v>
      </c>
      <c r="G84">
        <v>0</v>
      </c>
      <c r="H84" t="str">
        <v/>
      </c>
      <c r="I84" t="str">
        <v/>
      </c>
      <c r="J84">
        <v>0</v>
      </c>
      <c r="K84">
        <v>0</v>
      </c>
      <c r="L84">
        <v>0</v>
      </c>
      <c r="M84" s="79">
        <v>0</v>
      </c>
      <c r="N84">
        <v>0</v>
      </c>
      <c r="O84">
        <v>130.91999999999999</v>
      </c>
      <c r="P84">
        <v>0</v>
      </c>
      <c r="Q84" t="str">
        <v>AVAILABLE</v>
      </c>
      <c r="R84">
        <v>630000</v>
      </c>
      <c r="S84">
        <v>630000</v>
      </c>
      <c r="T84">
        <v>660000</v>
      </c>
      <c r="U84">
        <v>0</v>
      </c>
      <c r="V84">
        <v>0</v>
      </c>
      <c r="W84">
        <v>660000</v>
      </c>
      <c r="X84">
        <v>0</v>
      </c>
      <c r="Y84">
        <v>660000</v>
      </c>
      <c r="Z84">
        <v>660000</v>
      </c>
      <c r="AA84">
        <v>45382</v>
      </c>
      <c r="AB84" t="str">
        <v>Q1 2024</v>
      </c>
      <c r="AC84">
        <v>0</v>
      </c>
      <c r="AD84">
        <v>0</v>
      </c>
      <c r="AE84" t="str">
        <v>Ana Damásio</v>
      </c>
      <c r="AF84" t="str">
        <v>Elisabete Figueiredo</v>
      </c>
      <c r="AG84" t="str">
        <v>https://www.vilamouraworld.com/real-estate/terracota/</v>
      </c>
      <c r="AH84" t="str">
        <v>Terracota offers a slice of nature in an urban area – sheltered by spectacular pine trees for a feeling of secluded serenity.</v>
      </c>
      <c r="AI84" t="str">
        <v>Gym, Sauna, Co-Work Area, Condo Pool, Private Pools, Outdoor Areas, Smart Home Technology, Underground Parking</v>
      </c>
      <c r="AJ84" t="str">
        <v>Condomínio privado com exteriores de excelência e generosa piscina em estilo praia; Ginásio e spa; Zona de co-work e parque infantil; Rooftops com piscina privativa; Domótica residencial; Excelente price point considerando as amenities disponíveis.</v>
      </c>
      <c r="AK84" t="str">
        <v>Barbosa Guimarães</v>
      </c>
      <c r="AL84" t="str">
        <v>Terracota</v>
      </c>
    </row>
    <row r="85" spans="1:38" x14ac:dyDescent="0.3">
      <c r="A85" t="str">
        <v>TERRACOTA</v>
      </c>
      <c r="B85" t="str">
        <v>Vilamoura</v>
      </c>
      <c r="C85" t="str">
        <v>BT</v>
      </c>
      <c r="D85" t="str">
        <v>Vilamoura, Algarve</v>
      </c>
      <c r="E85" t="str">
        <v>T3</v>
      </c>
      <c r="F85">
        <v>130.91999999999999</v>
      </c>
      <c r="G85">
        <v>0</v>
      </c>
      <c r="H85" t="str">
        <v/>
      </c>
      <c r="I85" t="str">
        <v/>
      </c>
      <c r="J85">
        <v>0</v>
      </c>
      <c r="K85">
        <v>0</v>
      </c>
      <c r="L85">
        <v>0</v>
      </c>
      <c r="M85" s="79">
        <v>0</v>
      </c>
      <c r="N85">
        <v>0</v>
      </c>
      <c r="O85">
        <v>130.91999999999999</v>
      </c>
      <c r="P85">
        <v>0</v>
      </c>
      <c r="Q85" t="str">
        <v>AVAILABLE</v>
      </c>
      <c r="R85">
        <v>660000</v>
      </c>
      <c r="S85">
        <v>660000</v>
      </c>
      <c r="T85">
        <v>690000</v>
      </c>
      <c r="U85">
        <v>0</v>
      </c>
      <c r="V85">
        <v>0</v>
      </c>
      <c r="W85">
        <v>690000</v>
      </c>
      <c r="X85">
        <v>0</v>
      </c>
      <c r="Y85">
        <v>690000</v>
      </c>
      <c r="Z85">
        <v>690000</v>
      </c>
      <c r="AA85">
        <v>45382</v>
      </c>
      <c r="AB85" t="str">
        <v>Q1 2024</v>
      </c>
      <c r="AC85">
        <v>0</v>
      </c>
      <c r="AD85">
        <v>0</v>
      </c>
      <c r="AE85" t="str">
        <v>Ana Damásio</v>
      </c>
      <c r="AF85" t="str">
        <v>Elisabete Figueiredo</v>
      </c>
      <c r="AG85" t="str">
        <v>https://www.vilamouraworld.com/real-estate/terracota/</v>
      </c>
      <c r="AH85" t="str">
        <v>Terracota offers a slice of nature in an urban area – sheltered by spectacular pine trees for a feeling of secluded serenity.</v>
      </c>
      <c r="AI85" t="str">
        <v>Gym, Sauna, Co-Work Area, Condo Pool, Private Pools, Outdoor Areas, Smart Home Technology, Underground Parking</v>
      </c>
      <c r="AJ85" t="str">
        <v>Condomínio privado com exteriores de excelência e generosa piscina em estilo praia; Ginásio e spa; Zona de co-work e parque infantil; Rooftops com piscina privativa; Domótica residencial; Excelente price point considerando as amenities disponíveis.</v>
      </c>
      <c r="AK85" t="str">
        <v>Barbosa Guimarães</v>
      </c>
      <c r="AL85" t="str">
        <v>Terracota</v>
      </c>
    </row>
    <row r="86" spans="1:38" x14ac:dyDescent="0.3">
      <c r="A86" t="str">
        <v>TERRACOTA</v>
      </c>
      <c r="B86" t="str">
        <v>Vilamoura</v>
      </c>
      <c r="C86" t="str">
        <v>BU</v>
      </c>
      <c r="D86" t="str">
        <v>Vilamoura, Algarve</v>
      </c>
      <c r="E86" t="str">
        <v>T3</v>
      </c>
      <c r="F86">
        <v>130.91999999999999</v>
      </c>
      <c r="G86">
        <v>0</v>
      </c>
      <c r="H86" t="str">
        <v/>
      </c>
      <c r="I86" t="str">
        <v/>
      </c>
      <c r="J86">
        <v>0</v>
      </c>
      <c r="K86">
        <v>0</v>
      </c>
      <c r="L86">
        <v>0</v>
      </c>
      <c r="M86" s="79">
        <v>0</v>
      </c>
      <c r="N86">
        <v>0</v>
      </c>
      <c r="O86">
        <v>130.91999999999999</v>
      </c>
      <c r="P86">
        <v>0</v>
      </c>
      <c r="Q86" t="str">
        <v>AVAILABLE</v>
      </c>
      <c r="R86">
        <v>660000</v>
      </c>
      <c r="S86">
        <v>660000</v>
      </c>
      <c r="T86">
        <v>690000</v>
      </c>
      <c r="U86">
        <v>0</v>
      </c>
      <c r="V86">
        <v>0</v>
      </c>
      <c r="W86">
        <v>690000</v>
      </c>
      <c r="X86">
        <v>0</v>
      </c>
      <c r="Y86">
        <v>690000</v>
      </c>
      <c r="Z86">
        <v>690000</v>
      </c>
      <c r="AA86">
        <v>45382</v>
      </c>
      <c r="AB86" t="str">
        <v>Q1 2024</v>
      </c>
      <c r="AC86">
        <v>0</v>
      </c>
      <c r="AD86">
        <v>0</v>
      </c>
      <c r="AE86" t="str">
        <v>Ana Damásio</v>
      </c>
      <c r="AF86" t="str">
        <v>Elisabete Figueiredo</v>
      </c>
      <c r="AG86" t="str">
        <v>https://www.vilamouraworld.com/real-estate/terracota/</v>
      </c>
      <c r="AH86" t="str">
        <v>Terracota offers a slice of nature in an urban area – sheltered by spectacular pine trees for a feeling of secluded serenity.</v>
      </c>
      <c r="AI86" t="str">
        <v>Gym, Sauna, Co-Work Area, Condo Pool, Private Pools, Outdoor Areas, Smart Home Technology, Underground Parking</v>
      </c>
      <c r="AJ86" t="str">
        <v>Condomínio privado com exteriores de excelência e generosa piscina em estilo praia; Ginásio e spa; Zona de co-work e parque infantil; Rooftops com piscina privativa; Domótica residencial; Excelente price point considerando as amenities disponíveis.</v>
      </c>
      <c r="AK86" t="str">
        <v>Barbosa Guimarães</v>
      </c>
      <c r="AL86" t="str">
        <v>Terracota</v>
      </c>
    </row>
    <row r="87" spans="1:38" x14ac:dyDescent="0.3">
      <c r="A87" t="str">
        <v>TERRACOTA</v>
      </c>
      <c r="B87" t="str">
        <v>Vilamoura</v>
      </c>
      <c r="C87" t="str">
        <v>CB</v>
      </c>
      <c r="D87" t="str">
        <v>Vilamoura, Algarve</v>
      </c>
      <c r="E87" t="str">
        <v>T3</v>
      </c>
      <c r="F87">
        <v>130.91999999999999</v>
      </c>
      <c r="G87">
        <v>0</v>
      </c>
      <c r="H87" t="str">
        <v>46117</v>
      </c>
      <c r="I87" t="str">
        <v/>
      </c>
      <c r="J87">
        <v>0</v>
      </c>
      <c r="K87">
        <v>0</v>
      </c>
      <c r="L87">
        <v>0</v>
      </c>
      <c r="M87" s="79">
        <v>0</v>
      </c>
      <c r="N87">
        <v>0</v>
      </c>
      <c r="O87">
        <v>130.91999999999999</v>
      </c>
      <c r="P87">
        <v>0</v>
      </c>
      <c r="Q87" t="str">
        <v>AVAILABLE</v>
      </c>
      <c r="R87">
        <v>700000</v>
      </c>
      <c r="S87">
        <v>700000</v>
      </c>
      <c r="T87">
        <v>730000</v>
      </c>
      <c r="U87">
        <v>0</v>
      </c>
      <c r="V87">
        <v>0</v>
      </c>
      <c r="W87">
        <v>730000</v>
      </c>
      <c r="X87">
        <v>0</v>
      </c>
      <c r="Y87">
        <v>730000</v>
      </c>
      <c r="Z87">
        <v>730000</v>
      </c>
      <c r="AA87">
        <v>45382</v>
      </c>
      <c r="AB87" t="str">
        <v>Q1 2024</v>
      </c>
      <c r="AC87">
        <v>0</v>
      </c>
      <c r="AD87">
        <v>0</v>
      </c>
      <c r="AE87" t="str">
        <v>Ana Damásio</v>
      </c>
      <c r="AF87" t="str">
        <v>Elisabete Figueiredo</v>
      </c>
      <c r="AG87" t="str">
        <v>https://www.vilamouraworld.com/real-estate/terracota/</v>
      </c>
      <c r="AH87" t="str">
        <v>Terracota offers a slice of nature in an urban area – sheltered by spectacular pine trees for a feeling of secluded serenity.</v>
      </c>
      <c r="AI87" t="str">
        <v>Gym, Sauna, Co-Work Area, Condo Pool, Private Pools, Outdoor Areas, Smart Home Technology, Underground Parking</v>
      </c>
      <c r="AJ87" t="str">
        <v>Condomínio privado com exteriores de excelência e generosa piscina em estilo praia; Ginásio e spa; Zona de co-work e parque infantil; Rooftops com piscina privativa; Domótica residencial; Excelente price point considerando as amenities disponíveis.</v>
      </c>
      <c r="AK87" t="str">
        <v>Barbosa Guimarães</v>
      </c>
      <c r="AL87" t="str">
        <v>Terracota</v>
      </c>
    </row>
    <row r="88" spans="1:38" x14ac:dyDescent="0.3">
      <c r="A88" t="str">
        <v>TERRACOTA</v>
      </c>
      <c r="B88" t="str">
        <v>Vilamoura</v>
      </c>
      <c r="C88" t="str">
        <v>CC</v>
      </c>
      <c r="D88" t="str">
        <v>Vilamoura, Algarve</v>
      </c>
      <c r="E88" t="str">
        <v>T3</v>
      </c>
      <c r="F88">
        <v>130.91999999999999</v>
      </c>
      <c r="G88">
        <v>0</v>
      </c>
      <c r="H88" t="str">
        <v>31-32</v>
      </c>
      <c r="I88" t="str">
        <v/>
      </c>
      <c r="J88">
        <v>0</v>
      </c>
      <c r="K88">
        <v>0</v>
      </c>
      <c r="L88">
        <v>0</v>
      </c>
      <c r="M88" s="79">
        <v>0</v>
      </c>
      <c r="N88">
        <v>0</v>
      </c>
      <c r="O88">
        <v>130.91999999999999</v>
      </c>
      <c r="P88">
        <v>0</v>
      </c>
      <c r="Q88" t="str">
        <v>AVAILABLE</v>
      </c>
      <c r="R88">
        <v>700000</v>
      </c>
      <c r="S88">
        <v>700000</v>
      </c>
      <c r="T88">
        <v>730000</v>
      </c>
      <c r="U88">
        <v>0</v>
      </c>
      <c r="V88">
        <v>0</v>
      </c>
      <c r="W88">
        <v>730000</v>
      </c>
      <c r="X88">
        <v>0</v>
      </c>
      <c r="Y88">
        <v>730000</v>
      </c>
      <c r="Z88">
        <v>730000</v>
      </c>
      <c r="AA88">
        <v>45382</v>
      </c>
      <c r="AB88" t="str">
        <v>Q1 2024</v>
      </c>
      <c r="AC88">
        <v>0</v>
      </c>
      <c r="AD88">
        <v>0</v>
      </c>
      <c r="AE88" t="str">
        <v>Ana Damásio</v>
      </c>
      <c r="AF88" t="str">
        <v>Elisabete Figueiredo</v>
      </c>
      <c r="AG88" t="str">
        <v>https://www.vilamouraworld.com/real-estate/terracota/</v>
      </c>
      <c r="AH88" t="str">
        <v>Terracota offers a slice of nature in an urban area – sheltered by spectacular pine trees for a feeling of secluded serenity.</v>
      </c>
      <c r="AI88" t="str">
        <v>Gym, Sauna, Co-Work Area, Condo Pool, Private Pools, Outdoor Areas, Smart Home Technology, Underground Parking</v>
      </c>
      <c r="AJ88" t="str">
        <v>Condomínio privado com exteriores de excelência e generosa piscina em estilo praia; Ginásio e spa; Zona de co-work e parque infantil; Rooftops com piscina privativa; Domótica residencial; Excelente price point considerando as amenities disponíveis.</v>
      </c>
      <c r="AK88" t="str">
        <v>Barbosa Guimarães</v>
      </c>
      <c r="AL88" t="str">
        <v>Terracota</v>
      </c>
    </row>
    <row r="89" spans="1:38" x14ac:dyDescent="0.3">
      <c r="A89" t="str">
        <v>TERRACOTA</v>
      </c>
      <c r="B89" t="str">
        <v>Vilamoura</v>
      </c>
      <c r="C89" t="str">
        <v>CE</v>
      </c>
      <c r="D89" t="str">
        <v>Vilamoura, Algarve</v>
      </c>
      <c r="E89" t="str">
        <v>T3</v>
      </c>
      <c r="F89">
        <v>130.91999999999999</v>
      </c>
      <c r="G89">
        <v>0</v>
      </c>
      <c r="H89" t="str">
        <v>27-28</v>
      </c>
      <c r="I89" t="str">
        <v/>
      </c>
      <c r="J89">
        <v>0</v>
      </c>
      <c r="K89">
        <v>0</v>
      </c>
      <c r="L89">
        <v>0</v>
      </c>
      <c r="M89" s="79">
        <v>0</v>
      </c>
      <c r="N89">
        <v>0</v>
      </c>
      <c r="O89">
        <v>130.91999999999999</v>
      </c>
      <c r="P89">
        <v>0</v>
      </c>
      <c r="Q89" t="str">
        <v>AVAILABLE</v>
      </c>
      <c r="R89">
        <v>700000</v>
      </c>
      <c r="S89">
        <v>700000</v>
      </c>
      <c r="T89">
        <v>730000</v>
      </c>
      <c r="U89">
        <v>0</v>
      </c>
      <c r="V89">
        <v>0</v>
      </c>
      <c r="W89">
        <v>730000</v>
      </c>
      <c r="X89">
        <v>0</v>
      </c>
      <c r="Y89">
        <v>730000</v>
      </c>
      <c r="Z89">
        <v>730000</v>
      </c>
      <c r="AA89">
        <v>45382</v>
      </c>
      <c r="AB89" t="str">
        <v>Q1 2024</v>
      </c>
      <c r="AC89">
        <v>0</v>
      </c>
      <c r="AD89">
        <v>0</v>
      </c>
      <c r="AE89" t="str">
        <v>Ana Damásio</v>
      </c>
      <c r="AF89" t="str">
        <v>Elisabete Figueiredo</v>
      </c>
      <c r="AG89" t="str">
        <v>https://www.vilamouraworld.com/real-estate/terracota/</v>
      </c>
      <c r="AH89" t="str">
        <v>Terracota offers a slice of nature in an urban area – sheltered by spectacular pine trees for a feeling of secluded serenity.</v>
      </c>
      <c r="AI89" t="str">
        <v>Gym, Sauna, Co-Work Area, Condo Pool, Private Pools, Outdoor Areas, Smart Home Technology, Underground Parking</v>
      </c>
      <c r="AJ89" t="str">
        <v>Condomínio privado com exteriores de excelência e generosa piscina em estilo praia; Ginásio e spa; Zona de co-work e parque infantil; Rooftops com piscina privativa; Domótica residencial; Excelente price point considerando as amenities disponíveis.</v>
      </c>
      <c r="AK89" t="str">
        <v>Barbosa Guimarães</v>
      </c>
      <c r="AL89" t="str">
        <v>Terracota</v>
      </c>
    </row>
  </sheetData>
  <autoFilter ref="A2:AL2" xr:uid="{8C381E57-20A3-4D29-9AC1-A20B676A56DB}"/>
  <conditionalFormatting sqref="A2">
    <cfRule type="containsText" dxfId="59" priority="3" operator="containsText" text="Center">
      <formula>NOT(ISERROR(SEARCH("Center",A2)))</formula>
    </cfRule>
    <cfRule type="containsText" dxfId="58" priority="4" operator="containsText" text="North">
      <formula>NOT(ISERROR(SEARCH("North",A2)))</formula>
    </cfRule>
    <cfRule type="containsText" dxfId="57" priority="5" operator="containsText" text="Algarve">
      <formula>NOT(ISERROR(SEARCH("Algarve",A2)))</formula>
    </cfRule>
    <cfRule type="containsText" dxfId="56" priority="6" operator="containsText" text="Vilamoura">
      <formula>NOT(ISERROR(SEARCH("Vilamoura",A2)))</formula>
    </cfRule>
  </conditionalFormatting>
  <conditionalFormatting sqref="Q2">
    <cfRule type="containsText" dxfId="55" priority="1" operator="containsText" text="PRE-RESERVED">
      <formula>NOT(ISERROR(SEARCH("PRE-RESERVED",Q2)))</formula>
    </cfRule>
    <cfRule type="containsText" dxfId="54" priority="2" operator="containsText" text="RESERVED">
      <formula>NOT(ISERROR(SEARCH("RESERVED",Q2)))</formula>
    </cfRule>
  </conditionalFormatting>
  <pageMargins left="0.7" right="0.7" top="0.75" bottom="0.75" header="0.3" footer="0.3"/>
  <pageSetup paperSize="8" scale="69" fitToHeight="0"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A582F-8137-4601-80C0-8C22BC73BF63}">
  <sheetPr>
    <tabColor rgb="FFC2B59E"/>
    <pageSetUpPr fitToPage="1"/>
  </sheetPr>
  <dimension ref="A1:AL74"/>
  <sheetViews>
    <sheetView showGridLines="0" topLeftCell="A28" zoomScale="71" zoomScaleNormal="40" zoomScaleSheetLayoutView="70" workbookViewId="0">
      <pane xSplit="1" topLeftCell="B1" activePane="topRight" state="frozen"/>
      <selection activeCell="I25" sqref="I25"/>
      <selection pane="topRight" activeCell="D53" sqref="D53"/>
    </sheetView>
  </sheetViews>
  <sheetFormatPr defaultColWidth="8.6640625" defaultRowHeight="14.4" outlineLevelCol="2" x14ac:dyDescent="0.3"/>
  <cols>
    <col min="1" max="1" width="20.33203125" bestFit="1" customWidth="1"/>
    <col min="2" max="6" width="11.77734375" customWidth="1"/>
    <col min="7" max="12" width="11.77734375" customWidth="1" outlineLevel="2"/>
    <col min="13" max="13" width="11.77734375" style="79" customWidth="1" outlineLevel="2"/>
    <col min="14" max="14" width="11.77734375" customWidth="1" outlineLevel="2"/>
    <col min="15" max="16" width="11.77734375" customWidth="1" outlineLevel="1"/>
    <col min="17" max="18" width="11.77734375" customWidth="1"/>
    <col min="19" max="22" width="11.77734375" customWidth="1" outlineLevel="1"/>
    <col min="23" max="24" width="11.77734375" customWidth="1"/>
    <col min="25" max="25" width="11.77734375" customWidth="1" outlineLevel="1"/>
    <col min="26" max="26" width="11.77734375" customWidth="1"/>
    <col min="27" max="27" width="11.77734375" customWidth="1" outlineLevel="1"/>
    <col min="28" max="38" width="11.77734375" customWidth="1"/>
  </cols>
  <sheetData>
    <row r="1" spans="1:38" s="1" customFormat="1" ht="20.399999999999999" customHeight="1" x14ac:dyDescent="0.3">
      <c r="A1" s="114" t="s">
        <v>22</v>
      </c>
    </row>
    <row r="2" spans="1:38" s="2" customFormat="1" ht="46.2" customHeight="1" x14ac:dyDescent="0.3">
      <c r="A2" s="95" t="s">
        <v>335</v>
      </c>
      <c r="B2" s="95" t="s">
        <v>684</v>
      </c>
      <c r="C2" s="96" t="s">
        <v>765</v>
      </c>
      <c r="D2" s="97" t="s">
        <v>1</v>
      </c>
      <c r="E2" s="95" t="s">
        <v>93</v>
      </c>
      <c r="F2" s="95" t="s">
        <v>763</v>
      </c>
      <c r="G2" s="98" t="s">
        <v>675</v>
      </c>
      <c r="H2" s="99" t="s">
        <v>676</v>
      </c>
      <c r="I2" s="99" t="s">
        <v>677</v>
      </c>
      <c r="J2" s="100" t="s">
        <v>678</v>
      </c>
      <c r="K2" s="98" t="s">
        <v>679</v>
      </c>
      <c r="L2" s="98" t="s">
        <v>779</v>
      </c>
      <c r="M2" s="98" t="s">
        <v>680</v>
      </c>
      <c r="N2" s="101" t="s">
        <v>681</v>
      </c>
      <c r="O2" s="102" t="s">
        <v>94</v>
      </c>
      <c r="P2" s="102" t="s">
        <v>95</v>
      </c>
      <c r="Q2" s="95" t="s">
        <v>624</v>
      </c>
      <c r="R2" s="103" t="s">
        <v>331</v>
      </c>
      <c r="S2" s="104" t="s">
        <v>332</v>
      </c>
      <c r="T2" s="105" t="s">
        <v>333</v>
      </c>
      <c r="U2" s="105" t="s">
        <v>682</v>
      </c>
      <c r="V2" s="105" t="s">
        <v>97</v>
      </c>
      <c r="W2" s="95" t="s">
        <v>330</v>
      </c>
      <c r="X2" s="106" t="s">
        <v>919</v>
      </c>
      <c r="Y2" s="105" t="s">
        <v>334</v>
      </c>
      <c r="Z2" s="95" t="s">
        <v>98</v>
      </c>
      <c r="AA2" s="107" t="s">
        <v>933</v>
      </c>
      <c r="AB2" s="108" t="s">
        <v>934</v>
      </c>
      <c r="AC2" s="108" t="s">
        <v>928</v>
      </c>
      <c r="AD2" s="109" t="s">
        <v>926</v>
      </c>
      <c r="AE2" s="97" t="s">
        <v>792</v>
      </c>
      <c r="AF2" s="97" t="s">
        <v>793</v>
      </c>
      <c r="AG2" s="97" t="s">
        <v>2</v>
      </c>
      <c r="AH2" s="97" t="s">
        <v>3</v>
      </c>
      <c r="AI2" s="97" t="s">
        <v>5</v>
      </c>
      <c r="AJ2" s="97" t="s">
        <v>794</v>
      </c>
      <c r="AK2" s="97" t="s">
        <v>6</v>
      </c>
      <c r="AL2" s="95" t="s">
        <v>918</v>
      </c>
    </row>
    <row r="3" spans="1:38" s="112" customFormat="1" ht="13.8" x14ac:dyDescent="0.3">
      <c r="A3" s="129" t="str" cm="1">
        <f t="array" ref="A3:AL50">_xlfn._xlws.FILTER(DATABASE_Table[],DATABASE_Table[Development]=$A$1,"")</f>
        <v>THE NINE</v>
      </c>
      <c r="B3" s="129" t="str">
        <v>Vilamoura</v>
      </c>
      <c r="C3" s="110" t="str">
        <v>A</v>
      </c>
      <c r="D3" s="110" t="str">
        <v>Vilamoura, Algarve</v>
      </c>
      <c r="E3" s="110" t="str">
        <v>T3</v>
      </c>
      <c r="F3" s="110">
        <v>158</v>
      </c>
      <c r="G3" s="110">
        <v>0</v>
      </c>
      <c r="H3" s="110" t="str">
        <v/>
      </c>
      <c r="I3" s="110" t="str">
        <v/>
      </c>
      <c r="J3" s="110">
        <v>0</v>
      </c>
      <c r="K3" s="110">
        <v>0</v>
      </c>
      <c r="L3" s="110">
        <v>0</v>
      </c>
      <c r="M3" s="110">
        <v>0</v>
      </c>
      <c r="N3" s="110">
        <v>0</v>
      </c>
      <c r="O3" s="110">
        <v>158</v>
      </c>
      <c r="P3" s="110">
        <v>0</v>
      </c>
      <c r="Q3" s="110" t="str">
        <v xml:space="preserve">DEED </v>
      </c>
      <c r="R3" s="110">
        <v>830000</v>
      </c>
      <c r="S3" s="110">
        <v>830000</v>
      </c>
      <c r="T3" s="110">
        <v>850000</v>
      </c>
      <c r="U3" s="110">
        <v>0</v>
      </c>
      <c r="V3" s="110">
        <v>0</v>
      </c>
      <c r="W3" s="110">
        <v>850000</v>
      </c>
      <c r="X3" s="110">
        <v>0</v>
      </c>
      <c r="Y3" s="110">
        <v>850000</v>
      </c>
      <c r="Z3" s="110">
        <v>850000</v>
      </c>
      <c r="AA3" s="110">
        <v>45035</v>
      </c>
      <c r="AB3" s="111" t="str">
        <v>Q2 2023</v>
      </c>
      <c r="AC3" s="112">
        <v>45898</v>
      </c>
      <c r="AD3" s="112">
        <v>0</v>
      </c>
      <c r="AE3" s="112" t="str">
        <v>Ana Damásio</v>
      </c>
      <c r="AF3" s="112" t="str">
        <v>Frederico Ferreira</v>
      </c>
      <c r="AG3" s="112" t="str">
        <v>https://www.vilamouraworld.com/real-estate/the-nine/</v>
      </c>
      <c r="AH3" s="112" t="str">
        <v>Living here will allow you to enjoy sunny Vilamoura all year round. Close to the beach, close to the Marina, close to the very heart of nature.</v>
      </c>
      <c r="AI3" s="112" t="str">
        <v>Condo Pool, Outdoor Areas, Underground Parking</v>
      </c>
      <c r="AJ3" s="112" t="str">
        <v>Condomínio privado com piscina de adultos e crianças inseridas em amplo jardim; Estacionamento disponível; Excelente localização; Price point competitivo para a região.</v>
      </c>
      <c r="AK3" s="112" t="str">
        <v>AAVV</v>
      </c>
      <c r="AL3" s="112" t="str">
        <v>The Nine</v>
      </c>
    </row>
    <row r="4" spans="1:38" x14ac:dyDescent="0.3">
      <c r="A4" s="129" t="str">
        <v>THE NINE</v>
      </c>
      <c r="B4" s="129" t="str">
        <v>Vilamoura</v>
      </c>
      <c r="C4" s="110" t="str">
        <v>AA</v>
      </c>
      <c r="D4" s="110" t="str">
        <v>Vilamoura, Algarve</v>
      </c>
      <c r="E4" s="110" t="str">
        <v>T2</v>
      </c>
      <c r="F4" s="110">
        <v>117</v>
      </c>
      <c r="G4" s="110">
        <v>0</v>
      </c>
      <c r="H4" s="110" t="str">
        <v/>
      </c>
      <c r="I4" s="110" t="str">
        <v/>
      </c>
      <c r="J4" s="110">
        <v>0</v>
      </c>
      <c r="K4" s="110">
        <v>0</v>
      </c>
      <c r="L4" s="110">
        <v>0</v>
      </c>
      <c r="M4" s="110">
        <v>0</v>
      </c>
      <c r="N4" s="110">
        <v>0</v>
      </c>
      <c r="O4" s="110">
        <v>117</v>
      </c>
      <c r="P4" s="110">
        <v>0</v>
      </c>
      <c r="Q4" s="110" t="str">
        <v xml:space="preserve">DEED </v>
      </c>
      <c r="R4" s="110">
        <v>490000</v>
      </c>
      <c r="S4" s="110">
        <v>490000</v>
      </c>
      <c r="T4" s="110">
        <v>490000</v>
      </c>
      <c r="U4" s="110">
        <v>0</v>
      </c>
      <c r="V4" s="110">
        <v>0</v>
      </c>
      <c r="W4" s="110">
        <v>490000</v>
      </c>
      <c r="X4" s="110">
        <v>0</v>
      </c>
      <c r="Y4" s="110">
        <v>490000</v>
      </c>
      <c r="Z4" s="110">
        <v>490000</v>
      </c>
      <c r="AA4" s="110">
        <v>45035</v>
      </c>
      <c r="AB4" s="111" t="str">
        <v>Q2 2023</v>
      </c>
      <c r="AC4">
        <v>46125</v>
      </c>
      <c r="AD4">
        <v>0</v>
      </c>
      <c r="AE4" t="str">
        <v>Ana Damásio</v>
      </c>
      <c r="AF4" t="str">
        <v>Frederico Ferreira</v>
      </c>
      <c r="AG4" t="str">
        <v>https://www.vilamouraworld.com/real-estate/the-nine/</v>
      </c>
      <c r="AH4" t="str">
        <v>Living here will allow you to enjoy sunny Vilamoura all year round. Close to the beach, close to the Marina, close to the very heart of nature.</v>
      </c>
      <c r="AI4" t="str">
        <v>Condo Pool, Outdoor Areas, Underground Parking</v>
      </c>
      <c r="AJ4" t="str">
        <v>Condomínio privado com piscina de adultos e crianças inseridas em amplo jardim; Estacionamento disponível; Excelente localização; Price point competitivo para a região.</v>
      </c>
      <c r="AK4" t="str">
        <v>AAVV</v>
      </c>
      <c r="AL4" t="str">
        <v>The Nine</v>
      </c>
    </row>
    <row r="5" spans="1:38" x14ac:dyDescent="0.3">
      <c r="A5" s="129" t="str">
        <v>THE NINE</v>
      </c>
      <c r="B5" s="129" t="str">
        <v>Vilamoura</v>
      </c>
      <c r="C5" s="110" t="str">
        <v>AB</v>
      </c>
      <c r="D5" s="110" t="str">
        <v>Vilamoura, Algarve</v>
      </c>
      <c r="E5" s="110" t="str">
        <v>T3</v>
      </c>
      <c r="F5" s="110">
        <v>157</v>
      </c>
      <c r="G5" s="110">
        <v>0</v>
      </c>
      <c r="H5" s="110" t="str">
        <v/>
      </c>
      <c r="I5" s="110" t="str">
        <v/>
      </c>
      <c r="J5" s="110">
        <v>0</v>
      </c>
      <c r="K5" s="110">
        <v>0</v>
      </c>
      <c r="L5" s="110">
        <v>0</v>
      </c>
      <c r="M5" s="110">
        <v>0</v>
      </c>
      <c r="N5" s="110">
        <v>0</v>
      </c>
      <c r="O5" s="110">
        <v>157</v>
      </c>
      <c r="P5" s="110">
        <v>0</v>
      </c>
      <c r="Q5" s="110" t="str">
        <v xml:space="preserve">DEED </v>
      </c>
      <c r="R5" s="110">
        <v>740000</v>
      </c>
      <c r="S5" s="110">
        <v>740000</v>
      </c>
      <c r="T5" s="110">
        <v>830000</v>
      </c>
      <c r="U5" s="110">
        <v>0</v>
      </c>
      <c r="V5" s="110">
        <v>0</v>
      </c>
      <c r="W5" s="110">
        <v>830000</v>
      </c>
      <c r="X5" s="110">
        <v>0</v>
      </c>
      <c r="Y5" s="110">
        <v>830000</v>
      </c>
      <c r="Z5" s="110">
        <v>830000</v>
      </c>
      <c r="AA5" s="110">
        <v>45035</v>
      </c>
      <c r="AB5" s="111" t="str">
        <v>Q2 2023</v>
      </c>
      <c r="AC5">
        <v>0</v>
      </c>
      <c r="AD5">
        <v>0</v>
      </c>
      <c r="AE5" t="str">
        <v>Ana Damásio</v>
      </c>
      <c r="AF5" t="str">
        <v>Frederico Ferreira</v>
      </c>
      <c r="AG5" t="str">
        <v>https://www.vilamouraworld.com/real-estate/the-nine/</v>
      </c>
      <c r="AH5" t="str">
        <v>Living here will allow you to enjoy sunny Vilamoura all year round. Close to the beach, close to the Marina, close to the very heart of nature.</v>
      </c>
      <c r="AI5" t="str">
        <v>Condo Pool, Outdoor Areas, Underground Parking</v>
      </c>
      <c r="AJ5" t="str">
        <v>Condomínio privado com piscina de adultos e crianças inseridas em amplo jardim; Estacionamento disponível; Excelente localização; Price point competitivo para a região.</v>
      </c>
      <c r="AK5" t="str">
        <v>AAVV</v>
      </c>
      <c r="AL5" t="str">
        <v>The Nine</v>
      </c>
    </row>
    <row r="6" spans="1:38" x14ac:dyDescent="0.3">
      <c r="A6" s="129" t="str">
        <v>THE NINE</v>
      </c>
      <c r="B6" s="129" t="str">
        <v>Vilamoura</v>
      </c>
      <c r="C6" s="110" t="str">
        <v>AC</v>
      </c>
      <c r="D6" s="110" t="str">
        <v>Vilamoura, Algarve</v>
      </c>
      <c r="E6" s="110" t="str">
        <v>T2</v>
      </c>
      <c r="F6" s="110">
        <v>124</v>
      </c>
      <c r="G6" s="110">
        <v>0</v>
      </c>
      <c r="H6" s="110" t="str">
        <v/>
      </c>
      <c r="I6" s="110" t="str">
        <v/>
      </c>
      <c r="J6" s="110">
        <v>0</v>
      </c>
      <c r="K6" s="110">
        <v>0</v>
      </c>
      <c r="L6" s="110">
        <v>0</v>
      </c>
      <c r="M6" s="110">
        <v>0</v>
      </c>
      <c r="N6" s="110">
        <v>0</v>
      </c>
      <c r="O6" s="110">
        <v>124</v>
      </c>
      <c r="P6" s="110">
        <v>0</v>
      </c>
      <c r="Q6" s="110" t="str">
        <v xml:space="preserve">DEED </v>
      </c>
      <c r="R6" s="110">
        <v>630000</v>
      </c>
      <c r="S6" s="110">
        <v>630000</v>
      </c>
      <c r="T6" s="110">
        <v>680000</v>
      </c>
      <c r="U6" s="110">
        <v>0</v>
      </c>
      <c r="V6" s="110">
        <v>0</v>
      </c>
      <c r="W6" s="110">
        <v>680000</v>
      </c>
      <c r="X6" s="110">
        <v>0</v>
      </c>
      <c r="Y6" s="110">
        <v>680000</v>
      </c>
      <c r="Z6" s="110">
        <v>680000</v>
      </c>
      <c r="AA6" s="110">
        <v>45035</v>
      </c>
      <c r="AB6" s="111" t="str">
        <v>Q2 2023</v>
      </c>
      <c r="AC6">
        <v>0</v>
      </c>
      <c r="AD6">
        <v>0</v>
      </c>
      <c r="AE6" t="str">
        <v>Ana Damásio</v>
      </c>
      <c r="AF6" t="str">
        <v>Frederico Ferreira</v>
      </c>
      <c r="AG6" t="str">
        <v>https://www.vilamouraworld.com/real-estate/the-nine/</v>
      </c>
      <c r="AH6" t="str">
        <v>Living here will allow you to enjoy sunny Vilamoura all year round. Close to the beach, close to the Marina, close to the very heart of nature.</v>
      </c>
      <c r="AI6" t="str">
        <v>Condo Pool, Outdoor Areas, Underground Parking</v>
      </c>
      <c r="AJ6" t="str">
        <v>Condomínio privado com piscina de adultos e crianças inseridas em amplo jardim; Estacionamento disponível; Excelente localização; Price point competitivo para a região.</v>
      </c>
      <c r="AK6" t="str">
        <v>AAVV</v>
      </c>
      <c r="AL6" t="str">
        <v>The Nine</v>
      </c>
    </row>
    <row r="7" spans="1:38" x14ac:dyDescent="0.3">
      <c r="A7" s="129" t="str">
        <v>THE NINE</v>
      </c>
      <c r="B7" s="129" t="str">
        <v>Vilamoura</v>
      </c>
      <c r="C7" s="110" t="str">
        <v>AD</v>
      </c>
      <c r="D7" s="110" t="str">
        <v>Vilamoura, Algarve</v>
      </c>
      <c r="E7" s="110" t="str">
        <v>T2</v>
      </c>
      <c r="F7" s="110">
        <v>119</v>
      </c>
      <c r="G7" s="110">
        <v>0</v>
      </c>
      <c r="H7" s="110" t="str">
        <v/>
      </c>
      <c r="I7" s="110" t="str">
        <v/>
      </c>
      <c r="J7" s="110">
        <v>0</v>
      </c>
      <c r="K7" s="110">
        <v>0</v>
      </c>
      <c r="L7" s="110">
        <v>0</v>
      </c>
      <c r="M7" s="110">
        <v>0</v>
      </c>
      <c r="N7" s="110">
        <v>0</v>
      </c>
      <c r="O7" s="110">
        <v>119</v>
      </c>
      <c r="P7" s="110">
        <v>0</v>
      </c>
      <c r="Q7" s="110" t="str">
        <v xml:space="preserve">DEED </v>
      </c>
      <c r="R7" s="110">
        <v>590000</v>
      </c>
      <c r="S7" s="110">
        <v>590000</v>
      </c>
      <c r="T7" s="110">
        <v>630000</v>
      </c>
      <c r="U7" s="110">
        <v>0</v>
      </c>
      <c r="V7" s="110">
        <v>0</v>
      </c>
      <c r="W7" s="110">
        <v>630000</v>
      </c>
      <c r="X7" s="110">
        <v>0</v>
      </c>
      <c r="Y7" s="110">
        <v>630000</v>
      </c>
      <c r="Z7" s="110">
        <v>630000</v>
      </c>
      <c r="AA7" s="110">
        <v>45035</v>
      </c>
      <c r="AB7" s="111" t="str">
        <v>Q2 2023</v>
      </c>
      <c r="AC7">
        <v>0</v>
      </c>
      <c r="AD7">
        <v>0</v>
      </c>
      <c r="AE7" t="str">
        <v>Ana Damásio</v>
      </c>
      <c r="AF7" t="str">
        <v>Frederico Ferreira</v>
      </c>
      <c r="AG7" t="str">
        <v>https://www.vilamouraworld.com/real-estate/the-nine/</v>
      </c>
      <c r="AH7" t="str">
        <v>Living here will allow you to enjoy sunny Vilamoura all year round. Close to the beach, close to the Marina, close to the very heart of nature.</v>
      </c>
      <c r="AI7" t="str">
        <v>Condo Pool, Outdoor Areas, Underground Parking</v>
      </c>
      <c r="AJ7" t="str">
        <v>Condomínio privado com piscina de adultos e crianças inseridas em amplo jardim; Estacionamento disponível; Excelente localização; Price point competitivo para a região.</v>
      </c>
      <c r="AK7" t="str">
        <v>AAVV</v>
      </c>
      <c r="AL7" t="str">
        <v>The Nine</v>
      </c>
    </row>
    <row r="8" spans="1:38" x14ac:dyDescent="0.3">
      <c r="A8" s="129" t="str">
        <v>THE NINE</v>
      </c>
      <c r="B8" s="129" t="str">
        <v>Vilamoura</v>
      </c>
      <c r="C8" s="110" t="str">
        <v>AG</v>
      </c>
      <c r="D8" s="110" t="str">
        <v>Vilamoura, Algarve</v>
      </c>
      <c r="E8" s="110" t="str">
        <v>T2</v>
      </c>
      <c r="F8" s="110">
        <v>119</v>
      </c>
      <c r="G8" s="110">
        <v>0</v>
      </c>
      <c r="H8" s="110" t="str">
        <v/>
      </c>
      <c r="I8" s="110" t="str">
        <v/>
      </c>
      <c r="J8" s="110">
        <v>0</v>
      </c>
      <c r="K8" s="110">
        <v>0</v>
      </c>
      <c r="L8" s="110">
        <v>0</v>
      </c>
      <c r="M8" s="110">
        <v>0</v>
      </c>
      <c r="N8" s="110">
        <v>0</v>
      </c>
      <c r="O8" s="110">
        <v>119</v>
      </c>
      <c r="P8" s="110">
        <v>0</v>
      </c>
      <c r="Q8" s="110" t="str">
        <v xml:space="preserve">DEED </v>
      </c>
      <c r="R8" s="110">
        <v>590000</v>
      </c>
      <c r="S8" s="110">
        <v>590000</v>
      </c>
      <c r="T8" s="110">
        <v>630000</v>
      </c>
      <c r="U8" s="110">
        <v>0</v>
      </c>
      <c r="V8" s="110">
        <v>0</v>
      </c>
      <c r="W8" s="110">
        <v>630000</v>
      </c>
      <c r="X8" s="110">
        <v>0</v>
      </c>
      <c r="Y8" s="110">
        <v>630000</v>
      </c>
      <c r="Z8" s="110">
        <v>630000</v>
      </c>
      <c r="AA8" s="110">
        <v>45035</v>
      </c>
      <c r="AB8" s="111" t="str">
        <v>Q2 2023</v>
      </c>
      <c r="AC8">
        <v>46023</v>
      </c>
      <c r="AD8">
        <v>0</v>
      </c>
      <c r="AE8" t="str">
        <v>Ana Damásio</v>
      </c>
      <c r="AF8" t="str">
        <v>Frederico Ferreira</v>
      </c>
      <c r="AG8" t="str">
        <v>https://www.vilamouraworld.com/real-estate/the-nine/</v>
      </c>
      <c r="AH8" t="str">
        <v>Living here will allow you to enjoy sunny Vilamoura all year round. Close to the beach, close to the Marina, close to the very heart of nature.</v>
      </c>
      <c r="AI8" t="str">
        <v>Condo Pool, Outdoor Areas, Underground Parking</v>
      </c>
      <c r="AJ8" t="str">
        <v>Condomínio privado com piscina de adultos e crianças inseridas em amplo jardim; Estacionamento disponível; Excelente localização; Price point competitivo para a região.</v>
      </c>
      <c r="AK8" t="str">
        <v>AAVV</v>
      </c>
      <c r="AL8" t="str">
        <v>The Nine</v>
      </c>
    </row>
    <row r="9" spans="1:38" x14ac:dyDescent="0.3">
      <c r="A9" s="129" t="str">
        <v>THE NINE</v>
      </c>
      <c r="B9" s="129" t="str">
        <v>Vilamoura</v>
      </c>
      <c r="C9" s="110" t="str">
        <v>AI</v>
      </c>
      <c r="D9" s="110" t="str">
        <v>Vilamoura, Algarve</v>
      </c>
      <c r="E9" s="110" t="str">
        <v>T2</v>
      </c>
      <c r="F9" s="110">
        <v>119</v>
      </c>
      <c r="G9" s="110">
        <v>0</v>
      </c>
      <c r="H9" s="110" t="str">
        <v/>
      </c>
      <c r="I9" s="110" t="str">
        <v/>
      </c>
      <c r="J9" s="110">
        <v>0</v>
      </c>
      <c r="K9" s="110">
        <v>0</v>
      </c>
      <c r="L9" s="110">
        <v>0</v>
      </c>
      <c r="M9" s="110">
        <v>0</v>
      </c>
      <c r="N9" s="110">
        <v>0</v>
      </c>
      <c r="O9" s="110">
        <v>119</v>
      </c>
      <c r="P9" s="110">
        <v>0</v>
      </c>
      <c r="Q9" s="110" t="str">
        <v xml:space="preserve">DEED </v>
      </c>
      <c r="R9" s="110">
        <v>590000</v>
      </c>
      <c r="S9" s="110">
        <v>590000</v>
      </c>
      <c r="T9" s="110">
        <v>640000</v>
      </c>
      <c r="U9" s="110">
        <v>0</v>
      </c>
      <c r="V9" s="110">
        <v>0</v>
      </c>
      <c r="W9" s="110">
        <v>640000</v>
      </c>
      <c r="X9" s="110">
        <v>0</v>
      </c>
      <c r="Y9" s="110">
        <v>640000</v>
      </c>
      <c r="Z9" s="110">
        <v>640000</v>
      </c>
      <c r="AA9" s="110">
        <v>45035</v>
      </c>
      <c r="AB9" s="111" t="str">
        <v>Q2 2023</v>
      </c>
      <c r="AC9">
        <v>45923</v>
      </c>
      <c r="AD9">
        <v>0</v>
      </c>
      <c r="AE9" t="str">
        <v>Ana Damásio</v>
      </c>
      <c r="AF9" t="str">
        <v>Frederico Ferreira</v>
      </c>
      <c r="AG9" t="str">
        <v>https://www.vilamouraworld.com/real-estate/the-nine/</v>
      </c>
      <c r="AH9" t="str">
        <v>Living here will allow you to enjoy sunny Vilamoura all year round. Close to the beach, close to the Marina, close to the very heart of nature.</v>
      </c>
      <c r="AI9" t="str">
        <v>Condo Pool, Outdoor Areas, Underground Parking</v>
      </c>
      <c r="AJ9" t="str">
        <v>Condomínio privado com piscina de adultos e crianças inseridas em amplo jardim; Estacionamento disponível; Excelente localização; Price point competitivo para a região.</v>
      </c>
      <c r="AK9" t="str">
        <v>AAVV</v>
      </c>
      <c r="AL9" t="str">
        <v>The Nine</v>
      </c>
    </row>
    <row r="10" spans="1:38" x14ac:dyDescent="0.3">
      <c r="A10" s="110" t="str">
        <v>THE NINE</v>
      </c>
      <c r="B10" s="110" t="str">
        <v>Vilamoura</v>
      </c>
      <c r="C10" s="110" t="str">
        <v>AJ</v>
      </c>
      <c r="D10" s="110" t="str">
        <v>Vilamoura, Algarve</v>
      </c>
      <c r="E10" s="110" t="str">
        <v>T2</v>
      </c>
      <c r="F10" s="110">
        <v>119</v>
      </c>
      <c r="G10" s="110">
        <v>0</v>
      </c>
      <c r="H10" s="110" t="str">
        <v/>
      </c>
      <c r="I10" s="110" t="str">
        <v/>
      </c>
      <c r="J10" s="110">
        <v>0</v>
      </c>
      <c r="K10" s="110">
        <v>0</v>
      </c>
      <c r="L10" s="110">
        <v>0</v>
      </c>
      <c r="M10" s="110">
        <v>0</v>
      </c>
      <c r="N10" s="110">
        <v>0</v>
      </c>
      <c r="O10" s="110">
        <v>119</v>
      </c>
      <c r="P10" s="110">
        <v>0</v>
      </c>
      <c r="Q10" s="110" t="str">
        <v xml:space="preserve">DEED </v>
      </c>
      <c r="R10" s="110">
        <v>590000</v>
      </c>
      <c r="S10" s="110">
        <v>590000</v>
      </c>
      <c r="T10" s="110">
        <v>640000</v>
      </c>
      <c r="U10" s="110">
        <v>0</v>
      </c>
      <c r="V10" s="110">
        <v>0</v>
      </c>
      <c r="W10" s="110">
        <v>640000</v>
      </c>
      <c r="X10" s="110">
        <v>0</v>
      </c>
      <c r="Y10" s="110">
        <v>640000</v>
      </c>
      <c r="Z10" s="110">
        <v>640000</v>
      </c>
      <c r="AA10" s="110">
        <v>45035</v>
      </c>
      <c r="AB10" s="111" t="str">
        <v>Q2 2023</v>
      </c>
      <c r="AC10">
        <v>45923</v>
      </c>
      <c r="AD10">
        <v>0</v>
      </c>
      <c r="AE10" t="str">
        <v>Ana Damásio</v>
      </c>
      <c r="AF10" t="str">
        <v>Frederico Ferreira</v>
      </c>
      <c r="AG10" t="str">
        <v>https://www.vilamouraworld.com/real-estate/the-nine/</v>
      </c>
      <c r="AH10" t="str">
        <v>Living here will allow you to enjoy sunny Vilamoura all year round. Close to the beach, close to the Marina, close to the very heart of nature.</v>
      </c>
      <c r="AI10" t="str">
        <v>Condo Pool, Outdoor Areas, Underground Parking</v>
      </c>
      <c r="AJ10" t="str">
        <v>Condomínio privado com piscina de adultos e crianças inseridas em amplo jardim; Estacionamento disponível; Excelente localização; Price point competitivo para a região.</v>
      </c>
      <c r="AK10" t="str">
        <v>AAVV</v>
      </c>
      <c r="AL10" t="str">
        <v>The Nine</v>
      </c>
    </row>
    <row r="11" spans="1:38" x14ac:dyDescent="0.3">
      <c r="A11" s="110" t="str">
        <v>THE NINE</v>
      </c>
      <c r="B11" s="110" t="str">
        <v>Vilamoura</v>
      </c>
      <c r="C11" s="110" t="str">
        <v>AM</v>
      </c>
      <c r="D11" s="110" t="str">
        <v>Vilamoura, Algarve</v>
      </c>
      <c r="E11" s="110" t="str">
        <v>T2</v>
      </c>
      <c r="F11" s="110">
        <v>119</v>
      </c>
      <c r="G11" s="110">
        <v>0</v>
      </c>
      <c r="H11" s="110" t="str">
        <v/>
      </c>
      <c r="I11" s="110" t="str">
        <v/>
      </c>
      <c r="J11" s="110">
        <v>0</v>
      </c>
      <c r="K11" s="110">
        <v>0</v>
      </c>
      <c r="L11" s="110">
        <v>0</v>
      </c>
      <c r="M11" s="110">
        <v>0</v>
      </c>
      <c r="N11" s="110">
        <v>0</v>
      </c>
      <c r="O11" s="110">
        <v>119</v>
      </c>
      <c r="P11" s="110">
        <v>0</v>
      </c>
      <c r="Q11" s="110" t="str">
        <v xml:space="preserve">DEED </v>
      </c>
      <c r="R11" s="110">
        <v>590000</v>
      </c>
      <c r="S11" s="110">
        <v>590000</v>
      </c>
      <c r="T11" s="110">
        <v>630000</v>
      </c>
      <c r="U11" s="110">
        <v>0</v>
      </c>
      <c r="V11" s="110">
        <v>0</v>
      </c>
      <c r="W11" s="110">
        <v>630000</v>
      </c>
      <c r="X11" s="110">
        <v>0</v>
      </c>
      <c r="Y11" s="110">
        <v>630000</v>
      </c>
      <c r="Z11" s="110">
        <v>630000</v>
      </c>
      <c r="AA11" s="110">
        <v>45035</v>
      </c>
      <c r="AB11" s="111" t="str">
        <v>Q2 2023</v>
      </c>
      <c r="AC11">
        <v>45250</v>
      </c>
      <c r="AD11">
        <v>0</v>
      </c>
      <c r="AE11" t="str">
        <v>Ana Damásio</v>
      </c>
      <c r="AF11" t="str">
        <v>Frederico Ferreira</v>
      </c>
      <c r="AG11" t="str">
        <v>https://www.vilamouraworld.com/real-estate/the-nine/</v>
      </c>
      <c r="AH11" t="str">
        <v>Living here will allow you to enjoy sunny Vilamoura all year round. Close to the beach, close to the Marina, close to the very heart of nature.</v>
      </c>
      <c r="AI11" t="str">
        <v>Condo Pool, Outdoor Areas, Underground Parking</v>
      </c>
      <c r="AJ11" t="str">
        <v>Condomínio privado com piscina de adultos e crianças inseridas em amplo jardim; Estacionamento disponível; Excelente localização; Price point competitivo para a região.</v>
      </c>
      <c r="AK11" t="str">
        <v>AAVV</v>
      </c>
      <c r="AL11" t="str">
        <v>The Nine</v>
      </c>
    </row>
    <row r="12" spans="1:38" x14ac:dyDescent="0.3">
      <c r="A12" s="110" t="str">
        <v>THE NINE</v>
      </c>
      <c r="B12" s="110" t="str">
        <v>Vilamoura</v>
      </c>
      <c r="C12" s="110" t="str">
        <v>AN</v>
      </c>
      <c r="D12" s="110" t="str">
        <v>Vilamoura, Algarve</v>
      </c>
      <c r="E12" s="110" t="str">
        <v>T2</v>
      </c>
      <c r="F12" s="110">
        <v>119</v>
      </c>
      <c r="G12" s="110">
        <v>0</v>
      </c>
      <c r="H12" s="110" t="str">
        <v/>
      </c>
      <c r="I12" s="110" t="str">
        <v/>
      </c>
      <c r="J12" s="110">
        <v>0</v>
      </c>
      <c r="K12" s="110">
        <v>0</v>
      </c>
      <c r="L12" s="110">
        <v>0</v>
      </c>
      <c r="M12" s="110">
        <v>0</v>
      </c>
      <c r="N12" s="110">
        <v>0</v>
      </c>
      <c r="O12" s="110">
        <v>119</v>
      </c>
      <c r="P12" s="110">
        <v>0</v>
      </c>
      <c r="Q12" s="110" t="str">
        <v xml:space="preserve">DEED </v>
      </c>
      <c r="R12" s="110">
        <v>590000</v>
      </c>
      <c r="S12" s="110">
        <v>590000</v>
      </c>
      <c r="T12" s="110">
        <v>660000</v>
      </c>
      <c r="U12" s="110">
        <v>0</v>
      </c>
      <c r="V12" s="110">
        <v>0</v>
      </c>
      <c r="W12" s="110">
        <v>660000</v>
      </c>
      <c r="X12" s="110">
        <v>0</v>
      </c>
      <c r="Y12" s="110">
        <v>660000</v>
      </c>
      <c r="Z12" s="110">
        <v>660000</v>
      </c>
      <c r="AA12" s="110">
        <v>45035</v>
      </c>
      <c r="AB12" s="111" t="str">
        <v>Q2 2023</v>
      </c>
      <c r="AC12">
        <v>45923</v>
      </c>
      <c r="AD12">
        <v>0</v>
      </c>
      <c r="AE12" t="str">
        <v>Ana Damásio</v>
      </c>
      <c r="AF12" t="str">
        <v>Frederico Ferreira</v>
      </c>
      <c r="AG12" t="str">
        <v>https://www.vilamouraworld.com/real-estate/the-nine/</v>
      </c>
      <c r="AH12" t="str">
        <v>Living here will allow you to enjoy sunny Vilamoura all year round. Close to the beach, close to the Marina, close to the very heart of nature.</v>
      </c>
      <c r="AI12" t="str">
        <v>Condo Pool, Outdoor Areas, Underground Parking</v>
      </c>
      <c r="AJ12" t="str">
        <v>Condomínio privado com piscina de adultos e crianças inseridas em amplo jardim; Estacionamento disponível; Excelente localização; Price point competitivo para a região.</v>
      </c>
      <c r="AK12" t="str">
        <v>AAVV</v>
      </c>
      <c r="AL12" t="str">
        <v>The Nine</v>
      </c>
    </row>
    <row r="13" spans="1:38" x14ac:dyDescent="0.3">
      <c r="A13" s="110" t="str">
        <v>THE NINE</v>
      </c>
      <c r="B13" s="110" t="str">
        <v>Vilamoura</v>
      </c>
      <c r="C13" s="110" t="str">
        <v>AO</v>
      </c>
      <c r="D13" s="110" t="str">
        <v>Vilamoura, Algarve</v>
      </c>
      <c r="E13" s="110" t="str">
        <v>T2</v>
      </c>
      <c r="F13" s="110">
        <v>119</v>
      </c>
      <c r="G13" s="110">
        <v>0</v>
      </c>
      <c r="H13" s="110" t="str">
        <v/>
      </c>
      <c r="I13" s="110" t="str">
        <v/>
      </c>
      <c r="J13" s="110">
        <v>0</v>
      </c>
      <c r="K13" s="110">
        <v>0</v>
      </c>
      <c r="L13" s="110">
        <v>0</v>
      </c>
      <c r="M13" s="110">
        <v>0</v>
      </c>
      <c r="N13" s="110">
        <v>0</v>
      </c>
      <c r="O13" s="110">
        <v>119</v>
      </c>
      <c r="P13" s="110">
        <v>0</v>
      </c>
      <c r="Q13" s="110" t="str">
        <v xml:space="preserve">DEED </v>
      </c>
      <c r="R13" s="110">
        <v>590000</v>
      </c>
      <c r="S13" s="110">
        <v>590000</v>
      </c>
      <c r="T13" s="110">
        <v>590000</v>
      </c>
      <c r="U13" s="110">
        <v>0</v>
      </c>
      <c r="V13" s="110">
        <v>0</v>
      </c>
      <c r="W13" s="110">
        <v>590000</v>
      </c>
      <c r="X13" s="110">
        <v>0</v>
      </c>
      <c r="Y13" s="110">
        <v>590000</v>
      </c>
      <c r="Z13" s="110">
        <v>590000</v>
      </c>
      <c r="AA13" s="110">
        <v>45035</v>
      </c>
      <c r="AB13" s="111" t="str">
        <v>Q2 2023</v>
      </c>
      <c r="AC13">
        <v>45035</v>
      </c>
      <c r="AD13">
        <v>0</v>
      </c>
      <c r="AE13" t="str">
        <v>Ana Damásio</v>
      </c>
      <c r="AF13" t="str">
        <v>Frederico Ferreira</v>
      </c>
      <c r="AG13" t="str">
        <v>https://www.vilamouraworld.com/real-estate/the-nine/</v>
      </c>
      <c r="AH13" t="str">
        <v>Living here will allow you to enjoy sunny Vilamoura all year round. Close to the beach, close to the Marina, close to the very heart of nature.</v>
      </c>
      <c r="AI13" t="str">
        <v>Condo Pool, Outdoor Areas, Underground Parking</v>
      </c>
      <c r="AJ13" t="str">
        <v>Condomínio privado com piscina de adultos e crianças inseridas em amplo jardim; Estacionamento disponível; Excelente localização; Price point competitivo para a região.</v>
      </c>
      <c r="AK13" t="str">
        <v>AAVV</v>
      </c>
      <c r="AL13" t="str">
        <v>The Nine</v>
      </c>
    </row>
    <row r="14" spans="1:38" x14ac:dyDescent="0.3">
      <c r="A14" s="110" t="str">
        <v>THE NINE</v>
      </c>
      <c r="B14" s="110" t="str">
        <v>Vilamoura</v>
      </c>
      <c r="C14" s="110" t="str">
        <v>AP</v>
      </c>
      <c r="D14" s="110" t="str">
        <v>Vilamoura, Algarve</v>
      </c>
      <c r="E14" s="110" t="str">
        <v>T3</v>
      </c>
      <c r="F14" s="110">
        <v>162</v>
      </c>
      <c r="G14" s="110">
        <v>0</v>
      </c>
      <c r="H14" s="110" t="str">
        <v/>
      </c>
      <c r="I14" s="110" t="str">
        <v/>
      </c>
      <c r="J14" s="110">
        <v>0</v>
      </c>
      <c r="K14" s="110">
        <v>0</v>
      </c>
      <c r="L14" s="110">
        <v>0</v>
      </c>
      <c r="M14" s="110">
        <v>0</v>
      </c>
      <c r="N14" s="110">
        <v>0</v>
      </c>
      <c r="O14" s="110">
        <v>162</v>
      </c>
      <c r="P14" s="110">
        <v>0</v>
      </c>
      <c r="Q14" s="110" t="str">
        <v xml:space="preserve">DEED </v>
      </c>
      <c r="R14" s="110">
        <v>840000</v>
      </c>
      <c r="S14" s="110">
        <v>840000</v>
      </c>
      <c r="T14" s="110">
        <v>840000</v>
      </c>
      <c r="U14" s="110">
        <v>0</v>
      </c>
      <c r="V14" s="110">
        <v>0</v>
      </c>
      <c r="W14" s="110">
        <v>840000</v>
      </c>
      <c r="X14" s="110">
        <v>0</v>
      </c>
      <c r="Y14" s="110">
        <v>840000</v>
      </c>
      <c r="Z14" s="110">
        <v>840000</v>
      </c>
      <c r="AA14" s="110">
        <v>45035</v>
      </c>
      <c r="AB14" s="111" t="str">
        <v>Q2 2023</v>
      </c>
      <c r="AC14">
        <v>45071</v>
      </c>
      <c r="AD14">
        <v>0</v>
      </c>
      <c r="AE14" t="str">
        <v>Ana Damásio</v>
      </c>
      <c r="AF14" t="str">
        <v>Frederico Ferreira</v>
      </c>
      <c r="AG14" t="str">
        <v>https://www.vilamouraworld.com/real-estate/the-nine/</v>
      </c>
      <c r="AH14" t="str">
        <v>Living here will allow you to enjoy sunny Vilamoura all year round. Close to the beach, close to the Marina, close to the very heart of nature.</v>
      </c>
      <c r="AI14" t="str">
        <v>Condo Pool, Outdoor Areas, Underground Parking</v>
      </c>
      <c r="AJ14" t="str">
        <v>Condomínio privado com piscina de adultos e crianças inseridas em amplo jardim; Estacionamento disponível; Excelente localização; Price point competitivo para a região.</v>
      </c>
      <c r="AK14" t="str">
        <v>AAVV</v>
      </c>
      <c r="AL14" t="str">
        <v>The Nine</v>
      </c>
    </row>
    <row r="15" spans="1:38" x14ac:dyDescent="0.3">
      <c r="A15" s="110" t="str">
        <v>THE NINE</v>
      </c>
      <c r="B15" s="110" t="str">
        <v>Vilamoura</v>
      </c>
      <c r="C15" s="110" t="str">
        <v>AQ</v>
      </c>
      <c r="D15" s="110" t="str">
        <v>Vilamoura, Algarve</v>
      </c>
      <c r="E15" s="110" t="str">
        <v>T3</v>
      </c>
      <c r="F15" s="110">
        <v>146</v>
      </c>
      <c r="G15" s="110">
        <v>0</v>
      </c>
      <c r="H15" s="110" t="str">
        <v/>
      </c>
      <c r="I15" s="110" t="str">
        <v/>
      </c>
      <c r="J15" s="110">
        <v>0</v>
      </c>
      <c r="K15" s="110">
        <v>0</v>
      </c>
      <c r="L15" s="110">
        <v>0</v>
      </c>
      <c r="M15" s="110">
        <v>0</v>
      </c>
      <c r="N15" s="110">
        <v>0</v>
      </c>
      <c r="O15" s="110">
        <v>146</v>
      </c>
      <c r="P15" s="110">
        <v>0</v>
      </c>
      <c r="Q15" s="110" t="str">
        <v xml:space="preserve">DEED </v>
      </c>
      <c r="R15" s="110">
        <v>960000</v>
      </c>
      <c r="S15" s="110">
        <v>960000</v>
      </c>
      <c r="T15" s="110">
        <v>1150000</v>
      </c>
      <c r="U15" s="110">
        <v>0</v>
      </c>
      <c r="V15" s="110">
        <v>0</v>
      </c>
      <c r="W15" s="110">
        <v>1150000</v>
      </c>
      <c r="X15" s="110">
        <v>0</v>
      </c>
      <c r="Y15" s="110">
        <v>1150000</v>
      </c>
      <c r="Z15" s="110">
        <v>1150000</v>
      </c>
      <c r="AA15" s="110">
        <v>45035</v>
      </c>
      <c r="AB15" s="111" t="str">
        <v>Q2 2023</v>
      </c>
      <c r="AC15">
        <v>45145</v>
      </c>
      <c r="AD15">
        <v>0</v>
      </c>
      <c r="AE15" t="str">
        <v>Ana Damásio</v>
      </c>
      <c r="AF15" t="str">
        <v>Frederico Ferreira</v>
      </c>
      <c r="AG15" t="str">
        <v>https://www.vilamouraworld.com/real-estate/the-nine/</v>
      </c>
      <c r="AH15" t="str">
        <v>Living here will allow you to enjoy sunny Vilamoura all year round. Close to the beach, close to the Marina, close to the very heart of nature.</v>
      </c>
      <c r="AI15" t="str">
        <v>Condo Pool, Outdoor Areas, Underground Parking</v>
      </c>
      <c r="AJ15" t="str">
        <v>Condomínio privado com piscina de adultos e crianças inseridas em amplo jardim; Estacionamento disponível; Excelente localização; Price point competitivo para a região.</v>
      </c>
      <c r="AK15" t="str">
        <v>AAVV</v>
      </c>
      <c r="AL15" t="str">
        <v>The Nine</v>
      </c>
    </row>
    <row r="16" spans="1:38" x14ac:dyDescent="0.3">
      <c r="A16" s="110" t="str">
        <v>THE NINE</v>
      </c>
      <c r="B16" s="110" t="str">
        <v>Vilamoura</v>
      </c>
      <c r="C16" s="110" t="str">
        <v>AR</v>
      </c>
      <c r="D16" s="110" t="str">
        <v>Vilamoura, Algarve</v>
      </c>
      <c r="E16" s="110" t="str">
        <v>T3</v>
      </c>
      <c r="F16" s="110">
        <v>143</v>
      </c>
      <c r="G16" s="110">
        <v>0</v>
      </c>
      <c r="H16" s="110" t="str">
        <v/>
      </c>
      <c r="I16" s="110" t="str">
        <v/>
      </c>
      <c r="J16" s="110">
        <v>0</v>
      </c>
      <c r="K16" s="110">
        <v>0</v>
      </c>
      <c r="L16" s="110">
        <v>0</v>
      </c>
      <c r="M16" s="110">
        <v>0</v>
      </c>
      <c r="N16" s="110">
        <v>0</v>
      </c>
      <c r="O16" s="110">
        <v>143</v>
      </c>
      <c r="P16" s="110">
        <v>0</v>
      </c>
      <c r="Q16" s="110" t="str">
        <v xml:space="preserve">DEED </v>
      </c>
      <c r="R16" s="110">
        <v>840000</v>
      </c>
      <c r="S16" s="110">
        <v>840000</v>
      </c>
      <c r="T16" s="110">
        <v>1040000</v>
      </c>
      <c r="U16" s="110">
        <v>0</v>
      </c>
      <c r="V16" s="110">
        <v>0</v>
      </c>
      <c r="W16" s="110">
        <v>1040000</v>
      </c>
      <c r="X16" s="110">
        <v>0</v>
      </c>
      <c r="Y16" s="110">
        <v>1040000</v>
      </c>
      <c r="Z16" s="110">
        <v>1040000</v>
      </c>
      <c r="AA16" s="110">
        <v>45035</v>
      </c>
      <c r="AB16" s="111" t="str">
        <v>Q2 2023</v>
      </c>
      <c r="AC16">
        <v>45923</v>
      </c>
      <c r="AD16">
        <v>0</v>
      </c>
      <c r="AE16" t="str">
        <v>Ana Damásio</v>
      </c>
      <c r="AF16" t="str">
        <v>Frederico Ferreira</v>
      </c>
      <c r="AG16" t="str">
        <v>https://www.vilamouraworld.com/real-estate/the-nine/</v>
      </c>
      <c r="AH16" t="str">
        <v>Living here will allow you to enjoy sunny Vilamoura all year round. Close to the beach, close to the Marina, close to the very heart of nature.</v>
      </c>
      <c r="AI16" t="str">
        <v>Condo Pool, Outdoor Areas, Underground Parking</v>
      </c>
      <c r="AJ16" t="str">
        <v>Condomínio privado com piscina de adultos e crianças inseridas em amplo jardim; Estacionamento disponível; Excelente localização; Price point competitivo para a região.</v>
      </c>
      <c r="AK16" t="str">
        <v>AAVV</v>
      </c>
      <c r="AL16" t="str">
        <v>The Nine</v>
      </c>
    </row>
    <row r="17" spans="1:38" x14ac:dyDescent="0.3">
      <c r="A17" s="110" t="str">
        <v>THE NINE</v>
      </c>
      <c r="B17" s="110" t="str">
        <v>Vilamoura</v>
      </c>
      <c r="C17" s="110" t="str">
        <v>AT</v>
      </c>
      <c r="D17" s="110" t="str">
        <v>Vilamoura, Algarve</v>
      </c>
      <c r="E17" s="110" t="str">
        <v>T2</v>
      </c>
      <c r="F17" s="110">
        <v>111</v>
      </c>
      <c r="G17" s="110">
        <v>0</v>
      </c>
      <c r="H17" s="110" t="str">
        <v/>
      </c>
      <c r="I17" s="110" t="str">
        <v/>
      </c>
      <c r="J17" s="110">
        <v>0</v>
      </c>
      <c r="K17" s="110">
        <v>0</v>
      </c>
      <c r="L17" s="110">
        <v>0</v>
      </c>
      <c r="M17" s="110">
        <v>0</v>
      </c>
      <c r="N17" s="110">
        <v>0</v>
      </c>
      <c r="O17" s="110">
        <v>111</v>
      </c>
      <c r="P17" s="110">
        <v>0</v>
      </c>
      <c r="Q17" s="110" t="str">
        <v xml:space="preserve">DEED </v>
      </c>
      <c r="R17" s="110">
        <v>660000</v>
      </c>
      <c r="S17" s="110">
        <v>660000</v>
      </c>
      <c r="T17" s="110">
        <v>830000</v>
      </c>
      <c r="U17" s="110">
        <v>0</v>
      </c>
      <c r="V17" s="110">
        <v>0</v>
      </c>
      <c r="W17" s="110">
        <v>830000</v>
      </c>
      <c r="X17" s="110">
        <v>0</v>
      </c>
      <c r="Y17" s="110">
        <v>830000</v>
      </c>
      <c r="Z17" s="110">
        <v>830000</v>
      </c>
      <c r="AA17" s="110">
        <v>45035</v>
      </c>
      <c r="AB17" s="111" t="str">
        <v>Q2 2023</v>
      </c>
      <c r="AC17">
        <v>45720</v>
      </c>
      <c r="AD17">
        <v>0</v>
      </c>
      <c r="AE17" t="str">
        <v>Ana Damásio</v>
      </c>
      <c r="AF17" t="str">
        <v>Frederico Ferreira</v>
      </c>
      <c r="AG17" t="str">
        <v>https://www.vilamouraworld.com/real-estate/the-nine/</v>
      </c>
      <c r="AH17" t="str">
        <v>Living here will allow you to enjoy sunny Vilamoura all year round. Close to the beach, close to the Marina, close to the very heart of nature.</v>
      </c>
      <c r="AI17" t="str">
        <v>Condo Pool, Outdoor Areas, Underground Parking</v>
      </c>
      <c r="AJ17" t="str">
        <v>Condomínio privado com piscina de adultos e crianças inseridas em amplo jardim; Estacionamento disponível; Excelente localização; Price point competitivo para a região.</v>
      </c>
      <c r="AK17" t="str">
        <v>AAVV</v>
      </c>
      <c r="AL17" t="str">
        <v>The Nine</v>
      </c>
    </row>
    <row r="18" spans="1:38" x14ac:dyDescent="0.3">
      <c r="A18" s="110" t="str">
        <v>THE NINE</v>
      </c>
      <c r="B18" s="110" t="str">
        <v>Vilamoura</v>
      </c>
      <c r="C18" s="110" t="str">
        <v>AU</v>
      </c>
      <c r="D18" s="110" t="str">
        <v>Vilamoura, Algarve</v>
      </c>
      <c r="E18" s="110" t="str">
        <v>T3</v>
      </c>
      <c r="F18" s="110">
        <v>143</v>
      </c>
      <c r="G18" s="110">
        <v>0</v>
      </c>
      <c r="H18" s="110" t="str">
        <v/>
      </c>
      <c r="I18" s="110" t="str">
        <v/>
      </c>
      <c r="J18" s="110">
        <v>0</v>
      </c>
      <c r="K18" s="110">
        <v>0</v>
      </c>
      <c r="L18" s="110">
        <v>0</v>
      </c>
      <c r="M18" s="110">
        <v>0</v>
      </c>
      <c r="N18" s="110">
        <v>0</v>
      </c>
      <c r="O18" s="110">
        <v>143</v>
      </c>
      <c r="P18" s="110">
        <v>0</v>
      </c>
      <c r="Q18" s="110" t="str">
        <v xml:space="preserve">DEED </v>
      </c>
      <c r="R18" s="110">
        <v>840000</v>
      </c>
      <c r="S18" s="110">
        <v>840000</v>
      </c>
      <c r="T18" s="110">
        <v>1050000</v>
      </c>
      <c r="U18" s="110">
        <v>0</v>
      </c>
      <c r="V18" s="110">
        <v>0</v>
      </c>
      <c r="W18" s="110">
        <v>1050000</v>
      </c>
      <c r="X18" s="110">
        <v>0</v>
      </c>
      <c r="Y18" s="110">
        <v>1050000</v>
      </c>
      <c r="Z18" s="110">
        <v>1050000</v>
      </c>
      <c r="AA18" s="110">
        <v>45035</v>
      </c>
      <c r="AB18" s="111" t="str">
        <v>Q2 2023</v>
      </c>
      <c r="AC18">
        <v>45433</v>
      </c>
      <c r="AD18">
        <v>0</v>
      </c>
      <c r="AE18" t="str">
        <v>Ana Damásio</v>
      </c>
      <c r="AF18" t="str">
        <v>Frederico Ferreira</v>
      </c>
      <c r="AG18" t="str">
        <v>https://www.vilamouraworld.com/real-estate/the-nine/</v>
      </c>
      <c r="AH18" t="str">
        <v>Living here will allow you to enjoy sunny Vilamoura all year round. Close to the beach, close to the Marina, close to the very heart of nature.</v>
      </c>
      <c r="AI18" t="str">
        <v>Condo Pool, Outdoor Areas, Underground Parking</v>
      </c>
      <c r="AJ18" t="str">
        <v>Condomínio privado com piscina de adultos e crianças inseridas em amplo jardim; Estacionamento disponível; Excelente localização; Price point competitivo para a região.</v>
      </c>
      <c r="AK18" t="str">
        <v>AAVV</v>
      </c>
      <c r="AL18" t="str">
        <v>The Nine</v>
      </c>
    </row>
    <row r="19" spans="1:38" x14ac:dyDescent="0.3">
      <c r="A19" s="110" t="str">
        <v>THE NINE</v>
      </c>
      <c r="B19" s="110" t="str">
        <v>Vilamoura</v>
      </c>
      <c r="C19" s="110" t="str">
        <v>AV</v>
      </c>
      <c r="D19" s="110" t="str">
        <v>Vilamoura, Algarve</v>
      </c>
      <c r="E19" s="110" t="str">
        <v>T3</v>
      </c>
      <c r="F19" s="110">
        <v>146</v>
      </c>
      <c r="G19" s="110">
        <v>0</v>
      </c>
      <c r="H19" s="110" t="str">
        <v/>
      </c>
      <c r="I19" s="110" t="str">
        <v/>
      </c>
      <c r="J19" s="110">
        <v>0</v>
      </c>
      <c r="K19" s="110">
        <v>0</v>
      </c>
      <c r="L19" s="110">
        <v>0</v>
      </c>
      <c r="M19" s="110">
        <v>0</v>
      </c>
      <c r="N19" s="110">
        <v>0</v>
      </c>
      <c r="O19" s="110">
        <v>146</v>
      </c>
      <c r="P19" s="110">
        <v>0</v>
      </c>
      <c r="Q19" s="110" t="str">
        <v xml:space="preserve">DEED </v>
      </c>
      <c r="R19" s="110">
        <v>960000</v>
      </c>
      <c r="S19" s="110">
        <v>960000</v>
      </c>
      <c r="T19" s="110">
        <v>1200000</v>
      </c>
      <c r="U19" s="110">
        <v>0</v>
      </c>
      <c r="V19" s="110">
        <v>0</v>
      </c>
      <c r="W19" s="110">
        <v>1200000</v>
      </c>
      <c r="X19" s="110">
        <v>0</v>
      </c>
      <c r="Y19" s="110">
        <v>1200000</v>
      </c>
      <c r="Z19" s="110">
        <v>1200000</v>
      </c>
      <c r="AA19" s="110">
        <v>45035</v>
      </c>
      <c r="AB19" s="111" t="str">
        <v>Q2 2023</v>
      </c>
      <c r="AC19">
        <v>45071</v>
      </c>
      <c r="AD19">
        <v>0</v>
      </c>
      <c r="AE19" t="str">
        <v>Ana Damásio</v>
      </c>
      <c r="AF19" t="str">
        <v>Frederico Ferreira</v>
      </c>
      <c r="AG19" t="str">
        <v>https://www.vilamouraworld.com/real-estate/the-nine/</v>
      </c>
      <c r="AH19" t="str">
        <v>Living here will allow you to enjoy sunny Vilamoura all year round. Close to the beach, close to the Marina, close to the very heart of nature.</v>
      </c>
      <c r="AI19" t="str">
        <v>Condo Pool, Outdoor Areas, Underground Parking</v>
      </c>
      <c r="AJ19" t="str">
        <v>Condomínio privado com piscina de adultos e crianças inseridas em amplo jardim; Estacionamento disponível; Excelente localização; Price point competitivo para a região.</v>
      </c>
      <c r="AK19" t="str">
        <v>AAVV</v>
      </c>
      <c r="AL19" t="str">
        <v>The Nine</v>
      </c>
    </row>
    <row r="20" spans="1:38" x14ac:dyDescent="0.3">
      <c r="A20" s="110" t="str">
        <v>THE NINE</v>
      </c>
      <c r="B20" s="110" t="str">
        <v>Vilamoura</v>
      </c>
      <c r="C20" s="110" t="str">
        <v>B</v>
      </c>
      <c r="D20" s="110" t="str">
        <v>Vilamoura, Algarve</v>
      </c>
      <c r="E20" s="110" t="str">
        <v>T2</v>
      </c>
      <c r="F20" s="110">
        <v>111</v>
      </c>
      <c r="G20" s="110">
        <v>0</v>
      </c>
      <c r="H20" s="110" t="str">
        <v/>
      </c>
      <c r="I20" s="110" t="str">
        <v/>
      </c>
      <c r="J20" s="110">
        <v>0</v>
      </c>
      <c r="K20" s="110">
        <v>0</v>
      </c>
      <c r="L20" s="110">
        <v>0</v>
      </c>
      <c r="M20" s="110">
        <v>0</v>
      </c>
      <c r="N20" s="110">
        <v>0</v>
      </c>
      <c r="O20" s="110">
        <v>111</v>
      </c>
      <c r="P20" s="110">
        <v>0</v>
      </c>
      <c r="Q20" s="110" t="str">
        <v xml:space="preserve">DEED </v>
      </c>
      <c r="R20" s="110">
        <v>570000</v>
      </c>
      <c r="S20" s="110">
        <v>570000</v>
      </c>
      <c r="T20" s="110">
        <v>590000</v>
      </c>
      <c r="U20" s="110">
        <v>0</v>
      </c>
      <c r="V20" s="110">
        <v>0</v>
      </c>
      <c r="W20" s="110">
        <v>590000</v>
      </c>
      <c r="X20" s="110">
        <v>0</v>
      </c>
      <c r="Y20" s="110">
        <v>590000</v>
      </c>
      <c r="Z20" s="110">
        <v>590000</v>
      </c>
      <c r="AA20" s="110">
        <v>45035</v>
      </c>
      <c r="AB20" s="111" t="str">
        <v>Q2 2023</v>
      </c>
      <c r="AC20">
        <v>45187</v>
      </c>
      <c r="AD20">
        <v>0</v>
      </c>
      <c r="AE20" t="str">
        <v>Ana Damásio</v>
      </c>
      <c r="AF20" t="str">
        <v>Frederico Ferreira</v>
      </c>
      <c r="AG20" t="str">
        <v>https://www.vilamouraworld.com/real-estate/the-nine/</v>
      </c>
      <c r="AH20" t="str">
        <v>Living here will allow you to enjoy sunny Vilamoura all year round. Close to the beach, close to the Marina, close to the very heart of nature.</v>
      </c>
      <c r="AI20" t="str">
        <v>Condo Pool, Outdoor Areas, Underground Parking</v>
      </c>
      <c r="AJ20" t="str">
        <v>Condomínio privado com piscina de adultos e crianças inseridas em amplo jardim; Estacionamento disponível; Excelente localização; Price point competitivo para a região.</v>
      </c>
      <c r="AK20" t="str">
        <v>AAVV</v>
      </c>
      <c r="AL20" t="str">
        <v>The Nine</v>
      </c>
    </row>
    <row r="21" spans="1:38" x14ac:dyDescent="0.3">
      <c r="A21" s="110" t="str">
        <v>THE NINE</v>
      </c>
      <c r="B21" s="110" t="str">
        <v>Vilamoura</v>
      </c>
      <c r="C21" s="110" t="str">
        <v>C</v>
      </c>
      <c r="D21" s="110" t="str">
        <v>Vilamoura, Algarve</v>
      </c>
      <c r="E21" s="110" t="str">
        <v>T2</v>
      </c>
      <c r="F21" s="110">
        <v>111</v>
      </c>
      <c r="G21" s="110">
        <v>0</v>
      </c>
      <c r="H21" s="110" t="str">
        <v/>
      </c>
      <c r="I21" s="110" t="str">
        <v/>
      </c>
      <c r="J21" s="110">
        <v>0</v>
      </c>
      <c r="K21" s="110">
        <v>0</v>
      </c>
      <c r="L21" s="110">
        <v>0</v>
      </c>
      <c r="M21" s="110">
        <v>0</v>
      </c>
      <c r="N21" s="110">
        <v>0</v>
      </c>
      <c r="O21" s="110">
        <v>111</v>
      </c>
      <c r="P21" s="110">
        <v>0</v>
      </c>
      <c r="Q21" s="110" t="str">
        <v xml:space="preserve">DEED </v>
      </c>
      <c r="R21" s="110">
        <v>570000</v>
      </c>
      <c r="S21" s="110">
        <v>570000</v>
      </c>
      <c r="T21" s="110">
        <v>570000</v>
      </c>
      <c r="U21" s="110">
        <v>0</v>
      </c>
      <c r="V21" s="110">
        <v>0</v>
      </c>
      <c r="W21" s="110">
        <v>570000</v>
      </c>
      <c r="X21" s="110">
        <v>0</v>
      </c>
      <c r="Y21" s="110">
        <v>570000</v>
      </c>
      <c r="Z21" s="110">
        <v>570000</v>
      </c>
      <c r="AA21" s="110">
        <v>45035</v>
      </c>
      <c r="AB21" s="111" t="str">
        <v>Q2 2023</v>
      </c>
      <c r="AC21">
        <v>45096</v>
      </c>
      <c r="AD21">
        <v>0</v>
      </c>
      <c r="AE21" t="str">
        <v>Ana Damásio</v>
      </c>
      <c r="AF21" t="str">
        <v>Frederico Ferreira</v>
      </c>
      <c r="AG21" t="str">
        <v>https://www.vilamouraworld.com/real-estate/the-nine/</v>
      </c>
      <c r="AH21" t="str">
        <v>Living here will allow you to enjoy sunny Vilamoura all year round. Close to the beach, close to the Marina, close to the very heart of nature.</v>
      </c>
      <c r="AI21" t="str">
        <v>Condo Pool, Outdoor Areas, Underground Parking</v>
      </c>
      <c r="AJ21" t="str">
        <v>Condomínio privado com piscina de adultos e crianças inseridas em amplo jardim; Estacionamento disponível; Excelente localização; Price point competitivo para a região.</v>
      </c>
      <c r="AK21" t="str">
        <v>AAVV</v>
      </c>
      <c r="AL21" t="str">
        <v>The Nine</v>
      </c>
    </row>
    <row r="22" spans="1:38" x14ac:dyDescent="0.3">
      <c r="A22" s="110" t="str">
        <v>THE NINE</v>
      </c>
      <c r="B22" s="110" t="str">
        <v>Vilamoura</v>
      </c>
      <c r="C22" s="110" t="str">
        <v>D</v>
      </c>
      <c r="D22" s="110" t="str">
        <v>Vilamoura, Algarve</v>
      </c>
      <c r="E22" s="110" t="str">
        <v>T2</v>
      </c>
      <c r="F22" s="110">
        <v>111</v>
      </c>
      <c r="G22" s="110">
        <v>0</v>
      </c>
      <c r="H22" s="110" t="str">
        <v/>
      </c>
      <c r="I22" s="110" t="str">
        <v/>
      </c>
      <c r="J22" s="110">
        <v>0</v>
      </c>
      <c r="K22" s="110">
        <v>0</v>
      </c>
      <c r="L22" s="110">
        <v>0</v>
      </c>
      <c r="M22" s="110">
        <v>0</v>
      </c>
      <c r="N22" s="110">
        <v>0</v>
      </c>
      <c r="O22" s="110">
        <v>111</v>
      </c>
      <c r="P22" s="110">
        <v>0</v>
      </c>
      <c r="Q22" s="110" t="str">
        <v xml:space="preserve">DEED </v>
      </c>
      <c r="R22" s="110">
        <v>570000</v>
      </c>
      <c r="S22" s="110">
        <v>570000</v>
      </c>
      <c r="T22" s="110">
        <v>570000</v>
      </c>
      <c r="U22" s="110">
        <v>0</v>
      </c>
      <c r="V22" s="110">
        <v>0</v>
      </c>
      <c r="W22" s="110">
        <v>570000</v>
      </c>
      <c r="X22" s="110">
        <v>0</v>
      </c>
      <c r="Y22" s="110">
        <v>570000</v>
      </c>
      <c r="Z22" s="110">
        <v>570000</v>
      </c>
      <c r="AA22" s="110">
        <v>45035</v>
      </c>
      <c r="AB22" s="111" t="str">
        <v>Q2 2023</v>
      </c>
      <c r="AC22">
        <v>45106</v>
      </c>
      <c r="AD22">
        <v>0</v>
      </c>
      <c r="AE22" t="str">
        <v>Ana Damásio</v>
      </c>
      <c r="AF22" t="str">
        <v>Frederico Ferreira</v>
      </c>
      <c r="AG22" t="str">
        <v>https://www.vilamouraworld.com/real-estate/the-nine/</v>
      </c>
      <c r="AH22" t="str">
        <v>Living here will allow you to enjoy sunny Vilamoura all year round. Close to the beach, close to the Marina, close to the very heart of nature.</v>
      </c>
      <c r="AI22" t="str">
        <v>Condo Pool, Outdoor Areas, Underground Parking</v>
      </c>
      <c r="AJ22" t="str">
        <v>Condomínio privado com piscina de adultos e crianças inseridas em amplo jardim; Estacionamento disponível; Excelente localização; Price point competitivo para a região.</v>
      </c>
      <c r="AK22" t="str">
        <v>AAVV</v>
      </c>
      <c r="AL22" t="str">
        <v>The Nine</v>
      </c>
    </row>
    <row r="23" spans="1:38" x14ac:dyDescent="0.3">
      <c r="A23" s="110" t="str">
        <v>THE NINE</v>
      </c>
      <c r="B23" s="110" t="str">
        <v>Vilamoura</v>
      </c>
      <c r="C23" s="110" t="str">
        <v>E</v>
      </c>
      <c r="D23" s="110" t="str">
        <v>Vilamoura, Algarve</v>
      </c>
      <c r="E23" s="110" t="str">
        <v>T2</v>
      </c>
      <c r="F23" s="110">
        <v>111</v>
      </c>
      <c r="G23" s="110">
        <v>0</v>
      </c>
      <c r="H23" s="110" t="str">
        <v/>
      </c>
      <c r="I23" s="110" t="str">
        <v/>
      </c>
      <c r="J23" s="110">
        <v>0</v>
      </c>
      <c r="K23" s="110">
        <v>0</v>
      </c>
      <c r="L23" s="110">
        <v>0</v>
      </c>
      <c r="M23" s="110">
        <v>0</v>
      </c>
      <c r="N23" s="110">
        <v>0</v>
      </c>
      <c r="O23" s="110">
        <v>111</v>
      </c>
      <c r="P23" s="110">
        <v>0</v>
      </c>
      <c r="Q23" s="110" t="str">
        <v xml:space="preserve">DEED </v>
      </c>
      <c r="R23" s="110">
        <v>570000</v>
      </c>
      <c r="S23" s="110">
        <v>570000</v>
      </c>
      <c r="T23" s="110">
        <v>590000</v>
      </c>
      <c r="U23" s="110">
        <v>0</v>
      </c>
      <c r="V23" s="110">
        <v>0</v>
      </c>
      <c r="W23" s="110">
        <v>590000</v>
      </c>
      <c r="X23" s="110">
        <v>0</v>
      </c>
      <c r="Y23" s="110">
        <v>590000</v>
      </c>
      <c r="Z23" s="110">
        <v>590000</v>
      </c>
      <c r="AA23" s="110">
        <v>45035</v>
      </c>
      <c r="AB23" s="111" t="str">
        <v>Q2 2023</v>
      </c>
      <c r="AC23">
        <v>45140</v>
      </c>
      <c r="AD23">
        <v>0</v>
      </c>
      <c r="AE23" t="str">
        <v>Ana Damásio</v>
      </c>
      <c r="AF23" t="str">
        <v>Frederico Ferreira</v>
      </c>
      <c r="AG23" t="str">
        <v>https://www.vilamouraworld.com/real-estate/the-nine/</v>
      </c>
      <c r="AH23" t="str">
        <v>Living here will allow you to enjoy sunny Vilamoura all year round. Close to the beach, close to the Marina, close to the very heart of nature.</v>
      </c>
      <c r="AI23" t="str">
        <v>Condo Pool, Outdoor Areas, Underground Parking</v>
      </c>
      <c r="AJ23" t="str">
        <v>Condomínio privado com piscina de adultos e crianças inseridas em amplo jardim; Estacionamento disponível; Excelente localização; Price point competitivo para a região.</v>
      </c>
      <c r="AK23" t="str">
        <v>AAVV</v>
      </c>
      <c r="AL23" t="str">
        <v>The Nine</v>
      </c>
    </row>
    <row r="24" spans="1:38" x14ac:dyDescent="0.3">
      <c r="A24" s="110" t="str">
        <v>THE NINE</v>
      </c>
      <c r="B24" s="110" t="str">
        <v>Vilamoura</v>
      </c>
      <c r="C24" s="110" t="str">
        <v>F</v>
      </c>
      <c r="D24" s="110" t="str">
        <v>Vilamoura, Algarve</v>
      </c>
      <c r="E24" s="110" t="str">
        <v>T2</v>
      </c>
      <c r="F24" s="110">
        <v>111</v>
      </c>
      <c r="G24" s="110">
        <v>0</v>
      </c>
      <c r="H24" s="110" t="str">
        <v/>
      </c>
      <c r="I24" s="110" t="str">
        <v/>
      </c>
      <c r="J24" s="110">
        <v>0</v>
      </c>
      <c r="K24" s="110">
        <v>0</v>
      </c>
      <c r="L24" s="110">
        <v>0</v>
      </c>
      <c r="M24" s="110">
        <v>0</v>
      </c>
      <c r="N24" s="110">
        <v>0</v>
      </c>
      <c r="O24" s="110">
        <v>111</v>
      </c>
      <c r="P24" s="110">
        <v>0</v>
      </c>
      <c r="Q24" s="110" t="str">
        <v xml:space="preserve">DEED </v>
      </c>
      <c r="R24" s="110">
        <v>570000</v>
      </c>
      <c r="S24" s="110">
        <v>570000</v>
      </c>
      <c r="T24" s="110">
        <v>590000</v>
      </c>
      <c r="U24" s="110">
        <v>0</v>
      </c>
      <c r="V24" s="110">
        <v>0</v>
      </c>
      <c r="W24" s="110">
        <v>590000</v>
      </c>
      <c r="X24" s="110">
        <v>0</v>
      </c>
      <c r="Y24" s="110">
        <v>590000</v>
      </c>
      <c r="Z24" s="110">
        <v>590000</v>
      </c>
      <c r="AA24" s="110">
        <v>45035</v>
      </c>
      <c r="AB24" s="111" t="str">
        <v>Q2 2023</v>
      </c>
      <c r="AC24">
        <v>45140</v>
      </c>
      <c r="AD24">
        <v>0</v>
      </c>
      <c r="AE24" t="str">
        <v>Ana Damásio</v>
      </c>
      <c r="AF24" t="str">
        <v>Frederico Ferreira</v>
      </c>
      <c r="AG24" t="str">
        <v>https://www.vilamouraworld.com/real-estate/the-nine/</v>
      </c>
      <c r="AH24" t="str">
        <v>Living here will allow you to enjoy sunny Vilamoura all year round. Close to the beach, close to the Marina, close to the very heart of nature.</v>
      </c>
      <c r="AI24" t="str">
        <v>Condo Pool, Outdoor Areas, Underground Parking</v>
      </c>
      <c r="AJ24" t="str">
        <v>Condomínio privado com piscina de adultos e crianças inseridas em amplo jardim; Estacionamento disponível; Excelente localização; Price point competitivo para a região.</v>
      </c>
      <c r="AK24" t="str">
        <v>AAVV</v>
      </c>
      <c r="AL24" t="str">
        <v>The Nine</v>
      </c>
    </row>
    <row r="25" spans="1:38" x14ac:dyDescent="0.3">
      <c r="A25" s="110" t="str">
        <v>THE NINE</v>
      </c>
      <c r="B25" s="110" t="str">
        <v>Vilamoura</v>
      </c>
      <c r="C25" s="110" t="str">
        <v>G</v>
      </c>
      <c r="D25" s="110" t="str">
        <v>Vilamoura, Algarve</v>
      </c>
      <c r="E25" s="110" t="str">
        <v>T2</v>
      </c>
      <c r="F25" s="110">
        <v>111</v>
      </c>
      <c r="G25" s="110">
        <v>0</v>
      </c>
      <c r="H25" s="110" t="str">
        <v/>
      </c>
      <c r="I25" s="110" t="str">
        <v/>
      </c>
      <c r="J25" s="110">
        <v>0</v>
      </c>
      <c r="K25" s="110">
        <v>0</v>
      </c>
      <c r="L25" s="110">
        <v>0</v>
      </c>
      <c r="M25" s="110">
        <v>0</v>
      </c>
      <c r="N25" s="110">
        <v>0</v>
      </c>
      <c r="O25" s="110">
        <v>111</v>
      </c>
      <c r="P25" s="110">
        <v>0</v>
      </c>
      <c r="Q25" s="110" t="str">
        <v xml:space="preserve">DEED </v>
      </c>
      <c r="R25" s="110">
        <v>570000</v>
      </c>
      <c r="S25" s="110">
        <v>570000</v>
      </c>
      <c r="T25" s="110">
        <v>600000</v>
      </c>
      <c r="U25" s="110">
        <v>0</v>
      </c>
      <c r="V25" s="110">
        <v>0</v>
      </c>
      <c r="W25" s="110">
        <v>600000</v>
      </c>
      <c r="X25" s="110">
        <v>0</v>
      </c>
      <c r="Y25" s="110">
        <v>600000</v>
      </c>
      <c r="Z25" s="110">
        <v>600000</v>
      </c>
      <c r="AA25" s="110">
        <v>45035</v>
      </c>
      <c r="AB25" s="111" t="str">
        <v>Q2 2023</v>
      </c>
      <c r="AC25">
        <v>45086</v>
      </c>
      <c r="AD25">
        <v>0</v>
      </c>
      <c r="AE25" t="str">
        <v>Ana Damásio</v>
      </c>
      <c r="AF25" t="str">
        <v>Frederico Ferreira</v>
      </c>
      <c r="AG25" t="str">
        <v>https://www.vilamouraworld.com/real-estate/the-nine/</v>
      </c>
      <c r="AH25" t="str">
        <v>Living here will allow you to enjoy sunny Vilamoura all year round. Close to the beach, close to the Marina, close to the very heart of nature.</v>
      </c>
      <c r="AI25" t="str">
        <v>Condo Pool, Outdoor Areas, Underground Parking</v>
      </c>
      <c r="AJ25" t="str">
        <v>Condomínio privado com piscina de adultos e crianças inseridas em amplo jardim; Estacionamento disponível; Excelente localização; Price point competitivo para a região.</v>
      </c>
      <c r="AK25" t="str">
        <v>AAVV</v>
      </c>
      <c r="AL25" t="str">
        <v>The Nine</v>
      </c>
    </row>
    <row r="26" spans="1:38" x14ac:dyDescent="0.3">
      <c r="A26" s="110" t="str">
        <v>THE NINE</v>
      </c>
      <c r="B26" s="110" t="str">
        <v>Vilamoura</v>
      </c>
      <c r="C26" s="110" t="str">
        <v>H</v>
      </c>
      <c r="D26" s="110" t="str">
        <v>Vilamoura, Algarve</v>
      </c>
      <c r="E26" s="110" t="str">
        <v>T2</v>
      </c>
      <c r="F26" s="110">
        <v>111</v>
      </c>
      <c r="G26" s="110">
        <v>0</v>
      </c>
      <c r="H26" s="110" t="str">
        <v/>
      </c>
      <c r="I26" s="110" t="str">
        <v/>
      </c>
      <c r="J26" s="110">
        <v>0</v>
      </c>
      <c r="K26" s="110">
        <v>0</v>
      </c>
      <c r="L26" s="110">
        <v>0</v>
      </c>
      <c r="M26" s="110">
        <v>0</v>
      </c>
      <c r="N26" s="110">
        <v>0</v>
      </c>
      <c r="O26" s="110">
        <v>111</v>
      </c>
      <c r="P26" s="110">
        <v>0</v>
      </c>
      <c r="Q26" s="110" t="str">
        <v xml:space="preserve">DEED </v>
      </c>
      <c r="R26" s="110">
        <v>570000</v>
      </c>
      <c r="S26" s="110">
        <v>570000</v>
      </c>
      <c r="T26" s="110">
        <v>600000</v>
      </c>
      <c r="U26" s="110">
        <v>0</v>
      </c>
      <c r="V26" s="110">
        <v>0</v>
      </c>
      <c r="W26" s="110">
        <v>600000</v>
      </c>
      <c r="X26" s="110">
        <v>0</v>
      </c>
      <c r="Y26" s="110">
        <v>600000</v>
      </c>
      <c r="Z26" s="110">
        <v>600000</v>
      </c>
      <c r="AA26" s="110">
        <v>45035</v>
      </c>
      <c r="AB26" s="111" t="str">
        <v>Q2 2023</v>
      </c>
      <c r="AC26">
        <v>45443</v>
      </c>
      <c r="AD26">
        <v>0</v>
      </c>
      <c r="AE26" t="str">
        <v>Ana Damásio</v>
      </c>
      <c r="AF26" t="str">
        <v>Frederico Ferreira</v>
      </c>
      <c r="AG26" t="str">
        <v>https://www.vilamouraworld.com/real-estate/the-nine/</v>
      </c>
      <c r="AH26" t="str">
        <v>Living here will allow you to enjoy sunny Vilamoura all year round. Close to the beach, close to the Marina, close to the very heart of nature.</v>
      </c>
      <c r="AI26" t="str">
        <v>Condo Pool, Outdoor Areas, Underground Parking</v>
      </c>
      <c r="AJ26" t="str">
        <v>Condomínio privado com piscina de adultos e crianças inseridas em amplo jardim; Estacionamento disponível; Excelente localização; Price point competitivo para a região.</v>
      </c>
      <c r="AK26" t="str">
        <v>AAVV</v>
      </c>
      <c r="AL26" t="str">
        <v>The Nine</v>
      </c>
    </row>
    <row r="27" spans="1:38" x14ac:dyDescent="0.3">
      <c r="A27" s="110" t="str">
        <v>THE NINE</v>
      </c>
      <c r="B27" s="110" t="str">
        <v>Vilamoura</v>
      </c>
      <c r="C27" s="110" t="str">
        <v>J</v>
      </c>
      <c r="D27" s="110" t="str">
        <v>Vilamoura, Algarve</v>
      </c>
      <c r="E27" s="110" t="str">
        <v>T2</v>
      </c>
      <c r="F27" s="110">
        <v>111</v>
      </c>
      <c r="G27" s="110">
        <v>0</v>
      </c>
      <c r="H27" s="110" t="str">
        <v/>
      </c>
      <c r="I27" s="110" t="str">
        <v/>
      </c>
      <c r="J27" s="110">
        <v>0</v>
      </c>
      <c r="K27" s="110">
        <v>0</v>
      </c>
      <c r="L27" s="110">
        <v>0</v>
      </c>
      <c r="M27" s="110">
        <v>0</v>
      </c>
      <c r="N27" s="110">
        <v>0</v>
      </c>
      <c r="O27" s="110">
        <v>111</v>
      </c>
      <c r="P27" s="110">
        <v>0</v>
      </c>
      <c r="Q27" s="110" t="str">
        <v xml:space="preserve">DEED </v>
      </c>
      <c r="R27" s="110">
        <v>620000</v>
      </c>
      <c r="S27" s="110">
        <v>620000</v>
      </c>
      <c r="T27" s="110">
        <v>680000</v>
      </c>
      <c r="U27" s="110">
        <v>0</v>
      </c>
      <c r="V27" s="110">
        <v>0</v>
      </c>
      <c r="W27" s="110">
        <v>680000</v>
      </c>
      <c r="X27" s="110">
        <v>0</v>
      </c>
      <c r="Y27" s="110">
        <v>680000</v>
      </c>
      <c r="Z27" s="110">
        <v>680000</v>
      </c>
      <c r="AA27" s="110">
        <v>45035</v>
      </c>
      <c r="AB27" s="111" t="str">
        <v>Q2 2023</v>
      </c>
      <c r="AC27">
        <v>45923</v>
      </c>
      <c r="AD27">
        <v>0</v>
      </c>
      <c r="AE27" t="str">
        <v>Ana Damásio</v>
      </c>
      <c r="AF27" t="str">
        <v>Frederico Ferreira</v>
      </c>
      <c r="AG27" t="str">
        <v>https://www.vilamouraworld.com/real-estate/the-nine/</v>
      </c>
      <c r="AH27" t="str">
        <v>Living here will allow you to enjoy sunny Vilamoura all year round. Close to the beach, close to the Marina, close to the very heart of nature.</v>
      </c>
      <c r="AI27" t="str">
        <v>Condo Pool, Outdoor Areas, Underground Parking</v>
      </c>
      <c r="AJ27" t="str">
        <v>Condomínio privado com piscina de adultos e crianças inseridas em amplo jardim; Estacionamento disponível; Excelente localização; Price point competitivo para a região.</v>
      </c>
      <c r="AK27" t="str">
        <v>AAVV</v>
      </c>
      <c r="AL27" t="str">
        <v>The Nine</v>
      </c>
    </row>
    <row r="28" spans="1:38" x14ac:dyDescent="0.3">
      <c r="A28" s="110" t="str">
        <v>THE NINE</v>
      </c>
      <c r="B28" s="110" t="str">
        <v>Vilamoura</v>
      </c>
      <c r="C28" s="110" t="str">
        <v>K</v>
      </c>
      <c r="D28" s="110" t="str">
        <v>Vilamoura, Algarve</v>
      </c>
      <c r="E28" s="110" t="str">
        <v>T2</v>
      </c>
      <c r="F28" s="110">
        <v>111</v>
      </c>
      <c r="G28" s="110">
        <v>0</v>
      </c>
      <c r="H28" s="110" t="str">
        <v/>
      </c>
      <c r="I28" s="110" t="str">
        <v/>
      </c>
      <c r="J28" s="110">
        <v>0</v>
      </c>
      <c r="K28" s="110">
        <v>0</v>
      </c>
      <c r="L28" s="110">
        <v>0</v>
      </c>
      <c r="M28" s="110">
        <v>0</v>
      </c>
      <c r="N28" s="110">
        <v>0</v>
      </c>
      <c r="O28" s="110">
        <v>111</v>
      </c>
      <c r="P28" s="110">
        <v>0</v>
      </c>
      <c r="Q28" s="110" t="str">
        <v xml:space="preserve">DEED </v>
      </c>
      <c r="R28" s="110">
        <v>620000</v>
      </c>
      <c r="S28" s="110">
        <v>620000</v>
      </c>
      <c r="T28" s="110">
        <v>650000</v>
      </c>
      <c r="U28" s="110">
        <v>0</v>
      </c>
      <c r="V28" s="110">
        <v>0</v>
      </c>
      <c r="W28" s="110">
        <v>650000</v>
      </c>
      <c r="X28" s="110">
        <v>0</v>
      </c>
      <c r="Y28" s="110">
        <v>650000</v>
      </c>
      <c r="Z28" s="110">
        <v>650000</v>
      </c>
      <c r="AA28" s="110">
        <v>45035</v>
      </c>
      <c r="AB28" s="111" t="str">
        <v>Q2 2023</v>
      </c>
      <c r="AC28">
        <v>45420</v>
      </c>
      <c r="AD28">
        <v>0</v>
      </c>
      <c r="AE28" t="str">
        <v>Ana Damásio</v>
      </c>
      <c r="AF28" t="str">
        <v>Frederico Ferreira</v>
      </c>
      <c r="AG28" t="str">
        <v>https://www.vilamouraworld.com/real-estate/the-nine/</v>
      </c>
      <c r="AH28" t="str">
        <v>Living here will allow you to enjoy sunny Vilamoura all year round. Close to the beach, close to the Marina, close to the very heart of nature.</v>
      </c>
      <c r="AI28" t="str">
        <v>Condo Pool, Outdoor Areas, Underground Parking</v>
      </c>
      <c r="AJ28" t="str">
        <v>Condomínio privado com piscina de adultos e crianças inseridas em amplo jardim; Estacionamento disponível; Excelente localização; Price point competitivo para a região.</v>
      </c>
      <c r="AK28" t="str">
        <v>AAVV</v>
      </c>
      <c r="AL28" t="str">
        <v>The Nine</v>
      </c>
    </row>
    <row r="29" spans="1:38" x14ac:dyDescent="0.3">
      <c r="A29" s="110" t="str">
        <v>THE NINE</v>
      </c>
      <c r="B29" s="110" t="str">
        <v>Vilamoura</v>
      </c>
      <c r="C29" s="110" t="str">
        <v>L</v>
      </c>
      <c r="D29" s="110" t="str">
        <v>Vilamoura, Algarve</v>
      </c>
      <c r="E29" s="110" t="str">
        <v>T2</v>
      </c>
      <c r="F29" s="110">
        <v>111</v>
      </c>
      <c r="G29" s="110">
        <v>0</v>
      </c>
      <c r="H29" s="110" t="str">
        <v/>
      </c>
      <c r="I29" s="110" t="str">
        <v/>
      </c>
      <c r="J29" s="110">
        <v>0</v>
      </c>
      <c r="K29" s="110">
        <v>0</v>
      </c>
      <c r="L29" s="110">
        <v>0</v>
      </c>
      <c r="M29" s="110">
        <v>0</v>
      </c>
      <c r="N29" s="110">
        <v>0</v>
      </c>
      <c r="O29" s="110">
        <v>111</v>
      </c>
      <c r="P29" s="110">
        <v>0</v>
      </c>
      <c r="Q29" s="110" t="str">
        <v xml:space="preserve">DEED </v>
      </c>
      <c r="R29" s="110">
        <v>620000</v>
      </c>
      <c r="S29" s="110">
        <v>620000</v>
      </c>
      <c r="T29" s="110">
        <v>680000</v>
      </c>
      <c r="U29" s="110">
        <v>0</v>
      </c>
      <c r="V29" s="110">
        <v>0</v>
      </c>
      <c r="W29" s="110">
        <v>680000</v>
      </c>
      <c r="X29" s="110">
        <v>0</v>
      </c>
      <c r="Y29" s="110">
        <v>680000</v>
      </c>
      <c r="Z29" s="110">
        <v>680000</v>
      </c>
      <c r="AA29" s="110">
        <v>45035</v>
      </c>
      <c r="AB29" s="111" t="str">
        <v>Q2 2023</v>
      </c>
      <c r="AC29">
        <v>45616</v>
      </c>
      <c r="AD29">
        <v>0</v>
      </c>
      <c r="AE29" t="str">
        <v>Ana Damásio</v>
      </c>
      <c r="AF29" t="str">
        <v>Frederico Ferreira</v>
      </c>
      <c r="AG29" t="str">
        <v>https://www.vilamouraworld.com/real-estate/the-nine/</v>
      </c>
      <c r="AH29" t="str">
        <v>Living here will allow you to enjoy sunny Vilamoura all year round. Close to the beach, close to the Marina, close to the very heart of nature.</v>
      </c>
      <c r="AI29" t="str">
        <v>Condo Pool, Outdoor Areas, Underground Parking</v>
      </c>
      <c r="AJ29" t="str">
        <v>Condomínio privado com piscina de adultos e crianças inseridas em amplo jardim; Estacionamento disponível; Excelente localização; Price point competitivo para a região.</v>
      </c>
      <c r="AK29" t="str">
        <v>AAVV</v>
      </c>
      <c r="AL29" t="str">
        <v>The Nine</v>
      </c>
    </row>
    <row r="30" spans="1:38" x14ac:dyDescent="0.3">
      <c r="A30" s="110" t="str">
        <v>THE NINE</v>
      </c>
      <c r="B30" s="110" t="str">
        <v>Vilamoura</v>
      </c>
      <c r="C30" s="110" t="str">
        <v>M</v>
      </c>
      <c r="D30" s="110" t="str">
        <v>Vilamoura, Algarve</v>
      </c>
      <c r="E30" s="110" t="str">
        <v>T2</v>
      </c>
      <c r="F30" s="110">
        <v>111</v>
      </c>
      <c r="G30" s="110">
        <v>0</v>
      </c>
      <c r="H30" s="110" t="str">
        <v/>
      </c>
      <c r="I30" s="110" t="str">
        <v/>
      </c>
      <c r="J30" s="110">
        <v>0</v>
      </c>
      <c r="K30" s="110">
        <v>0</v>
      </c>
      <c r="L30" s="110">
        <v>0</v>
      </c>
      <c r="M30" s="110">
        <v>0</v>
      </c>
      <c r="N30" s="110">
        <v>0</v>
      </c>
      <c r="O30" s="110">
        <v>111</v>
      </c>
      <c r="P30" s="110">
        <v>0</v>
      </c>
      <c r="Q30" s="110" t="str">
        <v xml:space="preserve">DEED </v>
      </c>
      <c r="R30" s="110">
        <v>620000</v>
      </c>
      <c r="S30" s="110">
        <v>620000</v>
      </c>
      <c r="T30" s="110">
        <v>650000</v>
      </c>
      <c r="U30" s="110">
        <v>0</v>
      </c>
      <c r="V30" s="110">
        <v>0</v>
      </c>
      <c r="W30" s="110">
        <v>650000</v>
      </c>
      <c r="X30" s="110">
        <v>0</v>
      </c>
      <c r="Y30" s="110">
        <v>650000</v>
      </c>
      <c r="Z30" s="110">
        <v>650000</v>
      </c>
      <c r="AA30" s="110">
        <v>45035</v>
      </c>
      <c r="AB30" s="111" t="str">
        <v>Q2 2023</v>
      </c>
      <c r="AC30">
        <v>45395</v>
      </c>
      <c r="AD30">
        <v>0</v>
      </c>
      <c r="AE30" t="str">
        <v>Ana Damásio</v>
      </c>
      <c r="AF30" t="str">
        <v>Frederico Ferreira</v>
      </c>
      <c r="AG30" t="str">
        <v>https://www.vilamouraworld.com/real-estate/the-nine/</v>
      </c>
      <c r="AH30" t="str">
        <v>Living here will allow you to enjoy sunny Vilamoura all year round. Close to the beach, close to the Marina, close to the very heart of nature.</v>
      </c>
      <c r="AI30" t="str">
        <v>Condo Pool, Outdoor Areas, Underground Parking</v>
      </c>
      <c r="AJ30" t="str">
        <v>Condomínio privado com piscina de adultos e crianças inseridas em amplo jardim; Estacionamento disponível; Excelente localização; Price point competitivo para a região.</v>
      </c>
      <c r="AK30" t="str">
        <v>AAVV</v>
      </c>
      <c r="AL30" t="str">
        <v>The Nine</v>
      </c>
    </row>
    <row r="31" spans="1:38" x14ac:dyDescent="0.3">
      <c r="A31" s="110" t="str">
        <v>THE NINE</v>
      </c>
      <c r="B31" s="110" t="str">
        <v>Vilamoura</v>
      </c>
      <c r="C31" s="110" t="str">
        <v>N</v>
      </c>
      <c r="D31" s="110" t="str">
        <v>Vilamoura, Algarve</v>
      </c>
      <c r="E31" s="110" t="str">
        <v>T3</v>
      </c>
      <c r="F31" s="110">
        <v>152</v>
      </c>
      <c r="G31" s="110">
        <v>0</v>
      </c>
      <c r="H31" s="110" t="str">
        <v/>
      </c>
      <c r="I31" s="110" t="str">
        <v/>
      </c>
      <c r="J31" s="110">
        <v>0</v>
      </c>
      <c r="K31" s="110">
        <v>0</v>
      </c>
      <c r="L31" s="110">
        <v>0</v>
      </c>
      <c r="M31" s="110">
        <v>0</v>
      </c>
      <c r="N31" s="110">
        <v>0</v>
      </c>
      <c r="O31" s="110">
        <v>152</v>
      </c>
      <c r="P31" s="110">
        <v>0</v>
      </c>
      <c r="Q31" s="110" t="str">
        <v xml:space="preserve">DEED </v>
      </c>
      <c r="R31" s="110">
        <v>830000</v>
      </c>
      <c r="S31" s="110">
        <v>830000</v>
      </c>
      <c r="T31" s="110">
        <v>870000</v>
      </c>
      <c r="U31" s="110">
        <v>0</v>
      </c>
      <c r="V31" s="110">
        <v>0</v>
      </c>
      <c r="W31" s="110">
        <v>870000</v>
      </c>
      <c r="X31" s="110">
        <v>0</v>
      </c>
      <c r="Y31" s="110">
        <v>870000</v>
      </c>
      <c r="Z31" s="110">
        <v>870000</v>
      </c>
      <c r="AA31" s="110">
        <v>45035</v>
      </c>
      <c r="AB31" s="111" t="str">
        <v>Q2 2023</v>
      </c>
      <c r="AC31">
        <v>45196</v>
      </c>
      <c r="AD31">
        <v>0</v>
      </c>
      <c r="AE31" t="str">
        <v>Ana Damásio</v>
      </c>
      <c r="AF31" t="str">
        <v>Frederico Ferreira</v>
      </c>
      <c r="AG31" t="str">
        <v>https://www.vilamouraworld.com/real-estate/the-nine/</v>
      </c>
      <c r="AH31" t="str">
        <v>Living here will allow you to enjoy sunny Vilamoura all year round. Close to the beach, close to the Marina, close to the very heart of nature.</v>
      </c>
      <c r="AI31" t="str">
        <v>Condo Pool, Outdoor Areas, Underground Parking</v>
      </c>
      <c r="AJ31" t="str">
        <v>Condomínio privado com piscina de adultos e crianças inseridas em amplo jardim; Estacionamento disponível; Excelente localização; Price point competitivo para a região.</v>
      </c>
      <c r="AK31" t="str">
        <v>AAVV</v>
      </c>
      <c r="AL31" t="str">
        <v>The Nine</v>
      </c>
    </row>
    <row r="32" spans="1:38" x14ac:dyDescent="0.3">
      <c r="A32" s="110" t="str">
        <v>THE NINE</v>
      </c>
      <c r="B32" s="110" t="str">
        <v>Vilamoura</v>
      </c>
      <c r="C32" s="110" t="str">
        <v>O</v>
      </c>
      <c r="D32" s="110" t="str">
        <v>Vilamoura, Algarve</v>
      </c>
      <c r="E32" s="110" t="str">
        <v>T3</v>
      </c>
      <c r="F32" s="110">
        <v>159</v>
      </c>
      <c r="G32" s="110">
        <v>0</v>
      </c>
      <c r="H32" s="110" t="str">
        <v/>
      </c>
      <c r="I32" s="110" t="str">
        <v/>
      </c>
      <c r="J32" s="110">
        <v>0</v>
      </c>
      <c r="K32" s="110">
        <v>0</v>
      </c>
      <c r="L32" s="110">
        <v>0</v>
      </c>
      <c r="M32" s="110">
        <v>0</v>
      </c>
      <c r="N32" s="110">
        <v>0</v>
      </c>
      <c r="O32" s="110">
        <v>159</v>
      </c>
      <c r="P32" s="110">
        <v>0</v>
      </c>
      <c r="Q32" s="110" t="str">
        <v xml:space="preserve">DEED </v>
      </c>
      <c r="R32" s="110">
        <v>740000</v>
      </c>
      <c r="S32" s="110">
        <v>740000</v>
      </c>
      <c r="T32" s="110">
        <v>810000</v>
      </c>
      <c r="U32" s="110">
        <v>0</v>
      </c>
      <c r="V32" s="110">
        <v>0</v>
      </c>
      <c r="W32" s="110">
        <v>810000</v>
      </c>
      <c r="X32" s="110">
        <v>0</v>
      </c>
      <c r="Y32" s="110">
        <v>810000</v>
      </c>
      <c r="Z32" s="110">
        <v>810000</v>
      </c>
      <c r="AA32" s="110">
        <v>45035</v>
      </c>
      <c r="AB32" s="111" t="str">
        <v>Q2 2023</v>
      </c>
      <c r="AC32">
        <v>45575</v>
      </c>
      <c r="AD32">
        <v>0</v>
      </c>
      <c r="AE32" t="str">
        <v>Ana Damásio</v>
      </c>
      <c r="AF32" t="str">
        <v>Frederico Ferreira</v>
      </c>
      <c r="AG32" t="str">
        <v>https://www.vilamouraworld.com/real-estate/the-nine/</v>
      </c>
      <c r="AH32" t="str">
        <v>Living here will allow you to enjoy sunny Vilamoura all year round. Close to the beach, close to the Marina, close to the very heart of nature.</v>
      </c>
      <c r="AI32" t="str">
        <v>Condo Pool, Outdoor Areas, Underground Parking</v>
      </c>
      <c r="AJ32" t="str">
        <v>Condomínio privado com piscina de adultos e crianças inseridas em amplo jardim; Estacionamento disponível; Excelente localização; Price point competitivo para a região.</v>
      </c>
      <c r="AK32" t="str">
        <v>AAVV</v>
      </c>
      <c r="AL32" t="str">
        <v>The Nine</v>
      </c>
    </row>
    <row r="33" spans="1:38" x14ac:dyDescent="0.3">
      <c r="A33" s="110" t="str">
        <v>THE NINE</v>
      </c>
      <c r="B33" s="110" t="str">
        <v>Vilamoura</v>
      </c>
      <c r="C33" s="110" t="str">
        <v>P</v>
      </c>
      <c r="D33" s="110" t="str">
        <v>Vilamoura, Algarve</v>
      </c>
      <c r="E33" s="110" t="str">
        <v>T2</v>
      </c>
      <c r="F33" s="110">
        <v>117</v>
      </c>
      <c r="G33" s="110">
        <v>0</v>
      </c>
      <c r="H33" s="110" t="str">
        <v/>
      </c>
      <c r="I33" s="110" t="str">
        <v/>
      </c>
      <c r="J33" s="110">
        <v>0</v>
      </c>
      <c r="K33" s="110">
        <v>0</v>
      </c>
      <c r="L33" s="110">
        <v>0</v>
      </c>
      <c r="M33" s="110">
        <v>0</v>
      </c>
      <c r="N33" s="110">
        <v>0</v>
      </c>
      <c r="O33" s="110">
        <v>117</v>
      </c>
      <c r="P33" s="110">
        <v>0</v>
      </c>
      <c r="Q33" s="110" t="str">
        <v xml:space="preserve">DEED </v>
      </c>
      <c r="R33" s="110">
        <v>550000</v>
      </c>
      <c r="S33" s="110">
        <v>550000</v>
      </c>
      <c r="T33" s="110">
        <v>570000</v>
      </c>
      <c r="U33" s="110">
        <v>0</v>
      </c>
      <c r="V33" s="110">
        <v>0</v>
      </c>
      <c r="W33" s="110">
        <v>570000</v>
      </c>
      <c r="X33" s="110">
        <v>0</v>
      </c>
      <c r="Y33" s="110">
        <v>570000</v>
      </c>
      <c r="Z33" s="110">
        <v>570000</v>
      </c>
      <c r="AA33" s="110">
        <v>45035</v>
      </c>
      <c r="AB33" s="111" t="str">
        <v>Q2 2023</v>
      </c>
      <c r="AC33">
        <v>45153</v>
      </c>
      <c r="AD33">
        <v>0</v>
      </c>
      <c r="AE33" t="str">
        <v>Ana Damásio</v>
      </c>
      <c r="AF33" t="str">
        <v>Frederico Ferreira</v>
      </c>
      <c r="AG33" t="str">
        <v>https://www.vilamouraworld.com/real-estate/the-nine/</v>
      </c>
      <c r="AH33" t="str">
        <v>Living here will allow you to enjoy sunny Vilamoura all year round. Close to the beach, close to the Marina, close to the very heart of nature.</v>
      </c>
      <c r="AI33" t="str">
        <v>Condo Pool, Outdoor Areas, Underground Parking</v>
      </c>
      <c r="AJ33" t="str">
        <v>Condomínio privado com piscina de adultos e crianças inseridas em amplo jardim; Estacionamento disponível; Excelente localização; Price point competitivo para a região.</v>
      </c>
      <c r="AK33" t="str">
        <v>AAVV</v>
      </c>
      <c r="AL33" t="str">
        <v>The Nine</v>
      </c>
    </row>
    <row r="34" spans="1:38" x14ac:dyDescent="0.3">
      <c r="A34" s="110" t="str">
        <v>THE NINE</v>
      </c>
      <c r="B34" s="110" t="str">
        <v>Vilamoura</v>
      </c>
      <c r="C34" s="110" t="str">
        <v>Q</v>
      </c>
      <c r="D34" s="110" t="str">
        <v>Vilamoura, Algarve</v>
      </c>
      <c r="E34" s="110" t="str">
        <v>T2</v>
      </c>
      <c r="F34" s="110">
        <v>117</v>
      </c>
      <c r="G34" s="110">
        <v>0</v>
      </c>
      <c r="H34" s="110" t="str">
        <v/>
      </c>
      <c r="I34" s="110" t="str">
        <v/>
      </c>
      <c r="J34" s="110">
        <v>0</v>
      </c>
      <c r="K34" s="110">
        <v>0</v>
      </c>
      <c r="L34" s="110">
        <v>0</v>
      </c>
      <c r="M34" s="110">
        <v>0</v>
      </c>
      <c r="N34" s="110">
        <v>0</v>
      </c>
      <c r="O34" s="110">
        <v>117</v>
      </c>
      <c r="P34" s="110">
        <v>0</v>
      </c>
      <c r="Q34" s="110" t="str">
        <v xml:space="preserve">DEED </v>
      </c>
      <c r="R34" s="110">
        <v>550000</v>
      </c>
      <c r="S34" s="110">
        <v>550000</v>
      </c>
      <c r="T34" s="110">
        <v>570000</v>
      </c>
      <c r="U34" s="110">
        <v>0</v>
      </c>
      <c r="V34" s="110">
        <v>0</v>
      </c>
      <c r="W34" s="110">
        <v>570000</v>
      </c>
      <c r="X34" s="110">
        <v>0</v>
      </c>
      <c r="Y34" s="110">
        <v>570000</v>
      </c>
      <c r="Z34" s="110">
        <v>570000</v>
      </c>
      <c r="AA34" s="110">
        <v>45035</v>
      </c>
      <c r="AB34" s="111" t="str">
        <v>Q2 2023</v>
      </c>
      <c r="AC34">
        <v>45504</v>
      </c>
      <c r="AD34">
        <v>0</v>
      </c>
      <c r="AE34" t="str">
        <v>Ana Damásio</v>
      </c>
      <c r="AF34" t="str">
        <v>Frederico Ferreira</v>
      </c>
      <c r="AG34" t="str">
        <v>https://www.vilamouraworld.com/real-estate/the-nine/</v>
      </c>
      <c r="AH34" t="str">
        <v>Living here will allow you to enjoy sunny Vilamoura all year round. Close to the beach, close to the Marina, close to the very heart of nature.</v>
      </c>
      <c r="AI34" t="str">
        <v>Condo Pool, Outdoor Areas, Underground Parking</v>
      </c>
      <c r="AJ34" t="str">
        <v>Condomínio privado com piscina de adultos e crianças inseridas em amplo jardim; Estacionamento disponível; Excelente localização; Price point competitivo para a região.</v>
      </c>
      <c r="AK34" t="str">
        <v>AAVV</v>
      </c>
      <c r="AL34" t="str">
        <v>The Nine</v>
      </c>
    </row>
    <row r="35" spans="1:38" x14ac:dyDescent="0.3">
      <c r="A35" s="110" t="str">
        <v>THE NINE</v>
      </c>
      <c r="B35" s="110" t="str">
        <v>Vilamoura</v>
      </c>
      <c r="C35" s="110" t="str">
        <v>R</v>
      </c>
      <c r="D35" s="110" t="str">
        <v>Vilamoura, Algarve</v>
      </c>
      <c r="E35" s="110" t="str">
        <v>T2</v>
      </c>
      <c r="F35" s="110">
        <v>117</v>
      </c>
      <c r="G35" s="110">
        <v>0</v>
      </c>
      <c r="H35" s="110" t="str">
        <v/>
      </c>
      <c r="I35" s="110" t="str">
        <v/>
      </c>
      <c r="J35" s="110">
        <v>0</v>
      </c>
      <c r="K35" s="110">
        <v>0</v>
      </c>
      <c r="L35" s="110">
        <v>0</v>
      </c>
      <c r="M35" s="110">
        <v>0</v>
      </c>
      <c r="N35" s="110">
        <v>0</v>
      </c>
      <c r="O35" s="110">
        <v>117</v>
      </c>
      <c r="P35" s="110">
        <v>0</v>
      </c>
      <c r="Q35" s="110" t="str">
        <v xml:space="preserve">DEED </v>
      </c>
      <c r="R35" s="110">
        <v>550000</v>
      </c>
      <c r="S35" s="110">
        <v>550000</v>
      </c>
      <c r="T35" s="110">
        <v>570000</v>
      </c>
      <c r="U35" s="110">
        <v>0</v>
      </c>
      <c r="V35" s="110">
        <v>0</v>
      </c>
      <c r="W35" s="110">
        <v>570000</v>
      </c>
      <c r="X35" s="110">
        <v>0</v>
      </c>
      <c r="Y35" s="110">
        <v>570000</v>
      </c>
      <c r="Z35" s="110">
        <v>570000</v>
      </c>
      <c r="AA35" s="110">
        <v>45035</v>
      </c>
      <c r="AB35" s="111" t="str">
        <v>Q2 2023</v>
      </c>
      <c r="AC35">
        <v>45420</v>
      </c>
      <c r="AD35">
        <v>0</v>
      </c>
      <c r="AE35" t="str">
        <v>Ana Damásio</v>
      </c>
      <c r="AF35" t="str">
        <v>Frederico Ferreira</v>
      </c>
      <c r="AG35" t="str">
        <v>https://www.vilamouraworld.com/real-estate/the-nine/</v>
      </c>
      <c r="AH35" t="str">
        <v>Living here will allow you to enjoy sunny Vilamoura all year round. Close to the beach, close to the Marina, close to the very heart of nature.</v>
      </c>
      <c r="AI35" t="str">
        <v>Condo Pool, Outdoor Areas, Underground Parking</v>
      </c>
      <c r="AJ35" t="str">
        <v>Condomínio privado com piscina de adultos e crianças inseridas em amplo jardim; Estacionamento disponível; Excelente localização; Price point competitivo para a região.</v>
      </c>
      <c r="AK35" t="str">
        <v>AAVV</v>
      </c>
      <c r="AL35" t="str">
        <v>The Nine</v>
      </c>
    </row>
    <row r="36" spans="1:38" x14ac:dyDescent="0.3">
      <c r="A36" s="110" t="str">
        <v>THE NINE</v>
      </c>
      <c r="B36" s="110" t="str">
        <v>Vilamoura</v>
      </c>
      <c r="C36" s="110" t="str">
        <v>S</v>
      </c>
      <c r="D36" s="110" t="str">
        <v>Vilamoura, Algarve</v>
      </c>
      <c r="E36" s="110" t="str">
        <v>T2</v>
      </c>
      <c r="F36" s="110">
        <v>117</v>
      </c>
      <c r="G36" s="110">
        <v>0</v>
      </c>
      <c r="H36" s="110" t="str">
        <v/>
      </c>
      <c r="I36" s="110" t="str">
        <v/>
      </c>
      <c r="J36" s="110">
        <v>0</v>
      </c>
      <c r="K36" s="110">
        <v>0</v>
      </c>
      <c r="L36" s="110">
        <v>0</v>
      </c>
      <c r="M36" s="110">
        <v>0</v>
      </c>
      <c r="N36" s="110">
        <v>0</v>
      </c>
      <c r="O36" s="110">
        <v>117</v>
      </c>
      <c r="P36" s="110">
        <v>0</v>
      </c>
      <c r="Q36" s="110" t="str">
        <v xml:space="preserve">DEED </v>
      </c>
      <c r="R36" s="110">
        <v>550000</v>
      </c>
      <c r="S36" s="110">
        <v>550000</v>
      </c>
      <c r="T36" s="110">
        <v>570000</v>
      </c>
      <c r="U36" s="110">
        <v>0</v>
      </c>
      <c r="V36" s="110">
        <v>0</v>
      </c>
      <c r="W36" s="110">
        <v>570000</v>
      </c>
      <c r="X36" s="110">
        <v>0</v>
      </c>
      <c r="Y36" s="110">
        <v>570000</v>
      </c>
      <c r="Z36" s="110">
        <v>570000</v>
      </c>
      <c r="AA36" s="110">
        <v>45035</v>
      </c>
      <c r="AB36" s="111" t="str">
        <v>Q2 2023</v>
      </c>
      <c r="AC36">
        <v>45128</v>
      </c>
      <c r="AD36">
        <v>0</v>
      </c>
      <c r="AE36" t="str">
        <v>Ana Damásio</v>
      </c>
      <c r="AF36" t="str">
        <v>Frederico Ferreira</v>
      </c>
      <c r="AG36" t="str">
        <v>https://www.vilamouraworld.com/real-estate/the-nine/</v>
      </c>
      <c r="AH36" t="str">
        <v>Living here will allow you to enjoy sunny Vilamoura all year round. Close to the beach, close to the Marina, close to the very heart of nature.</v>
      </c>
      <c r="AI36" t="str">
        <v>Condo Pool, Outdoor Areas, Underground Parking</v>
      </c>
      <c r="AJ36" t="str">
        <v>Condomínio privado com piscina de adultos e crianças inseridas em amplo jardim; Estacionamento disponível; Excelente localização; Price point competitivo para a região.</v>
      </c>
      <c r="AK36" t="str">
        <v>AAVV</v>
      </c>
      <c r="AL36" t="str">
        <v>The Nine</v>
      </c>
    </row>
    <row r="37" spans="1:38" x14ac:dyDescent="0.3">
      <c r="A37" s="110" t="str">
        <v>THE NINE</v>
      </c>
      <c r="B37" s="110" t="str">
        <v>Vilamoura</v>
      </c>
      <c r="C37" s="110" t="str">
        <v>T</v>
      </c>
      <c r="D37" s="110" t="str">
        <v>Vilamoura, Algarve</v>
      </c>
      <c r="E37" s="110" t="str">
        <v>T2</v>
      </c>
      <c r="F37" s="110">
        <v>117</v>
      </c>
      <c r="G37" s="110">
        <v>0</v>
      </c>
      <c r="H37" s="110" t="str">
        <v/>
      </c>
      <c r="I37" s="110" t="str">
        <v/>
      </c>
      <c r="J37" s="110">
        <v>0</v>
      </c>
      <c r="K37" s="110">
        <v>0</v>
      </c>
      <c r="L37" s="110">
        <v>0</v>
      </c>
      <c r="M37" s="110">
        <v>0</v>
      </c>
      <c r="N37" s="110">
        <v>0</v>
      </c>
      <c r="O37" s="110">
        <v>117</v>
      </c>
      <c r="P37" s="110">
        <v>0</v>
      </c>
      <c r="Q37" s="110" t="str">
        <v xml:space="preserve">DEED </v>
      </c>
      <c r="R37" s="110">
        <v>550000</v>
      </c>
      <c r="S37" s="110">
        <v>550000</v>
      </c>
      <c r="T37" s="110">
        <v>570000</v>
      </c>
      <c r="U37" s="110">
        <v>0</v>
      </c>
      <c r="V37" s="110">
        <v>0</v>
      </c>
      <c r="W37" s="110">
        <v>570000</v>
      </c>
      <c r="X37" s="110">
        <v>0</v>
      </c>
      <c r="Y37" s="110">
        <v>570000</v>
      </c>
      <c r="Z37" s="110">
        <v>570000</v>
      </c>
      <c r="AA37" s="110">
        <v>45035</v>
      </c>
      <c r="AB37" s="111" t="str">
        <v>Q2 2023</v>
      </c>
      <c r="AC37">
        <v>45504</v>
      </c>
      <c r="AD37">
        <v>0</v>
      </c>
      <c r="AE37" t="str">
        <v>Ana Damásio</v>
      </c>
      <c r="AF37" t="str">
        <v>Frederico Ferreira</v>
      </c>
      <c r="AG37" t="str">
        <v>https://www.vilamouraworld.com/real-estate/the-nine/</v>
      </c>
      <c r="AH37" t="str">
        <v>Living here will allow you to enjoy sunny Vilamoura all year round. Close to the beach, close to the Marina, close to the very heart of nature.</v>
      </c>
      <c r="AI37" t="str">
        <v>Condo Pool, Outdoor Areas, Underground Parking</v>
      </c>
      <c r="AJ37" t="str">
        <v>Condomínio privado com piscina de adultos e crianças inseridas em amplo jardim; Estacionamento disponível; Excelente localização; Price point competitivo para a região.</v>
      </c>
      <c r="AK37" t="str">
        <v>AAVV</v>
      </c>
      <c r="AL37" t="str">
        <v>The Nine</v>
      </c>
    </row>
    <row r="38" spans="1:38" x14ac:dyDescent="0.3">
      <c r="A38" s="110" t="str">
        <v>THE NINE</v>
      </c>
      <c r="B38" s="110" t="str">
        <v>Vilamoura</v>
      </c>
      <c r="C38" s="110" t="str">
        <v>U</v>
      </c>
      <c r="D38" s="110" t="str">
        <v>Vilamoura, Algarve</v>
      </c>
      <c r="E38" s="110" t="str">
        <v>T2</v>
      </c>
      <c r="F38" s="110">
        <v>117</v>
      </c>
      <c r="G38" s="110">
        <v>0</v>
      </c>
      <c r="H38" s="110" t="str">
        <v/>
      </c>
      <c r="I38" s="110" t="str">
        <v/>
      </c>
      <c r="J38" s="110">
        <v>0</v>
      </c>
      <c r="K38" s="110">
        <v>0</v>
      </c>
      <c r="L38" s="110">
        <v>0</v>
      </c>
      <c r="M38" s="110">
        <v>0</v>
      </c>
      <c r="N38" s="110">
        <v>0</v>
      </c>
      <c r="O38" s="110">
        <v>117</v>
      </c>
      <c r="P38" s="110">
        <v>0</v>
      </c>
      <c r="Q38" s="110" t="str">
        <v xml:space="preserve">DEED </v>
      </c>
      <c r="R38" s="110">
        <v>550000</v>
      </c>
      <c r="S38" s="110">
        <v>550000</v>
      </c>
      <c r="T38" s="110">
        <v>580000</v>
      </c>
      <c r="U38" s="110">
        <v>0</v>
      </c>
      <c r="V38" s="110">
        <v>0</v>
      </c>
      <c r="W38" s="110">
        <v>580000</v>
      </c>
      <c r="X38" s="110">
        <v>0</v>
      </c>
      <c r="Y38" s="110">
        <v>580000</v>
      </c>
      <c r="Z38" s="110">
        <v>580000</v>
      </c>
      <c r="AA38" s="110">
        <v>45035</v>
      </c>
      <c r="AB38" s="111" t="str">
        <v>Q2 2023</v>
      </c>
      <c r="AC38">
        <v>45471</v>
      </c>
      <c r="AD38">
        <v>0</v>
      </c>
      <c r="AE38" t="str">
        <v>Ana Damásio</v>
      </c>
      <c r="AF38" t="str">
        <v>Frederico Ferreira</v>
      </c>
      <c r="AG38" t="str">
        <v>https://www.vilamouraworld.com/real-estate/the-nine/</v>
      </c>
      <c r="AH38" t="str">
        <v>Living here will allow you to enjoy sunny Vilamoura all year round. Close to the beach, close to the Marina, close to the very heart of nature.</v>
      </c>
      <c r="AI38" t="str">
        <v>Condo Pool, Outdoor Areas, Underground Parking</v>
      </c>
      <c r="AJ38" t="str">
        <v>Condomínio privado com piscina de adultos e crianças inseridas em amplo jardim; Estacionamento disponível; Excelente localização; Price point competitivo para a região.</v>
      </c>
      <c r="AK38" t="str">
        <v>AAVV</v>
      </c>
      <c r="AL38" t="str">
        <v>The Nine</v>
      </c>
    </row>
    <row r="39" spans="1:38" x14ac:dyDescent="0.3">
      <c r="A39" s="110" t="str">
        <v>THE NINE</v>
      </c>
      <c r="B39" s="110" t="str">
        <v>Vilamoura</v>
      </c>
      <c r="C39" s="110" t="str">
        <v>V</v>
      </c>
      <c r="D39" s="110" t="str">
        <v>Vilamoura, Algarve</v>
      </c>
      <c r="E39" s="110" t="str">
        <v>T2</v>
      </c>
      <c r="F39" s="110">
        <v>117</v>
      </c>
      <c r="G39" s="110">
        <v>0</v>
      </c>
      <c r="H39" s="110" t="str">
        <v/>
      </c>
      <c r="I39" s="110" t="str">
        <v/>
      </c>
      <c r="J39" s="110">
        <v>0</v>
      </c>
      <c r="K39" s="110">
        <v>0</v>
      </c>
      <c r="L39" s="110">
        <v>0</v>
      </c>
      <c r="M39" s="110">
        <v>0</v>
      </c>
      <c r="N39" s="110">
        <v>0</v>
      </c>
      <c r="O39" s="110">
        <v>117</v>
      </c>
      <c r="P39" s="110">
        <v>0</v>
      </c>
      <c r="Q39" s="110" t="str">
        <v xml:space="preserve">DEED </v>
      </c>
      <c r="R39" s="110">
        <v>550000</v>
      </c>
      <c r="S39" s="110">
        <v>550000</v>
      </c>
      <c r="T39" s="110">
        <v>580000</v>
      </c>
      <c r="U39" s="110">
        <v>0</v>
      </c>
      <c r="V39" s="110">
        <v>0</v>
      </c>
      <c r="W39" s="110">
        <v>580000</v>
      </c>
      <c r="X39" s="110">
        <v>0</v>
      </c>
      <c r="Y39" s="110">
        <v>580000</v>
      </c>
      <c r="Z39" s="110">
        <v>580000</v>
      </c>
      <c r="AA39" s="110">
        <v>45035</v>
      </c>
      <c r="AB39" s="111" t="str">
        <v>Q2 2023</v>
      </c>
      <c r="AC39">
        <v>45414</v>
      </c>
      <c r="AD39">
        <v>0</v>
      </c>
      <c r="AE39" t="str">
        <v>Ana Damásio</v>
      </c>
      <c r="AF39" t="str">
        <v>Frederico Ferreira</v>
      </c>
      <c r="AG39" t="str">
        <v>https://www.vilamouraworld.com/real-estate/the-nine/</v>
      </c>
      <c r="AH39" t="str">
        <v>Living here will allow you to enjoy sunny Vilamoura all year round. Close to the beach, close to the Marina, close to the very heart of nature.</v>
      </c>
      <c r="AI39" t="str">
        <v>Condo Pool, Outdoor Areas, Underground Parking</v>
      </c>
      <c r="AJ39" t="str">
        <v>Condomínio privado com piscina de adultos e crianças inseridas em amplo jardim; Estacionamento disponível; Excelente localização; Price point competitivo para a região.</v>
      </c>
      <c r="AK39" t="str">
        <v>AAVV</v>
      </c>
      <c r="AL39" t="str">
        <v>The Nine</v>
      </c>
    </row>
    <row r="40" spans="1:38" x14ac:dyDescent="0.3">
      <c r="A40" s="110" t="str">
        <v>THE NINE</v>
      </c>
      <c r="B40" s="110" t="str">
        <v>Vilamoura</v>
      </c>
      <c r="C40" s="110" t="str">
        <v>Y</v>
      </c>
      <c r="D40" s="110" t="str">
        <v>Vilamoura, Algarve</v>
      </c>
      <c r="E40" s="110" t="str">
        <v>T2</v>
      </c>
      <c r="F40" s="110">
        <v>117</v>
      </c>
      <c r="G40" s="110">
        <v>0</v>
      </c>
      <c r="H40" s="110" t="str">
        <v/>
      </c>
      <c r="I40" s="110" t="str">
        <v/>
      </c>
      <c r="J40" s="110">
        <v>0</v>
      </c>
      <c r="K40" s="110">
        <v>0</v>
      </c>
      <c r="L40" s="110">
        <v>0</v>
      </c>
      <c r="M40" s="110">
        <v>0</v>
      </c>
      <c r="N40" s="110">
        <v>0</v>
      </c>
      <c r="O40" s="110">
        <v>117</v>
      </c>
      <c r="P40" s="110">
        <v>0</v>
      </c>
      <c r="Q40" s="110" t="str">
        <v xml:space="preserve">DEED </v>
      </c>
      <c r="R40" s="110">
        <v>490000</v>
      </c>
      <c r="S40" s="110">
        <v>490000</v>
      </c>
      <c r="T40" s="110">
        <v>610000</v>
      </c>
      <c r="U40" s="110">
        <v>0</v>
      </c>
      <c r="V40" s="110">
        <v>0</v>
      </c>
      <c r="W40" s="110">
        <v>610000</v>
      </c>
      <c r="X40" s="110">
        <v>0</v>
      </c>
      <c r="Y40" s="110">
        <v>610000</v>
      </c>
      <c r="Z40" s="110">
        <v>610000</v>
      </c>
      <c r="AA40" s="110">
        <v>45035</v>
      </c>
      <c r="AB40" s="111" t="str">
        <v>Q2 2023</v>
      </c>
      <c r="AC40">
        <v>45798</v>
      </c>
      <c r="AD40">
        <v>0</v>
      </c>
      <c r="AE40" t="str">
        <v>Ana Damásio</v>
      </c>
      <c r="AF40" t="str">
        <v>Frederico Ferreira</v>
      </c>
      <c r="AG40" t="str">
        <v>https://www.vilamouraworld.com/real-estate/the-nine/</v>
      </c>
      <c r="AH40" t="str">
        <v>Living here will allow you to enjoy sunny Vilamoura all year round. Close to the beach, close to the Marina, close to the very heart of nature.</v>
      </c>
      <c r="AI40" t="str">
        <v>Condo Pool, Outdoor Areas, Underground Parking</v>
      </c>
      <c r="AJ40" t="str">
        <v>Condomínio privado com piscina de adultos e crianças inseridas em amplo jardim; Estacionamento disponível; Excelente localização; Price point competitivo para a região.</v>
      </c>
      <c r="AK40" t="str">
        <v>AAVV</v>
      </c>
      <c r="AL40" t="str">
        <v>The Nine</v>
      </c>
    </row>
    <row r="41" spans="1:38" x14ac:dyDescent="0.3">
      <c r="A41" s="110" t="str">
        <v>THE NINE</v>
      </c>
      <c r="B41" s="110" t="str">
        <v>Vilamoura</v>
      </c>
      <c r="C41" s="110" t="str">
        <v>Z</v>
      </c>
      <c r="D41" s="110" t="str">
        <v>Vilamoura, Algarve</v>
      </c>
      <c r="E41" s="110" t="str">
        <v>T2</v>
      </c>
      <c r="F41" s="110">
        <v>117</v>
      </c>
      <c r="G41" s="110">
        <v>0</v>
      </c>
      <c r="H41" s="110" t="str">
        <v/>
      </c>
      <c r="I41" s="110" t="str">
        <v/>
      </c>
      <c r="J41" s="110">
        <v>0</v>
      </c>
      <c r="K41" s="110">
        <v>0</v>
      </c>
      <c r="L41" s="110">
        <v>0</v>
      </c>
      <c r="M41" s="110">
        <v>0</v>
      </c>
      <c r="N41" s="110">
        <v>0</v>
      </c>
      <c r="O41" s="110">
        <v>117</v>
      </c>
      <c r="P41" s="110">
        <v>0</v>
      </c>
      <c r="Q41" s="110" t="str">
        <v xml:space="preserve">DEED </v>
      </c>
      <c r="R41" s="110">
        <v>490000</v>
      </c>
      <c r="S41" s="110">
        <v>490000</v>
      </c>
      <c r="T41" s="110">
        <v>490000</v>
      </c>
      <c r="U41" s="110">
        <v>0</v>
      </c>
      <c r="V41" s="110">
        <v>0</v>
      </c>
      <c r="W41" s="110">
        <v>490000</v>
      </c>
      <c r="X41" s="110">
        <v>0</v>
      </c>
      <c r="Y41" s="110">
        <v>490000</v>
      </c>
      <c r="Z41" s="110">
        <v>490000</v>
      </c>
      <c r="AA41" s="110">
        <v>45035</v>
      </c>
      <c r="AB41" s="111" t="str">
        <v>Q2 2023</v>
      </c>
      <c r="AC41">
        <v>45036</v>
      </c>
      <c r="AD41">
        <v>0</v>
      </c>
      <c r="AE41" t="str">
        <v>Ana Damásio</v>
      </c>
      <c r="AF41" t="str">
        <v>Frederico Ferreira</v>
      </c>
      <c r="AG41" t="str">
        <v>https://www.vilamouraworld.com/real-estate/the-nine/</v>
      </c>
      <c r="AH41" t="str">
        <v>Living here will allow you to enjoy sunny Vilamoura all year round. Close to the beach, close to the Marina, close to the very heart of nature.</v>
      </c>
      <c r="AI41" t="str">
        <v>Condo Pool, Outdoor Areas, Underground Parking</v>
      </c>
      <c r="AJ41" t="str">
        <v>Condomínio privado com piscina de adultos e crianças inseridas em amplo jardim; Estacionamento disponível; Excelente localização; Price point competitivo para a região.</v>
      </c>
      <c r="AK41" t="str">
        <v>AAVV</v>
      </c>
      <c r="AL41" t="str">
        <v>The Nine</v>
      </c>
    </row>
    <row r="42" spans="1:38" x14ac:dyDescent="0.3">
      <c r="A42" s="110" t="str">
        <v>THE NINE</v>
      </c>
      <c r="B42" s="110" t="str">
        <v>Vilamoura</v>
      </c>
      <c r="C42" s="110" t="str">
        <v>AS</v>
      </c>
      <c r="D42" s="110" t="str">
        <v>Vilamoura, Algarve</v>
      </c>
      <c r="E42" s="110" t="str">
        <v>T2</v>
      </c>
      <c r="F42" s="110">
        <v>111</v>
      </c>
      <c r="G42" s="110">
        <v>0</v>
      </c>
      <c r="H42" s="110" t="str">
        <v/>
      </c>
      <c r="I42" s="110" t="str">
        <v/>
      </c>
      <c r="J42" s="110">
        <v>0</v>
      </c>
      <c r="K42" s="110">
        <v>0</v>
      </c>
      <c r="L42" s="110">
        <v>0</v>
      </c>
      <c r="M42" s="110">
        <v>0</v>
      </c>
      <c r="N42" s="110">
        <v>0</v>
      </c>
      <c r="O42" s="110">
        <v>111</v>
      </c>
      <c r="P42" s="110">
        <v>0</v>
      </c>
      <c r="Q42" s="110" t="str">
        <v xml:space="preserve">DEED </v>
      </c>
      <c r="R42" s="110">
        <v>660000</v>
      </c>
      <c r="S42" s="110">
        <v>660000</v>
      </c>
      <c r="T42" s="110">
        <v>830000</v>
      </c>
      <c r="U42" s="110">
        <v>0</v>
      </c>
      <c r="V42" s="110">
        <v>0</v>
      </c>
      <c r="W42" s="110">
        <v>830000</v>
      </c>
      <c r="X42" s="110">
        <v>6.02409638554217E-2</v>
      </c>
      <c r="Y42" s="110">
        <v>780000</v>
      </c>
      <c r="Z42" s="110">
        <v>780000</v>
      </c>
      <c r="AA42" s="110">
        <v>45035</v>
      </c>
      <c r="AB42" s="111" t="str">
        <v>Q2 2023</v>
      </c>
      <c r="AC42">
        <v>46093</v>
      </c>
      <c r="AD42">
        <v>0</v>
      </c>
      <c r="AE42" t="str">
        <v>Ana Damásio</v>
      </c>
      <c r="AF42" t="str">
        <v>Frederico Ferreira</v>
      </c>
      <c r="AG42" t="str">
        <v>https://www.vilamouraworld.com/real-estate/the-nine/</v>
      </c>
      <c r="AH42" t="str">
        <v>Living here will allow you to enjoy sunny Vilamoura all year round. Close to the beach, close to the Marina, close to the very heart of nature.</v>
      </c>
      <c r="AI42" t="str">
        <v>Condo Pool, Outdoor Areas, Underground Parking</v>
      </c>
      <c r="AJ42" t="str">
        <v>Condomínio privado com piscina de adultos e crianças inseridas em amplo jardim; Estacionamento disponível; Excelente localização; Price point competitivo para a região.</v>
      </c>
      <c r="AK42" t="str">
        <v>AAVV</v>
      </c>
      <c r="AL42" t="str">
        <v>The Nine</v>
      </c>
    </row>
    <row r="43" spans="1:38" x14ac:dyDescent="0.3">
      <c r="A43" s="110" t="str">
        <v>THE NINE</v>
      </c>
      <c r="B43" s="110" t="str">
        <v>Vilamoura</v>
      </c>
      <c r="C43" s="110" t="str">
        <v>AE</v>
      </c>
      <c r="D43" s="110" t="str">
        <v>Vilamoura, Algarve</v>
      </c>
      <c r="E43" s="110" t="str">
        <v>T2</v>
      </c>
      <c r="F43" s="110">
        <v>119</v>
      </c>
      <c r="G43" s="110">
        <v>0</v>
      </c>
      <c r="H43" s="110" t="str">
        <v/>
      </c>
      <c r="I43" s="110" t="str">
        <v/>
      </c>
      <c r="J43" s="110">
        <v>0</v>
      </c>
      <c r="K43" s="110">
        <v>0</v>
      </c>
      <c r="L43" s="110">
        <v>0</v>
      </c>
      <c r="M43" s="110">
        <v>0</v>
      </c>
      <c r="N43" s="110">
        <v>0</v>
      </c>
      <c r="O43" s="110">
        <v>119</v>
      </c>
      <c r="P43" s="110">
        <v>0</v>
      </c>
      <c r="Q43" s="110" t="str">
        <v xml:space="preserve">DEED </v>
      </c>
      <c r="R43" s="110">
        <v>590000</v>
      </c>
      <c r="S43" s="110">
        <v>590000</v>
      </c>
      <c r="T43" s="110">
        <v>630000</v>
      </c>
      <c r="U43" s="110">
        <v>0</v>
      </c>
      <c r="V43" s="110">
        <v>0</v>
      </c>
      <c r="W43" s="110">
        <v>630000</v>
      </c>
      <c r="X43" s="110">
        <v>0.18</v>
      </c>
      <c r="Y43" s="110">
        <v>516600</v>
      </c>
      <c r="Z43" s="110">
        <v>516600</v>
      </c>
      <c r="AA43" s="110">
        <v>45035</v>
      </c>
      <c r="AB43" s="111" t="str">
        <v>Q2 2023</v>
      </c>
      <c r="AC43">
        <v>0</v>
      </c>
      <c r="AD43">
        <v>0</v>
      </c>
      <c r="AE43" t="str">
        <v>Ana Damásio</v>
      </c>
      <c r="AF43" t="str">
        <v>Frederico Ferreira</v>
      </c>
      <c r="AG43" t="str">
        <v>https://www.vilamouraworld.com/real-estate/the-nine/</v>
      </c>
      <c r="AH43" t="str">
        <v>Living here will allow you to enjoy sunny Vilamoura all year round. Close to the beach, close to the Marina, close to the very heart of nature.</v>
      </c>
      <c r="AI43" t="str">
        <v>Condo Pool, Outdoor Areas, Underground Parking</v>
      </c>
      <c r="AJ43" t="str">
        <v>Condomínio privado com piscina de adultos e crianças inseridas em amplo jardim; Estacionamento disponível; Excelente localização; Price point competitivo para a região.</v>
      </c>
      <c r="AK43" t="str">
        <v>AAVV</v>
      </c>
      <c r="AL43" t="str">
        <v>The Nine</v>
      </c>
    </row>
    <row r="44" spans="1:38" x14ac:dyDescent="0.3">
      <c r="A44" s="110" t="str">
        <v>THE NINE</v>
      </c>
      <c r="B44" s="110" t="str">
        <v>Vilamoura</v>
      </c>
      <c r="C44" s="110" t="str">
        <v>AF</v>
      </c>
      <c r="D44" s="110" t="str">
        <v>Vilamoura, Algarve</v>
      </c>
      <c r="E44" s="110" t="str">
        <v>T2</v>
      </c>
      <c r="F44" s="110">
        <v>119</v>
      </c>
      <c r="G44" s="110">
        <v>0</v>
      </c>
      <c r="H44" s="110" t="str">
        <v/>
      </c>
      <c r="I44" s="110" t="str">
        <v/>
      </c>
      <c r="J44" s="110">
        <v>0</v>
      </c>
      <c r="K44" s="110">
        <v>0</v>
      </c>
      <c r="L44" s="110">
        <v>0</v>
      </c>
      <c r="M44" s="110">
        <v>0</v>
      </c>
      <c r="N44" s="110">
        <v>0</v>
      </c>
      <c r="O44" s="110">
        <v>119</v>
      </c>
      <c r="P44" s="110">
        <v>0</v>
      </c>
      <c r="Q44" s="110" t="str">
        <v xml:space="preserve">DEED </v>
      </c>
      <c r="R44" s="110">
        <v>590000</v>
      </c>
      <c r="S44" s="110">
        <v>590000</v>
      </c>
      <c r="T44" s="110">
        <v>630000</v>
      </c>
      <c r="U44" s="110">
        <v>0</v>
      </c>
      <c r="V44" s="110">
        <v>0</v>
      </c>
      <c r="W44" s="110">
        <v>630000</v>
      </c>
      <c r="X44" s="110">
        <v>0.18</v>
      </c>
      <c r="Y44" s="110">
        <v>516600</v>
      </c>
      <c r="Z44" s="110">
        <v>516600</v>
      </c>
      <c r="AA44" s="110">
        <v>45035</v>
      </c>
      <c r="AB44" s="111" t="str">
        <v>Q2 2023</v>
      </c>
      <c r="AC44">
        <v>46080</v>
      </c>
      <c r="AD44">
        <v>0</v>
      </c>
      <c r="AE44" t="str">
        <v>Ana Damásio</v>
      </c>
      <c r="AF44" t="str">
        <v>Frederico Ferreira</v>
      </c>
      <c r="AG44" t="str">
        <v>https://www.vilamouraworld.com/real-estate/the-nine/</v>
      </c>
      <c r="AH44" t="str">
        <v>Living here will allow you to enjoy sunny Vilamoura all year round. Close to the beach, close to the Marina, close to the very heart of nature.</v>
      </c>
      <c r="AI44" t="str">
        <v>Condo Pool, Outdoor Areas, Underground Parking</v>
      </c>
      <c r="AJ44" t="str">
        <v>Condomínio privado com piscina de adultos e crianças inseridas em amplo jardim; Estacionamento disponível; Excelente localização; Price point competitivo para a região.</v>
      </c>
      <c r="AK44" t="str">
        <v>AAVV</v>
      </c>
      <c r="AL44" t="str">
        <v>The Nine</v>
      </c>
    </row>
    <row r="45" spans="1:38" x14ac:dyDescent="0.3">
      <c r="A45" s="110" t="str">
        <v>THE NINE</v>
      </c>
      <c r="B45" s="110" t="str">
        <v>Vilamoura</v>
      </c>
      <c r="C45" s="110" t="str">
        <v>AH</v>
      </c>
      <c r="D45" s="110" t="str">
        <v>Vilamoura, Algarve</v>
      </c>
      <c r="E45" s="110" t="str">
        <v>T2</v>
      </c>
      <c r="F45" s="110">
        <v>119</v>
      </c>
      <c r="G45" s="110">
        <v>0</v>
      </c>
      <c r="H45" s="110" t="str">
        <v/>
      </c>
      <c r="I45" s="110" t="str">
        <v/>
      </c>
      <c r="J45" s="110">
        <v>0</v>
      </c>
      <c r="K45" s="110">
        <v>0</v>
      </c>
      <c r="L45" s="110">
        <v>0</v>
      </c>
      <c r="M45" s="110">
        <v>0</v>
      </c>
      <c r="N45" s="110">
        <v>0</v>
      </c>
      <c r="O45" s="110">
        <v>119</v>
      </c>
      <c r="P45" s="110">
        <v>0</v>
      </c>
      <c r="Q45" s="110" t="str">
        <v xml:space="preserve">DEED </v>
      </c>
      <c r="R45" s="110">
        <v>590000</v>
      </c>
      <c r="S45" s="110">
        <v>590000</v>
      </c>
      <c r="T45" s="110">
        <v>630000</v>
      </c>
      <c r="U45" s="110">
        <v>0</v>
      </c>
      <c r="V45" s="110">
        <v>0</v>
      </c>
      <c r="W45" s="110">
        <v>630000</v>
      </c>
      <c r="X45" s="110">
        <v>0.18</v>
      </c>
      <c r="Y45" s="110">
        <v>516600</v>
      </c>
      <c r="Z45" s="110">
        <v>516600</v>
      </c>
      <c r="AA45" s="110">
        <v>45035</v>
      </c>
      <c r="AB45" s="111" t="str">
        <v>Q2 2023</v>
      </c>
      <c r="AC45">
        <v>0</v>
      </c>
      <c r="AD45">
        <v>0</v>
      </c>
      <c r="AE45" t="str">
        <v>Ana Damásio</v>
      </c>
      <c r="AF45" t="str">
        <v>Frederico Ferreira</v>
      </c>
      <c r="AG45" t="str">
        <v>https://www.vilamouraworld.com/real-estate/the-nine/</v>
      </c>
      <c r="AH45" t="str">
        <v>Living here will allow you to enjoy sunny Vilamoura all year round. Close to the beach, close to the Marina, close to the very heart of nature.</v>
      </c>
      <c r="AI45" t="str">
        <v>Condo Pool, Outdoor Areas, Underground Parking</v>
      </c>
      <c r="AJ45" t="str">
        <v>Condomínio privado com piscina de adultos e crianças inseridas em amplo jardim; Estacionamento disponível; Excelente localização; Price point competitivo para a região.</v>
      </c>
      <c r="AK45" t="str">
        <v>AAVV</v>
      </c>
      <c r="AL45" t="str">
        <v>The Nine</v>
      </c>
    </row>
    <row r="46" spans="1:38" x14ac:dyDescent="0.3">
      <c r="A46" s="110" t="str">
        <v>THE NINE</v>
      </c>
      <c r="B46" s="110" t="str">
        <v>Vilamoura</v>
      </c>
      <c r="C46" s="110" t="str">
        <v>I</v>
      </c>
      <c r="D46" s="110" t="str">
        <v>Vilamoura, Algarve</v>
      </c>
      <c r="E46" s="110" t="str">
        <v>T2</v>
      </c>
      <c r="F46" s="110">
        <v>111</v>
      </c>
      <c r="G46" s="110">
        <v>0</v>
      </c>
      <c r="H46" s="110" t="str">
        <v/>
      </c>
      <c r="I46" s="110" t="str">
        <v/>
      </c>
      <c r="J46" s="110">
        <v>0</v>
      </c>
      <c r="K46" s="110">
        <v>0</v>
      </c>
      <c r="L46" s="110">
        <v>0</v>
      </c>
      <c r="M46" s="110">
        <v>0</v>
      </c>
      <c r="N46" s="110">
        <v>0</v>
      </c>
      <c r="O46" s="110">
        <v>111</v>
      </c>
      <c r="P46" s="110">
        <v>0</v>
      </c>
      <c r="Q46" s="110" t="str">
        <v xml:space="preserve">DEED </v>
      </c>
      <c r="R46" s="110">
        <v>570000</v>
      </c>
      <c r="S46" s="110">
        <v>570000</v>
      </c>
      <c r="T46" s="110">
        <v>630000</v>
      </c>
      <c r="U46" s="110">
        <v>0</v>
      </c>
      <c r="V46" s="110">
        <v>0</v>
      </c>
      <c r="W46" s="110">
        <v>630000</v>
      </c>
      <c r="X46" s="110">
        <v>0.18</v>
      </c>
      <c r="Y46" s="110">
        <v>516600</v>
      </c>
      <c r="Z46" s="110">
        <v>516600</v>
      </c>
      <c r="AA46" s="110">
        <v>45035</v>
      </c>
      <c r="AB46" s="111" t="str">
        <v>Q2 2023</v>
      </c>
      <c r="AC46">
        <v>45904</v>
      </c>
      <c r="AD46">
        <v>0</v>
      </c>
      <c r="AE46" t="str">
        <v>Ana Damásio</v>
      </c>
      <c r="AF46" t="str">
        <v>Frederico Ferreira</v>
      </c>
      <c r="AG46" t="str">
        <v>https://www.vilamouraworld.com/real-estate/the-nine/</v>
      </c>
      <c r="AH46" t="str">
        <v>Living here will allow you to enjoy sunny Vilamoura all year round. Close to the beach, close to the Marina, close to the very heart of nature.</v>
      </c>
      <c r="AI46" t="str">
        <v>Condo Pool, Outdoor Areas, Underground Parking</v>
      </c>
      <c r="AJ46" t="str">
        <v>Condomínio privado com piscina de adultos e crianças inseridas em amplo jardim; Estacionamento disponível; Excelente localização; Price point competitivo para a região.</v>
      </c>
      <c r="AK46" t="str">
        <v>AAVV</v>
      </c>
      <c r="AL46" t="str">
        <v>The Nine</v>
      </c>
    </row>
    <row r="47" spans="1:38" x14ac:dyDescent="0.3">
      <c r="A47" s="110" t="str">
        <v>THE NINE</v>
      </c>
      <c r="B47" s="110" t="str">
        <v>Vilamoura</v>
      </c>
      <c r="C47" s="110" t="str">
        <v>W</v>
      </c>
      <c r="D47" s="110" t="str">
        <v>Vilamoura, Algarve</v>
      </c>
      <c r="E47" s="110" t="str">
        <v>T2</v>
      </c>
      <c r="F47" s="110">
        <v>117</v>
      </c>
      <c r="G47" s="110">
        <v>0</v>
      </c>
      <c r="H47" s="110" t="str">
        <v/>
      </c>
      <c r="I47" s="110" t="str">
        <v/>
      </c>
      <c r="J47" s="110">
        <v>0</v>
      </c>
      <c r="K47" s="110">
        <v>0</v>
      </c>
      <c r="L47" s="110">
        <v>0</v>
      </c>
      <c r="M47" s="110">
        <v>0</v>
      </c>
      <c r="N47" s="110">
        <v>0</v>
      </c>
      <c r="O47" s="110">
        <v>117</v>
      </c>
      <c r="P47" s="110">
        <v>0</v>
      </c>
      <c r="Q47" s="110" t="str">
        <v xml:space="preserve">DEED </v>
      </c>
      <c r="R47" s="110">
        <v>550000</v>
      </c>
      <c r="S47" s="110">
        <v>550000</v>
      </c>
      <c r="T47" s="110">
        <v>610000</v>
      </c>
      <c r="U47" s="110">
        <v>0</v>
      </c>
      <c r="V47" s="110">
        <v>0</v>
      </c>
      <c r="W47" s="110">
        <v>610000</v>
      </c>
      <c r="X47" s="110">
        <v>0.18</v>
      </c>
      <c r="Y47" s="110">
        <v>500200</v>
      </c>
      <c r="Z47" s="110">
        <v>500200</v>
      </c>
      <c r="AA47" s="110">
        <v>45035</v>
      </c>
      <c r="AB47" s="111" t="str">
        <v>Q2 2023</v>
      </c>
      <c r="AC47">
        <v>45904</v>
      </c>
      <c r="AD47">
        <v>0</v>
      </c>
      <c r="AE47" t="str">
        <v>Ana Damásio</v>
      </c>
      <c r="AF47" t="str">
        <v>Frederico Ferreira</v>
      </c>
      <c r="AG47" t="str">
        <v>https://www.vilamouraworld.com/real-estate/the-nine/</v>
      </c>
      <c r="AH47" t="str">
        <v>Living here will allow you to enjoy sunny Vilamoura all year round. Close to the beach, close to the Marina, close to the very heart of nature.</v>
      </c>
      <c r="AI47" t="str">
        <v>Condo Pool, Outdoor Areas, Underground Parking</v>
      </c>
      <c r="AJ47" t="str">
        <v>Condomínio privado com piscina de adultos e crianças inseridas em amplo jardim; Estacionamento disponível; Excelente localização; Price point competitivo para a região.</v>
      </c>
      <c r="AK47" t="str">
        <v>AAVV</v>
      </c>
      <c r="AL47" t="str">
        <v>The Nine</v>
      </c>
    </row>
    <row r="48" spans="1:38" x14ac:dyDescent="0.3">
      <c r="A48" s="110" t="str">
        <v>THE NINE</v>
      </c>
      <c r="B48" s="110" t="str">
        <v>Vilamoura</v>
      </c>
      <c r="C48" s="110" t="str">
        <v>X</v>
      </c>
      <c r="D48" s="110" t="str">
        <v>Vilamoura, Algarve</v>
      </c>
      <c r="E48" s="110" t="str">
        <v>T2</v>
      </c>
      <c r="F48" s="110">
        <v>117</v>
      </c>
      <c r="G48" s="110">
        <v>0</v>
      </c>
      <c r="H48" s="110" t="str">
        <v/>
      </c>
      <c r="I48" s="110" t="str">
        <v/>
      </c>
      <c r="J48" s="110">
        <v>0</v>
      </c>
      <c r="K48" s="110">
        <v>0</v>
      </c>
      <c r="L48" s="110">
        <v>0</v>
      </c>
      <c r="M48" s="110">
        <v>0</v>
      </c>
      <c r="N48" s="110">
        <v>0</v>
      </c>
      <c r="O48" s="110">
        <v>117</v>
      </c>
      <c r="P48" s="110">
        <v>0</v>
      </c>
      <c r="Q48" s="110" t="str">
        <v xml:space="preserve">DEED </v>
      </c>
      <c r="R48" s="110">
        <v>490000</v>
      </c>
      <c r="S48" s="110">
        <v>490000</v>
      </c>
      <c r="T48" s="110">
        <v>610000</v>
      </c>
      <c r="U48" s="110">
        <v>0</v>
      </c>
      <c r="V48" s="110">
        <v>0</v>
      </c>
      <c r="W48" s="110">
        <v>610000</v>
      </c>
      <c r="X48" s="110">
        <v>0.18</v>
      </c>
      <c r="Y48" s="110">
        <v>500200</v>
      </c>
      <c r="Z48" s="110">
        <v>500200</v>
      </c>
      <c r="AA48" s="110">
        <v>45035</v>
      </c>
      <c r="AB48" s="111" t="str">
        <v>Q2 2023</v>
      </c>
      <c r="AC48">
        <v>45904</v>
      </c>
      <c r="AD48">
        <v>0</v>
      </c>
      <c r="AE48" t="str">
        <v>Ana Damásio</v>
      </c>
      <c r="AF48" t="str">
        <v>Frederico Ferreira</v>
      </c>
      <c r="AG48" t="str">
        <v>https://www.vilamouraworld.com/real-estate/the-nine/</v>
      </c>
      <c r="AH48" t="str">
        <v>Living here will allow you to enjoy sunny Vilamoura all year round. Close to the beach, close to the Marina, close to the very heart of nature.</v>
      </c>
      <c r="AI48" t="str">
        <v>Condo Pool, Outdoor Areas, Underground Parking</v>
      </c>
      <c r="AJ48" t="str">
        <v>Condomínio privado com piscina de adultos e crianças inseridas em amplo jardim; Estacionamento disponível; Excelente localização; Price point competitivo para a região.</v>
      </c>
      <c r="AK48" t="str">
        <v>AAVV</v>
      </c>
      <c r="AL48" t="str">
        <v>The Nine</v>
      </c>
    </row>
    <row r="49" spans="1:38" x14ac:dyDescent="0.3">
      <c r="A49" t="str">
        <v>THE NINE</v>
      </c>
      <c r="B49" t="str">
        <v>Vilamoura</v>
      </c>
      <c r="C49" t="str">
        <v>AK</v>
      </c>
      <c r="D49" t="str">
        <v>Vilamoura, Algarve</v>
      </c>
      <c r="E49" t="str">
        <v>T2</v>
      </c>
      <c r="F49">
        <v>119</v>
      </c>
      <c r="G49">
        <v>0</v>
      </c>
      <c r="H49" t="str">
        <v/>
      </c>
      <c r="I49" t="str">
        <v/>
      </c>
      <c r="J49">
        <v>0</v>
      </c>
      <c r="K49">
        <v>0</v>
      </c>
      <c r="L49">
        <v>0</v>
      </c>
      <c r="M49" s="79">
        <v>0</v>
      </c>
      <c r="N49">
        <v>0</v>
      </c>
      <c r="O49">
        <v>119</v>
      </c>
      <c r="P49">
        <v>0</v>
      </c>
      <c r="Q49" t="str">
        <v xml:space="preserve">DEED </v>
      </c>
      <c r="R49">
        <v>590000</v>
      </c>
      <c r="S49">
        <v>590000</v>
      </c>
      <c r="T49">
        <v>640000</v>
      </c>
      <c r="U49">
        <v>0</v>
      </c>
      <c r="V49">
        <v>0</v>
      </c>
      <c r="W49">
        <v>640000</v>
      </c>
      <c r="X49">
        <v>0.1928125</v>
      </c>
      <c r="Y49">
        <v>516600</v>
      </c>
      <c r="Z49">
        <v>516600</v>
      </c>
      <c r="AA49">
        <v>45035</v>
      </c>
      <c r="AB49" t="str">
        <v>Q2 2023</v>
      </c>
      <c r="AC49">
        <v>45918</v>
      </c>
      <c r="AD49">
        <v>0</v>
      </c>
      <c r="AE49" t="str">
        <v>Ana Damásio</v>
      </c>
      <c r="AF49" t="str">
        <v>Frederico Ferreira</v>
      </c>
      <c r="AG49" t="str">
        <v>https://www.vilamouraworld.com/real-estate/the-nine/</v>
      </c>
      <c r="AH49" t="str">
        <v>Living here will allow you to enjoy sunny Vilamoura all year round. Close to the beach, close to the Marina, close to the very heart of nature.</v>
      </c>
      <c r="AI49" t="str">
        <v>Condo Pool, Outdoor Areas, Underground Parking</v>
      </c>
      <c r="AJ49" t="str">
        <v>Condomínio privado com piscina de adultos e crianças inseridas em amplo jardim; Estacionamento disponível; Excelente localização; Price point competitivo para a região.</v>
      </c>
      <c r="AK49" t="str">
        <v>AAVV</v>
      </c>
      <c r="AL49" t="str">
        <v>The Nine</v>
      </c>
    </row>
    <row r="50" spans="1:38" x14ac:dyDescent="0.3">
      <c r="A50" t="str">
        <v>THE NINE</v>
      </c>
      <c r="B50" t="str">
        <v>Vilamoura</v>
      </c>
      <c r="C50" t="str">
        <v>AL</v>
      </c>
      <c r="D50" t="str">
        <v>Vilamoura, Algarve</v>
      </c>
      <c r="E50" t="str">
        <v>T2</v>
      </c>
      <c r="F50">
        <v>119</v>
      </c>
      <c r="G50">
        <v>0</v>
      </c>
      <c r="H50" t="str">
        <v/>
      </c>
      <c r="I50" t="str">
        <v/>
      </c>
      <c r="J50">
        <v>0</v>
      </c>
      <c r="K50">
        <v>0</v>
      </c>
      <c r="L50">
        <v>0</v>
      </c>
      <c r="M50" s="79">
        <v>0</v>
      </c>
      <c r="N50">
        <v>0</v>
      </c>
      <c r="O50">
        <v>119</v>
      </c>
      <c r="P50">
        <v>0</v>
      </c>
      <c r="Q50" t="str">
        <v xml:space="preserve">DEED </v>
      </c>
      <c r="R50">
        <v>590000</v>
      </c>
      <c r="S50">
        <v>590000</v>
      </c>
      <c r="T50">
        <v>640000</v>
      </c>
      <c r="U50">
        <v>0</v>
      </c>
      <c r="V50">
        <v>0</v>
      </c>
      <c r="W50">
        <v>640000</v>
      </c>
      <c r="X50">
        <v>0.1928125</v>
      </c>
      <c r="Y50">
        <v>516600</v>
      </c>
      <c r="Z50">
        <v>516600</v>
      </c>
      <c r="AA50">
        <v>45035</v>
      </c>
      <c r="AB50" t="str">
        <v>Q2 2023</v>
      </c>
      <c r="AC50">
        <v>45918</v>
      </c>
      <c r="AD50">
        <v>0</v>
      </c>
      <c r="AE50" t="str">
        <v>Ana Damásio</v>
      </c>
      <c r="AF50" t="str">
        <v>Frederico Ferreira</v>
      </c>
      <c r="AG50" t="str">
        <v>https://www.vilamouraworld.com/real-estate/the-nine/</v>
      </c>
      <c r="AH50" t="str">
        <v>Living here will allow you to enjoy sunny Vilamoura all year round. Close to the beach, close to the Marina, close to the very heart of nature.</v>
      </c>
      <c r="AI50" t="str">
        <v>Condo Pool, Outdoor Areas, Underground Parking</v>
      </c>
      <c r="AJ50" t="str">
        <v>Condomínio privado com piscina de adultos e crianças inseridas em amplo jardim; Estacionamento disponível; Excelente localização; Price point competitivo para a região.</v>
      </c>
      <c r="AK50" t="str">
        <v>AAVV</v>
      </c>
      <c r="AL50" t="str">
        <v>The Nine</v>
      </c>
    </row>
    <row r="74" spans="11:12" x14ac:dyDescent="0.3">
      <c r="K74" s="113"/>
      <c r="L74" s="78"/>
    </row>
  </sheetData>
  <autoFilter ref="A2:AL2" xr:uid="{8C381E57-20A3-4D29-9AC1-A20B676A56DB}"/>
  <conditionalFormatting sqref="A2">
    <cfRule type="containsText" dxfId="53" priority="3" operator="containsText" text="Center">
      <formula>NOT(ISERROR(SEARCH("Center",A2)))</formula>
    </cfRule>
    <cfRule type="containsText" dxfId="52" priority="4" operator="containsText" text="North">
      <formula>NOT(ISERROR(SEARCH("North",A2)))</formula>
    </cfRule>
    <cfRule type="containsText" dxfId="51" priority="5" operator="containsText" text="Algarve">
      <formula>NOT(ISERROR(SEARCH("Algarve",A2)))</formula>
    </cfRule>
    <cfRule type="containsText" dxfId="50" priority="6" operator="containsText" text="Vilamoura">
      <formula>NOT(ISERROR(SEARCH("Vilamoura",A2)))</formula>
    </cfRule>
  </conditionalFormatting>
  <conditionalFormatting sqref="Q2">
    <cfRule type="containsText" dxfId="49" priority="1" operator="containsText" text="PRE-RESERVED">
      <formula>NOT(ISERROR(SEARCH("PRE-RESERVED",Q2)))</formula>
    </cfRule>
    <cfRule type="containsText" dxfId="48" priority="2" operator="containsText" text="RESERVED">
      <formula>NOT(ISERROR(SEARCH("RESERVED",Q2)))</formula>
    </cfRule>
  </conditionalFormatting>
  <pageMargins left="0.7" right="0.7" top="0.75" bottom="0.75" header="0.3" footer="0.3"/>
  <pageSetup paperSize="8" scale="69" fitToHeight="0"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644D8-D903-4569-8497-CF8807D4A761}">
  <sheetPr>
    <tabColor rgb="FFC2B59E"/>
    <pageSetUpPr fitToPage="1"/>
  </sheetPr>
  <dimension ref="A1:AL94"/>
  <sheetViews>
    <sheetView showGridLines="0" zoomScale="71" zoomScaleNormal="40" zoomScaleSheetLayoutView="70" workbookViewId="0">
      <pane xSplit="1" topLeftCell="B1" activePane="topRight" state="frozen"/>
      <selection activeCell="I25" sqref="I25"/>
      <selection pane="topRight" activeCell="A31" sqref="A31"/>
    </sheetView>
  </sheetViews>
  <sheetFormatPr defaultColWidth="8.6640625" defaultRowHeight="14.4" outlineLevelCol="2" x14ac:dyDescent="0.3"/>
  <cols>
    <col min="1" max="1" width="20.33203125" bestFit="1" customWidth="1"/>
    <col min="2" max="6" width="11.77734375" customWidth="1"/>
    <col min="7" max="12" width="11.77734375" customWidth="1" outlineLevel="2"/>
    <col min="13" max="13" width="11.77734375" style="79" customWidth="1" outlineLevel="2"/>
    <col min="14" max="14" width="11.77734375" customWidth="1" outlineLevel="2"/>
    <col min="15" max="16" width="11.77734375" customWidth="1" outlineLevel="1"/>
    <col min="17" max="18" width="11.77734375" customWidth="1"/>
    <col min="19" max="22" width="11.77734375" customWidth="1" outlineLevel="1"/>
    <col min="23" max="24" width="11.77734375" customWidth="1"/>
    <col min="25" max="25" width="11.77734375" customWidth="1" outlineLevel="1"/>
    <col min="26" max="26" width="11.77734375" customWidth="1"/>
    <col min="27" max="27" width="11.77734375" customWidth="1" outlineLevel="1"/>
    <col min="28" max="38" width="11.77734375" customWidth="1"/>
  </cols>
  <sheetData>
    <row r="1" spans="1:38" s="1" customFormat="1" ht="20.399999999999999" customHeight="1" x14ac:dyDescent="0.3">
      <c r="A1" s="114" t="s">
        <v>48</v>
      </c>
    </row>
    <row r="2" spans="1:38" s="2" customFormat="1" ht="46.2" customHeight="1" x14ac:dyDescent="0.3">
      <c r="A2" s="95" t="s">
        <v>335</v>
      </c>
      <c r="B2" s="95" t="s">
        <v>684</v>
      </c>
      <c r="C2" s="96" t="s">
        <v>765</v>
      </c>
      <c r="D2" s="97" t="s">
        <v>1</v>
      </c>
      <c r="E2" s="95" t="s">
        <v>93</v>
      </c>
      <c r="F2" s="95" t="s">
        <v>763</v>
      </c>
      <c r="G2" s="98" t="s">
        <v>675</v>
      </c>
      <c r="H2" s="99" t="s">
        <v>676</v>
      </c>
      <c r="I2" s="99" t="s">
        <v>677</v>
      </c>
      <c r="J2" s="100" t="s">
        <v>678</v>
      </c>
      <c r="K2" s="98" t="s">
        <v>679</v>
      </c>
      <c r="L2" s="98" t="s">
        <v>779</v>
      </c>
      <c r="M2" s="98" t="s">
        <v>680</v>
      </c>
      <c r="N2" s="101" t="s">
        <v>681</v>
      </c>
      <c r="O2" s="102" t="s">
        <v>94</v>
      </c>
      <c r="P2" s="102" t="s">
        <v>95</v>
      </c>
      <c r="Q2" s="95" t="s">
        <v>624</v>
      </c>
      <c r="R2" s="103" t="s">
        <v>331</v>
      </c>
      <c r="S2" s="104" t="s">
        <v>332</v>
      </c>
      <c r="T2" s="105" t="s">
        <v>333</v>
      </c>
      <c r="U2" s="105" t="s">
        <v>682</v>
      </c>
      <c r="V2" s="105" t="s">
        <v>97</v>
      </c>
      <c r="W2" s="95" t="s">
        <v>330</v>
      </c>
      <c r="X2" s="106" t="s">
        <v>919</v>
      </c>
      <c r="Y2" s="105" t="s">
        <v>334</v>
      </c>
      <c r="Z2" s="95" t="s">
        <v>98</v>
      </c>
      <c r="AA2" s="107" t="s">
        <v>933</v>
      </c>
      <c r="AB2" s="108" t="s">
        <v>934</v>
      </c>
      <c r="AC2" s="108" t="s">
        <v>928</v>
      </c>
      <c r="AD2" s="109" t="s">
        <v>926</v>
      </c>
      <c r="AE2" s="97" t="s">
        <v>792</v>
      </c>
      <c r="AF2" s="97" t="s">
        <v>793</v>
      </c>
      <c r="AG2" s="97" t="s">
        <v>2</v>
      </c>
      <c r="AH2" s="97" t="s">
        <v>3</v>
      </c>
      <c r="AI2" s="97" t="s">
        <v>5</v>
      </c>
      <c r="AJ2" s="97" t="s">
        <v>794</v>
      </c>
      <c r="AK2" s="97" t="s">
        <v>6</v>
      </c>
      <c r="AL2" s="95" t="s">
        <v>918</v>
      </c>
    </row>
    <row r="3" spans="1:38" s="112" customFormat="1" ht="13.8" x14ac:dyDescent="0.3">
      <c r="A3" s="129" t="str" cm="1">
        <f t="array" ref="A3:AL94">_xlfn._xlws.FILTER(DATABASE_Table[],DATABASE_Table[Development]=$A$1,"")</f>
        <v>THE UNCOMMON</v>
      </c>
      <c r="B3" s="129" t="str">
        <v>Vilamoura</v>
      </c>
      <c r="C3" s="110" t="str">
        <v>503</v>
      </c>
      <c r="D3" s="110" t="str">
        <v>Vilamoura, Algarve</v>
      </c>
      <c r="E3" s="110" t="str">
        <v>T2</v>
      </c>
      <c r="F3" s="110">
        <v>161</v>
      </c>
      <c r="G3" s="110">
        <v>0</v>
      </c>
      <c r="H3" s="110" t="str">
        <v/>
      </c>
      <c r="I3" s="110" t="str">
        <v/>
      </c>
      <c r="J3" s="110">
        <v>57.1</v>
      </c>
      <c r="K3" s="110">
        <v>0</v>
      </c>
      <c r="L3" s="110">
        <v>0</v>
      </c>
      <c r="M3" s="110">
        <v>0</v>
      </c>
      <c r="N3" s="110">
        <v>0</v>
      </c>
      <c r="O3" s="110">
        <v>103.9</v>
      </c>
      <c r="P3" s="110">
        <v>0</v>
      </c>
      <c r="Q3" s="110" t="str">
        <v>RESERVED</v>
      </c>
      <c r="R3" s="110">
        <v>1177000</v>
      </c>
      <c r="S3" s="110">
        <v>1250000</v>
      </c>
      <c r="T3" s="110">
        <v>1350000</v>
      </c>
      <c r="U3" s="110">
        <v>50000</v>
      </c>
      <c r="V3" s="110">
        <v>23000</v>
      </c>
      <c r="W3" s="110">
        <v>1277000</v>
      </c>
      <c r="X3" s="110">
        <v>0</v>
      </c>
      <c r="Y3" s="110">
        <v>1350000</v>
      </c>
      <c r="Z3" s="110">
        <v>1277000</v>
      </c>
      <c r="AA3" s="110">
        <v>46057</v>
      </c>
      <c r="AB3" s="111" t="str">
        <v>Q1 2026</v>
      </c>
      <c r="AC3" s="112">
        <v>0</v>
      </c>
      <c r="AD3" s="112">
        <v>0</v>
      </c>
      <c r="AE3" s="112" t="str">
        <v>Ana Damásio</v>
      </c>
      <c r="AF3" s="112" t="str">
        <v>Eduardo Lopes</v>
      </c>
      <c r="AG3" s="112" t="str">
        <v>TBD</v>
      </c>
      <c r="AH3" s="112" t="str">
        <v>The Uncommon is a front-row sea view masterpiece in Vilamoura, where vibrant energy meets serene coastal living. With an exclusive design and elevated services, in this touristic and residential project every moment feels uniquely exceptional.</v>
      </c>
      <c r="AI3" s="112" t="str">
        <v>Condo Pool, Outdoor Areas, Underground Parking, Reception, Concierge, Vista Membership</v>
      </c>
      <c r="AJ3" s="112" t="str">
        <v>Apartamentos com exploração turística profissional e possibilidade de uso pelos proprietários; Amenities de excelência; Vistas excepcionais e em primeira linha de mar; Rooftops com plunge pool privativos.</v>
      </c>
      <c r="AK3" s="112" t="str">
        <v>NLA</v>
      </c>
      <c r="AL3" s="112" t="str">
        <v>The Uncommon</v>
      </c>
    </row>
    <row r="4" spans="1:38" x14ac:dyDescent="0.3">
      <c r="A4" s="129" t="str">
        <v>THE UNCOMMON</v>
      </c>
      <c r="B4" s="129" t="str">
        <v>Vilamoura</v>
      </c>
      <c r="C4" s="110" t="str">
        <v>202</v>
      </c>
      <c r="D4" s="110" t="str">
        <v>Vilamoura, Algarve</v>
      </c>
      <c r="E4" s="110" t="str">
        <v>T2</v>
      </c>
      <c r="F4" s="110">
        <v>129.4</v>
      </c>
      <c r="G4" s="110">
        <v>0</v>
      </c>
      <c r="H4" s="110" t="str">
        <v>1</v>
      </c>
      <c r="I4" s="110" t="str">
        <v/>
      </c>
      <c r="J4" s="110">
        <v>25.5</v>
      </c>
      <c r="K4" s="110">
        <v>0</v>
      </c>
      <c r="L4" s="110">
        <v>0</v>
      </c>
      <c r="M4" s="110">
        <v>0</v>
      </c>
      <c r="N4" s="110">
        <v>0</v>
      </c>
      <c r="O4" s="110">
        <v>103.9</v>
      </c>
      <c r="P4" s="110">
        <v>0</v>
      </c>
      <c r="Q4" s="110" t="str">
        <v xml:space="preserve">PSPA </v>
      </c>
      <c r="R4" s="110">
        <v>1057000</v>
      </c>
      <c r="S4" s="110">
        <v>1130000</v>
      </c>
      <c r="T4" s="110">
        <v>1230000</v>
      </c>
      <c r="U4" s="110">
        <v>50000</v>
      </c>
      <c r="V4" s="110">
        <v>23000</v>
      </c>
      <c r="W4" s="110">
        <v>1157000</v>
      </c>
      <c r="X4" s="110">
        <v>6.94308943089431E-2</v>
      </c>
      <c r="Y4" s="110">
        <v>1144600</v>
      </c>
      <c r="Z4" s="110">
        <v>1071600</v>
      </c>
      <c r="AA4" s="110">
        <v>46057</v>
      </c>
      <c r="AB4" s="111" t="str">
        <v>Q1 2026</v>
      </c>
      <c r="AC4">
        <v>46057</v>
      </c>
      <c r="AD4">
        <v>0</v>
      </c>
      <c r="AE4" t="str">
        <v>Ana Damásio</v>
      </c>
      <c r="AF4" t="str">
        <v>Eduardo Lopes</v>
      </c>
      <c r="AG4" t="str">
        <v>TBD</v>
      </c>
      <c r="AH4" t="str">
        <v>The Uncommon is a front-row sea view masterpiece in Vilamoura, where vibrant energy meets serene coastal living. With an exclusive design and elevated services, in this touristic and residential project every moment feels uniquely exceptional.</v>
      </c>
      <c r="AI4" t="str">
        <v>Condo Pool, Outdoor Areas, Underground Parking, Reception, Concierge, Vista Membership</v>
      </c>
      <c r="AJ4" t="str">
        <v>Apartamentos com exploração turística profissional e possibilidade de uso pelos proprietários; Amenities de excelência; Vistas excepcionais e em primeira linha de mar; Rooftops com plunge pool privativos.</v>
      </c>
      <c r="AK4" t="str">
        <v>NLA</v>
      </c>
      <c r="AL4" t="str">
        <v>The Uncommon</v>
      </c>
    </row>
    <row r="5" spans="1:38" x14ac:dyDescent="0.3">
      <c r="A5" s="129" t="str">
        <v>THE UNCOMMON</v>
      </c>
      <c r="B5" s="129" t="str">
        <v>Vilamoura</v>
      </c>
      <c r="C5" s="110" t="str">
        <v>502</v>
      </c>
      <c r="D5" s="110" t="str">
        <v>Vilamoura, Algarve</v>
      </c>
      <c r="E5" s="110" t="str">
        <v>T2</v>
      </c>
      <c r="F5" s="110">
        <v>161</v>
      </c>
      <c r="G5" s="110">
        <v>0</v>
      </c>
      <c r="H5" s="110" t="str">
        <v>1</v>
      </c>
      <c r="I5" s="110" t="str">
        <v/>
      </c>
      <c r="J5" s="110">
        <v>57.1</v>
      </c>
      <c r="K5" s="110">
        <v>0</v>
      </c>
      <c r="L5" s="110">
        <v>0</v>
      </c>
      <c r="M5" s="110">
        <v>0</v>
      </c>
      <c r="N5" s="110">
        <v>0</v>
      </c>
      <c r="O5" s="110">
        <v>103.9</v>
      </c>
      <c r="P5" s="110">
        <v>0</v>
      </c>
      <c r="Q5" s="110" t="str">
        <v xml:space="preserve">PSPA </v>
      </c>
      <c r="R5" s="110">
        <v>1267000</v>
      </c>
      <c r="S5" s="110">
        <v>1340000</v>
      </c>
      <c r="T5" s="110">
        <v>1440000</v>
      </c>
      <c r="U5" s="110">
        <v>50000</v>
      </c>
      <c r="V5" s="110">
        <v>23000</v>
      </c>
      <c r="W5" s="110">
        <v>1367000</v>
      </c>
      <c r="X5" s="110">
        <v>0.202569444444444</v>
      </c>
      <c r="Y5" s="110">
        <v>1148300</v>
      </c>
      <c r="Z5" s="110">
        <v>1075300</v>
      </c>
      <c r="AA5" s="110">
        <v>46057</v>
      </c>
      <c r="AB5" s="111" t="str">
        <v>Q1 2026</v>
      </c>
      <c r="AC5">
        <v>46057</v>
      </c>
      <c r="AD5">
        <v>0</v>
      </c>
      <c r="AE5" t="str">
        <v>Ana Damásio</v>
      </c>
      <c r="AF5" t="str">
        <v>Eduardo Lopes</v>
      </c>
      <c r="AG5" t="str">
        <v>TBD</v>
      </c>
      <c r="AH5" t="str">
        <v>The Uncommon is a front-row sea view masterpiece in Vilamoura, where vibrant energy meets serene coastal living. With an exclusive design and elevated services, in this touristic and residential project every moment feels uniquely exceptional.</v>
      </c>
      <c r="AI5" t="str">
        <v>Condo Pool, Outdoor Areas, Underground Parking, Reception, Concierge, Vista Membership</v>
      </c>
      <c r="AJ5" t="str">
        <v>Apartamentos com exploração turística profissional e possibilidade de uso pelos proprietários; Amenities de excelência; Vistas excepcionais e em primeira linha de mar; Rooftops com plunge pool privativos.</v>
      </c>
      <c r="AK5" t="str">
        <v>NLA</v>
      </c>
      <c r="AL5" t="str">
        <v>The Uncommon</v>
      </c>
    </row>
    <row r="6" spans="1:38" x14ac:dyDescent="0.3">
      <c r="A6" s="129" t="str">
        <v>THE UNCOMMON</v>
      </c>
      <c r="B6" s="129" t="str">
        <v>Vilamoura</v>
      </c>
      <c r="C6" s="110" t="str">
        <v>1</v>
      </c>
      <c r="D6" s="110" t="str">
        <v>Vilamoura, Algarve</v>
      </c>
      <c r="E6" s="110" t="str">
        <v>T3</v>
      </c>
      <c r="F6" s="110">
        <v>213.2</v>
      </c>
      <c r="G6" s="110">
        <v>0</v>
      </c>
      <c r="H6" s="110" t="str">
        <v>1</v>
      </c>
      <c r="I6" s="110" t="str">
        <v/>
      </c>
      <c r="J6" s="110">
        <v>63.6</v>
      </c>
      <c r="K6" s="110">
        <v>0</v>
      </c>
      <c r="L6" s="110">
        <v>0</v>
      </c>
      <c r="M6" s="110">
        <v>0</v>
      </c>
      <c r="N6" s="110">
        <v>0</v>
      </c>
      <c r="O6" s="110">
        <v>149.6</v>
      </c>
      <c r="P6" s="110">
        <v>0</v>
      </c>
      <c r="Q6" s="110" t="str">
        <v>AVAILABLE</v>
      </c>
      <c r="R6" s="110">
        <v>1860000</v>
      </c>
      <c r="S6" s="110">
        <v>1940000</v>
      </c>
      <c r="T6" s="110">
        <v>2020000</v>
      </c>
      <c r="U6" s="110">
        <v>50000</v>
      </c>
      <c r="V6" s="110">
        <v>30000</v>
      </c>
      <c r="W6" s="110">
        <v>1940000</v>
      </c>
      <c r="X6" s="110">
        <v>0</v>
      </c>
      <c r="Y6" s="110">
        <v>2020000</v>
      </c>
      <c r="Z6" s="110">
        <v>1940000</v>
      </c>
      <c r="AA6" s="110">
        <v>46057</v>
      </c>
      <c r="AB6" s="111" t="str">
        <v>Q1 2026</v>
      </c>
      <c r="AC6">
        <v>0</v>
      </c>
      <c r="AD6">
        <v>0</v>
      </c>
      <c r="AE6" t="str">
        <v>Ana Damásio</v>
      </c>
      <c r="AF6" t="str">
        <v>Eduardo Lopes</v>
      </c>
      <c r="AG6" t="str">
        <v>TBD</v>
      </c>
      <c r="AH6" t="str">
        <v>The Uncommon is a front-row sea view masterpiece in Vilamoura, where vibrant energy meets serene coastal living. With an exclusive design and elevated services, in this touristic and residential project every moment feels uniquely exceptional.</v>
      </c>
      <c r="AI6" t="str">
        <v>Condo Pool, Outdoor Areas, Underground Parking, Reception, Concierge, Vista Membership</v>
      </c>
      <c r="AJ6" t="str">
        <v>Apartamentos com exploração turística profissional e possibilidade de uso pelos proprietários; Amenities de excelência; Vistas excepcionais e em primeira linha de mar; Rooftops com plunge pool privativos.</v>
      </c>
      <c r="AK6" t="str">
        <v>NLA</v>
      </c>
      <c r="AL6" t="str">
        <v>The Uncommon</v>
      </c>
    </row>
    <row r="7" spans="1:38" x14ac:dyDescent="0.3">
      <c r="A7" s="129" t="str">
        <v>THE UNCOMMON</v>
      </c>
      <c r="B7" s="129" t="str">
        <v>Vilamoura</v>
      </c>
      <c r="C7" s="110" t="str">
        <v>10</v>
      </c>
      <c r="D7" s="110" t="str">
        <v>Vilamoura, Algarve</v>
      </c>
      <c r="E7" s="110" t="str">
        <v>T3</v>
      </c>
      <c r="F7" s="110">
        <v>222.7</v>
      </c>
      <c r="G7" s="110">
        <v>0</v>
      </c>
      <c r="H7" s="110" t="str">
        <v>1</v>
      </c>
      <c r="I7" s="110" t="str">
        <v/>
      </c>
      <c r="J7" s="110">
        <v>82.9</v>
      </c>
      <c r="K7" s="110">
        <v>0</v>
      </c>
      <c r="L7" s="110">
        <v>0</v>
      </c>
      <c r="M7" s="110">
        <v>0</v>
      </c>
      <c r="N7" s="110">
        <v>0</v>
      </c>
      <c r="O7" s="110">
        <v>139.80000000000001</v>
      </c>
      <c r="P7" s="110">
        <v>0</v>
      </c>
      <c r="Q7" s="110" t="str">
        <v>AVAILABLE</v>
      </c>
      <c r="R7" s="110">
        <v>2250000</v>
      </c>
      <c r="S7" s="110">
        <v>2330000</v>
      </c>
      <c r="T7" s="110">
        <v>2410000</v>
      </c>
      <c r="U7" s="110">
        <v>50000</v>
      </c>
      <c r="V7" s="110">
        <v>30000</v>
      </c>
      <c r="W7" s="110">
        <v>2330000</v>
      </c>
      <c r="X7" s="110">
        <v>0</v>
      </c>
      <c r="Y7" s="110">
        <v>2410000</v>
      </c>
      <c r="Z7" s="110">
        <v>2330000</v>
      </c>
      <c r="AA7" s="110">
        <v>46057</v>
      </c>
      <c r="AB7" s="111" t="str">
        <v>Q1 2026</v>
      </c>
      <c r="AC7">
        <v>0</v>
      </c>
      <c r="AD7">
        <v>0</v>
      </c>
      <c r="AE7" t="str">
        <v>Ana Damásio</v>
      </c>
      <c r="AF7" t="str">
        <v>Eduardo Lopes</v>
      </c>
      <c r="AG7" t="str">
        <v>TBD</v>
      </c>
      <c r="AH7" t="str">
        <v>The Uncommon is a front-row sea view masterpiece in Vilamoura, where vibrant energy meets serene coastal living. With an exclusive design and elevated services, in this touristic and residential project every moment feels uniquely exceptional.</v>
      </c>
      <c r="AI7" t="str">
        <v>Condo Pool, Outdoor Areas, Underground Parking, Reception, Concierge, Vista Membership</v>
      </c>
      <c r="AJ7" t="str">
        <v>Apartamentos com exploração turística profissional e possibilidade de uso pelos proprietários; Amenities de excelência; Vistas excepcionais e em primeira linha de mar; Rooftops com plunge pool privativos.</v>
      </c>
      <c r="AK7" t="str">
        <v>NLA</v>
      </c>
      <c r="AL7" t="str">
        <v>The Uncommon</v>
      </c>
    </row>
    <row r="8" spans="1:38" x14ac:dyDescent="0.3">
      <c r="A8" s="129" t="str">
        <v>THE UNCOMMON</v>
      </c>
      <c r="B8" s="129" t="str">
        <v>Vilamoura</v>
      </c>
      <c r="C8" s="110" t="str">
        <v>101</v>
      </c>
      <c r="D8" s="110" t="str">
        <v>Vilamoura, Algarve</v>
      </c>
      <c r="E8" s="110" t="str">
        <v>T3</v>
      </c>
      <c r="F8" s="110">
        <v>183.9</v>
      </c>
      <c r="G8" s="110">
        <v>0</v>
      </c>
      <c r="H8" s="110" t="str">
        <v>1</v>
      </c>
      <c r="I8" s="110" t="str">
        <v/>
      </c>
      <c r="J8" s="110">
        <v>34.299999999999997</v>
      </c>
      <c r="K8" s="110">
        <v>0</v>
      </c>
      <c r="L8" s="110">
        <v>0</v>
      </c>
      <c r="M8" s="110">
        <v>0</v>
      </c>
      <c r="N8" s="110">
        <v>0</v>
      </c>
      <c r="O8" s="110">
        <v>149.6</v>
      </c>
      <c r="P8" s="110">
        <v>0</v>
      </c>
      <c r="Q8" s="110" t="str">
        <v>AVAILABLE</v>
      </c>
      <c r="R8" s="110">
        <v>1910000</v>
      </c>
      <c r="S8" s="110">
        <v>1990000</v>
      </c>
      <c r="T8" s="110">
        <v>2070000</v>
      </c>
      <c r="U8" s="110">
        <v>50000</v>
      </c>
      <c r="V8" s="110">
        <v>30000</v>
      </c>
      <c r="W8" s="110">
        <v>1990000</v>
      </c>
      <c r="X8" s="110">
        <v>0</v>
      </c>
      <c r="Y8" s="110">
        <v>2070000</v>
      </c>
      <c r="Z8" s="110">
        <v>1990000</v>
      </c>
      <c r="AA8" s="110">
        <v>46057</v>
      </c>
      <c r="AB8" s="111" t="str">
        <v>Q1 2026</v>
      </c>
      <c r="AC8">
        <v>0</v>
      </c>
      <c r="AD8">
        <v>0</v>
      </c>
      <c r="AE8" t="str">
        <v>Ana Damásio</v>
      </c>
      <c r="AF8" t="str">
        <v>Eduardo Lopes</v>
      </c>
      <c r="AG8" t="str">
        <v>TBD</v>
      </c>
      <c r="AH8" t="str">
        <v>The Uncommon is a front-row sea view masterpiece in Vilamoura, where vibrant energy meets serene coastal living. With an exclusive design and elevated services, in this touristic and residential project every moment feels uniquely exceptional.</v>
      </c>
      <c r="AI8" t="str">
        <v>Condo Pool, Outdoor Areas, Underground Parking, Reception, Concierge, Vista Membership</v>
      </c>
      <c r="AJ8" t="str">
        <v>Apartamentos com exploração turística profissional e possibilidade de uso pelos proprietários; Amenities de excelência; Vistas excepcionais e em primeira linha de mar; Rooftops com plunge pool privativos.</v>
      </c>
      <c r="AK8" t="str">
        <v>NLA</v>
      </c>
      <c r="AL8" t="str">
        <v>The Uncommon</v>
      </c>
    </row>
    <row r="9" spans="1:38" x14ac:dyDescent="0.3">
      <c r="A9" s="129" t="str">
        <v>THE UNCOMMON</v>
      </c>
      <c r="B9" s="129" t="str">
        <v>Vilamoura</v>
      </c>
      <c r="C9" s="110" t="str">
        <v>102</v>
      </c>
      <c r="D9" s="110" t="str">
        <v>Vilamoura, Algarve</v>
      </c>
      <c r="E9" s="110" t="str">
        <v>T2</v>
      </c>
      <c r="F9" s="110">
        <v>129.4</v>
      </c>
      <c r="G9" s="110">
        <v>0</v>
      </c>
      <c r="H9" s="110" t="str">
        <v>1</v>
      </c>
      <c r="I9" s="110" t="str">
        <v/>
      </c>
      <c r="J9" s="110">
        <v>25.5</v>
      </c>
      <c r="K9" s="110">
        <v>0</v>
      </c>
      <c r="L9" s="110">
        <v>0</v>
      </c>
      <c r="M9" s="110">
        <v>0</v>
      </c>
      <c r="N9" s="110">
        <v>0</v>
      </c>
      <c r="O9" s="110">
        <v>103.9</v>
      </c>
      <c r="P9" s="110">
        <v>0</v>
      </c>
      <c r="Q9" s="110" t="str">
        <v>AVAILABLE</v>
      </c>
      <c r="R9" s="110">
        <v>1007000</v>
      </c>
      <c r="S9" s="110">
        <v>1080000</v>
      </c>
      <c r="T9" s="110">
        <v>1150000</v>
      </c>
      <c r="U9" s="110">
        <v>50000</v>
      </c>
      <c r="V9" s="110">
        <v>23000</v>
      </c>
      <c r="W9" s="110">
        <v>1077000</v>
      </c>
      <c r="X9" s="110">
        <v>0</v>
      </c>
      <c r="Y9" s="110">
        <v>1150000</v>
      </c>
      <c r="Z9" s="110">
        <v>1077000</v>
      </c>
      <c r="AA9" s="110">
        <v>46057</v>
      </c>
      <c r="AB9" s="111" t="str">
        <v>Q1 2026</v>
      </c>
      <c r="AC9">
        <v>0</v>
      </c>
      <c r="AD9">
        <v>0</v>
      </c>
      <c r="AE9" t="str">
        <v>Ana Damásio</v>
      </c>
      <c r="AF9" t="str">
        <v>Eduardo Lopes</v>
      </c>
      <c r="AG9" t="str">
        <v>TBD</v>
      </c>
      <c r="AH9" t="str">
        <v>The Uncommon is a front-row sea view masterpiece in Vilamoura, where vibrant energy meets serene coastal living. With an exclusive design and elevated services, in this touristic and residential project every moment feels uniquely exceptional.</v>
      </c>
      <c r="AI9" t="str">
        <v>Condo Pool, Outdoor Areas, Underground Parking, Reception, Concierge, Vista Membership</v>
      </c>
      <c r="AJ9" t="str">
        <v>Apartamentos com exploração turística profissional e possibilidade de uso pelos proprietários; Amenities de excelência; Vistas excepcionais e em primeira linha de mar; Rooftops com plunge pool privativos.</v>
      </c>
      <c r="AK9" t="str">
        <v>NLA</v>
      </c>
      <c r="AL9" t="str">
        <v>The Uncommon</v>
      </c>
    </row>
    <row r="10" spans="1:38" x14ac:dyDescent="0.3">
      <c r="A10" s="110" t="str">
        <v>THE UNCOMMON</v>
      </c>
      <c r="B10" s="110" t="str">
        <v>Vilamoura</v>
      </c>
      <c r="C10" s="110" t="str">
        <v>103</v>
      </c>
      <c r="D10" s="110" t="str">
        <v>Vilamoura, Algarve</v>
      </c>
      <c r="E10" s="110" t="str">
        <v>T2</v>
      </c>
      <c r="F10" s="110">
        <v>129.4</v>
      </c>
      <c r="G10" s="110">
        <v>0</v>
      </c>
      <c r="H10" s="110" t="str">
        <v>1</v>
      </c>
      <c r="I10" s="110" t="str">
        <v/>
      </c>
      <c r="J10" s="110">
        <v>25.5</v>
      </c>
      <c r="K10" s="110">
        <v>0</v>
      </c>
      <c r="L10" s="110">
        <v>0</v>
      </c>
      <c r="M10" s="110">
        <v>0</v>
      </c>
      <c r="N10" s="110">
        <v>0</v>
      </c>
      <c r="O10" s="110">
        <v>103.9</v>
      </c>
      <c r="P10" s="110">
        <v>0</v>
      </c>
      <c r="Q10" s="110" t="str">
        <v>AVAILABLE</v>
      </c>
      <c r="R10" s="110">
        <v>927000</v>
      </c>
      <c r="S10" s="110">
        <v>1000000</v>
      </c>
      <c r="T10" s="110">
        <v>1060000</v>
      </c>
      <c r="U10" s="110">
        <v>50000</v>
      </c>
      <c r="V10" s="110">
        <v>23000</v>
      </c>
      <c r="W10" s="110">
        <v>987000</v>
      </c>
      <c r="X10" s="110">
        <v>0</v>
      </c>
      <c r="Y10" s="110">
        <v>1060000</v>
      </c>
      <c r="Z10" s="110">
        <v>987000</v>
      </c>
      <c r="AA10" s="110">
        <v>46057</v>
      </c>
      <c r="AB10" s="111" t="str">
        <v>Q1 2026</v>
      </c>
      <c r="AC10">
        <v>0</v>
      </c>
      <c r="AD10">
        <v>0</v>
      </c>
      <c r="AE10" t="str">
        <v>Ana Damásio</v>
      </c>
      <c r="AF10" t="str">
        <v>Eduardo Lopes</v>
      </c>
      <c r="AG10" t="str">
        <v>TBD</v>
      </c>
      <c r="AH10" t="str">
        <v>The Uncommon is a front-row sea view masterpiece in Vilamoura, where vibrant energy meets serene coastal living. With an exclusive design and elevated services, in this touristic and residential project every moment feels uniquely exceptional.</v>
      </c>
      <c r="AI10" t="str">
        <v>Condo Pool, Outdoor Areas, Underground Parking, Reception, Concierge, Vista Membership</v>
      </c>
      <c r="AJ10" t="str">
        <v>Apartamentos com exploração turística profissional e possibilidade de uso pelos proprietários; Amenities de excelência; Vistas excepcionais e em primeira linha de mar; Rooftops com plunge pool privativos.</v>
      </c>
      <c r="AK10" t="str">
        <v>NLA</v>
      </c>
      <c r="AL10" t="str">
        <v>The Uncommon</v>
      </c>
    </row>
    <row r="11" spans="1:38" x14ac:dyDescent="0.3">
      <c r="A11" s="110" t="str">
        <v>THE UNCOMMON</v>
      </c>
      <c r="B11" s="110" t="str">
        <v>Vilamoura</v>
      </c>
      <c r="C11" s="110" t="str">
        <v>104</v>
      </c>
      <c r="D11" s="110" t="str">
        <v>Vilamoura, Algarve</v>
      </c>
      <c r="E11" s="110" t="str">
        <v>T2</v>
      </c>
      <c r="F11" s="110">
        <v>130</v>
      </c>
      <c r="G11" s="110">
        <v>0</v>
      </c>
      <c r="H11" s="110" t="str">
        <v>1</v>
      </c>
      <c r="I11" s="110" t="str">
        <v/>
      </c>
      <c r="J11" s="110">
        <v>25.4</v>
      </c>
      <c r="K11" s="110">
        <v>0</v>
      </c>
      <c r="L11" s="110">
        <v>0</v>
      </c>
      <c r="M11" s="110">
        <v>0</v>
      </c>
      <c r="N11" s="110">
        <v>0</v>
      </c>
      <c r="O11" s="110">
        <v>104.6</v>
      </c>
      <c r="P11" s="110">
        <v>0</v>
      </c>
      <c r="Q11" s="110" t="str">
        <v>AVAILABLE</v>
      </c>
      <c r="R11" s="110">
        <v>847000</v>
      </c>
      <c r="S11" s="110">
        <v>920000</v>
      </c>
      <c r="T11" s="110">
        <v>980000</v>
      </c>
      <c r="U11" s="110">
        <v>50000</v>
      </c>
      <c r="V11" s="110">
        <v>23000</v>
      </c>
      <c r="W11" s="110">
        <v>907000</v>
      </c>
      <c r="X11" s="110">
        <v>0</v>
      </c>
      <c r="Y11" s="110">
        <v>980000</v>
      </c>
      <c r="Z11" s="110">
        <v>907000</v>
      </c>
      <c r="AA11" s="110">
        <v>46057</v>
      </c>
      <c r="AB11" s="111" t="str">
        <v>Q1 2026</v>
      </c>
      <c r="AC11">
        <v>0</v>
      </c>
      <c r="AD11">
        <v>0</v>
      </c>
      <c r="AE11" t="str">
        <v>Ana Damásio</v>
      </c>
      <c r="AF11" t="str">
        <v>Eduardo Lopes</v>
      </c>
      <c r="AG11" t="str">
        <v>TBD</v>
      </c>
      <c r="AH11" t="str">
        <v>The Uncommon is a front-row sea view masterpiece in Vilamoura, where vibrant energy meets serene coastal living. With an exclusive design and elevated services, in this touristic and residential project every moment feels uniquely exceptional.</v>
      </c>
      <c r="AI11" t="str">
        <v>Condo Pool, Outdoor Areas, Underground Parking, Reception, Concierge, Vista Membership</v>
      </c>
      <c r="AJ11" t="str">
        <v>Apartamentos com exploração turística profissional e possibilidade de uso pelos proprietários; Amenities de excelência; Vistas excepcionais e em primeira linha de mar; Rooftops com plunge pool privativos.</v>
      </c>
      <c r="AK11" t="str">
        <v>NLA</v>
      </c>
      <c r="AL11" t="str">
        <v>The Uncommon</v>
      </c>
    </row>
    <row r="12" spans="1:38" x14ac:dyDescent="0.3">
      <c r="A12" s="110" t="str">
        <v>THE UNCOMMON</v>
      </c>
      <c r="B12" s="110" t="str">
        <v>Vilamoura</v>
      </c>
      <c r="C12" s="110" t="str">
        <v>105</v>
      </c>
      <c r="D12" s="110" t="str">
        <v>Vilamoura, Algarve</v>
      </c>
      <c r="E12" s="110" t="str">
        <v>T2</v>
      </c>
      <c r="F12" s="110">
        <v>130.1</v>
      </c>
      <c r="G12" s="110">
        <v>0</v>
      </c>
      <c r="H12" s="110" t="str">
        <v>1</v>
      </c>
      <c r="I12" s="110" t="str">
        <v/>
      </c>
      <c r="J12" s="110">
        <v>25.5</v>
      </c>
      <c r="K12" s="110">
        <v>0</v>
      </c>
      <c r="L12" s="110">
        <v>0</v>
      </c>
      <c r="M12" s="110">
        <v>0</v>
      </c>
      <c r="N12" s="110">
        <v>0</v>
      </c>
      <c r="O12" s="110">
        <v>104.6</v>
      </c>
      <c r="P12" s="110">
        <v>0</v>
      </c>
      <c r="Q12" s="110" t="str">
        <v>AVAILABLE</v>
      </c>
      <c r="R12" s="110">
        <v>927000</v>
      </c>
      <c r="S12" s="110">
        <v>1000000</v>
      </c>
      <c r="T12" s="110">
        <v>1060000</v>
      </c>
      <c r="U12" s="110">
        <v>50000</v>
      </c>
      <c r="V12" s="110">
        <v>23000</v>
      </c>
      <c r="W12" s="110">
        <v>987000</v>
      </c>
      <c r="X12" s="110">
        <v>0</v>
      </c>
      <c r="Y12" s="110">
        <v>1060000</v>
      </c>
      <c r="Z12" s="110">
        <v>987000</v>
      </c>
      <c r="AA12" s="110">
        <v>46057</v>
      </c>
      <c r="AB12" s="111" t="str">
        <v>Q1 2026</v>
      </c>
      <c r="AC12">
        <v>0</v>
      </c>
      <c r="AD12">
        <v>0</v>
      </c>
      <c r="AE12" t="str">
        <v>Ana Damásio</v>
      </c>
      <c r="AF12" t="str">
        <v>Eduardo Lopes</v>
      </c>
      <c r="AG12" t="str">
        <v>TBD</v>
      </c>
      <c r="AH12" t="str">
        <v>The Uncommon is a front-row sea view masterpiece in Vilamoura, where vibrant energy meets serene coastal living. With an exclusive design and elevated services, in this touristic and residential project every moment feels uniquely exceptional.</v>
      </c>
      <c r="AI12" t="str">
        <v>Condo Pool, Outdoor Areas, Underground Parking, Reception, Concierge, Vista Membership</v>
      </c>
      <c r="AJ12" t="str">
        <v>Apartamentos com exploração turística profissional e possibilidade de uso pelos proprietários; Amenities de excelência; Vistas excepcionais e em primeira linha de mar; Rooftops com plunge pool privativos.</v>
      </c>
      <c r="AK12" t="str">
        <v>NLA</v>
      </c>
      <c r="AL12" t="str">
        <v>The Uncommon</v>
      </c>
    </row>
    <row r="13" spans="1:38" x14ac:dyDescent="0.3">
      <c r="A13" s="110" t="str">
        <v>THE UNCOMMON</v>
      </c>
      <c r="B13" s="110" t="str">
        <v>Vilamoura</v>
      </c>
      <c r="C13" s="110" t="str">
        <v>106</v>
      </c>
      <c r="D13" s="110" t="str">
        <v>Vilamoura, Algarve</v>
      </c>
      <c r="E13" s="110" t="str">
        <v>T2</v>
      </c>
      <c r="F13" s="110">
        <v>129.4</v>
      </c>
      <c r="G13" s="110">
        <v>0</v>
      </c>
      <c r="H13" s="110" t="str">
        <v>1</v>
      </c>
      <c r="I13" s="110" t="str">
        <v/>
      </c>
      <c r="J13" s="110">
        <v>25.5</v>
      </c>
      <c r="K13" s="110">
        <v>0</v>
      </c>
      <c r="L13" s="110">
        <v>0</v>
      </c>
      <c r="M13" s="110">
        <v>0</v>
      </c>
      <c r="N13" s="110">
        <v>0</v>
      </c>
      <c r="O13" s="110">
        <v>103.9</v>
      </c>
      <c r="P13" s="110">
        <v>0</v>
      </c>
      <c r="Q13" s="110" t="str">
        <v>AVAILABLE</v>
      </c>
      <c r="R13" s="110">
        <v>1007000</v>
      </c>
      <c r="S13" s="110">
        <v>1080000</v>
      </c>
      <c r="T13" s="110">
        <v>1150000</v>
      </c>
      <c r="U13" s="110">
        <v>50000</v>
      </c>
      <c r="V13" s="110">
        <v>23000</v>
      </c>
      <c r="W13" s="110">
        <v>1077000</v>
      </c>
      <c r="X13" s="110">
        <v>0</v>
      </c>
      <c r="Y13" s="110">
        <v>1150000</v>
      </c>
      <c r="Z13" s="110">
        <v>1077000</v>
      </c>
      <c r="AA13" s="110">
        <v>46057</v>
      </c>
      <c r="AB13" s="111" t="str">
        <v>Q1 2026</v>
      </c>
      <c r="AC13">
        <v>0</v>
      </c>
      <c r="AD13">
        <v>0</v>
      </c>
      <c r="AE13" t="str">
        <v>Ana Damásio</v>
      </c>
      <c r="AF13" t="str">
        <v>Eduardo Lopes</v>
      </c>
      <c r="AG13" t="str">
        <v>TBD</v>
      </c>
      <c r="AH13" t="str">
        <v>The Uncommon is a front-row sea view masterpiece in Vilamoura, where vibrant energy meets serene coastal living. With an exclusive design and elevated services, in this touristic and residential project every moment feels uniquely exceptional.</v>
      </c>
      <c r="AI13" t="str">
        <v>Condo Pool, Outdoor Areas, Underground Parking, Reception, Concierge, Vista Membership</v>
      </c>
      <c r="AJ13" t="str">
        <v>Apartamentos com exploração turística profissional e possibilidade de uso pelos proprietários; Amenities de excelência; Vistas excepcionais e em primeira linha de mar; Rooftops com plunge pool privativos.</v>
      </c>
      <c r="AK13" t="str">
        <v>NLA</v>
      </c>
      <c r="AL13" t="str">
        <v>The Uncommon</v>
      </c>
    </row>
    <row r="14" spans="1:38" x14ac:dyDescent="0.3">
      <c r="A14" s="110" t="str">
        <v>THE UNCOMMON</v>
      </c>
      <c r="B14" s="110" t="str">
        <v>Vilamoura</v>
      </c>
      <c r="C14" s="110" t="str">
        <v>107</v>
      </c>
      <c r="D14" s="110" t="str">
        <v>Vilamoura, Algarve</v>
      </c>
      <c r="E14" s="110" t="str">
        <v>T2</v>
      </c>
      <c r="F14" s="110">
        <v>129.4</v>
      </c>
      <c r="G14" s="110">
        <v>0</v>
      </c>
      <c r="H14" s="110" t="str">
        <v>1</v>
      </c>
      <c r="I14" s="110" t="str">
        <v/>
      </c>
      <c r="J14" s="110">
        <v>25.5</v>
      </c>
      <c r="K14" s="110">
        <v>0</v>
      </c>
      <c r="L14" s="110">
        <v>0</v>
      </c>
      <c r="M14" s="110">
        <v>0</v>
      </c>
      <c r="N14" s="110">
        <v>0</v>
      </c>
      <c r="O14" s="110">
        <v>103.9</v>
      </c>
      <c r="P14" s="110">
        <v>0</v>
      </c>
      <c r="Q14" s="110" t="str">
        <v>AVAILABLE</v>
      </c>
      <c r="R14" s="110">
        <v>1087000</v>
      </c>
      <c r="S14" s="110">
        <v>1160000</v>
      </c>
      <c r="T14" s="110">
        <v>1230000</v>
      </c>
      <c r="U14" s="110">
        <v>50000</v>
      </c>
      <c r="V14" s="110">
        <v>23000</v>
      </c>
      <c r="W14" s="110">
        <v>1157000</v>
      </c>
      <c r="X14" s="110">
        <v>0</v>
      </c>
      <c r="Y14" s="110">
        <v>1230000</v>
      </c>
      <c r="Z14" s="110">
        <v>1157000</v>
      </c>
      <c r="AA14" s="110">
        <v>46057</v>
      </c>
      <c r="AB14" s="111" t="str">
        <v>Q1 2026</v>
      </c>
      <c r="AC14">
        <v>0</v>
      </c>
      <c r="AD14">
        <v>0</v>
      </c>
      <c r="AE14" t="str">
        <v>Ana Damásio</v>
      </c>
      <c r="AF14" t="str">
        <v>Eduardo Lopes</v>
      </c>
      <c r="AG14" t="str">
        <v>TBD</v>
      </c>
      <c r="AH14" t="str">
        <v>The Uncommon is a front-row sea view masterpiece in Vilamoura, where vibrant energy meets serene coastal living. With an exclusive design and elevated services, in this touristic and residential project every moment feels uniquely exceptional.</v>
      </c>
      <c r="AI14" t="str">
        <v>Condo Pool, Outdoor Areas, Underground Parking, Reception, Concierge, Vista Membership</v>
      </c>
      <c r="AJ14" t="str">
        <v>Apartamentos com exploração turística profissional e possibilidade de uso pelos proprietários; Amenities de excelência; Vistas excepcionais e em primeira linha de mar; Rooftops com plunge pool privativos.</v>
      </c>
      <c r="AK14" t="str">
        <v>NLA</v>
      </c>
      <c r="AL14" t="str">
        <v>The Uncommon</v>
      </c>
    </row>
    <row r="15" spans="1:38" x14ac:dyDescent="0.3">
      <c r="A15" s="110" t="str">
        <v>THE UNCOMMON</v>
      </c>
      <c r="B15" s="110" t="str">
        <v>Vilamoura</v>
      </c>
      <c r="C15" s="110" t="str">
        <v>108</v>
      </c>
      <c r="D15" s="110" t="str">
        <v>Vilamoura, Algarve</v>
      </c>
      <c r="E15" s="110" t="str">
        <v>T2</v>
      </c>
      <c r="F15" s="110">
        <v>129.4</v>
      </c>
      <c r="G15" s="110">
        <v>0</v>
      </c>
      <c r="H15" s="110" t="str">
        <v>1</v>
      </c>
      <c r="I15" s="110" t="str">
        <v/>
      </c>
      <c r="J15" s="110">
        <v>25.5</v>
      </c>
      <c r="K15" s="110">
        <v>0</v>
      </c>
      <c r="L15" s="110">
        <v>0</v>
      </c>
      <c r="M15" s="110">
        <v>0</v>
      </c>
      <c r="N15" s="110">
        <v>0</v>
      </c>
      <c r="O15" s="110">
        <v>103.9</v>
      </c>
      <c r="P15" s="110">
        <v>0</v>
      </c>
      <c r="Q15" s="110" t="str">
        <v>AVAILABLE</v>
      </c>
      <c r="R15" s="110">
        <v>1147000</v>
      </c>
      <c r="S15" s="110">
        <v>1220000</v>
      </c>
      <c r="T15" s="110">
        <v>1290000</v>
      </c>
      <c r="U15" s="110">
        <v>50000</v>
      </c>
      <c r="V15" s="110">
        <v>23000</v>
      </c>
      <c r="W15" s="110">
        <v>1217000</v>
      </c>
      <c r="X15" s="110">
        <v>0</v>
      </c>
      <c r="Y15" s="110">
        <v>1290000</v>
      </c>
      <c r="Z15" s="110">
        <v>1217000</v>
      </c>
      <c r="AA15" s="110">
        <v>46057</v>
      </c>
      <c r="AB15" s="111" t="str">
        <v>Q1 2026</v>
      </c>
      <c r="AC15">
        <v>0</v>
      </c>
      <c r="AD15">
        <v>0</v>
      </c>
      <c r="AE15" t="str">
        <v>Ana Damásio</v>
      </c>
      <c r="AF15" t="str">
        <v>Eduardo Lopes</v>
      </c>
      <c r="AG15" t="str">
        <v>TBD</v>
      </c>
      <c r="AH15" t="str">
        <v>The Uncommon is a front-row sea view masterpiece in Vilamoura, where vibrant energy meets serene coastal living. With an exclusive design and elevated services, in this touristic and residential project every moment feels uniquely exceptional.</v>
      </c>
      <c r="AI15" t="str">
        <v>Condo Pool, Outdoor Areas, Underground Parking, Reception, Concierge, Vista Membership</v>
      </c>
      <c r="AJ15" t="str">
        <v>Apartamentos com exploração turística profissional e possibilidade de uso pelos proprietários; Amenities de excelência; Vistas excepcionais e em primeira linha de mar; Rooftops com plunge pool privativos.</v>
      </c>
      <c r="AK15" t="str">
        <v>NLA</v>
      </c>
      <c r="AL15" t="str">
        <v>The Uncommon</v>
      </c>
    </row>
    <row r="16" spans="1:38" x14ac:dyDescent="0.3">
      <c r="A16" s="110" t="str">
        <v>THE UNCOMMON</v>
      </c>
      <c r="B16" s="110" t="str">
        <v>Vilamoura</v>
      </c>
      <c r="C16" s="110" t="str">
        <v>109</v>
      </c>
      <c r="D16" s="110" t="str">
        <v>Vilamoura, Algarve</v>
      </c>
      <c r="E16" s="110" t="str">
        <v>T2</v>
      </c>
      <c r="F16" s="110">
        <v>129.4</v>
      </c>
      <c r="G16" s="110">
        <v>0</v>
      </c>
      <c r="H16" s="110" t="str">
        <v>1</v>
      </c>
      <c r="I16" s="110" t="str">
        <v/>
      </c>
      <c r="J16" s="110">
        <v>25.5</v>
      </c>
      <c r="K16" s="110">
        <v>0</v>
      </c>
      <c r="L16" s="110">
        <v>0</v>
      </c>
      <c r="M16" s="110">
        <v>0</v>
      </c>
      <c r="N16" s="110">
        <v>0</v>
      </c>
      <c r="O16" s="110">
        <v>103.9</v>
      </c>
      <c r="P16" s="110">
        <v>0</v>
      </c>
      <c r="Q16" s="110" t="str">
        <v>AVAILABLE</v>
      </c>
      <c r="R16" s="110">
        <v>1207000</v>
      </c>
      <c r="S16" s="110">
        <v>1280000</v>
      </c>
      <c r="T16" s="110">
        <v>1350000</v>
      </c>
      <c r="U16" s="110">
        <v>50000</v>
      </c>
      <c r="V16" s="110">
        <v>23000</v>
      </c>
      <c r="W16" s="110">
        <v>1277000</v>
      </c>
      <c r="X16" s="110">
        <v>0</v>
      </c>
      <c r="Y16" s="110">
        <v>1350000</v>
      </c>
      <c r="Z16" s="110">
        <v>1277000</v>
      </c>
      <c r="AA16" s="110">
        <v>46057</v>
      </c>
      <c r="AB16" s="111" t="str">
        <v>Q1 2026</v>
      </c>
      <c r="AC16">
        <v>0</v>
      </c>
      <c r="AD16">
        <v>0</v>
      </c>
      <c r="AE16" t="str">
        <v>Ana Damásio</v>
      </c>
      <c r="AF16" t="str">
        <v>Eduardo Lopes</v>
      </c>
      <c r="AG16" t="str">
        <v>TBD</v>
      </c>
      <c r="AH16" t="str">
        <v>The Uncommon is a front-row sea view masterpiece in Vilamoura, where vibrant energy meets serene coastal living. With an exclusive design and elevated services, in this touristic and residential project every moment feels uniquely exceptional.</v>
      </c>
      <c r="AI16" t="str">
        <v>Condo Pool, Outdoor Areas, Underground Parking, Reception, Concierge, Vista Membership</v>
      </c>
      <c r="AJ16" t="str">
        <v>Apartamentos com exploração turística profissional e possibilidade de uso pelos proprietários; Amenities de excelência; Vistas excepcionais e em primeira linha de mar; Rooftops com plunge pool privativos.</v>
      </c>
      <c r="AK16" t="str">
        <v>NLA</v>
      </c>
      <c r="AL16" t="str">
        <v>The Uncommon</v>
      </c>
    </row>
    <row r="17" spans="1:38" x14ac:dyDescent="0.3">
      <c r="A17" s="110" t="str">
        <v>THE UNCOMMON</v>
      </c>
      <c r="B17" s="110" t="str">
        <v>Vilamoura</v>
      </c>
      <c r="C17" s="110" t="str">
        <v>11</v>
      </c>
      <c r="D17" s="110" t="str">
        <v>Vilamoura, Algarve</v>
      </c>
      <c r="E17" s="110" t="str">
        <v>T1</v>
      </c>
      <c r="F17" s="110">
        <v>105.3</v>
      </c>
      <c r="G17" s="110">
        <v>0</v>
      </c>
      <c r="H17" s="110" t="str">
        <v>1</v>
      </c>
      <c r="I17" s="110" t="str">
        <v/>
      </c>
      <c r="J17" s="110">
        <v>42.4</v>
      </c>
      <c r="K17" s="110">
        <v>0</v>
      </c>
      <c r="L17" s="110">
        <v>0</v>
      </c>
      <c r="M17" s="110">
        <v>0</v>
      </c>
      <c r="N17" s="110">
        <v>0</v>
      </c>
      <c r="O17" s="110">
        <v>62.9</v>
      </c>
      <c r="P17" s="110">
        <v>0</v>
      </c>
      <c r="Q17" s="110" t="str">
        <v>AVAILABLE</v>
      </c>
      <c r="R17" s="110">
        <v>585000</v>
      </c>
      <c r="S17" s="110">
        <v>650000</v>
      </c>
      <c r="T17" s="110">
        <v>710000</v>
      </c>
      <c r="U17" s="110">
        <v>50000</v>
      </c>
      <c r="V17" s="110">
        <v>15000</v>
      </c>
      <c r="W17" s="110">
        <v>645000</v>
      </c>
      <c r="X17" s="110">
        <v>0</v>
      </c>
      <c r="Y17" s="110">
        <v>710000</v>
      </c>
      <c r="Z17" s="110">
        <v>645000</v>
      </c>
      <c r="AA17" s="110">
        <v>46057</v>
      </c>
      <c r="AB17" s="111" t="str">
        <v>Q1 2026</v>
      </c>
      <c r="AC17">
        <v>0</v>
      </c>
      <c r="AD17">
        <v>0</v>
      </c>
      <c r="AE17" t="str">
        <v>Ana Damásio</v>
      </c>
      <c r="AF17" t="str">
        <v>Eduardo Lopes</v>
      </c>
      <c r="AG17" t="str">
        <v>TBD</v>
      </c>
      <c r="AH17" t="str">
        <v>The Uncommon is a front-row sea view masterpiece in Vilamoura, where vibrant energy meets serene coastal living. With an exclusive design and elevated services, in this touristic and residential project every moment feels uniquely exceptional.</v>
      </c>
      <c r="AI17" t="str">
        <v>Condo Pool, Outdoor Areas, Underground Parking, Reception, Concierge, Vista Membership</v>
      </c>
      <c r="AJ17" t="str">
        <v>Apartamentos com exploração turística profissional e possibilidade de uso pelos proprietários; Amenities de excelência; Vistas excepcionais e em primeira linha de mar; Rooftops com plunge pool privativos.</v>
      </c>
      <c r="AK17" t="str">
        <v>NLA</v>
      </c>
      <c r="AL17" t="str">
        <v>The Uncommon</v>
      </c>
    </row>
    <row r="18" spans="1:38" x14ac:dyDescent="0.3">
      <c r="A18" s="110" t="str">
        <v>THE UNCOMMON</v>
      </c>
      <c r="B18" s="110" t="str">
        <v>Vilamoura</v>
      </c>
      <c r="C18" s="110" t="str">
        <v>110</v>
      </c>
      <c r="D18" s="110" t="str">
        <v>Vilamoura, Algarve</v>
      </c>
      <c r="E18" s="110" t="str">
        <v>T3</v>
      </c>
      <c r="F18" s="110">
        <v>160.19999999999999</v>
      </c>
      <c r="G18" s="110">
        <v>0</v>
      </c>
      <c r="H18" s="110" t="str">
        <v>1</v>
      </c>
      <c r="I18" s="110" t="str">
        <v/>
      </c>
      <c r="J18" s="110">
        <v>20.399999999999999</v>
      </c>
      <c r="K18" s="110">
        <v>0</v>
      </c>
      <c r="L18" s="110">
        <v>0</v>
      </c>
      <c r="M18" s="110">
        <v>0</v>
      </c>
      <c r="N18" s="110">
        <v>0</v>
      </c>
      <c r="O18" s="110">
        <v>139.80000000000001</v>
      </c>
      <c r="P18" s="110">
        <v>0</v>
      </c>
      <c r="Q18" s="110" t="str">
        <v>AVAILABLE</v>
      </c>
      <c r="R18" s="110">
        <v>2060000</v>
      </c>
      <c r="S18" s="110">
        <v>2140000</v>
      </c>
      <c r="T18" s="110">
        <v>2220000</v>
      </c>
      <c r="U18" s="110">
        <v>50000</v>
      </c>
      <c r="V18" s="110">
        <v>30000</v>
      </c>
      <c r="W18" s="110">
        <v>2140000</v>
      </c>
      <c r="X18" s="110">
        <v>0</v>
      </c>
      <c r="Y18" s="110">
        <v>2220000</v>
      </c>
      <c r="Z18" s="110">
        <v>2140000</v>
      </c>
      <c r="AA18" s="110">
        <v>46057</v>
      </c>
      <c r="AB18" s="111" t="str">
        <v>Q1 2026</v>
      </c>
      <c r="AC18">
        <v>0</v>
      </c>
      <c r="AD18">
        <v>0</v>
      </c>
      <c r="AE18" t="str">
        <v>Ana Damásio</v>
      </c>
      <c r="AF18" t="str">
        <v>Eduardo Lopes</v>
      </c>
      <c r="AG18" t="str">
        <v>TBD</v>
      </c>
      <c r="AH18" t="str">
        <v>The Uncommon is a front-row sea view masterpiece in Vilamoura, where vibrant energy meets serene coastal living. With an exclusive design and elevated services, in this touristic and residential project every moment feels uniquely exceptional.</v>
      </c>
      <c r="AI18" t="str">
        <v>Condo Pool, Outdoor Areas, Underground Parking, Reception, Concierge, Vista Membership</v>
      </c>
      <c r="AJ18" t="str">
        <v>Apartamentos com exploração turística profissional e possibilidade de uso pelos proprietários; Amenities de excelência; Vistas excepcionais e em primeira linha de mar; Rooftops com plunge pool privativos.</v>
      </c>
      <c r="AK18" t="str">
        <v>NLA</v>
      </c>
      <c r="AL18" t="str">
        <v>The Uncommon</v>
      </c>
    </row>
    <row r="19" spans="1:38" x14ac:dyDescent="0.3">
      <c r="A19" s="110" t="str">
        <v>THE UNCOMMON</v>
      </c>
      <c r="B19" s="110" t="str">
        <v>Vilamoura</v>
      </c>
      <c r="C19" s="110" t="str">
        <v>111</v>
      </c>
      <c r="D19" s="110" t="str">
        <v>Vilamoura, Algarve</v>
      </c>
      <c r="E19" s="110" t="str">
        <v>T1</v>
      </c>
      <c r="F19" s="110">
        <v>80.900000000000006</v>
      </c>
      <c r="G19" s="110">
        <v>0</v>
      </c>
      <c r="H19" s="110" t="str">
        <v>1</v>
      </c>
      <c r="I19" s="110" t="str">
        <v/>
      </c>
      <c r="J19" s="110">
        <v>18</v>
      </c>
      <c r="K19" s="110">
        <v>0</v>
      </c>
      <c r="L19" s="110">
        <v>0</v>
      </c>
      <c r="M19" s="110">
        <v>0</v>
      </c>
      <c r="N19" s="110">
        <v>0</v>
      </c>
      <c r="O19" s="110">
        <v>62.9</v>
      </c>
      <c r="P19" s="110">
        <v>0</v>
      </c>
      <c r="Q19" s="110" t="str">
        <v>AVAILABLE</v>
      </c>
      <c r="R19" s="110">
        <v>575000</v>
      </c>
      <c r="S19" s="110">
        <v>640000</v>
      </c>
      <c r="T19" s="110">
        <v>700000</v>
      </c>
      <c r="U19" s="110">
        <v>50000</v>
      </c>
      <c r="V19" s="110">
        <v>15000</v>
      </c>
      <c r="W19" s="110">
        <v>635000</v>
      </c>
      <c r="X19" s="110">
        <v>0</v>
      </c>
      <c r="Y19" s="110">
        <v>700000</v>
      </c>
      <c r="Z19" s="110">
        <v>635000</v>
      </c>
      <c r="AA19" s="110">
        <v>46057</v>
      </c>
      <c r="AB19" s="111" t="str">
        <v>Q1 2026</v>
      </c>
      <c r="AC19">
        <v>0</v>
      </c>
      <c r="AD19">
        <v>0</v>
      </c>
      <c r="AE19" t="str">
        <v>Ana Damásio</v>
      </c>
      <c r="AF19" t="str">
        <v>Eduardo Lopes</v>
      </c>
      <c r="AG19" t="str">
        <v>TBD</v>
      </c>
      <c r="AH19" t="str">
        <v>The Uncommon is a front-row sea view masterpiece in Vilamoura, where vibrant energy meets serene coastal living. With an exclusive design and elevated services, in this touristic and residential project every moment feels uniquely exceptional.</v>
      </c>
      <c r="AI19" t="str">
        <v>Condo Pool, Outdoor Areas, Underground Parking, Reception, Concierge, Vista Membership</v>
      </c>
      <c r="AJ19" t="str">
        <v>Apartamentos com exploração turística profissional e possibilidade de uso pelos proprietários; Amenities de excelência; Vistas excepcionais e em primeira linha de mar; Rooftops com plunge pool privativos.</v>
      </c>
      <c r="AK19" t="str">
        <v>NLA</v>
      </c>
      <c r="AL19" t="str">
        <v>The Uncommon</v>
      </c>
    </row>
    <row r="20" spans="1:38" x14ac:dyDescent="0.3">
      <c r="A20" s="110" t="str">
        <v>THE UNCOMMON</v>
      </c>
      <c r="B20" s="110" t="str">
        <v>Vilamoura</v>
      </c>
      <c r="C20" s="110" t="str">
        <v>112</v>
      </c>
      <c r="D20" s="110" t="str">
        <v>Vilamoura, Algarve</v>
      </c>
      <c r="E20" s="110" t="str">
        <v>T1</v>
      </c>
      <c r="F20" s="110">
        <v>81.099999999999994</v>
      </c>
      <c r="G20" s="110">
        <v>0</v>
      </c>
      <c r="H20" s="110" t="str">
        <v>1</v>
      </c>
      <c r="I20" s="110" t="str">
        <v/>
      </c>
      <c r="J20" s="110">
        <v>18</v>
      </c>
      <c r="K20" s="110">
        <v>0</v>
      </c>
      <c r="L20" s="110">
        <v>0</v>
      </c>
      <c r="M20" s="110">
        <v>0</v>
      </c>
      <c r="N20" s="110">
        <v>0</v>
      </c>
      <c r="O20" s="110">
        <v>63.1</v>
      </c>
      <c r="P20" s="110">
        <v>0</v>
      </c>
      <c r="Q20" s="110" t="str">
        <v>AVAILABLE</v>
      </c>
      <c r="R20" s="110">
        <v>615000</v>
      </c>
      <c r="S20" s="110">
        <v>680000</v>
      </c>
      <c r="T20" s="110">
        <v>740000</v>
      </c>
      <c r="U20" s="110">
        <v>50000</v>
      </c>
      <c r="V20" s="110">
        <v>15000</v>
      </c>
      <c r="W20" s="110">
        <v>675000</v>
      </c>
      <c r="X20" s="110">
        <v>0</v>
      </c>
      <c r="Y20" s="110">
        <v>740000</v>
      </c>
      <c r="Z20" s="110">
        <v>675000</v>
      </c>
      <c r="AA20" s="110">
        <v>46057</v>
      </c>
      <c r="AB20" s="111" t="str">
        <v>Q1 2026</v>
      </c>
      <c r="AC20">
        <v>0</v>
      </c>
      <c r="AD20">
        <v>0</v>
      </c>
      <c r="AE20" t="str">
        <v>Ana Damásio</v>
      </c>
      <c r="AF20" t="str">
        <v>Eduardo Lopes</v>
      </c>
      <c r="AG20" t="str">
        <v>TBD</v>
      </c>
      <c r="AH20" t="str">
        <v>The Uncommon is a front-row sea view masterpiece in Vilamoura, where vibrant energy meets serene coastal living. With an exclusive design and elevated services, in this touristic and residential project every moment feels uniquely exceptional.</v>
      </c>
      <c r="AI20" t="str">
        <v>Condo Pool, Outdoor Areas, Underground Parking, Reception, Concierge, Vista Membership</v>
      </c>
      <c r="AJ20" t="str">
        <v>Apartamentos com exploração turística profissional e possibilidade de uso pelos proprietários; Amenities de excelência; Vistas excepcionais e em primeira linha de mar; Rooftops com plunge pool privativos.</v>
      </c>
      <c r="AK20" t="str">
        <v>NLA</v>
      </c>
      <c r="AL20" t="str">
        <v>The Uncommon</v>
      </c>
    </row>
    <row r="21" spans="1:38" x14ac:dyDescent="0.3">
      <c r="A21" s="110" t="str">
        <v>THE UNCOMMON</v>
      </c>
      <c r="B21" s="110" t="str">
        <v>Vilamoura</v>
      </c>
      <c r="C21" s="110" t="str">
        <v>113</v>
      </c>
      <c r="D21" s="110" t="str">
        <v>Vilamoura, Algarve</v>
      </c>
      <c r="E21" s="110" t="str">
        <v>T1</v>
      </c>
      <c r="F21" s="110">
        <v>81.099999999999994</v>
      </c>
      <c r="G21" s="110">
        <v>0</v>
      </c>
      <c r="H21" s="110" t="str">
        <v>1</v>
      </c>
      <c r="I21" s="110" t="str">
        <v/>
      </c>
      <c r="J21" s="110">
        <v>18</v>
      </c>
      <c r="K21" s="110">
        <v>0</v>
      </c>
      <c r="L21" s="110">
        <v>0</v>
      </c>
      <c r="M21" s="110">
        <v>0</v>
      </c>
      <c r="N21" s="110">
        <v>0</v>
      </c>
      <c r="O21" s="110">
        <v>63.1</v>
      </c>
      <c r="P21" s="110">
        <v>0</v>
      </c>
      <c r="Q21" s="110" t="str">
        <v>AVAILABLE</v>
      </c>
      <c r="R21" s="110">
        <v>655000</v>
      </c>
      <c r="S21" s="110">
        <v>720000</v>
      </c>
      <c r="T21" s="110">
        <v>780000</v>
      </c>
      <c r="U21" s="110">
        <v>50000</v>
      </c>
      <c r="V21" s="110">
        <v>15000</v>
      </c>
      <c r="W21" s="110">
        <v>715000</v>
      </c>
      <c r="X21" s="110">
        <v>0</v>
      </c>
      <c r="Y21" s="110">
        <v>780000</v>
      </c>
      <c r="Z21" s="110">
        <v>715000</v>
      </c>
      <c r="AA21" s="110">
        <v>46057</v>
      </c>
      <c r="AB21" s="111" t="str">
        <v>Q1 2026</v>
      </c>
      <c r="AC21">
        <v>0</v>
      </c>
      <c r="AD21">
        <v>0</v>
      </c>
      <c r="AE21" t="str">
        <v>Ana Damásio</v>
      </c>
      <c r="AF21" t="str">
        <v>Eduardo Lopes</v>
      </c>
      <c r="AG21" t="str">
        <v>TBD</v>
      </c>
      <c r="AH21" t="str">
        <v>The Uncommon is a front-row sea view masterpiece in Vilamoura, where vibrant energy meets serene coastal living. With an exclusive design and elevated services, in this touristic and residential project every moment feels uniquely exceptional.</v>
      </c>
      <c r="AI21" t="str">
        <v>Condo Pool, Outdoor Areas, Underground Parking, Reception, Concierge, Vista Membership</v>
      </c>
      <c r="AJ21" t="str">
        <v>Apartamentos com exploração turística profissional e possibilidade de uso pelos proprietários; Amenities de excelência; Vistas excepcionais e em primeira linha de mar; Rooftops com plunge pool privativos.</v>
      </c>
      <c r="AK21" t="str">
        <v>NLA</v>
      </c>
      <c r="AL21" t="str">
        <v>The Uncommon</v>
      </c>
    </row>
    <row r="22" spans="1:38" x14ac:dyDescent="0.3">
      <c r="A22" s="110" t="str">
        <v>THE UNCOMMON</v>
      </c>
      <c r="B22" s="110" t="str">
        <v>Vilamoura</v>
      </c>
      <c r="C22" s="110" t="str">
        <v>114</v>
      </c>
      <c r="D22" s="110" t="str">
        <v>Vilamoura, Algarve</v>
      </c>
      <c r="E22" s="110" t="str">
        <v>T1</v>
      </c>
      <c r="F22" s="110">
        <v>81.099999999999994</v>
      </c>
      <c r="G22" s="110">
        <v>0</v>
      </c>
      <c r="H22" s="110" t="str">
        <v>1</v>
      </c>
      <c r="I22" s="110" t="str">
        <v/>
      </c>
      <c r="J22" s="110">
        <v>18</v>
      </c>
      <c r="K22" s="110">
        <v>0</v>
      </c>
      <c r="L22" s="110">
        <v>0</v>
      </c>
      <c r="M22" s="110">
        <v>0</v>
      </c>
      <c r="N22" s="110">
        <v>0</v>
      </c>
      <c r="O22" s="110">
        <v>63.1</v>
      </c>
      <c r="P22" s="110">
        <v>0</v>
      </c>
      <c r="Q22" s="110" t="str">
        <v>AVAILABLE</v>
      </c>
      <c r="R22" s="110">
        <v>705000</v>
      </c>
      <c r="S22" s="110">
        <v>770000</v>
      </c>
      <c r="T22" s="110">
        <v>830000</v>
      </c>
      <c r="U22" s="110">
        <v>50000</v>
      </c>
      <c r="V22" s="110">
        <v>15000</v>
      </c>
      <c r="W22" s="110">
        <v>765000</v>
      </c>
      <c r="X22" s="110">
        <v>0</v>
      </c>
      <c r="Y22" s="110">
        <v>830000</v>
      </c>
      <c r="Z22" s="110">
        <v>765000</v>
      </c>
      <c r="AA22" s="110">
        <v>46057</v>
      </c>
      <c r="AB22" s="111" t="str">
        <v>Q1 2026</v>
      </c>
      <c r="AC22">
        <v>0</v>
      </c>
      <c r="AD22">
        <v>0</v>
      </c>
      <c r="AE22" t="str">
        <v>Ana Damásio</v>
      </c>
      <c r="AF22" t="str">
        <v>Eduardo Lopes</v>
      </c>
      <c r="AG22" t="str">
        <v>TBD</v>
      </c>
      <c r="AH22" t="str">
        <v>The Uncommon is a front-row sea view masterpiece in Vilamoura, where vibrant energy meets serene coastal living. With an exclusive design and elevated services, in this touristic and residential project every moment feels uniquely exceptional.</v>
      </c>
      <c r="AI22" t="str">
        <v>Condo Pool, Outdoor Areas, Underground Parking, Reception, Concierge, Vista Membership</v>
      </c>
      <c r="AJ22" t="str">
        <v>Apartamentos com exploração turística profissional e possibilidade de uso pelos proprietários; Amenities de excelência; Vistas excepcionais e em primeira linha de mar; Rooftops com plunge pool privativos.</v>
      </c>
      <c r="AK22" t="str">
        <v>NLA</v>
      </c>
      <c r="AL22" t="str">
        <v>The Uncommon</v>
      </c>
    </row>
    <row r="23" spans="1:38" x14ac:dyDescent="0.3">
      <c r="A23" s="110" t="str">
        <v>THE UNCOMMON</v>
      </c>
      <c r="B23" s="110" t="str">
        <v>Vilamoura</v>
      </c>
      <c r="C23" s="110" t="str">
        <v>115</v>
      </c>
      <c r="D23" s="110" t="str">
        <v>Vilamoura, Algarve</v>
      </c>
      <c r="E23" s="110" t="str">
        <v>T1</v>
      </c>
      <c r="F23" s="110">
        <v>83</v>
      </c>
      <c r="G23" s="110">
        <v>0</v>
      </c>
      <c r="H23" s="110" t="str">
        <v>1</v>
      </c>
      <c r="I23" s="110" t="str">
        <v/>
      </c>
      <c r="J23" s="110">
        <v>18.7</v>
      </c>
      <c r="K23" s="110">
        <v>0</v>
      </c>
      <c r="L23" s="110">
        <v>0</v>
      </c>
      <c r="M23" s="110">
        <v>0</v>
      </c>
      <c r="N23" s="110">
        <v>0</v>
      </c>
      <c r="O23" s="110">
        <v>64.3</v>
      </c>
      <c r="P23" s="110">
        <v>0</v>
      </c>
      <c r="Q23" s="110" t="str">
        <v>AVAILABLE</v>
      </c>
      <c r="R23" s="110">
        <v>765000</v>
      </c>
      <c r="S23" s="110">
        <v>830000</v>
      </c>
      <c r="T23" s="110">
        <v>890000</v>
      </c>
      <c r="U23" s="110">
        <v>50000</v>
      </c>
      <c r="V23" s="110">
        <v>15000</v>
      </c>
      <c r="W23" s="110">
        <v>825000</v>
      </c>
      <c r="X23" s="110">
        <v>0</v>
      </c>
      <c r="Y23" s="110">
        <v>890000</v>
      </c>
      <c r="Z23" s="110">
        <v>825000</v>
      </c>
      <c r="AA23" s="110">
        <v>46057</v>
      </c>
      <c r="AB23" s="111" t="str">
        <v>Q1 2026</v>
      </c>
      <c r="AC23">
        <v>0</v>
      </c>
      <c r="AD23">
        <v>0</v>
      </c>
      <c r="AE23" t="str">
        <v>Ana Damásio</v>
      </c>
      <c r="AF23" t="str">
        <v>Eduardo Lopes</v>
      </c>
      <c r="AG23" t="str">
        <v>TBD</v>
      </c>
      <c r="AH23" t="str">
        <v>The Uncommon is a front-row sea view masterpiece in Vilamoura, where vibrant energy meets serene coastal living. With an exclusive design and elevated services, in this touristic and residential project every moment feels uniquely exceptional.</v>
      </c>
      <c r="AI23" t="str">
        <v>Condo Pool, Outdoor Areas, Underground Parking, Reception, Concierge, Vista Membership</v>
      </c>
      <c r="AJ23" t="str">
        <v>Apartamentos com exploração turística profissional e possibilidade de uso pelos proprietários; Amenities de excelência; Vistas excepcionais e em primeira linha de mar; Rooftops com plunge pool privativos.</v>
      </c>
      <c r="AK23" t="str">
        <v>NLA</v>
      </c>
      <c r="AL23" t="str">
        <v>The Uncommon</v>
      </c>
    </row>
    <row r="24" spans="1:38" x14ac:dyDescent="0.3">
      <c r="A24" s="110" t="str">
        <v>THE UNCOMMON</v>
      </c>
      <c r="B24" s="110" t="str">
        <v>Vilamoura</v>
      </c>
      <c r="C24" s="110" t="str">
        <v>116</v>
      </c>
      <c r="D24" s="110" t="str">
        <v>Vilamoura, Algarve</v>
      </c>
      <c r="E24" s="110" t="str">
        <v>T3</v>
      </c>
      <c r="F24" s="110">
        <v>195.8</v>
      </c>
      <c r="G24" s="110">
        <v>0</v>
      </c>
      <c r="H24" s="110" t="str">
        <v>1</v>
      </c>
      <c r="I24" s="110" t="str">
        <v/>
      </c>
      <c r="J24" s="110">
        <v>43.9</v>
      </c>
      <c r="K24" s="110">
        <v>0</v>
      </c>
      <c r="L24" s="110">
        <v>0</v>
      </c>
      <c r="M24" s="110">
        <v>0</v>
      </c>
      <c r="N24" s="110">
        <v>0</v>
      </c>
      <c r="O24" s="110">
        <v>151.9</v>
      </c>
      <c r="P24" s="110">
        <v>0</v>
      </c>
      <c r="Q24" s="110" t="str">
        <v>AVAILABLE</v>
      </c>
      <c r="R24" s="110">
        <v>2100000</v>
      </c>
      <c r="S24" s="110">
        <v>2180000</v>
      </c>
      <c r="T24" s="110">
        <v>2260000</v>
      </c>
      <c r="U24" s="110">
        <v>50000</v>
      </c>
      <c r="V24" s="110">
        <v>30000</v>
      </c>
      <c r="W24" s="110">
        <v>2180000</v>
      </c>
      <c r="X24" s="110">
        <v>0</v>
      </c>
      <c r="Y24" s="110">
        <v>2260000</v>
      </c>
      <c r="Z24" s="110">
        <v>2180000</v>
      </c>
      <c r="AA24" s="110">
        <v>46057</v>
      </c>
      <c r="AB24" s="111" t="str">
        <v>Q1 2026</v>
      </c>
      <c r="AC24">
        <v>0</v>
      </c>
      <c r="AD24">
        <v>0</v>
      </c>
      <c r="AE24" t="str">
        <v>Ana Damásio</v>
      </c>
      <c r="AF24" t="str">
        <v>Eduardo Lopes</v>
      </c>
      <c r="AG24" t="str">
        <v>TBD</v>
      </c>
      <c r="AH24" t="str">
        <v>The Uncommon is a front-row sea view masterpiece in Vilamoura, where vibrant energy meets serene coastal living. With an exclusive design and elevated services, in this touristic and residential project every moment feels uniquely exceptional.</v>
      </c>
      <c r="AI24" t="str">
        <v>Condo Pool, Outdoor Areas, Underground Parking, Reception, Concierge, Vista Membership</v>
      </c>
      <c r="AJ24" t="str">
        <v>Apartamentos com exploração turística profissional e possibilidade de uso pelos proprietários; Amenities de excelência; Vistas excepcionais e em primeira linha de mar; Rooftops com plunge pool privativos.</v>
      </c>
      <c r="AK24" t="str">
        <v>NLA</v>
      </c>
      <c r="AL24" t="str">
        <v>The Uncommon</v>
      </c>
    </row>
    <row r="25" spans="1:38" x14ac:dyDescent="0.3">
      <c r="A25" s="110" t="str">
        <v>THE UNCOMMON</v>
      </c>
      <c r="B25" s="110" t="str">
        <v>Vilamoura</v>
      </c>
      <c r="C25" s="110" t="str">
        <v>12</v>
      </c>
      <c r="D25" s="110" t="str">
        <v>Vilamoura, Algarve</v>
      </c>
      <c r="E25" s="110" t="str">
        <v>T1</v>
      </c>
      <c r="F25" s="110">
        <v>105.5</v>
      </c>
      <c r="G25" s="110">
        <v>0</v>
      </c>
      <c r="H25" s="110" t="str">
        <v>1</v>
      </c>
      <c r="I25" s="110" t="str">
        <v/>
      </c>
      <c r="J25" s="110">
        <v>42.4</v>
      </c>
      <c r="K25" s="110">
        <v>0</v>
      </c>
      <c r="L25" s="110">
        <v>0</v>
      </c>
      <c r="M25" s="110">
        <v>0</v>
      </c>
      <c r="N25" s="110">
        <v>0</v>
      </c>
      <c r="O25" s="110">
        <v>63.1</v>
      </c>
      <c r="P25" s="110">
        <v>0</v>
      </c>
      <c r="Q25" s="110" t="str">
        <v>AVAILABLE</v>
      </c>
      <c r="R25" s="110">
        <v>625000</v>
      </c>
      <c r="S25" s="110">
        <v>690000</v>
      </c>
      <c r="T25" s="110">
        <v>750000</v>
      </c>
      <c r="U25" s="110">
        <v>50000</v>
      </c>
      <c r="V25" s="110">
        <v>15000</v>
      </c>
      <c r="W25" s="110">
        <v>685000</v>
      </c>
      <c r="X25" s="110">
        <v>0</v>
      </c>
      <c r="Y25" s="110">
        <v>750000</v>
      </c>
      <c r="Z25" s="110">
        <v>685000</v>
      </c>
      <c r="AA25" s="110">
        <v>46057</v>
      </c>
      <c r="AB25" s="111" t="str">
        <v>Q1 2026</v>
      </c>
      <c r="AC25">
        <v>0</v>
      </c>
      <c r="AD25">
        <v>0</v>
      </c>
      <c r="AE25" t="str">
        <v>Ana Damásio</v>
      </c>
      <c r="AF25" t="str">
        <v>Eduardo Lopes</v>
      </c>
      <c r="AG25" t="str">
        <v>TBD</v>
      </c>
      <c r="AH25" t="str">
        <v>The Uncommon is a front-row sea view masterpiece in Vilamoura, where vibrant energy meets serene coastal living. With an exclusive design and elevated services, in this touristic and residential project every moment feels uniquely exceptional.</v>
      </c>
      <c r="AI25" t="str">
        <v>Condo Pool, Outdoor Areas, Underground Parking, Reception, Concierge, Vista Membership</v>
      </c>
      <c r="AJ25" t="str">
        <v>Apartamentos com exploração turística profissional e possibilidade de uso pelos proprietários; Amenities de excelência; Vistas excepcionais e em primeira linha de mar; Rooftops com plunge pool privativos.</v>
      </c>
      <c r="AK25" t="str">
        <v>NLA</v>
      </c>
      <c r="AL25" t="str">
        <v>The Uncommon</v>
      </c>
    </row>
    <row r="26" spans="1:38" x14ac:dyDescent="0.3">
      <c r="A26" s="110" t="str">
        <v>THE UNCOMMON</v>
      </c>
      <c r="B26" s="110" t="str">
        <v>Vilamoura</v>
      </c>
      <c r="C26" s="110" t="str">
        <v>13</v>
      </c>
      <c r="D26" s="110" t="str">
        <v>Vilamoura, Algarve</v>
      </c>
      <c r="E26" s="110" t="str">
        <v>T1</v>
      </c>
      <c r="F26" s="110">
        <v>105.5</v>
      </c>
      <c r="G26" s="110">
        <v>0</v>
      </c>
      <c r="H26" s="110" t="str">
        <v>1</v>
      </c>
      <c r="I26" s="110" t="str">
        <v/>
      </c>
      <c r="J26" s="110">
        <v>42.4</v>
      </c>
      <c r="K26" s="110">
        <v>0</v>
      </c>
      <c r="L26" s="110">
        <v>0</v>
      </c>
      <c r="M26" s="110">
        <v>0</v>
      </c>
      <c r="N26" s="110">
        <v>0</v>
      </c>
      <c r="O26" s="110">
        <v>63.1</v>
      </c>
      <c r="P26" s="110">
        <v>0</v>
      </c>
      <c r="Q26" s="110" t="str">
        <v>AVAILABLE</v>
      </c>
      <c r="R26" s="110">
        <v>675000</v>
      </c>
      <c r="S26" s="110">
        <v>740000</v>
      </c>
      <c r="T26" s="110">
        <v>800000</v>
      </c>
      <c r="U26" s="110">
        <v>50000</v>
      </c>
      <c r="V26" s="110">
        <v>15000</v>
      </c>
      <c r="W26" s="110">
        <v>735000</v>
      </c>
      <c r="X26" s="110">
        <v>0</v>
      </c>
      <c r="Y26" s="110">
        <v>800000</v>
      </c>
      <c r="Z26" s="110">
        <v>735000</v>
      </c>
      <c r="AA26" s="110">
        <v>46057</v>
      </c>
      <c r="AB26" s="111" t="str">
        <v>Q1 2026</v>
      </c>
      <c r="AC26">
        <v>0</v>
      </c>
      <c r="AD26">
        <v>0</v>
      </c>
      <c r="AE26" t="str">
        <v>Ana Damásio</v>
      </c>
      <c r="AF26" t="str">
        <v>Eduardo Lopes</v>
      </c>
      <c r="AG26" t="str">
        <v>TBD</v>
      </c>
      <c r="AH26" t="str">
        <v>The Uncommon is a front-row sea view masterpiece in Vilamoura, where vibrant energy meets serene coastal living. With an exclusive design and elevated services, in this touristic and residential project every moment feels uniquely exceptional.</v>
      </c>
      <c r="AI26" t="str">
        <v>Condo Pool, Outdoor Areas, Underground Parking, Reception, Concierge, Vista Membership</v>
      </c>
      <c r="AJ26" t="str">
        <v>Apartamentos com exploração turística profissional e possibilidade de uso pelos proprietários; Amenities de excelência; Vistas excepcionais e em primeira linha de mar; Rooftops com plunge pool privativos.</v>
      </c>
      <c r="AK26" t="str">
        <v>NLA</v>
      </c>
      <c r="AL26" t="str">
        <v>The Uncommon</v>
      </c>
    </row>
    <row r="27" spans="1:38" x14ac:dyDescent="0.3">
      <c r="A27" s="110" t="str">
        <v>THE UNCOMMON</v>
      </c>
      <c r="B27" s="110" t="str">
        <v>Vilamoura</v>
      </c>
      <c r="C27" s="110" t="str">
        <v>14</v>
      </c>
      <c r="D27" s="110" t="str">
        <v>Vilamoura, Algarve</v>
      </c>
      <c r="E27" s="110" t="str">
        <v>T1</v>
      </c>
      <c r="F27" s="110">
        <v>105.5</v>
      </c>
      <c r="G27" s="110">
        <v>0</v>
      </c>
      <c r="H27" s="110" t="str">
        <v>1</v>
      </c>
      <c r="I27" s="110" t="str">
        <v/>
      </c>
      <c r="J27" s="110">
        <v>42.4</v>
      </c>
      <c r="K27" s="110">
        <v>0</v>
      </c>
      <c r="L27" s="110">
        <v>0</v>
      </c>
      <c r="M27" s="110">
        <v>0</v>
      </c>
      <c r="N27" s="110">
        <v>0</v>
      </c>
      <c r="O27" s="110">
        <v>63.1</v>
      </c>
      <c r="P27" s="110">
        <v>0</v>
      </c>
      <c r="Q27" s="110" t="str">
        <v>AVAILABLE</v>
      </c>
      <c r="R27" s="110">
        <v>725000</v>
      </c>
      <c r="S27" s="110">
        <v>790000</v>
      </c>
      <c r="T27" s="110">
        <v>850000</v>
      </c>
      <c r="U27" s="110">
        <v>50000</v>
      </c>
      <c r="V27" s="110">
        <v>15000</v>
      </c>
      <c r="W27" s="110">
        <v>785000</v>
      </c>
      <c r="X27" s="110">
        <v>0</v>
      </c>
      <c r="Y27" s="110">
        <v>850000</v>
      </c>
      <c r="Z27" s="110">
        <v>785000</v>
      </c>
      <c r="AA27" s="110">
        <v>46057</v>
      </c>
      <c r="AB27" s="111" t="str">
        <v>Q1 2026</v>
      </c>
      <c r="AC27">
        <v>0</v>
      </c>
      <c r="AD27">
        <v>0</v>
      </c>
      <c r="AE27" t="str">
        <v>Ana Damásio</v>
      </c>
      <c r="AF27" t="str">
        <v>Eduardo Lopes</v>
      </c>
      <c r="AG27" t="str">
        <v>TBD</v>
      </c>
      <c r="AH27" t="str">
        <v>The Uncommon is a front-row sea view masterpiece in Vilamoura, where vibrant energy meets serene coastal living. With an exclusive design and elevated services, in this touristic and residential project every moment feels uniquely exceptional.</v>
      </c>
      <c r="AI27" t="str">
        <v>Condo Pool, Outdoor Areas, Underground Parking, Reception, Concierge, Vista Membership</v>
      </c>
      <c r="AJ27" t="str">
        <v>Apartamentos com exploração turística profissional e possibilidade de uso pelos proprietários; Amenities de excelência; Vistas excepcionais e em primeira linha de mar; Rooftops com plunge pool privativos.</v>
      </c>
      <c r="AK27" t="str">
        <v>NLA</v>
      </c>
      <c r="AL27" t="str">
        <v>The Uncommon</v>
      </c>
    </row>
    <row r="28" spans="1:38" x14ac:dyDescent="0.3">
      <c r="A28" s="110" t="str">
        <v>THE UNCOMMON</v>
      </c>
      <c r="B28" s="110" t="str">
        <v>Vilamoura</v>
      </c>
      <c r="C28" s="110" t="str">
        <v>15</v>
      </c>
      <c r="D28" s="110" t="str">
        <v>Vilamoura, Algarve</v>
      </c>
      <c r="E28" s="110" t="str">
        <v>T1</v>
      </c>
      <c r="F28" s="110">
        <v>100.1</v>
      </c>
      <c r="G28" s="110">
        <v>0</v>
      </c>
      <c r="H28" s="110" t="str">
        <v>1</v>
      </c>
      <c r="I28" s="110" t="str">
        <v/>
      </c>
      <c r="J28" s="110">
        <v>37</v>
      </c>
      <c r="K28" s="110">
        <v>0</v>
      </c>
      <c r="L28" s="110">
        <v>0</v>
      </c>
      <c r="M28" s="110">
        <v>0</v>
      </c>
      <c r="N28" s="110">
        <v>0</v>
      </c>
      <c r="O28" s="110">
        <v>63.1</v>
      </c>
      <c r="P28" s="110">
        <v>0</v>
      </c>
      <c r="Q28" s="110" t="str">
        <v>AVAILABLE</v>
      </c>
      <c r="R28" s="110">
        <v>775000</v>
      </c>
      <c r="S28" s="110">
        <v>840000</v>
      </c>
      <c r="T28" s="110">
        <v>900000</v>
      </c>
      <c r="U28" s="110">
        <v>50000</v>
      </c>
      <c r="V28" s="110">
        <v>15000</v>
      </c>
      <c r="W28" s="110">
        <v>835000</v>
      </c>
      <c r="X28" s="110">
        <v>0</v>
      </c>
      <c r="Y28" s="110">
        <v>900000</v>
      </c>
      <c r="Z28" s="110">
        <v>835000</v>
      </c>
      <c r="AA28" s="110">
        <v>46057</v>
      </c>
      <c r="AB28" s="111" t="str">
        <v>Q1 2026</v>
      </c>
      <c r="AC28">
        <v>0</v>
      </c>
      <c r="AD28">
        <v>0</v>
      </c>
      <c r="AE28" t="str">
        <v>Ana Damásio</v>
      </c>
      <c r="AF28" t="str">
        <v>Eduardo Lopes</v>
      </c>
      <c r="AG28" t="str">
        <v>TBD</v>
      </c>
      <c r="AH28" t="str">
        <v>The Uncommon is a front-row sea view masterpiece in Vilamoura, where vibrant energy meets serene coastal living. With an exclusive design and elevated services, in this touristic and residential project every moment feels uniquely exceptional.</v>
      </c>
      <c r="AI28" t="str">
        <v>Condo Pool, Outdoor Areas, Underground Parking, Reception, Concierge, Vista Membership</v>
      </c>
      <c r="AJ28" t="str">
        <v>Apartamentos com exploração turística profissional e possibilidade de uso pelos proprietários; Amenities de excelência; Vistas excepcionais e em primeira linha de mar; Rooftops com plunge pool privativos.</v>
      </c>
      <c r="AK28" t="str">
        <v>NLA</v>
      </c>
      <c r="AL28" t="str">
        <v>The Uncommon</v>
      </c>
    </row>
    <row r="29" spans="1:38" x14ac:dyDescent="0.3">
      <c r="A29" s="110" t="str">
        <v>THE UNCOMMON</v>
      </c>
      <c r="B29" s="110" t="str">
        <v>Vilamoura</v>
      </c>
      <c r="C29" s="110" t="str">
        <v>16</v>
      </c>
      <c r="D29" s="110" t="str">
        <v>Vilamoura, Algarve</v>
      </c>
      <c r="E29" s="110" t="str">
        <v>T3</v>
      </c>
      <c r="F29" s="110">
        <v>200.9</v>
      </c>
      <c r="G29" s="110">
        <v>0</v>
      </c>
      <c r="H29" s="110" t="str">
        <v>1</v>
      </c>
      <c r="I29" s="110" t="str">
        <v/>
      </c>
      <c r="J29" s="110">
        <v>49</v>
      </c>
      <c r="K29" s="110">
        <v>0</v>
      </c>
      <c r="L29" s="110">
        <v>0</v>
      </c>
      <c r="M29" s="110">
        <v>0</v>
      </c>
      <c r="N29" s="110">
        <v>0</v>
      </c>
      <c r="O29" s="110">
        <v>151.9</v>
      </c>
      <c r="P29" s="110">
        <v>0</v>
      </c>
      <c r="Q29" s="110" t="str">
        <v>AVAILABLE</v>
      </c>
      <c r="R29" s="110">
        <v>1930000</v>
      </c>
      <c r="S29" s="110">
        <v>2010000</v>
      </c>
      <c r="T29" s="110">
        <v>2090000</v>
      </c>
      <c r="U29" s="110">
        <v>50000</v>
      </c>
      <c r="V29" s="110">
        <v>30000</v>
      </c>
      <c r="W29" s="110">
        <v>2010000</v>
      </c>
      <c r="X29" s="110">
        <v>0</v>
      </c>
      <c r="Y29" s="110">
        <v>2090000</v>
      </c>
      <c r="Z29" s="110">
        <v>2010000</v>
      </c>
      <c r="AA29" s="110">
        <v>46057</v>
      </c>
      <c r="AB29" s="111" t="str">
        <v>Q1 2026</v>
      </c>
      <c r="AC29">
        <v>0</v>
      </c>
      <c r="AD29">
        <v>0</v>
      </c>
      <c r="AE29" t="str">
        <v>Ana Damásio</v>
      </c>
      <c r="AF29" t="str">
        <v>Eduardo Lopes</v>
      </c>
      <c r="AG29" t="str">
        <v>TBD</v>
      </c>
      <c r="AH29" t="str">
        <v>The Uncommon is a front-row sea view masterpiece in Vilamoura, where vibrant energy meets serene coastal living. With an exclusive design and elevated services, in this touristic and residential project every moment feels uniquely exceptional.</v>
      </c>
      <c r="AI29" t="str">
        <v>Condo Pool, Outdoor Areas, Underground Parking, Reception, Concierge, Vista Membership</v>
      </c>
      <c r="AJ29" t="str">
        <v>Apartamentos com exploração turística profissional e possibilidade de uso pelos proprietários; Amenities de excelência; Vistas excepcionais e em primeira linha de mar; Rooftops com plunge pool privativos.</v>
      </c>
      <c r="AK29" t="str">
        <v>NLA</v>
      </c>
      <c r="AL29" t="str">
        <v>The Uncommon</v>
      </c>
    </row>
    <row r="30" spans="1:38" x14ac:dyDescent="0.3">
      <c r="A30" s="110" t="str">
        <v>THE UNCOMMON</v>
      </c>
      <c r="B30" s="110" t="str">
        <v>Vilamoura</v>
      </c>
      <c r="C30" s="110" t="str">
        <v>2</v>
      </c>
      <c r="D30" s="110" t="str">
        <v>Vilamoura, Algarve</v>
      </c>
      <c r="E30" s="110" t="str">
        <v>T2</v>
      </c>
      <c r="F30" s="110">
        <v>168.6</v>
      </c>
      <c r="G30" s="110">
        <v>0</v>
      </c>
      <c r="H30" s="110" t="str">
        <v>1</v>
      </c>
      <c r="I30" s="110" t="str">
        <v/>
      </c>
      <c r="J30" s="110">
        <v>64.7</v>
      </c>
      <c r="K30" s="110">
        <v>0</v>
      </c>
      <c r="L30" s="110">
        <v>0</v>
      </c>
      <c r="M30" s="110">
        <v>0</v>
      </c>
      <c r="N30" s="110">
        <v>0</v>
      </c>
      <c r="O30" s="110">
        <v>103.9</v>
      </c>
      <c r="P30" s="110">
        <v>0</v>
      </c>
      <c r="Q30" s="110" t="str">
        <v>AVAILABLE</v>
      </c>
      <c r="R30" s="110">
        <v>1037000</v>
      </c>
      <c r="S30" s="110">
        <v>1110000</v>
      </c>
      <c r="T30" s="110">
        <v>1180000</v>
      </c>
      <c r="U30" s="110">
        <v>50000</v>
      </c>
      <c r="V30" s="110">
        <v>23000</v>
      </c>
      <c r="W30" s="110">
        <v>1107000</v>
      </c>
      <c r="X30" s="110">
        <v>0</v>
      </c>
      <c r="Y30" s="110">
        <v>1180000</v>
      </c>
      <c r="Z30" s="110">
        <v>1107000</v>
      </c>
      <c r="AA30" s="110">
        <v>46057</v>
      </c>
      <c r="AB30" s="111" t="str">
        <v>Q1 2026</v>
      </c>
      <c r="AC30">
        <v>0</v>
      </c>
      <c r="AD30">
        <v>0</v>
      </c>
      <c r="AE30" t="str">
        <v>Ana Damásio</v>
      </c>
      <c r="AF30" t="str">
        <v>Eduardo Lopes</v>
      </c>
      <c r="AG30" t="str">
        <v>TBD</v>
      </c>
      <c r="AH30" t="str">
        <v>The Uncommon is a front-row sea view masterpiece in Vilamoura, where vibrant energy meets serene coastal living. With an exclusive design and elevated services, in this touristic and residential project every moment feels uniquely exceptional.</v>
      </c>
      <c r="AI30" t="str">
        <v>Condo Pool, Outdoor Areas, Underground Parking, Reception, Concierge, Vista Membership</v>
      </c>
      <c r="AJ30" t="str">
        <v>Apartamentos com exploração turística profissional e possibilidade de uso pelos proprietários; Amenities de excelência; Vistas excepcionais e em primeira linha de mar; Rooftops com plunge pool privativos.</v>
      </c>
      <c r="AK30" t="str">
        <v>NLA</v>
      </c>
      <c r="AL30" t="str">
        <v>The Uncommon</v>
      </c>
    </row>
    <row r="31" spans="1:38" x14ac:dyDescent="0.3">
      <c r="A31" s="110" t="str">
        <v>THE UNCOMMON</v>
      </c>
      <c r="B31" s="110" t="str">
        <v>Vilamoura</v>
      </c>
      <c r="C31" s="110" t="str">
        <v>201</v>
      </c>
      <c r="D31" s="110" t="str">
        <v>Vilamoura, Algarve</v>
      </c>
      <c r="E31" s="110" t="str">
        <v>T3</v>
      </c>
      <c r="F31" s="110">
        <v>183.9</v>
      </c>
      <c r="G31" s="110">
        <v>0</v>
      </c>
      <c r="H31" s="110" t="str">
        <v>1</v>
      </c>
      <c r="I31" s="110" t="str">
        <v/>
      </c>
      <c r="J31" s="110">
        <v>34.299999999999997</v>
      </c>
      <c r="K31" s="110">
        <v>0</v>
      </c>
      <c r="L31" s="110">
        <v>0</v>
      </c>
      <c r="M31" s="110">
        <v>0</v>
      </c>
      <c r="N31" s="110">
        <v>0</v>
      </c>
      <c r="O31" s="110">
        <v>149.6</v>
      </c>
      <c r="P31" s="110">
        <v>0</v>
      </c>
      <c r="Q31" s="110" t="str">
        <v>AVAILABLE</v>
      </c>
      <c r="R31" s="110">
        <v>2000000</v>
      </c>
      <c r="S31" s="110">
        <v>2080000</v>
      </c>
      <c r="T31" s="110">
        <v>2160000</v>
      </c>
      <c r="U31" s="110">
        <v>50000</v>
      </c>
      <c r="V31" s="110">
        <v>30000</v>
      </c>
      <c r="W31" s="110">
        <v>2080000</v>
      </c>
      <c r="X31" s="110">
        <v>0</v>
      </c>
      <c r="Y31" s="110">
        <v>2160000</v>
      </c>
      <c r="Z31" s="110">
        <v>2080000</v>
      </c>
      <c r="AA31" s="110">
        <v>46057</v>
      </c>
      <c r="AB31" s="111" t="str">
        <v>Q1 2026</v>
      </c>
      <c r="AC31">
        <v>0</v>
      </c>
      <c r="AD31">
        <v>0</v>
      </c>
      <c r="AE31" t="str">
        <v>Ana Damásio</v>
      </c>
      <c r="AF31" t="str">
        <v>Eduardo Lopes</v>
      </c>
      <c r="AG31" t="str">
        <v>TBD</v>
      </c>
      <c r="AH31" t="str">
        <v>The Uncommon is a front-row sea view masterpiece in Vilamoura, where vibrant energy meets serene coastal living. With an exclusive design and elevated services, in this touristic and residential project every moment feels uniquely exceptional.</v>
      </c>
      <c r="AI31" t="str">
        <v>Condo Pool, Outdoor Areas, Underground Parking, Reception, Concierge, Vista Membership</v>
      </c>
      <c r="AJ31" t="str">
        <v>Apartamentos com exploração turística profissional e possibilidade de uso pelos proprietários; Amenities de excelência; Vistas excepcionais e em primeira linha de mar; Rooftops com plunge pool privativos.</v>
      </c>
      <c r="AK31" t="str">
        <v>NLA</v>
      </c>
      <c r="AL31" t="str">
        <v>The Uncommon</v>
      </c>
    </row>
    <row r="32" spans="1:38" x14ac:dyDescent="0.3">
      <c r="A32" s="110" t="str">
        <v>THE UNCOMMON</v>
      </c>
      <c r="B32" s="110" t="str">
        <v>Vilamoura</v>
      </c>
      <c r="C32" s="110" t="str">
        <v>203</v>
      </c>
      <c r="D32" s="110" t="str">
        <v>Vilamoura, Algarve</v>
      </c>
      <c r="E32" s="110" t="str">
        <v>T2</v>
      </c>
      <c r="F32" s="110">
        <v>129.4</v>
      </c>
      <c r="G32" s="110">
        <v>0</v>
      </c>
      <c r="H32" s="110" t="str">
        <v>1</v>
      </c>
      <c r="I32" s="110" t="str">
        <v/>
      </c>
      <c r="J32" s="110">
        <v>25.5</v>
      </c>
      <c r="K32" s="110">
        <v>0</v>
      </c>
      <c r="L32" s="110">
        <v>0</v>
      </c>
      <c r="M32" s="110">
        <v>0</v>
      </c>
      <c r="N32" s="110">
        <v>0</v>
      </c>
      <c r="O32" s="110">
        <v>103.9</v>
      </c>
      <c r="P32" s="110">
        <v>0</v>
      </c>
      <c r="Q32" s="110" t="str">
        <v>AVAILABLE</v>
      </c>
      <c r="R32" s="110">
        <v>977000</v>
      </c>
      <c r="S32" s="110">
        <v>1050000</v>
      </c>
      <c r="T32" s="110">
        <v>1120000</v>
      </c>
      <c r="U32" s="110">
        <v>50000</v>
      </c>
      <c r="V32" s="110">
        <v>23000</v>
      </c>
      <c r="W32" s="110">
        <v>1047000</v>
      </c>
      <c r="X32" s="110">
        <v>0</v>
      </c>
      <c r="Y32" s="110">
        <v>1120000</v>
      </c>
      <c r="Z32" s="110">
        <v>1047000</v>
      </c>
      <c r="AA32" s="110">
        <v>46057</v>
      </c>
      <c r="AB32" s="111" t="str">
        <v>Q1 2026</v>
      </c>
      <c r="AC32">
        <v>0</v>
      </c>
      <c r="AD32">
        <v>0</v>
      </c>
      <c r="AE32" t="str">
        <v>Ana Damásio</v>
      </c>
      <c r="AF32" t="str">
        <v>Eduardo Lopes</v>
      </c>
      <c r="AG32" t="str">
        <v>TBD</v>
      </c>
      <c r="AH32" t="str">
        <v>The Uncommon is a front-row sea view masterpiece in Vilamoura, where vibrant energy meets serene coastal living. With an exclusive design and elevated services, in this touristic and residential project every moment feels uniquely exceptional.</v>
      </c>
      <c r="AI32" t="str">
        <v>Condo Pool, Outdoor Areas, Underground Parking, Reception, Concierge, Vista Membership</v>
      </c>
      <c r="AJ32" t="str">
        <v>Apartamentos com exploração turística profissional e possibilidade de uso pelos proprietários; Amenities de excelência; Vistas excepcionais e em primeira linha de mar; Rooftops com plunge pool privativos.</v>
      </c>
      <c r="AK32" t="str">
        <v>NLA</v>
      </c>
      <c r="AL32" t="str">
        <v>The Uncommon</v>
      </c>
    </row>
    <row r="33" spans="1:38" x14ac:dyDescent="0.3">
      <c r="A33" s="110" t="str">
        <v>THE UNCOMMON</v>
      </c>
      <c r="B33" s="110" t="str">
        <v>Vilamoura</v>
      </c>
      <c r="C33" s="110" t="str">
        <v>204</v>
      </c>
      <c r="D33" s="110" t="str">
        <v>Vilamoura, Algarve</v>
      </c>
      <c r="E33" s="110" t="str">
        <v>T2</v>
      </c>
      <c r="F33" s="110">
        <v>130</v>
      </c>
      <c r="G33" s="110">
        <v>0</v>
      </c>
      <c r="H33" s="110" t="str">
        <v>1</v>
      </c>
      <c r="I33" s="110" t="str">
        <v/>
      </c>
      <c r="J33" s="110">
        <v>25.4</v>
      </c>
      <c r="K33" s="110">
        <v>0</v>
      </c>
      <c r="L33" s="110">
        <v>0</v>
      </c>
      <c r="M33" s="110">
        <v>0</v>
      </c>
      <c r="N33" s="110">
        <v>0</v>
      </c>
      <c r="O33" s="110">
        <v>104.6</v>
      </c>
      <c r="P33" s="110">
        <v>0</v>
      </c>
      <c r="Q33" s="110" t="str">
        <v>AVAILABLE</v>
      </c>
      <c r="R33" s="110">
        <v>887000</v>
      </c>
      <c r="S33" s="110">
        <v>960000</v>
      </c>
      <c r="T33" s="110">
        <v>1020000</v>
      </c>
      <c r="U33" s="110">
        <v>50000</v>
      </c>
      <c r="V33" s="110">
        <v>23000</v>
      </c>
      <c r="W33" s="110">
        <v>947000</v>
      </c>
      <c r="X33" s="110">
        <v>0</v>
      </c>
      <c r="Y33" s="110">
        <v>1020000</v>
      </c>
      <c r="Z33" s="110">
        <v>947000</v>
      </c>
      <c r="AA33" s="110">
        <v>46057</v>
      </c>
      <c r="AB33" s="111" t="str">
        <v>Q1 2026</v>
      </c>
      <c r="AC33">
        <v>0</v>
      </c>
      <c r="AD33">
        <v>0</v>
      </c>
      <c r="AE33" t="str">
        <v>Ana Damásio</v>
      </c>
      <c r="AF33" t="str">
        <v>Eduardo Lopes</v>
      </c>
      <c r="AG33" t="str">
        <v>TBD</v>
      </c>
      <c r="AH33" t="str">
        <v>The Uncommon is a front-row sea view masterpiece in Vilamoura, where vibrant energy meets serene coastal living. With an exclusive design and elevated services, in this touristic and residential project every moment feels uniquely exceptional.</v>
      </c>
      <c r="AI33" t="str">
        <v>Condo Pool, Outdoor Areas, Underground Parking, Reception, Concierge, Vista Membership</v>
      </c>
      <c r="AJ33" t="str">
        <v>Apartamentos com exploração turística profissional e possibilidade de uso pelos proprietários; Amenities de excelência; Vistas excepcionais e em primeira linha de mar; Rooftops com plunge pool privativos.</v>
      </c>
      <c r="AK33" t="str">
        <v>NLA</v>
      </c>
      <c r="AL33" t="str">
        <v>The Uncommon</v>
      </c>
    </row>
    <row r="34" spans="1:38" x14ac:dyDescent="0.3">
      <c r="A34" s="110" t="str">
        <v>THE UNCOMMON</v>
      </c>
      <c r="B34" s="110" t="str">
        <v>Vilamoura</v>
      </c>
      <c r="C34" s="110" t="str">
        <v>205</v>
      </c>
      <c r="D34" s="110" t="str">
        <v>Vilamoura, Algarve</v>
      </c>
      <c r="E34" s="110" t="str">
        <v>T2</v>
      </c>
      <c r="F34" s="110">
        <v>130.1</v>
      </c>
      <c r="G34" s="110">
        <v>0</v>
      </c>
      <c r="H34" s="110" t="str">
        <v>1</v>
      </c>
      <c r="I34" s="110" t="str">
        <v/>
      </c>
      <c r="J34" s="110">
        <v>25.5</v>
      </c>
      <c r="K34" s="110">
        <v>0</v>
      </c>
      <c r="L34" s="110">
        <v>0</v>
      </c>
      <c r="M34" s="110">
        <v>0</v>
      </c>
      <c r="N34" s="110">
        <v>0</v>
      </c>
      <c r="O34" s="110">
        <v>104.6</v>
      </c>
      <c r="P34" s="110">
        <v>0</v>
      </c>
      <c r="Q34" s="110" t="str">
        <v>AVAILABLE</v>
      </c>
      <c r="R34" s="110">
        <v>967000</v>
      </c>
      <c r="S34" s="110">
        <v>1040000</v>
      </c>
      <c r="T34" s="110">
        <v>1140000</v>
      </c>
      <c r="U34" s="110">
        <v>50000</v>
      </c>
      <c r="V34" s="110">
        <v>23000</v>
      </c>
      <c r="W34" s="110">
        <v>1067000</v>
      </c>
      <c r="X34" s="110">
        <v>0</v>
      </c>
      <c r="Y34" s="110">
        <v>1044780</v>
      </c>
      <c r="Z34" s="110">
        <v>971780</v>
      </c>
      <c r="AA34" s="110">
        <v>46057</v>
      </c>
      <c r="AB34" s="111" t="str">
        <v>Q1 2026</v>
      </c>
      <c r="AC34">
        <v>0</v>
      </c>
      <c r="AD34">
        <v>0</v>
      </c>
      <c r="AE34" t="str">
        <v>Ana Damásio</v>
      </c>
      <c r="AF34" t="str">
        <v>Eduardo Lopes</v>
      </c>
      <c r="AG34" t="str">
        <v>TBD</v>
      </c>
      <c r="AH34" t="str">
        <v>The Uncommon is a front-row sea view masterpiece in Vilamoura, where vibrant energy meets serene coastal living. With an exclusive design and elevated services, in this touristic and residential project every moment feels uniquely exceptional.</v>
      </c>
      <c r="AI34" t="str">
        <v>Condo Pool, Outdoor Areas, Underground Parking, Reception, Concierge, Vista Membership</v>
      </c>
      <c r="AJ34" t="str">
        <v>Apartamentos com exploração turística profissional e possibilidade de uso pelos proprietários; Amenities de excelência; Vistas excepcionais e em primeira linha de mar; Rooftops com plunge pool privativos.</v>
      </c>
      <c r="AK34" t="str">
        <v>NLA</v>
      </c>
      <c r="AL34" t="str">
        <v>The Uncommon</v>
      </c>
    </row>
    <row r="35" spans="1:38" x14ac:dyDescent="0.3">
      <c r="A35" s="110" t="str">
        <v>THE UNCOMMON</v>
      </c>
      <c r="B35" s="110" t="str">
        <v>Vilamoura</v>
      </c>
      <c r="C35" s="110" t="str">
        <v>206</v>
      </c>
      <c r="D35" s="110" t="str">
        <v>Vilamoura, Algarve</v>
      </c>
      <c r="E35" s="110" t="str">
        <v>T2</v>
      </c>
      <c r="F35" s="110">
        <v>129.4</v>
      </c>
      <c r="G35" s="110">
        <v>0</v>
      </c>
      <c r="H35" s="110" t="str">
        <v>1</v>
      </c>
      <c r="I35" s="110" t="str">
        <v/>
      </c>
      <c r="J35" s="110">
        <v>25.5</v>
      </c>
      <c r="K35" s="110">
        <v>0</v>
      </c>
      <c r="L35" s="110">
        <v>0</v>
      </c>
      <c r="M35" s="110">
        <v>0</v>
      </c>
      <c r="N35" s="110">
        <v>0</v>
      </c>
      <c r="O35" s="110">
        <v>103.9</v>
      </c>
      <c r="P35" s="110">
        <v>0</v>
      </c>
      <c r="Q35" s="110" t="str">
        <v>AVAILABLE</v>
      </c>
      <c r="R35" s="110">
        <v>1057000</v>
      </c>
      <c r="S35" s="110">
        <v>1130000</v>
      </c>
      <c r="T35" s="110">
        <v>1200000</v>
      </c>
      <c r="U35" s="110">
        <v>50000</v>
      </c>
      <c r="V35" s="110">
        <v>23000</v>
      </c>
      <c r="W35" s="110">
        <v>1127000</v>
      </c>
      <c r="X35" s="110">
        <v>0</v>
      </c>
      <c r="Y35" s="110">
        <v>1200000</v>
      </c>
      <c r="Z35" s="110">
        <v>1127000</v>
      </c>
      <c r="AA35" s="110">
        <v>46057</v>
      </c>
      <c r="AB35" s="111" t="str">
        <v>Q1 2026</v>
      </c>
      <c r="AC35">
        <v>0</v>
      </c>
      <c r="AD35">
        <v>0</v>
      </c>
      <c r="AE35" t="str">
        <v>Ana Damásio</v>
      </c>
      <c r="AF35" t="str">
        <v>Eduardo Lopes</v>
      </c>
      <c r="AG35" t="str">
        <v>TBD</v>
      </c>
      <c r="AH35" t="str">
        <v>The Uncommon is a front-row sea view masterpiece in Vilamoura, where vibrant energy meets serene coastal living. With an exclusive design and elevated services, in this touristic and residential project every moment feels uniquely exceptional.</v>
      </c>
      <c r="AI35" t="str">
        <v>Condo Pool, Outdoor Areas, Underground Parking, Reception, Concierge, Vista Membership</v>
      </c>
      <c r="AJ35" t="str">
        <v>Apartamentos com exploração turística profissional e possibilidade de uso pelos proprietários; Amenities de excelência; Vistas excepcionais e em primeira linha de mar; Rooftops com plunge pool privativos.</v>
      </c>
      <c r="AK35" t="str">
        <v>NLA</v>
      </c>
      <c r="AL35" t="str">
        <v>The Uncommon</v>
      </c>
    </row>
    <row r="36" spans="1:38" x14ac:dyDescent="0.3">
      <c r="A36" s="110" t="str">
        <v>THE UNCOMMON</v>
      </c>
      <c r="B36" s="110" t="str">
        <v>Vilamoura</v>
      </c>
      <c r="C36" s="110" t="str">
        <v>207</v>
      </c>
      <c r="D36" s="110" t="str">
        <v>Vilamoura, Algarve</v>
      </c>
      <c r="E36" s="110" t="str">
        <v>T2</v>
      </c>
      <c r="F36" s="110">
        <v>129.4</v>
      </c>
      <c r="G36" s="110">
        <v>0</v>
      </c>
      <c r="H36" s="110" t="str">
        <v>1</v>
      </c>
      <c r="I36" s="110" t="str">
        <v/>
      </c>
      <c r="J36" s="110">
        <v>25.5</v>
      </c>
      <c r="K36" s="110">
        <v>0</v>
      </c>
      <c r="L36" s="110">
        <v>0</v>
      </c>
      <c r="M36" s="110">
        <v>0</v>
      </c>
      <c r="N36" s="110">
        <v>0</v>
      </c>
      <c r="O36" s="110">
        <v>103.9</v>
      </c>
      <c r="P36" s="110">
        <v>0</v>
      </c>
      <c r="Q36" s="110" t="str">
        <v>AVAILABLE</v>
      </c>
      <c r="R36" s="110">
        <v>1137000</v>
      </c>
      <c r="S36" s="110">
        <v>1210000</v>
      </c>
      <c r="T36" s="110">
        <v>1280000</v>
      </c>
      <c r="U36" s="110">
        <v>50000</v>
      </c>
      <c r="V36" s="110">
        <v>23000</v>
      </c>
      <c r="W36" s="110">
        <v>1207000</v>
      </c>
      <c r="X36" s="110">
        <v>0</v>
      </c>
      <c r="Y36" s="110">
        <v>1280000</v>
      </c>
      <c r="Z36" s="110">
        <v>1207000</v>
      </c>
      <c r="AA36" s="110">
        <v>46057</v>
      </c>
      <c r="AB36" s="111" t="str">
        <v>Q1 2026</v>
      </c>
      <c r="AC36">
        <v>0</v>
      </c>
      <c r="AD36">
        <v>0</v>
      </c>
      <c r="AE36" t="str">
        <v>Ana Damásio</v>
      </c>
      <c r="AF36" t="str">
        <v>Eduardo Lopes</v>
      </c>
      <c r="AG36" t="str">
        <v>TBD</v>
      </c>
      <c r="AH36" t="str">
        <v>The Uncommon is a front-row sea view masterpiece in Vilamoura, where vibrant energy meets serene coastal living. With an exclusive design and elevated services, in this touristic and residential project every moment feels uniquely exceptional.</v>
      </c>
      <c r="AI36" t="str">
        <v>Condo Pool, Outdoor Areas, Underground Parking, Reception, Concierge, Vista Membership</v>
      </c>
      <c r="AJ36" t="str">
        <v>Apartamentos com exploração turística profissional e possibilidade de uso pelos proprietários; Amenities de excelência; Vistas excepcionais e em primeira linha de mar; Rooftops com plunge pool privativos.</v>
      </c>
      <c r="AK36" t="str">
        <v>NLA</v>
      </c>
      <c r="AL36" t="str">
        <v>The Uncommon</v>
      </c>
    </row>
    <row r="37" spans="1:38" x14ac:dyDescent="0.3">
      <c r="A37" s="110" t="str">
        <v>THE UNCOMMON</v>
      </c>
      <c r="B37" s="110" t="str">
        <v>Vilamoura</v>
      </c>
      <c r="C37" s="110" t="str">
        <v>208</v>
      </c>
      <c r="D37" s="110" t="str">
        <v>Vilamoura, Algarve</v>
      </c>
      <c r="E37" s="110" t="str">
        <v>T2</v>
      </c>
      <c r="F37" s="110">
        <v>129.4</v>
      </c>
      <c r="G37" s="110">
        <v>0</v>
      </c>
      <c r="H37" s="110" t="str">
        <v>1</v>
      </c>
      <c r="I37" s="110" t="str">
        <v/>
      </c>
      <c r="J37" s="110">
        <v>25.5</v>
      </c>
      <c r="K37" s="110">
        <v>0</v>
      </c>
      <c r="L37" s="110">
        <v>0</v>
      </c>
      <c r="M37" s="110">
        <v>0</v>
      </c>
      <c r="N37" s="110">
        <v>0</v>
      </c>
      <c r="O37" s="110">
        <v>103.9</v>
      </c>
      <c r="P37" s="110">
        <v>0</v>
      </c>
      <c r="Q37" s="110" t="str">
        <v>AVAILABLE</v>
      </c>
      <c r="R37" s="110">
        <v>1187000</v>
      </c>
      <c r="S37" s="110">
        <v>1260000</v>
      </c>
      <c r="T37" s="110">
        <v>1330000</v>
      </c>
      <c r="U37" s="110">
        <v>50000</v>
      </c>
      <c r="V37" s="110">
        <v>23000</v>
      </c>
      <c r="W37" s="110">
        <v>1257000</v>
      </c>
      <c r="X37" s="110">
        <v>0</v>
      </c>
      <c r="Y37" s="110">
        <v>1330000</v>
      </c>
      <c r="Z37" s="110">
        <v>1257000</v>
      </c>
      <c r="AA37" s="110">
        <v>46057</v>
      </c>
      <c r="AB37" s="111" t="str">
        <v>Q1 2026</v>
      </c>
      <c r="AC37">
        <v>0</v>
      </c>
      <c r="AD37">
        <v>0</v>
      </c>
      <c r="AE37" t="str">
        <v>Ana Damásio</v>
      </c>
      <c r="AF37" t="str">
        <v>Eduardo Lopes</v>
      </c>
      <c r="AG37" t="str">
        <v>TBD</v>
      </c>
      <c r="AH37" t="str">
        <v>The Uncommon is a front-row sea view masterpiece in Vilamoura, where vibrant energy meets serene coastal living. With an exclusive design and elevated services, in this touristic and residential project every moment feels uniquely exceptional.</v>
      </c>
      <c r="AI37" t="str">
        <v>Condo Pool, Outdoor Areas, Underground Parking, Reception, Concierge, Vista Membership</v>
      </c>
      <c r="AJ37" t="str">
        <v>Apartamentos com exploração turística profissional e possibilidade de uso pelos proprietários; Amenities de excelência; Vistas excepcionais e em primeira linha de mar; Rooftops com plunge pool privativos.</v>
      </c>
      <c r="AK37" t="str">
        <v>NLA</v>
      </c>
      <c r="AL37" t="str">
        <v>The Uncommon</v>
      </c>
    </row>
    <row r="38" spans="1:38" x14ac:dyDescent="0.3">
      <c r="A38" s="110" t="str">
        <v>THE UNCOMMON</v>
      </c>
      <c r="B38" s="110" t="str">
        <v>Vilamoura</v>
      </c>
      <c r="C38" s="110" t="str">
        <v>209</v>
      </c>
      <c r="D38" s="110" t="str">
        <v>Vilamoura, Algarve</v>
      </c>
      <c r="E38" s="110" t="str">
        <v>T2</v>
      </c>
      <c r="F38" s="110">
        <v>129.4</v>
      </c>
      <c r="G38" s="110">
        <v>0</v>
      </c>
      <c r="H38" s="110" t="str">
        <v>1</v>
      </c>
      <c r="I38" s="110" t="str">
        <v/>
      </c>
      <c r="J38" s="110">
        <v>25.5</v>
      </c>
      <c r="K38" s="110">
        <v>0</v>
      </c>
      <c r="L38" s="110">
        <v>0</v>
      </c>
      <c r="M38" s="110">
        <v>0</v>
      </c>
      <c r="N38" s="110">
        <v>0</v>
      </c>
      <c r="O38" s="110">
        <v>103.9</v>
      </c>
      <c r="P38" s="110">
        <v>0</v>
      </c>
      <c r="Q38" s="110" t="str">
        <v>AVAILABLE</v>
      </c>
      <c r="R38" s="110">
        <v>1247000</v>
      </c>
      <c r="S38" s="110">
        <v>1320000</v>
      </c>
      <c r="T38" s="110">
        <v>1390000</v>
      </c>
      <c r="U38" s="110">
        <v>50000</v>
      </c>
      <c r="V38" s="110">
        <v>23000</v>
      </c>
      <c r="W38" s="110">
        <v>1317000</v>
      </c>
      <c r="X38" s="110">
        <v>0</v>
      </c>
      <c r="Y38" s="110">
        <v>1390000</v>
      </c>
      <c r="Z38" s="110">
        <v>1317000</v>
      </c>
      <c r="AA38" s="110">
        <v>46057</v>
      </c>
      <c r="AB38" s="111" t="str">
        <v>Q1 2026</v>
      </c>
      <c r="AC38">
        <v>0</v>
      </c>
      <c r="AD38">
        <v>0</v>
      </c>
      <c r="AE38" t="str">
        <v>Ana Damásio</v>
      </c>
      <c r="AF38" t="str">
        <v>Eduardo Lopes</v>
      </c>
      <c r="AG38" t="str">
        <v>TBD</v>
      </c>
      <c r="AH38" t="str">
        <v>The Uncommon is a front-row sea view masterpiece in Vilamoura, where vibrant energy meets serene coastal living. With an exclusive design and elevated services, in this touristic and residential project every moment feels uniquely exceptional.</v>
      </c>
      <c r="AI38" t="str">
        <v>Condo Pool, Outdoor Areas, Underground Parking, Reception, Concierge, Vista Membership</v>
      </c>
      <c r="AJ38" t="str">
        <v>Apartamentos com exploração turística profissional e possibilidade de uso pelos proprietários; Amenities de excelência; Vistas excepcionais e em primeira linha de mar; Rooftops com plunge pool privativos.</v>
      </c>
      <c r="AK38" t="str">
        <v>NLA</v>
      </c>
      <c r="AL38" t="str">
        <v>The Uncommon</v>
      </c>
    </row>
    <row r="39" spans="1:38" x14ac:dyDescent="0.3">
      <c r="A39" s="110" t="str">
        <v>THE UNCOMMON</v>
      </c>
      <c r="B39" s="110" t="str">
        <v>Vilamoura</v>
      </c>
      <c r="C39" s="110" t="str">
        <v>210</v>
      </c>
      <c r="D39" s="110" t="str">
        <v>Vilamoura, Algarve</v>
      </c>
      <c r="E39" s="110" t="str">
        <v>T4 Duplex</v>
      </c>
      <c r="F39" s="110">
        <v>280.5</v>
      </c>
      <c r="G39" s="110">
        <v>0</v>
      </c>
      <c r="H39" s="110" t="str">
        <v>1</v>
      </c>
      <c r="I39" s="110" t="str">
        <v/>
      </c>
      <c r="J39" s="110">
        <v>46.5</v>
      </c>
      <c r="K39" s="110">
        <v>0</v>
      </c>
      <c r="L39" s="110">
        <v>0</v>
      </c>
      <c r="M39" s="110">
        <v>0</v>
      </c>
      <c r="N39" s="110">
        <v>0</v>
      </c>
      <c r="O39" s="110">
        <v>234</v>
      </c>
      <c r="P39" s="110">
        <v>0</v>
      </c>
      <c r="Q39" s="110" t="str">
        <v>AVAILABLE</v>
      </c>
      <c r="R39" s="110">
        <v>3705000</v>
      </c>
      <c r="S39" s="110">
        <v>3810000</v>
      </c>
      <c r="T39" s="110">
        <v>3930000</v>
      </c>
      <c r="U39" s="110">
        <v>60000</v>
      </c>
      <c r="V39" s="110">
        <v>45000</v>
      </c>
      <c r="W39" s="110">
        <v>3825000</v>
      </c>
      <c r="X39" s="110">
        <v>0</v>
      </c>
      <c r="Y39" s="110">
        <v>3930000</v>
      </c>
      <c r="Z39" s="110">
        <v>3825000</v>
      </c>
      <c r="AA39" s="110">
        <v>46057</v>
      </c>
      <c r="AB39" s="111" t="str">
        <v>Q1 2026</v>
      </c>
      <c r="AC39">
        <v>0</v>
      </c>
      <c r="AD39">
        <v>0</v>
      </c>
      <c r="AE39" t="str">
        <v>Ana Damásio</v>
      </c>
      <c r="AF39" t="str">
        <v>Eduardo Lopes</v>
      </c>
      <c r="AG39" t="str">
        <v>TBD</v>
      </c>
      <c r="AH39" t="str">
        <v>The Uncommon is a front-row sea view masterpiece in Vilamoura, where vibrant energy meets serene coastal living. With an exclusive design and elevated services, in this touristic and residential project every moment feels uniquely exceptional.</v>
      </c>
      <c r="AI39" t="str">
        <v>Condo Pool, Outdoor Areas, Underground Parking, Reception, Concierge, Vista Membership</v>
      </c>
      <c r="AJ39" t="str">
        <v>Apartamentos com exploração turística profissional e possibilidade de uso pelos proprietários; Amenities de excelência; Vistas excepcionais e em primeira linha de mar; Rooftops com plunge pool privativos.</v>
      </c>
      <c r="AK39" t="str">
        <v>NLA</v>
      </c>
      <c r="AL39" t="str">
        <v>The Uncommon</v>
      </c>
    </row>
    <row r="40" spans="1:38" x14ac:dyDescent="0.3">
      <c r="A40" s="110" t="str">
        <v>THE UNCOMMON</v>
      </c>
      <c r="B40" s="110" t="str">
        <v>Vilamoura</v>
      </c>
      <c r="C40" s="110" t="str">
        <v>211</v>
      </c>
      <c r="D40" s="110" t="str">
        <v>Vilamoura, Algarve</v>
      </c>
      <c r="E40" s="110" t="str">
        <v>T1</v>
      </c>
      <c r="F40" s="110">
        <v>80.900000000000006</v>
      </c>
      <c r="G40" s="110">
        <v>0</v>
      </c>
      <c r="H40" s="110" t="str">
        <v>1</v>
      </c>
      <c r="I40" s="110" t="str">
        <v/>
      </c>
      <c r="J40" s="110">
        <v>18</v>
      </c>
      <c r="K40" s="110">
        <v>0</v>
      </c>
      <c r="L40" s="110">
        <v>0</v>
      </c>
      <c r="M40" s="110">
        <v>0</v>
      </c>
      <c r="N40" s="110">
        <v>0</v>
      </c>
      <c r="O40" s="110">
        <v>62.9</v>
      </c>
      <c r="P40" s="110">
        <v>0</v>
      </c>
      <c r="Q40" s="110" t="str">
        <v>AVAILABLE</v>
      </c>
      <c r="R40" s="110">
        <v>625000</v>
      </c>
      <c r="S40" s="110">
        <v>690000</v>
      </c>
      <c r="T40" s="110">
        <v>750000</v>
      </c>
      <c r="U40" s="110">
        <v>50000</v>
      </c>
      <c r="V40" s="110">
        <v>15000</v>
      </c>
      <c r="W40" s="110">
        <v>685000</v>
      </c>
      <c r="X40" s="110">
        <v>0</v>
      </c>
      <c r="Y40" s="110">
        <v>750000</v>
      </c>
      <c r="Z40" s="110">
        <v>685000</v>
      </c>
      <c r="AA40" s="110">
        <v>46057</v>
      </c>
      <c r="AB40" s="111" t="str">
        <v>Q1 2026</v>
      </c>
      <c r="AC40">
        <v>0</v>
      </c>
      <c r="AD40">
        <v>0</v>
      </c>
      <c r="AE40" t="str">
        <v>Ana Damásio</v>
      </c>
      <c r="AF40" t="str">
        <v>Eduardo Lopes</v>
      </c>
      <c r="AG40" t="str">
        <v>TBD</v>
      </c>
      <c r="AH40" t="str">
        <v>The Uncommon is a front-row sea view masterpiece in Vilamoura, where vibrant energy meets serene coastal living. With an exclusive design and elevated services, in this touristic and residential project every moment feels uniquely exceptional.</v>
      </c>
      <c r="AI40" t="str">
        <v>Condo Pool, Outdoor Areas, Underground Parking, Reception, Concierge, Vista Membership</v>
      </c>
      <c r="AJ40" t="str">
        <v>Apartamentos com exploração turística profissional e possibilidade de uso pelos proprietários; Amenities de excelência; Vistas excepcionais e em primeira linha de mar; Rooftops com plunge pool privativos.</v>
      </c>
      <c r="AK40" t="str">
        <v>NLA</v>
      </c>
      <c r="AL40" t="str">
        <v>The Uncommon</v>
      </c>
    </row>
    <row r="41" spans="1:38" x14ac:dyDescent="0.3">
      <c r="A41" s="110" t="str">
        <v>THE UNCOMMON</v>
      </c>
      <c r="B41" s="110" t="str">
        <v>Vilamoura</v>
      </c>
      <c r="C41" s="110" t="str">
        <v>212</v>
      </c>
      <c r="D41" s="110" t="str">
        <v>Vilamoura, Algarve</v>
      </c>
      <c r="E41" s="110" t="str">
        <v>T1</v>
      </c>
      <c r="F41" s="110">
        <v>81.099999999999994</v>
      </c>
      <c r="G41" s="110">
        <v>0</v>
      </c>
      <c r="H41" s="110" t="str">
        <v>1</v>
      </c>
      <c r="I41" s="110" t="str">
        <v/>
      </c>
      <c r="J41" s="110">
        <v>18</v>
      </c>
      <c r="K41" s="110">
        <v>0</v>
      </c>
      <c r="L41" s="110">
        <v>0</v>
      </c>
      <c r="M41" s="110">
        <v>0</v>
      </c>
      <c r="N41" s="110">
        <v>0</v>
      </c>
      <c r="O41" s="110">
        <v>63.1</v>
      </c>
      <c r="P41" s="110">
        <v>0</v>
      </c>
      <c r="Q41" s="110" t="str">
        <v>AVAILABLE</v>
      </c>
      <c r="R41" s="110">
        <v>645000</v>
      </c>
      <c r="S41" s="110">
        <v>710000</v>
      </c>
      <c r="T41" s="110">
        <v>770000</v>
      </c>
      <c r="U41" s="110">
        <v>50000</v>
      </c>
      <c r="V41" s="110">
        <v>15000</v>
      </c>
      <c r="W41" s="110">
        <v>705000</v>
      </c>
      <c r="X41" s="110">
        <v>0</v>
      </c>
      <c r="Y41" s="110">
        <v>770000</v>
      </c>
      <c r="Z41" s="110">
        <v>705000</v>
      </c>
      <c r="AA41" s="110">
        <v>46057</v>
      </c>
      <c r="AB41" s="111" t="str">
        <v>Q1 2026</v>
      </c>
      <c r="AC41">
        <v>0</v>
      </c>
      <c r="AD41">
        <v>0</v>
      </c>
      <c r="AE41" t="str">
        <v>Ana Damásio</v>
      </c>
      <c r="AF41" t="str">
        <v>Eduardo Lopes</v>
      </c>
      <c r="AG41" t="str">
        <v>TBD</v>
      </c>
      <c r="AH41" t="str">
        <v>The Uncommon is a front-row sea view masterpiece in Vilamoura, where vibrant energy meets serene coastal living. With an exclusive design and elevated services, in this touristic and residential project every moment feels uniquely exceptional.</v>
      </c>
      <c r="AI41" t="str">
        <v>Condo Pool, Outdoor Areas, Underground Parking, Reception, Concierge, Vista Membership</v>
      </c>
      <c r="AJ41" t="str">
        <v>Apartamentos com exploração turística profissional e possibilidade de uso pelos proprietários; Amenities de excelência; Vistas excepcionais e em primeira linha de mar; Rooftops com plunge pool privativos.</v>
      </c>
      <c r="AK41" t="str">
        <v>NLA</v>
      </c>
      <c r="AL41" t="str">
        <v>The Uncommon</v>
      </c>
    </row>
    <row r="42" spans="1:38" x14ac:dyDescent="0.3">
      <c r="A42" s="110" t="str">
        <v>THE UNCOMMON</v>
      </c>
      <c r="B42" s="110" t="str">
        <v>Vilamoura</v>
      </c>
      <c r="C42" s="110" t="str">
        <v>213</v>
      </c>
      <c r="D42" s="110" t="str">
        <v>Vilamoura, Algarve</v>
      </c>
      <c r="E42" s="110" t="str">
        <v>T1</v>
      </c>
      <c r="F42" s="110">
        <v>81.099999999999994</v>
      </c>
      <c r="G42" s="110">
        <v>0</v>
      </c>
      <c r="H42" s="110" t="str">
        <v>1</v>
      </c>
      <c r="I42" s="110" t="str">
        <v/>
      </c>
      <c r="J42" s="110">
        <v>18</v>
      </c>
      <c r="K42" s="110">
        <v>0</v>
      </c>
      <c r="L42" s="110">
        <v>0</v>
      </c>
      <c r="M42" s="110">
        <v>0</v>
      </c>
      <c r="N42" s="110">
        <v>0</v>
      </c>
      <c r="O42" s="110">
        <v>63.1</v>
      </c>
      <c r="P42" s="110">
        <v>0</v>
      </c>
      <c r="Q42" s="110" t="str">
        <v>AVAILABLE</v>
      </c>
      <c r="R42" s="110">
        <v>695000</v>
      </c>
      <c r="S42" s="110">
        <v>760000</v>
      </c>
      <c r="T42" s="110">
        <v>820000</v>
      </c>
      <c r="U42" s="110">
        <v>50000</v>
      </c>
      <c r="V42" s="110">
        <v>15000</v>
      </c>
      <c r="W42" s="110">
        <v>755000</v>
      </c>
      <c r="X42" s="110">
        <v>0</v>
      </c>
      <c r="Y42" s="110">
        <v>820000</v>
      </c>
      <c r="Z42" s="110">
        <v>755000</v>
      </c>
      <c r="AA42" s="110">
        <v>46057</v>
      </c>
      <c r="AB42" s="111" t="str">
        <v>Q1 2026</v>
      </c>
      <c r="AC42">
        <v>0</v>
      </c>
      <c r="AD42">
        <v>0</v>
      </c>
      <c r="AE42" t="str">
        <v>Ana Damásio</v>
      </c>
      <c r="AF42" t="str">
        <v>Eduardo Lopes</v>
      </c>
      <c r="AG42" t="str">
        <v>TBD</v>
      </c>
      <c r="AH42" t="str">
        <v>The Uncommon is a front-row sea view masterpiece in Vilamoura, where vibrant energy meets serene coastal living. With an exclusive design and elevated services, in this touristic and residential project every moment feels uniquely exceptional.</v>
      </c>
      <c r="AI42" t="str">
        <v>Condo Pool, Outdoor Areas, Underground Parking, Reception, Concierge, Vista Membership</v>
      </c>
      <c r="AJ42" t="str">
        <v>Apartamentos com exploração turística profissional e possibilidade de uso pelos proprietários; Amenities de excelência; Vistas excepcionais e em primeira linha de mar; Rooftops com plunge pool privativos.</v>
      </c>
      <c r="AK42" t="str">
        <v>NLA</v>
      </c>
      <c r="AL42" t="str">
        <v>The Uncommon</v>
      </c>
    </row>
    <row r="43" spans="1:38" x14ac:dyDescent="0.3">
      <c r="A43" s="110" t="str">
        <v>THE UNCOMMON</v>
      </c>
      <c r="B43" s="110" t="str">
        <v>Vilamoura</v>
      </c>
      <c r="C43" s="110" t="str">
        <v>214</v>
      </c>
      <c r="D43" s="110" t="str">
        <v>Vilamoura, Algarve</v>
      </c>
      <c r="E43" s="110" t="str">
        <v>T1</v>
      </c>
      <c r="F43" s="110">
        <v>81.099999999999994</v>
      </c>
      <c r="G43" s="110">
        <v>0</v>
      </c>
      <c r="H43" s="110" t="str">
        <v>1</v>
      </c>
      <c r="I43" s="110" t="str">
        <v/>
      </c>
      <c r="J43" s="110">
        <v>18</v>
      </c>
      <c r="K43" s="110">
        <v>0</v>
      </c>
      <c r="L43" s="110">
        <v>0</v>
      </c>
      <c r="M43" s="110">
        <v>0</v>
      </c>
      <c r="N43" s="110">
        <v>0</v>
      </c>
      <c r="O43" s="110">
        <v>63.1</v>
      </c>
      <c r="P43" s="110">
        <v>0</v>
      </c>
      <c r="Q43" s="110" t="str">
        <v>AVAILABLE</v>
      </c>
      <c r="R43" s="110">
        <v>735000</v>
      </c>
      <c r="S43" s="110">
        <v>800000</v>
      </c>
      <c r="T43" s="110">
        <v>860000</v>
      </c>
      <c r="U43" s="110">
        <v>50000</v>
      </c>
      <c r="V43" s="110">
        <v>15000</v>
      </c>
      <c r="W43" s="110">
        <v>795000</v>
      </c>
      <c r="X43" s="110">
        <v>0</v>
      </c>
      <c r="Y43" s="110">
        <v>860000</v>
      </c>
      <c r="Z43" s="110">
        <v>795000</v>
      </c>
      <c r="AA43" s="110">
        <v>46057</v>
      </c>
      <c r="AB43" s="111" t="str">
        <v>Q1 2026</v>
      </c>
      <c r="AC43">
        <v>0</v>
      </c>
      <c r="AD43">
        <v>0</v>
      </c>
      <c r="AE43" t="str">
        <v>Ana Damásio</v>
      </c>
      <c r="AF43" t="str">
        <v>Eduardo Lopes</v>
      </c>
      <c r="AG43" t="str">
        <v>TBD</v>
      </c>
      <c r="AH43" t="str">
        <v>The Uncommon is a front-row sea view masterpiece in Vilamoura, where vibrant energy meets serene coastal living. With an exclusive design and elevated services, in this touristic and residential project every moment feels uniquely exceptional.</v>
      </c>
      <c r="AI43" t="str">
        <v>Condo Pool, Outdoor Areas, Underground Parking, Reception, Concierge, Vista Membership</v>
      </c>
      <c r="AJ43" t="str">
        <v>Apartamentos com exploração turística profissional e possibilidade de uso pelos proprietários; Amenities de excelência; Vistas excepcionais e em primeira linha de mar; Rooftops com plunge pool privativos.</v>
      </c>
      <c r="AK43" t="str">
        <v>NLA</v>
      </c>
      <c r="AL43" t="str">
        <v>The Uncommon</v>
      </c>
    </row>
    <row r="44" spans="1:38" x14ac:dyDescent="0.3">
      <c r="A44" s="110" t="str">
        <v>THE UNCOMMON</v>
      </c>
      <c r="B44" s="110" t="str">
        <v>Vilamoura</v>
      </c>
      <c r="C44" s="110" t="str">
        <v>215</v>
      </c>
      <c r="D44" s="110" t="str">
        <v>Vilamoura, Algarve</v>
      </c>
      <c r="E44" s="110" t="str">
        <v>T1</v>
      </c>
      <c r="F44" s="110">
        <v>83</v>
      </c>
      <c r="G44" s="110">
        <v>0</v>
      </c>
      <c r="H44" s="110" t="str">
        <v>1</v>
      </c>
      <c r="I44" s="110" t="str">
        <v/>
      </c>
      <c r="J44" s="110">
        <v>18.7</v>
      </c>
      <c r="K44" s="110">
        <v>0</v>
      </c>
      <c r="L44" s="110">
        <v>0</v>
      </c>
      <c r="M44" s="110">
        <v>0</v>
      </c>
      <c r="N44" s="110">
        <v>0</v>
      </c>
      <c r="O44" s="110">
        <v>64.3</v>
      </c>
      <c r="P44" s="110">
        <v>0</v>
      </c>
      <c r="Q44" s="110" t="str">
        <v>AVAILABLE</v>
      </c>
      <c r="R44" s="110">
        <v>805000</v>
      </c>
      <c r="S44" s="110">
        <v>870000</v>
      </c>
      <c r="T44" s="110">
        <v>930000</v>
      </c>
      <c r="U44" s="110">
        <v>50000</v>
      </c>
      <c r="V44" s="110">
        <v>15000</v>
      </c>
      <c r="W44" s="110">
        <v>865000</v>
      </c>
      <c r="X44" s="110">
        <v>0</v>
      </c>
      <c r="Y44" s="110">
        <v>930000</v>
      </c>
      <c r="Z44" s="110">
        <v>865000</v>
      </c>
      <c r="AA44" s="110">
        <v>46057</v>
      </c>
      <c r="AB44" s="111" t="str">
        <v>Q1 2026</v>
      </c>
      <c r="AC44">
        <v>0</v>
      </c>
      <c r="AD44">
        <v>0</v>
      </c>
      <c r="AE44" t="str">
        <v>Ana Damásio</v>
      </c>
      <c r="AF44" t="str">
        <v>Eduardo Lopes</v>
      </c>
      <c r="AG44" t="str">
        <v>TBD</v>
      </c>
      <c r="AH44" t="str">
        <v>The Uncommon is a front-row sea view masterpiece in Vilamoura, where vibrant energy meets serene coastal living. With an exclusive design and elevated services, in this touristic and residential project every moment feels uniquely exceptional.</v>
      </c>
      <c r="AI44" t="str">
        <v>Condo Pool, Outdoor Areas, Underground Parking, Reception, Concierge, Vista Membership</v>
      </c>
      <c r="AJ44" t="str">
        <v>Apartamentos com exploração turística profissional e possibilidade de uso pelos proprietários; Amenities de excelência; Vistas excepcionais e em primeira linha de mar; Rooftops com plunge pool privativos.</v>
      </c>
      <c r="AK44" t="str">
        <v>NLA</v>
      </c>
      <c r="AL44" t="str">
        <v>The Uncommon</v>
      </c>
    </row>
    <row r="45" spans="1:38" x14ac:dyDescent="0.3">
      <c r="A45" s="110" t="str">
        <v>THE UNCOMMON</v>
      </c>
      <c r="B45" s="110" t="str">
        <v>Vilamoura</v>
      </c>
      <c r="C45" s="110" t="str">
        <v>216</v>
      </c>
      <c r="D45" s="110" t="str">
        <v>Vilamoura, Algarve</v>
      </c>
      <c r="E45" s="110" t="str">
        <v>T4 Duplex</v>
      </c>
      <c r="F45" s="110">
        <v>284.8</v>
      </c>
      <c r="G45" s="110">
        <v>0</v>
      </c>
      <c r="H45" s="110" t="str">
        <v>1</v>
      </c>
      <c r="I45" s="110" t="str">
        <v/>
      </c>
      <c r="J45" s="110">
        <v>60.8</v>
      </c>
      <c r="K45" s="110">
        <v>0</v>
      </c>
      <c r="L45" s="110">
        <v>0</v>
      </c>
      <c r="M45" s="110">
        <v>0</v>
      </c>
      <c r="N45" s="110">
        <v>0</v>
      </c>
      <c r="O45" s="110">
        <v>224</v>
      </c>
      <c r="P45" s="110">
        <v>0</v>
      </c>
      <c r="Q45" s="110" t="str">
        <v>AVAILABLE</v>
      </c>
      <c r="R45" s="110">
        <v>3525000</v>
      </c>
      <c r="S45" s="110">
        <v>3630000</v>
      </c>
      <c r="T45" s="110">
        <v>3740000</v>
      </c>
      <c r="U45" s="110">
        <v>60000</v>
      </c>
      <c r="V45" s="110">
        <v>45000</v>
      </c>
      <c r="W45" s="110">
        <v>3635000</v>
      </c>
      <c r="X45" s="110">
        <v>0</v>
      </c>
      <c r="Y45" s="110">
        <v>3740000</v>
      </c>
      <c r="Z45" s="110">
        <v>3635000</v>
      </c>
      <c r="AA45" s="110">
        <v>46057</v>
      </c>
      <c r="AB45" s="111" t="str">
        <v>Q1 2026</v>
      </c>
      <c r="AC45">
        <v>0</v>
      </c>
      <c r="AD45">
        <v>0</v>
      </c>
      <c r="AE45" t="str">
        <v>Ana Damásio</v>
      </c>
      <c r="AF45" t="str">
        <v>Eduardo Lopes</v>
      </c>
      <c r="AG45" t="str">
        <v>TBD</v>
      </c>
      <c r="AH45" t="str">
        <v>The Uncommon is a front-row sea view masterpiece in Vilamoura, where vibrant energy meets serene coastal living. With an exclusive design and elevated services, in this touristic and residential project every moment feels uniquely exceptional.</v>
      </c>
      <c r="AI45" t="str">
        <v>Condo Pool, Outdoor Areas, Underground Parking, Reception, Concierge, Vista Membership</v>
      </c>
      <c r="AJ45" t="str">
        <v>Apartamentos com exploração turística profissional e possibilidade de uso pelos proprietários; Amenities de excelência; Vistas excepcionais e em primeira linha de mar; Rooftops com plunge pool privativos.</v>
      </c>
      <c r="AK45" t="str">
        <v>NLA</v>
      </c>
      <c r="AL45" t="str">
        <v>The Uncommon</v>
      </c>
    </row>
    <row r="46" spans="1:38" x14ac:dyDescent="0.3">
      <c r="A46" s="110" t="str">
        <v>THE UNCOMMON</v>
      </c>
      <c r="B46" s="110" t="str">
        <v>Vilamoura</v>
      </c>
      <c r="C46" s="110" t="str">
        <v>3</v>
      </c>
      <c r="D46" s="110" t="str">
        <v>Vilamoura, Algarve</v>
      </c>
      <c r="E46" s="110" t="str">
        <v>T2</v>
      </c>
      <c r="F46" s="110">
        <v>168.6</v>
      </c>
      <c r="G46" s="110">
        <v>0</v>
      </c>
      <c r="H46" s="110" t="str">
        <v>1</v>
      </c>
      <c r="I46" s="110" t="str">
        <v/>
      </c>
      <c r="J46" s="110">
        <v>64.7</v>
      </c>
      <c r="K46" s="110">
        <v>0</v>
      </c>
      <c r="L46" s="110">
        <v>0</v>
      </c>
      <c r="M46" s="110">
        <v>0</v>
      </c>
      <c r="N46" s="110">
        <v>0</v>
      </c>
      <c r="O46" s="110">
        <v>103.9</v>
      </c>
      <c r="P46" s="110">
        <v>0</v>
      </c>
      <c r="Q46" s="110" t="str">
        <v>AVAILABLE</v>
      </c>
      <c r="R46" s="110">
        <v>957000</v>
      </c>
      <c r="S46" s="110">
        <v>1030000</v>
      </c>
      <c r="T46" s="110">
        <v>1100000</v>
      </c>
      <c r="U46" s="110">
        <v>50000</v>
      </c>
      <c r="V46" s="110">
        <v>23000</v>
      </c>
      <c r="W46" s="110">
        <v>1027000</v>
      </c>
      <c r="X46" s="110">
        <v>0</v>
      </c>
      <c r="Y46" s="110">
        <v>1100000</v>
      </c>
      <c r="Z46" s="110">
        <v>1027000</v>
      </c>
      <c r="AA46" s="110">
        <v>46057</v>
      </c>
      <c r="AB46" s="111" t="str">
        <v>Q1 2026</v>
      </c>
      <c r="AC46">
        <v>0</v>
      </c>
      <c r="AD46">
        <v>0</v>
      </c>
      <c r="AE46" t="str">
        <v>Ana Damásio</v>
      </c>
      <c r="AF46" t="str">
        <v>Eduardo Lopes</v>
      </c>
      <c r="AG46" t="str">
        <v>TBD</v>
      </c>
      <c r="AH46" t="str">
        <v>The Uncommon is a front-row sea view masterpiece in Vilamoura, where vibrant energy meets serene coastal living. With an exclusive design and elevated services, in this touristic and residential project every moment feels uniquely exceptional.</v>
      </c>
      <c r="AI46" t="str">
        <v>Condo Pool, Outdoor Areas, Underground Parking, Reception, Concierge, Vista Membership</v>
      </c>
      <c r="AJ46" t="str">
        <v>Apartamentos com exploração turística profissional e possibilidade de uso pelos proprietários; Amenities de excelência; Vistas excepcionais e em primeira linha de mar; Rooftops com plunge pool privativos.</v>
      </c>
      <c r="AK46" t="str">
        <v>NLA</v>
      </c>
      <c r="AL46" t="str">
        <v>The Uncommon</v>
      </c>
    </row>
    <row r="47" spans="1:38" x14ac:dyDescent="0.3">
      <c r="A47" s="110" t="str">
        <v>THE UNCOMMON</v>
      </c>
      <c r="B47" s="110" t="str">
        <v>Vilamoura</v>
      </c>
      <c r="C47" s="110" t="str">
        <v>301</v>
      </c>
      <c r="D47" s="110" t="str">
        <v>Vilamoura, Algarve</v>
      </c>
      <c r="E47" s="110" t="str">
        <v>T3</v>
      </c>
      <c r="F47" s="110">
        <v>183.9</v>
      </c>
      <c r="G47" s="110">
        <v>0</v>
      </c>
      <c r="H47" s="110" t="str">
        <v>1</v>
      </c>
      <c r="I47" s="110" t="str">
        <v/>
      </c>
      <c r="J47" s="110">
        <v>34.299999999999997</v>
      </c>
      <c r="K47" s="110">
        <v>0</v>
      </c>
      <c r="L47" s="110">
        <v>0</v>
      </c>
      <c r="M47" s="110">
        <v>0</v>
      </c>
      <c r="N47" s="110">
        <v>0</v>
      </c>
      <c r="O47" s="110">
        <v>149.6</v>
      </c>
      <c r="P47" s="110">
        <v>0</v>
      </c>
      <c r="Q47" s="110" t="str">
        <v>AVAILABLE</v>
      </c>
      <c r="R47" s="110">
        <v>2110000</v>
      </c>
      <c r="S47" s="110">
        <v>2190000</v>
      </c>
      <c r="T47" s="110">
        <v>2270000</v>
      </c>
      <c r="U47" s="110">
        <v>50000</v>
      </c>
      <c r="V47" s="110">
        <v>30000</v>
      </c>
      <c r="W47" s="110">
        <v>2190000</v>
      </c>
      <c r="X47" s="110">
        <v>0</v>
      </c>
      <c r="Y47" s="110">
        <v>2270000</v>
      </c>
      <c r="Z47" s="110">
        <v>2190000</v>
      </c>
      <c r="AA47" s="110">
        <v>46057</v>
      </c>
      <c r="AB47" s="111" t="str">
        <v>Q1 2026</v>
      </c>
      <c r="AC47">
        <v>0</v>
      </c>
      <c r="AD47">
        <v>0</v>
      </c>
      <c r="AE47" t="str">
        <v>Ana Damásio</v>
      </c>
      <c r="AF47" t="str">
        <v>Eduardo Lopes</v>
      </c>
      <c r="AG47" t="str">
        <v>TBD</v>
      </c>
      <c r="AH47" t="str">
        <v>The Uncommon is a front-row sea view masterpiece in Vilamoura, where vibrant energy meets serene coastal living. With an exclusive design and elevated services, in this touristic and residential project every moment feels uniquely exceptional.</v>
      </c>
      <c r="AI47" t="str">
        <v>Condo Pool, Outdoor Areas, Underground Parking, Reception, Concierge, Vista Membership</v>
      </c>
      <c r="AJ47" t="str">
        <v>Apartamentos com exploração turística profissional e possibilidade de uso pelos proprietários; Amenities de excelência; Vistas excepcionais e em primeira linha de mar; Rooftops com plunge pool privativos.</v>
      </c>
      <c r="AK47" t="str">
        <v>NLA</v>
      </c>
      <c r="AL47" t="str">
        <v>The Uncommon</v>
      </c>
    </row>
    <row r="48" spans="1:38" x14ac:dyDescent="0.3">
      <c r="A48" s="110" t="str">
        <v>THE UNCOMMON</v>
      </c>
      <c r="B48" s="110" t="str">
        <v>Vilamoura</v>
      </c>
      <c r="C48" s="110" t="str">
        <v>302</v>
      </c>
      <c r="D48" s="110" t="str">
        <v>Vilamoura, Algarve</v>
      </c>
      <c r="E48" s="110" t="str">
        <v>T2</v>
      </c>
      <c r="F48" s="110">
        <v>129.4</v>
      </c>
      <c r="G48" s="110">
        <v>0</v>
      </c>
      <c r="H48" s="110" t="str">
        <v>1</v>
      </c>
      <c r="I48" s="110" t="str">
        <v/>
      </c>
      <c r="J48" s="110">
        <v>25.5</v>
      </c>
      <c r="K48" s="110">
        <v>0</v>
      </c>
      <c r="L48" s="110">
        <v>0</v>
      </c>
      <c r="M48" s="110">
        <v>0</v>
      </c>
      <c r="N48" s="110">
        <v>0</v>
      </c>
      <c r="O48" s="110">
        <v>103.9</v>
      </c>
      <c r="P48" s="110">
        <v>0</v>
      </c>
      <c r="Q48" s="110" t="str">
        <v>AVAILABLE</v>
      </c>
      <c r="R48" s="110">
        <v>1097000</v>
      </c>
      <c r="S48" s="110">
        <v>1170000</v>
      </c>
      <c r="T48" s="110">
        <v>1240000</v>
      </c>
      <c r="U48" s="110">
        <v>50000</v>
      </c>
      <c r="V48" s="110">
        <v>23000</v>
      </c>
      <c r="W48" s="110">
        <v>1167000</v>
      </c>
      <c r="X48" s="110">
        <v>0</v>
      </c>
      <c r="Y48" s="110">
        <v>1240000</v>
      </c>
      <c r="Z48" s="110">
        <v>1167000</v>
      </c>
      <c r="AA48" s="110">
        <v>46057</v>
      </c>
      <c r="AB48" s="111" t="str">
        <v>Q1 2026</v>
      </c>
      <c r="AC48">
        <v>0</v>
      </c>
      <c r="AD48">
        <v>0</v>
      </c>
      <c r="AE48" t="str">
        <v>Ana Damásio</v>
      </c>
      <c r="AF48" t="str">
        <v>Eduardo Lopes</v>
      </c>
      <c r="AG48" t="str">
        <v>TBD</v>
      </c>
      <c r="AH48" t="str">
        <v>The Uncommon is a front-row sea view masterpiece in Vilamoura, where vibrant energy meets serene coastal living. With an exclusive design and elevated services, in this touristic and residential project every moment feels uniquely exceptional.</v>
      </c>
      <c r="AI48" t="str">
        <v>Condo Pool, Outdoor Areas, Underground Parking, Reception, Concierge, Vista Membership</v>
      </c>
      <c r="AJ48" t="str">
        <v>Apartamentos com exploração turística profissional e possibilidade de uso pelos proprietários; Amenities de excelência; Vistas excepcionais e em primeira linha de mar; Rooftops com plunge pool privativos.</v>
      </c>
      <c r="AK48" t="str">
        <v>NLA</v>
      </c>
      <c r="AL48" t="str">
        <v>The Uncommon</v>
      </c>
    </row>
    <row r="49" spans="1:38" x14ac:dyDescent="0.3">
      <c r="A49" t="str">
        <v>THE UNCOMMON</v>
      </c>
      <c r="B49" t="str">
        <v>Vilamoura</v>
      </c>
      <c r="C49" t="str">
        <v>303</v>
      </c>
      <c r="D49" t="str">
        <v>Vilamoura, Algarve</v>
      </c>
      <c r="E49" t="str">
        <v>T2</v>
      </c>
      <c r="F49">
        <v>130.1</v>
      </c>
      <c r="G49">
        <v>0</v>
      </c>
      <c r="H49" t="str">
        <v>1</v>
      </c>
      <c r="I49" t="str">
        <v/>
      </c>
      <c r="J49">
        <v>25.5</v>
      </c>
      <c r="K49">
        <v>0</v>
      </c>
      <c r="L49">
        <v>0</v>
      </c>
      <c r="M49" s="79">
        <v>0</v>
      </c>
      <c r="N49">
        <v>0</v>
      </c>
      <c r="O49">
        <v>104.6</v>
      </c>
      <c r="P49">
        <v>0</v>
      </c>
      <c r="Q49" t="str">
        <v>AVAILABLE</v>
      </c>
      <c r="R49">
        <v>1017000</v>
      </c>
      <c r="S49">
        <v>1090000</v>
      </c>
      <c r="T49">
        <v>1160000</v>
      </c>
      <c r="U49">
        <v>50000</v>
      </c>
      <c r="V49">
        <v>23000</v>
      </c>
      <c r="W49">
        <v>1087000</v>
      </c>
      <c r="X49">
        <v>0</v>
      </c>
      <c r="Y49">
        <v>1160000</v>
      </c>
      <c r="Z49">
        <v>1087000</v>
      </c>
      <c r="AA49">
        <v>46057</v>
      </c>
      <c r="AB49" t="str">
        <v>Q1 2026</v>
      </c>
      <c r="AC49">
        <v>0</v>
      </c>
      <c r="AD49">
        <v>0</v>
      </c>
      <c r="AE49" t="str">
        <v>Ana Damásio</v>
      </c>
      <c r="AF49" t="str">
        <v>Eduardo Lopes</v>
      </c>
      <c r="AG49" t="str">
        <v>TBD</v>
      </c>
      <c r="AH49" t="str">
        <v>The Uncommon is a front-row sea view masterpiece in Vilamoura, where vibrant energy meets serene coastal living. With an exclusive design and elevated services, in this touristic and residential project every moment feels uniquely exceptional.</v>
      </c>
      <c r="AI49" t="str">
        <v>Condo Pool, Outdoor Areas, Underground Parking, Reception, Concierge, Vista Membership</v>
      </c>
      <c r="AJ49" t="str">
        <v>Apartamentos com exploração turística profissional e possibilidade de uso pelos proprietários; Amenities de excelência; Vistas excepcionais e em primeira linha de mar; Rooftops com plunge pool privativos.</v>
      </c>
      <c r="AK49" t="str">
        <v>NLA</v>
      </c>
      <c r="AL49" t="str">
        <v>The Uncommon</v>
      </c>
    </row>
    <row r="50" spans="1:38" x14ac:dyDescent="0.3">
      <c r="A50" t="str">
        <v>THE UNCOMMON</v>
      </c>
      <c r="B50" t="str">
        <v>Vilamoura</v>
      </c>
      <c r="C50" t="str">
        <v>304</v>
      </c>
      <c r="D50" t="str">
        <v>Vilamoura, Algarve</v>
      </c>
      <c r="E50" t="str">
        <v>T2</v>
      </c>
      <c r="F50">
        <v>130</v>
      </c>
      <c r="G50">
        <v>0</v>
      </c>
      <c r="H50" t="str">
        <v>1</v>
      </c>
      <c r="I50" t="str">
        <v/>
      </c>
      <c r="J50">
        <v>25.4</v>
      </c>
      <c r="K50">
        <v>0</v>
      </c>
      <c r="L50">
        <v>0</v>
      </c>
      <c r="M50" s="79">
        <v>0</v>
      </c>
      <c r="N50">
        <v>0</v>
      </c>
      <c r="O50">
        <v>104.6</v>
      </c>
      <c r="P50">
        <v>0</v>
      </c>
      <c r="Q50" t="str">
        <v>AVAILABLE</v>
      </c>
      <c r="R50">
        <v>937000</v>
      </c>
      <c r="S50">
        <v>1010000</v>
      </c>
      <c r="T50">
        <v>1070000</v>
      </c>
      <c r="U50">
        <v>50000</v>
      </c>
      <c r="V50">
        <v>23000</v>
      </c>
      <c r="W50">
        <v>997000</v>
      </c>
      <c r="X50">
        <v>0</v>
      </c>
      <c r="Y50">
        <v>1070000</v>
      </c>
      <c r="Z50">
        <v>997000</v>
      </c>
      <c r="AA50">
        <v>46057</v>
      </c>
      <c r="AB50" t="str">
        <v>Q1 2026</v>
      </c>
      <c r="AC50">
        <v>0</v>
      </c>
      <c r="AD50">
        <v>0</v>
      </c>
      <c r="AE50" t="str">
        <v>Ana Damásio</v>
      </c>
      <c r="AF50" t="str">
        <v>Eduardo Lopes</v>
      </c>
      <c r="AG50" t="str">
        <v>TBD</v>
      </c>
      <c r="AH50" t="str">
        <v>The Uncommon is a front-row sea view masterpiece in Vilamoura, where vibrant energy meets serene coastal living. With an exclusive design and elevated services, in this touristic and residential project every moment feels uniquely exceptional.</v>
      </c>
      <c r="AI50" t="str">
        <v>Condo Pool, Outdoor Areas, Underground Parking, Reception, Concierge, Vista Membership</v>
      </c>
      <c r="AJ50" t="str">
        <v>Apartamentos com exploração turística profissional e possibilidade de uso pelos proprietários; Amenities de excelência; Vistas excepcionais e em primeira linha de mar; Rooftops com plunge pool privativos.</v>
      </c>
      <c r="AK50" t="str">
        <v>NLA</v>
      </c>
      <c r="AL50" t="str">
        <v>The Uncommon</v>
      </c>
    </row>
    <row r="51" spans="1:38" x14ac:dyDescent="0.3">
      <c r="A51" t="str">
        <v>THE UNCOMMON</v>
      </c>
      <c r="B51" t="str">
        <v>Vilamoura</v>
      </c>
      <c r="C51" t="str">
        <v>305</v>
      </c>
      <c r="D51" t="str">
        <v>Vilamoura, Algarve</v>
      </c>
      <c r="E51" t="str">
        <v>T2</v>
      </c>
      <c r="F51">
        <v>130.1</v>
      </c>
      <c r="G51">
        <v>0</v>
      </c>
      <c r="H51" t="str">
        <v>1</v>
      </c>
      <c r="I51" t="str">
        <v/>
      </c>
      <c r="J51">
        <v>25.5</v>
      </c>
      <c r="K51">
        <v>0</v>
      </c>
      <c r="L51">
        <v>0</v>
      </c>
      <c r="M51" s="79">
        <v>0</v>
      </c>
      <c r="N51">
        <v>0</v>
      </c>
      <c r="O51">
        <v>104.6</v>
      </c>
      <c r="P51">
        <v>0</v>
      </c>
      <c r="Q51" t="str">
        <v>AVAILABLE</v>
      </c>
      <c r="R51">
        <v>1017000</v>
      </c>
      <c r="S51">
        <v>1090000</v>
      </c>
      <c r="T51">
        <v>1160000</v>
      </c>
      <c r="U51">
        <v>50000</v>
      </c>
      <c r="V51">
        <v>23000</v>
      </c>
      <c r="W51">
        <v>1087000</v>
      </c>
      <c r="X51">
        <v>0</v>
      </c>
      <c r="Y51">
        <v>1160000</v>
      </c>
      <c r="Z51">
        <v>1087000</v>
      </c>
      <c r="AA51">
        <v>46057</v>
      </c>
      <c r="AB51" t="str">
        <v>Q1 2026</v>
      </c>
      <c r="AC51">
        <v>0</v>
      </c>
      <c r="AD51">
        <v>0</v>
      </c>
      <c r="AE51" t="str">
        <v>Ana Damásio</v>
      </c>
      <c r="AF51" t="str">
        <v>Eduardo Lopes</v>
      </c>
      <c r="AG51" t="str">
        <v>TBD</v>
      </c>
      <c r="AH51" t="str">
        <v>The Uncommon is a front-row sea view masterpiece in Vilamoura, where vibrant energy meets serene coastal living. With an exclusive design and elevated services, in this touristic and residential project every moment feels uniquely exceptional.</v>
      </c>
      <c r="AI51" t="str">
        <v>Condo Pool, Outdoor Areas, Underground Parking, Reception, Concierge, Vista Membership</v>
      </c>
      <c r="AJ51" t="str">
        <v>Apartamentos com exploração turística profissional e possibilidade de uso pelos proprietários; Amenities de excelência; Vistas excepcionais e em primeira linha de mar; Rooftops com plunge pool privativos.</v>
      </c>
      <c r="AK51" t="str">
        <v>NLA</v>
      </c>
      <c r="AL51" t="str">
        <v>The Uncommon</v>
      </c>
    </row>
    <row r="52" spans="1:38" x14ac:dyDescent="0.3">
      <c r="A52" t="str">
        <v>THE UNCOMMON</v>
      </c>
      <c r="B52" t="str">
        <v>Vilamoura</v>
      </c>
      <c r="C52" t="str">
        <v>306</v>
      </c>
      <c r="D52" t="str">
        <v>Vilamoura, Algarve</v>
      </c>
      <c r="E52" t="str">
        <v>T2</v>
      </c>
      <c r="F52">
        <v>129.4</v>
      </c>
      <c r="G52">
        <v>0</v>
      </c>
      <c r="H52" t="str">
        <v>1</v>
      </c>
      <c r="I52" t="str">
        <v/>
      </c>
      <c r="J52">
        <v>25.5</v>
      </c>
      <c r="K52">
        <v>0</v>
      </c>
      <c r="L52">
        <v>0</v>
      </c>
      <c r="M52" s="79">
        <v>0</v>
      </c>
      <c r="N52">
        <v>0</v>
      </c>
      <c r="O52">
        <v>103.9</v>
      </c>
      <c r="P52">
        <v>0</v>
      </c>
      <c r="Q52" t="str">
        <v>AVAILABLE</v>
      </c>
      <c r="R52">
        <v>1097000</v>
      </c>
      <c r="S52">
        <v>1170000</v>
      </c>
      <c r="T52">
        <v>1240000</v>
      </c>
      <c r="U52">
        <v>50000</v>
      </c>
      <c r="V52">
        <v>23000</v>
      </c>
      <c r="W52">
        <v>1167000</v>
      </c>
      <c r="X52">
        <v>0</v>
      </c>
      <c r="Y52">
        <v>1240000</v>
      </c>
      <c r="Z52">
        <v>1167000</v>
      </c>
      <c r="AA52">
        <v>46057</v>
      </c>
      <c r="AB52" t="str">
        <v>Q1 2026</v>
      </c>
      <c r="AC52">
        <v>0</v>
      </c>
      <c r="AD52">
        <v>0</v>
      </c>
      <c r="AE52" t="str">
        <v>Ana Damásio</v>
      </c>
      <c r="AF52" t="str">
        <v>Eduardo Lopes</v>
      </c>
      <c r="AG52" t="str">
        <v>TBD</v>
      </c>
      <c r="AH52" t="str">
        <v>The Uncommon is a front-row sea view masterpiece in Vilamoura, where vibrant energy meets serene coastal living. With an exclusive design and elevated services, in this touristic and residential project every moment feels uniquely exceptional.</v>
      </c>
      <c r="AI52" t="str">
        <v>Condo Pool, Outdoor Areas, Underground Parking, Reception, Concierge, Vista Membership</v>
      </c>
      <c r="AJ52" t="str">
        <v>Apartamentos com exploração turística profissional e possibilidade de uso pelos proprietários; Amenities de excelência; Vistas excepcionais e em primeira linha de mar; Rooftops com plunge pool privativos.</v>
      </c>
      <c r="AK52" t="str">
        <v>NLA</v>
      </c>
      <c r="AL52" t="str">
        <v>The Uncommon</v>
      </c>
    </row>
    <row r="53" spans="1:38" x14ac:dyDescent="0.3">
      <c r="A53" t="str">
        <v>THE UNCOMMON</v>
      </c>
      <c r="B53" t="str">
        <v>Vilamoura</v>
      </c>
      <c r="C53" t="str">
        <v>307</v>
      </c>
      <c r="D53" t="str">
        <v>Vilamoura, Algarve</v>
      </c>
      <c r="E53" t="str">
        <v>T2</v>
      </c>
      <c r="F53">
        <v>129.4</v>
      </c>
      <c r="G53">
        <v>0</v>
      </c>
      <c r="H53" t="str">
        <v>1</v>
      </c>
      <c r="I53" t="str">
        <v/>
      </c>
      <c r="J53">
        <v>25.5</v>
      </c>
      <c r="K53">
        <v>0</v>
      </c>
      <c r="L53">
        <v>0</v>
      </c>
      <c r="M53" s="79">
        <v>0</v>
      </c>
      <c r="N53">
        <v>0</v>
      </c>
      <c r="O53">
        <v>103.9</v>
      </c>
      <c r="P53">
        <v>0</v>
      </c>
      <c r="Q53" t="str">
        <v>AVAILABLE</v>
      </c>
      <c r="R53">
        <v>1177000</v>
      </c>
      <c r="S53">
        <v>1250000</v>
      </c>
      <c r="T53">
        <v>1320000</v>
      </c>
      <c r="U53">
        <v>50000</v>
      </c>
      <c r="V53">
        <v>23000</v>
      </c>
      <c r="W53">
        <v>1247000</v>
      </c>
      <c r="X53">
        <v>0</v>
      </c>
      <c r="Y53">
        <v>1320000</v>
      </c>
      <c r="Z53">
        <v>1247000</v>
      </c>
      <c r="AA53">
        <v>46057</v>
      </c>
      <c r="AB53" t="str">
        <v>Q1 2026</v>
      </c>
      <c r="AC53">
        <v>0</v>
      </c>
      <c r="AD53">
        <v>0</v>
      </c>
      <c r="AE53" t="str">
        <v>Ana Damásio</v>
      </c>
      <c r="AF53" t="str">
        <v>Eduardo Lopes</v>
      </c>
      <c r="AG53" t="str">
        <v>TBD</v>
      </c>
      <c r="AH53" t="str">
        <v>The Uncommon is a front-row sea view masterpiece in Vilamoura, where vibrant energy meets serene coastal living. With an exclusive design and elevated services, in this touristic and residential project every moment feels uniquely exceptional.</v>
      </c>
      <c r="AI53" t="str">
        <v>Condo Pool, Outdoor Areas, Underground Parking, Reception, Concierge, Vista Membership</v>
      </c>
      <c r="AJ53" t="str">
        <v>Apartamentos com exploração turística profissional e possibilidade de uso pelos proprietários; Amenities de excelência; Vistas excepcionais e em primeira linha de mar; Rooftops com plunge pool privativos.</v>
      </c>
      <c r="AK53" t="str">
        <v>NLA</v>
      </c>
      <c r="AL53" t="str">
        <v>The Uncommon</v>
      </c>
    </row>
    <row r="54" spans="1:38" x14ac:dyDescent="0.3">
      <c r="A54" t="str">
        <v>THE UNCOMMON</v>
      </c>
      <c r="B54" t="str">
        <v>Vilamoura</v>
      </c>
      <c r="C54" t="str">
        <v>308</v>
      </c>
      <c r="D54" t="str">
        <v>Vilamoura, Algarve</v>
      </c>
      <c r="E54" t="str">
        <v>T2</v>
      </c>
      <c r="F54">
        <v>129.4</v>
      </c>
      <c r="G54">
        <v>0</v>
      </c>
      <c r="H54" t="str">
        <v>1</v>
      </c>
      <c r="I54" t="str">
        <v/>
      </c>
      <c r="J54">
        <v>25.5</v>
      </c>
      <c r="K54">
        <v>0</v>
      </c>
      <c r="L54">
        <v>0</v>
      </c>
      <c r="M54" s="79">
        <v>0</v>
      </c>
      <c r="N54">
        <v>0</v>
      </c>
      <c r="O54">
        <v>103.9</v>
      </c>
      <c r="P54">
        <v>0</v>
      </c>
      <c r="Q54" t="str">
        <v>AVAILABLE</v>
      </c>
      <c r="R54">
        <v>1237000</v>
      </c>
      <c r="S54">
        <v>1310000</v>
      </c>
      <c r="T54">
        <v>1380000</v>
      </c>
      <c r="U54">
        <v>50000</v>
      </c>
      <c r="V54">
        <v>23000</v>
      </c>
      <c r="W54">
        <v>1307000</v>
      </c>
      <c r="X54">
        <v>0</v>
      </c>
      <c r="Y54">
        <v>1380000</v>
      </c>
      <c r="Z54">
        <v>1307000</v>
      </c>
      <c r="AA54">
        <v>46057</v>
      </c>
      <c r="AB54" t="str">
        <v>Q1 2026</v>
      </c>
      <c r="AC54">
        <v>0</v>
      </c>
      <c r="AD54">
        <v>0</v>
      </c>
      <c r="AE54" t="str">
        <v>Ana Damásio</v>
      </c>
      <c r="AF54" t="str">
        <v>Eduardo Lopes</v>
      </c>
      <c r="AG54" t="str">
        <v>TBD</v>
      </c>
      <c r="AH54" t="str">
        <v>The Uncommon is a front-row sea view masterpiece in Vilamoura, where vibrant energy meets serene coastal living. With an exclusive design and elevated services, in this touristic and residential project every moment feels uniquely exceptional.</v>
      </c>
      <c r="AI54" t="str">
        <v>Condo Pool, Outdoor Areas, Underground Parking, Reception, Concierge, Vista Membership</v>
      </c>
      <c r="AJ54" t="str">
        <v>Apartamentos com exploração turística profissional e possibilidade de uso pelos proprietários; Amenities de excelência; Vistas excepcionais e em primeira linha de mar; Rooftops com plunge pool privativos.</v>
      </c>
      <c r="AK54" t="str">
        <v>NLA</v>
      </c>
      <c r="AL54" t="str">
        <v>The Uncommon</v>
      </c>
    </row>
    <row r="55" spans="1:38" x14ac:dyDescent="0.3">
      <c r="A55" t="str">
        <v>THE UNCOMMON</v>
      </c>
      <c r="B55" t="str">
        <v>Vilamoura</v>
      </c>
      <c r="C55" t="str">
        <v>309</v>
      </c>
      <c r="D55" t="str">
        <v>Vilamoura, Algarve</v>
      </c>
      <c r="E55" t="str">
        <v>T2</v>
      </c>
      <c r="F55">
        <v>129.4</v>
      </c>
      <c r="G55">
        <v>0</v>
      </c>
      <c r="H55" t="str">
        <v>1</v>
      </c>
      <c r="I55" t="str">
        <v/>
      </c>
      <c r="J55">
        <v>25.5</v>
      </c>
      <c r="K55">
        <v>0</v>
      </c>
      <c r="L55">
        <v>0</v>
      </c>
      <c r="M55" s="79">
        <v>0</v>
      </c>
      <c r="N55">
        <v>0</v>
      </c>
      <c r="O55">
        <v>103.9</v>
      </c>
      <c r="P55">
        <v>0</v>
      </c>
      <c r="Q55" t="str">
        <v>AVAILABLE</v>
      </c>
      <c r="R55">
        <v>1297000</v>
      </c>
      <c r="S55">
        <v>1370000</v>
      </c>
      <c r="T55">
        <v>1440000</v>
      </c>
      <c r="U55">
        <v>50000</v>
      </c>
      <c r="V55">
        <v>23000</v>
      </c>
      <c r="W55">
        <v>1367000</v>
      </c>
      <c r="X55">
        <v>0</v>
      </c>
      <c r="Y55">
        <v>1440000</v>
      </c>
      <c r="Z55">
        <v>1367000</v>
      </c>
      <c r="AA55">
        <v>46057</v>
      </c>
      <c r="AB55" t="str">
        <v>Q1 2026</v>
      </c>
      <c r="AC55">
        <v>0</v>
      </c>
      <c r="AD55">
        <v>0</v>
      </c>
      <c r="AE55" t="str">
        <v>Ana Damásio</v>
      </c>
      <c r="AF55" t="str">
        <v>Eduardo Lopes</v>
      </c>
      <c r="AG55" t="str">
        <v>TBD</v>
      </c>
      <c r="AH55" t="str">
        <v>The Uncommon is a front-row sea view masterpiece in Vilamoura, where vibrant energy meets serene coastal living. With an exclusive design and elevated services, in this touristic and residential project every moment feels uniquely exceptional.</v>
      </c>
      <c r="AI55" t="str">
        <v>Condo Pool, Outdoor Areas, Underground Parking, Reception, Concierge, Vista Membership</v>
      </c>
      <c r="AJ55" t="str">
        <v>Apartamentos com exploração turística profissional e possibilidade de uso pelos proprietários; Amenities de excelência; Vistas excepcionais e em primeira linha de mar; Rooftops com plunge pool privativos.</v>
      </c>
      <c r="AK55" t="str">
        <v>NLA</v>
      </c>
      <c r="AL55" t="str">
        <v>The Uncommon</v>
      </c>
    </row>
    <row r="56" spans="1:38" x14ac:dyDescent="0.3">
      <c r="A56" t="str">
        <v>THE UNCOMMON</v>
      </c>
      <c r="B56" t="str">
        <v>Vilamoura</v>
      </c>
      <c r="C56" t="str">
        <v>311</v>
      </c>
      <c r="D56" t="str">
        <v>Vilamoura, Algarve</v>
      </c>
      <c r="E56" t="str">
        <v>T1</v>
      </c>
      <c r="F56">
        <v>80.900000000000006</v>
      </c>
      <c r="G56">
        <v>0</v>
      </c>
      <c r="H56" t="str">
        <v>1</v>
      </c>
      <c r="I56" t="str">
        <v/>
      </c>
      <c r="J56">
        <v>18</v>
      </c>
      <c r="K56">
        <v>0</v>
      </c>
      <c r="L56">
        <v>0</v>
      </c>
      <c r="M56" s="79">
        <v>0</v>
      </c>
      <c r="N56">
        <v>0</v>
      </c>
      <c r="O56">
        <v>62.9</v>
      </c>
      <c r="P56">
        <v>0</v>
      </c>
      <c r="Q56" t="str">
        <v>AVAILABLE</v>
      </c>
      <c r="R56">
        <v>645000</v>
      </c>
      <c r="S56">
        <v>710000</v>
      </c>
      <c r="T56">
        <v>770000</v>
      </c>
      <c r="U56">
        <v>50000</v>
      </c>
      <c r="V56">
        <v>15000</v>
      </c>
      <c r="W56">
        <v>705000</v>
      </c>
      <c r="X56">
        <v>0</v>
      </c>
      <c r="Y56">
        <v>770000</v>
      </c>
      <c r="Z56">
        <v>705000</v>
      </c>
      <c r="AA56">
        <v>46057</v>
      </c>
      <c r="AB56" t="str">
        <v>Q1 2026</v>
      </c>
      <c r="AC56">
        <v>0</v>
      </c>
      <c r="AD56">
        <v>0</v>
      </c>
      <c r="AE56" t="str">
        <v>Ana Damásio</v>
      </c>
      <c r="AF56" t="str">
        <v>Eduardo Lopes</v>
      </c>
      <c r="AG56" t="str">
        <v>TBD</v>
      </c>
      <c r="AH56" t="str">
        <v>The Uncommon is a front-row sea view masterpiece in Vilamoura, where vibrant energy meets serene coastal living. With an exclusive design and elevated services, in this touristic and residential project every moment feels uniquely exceptional.</v>
      </c>
      <c r="AI56" t="str">
        <v>Condo Pool, Outdoor Areas, Underground Parking, Reception, Concierge, Vista Membership</v>
      </c>
      <c r="AJ56" t="str">
        <v>Apartamentos com exploração turística profissional e possibilidade de uso pelos proprietários; Amenities de excelência; Vistas excepcionais e em primeira linha de mar; Rooftops com plunge pool privativos.</v>
      </c>
      <c r="AK56" t="str">
        <v>NLA</v>
      </c>
      <c r="AL56" t="str">
        <v>The Uncommon</v>
      </c>
    </row>
    <row r="57" spans="1:38" x14ac:dyDescent="0.3">
      <c r="A57" t="str">
        <v>THE UNCOMMON</v>
      </c>
      <c r="B57" t="str">
        <v>Vilamoura</v>
      </c>
      <c r="C57" t="str">
        <v>312</v>
      </c>
      <c r="D57" t="str">
        <v>Vilamoura, Algarve</v>
      </c>
      <c r="E57" t="str">
        <v>T1</v>
      </c>
      <c r="F57">
        <v>81.099999999999994</v>
      </c>
      <c r="G57">
        <v>0</v>
      </c>
      <c r="H57" t="str">
        <v>1</v>
      </c>
      <c r="I57" t="str">
        <v/>
      </c>
      <c r="J57">
        <v>18</v>
      </c>
      <c r="K57">
        <v>0</v>
      </c>
      <c r="L57">
        <v>0</v>
      </c>
      <c r="M57" s="79">
        <v>0</v>
      </c>
      <c r="N57">
        <v>0</v>
      </c>
      <c r="O57">
        <v>63.1</v>
      </c>
      <c r="P57">
        <v>0</v>
      </c>
      <c r="Q57" t="str">
        <v>AVAILABLE</v>
      </c>
      <c r="R57">
        <v>685000</v>
      </c>
      <c r="S57">
        <v>750000</v>
      </c>
      <c r="T57">
        <v>810000</v>
      </c>
      <c r="U57">
        <v>50000</v>
      </c>
      <c r="V57">
        <v>15000</v>
      </c>
      <c r="W57">
        <v>745000</v>
      </c>
      <c r="X57">
        <v>0</v>
      </c>
      <c r="Y57">
        <v>810000</v>
      </c>
      <c r="Z57">
        <v>745000</v>
      </c>
      <c r="AA57">
        <v>46057</v>
      </c>
      <c r="AB57" t="str">
        <v>Q1 2026</v>
      </c>
      <c r="AC57">
        <v>0</v>
      </c>
      <c r="AD57">
        <v>0</v>
      </c>
      <c r="AE57" t="str">
        <v>Ana Damásio</v>
      </c>
      <c r="AF57" t="str">
        <v>Eduardo Lopes</v>
      </c>
      <c r="AG57" t="str">
        <v>TBD</v>
      </c>
      <c r="AH57" t="str">
        <v>The Uncommon is a front-row sea view masterpiece in Vilamoura, where vibrant energy meets serene coastal living. With an exclusive design and elevated services, in this touristic and residential project every moment feels uniquely exceptional.</v>
      </c>
      <c r="AI57" t="str">
        <v>Condo Pool, Outdoor Areas, Underground Parking, Reception, Concierge, Vista Membership</v>
      </c>
      <c r="AJ57" t="str">
        <v>Apartamentos com exploração turística profissional e possibilidade de uso pelos proprietários; Amenities de excelência; Vistas excepcionais e em primeira linha de mar; Rooftops com plunge pool privativos.</v>
      </c>
      <c r="AK57" t="str">
        <v>NLA</v>
      </c>
      <c r="AL57" t="str">
        <v>The Uncommon</v>
      </c>
    </row>
    <row r="58" spans="1:38" x14ac:dyDescent="0.3">
      <c r="A58" t="str">
        <v>THE UNCOMMON</v>
      </c>
      <c r="B58" t="str">
        <v>Vilamoura</v>
      </c>
      <c r="C58" t="str">
        <v>313</v>
      </c>
      <c r="D58" t="str">
        <v>Vilamoura, Algarve</v>
      </c>
      <c r="E58" t="str">
        <v>T1</v>
      </c>
      <c r="F58">
        <v>81.099999999999994</v>
      </c>
      <c r="G58">
        <v>0</v>
      </c>
      <c r="H58" t="str">
        <v>1</v>
      </c>
      <c r="I58" t="str">
        <v/>
      </c>
      <c r="J58">
        <v>18</v>
      </c>
      <c r="K58">
        <v>0</v>
      </c>
      <c r="L58">
        <v>0</v>
      </c>
      <c r="M58" s="79">
        <v>0</v>
      </c>
      <c r="N58">
        <v>0</v>
      </c>
      <c r="O58">
        <v>63.1</v>
      </c>
      <c r="P58">
        <v>0</v>
      </c>
      <c r="Q58" t="str">
        <v>AVAILABLE</v>
      </c>
      <c r="R58">
        <v>725000</v>
      </c>
      <c r="S58">
        <v>790000</v>
      </c>
      <c r="T58">
        <v>850000</v>
      </c>
      <c r="U58">
        <v>50000</v>
      </c>
      <c r="V58">
        <v>15000</v>
      </c>
      <c r="W58">
        <v>785000</v>
      </c>
      <c r="X58">
        <v>0</v>
      </c>
      <c r="Y58">
        <v>850000</v>
      </c>
      <c r="Z58">
        <v>785000</v>
      </c>
      <c r="AA58">
        <v>46057</v>
      </c>
      <c r="AB58" t="str">
        <v>Q1 2026</v>
      </c>
      <c r="AC58">
        <v>0</v>
      </c>
      <c r="AD58">
        <v>0</v>
      </c>
      <c r="AE58" t="str">
        <v>Ana Damásio</v>
      </c>
      <c r="AF58" t="str">
        <v>Eduardo Lopes</v>
      </c>
      <c r="AG58" t="str">
        <v>TBD</v>
      </c>
      <c r="AH58" t="str">
        <v>The Uncommon is a front-row sea view masterpiece in Vilamoura, where vibrant energy meets serene coastal living. With an exclusive design and elevated services, in this touristic and residential project every moment feels uniquely exceptional.</v>
      </c>
      <c r="AI58" t="str">
        <v>Condo Pool, Outdoor Areas, Underground Parking, Reception, Concierge, Vista Membership</v>
      </c>
      <c r="AJ58" t="str">
        <v>Apartamentos com exploração turística profissional e possibilidade de uso pelos proprietários; Amenities de excelência; Vistas excepcionais e em primeira linha de mar; Rooftops com plunge pool privativos.</v>
      </c>
      <c r="AK58" t="str">
        <v>NLA</v>
      </c>
      <c r="AL58" t="str">
        <v>The Uncommon</v>
      </c>
    </row>
    <row r="59" spans="1:38" x14ac:dyDescent="0.3">
      <c r="A59" t="str">
        <v>THE UNCOMMON</v>
      </c>
      <c r="B59" t="str">
        <v>Vilamoura</v>
      </c>
      <c r="C59" t="str">
        <v>314</v>
      </c>
      <c r="D59" t="str">
        <v>Vilamoura, Algarve</v>
      </c>
      <c r="E59" t="str">
        <v>T1</v>
      </c>
      <c r="F59">
        <v>81.099999999999994</v>
      </c>
      <c r="G59">
        <v>0</v>
      </c>
      <c r="H59" t="str">
        <v>1</v>
      </c>
      <c r="I59" t="str">
        <v/>
      </c>
      <c r="J59">
        <v>18</v>
      </c>
      <c r="K59">
        <v>0</v>
      </c>
      <c r="L59">
        <v>0</v>
      </c>
      <c r="M59" s="79">
        <v>0</v>
      </c>
      <c r="N59">
        <v>0</v>
      </c>
      <c r="O59">
        <v>63.1</v>
      </c>
      <c r="P59">
        <v>0</v>
      </c>
      <c r="Q59" t="str">
        <v>AVAILABLE</v>
      </c>
      <c r="R59">
        <v>775000</v>
      </c>
      <c r="S59">
        <v>840000</v>
      </c>
      <c r="T59">
        <v>900000</v>
      </c>
      <c r="U59">
        <v>50000</v>
      </c>
      <c r="V59">
        <v>15000</v>
      </c>
      <c r="W59">
        <v>835000</v>
      </c>
      <c r="X59">
        <v>0</v>
      </c>
      <c r="Y59">
        <v>900000</v>
      </c>
      <c r="Z59">
        <v>835000</v>
      </c>
      <c r="AA59">
        <v>46057</v>
      </c>
      <c r="AB59" t="str">
        <v>Q1 2026</v>
      </c>
      <c r="AC59">
        <v>0</v>
      </c>
      <c r="AD59">
        <v>0</v>
      </c>
      <c r="AE59" t="str">
        <v>Ana Damásio</v>
      </c>
      <c r="AF59" t="str">
        <v>Eduardo Lopes</v>
      </c>
      <c r="AG59" t="str">
        <v>TBD</v>
      </c>
      <c r="AH59" t="str">
        <v>The Uncommon is a front-row sea view masterpiece in Vilamoura, where vibrant energy meets serene coastal living. With an exclusive design and elevated services, in this touristic and residential project every moment feels uniquely exceptional.</v>
      </c>
      <c r="AI59" t="str">
        <v>Condo Pool, Outdoor Areas, Underground Parking, Reception, Concierge, Vista Membership</v>
      </c>
      <c r="AJ59" t="str">
        <v>Apartamentos com exploração turística profissional e possibilidade de uso pelos proprietários; Amenities de excelência; Vistas excepcionais e em primeira linha de mar; Rooftops com plunge pool privativos.</v>
      </c>
      <c r="AK59" t="str">
        <v>NLA</v>
      </c>
      <c r="AL59" t="str">
        <v>The Uncommon</v>
      </c>
    </row>
    <row r="60" spans="1:38" x14ac:dyDescent="0.3">
      <c r="A60" t="str">
        <v>THE UNCOMMON</v>
      </c>
      <c r="B60" t="str">
        <v>Vilamoura</v>
      </c>
      <c r="C60" t="str">
        <v>315</v>
      </c>
      <c r="D60" t="str">
        <v>Vilamoura, Algarve</v>
      </c>
      <c r="E60" t="str">
        <v>T1</v>
      </c>
      <c r="F60">
        <v>83</v>
      </c>
      <c r="G60">
        <v>0</v>
      </c>
      <c r="H60" t="str">
        <v>1</v>
      </c>
      <c r="I60" t="str">
        <v/>
      </c>
      <c r="J60">
        <v>18.7</v>
      </c>
      <c r="K60">
        <v>0</v>
      </c>
      <c r="L60">
        <v>0</v>
      </c>
      <c r="M60" s="79">
        <v>0</v>
      </c>
      <c r="N60">
        <v>0</v>
      </c>
      <c r="O60">
        <v>64.3</v>
      </c>
      <c r="P60">
        <v>0</v>
      </c>
      <c r="Q60" t="str">
        <v>AVAILABLE</v>
      </c>
      <c r="R60">
        <v>835000</v>
      </c>
      <c r="S60">
        <v>900000</v>
      </c>
      <c r="T60">
        <v>960000</v>
      </c>
      <c r="U60">
        <v>50000</v>
      </c>
      <c r="V60">
        <v>15000</v>
      </c>
      <c r="W60">
        <v>895000</v>
      </c>
      <c r="X60">
        <v>0</v>
      </c>
      <c r="Y60">
        <v>960000</v>
      </c>
      <c r="Z60">
        <v>895000</v>
      </c>
      <c r="AA60">
        <v>46057</v>
      </c>
      <c r="AB60" t="str">
        <v>Q1 2026</v>
      </c>
      <c r="AC60">
        <v>0</v>
      </c>
      <c r="AD60">
        <v>0</v>
      </c>
      <c r="AE60" t="str">
        <v>Ana Damásio</v>
      </c>
      <c r="AF60" t="str">
        <v>Eduardo Lopes</v>
      </c>
      <c r="AG60" t="str">
        <v>TBD</v>
      </c>
      <c r="AH60" t="str">
        <v>The Uncommon is a front-row sea view masterpiece in Vilamoura, where vibrant energy meets serene coastal living. With an exclusive design and elevated services, in this touristic and residential project every moment feels uniquely exceptional.</v>
      </c>
      <c r="AI60" t="str">
        <v>Condo Pool, Outdoor Areas, Underground Parking, Reception, Concierge, Vista Membership</v>
      </c>
      <c r="AJ60" t="str">
        <v>Apartamentos com exploração turística profissional e possibilidade de uso pelos proprietários; Amenities de excelência; Vistas excepcionais e em primeira linha de mar; Rooftops com plunge pool privativos.</v>
      </c>
      <c r="AK60" t="str">
        <v>NLA</v>
      </c>
      <c r="AL60" t="str">
        <v>The Uncommon</v>
      </c>
    </row>
    <row r="61" spans="1:38" x14ac:dyDescent="0.3">
      <c r="A61" t="str">
        <v>THE UNCOMMON</v>
      </c>
      <c r="B61" t="str">
        <v>Vilamoura</v>
      </c>
      <c r="C61" t="str">
        <v>4</v>
      </c>
      <c r="D61" t="str">
        <v>Vilamoura, Algarve</v>
      </c>
      <c r="E61" t="str">
        <v>T2</v>
      </c>
      <c r="F61">
        <v>160.19999999999999</v>
      </c>
      <c r="G61">
        <v>0</v>
      </c>
      <c r="H61" t="str">
        <v>1</v>
      </c>
      <c r="I61" t="str">
        <v/>
      </c>
      <c r="J61">
        <v>55.6</v>
      </c>
      <c r="K61">
        <v>0</v>
      </c>
      <c r="L61">
        <v>0</v>
      </c>
      <c r="M61" s="79">
        <v>0</v>
      </c>
      <c r="N61">
        <v>0</v>
      </c>
      <c r="O61">
        <v>104.6</v>
      </c>
      <c r="P61">
        <v>0</v>
      </c>
      <c r="Q61" t="str">
        <v>AVAILABLE</v>
      </c>
      <c r="R61">
        <v>847000</v>
      </c>
      <c r="S61">
        <v>920000</v>
      </c>
      <c r="T61">
        <v>980000</v>
      </c>
      <c r="U61">
        <v>50000</v>
      </c>
      <c r="V61">
        <v>23000</v>
      </c>
      <c r="W61">
        <v>907000</v>
      </c>
      <c r="X61">
        <v>0</v>
      </c>
      <c r="Y61">
        <v>980000</v>
      </c>
      <c r="Z61">
        <v>907000</v>
      </c>
      <c r="AA61">
        <v>46057</v>
      </c>
      <c r="AB61" t="str">
        <v>Q1 2026</v>
      </c>
      <c r="AC61">
        <v>0</v>
      </c>
      <c r="AD61">
        <v>0</v>
      </c>
      <c r="AE61" t="str">
        <v>Ana Damásio</v>
      </c>
      <c r="AF61" t="str">
        <v>Eduardo Lopes</v>
      </c>
      <c r="AG61" t="str">
        <v>TBD</v>
      </c>
      <c r="AH61" t="str">
        <v>The Uncommon is a front-row sea view masterpiece in Vilamoura, where vibrant energy meets serene coastal living. With an exclusive design and elevated services, in this touristic and residential project every moment feels uniquely exceptional.</v>
      </c>
      <c r="AI61" t="str">
        <v>Condo Pool, Outdoor Areas, Underground Parking, Reception, Concierge, Vista Membership</v>
      </c>
      <c r="AJ61" t="str">
        <v>Apartamentos com exploração turística profissional e possibilidade de uso pelos proprietários; Amenities de excelência; Vistas excepcionais e em primeira linha de mar; Rooftops com plunge pool privativos.</v>
      </c>
      <c r="AK61" t="str">
        <v>NLA</v>
      </c>
      <c r="AL61" t="str">
        <v>The Uncommon</v>
      </c>
    </row>
    <row r="62" spans="1:38" x14ac:dyDescent="0.3">
      <c r="A62" t="str">
        <v>THE UNCOMMON</v>
      </c>
      <c r="B62" t="str">
        <v>Vilamoura</v>
      </c>
      <c r="C62" t="str">
        <v>401</v>
      </c>
      <c r="D62" t="str">
        <v>Vilamoura, Algarve</v>
      </c>
      <c r="E62" t="str">
        <v>T3</v>
      </c>
      <c r="F62">
        <v>183.9</v>
      </c>
      <c r="G62">
        <v>0</v>
      </c>
      <c r="H62" t="str">
        <v>1</v>
      </c>
      <c r="I62" t="str">
        <v/>
      </c>
      <c r="J62">
        <v>34.299999999999997</v>
      </c>
      <c r="K62">
        <v>0</v>
      </c>
      <c r="L62">
        <v>0</v>
      </c>
      <c r="M62" s="79">
        <v>0</v>
      </c>
      <c r="N62">
        <v>0</v>
      </c>
      <c r="O62">
        <v>149.6</v>
      </c>
      <c r="P62">
        <v>0</v>
      </c>
      <c r="Q62" t="str">
        <v>AVAILABLE</v>
      </c>
      <c r="R62">
        <v>2190000</v>
      </c>
      <c r="S62">
        <v>2270000</v>
      </c>
      <c r="T62">
        <v>2350000</v>
      </c>
      <c r="U62">
        <v>50000</v>
      </c>
      <c r="V62">
        <v>30000</v>
      </c>
      <c r="W62">
        <v>2270000</v>
      </c>
      <c r="X62">
        <v>0</v>
      </c>
      <c r="Y62">
        <v>2350000</v>
      </c>
      <c r="Z62">
        <v>2270000</v>
      </c>
      <c r="AA62">
        <v>46057</v>
      </c>
      <c r="AB62" t="str">
        <v>Q1 2026</v>
      </c>
      <c r="AC62">
        <v>0</v>
      </c>
      <c r="AD62">
        <v>0</v>
      </c>
      <c r="AE62" t="str">
        <v>Ana Damásio</v>
      </c>
      <c r="AF62" t="str">
        <v>Eduardo Lopes</v>
      </c>
      <c r="AG62" t="str">
        <v>TBD</v>
      </c>
      <c r="AH62" t="str">
        <v>The Uncommon is a front-row sea view masterpiece in Vilamoura, where vibrant energy meets serene coastal living. With an exclusive design and elevated services, in this touristic and residential project every moment feels uniquely exceptional.</v>
      </c>
      <c r="AI62" t="str">
        <v>Condo Pool, Outdoor Areas, Underground Parking, Reception, Concierge, Vista Membership</v>
      </c>
      <c r="AJ62" t="str">
        <v>Apartamentos com exploração turística profissional e possibilidade de uso pelos proprietários; Amenities de excelência; Vistas excepcionais e em primeira linha de mar; Rooftops com plunge pool privativos.</v>
      </c>
      <c r="AK62" t="str">
        <v>NLA</v>
      </c>
      <c r="AL62" t="str">
        <v>The Uncommon</v>
      </c>
    </row>
    <row r="63" spans="1:38" x14ac:dyDescent="0.3">
      <c r="A63" t="str">
        <v>THE UNCOMMON</v>
      </c>
      <c r="B63" t="str">
        <v>Vilamoura</v>
      </c>
      <c r="C63" t="str">
        <v>402</v>
      </c>
      <c r="D63" t="str">
        <v>Vilamoura, Algarve</v>
      </c>
      <c r="E63" t="str">
        <v>T2</v>
      </c>
      <c r="F63">
        <v>129.4</v>
      </c>
      <c r="G63">
        <v>0</v>
      </c>
      <c r="H63" t="str">
        <v>1</v>
      </c>
      <c r="I63" t="str">
        <v/>
      </c>
      <c r="J63">
        <v>25.5</v>
      </c>
      <c r="K63">
        <v>0</v>
      </c>
      <c r="L63">
        <v>0</v>
      </c>
      <c r="M63" s="79">
        <v>0</v>
      </c>
      <c r="N63">
        <v>0</v>
      </c>
      <c r="O63">
        <v>103.9</v>
      </c>
      <c r="P63">
        <v>0</v>
      </c>
      <c r="Q63" t="str">
        <v>AVAILABLE</v>
      </c>
      <c r="R63">
        <v>1147000</v>
      </c>
      <c r="S63">
        <v>1220000</v>
      </c>
      <c r="T63">
        <v>1290000</v>
      </c>
      <c r="U63">
        <v>50000</v>
      </c>
      <c r="V63">
        <v>23000</v>
      </c>
      <c r="W63">
        <v>1217000</v>
      </c>
      <c r="X63">
        <v>0</v>
      </c>
      <c r="Y63">
        <v>1290000</v>
      </c>
      <c r="Z63">
        <v>1217000</v>
      </c>
      <c r="AA63">
        <v>46057</v>
      </c>
      <c r="AB63" t="str">
        <v>Q1 2026</v>
      </c>
      <c r="AC63">
        <v>0</v>
      </c>
      <c r="AD63">
        <v>0</v>
      </c>
      <c r="AE63" t="str">
        <v>Ana Damásio</v>
      </c>
      <c r="AF63" t="str">
        <v>Eduardo Lopes</v>
      </c>
      <c r="AG63" t="str">
        <v>TBD</v>
      </c>
      <c r="AH63" t="str">
        <v>The Uncommon is a front-row sea view masterpiece in Vilamoura, where vibrant energy meets serene coastal living. With an exclusive design and elevated services, in this touristic and residential project every moment feels uniquely exceptional.</v>
      </c>
      <c r="AI63" t="str">
        <v>Condo Pool, Outdoor Areas, Underground Parking, Reception, Concierge, Vista Membership</v>
      </c>
      <c r="AJ63" t="str">
        <v>Apartamentos com exploração turística profissional e possibilidade de uso pelos proprietários; Amenities de excelência; Vistas excepcionais e em primeira linha de mar; Rooftops com plunge pool privativos.</v>
      </c>
      <c r="AK63" t="str">
        <v>NLA</v>
      </c>
      <c r="AL63" t="str">
        <v>The Uncommon</v>
      </c>
    </row>
    <row r="64" spans="1:38" x14ac:dyDescent="0.3">
      <c r="A64" t="str">
        <v>THE UNCOMMON</v>
      </c>
      <c r="B64" t="str">
        <v>Vilamoura</v>
      </c>
      <c r="C64" t="str">
        <v>403</v>
      </c>
      <c r="D64" t="str">
        <v>Vilamoura, Algarve</v>
      </c>
      <c r="E64" t="str">
        <v>T2</v>
      </c>
      <c r="F64">
        <v>129.4</v>
      </c>
      <c r="G64">
        <v>0</v>
      </c>
      <c r="H64" t="str">
        <v>1</v>
      </c>
      <c r="I64" t="str">
        <v/>
      </c>
      <c r="J64">
        <v>25.5</v>
      </c>
      <c r="K64">
        <v>0</v>
      </c>
      <c r="L64">
        <v>0</v>
      </c>
      <c r="M64" s="79">
        <v>0</v>
      </c>
      <c r="N64">
        <v>0</v>
      </c>
      <c r="O64">
        <v>103.9</v>
      </c>
      <c r="P64">
        <v>0</v>
      </c>
      <c r="Q64" t="str">
        <v>AVAILABLE</v>
      </c>
      <c r="R64">
        <v>1067000</v>
      </c>
      <c r="S64">
        <v>1140000</v>
      </c>
      <c r="T64">
        <v>1210000</v>
      </c>
      <c r="U64">
        <v>50000</v>
      </c>
      <c r="V64">
        <v>23000</v>
      </c>
      <c r="W64">
        <v>1137000</v>
      </c>
      <c r="X64">
        <v>0</v>
      </c>
      <c r="Y64">
        <v>1210000</v>
      </c>
      <c r="Z64">
        <v>1137000</v>
      </c>
      <c r="AA64">
        <v>46057</v>
      </c>
      <c r="AB64" t="str">
        <v>Q1 2026</v>
      </c>
      <c r="AC64">
        <v>0</v>
      </c>
      <c r="AD64">
        <v>0</v>
      </c>
      <c r="AE64" t="str">
        <v>Ana Damásio</v>
      </c>
      <c r="AF64" t="str">
        <v>Eduardo Lopes</v>
      </c>
      <c r="AG64" t="str">
        <v>TBD</v>
      </c>
      <c r="AH64" t="str">
        <v>The Uncommon is a front-row sea view masterpiece in Vilamoura, where vibrant energy meets serene coastal living. With an exclusive design and elevated services, in this touristic and residential project every moment feels uniquely exceptional.</v>
      </c>
      <c r="AI64" t="str">
        <v>Condo Pool, Outdoor Areas, Underground Parking, Reception, Concierge, Vista Membership</v>
      </c>
      <c r="AJ64" t="str">
        <v>Apartamentos com exploração turística profissional e possibilidade de uso pelos proprietários; Amenities de excelência; Vistas excepcionais e em primeira linha de mar; Rooftops com plunge pool privativos.</v>
      </c>
      <c r="AK64" t="str">
        <v>NLA</v>
      </c>
      <c r="AL64" t="str">
        <v>The Uncommon</v>
      </c>
    </row>
    <row r="65" spans="1:38" x14ac:dyDescent="0.3">
      <c r="A65" t="str">
        <v>THE UNCOMMON</v>
      </c>
      <c r="B65" t="str">
        <v>Vilamoura</v>
      </c>
      <c r="C65" t="str">
        <v>404</v>
      </c>
      <c r="D65" t="str">
        <v>Vilamoura, Algarve</v>
      </c>
      <c r="E65" t="str">
        <v>T2</v>
      </c>
      <c r="F65">
        <v>130</v>
      </c>
      <c r="G65">
        <v>0</v>
      </c>
      <c r="H65" t="str">
        <v>1</v>
      </c>
      <c r="I65" t="str">
        <v/>
      </c>
      <c r="J65">
        <v>25.4</v>
      </c>
      <c r="K65">
        <v>0</v>
      </c>
      <c r="L65">
        <v>0</v>
      </c>
      <c r="M65" s="79">
        <v>0</v>
      </c>
      <c r="N65">
        <v>0</v>
      </c>
      <c r="O65">
        <v>104.6</v>
      </c>
      <c r="P65">
        <v>0</v>
      </c>
      <c r="Q65" t="str">
        <v>AVAILABLE</v>
      </c>
      <c r="R65">
        <v>977000</v>
      </c>
      <c r="S65">
        <v>1050000</v>
      </c>
      <c r="T65">
        <v>1120000</v>
      </c>
      <c r="U65">
        <v>50000</v>
      </c>
      <c r="V65">
        <v>23000</v>
      </c>
      <c r="W65">
        <v>1047000</v>
      </c>
      <c r="X65">
        <v>0</v>
      </c>
      <c r="Y65">
        <v>1120000</v>
      </c>
      <c r="Z65">
        <v>1047000</v>
      </c>
      <c r="AA65">
        <v>46057</v>
      </c>
      <c r="AB65" t="str">
        <v>Q1 2026</v>
      </c>
      <c r="AC65">
        <v>0</v>
      </c>
      <c r="AD65">
        <v>0</v>
      </c>
      <c r="AE65" t="str">
        <v>Ana Damásio</v>
      </c>
      <c r="AF65" t="str">
        <v>Eduardo Lopes</v>
      </c>
      <c r="AG65" t="str">
        <v>TBD</v>
      </c>
      <c r="AH65" t="str">
        <v>The Uncommon is a front-row sea view masterpiece in Vilamoura, where vibrant energy meets serene coastal living. With an exclusive design and elevated services, in this touristic and residential project every moment feels uniquely exceptional.</v>
      </c>
      <c r="AI65" t="str">
        <v>Condo Pool, Outdoor Areas, Underground Parking, Reception, Concierge, Vista Membership</v>
      </c>
      <c r="AJ65" t="str">
        <v>Apartamentos com exploração turística profissional e possibilidade de uso pelos proprietários; Amenities de excelência; Vistas excepcionais e em primeira linha de mar; Rooftops com plunge pool privativos.</v>
      </c>
      <c r="AK65" t="str">
        <v>NLA</v>
      </c>
      <c r="AL65" t="str">
        <v>The Uncommon</v>
      </c>
    </row>
    <row r="66" spans="1:38" x14ac:dyDescent="0.3">
      <c r="A66" t="str">
        <v>THE UNCOMMON</v>
      </c>
      <c r="B66" t="str">
        <v>Vilamoura</v>
      </c>
      <c r="C66" t="str">
        <v>405</v>
      </c>
      <c r="D66" t="str">
        <v>Vilamoura, Algarve</v>
      </c>
      <c r="E66" t="str">
        <v>T2</v>
      </c>
      <c r="F66">
        <v>130.1</v>
      </c>
      <c r="G66">
        <v>0</v>
      </c>
      <c r="H66" t="str">
        <v>1</v>
      </c>
      <c r="I66" t="str">
        <v/>
      </c>
      <c r="J66">
        <v>25.5</v>
      </c>
      <c r="K66">
        <v>0</v>
      </c>
      <c r="L66">
        <v>0</v>
      </c>
      <c r="M66" s="79">
        <v>0</v>
      </c>
      <c r="N66">
        <v>0</v>
      </c>
      <c r="O66">
        <v>104.6</v>
      </c>
      <c r="P66">
        <v>0</v>
      </c>
      <c r="Q66" t="str">
        <v>AVAILABLE</v>
      </c>
      <c r="R66">
        <v>1057000</v>
      </c>
      <c r="S66">
        <v>1130000</v>
      </c>
      <c r="T66">
        <v>1200000</v>
      </c>
      <c r="U66">
        <v>50000</v>
      </c>
      <c r="V66">
        <v>23000</v>
      </c>
      <c r="W66">
        <v>1127000</v>
      </c>
      <c r="X66">
        <v>0</v>
      </c>
      <c r="Y66">
        <v>1200000</v>
      </c>
      <c r="Z66">
        <v>1127000</v>
      </c>
      <c r="AA66">
        <v>46057</v>
      </c>
      <c r="AB66" t="str">
        <v>Q1 2026</v>
      </c>
      <c r="AC66">
        <v>0</v>
      </c>
      <c r="AD66">
        <v>0</v>
      </c>
      <c r="AE66" t="str">
        <v>Ana Damásio</v>
      </c>
      <c r="AF66" t="str">
        <v>Eduardo Lopes</v>
      </c>
      <c r="AG66" t="str">
        <v>TBD</v>
      </c>
      <c r="AH66" t="str">
        <v>The Uncommon is a front-row sea view masterpiece in Vilamoura, where vibrant energy meets serene coastal living. With an exclusive design and elevated services, in this touristic and residential project every moment feels uniquely exceptional.</v>
      </c>
      <c r="AI66" t="str">
        <v>Condo Pool, Outdoor Areas, Underground Parking, Reception, Concierge, Vista Membership</v>
      </c>
      <c r="AJ66" t="str">
        <v>Apartamentos com exploração turística profissional e possibilidade de uso pelos proprietários; Amenities de excelência; Vistas excepcionais e em primeira linha de mar; Rooftops com plunge pool privativos.</v>
      </c>
      <c r="AK66" t="str">
        <v>NLA</v>
      </c>
      <c r="AL66" t="str">
        <v>The Uncommon</v>
      </c>
    </row>
    <row r="67" spans="1:38" x14ac:dyDescent="0.3">
      <c r="A67" t="str">
        <v>THE UNCOMMON</v>
      </c>
      <c r="B67" t="str">
        <v>Vilamoura</v>
      </c>
      <c r="C67" t="str">
        <v>406</v>
      </c>
      <c r="D67" t="str">
        <v>Vilamoura, Algarve</v>
      </c>
      <c r="E67" t="str">
        <v>T2</v>
      </c>
      <c r="F67">
        <v>129.4</v>
      </c>
      <c r="G67">
        <v>0</v>
      </c>
      <c r="H67" t="str">
        <v>1</v>
      </c>
      <c r="I67" t="str">
        <v/>
      </c>
      <c r="J67">
        <v>25.5</v>
      </c>
      <c r="K67">
        <v>0</v>
      </c>
      <c r="L67">
        <v>0</v>
      </c>
      <c r="M67" s="79">
        <v>0</v>
      </c>
      <c r="N67">
        <v>0</v>
      </c>
      <c r="O67">
        <v>103.9</v>
      </c>
      <c r="P67">
        <v>0</v>
      </c>
      <c r="Q67" t="str">
        <v>AVAILABLE</v>
      </c>
      <c r="R67">
        <v>1147000</v>
      </c>
      <c r="S67">
        <v>1220000</v>
      </c>
      <c r="T67">
        <v>1290000</v>
      </c>
      <c r="U67">
        <v>50000</v>
      </c>
      <c r="V67">
        <v>23000</v>
      </c>
      <c r="W67">
        <v>1217000</v>
      </c>
      <c r="X67">
        <v>0</v>
      </c>
      <c r="Y67">
        <v>1290000</v>
      </c>
      <c r="Z67">
        <v>1217000</v>
      </c>
      <c r="AA67">
        <v>46057</v>
      </c>
      <c r="AB67" t="str">
        <v>Q1 2026</v>
      </c>
      <c r="AC67">
        <v>0</v>
      </c>
      <c r="AD67">
        <v>0</v>
      </c>
      <c r="AE67" t="str">
        <v>Ana Damásio</v>
      </c>
      <c r="AF67" t="str">
        <v>Eduardo Lopes</v>
      </c>
      <c r="AG67" t="str">
        <v>TBD</v>
      </c>
      <c r="AH67" t="str">
        <v>The Uncommon is a front-row sea view masterpiece in Vilamoura, where vibrant energy meets serene coastal living. With an exclusive design and elevated services, in this touristic and residential project every moment feels uniquely exceptional.</v>
      </c>
      <c r="AI67" t="str">
        <v>Condo Pool, Outdoor Areas, Underground Parking, Reception, Concierge, Vista Membership</v>
      </c>
      <c r="AJ67" t="str">
        <v>Apartamentos com exploração turística profissional e possibilidade de uso pelos proprietários; Amenities de excelência; Vistas excepcionais e em primeira linha de mar; Rooftops com plunge pool privativos.</v>
      </c>
      <c r="AK67" t="str">
        <v>NLA</v>
      </c>
      <c r="AL67" t="str">
        <v>The Uncommon</v>
      </c>
    </row>
    <row r="68" spans="1:38" x14ac:dyDescent="0.3">
      <c r="A68" t="str">
        <v>THE UNCOMMON</v>
      </c>
      <c r="B68" t="str">
        <v>Vilamoura</v>
      </c>
      <c r="C68" t="str">
        <v>407</v>
      </c>
      <c r="D68" t="str">
        <v>Vilamoura, Algarve</v>
      </c>
      <c r="E68" t="str">
        <v>T2</v>
      </c>
      <c r="F68">
        <v>129.4</v>
      </c>
      <c r="G68">
        <v>0</v>
      </c>
      <c r="H68" t="str">
        <v>1</v>
      </c>
      <c r="I68" t="str">
        <v/>
      </c>
      <c r="J68">
        <v>25.5</v>
      </c>
      <c r="K68">
        <v>0</v>
      </c>
      <c r="L68">
        <v>0</v>
      </c>
      <c r="M68" s="79">
        <v>0</v>
      </c>
      <c r="N68">
        <v>0</v>
      </c>
      <c r="O68">
        <v>103.9</v>
      </c>
      <c r="P68">
        <v>0</v>
      </c>
      <c r="Q68" t="str">
        <v>AVAILABLE</v>
      </c>
      <c r="R68">
        <v>1227000</v>
      </c>
      <c r="S68">
        <v>1300000</v>
      </c>
      <c r="T68">
        <v>1370000</v>
      </c>
      <c r="U68">
        <v>50000</v>
      </c>
      <c r="V68">
        <v>23000</v>
      </c>
      <c r="W68">
        <v>1297000</v>
      </c>
      <c r="X68">
        <v>0</v>
      </c>
      <c r="Y68">
        <v>1370000</v>
      </c>
      <c r="Z68">
        <v>1297000</v>
      </c>
      <c r="AA68">
        <v>46057</v>
      </c>
      <c r="AB68" t="str">
        <v>Q1 2026</v>
      </c>
      <c r="AC68">
        <v>0</v>
      </c>
      <c r="AD68">
        <v>0</v>
      </c>
      <c r="AE68" t="str">
        <v>Ana Damásio</v>
      </c>
      <c r="AF68" t="str">
        <v>Eduardo Lopes</v>
      </c>
      <c r="AG68" t="str">
        <v>TBD</v>
      </c>
      <c r="AH68" t="str">
        <v>The Uncommon is a front-row sea view masterpiece in Vilamoura, where vibrant energy meets serene coastal living. With an exclusive design and elevated services, in this touristic and residential project every moment feels uniquely exceptional.</v>
      </c>
      <c r="AI68" t="str">
        <v>Condo Pool, Outdoor Areas, Underground Parking, Reception, Concierge, Vista Membership</v>
      </c>
      <c r="AJ68" t="str">
        <v>Apartamentos com exploração turística profissional e possibilidade de uso pelos proprietários; Amenities de excelência; Vistas excepcionais e em primeira linha de mar; Rooftops com plunge pool privativos.</v>
      </c>
      <c r="AK68" t="str">
        <v>NLA</v>
      </c>
      <c r="AL68" t="str">
        <v>The Uncommon</v>
      </c>
    </row>
    <row r="69" spans="1:38" x14ac:dyDescent="0.3">
      <c r="A69" t="str">
        <v>THE UNCOMMON</v>
      </c>
      <c r="B69" t="str">
        <v>Vilamoura</v>
      </c>
      <c r="C69" t="str">
        <v>408</v>
      </c>
      <c r="D69" t="str">
        <v>Vilamoura, Algarve</v>
      </c>
      <c r="E69" t="str">
        <v>T2</v>
      </c>
      <c r="F69">
        <v>129.4</v>
      </c>
      <c r="G69">
        <v>0</v>
      </c>
      <c r="H69" t="str">
        <v>1</v>
      </c>
      <c r="I69" t="str">
        <v/>
      </c>
      <c r="J69">
        <v>25.5</v>
      </c>
      <c r="K69">
        <v>0</v>
      </c>
      <c r="L69">
        <v>0</v>
      </c>
      <c r="M69" s="79">
        <v>0</v>
      </c>
      <c r="N69">
        <v>0</v>
      </c>
      <c r="O69">
        <v>103.9</v>
      </c>
      <c r="P69">
        <v>0</v>
      </c>
      <c r="Q69" t="str">
        <v>AVAILABLE</v>
      </c>
      <c r="R69">
        <v>1287000</v>
      </c>
      <c r="S69">
        <v>1360000</v>
      </c>
      <c r="T69">
        <v>1430000</v>
      </c>
      <c r="U69">
        <v>50000</v>
      </c>
      <c r="V69">
        <v>23000</v>
      </c>
      <c r="W69">
        <v>1357000</v>
      </c>
      <c r="X69">
        <v>0</v>
      </c>
      <c r="Y69">
        <v>1430000</v>
      </c>
      <c r="Z69">
        <v>1357000</v>
      </c>
      <c r="AA69">
        <v>46057</v>
      </c>
      <c r="AB69" t="str">
        <v>Q1 2026</v>
      </c>
      <c r="AC69">
        <v>0</v>
      </c>
      <c r="AD69">
        <v>0</v>
      </c>
      <c r="AE69" t="str">
        <v>Ana Damásio</v>
      </c>
      <c r="AF69" t="str">
        <v>Eduardo Lopes</v>
      </c>
      <c r="AG69" t="str">
        <v>TBD</v>
      </c>
      <c r="AH69" t="str">
        <v>The Uncommon is a front-row sea view masterpiece in Vilamoura, where vibrant energy meets serene coastal living. With an exclusive design and elevated services, in this touristic and residential project every moment feels uniquely exceptional.</v>
      </c>
      <c r="AI69" t="str">
        <v>Condo Pool, Outdoor Areas, Underground Parking, Reception, Concierge, Vista Membership</v>
      </c>
      <c r="AJ69" t="str">
        <v>Apartamentos com exploração turística profissional e possibilidade de uso pelos proprietários; Amenities de excelência; Vistas excepcionais e em primeira linha de mar; Rooftops com plunge pool privativos.</v>
      </c>
      <c r="AK69" t="str">
        <v>NLA</v>
      </c>
      <c r="AL69" t="str">
        <v>The Uncommon</v>
      </c>
    </row>
    <row r="70" spans="1:38" x14ac:dyDescent="0.3">
      <c r="A70" t="str">
        <v>THE UNCOMMON</v>
      </c>
      <c r="B70" t="str">
        <v>Vilamoura</v>
      </c>
      <c r="C70" t="str">
        <v>409</v>
      </c>
      <c r="D70" t="str">
        <v>Vilamoura, Algarve</v>
      </c>
      <c r="E70" t="str">
        <v>T2</v>
      </c>
      <c r="F70">
        <v>129.4</v>
      </c>
      <c r="G70">
        <v>0</v>
      </c>
      <c r="H70" t="str">
        <v>1</v>
      </c>
      <c r="I70" t="str">
        <v/>
      </c>
      <c r="J70">
        <v>25.5</v>
      </c>
      <c r="K70">
        <v>0</v>
      </c>
      <c r="L70">
        <v>0</v>
      </c>
      <c r="M70" s="79">
        <v>0</v>
      </c>
      <c r="N70">
        <v>0</v>
      </c>
      <c r="O70">
        <v>103.9</v>
      </c>
      <c r="P70">
        <v>0</v>
      </c>
      <c r="Q70" t="str">
        <v>AVAILABLE</v>
      </c>
      <c r="R70">
        <v>1337000</v>
      </c>
      <c r="S70">
        <v>1410000</v>
      </c>
      <c r="T70">
        <v>1480000</v>
      </c>
      <c r="U70">
        <v>50000</v>
      </c>
      <c r="V70">
        <v>23000</v>
      </c>
      <c r="W70">
        <v>1407000</v>
      </c>
      <c r="X70">
        <v>0</v>
      </c>
      <c r="Y70">
        <v>1480000</v>
      </c>
      <c r="Z70">
        <v>1407000</v>
      </c>
      <c r="AA70">
        <v>46057</v>
      </c>
      <c r="AB70" t="str">
        <v>Q1 2026</v>
      </c>
      <c r="AC70">
        <v>0</v>
      </c>
      <c r="AD70">
        <v>0</v>
      </c>
      <c r="AE70" t="str">
        <v>Ana Damásio</v>
      </c>
      <c r="AF70" t="str">
        <v>Eduardo Lopes</v>
      </c>
      <c r="AG70" t="str">
        <v>TBD</v>
      </c>
      <c r="AH70" t="str">
        <v>The Uncommon is a front-row sea view masterpiece in Vilamoura, where vibrant energy meets serene coastal living. With an exclusive design and elevated services, in this touristic and residential project every moment feels uniquely exceptional.</v>
      </c>
      <c r="AI70" t="str">
        <v>Condo Pool, Outdoor Areas, Underground Parking, Reception, Concierge, Vista Membership</v>
      </c>
      <c r="AJ70" t="str">
        <v>Apartamentos com exploração turística profissional e possibilidade de uso pelos proprietários; Amenities de excelência; Vistas excepcionais e em primeira linha de mar; Rooftops com plunge pool privativos.</v>
      </c>
      <c r="AK70" t="str">
        <v>NLA</v>
      </c>
      <c r="AL70" t="str">
        <v>The Uncommon</v>
      </c>
    </row>
    <row r="71" spans="1:38" x14ac:dyDescent="0.3">
      <c r="A71" t="str">
        <v>THE UNCOMMON</v>
      </c>
      <c r="B71" t="str">
        <v>Vilamoura</v>
      </c>
      <c r="C71" t="str">
        <v>410</v>
      </c>
      <c r="D71" t="str">
        <v>Vilamoura, Algarve</v>
      </c>
      <c r="E71" t="str">
        <v>T4 Duplex</v>
      </c>
      <c r="F71">
        <v>406.3</v>
      </c>
      <c r="G71">
        <v>0</v>
      </c>
      <c r="H71" t="str">
        <v>1</v>
      </c>
      <c r="I71" t="str">
        <v/>
      </c>
      <c r="J71">
        <v>154.19999999999999</v>
      </c>
      <c r="K71">
        <v>0</v>
      </c>
      <c r="L71">
        <v>0</v>
      </c>
      <c r="M71" s="79">
        <v>0</v>
      </c>
      <c r="N71">
        <v>0</v>
      </c>
      <c r="O71">
        <v>252.1</v>
      </c>
      <c r="P71">
        <v>0</v>
      </c>
      <c r="Q71" t="str">
        <v>AVAILABLE</v>
      </c>
      <c r="R71">
        <v>4508000</v>
      </c>
      <c r="S71">
        <v>4620000</v>
      </c>
      <c r="T71">
        <v>4750000</v>
      </c>
      <c r="U71">
        <v>60000</v>
      </c>
      <c r="V71">
        <v>52000</v>
      </c>
      <c r="W71">
        <v>4638000</v>
      </c>
      <c r="X71">
        <v>0</v>
      </c>
      <c r="Y71">
        <v>4750000</v>
      </c>
      <c r="Z71">
        <v>4638000</v>
      </c>
      <c r="AA71">
        <v>46057</v>
      </c>
      <c r="AB71" t="str">
        <v>Q1 2026</v>
      </c>
      <c r="AC71">
        <v>0</v>
      </c>
      <c r="AD71">
        <v>0</v>
      </c>
      <c r="AE71" t="str">
        <v>Ana Damásio</v>
      </c>
      <c r="AF71" t="str">
        <v>Eduardo Lopes</v>
      </c>
      <c r="AG71" t="str">
        <v>TBD</v>
      </c>
      <c r="AH71" t="str">
        <v>The Uncommon is a front-row sea view masterpiece in Vilamoura, where vibrant energy meets serene coastal living. With an exclusive design and elevated services, in this touristic and residential project every moment feels uniquely exceptional.</v>
      </c>
      <c r="AI71" t="str">
        <v>Condo Pool, Outdoor Areas, Underground Parking, Reception, Concierge, Vista Membership</v>
      </c>
      <c r="AJ71" t="str">
        <v>Apartamentos com exploração turística profissional e possibilidade de uso pelos proprietários; Amenities de excelência; Vistas excepcionais e em primeira linha de mar; Rooftops com plunge pool privativos.</v>
      </c>
      <c r="AK71" t="str">
        <v>NLA</v>
      </c>
      <c r="AL71" t="str">
        <v>The Uncommon</v>
      </c>
    </row>
    <row r="72" spans="1:38" x14ac:dyDescent="0.3">
      <c r="A72" t="str">
        <v>THE UNCOMMON</v>
      </c>
      <c r="B72" t="str">
        <v>Vilamoura</v>
      </c>
      <c r="C72" t="str">
        <v>411</v>
      </c>
      <c r="D72" t="str">
        <v>Vilamoura, Algarve</v>
      </c>
      <c r="E72" t="str">
        <v>T1</v>
      </c>
      <c r="F72">
        <v>80.900000000000006</v>
      </c>
      <c r="G72">
        <v>0</v>
      </c>
      <c r="H72" t="str">
        <v>1</v>
      </c>
      <c r="I72" t="str">
        <v/>
      </c>
      <c r="J72">
        <v>18</v>
      </c>
      <c r="K72">
        <v>0</v>
      </c>
      <c r="L72">
        <v>0</v>
      </c>
      <c r="M72" s="79">
        <v>0</v>
      </c>
      <c r="N72">
        <v>0</v>
      </c>
      <c r="O72">
        <v>62.9</v>
      </c>
      <c r="P72">
        <v>0</v>
      </c>
      <c r="Q72" t="str">
        <v>AVAILABLE</v>
      </c>
      <c r="R72">
        <v>685000</v>
      </c>
      <c r="S72">
        <v>750000</v>
      </c>
      <c r="T72">
        <v>810000</v>
      </c>
      <c r="U72">
        <v>50000</v>
      </c>
      <c r="V72">
        <v>15000</v>
      </c>
      <c r="W72">
        <v>745000</v>
      </c>
      <c r="X72">
        <v>0</v>
      </c>
      <c r="Y72">
        <v>810000</v>
      </c>
      <c r="Z72">
        <v>745000</v>
      </c>
      <c r="AA72">
        <v>46057</v>
      </c>
      <c r="AB72" t="str">
        <v>Q1 2026</v>
      </c>
      <c r="AC72">
        <v>0</v>
      </c>
      <c r="AD72">
        <v>0</v>
      </c>
      <c r="AE72" t="str">
        <v>Ana Damásio</v>
      </c>
      <c r="AF72" t="str">
        <v>Eduardo Lopes</v>
      </c>
      <c r="AG72" t="str">
        <v>TBD</v>
      </c>
      <c r="AH72" t="str">
        <v>The Uncommon is a front-row sea view masterpiece in Vilamoura, where vibrant energy meets serene coastal living. With an exclusive design and elevated services, in this touristic and residential project every moment feels uniquely exceptional.</v>
      </c>
      <c r="AI72" t="str">
        <v>Condo Pool, Outdoor Areas, Underground Parking, Reception, Concierge, Vista Membership</v>
      </c>
      <c r="AJ72" t="str">
        <v>Apartamentos com exploração turística profissional e possibilidade de uso pelos proprietários; Amenities de excelência; Vistas excepcionais e em primeira linha de mar; Rooftops com plunge pool privativos.</v>
      </c>
      <c r="AK72" t="str">
        <v>NLA</v>
      </c>
      <c r="AL72" t="str">
        <v>The Uncommon</v>
      </c>
    </row>
    <row r="73" spans="1:38" x14ac:dyDescent="0.3">
      <c r="A73" t="str">
        <v>THE UNCOMMON</v>
      </c>
      <c r="B73" t="str">
        <v>Vilamoura</v>
      </c>
      <c r="C73" t="str">
        <v>412</v>
      </c>
      <c r="D73" t="str">
        <v>Vilamoura, Algarve</v>
      </c>
      <c r="E73" t="str">
        <v>T1</v>
      </c>
      <c r="F73">
        <v>81.099999999999994</v>
      </c>
      <c r="G73">
        <v>0</v>
      </c>
      <c r="H73" t="str">
        <v>1</v>
      </c>
      <c r="I73" t="str">
        <v/>
      </c>
      <c r="J73">
        <v>18</v>
      </c>
      <c r="K73">
        <v>0</v>
      </c>
      <c r="L73">
        <v>0</v>
      </c>
      <c r="M73" s="79">
        <v>0</v>
      </c>
      <c r="N73">
        <v>0</v>
      </c>
      <c r="O73">
        <v>63.1</v>
      </c>
      <c r="P73">
        <v>0</v>
      </c>
      <c r="Q73" t="str">
        <v>AVAILABLE</v>
      </c>
      <c r="R73">
        <v>725000</v>
      </c>
      <c r="S73">
        <v>790000</v>
      </c>
      <c r="T73">
        <v>850000</v>
      </c>
      <c r="U73">
        <v>50000</v>
      </c>
      <c r="V73">
        <v>15000</v>
      </c>
      <c r="W73">
        <v>785000</v>
      </c>
      <c r="X73">
        <v>0</v>
      </c>
      <c r="Y73">
        <v>850000</v>
      </c>
      <c r="Z73">
        <v>785000</v>
      </c>
      <c r="AA73">
        <v>46057</v>
      </c>
      <c r="AB73" t="str">
        <v>Q1 2026</v>
      </c>
      <c r="AC73">
        <v>0</v>
      </c>
      <c r="AD73">
        <v>0</v>
      </c>
      <c r="AE73" t="str">
        <v>Ana Damásio</v>
      </c>
      <c r="AF73" t="str">
        <v>Eduardo Lopes</v>
      </c>
      <c r="AG73" t="str">
        <v>TBD</v>
      </c>
      <c r="AH73" t="str">
        <v>The Uncommon is a front-row sea view masterpiece in Vilamoura, where vibrant energy meets serene coastal living. With an exclusive design and elevated services, in this touristic and residential project every moment feels uniquely exceptional.</v>
      </c>
      <c r="AI73" t="str">
        <v>Condo Pool, Outdoor Areas, Underground Parking, Reception, Concierge, Vista Membership</v>
      </c>
      <c r="AJ73" t="str">
        <v>Apartamentos com exploração turística profissional e possibilidade de uso pelos proprietários; Amenities de excelência; Vistas excepcionais e em primeira linha de mar; Rooftops com plunge pool privativos.</v>
      </c>
      <c r="AK73" t="str">
        <v>NLA</v>
      </c>
      <c r="AL73" t="str">
        <v>The Uncommon</v>
      </c>
    </row>
    <row r="74" spans="1:38" x14ac:dyDescent="0.3">
      <c r="A74" t="str">
        <v>THE UNCOMMON</v>
      </c>
      <c r="B74" t="str">
        <v>Vilamoura</v>
      </c>
      <c r="C74" t="str">
        <v>413</v>
      </c>
      <c r="D74" t="str">
        <v>Vilamoura, Algarve</v>
      </c>
      <c r="E74" t="str">
        <v>T1</v>
      </c>
      <c r="F74">
        <v>81.099999999999994</v>
      </c>
      <c r="G74">
        <v>0</v>
      </c>
      <c r="H74" t="str">
        <v>1</v>
      </c>
      <c r="I74" t="str">
        <v/>
      </c>
      <c r="J74">
        <v>18</v>
      </c>
      <c r="K74" s="113">
        <v>0</v>
      </c>
      <c r="L74" s="78">
        <v>0</v>
      </c>
      <c r="M74" s="79">
        <v>0</v>
      </c>
      <c r="N74">
        <v>0</v>
      </c>
      <c r="O74">
        <v>63.1</v>
      </c>
      <c r="P74">
        <v>0</v>
      </c>
      <c r="Q74" t="str">
        <v>AVAILABLE</v>
      </c>
      <c r="R74">
        <v>765000</v>
      </c>
      <c r="S74">
        <v>830000</v>
      </c>
      <c r="T74">
        <v>890000</v>
      </c>
      <c r="U74">
        <v>50000</v>
      </c>
      <c r="V74">
        <v>15000</v>
      </c>
      <c r="W74">
        <v>825000</v>
      </c>
      <c r="X74">
        <v>0</v>
      </c>
      <c r="Y74">
        <v>890000</v>
      </c>
      <c r="Z74">
        <v>825000</v>
      </c>
      <c r="AA74">
        <v>46057</v>
      </c>
      <c r="AB74" t="str">
        <v>Q1 2026</v>
      </c>
      <c r="AC74">
        <v>0</v>
      </c>
      <c r="AD74">
        <v>0</v>
      </c>
      <c r="AE74" t="str">
        <v>Ana Damásio</v>
      </c>
      <c r="AF74" t="str">
        <v>Eduardo Lopes</v>
      </c>
      <c r="AG74" t="str">
        <v>TBD</v>
      </c>
      <c r="AH74" t="str">
        <v>The Uncommon is a front-row sea view masterpiece in Vilamoura, where vibrant energy meets serene coastal living. With an exclusive design and elevated services, in this touristic and residential project every moment feels uniquely exceptional.</v>
      </c>
      <c r="AI74" t="str">
        <v>Condo Pool, Outdoor Areas, Underground Parking, Reception, Concierge, Vista Membership</v>
      </c>
      <c r="AJ74" t="str">
        <v>Apartamentos com exploração turística profissional e possibilidade de uso pelos proprietários; Amenities de excelência; Vistas excepcionais e em primeira linha de mar; Rooftops com plunge pool privativos.</v>
      </c>
      <c r="AK74" t="str">
        <v>NLA</v>
      </c>
      <c r="AL74" t="str">
        <v>The Uncommon</v>
      </c>
    </row>
    <row r="75" spans="1:38" x14ac:dyDescent="0.3">
      <c r="A75" t="str">
        <v>THE UNCOMMON</v>
      </c>
      <c r="B75" t="str">
        <v>Vilamoura</v>
      </c>
      <c r="C75" t="str">
        <v>414</v>
      </c>
      <c r="D75" t="str">
        <v>Vilamoura, Algarve</v>
      </c>
      <c r="E75" t="str">
        <v>T1</v>
      </c>
      <c r="F75">
        <v>81.099999999999994</v>
      </c>
      <c r="G75">
        <v>0</v>
      </c>
      <c r="H75" t="str">
        <v>1</v>
      </c>
      <c r="I75" t="str">
        <v/>
      </c>
      <c r="J75">
        <v>18</v>
      </c>
      <c r="K75">
        <v>0</v>
      </c>
      <c r="L75">
        <v>0</v>
      </c>
      <c r="M75" s="79">
        <v>0</v>
      </c>
      <c r="N75">
        <v>0</v>
      </c>
      <c r="O75">
        <v>63.1</v>
      </c>
      <c r="P75">
        <v>0</v>
      </c>
      <c r="Q75" t="str">
        <v>AVAILABLE</v>
      </c>
      <c r="R75">
        <v>805000</v>
      </c>
      <c r="S75">
        <v>870000</v>
      </c>
      <c r="T75">
        <v>930000</v>
      </c>
      <c r="U75">
        <v>50000</v>
      </c>
      <c r="V75">
        <v>15000</v>
      </c>
      <c r="W75">
        <v>865000</v>
      </c>
      <c r="X75">
        <v>0</v>
      </c>
      <c r="Y75">
        <v>930000</v>
      </c>
      <c r="Z75">
        <v>865000</v>
      </c>
      <c r="AA75">
        <v>46057</v>
      </c>
      <c r="AB75" t="str">
        <v>Q1 2026</v>
      </c>
      <c r="AC75">
        <v>0</v>
      </c>
      <c r="AD75">
        <v>0</v>
      </c>
      <c r="AE75" t="str">
        <v>Ana Damásio</v>
      </c>
      <c r="AF75" t="str">
        <v>Eduardo Lopes</v>
      </c>
      <c r="AG75" t="str">
        <v>TBD</v>
      </c>
      <c r="AH75" t="str">
        <v>The Uncommon is a front-row sea view masterpiece in Vilamoura, where vibrant energy meets serene coastal living. With an exclusive design and elevated services, in this touristic and residential project every moment feels uniquely exceptional.</v>
      </c>
      <c r="AI75" t="str">
        <v>Condo Pool, Outdoor Areas, Underground Parking, Reception, Concierge, Vista Membership</v>
      </c>
      <c r="AJ75" t="str">
        <v>Apartamentos com exploração turística profissional e possibilidade de uso pelos proprietários; Amenities de excelência; Vistas excepcionais e em primeira linha de mar; Rooftops com plunge pool privativos.</v>
      </c>
      <c r="AK75" t="str">
        <v>NLA</v>
      </c>
      <c r="AL75" t="str">
        <v>The Uncommon</v>
      </c>
    </row>
    <row r="76" spans="1:38" x14ac:dyDescent="0.3">
      <c r="A76" t="str">
        <v>THE UNCOMMON</v>
      </c>
      <c r="B76" t="str">
        <v>Vilamoura</v>
      </c>
      <c r="C76" t="str">
        <v>415</v>
      </c>
      <c r="D76" t="str">
        <v>Vilamoura, Algarve</v>
      </c>
      <c r="E76" t="str">
        <v>T1</v>
      </c>
      <c r="F76">
        <v>83</v>
      </c>
      <c r="G76">
        <v>0</v>
      </c>
      <c r="H76" t="str">
        <v>1</v>
      </c>
      <c r="I76" t="str">
        <v/>
      </c>
      <c r="J76">
        <v>18.7</v>
      </c>
      <c r="K76">
        <v>0</v>
      </c>
      <c r="L76">
        <v>0</v>
      </c>
      <c r="M76" s="79">
        <v>0</v>
      </c>
      <c r="N76">
        <v>0</v>
      </c>
      <c r="O76">
        <v>64.3</v>
      </c>
      <c r="P76">
        <v>0</v>
      </c>
      <c r="Q76" t="str">
        <v>AVAILABLE</v>
      </c>
      <c r="R76">
        <v>875000</v>
      </c>
      <c r="S76">
        <v>940000</v>
      </c>
      <c r="T76">
        <v>1000000</v>
      </c>
      <c r="U76">
        <v>50000</v>
      </c>
      <c r="V76">
        <v>15000</v>
      </c>
      <c r="W76">
        <v>935000</v>
      </c>
      <c r="X76">
        <v>0</v>
      </c>
      <c r="Y76">
        <v>1000000</v>
      </c>
      <c r="Z76">
        <v>935000</v>
      </c>
      <c r="AA76">
        <v>46057</v>
      </c>
      <c r="AB76" t="str">
        <v>Q1 2026</v>
      </c>
      <c r="AC76">
        <v>0</v>
      </c>
      <c r="AD76">
        <v>0</v>
      </c>
      <c r="AE76" t="str">
        <v>Ana Damásio</v>
      </c>
      <c r="AF76" t="str">
        <v>Eduardo Lopes</v>
      </c>
      <c r="AG76" t="str">
        <v>TBD</v>
      </c>
      <c r="AH76" t="str">
        <v>The Uncommon is a front-row sea view masterpiece in Vilamoura, where vibrant energy meets serene coastal living. With an exclusive design and elevated services, in this touristic and residential project every moment feels uniquely exceptional.</v>
      </c>
      <c r="AI76" t="str">
        <v>Condo Pool, Outdoor Areas, Underground Parking, Reception, Concierge, Vista Membership</v>
      </c>
      <c r="AJ76" t="str">
        <v>Apartamentos com exploração turística profissional e possibilidade de uso pelos proprietários; Amenities de excelência; Vistas excepcionais e em primeira linha de mar; Rooftops com plunge pool privativos.</v>
      </c>
      <c r="AK76" t="str">
        <v>NLA</v>
      </c>
      <c r="AL76" t="str">
        <v>The Uncommon</v>
      </c>
    </row>
    <row r="77" spans="1:38" x14ac:dyDescent="0.3">
      <c r="A77" t="str">
        <v>THE UNCOMMON</v>
      </c>
      <c r="B77" t="str">
        <v>Vilamoura</v>
      </c>
      <c r="C77" t="str">
        <v>416</v>
      </c>
      <c r="D77" t="str">
        <v>Vilamoura, Algarve</v>
      </c>
      <c r="E77" t="str">
        <v>T4 Duplex</v>
      </c>
      <c r="F77">
        <v>396.4</v>
      </c>
      <c r="G77">
        <v>0</v>
      </c>
      <c r="H77" t="str">
        <v>1</v>
      </c>
      <c r="I77" t="str">
        <v/>
      </c>
      <c r="J77">
        <v>159.5</v>
      </c>
      <c r="K77">
        <v>0</v>
      </c>
      <c r="L77">
        <v>0</v>
      </c>
      <c r="M77" s="79">
        <v>0</v>
      </c>
      <c r="N77">
        <v>0</v>
      </c>
      <c r="O77">
        <v>236.9</v>
      </c>
      <c r="P77">
        <v>0</v>
      </c>
      <c r="Q77" t="str">
        <v>AVAILABLE</v>
      </c>
      <c r="R77">
        <v>4388000</v>
      </c>
      <c r="S77">
        <v>4500000</v>
      </c>
      <c r="T77">
        <v>4630000</v>
      </c>
      <c r="U77">
        <v>60000</v>
      </c>
      <c r="V77">
        <v>52000</v>
      </c>
      <c r="W77">
        <v>4518000</v>
      </c>
      <c r="X77">
        <v>0</v>
      </c>
      <c r="Y77">
        <v>4630000</v>
      </c>
      <c r="Z77">
        <v>4518000</v>
      </c>
      <c r="AA77">
        <v>46057</v>
      </c>
      <c r="AB77" t="str">
        <v>Q1 2026</v>
      </c>
      <c r="AC77">
        <v>0</v>
      </c>
      <c r="AD77">
        <v>0</v>
      </c>
      <c r="AE77" t="str">
        <v>Ana Damásio</v>
      </c>
      <c r="AF77" t="str">
        <v>Eduardo Lopes</v>
      </c>
      <c r="AG77" t="str">
        <v>TBD</v>
      </c>
      <c r="AH77" t="str">
        <v>The Uncommon is a front-row sea view masterpiece in Vilamoura, where vibrant energy meets serene coastal living. With an exclusive design and elevated services, in this touristic and residential project every moment feels uniquely exceptional.</v>
      </c>
      <c r="AI77" t="str">
        <v>Condo Pool, Outdoor Areas, Underground Parking, Reception, Concierge, Vista Membership</v>
      </c>
      <c r="AJ77" t="str">
        <v>Apartamentos com exploração turística profissional e possibilidade de uso pelos proprietários; Amenities de excelência; Vistas excepcionais e em primeira linha de mar; Rooftops com plunge pool privativos.</v>
      </c>
      <c r="AK77" t="str">
        <v>NLA</v>
      </c>
      <c r="AL77" t="str">
        <v>The Uncommon</v>
      </c>
    </row>
    <row r="78" spans="1:38" x14ac:dyDescent="0.3">
      <c r="A78" t="str">
        <v>THE UNCOMMON</v>
      </c>
      <c r="B78" t="str">
        <v>Vilamoura</v>
      </c>
      <c r="C78" t="str">
        <v>5</v>
      </c>
      <c r="D78" t="str">
        <v>Vilamoura, Algarve</v>
      </c>
      <c r="E78" t="str">
        <v>T2</v>
      </c>
      <c r="F78">
        <v>169.3</v>
      </c>
      <c r="G78">
        <v>0</v>
      </c>
      <c r="H78" t="str">
        <v>1</v>
      </c>
      <c r="I78" t="str">
        <v/>
      </c>
      <c r="J78">
        <v>64.7</v>
      </c>
      <c r="K78">
        <v>0</v>
      </c>
      <c r="L78">
        <v>0</v>
      </c>
      <c r="M78" s="79">
        <v>0</v>
      </c>
      <c r="N78">
        <v>0</v>
      </c>
      <c r="O78">
        <v>104.6</v>
      </c>
      <c r="P78">
        <v>0</v>
      </c>
      <c r="Q78" t="str">
        <v>AVAILABLE</v>
      </c>
      <c r="R78">
        <v>947000</v>
      </c>
      <c r="S78">
        <v>1020000</v>
      </c>
      <c r="T78">
        <v>1080000</v>
      </c>
      <c r="U78">
        <v>50000</v>
      </c>
      <c r="V78">
        <v>23000</v>
      </c>
      <c r="W78">
        <v>1007000</v>
      </c>
      <c r="X78">
        <v>0</v>
      </c>
      <c r="Y78">
        <v>1080000</v>
      </c>
      <c r="Z78">
        <v>1007000</v>
      </c>
      <c r="AA78">
        <v>46057</v>
      </c>
      <c r="AB78" t="str">
        <v>Q1 2026</v>
      </c>
      <c r="AC78">
        <v>0</v>
      </c>
      <c r="AD78">
        <v>0</v>
      </c>
      <c r="AE78" t="str">
        <v>Ana Damásio</v>
      </c>
      <c r="AF78" t="str">
        <v>Eduardo Lopes</v>
      </c>
      <c r="AG78" t="str">
        <v>TBD</v>
      </c>
      <c r="AH78" t="str">
        <v>The Uncommon is a front-row sea view masterpiece in Vilamoura, where vibrant energy meets serene coastal living. With an exclusive design and elevated services, in this touristic and residential project every moment feels uniquely exceptional.</v>
      </c>
      <c r="AI78" t="str">
        <v>Condo Pool, Outdoor Areas, Underground Parking, Reception, Concierge, Vista Membership</v>
      </c>
      <c r="AJ78" t="str">
        <v>Apartamentos com exploração turística profissional e possibilidade de uso pelos proprietários; Amenities de excelência; Vistas excepcionais e em primeira linha de mar; Rooftops com plunge pool privativos.</v>
      </c>
      <c r="AK78" t="str">
        <v>NLA</v>
      </c>
      <c r="AL78" t="str">
        <v>The Uncommon</v>
      </c>
    </row>
    <row r="79" spans="1:38" x14ac:dyDescent="0.3">
      <c r="A79" t="str">
        <v>THE UNCOMMON</v>
      </c>
      <c r="B79" t="str">
        <v>Vilamoura</v>
      </c>
      <c r="C79" t="str">
        <v>501</v>
      </c>
      <c r="D79" t="str">
        <v>Vilamoura, Algarve</v>
      </c>
      <c r="E79" t="str">
        <v>T3</v>
      </c>
      <c r="F79">
        <v>230.1</v>
      </c>
      <c r="G79">
        <v>0</v>
      </c>
      <c r="H79" t="str">
        <v>1</v>
      </c>
      <c r="I79" t="str">
        <v/>
      </c>
      <c r="J79">
        <v>80.5</v>
      </c>
      <c r="K79">
        <v>0</v>
      </c>
      <c r="L79">
        <v>0</v>
      </c>
      <c r="M79" s="79">
        <v>0</v>
      </c>
      <c r="N79">
        <v>0</v>
      </c>
      <c r="O79">
        <v>149.6</v>
      </c>
      <c r="P79">
        <v>0</v>
      </c>
      <c r="Q79" t="str">
        <v>AVAILABLE</v>
      </c>
      <c r="R79">
        <v>2410000</v>
      </c>
      <c r="S79">
        <v>2490000</v>
      </c>
      <c r="T79">
        <v>2580000</v>
      </c>
      <c r="U79">
        <v>50000</v>
      </c>
      <c r="V79">
        <v>30000</v>
      </c>
      <c r="W79">
        <v>2500000</v>
      </c>
      <c r="X79">
        <v>0</v>
      </c>
      <c r="Y79">
        <v>2580000</v>
      </c>
      <c r="Z79">
        <v>2500000</v>
      </c>
      <c r="AA79">
        <v>46057</v>
      </c>
      <c r="AB79" t="str">
        <v>Q1 2026</v>
      </c>
      <c r="AC79">
        <v>0</v>
      </c>
      <c r="AD79">
        <v>0</v>
      </c>
      <c r="AE79" t="str">
        <v>Ana Damásio</v>
      </c>
      <c r="AF79" t="str">
        <v>Eduardo Lopes</v>
      </c>
      <c r="AG79" t="str">
        <v>TBD</v>
      </c>
      <c r="AH79" t="str">
        <v>The Uncommon is a front-row sea view masterpiece in Vilamoura, where vibrant energy meets serene coastal living. With an exclusive design and elevated services, in this touristic and residential project every moment feels uniquely exceptional.</v>
      </c>
      <c r="AI79" t="str">
        <v>Condo Pool, Outdoor Areas, Underground Parking, Reception, Concierge, Vista Membership</v>
      </c>
      <c r="AJ79" t="str">
        <v>Apartamentos com exploração turística profissional e possibilidade de uso pelos proprietários; Amenities de excelência; Vistas excepcionais e em primeira linha de mar; Rooftops com plunge pool privativos.</v>
      </c>
      <c r="AK79" t="str">
        <v>NLA</v>
      </c>
      <c r="AL79" t="str">
        <v>The Uncommon</v>
      </c>
    </row>
    <row r="80" spans="1:38" x14ac:dyDescent="0.3">
      <c r="A80" t="str">
        <v>THE UNCOMMON</v>
      </c>
      <c r="B80" t="str">
        <v>Vilamoura</v>
      </c>
      <c r="C80" t="str">
        <v>504</v>
      </c>
      <c r="D80" t="str">
        <v>Vilamoura, Algarve</v>
      </c>
      <c r="E80" t="str">
        <v>T2</v>
      </c>
      <c r="F80">
        <v>161.6</v>
      </c>
      <c r="G80">
        <v>0</v>
      </c>
      <c r="H80" t="str">
        <v/>
      </c>
      <c r="I80" t="str">
        <v/>
      </c>
      <c r="J80">
        <v>57</v>
      </c>
      <c r="K80">
        <v>0</v>
      </c>
      <c r="L80">
        <v>0</v>
      </c>
      <c r="M80" s="79">
        <v>0</v>
      </c>
      <c r="N80">
        <v>0</v>
      </c>
      <c r="O80">
        <v>104.6</v>
      </c>
      <c r="P80">
        <v>0</v>
      </c>
      <c r="Q80" t="str">
        <v>AVAILABLE</v>
      </c>
      <c r="R80">
        <v>1087000</v>
      </c>
      <c r="S80">
        <v>1160000</v>
      </c>
      <c r="T80">
        <v>1230000</v>
      </c>
      <c r="U80">
        <v>50000</v>
      </c>
      <c r="V80">
        <v>23000</v>
      </c>
      <c r="W80">
        <v>1157000</v>
      </c>
      <c r="X80">
        <v>0</v>
      </c>
      <c r="Y80">
        <v>1230000</v>
      </c>
      <c r="Z80">
        <v>1157000</v>
      </c>
      <c r="AA80">
        <v>46057</v>
      </c>
      <c r="AB80" t="str">
        <v>Q1 2026</v>
      </c>
      <c r="AC80">
        <v>0</v>
      </c>
      <c r="AD80">
        <v>0</v>
      </c>
      <c r="AE80" t="str">
        <v>Ana Damásio</v>
      </c>
      <c r="AF80" t="str">
        <v>Eduardo Lopes</v>
      </c>
      <c r="AG80" t="str">
        <v>TBD</v>
      </c>
      <c r="AH80" t="str">
        <v>The Uncommon is a front-row sea view masterpiece in Vilamoura, where vibrant energy meets serene coastal living. With an exclusive design and elevated services, in this touristic and residential project every moment feels uniquely exceptional.</v>
      </c>
      <c r="AI80" t="str">
        <v>Condo Pool, Outdoor Areas, Underground Parking, Reception, Concierge, Vista Membership</v>
      </c>
      <c r="AJ80" t="str">
        <v>Apartamentos com exploração turística profissional e possibilidade de uso pelos proprietários; Amenities de excelência; Vistas excepcionais e em primeira linha de mar; Rooftops com plunge pool privativos.</v>
      </c>
      <c r="AK80" t="str">
        <v>NLA</v>
      </c>
      <c r="AL80" t="str">
        <v>The Uncommon</v>
      </c>
    </row>
    <row r="81" spans="1:38" x14ac:dyDescent="0.3">
      <c r="A81" t="str">
        <v>THE UNCOMMON</v>
      </c>
      <c r="B81" t="str">
        <v>Vilamoura</v>
      </c>
      <c r="C81" t="str">
        <v>505</v>
      </c>
      <c r="D81" t="str">
        <v>Vilamoura, Algarve</v>
      </c>
      <c r="E81" t="str">
        <v>T2</v>
      </c>
      <c r="F81">
        <v>161.69999999999999</v>
      </c>
      <c r="G81">
        <v>0</v>
      </c>
      <c r="H81" t="str">
        <v/>
      </c>
      <c r="I81" t="str">
        <v/>
      </c>
      <c r="J81">
        <v>57.1</v>
      </c>
      <c r="K81">
        <v>0</v>
      </c>
      <c r="L81">
        <v>0</v>
      </c>
      <c r="M81" s="79">
        <v>0</v>
      </c>
      <c r="N81">
        <v>0</v>
      </c>
      <c r="O81">
        <v>104.6</v>
      </c>
      <c r="P81">
        <v>0</v>
      </c>
      <c r="Q81" t="str">
        <v>AVAILABLE</v>
      </c>
      <c r="R81">
        <v>1177000</v>
      </c>
      <c r="S81">
        <v>1250000</v>
      </c>
      <c r="T81">
        <v>1320000</v>
      </c>
      <c r="U81">
        <v>50000</v>
      </c>
      <c r="V81">
        <v>23000</v>
      </c>
      <c r="W81">
        <v>1247000</v>
      </c>
      <c r="X81">
        <v>0</v>
      </c>
      <c r="Y81">
        <v>1320000</v>
      </c>
      <c r="Z81">
        <v>1247000</v>
      </c>
      <c r="AA81">
        <v>46057</v>
      </c>
      <c r="AB81" t="str">
        <v>Q1 2026</v>
      </c>
      <c r="AC81">
        <v>0</v>
      </c>
      <c r="AD81">
        <v>0</v>
      </c>
      <c r="AE81" t="str">
        <v>Ana Damásio</v>
      </c>
      <c r="AF81" t="str">
        <v>Eduardo Lopes</v>
      </c>
      <c r="AG81" t="str">
        <v>TBD</v>
      </c>
      <c r="AH81" t="str">
        <v>The Uncommon is a front-row sea view masterpiece in Vilamoura, where vibrant energy meets serene coastal living. With an exclusive design and elevated services, in this touristic and residential project every moment feels uniquely exceptional.</v>
      </c>
      <c r="AI81" t="str">
        <v>Condo Pool, Outdoor Areas, Underground Parking, Reception, Concierge, Vista Membership</v>
      </c>
      <c r="AJ81" t="str">
        <v>Apartamentos com exploração turística profissional e possibilidade de uso pelos proprietários; Amenities de excelência; Vistas excepcionais e em primeira linha de mar; Rooftops com plunge pool privativos.</v>
      </c>
      <c r="AK81" t="str">
        <v>NLA</v>
      </c>
      <c r="AL81" t="str">
        <v>The Uncommon</v>
      </c>
    </row>
    <row r="82" spans="1:38" x14ac:dyDescent="0.3">
      <c r="A82" t="str">
        <v>THE UNCOMMON</v>
      </c>
      <c r="B82" t="str">
        <v>Vilamoura</v>
      </c>
      <c r="C82" t="str">
        <v>506</v>
      </c>
      <c r="D82" t="str">
        <v>Vilamoura, Algarve</v>
      </c>
      <c r="E82" t="str">
        <v>T2</v>
      </c>
      <c r="F82">
        <v>161</v>
      </c>
      <c r="G82">
        <v>0</v>
      </c>
      <c r="H82" t="str">
        <v/>
      </c>
      <c r="I82" t="str">
        <v/>
      </c>
      <c r="J82">
        <v>57.1</v>
      </c>
      <c r="K82">
        <v>0</v>
      </c>
      <c r="L82">
        <v>0</v>
      </c>
      <c r="M82" s="79">
        <v>0</v>
      </c>
      <c r="N82">
        <v>0</v>
      </c>
      <c r="O82">
        <v>103.9</v>
      </c>
      <c r="P82">
        <v>0</v>
      </c>
      <c r="Q82" t="str">
        <v>AVAILABLE</v>
      </c>
      <c r="R82">
        <v>1267000</v>
      </c>
      <c r="S82">
        <v>1340000</v>
      </c>
      <c r="T82">
        <v>1410000</v>
      </c>
      <c r="U82">
        <v>50000</v>
      </c>
      <c r="V82">
        <v>23000</v>
      </c>
      <c r="W82">
        <v>1337000</v>
      </c>
      <c r="X82">
        <v>0</v>
      </c>
      <c r="Y82">
        <v>1410000</v>
      </c>
      <c r="Z82">
        <v>1337000</v>
      </c>
      <c r="AA82">
        <v>46057</v>
      </c>
      <c r="AB82" t="str">
        <v>Q1 2026</v>
      </c>
      <c r="AC82">
        <v>0</v>
      </c>
      <c r="AD82">
        <v>0</v>
      </c>
      <c r="AE82" t="str">
        <v>Ana Damásio</v>
      </c>
      <c r="AF82" t="str">
        <v>Eduardo Lopes</v>
      </c>
      <c r="AG82" t="str">
        <v>TBD</v>
      </c>
      <c r="AH82" t="str">
        <v>The Uncommon is a front-row sea view masterpiece in Vilamoura, where vibrant energy meets serene coastal living. With an exclusive design and elevated services, in this touristic and residential project every moment feels uniquely exceptional.</v>
      </c>
      <c r="AI82" t="str">
        <v>Condo Pool, Outdoor Areas, Underground Parking, Reception, Concierge, Vista Membership</v>
      </c>
      <c r="AJ82" t="str">
        <v>Apartamentos com exploração turística profissional e possibilidade de uso pelos proprietários; Amenities de excelência; Vistas excepcionais e em primeira linha de mar; Rooftops com plunge pool privativos.</v>
      </c>
      <c r="AK82" t="str">
        <v>NLA</v>
      </c>
      <c r="AL82" t="str">
        <v>The Uncommon</v>
      </c>
    </row>
    <row r="83" spans="1:38" x14ac:dyDescent="0.3">
      <c r="A83" t="str">
        <v>THE UNCOMMON</v>
      </c>
      <c r="B83" t="str">
        <v>Vilamoura</v>
      </c>
      <c r="C83" t="str">
        <v>507</v>
      </c>
      <c r="D83" t="str">
        <v>Vilamoura, Algarve</v>
      </c>
      <c r="E83" t="str">
        <v>T2</v>
      </c>
      <c r="F83">
        <v>161</v>
      </c>
      <c r="G83">
        <v>0</v>
      </c>
      <c r="H83" t="str">
        <v/>
      </c>
      <c r="I83" t="str">
        <v/>
      </c>
      <c r="J83">
        <v>57.1</v>
      </c>
      <c r="K83">
        <v>0</v>
      </c>
      <c r="L83">
        <v>0</v>
      </c>
      <c r="M83" s="79">
        <v>0</v>
      </c>
      <c r="N83">
        <v>0</v>
      </c>
      <c r="O83">
        <v>103.9</v>
      </c>
      <c r="P83">
        <v>0</v>
      </c>
      <c r="Q83" t="str">
        <v>AVAILABLE</v>
      </c>
      <c r="R83">
        <v>1347000</v>
      </c>
      <c r="S83">
        <v>1420000</v>
      </c>
      <c r="T83">
        <v>1490000</v>
      </c>
      <c r="U83">
        <v>50000</v>
      </c>
      <c r="V83">
        <v>23000</v>
      </c>
      <c r="W83">
        <v>1417000</v>
      </c>
      <c r="X83">
        <v>0</v>
      </c>
      <c r="Y83">
        <v>1490000</v>
      </c>
      <c r="Z83">
        <v>1417000</v>
      </c>
      <c r="AA83">
        <v>46057</v>
      </c>
      <c r="AB83" t="str">
        <v>Q1 2026</v>
      </c>
      <c r="AC83">
        <v>0</v>
      </c>
      <c r="AD83">
        <v>0</v>
      </c>
      <c r="AE83" t="str">
        <v>Ana Damásio</v>
      </c>
      <c r="AF83" t="str">
        <v>Eduardo Lopes</v>
      </c>
      <c r="AG83" t="str">
        <v>TBD</v>
      </c>
      <c r="AH83" t="str">
        <v>The Uncommon is a front-row sea view masterpiece in Vilamoura, where vibrant energy meets serene coastal living. With an exclusive design and elevated services, in this touristic and residential project every moment feels uniquely exceptional.</v>
      </c>
      <c r="AI83" t="str">
        <v>Condo Pool, Outdoor Areas, Underground Parking, Reception, Concierge, Vista Membership</v>
      </c>
      <c r="AJ83" t="str">
        <v>Apartamentos com exploração turística profissional e possibilidade de uso pelos proprietários; Amenities de excelência; Vistas excepcionais e em primeira linha de mar; Rooftops com plunge pool privativos.</v>
      </c>
      <c r="AK83" t="str">
        <v>NLA</v>
      </c>
      <c r="AL83" t="str">
        <v>The Uncommon</v>
      </c>
    </row>
    <row r="84" spans="1:38" x14ac:dyDescent="0.3">
      <c r="A84" t="str">
        <v>THE UNCOMMON</v>
      </c>
      <c r="B84" t="str">
        <v>Vilamoura</v>
      </c>
      <c r="C84" t="str">
        <v>508</v>
      </c>
      <c r="D84" t="str">
        <v>Vilamoura, Algarve</v>
      </c>
      <c r="E84" t="str">
        <v>T2</v>
      </c>
      <c r="F84">
        <v>161</v>
      </c>
      <c r="G84">
        <v>0</v>
      </c>
      <c r="H84" t="str">
        <v/>
      </c>
      <c r="I84" t="str">
        <v/>
      </c>
      <c r="J84">
        <v>57.1</v>
      </c>
      <c r="K84">
        <v>0</v>
      </c>
      <c r="L84">
        <v>0</v>
      </c>
      <c r="M84" s="79">
        <v>0</v>
      </c>
      <c r="N84">
        <v>0</v>
      </c>
      <c r="O84">
        <v>103.9</v>
      </c>
      <c r="P84">
        <v>0</v>
      </c>
      <c r="Q84" t="str">
        <v>AVAILABLE</v>
      </c>
      <c r="R84">
        <v>1407000</v>
      </c>
      <c r="S84">
        <v>1480000</v>
      </c>
      <c r="T84">
        <v>1550000</v>
      </c>
      <c r="U84">
        <v>50000</v>
      </c>
      <c r="V84">
        <v>23000</v>
      </c>
      <c r="W84">
        <v>1477000</v>
      </c>
      <c r="X84">
        <v>0</v>
      </c>
      <c r="Y84">
        <v>1550000</v>
      </c>
      <c r="Z84">
        <v>1477000</v>
      </c>
      <c r="AA84">
        <v>46057</v>
      </c>
      <c r="AB84" t="str">
        <v>Q1 2026</v>
      </c>
      <c r="AC84">
        <v>0</v>
      </c>
      <c r="AD84">
        <v>0</v>
      </c>
      <c r="AE84" t="str">
        <v>Ana Damásio</v>
      </c>
      <c r="AF84" t="str">
        <v>Eduardo Lopes</v>
      </c>
      <c r="AG84" t="str">
        <v>TBD</v>
      </c>
      <c r="AH84" t="str">
        <v>The Uncommon is a front-row sea view masterpiece in Vilamoura, where vibrant energy meets serene coastal living. With an exclusive design and elevated services, in this touristic and residential project every moment feels uniquely exceptional.</v>
      </c>
      <c r="AI84" t="str">
        <v>Condo Pool, Outdoor Areas, Underground Parking, Reception, Concierge, Vista Membership</v>
      </c>
      <c r="AJ84" t="str">
        <v>Apartamentos com exploração turística profissional e possibilidade de uso pelos proprietários; Amenities de excelência; Vistas excepcionais e em primeira linha de mar; Rooftops com plunge pool privativos.</v>
      </c>
      <c r="AK84" t="str">
        <v>NLA</v>
      </c>
      <c r="AL84" t="str">
        <v>The Uncommon</v>
      </c>
    </row>
    <row r="85" spans="1:38" x14ac:dyDescent="0.3">
      <c r="A85" t="str">
        <v>THE UNCOMMON</v>
      </c>
      <c r="B85" t="str">
        <v>Vilamoura</v>
      </c>
      <c r="C85" t="str">
        <v>509</v>
      </c>
      <c r="D85" t="str">
        <v>Vilamoura, Algarve</v>
      </c>
      <c r="E85" t="str">
        <v>T2</v>
      </c>
      <c r="F85">
        <v>161</v>
      </c>
      <c r="G85">
        <v>0</v>
      </c>
      <c r="H85" t="str">
        <v/>
      </c>
      <c r="I85" t="str">
        <v/>
      </c>
      <c r="J85">
        <v>57.1</v>
      </c>
      <c r="K85">
        <v>0</v>
      </c>
      <c r="L85">
        <v>0</v>
      </c>
      <c r="M85" s="79">
        <v>0</v>
      </c>
      <c r="N85">
        <v>0</v>
      </c>
      <c r="O85">
        <v>103.9</v>
      </c>
      <c r="P85">
        <v>0</v>
      </c>
      <c r="Q85" t="str">
        <v>AVAILABLE</v>
      </c>
      <c r="R85">
        <v>1467000</v>
      </c>
      <c r="S85">
        <v>1540000</v>
      </c>
      <c r="T85">
        <v>1610000</v>
      </c>
      <c r="U85">
        <v>50000</v>
      </c>
      <c r="V85">
        <v>23000</v>
      </c>
      <c r="W85">
        <v>1537000</v>
      </c>
      <c r="X85">
        <v>0</v>
      </c>
      <c r="Y85">
        <v>1610000</v>
      </c>
      <c r="Z85">
        <v>1537000</v>
      </c>
      <c r="AA85">
        <v>46057</v>
      </c>
      <c r="AB85" t="str">
        <v>Q1 2026</v>
      </c>
      <c r="AC85">
        <v>0</v>
      </c>
      <c r="AD85">
        <v>0</v>
      </c>
      <c r="AE85" t="str">
        <v>Ana Damásio</v>
      </c>
      <c r="AF85" t="str">
        <v>Eduardo Lopes</v>
      </c>
      <c r="AG85" t="str">
        <v>TBD</v>
      </c>
      <c r="AH85" t="str">
        <v>The Uncommon is a front-row sea view masterpiece in Vilamoura, where vibrant energy meets serene coastal living. With an exclusive design and elevated services, in this touristic and residential project every moment feels uniquely exceptional.</v>
      </c>
      <c r="AI85" t="str">
        <v>Condo Pool, Outdoor Areas, Underground Parking, Reception, Concierge, Vista Membership</v>
      </c>
      <c r="AJ85" t="str">
        <v>Apartamentos com exploração turística profissional e possibilidade de uso pelos proprietários; Amenities de excelência; Vistas excepcionais e em primeira linha de mar; Rooftops com plunge pool privativos.</v>
      </c>
      <c r="AK85" t="str">
        <v>NLA</v>
      </c>
      <c r="AL85" t="str">
        <v>The Uncommon</v>
      </c>
    </row>
    <row r="86" spans="1:38" x14ac:dyDescent="0.3">
      <c r="A86" t="str">
        <v>THE UNCOMMON</v>
      </c>
      <c r="B86" t="str">
        <v>Vilamoura</v>
      </c>
      <c r="C86" t="str">
        <v>511</v>
      </c>
      <c r="D86" t="str">
        <v>Vilamoura, Algarve</v>
      </c>
      <c r="E86" t="str">
        <v>T1</v>
      </c>
      <c r="F86">
        <v>99.4</v>
      </c>
      <c r="G86">
        <v>0</v>
      </c>
      <c r="H86" t="str">
        <v/>
      </c>
      <c r="I86" t="str">
        <v/>
      </c>
      <c r="J86">
        <v>36.5</v>
      </c>
      <c r="K86">
        <v>0</v>
      </c>
      <c r="L86">
        <v>0</v>
      </c>
      <c r="M86" s="79">
        <v>0</v>
      </c>
      <c r="N86">
        <v>0</v>
      </c>
      <c r="O86">
        <v>62.9</v>
      </c>
      <c r="P86">
        <v>0</v>
      </c>
      <c r="Q86" t="str">
        <v>AVAILABLE</v>
      </c>
      <c r="R86">
        <v>765000</v>
      </c>
      <c r="S86">
        <v>830000</v>
      </c>
      <c r="T86">
        <v>890000</v>
      </c>
      <c r="U86">
        <v>50000</v>
      </c>
      <c r="V86">
        <v>15000</v>
      </c>
      <c r="W86">
        <v>825000</v>
      </c>
      <c r="X86">
        <v>0</v>
      </c>
      <c r="Y86">
        <v>890000</v>
      </c>
      <c r="Z86">
        <v>825000</v>
      </c>
      <c r="AA86">
        <v>46057</v>
      </c>
      <c r="AB86" t="str">
        <v>Q1 2026</v>
      </c>
      <c r="AC86">
        <v>0</v>
      </c>
      <c r="AD86">
        <v>0</v>
      </c>
      <c r="AE86" t="str">
        <v>Ana Damásio</v>
      </c>
      <c r="AF86" t="str">
        <v>Eduardo Lopes</v>
      </c>
      <c r="AG86" t="str">
        <v>TBD</v>
      </c>
      <c r="AH86" t="str">
        <v>The Uncommon is a front-row sea view masterpiece in Vilamoura, where vibrant energy meets serene coastal living. With an exclusive design and elevated services, in this touristic and residential project every moment feels uniquely exceptional.</v>
      </c>
      <c r="AI86" t="str">
        <v>Condo Pool, Outdoor Areas, Underground Parking, Reception, Concierge, Vista Membership</v>
      </c>
      <c r="AJ86" t="str">
        <v>Apartamentos com exploração turística profissional e possibilidade de uso pelos proprietários; Amenities de excelência; Vistas excepcionais e em primeira linha de mar; Rooftops com plunge pool privativos.</v>
      </c>
      <c r="AK86" t="str">
        <v>NLA</v>
      </c>
      <c r="AL86" t="str">
        <v>The Uncommon</v>
      </c>
    </row>
    <row r="87" spans="1:38" x14ac:dyDescent="0.3">
      <c r="A87" t="str">
        <v>THE UNCOMMON</v>
      </c>
      <c r="B87" t="str">
        <v>Vilamoura</v>
      </c>
      <c r="C87" t="str">
        <v>512</v>
      </c>
      <c r="D87" t="str">
        <v>Vilamoura, Algarve</v>
      </c>
      <c r="E87" t="str">
        <v>T1</v>
      </c>
      <c r="F87">
        <v>99.6</v>
      </c>
      <c r="G87">
        <v>0</v>
      </c>
      <c r="H87" t="str">
        <v/>
      </c>
      <c r="I87" t="str">
        <v/>
      </c>
      <c r="J87">
        <v>36.5</v>
      </c>
      <c r="K87">
        <v>0</v>
      </c>
      <c r="L87">
        <v>0</v>
      </c>
      <c r="M87" s="79">
        <v>0</v>
      </c>
      <c r="N87">
        <v>0</v>
      </c>
      <c r="O87">
        <v>63.1</v>
      </c>
      <c r="P87">
        <v>0</v>
      </c>
      <c r="Q87" t="str">
        <v>AVAILABLE</v>
      </c>
      <c r="R87">
        <v>805000</v>
      </c>
      <c r="S87">
        <v>870000</v>
      </c>
      <c r="T87">
        <v>930000</v>
      </c>
      <c r="U87">
        <v>50000</v>
      </c>
      <c r="V87">
        <v>15000</v>
      </c>
      <c r="W87">
        <v>865000</v>
      </c>
      <c r="X87">
        <v>0</v>
      </c>
      <c r="Y87">
        <v>930000</v>
      </c>
      <c r="Z87">
        <v>865000</v>
      </c>
      <c r="AA87">
        <v>46057</v>
      </c>
      <c r="AB87" t="str">
        <v>Q1 2026</v>
      </c>
      <c r="AC87">
        <v>0</v>
      </c>
      <c r="AD87">
        <v>0</v>
      </c>
      <c r="AE87" t="str">
        <v>Ana Damásio</v>
      </c>
      <c r="AF87" t="str">
        <v>Eduardo Lopes</v>
      </c>
      <c r="AG87" t="str">
        <v>TBD</v>
      </c>
      <c r="AH87" t="str">
        <v>The Uncommon is a front-row sea view masterpiece in Vilamoura, where vibrant energy meets serene coastal living. With an exclusive design and elevated services, in this touristic and residential project every moment feels uniquely exceptional.</v>
      </c>
      <c r="AI87" t="str">
        <v>Condo Pool, Outdoor Areas, Underground Parking, Reception, Concierge, Vista Membership</v>
      </c>
      <c r="AJ87" t="str">
        <v>Apartamentos com exploração turística profissional e possibilidade de uso pelos proprietários; Amenities de excelência; Vistas excepcionais e em primeira linha de mar; Rooftops com plunge pool privativos.</v>
      </c>
      <c r="AK87" t="str">
        <v>NLA</v>
      </c>
      <c r="AL87" t="str">
        <v>The Uncommon</v>
      </c>
    </row>
    <row r="88" spans="1:38" x14ac:dyDescent="0.3">
      <c r="A88" t="str">
        <v>THE UNCOMMON</v>
      </c>
      <c r="B88" t="str">
        <v>Vilamoura</v>
      </c>
      <c r="C88" t="str">
        <v>513</v>
      </c>
      <c r="D88" t="str">
        <v>Vilamoura, Algarve</v>
      </c>
      <c r="E88" t="str">
        <v>T1</v>
      </c>
      <c r="F88">
        <v>99.6</v>
      </c>
      <c r="G88">
        <v>0</v>
      </c>
      <c r="H88" t="str">
        <v/>
      </c>
      <c r="I88" t="str">
        <v/>
      </c>
      <c r="J88">
        <v>36.5</v>
      </c>
      <c r="K88">
        <v>0</v>
      </c>
      <c r="L88">
        <v>0</v>
      </c>
      <c r="M88" s="79">
        <v>0</v>
      </c>
      <c r="N88">
        <v>0</v>
      </c>
      <c r="O88">
        <v>63.1</v>
      </c>
      <c r="P88">
        <v>0</v>
      </c>
      <c r="Q88" t="str">
        <v>AVAILABLE</v>
      </c>
      <c r="R88">
        <v>845000</v>
      </c>
      <c r="S88">
        <v>910000</v>
      </c>
      <c r="T88">
        <v>970000</v>
      </c>
      <c r="U88">
        <v>50000</v>
      </c>
      <c r="V88">
        <v>15000</v>
      </c>
      <c r="W88">
        <v>905000</v>
      </c>
      <c r="X88">
        <v>0</v>
      </c>
      <c r="Y88">
        <v>970000</v>
      </c>
      <c r="Z88">
        <v>905000</v>
      </c>
      <c r="AA88">
        <v>46057</v>
      </c>
      <c r="AB88" t="str">
        <v>Q1 2026</v>
      </c>
      <c r="AC88">
        <v>0</v>
      </c>
      <c r="AD88">
        <v>0</v>
      </c>
      <c r="AE88" t="str">
        <v>Ana Damásio</v>
      </c>
      <c r="AF88" t="str">
        <v>Eduardo Lopes</v>
      </c>
      <c r="AG88" t="str">
        <v>TBD</v>
      </c>
      <c r="AH88" t="str">
        <v>The Uncommon is a front-row sea view masterpiece in Vilamoura, where vibrant energy meets serene coastal living. With an exclusive design and elevated services, in this touristic and residential project every moment feels uniquely exceptional.</v>
      </c>
      <c r="AI88" t="str">
        <v>Condo Pool, Outdoor Areas, Underground Parking, Reception, Concierge, Vista Membership</v>
      </c>
      <c r="AJ88" t="str">
        <v>Apartamentos com exploração turística profissional e possibilidade de uso pelos proprietários; Amenities de excelência; Vistas excepcionais e em primeira linha de mar; Rooftops com plunge pool privativos.</v>
      </c>
      <c r="AK88" t="str">
        <v>NLA</v>
      </c>
      <c r="AL88" t="str">
        <v>The Uncommon</v>
      </c>
    </row>
    <row r="89" spans="1:38" x14ac:dyDescent="0.3">
      <c r="A89" t="str">
        <v>THE UNCOMMON</v>
      </c>
      <c r="B89" t="str">
        <v>Vilamoura</v>
      </c>
      <c r="C89" t="str">
        <v>514</v>
      </c>
      <c r="D89" t="str">
        <v>Vilamoura, Algarve</v>
      </c>
      <c r="E89" t="str">
        <v>T1</v>
      </c>
      <c r="F89">
        <v>99.6</v>
      </c>
      <c r="G89">
        <v>0</v>
      </c>
      <c r="H89" t="str">
        <v/>
      </c>
      <c r="I89" t="str">
        <v/>
      </c>
      <c r="J89">
        <v>36.5</v>
      </c>
      <c r="K89">
        <v>0</v>
      </c>
      <c r="L89">
        <v>0</v>
      </c>
      <c r="M89" s="79">
        <v>0</v>
      </c>
      <c r="N89">
        <v>0</v>
      </c>
      <c r="O89">
        <v>63.1</v>
      </c>
      <c r="P89">
        <v>0</v>
      </c>
      <c r="Q89" t="str">
        <v>AVAILABLE</v>
      </c>
      <c r="R89">
        <v>895000</v>
      </c>
      <c r="S89">
        <v>960000</v>
      </c>
      <c r="T89">
        <v>1020000</v>
      </c>
      <c r="U89">
        <v>50000</v>
      </c>
      <c r="V89">
        <v>15000</v>
      </c>
      <c r="W89">
        <v>955000</v>
      </c>
      <c r="X89">
        <v>0</v>
      </c>
      <c r="Y89">
        <v>1020000</v>
      </c>
      <c r="Z89">
        <v>955000</v>
      </c>
      <c r="AA89">
        <v>46057</v>
      </c>
      <c r="AB89" t="str">
        <v>Q1 2026</v>
      </c>
      <c r="AC89">
        <v>0</v>
      </c>
      <c r="AD89">
        <v>0</v>
      </c>
      <c r="AE89" t="str">
        <v>Ana Damásio</v>
      </c>
      <c r="AF89" t="str">
        <v>Eduardo Lopes</v>
      </c>
      <c r="AG89" t="str">
        <v>TBD</v>
      </c>
      <c r="AH89" t="str">
        <v>The Uncommon is a front-row sea view masterpiece in Vilamoura, where vibrant energy meets serene coastal living. With an exclusive design and elevated services, in this touristic and residential project every moment feels uniquely exceptional.</v>
      </c>
      <c r="AI89" t="str">
        <v>Condo Pool, Outdoor Areas, Underground Parking, Reception, Concierge, Vista Membership</v>
      </c>
      <c r="AJ89" t="str">
        <v>Apartamentos com exploração turística profissional e possibilidade de uso pelos proprietários; Amenities de excelência; Vistas excepcionais e em primeira linha de mar; Rooftops com plunge pool privativos.</v>
      </c>
      <c r="AK89" t="str">
        <v>NLA</v>
      </c>
      <c r="AL89" t="str">
        <v>The Uncommon</v>
      </c>
    </row>
    <row r="90" spans="1:38" x14ac:dyDescent="0.3">
      <c r="A90" t="str">
        <v>THE UNCOMMON</v>
      </c>
      <c r="B90" t="str">
        <v>Vilamoura</v>
      </c>
      <c r="C90" t="str">
        <v>515</v>
      </c>
      <c r="D90" t="str">
        <v>Vilamoura, Algarve</v>
      </c>
      <c r="E90" t="str">
        <v>T1</v>
      </c>
      <c r="F90">
        <v>101.5</v>
      </c>
      <c r="G90">
        <v>0</v>
      </c>
      <c r="H90" t="str">
        <v/>
      </c>
      <c r="I90" t="str">
        <v/>
      </c>
      <c r="J90">
        <v>37.200000000000003</v>
      </c>
      <c r="K90">
        <v>0</v>
      </c>
      <c r="L90">
        <v>0</v>
      </c>
      <c r="M90" s="79">
        <v>0</v>
      </c>
      <c r="N90">
        <v>0</v>
      </c>
      <c r="O90">
        <v>64.3</v>
      </c>
      <c r="P90">
        <v>0</v>
      </c>
      <c r="Q90" t="str">
        <v>AVAILABLE</v>
      </c>
      <c r="R90">
        <v>965000</v>
      </c>
      <c r="S90">
        <v>1030000</v>
      </c>
      <c r="T90">
        <v>1100000</v>
      </c>
      <c r="U90">
        <v>50000</v>
      </c>
      <c r="V90">
        <v>15000</v>
      </c>
      <c r="W90">
        <v>1035000</v>
      </c>
      <c r="X90">
        <v>0</v>
      </c>
      <c r="Y90">
        <v>1100000</v>
      </c>
      <c r="Z90">
        <v>1035000</v>
      </c>
      <c r="AA90">
        <v>46057</v>
      </c>
      <c r="AB90" t="str">
        <v>Q1 2026</v>
      </c>
      <c r="AC90">
        <v>0</v>
      </c>
      <c r="AD90">
        <v>0</v>
      </c>
      <c r="AE90" t="str">
        <v>Ana Damásio</v>
      </c>
      <c r="AF90" t="str">
        <v>Eduardo Lopes</v>
      </c>
      <c r="AG90" t="str">
        <v>TBD</v>
      </c>
      <c r="AH90" t="str">
        <v>The Uncommon is a front-row sea view masterpiece in Vilamoura, where vibrant energy meets serene coastal living. With an exclusive design and elevated services, in this touristic and residential project every moment feels uniquely exceptional.</v>
      </c>
      <c r="AI90" t="str">
        <v>Condo Pool, Outdoor Areas, Underground Parking, Reception, Concierge, Vista Membership</v>
      </c>
      <c r="AJ90" t="str">
        <v>Apartamentos com exploração turística profissional e possibilidade de uso pelos proprietários; Amenities de excelência; Vistas excepcionais e em primeira linha de mar; Rooftops com plunge pool privativos.</v>
      </c>
      <c r="AK90" t="str">
        <v>NLA</v>
      </c>
      <c r="AL90" t="str">
        <v>The Uncommon</v>
      </c>
    </row>
    <row r="91" spans="1:38" x14ac:dyDescent="0.3">
      <c r="A91" t="str">
        <v>THE UNCOMMON</v>
      </c>
      <c r="B91" t="str">
        <v>Vilamoura</v>
      </c>
      <c r="C91" t="str">
        <v>6</v>
      </c>
      <c r="D91" t="str">
        <v>Vilamoura, Algarve</v>
      </c>
      <c r="E91" t="str">
        <v>T2</v>
      </c>
      <c r="F91">
        <v>168.6</v>
      </c>
      <c r="G91">
        <v>0</v>
      </c>
      <c r="H91" t="str">
        <v>1</v>
      </c>
      <c r="I91" t="str">
        <v/>
      </c>
      <c r="J91">
        <v>64.7</v>
      </c>
      <c r="K91">
        <v>0</v>
      </c>
      <c r="L91">
        <v>0</v>
      </c>
      <c r="M91" s="79">
        <v>0</v>
      </c>
      <c r="N91">
        <v>0</v>
      </c>
      <c r="O91">
        <v>103.9</v>
      </c>
      <c r="P91">
        <v>0</v>
      </c>
      <c r="Q91" t="str">
        <v>AVAILABLE</v>
      </c>
      <c r="R91">
        <v>1037000</v>
      </c>
      <c r="S91">
        <v>1110000</v>
      </c>
      <c r="T91">
        <v>1180000</v>
      </c>
      <c r="U91">
        <v>50000</v>
      </c>
      <c r="V91">
        <v>23000</v>
      </c>
      <c r="W91">
        <v>1107000</v>
      </c>
      <c r="X91">
        <v>0</v>
      </c>
      <c r="Y91">
        <v>1180000</v>
      </c>
      <c r="Z91">
        <v>1107000</v>
      </c>
      <c r="AA91">
        <v>46057</v>
      </c>
      <c r="AB91" t="str">
        <v>Q1 2026</v>
      </c>
      <c r="AC91">
        <v>0</v>
      </c>
      <c r="AD91">
        <v>0</v>
      </c>
      <c r="AE91" t="str">
        <v>Ana Damásio</v>
      </c>
      <c r="AF91" t="str">
        <v>Eduardo Lopes</v>
      </c>
      <c r="AG91" t="str">
        <v>TBD</v>
      </c>
      <c r="AH91" t="str">
        <v>The Uncommon is a front-row sea view masterpiece in Vilamoura, where vibrant energy meets serene coastal living. With an exclusive design and elevated services, in this touristic and residential project every moment feels uniquely exceptional.</v>
      </c>
      <c r="AI91" t="str">
        <v>Condo Pool, Outdoor Areas, Underground Parking, Reception, Concierge, Vista Membership</v>
      </c>
      <c r="AJ91" t="str">
        <v>Apartamentos com exploração turística profissional e possibilidade de uso pelos proprietários; Amenities de excelência; Vistas excepcionais e em primeira linha de mar; Rooftops com plunge pool privativos.</v>
      </c>
      <c r="AK91" t="str">
        <v>NLA</v>
      </c>
      <c r="AL91" t="str">
        <v>The Uncommon</v>
      </c>
    </row>
    <row r="92" spans="1:38" x14ac:dyDescent="0.3">
      <c r="A92" t="str">
        <v>THE UNCOMMON</v>
      </c>
      <c r="B92" t="str">
        <v>Vilamoura</v>
      </c>
      <c r="C92" t="str">
        <v>7</v>
      </c>
      <c r="D92" t="str">
        <v>Vilamoura, Algarve</v>
      </c>
      <c r="E92" t="str">
        <v>T2</v>
      </c>
      <c r="F92">
        <v>168.6</v>
      </c>
      <c r="G92">
        <v>0</v>
      </c>
      <c r="H92" t="str">
        <v>1</v>
      </c>
      <c r="I92" t="str">
        <v/>
      </c>
      <c r="J92">
        <v>64.7</v>
      </c>
      <c r="K92">
        <v>0</v>
      </c>
      <c r="L92">
        <v>0</v>
      </c>
      <c r="M92" s="79">
        <v>0</v>
      </c>
      <c r="N92">
        <v>0</v>
      </c>
      <c r="O92">
        <v>103.9</v>
      </c>
      <c r="P92">
        <v>0</v>
      </c>
      <c r="Q92" t="str">
        <v>AVAILABLE</v>
      </c>
      <c r="R92">
        <v>1127000</v>
      </c>
      <c r="S92">
        <v>1200000</v>
      </c>
      <c r="T92">
        <v>1270000</v>
      </c>
      <c r="U92">
        <v>50000</v>
      </c>
      <c r="V92">
        <v>23000</v>
      </c>
      <c r="W92">
        <v>1197000</v>
      </c>
      <c r="X92">
        <v>0</v>
      </c>
      <c r="Y92">
        <v>1270000</v>
      </c>
      <c r="Z92">
        <v>1197000</v>
      </c>
      <c r="AA92">
        <v>46057</v>
      </c>
      <c r="AB92" t="str">
        <v>Q1 2026</v>
      </c>
      <c r="AC92">
        <v>0</v>
      </c>
      <c r="AD92">
        <v>0</v>
      </c>
      <c r="AE92" t="str">
        <v>Ana Damásio</v>
      </c>
      <c r="AF92" t="str">
        <v>Eduardo Lopes</v>
      </c>
      <c r="AG92" t="str">
        <v>TBD</v>
      </c>
      <c r="AH92" t="str">
        <v>The Uncommon is a front-row sea view masterpiece in Vilamoura, where vibrant energy meets serene coastal living. With an exclusive design and elevated services, in this touristic and residential project every moment feels uniquely exceptional.</v>
      </c>
      <c r="AI92" t="str">
        <v>Condo Pool, Outdoor Areas, Underground Parking, Reception, Concierge, Vista Membership</v>
      </c>
      <c r="AJ92" t="str">
        <v>Apartamentos com exploração turística profissional e possibilidade de uso pelos proprietários; Amenities de excelência; Vistas excepcionais e em primeira linha de mar; Rooftops com plunge pool privativos.</v>
      </c>
      <c r="AK92" t="str">
        <v>NLA</v>
      </c>
      <c r="AL92" t="str">
        <v>The Uncommon</v>
      </c>
    </row>
    <row r="93" spans="1:38" x14ac:dyDescent="0.3">
      <c r="A93" t="str">
        <v>THE UNCOMMON</v>
      </c>
      <c r="B93" t="str">
        <v>Vilamoura</v>
      </c>
      <c r="C93" t="str">
        <v>8</v>
      </c>
      <c r="D93" t="str">
        <v>Vilamoura, Algarve</v>
      </c>
      <c r="E93" t="str">
        <v>T2</v>
      </c>
      <c r="F93">
        <v>168.6</v>
      </c>
      <c r="G93">
        <v>0</v>
      </c>
      <c r="H93" t="str">
        <v>1</v>
      </c>
      <c r="I93" t="str">
        <v/>
      </c>
      <c r="J93">
        <v>64.7</v>
      </c>
      <c r="K93">
        <v>0</v>
      </c>
      <c r="L93">
        <v>0</v>
      </c>
      <c r="M93" s="79">
        <v>0</v>
      </c>
      <c r="N93">
        <v>0</v>
      </c>
      <c r="O93">
        <v>103.9</v>
      </c>
      <c r="P93">
        <v>0</v>
      </c>
      <c r="Q93" t="str">
        <v>AVAILABLE</v>
      </c>
      <c r="R93">
        <v>1187000</v>
      </c>
      <c r="S93">
        <v>1260000</v>
      </c>
      <c r="T93">
        <v>1330000</v>
      </c>
      <c r="U93">
        <v>50000</v>
      </c>
      <c r="V93">
        <v>23000</v>
      </c>
      <c r="W93">
        <v>1257000</v>
      </c>
      <c r="X93">
        <v>0</v>
      </c>
      <c r="Y93">
        <v>1330000</v>
      </c>
      <c r="Z93">
        <v>1257000</v>
      </c>
      <c r="AA93">
        <v>46057</v>
      </c>
      <c r="AB93" t="str">
        <v>Q1 2026</v>
      </c>
      <c r="AC93">
        <v>0</v>
      </c>
      <c r="AD93">
        <v>0</v>
      </c>
      <c r="AE93" t="str">
        <v>Ana Damásio</v>
      </c>
      <c r="AF93" t="str">
        <v>Eduardo Lopes</v>
      </c>
      <c r="AG93" t="str">
        <v>TBD</v>
      </c>
      <c r="AH93" t="str">
        <v>The Uncommon is a front-row sea view masterpiece in Vilamoura, where vibrant energy meets serene coastal living. With an exclusive design and elevated services, in this touristic and residential project every moment feels uniquely exceptional.</v>
      </c>
      <c r="AI93" t="str">
        <v>Condo Pool, Outdoor Areas, Underground Parking, Reception, Concierge, Vista Membership</v>
      </c>
      <c r="AJ93" t="str">
        <v>Apartamentos com exploração turística profissional e possibilidade de uso pelos proprietários; Amenities de excelência; Vistas excepcionais e em primeira linha de mar; Rooftops com plunge pool privativos.</v>
      </c>
      <c r="AK93" t="str">
        <v>NLA</v>
      </c>
      <c r="AL93" t="str">
        <v>The Uncommon</v>
      </c>
    </row>
    <row r="94" spans="1:38" x14ac:dyDescent="0.3">
      <c r="A94" t="str">
        <v>THE UNCOMMON</v>
      </c>
      <c r="B94" t="str">
        <v>Vilamoura</v>
      </c>
      <c r="C94" t="str">
        <v>9</v>
      </c>
      <c r="D94" t="str">
        <v>Vilamoura, Algarve</v>
      </c>
      <c r="E94" t="str">
        <v>T2</v>
      </c>
      <c r="F94">
        <v>167.8</v>
      </c>
      <c r="G94">
        <v>0</v>
      </c>
      <c r="H94" t="str">
        <v>1</v>
      </c>
      <c r="I94" t="str">
        <v/>
      </c>
      <c r="J94">
        <v>63.9</v>
      </c>
      <c r="K94">
        <v>0</v>
      </c>
      <c r="L94">
        <v>0</v>
      </c>
      <c r="M94" s="79">
        <v>0</v>
      </c>
      <c r="N94">
        <v>0</v>
      </c>
      <c r="O94">
        <v>103.9</v>
      </c>
      <c r="P94">
        <v>0</v>
      </c>
      <c r="Q94" t="str">
        <v>AVAILABLE</v>
      </c>
      <c r="R94">
        <v>1247000</v>
      </c>
      <c r="S94">
        <v>1320000</v>
      </c>
      <c r="T94">
        <v>1390000</v>
      </c>
      <c r="U94">
        <v>50000</v>
      </c>
      <c r="V94">
        <v>23000</v>
      </c>
      <c r="W94">
        <v>1317000</v>
      </c>
      <c r="X94">
        <v>0</v>
      </c>
      <c r="Y94">
        <v>1390000</v>
      </c>
      <c r="Z94">
        <v>1317000</v>
      </c>
      <c r="AA94">
        <v>46057</v>
      </c>
      <c r="AB94" t="str">
        <v>Q1 2026</v>
      </c>
      <c r="AC94">
        <v>0</v>
      </c>
      <c r="AD94">
        <v>0</v>
      </c>
      <c r="AE94" t="str">
        <v>Ana Damásio</v>
      </c>
      <c r="AF94" t="str">
        <v>Eduardo Lopes</v>
      </c>
      <c r="AG94" t="str">
        <v>TBD</v>
      </c>
      <c r="AH94" t="str">
        <v>The Uncommon is a front-row sea view masterpiece in Vilamoura, where vibrant energy meets serene coastal living. With an exclusive design and elevated services, in this touristic and residential project every moment feels uniquely exceptional.</v>
      </c>
      <c r="AI94" t="str">
        <v>Condo Pool, Outdoor Areas, Underground Parking, Reception, Concierge, Vista Membership</v>
      </c>
      <c r="AJ94" t="str">
        <v>Apartamentos com exploração turística profissional e possibilidade de uso pelos proprietários; Amenities de excelência; Vistas excepcionais e em primeira linha de mar; Rooftops com plunge pool privativos.</v>
      </c>
      <c r="AK94" t="str">
        <v>NLA</v>
      </c>
      <c r="AL94" t="str">
        <v>The Uncommon</v>
      </c>
    </row>
  </sheetData>
  <autoFilter ref="A2:AL2" xr:uid="{8C381E57-20A3-4D29-9AC1-A20B676A56DB}"/>
  <conditionalFormatting sqref="A2">
    <cfRule type="containsText" dxfId="47" priority="3" operator="containsText" text="Center">
      <formula>NOT(ISERROR(SEARCH("Center",A2)))</formula>
    </cfRule>
    <cfRule type="containsText" dxfId="46" priority="4" operator="containsText" text="North">
      <formula>NOT(ISERROR(SEARCH("North",A2)))</formula>
    </cfRule>
    <cfRule type="containsText" dxfId="45" priority="5" operator="containsText" text="Algarve">
      <formula>NOT(ISERROR(SEARCH("Algarve",A2)))</formula>
    </cfRule>
    <cfRule type="containsText" dxfId="44" priority="6" operator="containsText" text="Vilamoura">
      <formula>NOT(ISERROR(SEARCH("Vilamoura",A2)))</formula>
    </cfRule>
  </conditionalFormatting>
  <conditionalFormatting sqref="Q2">
    <cfRule type="containsText" dxfId="43" priority="1" operator="containsText" text="PRE-RESERVED">
      <formula>NOT(ISERROR(SEARCH("PRE-RESERVED",Q2)))</formula>
    </cfRule>
    <cfRule type="containsText" dxfId="42" priority="2" operator="containsText" text="RESERVED">
      <formula>NOT(ISERROR(SEARCH("RESERVED",Q2)))</formula>
    </cfRule>
  </conditionalFormatting>
  <pageMargins left="0.7" right="0.7" top="0.75" bottom="0.75" header="0.3" footer="0.3"/>
  <pageSetup paperSize="8" scale="69" fitToHeight="0" orientation="landscape"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3FC71B-5193-4443-93CA-8E7644DA0A30}">
  <sheetPr>
    <tabColor rgb="FFC2B59E"/>
    <pageSetUpPr fitToPage="1"/>
  </sheetPr>
  <dimension ref="A1:AL74"/>
  <sheetViews>
    <sheetView showGridLines="0" zoomScale="71" zoomScaleNormal="40" zoomScaleSheetLayoutView="70" workbookViewId="0">
      <pane xSplit="1" topLeftCell="H1" activePane="topRight" state="frozen"/>
      <selection activeCell="I25" sqref="I25"/>
      <selection pane="topRight" activeCell="A2" sqref="A2"/>
    </sheetView>
  </sheetViews>
  <sheetFormatPr defaultColWidth="8.6640625" defaultRowHeight="14.4" outlineLevelCol="2" x14ac:dyDescent="0.3"/>
  <cols>
    <col min="1" max="1" width="20.33203125" bestFit="1" customWidth="1"/>
    <col min="2" max="6" width="11.77734375" customWidth="1"/>
    <col min="7" max="12" width="11.77734375" customWidth="1" outlineLevel="2"/>
    <col min="13" max="13" width="11.77734375" style="79" customWidth="1" outlineLevel="2"/>
    <col min="14" max="14" width="11.77734375" customWidth="1" outlineLevel="2"/>
    <col min="15" max="16" width="11.77734375" customWidth="1" outlineLevel="1"/>
    <col min="17" max="18" width="11.77734375" customWidth="1"/>
    <col min="19" max="22" width="11.77734375" customWidth="1" outlineLevel="1"/>
    <col min="23" max="24" width="11.77734375" customWidth="1"/>
    <col min="25" max="25" width="11.77734375" customWidth="1" outlineLevel="1"/>
    <col min="26" max="26" width="11.77734375" customWidth="1"/>
    <col min="27" max="27" width="11.77734375" customWidth="1" outlineLevel="1"/>
    <col min="28" max="38" width="11.77734375" customWidth="1"/>
  </cols>
  <sheetData>
    <row r="1" spans="1:38" s="1" customFormat="1" ht="20.399999999999999" customHeight="1" x14ac:dyDescent="0.3">
      <c r="A1" s="114" t="s">
        <v>42</v>
      </c>
    </row>
    <row r="2" spans="1:38" s="2" customFormat="1" ht="46.2" customHeight="1" x14ac:dyDescent="0.3">
      <c r="A2" s="95" t="s">
        <v>335</v>
      </c>
      <c r="B2" s="95" t="s">
        <v>684</v>
      </c>
      <c r="C2" s="96" t="s">
        <v>765</v>
      </c>
      <c r="D2" s="97" t="s">
        <v>1</v>
      </c>
      <c r="E2" s="95" t="s">
        <v>93</v>
      </c>
      <c r="F2" s="95" t="s">
        <v>763</v>
      </c>
      <c r="G2" s="98" t="s">
        <v>675</v>
      </c>
      <c r="H2" s="99" t="s">
        <v>676</v>
      </c>
      <c r="I2" s="99" t="s">
        <v>677</v>
      </c>
      <c r="J2" s="100" t="s">
        <v>678</v>
      </c>
      <c r="K2" s="98" t="s">
        <v>679</v>
      </c>
      <c r="L2" s="98" t="s">
        <v>779</v>
      </c>
      <c r="M2" s="98" t="s">
        <v>680</v>
      </c>
      <c r="N2" s="101" t="s">
        <v>681</v>
      </c>
      <c r="O2" s="102" t="s">
        <v>94</v>
      </c>
      <c r="P2" s="102" t="s">
        <v>95</v>
      </c>
      <c r="Q2" s="95" t="s">
        <v>624</v>
      </c>
      <c r="R2" s="103" t="s">
        <v>331</v>
      </c>
      <c r="S2" s="104" t="s">
        <v>332</v>
      </c>
      <c r="T2" s="105" t="s">
        <v>333</v>
      </c>
      <c r="U2" s="105" t="s">
        <v>682</v>
      </c>
      <c r="V2" s="105" t="s">
        <v>97</v>
      </c>
      <c r="W2" s="95" t="s">
        <v>330</v>
      </c>
      <c r="X2" s="106" t="s">
        <v>919</v>
      </c>
      <c r="Y2" s="105" t="s">
        <v>334</v>
      </c>
      <c r="Z2" s="95" t="s">
        <v>98</v>
      </c>
      <c r="AA2" s="107" t="s">
        <v>933</v>
      </c>
      <c r="AB2" s="108" t="s">
        <v>934</v>
      </c>
      <c r="AC2" s="108" t="s">
        <v>928</v>
      </c>
      <c r="AD2" s="109" t="s">
        <v>926</v>
      </c>
      <c r="AE2" s="97" t="s">
        <v>792</v>
      </c>
      <c r="AF2" s="97" t="s">
        <v>793</v>
      </c>
      <c r="AG2" s="97" t="s">
        <v>2</v>
      </c>
      <c r="AH2" s="97" t="s">
        <v>3</v>
      </c>
      <c r="AI2" s="97" t="s">
        <v>5</v>
      </c>
      <c r="AJ2" s="97" t="s">
        <v>794</v>
      </c>
      <c r="AK2" s="97" t="s">
        <v>6</v>
      </c>
      <c r="AL2" s="95" t="s">
        <v>918</v>
      </c>
    </row>
    <row r="3" spans="1:38" s="112" customFormat="1" ht="13.8" x14ac:dyDescent="0.3">
      <c r="A3" s="129" t="str" cm="1">
        <f t="array" ref="A3:AL64">_xlfn._xlws.FILTER(DATABASE_Table[],DATABASE_Table[Development]=$A$1,"")</f>
        <v>ZESTIA</v>
      </c>
      <c r="B3" s="129" t="str">
        <v>Vilamoura</v>
      </c>
      <c r="C3" s="110" t="str">
        <v>AZ</v>
      </c>
      <c r="D3" s="110" t="str">
        <v>Vilamoura, Algarve</v>
      </c>
      <c r="E3" s="110" t="str">
        <v>T1</v>
      </c>
      <c r="F3" s="110">
        <v>77.86</v>
      </c>
      <c r="G3" s="110">
        <v>0</v>
      </c>
      <c r="H3" s="110" t="str">
        <v/>
      </c>
      <c r="I3" s="110" t="str">
        <v/>
      </c>
      <c r="J3" s="110">
        <v>0</v>
      </c>
      <c r="K3" s="110">
        <v>0</v>
      </c>
      <c r="L3" s="110">
        <v>0</v>
      </c>
      <c r="M3" s="110">
        <v>19.79</v>
      </c>
      <c r="N3" s="110">
        <v>0</v>
      </c>
      <c r="O3" s="110">
        <v>58.07</v>
      </c>
      <c r="P3" s="110">
        <v>0</v>
      </c>
      <c r="Q3" s="110" t="str">
        <v xml:space="preserve">PSPA </v>
      </c>
      <c r="R3" s="110">
        <v>517232.76879999996</v>
      </c>
      <c r="S3" s="110">
        <v>571832.76879999996</v>
      </c>
      <c r="T3" s="110">
        <v>640000</v>
      </c>
      <c r="U3" s="110">
        <v>24600</v>
      </c>
      <c r="V3" s="110">
        <v>30000</v>
      </c>
      <c r="W3" s="110">
        <v>585400</v>
      </c>
      <c r="X3" s="110">
        <v>0</v>
      </c>
      <c r="Y3" s="110">
        <v>640000</v>
      </c>
      <c r="Z3" s="110">
        <v>585400</v>
      </c>
      <c r="AA3" s="110">
        <v>45807</v>
      </c>
      <c r="AB3" s="111" t="str">
        <v>Q2 2025</v>
      </c>
      <c r="AC3" s="112">
        <v>45932</v>
      </c>
      <c r="AD3" s="112">
        <v>0</v>
      </c>
      <c r="AE3" s="112" t="str">
        <v>Ana Damásio</v>
      </c>
      <c r="AF3" s="112" t="str">
        <v>Carla Veiga</v>
      </c>
      <c r="AG3" s="112" t="str">
        <v>Zestia - New Apartments for Sale in Vilamoura - *Vilamoura</v>
      </c>
      <c r="AH3" s="112" t="str">
        <v>Discover Zestia, a residential-touristic development, where prime hospitality meets exclusive luxury in the heart of Vilamoura. This new development redefines elegance only 600 meters from the vibrant Vilamoura Marina.</v>
      </c>
      <c r="AI3" s="112" t="str">
        <v>Gym, Spa, Condo Pool, Private Pools, Outdoor Areas, Smart Home Technology, Underground Parking, Reception, Vista Membership</v>
      </c>
      <c r="AJ3" s="112"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3" s="112" t="str">
        <v>Metrourbe</v>
      </c>
      <c r="AL3" s="112" t="str">
        <v>Zestia</v>
      </c>
    </row>
    <row r="4" spans="1:38" x14ac:dyDescent="0.3">
      <c r="A4" s="129" t="str">
        <v>ZESTIA</v>
      </c>
      <c r="B4" s="129" t="str">
        <v>Vilamoura</v>
      </c>
      <c r="C4" s="110" t="str">
        <v>BC</v>
      </c>
      <c r="D4" s="110" t="str">
        <v>Vilamoura, Algarve</v>
      </c>
      <c r="E4" s="110" t="str">
        <v>T2</v>
      </c>
      <c r="F4" s="110">
        <v>281.45999999999998</v>
      </c>
      <c r="G4" s="110">
        <v>0</v>
      </c>
      <c r="H4" s="110" t="str">
        <v/>
      </c>
      <c r="I4" s="110" t="str">
        <v/>
      </c>
      <c r="J4" s="110">
        <v>0</v>
      </c>
      <c r="K4" s="110">
        <v>0</v>
      </c>
      <c r="L4" s="110">
        <v>0</v>
      </c>
      <c r="M4" s="110">
        <v>188.97</v>
      </c>
      <c r="N4" s="110">
        <v>0</v>
      </c>
      <c r="O4" s="110">
        <v>92.49</v>
      </c>
      <c r="P4" s="110">
        <v>0</v>
      </c>
      <c r="Q4" s="110" t="str">
        <v xml:space="preserve">PSPA </v>
      </c>
      <c r="R4" s="110">
        <v>995272.77600000007</v>
      </c>
      <c r="S4" s="110">
        <v>1069872.7760000001</v>
      </c>
      <c r="T4" s="110">
        <v>1240000</v>
      </c>
      <c r="U4" s="110">
        <v>24600</v>
      </c>
      <c r="V4" s="110">
        <v>50000</v>
      </c>
      <c r="W4" s="110">
        <v>1165400</v>
      </c>
      <c r="X4" s="110">
        <v>0</v>
      </c>
      <c r="Y4" s="110">
        <v>1240000</v>
      </c>
      <c r="Z4" s="110">
        <v>1165400</v>
      </c>
      <c r="AA4" s="110">
        <v>45807</v>
      </c>
      <c r="AB4" s="111" t="str">
        <v>Q2 2025</v>
      </c>
      <c r="AC4">
        <v>46058</v>
      </c>
      <c r="AD4">
        <v>0</v>
      </c>
      <c r="AE4" t="str">
        <v>Ana Damásio</v>
      </c>
      <c r="AF4" t="str">
        <v>Carla Veiga</v>
      </c>
      <c r="AG4" t="str">
        <v>Zestia - New Apartments for Sale in Vilamoura - *Vilamoura</v>
      </c>
      <c r="AH4" t="str">
        <v>Discover Zestia, a residential-touristic development, where prime hospitality meets exclusive luxury in the heart of Vilamoura. This new development redefines elegance only 600 meters from the vibrant Vilamoura Marina.</v>
      </c>
      <c r="AI4" t="str">
        <v>Gym, Spa, Condo Pool, Private Pools, Outdoor Areas, Smart Home Technology, Underground Parking, Reception, Vista Membership</v>
      </c>
      <c r="AJ4"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4" t="str">
        <v>Metrourbe</v>
      </c>
      <c r="AL4" t="str">
        <v>Zestia</v>
      </c>
    </row>
    <row r="5" spans="1:38" x14ac:dyDescent="0.3">
      <c r="A5" s="129" t="str">
        <v>ZESTIA</v>
      </c>
      <c r="B5" s="129" t="str">
        <v>Vilamoura</v>
      </c>
      <c r="C5" s="110" t="str">
        <v>O</v>
      </c>
      <c r="D5" s="110" t="str">
        <v>Vilamoura, Algarve</v>
      </c>
      <c r="E5" s="110" t="str">
        <v>T1</v>
      </c>
      <c r="F5" s="110">
        <v>96.02</v>
      </c>
      <c r="G5" s="110">
        <v>0</v>
      </c>
      <c r="H5" s="110" t="str">
        <v/>
      </c>
      <c r="I5" s="110" t="str">
        <v/>
      </c>
      <c r="J5" s="110">
        <v>28.44</v>
      </c>
      <c r="K5" s="110">
        <v>0</v>
      </c>
      <c r="L5" s="110">
        <v>0</v>
      </c>
      <c r="M5" s="110">
        <v>0</v>
      </c>
      <c r="N5" s="110">
        <v>0</v>
      </c>
      <c r="O5" s="110">
        <v>67.58</v>
      </c>
      <c r="P5" s="110">
        <v>0</v>
      </c>
      <c r="Q5" s="110" t="str">
        <v xml:space="preserve">PSPA </v>
      </c>
      <c r="R5" s="110">
        <v>545858.82999999996</v>
      </c>
      <c r="S5" s="110">
        <v>600458.82999999996</v>
      </c>
      <c r="T5" s="110">
        <v>640000</v>
      </c>
      <c r="U5" s="110">
        <v>24600</v>
      </c>
      <c r="V5" s="110">
        <v>30000</v>
      </c>
      <c r="W5" s="110">
        <v>585400</v>
      </c>
      <c r="X5" s="110">
        <v>0</v>
      </c>
      <c r="Y5" s="110">
        <v>640000</v>
      </c>
      <c r="Z5" s="110">
        <v>585400</v>
      </c>
      <c r="AA5" s="110">
        <v>45807</v>
      </c>
      <c r="AB5" s="111" t="str">
        <v>Q2 2025</v>
      </c>
      <c r="AC5">
        <v>46120</v>
      </c>
      <c r="AD5">
        <v>0</v>
      </c>
      <c r="AE5" t="str">
        <v>Ana Damásio</v>
      </c>
      <c r="AF5" t="str">
        <v>Carla Veiga</v>
      </c>
      <c r="AG5" t="str">
        <v>Zestia - New Apartments for Sale in Vilamoura - *Vilamoura</v>
      </c>
      <c r="AH5" t="str">
        <v>Discover Zestia, a residential-touristic development, where prime hospitality meets exclusive luxury in the heart of Vilamoura. This new development redefines elegance only 600 meters from the vibrant Vilamoura Marina.</v>
      </c>
      <c r="AI5" t="str">
        <v>Gym, Spa, Condo Pool, Private Pools, Outdoor Areas, Smart Home Technology, Underground Parking, Reception, Vista Membership</v>
      </c>
      <c r="AJ5"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5" t="str">
        <v>Metrourbe</v>
      </c>
      <c r="AL5" t="str">
        <v>Zestia</v>
      </c>
    </row>
    <row r="6" spans="1:38" x14ac:dyDescent="0.3">
      <c r="A6" s="129" t="str">
        <v>ZESTIA</v>
      </c>
      <c r="B6" s="129" t="str">
        <v>Vilamoura</v>
      </c>
      <c r="C6" s="110" t="str">
        <v>R</v>
      </c>
      <c r="D6" s="110" t="str">
        <v>Vilamoura, Algarve</v>
      </c>
      <c r="E6" s="110" t="str">
        <v>T2 LO</v>
      </c>
      <c r="F6" s="110">
        <v>116.76</v>
      </c>
      <c r="G6" s="110">
        <v>0</v>
      </c>
      <c r="H6" s="110" t="str">
        <v/>
      </c>
      <c r="I6" s="110" t="str">
        <v/>
      </c>
      <c r="J6" s="110">
        <v>28.58</v>
      </c>
      <c r="K6" s="110">
        <v>0</v>
      </c>
      <c r="L6" s="110">
        <v>0</v>
      </c>
      <c r="M6" s="110">
        <v>0</v>
      </c>
      <c r="N6" s="110">
        <v>0</v>
      </c>
      <c r="O6" s="110">
        <v>88.18</v>
      </c>
      <c r="P6" s="110">
        <v>0</v>
      </c>
      <c r="Q6" s="110" t="str">
        <v xml:space="preserve">PSPA </v>
      </c>
      <c r="R6" s="110">
        <v>663281.04</v>
      </c>
      <c r="S6" s="110">
        <v>727881.04</v>
      </c>
      <c r="T6" s="110">
        <v>780000</v>
      </c>
      <c r="U6" s="110">
        <v>24600</v>
      </c>
      <c r="V6" s="110">
        <v>40000</v>
      </c>
      <c r="W6" s="110">
        <v>715400</v>
      </c>
      <c r="X6" s="110">
        <v>0</v>
      </c>
      <c r="Y6" s="110">
        <v>780000</v>
      </c>
      <c r="Z6" s="110">
        <v>715400</v>
      </c>
      <c r="AA6" s="110">
        <v>45807</v>
      </c>
      <c r="AB6" s="111" t="str">
        <v>Q2 2025</v>
      </c>
      <c r="AC6">
        <v>46120</v>
      </c>
      <c r="AD6">
        <v>0</v>
      </c>
      <c r="AE6" t="str">
        <v>Ana Damásio</v>
      </c>
      <c r="AF6" t="str">
        <v>Carla Veiga</v>
      </c>
      <c r="AG6" t="str">
        <v>Zestia - New Apartments for Sale in Vilamoura - *Vilamoura</v>
      </c>
      <c r="AH6" t="str">
        <v>Discover Zestia, a residential-touristic development, where prime hospitality meets exclusive luxury in the heart of Vilamoura. This new development redefines elegance only 600 meters from the vibrant Vilamoura Marina.</v>
      </c>
      <c r="AI6" t="str">
        <v>Gym, Spa, Condo Pool, Private Pools, Outdoor Areas, Smart Home Technology, Underground Parking, Reception, Vista Membership</v>
      </c>
      <c r="AJ6"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6" t="str">
        <v>Metrourbe</v>
      </c>
      <c r="AL6" t="str">
        <v>Zestia</v>
      </c>
    </row>
    <row r="7" spans="1:38" x14ac:dyDescent="0.3">
      <c r="A7" s="129" t="str">
        <v>ZESTIA</v>
      </c>
      <c r="B7" s="129" t="str">
        <v>Vilamoura</v>
      </c>
      <c r="C7" s="110" t="str">
        <v>AQ</v>
      </c>
      <c r="D7" s="110" t="str">
        <v>Vilamoura, Algarve</v>
      </c>
      <c r="E7" s="110" t="str">
        <v>T1</v>
      </c>
      <c r="F7" s="110">
        <v>80.2</v>
      </c>
      <c r="G7" s="110">
        <v>0</v>
      </c>
      <c r="H7" s="110" t="str">
        <v/>
      </c>
      <c r="I7" s="110" t="str">
        <v/>
      </c>
      <c r="J7" s="110">
        <v>20.37</v>
      </c>
      <c r="K7" s="110">
        <v>0</v>
      </c>
      <c r="L7" s="110">
        <v>0</v>
      </c>
      <c r="M7" s="110">
        <v>0</v>
      </c>
      <c r="N7" s="110">
        <v>0</v>
      </c>
      <c r="O7" s="110">
        <v>59.83</v>
      </c>
      <c r="P7" s="110">
        <v>0</v>
      </c>
      <c r="Q7" s="110" t="str">
        <v xml:space="preserve">PSPA </v>
      </c>
      <c r="R7" s="110">
        <v>505183.23860000004</v>
      </c>
      <c r="S7" s="110">
        <v>559783.23860000004</v>
      </c>
      <c r="T7" s="110">
        <v>600000</v>
      </c>
      <c r="U7" s="110">
        <v>24600</v>
      </c>
      <c r="V7" s="110">
        <v>30000</v>
      </c>
      <c r="W7" s="110">
        <v>545400</v>
      </c>
      <c r="X7" s="110">
        <v>1.6666666666666701E-2</v>
      </c>
      <c r="Y7" s="110">
        <v>590000</v>
      </c>
      <c r="Z7" s="110">
        <v>535400</v>
      </c>
      <c r="AA7" s="110">
        <v>45807</v>
      </c>
      <c r="AB7" s="111" t="str">
        <v>Q2 2025</v>
      </c>
      <c r="AC7">
        <v>45978</v>
      </c>
      <c r="AD7">
        <v>0</v>
      </c>
      <c r="AE7" t="str">
        <v>Ana Damásio</v>
      </c>
      <c r="AF7" t="str">
        <v>Carla Veiga</v>
      </c>
      <c r="AG7" t="str">
        <v>Zestia - New Apartments for Sale in Vilamoura - *Vilamoura</v>
      </c>
      <c r="AH7" t="str">
        <v>Discover Zestia, a residential-touristic development, where prime hospitality meets exclusive luxury in the heart of Vilamoura. This new development redefines elegance only 600 meters from the vibrant Vilamoura Marina.</v>
      </c>
      <c r="AI7" t="str">
        <v>Gym, Spa, Condo Pool, Private Pools, Outdoor Areas, Smart Home Technology, Underground Parking, Reception, Vista Membership</v>
      </c>
      <c r="AJ7"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7" t="str">
        <v>Metrourbe</v>
      </c>
      <c r="AL7" t="str">
        <v>Zestia</v>
      </c>
    </row>
    <row r="8" spans="1:38" x14ac:dyDescent="0.3">
      <c r="A8" s="129" t="str">
        <v>ZESTIA</v>
      </c>
      <c r="B8" s="129" t="str">
        <v>Vilamoura</v>
      </c>
      <c r="C8" s="110" t="str">
        <v>AB</v>
      </c>
      <c r="D8" s="110" t="str">
        <v>Vilamoura, Algarve</v>
      </c>
      <c r="E8" s="110" t="str">
        <v>T1</v>
      </c>
      <c r="F8" s="110">
        <v>77.790000000000006</v>
      </c>
      <c r="G8" s="110">
        <v>0</v>
      </c>
      <c r="H8" s="110" t="str">
        <v/>
      </c>
      <c r="I8" s="110" t="str">
        <v/>
      </c>
      <c r="J8" s="110">
        <v>19.8</v>
      </c>
      <c r="K8" s="110">
        <v>0</v>
      </c>
      <c r="L8" s="110">
        <v>0</v>
      </c>
      <c r="M8" s="110">
        <v>0</v>
      </c>
      <c r="N8" s="110">
        <v>0</v>
      </c>
      <c r="O8" s="110">
        <v>57.99</v>
      </c>
      <c r="P8" s="110">
        <v>0</v>
      </c>
      <c r="Q8" s="110" t="str">
        <v xml:space="preserve">PSPA </v>
      </c>
      <c r="R8" s="110">
        <v>488671.48580000002</v>
      </c>
      <c r="S8" s="110">
        <v>543271.48580000002</v>
      </c>
      <c r="T8" s="110">
        <v>570000</v>
      </c>
      <c r="U8" s="110">
        <v>24600</v>
      </c>
      <c r="V8" s="110">
        <v>30000</v>
      </c>
      <c r="W8" s="110">
        <v>515400</v>
      </c>
      <c r="X8" s="110">
        <v>0.05</v>
      </c>
      <c r="Y8" s="110">
        <v>541500</v>
      </c>
      <c r="Z8" s="110">
        <v>486900</v>
      </c>
      <c r="AA8" s="110">
        <v>45807</v>
      </c>
      <c r="AB8" s="111" t="str">
        <v>Q2 2025</v>
      </c>
      <c r="AC8">
        <v>46051</v>
      </c>
      <c r="AD8">
        <v>0</v>
      </c>
      <c r="AE8" t="str">
        <v>Ana Damásio</v>
      </c>
      <c r="AF8" t="str">
        <v>Carla Veiga</v>
      </c>
      <c r="AG8" t="str">
        <v>Zestia - New Apartments for Sale in Vilamoura - *Vilamoura</v>
      </c>
      <c r="AH8" t="str">
        <v>Discover Zestia, a residential-touristic development, where prime hospitality meets exclusive luxury in the heart of Vilamoura. This new development redefines elegance only 600 meters from the vibrant Vilamoura Marina.</v>
      </c>
      <c r="AI8" t="str">
        <v>Gym, Spa, Condo Pool, Private Pools, Outdoor Areas, Smart Home Technology, Underground Parking, Reception, Vista Membership</v>
      </c>
      <c r="AJ8"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8" t="str">
        <v>Metrourbe</v>
      </c>
      <c r="AL8" t="str">
        <v>Zestia</v>
      </c>
    </row>
    <row r="9" spans="1:38" x14ac:dyDescent="0.3">
      <c r="A9" s="129" t="str">
        <v>ZESTIA</v>
      </c>
      <c r="B9" s="129" t="str">
        <v>Vilamoura</v>
      </c>
      <c r="C9" s="110" t="str">
        <v>P</v>
      </c>
      <c r="D9" s="110" t="str">
        <v>Vilamoura, Algarve</v>
      </c>
      <c r="E9" s="110" t="str">
        <v>T2</v>
      </c>
      <c r="F9" s="110">
        <v>151.09</v>
      </c>
      <c r="G9" s="110">
        <v>0</v>
      </c>
      <c r="H9" s="110" t="str">
        <v/>
      </c>
      <c r="I9" s="110" t="str">
        <v/>
      </c>
      <c r="J9" s="110">
        <v>61.03</v>
      </c>
      <c r="K9" s="110">
        <v>0</v>
      </c>
      <c r="L9" s="110">
        <v>0</v>
      </c>
      <c r="M9" s="110">
        <v>0</v>
      </c>
      <c r="N9" s="110">
        <v>0</v>
      </c>
      <c r="O9" s="110">
        <v>90.06</v>
      </c>
      <c r="P9" s="110">
        <v>0</v>
      </c>
      <c r="Q9" s="110" t="str">
        <v xml:space="preserve">PSPA </v>
      </c>
      <c r="R9" s="110">
        <v>727345.06</v>
      </c>
      <c r="S9" s="110">
        <v>791945.06</v>
      </c>
      <c r="T9" s="110">
        <v>840000</v>
      </c>
      <c r="U9" s="110">
        <v>24600</v>
      </c>
      <c r="V9" s="110">
        <v>40000</v>
      </c>
      <c r="W9" s="110">
        <v>775400</v>
      </c>
      <c r="X9" s="110">
        <v>6.4642857142857099E-2</v>
      </c>
      <c r="Y9" s="110">
        <v>785700</v>
      </c>
      <c r="Z9" s="110">
        <v>721100</v>
      </c>
      <c r="AA9" s="110">
        <v>45807</v>
      </c>
      <c r="AB9" s="111" t="str">
        <v>Q2 2025</v>
      </c>
      <c r="AC9">
        <v>46073</v>
      </c>
      <c r="AD9">
        <v>0</v>
      </c>
      <c r="AE9" t="str">
        <v>Ana Damásio</v>
      </c>
      <c r="AF9" t="str">
        <v>Carla Veiga</v>
      </c>
      <c r="AG9" t="str">
        <v>Zestia - New Apartments for Sale in Vilamoura - *Vilamoura</v>
      </c>
      <c r="AH9" t="str">
        <v>Discover Zestia, a residential-touristic development, where prime hospitality meets exclusive luxury in the heart of Vilamoura. This new development redefines elegance only 600 meters from the vibrant Vilamoura Marina.</v>
      </c>
      <c r="AI9" t="str">
        <v>Gym, Spa, Condo Pool, Private Pools, Outdoor Areas, Smart Home Technology, Underground Parking, Reception, Vista Membership</v>
      </c>
      <c r="AJ9"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9" t="str">
        <v>Metrourbe</v>
      </c>
      <c r="AL9" t="str">
        <v>Zestia</v>
      </c>
    </row>
    <row r="10" spans="1:38" x14ac:dyDescent="0.3">
      <c r="A10" s="110" t="str">
        <v>ZESTIA</v>
      </c>
      <c r="B10" s="110" t="str">
        <v>Vilamoura</v>
      </c>
      <c r="C10" s="110" t="str">
        <v>A</v>
      </c>
      <c r="D10" s="110" t="str">
        <v>Vilamoura, Algarve</v>
      </c>
      <c r="E10" s="110" t="str">
        <v>T2</v>
      </c>
      <c r="F10" s="110">
        <v>118.78</v>
      </c>
      <c r="G10" s="110">
        <v>0</v>
      </c>
      <c r="H10" s="110" t="str">
        <v/>
      </c>
      <c r="I10" s="110" t="str">
        <v/>
      </c>
      <c r="J10" s="110">
        <v>28.9</v>
      </c>
      <c r="K10" s="110">
        <v>0</v>
      </c>
      <c r="L10" s="110">
        <v>0</v>
      </c>
      <c r="M10" s="110">
        <v>0</v>
      </c>
      <c r="N10" s="110">
        <v>0</v>
      </c>
      <c r="O10" s="110">
        <v>89.88</v>
      </c>
      <c r="P10" s="110">
        <v>0</v>
      </c>
      <c r="Q10" s="110" t="str">
        <v>AVAILABLE</v>
      </c>
      <c r="R10" s="110">
        <v>676586.24</v>
      </c>
      <c r="S10" s="110">
        <v>741186.24</v>
      </c>
      <c r="T10" s="110">
        <v>790000</v>
      </c>
      <c r="U10" s="110">
        <v>24600</v>
      </c>
      <c r="V10" s="110">
        <v>40000</v>
      </c>
      <c r="W10" s="110">
        <v>725400</v>
      </c>
      <c r="X10" s="110">
        <v>0</v>
      </c>
      <c r="Y10" s="110">
        <v>790000</v>
      </c>
      <c r="Z10" s="110">
        <v>725400</v>
      </c>
      <c r="AA10" s="110">
        <v>45807</v>
      </c>
      <c r="AB10" s="111" t="str">
        <v>Q2 2025</v>
      </c>
      <c r="AC10">
        <v>46090</v>
      </c>
      <c r="AD10">
        <v>0</v>
      </c>
      <c r="AE10" t="str">
        <v>Ana Damásio</v>
      </c>
      <c r="AF10" t="str">
        <v>Carla Veiga</v>
      </c>
      <c r="AG10" t="str">
        <v>Zestia - New Apartments for Sale in Vilamoura - *Vilamoura</v>
      </c>
      <c r="AH10" t="str">
        <v>Discover Zestia, a residential-touristic development, where prime hospitality meets exclusive luxury in the heart of Vilamoura. This new development redefines elegance only 600 meters from the vibrant Vilamoura Marina.</v>
      </c>
      <c r="AI10" t="str">
        <v>Gym, Spa, Condo Pool, Private Pools, Outdoor Areas, Smart Home Technology, Underground Parking, Reception, Vista Membership</v>
      </c>
      <c r="AJ10"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10" t="str">
        <v>Metrourbe</v>
      </c>
      <c r="AL10" t="str">
        <v>Zestia</v>
      </c>
    </row>
    <row r="11" spans="1:38" x14ac:dyDescent="0.3">
      <c r="A11" s="110" t="str">
        <v>ZESTIA</v>
      </c>
      <c r="B11" s="110" t="str">
        <v>Vilamoura</v>
      </c>
      <c r="C11" s="110" t="str">
        <v>AA</v>
      </c>
      <c r="D11" s="110" t="str">
        <v>Vilamoura, Algarve</v>
      </c>
      <c r="E11" s="110" t="str">
        <v>T1</v>
      </c>
      <c r="F11" s="110">
        <v>89.44</v>
      </c>
      <c r="G11" s="110">
        <v>0</v>
      </c>
      <c r="H11" s="110" t="str">
        <v/>
      </c>
      <c r="I11" s="110" t="str">
        <v/>
      </c>
      <c r="J11" s="110">
        <v>26.52</v>
      </c>
      <c r="K11" s="110">
        <v>0</v>
      </c>
      <c r="L11" s="110">
        <v>0</v>
      </c>
      <c r="M11" s="110">
        <v>0</v>
      </c>
      <c r="N11" s="110">
        <v>0</v>
      </c>
      <c r="O11" s="110">
        <v>62.92</v>
      </c>
      <c r="P11" s="110">
        <v>0</v>
      </c>
      <c r="Q11" s="110" t="str">
        <v>AVAILABLE</v>
      </c>
      <c r="R11" s="110">
        <v>541064.86640000006</v>
      </c>
      <c r="S11" s="110">
        <v>595664.86640000006</v>
      </c>
      <c r="T11" s="110">
        <v>650000</v>
      </c>
      <c r="U11" s="110">
        <v>24600</v>
      </c>
      <c r="V11" s="110">
        <v>30000</v>
      </c>
      <c r="W11" s="110">
        <v>595400</v>
      </c>
      <c r="X11" s="110">
        <v>0</v>
      </c>
      <c r="Y11" s="110">
        <v>650000</v>
      </c>
      <c r="Z11" s="110">
        <v>595400</v>
      </c>
      <c r="AA11" s="110">
        <v>45807</v>
      </c>
      <c r="AB11" s="111" t="str">
        <v>Q2 2025</v>
      </c>
      <c r="AC11">
        <v>0</v>
      </c>
      <c r="AD11">
        <v>0</v>
      </c>
      <c r="AE11" t="str">
        <v>Ana Damásio</v>
      </c>
      <c r="AF11" t="str">
        <v>Carla Veiga</v>
      </c>
      <c r="AG11" t="str">
        <v>Zestia - New Apartments for Sale in Vilamoura - *Vilamoura</v>
      </c>
      <c r="AH11" t="str">
        <v>Discover Zestia, a residential-touristic development, where prime hospitality meets exclusive luxury in the heart of Vilamoura. This new development redefines elegance only 600 meters from the vibrant Vilamoura Marina.</v>
      </c>
      <c r="AI11" t="str">
        <v>Gym, Spa, Condo Pool, Private Pools, Outdoor Areas, Smart Home Technology, Underground Parking, Reception, Vista Membership</v>
      </c>
      <c r="AJ11"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11" t="str">
        <v>Metrourbe</v>
      </c>
      <c r="AL11" t="str">
        <v>Zestia</v>
      </c>
    </row>
    <row r="12" spans="1:38" x14ac:dyDescent="0.3">
      <c r="A12" s="110" t="str">
        <v>ZESTIA</v>
      </c>
      <c r="B12" s="110" t="str">
        <v>Vilamoura</v>
      </c>
      <c r="C12" s="110" t="str">
        <v>AC</v>
      </c>
      <c r="D12" s="110" t="str">
        <v>Vilamoura, Algarve</v>
      </c>
      <c r="E12" s="110" t="str">
        <v>T2</v>
      </c>
      <c r="F12" s="110">
        <v>138.82</v>
      </c>
      <c r="G12" s="110">
        <v>0</v>
      </c>
      <c r="H12" s="110" t="str">
        <v/>
      </c>
      <c r="I12" s="110" t="str">
        <v/>
      </c>
      <c r="J12" s="110">
        <v>48.14</v>
      </c>
      <c r="K12" s="110">
        <v>0</v>
      </c>
      <c r="L12" s="110">
        <v>0</v>
      </c>
      <c r="M12" s="110">
        <v>0</v>
      </c>
      <c r="N12" s="110">
        <v>0</v>
      </c>
      <c r="O12" s="110">
        <v>90.68</v>
      </c>
      <c r="P12" s="110">
        <v>0</v>
      </c>
      <c r="Q12" s="110" t="str">
        <v>AVAILABLE</v>
      </c>
      <c r="R12" s="110">
        <v>766794.01599999995</v>
      </c>
      <c r="S12" s="110">
        <v>831394.01599999995</v>
      </c>
      <c r="T12" s="110">
        <v>900000</v>
      </c>
      <c r="U12" s="110">
        <v>24600</v>
      </c>
      <c r="V12" s="110">
        <v>40000</v>
      </c>
      <c r="W12" s="110">
        <v>835400</v>
      </c>
      <c r="X12" s="110">
        <v>0</v>
      </c>
      <c r="Y12" s="110">
        <v>900000</v>
      </c>
      <c r="Z12" s="110">
        <v>835400</v>
      </c>
      <c r="AA12" s="110">
        <v>45807</v>
      </c>
      <c r="AB12" s="111" t="str">
        <v>Q2 2025</v>
      </c>
      <c r="AC12">
        <v>46139</v>
      </c>
      <c r="AD12">
        <v>0</v>
      </c>
      <c r="AE12" t="str">
        <v>Ana Damásio</v>
      </c>
      <c r="AF12" t="str">
        <v>Carla Veiga</v>
      </c>
      <c r="AG12" t="str">
        <v>Zestia - New Apartments for Sale in Vilamoura - *Vilamoura</v>
      </c>
      <c r="AH12" t="str">
        <v>Discover Zestia, a residential-touristic development, where prime hospitality meets exclusive luxury in the heart of Vilamoura. This new development redefines elegance only 600 meters from the vibrant Vilamoura Marina.</v>
      </c>
      <c r="AI12" t="str">
        <v>Gym, Spa, Condo Pool, Private Pools, Outdoor Areas, Smart Home Technology, Underground Parking, Reception, Vista Membership</v>
      </c>
      <c r="AJ12"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12" t="str">
        <v>Metrourbe</v>
      </c>
      <c r="AL12" t="str">
        <v>Zestia</v>
      </c>
    </row>
    <row r="13" spans="1:38" x14ac:dyDescent="0.3">
      <c r="A13" s="110" t="str">
        <v>ZESTIA</v>
      </c>
      <c r="B13" s="110" t="str">
        <v>Vilamoura</v>
      </c>
      <c r="C13" s="110" t="str">
        <v>AD</v>
      </c>
      <c r="D13" s="110" t="str">
        <v>Vilamoura, Algarve</v>
      </c>
      <c r="E13" s="110" t="str">
        <v>T2 LO</v>
      </c>
      <c r="F13" s="110">
        <v>131.57</v>
      </c>
      <c r="G13" s="110">
        <v>0</v>
      </c>
      <c r="H13" s="110" t="str">
        <v/>
      </c>
      <c r="I13" s="110" t="str">
        <v/>
      </c>
      <c r="J13" s="110">
        <v>34.01</v>
      </c>
      <c r="K13" s="110">
        <v>0</v>
      </c>
      <c r="L13" s="110">
        <v>0</v>
      </c>
      <c r="M13" s="110">
        <v>0</v>
      </c>
      <c r="N13" s="110">
        <v>0</v>
      </c>
      <c r="O13" s="110">
        <v>97.56</v>
      </c>
      <c r="P13" s="110">
        <v>0</v>
      </c>
      <c r="Q13" s="110" t="str">
        <v>AVAILABLE</v>
      </c>
      <c r="R13" s="110">
        <v>784816.95279999997</v>
      </c>
      <c r="S13" s="110">
        <v>849416.95279999997</v>
      </c>
      <c r="T13" s="110">
        <v>920000</v>
      </c>
      <c r="U13" s="110">
        <v>24600</v>
      </c>
      <c r="V13" s="110">
        <v>40000</v>
      </c>
      <c r="W13" s="110">
        <v>855400</v>
      </c>
      <c r="X13" s="110">
        <v>0</v>
      </c>
      <c r="Y13" s="110">
        <v>920000</v>
      </c>
      <c r="Z13" s="110">
        <v>855400</v>
      </c>
      <c r="AA13" s="110">
        <v>45807</v>
      </c>
      <c r="AB13" s="111" t="str">
        <v>Q2 2025</v>
      </c>
      <c r="AC13">
        <v>0</v>
      </c>
      <c r="AD13">
        <v>0</v>
      </c>
      <c r="AE13" t="str">
        <v>Ana Damásio</v>
      </c>
      <c r="AF13" t="str">
        <v>Carla Veiga</v>
      </c>
      <c r="AG13" t="str">
        <v>Zestia - New Apartments for Sale in Vilamoura - *Vilamoura</v>
      </c>
      <c r="AH13" t="str">
        <v>Discover Zestia, a residential-touristic development, where prime hospitality meets exclusive luxury in the heart of Vilamoura. This new development redefines elegance only 600 meters from the vibrant Vilamoura Marina.</v>
      </c>
      <c r="AI13" t="str">
        <v>Gym, Spa, Condo Pool, Private Pools, Outdoor Areas, Smart Home Technology, Underground Parking, Reception, Vista Membership</v>
      </c>
      <c r="AJ13"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13" t="str">
        <v>Metrourbe</v>
      </c>
      <c r="AL13" t="str">
        <v>Zestia</v>
      </c>
    </row>
    <row r="14" spans="1:38" x14ac:dyDescent="0.3">
      <c r="A14" s="110" t="str">
        <v>ZESTIA</v>
      </c>
      <c r="B14" s="110" t="str">
        <v>Vilamoura</v>
      </c>
      <c r="C14" s="110" t="str">
        <v>AE</v>
      </c>
      <c r="D14" s="110" t="str">
        <v>Vilamoura, Algarve</v>
      </c>
      <c r="E14" s="110" t="str">
        <v>T2</v>
      </c>
      <c r="F14" s="110">
        <v>117.28</v>
      </c>
      <c r="G14" s="110">
        <v>0</v>
      </c>
      <c r="H14" s="110" t="str">
        <v/>
      </c>
      <c r="I14" s="110" t="str">
        <v/>
      </c>
      <c r="J14" s="110">
        <v>28.67</v>
      </c>
      <c r="K14" s="110">
        <v>0</v>
      </c>
      <c r="L14" s="110">
        <v>0</v>
      </c>
      <c r="M14" s="110">
        <v>0</v>
      </c>
      <c r="N14" s="110">
        <v>0</v>
      </c>
      <c r="O14" s="110">
        <v>88.61</v>
      </c>
      <c r="P14" s="110">
        <v>0</v>
      </c>
      <c r="Q14" s="110" t="str">
        <v>AVAILABLE</v>
      </c>
      <c r="R14" s="110">
        <v>706789.57680000004</v>
      </c>
      <c r="S14" s="110">
        <v>771389.57680000004</v>
      </c>
      <c r="T14" s="110">
        <v>820000</v>
      </c>
      <c r="U14" s="110">
        <v>24600</v>
      </c>
      <c r="V14" s="110">
        <v>40000</v>
      </c>
      <c r="W14" s="110">
        <v>755400</v>
      </c>
      <c r="X14" s="110">
        <v>0</v>
      </c>
      <c r="Y14" s="110">
        <v>795400</v>
      </c>
      <c r="Z14" s="110">
        <v>730800</v>
      </c>
      <c r="AA14" s="110">
        <v>45807</v>
      </c>
      <c r="AB14" s="111" t="str">
        <v>Q2 2025</v>
      </c>
      <c r="AC14">
        <v>0</v>
      </c>
      <c r="AD14">
        <v>0</v>
      </c>
      <c r="AE14" t="str">
        <v>Ana Damásio</v>
      </c>
      <c r="AF14" t="str">
        <v>Carla Veiga</v>
      </c>
      <c r="AG14" t="str">
        <v>Zestia - New Apartments for Sale in Vilamoura - *Vilamoura</v>
      </c>
      <c r="AH14" t="str">
        <v>Discover Zestia, a residential-touristic development, where prime hospitality meets exclusive luxury in the heart of Vilamoura. This new development redefines elegance only 600 meters from the vibrant Vilamoura Marina.</v>
      </c>
      <c r="AI14" t="str">
        <v>Gym, Spa, Condo Pool, Private Pools, Outdoor Areas, Smart Home Technology, Underground Parking, Reception, Vista Membership</v>
      </c>
      <c r="AJ14"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14" t="str">
        <v>Metrourbe</v>
      </c>
      <c r="AL14" t="str">
        <v>Zestia</v>
      </c>
    </row>
    <row r="15" spans="1:38" x14ac:dyDescent="0.3">
      <c r="A15" s="110" t="str">
        <v>ZESTIA</v>
      </c>
      <c r="B15" s="110" t="str">
        <v>Vilamoura</v>
      </c>
      <c r="C15" s="110" t="str">
        <v>AF</v>
      </c>
      <c r="D15" s="110" t="str">
        <v>Vilamoura, Algarve</v>
      </c>
      <c r="E15" s="110" t="str">
        <v>T2 +</v>
      </c>
      <c r="F15" s="110">
        <v>151.03</v>
      </c>
      <c r="G15" s="110">
        <v>0</v>
      </c>
      <c r="H15" s="110" t="str">
        <v/>
      </c>
      <c r="I15" s="110" t="str">
        <v/>
      </c>
      <c r="J15" s="110">
        <v>37.68</v>
      </c>
      <c r="K15" s="110">
        <v>0</v>
      </c>
      <c r="L15" s="110">
        <v>0</v>
      </c>
      <c r="M15" s="110">
        <v>0</v>
      </c>
      <c r="N15" s="110">
        <v>0</v>
      </c>
      <c r="O15" s="110">
        <v>113.35</v>
      </c>
      <c r="P15" s="110">
        <v>0</v>
      </c>
      <c r="Q15" s="110" t="str">
        <v>AVAILABLE</v>
      </c>
      <c r="R15" s="110">
        <v>1021959.966</v>
      </c>
      <c r="S15" s="110">
        <v>1096559.966</v>
      </c>
      <c r="T15" s="110">
        <v>1120000</v>
      </c>
      <c r="U15" s="110">
        <v>24600</v>
      </c>
      <c r="V15" s="110">
        <v>50000</v>
      </c>
      <c r="W15" s="110">
        <v>1045400</v>
      </c>
      <c r="X15" s="110">
        <v>0</v>
      </c>
      <c r="Y15" s="110">
        <v>1120000</v>
      </c>
      <c r="Z15" s="110">
        <v>1045400</v>
      </c>
      <c r="AA15" s="110">
        <v>45807</v>
      </c>
      <c r="AB15" s="111" t="str">
        <v>Q2 2025</v>
      </c>
      <c r="AC15">
        <v>0</v>
      </c>
      <c r="AD15">
        <v>0</v>
      </c>
      <c r="AE15" t="str">
        <v>Ana Damásio</v>
      </c>
      <c r="AF15" t="str">
        <v>Carla Veiga</v>
      </c>
      <c r="AG15" t="str">
        <v>Zestia - New Apartments for Sale in Vilamoura - *Vilamoura</v>
      </c>
      <c r="AH15" t="str">
        <v>Discover Zestia, a residential-touristic development, where prime hospitality meets exclusive luxury in the heart of Vilamoura. This new development redefines elegance only 600 meters from the vibrant Vilamoura Marina.</v>
      </c>
      <c r="AI15" t="str">
        <v>Gym, Spa, Condo Pool, Private Pools, Outdoor Areas, Smart Home Technology, Underground Parking, Reception, Vista Membership</v>
      </c>
      <c r="AJ15"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15" t="str">
        <v>Metrourbe</v>
      </c>
      <c r="AL15" t="str">
        <v>Zestia</v>
      </c>
    </row>
    <row r="16" spans="1:38" x14ac:dyDescent="0.3">
      <c r="A16" s="110" t="str">
        <v>ZESTIA</v>
      </c>
      <c r="B16" s="110" t="str">
        <v>Vilamoura</v>
      </c>
      <c r="C16" s="110" t="str">
        <v>AG</v>
      </c>
      <c r="D16" s="110" t="str">
        <v>Vilamoura, Algarve</v>
      </c>
      <c r="E16" s="110" t="str">
        <v>T2 LO</v>
      </c>
      <c r="F16" s="110">
        <v>121.16</v>
      </c>
      <c r="G16" s="110">
        <v>0</v>
      </c>
      <c r="H16" s="110" t="str">
        <v/>
      </c>
      <c r="I16" s="110" t="str">
        <v/>
      </c>
      <c r="J16" s="110">
        <v>31.7</v>
      </c>
      <c r="K16" s="110">
        <v>0</v>
      </c>
      <c r="L16" s="110">
        <v>0</v>
      </c>
      <c r="M16" s="110">
        <v>0</v>
      </c>
      <c r="N16" s="110">
        <v>0</v>
      </c>
      <c r="O16" s="110">
        <v>89.46</v>
      </c>
      <c r="P16" s="110">
        <v>0</v>
      </c>
      <c r="Q16" s="110" t="str">
        <v>AVAILABLE</v>
      </c>
      <c r="R16" s="110">
        <v>710428.48239999998</v>
      </c>
      <c r="S16" s="110">
        <v>775028.48239999998</v>
      </c>
      <c r="T16" s="110">
        <v>840000</v>
      </c>
      <c r="U16" s="110">
        <v>24600</v>
      </c>
      <c r="V16" s="110">
        <v>40000</v>
      </c>
      <c r="W16" s="110">
        <v>775400</v>
      </c>
      <c r="X16" s="110">
        <v>0</v>
      </c>
      <c r="Y16" s="110">
        <v>840000</v>
      </c>
      <c r="Z16" s="110">
        <v>775400</v>
      </c>
      <c r="AA16" s="110">
        <v>45807</v>
      </c>
      <c r="AB16" s="111" t="str">
        <v>Q2 2025</v>
      </c>
      <c r="AC16">
        <v>0</v>
      </c>
      <c r="AD16">
        <v>0</v>
      </c>
      <c r="AE16" t="str">
        <v>Ana Damásio</v>
      </c>
      <c r="AF16" t="str">
        <v>Carla Veiga</v>
      </c>
      <c r="AG16" t="str">
        <v>Zestia - New Apartments for Sale in Vilamoura - *Vilamoura</v>
      </c>
      <c r="AH16" t="str">
        <v>Discover Zestia, a residential-touristic development, where prime hospitality meets exclusive luxury in the heart of Vilamoura. This new development redefines elegance only 600 meters from the vibrant Vilamoura Marina.</v>
      </c>
      <c r="AI16" t="str">
        <v>Gym, Spa, Condo Pool, Private Pools, Outdoor Areas, Smart Home Technology, Underground Parking, Reception, Vista Membership</v>
      </c>
      <c r="AJ16"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16" t="str">
        <v>Metrourbe</v>
      </c>
      <c r="AL16" t="str">
        <v>Zestia</v>
      </c>
    </row>
    <row r="17" spans="1:38" x14ac:dyDescent="0.3">
      <c r="A17" s="110" t="str">
        <v>ZESTIA</v>
      </c>
      <c r="B17" s="110" t="str">
        <v>Vilamoura</v>
      </c>
      <c r="C17" s="110" t="str">
        <v>AH</v>
      </c>
      <c r="D17" s="110" t="str">
        <v>Vilamoura, Algarve</v>
      </c>
      <c r="E17" s="110" t="str">
        <v>T2 LO</v>
      </c>
      <c r="F17" s="110">
        <v>117.29</v>
      </c>
      <c r="G17" s="110">
        <v>0</v>
      </c>
      <c r="H17" s="110" t="str">
        <v/>
      </c>
      <c r="I17" s="110" t="str">
        <v/>
      </c>
      <c r="J17" s="110">
        <v>28.46</v>
      </c>
      <c r="K17" s="110">
        <v>0</v>
      </c>
      <c r="L17" s="110">
        <v>0</v>
      </c>
      <c r="M17" s="110">
        <v>0</v>
      </c>
      <c r="N17" s="110">
        <v>0</v>
      </c>
      <c r="O17" s="110">
        <v>88.83</v>
      </c>
      <c r="P17" s="110">
        <v>0</v>
      </c>
      <c r="Q17" s="110" t="str">
        <v>AVAILABLE</v>
      </c>
      <c r="R17" s="110">
        <v>701271.14520000003</v>
      </c>
      <c r="S17" s="110">
        <v>765871.14520000003</v>
      </c>
      <c r="T17" s="110">
        <v>830000</v>
      </c>
      <c r="U17" s="110">
        <v>24600</v>
      </c>
      <c r="V17" s="110">
        <v>40000</v>
      </c>
      <c r="W17" s="110">
        <v>765400</v>
      </c>
      <c r="X17" s="110">
        <v>0</v>
      </c>
      <c r="Y17" s="110">
        <v>830000</v>
      </c>
      <c r="Z17" s="110">
        <v>765400</v>
      </c>
      <c r="AA17" s="110">
        <v>45807</v>
      </c>
      <c r="AB17" s="111" t="str">
        <v>Q2 2025</v>
      </c>
      <c r="AC17">
        <v>0</v>
      </c>
      <c r="AD17">
        <v>0</v>
      </c>
      <c r="AE17" t="str">
        <v>Ana Damásio</v>
      </c>
      <c r="AF17" t="str">
        <v>Carla Veiga</v>
      </c>
      <c r="AG17" t="str">
        <v>Zestia - New Apartments for Sale in Vilamoura - *Vilamoura</v>
      </c>
      <c r="AH17" t="str">
        <v>Discover Zestia, a residential-touristic development, where prime hospitality meets exclusive luxury in the heart of Vilamoura. This new development redefines elegance only 600 meters from the vibrant Vilamoura Marina.</v>
      </c>
      <c r="AI17" t="str">
        <v>Gym, Spa, Condo Pool, Private Pools, Outdoor Areas, Smart Home Technology, Underground Parking, Reception, Vista Membership</v>
      </c>
      <c r="AJ17"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17" t="str">
        <v>Metrourbe</v>
      </c>
      <c r="AL17" t="str">
        <v>Zestia</v>
      </c>
    </row>
    <row r="18" spans="1:38" x14ac:dyDescent="0.3">
      <c r="A18" s="110" t="str">
        <v>ZESTIA</v>
      </c>
      <c r="B18" s="110" t="str">
        <v>Vilamoura</v>
      </c>
      <c r="C18" s="110" t="str">
        <v>AI</v>
      </c>
      <c r="D18" s="110" t="str">
        <v>Vilamoura, Algarve</v>
      </c>
      <c r="E18" s="110" t="str">
        <v>T1</v>
      </c>
      <c r="F18" s="110">
        <v>96.42</v>
      </c>
      <c r="G18" s="110">
        <v>0</v>
      </c>
      <c r="H18" s="110" t="str">
        <v/>
      </c>
      <c r="I18" s="110" t="str">
        <v/>
      </c>
      <c r="J18" s="110">
        <v>28.56</v>
      </c>
      <c r="K18" s="110">
        <v>0</v>
      </c>
      <c r="L18" s="110">
        <v>0</v>
      </c>
      <c r="M18" s="110">
        <v>0</v>
      </c>
      <c r="N18" s="110">
        <v>0</v>
      </c>
      <c r="O18" s="110">
        <v>67.86</v>
      </c>
      <c r="P18" s="110">
        <v>0</v>
      </c>
      <c r="Q18" s="110" t="str">
        <v>AVAILABLE</v>
      </c>
      <c r="R18" s="110">
        <v>580548.89060000004</v>
      </c>
      <c r="S18" s="110">
        <v>635148.89060000004</v>
      </c>
      <c r="T18" s="110">
        <v>690000</v>
      </c>
      <c r="U18" s="110">
        <v>24600</v>
      </c>
      <c r="V18" s="110">
        <v>30000</v>
      </c>
      <c r="W18" s="110">
        <v>635400</v>
      </c>
      <c r="X18" s="110">
        <v>0</v>
      </c>
      <c r="Y18" s="110">
        <v>690000</v>
      </c>
      <c r="Z18" s="110">
        <v>635400</v>
      </c>
      <c r="AA18" s="110">
        <v>45807</v>
      </c>
      <c r="AB18" s="111" t="str">
        <v>Q2 2025</v>
      </c>
      <c r="AC18">
        <v>0</v>
      </c>
      <c r="AD18">
        <v>0</v>
      </c>
      <c r="AE18" t="str">
        <v>Ana Damásio</v>
      </c>
      <c r="AF18" t="str">
        <v>Carla Veiga</v>
      </c>
      <c r="AG18" t="str">
        <v>Zestia - New Apartments for Sale in Vilamoura - *Vilamoura</v>
      </c>
      <c r="AH18" t="str">
        <v>Discover Zestia, a residential-touristic development, where prime hospitality meets exclusive luxury in the heart of Vilamoura. This new development redefines elegance only 600 meters from the vibrant Vilamoura Marina.</v>
      </c>
      <c r="AI18" t="str">
        <v>Gym, Spa, Condo Pool, Private Pools, Outdoor Areas, Smart Home Technology, Underground Parking, Reception, Vista Membership</v>
      </c>
      <c r="AJ18"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18" t="str">
        <v>Metrourbe</v>
      </c>
      <c r="AL18" t="str">
        <v>Zestia</v>
      </c>
    </row>
    <row r="19" spans="1:38" x14ac:dyDescent="0.3">
      <c r="A19" s="110" t="str">
        <v>ZESTIA</v>
      </c>
      <c r="B19" s="110" t="str">
        <v>Vilamoura</v>
      </c>
      <c r="C19" s="110" t="str">
        <v>AJ</v>
      </c>
      <c r="D19" s="110" t="str">
        <v>Vilamoura, Algarve</v>
      </c>
      <c r="E19" s="110" t="str">
        <v>T2</v>
      </c>
      <c r="F19" s="110">
        <v>119.05</v>
      </c>
      <c r="G19" s="110">
        <v>0</v>
      </c>
      <c r="H19" s="110" t="str">
        <v/>
      </c>
      <c r="I19" s="110" t="str">
        <v/>
      </c>
      <c r="J19" s="110">
        <v>28.99</v>
      </c>
      <c r="K19" s="110">
        <v>0</v>
      </c>
      <c r="L19" s="110">
        <v>0</v>
      </c>
      <c r="M19" s="110">
        <v>0</v>
      </c>
      <c r="N19" s="110">
        <v>0</v>
      </c>
      <c r="O19" s="110">
        <v>90.06</v>
      </c>
      <c r="P19" s="110">
        <v>0</v>
      </c>
      <c r="Q19" s="110" t="str">
        <v>AVAILABLE</v>
      </c>
      <c r="R19" s="110">
        <v>711800.14639999997</v>
      </c>
      <c r="S19" s="110">
        <v>776400.14639999997</v>
      </c>
      <c r="T19" s="110">
        <v>850000</v>
      </c>
      <c r="U19" s="110">
        <v>24600</v>
      </c>
      <c r="V19" s="110">
        <v>40000</v>
      </c>
      <c r="W19" s="110">
        <v>785400</v>
      </c>
      <c r="X19" s="110">
        <v>0</v>
      </c>
      <c r="Y19" s="110">
        <v>850000</v>
      </c>
      <c r="Z19" s="110">
        <v>785400</v>
      </c>
      <c r="AA19" s="110">
        <v>45807</v>
      </c>
      <c r="AB19" s="111" t="str">
        <v>Q2 2025</v>
      </c>
      <c r="AC19">
        <v>0</v>
      </c>
      <c r="AD19">
        <v>0</v>
      </c>
      <c r="AE19" t="str">
        <v>Ana Damásio</v>
      </c>
      <c r="AF19" t="str">
        <v>Carla Veiga</v>
      </c>
      <c r="AG19" t="str">
        <v>Zestia - New Apartments for Sale in Vilamoura - *Vilamoura</v>
      </c>
      <c r="AH19" t="str">
        <v>Discover Zestia, a residential-touristic development, where prime hospitality meets exclusive luxury in the heart of Vilamoura. This new development redefines elegance only 600 meters from the vibrant Vilamoura Marina.</v>
      </c>
      <c r="AI19" t="str">
        <v>Gym, Spa, Condo Pool, Private Pools, Outdoor Areas, Smart Home Technology, Underground Parking, Reception, Vista Membership</v>
      </c>
      <c r="AJ19"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19" t="str">
        <v>Metrourbe</v>
      </c>
      <c r="AL19" t="str">
        <v>Zestia</v>
      </c>
    </row>
    <row r="20" spans="1:38" x14ac:dyDescent="0.3">
      <c r="A20" s="110" t="str">
        <v>ZESTIA</v>
      </c>
      <c r="B20" s="110" t="str">
        <v>Vilamoura</v>
      </c>
      <c r="C20" s="110" t="str">
        <v>AK</v>
      </c>
      <c r="D20" s="110" t="str">
        <v>Vilamoura, Algarve</v>
      </c>
      <c r="E20" s="110" t="str">
        <v>T2 LO</v>
      </c>
      <c r="F20" s="110">
        <v>127.12</v>
      </c>
      <c r="G20" s="110">
        <v>0</v>
      </c>
      <c r="H20" s="110" t="str">
        <v/>
      </c>
      <c r="I20" s="110" t="str">
        <v/>
      </c>
      <c r="J20" s="110">
        <v>37.6</v>
      </c>
      <c r="K20" s="110">
        <v>0</v>
      </c>
      <c r="L20" s="110">
        <v>0</v>
      </c>
      <c r="M20" s="110">
        <v>0</v>
      </c>
      <c r="N20" s="110">
        <v>0</v>
      </c>
      <c r="O20" s="110">
        <v>89.52</v>
      </c>
      <c r="P20" s="110">
        <v>0</v>
      </c>
      <c r="Q20" s="110" t="str">
        <v>AVAILABLE</v>
      </c>
      <c r="R20" s="110">
        <v>724474.77760000003</v>
      </c>
      <c r="S20" s="110">
        <v>789074.77760000003</v>
      </c>
      <c r="T20" s="110">
        <v>860000</v>
      </c>
      <c r="U20" s="110">
        <v>24600</v>
      </c>
      <c r="V20" s="110">
        <v>40000</v>
      </c>
      <c r="W20" s="110">
        <v>795400</v>
      </c>
      <c r="X20" s="110">
        <v>0</v>
      </c>
      <c r="Y20" s="110">
        <v>860000</v>
      </c>
      <c r="Z20" s="110">
        <v>795400</v>
      </c>
      <c r="AA20" s="110">
        <v>45807</v>
      </c>
      <c r="AB20" s="111" t="str">
        <v>Q2 2025</v>
      </c>
      <c r="AC20">
        <v>0</v>
      </c>
      <c r="AD20">
        <v>0</v>
      </c>
      <c r="AE20" t="str">
        <v>Ana Damásio</v>
      </c>
      <c r="AF20" t="str">
        <v>Carla Veiga</v>
      </c>
      <c r="AG20" t="str">
        <v>Zestia - New Apartments for Sale in Vilamoura - *Vilamoura</v>
      </c>
      <c r="AH20" t="str">
        <v>Discover Zestia, a residential-touristic development, where prime hospitality meets exclusive luxury in the heart of Vilamoura. This new development redefines elegance only 600 meters from the vibrant Vilamoura Marina.</v>
      </c>
      <c r="AI20" t="str">
        <v>Gym, Spa, Condo Pool, Private Pools, Outdoor Areas, Smart Home Technology, Underground Parking, Reception, Vista Membership</v>
      </c>
      <c r="AJ20"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20" t="str">
        <v>Metrourbe</v>
      </c>
      <c r="AL20" t="str">
        <v>Zestia</v>
      </c>
    </row>
    <row r="21" spans="1:38" x14ac:dyDescent="0.3">
      <c r="A21" s="110" t="str">
        <v>ZESTIA</v>
      </c>
      <c r="B21" s="110" t="str">
        <v>Vilamoura</v>
      </c>
      <c r="C21" s="110" t="str">
        <v>AL</v>
      </c>
      <c r="D21" s="110" t="str">
        <v>Vilamoura, Algarve</v>
      </c>
      <c r="E21" s="110" t="str">
        <v>T2 LO</v>
      </c>
      <c r="F21" s="110">
        <v>116.75</v>
      </c>
      <c r="G21" s="110">
        <v>0</v>
      </c>
      <c r="H21" s="110" t="str">
        <v/>
      </c>
      <c r="I21" s="110" t="str">
        <v/>
      </c>
      <c r="J21" s="110">
        <v>28.58</v>
      </c>
      <c r="K21" s="110">
        <v>0</v>
      </c>
      <c r="L21" s="110">
        <v>0</v>
      </c>
      <c r="M21" s="110">
        <v>0</v>
      </c>
      <c r="N21" s="110">
        <v>0</v>
      </c>
      <c r="O21" s="110">
        <v>88.17</v>
      </c>
      <c r="P21" s="110">
        <v>0</v>
      </c>
      <c r="Q21" s="110" t="str">
        <v>AVAILABLE</v>
      </c>
      <c r="R21" s="110">
        <v>703135.98959999997</v>
      </c>
      <c r="S21" s="110">
        <v>767735.98959999997</v>
      </c>
      <c r="T21" s="110">
        <v>850000</v>
      </c>
      <c r="U21" s="110">
        <v>24600</v>
      </c>
      <c r="V21" s="110">
        <v>40000</v>
      </c>
      <c r="W21" s="110">
        <v>785400</v>
      </c>
      <c r="X21" s="110">
        <v>0</v>
      </c>
      <c r="Y21" s="110">
        <v>850000</v>
      </c>
      <c r="Z21" s="110">
        <v>785400</v>
      </c>
      <c r="AA21" s="110">
        <v>45807</v>
      </c>
      <c r="AB21" s="111" t="str">
        <v>Q2 2025</v>
      </c>
      <c r="AC21">
        <v>0</v>
      </c>
      <c r="AD21">
        <v>0</v>
      </c>
      <c r="AE21" t="str">
        <v>Ana Damásio</v>
      </c>
      <c r="AF21" t="str">
        <v>Carla Veiga</v>
      </c>
      <c r="AG21" t="str">
        <v>Zestia - New Apartments for Sale in Vilamoura - *Vilamoura</v>
      </c>
      <c r="AH21" t="str">
        <v>Discover Zestia, a residential-touristic development, where prime hospitality meets exclusive luxury in the heart of Vilamoura. This new development redefines elegance only 600 meters from the vibrant Vilamoura Marina.</v>
      </c>
      <c r="AI21" t="str">
        <v>Gym, Spa, Condo Pool, Private Pools, Outdoor Areas, Smart Home Technology, Underground Parking, Reception, Vista Membership</v>
      </c>
      <c r="AJ21"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21" t="str">
        <v>Metrourbe</v>
      </c>
      <c r="AL21" t="str">
        <v>Zestia</v>
      </c>
    </row>
    <row r="22" spans="1:38" x14ac:dyDescent="0.3">
      <c r="A22" s="110" t="str">
        <v>ZESTIA</v>
      </c>
      <c r="B22" s="110" t="str">
        <v>Vilamoura</v>
      </c>
      <c r="C22" s="110" t="str">
        <v>AM</v>
      </c>
      <c r="D22" s="110" t="str">
        <v>Vilamoura, Algarve</v>
      </c>
      <c r="E22" s="110" t="str">
        <v>T2 LO</v>
      </c>
      <c r="F22" s="110">
        <v>116.89</v>
      </c>
      <c r="G22" s="110">
        <v>0</v>
      </c>
      <c r="H22" s="110" t="str">
        <v/>
      </c>
      <c r="I22" s="110" t="str">
        <v/>
      </c>
      <c r="J22" s="110">
        <v>28.58</v>
      </c>
      <c r="K22" s="110">
        <v>0</v>
      </c>
      <c r="L22" s="110">
        <v>0</v>
      </c>
      <c r="M22" s="110">
        <v>0</v>
      </c>
      <c r="N22" s="110">
        <v>0</v>
      </c>
      <c r="O22" s="110">
        <v>88.31</v>
      </c>
      <c r="P22" s="110">
        <v>0</v>
      </c>
      <c r="Q22" s="110" t="str">
        <v>AVAILABLE</v>
      </c>
      <c r="R22" s="110">
        <v>704256.1128</v>
      </c>
      <c r="S22" s="110">
        <v>768856.1128</v>
      </c>
      <c r="T22" s="110">
        <v>850000</v>
      </c>
      <c r="U22" s="110">
        <v>24600</v>
      </c>
      <c r="V22" s="110">
        <v>40000</v>
      </c>
      <c r="W22" s="110">
        <v>785400</v>
      </c>
      <c r="X22" s="110">
        <v>0</v>
      </c>
      <c r="Y22" s="110">
        <v>850000</v>
      </c>
      <c r="Z22" s="110">
        <v>785400</v>
      </c>
      <c r="AA22" s="110">
        <v>45807</v>
      </c>
      <c r="AB22" s="111" t="str">
        <v>Q2 2025</v>
      </c>
      <c r="AC22">
        <v>0</v>
      </c>
      <c r="AD22">
        <v>0</v>
      </c>
      <c r="AE22" t="str">
        <v>Ana Damásio</v>
      </c>
      <c r="AF22" t="str">
        <v>Carla Veiga</v>
      </c>
      <c r="AG22" t="str">
        <v>Zestia - New Apartments for Sale in Vilamoura - *Vilamoura</v>
      </c>
      <c r="AH22" t="str">
        <v>Discover Zestia, a residential-touristic development, where prime hospitality meets exclusive luxury in the heart of Vilamoura. This new development redefines elegance only 600 meters from the vibrant Vilamoura Marina.</v>
      </c>
      <c r="AI22" t="str">
        <v>Gym, Spa, Condo Pool, Private Pools, Outdoor Areas, Smart Home Technology, Underground Parking, Reception, Vista Membership</v>
      </c>
      <c r="AJ22"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22" t="str">
        <v>Metrourbe</v>
      </c>
      <c r="AL22" t="str">
        <v>Zestia</v>
      </c>
    </row>
    <row r="23" spans="1:38" x14ac:dyDescent="0.3">
      <c r="A23" s="110" t="str">
        <v>ZESTIA</v>
      </c>
      <c r="B23" s="110" t="str">
        <v>Vilamoura</v>
      </c>
      <c r="C23" s="110" t="str">
        <v>AN</v>
      </c>
      <c r="D23" s="110" t="str">
        <v>Vilamoura, Algarve</v>
      </c>
      <c r="E23" s="110" t="str">
        <v>T2</v>
      </c>
      <c r="F23" s="110">
        <v>119.33</v>
      </c>
      <c r="G23" s="110">
        <v>0</v>
      </c>
      <c r="H23" s="110" t="str">
        <v/>
      </c>
      <c r="I23" s="110" t="str">
        <v/>
      </c>
      <c r="J23" s="110">
        <v>29</v>
      </c>
      <c r="K23" s="110">
        <v>0</v>
      </c>
      <c r="L23" s="110">
        <v>0</v>
      </c>
      <c r="M23" s="110">
        <v>0</v>
      </c>
      <c r="N23" s="110">
        <v>0</v>
      </c>
      <c r="O23" s="110">
        <v>90.33</v>
      </c>
      <c r="P23" s="110">
        <v>0</v>
      </c>
      <c r="Q23" s="110" t="str">
        <v>AVAILABLE</v>
      </c>
      <c r="R23" s="110">
        <v>721039.49040000001</v>
      </c>
      <c r="S23" s="110">
        <v>785639.49040000001</v>
      </c>
      <c r="T23" s="110">
        <v>840000</v>
      </c>
      <c r="U23" s="110">
        <v>24600</v>
      </c>
      <c r="V23" s="110">
        <v>40000</v>
      </c>
      <c r="W23" s="110">
        <v>775400</v>
      </c>
      <c r="X23" s="110">
        <v>0</v>
      </c>
      <c r="Y23" s="110">
        <v>840000</v>
      </c>
      <c r="Z23" s="110">
        <v>775400</v>
      </c>
      <c r="AA23" s="110">
        <v>45807</v>
      </c>
      <c r="AB23" s="111" t="str">
        <v>Q2 2025</v>
      </c>
      <c r="AC23">
        <v>0</v>
      </c>
      <c r="AD23">
        <v>0</v>
      </c>
      <c r="AE23" t="str">
        <v>Ana Damásio</v>
      </c>
      <c r="AF23" t="str">
        <v>Carla Veiga</v>
      </c>
      <c r="AG23" t="str">
        <v>Zestia - New Apartments for Sale in Vilamoura - *Vilamoura</v>
      </c>
      <c r="AH23" t="str">
        <v>Discover Zestia, a residential-touristic development, where prime hospitality meets exclusive luxury in the heart of Vilamoura. This new development redefines elegance only 600 meters from the vibrant Vilamoura Marina.</v>
      </c>
      <c r="AI23" t="str">
        <v>Gym, Spa, Condo Pool, Private Pools, Outdoor Areas, Smart Home Technology, Underground Parking, Reception, Vista Membership</v>
      </c>
      <c r="AJ23"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23" t="str">
        <v>Metrourbe</v>
      </c>
      <c r="AL23" t="str">
        <v>Zestia</v>
      </c>
    </row>
    <row r="24" spans="1:38" x14ac:dyDescent="0.3">
      <c r="A24" s="110" t="str">
        <v>ZESTIA</v>
      </c>
      <c r="B24" s="110" t="str">
        <v>Vilamoura</v>
      </c>
      <c r="C24" s="110" t="str">
        <v>AO</v>
      </c>
      <c r="D24" s="110" t="str">
        <v>Vilamoura, Algarve</v>
      </c>
      <c r="E24" s="110" t="str">
        <v>T2 LO</v>
      </c>
      <c r="F24" s="110">
        <v>123.3</v>
      </c>
      <c r="G24" s="110">
        <v>0</v>
      </c>
      <c r="H24" s="110" t="str">
        <v/>
      </c>
      <c r="I24" s="110" t="str">
        <v/>
      </c>
      <c r="J24" s="110">
        <v>33.21</v>
      </c>
      <c r="K24" s="110">
        <v>0</v>
      </c>
      <c r="L24" s="110">
        <v>0</v>
      </c>
      <c r="M24" s="110">
        <v>0</v>
      </c>
      <c r="N24" s="110">
        <v>0</v>
      </c>
      <c r="O24" s="110">
        <v>90.09</v>
      </c>
      <c r="P24" s="110">
        <v>0</v>
      </c>
      <c r="Q24" s="110" t="str">
        <v>AVAILABLE</v>
      </c>
      <c r="R24" s="110">
        <v>717095.71959999995</v>
      </c>
      <c r="S24" s="110">
        <v>781695.71959999995</v>
      </c>
      <c r="T24" s="110">
        <v>850000</v>
      </c>
      <c r="U24" s="110">
        <v>24600</v>
      </c>
      <c r="V24" s="110">
        <v>40000</v>
      </c>
      <c r="W24" s="110">
        <v>785400</v>
      </c>
      <c r="X24" s="110">
        <v>0</v>
      </c>
      <c r="Y24" s="110">
        <v>850000</v>
      </c>
      <c r="Z24" s="110">
        <v>785400</v>
      </c>
      <c r="AA24" s="110">
        <v>45807</v>
      </c>
      <c r="AB24" s="111" t="str">
        <v>Q2 2025</v>
      </c>
      <c r="AC24">
        <v>0</v>
      </c>
      <c r="AD24">
        <v>0</v>
      </c>
      <c r="AE24" t="str">
        <v>Ana Damásio</v>
      </c>
      <c r="AF24" t="str">
        <v>Carla Veiga</v>
      </c>
      <c r="AG24" t="str">
        <v>Zestia - New Apartments for Sale in Vilamoura - *Vilamoura</v>
      </c>
      <c r="AH24" t="str">
        <v>Discover Zestia, a residential-touristic development, where prime hospitality meets exclusive luxury in the heart of Vilamoura. This new development redefines elegance only 600 meters from the vibrant Vilamoura Marina.</v>
      </c>
      <c r="AI24" t="str">
        <v>Gym, Spa, Condo Pool, Private Pools, Outdoor Areas, Smart Home Technology, Underground Parking, Reception, Vista Membership</v>
      </c>
      <c r="AJ24"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24" t="str">
        <v>Metrourbe</v>
      </c>
      <c r="AL24" t="str">
        <v>Zestia</v>
      </c>
    </row>
    <row r="25" spans="1:38" x14ac:dyDescent="0.3">
      <c r="A25" s="110" t="str">
        <v>ZESTIA</v>
      </c>
      <c r="B25" s="110" t="str">
        <v>Vilamoura</v>
      </c>
      <c r="C25" s="110" t="str">
        <v>AP</v>
      </c>
      <c r="D25" s="110" t="str">
        <v>Vilamoura, Algarve</v>
      </c>
      <c r="E25" s="110" t="str">
        <v>T2</v>
      </c>
      <c r="F25" s="110">
        <v>125.61</v>
      </c>
      <c r="G25" s="110">
        <v>0</v>
      </c>
      <c r="H25" s="110" t="str">
        <v/>
      </c>
      <c r="I25" s="110" t="str">
        <v/>
      </c>
      <c r="J25" s="110">
        <v>31.83</v>
      </c>
      <c r="K25" s="110">
        <v>0</v>
      </c>
      <c r="L25" s="110">
        <v>0</v>
      </c>
      <c r="M25" s="110">
        <v>0</v>
      </c>
      <c r="N25" s="110">
        <v>0</v>
      </c>
      <c r="O25" s="110">
        <v>93.78</v>
      </c>
      <c r="P25" s="110">
        <v>0</v>
      </c>
      <c r="Q25" s="110" t="str">
        <v>AVAILABLE</v>
      </c>
      <c r="R25" s="110">
        <v>744797.72320000001</v>
      </c>
      <c r="S25" s="110">
        <v>809397.72320000001</v>
      </c>
      <c r="T25" s="110">
        <v>880000</v>
      </c>
      <c r="U25" s="110">
        <v>24600</v>
      </c>
      <c r="V25" s="110">
        <v>40000</v>
      </c>
      <c r="W25" s="110">
        <v>815400</v>
      </c>
      <c r="X25" s="110">
        <v>0</v>
      </c>
      <c r="Y25" s="110">
        <v>880000</v>
      </c>
      <c r="Z25" s="110">
        <v>815400</v>
      </c>
      <c r="AA25" s="110">
        <v>45807</v>
      </c>
      <c r="AB25" s="111" t="str">
        <v>Q2 2025</v>
      </c>
      <c r="AC25">
        <v>0</v>
      </c>
      <c r="AD25">
        <v>0</v>
      </c>
      <c r="AE25" t="str">
        <v>Ana Damásio</v>
      </c>
      <c r="AF25" t="str">
        <v>Carla Veiga</v>
      </c>
      <c r="AG25" t="str">
        <v>Zestia - New Apartments for Sale in Vilamoura - *Vilamoura</v>
      </c>
      <c r="AH25" t="str">
        <v>Discover Zestia, a residential-touristic development, where prime hospitality meets exclusive luxury in the heart of Vilamoura. This new development redefines elegance only 600 meters from the vibrant Vilamoura Marina.</v>
      </c>
      <c r="AI25" t="str">
        <v>Gym, Spa, Condo Pool, Private Pools, Outdoor Areas, Smart Home Technology, Underground Parking, Reception, Vista Membership</v>
      </c>
      <c r="AJ25"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25" t="str">
        <v>Metrourbe</v>
      </c>
      <c r="AL25" t="str">
        <v>Zestia</v>
      </c>
    </row>
    <row r="26" spans="1:38" x14ac:dyDescent="0.3">
      <c r="A26" s="110" t="str">
        <v>ZESTIA</v>
      </c>
      <c r="B26" s="110" t="str">
        <v>Vilamoura</v>
      </c>
      <c r="C26" s="110" t="str">
        <v>AR</v>
      </c>
      <c r="D26" s="110" t="str">
        <v>Vilamoura, Algarve</v>
      </c>
      <c r="E26" s="110" t="str">
        <v>T2 LO</v>
      </c>
      <c r="F26" s="110">
        <v>116.88</v>
      </c>
      <c r="G26" s="110">
        <v>0</v>
      </c>
      <c r="H26" s="110" t="str">
        <v/>
      </c>
      <c r="I26" s="110" t="str">
        <v/>
      </c>
      <c r="J26" s="110">
        <v>28.68</v>
      </c>
      <c r="K26" s="110">
        <v>0</v>
      </c>
      <c r="L26" s="110">
        <v>0</v>
      </c>
      <c r="M26" s="110">
        <v>0</v>
      </c>
      <c r="N26" s="110">
        <v>0</v>
      </c>
      <c r="O26" s="110">
        <v>88.2</v>
      </c>
      <c r="P26" s="110">
        <v>0</v>
      </c>
      <c r="Q26" s="110" t="str">
        <v>AVAILABLE</v>
      </c>
      <c r="R26" s="110">
        <v>703524.01599999995</v>
      </c>
      <c r="S26" s="110">
        <v>768124.01599999995</v>
      </c>
      <c r="T26" s="110">
        <v>840000</v>
      </c>
      <c r="U26" s="110">
        <v>24600</v>
      </c>
      <c r="V26" s="110">
        <v>40000</v>
      </c>
      <c r="W26" s="110">
        <v>775400</v>
      </c>
      <c r="X26" s="110">
        <v>0</v>
      </c>
      <c r="Y26" s="110">
        <v>840000</v>
      </c>
      <c r="Z26" s="110">
        <v>775400</v>
      </c>
      <c r="AA26" s="110">
        <v>45807</v>
      </c>
      <c r="AB26" s="111" t="str">
        <v>Q2 2025</v>
      </c>
      <c r="AC26">
        <v>0</v>
      </c>
      <c r="AD26">
        <v>0</v>
      </c>
      <c r="AE26" t="str">
        <v>Ana Damásio</v>
      </c>
      <c r="AF26" t="str">
        <v>Carla Veiga</v>
      </c>
      <c r="AG26" t="str">
        <v>Zestia - New Apartments for Sale in Vilamoura - *Vilamoura</v>
      </c>
      <c r="AH26" t="str">
        <v>Discover Zestia, a residential-touristic development, where prime hospitality meets exclusive luxury in the heart of Vilamoura. This new development redefines elegance only 600 meters from the vibrant Vilamoura Marina.</v>
      </c>
      <c r="AI26" t="str">
        <v>Gym, Spa, Condo Pool, Private Pools, Outdoor Areas, Smart Home Technology, Underground Parking, Reception, Vista Membership</v>
      </c>
      <c r="AJ26"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26" t="str">
        <v>Metrourbe</v>
      </c>
      <c r="AL26" t="str">
        <v>Zestia</v>
      </c>
    </row>
    <row r="27" spans="1:38" x14ac:dyDescent="0.3">
      <c r="A27" s="110" t="str">
        <v>ZESTIA</v>
      </c>
      <c r="B27" s="110" t="str">
        <v>Vilamoura</v>
      </c>
      <c r="C27" s="110" t="str">
        <v>AS</v>
      </c>
      <c r="D27" s="110" t="str">
        <v>Vilamoura, Algarve</v>
      </c>
      <c r="E27" s="110" t="str">
        <v>T2</v>
      </c>
      <c r="F27" s="110">
        <v>125.51</v>
      </c>
      <c r="G27" s="110">
        <v>0</v>
      </c>
      <c r="H27" s="110" t="str">
        <v/>
      </c>
      <c r="I27" s="110" t="str">
        <v/>
      </c>
      <c r="J27" s="110">
        <v>31.83</v>
      </c>
      <c r="K27" s="110">
        <v>0</v>
      </c>
      <c r="L27" s="110">
        <v>0</v>
      </c>
      <c r="M27" s="110">
        <v>0</v>
      </c>
      <c r="N27" s="110">
        <v>0</v>
      </c>
      <c r="O27" s="110">
        <v>93.68</v>
      </c>
      <c r="P27" s="110">
        <v>0</v>
      </c>
      <c r="Q27" s="110" t="str">
        <v>AVAILABLE</v>
      </c>
      <c r="R27" s="110">
        <v>751353.73840000003</v>
      </c>
      <c r="S27" s="110">
        <v>815953.73840000003</v>
      </c>
      <c r="T27" s="110">
        <v>900000</v>
      </c>
      <c r="U27" s="110">
        <v>24600</v>
      </c>
      <c r="V27" s="110">
        <v>40000</v>
      </c>
      <c r="W27" s="110">
        <v>835400</v>
      </c>
      <c r="X27" s="110">
        <v>0</v>
      </c>
      <c r="Y27" s="110">
        <v>900000</v>
      </c>
      <c r="Z27" s="110">
        <v>835400</v>
      </c>
      <c r="AA27" s="110">
        <v>45807</v>
      </c>
      <c r="AB27" s="111" t="str">
        <v>Q2 2025</v>
      </c>
      <c r="AC27">
        <v>0</v>
      </c>
      <c r="AD27">
        <v>0</v>
      </c>
      <c r="AE27" t="str">
        <v>Ana Damásio</v>
      </c>
      <c r="AF27" t="str">
        <v>Carla Veiga</v>
      </c>
      <c r="AG27" t="str">
        <v>Zestia - New Apartments for Sale in Vilamoura - *Vilamoura</v>
      </c>
      <c r="AH27" t="str">
        <v>Discover Zestia, a residential-touristic development, where prime hospitality meets exclusive luxury in the heart of Vilamoura. This new development redefines elegance only 600 meters from the vibrant Vilamoura Marina.</v>
      </c>
      <c r="AI27" t="str">
        <v>Gym, Spa, Condo Pool, Private Pools, Outdoor Areas, Smart Home Technology, Underground Parking, Reception, Vista Membership</v>
      </c>
      <c r="AJ27"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27" t="str">
        <v>Metrourbe</v>
      </c>
      <c r="AL27" t="str">
        <v>Zestia</v>
      </c>
    </row>
    <row r="28" spans="1:38" x14ac:dyDescent="0.3">
      <c r="A28" s="110" t="str">
        <v>ZESTIA</v>
      </c>
      <c r="B28" s="110" t="str">
        <v>Vilamoura</v>
      </c>
      <c r="C28" s="110" t="str">
        <v>AT</v>
      </c>
      <c r="D28" s="110" t="str">
        <v>Vilamoura, Algarve</v>
      </c>
      <c r="E28" s="110" t="str">
        <v>T2</v>
      </c>
      <c r="F28" s="110">
        <v>119</v>
      </c>
      <c r="G28" s="110">
        <v>0</v>
      </c>
      <c r="H28" s="110" t="str">
        <v/>
      </c>
      <c r="I28" s="110" t="str">
        <v/>
      </c>
      <c r="J28" s="110">
        <v>0</v>
      </c>
      <c r="K28" s="110">
        <v>0</v>
      </c>
      <c r="L28" s="110">
        <v>0</v>
      </c>
      <c r="M28" s="110">
        <v>29.15</v>
      </c>
      <c r="N28" s="110">
        <v>0</v>
      </c>
      <c r="O28" s="110">
        <v>89.85</v>
      </c>
      <c r="P28" s="110">
        <v>0</v>
      </c>
      <c r="Q28" s="110" t="str">
        <v>AVAILABLE</v>
      </c>
      <c r="R28" s="110">
        <v>758112.33600000001</v>
      </c>
      <c r="S28" s="110">
        <v>822712.33600000001</v>
      </c>
      <c r="T28" s="110">
        <v>890000</v>
      </c>
      <c r="U28" s="110">
        <v>24600</v>
      </c>
      <c r="V28" s="110">
        <v>40000</v>
      </c>
      <c r="W28" s="110">
        <v>825400</v>
      </c>
      <c r="X28" s="110">
        <v>0</v>
      </c>
      <c r="Y28" s="110">
        <v>890000</v>
      </c>
      <c r="Z28" s="110">
        <v>825400</v>
      </c>
      <c r="AA28" s="110">
        <v>45807</v>
      </c>
      <c r="AB28" s="111" t="str">
        <v>Q2 2025</v>
      </c>
      <c r="AC28">
        <v>0</v>
      </c>
      <c r="AD28">
        <v>0</v>
      </c>
      <c r="AE28" t="str">
        <v>Ana Damásio</v>
      </c>
      <c r="AF28" t="str">
        <v>Carla Veiga</v>
      </c>
      <c r="AG28" t="str">
        <v>Zestia - New Apartments for Sale in Vilamoura - *Vilamoura</v>
      </c>
      <c r="AH28" t="str">
        <v>Discover Zestia, a residential-touristic development, where prime hospitality meets exclusive luxury in the heart of Vilamoura. This new development redefines elegance only 600 meters from the vibrant Vilamoura Marina.</v>
      </c>
      <c r="AI28" t="str">
        <v>Gym, Spa, Condo Pool, Private Pools, Outdoor Areas, Smart Home Technology, Underground Parking, Reception, Vista Membership</v>
      </c>
      <c r="AJ28"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28" t="str">
        <v>Metrourbe</v>
      </c>
      <c r="AL28" t="str">
        <v>Zestia</v>
      </c>
    </row>
    <row r="29" spans="1:38" x14ac:dyDescent="0.3">
      <c r="A29" s="110" t="str">
        <v>ZESTIA</v>
      </c>
      <c r="B29" s="110" t="str">
        <v>Vilamoura</v>
      </c>
      <c r="C29" s="110" t="str">
        <v>AU</v>
      </c>
      <c r="D29" s="110" t="str">
        <v>Vilamoura, Algarve</v>
      </c>
      <c r="E29" s="110" t="str">
        <v>T2 LO</v>
      </c>
      <c r="F29" s="110">
        <v>117.03</v>
      </c>
      <c r="G29" s="110">
        <v>0</v>
      </c>
      <c r="H29" s="110" t="str">
        <v/>
      </c>
      <c r="I29" s="110" t="str">
        <v/>
      </c>
      <c r="J29" s="110">
        <v>0</v>
      </c>
      <c r="K29" s="110">
        <v>0</v>
      </c>
      <c r="L29" s="110">
        <v>0</v>
      </c>
      <c r="M29" s="110">
        <v>28.6</v>
      </c>
      <c r="N29" s="110">
        <v>0</v>
      </c>
      <c r="O29" s="110">
        <v>88.43</v>
      </c>
      <c r="P29" s="110">
        <v>0</v>
      </c>
      <c r="Q29" s="110" t="str">
        <v>AVAILABLE</v>
      </c>
      <c r="R29" s="110">
        <v>737964.91839999997</v>
      </c>
      <c r="S29" s="110">
        <v>802564.91839999997</v>
      </c>
      <c r="T29" s="110">
        <v>890000</v>
      </c>
      <c r="U29" s="110">
        <v>24600</v>
      </c>
      <c r="V29" s="110">
        <v>40000</v>
      </c>
      <c r="W29" s="110">
        <v>825400</v>
      </c>
      <c r="X29" s="110">
        <v>0</v>
      </c>
      <c r="Y29" s="110">
        <v>890000</v>
      </c>
      <c r="Z29" s="110">
        <v>825400</v>
      </c>
      <c r="AA29" s="110">
        <v>45807</v>
      </c>
      <c r="AB29" s="111" t="str">
        <v>Q2 2025</v>
      </c>
      <c r="AC29">
        <v>0</v>
      </c>
      <c r="AD29">
        <v>0</v>
      </c>
      <c r="AE29" t="str">
        <v>Ana Damásio</v>
      </c>
      <c r="AF29" t="str">
        <v>Carla Veiga</v>
      </c>
      <c r="AG29" t="str">
        <v>Zestia - New Apartments for Sale in Vilamoura - *Vilamoura</v>
      </c>
      <c r="AH29" t="str">
        <v>Discover Zestia, a residential-touristic development, where prime hospitality meets exclusive luxury in the heart of Vilamoura. This new development redefines elegance only 600 meters from the vibrant Vilamoura Marina.</v>
      </c>
      <c r="AI29" t="str">
        <v>Gym, Spa, Condo Pool, Private Pools, Outdoor Areas, Smart Home Technology, Underground Parking, Reception, Vista Membership</v>
      </c>
      <c r="AJ29"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29" t="str">
        <v>Metrourbe</v>
      </c>
      <c r="AL29" t="str">
        <v>Zestia</v>
      </c>
    </row>
    <row r="30" spans="1:38" x14ac:dyDescent="0.3">
      <c r="A30" s="110" t="str">
        <v>ZESTIA</v>
      </c>
      <c r="B30" s="110" t="str">
        <v>Vilamoura</v>
      </c>
      <c r="C30" s="110" t="str">
        <v>AV</v>
      </c>
      <c r="D30" s="110" t="str">
        <v>Vilamoura, Algarve</v>
      </c>
      <c r="E30" s="110" t="str">
        <v>T2</v>
      </c>
      <c r="F30" s="110">
        <v>117.69</v>
      </c>
      <c r="G30" s="110">
        <v>0</v>
      </c>
      <c r="H30" s="110" t="str">
        <v/>
      </c>
      <c r="I30" s="110" t="str">
        <v/>
      </c>
      <c r="J30" s="110">
        <v>0</v>
      </c>
      <c r="K30" s="110">
        <v>0</v>
      </c>
      <c r="L30" s="110">
        <v>0</v>
      </c>
      <c r="M30" s="110">
        <v>28.24</v>
      </c>
      <c r="N30" s="110">
        <v>0</v>
      </c>
      <c r="O30" s="110">
        <v>89.45</v>
      </c>
      <c r="P30" s="110">
        <v>0</v>
      </c>
      <c r="Q30" s="110" t="str">
        <v>AVAILABLE</v>
      </c>
      <c r="R30" s="110">
        <v>745970.41599999997</v>
      </c>
      <c r="S30" s="110">
        <v>810570.41599999997</v>
      </c>
      <c r="T30" s="110">
        <v>890000</v>
      </c>
      <c r="U30" s="110">
        <v>24600</v>
      </c>
      <c r="V30" s="110">
        <v>40000</v>
      </c>
      <c r="W30" s="110">
        <v>825400</v>
      </c>
      <c r="X30" s="110">
        <v>0</v>
      </c>
      <c r="Y30" s="110">
        <v>890000</v>
      </c>
      <c r="Z30" s="110">
        <v>825400</v>
      </c>
      <c r="AA30" s="110">
        <v>45807</v>
      </c>
      <c r="AB30" s="111" t="str">
        <v>Q2 2025</v>
      </c>
      <c r="AC30">
        <v>0</v>
      </c>
      <c r="AD30">
        <v>0</v>
      </c>
      <c r="AE30" t="str">
        <v>Ana Damásio</v>
      </c>
      <c r="AF30" t="str">
        <v>Carla Veiga</v>
      </c>
      <c r="AG30" t="str">
        <v>Zestia - New Apartments for Sale in Vilamoura - *Vilamoura</v>
      </c>
      <c r="AH30" t="str">
        <v>Discover Zestia, a residential-touristic development, where prime hospitality meets exclusive luxury in the heart of Vilamoura. This new development redefines elegance only 600 meters from the vibrant Vilamoura Marina.</v>
      </c>
      <c r="AI30" t="str">
        <v>Gym, Spa, Condo Pool, Private Pools, Outdoor Areas, Smart Home Technology, Underground Parking, Reception, Vista Membership</v>
      </c>
      <c r="AJ30"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30" t="str">
        <v>Metrourbe</v>
      </c>
      <c r="AL30" t="str">
        <v>Zestia</v>
      </c>
    </row>
    <row r="31" spans="1:38" x14ac:dyDescent="0.3">
      <c r="A31" s="110" t="str">
        <v>ZESTIA</v>
      </c>
      <c r="B31" s="110" t="str">
        <v>Vilamoura</v>
      </c>
      <c r="C31" s="110" t="str">
        <v>AW</v>
      </c>
      <c r="D31" s="110" t="str">
        <v>Vilamoura, Algarve</v>
      </c>
      <c r="E31" s="110" t="str">
        <v>T2 LO</v>
      </c>
      <c r="F31" s="110">
        <v>118.03</v>
      </c>
      <c r="G31" s="110">
        <v>0</v>
      </c>
      <c r="H31" s="110" t="str">
        <v/>
      </c>
      <c r="I31" s="110" t="str">
        <v/>
      </c>
      <c r="J31" s="110">
        <v>0</v>
      </c>
      <c r="K31" s="110">
        <v>0</v>
      </c>
      <c r="L31" s="110">
        <v>0</v>
      </c>
      <c r="M31" s="110">
        <v>28.84</v>
      </c>
      <c r="N31" s="110">
        <v>0</v>
      </c>
      <c r="O31" s="110">
        <v>89.19</v>
      </c>
      <c r="P31" s="110">
        <v>0</v>
      </c>
      <c r="Q31" s="110" t="str">
        <v>AVAILABLE</v>
      </c>
      <c r="R31" s="110">
        <v>744681.98719999997</v>
      </c>
      <c r="S31" s="110">
        <v>809281.98719999997</v>
      </c>
      <c r="T31" s="110">
        <v>890000</v>
      </c>
      <c r="U31" s="110">
        <v>24600</v>
      </c>
      <c r="V31" s="110">
        <v>40000</v>
      </c>
      <c r="W31" s="110">
        <v>825400</v>
      </c>
      <c r="X31" s="110">
        <v>0</v>
      </c>
      <c r="Y31" s="110">
        <v>890000</v>
      </c>
      <c r="Z31" s="110">
        <v>825400</v>
      </c>
      <c r="AA31" s="110">
        <v>45807</v>
      </c>
      <c r="AB31" s="111" t="str">
        <v>Q2 2025</v>
      </c>
      <c r="AC31">
        <v>0</v>
      </c>
      <c r="AD31">
        <v>0</v>
      </c>
      <c r="AE31" t="str">
        <v>Ana Damásio</v>
      </c>
      <c r="AF31" t="str">
        <v>Carla Veiga</v>
      </c>
      <c r="AG31" t="str">
        <v>Zestia - New Apartments for Sale in Vilamoura - *Vilamoura</v>
      </c>
      <c r="AH31" t="str">
        <v>Discover Zestia, a residential-touristic development, where prime hospitality meets exclusive luxury in the heart of Vilamoura. This new development redefines elegance only 600 meters from the vibrant Vilamoura Marina.</v>
      </c>
      <c r="AI31" t="str">
        <v>Gym, Spa, Condo Pool, Private Pools, Outdoor Areas, Smart Home Technology, Underground Parking, Reception, Vista Membership</v>
      </c>
      <c r="AJ31"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31" t="str">
        <v>Metrourbe</v>
      </c>
      <c r="AL31" t="str">
        <v>Zestia</v>
      </c>
    </row>
    <row r="32" spans="1:38" x14ac:dyDescent="0.3">
      <c r="A32" s="110" t="str">
        <v>ZESTIA</v>
      </c>
      <c r="B32" s="110" t="str">
        <v>Vilamoura</v>
      </c>
      <c r="C32" s="110" t="str">
        <v>AX</v>
      </c>
      <c r="D32" s="110" t="str">
        <v>Vilamoura, Algarve</v>
      </c>
      <c r="E32" s="110" t="str">
        <v>T2</v>
      </c>
      <c r="F32" s="110">
        <v>281.44</v>
      </c>
      <c r="G32" s="110">
        <v>0</v>
      </c>
      <c r="H32" s="110" t="str">
        <v/>
      </c>
      <c r="I32" s="110" t="str">
        <v/>
      </c>
      <c r="J32" s="110">
        <v>0</v>
      </c>
      <c r="K32" s="110">
        <v>0</v>
      </c>
      <c r="L32" s="110">
        <v>0</v>
      </c>
      <c r="M32" s="110">
        <v>188.97</v>
      </c>
      <c r="N32" s="110">
        <v>0</v>
      </c>
      <c r="O32" s="110">
        <v>92.47</v>
      </c>
      <c r="P32" s="110">
        <v>0</v>
      </c>
      <c r="Q32" s="110" t="str">
        <v>AVAILABLE</v>
      </c>
      <c r="R32" s="110">
        <v>987434.81440000003</v>
      </c>
      <c r="S32" s="110">
        <v>1062034.8144</v>
      </c>
      <c r="T32" s="110">
        <v>1200000</v>
      </c>
      <c r="U32" s="110">
        <v>24600</v>
      </c>
      <c r="V32" s="110">
        <v>50000</v>
      </c>
      <c r="W32" s="110">
        <v>1125400</v>
      </c>
      <c r="X32" s="110">
        <v>0</v>
      </c>
      <c r="Y32" s="110">
        <v>1200000</v>
      </c>
      <c r="Z32" s="110">
        <v>1125400</v>
      </c>
      <c r="AA32" s="110">
        <v>45807</v>
      </c>
      <c r="AB32" s="111" t="str">
        <v>Q2 2025</v>
      </c>
      <c r="AC32">
        <v>0</v>
      </c>
      <c r="AD32">
        <v>0</v>
      </c>
      <c r="AE32" t="str">
        <v>Ana Damásio</v>
      </c>
      <c r="AF32" t="str">
        <v>Carla Veiga</v>
      </c>
      <c r="AG32" t="str">
        <v>Zestia - New Apartments for Sale in Vilamoura - *Vilamoura</v>
      </c>
      <c r="AH32" t="str">
        <v>Discover Zestia, a residential-touristic development, where prime hospitality meets exclusive luxury in the heart of Vilamoura. This new development redefines elegance only 600 meters from the vibrant Vilamoura Marina.</v>
      </c>
      <c r="AI32" t="str">
        <v>Gym, Spa, Condo Pool, Private Pools, Outdoor Areas, Smart Home Technology, Underground Parking, Reception, Vista Membership</v>
      </c>
      <c r="AJ32"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32" t="str">
        <v>Metrourbe</v>
      </c>
      <c r="AL32" t="str">
        <v>Zestia</v>
      </c>
    </row>
    <row r="33" spans="1:38" x14ac:dyDescent="0.3">
      <c r="A33" s="110" t="str">
        <v>ZESTIA</v>
      </c>
      <c r="B33" s="110" t="str">
        <v>Vilamoura</v>
      </c>
      <c r="C33" s="110" t="str">
        <v>AY</v>
      </c>
      <c r="D33" s="110" t="str">
        <v>Vilamoura, Algarve</v>
      </c>
      <c r="E33" s="110" t="str">
        <v>T1</v>
      </c>
      <c r="F33" s="110">
        <v>89.42</v>
      </c>
      <c r="G33" s="110">
        <v>0</v>
      </c>
      <c r="H33" s="110" t="str">
        <v/>
      </c>
      <c r="I33" s="110" t="str">
        <v/>
      </c>
      <c r="J33" s="110">
        <v>0</v>
      </c>
      <c r="K33" s="110">
        <v>0</v>
      </c>
      <c r="L33" s="110">
        <v>0</v>
      </c>
      <c r="M33" s="110">
        <v>26.51</v>
      </c>
      <c r="N33" s="110">
        <v>0</v>
      </c>
      <c r="O33" s="110">
        <v>62.91</v>
      </c>
      <c r="P33" s="110">
        <v>0</v>
      </c>
      <c r="Q33" s="110" t="str">
        <v>AVAILABLE</v>
      </c>
      <c r="R33" s="110">
        <v>571187.51439999999</v>
      </c>
      <c r="S33" s="110">
        <v>625787.51439999999</v>
      </c>
      <c r="T33" s="110">
        <v>690000</v>
      </c>
      <c r="U33" s="110">
        <v>24600</v>
      </c>
      <c r="V33" s="110">
        <v>30000</v>
      </c>
      <c r="W33" s="110">
        <v>635400</v>
      </c>
      <c r="X33" s="110">
        <v>0</v>
      </c>
      <c r="Y33" s="110">
        <v>690000</v>
      </c>
      <c r="Z33" s="110">
        <v>635400</v>
      </c>
      <c r="AA33" s="110">
        <v>45807</v>
      </c>
      <c r="AB33" s="111" t="str">
        <v>Q2 2025</v>
      </c>
      <c r="AC33">
        <v>0</v>
      </c>
      <c r="AD33">
        <v>0</v>
      </c>
      <c r="AE33" t="str">
        <v>Ana Damásio</v>
      </c>
      <c r="AF33" t="str">
        <v>Carla Veiga</v>
      </c>
      <c r="AG33" t="str">
        <v>Zestia - New Apartments for Sale in Vilamoura - *Vilamoura</v>
      </c>
      <c r="AH33" t="str">
        <v>Discover Zestia, a residential-touristic development, where prime hospitality meets exclusive luxury in the heart of Vilamoura. This new development redefines elegance only 600 meters from the vibrant Vilamoura Marina.</v>
      </c>
      <c r="AI33" t="str">
        <v>Gym, Spa, Condo Pool, Private Pools, Outdoor Areas, Smart Home Technology, Underground Parking, Reception, Vista Membership</v>
      </c>
      <c r="AJ33"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33" t="str">
        <v>Metrourbe</v>
      </c>
      <c r="AL33" t="str">
        <v>Zestia</v>
      </c>
    </row>
    <row r="34" spans="1:38" x14ac:dyDescent="0.3">
      <c r="A34" s="110" t="str">
        <v>ZESTIA</v>
      </c>
      <c r="B34" s="110" t="str">
        <v>Vilamoura</v>
      </c>
      <c r="C34" s="110" t="str">
        <v>B</v>
      </c>
      <c r="D34" s="110" t="str">
        <v>Vilamoura, Algarve</v>
      </c>
      <c r="E34" s="110" t="str">
        <v>T2 LO</v>
      </c>
      <c r="F34" s="110">
        <v>117.3</v>
      </c>
      <c r="G34" s="110">
        <v>0</v>
      </c>
      <c r="H34" s="110" t="str">
        <v/>
      </c>
      <c r="I34" s="110" t="str">
        <v/>
      </c>
      <c r="J34" s="110">
        <v>28.6</v>
      </c>
      <c r="K34" s="110">
        <v>0</v>
      </c>
      <c r="L34" s="110">
        <v>0</v>
      </c>
      <c r="M34" s="110">
        <v>0</v>
      </c>
      <c r="N34" s="110">
        <v>0</v>
      </c>
      <c r="O34" s="110">
        <v>88.7</v>
      </c>
      <c r="P34" s="110">
        <v>0</v>
      </c>
      <c r="Q34" s="110" t="str">
        <v>AVAILABLE</v>
      </c>
      <c r="R34" s="110">
        <v>660671.80000000005</v>
      </c>
      <c r="S34" s="110">
        <v>725271.8</v>
      </c>
      <c r="T34" s="110">
        <v>790000</v>
      </c>
      <c r="U34" s="110">
        <v>24600</v>
      </c>
      <c r="V34" s="110">
        <v>40000</v>
      </c>
      <c r="W34" s="110">
        <v>725400</v>
      </c>
      <c r="X34" s="110">
        <v>0</v>
      </c>
      <c r="Y34" s="110">
        <v>790000</v>
      </c>
      <c r="Z34" s="110">
        <v>725400</v>
      </c>
      <c r="AA34" s="110">
        <v>45807</v>
      </c>
      <c r="AB34" s="111" t="str">
        <v>Q2 2025</v>
      </c>
      <c r="AC34">
        <v>0</v>
      </c>
      <c r="AD34">
        <v>0</v>
      </c>
      <c r="AE34" t="str">
        <v>Ana Damásio</v>
      </c>
      <c r="AF34" t="str">
        <v>Carla Veiga</v>
      </c>
      <c r="AG34" t="str">
        <v>Zestia - New Apartments for Sale in Vilamoura - *Vilamoura</v>
      </c>
      <c r="AH34" t="str">
        <v>Discover Zestia, a residential-touristic development, where prime hospitality meets exclusive luxury in the heart of Vilamoura. This new development redefines elegance only 600 meters from the vibrant Vilamoura Marina.</v>
      </c>
      <c r="AI34" t="str">
        <v>Gym, Spa, Condo Pool, Private Pools, Outdoor Areas, Smart Home Technology, Underground Parking, Reception, Vista Membership</v>
      </c>
      <c r="AJ34"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34" t="str">
        <v>Metrourbe</v>
      </c>
      <c r="AL34" t="str">
        <v>Zestia</v>
      </c>
    </row>
    <row r="35" spans="1:38" x14ac:dyDescent="0.3">
      <c r="A35" s="110" t="str">
        <v>ZESTIA</v>
      </c>
      <c r="B35" s="110" t="str">
        <v>Vilamoura</v>
      </c>
      <c r="C35" s="110" t="str">
        <v>BA</v>
      </c>
      <c r="D35" s="110" t="str">
        <v>Vilamoura, Algarve</v>
      </c>
      <c r="E35" s="110" t="str">
        <v>T2</v>
      </c>
      <c r="F35" s="110">
        <v>138.88</v>
      </c>
      <c r="G35" s="110">
        <v>0</v>
      </c>
      <c r="H35" s="110" t="str">
        <v/>
      </c>
      <c r="I35" s="110" t="str">
        <v/>
      </c>
      <c r="J35" s="110">
        <v>0</v>
      </c>
      <c r="K35" s="110">
        <v>0</v>
      </c>
      <c r="L35" s="110">
        <v>0</v>
      </c>
      <c r="M35" s="110">
        <v>48.41</v>
      </c>
      <c r="N35" s="110">
        <v>0</v>
      </c>
      <c r="O35" s="110">
        <v>90.47</v>
      </c>
      <c r="P35" s="110">
        <v>0</v>
      </c>
      <c r="Q35" s="110" t="str">
        <v>AVAILABLE</v>
      </c>
      <c r="R35" s="110">
        <v>807541.228</v>
      </c>
      <c r="S35" s="110">
        <v>872141.228</v>
      </c>
      <c r="T35" s="110">
        <v>940000</v>
      </c>
      <c r="U35" s="110">
        <v>24600</v>
      </c>
      <c r="V35" s="110">
        <v>40000</v>
      </c>
      <c r="W35" s="110">
        <v>875400</v>
      </c>
      <c r="X35" s="110">
        <v>0</v>
      </c>
      <c r="Y35" s="110">
        <v>940000</v>
      </c>
      <c r="Z35" s="110">
        <v>875400</v>
      </c>
      <c r="AA35" s="110">
        <v>45807</v>
      </c>
      <c r="AB35" s="111" t="str">
        <v>Q2 2025</v>
      </c>
      <c r="AC35">
        <v>0</v>
      </c>
      <c r="AD35">
        <v>0</v>
      </c>
      <c r="AE35" t="str">
        <v>Ana Damásio</v>
      </c>
      <c r="AF35" t="str">
        <v>Carla Veiga</v>
      </c>
      <c r="AG35" t="str">
        <v>Zestia - New Apartments for Sale in Vilamoura - *Vilamoura</v>
      </c>
      <c r="AH35" t="str">
        <v>Discover Zestia, a residential-touristic development, where prime hospitality meets exclusive luxury in the heart of Vilamoura. This new development redefines elegance only 600 meters from the vibrant Vilamoura Marina.</v>
      </c>
      <c r="AI35" t="str">
        <v>Gym, Spa, Condo Pool, Private Pools, Outdoor Areas, Smart Home Technology, Underground Parking, Reception, Vista Membership</v>
      </c>
      <c r="AJ35"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35" t="str">
        <v>Metrourbe</v>
      </c>
      <c r="AL35" t="str">
        <v>Zestia</v>
      </c>
    </row>
    <row r="36" spans="1:38" x14ac:dyDescent="0.3">
      <c r="A36" s="110" t="str">
        <v>ZESTIA</v>
      </c>
      <c r="B36" s="110" t="str">
        <v>Vilamoura</v>
      </c>
      <c r="C36" s="110" t="str">
        <v>BB</v>
      </c>
      <c r="D36" s="110" t="str">
        <v>Vilamoura, Algarve</v>
      </c>
      <c r="E36" s="110" t="str">
        <v>T2 LO</v>
      </c>
      <c r="F36" s="110">
        <v>131.33000000000001</v>
      </c>
      <c r="G36" s="110">
        <v>0</v>
      </c>
      <c r="H36" s="110" t="str">
        <v/>
      </c>
      <c r="I36" s="110" t="str">
        <v/>
      </c>
      <c r="J36" s="110">
        <v>0</v>
      </c>
      <c r="K36" s="110">
        <v>0</v>
      </c>
      <c r="L36" s="110">
        <v>0</v>
      </c>
      <c r="M36" s="110">
        <v>34.020000000000003</v>
      </c>
      <c r="N36" s="110">
        <v>0</v>
      </c>
      <c r="O36" s="110">
        <v>97.31</v>
      </c>
      <c r="P36" s="110">
        <v>0</v>
      </c>
      <c r="Q36" s="110" t="str">
        <v>AVAILABLE</v>
      </c>
      <c r="R36" s="110">
        <v>826897.58559999999</v>
      </c>
      <c r="S36" s="110">
        <v>891497.58559999999</v>
      </c>
      <c r="T36" s="110">
        <v>960000</v>
      </c>
      <c r="U36" s="110">
        <v>24600</v>
      </c>
      <c r="V36" s="110">
        <v>40000</v>
      </c>
      <c r="W36" s="110">
        <v>895400</v>
      </c>
      <c r="X36" s="110">
        <v>0</v>
      </c>
      <c r="Y36" s="110">
        <v>960000</v>
      </c>
      <c r="Z36" s="110">
        <v>895400</v>
      </c>
      <c r="AA36" s="110">
        <v>45807</v>
      </c>
      <c r="AB36" s="111" t="str">
        <v>Q2 2025</v>
      </c>
      <c r="AC36">
        <v>0</v>
      </c>
      <c r="AD36">
        <v>0</v>
      </c>
      <c r="AE36" t="str">
        <v>Ana Damásio</v>
      </c>
      <c r="AF36" t="str">
        <v>Carla Veiga</v>
      </c>
      <c r="AG36" t="str">
        <v>Zestia - New Apartments for Sale in Vilamoura - *Vilamoura</v>
      </c>
      <c r="AH36" t="str">
        <v>Discover Zestia, a residential-touristic development, where prime hospitality meets exclusive luxury in the heart of Vilamoura. This new development redefines elegance only 600 meters from the vibrant Vilamoura Marina.</v>
      </c>
      <c r="AI36" t="str">
        <v>Gym, Spa, Condo Pool, Private Pools, Outdoor Areas, Smart Home Technology, Underground Parking, Reception, Vista Membership</v>
      </c>
      <c r="AJ36"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36" t="str">
        <v>Metrourbe</v>
      </c>
      <c r="AL36" t="str">
        <v>Zestia</v>
      </c>
    </row>
    <row r="37" spans="1:38" x14ac:dyDescent="0.3">
      <c r="A37" s="110" t="str">
        <v>ZESTIA</v>
      </c>
      <c r="B37" s="110" t="str">
        <v>Vilamoura</v>
      </c>
      <c r="C37" s="110" t="str">
        <v>BD</v>
      </c>
      <c r="D37" s="110" t="str">
        <v>Vilamoura, Algarve</v>
      </c>
      <c r="E37" s="110" t="str">
        <v>T2 LO</v>
      </c>
      <c r="F37" s="110">
        <v>121.24</v>
      </c>
      <c r="G37" s="110">
        <v>0</v>
      </c>
      <c r="H37" s="110" t="str">
        <v/>
      </c>
      <c r="I37" s="110" t="str">
        <v/>
      </c>
      <c r="J37" s="110">
        <v>0</v>
      </c>
      <c r="K37" s="110">
        <v>0</v>
      </c>
      <c r="L37" s="110">
        <v>0</v>
      </c>
      <c r="M37" s="110">
        <v>31.74</v>
      </c>
      <c r="N37" s="110">
        <v>0</v>
      </c>
      <c r="O37" s="110">
        <v>89.5</v>
      </c>
      <c r="P37" s="110">
        <v>0</v>
      </c>
      <c r="Q37" s="110" t="str">
        <v>AVAILABLE</v>
      </c>
      <c r="R37" s="110">
        <v>750925.16</v>
      </c>
      <c r="S37" s="110">
        <v>815525.16</v>
      </c>
      <c r="T37" s="110">
        <v>890000</v>
      </c>
      <c r="U37" s="110">
        <v>24600</v>
      </c>
      <c r="V37" s="110">
        <v>40000</v>
      </c>
      <c r="W37" s="110">
        <v>825400</v>
      </c>
      <c r="X37" s="110">
        <v>0</v>
      </c>
      <c r="Y37" s="110">
        <v>890000</v>
      </c>
      <c r="Z37" s="110">
        <v>825400</v>
      </c>
      <c r="AA37" s="110">
        <v>45807</v>
      </c>
      <c r="AB37" s="111" t="str">
        <v>Q2 2025</v>
      </c>
      <c r="AC37">
        <v>0</v>
      </c>
      <c r="AD37">
        <v>0</v>
      </c>
      <c r="AE37" t="str">
        <v>Ana Damásio</v>
      </c>
      <c r="AF37" t="str">
        <v>Carla Veiga</v>
      </c>
      <c r="AG37" t="str">
        <v>Zestia - New Apartments for Sale in Vilamoura - *Vilamoura</v>
      </c>
      <c r="AH37" t="str">
        <v>Discover Zestia, a residential-touristic development, where prime hospitality meets exclusive luxury in the heart of Vilamoura. This new development redefines elegance only 600 meters from the vibrant Vilamoura Marina.</v>
      </c>
      <c r="AI37" t="str">
        <v>Gym, Spa, Condo Pool, Private Pools, Outdoor Areas, Smart Home Technology, Underground Parking, Reception, Vista Membership</v>
      </c>
      <c r="AJ37"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37" t="str">
        <v>Metrourbe</v>
      </c>
      <c r="AL37" t="str">
        <v>Zestia</v>
      </c>
    </row>
    <row r="38" spans="1:38" x14ac:dyDescent="0.3">
      <c r="A38" s="110" t="str">
        <v>ZESTIA</v>
      </c>
      <c r="B38" s="110" t="str">
        <v>Vilamoura</v>
      </c>
      <c r="C38" s="110" t="str">
        <v>BE</v>
      </c>
      <c r="D38" s="110" t="str">
        <v>Vilamoura, Algarve</v>
      </c>
      <c r="E38" s="110" t="str">
        <v>T2 LO</v>
      </c>
      <c r="F38" s="110">
        <v>117.38</v>
      </c>
      <c r="G38" s="110">
        <v>0</v>
      </c>
      <c r="H38" s="110" t="str">
        <v/>
      </c>
      <c r="I38" s="110" t="str">
        <v/>
      </c>
      <c r="J38" s="110">
        <v>0</v>
      </c>
      <c r="K38" s="110">
        <v>0</v>
      </c>
      <c r="L38" s="110">
        <v>0</v>
      </c>
      <c r="M38" s="110">
        <v>28.5</v>
      </c>
      <c r="N38" s="110">
        <v>0</v>
      </c>
      <c r="O38" s="110">
        <v>88.88</v>
      </c>
      <c r="P38" s="110">
        <v>0</v>
      </c>
      <c r="Q38" s="110" t="str">
        <v>AVAILABLE</v>
      </c>
      <c r="R38" s="110">
        <v>741583.81440000003</v>
      </c>
      <c r="S38" s="110">
        <v>806183.81440000003</v>
      </c>
      <c r="T38" s="110">
        <v>890000</v>
      </c>
      <c r="U38" s="110">
        <v>24600</v>
      </c>
      <c r="V38" s="110">
        <v>40000</v>
      </c>
      <c r="W38" s="110">
        <v>825400</v>
      </c>
      <c r="X38" s="110">
        <v>0</v>
      </c>
      <c r="Y38" s="110">
        <v>890000</v>
      </c>
      <c r="Z38" s="110">
        <v>825400</v>
      </c>
      <c r="AA38" s="110">
        <v>45807</v>
      </c>
      <c r="AB38" s="111" t="str">
        <v>Q2 2025</v>
      </c>
      <c r="AC38">
        <v>0</v>
      </c>
      <c r="AD38">
        <v>0</v>
      </c>
      <c r="AE38" t="str">
        <v>Ana Damásio</v>
      </c>
      <c r="AF38" t="str">
        <v>Carla Veiga</v>
      </c>
      <c r="AG38" t="str">
        <v>Zestia - New Apartments for Sale in Vilamoura - *Vilamoura</v>
      </c>
      <c r="AH38" t="str">
        <v>Discover Zestia, a residential-touristic development, where prime hospitality meets exclusive luxury in the heart of Vilamoura. This new development redefines elegance only 600 meters from the vibrant Vilamoura Marina.</v>
      </c>
      <c r="AI38" t="str">
        <v>Gym, Spa, Condo Pool, Private Pools, Outdoor Areas, Smart Home Technology, Underground Parking, Reception, Vista Membership</v>
      </c>
      <c r="AJ38"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38" t="str">
        <v>Metrourbe</v>
      </c>
      <c r="AL38" t="str">
        <v>Zestia</v>
      </c>
    </row>
    <row r="39" spans="1:38" x14ac:dyDescent="0.3">
      <c r="A39" s="110" t="str">
        <v>ZESTIA</v>
      </c>
      <c r="B39" s="110" t="str">
        <v>Vilamoura</v>
      </c>
      <c r="C39" s="110" t="str">
        <v>BF</v>
      </c>
      <c r="D39" s="110" t="str">
        <v>Vilamoura, Algarve</v>
      </c>
      <c r="E39" s="110" t="str">
        <v>T3 LO</v>
      </c>
      <c r="F39" s="110">
        <v>477.84</v>
      </c>
      <c r="G39" s="110">
        <v>0</v>
      </c>
      <c r="H39" s="110" t="str">
        <v/>
      </c>
      <c r="I39" s="110" t="str">
        <v/>
      </c>
      <c r="J39" s="110">
        <v>0</v>
      </c>
      <c r="K39" s="110">
        <v>0</v>
      </c>
      <c r="L39" s="110">
        <v>0</v>
      </c>
      <c r="M39" s="110">
        <v>295.16000000000003</v>
      </c>
      <c r="N39" s="110">
        <v>0</v>
      </c>
      <c r="O39" s="110">
        <v>182.68</v>
      </c>
      <c r="P39" s="110">
        <v>0</v>
      </c>
      <c r="Q39" s="110" t="str">
        <v>AVAILABLE</v>
      </c>
      <c r="R39" s="110">
        <v>2125235.7856000001</v>
      </c>
      <c r="S39" s="110">
        <v>2249835.7856000001</v>
      </c>
      <c r="T39" s="110">
        <v>2380000</v>
      </c>
      <c r="U39" s="110">
        <v>24600</v>
      </c>
      <c r="V39" s="110">
        <v>100000</v>
      </c>
      <c r="W39" s="110">
        <v>2255400</v>
      </c>
      <c r="X39" s="110">
        <v>0</v>
      </c>
      <c r="Y39" s="110">
        <v>2380000</v>
      </c>
      <c r="Z39" s="110">
        <v>2255400</v>
      </c>
      <c r="AA39" s="110">
        <v>45807</v>
      </c>
      <c r="AB39" s="111" t="str">
        <v>Q2 2025</v>
      </c>
      <c r="AC39">
        <v>0</v>
      </c>
      <c r="AD39">
        <v>0</v>
      </c>
      <c r="AE39" t="str">
        <v>Ana Damásio</v>
      </c>
      <c r="AF39" t="str">
        <v>Carla Veiga</v>
      </c>
      <c r="AG39" t="str">
        <v>Zestia - New Apartments for Sale in Vilamoura - *Vilamoura</v>
      </c>
      <c r="AH39" t="str">
        <v>Discover Zestia, a residential-touristic development, where prime hospitality meets exclusive luxury in the heart of Vilamoura. This new development redefines elegance only 600 meters from the vibrant Vilamoura Marina.</v>
      </c>
      <c r="AI39" t="str">
        <v>Gym, Spa, Condo Pool, Private Pools, Outdoor Areas, Smart Home Technology, Underground Parking, Reception, Vista Membership</v>
      </c>
      <c r="AJ39"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39" t="str">
        <v>Metrourbe</v>
      </c>
      <c r="AL39" t="str">
        <v>Zestia</v>
      </c>
    </row>
    <row r="40" spans="1:38" x14ac:dyDescent="0.3">
      <c r="A40" s="110" t="str">
        <v>ZESTIA</v>
      </c>
      <c r="B40" s="110" t="str">
        <v>Vilamoura</v>
      </c>
      <c r="C40" s="110" t="str">
        <v>BG</v>
      </c>
      <c r="D40" s="110" t="str">
        <v>Vilamoura, Algarve</v>
      </c>
      <c r="E40" s="110" t="str">
        <v>T2 LO</v>
      </c>
      <c r="F40" s="110">
        <v>127.58</v>
      </c>
      <c r="G40" s="110">
        <v>0</v>
      </c>
      <c r="H40" s="110" t="str">
        <v/>
      </c>
      <c r="I40" s="110" t="str">
        <v/>
      </c>
      <c r="J40" s="110">
        <v>0</v>
      </c>
      <c r="K40" s="110">
        <v>0</v>
      </c>
      <c r="L40" s="110">
        <v>0</v>
      </c>
      <c r="M40" s="110">
        <v>38.020000000000003</v>
      </c>
      <c r="N40" s="110">
        <v>0</v>
      </c>
      <c r="O40" s="110">
        <v>89.56</v>
      </c>
      <c r="P40" s="110">
        <v>0</v>
      </c>
      <c r="Q40" s="110" t="str">
        <v>AVAILABLE</v>
      </c>
      <c r="R40" s="110">
        <v>765820.94559999998</v>
      </c>
      <c r="S40" s="110">
        <v>830420.94559999998</v>
      </c>
      <c r="T40" s="110">
        <v>900000</v>
      </c>
      <c r="U40" s="110">
        <v>24600</v>
      </c>
      <c r="V40" s="110">
        <v>40000</v>
      </c>
      <c r="W40" s="110">
        <v>835400</v>
      </c>
      <c r="X40" s="110">
        <v>0</v>
      </c>
      <c r="Y40" s="110">
        <v>900000</v>
      </c>
      <c r="Z40" s="110">
        <v>835400</v>
      </c>
      <c r="AA40" s="110">
        <v>45807</v>
      </c>
      <c r="AB40" s="111" t="str">
        <v>Q2 2025</v>
      </c>
      <c r="AC40">
        <v>0</v>
      </c>
      <c r="AD40">
        <v>0</v>
      </c>
      <c r="AE40" t="str">
        <v>Ana Damásio</v>
      </c>
      <c r="AF40" t="str">
        <v>Carla Veiga</v>
      </c>
      <c r="AG40" t="str">
        <v>Zestia - New Apartments for Sale in Vilamoura - *Vilamoura</v>
      </c>
      <c r="AH40" t="str">
        <v>Discover Zestia, a residential-touristic development, where prime hospitality meets exclusive luxury in the heart of Vilamoura. This new development redefines elegance only 600 meters from the vibrant Vilamoura Marina.</v>
      </c>
      <c r="AI40" t="str">
        <v>Gym, Spa, Condo Pool, Private Pools, Outdoor Areas, Smart Home Technology, Underground Parking, Reception, Vista Membership</v>
      </c>
      <c r="AJ40"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40" t="str">
        <v>Metrourbe</v>
      </c>
      <c r="AL40" t="str">
        <v>Zestia</v>
      </c>
    </row>
    <row r="41" spans="1:38" x14ac:dyDescent="0.3">
      <c r="A41" s="110" t="str">
        <v>ZESTIA</v>
      </c>
      <c r="B41" s="110" t="str">
        <v>Vilamoura</v>
      </c>
      <c r="C41" s="110" t="str">
        <v>BH</v>
      </c>
      <c r="D41" s="110" t="str">
        <v>Vilamoura, Algarve</v>
      </c>
      <c r="E41" s="110" t="str">
        <v>T2 LO</v>
      </c>
      <c r="F41" s="110">
        <v>116.75</v>
      </c>
      <c r="G41" s="110">
        <v>0</v>
      </c>
      <c r="H41" s="110" t="str">
        <v/>
      </c>
      <c r="I41" s="110" t="str">
        <v/>
      </c>
      <c r="J41" s="110">
        <v>0</v>
      </c>
      <c r="K41" s="110">
        <v>0</v>
      </c>
      <c r="L41" s="110">
        <v>0</v>
      </c>
      <c r="M41" s="110">
        <v>28.58</v>
      </c>
      <c r="N41" s="110">
        <v>0</v>
      </c>
      <c r="O41" s="110">
        <v>88.17</v>
      </c>
      <c r="P41" s="110">
        <v>0</v>
      </c>
      <c r="Q41" s="110" t="str">
        <v>AVAILABLE</v>
      </c>
      <c r="R41" s="110">
        <v>743066.4192</v>
      </c>
      <c r="S41" s="110">
        <v>807666.4192</v>
      </c>
      <c r="T41" s="110">
        <v>900000</v>
      </c>
      <c r="U41" s="110">
        <v>24600</v>
      </c>
      <c r="V41" s="110">
        <v>40000</v>
      </c>
      <c r="W41" s="110">
        <v>835400</v>
      </c>
      <c r="X41" s="110">
        <v>0</v>
      </c>
      <c r="Y41" s="110">
        <v>900000</v>
      </c>
      <c r="Z41" s="110">
        <v>835400</v>
      </c>
      <c r="AA41" s="110">
        <v>45807</v>
      </c>
      <c r="AB41" s="111" t="str">
        <v>Q2 2025</v>
      </c>
      <c r="AC41">
        <v>0</v>
      </c>
      <c r="AD41">
        <v>0</v>
      </c>
      <c r="AE41" t="str">
        <v>Ana Damásio</v>
      </c>
      <c r="AF41" t="str">
        <v>Carla Veiga</v>
      </c>
      <c r="AG41" t="str">
        <v>Zestia - New Apartments for Sale in Vilamoura - *Vilamoura</v>
      </c>
      <c r="AH41" t="str">
        <v>Discover Zestia, a residential-touristic development, where prime hospitality meets exclusive luxury in the heart of Vilamoura. This new development redefines elegance only 600 meters from the vibrant Vilamoura Marina.</v>
      </c>
      <c r="AI41" t="str">
        <v>Gym, Spa, Condo Pool, Private Pools, Outdoor Areas, Smart Home Technology, Underground Parking, Reception, Vista Membership</v>
      </c>
      <c r="AJ41"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41" t="str">
        <v>Metrourbe</v>
      </c>
      <c r="AL41" t="str">
        <v>Zestia</v>
      </c>
    </row>
    <row r="42" spans="1:38" x14ac:dyDescent="0.3">
      <c r="A42" s="110" t="str">
        <v>ZESTIA</v>
      </c>
      <c r="B42" s="110" t="str">
        <v>Vilamoura</v>
      </c>
      <c r="C42" s="110" t="str">
        <v>BI</v>
      </c>
      <c r="D42" s="110" t="str">
        <v>Vilamoura, Algarve</v>
      </c>
      <c r="E42" s="110" t="str">
        <v>T2</v>
      </c>
      <c r="F42" s="110">
        <v>259.44</v>
      </c>
      <c r="G42" s="110">
        <v>0</v>
      </c>
      <c r="H42" s="110" t="str">
        <v/>
      </c>
      <c r="I42" s="110" t="str">
        <v/>
      </c>
      <c r="J42" s="110">
        <v>0</v>
      </c>
      <c r="K42" s="110">
        <v>0</v>
      </c>
      <c r="L42" s="110">
        <v>0</v>
      </c>
      <c r="M42" s="110">
        <v>164.51</v>
      </c>
      <c r="N42" s="110">
        <v>0</v>
      </c>
      <c r="O42" s="110">
        <v>94.93</v>
      </c>
      <c r="P42" s="110">
        <v>0</v>
      </c>
      <c r="Q42" s="110" t="str">
        <v>AVAILABLE</v>
      </c>
      <c r="R42" s="110">
        <v>990538.43360000011</v>
      </c>
      <c r="S42" s="110">
        <v>1065138.4336000001</v>
      </c>
      <c r="T42" s="110">
        <v>1170000</v>
      </c>
      <c r="U42" s="110">
        <v>24600</v>
      </c>
      <c r="V42" s="110">
        <v>50000</v>
      </c>
      <c r="W42" s="110">
        <v>1095400</v>
      </c>
      <c r="X42" s="110">
        <v>0</v>
      </c>
      <c r="Y42" s="110">
        <v>1170000</v>
      </c>
      <c r="Z42" s="110">
        <v>1095400</v>
      </c>
      <c r="AA42" s="110">
        <v>45807</v>
      </c>
      <c r="AB42" s="111" t="str">
        <v>Q2 2025</v>
      </c>
      <c r="AC42">
        <v>0</v>
      </c>
      <c r="AD42">
        <v>0</v>
      </c>
      <c r="AE42" t="str">
        <v>Ana Damásio</v>
      </c>
      <c r="AF42" t="str">
        <v>Carla Veiga</v>
      </c>
      <c r="AG42" t="str">
        <v>Zestia - New Apartments for Sale in Vilamoura - *Vilamoura</v>
      </c>
      <c r="AH42" t="str">
        <v>Discover Zestia, a residential-touristic development, where prime hospitality meets exclusive luxury in the heart of Vilamoura. This new development redefines elegance only 600 meters from the vibrant Vilamoura Marina.</v>
      </c>
      <c r="AI42" t="str">
        <v>Gym, Spa, Condo Pool, Private Pools, Outdoor Areas, Smart Home Technology, Underground Parking, Reception, Vista Membership</v>
      </c>
      <c r="AJ42"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42" t="str">
        <v>Metrourbe</v>
      </c>
      <c r="AL42" t="str">
        <v>Zestia</v>
      </c>
    </row>
    <row r="43" spans="1:38" x14ac:dyDescent="0.3">
      <c r="A43" s="110" t="str">
        <v>ZESTIA</v>
      </c>
      <c r="B43" s="110" t="str">
        <v>Vilamoura</v>
      </c>
      <c r="C43" s="110" t="str">
        <v>BJ</v>
      </c>
      <c r="D43" s="110" t="str">
        <v>Vilamoura, Algarve</v>
      </c>
      <c r="E43" s="110" t="str">
        <v>T2</v>
      </c>
      <c r="F43" s="110">
        <v>274.99</v>
      </c>
      <c r="G43" s="110">
        <v>0</v>
      </c>
      <c r="H43" s="110" t="str">
        <v/>
      </c>
      <c r="I43" s="110" t="str">
        <v/>
      </c>
      <c r="J43" s="110">
        <v>0</v>
      </c>
      <c r="K43" s="110">
        <v>0</v>
      </c>
      <c r="L43" s="110">
        <v>0</v>
      </c>
      <c r="M43" s="110">
        <v>180.36</v>
      </c>
      <c r="N43" s="110">
        <v>0</v>
      </c>
      <c r="O43" s="110">
        <v>94.63</v>
      </c>
      <c r="P43" s="110">
        <v>0</v>
      </c>
      <c r="Q43" s="110" t="str">
        <v>AVAILABLE</v>
      </c>
      <c r="R43" s="110">
        <v>999681.57759999996</v>
      </c>
      <c r="S43" s="110">
        <v>1074281.5776</v>
      </c>
      <c r="T43" s="110">
        <v>1190000</v>
      </c>
      <c r="U43" s="110">
        <v>24600</v>
      </c>
      <c r="V43" s="110">
        <v>50000</v>
      </c>
      <c r="W43" s="110">
        <v>1115400</v>
      </c>
      <c r="X43" s="110">
        <v>0</v>
      </c>
      <c r="Y43" s="110">
        <v>1190000</v>
      </c>
      <c r="Z43" s="110">
        <v>1115400</v>
      </c>
      <c r="AA43" s="110">
        <v>45807</v>
      </c>
      <c r="AB43" s="111" t="str">
        <v>Q2 2025</v>
      </c>
      <c r="AC43">
        <v>0</v>
      </c>
      <c r="AD43">
        <v>0</v>
      </c>
      <c r="AE43" t="str">
        <v>Ana Damásio</v>
      </c>
      <c r="AF43" t="str">
        <v>Carla Veiga</v>
      </c>
      <c r="AG43" t="str">
        <v>Zestia - New Apartments for Sale in Vilamoura - *Vilamoura</v>
      </c>
      <c r="AH43" t="str">
        <v>Discover Zestia, a residential-touristic development, where prime hospitality meets exclusive luxury in the heart of Vilamoura. This new development redefines elegance only 600 meters from the vibrant Vilamoura Marina.</v>
      </c>
      <c r="AI43" t="str">
        <v>Gym, Spa, Condo Pool, Private Pools, Outdoor Areas, Smart Home Technology, Underground Parking, Reception, Vista Membership</v>
      </c>
      <c r="AJ43"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43" t="str">
        <v>Metrourbe</v>
      </c>
      <c r="AL43" t="str">
        <v>Zestia</v>
      </c>
    </row>
    <row r="44" spans="1:38" x14ac:dyDescent="0.3">
      <c r="A44" s="110" t="str">
        <v>ZESTIA</v>
      </c>
      <c r="B44" s="110" t="str">
        <v>Vilamoura</v>
      </c>
      <c r="C44" s="110" t="str">
        <v>C</v>
      </c>
      <c r="D44" s="110" t="str">
        <v>Vilamoura, Algarve</v>
      </c>
      <c r="E44" s="110" t="str">
        <v>T2</v>
      </c>
      <c r="F44" s="110">
        <v>117.29</v>
      </c>
      <c r="G44" s="110">
        <v>0</v>
      </c>
      <c r="H44" s="110" t="str">
        <v/>
      </c>
      <c r="I44" s="110" t="str">
        <v/>
      </c>
      <c r="J44" s="110">
        <v>28.25</v>
      </c>
      <c r="K44" s="110">
        <v>0</v>
      </c>
      <c r="L44" s="110">
        <v>0</v>
      </c>
      <c r="M44" s="110">
        <v>0</v>
      </c>
      <c r="N44" s="110">
        <v>0</v>
      </c>
      <c r="O44" s="110">
        <v>89.04</v>
      </c>
      <c r="P44" s="110">
        <v>0</v>
      </c>
      <c r="Q44" s="110" t="str">
        <v>AVAILABLE</v>
      </c>
      <c r="R44" s="110">
        <v>662694.96</v>
      </c>
      <c r="S44" s="110">
        <v>727294.96</v>
      </c>
      <c r="T44" s="110">
        <v>790000</v>
      </c>
      <c r="U44" s="110">
        <v>24600</v>
      </c>
      <c r="V44" s="110">
        <v>40000</v>
      </c>
      <c r="W44" s="110">
        <v>725400</v>
      </c>
      <c r="X44" s="110">
        <v>0</v>
      </c>
      <c r="Y44" s="110">
        <v>790000</v>
      </c>
      <c r="Z44" s="110">
        <v>725400</v>
      </c>
      <c r="AA44" s="110">
        <v>45807</v>
      </c>
      <c r="AB44" s="111" t="str">
        <v>Q2 2025</v>
      </c>
      <c r="AC44">
        <v>0</v>
      </c>
      <c r="AD44">
        <v>0</v>
      </c>
      <c r="AE44" t="str">
        <v>Ana Damásio</v>
      </c>
      <c r="AF44" t="str">
        <v>Carla Veiga</v>
      </c>
      <c r="AG44" t="str">
        <v>Zestia - New Apartments for Sale in Vilamoura - *Vilamoura</v>
      </c>
      <c r="AH44" t="str">
        <v>Discover Zestia, a residential-touristic development, where prime hospitality meets exclusive luxury in the heart of Vilamoura. This new development redefines elegance only 600 meters from the vibrant Vilamoura Marina.</v>
      </c>
      <c r="AI44" t="str">
        <v>Gym, Spa, Condo Pool, Private Pools, Outdoor Areas, Smart Home Technology, Underground Parking, Reception, Vista Membership</v>
      </c>
      <c r="AJ44"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44" t="str">
        <v>Metrourbe</v>
      </c>
      <c r="AL44" t="str">
        <v>Zestia</v>
      </c>
    </row>
    <row r="45" spans="1:38" x14ac:dyDescent="0.3">
      <c r="A45" s="110" t="str">
        <v>ZESTIA</v>
      </c>
      <c r="B45" s="110" t="str">
        <v>Vilamoura</v>
      </c>
      <c r="C45" s="110" t="str">
        <v>D</v>
      </c>
      <c r="D45" s="110" t="str">
        <v>Vilamoura, Algarve</v>
      </c>
      <c r="E45" s="110" t="str">
        <v>T2 LO</v>
      </c>
      <c r="F45" s="110">
        <v>118.14</v>
      </c>
      <c r="G45" s="110">
        <v>0</v>
      </c>
      <c r="H45" s="110" t="str">
        <v/>
      </c>
      <c r="I45" s="110" t="str">
        <v/>
      </c>
      <c r="J45" s="110">
        <v>28.84</v>
      </c>
      <c r="K45" s="110">
        <v>0</v>
      </c>
      <c r="L45" s="110">
        <v>0</v>
      </c>
      <c r="M45" s="110">
        <v>0</v>
      </c>
      <c r="N45" s="110">
        <v>0</v>
      </c>
      <c r="O45" s="110">
        <v>89.3</v>
      </c>
      <c r="P45" s="110">
        <v>0</v>
      </c>
      <c r="Q45" s="110" t="str">
        <v>AVAILABLE</v>
      </c>
      <c r="R45" s="110">
        <v>665511.4</v>
      </c>
      <c r="S45" s="110">
        <v>730111.4</v>
      </c>
      <c r="T45" s="110">
        <v>790000</v>
      </c>
      <c r="U45" s="110">
        <v>24600</v>
      </c>
      <c r="V45" s="110">
        <v>40000</v>
      </c>
      <c r="W45" s="110">
        <v>725400</v>
      </c>
      <c r="X45" s="110">
        <v>0</v>
      </c>
      <c r="Y45" s="110">
        <v>790000</v>
      </c>
      <c r="Z45" s="110">
        <v>725400</v>
      </c>
      <c r="AA45" s="110">
        <v>45807</v>
      </c>
      <c r="AB45" s="111" t="str">
        <v>Q2 2025</v>
      </c>
      <c r="AC45">
        <v>0</v>
      </c>
      <c r="AD45">
        <v>0</v>
      </c>
      <c r="AE45" t="str">
        <v>Ana Damásio</v>
      </c>
      <c r="AF45" t="str">
        <v>Carla Veiga</v>
      </c>
      <c r="AG45" t="str">
        <v>Zestia - New Apartments for Sale in Vilamoura - *Vilamoura</v>
      </c>
      <c r="AH45" t="str">
        <v>Discover Zestia, a residential-touristic development, where prime hospitality meets exclusive luxury in the heart of Vilamoura. This new development redefines elegance only 600 meters from the vibrant Vilamoura Marina.</v>
      </c>
      <c r="AI45" t="str">
        <v>Gym, Spa, Condo Pool, Private Pools, Outdoor Areas, Smart Home Technology, Underground Parking, Reception, Vista Membership</v>
      </c>
      <c r="AJ45"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45" t="str">
        <v>Metrourbe</v>
      </c>
      <c r="AL45" t="str">
        <v>Zestia</v>
      </c>
    </row>
    <row r="46" spans="1:38" x14ac:dyDescent="0.3">
      <c r="A46" s="110" t="str">
        <v>ZESTIA</v>
      </c>
      <c r="B46" s="110" t="str">
        <v>Vilamoura</v>
      </c>
      <c r="C46" s="110" t="str">
        <v>E</v>
      </c>
      <c r="D46" s="110" t="str">
        <v>Vilamoura, Algarve</v>
      </c>
      <c r="E46" s="110" t="str">
        <v>T1 +</v>
      </c>
      <c r="F46" s="110">
        <v>97.59</v>
      </c>
      <c r="G46" s="110">
        <v>0</v>
      </c>
      <c r="H46" s="110" t="str">
        <v/>
      </c>
      <c r="I46" s="110" t="str">
        <v/>
      </c>
      <c r="J46" s="110">
        <v>26.18</v>
      </c>
      <c r="K46" s="110">
        <v>0</v>
      </c>
      <c r="L46" s="110">
        <v>0</v>
      </c>
      <c r="M46" s="110">
        <v>0</v>
      </c>
      <c r="N46" s="110">
        <v>0</v>
      </c>
      <c r="O46" s="110">
        <v>71.41</v>
      </c>
      <c r="P46" s="110">
        <v>0</v>
      </c>
      <c r="Q46" s="110" t="str">
        <v>AVAILABLE</v>
      </c>
      <c r="R46" s="110">
        <v>572676.78500000003</v>
      </c>
      <c r="S46" s="110">
        <v>627276.78500000003</v>
      </c>
      <c r="T46" s="110">
        <v>680000</v>
      </c>
      <c r="U46" s="110">
        <v>24600</v>
      </c>
      <c r="V46" s="110">
        <v>30000</v>
      </c>
      <c r="W46" s="110">
        <v>625400</v>
      </c>
      <c r="X46" s="110">
        <v>0</v>
      </c>
      <c r="Y46" s="110">
        <v>680000</v>
      </c>
      <c r="Z46" s="110">
        <v>625400</v>
      </c>
      <c r="AA46" s="110">
        <v>45807</v>
      </c>
      <c r="AB46" s="111" t="str">
        <v>Q2 2025</v>
      </c>
      <c r="AC46">
        <v>0</v>
      </c>
      <c r="AD46">
        <v>0</v>
      </c>
      <c r="AE46" t="str">
        <v>Ana Damásio</v>
      </c>
      <c r="AF46" t="str">
        <v>Carla Veiga</v>
      </c>
      <c r="AG46" t="str">
        <v>Zestia - New Apartments for Sale in Vilamoura - *Vilamoura</v>
      </c>
      <c r="AH46" t="str">
        <v>Discover Zestia, a residential-touristic development, where prime hospitality meets exclusive luxury in the heart of Vilamoura. This new development redefines elegance only 600 meters from the vibrant Vilamoura Marina.</v>
      </c>
      <c r="AI46" t="str">
        <v>Gym, Spa, Condo Pool, Private Pools, Outdoor Areas, Smart Home Technology, Underground Parking, Reception, Vista Membership</v>
      </c>
      <c r="AJ46"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46" t="str">
        <v>Metrourbe</v>
      </c>
      <c r="AL46" t="str">
        <v>Zestia</v>
      </c>
    </row>
    <row r="47" spans="1:38" x14ac:dyDescent="0.3">
      <c r="A47" s="110" t="str">
        <v>ZESTIA</v>
      </c>
      <c r="B47" s="110" t="str">
        <v>Vilamoura</v>
      </c>
      <c r="C47" s="110" t="str">
        <v>F</v>
      </c>
      <c r="D47" s="110" t="str">
        <v>Vilamoura, Algarve</v>
      </c>
      <c r="E47" s="110" t="str">
        <v>T2 +</v>
      </c>
      <c r="F47" s="110">
        <v>166.6</v>
      </c>
      <c r="G47" s="110">
        <v>0</v>
      </c>
      <c r="H47" s="110" t="str">
        <v/>
      </c>
      <c r="I47" s="110" t="str">
        <v/>
      </c>
      <c r="J47" s="110">
        <v>51.68</v>
      </c>
      <c r="K47" s="110">
        <v>0</v>
      </c>
      <c r="L47" s="110">
        <v>0</v>
      </c>
      <c r="M47" s="110">
        <v>0</v>
      </c>
      <c r="N47" s="110">
        <v>0</v>
      </c>
      <c r="O47" s="110">
        <v>114.92</v>
      </c>
      <c r="P47" s="110">
        <v>0</v>
      </c>
      <c r="Q47" s="110" t="str">
        <v>AVAILABLE</v>
      </c>
      <c r="R47" s="110">
        <v>985565.96</v>
      </c>
      <c r="S47" s="110">
        <v>1060165.96</v>
      </c>
      <c r="T47" s="110">
        <v>1100000</v>
      </c>
      <c r="U47" s="110">
        <v>24600</v>
      </c>
      <c r="V47" s="110">
        <v>50000</v>
      </c>
      <c r="W47" s="110">
        <v>1025400</v>
      </c>
      <c r="X47" s="110">
        <v>0</v>
      </c>
      <c r="Y47" s="110">
        <v>1100000</v>
      </c>
      <c r="Z47" s="110">
        <v>1025400</v>
      </c>
      <c r="AA47" s="110">
        <v>45807</v>
      </c>
      <c r="AB47" s="111" t="str">
        <v>Q2 2025</v>
      </c>
      <c r="AC47">
        <v>0</v>
      </c>
      <c r="AD47">
        <v>0</v>
      </c>
      <c r="AE47" t="str">
        <v>Ana Damásio</v>
      </c>
      <c r="AF47" t="str">
        <v>Carla Veiga</v>
      </c>
      <c r="AG47" t="str">
        <v>Zestia - New Apartments for Sale in Vilamoura - *Vilamoura</v>
      </c>
      <c r="AH47" t="str">
        <v>Discover Zestia, a residential-touristic development, where prime hospitality meets exclusive luxury in the heart of Vilamoura. This new development redefines elegance only 600 meters from the vibrant Vilamoura Marina.</v>
      </c>
      <c r="AI47" t="str">
        <v>Gym, Spa, Condo Pool, Private Pools, Outdoor Areas, Smart Home Technology, Underground Parking, Reception, Vista Membership</v>
      </c>
      <c r="AJ47"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47" t="str">
        <v>Metrourbe</v>
      </c>
      <c r="AL47" t="str">
        <v>Zestia</v>
      </c>
    </row>
    <row r="48" spans="1:38" x14ac:dyDescent="0.3">
      <c r="A48" s="110" t="str">
        <v>ZESTIA</v>
      </c>
      <c r="B48" s="110" t="str">
        <v>Vilamoura</v>
      </c>
      <c r="C48" s="110" t="str">
        <v>G</v>
      </c>
      <c r="D48" s="110" t="str">
        <v>Vilamoura, Algarve</v>
      </c>
      <c r="E48" s="110" t="str">
        <v>T1</v>
      </c>
      <c r="F48" s="110">
        <v>97.45</v>
      </c>
      <c r="G48" s="110">
        <v>0</v>
      </c>
      <c r="H48" s="110" t="str">
        <v/>
      </c>
      <c r="I48" s="110" t="str">
        <v/>
      </c>
      <c r="J48" s="110">
        <v>34.520000000000003</v>
      </c>
      <c r="K48" s="110">
        <v>0</v>
      </c>
      <c r="L48" s="110">
        <v>0</v>
      </c>
      <c r="M48" s="110">
        <v>0</v>
      </c>
      <c r="N48" s="110">
        <v>0</v>
      </c>
      <c r="O48" s="110">
        <v>62.93</v>
      </c>
      <c r="P48" s="110">
        <v>0</v>
      </c>
      <c r="Q48" s="110" t="str">
        <v>AVAILABLE</v>
      </c>
      <c r="R48" s="110">
        <v>521702.81000000006</v>
      </c>
      <c r="S48" s="110">
        <v>576302.81000000006</v>
      </c>
      <c r="T48" s="110">
        <v>630000</v>
      </c>
      <c r="U48" s="110">
        <v>24600</v>
      </c>
      <c r="V48" s="110">
        <v>30000</v>
      </c>
      <c r="W48" s="110">
        <v>575400</v>
      </c>
      <c r="X48" s="110">
        <v>0</v>
      </c>
      <c r="Y48" s="110">
        <v>630000</v>
      </c>
      <c r="Z48" s="110">
        <v>575400</v>
      </c>
      <c r="AA48" s="110">
        <v>45807</v>
      </c>
      <c r="AB48" s="111" t="str">
        <v>Q2 2025</v>
      </c>
      <c r="AC48">
        <v>0</v>
      </c>
      <c r="AD48">
        <v>0</v>
      </c>
      <c r="AE48" t="str">
        <v>Ana Damásio</v>
      </c>
      <c r="AF48" t="str">
        <v>Carla Veiga</v>
      </c>
      <c r="AG48" t="str">
        <v>Zestia - New Apartments for Sale in Vilamoura - *Vilamoura</v>
      </c>
      <c r="AH48" t="str">
        <v>Discover Zestia, a residential-touristic development, where prime hospitality meets exclusive luxury in the heart of Vilamoura. This new development redefines elegance only 600 meters from the vibrant Vilamoura Marina.</v>
      </c>
      <c r="AI48" t="str">
        <v>Gym, Spa, Condo Pool, Private Pools, Outdoor Areas, Smart Home Technology, Underground Parking, Reception, Vista Membership</v>
      </c>
      <c r="AJ48"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48" t="str">
        <v>Metrourbe</v>
      </c>
      <c r="AL48" t="str">
        <v>Zestia</v>
      </c>
    </row>
    <row r="49" spans="1:38" x14ac:dyDescent="0.3">
      <c r="A49" t="str">
        <v>ZESTIA</v>
      </c>
      <c r="B49" t="str">
        <v>Vilamoura</v>
      </c>
      <c r="C49" t="str">
        <v>H</v>
      </c>
      <c r="D49" t="str">
        <v>Vilamoura, Algarve</v>
      </c>
      <c r="E49" t="str">
        <v>T1</v>
      </c>
      <c r="F49">
        <v>83.62</v>
      </c>
      <c r="G49">
        <v>0</v>
      </c>
      <c r="H49" t="str">
        <v/>
      </c>
      <c r="I49" t="str">
        <v/>
      </c>
      <c r="J49">
        <v>25.6</v>
      </c>
      <c r="K49">
        <v>0</v>
      </c>
      <c r="L49">
        <v>0</v>
      </c>
      <c r="M49" s="79">
        <v>0</v>
      </c>
      <c r="N49">
        <v>0</v>
      </c>
      <c r="O49">
        <v>58.02</v>
      </c>
      <c r="P49">
        <v>0</v>
      </c>
      <c r="Q49" t="str">
        <v>AVAILABLE</v>
      </c>
      <c r="R49">
        <v>470158.14</v>
      </c>
      <c r="S49">
        <v>524758.14</v>
      </c>
      <c r="T49">
        <v>560000</v>
      </c>
      <c r="U49">
        <v>24600</v>
      </c>
      <c r="V49">
        <v>30000</v>
      </c>
      <c r="W49">
        <v>505400</v>
      </c>
      <c r="X49">
        <v>0</v>
      </c>
      <c r="Y49">
        <v>560000</v>
      </c>
      <c r="Z49">
        <v>505400</v>
      </c>
      <c r="AA49">
        <v>45807</v>
      </c>
      <c r="AB49" t="str">
        <v>Q2 2025</v>
      </c>
      <c r="AC49">
        <v>0</v>
      </c>
      <c r="AD49">
        <v>0</v>
      </c>
      <c r="AE49" t="str">
        <v>Ana Damásio</v>
      </c>
      <c r="AF49" t="str">
        <v>Carla Veiga</v>
      </c>
      <c r="AG49" t="str">
        <v>Zestia - New Apartments for Sale in Vilamoura - *Vilamoura</v>
      </c>
      <c r="AH49" t="str">
        <v>Discover Zestia, a residential-touristic development, where prime hospitality meets exclusive luxury in the heart of Vilamoura. This new development redefines elegance only 600 meters from the vibrant Vilamoura Marina.</v>
      </c>
      <c r="AI49" t="str">
        <v>Gym, Spa, Condo Pool, Private Pools, Outdoor Areas, Smart Home Technology, Underground Parking, Reception, Vista Membership</v>
      </c>
      <c r="AJ49"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49" t="str">
        <v>Metrourbe</v>
      </c>
      <c r="AL49" t="str">
        <v>Zestia</v>
      </c>
    </row>
    <row r="50" spans="1:38" x14ac:dyDescent="0.3">
      <c r="A50" t="str">
        <v>ZESTIA</v>
      </c>
      <c r="B50" t="str">
        <v>Vilamoura</v>
      </c>
      <c r="C50" t="str">
        <v>I</v>
      </c>
      <c r="D50" t="str">
        <v>Vilamoura, Algarve</v>
      </c>
      <c r="E50" t="str">
        <v>T2</v>
      </c>
      <c r="F50">
        <v>145.47</v>
      </c>
      <c r="G50">
        <v>0</v>
      </c>
      <c r="H50" t="str">
        <v/>
      </c>
      <c r="I50" t="str">
        <v/>
      </c>
      <c r="J50">
        <v>54.84</v>
      </c>
      <c r="K50">
        <v>0</v>
      </c>
      <c r="L50">
        <v>0</v>
      </c>
      <c r="M50" s="79">
        <v>0</v>
      </c>
      <c r="N50">
        <v>0</v>
      </c>
      <c r="O50">
        <v>90.63</v>
      </c>
      <c r="P50">
        <v>0</v>
      </c>
      <c r="Q50" t="str">
        <v>AVAILABLE</v>
      </c>
      <c r="R50">
        <v>731567.5</v>
      </c>
      <c r="S50">
        <v>796167.5</v>
      </c>
      <c r="T50">
        <v>870000</v>
      </c>
      <c r="U50">
        <v>24600</v>
      </c>
      <c r="V50">
        <v>40000</v>
      </c>
      <c r="W50">
        <v>805400</v>
      </c>
      <c r="X50">
        <v>0</v>
      </c>
      <c r="Y50">
        <v>870000</v>
      </c>
      <c r="Z50">
        <v>805400</v>
      </c>
      <c r="AA50">
        <v>45807</v>
      </c>
      <c r="AB50" t="str">
        <v>Q2 2025</v>
      </c>
      <c r="AC50">
        <v>0</v>
      </c>
      <c r="AD50">
        <v>0</v>
      </c>
      <c r="AE50" t="str">
        <v>Ana Damásio</v>
      </c>
      <c r="AF50" t="str">
        <v>Carla Veiga</v>
      </c>
      <c r="AG50" t="str">
        <v>Zestia - New Apartments for Sale in Vilamoura - *Vilamoura</v>
      </c>
      <c r="AH50" t="str">
        <v>Discover Zestia, a residential-touristic development, where prime hospitality meets exclusive luxury in the heart of Vilamoura. This new development redefines elegance only 600 meters from the vibrant Vilamoura Marina.</v>
      </c>
      <c r="AI50" t="str">
        <v>Gym, Spa, Condo Pool, Private Pools, Outdoor Areas, Smart Home Technology, Underground Parking, Reception, Vista Membership</v>
      </c>
      <c r="AJ50"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50" t="str">
        <v>Metrourbe</v>
      </c>
      <c r="AL50" t="str">
        <v>Zestia</v>
      </c>
    </row>
    <row r="51" spans="1:38" x14ac:dyDescent="0.3">
      <c r="A51" t="str">
        <v>ZESTIA</v>
      </c>
      <c r="B51" t="str">
        <v>Vilamoura</v>
      </c>
      <c r="C51" t="str">
        <v>J</v>
      </c>
      <c r="D51" t="str">
        <v>Vilamoura, Algarve</v>
      </c>
      <c r="E51" t="str">
        <v>T2 LO</v>
      </c>
      <c r="F51">
        <v>127.24</v>
      </c>
      <c r="G51">
        <v>0</v>
      </c>
      <c r="H51" t="str">
        <v/>
      </c>
      <c r="I51" t="str">
        <v/>
      </c>
      <c r="J51">
        <v>29.68</v>
      </c>
      <c r="K51">
        <v>0</v>
      </c>
      <c r="L51">
        <v>0</v>
      </c>
      <c r="M51" s="79">
        <v>0</v>
      </c>
      <c r="N51">
        <v>0</v>
      </c>
      <c r="O51">
        <v>97.56</v>
      </c>
      <c r="P51">
        <v>0</v>
      </c>
      <c r="Q51" t="str">
        <v>AVAILABLE</v>
      </c>
      <c r="R51">
        <v>735709.28</v>
      </c>
      <c r="S51">
        <v>800309.28</v>
      </c>
      <c r="T51">
        <v>850000</v>
      </c>
      <c r="U51">
        <v>24600</v>
      </c>
      <c r="V51">
        <v>40000</v>
      </c>
      <c r="W51">
        <v>785400</v>
      </c>
      <c r="X51">
        <v>0</v>
      </c>
      <c r="Y51">
        <v>850000</v>
      </c>
      <c r="Z51">
        <v>785400</v>
      </c>
      <c r="AA51">
        <v>45807</v>
      </c>
      <c r="AB51" t="str">
        <v>Q2 2025</v>
      </c>
      <c r="AC51">
        <v>0</v>
      </c>
      <c r="AD51">
        <v>0</v>
      </c>
      <c r="AE51" t="str">
        <v>Ana Damásio</v>
      </c>
      <c r="AF51" t="str">
        <v>Carla Veiga</v>
      </c>
      <c r="AG51" t="str">
        <v>Zestia - New Apartments for Sale in Vilamoura - *Vilamoura</v>
      </c>
      <c r="AH51" t="str">
        <v>Discover Zestia, a residential-touristic development, where prime hospitality meets exclusive luxury in the heart of Vilamoura. This new development redefines elegance only 600 meters from the vibrant Vilamoura Marina.</v>
      </c>
      <c r="AI51" t="str">
        <v>Gym, Spa, Condo Pool, Private Pools, Outdoor Areas, Smart Home Technology, Underground Parking, Reception, Vista Membership</v>
      </c>
      <c r="AJ51"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51" t="str">
        <v>Metrourbe</v>
      </c>
      <c r="AL51" t="str">
        <v>Zestia</v>
      </c>
    </row>
    <row r="52" spans="1:38" x14ac:dyDescent="0.3">
      <c r="A52" t="str">
        <v>ZESTIA</v>
      </c>
      <c r="B52" t="str">
        <v>Vilamoura</v>
      </c>
      <c r="C52" t="str">
        <v>K</v>
      </c>
      <c r="D52" t="str">
        <v>Vilamoura, Algarve</v>
      </c>
      <c r="E52" t="str">
        <v>T2</v>
      </c>
      <c r="F52">
        <v>117.28</v>
      </c>
      <c r="G52">
        <v>0</v>
      </c>
      <c r="H52" t="str">
        <v/>
      </c>
      <c r="I52" t="str">
        <v/>
      </c>
      <c r="J52">
        <v>28.67</v>
      </c>
      <c r="K52">
        <v>0</v>
      </c>
      <c r="L52">
        <v>0</v>
      </c>
      <c r="M52" s="79">
        <v>0</v>
      </c>
      <c r="N52">
        <v>0</v>
      </c>
      <c r="O52">
        <v>88.61</v>
      </c>
      <c r="P52">
        <v>0</v>
      </c>
      <c r="Q52" t="str">
        <v>AVAILABLE</v>
      </c>
      <c r="R52">
        <v>666659.88</v>
      </c>
      <c r="S52">
        <v>731259.88</v>
      </c>
      <c r="T52">
        <v>800000</v>
      </c>
      <c r="U52">
        <v>24600</v>
      </c>
      <c r="V52">
        <v>40000</v>
      </c>
      <c r="W52">
        <v>735400</v>
      </c>
      <c r="X52">
        <v>0</v>
      </c>
      <c r="Y52">
        <v>800000</v>
      </c>
      <c r="Z52">
        <v>735400</v>
      </c>
      <c r="AA52">
        <v>45807</v>
      </c>
      <c r="AB52" t="str">
        <v>Q2 2025</v>
      </c>
      <c r="AC52">
        <v>0</v>
      </c>
      <c r="AD52">
        <v>0</v>
      </c>
      <c r="AE52" t="str">
        <v>Ana Damásio</v>
      </c>
      <c r="AF52" t="str">
        <v>Carla Veiga</v>
      </c>
      <c r="AG52" t="str">
        <v>Zestia - New Apartments for Sale in Vilamoura - *Vilamoura</v>
      </c>
      <c r="AH52" t="str">
        <v>Discover Zestia, a residential-touristic development, where prime hospitality meets exclusive luxury in the heart of Vilamoura. This new development redefines elegance only 600 meters from the vibrant Vilamoura Marina.</v>
      </c>
      <c r="AI52" t="str">
        <v>Gym, Spa, Condo Pool, Private Pools, Outdoor Areas, Smart Home Technology, Underground Parking, Reception, Vista Membership</v>
      </c>
      <c r="AJ52"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52" t="str">
        <v>Metrourbe</v>
      </c>
      <c r="AL52" t="str">
        <v>Zestia</v>
      </c>
    </row>
    <row r="53" spans="1:38" x14ac:dyDescent="0.3">
      <c r="A53" t="str">
        <v>ZESTIA</v>
      </c>
      <c r="B53" t="str">
        <v>Vilamoura</v>
      </c>
      <c r="C53" t="str">
        <v>L</v>
      </c>
      <c r="D53" t="str">
        <v>Vilamoura, Algarve</v>
      </c>
      <c r="E53" t="str">
        <v>T2 +</v>
      </c>
      <c r="F53">
        <v>165</v>
      </c>
      <c r="G53">
        <v>0</v>
      </c>
      <c r="H53" t="str">
        <v/>
      </c>
      <c r="I53" t="str">
        <v/>
      </c>
      <c r="J53">
        <v>51.63</v>
      </c>
      <c r="K53">
        <v>0</v>
      </c>
      <c r="L53">
        <v>0</v>
      </c>
      <c r="M53" s="79">
        <v>0</v>
      </c>
      <c r="N53">
        <v>0</v>
      </c>
      <c r="O53">
        <v>113.37</v>
      </c>
      <c r="P53">
        <v>0</v>
      </c>
      <c r="Q53" t="str">
        <v>AVAILABLE</v>
      </c>
      <c r="R53">
        <v>1010148.8999999999</v>
      </c>
      <c r="S53">
        <v>1084748.8999999999</v>
      </c>
      <c r="T53">
        <v>1110000</v>
      </c>
      <c r="U53">
        <v>24600</v>
      </c>
      <c r="V53">
        <v>50000</v>
      </c>
      <c r="W53">
        <v>1035400</v>
      </c>
      <c r="X53">
        <v>0</v>
      </c>
      <c r="Y53">
        <v>1110000</v>
      </c>
      <c r="Z53">
        <v>1035400</v>
      </c>
      <c r="AA53">
        <v>45807</v>
      </c>
      <c r="AB53" t="str">
        <v>Q2 2025</v>
      </c>
      <c r="AC53">
        <v>0</v>
      </c>
      <c r="AD53">
        <v>0</v>
      </c>
      <c r="AE53" t="str">
        <v>Ana Damásio</v>
      </c>
      <c r="AF53" t="str">
        <v>Carla Veiga</v>
      </c>
      <c r="AG53" t="str">
        <v>Zestia - New Apartments for Sale in Vilamoura - *Vilamoura</v>
      </c>
      <c r="AH53" t="str">
        <v>Discover Zestia, a residential-touristic development, where prime hospitality meets exclusive luxury in the heart of Vilamoura. This new development redefines elegance only 600 meters from the vibrant Vilamoura Marina.</v>
      </c>
      <c r="AI53" t="str">
        <v>Gym, Spa, Condo Pool, Private Pools, Outdoor Areas, Smart Home Technology, Underground Parking, Reception, Vista Membership</v>
      </c>
      <c r="AJ53"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53" t="str">
        <v>Metrourbe</v>
      </c>
      <c r="AL53" t="str">
        <v>Zestia</v>
      </c>
    </row>
    <row r="54" spans="1:38" x14ac:dyDescent="0.3">
      <c r="A54" t="str">
        <v>ZESTIA</v>
      </c>
      <c r="B54" t="str">
        <v>Vilamoura</v>
      </c>
      <c r="C54" t="str">
        <v>M</v>
      </c>
      <c r="D54" t="str">
        <v>Vilamoura, Algarve</v>
      </c>
      <c r="E54" t="str">
        <v>T2 LO</v>
      </c>
      <c r="F54">
        <v>130.21</v>
      </c>
      <c r="G54">
        <v>0</v>
      </c>
      <c r="H54" t="str">
        <v/>
      </c>
      <c r="I54" t="str">
        <v/>
      </c>
      <c r="J54">
        <v>41.51</v>
      </c>
      <c r="K54">
        <v>0</v>
      </c>
      <c r="L54">
        <v>0</v>
      </c>
      <c r="M54" s="79">
        <v>0</v>
      </c>
      <c r="N54">
        <v>0</v>
      </c>
      <c r="O54">
        <v>88.7</v>
      </c>
      <c r="P54">
        <v>0</v>
      </c>
      <c r="Q54" t="str">
        <v>AVAILABLE</v>
      </c>
      <c r="R54">
        <v>675519.9</v>
      </c>
      <c r="S54">
        <v>740119.9</v>
      </c>
      <c r="T54">
        <v>800000</v>
      </c>
      <c r="U54">
        <v>24600</v>
      </c>
      <c r="V54">
        <v>40000</v>
      </c>
      <c r="W54">
        <v>735400</v>
      </c>
      <c r="X54">
        <v>0</v>
      </c>
      <c r="Y54">
        <v>800000</v>
      </c>
      <c r="Z54">
        <v>735400</v>
      </c>
      <c r="AA54">
        <v>45807</v>
      </c>
      <c r="AB54" t="str">
        <v>Q2 2025</v>
      </c>
      <c r="AC54">
        <v>0</v>
      </c>
      <c r="AD54">
        <v>0</v>
      </c>
      <c r="AE54" t="str">
        <v>Ana Damásio</v>
      </c>
      <c r="AF54" t="str">
        <v>Carla Veiga</v>
      </c>
      <c r="AG54" t="str">
        <v>Zestia - New Apartments for Sale in Vilamoura - *Vilamoura</v>
      </c>
      <c r="AH54" t="str">
        <v>Discover Zestia, a residential-touristic development, where prime hospitality meets exclusive luxury in the heart of Vilamoura. This new development redefines elegance only 600 meters from the vibrant Vilamoura Marina.</v>
      </c>
      <c r="AI54" t="str">
        <v>Gym, Spa, Condo Pool, Private Pools, Outdoor Areas, Smart Home Technology, Underground Parking, Reception, Vista Membership</v>
      </c>
      <c r="AJ54"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54" t="str">
        <v>Metrourbe</v>
      </c>
      <c r="AL54" t="str">
        <v>Zestia</v>
      </c>
    </row>
    <row r="55" spans="1:38" x14ac:dyDescent="0.3">
      <c r="A55" t="str">
        <v>ZESTIA</v>
      </c>
      <c r="B55" t="str">
        <v>Vilamoura</v>
      </c>
      <c r="C55" t="str">
        <v>N</v>
      </c>
      <c r="D55" t="str">
        <v>Vilamoura, Algarve</v>
      </c>
      <c r="E55" t="str">
        <v>T2 LO</v>
      </c>
      <c r="F55">
        <v>125.97</v>
      </c>
      <c r="G55">
        <v>0</v>
      </c>
      <c r="H55" t="str">
        <v/>
      </c>
      <c r="I55" t="str">
        <v/>
      </c>
      <c r="J55">
        <v>37.15</v>
      </c>
      <c r="K55">
        <v>0</v>
      </c>
      <c r="L55">
        <v>0</v>
      </c>
      <c r="M55" s="79">
        <v>0</v>
      </c>
      <c r="N55">
        <v>0</v>
      </c>
      <c r="O55">
        <v>88.82</v>
      </c>
      <c r="P55">
        <v>0</v>
      </c>
      <c r="Q55" t="str">
        <v>AVAILABLE</v>
      </c>
      <c r="R55">
        <v>671577.18</v>
      </c>
      <c r="S55">
        <v>736177.18</v>
      </c>
      <c r="T55">
        <v>800000</v>
      </c>
      <c r="U55">
        <v>24600</v>
      </c>
      <c r="V55">
        <v>40000</v>
      </c>
      <c r="W55">
        <v>735400</v>
      </c>
      <c r="X55">
        <v>0</v>
      </c>
      <c r="Y55">
        <v>800000</v>
      </c>
      <c r="Z55">
        <v>735400</v>
      </c>
      <c r="AA55">
        <v>45807</v>
      </c>
      <c r="AB55" t="str">
        <v>Q2 2025</v>
      </c>
      <c r="AC55">
        <v>0</v>
      </c>
      <c r="AD55">
        <v>0</v>
      </c>
      <c r="AE55" t="str">
        <v>Ana Damásio</v>
      </c>
      <c r="AF55" t="str">
        <v>Carla Veiga</v>
      </c>
      <c r="AG55" t="str">
        <v>Zestia - New Apartments for Sale in Vilamoura - *Vilamoura</v>
      </c>
      <c r="AH55" t="str">
        <v>Discover Zestia, a residential-touristic development, where prime hospitality meets exclusive luxury in the heart of Vilamoura. This new development redefines elegance only 600 meters from the vibrant Vilamoura Marina.</v>
      </c>
      <c r="AI55" t="str">
        <v>Gym, Spa, Condo Pool, Private Pools, Outdoor Areas, Smart Home Technology, Underground Parking, Reception, Vista Membership</v>
      </c>
      <c r="AJ55"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55" t="str">
        <v>Metrourbe</v>
      </c>
      <c r="AL55" t="str">
        <v>Zestia</v>
      </c>
    </row>
    <row r="56" spans="1:38" x14ac:dyDescent="0.3">
      <c r="A56" t="str">
        <v>ZESTIA</v>
      </c>
      <c r="B56" t="str">
        <v>Vilamoura</v>
      </c>
      <c r="C56" t="str">
        <v>Q</v>
      </c>
      <c r="D56" t="str">
        <v>Vilamoura, Algarve</v>
      </c>
      <c r="E56" t="str">
        <v>T2 LO</v>
      </c>
      <c r="F56">
        <v>117.68</v>
      </c>
      <c r="G56">
        <v>0</v>
      </c>
      <c r="H56" t="str">
        <v/>
      </c>
      <c r="I56" t="str">
        <v/>
      </c>
      <c r="J56">
        <v>29</v>
      </c>
      <c r="K56">
        <v>0</v>
      </c>
      <c r="L56">
        <v>0</v>
      </c>
      <c r="M56" s="79">
        <v>0</v>
      </c>
      <c r="N56">
        <v>0</v>
      </c>
      <c r="O56">
        <v>88.68</v>
      </c>
      <c r="P56">
        <v>0</v>
      </c>
      <c r="Q56" t="str">
        <v>AVAILABLE</v>
      </c>
      <c r="R56">
        <v>667676.64</v>
      </c>
      <c r="S56">
        <v>732276.64</v>
      </c>
      <c r="T56">
        <v>800000</v>
      </c>
      <c r="U56">
        <v>24600</v>
      </c>
      <c r="V56">
        <v>40000</v>
      </c>
      <c r="W56">
        <v>735400</v>
      </c>
      <c r="X56">
        <v>0</v>
      </c>
      <c r="Y56">
        <v>800000</v>
      </c>
      <c r="Z56">
        <v>735400</v>
      </c>
      <c r="AA56">
        <v>45807</v>
      </c>
      <c r="AB56" t="str">
        <v>Q2 2025</v>
      </c>
      <c r="AC56">
        <v>0</v>
      </c>
      <c r="AD56">
        <v>0</v>
      </c>
      <c r="AE56" t="str">
        <v>Ana Damásio</v>
      </c>
      <c r="AF56" t="str">
        <v>Carla Veiga</v>
      </c>
      <c r="AG56" t="str">
        <v>Zestia - New Apartments for Sale in Vilamoura - *Vilamoura</v>
      </c>
      <c r="AH56" t="str">
        <v>Discover Zestia, a residential-touristic development, where prime hospitality meets exclusive luxury in the heart of Vilamoura. This new development redefines elegance only 600 meters from the vibrant Vilamoura Marina.</v>
      </c>
      <c r="AI56" t="str">
        <v>Gym, Spa, Condo Pool, Private Pools, Outdoor Areas, Smart Home Technology, Underground Parking, Reception, Vista Membership</v>
      </c>
      <c r="AJ56"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56" t="str">
        <v>Metrourbe</v>
      </c>
      <c r="AL56" t="str">
        <v>Zestia</v>
      </c>
    </row>
    <row r="57" spans="1:38" x14ac:dyDescent="0.3">
      <c r="A57" t="str">
        <v>ZESTIA</v>
      </c>
      <c r="B57" t="str">
        <v>Vilamoura</v>
      </c>
      <c r="C57" t="str">
        <v>S</v>
      </c>
      <c r="D57" t="str">
        <v>Vilamoura, Algarve</v>
      </c>
      <c r="E57" t="str">
        <v>T2 LO</v>
      </c>
      <c r="F57">
        <v>116.78</v>
      </c>
      <c r="G57">
        <v>0</v>
      </c>
      <c r="H57" t="str">
        <v/>
      </c>
      <c r="I57" t="str">
        <v/>
      </c>
      <c r="J57">
        <v>28.57</v>
      </c>
      <c r="K57">
        <v>0</v>
      </c>
      <c r="L57">
        <v>0</v>
      </c>
      <c r="M57" s="79">
        <v>0</v>
      </c>
      <c r="N57">
        <v>0</v>
      </c>
      <c r="O57">
        <v>88.21</v>
      </c>
      <c r="P57">
        <v>0</v>
      </c>
      <c r="Q57" t="str">
        <v>AVAILABLE</v>
      </c>
      <c r="R57">
        <v>663492.68000000005</v>
      </c>
      <c r="S57">
        <v>728092.68</v>
      </c>
      <c r="T57">
        <v>770000</v>
      </c>
      <c r="U57">
        <v>24600</v>
      </c>
      <c r="V57">
        <v>40000</v>
      </c>
      <c r="W57">
        <v>705400</v>
      </c>
      <c r="X57">
        <v>0</v>
      </c>
      <c r="Y57">
        <v>770000</v>
      </c>
      <c r="Z57">
        <v>705400</v>
      </c>
      <c r="AA57">
        <v>45807</v>
      </c>
      <c r="AB57" t="str">
        <v>Q2 2025</v>
      </c>
      <c r="AC57">
        <v>0</v>
      </c>
      <c r="AD57">
        <v>0</v>
      </c>
      <c r="AE57" t="str">
        <v>Ana Damásio</v>
      </c>
      <c r="AF57" t="str">
        <v>Carla Veiga</v>
      </c>
      <c r="AG57" t="str">
        <v>Zestia - New Apartments for Sale in Vilamoura - *Vilamoura</v>
      </c>
      <c r="AH57" t="str">
        <v>Discover Zestia, a residential-touristic development, where prime hospitality meets exclusive luxury in the heart of Vilamoura. This new development redefines elegance only 600 meters from the vibrant Vilamoura Marina.</v>
      </c>
      <c r="AI57" t="str">
        <v>Gym, Spa, Condo Pool, Private Pools, Outdoor Areas, Smart Home Technology, Underground Parking, Reception, Vista Membership</v>
      </c>
      <c r="AJ57"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57" t="str">
        <v>Metrourbe</v>
      </c>
      <c r="AL57" t="str">
        <v>Zestia</v>
      </c>
    </row>
    <row r="58" spans="1:38" x14ac:dyDescent="0.3">
      <c r="A58" t="str">
        <v>ZESTIA</v>
      </c>
      <c r="B58" t="str">
        <v>Vilamoura</v>
      </c>
      <c r="C58" t="str">
        <v>T</v>
      </c>
      <c r="D58" t="str">
        <v>Vilamoura, Algarve</v>
      </c>
      <c r="E58" t="str">
        <v>T2</v>
      </c>
      <c r="F58">
        <v>140.91999999999999</v>
      </c>
      <c r="G58">
        <v>0</v>
      </c>
      <c r="H58" t="str">
        <v/>
      </c>
      <c r="I58" t="str">
        <v/>
      </c>
      <c r="J58">
        <v>50.58</v>
      </c>
      <c r="K58">
        <v>0</v>
      </c>
      <c r="L58">
        <v>0</v>
      </c>
      <c r="M58" s="79">
        <v>0</v>
      </c>
      <c r="N58">
        <v>0</v>
      </c>
      <c r="O58">
        <v>90.34</v>
      </c>
      <c r="P58">
        <v>0</v>
      </c>
      <c r="Q58" t="str">
        <v>AVAILABLE</v>
      </c>
      <c r="R58">
        <v>724585.6</v>
      </c>
      <c r="S58">
        <v>789185.6</v>
      </c>
      <c r="T58">
        <v>860000</v>
      </c>
      <c r="U58">
        <v>24600</v>
      </c>
      <c r="V58">
        <v>40000</v>
      </c>
      <c r="W58">
        <v>795400</v>
      </c>
      <c r="X58">
        <v>0</v>
      </c>
      <c r="Y58">
        <v>860000</v>
      </c>
      <c r="Z58">
        <v>795400</v>
      </c>
      <c r="AA58">
        <v>45807</v>
      </c>
      <c r="AB58" t="str">
        <v>Q2 2025</v>
      </c>
      <c r="AC58">
        <v>0</v>
      </c>
      <c r="AD58">
        <v>0</v>
      </c>
      <c r="AE58" t="str">
        <v>Ana Damásio</v>
      </c>
      <c r="AF58" t="str">
        <v>Carla Veiga</v>
      </c>
      <c r="AG58" t="str">
        <v>Zestia - New Apartments for Sale in Vilamoura - *Vilamoura</v>
      </c>
      <c r="AH58" t="str">
        <v>Discover Zestia, a residential-touristic development, where prime hospitality meets exclusive luxury in the heart of Vilamoura. This new development redefines elegance only 600 meters from the vibrant Vilamoura Marina.</v>
      </c>
      <c r="AI58" t="str">
        <v>Gym, Spa, Condo Pool, Private Pools, Outdoor Areas, Smart Home Technology, Underground Parking, Reception, Vista Membership</v>
      </c>
      <c r="AJ58"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58" t="str">
        <v>Metrourbe</v>
      </c>
      <c r="AL58" t="str">
        <v>Zestia</v>
      </c>
    </row>
    <row r="59" spans="1:38" x14ac:dyDescent="0.3">
      <c r="A59" t="str">
        <v>ZESTIA</v>
      </c>
      <c r="B59" t="str">
        <v>Vilamoura</v>
      </c>
      <c r="C59" t="str">
        <v>U</v>
      </c>
      <c r="D59" t="str">
        <v>Vilamoura, Algarve</v>
      </c>
      <c r="E59" t="str">
        <v>T2</v>
      </c>
      <c r="F59">
        <v>118.99</v>
      </c>
      <c r="G59">
        <v>0</v>
      </c>
      <c r="H59" t="str">
        <v/>
      </c>
      <c r="I59" t="str">
        <v/>
      </c>
      <c r="J59">
        <v>28.9</v>
      </c>
      <c r="K59">
        <v>0</v>
      </c>
      <c r="L59">
        <v>0</v>
      </c>
      <c r="M59" s="79">
        <v>0</v>
      </c>
      <c r="N59">
        <v>0</v>
      </c>
      <c r="O59">
        <v>90.09</v>
      </c>
      <c r="P59">
        <v>0</v>
      </c>
      <c r="Q59" t="str">
        <v>AVAILABLE</v>
      </c>
      <c r="R59">
        <v>711904.61959999998</v>
      </c>
      <c r="S59">
        <v>776504.61959999998</v>
      </c>
      <c r="T59">
        <v>850000</v>
      </c>
      <c r="U59">
        <v>24600</v>
      </c>
      <c r="V59">
        <v>40000</v>
      </c>
      <c r="W59">
        <v>785400</v>
      </c>
      <c r="X59">
        <v>0</v>
      </c>
      <c r="Y59">
        <v>850000</v>
      </c>
      <c r="Z59">
        <v>785400</v>
      </c>
      <c r="AA59">
        <v>45807</v>
      </c>
      <c r="AB59" t="str">
        <v>Q2 2025</v>
      </c>
      <c r="AC59">
        <v>0</v>
      </c>
      <c r="AD59">
        <v>0</v>
      </c>
      <c r="AE59" t="str">
        <v>Ana Damásio</v>
      </c>
      <c r="AF59" t="str">
        <v>Carla Veiga</v>
      </c>
      <c r="AG59" t="str">
        <v>Zestia - New Apartments for Sale in Vilamoura - *Vilamoura</v>
      </c>
      <c r="AH59" t="str">
        <v>Discover Zestia, a residential-touristic development, where prime hospitality meets exclusive luxury in the heart of Vilamoura. This new development redefines elegance only 600 meters from the vibrant Vilamoura Marina.</v>
      </c>
      <c r="AI59" t="str">
        <v>Gym, Spa, Condo Pool, Private Pools, Outdoor Areas, Smart Home Technology, Underground Parking, Reception, Vista Membership</v>
      </c>
      <c r="AJ59"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59" t="str">
        <v>Metrourbe</v>
      </c>
      <c r="AL59" t="str">
        <v>Zestia</v>
      </c>
    </row>
    <row r="60" spans="1:38" x14ac:dyDescent="0.3">
      <c r="A60" t="str">
        <v>ZESTIA</v>
      </c>
      <c r="B60" t="str">
        <v>Vilamoura</v>
      </c>
      <c r="C60" t="str">
        <v>V</v>
      </c>
      <c r="D60" t="str">
        <v>Vilamoura, Algarve</v>
      </c>
      <c r="E60" t="str">
        <v>T2 LO</v>
      </c>
      <c r="F60">
        <v>117.31</v>
      </c>
      <c r="G60">
        <v>0</v>
      </c>
      <c r="H60" t="str">
        <v/>
      </c>
      <c r="I60" t="str">
        <v/>
      </c>
      <c r="J60">
        <v>28.6</v>
      </c>
      <c r="K60">
        <v>0</v>
      </c>
      <c r="L60">
        <v>0</v>
      </c>
      <c r="M60" s="79">
        <v>0</v>
      </c>
      <c r="N60">
        <v>0</v>
      </c>
      <c r="O60">
        <v>88.71</v>
      </c>
      <c r="P60">
        <v>0</v>
      </c>
      <c r="Q60" t="str">
        <v>AVAILABLE</v>
      </c>
      <c r="R60">
        <v>700527.65240000002</v>
      </c>
      <c r="S60">
        <v>765127.65240000002</v>
      </c>
      <c r="T60">
        <v>840000</v>
      </c>
      <c r="U60">
        <v>24600</v>
      </c>
      <c r="V60">
        <v>40000</v>
      </c>
      <c r="W60">
        <v>775400</v>
      </c>
      <c r="X60">
        <v>0</v>
      </c>
      <c r="Y60">
        <v>840000</v>
      </c>
      <c r="Z60">
        <v>775400</v>
      </c>
      <c r="AA60">
        <v>45807</v>
      </c>
      <c r="AB60" t="str">
        <v>Q2 2025</v>
      </c>
      <c r="AC60">
        <v>0</v>
      </c>
      <c r="AD60">
        <v>0</v>
      </c>
      <c r="AE60" t="str">
        <v>Ana Damásio</v>
      </c>
      <c r="AF60" t="str">
        <v>Carla Veiga</v>
      </c>
      <c r="AG60" t="str">
        <v>Zestia - New Apartments for Sale in Vilamoura - *Vilamoura</v>
      </c>
      <c r="AH60" t="str">
        <v>Discover Zestia, a residential-touristic development, where prime hospitality meets exclusive luxury in the heart of Vilamoura. This new development redefines elegance only 600 meters from the vibrant Vilamoura Marina.</v>
      </c>
      <c r="AI60" t="str">
        <v>Gym, Spa, Condo Pool, Private Pools, Outdoor Areas, Smart Home Technology, Underground Parking, Reception, Vista Membership</v>
      </c>
      <c r="AJ60"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60" t="str">
        <v>Metrourbe</v>
      </c>
      <c r="AL60" t="str">
        <v>Zestia</v>
      </c>
    </row>
    <row r="61" spans="1:38" x14ac:dyDescent="0.3">
      <c r="A61" t="str">
        <v>ZESTIA</v>
      </c>
      <c r="B61" t="str">
        <v>Vilamoura</v>
      </c>
      <c r="C61" t="str">
        <v>W</v>
      </c>
      <c r="D61" t="str">
        <v>Vilamoura, Algarve</v>
      </c>
      <c r="E61" t="str">
        <v>T2</v>
      </c>
      <c r="F61">
        <v>117.44</v>
      </c>
      <c r="G61">
        <v>0</v>
      </c>
      <c r="H61" t="str">
        <v/>
      </c>
      <c r="I61" t="str">
        <v/>
      </c>
      <c r="J61">
        <v>28.26</v>
      </c>
      <c r="K61">
        <v>0</v>
      </c>
      <c r="L61">
        <v>0</v>
      </c>
      <c r="M61" s="79">
        <v>0</v>
      </c>
      <c r="N61">
        <v>0</v>
      </c>
      <c r="O61">
        <v>89.18</v>
      </c>
      <c r="P61">
        <v>0</v>
      </c>
      <c r="Q61" t="str">
        <v>AVAILABLE</v>
      </c>
      <c r="R61">
        <v>703747.99919999996</v>
      </c>
      <c r="S61">
        <v>768347.99919999996</v>
      </c>
      <c r="T61">
        <v>840000</v>
      </c>
      <c r="U61">
        <v>24600</v>
      </c>
      <c r="V61">
        <v>40000</v>
      </c>
      <c r="W61">
        <v>775400</v>
      </c>
      <c r="X61">
        <v>0</v>
      </c>
      <c r="Y61">
        <v>840000</v>
      </c>
      <c r="Z61">
        <v>775400</v>
      </c>
      <c r="AA61">
        <v>45807</v>
      </c>
      <c r="AB61" t="str">
        <v>Q2 2025</v>
      </c>
      <c r="AC61">
        <v>0</v>
      </c>
      <c r="AD61">
        <v>0</v>
      </c>
      <c r="AE61" t="str">
        <v>Ana Damásio</v>
      </c>
      <c r="AF61" t="str">
        <v>Carla Veiga</v>
      </c>
      <c r="AG61" t="str">
        <v>Zestia - New Apartments for Sale in Vilamoura - *Vilamoura</v>
      </c>
      <c r="AH61" t="str">
        <v>Discover Zestia, a residential-touristic development, where prime hospitality meets exclusive luxury in the heart of Vilamoura. This new development redefines elegance only 600 meters from the vibrant Vilamoura Marina.</v>
      </c>
      <c r="AI61" t="str">
        <v>Gym, Spa, Condo Pool, Private Pools, Outdoor Areas, Smart Home Technology, Underground Parking, Reception, Vista Membership</v>
      </c>
      <c r="AJ61"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61" t="str">
        <v>Metrourbe</v>
      </c>
      <c r="AL61" t="str">
        <v>Zestia</v>
      </c>
    </row>
    <row r="62" spans="1:38" x14ac:dyDescent="0.3">
      <c r="A62" t="str">
        <v>ZESTIA</v>
      </c>
      <c r="B62" t="str">
        <v>Vilamoura</v>
      </c>
      <c r="C62" t="str">
        <v>X</v>
      </c>
      <c r="D62" t="str">
        <v>Vilamoura, Algarve</v>
      </c>
      <c r="E62" t="str">
        <v>T2 LO</v>
      </c>
      <c r="F62">
        <v>118.23</v>
      </c>
      <c r="G62">
        <v>0</v>
      </c>
      <c r="H62" t="str">
        <v/>
      </c>
      <c r="I62" t="str">
        <v/>
      </c>
      <c r="J62">
        <v>28.84</v>
      </c>
      <c r="K62">
        <v>0</v>
      </c>
      <c r="L62">
        <v>0</v>
      </c>
      <c r="M62" s="79">
        <v>0</v>
      </c>
      <c r="N62">
        <v>0</v>
      </c>
      <c r="O62">
        <v>89.39</v>
      </c>
      <c r="P62">
        <v>0</v>
      </c>
      <c r="Q62" t="str">
        <v>AVAILABLE</v>
      </c>
      <c r="R62">
        <v>706270.11159999995</v>
      </c>
      <c r="S62">
        <v>770870.11159999995</v>
      </c>
      <c r="T62">
        <v>840000</v>
      </c>
      <c r="U62">
        <v>24600</v>
      </c>
      <c r="V62">
        <v>40000</v>
      </c>
      <c r="W62">
        <v>775400</v>
      </c>
      <c r="X62">
        <v>0</v>
      </c>
      <c r="Y62">
        <v>840000</v>
      </c>
      <c r="Z62">
        <v>775400</v>
      </c>
      <c r="AA62">
        <v>45807</v>
      </c>
      <c r="AB62" t="str">
        <v>Q2 2025</v>
      </c>
      <c r="AC62">
        <v>0</v>
      </c>
      <c r="AD62">
        <v>0</v>
      </c>
      <c r="AE62" t="str">
        <v>Ana Damásio</v>
      </c>
      <c r="AF62" t="str">
        <v>Carla Veiga</v>
      </c>
      <c r="AG62" t="str">
        <v>Zestia - New Apartments for Sale in Vilamoura - *Vilamoura</v>
      </c>
      <c r="AH62" t="str">
        <v>Discover Zestia, a residential-touristic development, where prime hospitality meets exclusive luxury in the heart of Vilamoura. This new development redefines elegance only 600 meters from the vibrant Vilamoura Marina.</v>
      </c>
      <c r="AI62" t="str">
        <v>Gym, Spa, Condo Pool, Private Pools, Outdoor Areas, Smart Home Technology, Underground Parking, Reception, Vista Membership</v>
      </c>
      <c r="AJ62"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62" t="str">
        <v>Metrourbe</v>
      </c>
      <c r="AL62" t="str">
        <v>Zestia</v>
      </c>
    </row>
    <row r="63" spans="1:38" x14ac:dyDescent="0.3">
      <c r="A63" t="str">
        <v>ZESTIA</v>
      </c>
      <c r="B63" t="str">
        <v>Vilamoura</v>
      </c>
      <c r="C63" t="str">
        <v>Y</v>
      </c>
      <c r="D63" t="str">
        <v>Vilamoura, Algarve</v>
      </c>
      <c r="E63" t="str">
        <v>T1 +</v>
      </c>
      <c r="F63">
        <v>101.96</v>
      </c>
      <c r="G63">
        <v>0</v>
      </c>
      <c r="H63" t="str">
        <v/>
      </c>
      <c r="I63" t="str">
        <v/>
      </c>
      <c r="J63">
        <v>30.59</v>
      </c>
      <c r="K63">
        <v>0</v>
      </c>
      <c r="L63">
        <v>0</v>
      </c>
      <c r="M63" s="79">
        <v>0</v>
      </c>
      <c r="N63">
        <v>0</v>
      </c>
      <c r="O63">
        <v>71.37</v>
      </c>
      <c r="P63">
        <v>0</v>
      </c>
      <c r="Q63" t="str">
        <v>AVAILABLE</v>
      </c>
      <c r="R63">
        <v>613003.19270000001</v>
      </c>
      <c r="S63">
        <v>667603.19270000001</v>
      </c>
      <c r="T63">
        <v>720000</v>
      </c>
      <c r="U63">
        <v>24600</v>
      </c>
      <c r="V63">
        <v>30000</v>
      </c>
      <c r="W63">
        <v>665400</v>
      </c>
      <c r="X63">
        <v>0</v>
      </c>
      <c r="Y63">
        <v>720000</v>
      </c>
      <c r="Z63">
        <v>665400</v>
      </c>
      <c r="AA63">
        <v>45807</v>
      </c>
      <c r="AB63" t="str">
        <v>Q2 2025</v>
      </c>
      <c r="AC63">
        <v>0</v>
      </c>
      <c r="AD63">
        <v>0</v>
      </c>
      <c r="AE63" t="str">
        <v>Ana Damásio</v>
      </c>
      <c r="AF63" t="str">
        <v>Carla Veiga</v>
      </c>
      <c r="AG63" t="str">
        <v>Zestia - New Apartments for Sale in Vilamoura - *Vilamoura</v>
      </c>
      <c r="AH63" t="str">
        <v>Discover Zestia, a residential-touristic development, where prime hospitality meets exclusive luxury in the heart of Vilamoura. This new development redefines elegance only 600 meters from the vibrant Vilamoura Marina.</v>
      </c>
      <c r="AI63" t="str">
        <v>Gym, Spa, Condo Pool, Private Pools, Outdoor Areas, Smart Home Technology, Underground Parking, Reception, Vista Membership</v>
      </c>
      <c r="AJ63"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63" t="str">
        <v>Metrourbe</v>
      </c>
      <c r="AL63" t="str">
        <v>Zestia</v>
      </c>
    </row>
    <row r="64" spans="1:38" x14ac:dyDescent="0.3">
      <c r="A64" t="str">
        <v>ZESTIA</v>
      </c>
      <c r="B64" t="str">
        <v>Vilamoura</v>
      </c>
      <c r="C64" t="str">
        <v>Z</v>
      </c>
      <c r="D64" t="str">
        <v>Vilamoura, Algarve</v>
      </c>
      <c r="E64" t="str">
        <v>T2 +</v>
      </c>
      <c r="F64">
        <v>153.04</v>
      </c>
      <c r="G64">
        <v>0</v>
      </c>
      <c r="H64" t="str">
        <v/>
      </c>
      <c r="I64" t="str">
        <v/>
      </c>
      <c r="J64">
        <v>37.74</v>
      </c>
      <c r="K64">
        <v>0</v>
      </c>
      <c r="L64">
        <v>0</v>
      </c>
      <c r="M64" s="79">
        <v>0</v>
      </c>
      <c r="N64">
        <v>0</v>
      </c>
      <c r="O64">
        <v>115.3</v>
      </c>
      <c r="P64">
        <v>0</v>
      </c>
      <c r="Q64" t="str">
        <v>AVAILABLE</v>
      </c>
      <c r="R64">
        <v>1059822.0759999999</v>
      </c>
      <c r="S64">
        <v>1134422.0759999999</v>
      </c>
      <c r="T64">
        <v>1150000</v>
      </c>
      <c r="U64">
        <v>24600</v>
      </c>
      <c r="V64">
        <v>50000</v>
      </c>
      <c r="W64">
        <v>1075400</v>
      </c>
      <c r="X64">
        <v>0</v>
      </c>
      <c r="Y64">
        <v>1150000</v>
      </c>
      <c r="Z64">
        <v>1075400</v>
      </c>
      <c r="AA64">
        <v>45807</v>
      </c>
      <c r="AB64" t="str">
        <v>Q2 2025</v>
      </c>
      <c r="AC64">
        <v>0</v>
      </c>
      <c r="AD64">
        <v>0</v>
      </c>
      <c r="AE64" t="str">
        <v>Ana Damásio</v>
      </c>
      <c r="AF64" t="str">
        <v>Carla Veiga</v>
      </c>
      <c r="AG64" t="str">
        <v>Zestia - New Apartments for Sale in Vilamoura - *Vilamoura</v>
      </c>
      <c r="AH64" t="str">
        <v>Discover Zestia, a residential-touristic development, where prime hospitality meets exclusive luxury in the heart of Vilamoura. This new development redefines elegance only 600 meters from the vibrant Vilamoura Marina.</v>
      </c>
      <c r="AI64" t="str">
        <v>Gym, Spa, Condo Pool, Private Pools, Outdoor Areas, Smart Home Technology, Underground Parking, Reception, Vista Membership</v>
      </c>
      <c r="AJ64" t="str">
        <v>Apartamentos com exploração turística profissional e possibilidade de uso pelos proprietários; Amenities de excelência: Piscina interior e exterior, spa, ginásio, F&amp;B; Localização de excelência a poucos metros de marina, restaurantes e clubes de tenis, padel e golf; Rooftops com plunge pool privativos.</v>
      </c>
      <c r="AK64" t="str">
        <v>Metrourbe</v>
      </c>
      <c r="AL64" t="str">
        <v>Zestia</v>
      </c>
    </row>
    <row r="74" spans="11:12" x14ac:dyDescent="0.3">
      <c r="K74" s="113"/>
      <c r="L74" s="78"/>
    </row>
  </sheetData>
  <autoFilter ref="A2:AL2" xr:uid="{8C381E57-20A3-4D29-9AC1-A20B676A56DB}"/>
  <conditionalFormatting sqref="A2">
    <cfRule type="containsText" dxfId="41" priority="3" operator="containsText" text="Center">
      <formula>NOT(ISERROR(SEARCH("Center",A2)))</formula>
    </cfRule>
    <cfRule type="containsText" dxfId="40" priority="4" operator="containsText" text="North">
      <formula>NOT(ISERROR(SEARCH("North",A2)))</formula>
    </cfRule>
    <cfRule type="containsText" dxfId="39" priority="5" operator="containsText" text="Algarve">
      <formula>NOT(ISERROR(SEARCH("Algarve",A2)))</formula>
    </cfRule>
    <cfRule type="containsText" dxfId="38" priority="6" operator="containsText" text="Vilamoura">
      <formula>NOT(ISERROR(SEARCH("Vilamoura",A2)))</formula>
    </cfRule>
  </conditionalFormatting>
  <conditionalFormatting sqref="Q2">
    <cfRule type="containsText" dxfId="37" priority="1" operator="containsText" text="PRE-RESERVED">
      <formula>NOT(ISERROR(SEARCH("PRE-RESERVED",Q2)))</formula>
    </cfRule>
    <cfRule type="containsText" dxfId="36" priority="2" operator="containsText" text="RESERVED">
      <formula>NOT(ISERROR(SEARCH("RESERVED",Q2)))</formula>
    </cfRule>
  </conditionalFormatting>
  <pageMargins left="0.7" right="0.7" top="0.75" bottom="0.75" header="0.3" footer="0.3"/>
  <pageSetup paperSize="8" scale="69" fitToHeight="0"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1DA03-A57A-418F-8CA2-6F4EFCF7A8CD}">
  <sheetPr>
    <tabColor rgb="FF91AEBD"/>
    <pageSetUpPr fitToPage="1"/>
  </sheetPr>
  <dimension ref="A1:AL74"/>
  <sheetViews>
    <sheetView showGridLines="0" zoomScale="71" zoomScaleNormal="40" zoomScaleSheetLayoutView="70" workbookViewId="0">
      <pane xSplit="1" topLeftCell="H1" activePane="topRight" state="frozen"/>
      <selection activeCell="A2" sqref="A2"/>
      <selection pane="topRight" activeCell="A2" sqref="A2"/>
    </sheetView>
  </sheetViews>
  <sheetFormatPr defaultColWidth="8.6640625" defaultRowHeight="14.4" outlineLevelCol="2" x14ac:dyDescent="0.3"/>
  <cols>
    <col min="1" max="1" width="20.33203125" bestFit="1" customWidth="1"/>
    <col min="2" max="6" width="11.77734375" customWidth="1"/>
    <col min="7" max="12" width="11.77734375" customWidth="1" outlineLevel="2"/>
    <col min="13" max="13" width="11.77734375" style="79" customWidth="1" outlineLevel="2"/>
    <col min="14" max="14" width="11.77734375" customWidth="1" outlineLevel="2"/>
    <col min="15" max="16" width="11.77734375" customWidth="1" outlineLevel="1"/>
    <col min="17" max="18" width="11.77734375" customWidth="1"/>
    <col min="19" max="22" width="11.77734375" customWidth="1" outlineLevel="1"/>
    <col min="23" max="24" width="11.77734375" customWidth="1"/>
    <col min="25" max="25" width="11.77734375" customWidth="1" outlineLevel="1"/>
    <col min="26" max="26" width="11.77734375" customWidth="1"/>
    <col min="27" max="27" width="11.77734375" customWidth="1" outlineLevel="1"/>
    <col min="28" max="38" width="11.77734375" customWidth="1"/>
  </cols>
  <sheetData>
    <row r="1" spans="1:38" s="1" customFormat="1" ht="20.399999999999999" customHeight="1" x14ac:dyDescent="0.3">
      <c r="A1" s="114" t="s">
        <v>62</v>
      </c>
    </row>
    <row r="2" spans="1:38" s="2" customFormat="1" ht="46.2" customHeight="1" x14ac:dyDescent="0.3">
      <c r="A2" s="95" t="s">
        <v>335</v>
      </c>
      <c r="B2" s="95" t="s">
        <v>684</v>
      </c>
      <c r="C2" s="96" t="s">
        <v>765</v>
      </c>
      <c r="D2" s="97" t="s">
        <v>1</v>
      </c>
      <c r="E2" s="95" t="s">
        <v>93</v>
      </c>
      <c r="F2" s="95" t="s">
        <v>763</v>
      </c>
      <c r="G2" s="98" t="s">
        <v>675</v>
      </c>
      <c r="H2" s="99" t="s">
        <v>676</v>
      </c>
      <c r="I2" s="99" t="s">
        <v>677</v>
      </c>
      <c r="J2" s="100" t="s">
        <v>678</v>
      </c>
      <c r="K2" s="98" t="s">
        <v>679</v>
      </c>
      <c r="L2" s="98" t="s">
        <v>779</v>
      </c>
      <c r="M2" s="98" t="s">
        <v>680</v>
      </c>
      <c r="N2" s="101" t="s">
        <v>681</v>
      </c>
      <c r="O2" s="102" t="s">
        <v>94</v>
      </c>
      <c r="P2" s="102" t="s">
        <v>95</v>
      </c>
      <c r="Q2" s="95" t="s">
        <v>624</v>
      </c>
      <c r="R2" s="103" t="s">
        <v>331</v>
      </c>
      <c r="S2" s="104" t="s">
        <v>332</v>
      </c>
      <c r="T2" s="105" t="s">
        <v>333</v>
      </c>
      <c r="U2" s="105" t="s">
        <v>682</v>
      </c>
      <c r="V2" s="105" t="s">
        <v>97</v>
      </c>
      <c r="W2" s="95" t="s">
        <v>330</v>
      </c>
      <c r="X2" s="106" t="s">
        <v>919</v>
      </c>
      <c r="Y2" s="105" t="s">
        <v>334</v>
      </c>
      <c r="Z2" s="95" t="s">
        <v>98</v>
      </c>
      <c r="AA2" s="107" t="s">
        <v>933</v>
      </c>
      <c r="AB2" s="108" t="s">
        <v>934</v>
      </c>
      <c r="AC2" s="108" t="s">
        <v>928</v>
      </c>
      <c r="AD2" s="109" t="s">
        <v>926</v>
      </c>
      <c r="AE2" s="97" t="s">
        <v>792</v>
      </c>
      <c r="AF2" s="97" t="s">
        <v>793</v>
      </c>
      <c r="AG2" s="97" t="s">
        <v>2</v>
      </c>
      <c r="AH2" s="97" t="s">
        <v>3</v>
      </c>
      <c r="AI2" s="97" t="s">
        <v>5</v>
      </c>
      <c r="AJ2" s="97" t="s">
        <v>794</v>
      </c>
      <c r="AK2" s="97" t="s">
        <v>6</v>
      </c>
      <c r="AL2" s="95" t="s">
        <v>918</v>
      </c>
    </row>
    <row r="3" spans="1:38" s="112" customFormat="1" ht="13.8" x14ac:dyDescent="0.3">
      <c r="A3" s="129" t="str" cm="1">
        <f t="array" ref="A3:AL18">_xlfn._xlws.FILTER(DATABASE_Table[],DATABASE_Table[Development]=$A$1,"")</f>
        <v>Azuya</v>
      </c>
      <c r="B3" s="129" t="str">
        <v>Algarve</v>
      </c>
      <c r="C3" s="110" t="str">
        <v>C</v>
      </c>
      <c r="D3" s="110" t="str">
        <v>Ancão, Algarve</v>
      </c>
      <c r="E3" s="110" t="str">
        <v>T3 Duplex</v>
      </c>
      <c r="F3" s="110">
        <v>399.41</v>
      </c>
      <c r="G3" s="110">
        <v>0</v>
      </c>
      <c r="H3" s="110" t="str">
        <v>29.2</v>
      </c>
      <c r="I3" s="110" t="str">
        <v>Yes</v>
      </c>
      <c r="J3" s="110">
        <v>9</v>
      </c>
      <c r="K3" s="110">
        <v>0</v>
      </c>
      <c r="L3" s="110">
        <v>0</v>
      </c>
      <c r="M3" s="110">
        <v>19.66</v>
      </c>
      <c r="N3" s="110">
        <v>0</v>
      </c>
      <c r="O3" s="110">
        <v>200.37</v>
      </c>
      <c r="P3" s="110">
        <v>0</v>
      </c>
      <c r="Q3" s="110" t="str">
        <v>AVAILABLE</v>
      </c>
      <c r="R3" s="110">
        <v>2700000</v>
      </c>
      <c r="S3" s="110">
        <v>2700000</v>
      </c>
      <c r="T3" s="110">
        <v>2700000</v>
      </c>
      <c r="U3" s="110">
        <v>0</v>
      </c>
      <c r="V3" s="110">
        <v>0</v>
      </c>
      <c r="W3" s="110">
        <v>2700000</v>
      </c>
      <c r="X3" s="110">
        <v>0</v>
      </c>
      <c r="Y3" s="110">
        <v>2700000</v>
      </c>
      <c r="Z3" s="110">
        <v>2700000</v>
      </c>
      <c r="AA3" s="110">
        <v>45982</v>
      </c>
      <c r="AB3" s="111" t="str">
        <v>Q4 2025</v>
      </c>
      <c r="AC3" s="112">
        <v>0</v>
      </c>
      <c r="AD3" s="112">
        <v>46752</v>
      </c>
      <c r="AE3" s="112" t="str">
        <v>Sandra Viegas</v>
      </c>
      <c r="AF3" s="112" t="str">
        <v>Catarina Andrade</v>
      </c>
      <c r="AG3" s="112" t="str">
        <v>www.azuya.pt</v>
      </c>
      <c r="AH3" s="112" t="str">
        <v>Where the whispers of the sea meet the embrace of nature, lies a sanctuary of unparalleled elegance. Nestled in one of Algarve’s most iconic havens, Azuya is crafted for those who seek exquisite comfort and timeless beauty — a place where dreams find their home.</v>
      </c>
      <c r="AI3" s="112" t="str">
        <v>Gym, Spa &amp; Welness Area, Private Pools, Condo Pool, Outdoor Areas, Smart Home Technology, Underground Parking, Kids Club</v>
      </c>
      <c r="AJ3" s="112" t="str">
        <v>Projeto exclusivo de 16 apartamentos com vista mar no Ancão; Arquitetura extraordinária e todas as unidades com piscina privativa; Penthouses com amplas áreas e piscina no rooftop; Ginásio, kids club, co-work area e area de spa e wellness.</v>
      </c>
      <c r="AK3" s="112" t="str">
        <v>Carvalho Araújo</v>
      </c>
      <c r="AL3" s="112" t="str">
        <v>Azuya</v>
      </c>
    </row>
    <row r="4" spans="1:38" x14ac:dyDescent="0.3">
      <c r="A4" s="129" t="str">
        <v>Azuya</v>
      </c>
      <c r="B4" s="129" t="str">
        <v>Algarve</v>
      </c>
      <c r="C4" s="110" t="str">
        <v>D</v>
      </c>
      <c r="D4" s="110" t="str">
        <v>Ancão, Algarve</v>
      </c>
      <c r="E4" s="110" t="str">
        <v>T3 Duplex</v>
      </c>
      <c r="F4" s="110">
        <v>367.73</v>
      </c>
      <c r="G4" s="110">
        <v>0</v>
      </c>
      <c r="H4" s="110" t="str">
        <v>29.2</v>
      </c>
      <c r="I4" s="110" t="str">
        <v>Yes</v>
      </c>
      <c r="J4" s="110">
        <v>9</v>
      </c>
      <c r="K4" s="110">
        <v>0</v>
      </c>
      <c r="L4" s="110">
        <v>0</v>
      </c>
      <c r="M4" s="110">
        <v>17.41</v>
      </c>
      <c r="N4" s="110">
        <v>0</v>
      </c>
      <c r="O4" s="110">
        <v>190.24</v>
      </c>
      <c r="P4" s="110">
        <v>0</v>
      </c>
      <c r="Q4" s="110" t="str">
        <v>AVAILABLE</v>
      </c>
      <c r="R4" s="110">
        <v>2750000</v>
      </c>
      <c r="S4" s="110">
        <v>2750000</v>
      </c>
      <c r="T4" s="110">
        <v>2750000</v>
      </c>
      <c r="U4" s="110">
        <v>0</v>
      </c>
      <c r="V4" s="110">
        <v>0</v>
      </c>
      <c r="W4" s="110">
        <v>2750000</v>
      </c>
      <c r="X4" s="110">
        <v>0</v>
      </c>
      <c r="Y4" s="110">
        <v>2750000</v>
      </c>
      <c r="Z4" s="110">
        <v>2750000</v>
      </c>
      <c r="AA4" s="110">
        <v>45982</v>
      </c>
      <c r="AB4" s="111" t="str">
        <v>Q4 2025</v>
      </c>
      <c r="AC4">
        <v>0</v>
      </c>
      <c r="AD4">
        <v>46752</v>
      </c>
      <c r="AE4" t="str">
        <v>Sandra Viegas</v>
      </c>
      <c r="AF4" t="str">
        <v>Catarina Andrade</v>
      </c>
      <c r="AG4" t="str">
        <v>www.azuya.pt</v>
      </c>
      <c r="AH4" t="str">
        <v>Where the whispers of the sea meet the embrace of nature, lies a sanctuary of unparalleled elegance. Nestled in one of Algarve’s most iconic havens, Azuya is crafted for those who seek exquisite comfort and timeless beauty — a place where dreams find their home.</v>
      </c>
      <c r="AI4" t="str">
        <v>Gym, Spa &amp; Welness Area, Private Pools, Condo Pool, Outdoor Areas, Smart Home Technology, Underground Parking, Kids Club</v>
      </c>
      <c r="AJ4" t="str">
        <v>Projeto exclusivo de 16 apartamentos com vista mar no Ancão; Arquitetura extraordinária e todas as unidades com piscina privativa; Penthouses com amplas áreas e piscina no rooftop; Ginásio, kids club, co-work area e area de spa e wellness.</v>
      </c>
      <c r="AK4" t="str">
        <v>Carvalho Araújo</v>
      </c>
      <c r="AL4" t="str">
        <v>Azuya</v>
      </c>
    </row>
    <row r="5" spans="1:38" x14ac:dyDescent="0.3">
      <c r="A5" s="129" t="str">
        <v>Azuya</v>
      </c>
      <c r="B5" s="129" t="str">
        <v>Algarve</v>
      </c>
      <c r="C5" s="110" t="str">
        <v>E</v>
      </c>
      <c r="D5" s="110" t="str">
        <v>Ancão, Algarve</v>
      </c>
      <c r="E5" s="110" t="str">
        <v>T3</v>
      </c>
      <c r="F5" s="110">
        <v>424.71</v>
      </c>
      <c r="G5" s="110">
        <v>0</v>
      </c>
      <c r="H5" s="110" t="str">
        <v>29.2</v>
      </c>
      <c r="I5" s="110" t="str">
        <v>Yes</v>
      </c>
      <c r="J5" s="110">
        <v>22.5</v>
      </c>
      <c r="K5" s="110">
        <v>0</v>
      </c>
      <c r="L5" s="110">
        <v>0</v>
      </c>
      <c r="M5" s="110">
        <v>0</v>
      </c>
      <c r="N5" s="110">
        <v>0</v>
      </c>
      <c r="O5" s="110">
        <v>195.9</v>
      </c>
      <c r="P5" s="110">
        <v>0</v>
      </c>
      <c r="Q5" s="110" t="str">
        <v>AVAILABLE</v>
      </c>
      <c r="R5" s="110">
        <v>3650000</v>
      </c>
      <c r="S5" s="110">
        <v>3650000</v>
      </c>
      <c r="T5" s="110">
        <v>3650000</v>
      </c>
      <c r="U5" s="110">
        <v>0</v>
      </c>
      <c r="V5" s="110">
        <v>0</v>
      </c>
      <c r="W5" s="110">
        <v>3650000</v>
      </c>
      <c r="X5" s="110">
        <v>0</v>
      </c>
      <c r="Y5" s="110">
        <v>3650000</v>
      </c>
      <c r="Z5" s="110">
        <v>3650000</v>
      </c>
      <c r="AA5" s="110">
        <v>45982</v>
      </c>
      <c r="AB5" s="111" t="str">
        <v>Q4 2025</v>
      </c>
      <c r="AC5">
        <v>0</v>
      </c>
      <c r="AD5">
        <v>46752</v>
      </c>
      <c r="AE5" t="str">
        <v>Sandra Viegas</v>
      </c>
      <c r="AF5" t="str">
        <v>Catarina Andrade</v>
      </c>
      <c r="AG5" t="str">
        <v>www.azuya.pt</v>
      </c>
      <c r="AH5" t="str">
        <v>Where the whispers of the sea meet the embrace of nature, lies a sanctuary of unparalleled elegance. Nestled in one of Algarve’s most iconic havens, Azuya is crafted for those who seek exquisite comfort and timeless beauty — a place where dreams find their home.</v>
      </c>
      <c r="AI5" t="str">
        <v>Gym, Spa &amp; Welness Area, Private Pools, Condo Pool, Outdoor Areas, Smart Home Technology, Underground Parking, Kids Club</v>
      </c>
      <c r="AJ5" t="str">
        <v>Projeto exclusivo de 16 apartamentos com vista mar no Ancão; Arquitetura extraordinária e todas as unidades com piscina privativa; Penthouses com amplas áreas e piscina no rooftop; Ginásio, kids club, co-work area e area de spa e wellness.</v>
      </c>
      <c r="AK5" t="str">
        <v>Carvalho Araújo</v>
      </c>
      <c r="AL5" t="str">
        <v>Azuya</v>
      </c>
    </row>
    <row r="6" spans="1:38" x14ac:dyDescent="0.3">
      <c r="A6" s="129" t="str">
        <v>Azuya</v>
      </c>
      <c r="B6" s="129" t="str">
        <v>Algarve</v>
      </c>
      <c r="C6" s="110" t="str">
        <v>F</v>
      </c>
      <c r="D6" s="110" t="str">
        <v>Ancão, Algarve</v>
      </c>
      <c r="E6" s="110" t="str">
        <v>T3</v>
      </c>
      <c r="F6" s="110">
        <v>420.09</v>
      </c>
      <c r="G6" s="110">
        <v>0</v>
      </c>
      <c r="H6" s="110" t="str">
        <v>29.2</v>
      </c>
      <c r="I6" s="110" t="str">
        <v>Yes</v>
      </c>
      <c r="J6" s="110">
        <v>18</v>
      </c>
      <c r="K6" s="110">
        <v>0</v>
      </c>
      <c r="L6" s="110">
        <v>0</v>
      </c>
      <c r="M6" s="110">
        <v>0</v>
      </c>
      <c r="N6" s="110">
        <v>0</v>
      </c>
      <c r="O6" s="110">
        <v>195.78</v>
      </c>
      <c r="P6" s="110">
        <v>0</v>
      </c>
      <c r="Q6" s="110" t="str">
        <v>AVAILABLE</v>
      </c>
      <c r="R6" s="110">
        <v>3650000</v>
      </c>
      <c r="S6" s="110">
        <v>3650000</v>
      </c>
      <c r="T6" s="110">
        <v>3650000</v>
      </c>
      <c r="U6" s="110">
        <v>0</v>
      </c>
      <c r="V6" s="110">
        <v>0</v>
      </c>
      <c r="W6" s="110">
        <v>3650000</v>
      </c>
      <c r="X6" s="110">
        <v>0</v>
      </c>
      <c r="Y6" s="110">
        <v>3650000</v>
      </c>
      <c r="Z6" s="110">
        <v>3650000</v>
      </c>
      <c r="AA6" s="110">
        <v>45982</v>
      </c>
      <c r="AB6" s="111" t="str">
        <v>Q4 2025</v>
      </c>
      <c r="AC6">
        <v>0</v>
      </c>
      <c r="AD6">
        <v>46752</v>
      </c>
      <c r="AE6" t="str">
        <v>Sandra Viegas</v>
      </c>
      <c r="AF6" t="str">
        <v>Catarina Andrade</v>
      </c>
      <c r="AG6" t="str">
        <v>www.azuya.pt</v>
      </c>
      <c r="AH6" t="str">
        <v>Where the whispers of the sea meet the embrace of nature, lies a sanctuary of unparalleled elegance. Nestled in one of Algarve’s most iconic havens, Azuya is crafted for those who seek exquisite comfort and timeless beauty — a place where dreams find their home.</v>
      </c>
      <c r="AI6" t="str">
        <v>Gym, Spa &amp; Welness Area, Private Pools, Condo Pool, Outdoor Areas, Smart Home Technology, Underground Parking, Kids Club</v>
      </c>
      <c r="AJ6" t="str">
        <v>Projeto exclusivo de 16 apartamentos com vista mar no Ancão; Arquitetura extraordinária e todas as unidades com piscina privativa; Penthouses com amplas áreas e piscina no rooftop; Ginásio, kids club, co-work area e area de spa e wellness.</v>
      </c>
      <c r="AK6" t="str">
        <v>Carvalho Araújo</v>
      </c>
      <c r="AL6" t="str">
        <v>Azuya</v>
      </c>
    </row>
    <row r="7" spans="1:38" x14ac:dyDescent="0.3">
      <c r="A7" s="129" t="str">
        <v>Azuya</v>
      </c>
      <c r="B7" s="129" t="str">
        <v>Algarve</v>
      </c>
      <c r="C7" s="110" t="str">
        <v>G</v>
      </c>
      <c r="D7" s="110" t="str">
        <v>Ancão, Algarve</v>
      </c>
      <c r="E7" s="110" t="str">
        <v>T3 Duplex</v>
      </c>
      <c r="F7" s="110">
        <v>276.85000000000002</v>
      </c>
      <c r="G7" s="110">
        <v>0</v>
      </c>
      <c r="H7" s="110" t="str">
        <v>16.7</v>
      </c>
      <c r="I7" s="110" t="str">
        <v>Yes</v>
      </c>
      <c r="J7" s="110">
        <v>7.25</v>
      </c>
      <c r="K7" s="110">
        <v>0</v>
      </c>
      <c r="L7" s="110">
        <v>0</v>
      </c>
      <c r="M7" s="110">
        <v>6.54</v>
      </c>
      <c r="N7" s="110">
        <v>0</v>
      </c>
      <c r="O7" s="110">
        <v>176.9</v>
      </c>
      <c r="P7" s="110">
        <v>0</v>
      </c>
      <c r="Q7" s="110" t="str">
        <v>AVAILABLE</v>
      </c>
      <c r="R7" s="110">
        <v>1950000</v>
      </c>
      <c r="S7" s="110">
        <v>1950000</v>
      </c>
      <c r="T7" s="110">
        <v>1950000</v>
      </c>
      <c r="U7" s="110">
        <v>0</v>
      </c>
      <c r="V7" s="110">
        <v>0</v>
      </c>
      <c r="W7" s="110">
        <v>1950000</v>
      </c>
      <c r="X7" s="110">
        <v>0</v>
      </c>
      <c r="Y7" s="110">
        <v>1950000</v>
      </c>
      <c r="Z7" s="110">
        <v>1950000</v>
      </c>
      <c r="AA7" s="110">
        <v>45982</v>
      </c>
      <c r="AB7" s="111" t="str">
        <v>Q4 2025</v>
      </c>
      <c r="AC7">
        <v>0</v>
      </c>
      <c r="AD7">
        <v>46752</v>
      </c>
      <c r="AE7" t="str">
        <v>Sandra Viegas</v>
      </c>
      <c r="AF7" t="str">
        <v>Catarina Andrade</v>
      </c>
      <c r="AG7" t="str">
        <v>www.azuya.pt</v>
      </c>
      <c r="AH7" t="str">
        <v>Where the whispers of the sea meet the embrace of nature, lies a sanctuary of unparalleled elegance. Nestled in one of Algarve’s most iconic havens, Azuya is crafted for those who seek exquisite comfort and timeless beauty — a place where dreams find their home.</v>
      </c>
      <c r="AI7" t="str">
        <v>Gym, Spa &amp; Welness Area, Private Pools, Condo Pool, Outdoor Areas, Smart Home Technology, Underground Parking, Kids Club</v>
      </c>
      <c r="AJ7" t="str">
        <v>Projeto exclusivo de 16 apartamentos com vista mar no Ancão; Arquitetura extraordinária e todas as unidades com piscina privativa; Penthouses com amplas áreas e piscina no rooftop; Ginásio, kids club, co-work area e area de spa e wellness.</v>
      </c>
      <c r="AK7" t="str">
        <v>Carvalho Araújo</v>
      </c>
      <c r="AL7" t="str">
        <v>Azuya</v>
      </c>
    </row>
    <row r="8" spans="1:38" x14ac:dyDescent="0.3">
      <c r="A8" s="129" t="str">
        <v>Azuya</v>
      </c>
      <c r="B8" s="129" t="str">
        <v>Algarve</v>
      </c>
      <c r="C8" s="110" t="str">
        <v>H</v>
      </c>
      <c r="D8" s="110" t="str">
        <v>Ancão, Algarve</v>
      </c>
      <c r="E8" s="110" t="str">
        <v>T3 Duplex</v>
      </c>
      <c r="F8" s="110">
        <v>251.07</v>
      </c>
      <c r="G8" s="110">
        <v>0</v>
      </c>
      <c r="H8" s="110" t="str">
        <v>16.7</v>
      </c>
      <c r="I8" s="110" t="str">
        <v>Yes</v>
      </c>
      <c r="J8" s="110">
        <v>7.25</v>
      </c>
      <c r="K8" s="110">
        <v>0</v>
      </c>
      <c r="L8" s="110">
        <v>0</v>
      </c>
      <c r="M8" s="110">
        <v>6.5</v>
      </c>
      <c r="N8" s="110">
        <v>0</v>
      </c>
      <c r="O8" s="110">
        <v>153.16</v>
      </c>
      <c r="P8" s="110">
        <v>0</v>
      </c>
      <c r="Q8" s="110" t="str">
        <v>AVAILABLE</v>
      </c>
      <c r="R8" s="110">
        <v>1750000</v>
      </c>
      <c r="S8" s="110">
        <v>1750000</v>
      </c>
      <c r="T8" s="110">
        <v>1750000</v>
      </c>
      <c r="U8" s="110">
        <v>0</v>
      </c>
      <c r="V8" s="110">
        <v>0</v>
      </c>
      <c r="W8" s="110">
        <v>1750000</v>
      </c>
      <c r="X8" s="110">
        <v>0</v>
      </c>
      <c r="Y8" s="110">
        <v>1750000</v>
      </c>
      <c r="Z8" s="110">
        <v>1750000</v>
      </c>
      <c r="AA8" s="110">
        <v>45982</v>
      </c>
      <c r="AB8" s="111" t="str">
        <v>Q4 2025</v>
      </c>
      <c r="AC8">
        <v>0</v>
      </c>
      <c r="AD8">
        <v>46752</v>
      </c>
      <c r="AE8" t="str">
        <v>Sandra Viegas</v>
      </c>
      <c r="AF8" t="str">
        <v>Catarina Andrade</v>
      </c>
      <c r="AG8" t="str">
        <v>www.azuya.pt</v>
      </c>
      <c r="AH8" t="str">
        <v>Where the whispers of the sea meet the embrace of nature, lies a sanctuary of unparalleled elegance. Nestled in one of Algarve’s most iconic havens, Azuya is crafted for those who seek exquisite comfort and timeless beauty — a place where dreams find their home.</v>
      </c>
      <c r="AI8" t="str">
        <v>Gym, Spa &amp; Welness Area, Private Pools, Condo Pool, Outdoor Areas, Smart Home Technology, Underground Parking, Kids Club</v>
      </c>
      <c r="AJ8" t="str">
        <v>Projeto exclusivo de 16 apartamentos com vista mar no Ancão; Arquitetura extraordinária e todas as unidades com piscina privativa; Penthouses com amplas áreas e piscina no rooftop; Ginásio, kids club, co-work area e area de spa e wellness.</v>
      </c>
      <c r="AK8" t="str">
        <v>Carvalho Araújo</v>
      </c>
      <c r="AL8" t="str">
        <v>Azuya</v>
      </c>
    </row>
    <row r="9" spans="1:38" x14ac:dyDescent="0.3">
      <c r="A9" s="129" t="str">
        <v>Azuya</v>
      </c>
      <c r="B9" s="129" t="str">
        <v>Algarve</v>
      </c>
      <c r="C9" s="110" t="str">
        <v>I</v>
      </c>
      <c r="D9" s="110" t="str">
        <v>Ancão, Algarve</v>
      </c>
      <c r="E9" s="110" t="str">
        <v>T3 Duplex</v>
      </c>
      <c r="F9" s="110">
        <v>250.97</v>
      </c>
      <c r="G9" s="110">
        <v>0</v>
      </c>
      <c r="H9" s="110" t="str">
        <v>16.36</v>
      </c>
      <c r="I9" s="110" t="str">
        <v>Yes</v>
      </c>
      <c r="J9" s="110">
        <v>7.25</v>
      </c>
      <c r="K9" s="110">
        <v>0</v>
      </c>
      <c r="L9" s="110">
        <v>0</v>
      </c>
      <c r="M9" s="110">
        <v>6.4</v>
      </c>
      <c r="N9" s="110">
        <v>0</v>
      </c>
      <c r="O9" s="110">
        <v>153.16</v>
      </c>
      <c r="P9" s="110">
        <v>0</v>
      </c>
      <c r="Q9" s="110" t="str">
        <v>AVAILABLE</v>
      </c>
      <c r="R9" s="110">
        <v>1750000</v>
      </c>
      <c r="S9" s="110">
        <v>1750000</v>
      </c>
      <c r="T9" s="110">
        <v>1750000</v>
      </c>
      <c r="U9" s="110">
        <v>0</v>
      </c>
      <c r="V9" s="110">
        <v>0</v>
      </c>
      <c r="W9" s="110">
        <v>1750000</v>
      </c>
      <c r="X9" s="110">
        <v>0</v>
      </c>
      <c r="Y9" s="110">
        <v>1750000</v>
      </c>
      <c r="Z9" s="110">
        <v>1750000</v>
      </c>
      <c r="AA9" s="110">
        <v>45982</v>
      </c>
      <c r="AB9" s="111" t="str">
        <v>Q4 2025</v>
      </c>
      <c r="AC9">
        <v>0</v>
      </c>
      <c r="AD9">
        <v>46752</v>
      </c>
      <c r="AE9" t="str">
        <v>Sandra Viegas</v>
      </c>
      <c r="AF9" t="str">
        <v>Catarina Andrade</v>
      </c>
      <c r="AG9" t="str">
        <v>www.azuya.pt</v>
      </c>
      <c r="AH9" t="str">
        <v>Where the whispers of the sea meet the embrace of nature, lies a sanctuary of unparalleled elegance. Nestled in one of Algarve’s most iconic havens, Azuya is crafted for those who seek exquisite comfort and timeless beauty — a place where dreams find their home.</v>
      </c>
      <c r="AI9" t="str">
        <v>Gym, Spa &amp; Welness Area, Private Pools, Condo Pool, Outdoor Areas, Smart Home Technology, Underground Parking, Kids Club</v>
      </c>
      <c r="AJ9" t="str">
        <v>Projeto exclusivo de 16 apartamentos com vista mar no Ancão; Arquitetura extraordinária e todas as unidades com piscina privativa; Penthouses com amplas áreas e piscina no rooftop; Ginásio, kids club, co-work area e area de spa e wellness.</v>
      </c>
      <c r="AK9" t="str">
        <v>Carvalho Araújo</v>
      </c>
      <c r="AL9" t="str">
        <v>Azuya</v>
      </c>
    </row>
    <row r="10" spans="1:38" x14ac:dyDescent="0.3">
      <c r="A10" s="110" t="str">
        <v>Azuya</v>
      </c>
      <c r="B10" s="110" t="str">
        <v>Algarve</v>
      </c>
      <c r="C10" s="110" t="str">
        <v>J</v>
      </c>
      <c r="D10" s="110" t="str">
        <v>Ancão, Algarve</v>
      </c>
      <c r="E10" s="110" t="str">
        <v>T3 Duplex</v>
      </c>
      <c r="F10" s="110">
        <v>270.81</v>
      </c>
      <c r="G10" s="110">
        <v>0</v>
      </c>
      <c r="H10" s="110" t="str">
        <v>16.36</v>
      </c>
      <c r="I10" s="110" t="str">
        <v>Yes</v>
      </c>
      <c r="J10" s="110">
        <v>7.25</v>
      </c>
      <c r="K10" s="110">
        <v>0</v>
      </c>
      <c r="L10" s="110">
        <v>0</v>
      </c>
      <c r="M10" s="110">
        <v>6.38</v>
      </c>
      <c r="N10" s="110">
        <v>0</v>
      </c>
      <c r="O10" s="110">
        <v>172.9</v>
      </c>
      <c r="P10" s="110">
        <v>0</v>
      </c>
      <c r="Q10" s="110" t="str">
        <v>AVAILABLE</v>
      </c>
      <c r="R10" s="110">
        <v>1850000</v>
      </c>
      <c r="S10" s="110">
        <v>1850000</v>
      </c>
      <c r="T10" s="110">
        <v>1850000</v>
      </c>
      <c r="U10" s="110">
        <v>0</v>
      </c>
      <c r="V10" s="110">
        <v>0</v>
      </c>
      <c r="W10" s="110">
        <v>1850000</v>
      </c>
      <c r="X10" s="110">
        <v>0</v>
      </c>
      <c r="Y10" s="110">
        <v>1850000</v>
      </c>
      <c r="Z10" s="110">
        <v>1850000</v>
      </c>
      <c r="AA10" s="110">
        <v>45982</v>
      </c>
      <c r="AB10" s="111" t="str">
        <v>Q4 2025</v>
      </c>
      <c r="AC10">
        <v>0</v>
      </c>
      <c r="AD10">
        <v>46752</v>
      </c>
      <c r="AE10" t="str">
        <v>Sandra Viegas</v>
      </c>
      <c r="AF10" t="str">
        <v>Catarina Andrade</v>
      </c>
      <c r="AG10" t="str">
        <v>www.azuya.pt</v>
      </c>
      <c r="AH10" t="str">
        <v>Where the whispers of the sea meet the embrace of nature, lies a sanctuary of unparalleled elegance. Nestled in one of Algarve’s most iconic havens, Azuya is crafted for those who seek exquisite comfort and timeless beauty — a place where dreams find their home.</v>
      </c>
      <c r="AI10" t="str">
        <v>Gym, Spa &amp; Welness Area, Private Pools, Condo Pool, Outdoor Areas, Smart Home Technology, Underground Parking, Kids Club</v>
      </c>
      <c r="AJ10" t="str">
        <v>Projeto exclusivo de 16 apartamentos com vista mar no Ancão; Arquitetura extraordinária e todas as unidades com piscina privativa; Penthouses com amplas áreas e piscina no rooftop; Ginásio, kids club, co-work area e area de spa e wellness.</v>
      </c>
      <c r="AK10" t="str">
        <v>Carvalho Araújo</v>
      </c>
      <c r="AL10" t="str">
        <v>Azuya</v>
      </c>
    </row>
    <row r="11" spans="1:38" x14ac:dyDescent="0.3">
      <c r="A11" s="110" t="str">
        <v>Azuya</v>
      </c>
      <c r="B11" s="110" t="str">
        <v>Algarve</v>
      </c>
      <c r="C11" s="110" t="str">
        <v>K</v>
      </c>
      <c r="D11" s="110" t="str">
        <v>Ancão, Algarve</v>
      </c>
      <c r="E11" s="110" t="str">
        <v>T3</v>
      </c>
      <c r="F11" s="110">
        <v>345.06</v>
      </c>
      <c r="G11" s="110">
        <v>0</v>
      </c>
      <c r="H11" s="110" t="str">
        <v>16.7</v>
      </c>
      <c r="I11" s="110" t="str">
        <v>Yes</v>
      </c>
      <c r="J11" s="110">
        <v>17.399999999999999</v>
      </c>
      <c r="K11" s="110">
        <v>0</v>
      </c>
      <c r="L11" s="110">
        <v>0</v>
      </c>
      <c r="M11" s="110">
        <v>0</v>
      </c>
      <c r="N11" s="110">
        <v>0</v>
      </c>
      <c r="O11" s="110">
        <v>160.9</v>
      </c>
      <c r="P11" s="110">
        <v>0</v>
      </c>
      <c r="Q11" s="110" t="str">
        <v>AVAILABLE</v>
      </c>
      <c r="R11" s="110">
        <v>1950000</v>
      </c>
      <c r="S11" s="110">
        <v>1950000</v>
      </c>
      <c r="T11" s="110">
        <v>1950000</v>
      </c>
      <c r="U11" s="110">
        <v>0</v>
      </c>
      <c r="V11" s="110">
        <v>0</v>
      </c>
      <c r="W11" s="110">
        <v>1950000</v>
      </c>
      <c r="X11" s="110">
        <v>0</v>
      </c>
      <c r="Y11" s="110">
        <v>1950000</v>
      </c>
      <c r="Z11" s="110">
        <v>1950000</v>
      </c>
      <c r="AA11" s="110">
        <v>45982</v>
      </c>
      <c r="AB11" s="111" t="str">
        <v>Q4 2025</v>
      </c>
      <c r="AC11">
        <v>0</v>
      </c>
      <c r="AD11">
        <v>46752</v>
      </c>
      <c r="AE11" t="str">
        <v>Sandra Viegas</v>
      </c>
      <c r="AF11" t="str">
        <v>Catarina Andrade</v>
      </c>
      <c r="AG11" t="str">
        <v>www.azuya.pt</v>
      </c>
      <c r="AH11" t="str">
        <v>Where the whispers of the sea meet the embrace of nature, lies a sanctuary of unparalleled elegance. Nestled in one of Algarve’s most iconic havens, Azuya is crafted for those who seek exquisite comfort and timeless beauty — a place where dreams find their home.</v>
      </c>
      <c r="AI11" t="str">
        <v>Gym, Spa &amp; Welness Area, Private Pools, Condo Pool, Outdoor Areas, Smart Home Technology, Underground Parking, Kids Club</v>
      </c>
      <c r="AJ11" t="str">
        <v>Projeto exclusivo de 16 apartamentos com vista mar no Ancão; Arquitetura extraordinária e todas as unidades com piscina privativa; Penthouses com amplas áreas e piscina no rooftop; Ginásio, kids club, co-work area e area de spa e wellness.</v>
      </c>
      <c r="AK11" t="str">
        <v>Carvalho Araújo</v>
      </c>
      <c r="AL11" t="str">
        <v>Azuya</v>
      </c>
    </row>
    <row r="12" spans="1:38" x14ac:dyDescent="0.3">
      <c r="A12" s="110" t="str">
        <v>Azuya</v>
      </c>
      <c r="B12" s="110" t="str">
        <v>Algarve</v>
      </c>
      <c r="C12" s="110" t="str">
        <v>L</v>
      </c>
      <c r="D12" s="110" t="str">
        <v>Ancão, Algarve</v>
      </c>
      <c r="E12" s="110" t="str">
        <v>T3</v>
      </c>
      <c r="F12" s="110">
        <v>344.10500000000002</v>
      </c>
      <c r="G12" s="110">
        <v>0</v>
      </c>
      <c r="H12" s="110" t="str">
        <v>16.36</v>
      </c>
      <c r="I12" s="110" t="str">
        <v>Yes</v>
      </c>
      <c r="J12" s="110">
        <v>13.484999999999999</v>
      </c>
      <c r="K12" s="110">
        <v>0</v>
      </c>
      <c r="L12" s="110">
        <v>0</v>
      </c>
      <c r="M12" s="110">
        <v>0</v>
      </c>
      <c r="N12" s="110">
        <v>0</v>
      </c>
      <c r="O12" s="110">
        <v>162.97999999999999</v>
      </c>
      <c r="P12" s="110">
        <v>0</v>
      </c>
      <c r="Q12" s="110" t="str">
        <v>AVAILABLE</v>
      </c>
      <c r="R12" s="110">
        <v>2100000</v>
      </c>
      <c r="S12" s="110">
        <v>2100000</v>
      </c>
      <c r="T12" s="110">
        <v>2100000</v>
      </c>
      <c r="U12" s="110">
        <v>0</v>
      </c>
      <c r="V12" s="110">
        <v>0</v>
      </c>
      <c r="W12" s="110">
        <v>2100000</v>
      </c>
      <c r="X12" s="110">
        <v>0</v>
      </c>
      <c r="Y12" s="110">
        <v>2100000</v>
      </c>
      <c r="Z12" s="110">
        <v>2100000</v>
      </c>
      <c r="AA12" s="110">
        <v>45982</v>
      </c>
      <c r="AB12" s="111" t="str">
        <v>Q4 2025</v>
      </c>
      <c r="AC12">
        <v>0</v>
      </c>
      <c r="AD12">
        <v>46752</v>
      </c>
      <c r="AE12" t="str">
        <v>Sandra Viegas</v>
      </c>
      <c r="AF12" t="str">
        <v>Catarina Andrade</v>
      </c>
      <c r="AG12" t="str">
        <v>www.azuya.pt</v>
      </c>
      <c r="AH12" t="str">
        <v>Where the whispers of the sea meet the embrace of nature, lies a sanctuary of unparalleled elegance. Nestled in one of Algarve’s most iconic havens, Azuya is crafted for those who seek exquisite comfort and timeless beauty — a place where dreams find their home.</v>
      </c>
      <c r="AI12" t="str">
        <v>Gym, Spa &amp; Welness Area, Private Pools, Condo Pool, Outdoor Areas, Smart Home Technology, Underground Parking, Kids Club</v>
      </c>
      <c r="AJ12" t="str">
        <v>Projeto exclusivo de 16 apartamentos com vista mar no Ancão; Arquitetura extraordinária e todas as unidades com piscina privativa; Penthouses com amplas áreas e piscina no rooftop; Ginásio, kids club, co-work area e area de spa e wellness.</v>
      </c>
      <c r="AK12" t="str">
        <v>Carvalho Araújo</v>
      </c>
      <c r="AL12" t="str">
        <v>Azuya</v>
      </c>
    </row>
    <row r="13" spans="1:38" x14ac:dyDescent="0.3">
      <c r="A13" s="110" t="str">
        <v>Azuya</v>
      </c>
      <c r="B13" s="110" t="str">
        <v>Algarve</v>
      </c>
      <c r="C13" s="110" t="str">
        <v>M</v>
      </c>
      <c r="D13" s="110" t="str">
        <v>Ancão, Algarve</v>
      </c>
      <c r="E13" s="110" t="str">
        <v>T3</v>
      </c>
      <c r="F13" s="110">
        <v>351.88</v>
      </c>
      <c r="G13" s="110">
        <v>0</v>
      </c>
      <c r="H13" s="110" t="str">
        <v>28.86</v>
      </c>
      <c r="I13" s="110" t="str">
        <v>Yes</v>
      </c>
      <c r="J13" s="110">
        <v>14.5</v>
      </c>
      <c r="K13" s="110">
        <v>0</v>
      </c>
      <c r="L13" s="110">
        <v>0</v>
      </c>
      <c r="M13" s="110">
        <v>0</v>
      </c>
      <c r="N13" s="110">
        <v>0</v>
      </c>
      <c r="O13" s="110">
        <v>160.11000000000001</v>
      </c>
      <c r="P13" s="110">
        <v>0</v>
      </c>
      <c r="Q13" s="110" t="str">
        <v>AVAILABLE</v>
      </c>
      <c r="R13" s="110">
        <v>2900000</v>
      </c>
      <c r="S13" s="110">
        <v>2900000</v>
      </c>
      <c r="T13" s="110">
        <v>2900000</v>
      </c>
      <c r="U13" s="110">
        <v>0</v>
      </c>
      <c r="V13" s="110">
        <v>0</v>
      </c>
      <c r="W13" s="110">
        <v>2900000</v>
      </c>
      <c r="X13" s="110">
        <v>0</v>
      </c>
      <c r="Y13" s="110">
        <v>2900000</v>
      </c>
      <c r="Z13" s="110">
        <v>2900000</v>
      </c>
      <c r="AA13" s="110">
        <v>45982</v>
      </c>
      <c r="AB13" s="111" t="str">
        <v>Q4 2025</v>
      </c>
      <c r="AC13">
        <v>0</v>
      </c>
      <c r="AD13">
        <v>46752</v>
      </c>
      <c r="AE13" t="str">
        <v>Sandra Viegas</v>
      </c>
      <c r="AF13" t="str">
        <v>Catarina Andrade</v>
      </c>
      <c r="AG13" t="str">
        <v>www.azuya.pt</v>
      </c>
      <c r="AH13" t="str">
        <v>Where the whispers of the sea meet the embrace of nature, lies a sanctuary of unparalleled elegance. Nestled in one of Algarve’s most iconic havens, Azuya is crafted for those who seek exquisite comfort and timeless beauty — a place where dreams find their home.</v>
      </c>
      <c r="AI13" t="str">
        <v>Gym, Spa &amp; Welness Area, Private Pools, Condo Pool, Outdoor Areas, Smart Home Technology, Underground Parking, Kids Club</v>
      </c>
      <c r="AJ13" t="str">
        <v>Projeto exclusivo de 16 apartamentos com vista mar no Ancão; Arquitetura extraordinária e todas as unidades com piscina privativa; Penthouses com amplas áreas e piscina no rooftop; Ginásio, kids club, co-work area e area de spa e wellness.</v>
      </c>
      <c r="AK13" t="str">
        <v>Carvalho Araújo</v>
      </c>
      <c r="AL13" t="str">
        <v>Azuya</v>
      </c>
    </row>
    <row r="14" spans="1:38" x14ac:dyDescent="0.3">
      <c r="A14" s="110" t="str">
        <v>Azuya</v>
      </c>
      <c r="B14" s="110" t="str">
        <v>Algarve</v>
      </c>
      <c r="C14" s="110" t="str">
        <v>N</v>
      </c>
      <c r="D14" s="110" t="str">
        <v>Ancão, Algarve</v>
      </c>
      <c r="E14" s="110" t="str">
        <v>T3</v>
      </c>
      <c r="F14" s="110">
        <v>347.97</v>
      </c>
      <c r="G14" s="110">
        <v>0</v>
      </c>
      <c r="H14" s="110" t="str">
        <v>28.86</v>
      </c>
      <c r="I14" s="110" t="str">
        <v>Yes</v>
      </c>
      <c r="J14" s="110">
        <v>14.5</v>
      </c>
      <c r="K14" s="110">
        <v>0</v>
      </c>
      <c r="L14" s="110">
        <v>0</v>
      </c>
      <c r="M14" s="110">
        <v>0</v>
      </c>
      <c r="N14" s="110">
        <v>0</v>
      </c>
      <c r="O14" s="110">
        <v>158.08000000000001</v>
      </c>
      <c r="P14" s="110">
        <v>0</v>
      </c>
      <c r="Q14" s="110" t="str">
        <v>AVAILABLE</v>
      </c>
      <c r="R14" s="110">
        <v>2300000</v>
      </c>
      <c r="S14" s="110">
        <v>2300000</v>
      </c>
      <c r="T14" s="110">
        <v>2300000</v>
      </c>
      <c r="U14" s="110">
        <v>0</v>
      </c>
      <c r="V14" s="110">
        <v>0</v>
      </c>
      <c r="W14" s="110">
        <v>2300000</v>
      </c>
      <c r="X14" s="110">
        <v>0</v>
      </c>
      <c r="Y14" s="110">
        <v>2300000</v>
      </c>
      <c r="Z14" s="110">
        <v>2300000</v>
      </c>
      <c r="AA14" s="110">
        <v>45982</v>
      </c>
      <c r="AB14" s="111" t="str">
        <v>Q4 2025</v>
      </c>
      <c r="AC14">
        <v>0</v>
      </c>
      <c r="AD14">
        <v>46752</v>
      </c>
      <c r="AE14" t="str">
        <v>Sandra Viegas</v>
      </c>
      <c r="AF14" t="str">
        <v>Catarina Andrade</v>
      </c>
      <c r="AG14" t="str">
        <v>www.azuya.pt</v>
      </c>
      <c r="AH14" t="str">
        <v>Where the whispers of the sea meet the embrace of nature, lies a sanctuary of unparalleled elegance. Nestled in one of Algarve’s most iconic havens, Azuya is crafted for those who seek exquisite comfort and timeless beauty — a place where dreams find their home.</v>
      </c>
      <c r="AI14" t="str">
        <v>Gym, Spa &amp; Welness Area, Private Pools, Condo Pool, Outdoor Areas, Smart Home Technology, Underground Parking, Kids Club</v>
      </c>
      <c r="AJ14" t="str">
        <v>Projeto exclusivo de 16 apartamentos com vista mar no Ancão; Arquitetura extraordinária e todas as unidades com piscina privativa; Penthouses com amplas áreas e piscina no rooftop; Ginásio, kids club, co-work area e area de spa e wellness.</v>
      </c>
      <c r="AK14" t="str">
        <v>Carvalho Araújo</v>
      </c>
      <c r="AL14" t="str">
        <v>Azuya</v>
      </c>
    </row>
    <row r="15" spans="1:38" x14ac:dyDescent="0.3">
      <c r="A15" s="110" t="str">
        <v>Azuya</v>
      </c>
      <c r="B15" s="110" t="str">
        <v>Algarve</v>
      </c>
      <c r="C15" s="110" t="str">
        <v>O</v>
      </c>
      <c r="D15" s="110" t="str">
        <v>Ancão, Algarve</v>
      </c>
      <c r="E15" s="110" t="str">
        <v>T3</v>
      </c>
      <c r="F15" s="110">
        <v>347.87</v>
      </c>
      <c r="G15" s="110">
        <v>0</v>
      </c>
      <c r="H15" s="110" t="str">
        <v>28.86</v>
      </c>
      <c r="I15" s="110" t="str">
        <v>Yes</v>
      </c>
      <c r="J15" s="110">
        <v>14.5</v>
      </c>
      <c r="K15" s="110">
        <v>0</v>
      </c>
      <c r="L15" s="110">
        <v>0</v>
      </c>
      <c r="M15" s="110">
        <v>0</v>
      </c>
      <c r="N15" s="110">
        <v>0</v>
      </c>
      <c r="O15" s="110">
        <v>158.06</v>
      </c>
      <c r="P15" s="110">
        <v>0</v>
      </c>
      <c r="Q15" s="110" t="str">
        <v>AVAILABLE</v>
      </c>
      <c r="R15" s="110">
        <v>2300000</v>
      </c>
      <c r="S15" s="110">
        <v>2300000</v>
      </c>
      <c r="T15" s="110">
        <v>2300000</v>
      </c>
      <c r="U15" s="110">
        <v>0</v>
      </c>
      <c r="V15" s="110">
        <v>0</v>
      </c>
      <c r="W15" s="110">
        <v>2300000</v>
      </c>
      <c r="X15" s="110">
        <v>0</v>
      </c>
      <c r="Y15" s="110">
        <v>2300000</v>
      </c>
      <c r="Z15" s="110">
        <v>2300000</v>
      </c>
      <c r="AA15" s="110">
        <v>45982</v>
      </c>
      <c r="AB15" s="111" t="str">
        <v>Q4 2025</v>
      </c>
      <c r="AC15">
        <v>0</v>
      </c>
      <c r="AD15">
        <v>46752</v>
      </c>
      <c r="AE15" t="str">
        <v>Sandra Viegas</v>
      </c>
      <c r="AF15" t="str">
        <v>Catarina Andrade</v>
      </c>
      <c r="AG15" t="str">
        <v>www.azuya.pt</v>
      </c>
      <c r="AH15" t="str">
        <v>Where the whispers of the sea meet the embrace of nature, lies a sanctuary of unparalleled elegance. Nestled in one of Algarve’s most iconic havens, Azuya is crafted for those who seek exquisite comfort and timeless beauty — a place where dreams find their home.</v>
      </c>
      <c r="AI15" t="str">
        <v>Gym, Spa &amp; Welness Area, Private Pools, Condo Pool, Outdoor Areas, Smart Home Technology, Underground Parking, Kids Club</v>
      </c>
      <c r="AJ15" t="str">
        <v>Projeto exclusivo de 16 apartamentos com vista mar no Ancão; Arquitetura extraordinária e todas as unidades com piscina privativa; Penthouses com amplas áreas e piscina no rooftop; Ginásio, kids club, co-work area e area de spa e wellness.</v>
      </c>
      <c r="AK15" t="str">
        <v>Carvalho Araújo</v>
      </c>
      <c r="AL15" t="str">
        <v>Azuya</v>
      </c>
    </row>
    <row r="16" spans="1:38" x14ac:dyDescent="0.3">
      <c r="A16" s="110" t="str">
        <v>Azuya</v>
      </c>
      <c r="B16" s="110" t="str">
        <v>Algarve</v>
      </c>
      <c r="C16" s="110" t="str">
        <v>P</v>
      </c>
      <c r="D16" s="110" t="str">
        <v>Ancão, Algarve</v>
      </c>
      <c r="E16" s="110" t="str">
        <v>T3</v>
      </c>
      <c r="F16" s="110">
        <v>352</v>
      </c>
      <c r="G16" s="110">
        <v>0</v>
      </c>
      <c r="H16" s="110" t="str">
        <v>28.86</v>
      </c>
      <c r="I16" s="110" t="str">
        <v>Yes</v>
      </c>
      <c r="J16" s="110">
        <v>14.5</v>
      </c>
      <c r="K16" s="110">
        <v>0</v>
      </c>
      <c r="L16" s="110">
        <v>0</v>
      </c>
      <c r="M16" s="110">
        <v>0</v>
      </c>
      <c r="N16" s="110">
        <v>0</v>
      </c>
      <c r="O16" s="110">
        <v>160.11000000000001</v>
      </c>
      <c r="P16" s="110">
        <v>0</v>
      </c>
      <c r="Q16" s="110" t="str">
        <v>AVAILABLE</v>
      </c>
      <c r="R16" s="110">
        <v>2400000</v>
      </c>
      <c r="S16" s="110">
        <v>2400000</v>
      </c>
      <c r="T16" s="110">
        <v>2400000</v>
      </c>
      <c r="U16" s="110">
        <v>0</v>
      </c>
      <c r="V16" s="110">
        <v>0</v>
      </c>
      <c r="W16" s="110">
        <v>2400000</v>
      </c>
      <c r="X16" s="110">
        <v>0</v>
      </c>
      <c r="Y16" s="110">
        <v>2400000</v>
      </c>
      <c r="Z16" s="110">
        <v>2400000</v>
      </c>
      <c r="AA16" s="110">
        <v>45982</v>
      </c>
      <c r="AB16" s="111" t="str">
        <v>Q4 2025</v>
      </c>
      <c r="AC16">
        <v>0</v>
      </c>
      <c r="AD16">
        <v>46752</v>
      </c>
      <c r="AE16" t="str">
        <v>Sandra Viegas</v>
      </c>
      <c r="AF16" t="str">
        <v>Catarina Andrade</v>
      </c>
      <c r="AG16" t="str">
        <v>www.azuya.pt</v>
      </c>
      <c r="AH16" t="str">
        <v>Where the whispers of the sea meet the embrace of nature, lies a sanctuary of unparalleled elegance. Nestled in one of Algarve’s most iconic havens, Azuya is crafted for those who seek exquisite comfort and timeless beauty — a place where dreams find their home.</v>
      </c>
      <c r="AI16" t="str">
        <v>Gym, Spa &amp; Welness Area, Private Pools, Condo Pool, Outdoor Areas, Smart Home Technology, Underground Parking, Kids Club</v>
      </c>
      <c r="AJ16" t="str">
        <v>Projeto exclusivo de 16 apartamentos com vista mar no Ancão; Arquitetura extraordinária e todas as unidades com piscina privativa; Penthouses com amplas áreas e piscina no rooftop; Ginásio, kids club, co-work area e area de spa e wellness.</v>
      </c>
      <c r="AK16" t="str">
        <v>Carvalho Araújo</v>
      </c>
      <c r="AL16" t="str">
        <v>Azuya</v>
      </c>
    </row>
    <row r="17" spans="1:38" x14ac:dyDescent="0.3">
      <c r="A17" s="110" t="str">
        <v>Azuya</v>
      </c>
      <c r="B17" s="110" t="str">
        <v>Algarve</v>
      </c>
      <c r="C17" s="110" t="str">
        <v>B</v>
      </c>
      <c r="D17" s="110" t="str">
        <v>Ancão, Algarve</v>
      </c>
      <c r="E17" s="110" t="str">
        <v>T3 Duplex</v>
      </c>
      <c r="F17" s="110">
        <v>399.41</v>
      </c>
      <c r="G17" s="110">
        <v>0</v>
      </c>
      <c r="H17" s="110" t="str">
        <v>29.2</v>
      </c>
      <c r="I17" s="110" t="str">
        <v>Yes</v>
      </c>
      <c r="J17" s="110">
        <v>9</v>
      </c>
      <c r="K17" s="110">
        <v>0</v>
      </c>
      <c r="L17" s="110">
        <v>0</v>
      </c>
      <c r="M17" s="110">
        <v>19.66</v>
      </c>
      <c r="N17" s="110">
        <v>0</v>
      </c>
      <c r="O17" s="110">
        <v>200.37</v>
      </c>
      <c r="P17" s="110">
        <v>0</v>
      </c>
      <c r="Q17" s="110" t="str">
        <v xml:space="preserve">PSPA </v>
      </c>
      <c r="R17" s="110">
        <v>2700000</v>
      </c>
      <c r="S17" s="110">
        <v>2700000</v>
      </c>
      <c r="T17" s="110">
        <v>2700000</v>
      </c>
      <c r="U17" s="110">
        <v>0</v>
      </c>
      <c r="V17" s="110">
        <v>0</v>
      </c>
      <c r="W17" s="110">
        <v>2700000</v>
      </c>
      <c r="X17" s="110">
        <v>0</v>
      </c>
      <c r="Y17" s="110">
        <v>2700000</v>
      </c>
      <c r="Z17" s="110">
        <v>2700000</v>
      </c>
      <c r="AA17" s="110">
        <v>45982</v>
      </c>
      <c r="AB17" s="111" t="str">
        <v>Q4 2025</v>
      </c>
      <c r="AC17">
        <v>46191</v>
      </c>
      <c r="AD17">
        <v>46752</v>
      </c>
      <c r="AE17" t="str">
        <v>Sandra Viegas</v>
      </c>
      <c r="AF17" t="str">
        <v>Catarina Andrade</v>
      </c>
      <c r="AG17" t="str">
        <v>www.azuya.pt</v>
      </c>
      <c r="AH17" t="str">
        <v>Where the whispers of the sea meet the embrace of nature, lies a sanctuary of unparalleled elegance. Nestled in one of Algarve’s most iconic havens, Azuya is crafted for those who seek exquisite comfort and timeless beauty — a place where dreams find their home.</v>
      </c>
      <c r="AI17" t="str">
        <v>Gym, Spa &amp; Welness Area, Private Pools, Condo Pool, Outdoor Areas, Smart Home Technology, Underground Parking, Kids Club</v>
      </c>
      <c r="AJ17" t="str">
        <v>Projeto exclusivo de 16 apartamentos com vista mar no Ancão; Arquitetura extraordinária e todas as unidades com piscina privativa; Penthouses com amplas áreas e piscina no rooftop; Ginásio, kids club, co-work area e area de spa e wellness.</v>
      </c>
      <c r="AK17" t="str">
        <v>Carvalho Araújo</v>
      </c>
      <c r="AL17" t="str">
        <v>Azuya</v>
      </c>
    </row>
    <row r="18" spans="1:38" x14ac:dyDescent="0.3">
      <c r="A18" s="110" t="str">
        <v>Azuya</v>
      </c>
      <c r="B18" s="110" t="str">
        <v>Algarve</v>
      </c>
      <c r="C18" s="110" t="str">
        <v>A</v>
      </c>
      <c r="D18" s="110" t="str">
        <v>Ancão, Algarve</v>
      </c>
      <c r="E18" s="110" t="str">
        <v>T3 Duplex</v>
      </c>
      <c r="F18" s="110">
        <v>367.73</v>
      </c>
      <c r="G18" s="110">
        <v>0</v>
      </c>
      <c r="H18" s="110" t="str">
        <v>29.2</v>
      </c>
      <c r="I18" s="110" t="str">
        <v>Yes</v>
      </c>
      <c r="J18" s="110">
        <v>9</v>
      </c>
      <c r="K18" s="110">
        <v>0</v>
      </c>
      <c r="L18" s="110">
        <v>0</v>
      </c>
      <c r="M18" s="110">
        <v>17.41</v>
      </c>
      <c r="N18" s="110">
        <v>0</v>
      </c>
      <c r="O18" s="110">
        <v>190.24</v>
      </c>
      <c r="P18" s="110">
        <v>0</v>
      </c>
      <c r="Q18" s="110" t="str">
        <v>RESERVED</v>
      </c>
      <c r="R18" s="110">
        <v>2610000</v>
      </c>
      <c r="S18" s="110">
        <v>2610000</v>
      </c>
      <c r="T18" s="110">
        <v>2610000</v>
      </c>
      <c r="U18" s="110">
        <v>0</v>
      </c>
      <c r="V18" s="110">
        <v>0</v>
      </c>
      <c r="W18" s="110">
        <v>2610000</v>
      </c>
      <c r="X18" s="110">
        <v>0</v>
      </c>
      <c r="Y18" s="110">
        <v>2610000</v>
      </c>
      <c r="Z18" s="110">
        <v>2610000</v>
      </c>
      <c r="AA18" s="110">
        <v>45982</v>
      </c>
      <c r="AB18" s="111" t="str">
        <v>Q4 2025</v>
      </c>
      <c r="AC18">
        <v>46157</v>
      </c>
      <c r="AD18">
        <v>46752</v>
      </c>
      <c r="AE18" t="str">
        <v>Sandra Viegas</v>
      </c>
      <c r="AF18" t="str">
        <v>Catarina Andrade</v>
      </c>
      <c r="AG18" t="str">
        <v>www.azuya.pt</v>
      </c>
      <c r="AH18" t="str">
        <v>Where the whispers of the sea meet the embrace of nature, lies a sanctuary of unparalleled elegance. Nestled in one of Algarve’s most iconic havens, Azuya is crafted for those who seek exquisite comfort and timeless beauty — a place where dreams find their home.</v>
      </c>
      <c r="AI18" t="str">
        <v>Gym, Spa &amp; Welness Area, Private Pools, Condo Pool, Outdoor Areas, Smart Home Technology, Underground Parking, Kids Club</v>
      </c>
      <c r="AJ18" t="str">
        <v>Projeto exclusivo de 16 apartamentos com vista mar no Ancão; Arquitetura extraordinária e todas as unidades com piscina privativa; Penthouses com amplas áreas e piscina no rooftop; Ginásio, kids club, co-work area e area de spa e wellness.</v>
      </c>
      <c r="AK18" t="str">
        <v>Carvalho Araújo</v>
      </c>
      <c r="AL18" t="str">
        <v>Azuya</v>
      </c>
    </row>
    <row r="19" spans="1:38" x14ac:dyDescent="0.3">
      <c r="A19" s="110"/>
      <c r="B19" s="110"/>
      <c r="C19" s="110"/>
      <c r="D19" s="110"/>
      <c r="E19" s="110"/>
      <c r="F19" s="110"/>
      <c r="G19" s="110"/>
      <c r="H19" s="110"/>
      <c r="I19" s="110"/>
      <c r="J19" s="110"/>
      <c r="K19" s="110"/>
      <c r="L19" s="110"/>
      <c r="M19" s="110"/>
      <c r="N19" s="110"/>
      <c r="O19" s="110"/>
      <c r="P19" s="110"/>
      <c r="Q19" s="110"/>
      <c r="R19" s="110"/>
      <c r="S19" s="110"/>
      <c r="T19" s="110"/>
      <c r="U19" s="110"/>
      <c r="V19" s="110"/>
      <c r="W19" s="110"/>
      <c r="X19" s="110"/>
      <c r="Y19" s="110"/>
      <c r="Z19" s="110"/>
      <c r="AA19" s="110"/>
      <c r="AB19" s="111"/>
    </row>
    <row r="20" spans="1:38" x14ac:dyDescent="0.3">
      <c r="A20" s="110"/>
      <c r="B20" s="110"/>
      <c r="C20" s="110"/>
      <c r="D20" s="110"/>
      <c r="E20" s="110"/>
      <c r="F20" s="110"/>
      <c r="G20" s="110"/>
      <c r="H20" s="110"/>
      <c r="I20" s="110"/>
      <c r="J20" s="110"/>
      <c r="K20" s="110"/>
      <c r="L20" s="110"/>
      <c r="M20" s="110"/>
      <c r="N20" s="110"/>
      <c r="O20" s="110"/>
      <c r="P20" s="110"/>
      <c r="Q20" s="110"/>
      <c r="R20" s="110"/>
      <c r="S20" s="110"/>
      <c r="T20" s="110"/>
      <c r="U20" s="110"/>
      <c r="V20" s="110"/>
      <c r="W20" s="110"/>
      <c r="X20" s="110"/>
      <c r="Y20" s="110"/>
      <c r="Z20" s="110"/>
      <c r="AA20" s="110"/>
      <c r="AB20" s="111"/>
    </row>
    <row r="21" spans="1:38" x14ac:dyDescent="0.3">
      <c r="A21" s="110"/>
      <c r="B21" s="110"/>
      <c r="C21" s="110"/>
      <c r="D21" s="110"/>
      <c r="E21" s="110"/>
      <c r="F21" s="110"/>
      <c r="G21" s="110"/>
      <c r="H21" s="110"/>
      <c r="I21" s="110"/>
      <c r="J21" s="110"/>
      <c r="K21" s="110"/>
      <c r="L21" s="110"/>
      <c r="M21" s="110"/>
      <c r="N21" s="110"/>
      <c r="O21" s="110"/>
      <c r="P21" s="110"/>
      <c r="Q21" s="110"/>
      <c r="R21" s="110"/>
      <c r="S21" s="110"/>
      <c r="T21" s="110"/>
      <c r="U21" s="110"/>
      <c r="V21" s="110"/>
      <c r="W21" s="110"/>
      <c r="X21" s="110"/>
      <c r="Y21" s="110"/>
      <c r="Z21" s="110"/>
      <c r="AA21" s="110"/>
      <c r="AB21" s="111"/>
    </row>
    <row r="22" spans="1:38" x14ac:dyDescent="0.3">
      <c r="A22" s="110"/>
      <c r="B22" s="110"/>
      <c r="C22" s="110"/>
      <c r="D22" s="110"/>
      <c r="E22" s="110"/>
      <c r="F22" s="110"/>
      <c r="G22" s="110"/>
      <c r="H22" s="110"/>
      <c r="I22" s="110"/>
      <c r="J22" s="110"/>
      <c r="K22" s="110"/>
      <c r="L22" s="110"/>
      <c r="M22" s="110"/>
      <c r="N22" s="110"/>
      <c r="O22" s="110"/>
      <c r="P22" s="110"/>
      <c r="Q22" s="110"/>
      <c r="R22" s="110"/>
      <c r="S22" s="110"/>
      <c r="T22" s="110"/>
      <c r="U22" s="110"/>
      <c r="V22" s="110"/>
      <c r="W22" s="110"/>
      <c r="X22" s="110"/>
      <c r="Y22" s="110"/>
      <c r="Z22" s="110"/>
      <c r="AA22" s="110"/>
      <c r="AB22" s="111"/>
    </row>
    <row r="23" spans="1:38" x14ac:dyDescent="0.3">
      <c r="A23" s="110"/>
      <c r="B23" s="110"/>
      <c r="C23" s="110"/>
      <c r="D23" s="110"/>
      <c r="E23" s="110"/>
      <c r="F23" s="110"/>
      <c r="G23" s="110"/>
      <c r="H23" s="110"/>
      <c r="I23" s="110"/>
      <c r="J23" s="110"/>
      <c r="K23" s="110"/>
      <c r="L23" s="110"/>
      <c r="M23" s="110"/>
      <c r="N23" s="110"/>
      <c r="O23" s="110"/>
      <c r="P23" s="110"/>
      <c r="Q23" s="110"/>
      <c r="R23" s="110"/>
      <c r="S23" s="110"/>
      <c r="T23" s="110"/>
      <c r="U23" s="110"/>
      <c r="V23" s="110"/>
      <c r="W23" s="110"/>
      <c r="X23" s="110"/>
      <c r="Y23" s="110"/>
      <c r="Z23" s="110"/>
      <c r="AA23" s="110"/>
      <c r="AB23" s="111"/>
    </row>
    <row r="24" spans="1:38" x14ac:dyDescent="0.3">
      <c r="A24" s="110"/>
      <c r="B24" s="110"/>
      <c r="C24" s="110"/>
      <c r="D24" s="110"/>
      <c r="E24" s="110"/>
      <c r="F24" s="110"/>
      <c r="G24" s="110"/>
      <c r="H24" s="110"/>
      <c r="I24" s="110"/>
      <c r="J24" s="110"/>
      <c r="K24" s="110"/>
      <c r="L24" s="110"/>
      <c r="M24" s="110"/>
      <c r="N24" s="110"/>
      <c r="O24" s="110"/>
      <c r="P24" s="110"/>
      <c r="Q24" s="110"/>
      <c r="R24" s="110"/>
      <c r="S24" s="110"/>
      <c r="T24" s="110"/>
      <c r="U24" s="110"/>
      <c r="V24" s="110"/>
      <c r="W24" s="110"/>
      <c r="X24" s="110"/>
      <c r="Y24" s="110"/>
      <c r="Z24" s="110"/>
      <c r="AA24" s="110"/>
      <c r="AB24" s="111"/>
    </row>
    <row r="25" spans="1:38" x14ac:dyDescent="0.3">
      <c r="A25" s="110"/>
      <c r="B25" s="110"/>
      <c r="C25" s="110"/>
      <c r="D25" s="110"/>
      <c r="E25" s="110"/>
      <c r="F25" s="110"/>
      <c r="G25" s="110"/>
      <c r="H25" s="110"/>
      <c r="I25" s="110"/>
      <c r="J25" s="110"/>
      <c r="K25" s="110"/>
      <c r="L25" s="110"/>
      <c r="M25" s="110"/>
      <c r="N25" s="110"/>
      <c r="O25" s="110"/>
      <c r="P25" s="110"/>
      <c r="Q25" s="110"/>
      <c r="R25" s="110"/>
      <c r="S25" s="110"/>
      <c r="T25" s="110"/>
      <c r="U25" s="110"/>
      <c r="V25" s="110"/>
      <c r="W25" s="110"/>
      <c r="X25" s="110"/>
      <c r="Y25" s="110"/>
      <c r="Z25" s="110"/>
      <c r="AA25" s="110"/>
      <c r="AB25" s="111"/>
    </row>
    <row r="26" spans="1:38" x14ac:dyDescent="0.3">
      <c r="A26" s="110"/>
      <c r="B26" s="110"/>
      <c r="C26" s="110"/>
      <c r="D26" s="110"/>
      <c r="E26" s="110"/>
      <c r="F26" s="110"/>
      <c r="G26" s="110"/>
      <c r="H26" s="110"/>
      <c r="I26" s="110"/>
      <c r="J26" s="110"/>
      <c r="K26" s="110"/>
      <c r="L26" s="110"/>
      <c r="M26" s="110"/>
      <c r="N26" s="110"/>
      <c r="O26" s="110"/>
      <c r="P26" s="110"/>
      <c r="Q26" s="110"/>
      <c r="R26" s="110"/>
      <c r="S26" s="110"/>
      <c r="T26" s="110"/>
      <c r="U26" s="110"/>
      <c r="V26" s="110"/>
      <c r="W26" s="110"/>
      <c r="X26" s="110"/>
      <c r="Y26" s="110"/>
      <c r="Z26" s="110"/>
      <c r="AA26" s="110"/>
      <c r="AB26" s="111"/>
    </row>
    <row r="27" spans="1:38" x14ac:dyDescent="0.3">
      <c r="A27" s="110"/>
      <c r="B27" s="110"/>
      <c r="C27" s="110"/>
      <c r="D27" s="110"/>
      <c r="E27" s="110"/>
      <c r="F27" s="110"/>
      <c r="G27" s="110"/>
      <c r="H27" s="110"/>
      <c r="I27" s="110"/>
      <c r="J27" s="110"/>
      <c r="K27" s="110"/>
      <c r="L27" s="110"/>
      <c r="M27" s="110"/>
      <c r="N27" s="110"/>
      <c r="O27" s="110"/>
      <c r="P27" s="110"/>
      <c r="Q27" s="110"/>
      <c r="R27" s="110"/>
      <c r="S27" s="110"/>
      <c r="T27" s="110"/>
      <c r="U27" s="110"/>
      <c r="V27" s="110"/>
      <c r="W27" s="110"/>
      <c r="X27" s="110"/>
      <c r="Y27" s="110"/>
      <c r="Z27" s="110"/>
      <c r="AA27" s="110"/>
      <c r="AB27" s="111"/>
    </row>
    <row r="28" spans="1:38" x14ac:dyDescent="0.3">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c r="Y28" s="110"/>
      <c r="Z28" s="110"/>
      <c r="AA28" s="110"/>
      <c r="AB28" s="111"/>
    </row>
    <row r="29" spans="1:38" x14ac:dyDescent="0.3">
      <c r="A29" s="110"/>
      <c r="B29" s="110"/>
      <c r="C29" s="110"/>
      <c r="D29" s="110"/>
      <c r="E29" s="110"/>
      <c r="F29" s="110"/>
      <c r="G29" s="110"/>
      <c r="H29" s="110"/>
      <c r="I29" s="110"/>
      <c r="J29" s="110"/>
      <c r="K29" s="110"/>
      <c r="L29" s="110"/>
      <c r="M29" s="110"/>
      <c r="N29" s="110"/>
      <c r="O29" s="110"/>
      <c r="P29" s="110"/>
      <c r="Q29" s="110"/>
      <c r="R29" s="110"/>
      <c r="S29" s="110"/>
      <c r="T29" s="110"/>
      <c r="U29" s="110"/>
      <c r="V29" s="110"/>
      <c r="W29" s="110"/>
      <c r="X29" s="110"/>
      <c r="Y29" s="110"/>
      <c r="Z29" s="110"/>
      <c r="AA29" s="110"/>
      <c r="AB29" s="111"/>
    </row>
    <row r="30" spans="1:38" x14ac:dyDescent="0.3">
      <c r="A30" s="110"/>
      <c r="B30" s="110"/>
      <c r="C30" s="110"/>
      <c r="D30" s="110"/>
      <c r="E30" s="110"/>
      <c r="F30" s="110"/>
      <c r="G30" s="110"/>
      <c r="H30" s="110"/>
      <c r="I30" s="110"/>
      <c r="J30" s="110"/>
      <c r="K30" s="110"/>
      <c r="L30" s="110"/>
      <c r="M30" s="110"/>
      <c r="N30" s="110"/>
      <c r="O30" s="110"/>
      <c r="P30" s="110"/>
      <c r="Q30" s="110"/>
      <c r="R30" s="110"/>
      <c r="S30" s="110"/>
      <c r="T30" s="110"/>
      <c r="U30" s="110"/>
      <c r="V30" s="110"/>
      <c r="W30" s="110"/>
      <c r="X30" s="110"/>
      <c r="Y30" s="110"/>
      <c r="Z30" s="110"/>
      <c r="AA30" s="110"/>
      <c r="AB30" s="111"/>
    </row>
    <row r="31" spans="1:38" x14ac:dyDescent="0.3">
      <c r="A31" s="110"/>
      <c r="B31" s="110"/>
      <c r="C31" s="110"/>
      <c r="D31" s="110"/>
      <c r="E31" s="110"/>
      <c r="F31" s="110"/>
      <c r="G31" s="110"/>
      <c r="H31" s="110"/>
      <c r="I31" s="110"/>
      <c r="J31" s="110"/>
      <c r="K31" s="110"/>
      <c r="L31" s="110"/>
      <c r="M31" s="110"/>
      <c r="N31" s="110"/>
      <c r="O31" s="110"/>
      <c r="P31" s="110"/>
      <c r="Q31" s="110"/>
      <c r="R31" s="110"/>
      <c r="S31" s="110"/>
      <c r="T31" s="110"/>
      <c r="U31" s="110"/>
      <c r="V31" s="110"/>
      <c r="W31" s="110"/>
      <c r="X31" s="110"/>
      <c r="Y31" s="110"/>
      <c r="Z31" s="110"/>
      <c r="AA31" s="110"/>
      <c r="AB31" s="111"/>
    </row>
    <row r="32" spans="1:38" x14ac:dyDescent="0.3">
      <c r="A32" s="110"/>
      <c r="B32" s="110"/>
      <c r="C32" s="110"/>
      <c r="D32" s="110"/>
      <c r="E32" s="110"/>
      <c r="F32" s="110"/>
      <c r="G32" s="110"/>
      <c r="H32" s="110"/>
      <c r="I32" s="110"/>
      <c r="J32" s="110"/>
      <c r="K32" s="110"/>
      <c r="L32" s="110"/>
      <c r="M32" s="110"/>
      <c r="N32" s="110"/>
      <c r="O32" s="110"/>
      <c r="P32" s="110"/>
      <c r="Q32" s="110"/>
      <c r="R32" s="110"/>
      <c r="S32" s="110"/>
      <c r="T32" s="110"/>
      <c r="U32" s="110"/>
      <c r="V32" s="110"/>
      <c r="W32" s="110"/>
      <c r="X32" s="110"/>
      <c r="Y32" s="110"/>
      <c r="Z32" s="110"/>
      <c r="AA32" s="110"/>
      <c r="AB32" s="111"/>
    </row>
    <row r="33" spans="1:28" x14ac:dyDescent="0.3">
      <c r="A33" s="110"/>
      <c r="B33" s="110"/>
      <c r="C33" s="110"/>
      <c r="D33" s="110"/>
      <c r="E33" s="110"/>
      <c r="F33" s="110"/>
      <c r="G33" s="110"/>
      <c r="H33" s="110"/>
      <c r="I33" s="110"/>
      <c r="J33" s="110"/>
      <c r="K33" s="110"/>
      <c r="L33" s="110"/>
      <c r="M33" s="110"/>
      <c r="N33" s="110"/>
      <c r="O33" s="110"/>
      <c r="P33" s="110"/>
      <c r="Q33" s="110"/>
      <c r="R33" s="110"/>
      <c r="S33" s="110"/>
      <c r="T33" s="110"/>
      <c r="U33" s="110"/>
      <c r="V33" s="110"/>
      <c r="W33" s="110"/>
      <c r="X33" s="110"/>
      <c r="Y33" s="110"/>
      <c r="Z33" s="110"/>
      <c r="AA33" s="110"/>
      <c r="AB33" s="111"/>
    </row>
    <row r="34" spans="1:28" x14ac:dyDescent="0.3">
      <c r="A34" s="110"/>
      <c r="B34" s="110"/>
      <c r="C34" s="110"/>
      <c r="D34" s="110"/>
      <c r="E34" s="110"/>
      <c r="F34" s="110"/>
      <c r="G34" s="110"/>
      <c r="H34" s="110"/>
      <c r="I34" s="110"/>
      <c r="J34" s="110"/>
      <c r="K34" s="110"/>
      <c r="L34" s="110"/>
      <c r="M34" s="110"/>
      <c r="N34" s="110"/>
      <c r="O34" s="110"/>
      <c r="P34" s="110"/>
      <c r="Q34" s="110"/>
      <c r="R34" s="110"/>
      <c r="S34" s="110"/>
      <c r="T34" s="110"/>
      <c r="U34" s="110"/>
      <c r="V34" s="110"/>
      <c r="W34" s="110"/>
      <c r="X34" s="110"/>
      <c r="Y34" s="110"/>
      <c r="Z34" s="110"/>
      <c r="AA34" s="110"/>
      <c r="AB34" s="111"/>
    </row>
    <row r="35" spans="1:28" x14ac:dyDescent="0.3">
      <c r="A35" s="110"/>
      <c r="B35" s="110"/>
      <c r="C35" s="110"/>
      <c r="D35" s="110"/>
      <c r="E35" s="110"/>
      <c r="F35" s="110"/>
      <c r="G35" s="110"/>
      <c r="H35" s="110"/>
      <c r="I35" s="110"/>
      <c r="J35" s="110"/>
      <c r="K35" s="110"/>
      <c r="L35" s="110"/>
      <c r="M35" s="110"/>
      <c r="N35" s="110"/>
      <c r="O35" s="110"/>
      <c r="P35" s="110"/>
      <c r="Q35" s="110"/>
      <c r="R35" s="110"/>
      <c r="S35" s="110"/>
      <c r="T35" s="110"/>
      <c r="U35" s="110"/>
      <c r="V35" s="110"/>
      <c r="W35" s="110"/>
      <c r="X35" s="110"/>
      <c r="Y35" s="110"/>
      <c r="Z35" s="110"/>
      <c r="AA35" s="110"/>
      <c r="AB35" s="111"/>
    </row>
    <row r="36" spans="1:28" x14ac:dyDescent="0.3">
      <c r="A36" s="110"/>
      <c r="B36" s="110"/>
      <c r="C36" s="110"/>
      <c r="D36" s="110"/>
      <c r="E36" s="110"/>
      <c r="F36" s="110"/>
      <c r="G36" s="110"/>
      <c r="H36" s="110"/>
      <c r="I36" s="110"/>
      <c r="J36" s="110"/>
      <c r="K36" s="110"/>
      <c r="L36" s="110"/>
      <c r="M36" s="110"/>
      <c r="N36" s="110"/>
      <c r="O36" s="110"/>
      <c r="P36" s="110"/>
      <c r="Q36" s="110"/>
      <c r="R36" s="110"/>
      <c r="S36" s="110"/>
      <c r="T36" s="110"/>
      <c r="U36" s="110"/>
      <c r="V36" s="110"/>
      <c r="W36" s="110"/>
      <c r="X36" s="110"/>
      <c r="Y36" s="110"/>
      <c r="Z36" s="110"/>
      <c r="AA36" s="110"/>
      <c r="AB36" s="111"/>
    </row>
    <row r="37" spans="1:28" x14ac:dyDescent="0.3">
      <c r="A37" s="110"/>
      <c r="B37" s="110"/>
      <c r="C37" s="110"/>
      <c r="D37" s="110"/>
      <c r="E37" s="110"/>
      <c r="F37" s="110"/>
      <c r="G37" s="110"/>
      <c r="H37" s="110"/>
      <c r="I37" s="110"/>
      <c r="J37" s="110"/>
      <c r="K37" s="110"/>
      <c r="L37" s="110"/>
      <c r="M37" s="110"/>
      <c r="N37" s="110"/>
      <c r="O37" s="110"/>
      <c r="P37" s="110"/>
      <c r="Q37" s="110"/>
      <c r="R37" s="110"/>
      <c r="S37" s="110"/>
      <c r="T37" s="110"/>
      <c r="U37" s="110"/>
      <c r="V37" s="110"/>
      <c r="W37" s="110"/>
      <c r="X37" s="110"/>
      <c r="Y37" s="110"/>
      <c r="Z37" s="110"/>
      <c r="AA37" s="110"/>
      <c r="AB37" s="111"/>
    </row>
    <row r="38" spans="1:28" x14ac:dyDescent="0.3">
      <c r="A38" s="110"/>
      <c r="B38" s="110"/>
      <c r="C38" s="110"/>
      <c r="D38" s="110"/>
      <c r="E38" s="110"/>
      <c r="F38" s="110"/>
      <c r="G38" s="110"/>
      <c r="H38" s="110"/>
      <c r="I38" s="110"/>
      <c r="J38" s="110"/>
      <c r="K38" s="110"/>
      <c r="L38" s="110"/>
      <c r="M38" s="110"/>
      <c r="N38" s="110"/>
      <c r="O38" s="110"/>
      <c r="P38" s="110"/>
      <c r="Q38" s="110"/>
      <c r="R38" s="110"/>
      <c r="S38" s="110"/>
      <c r="T38" s="110"/>
      <c r="U38" s="110"/>
      <c r="V38" s="110"/>
      <c r="W38" s="110"/>
      <c r="X38" s="110"/>
      <c r="Y38" s="110"/>
      <c r="Z38" s="110"/>
      <c r="AA38" s="110"/>
      <c r="AB38" s="111"/>
    </row>
    <row r="39" spans="1:28" x14ac:dyDescent="0.3">
      <c r="A39" s="110"/>
      <c r="B39" s="110"/>
      <c r="C39" s="110"/>
      <c r="D39" s="110"/>
      <c r="E39" s="110"/>
      <c r="F39" s="110"/>
      <c r="G39" s="110"/>
      <c r="H39" s="110"/>
      <c r="I39" s="110"/>
      <c r="J39" s="110"/>
      <c r="K39" s="110"/>
      <c r="L39" s="110"/>
      <c r="M39" s="110"/>
      <c r="N39" s="110"/>
      <c r="O39" s="110"/>
      <c r="P39" s="110"/>
      <c r="Q39" s="110"/>
      <c r="R39" s="110"/>
      <c r="S39" s="110"/>
      <c r="T39" s="110"/>
      <c r="U39" s="110"/>
      <c r="V39" s="110"/>
      <c r="W39" s="110"/>
      <c r="X39" s="110"/>
      <c r="Y39" s="110"/>
      <c r="Z39" s="110"/>
      <c r="AA39" s="110"/>
      <c r="AB39" s="111"/>
    </row>
    <row r="40" spans="1:28" x14ac:dyDescent="0.3">
      <c r="A40" s="110"/>
      <c r="B40" s="110"/>
      <c r="C40" s="110"/>
      <c r="D40" s="110"/>
      <c r="E40" s="110"/>
      <c r="F40" s="110"/>
      <c r="G40" s="110"/>
      <c r="H40" s="110"/>
      <c r="I40" s="110"/>
      <c r="J40" s="110"/>
      <c r="K40" s="110"/>
      <c r="L40" s="110"/>
      <c r="M40" s="110"/>
      <c r="N40" s="110"/>
      <c r="O40" s="110"/>
      <c r="P40" s="110"/>
      <c r="Q40" s="110"/>
      <c r="R40" s="110"/>
      <c r="S40" s="110"/>
      <c r="T40" s="110"/>
      <c r="U40" s="110"/>
      <c r="V40" s="110"/>
      <c r="W40" s="110"/>
      <c r="X40" s="110"/>
      <c r="Y40" s="110"/>
      <c r="Z40" s="110"/>
      <c r="AA40" s="110"/>
      <c r="AB40" s="111"/>
    </row>
    <row r="41" spans="1:28" x14ac:dyDescent="0.3">
      <c r="A41" s="110"/>
      <c r="B41" s="110"/>
      <c r="C41" s="110"/>
      <c r="D41" s="110"/>
      <c r="E41" s="110"/>
      <c r="F41" s="110"/>
      <c r="G41" s="110"/>
      <c r="H41" s="110"/>
      <c r="I41" s="110"/>
      <c r="J41" s="110"/>
      <c r="K41" s="110"/>
      <c r="L41" s="110"/>
      <c r="M41" s="110"/>
      <c r="N41" s="110"/>
      <c r="O41" s="110"/>
      <c r="P41" s="110"/>
      <c r="Q41" s="110"/>
      <c r="R41" s="110"/>
      <c r="S41" s="110"/>
      <c r="T41" s="110"/>
      <c r="U41" s="110"/>
      <c r="V41" s="110"/>
      <c r="W41" s="110"/>
      <c r="X41" s="110"/>
      <c r="Y41" s="110"/>
      <c r="Z41" s="110"/>
      <c r="AA41" s="110"/>
      <c r="AB41" s="111"/>
    </row>
    <row r="42" spans="1:28" x14ac:dyDescent="0.3">
      <c r="A42" s="110"/>
      <c r="B42" s="110"/>
      <c r="C42" s="110"/>
      <c r="D42" s="110"/>
      <c r="E42" s="110"/>
      <c r="F42" s="110"/>
      <c r="G42" s="110"/>
      <c r="H42" s="110"/>
      <c r="I42" s="110"/>
      <c r="J42" s="110"/>
      <c r="K42" s="110"/>
      <c r="L42" s="110"/>
      <c r="M42" s="110"/>
      <c r="N42" s="110"/>
      <c r="O42" s="110"/>
      <c r="P42" s="110"/>
      <c r="Q42" s="110"/>
      <c r="R42" s="110"/>
      <c r="S42" s="110"/>
      <c r="T42" s="110"/>
      <c r="U42" s="110"/>
      <c r="V42" s="110"/>
      <c r="W42" s="110"/>
      <c r="X42" s="110"/>
      <c r="Y42" s="110"/>
      <c r="Z42" s="110"/>
      <c r="AA42" s="110"/>
      <c r="AB42" s="111"/>
    </row>
    <row r="43" spans="1:28" x14ac:dyDescent="0.3">
      <c r="A43" s="110"/>
      <c r="B43" s="110"/>
      <c r="C43" s="110"/>
      <c r="D43" s="110"/>
      <c r="E43" s="110"/>
      <c r="F43" s="110"/>
      <c r="G43" s="110"/>
      <c r="H43" s="110"/>
      <c r="I43" s="110"/>
      <c r="J43" s="110"/>
      <c r="K43" s="110"/>
      <c r="L43" s="110"/>
      <c r="M43" s="110"/>
      <c r="N43" s="110"/>
      <c r="O43" s="110"/>
      <c r="P43" s="110"/>
      <c r="Q43" s="110"/>
      <c r="R43" s="110"/>
      <c r="S43" s="110"/>
      <c r="T43" s="110"/>
      <c r="U43" s="110"/>
      <c r="V43" s="110"/>
      <c r="W43" s="110"/>
      <c r="X43" s="110"/>
      <c r="Y43" s="110"/>
      <c r="Z43" s="110"/>
      <c r="AA43" s="110"/>
      <c r="AB43" s="111"/>
    </row>
    <row r="44" spans="1:28" x14ac:dyDescent="0.3">
      <c r="A44" s="110"/>
      <c r="B44" s="110"/>
      <c r="C44" s="110"/>
      <c r="D44" s="110"/>
      <c r="E44" s="110"/>
      <c r="F44" s="110"/>
      <c r="G44" s="110"/>
      <c r="H44" s="110"/>
      <c r="I44" s="110"/>
      <c r="J44" s="110"/>
      <c r="K44" s="110"/>
      <c r="L44" s="110"/>
      <c r="M44" s="110"/>
      <c r="N44" s="110"/>
      <c r="O44" s="110"/>
      <c r="P44" s="110"/>
      <c r="Q44" s="110"/>
      <c r="R44" s="110"/>
      <c r="S44" s="110"/>
      <c r="T44" s="110"/>
      <c r="U44" s="110"/>
      <c r="V44" s="110"/>
      <c r="W44" s="110"/>
      <c r="X44" s="110"/>
      <c r="Y44" s="110"/>
      <c r="Z44" s="110"/>
      <c r="AA44" s="110"/>
      <c r="AB44" s="111"/>
    </row>
    <row r="45" spans="1:28" x14ac:dyDescent="0.3">
      <c r="A45" s="110"/>
      <c r="B45" s="110"/>
      <c r="C45" s="110"/>
      <c r="D45" s="110"/>
      <c r="E45" s="110"/>
      <c r="F45" s="110"/>
      <c r="G45" s="110"/>
      <c r="H45" s="110"/>
      <c r="I45" s="110"/>
      <c r="J45" s="110"/>
      <c r="K45" s="110"/>
      <c r="L45" s="110"/>
      <c r="M45" s="110"/>
      <c r="N45" s="110"/>
      <c r="O45" s="110"/>
      <c r="P45" s="110"/>
      <c r="Q45" s="110"/>
      <c r="R45" s="110"/>
      <c r="S45" s="110"/>
      <c r="T45" s="110"/>
      <c r="U45" s="110"/>
      <c r="V45" s="110"/>
      <c r="W45" s="110"/>
      <c r="X45" s="110"/>
      <c r="Y45" s="110"/>
      <c r="Z45" s="110"/>
      <c r="AA45" s="110"/>
      <c r="AB45" s="111"/>
    </row>
    <row r="46" spans="1:28" x14ac:dyDescent="0.3">
      <c r="A46" s="110"/>
      <c r="B46" s="110"/>
      <c r="C46" s="110"/>
      <c r="D46" s="110"/>
      <c r="E46" s="110"/>
      <c r="F46" s="110"/>
      <c r="G46" s="110"/>
      <c r="H46" s="110"/>
      <c r="I46" s="110"/>
      <c r="J46" s="110"/>
      <c r="K46" s="110"/>
      <c r="L46" s="110"/>
      <c r="M46" s="110"/>
      <c r="N46" s="110"/>
      <c r="O46" s="110"/>
      <c r="P46" s="110"/>
      <c r="Q46" s="110"/>
      <c r="R46" s="110"/>
      <c r="S46" s="110"/>
      <c r="T46" s="110"/>
      <c r="U46" s="110"/>
      <c r="V46" s="110"/>
      <c r="W46" s="110"/>
      <c r="X46" s="110"/>
      <c r="Y46" s="110"/>
      <c r="Z46" s="110"/>
      <c r="AA46" s="110"/>
      <c r="AB46" s="111"/>
    </row>
    <row r="47" spans="1:28" x14ac:dyDescent="0.3">
      <c r="A47" s="110"/>
      <c r="B47" s="110"/>
      <c r="C47" s="110"/>
      <c r="D47" s="110"/>
      <c r="E47" s="110"/>
      <c r="F47" s="110"/>
      <c r="G47" s="110"/>
      <c r="H47" s="110"/>
      <c r="I47" s="110"/>
      <c r="J47" s="110"/>
      <c r="K47" s="110"/>
      <c r="L47" s="110"/>
      <c r="M47" s="110"/>
      <c r="N47" s="110"/>
      <c r="O47" s="110"/>
      <c r="P47" s="110"/>
      <c r="Q47" s="110"/>
      <c r="R47" s="110"/>
      <c r="S47" s="110"/>
      <c r="T47" s="110"/>
      <c r="U47" s="110"/>
      <c r="V47" s="110"/>
      <c r="W47" s="110"/>
      <c r="X47" s="110"/>
      <c r="Y47" s="110"/>
      <c r="Z47" s="110"/>
      <c r="AA47" s="110"/>
      <c r="AB47" s="111"/>
    </row>
    <row r="48" spans="1:28" x14ac:dyDescent="0.3">
      <c r="A48" s="110"/>
      <c r="B48" s="110"/>
      <c r="C48" s="110"/>
      <c r="D48" s="110"/>
      <c r="E48" s="110"/>
      <c r="F48" s="110"/>
      <c r="G48" s="110"/>
      <c r="H48" s="110"/>
      <c r="I48" s="110"/>
      <c r="J48" s="110"/>
      <c r="K48" s="110"/>
      <c r="L48" s="110"/>
      <c r="M48" s="110"/>
      <c r="N48" s="110"/>
      <c r="O48" s="110"/>
      <c r="P48" s="110"/>
      <c r="Q48" s="110"/>
      <c r="R48" s="110"/>
      <c r="S48" s="110"/>
      <c r="T48" s="110"/>
      <c r="U48" s="110"/>
      <c r="V48" s="110"/>
      <c r="W48" s="110"/>
      <c r="X48" s="110"/>
      <c r="Y48" s="110"/>
      <c r="Z48" s="110"/>
      <c r="AA48" s="110"/>
      <c r="AB48" s="111"/>
    </row>
    <row r="74" spans="11:12" x14ac:dyDescent="0.3">
      <c r="K74" s="113"/>
      <c r="L74" s="78"/>
    </row>
  </sheetData>
  <autoFilter ref="A2:AL2" xr:uid="{8C381E57-20A3-4D29-9AC1-A20B676A56DB}"/>
  <conditionalFormatting sqref="A2">
    <cfRule type="containsText" dxfId="35" priority="3" operator="containsText" text="Center">
      <formula>NOT(ISERROR(SEARCH("Center",A2)))</formula>
    </cfRule>
    <cfRule type="containsText" dxfId="34" priority="4" operator="containsText" text="North">
      <formula>NOT(ISERROR(SEARCH("North",A2)))</formula>
    </cfRule>
    <cfRule type="containsText" dxfId="33" priority="5" operator="containsText" text="Algarve">
      <formula>NOT(ISERROR(SEARCH("Algarve",A2)))</formula>
    </cfRule>
    <cfRule type="containsText" dxfId="32" priority="6" operator="containsText" text="Vilamoura">
      <formula>NOT(ISERROR(SEARCH("Vilamoura",A2)))</formula>
    </cfRule>
  </conditionalFormatting>
  <conditionalFormatting sqref="Q2">
    <cfRule type="containsText" dxfId="31" priority="1" operator="containsText" text="PRE-RESERVED">
      <formula>NOT(ISERROR(SEARCH("PRE-RESERVED",Q2)))</formula>
    </cfRule>
    <cfRule type="containsText" dxfId="30" priority="2" operator="containsText" text="RESERVED">
      <formula>NOT(ISERROR(SEARCH("RESERVED",Q2)))</formula>
    </cfRule>
  </conditionalFormatting>
  <pageMargins left="0.7" right="0.7" top="0.75" bottom="0.75" header="0.3" footer="0.3"/>
  <pageSetup paperSize="8" scale="69" fitToHeight="0" orientation="landscape"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AB5AE-2B37-4618-8257-6FDBCA03BEDF}">
  <sheetPr>
    <tabColor rgb="FF91AEBD"/>
    <pageSetUpPr fitToPage="1"/>
  </sheetPr>
  <dimension ref="A1:AL74"/>
  <sheetViews>
    <sheetView showGridLines="0" zoomScale="71" zoomScaleNormal="40" zoomScaleSheetLayoutView="70" workbookViewId="0">
      <pane xSplit="1" topLeftCell="H1" activePane="topRight" state="frozen"/>
      <selection activeCell="A2" sqref="A2"/>
      <selection pane="topRight" activeCell="A2" sqref="A2"/>
    </sheetView>
  </sheetViews>
  <sheetFormatPr defaultColWidth="8.6640625" defaultRowHeight="14.4" outlineLevelCol="2" x14ac:dyDescent="0.3"/>
  <cols>
    <col min="1" max="1" width="20.33203125" bestFit="1" customWidth="1"/>
    <col min="2" max="6" width="11.77734375" customWidth="1"/>
    <col min="7" max="12" width="11.77734375" customWidth="1" outlineLevel="2"/>
    <col min="13" max="13" width="11.77734375" style="79" customWidth="1" outlineLevel="2"/>
    <col min="14" max="14" width="11.77734375" customWidth="1" outlineLevel="2"/>
    <col min="15" max="16" width="11.77734375" customWidth="1" outlineLevel="1"/>
    <col min="17" max="18" width="11.77734375" customWidth="1"/>
    <col min="19" max="22" width="11.77734375" customWidth="1" outlineLevel="1"/>
    <col min="23" max="24" width="11.77734375" customWidth="1"/>
    <col min="25" max="25" width="11.77734375" customWidth="1" outlineLevel="1"/>
    <col min="26" max="26" width="11.77734375" customWidth="1"/>
    <col min="27" max="27" width="11.77734375" customWidth="1" outlineLevel="1"/>
    <col min="28" max="38" width="11.77734375" customWidth="1"/>
  </cols>
  <sheetData>
    <row r="1" spans="1:38" s="1" customFormat="1" ht="20.399999999999999" customHeight="1" x14ac:dyDescent="0.3">
      <c r="A1" s="114" t="s">
        <v>55</v>
      </c>
    </row>
    <row r="2" spans="1:38" s="2" customFormat="1" ht="46.2" customHeight="1" x14ac:dyDescent="0.3">
      <c r="A2" s="95" t="s">
        <v>335</v>
      </c>
      <c r="B2" s="95" t="s">
        <v>684</v>
      </c>
      <c r="C2" s="96" t="s">
        <v>765</v>
      </c>
      <c r="D2" s="97" t="s">
        <v>1</v>
      </c>
      <c r="E2" s="95" t="s">
        <v>93</v>
      </c>
      <c r="F2" s="95" t="s">
        <v>763</v>
      </c>
      <c r="G2" s="98" t="s">
        <v>675</v>
      </c>
      <c r="H2" s="99" t="s">
        <v>676</v>
      </c>
      <c r="I2" s="99" t="s">
        <v>677</v>
      </c>
      <c r="J2" s="100" t="s">
        <v>678</v>
      </c>
      <c r="K2" s="98" t="s">
        <v>679</v>
      </c>
      <c r="L2" s="98" t="s">
        <v>779</v>
      </c>
      <c r="M2" s="98" t="s">
        <v>680</v>
      </c>
      <c r="N2" s="101" t="s">
        <v>681</v>
      </c>
      <c r="O2" s="102" t="s">
        <v>94</v>
      </c>
      <c r="P2" s="102" t="s">
        <v>95</v>
      </c>
      <c r="Q2" s="95" t="s">
        <v>624</v>
      </c>
      <c r="R2" s="103" t="s">
        <v>331</v>
      </c>
      <c r="S2" s="104" t="s">
        <v>332</v>
      </c>
      <c r="T2" s="105" t="s">
        <v>333</v>
      </c>
      <c r="U2" s="105" t="s">
        <v>682</v>
      </c>
      <c r="V2" s="105" t="s">
        <v>97</v>
      </c>
      <c r="W2" s="95" t="s">
        <v>330</v>
      </c>
      <c r="X2" s="106" t="s">
        <v>919</v>
      </c>
      <c r="Y2" s="105" t="s">
        <v>334</v>
      </c>
      <c r="Z2" s="95" t="s">
        <v>98</v>
      </c>
      <c r="AA2" s="107" t="s">
        <v>933</v>
      </c>
      <c r="AB2" s="108" t="s">
        <v>934</v>
      </c>
      <c r="AC2" s="108" t="s">
        <v>928</v>
      </c>
      <c r="AD2" s="109" t="s">
        <v>926</v>
      </c>
      <c r="AE2" s="97" t="s">
        <v>792</v>
      </c>
      <c r="AF2" s="97" t="s">
        <v>793</v>
      </c>
      <c r="AG2" s="97" t="s">
        <v>2</v>
      </c>
      <c r="AH2" s="97" t="s">
        <v>3</v>
      </c>
      <c r="AI2" s="97" t="s">
        <v>5</v>
      </c>
      <c r="AJ2" s="97" t="s">
        <v>794</v>
      </c>
      <c r="AK2" s="97" t="s">
        <v>6</v>
      </c>
      <c r="AL2" s="95" t="s">
        <v>918</v>
      </c>
    </row>
    <row r="3" spans="1:38" s="112" customFormat="1" ht="13.8" x14ac:dyDescent="0.3">
      <c r="A3" s="129" t="str" cm="1">
        <f t="array" ref="A3:AL18">_xlfn._xlws.FILTER(DATABASE_Table[],DATABASE_Table[Development]=$A$1,"")</f>
        <v>Sutaya</v>
      </c>
      <c r="B3" s="129" t="str">
        <v>Algarve</v>
      </c>
      <c r="C3" s="110" t="str">
        <v>I</v>
      </c>
      <c r="D3" s="110" t="str">
        <v>Quinta do Lago, Algarve</v>
      </c>
      <c r="E3" s="110" t="str">
        <v>T3</v>
      </c>
      <c r="F3" s="110">
        <v>456</v>
      </c>
      <c r="G3" s="110">
        <v>0</v>
      </c>
      <c r="H3" s="110" t="str">
        <v>23</v>
      </c>
      <c r="I3" s="110" t="str">
        <v/>
      </c>
      <c r="J3" s="110">
        <v>0</v>
      </c>
      <c r="K3" s="110">
        <v>0</v>
      </c>
      <c r="L3" s="110">
        <v>0</v>
      </c>
      <c r="M3" s="110">
        <v>213</v>
      </c>
      <c r="N3" s="110">
        <v>0</v>
      </c>
      <c r="O3" s="110">
        <v>243</v>
      </c>
      <c r="P3" s="110">
        <v>0</v>
      </c>
      <c r="Q3" s="110" t="str">
        <v>AVAILABLE</v>
      </c>
      <c r="R3" s="110">
        <v>4000000</v>
      </c>
      <c r="S3" s="110">
        <v>4000000</v>
      </c>
      <c r="T3" s="110">
        <v>4000000</v>
      </c>
      <c r="U3" s="110">
        <v>0</v>
      </c>
      <c r="V3" s="110">
        <v>0</v>
      </c>
      <c r="W3" s="110">
        <v>4000000</v>
      </c>
      <c r="X3" s="110">
        <v>0</v>
      </c>
      <c r="Y3" s="110">
        <v>4000000</v>
      </c>
      <c r="Z3" s="110">
        <v>4000000</v>
      </c>
      <c r="AA3" s="110">
        <v>45979</v>
      </c>
      <c r="AB3" s="111" t="str">
        <v>Q4 2025</v>
      </c>
      <c r="AC3" s="112">
        <v>0</v>
      </c>
      <c r="AD3" s="112" t="str">
        <v>TBD</v>
      </c>
      <c r="AE3" s="112" t="str">
        <v>Sandra Viegas</v>
      </c>
      <c r="AF3" s="112" t="str">
        <v>Catarina Andrade</v>
      </c>
      <c r="AG3" s="112" t="str">
        <v>TBD</v>
      </c>
      <c r="AH3" s="112" t="str">
        <v>Welcome to Sutaya. A sanctuary of timeless elegance. Crafted for those who seek the extraordinary.</v>
      </c>
      <c r="AI3" s="112" t="str">
        <v>Gym, Private Pools, Condo Pool, Outdoor Areas, Smart Home Technology, Underground Parking, San Lorenzo Golf Membership</v>
      </c>
      <c r="AJ3" s="112" t="str">
        <v>Projeto de enorme exclusividade localizado no campo de golfe Sao Lorenzo, Quinta do Lago; Arquitetura e acabamentos de excelência; Todas as unidades com piscina privativa e enorme privacidade; Amplas vistas de golfe e mar; Garagem com acesso de elevador privado à cada apartamento.</v>
      </c>
      <c r="AK3" s="112" t="str">
        <v>Promontório</v>
      </c>
      <c r="AL3" s="112" t="str">
        <v>Sutaya</v>
      </c>
    </row>
    <row r="4" spans="1:38" x14ac:dyDescent="0.3">
      <c r="A4" s="129" t="str">
        <v>Sutaya</v>
      </c>
      <c r="B4" s="129" t="str">
        <v>Algarve</v>
      </c>
      <c r="C4" s="110" t="str">
        <v>A</v>
      </c>
      <c r="D4" s="110" t="str">
        <v>Quinta do Lago, Algarve</v>
      </c>
      <c r="E4" s="110" t="str">
        <v>T3</v>
      </c>
      <c r="F4" s="110">
        <v>456</v>
      </c>
      <c r="G4" s="110">
        <v>0</v>
      </c>
      <c r="H4" s="110" t="str">
        <v>23</v>
      </c>
      <c r="I4" s="110" t="str">
        <v/>
      </c>
      <c r="J4" s="110">
        <v>0</v>
      </c>
      <c r="K4" s="110">
        <v>0</v>
      </c>
      <c r="L4" s="110">
        <v>0</v>
      </c>
      <c r="M4" s="110">
        <v>213</v>
      </c>
      <c r="N4" s="110">
        <v>0</v>
      </c>
      <c r="O4" s="110">
        <v>243</v>
      </c>
      <c r="P4" s="110">
        <v>0</v>
      </c>
      <c r="Q4" s="110" t="str">
        <v>AVAILABLE</v>
      </c>
      <c r="R4" s="110">
        <v>4100000</v>
      </c>
      <c r="S4" s="110">
        <v>4100000</v>
      </c>
      <c r="T4" s="110">
        <v>4100000</v>
      </c>
      <c r="U4" s="110">
        <v>0</v>
      </c>
      <c r="V4" s="110">
        <v>0</v>
      </c>
      <c r="W4" s="110">
        <v>4100000</v>
      </c>
      <c r="X4" s="110">
        <v>0</v>
      </c>
      <c r="Y4" s="110">
        <v>4100000</v>
      </c>
      <c r="Z4" s="110">
        <v>4100000</v>
      </c>
      <c r="AA4" s="110">
        <v>45979</v>
      </c>
      <c r="AB4" s="111" t="str">
        <v>Q4 2025</v>
      </c>
      <c r="AC4">
        <v>0</v>
      </c>
      <c r="AD4" t="str">
        <v>TBD</v>
      </c>
      <c r="AE4" t="str">
        <v>Sandra Viegas</v>
      </c>
      <c r="AF4" t="str">
        <v>Catarina Andrade</v>
      </c>
      <c r="AG4" t="str">
        <v>TBD</v>
      </c>
      <c r="AH4" t="str">
        <v>Welcome to Sutaya. A sanctuary of timeless elegance. Crafted for those who seek the extraordinary.</v>
      </c>
      <c r="AI4" t="str">
        <v>Gym, Private Pools, Condo Pool, Outdoor Areas, Smart Home Technology, Underground Parking, San Lorenzo Golf Membership</v>
      </c>
      <c r="AJ4" t="str">
        <v>Projeto de enorme exclusividade localizado no campo de golfe Sao Lorenzo, Quinta do Lago; Arquitetura e acabamentos de excelência; Todas as unidades com piscina privativa e enorme privacidade; Amplas vistas de golfe e mar; Garagem com acesso de elevador privado à cada apartamento.</v>
      </c>
      <c r="AK4" t="str">
        <v>Promontório</v>
      </c>
      <c r="AL4" t="str">
        <v>Sutaya</v>
      </c>
    </row>
    <row r="5" spans="1:38" x14ac:dyDescent="0.3">
      <c r="A5" s="129" t="str">
        <v>Sutaya</v>
      </c>
      <c r="B5" s="129" t="str">
        <v>Algarve</v>
      </c>
      <c r="C5" s="110" t="str">
        <v>B</v>
      </c>
      <c r="D5" s="110" t="str">
        <v>Quinta do Lago, Algarve</v>
      </c>
      <c r="E5" s="110" t="str">
        <v>T3</v>
      </c>
      <c r="F5" s="110">
        <v>454</v>
      </c>
      <c r="G5" s="110">
        <v>0</v>
      </c>
      <c r="H5" s="110" t="str">
        <v>23</v>
      </c>
      <c r="I5" s="110" t="str">
        <v/>
      </c>
      <c r="J5" s="110">
        <v>0</v>
      </c>
      <c r="K5" s="110">
        <v>0</v>
      </c>
      <c r="L5" s="110">
        <v>0</v>
      </c>
      <c r="M5" s="110">
        <v>213</v>
      </c>
      <c r="N5" s="110">
        <v>0</v>
      </c>
      <c r="O5" s="110">
        <v>241</v>
      </c>
      <c r="P5" s="110">
        <v>0</v>
      </c>
      <c r="Q5" s="110" t="str">
        <v>AVAILABLE</v>
      </c>
      <c r="R5" s="110">
        <v>4300000</v>
      </c>
      <c r="S5" s="110">
        <v>4300000</v>
      </c>
      <c r="T5" s="110">
        <v>4300000</v>
      </c>
      <c r="U5" s="110">
        <v>0</v>
      </c>
      <c r="V5" s="110">
        <v>0</v>
      </c>
      <c r="W5" s="110">
        <v>4300000</v>
      </c>
      <c r="X5" s="110">
        <v>0</v>
      </c>
      <c r="Y5" s="110">
        <v>4300000</v>
      </c>
      <c r="Z5" s="110">
        <v>4300000</v>
      </c>
      <c r="AA5" s="110">
        <v>45979</v>
      </c>
      <c r="AB5" s="111" t="str">
        <v>Q4 2025</v>
      </c>
      <c r="AC5">
        <v>0</v>
      </c>
      <c r="AD5" t="str">
        <v>TBD</v>
      </c>
      <c r="AE5" t="str">
        <v>Sandra Viegas</v>
      </c>
      <c r="AF5" t="str">
        <v>Catarina Andrade</v>
      </c>
      <c r="AG5" t="str">
        <v>TBD</v>
      </c>
      <c r="AH5" t="str">
        <v>Welcome to Sutaya. A sanctuary of timeless elegance. Crafted for those who seek the extraordinary.</v>
      </c>
      <c r="AI5" t="str">
        <v>Gym, Private Pools, Condo Pool, Outdoor Areas, Smart Home Technology, Underground Parking, San Lorenzo Golf Membership</v>
      </c>
      <c r="AJ5" t="str">
        <v>Projeto de enorme exclusividade localizado no campo de golfe Sao Lorenzo, Quinta do Lago; Arquitetura e acabamentos de excelência; Todas as unidades com piscina privativa e enorme privacidade; Amplas vistas de golfe e mar; Garagem com acesso de elevador privado à cada apartamento.</v>
      </c>
      <c r="AK5" t="str">
        <v>Promontório</v>
      </c>
      <c r="AL5" t="str">
        <v>Sutaya</v>
      </c>
    </row>
    <row r="6" spans="1:38" x14ac:dyDescent="0.3">
      <c r="A6" s="129" t="str">
        <v>Sutaya</v>
      </c>
      <c r="B6" s="129" t="str">
        <v>Algarve</v>
      </c>
      <c r="C6" s="110" t="str">
        <v>C</v>
      </c>
      <c r="D6" s="110" t="str">
        <v>Quinta do Lago, Algarve</v>
      </c>
      <c r="E6" s="110" t="str">
        <v>T3</v>
      </c>
      <c r="F6" s="110">
        <v>454</v>
      </c>
      <c r="G6" s="110">
        <v>0</v>
      </c>
      <c r="H6" s="110" t="str">
        <v>23</v>
      </c>
      <c r="I6" s="110" t="str">
        <v/>
      </c>
      <c r="J6" s="110">
        <v>0</v>
      </c>
      <c r="K6" s="110">
        <v>0</v>
      </c>
      <c r="L6" s="110">
        <v>0</v>
      </c>
      <c r="M6" s="110">
        <v>213</v>
      </c>
      <c r="N6" s="110">
        <v>0</v>
      </c>
      <c r="O6" s="110">
        <v>241</v>
      </c>
      <c r="P6" s="110">
        <v>0</v>
      </c>
      <c r="Q6" s="110" t="str">
        <v>AVAILABLE</v>
      </c>
      <c r="R6" s="110">
        <v>4700000</v>
      </c>
      <c r="S6" s="110">
        <v>4700000</v>
      </c>
      <c r="T6" s="110">
        <v>4700000</v>
      </c>
      <c r="U6" s="110">
        <v>0</v>
      </c>
      <c r="V6" s="110">
        <v>0</v>
      </c>
      <c r="W6" s="110">
        <v>4700000</v>
      </c>
      <c r="X6" s="110">
        <v>0</v>
      </c>
      <c r="Y6" s="110">
        <v>4700000</v>
      </c>
      <c r="Z6" s="110">
        <v>4700000</v>
      </c>
      <c r="AA6" s="110">
        <v>45979</v>
      </c>
      <c r="AB6" s="111" t="str">
        <v>Q4 2025</v>
      </c>
      <c r="AC6">
        <v>0</v>
      </c>
      <c r="AD6" t="str">
        <v>TBD</v>
      </c>
      <c r="AE6" t="str">
        <v>Sandra Viegas</v>
      </c>
      <c r="AF6" t="str">
        <v>Catarina Andrade</v>
      </c>
      <c r="AG6" t="str">
        <v>TBD</v>
      </c>
      <c r="AH6" t="str">
        <v>Welcome to Sutaya. A sanctuary of timeless elegance. Crafted for those who seek the extraordinary.</v>
      </c>
      <c r="AI6" t="str">
        <v>Gym, Private Pools, Condo Pool, Outdoor Areas, Smart Home Technology, Underground Parking, San Lorenzo Golf Membership</v>
      </c>
      <c r="AJ6" t="str">
        <v>Projeto de enorme exclusividade localizado no campo de golfe Sao Lorenzo, Quinta do Lago; Arquitetura e acabamentos de excelência; Todas as unidades com piscina privativa e enorme privacidade; Amplas vistas de golfe e mar; Garagem com acesso de elevador privado à cada apartamento.</v>
      </c>
      <c r="AK6" t="str">
        <v>Promontório</v>
      </c>
      <c r="AL6" t="str">
        <v>Sutaya</v>
      </c>
    </row>
    <row r="7" spans="1:38" x14ac:dyDescent="0.3">
      <c r="A7" s="129" t="str">
        <v>Sutaya</v>
      </c>
      <c r="B7" s="129" t="str">
        <v>Algarve</v>
      </c>
      <c r="C7" s="110" t="str">
        <v>D</v>
      </c>
      <c r="D7" s="110" t="str">
        <v>Quinta do Lago, Algarve</v>
      </c>
      <c r="E7" s="110" t="str">
        <v>T3</v>
      </c>
      <c r="F7" s="110">
        <v>454</v>
      </c>
      <c r="G7" s="110">
        <v>0</v>
      </c>
      <c r="H7" s="110" t="str">
        <v>23</v>
      </c>
      <c r="I7" s="110" t="str">
        <v/>
      </c>
      <c r="J7" s="110">
        <v>0</v>
      </c>
      <c r="K7" s="110">
        <v>0</v>
      </c>
      <c r="L7" s="110">
        <v>0</v>
      </c>
      <c r="M7" s="110">
        <v>213</v>
      </c>
      <c r="N7" s="110">
        <v>0</v>
      </c>
      <c r="O7" s="110">
        <v>241</v>
      </c>
      <c r="P7" s="110">
        <v>0</v>
      </c>
      <c r="Q7" s="110" t="str">
        <v>PRE-RESERVED</v>
      </c>
      <c r="R7" s="110">
        <v>5200000</v>
      </c>
      <c r="S7" s="110">
        <v>5200000</v>
      </c>
      <c r="T7" s="110">
        <v>5200000</v>
      </c>
      <c r="U7" s="110">
        <v>0</v>
      </c>
      <c r="V7" s="110">
        <v>0</v>
      </c>
      <c r="W7" s="110">
        <v>5200000</v>
      </c>
      <c r="X7" s="110">
        <v>0</v>
      </c>
      <c r="Y7" s="110">
        <v>5200000</v>
      </c>
      <c r="Z7" s="110">
        <v>5200000</v>
      </c>
      <c r="AA7" s="110">
        <v>45979</v>
      </c>
      <c r="AB7" s="111" t="str">
        <v>Q4 2025</v>
      </c>
      <c r="AC7">
        <v>45991</v>
      </c>
      <c r="AD7" t="str">
        <v>TBD</v>
      </c>
      <c r="AE7" t="str">
        <v>Sandra Viegas</v>
      </c>
      <c r="AF7" t="str">
        <v>Catarina Andrade</v>
      </c>
      <c r="AG7" t="str">
        <v>TBD</v>
      </c>
      <c r="AH7" t="str">
        <v>Welcome to Sutaya. A sanctuary of timeless elegance. Crafted for those who seek the extraordinary.</v>
      </c>
      <c r="AI7" t="str">
        <v>Gym, Private Pools, Condo Pool, Outdoor Areas, Smart Home Technology, Underground Parking, San Lorenzo Golf Membership</v>
      </c>
      <c r="AJ7" t="str">
        <v>Projeto de enorme exclusividade localizado no campo de golfe Sao Lorenzo, Quinta do Lago; Arquitetura e acabamentos de excelência; Todas as unidades com piscina privativa e enorme privacidade; Amplas vistas de golfe e mar; Garagem com acesso de elevador privado à cada apartamento.</v>
      </c>
      <c r="AK7" t="str">
        <v>Carvalho Araújo</v>
      </c>
      <c r="AL7" t="str">
        <v>Sutaya</v>
      </c>
    </row>
    <row r="8" spans="1:38" x14ac:dyDescent="0.3">
      <c r="A8" s="129" t="str">
        <v>Sutaya</v>
      </c>
      <c r="B8" s="129" t="str">
        <v>Algarve</v>
      </c>
      <c r="C8" s="110" t="str">
        <v>J</v>
      </c>
      <c r="D8" s="110" t="str">
        <v>Quinta do Lago, Algarve</v>
      </c>
      <c r="E8" s="110" t="str">
        <v>T3 PH</v>
      </c>
      <c r="F8" s="110">
        <v>460</v>
      </c>
      <c r="G8" s="110">
        <v>0</v>
      </c>
      <c r="H8" s="110" t="str">
        <v>23</v>
      </c>
      <c r="I8" s="110" t="str">
        <v/>
      </c>
      <c r="J8" s="110">
        <v>0</v>
      </c>
      <c r="K8" s="110">
        <v>0</v>
      </c>
      <c r="L8" s="110">
        <v>0</v>
      </c>
      <c r="M8" s="110">
        <v>196</v>
      </c>
      <c r="N8" s="110">
        <v>0</v>
      </c>
      <c r="O8" s="110">
        <v>264</v>
      </c>
      <c r="P8" s="110">
        <v>0</v>
      </c>
      <c r="Q8" s="110" t="str">
        <v>AVAILABLE</v>
      </c>
      <c r="R8" s="110">
        <v>5300000</v>
      </c>
      <c r="S8" s="110">
        <v>5300000</v>
      </c>
      <c r="T8" s="110">
        <v>5300000</v>
      </c>
      <c r="U8" s="110">
        <v>0</v>
      </c>
      <c r="V8" s="110">
        <v>0</v>
      </c>
      <c r="W8" s="110">
        <v>5300000</v>
      </c>
      <c r="X8" s="110">
        <v>0</v>
      </c>
      <c r="Y8" s="110">
        <v>5300000</v>
      </c>
      <c r="Z8" s="110">
        <v>5300000</v>
      </c>
      <c r="AA8" s="110">
        <v>45979</v>
      </c>
      <c r="AB8" s="111" t="str">
        <v>Q4 2025</v>
      </c>
      <c r="AC8">
        <v>0</v>
      </c>
      <c r="AD8" t="str">
        <v>TBD</v>
      </c>
      <c r="AE8" t="str">
        <v>Sandra Viegas</v>
      </c>
      <c r="AF8" t="str">
        <v>Catarina Andrade</v>
      </c>
      <c r="AG8" t="str">
        <v>TBD</v>
      </c>
      <c r="AH8" t="str">
        <v>Welcome to Sutaya. A sanctuary of timeless elegance. Crafted for those who seek the extraordinary.</v>
      </c>
      <c r="AI8" t="str">
        <v>Gym, Private Pools, Condo Pool, Outdoor Areas, Smart Home Technology, Underground Parking, San Lorenzo Golf Membership</v>
      </c>
      <c r="AJ8" t="str">
        <v>Projeto de enorme exclusividade localizado no campo de golfe Sao Lorenzo, Quinta do Lago; Arquitetura e acabamentos de excelência; Todas as unidades com piscina privativa e enorme privacidade; Amplas vistas de golfe e mar; Garagem com acesso de elevador privado à cada apartamento.</v>
      </c>
      <c r="AK8" t="str">
        <v>Promontório</v>
      </c>
      <c r="AL8" t="str">
        <v>Sutaya</v>
      </c>
    </row>
    <row r="9" spans="1:38" x14ac:dyDescent="0.3">
      <c r="A9" s="129" t="str">
        <v>Sutaya</v>
      </c>
      <c r="B9" s="129" t="str">
        <v>Algarve</v>
      </c>
      <c r="C9" s="110" t="str">
        <v>L</v>
      </c>
      <c r="D9" s="110" t="str">
        <v>Quinta do Lago, Algarve</v>
      </c>
      <c r="E9" s="110" t="str">
        <v>T3 PH</v>
      </c>
      <c r="F9" s="110">
        <v>460</v>
      </c>
      <c r="G9" s="110">
        <v>0</v>
      </c>
      <c r="H9" s="110" t="str">
        <v>23</v>
      </c>
      <c r="I9" s="110" t="str">
        <v/>
      </c>
      <c r="J9" s="110">
        <v>0</v>
      </c>
      <c r="K9" s="110">
        <v>0</v>
      </c>
      <c r="L9" s="110">
        <v>0</v>
      </c>
      <c r="M9" s="110">
        <v>196</v>
      </c>
      <c r="N9" s="110">
        <v>0</v>
      </c>
      <c r="O9" s="110">
        <v>264</v>
      </c>
      <c r="P9" s="110">
        <v>0</v>
      </c>
      <c r="Q9" s="110" t="str">
        <v>AVAILABLE</v>
      </c>
      <c r="R9" s="110">
        <v>5700000</v>
      </c>
      <c r="S9" s="110">
        <v>5700000</v>
      </c>
      <c r="T9" s="110">
        <v>5700000</v>
      </c>
      <c r="U9" s="110">
        <v>0</v>
      </c>
      <c r="V9" s="110">
        <v>0</v>
      </c>
      <c r="W9" s="110">
        <v>5700000</v>
      </c>
      <c r="X9" s="110">
        <v>0</v>
      </c>
      <c r="Y9" s="110">
        <v>5700000</v>
      </c>
      <c r="Z9" s="110">
        <v>5700000</v>
      </c>
      <c r="AA9" s="110">
        <v>45979</v>
      </c>
      <c r="AB9" s="111" t="str">
        <v>Q4 2025</v>
      </c>
      <c r="AC9">
        <v>0</v>
      </c>
      <c r="AD9" t="str">
        <v>TBD</v>
      </c>
      <c r="AE9" t="str">
        <v>Sandra Viegas</v>
      </c>
      <c r="AF9" t="str">
        <v>Catarina Andrade</v>
      </c>
      <c r="AG9" t="str">
        <v>TBD</v>
      </c>
      <c r="AH9" t="str">
        <v>Welcome to Sutaya. A sanctuary of timeless elegance. Crafted for those who seek the extraordinary.</v>
      </c>
      <c r="AI9" t="str">
        <v>Gym, Private Pools, Condo Pool, Outdoor Areas, Smart Home Technology, Underground Parking, San Lorenzo Golf Membership</v>
      </c>
      <c r="AJ9" t="str">
        <v>Projeto de enorme exclusividade localizado no campo de golfe Sao Lorenzo, Quinta do Lago; Arquitetura e acabamentos de excelência; Todas as unidades com piscina privativa e enorme privacidade; Amplas vistas de golfe e mar; Garagem com acesso de elevador privado à cada apartamento.</v>
      </c>
      <c r="AK9" t="str">
        <v>Promontório</v>
      </c>
      <c r="AL9" t="str">
        <v>Sutaya</v>
      </c>
    </row>
    <row r="10" spans="1:38" x14ac:dyDescent="0.3">
      <c r="A10" s="110" t="str">
        <v>Sutaya</v>
      </c>
      <c r="B10" s="110" t="str">
        <v>Algarve</v>
      </c>
      <c r="C10" s="110" t="str">
        <v>E</v>
      </c>
      <c r="D10" s="110" t="str">
        <v>Quinta do Lago, Algarve</v>
      </c>
      <c r="E10" s="110" t="str">
        <v>T3</v>
      </c>
      <c r="F10" s="110">
        <v>458</v>
      </c>
      <c r="G10" s="110">
        <v>0</v>
      </c>
      <c r="H10" s="110" t="str">
        <v>23</v>
      </c>
      <c r="I10" s="110" t="str">
        <v/>
      </c>
      <c r="J10" s="110">
        <v>0</v>
      </c>
      <c r="K10" s="110">
        <v>0</v>
      </c>
      <c r="L10" s="110">
        <v>0</v>
      </c>
      <c r="M10" s="110">
        <v>213</v>
      </c>
      <c r="N10" s="110">
        <v>0</v>
      </c>
      <c r="O10" s="110">
        <v>245</v>
      </c>
      <c r="P10" s="110">
        <v>0</v>
      </c>
      <c r="Q10" s="110" t="str">
        <v>PRE-RESERVED</v>
      </c>
      <c r="R10" s="110">
        <v>5700000</v>
      </c>
      <c r="S10" s="110">
        <v>5700000</v>
      </c>
      <c r="T10" s="110">
        <v>5700000</v>
      </c>
      <c r="U10" s="110">
        <v>0</v>
      </c>
      <c r="V10" s="110">
        <v>0</v>
      </c>
      <c r="W10" s="110">
        <v>5700000</v>
      </c>
      <c r="X10" s="110">
        <v>0</v>
      </c>
      <c r="Y10" s="110">
        <v>5700000</v>
      </c>
      <c r="Z10" s="110">
        <v>5700000</v>
      </c>
      <c r="AA10" s="110">
        <v>45979</v>
      </c>
      <c r="AB10" s="111" t="str">
        <v>Q4 2025</v>
      </c>
      <c r="AC10">
        <v>45991</v>
      </c>
      <c r="AD10" t="str">
        <v>TBD</v>
      </c>
      <c r="AE10" t="str">
        <v>Sandra Viegas</v>
      </c>
      <c r="AF10" t="str">
        <v>Catarina Andrade</v>
      </c>
      <c r="AG10" t="str">
        <v>TBD</v>
      </c>
      <c r="AH10" t="str">
        <v>Welcome to Sutaya. A sanctuary of timeless elegance. Crafted for those who seek the extraordinary.</v>
      </c>
      <c r="AI10" t="str">
        <v>Gym, Private Pools, Condo Pool, Outdoor Areas, Smart Home Technology, Underground Parking, San Lorenzo Golf Membership</v>
      </c>
      <c r="AJ10" t="str">
        <v>Projeto de enorme exclusividade localizado no campo de golfe Sao Lorenzo, Quinta do Lago; Arquitetura e acabamentos de excelência; Todas as unidades com piscina privativa e enorme privacidade; Amplas vistas de golfe e mar; Garagem com acesso de elevador privado à cada apartamento.</v>
      </c>
      <c r="AK10" t="str">
        <v>Carvalho Araújo</v>
      </c>
      <c r="AL10" t="str">
        <v>Sutaya</v>
      </c>
    </row>
    <row r="11" spans="1:38" x14ac:dyDescent="0.3">
      <c r="A11" s="110" t="str">
        <v>Sutaya</v>
      </c>
      <c r="B11" s="110" t="str">
        <v>Algarve</v>
      </c>
      <c r="C11" s="110" t="str">
        <v>Q</v>
      </c>
      <c r="D11" s="110" t="str">
        <v>Quinta do Lago, Algarve</v>
      </c>
      <c r="E11" s="110" t="str">
        <v>T4 PH</v>
      </c>
      <c r="F11" s="110">
        <v>654</v>
      </c>
      <c r="G11" s="110">
        <v>0</v>
      </c>
      <c r="H11" s="110" t="str">
        <v>22</v>
      </c>
      <c r="I11" s="110" t="str">
        <v/>
      </c>
      <c r="J11" s="110">
        <v>0</v>
      </c>
      <c r="K11" s="110">
        <v>0</v>
      </c>
      <c r="L11" s="110">
        <v>0</v>
      </c>
      <c r="M11" s="110">
        <v>290</v>
      </c>
      <c r="N11" s="110">
        <v>0</v>
      </c>
      <c r="O11" s="110">
        <v>364</v>
      </c>
      <c r="P11" s="110">
        <v>0</v>
      </c>
      <c r="Q11" s="110" t="str">
        <v>AVAILABLE</v>
      </c>
      <c r="R11" s="110">
        <v>7700000</v>
      </c>
      <c r="S11" s="110">
        <v>7700000</v>
      </c>
      <c r="T11" s="110">
        <v>7700000</v>
      </c>
      <c r="U11" s="110">
        <v>0</v>
      </c>
      <c r="V11" s="110">
        <v>0</v>
      </c>
      <c r="W11" s="110">
        <v>7700000</v>
      </c>
      <c r="X11" s="110">
        <v>0</v>
      </c>
      <c r="Y11" s="110">
        <v>7700000</v>
      </c>
      <c r="Z11" s="110">
        <v>7700000</v>
      </c>
      <c r="AA11" s="110">
        <v>45979</v>
      </c>
      <c r="AB11" s="111" t="str">
        <v>Q4 2025</v>
      </c>
      <c r="AC11">
        <v>0</v>
      </c>
      <c r="AD11" t="str">
        <v>TBD</v>
      </c>
      <c r="AE11" t="str">
        <v>Sandra Viegas</v>
      </c>
      <c r="AF11" t="str">
        <v>Catarina Andrade</v>
      </c>
      <c r="AG11" t="str">
        <v>TBD</v>
      </c>
      <c r="AH11" t="str">
        <v>Welcome to Sutaya. A sanctuary of timeless elegance. Crafted for those who seek the extraordinary.</v>
      </c>
      <c r="AI11" t="str">
        <v>Gym, Private Pools, Condo Pool, Outdoor Areas, Smart Home Technology, Underground Parking, San Lorenzo Golf Membership</v>
      </c>
      <c r="AJ11" t="str">
        <v>Projeto de enorme exclusividade localizado no campo de golfe Sao Lorenzo, Quinta do Lago; Arquitetura e acabamentos de excelência; Todas as unidades com piscina privativa e enorme privacidade; Amplas vistas de golfe e mar; Garagem com acesso de elevador privado à cada apartamento.</v>
      </c>
      <c r="AK11" t="str">
        <v>Promontório</v>
      </c>
      <c r="AL11" t="str">
        <v>Sutaya</v>
      </c>
    </row>
    <row r="12" spans="1:38" x14ac:dyDescent="0.3">
      <c r="A12" s="110" t="str">
        <v>Sutaya</v>
      </c>
      <c r="B12" s="110" t="str">
        <v>Algarve</v>
      </c>
      <c r="C12" s="110" t="str">
        <v>P</v>
      </c>
      <c r="D12" s="110" t="str">
        <v>Quinta do Lago, Algarve</v>
      </c>
      <c r="E12" s="110" t="str">
        <v>T4 PH</v>
      </c>
      <c r="F12" s="110">
        <v>654</v>
      </c>
      <c r="G12" s="110">
        <v>0</v>
      </c>
      <c r="H12" s="110" t="str">
        <v>22</v>
      </c>
      <c r="I12" s="110" t="str">
        <v/>
      </c>
      <c r="J12" s="110">
        <v>0</v>
      </c>
      <c r="K12" s="110">
        <v>0</v>
      </c>
      <c r="L12" s="110">
        <v>0</v>
      </c>
      <c r="M12" s="110">
        <v>290</v>
      </c>
      <c r="N12" s="110">
        <v>0</v>
      </c>
      <c r="O12" s="110">
        <v>364</v>
      </c>
      <c r="P12" s="110">
        <v>0</v>
      </c>
      <c r="Q12" s="110" t="str">
        <v>AVAILABLE</v>
      </c>
      <c r="R12" s="110">
        <v>8400000</v>
      </c>
      <c r="S12" s="110">
        <v>8400000</v>
      </c>
      <c r="T12" s="110">
        <v>8400000</v>
      </c>
      <c r="U12" s="110">
        <v>0</v>
      </c>
      <c r="V12" s="110">
        <v>0</v>
      </c>
      <c r="W12" s="110">
        <v>8400000</v>
      </c>
      <c r="X12" s="110">
        <v>0</v>
      </c>
      <c r="Y12" s="110">
        <v>8400000</v>
      </c>
      <c r="Z12" s="110">
        <v>8400000</v>
      </c>
      <c r="AA12" s="110">
        <v>45979</v>
      </c>
      <c r="AB12" s="111" t="str">
        <v>Q4 2025</v>
      </c>
      <c r="AC12">
        <v>0</v>
      </c>
      <c r="AD12" t="str">
        <v>TBD</v>
      </c>
      <c r="AE12" t="str">
        <v>Sandra Viegas</v>
      </c>
      <c r="AF12" t="str">
        <v>Catarina Andrade</v>
      </c>
      <c r="AG12" t="str">
        <v>TBD</v>
      </c>
      <c r="AH12" t="str">
        <v>Welcome to Sutaya. A sanctuary of timeless elegance. Crafted for those who seek the extraordinary.</v>
      </c>
      <c r="AI12" t="str">
        <v>Gym, Private Pools, Condo Pool, Outdoor Areas, Smart Home Technology, Underground Parking, San Lorenzo Golf Membership</v>
      </c>
      <c r="AJ12" t="str">
        <v>Projeto de enorme exclusividade localizado no campo de golfe Sao Lorenzo, Quinta do Lago; Arquitetura e acabamentos de excelência; Todas as unidades com piscina privativa e enorme privacidade; Amplas vistas de golfe e mar; Garagem com acesso de elevador privado à cada apartamento.</v>
      </c>
      <c r="AK12" t="str">
        <v>Promontório</v>
      </c>
      <c r="AL12" t="str">
        <v>Sutaya</v>
      </c>
    </row>
    <row r="13" spans="1:38" x14ac:dyDescent="0.3">
      <c r="A13" s="110" t="str">
        <v>Sutaya</v>
      </c>
      <c r="B13" s="110" t="str">
        <v>Algarve</v>
      </c>
      <c r="C13" s="110" t="str">
        <v>N</v>
      </c>
      <c r="D13" s="110" t="str">
        <v>Quinta do Lago, Algarve</v>
      </c>
      <c r="E13" s="110" t="str">
        <v>T4 PH</v>
      </c>
      <c r="F13" s="110">
        <v>654</v>
      </c>
      <c r="G13" s="110">
        <v>0</v>
      </c>
      <c r="H13" s="110" t="str">
        <v>23</v>
      </c>
      <c r="I13" s="110" t="str">
        <v/>
      </c>
      <c r="J13" s="110">
        <v>0</v>
      </c>
      <c r="K13" s="110">
        <v>0</v>
      </c>
      <c r="L13" s="110">
        <v>0</v>
      </c>
      <c r="M13" s="110">
        <v>290</v>
      </c>
      <c r="N13" s="110">
        <v>0</v>
      </c>
      <c r="O13" s="110">
        <v>364</v>
      </c>
      <c r="P13" s="110">
        <v>0</v>
      </c>
      <c r="Q13" s="110" t="str">
        <v>AVAILABLE</v>
      </c>
      <c r="R13" s="110">
        <v>9000000</v>
      </c>
      <c r="S13" s="110">
        <v>9000000</v>
      </c>
      <c r="T13" s="110">
        <v>9000000</v>
      </c>
      <c r="U13" s="110">
        <v>0</v>
      </c>
      <c r="V13" s="110">
        <v>0</v>
      </c>
      <c r="W13" s="110">
        <v>9000000</v>
      </c>
      <c r="X13" s="110">
        <v>0</v>
      </c>
      <c r="Y13" s="110">
        <v>9000000</v>
      </c>
      <c r="Z13" s="110">
        <v>9000000</v>
      </c>
      <c r="AA13" s="110">
        <v>45979</v>
      </c>
      <c r="AB13" s="111" t="str">
        <v>Q4 2025</v>
      </c>
      <c r="AC13">
        <v>0</v>
      </c>
      <c r="AD13" t="str">
        <v>TBD</v>
      </c>
      <c r="AE13" t="str">
        <v>Sandra Viegas</v>
      </c>
      <c r="AF13" t="str">
        <v>Catarina Andrade</v>
      </c>
      <c r="AG13" t="str">
        <v>TBD</v>
      </c>
      <c r="AH13" t="str">
        <v>Welcome to Sutaya. A sanctuary of timeless elegance. Crafted for those who seek the extraordinary.</v>
      </c>
      <c r="AI13" t="str">
        <v>Gym, Private Pools, Condo Pool, Outdoor Areas, Smart Home Technology, Underground Parking, San Lorenzo Golf Membership</v>
      </c>
      <c r="AJ13" t="str">
        <v>Projeto de enorme exclusividade localizado no campo de golfe Sao Lorenzo, Quinta do Lago; Arquitetura e acabamentos de excelência; Todas as unidades com piscina privativa e enorme privacidade; Amplas vistas de golfe e mar; Garagem com acesso de elevador privado à cada apartamento.</v>
      </c>
      <c r="AK13" t="str">
        <v>Promontório</v>
      </c>
      <c r="AL13" t="str">
        <v>Sutaya</v>
      </c>
    </row>
    <row r="14" spans="1:38" x14ac:dyDescent="0.3">
      <c r="A14" s="110" t="str">
        <v>Sutaya</v>
      </c>
      <c r="B14" s="110" t="str">
        <v>Algarve</v>
      </c>
      <c r="C14" s="110" t="str">
        <v>O</v>
      </c>
      <c r="D14" s="110" t="str">
        <v>Quinta do Lago, Algarve</v>
      </c>
      <c r="E14" s="110" t="str">
        <v>T4 PH</v>
      </c>
      <c r="F14" s="110">
        <v>654</v>
      </c>
      <c r="G14" s="110">
        <v>0</v>
      </c>
      <c r="H14" s="110" t="str">
        <v>22</v>
      </c>
      <c r="I14" s="110" t="str">
        <v/>
      </c>
      <c r="J14" s="110">
        <v>0</v>
      </c>
      <c r="K14" s="110">
        <v>0</v>
      </c>
      <c r="L14" s="110">
        <v>0</v>
      </c>
      <c r="M14" s="110">
        <v>290</v>
      </c>
      <c r="N14" s="110">
        <v>0</v>
      </c>
      <c r="O14" s="110">
        <v>364</v>
      </c>
      <c r="P14" s="110">
        <v>0</v>
      </c>
      <c r="Q14" s="110" t="str">
        <v>AVAILABLE</v>
      </c>
      <c r="R14" s="110">
        <v>9600000</v>
      </c>
      <c r="S14" s="110">
        <v>9600000</v>
      </c>
      <c r="T14" s="110">
        <v>9600000</v>
      </c>
      <c r="U14" s="110">
        <v>0</v>
      </c>
      <c r="V14" s="110">
        <v>0</v>
      </c>
      <c r="W14" s="110">
        <v>9600000</v>
      </c>
      <c r="X14" s="110">
        <v>0</v>
      </c>
      <c r="Y14" s="110">
        <v>9600000</v>
      </c>
      <c r="Z14" s="110">
        <v>9600000</v>
      </c>
      <c r="AA14" s="110">
        <v>45979</v>
      </c>
      <c r="AB14" s="111" t="str">
        <v>Q4 2025</v>
      </c>
      <c r="AC14">
        <v>0</v>
      </c>
      <c r="AD14" t="str">
        <v>TBD</v>
      </c>
      <c r="AE14" t="str">
        <v>Sandra Viegas</v>
      </c>
      <c r="AF14" t="str">
        <v>Catarina Andrade</v>
      </c>
      <c r="AG14" t="str">
        <v>TBD</v>
      </c>
      <c r="AH14" t="str">
        <v>Welcome to Sutaya. A sanctuary of timeless elegance. Crafted for those who seek the extraordinary.</v>
      </c>
      <c r="AI14" t="str">
        <v>Gym, Private Pools, Condo Pool, Outdoor Areas, Smart Home Technology, Underground Parking, San Lorenzo Golf Membership</v>
      </c>
      <c r="AJ14" t="str">
        <v>Projeto de enorme exclusividade localizado no campo de golfe Sao Lorenzo, Quinta do Lago; Arquitetura e acabamentos de excelência; Todas as unidades com piscina privativa e enorme privacidade; Amplas vistas de golfe e mar; Garagem com acesso de elevador privado à cada apartamento.</v>
      </c>
      <c r="AK14" t="str">
        <v>Promontório</v>
      </c>
      <c r="AL14" t="str">
        <v>Sutaya</v>
      </c>
    </row>
    <row r="15" spans="1:38" x14ac:dyDescent="0.3">
      <c r="A15" s="110" t="str">
        <v>Sutaya</v>
      </c>
      <c r="B15" s="110" t="str">
        <v>Algarve</v>
      </c>
      <c r="C15" s="110" t="str">
        <v>H</v>
      </c>
      <c r="D15" s="110" t="str">
        <v>Quinta do Lago, Algarve</v>
      </c>
      <c r="E15" s="110" t="str">
        <v>T3</v>
      </c>
      <c r="F15" s="110">
        <v>454</v>
      </c>
      <c r="G15" s="110">
        <v>0</v>
      </c>
      <c r="H15" s="110" t="str">
        <v>23</v>
      </c>
      <c r="I15" s="110" t="str">
        <v/>
      </c>
      <c r="J15" s="110">
        <v>0</v>
      </c>
      <c r="K15" s="110">
        <v>0</v>
      </c>
      <c r="L15" s="110">
        <v>0</v>
      </c>
      <c r="M15" s="110">
        <v>213</v>
      </c>
      <c r="N15" s="110">
        <v>0</v>
      </c>
      <c r="O15" s="110">
        <v>241</v>
      </c>
      <c r="P15" s="110">
        <v>0</v>
      </c>
      <c r="Q15" s="110" t="str">
        <v>RESERVED</v>
      </c>
      <c r="R15" s="110">
        <v>4500000</v>
      </c>
      <c r="S15" s="110">
        <v>4500000</v>
      </c>
      <c r="T15" s="110">
        <v>4500000</v>
      </c>
      <c r="U15" s="110">
        <v>0</v>
      </c>
      <c r="V15" s="110">
        <v>0</v>
      </c>
      <c r="W15" s="110">
        <v>4500000</v>
      </c>
      <c r="X15" s="110">
        <v>0.05</v>
      </c>
      <c r="Y15" s="110">
        <v>4275000</v>
      </c>
      <c r="Z15" s="110">
        <v>4275000</v>
      </c>
      <c r="AA15" s="110">
        <v>45979</v>
      </c>
      <c r="AB15" s="111" t="str">
        <v>Q4 2025</v>
      </c>
      <c r="AC15">
        <v>45979</v>
      </c>
      <c r="AD15" t="str">
        <v>TBD</v>
      </c>
      <c r="AE15" t="str">
        <v>Sandra Viegas</v>
      </c>
      <c r="AF15" t="str">
        <v>Catarina Andrade</v>
      </c>
      <c r="AG15" t="str">
        <v>TBD</v>
      </c>
      <c r="AH15" t="str">
        <v>Welcome to Sutaya. A sanctuary of timeless elegance. Crafted for those who seek the extraordinary.</v>
      </c>
      <c r="AI15" t="str">
        <v>Gym, Private Pools, Condo Pool, Outdoor Areas, Smart Home Technology, Underground Parking, San Lorenzo Golf Membership</v>
      </c>
      <c r="AJ15" t="str">
        <v>Projeto de enorme exclusividade localizado no campo de golfe Sao Lorenzo, Quinta do Lago; Arquitetura e acabamentos de excelência; Todas as unidades com piscina privativa e enorme privacidade; Amplas vistas de golfe e mar; Garagem com acesso de elevador privado à cada apartamento.</v>
      </c>
      <c r="AK15" t="str">
        <v>Carvalho Araújo</v>
      </c>
      <c r="AL15" t="str">
        <v>Sutaya</v>
      </c>
    </row>
    <row r="16" spans="1:38" x14ac:dyDescent="0.3">
      <c r="A16" s="110" t="str">
        <v>Sutaya</v>
      </c>
      <c r="B16" s="110" t="str">
        <v>Algarve</v>
      </c>
      <c r="C16" s="110" t="str">
        <v>G</v>
      </c>
      <c r="D16" s="110" t="str">
        <v>Quinta do Lago, Algarve</v>
      </c>
      <c r="E16" s="110" t="str">
        <v>T3</v>
      </c>
      <c r="F16" s="110">
        <v>454</v>
      </c>
      <c r="G16" s="110">
        <v>0</v>
      </c>
      <c r="H16" s="110" t="str">
        <v>23</v>
      </c>
      <c r="I16" s="110" t="str">
        <v/>
      </c>
      <c r="J16" s="110">
        <v>0</v>
      </c>
      <c r="K16" s="110">
        <v>0</v>
      </c>
      <c r="L16" s="110">
        <v>0</v>
      </c>
      <c r="M16" s="110">
        <v>213</v>
      </c>
      <c r="N16" s="110">
        <v>0</v>
      </c>
      <c r="O16" s="110">
        <v>241</v>
      </c>
      <c r="P16" s="110">
        <v>0</v>
      </c>
      <c r="Q16" s="110" t="str">
        <v>AVAILABLE</v>
      </c>
      <c r="R16" s="110">
        <v>5000000</v>
      </c>
      <c r="S16" s="110">
        <v>5000000</v>
      </c>
      <c r="T16" s="110">
        <v>5000000</v>
      </c>
      <c r="U16" s="110">
        <v>0</v>
      </c>
      <c r="V16" s="110">
        <v>0</v>
      </c>
      <c r="W16" s="110">
        <v>5000000</v>
      </c>
      <c r="X16" s="110">
        <v>0</v>
      </c>
      <c r="Y16" s="110">
        <v>5000000</v>
      </c>
      <c r="Z16" s="110">
        <v>5000000</v>
      </c>
      <c r="AA16" s="110">
        <v>45979</v>
      </c>
      <c r="AB16" s="111" t="str">
        <v>Q4 2025</v>
      </c>
      <c r="AC16">
        <v>0</v>
      </c>
      <c r="AD16" t="str">
        <v>TBD</v>
      </c>
      <c r="AE16" t="str">
        <v>Sandra Viegas</v>
      </c>
      <c r="AF16" t="str">
        <v>Catarina Andrade</v>
      </c>
      <c r="AG16" t="str">
        <v>TBD</v>
      </c>
      <c r="AH16" t="str">
        <v>Welcome to Sutaya. A sanctuary of timeless elegance. Crafted for those who seek the extraordinary.</v>
      </c>
      <c r="AI16" t="str">
        <v>Gym, Private Pools, Condo Pool, Outdoor Areas, Smart Home Technology, Underground Parking, San Lorenzo Golf Membership</v>
      </c>
      <c r="AJ16" t="str">
        <v>Projeto de enorme exclusividade localizado no campo de golfe Sao Lorenzo, Quinta do Lago; Arquitetura e acabamentos de excelência; Todas as unidades com piscina privativa e enorme privacidade; Amplas vistas de golfe e mar; Garagem com acesso de elevador privado à cada apartamento.</v>
      </c>
      <c r="AK16" t="str">
        <v>Carvalho Araújo</v>
      </c>
      <c r="AL16" t="str">
        <v>Sutaya</v>
      </c>
    </row>
    <row r="17" spans="1:38" x14ac:dyDescent="0.3">
      <c r="A17" s="110" t="str">
        <v>Sutaya</v>
      </c>
      <c r="B17" s="110" t="str">
        <v>Algarve</v>
      </c>
      <c r="C17" s="110" t="str">
        <v>F</v>
      </c>
      <c r="D17" s="110" t="str">
        <v>Quinta do Lago, Algarve</v>
      </c>
      <c r="E17" s="110" t="str">
        <v>T3</v>
      </c>
      <c r="F17" s="110">
        <v>454</v>
      </c>
      <c r="G17" s="110">
        <v>0</v>
      </c>
      <c r="H17" s="110" t="str">
        <v>23</v>
      </c>
      <c r="I17" s="110" t="str">
        <v/>
      </c>
      <c r="J17" s="110">
        <v>0</v>
      </c>
      <c r="K17" s="110">
        <v>0</v>
      </c>
      <c r="L17" s="110">
        <v>0</v>
      </c>
      <c r="M17" s="110">
        <v>213</v>
      </c>
      <c r="N17" s="110">
        <v>0</v>
      </c>
      <c r="O17" s="110">
        <v>241</v>
      </c>
      <c r="P17" s="110">
        <v>0</v>
      </c>
      <c r="Q17" s="110" t="str">
        <v>AVAILABLE</v>
      </c>
      <c r="R17" s="110">
        <v>5500000</v>
      </c>
      <c r="S17" s="110">
        <v>5500000</v>
      </c>
      <c r="T17" s="110">
        <v>5500000</v>
      </c>
      <c r="U17" s="110">
        <v>0</v>
      </c>
      <c r="V17" s="110">
        <v>0</v>
      </c>
      <c r="W17" s="110">
        <v>5500000</v>
      </c>
      <c r="X17" s="110">
        <v>0</v>
      </c>
      <c r="Y17" s="110">
        <v>5225000</v>
      </c>
      <c r="Z17" s="110">
        <v>5225000</v>
      </c>
      <c r="AA17" s="110">
        <v>45979</v>
      </c>
      <c r="AB17" s="111" t="str">
        <v>Q4 2025</v>
      </c>
      <c r="AC17">
        <v>0</v>
      </c>
      <c r="AD17" t="str">
        <v>TBD</v>
      </c>
      <c r="AE17" t="str">
        <v>Sandra Viegas</v>
      </c>
      <c r="AF17" t="str">
        <v>Catarina Andrade</v>
      </c>
      <c r="AG17" t="str">
        <v>TBD</v>
      </c>
      <c r="AH17" t="str">
        <v>Welcome to Sutaya. A sanctuary of timeless elegance. Crafted for those who seek the extraordinary.</v>
      </c>
      <c r="AI17" t="str">
        <v>Gym, Private Pools, Condo Pool, Outdoor Areas, Smart Home Technology, Underground Parking, San Lorenzo Golf Membership</v>
      </c>
      <c r="AJ17" t="str">
        <v>Projeto de enorme exclusividade localizado no campo de golfe Sao Lorenzo, Quinta do Lago; Arquitetura e acabamentos de excelência; Todas as unidades com piscina privativa e enorme privacidade; Amplas vistas de golfe e mar; Garagem com acesso de elevador privado à cada apartamento.</v>
      </c>
      <c r="AK17" t="str">
        <v>Carvalho Araújo</v>
      </c>
      <c r="AL17" t="str">
        <v>Sutaya</v>
      </c>
    </row>
    <row r="18" spans="1:38" x14ac:dyDescent="0.3">
      <c r="A18" s="110" t="str">
        <v>Sutaya</v>
      </c>
      <c r="B18" s="110" t="str">
        <v>Algarve</v>
      </c>
      <c r="C18" s="110" t="str">
        <v>M</v>
      </c>
      <c r="D18" s="110" t="str">
        <v>Quinta do Lago, Algarve</v>
      </c>
      <c r="E18" s="110" t="str">
        <v>T3 PH</v>
      </c>
      <c r="F18" s="110">
        <v>458</v>
      </c>
      <c r="G18" s="110">
        <v>0</v>
      </c>
      <c r="H18" s="110" t="str">
        <v>29</v>
      </c>
      <c r="I18" s="110" t="str">
        <v/>
      </c>
      <c r="J18" s="110">
        <v>0</v>
      </c>
      <c r="K18" s="110">
        <v>0</v>
      </c>
      <c r="L18" s="110">
        <v>0</v>
      </c>
      <c r="M18" s="110">
        <v>196</v>
      </c>
      <c r="N18" s="110">
        <v>0</v>
      </c>
      <c r="O18" s="110">
        <v>262</v>
      </c>
      <c r="P18" s="110">
        <v>0</v>
      </c>
      <c r="Q18" s="110" t="str">
        <v>AVAILABLE</v>
      </c>
      <c r="R18" s="110">
        <v>6100000</v>
      </c>
      <c r="S18" s="110">
        <v>6100000</v>
      </c>
      <c r="T18" s="110">
        <v>6100000</v>
      </c>
      <c r="U18" s="110">
        <v>0</v>
      </c>
      <c r="V18" s="110">
        <v>0</v>
      </c>
      <c r="W18" s="110">
        <v>6100000</v>
      </c>
      <c r="X18" s="110">
        <v>0</v>
      </c>
      <c r="Y18" s="110">
        <v>5795000</v>
      </c>
      <c r="Z18" s="110">
        <v>5795000</v>
      </c>
      <c r="AA18" s="110">
        <v>45979</v>
      </c>
      <c r="AB18" s="111" t="str">
        <v>Q4 2025</v>
      </c>
      <c r="AC18">
        <v>0</v>
      </c>
      <c r="AD18" t="str">
        <v>TBD</v>
      </c>
      <c r="AE18" t="str">
        <v>Sandra Viegas</v>
      </c>
      <c r="AF18" t="str">
        <v>Catarina Andrade</v>
      </c>
      <c r="AG18" t="str">
        <v>TBD</v>
      </c>
      <c r="AH18" t="str">
        <v>Welcome to Sutaya. A sanctuary of timeless elegance. Crafted for those who seek the extraordinary.</v>
      </c>
      <c r="AI18" t="str">
        <v>Gym, Private Pools, Condo Pool, Outdoor Areas, Smart Home Technology, Underground Parking, San Lorenzo Golf Membership</v>
      </c>
      <c r="AJ18" t="str">
        <v>Projeto de enorme exclusividade localizado no campo de golfe Sao Lorenzo, Quinta do Lago; Arquitetura e acabamentos de excelência; Todas as unidades com piscina privativa e enorme privacidade; Amplas vistas de golfe e mar; Garagem com acesso de elevador privado à cada apartamento.</v>
      </c>
      <c r="AK18" t="str">
        <v>Carvalho Araújo</v>
      </c>
      <c r="AL18" t="str">
        <v>Sutaya</v>
      </c>
    </row>
    <row r="19" spans="1:38" x14ac:dyDescent="0.3">
      <c r="A19" s="110"/>
      <c r="B19" s="110"/>
      <c r="C19" s="110"/>
      <c r="D19" s="110"/>
      <c r="E19" s="110"/>
      <c r="F19" s="110"/>
      <c r="G19" s="110"/>
      <c r="H19" s="110"/>
      <c r="I19" s="110"/>
      <c r="J19" s="110"/>
      <c r="K19" s="110"/>
      <c r="L19" s="110"/>
      <c r="M19" s="110"/>
      <c r="N19" s="110"/>
      <c r="O19" s="110"/>
      <c r="P19" s="110"/>
      <c r="Q19" s="110"/>
      <c r="R19" s="110"/>
      <c r="S19" s="110"/>
      <c r="T19" s="110"/>
      <c r="U19" s="110"/>
      <c r="V19" s="110"/>
      <c r="W19" s="110"/>
      <c r="X19" s="110"/>
      <c r="Y19" s="110"/>
      <c r="Z19" s="110"/>
      <c r="AA19" s="110"/>
      <c r="AB19" s="111"/>
    </row>
    <row r="20" spans="1:38" x14ac:dyDescent="0.3">
      <c r="A20" s="110"/>
      <c r="B20" s="110"/>
      <c r="C20" s="110"/>
      <c r="D20" s="110"/>
      <c r="E20" s="110"/>
      <c r="F20" s="110"/>
      <c r="G20" s="110"/>
      <c r="H20" s="110"/>
      <c r="I20" s="110"/>
      <c r="J20" s="110"/>
      <c r="K20" s="110"/>
      <c r="L20" s="110"/>
      <c r="M20" s="110"/>
      <c r="N20" s="110"/>
      <c r="O20" s="110"/>
      <c r="P20" s="110"/>
      <c r="Q20" s="110"/>
      <c r="R20" s="110"/>
      <c r="S20" s="110"/>
      <c r="T20" s="110"/>
      <c r="U20" s="110"/>
      <c r="V20" s="110"/>
      <c r="W20" s="110"/>
      <c r="X20" s="110"/>
      <c r="Y20" s="110"/>
      <c r="Z20" s="110"/>
      <c r="AA20" s="110"/>
      <c r="AB20" s="111"/>
    </row>
    <row r="21" spans="1:38" x14ac:dyDescent="0.3">
      <c r="A21" s="110"/>
      <c r="B21" s="110"/>
      <c r="C21" s="110"/>
      <c r="D21" s="110"/>
      <c r="E21" s="110"/>
      <c r="F21" s="110"/>
      <c r="G21" s="110"/>
      <c r="H21" s="110"/>
      <c r="I21" s="110"/>
      <c r="J21" s="110"/>
      <c r="K21" s="110"/>
      <c r="L21" s="110"/>
      <c r="M21" s="110"/>
      <c r="N21" s="110"/>
      <c r="O21" s="110"/>
      <c r="P21" s="110"/>
      <c r="Q21" s="110"/>
      <c r="R21" s="110"/>
      <c r="S21" s="110"/>
      <c r="T21" s="110"/>
      <c r="U21" s="110"/>
      <c r="V21" s="110"/>
      <c r="W21" s="110"/>
      <c r="X21" s="110"/>
      <c r="Y21" s="110"/>
      <c r="Z21" s="110"/>
      <c r="AA21" s="110"/>
      <c r="AB21" s="111"/>
    </row>
    <row r="22" spans="1:38" x14ac:dyDescent="0.3">
      <c r="A22" s="110"/>
      <c r="B22" s="110"/>
      <c r="C22" s="110"/>
      <c r="D22" s="110"/>
      <c r="E22" s="110"/>
      <c r="F22" s="110"/>
      <c r="G22" s="110"/>
      <c r="H22" s="110"/>
      <c r="I22" s="110"/>
      <c r="J22" s="110"/>
      <c r="K22" s="110"/>
      <c r="L22" s="110"/>
      <c r="M22" s="110"/>
      <c r="N22" s="110"/>
      <c r="O22" s="110"/>
      <c r="P22" s="110"/>
      <c r="Q22" s="110"/>
      <c r="R22" s="110"/>
      <c r="S22" s="110"/>
      <c r="T22" s="110"/>
      <c r="U22" s="110"/>
      <c r="V22" s="110"/>
      <c r="W22" s="110"/>
      <c r="X22" s="110"/>
      <c r="Y22" s="110"/>
      <c r="Z22" s="110"/>
      <c r="AA22" s="110"/>
      <c r="AB22" s="111"/>
    </row>
    <row r="23" spans="1:38" x14ac:dyDescent="0.3">
      <c r="A23" s="110"/>
      <c r="B23" s="110"/>
      <c r="C23" s="110"/>
      <c r="D23" s="110"/>
      <c r="E23" s="110"/>
      <c r="F23" s="110"/>
      <c r="G23" s="110"/>
      <c r="H23" s="110"/>
      <c r="I23" s="110"/>
      <c r="J23" s="110"/>
      <c r="K23" s="110"/>
      <c r="L23" s="110"/>
      <c r="M23" s="110"/>
      <c r="N23" s="110"/>
      <c r="O23" s="110"/>
      <c r="P23" s="110"/>
      <c r="Q23" s="110"/>
      <c r="R23" s="110"/>
      <c r="S23" s="110"/>
      <c r="T23" s="110"/>
      <c r="U23" s="110"/>
      <c r="V23" s="110"/>
      <c r="W23" s="110"/>
      <c r="X23" s="110"/>
      <c r="Y23" s="110"/>
      <c r="Z23" s="110"/>
      <c r="AA23" s="110"/>
      <c r="AB23" s="111"/>
    </row>
    <row r="24" spans="1:38" x14ac:dyDescent="0.3">
      <c r="A24" s="110"/>
      <c r="B24" s="110"/>
      <c r="C24" s="110"/>
      <c r="D24" s="110"/>
      <c r="E24" s="110"/>
      <c r="F24" s="110"/>
      <c r="G24" s="110"/>
      <c r="H24" s="110"/>
      <c r="I24" s="110"/>
      <c r="J24" s="110"/>
      <c r="K24" s="110"/>
      <c r="L24" s="110"/>
      <c r="M24" s="110"/>
      <c r="N24" s="110"/>
      <c r="O24" s="110"/>
      <c r="P24" s="110"/>
      <c r="Q24" s="110"/>
      <c r="R24" s="110"/>
      <c r="S24" s="110"/>
      <c r="T24" s="110"/>
      <c r="U24" s="110"/>
      <c r="V24" s="110"/>
      <c r="W24" s="110"/>
      <c r="X24" s="110"/>
      <c r="Y24" s="110"/>
      <c r="Z24" s="110"/>
      <c r="AA24" s="110"/>
      <c r="AB24" s="111"/>
    </row>
    <row r="25" spans="1:38" x14ac:dyDescent="0.3">
      <c r="A25" s="110"/>
      <c r="B25" s="110"/>
      <c r="C25" s="110"/>
      <c r="D25" s="110"/>
      <c r="E25" s="110"/>
      <c r="F25" s="110"/>
      <c r="G25" s="110"/>
      <c r="H25" s="110"/>
      <c r="I25" s="110"/>
      <c r="J25" s="110"/>
      <c r="K25" s="110"/>
      <c r="L25" s="110"/>
      <c r="M25" s="110"/>
      <c r="N25" s="110"/>
      <c r="O25" s="110"/>
      <c r="P25" s="110"/>
      <c r="Q25" s="110"/>
      <c r="R25" s="110"/>
      <c r="S25" s="110"/>
      <c r="T25" s="110"/>
      <c r="U25" s="110"/>
      <c r="V25" s="110"/>
      <c r="W25" s="110"/>
      <c r="X25" s="110"/>
      <c r="Y25" s="110"/>
      <c r="Z25" s="110"/>
      <c r="AA25" s="110"/>
      <c r="AB25" s="111"/>
    </row>
    <row r="26" spans="1:38" x14ac:dyDescent="0.3">
      <c r="A26" s="110"/>
      <c r="B26" s="110"/>
      <c r="C26" s="110"/>
      <c r="D26" s="110"/>
      <c r="E26" s="110"/>
      <c r="F26" s="110"/>
      <c r="G26" s="110"/>
      <c r="H26" s="110"/>
      <c r="I26" s="110"/>
      <c r="J26" s="110"/>
      <c r="K26" s="110"/>
      <c r="L26" s="110"/>
      <c r="M26" s="110"/>
      <c r="N26" s="110"/>
      <c r="O26" s="110"/>
      <c r="P26" s="110"/>
      <c r="Q26" s="110"/>
      <c r="R26" s="110"/>
      <c r="S26" s="110"/>
      <c r="T26" s="110"/>
      <c r="U26" s="110"/>
      <c r="V26" s="110"/>
      <c r="W26" s="110"/>
      <c r="X26" s="110"/>
      <c r="Y26" s="110"/>
      <c r="Z26" s="110"/>
      <c r="AA26" s="110"/>
      <c r="AB26" s="111"/>
    </row>
    <row r="27" spans="1:38" x14ac:dyDescent="0.3">
      <c r="A27" s="110"/>
      <c r="B27" s="110"/>
      <c r="C27" s="110"/>
      <c r="D27" s="110"/>
      <c r="E27" s="110"/>
      <c r="F27" s="110"/>
      <c r="G27" s="110"/>
      <c r="H27" s="110"/>
      <c r="I27" s="110"/>
      <c r="J27" s="110"/>
      <c r="K27" s="110"/>
      <c r="L27" s="110"/>
      <c r="M27" s="110"/>
      <c r="N27" s="110"/>
      <c r="O27" s="110"/>
      <c r="P27" s="110"/>
      <c r="Q27" s="110"/>
      <c r="R27" s="110"/>
      <c r="S27" s="110"/>
      <c r="T27" s="110"/>
      <c r="U27" s="110"/>
      <c r="V27" s="110"/>
      <c r="W27" s="110"/>
      <c r="X27" s="110"/>
      <c r="Y27" s="110"/>
      <c r="Z27" s="110"/>
      <c r="AA27" s="110"/>
      <c r="AB27" s="111"/>
    </row>
    <row r="28" spans="1:38" x14ac:dyDescent="0.3">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c r="Y28" s="110"/>
      <c r="Z28" s="110"/>
      <c r="AA28" s="110"/>
      <c r="AB28" s="111"/>
    </row>
    <row r="29" spans="1:38" x14ac:dyDescent="0.3">
      <c r="A29" s="110"/>
      <c r="B29" s="110"/>
      <c r="C29" s="110"/>
      <c r="D29" s="110"/>
      <c r="E29" s="110"/>
      <c r="F29" s="110"/>
      <c r="G29" s="110"/>
      <c r="H29" s="110"/>
      <c r="I29" s="110"/>
      <c r="J29" s="110"/>
      <c r="K29" s="110"/>
      <c r="L29" s="110"/>
      <c r="M29" s="110"/>
      <c r="N29" s="110"/>
      <c r="O29" s="110"/>
      <c r="P29" s="110"/>
      <c r="Q29" s="110"/>
      <c r="R29" s="110"/>
      <c r="S29" s="110"/>
      <c r="T29" s="110"/>
      <c r="U29" s="110"/>
      <c r="V29" s="110"/>
      <c r="W29" s="110"/>
      <c r="X29" s="110"/>
      <c r="Y29" s="110"/>
      <c r="Z29" s="110"/>
      <c r="AA29" s="110"/>
      <c r="AB29" s="111"/>
    </row>
    <row r="30" spans="1:38" x14ac:dyDescent="0.3">
      <c r="A30" s="110"/>
      <c r="B30" s="110"/>
      <c r="C30" s="110"/>
      <c r="D30" s="110"/>
      <c r="E30" s="110"/>
      <c r="F30" s="110"/>
      <c r="G30" s="110"/>
      <c r="H30" s="110"/>
      <c r="I30" s="110"/>
      <c r="J30" s="110"/>
      <c r="K30" s="110"/>
      <c r="L30" s="110"/>
      <c r="M30" s="110"/>
      <c r="N30" s="110"/>
      <c r="O30" s="110"/>
      <c r="P30" s="110"/>
      <c r="Q30" s="110"/>
      <c r="R30" s="110"/>
      <c r="S30" s="110"/>
      <c r="T30" s="110"/>
      <c r="U30" s="110"/>
      <c r="V30" s="110"/>
      <c r="W30" s="110"/>
      <c r="X30" s="110"/>
      <c r="Y30" s="110"/>
      <c r="Z30" s="110"/>
      <c r="AA30" s="110"/>
      <c r="AB30" s="111"/>
    </row>
    <row r="31" spans="1:38" x14ac:dyDescent="0.3">
      <c r="A31" s="110"/>
      <c r="B31" s="110"/>
      <c r="C31" s="110"/>
      <c r="D31" s="110"/>
      <c r="E31" s="110"/>
      <c r="F31" s="110"/>
      <c r="G31" s="110"/>
      <c r="H31" s="110"/>
      <c r="I31" s="110"/>
      <c r="J31" s="110"/>
      <c r="K31" s="110"/>
      <c r="L31" s="110"/>
      <c r="M31" s="110"/>
      <c r="N31" s="110"/>
      <c r="O31" s="110"/>
      <c r="P31" s="110"/>
      <c r="Q31" s="110"/>
      <c r="R31" s="110"/>
      <c r="S31" s="110"/>
      <c r="T31" s="110"/>
      <c r="U31" s="110"/>
      <c r="V31" s="110"/>
      <c r="W31" s="110"/>
      <c r="X31" s="110"/>
      <c r="Y31" s="110"/>
      <c r="Z31" s="110"/>
      <c r="AA31" s="110"/>
      <c r="AB31" s="111"/>
    </row>
    <row r="32" spans="1:38" x14ac:dyDescent="0.3">
      <c r="A32" s="110"/>
      <c r="B32" s="110"/>
      <c r="C32" s="110"/>
      <c r="D32" s="110"/>
      <c r="E32" s="110"/>
      <c r="F32" s="110"/>
      <c r="G32" s="110"/>
      <c r="H32" s="110"/>
      <c r="I32" s="110"/>
      <c r="J32" s="110"/>
      <c r="K32" s="110"/>
      <c r="L32" s="110"/>
      <c r="M32" s="110"/>
      <c r="N32" s="110"/>
      <c r="O32" s="110"/>
      <c r="P32" s="110"/>
      <c r="Q32" s="110"/>
      <c r="R32" s="110"/>
      <c r="S32" s="110"/>
      <c r="T32" s="110"/>
      <c r="U32" s="110"/>
      <c r="V32" s="110"/>
      <c r="W32" s="110"/>
      <c r="X32" s="110"/>
      <c r="Y32" s="110"/>
      <c r="Z32" s="110"/>
      <c r="AA32" s="110"/>
      <c r="AB32" s="111"/>
    </row>
    <row r="33" spans="1:28" x14ac:dyDescent="0.3">
      <c r="A33" s="110"/>
      <c r="B33" s="110"/>
      <c r="C33" s="110"/>
      <c r="D33" s="110"/>
      <c r="E33" s="110"/>
      <c r="F33" s="110"/>
      <c r="G33" s="110"/>
      <c r="H33" s="110"/>
      <c r="I33" s="110"/>
      <c r="J33" s="110"/>
      <c r="K33" s="110"/>
      <c r="L33" s="110"/>
      <c r="M33" s="110"/>
      <c r="N33" s="110"/>
      <c r="O33" s="110"/>
      <c r="P33" s="110"/>
      <c r="Q33" s="110"/>
      <c r="R33" s="110"/>
      <c r="S33" s="110"/>
      <c r="T33" s="110"/>
      <c r="U33" s="110"/>
      <c r="V33" s="110"/>
      <c r="W33" s="110"/>
      <c r="X33" s="110"/>
      <c r="Y33" s="110"/>
      <c r="Z33" s="110"/>
      <c r="AA33" s="110"/>
      <c r="AB33" s="111"/>
    </row>
    <row r="34" spans="1:28" x14ac:dyDescent="0.3">
      <c r="A34" s="110"/>
      <c r="B34" s="110"/>
      <c r="C34" s="110"/>
      <c r="D34" s="110"/>
      <c r="E34" s="110"/>
      <c r="F34" s="110"/>
      <c r="G34" s="110"/>
      <c r="H34" s="110"/>
      <c r="I34" s="110"/>
      <c r="J34" s="110"/>
      <c r="K34" s="110"/>
      <c r="L34" s="110"/>
      <c r="M34" s="110"/>
      <c r="N34" s="110"/>
      <c r="O34" s="110"/>
      <c r="P34" s="110"/>
      <c r="Q34" s="110"/>
      <c r="R34" s="110"/>
      <c r="S34" s="110"/>
      <c r="T34" s="110"/>
      <c r="U34" s="110"/>
      <c r="V34" s="110"/>
      <c r="W34" s="110"/>
      <c r="X34" s="110"/>
      <c r="Y34" s="110"/>
      <c r="Z34" s="110"/>
      <c r="AA34" s="110"/>
      <c r="AB34" s="111"/>
    </row>
    <row r="35" spans="1:28" x14ac:dyDescent="0.3">
      <c r="A35" s="110"/>
      <c r="B35" s="110"/>
      <c r="C35" s="110"/>
      <c r="D35" s="110"/>
      <c r="E35" s="110"/>
      <c r="F35" s="110"/>
      <c r="G35" s="110"/>
      <c r="H35" s="110"/>
      <c r="I35" s="110"/>
      <c r="J35" s="110"/>
      <c r="K35" s="110"/>
      <c r="L35" s="110"/>
      <c r="M35" s="110"/>
      <c r="N35" s="110"/>
      <c r="O35" s="110"/>
      <c r="P35" s="110"/>
      <c r="Q35" s="110"/>
      <c r="R35" s="110"/>
      <c r="S35" s="110"/>
      <c r="T35" s="110"/>
      <c r="U35" s="110"/>
      <c r="V35" s="110"/>
      <c r="W35" s="110"/>
      <c r="X35" s="110"/>
      <c r="Y35" s="110"/>
      <c r="Z35" s="110"/>
      <c r="AA35" s="110"/>
      <c r="AB35" s="111"/>
    </row>
    <row r="36" spans="1:28" x14ac:dyDescent="0.3">
      <c r="A36" s="110"/>
      <c r="B36" s="110"/>
      <c r="C36" s="110"/>
      <c r="D36" s="110"/>
      <c r="E36" s="110"/>
      <c r="F36" s="110"/>
      <c r="G36" s="110"/>
      <c r="H36" s="110"/>
      <c r="I36" s="110"/>
      <c r="J36" s="110"/>
      <c r="K36" s="110"/>
      <c r="L36" s="110"/>
      <c r="M36" s="110"/>
      <c r="N36" s="110"/>
      <c r="O36" s="110"/>
      <c r="P36" s="110"/>
      <c r="Q36" s="110"/>
      <c r="R36" s="110"/>
      <c r="S36" s="110"/>
      <c r="T36" s="110"/>
      <c r="U36" s="110"/>
      <c r="V36" s="110"/>
      <c r="W36" s="110"/>
      <c r="X36" s="110"/>
      <c r="Y36" s="110"/>
      <c r="Z36" s="110"/>
      <c r="AA36" s="110"/>
      <c r="AB36" s="111"/>
    </row>
    <row r="37" spans="1:28" x14ac:dyDescent="0.3">
      <c r="A37" s="110"/>
      <c r="B37" s="110"/>
      <c r="C37" s="110"/>
      <c r="D37" s="110"/>
      <c r="E37" s="110"/>
      <c r="F37" s="110"/>
      <c r="G37" s="110"/>
      <c r="H37" s="110"/>
      <c r="I37" s="110"/>
      <c r="J37" s="110"/>
      <c r="K37" s="110"/>
      <c r="L37" s="110"/>
      <c r="M37" s="110"/>
      <c r="N37" s="110"/>
      <c r="O37" s="110"/>
      <c r="P37" s="110"/>
      <c r="Q37" s="110"/>
      <c r="R37" s="110"/>
      <c r="S37" s="110"/>
      <c r="T37" s="110"/>
      <c r="U37" s="110"/>
      <c r="V37" s="110"/>
      <c r="W37" s="110"/>
      <c r="X37" s="110"/>
      <c r="Y37" s="110"/>
      <c r="Z37" s="110"/>
      <c r="AA37" s="110"/>
      <c r="AB37" s="111"/>
    </row>
    <row r="38" spans="1:28" x14ac:dyDescent="0.3">
      <c r="A38" s="110"/>
      <c r="B38" s="110"/>
      <c r="C38" s="110"/>
      <c r="D38" s="110"/>
      <c r="E38" s="110"/>
      <c r="F38" s="110"/>
      <c r="G38" s="110"/>
      <c r="H38" s="110"/>
      <c r="I38" s="110"/>
      <c r="J38" s="110"/>
      <c r="K38" s="110"/>
      <c r="L38" s="110"/>
      <c r="M38" s="110"/>
      <c r="N38" s="110"/>
      <c r="O38" s="110"/>
      <c r="P38" s="110"/>
      <c r="Q38" s="110"/>
      <c r="R38" s="110"/>
      <c r="S38" s="110"/>
      <c r="T38" s="110"/>
      <c r="U38" s="110"/>
      <c r="V38" s="110"/>
      <c r="W38" s="110"/>
      <c r="X38" s="110"/>
      <c r="Y38" s="110"/>
      <c r="Z38" s="110"/>
      <c r="AA38" s="110"/>
      <c r="AB38" s="111"/>
    </row>
    <row r="39" spans="1:28" x14ac:dyDescent="0.3">
      <c r="A39" s="110"/>
      <c r="B39" s="110"/>
      <c r="C39" s="110"/>
      <c r="D39" s="110"/>
      <c r="E39" s="110"/>
      <c r="F39" s="110"/>
      <c r="G39" s="110"/>
      <c r="H39" s="110"/>
      <c r="I39" s="110"/>
      <c r="J39" s="110"/>
      <c r="K39" s="110"/>
      <c r="L39" s="110"/>
      <c r="M39" s="110"/>
      <c r="N39" s="110"/>
      <c r="O39" s="110"/>
      <c r="P39" s="110"/>
      <c r="Q39" s="110"/>
      <c r="R39" s="110"/>
      <c r="S39" s="110"/>
      <c r="T39" s="110"/>
      <c r="U39" s="110"/>
      <c r="V39" s="110"/>
      <c r="W39" s="110"/>
      <c r="X39" s="110"/>
      <c r="Y39" s="110"/>
      <c r="Z39" s="110"/>
      <c r="AA39" s="110"/>
      <c r="AB39" s="111"/>
    </row>
    <row r="40" spans="1:28" x14ac:dyDescent="0.3">
      <c r="A40" s="110"/>
      <c r="B40" s="110"/>
      <c r="C40" s="110"/>
      <c r="D40" s="110"/>
      <c r="E40" s="110"/>
      <c r="F40" s="110"/>
      <c r="G40" s="110"/>
      <c r="H40" s="110"/>
      <c r="I40" s="110"/>
      <c r="J40" s="110"/>
      <c r="K40" s="110"/>
      <c r="L40" s="110"/>
      <c r="M40" s="110"/>
      <c r="N40" s="110"/>
      <c r="O40" s="110"/>
      <c r="P40" s="110"/>
      <c r="Q40" s="110"/>
      <c r="R40" s="110"/>
      <c r="S40" s="110"/>
      <c r="T40" s="110"/>
      <c r="U40" s="110"/>
      <c r="V40" s="110"/>
      <c r="W40" s="110"/>
      <c r="X40" s="110"/>
      <c r="Y40" s="110"/>
      <c r="Z40" s="110"/>
      <c r="AA40" s="110"/>
      <c r="AB40" s="111"/>
    </row>
    <row r="41" spans="1:28" x14ac:dyDescent="0.3">
      <c r="A41" s="110"/>
      <c r="B41" s="110"/>
      <c r="C41" s="110"/>
      <c r="D41" s="110"/>
      <c r="E41" s="110"/>
      <c r="F41" s="110"/>
      <c r="G41" s="110"/>
      <c r="H41" s="110"/>
      <c r="I41" s="110"/>
      <c r="J41" s="110"/>
      <c r="K41" s="110"/>
      <c r="L41" s="110"/>
      <c r="M41" s="110"/>
      <c r="N41" s="110"/>
      <c r="O41" s="110"/>
      <c r="P41" s="110"/>
      <c r="Q41" s="110"/>
      <c r="R41" s="110"/>
      <c r="S41" s="110"/>
      <c r="T41" s="110"/>
      <c r="U41" s="110"/>
      <c r="V41" s="110"/>
      <c r="W41" s="110"/>
      <c r="X41" s="110"/>
      <c r="Y41" s="110"/>
      <c r="Z41" s="110"/>
      <c r="AA41" s="110"/>
      <c r="AB41" s="111"/>
    </row>
    <row r="42" spans="1:28" x14ac:dyDescent="0.3">
      <c r="A42" s="110"/>
      <c r="B42" s="110"/>
      <c r="C42" s="110"/>
      <c r="D42" s="110"/>
      <c r="E42" s="110"/>
      <c r="F42" s="110"/>
      <c r="G42" s="110"/>
      <c r="H42" s="110"/>
      <c r="I42" s="110"/>
      <c r="J42" s="110"/>
      <c r="K42" s="110"/>
      <c r="L42" s="110"/>
      <c r="M42" s="110"/>
      <c r="N42" s="110"/>
      <c r="O42" s="110"/>
      <c r="P42" s="110"/>
      <c r="Q42" s="110"/>
      <c r="R42" s="110"/>
      <c r="S42" s="110"/>
      <c r="T42" s="110"/>
      <c r="U42" s="110"/>
      <c r="V42" s="110"/>
      <c r="W42" s="110"/>
      <c r="X42" s="110"/>
      <c r="Y42" s="110"/>
      <c r="Z42" s="110"/>
      <c r="AA42" s="110"/>
      <c r="AB42" s="111"/>
    </row>
    <row r="43" spans="1:28" x14ac:dyDescent="0.3">
      <c r="A43" s="110"/>
      <c r="B43" s="110"/>
      <c r="C43" s="110"/>
      <c r="D43" s="110"/>
      <c r="E43" s="110"/>
      <c r="F43" s="110"/>
      <c r="G43" s="110"/>
      <c r="H43" s="110"/>
      <c r="I43" s="110"/>
      <c r="J43" s="110"/>
      <c r="K43" s="110"/>
      <c r="L43" s="110"/>
      <c r="M43" s="110"/>
      <c r="N43" s="110"/>
      <c r="O43" s="110"/>
      <c r="P43" s="110"/>
      <c r="Q43" s="110"/>
      <c r="R43" s="110"/>
      <c r="S43" s="110"/>
      <c r="T43" s="110"/>
      <c r="U43" s="110"/>
      <c r="V43" s="110"/>
      <c r="W43" s="110"/>
      <c r="X43" s="110"/>
      <c r="Y43" s="110"/>
      <c r="Z43" s="110"/>
      <c r="AA43" s="110"/>
      <c r="AB43" s="111"/>
    </row>
    <row r="44" spans="1:28" x14ac:dyDescent="0.3">
      <c r="A44" s="110"/>
      <c r="B44" s="110"/>
      <c r="C44" s="110"/>
      <c r="D44" s="110"/>
      <c r="E44" s="110"/>
      <c r="F44" s="110"/>
      <c r="G44" s="110"/>
      <c r="H44" s="110"/>
      <c r="I44" s="110"/>
      <c r="J44" s="110"/>
      <c r="K44" s="110"/>
      <c r="L44" s="110"/>
      <c r="M44" s="110"/>
      <c r="N44" s="110"/>
      <c r="O44" s="110"/>
      <c r="P44" s="110"/>
      <c r="Q44" s="110"/>
      <c r="R44" s="110"/>
      <c r="S44" s="110"/>
      <c r="T44" s="110"/>
      <c r="U44" s="110"/>
      <c r="V44" s="110"/>
      <c r="W44" s="110"/>
      <c r="X44" s="110"/>
      <c r="Y44" s="110"/>
      <c r="Z44" s="110"/>
      <c r="AA44" s="110"/>
      <c r="AB44" s="111"/>
    </row>
    <row r="45" spans="1:28" x14ac:dyDescent="0.3">
      <c r="A45" s="110"/>
      <c r="B45" s="110"/>
      <c r="C45" s="110"/>
      <c r="D45" s="110"/>
      <c r="E45" s="110"/>
      <c r="F45" s="110"/>
      <c r="G45" s="110"/>
      <c r="H45" s="110"/>
      <c r="I45" s="110"/>
      <c r="J45" s="110"/>
      <c r="K45" s="110"/>
      <c r="L45" s="110"/>
      <c r="M45" s="110"/>
      <c r="N45" s="110"/>
      <c r="O45" s="110"/>
      <c r="P45" s="110"/>
      <c r="Q45" s="110"/>
      <c r="R45" s="110"/>
      <c r="S45" s="110"/>
      <c r="T45" s="110"/>
      <c r="U45" s="110"/>
      <c r="V45" s="110"/>
      <c r="W45" s="110"/>
      <c r="X45" s="110"/>
      <c r="Y45" s="110"/>
      <c r="Z45" s="110"/>
      <c r="AA45" s="110"/>
      <c r="AB45" s="111"/>
    </row>
    <row r="46" spans="1:28" x14ac:dyDescent="0.3">
      <c r="A46" s="110"/>
      <c r="B46" s="110"/>
      <c r="C46" s="110"/>
      <c r="D46" s="110"/>
      <c r="E46" s="110"/>
      <c r="F46" s="110"/>
      <c r="G46" s="110"/>
      <c r="H46" s="110"/>
      <c r="I46" s="110"/>
      <c r="J46" s="110"/>
      <c r="K46" s="110"/>
      <c r="L46" s="110"/>
      <c r="M46" s="110"/>
      <c r="N46" s="110"/>
      <c r="O46" s="110"/>
      <c r="P46" s="110"/>
      <c r="Q46" s="110"/>
      <c r="R46" s="110"/>
      <c r="S46" s="110"/>
      <c r="T46" s="110"/>
      <c r="U46" s="110"/>
      <c r="V46" s="110"/>
      <c r="W46" s="110"/>
      <c r="X46" s="110"/>
      <c r="Y46" s="110"/>
      <c r="Z46" s="110"/>
      <c r="AA46" s="110"/>
      <c r="AB46" s="111"/>
    </row>
    <row r="47" spans="1:28" x14ac:dyDescent="0.3">
      <c r="A47" s="110"/>
      <c r="B47" s="110"/>
      <c r="C47" s="110"/>
      <c r="D47" s="110"/>
      <c r="E47" s="110"/>
      <c r="F47" s="110"/>
      <c r="G47" s="110"/>
      <c r="H47" s="110"/>
      <c r="I47" s="110"/>
      <c r="J47" s="110"/>
      <c r="K47" s="110"/>
      <c r="L47" s="110"/>
      <c r="M47" s="110"/>
      <c r="N47" s="110"/>
      <c r="O47" s="110"/>
      <c r="P47" s="110"/>
      <c r="Q47" s="110"/>
      <c r="R47" s="110"/>
      <c r="S47" s="110"/>
      <c r="T47" s="110"/>
      <c r="U47" s="110"/>
      <c r="V47" s="110"/>
      <c r="W47" s="110"/>
      <c r="X47" s="110"/>
      <c r="Y47" s="110"/>
      <c r="Z47" s="110"/>
      <c r="AA47" s="110"/>
      <c r="AB47" s="111"/>
    </row>
    <row r="48" spans="1:28" x14ac:dyDescent="0.3">
      <c r="A48" s="110"/>
      <c r="B48" s="110"/>
      <c r="C48" s="110"/>
      <c r="D48" s="110"/>
      <c r="E48" s="110"/>
      <c r="F48" s="110"/>
      <c r="G48" s="110"/>
      <c r="H48" s="110"/>
      <c r="I48" s="110"/>
      <c r="J48" s="110"/>
      <c r="K48" s="110"/>
      <c r="L48" s="110"/>
      <c r="M48" s="110"/>
      <c r="N48" s="110"/>
      <c r="O48" s="110"/>
      <c r="P48" s="110"/>
      <c r="Q48" s="110"/>
      <c r="R48" s="110"/>
      <c r="S48" s="110"/>
      <c r="T48" s="110"/>
      <c r="U48" s="110"/>
      <c r="V48" s="110"/>
      <c r="W48" s="110"/>
      <c r="X48" s="110"/>
      <c r="Y48" s="110"/>
      <c r="Z48" s="110"/>
      <c r="AA48" s="110"/>
      <c r="AB48" s="111"/>
    </row>
    <row r="74" spans="11:12" x14ac:dyDescent="0.3">
      <c r="K74" s="113"/>
      <c r="L74" s="78"/>
    </row>
  </sheetData>
  <autoFilter ref="A2:AL2" xr:uid="{8C381E57-20A3-4D29-9AC1-A20B676A56DB}"/>
  <conditionalFormatting sqref="A2">
    <cfRule type="containsText" dxfId="29" priority="3" operator="containsText" text="Center">
      <formula>NOT(ISERROR(SEARCH("Center",A2)))</formula>
    </cfRule>
    <cfRule type="containsText" dxfId="28" priority="4" operator="containsText" text="North">
      <formula>NOT(ISERROR(SEARCH("North",A2)))</formula>
    </cfRule>
    <cfRule type="containsText" dxfId="27" priority="5" operator="containsText" text="Algarve">
      <formula>NOT(ISERROR(SEARCH("Algarve",A2)))</formula>
    </cfRule>
    <cfRule type="containsText" dxfId="26" priority="6" operator="containsText" text="Vilamoura">
      <formula>NOT(ISERROR(SEARCH("Vilamoura",A2)))</formula>
    </cfRule>
  </conditionalFormatting>
  <conditionalFormatting sqref="Q2">
    <cfRule type="containsText" dxfId="25" priority="1" operator="containsText" text="PRE-RESERVED">
      <formula>NOT(ISERROR(SEARCH("PRE-RESERVED",Q2)))</formula>
    </cfRule>
    <cfRule type="containsText" dxfId="24" priority="2" operator="containsText" text="RESERVED">
      <formula>NOT(ISERROR(SEARCH("RESERVED",Q2)))</formula>
    </cfRule>
  </conditionalFormatting>
  <pageMargins left="0.7" right="0.7" top="0.75" bottom="0.75" header="0.3" footer="0.3"/>
  <pageSetup paperSize="8" scale="69" fitToHeight="0" orientation="landscape"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8E628-FDDB-4AC4-AC16-C0B08C288AF2}">
  <sheetPr>
    <tabColor rgb="FF91AEBD"/>
    <pageSetUpPr fitToPage="1"/>
  </sheetPr>
  <dimension ref="A1:AL115"/>
  <sheetViews>
    <sheetView showGridLines="0" zoomScale="71" zoomScaleNormal="40" zoomScaleSheetLayoutView="70" workbookViewId="0">
      <pane xSplit="1" topLeftCell="H1" activePane="topRight" state="frozen"/>
      <selection activeCell="A2" sqref="A2"/>
      <selection pane="topRight" activeCell="A2" sqref="A2"/>
    </sheetView>
  </sheetViews>
  <sheetFormatPr defaultColWidth="8.6640625" defaultRowHeight="14.4" outlineLevelCol="2" x14ac:dyDescent="0.3"/>
  <cols>
    <col min="1" max="1" width="20.33203125" bestFit="1" customWidth="1"/>
    <col min="2" max="6" width="11.77734375" customWidth="1"/>
    <col min="7" max="12" width="11.77734375" customWidth="1" outlineLevel="2"/>
    <col min="13" max="13" width="11.77734375" style="79" customWidth="1" outlineLevel="2"/>
    <col min="14" max="14" width="11.77734375" customWidth="1" outlineLevel="2"/>
    <col min="15" max="16" width="11.77734375" customWidth="1" outlineLevel="1"/>
    <col min="17" max="18" width="11.77734375" customWidth="1"/>
    <col min="19" max="22" width="11.77734375" customWidth="1" outlineLevel="1"/>
    <col min="23" max="24" width="11.77734375" customWidth="1"/>
    <col min="25" max="25" width="11.77734375" customWidth="1" outlineLevel="1"/>
    <col min="26" max="26" width="11.77734375" customWidth="1"/>
    <col min="27" max="27" width="11.77734375" customWidth="1" outlineLevel="1"/>
    <col min="28" max="38" width="11.77734375" customWidth="1"/>
  </cols>
  <sheetData>
    <row r="1" spans="1:38" s="1" customFormat="1" ht="20.399999999999999" customHeight="1" x14ac:dyDescent="0.3">
      <c r="A1" s="114" t="s">
        <v>66</v>
      </c>
    </row>
    <row r="2" spans="1:38" s="2" customFormat="1" ht="46.2" customHeight="1" x14ac:dyDescent="0.3">
      <c r="A2" s="95" t="s">
        <v>335</v>
      </c>
      <c r="B2" s="95" t="s">
        <v>684</v>
      </c>
      <c r="C2" s="96" t="s">
        <v>765</v>
      </c>
      <c r="D2" s="97" t="s">
        <v>1</v>
      </c>
      <c r="E2" s="95" t="s">
        <v>93</v>
      </c>
      <c r="F2" s="95" t="s">
        <v>763</v>
      </c>
      <c r="G2" s="98" t="s">
        <v>675</v>
      </c>
      <c r="H2" s="99" t="s">
        <v>676</v>
      </c>
      <c r="I2" s="99" t="s">
        <v>677</v>
      </c>
      <c r="J2" s="100" t="s">
        <v>678</v>
      </c>
      <c r="K2" s="98" t="s">
        <v>679</v>
      </c>
      <c r="L2" s="98" t="s">
        <v>779</v>
      </c>
      <c r="M2" s="98" t="s">
        <v>680</v>
      </c>
      <c r="N2" s="101" t="s">
        <v>681</v>
      </c>
      <c r="O2" s="102" t="s">
        <v>94</v>
      </c>
      <c r="P2" s="102" t="s">
        <v>95</v>
      </c>
      <c r="Q2" s="95" t="s">
        <v>624</v>
      </c>
      <c r="R2" s="103" t="s">
        <v>331</v>
      </c>
      <c r="S2" s="104" t="s">
        <v>332</v>
      </c>
      <c r="T2" s="105" t="s">
        <v>333</v>
      </c>
      <c r="U2" s="105" t="s">
        <v>682</v>
      </c>
      <c r="V2" s="105" t="s">
        <v>97</v>
      </c>
      <c r="W2" s="95" t="s">
        <v>330</v>
      </c>
      <c r="X2" s="106" t="s">
        <v>919</v>
      </c>
      <c r="Y2" s="105" t="s">
        <v>334</v>
      </c>
      <c r="Z2" s="95" t="s">
        <v>98</v>
      </c>
      <c r="AA2" s="107" t="s">
        <v>933</v>
      </c>
      <c r="AB2" s="108" t="s">
        <v>934</v>
      </c>
      <c r="AC2" s="108" t="s">
        <v>928</v>
      </c>
      <c r="AD2" s="109" t="s">
        <v>926</v>
      </c>
      <c r="AE2" s="97" t="s">
        <v>792</v>
      </c>
      <c r="AF2" s="97" t="s">
        <v>793</v>
      </c>
      <c r="AG2" s="97" t="s">
        <v>2</v>
      </c>
      <c r="AH2" s="97" t="s">
        <v>3</v>
      </c>
      <c r="AI2" s="97" t="s">
        <v>5</v>
      </c>
      <c r="AJ2" s="97" t="s">
        <v>794</v>
      </c>
      <c r="AK2" s="97" t="s">
        <v>6</v>
      </c>
      <c r="AL2" s="95" t="s">
        <v>918</v>
      </c>
    </row>
    <row r="3" spans="1:38" s="112" customFormat="1" ht="13.8" x14ac:dyDescent="0.3">
      <c r="A3" s="129" t="str" cm="1">
        <f t="array" ref="A3:AL115">_xlfn._xlws.FILTER(DATABASE_Table[],DATABASE_Table[Development]=$A$1,"")</f>
        <v>Palmares - Plots</v>
      </c>
      <c r="B3" s="129" t="str">
        <v>Algarve</v>
      </c>
      <c r="C3" s="110" t="str">
        <v>23</v>
      </c>
      <c r="D3" s="110" t="str">
        <v>Lagos, Algarve</v>
      </c>
      <c r="E3" s="110" t="str">
        <v>Plot</v>
      </c>
      <c r="F3" s="110">
        <v>420</v>
      </c>
      <c r="G3" s="110">
        <v>0</v>
      </c>
      <c r="H3" s="110" t="str">
        <v/>
      </c>
      <c r="I3" s="110" t="str">
        <v/>
      </c>
      <c r="J3" s="110">
        <v>0</v>
      </c>
      <c r="K3" s="110">
        <v>0</v>
      </c>
      <c r="L3" s="110">
        <v>0</v>
      </c>
      <c r="M3" s="110">
        <v>0</v>
      </c>
      <c r="N3" s="110">
        <v>0</v>
      </c>
      <c r="O3" s="110">
        <v>420</v>
      </c>
      <c r="P3" s="110">
        <v>0</v>
      </c>
      <c r="Q3" s="110" t="str">
        <v xml:space="preserve">DEED </v>
      </c>
      <c r="R3" s="110">
        <v>930000</v>
      </c>
      <c r="S3" s="110">
        <v>930000</v>
      </c>
      <c r="T3" s="110">
        <v>1700000</v>
      </c>
      <c r="U3" s="110">
        <v>0</v>
      </c>
      <c r="V3" s="110">
        <v>0</v>
      </c>
      <c r="W3" s="110">
        <v>1700000</v>
      </c>
      <c r="X3" s="110">
        <v>0</v>
      </c>
      <c r="Y3" s="110">
        <v>1700000</v>
      </c>
      <c r="Z3" s="110">
        <v>1700000</v>
      </c>
      <c r="AA3" s="110">
        <v>45279</v>
      </c>
      <c r="AB3" s="111" t="str">
        <v>Q4 2023</v>
      </c>
      <c r="AC3" s="112">
        <v>45279</v>
      </c>
      <c r="AD3" s="112">
        <v>46843</v>
      </c>
      <c r="AE3" s="112" t="str">
        <v>Sandra Viegas</v>
      </c>
      <c r="AF3" s="112" t="str">
        <v>João Barra | José Guerreiro</v>
      </c>
      <c r="AG3" s="112" t="str">
        <v>https://www.palmaresliving.com/</v>
      </c>
      <c r="AH3" s="112" t="str">
        <v>Palmares Ocean &amp; Living : Where ocean breezes, world-class golf, and award-winning design converge to create a lifestyle beyond compare.</v>
      </c>
      <c r="AI3" s="112" t="str">
        <v>Gym, Spa, Condo Pool, Private Pools, Outdoor Areas, Private Parking, Reception, World Class Golf Course</v>
      </c>
      <c r="AJ3" s="112"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3" s="112" t="str">
        <v>RCR</v>
      </c>
      <c r="AL3" s="112" t="str">
        <v>Palmares</v>
      </c>
    </row>
    <row r="4" spans="1:38" x14ac:dyDescent="0.3">
      <c r="A4" s="129" t="str">
        <v>Palmares - Plots</v>
      </c>
      <c r="B4" s="129" t="str">
        <v>Algarve</v>
      </c>
      <c r="C4" s="110" t="str">
        <v>22</v>
      </c>
      <c r="D4" s="110" t="str">
        <v>Lagos, Algarve</v>
      </c>
      <c r="E4" s="110" t="str">
        <v>Plot</v>
      </c>
      <c r="F4" s="110">
        <v>420</v>
      </c>
      <c r="G4" s="110">
        <v>0</v>
      </c>
      <c r="H4" s="110" t="str">
        <v/>
      </c>
      <c r="I4" s="110" t="str">
        <v/>
      </c>
      <c r="J4" s="110">
        <v>0</v>
      </c>
      <c r="K4" s="110">
        <v>0</v>
      </c>
      <c r="L4" s="110">
        <v>0</v>
      </c>
      <c r="M4" s="110">
        <v>0</v>
      </c>
      <c r="N4" s="110">
        <v>0</v>
      </c>
      <c r="O4" s="110">
        <v>420</v>
      </c>
      <c r="P4" s="110">
        <v>0</v>
      </c>
      <c r="Q4" s="110" t="str">
        <v xml:space="preserve">DEED </v>
      </c>
      <c r="R4" s="110">
        <v>930000</v>
      </c>
      <c r="S4" s="110">
        <v>930000</v>
      </c>
      <c r="T4" s="110">
        <v>1750000</v>
      </c>
      <c r="U4" s="110">
        <v>0</v>
      </c>
      <c r="V4" s="110">
        <v>0</v>
      </c>
      <c r="W4" s="110">
        <v>1750000</v>
      </c>
      <c r="X4" s="110">
        <v>2.8571428571428598E-2</v>
      </c>
      <c r="Y4" s="110">
        <v>1700000</v>
      </c>
      <c r="Z4" s="110">
        <v>1700000</v>
      </c>
      <c r="AA4" s="110">
        <v>45279</v>
      </c>
      <c r="AB4" s="111" t="str">
        <v>Q4 2023</v>
      </c>
      <c r="AC4">
        <v>45512</v>
      </c>
      <c r="AD4">
        <v>46843</v>
      </c>
      <c r="AE4" t="str">
        <v>Sandra Viegas</v>
      </c>
      <c r="AF4" t="str">
        <v>João Barra | José Guerreiro</v>
      </c>
      <c r="AG4" t="str">
        <v>https://www.palmaresliving.com/</v>
      </c>
      <c r="AH4" t="str">
        <v>Palmares Ocean &amp; Living : Where ocean breezes, world-class golf, and award-winning design converge to create a lifestyle beyond compare.</v>
      </c>
      <c r="AI4" t="str">
        <v>Gym, Spa, Condo Pool, Private Pools, Outdoor Areas, Private Parking, Reception, World Class Golf Course</v>
      </c>
      <c r="AJ4"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4" t="str">
        <v>RCR</v>
      </c>
      <c r="AL4" t="str">
        <v>Palmares</v>
      </c>
    </row>
    <row r="5" spans="1:38" x14ac:dyDescent="0.3">
      <c r="A5" s="129" t="str">
        <v>Palmares - Plots</v>
      </c>
      <c r="B5" s="129" t="str">
        <v>Algarve</v>
      </c>
      <c r="C5" s="110" t="str">
        <v>1</v>
      </c>
      <c r="D5" s="110" t="str">
        <v>Lagos, Algarve</v>
      </c>
      <c r="E5" s="110" t="str">
        <v>Plot</v>
      </c>
      <c r="F5" s="110">
        <v>3142</v>
      </c>
      <c r="G5" s="110">
        <v>0</v>
      </c>
      <c r="H5" s="110" t="str">
        <v/>
      </c>
      <c r="I5" s="110" t="str">
        <v/>
      </c>
      <c r="J5" s="110">
        <v>0</v>
      </c>
      <c r="K5" s="110">
        <v>0</v>
      </c>
      <c r="L5" s="110">
        <v>0</v>
      </c>
      <c r="M5" s="110">
        <v>0</v>
      </c>
      <c r="N5" s="110">
        <v>0</v>
      </c>
      <c r="O5" s="110">
        <v>340</v>
      </c>
      <c r="P5" s="110">
        <v>0</v>
      </c>
      <c r="Q5" s="110" t="str">
        <v>RESERVED</v>
      </c>
      <c r="R5" s="110">
        <v>950000</v>
      </c>
      <c r="S5" s="110">
        <v>950000</v>
      </c>
      <c r="T5" s="110">
        <v>1800000</v>
      </c>
      <c r="U5" s="110">
        <v>0</v>
      </c>
      <c r="V5" s="110">
        <v>0</v>
      </c>
      <c r="W5" s="110">
        <v>1800000</v>
      </c>
      <c r="X5" s="110">
        <v>5.5555555555555601E-2</v>
      </c>
      <c r="Y5" s="110">
        <v>1700000</v>
      </c>
      <c r="Z5" s="110">
        <v>1700000</v>
      </c>
      <c r="AA5" s="110">
        <v>45279</v>
      </c>
      <c r="AB5" s="111" t="str">
        <v>Q4 2023</v>
      </c>
      <c r="AC5">
        <v>46182</v>
      </c>
      <c r="AD5">
        <v>46843</v>
      </c>
      <c r="AE5" t="str">
        <v>Sandra Viegas</v>
      </c>
      <c r="AF5" t="str">
        <v>João Barra | José Guerreiro</v>
      </c>
      <c r="AG5" t="str">
        <v>https://www.palmaresliving.com/</v>
      </c>
      <c r="AH5" t="str">
        <v>Palmares Ocean &amp; Living : Where ocean breezes, world-class golf, and award-winning design converge to create a lifestyle beyond compare.</v>
      </c>
      <c r="AI5" t="str">
        <v>Gym, Spa, Condo Pool, Private Pools, Outdoor Areas, Private Parking, Reception, World Class Golf Course</v>
      </c>
      <c r="AJ5"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5" t="str">
        <v>RCR</v>
      </c>
      <c r="AL5" t="str">
        <v>Palmares</v>
      </c>
    </row>
    <row r="6" spans="1:38" x14ac:dyDescent="0.3">
      <c r="A6" s="129" t="str">
        <v>Palmares - Plots</v>
      </c>
      <c r="B6" s="129" t="str">
        <v>Algarve</v>
      </c>
      <c r="C6" s="110" t="str">
        <v>18</v>
      </c>
      <c r="D6" s="110" t="str">
        <v>Lagos, Algarve</v>
      </c>
      <c r="E6" s="110" t="str">
        <v>Plot</v>
      </c>
      <c r="F6" s="110">
        <v>2760</v>
      </c>
      <c r="G6" s="110">
        <v>0</v>
      </c>
      <c r="H6" s="110" t="str">
        <v/>
      </c>
      <c r="I6" s="110" t="str">
        <v/>
      </c>
      <c r="J6" s="110">
        <v>0</v>
      </c>
      <c r="K6" s="110">
        <v>0</v>
      </c>
      <c r="L6" s="110">
        <v>0</v>
      </c>
      <c r="M6" s="110">
        <v>0</v>
      </c>
      <c r="N6" s="110">
        <v>0</v>
      </c>
      <c r="O6" s="110">
        <v>340</v>
      </c>
      <c r="P6" s="110">
        <v>0</v>
      </c>
      <c r="Q6" s="110" t="str">
        <v xml:space="preserve">PSPA </v>
      </c>
      <c r="R6" s="110">
        <v>760000</v>
      </c>
      <c r="S6" s="110">
        <v>760000</v>
      </c>
      <c r="T6" s="110">
        <v>1200000</v>
      </c>
      <c r="U6" s="110">
        <v>0</v>
      </c>
      <c r="V6" s="110">
        <v>0</v>
      </c>
      <c r="W6" s="110">
        <v>1200000</v>
      </c>
      <c r="X6" s="110">
        <v>8.3333333333333398E-2</v>
      </c>
      <c r="Y6" s="110">
        <v>1100000</v>
      </c>
      <c r="Z6" s="110">
        <v>1100000</v>
      </c>
      <c r="AA6" s="110">
        <v>45279</v>
      </c>
      <c r="AB6" s="111" t="str">
        <v>Q4 2023</v>
      </c>
      <c r="AC6">
        <v>46178</v>
      </c>
      <c r="AD6">
        <v>46843</v>
      </c>
      <c r="AE6" t="str">
        <v>Sandra Viegas</v>
      </c>
      <c r="AF6" t="str">
        <v>João Barra | José Guerreiro</v>
      </c>
      <c r="AG6" t="str">
        <v>https://www.palmaresliving.com/</v>
      </c>
      <c r="AH6" t="str">
        <v>Palmares Ocean &amp; Living : Where ocean breezes, world-class golf, and award-winning design converge to create a lifestyle beyond compare.</v>
      </c>
      <c r="AI6" t="str">
        <v>Gym, Spa, Condo Pool, Private Pools, Outdoor Areas, Private Parking, Reception, World Class Golf Course</v>
      </c>
      <c r="AJ6"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6" t="str">
        <v>RCR</v>
      </c>
      <c r="AL6" t="str">
        <v>Palmares</v>
      </c>
    </row>
    <row r="7" spans="1:38" x14ac:dyDescent="0.3">
      <c r="A7" s="129" t="str">
        <v>Palmares - Plots</v>
      </c>
      <c r="B7" s="129" t="str">
        <v>Algarve</v>
      </c>
      <c r="C7" s="110" t="str">
        <v>2</v>
      </c>
      <c r="D7" s="110" t="str">
        <v>Lagos, Algarve</v>
      </c>
      <c r="E7" s="110" t="str">
        <v>Plot</v>
      </c>
      <c r="F7" s="110">
        <v>4909</v>
      </c>
      <c r="G7" s="110">
        <v>0</v>
      </c>
      <c r="H7" s="110" t="str">
        <v/>
      </c>
      <c r="I7" s="110" t="str">
        <v/>
      </c>
      <c r="J7" s="110">
        <v>0</v>
      </c>
      <c r="K7" s="110">
        <v>0</v>
      </c>
      <c r="L7" s="110">
        <v>0</v>
      </c>
      <c r="M7" s="110">
        <v>0</v>
      </c>
      <c r="N7" s="110">
        <v>0</v>
      </c>
      <c r="O7" s="110">
        <v>500</v>
      </c>
      <c r="P7" s="110">
        <v>0</v>
      </c>
      <c r="Q7" s="110" t="str">
        <v xml:space="preserve">DEED </v>
      </c>
      <c r="R7" s="110">
        <v>850000</v>
      </c>
      <c r="S7" s="110">
        <v>850000</v>
      </c>
      <c r="T7" s="110">
        <v>2500000</v>
      </c>
      <c r="U7" s="110">
        <v>0</v>
      </c>
      <c r="V7" s="110">
        <v>0</v>
      </c>
      <c r="W7" s="110">
        <v>2500000</v>
      </c>
      <c r="X7" s="110">
        <v>0.1</v>
      </c>
      <c r="Y7" s="110">
        <v>2250000</v>
      </c>
      <c r="Z7" s="110">
        <v>2250000</v>
      </c>
      <c r="AA7" s="110">
        <v>45279</v>
      </c>
      <c r="AB7" s="111" t="str">
        <v>Q4 2023</v>
      </c>
      <c r="AC7">
        <v>0</v>
      </c>
      <c r="AD7">
        <v>46843</v>
      </c>
      <c r="AE7" t="str">
        <v>Sandra Viegas</v>
      </c>
      <c r="AF7" t="str">
        <v>João Barra | José Guerreiro</v>
      </c>
      <c r="AG7" t="str">
        <v>https://www.palmaresliving.com/</v>
      </c>
      <c r="AH7" t="str">
        <v>Palmares Ocean &amp; Living : Where ocean breezes, world-class golf, and award-winning design converge to create a lifestyle beyond compare.</v>
      </c>
      <c r="AI7" t="str">
        <v>Gym, Spa, Condo Pool, Private Pools, Outdoor Areas, Private Parking, Reception, World Class Golf Course</v>
      </c>
      <c r="AJ7"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7" t="str">
        <v>RCR</v>
      </c>
      <c r="AL7" t="str">
        <v>Palmares</v>
      </c>
    </row>
    <row r="8" spans="1:38" x14ac:dyDescent="0.3">
      <c r="A8" s="129" t="str">
        <v>Palmares - Plots</v>
      </c>
      <c r="B8" s="129" t="str">
        <v>Algarve</v>
      </c>
      <c r="C8" s="110" t="str">
        <v>101</v>
      </c>
      <c r="D8" s="110" t="str">
        <v>Lagos, Algarve</v>
      </c>
      <c r="E8" s="110" t="str">
        <v>Plot</v>
      </c>
      <c r="F8" s="110">
        <v>340</v>
      </c>
      <c r="G8" s="110">
        <v>0</v>
      </c>
      <c r="H8" s="110" t="str">
        <v/>
      </c>
      <c r="I8" s="110" t="str">
        <v/>
      </c>
      <c r="J8" s="110">
        <v>0</v>
      </c>
      <c r="K8" s="110">
        <v>0</v>
      </c>
      <c r="L8" s="110">
        <v>0</v>
      </c>
      <c r="M8" s="110">
        <v>0</v>
      </c>
      <c r="N8" s="110">
        <v>0</v>
      </c>
      <c r="O8" s="110">
        <v>340</v>
      </c>
      <c r="P8" s="110">
        <v>0</v>
      </c>
      <c r="Q8" s="110" t="str">
        <v>AVAILABLE</v>
      </c>
      <c r="R8" s="110">
        <v>820000</v>
      </c>
      <c r="S8" s="110">
        <v>820000</v>
      </c>
      <c r="T8" s="110">
        <v>1600000</v>
      </c>
      <c r="U8" s="110">
        <v>0</v>
      </c>
      <c r="V8" s="110">
        <v>0</v>
      </c>
      <c r="W8" s="110">
        <v>1600000</v>
      </c>
      <c r="X8" s="110">
        <v>0</v>
      </c>
      <c r="Y8" s="110">
        <v>1600000</v>
      </c>
      <c r="Z8" s="110">
        <v>1600000</v>
      </c>
      <c r="AA8" s="110">
        <v>45279</v>
      </c>
      <c r="AB8" s="111" t="str">
        <v>Q4 2023</v>
      </c>
      <c r="AC8">
        <v>0</v>
      </c>
      <c r="AD8">
        <v>46843</v>
      </c>
      <c r="AE8" t="str">
        <v>Sandra Viegas</v>
      </c>
      <c r="AF8" t="str">
        <v>João Barra | José Guerreiro</v>
      </c>
      <c r="AG8" t="str">
        <v>https://www.palmaresliving.com/</v>
      </c>
      <c r="AH8" t="str">
        <v>Palmares Ocean &amp; Living : Where ocean breezes, world-class golf, and award-winning design converge to create a lifestyle beyond compare.</v>
      </c>
      <c r="AI8" t="str">
        <v>Gym, Spa, Condo Pool, Private Pools, Outdoor Areas, Private Parking, Reception, World Class Golf Course</v>
      </c>
      <c r="AJ8"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8" t="str">
        <v>RCR</v>
      </c>
      <c r="AL8" t="str">
        <v>Palmares</v>
      </c>
    </row>
    <row r="9" spans="1:38" x14ac:dyDescent="0.3">
      <c r="A9" s="129" t="str">
        <v>Palmares - Plots</v>
      </c>
      <c r="B9" s="129" t="str">
        <v>Algarve</v>
      </c>
      <c r="C9" s="110" t="str">
        <v>102</v>
      </c>
      <c r="D9" s="110" t="str">
        <v>Lagos, Algarve</v>
      </c>
      <c r="E9" s="110" t="str">
        <v>Plot</v>
      </c>
      <c r="F9" s="110">
        <v>500</v>
      </c>
      <c r="G9" s="110">
        <v>0</v>
      </c>
      <c r="H9" s="110" t="str">
        <v/>
      </c>
      <c r="I9" s="110" t="str">
        <v/>
      </c>
      <c r="J9" s="110">
        <v>0</v>
      </c>
      <c r="K9" s="110">
        <v>0</v>
      </c>
      <c r="L9" s="110">
        <v>0</v>
      </c>
      <c r="M9" s="110">
        <v>0</v>
      </c>
      <c r="N9" s="110">
        <v>0</v>
      </c>
      <c r="O9" s="110">
        <v>500</v>
      </c>
      <c r="P9" s="110">
        <v>0</v>
      </c>
      <c r="Q9" s="110" t="str">
        <v>AVAILABLE</v>
      </c>
      <c r="R9" s="110">
        <v>800000</v>
      </c>
      <c r="S9" s="110">
        <v>800000</v>
      </c>
      <c r="T9" s="110">
        <v>1800000</v>
      </c>
      <c r="U9" s="110">
        <v>0</v>
      </c>
      <c r="V9" s="110">
        <v>0</v>
      </c>
      <c r="W9" s="110">
        <v>1800000</v>
      </c>
      <c r="X9" s="110">
        <v>0</v>
      </c>
      <c r="Y9" s="110">
        <v>1800000</v>
      </c>
      <c r="Z9" s="110">
        <v>1800000</v>
      </c>
      <c r="AA9" s="110">
        <v>45279</v>
      </c>
      <c r="AB9" s="111" t="str">
        <v>Q4 2023</v>
      </c>
      <c r="AC9">
        <v>0</v>
      </c>
      <c r="AD9">
        <v>46843</v>
      </c>
      <c r="AE9" t="str">
        <v>Sandra Viegas</v>
      </c>
      <c r="AF9" t="str">
        <v>João Barra | José Guerreiro</v>
      </c>
      <c r="AG9" t="str">
        <v>https://www.palmaresliving.com/</v>
      </c>
      <c r="AH9" t="str">
        <v>Palmares Ocean &amp; Living : Where ocean breezes, world-class golf, and award-winning design converge to create a lifestyle beyond compare.</v>
      </c>
      <c r="AI9" t="str">
        <v>Gym, Spa, Condo Pool, Private Pools, Outdoor Areas, Private Parking, Reception, World Class Golf Course</v>
      </c>
      <c r="AJ9"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9" t="str">
        <v>RCR</v>
      </c>
      <c r="AL9" t="str">
        <v>Palmares</v>
      </c>
    </row>
    <row r="10" spans="1:38" x14ac:dyDescent="0.3">
      <c r="A10" s="110" t="str">
        <v>Palmares - Plots</v>
      </c>
      <c r="B10" s="110" t="str">
        <v>Algarve</v>
      </c>
      <c r="C10" s="110" t="str">
        <v>103</v>
      </c>
      <c r="D10" s="110" t="str">
        <v>Lagos, Algarve</v>
      </c>
      <c r="E10" s="110" t="str">
        <v>Plot</v>
      </c>
      <c r="F10" s="110">
        <v>500</v>
      </c>
      <c r="G10" s="110">
        <v>0</v>
      </c>
      <c r="H10" s="110" t="str">
        <v/>
      </c>
      <c r="I10" s="110" t="str">
        <v/>
      </c>
      <c r="J10" s="110">
        <v>0</v>
      </c>
      <c r="K10" s="110">
        <v>0</v>
      </c>
      <c r="L10" s="110">
        <v>0</v>
      </c>
      <c r="M10" s="110">
        <v>0</v>
      </c>
      <c r="N10" s="110">
        <v>0</v>
      </c>
      <c r="O10" s="110">
        <v>500</v>
      </c>
      <c r="P10" s="110">
        <v>0</v>
      </c>
      <c r="Q10" s="110" t="str">
        <v>AVAILABLE</v>
      </c>
      <c r="R10" s="110">
        <v>930000</v>
      </c>
      <c r="S10" s="110">
        <v>930000</v>
      </c>
      <c r="T10" s="110">
        <v>2400000</v>
      </c>
      <c r="U10" s="110">
        <v>0</v>
      </c>
      <c r="V10" s="110">
        <v>0</v>
      </c>
      <c r="W10" s="110">
        <v>2400000</v>
      </c>
      <c r="X10" s="110">
        <v>0</v>
      </c>
      <c r="Y10" s="110">
        <v>2400000</v>
      </c>
      <c r="Z10" s="110">
        <v>2400000</v>
      </c>
      <c r="AA10" s="110">
        <v>45279</v>
      </c>
      <c r="AB10" s="111" t="str">
        <v>Q4 2023</v>
      </c>
      <c r="AC10">
        <v>0</v>
      </c>
      <c r="AD10">
        <v>46843</v>
      </c>
      <c r="AE10" t="str">
        <v>Sandra Viegas</v>
      </c>
      <c r="AF10" t="str">
        <v>João Barra | José Guerreiro</v>
      </c>
      <c r="AG10" t="str">
        <v>https://www.palmaresliving.com/</v>
      </c>
      <c r="AH10" t="str">
        <v>Palmares Ocean &amp; Living : Where ocean breezes, world-class golf, and award-winning design converge to create a lifestyle beyond compare.</v>
      </c>
      <c r="AI10" t="str">
        <v>Gym, Spa, Condo Pool, Private Pools, Outdoor Areas, Private Parking, Reception, World Class Golf Course</v>
      </c>
      <c r="AJ10"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10" t="str">
        <v>RCR</v>
      </c>
      <c r="AL10" t="str">
        <v>Palmares</v>
      </c>
    </row>
    <row r="11" spans="1:38" x14ac:dyDescent="0.3">
      <c r="A11" s="110" t="str">
        <v>Palmares - Plots</v>
      </c>
      <c r="B11" s="110" t="str">
        <v>Algarve</v>
      </c>
      <c r="C11" s="110" t="str">
        <v>100</v>
      </c>
      <c r="D11" s="110" t="str">
        <v>Lagos, Algarve</v>
      </c>
      <c r="E11" s="110" t="str">
        <v>Plot</v>
      </c>
      <c r="F11" s="110">
        <v>621.5</v>
      </c>
      <c r="G11" s="110">
        <v>0</v>
      </c>
      <c r="H11" s="110" t="str">
        <v/>
      </c>
      <c r="I11" s="110" t="str">
        <v/>
      </c>
      <c r="J11" s="110">
        <v>0</v>
      </c>
      <c r="K11" s="110">
        <v>0</v>
      </c>
      <c r="L11" s="110">
        <v>0</v>
      </c>
      <c r="M11" s="110">
        <v>0</v>
      </c>
      <c r="N11" s="110">
        <v>0</v>
      </c>
      <c r="O11" s="110">
        <v>621.5</v>
      </c>
      <c r="P11" s="110">
        <v>0</v>
      </c>
      <c r="Q11" s="110" t="str">
        <v>AVAILABLE</v>
      </c>
      <c r="R11" s="110">
        <v>460000</v>
      </c>
      <c r="S11" s="110">
        <v>460000</v>
      </c>
      <c r="T11" s="110">
        <v>3000000</v>
      </c>
      <c r="U11" s="110">
        <v>0</v>
      </c>
      <c r="V11" s="110">
        <v>0</v>
      </c>
      <c r="W11" s="110">
        <v>3000000</v>
      </c>
      <c r="X11" s="110">
        <v>0</v>
      </c>
      <c r="Y11" s="110">
        <v>3000000</v>
      </c>
      <c r="Z11" s="110">
        <v>3000000</v>
      </c>
      <c r="AA11" s="110">
        <v>45279</v>
      </c>
      <c r="AB11" s="111" t="str">
        <v>Q4 2023</v>
      </c>
      <c r="AC11">
        <v>0</v>
      </c>
      <c r="AD11">
        <v>46843</v>
      </c>
      <c r="AE11" t="str">
        <v>Sandra Viegas</v>
      </c>
      <c r="AF11" t="str">
        <v>João Barra | José Guerreiro</v>
      </c>
      <c r="AG11" t="str">
        <v>https://www.palmaresliving.com/</v>
      </c>
      <c r="AH11" t="str">
        <v>Palmares Ocean &amp; Living : Where ocean breezes, world-class golf, and award-winning design converge to create a lifestyle beyond compare.</v>
      </c>
      <c r="AI11" t="str">
        <v>Gym, Spa, Condo Pool, Private Pools, Outdoor Areas, Private Parking, Reception, World Class Golf Course</v>
      </c>
      <c r="AJ11"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11" t="str">
        <v>RCR</v>
      </c>
      <c r="AL11" t="str">
        <v>Palmares</v>
      </c>
    </row>
    <row r="12" spans="1:38" x14ac:dyDescent="0.3">
      <c r="A12" s="110" t="str">
        <v>Palmares - Plots</v>
      </c>
      <c r="B12" s="110" t="str">
        <v>Algarve</v>
      </c>
      <c r="C12" s="110" t="str">
        <v>91</v>
      </c>
      <c r="D12" s="110" t="str">
        <v>Lagos, Algarve</v>
      </c>
      <c r="E12" s="110" t="str">
        <v>Plot</v>
      </c>
      <c r="F12" s="110">
        <v>4639</v>
      </c>
      <c r="G12" s="110">
        <v>0</v>
      </c>
      <c r="H12" s="110" t="str">
        <v/>
      </c>
      <c r="I12" s="110" t="str">
        <v/>
      </c>
      <c r="J12" s="110">
        <v>0</v>
      </c>
      <c r="K12" s="110">
        <v>0</v>
      </c>
      <c r="L12" s="110">
        <v>0</v>
      </c>
      <c r="M12" s="110">
        <v>0</v>
      </c>
      <c r="N12" s="110">
        <v>0</v>
      </c>
      <c r="O12" s="110">
        <v>340</v>
      </c>
      <c r="P12" s="110">
        <v>0</v>
      </c>
      <c r="Q12" s="110" t="str">
        <v>AVAILABLE</v>
      </c>
      <c r="R12" s="110">
        <v>470000</v>
      </c>
      <c r="S12" s="110">
        <v>470000</v>
      </c>
      <c r="T12" s="110">
        <v>1000000</v>
      </c>
      <c r="U12" s="110">
        <v>0</v>
      </c>
      <c r="V12" s="110">
        <v>0</v>
      </c>
      <c r="W12" s="110">
        <v>1000000</v>
      </c>
      <c r="X12" s="110">
        <v>0</v>
      </c>
      <c r="Y12" s="110">
        <v>1000000</v>
      </c>
      <c r="Z12" s="110">
        <v>1000000</v>
      </c>
      <c r="AA12" s="110">
        <v>45279</v>
      </c>
      <c r="AB12" s="111" t="str">
        <v>Q4 2023</v>
      </c>
      <c r="AC12">
        <v>0</v>
      </c>
      <c r="AD12">
        <v>46843</v>
      </c>
      <c r="AE12" t="str">
        <v>Sandra Viegas</v>
      </c>
      <c r="AF12" t="str">
        <v>João Barra | José Guerreiro</v>
      </c>
      <c r="AG12" t="str">
        <v>https://www.palmaresliving.com/</v>
      </c>
      <c r="AH12" t="str">
        <v>Palmares Ocean &amp; Living : Where ocean breezes, world-class golf, and award-winning design converge to create a lifestyle beyond compare.</v>
      </c>
      <c r="AI12" t="str">
        <v>Gym, Spa, Condo Pool, Private Pools, Outdoor Areas, Private Parking, Reception, World Class Golf Course</v>
      </c>
      <c r="AJ12"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12" t="str">
        <v>RCR</v>
      </c>
      <c r="AL12" t="str">
        <v>Palmares</v>
      </c>
    </row>
    <row r="13" spans="1:38" x14ac:dyDescent="0.3">
      <c r="A13" s="110" t="str">
        <v>Palmares - Plots</v>
      </c>
      <c r="B13" s="110" t="str">
        <v>Algarve</v>
      </c>
      <c r="C13" s="110" t="str">
        <v>92</v>
      </c>
      <c r="D13" s="110" t="str">
        <v>Lagos, Algarve</v>
      </c>
      <c r="E13" s="110" t="str">
        <v>Plot</v>
      </c>
      <c r="F13" s="110">
        <v>340</v>
      </c>
      <c r="G13" s="110">
        <v>0</v>
      </c>
      <c r="H13" s="110" t="str">
        <v/>
      </c>
      <c r="I13" s="110" t="str">
        <v/>
      </c>
      <c r="J13" s="110">
        <v>0</v>
      </c>
      <c r="K13" s="110">
        <v>0</v>
      </c>
      <c r="L13" s="110">
        <v>0</v>
      </c>
      <c r="M13" s="110">
        <v>0</v>
      </c>
      <c r="N13" s="110">
        <v>0</v>
      </c>
      <c r="O13" s="110">
        <v>340</v>
      </c>
      <c r="P13" s="110">
        <v>0</v>
      </c>
      <c r="Q13" s="110" t="str">
        <v>AVAILABLE</v>
      </c>
      <c r="R13" s="110">
        <v>470000</v>
      </c>
      <c r="S13" s="110">
        <v>470000</v>
      </c>
      <c r="T13" s="110">
        <v>900000</v>
      </c>
      <c r="U13" s="110">
        <v>0</v>
      </c>
      <c r="V13" s="110">
        <v>0</v>
      </c>
      <c r="W13" s="110">
        <v>900000</v>
      </c>
      <c r="X13" s="110">
        <v>0</v>
      </c>
      <c r="Y13" s="110">
        <v>900000</v>
      </c>
      <c r="Z13" s="110">
        <v>900000</v>
      </c>
      <c r="AA13" s="110">
        <v>45279</v>
      </c>
      <c r="AB13" s="111" t="str">
        <v>Q4 2023</v>
      </c>
      <c r="AC13">
        <v>0</v>
      </c>
      <c r="AD13">
        <v>46843</v>
      </c>
      <c r="AE13" t="str">
        <v>Sandra Viegas</v>
      </c>
      <c r="AF13" t="str">
        <v>João Barra | José Guerreiro</v>
      </c>
      <c r="AG13" t="str">
        <v>https://www.palmaresliving.com/</v>
      </c>
      <c r="AH13" t="str">
        <v>Palmares Ocean &amp; Living : Where ocean breezes, world-class golf, and award-winning design converge to create a lifestyle beyond compare.</v>
      </c>
      <c r="AI13" t="str">
        <v>Gym, Spa, Condo Pool, Private Pools, Outdoor Areas, Private Parking, Reception, World Class Golf Course</v>
      </c>
      <c r="AJ13"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13" t="str">
        <v>RCR</v>
      </c>
      <c r="AL13" t="str">
        <v>Palmares</v>
      </c>
    </row>
    <row r="14" spans="1:38" x14ac:dyDescent="0.3">
      <c r="A14" s="110" t="str">
        <v>Palmares - Plots</v>
      </c>
      <c r="B14" s="110" t="str">
        <v>Algarve</v>
      </c>
      <c r="C14" s="110" t="str">
        <v>93</v>
      </c>
      <c r="D14" s="110" t="str">
        <v>Lagos, Algarve</v>
      </c>
      <c r="E14" s="110" t="str">
        <v>Plot</v>
      </c>
      <c r="F14" s="110">
        <v>420</v>
      </c>
      <c r="G14" s="110">
        <v>0</v>
      </c>
      <c r="H14" s="110" t="str">
        <v/>
      </c>
      <c r="I14" s="110" t="str">
        <v/>
      </c>
      <c r="J14" s="110">
        <v>0</v>
      </c>
      <c r="K14" s="110">
        <v>0</v>
      </c>
      <c r="L14" s="110">
        <v>0</v>
      </c>
      <c r="M14" s="110">
        <v>0</v>
      </c>
      <c r="N14" s="110">
        <v>0</v>
      </c>
      <c r="O14" s="110">
        <v>420</v>
      </c>
      <c r="P14" s="110">
        <v>0</v>
      </c>
      <c r="Q14" s="110" t="str">
        <v>AVAILABLE</v>
      </c>
      <c r="R14" s="110">
        <v>470000</v>
      </c>
      <c r="S14" s="110">
        <v>470000</v>
      </c>
      <c r="T14" s="110">
        <v>1300000</v>
      </c>
      <c r="U14" s="110">
        <v>0</v>
      </c>
      <c r="V14" s="110">
        <v>0</v>
      </c>
      <c r="W14" s="110">
        <v>1300000</v>
      </c>
      <c r="X14" s="110">
        <v>0</v>
      </c>
      <c r="Y14" s="110">
        <v>1300000</v>
      </c>
      <c r="Z14" s="110">
        <v>1300000</v>
      </c>
      <c r="AA14" s="110">
        <v>45279</v>
      </c>
      <c r="AB14" s="111" t="str">
        <v>Q4 2023</v>
      </c>
      <c r="AC14">
        <v>0</v>
      </c>
      <c r="AD14">
        <v>46843</v>
      </c>
      <c r="AE14" t="str">
        <v>Sandra Viegas</v>
      </c>
      <c r="AF14" t="str">
        <v>João Barra | José Guerreiro</v>
      </c>
      <c r="AG14" t="str">
        <v>https://www.palmaresliving.com/</v>
      </c>
      <c r="AH14" t="str">
        <v>Palmares Ocean &amp; Living : Where ocean breezes, world-class golf, and award-winning design converge to create a lifestyle beyond compare.</v>
      </c>
      <c r="AI14" t="str">
        <v>Gym, Spa, Condo Pool, Private Pools, Outdoor Areas, Private Parking, Reception, World Class Golf Course</v>
      </c>
      <c r="AJ14"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14" t="str">
        <v>RCR</v>
      </c>
      <c r="AL14" t="str">
        <v>Palmares</v>
      </c>
    </row>
    <row r="15" spans="1:38" x14ac:dyDescent="0.3">
      <c r="A15" s="110" t="str">
        <v>Palmares - Plots</v>
      </c>
      <c r="B15" s="110" t="str">
        <v>Algarve</v>
      </c>
      <c r="C15" s="110" t="str">
        <v>88</v>
      </c>
      <c r="D15" s="110" t="str">
        <v>Lagos, Algarve</v>
      </c>
      <c r="E15" s="110" t="str">
        <v>Plot</v>
      </c>
      <c r="F15" s="110">
        <v>4980</v>
      </c>
      <c r="G15" s="110">
        <v>0</v>
      </c>
      <c r="H15" s="110" t="str">
        <v/>
      </c>
      <c r="I15" s="110" t="str">
        <v/>
      </c>
      <c r="J15" s="110">
        <v>0</v>
      </c>
      <c r="K15" s="110">
        <v>0</v>
      </c>
      <c r="L15" s="110">
        <v>0</v>
      </c>
      <c r="M15" s="110">
        <v>0</v>
      </c>
      <c r="N15" s="110">
        <v>0</v>
      </c>
      <c r="O15" s="110">
        <v>420</v>
      </c>
      <c r="P15" s="110">
        <v>0</v>
      </c>
      <c r="Q15" s="110" t="str">
        <v>AVAILABLE</v>
      </c>
      <c r="R15" s="110">
        <v>540000</v>
      </c>
      <c r="S15" s="110">
        <v>540000</v>
      </c>
      <c r="T15" s="110">
        <v>1500000</v>
      </c>
      <c r="U15" s="110">
        <v>0</v>
      </c>
      <c r="V15" s="110">
        <v>0</v>
      </c>
      <c r="W15" s="110">
        <v>1500000</v>
      </c>
      <c r="X15" s="110">
        <v>0</v>
      </c>
      <c r="Y15" s="110">
        <v>1500000</v>
      </c>
      <c r="Z15" s="110">
        <v>1500000</v>
      </c>
      <c r="AA15" s="110">
        <v>45279</v>
      </c>
      <c r="AB15" s="111" t="str">
        <v>Q4 2023</v>
      </c>
      <c r="AC15">
        <v>0</v>
      </c>
      <c r="AD15">
        <v>46843</v>
      </c>
      <c r="AE15" t="str">
        <v>Sandra Viegas</v>
      </c>
      <c r="AF15" t="str">
        <v>João Barra | José Guerreiro</v>
      </c>
      <c r="AG15" t="str">
        <v>https://www.palmaresliving.com/</v>
      </c>
      <c r="AH15" t="str">
        <v>Palmares Ocean &amp; Living : Where ocean breezes, world-class golf, and award-winning design converge to create a lifestyle beyond compare.</v>
      </c>
      <c r="AI15" t="str">
        <v>Gym, Spa, Condo Pool, Private Pools, Outdoor Areas, Private Parking, Reception, World Class Golf Course</v>
      </c>
      <c r="AJ15"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15" t="str">
        <v>RCR</v>
      </c>
      <c r="AL15" t="str">
        <v>Palmares</v>
      </c>
    </row>
    <row r="16" spans="1:38" x14ac:dyDescent="0.3">
      <c r="A16" s="110" t="str">
        <v>Palmares - Plots</v>
      </c>
      <c r="B16" s="110" t="str">
        <v>Algarve</v>
      </c>
      <c r="C16" s="110" t="str">
        <v>94</v>
      </c>
      <c r="D16" s="110" t="str">
        <v>Lagos, Algarve</v>
      </c>
      <c r="E16" s="110" t="str">
        <v>Plot</v>
      </c>
      <c r="F16" s="110">
        <v>420</v>
      </c>
      <c r="G16" s="110">
        <v>0</v>
      </c>
      <c r="H16" s="110" t="str">
        <v/>
      </c>
      <c r="I16" s="110" t="str">
        <v/>
      </c>
      <c r="J16" s="110">
        <v>0</v>
      </c>
      <c r="K16" s="110">
        <v>0</v>
      </c>
      <c r="L16" s="110">
        <v>0</v>
      </c>
      <c r="M16" s="110">
        <v>0</v>
      </c>
      <c r="N16" s="110">
        <v>0</v>
      </c>
      <c r="O16" s="110">
        <v>420</v>
      </c>
      <c r="P16" s="110">
        <v>0</v>
      </c>
      <c r="Q16" s="110" t="str">
        <v>AVAILABLE</v>
      </c>
      <c r="R16" s="110">
        <v>540000</v>
      </c>
      <c r="S16" s="110">
        <v>540000</v>
      </c>
      <c r="T16" s="110">
        <v>1300000</v>
      </c>
      <c r="U16" s="110">
        <v>0</v>
      </c>
      <c r="V16" s="110">
        <v>0</v>
      </c>
      <c r="W16" s="110">
        <v>1300000</v>
      </c>
      <c r="X16" s="110">
        <v>0</v>
      </c>
      <c r="Y16" s="110">
        <v>1300000</v>
      </c>
      <c r="Z16" s="110">
        <v>1300000</v>
      </c>
      <c r="AA16" s="110">
        <v>45279</v>
      </c>
      <c r="AB16" s="111" t="str">
        <v>Q4 2023</v>
      </c>
      <c r="AC16">
        <v>0</v>
      </c>
      <c r="AD16">
        <v>46843</v>
      </c>
      <c r="AE16" t="str">
        <v>Sandra Viegas</v>
      </c>
      <c r="AF16" t="str">
        <v>João Barra | José Guerreiro</v>
      </c>
      <c r="AG16" t="str">
        <v>https://www.palmaresliving.com/</v>
      </c>
      <c r="AH16" t="str">
        <v>Palmares Ocean &amp; Living : Where ocean breezes, world-class golf, and award-winning design converge to create a lifestyle beyond compare.</v>
      </c>
      <c r="AI16" t="str">
        <v>Gym, Spa, Condo Pool, Private Pools, Outdoor Areas, Private Parking, Reception, World Class Golf Course</v>
      </c>
      <c r="AJ16"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16" t="str">
        <v>RCR</v>
      </c>
      <c r="AL16" t="str">
        <v>Palmares</v>
      </c>
    </row>
    <row r="17" spans="1:38" x14ac:dyDescent="0.3">
      <c r="A17" s="110" t="str">
        <v>Palmares - Plots</v>
      </c>
      <c r="B17" s="110" t="str">
        <v>Algarve</v>
      </c>
      <c r="C17" s="110" t="str">
        <v>42</v>
      </c>
      <c r="D17" s="110" t="str">
        <v>Lagos, Algarve</v>
      </c>
      <c r="E17" s="110" t="str">
        <v>Plot</v>
      </c>
      <c r="F17" s="110">
        <v>2725</v>
      </c>
      <c r="G17" s="110">
        <v>0</v>
      </c>
      <c r="H17" s="110" t="str">
        <v/>
      </c>
      <c r="I17" s="110" t="str">
        <v/>
      </c>
      <c r="J17" s="110">
        <v>0</v>
      </c>
      <c r="K17" s="110">
        <v>0</v>
      </c>
      <c r="L17" s="110">
        <v>0</v>
      </c>
      <c r="M17" s="110">
        <v>0</v>
      </c>
      <c r="N17" s="110">
        <v>0</v>
      </c>
      <c r="O17" s="110">
        <v>340</v>
      </c>
      <c r="P17" s="110">
        <v>0</v>
      </c>
      <c r="Q17" s="110" t="str">
        <v>AVAILABLE</v>
      </c>
      <c r="R17" s="110">
        <v>570000</v>
      </c>
      <c r="S17" s="110">
        <v>570000</v>
      </c>
      <c r="T17" s="110">
        <v>1250000</v>
      </c>
      <c r="U17" s="110">
        <v>0</v>
      </c>
      <c r="V17" s="110">
        <v>0</v>
      </c>
      <c r="W17" s="110">
        <v>1250000</v>
      </c>
      <c r="X17" s="110">
        <v>0</v>
      </c>
      <c r="Y17" s="110">
        <v>1250000</v>
      </c>
      <c r="Z17" s="110">
        <v>1250000</v>
      </c>
      <c r="AA17" s="110">
        <v>45279</v>
      </c>
      <c r="AB17" s="111" t="str">
        <v>Q4 2023</v>
      </c>
      <c r="AC17">
        <v>0</v>
      </c>
      <c r="AD17">
        <v>46843</v>
      </c>
      <c r="AE17" t="str">
        <v>Sandra Viegas</v>
      </c>
      <c r="AF17" t="str">
        <v>João Barra | José Guerreiro</v>
      </c>
      <c r="AG17" t="str">
        <v>https://www.palmaresliving.com/</v>
      </c>
      <c r="AH17" t="str">
        <v>Palmares Ocean &amp; Living : Where ocean breezes, world-class golf, and award-winning design converge to create a lifestyle beyond compare.</v>
      </c>
      <c r="AI17" t="str">
        <v>Gym, Spa, Condo Pool, Private Pools, Outdoor Areas, Private Parking, Reception, World Class Golf Course</v>
      </c>
      <c r="AJ17"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17" t="str">
        <v>RCR</v>
      </c>
      <c r="AL17" t="str">
        <v>Palmares</v>
      </c>
    </row>
    <row r="18" spans="1:38" x14ac:dyDescent="0.3">
      <c r="A18" s="110" t="str">
        <v>Palmares - Plots</v>
      </c>
      <c r="B18" s="110" t="str">
        <v>Algarve</v>
      </c>
      <c r="C18" s="110" t="str">
        <v>44</v>
      </c>
      <c r="D18" s="110" t="str">
        <v>Lagos, Algarve</v>
      </c>
      <c r="E18" s="110" t="str">
        <v>Plot</v>
      </c>
      <c r="F18" s="110">
        <v>3281</v>
      </c>
      <c r="G18" s="110">
        <v>0</v>
      </c>
      <c r="H18" s="110" t="str">
        <v/>
      </c>
      <c r="I18" s="110" t="str">
        <v/>
      </c>
      <c r="J18" s="110">
        <v>0</v>
      </c>
      <c r="K18" s="110">
        <v>0</v>
      </c>
      <c r="L18" s="110">
        <v>0</v>
      </c>
      <c r="M18" s="110">
        <v>0</v>
      </c>
      <c r="N18" s="110">
        <v>0</v>
      </c>
      <c r="O18" s="110">
        <v>500</v>
      </c>
      <c r="P18" s="110">
        <v>0</v>
      </c>
      <c r="Q18" s="110" t="str">
        <v>AVAILABLE</v>
      </c>
      <c r="R18" s="110">
        <v>570000</v>
      </c>
      <c r="S18" s="110">
        <v>570000</v>
      </c>
      <c r="T18" s="110">
        <v>1350000</v>
      </c>
      <c r="U18" s="110">
        <v>0</v>
      </c>
      <c r="V18" s="110">
        <v>0</v>
      </c>
      <c r="W18" s="110">
        <v>1350000</v>
      </c>
      <c r="X18" s="110">
        <v>0</v>
      </c>
      <c r="Y18" s="110">
        <v>1350000</v>
      </c>
      <c r="Z18" s="110">
        <v>1350000</v>
      </c>
      <c r="AA18" s="110">
        <v>45279</v>
      </c>
      <c r="AB18" s="111" t="str">
        <v>Q4 2023</v>
      </c>
      <c r="AC18">
        <v>0</v>
      </c>
      <c r="AD18">
        <v>46843</v>
      </c>
      <c r="AE18" t="str">
        <v>Sandra Viegas</v>
      </c>
      <c r="AF18" t="str">
        <v>João Barra | José Guerreiro</v>
      </c>
      <c r="AG18" t="str">
        <v>https://www.palmaresliving.com/</v>
      </c>
      <c r="AH18" t="str">
        <v>Palmares Ocean &amp; Living : Where ocean breezes, world-class golf, and award-winning design converge to create a lifestyle beyond compare.</v>
      </c>
      <c r="AI18" t="str">
        <v>Gym, Spa, Condo Pool, Private Pools, Outdoor Areas, Private Parking, Reception, World Class Golf Course</v>
      </c>
      <c r="AJ18"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18" t="str">
        <v>RCR</v>
      </c>
      <c r="AL18" t="str">
        <v>Palmares</v>
      </c>
    </row>
    <row r="19" spans="1:38" x14ac:dyDescent="0.3">
      <c r="A19" s="110" t="str">
        <v>Palmares - Plots</v>
      </c>
      <c r="B19" s="110" t="str">
        <v>Algarve</v>
      </c>
      <c r="C19" s="110" t="str">
        <v>95</v>
      </c>
      <c r="D19" s="110" t="str">
        <v>Lagos, Algarve</v>
      </c>
      <c r="E19" s="110" t="str">
        <v>Plot</v>
      </c>
      <c r="F19" s="110">
        <v>420</v>
      </c>
      <c r="G19" s="110">
        <v>0</v>
      </c>
      <c r="H19" s="110" t="str">
        <v/>
      </c>
      <c r="I19" s="110" t="str">
        <v/>
      </c>
      <c r="J19" s="110">
        <v>0</v>
      </c>
      <c r="K19" s="110">
        <v>0</v>
      </c>
      <c r="L19" s="110">
        <v>0</v>
      </c>
      <c r="M19" s="110">
        <v>0</v>
      </c>
      <c r="N19" s="110">
        <v>0</v>
      </c>
      <c r="O19" s="110">
        <v>420</v>
      </c>
      <c r="P19" s="110">
        <v>0</v>
      </c>
      <c r="Q19" s="110" t="str">
        <v>AVAILABLE</v>
      </c>
      <c r="R19" s="110">
        <v>580000</v>
      </c>
      <c r="S19" s="110">
        <v>580000</v>
      </c>
      <c r="T19" s="110">
        <v>1300000</v>
      </c>
      <c r="U19" s="110">
        <v>0</v>
      </c>
      <c r="V19" s="110">
        <v>0</v>
      </c>
      <c r="W19" s="110">
        <v>1300000</v>
      </c>
      <c r="X19" s="110">
        <v>0</v>
      </c>
      <c r="Y19" s="110">
        <v>1300000</v>
      </c>
      <c r="Z19" s="110">
        <v>1300000</v>
      </c>
      <c r="AA19" s="110">
        <v>45279</v>
      </c>
      <c r="AB19" s="111" t="str">
        <v>Q4 2023</v>
      </c>
      <c r="AC19">
        <v>0</v>
      </c>
      <c r="AD19">
        <v>46843</v>
      </c>
      <c r="AE19" t="str">
        <v>Sandra Viegas</v>
      </c>
      <c r="AF19" t="str">
        <v>João Barra | José Guerreiro</v>
      </c>
      <c r="AG19" t="str">
        <v>https://www.palmaresliving.com/</v>
      </c>
      <c r="AH19" t="str">
        <v>Palmares Ocean &amp; Living : Where ocean breezes, world-class golf, and award-winning design converge to create a lifestyle beyond compare.</v>
      </c>
      <c r="AI19" t="str">
        <v>Gym, Spa, Condo Pool, Private Pools, Outdoor Areas, Private Parking, Reception, World Class Golf Course</v>
      </c>
      <c r="AJ19"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19" t="str">
        <v>RCR</v>
      </c>
      <c r="AL19" t="str">
        <v>Palmares</v>
      </c>
    </row>
    <row r="20" spans="1:38" x14ac:dyDescent="0.3">
      <c r="A20" s="110" t="str">
        <v>Palmares - Plots</v>
      </c>
      <c r="B20" s="110" t="str">
        <v>Algarve</v>
      </c>
      <c r="C20" s="110" t="str">
        <v>96</v>
      </c>
      <c r="D20" s="110" t="str">
        <v>Lagos, Algarve</v>
      </c>
      <c r="E20" s="110" t="str">
        <v>Plot</v>
      </c>
      <c r="F20" s="110">
        <v>420</v>
      </c>
      <c r="G20" s="110">
        <v>0</v>
      </c>
      <c r="H20" s="110" t="str">
        <v/>
      </c>
      <c r="I20" s="110" t="str">
        <v/>
      </c>
      <c r="J20" s="110">
        <v>0</v>
      </c>
      <c r="K20" s="110">
        <v>0</v>
      </c>
      <c r="L20" s="110">
        <v>0</v>
      </c>
      <c r="M20" s="110">
        <v>0</v>
      </c>
      <c r="N20" s="110">
        <v>0</v>
      </c>
      <c r="O20" s="110">
        <v>420</v>
      </c>
      <c r="P20" s="110">
        <v>0</v>
      </c>
      <c r="Q20" s="110" t="str">
        <v>AVAILABLE</v>
      </c>
      <c r="R20" s="110">
        <v>580000</v>
      </c>
      <c r="S20" s="110">
        <v>580000</v>
      </c>
      <c r="T20" s="110">
        <v>1300000</v>
      </c>
      <c r="U20" s="110">
        <v>0</v>
      </c>
      <c r="V20" s="110">
        <v>0</v>
      </c>
      <c r="W20" s="110">
        <v>1300000</v>
      </c>
      <c r="X20" s="110">
        <v>0</v>
      </c>
      <c r="Y20" s="110">
        <v>1300000</v>
      </c>
      <c r="Z20" s="110">
        <v>1300000</v>
      </c>
      <c r="AA20" s="110">
        <v>45279</v>
      </c>
      <c r="AB20" s="111" t="str">
        <v>Q4 2023</v>
      </c>
      <c r="AC20">
        <v>0</v>
      </c>
      <c r="AD20">
        <v>46843</v>
      </c>
      <c r="AE20" t="str">
        <v>Sandra Viegas</v>
      </c>
      <c r="AF20" t="str">
        <v>João Barra | José Guerreiro</v>
      </c>
      <c r="AG20" t="str">
        <v>https://www.palmaresliving.com/</v>
      </c>
      <c r="AH20" t="str">
        <v>Palmares Ocean &amp; Living : Where ocean breezes, world-class golf, and award-winning design converge to create a lifestyle beyond compare.</v>
      </c>
      <c r="AI20" t="str">
        <v>Gym, Spa, Condo Pool, Private Pools, Outdoor Areas, Private Parking, Reception, World Class Golf Course</v>
      </c>
      <c r="AJ20"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20" t="str">
        <v>RCR</v>
      </c>
      <c r="AL20" t="str">
        <v>Palmares</v>
      </c>
    </row>
    <row r="21" spans="1:38" x14ac:dyDescent="0.3">
      <c r="A21" s="110" t="str">
        <v>Palmares - Plots</v>
      </c>
      <c r="B21" s="110" t="str">
        <v>Algarve</v>
      </c>
      <c r="C21" s="110" t="str">
        <v>71</v>
      </c>
      <c r="D21" s="110" t="str">
        <v>Lagos, Algarve</v>
      </c>
      <c r="E21" s="110" t="str">
        <v>Plot</v>
      </c>
      <c r="F21" s="110">
        <v>14391</v>
      </c>
      <c r="G21" s="110">
        <v>0</v>
      </c>
      <c r="H21" s="110" t="str">
        <v/>
      </c>
      <c r="I21" s="110" t="str">
        <v/>
      </c>
      <c r="J21" s="110">
        <v>0</v>
      </c>
      <c r="K21" s="110">
        <v>0</v>
      </c>
      <c r="L21" s="110">
        <v>0</v>
      </c>
      <c r="M21" s="110">
        <v>0</v>
      </c>
      <c r="N21" s="110">
        <v>0</v>
      </c>
      <c r="O21" s="110">
        <v>500</v>
      </c>
      <c r="P21" s="110">
        <v>0</v>
      </c>
      <c r="Q21" s="110" t="str">
        <v>AVAILABLE</v>
      </c>
      <c r="R21" s="110">
        <v>590000</v>
      </c>
      <c r="S21" s="110">
        <v>590000</v>
      </c>
      <c r="T21" s="110">
        <v>3400000</v>
      </c>
      <c r="U21" s="110">
        <v>0</v>
      </c>
      <c r="V21" s="110">
        <v>0</v>
      </c>
      <c r="W21" s="110">
        <v>3400000</v>
      </c>
      <c r="X21" s="110">
        <v>0</v>
      </c>
      <c r="Y21" s="110">
        <v>3400000</v>
      </c>
      <c r="Z21" s="110">
        <v>3400000</v>
      </c>
      <c r="AA21" s="110">
        <v>45279</v>
      </c>
      <c r="AB21" s="111" t="str">
        <v>Q4 2023</v>
      </c>
      <c r="AC21">
        <v>0</v>
      </c>
      <c r="AD21">
        <v>46843</v>
      </c>
      <c r="AE21" t="str">
        <v>Sandra Viegas</v>
      </c>
      <c r="AF21" t="str">
        <v>João Barra | José Guerreiro</v>
      </c>
      <c r="AG21" t="str">
        <v>https://www.palmaresliving.com/</v>
      </c>
      <c r="AH21" t="str">
        <v>Palmares Ocean &amp; Living : Where ocean breezes, world-class golf, and award-winning design converge to create a lifestyle beyond compare.</v>
      </c>
      <c r="AI21" t="str">
        <v>Gym, Spa, Condo Pool, Private Pools, Outdoor Areas, Private Parking, Reception, World Class Golf Course</v>
      </c>
      <c r="AJ21"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21" t="str">
        <v>RCR</v>
      </c>
      <c r="AL21" t="str">
        <v>Palmares</v>
      </c>
    </row>
    <row r="22" spans="1:38" x14ac:dyDescent="0.3">
      <c r="A22" s="110" t="str">
        <v>Palmares - Plots</v>
      </c>
      <c r="B22" s="110" t="str">
        <v>Algarve</v>
      </c>
      <c r="C22" s="110" t="str">
        <v>72</v>
      </c>
      <c r="D22" s="110" t="str">
        <v>Lagos, Algarve</v>
      </c>
      <c r="E22" s="110" t="str">
        <v>Plot</v>
      </c>
      <c r="F22" s="110">
        <v>3888</v>
      </c>
      <c r="G22" s="110">
        <v>0</v>
      </c>
      <c r="H22" s="110" t="str">
        <v/>
      </c>
      <c r="I22" s="110" t="str">
        <v/>
      </c>
      <c r="J22" s="110">
        <v>0</v>
      </c>
      <c r="K22" s="110">
        <v>0</v>
      </c>
      <c r="L22" s="110">
        <v>0</v>
      </c>
      <c r="M22" s="110">
        <v>0</v>
      </c>
      <c r="N22" s="110">
        <v>0</v>
      </c>
      <c r="O22" s="110">
        <v>484</v>
      </c>
      <c r="P22" s="110">
        <v>0</v>
      </c>
      <c r="Q22" s="110" t="str">
        <v>AVAILABLE</v>
      </c>
      <c r="R22" s="110">
        <v>590000</v>
      </c>
      <c r="S22" s="110">
        <v>590000</v>
      </c>
      <c r="T22" s="110">
        <v>1700000</v>
      </c>
      <c r="U22" s="110">
        <v>0</v>
      </c>
      <c r="V22" s="110">
        <v>0</v>
      </c>
      <c r="W22" s="110">
        <v>1700000</v>
      </c>
      <c r="X22" s="110">
        <v>0</v>
      </c>
      <c r="Y22" s="110">
        <v>1700000</v>
      </c>
      <c r="Z22" s="110">
        <v>1700000</v>
      </c>
      <c r="AA22" s="110">
        <v>45279</v>
      </c>
      <c r="AB22" s="111" t="str">
        <v>Q4 2023</v>
      </c>
      <c r="AC22">
        <v>0</v>
      </c>
      <c r="AD22">
        <v>46843</v>
      </c>
      <c r="AE22" t="str">
        <v>Sandra Viegas</v>
      </c>
      <c r="AF22" t="str">
        <v>João Barra | José Guerreiro</v>
      </c>
      <c r="AG22" t="str">
        <v>https://www.palmaresliving.com/</v>
      </c>
      <c r="AH22" t="str">
        <v>Palmares Ocean &amp; Living : Where ocean breezes, world-class golf, and award-winning design converge to create a lifestyle beyond compare.</v>
      </c>
      <c r="AI22" t="str">
        <v>Gym, Spa, Condo Pool, Private Pools, Outdoor Areas, Private Parking, Reception, World Class Golf Course</v>
      </c>
      <c r="AJ22"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22" t="str">
        <v>RCR</v>
      </c>
      <c r="AL22" t="str">
        <v>Palmares</v>
      </c>
    </row>
    <row r="23" spans="1:38" x14ac:dyDescent="0.3">
      <c r="A23" s="110" t="str">
        <v>Palmares - Plots</v>
      </c>
      <c r="B23" s="110" t="str">
        <v>Algarve</v>
      </c>
      <c r="C23" s="110" t="str">
        <v>74</v>
      </c>
      <c r="D23" s="110" t="str">
        <v>Lagos, Algarve</v>
      </c>
      <c r="E23" s="110" t="str">
        <v>Plot</v>
      </c>
      <c r="F23" s="110">
        <v>3718</v>
      </c>
      <c r="G23" s="110">
        <v>0</v>
      </c>
      <c r="H23" s="110" t="str">
        <v/>
      </c>
      <c r="I23" s="110" t="str">
        <v/>
      </c>
      <c r="J23" s="110">
        <v>0</v>
      </c>
      <c r="K23" s="110">
        <v>0</v>
      </c>
      <c r="L23" s="110">
        <v>0</v>
      </c>
      <c r="M23" s="110">
        <v>0</v>
      </c>
      <c r="N23" s="110">
        <v>0</v>
      </c>
      <c r="O23" s="110">
        <v>420</v>
      </c>
      <c r="P23" s="110">
        <v>0</v>
      </c>
      <c r="Q23" s="110" t="str">
        <v>AVAILABLE</v>
      </c>
      <c r="R23" s="110">
        <v>590000</v>
      </c>
      <c r="S23" s="110">
        <v>590000</v>
      </c>
      <c r="T23" s="110">
        <v>1500000</v>
      </c>
      <c r="U23" s="110">
        <v>0</v>
      </c>
      <c r="V23" s="110">
        <v>0</v>
      </c>
      <c r="W23" s="110">
        <v>1500000</v>
      </c>
      <c r="X23" s="110">
        <v>0</v>
      </c>
      <c r="Y23" s="110">
        <v>1500000</v>
      </c>
      <c r="Z23" s="110">
        <v>1500000</v>
      </c>
      <c r="AA23" s="110">
        <v>45279</v>
      </c>
      <c r="AB23" s="111" t="str">
        <v>Q4 2023</v>
      </c>
      <c r="AC23">
        <v>0</v>
      </c>
      <c r="AD23">
        <v>46843</v>
      </c>
      <c r="AE23" t="str">
        <v>Sandra Viegas</v>
      </c>
      <c r="AF23" t="str">
        <v>João Barra | José Guerreiro</v>
      </c>
      <c r="AG23" t="str">
        <v>https://www.palmaresliving.com/</v>
      </c>
      <c r="AH23" t="str">
        <v>Palmares Ocean &amp; Living : Where ocean breezes, world-class golf, and award-winning design converge to create a lifestyle beyond compare.</v>
      </c>
      <c r="AI23" t="str">
        <v>Gym, Spa, Condo Pool, Private Pools, Outdoor Areas, Private Parking, Reception, World Class Golf Course</v>
      </c>
      <c r="AJ23"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23" t="str">
        <v>RCR</v>
      </c>
      <c r="AL23" t="str">
        <v>Palmares</v>
      </c>
    </row>
    <row r="24" spans="1:38" x14ac:dyDescent="0.3">
      <c r="A24" s="110" t="str">
        <v>Palmares - Plots</v>
      </c>
      <c r="B24" s="110" t="str">
        <v>Algarve</v>
      </c>
      <c r="C24" s="110" t="str">
        <v>75</v>
      </c>
      <c r="D24" s="110" t="str">
        <v>Lagos, Algarve</v>
      </c>
      <c r="E24" s="110" t="str">
        <v>Plot</v>
      </c>
      <c r="F24" s="110">
        <v>4600</v>
      </c>
      <c r="G24" s="110">
        <v>0</v>
      </c>
      <c r="H24" s="110" t="str">
        <v/>
      </c>
      <c r="I24" s="110" t="str">
        <v/>
      </c>
      <c r="J24" s="110">
        <v>0</v>
      </c>
      <c r="K24" s="110">
        <v>0</v>
      </c>
      <c r="L24" s="110">
        <v>0</v>
      </c>
      <c r="M24" s="110">
        <v>0</v>
      </c>
      <c r="N24" s="110">
        <v>0</v>
      </c>
      <c r="O24" s="110">
        <v>420</v>
      </c>
      <c r="P24" s="110">
        <v>0</v>
      </c>
      <c r="Q24" s="110" t="str">
        <v>AVAILABLE</v>
      </c>
      <c r="R24" s="110">
        <v>590000</v>
      </c>
      <c r="S24" s="110">
        <v>590000</v>
      </c>
      <c r="T24" s="110">
        <v>1600000</v>
      </c>
      <c r="U24" s="110">
        <v>0</v>
      </c>
      <c r="V24" s="110">
        <v>0</v>
      </c>
      <c r="W24" s="110">
        <v>1600000</v>
      </c>
      <c r="X24" s="110">
        <v>0</v>
      </c>
      <c r="Y24" s="110">
        <v>1600000</v>
      </c>
      <c r="Z24" s="110">
        <v>1600000</v>
      </c>
      <c r="AA24" s="110">
        <v>45279</v>
      </c>
      <c r="AB24" s="111" t="str">
        <v>Q4 2023</v>
      </c>
      <c r="AC24">
        <v>0</v>
      </c>
      <c r="AD24">
        <v>46843</v>
      </c>
      <c r="AE24" t="str">
        <v>Sandra Viegas</v>
      </c>
      <c r="AF24" t="str">
        <v>João Barra | José Guerreiro</v>
      </c>
      <c r="AG24" t="str">
        <v>https://www.palmaresliving.com/</v>
      </c>
      <c r="AH24" t="str">
        <v>Palmares Ocean &amp; Living : Where ocean breezes, world-class golf, and award-winning design converge to create a lifestyle beyond compare.</v>
      </c>
      <c r="AI24" t="str">
        <v>Gym, Spa, Condo Pool, Private Pools, Outdoor Areas, Private Parking, Reception, World Class Golf Course</v>
      </c>
      <c r="AJ24"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24" t="str">
        <v>RCR</v>
      </c>
      <c r="AL24" t="str">
        <v>Palmares</v>
      </c>
    </row>
    <row r="25" spans="1:38" x14ac:dyDescent="0.3">
      <c r="A25" s="110" t="str">
        <v>Palmares - Plots</v>
      </c>
      <c r="B25" s="110" t="str">
        <v>Algarve</v>
      </c>
      <c r="C25" s="110" t="str">
        <v>76</v>
      </c>
      <c r="D25" s="110" t="str">
        <v>Lagos, Algarve</v>
      </c>
      <c r="E25" s="110" t="str">
        <v>Plot</v>
      </c>
      <c r="F25" s="110">
        <v>4356</v>
      </c>
      <c r="G25" s="110">
        <v>0</v>
      </c>
      <c r="H25" s="110" t="str">
        <v/>
      </c>
      <c r="I25" s="110" t="str">
        <v/>
      </c>
      <c r="J25" s="110">
        <v>0</v>
      </c>
      <c r="K25" s="110">
        <v>0</v>
      </c>
      <c r="L25" s="110">
        <v>0</v>
      </c>
      <c r="M25" s="110">
        <v>0</v>
      </c>
      <c r="N25" s="110">
        <v>0</v>
      </c>
      <c r="O25" s="110">
        <v>420</v>
      </c>
      <c r="P25" s="110">
        <v>0</v>
      </c>
      <c r="Q25" s="110" t="str">
        <v>AVAILABLE</v>
      </c>
      <c r="R25" s="110">
        <v>590000</v>
      </c>
      <c r="S25" s="110">
        <v>590000</v>
      </c>
      <c r="T25" s="110">
        <v>1600000</v>
      </c>
      <c r="U25" s="110">
        <v>0</v>
      </c>
      <c r="V25" s="110">
        <v>0</v>
      </c>
      <c r="W25" s="110">
        <v>1600000</v>
      </c>
      <c r="X25" s="110">
        <v>0</v>
      </c>
      <c r="Y25" s="110">
        <v>1600000</v>
      </c>
      <c r="Z25" s="110">
        <v>1600000</v>
      </c>
      <c r="AA25" s="110">
        <v>45279</v>
      </c>
      <c r="AB25" s="111" t="str">
        <v>Q4 2023</v>
      </c>
      <c r="AC25">
        <v>0</v>
      </c>
      <c r="AD25">
        <v>46843</v>
      </c>
      <c r="AE25" t="str">
        <v>Sandra Viegas</v>
      </c>
      <c r="AF25" t="str">
        <v>João Barra | José Guerreiro</v>
      </c>
      <c r="AG25" t="str">
        <v>https://www.palmaresliving.com/</v>
      </c>
      <c r="AH25" t="str">
        <v>Palmares Ocean &amp; Living : Where ocean breezes, world-class golf, and award-winning design converge to create a lifestyle beyond compare.</v>
      </c>
      <c r="AI25" t="str">
        <v>Gym, Spa, Condo Pool, Private Pools, Outdoor Areas, Private Parking, Reception, World Class Golf Course</v>
      </c>
      <c r="AJ25"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25" t="str">
        <v>RCR</v>
      </c>
      <c r="AL25" t="str">
        <v>Palmares</v>
      </c>
    </row>
    <row r="26" spans="1:38" x14ac:dyDescent="0.3">
      <c r="A26" s="110" t="str">
        <v>Palmares - Plots</v>
      </c>
      <c r="B26" s="110" t="str">
        <v>Algarve</v>
      </c>
      <c r="C26" s="110" t="str">
        <v>97</v>
      </c>
      <c r="D26" s="110" t="str">
        <v>Lagos, Algarve</v>
      </c>
      <c r="E26" s="110" t="str">
        <v>Plot</v>
      </c>
      <c r="F26" s="110">
        <v>420</v>
      </c>
      <c r="G26" s="110">
        <v>0</v>
      </c>
      <c r="H26" s="110" t="str">
        <v/>
      </c>
      <c r="I26" s="110" t="str">
        <v/>
      </c>
      <c r="J26" s="110">
        <v>0</v>
      </c>
      <c r="K26" s="110">
        <v>0</v>
      </c>
      <c r="L26" s="110">
        <v>0</v>
      </c>
      <c r="M26" s="110">
        <v>0</v>
      </c>
      <c r="N26" s="110">
        <v>0</v>
      </c>
      <c r="O26" s="110">
        <v>420</v>
      </c>
      <c r="P26" s="110">
        <v>0</v>
      </c>
      <c r="Q26" s="110" t="str">
        <v>AVAILABLE</v>
      </c>
      <c r="R26" s="110">
        <v>610000</v>
      </c>
      <c r="S26" s="110">
        <v>610000</v>
      </c>
      <c r="T26" s="110">
        <v>1300000</v>
      </c>
      <c r="U26" s="110">
        <v>0</v>
      </c>
      <c r="V26" s="110">
        <v>0</v>
      </c>
      <c r="W26" s="110">
        <v>1300000</v>
      </c>
      <c r="X26" s="110">
        <v>0</v>
      </c>
      <c r="Y26" s="110">
        <v>1300000</v>
      </c>
      <c r="Z26" s="110">
        <v>1300000</v>
      </c>
      <c r="AA26" s="110">
        <v>45279</v>
      </c>
      <c r="AB26" s="111" t="str">
        <v>Q4 2023</v>
      </c>
      <c r="AC26">
        <v>0</v>
      </c>
      <c r="AD26">
        <v>46843</v>
      </c>
      <c r="AE26" t="str">
        <v>Sandra Viegas</v>
      </c>
      <c r="AF26" t="str">
        <v>João Barra | José Guerreiro</v>
      </c>
      <c r="AG26" t="str">
        <v>https://www.palmaresliving.com/</v>
      </c>
      <c r="AH26" t="str">
        <v>Palmares Ocean &amp; Living : Where ocean breezes, world-class golf, and award-winning design converge to create a lifestyle beyond compare.</v>
      </c>
      <c r="AI26" t="str">
        <v>Gym, Spa, Condo Pool, Private Pools, Outdoor Areas, Private Parking, Reception, World Class Golf Course</v>
      </c>
      <c r="AJ26"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26" t="str">
        <v>RCR</v>
      </c>
      <c r="AL26" t="str">
        <v>Palmares</v>
      </c>
    </row>
    <row r="27" spans="1:38" x14ac:dyDescent="0.3">
      <c r="A27" s="110" t="str">
        <v>Palmares - Plots</v>
      </c>
      <c r="B27" s="110" t="str">
        <v>Algarve</v>
      </c>
      <c r="C27" s="110" t="str">
        <v>98</v>
      </c>
      <c r="D27" s="110" t="str">
        <v>Lagos, Algarve</v>
      </c>
      <c r="E27" s="110" t="str">
        <v>Plot</v>
      </c>
      <c r="F27" s="110">
        <v>420</v>
      </c>
      <c r="G27" s="110">
        <v>0</v>
      </c>
      <c r="H27" s="110" t="str">
        <v/>
      </c>
      <c r="I27" s="110" t="str">
        <v/>
      </c>
      <c r="J27" s="110">
        <v>0</v>
      </c>
      <c r="K27" s="110">
        <v>0</v>
      </c>
      <c r="L27" s="110">
        <v>0</v>
      </c>
      <c r="M27" s="110">
        <v>0</v>
      </c>
      <c r="N27" s="110">
        <v>0</v>
      </c>
      <c r="O27" s="110">
        <v>420</v>
      </c>
      <c r="P27" s="110">
        <v>0</v>
      </c>
      <c r="Q27" s="110" t="str">
        <v>AVAILABLE</v>
      </c>
      <c r="R27" s="110">
        <v>610000</v>
      </c>
      <c r="S27" s="110">
        <v>610000</v>
      </c>
      <c r="T27" s="110">
        <v>1300000</v>
      </c>
      <c r="U27" s="110">
        <v>0</v>
      </c>
      <c r="V27" s="110">
        <v>0</v>
      </c>
      <c r="W27" s="110">
        <v>1300000</v>
      </c>
      <c r="X27" s="110">
        <v>0</v>
      </c>
      <c r="Y27" s="110">
        <v>1300000</v>
      </c>
      <c r="Z27" s="110">
        <v>1300000</v>
      </c>
      <c r="AA27" s="110">
        <v>45279</v>
      </c>
      <c r="AB27" s="111" t="str">
        <v>Q4 2023</v>
      </c>
      <c r="AC27">
        <v>0</v>
      </c>
      <c r="AD27">
        <v>46843</v>
      </c>
      <c r="AE27" t="str">
        <v>Sandra Viegas</v>
      </c>
      <c r="AF27" t="str">
        <v>João Barra | José Guerreiro</v>
      </c>
      <c r="AG27" t="str">
        <v>https://www.palmaresliving.com/</v>
      </c>
      <c r="AH27" t="str">
        <v>Palmares Ocean &amp; Living : Where ocean breezes, world-class golf, and award-winning design converge to create a lifestyle beyond compare.</v>
      </c>
      <c r="AI27" t="str">
        <v>Gym, Spa, Condo Pool, Private Pools, Outdoor Areas, Private Parking, Reception, World Class Golf Course</v>
      </c>
      <c r="AJ27"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27" t="str">
        <v>RCR</v>
      </c>
      <c r="AL27" t="str">
        <v>Palmares</v>
      </c>
    </row>
    <row r="28" spans="1:38" x14ac:dyDescent="0.3">
      <c r="A28" s="110" t="str">
        <v>Palmares - Plots</v>
      </c>
      <c r="B28" s="110" t="str">
        <v>Algarve</v>
      </c>
      <c r="C28" s="110" t="str">
        <v>83</v>
      </c>
      <c r="D28" s="110" t="str">
        <v>Lagos, Algarve</v>
      </c>
      <c r="E28" s="110" t="str">
        <v>Plot</v>
      </c>
      <c r="F28" s="110">
        <v>4991</v>
      </c>
      <c r="G28" s="110">
        <v>0</v>
      </c>
      <c r="H28" s="110" t="str">
        <v/>
      </c>
      <c r="I28" s="110" t="str">
        <v/>
      </c>
      <c r="J28" s="110">
        <v>0</v>
      </c>
      <c r="K28" s="110">
        <v>0</v>
      </c>
      <c r="L28" s="110">
        <v>0</v>
      </c>
      <c r="M28" s="110">
        <v>0</v>
      </c>
      <c r="N28" s="110">
        <v>0</v>
      </c>
      <c r="O28" s="110">
        <v>420</v>
      </c>
      <c r="P28" s="110">
        <v>0</v>
      </c>
      <c r="Q28" s="110" t="str">
        <v>AVAILABLE</v>
      </c>
      <c r="R28" s="110">
        <v>660000</v>
      </c>
      <c r="S28" s="110">
        <v>660000</v>
      </c>
      <c r="T28" s="110">
        <v>1700000</v>
      </c>
      <c r="U28" s="110">
        <v>0</v>
      </c>
      <c r="V28" s="110">
        <v>0</v>
      </c>
      <c r="W28" s="110">
        <v>1700000</v>
      </c>
      <c r="X28" s="110">
        <v>0</v>
      </c>
      <c r="Y28" s="110">
        <v>1700000</v>
      </c>
      <c r="Z28" s="110">
        <v>1700000</v>
      </c>
      <c r="AA28" s="110">
        <v>45279</v>
      </c>
      <c r="AB28" s="111" t="str">
        <v>Q4 2023</v>
      </c>
      <c r="AC28">
        <v>0</v>
      </c>
      <c r="AD28">
        <v>46843</v>
      </c>
      <c r="AE28" t="str">
        <v>Sandra Viegas</v>
      </c>
      <c r="AF28" t="str">
        <v>João Barra | José Guerreiro</v>
      </c>
      <c r="AG28" t="str">
        <v>https://www.palmaresliving.com/</v>
      </c>
      <c r="AH28" t="str">
        <v>Palmares Ocean &amp; Living : Where ocean breezes, world-class golf, and award-winning design converge to create a lifestyle beyond compare.</v>
      </c>
      <c r="AI28" t="str">
        <v>Gym, Spa, Condo Pool, Private Pools, Outdoor Areas, Private Parking, Reception, World Class Golf Course</v>
      </c>
      <c r="AJ28"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28" t="str">
        <v>RCR</v>
      </c>
      <c r="AL28" t="str">
        <v>Palmares</v>
      </c>
    </row>
    <row r="29" spans="1:38" x14ac:dyDescent="0.3">
      <c r="A29" s="110" t="str">
        <v>Palmares - Plots</v>
      </c>
      <c r="B29" s="110" t="str">
        <v>Algarve</v>
      </c>
      <c r="C29" s="110" t="str">
        <v>15</v>
      </c>
      <c r="D29" s="110" t="str">
        <v>Lagos, Algarve</v>
      </c>
      <c r="E29" s="110" t="str">
        <v>Plot</v>
      </c>
      <c r="F29" s="110">
        <v>2537</v>
      </c>
      <c r="G29" s="110">
        <v>0</v>
      </c>
      <c r="H29" s="110" t="str">
        <v/>
      </c>
      <c r="I29" s="110" t="str">
        <v/>
      </c>
      <c r="J29" s="110">
        <v>0</v>
      </c>
      <c r="K29" s="110">
        <v>0</v>
      </c>
      <c r="L29" s="110">
        <v>0</v>
      </c>
      <c r="M29" s="110">
        <v>0</v>
      </c>
      <c r="N29" s="110">
        <v>0</v>
      </c>
      <c r="O29" s="110">
        <v>340</v>
      </c>
      <c r="P29" s="110">
        <v>0</v>
      </c>
      <c r="Q29" s="110" t="str">
        <v>AVAILABLE</v>
      </c>
      <c r="R29" s="110">
        <v>760000</v>
      </c>
      <c r="S29" s="110">
        <v>760000</v>
      </c>
      <c r="T29" s="110">
        <v>1100000</v>
      </c>
      <c r="U29" s="110">
        <v>0</v>
      </c>
      <c r="V29" s="110">
        <v>0</v>
      </c>
      <c r="W29" s="110">
        <v>1100000</v>
      </c>
      <c r="X29" s="110">
        <v>0</v>
      </c>
      <c r="Y29" s="110">
        <v>1100000</v>
      </c>
      <c r="Z29" s="110">
        <v>1100000</v>
      </c>
      <c r="AA29" s="110">
        <v>45279</v>
      </c>
      <c r="AB29" s="111" t="str">
        <v>Q4 2023</v>
      </c>
      <c r="AC29">
        <v>0</v>
      </c>
      <c r="AD29">
        <v>46843</v>
      </c>
      <c r="AE29" t="str">
        <v>Sandra Viegas</v>
      </c>
      <c r="AF29" t="str">
        <v>João Barra | José Guerreiro</v>
      </c>
      <c r="AG29" t="str">
        <v>https://www.palmaresliving.com/</v>
      </c>
      <c r="AH29" t="str">
        <v>Palmares Ocean &amp; Living : Where ocean breezes, world-class golf, and award-winning design converge to create a lifestyle beyond compare.</v>
      </c>
      <c r="AI29" t="str">
        <v>Gym, Spa, Condo Pool, Private Pools, Outdoor Areas, Private Parking, Reception, World Class Golf Course</v>
      </c>
      <c r="AJ29"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29" t="str">
        <v>RCR</v>
      </c>
      <c r="AL29" t="str">
        <v>Palmares</v>
      </c>
    </row>
    <row r="30" spans="1:38" x14ac:dyDescent="0.3">
      <c r="A30" s="110" t="str">
        <v>Palmares - Plots</v>
      </c>
      <c r="B30" s="110" t="str">
        <v>Algarve</v>
      </c>
      <c r="C30" s="110" t="str">
        <v>10</v>
      </c>
      <c r="D30" s="110" t="str">
        <v>Lagos, Algarve</v>
      </c>
      <c r="E30" s="110" t="str">
        <v>Plot</v>
      </c>
      <c r="F30" s="110">
        <v>2605</v>
      </c>
      <c r="G30" s="110">
        <v>0</v>
      </c>
      <c r="H30" s="110" t="str">
        <v/>
      </c>
      <c r="I30" s="110" t="str">
        <v/>
      </c>
      <c r="J30" s="110">
        <v>0</v>
      </c>
      <c r="K30" s="110">
        <v>0</v>
      </c>
      <c r="L30" s="110">
        <v>0</v>
      </c>
      <c r="M30" s="110">
        <v>0</v>
      </c>
      <c r="N30" s="110">
        <v>0</v>
      </c>
      <c r="O30" s="110">
        <v>420</v>
      </c>
      <c r="P30" s="110">
        <v>0</v>
      </c>
      <c r="Q30" s="110" t="str">
        <v>AVAILABLE</v>
      </c>
      <c r="R30" s="110">
        <v>790000</v>
      </c>
      <c r="S30" s="110">
        <v>790000</v>
      </c>
      <c r="T30" s="110">
        <v>1950000</v>
      </c>
      <c r="U30" s="110">
        <v>0</v>
      </c>
      <c r="V30" s="110">
        <v>0</v>
      </c>
      <c r="W30" s="110">
        <v>1950000</v>
      </c>
      <c r="X30" s="110">
        <v>0</v>
      </c>
      <c r="Y30" s="110">
        <v>1950000</v>
      </c>
      <c r="Z30" s="110">
        <v>1950000</v>
      </c>
      <c r="AA30" s="110">
        <v>45279</v>
      </c>
      <c r="AB30" s="111" t="str">
        <v>Q4 2023</v>
      </c>
      <c r="AC30">
        <v>0</v>
      </c>
      <c r="AD30">
        <v>46843</v>
      </c>
      <c r="AE30" t="str">
        <v>Sandra Viegas</v>
      </c>
      <c r="AF30" t="str">
        <v>João Barra | José Guerreiro</v>
      </c>
      <c r="AG30" t="str">
        <v>https://www.palmaresliving.com/</v>
      </c>
      <c r="AH30" t="str">
        <v>Palmares Ocean &amp; Living : Where ocean breezes, world-class golf, and award-winning design converge to create a lifestyle beyond compare.</v>
      </c>
      <c r="AI30" t="str">
        <v>Gym, Spa, Condo Pool, Private Pools, Outdoor Areas, Private Parking, Reception, World Class Golf Course</v>
      </c>
      <c r="AJ30"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30" t="str">
        <v>RCR</v>
      </c>
      <c r="AL30" t="str">
        <v>Palmares</v>
      </c>
    </row>
    <row r="31" spans="1:38" x14ac:dyDescent="0.3">
      <c r="A31" s="110" t="str">
        <v>Palmares - Plots</v>
      </c>
      <c r="B31" s="110" t="str">
        <v>Algarve</v>
      </c>
      <c r="C31" s="110" t="str">
        <v>14</v>
      </c>
      <c r="D31" s="110" t="str">
        <v>Lagos, Algarve</v>
      </c>
      <c r="E31" s="110" t="str">
        <v>Plot</v>
      </c>
      <c r="F31" s="110">
        <v>2899</v>
      </c>
      <c r="G31" s="110">
        <v>0</v>
      </c>
      <c r="H31" s="110" t="str">
        <v/>
      </c>
      <c r="I31" s="110" t="str">
        <v/>
      </c>
      <c r="J31" s="110">
        <v>0</v>
      </c>
      <c r="K31" s="110">
        <v>0</v>
      </c>
      <c r="L31" s="110">
        <v>0</v>
      </c>
      <c r="M31" s="110">
        <v>0</v>
      </c>
      <c r="N31" s="110">
        <v>0</v>
      </c>
      <c r="O31" s="110">
        <v>340</v>
      </c>
      <c r="P31" s="110">
        <v>0</v>
      </c>
      <c r="Q31" s="110" t="str">
        <v>AVAILABLE</v>
      </c>
      <c r="R31" s="110">
        <v>790000</v>
      </c>
      <c r="S31" s="110">
        <v>790000</v>
      </c>
      <c r="T31" s="110">
        <v>1100000</v>
      </c>
      <c r="U31" s="110">
        <v>0</v>
      </c>
      <c r="V31" s="110">
        <v>0</v>
      </c>
      <c r="W31" s="110">
        <v>1100000</v>
      </c>
      <c r="X31" s="110">
        <v>0</v>
      </c>
      <c r="Y31" s="110">
        <v>1100000</v>
      </c>
      <c r="Z31" s="110">
        <v>1100000</v>
      </c>
      <c r="AA31" s="110">
        <v>45279</v>
      </c>
      <c r="AB31" s="111" t="str">
        <v>Q4 2023</v>
      </c>
      <c r="AC31">
        <v>0</v>
      </c>
      <c r="AD31">
        <v>46843</v>
      </c>
      <c r="AE31" t="str">
        <v>Sandra Viegas</v>
      </c>
      <c r="AF31" t="str">
        <v>João Barra | José Guerreiro</v>
      </c>
      <c r="AG31" t="str">
        <v>https://www.palmaresliving.com/</v>
      </c>
      <c r="AH31" t="str">
        <v>Palmares Ocean &amp; Living : Where ocean breezes, world-class golf, and award-winning design converge to create a lifestyle beyond compare.</v>
      </c>
      <c r="AI31" t="str">
        <v>Gym, Spa, Condo Pool, Private Pools, Outdoor Areas, Private Parking, Reception, World Class Golf Course</v>
      </c>
      <c r="AJ31"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31" t="str">
        <v>RCR</v>
      </c>
      <c r="AL31" t="str">
        <v>Palmares</v>
      </c>
    </row>
    <row r="32" spans="1:38" x14ac:dyDescent="0.3">
      <c r="A32" s="110" t="str">
        <v>Palmares - Plots</v>
      </c>
      <c r="B32" s="110" t="str">
        <v>Algarve</v>
      </c>
      <c r="C32" s="110" t="str">
        <v>24</v>
      </c>
      <c r="D32" s="110" t="str">
        <v>Lagos, Algarve</v>
      </c>
      <c r="E32" s="110" t="str">
        <v>Plot</v>
      </c>
      <c r="F32" s="110">
        <v>3322</v>
      </c>
      <c r="G32" s="110">
        <v>0</v>
      </c>
      <c r="H32" s="110" t="str">
        <v/>
      </c>
      <c r="I32" s="110" t="str">
        <v/>
      </c>
      <c r="J32" s="110">
        <v>0</v>
      </c>
      <c r="K32" s="110">
        <v>0</v>
      </c>
      <c r="L32" s="110">
        <v>0</v>
      </c>
      <c r="M32" s="110">
        <v>0</v>
      </c>
      <c r="N32" s="110">
        <v>0</v>
      </c>
      <c r="O32" s="110">
        <v>420</v>
      </c>
      <c r="P32" s="110">
        <v>0</v>
      </c>
      <c r="Q32" s="110" t="str">
        <v>AVAILABLE</v>
      </c>
      <c r="R32" s="110">
        <v>810000</v>
      </c>
      <c r="S32" s="110">
        <v>810000</v>
      </c>
      <c r="T32" s="110">
        <v>1700000</v>
      </c>
      <c r="U32" s="110">
        <v>0</v>
      </c>
      <c r="V32" s="110">
        <v>0</v>
      </c>
      <c r="W32" s="110">
        <v>1700000</v>
      </c>
      <c r="X32" s="110">
        <v>0</v>
      </c>
      <c r="Y32" s="110">
        <v>1700000</v>
      </c>
      <c r="Z32" s="110">
        <v>1700000</v>
      </c>
      <c r="AA32" s="110">
        <v>45279</v>
      </c>
      <c r="AB32" s="111" t="str">
        <v>Q4 2023</v>
      </c>
      <c r="AC32">
        <v>0</v>
      </c>
      <c r="AD32">
        <v>46843</v>
      </c>
      <c r="AE32" t="str">
        <v>Sandra Viegas</v>
      </c>
      <c r="AF32" t="str">
        <v>João Barra | José Guerreiro</v>
      </c>
      <c r="AG32" t="str">
        <v>https://www.palmaresliving.com/</v>
      </c>
      <c r="AH32" t="str">
        <v>Palmares Ocean &amp; Living : Where ocean breezes, world-class golf, and award-winning design converge to create a lifestyle beyond compare.</v>
      </c>
      <c r="AI32" t="str">
        <v>Gym, Spa, Condo Pool, Private Pools, Outdoor Areas, Private Parking, Reception, World Class Golf Course</v>
      </c>
      <c r="AJ32"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32" t="str">
        <v>RCR</v>
      </c>
      <c r="AL32" t="str">
        <v>Palmares</v>
      </c>
    </row>
    <row r="33" spans="1:38" x14ac:dyDescent="0.3">
      <c r="A33" s="110" t="str">
        <v>Palmares - Plots</v>
      </c>
      <c r="B33" s="110" t="str">
        <v>Algarve</v>
      </c>
      <c r="C33" s="110" t="str">
        <v>25</v>
      </c>
      <c r="D33" s="110" t="str">
        <v>Lagos, Algarve</v>
      </c>
      <c r="E33" s="110" t="str">
        <v>Plot</v>
      </c>
      <c r="F33" s="110">
        <v>3311</v>
      </c>
      <c r="G33" s="110">
        <v>0</v>
      </c>
      <c r="H33" s="110" t="str">
        <v/>
      </c>
      <c r="I33" s="110" t="str">
        <v/>
      </c>
      <c r="J33" s="110">
        <v>0</v>
      </c>
      <c r="K33" s="110">
        <v>0</v>
      </c>
      <c r="L33" s="110">
        <v>0</v>
      </c>
      <c r="M33" s="110">
        <v>0</v>
      </c>
      <c r="N33" s="110">
        <v>0</v>
      </c>
      <c r="O33" s="110">
        <v>420</v>
      </c>
      <c r="P33" s="110">
        <v>0</v>
      </c>
      <c r="Q33" s="110" t="str">
        <v>AVAILABLE</v>
      </c>
      <c r="R33" s="110">
        <v>810000</v>
      </c>
      <c r="S33" s="110">
        <v>810000</v>
      </c>
      <c r="T33" s="110">
        <v>1650000</v>
      </c>
      <c r="U33" s="110">
        <v>0</v>
      </c>
      <c r="V33" s="110">
        <v>0</v>
      </c>
      <c r="W33" s="110">
        <v>1650000</v>
      </c>
      <c r="X33" s="110">
        <v>0</v>
      </c>
      <c r="Y33" s="110">
        <v>1650000</v>
      </c>
      <c r="Z33" s="110">
        <v>1650000</v>
      </c>
      <c r="AA33" s="110">
        <v>45279</v>
      </c>
      <c r="AB33" s="111" t="str">
        <v>Q4 2023</v>
      </c>
      <c r="AC33">
        <v>0</v>
      </c>
      <c r="AD33">
        <v>46843</v>
      </c>
      <c r="AE33" t="str">
        <v>Sandra Viegas</v>
      </c>
      <c r="AF33" t="str">
        <v>João Barra | José Guerreiro</v>
      </c>
      <c r="AG33" t="str">
        <v>https://www.palmaresliving.com/</v>
      </c>
      <c r="AH33" t="str">
        <v>Palmares Ocean &amp; Living : Where ocean breezes, world-class golf, and award-winning design converge to create a lifestyle beyond compare.</v>
      </c>
      <c r="AI33" t="str">
        <v>Gym, Spa, Condo Pool, Private Pools, Outdoor Areas, Private Parking, Reception, World Class Golf Course</v>
      </c>
      <c r="AJ33"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33" t="str">
        <v>RCR</v>
      </c>
      <c r="AL33" t="str">
        <v>Palmares</v>
      </c>
    </row>
    <row r="34" spans="1:38" x14ac:dyDescent="0.3">
      <c r="A34" s="110" t="str">
        <v>Palmares - Plots</v>
      </c>
      <c r="B34" s="110" t="str">
        <v>Algarve</v>
      </c>
      <c r="C34" s="110" t="str">
        <v>11</v>
      </c>
      <c r="D34" s="110" t="str">
        <v>Lagos, Algarve</v>
      </c>
      <c r="E34" s="110" t="str">
        <v>Plot</v>
      </c>
      <c r="F34" s="110">
        <v>2821</v>
      </c>
      <c r="G34" s="110">
        <v>0</v>
      </c>
      <c r="H34" s="110" t="str">
        <v/>
      </c>
      <c r="I34" s="110" t="str">
        <v/>
      </c>
      <c r="J34" s="110">
        <v>0</v>
      </c>
      <c r="K34" s="110">
        <v>0</v>
      </c>
      <c r="L34" s="110">
        <v>0</v>
      </c>
      <c r="M34" s="110">
        <v>0</v>
      </c>
      <c r="N34" s="110">
        <v>0</v>
      </c>
      <c r="O34" s="110">
        <v>420</v>
      </c>
      <c r="P34" s="110">
        <v>0</v>
      </c>
      <c r="Q34" s="110" t="str">
        <v>AVAILABLE</v>
      </c>
      <c r="R34" s="110">
        <v>820000</v>
      </c>
      <c r="S34" s="110">
        <v>820000</v>
      </c>
      <c r="T34" s="110">
        <v>1950000</v>
      </c>
      <c r="U34" s="110">
        <v>0</v>
      </c>
      <c r="V34" s="110">
        <v>0</v>
      </c>
      <c r="W34" s="110">
        <v>1950000</v>
      </c>
      <c r="X34" s="110">
        <v>0</v>
      </c>
      <c r="Y34" s="110">
        <v>1950000</v>
      </c>
      <c r="Z34" s="110">
        <v>1950000</v>
      </c>
      <c r="AA34" s="110">
        <v>45279</v>
      </c>
      <c r="AB34" s="111" t="str">
        <v>Q4 2023</v>
      </c>
      <c r="AC34">
        <v>0</v>
      </c>
      <c r="AD34">
        <v>46843</v>
      </c>
      <c r="AE34" t="str">
        <v>Sandra Viegas</v>
      </c>
      <c r="AF34" t="str">
        <v>João Barra | José Guerreiro</v>
      </c>
      <c r="AG34" t="str">
        <v>https://www.palmaresliving.com/</v>
      </c>
      <c r="AH34" t="str">
        <v>Palmares Ocean &amp; Living : Where ocean breezes, world-class golf, and award-winning design converge to create a lifestyle beyond compare.</v>
      </c>
      <c r="AI34" t="str">
        <v>Gym, Spa, Condo Pool, Private Pools, Outdoor Areas, Private Parking, Reception, World Class Golf Course</v>
      </c>
      <c r="AJ34"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34" t="str">
        <v>RCR</v>
      </c>
      <c r="AL34" t="str">
        <v>Palmares</v>
      </c>
    </row>
    <row r="35" spans="1:38" x14ac:dyDescent="0.3">
      <c r="A35" s="110" t="str">
        <v>Palmares - Plots</v>
      </c>
      <c r="B35" s="110" t="str">
        <v>Algarve</v>
      </c>
      <c r="C35" s="110" t="str">
        <v>21</v>
      </c>
      <c r="D35" s="110" t="str">
        <v>Lagos, Algarve</v>
      </c>
      <c r="E35" s="110" t="str">
        <v>Plot</v>
      </c>
      <c r="F35" s="110">
        <v>2664</v>
      </c>
      <c r="G35" s="110">
        <v>0</v>
      </c>
      <c r="H35" s="110" t="str">
        <v/>
      </c>
      <c r="I35" s="110" t="str">
        <v/>
      </c>
      <c r="J35" s="110">
        <v>0</v>
      </c>
      <c r="K35" s="110">
        <v>0</v>
      </c>
      <c r="L35" s="110">
        <v>0</v>
      </c>
      <c r="M35" s="110">
        <v>0</v>
      </c>
      <c r="N35" s="110">
        <v>0</v>
      </c>
      <c r="O35" s="110">
        <v>420</v>
      </c>
      <c r="P35" s="110">
        <v>0</v>
      </c>
      <c r="Q35" s="110" t="str">
        <v>AVAILABLE</v>
      </c>
      <c r="R35" s="110">
        <v>830000</v>
      </c>
      <c r="S35" s="110">
        <v>830000</v>
      </c>
      <c r="T35" s="110">
        <v>1750000</v>
      </c>
      <c r="U35" s="110">
        <v>0</v>
      </c>
      <c r="V35" s="110">
        <v>0</v>
      </c>
      <c r="W35" s="110">
        <v>1750000</v>
      </c>
      <c r="X35" s="110">
        <v>0</v>
      </c>
      <c r="Y35" s="110">
        <v>1750000</v>
      </c>
      <c r="Z35" s="110">
        <v>1750000</v>
      </c>
      <c r="AA35" s="110">
        <v>45279</v>
      </c>
      <c r="AB35" s="111" t="str">
        <v>Q4 2023</v>
      </c>
      <c r="AC35">
        <v>0</v>
      </c>
      <c r="AD35">
        <v>46843</v>
      </c>
      <c r="AE35" t="str">
        <v>Sandra Viegas</v>
      </c>
      <c r="AF35" t="str">
        <v>João Barra | José Guerreiro</v>
      </c>
      <c r="AG35" t="str">
        <v>https://www.palmaresliving.com/</v>
      </c>
      <c r="AH35" t="str">
        <v>Palmares Ocean &amp; Living : Where ocean breezes, world-class golf, and award-winning design converge to create a lifestyle beyond compare.</v>
      </c>
      <c r="AI35" t="str">
        <v>Gym, Spa, Condo Pool, Private Pools, Outdoor Areas, Private Parking, Reception, World Class Golf Course</v>
      </c>
      <c r="AJ35"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35" t="str">
        <v>RCR</v>
      </c>
      <c r="AL35" t="str">
        <v>Palmares</v>
      </c>
    </row>
    <row r="36" spans="1:38" x14ac:dyDescent="0.3">
      <c r="A36" s="110" t="str">
        <v>Palmares - Plots</v>
      </c>
      <c r="B36" s="110" t="str">
        <v>Algarve</v>
      </c>
      <c r="C36" s="110" t="str">
        <v>26</v>
      </c>
      <c r="D36" s="110" t="str">
        <v>Lagos, Algarve</v>
      </c>
      <c r="E36" s="110" t="str">
        <v>Plot</v>
      </c>
      <c r="F36" s="110">
        <v>3489</v>
      </c>
      <c r="G36" s="110">
        <v>0</v>
      </c>
      <c r="H36" s="110" t="str">
        <v/>
      </c>
      <c r="I36" s="110" t="str">
        <v/>
      </c>
      <c r="J36" s="110">
        <v>0</v>
      </c>
      <c r="K36" s="110">
        <v>0</v>
      </c>
      <c r="L36" s="110">
        <v>0</v>
      </c>
      <c r="M36" s="110">
        <v>0</v>
      </c>
      <c r="N36" s="110">
        <v>0</v>
      </c>
      <c r="O36" s="110">
        <v>420</v>
      </c>
      <c r="P36" s="110">
        <v>0</v>
      </c>
      <c r="Q36" s="110" t="str">
        <v>AVAILABLE</v>
      </c>
      <c r="R36" s="110">
        <v>850000</v>
      </c>
      <c r="S36" s="110">
        <v>850000</v>
      </c>
      <c r="T36" s="110">
        <v>1650000</v>
      </c>
      <c r="U36" s="110">
        <v>0</v>
      </c>
      <c r="V36" s="110">
        <v>0</v>
      </c>
      <c r="W36" s="110">
        <v>1650000</v>
      </c>
      <c r="X36" s="110">
        <v>0</v>
      </c>
      <c r="Y36" s="110">
        <v>1650000</v>
      </c>
      <c r="Z36" s="110">
        <v>1650000</v>
      </c>
      <c r="AA36" s="110">
        <v>45279</v>
      </c>
      <c r="AB36" s="111" t="str">
        <v>Q4 2023</v>
      </c>
      <c r="AC36">
        <v>0</v>
      </c>
      <c r="AD36">
        <v>46843</v>
      </c>
      <c r="AE36" t="str">
        <v>Sandra Viegas</v>
      </c>
      <c r="AF36" t="str">
        <v>João Barra | José Guerreiro</v>
      </c>
      <c r="AG36" t="str">
        <v>https://www.palmaresliving.com/</v>
      </c>
      <c r="AH36" t="str">
        <v>Palmares Ocean &amp; Living : Where ocean breezes, world-class golf, and award-winning design converge to create a lifestyle beyond compare.</v>
      </c>
      <c r="AI36" t="str">
        <v>Gym, Spa, Condo Pool, Private Pools, Outdoor Areas, Private Parking, Reception, World Class Golf Course</v>
      </c>
      <c r="AJ36"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36" t="str">
        <v>RCR</v>
      </c>
      <c r="AL36" t="str">
        <v>Palmares</v>
      </c>
    </row>
    <row r="37" spans="1:38" x14ac:dyDescent="0.3">
      <c r="A37" s="110" t="str">
        <v>Palmares - Plots</v>
      </c>
      <c r="B37" s="110" t="str">
        <v>Algarve</v>
      </c>
      <c r="C37" s="110" t="str">
        <v>12</v>
      </c>
      <c r="D37" s="110" t="str">
        <v>Lagos, Algarve</v>
      </c>
      <c r="E37" s="110" t="str">
        <v>Plot</v>
      </c>
      <c r="F37" s="110">
        <v>3383</v>
      </c>
      <c r="G37" s="110">
        <v>0</v>
      </c>
      <c r="H37" s="110" t="str">
        <v/>
      </c>
      <c r="I37" s="110" t="str">
        <v/>
      </c>
      <c r="J37" s="110">
        <v>0</v>
      </c>
      <c r="K37" s="110">
        <v>0</v>
      </c>
      <c r="L37" s="110">
        <v>0</v>
      </c>
      <c r="M37" s="110">
        <v>0</v>
      </c>
      <c r="N37" s="110">
        <v>0</v>
      </c>
      <c r="O37" s="110">
        <v>420</v>
      </c>
      <c r="P37" s="110">
        <v>0</v>
      </c>
      <c r="Q37" s="110" t="str">
        <v>AVAILABLE</v>
      </c>
      <c r="R37" s="110">
        <v>860000</v>
      </c>
      <c r="S37" s="110">
        <v>860000</v>
      </c>
      <c r="T37" s="110">
        <v>1950000</v>
      </c>
      <c r="U37" s="110">
        <v>0</v>
      </c>
      <c r="V37" s="110">
        <v>0</v>
      </c>
      <c r="W37" s="110">
        <v>1950000</v>
      </c>
      <c r="X37" s="110">
        <v>0</v>
      </c>
      <c r="Y37" s="110">
        <v>1950000</v>
      </c>
      <c r="Z37" s="110">
        <v>1950000</v>
      </c>
      <c r="AA37" s="110">
        <v>45279</v>
      </c>
      <c r="AB37" s="111" t="str">
        <v>Q4 2023</v>
      </c>
      <c r="AC37">
        <v>0</v>
      </c>
      <c r="AD37">
        <v>46843</v>
      </c>
      <c r="AE37" t="str">
        <v>Sandra Viegas</v>
      </c>
      <c r="AF37" t="str">
        <v>João Barra | José Guerreiro</v>
      </c>
      <c r="AG37" t="str">
        <v>https://www.palmaresliving.com/</v>
      </c>
      <c r="AH37" t="str">
        <v>Palmares Ocean &amp; Living : Where ocean breezes, world-class golf, and award-winning design converge to create a lifestyle beyond compare.</v>
      </c>
      <c r="AI37" t="str">
        <v>Gym, Spa, Condo Pool, Private Pools, Outdoor Areas, Private Parking, Reception, World Class Golf Course</v>
      </c>
      <c r="AJ37"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37" t="str">
        <v>RCR</v>
      </c>
      <c r="AL37" t="str">
        <v>Palmares</v>
      </c>
    </row>
    <row r="38" spans="1:38" x14ac:dyDescent="0.3">
      <c r="A38" s="110" t="str">
        <v>Palmares - Plots</v>
      </c>
      <c r="B38" s="110" t="str">
        <v>Algarve</v>
      </c>
      <c r="C38" s="110" t="str">
        <v>16</v>
      </c>
      <c r="D38" s="110" t="str">
        <v>Lagos, Algarve</v>
      </c>
      <c r="E38" s="110" t="str">
        <v>Plot</v>
      </c>
      <c r="F38" s="110">
        <v>2571</v>
      </c>
      <c r="G38" s="110">
        <v>0</v>
      </c>
      <c r="H38" s="110" t="str">
        <v/>
      </c>
      <c r="I38" s="110" t="str">
        <v/>
      </c>
      <c r="J38" s="110">
        <v>0</v>
      </c>
      <c r="K38" s="110">
        <v>0</v>
      </c>
      <c r="L38" s="110">
        <v>0</v>
      </c>
      <c r="M38" s="110">
        <v>0</v>
      </c>
      <c r="N38" s="110">
        <v>0</v>
      </c>
      <c r="O38" s="110">
        <v>340</v>
      </c>
      <c r="P38" s="110">
        <v>0</v>
      </c>
      <c r="Q38" s="110" t="str">
        <v>AVAILABLE</v>
      </c>
      <c r="R38" s="110">
        <v>930000</v>
      </c>
      <c r="S38" s="110">
        <v>930000</v>
      </c>
      <c r="T38" s="110">
        <v>1100000</v>
      </c>
      <c r="U38" s="110">
        <v>0</v>
      </c>
      <c r="V38" s="110">
        <v>0</v>
      </c>
      <c r="W38" s="110">
        <v>1100000</v>
      </c>
      <c r="X38" s="110">
        <v>0</v>
      </c>
      <c r="Y38" s="110">
        <v>1100000</v>
      </c>
      <c r="Z38" s="110">
        <v>1100000</v>
      </c>
      <c r="AA38" s="110">
        <v>45279</v>
      </c>
      <c r="AB38" s="111" t="str">
        <v>Q4 2023</v>
      </c>
      <c r="AC38">
        <v>0</v>
      </c>
      <c r="AD38">
        <v>46843</v>
      </c>
      <c r="AE38" t="str">
        <v>Sandra Viegas</v>
      </c>
      <c r="AF38" t="str">
        <v>João Barra | José Guerreiro</v>
      </c>
      <c r="AG38" t="str">
        <v>https://www.palmaresliving.com/</v>
      </c>
      <c r="AH38" t="str">
        <v>Palmares Ocean &amp; Living : Where ocean breezes, world-class golf, and award-winning design converge to create a lifestyle beyond compare.</v>
      </c>
      <c r="AI38" t="str">
        <v>Gym, Spa, Condo Pool, Private Pools, Outdoor Areas, Private Parking, Reception, World Class Golf Course</v>
      </c>
      <c r="AJ38"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38" t="str">
        <v>RCR</v>
      </c>
      <c r="AL38" t="str">
        <v>Palmares</v>
      </c>
    </row>
    <row r="39" spans="1:38" x14ac:dyDescent="0.3">
      <c r="A39" s="110" t="str">
        <v>Palmares - Plots</v>
      </c>
      <c r="B39" s="110" t="str">
        <v>Algarve</v>
      </c>
      <c r="C39" s="110" t="str">
        <v>17</v>
      </c>
      <c r="D39" s="110" t="str">
        <v>Lagos, Algarve</v>
      </c>
      <c r="E39" s="110" t="str">
        <v>Plot</v>
      </c>
      <c r="F39" s="110">
        <v>2404</v>
      </c>
      <c r="G39" s="110">
        <v>0</v>
      </c>
      <c r="H39" s="110" t="str">
        <v/>
      </c>
      <c r="I39" s="110" t="str">
        <v/>
      </c>
      <c r="J39" s="110">
        <v>0</v>
      </c>
      <c r="K39" s="110">
        <v>0</v>
      </c>
      <c r="L39" s="110">
        <v>0</v>
      </c>
      <c r="M39" s="110">
        <v>0</v>
      </c>
      <c r="N39" s="110">
        <v>0</v>
      </c>
      <c r="O39" s="110">
        <v>340</v>
      </c>
      <c r="P39" s="110">
        <v>0</v>
      </c>
      <c r="Q39" s="110" t="str">
        <v>AVAILABLE</v>
      </c>
      <c r="R39" s="110">
        <v>940000</v>
      </c>
      <c r="S39" s="110">
        <v>940000</v>
      </c>
      <c r="T39" s="110">
        <v>1150000</v>
      </c>
      <c r="U39" s="110">
        <v>0</v>
      </c>
      <c r="V39" s="110">
        <v>0</v>
      </c>
      <c r="W39" s="110">
        <v>1150000</v>
      </c>
      <c r="X39" s="110">
        <v>0</v>
      </c>
      <c r="Y39" s="110">
        <v>1150000</v>
      </c>
      <c r="Z39" s="110">
        <v>1150000</v>
      </c>
      <c r="AA39" s="110">
        <v>45279</v>
      </c>
      <c r="AB39" s="111" t="str">
        <v>Q4 2023</v>
      </c>
      <c r="AC39">
        <v>0</v>
      </c>
      <c r="AD39">
        <v>46843</v>
      </c>
      <c r="AE39" t="str">
        <v>Sandra Viegas</v>
      </c>
      <c r="AF39" t="str">
        <v>João Barra | José Guerreiro</v>
      </c>
      <c r="AG39" t="str">
        <v>https://www.palmaresliving.com/</v>
      </c>
      <c r="AH39" t="str">
        <v>Palmares Ocean &amp; Living : Where ocean breezes, world-class golf, and award-winning design converge to create a lifestyle beyond compare.</v>
      </c>
      <c r="AI39" t="str">
        <v>Gym, Spa, Condo Pool, Private Pools, Outdoor Areas, Private Parking, Reception, World Class Golf Course</v>
      </c>
      <c r="AJ39"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39" t="str">
        <v>RCR</v>
      </c>
      <c r="AL39" t="str">
        <v>Palmares</v>
      </c>
    </row>
    <row r="40" spans="1:38" x14ac:dyDescent="0.3">
      <c r="A40" s="110" t="str">
        <v>Palmares - Plots</v>
      </c>
      <c r="B40" s="110" t="str">
        <v>Algarve</v>
      </c>
      <c r="C40" s="110" t="str">
        <v>20</v>
      </c>
      <c r="D40" s="110" t="str">
        <v>Lagos, Algarve</v>
      </c>
      <c r="E40" s="110" t="str">
        <v>Plot</v>
      </c>
      <c r="F40" s="110">
        <v>2718</v>
      </c>
      <c r="G40" s="110">
        <v>0</v>
      </c>
      <c r="H40" s="110" t="str">
        <v/>
      </c>
      <c r="I40" s="110" t="str">
        <v/>
      </c>
      <c r="J40" s="110">
        <v>0</v>
      </c>
      <c r="K40" s="110">
        <v>0</v>
      </c>
      <c r="L40" s="110">
        <v>0</v>
      </c>
      <c r="M40" s="110">
        <v>0</v>
      </c>
      <c r="N40" s="110">
        <v>0</v>
      </c>
      <c r="O40" s="110">
        <v>420</v>
      </c>
      <c r="P40" s="110">
        <v>0</v>
      </c>
      <c r="Q40" s="110" t="str">
        <v>AVAILABLE</v>
      </c>
      <c r="R40" s="110">
        <v>980000</v>
      </c>
      <c r="S40" s="110">
        <v>980000</v>
      </c>
      <c r="T40" s="110">
        <v>1750000</v>
      </c>
      <c r="U40" s="110">
        <v>0</v>
      </c>
      <c r="V40" s="110">
        <v>0</v>
      </c>
      <c r="W40" s="110">
        <v>1750000</v>
      </c>
      <c r="X40" s="110">
        <v>0</v>
      </c>
      <c r="Y40" s="110">
        <v>1750000</v>
      </c>
      <c r="Z40" s="110">
        <v>1750000</v>
      </c>
      <c r="AA40" s="110">
        <v>45279</v>
      </c>
      <c r="AB40" s="111" t="str">
        <v>Q4 2023</v>
      </c>
      <c r="AC40">
        <v>0</v>
      </c>
      <c r="AD40">
        <v>46843</v>
      </c>
      <c r="AE40" t="str">
        <v>Sandra Viegas</v>
      </c>
      <c r="AF40" t="str">
        <v>João Barra | José Guerreiro</v>
      </c>
      <c r="AG40" t="str">
        <v>https://www.palmaresliving.com/</v>
      </c>
      <c r="AH40" t="str">
        <v>Palmares Ocean &amp; Living : Where ocean breezes, world-class golf, and award-winning design converge to create a lifestyle beyond compare.</v>
      </c>
      <c r="AI40" t="str">
        <v>Gym, Spa, Condo Pool, Private Pools, Outdoor Areas, Private Parking, Reception, World Class Golf Course</v>
      </c>
      <c r="AJ40"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40" t="str">
        <v>RCR</v>
      </c>
      <c r="AL40" t="str">
        <v>Palmares</v>
      </c>
    </row>
    <row r="41" spans="1:38" x14ac:dyDescent="0.3">
      <c r="A41" s="110" t="str">
        <v>Palmares - Plots</v>
      </c>
      <c r="B41" s="110" t="str">
        <v>Algarve</v>
      </c>
      <c r="C41" s="110" t="str">
        <v>99</v>
      </c>
      <c r="D41" s="110" t="str">
        <v>Lagos, Algarve</v>
      </c>
      <c r="E41" s="110" t="str">
        <v>Plot</v>
      </c>
      <c r="F41" s="110">
        <v>420</v>
      </c>
      <c r="G41" s="110">
        <v>0</v>
      </c>
      <c r="H41" s="110" t="str">
        <v/>
      </c>
      <c r="I41" s="110" t="str">
        <v/>
      </c>
      <c r="J41" s="110">
        <v>0</v>
      </c>
      <c r="K41" s="110">
        <v>0</v>
      </c>
      <c r="L41" s="110">
        <v>0</v>
      </c>
      <c r="M41" s="110">
        <v>0</v>
      </c>
      <c r="N41" s="110">
        <v>0</v>
      </c>
      <c r="O41" s="110">
        <v>420</v>
      </c>
      <c r="P41" s="110">
        <v>0</v>
      </c>
      <c r="Q41" s="110" t="str">
        <v>AVAILABLE</v>
      </c>
      <c r="R41" s="110">
        <v>1000000</v>
      </c>
      <c r="S41" s="110">
        <v>1000000</v>
      </c>
      <c r="T41" s="110">
        <v>1300000</v>
      </c>
      <c r="U41" s="110">
        <v>0</v>
      </c>
      <c r="V41" s="110">
        <v>0</v>
      </c>
      <c r="W41" s="110">
        <v>1300000</v>
      </c>
      <c r="X41" s="110">
        <v>0</v>
      </c>
      <c r="Y41" s="110">
        <v>1300000</v>
      </c>
      <c r="Z41" s="110">
        <v>1300000</v>
      </c>
      <c r="AA41" s="110">
        <v>45279</v>
      </c>
      <c r="AB41" s="111" t="str">
        <v>Q4 2023</v>
      </c>
      <c r="AC41">
        <v>0</v>
      </c>
      <c r="AD41">
        <v>46843</v>
      </c>
      <c r="AE41" t="str">
        <v>Sandra Viegas</v>
      </c>
      <c r="AF41" t="str">
        <v>João Barra | José Guerreiro</v>
      </c>
      <c r="AG41" t="str">
        <v>https://www.palmaresliving.com/</v>
      </c>
      <c r="AH41" t="str">
        <v>Palmares Ocean &amp; Living : Where ocean breezes, world-class golf, and award-winning design converge to create a lifestyle beyond compare.</v>
      </c>
      <c r="AI41" t="str">
        <v>Gym, Spa, Condo Pool, Private Pools, Outdoor Areas, Private Parking, Reception, World Class Golf Course</v>
      </c>
      <c r="AJ41"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41" t="str">
        <v>RCR</v>
      </c>
      <c r="AL41" t="str">
        <v>Palmares</v>
      </c>
    </row>
    <row r="42" spans="1:38" x14ac:dyDescent="0.3">
      <c r="A42" s="110" t="str">
        <v>Palmares - Plots</v>
      </c>
      <c r="B42" s="110" t="str">
        <v>Algarve</v>
      </c>
      <c r="C42" s="110" t="str">
        <v>35</v>
      </c>
      <c r="D42" s="110" t="str">
        <v>Lagos, Algarve</v>
      </c>
      <c r="E42" s="110" t="str">
        <v>Plot</v>
      </c>
      <c r="F42" s="110">
        <v>4186</v>
      </c>
      <c r="G42" s="110">
        <v>0</v>
      </c>
      <c r="H42" s="110" t="str">
        <v/>
      </c>
      <c r="I42" s="110" t="str">
        <v/>
      </c>
      <c r="J42" s="110">
        <v>0</v>
      </c>
      <c r="K42" s="110">
        <v>0</v>
      </c>
      <c r="L42" s="110">
        <v>0</v>
      </c>
      <c r="M42" s="110">
        <v>0</v>
      </c>
      <c r="N42" s="110">
        <v>0</v>
      </c>
      <c r="O42" s="110">
        <v>500</v>
      </c>
      <c r="P42" s="110">
        <v>0</v>
      </c>
      <c r="Q42" s="110" t="str">
        <v>AVAILABLE</v>
      </c>
      <c r="R42" s="110">
        <v>1220000</v>
      </c>
      <c r="S42" s="110">
        <v>1220000</v>
      </c>
      <c r="T42" s="110">
        <v>1250000</v>
      </c>
      <c r="U42" s="110">
        <v>0</v>
      </c>
      <c r="V42" s="110">
        <v>0</v>
      </c>
      <c r="W42" s="110">
        <v>1250000</v>
      </c>
      <c r="X42" s="110">
        <v>0</v>
      </c>
      <c r="Y42" s="110">
        <v>1250000</v>
      </c>
      <c r="Z42" s="110">
        <v>1250000</v>
      </c>
      <c r="AA42" s="110">
        <v>45279</v>
      </c>
      <c r="AB42" s="111" t="str">
        <v>Q4 2023</v>
      </c>
      <c r="AC42">
        <v>0</v>
      </c>
      <c r="AD42">
        <v>46843</v>
      </c>
      <c r="AE42" t="str">
        <v>Sandra Viegas</v>
      </c>
      <c r="AF42" t="str">
        <v>João Barra | José Guerreiro</v>
      </c>
      <c r="AG42" t="str">
        <v>https://www.palmaresliving.com/</v>
      </c>
      <c r="AH42" t="str">
        <v>Palmares Ocean &amp; Living : Where ocean breezes, world-class golf, and award-winning design converge to create a lifestyle beyond compare.</v>
      </c>
      <c r="AI42" t="str">
        <v>Gym, Spa, Condo Pool, Private Pools, Outdoor Areas, Private Parking, Reception, World Class Golf Course</v>
      </c>
      <c r="AJ42" t="str">
        <v>Com projeto assinado pelos vencedores do Pritzker award RCR Arquitectes; Primeira linha de mar com Apartamentos de assinatura, villas e branded residences JW Marriott; Vistas previlegiadas para o mar; Oportunidade de rentabilizar o investimento com gestão turística profissional e full-service.</v>
      </c>
      <c r="AK42" t="str">
        <v>RCR</v>
      </c>
      <c r="AL42" t="str">
        <v>Palmares</v>
      </c>
    </row>
    <row r="43" spans="1:38" x14ac:dyDescent="0.3">
      <c r="A43" s="110" t="str">
        <v>Palmares - Signature Apartments</v>
      </c>
      <c r="B43" s="110" t="str">
        <v>Algarve</v>
      </c>
      <c r="C43" s="110" t="str">
        <v>843C</v>
      </c>
      <c r="D43" s="110">
        <v>0</v>
      </c>
      <c r="E43" s="110" t="str">
        <v>T2</v>
      </c>
      <c r="F43" s="110">
        <v>144.94999999999999</v>
      </c>
      <c r="G43" s="110">
        <v>0</v>
      </c>
      <c r="H43" s="110" t="str">
        <v>52+53</v>
      </c>
      <c r="I43" s="110" t="str">
        <v/>
      </c>
      <c r="J43" s="110">
        <v>0</v>
      </c>
      <c r="K43" s="110">
        <v>0</v>
      </c>
      <c r="L43" s="110">
        <v>0</v>
      </c>
      <c r="M43" s="110">
        <v>29.65</v>
      </c>
      <c r="N43" s="110">
        <v>0</v>
      </c>
      <c r="O43" s="110">
        <v>115.3</v>
      </c>
      <c r="P43" s="110">
        <v>0</v>
      </c>
      <c r="Q43" s="110" t="str">
        <v>RESERVED</v>
      </c>
      <c r="R43" s="110">
        <v>660000</v>
      </c>
      <c r="S43" s="110">
        <v>660000</v>
      </c>
      <c r="T43" s="110">
        <v>950000</v>
      </c>
      <c r="U43" s="110">
        <v>0</v>
      </c>
      <c r="V43" s="110">
        <v>0</v>
      </c>
      <c r="W43" s="110">
        <v>950000</v>
      </c>
      <c r="X43" s="110">
        <v>0</v>
      </c>
      <c r="Y43" s="110">
        <v>950000</v>
      </c>
      <c r="Z43" s="110">
        <v>950000</v>
      </c>
      <c r="AA43" s="110">
        <v>44518</v>
      </c>
      <c r="AB43" s="111" t="str">
        <v>Q4 2021</v>
      </c>
      <c r="AC43">
        <v>46175</v>
      </c>
      <c r="AD43">
        <v>46843</v>
      </c>
      <c r="AE43" t="str">
        <v>Sandra Viegas</v>
      </c>
      <c r="AF43" t="str">
        <v>João Barra | José Guerreiro</v>
      </c>
      <c r="AG43">
        <v>0</v>
      </c>
      <c r="AH43">
        <v>0</v>
      </c>
      <c r="AI43">
        <v>0</v>
      </c>
      <c r="AJ43">
        <v>0</v>
      </c>
      <c r="AK43">
        <v>0</v>
      </c>
      <c r="AL43" t="str">
        <v>Palmares</v>
      </c>
    </row>
    <row r="44" spans="1:38" x14ac:dyDescent="0.3">
      <c r="A44" s="110" t="str">
        <v>Palmares - Signature Apartments</v>
      </c>
      <c r="B44" s="110" t="str">
        <v>Algarve</v>
      </c>
      <c r="C44" s="110" t="str">
        <v>801A</v>
      </c>
      <c r="D44" s="110">
        <v>0</v>
      </c>
      <c r="E44" s="110" t="str">
        <v>T2 (T1+1) Duplex</v>
      </c>
      <c r="F44" s="110">
        <v>181.7</v>
      </c>
      <c r="G44" s="110">
        <v>0</v>
      </c>
      <c r="H44" s="110" t="str">
        <v>71+72</v>
      </c>
      <c r="I44" s="110" t="str">
        <v/>
      </c>
      <c r="J44" s="110">
        <v>0</v>
      </c>
      <c r="K44" s="110">
        <v>0</v>
      </c>
      <c r="L44" s="110">
        <v>0</v>
      </c>
      <c r="M44" s="110">
        <v>43.35</v>
      </c>
      <c r="N44" s="110">
        <v>0</v>
      </c>
      <c r="O44" s="110">
        <v>138.35</v>
      </c>
      <c r="P44" s="110">
        <v>0</v>
      </c>
      <c r="Q44" s="110" t="str">
        <v xml:space="preserve">PSPA </v>
      </c>
      <c r="R44" s="110">
        <v>660000</v>
      </c>
      <c r="S44" s="110">
        <v>660000</v>
      </c>
      <c r="T44" s="110">
        <v>725000</v>
      </c>
      <c r="U44" s="110">
        <v>0</v>
      </c>
      <c r="V44" s="110">
        <v>0</v>
      </c>
      <c r="W44" s="110">
        <v>725000</v>
      </c>
      <c r="X44" s="110">
        <v>0</v>
      </c>
      <c r="Y44" s="110">
        <v>725000</v>
      </c>
      <c r="Z44" s="110">
        <v>725000</v>
      </c>
      <c r="AA44" s="110">
        <v>44518</v>
      </c>
      <c r="AB44" s="111" t="str">
        <v>Q4 2021</v>
      </c>
      <c r="AC44">
        <v>44995</v>
      </c>
      <c r="AD44">
        <v>46843</v>
      </c>
      <c r="AE44" t="str">
        <v>Sandra Viegas</v>
      </c>
      <c r="AF44" t="str">
        <v>João Barra | José Guerreiro</v>
      </c>
      <c r="AG44">
        <v>0</v>
      </c>
      <c r="AH44">
        <v>0</v>
      </c>
      <c r="AI44">
        <v>0</v>
      </c>
      <c r="AJ44">
        <v>0</v>
      </c>
      <c r="AK44">
        <v>0</v>
      </c>
      <c r="AL44" t="str">
        <v>Palmares</v>
      </c>
    </row>
    <row r="45" spans="1:38" x14ac:dyDescent="0.3">
      <c r="A45" s="110" t="str">
        <v>Palmares - Signature Apartments</v>
      </c>
      <c r="B45" s="110" t="str">
        <v>Algarve</v>
      </c>
      <c r="C45" s="110" t="str">
        <v>802A</v>
      </c>
      <c r="D45" s="110">
        <v>0</v>
      </c>
      <c r="E45" s="110" t="str">
        <v>T2 (T1+1) Duplex</v>
      </c>
      <c r="F45" s="110">
        <v>173.95</v>
      </c>
      <c r="G45" s="110">
        <v>0</v>
      </c>
      <c r="H45" s="110" t="str">
        <v>69+70</v>
      </c>
      <c r="I45" s="110" t="str">
        <v/>
      </c>
      <c r="J45" s="110">
        <v>0</v>
      </c>
      <c r="K45" s="110">
        <v>0</v>
      </c>
      <c r="L45" s="110">
        <v>0</v>
      </c>
      <c r="M45" s="110">
        <v>48.4</v>
      </c>
      <c r="N45" s="110">
        <v>0</v>
      </c>
      <c r="O45" s="110">
        <v>125.55</v>
      </c>
      <c r="P45" s="110">
        <v>0</v>
      </c>
      <c r="Q45" s="110" t="str">
        <v xml:space="preserve">PSPA </v>
      </c>
      <c r="R45" s="110">
        <v>650000</v>
      </c>
      <c r="S45" s="110">
        <v>650000</v>
      </c>
      <c r="T45" s="110">
        <v>800000</v>
      </c>
      <c r="U45" s="110">
        <v>0</v>
      </c>
      <c r="V45" s="110">
        <v>0</v>
      </c>
      <c r="W45" s="110">
        <v>800000</v>
      </c>
      <c r="X45" s="110">
        <v>0</v>
      </c>
      <c r="Y45" s="110">
        <v>800000</v>
      </c>
      <c r="Z45" s="110">
        <v>800000</v>
      </c>
      <c r="AA45" s="110">
        <v>44518</v>
      </c>
      <c r="AB45" s="111" t="str">
        <v>Q4 2021</v>
      </c>
      <c r="AC45">
        <v>45044</v>
      </c>
      <c r="AD45">
        <v>46843</v>
      </c>
      <c r="AE45" t="str">
        <v>Sandra Viegas</v>
      </c>
      <c r="AF45" t="str">
        <v>João Barra | José Guerreiro</v>
      </c>
      <c r="AG45">
        <v>0</v>
      </c>
      <c r="AH45">
        <v>0</v>
      </c>
      <c r="AI45">
        <v>0</v>
      </c>
      <c r="AJ45">
        <v>0</v>
      </c>
      <c r="AK45">
        <v>0</v>
      </c>
      <c r="AL45" t="str">
        <v>Palmares</v>
      </c>
    </row>
    <row r="46" spans="1:38" x14ac:dyDescent="0.3">
      <c r="A46" s="110" t="str">
        <v>Palmares - Signature Apartments</v>
      </c>
      <c r="B46" s="110" t="str">
        <v>Algarve</v>
      </c>
      <c r="C46" s="110" t="str">
        <v>804A</v>
      </c>
      <c r="D46" s="110">
        <v>0</v>
      </c>
      <c r="E46" s="110" t="str">
        <v>T2 (T1+1) Duplex</v>
      </c>
      <c r="F46" s="110">
        <v>173.95</v>
      </c>
      <c r="G46" s="110">
        <v>0</v>
      </c>
      <c r="H46" s="110" t="str">
        <v>65+66</v>
      </c>
      <c r="I46" s="110" t="str">
        <v/>
      </c>
      <c r="J46" s="110">
        <v>0</v>
      </c>
      <c r="K46" s="110">
        <v>0</v>
      </c>
      <c r="L46" s="110">
        <v>0</v>
      </c>
      <c r="M46" s="110">
        <v>48.4</v>
      </c>
      <c r="N46" s="110">
        <v>0</v>
      </c>
      <c r="O46" s="110">
        <v>125.55</v>
      </c>
      <c r="P46" s="110">
        <v>0</v>
      </c>
      <c r="Q46" s="110" t="str">
        <v xml:space="preserve">PSPA </v>
      </c>
      <c r="R46" s="110">
        <v>550000</v>
      </c>
      <c r="S46" s="110">
        <v>550000</v>
      </c>
      <c r="T46" s="110">
        <v>745000</v>
      </c>
      <c r="U46" s="110">
        <v>0</v>
      </c>
      <c r="V46" s="110">
        <v>0</v>
      </c>
      <c r="W46" s="110">
        <v>745000</v>
      </c>
      <c r="X46" s="110">
        <v>0</v>
      </c>
      <c r="Y46" s="110">
        <v>745000</v>
      </c>
      <c r="Z46" s="110">
        <v>745000</v>
      </c>
      <c r="AA46" s="110">
        <v>44518</v>
      </c>
      <c r="AB46" s="111" t="str">
        <v>Q4 2021</v>
      </c>
      <c r="AC46">
        <v>45128</v>
      </c>
      <c r="AD46">
        <v>46843</v>
      </c>
      <c r="AE46" t="str">
        <v>Sandra Viegas</v>
      </c>
      <c r="AF46" t="str">
        <v>João Barra | José Guerreiro</v>
      </c>
      <c r="AG46">
        <v>0</v>
      </c>
      <c r="AH46">
        <v>0</v>
      </c>
      <c r="AI46">
        <v>0</v>
      </c>
      <c r="AJ46">
        <v>0</v>
      </c>
      <c r="AK46">
        <v>0</v>
      </c>
      <c r="AL46" t="str">
        <v>Palmares</v>
      </c>
    </row>
    <row r="47" spans="1:38" x14ac:dyDescent="0.3">
      <c r="A47" s="110" t="str">
        <v>Palmares - Signature Apartments</v>
      </c>
      <c r="B47" s="110" t="str">
        <v>Algarve</v>
      </c>
      <c r="C47" s="110" t="str">
        <v>806A</v>
      </c>
      <c r="D47" s="110">
        <v>0</v>
      </c>
      <c r="E47" s="110" t="str">
        <v>T2 (T1+1) Duplex</v>
      </c>
      <c r="F47" s="110">
        <v>173.95</v>
      </c>
      <c r="G47" s="110">
        <v>0</v>
      </c>
      <c r="H47" s="110" t="str">
        <v>61+62</v>
      </c>
      <c r="I47" s="110" t="str">
        <v/>
      </c>
      <c r="J47" s="110">
        <v>0</v>
      </c>
      <c r="K47" s="110">
        <v>0</v>
      </c>
      <c r="L47" s="110">
        <v>0</v>
      </c>
      <c r="M47" s="110">
        <v>48.4</v>
      </c>
      <c r="N47" s="110">
        <v>0</v>
      </c>
      <c r="O47" s="110">
        <v>125.55</v>
      </c>
      <c r="P47" s="110">
        <v>0</v>
      </c>
      <c r="Q47" s="110" t="str">
        <v xml:space="preserve">PSPA </v>
      </c>
      <c r="R47" s="110">
        <v>440000</v>
      </c>
      <c r="S47" s="110">
        <v>440000</v>
      </c>
      <c r="T47" s="110">
        <v>770000</v>
      </c>
      <c r="U47" s="110">
        <v>0</v>
      </c>
      <c r="V47" s="110">
        <v>0</v>
      </c>
      <c r="W47" s="110">
        <v>770000</v>
      </c>
      <c r="X47" s="110">
        <v>0</v>
      </c>
      <c r="Y47" s="110">
        <v>770000</v>
      </c>
      <c r="Z47" s="110">
        <v>770000</v>
      </c>
      <c r="AA47" s="110">
        <v>44518</v>
      </c>
      <c r="AB47" s="111" t="str">
        <v>Q4 2021</v>
      </c>
      <c r="AC47">
        <v>44957</v>
      </c>
      <c r="AD47">
        <v>46843</v>
      </c>
      <c r="AE47" t="str">
        <v>Sandra Viegas</v>
      </c>
      <c r="AF47" t="str">
        <v>João Barra | José Guerreiro</v>
      </c>
      <c r="AG47">
        <v>0</v>
      </c>
      <c r="AH47">
        <v>0</v>
      </c>
      <c r="AI47">
        <v>0</v>
      </c>
      <c r="AJ47">
        <v>0</v>
      </c>
      <c r="AK47">
        <v>0</v>
      </c>
      <c r="AL47" t="str">
        <v>Palmares</v>
      </c>
    </row>
    <row r="48" spans="1:38" x14ac:dyDescent="0.3">
      <c r="A48" s="110" t="str">
        <v>Palmares - Signature Apartments</v>
      </c>
      <c r="B48" s="110" t="str">
        <v>Algarve</v>
      </c>
      <c r="C48" s="110" t="str">
        <v>807A</v>
      </c>
      <c r="D48" s="110">
        <v>0</v>
      </c>
      <c r="E48" s="110" t="str">
        <v>T2 (T1+1) Duplex</v>
      </c>
      <c r="F48" s="110">
        <v>173.95</v>
      </c>
      <c r="G48" s="110">
        <v>0</v>
      </c>
      <c r="H48" s="110" t="str">
        <v>59+60</v>
      </c>
      <c r="I48" s="110" t="str">
        <v/>
      </c>
      <c r="J48" s="110">
        <v>0</v>
      </c>
      <c r="K48" s="110">
        <v>0</v>
      </c>
      <c r="L48" s="110">
        <v>0</v>
      </c>
      <c r="M48" s="110">
        <v>48.4</v>
      </c>
      <c r="N48" s="110">
        <v>0</v>
      </c>
      <c r="O48" s="110">
        <v>125.55</v>
      </c>
      <c r="P48" s="110">
        <v>0</v>
      </c>
      <c r="Q48" s="110" t="str">
        <v xml:space="preserve">PSPA </v>
      </c>
      <c r="R48" s="110">
        <v>575000</v>
      </c>
      <c r="S48" s="110">
        <v>575000</v>
      </c>
      <c r="T48" s="110">
        <v>900000</v>
      </c>
      <c r="U48" s="110">
        <v>0</v>
      </c>
      <c r="V48" s="110">
        <v>0</v>
      </c>
      <c r="W48" s="110">
        <v>900000</v>
      </c>
      <c r="X48" s="110">
        <v>0</v>
      </c>
      <c r="Y48" s="110">
        <v>900000</v>
      </c>
      <c r="Z48" s="110">
        <v>900000</v>
      </c>
      <c r="AA48" s="110">
        <v>44518</v>
      </c>
      <c r="AB48" s="111" t="str">
        <v>Q4 2021</v>
      </c>
      <c r="AC48">
        <v>44988</v>
      </c>
      <c r="AD48">
        <v>46843</v>
      </c>
      <c r="AE48" t="str">
        <v>Sandra Viegas</v>
      </c>
      <c r="AF48" t="str">
        <v>João Barra | José Guerreiro</v>
      </c>
      <c r="AG48">
        <v>0</v>
      </c>
      <c r="AH48">
        <v>0</v>
      </c>
      <c r="AI48">
        <v>0</v>
      </c>
      <c r="AJ48">
        <v>0</v>
      </c>
      <c r="AK48">
        <v>0</v>
      </c>
      <c r="AL48" t="str">
        <v>Palmares</v>
      </c>
    </row>
    <row r="49" spans="1:38" x14ac:dyDescent="0.3">
      <c r="A49" t="str">
        <v>Palmares - Signature Apartments</v>
      </c>
      <c r="B49" t="str">
        <v>Algarve</v>
      </c>
      <c r="C49" t="str">
        <v>808A</v>
      </c>
      <c r="D49">
        <v>0</v>
      </c>
      <c r="E49" t="str">
        <v>T2 (T1+1) Duplex</v>
      </c>
      <c r="F49">
        <v>173.95</v>
      </c>
      <c r="G49">
        <v>0</v>
      </c>
      <c r="H49" t="str">
        <v>01+58</v>
      </c>
      <c r="I49" t="str">
        <v/>
      </c>
      <c r="J49">
        <v>0</v>
      </c>
      <c r="K49">
        <v>0</v>
      </c>
      <c r="L49">
        <v>0</v>
      </c>
      <c r="M49" s="79">
        <v>48.4</v>
      </c>
      <c r="N49">
        <v>0</v>
      </c>
      <c r="O49">
        <v>125.55</v>
      </c>
      <c r="P49">
        <v>0</v>
      </c>
      <c r="Q49" t="str">
        <v xml:space="preserve">PSPA </v>
      </c>
      <c r="R49">
        <v>460000</v>
      </c>
      <c r="S49">
        <v>460000</v>
      </c>
      <c r="T49">
        <v>820000</v>
      </c>
      <c r="U49">
        <v>0</v>
      </c>
      <c r="V49">
        <v>0</v>
      </c>
      <c r="W49">
        <v>820000</v>
      </c>
      <c r="X49">
        <v>0</v>
      </c>
      <c r="Y49">
        <v>820000</v>
      </c>
      <c r="Z49">
        <v>820000</v>
      </c>
      <c r="AA49">
        <v>44518</v>
      </c>
      <c r="AB49" t="str">
        <v>Q4 2021</v>
      </c>
      <c r="AC49">
        <v>44977</v>
      </c>
      <c r="AD49">
        <v>46843</v>
      </c>
      <c r="AE49" t="str">
        <v>Sandra Viegas</v>
      </c>
      <c r="AF49" t="str">
        <v>João Barra | José Guerreiro</v>
      </c>
      <c r="AG49">
        <v>0</v>
      </c>
      <c r="AH49">
        <v>0</v>
      </c>
      <c r="AI49">
        <v>0</v>
      </c>
      <c r="AJ49">
        <v>0</v>
      </c>
      <c r="AK49">
        <v>0</v>
      </c>
      <c r="AL49" t="str">
        <v>Palmares</v>
      </c>
    </row>
    <row r="50" spans="1:38" x14ac:dyDescent="0.3">
      <c r="A50" t="str">
        <v>Palmares - Signature Apartments</v>
      </c>
      <c r="B50" t="str">
        <v>Algarve</v>
      </c>
      <c r="C50" t="str">
        <v>811B</v>
      </c>
      <c r="D50">
        <v>0</v>
      </c>
      <c r="E50" t="str">
        <v>T1</v>
      </c>
      <c r="F50">
        <v>93.55</v>
      </c>
      <c r="G50">
        <v>0</v>
      </c>
      <c r="H50" t="str">
        <v>34+35</v>
      </c>
      <c r="I50" t="str">
        <v/>
      </c>
      <c r="J50">
        <v>0</v>
      </c>
      <c r="K50">
        <v>0</v>
      </c>
      <c r="L50">
        <v>0</v>
      </c>
      <c r="M50" s="79">
        <v>20.95</v>
      </c>
      <c r="N50">
        <v>0</v>
      </c>
      <c r="O50">
        <v>72.599999999999994</v>
      </c>
      <c r="P50">
        <v>0</v>
      </c>
      <c r="Q50" t="str">
        <v xml:space="preserve">PSPA </v>
      </c>
      <c r="R50">
        <v>440000</v>
      </c>
      <c r="S50">
        <v>440000</v>
      </c>
      <c r="T50">
        <v>550000</v>
      </c>
      <c r="U50">
        <v>0</v>
      </c>
      <c r="V50">
        <v>0</v>
      </c>
      <c r="W50">
        <v>550000</v>
      </c>
      <c r="X50">
        <v>0</v>
      </c>
      <c r="Y50">
        <v>550000</v>
      </c>
      <c r="Z50">
        <v>550000</v>
      </c>
      <c r="AA50">
        <v>44518</v>
      </c>
      <c r="AB50" t="str">
        <v>Q4 2021</v>
      </c>
      <c r="AC50">
        <v>44967</v>
      </c>
      <c r="AD50">
        <v>46843</v>
      </c>
      <c r="AE50" t="str">
        <v>Sandra Viegas</v>
      </c>
      <c r="AF50" t="str">
        <v>João Barra | José Guerreiro</v>
      </c>
      <c r="AG50">
        <v>0</v>
      </c>
      <c r="AH50">
        <v>0</v>
      </c>
      <c r="AI50">
        <v>0</v>
      </c>
      <c r="AJ50">
        <v>0</v>
      </c>
      <c r="AK50">
        <v>0</v>
      </c>
      <c r="AL50" t="str">
        <v>Palmares</v>
      </c>
    </row>
    <row r="51" spans="1:38" x14ac:dyDescent="0.3">
      <c r="A51" t="str">
        <v>Palmares - Signature Apartments</v>
      </c>
      <c r="B51" t="str">
        <v>Algarve</v>
      </c>
      <c r="C51" t="str">
        <v>813B</v>
      </c>
      <c r="D51">
        <v>0</v>
      </c>
      <c r="E51" t="str">
        <v>T1</v>
      </c>
      <c r="F51">
        <v>95.85</v>
      </c>
      <c r="G51">
        <v>0</v>
      </c>
      <c r="H51" t="str">
        <v>38+39</v>
      </c>
      <c r="I51" t="str">
        <v/>
      </c>
      <c r="J51">
        <v>0</v>
      </c>
      <c r="K51">
        <v>0</v>
      </c>
      <c r="L51">
        <v>0</v>
      </c>
      <c r="M51" s="79">
        <v>21.85</v>
      </c>
      <c r="N51">
        <v>0</v>
      </c>
      <c r="O51">
        <v>74</v>
      </c>
      <c r="P51">
        <v>0</v>
      </c>
      <c r="Q51" t="str">
        <v xml:space="preserve">PSPA </v>
      </c>
      <c r="R51">
        <v>760000</v>
      </c>
      <c r="S51">
        <v>760000</v>
      </c>
      <c r="T51">
        <v>710000</v>
      </c>
      <c r="U51">
        <v>0</v>
      </c>
      <c r="V51">
        <v>0</v>
      </c>
      <c r="W51">
        <v>710000</v>
      </c>
      <c r="X51">
        <v>0</v>
      </c>
      <c r="Y51">
        <v>710000</v>
      </c>
      <c r="Z51">
        <v>710000</v>
      </c>
      <c r="AA51">
        <v>44518</v>
      </c>
      <c r="AB51" t="str">
        <v>Q4 2021</v>
      </c>
      <c r="AC51">
        <v>44988</v>
      </c>
      <c r="AD51">
        <v>46843</v>
      </c>
      <c r="AE51" t="str">
        <v>Sandra Viegas</v>
      </c>
      <c r="AF51" t="str">
        <v>João Barra | José Guerreiro</v>
      </c>
      <c r="AG51">
        <v>0</v>
      </c>
      <c r="AH51">
        <v>0</v>
      </c>
      <c r="AI51">
        <v>0</v>
      </c>
      <c r="AJ51">
        <v>0</v>
      </c>
      <c r="AK51">
        <v>0</v>
      </c>
      <c r="AL51" t="str">
        <v>Palmares</v>
      </c>
    </row>
    <row r="52" spans="1:38" x14ac:dyDescent="0.3">
      <c r="A52" t="str">
        <v>Palmares - Signature Apartments</v>
      </c>
      <c r="B52" t="str">
        <v>Algarve</v>
      </c>
      <c r="C52" t="str">
        <v>814B</v>
      </c>
      <c r="D52">
        <v>0</v>
      </c>
      <c r="E52" t="str">
        <v>T1</v>
      </c>
      <c r="F52">
        <v>96.05</v>
      </c>
      <c r="G52">
        <v>0</v>
      </c>
      <c r="H52" t="str">
        <v>12+13</v>
      </c>
      <c r="I52" t="str">
        <v/>
      </c>
      <c r="J52">
        <v>0</v>
      </c>
      <c r="K52">
        <v>0</v>
      </c>
      <c r="L52">
        <v>0</v>
      </c>
      <c r="M52" s="79">
        <v>21.85</v>
      </c>
      <c r="N52">
        <v>0</v>
      </c>
      <c r="O52">
        <v>74.2</v>
      </c>
      <c r="P52">
        <v>0</v>
      </c>
      <c r="Q52" t="str">
        <v xml:space="preserve">PSPA </v>
      </c>
      <c r="R52">
        <v>710000</v>
      </c>
      <c r="S52">
        <v>710000</v>
      </c>
      <c r="T52">
        <v>530000</v>
      </c>
      <c r="U52">
        <v>0</v>
      </c>
      <c r="V52">
        <v>0</v>
      </c>
      <c r="W52">
        <v>530000</v>
      </c>
      <c r="X52">
        <v>0</v>
      </c>
      <c r="Y52">
        <v>530000</v>
      </c>
      <c r="Z52">
        <v>530000</v>
      </c>
      <c r="AA52">
        <v>44518</v>
      </c>
      <c r="AB52" t="str">
        <v>Q4 2021</v>
      </c>
      <c r="AC52">
        <v>45132</v>
      </c>
      <c r="AD52">
        <v>46843</v>
      </c>
      <c r="AE52" t="str">
        <v>Sandra Viegas</v>
      </c>
      <c r="AF52" t="str">
        <v>João Barra | José Guerreiro</v>
      </c>
      <c r="AG52">
        <v>0</v>
      </c>
      <c r="AH52">
        <v>0</v>
      </c>
      <c r="AI52">
        <v>0</v>
      </c>
      <c r="AJ52">
        <v>0</v>
      </c>
      <c r="AK52">
        <v>0</v>
      </c>
      <c r="AL52" t="str">
        <v>Palmares</v>
      </c>
    </row>
    <row r="53" spans="1:38" x14ac:dyDescent="0.3">
      <c r="A53" t="str">
        <v>Palmares - Signature Apartments</v>
      </c>
      <c r="B53" t="str">
        <v>Algarve</v>
      </c>
      <c r="C53" t="str">
        <v>815B</v>
      </c>
      <c r="D53">
        <v>0</v>
      </c>
      <c r="E53" t="str">
        <v>T1</v>
      </c>
      <c r="F53">
        <v>96.05</v>
      </c>
      <c r="G53">
        <v>0</v>
      </c>
      <c r="H53" t="str">
        <v>14+15</v>
      </c>
      <c r="I53" t="str">
        <v/>
      </c>
      <c r="J53">
        <v>0</v>
      </c>
      <c r="K53">
        <v>0</v>
      </c>
      <c r="L53">
        <v>0</v>
      </c>
      <c r="M53" s="79">
        <v>21.85</v>
      </c>
      <c r="N53">
        <v>0</v>
      </c>
      <c r="O53">
        <v>74.2</v>
      </c>
      <c r="P53">
        <v>0</v>
      </c>
      <c r="Q53" t="str">
        <v xml:space="preserve">PSPA </v>
      </c>
      <c r="R53">
        <v>660000</v>
      </c>
      <c r="S53">
        <v>660000</v>
      </c>
      <c r="T53">
        <v>680000</v>
      </c>
      <c r="U53">
        <v>0</v>
      </c>
      <c r="V53">
        <v>0</v>
      </c>
      <c r="W53">
        <v>680000</v>
      </c>
      <c r="X53">
        <v>0</v>
      </c>
      <c r="Y53">
        <v>680000</v>
      </c>
      <c r="Z53">
        <v>680000</v>
      </c>
      <c r="AA53">
        <v>44518</v>
      </c>
      <c r="AB53" t="str">
        <v>Q4 2021</v>
      </c>
      <c r="AC53">
        <v>44999</v>
      </c>
      <c r="AD53">
        <v>46843</v>
      </c>
      <c r="AE53" t="str">
        <v>Sandra Viegas</v>
      </c>
      <c r="AF53" t="str">
        <v>João Barra | José Guerreiro</v>
      </c>
      <c r="AG53">
        <v>0</v>
      </c>
      <c r="AH53">
        <v>0</v>
      </c>
      <c r="AI53">
        <v>0</v>
      </c>
      <c r="AJ53">
        <v>0</v>
      </c>
      <c r="AK53">
        <v>0</v>
      </c>
      <c r="AL53" t="str">
        <v>Palmares</v>
      </c>
    </row>
    <row r="54" spans="1:38" x14ac:dyDescent="0.3">
      <c r="A54" t="str">
        <v>Palmares - Signature Apartments</v>
      </c>
      <c r="B54" t="str">
        <v>Algarve</v>
      </c>
      <c r="C54" t="str">
        <v>816B</v>
      </c>
      <c r="D54">
        <v>0</v>
      </c>
      <c r="E54" t="str">
        <v>T1</v>
      </c>
      <c r="F54">
        <v>96.05</v>
      </c>
      <c r="G54">
        <v>0</v>
      </c>
      <c r="H54" t="str">
        <v>16+17</v>
      </c>
      <c r="I54" t="str">
        <v/>
      </c>
      <c r="J54">
        <v>0</v>
      </c>
      <c r="K54">
        <v>0</v>
      </c>
      <c r="L54">
        <v>0</v>
      </c>
      <c r="M54" s="79">
        <v>21.85</v>
      </c>
      <c r="N54">
        <v>0</v>
      </c>
      <c r="O54">
        <v>74.2</v>
      </c>
      <c r="P54">
        <v>0</v>
      </c>
      <c r="Q54" t="str">
        <v xml:space="preserve">PSPA </v>
      </c>
      <c r="R54">
        <v>650000</v>
      </c>
      <c r="S54">
        <v>650000</v>
      </c>
      <c r="T54">
        <v>680000</v>
      </c>
      <c r="U54">
        <v>0</v>
      </c>
      <c r="V54">
        <v>0</v>
      </c>
      <c r="W54">
        <v>680000</v>
      </c>
      <c r="X54">
        <v>0</v>
      </c>
      <c r="Y54">
        <v>680000</v>
      </c>
      <c r="Z54">
        <v>680000</v>
      </c>
      <c r="AA54">
        <v>44518</v>
      </c>
      <c r="AB54" t="str">
        <v>Q4 2021</v>
      </c>
      <c r="AC54">
        <v>45069</v>
      </c>
      <c r="AD54">
        <v>46843</v>
      </c>
      <c r="AE54" t="str">
        <v>Sandra Viegas</v>
      </c>
      <c r="AF54" t="str">
        <v>João Barra | José Guerreiro</v>
      </c>
      <c r="AG54">
        <v>0</v>
      </c>
      <c r="AH54">
        <v>0</v>
      </c>
      <c r="AI54">
        <v>0</v>
      </c>
      <c r="AJ54">
        <v>0</v>
      </c>
      <c r="AK54">
        <v>0</v>
      </c>
      <c r="AL54" t="str">
        <v>Palmares</v>
      </c>
    </row>
    <row r="55" spans="1:38" x14ac:dyDescent="0.3">
      <c r="A55" t="str">
        <v>Palmares - Signature Apartments</v>
      </c>
      <c r="B55" t="str">
        <v>Algarve</v>
      </c>
      <c r="C55" t="str">
        <v>818B (ACESS.)</v>
      </c>
      <c r="D55">
        <v>0</v>
      </c>
      <c r="E55" t="str">
        <v>T1</v>
      </c>
      <c r="F55">
        <v>117.1</v>
      </c>
      <c r="G55">
        <v>0</v>
      </c>
      <c r="H55" t="str">
        <v>87+88</v>
      </c>
      <c r="I55" t="str">
        <v/>
      </c>
      <c r="J55">
        <v>0</v>
      </c>
      <c r="K55">
        <v>0</v>
      </c>
      <c r="L55">
        <v>0</v>
      </c>
      <c r="M55" s="79">
        <v>48.05</v>
      </c>
      <c r="N55">
        <v>0</v>
      </c>
      <c r="O55">
        <v>69.05</v>
      </c>
      <c r="P55">
        <v>0</v>
      </c>
      <c r="Q55" t="str">
        <v xml:space="preserve">PSPA </v>
      </c>
      <c r="R55">
        <v>440000</v>
      </c>
      <c r="S55">
        <v>440000</v>
      </c>
      <c r="T55">
        <v>450000</v>
      </c>
      <c r="U55">
        <v>0</v>
      </c>
      <c r="V55">
        <v>0</v>
      </c>
      <c r="W55">
        <v>450000</v>
      </c>
      <c r="X55">
        <v>0</v>
      </c>
      <c r="Y55">
        <v>450000</v>
      </c>
      <c r="Z55">
        <v>450000</v>
      </c>
      <c r="AA55">
        <v>44518</v>
      </c>
      <c r="AB55" t="str">
        <v>Q4 2021</v>
      </c>
      <c r="AC55">
        <v>44974</v>
      </c>
      <c r="AD55">
        <v>46843</v>
      </c>
      <c r="AE55" t="str">
        <v>Sandra Viegas</v>
      </c>
      <c r="AF55" t="str">
        <v>João Barra | José Guerreiro</v>
      </c>
      <c r="AG55">
        <v>0</v>
      </c>
      <c r="AH55">
        <v>0</v>
      </c>
      <c r="AI55">
        <v>0</v>
      </c>
      <c r="AJ55">
        <v>0</v>
      </c>
      <c r="AK55">
        <v>0</v>
      </c>
      <c r="AL55" t="str">
        <v>Palmares</v>
      </c>
    </row>
    <row r="56" spans="1:38" x14ac:dyDescent="0.3">
      <c r="A56" t="str">
        <v>Palmares - Signature Apartments</v>
      </c>
      <c r="B56" t="str">
        <v>Algarve</v>
      </c>
      <c r="C56" t="str">
        <v>819B</v>
      </c>
      <c r="D56">
        <v>0</v>
      </c>
      <c r="E56" t="str">
        <v>T1</v>
      </c>
      <c r="F56">
        <v>81.349999999999994</v>
      </c>
      <c r="G56">
        <v>0</v>
      </c>
      <c r="H56" t="str">
        <v>20+21</v>
      </c>
      <c r="I56" t="str">
        <v/>
      </c>
      <c r="J56">
        <v>0</v>
      </c>
      <c r="K56">
        <v>0</v>
      </c>
      <c r="L56">
        <v>0</v>
      </c>
      <c r="M56" s="79">
        <v>16.95</v>
      </c>
      <c r="N56">
        <v>0</v>
      </c>
      <c r="O56">
        <v>64.400000000000006</v>
      </c>
      <c r="P56">
        <v>0</v>
      </c>
      <c r="Q56" t="str">
        <v xml:space="preserve">PSPA </v>
      </c>
      <c r="R56">
        <v>550000</v>
      </c>
      <c r="S56">
        <v>550000</v>
      </c>
      <c r="T56">
        <v>425000</v>
      </c>
      <c r="U56">
        <v>0</v>
      </c>
      <c r="V56">
        <v>0</v>
      </c>
      <c r="W56">
        <v>425000</v>
      </c>
      <c r="X56">
        <v>0</v>
      </c>
      <c r="Y56">
        <v>425000</v>
      </c>
      <c r="Z56">
        <v>425000</v>
      </c>
      <c r="AA56">
        <v>44518</v>
      </c>
      <c r="AB56" t="str">
        <v>Q4 2021</v>
      </c>
      <c r="AC56">
        <v>45110</v>
      </c>
      <c r="AD56">
        <v>46843</v>
      </c>
      <c r="AE56" t="str">
        <v>Sandra Viegas</v>
      </c>
      <c r="AF56" t="str">
        <v>João Barra | José Guerreiro</v>
      </c>
      <c r="AG56">
        <v>0</v>
      </c>
      <c r="AH56">
        <v>0</v>
      </c>
      <c r="AI56">
        <v>0</v>
      </c>
      <c r="AJ56">
        <v>0</v>
      </c>
      <c r="AK56">
        <v>0</v>
      </c>
      <c r="AL56" t="str">
        <v>Palmares</v>
      </c>
    </row>
    <row r="57" spans="1:38" x14ac:dyDescent="0.3">
      <c r="A57" t="str">
        <v>Palmares - Signature Apartments</v>
      </c>
      <c r="B57" t="str">
        <v>Algarve</v>
      </c>
      <c r="C57" t="str">
        <v>820B</v>
      </c>
      <c r="D57">
        <v>0</v>
      </c>
      <c r="E57" t="str">
        <v>T1</v>
      </c>
      <c r="F57">
        <v>99.7</v>
      </c>
      <c r="G57">
        <v>0</v>
      </c>
      <c r="H57" t="str">
        <v>85+86</v>
      </c>
      <c r="I57" t="str">
        <v/>
      </c>
      <c r="J57">
        <v>0</v>
      </c>
      <c r="K57">
        <v>0</v>
      </c>
      <c r="L57">
        <v>0</v>
      </c>
      <c r="M57" s="79">
        <v>28.6</v>
      </c>
      <c r="N57">
        <v>0</v>
      </c>
      <c r="O57">
        <v>71.099999999999994</v>
      </c>
      <c r="P57">
        <v>0</v>
      </c>
      <c r="Q57" t="str">
        <v xml:space="preserve">PSPA </v>
      </c>
      <c r="R57">
        <v>550000</v>
      </c>
      <c r="S57">
        <v>550000</v>
      </c>
      <c r="T57">
        <v>455000</v>
      </c>
      <c r="U57">
        <v>0</v>
      </c>
      <c r="V57">
        <v>0</v>
      </c>
      <c r="W57">
        <v>455000</v>
      </c>
      <c r="X57">
        <v>0</v>
      </c>
      <c r="Y57">
        <v>455000</v>
      </c>
      <c r="Z57">
        <v>455000</v>
      </c>
      <c r="AA57">
        <v>44518</v>
      </c>
      <c r="AB57" t="str">
        <v>Q4 2021</v>
      </c>
      <c r="AC57">
        <v>45079</v>
      </c>
      <c r="AD57">
        <v>46843</v>
      </c>
      <c r="AE57" t="str">
        <v>Sandra Viegas</v>
      </c>
      <c r="AF57" t="str">
        <v>João Barra | José Guerreiro</v>
      </c>
      <c r="AG57">
        <v>0</v>
      </c>
      <c r="AH57">
        <v>0</v>
      </c>
      <c r="AI57">
        <v>0</v>
      </c>
      <c r="AJ57">
        <v>0</v>
      </c>
      <c r="AK57">
        <v>0</v>
      </c>
      <c r="AL57" t="str">
        <v>Palmares</v>
      </c>
    </row>
    <row r="58" spans="1:38" x14ac:dyDescent="0.3">
      <c r="A58" t="str">
        <v>Palmares - Signature Apartments</v>
      </c>
      <c r="B58" t="str">
        <v>Algarve</v>
      </c>
      <c r="C58" t="str">
        <v>821B</v>
      </c>
      <c r="D58">
        <v>0</v>
      </c>
      <c r="E58" t="str">
        <v>T3 (T2+1)</v>
      </c>
      <c r="F58">
        <v>245.6</v>
      </c>
      <c r="G58">
        <v>0</v>
      </c>
      <c r="H58" t="str">
        <v>04+05</v>
      </c>
      <c r="I58" t="str">
        <v/>
      </c>
      <c r="J58">
        <v>0</v>
      </c>
      <c r="K58">
        <v>0</v>
      </c>
      <c r="L58">
        <v>0</v>
      </c>
      <c r="M58" s="79">
        <v>95.75</v>
      </c>
      <c r="N58">
        <v>0</v>
      </c>
      <c r="O58">
        <v>149.85</v>
      </c>
      <c r="P58">
        <v>0</v>
      </c>
      <c r="Q58" t="str">
        <v xml:space="preserve">PSPA </v>
      </c>
      <c r="R58">
        <v>680000</v>
      </c>
      <c r="S58">
        <v>680000</v>
      </c>
      <c r="T58">
        <v>1700000</v>
      </c>
      <c r="U58">
        <v>0</v>
      </c>
      <c r="V58">
        <v>0</v>
      </c>
      <c r="W58">
        <v>1700000</v>
      </c>
      <c r="X58">
        <v>0</v>
      </c>
      <c r="Y58">
        <v>1700000</v>
      </c>
      <c r="Z58">
        <v>1700000</v>
      </c>
      <c r="AA58">
        <v>44518</v>
      </c>
      <c r="AB58" t="str">
        <v>Q4 2021</v>
      </c>
      <c r="AC58">
        <v>45989</v>
      </c>
      <c r="AD58">
        <v>46843</v>
      </c>
      <c r="AE58" t="str">
        <v>Sandra Viegas</v>
      </c>
      <c r="AF58" t="str">
        <v>João Barra | José Guerreiro</v>
      </c>
      <c r="AG58">
        <v>0</v>
      </c>
      <c r="AH58">
        <v>0</v>
      </c>
      <c r="AI58">
        <v>0</v>
      </c>
      <c r="AJ58">
        <v>0</v>
      </c>
      <c r="AK58">
        <v>0</v>
      </c>
      <c r="AL58" t="str">
        <v>Palmares</v>
      </c>
    </row>
    <row r="59" spans="1:38" x14ac:dyDescent="0.3">
      <c r="A59" t="str">
        <v>Palmares - Signature Apartments</v>
      </c>
      <c r="B59" t="str">
        <v>Algarve</v>
      </c>
      <c r="C59" t="str">
        <v>822B</v>
      </c>
      <c r="D59">
        <v>0</v>
      </c>
      <c r="E59" t="str">
        <v>T3 Duplex</v>
      </c>
      <c r="F59">
        <v>223.65</v>
      </c>
      <c r="G59">
        <v>0</v>
      </c>
      <c r="H59" t="str">
        <v>22+23</v>
      </c>
      <c r="I59" t="str">
        <v/>
      </c>
      <c r="J59">
        <v>0</v>
      </c>
      <c r="K59">
        <v>0</v>
      </c>
      <c r="L59">
        <v>0</v>
      </c>
      <c r="M59" s="79">
        <v>73.95</v>
      </c>
      <c r="N59">
        <v>0</v>
      </c>
      <c r="O59">
        <v>149.69999999999999</v>
      </c>
      <c r="P59">
        <v>0</v>
      </c>
      <c r="Q59" t="str">
        <v xml:space="preserve">PSPA </v>
      </c>
      <c r="R59">
        <v>570000</v>
      </c>
      <c r="S59">
        <v>570000</v>
      </c>
      <c r="T59">
        <v>1550000</v>
      </c>
      <c r="U59">
        <v>0</v>
      </c>
      <c r="V59">
        <v>0</v>
      </c>
      <c r="W59">
        <v>1550000</v>
      </c>
      <c r="X59">
        <v>0</v>
      </c>
      <c r="Y59">
        <v>1550000</v>
      </c>
      <c r="Z59">
        <v>1550000</v>
      </c>
      <c r="AA59">
        <v>44518</v>
      </c>
      <c r="AB59" t="str">
        <v>Q4 2021</v>
      </c>
      <c r="AC59">
        <v>45002</v>
      </c>
      <c r="AD59">
        <v>46843</v>
      </c>
      <c r="AE59" t="str">
        <v>Sandra Viegas</v>
      </c>
      <c r="AF59" t="str">
        <v>João Barra | José Guerreiro</v>
      </c>
      <c r="AG59">
        <v>0</v>
      </c>
      <c r="AH59">
        <v>0</v>
      </c>
      <c r="AI59">
        <v>0</v>
      </c>
      <c r="AJ59">
        <v>0</v>
      </c>
      <c r="AK59">
        <v>0</v>
      </c>
      <c r="AL59" t="str">
        <v>Palmares</v>
      </c>
    </row>
    <row r="60" spans="1:38" x14ac:dyDescent="0.3">
      <c r="A60" t="str">
        <v>Palmares - Signature Apartments</v>
      </c>
      <c r="B60" t="str">
        <v>Algarve</v>
      </c>
      <c r="C60" t="str">
        <v>823B</v>
      </c>
      <c r="D60">
        <v>0</v>
      </c>
      <c r="E60" t="str">
        <v>T2</v>
      </c>
      <c r="F60">
        <v>156.55000000000001</v>
      </c>
      <c r="G60">
        <v>0</v>
      </c>
      <c r="H60" t="str">
        <v>24+25</v>
      </c>
      <c r="I60" t="str">
        <v/>
      </c>
      <c r="J60">
        <v>0</v>
      </c>
      <c r="K60">
        <v>0</v>
      </c>
      <c r="L60">
        <v>0</v>
      </c>
      <c r="M60" s="79">
        <v>35.950000000000003</v>
      </c>
      <c r="N60">
        <v>0</v>
      </c>
      <c r="O60">
        <v>120.6</v>
      </c>
      <c r="P60">
        <v>0</v>
      </c>
      <c r="Q60" t="str">
        <v xml:space="preserve">PSPA </v>
      </c>
      <c r="R60">
        <v>660000</v>
      </c>
      <c r="S60">
        <v>660000</v>
      </c>
      <c r="T60">
        <v>1200000</v>
      </c>
      <c r="U60">
        <v>0</v>
      </c>
      <c r="V60">
        <v>0</v>
      </c>
      <c r="W60">
        <v>1200000</v>
      </c>
      <c r="X60">
        <v>0</v>
      </c>
      <c r="Y60">
        <v>1200000</v>
      </c>
      <c r="Z60">
        <v>1200000</v>
      </c>
      <c r="AA60">
        <v>44518</v>
      </c>
      <c r="AB60" t="str">
        <v>Q4 2021</v>
      </c>
      <c r="AC60">
        <v>45037</v>
      </c>
      <c r="AD60">
        <v>46843</v>
      </c>
      <c r="AE60" t="str">
        <v>Sandra Viegas</v>
      </c>
      <c r="AF60" t="str">
        <v>João Barra | José Guerreiro</v>
      </c>
      <c r="AG60">
        <v>0</v>
      </c>
      <c r="AH60">
        <v>0</v>
      </c>
      <c r="AI60">
        <v>0</v>
      </c>
      <c r="AJ60">
        <v>0</v>
      </c>
      <c r="AK60">
        <v>0</v>
      </c>
      <c r="AL60" t="str">
        <v>Palmares</v>
      </c>
    </row>
    <row r="61" spans="1:38" x14ac:dyDescent="0.3">
      <c r="A61" t="str">
        <v>Palmares - Signature Apartments</v>
      </c>
      <c r="B61" t="str">
        <v>Algarve</v>
      </c>
      <c r="C61" t="str">
        <v>824B</v>
      </c>
      <c r="D61">
        <v>0</v>
      </c>
      <c r="E61" t="str">
        <v>T2</v>
      </c>
      <c r="F61">
        <v>160.5</v>
      </c>
      <c r="G61">
        <v>0</v>
      </c>
      <c r="H61" t="str">
        <v>26+27</v>
      </c>
      <c r="I61" t="str">
        <v/>
      </c>
      <c r="J61">
        <v>0</v>
      </c>
      <c r="K61">
        <v>0</v>
      </c>
      <c r="L61">
        <v>0</v>
      </c>
      <c r="M61" s="79">
        <v>38.700000000000003</v>
      </c>
      <c r="N61">
        <v>0</v>
      </c>
      <c r="O61">
        <v>121.8</v>
      </c>
      <c r="P61">
        <v>0</v>
      </c>
      <c r="Q61" t="str">
        <v xml:space="preserve">PSPA </v>
      </c>
      <c r="R61">
        <v>440000</v>
      </c>
      <c r="S61">
        <v>440000</v>
      </c>
      <c r="T61">
        <v>840000</v>
      </c>
      <c r="U61">
        <v>0</v>
      </c>
      <c r="V61">
        <v>0</v>
      </c>
      <c r="W61">
        <v>840000</v>
      </c>
      <c r="X61">
        <v>0</v>
      </c>
      <c r="Y61">
        <v>840000</v>
      </c>
      <c r="Z61">
        <v>840000</v>
      </c>
      <c r="AA61">
        <v>44518</v>
      </c>
      <c r="AB61" t="str">
        <v>Q4 2021</v>
      </c>
      <c r="AC61">
        <v>44967</v>
      </c>
      <c r="AD61">
        <v>46843</v>
      </c>
      <c r="AE61" t="str">
        <v>Sandra Viegas</v>
      </c>
      <c r="AF61" t="str">
        <v>João Barra | José Guerreiro</v>
      </c>
      <c r="AG61">
        <v>0</v>
      </c>
      <c r="AH61">
        <v>0</v>
      </c>
      <c r="AI61">
        <v>0</v>
      </c>
      <c r="AJ61">
        <v>0</v>
      </c>
      <c r="AK61">
        <v>0</v>
      </c>
      <c r="AL61" t="str">
        <v>Palmares</v>
      </c>
    </row>
    <row r="62" spans="1:38" x14ac:dyDescent="0.3">
      <c r="A62" t="str">
        <v>Palmares - Signature Apartments</v>
      </c>
      <c r="B62" t="str">
        <v>Algarve</v>
      </c>
      <c r="C62" t="str">
        <v>825B</v>
      </c>
      <c r="D62">
        <v>0</v>
      </c>
      <c r="E62" t="str">
        <v>T2</v>
      </c>
      <c r="F62">
        <v>158.30000000000001</v>
      </c>
      <c r="G62">
        <v>0</v>
      </c>
      <c r="H62" t="str">
        <v>28+29</v>
      </c>
      <c r="I62" t="str">
        <v/>
      </c>
      <c r="J62">
        <v>0</v>
      </c>
      <c r="K62">
        <v>0</v>
      </c>
      <c r="L62">
        <v>0</v>
      </c>
      <c r="M62" s="79">
        <v>36.799999999999997</v>
      </c>
      <c r="N62">
        <v>0</v>
      </c>
      <c r="O62">
        <v>121.5</v>
      </c>
      <c r="P62">
        <v>0</v>
      </c>
      <c r="Q62" t="str">
        <v xml:space="preserve">PSPA </v>
      </c>
      <c r="R62">
        <v>540000</v>
      </c>
      <c r="S62">
        <v>540000</v>
      </c>
      <c r="T62">
        <v>1100000</v>
      </c>
      <c r="U62">
        <v>0</v>
      </c>
      <c r="V62">
        <v>0</v>
      </c>
      <c r="W62">
        <v>1100000</v>
      </c>
      <c r="X62">
        <v>0</v>
      </c>
      <c r="Y62">
        <v>1100000</v>
      </c>
      <c r="Z62">
        <v>1100000</v>
      </c>
      <c r="AA62">
        <v>44518</v>
      </c>
      <c r="AB62" t="str">
        <v>Q4 2021</v>
      </c>
      <c r="AC62">
        <v>45069</v>
      </c>
      <c r="AD62">
        <v>46843</v>
      </c>
      <c r="AE62" t="str">
        <v>Sandra Viegas</v>
      </c>
      <c r="AF62" t="str">
        <v>João Barra | José Guerreiro</v>
      </c>
      <c r="AG62">
        <v>0</v>
      </c>
      <c r="AH62">
        <v>0</v>
      </c>
      <c r="AI62">
        <v>0</v>
      </c>
      <c r="AJ62">
        <v>0</v>
      </c>
      <c r="AK62">
        <v>0</v>
      </c>
      <c r="AL62" t="str">
        <v>Palmares</v>
      </c>
    </row>
    <row r="63" spans="1:38" x14ac:dyDescent="0.3">
      <c r="A63" t="str">
        <v>Palmares - Signature Apartments</v>
      </c>
      <c r="B63" t="str">
        <v>Algarve</v>
      </c>
      <c r="C63" t="str">
        <v>826B</v>
      </c>
      <c r="D63">
        <v>0</v>
      </c>
      <c r="E63" t="str">
        <v>T2</v>
      </c>
      <c r="F63">
        <v>158.30000000000001</v>
      </c>
      <c r="G63">
        <v>0</v>
      </c>
      <c r="H63" t="str">
        <v>30+31</v>
      </c>
      <c r="I63" t="str">
        <v/>
      </c>
      <c r="J63">
        <v>0</v>
      </c>
      <c r="K63">
        <v>0</v>
      </c>
      <c r="L63">
        <v>0</v>
      </c>
      <c r="M63" s="79">
        <v>36.799999999999997</v>
      </c>
      <c r="N63">
        <v>0</v>
      </c>
      <c r="O63">
        <v>121.5</v>
      </c>
      <c r="P63">
        <v>0</v>
      </c>
      <c r="Q63" t="str">
        <v xml:space="preserve">PSPA </v>
      </c>
      <c r="R63">
        <v>660000</v>
      </c>
      <c r="S63">
        <v>660000</v>
      </c>
      <c r="T63">
        <v>1000000</v>
      </c>
      <c r="U63">
        <v>0</v>
      </c>
      <c r="V63">
        <v>0</v>
      </c>
      <c r="W63">
        <v>1000000</v>
      </c>
      <c r="X63">
        <v>0</v>
      </c>
      <c r="Y63">
        <v>1000000</v>
      </c>
      <c r="Z63">
        <v>1000000</v>
      </c>
      <c r="AA63">
        <v>44518</v>
      </c>
      <c r="AB63" t="str">
        <v>Q4 2021</v>
      </c>
      <c r="AC63">
        <v>44988</v>
      </c>
      <c r="AD63">
        <v>46843</v>
      </c>
      <c r="AE63" t="str">
        <v>Sandra Viegas</v>
      </c>
      <c r="AF63" t="str">
        <v>João Barra | José Guerreiro</v>
      </c>
      <c r="AG63">
        <v>0</v>
      </c>
      <c r="AH63">
        <v>0</v>
      </c>
      <c r="AI63">
        <v>0</v>
      </c>
      <c r="AJ63">
        <v>0</v>
      </c>
      <c r="AK63">
        <v>0</v>
      </c>
      <c r="AL63" t="str">
        <v>Palmares</v>
      </c>
    </row>
    <row r="64" spans="1:38" x14ac:dyDescent="0.3">
      <c r="A64" t="str">
        <v>Palmares - Signature Apartments</v>
      </c>
      <c r="B64" t="str">
        <v>Algarve</v>
      </c>
      <c r="C64" t="str">
        <v>827B</v>
      </c>
      <c r="D64">
        <v>0</v>
      </c>
      <c r="E64" t="str">
        <v>T2</v>
      </c>
      <c r="F64">
        <v>158.30000000000001</v>
      </c>
      <c r="G64">
        <v>0</v>
      </c>
      <c r="H64" t="str">
        <v>40+41</v>
      </c>
      <c r="I64" t="str">
        <v/>
      </c>
      <c r="J64">
        <v>0</v>
      </c>
      <c r="K64">
        <v>0</v>
      </c>
      <c r="L64">
        <v>0</v>
      </c>
      <c r="M64" s="79">
        <v>36.799999999999997</v>
      </c>
      <c r="N64">
        <v>0</v>
      </c>
      <c r="O64">
        <v>121.5</v>
      </c>
      <c r="P64">
        <v>0</v>
      </c>
      <c r="Q64" t="str">
        <v xml:space="preserve">PSPA </v>
      </c>
      <c r="R64">
        <v>550000</v>
      </c>
      <c r="S64">
        <v>550000</v>
      </c>
      <c r="T64">
        <v>840000</v>
      </c>
      <c r="U64">
        <v>0</v>
      </c>
      <c r="V64">
        <v>0</v>
      </c>
      <c r="W64">
        <v>840000</v>
      </c>
      <c r="X64">
        <v>0</v>
      </c>
      <c r="Y64">
        <v>840000</v>
      </c>
      <c r="Z64">
        <v>840000</v>
      </c>
      <c r="AA64">
        <v>44518</v>
      </c>
      <c r="AB64" t="str">
        <v>Q4 2021</v>
      </c>
      <c r="AC64">
        <v>45079</v>
      </c>
      <c r="AD64">
        <v>46843</v>
      </c>
      <c r="AE64" t="str">
        <v>Sandra Viegas</v>
      </c>
      <c r="AF64" t="str">
        <v>João Barra | José Guerreiro</v>
      </c>
      <c r="AG64">
        <v>0</v>
      </c>
      <c r="AH64">
        <v>0</v>
      </c>
      <c r="AI64">
        <v>0</v>
      </c>
      <c r="AJ64">
        <v>0</v>
      </c>
      <c r="AK64">
        <v>0</v>
      </c>
      <c r="AL64" t="str">
        <v>Palmares</v>
      </c>
    </row>
    <row r="65" spans="1:38" x14ac:dyDescent="0.3">
      <c r="A65" t="str">
        <v>Palmares - Signature Apartments</v>
      </c>
      <c r="B65" t="str">
        <v>Algarve</v>
      </c>
      <c r="C65" t="str">
        <v>828B</v>
      </c>
      <c r="D65">
        <v>0</v>
      </c>
      <c r="E65" t="str">
        <v>T2</v>
      </c>
      <c r="F65">
        <v>158.30000000000001</v>
      </c>
      <c r="G65">
        <v>0</v>
      </c>
      <c r="H65" t="str">
        <v>42+43</v>
      </c>
      <c r="I65" t="str">
        <v/>
      </c>
      <c r="J65">
        <v>0</v>
      </c>
      <c r="K65">
        <v>0</v>
      </c>
      <c r="L65">
        <v>0</v>
      </c>
      <c r="M65" s="79">
        <v>36.799999999999997</v>
      </c>
      <c r="N65">
        <v>0</v>
      </c>
      <c r="O65">
        <v>121.5</v>
      </c>
      <c r="P65">
        <v>0</v>
      </c>
      <c r="Q65" t="str">
        <v xml:space="preserve">PSPA </v>
      </c>
      <c r="R65">
        <v>790000</v>
      </c>
      <c r="S65">
        <v>790000</v>
      </c>
      <c r="T65">
        <v>900000</v>
      </c>
      <c r="U65">
        <v>0</v>
      </c>
      <c r="V65">
        <v>0</v>
      </c>
      <c r="W65">
        <v>900000</v>
      </c>
      <c r="X65">
        <v>0</v>
      </c>
      <c r="Y65">
        <v>900000</v>
      </c>
      <c r="Z65">
        <v>900000</v>
      </c>
      <c r="AA65">
        <v>44518</v>
      </c>
      <c r="AB65" t="str">
        <v>Q4 2021</v>
      </c>
      <c r="AC65">
        <v>44956</v>
      </c>
      <c r="AD65">
        <v>46843</v>
      </c>
      <c r="AE65" t="str">
        <v>Sandra Viegas</v>
      </c>
      <c r="AF65" t="str">
        <v>João Barra | José Guerreiro</v>
      </c>
      <c r="AG65">
        <v>0</v>
      </c>
      <c r="AH65">
        <v>0</v>
      </c>
      <c r="AI65">
        <v>0</v>
      </c>
      <c r="AJ65">
        <v>0</v>
      </c>
      <c r="AK65">
        <v>0</v>
      </c>
      <c r="AL65" t="str">
        <v>Palmares</v>
      </c>
    </row>
    <row r="66" spans="1:38" x14ac:dyDescent="0.3">
      <c r="A66" t="str">
        <v>Palmares - Signature Apartments</v>
      </c>
      <c r="B66" t="str">
        <v>Algarve</v>
      </c>
      <c r="C66" t="str">
        <v>829B</v>
      </c>
      <c r="D66">
        <v>0</v>
      </c>
      <c r="E66" t="str">
        <v>T3 Duplex</v>
      </c>
      <c r="F66">
        <v>213.55</v>
      </c>
      <c r="G66">
        <v>0</v>
      </c>
      <c r="H66" t="str">
        <v>44+45</v>
      </c>
      <c r="I66" t="str">
        <v/>
      </c>
      <c r="J66">
        <v>0</v>
      </c>
      <c r="K66">
        <v>0</v>
      </c>
      <c r="L66">
        <v>0</v>
      </c>
      <c r="M66" s="79">
        <v>63.55</v>
      </c>
      <c r="N66">
        <v>0</v>
      </c>
      <c r="O66">
        <v>150</v>
      </c>
      <c r="P66">
        <v>0</v>
      </c>
      <c r="Q66" t="str">
        <v xml:space="preserve">PSPA </v>
      </c>
      <c r="R66">
        <v>650000</v>
      </c>
      <c r="S66">
        <v>650000</v>
      </c>
      <c r="T66">
        <v>1315000</v>
      </c>
      <c r="U66">
        <v>0</v>
      </c>
      <c r="V66">
        <v>0</v>
      </c>
      <c r="W66">
        <v>1315000</v>
      </c>
      <c r="X66">
        <v>0</v>
      </c>
      <c r="Y66">
        <v>1315000</v>
      </c>
      <c r="Z66">
        <v>1315000</v>
      </c>
      <c r="AA66">
        <v>44518</v>
      </c>
      <c r="AB66" t="str">
        <v>Q4 2021</v>
      </c>
      <c r="AC66">
        <v>45044</v>
      </c>
      <c r="AD66">
        <v>46843</v>
      </c>
      <c r="AE66" t="str">
        <v>Sandra Viegas</v>
      </c>
      <c r="AF66" t="str">
        <v>João Barra | José Guerreiro</v>
      </c>
      <c r="AG66">
        <v>0</v>
      </c>
      <c r="AH66">
        <v>0</v>
      </c>
      <c r="AI66">
        <v>0</v>
      </c>
      <c r="AJ66">
        <v>0</v>
      </c>
      <c r="AK66">
        <v>0</v>
      </c>
      <c r="AL66" t="str">
        <v>Palmares</v>
      </c>
    </row>
    <row r="67" spans="1:38" x14ac:dyDescent="0.3">
      <c r="A67" t="str">
        <v>Palmares - Signature Apartments</v>
      </c>
      <c r="B67" t="str">
        <v>Algarve</v>
      </c>
      <c r="C67" t="str">
        <v>830B</v>
      </c>
      <c r="D67">
        <v>0</v>
      </c>
      <c r="E67" t="str">
        <v>T3 (T2+1)</v>
      </c>
      <c r="F67">
        <v>283.3</v>
      </c>
      <c r="G67">
        <v>0</v>
      </c>
      <c r="H67" t="str">
        <v>46+47</v>
      </c>
      <c r="I67" t="str">
        <v/>
      </c>
      <c r="J67">
        <v>0</v>
      </c>
      <c r="K67">
        <v>0</v>
      </c>
      <c r="L67">
        <v>0</v>
      </c>
      <c r="M67" s="79">
        <v>133.65</v>
      </c>
      <c r="N67">
        <v>0</v>
      </c>
      <c r="O67">
        <v>149.65</v>
      </c>
      <c r="P67">
        <v>0</v>
      </c>
      <c r="Q67" t="str">
        <v xml:space="preserve">PSPA </v>
      </c>
      <c r="R67">
        <v>710000</v>
      </c>
      <c r="S67">
        <v>710000</v>
      </c>
      <c r="T67">
        <v>1350000</v>
      </c>
      <c r="U67">
        <v>0</v>
      </c>
      <c r="V67">
        <v>0</v>
      </c>
      <c r="W67">
        <v>1350000</v>
      </c>
      <c r="X67">
        <v>0</v>
      </c>
      <c r="Y67">
        <v>1350000</v>
      </c>
      <c r="Z67">
        <v>1350000</v>
      </c>
      <c r="AA67">
        <v>44518</v>
      </c>
      <c r="AB67" t="str">
        <v>Q4 2021</v>
      </c>
      <c r="AC67">
        <v>45148</v>
      </c>
      <c r="AD67">
        <v>46843</v>
      </c>
      <c r="AE67" t="str">
        <v>Sandra Viegas</v>
      </c>
      <c r="AF67" t="str">
        <v>João Barra | José Guerreiro</v>
      </c>
      <c r="AG67">
        <v>0</v>
      </c>
      <c r="AH67">
        <v>0</v>
      </c>
      <c r="AI67">
        <v>0</v>
      </c>
      <c r="AJ67">
        <v>0</v>
      </c>
      <c r="AK67">
        <v>0</v>
      </c>
      <c r="AL67" t="str">
        <v>Palmares</v>
      </c>
    </row>
    <row r="68" spans="1:38" x14ac:dyDescent="0.3">
      <c r="A68" t="str">
        <v>Palmares - Signature Apartments</v>
      </c>
      <c r="B68" t="str">
        <v>Algarve</v>
      </c>
      <c r="C68" t="str">
        <v>831B</v>
      </c>
      <c r="D68">
        <v>0</v>
      </c>
      <c r="E68" t="str">
        <v>T3 Duplex</v>
      </c>
      <c r="F68">
        <v>248.3</v>
      </c>
      <c r="G68">
        <v>0</v>
      </c>
      <c r="H68" t="str">
        <v>10+11</v>
      </c>
      <c r="I68" t="str">
        <v/>
      </c>
      <c r="J68">
        <v>0</v>
      </c>
      <c r="K68">
        <v>0</v>
      </c>
      <c r="L68">
        <v>0</v>
      </c>
      <c r="M68" s="79">
        <v>98.3</v>
      </c>
      <c r="N68">
        <v>0</v>
      </c>
      <c r="O68">
        <v>150</v>
      </c>
      <c r="P68">
        <v>0</v>
      </c>
      <c r="Q68" t="str">
        <v xml:space="preserve">PSPA </v>
      </c>
      <c r="R68">
        <v>440000</v>
      </c>
      <c r="S68">
        <v>440000</v>
      </c>
      <c r="T68">
        <v>1600000</v>
      </c>
      <c r="U68">
        <v>0</v>
      </c>
      <c r="V68">
        <v>0</v>
      </c>
      <c r="W68">
        <v>1600000</v>
      </c>
      <c r="X68">
        <v>0</v>
      </c>
      <c r="Y68">
        <v>1600000</v>
      </c>
      <c r="Z68">
        <v>1600000</v>
      </c>
      <c r="AA68">
        <v>44518</v>
      </c>
      <c r="AB68" t="str">
        <v>Q4 2021</v>
      </c>
      <c r="AC68">
        <v>44960</v>
      </c>
      <c r="AD68">
        <v>46843</v>
      </c>
      <c r="AE68" t="str">
        <v>Sandra Viegas</v>
      </c>
      <c r="AF68" t="str">
        <v>João Barra | José Guerreiro</v>
      </c>
      <c r="AG68">
        <v>0</v>
      </c>
      <c r="AH68">
        <v>0</v>
      </c>
      <c r="AI68">
        <v>0</v>
      </c>
      <c r="AJ68">
        <v>0</v>
      </c>
      <c r="AK68">
        <v>0</v>
      </c>
      <c r="AL68" t="str">
        <v>Palmares</v>
      </c>
    </row>
    <row r="69" spans="1:38" x14ac:dyDescent="0.3">
      <c r="A69" t="str">
        <v>Palmares - Signature Apartments</v>
      </c>
      <c r="B69" t="str">
        <v>Algarve</v>
      </c>
      <c r="C69" t="str">
        <v>833B</v>
      </c>
      <c r="D69">
        <v>0</v>
      </c>
      <c r="E69" t="str">
        <v>T2 (T1+1)</v>
      </c>
      <c r="F69">
        <v>153.1</v>
      </c>
      <c r="G69">
        <v>0</v>
      </c>
      <c r="H69" t="str">
        <v>06+07</v>
      </c>
      <c r="I69" t="str">
        <v/>
      </c>
      <c r="J69">
        <v>0</v>
      </c>
      <c r="K69">
        <v>0</v>
      </c>
      <c r="L69">
        <v>0</v>
      </c>
      <c r="M69" s="79">
        <v>39.85</v>
      </c>
      <c r="N69">
        <v>0</v>
      </c>
      <c r="O69">
        <v>113.25</v>
      </c>
      <c r="P69">
        <v>0</v>
      </c>
      <c r="Q69" t="str">
        <v xml:space="preserve">PSPA </v>
      </c>
      <c r="R69">
        <v>550000</v>
      </c>
      <c r="S69">
        <v>550000</v>
      </c>
      <c r="T69">
        <v>1400000</v>
      </c>
      <c r="U69">
        <v>0</v>
      </c>
      <c r="V69">
        <v>0</v>
      </c>
      <c r="W69">
        <v>1400000</v>
      </c>
      <c r="X69">
        <v>0</v>
      </c>
      <c r="Y69">
        <v>1400000</v>
      </c>
      <c r="Z69">
        <v>1400000</v>
      </c>
      <c r="AA69">
        <v>44518</v>
      </c>
      <c r="AB69" t="str">
        <v>Q4 2021</v>
      </c>
      <c r="AC69">
        <v>46176</v>
      </c>
      <c r="AD69">
        <v>46843</v>
      </c>
      <c r="AE69" t="str">
        <v>Sandra Viegas</v>
      </c>
      <c r="AF69" t="str">
        <v>João Barra | José Guerreiro</v>
      </c>
      <c r="AG69">
        <v>0</v>
      </c>
      <c r="AH69">
        <v>0</v>
      </c>
      <c r="AI69">
        <v>0</v>
      </c>
      <c r="AJ69">
        <v>0</v>
      </c>
      <c r="AK69">
        <v>0</v>
      </c>
      <c r="AL69" t="str">
        <v>Palmares</v>
      </c>
    </row>
    <row r="70" spans="1:38" x14ac:dyDescent="0.3">
      <c r="A70" t="str">
        <v>Palmares - Signature Apartments</v>
      </c>
      <c r="B70" t="str">
        <v>Algarve</v>
      </c>
      <c r="C70" t="str">
        <v>834B</v>
      </c>
      <c r="D70">
        <v>0</v>
      </c>
      <c r="E70" t="str">
        <v>T2 (T1+1)</v>
      </c>
      <c r="F70">
        <v>152.85</v>
      </c>
      <c r="G70">
        <v>0</v>
      </c>
      <c r="H70" t="str">
        <v>83+84</v>
      </c>
      <c r="I70" t="str">
        <v/>
      </c>
      <c r="J70">
        <v>0</v>
      </c>
      <c r="K70">
        <v>0</v>
      </c>
      <c r="L70">
        <v>0</v>
      </c>
      <c r="M70" s="79">
        <v>39.85</v>
      </c>
      <c r="N70">
        <v>0</v>
      </c>
      <c r="O70">
        <v>113</v>
      </c>
      <c r="P70">
        <v>0</v>
      </c>
      <c r="Q70" t="str">
        <v xml:space="preserve">PSPA </v>
      </c>
      <c r="R70">
        <v>550000</v>
      </c>
      <c r="S70">
        <v>550000</v>
      </c>
      <c r="T70">
        <v>812250</v>
      </c>
      <c r="U70">
        <v>0</v>
      </c>
      <c r="V70">
        <v>0</v>
      </c>
      <c r="W70">
        <v>812250</v>
      </c>
      <c r="X70">
        <v>0</v>
      </c>
      <c r="Y70">
        <v>812250</v>
      </c>
      <c r="Z70">
        <v>812250</v>
      </c>
      <c r="AA70">
        <v>44518</v>
      </c>
      <c r="AB70" t="str">
        <v>Q4 2021</v>
      </c>
      <c r="AC70">
        <v>45111</v>
      </c>
      <c r="AD70">
        <v>46843</v>
      </c>
      <c r="AE70" t="str">
        <v>Sandra Viegas</v>
      </c>
      <c r="AF70" t="str">
        <v>João Barra | José Guerreiro</v>
      </c>
      <c r="AG70">
        <v>0</v>
      </c>
      <c r="AH70">
        <v>0</v>
      </c>
      <c r="AI70">
        <v>0</v>
      </c>
      <c r="AJ70">
        <v>0</v>
      </c>
      <c r="AK70">
        <v>0</v>
      </c>
      <c r="AL70" t="str">
        <v>Palmares</v>
      </c>
    </row>
    <row r="71" spans="1:38" x14ac:dyDescent="0.3">
      <c r="A71" t="str">
        <v>Palmares - Signature Apartments</v>
      </c>
      <c r="B71" t="str">
        <v>Algarve</v>
      </c>
      <c r="C71" t="str">
        <v>842C</v>
      </c>
      <c r="D71">
        <v>0</v>
      </c>
      <c r="E71" t="str">
        <v>T2</v>
      </c>
      <c r="F71">
        <v>144.15</v>
      </c>
      <c r="G71">
        <v>0</v>
      </c>
      <c r="H71" t="str">
        <v>54+55</v>
      </c>
      <c r="I71" t="str">
        <v/>
      </c>
      <c r="J71">
        <v>0</v>
      </c>
      <c r="K71">
        <v>0</v>
      </c>
      <c r="L71">
        <v>0</v>
      </c>
      <c r="M71" s="79">
        <v>29.65</v>
      </c>
      <c r="N71">
        <v>0</v>
      </c>
      <c r="O71">
        <v>114.5</v>
      </c>
      <c r="P71">
        <v>0</v>
      </c>
      <c r="Q71" t="str">
        <v xml:space="preserve">PSPA </v>
      </c>
      <c r="R71">
        <v>710000</v>
      </c>
      <c r="S71">
        <v>710000</v>
      </c>
      <c r="T71">
        <v>950000</v>
      </c>
      <c r="U71">
        <v>0</v>
      </c>
      <c r="V71">
        <v>0</v>
      </c>
      <c r="W71">
        <v>950000</v>
      </c>
      <c r="X71">
        <v>0</v>
      </c>
      <c r="Y71">
        <v>950000</v>
      </c>
      <c r="Z71">
        <v>950000</v>
      </c>
      <c r="AA71">
        <v>44518</v>
      </c>
      <c r="AB71" t="str">
        <v>Q4 2021</v>
      </c>
      <c r="AC71">
        <v>45784</v>
      </c>
      <c r="AD71">
        <v>46843</v>
      </c>
      <c r="AE71" t="str">
        <v>Sandra Viegas</v>
      </c>
      <c r="AF71" t="str">
        <v>João Barra | José Guerreiro</v>
      </c>
      <c r="AG71">
        <v>0</v>
      </c>
      <c r="AH71">
        <v>0</v>
      </c>
      <c r="AI71">
        <v>0</v>
      </c>
      <c r="AJ71">
        <v>0</v>
      </c>
      <c r="AK71">
        <v>0</v>
      </c>
      <c r="AL71" t="str">
        <v>Palmares</v>
      </c>
    </row>
    <row r="72" spans="1:38" x14ac:dyDescent="0.3">
      <c r="A72" t="str">
        <v>Palmares - Signature Apartments</v>
      </c>
      <c r="B72" t="str">
        <v>Algarve</v>
      </c>
      <c r="C72" t="str">
        <v>844C</v>
      </c>
      <c r="D72">
        <v>0</v>
      </c>
      <c r="E72" t="str">
        <v>T2</v>
      </c>
      <c r="F72">
        <v>144.94999999999999</v>
      </c>
      <c r="G72">
        <v>0</v>
      </c>
      <c r="H72" t="str">
        <v>50+51</v>
      </c>
      <c r="I72" t="str">
        <v/>
      </c>
      <c r="J72">
        <v>0</v>
      </c>
      <c r="K72">
        <v>0</v>
      </c>
      <c r="L72">
        <v>0</v>
      </c>
      <c r="M72" s="79">
        <v>29.65</v>
      </c>
      <c r="N72">
        <v>0</v>
      </c>
      <c r="O72">
        <v>115.3</v>
      </c>
      <c r="P72">
        <v>0</v>
      </c>
      <c r="Q72" t="str">
        <v xml:space="preserve">PSPA </v>
      </c>
      <c r="R72">
        <v>540000</v>
      </c>
      <c r="S72">
        <v>540000</v>
      </c>
      <c r="T72">
        <v>850000</v>
      </c>
      <c r="U72">
        <v>0</v>
      </c>
      <c r="V72">
        <v>0</v>
      </c>
      <c r="W72">
        <v>850000</v>
      </c>
      <c r="X72">
        <v>0</v>
      </c>
      <c r="Y72">
        <v>850000</v>
      </c>
      <c r="Z72">
        <v>850000</v>
      </c>
      <c r="AA72">
        <v>44518</v>
      </c>
      <c r="AB72" t="str">
        <v>Q4 2021</v>
      </c>
      <c r="AC72">
        <v>45099</v>
      </c>
      <c r="AD72">
        <v>46843</v>
      </c>
      <c r="AE72" t="str">
        <v>Sandra Viegas</v>
      </c>
      <c r="AF72" t="str">
        <v>João Barra | José Guerreiro</v>
      </c>
      <c r="AG72">
        <v>0</v>
      </c>
      <c r="AH72">
        <v>0</v>
      </c>
      <c r="AI72">
        <v>0</v>
      </c>
      <c r="AJ72">
        <v>0</v>
      </c>
      <c r="AK72">
        <v>0</v>
      </c>
      <c r="AL72" t="str">
        <v>Palmares</v>
      </c>
    </row>
    <row r="73" spans="1:38" x14ac:dyDescent="0.3">
      <c r="A73" t="str">
        <v>Palmares - Signature Apartments</v>
      </c>
      <c r="B73" t="str">
        <v>Algarve</v>
      </c>
      <c r="C73" t="str">
        <v>832B</v>
      </c>
      <c r="D73">
        <v>0</v>
      </c>
      <c r="E73" t="str">
        <v>T2 (T1+1)</v>
      </c>
      <c r="F73">
        <v>165.75</v>
      </c>
      <c r="G73">
        <v>0</v>
      </c>
      <c r="H73" t="str">
        <v>08+09</v>
      </c>
      <c r="I73" t="str">
        <v/>
      </c>
      <c r="J73">
        <v>0</v>
      </c>
      <c r="K73">
        <v>0</v>
      </c>
      <c r="L73">
        <v>0</v>
      </c>
      <c r="M73" s="79">
        <v>52.25</v>
      </c>
      <c r="N73">
        <v>0</v>
      </c>
      <c r="O73">
        <v>113.5</v>
      </c>
      <c r="P73">
        <v>0</v>
      </c>
      <c r="Q73" t="str">
        <v xml:space="preserve">PSPA </v>
      </c>
      <c r="R73">
        <v>470000</v>
      </c>
      <c r="S73">
        <v>470000</v>
      </c>
      <c r="T73">
        <v>1400000</v>
      </c>
      <c r="U73">
        <v>0</v>
      </c>
      <c r="V73">
        <v>0</v>
      </c>
      <c r="W73">
        <v>1400000</v>
      </c>
      <c r="X73">
        <v>7.1428571428571201E-3</v>
      </c>
      <c r="Y73">
        <v>1390000</v>
      </c>
      <c r="Z73">
        <v>1390000</v>
      </c>
      <c r="AA73">
        <v>44518</v>
      </c>
      <c r="AB73" t="str">
        <v>Q4 2021</v>
      </c>
      <c r="AC73">
        <v>45714</v>
      </c>
      <c r="AD73">
        <v>46843</v>
      </c>
      <c r="AE73" t="str">
        <v>Sandra Viegas</v>
      </c>
      <c r="AF73" t="str">
        <v>João Barra | José Guerreiro</v>
      </c>
      <c r="AG73">
        <v>0</v>
      </c>
      <c r="AH73">
        <v>0</v>
      </c>
      <c r="AI73">
        <v>0</v>
      </c>
      <c r="AJ73">
        <v>0</v>
      </c>
      <c r="AK73">
        <v>0</v>
      </c>
      <c r="AL73" t="str">
        <v>Palmares</v>
      </c>
    </row>
    <row r="74" spans="1:38" x14ac:dyDescent="0.3">
      <c r="A74" t="str">
        <v>Palmares - Signature Apartments</v>
      </c>
      <c r="B74" t="str">
        <v>Algarve</v>
      </c>
      <c r="C74" t="str">
        <v>835B</v>
      </c>
      <c r="D74">
        <v>0</v>
      </c>
      <c r="E74" t="str">
        <v>T3 Duplex</v>
      </c>
      <c r="F74">
        <v>211.3</v>
      </c>
      <c r="G74">
        <v>0</v>
      </c>
      <c r="H74" t="str">
        <v>56+57</v>
      </c>
      <c r="I74" t="str">
        <v/>
      </c>
      <c r="J74">
        <v>0</v>
      </c>
      <c r="K74" s="113">
        <v>0</v>
      </c>
      <c r="L74" s="78">
        <v>0</v>
      </c>
      <c r="M74" s="79">
        <v>62.7</v>
      </c>
      <c r="N74">
        <v>0</v>
      </c>
      <c r="O74">
        <v>148.6</v>
      </c>
      <c r="P74">
        <v>0</v>
      </c>
      <c r="Q74" t="str">
        <v xml:space="preserve">PSPA </v>
      </c>
      <c r="R74">
        <v>540000</v>
      </c>
      <c r="S74">
        <v>540000</v>
      </c>
      <c r="T74">
        <v>1600000</v>
      </c>
      <c r="U74">
        <v>0</v>
      </c>
      <c r="V74">
        <v>0</v>
      </c>
      <c r="W74">
        <v>1600000</v>
      </c>
      <c r="X74">
        <v>4.6875E-2</v>
      </c>
      <c r="Y74">
        <v>1525000</v>
      </c>
      <c r="Z74">
        <v>1525000</v>
      </c>
      <c r="AA74">
        <v>44518</v>
      </c>
      <c r="AB74" t="str">
        <v>Q4 2021</v>
      </c>
      <c r="AC74">
        <v>45863</v>
      </c>
      <c r="AD74">
        <v>46843</v>
      </c>
      <c r="AE74" t="str">
        <v>Sandra Viegas</v>
      </c>
      <c r="AF74" t="str">
        <v>João Barra | José Guerreiro</v>
      </c>
      <c r="AG74">
        <v>0</v>
      </c>
      <c r="AH74">
        <v>0</v>
      </c>
      <c r="AI74">
        <v>0</v>
      </c>
      <c r="AJ74">
        <v>0</v>
      </c>
      <c r="AK74">
        <v>0</v>
      </c>
      <c r="AL74" t="str">
        <v>Palmares</v>
      </c>
    </row>
    <row r="75" spans="1:38" x14ac:dyDescent="0.3">
      <c r="A75" t="str">
        <v>Palmares - Signature Apartments</v>
      </c>
      <c r="B75" t="str">
        <v>Algarve</v>
      </c>
      <c r="C75" t="str">
        <v>836C</v>
      </c>
      <c r="D75">
        <v>0</v>
      </c>
      <c r="E75" t="str">
        <v>T1</v>
      </c>
      <c r="F75">
        <v>101.15</v>
      </c>
      <c r="G75">
        <v>0</v>
      </c>
      <c r="H75" t="str">
        <v>48+49</v>
      </c>
      <c r="I75" t="str">
        <v/>
      </c>
      <c r="J75">
        <v>0</v>
      </c>
      <c r="K75">
        <v>0</v>
      </c>
      <c r="L75">
        <v>0</v>
      </c>
      <c r="M75" s="79">
        <v>18.100000000000001</v>
      </c>
      <c r="N75">
        <v>0</v>
      </c>
      <c r="O75">
        <v>83.05</v>
      </c>
      <c r="P75">
        <v>0</v>
      </c>
      <c r="Q75" t="str">
        <v xml:space="preserve">PSPA </v>
      </c>
      <c r="R75">
        <v>540000</v>
      </c>
      <c r="S75">
        <v>540000</v>
      </c>
      <c r="T75">
        <v>650000</v>
      </c>
      <c r="U75">
        <v>0</v>
      </c>
      <c r="V75">
        <v>0</v>
      </c>
      <c r="W75">
        <v>650000</v>
      </c>
      <c r="X75">
        <v>7.69230769230769E-2</v>
      </c>
      <c r="Y75">
        <v>600000</v>
      </c>
      <c r="Z75">
        <v>600000</v>
      </c>
      <c r="AA75">
        <v>44518</v>
      </c>
      <c r="AB75" t="str">
        <v>Q4 2021</v>
      </c>
      <c r="AC75">
        <v>46192</v>
      </c>
      <c r="AD75">
        <v>46843</v>
      </c>
      <c r="AE75" t="str">
        <v>Sandra Viegas</v>
      </c>
      <c r="AF75" t="str">
        <v>João Barra | José Guerreiro</v>
      </c>
      <c r="AG75">
        <v>0</v>
      </c>
      <c r="AH75">
        <v>0</v>
      </c>
      <c r="AI75">
        <v>0</v>
      </c>
      <c r="AJ75">
        <v>0</v>
      </c>
      <c r="AK75">
        <v>0</v>
      </c>
      <c r="AL75" t="str">
        <v>Palmares</v>
      </c>
    </row>
    <row r="76" spans="1:38" x14ac:dyDescent="0.3">
      <c r="A76" t="str">
        <v>Palmares - Signature Apartments</v>
      </c>
      <c r="B76" t="str">
        <v>Algarve</v>
      </c>
      <c r="C76" t="str">
        <v>803A</v>
      </c>
      <c r="D76">
        <v>0</v>
      </c>
      <c r="E76" t="str">
        <v>T2 (T1+1) Duplex</v>
      </c>
      <c r="F76">
        <v>173.95</v>
      </c>
      <c r="G76">
        <v>0</v>
      </c>
      <c r="H76" t="str">
        <v>67+68</v>
      </c>
      <c r="I76" t="str">
        <v/>
      </c>
      <c r="J76">
        <v>0</v>
      </c>
      <c r="K76">
        <v>0</v>
      </c>
      <c r="L76">
        <v>0</v>
      </c>
      <c r="M76" s="79">
        <v>48.4</v>
      </c>
      <c r="N76">
        <v>0</v>
      </c>
      <c r="O76">
        <v>125.55</v>
      </c>
      <c r="P76">
        <v>0</v>
      </c>
      <c r="Q76" t="str">
        <v>AVAILABLE</v>
      </c>
      <c r="R76">
        <v>440000</v>
      </c>
      <c r="S76">
        <v>440000</v>
      </c>
      <c r="T76">
        <v>1100000</v>
      </c>
      <c r="U76">
        <v>0</v>
      </c>
      <c r="V76">
        <v>0</v>
      </c>
      <c r="W76">
        <v>1100000</v>
      </c>
      <c r="X76">
        <v>0</v>
      </c>
      <c r="Y76">
        <v>1100000</v>
      </c>
      <c r="Z76">
        <v>1100000</v>
      </c>
      <c r="AA76">
        <v>44518</v>
      </c>
      <c r="AB76" t="str">
        <v>Q4 2021</v>
      </c>
      <c r="AC76">
        <v>0</v>
      </c>
      <c r="AD76">
        <v>46843</v>
      </c>
      <c r="AE76" t="str">
        <v>Sandra Viegas</v>
      </c>
      <c r="AF76" t="str">
        <v>João Barra | José Guerreiro</v>
      </c>
      <c r="AG76">
        <v>0</v>
      </c>
      <c r="AH76">
        <v>0</v>
      </c>
      <c r="AI76">
        <v>0</v>
      </c>
      <c r="AJ76">
        <v>0</v>
      </c>
      <c r="AK76">
        <v>0</v>
      </c>
      <c r="AL76" t="str">
        <v>Palmares</v>
      </c>
    </row>
    <row r="77" spans="1:38" x14ac:dyDescent="0.3">
      <c r="A77" t="str">
        <v>Palmares - Signature Apartments</v>
      </c>
      <c r="B77" t="str">
        <v>Algarve</v>
      </c>
      <c r="C77" t="str">
        <v>805A</v>
      </c>
      <c r="D77">
        <v>0</v>
      </c>
      <c r="E77" t="str">
        <v>T2 (T1+1) Duplex</v>
      </c>
      <c r="F77">
        <v>173.95</v>
      </c>
      <c r="G77">
        <v>0</v>
      </c>
      <c r="H77" t="str">
        <v>63+64</v>
      </c>
      <c r="I77" t="str">
        <v/>
      </c>
      <c r="J77">
        <v>0</v>
      </c>
      <c r="K77">
        <v>0</v>
      </c>
      <c r="L77">
        <v>0</v>
      </c>
      <c r="M77" s="79">
        <v>48.4</v>
      </c>
      <c r="N77">
        <v>0</v>
      </c>
      <c r="O77">
        <v>125.55</v>
      </c>
      <c r="P77">
        <v>0</v>
      </c>
      <c r="Q77" t="str">
        <v>AVAILABLE</v>
      </c>
      <c r="R77">
        <v>660000</v>
      </c>
      <c r="S77">
        <v>660000</v>
      </c>
      <c r="T77">
        <v>1100000</v>
      </c>
      <c r="U77">
        <v>0</v>
      </c>
      <c r="V77">
        <v>0</v>
      </c>
      <c r="W77">
        <v>1100000</v>
      </c>
      <c r="X77">
        <v>0</v>
      </c>
      <c r="Y77">
        <v>1100000</v>
      </c>
      <c r="Z77">
        <v>1100000</v>
      </c>
      <c r="AA77">
        <v>44518</v>
      </c>
      <c r="AB77" t="str">
        <v>Q4 2021</v>
      </c>
      <c r="AC77">
        <v>0</v>
      </c>
      <c r="AD77">
        <v>46843</v>
      </c>
      <c r="AE77" t="str">
        <v>Sandra Viegas</v>
      </c>
      <c r="AF77" t="str">
        <v>João Barra | José Guerreiro</v>
      </c>
      <c r="AG77">
        <v>0</v>
      </c>
      <c r="AH77">
        <v>0</v>
      </c>
      <c r="AI77">
        <v>0</v>
      </c>
      <c r="AJ77">
        <v>0</v>
      </c>
      <c r="AK77">
        <v>0</v>
      </c>
      <c r="AL77" t="str">
        <v>Palmares</v>
      </c>
    </row>
    <row r="78" spans="1:38" x14ac:dyDescent="0.3">
      <c r="A78" t="str">
        <v>Palmares - Signature Apartments</v>
      </c>
      <c r="B78" t="str">
        <v>Algarve</v>
      </c>
      <c r="C78" t="str">
        <v>809A</v>
      </c>
      <c r="D78">
        <v>0</v>
      </c>
      <c r="E78" t="str">
        <v>T2 (T1+1) Duplex</v>
      </c>
      <c r="F78">
        <v>171.55</v>
      </c>
      <c r="G78">
        <v>0</v>
      </c>
      <c r="H78" t="str">
        <v>02+03</v>
      </c>
      <c r="I78" t="str">
        <v/>
      </c>
      <c r="J78">
        <v>0</v>
      </c>
      <c r="K78">
        <v>0</v>
      </c>
      <c r="L78">
        <v>0</v>
      </c>
      <c r="M78" s="79">
        <v>46</v>
      </c>
      <c r="N78">
        <v>0</v>
      </c>
      <c r="O78">
        <v>125.55</v>
      </c>
      <c r="P78">
        <v>0</v>
      </c>
      <c r="Q78" t="str">
        <v>AVAILABLE</v>
      </c>
      <c r="R78">
        <v>550000</v>
      </c>
      <c r="S78">
        <v>550000</v>
      </c>
      <c r="T78">
        <v>1200000</v>
      </c>
      <c r="U78">
        <v>0</v>
      </c>
      <c r="V78">
        <v>0</v>
      </c>
      <c r="W78">
        <v>1200000</v>
      </c>
      <c r="X78">
        <v>0</v>
      </c>
      <c r="Y78">
        <v>1200000</v>
      </c>
      <c r="Z78">
        <v>1200000</v>
      </c>
      <c r="AA78">
        <v>44518</v>
      </c>
      <c r="AB78" t="str">
        <v>Q4 2021</v>
      </c>
      <c r="AC78">
        <v>0</v>
      </c>
      <c r="AD78">
        <v>46843</v>
      </c>
      <c r="AE78" t="str">
        <v>Sandra Viegas</v>
      </c>
      <c r="AF78" t="str">
        <v>João Barra | José Guerreiro</v>
      </c>
      <c r="AG78">
        <v>0</v>
      </c>
      <c r="AH78">
        <v>0</v>
      </c>
      <c r="AI78">
        <v>0</v>
      </c>
      <c r="AJ78">
        <v>0</v>
      </c>
      <c r="AK78">
        <v>0</v>
      </c>
      <c r="AL78" t="str">
        <v>Palmares</v>
      </c>
    </row>
    <row r="79" spans="1:38" x14ac:dyDescent="0.3">
      <c r="A79" t="str">
        <v>Palmares - Signature Apartments</v>
      </c>
      <c r="B79" t="str">
        <v>Algarve</v>
      </c>
      <c r="C79" t="str">
        <v>810B</v>
      </c>
      <c r="D79">
        <v>0</v>
      </c>
      <c r="E79" t="str">
        <v>T1</v>
      </c>
      <c r="F79">
        <v>102.95</v>
      </c>
      <c r="G79">
        <v>0</v>
      </c>
      <c r="H79" t="str">
        <v>32+33</v>
      </c>
      <c r="I79" t="str">
        <v/>
      </c>
      <c r="J79">
        <v>0</v>
      </c>
      <c r="K79">
        <v>0</v>
      </c>
      <c r="L79">
        <v>0</v>
      </c>
      <c r="M79" s="79">
        <v>29.95</v>
      </c>
      <c r="N79">
        <v>0</v>
      </c>
      <c r="O79">
        <v>73</v>
      </c>
      <c r="P79">
        <v>0</v>
      </c>
      <c r="Q79" t="str">
        <v>AVAILABLE</v>
      </c>
      <c r="R79">
        <v>725000</v>
      </c>
      <c r="S79">
        <v>725000</v>
      </c>
      <c r="T79">
        <v>700000</v>
      </c>
      <c r="U79">
        <v>0</v>
      </c>
      <c r="V79">
        <v>0</v>
      </c>
      <c r="W79">
        <v>700000</v>
      </c>
      <c r="X79">
        <v>0</v>
      </c>
      <c r="Y79">
        <v>700000</v>
      </c>
      <c r="Z79">
        <v>700000</v>
      </c>
      <c r="AA79">
        <v>44518</v>
      </c>
      <c r="AB79" t="str">
        <v>Q4 2021</v>
      </c>
      <c r="AC79">
        <v>0</v>
      </c>
      <c r="AD79">
        <v>46843</v>
      </c>
      <c r="AE79" t="str">
        <v>Sandra Viegas</v>
      </c>
      <c r="AF79" t="str">
        <v>João Barra | José Guerreiro</v>
      </c>
      <c r="AG79">
        <v>0</v>
      </c>
      <c r="AH79">
        <v>0</v>
      </c>
      <c r="AI79">
        <v>0</v>
      </c>
      <c r="AJ79">
        <v>0</v>
      </c>
      <c r="AK79">
        <v>0</v>
      </c>
      <c r="AL79" t="str">
        <v>Palmares</v>
      </c>
    </row>
    <row r="80" spans="1:38" x14ac:dyDescent="0.3">
      <c r="A80" t="str">
        <v>Palmares - Signature Apartments</v>
      </c>
      <c r="B80" t="str">
        <v>Algarve</v>
      </c>
      <c r="C80" t="str">
        <v>812B</v>
      </c>
      <c r="D80">
        <v>0</v>
      </c>
      <c r="E80" t="str">
        <v>T1</v>
      </c>
      <c r="F80">
        <v>92.95</v>
      </c>
      <c r="G80">
        <v>0</v>
      </c>
      <c r="H80" t="str">
        <v>36+37</v>
      </c>
      <c r="I80" t="str">
        <v/>
      </c>
      <c r="J80">
        <v>0</v>
      </c>
      <c r="K80">
        <v>0</v>
      </c>
      <c r="L80">
        <v>0</v>
      </c>
      <c r="M80" s="79">
        <v>20.95</v>
      </c>
      <c r="N80">
        <v>0</v>
      </c>
      <c r="O80">
        <v>72</v>
      </c>
      <c r="P80">
        <v>0</v>
      </c>
      <c r="Q80" t="str">
        <v>AVAILABLE</v>
      </c>
      <c r="R80">
        <v>700000</v>
      </c>
      <c r="S80">
        <v>700000</v>
      </c>
      <c r="T80">
        <v>700000</v>
      </c>
      <c r="U80">
        <v>0</v>
      </c>
      <c r="V80">
        <v>0</v>
      </c>
      <c r="W80">
        <v>700000</v>
      </c>
      <c r="X80">
        <v>0</v>
      </c>
      <c r="Y80">
        <v>630000</v>
      </c>
      <c r="Z80">
        <v>630000</v>
      </c>
      <c r="AA80">
        <v>44518</v>
      </c>
      <c r="AB80" t="str">
        <v>Q4 2021</v>
      </c>
      <c r="AC80">
        <v>0</v>
      </c>
      <c r="AD80">
        <v>46843</v>
      </c>
      <c r="AE80" t="str">
        <v>Sandra Viegas</v>
      </c>
      <c r="AF80" t="str">
        <v>João Barra | José Guerreiro</v>
      </c>
      <c r="AG80">
        <v>0</v>
      </c>
      <c r="AH80">
        <v>0</v>
      </c>
      <c r="AI80">
        <v>0</v>
      </c>
      <c r="AJ80">
        <v>0</v>
      </c>
      <c r="AK80">
        <v>0</v>
      </c>
      <c r="AL80" t="str">
        <v>Palmares</v>
      </c>
    </row>
    <row r="81" spans="1:38" x14ac:dyDescent="0.3">
      <c r="A81" t="str">
        <v>Palmares - Signature Apartments</v>
      </c>
      <c r="B81" t="str">
        <v>Algarve</v>
      </c>
      <c r="C81" t="str">
        <v>817B</v>
      </c>
      <c r="D81">
        <v>0</v>
      </c>
      <c r="E81" t="str">
        <v>T1</v>
      </c>
      <c r="F81">
        <v>96.95</v>
      </c>
      <c r="G81">
        <v>0</v>
      </c>
      <c r="H81" t="str">
        <v>18+19</v>
      </c>
      <c r="I81" t="str">
        <v/>
      </c>
      <c r="J81">
        <v>0</v>
      </c>
      <c r="K81">
        <v>0</v>
      </c>
      <c r="L81">
        <v>0</v>
      </c>
      <c r="M81" s="79">
        <v>21.85</v>
      </c>
      <c r="N81">
        <v>0</v>
      </c>
      <c r="O81">
        <v>75.099999999999994</v>
      </c>
      <c r="P81">
        <v>0</v>
      </c>
      <c r="Q81" t="str">
        <v>AVAILABLE</v>
      </c>
      <c r="R81">
        <v>660000</v>
      </c>
      <c r="S81">
        <v>660000</v>
      </c>
      <c r="T81">
        <v>690000</v>
      </c>
      <c r="U81">
        <v>0</v>
      </c>
      <c r="V81">
        <v>0</v>
      </c>
      <c r="W81">
        <v>690000</v>
      </c>
      <c r="X81">
        <v>0</v>
      </c>
      <c r="Y81">
        <v>690000</v>
      </c>
      <c r="Z81">
        <v>690000</v>
      </c>
      <c r="AA81">
        <v>44518</v>
      </c>
      <c r="AB81" t="str">
        <v>Q4 2021</v>
      </c>
      <c r="AC81">
        <v>0</v>
      </c>
      <c r="AD81">
        <v>46843</v>
      </c>
      <c r="AE81" t="str">
        <v>Sandra Viegas</v>
      </c>
      <c r="AF81" t="str">
        <v>João Barra | José Guerreiro</v>
      </c>
      <c r="AG81">
        <v>0</v>
      </c>
      <c r="AH81">
        <v>0</v>
      </c>
      <c r="AI81">
        <v>0</v>
      </c>
      <c r="AJ81">
        <v>0</v>
      </c>
      <c r="AK81">
        <v>0</v>
      </c>
      <c r="AL81" t="str">
        <v>Palmares</v>
      </c>
    </row>
    <row r="82" spans="1:38" x14ac:dyDescent="0.3">
      <c r="A82" t="str">
        <v>Palmares - Signature Apartments</v>
      </c>
      <c r="B82" t="str">
        <v>Algarve</v>
      </c>
      <c r="C82" t="str">
        <v>837C</v>
      </c>
      <c r="D82">
        <v>0</v>
      </c>
      <c r="E82" t="str">
        <v>T1</v>
      </c>
      <c r="F82">
        <v>91.7</v>
      </c>
      <c r="G82">
        <v>0</v>
      </c>
      <c r="H82" t="str">
        <v>73+74</v>
      </c>
      <c r="I82" t="str">
        <v/>
      </c>
      <c r="J82">
        <v>0</v>
      </c>
      <c r="K82">
        <v>0</v>
      </c>
      <c r="L82">
        <v>0</v>
      </c>
      <c r="M82" s="79">
        <v>19.7</v>
      </c>
      <c r="N82">
        <v>0</v>
      </c>
      <c r="O82">
        <v>72</v>
      </c>
      <c r="P82">
        <v>0</v>
      </c>
      <c r="Q82" t="str">
        <v>AVAILABLE</v>
      </c>
      <c r="R82">
        <v>550000</v>
      </c>
      <c r="S82">
        <v>550000</v>
      </c>
      <c r="T82">
        <v>600000</v>
      </c>
      <c r="U82">
        <v>0</v>
      </c>
      <c r="V82">
        <v>0</v>
      </c>
      <c r="W82">
        <v>600000</v>
      </c>
      <c r="X82">
        <v>0</v>
      </c>
      <c r="Y82">
        <v>600000</v>
      </c>
      <c r="Z82">
        <v>600000</v>
      </c>
      <c r="AA82">
        <v>44518</v>
      </c>
      <c r="AB82" t="str">
        <v>Q4 2021</v>
      </c>
      <c r="AC82">
        <v>0</v>
      </c>
      <c r="AD82">
        <v>46843</v>
      </c>
      <c r="AE82" t="str">
        <v>Sandra Viegas</v>
      </c>
      <c r="AF82" t="str">
        <v>João Barra | José Guerreiro</v>
      </c>
      <c r="AG82">
        <v>0</v>
      </c>
      <c r="AH82">
        <v>0</v>
      </c>
      <c r="AI82">
        <v>0</v>
      </c>
      <c r="AJ82">
        <v>0</v>
      </c>
      <c r="AK82">
        <v>0</v>
      </c>
      <c r="AL82" t="str">
        <v>Palmares</v>
      </c>
    </row>
    <row r="83" spans="1:38" x14ac:dyDescent="0.3">
      <c r="A83" t="str">
        <v>Palmares - Signature Apartments</v>
      </c>
      <c r="B83" t="str">
        <v>Algarve</v>
      </c>
      <c r="C83" t="str">
        <v>838C</v>
      </c>
      <c r="D83">
        <v>0</v>
      </c>
      <c r="E83" t="str">
        <v>T1</v>
      </c>
      <c r="F83">
        <v>101.15</v>
      </c>
      <c r="G83">
        <v>0</v>
      </c>
      <c r="H83" t="str">
        <v>75+76</v>
      </c>
      <c r="I83" t="str">
        <v/>
      </c>
      <c r="J83">
        <v>0</v>
      </c>
      <c r="K83">
        <v>0</v>
      </c>
      <c r="L83">
        <v>0</v>
      </c>
      <c r="M83" s="79">
        <v>18.100000000000001</v>
      </c>
      <c r="N83">
        <v>0</v>
      </c>
      <c r="O83">
        <v>83.05</v>
      </c>
      <c r="P83">
        <v>0</v>
      </c>
      <c r="Q83" t="str">
        <v>AVAILABLE</v>
      </c>
      <c r="R83">
        <v>550000</v>
      </c>
      <c r="S83">
        <v>550000</v>
      </c>
      <c r="T83">
        <v>600000</v>
      </c>
      <c r="U83">
        <v>0</v>
      </c>
      <c r="V83">
        <v>0</v>
      </c>
      <c r="W83">
        <v>600000</v>
      </c>
      <c r="X83">
        <v>0</v>
      </c>
      <c r="Y83">
        <v>600000</v>
      </c>
      <c r="Z83">
        <v>600000</v>
      </c>
      <c r="AA83">
        <v>44518</v>
      </c>
      <c r="AB83" t="str">
        <v>Q4 2021</v>
      </c>
      <c r="AC83">
        <v>0</v>
      </c>
      <c r="AD83">
        <v>46843</v>
      </c>
      <c r="AE83" t="str">
        <v>Sandra Viegas</v>
      </c>
      <c r="AF83" t="str">
        <v>João Barra | José Guerreiro</v>
      </c>
      <c r="AG83">
        <v>0</v>
      </c>
      <c r="AH83">
        <v>0</v>
      </c>
      <c r="AI83">
        <v>0</v>
      </c>
      <c r="AJ83">
        <v>0</v>
      </c>
      <c r="AK83">
        <v>0</v>
      </c>
      <c r="AL83" t="str">
        <v>Palmares</v>
      </c>
    </row>
    <row r="84" spans="1:38" x14ac:dyDescent="0.3">
      <c r="A84" t="str">
        <v>Palmares - Signature Apartments</v>
      </c>
      <c r="B84" t="str">
        <v>Algarve</v>
      </c>
      <c r="C84" t="str">
        <v>839C</v>
      </c>
      <c r="D84">
        <v>0</v>
      </c>
      <c r="E84" t="str">
        <v>T1</v>
      </c>
      <c r="F84">
        <v>91.7</v>
      </c>
      <c r="G84">
        <v>0</v>
      </c>
      <c r="H84" t="str">
        <v>77+78</v>
      </c>
      <c r="I84" t="str">
        <v/>
      </c>
      <c r="J84">
        <v>0</v>
      </c>
      <c r="K84">
        <v>0</v>
      </c>
      <c r="L84">
        <v>0</v>
      </c>
      <c r="M84" s="79">
        <v>19.7</v>
      </c>
      <c r="N84">
        <v>0</v>
      </c>
      <c r="O84">
        <v>72</v>
      </c>
      <c r="P84">
        <v>0</v>
      </c>
      <c r="Q84" t="str">
        <v>AVAILABLE</v>
      </c>
      <c r="R84">
        <v>540000</v>
      </c>
      <c r="S84">
        <v>540000</v>
      </c>
      <c r="T84">
        <v>600000</v>
      </c>
      <c r="U84">
        <v>0</v>
      </c>
      <c r="V84">
        <v>0</v>
      </c>
      <c r="W84">
        <v>600000</v>
      </c>
      <c r="X84">
        <v>0</v>
      </c>
      <c r="Y84">
        <v>600000</v>
      </c>
      <c r="Z84">
        <v>600000</v>
      </c>
      <c r="AA84">
        <v>44518</v>
      </c>
      <c r="AB84" t="str">
        <v>Q4 2021</v>
      </c>
      <c r="AC84">
        <v>0</v>
      </c>
      <c r="AD84">
        <v>46843</v>
      </c>
      <c r="AE84" t="str">
        <v>Sandra Viegas</v>
      </c>
      <c r="AF84" t="str">
        <v>João Barra | José Guerreiro</v>
      </c>
      <c r="AG84">
        <v>0</v>
      </c>
      <c r="AH84">
        <v>0</v>
      </c>
      <c r="AI84">
        <v>0</v>
      </c>
      <c r="AJ84">
        <v>0</v>
      </c>
      <c r="AK84">
        <v>0</v>
      </c>
      <c r="AL84" t="str">
        <v>Palmares</v>
      </c>
    </row>
    <row r="85" spans="1:38" x14ac:dyDescent="0.3">
      <c r="A85" t="str">
        <v>Palmares - Signature Apartments</v>
      </c>
      <c r="B85" t="str">
        <v>Algarve</v>
      </c>
      <c r="C85" t="str">
        <v>840C</v>
      </c>
      <c r="D85">
        <v>0</v>
      </c>
      <c r="E85" t="str">
        <v>T1</v>
      </c>
      <c r="F85">
        <v>101.15</v>
      </c>
      <c r="G85">
        <v>0</v>
      </c>
      <c r="H85" t="str">
        <v>79+80</v>
      </c>
      <c r="I85" t="str">
        <v/>
      </c>
      <c r="J85">
        <v>0</v>
      </c>
      <c r="K85">
        <v>0</v>
      </c>
      <c r="L85">
        <v>0</v>
      </c>
      <c r="M85" s="79">
        <v>18.100000000000001</v>
      </c>
      <c r="N85">
        <v>0</v>
      </c>
      <c r="O85">
        <v>83.05</v>
      </c>
      <c r="P85">
        <v>0</v>
      </c>
      <c r="Q85" t="str">
        <v>AVAILABLE</v>
      </c>
      <c r="R85">
        <v>660000</v>
      </c>
      <c r="S85">
        <v>660000</v>
      </c>
      <c r="T85">
        <v>600000</v>
      </c>
      <c r="U85">
        <v>0</v>
      </c>
      <c r="V85">
        <v>0</v>
      </c>
      <c r="W85">
        <v>600000</v>
      </c>
      <c r="X85">
        <v>0</v>
      </c>
      <c r="Y85">
        <v>600000</v>
      </c>
      <c r="Z85">
        <v>600000</v>
      </c>
      <c r="AA85">
        <v>44518</v>
      </c>
      <c r="AB85" t="str">
        <v>Q4 2021</v>
      </c>
      <c r="AC85">
        <v>0</v>
      </c>
      <c r="AD85">
        <v>46843</v>
      </c>
      <c r="AE85" t="str">
        <v>Sandra Viegas</v>
      </c>
      <c r="AF85" t="str">
        <v>João Barra | José Guerreiro</v>
      </c>
      <c r="AG85">
        <v>0</v>
      </c>
      <c r="AH85">
        <v>0</v>
      </c>
      <c r="AI85">
        <v>0</v>
      </c>
      <c r="AJ85">
        <v>0</v>
      </c>
      <c r="AK85">
        <v>0</v>
      </c>
      <c r="AL85" t="str">
        <v>Palmares</v>
      </c>
    </row>
    <row r="86" spans="1:38" x14ac:dyDescent="0.3">
      <c r="A86" t="str">
        <v>Palmares - Signature Apartments</v>
      </c>
      <c r="B86" t="str">
        <v>Algarve</v>
      </c>
      <c r="C86" t="str">
        <v>841C</v>
      </c>
      <c r="D86">
        <v>0</v>
      </c>
      <c r="E86" t="str">
        <v>T2 (T1+1)</v>
      </c>
      <c r="F86">
        <v>138.6</v>
      </c>
      <c r="G86">
        <v>0</v>
      </c>
      <c r="H86" t="str">
        <v>81+82</v>
      </c>
      <c r="I86" t="str">
        <v/>
      </c>
      <c r="J86">
        <v>0</v>
      </c>
      <c r="K86">
        <v>0</v>
      </c>
      <c r="L86">
        <v>0</v>
      </c>
      <c r="M86" s="79">
        <v>32.4</v>
      </c>
      <c r="N86">
        <v>0</v>
      </c>
      <c r="O86">
        <v>106.2</v>
      </c>
      <c r="P86">
        <v>0</v>
      </c>
      <c r="Q86" t="str">
        <v>AVAILABLE</v>
      </c>
      <c r="R86">
        <v>710000</v>
      </c>
      <c r="S86">
        <v>710000</v>
      </c>
      <c r="T86">
        <v>850000</v>
      </c>
      <c r="U86">
        <v>0</v>
      </c>
      <c r="V86">
        <v>0</v>
      </c>
      <c r="W86">
        <v>850000</v>
      </c>
      <c r="X86">
        <v>0</v>
      </c>
      <c r="Y86">
        <v>850000</v>
      </c>
      <c r="Z86">
        <v>850000</v>
      </c>
      <c r="AA86">
        <v>44518</v>
      </c>
      <c r="AB86" t="str">
        <v>Q4 2021</v>
      </c>
      <c r="AC86">
        <v>0</v>
      </c>
      <c r="AD86">
        <v>46843</v>
      </c>
      <c r="AE86" t="str">
        <v>Sandra Viegas</v>
      </c>
      <c r="AF86" t="str">
        <v>João Barra | José Guerreiro</v>
      </c>
      <c r="AG86">
        <v>0</v>
      </c>
      <c r="AH86">
        <v>0</v>
      </c>
      <c r="AI86">
        <v>0</v>
      </c>
      <c r="AJ86">
        <v>0</v>
      </c>
      <c r="AK86">
        <v>0</v>
      </c>
      <c r="AL86" t="str">
        <v>Palmares</v>
      </c>
    </row>
    <row r="87" spans="1:38" x14ac:dyDescent="0.3">
      <c r="A87" t="str">
        <v>Palmares - Signature Residences</v>
      </c>
      <c r="B87" t="str">
        <v>Algarve</v>
      </c>
      <c r="C87" t="str">
        <v>16C</v>
      </c>
      <c r="D87">
        <v>0</v>
      </c>
      <c r="E87" t="str">
        <v>T1 + 1Accesible</v>
      </c>
      <c r="F87">
        <v>162.69</v>
      </c>
      <c r="G87">
        <v>0</v>
      </c>
      <c r="H87" t="str">
        <v/>
      </c>
      <c r="I87" t="str">
        <v>6.19</v>
      </c>
      <c r="J87">
        <v>0</v>
      </c>
      <c r="K87">
        <v>0</v>
      </c>
      <c r="L87">
        <v>0</v>
      </c>
      <c r="M87" s="79">
        <v>57.46</v>
      </c>
      <c r="N87">
        <v>0</v>
      </c>
      <c r="O87">
        <v>99.04</v>
      </c>
      <c r="P87">
        <v>0</v>
      </c>
      <c r="Q87" t="str">
        <v>RESERVED</v>
      </c>
      <c r="R87">
        <v>730000</v>
      </c>
      <c r="S87">
        <v>730000</v>
      </c>
      <c r="T87">
        <v>730000</v>
      </c>
      <c r="U87">
        <v>0</v>
      </c>
      <c r="V87">
        <v>0</v>
      </c>
      <c r="W87">
        <v>730000</v>
      </c>
      <c r="X87">
        <v>0</v>
      </c>
      <c r="Y87">
        <v>730000</v>
      </c>
      <c r="Z87">
        <v>730000</v>
      </c>
      <c r="AA87">
        <v>46141</v>
      </c>
      <c r="AB87" t="str">
        <v>Q2 2026</v>
      </c>
      <c r="AC87">
        <v>46141</v>
      </c>
      <c r="AD87">
        <v>46843</v>
      </c>
      <c r="AE87" t="str">
        <v>Sandra Viegas</v>
      </c>
      <c r="AF87" t="str">
        <v>João Barra | José Guerreiro</v>
      </c>
      <c r="AG87">
        <v>0</v>
      </c>
      <c r="AH87">
        <v>0</v>
      </c>
      <c r="AI87">
        <v>0</v>
      </c>
      <c r="AJ87">
        <v>0</v>
      </c>
      <c r="AK87">
        <v>0</v>
      </c>
      <c r="AL87" t="str">
        <v>Palmares</v>
      </c>
    </row>
    <row r="88" spans="1:38" x14ac:dyDescent="0.3">
      <c r="A88" t="str">
        <v>Palmares - Signature Residences</v>
      </c>
      <c r="B88" t="str">
        <v>Algarve</v>
      </c>
      <c r="C88" t="str">
        <v>1A</v>
      </c>
      <c r="D88">
        <v>0</v>
      </c>
      <c r="E88" t="str">
        <v>T1 + 1</v>
      </c>
      <c r="F88">
        <v>137.29</v>
      </c>
      <c r="G88">
        <v>0</v>
      </c>
      <c r="H88" t="str">
        <v/>
      </c>
      <c r="I88" t="str">
        <v>7.28</v>
      </c>
      <c r="J88">
        <v>0</v>
      </c>
      <c r="K88">
        <v>0</v>
      </c>
      <c r="L88">
        <v>0</v>
      </c>
      <c r="M88" s="79">
        <v>28.75</v>
      </c>
      <c r="N88">
        <v>0</v>
      </c>
      <c r="O88">
        <v>101.26</v>
      </c>
      <c r="P88">
        <v>0</v>
      </c>
      <c r="Q88" t="str">
        <v>RESERVED</v>
      </c>
      <c r="R88">
        <v>820000</v>
      </c>
      <c r="S88">
        <v>820000</v>
      </c>
      <c r="T88">
        <v>820000</v>
      </c>
      <c r="U88">
        <v>0</v>
      </c>
      <c r="V88">
        <v>0</v>
      </c>
      <c r="W88">
        <v>820000</v>
      </c>
      <c r="X88">
        <v>0</v>
      </c>
      <c r="Y88">
        <v>820000</v>
      </c>
      <c r="Z88">
        <v>820000</v>
      </c>
      <c r="AA88">
        <v>46141</v>
      </c>
      <c r="AB88" t="str">
        <v>Q2 2026</v>
      </c>
      <c r="AC88">
        <v>0</v>
      </c>
      <c r="AD88">
        <v>46843</v>
      </c>
      <c r="AE88" t="str">
        <v>Sandra Viegas</v>
      </c>
      <c r="AF88" t="str">
        <v>João Barra | José Guerreiro</v>
      </c>
      <c r="AG88">
        <v>0</v>
      </c>
      <c r="AH88">
        <v>0</v>
      </c>
      <c r="AI88">
        <v>0</v>
      </c>
      <c r="AJ88">
        <v>0</v>
      </c>
      <c r="AK88">
        <v>0</v>
      </c>
      <c r="AL88" t="str">
        <v>Palmares</v>
      </c>
    </row>
    <row r="89" spans="1:38" x14ac:dyDescent="0.3">
      <c r="A89" t="str">
        <v>Palmares - Signature Residences</v>
      </c>
      <c r="B89" t="str">
        <v>Algarve</v>
      </c>
      <c r="C89" t="str">
        <v>8A</v>
      </c>
      <c r="D89">
        <v>0</v>
      </c>
      <c r="E89" t="str">
        <v>T1 + 1</v>
      </c>
      <c r="F89">
        <v>143.08000000000001</v>
      </c>
      <c r="G89">
        <v>0</v>
      </c>
      <c r="H89" t="str">
        <v/>
      </c>
      <c r="I89" t="str">
        <v>8.37</v>
      </c>
      <c r="J89">
        <v>0</v>
      </c>
      <c r="K89">
        <v>0</v>
      </c>
      <c r="L89">
        <v>0</v>
      </c>
      <c r="M89" s="79">
        <v>34.6</v>
      </c>
      <c r="N89">
        <v>0</v>
      </c>
      <c r="O89">
        <v>100.11</v>
      </c>
      <c r="P89">
        <v>0</v>
      </c>
      <c r="Q89" t="str">
        <v>RESERVED</v>
      </c>
      <c r="R89">
        <v>800000</v>
      </c>
      <c r="S89">
        <v>800000</v>
      </c>
      <c r="T89">
        <v>800000</v>
      </c>
      <c r="U89">
        <v>0</v>
      </c>
      <c r="V89">
        <v>0</v>
      </c>
      <c r="W89">
        <v>800000</v>
      </c>
      <c r="X89">
        <v>0</v>
      </c>
      <c r="Y89">
        <v>800000</v>
      </c>
      <c r="Z89">
        <v>800000</v>
      </c>
      <c r="AA89">
        <v>46141</v>
      </c>
      <c r="AB89" t="str">
        <v>Q2 2026</v>
      </c>
      <c r="AC89">
        <v>0</v>
      </c>
      <c r="AD89">
        <v>46843</v>
      </c>
      <c r="AE89" t="str">
        <v>Sandra Viegas</v>
      </c>
      <c r="AF89" t="str">
        <v>João Barra | José Guerreiro</v>
      </c>
      <c r="AG89">
        <v>0</v>
      </c>
      <c r="AH89">
        <v>0</v>
      </c>
      <c r="AI89">
        <v>0</v>
      </c>
      <c r="AJ89">
        <v>0</v>
      </c>
      <c r="AK89">
        <v>0</v>
      </c>
      <c r="AL89" t="str">
        <v>Palmares</v>
      </c>
    </row>
    <row r="90" spans="1:38" x14ac:dyDescent="0.3">
      <c r="A90" t="str">
        <v>Palmares - Signature Residences</v>
      </c>
      <c r="B90" t="str">
        <v>Algarve</v>
      </c>
      <c r="C90" t="str">
        <v>10B</v>
      </c>
      <c r="D90">
        <v>0</v>
      </c>
      <c r="E90" t="str">
        <v>T2 + 1 Duplex</v>
      </c>
      <c r="F90">
        <v>345.42</v>
      </c>
      <c r="G90">
        <v>0</v>
      </c>
      <c r="H90" t="str">
        <v/>
      </c>
      <c r="I90" t="str">
        <v>15.29</v>
      </c>
      <c r="J90">
        <v>0</v>
      </c>
      <c r="K90">
        <v>0</v>
      </c>
      <c r="L90">
        <v>0</v>
      </c>
      <c r="M90" s="79">
        <v>85.2</v>
      </c>
      <c r="N90">
        <v>0</v>
      </c>
      <c r="O90">
        <v>244.93</v>
      </c>
      <c r="P90">
        <v>0</v>
      </c>
      <c r="Q90" t="str">
        <v>AVAILABLE</v>
      </c>
      <c r="R90">
        <v>2080000</v>
      </c>
      <c r="S90">
        <v>2080000</v>
      </c>
      <c r="T90">
        <v>2080000</v>
      </c>
      <c r="U90">
        <v>0</v>
      </c>
      <c r="V90">
        <v>0</v>
      </c>
      <c r="W90">
        <v>2080000</v>
      </c>
      <c r="X90">
        <v>0</v>
      </c>
      <c r="Y90">
        <v>2080000</v>
      </c>
      <c r="Z90">
        <v>2080000</v>
      </c>
      <c r="AA90">
        <v>46141</v>
      </c>
      <c r="AB90" t="str">
        <v>Q2 2026</v>
      </c>
      <c r="AC90">
        <v>0</v>
      </c>
      <c r="AD90">
        <v>46843</v>
      </c>
      <c r="AE90" t="str">
        <v>Sandra Viegas</v>
      </c>
      <c r="AF90" t="str">
        <v>João Barra | José Guerreiro</v>
      </c>
      <c r="AG90">
        <v>0</v>
      </c>
      <c r="AH90">
        <v>0</v>
      </c>
      <c r="AI90">
        <v>0</v>
      </c>
      <c r="AJ90">
        <v>0</v>
      </c>
      <c r="AK90">
        <v>0</v>
      </c>
      <c r="AL90" t="str">
        <v>Palmares</v>
      </c>
    </row>
    <row r="91" spans="1:38" x14ac:dyDescent="0.3">
      <c r="A91" t="str">
        <v>Palmares - Signature Residences</v>
      </c>
      <c r="B91" t="str">
        <v>Algarve</v>
      </c>
      <c r="C91" t="str">
        <v>11B</v>
      </c>
      <c r="D91">
        <v>0</v>
      </c>
      <c r="E91" t="str">
        <v>T2 + 1Duplex</v>
      </c>
      <c r="F91">
        <v>344.99</v>
      </c>
      <c r="G91">
        <v>0</v>
      </c>
      <c r="H91" t="str">
        <v/>
      </c>
      <c r="I91" t="str">
        <v>15.13</v>
      </c>
      <c r="J91">
        <v>0</v>
      </c>
      <c r="K91">
        <v>0</v>
      </c>
      <c r="L91">
        <v>0</v>
      </c>
      <c r="M91" s="79">
        <v>83.71</v>
      </c>
      <c r="N91">
        <v>0</v>
      </c>
      <c r="O91">
        <v>246.15</v>
      </c>
      <c r="P91">
        <v>0</v>
      </c>
      <c r="Q91" t="str">
        <v>AVAILABLE</v>
      </c>
      <c r="R91">
        <v>2060000</v>
      </c>
      <c r="S91">
        <v>2060000</v>
      </c>
      <c r="T91">
        <v>2060000</v>
      </c>
      <c r="U91">
        <v>0</v>
      </c>
      <c r="V91">
        <v>0</v>
      </c>
      <c r="W91">
        <v>2060000</v>
      </c>
      <c r="X91">
        <v>0</v>
      </c>
      <c r="Y91">
        <v>2060000</v>
      </c>
      <c r="Z91">
        <v>2060000</v>
      </c>
      <c r="AA91">
        <v>46141</v>
      </c>
      <c r="AB91" t="str">
        <v>Q2 2026</v>
      </c>
      <c r="AC91">
        <v>0</v>
      </c>
      <c r="AD91">
        <v>46843</v>
      </c>
      <c r="AE91" t="str">
        <v>Sandra Viegas</v>
      </c>
      <c r="AF91" t="str">
        <v>João Barra | José Guerreiro</v>
      </c>
      <c r="AG91">
        <v>0</v>
      </c>
      <c r="AH91">
        <v>0</v>
      </c>
      <c r="AI91">
        <v>0</v>
      </c>
      <c r="AJ91">
        <v>0</v>
      </c>
      <c r="AK91">
        <v>0</v>
      </c>
      <c r="AL91" t="str">
        <v>Palmares</v>
      </c>
    </row>
    <row r="92" spans="1:38" x14ac:dyDescent="0.3">
      <c r="A92" t="str">
        <v>Palmares - Signature Residences</v>
      </c>
      <c r="B92" t="str">
        <v>Algarve</v>
      </c>
      <c r="C92" t="str">
        <v>12B</v>
      </c>
      <c r="D92">
        <v>0</v>
      </c>
      <c r="E92" t="str">
        <v>T2 + 1 Duplex</v>
      </c>
      <c r="F92">
        <v>342.39</v>
      </c>
      <c r="G92">
        <v>0</v>
      </c>
      <c r="H92" t="str">
        <v/>
      </c>
      <c r="I92" t="str">
        <v>15.13</v>
      </c>
      <c r="J92">
        <v>0</v>
      </c>
      <c r="K92">
        <v>0</v>
      </c>
      <c r="L92">
        <v>0</v>
      </c>
      <c r="M92" s="79">
        <v>84.04</v>
      </c>
      <c r="N92">
        <v>0</v>
      </c>
      <c r="O92">
        <v>243.22</v>
      </c>
      <c r="P92">
        <v>0</v>
      </c>
      <c r="Q92" t="str">
        <v>AVAILABLE</v>
      </c>
      <c r="R92">
        <v>2050000</v>
      </c>
      <c r="S92">
        <v>2050000</v>
      </c>
      <c r="T92">
        <v>2050000</v>
      </c>
      <c r="U92">
        <v>0</v>
      </c>
      <c r="V92">
        <v>0</v>
      </c>
      <c r="W92">
        <v>2050000</v>
      </c>
      <c r="X92">
        <v>0</v>
      </c>
      <c r="Y92">
        <v>2050000</v>
      </c>
      <c r="Z92">
        <v>2050000</v>
      </c>
      <c r="AA92">
        <v>46141</v>
      </c>
      <c r="AB92" t="str">
        <v>Q2 2026</v>
      </c>
      <c r="AC92">
        <v>0</v>
      </c>
      <c r="AD92">
        <v>46843</v>
      </c>
      <c r="AE92" t="str">
        <v>Sandra Viegas</v>
      </c>
      <c r="AF92" t="str">
        <v>João Barra | José Guerreiro</v>
      </c>
      <c r="AG92">
        <v>0</v>
      </c>
      <c r="AH92">
        <v>0</v>
      </c>
      <c r="AI92">
        <v>0</v>
      </c>
      <c r="AJ92">
        <v>0</v>
      </c>
      <c r="AK92">
        <v>0</v>
      </c>
      <c r="AL92" t="str">
        <v>Palmares</v>
      </c>
    </row>
    <row r="93" spans="1:38" x14ac:dyDescent="0.3">
      <c r="A93" t="str">
        <v>Palmares - Signature Residences</v>
      </c>
      <c r="B93" t="str">
        <v>Algarve</v>
      </c>
      <c r="C93" t="str">
        <v>13B</v>
      </c>
      <c r="D93">
        <v>0</v>
      </c>
      <c r="E93" t="str">
        <v>T2 + 1 Duplex</v>
      </c>
      <c r="F93">
        <v>345.12</v>
      </c>
      <c r="G93">
        <v>0</v>
      </c>
      <c r="H93" t="str">
        <v/>
      </c>
      <c r="I93" t="str">
        <v>15.13</v>
      </c>
      <c r="J93">
        <v>0</v>
      </c>
      <c r="K93">
        <v>0</v>
      </c>
      <c r="L93">
        <v>0</v>
      </c>
      <c r="M93" s="79">
        <v>83.71</v>
      </c>
      <c r="N93">
        <v>0</v>
      </c>
      <c r="O93">
        <v>246.28</v>
      </c>
      <c r="P93">
        <v>0</v>
      </c>
      <c r="Q93" t="str">
        <v>AVAILABLE</v>
      </c>
      <c r="R93">
        <v>1990000</v>
      </c>
      <c r="S93">
        <v>1990000</v>
      </c>
      <c r="T93">
        <v>1990000</v>
      </c>
      <c r="U93">
        <v>0</v>
      </c>
      <c r="V93">
        <v>0</v>
      </c>
      <c r="W93">
        <v>1990000</v>
      </c>
      <c r="X93">
        <v>0</v>
      </c>
      <c r="Y93">
        <v>1990000</v>
      </c>
      <c r="Z93">
        <v>1990000</v>
      </c>
      <c r="AA93">
        <v>46141</v>
      </c>
      <c r="AB93" t="str">
        <v>Q2 2026</v>
      </c>
      <c r="AC93">
        <v>0</v>
      </c>
      <c r="AD93">
        <v>46843</v>
      </c>
      <c r="AE93" t="str">
        <v>Sandra Viegas</v>
      </c>
      <c r="AF93" t="str">
        <v>João Barra | José Guerreiro</v>
      </c>
      <c r="AG93">
        <v>0</v>
      </c>
      <c r="AH93">
        <v>0</v>
      </c>
      <c r="AI93">
        <v>0</v>
      </c>
      <c r="AJ93">
        <v>0</v>
      </c>
      <c r="AK93">
        <v>0</v>
      </c>
      <c r="AL93" t="str">
        <v>Palmares</v>
      </c>
    </row>
    <row r="94" spans="1:38" x14ac:dyDescent="0.3">
      <c r="A94" t="str">
        <v>Palmares - Signature Residences</v>
      </c>
      <c r="B94" t="str">
        <v>Algarve</v>
      </c>
      <c r="C94" t="str">
        <v>14B</v>
      </c>
      <c r="D94">
        <v>0</v>
      </c>
      <c r="E94" t="str">
        <v>T2 + 1Duplex</v>
      </c>
      <c r="F94">
        <v>342.3</v>
      </c>
      <c r="G94">
        <v>0</v>
      </c>
      <c r="H94" t="str">
        <v/>
      </c>
      <c r="I94" t="str">
        <v>15.13</v>
      </c>
      <c r="J94">
        <v>0</v>
      </c>
      <c r="K94">
        <v>0</v>
      </c>
      <c r="L94">
        <v>0</v>
      </c>
      <c r="M94" s="79">
        <v>84.04</v>
      </c>
      <c r="N94">
        <v>0</v>
      </c>
      <c r="O94">
        <v>243.13</v>
      </c>
      <c r="P94">
        <v>0</v>
      </c>
      <c r="Q94" t="str">
        <v>AVAILABLE</v>
      </c>
      <c r="R94">
        <v>1980000</v>
      </c>
      <c r="S94">
        <v>1980000</v>
      </c>
      <c r="T94">
        <v>1980000</v>
      </c>
      <c r="U94">
        <v>0</v>
      </c>
      <c r="V94">
        <v>0</v>
      </c>
      <c r="W94">
        <v>1980000</v>
      </c>
      <c r="X94">
        <v>0</v>
      </c>
      <c r="Y94">
        <v>1980000</v>
      </c>
      <c r="Z94">
        <v>1980000</v>
      </c>
      <c r="AA94">
        <v>46141</v>
      </c>
      <c r="AB94" t="str">
        <v>Q2 2026</v>
      </c>
      <c r="AC94">
        <v>0</v>
      </c>
      <c r="AD94">
        <v>46843</v>
      </c>
      <c r="AE94" t="str">
        <v>Sandra Viegas</v>
      </c>
      <c r="AF94" t="str">
        <v>João Barra | José Guerreiro</v>
      </c>
      <c r="AG94">
        <v>0</v>
      </c>
      <c r="AH94">
        <v>0</v>
      </c>
      <c r="AI94">
        <v>0</v>
      </c>
      <c r="AJ94">
        <v>0</v>
      </c>
      <c r="AK94">
        <v>0</v>
      </c>
      <c r="AL94" t="str">
        <v>Palmares</v>
      </c>
    </row>
    <row r="95" spans="1:38" x14ac:dyDescent="0.3">
      <c r="A95" t="str">
        <v>Palmares - Signature Residences</v>
      </c>
      <c r="B95" t="str">
        <v>Algarve</v>
      </c>
      <c r="C95" t="str">
        <v>17D</v>
      </c>
      <c r="D95">
        <v>0</v>
      </c>
      <c r="E95" t="str">
        <v>T3 + 1 Duplex</v>
      </c>
      <c r="F95">
        <v>568.54999999999995</v>
      </c>
      <c r="G95">
        <v>0</v>
      </c>
      <c r="H95" t="str">
        <v/>
      </c>
      <c r="I95" t="str">
        <v>28.24</v>
      </c>
      <c r="J95">
        <v>0</v>
      </c>
      <c r="K95">
        <v>0</v>
      </c>
      <c r="L95">
        <v>0</v>
      </c>
      <c r="M95" s="79">
        <v>209.11</v>
      </c>
      <c r="N95">
        <v>0</v>
      </c>
      <c r="O95">
        <v>331.2</v>
      </c>
      <c r="P95">
        <v>0</v>
      </c>
      <c r="Q95" t="str">
        <v>AVAILABLE</v>
      </c>
      <c r="R95">
        <v>2880000</v>
      </c>
      <c r="S95">
        <v>2880000</v>
      </c>
      <c r="T95">
        <v>2880000</v>
      </c>
      <c r="U95">
        <v>0</v>
      </c>
      <c r="V95">
        <v>0</v>
      </c>
      <c r="W95">
        <v>2880000</v>
      </c>
      <c r="X95">
        <v>0</v>
      </c>
      <c r="Y95">
        <v>2880000</v>
      </c>
      <c r="Z95">
        <v>2880000</v>
      </c>
      <c r="AA95">
        <v>46141</v>
      </c>
      <c r="AB95" t="str">
        <v>Q2 2026</v>
      </c>
      <c r="AC95">
        <v>0</v>
      </c>
      <c r="AD95">
        <v>46843</v>
      </c>
      <c r="AE95" t="str">
        <v>Sandra Viegas</v>
      </c>
      <c r="AF95" t="str">
        <v>João Barra | José Guerreiro</v>
      </c>
      <c r="AG95">
        <v>0</v>
      </c>
      <c r="AH95">
        <v>0</v>
      </c>
      <c r="AI95">
        <v>0</v>
      </c>
      <c r="AJ95">
        <v>0</v>
      </c>
      <c r="AK95">
        <v>0</v>
      </c>
      <c r="AL95" t="str">
        <v>Palmares</v>
      </c>
    </row>
    <row r="96" spans="1:38" x14ac:dyDescent="0.3">
      <c r="A96" t="str">
        <v>Palmares - Signature Residences</v>
      </c>
      <c r="B96" t="str">
        <v>Algarve</v>
      </c>
      <c r="C96" t="str">
        <v>18D</v>
      </c>
      <c r="D96">
        <v>0</v>
      </c>
      <c r="E96" t="str">
        <v>T2 + 1 Duplex</v>
      </c>
      <c r="F96">
        <v>355.31</v>
      </c>
      <c r="G96">
        <v>0</v>
      </c>
      <c r="H96" t="str">
        <v/>
      </c>
      <c r="I96" t="str">
        <v>15.13</v>
      </c>
      <c r="J96">
        <v>0</v>
      </c>
      <c r="K96">
        <v>0</v>
      </c>
      <c r="L96">
        <v>0</v>
      </c>
      <c r="M96" s="79">
        <v>115.74</v>
      </c>
      <c r="N96">
        <v>0</v>
      </c>
      <c r="O96">
        <v>224.44</v>
      </c>
      <c r="P96">
        <v>0</v>
      </c>
      <c r="Q96" t="str">
        <v>AVAILABLE</v>
      </c>
      <c r="R96">
        <v>2090000</v>
      </c>
      <c r="S96">
        <v>2090000</v>
      </c>
      <c r="T96">
        <v>2090000</v>
      </c>
      <c r="U96">
        <v>0</v>
      </c>
      <c r="V96">
        <v>0</v>
      </c>
      <c r="W96">
        <v>2090000</v>
      </c>
      <c r="X96">
        <v>0</v>
      </c>
      <c r="Y96">
        <v>2090000</v>
      </c>
      <c r="Z96">
        <v>2090000</v>
      </c>
      <c r="AA96">
        <v>46141</v>
      </c>
      <c r="AB96" t="str">
        <v>Q2 2026</v>
      </c>
      <c r="AC96">
        <v>0</v>
      </c>
      <c r="AD96">
        <v>46843</v>
      </c>
      <c r="AE96" t="str">
        <v>Sandra Viegas</v>
      </c>
      <c r="AF96" t="str">
        <v>João Barra | José Guerreiro</v>
      </c>
      <c r="AG96">
        <v>0</v>
      </c>
      <c r="AH96">
        <v>0</v>
      </c>
      <c r="AI96">
        <v>0</v>
      </c>
      <c r="AJ96">
        <v>0</v>
      </c>
      <c r="AK96">
        <v>0</v>
      </c>
      <c r="AL96" t="str">
        <v>Palmares</v>
      </c>
    </row>
    <row r="97" spans="1:38" x14ac:dyDescent="0.3">
      <c r="A97" t="str">
        <v>Palmares - Signature Residences</v>
      </c>
      <c r="B97" t="str">
        <v>Algarve</v>
      </c>
      <c r="C97" t="str">
        <v>19D</v>
      </c>
      <c r="D97">
        <v>0</v>
      </c>
      <c r="E97" t="str">
        <v>T2 + 1Duplex</v>
      </c>
      <c r="F97">
        <v>363.73</v>
      </c>
      <c r="G97">
        <v>0</v>
      </c>
      <c r="H97" t="str">
        <v/>
      </c>
      <c r="I97" t="str">
        <v>15.31</v>
      </c>
      <c r="J97">
        <v>0</v>
      </c>
      <c r="K97">
        <v>0</v>
      </c>
      <c r="L97">
        <v>0</v>
      </c>
      <c r="M97" s="79">
        <v>124.56</v>
      </c>
      <c r="N97">
        <v>0</v>
      </c>
      <c r="O97">
        <v>223.86</v>
      </c>
      <c r="P97">
        <v>0</v>
      </c>
      <c r="Q97" t="str">
        <v>AVAILABLE</v>
      </c>
      <c r="R97">
        <v>2080000</v>
      </c>
      <c r="S97">
        <v>2080000</v>
      </c>
      <c r="T97">
        <v>2080000</v>
      </c>
      <c r="U97">
        <v>0</v>
      </c>
      <c r="V97">
        <v>0</v>
      </c>
      <c r="W97">
        <v>2080000</v>
      </c>
      <c r="X97">
        <v>0</v>
      </c>
      <c r="Y97">
        <v>2080000</v>
      </c>
      <c r="Z97">
        <v>2080000</v>
      </c>
      <c r="AA97">
        <v>46141</v>
      </c>
      <c r="AB97" t="str">
        <v>Q2 2026</v>
      </c>
      <c r="AC97">
        <v>0</v>
      </c>
      <c r="AD97">
        <v>46843</v>
      </c>
      <c r="AE97" t="str">
        <v>Sandra Viegas</v>
      </c>
      <c r="AF97" t="str">
        <v>João Barra | José Guerreiro</v>
      </c>
      <c r="AG97">
        <v>0</v>
      </c>
      <c r="AH97">
        <v>0</v>
      </c>
      <c r="AI97">
        <v>0</v>
      </c>
      <c r="AJ97">
        <v>0</v>
      </c>
      <c r="AK97">
        <v>0</v>
      </c>
      <c r="AL97" t="str">
        <v>Palmares</v>
      </c>
    </row>
    <row r="98" spans="1:38" x14ac:dyDescent="0.3">
      <c r="A98" t="str">
        <v>Palmares - Signature Residences</v>
      </c>
      <c r="B98" t="str">
        <v>Algarve</v>
      </c>
      <c r="C98" t="str">
        <v>20D</v>
      </c>
      <c r="D98">
        <v>0</v>
      </c>
      <c r="E98" t="str">
        <v>T2 + 1Duplex</v>
      </c>
      <c r="F98">
        <v>355.2</v>
      </c>
      <c r="G98">
        <v>0</v>
      </c>
      <c r="H98" t="str">
        <v/>
      </c>
      <c r="I98" t="str">
        <v>15.13</v>
      </c>
      <c r="J98">
        <v>0</v>
      </c>
      <c r="K98">
        <v>0</v>
      </c>
      <c r="L98">
        <v>0</v>
      </c>
      <c r="M98" s="79">
        <v>115.74</v>
      </c>
      <c r="N98">
        <v>0</v>
      </c>
      <c r="O98">
        <v>224.33</v>
      </c>
      <c r="P98">
        <v>0</v>
      </c>
      <c r="Q98" t="str">
        <v>AVAILABLE</v>
      </c>
      <c r="R98">
        <v>2070000</v>
      </c>
      <c r="S98">
        <v>2070000</v>
      </c>
      <c r="T98">
        <v>2070000</v>
      </c>
      <c r="U98">
        <v>0</v>
      </c>
      <c r="V98">
        <v>0</v>
      </c>
      <c r="W98">
        <v>2070000</v>
      </c>
      <c r="X98">
        <v>0</v>
      </c>
      <c r="Y98">
        <v>2070000</v>
      </c>
      <c r="Z98">
        <v>2070000</v>
      </c>
      <c r="AA98">
        <v>46141</v>
      </c>
      <c r="AB98" t="str">
        <v>Q2 2026</v>
      </c>
      <c r="AC98">
        <v>0</v>
      </c>
      <c r="AD98">
        <v>46843</v>
      </c>
      <c r="AE98" t="str">
        <v>Sandra Viegas</v>
      </c>
      <c r="AF98" t="str">
        <v>João Barra | José Guerreiro</v>
      </c>
      <c r="AG98">
        <v>0</v>
      </c>
      <c r="AH98">
        <v>0</v>
      </c>
      <c r="AI98">
        <v>0</v>
      </c>
      <c r="AJ98">
        <v>0</v>
      </c>
      <c r="AK98">
        <v>0</v>
      </c>
      <c r="AL98" t="str">
        <v>Palmares</v>
      </c>
    </row>
    <row r="99" spans="1:38" x14ac:dyDescent="0.3">
      <c r="A99" t="str">
        <v>Palmares - Signature Residences</v>
      </c>
      <c r="B99" t="str">
        <v>Algarve</v>
      </c>
      <c r="C99" t="str">
        <v>21D</v>
      </c>
      <c r="D99">
        <v>0</v>
      </c>
      <c r="E99" t="str">
        <v>T2 + 1Duplex</v>
      </c>
      <c r="F99">
        <v>363.7</v>
      </c>
      <c r="G99">
        <v>0</v>
      </c>
      <c r="H99" t="str">
        <v/>
      </c>
      <c r="I99" t="str">
        <v>15.31</v>
      </c>
      <c r="J99">
        <v>0</v>
      </c>
      <c r="K99">
        <v>0</v>
      </c>
      <c r="L99">
        <v>0</v>
      </c>
      <c r="M99" s="79">
        <v>124.56</v>
      </c>
      <c r="N99">
        <v>0</v>
      </c>
      <c r="O99">
        <v>223.83</v>
      </c>
      <c r="P99">
        <v>0</v>
      </c>
      <c r="Q99" t="str">
        <v>AVAILABLE</v>
      </c>
      <c r="R99">
        <v>2050000</v>
      </c>
      <c r="S99">
        <v>2050000</v>
      </c>
      <c r="T99">
        <v>2050000</v>
      </c>
      <c r="U99">
        <v>0</v>
      </c>
      <c r="V99">
        <v>0</v>
      </c>
      <c r="W99">
        <v>2050000</v>
      </c>
      <c r="X99">
        <v>0</v>
      </c>
      <c r="Y99">
        <v>2050000</v>
      </c>
      <c r="Z99">
        <v>2050000</v>
      </c>
      <c r="AA99">
        <v>46141</v>
      </c>
      <c r="AB99" t="str">
        <v>Q2 2026</v>
      </c>
      <c r="AC99">
        <v>0</v>
      </c>
      <c r="AD99">
        <v>46843</v>
      </c>
      <c r="AE99" t="str">
        <v>Sandra Viegas</v>
      </c>
      <c r="AF99" t="str">
        <v>João Barra | José Guerreiro</v>
      </c>
      <c r="AG99">
        <v>0</v>
      </c>
      <c r="AH99">
        <v>0</v>
      </c>
      <c r="AI99">
        <v>0</v>
      </c>
      <c r="AJ99">
        <v>0</v>
      </c>
      <c r="AK99">
        <v>0</v>
      </c>
      <c r="AL99" t="str">
        <v>Palmares</v>
      </c>
    </row>
    <row r="100" spans="1:38" x14ac:dyDescent="0.3">
      <c r="A100" t="str">
        <v>Palmares - Signature Residences</v>
      </c>
      <c r="B100" t="str">
        <v>Algarve</v>
      </c>
      <c r="C100" t="str">
        <v>22D</v>
      </c>
      <c r="D100">
        <v>0</v>
      </c>
      <c r="E100" t="str">
        <v>T2 + 1Duplex</v>
      </c>
      <c r="F100">
        <v>355.14</v>
      </c>
      <c r="G100">
        <v>0</v>
      </c>
      <c r="H100" t="str">
        <v/>
      </c>
      <c r="I100" t="str">
        <v>15.13</v>
      </c>
      <c r="J100">
        <v>0</v>
      </c>
      <c r="K100">
        <v>0</v>
      </c>
      <c r="L100">
        <v>0</v>
      </c>
      <c r="M100" s="79">
        <v>115.74</v>
      </c>
      <c r="N100">
        <v>0</v>
      </c>
      <c r="O100">
        <v>224.27</v>
      </c>
      <c r="P100">
        <v>0</v>
      </c>
      <c r="Q100" t="str">
        <v>AVAILABLE</v>
      </c>
      <c r="R100">
        <v>2040000</v>
      </c>
      <c r="S100">
        <v>2040000</v>
      </c>
      <c r="T100">
        <v>2040000</v>
      </c>
      <c r="U100">
        <v>0</v>
      </c>
      <c r="V100">
        <v>0</v>
      </c>
      <c r="W100">
        <v>2040000</v>
      </c>
      <c r="X100">
        <v>0</v>
      </c>
      <c r="Y100">
        <v>2040000</v>
      </c>
      <c r="Z100">
        <v>2040000</v>
      </c>
      <c r="AA100">
        <v>46141</v>
      </c>
      <c r="AB100" t="str">
        <v>Q2 2026</v>
      </c>
      <c r="AC100">
        <v>0</v>
      </c>
      <c r="AD100">
        <v>46843</v>
      </c>
      <c r="AE100" t="str">
        <v>Sandra Viegas</v>
      </c>
      <c r="AF100" t="str">
        <v>João Barra | José Guerreiro</v>
      </c>
      <c r="AG100">
        <v>0</v>
      </c>
      <c r="AH100">
        <v>0</v>
      </c>
      <c r="AI100">
        <v>0</v>
      </c>
      <c r="AJ100">
        <v>0</v>
      </c>
      <c r="AK100">
        <v>0</v>
      </c>
      <c r="AL100" t="str">
        <v>Palmares</v>
      </c>
    </row>
    <row r="101" spans="1:38" x14ac:dyDescent="0.3">
      <c r="A101" t="str">
        <v>Palmares - Signature Residences</v>
      </c>
      <c r="B101" t="str">
        <v>Algarve</v>
      </c>
      <c r="C101" t="str">
        <v>23D</v>
      </c>
      <c r="D101">
        <v>0</v>
      </c>
      <c r="E101" t="str">
        <v>T2 + 1 Duplex</v>
      </c>
      <c r="F101">
        <v>396.94</v>
      </c>
      <c r="G101">
        <v>0</v>
      </c>
      <c r="H101" t="str">
        <v/>
      </c>
      <c r="I101" t="str">
        <v>15.34</v>
      </c>
      <c r="J101">
        <v>0</v>
      </c>
      <c r="K101">
        <v>0</v>
      </c>
      <c r="L101">
        <v>0</v>
      </c>
      <c r="M101" s="79">
        <v>146.99</v>
      </c>
      <c r="N101">
        <v>0</v>
      </c>
      <c r="O101">
        <v>234.61</v>
      </c>
      <c r="P101">
        <v>0</v>
      </c>
      <c r="Q101" t="str">
        <v>AVAILABLE</v>
      </c>
      <c r="R101">
        <v>2040000</v>
      </c>
      <c r="S101">
        <v>2040000</v>
      </c>
      <c r="T101">
        <v>2040000</v>
      </c>
      <c r="U101">
        <v>0</v>
      </c>
      <c r="V101">
        <v>0</v>
      </c>
      <c r="W101">
        <v>2040000</v>
      </c>
      <c r="X101">
        <v>0</v>
      </c>
      <c r="Y101">
        <v>2040000</v>
      </c>
      <c r="Z101">
        <v>2040000</v>
      </c>
      <c r="AA101">
        <v>46141</v>
      </c>
      <c r="AB101" t="str">
        <v>Q2 2026</v>
      </c>
      <c r="AC101">
        <v>0</v>
      </c>
      <c r="AD101">
        <v>46843</v>
      </c>
      <c r="AE101" t="str">
        <v>Sandra Viegas</v>
      </c>
      <c r="AF101" t="str">
        <v>João Barra | José Guerreiro</v>
      </c>
      <c r="AG101">
        <v>0</v>
      </c>
      <c r="AH101">
        <v>0</v>
      </c>
      <c r="AI101">
        <v>0</v>
      </c>
      <c r="AJ101">
        <v>0</v>
      </c>
      <c r="AK101">
        <v>0</v>
      </c>
      <c r="AL101" t="str">
        <v>Palmares</v>
      </c>
    </row>
    <row r="102" spans="1:38" x14ac:dyDescent="0.3">
      <c r="A102" t="str">
        <v>Palmares - Signature Residences</v>
      </c>
      <c r="B102" t="str">
        <v>Algarve</v>
      </c>
      <c r="C102" t="str">
        <v>24D</v>
      </c>
      <c r="D102">
        <v>0</v>
      </c>
      <c r="E102" t="str">
        <v>T2  Simplex</v>
      </c>
      <c r="F102">
        <v>240.78</v>
      </c>
      <c r="G102">
        <v>0</v>
      </c>
      <c r="H102" t="str">
        <v/>
      </c>
      <c r="I102" t="str">
        <v>16.38</v>
      </c>
      <c r="J102">
        <v>0</v>
      </c>
      <c r="K102">
        <v>0</v>
      </c>
      <c r="L102">
        <v>0</v>
      </c>
      <c r="M102" s="79">
        <v>75.489999999999995</v>
      </c>
      <c r="N102">
        <v>0</v>
      </c>
      <c r="O102">
        <v>148.91</v>
      </c>
      <c r="P102">
        <v>0</v>
      </c>
      <c r="Q102" t="str">
        <v>AVAILABLE</v>
      </c>
      <c r="R102">
        <v>1430000</v>
      </c>
      <c r="S102">
        <v>1430000</v>
      </c>
      <c r="T102">
        <v>1430000</v>
      </c>
      <c r="U102">
        <v>0</v>
      </c>
      <c r="V102">
        <v>0</v>
      </c>
      <c r="W102">
        <v>1430000</v>
      </c>
      <c r="X102">
        <v>0</v>
      </c>
      <c r="Y102">
        <v>1430000</v>
      </c>
      <c r="Z102">
        <v>1430000</v>
      </c>
      <c r="AA102">
        <v>46141</v>
      </c>
      <c r="AB102" t="str">
        <v>Q2 2026</v>
      </c>
      <c r="AC102">
        <v>0</v>
      </c>
      <c r="AD102">
        <v>46843</v>
      </c>
      <c r="AE102" t="str">
        <v>Sandra Viegas</v>
      </c>
      <c r="AF102" t="str">
        <v>João Barra | José Guerreiro</v>
      </c>
      <c r="AG102">
        <v>0</v>
      </c>
      <c r="AH102">
        <v>0</v>
      </c>
      <c r="AI102">
        <v>0</v>
      </c>
      <c r="AJ102">
        <v>0</v>
      </c>
      <c r="AK102">
        <v>0</v>
      </c>
      <c r="AL102" t="str">
        <v>Palmares</v>
      </c>
    </row>
    <row r="103" spans="1:38" x14ac:dyDescent="0.3">
      <c r="A103" t="str">
        <v>Palmares - Signature Residences</v>
      </c>
      <c r="B103" t="str">
        <v>Algarve</v>
      </c>
      <c r="C103" t="str">
        <v>25E</v>
      </c>
      <c r="D103">
        <v>0</v>
      </c>
      <c r="E103" t="str">
        <v>T3 + 1  Simplex</v>
      </c>
      <c r="F103">
        <v>447.28</v>
      </c>
      <c r="G103">
        <v>0</v>
      </c>
      <c r="H103" t="str">
        <v/>
      </c>
      <c r="I103" t="str">
        <v>32.8</v>
      </c>
      <c r="J103">
        <v>0</v>
      </c>
      <c r="K103">
        <v>0</v>
      </c>
      <c r="L103">
        <v>0</v>
      </c>
      <c r="M103" s="79">
        <v>110.49</v>
      </c>
      <c r="N103">
        <v>0</v>
      </c>
      <c r="O103">
        <v>303.99</v>
      </c>
      <c r="P103">
        <v>0</v>
      </c>
      <c r="Q103" t="str">
        <v>AVAILABLE</v>
      </c>
      <c r="R103">
        <v>3060000</v>
      </c>
      <c r="S103">
        <v>3060000</v>
      </c>
      <c r="T103">
        <v>3060000</v>
      </c>
      <c r="U103">
        <v>0</v>
      </c>
      <c r="V103">
        <v>0</v>
      </c>
      <c r="W103">
        <v>3060000</v>
      </c>
      <c r="X103">
        <v>0</v>
      </c>
      <c r="Y103">
        <v>3060000</v>
      </c>
      <c r="Z103">
        <v>3060000</v>
      </c>
      <c r="AA103">
        <v>46141</v>
      </c>
      <c r="AB103" t="str">
        <v>Q2 2026</v>
      </c>
      <c r="AC103">
        <v>0</v>
      </c>
      <c r="AD103">
        <v>46843</v>
      </c>
      <c r="AE103" t="str">
        <v>Sandra Viegas</v>
      </c>
      <c r="AF103" t="str">
        <v>João Barra | José Guerreiro</v>
      </c>
      <c r="AG103">
        <v>0</v>
      </c>
      <c r="AH103">
        <v>0</v>
      </c>
      <c r="AI103">
        <v>0</v>
      </c>
      <c r="AJ103">
        <v>0</v>
      </c>
      <c r="AK103">
        <v>0</v>
      </c>
      <c r="AL103" t="str">
        <v>Palmares</v>
      </c>
    </row>
    <row r="104" spans="1:38" x14ac:dyDescent="0.3">
      <c r="A104" t="str">
        <v>Palmares - Signature Residences</v>
      </c>
      <c r="B104" t="str">
        <v>Algarve</v>
      </c>
      <c r="C104" t="str">
        <v>26E</v>
      </c>
      <c r="D104">
        <v>0</v>
      </c>
      <c r="E104" t="str">
        <v>T3 + 1  Simplex</v>
      </c>
      <c r="F104">
        <v>447.28</v>
      </c>
      <c r="G104">
        <v>0</v>
      </c>
      <c r="H104" t="str">
        <v/>
      </c>
      <c r="I104" t="str">
        <v>32.8</v>
      </c>
      <c r="J104">
        <v>0</v>
      </c>
      <c r="K104">
        <v>0</v>
      </c>
      <c r="L104">
        <v>0</v>
      </c>
      <c r="M104" s="79">
        <v>110.49</v>
      </c>
      <c r="N104">
        <v>0</v>
      </c>
      <c r="O104">
        <v>303.99</v>
      </c>
      <c r="P104">
        <v>0</v>
      </c>
      <c r="Q104" t="str">
        <v>AVAILABLE</v>
      </c>
      <c r="R104">
        <v>2990000</v>
      </c>
      <c r="S104">
        <v>2990000</v>
      </c>
      <c r="T104">
        <v>2990000</v>
      </c>
      <c r="U104">
        <v>0</v>
      </c>
      <c r="V104">
        <v>0</v>
      </c>
      <c r="W104">
        <v>2990000</v>
      </c>
      <c r="X104">
        <v>0</v>
      </c>
      <c r="Y104">
        <v>2990000</v>
      </c>
      <c r="Z104">
        <v>2990000</v>
      </c>
      <c r="AA104">
        <v>46141</v>
      </c>
      <c r="AB104" t="str">
        <v>Q2 2026</v>
      </c>
      <c r="AC104">
        <v>0</v>
      </c>
      <c r="AD104">
        <v>46843</v>
      </c>
      <c r="AE104" t="str">
        <v>Sandra Viegas</v>
      </c>
      <c r="AF104" t="str">
        <v>João Barra | José Guerreiro</v>
      </c>
      <c r="AG104">
        <v>0</v>
      </c>
      <c r="AH104">
        <v>0</v>
      </c>
      <c r="AI104">
        <v>0</v>
      </c>
      <c r="AJ104">
        <v>0</v>
      </c>
      <c r="AK104">
        <v>0</v>
      </c>
      <c r="AL104" t="str">
        <v>Palmares</v>
      </c>
    </row>
    <row r="105" spans="1:38" x14ac:dyDescent="0.3">
      <c r="A105" t="str">
        <v>Palmares - Signature Residences</v>
      </c>
      <c r="B105" t="str">
        <v>Algarve</v>
      </c>
      <c r="C105" t="str">
        <v>27E</v>
      </c>
      <c r="D105">
        <v>0</v>
      </c>
      <c r="E105" t="str">
        <v>T3 + 1  Simplex</v>
      </c>
      <c r="F105">
        <v>445.43</v>
      </c>
      <c r="G105">
        <v>0</v>
      </c>
      <c r="H105" t="str">
        <v/>
      </c>
      <c r="I105" t="str">
        <v>32.8</v>
      </c>
      <c r="J105">
        <v>0</v>
      </c>
      <c r="K105">
        <v>0</v>
      </c>
      <c r="L105">
        <v>0</v>
      </c>
      <c r="M105" s="79">
        <v>110.49</v>
      </c>
      <c r="N105">
        <v>0</v>
      </c>
      <c r="O105">
        <v>302.14</v>
      </c>
      <c r="P105">
        <v>0</v>
      </c>
      <c r="Q105" t="str">
        <v>AVAILABLE</v>
      </c>
      <c r="R105">
        <v>2890000</v>
      </c>
      <c r="S105">
        <v>2890000</v>
      </c>
      <c r="T105">
        <v>2890000</v>
      </c>
      <c r="U105">
        <v>0</v>
      </c>
      <c r="V105">
        <v>0</v>
      </c>
      <c r="W105">
        <v>2890000</v>
      </c>
      <c r="X105">
        <v>0</v>
      </c>
      <c r="Y105">
        <v>2890000</v>
      </c>
      <c r="Z105">
        <v>2890000</v>
      </c>
      <c r="AA105">
        <v>46141</v>
      </c>
      <c r="AB105" t="str">
        <v>Q2 2026</v>
      </c>
      <c r="AC105">
        <v>0</v>
      </c>
      <c r="AD105">
        <v>46843</v>
      </c>
      <c r="AE105" t="str">
        <v>Sandra Viegas</v>
      </c>
      <c r="AF105" t="str">
        <v>João Barra | José Guerreiro</v>
      </c>
      <c r="AG105">
        <v>0</v>
      </c>
      <c r="AH105">
        <v>0</v>
      </c>
      <c r="AI105">
        <v>0</v>
      </c>
      <c r="AJ105">
        <v>0</v>
      </c>
      <c r="AK105">
        <v>0</v>
      </c>
      <c r="AL105" t="str">
        <v>Palmares</v>
      </c>
    </row>
    <row r="106" spans="1:38" x14ac:dyDescent="0.3">
      <c r="A106" t="str">
        <v>Palmares - Signature Residences</v>
      </c>
      <c r="B106" t="str">
        <v>Algarve</v>
      </c>
      <c r="C106" t="str">
        <v>28E</v>
      </c>
      <c r="D106">
        <v>0</v>
      </c>
      <c r="E106" t="str">
        <v>T2 + 1   Simplex</v>
      </c>
      <c r="F106">
        <v>327.23</v>
      </c>
      <c r="G106">
        <v>0</v>
      </c>
      <c r="H106" t="str">
        <v/>
      </c>
      <c r="I106" t="str">
        <v>18.39</v>
      </c>
      <c r="J106">
        <v>0</v>
      </c>
      <c r="K106">
        <v>0</v>
      </c>
      <c r="L106">
        <v>0</v>
      </c>
      <c r="M106" s="79">
        <v>113.23</v>
      </c>
      <c r="N106">
        <v>0</v>
      </c>
      <c r="O106">
        <v>195.61</v>
      </c>
      <c r="P106">
        <v>0</v>
      </c>
      <c r="Q106" t="str">
        <v>AVAILABLE</v>
      </c>
      <c r="R106">
        <v>1930000</v>
      </c>
      <c r="S106">
        <v>1930000</v>
      </c>
      <c r="T106">
        <v>1930000</v>
      </c>
      <c r="U106">
        <v>0</v>
      </c>
      <c r="V106">
        <v>0</v>
      </c>
      <c r="W106">
        <v>1930000</v>
      </c>
      <c r="X106">
        <v>0</v>
      </c>
      <c r="Y106">
        <v>1930000</v>
      </c>
      <c r="Z106">
        <v>1930000</v>
      </c>
      <c r="AA106">
        <v>46141</v>
      </c>
      <c r="AB106" t="str">
        <v>Q2 2026</v>
      </c>
      <c r="AC106">
        <v>0</v>
      </c>
      <c r="AD106">
        <v>46843</v>
      </c>
      <c r="AE106" t="str">
        <v>Sandra Viegas</v>
      </c>
      <c r="AF106" t="str">
        <v>João Barra | José Guerreiro</v>
      </c>
      <c r="AG106">
        <v>0</v>
      </c>
      <c r="AH106">
        <v>0</v>
      </c>
      <c r="AI106">
        <v>0</v>
      </c>
      <c r="AJ106">
        <v>0</v>
      </c>
      <c r="AK106">
        <v>0</v>
      </c>
      <c r="AL106" t="str">
        <v>Palmares</v>
      </c>
    </row>
    <row r="107" spans="1:38" x14ac:dyDescent="0.3">
      <c r="A107" t="str">
        <v>Palmares - Signature Residences</v>
      </c>
      <c r="B107" t="str">
        <v>Algarve</v>
      </c>
      <c r="C107" t="str">
        <v>29E</v>
      </c>
      <c r="D107">
        <v>0</v>
      </c>
      <c r="E107" t="str">
        <v>T2 Duplex</v>
      </c>
      <c r="F107">
        <v>258.68</v>
      </c>
      <c r="G107">
        <v>0</v>
      </c>
      <c r="H107" t="str">
        <v/>
      </c>
      <c r="I107" t="str">
        <v>18.78</v>
      </c>
      <c r="J107">
        <v>0</v>
      </c>
      <c r="K107">
        <v>0</v>
      </c>
      <c r="L107">
        <v>0</v>
      </c>
      <c r="M107" s="79">
        <v>75.849999999999994</v>
      </c>
      <c r="N107">
        <v>0</v>
      </c>
      <c r="O107">
        <v>164.05</v>
      </c>
      <c r="P107">
        <v>0</v>
      </c>
      <c r="Q107" t="str">
        <v>AVAILABLE</v>
      </c>
      <c r="R107">
        <v>1340000</v>
      </c>
      <c r="S107">
        <v>1340000</v>
      </c>
      <c r="T107">
        <v>1340000</v>
      </c>
      <c r="U107">
        <v>0</v>
      </c>
      <c r="V107">
        <v>0</v>
      </c>
      <c r="W107">
        <v>1340000</v>
      </c>
      <c r="X107">
        <v>0</v>
      </c>
      <c r="Y107">
        <v>1340000</v>
      </c>
      <c r="Z107">
        <v>1340000</v>
      </c>
      <c r="AA107">
        <v>46141</v>
      </c>
      <c r="AB107" t="str">
        <v>Q2 2026</v>
      </c>
      <c r="AC107">
        <v>0</v>
      </c>
      <c r="AD107">
        <v>46843</v>
      </c>
      <c r="AE107" t="str">
        <v>Sandra Viegas</v>
      </c>
      <c r="AF107" t="str">
        <v>João Barra | José Guerreiro</v>
      </c>
      <c r="AG107">
        <v>0</v>
      </c>
      <c r="AH107">
        <v>0</v>
      </c>
      <c r="AI107">
        <v>0</v>
      </c>
      <c r="AJ107">
        <v>0</v>
      </c>
      <c r="AK107">
        <v>0</v>
      </c>
      <c r="AL107" t="str">
        <v>Palmares</v>
      </c>
    </row>
    <row r="108" spans="1:38" x14ac:dyDescent="0.3">
      <c r="A108" t="str">
        <v>Palmares - Signature Residences</v>
      </c>
      <c r="B108" t="str">
        <v>Algarve</v>
      </c>
      <c r="C108" t="str">
        <v>2A</v>
      </c>
      <c r="D108">
        <v>0</v>
      </c>
      <c r="E108" t="str">
        <v>T1</v>
      </c>
      <c r="F108">
        <v>87.35</v>
      </c>
      <c r="G108">
        <v>0</v>
      </c>
      <c r="H108" t="str">
        <v/>
      </c>
      <c r="I108" t="str">
        <v>8.37</v>
      </c>
      <c r="J108">
        <v>0</v>
      </c>
      <c r="K108">
        <v>0</v>
      </c>
      <c r="L108">
        <v>0</v>
      </c>
      <c r="M108" s="79">
        <v>15.12</v>
      </c>
      <c r="N108">
        <v>0</v>
      </c>
      <c r="O108">
        <v>63.86</v>
      </c>
      <c r="P108">
        <v>0</v>
      </c>
      <c r="Q108" t="str">
        <v>AVAILABLE</v>
      </c>
      <c r="R108">
        <v>660000</v>
      </c>
      <c r="S108">
        <v>660000</v>
      </c>
      <c r="T108">
        <v>660000</v>
      </c>
      <c r="U108">
        <v>0</v>
      </c>
      <c r="V108">
        <v>0</v>
      </c>
      <c r="W108">
        <v>660000</v>
      </c>
      <c r="X108">
        <v>0</v>
      </c>
      <c r="Y108">
        <v>660000</v>
      </c>
      <c r="Z108">
        <v>660000</v>
      </c>
      <c r="AA108">
        <v>46141</v>
      </c>
      <c r="AB108" t="str">
        <v>Q2 2026</v>
      </c>
      <c r="AC108">
        <v>0</v>
      </c>
      <c r="AD108">
        <v>46843</v>
      </c>
      <c r="AE108" t="str">
        <v>Sandra Viegas</v>
      </c>
      <c r="AF108" t="str">
        <v>João Barra | José Guerreiro</v>
      </c>
      <c r="AG108">
        <v>0</v>
      </c>
      <c r="AH108">
        <v>0</v>
      </c>
      <c r="AI108">
        <v>0</v>
      </c>
      <c r="AJ108">
        <v>0</v>
      </c>
      <c r="AK108">
        <v>0</v>
      </c>
      <c r="AL108" t="str">
        <v>Palmares</v>
      </c>
    </row>
    <row r="109" spans="1:38" x14ac:dyDescent="0.3">
      <c r="A109" t="str">
        <v>Palmares - Signature Residences</v>
      </c>
      <c r="B109" t="str">
        <v>Algarve</v>
      </c>
      <c r="C109" t="str">
        <v>3A</v>
      </c>
      <c r="D109">
        <v>0</v>
      </c>
      <c r="E109" t="str">
        <v>T1</v>
      </c>
      <c r="F109">
        <v>89.62</v>
      </c>
      <c r="G109">
        <v>0</v>
      </c>
      <c r="H109" t="str">
        <v/>
      </c>
      <c r="I109" t="str">
        <v>7.28</v>
      </c>
      <c r="J109">
        <v>0</v>
      </c>
      <c r="K109">
        <v>0</v>
      </c>
      <c r="L109">
        <v>0</v>
      </c>
      <c r="M109" s="79">
        <v>19.03</v>
      </c>
      <c r="N109">
        <v>0</v>
      </c>
      <c r="O109">
        <v>63.31</v>
      </c>
      <c r="P109">
        <v>0</v>
      </c>
      <c r="Q109" t="str">
        <v>AVAILABLE</v>
      </c>
      <c r="R109">
        <v>640000</v>
      </c>
      <c r="S109">
        <v>640000</v>
      </c>
      <c r="T109">
        <v>640000</v>
      </c>
      <c r="U109">
        <v>0</v>
      </c>
      <c r="V109">
        <v>0</v>
      </c>
      <c r="W109">
        <v>640000</v>
      </c>
      <c r="X109">
        <v>0</v>
      </c>
      <c r="Y109">
        <v>640000</v>
      </c>
      <c r="Z109">
        <v>640000</v>
      </c>
      <c r="AA109">
        <v>46141</v>
      </c>
      <c r="AB109" t="str">
        <v>Q2 2026</v>
      </c>
      <c r="AC109">
        <v>0</v>
      </c>
      <c r="AD109">
        <v>46843</v>
      </c>
      <c r="AE109" t="str">
        <v>Sandra Viegas</v>
      </c>
      <c r="AF109" t="str">
        <v>João Barra | José Guerreiro</v>
      </c>
      <c r="AG109">
        <v>0</v>
      </c>
      <c r="AH109">
        <v>0</v>
      </c>
      <c r="AI109">
        <v>0</v>
      </c>
      <c r="AJ109">
        <v>0</v>
      </c>
      <c r="AK109">
        <v>0</v>
      </c>
      <c r="AL109" t="str">
        <v>Palmares</v>
      </c>
    </row>
    <row r="110" spans="1:38" x14ac:dyDescent="0.3">
      <c r="A110" t="str">
        <v>Palmares - Signature Residences</v>
      </c>
      <c r="B110" t="str">
        <v>Algarve</v>
      </c>
      <c r="C110" t="str">
        <v>4A</v>
      </c>
      <c r="D110">
        <v>0</v>
      </c>
      <c r="E110" t="str">
        <v>T1</v>
      </c>
      <c r="F110">
        <v>86.99</v>
      </c>
      <c r="G110">
        <v>0</v>
      </c>
      <c r="H110" t="str">
        <v/>
      </c>
      <c r="I110" t="str">
        <v>8.37</v>
      </c>
      <c r="J110">
        <v>0</v>
      </c>
      <c r="K110">
        <v>0</v>
      </c>
      <c r="L110">
        <v>0</v>
      </c>
      <c r="M110" s="79">
        <v>15.09</v>
      </c>
      <c r="N110">
        <v>0</v>
      </c>
      <c r="O110">
        <v>63.53</v>
      </c>
      <c r="P110">
        <v>0</v>
      </c>
      <c r="Q110" t="str">
        <v>AVAILABLE</v>
      </c>
      <c r="R110">
        <v>660000</v>
      </c>
      <c r="S110">
        <v>660000</v>
      </c>
      <c r="T110">
        <v>660000</v>
      </c>
      <c r="U110">
        <v>0</v>
      </c>
      <c r="V110">
        <v>0</v>
      </c>
      <c r="W110">
        <v>660000</v>
      </c>
      <c r="X110">
        <v>0</v>
      </c>
      <c r="Y110">
        <v>660000</v>
      </c>
      <c r="Z110">
        <v>660000</v>
      </c>
      <c r="AA110">
        <v>46141</v>
      </c>
      <c r="AB110" t="str">
        <v>Q2 2026</v>
      </c>
      <c r="AC110">
        <v>0</v>
      </c>
      <c r="AD110">
        <v>46843</v>
      </c>
      <c r="AE110" t="str">
        <v>Sandra Viegas</v>
      </c>
      <c r="AF110" t="str">
        <v>João Barra | José Guerreiro</v>
      </c>
      <c r="AG110">
        <v>0</v>
      </c>
      <c r="AH110">
        <v>0</v>
      </c>
      <c r="AI110">
        <v>0</v>
      </c>
      <c r="AJ110">
        <v>0</v>
      </c>
      <c r="AK110">
        <v>0</v>
      </c>
      <c r="AL110" t="str">
        <v>Palmares</v>
      </c>
    </row>
    <row r="111" spans="1:38" x14ac:dyDescent="0.3">
      <c r="A111" t="str">
        <v>Palmares - Signature Residences</v>
      </c>
      <c r="B111" t="str">
        <v>Algarve</v>
      </c>
      <c r="C111" t="str">
        <v>5A</v>
      </c>
      <c r="D111">
        <v>0</v>
      </c>
      <c r="E111" t="str">
        <v>T1</v>
      </c>
      <c r="F111">
        <v>90.53</v>
      </c>
      <c r="G111">
        <v>0</v>
      </c>
      <c r="H111" t="str">
        <v/>
      </c>
      <c r="I111" t="str">
        <v>7.28</v>
      </c>
      <c r="J111">
        <v>0</v>
      </c>
      <c r="K111">
        <v>0</v>
      </c>
      <c r="L111">
        <v>0</v>
      </c>
      <c r="M111" s="79">
        <v>19.03</v>
      </c>
      <c r="N111">
        <v>0</v>
      </c>
      <c r="O111">
        <v>64.22</v>
      </c>
      <c r="P111">
        <v>0</v>
      </c>
      <c r="Q111" t="str">
        <v>AVAILABLE</v>
      </c>
      <c r="R111">
        <v>640000</v>
      </c>
      <c r="S111">
        <v>640000</v>
      </c>
      <c r="T111">
        <v>640000</v>
      </c>
      <c r="U111">
        <v>0</v>
      </c>
      <c r="V111">
        <v>0</v>
      </c>
      <c r="W111">
        <v>640000</v>
      </c>
      <c r="X111">
        <v>0</v>
      </c>
      <c r="Y111">
        <v>640000</v>
      </c>
      <c r="Z111">
        <v>640000</v>
      </c>
      <c r="AA111">
        <v>46141</v>
      </c>
      <c r="AB111" t="str">
        <v>Q2 2026</v>
      </c>
      <c r="AC111">
        <v>0</v>
      </c>
      <c r="AD111">
        <v>46843</v>
      </c>
      <c r="AE111" t="str">
        <v>Sandra Viegas</v>
      </c>
      <c r="AF111" t="str">
        <v>João Barra | José Guerreiro</v>
      </c>
      <c r="AG111">
        <v>0</v>
      </c>
      <c r="AH111">
        <v>0</v>
      </c>
      <c r="AI111">
        <v>0</v>
      </c>
      <c r="AJ111">
        <v>0</v>
      </c>
      <c r="AK111">
        <v>0</v>
      </c>
      <c r="AL111" t="str">
        <v>Palmares</v>
      </c>
    </row>
    <row r="112" spans="1:38" x14ac:dyDescent="0.3">
      <c r="A112" t="str">
        <v>Palmares - Signature Residences</v>
      </c>
      <c r="B112" t="str">
        <v>Algarve</v>
      </c>
      <c r="C112" t="str">
        <v>6A</v>
      </c>
      <c r="D112">
        <v>0</v>
      </c>
      <c r="E112" t="str">
        <v>T1</v>
      </c>
      <c r="F112">
        <v>87.33</v>
      </c>
      <c r="G112">
        <v>0</v>
      </c>
      <c r="H112" t="str">
        <v/>
      </c>
      <c r="I112" t="str">
        <v>8.37</v>
      </c>
      <c r="J112">
        <v>0</v>
      </c>
      <c r="K112">
        <v>0</v>
      </c>
      <c r="L112">
        <v>0</v>
      </c>
      <c r="M112" s="79">
        <v>15.12</v>
      </c>
      <c r="N112">
        <v>0</v>
      </c>
      <c r="O112">
        <v>63.84</v>
      </c>
      <c r="P112">
        <v>0</v>
      </c>
      <c r="Q112" t="str">
        <v>AVAILABLE</v>
      </c>
      <c r="R112">
        <v>660000</v>
      </c>
      <c r="S112">
        <v>660000</v>
      </c>
      <c r="T112">
        <v>660000</v>
      </c>
      <c r="U112">
        <v>0</v>
      </c>
      <c r="V112">
        <v>0</v>
      </c>
      <c r="W112">
        <v>660000</v>
      </c>
      <c r="X112">
        <v>0</v>
      </c>
      <c r="Y112">
        <v>660000</v>
      </c>
      <c r="Z112">
        <v>660000</v>
      </c>
      <c r="AA112">
        <v>46141</v>
      </c>
      <c r="AB112" t="str">
        <v>Q2 2026</v>
      </c>
      <c r="AC112">
        <v>0</v>
      </c>
      <c r="AD112">
        <v>46843</v>
      </c>
      <c r="AE112" t="str">
        <v>Sandra Viegas</v>
      </c>
      <c r="AF112" t="str">
        <v>João Barra | José Guerreiro</v>
      </c>
      <c r="AG112">
        <v>0</v>
      </c>
      <c r="AH112">
        <v>0</v>
      </c>
      <c r="AI112">
        <v>0</v>
      </c>
      <c r="AJ112">
        <v>0</v>
      </c>
      <c r="AK112">
        <v>0</v>
      </c>
      <c r="AL112" t="str">
        <v>Palmares</v>
      </c>
    </row>
    <row r="113" spans="1:38" x14ac:dyDescent="0.3">
      <c r="A113" t="str">
        <v>Palmares - Signature Residences</v>
      </c>
      <c r="B113" t="str">
        <v>Algarve</v>
      </c>
      <c r="C113" t="str">
        <v>7A</v>
      </c>
      <c r="D113">
        <v>0</v>
      </c>
      <c r="E113" t="str">
        <v>T1</v>
      </c>
      <c r="F113">
        <v>89.32</v>
      </c>
      <c r="G113">
        <v>0</v>
      </c>
      <c r="H113" t="str">
        <v/>
      </c>
      <c r="I113" t="str">
        <v>7.28</v>
      </c>
      <c r="J113">
        <v>0</v>
      </c>
      <c r="K113">
        <v>0</v>
      </c>
      <c r="L113">
        <v>0</v>
      </c>
      <c r="M113" s="79">
        <v>19.010000000000002</v>
      </c>
      <c r="N113">
        <v>0</v>
      </c>
      <c r="O113">
        <v>63.03</v>
      </c>
      <c r="P113">
        <v>0</v>
      </c>
      <c r="Q113" t="str">
        <v>AVAILABLE</v>
      </c>
      <c r="R113">
        <v>630000</v>
      </c>
      <c r="S113">
        <v>630000</v>
      </c>
      <c r="T113">
        <v>630000</v>
      </c>
      <c r="U113">
        <v>0</v>
      </c>
      <c r="V113">
        <v>0</v>
      </c>
      <c r="W113">
        <v>630000</v>
      </c>
      <c r="X113">
        <v>0</v>
      </c>
      <c r="Y113">
        <v>630000</v>
      </c>
      <c r="Z113">
        <v>630000</v>
      </c>
      <c r="AA113">
        <v>46141</v>
      </c>
      <c r="AB113" t="str">
        <v>Q2 2026</v>
      </c>
      <c r="AC113">
        <v>0</v>
      </c>
      <c r="AD113">
        <v>46843</v>
      </c>
      <c r="AE113" t="str">
        <v>Sandra Viegas</v>
      </c>
      <c r="AF113" t="str">
        <v>João Barra | José Guerreiro</v>
      </c>
      <c r="AG113">
        <v>0</v>
      </c>
      <c r="AH113">
        <v>0</v>
      </c>
      <c r="AI113">
        <v>0</v>
      </c>
      <c r="AJ113">
        <v>0</v>
      </c>
      <c r="AK113">
        <v>0</v>
      </c>
      <c r="AL113" t="str">
        <v>Palmares</v>
      </c>
    </row>
    <row r="114" spans="1:38" x14ac:dyDescent="0.3">
      <c r="A114" t="str">
        <v>Palmares - Signature Residences</v>
      </c>
      <c r="B114" t="str">
        <v>Algarve</v>
      </c>
      <c r="C114" t="str">
        <v>15B</v>
      </c>
      <c r="D114">
        <v>0</v>
      </c>
      <c r="E114" t="str">
        <v>T2Duplex</v>
      </c>
      <c r="F114">
        <v>290.99</v>
      </c>
      <c r="G114">
        <v>0</v>
      </c>
      <c r="H114" t="str">
        <v/>
      </c>
      <c r="I114" t="str">
        <v>15.28</v>
      </c>
      <c r="J114">
        <v>0</v>
      </c>
      <c r="K114">
        <v>0</v>
      </c>
      <c r="L114">
        <v>0</v>
      </c>
      <c r="M114" s="79">
        <v>83.84</v>
      </c>
      <c r="N114">
        <v>0</v>
      </c>
      <c r="O114">
        <v>191.87</v>
      </c>
      <c r="P114">
        <v>0</v>
      </c>
      <c r="Q114" t="str">
        <v xml:space="preserve">PSPA </v>
      </c>
      <c r="R114">
        <v>1470000</v>
      </c>
      <c r="S114">
        <v>1470000</v>
      </c>
      <c r="T114">
        <v>1470000</v>
      </c>
      <c r="U114">
        <v>0</v>
      </c>
      <c r="V114">
        <v>0</v>
      </c>
      <c r="W114">
        <v>1470000</v>
      </c>
      <c r="X114">
        <v>0</v>
      </c>
      <c r="Y114">
        <v>1470000</v>
      </c>
      <c r="Z114">
        <v>1470000</v>
      </c>
      <c r="AA114">
        <v>46141</v>
      </c>
      <c r="AB114" t="str">
        <v>Q2 2026</v>
      </c>
      <c r="AC114">
        <v>46144</v>
      </c>
      <c r="AD114">
        <v>46843</v>
      </c>
      <c r="AE114" t="str">
        <v>Sandra Viegas</v>
      </c>
      <c r="AF114" t="str">
        <v>João Barra | José Guerreiro</v>
      </c>
      <c r="AG114">
        <v>0</v>
      </c>
      <c r="AH114">
        <v>0</v>
      </c>
      <c r="AI114">
        <v>0</v>
      </c>
      <c r="AJ114">
        <v>0</v>
      </c>
      <c r="AK114">
        <v>0</v>
      </c>
      <c r="AL114" t="str">
        <v>Palmares</v>
      </c>
    </row>
    <row r="115" spans="1:38" x14ac:dyDescent="0.3">
      <c r="A115" t="str">
        <v>Palmares - Signature Residences</v>
      </c>
      <c r="B115" t="str">
        <v>Algarve</v>
      </c>
      <c r="C115" t="str">
        <v>9C</v>
      </c>
      <c r="D115">
        <v>0</v>
      </c>
      <c r="E115" t="str">
        <v>T1</v>
      </c>
      <c r="F115">
        <v>93.05</v>
      </c>
      <c r="G115">
        <v>0</v>
      </c>
      <c r="H115" t="str">
        <v/>
      </c>
      <c r="I115" t="str">
        <v>8.37</v>
      </c>
      <c r="J115">
        <v>0</v>
      </c>
      <c r="K115">
        <v>0</v>
      </c>
      <c r="L115">
        <v>0</v>
      </c>
      <c r="M115" s="79">
        <v>18.989999999999998</v>
      </c>
      <c r="N115">
        <v>0</v>
      </c>
      <c r="O115">
        <v>65.69</v>
      </c>
      <c r="P115">
        <v>0</v>
      </c>
      <c r="Q115" t="str">
        <v>AVAILABLE</v>
      </c>
      <c r="R115">
        <v>710000</v>
      </c>
      <c r="S115">
        <v>710000</v>
      </c>
      <c r="T115">
        <v>710000</v>
      </c>
      <c r="U115">
        <v>0</v>
      </c>
      <c r="V115">
        <v>0</v>
      </c>
      <c r="W115">
        <v>710000</v>
      </c>
      <c r="X115">
        <v>0</v>
      </c>
      <c r="Y115">
        <v>710000</v>
      </c>
      <c r="Z115">
        <v>710000</v>
      </c>
      <c r="AA115">
        <v>46141</v>
      </c>
      <c r="AB115" t="str">
        <v>Q2 2026</v>
      </c>
      <c r="AC115">
        <v>0</v>
      </c>
      <c r="AD115">
        <v>46843</v>
      </c>
      <c r="AE115" t="str">
        <v>Sandra Viegas</v>
      </c>
      <c r="AF115" t="str">
        <v>João Barra | José Guerreiro</v>
      </c>
      <c r="AG115">
        <v>0</v>
      </c>
      <c r="AH115">
        <v>0</v>
      </c>
      <c r="AI115">
        <v>0</v>
      </c>
      <c r="AJ115">
        <v>0</v>
      </c>
      <c r="AK115">
        <v>0</v>
      </c>
      <c r="AL115" t="str">
        <v>Palmares</v>
      </c>
    </row>
  </sheetData>
  <autoFilter ref="A2:AL2" xr:uid="{8C381E57-20A3-4D29-9AC1-A20B676A56DB}"/>
  <conditionalFormatting sqref="A2">
    <cfRule type="containsText" dxfId="23" priority="3" operator="containsText" text="Center">
      <formula>NOT(ISERROR(SEARCH("Center",A2)))</formula>
    </cfRule>
    <cfRule type="containsText" dxfId="22" priority="4" operator="containsText" text="North">
      <formula>NOT(ISERROR(SEARCH("North",A2)))</formula>
    </cfRule>
    <cfRule type="containsText" dxfId="21" priority="5" operator="containsText" text="Algarve">
      <formula>NOT(ISERROR(SEARCH("Algarve",A2)))</formula>
    </cfRule>
    <cfRule type="containsText" dxfId="20" priority="6" operator="containsText" text="Vilamoura">
      <formula>NOT(ISERROR(SEARCH("Vilamoura",A2)))</formula>
    </cfRule>
  </conditionalFormatting>
  <conditionalFormatting sqref="Q2">
    <cfRule type="containsText" dxfId="19" priority="1" operator="containsText" text="PRE-RESERVED">
      <formula>NOT(ISERROR(SEARCH("PRE-RESERVED",Q2)))</formula>
    </cfRule>
    <cfRule type="containsText" dxfId="18" priority="2" operator="containsText" text="RESERVED">
      <formula>NOT(ISERROR(SEARCH("RESERVED",Q2)))</formula>
    </cfRule>
  </conditionalFormatting>
  <pageMargins left="0.7" right="0.7" top="0.75" bottom="0.75" header="0.3" footer="0.3"/>
  <pageSetup paperSize="8" scale="69" fitToHeight="0" orientation="landscape"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723A3-1724-40CD-80F2-09176B1F5D70}">
  <sheetPr>
    <tabColor rgb="FF91AEBD"/>
    <pageSetUpPr fitToPage="1"/>
  </sheetPr>
  <dimension ref="A1:AL101"/>
  <sheetViews>
    <sheetView showGridLines="0" zoomScale="71" zoomScaleNormal="40" zoomScaleSheetLayoutView="70" workbookViewId="0">
      <pane xSplit="1" topLeftCell="H1" activePane="topRight" state="frozen"/>
      <selection activeCell="A2" sqref="A2"/>
      <selection pane="topRight" activeCell="A2" sqref="A2"/>
    </sheetView>
  </sheetViews>
  <sheetFormatPr defaultColWidth="8.6640625" defaultRowHeight="14.4" outlineLevelCol="2" x14ac:dyDescent="0.3"/>
  <cols>
    <col min="1" max="1" width="20.33203125" bestFit="1" customWidth="1"/>
    <col min="2" max="6" width="11.77734375" customWidth="1"/>
    <col min="7" max="12" width="11.77734375" customWidth="1" outlineLevel="2"/>
    <col min="13" max="13" width="11.77734375" style="79" customWidth="1" outlineLevel="2"/>
    <col min="14" max="14" width="11.77734375" customWidth="1" outlineLevel="2"/>
    <col min="15" max="16" width="11.77734375" customWidth="1" outlineLevel="1"/>
    <col min="17" max="18" width="11.77734375" customWidth="1"/>
    <col min="19" max="22" width="11.77734375" customWidth="1" outlineLevel="1"/>
    <col min="23" max="24" width="11.77734375" customWidth="1"/>
    <col min="25" max="25" width="11.77734375" customWidth="1" outlineLevel="1"/>
    <col min="26" max="26" width="11.77734375" customWidth="1"/>
    <col min="27" max="27" width="11.77734375" customWidth="1" outlineLevel="1"/>
    <col min="28" max="38" width="11.77734375" customWidth="1"/>
  </cols>
  <sheetData>
    <row r="1" spans="1:38" s="1" customFormat="1" ht="20.399999999999999" customHeight="1" x14ac:dyDescent="0.3">
      <c r="A1" s="114" t="s">
        <v>73</v>
      </c>
    </row>
    <row r="2" spans="1:38" s="2" customFormat="1" ht="46.2" customHeight="1" x14ac:dyDescent="0.3">
      <c r="A2" s="95" t="s">
        <v>335</v>
      </c>
      <c r="B2" s="95" t="s">
        <v>684</v>
      </c>
      <c r="C2" s="96" t="s">
        <v>765</v>
      </c>
      <c r="D2" s="97" t="s">
        <v>1</v>
      </c>
      <c r="E2" s="95" t="s">
        <v>93</v>
      </c>
      <c r="F2" s="95" t="s">
        <v>763</v>
      </c>
      <c r="G2" s="98" t="s">
        <v>675</v>
      </c>
      <c r="H2" s="99" t="s">
        <v>676</v>
      </c>
      <c r="I2" s="99" t="s">
        <v>677</v>
      </c>
      <c r="J2" s="100" t="s">
        <v>678</v>
      </c>
      <c r="K2" s="98" t="s">
        <v>679</v>
      </c>
      <c r="L2" s="98" t="s">
        <v>779</v>
      </c>
      <c r="M2" s="98" t="s">
        <v>680</v>
      </c>
      <c r="N2" s="101" t="s">
        <v>681</v>
      </c>
      <c r="O2" s="102" t="s">
        <v>94</v>
      </c>
      <c r="P2" s="102" t="s">
        <v>95</v>
      </c>
      <c r="Q2" s="95" t="s">
        <v>624</v>
      </c>
      <c r="R2" s="103" t="s">
        <v>331</v>
      </c>
      <c r="S2" s="104" t="s">
        <v>332</v>
      </c>
      <c r="T2" s="105" t="s">
        <v>333</v>
      </c>
      <c r="U2" s="105" t="s">
        <v>682</v>
      </c>
      <c r="V2" s="105" t="s">
        <v>97</v>
      </c>
      <c r="W2" s="95" t="s">
        <v>330</v>
      </c>
      <c r="X2" s="106" t="s">
        <v>919</v>
      </c>
      <c r="Y2" s="105" t="s">
        <v>334</v>
      </c>
      <c r="Z2" s="95" t="s">
        <v>98</v>
      </c>
      <c r="AA2" s="107" t="s">
        <v>933</v>
      </c>
      <c r="AB2" s="108" t="s">
        <v>934</v>
      </c>
      <c r="AC2" s="108" t="s">
        <v>928</v>
      </c>
      <c r="AD2" s="109" t="s">
        <v>926</v>
      </c>
      <c r="AE2" s="97" t="s">
        <v>792</v>
      </c>
      <c r="AF2" s="97" t="s">
        <v>793</v>
      </c>
      <c r="AG2" s="97" t="s">
        <v>2</v>
      </c>
      <c r="AH2" s="97" t="s">
        <v>3</v>
      </c>
      <c r="AI2" s="97" t="s">
        <v>5</v>
      </c>
      <c r="AJ2" s="97" t="s">
        <v>794</v>
      </c>
      <c r="AK2" s="97" t="s">
        <v>6</v>
      </c>
      <c r="AL2" s="95" t="s">
        <v>918</v>
      </c>
    </row>
    <row r="3" spans="1:38" s="112" customFormat="1" ht="13.8" x14ac:dyDescent="0.3">
      <c r="A3" s="129" t="str" cm="1">
        <f t="array" ref="A3:AL101">_xlfn._xlws.FILTER(DATABASE_Table[],DATABASE_Table[Development]=$A$1,"")</f>
        <v xml:space="preserve">MR - CHR </v>
      </c>
      <c r="B3" s="129" t="str">
        <v>Algarve</v>
      </c>
      <c r="C3" s="110" t="str">
        <v>K</v>
      </c>
      <c r="D3" s="110" t="str">
        <v>Vila Nova de Cacela, Algarve</v>
      </c>
      <c r="E3" s="110" t="str">
        <v>T2</v>
      </c>
      <c r="F3" s="110">
        <v>197.08</v>
      </c>
      <c r="G3" s="110">
        <v>0</v>
      </c>
      <c r="H3" s="110" t="str">
        <v/>
      </c>
      <c r="I3" s="110" t="str">
        <v/>
      </c>
      <c r="J3" s="110">
        <v>0</v>
      </c>
      <c r="K3" s="110">
        <v>0</v>
      </c>
      <c r="L3" s="110">
        <v>0</v>
      </c>
      <c r="M3" s="110">
        <v>43.02</v>
      </c>
      <c r="N3" s="110">
        <v>0</v>
      </c>
      <c r="O3" s="110">
        <v>154.06</v>
      </c>
      <c r="P3" s="110">
        <v>0</v>
      </c>
      <c r="Q3" s="110" t="str">
        <v>RESERVED</v>
      </c>
      <c r="R3" s="110">
        <v>900000</v>
      </c>
      <c r="S3" s="110">
        <v>900000</v>
      </c>
      <c r="T3" s="110">
        <v>660000</v>
      </c>
      <c r="U3" s="110">
        <v>0</v>
      </c>
      <c r="V3" s="110">
        <v>0</v>
      </c>
      <c r="W3" s="110">
        <v>660000</v>
      </c>
      <c r="X3" s="110">
        <v>0</v>
      </c>
      <c r="Y3" s="110">
        <v>660000</v>
      </c>
      <c r="Z3" s="110">
        <v>660000</v>
      </c>
      <c r="AA3" s="110">
        <v>46094</v>
      </c>
      <c r="AB3" s="111" t="str">
        <v>Q1 2026</v>
      </c>
      <c r="AC3" s="112">
        <v>46094</v>
      </c>
      <c r="AD3" s="112" t="str">
        <v>TBD</v>
      </c>
      <c r="AE3" s="112" t="str">
        <v>Sandra Viegas</v>
      </c>
      <c r="AF3" s="112" t="str">
        <v>Joaquim Vermelhudo</v>
      </c>
      <c r="AG3" s="112" t="str">
        <v>https://www.monte-rei.com/</v>
      </c>
      <c r="AH3" s="112"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3" s="112" t="str">
        <v>Golfe 18 buracos, Ténis, Ginásio, Health Center, Piscinas Exteriores, Spa e Concierge, Restaurantes</v>
      </c>
      <c r="AJ3" s="112"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3" s="112" t="str">
        <v>TBD</v>
      </c>
      <c r="AL3" s="112" t="str">
        <v>Monte Rei</v>
      </c>
    </row>
    <row r="4" spans="1:38" x14ac:dyDescent="0.3">
      <c r="A4" s="129" t="str">
        <v xml:space="preserve">MR - CHR </v>
      </c>
      <c r="B4" s="129" t="str">
        <v>Algarve</v>
      </c>
      <c r="C4" s="110" t="str">
        <v>N</v>
      </c>
      <c r="D4" s="110" t="str">
        <v>Vila Nova de Cacela, Algarve</v>
      </c>
      <c r="E4" s="110" t="str">
        <v>T3 Duplex</v>
      </c>
      <c r="F4" s="110">
        <v>317.38</v>
      </c>
      <c r="G4" s="110">
        <v>0</v>
      </c>
      <c r="H4" s="110" t="str">
        <v/>
      </c>
      <c r="I4" s="110" t="str">
        <v/>
      </c>
      <c r="J4" s="110">
        <v>0</v>
      </c>
      <c r="K4" s="110">
        <v>0</v>
      </c>
      <c r="L4" s="110">
        <v>0</v>
      </c>
      <c r="M4" s="110">
        <v>84.58</v>
      </c>
      <c r="N4" s="110">
        <v>0</v>
      </c>
      <c r="O4" s="110">
        <v>232.8</v>
      </c>
      <c r="P4" s="110">
        <v>0</v>
      </c>
      <c r="Q4" s="110" t="str">
        <v>PRE-RESERVED</v>
      </c>
      <c r="R4" s="110">
        <v>1500000</v>
      </c>
      <c r="S4" s="110">
        <v>1500000</v>
      </c>
      <c r="T4" s="110">
        <v>1220000</v>
      </c>
      <c r="U4" s="110">
        <v>0</v>
      </c>
      <c r="V4" s="110">
        <v>0</v>
      </c>
      <c r="W4" s="110">
        <v>1220000</v>
      </c>
      <c r="X4" s="110">
        <v>0</v>
      </c>
      <c r="Y4" s="110">
        <v>1220000</v>
      </c>
      <c r="Z4" s="110">
        <v>1220000</v>
      </c>
      <c r="AA4" s="110">
        <v>46094</v>
      </c>
      <c r="AB4" s="111" t="str">
        <v>Q1 2026</v>
      </c>
      <c r="AC4">
        <v>46171</v>
      </c>
      <c r="AD4" t="str">
        <v>TBD</v>
      </c>
      <c r="AE4" t="str">
        <v>Sandra Viegas</v>
      </c>
      <c r="AF4" t="str">
        <v>Joaquim Vermelhudo</v>
      </c>
      <c r="AG4" t="str">
        <v>https://www.monte-rei.com/</v>
      </c>
      <c r="AH4"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4" t="str">
        <v>Golfe 18 buracos, Ténis, Ginásio, Health Center, Piscinas Exteriores, Spa e Concierge, Restaurantes</v>
      </c>
      <c r="AJ4"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4" t="str">
        <v>TBD</v>
      </c>
      <c r="AL4" t="str">
        <v>Monte Rei</v>
      </c>
    </row>
    <row r="5" spans="1:38" x14ac:dyDescent="0.3">
      <c r="A5" s="129" t="str">
        <v xml:space="preserve">MR - CHR </v>
      </c>
      <c r="B5" s="129" t="str">
        <v>Algarve</v>
      </c>
      <c r="C5" s="110" t="str">
        <v>AI</v>
      </c>
      <c r="D5" s="110" t="str">
        <v>Vila Nova de Cacela, Algarve</v>
      </c>
      <c r="E5" s="110" t="str">
        <v>T2</v>
      </c>
      <c r="F5" s="110">
        <v>194.7</v>
      </c>
      <c r="G5" s="110">
        <v>0</v>
      </c>
      <c r="H5" s="110" t="str">
        <v/>
      </c>
      <c r="I5" s="110" t="str">
        <v/>
      </c>
      <c r="J5" s="110">
        <v>0</v>
      </c>
      <c r="K5" s="110">
        <v>0</v>
      </c>
      <c r="L5" s="110">
        <v>0</v>
      </c>
      <c r="M5" s="110">
        <v>38.22</v>
      </c>
      <c r="N5" s="110">
        <v>0</v>
      </c>
      <c r="O5" s="110">
        <v>156.47999999999999</v>
      </c>
      <c r="P5" s="110">
        <v>0</v>
      </c>
      <c r="Q5" s="110" t="str">
        <v>AVAILABLE</v>
      </c>
      <c r="R5" s="110">
        <v>895000</v>
      </c>
      <c r="S5" s="110">
        <v>895000</v>
      </c>
      <c r="T5" s="110">
        <v>790000</v>
      </c>
      <c r="U5" s="110">
        <v>0</v>
      </c>
      <c r="V5" s="110">
        <v>0</v>
      </c>
      <c r="W5" s="110">
        <v>790000</v>
      </c>
      <c r="X5" s="110">
        <v>0</v>
      </c>
      <c r="Y5" s="110">
        <v>0</v>
      </c>
      <c r="Z5" s="110">
        <v>0</v>
      </c>
      <c r="AA5" s="110">
        <v>46094</v>
      </c>
      <c r="AB5" s="111" t="str">
        <v>Q1 2026</v>
      </c>
      <c r="AC5">
        <v>0</v>
      </c>
      <c r="AD5" t="str">
        <v>TBD</v>
      </c>
      <c r="AE5" t="str">
        <v>Sandra Viegas</v>
      </c>
      <c r="AF5" t="str">
        <v>Joaquim Vermelhudo</v>
      </c>
      <c r="AG5" t="str">
        <v>https://www.monte-rei.com/</v>
      </c>
      <c r="AH5"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5" t="str">
        <v>Golfe 18 buracos, Ténis, Ginásio, Health Center, Piscinas Exteriores, Spa e Concierge, Restaurantes</v>
      </c>
      <c r="AJ5"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5" t="str">
        <v>TBD</v>
      </c>
      <c r="AL5" t="str">
        <v>Monte Rei</v>
      </c>
    </row>
    <row r="6" spans="1:38" x14ac:dyDescent="0.3">
      <c r="A6" s="129" t="str">
        <v xml:space="preserve">MR - CHR </v>
      </c>
      <c r="B6" s="129" t="str">
        <v>Algarve</v>
      </c>
      <c r="C6" s="110" t="str">
        <v>AJ</v>
      </c>
      <c r="D6" s="110" t="str">
        <v>Vila Nova de Cacela, Algarve</v>
      </c>
      <c r="E6" s="110" t="str">
        <v>T2</v>
      </c>
      <c r="F6" s="110">
        <v>197.08</v>
      </c>
      <c r="G6" s="110">
        <v>0</v>
      </c>
      <c r="H6" s="110" t="str">
        <v/>
      </c>
      <c r="I6" s="110" t="str">
        <v/>
      </c>
      <c r="J6" s="110">
        <v>0</v>
      </c>
      <c r="K6" s="110">
        <v>0</v>
      </c>
      <c r="L6" s="110">
        <v>0</v>
      </c>
      <c r="M6" s="110">
        <v>43.02</v>
      </c>
      <c r="N6" s="110">
        <v>0</v>
      </c>
      <c r="O6" s="110">
        <v>154.06</v>
      </c>
      <c r="P6" s="110">
        <v>0</v>
      </c>
      <c r="Q6" s="110" t="str">
        <v>AVAILABLE</v>
      </c>
      <c r="R6" s="110">
        <v>895000</v>
      </c>
      <c r="S6" s="110">
        <v>895000</v>
      </c>
      <c r="T6" s="110">
        <v>850000</v>
      </c>
      <c r="U6" s="110">
        <v>0</v>
      </c>
      <c r="V6" s="110">
        <v>0</v>
      </c>
      <c r="W6" s="110">
        <v>850000</v>
      </c>
      <c r="X6" s="110">
        <v>0</v>
      </c>
      <c r="Y6" s="110">
        <v>0</v>
      </c>
      <c r="Z6" s="110">
        <v>0</v>
      </c>
      <c r="AA6" s="110">
        <v>46094</v>
      </c>
      <c r="AB6" s="111" t="str">
        <v>Q1 2026</v>
      </c>
      <c r="AC6">
        <v>0</v>
      </c>
      <c r="AD6" t="str">
        <v>TBD</v>
      </c>
      <c r="AE6" t="str">
        <v>Sandra Viegas</v>
      </c>
      <c r="AF6" t="str">
        <v>Joaquim Vermelhudo</v>
      </c>
      <c r="AG6" t="str">
        <v>https://www.monte-rei.com/</v>
      </c>
      <c r="AH6"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6" t="str">
        <v>Golfe 18 buracos, Ténis, Ginásio, Health Center, Piscinas Exteriores, Spa e Concierge, Restaurantes</v>
      </c>
      <c r="AJ6"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6" t="str">
        <v>TBD</v>
      </c>
      <c r="AL6" t="str">
        <v>Monte Rei</v>
      </c>
    </row>
    <row r="7" spans="1:38" x14ac:dyDescent="0.3">
      <c r="A7" s="129" t="str">
        <v xml:space="preserve">MR - CHR </v>
      </c>
      <c r="B7" s="129" t="str">
        <v>Algarve</v>
      </c>
      <c r="C7" s="110" t="str">
        <v>AD</v>
      </c>
      <c r="D7" s="110" t="str">
        <v>Vila Nova de Cacela, Algarve</v>
      </c>
      <c r="E7" s="110" t="str">
        <v>T2</v>
      </c>
      <c r="F7" s="110">
        <v>194.7</v>
      </c>
      <c r="G7" s="110">
        <v>0</v>
      </c>
      <c r="H7" s="110" t="str">
        <v/>
      </c>
      <c r="I7" s="110" t="str">
        <v/>
      </c>
      <c r="J7" s="110">
        <v>0</v>
      </c>
      <c r="K7" s="110">
        <v>0</v>
      </c>
      <c r="L7" s="110">
        <v>0</v>
      </c>
      <c r="M7" s="110">
        <v>38.22</v>
      </c>
      <c r="N7" s="110">
        <v>0</v>
      </c>
      <c r="O7" s="110">
        <v>156.47999999999999</v>
      </c>
      <c r="P7" s="110">
        <v>0</v>
      </c>
      <c r="Q7" s="110" t="str">
        <v>AVAILABLE</v>
      </c>
      <c r="R7" s="110">
        <v>915000</v>
      </c>
      <c r="S7" s="110">
        <v>915000</v>
      </c>
      <c r="T7" s="110">
        <v>840000</v>
      </c>
      <c r="U7" s="110">
        <v>0</v>
      </c>
      <c r="V7" s="110">
        <v>0</v>
      </c>
      <c r="W7" s="110">
        <v>840000</v>
      </c>
      <c r="X7" s="110">
        <v>0</v>
      </c>
      <c r="Y7" s="110">
        <v>0</v>
      </c>
      <c r="Z7" s="110">
        <v>0</v>
      </c>
      <c r="AA7" s="110">
        <v>46094</v>
      </c>
      <c r="AB7" s="111" t="str">
        <v>Q1 2026</v>
      </c>
      <c r="AC7">
        <v>0</v>
      </c>
      <c r="AD7" t="str">
        <v>TBD</v>
      </c>
      <c r="AE7" t="str">
        <v>Sandra Viegas</v>
      </c>
      <c r="AF7" t="str">
        <v>Joaquim Vermelhudo</v>
      </c>
      <c r="AG7" t="str">
        <v>https://www.monte-rei.com/</v>
      </c>
      <c r="AH7"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7" t="str">
        <v>Golfe 18 buracos, Ténis, Ginásio, Health Center, Piscinas Exteriores, Spa e Concierge, Restaurantes</v>
      </c>
      <c r="AJ7"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7" t="str">
        <v>TBD</v>
      </c>
      <c r="AL7" t="str">
        <v>Monte Rei</v>
      </c>
    </row>
    <row r="8" spans="1:38" x14ac:dyDescent="0.3">
      <c r="A8" s="129" t="str">
        <v xml:space="preserve">MR - CHR </v>
      </c>
      <c r="B8" s="129" t="str">
        <v>Algarve</v>
      </c>
      <c r="C8" s="110" t="str">
        <v>Z</v>
      </c>
      <c r="D8" s="110" t="str">
        <v>Vila Nova de Cacela, Algarve</v>
      </c>
      <c r="E8" s="110" t="str">
        <v>T2</v>
      </c>
      <c r="F8" s="110">
        <v>202.75</v>
      </c>
      <c r="G8" s="110">
        <v>0</v>
      </c>
      <c r="H8" s="110" t="str">
        <v/>
      </c>
      <c r="I8" s="110" t="str">
        <v/>
      </c>
      <c r="J8" s="110">
        <v>0</v>
      </c>
      <c r="K8" s="110">
        <v>0</v>
      </c>
      <c r="L8" s="110">
        <v>0</v>
      </c>
      <c r="M8" s="110">
        <v>44.03</v>
      </c>
      <c r="N8" s="110">
        <v>0</v>
      </c>
      <c r="O8" s="110">
        <v>158.72</v>
      </c>
      <c r="P8" s="110">
        <v>0</v>
      </c>
      <c r="Q8" s="110" t="str">
        <v>AVAILABLE</v>
      </c>
      <c r="R8" s="110">
        <v>925000</v>
      </c>
      <c r="S8" s="110">
        <v>925000</v>
      </c>
      <c r="T8" s="110">
        <v>925000</v>
      </c>
      <c r="U8" s="110">
        <v>0</v>
      </c>
      <c r="V8" s="110">
        <v>0</v>
      </c>
      <c r="W8" s="110">
        <v>925000</v>
      </c>
      <c r="X8" s="110">
        <v>0</v>
      </c>
      <c r="Y8" s="110">
        <v>0</v>
      </c>
      <c r="Z8" s="110">
        <v>0</v>
      </c>
      <c r="AA8" s="110">
        <v>46094</v>
      </c>
      <c r="AB8" s="111" t="str">
        <v>Q1 2026</v>
      </c>
      <c r="AC8">
        <v>0</v>
      </c>
      <c r="AD8" t="str">
        <v>TBD</v>
      </c>
      <c r="AE8" t="str">
        <v>Sandra Viegas</v>
      </c>
      <c r="AF8" t="str">
        <v>Joaquim Vermelhudo</v>
      </c>
      <c r="AG8" t="str">
        <v>https://www.monte-rei.com/</v>
      </c>
      <c r="AH8"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8" t="str">
        <v>Golfe 18 buracos, Ténis, Ginásio, Health Center, Piscinas Exteriores, Spa e Concierge, Restaurantes</v>
      </c>
      <c r="AJ8"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8" t="str">
        <v>TBD</v>
      </c>
      <c r="AL8" t="str">
        <v>Monte Rei</v>
      </c>
    </row>
    <row r="9" spans="1:38" x14ac:dyDescent="0.3">
      <c r="A9" s="129" t="str">
        <v xml:space="preserve">MR - CHR </v>
      </c>
      <c r="B9" s="129" t="str">
        <v>Algarve</v>
      </c>
      <c r="C9" s="110" t="str">
        <v>G</v>
      </c>
      <c r="D9" s="110" t="str">
        <v>Vila Nova de Cacela, Algarve</v>
      </c>
      <c r="E9" s="110" t="str">
        <v>T2</v>
      </c>
      <c r="F9" s="110">
        <v>197.08</v>
      </c>
      <c r="G9" s="110">
        <v>0</v>
      </c>
      <c r="H9" s="110" t="str">
        <v/>
      </c>
      <c r="I9" s="110" t="str">
        <v/>
      </c>
      <c r="J9" s="110">
        <v>0</v>
      </c>
      <c r="K9" s="110">
        <v>0</v>
      </c>
      <c r="L9" s="110">
        <v>0</v>
      </c>
      <c r="M9" s="110">
        <v>43.02</v>
      </c>
      <c r="N9" s="110">
        <v>0</v>
      </c>
      <c r="O9" s="110">
        <v>154.06</v>
      </c>
      <c r="P9" s="110">
        <v>0</v>
      </c>
      <c r="Q9" s="110" t="str">
        <v>AVAILABLE</v>
      </c>
      <c r="R9" s="110">
        <v>930000</v>
      </c>
      <c r="S9" s="110">
        <v>930000</v>
      </c>
      <c r="T9" s="110">
        <v>760000</v>
      </c>
      <c r="U9" s="110">
        <v>0</v>
      </c>
      <c r="V9" s="110">
        <v>0</v>
      </c>
      <c r="W9" s="110">
        <v>760000</v>
      </c>
      <c r="X9" s="110">
        <v>0</v>
      </c>
      <c r="Y9" s="110">
        <v>760000</v>
      </c>
      <c r="Z9" s="110">
        <v>760000</v>
      </c>
      <c r="AA9" s="110">
        <v>46094</v>
      </c>
      <c r="AB9" s="111" t="str">
        <v>Q1 2026</v>
      </c>
      <c r="AC9">
        <v>0</v>
      </c>
      <c r="AD9" t="str">
        <v>TBD</v>
      </c>
      <c r="AE9" t="str">
        <v>Sandra Viegas</v>
      </c>
      <c r="AF9" t="str">
        <v>Joaquim Vermelhudo</v>
      </c>
      <c r="AG9" t="str">
        <v>https://www.monte-rei.com/</v>
      </c>
      <c r="AH9"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9" t="str">
        <v>Golfe 18 buracos, Ténis, Ginásio, Health Center, Piscinas Exteriores, Spa e Concierge, Restaurantes</v>
      </c>
      <c r="AJ9"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9" t="str">
        <v>TBD</v>
      </c>
      <c r="AL9" t="str">
        <v>Monte Rei</v>
      </c>
    </row>
    <row r="10" spans="1:38" x14ac:dyDescent="0.3">
      <c r="A10" s="110" t="str">
        <v xml:space="preserve">MR - CHR </v>
      </c>
      <c r="B10" s="110" t="str">
        <v>Algarve</v>
      </c>
      <c r="C10" s="110" t="str">
        <v>L</v>
      </c>
      <c r="D10" s="110" t="str">
        <v>Vila Nova de Cacela, Algarve</v>
      </c>
      <c r="E10" s="110" t="str">
        <v>T2</v>
      </c>
      <c r="F10" s="110">
        <v>197.08</v>
      </c>
      <c r="G10" s="110">
        <v>0</v>
      </c>
      <c r="H10" s="110" t="str">
        <v/>
      </c>
      <c r="I10" s="110" t="str">
        <v/>
      </c>
      <c r="J10" s="110">
        <v>0</v>
      </c>
      <c r="K10" s="110">
        <v>0</v>
      </c>
      <c r="L10" s="110">
        <v>0</v>
      </c>
      <c r="M10" s="110">
        <v>43.02</v>
      </c>
      <c r="N10" s="110">
        <v>0</v>
      </c>
      <c r="O10" s="110">
        <v>154.06</v>
      </c>
      <c r="P10" s="110">
        <v>0</v>
      </c>
      <c r="Q10" s="110" t="str">
        <v>AVAILABLE</v>
      </c>
      <c r="R10" s="110">
        <v>930000</v>
      </c>
      <c r="S10" s="110">
        <v>930000</v>
      </c>
      <c r="T10" s="110">
        <v>720000</v>
      </c>
      <c r="U10" s="110">
        <v>0</v>
      </c>
      <c r="V10" s="110">
        <v>0</v>
      </c>
      <c r="W10" s="110">
        <v>720000</v>
      </c>
      <c r="X10" s="110">
        <v>0</v>
      </c>
      <c r="Y10" s="110">
        <v>0</v>
      </c>
      <c r="Z10" s="110">
        <v>0</v>
      </c>
      <c r="AA10" s="110">
        <v>46094</v>
      </c>
      <c r="AB10" s="111" t="str">
        <v>Q1 2026</v>
      </c>
      <c r="AC10">
        <v>0</v>
      </c>
      <c r="AD10" t="str">
        <v>TBD</v>
      </c>
      <c r="AE10" t="str">
        <v>Sandra Viegas</v>
      </c>
      <c r="AF10" t="str">
        <v>Joaquim Vermelhudo</v>
      </c>
      <c r="AG10" t="str">
        <v>https://www.monte-rei.com/</v>
      </c>
      <c r="AH10"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10" t="str">
        <v>Golfe 18 buracos, Ténis, Ginásio, Health Center, Piscinas Exteriores, Spa e Concierge, Restaurantes</v>
      </c>
      <c r="AJ10"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10" t="str">
        <v>TBD</v>
      </c>
      <c r="AL10" t="str">
        <v>Monte Rei</v>
      </c>
    </row>
    <row r="11" spans="1:38" x14ac:dyDescent="0.3">
      <c r="A11" s="110" t="str">
        <v xml:space="preserve">MR - CHR </v>
      </c>
      <c r="B11" s="110" t="str">
        <v>Algarve</v>
      </c>
      <c r="C11" s="110" t="str">
        <v>O</v>
      </c>
      <c r="D11" s="110" t="str">
        <v>Vila Nova de Cacela, Algarve</v>
      </c>
      <c r="E11" s="110" t="str">
        <v>T2</v>
      </c>
      <c r="F11" s="110">
        <v>197.08</v>
      </c>
      <c r="G11" s="110">
        <v>0</v>
      </c>
      <c r="H11" s="110" t="str">
        <v/>
      </c>
      <c r="I11" s="110" t="str">
        <v/>
      </c>
      <c r="J11" s="110">
        <v>0</v>
      </c>
      <c r="K11" s="110">
        <v>0</v>
      </c>
      <c r="L11" s="110">
        <v>0</v>
      </c>
      <c r="M11" s="110">
        <v>43.02</v>
      </c>
      <c r="N11" s="110">
        <v>0</v>
      </c>
      <c r="O11" s="110">
        <v>154.06</v>
      </c>
      <c r="P11" s="110">
        <v>0</v>
      </c>
      <c r="Q11" s="110" t="str">
        <v>AVAILABLE</v>
      </c>
      <c r="R11" s="110">
        <v>930000</v>
      </c>
      <c r="S11" s="110">
        <v>930000</v>
      </c>
      <c r="T11" s="110">
        <v>700000</v>
      </c>
      <c r="U11" s="110">
        <v>0</v>
      </c>
      <c r="V11" s="110">
        <v>0</v>
      </c>
      <c r="W11" s="110">
        <v>700000</v>
      </c>
      <c r="X11" s="110">
        <v>0</v>
      </c>
      <c r="Y11" s="110">
        <v>0</v>
      </c>
      <c r="Z11" s="110">
        <v>0</v>
      </c>
      <c r="AA11" s="110">
        <v>46094</v>
      </c>
      <c r="AB11" s="111" t="str">
        <v>Q1 2026</v>
      </c>
      <c r="AC11">
        <v>0</v>
      </c>
      <c r="AD11" t="str">
        <v>TBD</v>
      </c>
      <c r="AE11" t="str">
        <v>Sandra Viegas</v>
      </c>
      <c r="AF11" t="str">
        <v>Joaquim Vermelhudo</v>
      </c>
      <c r="AG11" t="str">
        <v>https://www.monte-rei.com/</v>
      </c>
      <c r="AH11"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11" t="str">
        <v>Golfe 18 buracos, Ténis, Ginásio, Health Center, Piscinas Exteriores, Spa e Concierge, Restaurantes</v>
      </c>
      <c r="AJ11"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11" t="str">
        <v>TBD</v>
      </c>
      <c r="AL11" t="str">
        <v>Monte Rei</v>
      </c>
    </row>
    <row r="12" spans="1:38" x14ac:dyDescent="0.3">
      <c r="A12" s="110" t="str">
        <v xml:space="preserve">MR - CHR </v>
      </c>
      <c r="B12" s="110" t="str">
        <v>Algarve</v>
      </c>
      <c r="C12" s="110" t="str">
        <v>P</v>
      </c>
      <c r="D12" s="110" t="str">
        <v>Vila Nova de Cacela, Algarve</v>
      </c>
      <c r="E12" s="110" t="str">
        <v>T2</v>
      </c>
      <c r="F12" s="110">
        <v>197.12</v>
      </c>
      <c r="G12" s="110">
        <v>0</v>
      </c>
      <c r="H12" s="110" t="str">
        <v/>
      </c>
      <c r="I12" s="110" t="str">
        <v/>
      </c>
      <c r="J12" s="110">
        <v>0</v>
      </c>
      <c r="K12" s="110">
        <v>0</v>
      </c>
      <c r="L12" s="110">
        <v>0</v>
      </c>
      <c r="M12" s="110">
        <v>43.06</v>
      </c>
      <c r="N12" s="110">
        <v>0</v>
      </c>
      <c r="O12" s="110">
        <v>154.06</v>
      </c>
      <c r="P12" s="110">
        <v>0</v>
      </c>
      <c r="Q12" s="110" t="str">
        <v>AVAILABLE</v>
      </c>
      <c r="R12" s="110">
        <v>930000</v>
      </c>
      <c r="S12" s="110">
        <v>930000</v>
      </c>
      <c r="T12" s="110">
        <v>760000</v>
      </c>
      <c r="U12" s="110">
        <v>0</v>
      </c>
      <c r="V12" s="110">
        <v>0</v>
      </c>
      <c r="W12" s="110">
        <v>760000</v>
      </c>
      <c r="X12" s="110">
        <v>0</v>
      </c>
      <c r="Y12" s="110">
        <v>0</v>
      </c>
      <c r="Z12" s="110">
        <v>0</v>
      </c>
      <c r="AA12" s="110">
        <v>46094</v>
      </c>
      <c r="AB12" s="111" t="str">
        <v>Q1 2026</v>
      </c>
      <c r="AC12">
        <v>0</v>
      </c>
      <c r="AD12" t="str">
        <v>TBD</v>
      </c>
      <c r="AE12" t="str">
        <v>Sandra Viegas</v>
      </c>
      <c r="AF12" t="str">
        <v>Joaquim Vermelhudo</v>
      </c>
      <c r="AG12" t="str">
        <v>https://www.monte-rei.com/</v>
      </c>
      <c r="AH12"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12" t="str">
        <v>Golfe 18 buracos, Ténis, Ginásio, Health Center, Piscinas Exteriores, Spa e Concierge, Restaurantes</v>
      </c>
      <c r="AJ12"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12" t="str">
        <v>TBD</v>
      </c>
      <c r="AL12" t="str">
        <v>Monte Rei</v>
      </c>
    </row>
    <row r="13" spans="1:38" x14ac:dyDescent="0.3">
      <c r="A13" s="110" t="str">
        <v xml:space="preserve">MR - CHR </v>
      </c>
      <c r="B13" s="110" t="str">
        <v>Algarve</v>
      </c>
      <c r="C13" s="110" t="str">
        <v>J</v>
      </c>
      <c r="D13" s="110" t="str">
        <v>Vila Nova de Cacela, Algarve</v>
      </c>
      <c r="E13" s="110" t="str">
        <v>T3 Duplex</v>
      </c>
      <c r="F13" s="110">
        <v>317.38</v>
      </c>
      <c r="G13" s="110">
        <v>0</v>
      </c>
      <c r="H13" s="110" t="str">
        <v/>
      </c>
      <c r="I13" s="110" t="str">
        <v/>
      </c>
      <c r="J13" s="110">
        <v>0</v>
      </c>
      <c r="K13" s="110">
        <v>0</v>
      </c>
      <c r="L13" s="110">
        <v>0</v>
      </c>
      <c r="M13" s="110">
        <v>84.58</v>
      </c>
      <c r="N13" s="110">
        <v>0</v>
      </c>
      <c r="O13" s="110">
        <v>232.8</v>
      </c>
      <c r="P13" s="110">
        <v>0</v>
      </c>
      <c r="Q13" s="110" t="str">
        <v>AVAILABLE</v>
      </c>
      <c r="R13" s="110">
        <v>1550000</v>
      </c>
      <c r="S13" s="110">
        <v>1550000</v>
      </c>
      <c r="T13" s="110">
        <v>1200000</v>
      </c>
      <c r="U13" s="110">
        <v>0</v>
      </c>
      <c r="V13" s="110">
        <v>0</v>
      </c>
      <c r="W13" s="110">
        <v>1200000</v>
      </c>
      <c r="X13" s="110">
        <v>0</v>
      </c>
      <c r="Y13" s="110">
        <v>0</v>
      </c>
      <c r="Z13" s="110">
        <v>0</v>
      </c>
      <c r="AA13" s="110">
        <v>46094</v>
      </c>
      <c r="AB13" s="111" t="str">
        <v>Q1 2026</v>
      </c>
      <c r="AC13">
        <v>0</v>
      </c>
      <c r="AD13" t="str">
        <v>TBD</v>
      </c>
      <c r="AE13" t="str">
        <v>Sandra Viegas</v>
      </c>
      <c r="AF13" t="str">
        <v>Joaquim Vermelhudo</v>
      </c>
      <c r="AG13" t="str">
        <v>https://www.monte-rei.com/</v>
      </c>
      <c r="AH13"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13" t="str">
        <v>Golfe 18 buracos, Ténis, Ginásio, Health Center, Piscinas Exteriores, Spa e Concierge, Restaurantes</v>
      </c>
      <c r="AJ13"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13" t="str">
        <v>TBD</v>
      </c>
      <c r="AL13" t="str">
        <v>Monte Rei</v>
      </c>
    </row>
    <row r="14" spans="1:38" x14ac:dyDescent="0.3">
      <c r="A14" s="110" t="str">
        <v>MR - Linked Villas</v>
      </c>
      <c r="B14" s="110" t="str">
        <v>Algarve</v>
      </c>
      <c r="C14" s="110" t="str">
        <v>AI</v>
      </c>
      <c r="D14" s="110" t="str">
        <v>Vila Nova de Cacela, Algarve</v>
      </c>
      <c r="E14" s="110" t="str">
        <v>T3</v>
      </c>
      <c r="F14" s="110">
        <v>422.36</v>
      </c>
      <c r="G14" s="110">
        <v>45.06</v>
      </c>
      <c r="H14" s="110" t="str">
        <v/>
      </c>
      <c r="I14" s="110" t="str">
        <v/>
      </c>
      <c r="J14" s="110">
        <v>131.68</v>
      </c>
      <c r="K14" s="110">
        <v>0</v>
      </c>
      <c r="L14" s="110">
        <v>0</v>
      </c>
      <c r="M14" s="110">
        <v>0</v>
      </c>
      <c r="N14" s="110">
        <v>0</v>
      </c>
      <c r="O14" s="110">
        <v>245.62</v>
      </c>
      <c r="P14" s="110">
        <v>0</v>
      </c>
      <c r="Q14" s="110" t="str">
        <v>PRE-RESERVED</v>
      </c>
      <c r="R14" s="110">
        <v>1350000</v>
      </c>
      <c r="S14" s="110">
        <v>1350000</v>
      </c>
      <c r="T14" s="110">
        <v>1120000</v>
      </c>
      <c r="U14" s="110">
        <v>0</v>
      </c>
      <c r="V14" s="110">
        <v>0</v>
      </c>
      <c r="W14" s="110">
        <v>1120000</v>
      </c>
      <c r="X14" s="110">
        <v>9.375E-2</v>
      </c>
      <c r="Y14" s="110">
        <v>1015000</v>
      </c>
      <c r="Z14" s="110">
        <v>1015000</v>
      </c>
      <c r="AA14" s="110">
        <v>46170</v>
      </c>
      <c r="AB14" s="111" t="str">
        <v>Q2 2026</v>
      </c>
      <c r="AC14">
        <v>46170</v>
      </c>
      <c r="AD14" t="str">
        <v>TBD</v>
      </c>
      <c r="AE14" t="str">
        <v>Sandra Viegas</v>
      </c>
      <c r="AF14" t="str">
        <v>Joaquim Vermelhudo</v>
      </c>
      <c r="AG14" t="str">
        <v>https://www.monte-rei.com/</v>
      </c>
      <c r="AH14"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14" t="str">
        <v>Golfe 18 buracos, Ténis, Ginásio, Health Center, Piscinas Exteriores, Spa e Concierge, Restaurantes</v>
      </c>
      <c r="AJ14"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14" t="str">
        <v>TBD</v>
      </c>
      <c r="AL14" t="str">
        <v>Monte Rei</v>
      </c>
    </row>
    <row r="15" spans="1:38" x14ac:dyDescent="0.3">
      <c r="A15" s="110" t="str">
        <v>MR - Linked Villas</v>
      </c>
      <c r="B15" s="110" t="str">
        <v>Algarve</v>
      </c>
      <c r="C15" s="110" t="str">
        <v>AH</v>
      </c>
      <c r="D15" s="110" t="str">
        <v>Vila Nova de Cacela, Algarve</v>
      </c>
      <c r="E15" s="110" t="str">
        <v>T3</v>
      </c>
      <c r="F15" s="110">
        <v>433.99</v>
      </c>
      <c r="G15" s="110">
        <v>45.83</v>
      </c>
      <c r="H15" s="110" t="str">
        <v/>
      </c>
      <c r="I15" s="110" t="str">
        <v/>
      </c>
      <c r="J15" s="110">
        <v>136.16</v>
      </c>
      <c r="K15" s="110">
        <v>0</v>
      </c>
      <c r="L15" s="110">
        <v>0</v>
      </c>
      <c r="M15" s="110">
        <v>0</v>
      </c>
      <c r="N15" s="110">
        <v>0</v>
      </c>
      <c r="O15" s="110">
        <v>252</v>
      </c>
      <c r="P15" s="110">
        <v>0</v>
      </c>
      <c r="Q15" s="110" t="str">
        <v>PRE-RESERVED</v>
      </c>
      <c r="R15" s="110">
        <v>1350000</v>
      </c>
      <c r="S15" s="110">
        <v>1350000</v>
      </c>
      <c r="T15" s="110">
        <v>1150000</v>
      </c>
      <c r="U15" s="110">
        <v>0</v>
      </c>
      <c r="V15" s="110">
        <v>0</v>
      </c>
      <c r="W15" s="110">
        <v>1150000</v>
      </c>
      <c r="X15" s="110">
        <v>0.11739130434782601</v>
      </c>
      <c r="Y15" s="110">
        <v>1015000</v>
      </c>
      <c r="Z15" s="110">
        <v>1015000</v>
      </c>
      <c r="AA15" s="110">
        <v>46170</v>
      </c>
      <c r="AB15" s="111" t="str">
        <v>Q2 2026</v>
      </c>
      <c r="AC15">
        <v>46170</v>
      </c>
      <c r="AD15" t="str">
        <v>TBD</v>
      </c>
      <c r="AE15" t="str">
        <v>Sandra Viegas</v>
      </c>
      <c r="AF15" t="str">
        <v>Joaquim Vermelhudo</v>
      </c>
      <c r="AG15" t="str">
        <v>https://www.monte-rei.com/</v>
      </c>
      <c r="AH15"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15" t="str">
        <v>Golfe 18 buracos, Ténis, Ginásio, Health Center, Piscinas Exteriores, Spa e Concierge, Restaurantes</v>
      </c>
      <c r="AJ15"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15" t="str">
        <v>TBD</v>
      </c>
      <c r="AL15" t="str">
        <v>Monte Rei</v>
      </c>
    </row>
    <row r="16" spans="1:38" x14ac:dyDescent="0.3">
      <c r="A16" s="110" t="str">
        <v>MR - Linked Villas</v>
      </c>
      <c r="B16" s="110" t="str">
        <v>Algarve</v>
      </c>
      <c r="C16" s="110" t="str">
        <v>T</v>
      </c>
      <c r="D16" s="110" t="str">
        <v>Vila Nova de Cacela, Algarve</v>
      </c>
      <c r="E16" s="110" t="str">
        <v>T3</v>
      </c>
      <c r="F16" s="110">
        <v>422.36</v>
      </c>
      <c r="G16" s="110">
        <v>45.06</v>
      </c>
      <c r="H16" s="110" t="str">
        <v/>
      </c>
      <c r="I16" s="110" t="str">
        <v/>
      </c>
      <c r="J16" s="110">
        <v>131.68</v>
      </c>
      <c r="K16" s="110">
        <v>0</v>
      </c>
      <c r="L16" s="110">
        <v>0</v>
      </c>
      <c r="M16" s="110">
        <v>0</v>
      </c>
      <c r="N16" s="110">
        <v>0</v>
      </c>
      <c r="O16" s="110">
        <v>245.62</v>
      </c>
      <c r="P16" s="110">
        <v>0</v>
      </c>
      <c r="Q16" s="110" t="str">
        <v>AVAILABLE</v>
      </c>
      <c r="R16" s="110">
        <v>1160000</v>
      </c>
      <c r="S16" s="110">
        <v>1160000</v>
      </c>
      <c r="T16" s="110">
        <v>1160000</v>
      </c>
      <c r="U16" s="110">
        <v>0</v>
      </c>
      <c r="V16" s="110">
        <v>0</v>
      </c>
      <c r="W16" s="110">
        <v>1160000</v>
      </c>
      <c r="X16" s="110">
        <v>0</v>
      </c>
      <c r="Y16" s="110">
        <v>0</v>
      </c>
      <c r="Z16" s="110">
        <v>0</v>
      </c>
      <c r="AA16" s="110">
        <v>46170</v>
      </c>
      <c r="AB16" s="111" t="str">
        <v>Q2 2026</v>
      </c>
      <c r="AC16">
        <v>0</v>
      </c>
      <c r="AD16" t="str">
        <v>TBD</v>
      </c>
      <c r="AE16" t="str">
        <v>Sandra Viegas</v>
      </c>
      <c r="AF16" t="str">
        <v>Joaquim Vermelhudo</v>
      </c>
      <c r="AG16" t="str">
        <v>https://www.monte-rei.com/</v>
      </c>
      <c r="AH16"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16" t="str">
        <v>Golfe 18 buracos, Ténis, Ginásio, Health Center, Piscinas Exteriores, Spa e Concierge, Restaurantes</v>
      </c>
      <c r="AJ16"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16" t="str">
        <v>TBD</v>
      </c>
      <c r="AL16" t="str">
        <v>Monte Rei</v>
      </c>
    </row>
    <row r="17" spans="1:38" x14ac:dyDescent="0.3">
      <c r="A17" s="110" t="str">
        <v>MR - Linked Villas</v>
      </c>
      <c r="B17" s="110" t="str">
        <v>Algarve</v>
      </c>
      <c r="C17" s="110" t="str">
        <v>A</v>
      </c>
      <c r="D17" s="110" t="str">
        <v>Vila Nova de Cacela, Algarve</v>
      </c>
      <c r="E17" s="110" t="str">
        <v>T3</v>
      </c>
      <c r="F17" s="110">
        <v>433.99</v>
      </c>
      <c r="G17" s="110">
        <v>45.83</v>
      </c>
      <c r="H17" s="110" t="str">
        <v/>
      </c>
      <c r="I17" s="110" t="str">
        <v/>
      </c>
      <c r="J17" s="110">
        <v>136.16</v>
      </c>
      <c r="K17" s="110">
        <v>0</v>
      </c>
      <c r="L17" s="110">
        <v>0</v>
      </c>
      <c r="M17" s="110">
        <v>0</v>
      </c>
      <c r="N17" s="110">
        <v>0</v>
      </c>
      <c r="O17" s="110">
        <v>252</v>
      </c>
      <c r="P17" s="110">
        <v>0</v>
      </c>
      <c r="Q17" s="110" t="str">
        <v>AVAILABLE</v>
      </c>
      <c r="R17" s="110">
        <v>1220000</v>
      </c>
      <c r="S17" s="110">
        <v>1220000</v>
      </c>
      <c r="T17" s="110">
        <v>1220000</v>
      </c>
      <c r="U17" s="110">
        <v>0</v>
      </c>
      <c r="V17" s="110">
        <v>0</v>
      </c>
      <c r="W17" s="110">
        <v>1220000</v>
      </c>
      <c r="X17" s="110">
        <v>0</v>
      </c>
      <c r="Y17" s="110">
        <v>0</v>
      </c>
      <c r="Z17" s="110">
        <v>0</v>
      </c>
      <c r="AA17" s="110">
        <v>46170</v>
      </c>
      <c r="AB17" s="111" t="str">
        <v>Q2 2026</v>
      </c>
      <c r="AC17">
        <v>0</v>
      </c>
      <c r="AD17" t="str">
        <v>TBD</v>
      </c>
      <c r="AE17" t="str">
        <v>Sandra Viegas</v>
      </c>
      <c r="AF17" t="str">
        <v>Joaquim Vermelhudo</v>
      </c>
      <c r="AG17" t="str">
        <v>https://www.monte-rei.com/</v>
      </c>
      <c r="AH17"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17" t="str">
        <v>Golfe 18 buracos, Ténis, Ginásio, Health Center, Piscinas Exteriores, Spa e Concierge, Restaurantes</v>
      </c>
      <c r="AJ17"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17" t="str">
        <v>TBD</v>
      </c>
      <c r="AL17" t="str">
        <v>Monte Rei</v>
      </c>
    </row>
    <row r="18" spans="1:38" x14ac:dyDescent="0.3">
      <c r="A18" s="110" t="str">
        <v>MR - Linked Villas</v>
      </c>
      <c r="B18" s="110" t="str">
        <v>Algarve</v>
      </c>
      <c r="C18" s="110" t="str">
        <v>C</v>
      </c>
      <c r="D18" s="110" t="str">
        <v>Vila Nova de Cacela, Algarve</v>
      </c>
      <c r="E18" s="110" t="str">
        <v>T3</v>
      </c>
      <c r="F18" s="110">
        <v>433.99</v>
      </c>
      <c r="G18" s="110">
        <v>45.83</v>
      </c>
      <c r="H18" s="110" t="str">
        <v/>
      </c>
      <c r="I18" s="110" t="str">
        <v/>
      </c>
      <c r="J18" s="110">
        <v>136.16</v>
      </c>
      <c r="K18" s="110">
        <v>0</v>
      </c>
      <c r="L18" s="110">
        <v>0</v>
      </c>
      <c r="M18" s="110">
        <v>0</v>
      </c>
      <c r="N18" s="110">
        <v>0</v>
      </c>
      <c r="O18" s="110">
        <v>252</v>
      </c>
      <c r="P18" s="110">
        <v>0</v>
      </c>
      <c r="Q18" s="110" t="str">
        <v>AVAILABLE</v>
      </c>
      <c r="R18" s="110">
        <v>1250000</v>
      </c>
      <c r="S18" s="110">
        <v>1250000</v>
      </c>
      <c r="T18" s="110">
        <v>1310000</v>
      </c>
      <c r="U18" s="110">
        <v>0</v>
      </c>
      <c r="V18" s="110">
        <v>0</v>
      </c>
      <c r="W18" s="110">
        <v>1310000</v>
      </c>
      <c r="X18" s="110">
        <v>0</v>
      </c>
      <c r="Y18" s="110">
        <v>0</v>
      </c>
      <c r="Z18" s="110">
        <v>0</v>
      </c>
      <c r="AA18" s="110">
        <v>46170</v>
      </c>
      <c r="AB18" s="111" t="str">
        <v>Q2 2026</v>
      </c>
      <c r="AC18">
        <v>0</v>
      </c>
      <c r="AD18" t="str">
        <v>TBD</v>
      </c>
      <c r="AE18" t="str">
        <v>Sandra Viegas</v>
      </c>
      <c r="AF18" t="str">
        <v>Joaquim Vermelhudo</v>
      </c>
      <c r="AG18" t="str">
        <v>https://www.monte-rei.com/</v>
      </c>
      <c r="AH18"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18" t="str">
        <v>Golfe 18 buracos, Ténis, Ginásio, Health Center, Piscinas Exteriores, Spa e Concierge, Restaurantes</v>
      </c>
      <c r="AJ18"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18" t="str">
        <v>TBD</v>
      </c>
      <c r="AL18" t="str">
        <v>Monte Rei</v>
      </c>
    </row>
    <row r="19" spans="1:38" x14ac:dyDescent="0.3">
      <c r="A19" s="110" t="str">
        <v>MR - Linked Villas</v>
      </c>
      <c r="B19" s="110" t="str">
        <v>Algarve</v>
      </c>
      <c r="C19" s="110" t="str">
        <v>K</v>
      </c>
      <c r="D19" s="110" t="str">
        <v>Vila Nova de Cacela, Algarve</v>
      </c>
      <c r="E19" s="110" t="str">
        <v>T3</v>
      </c>
      <c r="F19" s="110">
        <v>422.07</v>
      </c>
      <c r="G19" s="110">
        <v>45.06</v>
      </c>
      <c r="H19" s="110" t="str">
        <v/>
      </c>
      <c r="I19" s="110" t="str">
        <v/>
      </c>
      <c r="J19" s="110">
        <v>134.35</v>
      </c>
      <c r="K19" s="110">
        <v>0</v>
      </c>
      <c r="L19" s="110">
        <v>0</v>
      </c>
      <c r="M19" s="110">
        <v>0</v>
      </c>
      <c r="N19" s="110">
        <v>0</v>
      </c>
      <c r="O19" s="110">
        <v>242.66</v>
      </c>
      <c r="P19" s="110">
        <v>0</v>
      </c>
      <c r="Q19" s="110" t="str">
        <v>AVAILABLE</v>
      </c>
      <c r="R19" s="110">
        <v>1250000</v>
      </c>
      <c r="S19" s="110">
        <v>1250000</v>
      </c>
      <c r="T19" s="110">
        <v>1380000</v>
      </c>
      <c r="U19" s="110">
        <v>0</v>
      </c>
      <c r="V19" s="110">
        <v>0</v>
      </c>
      <c r="W19" s="110">
        <v>1380000</v>
      </c>
      <c r="X19" s="110">
        <v>0</v>
      </c>
      <c r="Y19" s="110">
        <v>0</v>
      </c>
      <c r="Z19" s="110">
        <v>0</v>
      </c>
      <c r="AA19" s="110">
        <v>46170</v>
      </c>
      <c r="AB19" s="111" t="str">
        <v>Q2 2026</v>
      </c>
      <c r="AC19">
        <v>0</v>
      </c>
      <c r="AD19" t="str">
        <v>TBD</v>
      </c>
      <c r="AE19" t="str">
        <v>Sandra Viegas</v>
      </c>
      <c r="AF19" t="str">
        <v>Joaquim Vermelhudo</v>
      </c>
      <c r="AG19" t="str">
        <v>https://www.monte-rei.com/</v>
      </c>
      <c r="AH19"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19" t="str">
        <v>Golfe 18 buracos, Ténis, Ginásio, Health Center, Piscinas Exteriores, Spa e Concierge, Restaurantes</v>
      </c>
      <c r="AJ19"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19" t="str">
        <v>TBD</v>
      </c>
      <c r="AL19" t="str">
        <v>Monte Rei</v>
      </c>
    </row>
    <row r="20" spans="1:38" x14ac:dyDescent="0.3">
      <c r="A20" s="110" t="str">
        <v>MR - Linked Villas</v>
      </c>
      <c r="B20" s="110" t="str">
        <v>Algarve</v>
      </c>
      <c r="C20" s="110" t="str">
        <v>M</v>
      </c>
      <c r="D20" s="110" t="str">
        <v>Vila Nova de Cacela, Algarve</v>
      </c>
      <c r="E20" s="110" t="str">
        <v>T3</v>
      </c>
      <c r="F20" s="110">
        <v>422.36</v>
      </c>
      <c r="G20" s="110">
        <v>45.06</v>
      </c>
      <c r="H20" s="110" t="str">
        <v/>
      </c>
      <c r="I20" s="110" t="str">
        <v/>
      </c>
      <c r="J20" s="110">
        <v>131.68</v>
      </c>
      <c r="K20" s="110">
        <v>0</v>
      </c>
      <c r="L20" s="110">
        <v>0</v>
      </c>
      <c r="M20" s="110">
        <v>0</v>
      </c>
      <c r="N20" s="110">
        <v>0</v>
      </c>
      <c r="O20" s="110">
        <v>245.62</v>
      </c>
      <c r="P20" s="110">
        <v>0</v>
      </c>
      <c r="Q20" s="110" t="str">
        <v>AVAILABLE</v>
      </c>
      <c r="R20" s="110">
        <v>1250000</v>
      </c>
      <c r="S20" s="110">
        <v>1250000</v>
      </c>
      <c r="T20" s="110">
        <v>1170000</v>
      </c>
      <c r="U20" s="110">
        <v>0</v>
      </c>
      <c r="V20" s="110">
        <v>0</v>
      </c>
      <c r="W20" s="110">
        <v>1170000</v>
      </c>
      <c r="X20" s="110">
        <v>0</v>
      </c>
      <c r="Y20" s="110">
        <v>0</v>
      </c>
      <c r="Z20" s="110">
        <v>0</v>
      </c>
      <c r="AA20" s="110">
        <v>46170</v>
      </c>
      <c r="AB20" s="111" t="str">
        <v>Q2 2026</v>
      </c>
      <c r="AC20">
        <v>0</v>
      </c>
      <c r="AD20" t="str">
        <v>TBD</v>
      </c>
      <c r="AE20" t="str">
        <v>Sandra Viegas</v>
      </c>
      <c r="AF20" t="str">
        <v>Joaquim Vermelhudo</v>
      </c>
      <c r="AG20" t="str">
        <v>https://www.monte-rei.com/</v>
      </c>
      <c r="AH20"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20" t="str">
        <v>Golfe 18 buracos, Ténis, Ginásio, Health Center, Piscinas Exteriores, Spa e Concierge, Restaurantes</v>
      </c>
      <c r="AJ20"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20" t="str">
        <v>TBD</v>
      </c>
      <c r="AL20" t="str">
        <v>Monte Rei</v>
      </c>
    </row>
    <row r="21" spans="1:38" x14ac:dyDescent="0.3">
      <c r="A21" s="110" t="str">
        <v>MR - Linked Villas</v>
      </c>
      <c r="B21" s="110" t="str">
        <v>Algarve</v>
      </c>
      <c r="C21" s="110" t="str">
        <v>P</v>
      </c>
      <c r="D21" s="110" t="str">
        <v>Vila Nova de Cacela, Algarve</v>
      </c>
      <c r="E21" s="110" t="str">
        <v>T3</v>
      </c>
      <c r="F21" s="110">
        <v>422.07</v>
      </c>
      <c r="G21" s="110">
        <v>45.06</v>
      </c>
      <c r="H21" s="110" t="str">
        <v/>
      </c>
      <c r="I21" s="110" t="str">
        <v/>
      </c>
      <c r="J21" s="110">
        <v>134.35</v>
      </c>
      <c r="K21" s="110">
        <v>0</v>
      </c>
      <c r="L21" s="110">
        <v>0</v>
      </c>
      <c r="M21" s="110">
        <v>0</v>
      </c>
      <c r="N21" s="110">
        <v>0</v>
      </c>
      <c r="O21" s="110">
        <v>242.66</v>
      </c>
      <c r="P21" s="110">
        <v>0</v>
      </c>
      <c r="Q21" s="110" t="str">
        <v>AVAILABLE</v>
      </c>
      <c r="R21" s="110">
        <v>1250000</v>
      </c>
      <c r="S21" s="110">
        <v>1250000</v>
      </c>
      <c r="T21" s="110">
        <v>1240000</v>
      </c>
      <c r="U21" s="110">
        <v>0</v>
      </c>
      <c r="V21" s="110">
        <v>0</v>
      </c>
      <c r="W21" s="110">
        <v>1240000</v>
      </c>
      <c r="X21" s="110">
        <v>0</v>
      </c>
      <c r="Y21" s="110">
        <v>0</v>
      </c>
      <c r="Z21" s="110">
        <v>0</v>
      </c>
      <c r="AA21" s="110">
        <v>46170</v>
      </c>
      <c r="AB21" s="111" t="str">
        <v>Q2 2026</v>
      </c>
      <c r="AC21">
        <v>0</v>
      </c>
      <c r="AD21" t="str">
        <v>TBD</v>
      </c>
      <c r="AE21" t="str">
        <v>Sandra Viegas</v>
      </c>
      <c r="AF21" t="str">
        <v>Joaquim Vermelhudo</v>
      </c>
      <c r="AG21" t="str">
        <v>https://www.monte-rei.com/</v>
      </c>
      <c r="AH21"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21" t="str">
        <v>Golfe 18 buracos, Ténis, Ginásio, Health Center, Piscinas Exteriores, Spa e Concierge, Restaurantes</v>
      </c>
      <c r="AJ21"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21" t="str">
        <v>TBD</v>
      </c>
      <c r="AL21" t="str">
        <v>Monte Rei</v>
      </c>
    </row>
    <row r="22" spans="1:38" x14ac:dyDescent="0.3">
      <c r="A22" s="110" t="str">
        <v>MR - Linked Villas</v>
      </c>
      <c r="B22" s="110" t="str">
        <v>Algarve</v>
      </c>
      <c r="C22" s="110" t="str">
        <v>S</v>
      </c>
      <c r="D22" s="110" t="str">
        <v>Vila Nova de Cacela, Algarve</v>
      </c>
      <c r="E22" s="110" t="str">
        <v>T3</v>
      </c>
      <c r="F22" s="110">
        <v>422.07</v>
      </c>
      <c r="G22" s="110">
        <v>45.06</v>
      </c>
      <c r="H22" s="110" t="str">
        <v/>
      </c>
      <c r="I22" s="110" t="str">
        <v/>
      </c>
      <c r="J22" s="110">
        <v>134.35</v>
      </c>
      <c r="K22" s="110">
        <v>0</v>
      </c>
      <c r="L22" s="110">
        <v>0</v>
      </c>
      <c r="M22" s="110">
        <v>0</v>
      </c>
      <c r="N22" s="110">
        <v>0</v>
      </c>
      <c r="O22" s="110">
        <v>242.66</v>
      </c>
      <c r="P22" s="110">
        <v>0</v>
      </c>
      <c r="Q22" s="110" t="str">
        <v>AVAILABLE</v>
      </c>
      <c r="R22" s="110">
        <v>1250000</v>
      </c>
      <c r="S22" s="110">
        <v>1250000</v>
      </c>
      <c r="T22" s="110">
        <v>1240000</v>
      </c>
      <c r="U22" s="110">
        <v>0</v>
      </c>
      <c r="V22" s="110">
        <v>0</v>
      </c>
      <c r="W22" s="110">
        <v>1240000</v>
      </c>
      <c r="X22" s="110">
        <v>0</v>
      </c>
      <c r="Y22" s="110">
        <v>0</v>
      </c>
      <c r="Z22" s="110">
        <v>0</v>
      </c>
      <c r="AA22" s="110">
        <v>46170</v>
      </c>
      <c r="AB22" s="111" t="str">
        <v>Q2 2026</v>
      </c>
      <c r="AC22">
        <v>0</v>
      </c>
      <c r="AD22" t="str">
        <v>TBD</v>
      </c>
      <c r="AE22" t="str">
        <v>Sandra Viegas</v>
      </c>
      <c r="AF22" t="str">
        <v>Joaquim Vermelhudo</v>
      </c>
      <c r="AG22" t="str">
        <v>https://www.monte-rei.com/</v>
      </c>
      <c r="AH22"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22" t="str">
        <v>Golfe 18 buracos, Ténis, Ginásio, Health Center, Piscinas Exteriores, Spa e Concierge, Restaurantes</v>
      </c>
      <c r="AJ22"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22" t="str">
        <v>TBD</v>
      </c>
      <c r="AL22" t="str">
        <v>Monte Rei</v>
      </c>
    </row>
    <row r="23" spans="1:38" x14ac:dyDescent="0.3">
      <c r="A23" s="110" t="str">
        <v>MR - Linked Villas</v>
      </c>
      <c r="B23" s="110" t="str">
        <v>Algarve</v>
      </c>
      <c r="C23" s="110" t="str">
        <v>AC</v>
      </c>
      <c r="D23" s="110" t="str">
        <v>Vila Nova de Cacela, Algarve</v>
      </c>
      <c r="E23" s="110" t="str">
        <v>T3</v>
      </c>
      <c r="F23" s="110">
        <v>422.07</v>
      </c>
      <c r="G23" s="110">
        <v>45.06</v>
      </c>
      <c r="H23" s="110" t="str">
        <v/>
      </c>
      <c r="I23" s="110" t="str">
        <v/>
      </c>
      <c r="J23" s="110">
        <v>134.35</v>
      </c>
      <c r="K23" s="110">
        <v>0</v>
      </c>
      <c r="L23" s="110">
        <v>0</v>
      </c>
      <c r="M23" s="110">
        <v>0</v>
      </c>
      <c r="N23" s="110">
        <v>0</v>
      </c>
      <c r="O23" s="110">
        <v>242.66</v>
      </c>
      <c r="P23" s="110">
        <v>0</v>
      </c>
      <c r="Q23" s="110" t="str">
        <v>AVAILABLE</v>
      </c>
      <c r="R23" s="110">
        <v>1250000</v>
      </c>
      <c r="S23" s="110">
        <v>1250000</v>
      </c>
      <c r="T23" s="110">
        <v>1360000</v>
      </c>
      <c r="U23" s="110">
        <v>0</v>
      </c>
      <c r="V23" s="110">
        <v>0</v>
      </c>
      <c r="W23" s="110">
        <v>1360000</v>
      </c>
      <c r="X23" s="110">
        <v>0</v>
      </c>
      <c r="Y23" s="110">
        <v>0</v>
      </c>
      <c r="Z23" s="110">
        <v>0</v>
      </c>
      <c r="AA23" s="110">
        <v>46170</v>
      </c>
      <c r="AB23" s="111" t="str">
        <v>Q2 2026</v>
      </c>
      <c r="AC23">
        <v>0</v>
      </c>
      <c r="AD23" t="str">
        <v>TBD</v>
      </c>
      <c r="AE23" t="str">
        <v>Sandra Viegas</v>
      </c>
      <c r="AF23" t="str">
        <v>Joaquim Vermelhudo</v>
      </c>
      <c r="AG23" t="str">
        <v>https://www.monte-rei.com/</v>
      </c>
      <c r="AH23"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23" t="str">
        <v>Golfe 18 buracos, Ténis, Ginásio, Health Center, Piscinas Exteriores, Spa e Concierge, Restaurantes</v>
      </c>
      <c r="AJ23"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23" t="str">
        <v>TBD</v>
      </c>
      <c r="AL23" t="str">
        <v>Monte Rei</v>
      </c>
    </row>
    <row r="24" spans="1:38" x14ac:dyDescent="0.3">
      <c r="A24" s="110" t="str">
        <v>MR - Linked Villas</v>
      </c>
      <c r="B24" s="110" t="str">
        <v>Algarve</v>
      </c>
      <c r="C24" s="110" t="str">
        <v>AF</v>
      </c>
      <c r="D24" s="110" t="str">
        <v>Vila Nova de Cacela, Algarve</v>
      </c>
      <c r="E24" s="110" t="str">
        <v>T3</v>
      </c>
      <c r="F24" s="110">
        <v>422.07</v>
      </c>
      <c r="G24" s="110">
        <v>45.06</v>
      </c>
      <c r="H24" s="110" t="str">
        <v/>
      </c>
      <c r="I24" s="110" t="str">
        <v/>
      </c>
      <c r="J24" s="110">
        <v>134.35</v>
      </c>
      <c r="K24" s="110">
        <v>0</v>
      </c>
      <c r="L24" s="110">
        <v>0</v>
      </c>
      <c r="M24" s="110">
        <v>0</v>
      </c>
      <c r="N24" s="110">
        <v>0</v>
      </c>
      <c r="O24" s="110">
        <v>242.66</v>
      </c>
      <c r="P24" s="110">
        <v>0</v>
      </c>
      <c r="Q24" s="110" t="str">
        <v>AVAILABLE</v>
      </c>
      <c r="R24" s="110">
        <v>1250000</v>
      </c>
      <c r="S24" s="110">
        <v>1250000</v>
      </c>
      <c r="T24" s="110">
        <v>1310000</v>
      </c>
      <c r="U24" s="110">
        <v>0</v>
      </c>
      <c r="V24" s="110">
        <v>0</v>
      </c>
      <c r="W24" s="110">
        <v>1310000</v>
      </c>
      <c r="X24" s="110">
        <v>0</v>
      </c>
      <c r="Y24" s="110">
        <v>0</v>
      </c>
      <c r="Z24" s="110">
        <v>0</v>
      </c>
      <c r="AA24" s="110">
        <v>46170</v>
      </c>
      <c r="AB24" s="111" t="str">
        <v>Q2 2026</v>
      </c>
      <c r="AC24">
        <v>0</v>
      </c>
      <c r="AD24" t="str">
        <v>TBD</v>
      </c>
      <c r="AE24" t="str">
        <v>Sandra Viegas</v>
      </c>
      <c r="AF24" t="str">
        <v>Joaquim Vermelhudo</v>
      </c>
      <c r="AG24" t="str">
        <v>https://www.monte-rei.com/</v>
      </c>
      <c r="AH24"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24" t="str">
        <v>Golfe 18 buracos, Ténis, Ginásio, Health Center, Piscinas Exteriores, Spa e Concierge, Restaurantes</v>
      </c>
      <c r="AJ24"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24" t="str">
        <v>TBD</v>
      </c>
      <c r="AL24" t="str">
        <v>Monte Rei</v>
      </c>
    </row>
    <row r="25" spans="1:38" x14ac:dyDescent="0.3">
      <c r="A25" s="110" t="str">
        <v>MR - Linked Villas</v>
      </c>
      <c r="B25" s="110" t="str">
        <v>Algarve</v>
      </c>
      <c r="C25" s="110" t="str">
        <v>B</v>
      </c>
      <c r="D25" s="110" t="str">
        <v>Vila Nova de Cacela, Algarve</v>
      </c>
      <c r="E25" s="110" t="str">
        <v>T3</v>
      </c>
      <c r="F25" s="110">
        <v>422.36</v>
      </c>
      <c r="G25" s="110">
        <v>45.06</v>
      </c>
      <c r="H25" s="110" t="str">
        <v/>
      </c>
      <c r="I25" s="110" t="str">
        <v/>
      </c>
      <c r="J25" s="110">
        <v>131.68</v>
      </c>
      <c r="K25" s="110">
        <v>0</v>
      </c>
      <c r="L25" s="110">
        <v>0</v>
      </c>
      <c r="M25" s="110">
        <v>0</v>
      </c>
      <c r="N25" s="110">
        <v>0</v>
      </c>
      <c r="O25" s="110">
        <v>245.62</v>
      </c>
      <c r="P25" s="110">
        <v>0</v>
      </c>
      <c r="Q25" s="110" t="str">
        <v>AVAILABLE</v>
      </c>
      <c r="R25" s="110">
        <v>1300000</v>
      </c>
      <c r="S25" s="110">
        <v>1300000</v>
      </c>
      <c r="T25" s="110">
        <v>1300000</v>
      </c>
      <c r="U25" s="110">
        <v>0</v>
      </c>
      <c r="V25" s="110">
        <v>0</v>
      </c>
      <c r="W25" s="110">
        <v>1300000</v>
      </c>
      <c r="X25" s="110">
        <v>0</v>
      </c>
      <c r="Y25" s="110">
        <v>0</v>
      </c>
      <c r="Z25" s="110">
        <v>0</v>
      </c>
      <c r="AA25" s="110">
        <v>46170</v>
      </c>
      <c r="AB25" s="111" t="str">
        <v>Q2 2026</v>
      </c>
      <c r="AC25">
        <v>0</v>
      </c>
      <c r="AD25" t="str">
        <v>TBD</v>
      </c>
      <c r="AE25" t="str">
        <v>Sandra Viegas</v>
      </c>
      <c r="AF25" t="str">
        <v>Joaquim Vermelhudo</v>
      </c>
      <c r="AG25" t="str">
        <v>https://www.monte-rei.com/</v>
      </c>
      <c r="AH25"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25" t="str">
        <v>Golfe 18 buracos, Ténis, Ginásio, Health Center, Piscinas Exteriores, Spa e Concierge, Restaurantes</v>
      </c>
      <c r="AJ25"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25" t="str">
        <v>TBD</v>
      </c>
      <c r="AL25" t="str">
        <v>Monte Rei</v>
      </c>
    </row>
    <row r="26" spans="1:38" x14ac:dyDescent="0.3">
      <c r="A26" s="110" t="str">
        <v>MR - Linked Villas</v>
      </c>
      <c r="B26" s="110" t="str">
        <v>Algarve</v>
      </c>
      <c r="C26" s="110" t="str">
        <v>D</v>
      </c>
      <c r="D26" s="110" t="str">
        <v>Vila Nova de Cacela, Algarve</v>
      </c>
      <c r="E26" s="110" t="str">
        <v>T3</v>
      </c>
      <c r="F26" s="110">
        <v>422.36</v>
      </c>
      <c r="G26" s="110">
        <v>45.06</v>
      </c>
      <c r="H26" s="110" t="str">
        <v/>
      </c>
      <c r="I26" s="110" t="str">
        <v/>
      </c>
      <c r="J26" s="110">
        <v>131.68</v>
      </c>
      <c r="K26" s="110">
        <v>0</v>
      </c>
      <c r="L26" s="110">
        <v>0</v>
      </c>
      <c r="M26" s="110">
        <v>0</v>
      </c>
      <c r="N26" s="110">
        <v>0</v>
      </c>
      <c r="O26" s="110">
        <v>245.62</v>
      </c>
      <c r="P26" s="110">
        <v>0</v>
      </c>
      <c r="Q26" s="110" t="str">
        <v>AVAILABLE</v>
      </c>
      <c r="R26" s="110">
        <v>1300000</v>
      </c>
      <c r="S26" s="110">
        <v>1300000</v>
      </c>
      <c r="T26" s="110">
        <v>1270000</v>
      </c>
      <c r="U26" s="110">
        <v>0</v>
      </c>
      <c r="V26" s="110">
        <v>0</v>
      </c>
      <c r="W26" s="110">
        <v>1270000</v>
      </c>
      <c r="X26" s="110">
        <v>0</v>
      </c>
      <c r="Y26" s="110">
        <v>0</v>
      </c>
      <c r="Z26" s="110">
        <v>0</v>
      </c>
      <c r="AA26" s="110">
        <v>46170</v>
      </c>
      <c r="AB26" s="111" t="str">
        <v>Q2 2026</v>
      </c>
      <c r="AC26">
        <v>0</v>
      </c>
      <c r="AD26" t="str">
        <v>TBD</v>
      </c>
      <c r="AE26" t="str">
        <v>Sandra Viegas</v>
      </c>
      <c r="AF26" t="str">
        <v>Joaquim Vermelhudo</v>
      </c>
      <c r="AG26" t="str">
        <v>https://www.monte-rei.com/</v>
      </c>
      <c r="AH26"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26" t="str">
        <v>Golfe 18 buracos, Ténis, Ginásio, Health Center, Piscinas Exteriores, Spa e Concierge, Restaurantes</v>
      </c>
      <c r="AJ26"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26" t="str">
        <v>TBD</v>
      </c>
      <c r="AL26" t="str">
        <v>Monte Rei</v>
      </c>
    </row>
    <row r="27" spans="1:38" x14ac:dyDescent="0.3">
      <c r="A27" s="110" t="str">
        <v>MR - Linked Villas</v>
      </c>
      <c r="B27" s="110" t="str">
        <v>Algarve</v>
      </c>
      <c r="C27" s="110" t="str">
        <v>E</v>
      </c>
      <c r="D27" s="110" t="str">
        <v>Vila Nova de Cacela, Algarve</v>
      </c>
      <c r="E27" s="110" t="str">
        <v>T3</v>
      </c>
      <c r="F27" s="110">
        <v>422.36</v>
      </c>
      <c r="G27" s="110">
        <v>45.06</v>
      </c>
      <c r="H27" s="110" t="str">
        <v/>
      </c>
      <c r="I27" s="110" t="str">
        <v/>
      </c>
      <c r="J27" s="110">
        <v>131.68</v>
      </c>
      <c r="K27" s="110">
        <v>0</v>
      </c>
      <c r="L27" s="110">
        <v>0</v>
      </c>
      <c r="M27" s="110">
        <v>0</v>
      </c>
      <c r="N27" s="110">
        <v>0</v>
      </c>
      <c r="O27" s="110">
        <v>245.62</v>
      </c>
      <c r="P27" s="110">
        <v>0</v>
      </c>
      <c r="Q27" s="110" t="str">
        <v>AVAILABLE</v>
      </c>
      <c r="R27" s="110">
        <v>1300000</v>
      </c>
      <c r="S27" s="110">
        <v>1300000</v>
      </c>
      <c r="T27" s="110">
        <v>1290000</v>
      </c>
      <c r="U27" s="110">
        <v>0</v>
      </c>
      <c r="V27" s="110">
        <v>0</v>
      </c>
      <c r="W27" s="110">
        <v>1290000</v>
      </c>
      <c r="X27" s="110">
        <v>0</v>
      </c>
      <c r="Y27" s="110">
        <v>0</v>
      </c>
      <c r="Z27" s="110">
        <v>0</v>
      </c>
      <c r="AA27" s="110">
        <v>46170</v>
      </c>
      <c r="AB27" s="111" t="str">
        <v>Q2 2026</v>
      </c>
      <c r="AC27">
        <v>0</v>
      </c>
      <c r="AD27" t="str">
        <v>TBD</v>
      </c>
      <c r="AE27" t="str">
        <v>Sandra Viegas</v>
      </c>
      <c r="AF27" t="str">
        <v>Joaquim Vermelhudo</v>
      </c>
      <c r="AG27" t="str">
        <v>https://www.monte-rei.com/</v>
      </c>
      <c r="AH27"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27" t="str">
        <v>Golfe 18 buracos, Ténis, Ginásio, Health Center, Piscinas Exteriores, Spa e Concierge, Restaurantes</v>
      </c>
      <c r="AJ27"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27" t="str">
        <v>TBD</v>
      </c>
      <c r="AL27" t="str">
        <v>Monte Rei</v>
      </c>
    </row>
    <row r="28" spans="1:38" x14ac:dyDescent="0.3">
      <c r="A28" s="110" t="str">
        <v>MR - Linked Villas</v>
      </c>
      <c r="B28" s="110" t="str">
        <v>Algarve</v>
      </c>
      <c r="C28" s="110" t="str">
        <v>F</v>
      </c>
      <c r="D28" s="110" t="str">
        <v>Vila Nova de Cacela, Algarve</v>
      </c>
      <c r="E28" s="110" t="str">
        <v>T3</v>
      </c>
      <c r="F28" s="110">
        <v>433.99</v>
      </c>
      <c r="G28" s="110">
        <v>45.83</v>
      </c>
      <c r="H28" s="110" t="str">
        <v/>
      </c>
      <c r="I28" s="110" t="str">
        <v/>
      </c>
      <c r="J28" s="110">
        <v>136.16</v>
      </c>
      <c r="K28" s="110">
        <v>0</v>
      </c>
      <c r="L28" s="110">
        <v>0</v>
      </c>
      <c r="M28" s="110">
        <v>0</v>
      </c>
      <c r="N28" s="110">
        <v>0</v>
      </c>
      <c r="O28" s="110">
        <v>252</v>
      </c>
      <c r="P28" s="110">
        <v>0</v>
      </c>
      <c r="Q28" s="110" t="str">
        <v>AVAILABLE</v>
      </c>
      <c r="R28" s="110">
        <v>1300000</v>
      </c>
      <c r="S28" s="110">
        <v>1300000</v>
      </c>
      <c r="T28" s="110">
        <v>1340000</v>
      </c>
      <c r="U28" s="110">
        <v>0</v>
      </c>
      <c r="V28" s="110">
        <v>0</v>
      </c>
      <c r="W28" s="110">
        <v>1340000</v>
      </c>
      <c r="X28" s="110">
        <v>0</v>
      </c>
      <c r="Y28" s="110">
        <v>1340000</v>
      </c>
      <c r="Z28" s="110">
        <v>1340000</v>
      </c>
      <c r="AA28" s="110">
        <v>46170</v>
      </c>
      <c r="AB28" s="111" t="str">
        <v>Q2 2026</v>
      </c>
      <c r="AC28">
        <v>0</v>
      </c>
      <c r="AD28" t="str">
        <v>TBD</v>
      </c>
      <c r="AE28" t="str">
        <v>Sandra Viegas</v>
      </c>
      <c r="AF28" t="str">
        <v>Joaquim Vermelhudo</v>
      </c>
      <c r="AG28" t="str">
        <v>https://www.monte-rei.com/</v>
      </c>
      <c r="AH28"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28" t="str">
        <v>Golfe 18 buracos, Ténis, Ginásio, Health Center, Piscinas Exteriores, Spa e Concierge, Restaurantes</v>
      </c>
      <c r="AJ28"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28" t="str">
        <v>TBD</v>
      </c>
      <c r="AL28" t="str">
        <v>Monte Rei</v>
      </c>
    </row>
    <row r="29" spans="1:38" x14ac:dyDescent="0.3">
      <c r="A29" s="110" t="str">
        <v>MR - Linked Villas</v>
      </c>
      <c r="B29" s="110" t="str">
        <v>Algarve</v>
      </c>
      <c r="C29" s="110" t="str">
        <v>G</v>
      </c>
      <c r="D29" s="110" t="str">
        <v>Vila Nova de Cacela, Algarve</v>
      </c>
      <c r="E29" s="110" t="str">
        <v>T3</v>
      </c>
      <c r="F29" s="110">
        <v>433.99</v>
      </c>
      <c r="G29" s="110">
        <v>45.83</v>
      </c>
      <c r="H29" s="110" t="str">
        <v/>
      </c>
      <c r="I29" s="110" t="str">
        <v/>
      </c>
      <c r="J29" s="110">
        <v>136.16</v>
      </c>
      <c r="K29" s="110">
        <v>0</v>
      </c>
      <c r="L29" s="110">
        <v>0</v>
      </c>
      <c r="M29" s="110">
        <v>0</v>
      </c>
      <c r="N29" s="110">
        <v>0</v>
      </c>
      <c r="O29" s="110">
        <v>252</v>
      </c>
      <c r="P29" s="110">
        <v>0</v>
      </c>
      <c r="Q29" s="110" t="str">
        <v>AVAILABLE</v>
      </c>
      <c r="R29" s="110">
        <v>1300000</v>
      </c>
      <c r="S29" s="110">
        <v>1300000</v>
      </c>
      <c r="T29" s="110">
        <v>1320000</v>
      </c>
      <c r="U29" s="110">
        <v>0</v>
      </c>
      <c r="V29" s="110">
        <v>0</v>
      </c>
      <c r="W29" s="110">
        <v>1320000</v>
      </c>
      <c r="X29" s="110">
        <v>0</v>
      </c>
      <c r="Y29" s="110">
        <v>0</v>
      </c>
      <c r="Z29" s="110">
        <v>0</v>
      </c>
      <c r="AA29" s="110">
        <v>46170</v>
      </c>
      <c r="AB29" s="111" t="str">
        <v>Q2 2026</v>
      </c>
      <c r="AC29">
        <v>0</v>
      </c>
      <c r="AD29" t="str">
        <v>TBD</v>
      </c>
      <c r="AE29" t="str">
        <v>Sandra Viegas</v>
      </c>
      <c r="AF29" t="str">
        <v>Joaquim Vermelhudo</v>
      </c>
      <c r="AG29" t="str">
        <v>https://www.monte-rei.com/</v>
      </c>
      <c r="AH29"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29" t="str">
        <v>Golfe 18 buracos, Ténis, Ginásio, Health Center, Piscinas Exteriores, Spa e Concierge, Restaurantes</v>
      </c>
      <c r="AJ29"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29" t="str">
        <v>TBD</v>
      </c>
      <c r="AL29" t="str">
        <v>Monte Rei</v>
      </c>
    </row>
    <row r="30" spans="1:38" x14ac:dyDescent="0.3">
      <c r="A30" s="110" t="str">
        <v>MR - Linked Villas</v>
      </c>
      <c r="B30" s="110" t="str">
        <v>Algarve</v>
      </c>
      <c r="C30" s="110" t="str">
        <v>H</v>
      </c>
      <c r="D30" s="110" t="str">
        <v>Vila Nova de Cacela, Algarve</v>
      </c>
      <c r="E30" s="110" t="str">
        <v>T3</v>
      </c>
      <c r="F30" s="110">
        <v>422.07</v>
      </c>
      <c r="G30" s="110">
        <v>45.06</v>
      </c>
      <c r="H30" s="110" t="str">
        <v/>
      </c>
      <c r="I30" s="110" t="str">
        <v/>
      </c>
      <c r="J30" s="110">
        <v>134.35</v>
      </c>
      <c r="K30" s="110">
        <v>0</v>
      </c>
      <c r="L30" s="110">
        <v>0</v>
      </c>
      <c r="M30" s="110">
        <v>0</v>
      </c>
      <c r="N30" s="110">
        <v>0</v>
      </c>
      <c r="O30" s="110">
        <v>242.66</v>
      </c>
      <c r="P30" s="110">
        <v>0</v>
      </c>
      <c r="Q30" s="110" t="str">
        <v>AVAILABLE</v>
      </c>
      <c r="R30" s="110">
        <v>1300000</v>
      </c>
      <c r="S30" s="110">
        <v>1300000</v>
      </c>
      <c r="T30" s="110">
        <v>1270000</v>
      </c>
      <c r="U30" s="110">
        <v>0</v>
      </c>
      <c r="V30" s="110">
        <v>0</v>
      </c>
      <c r="W30" s="110">
        <v>1270000</v>
      </c>
      <c r="X30" s="110">
        <v>0</v>
      </c>
      <c r="Y30" s="110">
        <v>0</v>
      </c>
      <c r="Z30" s="110">
        <v>0</v>
      </c>
      <c r="AA30" s="110">
        <v>46170</v>
      </c>
      <c r="AB30" s="111" t="str">
        <v>Q2 2026</v>
      </c>
      <c r="AC30">
        <v>0</v>
      </c>
      <c r="AD30" t="str">
        <v>TBD</v>
      </c>
      <c r="AE30" t="str">
        <v>Sandra Viegas</v>
      </c>
      <c r="AF30" t="str">
        <v>Joaquim Vermelhudo</v>
      </c>
      <c r="AG30" t="str">
        <v>https://www.monte-rei.com/</v>
      </c>
      <c r="AH30"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30" t="str">
        <v>Golfe 18 buracos, Ténis, Ginásio, Health Center, Piscinas Exteriores, Spa e Concierge, Restaurantes</v>
      </c>
      <c r="AJ30"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30" t="str">
        <v>TBD</v>
      </c>
      <c r="AL30" t="str">
        <v>Monte Rei</v>
      </c>
    </row>
    <row r="31" spans="1:38" x14ac:dyDescent="0.3">
      <c r="A31" s="110" t="str">
        <v>MR - Linked Villas</v>
      </c>
      <c r="B31" s="110" t="str">
        <v>Algarve</v>
      </c>
      <c r="C31" s="110" t="str">
        <v>I</v>
      </c>
      <c r="D31" s="110" t="str">
        <v>Vila Nova de Cacela, Algarve</v>
      </c>
      <c r="E31" s="110" t="str">
        <v>T3</v>
      </c>
      <c r="F31" s="110">
        <v>422.36</v>
      </c>
      <c r="G31" s="110">
        <v>45.06</v>
      </c>
      <c r="H31" s="110" t="str">
        <v/>
      </c>
      <c r="I31" s="110" t="str">
        <v/>
      </c>
      <c r="J31" s="110">
        <v>131.68</v>
      </c>
      <c r="K31" s="110">
        <v>0</v>
      </c>
      <c r="L31" s="110">
        <v>0</v>
      </c>
      <c r="M31" s="110">
        <v>0</v>
      </c>
      <c r="N31" s="110">
        <v>0</v>
      </c>
      <c r="O31" s="110">
        <v>245.62</v>
      </c>
      <c r="P31" s="110">
        <v>0</v>
      </c>
      <c r="Q31" s="110" t="str">
        <v>AVAILABLE</v>
      </c>
      <c r="R31" s="110">
        <v>1300000</v>
      </c>
      <c r="S31" s="110">
        <v>1300000</v>
      </c>
      <c r="T31" s="110">
        <v>1300000</v>
      </c>
      <c r="U31" s="110">
        <v>0</v>
      </c>
      <c r="V31" s="110">
        <v>0</v>
      </c>
      <c r="W31" s="110">
        <v>1300000</v>
      </c>
      <c r="X31" s="110">
        <v>0</v>
      </c>
      <c r="Y31" s="110">
        <v>0</v>
      </c>
      <c r="Z31" s="110">
        <v>0</v>
      </c>
      <c r="AA31" s="110">
        <v>46170</v>
      </c>
      <c r="AB31" s="111" t="str">
        <v>Q2 2026</v>
      </c>
      <c r="AC31">
        <v>0</v>
      </c>
      <c r="AD31" t="str">
        <v>TBD</v>
      </c>
      <c r="AE31" t="str">
        <v>Sandra Viegas</v>
      </c>
      <c r="AF31" t="str">
        <v>Joaquim Vermelhudo</v>
      </c>
      <c r="AG31" t="str">
        <v>https://www.monte-rei.com/</v>
      </c>
      <c r="AH31"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31" t="str">
        <v>Golfe 18 buracos, Ténis, Ginásio, Health Center, Piscinas Exteriores, Spa e Concierge, Restaurantes</v>
      </c>
      <c r="AJ31"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31" t="str">
        <v>TBD</v>
      </c>
      <c r="AL31" t="str">
        <v>Monte Rei</v>
      </c>
    </row>
    <row r="32" spans="1:38" x14ac:dyDescent="0.3">
      <c r="A32" s="110" t="str">
        <v>MR - Linked Villas</v>
      </c>
      <c r="B32" s="110" t="str">
        <v>Algarve</v>
      </c>
      <c r="C32" s="110" t="str">
        <v>J</v>
      </c>
      <c r="D32" s="110" t="str">
        <v>Vila Nova de Cacela, Algarve</v>
      </c>
      <c r="E32" s="110" t="str">
        <v>T3</v>
      </c>
      <c r="F32" s="110">
        <v>433.99</v>
      </c>
      <c r="G32" s="110">
        <v>45.83</v>
      </c>
      <c r="H32" s="110" t="str">
        <v/>
      </c>
      <c r="I32" s="110" t="str">
        <v/>
      </c>
      <c r="J32" s="110">
        <v>136.16</v>
      </c>
      <c r="K32" s="110">
        <v>0</v>
      </c>
      <c r="L32" s="110">
        <v>0</v>
      </c>
      <c r="M32" s="110">
        <v>0</v>
      </c>
      <c r="N32" s="110">
        <v>0</v>
      </c>
      <c r="O32" s="110">
        <v>252</v>
      </c>
      <c r="P32" s="110">
        <v>0</v>
      </c>
      <c r="Q32" s="110" t="str">
        <v>AVAILABLE</v>
      </c>
      <c r="R32" s="110">
        <v>1300000</v>
      </c>
      <c r="S32" s="110">
        <v>1300000</v>
      </c>
      <c r="T32" s="110">
        <v>1430000</v>
      </c>
      <c r="U32" s="110">
        <v>0</v>
      </c>
      <c r="V32" s="110">
        <v>0</v>
      </c>
      <c r="W32" s="110">
        <v>1430000</v>
      </c>
      <c r="X32" s="110">
        <v>0</v>
      </c>
      <c r="Y32" s="110">
        <v>0</v>
      </c>
      <c r="Z32" s="110">
        <v>0</v>
      </c>
      <c r="AA32" s="110">
        <v>46170</v>
      </c>
      <c r="AB32" s="111" t="str">
        <v>Q2 2026</v>
      </c>
      <c r="AC32">
        <v>0</v>
      </c>
      <c r="AD32" t="str">
        <v>TBD</v>
      </c>
      <c r="AE32" t="str">
        <v>Sandra Viegas</v>
      </c>
      <c r="AF32" t="str">
        <v>Joaquim Vermelhudo</v>
      </c>
      <c r="AG32" t="str">
        <v>https://www.monte-rei.com/</v>
      </c>
      <c r="AH32"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32" t="str">
        <v>Golfe 18 buracos, Ténis, Ginásio, Health Center, Piscinas Exteriores, Spa e Concierge, Restaurantes</v>
      </c>
      <c r="AJ32"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32" t="str">
        <v>TBD</v>
      </c>
      <c r="AL32" t="str">
        <v>Monte Rei</v>
      </c>
    </row>
    <row r="33" spans="1:38" x14ac:dyDescent="0.3">
      <c r="A33" s="110" t="str">
        <v>MR - Linked Villas</v>
      </c>
      <c r="B33" s="110" t="str">
        <v>Algarve</v>
      </c>
      <c r="C33" s="110" t="str">
        <v>L</v>
      </c>
      <c r="D33" s="110" t="str">
        <v>Vila Nova de Cacela, Algarve</v>
      </c>
      <c r="E33" s="110" t="str">
        <v>T3</v>
      </c>
      <c r="F33" s="110">
        <v>422.36</v>
      </c>
      <c r="G33" s="110">
        <v>45.06</v>
      </c>
      <c r="H33" s="110" t="str">
        <v/>
      </c>
      <c r="I33" s="110" t="str">
        <v/>
      </c>
      <c r="J33" s="110">
        <v>131.68</v>
      </c>
      <c r="K33" s="110">
        <v>0</v>
      </c>
      <c r="L33" s="110">
        <v>0</v>
      </c>
      <c r="M33" s="110">
        <v>0</v>
      </c>
      <c r="N33" s="110">
        <v>0</v>
      </c>
      <c r="O33" s="110">
        <v>245.62</v>
      </c>
      <c r="P33" s="110">
        <v>0</v>
      </c>
      <c r="Q33" s="110" t="str">
        <v>AVAILABLE</v>
      </c>
      <c r="R33" s="110">
        <v>1300000</v>
      </c>
      <c r="S33" s="110">
        <v>1300000</v>
      </c>
      <c r="T33" s="110">
        <v>1380000</v>
      </c>
      <c r="U33" s="110">
        <v>0</v>
      </c>
      <c r="V33" s="110">
        <v>0</v>
      </c>
      <c r="W33" s="110">
        <v>1380000</v>
      </c>
      <c r="X33" s="110">
        <v>0</v>
      </c>
      <c r="Y33" s="110">
        <v>0</v>
      </c>
      <c r="Z33" s="110">
        <v>0</v>
      </c>
      <c r="AA33" s="110">
        <v>46170</v>
      </c>
      <c r="AB33" s="111" t="str">
        <v>Q2 2026</v>
      </c>
      <c r="AC33">
        <v>0</v>
      </c>
      <c r="AD33" t="str">
        <v>TBD</v>
      </c>
      <c r="AE33" t="str">
        <v>Sandra Viegas</v>
      </c>
      <c r="AF33" t="str">
        <v>Joaquim Vermelhudo</v>
      </c>
      <c r="AG33" t="str">
        <v>https://www.monte-rei.com/</v>
      </c>
      <c r="AH33"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33" t="str">
        <v>Golfe 18 buracos, Ténis, Ginásio, Health Center, Piscinas Exteriores, Spa e Concierge, Restaurantes</v>
      </c>
      <c r="AJ33"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33" t="str">
        <v>TBD</v>
      </c>
      <c r="AL33" t="str">
        <v>Monte Rei</v>
      </c>
    </row>
    <row r="34" spans="1:38" x14ac:dyDescent="0.3">
      <c r="A34" s="110" t="str">
        <v>MR - Linked Villas</v>
      </c>
      <c r="B34" s="110" t="str">
        <v>Algarve</v>
      </c>
      <c r="C34" s="110" t="str">
        <v>N</v>
      </c>
      <c r="D34" s="110" t="str">
        <v>Vila Nova de Cacela, Algarve</v>
      </c>
      <c r="E34" s="110" t="str">
        <v>T3</v>
      </c>
      <c r="F34" s="110">
        <v>433.99</v>
      </c>
      <c r="G34" s="110">
        <v>45.83</v>
      </c>
      <c r="H34" s="110" t="str">
        <v/>
      </c>
      <c r="I34" s="110" t="str">
        <v/>
      </c>
      <c r="J34" s="110">
        <v>136.16</v>
      </c>
      <c r="K34" s="110">
        <v>0</v>
      </c>
      <c r="L34" s="110">
        <v>0</v>
      </c>
      <c r="M34" s="110">
        <v>0</v>
      </c>
      <c r="N34" s="110">
        <v>0</v>
      </c>
      <c r="O34" s="110">
        <v>252</v>
      </c>
      <c r="P34" s="110">
        <v>0</v>
      </c>
      <c r="Q34" s="110" t="str">
        <v>AVAILABLE</v>
      </c>
      <c r="R34" s="110">
        <v>1300000</v>
      </c>
      <c r="S34" s="110">
        <v>1300000</v>
      </c>
      <c r="T34" s="110">
        <v>1190000</v>
      </c>
      <c r="U34" s="110">
        <v>0</v>
      </c>
      <c r="V34" s="110">
        <v>0</v>
      </c>
      <c r="W34" s="110">
        <v>1190000</v>
      </c>
      <c r="X34" s="110">
        <v>0</v>
      </c>
      <c r="Y34" s="110">
        <v>0</v>
      </c>
      <c r="Z34" s="110">
        <v>0</v>
      </c>
      <c r="AA34" s="110">
        <v>46170</v>
      </c>
      <c r="AB34" s="111" t="str">
        <v>Q2 2026</v>
      </c>
      <c r="AC34">
        <v>0</v>
      </c>
      <c r="AD34" t="str">
        <v>TBD</v>
      </c>
      <c r="AE34" t="str">
        <v>Sandra Viegas</v>
      </c>
      <c r="AF34" t="str">
        <v>Joaquim Vermelhudo</v>
      </c>
      <c r="AG34" t="str">
        <v>https://www.monte-rei.com/</v>
      </c>
      <c r="AH34"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34" t="str">
        <v>Golfe 18 buracos, Ténis, Ginásio, Health Center, Piscinas Exteriores, Spa e Concierge, Restaurantes</v>
      </c>
      <c r="AJ34"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34" t="str">
        <v>TBD</v>
      </c>
      <c r="AL34" t="str">
        <v>Monte Rei</v>
      </c>
    </row>
    <row r="35" spans="1:38" x14ac:dyDescent="0.3">
      <c r="A35" s="110" t="str">
        <v>MR - Linked Villas</v>
      </c>
      <c r="B35" s="110" t="str">
        <v>Algarve</v>
      </c>
      <c r="C35" s="110" t="str">
        <v>O</v>
      </c>
      <c r="D35" s="110" t="str">
        <v>Vila Nova de Cacela, Algarve</v>
      </c>
      <c r="E35" s="110" t="str">
        <v>T3</v>
      </c>
      <c r="F35" s="110">
        <v>422.36</v>
      </c>
      <c r="G35" s="110">
        <v>45.06</v>
      </c>
      <c r="H35" s="110" t="str">
        <v/>
      </c>
      <c r="I35" s="110" t="str">
        <v/>
      </c>
      <c r="J35" s="110">
        <v>131.68</v>
      </c>
      <c r="K35" s="110">
        <v>0</v>
      </c>
      <c r="L35" s="110">
        <v>0</v>
      </c>
      <c r="M35" s="110">
        <v>0</v>
      </c>
      <c r="N35" s="110">
        <v>0</v>
      </c>
      <c r="O35" s="110">
        <v>245.62</v>
      </c>
      <c r="P35" s="110">
        <v>0</v>
      </c>
      <c r="Q35" s="110" t="str">
        <v>AVAILABLE</v>
      </c>
      <c r="R35" s="110">
        <v>1300000</v>
      </c>
      <c r="S35" s="110">
        <v>1300000</v>
      </c>
      <c r="T35" s="110">
        <v>1250000</v>
      </c>
      <c r="U35" s="110">
        <v>0</v>
      </c>
      <c r="V35" s="110">
        <v>0</v>
      </c>
      <c r="W35" s="110">
        <v>1250000</v>
      </c>
      <c r="X35" s="110">
        <v>0</v>
      </c>
      <c r="Y35" s="110">
        <v>0</v>
      </c>
      <c r="Z35" s="110">
        <v>0</v>
      </c>
      <c r="AA35" s="110">
        <v>46170</v>
      </c>
      <c r="AB35" s="111" t="str">
        <v>Q2 2026</v>
      </c>
      <c r="AC35">
        <v>0</v>
      </c>
      <c r="AD35" t="str">
        <v>TBD</v>
      </c>
      <c r="AE35" t="str">
        <v>Sandra Viegas</v>
      </c>
      <c r="AF35" t="str">
        <v>Joaquim Vermelhudo</v>
      </c>
      <c r="AG35" t="str">
        <v>https://www.monte-rei.com/</v>
      </c>
      <c r="AH35"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35" t="str">
        <v>Golfe 18 buracos, Ténis, Ginásio, Health Center, Piscinas Exteriores, Spa e Concierge, Restaurantes</v>
      </c>
      <c r="AJ35"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35" t="str">
        <v>TBD</v>
      </c>
      <c r="AL35" t="str">
        <v>Monte Rei</v>
      </c>
    </row>
    <row r="36" spans="1:38" x14ac:dyDescent="0.3">
      <c r="A36" s="110" t="str">
        <v>MR - Linked Villas</v>
      </c>
      <c r="B36" s="110" t="str">
        <v>Algarve</v>
      </c>
      <c r="C36" s="110" t="str">
        <v>Q</v>
      </c>
      <c r="D36" s="110" t="str">
        <v>Vila Nova de Cacela, Algarve</v>
      </c>
      <c r="E36" s="110" t="str">
        <v>T3</v>
      </c>
      <c r="F36" s="110">
        <v>433.99</v>
      </c>
      <c r="G36" s="110">
        <v>45.83</v>
      </c>
      <c r="H36" s="110" t="str">
        <v/>
      </c>
      <c r="I36" s="110" t="str">
        <v/>
      </c>
      <c r="J36" s="110">
        <v>136.16</v>
      </c>
      <c r="K36" s="110">
        <v>0</v>
      </c>
      <c r="L36" s="110">
        <v>0</v>
      </c>
      <c r="M36" s="110">
        <v>0</v>
      </c>
      <c r="N36" s="110">
        <v>0</v>
      </c>
      <c r="O36" s="110">
        <v>252</v>
      </c>
      <c r="P36" s="110">
        <v>0</v>
      </c>
      <c r="Q36" s="110" t="str">
        <v>AVAILABLE</v>
      </c>
      <c r="R36" s="110">
        <v>1300000</v>
      </c>
      <c r="S36" s="110">
        <v>1300000</v>
      </c>
      <c r="T36" s="110">
        <v>1260000</v>
      </c>
      <c r="U36" s="110">
        <v>0</v>
      </c>
      <c r="V36" s="110">
        <v>0</v>
      </c>
      <c r="W36" s="110">
        <v>1260000</v>
      </c>
      <c r="X36" s="110">
        <v>0</v>
      </c>
      <c r="Y36" s="110">
        <v>0</v>
      </c>
      <c r="Z36" s="110">
        <v>0</v>
      </c>
      <c r="AA36" s="110">
        <v>46170</v>
      </c>
      <c r="AB36" s="111" t="str">
        <v>Q2 2026</v>
      </c>
      <c r="AC36">
        <v>0</v>
      </c>
      <c r="AD36" t="str">
        <v>TBD</v>
      </c>
      <c r="AE36" t="str">
        <v>Sandra Viegas</v>
      </c>
      <c r="AF36" t="str">
        <v>Joaquim Vermelhudo</v>
      </c>
      <c r="AG36" t="str">
        <v>https://www.monte-rei.com/</v>
      </c>
      <c r="AH36"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36" t="str">
        <v>Golfe 18 buracos, Ténis, Ginásio, Health Center, Piscinas Exteriores, Spa e Concierge, Restaurantes</v>
      </c>
      <c r="AJ36"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36" t="str">
        <v>TBD</v>
      </c>
      <c r="AL36" t="str">
        <v>Monte Rei</v>
      </c>
    </row>
    <row r="37" spans="1:38" x14ac:dyDescent="0.3">
      <c r="A37" s="110" t="str">
        <v>MR - Linked Villas</v>
      </c>
      <c r="B37" s="110" t="str">
        <v>Algarve</v>
      </c>
      <c r="C37" s="110" t="str">
        <v>R</v>
      </c>
      <c r="D37" s="110" t="str">
        <v>Vila Nova de Cacela, Algarve</v>
      </c>
      <c r="E37" s="110" t="str">
        <v>T3</v>
      </c>
      <c r="F37" s="110">
        <v>433.99</v>
      </c>
      <c r="G37" s="110">
        <v>45.83</v>
      </c>
      <c r="H37" s="110" t="str">
        <v/>
      </c>
      <c r="I37" s="110" t="str">
        <v/>
      </c>
      <c r="J37" s="110">
        <v>136.16</v>
      </c>
      <c r="K37" s="110">
        <v>0</v>
      </c>
      <c r="L37" s="110">
        <v>0</v>
      </c>
      <c r="M37" s="110">
        <v>0</v>
      </c>
      <c r="N37" s="110">
        <v>0</v>
      </c>
      <c r="O37" s="110">
        <v>252</v>
      </c>
      <c r="P37" s="110">
        <v>0</v>
      </c>
      <c r="Q37" s="110" t="str">
        <v>AVAILABLE</v>
      </c>
      <c r="R37" s="110">
        <v>1300000</v>
      </c>
      <c r="S37" s="110">
        <v>1300000</v>
      </c>
      <c r="T37" s="110">
        <v>1190000</v>
      </c>
      <c r="U37" s="110">
        <v>0</v>
      </c>
      <c r="V37" s="110">
        <v>0</v>
      </c>
      <c r="W37" s="110">
        <v>1190000</v>
      </c>
      <c r="X37" s="110">
        <v>0</v>
      </c>
      <c r="Y37" s="110">
        <v>0</v>
      </c>
      <c r="Z37" s="110">
        <v>0</v>
      </c>
      <c r="AA37" s="110">
        <v>46170</v>
      </c>
      <c r="AB37" s="111" t="str">
        <v>Q2 2026</v>
      </c>
      <c r="AC37">
        <v>0</v>
      </c>
      <c r="AD37" t="str">
        <v>TBD</v>
      </c>
      <c r="AE37" t="str">
        <v>Sandra Viegas</v>
      </c>
      <c r="AF37" t="str">
        <v>Joaquim Vermelhudo</v>
      </c>
      <c r="AG37" t="str">
        <v>https://www.monte-rei.com/</v>
      </c>
      <c r="AH37"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37" t="str">
        <v>Golfe 18 buracos, Ténis, Ginásio, Health Center, Piscinas Exteriores, Spa e Concierge, Restaurantes</v>
      </c>
      <c r="AJ37"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37" t="str">
        <v>TBD</v>
      </c>
      <c r="AL37" t="str">
        <v>Monte Rei</v>
      </c>
    </row>
    <row r="38" spans="1:38" x14ac:dyDescent="0.3">
      <c r="A38" s="110" t="str">
        <v>MR - Linked Villas</v>
      </c>
      <c r="B38" s="110" t="str">
        <v>Algarve</v>
      </c>
      <c r="C38" s="110" t="str">
        <v>Z</v>
      </c>
      <c r="D38" s="110" t="str">
        <v>Vila Nova de Cacela, Algarve</v>
      </c>
      <c r="E38" s="110" t="str">
        <v>T3</v>
      </c>
      <c r="F38" s="110">
        <v>422.07</v>
      </c>
      <c r="G38" s="110">
        <v>45.06</v>
      </c>
      <c r="H38" s="110" t="str">
        <v/>
      </c>
      <c r="I38" s="110" t="str">
        <v/>
      </c>
      <c r="J38" s="110">
        <v>134.35</v>
      </c>
      <c r="K38" s="110">
        <v>0</v>
      </c>
      <c r="L38" s="110">
        <v>0</v>
      </c>
      <c r="M38" s="110">
        <v>0</v>
      </c>
      <c r="N38" s="110">
        <v>0</v>
      </c>
      <c r="O38" s="110">
        <v>242.66</v>
      </c>
      <c r="P38" s="110">
        <v>0</v>
      </c>
      <c r="Q38" s="110" t="str">
        <v>AVAILABLE</v>
      </c>
      <c r="R38" s="110">
        <v>1300000</v>
      </c>
      <c r="S38" s="110">
        <v>1300000</v>
      </c>
      <c r="T38" s="110">
        <v>1320000</v>
      </c>
      <c r="U38" s="110">
        <v>0</v>
      </c>
      <c r="V38" s="110">
        <v>0</v>
      </c>
      <c r="W38" s="110">
        <v>1320000</v>
      </c>
      <c r="X38" s="110">
        <v>0</v>
      </c>
      <c r="Y38" s="110">
        <v>0</v>
      </c>
      <c r="Z38" s="110">
        <v>0</v>
      </c>
      <c r="AA38" s="110">
        <v>46170</v>
      </c>
      <c r="AB38" s="111" t="str">
        <v>Q2 2026</v>
      </c>
      <c r="AC38">
        <v>0</v>
      </c>
      <c r="AD38" t="str">
        <v>TBD</v>
      </c>
      <c r="AE38" t="str">
        <v>Sandra Viegas</v>
      </c>
      <c r="AF38" t="str">
        <v>Joaquim Vermelhudo</v>
      </c>
      <c r="AG38" t="str">
        <v>https://www.monte-rei.com/</v>
      </c>
      <c r="AH38"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38" t="str">
        <v>Golfe 18 buracos, Ténis, Ginásio, Health Center, Piscinas Exteriores, Spa e Concierge, Restaurantes</v>
      </c>
      <c r="AJ38"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38" t="str">
        <v>TBD</v>
      </c>
      <c r="AL38" t="str">
        <v>Monte Rei</v>
      </c>
    </row>
    <row r="39" spans="1:38" x14ac:dyDescent="0.3">
      <c r="A39" s="110" t="str">
        <v>MR - Linked Villas</v>
      </c>
      <c r="B39" s="110" t="str">
        <v>Algarve</v>
      </c>
      <c r="C39" s="110" t="str">
        <v>AJ</v>
      </c>
      <c r="D39" s="110" t="str">
        <v>Vila Nova de Cacela, Algarve</v>
      </c>
      <c r="E39" s="110" t="str">
        <v>T3</v>
      </c>
      <c r="F39" s="110">
        <v>422.36</v>
      </c>
      <c r="G39" s="110">
        <v>45.06</v>
      </c>
      <c r="H39" s="110" t="str">
        <v/>
      </c>
      <c r="I39" s="110" t="str">
        <v/>
      </c>
      <c r="J39" s="110">
        <v>131.68</v>
      </c>
      <c r="K39" s="110">
        <v>0</v>
      </c>
      <c r="L39" s="110">
        <v>0</v>
      </c>
      <c r="M39" s="110">
        <v>0</v>
      </c>
      <c r="N39" s="110">
        <v>0</v>
      </c>
      <c r="O39" s="110">
        <v>245.62</v>
      </c>
      <c r="P39" s="110">
        <v>0</v>
      </c>
      <c r="Q39" s="110" t="str">
        <v>AVAILABLE</v>
      </c>
      <c r="R39" s="110">
        <v>1300000</v>
      </c>
      <c r="S39" s="110">
        <v>1300000</v>
      </c>
      <c r="T39" s="110">
        <v>1350000</v>
      </c>
      <c r="U39" s="110">
        <v>0</v>
      </c>
      <c r="V39" s="110">
        <v>0</v>
      </c>
      <c r="W39" s="110">
        <v>1350000</v>
      </c>
      <c r="X39" s="110">
        <v>0</v>
      </c>
      <c r="Y39" s="110">
        <v>1350000</v>
      </c>
      <c r="Z39" s="110">
        <v>1350000</v>
      </c>
      <c r="AA39" s="110">
        <v>46170</v>
      </c>
      <c r="AB39" s="111" t="str">
        <v>Q2 2026</v>
      </c>
      <c r="AC39">
        <v>0</v>
      </c>
      <c r="AD39" t="str">
        <v>TBD</v>
      </c>
      <c r="AE39" t="str">
        <v>Sandra Viegas</v>
      </c>
      <c r="AF39" t="str">
        <v>Joaquim Vermelhudo</v>
      </c>
      <c r="AG39" t="str">
        <v>https://www.monte-rei.com/</v>
      </c>
      <c r="AH39"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39" t="str">
        <v>Golfe 18 buracos, Ténis, Ginásio, Health Center, Piscinas Exteriores, Spa e Concierge, Restaurantes</v>
      </c>
      <c r="AJ39"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39" t="str">
        <v>TBD</v>
      </c>
      <c r="AL39" t="str">
        <v>Monte Rei</v>
      </c>
    </row>
    <row r="40" spans="1:38" x14ac:dyDescent="0.3">
      <c r="A40" s="110" t="str">
        <v>MR - Linked Villas</v>
      </c>
      <c r="B40" s="110" t="str">
        <v>Algarve</v>
      </c>
      <c r="C40" s="110" t="str">
        <v>AK</v>
      </c>
      <c r="D40" s="110" t="str">
        <v>Vila Nova de Cacela, Algarve</v>
      </c>
      <c r="E40" s="110" t="str">
        <v>T3</v>
      </c>
      <c r="F40" s="110">
        <v>433.99</v>
      </c>
      <c r="G40" s="110">
        <v>45.83</v>
      </c>
      <c r="H40" s="110" t="str">
        <v/>
      </c>
      <c r="I40" s="110" t="str">
        <v/>
      </c>
      <c r="J40" s="110">
        <v>136.16</v>
      </c>
      <c r="K40" s="110">
        <v>0</v>
      </c>
      <c r="L40" s="110">
        <v>0</v>
      </c>
      <c r="M40" s="110">
        <v>0</v>
      </c>
      <c r="N40" s="110">
        <v>0</v>
      </c>
      <c r="O40" s="110">
        <v>252</v>
      </c>
      <c r="P40" s="110">
        <v>0</v>
      </c>
      <c r="Q40" s="110" t="str">
        <v>AVAILABLE</v>
      </c>
      <c r="R40" s="110">
        <v>1300000</v>
      </c>
      <c r="S40" s="110">
        <v>1300000</v>
      </c>
      <c r="T40" s="110">
        <v>1390000</v>
      </c>
      <c r="U40" s="110">
        <v>0</v>
      </c>
      <c r="V40" s="110">
        <v>0</v>
      </c>
      <c r="W40" s="110">
        <v>1390000</v>
      </c>
      <c r="X40" s="110">
        <v>0</v>
      </c>
      <c r="Y40" s="110">
        <v>0</v>
      </c>
      <c r="Z40" s="110">
        <v>0</v>
      </c>
      <c r="AA40" s="110">
        <v>46170</v>
      </c>
      <c r="AB40" s="111" t="str">
        <v>Q2 2026</v>
      </c>
      <c r="AC40">
        <v>0</v>
      </c>
      <c r="AD40" t="str">
        <v>TBD</v>
      </c>
      <c r="AE40" t="str">
        <v>Sandra Viegas</v>
      </c>
      <c r="AF40" t="str">
        <v>Joaquim Vermelhudo</v>
      </c>
      <c r="AG40" t="str">
        <v>https://www.monte-rei.com/</v>
      </c>
      <c r="AH40"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40" t="str">
        <v>Golfe 18 buracos, Ténis, Ginásio, Health Center, Piscinas Exteriores, Spa e Concierge, Restaurantes</v>
      </c>
      <c r="AJ40"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40" t="str">
        <v>TBD</v>
      </c>
      <c r="AL40" t="str">
        <v>Monte Rei</v>
      </c>
    </row>
    <row r="41" spans="1:38" x14ac:dyDescent="0.3">
      <c r="A41" s="110" t="str">
        <v>MR - Linked Villas</v>
      </c>
      <c r="B41" s="110" t="str">
        <v>Algarve</v>
      </c>
      <c r="C41" s="110" t="str">
        <v>W</v>
      </c>
      <c r="D41" s="110" t="str">
        <v>Vila Nova de Cacela, Algarve</v>
      </c>
      <c r="E41" s="110" t="str">
        <v>T3</v>
      </c>
      <c r="F41" s="110">
        <v>422.36</v>
      </c>
      <c r="G41" s="110">
        <v>45.06</v>
      </c>
      <c r="H41" s="110" t="str">
        <v/>
      </c>
      <c r="I41" s="110" t="str">
        <v/>
      </c>
      <c r="J41" s="110">
        <v>131.68</v>
      </c>
      <c r="K41" s="110">
        <v>0</v>
      </c>
      <c r="L41" s="110">
        <v>0</v>
      </c>
      <c r="M41" s="110">
        <v>0</v>
      </c>
      <c r="N41" s="110">
        <v>0</v>
      </c>
      <c r="O41" s="110">
        <v>245.62</v>
      </c>
      <c r="P41" s="110">
        <v>0</v>
      </c>
      <c r="Q41" s="110" t="str">
        <v>AVAILABLE</v>
      </c>
      <c r="R41" s="110">
        <v>1400000</v>
      </c>
      <c r="S41" s="110">
        <v>1400000</v>
      </c>
      <c r="T41" s="110">
        <v>1440000</v>
      </c>
      <c r="U41" s="110">
        <v>0</v>
      </c>
      <c r="V41" s="110">
        <v>0</v>
      </c>
      <c r="W41" s="110">
        <v>1440000</v>
      </c>
      <c r="X41" s="110">
        <v>0</v>
      </c>
      <c r="Y41" s="110">
        <v>0</v>
      </c>
      <c r="Z41" s="110">
        <v>0</v>
      </c>
      <c r="AA41" s="110">
        <v>46170</v>
      </c>
      <c r="AB41" s="111" t="str">
        <v>Q2 2026</v>
      </c>
      <c r="AC41">
        <v>0</v>
      </c>
      <c r="AD41" t="str">
        <v>TBD</v>
      </c>
      <c r="AE41" t="str">
        <v>Sandra Viegas</v>
      </c>
      <c r="AF41" t="str">
        <v>Joaquim Vermelhudo</v>
      </c>
      <c r="AG41" t="str">
        <v>https://www.monte-rei.com/</v>
      </c>
      <c r="AH41"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41" t="str">
        <v>Golfe 18 buracos, Ténis, Ginásio, Health Center, Piscinas Exteriores, Spa e Concierge, Restaurantes</v>
      </c>
      <c r="AJ41"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41" t="str">
        <v>TBD</v>
      </c>
      <c r="AL41" t="str">
        <v>Monte Rei</v>
      </c>
    </row>
    <row r="42" spans="1:38" x14ac:dyDescent="0.3">
      <c r="A42" s="110" t="str">
        <v>MR - Linked Villas</v>
      </c>
      <c r="B42" s="110" t="str">
        <v>Algarve</v>
      </c>
      <c r="C42" s="110" t="str">
        <v>AG</v>
      </c>
      <c r="D42" s="110" t="str">
        <v>Vila Nova de Cacela, Algarve</v>
      </c>
      <c r="E42" s="110" t="str">
        <v>T3</v>
      </c>
      <c r="F42" s="110">
        <v>422.36</v>
      </c>
      <c r="G42" s="110">
        <v>45.06</v>
      </c>
      <c r="H42" s="110" t="str">
        <v/>
      </c>
      <c r="I42" s="110" t="str">
        <v/>
      </c>
      <c r="J42" s="110">
        <v>131.68</v>
      </c>
      <c r="K42" s="110">
        <v>0</v>
      </c>
      <c r="L42" s="110">
        <v>0</v>
      </c>
      <c r="M42" s="110">
        <v>0</v>
      </c>
      <c r="N42" s="110">
        <v>0</v>
      </c>
      <c r="O42" s="110">
        <v>245.62</v>
      </c>
      <c r="P42" s="110">
        <v>0</v>
      </c>
      <c r="Q42" s="110" t="str">
        <v>?</v>
      </c>
      <c r="R42" s="110">
        <v>1340000</v>
      </c>
      <c r="S42" s="110">
        <v>1340000</v>
      </c>
      <c r="T42" s="110">
        <v>1340000</v>
      </c>
      <c r="U42" s="110">
        <v>0</v>
      </c>
      <c r="V42" s="110">
        <v>0</v>
      </c>
      <c r="W42" s="110">
        <v>1340000</v>
      </c>
      <c r="X42" s="110">
        <v>0</v>
      </c>
      <c r="Y42" s="110">
        <v>0</v>
      </c>
      <c r="Z42" s="110">
        <v>0</v>
      </c>
      <c r="AA42" s="110">
        <v>46170</v>
      </c>
      <c r="AB42" s="111" t="str">
        <v>Q2 2026</v>
      </c>
      <c r="AC42">
        <v>0</v>
      </c>
      <c r="AD42" t="str">
        <v>TBD</v>
      </c>
      <c r="AE42" t="str">
        <v>Sandra Viegas</v>
      </c>
      <c r="AF42" t="str">
        <v>Joaquim Vermelhudo</v>
      </c>
      <c r="AG42" t="str">
        <v>https://www.monte-rei.com/</v>
      </c>
      <c r="AH42"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42" t="str">
        <v>Golfe 18 buracos, Ténis, Ginásio, Health Center, Piscinas Exteriores, Spa e Concierge, Restaurantes</v>
      </c>
      <c r="AJ42"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42" t="str">
        <v>TBD</v>
      </c>
      <c r="AL42" t="str">
        <v>Monte Rei</v>
      </c>
    </row>
    <row r="43" spans="1:38" x14ac:dyDescent="0.3">
      <c r="A43" s="110" t="str">
        <v>MR - LT do Golfe</v>
      </c>
      <c r="B43" s="110" t="str">
        <v>Algarve</v>
      </c>
      <c r="C43" s="110" t="str">
        <v>30</v>
      </c>
      <c r="D43" s="110" t="str">
        <v>Vila Nova de Cacela, Algarve</v>
      </c>
      <c r="E43" s="110" t="str">
        <v>Plot</v>
      </c>
      <c r="F43" s="110">
        <v>450</v>
      </c>
      <c r="G43" s="110">
        <v>0</v>
      </c>
      <c r="H43" s="110" t="str">
        <v/>
      </c>
      <c r="I43" s="110" t="str">
        <v/>
      </c>
      <c r="J43" s="110">
        <v>0</v>
      </c>
      <c r="K43" s="110">
        <v>0</v>
      </c>
      <c r="L43" s="110">
        <v>0</v>
      </c>
      <c r="M43" s="110">
        <v>0</v>
      </c>
      <c r="N43" s="110">
        <v>0</v>
      </c>
      <c r="O43" s="110">
        <v>450</v>
      </c>
      <c r="P43" s="110">
        <v>0</v>
      </c>
      <c r="Q43" s="110" t="str">
        <v>?</v>
      </c>
      <c r="R43" s="110">
        <v>1070000</v>
      </c>
      <c r="S43" s="110">
        <v>1070000</v>
      </c>
      <c r="T43" s="110">
        <v>960000</v>
      </c>
      <c r="U43" s="110">
        <v>0</v>
      </c>
      <c r="V43" s="110">
        <v>0</v>
      </c>
      <c r="W43" s="110">
        <v>960000</v>
      </c>
      <c r="X43" s="110">
        <v>0</v>
      </c>
      <c r="Y43" s="110">
        <v>0</v>
      </c>
      <c r="Z43" s="110">
        <v>0</v>
      </c>
      <c r="AA43" s="110">
        <v>0</v>
      </c>
      <c r="AB43" s="111" t="str">
        <v>TO LAUNCH</v>
      </c>
      <c r="AC43">
        <v>0</v>
      </c>
      <c r="AD43" t="str">
        <v>TBD</v>
      </c>
      <c r="AE43" t="str">
        <v>Sandra Viegas</v>
      </c>
      <c r="AF43" t="str">
        <v>Joaquim Vermelhudo</v>
      </c>
      <c r="AG43" t="str">
        <v>https://www.monte-rei.com/</v>
      </c>
      <c r="AH43"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43" t="str">
        <v>Golfe 18 buracos, Ténis, Ginásio, Health Center, Piscinas Exteriores, Spa e Concierge, Restaurantes</v>
      </c>
      <c r="AJ43"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43" t="str">
        <v>TBD</v>
      </c>
      <c r="AL43" t="str">
        <v>Monte Rei</v>
      </c>
    </row>
    <row r="44" spans="1:38" x14ac:dyDescent="0.3">
      <c r="A44" s="110" t="str">
        <v>MR - LT do Golfe</v>
      </c>
      <c r="B44" s="110" t="str">
        <v>Algarve</v>
      </c>
      <c r="C44" s="110" t="str">
        <v>6</v>
      </c>
      <c r="D44" s="110" t="str">
        <v>Vila Nova de Cacela, Algarve</v>
      </c>
      <c r="E44" s="110" t="str">
        <v>Plot</v>
      </c>
      <c r="F44" s="110">
        <v>420</v>
      </c>
      <c r="G44" s="110">
        <v>0</v>
      </c>
      <c r="H44" s="110" t="str">
        <v/>
      </c>
      <c r="I44" s="110" t="str">
        <v/>
      </c>
      <c r="J44" s="110">
        <v>0</v>
      </c>
      <c r="K44" s="110">
        <v>0</v>
      </c>
      <c r="L44" s="110">
        <v>0</v>
      </c>
      <c r="M44" s="110">
        <v>0</v>
      </c>
      <c r="N44" s="110">
        <v>0</v>
      </c>
      <c r="O44" s="110">
        <v>420</v>
      </c>
      <c r="P44" s="110">
        <v>0</v>
      </c>
      <c r="Q44" s="110" t="str">
        <v>?</v>
      </c>
      <c r="R44" s="110">
        <v>1143000</v>
      </c>
      <c r="S44" s="110">
        <v>1143000</v>
      </c>
      <c r="T44" s="110">
        <v>980000</v>
      </c>
      <c r="U44" s="110">
        <v>0</v>
      </c>
      <c r="V44" s="110">
        <v>0</v>
      </c>
      <c r="W44" s="110">
        <v>980000</v>
      </c>
      <c r="X44" s="110">
        <v>0</v>
      </c>
      <c r="Y44" s="110">
        <v>0</v>
      </c>
      <c r="Z44" s="110">
        <v>0</v>
      </c>
      <c r="AA44" s="110">
        <v>0</v>
      </c>
      <c r="AB44" s="111" t="str">
        <v>TO LAUNCH</v>
      </c>
      <c r="AC44">
        <v>0</v>
      </c>
      <c r="AD44" t="str">
        <v>TBD</v>
      </c>
      <c r="AE44" t="str">
        <v>Sandra Viegas</v>
      </c>
      <c r="AF44" t="str">
        <v>Joaquim Vermelhudo</v>
      </c>
      <c r="AG44" t="str">
        <v>https://www.monte-rei.com/</v>
      </c>
      <c r="AH44"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44" t="str">
        <v>Golfe 18 buracos, Ténis, Ginásio, Health Center, Piscinas Exteriores, Spa e Concierge, Restaurantes</v>
      </c>
      <c r="AJ44"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44" t="str">
        <v>TBD</v>
      </c>
      <c r="AL44" t="str">
        <v>Monte Rei</v>
      </c>
    </row>
    <row r="45" spans="1:38" x14ac:dyDescent="0.3">
      <c r="A45" s="110" t="str">
        <v>MR - LT do Golfe</v>
      </c>
      <c r="B45" s="110" t="str">
        <v>Algarve</v>
      </c>
      <c r="C45" s="110" t="str">
        <v>28</v>
      </c>
      <c r="D45" s="110" t="str">
        <v>Vila Nova de Cacela, Algarve</v>
      </c>
      <c r="E45" s="110" t="str">
        <v>Plot</v>
      </c>
      <c r="F45" s="110">
        <v>500</v>
      </c>
      <c r="G45" s="110">
        <v>0</v>
      </c>
      <c r="H45" s="110" t="str">
        <v/>
      </c>
      <c r="I45" s="110" t="str">
        <v/>
      </c>
      <c r="J45" s="110">
        <v>0</v>
      </c>
      <c r="K45" s="110">
        <v>0</v>
      </c>
      <c r="L45" s="110">
        <v>0</v>
      </c>
      <c r="M45" s="110">
        <v>0</v>
      </c>
      <c r="N45" s="110">
        <v>0</v>
      </c>
      <c r="O45" s="110">
        <v>500</v>
      </c>
      <c r="P45" s="110">
        <v>0</v>
      </c>
      <c r="Q45" s="110" t="str">
        <v>?</v>
      </c>
      <c r="R45" s="110">
        <v>1200000</v>
      </c>
      <c r="S45" s="110">
        <v>1200000</v>
      </c>
      <c r="T45" s="110">
        <v>1040000</v>
      </c>
      <c r="U45" s="110">
        <v>0</v>
      </c>
      <c r="V45" s="110">
        <v>0</v>
      </c>
      <c r="W45" s="110">
        <v>1040000</v>
      </c>
      <c r="X45" s="110">
        <v>0</v>
      </c>
      <c r="Y45" s="110">
        <v>0</v>
      </c>
      <c r="Z45" s="110">
        <v>0</v>
      </c>
      <c r="AA45" s="110">
        <v>0</v>
      </c>
      <c r="AB45" s="111" t="str">
        <v>TO LAUNCH</v>
      </c>
      <c r="AC45">
        <v>0</v>
      </c>
      <c r="AD45" t="str">
        <v>TBD</v>
      </c>
      <c r="AE45" t="str">
        <v>Sandra Viegas</v>
      </c>
      <c r="AF45" t="str">
        <v>Joaquim Vermelhudo</v>
      </c>
      <c r="AG45" t="str">
        <v>https://www.monte-rei.com/</v>
      </c>
      <c r="AH45"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45" t="str">
        <v>Golfe 18 buracos, Ténis, Ginásio, Health Center, Piscinas Exteriores, Spa e Concierge, Restaurantes</v>
      </c>
      <c r="AJ45"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45" t="str">
        <v>TBD</v>
      </c>
      <c r="AL45" t="str">
        <v>Monte Rei</v>
      </c>
    </row>
    <row r="46" spans="1:38" x14ac:dyDescent="0.3">
      <c r="A46" s="110" t="str">
        <v>MR - LT do Golfe</v>
      </c>
      <c r="B46" s="110" t="str">
        <v>Algarve</v>
      </c>
      <c r="C46" s="110" t="str">
        <v>3</v>
      </c>
      <c r="D46" s="110" t="str">
        <v>Vila Nova de Cacela, Algarve</v>
      </c>
      <c r="E46" s="110" t="str">
        <v>Plot</v>
      </c>
      <c r="F46" s="110">
        <v>500</v>
      </c>
      <c r="G46" s="110">
        <v>0</v>
      </c>
      <c r="H46" s="110" t="str">
        <v/>
      </c>
      <c r="I46" s="110" t="str">
        <v/>
      </c>
      <c r="J46" s="110">
        <v>0</v>
      </c>
      <c r="K46" s="110">
        <v>0</v>
      </c>
      <c r="L46" s="110">
        <v>0</v>
      </c>
      <c r="M46" s="110">
        <v>0</v>
      </c>
      <c r="N46" s="110">
        <v>0</v>
      </c>
      <c r="O46" s="110">
        <v>500</v>
      </c>
      <c r="P46" s="110">
        <v>0</v>
      </c>
      <c r="Q46" s="110" t="str">
        <v>?</v>
      </c>
      <c r="R46" s="110">
        <v>1215000</v>
      </c>
      <c r="S46" s="110">
        <v>1215000</v>
      </c>
      <c r="T46" s="110">
        <v>1010000</v>
      </c>
      <c r="U46" s="110">
        <v>0</v>
      </c>
      <c r="V46" s="110">
        <v>0</v>
      </c>
      <c r="W46" s="110">
        <v>1010000</v>
      </c>
      <c r="X46" s="110">
        <v>0</v>
      </c>
      <c r="Y46" s="110">
        <v>0</v>
      </c>
      <c r="Z46" s="110">
        <v>0</v>
      </c>
      <c r="AA46" s="110">
        <v>0</v>
      </c>
      <c r="AB46" s="111" t="str">
        <v>TO LAUNCH</v>
      </c>
      <c r="AC46">
        <v>0</v>
      </c>
      <c r="AD46" t="str">
        <v>TBD</v>
      </c>
      <c r="AE46" t="str">
        <v>Sandra Viegas</v>
      </c>
      <c r="AF46" t="str">
        <v>Joaquim Vermelhudo</v>
      </c>
      <c r="AG46" t="str">
        <v>https://www.monte-rei.com/</v>
      </c>
      <c r="AH46"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46" t="str">
        <v>Golfe 18 buracos, Ténis, Ginásio, Health Center, Piscinas Exteriores, Spa e Concierge, Restaurantes</v>
      </c>
      <c r="AJ46"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46" t="str">
        <v>TBD</v>
      </c>
      <c r="AL46" t="str">
        <v>Monte Rei</v>
      </c>
    </row>
    <row r="47" spans="1:38" x14ac:dyDescent="0.3">
      <c r="A47" s="110" t="str">
        <v>MR - LT do Golfe</v>
      </c>
      <c r="B47" s="110" t="str">
        <v>Algarve</v>
      </c>
      <c r="C47" s="110" t="str">
        <v>8</v>
      </c>
      <c r="D47" s="110" t="str">
        <v>Vila Nova de Cacela, Algarve</v>
      </c>
      <c r="E47" s="110" t="str">
        <v>Plot</v>
      </c>
      <c r="F47" s="110">
        <v>500</v>
      </c>
      <c r="G47" s="110">
        <v>0</v>
      </c>
      <c r="H47" s="110" t="str">
        <v/>
      </c>
      <c r="I47" s="110" t="str">
        <v/>
      </c>
      <c r="J47" s="110">
        <v>0</v>
      </c>
      <c r="K47" s="110">
        <v>0</v>
      </c>
      <c r="L47" s="110">
        <v>0</v>
      </c>
      <c r="M47" s="110">
        <v>0</v>
      </c>
      <c r="N47" s="110">
        <v>0</v>
      </c>
      <c r="O47" s="110">
        <v>500</v>
      </c>
      <c r="P47" s="110">
        <v>0</v>
      </c>
      <c r="Q47" s="110" t="str">
        <v>?</v>
      </c>
      <c r="R47" s="110">
        <v>1326000</v>
      </c>
      <c r="S47" s="110">
        <v>1326000</v>
      </c>
      <c r="T47" s="110">
        <v>1150000</v>
      </c>
      <c r="U47" s="110">
        <v>0</v>
      </c>
      <c r="V47" s="110">
        <v>0</v>
      </c>
      <c r="W47" s="110">
        <v>1150000</v>
      </c>
      <c r="X47" s="110">
        <v>0</v>
      </c>
      <c r="Y47" s="110">
        <v>0</v>
      </c>
      <c r="Z47" s="110">
        <v>0</v>
      </c>
      <c r="AA47" s="110">
        <v>0</v>
      </c>
      <c r="AB47" s="111" t="str">
        <v>TO LAUNCH</v>
      </c>
      <c r="AC47">
        <v>0</v>
      </c>
      <c r="AD47" t="str">
        <v>TBD</v>
      </c>
      <c r="AE47" t="str">
        <v>Sandra Viegas</v>
      </c>
      <c r="AF47" t="str">
        <v>Joaquim Vermelhudo</v>
      </c>
      <c r="AG47" t="str">
        <v>https://www.monte-rei.com/</v>
      </c>
      <c r="AH47"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47" t="str">
        <v>Golfe 18 buracos, Ténis, Ginásio, Health Center, Piscinas Exteriores, Spa e Concierge, Restaurantes</v>
      </c>
      <c r="AJ47"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47" t="str">
        <v>TBD</v>
      </c>
      <c r="AL47" t="str">
        <v>Monte Rei</v>
      </c>
    </row>
    <row r="48" spans="1:38" x14ac:dyDescent="0.3">
      <c r="A48" s="110" t="str">
        <v>MR - LT do Golfe</v>
      </c>
      <c r="B48" s="110" t="str">
        <v>Algarve</v>
      </c>
      <c r="C48" s="110" t="str">
        <v>4</v>
      </c>
      <c r="D48" s="110" t="str">
        <v>Vila Nova de Cacela, Algarve</v>
      </c>
      <c r="E48" s="110" t="str">
        <v>Plot</v>
      </c>
      <c r="F48" s="110">
        <v>500</v>
      </c>
      <c r="G48" s="110">
        <v>0</v>
      </c>
      <c r="H48" s="110" t="str">
        <v/>
      </c>
      <c r="I48" s="110" t="str">
        <v/>
      </c>
      <c r="J48" s="110">
        <v>0</v>
      </c>
      <c r="K48" s="110">
        <v>0</v>
      </c>
      <c r="L48" s="110">
        <v>0</v>
      </c>
      <c r="M48" s="110">
        <v>0</v>
      </c>
      <c r="N48" s="110">
        <v>0</v>
      </c>
      <c r="O48" s="110">
        <v>500</v>
      </c>
      <c r="P48" s="110">
        <v>0</v>
      </c>
      <c r="Q48" s="110" t="str">
        <v>?</v>
      </c>
      <c r="R48" s="110">
        <v>1380000</v>
      </c>
      <c r="S48" s="110">
        <v>1380000</v>
      </c>
      <c r="T48" s="110">
        <v>1050000</v>
      </c>
      <c r="U48" s="110">
        <v>0</v>
      </c>
      <c r="V48" s="110">
        <v>0</v>
      </c>
      <c r="W48" s="110">
        <v>1050000</v>
      </c>
      <c r="X48" s="110">
        <v>0</v>
      </c>
      <c r="Y48" s="110">
        <v>0</v>
      </c>
      <c r="Z48" s="110">
        <v>0</v>
      </c>
      <c r="AA48" s="110">
        <v>0</v>
      </c>
      <c r="AB48" s="111" t="str">
        <v>TO LAUNCH</v>
      </c>
      <c r="AC48">
        <v>0</v>
      </c>
      <c r="AD48" t="str">
        <v>TBD</v>
      </c>
      <c r="AE48" t="str">
        <v>Sandra Viegas</v>
      </c>
      <c r="AF48" t="str">
        <v>Joaquim Vermelhudo</v>
      </c>
      <c r="AG48" t="str">
        <v>https://www.monte-rei.com/</v>
      </c>
      <c r="AH48"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48" t="str">
        <v>Golfe 18 buracos, Ténis, Ginásio, Health Center, Piscinas Exteriores, Spa e Concierge, Restaurantes</v>
      </c>
      <c r="AJ48"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48" t="str">
        <v>TBD</v>
      </c>
      <c r="AL48" t="str">
        <v>Monte Rei</v>
      </c>
    </row>
    <row r="49" spans="1:38" x14ac:dyDescent="0.3">
      <c r="A49" t="str">
        <v>MR - LT do Golfe</v>
      </c>
      <c r="B49" t="str">
        <v>Algarve</v>
      </c>
      <c r="C49" t="str">
        <v>9</v>
      </c>
      <c r="D49" t="str">
        <v>Vila Nova de Cacela, Algarve</v>
      </c>
      <c r="E49" t="str">
        <v>Plot</v>
      </c>
      <c r="F49">
        <v>500</v>
      </c>
      <c r="G49">
        <v>0</v>
      </c>
      <c r="H49" t="str">
        <v/>
      </c>
      <c r="I49" t="str">
        <v/>
      </c>
      <c r="J49">
        <v>0</v>
      </c>
      <c r="K49">
        <v>0</v>
      </c>
      <c r="L49">
        <v>0</v>
      </c>
      <c r="M49" s="79">
        <v>0</v>
      </c>
      <c r="N49">
        <v>0</v>
      </c>
      <c r="O49">
        <v>500</v>
      </c>
      <c r="P49">
        <v>0</v>
      </c>
      <c r="Q49" t="str">
        <v>?</v>
      </c>
      <c r="R49">
        <v>1380000</v>
      </c>
      <c r="S49">
        <v>1380000</v>
      </c>
      <c r="T49">
        <v>1200000</v>
      </c>
      <c r="U49">
        <v>0</v>
      </c>
      <c r="V49">
        <v>0</v>
      </c>
      <c r="W49">
        <v>1200000</v>
      </c>
      <c r="X49">
        <v>0</v>
      </c>
      <c r="Y49">
        <v>0</v>
      </c>
      <c r="Z49">
        <v>0</v>
      </c>
      <c r="AA49">
        <v>0</v>
      </c>
      <c r="AB49" t="str">
        <v>TO LAUNCH</v>
      </c>
      <c r="AC49">
        <v>0</v>
      </c>
      <c r="AD49" t="str">
        <v>TBD</v>
      </c>
      <c r="AE49" t="str">
        <v>Sandra Viegas</v>
      </c>
      <c r="AF49" t="str">
        <v>Joaquim Vermelhudo</v>
      </c>
      <c r="AG49" t="str">
        <v>https://www.monte-rei.com/</v>
      </c>
      <c r="AH49"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49" t="str">
        <v>Golfe 18 buracos, Ténis, Ginásio, Health Center, Piscinas Exteriores, Spa e Concierge, Restaurantes</v>
      </c>
      <c r="AJ49"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49" t="str">
        <v>TBD</v>
      </c>
      <c r="AL49" t="str">
        <v>Monte Rei</v>
      </c>
    </row>
    <row r="50" spans="1:38" x14ac:dyDescent="0.3">
      <c r="A50" t="str">
        <v>MR - LT do Golfe</v>
      </c>
      <c r="B50" t="str">
        <v>Algarve</v>
      </c>
      <c r="C50" t="str">
        <v>7</v>
      </c>
      <c r="D50" t="str">
        <v>Vila Nova de Cacela, Algarve</v>
      </c>
      <c r="E50" t="str">
        <v>Plot</v>
      </c>
      <c r="F50">
        <v>500</v>
      </c>
      <c r="G50">
        <v>0</v>
      </c>
      <c r="H50" t="str">
        <v/>
      </c>
      <c r="I50" t="str">
        <v/>
      </c>
      <c r="J50">
        <v>0</v>
      </c>
      <c r="K50">
        <v>0</v>
      </c>
      <c r="L50">
        <v>0</v>
      </c>
      <c r="M50" s="79">
        <v>0</v>
      </c>
      <c r="N50">
        <v>0</v>
      </c>
      <c r="O50">
        <v>500</v>
      </c>
      <c r="P50">
        <v>0</v>
      </c>
      <c r="Q50" t="str">
        <v>?</v>
      </c>
      <c r="R50">
        <v>1390000</v>
      </c>
      <c r="S50">
        <v>1390000</v>
      </c>
      <c r="T50">
        <v>1210000</v>
      </c>
      <c r="U50">
        <v>0</v>
      </c>
      <c r="V50">
        <v>0</v>
      </c>
      <c r="W50">
        <v>1210000</v>
      </c>
      <c r="X50">
        <v>0</v>
      </c>
      <c r="Y50">
        <v>0</v>
      </c>
      <c r="Z50">
        <v>0</v>
      </c>
      <c r="AA50">
        <v>0</v>
      </c>
      <c r="AB50" t="str">
        <v>TO LAUNCH</v>
      </c>
      <c r="AC50">
        <v>0</v>
      </c>
      <c r="AD50" t="str">
        <v>TBD</v>
      </c>
      <c r="AE50" t="str">
        <v>Sandra Viegas</v>
      </c>
      <c r="AF50" t="str">
        <v>Joaquim Vermelhudo</v>
      </c>
      <c r="AG50" t="str">
        <v>https://www.monte-rei.com/</v>
      </c>
      <c r="AH50"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50" t="str">
        <v>Golfe 18 buracos, Ténis, Ginásio, Health Center, Piscinas Exteriores, Spa e Concierge, Restaurantes</v>
      </c>
      <c r="AJ50"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50" t="str">
        <v>TBD</v>
      </c>
      <c r="AL50" t="str">
        <v>Monte Rei</v>
      </c>
    </row>
    <row r="51" spans="1:38" x14ac:dyDescent="0.3">
      <c r="A51" t="str">
        <v>MR - LT do Golfe</v>
      </c>
      <c r="B51" t="str">
        <v>Algarve</v>
      </c>
      <c r="C51" t="str">
        <v>2</v>
      </c>
      <c r="D51" t="str">
        <v>Vila Nova de Cacela, Algarve</v>
      </c>
      <c r="E51" t="str">
        <v>Plot</v>
      </c>
      <c r="F51">
        <v>500</v>
      </c>
      <c r="G51">
        <v>0</v>
      </c>
      <c r="H51" t="str">
        <v/>
      </c>
      <c r="I51" t="str">
        <v/>
      </c>
      <c r="J51">
        <v>0</v>
      </c>
      <c r="K51">
        <v>0</v>
      </c>
      <c r="L51">
        <v>0</v>
      </c>
      <c r="M51" s="79">
        <v>0</v>
      </c>
      <c r="N51">
        <v>0</v>
      </c>
      <c r="O51">
        <v>500</v>
      </c>
      <c r="P51">
        <v>0</v>
      </c>
      <c r="Q51" t="str">
        <v>?</v>
      </c>
      <c r="R51">
        <v>1405000</v>
      </c>
      <c r="S51">
        <v>1405000</v>
      </c>
      <c r="T51">
        <v>1030000</v>
      </c>
      <c r="U51">
        <v>0</v>
      </c>
      <c r="V51">
        <v>0</v>
      </c>
      <c r="W51">
        <v>1030000</v>
      </c>
      <c r="X51">
        <v>0</v>
      </c>
      <c r="Y51">
        <v>0</v>
      </c>
      <c r="Z51">
        <v>0</v>
      </c>
      <c r="AA51">
        <v>0</v>
      </c>
      <c r="AB51" t="str">
        <v>TO LAUNCH</v>
      </c>
      <c r="AC51">
        <v>0</v>
      </c>
      <c r="AD51" t="str">
        <v>TBD</v>
      </c>
      <c r="AE51" t="str">
        <v>Sandra Viegas</v>
      </c>
      <c r="AF51" t="str">
        <v>Joaquim Vermelhudo</v>
      </c>
      <c r="AG51" t="str">
        <v>https://www.monte-rei.com/</v>
      </c>
      <c r="AH51"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51" t="str">
        <v>Golfe 18 buracos, Ténis, Ginásio, Health Center, Piscinas Exteriores, Spa e Concierge, Restaurantes</v>
      </c>
      <c r="AJ51"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51" t="str">
        <v>TBD</v>
      </c>
      <c r="AL51" t="str">
        <v>Monte Rei</v>
      </c>
    </row>
    <row r="52" spans="1:38" x14ac:dyDescent="0.3">
      <c r="A52" t="str">
        <v>MR - LT do Golfe</v>
      </c>
      <c r="B52" t="str">
        <v>Algarve</v>
      </c>
      <c r="C52" t="str">
        <v>10</v>
      </c>
      <c r="D52" t="str">
        <v>Vila Nova de Cacela, Algarve</v>
      </c>
      <c r="E52" t="str">
        <v>Plot</v>
      </c>
      <c r="F52">
        <v>500</v>
      </c>
      <c r="G52">
        <v>0</v>
      </c>
      <c r="H52" t="str">
        <v/>
      </c>
      <c r="I52" t="str">
        <v/>
      </c>
      <c r="J52">
        <v>0</v>
      </c>
      <c r="K52">
        <v>0</v>
      </c>
      <c r="L52">
        <v>0</v>
      </c>
      <c r="M52" s="79">
        <v>0</v>
      </c>
      <c r="N52">
        <v>0</v>
      </c>
      <c r="O52">
        <v>500</v>
      </c>
      <c r="P52">
        <v>0</v>
      </c>
      <c r="Q52" t="str">
        <v>?</v>
      </c>
      <c r="R52">
        <v>1430000</v>
      </c>
      <c r="S52">
        <v>1430000</v>
      </c>
      <c r="T52">
        <v>1230000</v>
      </c>
      <c r="U52">
        <v>0</v>
      </c>
      <c r="V52">
        <v>0</v>
      </c>
      <c r="W52">
        <v>1230000</v>
      </c>
      <c r="X52">
        <v>0</v>
      </c>
      <c r="Y52">
        <v>0</v>
      </c>
      <c r="Z52">
        <v>0</v>
      </c>
      <c r="AA52">
        <v>0</v>
      </c>
      <c r="AB52" t="str">
        <v>TO LAUNCH</v>
      </c>
      <c r="AC52">
        <v>0</v>
      </c>
      <c r="AD52" t="str">
        <v>TBD</v>
      </c>
      <c r="AE52" t="str">
        <v>Sandra Viegas</v>
      </c>
      <c r="AF52" t="str">
        <v>Joaquim Vermelhudo</v>
      </c>
      <c r="AG52" t="str">
        <v>https://www.monte-rei.com/</v>
      </c>
      <c r="AH52"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52" t="str">
        <v>Golfe 18 buracos, Ténis, Ginásio, Health Center, Piscinas Exteriores, Spa e Concierge, Restaurantes</v>
      </c>
      <c r="AJ52"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52" t="str">
        <v>TBD</v>
      </c>
      <c r="AL52" t="str">
        <v>Monte Rei</v>
      </c>
    </row>
    <row r="53" spans="1:38" x14ac:dyDescent="0.3">
      <c r="A53" t="str">
        <v>MR - LT do Golfe</v>
      </c>
      <c r="B53" t="str">
        <v>Algarve</v>
      </c>
      <c r="C53" t="str">
        <v>13</v>
      </c>
      <c r="D53" t="str">
        <v>Vila Nova de Cacela, Algarve</v>
      </c>
      <c r="E53" t="str">
        <v>Plot</v>
      </c>
      <c r="F53">
        <v>650</v>
      </c>
      <c r="G53">
        <v>0</v>
      </c>
      <c r="H53" t="str">
        <v/>
      </c>
      <c r="I53" t="str">
        <v/>
      </c>
      <c r="J53">
        <v>0</v>
      </c>
      <c r="K53">
        <v>0</v>
      </c>
      <c r="L53">
        <v>0</v>
      </c>
      <c r="M53" s="79">
        <v>0</v>
      </c>
      <c r="N53">
        <v>0</v>
      </c>
      <c r="O53">
        <v>650</v>
      </c>
      <c r="P53">
        <v>0</v>
      </c>
      <c r="Q53" t="str">
        <v>?</v>
      </c>
      <c r="R53">
        <v>1622000</v>
      </c>
      <c r="S53">
        <v>1622000</v>
      </c>
      <c r="T53">
        <v>1420000</v>
      </c>
      <c r="U53">
        <v>0</v>
      </c>
      <c r="V53">
        <v>0</v>
      </c>
      <c r="W53">
        <v>1420000</v>
      </c>
      <c r="X53">
        <v>0</v>
      </c>
      <c r="Y53">
        <v>0</v>
      </c>
      <c r="Z53">
        <v>0</v>
      </c>
      <c r="AA53">
        <v>0</v>
      </c>
      <c r="AB53" t="str">
        <v>TO LAUNCH</v>
      </c>
      <c r="AC53">
        <v>0</v>
      </c>
      <c r="AD53" t="str">
        <v>TBD</v>
      </c>
      <c r="AE53" t="str">
        <v>Sandra Viegas</v>
      </c>
      <c r="AF53" t="str">
        <v>Joaquim Vermelhudo</v>
      </c>
      <c r="AG53" t="str">
        <v>https://www.monte-rei.com/</v>
      </c>
      <c r="AH53"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53" t="str">
        <v>Golfe 18 buracos, Ténis, Ginásio, Health Center, Piscinas Exteriores, Spa e Concierge, Restaurantes</v>
      </c>
      <c r="AJ53"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53" t="str">
        <v>TBD</v>
      </c>
      <c r="AL53" t="str">
        <v>Monte Rei</v>
      </c>
    </row>
    <row r="54" spans="1:38" x14ac:dyDescent="0.3">
      <c r="A54" t="str">
        <v>MR - LT do Golfe</v>
      </c>
      <c r="B54" t="str">
        <v>Algarve</v>
      </c>
      <c r="C54" t="str">
        <v>12</v>
      </c>
      <c r="D54" t="str">
        <v>Vila Nova de Cacela, Algarve</v>
      </c>
      <c r="E54" t="str">
        <v>Plot</v>
      </c>
      <c r="F54">
        <v>650</v>
      </c>
      <c r="G54">
        <v>0</v>
      </c>
      <c r="H54" t="str">
        <v/>
      </c>
      <c r="I54" t="str">
        <v/>
      </c>
      <c r="J54">
        <v>0</v>
      </c>
      <c r="K54">
        <v>0</v>
      </c>
      <c r="L54">
        <v>0</v>
      </c>
      <c r="M54" s="79">
        <v>0</v>
      </c>
      <c r="N54">
        <v>0</v>
      </c>
      <c r="O54">
        <v>650</v>
      </c>
      <c r="P54">
        <v>0</v>
      </c>
      <c r="Q54" t="str">
        <v>?</v>
      </c>
      <c r="R54">
        <v>1633000</v>
      </c>
      <c r="S54">
        <v>1633000</v>
      </c>
      <c r="T54">
        <v>1420000</v>
      </c>
      <c r="U54">
        <v>0</v>
      </c>
      <c r="V54">
        <v>0</v>
      </c>
      <c r="W54">
        <v>1420000</v>
      </c>
      <c r="X54">
        <v>0</v>
      </c>
      <c r="Y54">
        <v>0</v>
      </c>
      <c r="Z54">
        <v>0</v>
      </c>
      <c r="AA54">
        <v>0</v>
      </c>
      <c r="AB54" t="str">
        <v>TO LAUNCH</v>
      </c>
      <c r="AC54">
        <v>0</v>
      </c>
      <c r="AD54" t="str">
        <v>TBD</v>
      </c>
      <c r="AE54" t="str">
        <v>Sandra Viegas</v>
      </c>
      <c r="AF54" t="str">
        <v>Joaquim Vermelhudo</v>
      </c>
      <c r="AG54" t="str">
        <v>https://www.monte-rei.com/</v>
      </c>
      <c r="AH54"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54" t="str">
        <v>Golfe 18 buracos, Ténis, Ginásio, Health Center, Piscinas Exteriores, Spa e Concierge, Restaurantes</v>
      </c>
      <c r="AJ54"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54" t="str">
        <v>TBD</v>
      </c>
      <c r="AL54" t="str">
        <v>Monte Rei</v>
      </c>
    </row>
    <row r="55" spans="1:38" x14ac:dyDescent="0.3">
      <c r="A55" t="str">
        <v>MR - LT do Golfe</v>
      </c>
      <c r="B55" t="str">
        <v>Algarve</v>
      </c>
      <c r="C55" t="str">
        <v>31</v>
      </c>
      <c r="D55" t="str">
        <v>Vila Nova de Cacela, Algarve</v>
      </c>
      <c r="E55" t="str">
        <v>Plot</v>
      </c>
      <c r="F55">
        <v>500</v>
      </c>
      <c r="G55">
        <v>0</v>
      </c>
      <c r="H55" t="str">
        <v/>
      </c>
      <c r="I55" t="str">
        <v/>
      </c>
      <c r="J55">
        <v>0</v>
      </c>
      <c r="K55">
        <v>0</v>
      </c>
      <c r="L55">
        <v>0</v>
      </c>
      <c r="M55" s="79">
        <v>0</v>
      </c>
      <c r="N55">
        <v>0</v>
      </c>
      <c r="O55">
        <v>500</v>
      </c>
      <c r="P55">
        <v>0</v>
      </c>
      <c r="Q55" t="str">
        <v>?</v>
      </c>
      <c r="R55">
        <v>1683000</v>
      </c>
      <c r="S55">
        <v>1683000</v>
      </c>
      <c r="T55">
        <v>1150000</v>
      </c>
      <c r="U55">
        <v>0</v>
      </c>
      <c r="V55">
        <v>0</v>
      </c>
      <c r="W55">
        <v>1150000</v>
      </c>
      <c r="X55">
        <v>0</v>
      </c>
      <c r="Y55">
        <v>0</v>
      </c>
      <c r="Z55">
        <v>0</v>
      </c>
      <c r="AA55">
        <v>0</v>
      </c>
      <c r="AB55" t="str">
        <v>TO LAUNCH</v>
      </c>
      <c r="AC55">
        <v>0</v>
      </c>
      <c r="AD55" t="str">
        <v>TBD</v>
      </c>
      <c r="AE55" t="str">
        <v>Sandra Viegas</v>
      </c>
      <c r="AF55" t="str">
        <v>Joaquim Vermelhudo</v>
      </c>
      <c r="AG55" t="str">
        <v>https://www.monte-rei.com/</v>
      </c>
      <c r="AH55"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55" t="str">
        <v>Golfe 18 buracos, Ténis, Ginásio, Health Center, Piscinas Exteriores, Spa e Concierge, Restaurantes</v>
      </c>
      <c r="AJ55"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55" t="str">
        <v>TBD</v>
      </c>
      <c r="AL55" t="str">
        <v>Monte Rei</v>
      </c>
    </row>
    <row r="56" spans="1:38" x14ac:dyDescent="0.3">
      <c r="A56" t="str">
        <v>MR - LT do Golfe</v>
      </c>
      <c r="B56" t="str">
        <v>Algarve</v>
      </c>
      <c r="C56" t="str">
        <v>18</v>
      </c>
      <c r="D56" t="str">
        <v>Vila Nova de Cacela, Algarve</v>
      </c>
      <c r="E56" t="str">
        <v>Plot</v>
      </c>
      <c r="F56">
        <v>500</v>
      </c>
      <c r="G56">
        <v>0</v>
      </c>
      <c r="H56" t="str">
        <v/>
      </c>
      <c r="I56" t="str">
        <v/>
      </c>
      <c r="J56">
        <v>0</v>
      </c>
      <c r="K56">
        <v>0</v>
      </c>
      <c r="L56">
        <v>0</v>
      </c>
      <c r="M56" s="79">
        <v>0</v>
      </c>
      <c r="N56">
        <v>0</v>
      </c>
      <c r="O56">
        <v>500</v>
      </c>
      <c r="P56">
        <v>0</v>
      </c>
      <c r="Q56" t="str">
        <v>?</v>
      </c>
      <c r="R56">
        <v>1735000</v>
      </c>
      <c r="S56">
        <v>1735000</v>
      </c>
      <c r="T56">
        <v>1300000</v>
      </c>
      <c r="U56">
        <v>0</v>
      </c>
      <c r="V56">
        <v>0</v>
      </c>
      <c r="W56">
        <v>1300000</v>
      </c>
      <c r="X56">
        <v>0</v>
      </c>
      <c r="Y56">
        <v>0</v>
      </c>
      <c r="Z56">
        <v>0</v>
      </c>
      <c r="AA56">
        <v>0</v>
      </c>
      <c r="AB56" t="str">
        <v>TO LAUNCH</v>
      </c>
      <c r="AC56">
        <v>0</v>
      </c>
      <c r="AD56" t="str">
        <v>TBD</v>
      </c>
      <c r="AE56" t="str">
        <v>Sandra Viegas</v>
      </c>
      <c r="AF56" t="str">
        <v>Joaquim Vermelhudo</v>
      </c>
      <c r="AG56" t="str">
        <v>https://www.monte-rei.com/</v>
      </c>
      <c r="AH56"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56" t="str">
        <v>Golfe 18 buracos, Ténis, Ginásio, Health Center, Piscinas Exteriores, Spa e Concierge, Restaurantes</v>
      </c>
      <c r="AJ56"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56" t="str">
        <v>TBD</v>
      </c>
      <c r="AL56" t="str">
        <v>Monte Rei</v>
      </c>
    </row>
    <row r="57" spans="1:38" x14ac:dyDescent="0.3">
      <c r="A57" t="str">
        <v>MR - LT do Golfe</v>
      </c>
      <c r="B57" t="str">
        <v>Algarve</v>
      </c>
      <c r="C57" t="str">
        <v>20</v>
      </c>
      <c r="D57" t="str">
        <v>Vila Nova de Cacela, Algarve</v>
      </c>
      <c r="E57" t="str">
        <v>Plot</v>
      </c>
      <c r="F57">
        <v>650</v>
      </c>
      <c r="G57">
        <v>0</v>
      </c>
      <c r="H57" t="str">
        <v/>
      </c>
      <c r="I57" t="str">
        <v/>
      </c>
      <c r="J57">
        <v>0</v>
      </c>
      <c r="K57">
        <v>0</v>
      </c>
      <c r="L57">
        <v>0</v>
      </c>
      <c r="M57" s="79">
        <v>0</v>
      </c>
      <c r="N57">
        <v>0</v>
      </c>
      <c r="O57">
        <v>650</v>
      </c>
      <c r="P57">
        <v>0</v>
      </c>
      <c r="Q57" t="str">
        <v>?</v>
      </c>
      <c r="R57">
        <v>1735000</v>
      </c>
      <c r="S57">
        <v>1735000</v>
      </c>
      <c r="T57">
        <v>1450000</v>
      </c>
      <c r="U57">
        <v>0</v>
      </c>
      <c r="V57">
        <v>0</v>
      </c>
      <c r="W57">
        <v>1450000</v>
      </c>
      <c r="X57">
        <v>0</v>
      </c>
      <c r="Y57">
        <v>0</v>
      </c>
      <c r="Z57">
        <v>0</v>
      </c>
      <c r="AA57">
        <v>0</v>
      </c>
      <c r="AB57" t="str">
        <v>TO LAUNCH</v>
      </c>
      <c r="AC57">
        <v>0</v>
      </c>
      <c r="AD57" t="str">
        <v>TBD</v>
      </c>
      <c r="AE57" t="str">
        <v>Sandra Viegas</v>
      </c>
      <c r="AF57" t="str">
        <v>Joaquim Vermelhudo</v>
      </c>
      <c r="AG57" t="str">
        <v>https://www.monte-rei.com/</v>
      </c>
      <c r="AH57"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57" t="str">
        <v>Golfe 18 buracos, Ténis, Ginásio, Health Center, Piscinas Exteriores, Spa e Concierge, Restaurantes</v>
      </c>
      <c r="AJ57"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57" t="str">
        <v>TBD</v>
      </c>
      <c r="AL57" t="str">
        <v>Monte Rei</v>
      </c>
    </row>
    <row r="58" spans="1:38" x14ac:dyDescent="0.3">
      <c r="A58" t="str">
        <v>MR - LT do Golfe</v>
      </c>
      <c r="B58" t="str">
        <v>Algarve</v>
      </c>
      <c r="C58" t="str">
        <v>1</v>
      </c>
      <c r="D58" t="str">
        <v>Vila Nova de Cacela, Algarve</v>
      </c>
      <c r="E58" t="str">
        <v>Plot</v>
      </c>
      <c r="F58">
        <v>650</v>
      </c>
      <c r="G58">
        <v>0</v>
      </c>
      <c r="H58" t="str">
        <v/>
      </c>
      <c r="I58" t="str">
        <v/>
      </c>
      <c r="J58">
        <v>0</v>
      </c>
      <c r="K58">
        <v>0</v>
      </c>
      <c r="L58">
        <v>0</v>
      </c>
      <c r="M58" s="79">
        <v>0</v>
      </c>
      <c r="N58">
        <v>0</v>
      </c>
      <c r="O58">
        <v>650</v>
      </c>
      <c r="P58">
        <v>0</v>
      </c>
      <c r="Q58" t="str">
        <v>?</v>
      </c>
      <c r="R58">
        <v>2000000</v>
      </c>
      <c r="S58">
        <v>2000000</v>
      </c>
      <c r="T58">
        <v>1560000</v>
      </c>
      <c r="U58">
        <v>0</v>
      </c>
      <c r="V58">
        <v>0</v>
      </c>
      <c r="W58">
        <v>1560000</v>
      </c>
      <c r="X58">
        <v>0</v>
      </c>
      <c r="Y58">
        <v>0</v>
      </c>
      <c r="Z58">
        <v>0</v>
      </c>
      <c r="AA58">
        <v>0</v>
      </c>
      <c r="AB58" t="str">
        <v>TO LAUNCH</v>
      </c>
      <c r="AC58">
        <v>0</v>
      </c>
      <c r="AD58" t="str">
        <v>TBD</v>
      </c>
      <c r="AE58" t="str">
        <v>Sandra Viegas</v>
      </c>
      <c r="AF58" t="str">
        <v>Joaquim Vermelhudo</v>
      </c>
      <c r="AG58" t="str">
        <v>https://www.monte-rei.com/</v>
      </c>
      <c r="AH58"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58" t="str">
        <v>Golfe 18 buracos, Ténis, Ginásio, Health Center, Piscinas Exteriores, Spa e Concierge, Restaurantes</v>
      </c>
      <c r="AJ58"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58" t="str">
        <v>TBD</v>
      </c>
      <c r="AL58" t="str">
        <v>Monte Rei</v>
      </c>
    </row>
    <row r="59" spans="1:38" x14ac:dyDescent="0.3">
      <c r="A59" t="str">
        <v>MR - LT do Golfe</v>
      </c>
      <c r="B59" t="str">
        <v>Algarve</v>
      </c>
      <c r="C59" t="str">
        <v>25/26</v>
      </c>
      <c r="D59" t="str">
        <v>Vila Nova de Cacela, Algarve</v>
      </c>
      <c r="E59" t="str">
        <v>Plot</v>
      </c>
      <c r="F59">
        <v>900</v>
      </c>
      <c r="G59">
        <v>0</v>
      </c>
      <c r="H59" t="str">
        <v/>
      </c>
      <c r="I59" t="str">
        <v/>
      </c>
      <c r="J59">
        <v>0</v>
      </c>
      <c r="K59">
        <v>0</v>
      </c>
      <c r="L59">
        <v>0</v>
      </c>
      <c r="M59" s="79">
        <v>0</v>
      </c>
      <c r="N59">
        <v>0</v>
      </c>
      <c r="O59">
        <v>900</v>
      </c>
      <c r="P59">
        <v>0</v>
      </c>
      <c r="Q59" t="str">
        <v>?</v>
      </c>
      <c r="R59">
        <v>2112000</v>
      </c>
      <c r="S59">
        <v>2112000</v>
      </c>
      <c r="T59">
        <v>1790000</v>
      </c>
      <c r="U59">
        <v>0</v>
      </c>
      <c r="V59">
        <v>0</v>
      </c>
      <c r="W59">
        <v>1790000</v>
      </c>
      <c r="X59">
        <v>0</v>
      </c>
      <c r="Y59">
        <v>0</v>
      </c>
      <c r="Z59">
        <v>0</v>
      </c>
      <c r="AA59">
        <v>0</v>
      </c>
      <c r="AB59" t="str">
        <v>TO LAUNCH</v>
      </c>
      <c r="AC59">
        <v>0</v>
      </c>
      <c r="AD59" t="str">
        <v>TBD</v>
      </c>
      <c r="AE59" t="str">
        <v>Sandra Viegas</v>
      </c>
      <c r="AF59" t="str">
        <v>Joaquim Vermelhudo</v>
      </c>
      <c r="AG59" t="str">
        <v>https://www.monte-rei.com/</v>
      </c>
      <c r="AH59"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59" t="str">
        <v>Golfe 18 buracos, Ténis, Ginásio, Health Center, Piscinas Exteriores, Spa e Concierge, Restaurantes</v>
      </c>
      <c r="AJ59"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59" t="str">
        <v>TBD</v>
      </c>
      <c r="AL59" t="str">
        <v>Monte Rei</v>
      </c>
    </row>
    <row r="60" spans="1:38" x14ac:dyDescent="0.3">
      <c r="A60" t="str">
        <v>MR - LT do Golfe</v>
      </c>
      <c r="B60" t="str">
        <v>Algarve</v>
      </c>
      <c r="C60" t="str">
        <v>11</v>
      </c>
      <c r="D60" t="str">
        <v>Vila Nova de Cacela, Algarve</v>
      </c>
      <c r="E60" t="str">
        <v>Plot</v>
      </c>
      <c r="F60">
        <v>700</v>
      </c>
      <c r="G60">
        <v>0</v>
      </c>
      <c r="H60" t="str">
        <v/>
      </c>
      <c r="I60" t="str">
        <v/>
      </c>
      <c r="J60">
        <v>0</v>
      </c>
      <c r="K60">
        <v>0</v>
      </c>
      <c r="L60">
        <v>0</v>
      </c>
      <c r="M60" s="79">
        <v>0</v>
      </c>
      <c r="N60">
        <v>0</v>
      </c>
      <c r="O60">
        <v>700</v>
      </c>
      <c r="P60">
        <v>0</v>
      </c>
      <c r="Q60" t="str">
        <v>?</v>
      </c>
      <c r="R60">
        <v>2375000</v>
      </c>
      <c r="S60">
        <v>2375000</v>
      </c>
      <c r="T60">
        <v>1710000</v>
      </c>
      <c r="U60">
        <v>0</v>
      </c>
      <c r="V60">
        <v>0</v>
      </c>
      <c r="W60">
        <v>1710000</v>
      </c>
      <c r="X60">
        <v>0</v>
      </c>
      <c r="Y60">
        <v>0</v>
      </c>
      <c r="Z60">
        <v>0</v>
      </c>
      <c r="AA60">
        <v>0</v>
      </c>
      <c r="AB60" t="str">
        <v>TO LAUNCH</v>
      </c>
      <c r="AC60">
        <v>0</v>
      </c>
      <c r="AD60" t="str">
        <v>TBD</v>
      </c>
      <c r="AE60" t="str">
        <v>Sandra Viegas</v>
      </c>
      <c r="AF60" t="str">
        <v>Joaquim Vermelhudo</v>
      </c>
      <c r="AG60" t="str">
        <v>https://www.monte-rei.com/</v>
      </c>
      <c r="AH60"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60" t="str">
        <v>Golfe 18 buracos, Ténis, Ginásio, Health Center, Piscinas Exteriores, Spa e Concierge, Restaurantes</v>
      </c>
      <c r="AJ60"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60" t="str">
        <v>TBD</v>
      </c>
      <c r="AL60" t="str">
        <v>Monte Rei</v>
      </c>
    </row>
    <row r="61" spans="1:38" x14ac:dyDescent="0.3">
      <c r="A61" t="str">
        <v>MR - LT do Golfe</v>
      </c>
      <c r="B61" t="str">
        <v>Algarve</v>
      </c>
      <c r="C61" t="str">
        <v>5</v>
      </c>
      <c r="D61" t="str">
        <v>Vila Nova de Cacela, Algarve</v>
      </c>
      <c r="E61" t="str">
        <v>Plot</v>
      </c>
      <c r="F61">
        <v>500</v>
      </c>
      <c r="G61">
        <v>0</v>
      </c>
      <c r="H61" t="str">
        <v/>
      </c>
      <c r="I61" t="str">
        <v/>
      </c>
      <c r="J61">
        <v>0</v>
      </c>
      <c r="K61">
        <v>0</v>
      </c>
      <c r="L61">
        <v>0</v>
      </c>
      <c r="M61" s="79">
        <v>0</v>
      </c>
      <c r="N61">
        <v>0</v>
      </c>
      <c r="O61">
        <v>500</v>
      </c>
      <c r="P61">
        <v>0</v>
      </c>
      <c r="Q61" t="str">
        <v>?</v>
      </c>
      <c r="R61">
        <v>2525000</v>
      </c>
      <c r="S61">
        <v>2525000</v>
      </c>
      <c r="T61">
        <v>1560000</v>
      </c>
      <c r="U61">
        <v>0</v>
      </c>
      <c r="V61">
        <v>0</v>
      </c>
      <c r="W61">
        <v>1560000</v>
      </c>
      <c r="X61">
        <v>0</v>
      </c>
      <c r="Y61">
        <v>0</v>
      </c>
      <c r="Z61">
        <v>0</v>
      </c>
      <c r="AA61">
        <v>0</v>
      </c>
      <c r="AB61" t="str">
        <v>TO LAUNCH</v>
      </c>
      <c r="AC61">
        <v>0</v>
      </c>
      <c r="AD61" t="str">
        <v>TBD</v>
      </c>
      <c r="AE61" t="str">
        <v>Sandra Viegas</v>
      </c>
      <c r="AF61" t="str">
        <v>Joaquim Vermelhudo</v>
      </c>
      <c r="AG61" t="str">
        <v>https://www.monte-rei.com/</v>
      </c>
      <c r="AH61"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61" t="str">
        <v>Golfe 18 buracos, Ténis, Ginásio, Health Center, Piscinas Exteriores, Spa e Concierge, Restaurantes</v>
      </c>
      <c r="AJ61"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61" t="str">
        <v>TBD</v>
      </c>
      <c r="AL61" t="str">
        <v>Monte Rei</v>
      </c>
    </row>
    <row r="62" spans="1:38" x14ac:dyDescent="0.3">
      <c r="A62" t="str">
        <v>MR - LT do Golfe</v>
      </c>
      <c r="B62" t="str">
        <v>Algarve</v>
      </c>
      <c r="C62" t="str">
        <v>19</v>
      </c>
      <c r="D62" t="str">
        <v>Vila Nova de Cacela, Algarve</v>
      </c>
      <c r="E62" t="str">
        <v>Plot</v>
      </c>
      <c r="F62">
        <v>650</v>
      </c>
      <c r="G62">
        <v>0</v>
      </c>
      <c r="H62" t="str">
        <v/>
      </c>
      <c r="I62" t="str">
        <v/>
      </c>
      <c r="J62">
        <v>0</v>
      </c>
      <c r="K62">
        <v>0</v>
      </c>
      <c r="L62">
        <v>0</v>
      </c>
      <c r="M62" s="79">
        <v>0</v>
      </c>
      <c r="N62">
        <v>0</v>
      </c>
      <c r="O62">
        <v>650</v>
      </c>
      <c r="P62">
        <v>0</v>
      </c>
      <c r="Q62" t="str">
        <v>?</v>
      </c>
      <c r="R62">
        <v>3250000</v>
      </c>
      <c r="S62">
        <v>3250000</v>
      </c>
      <c r="T62">
        <v>2260000</v>
      </c>
      <c r="U62">
        <v>0</v>
      </c>
      <c r="V62">
        <v>0</v>
      </c>
      <c r="W62">
        <v>2260000</v>
      </c>
      <c r="X62">
        <v>0</v>
      </c>
      <c r="Y62">
        <v>0</v>
      </c>
      <c r="Z62">
        <v>0</v>
      </c>
      <c r="AA62">
        <v>0</v>
      </c>
      <c r="AB62" t="str">
        <v>TO LAUNCH</v>
      </c>
      <c r="AC62">
        <v>0</v>
      </c>
      <c r="AD62" t="str">
        <v>TBD</v>
      </c>
      <c r="AE62" t="str">
        <v>Sandra Viegas</v>
      </c>
      <c r="AF62" t="str">
        <v>Joaquim Vermelhudo</v>
      </c>
      <c r="AG62" t="str">
        <v>https://www.monte-rei.com/</v>
      </c>
      <c r="AH62"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62" t="str">
        <v>Golfe 18 buracos, Ténis, Ginásio, Health Center, Piscinas Exteriores, Spa e Concierge, Restaurantes</v>
      </c>
      <c r="AJ62"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62" t="str">
        <v>TBD</v>
      </c>
      <c r="AL62" t="str">
        <v>Monte Rei</v>
      </c>
    </row>
    <row r="63" spans="1:38" x14ac:dyDescent="0.3">
      <c r="A63" t="str">
        <v>MR - LT Miradouro Village</v>
      </c>
      <c r="B63" t="str">
        <v>Algarve</v>
      </c>
      <c r="C63" t="str">
        <v>39</v>
      </c>
      <c r="D63" t="str">
        <v>Vila Nova de Cacela, Algarve</v>
      </c>
      <c r="E63" t="str">
        <v>Plot</v>
      </c>
      <c r="F63">
        <v>396.9</v>
      </c>
      <c r="G63">
        <v>0</v>
      </c>
      <c r="H63" t="str">
        <v/>
      </c>
      <c r="I63" t="str">
        <v/>
      </c>
      <c r="J63">
        <v>0</v>
      </c>
      <c r="K63">
        <v>0</v>
      </c>
      <c r="L63">
        <v>0</v>
      </c>
      <c r="M63" s="79">
        <v>0</v>
      </c>
      <c r="N63">
        <v>0</v>
      </c>
      <c r="O63">
        <v>396.9</v>
      </c>
      <c r="P63">
        <v>0</v>
      </c>
      <c r="Q63" t="str">
        <v>?</v>
      </c>
      <c r="R63">
        <v>670000</v>
      </c>
      <c r="S63">
        <v>670000</v>
      </c>
      <c r="T63">
        <v>550000</v>
      </c>
      <c r="U63">
        <v>0</v>
      </c>
      <c r="V63">
        <v>0</v>
      </c>
      <c r="W63">
        <v>550000</v>
      </c>
      <c r="X63">
        <v>0</v>
      </c>
      <c r="Y63">
        <v>0</v>
      </c>
      <c r="Z63">
        <v>0</v>
      </c>
      <c r="AA63">
        <v>0</v>
      </c>
      <c r="AB63" t="str">
        <v>TO LAUNCH</v>
      </c>
      <c r="AC63">
        <v>0</v>
      </c>
      <c r="AD63" t="str">
        <v>TBD</v>
      </c>
      <c r="AE63" t="str">
        <v>Sandra Viegas</v>
      </c>
      <c r="AF63" t="str">
        <v>Joaquim Vermelhudo</v>
      </c>
      <c r="AG63" t="str">
        <v>https://www.monte-rei.com/</v>
      </c>
      <c r="AH63"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63" t="str">
        <v>Golfe 18 buracos, Ténis, Ginásio, Health Center, Piscinas Exteriores, Spa e Concierge, Restaurantes</v>
      </c>
      <c r="AJ63"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63" t="str">
        <v>TBD</v>
      </c>
      <c r="AL63" t="str">
        <v>Monte Rei</v>
      </c>
    </row>
    <row r="64" spans="1:38" x14ac:dyDescent="0.3">
      <c r="A64" t="str">
        <v>MR - LT Miradouro Village</v>
      </c>
      <c r="B64" t="str">
        <v>Algarve</v>
      </c>
      <c r="C64" t="str">
        <v>12</v>
      </c>
      <c r="D64" t="str">
        <v>Vila Nova de Cacela, Algarve</v>
      </c>
      <c r="E64" t="str">
        <v>Plot</v>
      </c>
      <c r="F64">
        <v>396.9</v>
      </c>
      <c r="G64">
        <v>0</v>
      </c>
      <c r="H64" t="str">
        <v/>
      </c>
      <c r="I64" t="str">
        <v/>
      </c>
      <c r="J64">
        <v>0</v>
      </c>
      <c r="K64">
        <v>0</v>
      </c>
      <c r="L64">
        <v>0</v>
      </c>
      <c r="M64" s="79">
        <v>0</v>
      </c>
      <c r="N64">
        <v>0</v>
      </c>
      <c r="O64">
        <v>396.9</v>
      </c>
      <c r="P64">
        <v>0</v>
      </c>
      <c r="Q64" t="str">
        <v>?</v>
      </c>
      <c r="R64">
        <v>875000</v>
      </c>
      <c r="S64">
        <v>875000</v>
      </c>
      <c r="T64">
        <v>740000</v>
      </c>
      <c r="U64">
        <v>0</v>
      </c>
      <c r="V64">
        <v>0</v>
      </c>
      <c r="W64">
        <v>740000</v>
      </c>
      <c r="X64">
        <v>0</v>
      </c>
      <c r="Y64">
        <v>0</v>
      </c>
      <c r="Z64">
        <v>0</v>
      </c>
      <c r="AA64">
        <v>0</v>
      </c>
      <c r="AB64" t="str">
        <v>TO LAUNCH</v>
      </c>
      <c r="AC64">
        <v>0</v>
      </c>
      <c r="AD64" t="str">
        <v>TBD</v>
      </c>
      <c r="AE64" t="str">
        <v>Sandra Viegas</v>
      </c>
      <c r="AF64" t="str">
        <v>Joaquim Vermelhudo</v>
      </c>
      <c r="AG64" t="str">
        <v>https://www.monte-rei.com/</v>
      </c>
      <c r="AH64"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64" t="str">
        <v>Golfe 18 buracos, Ténis, Ginásio, Health Center, Piscinas Exteriores, Spa e Concierge, Restaurantes</v>
      </c>
      <c r="AJ64"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64" t="str">
        <v>TBD</v>
      </c>
      <c r="AL64" t="str">
        <v>Monte Rei</v>
      </c>
    </row>
    <row r="65" spans="1:38" x14ac:dyDescent="0.3">
      <c r="A65" t="str">
        <v>MR - LT Miradouro Village</v>
      </c>
      <c r="B65" t="str">
        <v>Algarve</v>
      </c>
      <c r="C65" t="str">
        <v>18</v>
      </c>
      <c r="D65" t="str">
        <v>Vila Nova de Cacela, Algarve</v>
      </c>
      <c r="E65" t="str">
        <v>Plot</v>
      </c>
      <c r="F65">
        <v>373.55</v>
      </c>
      <c r="G65">
        <v>0</v>
      </c>
      <c r="H65" t="str">
        <v/>
      </c>
      <c r="I65" t="str">
        <v/>
      </c>
      <c r="J65">
        <v>0</v>
      </c>
      <c r="K65">
        <v>0</v>
      </c>
      <c r="L65">
        <v>0</v>
      </c>
      <c r="M65" s="79">
        <v>0</v>
      </c>
      <c r="N65">
        <v>0</v>
      </c>
      <c r="O65">
        <v>373.55</v>
      </c>
      <c r="P65">
        <v>0</v>
      </c>
      <c r="Q65" t="str">
        <v>?</v>
      </c>
      <c r="R65">
        <v>875000</v>
      </c>
      <c r="S65">
        <v>875000</v>
      </c>
      <c r="T65">
        <v>750000</v>
      </c>
      <c r="U65">
        <v>0</v>
      </c>
      <c r="V65">
        <v>0</v>
      </c>
      <c r="W65">
        <v>750000</v>
      </c>
      <c r="X65">
        <v>0</v>
      </c>
      <c r="Y65">
        <v>0</v>
      </c>
      <c r="Z65">
        <v>0</v>
      </c>
      <c r="AA65">
        <v>0</v>
      </c>
      <c r="AB65" t="str">
        <v>TO LAUNCH</v>
      </c>
      <c r="AC65">
        <v>0</v>
      </c>
      <c r="AD65" t="str">
        <v>TBD</v>
      </c>
      <c r="AE65" t="str">
        <v>Sandra Viegas</v>
      </c>
      <c r="AF65" t="str">
        <v>Joaquim Vermelhudo</v>
      </c>
      <c r="AG65" t="str">
        <v>https://www.monte-rei.com/</v>
      </c>
      <c r="AH65"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65" t="str">
        <v>Golfe 18 buracos, Ténis, Ginásio, Health Center, Piscinas Exteriores, Spa e Concierge, Restaurantes</v>
      </c>
      <c r="AJ65"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65" t="str">
        <v>TBD</v>
      </c>
      <c r="AL65" t="str">
        <v>Monte Rei</v>
      </c>
    </row>
    <row r="66" spans="1:38" x14ac:dyDescent="0.3">
      <c r="A66" t="str">
        <v>MR - LT Miradouro Village</v>
      </c>
      <c r="B66" t="str">
        <v>Algarve</v>
      </c>
      <c r="C66" t="str">
        <v>19</v>
      </c>
      <c r="D66" t="str">
        <v>Vila Nova de Cacela, Algarve</v>
      </c>
      <c r="E66" t="str">
        <v>Plot</v>
      </c>
      <c r="F66">
        <v>373.55</v>
      </c>
      <c r="G66">
        <v>0</v>
      </c>
      <c r="H66" t="str">
        <v/>
      </c>
      <c r="I66" t="str">
        <v/>
      </c>
      <c r="J66">
        <v>0</v>
      </c>
      <c r="K66">
        <v>0</v>
      </c>
      <c r="L66">
        <v>0</v>
      </c>
      <c r="M66" s="79">
        <v>0</v>
      </c>
      <c r="N66">
        <v>0</v>
      </c>
      <c r="O66">
        <v>373.55</v>
      </c>
      <c r="P66">
        <v>0</v>
      </c>
      <c r="Q66" t="str">
        <v>?</v>
      </c>
      <c r="R66">
        <v>875000</v>
      </c>
      <c r="S66">
        <v>875000</v>
      </c>
      <c r="T66">
        <v>720000</v>
      </c>
      <c r="U66">
        <v>0</v>
      </c>
      <c r="V66">
        <v>0</v>
      </c>
      <c r="W66">
        <v>720000</v>
      </c>
      <c r="X66">
        <v>0</v>
      </c>
      <c r="Y66">
        <v>0</v>
      </c>
      <c r="Z66">
        <v>0</v>
      </c>
      <c r="AA66">
        <v>0</v>
      </c>
      <c r="AB66" t="str">
        <v>TO LAUNCH</v>
      </c>
      <c r="AC66">
        <v>0</v>
      </c>
      <c r="AD66" t="str">
        <v>TBD</v>
      </c>
      <c r="AE66" t="str">
        <v>Sandra Viegas</v>
      </c>
      <c r="AF66" t="str">
        <v>Joaquim Vermelhudo</v>
      </c>
      <c r="AG66" t="str">
        <v>https://www.monte-rei.com/</v>
      </c>
      <c r="AH66"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66" t="str">
        <v>Golfe 18 buracos, Ténis, Ginásio, Health Center, Piscinas Exteriores, Spa e Concierge, Restaurantes</v>
      </c>
      <c r="AJ66"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66" t="str">
        <v>TBD</v>
      </c>
      <c r="AL66" t="str">
        <v>Monte Rei</v>
      </c>
    </row>
    <row r="67" spans="1:38" x14ac:dyDescent="0.3">
      <c r="A67" t="str">
        <v>MR - LT Miradouro Village</v>
      </c>
      <c r="B67" t="str">
        <v>Algarve</v>
      </c>
      <c r="C67" t="str">
        <v>13</v>
      </c>
      <c r="D67" t="str">
        <v>Vila Nova de Cacela, Algarve</v>
      </c>
      <c r="E67" t="str">
        <v>Plot</v>
      </c>
      <c r="F67">
        <v>396.9</v>
      </c>
      <c r="G67">
        <v>0</v>
      </c>
      <c r="H67" t="str">
        <v/>
      </c>
      <c r="I67" t="str">
        <v/>
      </c>
      <c r="J67">
        <v>0</v>
      </c>
      <c r="K67">
        <v>0</v>
      </c>
      <c r="L67">
        <v>0</v>
      </c>
      <c r="M67" s="79">
        <v>0</v>
      </c>
      <c r="N67">
        <v>0</v>
      </c>
      <c r="O67">
        <v>396.9</v>
      </c>
      <c r="P67">
        <v>0</v>
      </c>
      <c r="Q67" t="str">
        <v>?</v>
      </c>
      <c r="R67">
        <v>945000</v>
      </c>
      <c r="S67">
        <v>945000</v>
      </c>
      <c r="T67">
        <v>810000</v>
      </c>
      <c r="U67">
        <v>0</v>
      </c>
      <c r="V67">
        <v>0</v>
      </c>
      <c r="W67">
        <v>810000</v>
      </c>
      <c r="X67">
        <v>0</v>
      </c>
      <c r="Y67">
        <v>0</v>
      </c>
      <c r="Z67">
        <v>0</v>
      </c>
      <c r="AA67">
        <v>0</v>
      </c>
      <c r="AB67" t="str">
        <v>TO LAUNCH</v>
      </c>
      <c r="AC67">
        <v>0</v>
      </c>
      <c r="AD67" t="str">
        <v>TBD</v>
      </c>
      <c r="AE67" t="str">
        <v>Sandra Viegas</v>
      </c>
      <c r="AF67" t="str">
        <v>Joaquim Vermelhudo</v>
      </c>
      <c r="AG67" t="str">
        <v>https://www.monte-rei.com/</v>
      </c>
      <c r="AH67"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67" t="str">
        <v>Golfe 18 buracos, Ténis, Ginásio, Health Center, Piscinas Exteriores, Spa e Concierge, Restaurantes</v>
      </c>
      <c r="AJ67"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67" t="str">
        <v>TBD</v>
      </c>
      <c r="AL67" t="str">
        <v>Monte Rei</v>
      </c>
    </row>
    <row r="68" spans="1:38" x14ac:dyDescent="0.3">
      <c r="A68" t="str">
        <v>MR - LT Miradouro Village</v>
      </c>
      <c r="B68" t="str">
        <v>Algarve</v>
      </c>
      <c r="C68" t="str">
        <v>14</v>
      </c>
      <c r="D68" t="str">
        <v>Vila Nova de Cacela, Algarve</v>
      </c>
      <c r="E68" t="str">
        <v>Plot</v>
      </c>
      <c r="F68">
        <v>396.9</v>
      </c>
      <c r="G68">
        <v>0</v>
      </c>
      <c r="H68" t="str">
        <v/>
      </c>
      <c r="I68" t="str">
        <v/>
      </c>
      <c r="J68">
        <v>0</v>
      </c>
      <c r="K68">
        <v>0</v>
      </c>
      <c r="L68">
        <v>0</v>
      </c>
      <c r="M68" s="79">
        <v>0</v>
      </c>
      <c r="N68">
        <v>0</v>
      </c>
      <c r="O68">
        <v>396.9</v>
      </c>
      <c r="P68">
        <v>0</v>
      </c>
      <c r="Q68" t="str">
        <v>?</v>
      </c>
      <c r="R68">
        <v>945000</v>
      </c>
      <c r="S68">
        <v>945000</v>
      </c>
      <c r="T68">
        <v>820000</v>
      </c>
      <c r="U68">
        <v>0</v>
      </c>
      <c r="V68">
        <v>0</v>
      </c>
      <c r="W68">
        <v>820000</v>
      </c>
      <c r="X68">
        <v>0</v>
      </c>
      <c r="Y68">
        <v>0</v>
      </c>
      <c r="Z68">
        <v>0</v>
      </c>
      <c r="AA68">
        <v>0</v>
      </c>
      <c r="AB68" t="str">
        <v>TO LAUNCH</v>
      </c>
      <c r="AC68">
        <v>0</v>
      </c>
      <c r="AD68" t="str">
        <v>TBD</v>
      </c>
      <c r="AE68" t="str">
        <v>Sandra Viegas</v>
      </c>
      <c r="AF68" t="str">
        <v>Joaquim Vermelhudo</v>
      </c>
      <c r="AG68" t="str">
        <v>https://www.monte-rei.com/</v>
      </c>
      <c r="AH68"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68" t="str">
        <v>Golfe 18 buracos, Ténis, Ginásio, Health Center, Piscinas Exteriores, Spa e Concierge, Restaurantes</v>
      </c>
      <c r="AJ68"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68" t="str">
        <v>TBD</v>
      </c>
      <c r="AL68" t="str">
        <v>Monte Rei</v>
      </c>
    </row>
    <row r="69" spans="1:38" x14ac:dyDescent="0.3">
      <c r="A69" t="str">
        <v>MR - LT Miradouro Village</v>
      </c>
      <c r="B69" t="str">
        <v>Algarve</v>
      </c>
      <c r="C69" t="str">
        <v>15</v>
      </c>
      <c r="D69" t="str">
        <v>Vila Nova de Cacela, Algarve</v>
      </c>
      <c r="E69" t="str">
        <v>Plot</v>
      </c>
      <c r="F69">
        <v>396.9</v>
      </c>
      <c r="G69">
        <v>0</v>
      </c>
      <c r="H69" t="str">
        <v/>
      </c>
      <c r="I69" t="str">
        <v/>
      </c>
      <c r="J69">
        <v>0</v>
      </c>
      <c r="K69">
        <v>0</v>
      </c>
      <c r="L69">
        <v>0</v>
      </c>
      <c r="M69" s="79">
        <v>0</v>
      </c>
      <c r="N69">
        <v>0</v>
      </c>
      <c r="O69">
        <v>396.9</v>
      </c>
      <c r="P69">
        <v>0</v>
      </c>
      <c r="Q69" t="str">
        <v>?</v>
      </c>
      <c r="R69">
        <v>945000</v>
      </c>
      <c r="S69">
        <v>945000</v>
      </c>
      <c r="T69">
        <v>810000</v>
      </c>
      <c r="U69">
        <v>0</v>
      </c>
      <c r="V69">
        <v>0</v>
      </c>
      <c r="W69">
        <v>810000</v>
      </c>
      <c r="X69">
        <v>0</v>
      </c>
      <c r="Y69">
        <v>0</v>
      </c>
      <c r="Z69">
        <v>0</v>
      </c>
      <c r="AA69">
        <v>0</v>
      </c>
      <c r="AB69" t="str">
        <v>TO LAUNCH</v>
      </c>
      <c r="AC69">
        <v>0</v>
      </c>
      <c r="AD69" t="str">
        <v>TBD</v>
      </c>
      <c r="AE69" t="str">
        <v>Sandra Viegas</v>
      </c>
      <c r="AF69" t="str">
        <v>Joaquim Vermelhudo</v>
      </c>
      <c r="AG69" t="str">
        <v>https://www.monte-rei.com/</v>
      </c>
      <c r="AH69"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69" t="str">
        <v>Golfe 18 buracos, Ténis, Ginásio, Health Center, Piscinas Exteriores, Spa e Concierge, Restaurantes</v>
      </c>
      <c r="AJ69"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69" t="str">
        <v>TBD</v>
      </c>
      <c r="AL69" t="str">
        <v>Monte Rei</v>
      </c>
    </row>
    <row r="70" spans="1:38" x14ac:dyDescent="0.3">
      <c r="A70" t="str">
        <v>MR - LT Miradouro Village</v>
      </c>
      <c r="B70" t="str">
        <v>Algarve</v>
      </c>
      <c r="C70" t="str">
        <v>1</v>
      </c>
      <c r="D70" t="str">
        <v>Vila Nova de Cacela, Algarve</v>
      </c>
      <c r="E70" t="str">
        <v>Plot</v>
      </c>
      <c r="F70">
        <v>396.9</v>
      </c>
      <c r="G70">
        <v>0</v>
      </c>
      <c r="H70" t="str">
        <v/>
      </c>
      <c r="I70" t="str">
        <v/>
      </c>
      <c r="J70">
        <v>0</v>
      </c>
      <c r="K70">
        <v>0</v>
      </c>
      <c r="L70">
        <v>0</v>
      </c>
      <c r="M70" s="79">
        <v>0</v>
      </c>
      <c r="N70">
        <v>0</v>
      </c>
      <c r="O70">
        <v>396.9</v>
      </c>
      <c r="P70">
        <v>0</v>
      </c>
      <c r="Q70" t="str">
        <v>?</v>
      </c>
      <c r="R70">
        <v>1000000</v>
      </c>
      <c r="S70">
        <v>1000000</v>
      </c>
      <c r="T70">
        <v>890000</v>
      </c>
      <c r="U70">
        <v>0</v>
      </c>
      <c r="V70">
        <v>0</v>
      </c>
      <c r="W70">
        <v>890000</v>
      </c>
      <c r="X70">
        <v>0</v>
      </c>
      <c r="Y70">
        <v>0</v>
      </c>
      <c r="Z70">
        <v>0</v>
      </c>
      <c r="AA70">
        <v>0</v>
      </c>
      <c r="AB70" t="str">
        <v>TO LAUNCH</v>
      </c>
      <c r="AC70">
        <v>0</v>
      </c>
      <c r="AD70" t="str">
        <v>TBD</v>
      </c>
      <c r="AE70" t="str">
        <v>Sandra Viegas</v>
      </c>
      <c r="AF70" t="str">
        <v>Joaquim Vermelhudo</v>
      </c>
      <c r="AG70" t="str">
        <v>https://www.monte-rei.com/</v>
      </c>
      <c r="AH70"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70" t="str">
        <v>Golfe 18 buracos, Ténis, Ginásio, Health Center, Piscinas Exteriores, Spa e Concierge, Restaurantes</v>
      </c>
      <c r="AJ70"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70" t="str">
        <v>TBD</v>
      </c>
      <c r="AL70" t="str">
        <v>Monte Rei</v>
      </c>
    </row>
    <row r="71" spans="1:38" x14ac:dyDescent="0.3">
      <c r="A71" t="str">
        <v>MR - LT Miradouro Village</v>
      </c>
      <c r="B71" t="str">
        <v>Algarve</v>
      </c>
      <c r="C71" t="str">
        <v>2</v>
      </c>
      <c r="D71" t="str">
        <v>Vila Nova de Cacela, Algarve</v>
      </c>
      <c r="E71" t="str">
        <v>Plot</v>
      </c>
      <c r="F71">
        <v>396.9</v>
      </c>
      <c r="G71">
        <v>0</v>
      </c>
      <c r="H71" t="str">
        <v/>
      </c>
      <c r="I71" t="str">
        <v/>
      </c>
      <c r="J71">
        <v>0</v>
      </c>
      <c r="K71">
        <v>0</v>
      </c>
      <c r="L71">
        <v>0</v>
      </c>
      <c r="M71" s="79">
        <v>0</v>
      </c>
      <c r="N71">
        <v>0</v>
      </c>
      <c r="O71">
        <v>396.9</v>
      </c>
      <c r="P71">
        <v>0</v>
      </c>
      <c r="Q71" t="str">
        <v>?</v>
      </c>
      <c r="R71">
        <v>1000000</v>
      </c>
      <c r="S71">
        <v>1000000</v>
      </c>
      <c r="T71">
        <v>850000</v>
      </c>
      <c r="U71">
        <v>0</v>
      </c>
      <c r="V71">
        <v>0</v>
      </c>
      <c r="W71">
        <v>850000</v>
      </c>
      <c r="X71">
        <v>0</v>
      </c>
      <c r="Y71">
        <v>0</v>
      </c>
      <c r="Z71">
        <v>0</v>
      </c>
      <c r="AA71">
        <v>0</v>
      </c>
      <c r="AB71" t="str">
        <v>TO LAUNCH</v>
      </c>
      <c r="AC71">
        <v>0</v>
      </c>
      <c r="AD71" t="str">
        <v>TBD</v>
      </c>
      <c r="AE71" t="str">
        <v>Sandra Viegas</v>
      </c>
      <c r="AF71" t="str">
        <v>Joaquim Vermelhudo</v>
      </c>
      <c r="AG71" t="str">
        <v>https://www.monte-rei.com/</v>
      </c>
      <c r="AH71"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71" t="str">
        <v>Golfe 18 buracos, Ténis, Ginásio, Health Center, Piscinas Exteriores, Spa e Concierge, Restaurantes</v>
      </c>
      <c r="AJ71"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71" t="str">
        <v>TBD</v>
      </c>
      <c r="AL71" t="str">
        <v>Monte Rei</v>
      </c>
    </row>
    <row r="72" spans="1:38" x14ac:dyDescent="0.3">
      <c r="A72" t="str">
        <v>MR - LT Miradouro Village</v>
      </c>
      <c r="B72" t="str">
        <v>Algarve</v>
      </c>
      <c r="C72" t="str">
        <v>3</v>
      </c>
      <c r="D72" t="str">
        <v>Vila Nova de Cacela, Algarve</v>
      </c>
      <c r="E72" t="str">
        <v>Plot</v>
      </c>
      <c r="F72">
        <v>373.55</v>
      </c>
      <c r="G72">
        <v>0</v>
      </c>
      <c r="H72" t="str">
        <v/>
      </c>
      <c r="I72" t="str">
        <v/>
      </c>
      <c r="J72">
        <v>0</v>
      </c>
      <c r="K72">
        <v>0</v>
      </c>
      <c r="L72">
        <v>0</v>
      </c>
      <c r="M72" s="79">
        <v>0</v>
      </c>
      <c r="N72">
        <v>0</v>
      </c>
      <c r="O72">
        <v>373.55</v>
      </c>
      <c r="P72">
        <v>0</v>
      </c>
      <c r="Q72" t="str">
        <v>?</v>
      </c>
      <c r="R72">
        <v>1000000</v>
      </c>
      <c r="S72">
        <v>1000000</v>
      </c>
      <c r="T72">
        <v>800000</v>
      </c>
      <c r="U72">
        <v>0</v>
      </c>
      <c r="V72">
        <v>0</v>
      </c>
      <c r="W72">
        <v>800000</v>
      </c>
      <c r="X72">
        <v>0</v>
      </c>
      <c r="Y72">
        <v>0</v>
      </c>
      <c r="Z72">
        <v>0</v>
      </c>
      <c r="AA72">
        <v>0</v>
      </c>
      <c r="AB72" t="str">
        <v>TO LAUNCH</v>
      </c>
      <c r="AC72">
        <v>0</v>
      </c>
      <c r="AD72" t="str">
        <v>TBD</v>
      </c>
      <c r="AE72" t="str">
        <v>Sandra Viegas</v>
      </c>
      <c r="AF72" t="str">
        <v>Joaquim Vermelhudo</v>
      </c>
      <c r="AG72" t="str">
        <v>https://www.monte-rei.com/</v>
      </c>
      <c r="AH72"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72" t="str">
        <v>Golfe 18 buracos, Ténis, Ginásio, Health Center, Piscinas Exteriores, Spa e Concierge, Restaurantes</v>
      </c>
      <c r="AJ72"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72" t="str">
        <v>TBD</v>
      </c>
      <c r="AL72" t="str">
        <v>Monte Rei</v>
      </c>
    </row>
    <row r="73" spans="1:38" x14ac:dyDescent="0.3">
      <c r="A73" t="str">
        <v>MR - LT Miradouro Village</v>
      </c>
      <c r="B73" t="str">
        <v>Algarve</v>
      </c>
      <c r="C73" t="str">
        <v>4</v>
      </c>
      <c r="D73" t="str">
        <v>Vila Nova de Cacela, Algarve</v>
      </c>
      <c r="E73" t="str">
        <v>Plot</v>
      </c>
      <c r="F73">
        <v>373.55</v>
      </c>
      <c r="G73">
        <v>0</v>
      </c>
      <c r="H73" t="str">
        <v/>
      </c>
      <c r="I73" t="str">
        <v/>
      </c>
      <c r="J73">
        <v>0</v>
      </c>
      <c r="K73">
        <v>0</v>
      </c>
      <c r="L73">
        <v>0</v>
      </c>
      <c r="M73" s="79">
        <v>0</v>
      </c>
      <c r="N73">
        <v>0</v>
      </c>
      <c r="O73">
        <v>373.55</v>
      </c>
      <c r="P73">
        <v>0</v>
      </c>
      <c r="Q73" t="str">
        <v>?</v>
      </c>
      <c r="R73">
        <v>1000000</v>
      </c>
      <c r="S73">
        <v>1000000</v>
      </c>
      <c r="T73">
        <v>800000</v>
      </c>
      <c r="U73">
        <v>0</v>
      </c>
      <c r="V73">
        <v>0</v>
      </c>
      <c r="W73">
        <v>800000</v>
      </c>
      <c r="X73">
        <v>0</v>
      </c>
      <c r="Y73">
        <v>0</v>
      </c>
      <c r="Z73">
        <v>0</v>
      </c>
      <c r="AA73">
        <v>0</v>
      </c>
      <c r="AB73" t="str">
        <v>TO LAUNCH</v>
      </c>
      <c r="AC73">
        <v>0</v>
      </c>
      <c r="AD73" t="str">
        <v>TBD</v>
      </c>
      <c r="AE73" t="str">
        <v>Sandra Viegas</v>
      </c>
      <c r="AF73" t="str">
        <v>Joaquim Vermelhudo</v>
      </c>
      <c r="AG73" t="str">
        <v>https://www.monte-rei.com/</v>
      </c>
      <c r="AH73"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73" t="str">
        <v>Golfe 18 buracos, Ténis, Ginásio, Health Center, Piscinas Exteriores, Spa e Concierge, Restaurantes</v>
      </c>
      <c r="AJ73"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73" t="str">
        <v>TBD</v>
      </c>
      <c r="AL73" t="str">
        <v>Monte Rei</v>
      </c>
    </row>
    <row r="74" spans="1:38" x14ac:dyDescent="0.3">
      <c r="A74" t="str">
        <v>MR - LT Miradouro Village</v>
      </c>
      <c r="B74" t="str">
        <v>Algarve</v>
      </c>
      <c r="C74" t="str">
        <v>5</v>
      </c>
      <c r="D74" t="str">
        <v>Vila Nova de Cacela, Algarve</v>
      </c>
      <c r="E74" t="str">
        <v>Plot</v>
      </c>
      <c r="F74">
        <v>373.55</v>
      </c>
      <c r="G74">
        <v>0</v>
      </c>
      <c r="H74" t="str">
        <v/>
      </c>
      <c r="I74" t="str">
        <v/>
      </c>
      <c r="J74">
        <v>0</v>
      </c>
      <c r="K74" s="113">
        <v>0</v>
      </c>
      <c r="L74" s="78">
        <v>0</v>
      </c>
      <c r="M74" s="79">
        <v>0</v>
      </c>
      <c r="N74">
        <v>0</v>
      </c>
      <c r="O74">
        <v>373.55</v>
      </c>
      <c r="P74">
        <v>0</v>
      </c>
      <c r="Q74" t="str">
        <v>?</v>
      </c>
      <c r="R74">
        <v>1000000</v>
      </c>
      <c r="S74">
        <v>1000000</v>
      </c>
      <c r="T74">
        <v>800000</v>
      </c>
      <c r="U74">
        <v>0</v>
      </c>
      <c r="V74">
        <v>0</v>
      </c>
      <c r="W74">
        <v>800000</v>
      </c>
      <c r="X74">
        <v>0</v>
      </c>
      <c r="Y74">
        <v>0</v>
      </c>
      <c r="Z74">
        <v>0</v>
      </c>
      <c r="AA74">
        <v>0</v>
      </c>
      <c r="AB74" t="str">
        <v>TO LAUNCH</v>
      </c>
      <c r="AC74">
        <v>0</v>
      </c>
      <c r="AD74" t="str">
        <v>TBD</v>
      </c>
      <c r="AE74" t="str">
        <v>Sandra Viegas</v>
      </c>
      <c r="AF74" t="str">
        <v>Joaquim Vermelhudo</v>
      </c>
      <c r="AG74" t="str">
        <v>https://www.monte-rei.com/</v>
      </c>
      <c r="AH74"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74" t="str">
        <v>Golfe 18 buracos, Ténis, Ginásio, Health Center, Piscinas Exteriores, Spa e Concierge, Restaurantes</v>
      </c>
      <c r="AJ74"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74" t="str">
        <v>TBD</v>
      </c>
      <c r="AL74" t="str">
        <v>Monte Rei</v>
      </c>
    </row>
    <row r="75" spans="1:38" x14ac:dyDescent="0.3">
      <c r="A75" t="str">
        <v>MR - LT Miradouro Village</v>
      </c>
      <c r="B75" t="str">
        <v>Algarve</v>
      </c>
      <c r="C75" t="str">
        <v>6</v>
      </c>
      <c r="D75" t="str">
        <v>Vila Nova de Cacela, Algarve</v>
      </c>
      <c r="E75" t="str">
        <v>Plot</v>
      </c>
      <c r="F75">
        <v>373.55</v>
      </c>
      <c r="G75">
        <v>0</v>
      </c>
      <c r="H75" t="str">
        <v/>
      </c>
      <c r="I75" t="str">
        <v/>
      </c>
      <c r="J75">
        <v>0</v>
      </c>
      <c r="K75">
        <v>0</v>
      </c>
      <c r="L75">
        <v>0</v>
      </c>
      <c r="M75" s="79">
        <v>0</v>
      </c>
      <c r="N75">
        <v>0</v>
      </c>
      <c r="O75">
        <v>373.55</v>
      </c>
      <c r="P75">
        <v>0</v>
      </c>
      <c r="Q75" t="str">
        <v>?</v>
      </c>
      <c r="R75">
        <v>1000000</v>
      </c>
      <c r="S75">
        <v>1000000</v>
      </c>
      <c r="T75">
        <v>810000</v>
      </c>
      <c r="U75">
        <v>0</v>
      </c>
      <c r="V75">
        <v>0</v>
      </c>
      <c r="W75">
        <v>810000</v>
      </c>
      <c r="X75">
        <v>0</v>
      </c>
      <c r="Y75">
        <v>0</v>
      </c>
      <c r="Z75">
        <v>0</v>
      </c>
      <c r="AA75">
        <v>0</v>
      </c>
      <c r="AB75" t="str">
        <v>TO LAUNCH</v>
      </c>
      <c r="AC75">
        <v>0</v>
      </c>
      <c r="AD75" t="str">
        <v>TBD</v>
      </c>
      <c r="AE75" t="str">
        <v>Sandra Viegas</v>
      </c>
      <c r="AF75" t="str">
        <v>Joaquim Vermelhudo</v>
      </c>
      <c r="AG75" t="str">
        <v>https://www.monte-rei.com/</v>
      </c>
      <c r="AH75"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75" t="str">
        <v>Golfe 18 buracos, Ténis, Ginásio, Health Center, Piscinas Exteriores, Spa e Concierge, Restaurantes</v>
      </c>
      <c r="AJ75"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75" t="str">
        <v>TBD</v>
      </c>
      <c r="AL75" t="str">
        <v>Monte Rei</v>
      </c>
    </row>
    <row r="76" spans="1:38" x14ac:dyDescent="0.3">
      <c r="A76" t="str">
        <v>MR - LT Miradouro Village</v>
      </c>
      <c r="B76" t="str">
        <v>Algarve</v>
      </c>
      <c r="C76" t="str">
        <v>7</v>
      </c>
      <c r="D76" t="str">
        <v>Vila Nova de Cacela, Algarve</v>
      </c>
      <c r="E76" t="str">
        <v>Plot</v>
      </c>
      <c r="F76">
        <v>373.55</v>
      </c>
      <c r="G76">
        <v>0</v>
      </c>
      <c r="H76" t="str">
        <v/>
      </c>
      <c r="I76" t="str">
        <v/>
      </c>
      <c r="J76">
        <v>0</v>
      </c>
      <c r="K76">
        <v>0</v>
      </c>
      <c r="L76">
        <v>0</v>
      </c>
      <c r="M76" s="79">
        <v>0</v>
      </c>
      <c r="N76">
        <v>0</v>
      </c>
      <c r="O76">
        <v>373.55</v>
      </c>
      <c r="P76">
        <v>0</v>
      </c>
      <c r="Q76" t="str">
        <v>?</v>
      </c>
      <c r="R76">
        <v>1000000</v>
      </c>
      <c r="S76">
        <v>1000000</v>
      </c>
      <c r="T76">
        <v>790000</v>
      </c>
      <c r="U76">
        <v>0</v>
      </c>
      <c r="V76">
        <v>0</v>
      </c>
      <c r="W76">
        <v>790000</v>
      </c>
      <c r="X76">
        <v>0</v>
      </c>
      <c r="Y76">
        <v>0</v>
      </c>
      <c r="Z76">
        <v>0</v>
      </c>
      <c r="AA76">
        <v>0</v>
      </c>
      <c r="AB76" t="str">
        <v>TO LAUNCH</v>
      </c>
      <c r="AC76">
        <v>0</v>
      </c>
      <c r="AD76" t="str">
        <v>TBD</v>
      </c>
      <c r="AE76" t="str">
        <v>Sandra Viegas</v>
      </c>
      <c r="AF76" t="str">
        <v>Joaquim Vermelhudo</v>
      </c>
      <c r="AG76" t="str">
        <v>https://www.monte-rei.com/</v>
      </c>
      <c r="AH76"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76" t="str">
        <v>Golfe 18 buracos, Ténis, Ginásio, Health Center, Piscinas Exteriores, Spa e Concierge, Restaurantes</v>
      </c>
      <c r="AJ76"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76" t="str">
        <v>TBD</v>
      </c>
      <c r="AL76" t="str">
        <v>Monte Rei</v>
      </c>
    </row>
    <row r="77" spans="1:38" x14ac:dyDescent="0.3">
      <c r="A77" t="str">
        <v>MR - LT Miradouro Village</v>
      </c>
      <c r="B77" t="str">
        <v>Algarve</v>
      </c>
      <c r="C77" t="str">
        <v>8</v>
      </c>
      <c r="D77" t="str">
        <v>Vila Nova de Cacela, Algarve</v>
      </c>
      <c r="E77" t="str">
        <v>Plot</v>
      </c>
      <c r="F77">
        <v>373.55</v>
      </c>
      <c r="G77">
        <v>0</v>
      </c>
      <c r="H77" t="str">
        <v/>
      </c>
      <c r="I77" t="str">
        <v/>
      </c>
      <c r="J77">
        <v>0</v>
      </c>
      <c r="K77">
        <v>0</v>
      </c>
      <c r="L77">
        <v>0</v>
      </c>
      <c r="M77" s="79">
        <v>0</v>
      </c>
      <c r="N77">
        <v>0</v>
      </c>
      <c r="O77">
        <v>373.55</v>
      </c>
      <c r="P77">
        <v>0</v>
      </c>
      <c r="Q77" t="str">
        <v>?</v>
      </c>
      <c r="R77">
        <v>1000000</v>
      </c>
      <c r="S77">
        <v>1000000</v>
      </c>
      <c r="T77">
        <v>770000</v>
      </c>
      <c r="U77">
        <v>0</v>
      </c>
      <c r="V77">
        <v>0</v>
      </c>
      <c r="W77">
        <v>770000</v>
      </c>
      <c r="X77">
        <v>0</v>
      </c>
      <c r="Y77">
        <v>0</v>
      </c>
      <c r="Z77">
        <v>0</v>
      </c>
      <c r="AA77">
        <v>0</v>
      </c>
      <c r="AB77" t="str">
        <v>TO LAUNCH</v>
      </c>
      <c r="AC77">
        <v>0</v>
      </c>
      <c r="AD77" t="str">
        <v>TBD</v>
      </c>
      <c r="AE77" t="str">
        <v>Sandra Viegas</v>
      </c>
      <c r="AF77" t="str">
        <v>Joaquim Vermelhudo</v>
      </c>
      <c r="AG77" t="str">
        <v>https://www.monte-rei.com/</v>
      </c>
      <c r="AH77"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77" t="str">
        <v>Golfe 18 buracos, Ténis, Ginásio, Health Center, Piscinas Exteriores, Spa e Concierge, Restaurantes</v>
      </c>
      <c r="AJ77"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77" t="str">
        <v>TBD</v>
      </c>
      <c r="AL77" t="str">
        <v>Monte Rei</v>
      </c>
    </row>
    <row r="78" spans="1:38" x14ac:dyDescent="0.3">
      <c r="A78" t="str">
        <v>MR - LT Miradouro Village</v>
      </c>
      <c r="B78" t="str">
        <v>Algarve</v>
      </c>
      <c r="C78" t="str">
        <v>9</v>
      </c>
      <c r="D78" t="str">
        <v>Vila Nova de Cacela, Algarve</v>
      </c>
      <c r="E78" t="str">
        <v>Plot</v>
      </c>
      <c r="F78">
        <v>373.55</v>
      </c>
      <c r="G78">
        <v>0</v>
      </c>
      <c r="H78" t="str">
        <v/>
      </c>
      <c r="I78" t="str">
        <v/>
      </c>
      <c r="J78">
        <v>0</v>
      </c>
      <c r="K78">
        <v>0</v>
      </c>
      <c r="L78">
        <v>0</v>
      </c>
      <c r="M78" s="79">
        <v>0</v>
      </c>
      <c r="N78">
        <v>0</v>
      </c>
      <c r="O78">
        <v>373.55</v>
      </c>
      <c r="P78">
        <v>0</v>
      </c>
      <c r="Q78" t="str">
        <v>?</v>
      </c>
      <c r="R78">
        <v>1000000</v>
      </c>
      <c r="S78">
        <v>1000000</v>
      </c>
      <c r="T78">
        <v>780000</v>
      </c>
      <c r="U78">
        <v>0</v>
      </c>
      <c r="V78">
        <v>0</v>
      </c>
      <c r="W78">
        <v>780000</v>
      </c>
      <c r="X78">
        <v>0</v>
      </c>
      <c r="Y78">
        <v>0</v>
      </c>
      <c r="Z78">
        <v>0</v>
      </c>
      <c r="AA78">
        <v>0</v>
      </c>
      <c r="AB78" t="str">
        <v>TO LAUNCH</v>
      </c>
      <c r="AC78">
        <v>0</v>
      </c>
      <c r="AD78" t="str">
        <v>TBD</v>
      </c>
      <c r="AE78" t="str">
        <v>Sandra Viegas</v>
      </c>
      <c r="AF78" t="str">
        <v>Joaquim Vermelhudo</v>
      </c>
      <c r="AG78" t="str">
        <v>https://www.monte-rei.com/</v>
      </c>
      <c r="AH78"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78" t="str">
        <v>Golfe 18 buracos, Ténis, Ginásio, Health Center, Piscinas Exteriores, Spa e Concierge, Restaurantes</v>
      </c>
      <c r="AJ78"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78" t="str">
        <v>TBD</v>
      </c>
      <c r="AL78" t="str">
        <v>Monte Rei</v>
      </c>
    </row>
    <row r="79" spans="1:38" x14ac:dyDescent="0.3">
      <c r="A79" t="str">
        <v>MR - LT Miradouro Village</v>
      </c>
      <c r="B79" t="str">
        <v>Algarve</v>
      </c>
      <c r="C79" t="str">
        <v>10</v>
      </c>
      <c r="D79" t="str">
        <v>Vila Nova de Cacela, Algarve</v>
      </c>
      <c r="E79" t="str">
        <v>Plot</v>
      </c>
      <c r="F79">
        <v>373.55</v>
      </c>
      <c r="G79">
        <v>0</v>
      </c>
      <c r="H79" t="str">
        <v/>
      </c>
      <c r="I79" t="str">
        <v/>
      </c>
      <c r="J79">
        <v>0</v>
      </c>
      <c r="K79">
        <v>0</v>
      </c>
      <c r="L79">
        <v>0</v>
      </c>
      <c r="M79" s="79">
        <v>0</v>
      </c>
      <c r="N79">
        <v>0</v>
      </c>
      <c r="O79">
        <v>373.55</v>
      </c>
      <c r="P79">
        <v>0</v>
      </c>
      <c r="Q79" t="str">
        <v>?</v>
      </c>
      <c r="R79">
        <v>1000000</v>
      </c>
      <c r="S79">
        <v>1000000</v>
      </c>
      <c r="T79">
        <v>770000</v>
      </c>
      <c r="U79">
        <v>0</v>
      </c>
      <c r="V79">
        <v>0</v>
      </c>
      <c r="W79">
        <v>770000</v>
      </c>
      <c r="X79">
        <v>0</v>
      </c>
      <c r="Y79">
        <v>0</v>
      </c>
      <c r="Z79">
        <v>0</v>
      </c>
      <c r="AA79">
        <v>0</v>
      </c>
      <c r="AB79" t="str">
        <v>TO LAUNCH</v>
      </c>
      <c r="AC79">
        <v>0</v>
      </c>
      <c r="AD79" t="str">
        <v>TBD</v>
      </c>
      <c r="AE79" t="str">
        <v>Sandra Viegas</v>
      </c>
      <c r="AF79" t="str">
        <v>Joaquim Vermelhudo</v>
      </c>
      <c r="AG79" t="str">
        <v>https://www.monte-rei.com/</v>
      </c>
      <c r="AH79"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79" t="str">
        <v>Golfe 18 buracos, Ténis, Ginásio, Health Center, Piscinas Exteriores, Spa e Concierge, Restaurantes</v>
      </c>
      <c r="AJ79"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79" t="str">
        <v>TBD</v>
      </c>
      <c r="AL79" t="str">
        <v>Monte Rei</v>
      </c>
    </row>
    <row r="80" spans="1:38" x14ac:dyDescent="0.3">
      <c r="A80" t="str">
        <v>MR - LT Miradouro Village</v>
      </c>
      <c r="B80" t="str">
        <v>Algarve</v>
      </c>
      <c r="C80" t="str">
        <v>11</v>
      </c>
      <c r="D80" t="str">
        <v>Vila Nova de Cacela, Algarve</v>
      </c>
      <c r="E80" t="str">
        <v>Plot</v>
      </c>
      <c r="F80">
        <v>373.55</v>
      </c>
      <c r="G80">
        <v>0</v>
      </c>
      <c r="H80" t="str">
        <v/>
      </c>
      <c r="I80" t="str">
        <v/>
      </c>
      <c r="J80">
        <v>0</v>
      </c>
      <c r="K80">
        <v>0</v>
      </c>
      <c r="L80">
        <v>0</v>
      </c>
      <c r="M80" s="79">
        <v>0</v>
      </c>
      <c r="N80">
        <v>0</v>
      </c>
      <c r="O80">
        <v>373.55</v>
      </c>
      <c r="P80">
        <v>0</v>
      </c>
      <c r="Q80" t="str">
        <v>?</v>
      </c>
      <c r="R80">
        <v>1000000</v>
      </c>
      <c r="S80">
        <v>1000000</v>
      </c>
      <c r="T80">
        <v>710000</v>
      </c>
      <c r="U80">
        <v>0</v>
      </c>
      <c r="V80">
        <v>0</v>
      </c>
      <c r="W80">
        <v>710000</v>
      </c>
      <c r="X80">
        <v>0</v>
      </c>
      <c r="Y80">
        <v>0</v>
      </c>
      <c r="Z80">
        <v>0</v>
      </c>
      <c r="AA80">
        <v>0</v>
      </c>
      <c r="AB80" t="str">
        <v>TO LAUNCH</v>
      </c>
      <c r="AC80">
        <v>0</v>
      </c>
      <c r="AD80" t="str">
        <v>TBD</v>
      </c>
      <c r="AE80" t="str">
        <v>Sandra Viegas</v>
      </c>
      <c r="AF80" t="str">
        <v>Joaquim Vermelhudo</v>
      </c>
      <c r="AG80" t="str">
        <v>https://www.monte-rei.com/</v>
      </c>
      <c r="AH80"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80" t="str">
        <v>Golfe 18 buracos, Ténis, Ginásio, Health Center, Piscinas Exteriores, Spa e Concierge, Restaurantes</v>
      </c>
      <c r="AJ80"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80" t="str">
        <v>TBD</v>
      </c>
      <c r="AL80" t="str">
        <v>Monte Rei</v>
      </c>
    </row>
    <row r="81" spans="1:38" x14ac:dyDescent="0.3">
      <c r="A81" t="str">
        <v>MR - LT Miradouro Village</v>
      </c>
      <c r="B81" t="str">
        <v>Algarve</v>
      </c>
      <c r="C81" t="str">
        <v>16</v>
      </c>
      <c r="D81" t="str">
        <v>Vila Nova de Cacela, Algarve</v>
      </c>
      <c r="E81" t="str">
        <v>Plot</v>
      </c>
      <c r="F81">
        <v>396.9</v>
      </c>
      <c r="G81">
        <v>0</v>
      </c>
      <c r="H81" t="str">
        <v/>
      </c>
      <c r="I81" t="str">
        <v/>
      </c>
      <c r="J81">
        <v>0</v>
      </c>
      <c r="K81">
        <v>0</v>
      </c>
      <c r="L81">
        <v>0</v>
      </c>
      <c r="M81" s="79">
        <v>0</v>
      </c>
      <c r="N81">
        <v>0</v>
      </c>
      <c r="O81">
        <v>396.9</v>
      </c>
      <c r="P81">
        <v>0</v>
      </c>
      <c r="Q81" t="str">
        <v>?</v>
      </c>
      <c r="R81">
        <v>1000000</v>
      </c>
      <c r="S81">
        <v>1000000</v>
      </c>
      <c r="T81">
        <v>820000</v>
      </c>
      <c r="U81">
        <v>0</v>
      </c>
      <c r="V81">
        <v>0</v>
      </c>
      <c r="W81">
        <v>820000</v>
      </c>
      <c r="X81">
        <v>0</v>
      </c>
      <c r="Y81">
        <v>0</v>
      </c>
      <c r="Z81">
        <v>0</v>
      </c>
      <c r="AA81">
        <v>0</v>
      </c>
      <c r="AB81" t="str">
        <v>TO LAUNCH</v>
      </c>
      <c r="AC81">
        <v>0</v>
      </c>
      <c r="AD81" t="str">
        <v>TBD</v>
      </c>
      <c r="AE81" t="str">
        <v>Sandra Viegas</v>
      </c>
      <c r="AF81" t="str">
        <v>Joaquim Vermelhudo</v>
      </c>
      <c r="AG81" t="str">
        <v>https://www.monte-rei.com/</v>
      </c>
      <c r="AH81"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81" t="str">
        <v>Golfe 18 buracos, Ténis, Ginásio, Health Center, Piscinas Exteriores, Spa e Concierge, Restaurantes</v>
      </c>
      <c r="AJ81"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81" t="str">
        <v>TBD</v>
      </c>
      <c r="AL81" t="str">
        <v>Monte Rei</v>
      </c>
    </row>
    <row r="82" spans="1:38" x14ac:dyDescent="0.3">
      <c r="A82" t="str">
        <v>MR - LT Miradouro Village</v>
      </c>
      <c r="B82" t="str">
        <v>Algarve</v>
      </c>
      <c r="C82" t="str">
        <v>17</v>
      </c>
      <c r="D82" t="str">
        <v>Vila Nova de Cacela, Algarve</v>
      </c>
      <c r="E82" t="str">
        <v>Plot</v>
      </c>
      <c r="F82">
        <v>396.9</v>
      </c>
      <c r="G82">
        <v>0</v>
      </c>
      <c r="H82" t="str">
        <v/>
      </c>
      <c r="I82" t="str">
        <v/>
      </c>
      <c r="J82">
        <v>0</v>
      </c>
      <c r="K82">
        <v>0</v>
      </c>
      <c r="L82">
        <v>0</v>
      </c>
      <c r="M82" s="79">
        <v>0</v>
      </c>
      <c r="N82">
        <v>0</v>
      </c>
      <c r="O82">
        <v>396.9</v>
      </c>
      <c r="P82">
        <v>0</v>
      </c>
      <c r="Q82" t="str">
        <v>?</v>
      </c>
      <c r="R82">
        <v>1000000</v>
      </c>
      <c r="S82">
        <v>1000000</v>
      </c>
      <c r="T82">
        <v>840000</v>
      </c>
      <c r="U82">
        <v>0</v>
      </c>
      <c r="V82">
        <v>0</v>
      </c>
      <c r="W82">
        <v>840000</v>
      </c>
      <c r="X82">
        <v>0</v>
      </c>
      <c r="Y82">
        <v>0</v>
      </c>
      <c r="Z82">
        <v>0</v>
      </c>
      <c r="AA82">
        <v>0</v>
      </c>
      <c r="AB82" t="str">
        <v>TO LAUNCH</v>
      </c>
      <c r="AC82">
        <v>0</v>
      </c>
      <c r="AD82" t="str">
        <v>TBD</v>
      </c>
      <c r="AE82" t="str">
        <v>Sandra Viegas</v>
      </c>
      <c r="AF82" t="str">
        <v>Joaquim Vermelhudo</v>
      </c>
      <c r="AG82" t="str">
        <v>https://www.monte-rei.com/</v>
      </c>
      <c r="AH82"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82" t="str">
        <v>Golfe 18 buracos, Ténis, Ginásio, Health Center, Piscinas Exteriores, Spa e Concierge, Restaurantes</v>
      </c>
      <c r="AJ82"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82" t="str">
        <v>TBD</v>
      </c>
      <c r="AL82" t="str">
        <v>Monte Rei</v>
      </c>
    </row>
    <row r="83" spans="1:38" x14ac:dyDescent="0.3">
      <c r="A83" t="str">
        <v>MR - LT Miradouro Village</v>
      </c>
      <c r="B83" t="str">
        <v>Algarve</v>
      </c>
      <c r="C83" t="str">
        <v>22</v>
      </c>
      <c r="D83" t="str">
        <v>Vila Nova de Cacela, Algarve</v>
      </c>
      <c r="E83" t="str">
        <v>Plot</v>
      </c>
      <c r="F83">
        <v>396.9</v>
      </c>
      <c r="G83">
        <v>0</v>
      </c>
      <c r="H83" t="str">
        <v/>
      </c>
      <c r="I83" t="str">
        <v/>
      </c>
      <c r="J83">
        <v>0</v>
      </c>
      <c r="K83">
        <v>0</v>
      </c>
      <c r="L83">
        <v>0</v>
      </c>
      <c r="M83" s="79">
        <v>0</v>
      </c>
      <c r="N83">
        <v>0</v>
      </c>
      <c r="O83">
        <v>396.9</v>
      </c>
      <c r="P83">
        <v>0</v>
      </c>
      <c r="Q83" t="str">
        <v>?</v>
      </c>
      <c r="R83">
        <v>1000000</v>
      </c>
      <c r="S83">
        <v>1000000</v>
      </c>
      <c r="T83">
        <v>860000</v>
      </c>
      <c r="U83">
        <v>0</v>
      </c>
      <c r="V83">
        <v>0</v>
      </c>
      <c r="W83">
        <v>860000</v>
      </c>
      <c r="X83">
        <v>0</v>
      </c>
      <c r="Y83">
        <v>0</v>
      </c>
      <c r="Z83">
        <v>0</v>
      </c>
      <c r="AA83">
        <v>0</v>
      </c>
      <c r="AB83" t="str">
        <v>TO LAUNCH</v>
      </c>
      <c r="AC83">
        <v>0</v>
      </c>
      <c r="AD83" t="str">
        <v>TBD</v>
      </c>
      <c r="AE83" t="str">
        <v>Sandra Viegas</v>
      </c>
      <c r="AF83" t="str">
        <v>Joaquim Vermelhudo</v>
      </c>
      <c r="AG83" t="str">
        <v>https://www.monte-rei.com/</v>
      </c>
      <c r="AH83"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83" t="str">
        <v>Golfe 18 buracos, Ténis, Ginásio, Health Center, Piscinas Exteriores, Spa e Concierge, Restaurantes</v>
      </c>
      <c r="AJ83"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83" t="str">
        <v>TBD</v>
      </c>
      <c r="AL83" t="str">
        <v>Monte Rei</v>
      </c>
    </row>
    <row r="84" spans="1:38" x14ac:dyDescent="0.3">
      <c r="A84" t="str">
        <v>MR - LT Miradouro Village</v>
      </c>
      <c r="B84" t="str">
        <v>Algarve</v>
      </c>
      <c r="C84" t="str">
        <v>23</v>
      </c>
      <c r="D84" t="str">
        <v>Vila Nova de Cacela, Algarve</v>
      </c>
      <c r="E84" t="str">
        <v>Plot</v>
      </c>
      <c r="F84">
        <v>396.9</v>
      </c>
      <c r="G84">
        <v>0</v>
      </c>
      <c r="H84" t="str">
        <v/>
      </c>
      <c r="I84" t="str">
        <v/>
      </c>
      <c r="J84">
        <v>0</v>
      </c>
      <c r="K84">
        <v>0</v>
      </c>
      <c r="L84">
        <v>0</v>
      </c>
      <c r="M84" s="79">
        <v>0</v>
      </c>
      <c r="N84">
        <v>0</v>
      </c>
      <c r="O84">
        <v>396.9</v>
      </c>
      <c r="P84">
        <v>0</v>
      </c>
      <c r="Q84" t="str">
        <v>?</v>
      </c>
      <c r="R84">
        <v>1080000</v>
      </c>
      <c r="S84">
        <v>1080000</v>
      </c>
      <c r="T84">
        <v>900000</v>
      </c>
      <c r="U84">
        <v>0</v>
      </c>
      <c r="V84">
        <v>0</v>
      </c>
      <c r="W84">
        <v>900000</v>
      </c>
      <c r="X84">
        <v>0</v>
      </c>
      <c r="Y84">
        <v>0</v>
      </c>
      <c r="Z84">
        <v>0</v>
      </c>
      <c r="AA84">
        <v>0</v>
      </c>
      <c r="AB84" t="str">
        <v>TO LAUNCH</v>
      </c>
      <c r="AC84">
        <v>0</v>
      </c>
      <c r="AD84" t="str">
        <v>TBD</v>
      </c>
      <c r="AE84" t="str">
        <v>Sandra Viegas</v>
      </c>
      <c r="AF84" t="str">
        <v>Joaquim Vermelhudo</v>
      </c>
      <c r="AG84" t="str">
        <v>https://www.monte-rei.com/</v>
      </c>
      <c r="AH84"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84" t="str">
        <v>Golfe 18 buracos, Ténis, Ginásio, Health Center, Piscinas Exteriores, Spa e Concierge, Restaurantes</v>
      </c>
      <c r="AJ84"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84" t="str">
        <v>TBD</v>
      </c>
      <c r="AL84" t="str">
        <v>Monte Rei</v>
      </c>
    </row>
    <row r="85" spans="1:38" x14ac:dyDescent="0.3">
      <c r="A85" t="str">
        <v>MR - LT Miradouro Village</v>
      </c>
      <c r="B85" t="str">
        <v>Algarve</v>
      </c>
      <c r="C85" t="str">
        <v>24</v>
      </c>
      <c r="D85" t="str">
        <v>Vila Nova de Cacela, Algarve</v>
      </c>
      <c r="E85" t="str">
        <v>Plot</v>
      </c>
      <c r="F85">
        <v>396.9</v>
      </c>
      <c r="G85">
        <v>0</v>
      </c>
      <c r="H85" t="str">
        <v/>
      </c>
      <c r="I85" t="str">
        <v/>
      </c>
      <c r="J85">
        <v>0</v>
      </c>
      <c r="K85">
        <v>0</v>
      </c>
      <c r="L85">
        <v>0</v>
      </c>
      <c r="M85" s="79">
        <v>0</v>
      </c>
      <c r="N85">
        <v>0</v>
      </c>
      <c r="O85">
        <v>396.9</v>
      </c>
      <c r="P85">
        <v>0</v>
      </c>
      <c r="Q85" t="str">
        <v>?</v>
      </c>
      <c r="R85">
        <v>1080000</v>
      </c>
      <c r="S85">
        <v>1080000</v>
      </c>
      <c r="T85">
        <v>910000</v>
      </c>
      <c r="U85">
        <v>0</v>
      </c>
      <c r="V85">
        <v>0</v>
      </c>
      <c r="W85">
        <v>910000</v>
      </c>
      <c r="X85">
        <v>0</v>
      </c>
      <c r="Y85">
        <v>0</v>
      </c>
      <c r="Z85">
        <v>0</v>
      </c>
      <c r="AA85">
        <v>0</v>
      </c>
      <c r="AB85" t="str">
        <v>TO LAUNCH</v>
      </c>
      <c r="AC85">
        <v>0</v>
      </c>
      <c r="AD85" t="str">
        <v>TBD</v>
      </c>
      <c r="AE85" t="str">
        <v>Sandra Viegas</v>
      </c>
      <c r="AF85" t="str">
        <v>Joaquim Vermelhudo</v>
      </c>
      <c r="AG85" t="str">
        <v>https://www.monte-rei.com/</v>
      </c>
      <c r="AH85"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85" t="str">
        <v>Golfe 18 buracos, Ténis, Ginásio, Health Center, Piscinas Exteriores, Spa e Concierge, Restaurantes</v>
      </c>
      <c r="AJ85"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85" t="str">
        <v>TBD</v>
      </c>
      <c r="AL85" t="str">
        <v>Monte Rei</v>
      </c>
    </row>
    <row r="86" spans="1:38" x14ac:dyDescent="0.3">
      <c r="A86" t="str">
        <v>MR - LT Miradouro Village</v>
      </c>
      <c r="B86" t="str">
        <v>Algarve</v>
      </c>
      <c r="C86" t="str">
        <v>25</v>
      </c>
      <c r="D86" t="str">
        <v>Vila Nova de Cacela, Algarve</v>
      </c>
      <c r="E86" t="str">
        <v>Plot</v>
      </c>
      <c r="F86">
        <v>396.9</v>
      </c>
      <c r="G86">
        <v>0</v>
      </c>
      <c r="H86" t="str">
        <v/>
      </c>
      <c r="I86" t="str">
        <v/>
      </c>
      <c r="J86">
        <v>0</v>
      </c>
      <c r="K86">
        <v>0</v>
      </c>
      <c r="L86">
        <v>0</v>
      </c>
      <c r="M86" s="79">
        <v>0</v>
      </c>
      <c r="N86">
        <v>0</v>
      </c>
      <c r="O86">
        <v>396.9</v>
      </c>
      <c r="P86">
        <v>0</v>
      </c>
      <c r="Q86" t="str">
        <v>?</v>
      </c>
      <c r="R86">
        <v>1080000</v>
      </c>
      <c r="S86">
        <v>1080000</v>
      </c>
      <c r="T86">
        <v>900000</v>
      </c>
      <c r="U86">
        <v>0</v>
      </c>
      <c r="V86">
        <v>0</v>
      </c>
      <c r="W86">
        <v>900000</v>
      </c>
      <c r="X86">
        <v>0</v>
      </c>
      <c r="Y86">
        <v>0</v>
      </c>
      <c r="Z86">
        <v>0</v>
      </c>
      <c r="AA86">
        <v>0</v>
      </c>
      <c r="AB86" t="str">
        <v>TO LAUNCH</v>
      </c>
      <c r="AC86">
        <v>0</v>
      </c>
      <c r="AD86" t="str">
        <v>TBD</v>
      </c>
      <c r="AE86" t="str">
        <v>Sandra Viegas</v>
      </c>
      <c r="AF86" t="str">
        <v>Joaquim Vermelhudo</v>
      </c>
      <c r="AG86" t="str">
        <v>https://www.monte-rei.com/</v>
      </c>
      <c r="AH86"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86" t="str">
        <v>Golfe 18 buracos, Ténis, Ginásio, Health Center, Piscinas Exteriores, Spa e Concierge, Restaurantes</v>
      </c>
      <c r="AJ86"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86" t="str">
        <v>TBD</v>
      </c>
      <c r="AL86" t="str">
        <v>Monte Rei</v>
      </c>
    </row>
    <row r="87" spans="1:38" x14ac:dyDescent="0.3">
      <c r="A87" t="str">
        <v>MR - LT Miradouro Village</v>
      </c>
      <c r="B87" t="str">
        <v>Algarve</v>
      </c>
      <c r="C87" t="str">
        <v>26</v>
      </c>
      <c r="D87" t="str">
        <v>Vila Nova de Cacela, Algarve</v>
      </c>
      <c r="E87" t="str">
        <v>Plot</v>
      </c>
      <c r="F87">
        <v>396.9</v>
      </c>
      <c r="G87">
        <v>0</v>
      </c>
      <c r="H87" t="str">
        <v/>
      </c>
      <c r="I87" t="str">
        <v/>
      </c>
      <c r="J87">
        <v>0</v>
      </c>
      <c r="K87">
        <v>0</v>
      </c>
      <c r="L87">
        <v>0</v>
      </c>
      <c r="M87" s="79">
        <v>0</v>
      </c>
      <c r="N87">
        <v>0</v>
      </c>
      <c r="O87">
        <v>396.9</v>
      </c>
      <c r="P87">
        <v>0</v>
      </c>
      <c r="Q87" t="str">
        <v>?</v>
      </c>
      <c r="R87">
        <v>1080000</v>
      </c>
      <c r="S87">
        <v>1080000</v>
      </c>
      <c r="T87">
        <v>870000</v>
      </c>
      <c r="U87">
        <v>0</v>
      </c>
      <c r="V87">
        <v>0</v>
      </c>
      <c r="W87">
        <v>870000</v>
      </c>
      <c r="X87">
        <v>0</v>
      </c>
      <c r="Y87">
        <v>0</v>
      </c>
      <c r="Z87">
        <v>0</v>
      </c>
      <c r="AA87">
        <v>0</v>
      </c>
      <c r="AB87" t="str">
        <v>TO LAUNCH</v>
      </c>
      <c r="AC87">
        <v>0</v>
      </c>
      <c r="AD87" t="str">
        <v>TBD</v>
      </c>
      <c r="AE87" t="str">
        <v>Sandra Viegas</v>
      </c>
      <c r="AF87" t="str">
        <v>Joaquim Vermelhudo</v>
      </c>
      <c r="AG87" t="str">
        <v>https://www.monte-rei.com/</v>
      </c>
      <c r="AH87"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87" t="str">
        <v>Golfe 18 buracos, Ténis, Ginásio, Health Center, Piscinas Exteriores, Spa e Concierge, Restaurantes</v>
      </c>
      <c r="AJ87"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87" t="str">
        <v>TBD</v>
      </c>
      <c r="AL87" t="str">
        <v>Monte Rei</v>
      </c>
    </row>
    <row r="88" spans="1:38" x14ac:dyDescent="0.3">
      <c r="A88" t="str">
        <v>MR - LT Miradouro Village</v>
      </c>
      <c r="B88" t="str">
        <v>Algarve</v>
      </c>
      <c r="C88" t="str">
        <v>27</v>
      </c>
      <c r="D88" t="str">
        <v>Vila Nova de Cacela, Algarve</v>
      </c>
      <c r="E88" t="str">
        <v>Plot</v>
      </c>
      <c r="F88">
        <v>396.9</v>
      </c>
      <c r="G88">
        <v>0</v>
      </c>
      <c r="H88" t="str">
        <v/>
      </c>
      <c r="I88" t="str">
        <v/>
      </c>
      <c r="J88">
        <v>0</v>
      </c>
      <c r="K88">
        <v>0</v>
      </c>
      <c r="L88">
        <v>0</v>
      </c>
      <c r="M88" s="79">
        <v>0</v>
      </c>
      <c r="N88">
        <v>0</v>
      </c>
      <c r="O88">
        <v>396.9</v>
      </c>
      <c r="P88">
        <v>0</v>
      </c>
      <c r="Q88" t="str">
        <v>?</v>
      </c>
      <c r="R88">
        <v>1080000</v>
      </c>
      <c r="S88">
        <v>1080000</v>
      </c>
      <c r="T88">
        <v>870000</v>
      </c>
      <c r="U88">
        <v>0</v>
      </c>
      <c r="V88">
        <v>0</v>
      </c>
      <c r="W88">
        <v>870000</v>
      </c>
      <c r="X88">
        <v>0</v>
      </c>
      <c r="Y88">
        <v>0</v>
      </c>
      <c r="Z88">
        <v>0</v>
      </c>
      <c r="AA88">
        <v>0</v>
      </c>
      <c r="AB88" t="str">
        <v>TO LAUNCH</v>
      </c>
      <c r="AC88">
        <v>0</v>
      </c>
      <c r="AD88" t="str">
        <v>TBD</v>
      </c>
      <c r="AE88" t="str">
        <v>Sandra Viegas</v>
      </c>
      <c r="AF88" t="str">
        <v>Joaquim Vermelhudo</v>
      </c>
      <c r="AG88" t="str">
        <v>https://www.monte-rei.com/</v>
      </c>
      <c r="AH88"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88" t="str">
        <v>Golfe 18 buracos, Ténis, Ginásio, Health Center, Piscinas Exteriores, Spa e Concierge, Restaurantes</v>
      </c>
      <c r="AJ88"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88" t="str">
        <v>TBD</v>
      </c>
      <c r="AL88" t="str">
        <v>Monte Rei</v>
      </c>
    </row>
    <row r="89" spans="1:38" x14ac:dyDescent="0.3">
      <c r="A89" t="str">
        <v>MR - LT Miradouro Village</v>
      </c>
      <c r="B89" t="str">
        <v>Algarve</v>
      </c>
      <c r="C89" t="str">
        <v>30</v>
      </c>
      <c r="D89" t="str">
        <v>Vila Nova de Cacela, Algarve</v>
      </c>
      <c r="E89" t="str">
        <v>Plot</v>
      </c>
      <c r="F89">
        <v>373.55</v>
      </c>
      <c r="G89">
        <v>0</v>
      </c>
      <c r="H89" t="str">
        <v/>
      </c>
      <c r="I89" t="str">
        <v/>
      </c>
      <c r="J89">
        <v>0</v>
      </c>
      <c r="K89">
        <v>0</v>
      </c>
      <c r="L89">
        <v>0</v>
      </c>
      <c r="M89" s="79">
        <v>0</v>
      </c>
      <c r="N89">
        <v>0</v>
      </c>
      <c r="O89">
        <v>373.55</v>
      </c>
      <c r="P89">
        <v>0</v>
      </c>
      <c r="Q89" t="str">
        <v>?</v>
      </c>
      <c r="R89">
        <v>1080000</v>
      </c>
      <c r="S89">
        <v>1080000</v>
      </c>
      <c r="T89">
        <v>810000</v>
      </c>
      <c r="U89">
        <v>0</v>
      </c>
      <c r="V89">
        <v>0</v>
      </c>
      <c r="W89">
        <v>810000</v>
      </c>
      <c r="X89">
        <v>0</v>
      </c>
      <c r="Y89">
        <v>0</v>
      </c>
      <c r="Z89">
        <v>0</v>
      </c>
      <c r="AA89">
        <v>0</v>
      </c>
      <c r="AB89" t="str">
        <v>TO LAUNCH</v>
      </c>
      <c r="AC89">
        <v>0</v>
      </c>
      <c r="AD89" t="str">
        <v>TBD</v>
      </c>
      <c r="AE89" t="str">
        <v>Sandra Viegas</v>
      </c>
      <c r="AF89" t="str">
        <v>Joaquim Vermelhudo</v>
      </c>
      <c r="AG89" t="str">
        <v>https://www.monte-rei.com/</v>
      </c>
      <c r="AH89"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89" t="str">
        <v>Golfe 18 buracos, Ténis, Ginásio, Health Center, Piscinas Exteriores, Spa e Concierge, Restaurantes</v>
      </c>
      <c r="AJ89"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89" t="str">
        <v>TBD</v>
      </c>
      <c r="AL89" t="str">
        <v>Monte Rei</v>
      </c>
    </row>
    <row r="90" spans="1:38" x14ac:dyDescent="0.3">
      <c r="A90" t="str">
        <v>MR - LT Miradouro Village</v>
      </c>
      <c r="B90" t="str">
        <v>Algarve</v>
      </c>
      <c r="C90" t="str">
        <v>31</v>
      </c>
      <c r="D90" t="str">
        <v>Vila Nova de Cacela, Algarve</v>
      </c>
      <c r="E90" t="str">
        <v>Plot</v>
      </c>
      <c r="F90">
        <v>373.55</v>
      </c>
      <c r="G90">
        <v>0</v>
      </c>
      <c r="H90" t="str">
        <v/>
      </c>
      <c r="I90" t="str">
        <v/>
      </c>
      <c r="J90">
        <v>0</v>
      </c>
      <c r="K90">
        <v>0</v>
      </c>
      <c r="L90">
        <v>0</v>
      </c>
      <c r="M90" s="79">
        <v>0</v>
      </c>
      <c r="N90">
        <v>0</v>
      </c>
      <c r="O90">
        <v>373.55</v>
      </c>
      <c r="P90">
        <v>0</v>
      </c>
      <c r="Q90" t="str">
        <v>?</v>
      </c>
      <c r="R90">
        <v>1140000</v>
      </c>
      <c r="S90">
        <v>1140000</v>
      </c>
      <c r="T90">
        <v>840000</v>
      </c>
      <c r="U90">
        <v>0</v>
      </c>
      <c r="V90">
        <v>0</v>
      </c>
      <c r="W90">
        <v>840000</v>
      </c>
      <c r="X90">
        <v>0</v>
      </c>
      <c r="Y90">
        <v>0</v>
      </c>
      <c r="Z90">
        <v>0</v>
      </c>
      <c r="AA90">
        <v>0</v>
      </c>
      <c r="AB90" t="str">
        <v>TO LAUNCH</v>
      </c>
      <c r="AC90">
        <v>0</v>
      </c>
      <c r="AD90" t="str">
        <v>TBD</v>
      </c>
      <c r="AE90" t="str">
        <v>Sandra Viegas</v>
      </c>
      <c r="AF90" t="str">
        <v>Joaquim Vermelhudo</v>
      </c>
      <c r="AG90" t="str">
        <v>https://www.monte-rei.com/</v>
      </c>
      <c r="AH90"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90" t="str">
        <v>Golfe 18 buracos, Ténis, Ginásio, Health Center, Piscinas Exteriores, Spa e Concierge, Restaurantes</v>
      </c>
      <c r="AJ90"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90" t="str">
        <v>TBD</v>
      </c>
      <c r="AL90" t="str">
        <v>Monte Rei</v>
      </c>
    </row>
    <row r="91" spans="1:38" x14ac:dyDescent="0.3">
      <c r="A91" t="str">
        <v>MR - LT Miradouro Village</v>
      </c>
      <c r="B91" t="str">
        <v>Algarve</v>
      </c>
      <c r="C91" t="str">
        <v>45</v>
      </c>
      <c r="D91" t="str">
        <v>Vila Nova de Cacela, Algarve</v>
      </c>
      <c r="E91" t="str">
        <v>Plot</v>
      </c>
      <c r="F91">
        <v>396.9</v>
      </c>
      <c r="G91">
        <v>0</v>
      </c>
      <c r="H91" t="str">
        <v/>
      </c>
      <c r="I91" t="str">
        <v/>
      </c>
      <c r="J91">
        <v>0</v>
      </c>
      <c r="K91">
        <v>0</v>
      </c>
      <c r="L91">
        <v>0</v>
      </c>
      <c r="M91" s="79">
        <v>0</v>
      </c>
      <c r="N91">
        <v>0</v>
      </c>
      <c r="O91">
        <v>396.9</v>
      </c>
      <c r="P91">
        <v>0</v>
      </c>
      <c r="Q91" t="str">
        <v>?</v>
      </c>
      <c r="R91">
        <v>1140000</v>
      </c>
      <c r="S91">
        <v>1140000</v>
      </c>
      <c r="T91">
        <v>850000</v>
      </c>
      <c r="U91">
        <v>0</v>
      </c>
      <c r="V91">
        <v>0</v>
      </c>
      <c r="W91">
        <v>850000</v>
      </c>
      <c r="X91">
        <v>0</v>
      </c>
      <c r="Y91">
        <v>0</v>
      </c>
      <c r="Z91">
        <v>0</v>
      </c>
      <c r="AA91">
        <v>0</v>
      </c>
      <c r="AB91" t="str">
        <v>TO LAUNCH</v>
      </c>
      <c r="AC91">
        <v>0</v>
      </c>
      <c r="AD91" t="str">
        <v>TBD</v>
      </c>
      <c r="AE91" t="str">
        <v>Sandra Viegas</v>
      </c>
      <c r="AF91" t="str">
        <v>Joaquim Vermelhudo</v>
      </c>
      <c r="AG91" t="str">
        <v>https://www.monte-rei.com/</v>
      </c>
      <c r="AH91"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91" t="str">
        <v>Golfe 18 buracos, Ténis, Ginásio, Health Center, Piscinas Exteriores, Spa e Concierge, Restaurantes</v>
      </c>
      <c r="AJ91"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91" t="str">
        <v>TBD</v>
      </c>
      <c r="AL91" t="str">
        <v>Monte Rei</v>
      </c>
    </row>
    <row r="92" spans="1:38" x14ac:dyDescent="0.3">
      <c r="A92" t="str">
        <v>MR - LT Miradouro Village</v>
      </c>
      <c r="B92" t="str">
        <v>Algarve</v>
      </c>
      <c r="C92" t="str">
        <v>48</v>
      </c>
      <c r="D92" t="str">
        <v>Vila Nova de Cacela, Algarve</v>
      </c>
      <c r="E92" t="str">
        <v>Plot</v>
      </c>
      <c r="F92">
        <v>396.9</v>
      </c>
      <c r="G92">
        <v>0</v>
      </c>
      <c r="H92" t="str">
        <v/>
      </c>
      <c r="I92" t="str">
        <v/>
      </c>
      <c r="J92">
        <v>0</v>
      </c>
      <c r="K92">
        <v>0</v>
      </c>
      <c r="L92">
        <v>0</v>
      </c>
      <c r="M92" s="79">
        <v>0</v>
      </c>
      <c r="N92">
        <v>0</v>
      </c>
      <c r="O92">
        <v>396.9</v>
      </c>
      <c r="P92">
        <v>0</v>
      </c>
      <c r="Q92" t="str">
        <v>?</v>
      </c>
      <c r="R92">
        <v>1140000</v>
      </c>
      <c r="S92">
        <v>1140000</v>
      </c>
      <c r="T92">
        <v>850000</v>
      </c>
      <c r="U92">
        <v>0</v>
      </c>
      <c r="V92">
        <v>0</v>
      </c>
      <c r="W92">
        <v>850000</v>
      </c>
      <c r="X92">
        <v>0</v>
      </c>
      <c r="Y92">
        <v>0</v>
      </c>
      <c r="Z92">
        <v>0</v>
      </c>
      <c r="AA92">
        <v>0</v>
      </c>
      <c r="AB92" t="str">
        <v>TO LAUNCH</v>
      </c>
      <c r="AC92">
        <v>0</v>
      </c>
      <c r="AD92" t="str">
        <v>TBD</v>
      </c>
      <c r="AE92" t="str">
        <v>Sandra Viegas</v>
      </c>
      <c r="AF92" t="str">
        <v>Joaquim Vermelhudo</v>
      </c>
      <c r="AG92" t="str">
        <v>https://www.monte-rei.com/</v>
      </c>
      <c r="AH92"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92" t="str">
        <v>Golfe 18 buracos, Ténis, Ginásio, Health Center, Piscinas Exteriores, Spa e Concierge, Restaurantes</v>
      </c>
      <c r="AJ92"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92" t="str">
        <v>TBD</v>
      </c>
      <c r="AL92" t="str">
        <v>Monte Rei</v>
      </c>
    </row>
    <row r="93" spans="1:38" x14ac:dyDescent="0.3">
      <c r="A93" t="str">
        <v>MR - LT Miradouro Village</v>
      </c>
      <c r="B93" t="str">
        <v>Algarve</v>
      </c>
      <c r="C93" t="str">
        <v>52</v>
      </c>
      <c r="D93" t="str">
        <v>Vila Nova de Cacela, Algarve</v>
      </c>
      <c r="E93" t="str">
        <v>Plot</v>
      </c>
      <c r="F93">
        <v>396.9</v>
      </c>
      <c r="G93">
        <v>0</v>
      </c>
      <c r="H93" t="str">
        <v/>
      </c>
      <c r="I93" t="str">
        <v/>
      </c>
      <c r="J93">
        <v>0</v>
      </c>
      <c r="K93">
        <v>0</v>
      </c>
      <c r="L93">
        <v>0</v>
      </c>
      <c r="M93" s="79">
        <v>0</v>
      </c>
      <c r="N93">
        <v>0</v>
      </c>
      <c r="O93">
        <v>396.9</v>
      </c>
      <c r="P93">
        <v>0</v>
      </c>
      <c r="Q93" t="str">
        <v>?</v>
      </c>
      <c r="R93">
        <v>1140000</v>
      </c>
      <c r="S93">
        <v>1140000</v>
      </c>
      <c r="T93">
        <v>930000</v>
      </c>
      <c r="U93">
        <v>0</v>
      </c>
      <c r="V93">
        <v>0</v>
      </c>
      <c r="W93">
        <v>930000</v>
      </c>
      <c r="X93">
        <v>0</v>
      </c>
      <c r="Y93">
        <v>0</v>
      </c>
      <c r="Z93">
        <v>0</v>
      </c>
      <c r="AA93">
        <v>0</v>
      </c>
      <c r="AB93" t="str">
        <v>TO LAUNCH</v>
      </c>
      <c r="AC93">
        <v>0</v>
      </c>
      <c r="AD93" t="str">
        <v>TBD</v>
      </c>
      <c r="AE93" t="str">
        <v>Sandra Viegas</v>
      </c>
      <c r="AF93" t="str">
        <v>Joaquim Vermelhudo</v>
      </c>
      <c r="AG93" t="str">
        <v>https://www.monte-rei.com/</v>
      </c>
      <c r="AH93"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93" t="str">
        <v>Golfe 18 buracos, Ténis, Ginásio, Health Center, Piscinas Exteriores, Spa e Concierge, Restaurantes</v>
      </c>
      <c r="AJ93"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93" t="str">
        <v>TBD</v>
      </c>
      <c r="AL93" t="str">
        <v>Monte Rei</v>
      </c>
    </row>
    <row r="94" spans="1:38" x14ac:dyDescent="0.3">
      <c r="A94" t="str">
        <v>MR - LT Miradouro Village</v>
      </c>
      <c r="B94" t="str">
        <v>Algarve</v>
      </c>
      <c r="C94" t="str">
        <v>32</v>
      </c>
      <c r="D94" t="str">
        <v>Vila Nova de Cacela, Algarve</v>
      </c>
      <c r="E94" t="str">
        <v>Plot</v>
      </c>
      <c r="F94">
        <v>396.9</v>
      </c>
      <c r="G94">
        <v>0</v>
      </c>
      <c r="H94" t="str">
        <v/>
      </c>
      <c r="I94" t="str">
        <v/>
      </c>
      <c r="J94">
        <v>0</v>
      </c>
      <c r="K94">
        <v>0</v>
      </c>
      <c r="L94">
        <v>0</v>
      </c>
      <c r="M94" s="79">
        <v>0</v>
      </c>
      <c r="N94">
        <v>0</v>
      </c>
      <c r="O94">
        <v>396.9</v>
      </c>
      <c r="P94">
        <v>0</v>
      </c>
      <c r="Q94" t="str">
        <v>?</v>
      </c>
      <c r="R94">
        <v>1200000</v>
      </c>
      <c r="S94">
        <v>1200000</v>
      </c>
      <c r="T94">
        <v>890000</v>
      </c>
      <c r="U94">
        <v>0</v>
      </c>
      <c r="V94">
        <v>0</v>
      </c>
      <c r="W94">
        <v>890000</v>
      </c>
      <c r="X94">
        <v>0</v>
      </c>
      <c r="Y94">
        <v>0</v>
      </c>
      <c r="Z94">
        <v>0</v>
      </c>
      <c r="AA94">
        <v>0</v>
      </c>
      <c r="AB94" t="str">
        <v>TO LAUNCH</v>
      </c>
      <c r="AC94">
        <v>0</v>
      </c>
      <c r="AD94" t="str">
        <v>TBD</v>
      </c>
      <c r="AE94" t="str">
        <v>Sandra Viegas</v>
      </c>
      <c r="AF94" t="str">
        <v>Joaquim Vermelhudo</v>
      </c>
      <c r="AG94" t="str">
        <v>https://www.monte-rei.com/</v>
      </c>
      <c r="AH94"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94" t="str">
        <v>Golfe 18 buracos, Ténis, Ginásio, Health Center, Piscinas Exteriores, Spa e Concierge, Restaurantes</v>
      </c>
      <c r="AJ94"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94" t="str">
        <v>TBD</v>
      </c>
      <c r="AL94" t="str">
        <v>Monte Rei</v>
      </c>
    </row>
    <row r="95" spans="1:38" x14ac:dyDescent="0.3">
      <c r="A95" t="str">
        <v>MR - LT Miradouro Village</v>
      </c>
      <c r="B95" t="str">
        <v>Algarve</v>
      </c>
      <c r="C95" t="str">
        <v>53</v>
      </c>
      <c r="D95" t="str">
        <v>Vila Nova de Cacela, Algarve</v>
      </c>
      <c r="E95" t="str">
        <v>Plot</v>
      </c>
      <c r="F95">
        <v>396.9</v>
      </c>
      <c r="G95">
        <v>0</v>
      </c>
      <c r="H95" t="str">
        <v/>
      </c>
      <c r="I95" t="str">
        <v/>
      </c>
      <c r="J95">
        <v>0</v>
      </c>
      <c r="K95">
        <v>0</v>
      </c>
      <c r="L95">
        <v>0</v>
      </c>
      <c r="M95" s="79">
        <v>0</v>
      </c>
      <c r="N95">
        <v>0</v>
      </c>
      <c r="O95">
        <v>396.9</v>
      </c>
      <c r="P95">
        <v>0</v>
      </c>
      <c r="Q95" t="str">
        <v>?</v>
      </c>
      <c r="R95">
        <v>1200000</v>
      </c>
      <c r="S95">
        <v>1200000</v>
      </c>
      <c r="T95">
        <v>1030000</v>
      </c>
      <c r="U95">
        <v>0</v>
      </c>
      <c r="V95">
        <v>0</v>
      </c>
      <c r="W95">
        <v>1030000</v>
      </c>
      <c r="X95">
        <v>0</v>
      </c>
      <c r="Y95">
        <v>0</v>
      </c>
      <c r="Z95">
        <v>0</v>
      </c>
      <c r="AA95">
        <v>0</v>
      </c>
      <c r="AB95" t="str">
        <v>TO LAUNCH</v>
      </c>
      <c r="AC95">
        <v>0</v>
      </c>
      <c r="AD95" t="str">
        <v>TBD</v>
      </c>
      <c r="AE95" t="str">
        <v>Sandra Viegas</v>
      </c>
      <c r="AF95" t="str">
        <v>Joaquim Vermelhudo</v>
      </c>
      <c r="AG95" t="str">
        <v>https://www.monte-rei.com/</v>
      </c>
      <c r="AH95"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95" t="str">
        <v>Golfe 18 buracos, Ténis, Ginásio, Health Center, Piscinas Exteriores, Spa e Concierge, Restaurantes</v>
      </c>
      <c r="AJ95"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95" t="str">
        <v>TBD</v>
      </c>
      <c r="AL95" t="str">
        <v>Monte Rei</v>
      </c>
    </row>
    <row r="96" spans="1:38" x14ac:dyDescent="0.3">
      <c r="A96" t="str">
        <v>MR -LT da Casa do Campo</v>
      </c>
      <c r="B96" t="str">
        <v>Algarve</v>
      </c>
      <c r="C96" t="str">
        <v>2</v>
      </c>
      <c r="D96" t="str">
        <v>Vila Nova de Cacela, Algarve</v>
      </c>
      <c r="E96" t="str">
        <v>Plot</v>
      </c>
      <c r="F96">
        <v>450</v>
      </c>
      <c r="G96">
        <v>0</v>
      </c>
      <c r="H96" t="str">
        <v/>
      </c>
      <c r="I96" t="str">
        <v/>
      </c>
      <c r="J96">
        <v>0</v>
      </c>
      <c r="K96">
        <v>0</v>
      </c>
      <c r="L96">
        <v>0</v>
      </c>
      <c r="M96" s="79">
        <v>0</v>
      </c>
      <c r="N96">
        <v>0</v>
      </c>
      <c r="O96">
        <v>450</v>
      </c>
      <c r="P96">
        <v>0</v>
      </c>
      <c r="Q96" t="str">
        <v>?</v>
      </c>
      <c r="R96">
        <v>997000</v>
      </c>
      <c r="S96">
        <v>997000</v>
      </c>
      <c r="T96">
        <v>860000</v>
      </c>
      <c r="U96">
        <v>0</v>
      </c>
      <c r="V96">
        <v>0</v>
      </c>
      <c r="W96">
        <v>860000</v>
      </c>
      <c r="X96">
        <v>0</v>
      </c>
      <c r="Y96">
        <v>0</v>
      </c>
      <c r="Z96">
        <v>0</v>
      </c>
      <c r="AA96">
        <v>0</v>
      </c>
      <c r="AB96" t="str">
        <v>TO LAUNCH</v>
      </c>
      <c r="AC96">
        <v>0</v>
      </c>
      <c r="AD96" t="str">
        <v>TBD</v>
      </c>
      <c r="AE96" t="str">
        <v>Sandra Viegas</v>
      </c>
      <c r="AF96" t="str">
        <v>Joaquim Vermelhudo</v>
      </c>
      <c r="AG96" t="str">
        <v>https://www.monte-rei.com/</v>
      </c>
      <c r="AH96"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96" t="str">
        <v>Golfe 18 buracos, Ténis, Ginásio, Health Center, Piscinas Exteriores, Spa e Concierge, Restaurantes</v>
      </c>
      <c r="AJ96"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96" t="str">
        <v>TBD</v>
      </c>
      <c r="AL96" t="str">
        <v>Monte Rei</v>
      </c>
    </row>
    <row r="97" spans="1:38" x14ac:dyDescent="0.3">
      <c r="A97" t="str">
        <v>MR -LT da Casa do Campo</v>
      </c>
      <c r="B97" t="str">
        <v>Algarve</v>
      </c>
      <c r="C97" t="str">
        <v>3</v>
      </c>
      <c r="D97" t="str">
        <v>Vila Nova de Cacela, Algarve</v>
      </c>
      <c r="E97" t="str">
        <v>Plot</v>
      </c>
      <c r="F97">
        <v>450</v>
      </c>
      <c r="G97">
        <v>0</v>
      </c>
      <c r="H97" t="str">
        <v/>
      </c>
      <c r="I97" t="str">
        <v/>
      </c>
      <c r="J97">
        <v>0</v>
      </c>
      <c r="K97">
        <v>0</v>
      </c>
      <c r="L97">
        <v>0</v>
      </c>
      <c r="M97" s="79">
        <v>0</v>
      </c>
      <c r="N97">
        <v>0</v>
      </c>
      <c r="O97">
        <v>450</v>
      </c>
      <c r="P97">
        <v>0</v>
      </c>
      <c r="Q97" t="str">
        <v>?</v>
      </c>
      <c r="R97">
        <v>1010000</v>
      </c>
      <c r="S97">
        <v>1010000</v>
      </c>
      <c r="T97">
        <v>860000</v>
      </c>
      <c r="U97">
        <v>0</v>
      </c>
      <c r="V97">
        <v>0</v>
      </c>
      <c r="W97">
        <v>860000</v>
      </c>
      <c r="X97">
        <v>0</v>
      </c>
      <c r="Y97">
        <v>0</v>
      </c>
      <c r="Z97">
        <v>0</v>
      </c>
      <c r="AA97">
        <v>0</v>
      </c>
      <c r="AB97" t="str">
        <v>TO LAUNCH</v>
      </c>
      <c r="AC97">
        <v>0</v>
      </c>
      <c r="AD97" t="str">
        <v>TBD</v>
      </c>
      <c r="AE97" t="str">
        <v>Sandra Viegas</v>
      </c>
      <c r="AF97" t="str">
        <v>Joaquim Vermelhudo</v>
      </c>
      <c r="AG97" t="str">
        <v>https://www.monte-rei.com/</v>
      </c>
      <c r="AH97"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97" t="str">
        <v>Golfe 18 buracos, Ténis, Ginásio, Health Center, Piscinas Exteriores, Spa e Concierge, Restaurantes</v>
      </c>
      <c r="AJ97"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97" t="str">
        <v>TBD</v>
      </c>
      <c r="AL97" t="str">
        <v>Monte Rei</v>
      </c>
    </row>
    <row r="98" spans="1:38" x14ac:dyDescent="0.3">
      <c r="A98" t="str">
        <v>MR -LT da Casa do Campo</v>
      </c>
      <c r="B98" t="str">
        <v>Algarve</v>
      </c>
      <c r="C98" t="str">
        <v>4</v>
      </c>
      <c r="D98" t="str">
        <v>Vila Nova de Cacela, Algarve</v>
      </c>
      <c r="E98" t="str">
        <v>Plot</v>
      </c>
      <c r="F98">
        <v>450</v>
      </c>
      <c r="G98">
        <v>0</v>
      </c>
      <c r="H98" t="str">
        <v/>
      </c>
      <c r="I98" t="str">
        <v/>
      </c>
      <c r="J98">
        <v>0</v>
      </c>
      <c r="K98">
        <v>0</v>
      </c>
      <c r="L98">
        <v>0</v>
      </c>
      <c r="M98" s="79">
        <v>0</v>
      </c>
      <c r="N98">
        <v>0</v>
      </c>
      <c r="O98">
        <v>450</v>
      </c>
      <c r="P98">
        <v>0</v>
      </c>
      <c r="Q98" t="str">
        <v>?</v>
      </c>
      <c r="R98">
        <v>1017000</v>
      </c>
      <c r="S98">
        <v>1017000</v>
      </c>
      <c r="T98">
        <v>860000</v>
      </c>
      <c r="U98">
        <v>0</v>
      </c>
      <c r="V98">
        <v>0</v>
      </c>
      <c r="W98">
        <v>860000</v>
      </c>
      <c r="X98">
        <v>0</v>
      </c>
      <c r="Y98">
        <v>0</v>
      </c>
      <c r="Z98">
        <v>0</v>
      </c>
      <c r="AA98">
        <v>0</v>
      </c>
      <c r="AB98" t="str">
        <v>TO LAUNCH</v>
      </c>
      <c r="AC98">
        <v>0</v>
      </c>
      <c r="AD98" t="str">
        <v>TBD</v>
      </c>
      <c r="AE98" t="str">
        <v>Sandra Viegas</v>
      </c>
      <c r="AF98" t="str">
        <v>Joaquim Vermelhudo</v>
      </c>
      <c r="AG98" t="str">
        <v>https://www.monte-rei.com/</v>
      </c>
      <c r="AH98"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98" t="str">
        <v>Golfe 18 buracos, Ténis, Ginásio, Health Center, Piscinas Exteriores, Spa e Concierge, Restaurantes</v>
      </c>
      <c r="AJ98"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98" t="str">
        <v>TBD</v>
      </c>
      <c r="AL98" t="str">
        <v>Monte Rei</v>
      </c>
    </row>
    <row r="99" spans="1:38" x14ac:dyDescent="0.3">
      <c r="A99" t="str">
        <v>MR -LT da Casa do Campo</v>
      </c>
      <c r="B99" t="str">
        <v>Algarve</v>
      </c>
      <c r="C99" t="str">
        <v>6</v>
      </c>
      <c r="D99" t="str">
        <v>Vila Nova de Cacela, Algarve</v>
      </c>
      <c r="E99" t="str">
        <v>Plot</v>
      </c>
      <c r="F99">
        <v>500</v>
      </c>
      <c r="G99">
        <v>0</v>
      </c>
      <c r="H99" t="str">
        <v/>
      </c>
      <c r="I99" t="str">
        <v/>
      </c>
      <c r="J99">
        <v>0</v>
      </c>
      <c r="K99">
        <v>0</v>
      </c>
      <c r="L99">
        <v>0</v>
      </c>
      <c r="M99" s="79">
        <v>0</v>
      </c>
      <c r="N99">
        <v>0</v>
      </c>
      <c r="O99">
        <v>500</v>
      </c>
      <c r="P99">
        <v>0</v>
      </c>
      <c r="Q99" t="str">
        <v>?</v>
      </c>
      <c r="R99">
        <v>1065000</v>
      </c>
      <c r="S99">
        <v>1065000</v>
      </c>
      <c r="T99">
        <v>910000</v>
      </c>
      <c r="U99">
        <v>0</v>
      </c>
      <c r="V99">
        <v>0</v>
      </c>
      <c r="W99">
        <v>910000</v>
      </c>
      <c r="X99">
        <v>0</v>
      </c>
      <c r="Y99">
        <v>0</v>
      </c>
      <c r="Z99">
        <v>0</v>
      </c>
      <c r="AA99">
        <v>0</v>
      </c>
      <c r="AB99" t="str">
        <v>TO LAUNCH</v>
      </c>
      <c r="AC99">
        <v>0</v>
      </c>
      <c r="AD99" t="str">
        <v>TBD</v>
      </c>
      <c r="AE99" t="str">
        <v>Sandra Viegas</v>
      </c>
      <c r="AF99" t="str">
        <v>Joaquim Vermelhudo</v>
      </c>
      <c r="AG99" t="str">
        <v>https://www.monte-rei.com/</v>
      </c>
      <c r="AH99"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99" t="str">
        <v>Golfe 18 buracos, Ténis, Ginásio, Health Center, Piscinas Exteriores, Spa e Concierge, Restaurantes</v>
      </c>
      <c r="AJ99"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99" t="str">
        <v>TBD</v>
      </c>
      <c r="AL99" t="str">
        <v>Monte Rei</v>
      </c>
    </row>
    <row r="100" spans="1:38" x14ac:dyDescent="0.3">
      <c r="A100" t="str">
        <v>MR -LT da Casa do Campo</v>
      </c>
      <c r="B100" t="str">
        <v>Algarve</v>
      </c>
      <c r="C100" t="str">
        <v>7</v>
      </c>
      <c r="D100" t="str">
        <v>Vila Nova de Cacela, Algarve</v>
      </c>
      <c r="E100" t="str">
        <v>Plot</v>
      </c>
      <c r="F100">
        <v>500</v>
      </c>
      <c r="G100">
        <v>0</v>
      </c>
      <c r="H100" t="str">
        <v/>
      </c>
      <c r="I100" t="str">
        <v/>
      </c>
      <c r="J100">
        <v>0</v>
      </c>
      <c r="K100">
        <v>0</v>
      </c>
      <c r="L100">
        <v>0</v>
      </c>
      <c r="M100" s="79">
        <v>0</v>
      </c>
      <c r="N100">
        <v>0</v>
      </c>
      <c r="O100">
        <v>500</v>
      </c>
      <c r="P100">
        <v>0</v>
      </c>
      <c r="Q100" t="str">
        <v>?</v>
      </c>
      <c r="R100">
        <v>1648000</v>
      </c>
      <c r="S100">
        <v>1648000</v>
      </c>
      <c r="T100">
        <v>1190000</v>
      </c>
      <c r="U100">
        <v>0</v>
      </c>
      <c r="V100">
        <v>0</v>
      </c>
      <c r="W100">
        <v>1190000</v>
      </c>
      <c r="X100">
        <v>0</v>
      </c>
      <c r="Y100">
        <v>0</v>
      </c>
      <c r="Z100">
        <v>0</v>
      </c>
      <c r="AA100">
        <v>0</v>
      </c>
      <c r="AB100" t="str">
        <v>TO LAUNCH</v>
      </c>
      <c r="AC100">
        <v>0</v>
      </c>
      <c r="AD100" t="str">
        <v>TBD</v>
      </c>
      <c r="AE100" t="str">
        <v>Sandra Viegas</v>
      </c>
      <c r="AF100" t="str">
        <v>Joaquim Vermelhudo</v>
      </c>
      <c r="AG100" t="str">
        <v>https://www.monte-rei.com/</v>
      </c>
      <c r="AH100"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100" t="str">
        <v>Golfe 18 buracos, Ténis, Ginásio, Health Center, Piscinas Exteriores, Spa e Concierge, Restaurantes</v>
      </c>
      <c r="AJ100"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100" t="str">
        <v>TBD</v>
      </c>
      <c r="AL100" t="str">
        <v>Monte Rei</v>
      </c>
    </row>
    <row r="101" spans="1:38" x14ac:dyDescent="0.3">
      <c r="A101" t="str">
        <v>MR -LT da Casa do Campo</v>
      </c>
      <c r="B101" t="str">
        <v>Algarve</v>
      </c>
      <c r="C101" t="str">
        <v>8</v>
      </c>
      <c r="D101" t="str">
        <v>Vila Nova de Cacela, Algarve</v>
      </c>
      <c r="E101" t="str">
        <v>Plot</v>
      </c>
      <c r="F101">
        <v>500</v>
      </c>
      <c r="G101">
        <v>0</v>
      </c>
      <c r="H101" t="str">
        <v/>
      </c>
      <c r="I101" t="str">
        <v/>
      </c>
      <c r="J101">
        <v>0</v>
      </c>
      <c r="K101">
        <v>0</v>
      </c>
      <c r="L101">
        <v>0</v>
      </c>
      <c r="M101" s="79">
        <v>0</v>
      </c>
      <c r="N101">
        <v>0</v>
      </c>
      <c r="O101">
        <v>500</v>
      </c>
      <c r="P101">
        <v>0</v>
      </c>
      <c r="Q101" t="str">
        <v>?</v>
      </c>
      <c r="R101">
        <v>2355000</v>
      </c>
      <c r="S101">
        <v>2355000</v>
      </c>
      <c r="T101">
        <v>1680000</v>
      </c>
      <c r="U101">
        <v>0</v>
      </c>
      <c r="V101">
        <v>0</v>
      </c>
      <c r="W101">
        <v>1680000</v>
      </c>
      <c r="X101">
        <v>0</v>
      </c>
      <c r="Y101">
        <v>0</v>
      </c>
      <c r="Z101">
        <v>0</v>
      </c>
      <c r="AA101">
        <v>0</v>
      </c>
      <c r="AB101" t="str">
        <v>TO LAUNCH</v>
      </c>
      <c r="AC101">
        <v>0</v>
      </c>
      <c r="AD101" t="str">
        <v>TBD</v>
      </c>
      <c r="AE101" t="str">
        <v>Sandra Viegas</v>
      </c>
      <c r="AF101" t="str">
        <v>Joaquim Vermelhudo</v>
      </c>
      <c r="AG101" t="str">
        <v>https://www.monte-rei.com/</v>
      </c>
      <c r="AH101" t="str">
        <v>Monte Rei Golf &amp; Country Club is an ultra-exclusive resort in the Eastern Algarve, combining a Jack Nicklaus Signature golf course, Michelin-star dining, and luxury residences within a serene private estate — offering one of Europe’s most refined golf and lifestyle experiences.</v>
      </c>
      <c r="AI101" t="str">
        <v>Golfe 18 buracos, Ténis, Ginásio, Health Center, Piscinas Exteriores, Spa e Concierge, Restaurantes</v>
      </c>
      <c r="AJ101" t="str">
        <v>O Monte Rei Golf &amp; Country Club é um resort de luxo exclusivo situado em mais de 400 hectares de paisagem intacta no sotavento algarvio, oferecendo a viajantes exigentes e amantes do golfe um refúgio de tranquilidade, sofisticação e privacidade. Com o seu campo de golfe assinatura Jack Nicklaus, gastronomia de excelência, serviço personalizado e um ambiente sereno entre a serra e o Atlântico, o Monte Rei posiciona-se como “o melhor lugar para viver e jogar” — um retiro privado e seguro, longe do ritmo agitado do quotidiano.</v>
      </c>
      <c r="AK101" t="str">
        <v>TBD</v>
      </c>
      <c r="AL101" t="str">
        <v>Monte Rei</v>
      </c>
    </row>
  </sheetData>
  <autoFilter ref="A2:AL2" xr:uid="{8C381E57-20A3-4D29-9AC1-A20B676A56DB}"/>
  <conditionalFormatting sqref="A2">
    <cfRule type="containsText" dxfId="17" priority="3" operator="containsText" text="Center">
      <formula>NOT(ISERROR(SEARCH("Center",A2)))</formula>
    </cfRule>
    <cfRule type="containsText" dxfId="16" priority="4" operator="containsText" text="North">
      <formula>NOT(ISERROR(SEARCH("North",A2)))</formula>
    </cfRule>
    <cfRule type="containsText" dxfId="15" priority="5" operator="containsText" text="Algarve">
      <formula>NOT(ISERROR(SEARCH("Algarve",A2)))</formula>
    </cfRule>
    <cfRule type="containsText" dxfId="14" priority="6" operator="containsText" text="Vilamoura">
      <formula>NOT(ISERROR(SEARCH("Vilamoura",A2)))</formula>
    </cfRule>
  </conditionalFormatting>
  <conditionalFormatting sqref="Q2">
    <cfRule type="containsText" dxfId="13" priority="1" operator="containsText" text="PRE-RESERVED">
      <formula>NOT(ISERROR(SEARCH("PRE-RESERVED",Q2)))</formula>
    </cfRule>
    <cfRule type="containsText" dxfId="12" priority="2" operator="containsText" text="RESERVED">
      <formula>NOT(ISERROR(SEARCH("RESERVED",Q2)))</formula>
    </cfRule>
  </conditionalFormatting>
  <pageMargins left="0.7" right="0.7" top="0.75" bottom="0.75" header="0.3" footer="0.3"/>
  <pageSetup paperSize="8" scale="69" fitToHeight="0" orientation="landscape"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BC9EE-AE89-4E55-AD9B-42A6F316E24A}">
  <sheetPr>
    <tabColor rgb="FF81AD83"/>
    <pageSetUpPr fitToPage="1"/>
  </sheetPr>
  <dimension ref="A1:AL232"/>
  <sheetViews>
    <sheetView showGridLines="0" zoomScale="71" zoomScaleNormal="40" zoomScaleSheetLayoutView="70" workbookViewId="0">
      <pane xSplit="1" topLeftCell="H1" activePane="topRight" state="frozen"/>
      <selection activeCell="A2" sqref="A2"/>
      <selection pane="topRight" activeCell="A2" sqref="A2"/>
    </sheetView>
  </sheetViews>
  <sheetFormatPr defaultColWidth="8.6640625" defaultRowHeight="14.4" outlineLevelCol="2" x14ac:dyDescent="0.3"/>
  <cols>
    <col min="1" max="1" width="30.44140625" bestFit="1" customWidth="1"/>
    <col min="2" max="6" width="11.77734375" customWidth="1"/>
    <col min="7" max="12" width="11.77734375" customWidth="1" outlineLevel="2"/>
    <col min="13" max="13" width="11.77734375" style="79" customWidth="1" outlineLevel="2"/>
    <col min="14" max="14" width="11.77734375" customWidth="1" outlineLevel="2"/>
    <col min="15" max="16" width="11.77734375" customWidth="1" outlineLevel="1"/>
    <col min="17" max="18" width="11.77734375" customWidth="1"/>
    <col min="19" max="22" width="11.77734375" customWidth="1" outlineLevel="1"/>
    <col min="23" max="24" width="11.77734375" customWidth="1"/>
    <col min="25" max="25" width="11.77734375" customWidth="1" outlineLevel="1"/>
    <col min="26" max="26" width="11.77734375" customWidth="1"/>
    <col min="27" max="27" width="11.77734375" customWidth="1" outlineLevel="1"/>
    <col min="28" max="38" width="11.77734375" customWidth="1"/>
  </cols>
  <sheetData>
    <row r="1" spans="1:38" s="1" customFormat="1" ht="20.399999999999999" customHeight="1" x14ac:dyDescent="0.3">
      <c r="A1" s="114" t="s">
        <v>78</v>
      </c>
    </row>
    <row r="2" spans="1:38" s="2" customFormat="1" ht="46.2" customHeight="1" x14ac:dyDescent="0.3">
      <c r="A2" s="95" t="s">
        <v>335</v>
      </c>
      <c r="B2" s="95" t="s">
        <v>684</v>
      </c>
      <c r="C2" s="96" t="s">
        <v>765</v>
      </c>
      <c r="D2" s="97" t="s">
        <v>1</v>
      </c>
      <c r="E2" s="95" t="s">
        <v>93</v>
      </c>
      <c r="F2" s="95" t="s">
        <v>763</v>
      </c>
      <c r="G2" s="98" t="s">
        <v>675</v>
      </c>
      <c r="H2" s="99" t="s">
        <v>676</v>
      </c>
      <c r="I2" s="99" t="s">
        <v>677</v>
      </c>
      <c r="J2" s="100" t="s">
        <v>678</v>
      </c>
      <c r="K2" s="98" t="s">
        <v>679</v>
      </c>
      <c r="L2" s="98" t="s">
        <v>779</v>
      </c>
      <c r="M2" s="98" t="s">
        <v>680</v>
      </c>
      <c r="N2" s="101" t="s">
        <v>681</v>
      </c>
      <c r="O2" s="102" t="s">
        <v>94</v>
      </c>
      <c r="P2" s="102" t="s">
        <v>95</v>
      </c>
      <c r="Q2" s="95" t="s">
        <v>624</v>
      </c>
      <c r="R2" s="103" t="s">
        <v>331</v>
      </c>
      <c r="S2" s="104" t="s">
        <v>332</v>
      </c>
      <c r="T2" s="105" t="s">
        <v>333</v>
      </c>
      <c r="U2" s="105" t="s">
        <v>682</v>
      </c>
      <c r="V2" s="105" t="s">
        <v>97</v>
      </c>
      <c r="W2" s="95" t="s">
        <v>330</v>
      </c>
      <c r="X2" s="106" t="s">
        <v>919</v>
      </c>
      <c r="Y2" s="105" t="s">
        <v>334</v>
      </c>
      <c r="Z2" s="95" t="s">
        <v>98</v>
      </c>
      <c r="AA2" s="107" t="s">
        <v>933</v>
      </c>
      <c r="AB2" s="108" t="s">
        <v>934</v>
      </c>
      <c r="AC2" s="108" t="s">
        <v>928</v>
      </c>
      <c r="AD2" s="109" t="s">
        <v>926</v>
      </c>
      <c r="AE2" s="97" t="s">
        <v>792</v>
      </c>
      <c r="AF2" s="97" t="s">
        <v>793</v>
      </c>
      <c r="AG2" s="97" t="s">
        <v>2</v>
      </c>
      <c r="AH2" s="97" t="s">
        <v>3</v>
      </c>
      <c r="AI2" s="97" t="s">
        <v>5</v>
      </c>
      <c r="AJ2" s="97" t="s">
        <v>794</v>
      </c>
      <c r="AK2" s="97" t="s">
        <v>6</v>
      </c>
      <c r="AL2" s="95" t="s">
        <v>918</v>
      </c>
    </row>
    <row r="3" spans="1:38" s="112" customFormat="1" ht="13.8" x14ac:dyDescent="0.3">
      <c r="A3" s="129" t="str" cm="1">
        <f t="array" ref="A3:AL232">_xlfn._xlws.FILTER(DATABASE_Table[],DATABASE_Table[Development]=$A$1,"")</f>
        <v>Aroeira - APARTMENTS</v>
      </c>
      <c r="B3" s="129" t="str">
        <v>Center</v>
      </c>
      <c r="C3" s="110" t="str">
        <v>204B</v>
      </c>
      <c r="D3" s="110" t="str">
        <v>Herdade da Aroeira, Almada</v>
      </c>
      <c r="E3" s="110" t="str">
        <v>2-BR</v>
      </c>
      <c r="F3" s="110">
        <v>114.59</v>
      </c>
      <c r="G3" s="110">
        <v>0</v>
      </c>
      <c r="H3" s="110" t="str">
        <v>1</v>
      </c>
      <c r="I3" s="110" t="str">
        <v/>
      </c>
      <c r="J3" s="110">
        <v>22.28</v>
      </c>
      <c r="K3" s="110">
        <v>0</v>
      </c>
      <c r="L3" s="110">
        <v>0</v>
      </c>
      <c r="M3" s="110">
        <v>0</v>
      </c>
      <c r="N3" s="110">
        <v>0</v>
      </c>
      <c r="O3" s="110">
        <v>92.31</v>
      </c>
      <c r="P3" s="110">
        <v>0</v>
      </c>
      <c r="Q3" s="110" t="str">
        <v xml:space="preserve">PSPA </v>
      </c>
      <c r="R3" s="110">
        <v>720000</v>
      </c>
      <c r="S3" s="110">
        <v>765000</v>
      </c>
      <c r="T3" s="110">
        <v>755000</v>
      </c>
      <c r="U3" s="110">
        <v>0</v>
      </c>
      <c r="V3" s="110">
        <v>45000</v>
      </c>
      <c r="W3" s="110">
        <v>710000</v>
      </c>
      <c r="X3" s="110">
        <v>-1.3245033112582801E-2</v>
      </c>
      <c r="Y3" s="110">
        <v>765000</v>
      </c>
      <c r="Z3" s="110">
        <v>720000</v>
      </c>
      <c r="AA3" s="110">
        <v>45792</v>
      </c>
      <c r="AB3" s="111" t="str">
        <v>Q2 2025</v>
      </c>
      <c r="AC3" s="112">
        <v>45953</v>
      </c>
      <c r="AD3" s="112">
        <v>47118</v>
      </c>
      <c r="AE3" s="112" t="str">
        <v>João Gameiro</v>
      </c>
      <c r="AF3" s="112" t="str">
        <v>Miguel Ribeiro</v>
      </c>
      <c r="AG3" s="112" t="str">
        <v>https://www.aroeiracollections.com/</v>
      </c>
      <c r="AH3" s="112" t="str">
        <v>Aroeira Collections by Missoni: Elegance inspired by iconic design, set beside the renowned PGA golf course — where luxury living meets the rhythm of the coast.</v>
      </c>
      <c r="AI3" s="112" t="str">
        <v>Gym, Spa, Condo Pool, Private Pools, Tennis &amp; Padel Courts, Outdoor Areas, Smart Home Technology, Private Parking, Reception, Missoni Interiors, PGA Golf Course</v>
      </c>
      <c r="AJ3" s="112"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3" s="112" t="str">
        <v>Ana Costa, João Favila, Pedro Domingos</v>
      </c>
      <c r="AL3" s="112" t="str">
        <v>Aroeira Collections</v>
      </c>
    </row>
    <row r="4" spans="1:38" x14ac:dyDescent="0.3">
      <c r="A4" s="129" t="str">
        <v>Aroeira - APARTMENTS</v>
      </c>
      <c r="B4" s="129" t="str">
        <v>Center</v>
      </c>
      <c r="C4" s="110" t="str">
        <v>109B</v>
      </c>
      <c r="D4" s="110" t="str">
        <v>Herdade da Aroeira, Almada</v>
      </c>
      <c r="E4" s="110" t="str">
        <v>2-BR</v>
      </c>
      <c r="F4" s="110">
        <v>194.02</v>
      </c>
      <c r="G4" s="110">
        <v>0</v>
      </c>
      <c r="H4" s="110" t="str">
        <v>1</v>
      </c>
      <c r="I4" s="110" t="str">
        <v/>
      </c>
      <c r="J4" s="110">
        <v>23.12</v>
      </c>
      <c r="K4" s="110">
        <v>80.91</v>
      </c>
      <c r="L4" s="110">
        <v>0</v>
      </c>
      <c r="M4" s="110">
        <v>0</v>
      </c>
      <c r="N4" s="110">
        <v>0</v>
      </c>
      <c r="O4" s="110">
        <v>89.99</v>
      </c>
      <c r="P4" s="110">
        <v>0</v>
      </c>
      <c r="Q4" s="110" t="str">
        <v xml:space="preserve">PSPA </v>
      </c>
      <c r="R4" s="110">
        <v>735000</v>
      </c>
      <c r="S4" s="110">
        <v>780000</v>
      </c>
      <c r="T4" s="110">
        <v>770000</v>
      </c>
      <c r="U4" s="110">
        <v>0</v>
      </c>
      <c r="V4" s="110">
        <v>45000</v>
      </c>
      <c r="W4" s="110">
        <v>725000</v>
      </c>
      <c r="X4" s="110">
        <v>-1.2987012987012899E-2</v>
      </c>
      <c r="Y4" s="110">
        <v>780000</v>
      </c>
      <c r="Z4" s="110">
        <v>735000</v>
      </c>
      <c r="AA4" s="110">
        <v>45792</v>
      </c>
      <c r="AB4" s="111" t="str">
        <v>Q2 2025</v>
      </c>
      <c r="AC4">
        <v>45986</v>
      </c>
      <c r="AD4">
        <v>47118</v>
      </c>
      <c r="AE4" t="str">
        <v>João Gameiro</v>
      </c>
      <c r="AF4" t="str">
        <v>Miguel Ribeiro</v>
      </c>
      <c r="AG4" t="str">
        <v>https://www.aroeiracollections.com/</v>
      </c>
      <c r="AH4" t="str">
        <v>Aroeira Collections by Missoni: Elegance inspired by iconic design, set beside the renowned PGA golf course — where luxury living meets the rhythm of the coast.</v>
      </c>
      <c r="AI4" t="str">
        <v>Gym, Spa, Condo Pool, Private Pools, Tennis &amp; Padel Courts, Outdoor Areas, Smart Home Technology, Private Parking, Reception, Missoni Interiors, PGA Golf Course</v>
      </c>
      <c r="AJ4"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4" t="str">
        <v>Ana Costa, João Favila, Pedro Domingos</v>
      </c>
      <c r="AL4" t="str">
        <v>Aroeira Collections</v>
      </c>
    </row>
    <row r="5" spans="1:38" x14ac:dyDescent="0.3">
      <c r="A5" s="129" t="str">
        <v>Aroeira - APARTMENTS</v>
      </c>
      <c r="B5" s="129" t="str">
        <v>Center</v>
      </c>
      <c r="C5" s="110" t="str">
        <v>105B</v>
      </c>
      <c r="D5" s="110" t="str">
        <v>Herdade da Aroeira, Almada</v>
      </c>
      <c r="E5" s="110" t="str">
        <v>2-BR</v>
      </c>
      <c r="F5" s="110">
        <v>190.14</v>
      </c>
      <c r="G5" s="110">
        <v>0</v>
      </c>
      <c r="H5" s="110" t="str">
        <v>1</v>
      </c>
      <c r="I5" s="110" t="str">
        <v/>
      </c>
      <c r="J5" s="110">
        <v>23.08</v>
      </c>
      <c r="K5" s="110">
        <v>76.91</v>
      </c>
      <c r="L5" s="110">
        <v>0</v>
      </c>
      <c r="M5" s="110">
        <v>0</v>
      </c>
      <c r="N5" s="110">
        <v>0</v>
      </c>
      <c r="O5" s="110">
        <v>90.15</v>
      </c>
      <c r="P5" s="110">
        <v>0</v>
      </c>
      <c r="Q5" s="110" t="str">
        <v>RESERVED</v>
      </c>
      <c r="R5" s="110">
        <v>735000</v>
      </c>
      <c r="S5" s="110">
        <v>780000</v>
      </c>
      <c r="T5" s="110">
        <v>840000</v>
      </c>
      <c r="U5" s="110">
        <v>0</v>
      </c>
      <c r="V5" s="110">
        <v>45000</v>
      </c>
      <c r="W5" s="110">
        <v>795000</v>
      </c>
      <c r="X5" s="110">
        <v>0</v>
      </c>
      <c r="Y5" s="110">
        <v>840000</v>
      </c>
      <c r="Z5" s="110">
        <v>795000</v>
      </c>
      <c r="AA5" s="110">
        <v>45792</v>
      </c>
      <c r="AB5" s="111" t="str">
        <v>Q2 2025</v>
      </c>
      <c r="AC5">
        <v>46029</v>
      </c>
      <c r="AD5">
        <v>47118</v>
      </c>
      <c r="AE5" t="str">
        <v>João Gameiro</v>
      </c>
      <c r="AF5" t="str">
        <v>Miguel Ribeiro</v>
      </c>
      <c r="AG5" t="str">
        <v>https://www.aroeiracollections.com/</v>
      </c>
      <c r="AH5" t="str">
        <v>Aroeira Collections by Missoni: Elegance inspired by iconic design, set beside the renowned PGA golf course — where luxury living meets the rhythm of the coast.</v>
      </c>
      <c r="AI5" t="str">
        <v>Gym, Spa, Condo Pool, Private Pools, Tennis &amp; Padel Courts, Outdoor Areas, Smart Home Technology, Private Parking, Reception, Missoni Interiors, PGA Golf Course</v>
      </c>
      <c r="AJ5"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5" t="str">
        <v>Ana Costa, João Favila, Pedro Domingos</v>
      </c>
      <c r="AL5" t="str">
        <v>Aroeira Collections</v>
      </c>
    </row>
    <row r="6" spans="1:38" x14ac:dyDescent="0.3">
      <c r="A6" s="129" t="str">
        <v>Aroeira - APARTMENTS</v>
      </c>
      <c r="B6" s="129" t="str">
        <v>Center</v>
      </c>
      <c r="C6" s="110" t="str">
        <v>106B</v>
      </c>
      <c r="D6" s="110" t="str">
        <v>Herdade da Aroeira, Almada</v>
      </c>
      <c r="E6" s="110" t="str">
        <v>2-BR</v>
      </c>
      <c r="F6" s="110">
        <v>200.51</v>
      </c>
      <c r="G6" s="110">
        <v>0</v>
      </c>
      <c r="H6" s="110" t="str">
        <v>1</v>
      </c>
      <c r="I6" s="110" t="str">
        <v/>
      </c>
      <c r="J6" s="110">
        <v>23.08</v>
      </c>
      <c r="K6" s="110">
        <v>87.35</v>
      </c>
      <c r="L6" s="110">
        <v>0</v>
      </c>
      <c r="M6" s="110">
        <v>0</v>
      </c>
      <c r="N6" s="110">
        <v>0</v>
      </c>
      <c r="O6" s="110">
        <v>90.08</v>
      </c>
      <c r="P6" s="110">
        <v>0</v>
      </c>
      <c r="Q6" s="110" t="str">
        <v xml:space="preserve">PSPA </v>
      </c>
      <c r="R6" s="110">
        <v>745000</v>
      </c>
      <c r="S6" s="110">
        <v>790000</v>
      </c>
      <c r="T6" s="110">
        <v>810000</v>
      </c>
      <c r="U6" s="110">
        <v>0</v>
      </c>
      <c r="V6" s="110">
        <v>45000</v>
      </c>
      <c r="W6" s="110">
        <v>765000</v>
      </c>
      <c r="X6" s="110">
        <v>0</v>
      </c>
      <c r="Y6" s="110">
        <v>810000</v>
      </c>
      <c r="Z6" s="110">
        <v>765000</v>
      </c>
      <c r="AA6" s="110">
        <v>45792</v>
      </c>
      <c r="AB6" s="111" t="str">
        <v>Q2 2025</v>
      </c>
      <c r="AC6">
        <v>45953</v>
      </c>
      <c r="AD6">
        <v>47118</v>
      </c>
      <c r="AE6" t="str">
        <v>João Gameiro</v>
      </c>
      <c r="AF6" t="str">
        <v>Miguel Ribeiro</v>
      </c>
      <c r="AG6" t="str">
        <v>https://www.aroeiracollections.com/</v>
      </c>
      <c r="AH6" t="str">
        <v>Aroeira Collections by Missoni: Elegance inspired by iconic design, set beside the renowned PGA golf course — where luxury living meets the rhythm of the coast.</v>
      </c>
      <c r="AI6" t="str">
        <v>Gym, Spa, Condo Pool, Private Pools, Tennis &amp; Padel Courts, Outdoor Areas, Smart Home Technology, Private Parking, Reception, Missoni Interiors, PGA Golf Course</v>
      </c>
      <c r="AJ6"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6" t="str">
        <v>Ana Costa, João Favila, Pedro Domingos</v>
      </c>
      <c r="AL6" t="str">
        <v>Aroeira Collections</v>
      </c>
    </row>
    <row r="7" spans="1:38" x14ac:dyDescent="0.3">
      <c r="A7" s="129" t="str">
        <v>Aroeira - APARTMENTS</v>
      </c>
      <c r="B7" s="129" t="str">
        <v>Center</v>
      </c>
      <c r="C7" s="110" t="str">
        <v>110B</v>
      </c>
      <c r="D7" s="110" t="str">
        <v>Herdade da Aroeira, Almada</v>
      </c>
      <c r="E7" s="110" t="str">
        <v>2-BR</v>
      </c>
      <c r="F7" s="110">
        <v>176.21</v>
      </c>
      <c r="G7" s="110">
        <v>0</v>
      </c>
      <c r="H7" s="110" t="str">
        <v>1</v>
      </c>
      <c r="I7" s="110" t="str">
        <v/>
      </c>
      <c r="J7" s="110">
        <v>23.35</v>
      </c>
      <c r="K7" s="110">
        <v>61.77</v>
      </c>
      <c r="L7" s="110">
        <v>0</v>
      </c>
      <c r="M7" s="110">
        <v>0</v>
      </c>
      <c r="N7" s="110">
        <v>0</v>
      </c>
      <c r="O7" s="110">
        <v>91.09</v>
      </c>
      <c r="P7" s="110">
        <v>0</v>
      </c>
      <c r="Q7" s="110" t="str">
        <v xml:space="preserve">PSPA </v>
      </c>
      <c r="R7" s="110">
        <v>730000</v>
      </c>
      <c r="S7" s="110">
        <v>775000</v>
      </c>
      <c r="T7" s="110">
        <v>775000</v>
      </c>
      <c r="U7" s="110">
        <v>0</v>
      </c>
      <c r="V7" s="110">
        <v>45000</v>
      </c>
      <c r="W7" s="110">
        <v>730000</v>
      </c>
      <c r="X7" s="110">
        <v>0</v>
      </c>
      <c r="Y7" s="110">
        <v>775000</v>
      </c>
      <c r="Z7" s="110">
        <v>730000</v>
      </c>
      <c r="AA7" s="110">
        <v>45792</v>
      </c>
      <c r="AB7" s="111" t="str">
        <v>Q2 2025</v>
      </c>
      <c r="AC7">
        <v>45979</v>
      </c>
      <c r="AD7">
        <v>47118</v>
      </c>
      <c r="AE7" t="str">
        <v>João Gameiro</v>
      </c>
      <c r="AF7" t="str">
        <v>Miguel Ribeiro</v>
      </c>
      <c r="AG7" t="str">
        <v>https://www.aroeiracollections.com/</v>
      </c>
      <c r="AH7" t="str">
        <v>Aroeira Collections by Missoni: Elegance inspired by iconic design, set beside the renowned PGA golf course — where luxury living meets the rhythm of the coast.</v>
      </c>
      <c r="AI7" t="str">
        <v>Gym, Spa, Condo Pool, Private Pools, Tennis &amp; Padel Courts, Outdoor Areas, Smart Home Technology, Private Parking, Reception, Missoni Interiors, PGA Golf Course</v>
      </c>
      <c r="AJ7"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7" t="str">
        <v>Ana Costa, João Favila, Pedro Domingos</v>
      </c>
      <c r="AL7" t="str">
        <v>Aroeira Collections</v>
      </c>
    </row>
    <row r="8" spans="1:38" x14ac:dyDescent="0.3">
      <c r="A8" s="129" t="str">
        <v>Aroeira - APARTMENTS</v>
      </c>
      <c r="B8" s="129" t="str">
        <v>Center</v>
      </c>
      <c r="C8" s="110" t="str">
        <v>112B</v>
      </c>
      <c r="D8" s="110" t="str">
        <v>Herdade da Aroeira, Almada</v>
      </c>
      <c r="E8" s="110" t="str">
        <v>2-BR</v>
      </c>
      <c r="F8" s="110">
        <v>200.36</v>
      </c>
      <c r="G8" s="110">
        <v>0</v>
      </c>
      <c r="H8" s="110" t="str">
        <v>1</v>
      </c>
      <c r="I8" s="110" t="str">
        <v/>
      </c>
      <c r="J8" s="110">
        <v>3.87</v>
      </c>
      <c r="K8" s="110">
        <v>84.03</v>
      </c>
      <c r="L8" s="110">
        <v>0</v>
      </c>
      <c r="M8" s="110">
        <v>0</v>
      </c>
      <c r="N8" s="110">
        <v>0</v>
      </c>
      <c r="O8" s="110">
        <v>112.46</v>
      </c>
      <c r="P8" s="110">
        <v>0</v>
      </c>
      <c r="Q8" s="110" t="str">
        <v xml:space="preserve">PSPA </v>
      </c>
      <c r="R8" s="110">
        <v>795000</v>
      </c>
      <c r="S8" s="110">
        <v>840000</v>
      </c>
      <c r="T8" s="110">
        <v>840000</v>
      </c>
      <c r="U8" s="110">
        <v>0</v>
      </c>
      <c r="V8" s="110">
        <v>45000</v>
      </c>
      <c r="W8" s="110">
        <v>795000</v>
      </c>
      <c r="X8" s="110">
        <v>0</v>
      </c>
      <c r="Y8" s="110">
        <v>840000</v>
      </c>
      <c r="Z8" s="110">
        <v>795000</v>
      </c>
      <c r="AA8" s="110">
        <v>45792</v>
      </c>
      <c r="AB8" s="111" t="str">
        <v>Q2 2025</v>
      </c>
      <c r="AC8">
        <v>45943</v>
      </c>
      <c r="AD8">
        <v>47118</v>
      </c>
      <c r="AE8" t="str">
        <v>João Gameiro</v>
      </c>
      <c r="AF8" t="str">
        <v>Miguel Ribeiro</v>
      </c>
      <c r="AG8" t="str">
        <v>https://www.aroeiracollections.com/</v>
      </c>
      <c r="AH8" t="str">
        <v>Aroeira Collections by Missoni: Elegance inspired by iconic design, set beside the renowned PGA golf course — where luxury living meets the rhythm of the coast.</v>
      </c>
      <c r="AI8" t="str">
        <v>Gym, Spa, Condo Pool, Private Pools, Tennis &amp; Padel Courts, Outdoor Areas, Smart Home Technology, Private Parking, Reception, Missoni Interiors, PGA Golf Course</v>
      </c>
      <c r="AJ8"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8" t="str">
        <v>Ana Costa, João Favila, Pedro Domingos</v>
      </c>
      <c r="AL8" t="str">
        <v>Aroeira Collections</v>
      </c>
    </row>
    <row r="9" spans="1:38" x14ac:dyDescent="0.3">
      <c r="A9" s="129" t="str">
        <v>Aroeira - APARTMENTS</v>
      </c>
      <c r="B9" s="129" t="str">
        <v>Center</v>
      </c>
      <c r="C9" s="110" t="str">
        <v>120B</v>
      </c>
      <c r="D9" s="110" t="str">
        <v>Herdade da Aroeira, Almada</v>
      </c>
      <c r="E9" s="110" t="str">
        <v>2-BR</v>
      </c>
      <c r="F9" s="110">
        <v>262.92</v>
      </c>
      <c r="G9" s="110">
        <v>0</v>
      </c>
      <c r="H9" s="110" t="str">
        <v>1</v>
      </c>
      <c r="I9" s="110" t="str">
        <v/>
      </c>
      <c r="J9" s="110">
        <v>3.87</v>
      </c>
      <c r="K9" s="110">
        <v>145.22</v>
      </c>
      <c r="L9" s="110">
        <v>0</v>
      </c>
      <c r="M9" s="110">
        <v>0</v>
      </c>
      <c r="N9" s="110">
        <v>0</v>
      </c>
      <c r="O9" s="110">
        <v>113.83</v>
      </c>
      <c r="P9" s="110">
        <v>0</v>
      </c>
      <c r="Q9" s="110" t="str">
        <v xml:space="preserve">PSPA </v>
      </c>
      <c r="R9" s="110">
        <v>850000</v>
      </c>
      <c r="S9" s="110">
        <v>895000</v>
      </c>
      <c r="T9" s="110">
        <v>940000</v>
      </c>
      <c r="U9" s="110">
        <v>0</v>
      </c>
      <c r="V9" s="110">
        <v>45000</v>
      </c>
      <c r="W9" s="110">
        <v>895000</v>
      </c>
      <c r="X9" s="110">
        <v>0</v>
      </c>
      <c r="Y9" s="110">
        <v>940000</v>
      </c>
      <c r="Z9" s="110">
        <v>895000</v>
      </c>
      <c r="AA9" s="110">
        <v>45792</v>
      </c>
      <c r="AB9" s="111" t="str">
        <v>Q2 2025</v>
      </c>
      <c r="AC9">
        <v>45922</v>
      </c>
      <c r="AD9">
        <v>47118</v>
      </c>
      <c r="AE9" t="str">
        <v>João Gameiro</v>
      </c>
      <c r="AF9" t="str">
        <v>Miguel Ribeiro</v>
      </c>
      <c r="AG9" t="str">
        <v>https://www.aroeiracollections.com/</v>
      </c>
      <c r="AH9" t="str">
        <v>Aroeira Collections by Missoni: Elegance inspired by iconic design, set beside the renowned PGA golf course — where luxury living meets the rhythm of the coast.</v>
      </c>
      <c r="AI9" t="str">
        <v>Gym, Spa, Condo Pool, Private Pools, Tennis &amp; Padel Courts, Outdoor Areas, Smart Home Technology, Private Parking, Reception, Missoni Interiors, PGA Golf Course</v>
      </c>
      <c r="AJ9"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9" t="str">
        <v>Ana Costa, João Favila, Pedro Domingos</v>
      </c>
      <c r="AL9" t="str">
        <v>Aroeira Collections</v>
      </c>
    </row>
    <row r="10" spans="1:38" x14ac:dyDescent="0.3">
      <c r="A10" s="110" t="str">
        <v>Aroeira - APARTMENTS</v>
      </c>
      <c r="B10" s="110" t="str">
        <v>Center</v>
      </c>
      <c r="C10" s="110" t="str">
        <v>217C</v>
      </c>
      <c r="D10" s="110" t="str">
        <v>Herdade da Aroeira, Almada</v>
      </c>
      <c r="E10" s="110" t="str">
        <v>3-BR</v>
      </c>
      <c r="F10" s="110">
        <v>146.5</v>
      </c>
      <c r="G10" s="110">
        <v>0</v>
      </c>
      <c r="H10" s="110" t="str">
        <v>2</v>
      </c>
      <c r="I10" s="110" t="str">
        <v/>
      </c>
      <c r="J10" s="110">
        <v>29.74</v>
      </c>
      <c r="K10" s="110">
        <v>0</v>
      </c>
      <c r="L10" s="110">
        <v>0</v>
      </c>
      <c r="M10" s="110">
        <v>0</v>
      </c>
      <c r="N10" s="110">
        <v>0</v>
      </c>
      <c r="O10" s="110">
        <v>116.76</v>
      </c>
      <c r="P10" s="110">
        <v>0</v>
      </c>
      <c r="Q10" s="110" t="str">
        <v xml:space="preserve">PSPA </v>
      </c>
      <c r="R10" s="110">
        <v>885000</v>
      </c>
      <c r="S10" s="110">
        <v>935000</v>
      </c>
      <c r="T10" s="110">
        <v>935000</v>
      </c>
      <c r="U10" s="110">
        <v>0</v>
      </c>
      <c r="V10" s="110">
        <v>50000</v>
      </c>
      <c r="W10" s="110">
        <v>885000</v>
      </c>
      <c r="X10" s="110">
        <v>0</v>
      </c>
      <c r="Y10" s="110">
        <v>935000</v>
      </c>
      <c r="Z10" s="110">
        <v>885000</v>
      </c>
      <c r="AA10" s="110">
        <v>45792</v>
      </c>
      <c r="AB10" s="111" t="str">
        <v>Q2 2025</v>
      </c>
      <c r="AC10">
        <v>45971</v>
      </c>
      <c r="AD10">
        <v>47118</v>
      </c>
      <c r="AE10" t="str">
        <v>João Gameiro</v>
      </c>
      <c r="AF10" t="str">
        <v>Miguel Ribeiro</v>
      </c>
      <c r="AG10" t="str">
        <v>https://www.aroeiracollections.com/</v>
      </c>
      <c r="AH10" t="str">
        <v>Aroeira Collections by Missoni: Elegance inspired by iconic design, set beside the renowned PGA golf course — where luxury living meets the rhythm of the coast.</v>
      </c>
      <c r="AI10" t="str">
        <v>Gym, Spa, Condo Pool, Private Pools, Tennis &amp; Padel Courts, Outdoor Areas, Smart Home Technology, Private Parking, Reception, Missoni Interiors, PGA Golf Course</v>
      </c>
      <c r="AJ10"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0" t="str">
        <v>Ana Costa, João Favila, Pedro Domingos</v>
      </c>
      <c r="AL10" t="str">
        <v>Aroeira Collections</v>
      </c>
    </row>
    <row r="11" spans="1:38" x14ac:dyDescent="0.3">
      <c r="A11" s="110" t="str">
        <v>Aroeira - APARTMENTS</v>
      </c>
      <c r="B11" s="110" t="str">
        <v>Center</v>
      </c>
      <c r="C11" s="110" t="str">
        <v>216B</v>
      </c>
      <c r="D11" s="110" t="str">
        <v>Herdade da Aroeira, Almada</v>
      </c>
      <c r="E11" s="110" t="str">
        <v>2-BR</v>
      </c>
      <c r="F11" s="110">
        <v>115.22</v>
      </c>
      <c r="G11" s="110">
        <v>0</v>
      </c>
      <c r="H11" s="110" t="str">
        <v>1</v>
      </c>
      <c r="I11" s="110" t="str">
        <v/>
      </c>
      <c r="J11" s="110">
        <v>23.35</v>
      </c>
      <c r="K11" s="110">
        <v>0</v>
      </c>
      <c r="L11" s="110">
        <v>0</v>
      </c>
      <c r="M11" s="110">
        <v>0</v>
      </c>
      <c r="N11" s="110">
        <v>0</v>
      </c>
      <c r="O11" s="110">
        <v>91.87</v>
      </c>
      <c r="P11" s="110">
        <v>0</v>
      </c>
      <c r="Q11" s="110" t="str">
        <v>RESERVED</v>
      </c>
      <c r="R11" s="110">
        <v>650000</v>
      </c>
      <c r="S11" s="110">
        <v>695000</v>
      </c>
      <c r="T11" s="110">
        <v>695000</v>
      </c>
      <c r="U11" s="110">
        <v>0</v>
      </c>
      <c r="V11" s="110">
        <v>45000</v>
      </c>
      <c r="W11" s="110">
        <v>650000</v>
      </c>
      <c r="X11" s="110">
        <v>0.02</v>
      </c>
      <c r="Y11" s="110">
        <v>681100</v>
      </c>
      <c r="Z11" s="110">
        <v>636100</v>
      </c>
      <c r="AA11" s="110">
        <v>45792</v>
      </c>
      <c r="AB11" s="111" t="str">
        <v>Q2 2025</v>
      </c>
      <c r="AC11">
        <v>46093</v>
      </c>
      <c r="AD11">
        <v>47118</v>
      </c>
      <c r="AE11" t="str">
        <v>João Gameiro</v>
      </c>
      <c r="AF11" t="str">
        <v>Miguel Ribeiro</v>
      </c>
      <c r="AG11" t="str">
        <v>https://www.aroeiracollections.com/</v>
      </c>
      <c r="AH11" t="str">
        <v>Aroeira Collections by Missoni: Elegance inspired by iconic design, set beside the renowned PGA golf course — where luxury living meets the rhythm of the coast.</v>
      </c>
      <c r="AI11" t="str">
        <v>Gym, Spa, Condo Pool, Private Pools, Tennis &amp; Padel Courts, Outdoor Areas, Smart Home Technology, Private Parking, Reception, Missoni Interiors, PGA Golf Course</v>
      </c>
      <c r="AJ11"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1" t="str">
        <v>Ana Costa, João Favila, Pedro Domingos</v>
      </c>
      <c r="AL11" t="str">
        <v>Aroeira Collections</v>
      </c>
    </row>
    <row r="12" spans="1:38" x14ac:dyDescent="0.3">
      <c r="A12" s="110" t="str">
        <v>Aroeira - APARTMENTS</v>
      </c>
      <c r="B12" s="110" t="str">
        <v>Center</v>
      </c>
      <c r="C12" s="110" t="str">
        <v>101B</v>
      </c>
      <c r="D12" s="110" t="str">
        <v>Herdade da Aroeira, Almada</v>
      </c>
      <c r="E12" s="110" t="str">
        <v>2-BR</v>
      </c>
      <c r="F12" s="110">
        <v>177.33</v>
      </c>
      <c r="G12" s="110">
        <v>0</v>
      </c>
      <c r="H12" s="110" t="str">
        <v>1</v>
      </c>
      <c r="I12" s="110" t="str">
        <v/>
      </c>
      <c r="J12" s="110">
        <v>23.39</v>
      </c>
      <c r="K12" s="110">
        <v>62.81</v>
      </c>
      <c r="L12" s="110">
        <v>0</v>
      </c>
      <c r="M12" s="110">
        <v>0</v>
      </c>
      <c r="N12" s="110">
        <v>0</v>
      </c>
      <c r="O12" s="110">
        <v>91.13</v>
      </c>
      <c r="P12" s="110">
        <v>0</v>
      </c>
      <c r="Q12" s="110" t="str">
        <v>NOT FOR SALE</v>
      </c>
      <c r="R12" s="110">
        <v>730000</v>
      </c>
      <c r="S12" s="110">
        <v>775000</v>
      </c>
      <c r="T12" s="110">
        <v>825000</v>
      </c>
      <c r="U12" s="110">
        <v>0</v>
      </c>
      <c r="V12" s="110">
        <v>45000</v>
      </c>
      <c r="W12" s="110">
        <v>780000</v>
      </c>
      <c r="X12" s="110">
        <v>0</v>
      </c>
      <c r="Y12" s="110">
        <v>0</v>
      </c>
      <c r="Z12" s="110">
        <v>-45000</v>
      </c>
      <c r="AA12" s="110">
        <v>45792</v>
      </c>
      <c r="AB12" s="111" t="str">
        <v>Q2 2025</v>
      </c>
      <c r="AC12">
        <v>0</v>
      </c>
      <c r="AD12">
        <v>47118</v>
      </c>
      <c r="AE12" t="str">
        <v>João Gameiro</v>
      </c>
      <c r="AF12" t="str">
        <v>Miguel Ribeiro</v>
      </c>
      <c r="AG12" t="str">
        <v>https://www.aroeiracollections.com/</v>
      </c>
      <c r="AH12" t="str">
        <v>Aroeira Collections by Missoni: Elegance inspired by iconic design, set beside the renowned PGA golf course — where luxury living meets the rhythm of the coast.</v>
      </c>
      <c r="AI12" t="str">
        <v>Gym, Spa, Condo Pool, Private Pools, Tennis &amp; Padel Courts, Outdoor Areas, Smart Home Technology, Private Parking, Reception, Missoni Interiors, PGA Golf Course</v>
      </c>
      <c r="AJ12"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2" t="str">
        <v>Ana Costa, João Favila, Pedro Domingos</v>
      </c>
      <c r="AL12" t="str">
        <v>Aroeira Collections</v>
      </c>
    </row>
    <row r="13" spans="1:38" x14ac:dyDescent="0.3">
      <c r="A13" s="110" t="str">
        <v>Aroeira - APARTMENTS</v>
      </c>
      <c r="B13" s="110" t="str">
        <v>Center</v>
      </c>
      <c r="C13" s="110" t="str">
        <v>102B</v>
      </c>
      <c r="D13" s="110" t="str">
        <v>Herdade da Aroeira, Almada</v>
      </c>
      <c r="E13" s="110" t="str">
        <v>2-BR</v>
      </c>
      <c r="F13" s="110">
        <v>178.55</v>
      </c>
      <c r="G13" s="110">
        <v>0</v>
      </c>
      <c r="H13" s="110" t="str">
        <v>1</v>
      </c>
      <c r="I13" s="110" t="str">
        <v/>
      </c>
      <c r="J13" s="110">
        <v>23.07</v>
      </c>
      <c r="K13" s="110">
        <v>65.5</v>
      </c>
      <c r="L13" s="110">
        <v>0</v>
      </c>
      <c r="M13" s="110">
        <v>0</v>
      </c>
      <c r="N13" s="110">
        <v>0</v>
      </c>
      <c r="O13" s="110">
        <v>89.98</v>
      </c>
      <c r="P13" s="110">
        <v>0</v>
      </c>
      <c r="Q13" s="110" t="str">
        <v>AVAILABLE</v>
      </c>
      <c r="R13" s="110">
        <v>725000</v>
      </c>
      <c r="S13" s="110">
        <v>770000</v>
      </c>
      <c r="T13" s="110">
        <v>820000</v>
      </c>
      <c r="U13" s="110">
        <v>0</v>
      </c>
      <c r="V13" s="110">
        <v>45000</v>
      </c>
      <c r="W13" s="110">
        <v>775000</v>
      </c>
      <c r="X13" s="110">
        <v>0</v>
      </c>
      <c r="Y13" s="110">
        <v>0</v>
      </c>
      <c r="Z13" s="110">
        <v>-45000</v>
      </c>
      <c r="AA13" s="110">
        <v>45792</v>
      </c>
      <c r="AB13" s="111" t="str">
        <v>Q2 2025</v>
      </c>
      <c r="AC13">
        <v>0</v>
      </c>
      <c r="AD13">
        <v>47118</v>
      </c>
      <c r="AE13" t="str">
        <v>João Gameiro</v>
      </c>
      <c r="AF13" t="str">
        <v>Miguel Ribeiro</v>
      </c>
      <c r="AG13" t="str">
        <v>https://www.aroeiracollections.com/</v>
      </c>
      <c r="AH13" t="str">
        <v>Aroeira Collections by Missoni: Elegance inspired by iconic design, set beside the renowned PGA golf course — where luxury living meets the rhythm of the coast.</v>
      </c>
      <c r="AI13" t="str">
        <v>Gym, Spa, Condo Pool, Private Pools, Tennis &amp; Padel Courts, Outdoor Areas, Smart Home Technology, Private Parking, Reception, Missoni Interiors, PGA Golf Course</v>
      </c>
      <c r="AJ13"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3" t="str">
        <v>Ana Costa, João Favila, Pedro Domingos</v>
      </c>
      <c r="AL13" t="str">
        <v>Aroeira Collections</v>
      </c>
    </row>
    <row r="14" spans="1:38" x14ac:dyDescent="0.3">
      <c r="A14" s="110" t="str">
        <v>Aroeira - APARTMENTS</v>
      </c>
      <c r="B14" s="110" t="str">
        <v>Center</v>
      </c>
      <c r="C14" s="110" t="str">
        <v>103B</v>
      </c>
      <c r="D14" s="110" t="str">
        <v>Herdade da Aroeira, Almada</v>
      </c>
      <c r="E14" s="110" t="str">
        <v>2-BR</v>
      </c>
      <c r="F14" s="110">
        <v>161.18</v>
      </c>
      <c r="G14" s="110">
        <v>0</v>
      </c>
      <c r="H14" s="110" t="str">
        <v>1</v>
      </c>
      <c r="I14" s="110" t="str">
        <v/>
      </c>
      <c r="J14" s="110">
        <v>23.37</v>
      </c>
      <c r="K14" s="110">
        <v>46.79</v>
      </c>
      <c r="L14" s="110">
        <v>0</v>
      </c>
      <c r="M14" s="110">
        <v>0</v>
      </c>
      <c r="N14" s="110">
        <v>0</v>
      </c>
      <c r="O14" s="110">
        <v>91.02</v>
      </c>
      <c r="P14" s="110">
        <v>0</v>
      </c>
      <c r="Q14" s="110" t="str">
        <v>NOT FOR SALE</v>
      </c>
      <c r="R14" s="110">
        <v>720000</v>
      </c>
      <c r="S14" s="110">
        <v>765000</v>
      </c>
      <c r="T14" s="110">
        <v>830000</v>
      </c>
      <c r="U14" s="110">
        <v>0</v>
      </c>
      <c r="V14" s="110">
        <v>45000</v>
      </c>
      <c r="W14" s="110">
        <v>785000</v>
      </c>
      <c r="X14" s="110">
        <v>0</v>
      </c>
      <c r="Y14" s="110">
        <v>0</v>
      </c>
      <c r="Z14" s="110">
        <v>-45000</v>
      </c>
      <c r="AA14" s="110">
        <v>45792</v>
      </c>
      <c r="AB14" s="111" t="str">
        <v>Q2 2025</v>
      </c>
      <c r="AC14">
        <v>0</v>
      </c>
      <c r="AD14">
        <v>47118</v>
      </c>
      <c r="AE14" t="str">
        <v>João Gameiro</v>
      </c>
      <c r="AF14" t="str">
        <v>Miguel Ribeiro</v>
      </c>
      <c r="AG14" t="str">
        <v>https://www.aroeiracollections.com/</v>
      </c>
      <c r="AH14" t="str">
        <v>Aroeira Collections by Missoni: Elegance inspired by iconic design, set beside the renowned PGA golf course — where luxury living meets the rhythm of the coast.</v>
      </c>
      <c r="AI14" t="str">
        <v>Gym, Spa, Condo Pool, Private Pools, Tennis &amp; Padel Courts, Outdoor Areas, Smart Home Technology, Private Parking, Reception, Missoni Interiors, PGA Golf Course</v>
      </c>
      <c r="AJ14"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4" t="str">
        <v>Ana Costa, João Favila, Pedro Domingos</v>
      </c>
      <c r="AL14" t="str">
        <v>Aroeira Collections</v>
      </c>
    </row>
    <row r="15" spans="1:38" x14ac:dyDescent="0.3">
      <c r="A15" s="110" t="str">
        <v>Aroeira - APARTMENTS</v>
      </c>
      <c r="B15" s="110" t="str">
        <v>Center</v>
      </c>
      <c r="C15" s="110" t="str">
        <v>104B</v>
      </c>
      <c r="D15" s="110" t="str">
        <v>Herdade da Aroeira, Almada</v>
      </c>
      <c r="E15" s="110" t="str">
        <v>2-BR</v>
      </c>
      <c r="F15" s="110">
        <v>176.52</v>
      </c>
      <c r="G15" s="110">
        <v>0</v>
      </c>
      <c r="H15" s="110" t="str">
        <v>1</v>
      </c>
      <c r="I15" s="110" t="str">
        <v/>
      </c>
      <c r="J15" s="110">
        <v>23.43</v>
      </c>
      <c r="K15" s="110">
        <v>61.92</v>
      </c>
      <c r="L15" s="110">
        <v>0</v>
      </c>
      <c r="M15" s="110">
        <v>0</v>
      </c>
      <c r="N15" s="110">
        <v>0</v>
      </c>
      <c r="O15" s="110">
        <v>91.17</v>
      </c>
      <c r="P15" s="110">
        <v>0</v>
      </c>
      <c r="Q15" s="110" t="str">
        <v>AVAILABLE</v>
      </c>
      <c r="R15" s="110">
        <v>730000</v>
      </c>
      <c r="S15" s="110">
        <v>775000</v>
      </c>
      <c r="T15" s="110">
        <v>835000</v>
      </c>
      <c r="U15" s="110">
        <v>0</v>
      </c>
      <c r="V15" s="110">
        <v>45000</v>
      </c>
      <c r="W15" s="110">
        <v>790000</v>
      </c>
      <c r="X15" s="110">
        <v>0</v>
      </c>
      <c r="Y15" s="110">
        <v>0</v>
      </c>
      <c r="Z15" s="110">
        <v>-45000</v>
      </c>
      <c r="AA15" s="110">
        <v>45792</v>
      </c>
      <c r="AB15" s="111" t="str">
        <v>Q2 2025</v>
      </c>
      <c r="AC15">
        <v>0</v>
      </c>
      <c r="AD15">
        <v>47118</v>
      </c>
      <c r="AE15" t="str">
        <v>João Gameiro</v>
      </c>
      <c r="AF15" t="str">
        <v>Miguel Ribeiro</v>
      </c>
      <c r="AG15" t="str">
        <v>https://www.aroeiracollections.com/</v>
      </c>
      <c r="AH15" t="str">
        <v>Aroeira Collections by Missoni: Elegance inspired by iconic design, set beside the renowned PGA golf course — where luxury living meets the rhythm of the coast.</v>
      </c>
      <c r="AI15" t="str">
        <v>Gym, Spa, Condo Pool, Private Pools, Tennis &amp; Padel Courts, Outdoor Areas, Smart Home Technology, Private Parking, Reception, Missoni Interiors, PGA Golf Course</v>
      </c>
      <c r="AJ15"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5" t="str">
        <v>Ana Costa, João Favila, Pedro Domingos</v>
      </c>
      <c r="AL15" t="str">
        <v>Aroeira Collections</v>
      </c>
    </row>
    <row r="16" spans="1:38" x14ac:dyDescent="0.3">
      <c r="A16" s="110" t="str">
        <v>Aroeira - APARTMENTS</v>
      </c>
      <c r="B16" s="110" t="str">
        <v>Center</v>
      </c>
      <c r="C16" s="110" t="str">
        <v>107B</v>
      </c>
      <c r="D16" s="110" t="str">
        <v>Herdade da Aroeira, Almada</v>
      </c>
      <c r="E16" s="110" t="str">
        <v>2-BR</v>
      </c>
      <c r="F16" s="110">
        <v>206.08</v>
      </c>
      <c r="G16" s="110">
        <v>0</v>
      </c>
      <c r="H16" s="110" t="str">
        <v>1</v>
      </c>
      <c r="I16" s="110" t="str">
        <v/>
      </c>
      <c r="J16" s="110">
        <v>23.05</v>
      </c>
      <c r="K16" s="110">
        <v>92.93</v>
      </c>
      <c r="L16" s="110">
        <v>0</v>
      </c>
      <c r="M16" s="110">
        <v>0</v>
      </c>
      <c r="N16" s="110">
        <v>0</v>
      </c>
      <c r="O16" s="110">
        <v>90.1</v>
      </c>
      <c r="P16" s="110">
        <v>0</v>
      </c>
      <c r="Q16" s="110" t="str">
        <v>NOT FOR SALE</v>
      </c>
      <c r="R16" s="110">
        <v>745000</v>
      </c>
      <c r="S16" s="110">
        <v>790000</v>
      </c>
      <c r="T16" s="110">
        <v>850000</v>
      </c>
      <c r="U16" s="110">
        <v>0</v>
      </c>
      <c r="V16" s="110">
        <v>45000</v>
      </c>
      <c r="W16" s="110">
        <v>805000</v>
      </c>
      <c r="X16" s="110">
        <v>0</v>
      </c>
      <c r="Y16" s="110">
        <v>0</v>
      </c>
      <c r="Z16" s="110">
        <v>-45000</v>
      </c>
      <c r="AA16" s="110">
        <v>45792</v>
      </c>
      <c r="AB16" s="111" t="str">
        <v>Q2 2025</v>
      </c>
      <c r="AC16">
        <v>0</v>
      </c>
      <c r="AD16">
        <v>47118</v>
      </c>
      <c r="AE16" t="str">
        <v>João Gameiro</v>
      </c>
      <c r="AF16" t="str">
        <v>Miguel Ribeiro</v>
      </c>
      <c r="AG16" t="str">
        <v>https://www.aroeiracollections.com/</v>
      </c>
      <c r="AH16" t="str">
        <v>Aroeira Collections by Missoni: Elegance inspired by iconic design, set beside the renowned PGA golf course — where luxury living meets the rhythm of the coast.</v>
      </c>
      <c r="AI16" t="str">
        <v>Gym, Spa, Condo Pool, Private Pools, Tennis &amp; Padel Courts, Outdoor Areas, Smart Home Technology, Private Parking, Reception, Missoni Interiors, PGA Golf Course</v>
      </c>
      <c r="AJ16"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6" t="str">
        <v>Ana Costa, João Favila, Pedro Domingos</v>
      </c>
      <c r="AL16" t="str">
        <v>Aroeira Collections</v>
      </c>
    </row>
    <row r="17" spans="1:38" x14ac:dyDescent="0.3">
      <c r="A17" s="110" t="str">
        <v>Aroeira - APARTMENTS</v>
      </c>
      <c r="B17" s="110" t="str">
        <v>Center</v>
      </c>
      <c r="C17" s="110" t="str">
        <v>108B</v>
      </c>
      <c r="D17" s="110" t="str">
        <v>Herdade da Aroeira, Almada</v>
      </c>
      <c r="E17" s="110" t="str">
        <v>2-BR</v>
      </c>
      <c r="F17" s="110">
        <v>206.23</v>
      </c>
      <c r="G17" s="110">
        <v>0</v>
      </c>
      <c r="H17" s="110" t="str">
        <v>1</v>
      </c>
      <c r="I17" s="110" t="str">
        <v/>
      </c>
      <c r="J17" s="110">
        <v>23.07</v>
      </c>
      <c r="K17" s="110">
        <v>93.07</v>
      </c>
      <c r="L17" s="110">
        <v>0</v>
      </c>
      <c r="M17" s="110">
        <v>0</v>
      </c>
      <c r="N17" s="110">
        <v>0</v>
      </c>
      <c r="O17" s="110">
        <v>90.09</v>
      </c>
      <c r="P17" s="110">
        <v>0</v>
      </c>
      <c r="Q17" s="110" t="str">
        <v>NOT FOR SALE</v>
      </c>
      <c r="R17" s="110">
        <v>745000</v>
      </c>
      <c r="S17" s="110">
        <v>790000</v>
      </c>
      <c r="T17" s="110">
        <v>850000</v>
      </c>
      <c r="U17" s="110">
        <v>0</v>
      </c>
      <c r="V17" s="110">
        <v>45000</v>
      </c>
      <c r="W17" s="110">
        <v>805000</v>
      </c>
      <c r="X17" s="110">
        <v>0</v>
      </c>
      <c r="Y17" s="110">
        <v>0</v>
      </c>
      <c r="Z17" s="110">
        <v>-45000</v>
      </c>
      <c r="AA17" s="110">
        <v>45792</v>
      </c>
      <c r="AB17" s="111" t="str">
        <v>Q2 2025</v>
      </c>
      <c r="AC17">
        <v>0</v>
      </c>
      <c r="AD17">
        <v>47118</v>
      </c>
      <c r="AE17" t="str">
        <v>João Gameiro</v>
      </c>
      <c r="AF17" t="str">
        <v>Miguel Ribeiro</v>
      </c>
      <c r="AG17" t="str">
        <v>https://www.aroeiracollections.com/</v>
      </c>
      <c r="AH17" t="str">
        <v>Aroeira Collections by Missoni: Elegance inspired by iconic design, set beside the renowned PGA golf course — where luxury living meets the rhythm of the coast.</v>
      </c>
      <c r="AI17" t="str">
        <v>Gym, Spa, Condo Pool, Private Pools, Tennis &amp; Padel Courts, Outdoor Areas, Smart Home Technology, Private Parking, Reception, Missoni Interiors, PGA Golf Course</v>
      </c>
      <c r="AJ17"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7" t="str">
        <v>Ana Costa, João Favila, Pedro Domingos</v>
      </c>
      <c r="AL17" t="str">
        <v>Aroeira Collections</v>
      </c>
    </row>
    <row r="18" spans="1:38" x14ac:dyDescent="0.3">
      <c r="A18" s="110" t="str">
        <v>Aroeira - APARTMENTS</v>
      </c>
      <c r="B18" s="110" t="str">
        <v>Center</v>
      </c>
      <c r="C18" s="110" t="str">
        <v>111B</v>
      </c>
      <c r="D18" s="110" t="str">
        <v>Herdade da Aroeira, Almada</v>
      </c>
      <c r="E18" s="110" t="str">
        <v>2-BR</v>
      </c>
      <c r="F18" s="110">
        <v>167.67</v>
      </c>
      <c r="G18" s="110">
        <v>0</v>
      </c>
      <c r="H18" s="110" t="str">
        <v>1</v>
      </c>
      <c r="I18" s="110" t="str">
        <v/>
      </c>
      <c r="J18" s="110">
        <v>3.87</v>
      </c>
      <c r="K18" s="110">
        <v>50.03</v>
      </c>
      <c r="L18" s="110">
        <v>0</v>
      </c>
      <c r="M18" s="110">
        <v>0</v>
      </c>
      <c r="N18" s="110">
        <v>0</v>
      </c>
      <c r="O18" s="110">
        <v>113.77</v>
      </c>
      <c r="P18" s="110">
        <v>0</v>
      </c>
      <c r="Q18" s="110" t="str">
        <v>AVAILABLE</v>
      </c>
      <c r="R18" s="110">
        <v>780000</v>
      </c>
      <c r="S18" s="110">
        <v>825000</v>
      </c>
      <c r="T18" s="110">
        <v>850000</v>
      </c>
      <c r="U18" s="110">
        <v>0</v>
      </c>
      <c r="V18" s="110">
        <v>45000</v>
      </c>
      <c r="W18" s="110">
        <v>805000</v>
      </c>
      <c r="X18" s="110">
        <v>0</v>
      </c>
      <c r="Y18" s="110">
        <v>0</v>
      </c>
      <c r="Z18" s="110">
        <v>-45000</v>
      </c>
      <c r="AA18" s="110">
        <v>45792</v>
      </c>
      <c r="AB18" s="111" t="str">
        <v>Q2 2025</v>
      </c>
      <c r="AC18">
        <v>0</v>
      </c>
      <c r="AD18">
        <v>47118</v>
      </c>
      <c r="AE18" t="str">
        <v>João Gameiro</v>
      </c>
      <c r="AF18" t="str">
        <v>Miguel Ribeiro</v>
      </c>
      <c r="AG18" t="str">
        <v>https://www.aroeiracollections.com/</v>
      </c>
      <c r="AH18" t="str">
        <v>Aroeira Collections by Missoni: Elegance inspired by iconic design, set beside the renowned PGA golf course — where luxury living meets the rhythm of the coast.</v>
      </c>
      <c r="AI18" t="str">
        <v>Gym, Spa, Condo Pool, Private Pools, Tennis &amp; Padel Courts, Outdoor Areas, Smart Home Technology, Private Parking, Reception, Missoni Interiors, PGA Golf Course</v>
      </c>
      <c r="AJ18"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8" t="str">
        <v>Ana Costa, João Favila, Pedro Domingos</v>
      </c>
      <c r="AL18" t="str">
        <v>Aroeira Collections</v>
      </c>
    </row>
    <row r="19" spans="1:38" x14ac:dyDescent="0.3">
      <c r="A19" s="110" t="str">
        <v>Aroeira - APARTMENTS</v>
      </c>
      <c r="B19" s="110" t="str">
        <v>Center</v>
      </c>
      <c r="C19" s="110" t="str">
        <v>113C</v>
      </c>
      <c r="D19" s="110" t="str">
        <v>Herdade da Aroeira, Almada</v>
      </c>
      <c r="E19" s="110" t="str">
        <v>3-BR</v>
      </c>
      <c r="F19" s="110">
        <v>314.93</v>
      </c>
      <c r="G19" s="110">
        <v>0</v>
      </c>
      <c r="H19" s="110" t="str">
        <v>2</v>
      </c>
      <c r="I19" s="110" t="str">
        <v>1</v>
      </c>
      <c r="J19" s="110">
        <v>6.02</v>
      </c>
      <c r="K19" s="110">
        <v>168.31</v>
      </c>
      <c r="L19" s="110">
        <v>0</v>
      </c>
      <c r="M19" s="110">
        <v>0</v>
      </c>
      <c r="N19" s="110">
        <v>0</v>
      </c>
      <c r="O19" s="110">
        <v>140.6</v>
      </c>
      <c r="P19" s="110">
        <v>0</v>
      </c>
      <c r="Q19" s="110" t="str">
        <v>AVAILABLE</v>
      </c>
      <c r="R19" s="110">
        <v>1170000</v>
      </c>
      <c r="S19" s="110">
        <v>1220000</v>
      </c>
      <c r="T19" s="110">
        <v>1220000</v>
      </c>
      <c r="U19" s="110">
        <v>0</v>
      </c>
      <c r="V19" s="110">
        <v>50000</v>
      </c>
      <c r="W19" s="110">
        <v>1170000</v>
      </c>
      <c r="X19" s="110">
        <v>0</v>
      </c>
      <c r="Y19" s="110">
        <v>0</v>
      </c>
      <c r="Z19" s="110">
        <v>-50000</v>
      </c>
      <c r="AA19" s="110">
        <v>45792</v>
      </c>
      <c r="AB19" s="111" t="str">
        <v>Q2 2025</v>
      </c>
      <c r="AC19">
        <v>0</v>
      </c>
      <c r="AD19">
        <v>47118</v>
      </c>
      <c r="AE19" t="str">
        <v>João Gameiro</v>
      </c>
      <c r="AF19" t="str">
        <v>Miguel Ribeiro</v>
      </c>
      <c r="AG19" t="str">
        <v>https://www.aroeiracollections.com/</v>
      </c>
      <c r="AH19" t="str">
        <v>Aroeira Collections by Missoni: Elegance inspired by iconic design, set beside the renowned PGA golf course — where luxury living meets the rhythm of the coast.</v>
      </c>
      <c r="AI19" t="str">
        <v>Gym, Spa, Condo Pool, Private Pools, Tennis &amp; Padel Courts, Outdoor Areas, Smart Home Technology, Private Parking, Reception, Missoni Interiors, PGA Golf Course</v>
      </c>
      <c r="AJ19"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9" t="str">
        <v>Ana Costa, João Favila, Pedro Domingos</v>
      </c>
      <c r="AL19" t="str">
        <v>Aroeira Collections</v>
      </c>
    </row>
    <row r="20" spans="1:38" x14ac:dyDescent="0.3">
      <c r="A20" s="110" t="str">
        <v>Aroeira - APARTMENTS</v>
      </c>
      <c r="B20" s="110" t="str">
        <v>Center</v>
      </c>
      <c r="C20" s="110" t="str">
        <v>114B</v>
      </c>
      <c r="D20" s="110" t="str">
        <v>Herdade da Aroeira, Almada</v>
      </c>
      <c r="E20" s="110" t="str">
        <v>2-BR</v>
      </c>
      <c r="F20" s="110">
        <v>261.39</v>
      </c>
      <c r="G20" s="110">
        <v>0</v>
      </c>
      <c r="H20" s="110" t="str">
        <v>1</v>
      </c>
      <c r="I20" s="110" t="str">
        <v/>
      </c>
      <c r="J20" s="110">
        <v>3.87</v>
      </c>
      <c r="K20" s="110">
        <v>145.04</v>
      </c>
      <c r="L20" s="110">
        <v>0</v>
      </c>
      <c r="M20" s="110">
        <v>0</v>
      </c>
      <c r="N20" s="110">
        <v>0</v>
      </c>
      <c r="O20" s="110">
        <v>112.48</v>
      </c>
      <c r="P20" s="110">
        <v>0</v>
      </c>
      <c r="Q20" s="110" t="str">
        <v>NOT FOR SALE</v>
      </c>
      <c r="R20" s="110">
        <v>840000</v>
      </c>
      <c r="S20" s="110">
        <v>885000</v>
      </c>
      <c r="T20" s="110">
        <v>910000</v>
      </c>
      <c r="U20" s="110">
        <v>0</v>
      </c>
      <c r="V20" s="110">
        <v>45000</v>
      </c>
      <c r="W20" s="110">
        <v>865000</v>
      </c>
      <c r="X20" s="110">
        <v>0</v>
      </c>
      <c r="Y20" s="110">
        <v>0</v>
      </c>
      <c r="Z20" s="110">
        <v>-45000</v>
      </c>
      <c r="AA20" s="110">
        <v>45792</v>
      </c>
      <c r="AB20" s="111" t="str">
        <v>Q2 2025</v>
      </c>
      <c r="AC20">
        <v>0</v>
      </c>
      <c r="AD20">
        <v>47118</v>
      </c>
      <c r="AE20" t="str">
        <v>João Gameiro</v>
      </c>
      <c r="AF20" t="str">
        <v>Miguel Ribeiro</v>
      </c>
      <c r="AG20" t="str">
        <v>https://www.aroeiracollections.com/</v>
      </c>
      <c r="AH20" t="str">
        <v>Aroeira Collections by Missoni: Elegance inspired by iconic design, set beside the renowned PGA golf course — where luxury living meets the rhythm of the coast.</v>
      </c>
      <c r="AI20" t="str">
        <v>Gym, Spa, Condo Pool, Private Pools, Tennis &amp; Padel Courts, Outdoor Areas, Smart Home Technology, Private Parking, Reception, Missoni Interiors, PGA Golf Course</v>
      </c>
      <c r="AJ20"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0" t="str">
        <v>Ana Costa, João Favila, Pedro Domingos</v>
      </c>
      <c r="AL20" t="str">
        <v>Aroeira Collections</v>
      </c>
    </row>
    <row r="21" spans="1:38" x14ac:dyDescent="0.3">
      <c r="A21" s="110" t="str">
        <v>Aroeira - APARTMENTS</v>
      </c>
      <c r="B21" s="110" t="str">
        <v>Center</v>
      </c>
      <c r="C21" s="110" t="str">
        <v>115C</v>
      </c>
      <c r="D21" s="110" t="str">
        <v>Herdade da Aroeira, Almada</v>
      </c>
      <c r="E21" s="110" t="str">
        <v>3-BR</v>
      </c>
      <c r="F21" s="110">
        <v>331.7</v>
      </c>
      <c r="G21" s="110">
        <v>0</v>
      </c>
      <c r="H21" s="110" t="str">
        <v>2</v>
      </c>
      <c r="I21" s="110" t="str">
        <v>1</v>
      </c>
      <c r="J21" s="110">
        <v>6.02</v>
      </c>
      <c r="K21" s="110">
        <v>185.07</v>
      </c>
      <c r="L21" s="110">
        <v>0</v>
      </c>
      <c r="M21" s="110">
        <v>0</v>
      </c>
      <c r="N21" s="110">
        <v>0</v>
      </c>
      <c r="O21" s="110">
        <v>140.61000000000001</v>
      </c>
      <c r="P21" s="110">
        <v>0</v>
      </c>
      <c r="Q21" s="110" t="str">
        <v>NOT FOR SALE</v>
      </c>
      <c r="R21" s="110">
        <v>1180000</v>
      </c>
      <c r="S21" s="110">
        <v>1230000</v>
      </c>
      <c r="T21" s="110">
        <v>1280000</v>
      </c>
      <c r="U21" s="110">
        <v>0</v>
      </c>
      <c r="V21" s="110">
        <v>50000</v>
      </c>
      <c r="W21" s="110">
        <v>1230000</v>
      </c>
      <c r="X21" s="110">
        <v>0</v>
      </c>
      <c r="Y21" s="110">
        <v>0</v>
      </c>
      <c r="Z21" s="110">
        <v>-50000</v>
      </c>
      <c r="AA21" s="110">
        <v>45792</v>
      </c>
      <c r="AB21" s="111" t="str">
        <v>Q2 2025</v>
      </c>
      <c r="AC21">
        <v>0</v>
      </c>
      <c r="AD21">
        <v>47118</v>
      </c>
      <c r="AE21" t="str">
        <v>João Gameiro</v>
      </c>
      <c r="AF21" t="str">
        <v>Miguel Ribeiro</v>
      </c>
      <c r="AG21" t="str">
        <v>https://www.aroeiracollections.com/</v>
      </c>
      <c r="AH21" t="str">
        <v>Aroeira Collections by Missoni: Elegance inspired by iconic design, set beside the renowned PGA golf course — where luxury living meets the rhythm of the coast.</v>
      </c>
      <c r="AI21" t="str">
        <v>Gym, Spa, Condo Pool, Private Pools, Tennis &amp; Padel Courts, Outdoor Areas, Smart Home Technology, Private Parking, Reception, Missoni Interiors, PGA Golf Course</v>
      </c>
      <c r="AJ21"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1" t="str">
        <v>Ana Costa, João Favila, Pedro Domingos</v>
      </c>
      <c r="AL21" t="str">
        <v>Aroeira Collections</v>
      </c>
    </row>
    <row r="22" spans="1:38" x14ac:dyDescent="0.3">
      <c r="A22" s="110" t="str">
        <v>Aroeira - APARTMENTS</v>
      </c>
      <c r="B22" s="110" t="str">
        <v>Center</v>
      </c>
      <c r="C22" s="110" t="str">
        <v>116B</v>
      </c>
      <c r="D22" s="110" t="str">
        <v>Herdade da Aroeira, Almada</v>
      </c>
      <c r="E22" s="110" t="str">
        <v>2-BR</v>
      </c>
      <c r="F22" s="110">
        <v>263.27999999999997</v>
      </c>
      <c r="G22" s="110">
        <v>0</v>
      </c>
      <c r="H22" s="110" t="str">
        <v>1</v>
      </c>
      <c r="I22" s="110" t="str">
        <v/>
      </c>
      <c r="J22" s="110">
        <v>3.87</v>
      </c>
      <c r="K22" s="110">
        <v>146.97999999999999</v>
      </c>
      <c r="L22" s="110">
        <v>0</v>
      </c>
      <c r="M22" s="110">
        <v>0</v>
      </c>
      <c r="N22" s="110">
        <v>0</v>
      </c>
      <c r="O22" s="110">
        <v>112.43</v>
      </c>
      <c r="P22" s="110">
        <v>0</v>
      </c>
      <c r="Q22" s="110" t="str">
        <v>NOT FOR SALE</v>
      </c>
      <c r="R22" s="110">
        <v>840000</v>
      </c>
      <c r="S22" s="110">
        <v>885000</v>
      </c>
      <c r="T22" s="110">
        <v>910000</v>
      </c>
      <c r="U22" s="110">
        <v>0</v>
      </c>
      <c r="V22" s="110">
        <v>45000</v>
      </c>
      <c r="W22" s="110">
        <v>865000</v>
      </c>
      <c r="X22" s="110">
        <v>0</v>
      </c>
      <c r="Y22" s="110">
        <v>0</v>
      </c>
      <c r="Z22" s="110">
        <v>-45000</v>
      </c>
      <c r="AA22" s="110">
        <v>45792</v>
      </c>
      <c r="AB22" s="111" t="str">
        <v>Q2 2025</v>
      </c>
      <c r="AC22">
        <v>0</v>
      </c>
      <c r="AD22">
        <v>47118</v>
      </c>
      <c r="AE22" t="str">
        <v>João Gameiro</v>
      </c>
      <c r="AF22" t="str">
        <v>Miguel Ribeiro</v>
      </c>
      <c r="AG22" t="str">
        <v>https://www.aroeiracollections.com/</v>
      </c>
      <c r="AH22" t="str">
        <v>Aroeira Collections by Missoni: Elegance inspired by iconic design, set beside the renowned PGA golf course — where luxury living meets the rhythm of the coast.</v>
      </c>
      <c r="AI22" t="str">
        <v>Gym, Spa, Condo Pool, Private Pools, Tennis &amp; Padel Courts, Outdoor Areas, Smart Home Technology, Private Parking, Reception, Missoni Interiors, PGA Golf Course</v>
      </c>
      <c r="AJ22"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2" t="str">
        <v>Ana Costa, João Favila, Pedro Domingos</v>
      </c>
      <c r="AL22" t="str">
        <v>Aroeira Collections</v>
      </c>
    </row>
    <row r="23" spans="1:38" x14ac:dyDescent="0.3">
      <c r="A23" s="110" t="str">
        <v>Aroeira - APARTMENTS</v>
      </c>
      <c r="B23" s="110" t="str">
        <v>Center</v>
      </c>
      <c r="C23" s="110" t="str">
        <v>117C</v>
      </c>
      <c r="D23" s="110" t="str">
        <v>Herdade da Aroeira, Almada</v>
      </c>
      <c r="E23" s="110" t="str">
        <v>3-BR</v>
      </c>
      <c r="F23" s="110">
        <v>345.41</v>
      </c>
      <c r="G23" s="110">
        <v>0</v>
      </c>
      <c r="H23" s="110" t="str">
        <v>2</v>
      </c>
      <c r="I23" s="110" t="str">
        <v>1</v>
      </c>
      <c r="J23" s="110">
        <v>6.02</v>
      </c>
      <c r="K23" s="110">
        <v>197.51</v>
      </c>
      <c r="L23" s="110">
        <v>0</v>
      </c>
      <c r="M23" s="110">
        <v>0</v>
      </c>
      <c r="N23" s="110">
        <v>0</v>
      </c>
      <c r="O23" s="110">
        <v>141.88</v>
      </c>
      <c r="P23" s="110">
        <v>0</v>
      </c>
      <c r="Q23" s="110" t="str">
        <v>AVAILABLE</v>
      </c>
      <c r="R23" s="110">
        <v>1200000</v>
      </c>
      <c r="S23" s="110">
        <v>1250000</v>
      </c>
      <c r="T23" s="110">
        <v>1250000</v>
      </c>
      <c r="U23" s="110">
        <v>0</v>
      </c>
      <c r="V23" s="110">
        <v>50000</v>
      </c>
      <c r="W23" s="110">
        <v>1200000</v>
      </c>
      <c r="X23" s="110">
        <v>0</v>
      </c>
      <c r="Y23" s="110">
        <v>0</v>
      </c>
      <c r="Z23" s="110">
        <v>-50000</v>
      </c>
      <c r="AA23" s="110">
        <v>45792</v>
      </c>
      <c r="AB23" s="111" t="str">
        <v>Q2 2025</v>
      </c>
      <c r="AC23">
        <v>0</v>
      </c>
      <c r="AD23">
        <v>47118</v>
      </c>
      <c r="AE23" t="str">
        <v>João Gameiro</v>
      </c>
      <c r="AF23" t="str">
        <v>Miguel Ribeiro</v>
      </c>
      <c r="AG23" t="str">
        <v>https://www.aroeiracollections.com/</v>
      </c>
      <c r="AH23" t="str">
        <v>Aroeira Collections by Missoni: Elegance inspired by iconic design, set beside the renowned PGA golf course — where luxury living meets the rhythm of the coast.</v>
      </c>
      <c r="AI23" t="str">
        <v>Gym, Spa, Condo Pool, Private Pools, Tennis &amp; Padel Courts, Outdoor Areas, Smart Home Technology, Private Parking, Reception, Missoni Interiors, PGA Golf Course</v>
      </c>
      <c r="AJ23"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3" t="str">
        <v>Ana Costa, João Favila, Pedro Domingos</v>
      </c>
      <c r="AL23" t="str">
        <v>Aroeira Collections</v>
      </c>
    </row>
    <row r="24" spans="1:38" x14ac:dyDescent="0.3">
      <c r="A24" s="110" t="str">
        <v>Aroeira - APARTMENTS</v>
      </c>
      <c r="B24" s="110" t="str">
        <v>Center</v>
      </c>
      <c r="C24" s="110" t="str">
        <v>118B</v>
      </c>
      <c r="D24" s="110" t="str">
        <v>Herdade da Aroeira, Almada</v>
      </c>
      <c r="E24" s="110" t="str">
        <v>2-BR</v>
      </c>
      <c r="F24" s="110">
        <v>256.23</v>
      </c>
      <c r="G24" s="110">
        <v>0</v>
      </c>
      <c r="H24" s="110" t="str">
        <v>1</v>
      </c>
      <c r="I24" s="110" t="str">
        <v/>
      </c>
      <c r="J24" s="110">
        <v>3.87</v>
      </c>
      <c r="K24" s="110">
        <v>138.54</v>
      </c>
      <c r="L24" s="110">
        <v>0</v>
      </c>
      <c r="M24" s="110">
        <v>0</v>
      </c>
      <c r="N24" s="110">
        <v>0</v>
      </c>
      <c r="O24" s="110">
        <v>113.82</v>
      </c>
      <c r="P24" s="110">
        <v>0</v>
      </c>
      <c r="Q24" s="110" t="str">
        <v>NOT FOR SALE</v>
      </c>
      <c r="R24" s="110">
        <v>845000</v>
      </c>
      <c r="S24" s="110">
        <v>890000</v>
      </c>
      <c r="T24" s="110">
        <v>915000</v>
      </c>
      <c r="U24" s="110">
        <v>0</v>
      </c>
      <c r="V24" s="110">
        <v>45000</v>
      </c>
      <c r="W24" s="110">
        <v>870000</v>
      </c>
      <c r="X24" s="110">
        <v>0</v>
      </c>
      <c r="Y24" s="110">
        <v>0</v>
      </c>
      <c r="Z24" s="110">
        <v>-45000</v>
      </c>
      <c r="AA24" s="110">
        <v>45792</v>
      </c>
      <c r="AB24" s="111" t="str">
        <v>Q2 2025</v>
      </c>
      <c r="AC24">
        <v>0</v>
      </c>
      <c r="AD24">
        <v>47118</v>
      </c>
      <c r="AE24" t="str">
        <v>João Gameiro</v>
      </c>
      <c r="AF24" t="str">
        <v>Miguel Ribeiro</v>
      </c>
      <c r="AG24" t="str">
        <v>https://www.aroeiracollections.com/</v>
      </c>
      <c r="AH24" t="str">
        <v>Aroeira Collections by Missoni: Elegance inspired by iconic design, set beside the renowned PGA golf course — where luxury living meets the rhythm of the coast.</v>
      </c>
      <c r="AI24" t="str">
        <v>Gym, Spa, Condo Pool, Private Pools, Tennis &amp; Padel Courts, Outdoor Areas, Smart Home Technology, Private Parking, Reception, Missoni Interiors, PGA Golf Course</v>
      </c>
      <c r="AJ24"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4" t="str">
        <v>Ana Costa, João Favila, Pedro Domingos</v>
      </c>
      <c r="AL24" t="str">
        <v>Aroeira Collections</v>
      </c>
    </row>
    <row r="25" spans="1:38" x14ac:dyDescent="0.3">
      <c r="A25" s="110" t="str">
        <v>Aroeira - APARTMENTS</v>
      </c>
      <c r="B25" s="110" t="str">
        <v>Center</v>
      </c>
      <c r="C25" s="110" t="str">
        <v>119B</v>
      </c>
      <c r="D25" s="110" t="str">
        <v>Herdade da Aroeira, Almada</v>
      </c>
      <c r="E25" s="110" t="str">
        <v>2-BR</v>
      </c>
      <c r="F25" s="110">
        <v>255.5</v>
      </c>
      <c r="G25" s="110">
        <v>0</v>
      </c>
      <c r="H25" s="110" t="str">
        <v>1</v>
      </c>
      <c r="I25" s="110" t="str">
        <v/>
      </c>
      <c r="J25" s="110">
        <v>3.87</v>
      </c>
      <c r="K25" s="110">
        <v>139.6</v>
      </c>
      <c r="L25" s="110">
        <v>0</v>
      </c>
      <c r="M25" s="110">
        <v>0</v>
      </c>
      <c r="N25" s="110">
        <v>0</v>
      </c>
      <c r="O25" s="110">
        <v>112.03</v>
      </c>
      <c r="P25" s="110">
        <v>0</v>
      </c>
      <c r="Q25" s="110" t="str">
        <v>NOT FOR SALE</v>
      </c>
      <c r="R25" s="110">
        <v>830000</v>
      </c>
      <c r="S25" s="110">
        <v>875000</v>
      </c>
      <c r="T25" s="110">
        <v>900000</v>
      </c>
      <c r="U25" s="110">
        <v>0</v>
      </c>
      <c r="V25" s="110">
        <v>45000</v>
      </c>
      <c r="W25" s="110">
        <v>855000</v>
      </c>
      <c r="X25" s="110">
        <v>0</v>
      </c>
      <c r="Y25" s="110">
        <v>0</v>
      </c>
      <c r="Z25" s="110">
        <v>-45000</v>
      </c>
      <c r="AA25" s="110">
        <v>45792</v>
      </c>
      <c r="AB25" s="111" t="str">
        <v>Q2 2025</v>
      </c>
      <c r="AC25">
        <v>0</v>
      </c>
      <c r="AD25">
        <v>47118</v>
      </c>
      <c r="AE25" t="str">
        <v>João Gameiro</v>
      </c>
      <c r="AF25" t="str">
        <v>Miguel Ribeiro</v>
      </c>
      <c r="AG25" t="str">
        <v>https://www.aroeiracollections.com/</v>
      </c>
      <c r="AH25" t="str">
        <v>Aroeira Collections by Missoni: Elegance inspired by iconic design, set beside the renowned PGA golf course — where luxury living meets the rhythm of the coast.</v>
      </c>
      <c r="AI25" t="str">
        <v>Gym, Spa, Condo Pool, Private Pools, Tennis &amp; Padel Courts, Outdoor Areas, Smart Home Technology, Private Parking, Reception, Missoni Interiors, PGA Golf Course</v>
      </c>
      <c r="AJ25"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5" t="str">
        <v>Ana Costa, João Favila, Pedro Domingos</v>
      </c>
      <c r="AL25" t="str">
        <v>Aroeira Collections</v>
      </c>
    </row>
    <row r="26" spans="1:38" x14ac:dyDescent="0.3">
      <c r="A26" s="110" t="str">
        <v>Aroeira - APARTMENTS</v>
      </c>
      <c r="B26" s="110" t="str">
        <v>Center</v>
      </c>
      <c r="C26" s="110" t="str">
        <v>201B</v>
      </c>
      <c r="D26" s="110" t="str">
        <v>Herdade da Aroeira, Almada</v>
      </c>
      <c r="E26" s="110" t="str">
        <v>2-BR</v>
      </c>
      <c r="F26" s="110">
        <v>114.6</v>
      </c>
      <c r="G26" s="110">
        <v>0</v>
      </c>
      <c r="H26" s="110" t="str">
        <v>1</v>
      </c>
      <c r="I26" s="110" t="str">
        <v/>
      </c>
      <c r="J26" s="110">
        <v>22.32</v>
      </c>
      <c r="K26" s="110">
        <v>0</v>
      </c>
      <c r="L26" s="110">
        <v>0</v>
      </c>
      <c r="M26" s="110">
        <v>0</v>
      </c>
      <c r="N26" s="110">
        <v>0</v>
      </c>
      <c r="O26" s="110">
        <v>92.28</v>
      </c>
      <c r="P26" s="110">
        <v>0</v>
      </c>
      <c r="Q26" s="110" t="str">
        <v>NOT FOR SALE</v>
      </c>
      <c r="R26" s="110">
        <v>720000</v>
      </c>
      <c r="S26" s="110">
        <v>765000</v>
      </c>
      <c r="T26" s="110">
        <v>765000</v>
      </c>
      <c r="U26" s="110">
        <v>0</v>
      </c>
      <c r="V26" s="110">
        <v>45000</v>
      </c>
      <c r="W26" s="110">
        <v>720000</v>
      </c>
      <c r="X26" s="110">
        <v>0</v>
      </c>
      <c r="Y26" s="110">
        <v>0</v>
      </c>
      <c r="Z26" s="110">
        <v>-45000</v>
      </c>
      <c r="AA26" s="110">
        <v>45792</v>
      </c>
      <c r="AB26" s="111" t="str">
        <v>Q2 2025</v>
      </c>
      <c r="AC26">
        <v>0</v>
      </c>
      <c r="AD26">
        <v>47118</v>
      </c>
      <c r="AE26" t="str">
        <v>João Gameiro</v>
      </c>
      <c r="AF26" t="str">
        <v>Miguel Ribeiro</v>
      </c>
      <c r="AG26" t="str">
        <v>https://www.aroeiracollections.com/</v>
      </c>
      <c r="AH26" t="str">
        <v>Aroeira Collections by Missoni: Elegance inspired by iconic design, set beside the renowned PGA golf course — where luxury living meets the rhythm of the coast.</v>
      </c>
      <c r="AI26" t="str">
        <v>Gym, Spa, Condo Pool, Private Pools, Tennis &amp; Padel Courts, Outdoor Areas, Smart Home Technology, Private Parking, Reception, Missoni Interiors, PGA Golf Course</v>
      </c>
      <c r="AJ26"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6" t="str">
        <v>Ana Costa, João Favila, Pedro Domingos</v>
      </c>
      <c r="AL26" t="str">
        <v>Aroeira Collections</v>
      </c>
    </row>
    <row r="27" spans="1:38" x14ac:dyDescent="0.3">
      <c r="A27" s="110" t="str">
        <v>Aroeira - APARTMENTS</v>
      </c>
      <c r="B27" s="110" t="str">
        <v>Center</v>
      </c>
      <c r="C27" s="110" t="str">
        <v>202B</v>
      </c>
      <c r="D27" s="110" t="str">
        <v>Herdade da Aroeira, Almada</v>
      </c>
      <c r="E27" s="110" t="str">
        <v>2-BR</v>
      </c>
      <c r="F27" s="110">
        <v>113.12</v>
      </c>
      <c r="G27" s="110">
        <v>0</v>
      </c>
      <c r="H27" s="110" t="str">
        <v>1</v>
      </c>
      <c r="I27" s="110" t="str">
        <v/>
      </c>
      <c r="J27" s="110">
        <v>22.03</v>
      </c>
      <c r="K27" s="110">
        <v>0</v>
      </c>
      <c r="L27" s="110">
        <v>0</v>
      </c>
      <c r="M27" s="110">
        <v>0</v>
      </c>
      <c r="N27" s="110">
        <v>0</v>
      </c>
      <c r="O27" s="110">
        <v>91.09</v>
      </c>
      <c r="P27" s="110">
        <v>0</v>
      </c>
      <c r="Q27" s="110" t="str">
        <v>NOT FOR SALE</v>
      </c>
      <c r="R27" s="110">
        <v>710000</v>
      </c>
      <c r="S27" s="110">
        <v>755000</v>
      </c>
      <c r="T27" s="110">
        <v>755000</v>
      </c>
      <c r="U27" s="110">
        <v>0</v>
      </c>
      <c r="V27" s="110">
        <v>45000</v>
      </c>
      <c r="W27" s="110">
        <v>710000</v>
      </c>
      <c r="X27" s="110">
        <v>0</v>
      </c>
      <c r="Y27" s="110">
        <v>0</v>
      </c>
      <c r="Z27" s="110">
        <v>-45000</v>
      </c>
      <c r="AA27" s="110">
        <v>45792</v>
      </c>
      <c r="AB27" s="111" t="str">
        <v>Q2 2025</v>
      </c>
      <c r="AC27">
        <v>0</v>
      </c>
      <c r="AD27">
        <v>47118</v>
      </c>
      <c r="AE27" t="str">
        <v>João Gameiro</v>
      </c>
      <c r="AF27" t="str">
        <v>Miguel Ribeiro</v>
      </c>
      <c r="AG27" t="str">
        <v>https://www.aroeiracollections.com/</v>
      </c>
      <c r="AH27" t="str">
        <v>Aroeira Collections by Missoni: Elegance inspired by iconic design, set beside the renowned PGA golf course — where luxury living meets the rhythm of the coast.</v>
      </c>
      <c r="AI27" t="str">
        <v>Gym, Spa, Condo Pool, Private Pools, Tennis &amp; Padel Courts, Outdoor Areas, Smart Home Technology, Private Parking, Reception, Missoni Interiors, PGA Golf Course</v>
      </c>
      <c r="AJ27"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7" t="str">
        <v>Ana Costa, João Favila, Pedro Domingos</v>
      </c>
      <c r="AL27" t="str">
        <v>Aroeira Collections</v>
      </c>
    </row>
    <row r="28" spans="1:38" x14ac:dyDescent="0.3">
      <c r="A28" s="110" t="str">
        <v>Aroeira - APARTMENTS</v>
      </c>
      <c r="B28" s="110" t="str">
        <v>Center</v>
      </c>
      <c r="C28" s="110" t="str">
        <v>203B</v>
      </c>
      <c r="D28" s="110" t="str">
        <v>Herdade da Aroeira, Almada</v>
      </c>
      <c r="E28" s="110" t="str">
        <v>2-BR</v>
      </c>
      <c r="F28" s="110">
        <v>114.55</v>
      </c>
      <c r="G28" s="110">
        <v>0</v>
      </c>
      <c r="H28" s="110" t="str">
        <v>1</v>
      </c>
      <c r="I28" s="110" t="str">
        <v/>
      </c>
      <c r="J28" s="110">
        <v>22.25</v>
      </c>
      <c r="K28" s="110">
        <v>0</v>
      </c>
      <c r="L28" s="110">
        <v>0</v>
      </c>
      <c r="M28" s="110">
        <v>0</v>
      </c>
      <c r="N28" s="110">
        <v>0</v>
      </c>
      <c r="O28" s="110">
        <v>92.3</v>
      </c>
      <c r="P28" s="110">
        <v>0</v>
      </c>
      <c r="Q28" s="110" t="str">
        <v>NOT FOR SALE</v>
      </c>
      <c r="R28" s="110">
        <v>720000</v>
      </c>
      <c r="S28" s="110">
        <v>765000</v>
      </c>
      <c r="T28" s="110">
        <v>755000</v>
      </c>
      <c r="U28" s="110">
        <v>0</v>
      </c>
      <c r="V28" s="110">
        <v>45000</v>
      </c>
      <c r="W28" s="110">
        <v>710000</v>
      </c>
      <c r="X28" s="110">
        <v>0</v>
      </c>
      <c r="Y28" s="110">
        <v>0</v>
      </c>
      <c r="Z28" s="110">
        <v>-45000</v>
      </c>
      <c r="AA28" s="110">
        <v>45792</v>
      </c>
      <c r="AB28" s="111" t="str">
        <v>Q2 2025</v>
      </c>
      <c r="AC28">
        <v>0</v>
      </c>
      <c r="AD28">
        <v>47118</v>
      </c>
      <c r="AE28" t="str">
        <v>João Gameiro</v>
      </c>
      <c r="AF28" t="str">
        <v>Miguel Ribeiro</v>
      </c>
      <c r="AG28" t="str">
        <v>https://www.aroeiracollections.com/</v>
      </c>
      <c r="AH28" t="str">
        <v>Aroeira Collections by Missoni: Elegance inspired by iconic design, set beside the renowned PGA golf course — where luxury living meets the rhythm of the coast.</v>
      </c>
      <c r="AI28" t="str">
        <v>Gym, Spa, Condo Pool, Private Pools, Tennis &amp; Padel Courts, Outdoor Areas, Smart Home Technology, Private Parking, Reception, Missoni Interiors, PGA Golf Course</v>
      </c>
      <c r="AJ28"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8" t="str">
        <v>Ana Costa, João Favila, Pedro Domingos</v>
      </c>
      <c r="AL28" t="str">
        <v>Aroeira Collections</v>
      </c>
    </row>
    <row r="29" spans="1:38" x14ac:dyDescent="0.3">
      <c r="A29" s="110" t="str">
        <v>Aroeira - APARTMENTS</v>
      </c>
      <c r="B29" s="110" t="str">
        <v>Center</v>
      </c>
      <c r="C29" s="110" t="str">
        <v>205B</v>
      </c>
      <c r="D29" s="110" t="str">
        <v>Herdade da Aroeira, Almada</v>
      </c>
      <c r="E29" s="110" t="str">
        <v>2-BR</v>
      </c>
      <c r="F29" s="110">
        <v>113.23</v>
      </c>
      <c r="G29" s="110">
        <v>0</v>
      </c>
      <c r="H29" s="110" t="str">
        <v>1</v>
      </c>
      <c r="I29" s="110" t="str">
        <v/>
      </c>
      <c r="J29" s="110">
        <v>22.01</v>
      </c>
      <c r="K29" s="110">
        <v>0</v>
      </c>
      <c r="L29" s="110">
        <v>0</v>
      </c>
      <c r="M29" s="110">
        <v>0</v>
      </c>
      <c r="N29" s="110">
        <v>0</v>
      </c>
      <c r="O29" s="110">
        <v>91.22</v>
      </c>
      <c r="P29" s="110">
        <v>0</v>
      </c>
      <c r="Q29" s="110" t="str">
        <v>AVAILABLE</v>
      </c>
      <c r="R29" s="110">
        <v>710000</v>
      </c>
      <c r="S29" s="110">
        <v>755000</v>
      </c>
      <c r="T29" s="110">
        <v>755000</v>
      </c>
      <c r="U29" s="110">
        <v>0</v>
      </c>
      <c r="V29" s="110">
        <v>45000</v>
      </c>
      <c r="W29" s="110">
        <v>710000</v>
      </c>
      <c r="X29" s="110">
        <v>0</v>
      </c>
      <c r="Y29" s="110">
        <v>0</v>
      </c>
      <c r="Z29" s="110">
        <v>-45000</v>
      </c>
      <c r="AA29" s="110">
        <v>45792</v>
      </c>
      <c r="AB29" s="111" t="str">
        <v>Q2 2025</v>
      </c>
      <c r="AC29">
        <v>0</v>
      </c>
      <c r="AD29">
        <v>47118</v>
      </c>
      <c r="AE29" t="str">
        <v>João Gameiro</v>
      </c>
      <c r="AF29" t="str">
        <v>Miguel Ribeiro</v>
      </c>
      <c r="AG29" t="str">
        <v>https://www.aroeiracollections.com/</v>
      </c>
      <c r="AH29" t="str">
        <v>Aroeira Collections by Missoni: Elegance inspired by iconic design, set beside the renowned PGA golf course — where luxury living meets the rhythm of the coast.</v>
      </c>
      <c r="AI29" t="str">
        <v>Gym, Spa, Condo Pool, Private Pools, Tennis &amp; Padel Courts, Outdoor Areas, Smart Home Technology, Private Parking, Reception, Missoni Interiors, PGA Golf Course</v>
      </c>
      <c r="AJ29"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9" t="str">
        <v>Ana Costa, João Favila, Pedro Domingos</v>
      </c>
      <c r="AL29" t="str">
        <v>Aroeira Collections</v>
      </c>
    </row>
    <row r="30" spans="1:38" x14ac:dyDescent="0.3">
      <c r="A30" s="110" t="str">
        <v>Aroeira - APARTMENTS</v>
      </c>
      <c r="B30" s="110" t="str">
        <v>Center</v>
      </c>
      <c r="C30" s="110" t="str">
        <v>206B</v>
      </c>
      <c r="D30" s="110" t="str">
        <v>Herdade da Aroeira, Almada</v>
      </c>
      <c r="E30" s="110" t="str">
        <v>2-BR</v>
      </c>
      <c r="F30" s="110">
        <v>113.16</v>
      </c>
      <c r="G30" s="110">
        <v>0</v>
      </c>
      <c r="H30" s="110" t="str">
        <v>1</v>
      </c>
      <c r="I30" s="110" t="str">
        <v/>
      </c>
      <c r="J30" s="110">
        <v>22.03</v>
      </c>
      <c r="K30" s="110">
        <v>0</v>
      </c>
      <c r="L30" s="110">
        <v>0</v>
      </c>
      <c r="M30" s="110">
        <v>0</v>
      </c>
      <c r="N30" s="110">
        <v>0</v>
      </c>
      <c r="O30" s="110">
        <v>91.13</v>
      </c>
      <c r="P30" s="110">
        <v>0</v>
      </c>
      <c r="Q30" s="110" t="str">
        <v>AVAILABLE</v>
      </c>
      <c r="R30" s="110">
        <v>710000</v>
      </c>
      <c r="S30" s="110">
        <v>755000</v>
      </c>
      <c r="T30" s="110">
        <v>755000</v>
      </c>
      <c r="U30" s="110">
        <v>0</v>
      </c>
      <c r="V30" s="110">
        <v>45000</v>
      </c>
      <c r="W30" s="110">
        <v>710000</v>
      </c>
      <c r="X30" s="110">
        <v>0</v>
      </c>
      <c r="Y30" s="110">
        <v>0</v>
      </c>
      <c r="Z30" s="110">
        <v>-45000</v>
      </c>
      <c r="AA30" s="110">
        <v>45792</v>
      </c>
      <c r="AB30" s="111" t="str">
        <v>Q2 2025</v>
      </c>
      <c r="AC30">
        <v>0</v>
      </c>
      <c r="AD30">
        <v>47118</v>
      </c>
      <c r="AE30" t="str">
        <v>João Gameiro</v>
      </c>
      <c r="AF30" t="str">
        <v>Miguel Ribeiro</v>
      </c>
      <c r="AG30" t="str">
        <v>https://www.aroeiracollections.com/</v>
      </c>
      <c r="AH30" t="str">
        <v>Aroeira Collections by Missoni: Elegance inspired by iconic design, set beside the renowned PGA golf course — where luxury living meets the rhythm of the coast.</v>
      </c>
      <c r="AI30" t="str">
        <v>Gym, Spa, Condo Pool, Private Pools, Tennis &amp; Padel Courts, Outdoor Areas, Smart Home Technology, Private Parking, Reception, Missoni Interiors, PGA Golf Course</v>
      </c>
      <c r="AJ30"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30" t="str">
        <v>Ana Costa, João Favila, Pedro Domingos</v>
      </c>
      <c r="AL30" t="str">
        <v>Aroeira Collections</v>
      </c>
    </row>
    <row r="31" spans="1:38" x14ac:dyDescent="0.3">
      <c r="A31" s="110" t="str">
        <v>Aroeira - APARTMENTS</v>
      </c>
      <c r="B31" s="110" t="str">
        <v>Center</v>
      </c>
      <c r="C31" s="110" t="str">
        <v>207B</v>
      </c>
      <c r="D31" s="110" t="str">
        <v>Herdade da Aroeira, Almada</v>
      </c>
      <c r="E31" s="110" t="str">
        <v>2-BR</v>
      </c>
      <c r="F31" s="110">
        <v>113.15</v>
      </c>
      <c r="G31" s="110">
        <v>0</v>
      </c>
      <c r="H31" s="110" t="str">
        <v>1</v>
      </c>
      <c r="I31" s="110" t="str">
        <v/>
      </c>
      <c r="J31" s="110">
        <v>22.01</v>
      </c>
      <c r="K31" s="110">
        <v>0</v>
      </c>
      <c r="L31" s="110">
        <v>0</v>
      </c>
      <c r="M31" s="110">
        <v>0</v>
      </c>
      <c r="N31" s="110">
        <v>0</v>
      </c>
      <c r="O31" s="110">
        <v>91.14</v>
      </c>
      <c r="P31" s="110">
        <v>0</v>
      </c>
      <c r="Q31" s="110" t="str">
        <v>NOT FOR SALE</v>
      </c>
      <c r="R31" s="110">
        <v>710000</v>
      </c>
      <c r="S31" s="110">
        <v>755000</v>
      </c>
      <c r="T31" s="110">
        <v>765000</v>
      </c>
      <c r="U31" s="110">
        <v>0</v>
      </c>
      <c r="V31" s="110">
        <v>45000</v>
      </c>
      <c r="W31" s="110">
        <v>720000</v>
      </c>
      <c r="X31" s="110">
        <v>0</v>
      </c>
      <c r="Y31" s="110">
        <v>0</v>
      </c>
      <c r="Z31" s="110">
        <v>-45000</v>
      </c>
      <c r="AA31" s="110">
        <v>45792</v>
      </c>
      <c r="AB31" s="111" t="str">
        <v>Q2 2025</v>
      </c>
      <c r="AC31">
        <v>0</v>
      </c>
      <c r="AD31">
        <v>47118</v>
      </c>
      <c r="AE31" t="str">
        <v>João Gameiro</v>
      </c>
      <c r="AF31" t="str">
        <v>Miguel Ribeiro</v>
      </c>
      <c r="AG31" t="str">
        <v>https://www.aroeiracollections.com/</v>
      </c>
      <c r="AH31" t="str">
        <v>Aroeira Collections by Missoni: Elegance inspired by iconic design, set beside the renowned PGA golf course — where luxury living meets the rhythm of the coast.</v>
      </c>
      <c r="AI31" t="str">
        <v>Gym, Spa, Condo Pool, Private Pools, Tennis &amp; Padel Courts, Outdoor Areas, Smart Home Technology, Private Parking, Reception, Missoni Interiors, PGA Golf Course</v>
      </c>
      <c r="AJ31"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31" t="str">
        <v>Ana Costa, João Favila, Pedro Domingos</v>
      </c>
      <c r="AL31" t="str">
        <v>Aroeira Collections</v>
      </c>
    </row>
    <row r="32" spans="1:38" x14ac:dyDescent="0.3">
      <c r="A32" s="110" t="str">
        <v>Aroeira - APARTMENTS</v>
      </c>
      <c r="B32" s="110" t="str">
        <v>Center</v>
      </c>
      <c r="C32" s="110" t="str">
        <v>208B</v>
      </c>
      <c r="D32" s="110" t="str">
        <v>Herdade da Aroeira, Almada</v>
      </c>
      <c r="E32" s="110" t="str">
        <v>2-BR</v>
      </c>
      <c r="F32" s="110">
        <v>113.17</v>
      </c>
      <c r="G32" s="110">
        <v>0</v>
      </c>
      <c r="H32" s="110" t="str">
        <v>1</v>
      </c>
      <c r="I32" s="110" t="str">
        <v/>
      </c>
      <c r="J32" s="110">
        <v>22.03</v>
      </c>
      <c r="K32" s="110">
        <v>0</v>
      </c>
      <c r="L32" s="110">
        <v>0</v>
      </c>
      <c r="M32" s="110">
        <v>0</v>
      </c>
      <c r="N32" s="110">
        <v>0</v>
      </c>
      <c r="O32" s="110">
        <v>91.14</v>
      </c>
      <c r="P32" s="110">
        <v>0</v>
      </c>
      <c r="Q32" s="110" t="str">
        <v>AVAILABLE</v>
      </c>
      <c r="R32" s="110">
        <v>710000</v>
      </c>
      <c r="S32" s="110">
        <v>755000</v>
      </c>
      <c r="T32" s="110">
        <v>765000</v>
      </c>
      <c r="U32" s="110">
        <v>0</v>
      </c>
      <c r="V32" s="110">
        <v>45000</v>
      </c>
      <c r="W32" s="110">
        <v>720000</v>
      </c>
      <c r="X32" s="110">
        <v>0</v>
      </c>
      <c r="Y32" s="110">
        <v>0</v>
      </c>
      <c r="Z32" s="110">
        <v>-45000</v>
      </c>
      <c r="AA32" s="110">
        <v>45792</v>
      </c>
      <c r="AB32" s="111" t="str">
        <v>Q2 2025</v>
      </c>
      <c r="AC32">
        <v>0</v>
      </c>
      <c r="AD32">
        <v>47118</v>
      </c>
      <c r="AE32" t="str">
        <v>João Gameiro</v>
      </c>
      <c r="AF32" t="str">
        <v>Miguel Ribeiro</v>
      </c>
      <c r="AG32" t="str">
        <v>https://www.aroeiracollections.com/</v>
      </c>
      <c r="AH32" t="str">
        <v>Aroeira Collections by Missoni: Elegance inspired by iconic design, set beside the renowned PGA golf course — where luxury living meets the rhythm of the coast.</v>
      </c>
      <c r="AI32" t="str">
        <v>Gym, Spa, Condo Pool, Private Pools, Tennis &amp; Padel Courts, Outdoor Areas, Smart Home Technology, Private Parking, Reception, Missoni Interiors, PGA Golf Course</v>
      </c>
      <c r="AJ32"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32" t="str">
        <v>Ana Costa, João Favila, Pedro Domingos</v>
      </c>
      <c r="AL32" t="str">
        <v>Aroeira Collections</v>
      </c>
    </row>
    <row r="33" spans="1:38" x14ac:dyDescent="0.3">
      <c r="A33" s="110" t="str">
        <v>Aroeira - APARTMENTS</v>
      </c>
      <c r="B33" s="110" t="str">
        <v>Center</v>
      </c>
      <c r="C33" s="110" t="str">
        <v>209B</v>
      </c>
      <c r="D33" s="110" t="str">
        <v>Herdade da Aroeira, Almada</v>
      </c>
      <c r="E33" s="110" t="str">
        <v>2-BR</v>
      </c>
      <c r="F33" s="110">
        <v>113.11</v>
      </c>
      <c r="G33" s="110">
        <v>0</v>
      </c>
      <c r="H33" s="110" t="str">
        <v>1</v>
      </c>
      <c r="I33" s="110" t="str">
        <v/>
      </c>
      <c r="J33" s="110">
        <v>22.04</v>
      </c>
      <c r="K33" s="110">
        <v>0</v>
      </c>
      <c r="L33" s="110">
        <v>0</v>
      </c>
      <c r="M33" s="110">
        <v>0</v>
      </c>
      <c r="N33" s="110">
        <v>0</v>
      </c>
      <c r="O33" s="110">
        <v>91.07</v>
      </c>
      <c r="P33" s="110">
        <v>0</v>
      </c>
      <c r="Q33" s="110" t="str">
        <v>AVAILABLE</v>
      </c>
      <c r="R33" s="110">
        <v>710000</v>
      </c>
      <c r="S33" s="110">
        <v>755000</v>
      </c>
      <c r="T33" s="110">
        <v>755000</v>
      </c>
      <c r="U33" s="110">
        <v>0</v>
      </c>
      <c r="V33" s="110">
        <v>45000</v>
      </c>
      <c r="W33" s="110">
        <v>710000</v>
      </c>
      <c r="X33" s="110">
        <v>0</v>
      </c>
      <c r="Y33" s="110">
        <v>0</v>
      </c>
      <c r="Z33" s="110">
        <v>-45000</v>
      </c>
      <c r="AA33" s="110">
        <v>45792</v>
      </c>
      <c r="AB33" s="111" t="str">
        <v>Q2 2025</v>
      </c>
      <c r="AC33">
        <v>0</v>
      </c>
      <c r="AD33">
        <v>47118</v>
      </c>
      <c r="AE33" t="str">
        <v>João Gameiro</v>
      </c>
      <c r="AF33" t="str">
        <v>Miguel Ribeiro</v>
      </c>
      <c r="AG33" t="str">
        <v>https://www.aroeiracollections.com/</v>
      </c>
      <c r="AH33" t="str">
        <v>Aroeira Collections by Missoni: Elegance inspired by iconic design, set beside the renowned PGA golf course — where luxury living meets the rhythm of the coast.</v>
      </c>
      <c r="AI33" t="str">
        <v>Gym, Spa, Condo Pool, Private Pools, Tennis &amp; Padel Courts, Outdoor Areas, Smart Home Technology, Private Parking, Reception, Missoni Interiors, PGA Golf Course</v>
      </c>
      <c r="AJ33"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33" t="str">
        <v>Ana Costa, João Favila, Pedro Domingos</v>
      </c>
      <c r="AL33" t="str">
        <v>Aroeira Collections</v>
      </c>
    </row>
    <row r="34" spans="1:38" x14ac:dyDescent="0.3">
      <c r="A34" s="110" t="str">
        <v>Aroeira - APARTMENTS</v>
      </c>
      <c r="B34" s="110" t="str">
        <v>Center</v>
      </c>
      <c r="C34" s="110" t="str">
        <v>210B</v>
      </c>
      <c r="D34" s="110" t="str">
        <v>Herdade da Aroeira, Almada</v>
      </c>
      <c r="E34" s="110" t="str">
        <v>2-BR</v>
      </c>
      <c r="F34" s="110">
        <v>114.62</v>
      </c>
      <c r="G34" s="110">
        <v>0</v>
      </c>
      <c r="H34" s="110" t="str">
        <v>1</v>
      </c>
      <c r="I34" s="110" t="str">
        <v/>
      </c>
      <c r="J34" s="110">
        <v>22.25</v>
      </c>
      <c r="K34" s="110">
        <v>0</v>
      </c>
      <c r="L34" s="110">
        <v>0</v>
      </c>
      <c r="M34" s="110">
        <v>0</v>
      </c>
      <c r="N34" s="110">
        <v>0</v>
      </c>
      <c r="O34" s="110">
        <v>92.37</v>
      </c>
      <c r="P34" s="110">
        <v>0</v>
      </c>
      <c r="Q34" s="110" t="str">
        <v>NOT FOR SALE</v>
      </c>
      <c r="R34" s="110">
        <v>720000</v>
      </c>
      <c r="S34" s="110">
        <v>765000</v>
      </c>
      <c r="T34" s="110">
        <v>765000</v>
      </c>
      <c r="U34" s="110">
        <v>0</v>
      </c>
      <c r="V34" s="110">
        <v>45000</v>
      </c>
      <c r="W34" s="110">
        <v>720000</v>
      </c>
      <c r="X34" s="110">
        <v>0</v>
      </c>
      <c r="Y34" s="110">
        <v>0</v>
      </c>
      <c r="Z34" s="110">
        <v>-45000</v>
      </c>
      <c r="AA34" s="110">
        <v>45792</v>
      </c>
      <c r="AB34" s="111" t="str">
        <v>Q2 2025</v>
      </c>
      <c r="AC34">
        <v>0</v>
      </c>
      <c r="AD34">
        <v>47118</v>
      </c>
      <c r="AE34" t="str">
        <v>João Gameiro</v>
      </c>
      <c r="AF34" t="str">
        <v>Miguel Ribeiro</v>
      </c>
      <c r="AG34" t="str">
        <v>https://www.aroeiracollections.com/</v>
      </c>
      <c r="AH34" t="str">
        <v>Aroeira Collections by Missoni: Elegance inspired by iconic design, set beside the renowned PGA golf course — where luxury living meets the rhythm of the coast.</v>
      </c>
      <c r="AI34" t="str">
        <v>Gym, Spa, Condo Pool, Private Pools, Tennis &amp; Padel Courts, Outdoor Areas, Smart Home Technology, Private Parking, Reception, Missoni Interiors, PGA Golf Course</v>
      </c>
      <c r="AJ34"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34" t="str">
        <v>Ana Costa, João Favila, Pedro Domingos</v>
      </c>
      <c r="AL34" t="str">
        <v>Aroeira Collections</v>
      </c>
    </row>
    <row r="35" spans="1:38" x14ac:dyDescent="0.3">
      <c r="A35" s="110" t="str">
        <v>Aroeira - APARTMENTS</v>
      </c>
      <c r="B35" s="110" t="str">
        <v>Center</v>
      </c>
      <c r="C35" s="110" t="str">
        <v>211B</v>
      </c>
      <c r="D35" s="110" t="str">
        <v>Herdade da Aroeira, Almada</v>
      </c>
      <c r="E35" s="110" t="str">
        <v>2-BR</v>
      </c>
      <c r="F35" s="110">
        <v>116.52</v>
      </c>
      <c r="G35" s="110">
        <v>0</v>
      </c>
      <c r="H35" s="110" t="str">
        <v>1</v>
      </c>
      <c r="I35" s="110" t="str">
        <v/>
      </c>
      <c r="J35" s="110">
        <v>23.67</v>
      </c>
      <c r="K35" s="110">
        <v>0</v>
      </c>
      <c r="L35" s="110">
        <v>0</v>
      </c>
      <c r="M35" s="110">
        <v>0</v>
      </c>
      <c r="N35" s="110">
        <v>0</v>
      </c>
      <c r="O35" s="110">
        <v>92.85</v>
      </c>
      <c r="P35" s="110">
        <v>0</v>
      </c>
      <c r="Q35" s="110" t="str">
        <v>NOT FOR SALE</v>
      </c>
      <c r="R35" s="110">
        <v>660000</v>
      </c>
      <c r="S35" s="110">
        <v>705000</v>
      </c>
      <c r="T35" s="110">
        <v>780000</v>
      </c>
      <c r="U35" s="110">
        <v>0</v>
      </c>
      <c r="V35" s="110">
        <v>45000</v>
      </c>
      <c r="W35" s="110">
        <v>735000</v>
      </c>
      <c r="X35" s="110">
        <v>0</v>
      </c>
      <c r="Y35" s="110">
        <v>0</v>
      </c>
      <c r="Z35" s="110">
        <v>-45000</v>
      </c>
      <c r="AA35" s="110">
        <v>45792</v>
      </c>
      <c r="AB35" s="111" t="str">
        <v>Q2 2025</v>
      </c>
      <c r="AC35">
        <v>0</v>
      </c>
      <c r="AD35">
        <v>47118</v>
      </c>
      <c r="AE35" t="str">
        <v>João Gameiro</v>
      </c>
      <c r="AF35" t="str">
        <v>Miguel Ribeiro</v>
      </c>
      <c r="AG35" t="str">
        <v>https://www.aroeiracollections.com/</v>
      </c>
      <c r="AH35" t="str">
        <v>Aroeira Collections by Missoni: Elegance inspired by iconic design, set beside the renowned PGA golf course — where luxury living meets the rhythm of the coast.</v>
      </c>
      <c r="AI35" t="str">
        <v>Gym, Spa, Condo Pool, Private Pools, Tennis &amp; Padel Courts, Outdoor Areas, Smart Home Technology, Private Parking, Reception, Missoni Interiors, PGA Golf Course</v>
      </c>
      <c r="AJ35"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35" t="str">
        <v>Ana Costa, João Favila, Pedro Domingos</v>
      </c>
      <c r="AL35" t="str">
        <v>Aroeira Collections</v>
      </c>
    </row>
    <row r="36" spans="1:38" x14ac:dyDescent="0.3">
      <c r="A36" s="110" t="str">
        <v>Aroeira - APARTMENTS</v>
      </c>
      <c r="B36" s="110" t="str">
        <v>Center</v>
      </c>
      <c r="C36" s="110" t="str">
        <v>212B</v>
      </c>
      <c r="D36" s="110" t="str">
        <v>Herdade da Aroeira, Almada</v>
      </c>
      <c r="E36" s="110" t="str">
        <v>2-BR</v>
      </c>
      <c r="F36" s="110">
        <v>115.24</v>
      </c>
      <c r="G36" s="110">
        <v>0</v>
      </c>
      <c r="H36" s="110" t="str">
        <v>1</v>
      </c>
      <c r="I36" s="110" t="str">
        <v/>
      </c>
      <c r="J36" s="110">
        <v>23.36</v>
      </c>
      <c r="K36" s="110">
        <v>0</v>
      </c>
      <c r="L36" s="110">
        <v>0</v>
      </c>
      <c r="M36" s="110">
        <v>0</v>
      </c>
      <c r="N36" s="110">
        <v>0</v>
      </c>
      <c r="O36" s="110">
        <v>91.88</v>
      </c>
      <c r="P36" s="110">
        <v>0</v>
      </c>
      <c r="Q36" s="110" t="str">
        <v>NOT FOR SALE</v>
      </c>
      <c r="R36" s="110">
        <v>650000</v>
      </c>
      <c r="S36" s="110">
        <v>695000</v>
      </c>
      <c r="T36" s="110">
        <v>770000</v>
      </c>
      <c r="U36" s="110">
        <v>0</v>
      </c>
      <c r="V36" s="110">
        <v>45000</v>
      </c>
      <c r="W36" s="110">
        <v>725000</v>
      </c>
      <c r="X36" s="110">
        <v>0</v>
      </c>
      <c r="Y36" s="110">
        <v>0</v>
      </c>
      <c r="Z36" s="110">
        <v>-45000</v>
      </c>
      <c r="AA36" s="110">
        <v>45792</v>
      </c>
      <c r="AB36" s="111" t="str">
        <v>Q2 2025</v>
      </c>
      <c r="AC36">
        <v>46149</v>
      </c>
      <c r="AD36">
        <v>47118</v>
      </c>
      <c r="AE36" t="str">
        <v>João Gameiro</v>
      </c>
      <c r="AF36" t="str">
        <v>Miguel Ribeiro</v>
      </c>
      <c r="AG36" t="str">
        <v>https://www.aroeiracollections.com/</v>
      </c>
      <c r="AH36" t="str">
        <v>Aroeira Collections by Missoni: Elegance inspired by iconic design, set beside the renowned PGA golf course — where luxury living meets the rhythm of the coast.</v>
      </c>
      <c r="AI36" t="str">
        <v>Gym, Spa, Condo Pool, Private Pools, Tennis &amp; Padel Courts, Outdoor Areas, Smart Home Technology, Private Parking, Reception, Missoni Interiors, PGA Golf Course</v>
      </c>
      <c r="AJ36"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36" t="str">
        <v>Ana Costa, João Favila, Pedro Domingos</v>
      </c>
      <c r="AL36" t="str">
        <v>Aroeira Collections</v>
      </c>
    </row>
    <row r="37" spans="1:38" x14ac:dyDescent="0.3">
      <c r="A37" s="110" t="str">
        <v>Aroeira - APARTMENTS</v>
      </c>
      <c r="B37" s="110" t="str">
        <v>Center</v>
      </c>
      <c r="C37" s="110" t="str">
        <v>213C</v>
      </c>
      <c r="D37" s="110" t="str">
        <v>Herdade da Aroeira, Almada</v>
      </c>
      <c r="E37" s="110" t="str">
        <v>3-BR</v>
      </c>
      <c r="F37" s="110">
        <v>145.22999999999999</v>
      </c>
      <c r="G37" s="110">
        <v>0</v>
      </c>
      <c r="H37" s="110" t="str">
        <v>2</v>
      </c>
      <c r="I37" s="110" t="str">
        <v/>
      </c>
      <c r="J37" s="110">
        <v>29.4</v>
      </c>
      <c r="K37" s="110">
        <v>0</v>
      </c>
      <c r="L37" s="110">
        <v>0</v>
      </c>
      <c r="M37" s="110">
        <v>0</v>
      </c>
      <c r="N37" s="110">
        <v>0</v>
      </c>
      <c r="O37" s="110">
        <v>115.83</v>
      </c>
      <c r="P37" s="110">
        <v>0</v>
      </c>
      <c r="Q37" s="110" t="str">
        <v>AVAILABLE</v>
      </c>
      <c r="R37" s="110">
        <v>875000</v>
      </c>
      <c r="S37" s="110">
        <v>925000</v>
      </c>
      <c r="T37" s="110">
        <v>925000</v>
      </c>
      <c r="U37" s="110">
        <v>0</v>
      </c>
      <c r="V37" s="110">
        <v>50000</v>
      </c>
      <c r="W37" s="110">
        <v>875000</v>
      </c>
      <c r="X37" s="110">
        <v>0</v>
      </c>
      <c r="Y37" s="110">
        <v>0</v>
      </c>
      <c r="Z37" s="110">
        <v>-50000</v>
      </c>
      <c r="AA37" s="110">
        <v>45792</v>
      </c>
      <c r="AB37" s="111" t="str">
        <v>Q2 2025</v>
      </c>
      <c r="AC37">
        <v>0</v>
      </c>
      <c r="AD37">
        <v>47118</v>
      </c>
      <c r="AE37" t="str">
        <v>João Gameiro</v>
      </c>
      <c r="AF37" t="str">
        <v>Miguel Ribeiro</v>
      </c>
      <c r="AG37" t="str">
        <v>https://www.aroeiracollections.com/</v>
      </c>
      <c r="AH37" t="str">
        <v>Aroeira Collections by Missoni: Elegance inspired by iconic design, set beside the renowned PGA golf course — where luxury living meets the rhythm of the coast.</v>
      </c>
      <c r="AI37" t="str">
        <v>Gym, Spa, Condo Pool, Private Pools, Tennis &amp; Padel Courts, Outdoor Areas, Smart Home Technology, Private Parking, Reception, Missoni Interiors, PGA Golf Course</v>
      </c>
      <c r="AJ37"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37" t="str">
        <v>Ana Costa, João Favila, Pedro Domingos</v>
      </c>
      <c r="AL37" t="str">
        <v>Aroeira Collections</v>
      </c>
    </row>
    <row r="38" spans="1:38" x14ac:dyDescent="0.3">
      <c r="A38" s="110" t="str">
        <v>Aroeira - APARTMENTS</v>
      </c>
      <c r="B38" s="110" t="str">
        <v>Center</v>
      </c>
      <c r="C38" s="110" t="str">
        <v>214B</v>
      </c>
      <c r="D38" s="110" t="str">
        <v>Herdade da Aroeira, Almada</v>
      </c>
      <c r="E38" s="110" t="str">
        <v>2-BR</v>
      </c>
      <c r="F38" s="110">
        <v>115.24</v>
      </c>
      <c r="G38" s="110">
        <v>0</v>
      </c>
      <c r="H38" s="110" t="str">
        <v>1</v>
      </c>
      <c r="I38" s="110" t="str">
        <v/>
      </c>
      <c r="J38" s="110">
        <v>23.32</v>
      </c>
      <c r="K38" s="110">
        <v>0</v>
      </c>
      <c r="L38" s="110">
        <v>0</v>
      </c>
      <c r="M38" s="110">
        <v>0</v>
      </c>
      <c r="N38" s="110">
        <v>0</v>
      </c>
      <c r="O38" s="110">
        <v>91.92</v>
      </c>
      <c r="P38" s="110">
        <v>0</v>
      </c>
      <c r="Q38" s="110" t="str">
        <v>NOT FOR SALE</v>
      </c>
      <c r="R38" s="110">
        <v>650000</v>
      </c>
      <c r="S38" s="110">
        <v>695000</v>
      </c>
      <c r="T38" s="110">
        <v>770000</v>
      </c>
      <c r="U38" s="110">
        <v>0</v>
      </c>
      <c r="V38" s="110">
        <v>45000</v>
      </c>
      <c r="W38" s="110">
        <v>725000</v>
      </c>
      <c r="X38" s="110">
        <v>0</v>
      </c>
      <c r="Y38" s="110">
        <v>0</v>
      </c>
      <c r="Z38" s="110">
        <v>-45000</v>
      </c>
      <c r="AA38" s="110">
        <v>45792</v>
      </c>
      <c r="AB38" s="111" t="str">
        <v>Q2 2025</v>
      </c>
      <c r="AC38">
        <v>45988</v>
      </c>
      <c r="AD38">
        <v>47118</v>
      </c>
      <c r="AE38" t="str">
        <v>João Gameiro</v>
      </c>
      <c r="AF38" t="str">
        <v>Miguel Ribeiro</v>
      </c>
      <c r="AG38" t="str">
        <v>https://www.aroeiracollections.com/</v>
      </c>
      <c r="AH38" t="str">
        <v>Aroeira Collections by Missoni: Elegance inspired by iconic design, set beside the renowned PGA golf course — where luxury living meets the rhythm of the coast.</v>
      </c>
      <c r="AI38" t="str">
        <v>Gym, Spa, Condo Pool, Private Pools, Tennis &amp; Padel Courts, Outdoor Areas, Smart Home Technology, Private Parking, Reception, Missoni Interiors, PGA Golf Course</v>
      </c>
      <c r="AJ38"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38" t="str">
        <v>Ana Costa, João Favila, Pedro Domingos</v>
      </c>
      <c r="AL38" t="str">
        <v>Aroeira Collections</v>
      </c>
    </row>
    <row r="39" spans="1:38" x14ac:dyDescent="0.3">
      <c r="A39" s="110" t="str">
        <v>Aroeira - APARTMENTS</v>
      </c>
      <c r="B39" s="110" t="str">
        <v>Center</v>
      </c>
      <c r="C39" s="110" t="str">
        <v>215C</v>
      </c>
      <c r="D39" s="110" t="str">
        <v>Herdade da Aroeira, Almada</v>
      </c>
      <c r="E39" s="110" t="str">
        <v>3-BR</v>
      </c>
      <c r="F39" s="110">
        <v>145.22</v>
      </c>
      <c r="G39" s="110">
        <v>0</v>
      </c>
      <c r="H39" s="110" t="str">
        <v>2</v>
      </c>
      <c r="I39" s="110" t="str">
        <v/>
      </c>
      <c r="J39" s="110">
        <v>29.38</v>
      </c>
      <c r="K39" s="110">
        <v>0</v>
      </c>
      <c r="L39" s="110">
        <v>0</v>
      </c>
      <c r="M39" s="110">
        <v>0</v>
      </c>
      <c r="N39" s="110">
        <v>0</v>
      </c>
      <c r="O39" s="110">
        <v>115.84</v>
      </c>
      <c r="P39" s="110">
        <v>0</v>
      </c>
      <c r="Q39" s="110" t="str">
        <v>NOT FOR SALE</v>
      </c>
      <c r="R39" s="110">
        <v>875000</v>
      </c>
      <c r="S39" s="110">
        <v>925000</v>
      </c>
      <c r="T39" s="110">
        <v>985000</v>
      </c>
      <c r="U39" s="110">
        <v>0</v>
      </c>
      <c r="V39" s="110">
        <v>50000</v>
      </c>
      <c r="W39" s="110">
        <v>935000</v>
      </c>
      <c r="X39" s="110">
        <v>0</v>
      </c>
      <c r="Y39" s="110">
        <v>0</v>
      </c>
      <c r="Z39" s="110">
        <v>-50000</v>
      </c>
      <c r="AA39" s="110">
        <v>45792</v>
      </c>
      <c r="AB39" s="111" t="str">
        <v>Q2 2025</v>
      </c>
      <c r="AC39">
        <v>0</v>
      </c>
      <c r="AD39">
        <v>47118</v>
      </c>
      <c r="AE39" t="str">
        <v>João Gameiro</v>
      </c>
      <c r="AF39" t="str">
        <v>Miguel Ribeiro</v>
      </c>
      <c r="AG39" t="str">
        <v>https://www.aroeiracollections.com/</v>
      </c>
      <c r="AH39" t="str">
        <v>Aroeira Collections by Missoni: Elegance inspired by iconic design, set beside the renowned PGA golf course — where luxury living meets the rhythm of the coast.</v>
      </c>
      <c r="AI39" t="str">
        <v>Gym, Spa, Condo Pool, Private Pools, Tennis &amp; Padel Courts, Outdoor Areas, Smart Home Technology, Private Parking, Reception, Missoni Interiors, PGA Golf Course</v>
      </c>
      <c r="AJ39"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39" t="str">
        <v>Ana Costa, João Favila, Pedro Domingos</v>
      </c>
      <c r="AL39" t="str">
        <v>Aroeira Collections</v>
      </c>
    </row>
    <row r="40" spans="1:38" x14ac:dyDescent="0.3">
      <c r="A40" s="110" t="str">
        <v>Aroeira - APARTMENTS</v>
      </c>
      <c r="B40" s="110" t="str">
        <v>Center</v>
      </c>
      <c r="C40" s="110" t="str">
        <v>218B</v>
      </c>
      <c r="D40" s="110" t="str">
        <v>Herdade da Aroeira, Almada</v>
      </c>
      <c r="E40" s="110" t="str">
        <v>2-BR</v>
      </c>
      <c r="F40" s="110">
        <v>116.58</v>
      </c>
      <c r="G40" s="110">
        <v>0</v>
      </c>
      <c r="H40" s="110" t="str">
        <v>1</v>
      </c>
      <c r="I40" s="110" t="str">
        <v/>
      </c>
      <c r="J40" s="110">
        <v>23.68</v>
      </c>
      <c r="K40" s="110">
        <v>0</v>
      </c>
      <c r="L40" s="110">
        <v>0</v>
      </c>
      <c r="M40" s="110">
        <v>0</v>
      </c>
      <c r="N40" s="110">
        <v>0</v>
      </c>
      <c r="O40" s="110">
        <v>92.9</v>
      </c>
      <c r="P40" s="110">
        <v>0</v>
      </c>
      <c r="Q40" s="110" t="str">
        <v>NOT FOR SALE</v>
      </c>
      <c r="R40" s="110">
        <v>660000</v>
      </c>
      <c r="S40" s="110">
        <v>705000</v>
      </c>
      <c r="T40" s="110">
        <v>780000</v>
      </c>
      <c r="U40" s="110">
        <v>0</v>
      </c>
      <c r="V40" s="110">
        <v>45000</v>
      </c>
      <c r="W40" s="110">
        <v>735000</v>
      </c>
      <c r="X40" s="110">
        <v>0</v>
      </c>
      <c r="Y40" s="110">
        <v>0</v>
      </c>
      <c r="Z40" s="110">
        <v>-45000</v>
      </c>
      <c r="AA40" s="110">
        <v>45792</v>
      </c>
      <c r="AB40" s="111" t="str">
        <v>Q2 2025</v>
      </c>
      <c r="AC40">
        <v>0</v>
      </c>
      <c r="AD40">
        <v>47118</v>
      </c>
      <c r="AE40" t="str">
        <v>João Gameiro</v>
      </c>
      <c r="AF40" t="str">
        <v>Miguel Ribeiro</v>
      </c>
      <c r="AG40" t="str">
        <v>https://www.aroeiracollections.com/</v>
      </c>
      <c r="AH40" t="str">
        <v>Aroeira Collections by Missoni: Elegance inspired by iconic design, set beside the renowned PGA golf course — where luxury living meets the rhythm of the coast.</v>
      </c>
      <c r="AI40" t="str">
        <v>Gym, Spa, Condo Pool, Private Pools, Tennis &amp; Padel Courts, Outdoor Areas, Smart Home Technology, Private Parking, Reception, Missoni Interiors, PGA Golf Course</v>
      </c>
      <c r="AJ40"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40" t="str">
        <v>Ana Costa, João Favila, Pedro Domingos</v>
      </c>
      <c r="AL40" t="str">
        <v>Aroeira Collections</v>
      </c>
    </row>
    <row r="41" spans="1:38" x14ac:dyDescent="0.3">
      <c r="A41" s="110" t="str">
        <v>Aroeira - APARTMENTS</v>
      </c>
      <c r="B41" s="110" t="str">
        <v>Center</v>
      </c>
      <c r="C41" s="110" t="str">
        <v>219B</v>
      </c>
      <c r="D41" s="110" t="str">
        <v>Herdade da Aroeira, Almada</v>
      </c>
      <c r="E41" s="110" t="str">
        <v>2-BR</v>
      </c>
      <c r="F41" s="110">
        <v>115.3</v>
      </c>
      <c r="G41" s="110">
        <v>0</v>
      </c>
      <c r="H41" s="110" t="str">
        <v>1</v>
      </c>
      <c r="I41" s="110" t="str">
        <v/>
      </c>
      <c r="J41" s="110">
        <v>23.42</v>
      </c>
      <c r="K41" s="110">
        <v>0</v>
      </c>
      <c r="L41" s="110">
        <v>0</v>
      </c>
      <c r="M41" s="110">
        <v>0</v>
      </c>
      <c r="N41" s="110">
        <v>0</v>
      </c>
      <c r="O41" s="110">
        <v>91.88</v>
      </c>
      <c r="P41" s="110">
        <v>0</v>
      </c>
      <c r="Q41" s="110" t="str">
        <v>AVAILABLE</v>
      </c>
      <c r="R41" s="110">
        <v>650000</v>
      </c>
      <c r="S41" s="110">
        <v>695000</v>
      </c>
      <c r="T41" s="110">
        <v>695000</v>
      </c>
      <c r="U41" s="110">
        <v>0</v>
      </c>
      <c r="V41" s="110">
        <v>45000</v>
      </c>
      <c r="W41" s="110">
        <v>650000</v>
      </c>
      <c r="X41" s="110">
        <v>0</v>
      </c>
      <c r="Y41" s="110">
        <v>0</v>
      </c>
      <c r="Z41" s="110">
        <v>-45000</v>
      </c>
      <c r="AA41" s="110">
        <v>45792</v>
      </c>
      <c r="AB41" s="111" t="str">
        <v>Q2 2025</v>
      </c>
      <c r="AC41">
        <v>45687</v>
      </c>
      <c r="AD41">
        <v>47118</v>
      </c>
      <c r="AE41" t="str">
        <v>João Gameiro</v>
      </c>
      <c r="AF41" t="str">
        <v>Miguel Ribeiro</v>
      </c>
      <c r="AG41" t="str">
        <v>https://www.aroeiracollections.com/</v>
      </c>
      <c r="AH41" t="str">
        <v>Aroeira Collections by Missoni: Elegance inspired by iconic design, set beside the renowned PGA golf course — where luxury living meets the rhythm of the coast.</v>
      </c>
      <c r="AI41" t="str">
        <v>Gym, Spa, Condo Pool, Private Pools, Tennis &amp; Padel Courts, Outdoor Areas, Smart Home Technology, Private Parking, Reception, Missoni Interiors, PGA Golf Course</v>
      </c>
      <c r="AJ41"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41" t="str">
        <v>Ana Costa, João Favila, Pedro Domingos</v>
      </c>
      <c r="AL41" t="str">
        <v>Aroeira Collections</v>
      </c>
    </row>
    <row r="42" spans="1:38" x14ac:dyDescent="0.3">
      <c r="A42" s="110" t="str">
        <v>Aroeira - APARTMENTS</v>
      </c>
      <c r="B42" s="110" t="str">
        <v>Center</v>
      </c>
      <c r="C42" s="110" t="str">
        <v>220B</v>
      </c>
      <c r="D42" s="110" t="str">
        <v>Herdade da Aroeira, Almada</v>
      </c>
      <c r="E42" s="110" t="str">
        <v>2-BR</v>
      </c>
      <c r="F42" s="110">
        <v>116.58</v>
      </c>
      <c r="G42" s="110">
        <v>0</v>
      </c>
      <c r="H42" s="110" t="str">
        <v>1</v>
      </c>
      <c r="I42" s="110" t="str">
        <v/>
      </c>
      <c r="J42" s="110">
        <v>23.68</v>
      </c>
      <c r="K42" s="110">
        <v>0</v>
      </c>
      <c r="L42" s="110">
        <v>0</v>
      </c>
      <c r="M42" s="110">
        <v>0</v>
      </c>
      <c r="N42" s="110">
        <v>0</v>
      </c>
      <c r="O42" s="110">
        <v>92.9</v>
      </c>
      <c r="P42" s="110">
        <v>0</v>
      </c>
      <c r="Q42" s="110" t="str">
        <v>NOT FOR SALE</v>
      </c>
      <c r="R42" s="110">
        <v>660000</v>
      </c>
      <c r="S42" s="110">
        <v>705000</v>
      </c>
      <c r="T42" s="110">
        <v>705000</v>
      </c>
      <c r="U42" s="110">
        <v>0</v>
      </c>
      <c r="V42" s="110">
        <v>45000</v>
      </c>
      <c r="W42" s="110">
        <v>660000</v>
      </c>
      <c r="X42" s="110">
        <v>0</v>
      </c>
      <c r="Y42" s="110">
        <v>0</v>
      </c>
      <c r="Z42" s="110">
        <v>-45000</v>
      </c>
      <c r="AA42" s="110">
        <v>45792</v>
      </c>
      <c r="AB42" s="111" t="str">
        <v>Q2 2025</v>
      </c>
      <c r="AC42">
        <v>0</v>
      </c>
      <c r="AD42">
        <v>47118</v>
      </c>
      <c r="AE42" t="str">
        <v>João Gameiro</v>
      </c>
      <c r="AF42" t="str">
        <v>Miguel Ribeiro</v>
      </c>
      <c r="AG42" t="str">
        <v>https://www.aroeiracollections.com/</v>
      </c>
      <c r="AH42" t="str">
        <v>Aroeira Collections by Missoni: Elegance inspired by iconic design, set beside the renowned PGA golf course — where luxury living meets the rhythm of the coast.</v>
      </c>
      <c r="AI42" t="str">
        <v>Gym, Spa, Condo Pool, Private Pools, Tennis &amp; Padel Courts, Outdoor Areas, Smart Home Technology, Private Parking, Reception, Missoni Interiors, PGA Golf Course</v>
      </c>
      <c r="AJ42"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42" t="str">
        <v>Ana Costa, João Favila, Pedro Domingos</v>
      </c>
      <c r="AL42" t="str">
        <v>Aroeira Collections</v>
      </c>
    </row>
    <row r="43" spans="1:38" x14ac:dyDescent="0.3">
      <c r="A43" s="110" t="str">
        <v>Aroeira - HOTEL APARTMENTS</v>
      </c>
      <c r="B43" s="110" t="str">
        <v>Center</v>
      </c>
      <c r="C43" s="110" t="str">
        <v>103A</v>
      </c>
      <c r="D43" s="110" t="str">
        <v>Herdade da Aroeira, Almada</v>
      </c>
      <c r="E43" s="110" t="str">
        <v>1-BR</v>
      </c>
      <c r="F43" s="110">
        <v>65</v>
      </c>
      <c r="G43" s="110">
        <v>0</v>
      </c>
      <c r="H43" s="110" t="str">
        <v>1</v>
      </c>
      <c r="I43" s="110" t="str">
        <v/>
      </c>
      <c r="J43" s="110">
        <v>8.6999999999999993</v>
      </c>
      <c r="K43" s="110">
        <v>0</v>
      </c>
      <c r="L43" s="110">
        <v>0</v>
      </c>
      <c r="M43" s="110">
        <v>0</v>
      </c>
      <c r="N43" s="110">
        <v>0</v>
      </c>
      <c r="O43" s="110">
        <v>56.3</v>
      </c>
      <c r="P43" s="110">
        <v>0</v>
      </c>
      <c r="Q43" s="110" t="str">
        <v xml:space="preserve">PSPA </v>
      </c>
      <c r="R43" s="110">
        <v>715000</v>
      </c>
      <c r="S43" s="110">
        <v>750000</v>
      </c>
      <c r="T43" s="110">
        <v>415000</v>
      </c>
      <c r="U43" s="110">
        <v>0</v>
      </c>
      <c r="V43" s="110">
        <v>35000</v>
      </c>
      <c r="W43" s="110">
        <v>380000</v>
      </c>
      <c r="X43" s="110">
        <v>0</v>
      </c>
      <c r="Y43" s="110">
        <v>415000</v>
      </c>
      <c r="Z43" s="110">
        <v>380000</v>
      </c>
      <c r="AA43" s="110">
        <v>45792</v>
      </c>
      <c r="AB43" s="111" t="str">
        <v>Q2 2025</v>
      </c>
      <c r="AC43">
        <v>45910</v>
      </c>
      <c r="AD43">
        <v>47118</v>
      </c>
      <c r="AE43" t="str">
        <v>João Gameiro</v>
      </c>
      <c r="AF43" t="str">
        <v>Miguel Ribeiro</v>
      </c>
      <c r="AG43" t="str">
        <v>https://www.aroeiracollections.com/</v>
      </c>
      <c r="AH43" t="str">
        <v>Aroeira Collections by Missoni: Elegance inspired by iconic design, set beside the renowned PGA golf course — where luxury living meets the rhythm of the coast.</v>
      </c>
      <c r="AI43" t="str">
        <v>Gym, Spa, Condo Pool, Private Pools, Tennis &amp; Padel Courts, Outdoor Areas, Smart Home Technology, Private Parking, Reception, Missoni Interiors, PGA Golf Course</v>
      </c>
      <c r="AJ43"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43" t="str">
        <v>Ana Costa, João Favila, Pedro Domingos</v>
      </c>
      <c r="AL43" t="str">
        <v>Aroeira Collections</v>
      </c>
    </row>
    <row r="44" spans="1:38" x14ac:dyDescent="0.3">
      <c r="A44" s="110" t="str">
        <v>Aroeira - HOTEL APARTMENTS</v>
      </c>
      <c r="B44" s="110" t="str">
        <v>Center</v>
      </c>
      <c r="C44" s="110" t="str">
        <v>116A</v>
      </c>
      <c r="D44" s="110" t="str">
        <v>Herdade da Aroeira, Almada</v>
      </c>
      <c r="E44" s="110" t="str">
        <v>1-BR</v>
      </c>
      <c r="F44" s="110">
        <v>65</v>
      </c>
      <c r="G44" s="110">
        <v>0</v>
      </c>
      <c r="H44" s="110" t="str">
        <v>1</v>
      </c>
      <c r="I44" s="110" t="str">
        <v/>
      </c>
      <c r="J44" s="110">
        <v>8.6999999999999993</v>
      </c>
      <c r="K44" s="110">
        <v>0</v>
      </c>
      <c r="L44" s="110">
        <v>0</v>
      </c>
      <c r="M44" s="110">
        <v>0</v>
      </c>
      <c r="N44" s="110">
        <v>0</v>
      </c>
      <c r="O44" s="110">
        <v>56.3</v>
      </c>
      <c r="P44" s="110">
        <v>0</v>
      </c>
      <c r="Q44" s="110" t="str">
        <v xml:space="preserve">PSPA </v>
      </c>
      <c r="R44" s="110">
        <v>395000</v>
      </c>
      <c r="S44" s="110">
        <v>430000</v>
      </c>
      <c r="T44" s="110">
        <v>430000</v>
      </c>
      <c r="U44" s="110">
        <v>0</v>
      </c>
      <c r="V44" s="110">
        <v>35000</v>
      </c>
      <c r="W44" s="110">
        <v>395000</v>
      </c>
      <c r="X44" s="110">
        <v>0</v>
      </c>
      <c r="Y44" s="110">
        <v>430000</v>
      </c>
      <c r="Z44" s="110">
        <v>395000</v>
      </c>
      <c r="AA44" s="110">
        <v>45792</v>
      </c>
      <c r="AB44" s="111" t="str">
        <v>Q2 2025</v>
      </c>
      <c r="AC44">
        <v>46020</v>
      </c>
      <c r="AD44">
        <v>47118</v>
      </c>
      <c r="AE44" t="str">
        <v>João Gameiro</v>
      </c>
      <c r="AF44" t="str">
        <v>Miguel Ribeiro</v>
      </c>
      <c r="AG44" t="str">
        <v>https://www.aroeiracollections.com/</v>
      </c>
      <c r="AH44" t="str">
        <v>Aroeira Collections by Missoni: Elegance inspired by iconic design, set beside the renowned PGA golf course — where luxury living meets the rhythm of the coast.</v>
      </c>
      <c r="AI44" t="str">
        <v>Gym, Spa, Condo Pool, Private Pools, Tennis &amp; Padel Courts, Outdoor Areas, Smart Home Technology, Private Parking, Reception, Missoni Interiors, PGA Golf Course</v>
      </c>
      <c r="AJ44"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44" t="str">
        <v>Ana Costa, João Favila, Pedro Domingos</v>
      </c>
      <c r="AL44" t="str">
        <v>Aroeira Collections</v>
      </c>
    </row>
    <row r="45" spans="1:38" x14ac:dyDescent="0.3">
      <c r="A45" s="110" t="str">
        <v>Aroeira - HOTEL APARTMENTS</v>
      </c>
      <c r="B45" s="110" t="str">
        <v>Center</v>
      </c>
      <c r="C45" s="110" t="str">
        <v>119A</v>
      </c>
      <c r="D45" s="110" t="str">
        <v>Herdade da Aroeira, Almada</v>
      </c>
      <c r="E45" s="110" t="str">
        <v>1-BR</v>
      </c>
      <c r="F45" s="110">
        <v>65</v>
      </c>
      <c r="G45" s="110">
        <v>0</v>
      </c>
      <c r="H45" s="110" t="str">
        <v>1</v>
      </c>
      <c r="I45" s="110" t="str">
        <v/>
      </c>
      <c r="J45" s="110">
        <v>8.6999999999999993</v>
      </c>
      <c r="K45" s="110">
        <v>0</v>
      </c>
      <c r="L45" s="110">
        <v>0</v>
      </c>
      <c r="M45" s="110">
        <v>0</v>
      </c>
      <c r="N45" s="110">
        <v>0</v>
      </c>
      <c r="O45" s="110">
        <v>56.3</v>
      </c>
      <c r="P45" s="110">
        <v>0</v>
      </c>
      <c r="Q45" s="110" t="str">
        <v xml:space="preserve">PSPA </v>
      </c>
      <c r="R45" s="110">
        <v>395000</v>
      </c>
      <c r="S45" s="110">
        <v>430000</v>
      </c>
      <c r="T45" s="110">
        <v>430000</v>
      </c>
      <c r="U45" s="110">
        <v>0</v>
      </c>
      <c r="V45" s="110">
        <v>35000</v>
      </c>
      <c r="W45" s="110">
        <v>395000</v>
      </c>
      <c r="X45" s="110">
        <v>0</v>
      </c>
      <c r="Y45" s="110">
        <v>430000</v>
      </c>
      <c r="Z45" s="110">
        <v>395000</v>
      </c>
      <c r="AA45" s="110">
        <v>45792</v>
      </c>
      <c r="AB45" s="111" t="str">
        <v>Q2 2025</v>
      </c>
      <c r="AC45">
        <v>46122</v>
      </c>
      <c r="AD45">
        <v>47118</v>
      </c>
      <c r="AE45" t="str">
        <v>João Gameiro</v>
      </c>
      <c r="AF45" t="str">
        <v>Miguel Ribeiro</v>
      </c>
      <c r="AG45" t="str">
        <v>https://www.aroeiracollections.com/</v>
      </c>
      <c r="AH45" t="str">
        <v>Aroeira Collections by Missoni: Elegance inspired by iconic design, set beside the renowned PGA golf course — where luxury living meets the rhythm of the coast.</v>
      </c>
      <c r="AI45" t="str">
        <v>Gym, Spa, Condo Pool, Private Pools, Tennis &amp; Padel Courts, Outdoor Areas, Smart Home Technology, Private Parking, Reception, Missoni Interiors, PGA Golf Course</v>
      </c>
      <c r="AJ45"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45" t="str">
        <v>Ana Costa, João Favila, Pedro Domingos</v>
      </c>
      <c r="AL45" t="str">
        <v>Aroeira Collections</v>
      </c>
    </row>
    <row r="46" spans="1:38" x14ac:dyDescent="0.3">
      <c r="A46" s="110" t="str">
        <v>Aroeira - HOTEL APARTMENTS</v>
      </c>
      <c r="B46" s="110" t="str">
        <v>Center</v>
      </c>
      <c r="C46" s="110" t="str">
        <v>135A</v>
      </c>
      <c r="D46" s="110" t="str">
        <v>Herdade da Aroeira, Almada</v>
      </c>
      <c r="E46" s="110" t="str">
        <v>1-BR</v>
      </c>
      <c r="F46" s="110">
        <v>56.5</v>
      </c>
      <c r="G46" s="110">
        <v>0</v>
      </c>
      <c r="H46" s="110" t="str">
        <v>1</v>
      </c>
      <c r="I46" s="110" t="str">
        <v/>
      </c>
      <c r="J46" s="110">
        <v>5</v>
      </c>
      <c r="K46" s="110">
        <v>0</v>
      </c>
      <c r="L46" s="110">
        <v>0</v>
      </c>
      <c r="M46" s="110">
        <v>0</v>
      </c>
      <c r="N46" s="110">
        <v>0</v>
      </c>
      <c r="O46" s="110">
        <v>51.5</v>
      </c>
      <c r="P46" s="110">
        <v>0</v>
      </c>
      <c r="Q46" s="110" t="str">
        <v xml:space="preserve">PSPA </v>
      </c>
      <c r="R46" s="110">
        <v>2665000</v>
      </c>
      <c r="S46" s="110">
        <v>2700000</v>
      </c>
      <c r="T46" s="110">
        <v>370000</v>
      </c>
      <c r="U46" s="110">
        <v>0</v>
      </c>
      <c r="V46" s="110">
        <v>35000</v>
      </c>
      <c r="W46" s="110">
        <v>335000</v>
      </c>
      <c r="X46" s="110">
        <v>0</v>
      </c>
      <c r="Y46" s="110">
        <v>370000</v>
      </c>
      <c r="Z46" s="110">
        <v>335000</v>
      </c>
      <c r="AA46" s="110">
        <v>45792</v>
      </c>
      <c r="AB46" s="111" t="str">
        <v>Q2 2025</v>
      </c>
      <c r="AC46">
        <v>46093</v>
      </c>
      <c r="AD46">
        <v>47118</v>
      </c>
      <c r="AE46" t="str">
        <v>João Gameiro</v>
      </c>
      <c r="AF46" t="str">
        <v>Miguel Ribeiro</v>
      </c>
      <c r="AG46" t="str">
        <v>https://www.aroeiracollections.com/</v>
      </c>
      <c r="AH46" t="str">
        <v>Aroeira Collections by Missoni: Elegance inspired by iconic design, set beside the renowned PGA golf course — where luxury living meets the rhythm of the coast.</v>
      </c>
      <c r="AI46" t="str">
        <v>Gym, Spa, Condo Pool, Private Pools, Tennis &amp; Padel Courts, Outdoor Areas, Smart Home Technology, Private Parking, Reception, Missoni Interiors, PGA Golf Course</v>
      </c>
      <c r="AJ46"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46" t="str">
        <v>Ana Costa, João Favila, Pedro Domingos</v>
      </c>
      <c r="AL46" t="str">
        <v>Aroeira Collections</v>
      </c>
    </row>
    <row r="47" spans="1:38" x14ac:dyDescent="0.3">
      <c r="A47" s="110" t="str">
        <v>Aroeira - HOTEL APARTMENTS</v>
      </c>
      <c r="B47" s="110" t="str">
        <v>Center</v>
      </c>
      <c r="C47" s="110" t="str">
        <v>136A</v>
      </c>
      <c r="D47" s="110" t="str">
        <v>Herdade da Aroeira, Almada</v>
      </c>
      <c r="E47" s="110" t="str">
        <v>1-BR</v>
      </c>
      <c r="F47" s="110">
        <v>56.5</v>
      </c>
      <c r="G47" s="110">
        <v>0</v>
      </c>
      <c r="H47" s="110" t="str">
        <v>1</v>
      </c>
      <c r="I47" s="110" t="str">
        <v/>
      </c>
      <c r="J47" s="110">
        <v>5</v>
      </c>
      <c r="K47" s="110">
        <v>0</v>
      </c>
      <c r="L47" s="110">
        <v>0</v>
      </c>
      <c r="M47" s="110">
        <v>0</v>
      </c>
      <c r="N47" s="110">
        <v>0</v>
      </c>
      <c r="O47" s="110">
        <v>51.5</v>
      </c>
      <c r="P47" s="110">
        <v>0</v>
      </c>
      <c r="Q47" s="110" t="str">
        <v xml:space="preserve">PSPA </v>
      </c>
      <c r="R47" s="110">
        <v>2715000</v>
      </c>
      <c r="S47" s="110">
        <v>2750000</v>
      </c>
      <c r="T47" s="110">
        <v>370000</v>
      </c>
      <c r="U47" s="110">
        <v>0</v>
      </c>
      <c r="V47" s="110">
        <v>35000</v>
      </c>
      <c r="W47" s="110">
        <v>335000</v>
      </c>
      <c r="X47" s="110">
        <v>0</v>
      </c>
      <c r="Y47" s="110">
        <v>370000</v>
      </c>
      <c r="Z47" s="110">
        <v>335000</v>
      </c>
      <c r="AA47" s="110">
        <v>45792</v>
      </c>
      <c r="AB47" s="111" t="str">
        <v>Q2 2025</v>
      </c>
      <c r="AC47">
        <v>46150</v>
      </c>
      <c r="AD47">
        <v>47118</v>
      </c>
      <c r="AE47" t="str">
        <v>João Gameiro</v>
      </c>
      <c r="AF47" t="str">
        <v>Miguel Ribeiro</v>
      </c>
      <c r="AG47" t="str">
        <v>https://www.aroeiracollections.com/</v>
      </c>
      <c r="AH47" t="str">
        <v>Aroeira Collections by Missoni: Elegance inspired by iconic design, set beside the renowned PGA golf course — where luxury living meets the rhythm of the coast.</v>
      </c>
      <c r="AI47" t="str">
        <v>Gym, Spa, Condo Pool, Private Pools, Tennis &amp; Padel Courts, Outdoor Areas, Smart Home Technology, Private Parking, Reception, Missoni Interiors, PGA Golf Course</v>
      </c>
      <c r="AJ47"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47" t="str">
        <v>Ana Costa, João Favila, Pedro Domingos</v>
      </c>
      <c r="AL47" t="str">
        <v>Aroeira Collections</v>
      </c>
    </row>
    <row r="48" spans="1:38" x14ac:dyDescent="0.3">
      <c r="A48" s="110" t="str">
        <v>Aroeira - HOTEL APARTMENTS</v>
      </c>
      <c r="B48" s="110" t="str">
        <v>Center</v>
      </c>
      <c r="C48" s="110" t="str">
        <v>145A</v>
      </c>
      <c r="D48" s="110" t="str">
        <v>Herdade da Aroeira, Almada</v>
      </c>
      <c r="E48" s="110" t="str">
        <v>1-BR</v>
      </c>
      <c r="F48" s="110">
        <v>56.5</v>
      </c>
      <c r="G48" s="110">
        <v>0</v>
      </c>
      <c r="H48" s="110" t="str">
        <v>1</v>
      </c>
      <c r="I48" s="110" t="str">
        <v/>
      </c>
      <c r="J48" s="110">
        <v>5</v>
      </c>
      <c r="K48" s="110">
        <v>0</v>
      </c>
      <c r="L48" s="110">
        <v>0</v>
      </c>
      <c r="M48" s="110">
        <v>0</v>
      </c>
      <c r="N48" s="110">
        <v>0</v>
      </c>
      <c r="O48" s="110">
        <v>51.5</v>
      </c>
      <c r="P48" s="110">
        <v>0</v>
      </c>
      <c r="Q48" s="110" t="str">
        <v xml:space="preserve">PSPA </v>
      </c>
      <c r="R48" s="110">
        <v>3615000</v>
      </c>
      <c r="S48" s="110">
        <v>3650000</v>
      </c>
      <c r="T48" s="110">
        <v>370000</v>
      </c>
      <c r="U48" s="110">
        <v>0</v>
      </c>
      <c r="V48" s="110">
        <v>35000</v>
      </c>
      <c r="W48" s="110">
        <v>335000</v>
      </c>
      <c r="X48" s="110">
        <v>0</v>
      </c>
      <c r="Y48" s="110">
        <v>370000</v>
      </c>
      <c r="Z48" s="110">
        <v>335000</v>
      </c>
      <c r="AA48" s="110">
        <v>45792</v>
      </c>
      <c r="AB48" s="111" t="str">
        <v>Q2 2025</v>
      </c>
      <c r="AC48">
        <v>46093</v>
      </c>
      <c r="AD48">
        <v>47118</v>
      </c>
      <c r="AE48" t="str">
        <v>João Gameiro</v>
      </c>
      <c r="AF48" t="str">
        <v>Miguel Ribeiro</v>
      </c>
      <c r="AG48" t="str">
        <v>https://www.aroeiracollections.com/</v>
      </c>
      <c r="AH48" t="str">
        <v>Aroeira Collections by Missoni: Elegance inspired by iconic design, set beside the renowned PGA golf course — where luxury living meets the rhythm of the coast.</v>
      </c>
      <c r="AI48" t="str">
        <v>Gym, Spa, Condo Pool, Private Pools, Tennis &amp; Padel Courts, Outdoor Areas, Smart Home Technology, Private Parking, Reception, Missoni Interiors, PGA Golf Course</v>
      </c>
      <c r="AJ48"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48" t="str">
        <v>Ana Costa, João Favila, Pedro Domingos</v>
      </c>
      <c r="AL48" t="str">
        <v>Aroeira Collections</v>
      </c>
    </row>
    <row r="49" spans="1:38" x14ac:dyDescent="0.3">
      <c r="A49" t="str">
        <v>Aroeira - HOTEL APARTMENTS</v>
      </c>
      <c r="B49" t="str">
        <v>Center</v>
      </c>
      <c r="C49" t="str">
        <v>146A</v>
      </c>
      <c r="D49" t="str">
        <v>Herdade da Aroeira, Almada</v>
      </c>
      <c r="E49" t="str">
        <v>1-BR</v>
      </c>
      <c r="F49">
        <v>56.5</v>
      </c>
      <c r="G49">
        <v>0</v>
      </c>
      <c r="H49" t="str">
        <v>1</v>
      </c>
      <c r="I49" t="str">
        <v/>
      </c>
      <c r="J49">
        <v>5</v>
      </c>
      <c r="K49">
        <v>0</v>
      </c>
      <c r="L49">
        <v>0</v>
      </c>
      <c r="M49" s="79">
        <v>0</v>
      </c>
      <c r="N49">
        <v>0</v>
      </c>
      <c r="O49">
        <v>51.5</v>
      </c>
      <c r="P49">
        <v>0</v>
      </c>
      <c r="Q49" t="str">
        <v xml:space="preserve">PSPA </v>
      </c>
      <c r="R49">
        <v>3615000</v>
      </c>
      <c r="S49">
        <v>3650000</v>
      </c>
      <c r="T49">
        <v>370000</v>
      </c>
      <c r="U49">
        <v>0</v>
      </c>
      <c r="V49">
        <v>35000</v>
      </c>
      <c r="W49">
        <v>335000</v>
      </c>
      <c r="X49">
        <v>0</v>
      </c>
      <c r="Y49">
        <v>370000</v>
      </c>
      <c r="Z49">
        <v>335000</v>
      </c>
      <c r="AA49">
        <v>45792</v>
      </c>
      <c r="AB49" t="str">
        <v>Q2 2025</v>
      </c>
      <c r="AC49">
        <v>46161</v>
      </c>
      <c r="AD49">
        <v>47118</v>
      </c>
      <c r="AE49" t="str">
        <v>João Gameiro</v>
      </c>
      <c r="AF49" t="str">
        <v>Miguel Ribeiro</v>
      </c>
      <c r="AG49" t="str">
        <v>https://www.aroeiracollections.com/</v>
      </c>
      <c r="AH49" t="str">
        <v>Aroeira Collections by Missoni: Elegance inspired by iconic design, set beside the renowned PGA golf course — where luxury living meets the rhythm of the coast.</v>
      </c>
      <c r="AI49" t="str">
        <v>Gym, Spa, Condo Pool, Private Pools, Tennis &amp; Padel Courts, Outdoor Areas, Smart Home Technology, Private Parking, Reception, Missoni Interiors, PGA Golf Course</v>
      </c>
      <c r="AJ49"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49" t="str">
        <v>Ana Costa, João Favila, Pedro Domingos</v>
      </c>
      <c r="AL49" t="str">
        <v>Aroeira Collections</v>
      </c>
    </row>
    <row r="50" spans="1:38" x14ac:dyDescent="0.3">
      <c r="A50" t="str">
        <v>Aroeira - HOTEL APARTMENTS</v>
      </c>
      <c r="B50" t="str">
        <v>Center</v>
      </c>
      <c r="C50" t="str">
        <v>210A</v>
      </c>
      <c r="D50" t="str">
        <v>Herdade da Aroeira, Almada</v>
      </c>
      <c r="E50" t="str">
        <v>1-BR</v>
      </c>
      <c r="F50">
        <v>72.5</v>
      </c>
      <c r="G50">
        <v>0</v>
      </c>
      <c r="H50" t="str">
        <v>1</v>
      </c>
      <c r="I50" t="str">
        <v/>
      </c>
      <c r="J50">
        <v>12</v>
      </c>
      <c r="K50">
        <v>0</v>
      </c>
      <c r="L50">
        <v>0</v>
      </c>
      <c r="M50" s="79">
        <v>0</v>
      </c>
      <c r="N50">
        <v>0</v>
      </c>
      <c r="O50">
        <v>60.5</v>
      </c>
      <c r="P50">
        <v>0</v>
      </c>
      <c r="Q50" t="str">
        <v xml:space="preserve">PSPA </v>
      </c>
      <c r="R50">
        <v>445000</v>
      </c>
      <c r="S50">
        <v>480000</v>
      </c>
      <c r="T50">
        <v>480000</v>
      </c>
      <c r="U50">
        <v>0</v>
      </c>
      <c r="V50">
        <v>35000</v>
      </c>
      <c r="W50">
        <v>445000</v>
      </c>
      <c r="X50">
        <v>0</v>
      </c>
      <c r="Y50">
        <v>480000</v>
      </c>
      <c r="Z50">
        <v>445000</v>
      </c>
      <c r="AA50">
        <v>45792</v>
      </c>
      <c r="AB50" t="str">
        <v>Q2 2025</v>
      </c>
      <c r="AC50">
        <v>45931</v>
      </c>
      <c r="AD50">
        <v>47118</v>
      </c>
      <c r="AE50" t="str">
        <v>João Gameiro</v>
      </c>
      <c r="AF50" t="str">
        <v>Miguel Ribeiro</v>
      </c>
      <c r="AG50" t="str">
        <v>https://www.aroeiracollections.com/</v>
      </c>
      <c r="AH50" t="str">
        <v>Aroeira Collections by Missoni: Elegance inspired by iconic design, set beside the renowned PGA golf course — where luxury living meets the rhythm of the coast.</v>
      </c>
      <c r="AI50" t="str">
        <v>Gym, Spa, Condo Pool, Private Pools, Tennis &amp; Padel Courts, Outdoor Areas, Smart Home Technology, Private Parking, Reception, Missoni Interiors, PGA Golf Course</v>
      </c>
      <c r="AJ50"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50" t="str">
        <v>Ana Costa, João Favila, Pedro Domingos</v>
      </c>
      <c r="AL50" t="str">
        <v>Aroeira Collections</v>
      </c>
    </row>
    <row r="51" spans="1:38" x14ac:dyDescent="0.3">
      <c r="A51" t="str">
        <v>Aroeira - HOTEL APARTMENTS</v>
      </c>
      <c r="B51" t="str">
        <v>Center</v>
      </c>
      <c r="C51" t="str">
        <v>217A</v>
      </c>
      <c r="D51" t="str">
        <v>Herdade da Aroeira, Almada</v>
      </c>
      <c r="E51" t="str">
        <v>1-BR</v>
      </c>
      <c r="F51">
        <v>65</v>
      </c>
      <c r="G51">
        <v>0</v>
      </c>
      <c r="H51" t="str">
        <v>1</v>
      </c>
      <c r="I51" t="str">
        <v/>
      </c>
      <c r="J51">
        <v>8.6999999999999993</v>
      </c>
      <c r="K51">
        <v>0</v>
      </c>
      <c r="L51">
        <v>0</v>
      </c>
      <c r="M51" s="79">
        <v>0</v>
      </c>
      <c r="N51">
        <v>0</v>
      </c>
      <c r="O51">
        <v>56.3</v>
      </c>
      <c r="P51">
        <v>0</v>
      </c>
      <c r="Q51" t="str">
        <v xml:space="preserve">PSPA </v>
      </c>
      <c r="R51">
        <v>415000</v>
      </c>
      <c r="S51">
        <v>450000</v>
      </c>
      <c r="T51">
        <v>450000</v>
      </c>
      <c r="U51">
        <v>0</v>
      </c>
      <c r="V51">
        <v>35000</v>
      </c>
      <c r="W51">
        <v>415000</v>
      </c>
      <c r="X51">
        <v>0</v>
      </c>
      <c r="Y51">
        <v>450000</v>
      </c>
      <c r="Z51">
        <v>415000</v>
      </c>
      <c r="AA51">
        <v>45792</v>
      </c>
      <c r="AB51" t="str">
        <v>Q2 2025</v>
      </c>
      <c r="AC51">
        <v>46142</v>
      </c>
      <c r="AD51">
        <v>47118</v>
      </c>
      <c r="AE51" t="str">
        <v>João Gameiro</v>
      </c>
      <c r="AF51" t="str">
        <v>Miguel Ribeiro</v>
      </c>
      <c r="AG51" t="str">
        <v>https://www.aroeiracollections.com/</v>
      </c>
      <c r="AH51" t="str">
        <v>Aroeira Collections by Missoni: Elegance inspired by iconic design, set beside the renowned PGA golf course — where luxury living meets the rhythm of the coast.</v>
      </c>
      <c r="AI51" t="str">
        <v>Gym, Spa, Condo Pool, Private Pools, Tennis &amp; Padel Courts, Outdoor Areas, Smart Home Technology, Private Parking, Reception, Missoni Interiors, PGA Golf Course</v>
      </c>
      <c r="AJ51"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51" t="str">
        <v>Ana Costa, João Favila, Pedro Domingos</v>
      </c>
      <c r="AL51" t="str">
        <v>Aroeira Collections</v>
      </c>
    </row>
    <row r="52" spans="1:38" x14ac:dyDescent="0.3">
      <c r="A52" t="str">
        <v>Aroeira - HOTEL APARTMENTS</v>
      </c>
      <c r="B52" t="str">
        <v>Center</v>
      </c>
      <c r="C52" t="str">
        <v>324A</v>
      </c>
      <c r="D52" t="str">
        <v>Herdade da Aroeira, Almada</v>
      </c>
      <c r="E52" t="str">
        <v>1-BR</v>
      </c>
      <c r="F52">
        <v>72.5</v>
      </c>
      <c r="G52">
        <v>0</v>
      </c>
      <c r="H52" t="str">
        <v>1</v>
      </c>
      <c r="I52" t="str">
        <v/>
      </c>
      <c r="J52">
        <v>12</v>
      </c>
      <c r="K52">
        <v>0</v>
      </c>
      <c r="L52">
        <v>0</v>
      </c>
      <c r="M52" s="79">
        <v>0</v>
      </c>
      <c r="N52">
        <v>0</v>
      </c>
      <c r="O52">
        <v>60.5</v>
      </c>
      <c r="P52">
        <v>0</v>
      </c>
      <c r="Q52" t="str">
        <v xml:space="preserve">PSPA </v>
      </c>
      <c r="R52">
        <v>465000</v>
      </c>
      <c r="S52">
        <v>500000</v>
      </c>
      <c r="T52">
        <v>500000</v>
      </c>
      <c r="U52">
        <v>0</v>
      </c>
      <c r="V52">
        <v>35000</v>
      </c>
      <c r="W52">
        <v>465000</v>
      </c>
      <c r="X52">
        <v>0</v>
      </c>
      <c r="Y52">
        <v>500000</v>
      </c>
      <c r="Z52">
        <v>465000</v>
      </c>
      <c r="AA52">
        <v>45792</v>
      </c>
      <c r="AB52" t="str">
        <v>Q2 2025</v>
      </c>
      <c r="AC52">
        <v>46056</v>
      </c>
      <c r="AD52">
        <v>47118</v>
      </c>
      <c r="AE52" t="str">
        <v>João Gameiro</v>
      </c>
      <c r="AF52" t="str">
        <v>Miguel Ribeiro</v>
      </c>
      <c r="AG52" t="str">
        <v>https://www.aroeiracollections.com/</v>
      </c>
      <c r="AH52" t="str">
        <v>Aroeira Collections by Missoni: Elegance inspired by iconic design, set beside the renowned PGA golf course — where luxury living meets the rhythm of the coast.</v>
      </c>
      <c r="AI52" t="str">
        <v>Gym, Spa, Condo Pool, Private Pools, Tennis &amp; Padel Courts, Outdoor Areas, Smart Home Technology, Private Parking, Reception, Missoni Interiors, PGA Golf Course</v>
      </c>
      <c r="AJ52"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52" t="str">
        <v>Ana Costa, João Favila, Pedro Domingos</v>
      </c>
      <c r="AL52" t="str">
        <v>Aroeira Collections</v>
      </c>
    </row>
    <row r="53" spans="1:38" x14ac:dyDescent="0.3">
      <c r="A53" t="str">
        <v>Aroeira - HOTEL APARTMENTS</v>
      </c>
      <c r="B53" t="str">
        <v>Center</v>
      </c>
      <c r="C53" t="str">
        <v>121A</v>
      </c>
      <c r="D53" t="str">
        <v>Herdade da Aroeira, Almada</v>
      </c>
      <c r="E53" t="str">
        <v>1-BR</v>
      </c>
      <c r="F53">
        <v>65</v>
      </c>
      <c r="G53">
        <v>0</v>
      </c>
      <c r="H53" t="str">
        <v>1</v>
      </c>
      <c r="I53" t="str">
        <v/>
      </c>
      <c r="J53">
        <v>8.6999999999999993</v>
      </c>
      <c r="K53">
        <v>0</v>
      </c>
      <c r="L53">
        <v>0</v>
      </c>
      <c r="M53" s="79">
        <v>0</v>
      </c>
      <c r="N53">
        <v>0</v>
      </c>
      <c r="O53">
        <v>56.3</v>
      </c>
      <c r="P53">
        <v>0</v>
      </c>
      <c r="Q53" t="str">
        <v>RESERVED</v>
      </c>
      <c r="R53">
        <v>395000</v>
      </c>
      <c r="S53">
        <v>430000</v>
      </c>
      <c r="T53">
        <v>430000</v>
      </c>
      <c r="U53">
        <v>0</v>
      </c>
      <c r="V53">
        <v>35000</v>
      </c>
      <c r="W53">
        <v>395000</v>
      </c>
      <c r="X53">
        <v>0</v>
      </c>
      <c r="Y53">
        <v>430000</v>
      </c>
      <c r="Z53">
        <v>395000</v>
      </c>
      <c r="AA53">
        <v>45792</v>
      </c>
      <c r="AB53" t="str">
        <v>Q2 2025</v>
      </c>
      <c r="AC53">
        <v>46136</v>
      </c>
      <c r="AD53">
        <v>47118</v>
      </c>
      <c r="AE53" t="str">
        <v>João Gameiro</v>
      </c>
      <c r="AF53" t="str">
        <v>Miguel Ribeiro</v>
      </c>
      <c r="AG53" t="str">
        <v>https://www.aroeiracollections.com/</v>
      </c>
      <c r="AH53" t="str">
        <v>Aroeira Collections by Missoni: Elegance inspired by iconic design, set beside the renowned PGA golf course — where luxury living meets the rhythm of the coast.</v>
      </c>
      <c r="AI53" t="str">
        <v>Gym, Spa, Condo Pool, Private Pools, Tennis &amp; Padel Courts, Outdoor Areas, Smart Home Technology, Private Parking, Reception, Missoni Interiors, PGA Golf Course</v>
      </c>
      <c r="AJ53"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53" t="str">
        <v>Ana Costa, João Favila, Pedro Domingos</v>
      </c>
      <c r="AL53" t="str">
        <v>Aroeira Collections</v>
      </c>
    </row>
    <row r="54" spans="1:38" x14ac:dyDescent="0.3">
      <c r="A54" t="str">
        <v>Aroeira - HOTEL APARTMENTS</v>
      </c>
      <c r="B54" t="str">
        <v>Center</v>
      </c>
      <c r="C54" t="str">
        <v>130A</v>
      </c>
      <c r="D54" t="str">
        <v>Herdade da Aroeira, Almada</v>
      </c>
      <c r="E54" t="str">
        <v>1-BR</v>
      </c>
      <c r="F54">
        <v>60.2</v>
      </c>
      <c r="G54">
        <v>0</v>
      </c>
      <c r="H54" t="str">
        <v>1</v>
      </c>
      <c r="I54" t="str">
        <v/>
      </c>
      <c r="J54">
        <v>3.9</v>
      </c>
      <c r="K54">
        <v>0</v>
      </c>
      <c r="L54">
        <v>0</v>
      </c>
      <c r="M54" s="79">
        <v>0</v>
      </c>
      <c r="N54">
        <v>0</v>
      </c>
      <c r="O54">
        <v>56.3</v>
      </c>
      <c r="P54">
        <v>0</v>
      </c>
      <c r="Q54" t="str">
        <v>RESERVED</v>
      </c>
      <c r="R54">
        <v>985000</v>
      </c>
      <c r="S54">
        <v>1020000</v>
      </c>
      <c r="T54">
        <v>410000</v>
      </c>
      <c r="U54">
        <v>0</v>
      </c>
      <c r="V54">
        <v>35000</v>
      </c>
      <c r="W54">
        <v>375000</v>
      </c>
      <c r="X54">
        <v>0</v>
      </c>
      <c r="Y54">
        <v>410000</v>
      </c>
      <c r="Z54">
        <v>375000</v>
      </c>
      <c r="AA54">
        <v>45792</v>
      </c>
      <c r="AB54" t="str">
        <v>Q2 2025</v>
      </c>
      <c r="AC54">
        <v>46120</v>
      </c>
      <c r="AD54">
        <v>47118</v>
      </c>
      <c r="AE54" t="str">
        <v>João Gameiro</v>
      </c>
      <c r="AF54" t="str">
        <v>Miguel Ribeiro</v>
      </c>
      <c r="AG54" t="str">
        <v>https://www.aroeiracollections.com/</v>
      </c>
      <c r="AH54" t="str">
        <v>Aroeira Collections by Missoni: Elegance inspired by iconic design, set beside the renowned PGA golf course — where luxury living meets the rhythm of the coast.</v>
      </c>
      <c r="AI54" t="str">
        <v>Gym, Spa, Condo Pool, Private Pools, Tennis &amp; Padel Courts, Outdoor Areas, Smart Home Technology, Private Parking, Reception, Missoni Interiors, PGA Golf Course</v>
      </c>
      <c r="AJ54"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54" t="str">
        <v>Ana Costa, João Favila, Pedro Domingos</v>
      </c>
      <c r="AL54" t="str">
        <v>Aroeira Collections</v>
      </c>
    </row>
    <row r="55" spans="1:38" x14ac:dyDescent="0.3">
      <c r="A55" t="str">
        <v>Aroeira - HOTEL APARTMENTS</v>
      </c>
      <c r="B55" t="str">
        <v>Center</v>
      </c>
      <c r="C55" t="str">
        <v>131A</v>
      </c>
      <c r="D55" t="str">
        <v>Herdade da Aroeira, Almada</v>
      </c>
      <c r="E55" t="str">
        <v>1-BR</v>
      </c>
      <c r="F55">
        <v>60.2</v>
      </c>
      <c r="G55">
        <v>0</v>
      </c>
      <c r="H55" t="str">
        <v>1</v>
      </c>
      <c r="I55" t="str">
        <v/>
      </c>
      <c r="J55">
        <v>3.9</v>
      </c>
      <c r="K55">
        <v>0</v>
      </c>
      <c r="L55">
        <v>0</v>
      </c>
      <c r="M55" s="79">
        <v>0</v>
      </c>
      <c r="N55">
        <v>0</v>
      </c>
      <c r="O55">
        <v>56.3</v>
      </c>
      <c r="P55">
        <v>0</v>
      </c>
      <c r="Q55" t="str">
        <v>RESERVED</v>
      </c>
      <c r="R55">
        <v>725000</v>
      </c>
      <c r="S55">
        <v>760000</v>
      </c>
      <c r="T55">
        <v>410000</v>
      </c>
      <c r="U55">
        <v>0</v>
      </c>
      <c r="V55">
        <v>35000</v>
      </c>
      <c r="W55">
        <v>375000</v>
      </c>
      <c r="X55">
        <v>0</v>
      </c>
      <c r="Y55">
        <v>410000</v>
      </c>
      <c r="Z55">
        <v>375000</v>
      </c>
      <c r="AA55">
        <v>45792</v>
      </c>
      <c r="AB55" t="str">
        <v>Q2 2025</v>
      </c>
      <c r="AC55">
        <v>46112</v>
      </c>
      <c r="AD55">
        <v>47118</v>
      </c>
      <c r="AE55" t="str">
        <v>João Gameiro</v>
      </c>
      <c r="AF55" t="str">
        <v>Miguel Ribeiro</v>
      </c>
      <c r="AG55" t="str">
        <v>https://www.aroeiracollections.com/</v>
      </c>
      <c r="AH55" t="str">
        <v>Aroeira Collections by Missoni: Elegance inspired by iconic design, set beside the renowned PGA golf course — where luxury living meets the rhythm of the coast.</v>
      </c>
      <c r="AI55" t="str">
        <v>Gym, Spa, Condo Pool, Private Pools, Tennis &amp; Padel Courts, Outdoor Areas, Smart Home Technology, Private Parking, Reception, Missoni Interiors, PGA Golf Course</v>
      </c>
      <c r="AJ55"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55" t="str">
        <v>Ana Costa, João Favila, Pedro Domingos</v>
      </c>
      <c r="AL55" t="str">
        <v>Aroeira Collections</v>
      </c>
    </row>
    <row r="56" spans="1:38" x14ac:dyDescent="0.3">
      <c r="A56" t="str">
        <v>Aroeira - HOTEL APARTMENTS</v>
      </c>
      <c r="B56" t="str">
        <v>Center</v>
      </c>
      <c r="C56" t="str">
        <v>132A</v>
      </c>
      <c r="D56" t="str">
        <v>Herdade da Aroeira, Almada</v>
      </c>
      <c r="E56" t="str">
        <v>1-BR</v>
      </c>
      <c r="F56">
        <v>60.2</v>
      </c>
      <c r="G56">
        <v>0</v>
      </c>
      <c r="H56" t="str">
        <v>1</v>
      </c>
      <c r="I56" t="str">
        <v/>
      </c>
      <c r="J56">
        <v>3.9</v>
      </c>
      <c r="K56">
        <v>0</v>
      </c>
      <c r="L56">
        <v>0</v>
      </c>
      <c r="M56" s="79">
        <v>0</v>
      </c>
      <c r="N56">
        <v>0</v>
      </c>
      <c r="O56">
        <v>56.3</v>
      </c>
      <c r="P56">
        <v>0</v>
      </c>
      <c r="Q56" t="str">
        <v>RESERVED</v>
      </c>
      <c r="R56">
        <v>765000</v>
      </c>
      <c r="S56">
        <v>800000</v>
      </c>
      <c r="T56">
        <v>410000</v>
      </c>
      <c r="U56">
        <v>0</v>
      </c>
      <c r="V56">
        <v>35000</v>
      </c>
      <c r="W56">
        <v>375000</v>
      </c>
      <c r="X56">
        <v>0</v>
      </c>
      <c r="Y56">
        <v>410000</v>
      </c>
      <c r="Z56">
        <v>375000</v>
      </c>
      <c r="AA56">
        <v>45792</v>
      </c>
      <c r="AB56" t="str">
        <v>Q2 2025</v>
      </c>
      <c r="AC56">
        <v>46112</v>
      </c>
      <c r="AD56">
        <v>47118</v>
      </c>
      <c r="AE56" t="str">
        <v>João Gameiro</v>
      </c>
      <c r="AF56" t="str">
        <v>Miguel Ribeiro</v>
      </c>
      <c r="AG56" t="str">
        <v>https://www.aroeiracollections.com/</v>
      </c>
      <c r="AH56" t="str">
        <v>Aroeira Collections by Missoni: Elegance inspired by iconic design, set beside the renowned PGA golf course — where luxury living meets the rhythm of the coast.</v>
      </c>
      <c r="AI56" t="str">
        <v>Gym, Spa, Condo Pool, Private Pools, Tennis &amp; Padel Courts, Outdoor Areas, Smart Home Technology, Private Parking, Reception, Missoni Interiors, PGA Golf Course</v>
      </c>
      <c r="AJ56"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56" t="str">
        <v>Ana Costa, João Favila, Pedro Domingos</v>
      </c>
      <c r="AL56" t="str">
        <v>Aroeira Collections</v>
      </c>
    </row>
    <row r="57" spans="1:38" x14ac:dyDescent="0.3">
      <c r="A57" t="str">
        <v>Aroeira - HOTEL APARTMENTS</v>
      </c>
      <c r="B57" t="str">
        <v>Center</v>
      </c>
      <c r="C57" t="str">
        <v>133A</v>
      </c>
      <c r="D57" t="str">
        <v>Herdade da Aroeira, Almada</v>
      </c>
      <c r="E57" t="str">
        <v>1-BR</v>
      </c>
      <c r="F57">
        <v>60.2</v>
      </c>
      <c r="G57">
        <v>0</v>
      </c>
      <c r="H57" t="str">
        <v>1</v>
      </c>
      <c r="I57" t="str">
        <v/>
      </c>
      <c r="J57">
        <v>3.9</v>
      </c>
      <c r="K57">
        <v>0</v>
      </c>
      <c r="L57">
        <v>0</v>
      </c>
      <c r="M57" s="79">
        <v>0</v>
      </c>
      <c r="N57">
        <v>0</v>
      </c>
      <c r="O57">
        <v>56.3</v>
      </c>
      <c r="P57">
        <v>0</v>
      </c>
      <c r="Q57" t="str">
        <v>RESERVED</v>
      </c>
      <c r="R57">
        <v>885000</v>
      </c>
      <c r="S57">
        <v>920000</v>
      </c>
      <c r="T57">
        <v>410000</v>
      </c>
      <c r="U57">
        <v>0</v>
      </c>
      <c r="V57">
        <v>35000</v>
      </c>
      <c r="W57">
        <v>375000</v>
      </c>
      <c r="X57">
        <v>0</v>
      </c>
      <c r="Y57">
        <v>410000</v>
      </c>
      <c r="Z57">
        <v>375000</v>
      </c>
      <c r="AA57">
        <v>45792</v>
      </c>
      <c r="AB57" t="str">
        <v>Q2 2025</v>
      </c>
      <c r="AC57">
        <v>46146</v>
      </c>
      <c r="AD57">
        <v>47118</v>
      </c>
      <c r="AE57" t="str">
        <v>João Gameiro</v>
      </c>
      <c r="AF57" t="str">
        <v>Miguel Ribeiro</v>
      </c>
      <c r="AG57" t="str">
        <v>https://www.aroeiracollections.com/</v>
      </c>
      <c r="AH57" t="str">
        <v>Aroeira Collections by Missoni: Elegance inspired by iconic design, set beside the renowned PGA golf course — where luxury living meets the rhythm of the coast.</v>
      </c>
      <c r="AI57" t="str">
        <v>Gym, Spa, Condo Pool, Private Pools, Tennis &amp; Padel Courts, Outdoor Areas, Smart Home Technology, Private Parking, Reception, Missoni Interiors, PGA Golf Course</v>
      </c>
      <c r="AJ57"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57" t="str">
        <v>Ana Costa, João Favila, Pedro Domingos</v>
      </c>
      <c r="AL57" t="str">
        <v>Aroeira Collections</v>
      </c>
    </row>
    <row r="58" spans="1:38" x14ac:dyDescent="0.3">
      <c r="A58" t="str">
        <v>Aroeira - HOTEL APARTMENTS</v>
      </c>
      <c r="B58" t="str">
        <v>Center</v>
      </c>
      <c r="C58" t="str">
        <v>139A</v>
      </c>
      <c r="D58" t="str">
        <v>Herdade da Aroeira, Almada</v>
      </c>
      <c r="E58" t="str">
        <v>1-BR</v>
      </c>
      <c r="F58">
        <v>60.2</v>
      </c>
      <c r="G58">
        <v>0</v>
      </c>
      <c r="H58" t="str">
        <v>1</v>
      </c>
      <c r="I58" t="str">
        <v/>
      </c>
      <c r="J58">
        <v>3.9</v>
      </c>
      <c r="K58">
        <v>0</v>
      </c>
      <c r="L58">
        <v>0</v>
      </c>
      <c r="M58" s="79">
        <v>0</v>
      </c>
      <c r="N58">
        <v>0</v>
      </c>
      <c r="O58">
        <v>56.3</v>
      </c>
      <c r="P58">
        <v>0</v>
      </c>
      <c r="Q58" t="str">
        <v>RESERVED</v>
      </c>
      <c r="R58">
        <v>2065000</v>
      </c>
      <c r="S58">
        <v>2100000</v>
      </c>
      <c r="T58">
        <v>390000</v>
      </c>
      <c r="U58">
        <v>0</v>
      </c>
      <c r="V58">
        <v>35000</v>
      </c>
      <c r="W58">
        <v>355000</v>
      </c>
      <c r="X58">
        <v>0</v>
      </c>
      <c r="Y58">
        <v>390000</v>
      </c>
      <c r="Z58">
        <v>355000</v>
      </c>
      <c r="AA58">
        <v>45792</v>
      </c>
      <c r="AB58" t="str">
        <v>Q2 2025</v>
      </c>
      <c r="AC58">
        <v>46098</v>
      </c>
      <c r="AD58">
        <v>47118</v>
      </c>
      <c r="AE58" t="str">
        <v>João Gameiro</v>
      </c>
      <c r="AF58" t="str">
        <v>Miguel Ribeiro</v>
      </c>
      <c r="AG58" t="str">
        <v>https://www.aroeiracollections.com/</v>
      </c>
      <c r="AH58" t="str">
        <v>Aroeira Collections by Missoni: Elegance inspired by iconic design, set beside the renowned PGA golf course — where luxury living meets the rhythm of the coast.</v>
      </c>
      <c r="AI58" t="str">
        <v>Gym, Spa, Condo Pool, Private Pools, Tennis &amp; Padel Courts, Outdoor Areas, Smart Home Technology, Private Parking, Reception, Missoni Interiors, PGA Golf Course</v>
      </c>
      <c r="AJ58"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58" t="str">
        <v>Ana Costa, João Favila, Pedro Domingos</v>
      </c>
      <c r="AL58" t="str">
        <v>Aroeira Collections</v>
      </c>
    </row>
    <row r="59" spans="1:38" x14ac:dyDescent="0.3">
      <c r="A59" t="str">
        <v>Aroeira - HOTEL APARTMENTS</v>
      </c>
      <c r="B59" t="str">
        <v>Center</v>
      </c>
      <c r="C59" t="str">
        <v>140A</v>
      </c>
      <c r="D59" t="str">
        <v>Herdade da Aroeira, Almada</v>
      </c>
      <c r="E59" t="str">
        <v>1-BR</v>
      </c>
      <c r="F59">
        <v>60.2</v>
      </c>
      <c r="G59">
        <v>0</v>
      </c>
      <c r="H59" t="str">
        <v>1</v>
      </c>
      <c r="I59" t="str">
        <v/>
      </c>
      <c r="J59">
        <v>3.9</v>
      </c>
      <c r="K59">
        <v>0</v>
      </c>
      <c r="L59">
        <v>0</v>
      </c>
      <c r="M59" s="79">
        <v>0</v>
      </c>
      <c r="N59">
        <v>0</v>
      </c>
      <c r="O59">
        <v>56.3</v>
      </c>
      <c r="P59">
        <v>0</v>
      </c>
      <c r="Q59" t="str">
        <v>RESERVED</v>
      </c>
      <c r="R59">
        <v>2865000</v>
      </c>
      <c r="S59">
        <v>2900000</v>
      </c>
      <c r="T59">
        <v>390000</v>
      </c>
      <c r="U59">
        <v>0</v>
      </c>
      <c r="V59">
        <v>35000</v>
      </c>
      <c r="W59">
        <v>355000</v>
      </c>
      <c r="X59">
        <v>0</v>
      </c>
      <c r="Y59">
        <v>390000</v>
      </c>
      <c r="Z59">
        <v>355000</v>
      </c>
      <c r="AA59">
        <v>45792</v>
      </c>
      <c r="AB59" t="str">
        <v>Q2 2025</v>
      </c>
      <c r="AC59">
        <v>46085</v>
      </c>
      <c r="AD59">
        <v>47118</v>
      </c>
      <c r="AE59" t="str">
        <v>João Gameiro</v>
      </c>
      <c r="AF59" t="str">
        <v>Miguel Ribeiro</v>
      </c>
      <c r="AG59" t="str">
        <v>https://www.aroeiracollections.com/</v>
      </c>
      <c r="AH59" t="str">
        <v>Aroeira Collections by Missoni: Elegance inspired by iconic design, set beside the renowned PGA golf course — where luxury living meets the rhythm of the coast.</v>
      </c>
      <c r="AI59" t="str">
        <v>Gym, Spa, Condo Pool, Private Pools, Tennis &amp; Padel Courts, Outdoor Areas, Smart Home Technology, Private Parking, Reception, Missoni Interiors, PGA Golf Course</v>
      </c>
      <c r="AJ59"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59" t="str">
        <v>Ana Costa, João Favila, Pedro Domingos</v>
      </c>
      <c r="AL59" t="str">
        <v>Aroeira Collections</v>
      </c>
    </row>
    <row r="60" spans="1:38" x14ac:dyDescent="0.3">
      <c r="A60" t="str">
        <v>Aroeira - HOTEL APARTMENTS</v>
      </c>
      <c r="B60" t="str">
        <v>Center</v>
      </c>
      <c r="C60" t="str">
        <v>141A</v>
      </c>
      <c r="D60" t="str">
        <v>Herdade da Aroeira, Almada</v>
      </c>
      <c r="E60" t="str">
        <v>1-BR</v>
      </c>
      <c r="F60">
        <v>60.2</v>
      </c>
      <c r="G60">
        <v>0</v>
      </c>
      <c r="H60" t="str">
        <v>1</v>
      </c>
      <c r="I60" t="str">
        <v/>
      </c>
      <c r="J60">
        <v>3.9</v>
      </c>
      <c r="K60">
        <v>0</v>
      </c>
      <c r="L60">
        <v>0</v>
      </c>
      <c r="M60" s="79">
        <v>0</v>
      </c>
      <c r="N60">
        <v>0</v>
      </c>
      <c r="O60">
        <v>56.3</v>
      </c>
      <c r="P60">
        <v>0</v>
      </c>
      <c r="Q60" t="str">
        <v>RESERVED</v>
      </c>
      <c r="R60">
        <v>2265000</v>
      </c>
      <c r="S60">
        <v>2300000</v>
      </c>
      <c r="T60">
        <v>390000</v>
      </c>
      <c r="U60">
        <v>0</v>
      </c>
      <c r="V60">
        <v>35000</v>
      </c>
      <c r="W60">
        <v>355000</v>
      </c>
      <c r="X60">
        <v>0</v>
      </c>
      <c r="Y60">
        <v>390000</v>
      </c>
      <c r="Z60">
        <v>355000</v>
      </c>
      <c r="AA60">
        <v>45792</v>
      </c>
      <c r="AB60" t="str">
        <v>Q2 2025</v>
      </c>
      <c r="AC60">
        <v>46129</v>
      </c>
      <c r="AD60">
        <v>47118</v>
      </c>
      <c r="AE60" t="str">
        <v>João Gameiro</v>
      </c>
      <c r="AF60" t="str">
        <v>Miguel Ribeiro</v>
      </c>
      <c r="AG60" t="str">
        <v>https://www.aroeiracollections.com/</v>
      </c>
      <c r="AH60" t="str">
        <v>Aroeira Collections by Missoni: Elegance inspired by iconic design, set beside the renowned PGA golf course — where luxury living meets the rhythm of the coast.</v>
      </c>
      <c r="AI60" t="str">
        <v>Gym, Spa, Condo Pool, Private Pools, Tennis &amp; Padel Courts, Outdoor Areas, Smart Home Technology, Private Parking, Reception, Missoni Interiors, PGA Golf Course</v>
      </c>
      <c r="AJ60"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60" t="str">
        <v>Ana Costa, João Favila, Pedro Domingos</v>
      </c>
      <c r="AL60" t="str">
        <v>Aroeira Collections</v>
      </c>
    </row>
    <row r="61" spans="1:38" x14ac:dyDescent="0.3">
      <c r="A61" t="str">
        <v>Aroeira - HOTEL APARTMENTS</v>
      </c>
      <c r="B61" t="str">
        <v>Center</v>
      </c>
      <c r="C61" t="str">
        <v>142A</v>
      </c>
      <c r="D61" t="str">
        <v>Herdade da Aroeira, Almada</v>
      </c>
      <c r="E61" t="str">
        <v>1-BR</v>
      </c>
      <c r="F61">
        <v>60.2</v>
      </c>
      <c r="G61">
        <v>0</v>
      </c>
      <c r="H61" t="str">
        <v>1</v>
      </c>
      <c r="I61" t="str">
        <v/>
      </c>
      <c r="J61">
        <v>3.9</v>
      </c>
      <c r="K61">
        <v>0</v>
      </c>
      <c r="L61">
        <v>0</v>
      </c>
      <c r="M61" s="79">
        <v>0</v>
      </c>
      <c r="N61">
        <v>0</v>
      </c>
      <c r="O61">
        <v>56.3</v>
      </c>
      <c r="P61">
        <v>0</v>
      </c>
      <c r="Q61" t="str">
        <v>RESERVED</v>
      </c>
      <c r="R61">
        <v>2265000</v>
      </c>
      <c r="S61">
        <v>2300000</v>
      </c>
      <c r="T61">
        <v>390000</v>
      </c>
      <c r="U61">
        <v>0</v>
      </c>
      <c r="V61">
        <v>35000</v>
      </c>
      <c r="W61">
        <v>355000</v>
      </c>
      <c r="X61">
        <v>0</v>
      </c>
      <c r="Y61">
        <v>390000</v>
      </c>
      <c r="Z61">
        <v>355000</v>
      </c>
      <c r="AA61">
        <v>45792</v>
      </c>
      <c r="AB61" t="str">
        <v>Q2 2025</v>
      </c>
      <c r="AC61">
        <v>46129</v>
      </c>
      <c r="AD61">
        <v>47118</v>
      </c>
      <c r="AE61" t="str">
        <v>João Gameiro</v>
      </c>
      <c r="AF61" t="str">
        <v>Miguel Ribeiro</v>
      </c>
      <c r="AG61" t="str">
        <v>https://www.aroeiracollections.com/</v>
      </c>
      <c r="AH61" t="str">
        <v>Aroeira Collections by Missoni: Elegance inspired by iconic design, set beside the renowned PGA golf course — where luxury living meets the rhythm of the coast.</v>
      </c>
      <c r="AI61" t="str">
        <v>Gym, Spa, Condo Pool, Private Pools, Tennis &amp; Padel Courts, Outdoor Areas, Smart Home Technology, Private Parking, Reception, Missoni Interiors, PGA Golf Course</v>
      </c>
      <c r="AJ61"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61" t="str">
        <v>Ana Costa, João Favila, Pedro Domingos</v>
      </c>
      <c r="AL61" t="str">
        <v>Aroeira Collections</v>
      </c>
    </row>
    <row r="62" spans="1:38" x14ac:dyDescent="0.3">
      <c r="A62" t="str">
        <v>Aroeira - HOTEL APARTMENTS</v>
      </c>
      <c r="B62" t="str">
        <v>Center</v>
      </c>
      <c r="C62" t="str">
        <v>143A</v>
      </c>
      <c r="D62" t="str">
        <v>Herdade da Aroeira, Almada</v>
      </c>
      <c r="E62" t="str">
        <v>1-BR</v>
      </c>
      <c r="F62">
        <v>56.5</v>
      </c>
      <c r="G62">
        <v>0</v>
      </c>
      <c r="H62" t="str">
        <v>1</v>
      </c>
      <c r="I62" t="str">
        <v/>
      </c>
      <c r="J62">
        <v>5</v>
      </c>
      <c r="K62">
        <v>0</v>
      </c>
      <c r="L62">
        <v>0</v>
      </c>
      <c r="M62" s="79">
        <v>0</v>
      </c>
      <c r="N62">
        <v>0</v>
      </c>
      <c r="O62">
        <v>51.5</v>
      </c>
      <c r="P62">
        <v>0</v>
      </c>
      <c r="Q62" t="str">
        <v>RESERVED</v>
      </c>
      <c r="R62">
        <v>1915000</v>
      </c>
      <c r="S62">
        <v>1950000</v>
      </c>
      <c r="T62">
        <v>370000</v>
      </c>
      <c r="U62">
        <v>0</v>
      </c>
      <c r="V62">
        <v>35000</v>
      </c>
      <c r="W62">
        <v>335000</v>
      </c>
      <c r="X62">
        <v>0</v>
      </c>
      <c r="Y62">
        <v>370000</v>
      </c>
      <c r="Z62">
        <v>335000</v>
      </c>
      <c r="AA62">
        <v>45792</v>
      </c>
      <c r="AB62" t="str">
        <v>Q2 2025</v>
      </c>
      <c r="AC62">
        <v>46104</v>
      </c>
      <c r="AD62">
        <v>47118</v>
      </c>
      <c r="AE62" t="str">
        <v>João Gameiro</v>
      </c>
      <c r="AF62" t="str">
        <v>Miguel Ribeiro</v>
      </c>
      <c r="AG62" t="str">
        <v>https://www.aroeiracollections.com/</v>
      </c>
      <c r="AH62" t="str">
        <v>Aroeira Collections by Missoni: Elegance inspired by iconic design, set beside the renowned PGA golf course — where luxury living meets the rhythm of the coast.</v>
      </c>
      <c r="AI62" t="str">
        <v>Gym, Spa, Condo Pool, Private Pools, Tennis &amp; Padel Courts, Outdoor Areas, Smart Home Technology, Private Parking, Reception, Missoni Interiors, PGA Golf Course</v>
      </c>
      <c r="AJ62"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62" t="str">
        <v>Ana Costa, João Favila, Pedro Domingos</v>
      </c>
      <c r="AL62" t="str">
        <v>Aroeira Collections</v>
      </c>
    </row>
    <row r="63" spans="1:38" x14ac:dyDescent="0.3">
      <c r="A63" t="str">
        <v>Aroeira - HOTEL APARTMENTS</v>
      </c>
      <c r="B63" t="str">
        <v>Center</v>
      </c>
      <c r="C63" t="str">
        <v>144A</v>
      </c>
      <c r="D63" t="str">
        <v>Herdade da Aroeira, Almada</v>
      </c>
      <c r="E63" t="str">
        <v>1-BR</v>
      </c>
      <c r="F63">
        <v>56.5</v>
      </c>
      <c r="G63">
        <v>0</v>
      </c>
      <c r="H63" t="str">
        <v>1</v>
      </c>
      <c r="I63" t="str">
        <v/>
      </c>
      <c r="J63">
        <v>5</v>
      </c>
      <c r="K63">
        <v>0</v>
      </c>
      <c r="L63">
        <v>0</v>
      </c>
      <c r="M63" s="79">
        <v>0</v>
      </c>
      <c r="N63">
        <v>0</v>
      </c>
      <c r="O63">
        <v>51.5</v>
      </c>
      <c r="P63">
        <v>0</v>
      </c>
      <c r="Q63" t="str">
        <v>RESERVED</v>
      </c>
      <c r="R63">
        <v>1715000</v>
      </c>
      <c r="S63">
        <v>1750000</v>
      </c>
      <c r="T63">
        <v>370000</v>
      </c>
      <c r="U63">
        <v>0</v>
      </c>
      <c r="V63">
        <v>35000</v>
      </c>
      <c r="W63">
        <v>335000</v>
      </c>
      <c r="X63">
        <v>0</v>
      </c>
      <c r="Y63">
        <v>370000</v>
      </c>
      <c r="Z63">
        <v>335000</v>
      </c>
      <c r="AA63">
        <v>45792</v>
      </c>
      <c r="AB63" t="str">
        <v>Q2 2025</v>
      </c>
      <c r="AC63">
        <v>46052</v>
      </c>
      <c r="AD63">
        <v>47118</v>
      </c>
      <c r="AE63" t="str">
        <v>João Gameiro</v>
      </c>
      <c r="AF63" t="str">
        <v>Miguel Ribeiro</v>
      </c>
      <c r="AG63" t="str">
        <v>https://www.aroeiracollections.com/</v>
      </c>
      <c r="AH63" t="str">
        <v>Aroeira Collections by Missoni: Elegance inspired by iconic design, set beside the renowned PGA golf course — where luxury living meets the rhythm of the coast.</v>
      </c>
      <c r="AI63" t="str">
        <v>Gym, Spa, Condo Pool, Private Pools, Tennis &amp; Padel Courts, Outdoor Areas, Smart Home Technology, Private Parking, Reception, Missoni Interiors, PGA Golf Course</v>
      </c>
      <c r="AJ63"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63" t="str">
        <v>Ana Costa, João Favila, Pedro Domingos</v>
      </c>
      <c r="AL63" t="str">
        <v>Aroeira Collections</v>
      </c>
    </row>
    <row r="64" spans="1:38" x14ac:dyDescent="0.3">
      <c r="A64" t="str">
        <v>Aroeira - HOTEL APARTMENTS</v>
      </c>
      <c r="B64" t="str">
        <v>Center</v>
      </c>
      <c r="C64" t="str">
        <v>209B</v>
      </c>
      <c r="D64" t="str">
        <v>Herdade da Aroeira, Almada</v>
      </c>
      <c r="E64" t="str">
        <v>2-BR*</v>
      </c>
      <c r="F64">
        <v>98.7</v>
      </c>
      <c r="G64">
        <v>0</v>
      </c>
      <c r="H64" t="str">
        <v>1</v>
      </c>
      <c r="I64" t="str">
        <v/>
      </c>
      <c r="J64">
        <v>13.3</v>
      </c>
      <c r="K64">
        <v>0</v>
      </c>
      <c r="L64">
        <v>0</v>
      </c>
      <c r="M64" s="79">
        <v>0</v>
      </c>
      <c r="N64">
        <v>0</v>
      </c>
      <c r="O64">
        <v>85.4</v>
      </c>
      <c r="P64">
        <v>0</v>
      </c>
      <c r="Q64" t="str">
        <v>RESERVED</v>
      </c>
      <c r="R64">
        <v>595000</v>
      </c>
      <c r="S64">
        <v>640000</v>
      </c>
      <c r="T64">
        <v>640000</v>
      </c>
      <c r="U64">
        <v>0</v>
      </c>
      <c r="V64">
        <v>45000</v>
      </c>
      <c r="W64">
        <v>595000</v>
      </c>
      <c r="X64">
        <v>0</v>
      </c>
      <c r="Y64">
        <v>640000</v>
      </c>
      <c r="Z64">
        <v>595000</v>
      </c>
      <c r="AA64">
        <v>45792</v>
      </c>
      <c r="AB64" t="str">
        <v>Q2 2025</v>
      </c>
      <c r="AC64">
        <v>46112</v>
      </c>
      <c r="AD64">
        <v>47118</v>
      </c>
      <c r="AE64" t="str">
        <v>João Gameiro</v>
      </c>
      <c r="AF64" t="str">
        <v>Miguel Ribeiro</v>
      </c>
      <c r="AG64" t="str">
        <v>https://www.aroeiracollections.com/</v>
      </c>
      <c r="AH64" t="str">
        <v>Aroeira Collections by Missoni: Elegance inspired by iconic design, set beside the renowned PGA golf course — where luxury living meets the rhythm of the coast.</v>
      </c>
      <c r="AI64" t="str">
        <v>Gym, Spa, Condo Pool, Private Pools, Tennis &amp; Padel Courts, Outdoor Areas, Smart Home Technology, Private Parking, Reception, Missoni Interiors, PGA Golf Course</v>
      </c>
      <c r="AJ64"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64" t="str">
        <v>Ana Costa, João Favila, Pedro Domingos</v>
      </c>
      <c r="AL64" t="str">
        <v>Aroeira Collections</v>
      </c>
    </row>
    <row r="65" spans="1:38" x14ac:dyDescent="0.3">
      <c r="A65" t="str">
        <v>Aroeira - HOTEL APARTMENTS</v>
      </c>
      <c r="B65" t="str">
        <v>Center</v>
      </c>
      <c r="C65" t="str">
        <v>215B</v>
      </c>
      <c r="D65" t="str">
        <v>Herdade da Aroeira, Almada</v>
      </c>
      <c r="E65" t="str">
        <v>2-BR*</v>
      </c>
      <c r="F65">
        <v>98.7</v>
      </c>
      <c r="G65">
        <v>0</v>
      </c>
      <c r="H65" t="str">
        <v>1</v>
      </c>
      <c r="I65" t="str">
        <v/>
      </c>
      <c r="J65">
        <v>13.3</v>
      </c>
      <c r="K65">
        <v>0</v>
      </c>
      <c r="L65">
        <v>0</v>
      </c>
      <c r="M65" s="79">
        <v>0</v>
      </c>
      <c r="N65">
        <v>0</v>
      </c>
      <c r="O65">
        <v>85.4</v>
      </c>
      <c r="P65">
        <v>0</v>
      </c>
      <c r="Q65" t="str">
        <v>RESERVED</v>
      </c>
      <c r="R65">
        <v>620000</v>
      </c>
      <c r="S65">
        <v>665000</v>
      </c>
      <c r="T65">
        <v>665000</v>
      </c>
      <c r="U65">
        <v>0</v>
      </c>
      <c r="V65">
        <v>45000</v>
      </c>
      <c r="W65">
        <v>620000</v>
      </c>
      <c r="X65">
        <v>0</v>
      </c>
      <c r="Y65">
        <v>665000</v>
      </c>
      <c r="Z65">
        <v>620000</v>
      </c>
      <c r="AA65">
        <v>45792</v>
      </c>
      <c r="AB65" t="str">
        <v>Q2 2025</v>
      </c>
      <c r="AC65">
        <v>46112</v>
      </c>
      <c r="AD65">
        <v>47118</v>
      </c>
      <c r="AE65" t="str">
        <v>João Gameiro</v>
      </c>
      <c r="AF65" t="str">
        <v>Miguel Ribeiro</v>
      </c>
      <c r="AG65" t="str">
        <v>https://www.aroeiracollections.com/</v>
      </c>
      <c r="AH65" t="str">
        <v>Aroeira Collections by Missoni: Elegance inspired by iconic design, set beside the renowned PGA golf course — where luxury living meets the rhythm of the coast.</v>
      </c>
      <c r="AI65" t="str">
        <v>Gym, Spa, Condo Pool, Private Pools, Tennis &amp; Padel Courts, Outdoor Areas, Smart Home Technology, Private Parking, Reception, Missoni Interiors, PGA Golf Course</v>
      </c>
      <c r="AJ65"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65" t="str">
        <v>Ana Costa, João Favila, Pedro Domingos</v>
      </c>
      <c r="AL65" t="str">
        <v>Aroeira Collections</v>
      </c>
    </row>
    <row r="66" spans="1:38" x14ac:dyDescent="0.3">
      <c r="A66" t="str">
        <v>Aroeira - HOTEL APARTMENTS</v>
      </c>
      <c r="B66" t="str">
        <v>Center</v>
      </c>
      <c r="C66" t="str">
        <v>235A</v>
      </c>
      <c r="D66" t="str">
        <v>Herdade da Aroeira, Almada</v>
      </c>
      <c r="E66" t="str">
        <v>1-BR</v>
      </c>
      <c r="F66">
        <v>56.5</v>
      </c>
      <c r="G66">
        <v>0</v>
      </c>
      <c r="H66" t="str">
        <v>1</v>
      </c>
      <c r="I66" t="str">
        <v/>
      </c>
      <c r="J66">
        <v>5</v>
      </c>
      <c r="K66">
        <v>0</v>
      </c>
      <c r="L66">
        <v>0</v>
      </c>
      <c r="M66" s="79">
        <v>0</v>
      </c>
      <c r="N66">
        <v>0</v>
      </c>
      <c r="O66">
        <v>51.5</v>
      </c>
      <c r="P66">
        <v>0</v>
      </c>
      <c r="Q66" t="str">
        <v>RESERVED</v>
      </c>
      <c r="R66">
        <v>2365000</v>
      </c>
      <c r="S66">
        <v>2400000</v>
      </c>
      <c r="T66">
        <v>390000</v>
      </c>
      <c r="U66">
        <v>0</v>
      </c>
      <c r="V66">
        <v>35000</v>
      </c>
      <c r="W66">
        <v>355000</v>
      </c>
      <c r="X66">
        <v>0</v>
      </c>
      <c r="Y66">
        <v>390000</v>
      </c>
      <c r="Z66">
        <v>355000</v>
      </c>
      <c r="AA66">
        <v>45792</v>
      </c>
      <c r="AB66" t="str">
        <v>Q2 2025</v>
      </c>
      <c r="AC66">
        <v>46126</v>
      </c>
      <c r="AD66">
        <v>47118</v>
      </c>
      <c r="AE66" t="str">
        <v>João Gameiro</v>
      </c>
      <c r="AF66" t="str">
        <v>Miguel Ribeiro</v>
      </c>
      <c r="AG66" t="str">
        <v>https://www.aroeiracollections.com/</v>
      </c>
      <c r="AH66" t="str">
        <v>Aroeira Collections by Missoni: Elegance inspired by iconic design, set beside the renowned PGA golf course — where luxury living meets the rhythm of the coast.</v>
      </c>
      <c r="AI66" t="str">
        <v>Gym, Spa, Condo Pool, Private Pools, Tennis &amp; Padel Courts, Outdoor Areas, Smart Home Technology, Private Parking, Reception, Missoni Interiors, PGA Golf Course</v>
      </c>
      <c r="AJ66"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66" t="str">
        <v>Ana Costa, João Favila, Pedro Domingos</v>
      </c>
      <c r="AL66" t="str">
        <v>Aroeira Collections</v>
      </c>
    </row>
    <row r="67" spans="1:38" x14ac:dyDescent="0.3">
      <c r="A67" t="str">
        <v>Aroeira - HOTEL APARTMENTS</v>
      </c>
      <c r="B67" t="str">
        <v>Center</v>
      </c>
      <c r="C67" t="str">
        <v>236A</v>
      </c>
      <c r="D67" t="str">
        <v>Herdade da Aroeira, Almada</v>
      </c>
      <c r="E67" t="str">
        <v>1-BR</v>
      </c>
      <c r="F67">
        <v>56.5</v>
      </c>
      <c r="G67">
        <v>0</v>
      </c>
      <c r="H67" t="str">
        <v>1</v>
      </c>
      <c r="I67" t="str">
        <v/>
      </c>
      <c r="J67">
        <v>5</v>
      </c>
      <c r="K67">
        <v>0</v>
      </c>
      <c r="L67">
        <v>0</v>
      </c>
      <c r="M67" s="79">
        <v>0</v>
      </c>
      <c r="N67">
        <v>0</v>
      </c>
      <c r="O67">
        <v>51.5</v>
      </c>
      <c r="P67">
        <v>0</v>
      </c>
      <c r="Q67" t="str">
        <v>PRE-RESERVED</v>
      </c>
      <c r="R67">
        <v>1915000</v>
      </c>
      <c r="S67">
        <v>1950000</v>
      </c>
      <c r="T67">
        <v>390000</v>
      </c>
      <c r="U67">
        <v>0</v>
      </c>
      <c r="V67">
        <v>35000</v>
      </c>
      <c r="W67">
        <v>355000</v>
      </c>
      <c r="X67">
        <v>0</v>
      </c>
      <c r="Y67">
        <v>390000</v>
      </c>
      <c r="Z67">
        <v>355000</v>
      </c>
      <c r="AA67">
        <v>45792</v>
      </c>
      <c r="AB67" t="str">
        <v>Q2 2025</v>
      </c>
      <c r="AC67">
        <v>46142</v>
      </c>
      <c r="AD67">
        <v>47118</v>
      </c>
      <c r="AE67" t="str">
        <v>João Gameiro</v>
      </c>
      <c r="AF67" t="str">
        <v>Miguel Ribeiro</v>
      </c>
      <c r="AG67" t="str">
        <v>https://www.aroeiracollections.com/</v>
      </c>
      <c r="AH67" t="str">
        <v>Aroeira Collections by Missoni: Elegance inspired by iconic design, set beside the renowned PGA golf course — where luxury living meets the rhythm of the coast.</v>
      </c>
      <c r="AI67" t="str">
        <v>Gym, Spa, Condo Pool, Private Pools, Tennis &amp; Padel Courts, Outdoor Areas, Smart Home Technology, Private Parking, Reception, Missoni Interiors, PGA Golf Course</v>
      </c>
      <c r="AJ67"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67" t="str">
        <v>Ana Costa, João Favila, Pedro Domingos</v>
      </c>
      <c r="AL67" t="str">
        <v>Aroeira Collections</v>
      </c>
    </row>
    <row r="68" spans="1:38" x14ac:dyDescent="0.3">
      <c r="A68" t="str">
        <v>Aroeira - HOTEL APARTMENTS</v>
      </c>
      <c r="B68" t="str">
        <v>Center</v>
      </c>
      <c r="C68" t="str">
        <v>301B</v>
      </c>
      <c r="D68" t="str">
        <v>Herdade da Aroeira, Almada</v>
      </c>
      <c r="E68" t="str">
        <v>2-BR*</v>
      </c>
      <c r="F68">
        <v>98.7</v>
      </c>
      <c r="G68">
        <v>0</v>
      </c>
      <c r="H68" t="str">
        <v>1</v>
      </c>
      <c r="I68" t="str">
        <v/>
      </c>
      <c r="J68">
        <v>13.3</v>
      </c>
      <c r="K68">
        <v>0</v>
      </c>
      <c r="L68">
        <v>0</v>
      </c>
      <c r="M68" s="79">
        <v>0</v>
      </c>
      <c r="N68">
        <v>0</v>
      </c>
      <c r="O68">
        <v>85.4</v>
      </c>
      <c r="P68">
        <v>0</v>
      </c>
      <c r="Q68" t="str">
        <v xml:space="preserve">PSPA </v>
      </c>
      <c r="R68">
        <v>625000</v>
      </c>
      <c r="S68">
        <v>670000</v>
      </c>
      <c r="T68">
        <v>670000</v>
      </c>
      <c r="U68">
        <v>0</v>
      </c>
      <c r="V68">
        <v>45000</v>
      </c>
      <c r="W68">
        <v>625000</v>
      </c>
      <c r="X68">
        <v>7.4626865671641998E-3</v>
      </c>
      <c r="Y68">
        <v>665000</v>
      </c>
      <c r="Z68">
        <v>620000</v>
      </c>
      <c r="AA68">
        <v>45792</v>
      </c>
      <c r="AB68" t="str">
        <v>Q2 2025</v>
      </c>
      <c r="AC68">
        <v>46062</v>
      </c>
      <c r="AD68">
        <v>47118</v>
      </c>
      <c r="AE68" t="str">
        <v>João Gameiro</v>
      </c>
      <c r="AF68" t="str">
        <v>Miguel Ribeiro</v>
      </c>
      <c r="AG68" t="str">
        <v>https://www.aroeiracollections.com/</v>
      </c>
      <c r="AH68" t="str">
        <v>Aroeira Collections by Missoni: Elegance inspired by iconic design, set beside the renowned PGA golf course — where luxury living meets the rhythm of the coast.</v>
      </c>
      <c r="AI68" t="str">
        <v>Gym, Spa, Condo Pool, Private Pools, Tennis &amp; Padel Courts, Outdoor Areas, Smart Home Technology, Private Parking, Reception, Missoni Interiors, PGA Golf Course</v>
      </c>
      <c r="AJ68"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68" t="str">
        <v>Ana Costa, João Favila, Pedro Domingos</v>
      </c>
      <c r="AL68" t="str">
        <v>Aroeira Collections</v>
      </c>
    </row>
    <row r="69" spans="1:38" x14ac:dyDescent="0.3">
      <c r="A69" t="str">
        <v>Aroeira - HOTEL APARTMENTS</v>
      </c>
      <c r="B69" t="str">
        <v>Center</v>
      </c>
      <c r="C69" t="str">
        <v>334A</v>
      </c>
      <c r="D69" t="str">
        <v>Herdade da Aroeira, Almada</v>
      </c>
      <c r="E69" t="str">
        <v>1-BR</v>
      </c>
      <c r="F69">
        <v>56.5</v>
      </c>
      <c r="G69">
        <v>0</v>
      </c>
      <c r="H69" t="str">
        <v>1</v>
      </c>
      <c r="I69" t="str">
        <v/>
      </c>
      <c r="J69">
        <v>5</v>
      </c>
      <c r="K69">
        <v>0</v>
      </c>
      <c r="L69">
        <v>0</v>
      </c>
      <c r="M69" s="79">
        <v>0</v>
      </c>
      <c r="N69">
        <v>0</v>
      </c>
      <c r="O69">
        <v>51.5</v>
      </c>
      <c r="P69">
        <v>0</v>
      </c>
      <c r="Q69" t="str">
        <v>RESERVED</v>
      </c>
      <c r="R69">
        <v>1115000</v>
      </c>
      <c r="S69">
        <v>1150000</v>
      </c>
      <c r="T69">
        <v>405000</v>
      </c>
      <c r="U69">
        <v>0</v>
      </c>
      <c r="V69">
        <v>35000</v>
      </c>
      <c r="W69">
        <v>370000</v>
      </c>
      <c r="X69">
        <v>1.2345679012345699E-2</v>
      </c>
      <c r="Y69">
        <v>400000</v>
      </c>
      <c r="Z69">
        <v>365000</v>
      </c>
      <c r="AA69">
        <v>45792</v>
      </c>
      <c r="AB69" t="str">
        <v>Q2 2025</v>
      </c>
      <c r="AC69">
        <v>46137</v>
      </c>
      <c r="AD69">
        <v>47118</v>
      </c>
      <c r="AE69" t="str">
        <v>João Gameiro</v>
      </c>
      <c r="AF69" t="str">
        <v>Miguel Ribeiro</v>
      </c>
      <c r="AG69" t="str">
        <v>https://www.aroeiracollections.com/</v>
      </c>
      <c r="AH69" t="str">
        <v>Aroeira Collections by Missoni: Elegance inspired by iconic design, set beside the renowned PGA golf course — where luxury living meets the rhythm of the coast.</v>
      </c>
      <c r="AI69" t="str">
        <v>Gym, Spa, Condo Pool, Private Pools, Tennis &amp; Padel Courts, Outdoor Areas, Smart Home Technology, Private Parking, Reception, Missoni Interiors, PGA Golf Course</v>
      </c>
      <c r="AJ69"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69" t="str">
        <v>Ana Costa, João Favila, Pedro Domingos</v>
      </c>
      <c r="AL69" t="str">
        <v>Aroeira Collections</v>
      </c>
    </row>
    <row r="70" spans="1:38" x14ac:dyDescent="0.3">
      <c r="A70" t="str">
        <v>Aroeira - HOTEL APARTMENTS</v>
      </c>
      <c r="B70" t="str">
        <v>Center</v>
      </c>
      <c r="C70" t="str">
        <v>134A</v>
      </c>
      <c r="D70" t="str">
        <v>Herdade da Aroeira, Almada</v>
      </c>
      <c r="E70" t="str">
        <v>1-BR</v>
      </c>
      <c r="F70">
        <v>56.5</v>
      </c>
      <c r="G70">
        <v>0</v>
      </c>
      <c r="H70" t="str">
        <v>1</v>
      </c>
      <c r="I70" t="str">
        <v/>
      </c>
      <c r="J70">
        <v>5</v>
      </c>
      <c r="K70">
        <v>0</v>
      </c>
      <c r="L70">
        <v>0</v>
      </c>
      <c r="M70" s="79">
        <v>0</v>
      </c>
      <c r="N70">
        <v>0</v>
      </c>
      <c r="O70">
        <v>51.5</v>
      </c>
      <c r="P70">
        <v>0</v>
      </c>
      <c r="Q70" t="str">
        <v>RESERVED</v>
      </c>
      <c r="R70">
        <v>1715000</v>
      </c>
      <c r="S70">
        <v>1750000</v>
      </c>
      <c r="T70">
        <v>370000</v>
      </c>
      <c r="U70">
        <v>0</v>
      </c>
      <c r="V70">
        <v>35000</v>
      </c>
      <c r="W70">
        <v>335000</v>
      </c>
      <c r="X70">
        <v>0.02</v>
      </c>
      <c r="Y70">
        <v>362600</v>
      </c>
      <c r="Z70">
        <v>327600</v>
      </c>
      <c r="AA70">
        <v>45792</v>
      </c>
      <c r="AB70" t="str">
        <v>Q2 2025</v>
      </c>
      <c r="AC70">
        <v>46118</v>
      </c>
      <c r="AD70">
        <v>47118</v>
      </c>
      <c r="AE70" t="str">
        <v>João Gameiro</v>
      </c>
      <c r="AF70" t="str">
        <v>Miguel Ribeiro</v>
      </c>
      <c r="AG70" t="str">
        <v>https://www.aroeiracollections.com/</v>
      </c>
      <c r="AH70" t="str">
        <v>Aroeira Collections by Missoni: Elegance inspired by iconic design, set beside the renowned PGA golf course — where luxury living meets the rhythm of the coast.</v>
      </c>
      <c r="AI70" t="str">
        <v>Gym, Spa, Condo Pool, Private Pools, Tennis &amp; Padel Courts, Outdoor Areas, Smart Home Technology, Private Parking, Reception, Missoni Interiors, PGA Golf Course</v>
      </c>
      <c r="AJ70"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70" t="str">
        <v>Ana Costa, João Favila, Pedro Domingos</v>
      </c>
      <c r="AL70" t="str">
        <v>Aroeira Collections</v>
      </c>
    </row>
    <row r="71" spans="1:38" x14ac:dyDescent="0.3">
      <c r="A71" t="str">
        <v>Aroeira - HOTEL APARTMENTS</v>
      </c>
      <c r="B71" t="str">
        <v>Center</v>
      </c>
      <c r="C71" t="str">
        <v>137A</v>
      </c>
      <c r="D71" t="str">
        <v>Herdade da Aroeira, Almada</v>
      </c>
      <c r="E71" t="str">
        <v>1-BR</v>
      </c>
      <c r="F71">
        <v>56.5</v>
      </c>
      <c r="G71">
        <v>0</v>
      </c>
      <c r="H71" t="str">
        <v>1</v>
      </c>
      <c r="I71" t="str">
        <v/>
      </c>
      <c r="J71">
        <v>5</v>
      </c>
      <c r="K71">
        <v>0</v>
      </c>
      <c r="L71">
        <v>0</v>
      </c>
      <c r="M71" s="79">
        <v>0</v>
      </c>
      <c r="N71">
        <v>0</v>
      </c>
      <c r="O71">
        <v>51.5</v>
      </c>
      <c r="P71">
        <v>0</v>
      </c>
      <c r="Q71" t="str">
        <v>RESERVED</v>
      </c>
      <c r="R71">
        <v>1815000</v>
      </c>
      <c r="S71">
        <v>1850000</v>
      </c>
      <c r="T71">
        <v>370000</v>
      </c>
      <c r="U71">
        <v>0</v>
      </c>
      <c r="V71">
        <v>35000</v>
      </c>
      <c r="W71">
        <v>335000</v>
      </c>
      <c r="X71">
        <v>0.02</v>
      </c>
      <c r="Y71">
        <v>362600</v>
      </c>
      <c r="Z71">
        <v>327600</v>
      </c>
      <c r="AA71">
        <v>45792</v>
      </c>
      <c r="AB71" t="str">
        <v>Q2 2025</v>
      </c>
      <c r="AC71">
        <v>46118</v>
      </c>
      <c r="AD71">
        <v>47118</v>
      </c>
      <c r="AE71" t="str">
        <v>João Gameiro</v>
      </c>
      <c r="AF71" t="str">
        <v>Miguel Ribeiro</v>
      </c>
      <c r="AG71" t="str">
        <v>https://www.aroeiracollections.com/</v>
      </c>
      <c r="AH71" t="str">
        <v>Aroeira Collections by Missoni: Elegance inspired by iconic design, set beside the renowned PGA golf course — where luxury living meets the rhythm of the coast.</v>
      </c>
      <c r="AI71" t="str">
        <v>Gym, Spa, Condo Pool, Private Pools, Tennis &amp; Padel Courts, Outdoor Areas, Smart Home Technology, Private Parking, Reception, Missoni Interiors, PGA Golf Course</v>
      </c>
      <c r="AJ71"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71" t="str">
        <v>Ana Costa, João Favila, Pedro Domingos</v>
      </c>
      <c r="AL71" t="str">
        <v>Aroeira Collections</v>
      </c>
    </row>
    <row r="72" spans="1:38" x14ac:dyDescent="0.3">
      <c r="A72" t="str">
        <v>Aroeira - HOTEL APARTMENTS</v>
      </c>
      <c r="B72" t="str">
        <v>Center</v>
      </c>
      <c r="C72" t="str">
        <v>225B</v>
      </c>
      <c r="D72" t="str">
        <v>Herdade da Aroeira, Almada</v>
      </c>
      <c r="E72" t="str">
        <v>2-BR*</v>
      </c>
      <c r="F72">
        <v>98.8</v>
      </c>
      <c r="G72">
        <v>0</v>
      </c>
      <c r="H72" t="str">
        <v>1</v>
      </c>
      <c r="I72" t="str">
        <v/>
      </c>
      <c r="J72">
        <v>15.2</v>
      </c>
      <c r="K72">
        <v>0</v>
      </c>
      <c r="L72">
        <v>0</v>
      </c>
      <c r="M72" s="79">
        <v>0</v>
      </c>
      <c r="N72">
        <v>0</v>
      </c>
      <c r="O72">
        <v>83.6</v>
      </c>
      <c r="P72">
        <v>0</v>
      </c>
      <c r="Q72" t="str">
        <v>RESERVED</v>
      </c>
      <c r="R72">
        <v>600000</v>
      </c>
      <c r="S72">
        <v>645000</v>
      </c>
      <c r="T72">
        <v>645000</v>
      </c>
      <c r="U72">
        <v>0</v>
      </c>
      <c r="V72">
        <v>45000</v>
      </c>
      <c r="W72">
        <v>600000</v>
      </c>
      <c r="X72">
        <v>2.0155038759689901E-2</v>
      </c>
      <c r="Y72">
        <v>632000</v>
      </c>
      <c r="Z72">
        <v>587000</v>
      </c>
      <c r="AA72">
        <v>45792</v>
      </c>
      <c r="AB72" t="str">
        <v>Q2 2025</v>
      </c>
      <c r="AC72">
        <v>46114</v>
      </c>
      <c r="AD72">
        <v>47118</v>
      </c>
      <c r="AE72" t="str">
        <v>João Gameiro</v>
      </c>
      <c r="AF72" t="str">
        <v>Miguel Ribeiro</v>
      </c>
      <c r="AG72" t="str">
        <v>https://www.aroeiracollections.com/</v>
      </c>
      <c r="AH72" t="str">
        <v>Aroeira Collections by Missoni: Elegance inspired by iconic design, set beside the renowned PGA golf course — where luxury living meets the rhythm of the coast.</v>
      </c>
      <c r="AI72" t="str">
        <v>Gym, Spa, Condo Pool, Private Pools, Tennis &amp; Padel Courts, Outdoor Areas, Smart Home Technology, Private Parking, Reception, Missoni Interiors, PGA Golf Course</v>
      </c>
      <c r="AJ72"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72" t="str">
        <v>Ana Costa, João Favila, Pedro Domingos</v>
      </c>
      <c r="AL72" t="str">
        <v>Aroeira Collections</v>
      </c>
    </row>
    <row r="73" spans="1:38" x14ac:dyDescent="0.3">
      <c r="A73" t="str">
        <v>Aroeira - HOTEL APARTMENTS</v>
      </c>
      <c r="B73" t="str">
        <v>Center</v>
      </c>
      <c r="C73" t="str">
        <v>101B</v>
      </c>
      <c r="D73" t="str">
        <v>Herdade da Aroeira, Almada</v>
      </c>
      <c r="E73" t="str">
        <v>2-BR*</v>
      </c>
      <c r="F73">
        <v>98.7</v>
      </c>
      <c r="G73">
        <v>0</v>
      </c>
      <c r="H73" t="str">
        <v>1</v>
      </c>
      <c r="I73" t="str">
        <v/>
      </c>
      <c r="J73">
        <v>13.3</v>
      </c>
      <c r="K73">
        <v>0</v>
      </c>
      <c r="L73">
        <v>0</v>
      </c>
      <c r="M73" s="79">
        <v>0</v>
      </c>
      <c r="N73">
        <v>0</v>
      </c>
      <c r="O73">
        <v>85.4</v>
      </c>
      <c r="P73">
        <v>0</v>
      </c>
      <c r="Q73" t="str">
        <v>AVAILABLE</v>
      </c>
      <c r="R73">
        <v>550000</v>
      </c>
      <c r="S73">
        <v>595000</v>
      </c>
      <c r="T73">
        <v>595000</v>
      </c>
      <c r="U73">
        <v>0</v>
      </c>
      <c r="V73">
        <v>45000</v>
      </c>
      <c r="W73">
        <v>550000</v>
      </c>
      <c r="X73">
        <v>0</v>
      </c>
      <c r="Y73">
        <v>0</v>
      </c>
      <c r="Z73">
        <v>-45000</v>
      </c>
      <c r="AA73">
        <v>45792</v>
      </c>
      <c r="AB73" t="str">
        <v>Q2 2025</v>
      </c>
      <c r="AC73">
        <v>0</v>
      </c>
      <c r="AD73">
        <v>47118</v>
      </c>
      <c r="AE73" t="str">
        <v>João Gameiro</v>
      </c>
      <c r="AF73" t="str">
        <v>Miguel Ribeiro</v>
      </c>
      <c r="AG73" t="str">
        <v>https://www.aroeiracollections.com/</v>
      </c>
      <c r="AH73" t="str">
        <v>Aroeira Collections by Missoni: Elegance inspired by iconic design, set beside the renowned PGA golf course — where luxury living meets the rhythm of the coast.</v>
      </c>
      <c r="AI73" t="str">
        <v>Gym, Spa, Condo Pool, Private Pools, Tennis &amp; Padel Courts, Outdoor Areas, Smart Home Technology, Private Parking, Reception, Missoni Interiors, PGA Golf Course</v>
      </c>
      <c r="AJ73"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73" t="str">
        <v>Ana Costa, João Favila, Pedro Domingos</v>
      </c>
      <c r="AL73" t="str">
        <v>Aroeira Collections</v>
      </c>
    </row>
    <row r="74" spans="1:38" x14ac:dyDescent="0.3">
      <c r="A74" t="str">
        <v>Aroeira - HOTEL APARTMENTS</v>
      </c>
      <c r="B74" t="str">
        <v>Center</v>
      </c>
      <c r="C74" t="str">
        <v>102A</v>
      </c>
      <c r="D74" t="str">
        <v>Herdade da Aroeira, Almada</v>
      </c>
      <c r="E74" t="str">
        <v>1-BR</v>
      </c>
      <c r="F74">
        <v>65</v>
      </c>
      <c r="G74">
        <v>0</v>
      </c>
      <c r="H74" t="str">
        <v>1</v>
      </c>
      <c r="I74" t="str">
        <v/>
      </c>
      <c r="J74">
        <v>8.6999999999999993</v>
      </c>
      <c r="K74" s="113">
        <v>0</v>
      </c>
      <c r="L74" s="78">
        <v>0</v>
      </c>
      <c r="M74" s="79">
        <v>0</v>
      </c>
      <c r="N74">
        <v>0</v>
      </c>
      <c r="O74">
        <v>56.3</v>
      </c>
      <c r="P74">
        <v>0</v>
      </c>
      <c r="Q74" t="str">
        <v>AVAILABLE</v>
      </c>
      <c r="R74">
        <v>805000</v>
      </c>
      <c r="S74">
        <v>840000</v>
      </c>
      <c r="T74">
        <v>415000</v>
      </c>
      <c r="U74">
        <v>0</v>
      </c>
      <c r="V74">
        <v>35000</v>
      </c>
      <c r="W74">
        <v>380000</v>
      </c>
      <c r="X74">
        <v>0</v>
      </c>
      <c r="Y74">
        <v>0</v>
      </c>
      <c r="Z74">
        <v>-35000</v>
      </c>
      <c r="AA74">
        <v>45792</v>
      </c>
      <c r="AB74" t="str">
        <v>Q2 2025</v>
      </c>
      <c r="AC74">
        <v>0</v>
      </c>
      <c r="AD74">
        <v>47118</v>
      </c>
      <c r="AE74" t="str">
        <v>João Gameiro</v>
      </c>
      <c r="AF74" t="str">
        <v>Miguel Ribeiro</v>
      </c>
      <c r="AG74" t="str">
        <v>https://www.aroeiracollections.com/</v>
      </c>
      <c r="AH74" t="str">
        <v>Aroeira Collections by Missoni: Elegance inspired by iconic design, set beside the renowned PGA golf course — where luxury living meets the rhythm of the coast.</v>
      </c>
      <c r="AI74" t="str">
        <v>Gym, Spa, Condo Pool, Private Pools, Tennis &amp; Padel Courts, Outdoor Areas, Smart Home Technology, Private Parking, Reception, Missoni Interiors, PGA Golf Course</v>
      </c>
      <c r="AJ74"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74" t="str">
        <v>Ana Costa, João Favila, Pedro Domingos</v>
      </c>
      <c r="AL74" t="str">
        <v>Aroeira Collections</v>
      </c>
    </row>
    <row r="75" spans="1:38" x14ac:dyDescent="0.3">
      <c r="A75" t="str">
        <v>Aroeira - HOTEL APARTMENTS</v>
      </c>
      <c r="B75" t="str">
        <v>Center</v>
      </c>
      <c r="C75" t="str">
        <v>104A</v>
      </c>
      <c r="D75" t="str">
        <v>Herdade da Aroeira, Almada</v>
      </c>
      <c r="E75" t="str">
        <v>1-BR</v>
      </c>
      <c r="F75">
        <v>65</v>
      </c>
      <c r="G75">
        <v>0</v>
      </c>
      <c r="H75" t="str">
        <v>1</v>
      </c>
      <c r="I75" t="str">
        <v/>
      </c>
      <c r="J75">
        <v>8.6999999999999993</v>
      </c>
      <c r="K75">
        <v>0</v>
      </c>
      <c r="L75">
        <v>0</v>
      </c>
      <c r="M75" s="79">
        <v>0</v>
      </c>
      <c r="N75">
        <v>0</v>
      </c>
      <c r="O75">
        <v>56.3</v>
      </c>
      <c r="P75">
        <v>0</v>
      </c>
      <c r="Q75" t="str">
        <v>AVAILABLE</v>
      </c>
      <c r="R75">
        <v>915000</v>
      </c>
      <c r="S75">
        <v>950000</v>
      </c>
      <c r="T75">
        <v>415000</v>
      </c>
      <c r="U75">
        <v>0</v>
      </c>
      <c r="V75">
        <v>35000</v>
      </c>
      <c r="W75">
        <v>380000</v>
      </c>
      <c r="X75">
        <v>0</v>
      </c>
      <c r="Y75">
        <v>0</v>
      </c>
      <c r="Z75">
        <v>-35000</v>
      </c>
      <c r="AA75">
        <v>45792</v>
      </c>
      <c r="AB75" t="str">
        <v>Q2 2025</v>
      </c>
      <c r="AC75">
        <v>0</v>
      </c>
      <c r="AD75">
        <v>47118</v>
      </c>
      <c r="AE75" t="str">
        <v>João Gameiro</v>
      </c>
      <c r="AF75" t="str">
        <v>Miguel Ribeiro</v>
      </c>
      <c r="AG75" t="str">
        <v>https://www.aroeiracollections.com/</v>
      </c>
      <c r="AH75" t="str">
        <v>Aroeira Collections by Missoni: Elegance inspired by iconic design, set beside the renowned PGA golf course — where luxury living meets the rhythm of the coast.</v>
      </c>
      <c r="AI75" t="str">
        <v>Gym, Spa, Condo Pool, Private Pools, Tennis &amp; Padel Courts, Outdoor Areas, Smart Home Technology, Private Parking, Reception, Missoni Interiors, PGA Golf Course</v>
      </c>
      <c r="AJ75"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75" t="str">
        <v>Ana Costa, João Favila, Pedro Domingos</v>
      </c>
      <c r="AL75" t="str">
        <v>Aroeira Collections</v>
      </c>
    </row>
    <row r="76" spans="1:38" x14ac:dyDescent="0.3">
      <c r="A76" t="str">
        <v>Aroeira - HOTEL APARTMENTS</v>
      </c>
      <c r="B76" t="str">
        <v>Center</v>
      </c>
      <c r="C76" t="str">
        <v>105A</v>
      </c>
      <c r="D76" t="str">
        <v>Herdade da Aroeira, Almada</v>
      </c>
      <c r="E76" t="str">
        <v>1-BR</v>
      </c>
      <c r="F76">
        <v>65</v>
      </c>
      <c r="G76">
        <v>0</v>
      </c>
      <c r="H76" t="str">
        <v>1</v>
      </c>
      <c r="I76" t="str">
        <v/>
      </c>
      <c r="J76">
        <v>8.6999999999999993</v>
      </c>
      <c r="K76">
        <v>0</v>
      </c>
      <c r="L76">
        <v>0</v>
      </c>
      <c r="M76" s="79">
        <v>0</v>
      </c>
      <c r="N76">
        <v>0</v>
      </c>
      <c r="O76">
        <v>56.3</v>
      </c>
      <c r="P76">
        <v>0</v>
      </c>
      <c r="Q76" t="str">
        <v>AVAILABLE</v>
      </c>
      <c r="R76">
        <v>755000</v>
      </c>
      <c r="S76">
        <v>790000</v>
      </c>
      <c r="T76">
        <v>415000</v>
      </c>
      <c r="U76">
        <v>0</v>
      </c>
      <c r="V76">
        <v>35000</v>
      </c>
      <c r="W76">
        <v>380000</v>
      </c>
      <c r="X76">
        <v>0</v>
      </c>
      <c r="Y76">
        <v>0</v>
      </c>
      <c r="Z76">
        <v>-35000</v>
      </c>
      <c r="AA76">
        <v>45792</v>
      </c>
      <c r="AB76" t="str">
        <v>Q2 2025</v>
      </c>
      <c r="AC76">
        <v>0</v>
      </c>
      <c r="AD76">
        <v>47118</v>
      </c>
      <c r="AE76" t="str">
        <v>João Gameiro</v>
      </c>
      <c r="AF76" t="str">
        <v>Miguel Ribeiro</v>
      </c>
      <c r="AG76" t="str">
        <v>https://www.aroeiracollections.com/</v>
      </c>
      <c r="AH76" t="str">
        <v>Aroeira Collections by Missoni: Elegance inspired by iconic design, set beside the renowned PGA golf course — where luxury living meets the rhythm of the coast.</v>
      </c>
      <c r="AI76" t="str">
        <v>Gym, Spa, Condo Pool, Private Pools, Tennis &amp; Padel Courts, Outdoor Areas, Smart Home Technology, Private Parking, Reception, Missoni Interiors, PGA Golf Course</v>
      </c>
      <c r="AJ76"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76" t="str">
        <v>Ana Costa, João Favila, Pedro Domingos</v>
      </c>
      <c r="AL76" t="str">
        <v>Aroeira Collections</v>
      </c>
    </row>
    <row r="77" spans="1:38" x14ac:dyDescent="0.3">
      <c r="A77" t="str">
        <v>Aroeira - HOTEL APARTMENTS</v>
      </c>
      <c r="B77" t="str">
        <v>Center</v>
      </c>
      <c r="C77" t="str">
        <v>106A</v>
      </c>
      <c r="D77" t="str">
        <v>Herdade da Aroeira, Almada</v>
      </c>
      <c r="E77" t="str">
        <v>1-BR</v>
      </c>
      <c r="F77">
        <v>65</v>
      </c>
      <c r="G77">
        <v>0</v>
      </c>
      <c r="H77" t="str">
        <v>1</v>
      </c>
      <c r="I77" t="str">
        <v/>
      </c>
      <c r="J77">
        <v>8.6999999999999993</v>
      </c>
      <c r="K77">
        <v>0</v>
      </c>
      <c r="L77">
        <v>0</v>
      </c>
      <c r="M77" s="79">
        <v>0</v>
      </c>
      <c r="N77">
        <v>0</v>
      </c>
      <c r="O77">
        <v>56.3</v>
      </c>
      <c r="P77">
        <v>0</v>
      </c>
      <c r="Q77" t="str">
        <v>AVAILABLE</v>
      </c>
      <c r="R77">
        <v>855000</v>
      </c>
      <c r="S77">
        <v>890000</v>
      </c>
      <c r="T77">
        <v>415000</v>
      </c>
      <c r="U77">
        <v>0</v>
      </c>
      <c r="V77">
        <v>35000</v>
      </c>
      <c r="W77">
        <v>380000</v>
      </c>
      <c r="X77">
        <v>0</v>
      </c>
      <c r="Y77">
        <v>0</v>
      </c>
      <c r="Z77">
        <v>-35000</v>
      </c>
      <c r="AA77">
        <v>45792</v>
      </c>
      <c r="AB77" t="str">
        <v>Q2 2025</v>
      </c>
      <c r="AC77">
        <v>0</v>
      </c>
      <c r="AD77">
        <v>47118</v>
      </c>
      <c r="AE77" t="str">
        <v>João Gameiro</v>
      </c>
      <c r="AF77" t="str">
        <v>Miguel Ribeiro</v>
      </c>
      <c r="AG77" t="str">
        <v>https://www.aroeiracollections.com/</v>
      </c>
      <c r="AH77" t="str">
        <v>Aroeira Collections by Missoni: Elegance inspired by iconic design, set beside the renowned PGA golf course — where luxury living meets the rhythm of the coast.</v>
      </c>
      <c r="AI77" t="str">
        <v>Gym, Spa, Condo Pool, Private Pools, Tennis &amp; Padel Courts, Outdoor Areas, Smart Home Technology, Private Parking, Reception, Missoni Interiors, PGA Golf Course</v>
      </c>
      <c r="AJ77"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77" t="str">
        <v>Ana Costa, João Favila, Pedro Domingos</v>
      </c>
      <c r="AL77" t="str">
        <v>Aroeira Collections</v>
      </c>
    </row>
    <row r="78" spans="1:38" x14ac:dyDescent="0.3">
      <c r="A78" t="str">
        <v>Aroeira - HOTEL APARTMENTS</v>
      </c>
      <c r="B78" t="str">
        <v>Center</v>
      </c>
      <c r="C78" t="str">
        <v>107A</v>
      </c>
      <c r="D78" t="str">
        <v>Herdade da Aroeira, Almada</v>
      </c>
      <c r="E78" t="str">
        <v>1-BR</v>
      </c>
      <c r="F78">
        <v>65</v>
      </c>
      <c r="G78">
        <v>0</v>
      </c>
      <c r="H78" t="str">
        <v>1</v>
      </c>
      <c r="I78" t="str">
        <v/>
      </c>
      <c r="J78">
        <v>8.6999999999999993</v>
      </c>
      <c r="K78">
        <v>0</v>
      </c>
      <c r="L78">
        <v>0</v>
      </c>
      <c r="M78" s="79">
        <v>0</v>
      </c>
      <c r="N78">
        <v>0</v>
      </c>
      <c r="O78">
        <v>56.3</v>
      </c>
      <c r="P78">
        <v>0</v>
      </c>
      <c r="Q78" t="str">
        <v>AVAILABLE</v>
      </c>
      <c r="R78">
        <v>825000</v>
      </c>
      <c r="S78">
        <v>860000</v>
      </c>
      <c r="T78">
        <v>415000</v>
      </c>
      <c r="U78">
        <v>0</v>
      </c>
      <c r="V78">
        <v>35000</v>
      </c>
      <c r="W78">
        <v>380000</v>
      </c>
      <c r="X78">
        <v>0</v>
      </c>
      <c r="Y78">
        <v>0</v>
      </c>
      <c r="Z78">
        <v>-35000</v>
      </c>
      <c r="AA78">
        <v>45792</v>
      </c>
      <c r="AB78" t="str">
        <v>Q2 2025</v>
      </c>
      <c r="AC78">
        <v>0</v>
      </c>
      <c r="AD78">
        <v>47118</v>
      </c>
      <c r="AE78" t="str">
        <v>João Gameiro</v>
      </c>
      <c r="AF78" t="str">
        <v>Miguel Ribeiro</v>
      </c>
      <c r="AG78" t="str">
        <v>https://www.aroeiracollections.com/</v>
      </c>
      <c r="AH78" t="str">
        <v>Aroeira Collections by Missoni: Elegance inspired by iconic design, set beside the renowned PGA golf course — where luxury living meets the rhythm of the coast.</v>
      </c>
      <c r="AI78" t="str">
        <v>Gym, Spa, Condo Pool, Private Pools, Tennis &amp; Padel Courts, Outdoor Areas, Smart Home Technology, Private Parking, Reception, Missoni Interiors, PGA Golf Course</v>
      </c>
      <c r="AJ78"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78" t="str">
        <v>Ana Costa, João Favila, Pedro Domingos</v>
      </c>
      <c r="AL78" t="str">
        <v>Aroeira Collections</v>
      </c>
    </row>
    <row r="79" spans="1:38" x14ac:dyDescent="0.3">
      <c r="A79" t="str">
        <v>Aroeira - HOTEL APARTMENTS</v>
      </c>
      <c r="B79" t="str">
        <v>Center</v>
      </c>
      <c r="C79" t="str">
        <v>108A</v>
      </c>
      <c r="D79" t="str">
        <v>Herdade da Aroeira, Almada</v>
      </c>
      <c r="E79" t="str">
        <v>1-BR</v>
      </c>
      <c r="F79">
        <v>65</v>
      </c>
      <c r="G79">
        <v>0</v>
      </c>
      <c r="H79" t="str">
        <v>1</v>
      </c>
      <c r="I79" t="str">
        <v/>
      </c>
      <c r="J79">
        <v>8.6999999999999993</v>
      </c>
      <c r="K79">
        <v>0</v>
      </c>
      <c r="L79">
        <v>0</v>
      </c>
      <c r="M79" s="79">
        <v>0</v>
      </c>
      <c r="N79">
        <v>0</v>
      </c>
      <c r="O79">
        <v>56.3</v>
      </c>
      <c r="P79">
        <v>0</v>
      </c>
      <c r="Q79" t="str">
        <v>AVAILABLE</v>
      </c>
      <c r="R79">
        <v>925000</v>
      </c>
      <c r="S79">
        <v>960000</v>
      </c>
      <c r="T79">
        <v>415000</v>
      </c>
      <c r="U79">
        <v>0</v>
      </c>
      <c r="V79">
        <v>35000</v>
      </c>
      <c r="W79">
        <v>380000</v>
      </c>
      <c r="X79">
        <v>0</v>
      </c>
      <c r="Y79">
        <v>0</v>
      </c>
      <c r="Z79">
        <v>-35000</v>
      </c>
      <c r="AA79">
        <v>45792</v>
      </c>
      <c r="AB79" t="str">
        <v>Q2 2025</v>
      </c>
      <c r="AC79">
        <v>0</v>
      </c>
      <c r="AD79">
        <v>47118</v>
      </c>
      <c r="AE79" t="str">
        <v>João Gameiro</v>
      </c>
      <c r="AF79" t="str">
        <v>Miguel Ribeiro</v>
      </c>
      <c r="AG79" t="str">
        <v>https://www.aroeiracollections.com/</v>
      </c>
      <c r="AH79" t="str">
        <v>Aroeira Collections by Missoni: Elegance inspired by iconic design, set beside the renowned PGA golf course — where luxury living meets the rhythm of the coast.</v>
      </c>
      <c r="AI79" t="str">
        <v>Gym, Spa, Condo Pool, Private Pools, Tennis &amp; Padel Courts, Outdoor Areas, Smart Home Technology, Private Parking, Reception, Missoni Interiors, PGA Golf Course</v>
      </c>
      <c r="AJ79"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79" t="str">
        <v>Ana Costa, João Favila, Pedro Domingos</v>
      </c>
      <c r="AL79" t="str">
        <v>Aroeira Collections</v>
      </c>
    </row>
    <row r="80" spans="1:38" x14ac:dyDescent="0.3">
      <c r="A80" t="str">
        <v>Aroeira - HOTEL APARTMENTS</v>
      </c>
      <c r="B80" t="str">
        <v>Center</v>
      </c>
      <c r="C80" t="str">
        <v>109B</v>
      </c>
      <c r="D80" t="str">
        <v>Herdade da Aroeira, Almada</v>
      </c>
      <c r="E80" t="str">
        <v>2-BR*</v>
      </c>
      <c r="F80">
        <v>98.7</v>
      </c>
      <c r="G80">
        <v>0</v>
      </c>
      <c r="H80" t="str">
        <v>1</v>
      </c>
      <c r="I80" t="str">
        <v/>
      </c>
      <c r="J80">
        <v>13.3</v>
      </c>
      <c r="K80">
        <v>0</v>
      </c>
      <c r="L80">
        <v>0</v>
      </c>
      <c r="M80" s="79">
        <v>0</v>
      </c>
      <c r="N80">
        <v>0</v>
      </c>
      <c r="O80">
        <v>85.4</v>
      </c>
      <c r="P80">
        <v>0</v>
      </c>
      <c r="Q80" t="str">
        <v>AVAILABLE</v>
      </c>
      <c r="R80">
        <v>550000</v>
      </c>
      <c r="S80">
        <v>595000</v>
      </c>
      <c r="T80">
        <v>595000</v>
      </c>
      <c r="U80">
        <v>0</v>
      </c>
      <c r="V80">
        <v>45000</v>
      </c>
      <c r="W80">
        <v>550000</v>
      </c>
      <c r="X80">
        <v>0</v>
      </c>
      <c r="Y80">
        <v>0</v>
      </c>
      <c r="Z80">
        <v>-45000</v>
      </c>
      <c r="AA80">
        <v>45792</v>
      </c>
      <c r="AB80" t="str">
        <v>Q2 2025</v>
      </c>
      <c r="AC80">
        <v>0</v>
      </c>
      <c r="AD80">
        <v>47118</v>
      </c>
      <c r="AE80" t="str">
        <v>João Gameiro</v>
      </c>
      <c r="AF80" t="str">
        <v>Miguel Ribeiro</v>
      </c>
      <c r="AG80" t="str">
        <v>https://www.aroeiracollections.com/</v>
      </c>
      <c r="AH80" t="str">
        <v>Aroeira Collections by Missoni: Elegance inspired by iconic design, set beside the renowned PGA golf course — where luxury living meets the rhythm of the coast.</v>
      </c>
      <c r="AI80" t="str">
        <v>Gym, Spa, Condo Pool, Private Pools, Tennis &amp; Padel Courts, Outdoor Areas, Smart Home Technology, Private Parking, Reception, Missoni Interiors, PGA Golf Course</v>
      </c>
      <c r="AJ80"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80" t="str">
        <v>Ana Costa, João Favila, Pedro Domingos</v>
      </c>
      <c r="AL80" t="str">
        <v>Aroeira Collections</v>
      </c>
    </row>
    <row r="81" spans="1:38" x14ac:dyDescent="0.3">
      <c r="A81" t="str">
        <v>Aroeira - HOTEL APARTMENTS</v>
      </c>
      <c r="B81" t="str">
        <v>Center</v>
      </c>
      <c r="C81" t="str">
        <v>110A</v>
      </c>
      <c r="D81" t="str">
        <v>Herdade da Aroeira, Almada</v>
      </c>
      <c r="E81" t="str">
        <v>1-BR</v>
      </c>
      <c r="F81">
        <v>72.5</v>
      </c>
      <c r="G81">
        <v>0</v>
      </c>
      <c r="H81" t="str">
        <v>1</v>
      </c>
      <c r="I81" t="str">
        <v/>
      </c>
      <c r="J81">
        <v>12</v>
      </c>
      <c r="K81">
        <v>0</v>
      </c>
      <c r="L81">
        <v>0</v>
      </c>
      <c r="M81" s="79">
        <v>0</v>
      </c>
      <c r="N81">
        <v>0</v>
      </c>
      <c r="O81">
        <v>60.5</v>
      </c>
      <c r="P81">
        <v>0</v>
      </c>
      <c r="Q81" t="str">
        <v>AVAILABLE</v>
      </c>
      <c r="R81">
        <v>425000</v>
      </c>
      <c r="S81">
        <v>460000</v>
      </c>
      <c r="T81">
        <v>460000</v>
      </c>
      <c r="U81">
        <v>0</v>
      </c>
      <c r="V81">
        <v>35000</v>
      </c>
      <c r="W81">
        <v>425000</v>
      </c>
      <c r="X81">
        <v>0</v>
      </c>
      <c r="Y81">
        <v>0</v>
      </c>
      <c r="Z81">
        <v>-35000</v>
      </c>
      <c r="AA81">
        <v>45792</v>
      </c>
      <c r="AB81" t="str">
        <v>Q2 2025</v>
      </c>
      <c r="AC81">
        <v>0</v>
      </c>
      <c r="AD81">
        <v>47118</v>
      </c>
      <c r="AE81" t="str">
        <v>João Gameiro</v>
      </c>
      <c r="AF81" t="str">
        <v>Miguel Ribeiro</v>
      </c>
      <c r="AG81" t="str">
        <v>https://www.aroeiracollections.com/</v>
      </c>
      <c r="AH81" t="str">
        <v>Aroeira Collections by Missoni: Elegance inspired by iconic design, set beside the renowned PGA golf course — where luxury living meets the rhythm of the coast.</v>
      </c>
      <c r="AI81" t="str">
        <v>Gym, Spa, Condo Pool, Private Pools, Tennis &amp; Padel Courts, Outdoor Areas, Smart Home Technology, Private Parking, Reception, Missoni Interiors, PGA Golf Course</v>
      </c>
      <c r="AJ81"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81" t="str">
        <v>Ana Costa, João Favila, Pedro Domingos</v>
      </c>
      <c r="AL81" t="str">
        <v>Aroeira Collections</v>
      </c>
    </row>
    <row r="82" spans="1:38" x14ac:dyDescent="0.3">
      <c r="A82" t="str">
        <v>Aroeira - HOTEL APARTMENTS</v>
      </c>
      <c r="B82" t="str">
        <v>Center</v>
      </c>
      <c r="C82" t="str">
        <v>111B</v>
      </c>
      <c r="D82" t="str">
        <v>Herdade da Aroeira, Almada</v>
      </c>
      <c r="E82" t="str">
        <v>2-BR*</v>
      </c>
      <c r="F82">
        <v>98.8</v>
      </c>
      <c r="G82">
        <v>0</v>
      </c>
      <c r="H82" t="str">
        <v>1</v>
      </c>
      <c r="I82" t="str">
        <v/>
      </c>
      <c r="J82">
        <v>15.2</v>
      </c>
      <c r="K82">
        <v>0</v>
      </c>
      <c r="L82">
        <v>0</v>
      </c>
      <c r="M82" s="79">
        <v>0</v>
      </c>
      <c r="N82">
        <v>0</v>
      </c>
      <c r="O82">
        <v>83.6</v>
      </c>
      <c r="P82">
        <v>0</v>
      </c>
      <c r="Q82" t="str">
        <v>AVAILABLE</v>
      </c>
      <c r="R82">
        <v>575000</v>
      </c>
      <c r="S82">
        <v>620000</v>
      </c>
      <c r="T82">
        <v>620000</v>
      </c>
      <c r="U82">
        <v>0</v>
      </c>
      <c r="V82">
        <v>45000</v>
      </c>
      <c r="W82">
        <v>575000</v>
      </c>
      <c r="X82">
        <v>0</v>
      </c>
      <c r="Y82">
        <v>0</v>
      </c>
      <c r="Z82">
        <v>-45000</v>
      </c>
      <c r="AA82">
        <v>45792</v>
      </c>
      <c r="AB82" t="str">
        <v>Q2 2025</v>
      </c>
      <c r="AC82">
        <v>0</v>
      </c>
      <c r="AD82">
        <v>47118</v>
      </c>
      <c r="AE82" t="str">
        <v>João Gameiro</v>
      </c>
      <c r="AF82" t="str">
        <v>Miguel Ribeiro</v>
      </c>
      <c r="AG82" t="str">
        <v>https://www.aroeiracollections.com/</v>
      </c>
      <c r="AH82" t="str">
        <v>Aroeira Collections by Missoni: Elegance inspired by iconic design, set beside the renowned PGA golf course — where luxury living meets the rhythm of the coast.</v>
      </c>
      <c r="AI82" t="str">
        <v>Gym, Spa, Condo Pool, Private Pools, Tennis &amp; Padel Courts, Outdoor Areas, Smart Home Technology, Private Parking, Reception, Missoni Interiors, PGA Golf Course</v>
      </c>
      <c r="AJ82"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82" t="str">
        <v>Ana Costa, João Favila, Pedro Domingos</v>
      </c>
      <c r="AL82" t="str">
        <v>Aroeira Collections</v>
      </c>
    </row>
    <row r="83" spans="1:38" x14ac:dyDescent="0.3">
      <c r="A83" t="str">
        <v>Aroeira - HOTEL APARTMENTS</v>
      </c>
      <c r="B83" t="str">
        <v>Center</v>
      </c>
      <c r="C83" t="str">
        <v>112B</v>
      </c>
      <c r="D83" t="str">
        <v>Herdade da Aroeira, Almada</v>
      </c>
      <c r="E83" t="str">
        <v>2-BR*</v>
      </c>
      <c r="F83">
        <v>98.8</v>
      </c>
      <c r="G83">
        <v>0</v>
      </c>
      <c r="H83" t="str">
        <v>1</v>
      </c>
      <c r="I83" t="str">
        <v/>
      </c>
      <c r="J83">
        <v>15.2</v>
      </c>
      <c r="K83">
        <v>0</v>
      </c>
      <c r="L83">
        <v>0</v>
      </c>
      <c r="M83" s="79">
        <v>0</v>
      </c>
      <c r="N83">
        <v>0</v>
      </c>
      <c r="O83">
        <v>83.6</v>
      </c>
      <c r="P83">
        <v>0</v>
      </c>
      <c r="Q83" t="str">
        <v>AVAILABLE</v>
      </c>
      <c r="R83">
        <v>575000</v>
      </c>
      <c r="S83">
        <v>620000</v>
      </c>
      <c r="T83">
        <v>620000</v>
      </c>
      <c r="U83">
        <v>0</v>
      </c>
      <c r="V83">
        <v>45000</v>
      </c>
      <c r="W83">
        <v>575000</v>
      </c>
      <c r="X83">
        <v>0</v>
      </c>
      <c r="Y83">
        <v>0</v>
      </c>
      <c r="Z83">
        <v>-45000</v>
      </c>
      <c r="AA83">
        <v>45792</v>
      </c>
      <c r="AB83" t="str">
        <v>Q2 2025</v>
      </c>
      <c r="AC83">
        <v>0</v>
      </c>
      <c r="AD83">
        <v>47118</v>
      </c>
      <c r="AE83" t="str">
        <v>João Gameiro</v>
      </c>
      <c r="AF83" t="str">
        <v>Miguel Ribeiro</v>
      </c>
      <c r="AG83" t="str">
        <v>https://www.aroeiracollections.com/</v>
      </c>
      <c r="AH83" t="str">
        <v>Aroeira Collections by Missoni: Elegance inspired by iconic design, set beside the renowned PGA golf course — where luxury living meets the rhythm of the coast.</v>
      </c>
      <c r="AI83" t="str">
        <v>Gym, Spa, Condo Pool, Private Pools, Tennis &amp; Padel Courts, Outdoor Areas, Smart Home Technology, Private Parking, Reception, Missoni Interiors, PGA Golf Course</v>
      </c>
      <c r="AJ83"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83" t="str">
        <v>Ana Costa, João Favila, Pedro Domingos</v>
      </c>
      <c r="AL83" t="str">
        <v>Aroeira Collections</v>
      </c>
    </row>
    <row r="84" spans="1:38" x14ac:dyDescent="0.3">
      <c r="A84" t="str">
        <v>Aroeira - HOTEL APARTMENTS</v>
      </c>
      <c r="B84" t="str">
        <v>Center</v>
      </c>
      <c r="C84" t="str">
        <v>113B</v>
      </c>
      <c r="D84" t="str">
        <v>Herdade da Aroeira, Almada</v>
      </c>
      <c r="E84" t="str">
        <v>2-BR*</v>
      </c>
      <c r="F84">
        <v>98.8</v>
      </c>
      <c r="G84">
        <v>0</v>
      </c>
      <c r="H84" t="str">
        <v>1</v>
      </c>
      <c r="I84" t="str">
        <v/>
      </c>
      <c r="J84">
        <v>15.2</v>
      </c>
      <c r="K84">
        <v>0</v>
      </c>
      <c r="L84">
        <v>0</v>
      </c>
      <c r="M84" s="79">
        <v>0</v>
      </c>
      <c r="N84">
        <v>0</v>
      </c>
      <c r="O84">
        <v>83.6</v>
      </c>
      <c r="P84">
        <v>0</v>
      </c>
      <c r="Q84" t="str">
        <v>AVAILABLE</v>
      </c>
      <c r="R84">
        <v>575000</v>
      </c>
      <c r="S84">
        <v>620000</v>
      </c>
      <c r="T84">
        <v>620000</v>
      </c>
      <c r="U84">
        <v>0</v>
      </c>
      <c r="V84">
        <v>45000</v>
      </c>
      <c r="W84">
        <v>575000</v>
      </c>
      <c r="X84">
        <v>0</v>
      </c>
      <c r="Y84">
        <v>0</v>
      </c>
      <c r="Z84">
        <v>-45000</v>
      </c>
      <c r="AA84">
        <v>45792</v>
      </c>
      <c r="AB84" t="str">
        <v>Q2 2025</v>
      </c>
      <c r="AC84">
        <v>0</v>
      </c>
      <c r="AD84">
        <v>47118</v>
      </c>
      <c r="AE84" t="str">
        <v>João Gameiro</v>
      </c>
      <c r="AF84" t="str">
        <v>Miguel Ribeiro</v>
      </c>
      <c r="AG84" t="str">
        <v>https://www.aroeiracollections.com/</v>
      </c>
      <c r="AH84" t="str">
        <v>Aroeira Collections by Missoni: Elegance inspired by iconic design, set beside the renowned PGA golf course — where luxury living meets the rhythm of the coast.</v>
      </c>
      <c r="AI84" t="str">
        <v>Gym, Spa, Condo Pool, Private Pools, Tennis &amp; Padel Courts, Outdoor Areas, Smart Home Technology, Private Parking, Reception, Missoni Interiors, PGA Golf Course</v>
      </c>
      <c r="AJ84"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84" t="str">
        <v>Ana Costa, João Favila, Pedro Domingos</v>
      </c>
      <c r="AL84" t="str">
        <v>Aroeira Collections</v>
      </c>
    </row>
    <row r="85" spans="1:38" x14ac:dyDescent="0.3">
      <c r="A85" t="str">
        <v>Aroeira - HOTEL APARTMENTS</v>
      </c>
      <c r="B85" t="str">
        <v>Center</v>
      </c>
      <c r="C85" t="str">
        <v>114A</v>
      </c>
      <c r="D85" t="str">
        <v>Herdade da Aroeira, Almada</v>
      </c>
      <c r="E85" t="str">
        <v>1-BR</v>
      </c>
      <c r="F85">
        <v>72.5</v>
      </c>
      <c r="G85">
        <v>0</v>
      </c>
      <c r="H85" t="str">
        <v>1</v>
      </c>
      <c r="I85" t="str">
        <v/>
      </c>
      <c r="J85">
        <v>12</v>
      </c>
      <c r="K85">
        <v>0</v>
      </c>
      <c r="L85">
        <v>0</v>
      </c>
      <c r="M85" s="79">
        <v>0</v>
      </c>
      <c r="N85">
        <v>0</v>
      </c>
      <c r="O85">
        <v>60.5</v>
      </c>
      <c r="P85">
        <v>0</v>
      </c>
      <c r="Q85" t="str">
        <v>AVAILABLE</v>
      </c>
      <c r="R85">
        <v>425000</v>
      </c>
      <c r="S85">
        <v>460000</v>
      </c>
      <c r="T85">
        <v>460000</v>
      </c>
      <c r="U85">
        <v>0</v>
      </c>
      <c r="V85">
        <v>35000</v>
      </c>
      <c r="W85">
        <v>425000</v>
      </c>
      <c r="X85">
        <v>0</v>
      </c>
      <c r="Y85">
        <v>0</v>
      </c>
      <c r="Z85">
        <v>-35000</v>
      </c>
      <c r="AA85">
        <v>45792</v>
      </c>
      <c r="AB85" t="str">
        <v>Q2 2025</v>
      </c>
      <c r="AC85">
        <v>0</v>
      </c>
      <c r="AD85">
        <v>47118</v>
      </c>
      <c r="AE85" t="str">
        <v>João Gameiro</v>
      </c>
      <c r="AF85" t="str">
        <v>Miguel Ribeiro</v>
      </c>
      <c r="AG85" t="str">
        <v>https://www.aroeiracollections.com/</v>
      </c>
      <c r="AH85" t="str">
        <v>Aroeira Collections by Missoni: Elegance inspired by iconic design, set beside the renowned PGA golf course — where luxury living meets the rhythm of the coast.</v>
      </c>
      <c r="AI85" t="str">
        <v>Gym, Spa, Condo Pool, Private Pools, Tennis &amp; Padel Courts, Outdoor Areas, Smart Home Technology, Private Parking, Reception, Missoni Interiors, PGA Golf Course</v>
      </c>
      <c r="AJ85"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85" t="str">
        <v>Ana Costa, João Favila, Pedro Domingos</v>
      </c>
      <c r="AL85" t="str">
        <v>Aroeira Collections</v>
      </c>
    </row>
    <row r="86" spans="1:38" x14ac:dyDescent="0.3">
      <c r="A86" t="str">
        <v>Aroeira - HOTEL APARTMENTS</v>
      </c>
      <c r="B86" t="str">
        <v>Center</v>
      </c>
      <c r="C86" t="str">
        <v>115B</v>
      </c>
      <c r="D86" t="str">
        <v>Herdade da Aroeira, Almada</v>
      </c>
      <c r="E86" t="str">
        <v>2-BR*</v>
      </c>
      <c r="F86">
        <v>98.7</v>
      </c>
      <c r="G86">
        <v>0</v>
      </c>
      <c r="H86" t="str">
        <v>1</v>
      </c>
      <c r="I86" t="str">
        <v/>
      </c>
      <c r="J86">
        <v>13.3</v>
      </c>
      <c r="K86">
        <v>0</v>
      </c>
      <c r="L86">
        <v>0</v>
      </c>
      <c r="M86" s="79">
        <v>0</v>
      </c>
      <c r="N86">
        <v>0</v>
      </c>
      <c r="O86">
        <v>85.4</v>
      </c>
      <c r="P86">
        <v>0</v>
      </c>
      <c r="Q86" t="str">
        <v>AVAILABLE</v>
      </c>
      <c r="R86">
        <v>590000</v>
      </c>
      <c r="S86">
        <v>635000</v>
      </c>
      <c r="T86">
        <v>635000</v>
      </c>
      <c r="U86">
        <v>0</v>
      </c>
      <c r="V86">
        <v>45000</v>
      </c>
      <c r="W86">
        <v>590000</v>
      </c>
      <c r="X86">
        <v>0</v>
      </c>
      <c r="Y86">
        <v>0</v>
      </c>
      <c r="Z86">
        <v>-45000</v>
      </c>
      <c r="AA86">
        <v>45792</v>
      </c>
      <c r="AB86" t="str">
        <v>Q2 2025</v>
      </c>
      <c r="AC86">
        <v>0</v>
      </c>
      <c r="AD86">
        <v>47118</v>
      </c>
      <c r="AE86" t="str">
        <v>João Gameiro</v>
      </c>
      <c r="AF86" t="str">
        <v>Miguel Ribeiro</v>
      </c>
      <c r="AG86" t="str">
        <v>https://www.aroeiracollections.com/</v>
      </c>
      <c r="AH86" t="str">
        <v>Aroeira Collections by Missoni: Elegance inspired by iconic design, set beside the renowned PGA golf course — where luxury living meets the rhythm of the coast.</v>
      </c>
      <c r="AI86" t="str">
        <v>Gym, Spa, Condo Pool, Private Pools, Tennis &amp; Padel Courts, Outdoor Areas, Smart Home Technology, Private Parking, Reception, Missoni Interiors, PGA Golf Course</v>
      </c>
      <c r="AJ86"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86" t="str">
        <v>Ana Costa, João Favila, Pedro Domingos</v>
      </c>
      <c r="AL86" t="str">
        <v>Aroeira Collections</v>
      </c>
    </row>
    <row r="87" spans="1:38" x14ac:dyDescent="0.3">
      <c r="A87" t="str">
        <v>Aroeira - HOTEL APARTMENTS</v>
      </c>
      <c r="B87" t="str">
        <v>Center</v>
      </c>
      <c r="C87" t="str">
        <v>117A</v>
      </c>
      <c r="D87" t="str">
        <v>Herdade da Aroeira, Almada</v>
      </c>
      <c r="E87" t="str">
        <v>1-BR</v>
      </c>
      <c r="F87">
        <v>65</v>
      </c>
      <c r="G87">
        <v>0</v>
      </c>
      <c r="H87" t="str">
        <v>1</v>
      </c>
      <c r="I87" t="str">
        <v/>
      </c>
      <c r="J87">
        <v>8.6999999999999993</v>
      </c>
      <c r="K87">
        <v>0</v>
      </c>
      <c r="L87">
        <v>0</v>
      </c>
      <c r="M87" s="79">
        <v>0</v>
      </c>
      <c r="N87">
        <v>0</v>
      </c>
      <c r="O87">
        <v>56.3</v>
      </c>
      <c r="P87">
        <v>0</v>
      </c>
      <c r="Q87" t="str">
        <v>AVAILABLE</v>
      </c>
      <c r="R87">
        <v>395000</v>
      </c>
      <c r="S87">
        <v>430000</v>
      </c>
      <c r="T87">
        <v>430000</v>
      </c>
      <c r="U87">
        <v>0</v>
      </c>
      <c r="V87">
        <v>35000</v>
      </c>
      <c r="W87">
        <v>395000</v>
      </c>
      <c r="X87">
        <v>0</v>
      </c>
      <c r="Y87">
        <v>0</v>
      </c>
      <c r="Z87">
        <v>-35000</v>
      </c>
      <c r="AA87">
        <v>45792</v>
      </c>
      <c r="AB87" t="str">
        <v>Q2 2025</v>
      </c>
      <c r="AC87">
        <v>0</v>
      </c>
      <c r="AD87">
        <v>47118</v>
      </c>
      <c r="AE87" t="str">
        <v>João Gameiro</v>
      </c>
      <c r="AF87" t="str">
        <v>Miguel Ribeiro</v>
      </c>
      <c r="AG87" t="str">
        <v>https://www.aroeiracollections.com/</v>
      </c>
      <c r="AH87" t="str">
        <v>Aroeira Collections by Missoni: Elegance inspired by iconic design, set beside the renowned PGA golf course — where luxury living meets the rhythm of the coast.</v>
      </c>
      <c r="AI87" t="str">
        <v>Gym, Spa, Condo Pool, Private Pools, Tennis &amp; Padel Courts, Outdoor Areas, Smart Home Technology, Private Parking, Reception, Missoni Interiors, PGA Golf Course</v>
      </c>
      <c r="AJ87"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87" t="str">
        <v>Ana Costa, João Favila, Pedro Domingos</v>
      </c>
      <c r="AL87" t="str">
        <v>Aroeira Collections</v>
      </c>
    </row>
    <row r="88" spans="1:38" x14ac:dyDescent="0.3">
      <c r="A88" t="str">
        <v>Aroeira - HOTEL APARTMENTS</v>
      </c>
      <c r="B88" t="str">
        <v>Center</v>
      </c>
      <c r="C88" t="str">
        <v>118A</v>
      </c>
      <c r="D88" t="str">
        <v>Herdade da Aroeira, Almada</v>
      </c>
      <c r="E88" t="str">
        <v>1-BR</v>
      </c>
      <c r="F88">
        <v>65</v>
      </c>
      <c r="G88">
        <v>0</v>
      </c>
      <c r="H88" t="str">
        <v>1</v>
      </c>
      <c r="I88" t="str">
        <v/>
      </c>
      <c r="J88">
        <v>8.6999999999999993</v>
      </c>
      <c r="K88">
        <v>0</v>
      </c>
      <c r="L88">
        <v>0</v>
      </c>
      <c r="M88" s="79">
        <v>0</v>
      </c>
      <c r="N88">
        <v>0</v>
      </c>
      <c r="O88">
        <v>56.3</v>
      </c>
      <c r="P88">
        <v>0</v>
      </c>
      <c r="Q88" t="str">
        <v>AVAILABLE</v>
      </c>
      <c r="R88">
        <v>395000</v>
      </c>
      <c r="S88">
        <v>430000</v>
      </c>
      <c r="T88">
        <v>430000</v>
      </c>
      <c r="U88">
        <v>0</v>
      </c>
      <c r="V88">
        <v>35000</v>
      </c>
      <c r="W88">
        <v>395000</v>
      </c>
      <c r="X88">
        <v>0</v>
      </c>
      <c r="Y88">
        <v>0</v>
      </c>
      <c r="Z88">
        <v>-35000</v>
      </c>
      <c r="AA88">
        <v>45792</v>
      </c>
      <c r="AB88" t="str">
        <v>Q2 2025</v>
      </c>
      <c r="AC88">
        <v>0</v>
      </c>
      <c r="AD88">
        <v>47118</v>
      </c>
      <c r="AE88" t="str">
        <v>João Gameiro</v>
      </c>
      <c r="AF88" t="str">
        <v>Miguel Ribeiro</v>
      </c>
      <c r="AG88" t="str">
        <v>https://www.aroeiracollections.com/</v>
      </c>
      <c r="AH88" t="str">
        <v>Aroeira Collections by Missoni: Elegance inspired by iconic design, set beside the renowned PGA golf course — where luxury living meets the rhythm of the coast.</v>
      </c>
      <c r="AI88" t="str">
        <v>Gym, Spa, Condo Pool, Private Pools, Tennis &amp; Padel Courts, Outdoor Areas, Smart Home Technology, Private Parking, Reception, Missoni Interiors, PGA Golf Course</v>
      </c>
      <c r="AJ88"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88" t="str">
        <v>Ana Costa, João Favila, Pedro Domingos</v>
      </c>
      <c r="AL88" t="str">
        <v>Aroeira Collections</v>
      </c>
    </row>
    <row r="89" spans="1:38" x14ac:dyDescent="0.3">
      <c r="A89" t="str">
        <v>Aroeira - HOTEL APARTMENTS</v>
      </c>
      <c r="B89" t="str">
        <v>Center</v>
      </c>
      <c r="C89" t="str">
        <v>120A</v>
      </c>
      <c r="D89" t="str">
        <v>Herdade da Aroeira, Almada</v>
      </c>
      <c r="E89" t="str">
        <v>1-BR</v>
      </c>
      <c r="F89">
        <v>65</v>
      </c>
      <c r="G89">
        <v>0</v>
      </c>
      <c r="H89" t="str">
        <v>1</v>
      </c>
      <c r="I89" t="str">
        <v/>
      </c>
      <c r="J89">
        <v>8.6999999999999993</v>
      </c>
      <c r="K89">
        <v>0</v>
      </c>
      <c r="L89">
        <v>0</v>
      </c>
      <c r="M89" s="79">
        <v>0</v>
      </c>
      <c r="N89">
        <v>0</v>
      </c>
      <c r="O89">
        <v>56.3</v>
      </c>
      <c r="P89">
        <v>0</v>
      </c>
      <c r="Q89" t="str">
        <v>AVAILABLE</v>
      </c>
      <c r="R89">
        <v>395000</v>
      </c>
      <c r="S89">
        <v>430000</v>
      </c>
      <c r="T89">
        <v>430000</v>
      </c>
      <c r="U89">
        <v>0</v>
      </c>
      <c r="V89">
        <v>35000</v>
      </c>
      <c r="W89">
        <v>395000</v>
      </c>
      <c r="X89">
        <v>0</v>
      </c>
      <c r="Y89">
        <v>0</v>
      </c>
      <c r="Z89">
        <v>-35000</v>
      </c>
      <c r="AA89">
        <v>45792</v>
      </c>
      <c r="AB89" t="str">
        <v>Q2 2025</v>
      </c>
      <c r="AC89">
        <v>0</v>
      </c>
      <c r="AD89">
        <v>47118</v>
      </c>
      <c r="AE89" t="str">
        <v>João Gameiro</v>
      </c>
      <c r="AF89" t="str">
        <v>Miguel Ribeiro</v>
      </c>
      <c r="AG89" t="str">
        <v>https://www.aroeiracollections.com/</v>
      </c>
      <c r="AH89" t="str">
        <v>Aroeira Collections by Missoni: Elegance inspired by iconic design, set beside the renowned PGA golf course — where luxury living meets the rhythm of the coast.</v>
      </c>
      <c r="AI89" t="str">
        <v>Gym, Spa, Condo Pool, Private Pools, Tennis &amp; Padel Courts, Outdoor Areas, Smart Home Technology, Private Parking, Reception, Missoni Interiors, PGA Golf Course</v>
      </c>
      <c r="AJ89"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89" t="str">
        <v>Ana Costa, João Favila, Pedro Domingos</v>
      </c>
      <c r="AL89" t="str">
        <v>Aroeira Collections</v>
      </c>
    </row>
    <row r="90" spans="1:38" x14ac:dyDescent="0.3">
      <c r="A90" t="str">
        <v>Aroeira - HOTEL APARTMENTS</v>
      </c>
      <c r="B90" t="str">
        <v>Center</v>
      </c>
      <c r="C90" t="str">
        <v>122A</v>
      </c>
      <c r="D90" t="str">
        <v>Herdade da Aroeira, Almada</v>
      </c>
      <c r="E90" t="str">
        <v>1-BR</v>
      </c>
      <c r="F90">
        <v>65</v>
      </c>
      <c r="G90">
        <v>0</v>
      </c>
      <c r="H90" t="str">
        <v>1</v>
      </c>
      <c r="I90" t="str">
        <v/>
      </c>
      <c r="J90">
        <v>8.6999999999999993</v>
      </c>
      <c r="K90">
        <v>0</v>
      </c>
      <c r="L90">
        <v>0</v>
      </c>
      <c r="M90" s="79">
        <v>0</v>
      </c>
      <c r="N90">
        <v>0</v>
      </c>
      <c r="O90">
        <v>56.3</v>
      </c>
      <c r="P90">
        <v>0</v>
      </c>
      <c r="Q90" t="str">
        <v>AVAILABLE</v>
      </c>
      <c r="R90">
        <v>395000</v>
      </c>
      <c r="S90">
        <v>430000</v>
      </c>
      <c r="T90">
        <v>430000</v>
      </c>
      <c r="U90">
        <v>0</v>
      </c>
      <c r="V90">
        <v>35000</v>
      </c>
      <c r="W90">
        <v>395000</v>
      </c>
      <c r="X90">
        <v>0</v>
      </c>
      <c r="Y90">
        <v>0</v>
      </c>
      <c r="Z90">
        <v>-35000</v>
      </c>
      <c r="AA90">
        <v>45792</v>
      </c>
      <c r="AB90" t="str">
        <v>Q2 2025</v>
      </c>
      <c r="AC90">
        <v>0</v>
      </c>
      <c r="AD90">
        <v>47118</v>
      </c>
      <c r="AE90" t="str">
        <v>João Gameiro</v>
      </c>
      <c r="AF90" t="str">
        <v>Miguel Ribeiro</v>
      </c>
      <c r="AG90" t="str">
        <v>https://www.aroeiracollections.com/</v>
      </c>
      <c r="AH90" t="str">
        <v>Aroeira Collections by Missoni: Elegance inspired by iconic design, set beside the renowned PGA golf course — where luxury living meets the rhythm of the coast.</v>
      </c>
      <c r="AI90" t="str">
        <v>Gym, Spa, Condo Pool, Private Pools, Tennis &amp; Padel Courts, Outdoor Areas, Smart Home Technology, Private Parking, Reception, Missoni Interiors, PGA Golf Course</v>
      </c>
      <c r="AJ90"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90" t="str">
        <v>Ana Costa, João Favila, Pedro Domingos</v>
      </c>
      <c r="AL90" t="str">
        <v>Aroeira Collections</v>
      </c>
    </row>
    <row r="91" spans="1:38" x14ac:dyDescent="0.3">
      <c r="A91" t="str">
        <v>Aroeira - HOTEL APARTMENTS</v>
      </c>
      <c r="B91" t="str">
        <v>Center</v>
      </c>
      <c r="C91" t="str">
        <v>123B</v>
      </c>
      <c r="D91" t="str">
        <v>Herdade da Aroeira, Almada</v>
      </c>
      <c r="E91" t="str">
        <v>2-BR*</v>
      </c>
      <c r="F91">
        <v>98.7</v>
      </c>
      <c r="G91">
        <v>0</v>
      </c>
      <c r="H91" t="str">
        <v>1</v>
      </c>
      <c r="I91" t="str">
        <v/>
      </c>
      <c r="J91">
        <v>13.3</v>
      </c>
      <c r="K91">
        <v>0</v>
      </c>
      <c r="L91">
        <v>0</v>
      </c>
      <c r="M91" s="79">
        <v>0</v>
      </c>
      <c r="N91">
        <v>0</v>
      </c>
      <c r="O91">
        <v>85.4</v>
      </c>
      <c r="P91">
        <v>0</v>
      </c>
      <c r="Q91" t="str">
        <v>AVAILABLE</v>
      </c>
      <c r="R91">
        <v>590000</v>
      </c>
      <c r="S91">
        <v>635000</v>
      </c>
      <c r="T91">
        <v>635000</v>
      </c>
      <c r="U91">
        <v>0</v>
      </c>
      <c r="V91">
        <v>45000</v>
      </c>
      <c r="W91">
        <v>590000</v>
      </c>
      <c r="X91">
        <v>0</v>
      </c>
      <c r="Y91">
        <v>0</v>
      </c>
      <c r="Z91">
        <v>-45000</v>
      </c>
      <c r="AA91">
        <v>45792</v>
      </c>
      <c r="AB91" t="str">
        <v>Q2 2025</v>
      </c>
      <c r="AC91">
        <v>0</v>
      </c>
      <c r="AD91">
        <v>47118</v>
      </c>
      <c r="AE91" t="str">
        <v>João Gameiro</v>
      </c>
      <c r="AF91" t="str">
        <v>Miguel Ribeiro</v>
      </c>
      <c r="AG91" t="str">
        <v>https://www.aroeiracollections.com/</v>
      </c>
      <c r="AH91" t="str">
        <v>Aroeira Collections by Missoni: Elegance inspired by iconic design, set beside the renowned PGA golf course — where luxury living meets the rhythm of the coast.</v>
      </c>
      <c r="AI91" t="str">
        <v>Gym, Spa, Condo Pool, Private Pools, Tennis &amp; Padel Courts, Outdoor Areas, Smart Home Technology, Private Parking, Reception, Missoni Interiors, PGA Golf Course</v>
      </c>
      <c r="AJ91"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91" t="str">
        <v>Ana Costa, João Favila, Pedro Domingos</v>
      </c>
      <c r="AL91" t="str">
        <v>Aroeira Collections</v>
      </c>
    </row>
    <row r="92" spans="1:38" x14ac:dyDescent="0.3">
      <c r="A92" t="str">
        <v>Aroeira - HOTEL APARTMENTS</v>
      </c>
      <c r="B92" t="str">
        <v>Center</v>
      </c>
      <c r="C92" t="str">
        <v>124A</v>
      </c>
      <c r="D92" t="str">
        <v>Herdade da Aroeira, Almada</v>
      </c>
      <c r="E92" t="str">
        <v>1-BR</v>
      </c>
      <c r="F92">
        <v>72.5</v>
      </c>
      <c r="G92">
        <v>0</v>
      </c>
      <c r="H92" t="str">
        <v>1</v>
      </c>
      <c r="I92" t="str">
        <v/>
      </c>
      <c r="J92">
        <v>12</v>
      </c>
      <c r="K92">
        <v>0</v>
      </c>
      <c r="L92">
        <v>0</v>
      </c>
      <c r="M92" s="79">
        <v>0</v>
      </c>
      <c r="N92">
        <v>0</v>
      </c>
      <c r="O92">
        <v>60.5</v>
      </c>
      <c r="P92">
        <v>0</v>
      </c>
      <c r="Q92" t="str">
        <v>AVAILABLE</v>
      </c>
      <c r="R92">
        <v>425000</v>
      </c>
      <c r="S92">
        <v>460000</v>
      </c>
      <c r="T92">
        <v>460000</v>
      </c>
      <c r="U92">
        <v>0</v>
      </c>
      <c r="V92">
        <v>35000</v>
      </c>
      <c r="W92">
        <v>425000</v>
      </c>
      <c r="X92">
        <v>0</v>
      </c>
      <c r="Y92">
        <v>0</v>
      </c>
      <c r="Z92">
        <v>-35000</v>
      </c>
      <c r="AA92">
        <v>45792</v>
      </c>
      <c r="AB92" t="str">
        <v>Q2 2025</v>
      </c>
      <c r="AC92">
        <v>0</v>
      </c>
      <c r="AD92">
        <v>47118</v>
      </c>
      <c r="AE92" t="str">
        <v>João Gameiro</v>
      </c>
      <c r="AF92" t="str">
        <v>Miguel Ribeiro</v>
      </c>
      <c r="AG92" t="str">
        <v>https://www.aroeiracollections.com/</v>
      </c>
      <c r="AH92" t="str">
        <v>Aroeira Collections by Missoni: Elegance inspired by iconic design, set beside the renowned PGA golf course — where luxury living meets the rhythm of the coast.</v>
      </c>
      <c r="AI92" t="str">
        <v>Gym, Spa, Condo Pool, Private Pools, Tennis &amp; Padel Courts, Outdoor Areas, Smart Home Technology, Private Parking, Reception, Missoni Interiors, PGA Golf Course</v>
      </c>
      <c r="AJ92"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92" t="str">
        <v>Ana Costa, João Favila, Pedro Domingos</v>
      </c>
      <c r="AL92" t="str">
        <v>Aroeira Collections</v>
      </c>
    </row>
    <row r="93" spans="1:38" x14ac:dyDescent="0.3">
      <c r="A93" t="str">
        <v>Aroeira - HOTEL APARTMENTS</v>
      </c>
      <c r="B93" t="str">
        <v>Center</v>
      </c>
      <c r="C93" t="str">
        <v>125B</v>
      </c>
      <c r="D93" t="str">
        <v>Herdade da Aroeira, Almada</v>
      </c>
      <c r="E93" t="str">
        <v>2-BR*</v>
      </c>
      <c r="F93">
        <v>98.8</v>
      </c>
      <c r="G93">
        <v>0</v>
      </c>
      <c r="H93" t="str">
        <v>1</v>
      </c>
      <c r="I93" t="str">
        <v/>
      </c>
      <c r="J93">
        <v>15.2</v>
      </c>
      <c r="K93">
        <v>0</v>
      </c>
      <c r="L93">
        <v>0</v>
      </c>
      <c r="M93" s="79">
        <v>0</v>
      </c>
      <c r="N93">
        <v>0</v>
      </c>
      <c r="O93">
        <v>83.6</v>
      </c>
      <c r="P93">
        <v>0</v>
      </c>
      <c r="Q93" t="str">
        <v>AVAILABLE</v>
      </c>
      <c r="R93">
        <v>575000</v>
      </c>
      <c r="S93">
        <v>620000</v>
      </c>
      <c r="T93">
        <v>620000</v>
      </c>
      <c r="U93">
        <v>0</v>
      </c>
      <c r="V93">
        <v>45000</v>
      </c>
      <c r="W93">
        <v>575000</v>
      </c>
      <c r="X93">
        <v>0</v>
      </c>
      <c r="Y93">
        <v>0</v>
      </c>
      <c r="Z93">
        <v>-45000</v>
      </c>
      <c r="AA93">
        <v>45792</v>
      </c>
      <c r="AB93" t="str">
        <v>Q2 2025</v>
      </c>
      <c r="AC93">
        <v>0</v>
      </c>
      <c r="AD93">
        <v>47118</v>
      </c>
      <c r="AE93" t="str">
        <v>João Gameiro</v>
      </c>
      <c r="AF93" t="str">
        <v>Miguel Ribeiro</v>
      </c>
      <c r="AG93" t="str">
        <v>https://www.aroeiracollections.com/</v>
      </c>
      <c r="AH93" t="str">
        <v>Aroeira Collections by Missoni: Elegance inspired by iconic design, set beside the renowned PGA golf course — where luxury living meets the rhythm of the coast.</v>
      </c>
      <c r="AI93" t="str">
        <v>Gym, Spa, Condo Pool, Private Pools, Tennis &amp; Padel Courts, Outdoor Areas, Smart Home Technology, Private Parking, Reception, Missoni Interiors, PGA Golf Course</v>
      </c>
      <c r="AJ93"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93" t="str">
        <v>Ana Costa, João Favila, Pedro Domingos</v>
      </c>
      <c r="AL93" t="str">
        <v>Aroeira Collections</v>
      </c>
    </row>
    <row r="94" spans="1:38" x14ac:dyDescent="0.3">
      <c r="A94" t="str">
        <v>Aroeira - HOTEL APARTMENTS</v>
      </c>
      <c r="B94" t="str">
        <v>Center</v>
      </c>
      <c r="C94" t="str">
        <v>126B</v>
      </c>
      <c r="D94" t="str">
        <v>Herdade da Aroeira, Almada</v>
      </c>
      <c r="E94" t="str">
        <v>2-BR*</v>
      </c>
      <c r="F94">
        <v>98.8</v>
      </c>
      <c r="G94">
        <v>0</v>
      </c>
      <c r="H94" t="str">
        <v>1</v>
      </c>
      <c r="I94" t="str">
        <v/>
      </c>
      <c r="J94">
        <v>15.2</v>
      </c>
      <c r="K94">
        <v>0</v>
      </c>
      <c r="L94">
        <v>0</v>
      </c>
      <c r="M94" s="79">
        <v>0</v>
      </c>
      <c r="N94">
        <v>0</v>
      </c>
      <c r="O94">
        <v>83.6</v>
      </c>
      <c r="P94">
        <v>0</v>
      </c>
      <c r="Q94" t="str">
        <v>AVAILABLE</v>
      </c>
      <c r="R94">
        <v>575000</v>
      </c>
      <c r="S94">
        <v>620000</v>
      </c>
      <c r="T94">
        <v>620000</v>
      </c>
      <c r="U94">
        <v>0</v>
      </c>
      <c r="V94">
        <v>45000</v>
      </c>
      <c r="W94">
        <v>575000</v>
      </c>
      <c r="X94">
        <v>0</v>
      </c>
      <c r="Y94">
        <v>0</v>
      </c>
      <c r="Z94">
        <v>-45000</v>
      </c>
      <c r="AA94">
        <v>45792</v>
      </c>
      <c r="AB94" t="str">
        <v>Q2 2025</v>
      </c>
      <c r="AC94">
        <v>0</v>
      </c>
      <c r="AD94">
        <v>47118</v>
      </c>
      <c r="AE94" t="str">
        <v>João Gameiro</v>
      </c>
      <c r="AF94" t="str">
        <v>Miguel Ribeiro</v>
      </c>
      <c r="AG94" t="str">
        <v>https://www.aroeiracollections.com/</v>
      </c>
      <c r="AH94" t="str">
        <v>Aroeira Collections by Missoni: Elegance inspired by iconic design, set beside the renowned PGA golf course — where luxury living meets the rhythm of the coast.</v>
      </c>
      <c r="AI94" t="str">
        <v>Gym, Spa, Condo Pool, Private Pools, Tennis &amp; Padel Courts, Outdoor Areas, Smart Home Technology, Private Parking, Reception, Missoni Interiors, PGA Golf Course</v>
      </c>
      <c r="AJ94"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94" t="str">
        <v>Ana Costa, João Favila, Pedro Domingos</v>
      </c>
      <c r="AL94" t="str">
        <v>Aroeira Collections</v>
      </c>
    </row>
    <row r="95" spans="1:38" x14ac:dyDescent="0.3">
      <c r="A95" t="str">
        <v>Aroeira - HOTEL APARTMENTS</v>
      </c>
      <c r="B95" t="str">
        <v>Center</v>
      </c>
      <c r="C95" t="str">
        <v>127B</v>
      </c>
      <c r="D95" t="str">
        <v>Herdade da Aroeira, Almada</v>
      </c>
      <c r="E95" t="str">
        <v>2-BR*</v>
      </c>
      <c r="F95">
        <v>98.8</v>
      </c>
      <c r="G95">
        <v>0</v>
      </c>
      <c r="H95" t="str">
        <v>1</v>
      </c>
      <c r="I95" t="str">
        <v/>
      </c>
      <c r="J95">
        <v>15.2</v>
      </c>
      <c r="K95">
        <v>0</v>
      </c>
      <c r="L95">
        <v>0</v>
      </c>
      <c r="M95" s="79">
        <v>0</v>
      </c>
      <c r="N95">
        <v>0</v>
      </c>
      <c r="O95">
        <v>83.6</v>
      </c>
      <c r="P95">
        <v>0</v>
      </c>
      <c r="Q95" t="str">
        <v>AVAILABLE</v>
      </c>
      <c r="R95">
        <v>575000</v>
      </c>
      <c r="S95">
        <v>620000</v>
      </c>
      <c r="T95">
        <v>620000</v>
      </c>
      <c r="U95">
        <v>0</v>
      </c>
      <c r="V95">
        <v>45000</v>
      </c>
      <c r="W95">
        <v>575000</v>
      </c>
      <c r="X95">
        <v>0</v>
      </c>
      <c r="Y95">
        <v>0</v>
      </c>
      <c r="Z95">
        <v>-45000</v>
      </c>
      <c r="AA95">
        <v>45792</v>
      </c>
      <c r="AB95" t="str">
        <v>Q2 2025</v>
      </c>
      <c r="AC95">
        <v>0</v>
      </c>
      <c r="AD95">
        <v>47118</v>
      </c>
      <c r="AE95" t="str">
        <v>João Gameiro</v>
      </c>
      <c r="AF95" t="str">
        <v>Miguel Ribeiro</v>
      </c>
      <c r="AG95" t="str">
        <v>https://www.aroeiracollections.com/</v>
      </c>
      <c r="AH95" t="str">
        <v>Aroeira Collections by Missoni: Elegance inspired by iconic design, set beside the renowned PGA golf course — where luxury living meets the rhythm of the coast.</v>
      </c>
      <c r="AI95" t="str">
        <v>Gym, Spa, Condo Pool, Private Pools, Tennis &amp; Padel Courts, Outdoor Areas, Smart Home Technology, Private Parking, Reception, Missoni Interiors, PGA Golf Course</v>
      </c>
      <c r="AJ95"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95" t="str">
        <v>Ana Costa, João Favila, Pedro Domingos</v>
      </c>
      <c r="AL95" t="str">
        <v>Aroeira Collections</v>
      </c>
    </row>
    <row r="96" spans="1:38" x14ac:dyDescent="0.3">
      <c r="A96" t="str">
        <v>Aroeira - HOTEL APARTMENTS</v>
      </c>
      <c r="B96" t="str">
        <v>Center</v>
      </c>
      <c r="C96" t="str">
        <v>128A</v>
      </c>
      <c r="D96" t="str">
        <v>Herdade da Aroeira, Almada</v>
      </c>
      <c r="E96" t="str">
        <v>1-BR</v>
      </c>
      <c r="F96">
        <v>72.5</v>
      </c>
      <c r="G96">
        <v>0</v>
      </c>
      <c r="H96" t="str">
        <v>1</v>
      </c>
      <c r="I96" t="str">
        <v/>
      </c>
      <c r="J96">
        <v>12</v>
      </c>
      <c r="K96">
        <v>0</v>
      </c>
      <c r="L96">
        <v>0</v>
      </c>
      <c r="M96" s="79">
        <v>0</v>
      </c>
      <c r="N96">
        <v>0</v>
      </c>
      <c r="O96">
        <v>60.5</v>
      </c>
      <c r="P96">
        <v>0</v>
      </c>
      <c r="Q96" t="str">
        <v>AVAILABLE</v>
      </c>
      <c r="R96">
        <v>425000</v>
      </c>
      <c r="S96">
        <v>460000</v>
      </c>
      <c r="T96">
        <v>460000</v>
      </c>
      <c r="U96">
        <v>0</v>
      </c>
      <c r="V96">
        <v>35000</v>
      </c>
      <c r="W96">
        <v>425000</v>
      </c>
      <c r="X96">
        <v>0</v>
      </c>
      <c r="Y96">
        <v>0</v>
      </c>
      <c r="Z96">
        <v>-35000</v>
      </c>
      <c r="AA96">
        <v>45792</v>
      </c>
      <c r="AB96" t="str">
        <v>Q2 2025</v>
      </c>
      <c r="AC96">
        <v>0</v>
      </c>
      <c r="AD96">
        <v>47118</v>
      </c>
      <c r="AE96" t="str">
        <v>João Gameiro</v>
      </c>
      <c r="AF96" t="str">
        <v>Miguel Ribeiro</v>
      </c>
      <c r="AG96" t="str">
        <v>https://www.aroeiracollections.com/</v>
      </c>
      <c r="AH96" t="str">
        <v>Aroeira Collections by Missoni: Elegance inspired by iconic design, set beside the renowned PGA golf course — where luxury living meets the rhythm of the coast.</v>
      </c>
      <c r="AI96" t="str">
        <v>Gym, Spa, Condo Pool, Private Pools, Tennis &amp; Padel Courts, Outdoor Areas, Smart Home Technology, Private Parking, Reception, Missoni Interiors, PGA Golf Course</v>
      </c>
      <c r="AJ96"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96" t="str">
        <v>Ana Costa, João Favila, Pedro Domingos</v>
      </c>
      <c r="AL96" t="str">
        <v>Aroeira Collections</v>
      </c>
    </row>
    <row r="97" spans="1:38" x14ac:dyDescent="0.3">
      <c r="A97" t="str">
        <v>Aroeira - HOTEL APARTMENTS</v>
      </c>
      <c r="B97" t="str">
        <v>Center</v>
      </c>
      <c r="C97" t="str">
        <v>129A</v>
      </c>
      <c r="D97" t="str">
        <v>Herdade da Aroeira, Almada</v>
      </c>
      <c r="E97" t="str">
        <v>1-BR</v>
      </c>
      <c r="F97">
        <v>60.2</v>
      </c>
      <c r="G97">
        <v>0</v>
      </c>
      <c r="H97" t="str">
        <v>1</v>
      </c>
      <c r="I97" t="str">
        <v/>
      </c>
      <c r="J97">
        <v>3.9</v>
      </c>
      <c r="K97">
        <v>0</v>
      </c>
      <c r="L97">
        <v>0</v>
      </c>
      <c r="M97" s="79">
        <v>0</v>
      </c>
      <c r="N97">
        <v>0</v>
      </c>
      <c r="O97">
        <v>56.3</v>
      </c>
      <c r="P97">
        <v>0</v>
      </c>
      <c r="Q97" t="str">
        <v>AVAILABLE</v>
      </c>
      <c r="R97">
        <v>1245000</v>
      </c>
      <c r="S97">
        <v>1280000</v>
      </c>
      <c r="T97">
        <v>410000</v>
      </c>
      <c r="U97">
        <v>0</v>
      </c>
      <c r="V97">
        <v>35000</v>
      </c>
      <c r="W97">
        <v>375000</v>
      </c>
      <c r="X97">
        <v>0</v>
      </c>
      <c r="Y97">
        <v>0</v>
      </c>
      <c r="Z97">
        <v>-35000</v>
      </c>
      <c r="AA97">
        <v>45792</v>
      </c>
      <c r="AB97" t="str">
        <v>Q2 2025</v>
      </c>
      <c r="AC97">
        <v>0</v>
      </c>
      <c r="AD97">
        <v>47118</v>
      </c>
      <c r="AE97" t="str">
        <v>João Gameiro</v>
      </c>
      <c r="AF97" t="str">
        <v>Miguel Ribeiro</v>
      </c>
      <c r="AG97" t="str">
        <v>https://www.aroeiracollections.com/</v>
      </c>
      <c r="AH97" t="str">
        <v>Aroeira Collections by Missoni: Elegance inspired by iconic design, set beside the renowned PGA golf course — where luxury living meets the rhythm of the coast.</v>
      </c>
      <c r="AI97" t="str">
        <v>Gym, Spa, Condo Pool, Private Pools, Tennis &amp; Padel Courts, Outdoor Areas, Smart Home Technology, Private Parking, Reception, Missoni Interiors, PGA Golf Course</v>
      </c>
      <c r="AJ97"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97" t="str">
        <v>Ana Costa, João Favila, Pedro Domingos</v>
      </c>
      <c r="AL97" t="str">
        <v>Aroeira Collections</v>
      </c>
    </row>
    <row r="98" spans="1:38" x14ac:dyDescent="0.3">
      <c r="A98" t="str">
        <v>Aroeira - HOTEL APARTMENTS</v>
      </c>
      <c r="B98" t="str">
        <v>Center</v>
      </c>
      <c r="C98" t="str">
        <v>138A</v>
      </c>
      <c r="D98" t="str">
        <v>Herdade da Aroeira, Almada</v>
      </c>
      <c r="E98" t="str">
        <v>1-BR</v>
      </c>
      <c r="F98">
        <v>60.2</v>
      </c>
      <c r="G98">
        <v>0</v>
      </c>
      <c r="H98" t="str">
        <v>1</v>
      </c>
      <c r="I98" t="str">
        <v/>
      </c>
      <c r="J98">
        <v>3.9</v>
      </c>
      <c r="K98">
        <v>0</v>
      </c>
      <c r="L98">
        <v>0</v>
      </c>
      <c r="M98" s="79">
        <v>0</v>
      </c>
      <c r="N98">
        <v>0</v>
      </c>
      <c r="O98">
        <v>56.3</v>
      </c>
      <c r="P98">
        <v>0</v>
      </c>
      <c r="Q98" t="str">
        <v>AVAILABLE</v>
      </c>
      <c r="R98">
        <v>2665000</v>
      </c>
      <c r="S98">
        <v>2700000</v>
      </c>
      <c r="T98">
        <v>390000</v>
      </c>
      <c r="U98">
        <v>0</v>
      </c>
      <c r="V98">
        <v>35000</v>
      </c>
      <c r="W98">
        <v>355000</v>
      </c>
      <c r="X98">
        <v>0</v>
      </c>
      <c r="Y98">
        <v>0</v>
      </c>
      <c r="Z98">
        <v>-35000</v>
      </c>
      <c r="AA98">
        <v>45792</v>
      </c>
      <c r="AB98" t="str">
        <v>Q2 2025</v>
      </c>
      <c r="AC98">
        <v>0</v>
      </c>
      <c r="AD98">
        <v>47118</v>
      </c>
      <c r="AE98" t="str">
        <v>João Gameiro</v>
      </c>
      <c r="AF98" t="str">
        <v>Miguel Ribeiro</v>
      </c>
      <c r="AG98" t="str">
        <v>https://www.aroeiracollections.com/</v>
      </c>
      <c r="AH98" t="str">
        <v>Aroeira Collections by Missoni: Elegance inspired by iconic design, set beside the renowned PGA golf course — where luxury living meets the rhythm of the coast.</v>
      </c>
      <c r="AI98" t="str">
        <v>Gym, Spa, Condo Pool, Private Pools, Tennis &amp; Padel Courts, Outdoor Areas, Smart Home Technology, Private Parking, Reception, Missoni Interiors, PGA Golf Course</v>
      </c>
      <c r="AJ98"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98" t="str">
        <v>Ana Costa, João Favila, Pedro Domingos</v>
      </c>
      <c r="AL98" t="str">
        <v>Aroeira Collections</v>
      </c>
    </row>
    <row r="99" spans="1:38" x14ac:dyDescent="0.3">
      <c r="A99" t="str">
        <v>Aroeira - HOTEL APARTMENTS</v>
      </c>
      <c r="B99" t="str">
        <v>Center</v>
      </c>
      <c r="C99" t="str">
        <v>201B</v>
      </c>
      <c r="D99" t="str">
        <v>Herdade da Aroeira, Almada</v>
      </c>
      <c r="E99" t="str">
        <v>2-BR*</v>
      </c>
      <c r="F99">
        <v>98.7</v>
      </c>
      <c r="G99">
        <v>0</v>
      </c>
      <c r="H99" t="str">
        <v>1</v>
      </c>
      <c r="I99" t="str">
        <v/>
      </c>
      <c r="J99">
        <v>13.3</v>
      </c>
      <c r="K99">
        <v>0</v>
      </c>
      <c r="L99">
        <v>0</v>
      </c>
      <c r="M99" s="79">
        <v>0</v>
      </c>
      <c r="N99">
        <v>0</v>
      </c>
      <c r="O99">
        <v>85.4</v>
      </c>
      <c r="P99">
        <v>0</v>
      </c>
      <c r="Q99" t="str">
        <v>AVAILABLE</v>
      </c>
      <c r="R99">
        <v>595000</v>
      </c>
      <c r="S99">
        <v>640000</v>
      </c>
      <c r="T99">
        <v>640000</v>
      </c>
      <c r="U99">
        <v>0</v>
      </c>
      <c r="V99">
        <v>45000</v>
      </c>
      <c r="W99">
        <v>595000</v>
      </c>
      <c r="X99">
        <v>0</v>
      </c>
      <c r="Y99">
        <v>0</v>
      </c>
      <c r="Z99">
        <v>-45000</v>
      </c>
      <c r="AA99">
        <v>45792</v>
      </c>
      <c r="AB99" t="str">
        <v>Q2 2025</v>
      </c>
      <c r="AC99">
        <v>0</v>
      </c>
      <c r="AD99">
        <v>47118</v>
      </c>
      <c r="AE99" t="str">
        <v>João Gameiro</v>
      </c>
      <c r="AF99" t="str">
        <v>Miguel Ribeiro</v>
      </c>
      <c r="AG99" t="str">
        <v>https://www.aroeiracollections.com/</v>
      </c>
      <c r="AH99" t="str">
        <v>Aroeira Collections by Missoni: Elegance inspired by iconic design, set beside the renowned PGA golf course — where luxury living meets the rhythm of the coast.</v>
      </c>
      <c r="AI99" t="str">
        <v>Gym, Spa, Condo Pool, Private Pools, Tennis &amp; Padel Courts, Outdoor Areas, Smart Home Technology, Private Parking, Reception, Missoni Interiors, PGA Golf Course</v>
      </c>
      <c r="AJ99"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99" t="str">
        <v>Ana Costa, João Favila, Pedro Domingos</v>
      </c>
      <c r="AL99" t="str">
        <v>Aroeira Collections</v>
      </c>
    </row>
    <row r="100" spans="1:38" x14ac:dyDescent="0.3">
      <c r="A100" t="str">
        <v>Aroeira - HOTEL APARTMENTS</v>
      </c>
      <c r="B100" t="str">
        <v>Center</v>
      </c>
      <c r="C100" t="str">
        <v>202A</v>
      </c>
      <c r="D100" t="str">
        <v>Herdade da Aroeira, Almada</v>
      </c>
      <c r="E100" t="str">
        <v>1-BR</v>
      </c>
      <c r="F100">
        <v>65</v>
      </c>
      <c r="G100">
        <v>0</v>
      </c>
      <c r="H100" t="str">
        <v>1</v>
      </c>
      <c r="I100" t="str">
        <v/>
      </c>
      <c r="J100">
        <v>8.6999999999999993</v>
      </c>
      <c r="K100">
        <v>0</v>
      </c>
      <c r="L100">
        <v>0</v>
      </c>
      <c r="M100" s="79">
        <v>0</v>
      </c>
      <c r="N100">
        <v>0</v>
      </c>
      <c r="O100">
        <v>56.3</v>
      </c>
      <c r="P100">
        <v>0</v>
      </c>
      <c r="Q100" t="str">
        <v>AVAILABLE</v>
      </c>
      <c r="R100">
        <v>400000</v>
      </c>
      <c r="S100">
        <v>435000</v>
      </c>
      <c r="T100">
        <v>435000</v>
      </c>
      <c r="U100">
        <v>0</v>
      </c>
      <c r="V100">
        <v>35000</v>
      </c>
      <c r="W100">
        <v>400000</v>
      </c>
      <c r="X100">
        <v>0</v>
      </c>
      <c r="Y100">
        <v>0</v>
      </c>
      <c r="Z100">
        <v>-35000</v>
      </c>
      <c r="AA100">
        <v>45792</v>
      </c>
      <c r="AB100" t="str">
        <v>Q2 2025</v>
      </c>
      <c r="AC100">
        <v>0</v>
      </c>
      <c r="AD100">
        <v>47118</v>
      </c>
      <c r="AE100" t="str">
        <v>João Gameiro</v>
      </c>
      <c r="AF100" t="str">
        <v>Miguel Ribeiro</v>
      </c>
      <c r="AG100" t="str">
        <v>https://www.aroeiracollections.com/</v>
      </c>
      <c r="AH100" t="str">
        <v>Aroeira Collections by Missoni: Elegance inspired by iconic design, set beside the renowned PGA golf course — where luxury living meets the rhythm of the coast.</v>
      </c>
      <c r="AI100" t="str">
        <v>Gym, Spa, Condo Pool, Private Pools, Tennis &amp; Padel Courts, Outdoor Areas, Smart Home Technology, Private Parking, Reception, Missoni Interiors, PGA Golf Course</v>
      </c>
      <c r="AJ100"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00" t="str">
        <v>Ana Costa, João Favila, Pedro Domingos</v>
      </c>
      <c r="AL100" t="str">
        <v>Aroeira Collections</v>
      </c>
    </row>
    <row r="101" spans="1:38" x14ac:dyDescent="0.3">
      <c r="A101" t="str">
        <v>Aroeira - HOTEL APARTMENTS</v>
      </c>
      <c r="B101" t="str">
        <v>Center</v>
      </c>
      <c r="C101" t="str">
        <v>203A</v>
      </c>
      <c r="D101" t="str">
        <v>Herdade da Aroeira, Almada</v>
      </c>
      <c r="E101" t="str">
        <v>1-BR</v>
      </c>
      <c r="F101">
        <v>65</v>
      </c>
      <c r="G101">
        <v>0</v>
      </c>
      <c r="H101" t="str">
        <v>1</v>
      </c>
      <c r="I101" t="str">
        <v/>
      </c>
      <c r="J101">
        <v>8.6999999999999993</v>
      </c>
      <c r="K101">
        <v>0</v>
      </c>
      <c r="L101">
        <v>0</v>
      </c>
      <c r="M101" s="79">
        <v>0</v>
      </c>
      <c r="N101">
        <v>0</v>
      </c>
      <c r="O101">
        <v>56.3</v>
      </c>
      <c r="P101">
        <v>0</v>
      </c>
      <c r="Q101" t="str">
        <v>AVAILABLE</v>
      </c>
      <c r="R101">
        <v>400000</v>
      </c>
      <c r="S101">
        <v>435000</v>
      </c>
      <c r="T101">
        <v>435000</v>
      </c>
      <c r="U101">
        <v>0</v>
      </c>
      <c r="V101">
        <v>35000</v>
      </c>
      <c r="W101">
        <v>400000</v>
      </c>
      <c r="X101">
        <v>0</v>
      </c>
      <c r="Y101">
        <v>0</v>
      </c>
      <c r="Z101">
        <v>-35000</v>
      </c>
      <c r="AA101">
        <v>45792</v>
      </c>
      <c r="AB101" t="str">
        <v>Q2 2025</v>
      </c>
      <c r="AC101">
        <v>0</v>
      </c>
      <c r="AD101">
        <v>47118</v>
      </c>
      <c r="AE101" t="str">
        <v>João Gameiro</v>
      </c>
      <c r="AF101" t="str">
        <v>Miguel Ribeiro</v>
      </c>
      <c r="AG101" t="str">
        <v>https://www.aroeiracollections.com/</v>
      </c>
      <c r="AH101" t="str">
        <v>Aroeira Collections by Missoni: Elegance inspired by iconic design, set beside the renowned PGA golf course — where luxury living meets the rhythm of the coast.</v>
      </c>
      <c r="AI101" t="str">
        <v>Gym, Spa, Condo Pool, Private Pools, Tennis &amp; Padel Courts, Outdoor Areas, Smart Home Technology, Private Parking, Reception, Missoni Interiors, PGA Golf Course</v>
      </c>
      <c r="AJ101"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01" t="str">
        <v>Ana Costa, João Favila, Pedro Domingos</v>
      </c>
      <c r="AL101" t="str">
        <v>Aroeira Collections</v>
      </c>
    </row>
    <row r="102" spans="1:38" x14ac:dyDescent="0.3">
      <c r="A102" t="str">
        <v>Aroeira - HOTEL APARTMENTS</v>
      </c>
      <c r="B102" t="str">
        <v>Center</v>
      </c>
      <c r="C102" t="str">
        <v>204A</v>
      </c>
      <c r="D102" t="str">
        <v>Herdade da Aroeira, Almada</v>
      </c>
      <c r="E102" t="str">
        <v>1-BR</v>
      </c>
      <c r="F102">
        <v>65</v>
      </c>
      <c r="G102">
        <v>0</v>
      </c>
      <c r="H102" t="str">
        <v>1</v>
      </c>
      <c r="I102" t="str">
        <v/>
      </c>
      <c r="J102">
        <v>8.6999999999999993</v>
      </c>
      <c r="K102">
        <v>0</v>
      </c>
      <c r="L102">
        <v>0</v>
      </c>
      <c r="M102" s="79">
        <v>0</v>
      </c>
      <c r="N102">
        <v>0</v>
      </c>
      <c r="O102">
        <v>56.3</v>
      </c>
      <c r="P102">
        <v>0</v>
      </c>
      <c r="Q102" t="str">
        <v>AVAILABLE</v>
      </c>
      <c r="R102">
        <v>400000</v>
      </c>
      <c r="S102">
        <v>435000</v>
      </c>
      <c r="T102">
        <v>435000</v>
      </c>
      <c r="U102">
        <v>0</v>
      </c>
      <c r="V102">
        <v>35000</v>
      </c>
      <c r="W102">
        <v>400000</v>
      </c>
      <c r="X102">
        <v>0</v>
      </c>
      <c r="Y102">
        <v>0</v>
      </c>
      <c r="Z102">
        <v>-35000</v>
      </c>
      <c r="AA102">
        <v>45792</v>
      </c>
      <c r="AB102" t="str">
        <v>Q2 2025</v>
      </c>
      <c r="AC102">
        <v>0</v>
      </c>
      <c r="AD102">
        <v>47118</v>
      </c>
      <c r="AE102" t="str">
        <v>João Gameiro</v>
      </c>
      <c r="AF102" t="str">
        <v>Miguel Ribeiro</v>
      </c>
      <c r="AG102" t="str">
        <v>https://www.aroeiracollections.com/</v>
      </c>
      <c r="AH102" t="str">
        <v>Aroeira Collections by Missoni: Elegance inspired by iconic design, set beside the renowned PGA golf course — where luxury living meets the rhythm of the coast.</v>
      </c>
      <c r="AI102" t="str">
        <v>Gym, Spa, Condo Pool, Private Pools, Tennis &amp; Padel Courts, Outdoor Areas, Smart Home Technology, Private Parking, Reception, Missoni Interiors, PGA Golf Course</v>
      </c>
      <c r="AJ102"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02" t="str">
        <v>Ana Costa, João Favila, Pedro Domingos</v>
      </c>
      <c r="AL102" t="str">
        <v>Aroeira Collections</v>
      </c>
    </row>
    <row r="103" spans="1:38" x14ac:dyDescent="0.3">
      <c r="A103" t="str">
        <v>Aroeira - HOTEL APARTMENTS</v>
      </c>
      <c r="B103" t="str">
        <v>Center</v>
      </c>
      <c r="C103" t="str">
        <v>205A</v>
      </c>
      <c r="D103" t="str">
        <v>Herdade da Aroeira, Almada</v>
      </c>
      <c r="E103" t="str">
        <v>1-BR</v>
      </c>
      <c r="F103">
        <v>65</v>
      </c>
      <c r="G103">
        <v>0</v>
      </c>
      <c r="H103" t="str">
        <v>1</v>
      </c>
      <c r="I103" t="str">
        <v/>
      </c>
      <c r="J103">
        <v>8.6999999999999993</v>
      </c>
      <c r="K103">
        <v>0</v>
      </c>
      <c r="L103">
        <v>0</v>
      </c>
      <c r="M103" s="79">
        <v>0</v>
      </c>
      <c r="N103">
        <v>0</v>
      </c>
      <c r="O103">
        <v>56.3</v>
      </c>
      <c r="P103">
        <v>0</v>
      </c>
      <c r="Q103" t="str">
        <v>AVAILABLE</v>
      </c>
      <c r="R103">
        <v>400000</v>
      </c>
      <c r="S103">
        <v>435000</v>
      </c>
      <c r="T103">
        <v>435000</v>
      </c>
      <c r="U103">
        <v>0</v>
      </c>
      <c r="V103">
        <v>35000</v>
      </c>
      <c r="W103">
        <v>400000</v>
      </c>
      <c r="X103">
        <v>0</v>
      </c>
      <c r="Y103">
        <v>0</v>
      </c>
      <c r="Z103">
        <v>-35000</v>
      </c>
      <c r="AA103">
        <v>45792</v>
      </c>
      <c r="AB103" t="str">
        <v>Q2 2025</v>
      </c>
      <c r="AC103">
        <v>0</v>
      </c>
      <c r="AD103">
        <v>47118</v>
      </c>
      <c r="AE103" t="str">
        <v>João Gameiro</v>
      </c>
      <c r="AF103" t="str">
        <v>Miguel Ribeiro</v>
      </c>
      <c r="AG103" t="str">
        <v>https://www.aroeiracollections.com/</v>
      </c>
      <c r="AH103" t="str">
        <v>Aroeira Collections by Missoni: Elegance inspired by iconic design, set beside the renowned PGA golf course — where luxury living meets the rhythm of the coast.</v>
      </c>
      <c r="AI103" t="str">
        <v>Gym, Spa, Condo Pool, Private Pools, Tennis &amp; Padel Courts, Outdoor Areas, Smart Home Technology, Private Parking, Reception, Missoni Interiors, PGA Golf Course</v>
      </c>
      <c r="AJ103"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03" t="str">
        <v>Ana Costa, João Favila, Pedro Domingos</v>
      </c>
      <c r="AL103" t="str">
        <v>Aroeira Collections</v>
      </c>
    </row>
    <row r="104" spans="1:38" x14ac:dyDescent="0.3">
      <c r="A104" t="str">
        <v>Aroeira - HOTEL APARTMENTS</v>
      </c>
      <c r="B104" t="str">
        <v>Center</v>
      </c>
      <c r="C104" t="str">
        <v>206A</v>
      </c>
      <c r="D104" t="str">
        <v>Herdade da Aroeira, Almada</v>
      </c>
      <c r="E104" t="str">
        <v>1-BR</v>
      </c>
      <c r="F104">
        <v>65</v>
      </c>
      <c r="G104">
        <v>0</v>
      </c>
      <c r="H104" t="str">
        <v>1</v>
      </c>
      <c r="I104" t="str">
        <v/>
      </c>
      <c r="J104">
        <v>8.6999999999999993</v>
      </c>
      <c r="K104">
        <v>0</v>
      </c>
      <c r="L104">
        <v>0</v>
      </c>
      <c r="M104" s="79">
        <v>0</v>
      </c>
      <c r="N104">
        <v>0</v>
      </c>
      <c r="O104">
        <v>56.3</v>
      </c>
      <c r="P104">
        <v>0</v>
      </c>
      <c r="Q104" t="str">
        <v>AVAILABLE</v>
      </c>
      <c r="R104">
        <v>400000</v>
      </c>
      <c r="S104">
        <v>435000</v>
      </c>
      <c r="T104">
        <v>435000</v>
      </c>
      <c r="U104">
        <v>0</v>
      </c>
      <c r="V104">
        <v>35000</v>
      </c>
      <c r="W104">
        <v>400000</v>
      </c>
      <c r="X104">
        <v>0</v>
      </c>
      <c r="Y104">
        <v>0</v>
      </c>
      <c r="Z104">
        <v>-35000</v>
      </c>
      <c r="AA104">
        <v>45792</v>
      </c>
      <c r="AB104" t="str">
        <v>Q2 2025</v>
      </c>
      <c r="AC104">
        <v>0</v>
      </c>
      <c r="AD104">
        <v>47118</v>
      </c>
      <c r="AE104" t="str">
        <v>João Gameiro</v>
      </c>
      <c r="AF104" t="str">
        <v>Miguel Ribeiro</v>
      </c>
      <c r="AG104" t="str">
        <v>https://www.aroeiracollections.com/</v>
      </c>
      <c r="AH104" t="str">
        <v>Aroeira Collections by Missoni: Elegance inspired by iconic design, set beside the renowned PGA golf course — where luxury living meets the rhythm of the coast.</v>
      </c>
      <c r="AI104" t="str">
        <v>Gym, Spa, Condo Pool, Private Pools, Tennis &amp; Padel Courts, Outdoor Areas, Smart Home Technology, Private Parking, Reception, Missoni Interiors, PGA Golf Course</v>
      </c>
      <c r="AJ104"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04" t="str">
        <v>Ana Costa, João Favila, Pedro Domingos</v>
      </c>
      <c r="AL104" t="str">
        <v>Aroeira Collections</v>
      </c>
    </row>
    <row r="105" spans="1:38" x14ac:dyDescent="0.3">
      <c r="A105" t="str">
        <v>Aroeira - HOTEL APARTMENTS</v>
      </c>
      <c r="B105" t="str">
        <v>Center</v>
      </c>
      <c r="C105" t="str">
        <v>207A</v>
      </c>
      <c r="D105" t="str">
        <v>Herdade da Aroeira, Almada</v>
      </c>
      <c r="E105" t="str">
        <v>1-BR</v>
      </c>
      <c r="F105">
        <v>65</v>
      </c>
      <c r="G105">
        <v>0</v>
      </c>
      <c r="H105" t="str">
        <v>1</v>
      </c>
      <c r="I105" t="str">
        <v/>
      </c>
      <c r="J105">
        <v>8.6999999999999993</v>
      </c>
      <c r="K105">
        <v>0</v>
      </c>
      <c r="L105">
        <v>0</v>
      </c>
      <c r="M105" s="79">
        <v>0</v>
      </c>
      <c r="N105">
        <v>0</v>
      </c>
      <c r="O105">
        <v>56.3</v>
      </c>
      <c r="P105">
        <v>0</v>
      </c>
      <c r="Q105" t="str">
        <v>AVAILABLE</v>
      </c>
      <c r="R105">
        <v>400000</v>
      </c>
      <c r="S105">
        <v>435000</v>
      </c>
      <c r="T105">
        <v>435000</v>
      </c>
      <c r="U105">
        <v>0</v>
      </c>
      <c r="V105">
        <v>35000</v>
      </c>
      <c r="W105">
        <v>400000</v>
      </c>
      <c r="X105">
        <v>0</v>
      </c>
      <c r="Y105">
        <v>0</v>
      </c>
      <c r="Z105">
        <v>-35000</v>
      </c>
      <c r="AA105">
        <v>45792</v>
      </c>
      <c r="AB105" t="str">
        <v>Q2 2025</v>
      </c>
      <c r="AC105">
        <v>0</v>
      </c>
      <c r="AD105">
        <v>47118</v>
      </c>
      <c r="AE105" t="str">
        <v>João Gameiro</v>
      </c>
      <c r="AF105" t="str">
        <v>Miguel Ribeiro</v>
      </c>
      <c r="AG105" t="str">
        <v>https://www.aroeiracollections.com/</v>
      </c>
      <c r="AH105" t="str">
        <v>Aroeira Collections by Missoni: Elegance inspired by iconic design, set beside the renowned PGA golf course — where luxury living meets the rhythm of the coast.</v>
      </c>
      <c r="AI105" t="str">
        <v>Gym, Spa, Condo Pool, Private Pools, Tennis &amp; Padel Courts, Outdoor Areas, Smart Home Technology, Private Parking, Reception, Missoni Interiors, PGA Golf Course</v>
      </c>
      <c r="AJ105"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05" t="str">
        <v>Ana Costa, João Favila, Pedro Domingos</v>
      </c>
      <c r="AL105" t="str">
        <v>Aroeira Collections</v>
      </c>
    </row>
    <row r="106" spans="1:38" x14ac:dyDescent="0.3">
      <c r="A106" t="str">
        <v>Aroeira - HOTEL APARTMENTS</v>
      </c>
      <c r="B106" t="str">
        <v>Center</v>
      </c>
      <c r="C106" t="str">
        <v>208A</v>
      </c>
      <c r="D106" t="str">
        <v>Herdade da Aroeira, Almada</v>
      </c>
      <c r="E106" t="str">
        <v>1-BR</v>
      </c>
      <c r="F106">
        <v>65</v>
      </c>
      <c r="G106">
        <v>0</v>
      </c>
      <c r="H106" t="str">
        <v>1</v>
      </c>
      <c r="I106" t="str">
        <v/>
      </c>
      <c r="J106">
        <v>8.6999999999999993</v>
      </c>
      <c r="K106">
        <v>0</v>
      </c>
      <c r="L106">
        <v>0</v>
      </c>
      <c r="M106" s="79">
        <v>0</v>
      </c>
      <c r="N106">
        <v>0</v>
      </c>
      <c r="O106">
        <v>56.3</v>
      </c>
      <c r="P106">
        <v>0</v>
      </c>
      <c r="Q106" t="str">
        <v>AVAILABLE</v>
      </c>
      <c r="R106">
        <v>400000</v>
      </c>
      <c r="S106">
        <v>435000</v>
      </c>
      <c r="T106">
        <v>435000</v>
      </c>
      <c r="U106">
        <v>0</v>
      </c>
      <c r="V106">
        <v>35000</v>
      </c>
      <c r="W106">
        <v>400000</v>
      </c>
      <c r="X106">
        <v>0</v>
      </c>
      <c r="Y106">
        <v>0</v>
      </c>
      <c r="Z106">
        <v>-35000</v>
      </c>
      <c r="AA106">
        <v>45792</v>
      </c>
      <c r="AB106" t="str">
        <v>Q2 2025</v>
      </c>
      <c r="AC106">
        <v>0</v>
      </c>
      <c r="AD106">
        <v>47118</v>
      </c>
      <c r="AE106" t="str">
        <v>João Gameiro</v>
      </c>
      <c r="AF106" t="str">
        <v>Miguel Ribeiro</v>
      </c>
      <c r="AG106" t="str">
        <v>https://www.aroeiracollections.com/</v>
      </c>
      <c r="AH106" t="str">
        <v>Aroeira Collections by Missoni: Elegance inspired by iconic design, set beside the renowned PGA golf course — where luxury living meets the rhythm of the coast.</v>
      </c>
      <c r="AI106" t="str">
        <v>Gym, Spa, Condo Pool, Private Pools, Tennis &amp; Padel Courts, Outdoor Areas, Smart Home Technology, Private Parking, Reception, Missoni Interiors, PGA Golf Course</v>
      </c>
      <c r="AJ106"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06" t="str">
        <v>Ana Costa, João Favila, Pedro Domingos</v>
      </c>
      <c r="AL106" t="str">
        <v>Aroeira Collections</v>
      </c>
    </row>
    <row r="107" spans="1:38" x14ac:dyDescent="0.3">
      <c r="A107" t="str">
        <v>Aroeira - HOTEL APARTMENTS</v>
      </c>
      <c r="B107" t="str">
        <v>Center</v>
      </c>
      <c r="C107" t="str">
        <v>211B</v>
      </c>
      <c r="D107" t="str">
        <v>Herdade da Aroeira, Almada</v>
      </c>
      <c r="E107" t="str">
        <v>2-BR*</v>
      </c>
      <c r="F107">
        <v>98.8</v>
      </c>
      <c r="G107">
        <v>0</v>
      </c>
      <c r="H107" t="str">
        <v>1</v>
      </c>
      <c r="I107" t="str">
        <v/>
      </c>
      <c r="J107">
        <v>15.2</v>
      </c>
      <c r="K107">
        <v>0</v>
      </c>
      <c r="L107">
        <v>0</v>
      </c>
      <c r="M107" s="79">
        <v>0</v>
      </c>
      <c r="N107">
        <v>0</v>
      </c>
      <c r="O107">
        <v>83.6</v>
      </c>
      <c r="P107">
        <v>0</v>
      </c>
      <c r="Q107" t="str">
        <v>AVAILABLE</v>
      </c>
      <c r="R107">
        <v>600000</v>
      </c>
      <c r="S107">
        <v>645000</v>
      </c>
      <c r="T107">
        <v>645000</v>
      </c>
      <c r="U107">
        <v>0</v>
      </c>
      <c r="V107">
        <v>45000</v>
      </c>
      <c r="W107">
        <v>600000</v>
      </c>
      <c r="X107">
        <v>0</v>
      </c>
      <c r="Y107">
        <v>0</v>
      </c>
      <c r="Z107">
        <v>-45000</v>
      </c>
      <c r="AA107">
        <v>45792</v>
      </c>
      <c r="AB107" t="str">
        <v>Q2 2025</v>
      </c>
      <c r="AC107">
        <v>0</v>
      </c>
      <c r="AD107">
        <v>47118</v>
      </c>
      <c r="AE107" t="str">
        <v>João Gameiro</v>
      </c>
      <c r="AF107" t="str">
        <v>Miguel Ribeiro</v>
      </c>
      <c r="AG107" t="str">
        <v>https://www.aroeiracollections.com/</v>
      </c>
      <c r="AH107" t="str">
        <v>Aroeira Collections by Missoni: Elegance inspired by iconic design, set beside the renowned PGA golf course — where luxury living meets the rhythm of the coast.</v>
      </c>
      <c r="AI107" t="str">
        <v>Gym, Spa, Condo Pool, Private Pools, Tennis &amp; Padel Courts, Outdoor Areas, Smart Home Technology, Private Parking, Reception, Missoni Interiors, PGA Golf Course</v>
      </c>
      <c r="AJ107"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07" t="str">
        <v>Ana Costa, João Favila, Pedro Domingos</v>
      </c>
      <c r="AL107" t="str">
        <v>Aroeira Collections</v>
      </c>
    </row>
    <row r="108" spans="1:38" x14ac:dyDescent="0.3">
      <c r="A108" t="str">
        <v>Aroeira - HOTEL APARTMENTS</v>
      </c>
      <c r="B108" t="str">
        <v>Center</v>
      </c>
      <c r="C108" t="str">
        <v>212B</v>
      </c>
      <c r="D108" t="str">
        <v>Herdade da Aroeira, Almada</v>
      </c>
      <c r="E108" t="str">
        <v>2-BR*</v>
      </c>
      <c r="F108">
        <v>98.8</v>
      </c>
      <c r="G108">
        <v>0</v>
      </c>
      <c r="H108" t="str">
        <v>1</v>
      </c>
      <c r="I108" t="str">
        <v/>
      </c>
      <c r="J108">
        <v>15.2</v>
      </c>
      <c r="K108">
        <v>0</v>
      </c>
      <c r="L108">
        <v>0</v>
      </c>
      <c r="M108" s="79">
        <v>0</v>
      </c>
      <c r="N108">
        <v>0</v>
      </c>
      <c r="O108">
        <v>83.6</v>
      </c>
      <c r="P108">
        <v>0</v>
      </c>
      <c r="Q108" t="str">
        <v>AVAILABLE</v>
      </c>
      <c r="R108">
        <v>600000</v>
      </c>
      <c r="S108">
        <v>645000</v>
      </c>
      <c r="T108">
        <v>645000</v>
      </c>
      <c r="U108">
        <v>0</v>
      </c>
      <c r="V108">
        <v>45000</v>
      </c>
      <c r="W108">
        <v>600000</v>
      </c>
      <c r="X108">
        <v>0</v>
      </c>
      <c r="Y108">
        <v>0</v>
      </c>
      <c r="Z108">
        <v>-45000</v>
      </c>
      <c r="AA108">
        <v>45792</v>
      </c>
      <c r="AB108" t="str">
        <v>Q2 2025</v>
      </c>
      <c r="AC108">
        <v>0</v>
      </c>
      <c r="AD108">
        <v>47118</v>
      </c>
      <c r="AE108" t="str">
        <v>João Gameiro</v>
      </c>
      <c r="AF108" t="str">
        <v>Miguel Ribeiro</v>
      </c>
      <c r="AG108" t="str">
        <v>https://www.aroeiracollections.com/</v>
      </c>
      <c r="AH108" t="str">
        <v>Aroeira Collections by Missoni: Elegance inspired by iconic design, set beside the renowned PGA golf course — where luxury living meets the rhythm of the coast.</v>
      </c>
      <c r="AI108" t="str">
        <v>Gym, Spa, Condo Pool, Private Pools, Tennis &amp; Padel Courts, Outdoor Areas, Smart Home Technology, Private Parking, Reception, Missoni Interiors, PGA Golf Course</v>
      </c>
      <c r="AJ108"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08" t="str">
        <v>Ana Costa, João Favila, Pedro Domingos</v>
      </c>
      <c r="AL108" t="str">
        <v>Aroeira Collections</v>
      </c>
    </row>
    <row r="109" spans="1:38" x14ac:dyDescent="0.3">
      <c r="A109" t="str">
        <v>Aroeira - HOTEL APARTMENTS</v>
      </c>
      <c r="B109" t="str">
        <v>Center</v>
      </c>
      <c r="C109" t="str">
        <v>213B</v>
      </c>
      <c r="D109" t="str">
        <v>Herdade da Aroeira, Almada</v>
      </c>
      <c r="E109" t="str">
        <v>2-BR*</v>
      </c>
      <c r="F109">
        <v>98.8</v>
      </c>
      <c r="G109">
        <v>0</v>
      </c>
      <c r="H109" t="str">
        <v>1</v>
      </c>
      <c r="I109" t="str">
        <v/>
      </c>
      <c r="J109">
        <v>15.2</v>
      </c>
      <c r="K109">
        <v>0</v>
      </c>
      <c r="L109">
        <v>0</v>
      </c>
      <c r="M109" s="79">
        <v>0</v>
      </c>
      <c r="N109">
        <v>0</v>
      </c>
      <c r="O109">
        <v>83.6</v>
      </c>
      <c r="P109">
        <v>0</v>
      </c>
      <c r="Q109" t="str">
        <v>AVAILABLE</v>
      </c>
      <c r="R109">
        <v>600000</v>
      </c>
      <c r="S109">
        <v>645000</v>
      </c>
      <c r="T109">
        <v>645000</v>
      </c>
      <c r="U109">
        <v>0</v>
      </c>
      <c r="V109">
        <v>45000</v>
      </c>
      <c r="W109">
        <v>600000</v>
      </c>
      <c r="X109">
        <v>0</v>
      </c>
      <c r="Y109">
        <v>0</v>
      </c>
      <c r="Z109">
        <v>-45000</v>
      </c>
      <c r="AA109">
        <v>45792</v>
      </c>
      <c r="AB109" t="str">
        <v>Q2 2025</v>
      </c>
      <c r="AC109">
        <v>0</v>
      </c>
      <c r="AD109">
        <v>47118</v>
      </c>
      <c r="AE109" t="str">
        <v>João Gameiro</v>
      </c>
      <c r="AF109" t="str">
        <v>Miguel Ribeiro</v>
      </c>
      <c r="AG109" t="str">
        <v>https://www.aroeiracollections.com/</v>
      </c>
      <c r="AH109" t="str">
        <v>Aroeira Collections by Missoni: Elegance inspired by iconic design, set beside the renowned PGA golf course — where luxury living meets the rhythm of the coast.</v>
      </c>
      <c r="AI109" t="str">
        <v>Gym, Spa, Condo Pool, Private Pools, Tennis &amp; Padel Courts, Outdoor Areas, Smart Home Technology, Private Parking, Reception, Missoni Interiors, PGA Golf Course</v>
      </c>
      <c r="AJ109"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09" t="str">
        <v>Ana Costa, João Favila, Pedro Domingos</v>
      </c>
      <c r="AL109" t="str">
        <v>Aroeira Collections</v>
      </c>
    </row>
    <row r="110" spans="1:38" x14ac:dyDescent="0.3">
      <c r="A110" t="str">
        <v>Aroeira - HOTEL APARTMENTS</v>
      </c>
      <c r="B110" t="str">
        <v>Center</v>
      </c>
      <c r="C110" t="str">
        <v>214A</v>
      </c>
      <c r="D110" t="str">
        <v>Herdade da Aroeira, Almada</v>
      </c>
      <c r="E110" t="str">
        <v>1-BR</v>
      </c>
      <c r="F110">
        <v>72.5</v>
      </c>
      <c r="G110">
        <v>0</v>
      </c>
      <c r="H110" t="str">
        <v>1</v>
      </c>
      <c r="I110" t="str">
        <v/>
      </c>
      <c r="J110">
        <v>12</v>
      </c>
      <c r="K110">
        <v>0</v>
      </c>
      <c r="L110">
        <v>0</v>
      </c>
      <c r="M110" s="79">
        <v>0</v>
      </c>
      <c r="N110">
        <v>0</v>
      </c>
      <c r="O110">
        <v>60.5</v>
      </c>
      <c r="P110">
        <v>0</v>
      </c>
      <c r="Q110" t="str">
        <v>AVAILABLE</v>
      </c>
      <c r="R110">
        <v>445000</v>
      </c>
      <c r="S110">
        <v>480000</v>
      </c>
      <c r="T110">
        <v>480000</v>
      </c>
      <c r="U110">
        <v>0</v>
      </c>
      <c r="V110">
        <v>35000</v>
      </c>
      <c r="W110">
        <v>445000</v>
      </c>
      <c r="X110">
        <v>0</v>
      </c>
      <c r="Y110">
        <v>0</v>
      </c>
      <c r="Z110">
        <v>-35000</v>
      </c>
      <c r="AA110">
        <v>45792</v>
      </c>
      <c r="AB110" t="str">
        <v>Q2 2025</v>
      </c>
      <c r="AC110">
        <v>0</v>
      </c>
      <c r="AD110">
        <v>47118</v>
      </c>
      <c r="AE110" t="str">
        <v>João Gameiro</v>
      </c>
      <c r="AF110" t="str">
        <v>Miguel Ribeiro</v>
      </c>
      <c r="AG110" t="str">
        <v>https://www.aroeiracollections.com/</v>
      </c>
      <c r="AH110" t="str">
        <v>Aroeira Collections by Missoni: Elegance inspired by iconic design, set beside the renowned PGA golf course — where luxury living meets the rhythm of the coast.</v>
      </c>
      <c r="AI110" t="str">
        <v>Gym, Spa, Condo Pool, Private Pools, Tennis &amp; Padel Courts, Outdoor Areas, Smart Home Technology, Private Parking, Reception, Missoni Interiors, PGA Golf Course</v>
      </c>
      <c r="AJ110"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10" t="str">
        <v>Ana Costa, João Favila, Pedro Domingos</v>
      </c>
      <c r="AL110" t="str">
        <v>Aroeira Collections</v>
      </c>
    </row>
    <row r="111" spans="1:38" x14ac:dyDescent="0.3">
      <c r="A111" t="str">
        <v>Aroeira - HOTEL APARTMENTS</v>
      </c>
      <c r="B111" t="str">
        <v>Center</v>
      </c>
      <c r="C111" t="str">
        <v>216A</v>
      </c>
      <c r="D111" t="str">
        <v>Herdade da Aroeira, Almada</v>
      </c>
      <c r="E111" t="str">
        <v>1-BR</v>
      </c>
      <c r="F111">
        <v>65</v>
      </c>
      <c r="G111">
        <v>0</v>
      </c>
      <c r="H111" t="str">
        <v>1</v>
      </c>
      <c r="I111" t="str">
        <v/>
      </c>
      <c r="J111">
        <v>8.6999999999999993</v>
      </c>
      <c r="K111">
        <v>0</v>
      </c>
      <c r="L111">
        <v>0</v>
      </c>
      <c r="M111" s="79">
        <v>0</v>
      </c>
      <c r="N111">
        <v>0</v>
      </c>
      <c r="O111">
        <v>56.3</v>
      </c>
      <c r="P111">
        <v>0</v>
      </c>
      <c r="Q111" t="str">
        <v>AVAILABLE</v>
      </c>
      <c r="R111">
        <v>415000</v>
      </c>
      <c r="S111">
        <v>450000</v>
      </c>
      <c r="T111">
        <v>450000</v>
      </c>
      <c r="U111">
        <v>0</v>
      </c>
      <c r="V111">
        <v>35000</v>
      </c>
      <c r="W111">
        <v>415000</v>
      </c>
      <c r="X111">
        <v>0</v>
      </c>
      <c r="Y111">
        <v>0</v>
      </c>
      <c r="Z111">
        <v>-35000</v>
      </c>
      <c r="AA111">
        <v>45792</v>
      </c>
      <c r="AB111" t="str">
        <v>Q2 2025</v>
      </c>
      <c r="AC111">
        <v>0</v>
      </c>
      <c r="AD111">
        <v>47118</v>
      </c>
      <c r="AE111" t="str">
        <v>João Gameiro</v>
      </c>
      <c r="AF111" t="str">
        <v>Miguel Ribeiro</v>
      </c>
      <c r="AG111" t="str">
        <v>https://www.aroeiracollections.com/</v>
      </c>
      <c r="AH111" t="str">
        <v>Aroeira Collections by Missoni: Elegance inspired by iconic design, set beside the renowned PGA golf course — where luxury living meets the rhythm of the coast.</v>
      </c>
      <c r="AI111" t="str">
        <v>Gym, Spa, Condo Pool, Private Pools, Tennis &amp; Padel Courts, Outdoor Areas, Smart Home Technology, Private Parking, Reception, Missoni Interiors, PGA Golf Course</v>
      </c>
      <c r="AJ111"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11" t="str">
        <v>Ana Costa, João Favila, Pedro Domingos</v>
      </c>
      <c r="AL111" t="str">
        <v>Aroeira Collections</v>
      </c>
    </row>
    <row r="112" spans="1:38" x14ac:dyDescent="0.3">
      <c r="A112" t="str">
        <v>Aroeira - HOTEL APARTMENTS</v>
      </c>
      <c r="B112" t="str">
        <v>Center</v>
      </c>
      <c r="C112" t="str">
        <v>218A</v>
      </c>
      <c r="D112" t="str">
        <v>Herdade da Aroeira, Almada</v>
      </c>
      <c r="E112" t="str">
        <v>1-BR</v>
      </c>
      <c r="F112">
        <v>65</v>
      </c>
      <c r="G112">
        <v>0</v>
      </c>
      <c r="H112" t="str">
        <v>1</v>
      </c>
      <c r="I112" t="str">
        <v/>
      </c>
      <c r="J112">
        <v>8.6999999999999993</v>
      </c>
      <c r="K112">
        <v>0</v>
      </c>
      <c r="L112">
        <v>0</v>
      </c>
      <c r="M112" s="79">
        <v>0</v>
      </c>
      <c r="N112">
        <v>0</v>
      </c>
      <c r="O112">
        <v>56.3</v>
      </c>
      <c r="P112">
        <v>0</v>
      </c>
      <c r="Q112" t="str">
        <v>AVAILABLE</v>
      </c>
      <c r="R112">
        <v>415000</v>
      </c>
      <c r="S112">
        <v>450000</v>
      </c>
      <c r="T112">
        <v>450000</v>
      </c>
      <c r="U112">
        <v>0</v>
      </c>
      <c r="V112">
        <v>35000</v>
      </c>
      <c r="W112">
        <v>415000</v>
      </c>
      <c r="X112">
        <v>0</v>
      </c>
      <c r="Y112">
        <v>0</v>
      </c>
      <c r="Z112">
        <v>-35000</v>
      </c>
      <c r="AA112">
        <v>45792</v>
      </c>
      <c r="AB112" t="str">
        <v>Q2 2025</v>
      </c>
      <c r="AC112">
        <v>0</v>
      </c>
      <c r="AD112">
        <v>47118</v>
      </c>
      <c r="AE112" t="str">
        <v>João Gameiro</v>
      </c>
      <c r="AF112" t="str">
        <v>Miguel Ribeiro</v>
      </c>
      <c r="AG112" t="str">
        <v>https://www.aroeiracollections.com/</v>
      </c>
      <c r="AH112" t="str">
        <v>Aroeira Collections by Missoni: Elegance inspired by iconic design, set beside the renowned PGA golf course — where luxury living meets the rhythm of the coast.</v>
      </c>
      <c r="AI112" t="str">
        <v>Gym, Spa, Condo Pool, Private Pools, Tennis &amp; Padel Courts, Outdoor Areas, Smart Home Technology, Private Parking, Reception, Missoni Interiors, PGA Golf Course</v>
      </c>
      <c r="AJ112"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12" t="str">
        <v>Ana Costa, João Favila, Pedro Domingos</v>
      </c>
      <c r="AL112" t="str">
        <v>Aroeira Collections</v>
      </c>
    </row>
    <row r="113" spans="1:38" x14ac:dyDescent="0.3">
      <c r="A113" t="str">
        <v>Aroeira - HOTEL APARTMENTS</v>
      </c>
      <c r="B113" t="str">
        <v>Center</v>
      </c>
      <c r="C113" t="str">
        <v>219A</v>
      </c>
      <c r="D113" t="str">
        <v>Herdade da Aroeira, Almada</v>
      </c>
      <c r="E113" t="str">
        <v>1-BR</v>
      </c>
      <c r="F113">
        <v>65</v>
      </c>
      <c r="G113">
        <v>0</v>
      </c>
      <c r="H113" t="str">
        <v>1</v>
      </c>
      <c r="I113" t="str">
        <v/>
      </c>
      <c r="J113">
        <v>8.6999999999999993</v>
      </c>
      <c r="K113">
        <v>0</v>
      </c>
      <c r="L113">
        <v>0</v>
      </c>
      <c r="M113" s="79">
        <v>0</v>
      </c>
      <c r="N113">
        <v>0</v>
      </c>
      <c r="O113">
        <v>56.3</v>
      </c>
      <c r="P113">
        <v>0</v>
      </c>
      <c r="Q113" t="str">
        <v>AVAILABLE</v>
      </c>
      <c r="R113">
        <v>415000</v>
      </c>
      <c r="S113">
        <v>450000</v>
      </c>
      <c r="T113">
        <v>450000</v>
      </c>
      <c r="U113">
        <v>0</v>
      </c>
      <c r="V113">
        <v>35000</v>
      </c>
      <c r="W113">
        <v>415000</v>
      </c>
      <c r="X113">
        <v>0</v>
      </c>
      <c r="Y113">
        <v>0</v>
      </c>
      <c r="Z113">
        <v>-35000</v>
      </c>
      <c r="AA113">
        <v>45792</v>
      </c>
      <c r="AB113" t="str">
        <v>Q2 2025</v>
      </c>
      <c r="AC113">
        <v>0</v>
      </c>
      <c r="AD113">
        <v>47118</v>
      </c>
      <c r="AE113" t="str">
        <v>João Gameiro</v>
      </c>
      <c r="AF113" t="str">
        <v>Miguel Ribeiro</v>
      </c>
      <c r="AG113" t="str">
        <v>https://www.aroeiracollections.com/</v>
      </c>
      <c r="AH113" t="str">
        <v>Aroeira Collections by Missoni: Elegance inspired by iconic design, set beside the renowned PGA golf course — where luxury living meets the rhythm of the coast.</v>
      </c>
      <c r="AI113" t="str">
        <v>Gym, Spa, Condo Pool, Private Pools, Tennis &amp; Padel Courts, Outdoor Areas, Smart Home Technology, Private Parking, Reception, Missoni Interiors, PGA Golf Course</v>
      </c>
      <c r="AJ113"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13" t="str">
        <v>Ana Costa, João Favila, Pedro Domingos</v>
      </c>
      <c r="AL113" t="str">
        <v>Aroeira Collections</v>
      </c>
    </row>
    <row r="114" spans="1:38" x14ac:dyDescent="0.3">
      <c r="A114" t="str">
        <v>Aroeira - HOTEL APARTMENTS</v>
      </c>
      <c r="B114" t="str">
        <v>Center</v>
      </c>
      <c r="C114" t="str">
        <v>220A</v>
      </c>
      <c r="D114" t="str">
        <v>Herdade da Aroeira, Almada</v>
      </c>
      <c r="E114" t="str">
        <v>1-BR</v>
      </c>
      <c r="F114">
        <v>65</v>
      </c>
      <c r="G114">
        <v>0</v>
      </c>
      <c r="H114" t="str">
        <v>1</v>
      </c>
      <c r="I114" t="str">
        <v/>
      </c>
      <c r="J114">
        <v>8.6999999999999993</v>
      </c>
      <c r="K114">
        <v>0</v>
      </c>
      <c r="L114">
        <v>0</v>
      </c>
      <c r="M114" s="79">
        <v>0</v>
      </c>
      <c r="N114">
        <v>0</v>
      </c>
      <c r="O114">
        <v>56.3</v>
      </c>
      <c r="P114">
        <v>0</v>
      </c>
      <c r="Q114" t="str">
        <v>AVAILABLE</v>
      </c>
      <c r="R114">
        <v>415000</v>
      </c>
      <c r="S114">
        <v>450000</v>
      </c>
      <c r="T114">
        <v>450000</v>
      </c>
      <c r="U114">
        <v>0</v>
      </c>
      <c r="V114">
        <v>35000</v>
      </c>
      <c r="W114">
        <v>415000</v>
      </c>
      <c r="X114">
        <v>0</v>
      </c>
      <c r="Y114">
        <v>0</v>
      </c>
      <c r="Z114">
        <v>-35000</v>
      </c>
      <c r="AA114">
        <v>45792</v>
      </c>
      <c r="AB114" t="str">
        <v>Q2 2025</v>
      </c>
      <c r="AC114">
        <v>0</v>
      </c>
      <c r="AD114">
        <v>47118</v>
      </c>
      <c r="AE114" t="str">
        <v>João Gameiro</v>
      </c>
      <c r="AF114" t="str">
        <v>Miguel Ribeiro</v>
      </c>
      <c r="AG114" t="str">
        <v>https://www.aroeiracollections.com/</v>
      </c>
      <c r="AH114" t="str">
        <v>Aroeira Collections by Missoni: Elegance inspired by iconic design, set beside the renowned PGA golf course — where luxury living meets the rhythm of the coast.</v>
      </c>
      <c r="AI114" t="str">
        <v>Gym, Spa, Condo Pool, Private Pools, Tennis &amp; Padel Courts, Outdoor Areas, Smart Home Technology, Private Parking, Reception, Missoni Interiors, PGA Golf Course</v>
      </c>
      <c r="AJ114"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14" t="str">
        <v>Ana Costa, João Favila, Pedro Domingos</v>
      </c>
      <c r="AL114" t="str">
        <v>Aroeira Collections</v>
      </c>
    </row>
    <row r="115" spans="1:38" x14ac:dyDescent="0.3">
      <c r="A115" t="str">
        <v>Aroeira - HOTEL APARTMENTS</v>
      </c>
      <c r="B115" t="str">
        <v>Center</v>
      </c>
      <c r="C115" t="str">
        <v>221A</v>
      </c>
      <c r="D115" t="str">
        <v>Herdade da Aroeira, Almada</v>
      </c>
      <c r="E115" t="str">
        <v>1-BR</v>
      </c>
      <c r="F115">
        <v>65</v>
      </c>
      <c r="G115">
        <v>0</v>
      </c>
      <c r="H115" t="str">
        <v>1</v>
      </c>
      <c r="I115" t="str">
        <v/>
      </c>
      <c r="J115">
        <v>8.6999999999999993</v>
      </c>
      <c r="K115">
        <v>0</v>
      </c>
      <c r="L115">
        <v>0</v>
      </c>
      <c r="M115" s="79">
        <v>0</v>
      </c>
      <c r="N115">
        <v>0</v>
      </c>
      <c r="O115">
        <v>56.3</v>
      </c>
      <c r="P115">
        <v>0</v>
      </c>
      <c r="Q115" t="str">
        <v>AVAILABLE</v>
      </c>
      <c r="R115">
        <v>415000</v>
      </c>
      <c r="S115">
        <v>450000</v>
      </c>
      <c r="T115">
        <v>450000</v>
      </c>
      <c r="U115">
        <v>0</v>
      </c>
      <c r="V115">
        <v>35000</v>
      </c>
      <c r="W115">
        <v>415000</v>
      </c>
      <c r="X115">
        <v>0</v>
      </c>
      <c r="Y115">
        <v>0</v>
      </c>
      <c r="Z115">
        <v>-35000</v>
      </c>
      <c r="AA115">
        <v>45792</v>
      </c>
      <c r="AB115" t="str">
        <v>Q2 2025</v>
      </c>
      <c r="AC115">
        <v>0</v>
      </c>
      <c r="AD115">
        <v>47118</v>
      </c>
      <c r="AE115" t="str">
        <v>João Gameiro</v>
      </c>
      <c r="AF115" t="str">
        <v>Miguel Ribeiro</v>
      </c>
      <c r="AG115" t="str">
        <v>https://www.aroeiracollections.com/</v>
      </c>
      <c r="AH115" t="str">
        <v>Aroeira Collections by Missoni: Elegance inspired by iconic design, set beside the renowned PGA golf course — where luxury living meets the rhythm of the coast.</v>
      </c>
      <c r="AI115" t="str">
        <v>Gym, Spa, Condo Pool, Private Pools, Tennis &amp; Padel Courts, Outdoor Areas, Smart Home Technology, Private Parking, Reception, Missoni Interiors, PGA Golf Course</v>
      </c>
      <c r="AJ115"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15" t="str">
        <v>Ana Costa, João Favila, Pedro Domingos</v>
      </c>
      <c r="AL115" t="str">
        <v>Aroeira Collections</v>
      </c>
    </row>
    <row r="116" spans="1:38" x14ac:dyDescent="0.3">
      <c r="A116" t="str">
        <v>Aroeira - HOTEL APARTMENTS</v>
      </c>
      <c r="B116" t="str">
        <v>Center</v>
      </c>
      <c r="C116" t="str">
        <v>222A</v>
      </c>
      <c r="D116" t="str">
        <v>Herdade da Aroeira, Almada</v>
      </c>
      <c r="E116" t="str">
        <v>1-BR</v>
      </c>
      <c r="F116">
        <v>65</v>
      </c>
      <c r="G116">
        <v>0</v>
      </c>
      <c r="H116" t="str">
        <v>1</v>
      </c>
      <c r="I116" t="str">
        <v/>
      </c>
      <c r="J116">
        <v>8.6999999999999993</v>
      </c>
      <c r="K116">
        <v>0</v>
      </c>
      <c r="L116">
        <v>0</v>
      </c>
      <c r="M116" s="79">
        <v>0</v>
      </c>
      <c r="N116">
        <v>0</v>
      </c>
      <c r="O116">
        <v>56.3</v>
      </c>
      <c r="P116">
        <v>0</v>
      </c>
      <c r="Q116" t="str">
        <v>AVAILABLE</v>
      </c>
      <c r="R116">
        <v>415000</v>
      </c>
      <c r="S116">
        <v>450000</v>
      </c>
      <c r="T116">
        <v>450000</v>
      </c>
      <c r="U116">
        <v>0</v>
      </c>
      <c r="V116">
        <v>35000</v>
      </c>
      <c r="W116">
        <v>415000</v>
      </c>
      <c r="X116">
        <v>0</v>
      </c>
      <c r="Y116">
        <v>0</v>
      </c>
      <c r="Z116">
        <v>-35000</v>
      </c>
      <c r="AA116">
        <v>45792</v>
      </c>
      <c r="AB116" t="str">
        <v>Q2 2025</v>
      </c>
      <c r="AC116">
        <v>0</v>
      </c>
      <c r="AD116">
        <v>47118</v>
      </c>
      <c r="AE116" t="str">
        <v>João Gameiro</v>
      </c>
      <c r="AF116" t="str">
        <v>Miguel Ribeiro</v>
      </c>
      <c r="AG116" t="str">
        <v>https://www.aroeiracollections.com/</v>
      </c>
      <c r="AH116" t="str">
        <v>Aroeira Collections by Missoni: Elegance inspired by iconic design, set beside the renowned PGA golf course — where luxury living meets the rhythm of the coast.</v>
      </c>
      <c r="AI116" t="str">
        <v>Gym, Spa, Condo Pool, Private Pools, Tennis &amp; Padel Courts, Outdoor Areas, Smart Home Technology, Private Parking, Reception, Missoni Interiors, PGA Golf Course</v>
      </c>
      <c r="AJ116"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16" t="str">
        <v>Ana Costa, João Favila, Pedro Domingos</v>
      </c>
      <c r="AL116" t="str">
        <v>Aroeira Collections</v>
      </c>
    </row>
    <row r="117" spans="1:38" x14ac:dyDescent="0.3">
      <c r="A117" t="str">
        <v>Aroeira - HOTEL APARTMENTS</v>
      </c>
      <c r="B117" t="str">
        <v>Center</v>
      </c>
      <c r="C117" t="str">
        <v>223B</v>
      </c>
      <c r="D117" t="str">
        <v>Herdade da Aroeira, Almada</v>
      </c>
      <c r="E117" t="str">
        <v>2-BR*</v>
      </c>
      <c r="F117">
        <v>98.7</v>
      </c>
      <c r="G117">
        <v>0</v>
      </c>
      <c r="H117" t="str">
        <v>1</v>
      </c>
      <c r="I117" t="str">
        <v/>
      </c>
      <c r="J117">
        <v>13.3</v>
      </c>
      <c r="K117">
        <v>0</v>
      </c>
      <c r="L117">
        <v>0</v>
      </c>
      <c r="M117" s="79">
        <v>0</v>
      </c>
      <c r="N117">
        <v>0</v>
      </c>
      <c r="O117">
        <v>85.4</v>
      </c>
      <c r="P117">
        <v>0</v>
      </c>
      <c r="Q117" t="str">
        <v>AVAILABLE</v>
      </c>
      <c r="R117">
        <v>620000</v>
      </c>
      <c r="S117">
        <v>665000</v>
      </c>
      <c r="T117">
        <v>665000</v>
      </c>
      <c r="U117">
        <v>0</v>
      </c>
      <c r="V117">
        <v>45000</v>
      </c>
      <c r="W117">
        <v>620000</v>
      </c>
      <c r="X117">
        <v>0</v>
      </c>
      <c r="Y117">
        <v>0</v>
      </c>
      <c r="Z117">
        <v>-45000</v>
      </c>
      <c r="AA117">
        <v>45792</v>
      </c>
      <c r="AB117" t="str">
        <v>Q2 2025</v>
      </c>
      <c r="AC117">
        <v>0</v>
      </c>
      <c r="AD117">
        <v>47118</v>
      </c>
      <c r="AE117" t="str">
        <v>João Gameiro</v>
      </c>
      <c r="AF117" t="str">
        <v>Miguel Ribeiro</v>
      </c>
      <c r="AG117" t="str">
        <v>https://www.aroeiracollections.com/</v>
      </c>
      <c r="AH117" t="str">
        <v>Aroeira Collections by Missoni: Elegance inspired by iconic design, set beside the renowned PGA golf course — where luxury living meets the rhythm of the coast.</v>
      </c>
      <c r="AI117" t="str">
        <v>Gym, Spa, Condo Pool, Private Pools, Tennis &amp; Padel Courts, Outdoor Areas, Smart Home Technology, Private Parking, Reception, Missoni Interiors, PGA Golf Course</v>
      </c>
      <c r="AJ117"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17" t="str">
        <v>Ana Costa, João Favila, Pedro Domingos</v>
      </c>
      <c r="AL117" t="str">
        <v>Aroeira Collections</v>
      </c>
    </row>
    <row r="118" spans="1:38" x14ac:dyDescent="0.3">
      <c r="A118" t="str">
        <v>Aroeira - HOTEL APARTMENTS</v>
      </c>
      <c r="B118" t="str">
        <v>Center</v>
      </c>
      <c r="C118" t="str">
        <v>224A</v>
      </c>
      <c r="D118" t="str">
        <v>Herdade da Aroeira, Almada</v>
      </c>
      <c r="E118" t="str">
        <v>1-BR</v>
      </c>
      <c r="F118">
        <v>72.5</v>
      </c>
      <c r="G118">
        <v>0</v>
      </c>
      <c r="H118" t="str">
        <v>1</v>
      </c>
      <c r="I118" t="str">
        <v/>
      </c>
      <c r="J118">
        <v>12</v>
      </c>
      <c r="K118">
        <v>0</v>
      </c>
      <c r="L118">
        <v>0</v>
      </c>
      <c r="M118" s="79">
        <v>0</v>
      </c>
      <c r="N118">
        <v>0</v>
      </c>
      <c r="O118">
        <v>60.5</v>
      </c>
      <c r="P118">
        <v>0</v>
      </c>
      <c r="Q118" t="str">
        <v>AVAILABLE</v>
      </c>
      <c r="R118">
        <v>445000</v>
      </c>
      <c r="S118">
        <v>480000</v>
      </c>
      <c r="T118">
        <v>480000</v>
      </c>
      <c r="U118">
        <v>0</v>
      </c>
      <c r="V118">
        <v>35000</v>
      </c>
      <c r="W118">
        <v>445000</v>
      </c>
      <c r="X118">
        <v>0</v>
      </c>
      <c r="Y118">
        <v>0</v>
      </c>
      <c r="Z118">
        <v>-35000</v>
      </c>
      <c r="AA118">
        <v>45792</v>
      </c>
      <c r="AB118" t="str">
        <v>Q2 2025</v>
      </c>
      <c r="AC118">
        <v>0</v>
      </c>
      <c r="AD118">
        <v>47118</v>
      </c>
      <c r="AE118" t="str">
        <v>João Gameiro</v>
      </c>
      <c r="AF118" t="str">
        <v>Miguel Ribeiro</v>
      </c>
      <c r="AG118" t="str">
        <v>https://www.aroeiracollections.com/</v>
      </c>
      <c r="AH118" t="str">
        <v>Aroeira Collections by Missoni: Elegance inspired by iconic design, set beside the renowned PGA golf course — where luxury living meets the rhythm of the coast.</v>
      </c>
      <c r="AI118" t="str">
        <v>Gym, Spa, Condo Pool, Private Pools, Tennis &amp; Padel Courts, Outdoor Areas, Smart Home Technology, Private Parking, Reception, Missoni Interiors, PGA Golf Course</v>
      </c>
      <c r="AJ118"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18" t="str">
        <v>Ana Costa, João Favila, Pedro Domingos</v>
      </c>
      <c r="AL118" t="str">
        <v>Aroeira Collections</v>
      </c>
    </row>
    <row r="119" spans="1:38" x14ac:dyDescent="0.3">
      <c r="A119" t="str">
        <v>Aroeira - HOTEL APARTMENTS</v>
      </c>
      <c r="B119" t="str">
        <v>Center</v>
      </c>
      <c r="C119" t="str">
        <v>226B</v>
      </c>
      <c r="D119" t="str">
        <v>Herdade da Aroeira, Almada</v>
      </c>
      <c r="E119" t="str">
        <v>2-BR*</v>
      </c>
      <c r="F119">
        <v>98.8</v>
      </c>
      <c r="G119">
        <v>0</v>
      </c>
      <c r="H119" t="str">
        <v>1</v>
      </c>
      <c r="I119" t="str">
        <v/>
      </c>
      <c r="J119">
        <v>15.2</v>
      </c>
      <c r="K119">
        <v>0</v>
      </c>
      <c r="L119">
        <v>0</v>
      </c>
      <c r="M119" s="79">
        <v>0</v>
      </c>
      <c r="N119">
        <v>0</v>
      </c>
      <c r="O119">
        <v>83.6</v>
      </c>
      <c r="P119">
        <v>0</v>
      </c>
      <c r="Q119" t="str">
        <v>AVAILABLE</v>
      </c>
      <c r="R119">
        <v>600000</v>
      </c>
      <c r="S119">
        <v>645000</v>
      </c>
      <c r="T119">
        <v>645000</v>
      </c>
      <c r="U119">
        <v>0</v>
      </c>
      <c r="V119">
        <v>45000</v>
      </c>
      <c r="W119">
        <v>600000</v>
      </c>
      <c r="X119">
        <v>0</v>
      </c>
      <c r="Y119">
        <v>0</v>
      </c>
      <c r="Z119">
        <v>-45000</v>
      </c>
      <c r="AA119">
        <v>45792</v>
      </c>
      <c r="AB119" t="str">
        <v>Q2 2025</v>
      </c>
      <c r="AC119">
        <v>0</v>
      </c>
      <c r="AD119">
        <v>47118</v>
      </c>
      <c r="AE119" t="str">
        <v>João Gameiro</v>
      </c>
      <c r="AF119" t="str">
        <v>Miguel Ribeiro</v>
      </c>
      <c r="AG119" t="str">
        <v>https://www.aroeiracollections.com/</v>
      </c>
      <c r="AH119" t="str">
        <v>Aroeira Collections by Missoni: Elegance inspired by iconic design, set beside the renowned PGA golf course — where luxury living meets the rhythm of the coast.</v>
      </c>
      <c r="AI119" t="str">
        <v>Gym, Spa, Condo Pool, Private Pools, Tennis &amp; Padel Courts, Outdoor Areas, Smart Home Technology, Private Parking, Reception, Missoni Interiors, PGA Golf Course</v>
      </c>
      <c r="AJ119"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19" t="str">
        <v>Ana Costa, João Favila, Pedro Domingos</v>
      </c>
      <c r="AL119" t="str">
        <v>Aroeira Collections</v>
      </c>
    </row>
    <row r="120" spans="1:38" x14ac:dyDescent="0.3">
      <c r="A120" t="str">
        <v>Aroeira - HOTEL APARTMENTS</v>
      </c>
      <c r="B120" t="str">
        <v>Center</v>
      </c>
      <c r="C120" t="str">
        <v>227B</v>
      </c>
      <c r="D120" t="str">
        <v>Herdade da Aroeira, Almada</v>
      </c>
      <c r="E120" t="str">
        <v>2-BR*</v>
      </c>
      <c r="F120">
        <v>98.8</v>
      </c>
      <c r="G120">
        <v>0</v>
      </c>
      <c r="H120" t="str">
        <v>1</v>
      </c>
      <c r="I120" t="str">
        <v/>
      </c>
      <c r="J120">
        <v>15.2</v>
      </c>
      <c r="K120">
        <v>0</v>
      </c>
      <c r="L120">
        <v>0</v>
      </c>
      <c r="M120" s="79">
        <v>0</v>
      </c>
      <c r="N120">
        <v>0</v>
      </c>
      <c r="O120">
        <v>83.6</v>
      </c>
      <c r="P120">
        <v>0</v>
      </c>
      <c r="Q120" t="str">
        <v>AVAILABLE</v>
      </c>
      <c r="R120">
        <v>600000</v>
      </c>
      <c r="S120">
        <v>645000</v>
      </c>
      <c r="T120">
        <v>645000</v>
      </c>
      <c r="U120">
        <v>0</v>
      </c>
      <c r="V120">
        <v>45000</v>
      </c>
      <c r="W120">
        <v>600000</v>
      </c>
      <c r="X120">
        <v>0</v>
      </c>
      <c r="Y120">
        <v>0</v>
      </c>
      <c r="Z120">
        <v>-45000</v>
      </c>
      <c r="AA120">
        <v>45792</v>
      </c>
      <c r="AB120" t="str">
        <v>Q2 2025</v>
      </c>
      <c r="AC120">
        <v>0</v>
      </c>
      <c r="AD120">
        <v>47118</v>
      </c>
      <c r="AE120" t="str">
        <v>João Gameiro</v>
      </c>
      <c r="AF120" t="str">
        <v>Miguel Ribeiro</v>
      </c>
      <c r="AG120" t="str">
        <v>https://www.aroeiracollections.com/</v>
      </c>
      <c r="AH120" t="str">
        <v>Aroeira Collections by Missoni: Elegance inspired by iconic design, set beside the renowned PGA golf course — where luxury living meets the rhythm of the coast.</v>
      </c>
      <c r="AI120" t="str">
        <v>Gym, Spa, Condo Pool, Private Pools, Tennis &amp; Padel Courts, Outdoor Areas, Smart Home Technology, Private Parking, Reception, Missoni Interiors, PGA Golf Course</v>
      </c>
      <c r="AJ120"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20" t="str">
        <v>Ana Costa, João Favila, Pedro Domingos</v>
      </c>
      <c r="AL120" t="str">
        <v>Aroeira Collections</v>
      </c>
    </row>
    <row r="121" spans="1:38" x14ac:dyDescent="0.3">
      <c r="A121" t="str">
        <v>Aroeira - HOTEL APARTMENTS</v>
      </c>
      <c r="B121" t="str">
        <v>Center</v>
      </c>
      <c r="C121" t="str">
        <v>228A</v>
      </c>
      <c r="D121" t="str">
        <v>Herdade da Aroeira, Almada</v>
      </c>
      <c r="E121" t="str">
        <v>1-BR</v>
      </c>
      <c r="F121">
        <v>72.5</v>
      </c>
      <c r="G121">
        <v>0</v>
      </c>
      <c r="H121" t="str">
        <v>1</v>
      </c>
      <c r="I121" t="str">
        <v/>
      </c>
      <c r="J121">
        <v>12</v>
      </c>
      <c r="K121">
        <v>0</v>
      </c>
      <c r="L121">
        <v>0</v>
      </c>
      <c r="M121" s="79">
        <v>0</v>
      </c>
      <c r="N121">
        <v>0</v>
      </c>
      <c r="O121">
        <v>60.5</v>
      </c>
      <c r="P121">
        <v>0</v>
      </c>
      <c r="Q121" t="str">
        <v>AVAILABLE</v>
      </c>
      <c r="R121">
        <v>445000</v>
      </c>
      <c r="S121">
        <v>480000</v>
      </c>
      <c r="T121">
        <v>480000</v>
      </c>
      <c r="U121">
        <v>0</v>
      </c>
      <c r="V121">
        <v>35000</v>
      </c>
      <c r="W121">
        <v>445000</v>
      </c>
      <c r="X121">
        <v>0</v>
      </c>
      <c r="Y121">
        <v>0</v>
      </c>
      <c r="Z121">
        <v>-35000</v>
      </c>
      <c r="AA121">
        <v>45792</v>
      </c>
      <c r="AB121" t="str">
        <v>Q2 2025</v>
      </c>
      <c r="AC121">
        <v>0</v>
      </c>
      <c r="AD121">
        <v>47118</v>
      </c>
      <c r="AE121" t="str">
        <v>João Gameiro</v>
      </c>
      <c r="AF121" t="str">
        <v>Miguel Ribeiro</v>
      </c>
      <c r="AG121" t="str">
        <v>https://www.aroeiracollections.com/</v>
      </c>
      <c r="AH121" t="str">
        <v>Aroeira Collections by Missoni: Elegance inspired by iconic design, set beside the renowned PGA golf course — where luxury living meets the rhythm of the coast.</v>
      </c>
      <c r="AI121" t="str">
        <v>Gym, Spa, Condo Pool, Private Pools, Tennis &amp; Padel Courts, Outdoor Areas, Smart Home Technology, Private Parking, Reception, Missoni Interiors, PGA Golf Course</v>
      </c>
      <c r="AJ121"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21" t="str">
        <v>Ana Costa, João Favila, Pedro Domingos</v>
      </c>
      <c r="AL121" t="str">
        <v>Aroeira Collections</v>
      </c>
    </row>
    <row r="122" spans="1:38" x14ac:dyDescent="0.3">
      <c r="A122" t="str">
        <v>Aroeira - HOTEL APARTMENTS</v>
      </c>
      <c r="B122" t="str">
        <v>Center</v>
      </c>
      <c r="C122" t="str">
        <v>229A</v>
      </c>
      <c r="D122" t="str">
        <v>Herdade da Aroeira, Almada</v>
      </c>
      <c r="E122" t="str">
        <v>1-BR</v>
      </c>
      <c r="F122">
        <v>60.2</v>
      </c>
      <c r="G122">
        <v>0</v>
      </c>
      <c r="H122" t="str">
        <v>1</v>
      </c>
      <c r="I122" t="str">
        <v/>
      </c>
      <c r="J122">
        <v>3.9</v>
      </c>
      <c r="K122">
        <v>0</v>
      </c>
      <c r="L122">
        <v>0</v>
      </c>
      <c r="M122" s="79">
        <v>0</v>
      </c>
      <c r="N122">
        <v>0</v>
      </c>
      <c r="O122">
        <v>56.3</v>
      </c>
      <c r="P122">
        <v>0</v>
      </c>
      <c r="Q122" t="str">
        <v>AVAILABLE</v>
      </c>
      <c r="R122">
        <v>390000</v>
      </c>
      <c r="S122">
        <v>425000</v>
      </c>
      <c r="T122">
        <v>425000</v>
      </c>
      <c r="U122">
        <v>0</v>
      </c>
      <c r="V122">
        <v>35000</v>
      </c>
      <c r="W122">
        <v>390000</v>
      </c>
      <c r="X122">
        <v>0</v>
      </c>
      <c r="Y122">
        <v>0</v>
      </c>
      <c r="Z122">
        <v>-35000</v>
      </c>
      <c r="AA122">
        <v>45792</v>
      </c>
      <c r="AB122" t="str">
        <v>Q2 2025</v>
      </c>
      <c r="AC122">
        <v>0</v>
      </c>
      <c r="AD122">
        <v>47118</v>
      </c>
      <c r="AE122" t="str">
        <v>João Gameiro</v>
      </c>
      <c r="AF122" t="str">
        <v>Miguel Ribeiro</v>
      </c>
      <c r="AG122" t="str">
        <v>https://www.aroeiracollections.com/</v>
      </c>
      <c r="AH122" t="str">
        <v>Aroeira Collections by Missoni: Elegance inspired by iconic design, set beside the renowned PGA golf course — where luxury living meets the rhythm of the coast.</v>
      </c>
      <c r="AI122" t="str">
        <v>Gym, Spa, Condo Pool, Private Pools, Tennis &amp; Padel Courts, Outdoor Areas, Smart Home Technology, Private Parking, Reception, Missoni Interiors, PGA Golf Course</v>
      </c>
      <c r="AJ122"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22" t="str">
        <v>Ana Costa, João Favila, Pedro Domingos</v>
      </c>
      <c r="AL122" t="str">
        <v>Aroeira Collections</v>
      </c>
    </row>
    <row r="123" spans="1:38" x14ac:dyDescent="0.3">
      <c r="A123" t="str">
        <v>Aroeira - HOTEL APARTMENTS</v>
      </c>
      <c r="B123" t="str">
        <v>Center</v>
      </c>
      <c r="C123" t="str">
        <v>230A</v>
      </c>
      <c r="D123" t="str">
        <v>Herdade da Aroeira, Almada</v>
      </c>
      <c r="E123" t="str">
        <v>1-BR</v>
      </c>
      <c r="F123">
        <v>60.2</v>
      </c>
      <c r="G123">
        <v>0</v>
      </c>
      <c r="H123" t="str">
        <v>1</v>
      </c>
      <c r="I123" t="str">
        <v/>
      </c>
      <c r="J123">
        <v>3.9</v>
      </c>
      <c r="K123">
        <v>0</v>
      </c>
      <c r="L123">
        <v>0</v>
      </c>
      <c r="M123" s="79">
        <v>0</v>
      </c>
      <c r="N123">
        <v>0</v>
      </c>
      <c r="O123">
        <v>56.3</v>
      </c>
      <c r="P123">
        <v>0</v>
      </c>
      <c r="Q123" t="str">
        <v>AVAILABLE</v>
      </c>
      <c r="R123">
        <v>390000</v>
      </c>
      <c r="S123">
        <v>425000</v>
      </c>
      <c r="T123">
        <v>425000</v>
      </c>
      <c r="U123">
        <v>0</v>
      </c>
      <c r="V123">
        <v>35000</v>
      </c>
      <c r="W123">
        <v>390000</v>
      </c>
      <c r="X123">
        <v>0</v>
      </c>
      <c r="Y123">
        <v>0</v>
      </c>
      <c r="Z123">
        <v>-35000</v>
      </c>
      <c r="AA123">
        <v>45792</v>
      </c>
      <c r="AB123" t="str">
        <v>Q2 2025</v>
      </c>
      <c r="AC123">
        <v>0</v>
      </c>
      <c r="AD123">
        <v>47118</v>
      </c>
      <c r="AE123" t="str">
        <v>João Gameiro</v>
      </c>
      <c r="AF123" t="str">
        <v>Miguel Ribeiro</v>
      </c>
      <c r="AG123" t="str">
        <v>https://www.aroeiracollections.com/</v>
      </c>
      <c r="AH123" t="str">
        <v>Aroeira Collections by Missoni: Elegance inspired by iconic design, set beside the renowned PGA golf course — where luxury living meets the rhythm of the coast.</v>
      </c>
      <c r="AI123" t="str">
        <v>Gym, Spa, Condo Pool, Private Pools, Tennis &amp; Padel Courts, Outdoor Areas, Smart Home Technology, Private Parking, Reception, Missoni Interiors, PGA Golf Course</v>
      </c>
      <c r="AJ123"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23" t="str">
        <v>Ana Costa, João Favila, Pedro Domingos</v>
      </c>
      <c r="AL123" t="str">
        <v>Aroeira Collections</v>
      </c>
    </row>
    <row r="124" spans="1:38" x14ac:dyDescent="0.3">
      <c r="A124" t="str">
        <v>Aroeira - HOTEL APARTMENTS</v>
      </c>
      <c r="B124" t="str">
        <v>Center</v>
      </c>
      <c r="C124" t="str">
        <v>231A</v>
      </c>
      <c r="D124" t="str">
        <v>Herdade da Aroeira, Almada</v>
      </c>
      <c r="E124" t="str">
        <v>1-BR</v>
      </c>
      <c r="F124">
        <v>60.2</v>
      </c>
      <c r="G124">
        <v>0</v>
      </c>
      <c r="H124" t="str">
        <v>1</v>
      </c>
      <c r="I124" t="str">
        <v/>
      </c>
      <c r="J124">
        <v>3.9</v>
      </c>
      <c r="K124">
        <v>0</v>
      </c>
      <c r="L124">
        <v>0</v>
      </c>
      <c r="M124" s="79">
        <v>0</v>
      </c>
      <c r="N124">
        <v>0</v>
      </c>
      <c r="O124">
        <v>56.3</v>
      </c>
      <c r="P124">
        <v>0</v>
      </c>
      <c r="Q124" t="str">
        <v>AVAILABLE</v>
      </c>
      <c r="R124">
        <v>390000</v>
      </c>
      <c r="S124">
        <v>425000</v>
      </c>
      <c r="T124">
        <v>425000</v>
      </c>
      <c r="U124">
        <v>0</v>
      </c>
      <c r="V124">
        <v>35000</v>
      </c>
      <c r="W124">
        <v>390000</v>
      </c>
      <c r="X124">
        <v>0</v>
      </c>
      <c r="Y124">
        <v>0</v>
      </c>
      <c r="Z124">
        <v>-35000</v>
      </c>
      <c r="AA124">
        <v>45792</v>
      </c>
      <c r="AB124" t="str">
        <v>Q2 2025</v>
      </c>
      <c r="AC124">
        <v>0</v>
      </c>
      <c r="AD124">
        <v>47118</v>
      </c>
      <c r="AE124" t="str">
        <v>João Gameiro</v>
      </c>
      <c r="AF124" t="str">
        <v>Miguel Ribeiro</v>
      </c>
      <c r="AG124" t="str">
        <v>https://www.aroeiracollections.com/</v>
      </c>
      <c r="AH124" t="str">
        <v>Aroeira Collections by Missoni: Elegance inspired by iconic design, set beside the renowned PGA golf course — where luxury living meets the rhythm of the coast.</v>
      </c>
      <c r="AI124" t="str">
        <v>Gym, Spa, Condo Pool, Private Pools, Tennis &amp; Padel Courts, Outdoor Areas, Smart Home Technology, Private Parking, Reception, Missoni Interiors, PGA Golf Course</v>
      </c>
      <c r="AJ124"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24" t="str">
        <v>Ana Costa, João Favila, Pedro Domingos</v>
      </c>
      <c r="AL124" t="str">
        <v>Aroeira Collections</v>
      </c>
    </row>
    <row r="125" spans="1:38" x14ac:dyDescent="0.3">
      <c r="A125" t="str">
        <v>Aroeira - HOTEL APARTMENTS</v>
      </c>
      <c r="B125" t="str">
        <v>Center</v>
      </c>
      <c r="C125" t="str">
        <v>232A</v>
      </c>
      <c r="D125" t="str">
        <v>Herdade da Aroeira, Almada</v>
      </c>
      <c r="E125" t="str">
        <v>1-BR</v>
      </c>
      <c r="F125">
        <v>60.2</v>
      </c>
      <c r="G125">
        <v>0</v>
      </c>
      <c r="H125" t="str">
        <v>1</v>
      </c>
      <c r="I125" t="str">
        <v/>
      </c>
      <c r="J125">
        <v>3.9</v>
      </c>
      <c r="K125">
        <v>0</v>
      </c>
      <c r="L125">
        <v>0</v>
      </c>
      <c r="M125" s="79">
        <v>0</v>
      </c>
      <c r="N125">
        <v>0</v>
      </c>
      <c r="O125">
        <v>56.3</v>
      </c>
      <c r="P125">
        <v>0</v>
      </c>
      <c r="Q125" t="str">
        <v>AVAILABLE</v>
      </c>
      <c r="R125">
        <v>390000</v>
      </c>
      <c r="S125">
        <v>425000</v>
      </c>
      <c r="T125">
        <v>425000</v>
      </c>
      <c r="U125">
        <v>0</v>
      </c>
      <c r="V125">
        <v>35000</v>
      </c>
      <c r="W125">
        <v>390000</v>
      </c>
      <c r="X125">
        <v>0</v>
      </c>
      <c r="Y125">
        <v>0</v>
      </c>
      <c r="Z125">
        <v>-35000</v>
      </c>
      <c r="AA125">
        <v>45792</v>
      </c>
      <c r="AB125" t="str">
        <v>Q2 2025</v>
      </c>
      <c r="AC125">
        <v>0</v>
      </c>
      <c r="AD125">
        <v>47118</v>
      </c>
      <c r="AE125" t="str">
        <v>João Gameiro</v>
      </c>
      <c r="AF125" t="str">
        <v>Miguel Ribeiro</v>
      </c>
      <c r="AG125" t="str">
        <v>https://www.aroeiracollections.com/</v>
      </c>
      <c r="AH125" t="str">
        <v>Aroeira Collections by Missoni: Elegance inspired by iconic design, set beside the renowned PGA golf course — where luxury living meets the rhythm of the coast.</v>
      </c>
      <c r="AI125" t="str">
        <v>Gym, Spa, Condo Pool, Private Pools, Tennis &amp; Padel Courts, Outdoor Areas, Smart Home Technology, Private Parking, Reception, Missoni Interiors, PGA Golf Course</v>
      </c>
      <c r="AJ125"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25" t="str">
        <v>Ana Costa, João Favila, Pedro Domingos</v>
      </c>
      <c r="AL125" t="str">
        <v>Aroeira Collections</v>
      </c>
    </row>
    <row r="126" spans="1:38" x14ac:dyDescent="0.3">
      <c r="A126" t="str">
        <v>Aroeira - HOTEL APARTMENTS</v>
      </c>
      <c r="B126" t="str">
        <v>Center</v>
      </c>
      <c r="C126" t="str">
        <v>233A</v>
      </c>
      <c r="D126" t="str">
        <v>Herdade da Aroeira, Almada</v>
      </c>
      <c r="E126" t="str">
        <v>1-BR</v>
      </c>
      <c r="F126">
        <v>60.2</v>
      </c>
      <c r="G126">
        <v>0</v>
      </c>
      <c r="H126" t="str">
        <v>1</v>
      </c>
      <c r="I126" t="str">
        <v/>
      </c>
      <c r="J126">
        <v>3.9</v>
      </c>
      <c r="K126">
        <v>0</v>
      </c>
      <c r="L126">
        <v>0</v>
      </c>
      <c r="M126" s="79">
        <v>0</v>
      </c>
      <c r="N126">
        <v>0</v>
      </c>
      <c r="O126">
        <v>56.3</v>
      </c>
      <c r="P126">
        <v>0</v>
      </c>
      <c r="Q126" t="str">
        <v>AVAILABLE</v>
      </c>
      <c r="R126">
        <v>390000</v>
      </c>
      <c r="S126">
        <v>425000</v>
      </c>
      <c r="T126">
        <v>425000</v>
      </c>
      <c r="U126">
        <v>0</v>
      </c>
      <c r="V126">
        <v>35000</v>
      </c>
      <c r="W126">
        <v>390000</v>
      </c>
      <c r="X126">
        <v>0</v>
      </c>
      <c r="Y126">
        <v>0</v>
      </c>
      <c r="Z126">
        <v>-35000</v>
      </c>
      <c r="AA126">
        <v>45792</v>
      </c>
      <c r="AB126" t="str">
        <v>Q2 2025</v>
      </c>
      <c r="AC126">
        <v>0</v>
      </c>
      <c r="AD126">
        <v>47118</v>
      </c>
      <c r="AE126" t="str">
        <v>João Gameiro</v>
      </c>
      <c r="AF126" t="str">
        <v>Miguel Ribeiro</v>
      </c>
      <c r="AG126" t="str">
        <v>https://www.aroeiracollections.com/</v>
      </c>
      <c r="AH126" t="str">
        <v>Aroeira Collections by Missoni: Elegance inspired by iconic design, set beside the renowned PGA golf course — where luxury living meets the rhythm of the coast.</v>
      </c>
      <c r="AI126" t="str">
        <v>Gym, Spa, Condo Pool, Private Pools, Tennis &amp; Padel Courts, Outdoor Areas, Smart Home Technology, Private Parking, Reception, Missoni Interiors, PGA Golf Course</v>
      </c>
      <c r="AJ126"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26" t="str">
        <v>Ana Costa, João Favila, Pedro Domingos</v>
      </c>
      <c r="AL126" t="str">
        <v>Aroeira Collections</v>
      </c>
    </row>
    <row r="127" spans="1:38" x14ac:dyDescent="0.3">
      <c r="A127" t="str">
        <v>Aroeira - HOTEL APARTMENTS</v>
      </c>
      <c r="B127" t="str">
        <v>Center</v>
      </c>
      <c r="C127" t="str">
        <v>234A</v>
      </c>
      <c r="D127" t="str">
        <v>Herdade da Aroeira, Almada</v>
      </c>
      <c r="E127" t="str">
        <v>1-BR</v>
      </c>
      <c r="F127">
        <v>56.5</v>
      </c>
      <c r="G127">
        <v>0</v>
      </c>
      <c r="H127" t="str">
        <v>1</v>
      </c>
      <c r="I127" t="str">
        <v/>
      </c>
      <c r="J127">
        <v>5</v>
      </c>
      <c r="K127">
        <v>0</v>
      </c>
      <c r="L127">
        <v>0</v>
      </c>
      <c r="M127" s="79">
        <v>0</v>
      </c>
      <c r="N127">
        <v>0</v>
      </c>
      <c r="O127">
        <v>51.5</v>
      </c>
      <c r="P127">
        <v>0</v>
      </c>
      <c r="Q127" t="str">
        <v>AVAILABLE</v>
      </c>
      <c r="R127">
        <v>2575000</v>
      </c>
      <c r="S127">
        <v>2610000</v>
      </c>
      <c r="T127">
        <v>390000</v>
      </c>
      <c r="U127">
        <v>0</v>
      </c>
      <c r="V127">
        <v>35000</v>
      </c>
      <c r="W127">
        <v>355000</v>
      </c>
      <c r="X127">
        <v>0</v>
      </c>
      <c r="Y127">
        <v>0</v>
      </c>
      <c r="Z127">
        <v>-35000</v>
      </c>
      <c r="AA127">
        <v>45792</v>
      </c>
      <c r="AB127" t="str">
        <v>Q2 2025</v>
      </c>
      <c r="AC127">
        <v>0</v>
      </c>
      <c r="AD127">
        <v>47118</v>
      </c>
      <c r="AE127" t="str">
        <v>João Gameiro</v>
      </c>
      <c r="AF127" t="str">
        <v>Miguel Ribeiro</v>
      </c>
      <c r="AG127" t="str">
        <v>https://www.aroeiracollections.com/</v>
      </c>
      <c r="AH127" t="str">
        <v>Aroeira Collections by Missoni: Elegance inspired by iconic design, set beside the renowned PGA golf course — where luxury living meets the rhythm of the coast.</v>
      </c>
      <c r="AI127" t="str">
        <v>Gym, Spa, Condo Pool, Private Pools, Tennis &amp; Padel Courts, Outdoor Areas, Smart Home Technology, Private Parking, Reception, Missoni Interiors, PGA Golf Course</v>
      </c>
      <c r="AJ127"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27" t="str">
        <v>Ana Costa, João Favila, Pedro Domingos</v>
      </c>
      <c r="AL127" t="str">
        <v>Aroeira Collections</v>
      </c>
    </row>
    <row r="128" spans="1:38" x14ac:dyDescent="0.3">
      <c r="A128" t="str">
        <v>Aroeira - HOTEL APARTMENTS</v>
      </c>
      <c r="B128" t="str">
        <v>Center</v>
      </c>
      <c r="C128" t="str">
        <v>237A</v>
      </c>
      <c r="D128" t="str">
        <v>Herdade da Aroeira, Almada</v>
      </c>
      <c r="E128" t="str">
        <v>1-BR</v>
      </c>
      <c r="F128">
        <v>56.5</v>
      </c>
      <c r="G128">
        <v>0</v>
      </c>
      <c r="H128" t="str">
        <v>1</v>
      </c>
      <c r="I128" t="str">
        <v/>
      </c>
      <c r="J128">
        <v>5</v>
      </c>
      <c r="K128">
        <v>0</v>
      </c>
      <c r="L128">
        <v>0</v>
      </c>
      <c r="M128" s="79">
        <v>0</v>
      </c>
      <c r="N128">
        <v>0</v>
      </c>
      <c r="O128">
        <v>51.5</v>
      </c>
      <c r="P128">
        <v>0</v>
      </c>
      <c r="Q128" t="str">
        <v>AVAILABLE</v>
      </c>
      <c r="R128">
        <v>1305000</v>
      </c>
      <c r="S128">
        <v>1340000</v>
      </c>
      <c r="T128">
        <v>390000</v>
      </c>
      <c r="U128">
        <v>0</v>
      </c>
      <c r="V128">
        <v>35000</v>
      </c>
      <c r="W128">
        <v>355000</v>
      </c>
      <c r="X128">
        <v>0</v>
      </c>
      <c r="Y128">
        <v>0</v>
      </c>
      <c r="Z128">
        <v>-35000</v>
      </c>
      <c r="AA128">
        <v>45792</v>
      </c>
      <c r="AB128" t="str">
        <v>Q2 2025</v>
      </c>
      <c r="AC128">
        <v>0</v>
      </c>
      <c r="AD128">
        <v>47118</v>
      </c>
      <c r="AE128" t="str">
        <v>João Gameiro</v>
      </c>
      <c r="AF128" t="str">
        <v>Miguel Ribeiro</v>
      </c>
      <c r="AG128" t="str">
        <v>https://www.aroeiracollections.com/</v>
      </c>
      <c r="AH128" t="str">
        <v>Aroeira Collections by Missoni: Elegance inspired by iconic design, set beside the renowned PGA golf course — where luxury living meets the rhythm of the coast.</v>
      </c>
      <c r="AI128" t="str">
        <v>Gym, Spa, Condo Pool, Private Pools, Tennis &amp; Padel Courts, Outdoor Areas, Smart Home Technology, Private Parking, Reception, Missoni Interiors, PGA Golf Course</v>
      </c>
      <c r="AJ128"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28" t="str">
        <v>Ana Costa, João Favila, Pedro Domingos</v>
      </c>
      <c r="AL128" t="str">
        <v>Aroeira Collections</v>
      </c>
    </row>
    <row r="129" spans="1:38" x14ac:dyDescent="0.3">
      <c r="A129" t="str">
        <v>Aroeira - HOTEL APARTMENTS</v>
      </c>
      <c r="B129" t="str">
        <v>Center</v>
      </c>
      <c r="C129" t="str">
        <v>238A</v>
      </c>
      <c r="D129" t="str">
        <v>Herdade da Aroeira, Almada</v>
      </c>
      <c r="E129" t="str">
        <v>1-BR</v>
      </c>
      <c r="F129">
        <v>60.2</v>
      </c>
      <c r="G129">
        <v>0</v>
      </c>
      <c r="H129" t="str">
        <v>1</v>
      </c>
      <c r="I129" t="str">
        <v/>
      </c>
      <c r="J129">
        <v>3.9</v>
      </c>
      <c r="K129">
        <v>0</v>
      </c>
      <c r="L129">
        <v>0</v>
      </c>
      <c r="M129" s="79">
        <v>0</v>
      </c>
      <c r="N129">
        <v>0</v>
      </c>
      <c r="O129">
        <v>56.3</v>
      </c>
      <c r="P129">
        <v>0</v>
      </c>
      <c r="Q129" t="str">
        <v>AVAILABLE</v>
      </c>
      <c r="R129">
        <v>825000</v>
      </c>
      <c r="S129">
        <v>860000</v>
      </c>
      <c r="T129">
        <v>410000</v>
      </c>
      <c r="U129">
        <v>0</v>
      </c>
      <c r="V129">
        <v>35000</v>
      </c>
      <c r="W129">
        <v>375000</v>
      </c>
      <c r="X129">
        <v>0</v>
      </c>
      <c r="Y129">
        <v>0</v>
      </c>
      <c r="Z129">
        <v>-35000</v>
      </c>
      <c r="AA129">
        <v>45792</v>
      </c>
      <c r="AB129" t="str">
        <v>Q2 2025</v>
      </c>
      <c r="AC129">
        <v>0</v>
      </c>
      <c r="AD129">
        <v>47118</v>
      </c>
      <c r="AE129" t="str">
        <v>João Gameiro</v>
      </c>
      <c r="AF129" t="str">
        <v>Miguel Ribeiro</v>
      </c>
      <c r="AG129" t="str">
        <v>https://www.aroeiracollections.com/</v>
      </c>
      <c r="AH129" t="str">
        <v>Aroeira Collections by Missoni: Elegance inspired by iconic design, set beside the renowned PGA golf course — where luxury living meets the rhythm of the coast.</v>
      </c>
      <c r="AI129" t="str">
        <v>Gym, Spa, Condo Pool, Private Pools, Tennis &amp; Padel Courts, Outdoor Areas, Smart Home Technology, Private Parking, Reception, Missoni Interiors, PGA Golf Course</v>
      </c>
      <c r="AJ129"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29" t="str">
        <v>Ana Costa, João Favila, Pedro Domingos</v>
      </c>
      <c r="AL129" t="str">
        <v>Aroeira Collections</v>
      </c>
    </row>
    <row r="130" spans="1:38" x14ac:dyDescent="0.3">
      <c r="A130" t="str">
        <v>Aroeira - HOTEL APARTMENTS</v>
      </c>
      <c r="B130" t="str">
        <v>Center</v>
      </c>
      <c r="C130" t="str">
        <v>239A</v>
      </c>
      <c r="D130" t="str">
        <v>Herdade da Aroeira, Almada</v>
      </c>
      <c r="E130" t="str">
        <v>1-BR</v>
      </c>
      <c r="F130">
        <v>60.2</v>
      </c>
      <c r="G130">
        <v>0</v>
      </c>
      <c r="H130" t="str">
        <v>1</v>
      </c>
      <c r="I130" t="str">
        <v/>
      </c>
      <c r="J130">
        <v>3.9</v>
      </c>
      <c r="K130">
        <v>0</v>
      </c>
      <c r="L130">
        <v>0</v>
      </c>
      <c r="M130" s="79">
        <v>0</v>
      </c>
      <c r="N130">
        <v>0</v>
      </c>
      <c r="O130">
        <v>56.3</v>
      </c>
      <c r="P130">
        <v>0</v>
      </c>
      <c r="Q130" t="str">
        <v>AVAILABLE</v>
      </c>
      <c r="R130">
        <v>745000</v>
      </c>
      <c r="S130">
        <v>780000</v>
      </c>
      <c r="T130">
        <v>410000</v>
      </c>
      <c r="U130">
        <v>0</v>
      </c>
      <c r="V130">
        <v>35000</v>
      </c>
      <c r="W130">
        <v>375000</v>
      </c>
      <c r="X130">
        <v>0</v>
      </c>
      <c r="Y130">
        <v>0</v>
      </c>
      <c r="Z130">
        <v>-35000</v>
      </c>
      <c r="AA130">
        <v>45792</v>
      </c>
      <c r="AB130" t="str">
        <v>Q2 2025</v>
      </c>
      <c r="AC130">
        <v>0</v>
      </c>
      <c r="AD130">
        <v>47118</v>
      </c>
      <c r="AE130" t="str">
        <v>João Gameiro</v>
      </c>
      <c r="AF130" t="str">
        <v>Miguel Ribeiro</v>
      </c>
      <c r="AG130" t="str">
        <v>https://www.aroeiracollections.com/</v>
      </c>
      <c r="AH130" t="str">
        <v>Aroeira Collections by Missoni: Elegance inspired by iconic design, set beside the renowned PGA golf course — where luxury living meets the rhythm of the coast.</v>
      </c>
      <c r="AI130" t="str">
        <v>Gym, Spa, Condo Pool, Private Pools, Tennis &amp; Padel Courts, Outdoor Areas, Smart Home Technology, Private Parking, Reception, Missoni Interiors, PGA Golf Course</v>
      </c>
      <c r="AJ130"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30" t="str">
        <v>Ana Costa, João Favila, Pedro Domingos</v>
      </c>
      <c r="AL130" t="str">
        <v>Aroeira Collections</v>
      </c>
    </row>
    <row r="131" spans="1:38" x14ac:dyDescent="0.3">
      <c r="A131" t="str">
        <v>Aroeira - HOTEL APARTMENTS</v>
      </c>
      <c r="B131" t="str">
        <v>Center</v>
      </c>
      <c r="C131" t="str">
        <v>240A</v>
      </c>
      <c r="D131" t="str">
        <v>Herdade da Aroeira, Almada</v>
      </c>
      <c r="E131" t="str">
        <v>1-BR</v>
      </c>
      <c r="F131">
        <v>60.2</v>
      </c>
      <c r="G131">
        <v>0</v>
      </c>
      <c r="H131" t="str">
        <v>1</v>
      </c>
      <c r="I131" t="str">
        <v/>
      </c>
      <c r="J131">
        <v>3.9</v>
      </c>
      <c r="K131">
        <v>0</v>
      </c>
      <c r="L131">
        <v>0</v>
      </c>
      <c r="M131" s="79">
        <v>0</v>
      </c>
      <c r="N131">
        <v>0</v>
      </c>
      <c r="O131">
        <v>56.3</v>
      </c>
      <c r="P131">
        <v>0</v>
      </c>
      <c r="Q131" t="str">
        <v>AVAILABLE</v>
      </c>
      <c r="R131">
        <v>635000</v>
      </c>
      <c r="S131">
        <v>670000</v>
      </c>
      <c r="T131">
        <v>410000</v>
      </c>
      <c r="U131">
        <v>0</v>
      </c>
      <c r="V131">
        <v>35000</v>
      </c>
      <c r="W131">
        <v>375000</v>
      </c>
      <c r="X131">
        <v>0</v>
      </c>
      <c r="Y131">
        <v>0</v>
      </c>
      <c r="Z131">
        <v>-35000</v>
      </c>
      <c r="AA131">
        <v>45792</v>
      </c>
      <c r="AB131" t="str">
        <v>Q2 2025</v>
      </c>
      <c r="AC131">
        <v>0</v>
      </c>
      <c r="AD131">
        <v>47118</v>
      </c>
      <c r="AE131" t="str">
        <v>João Gameiro</v>
      </c>
      <c r="AF131" t="str">
        <v>Miguel Ribeiro</v>
      </c>
      <c r="AG131" t="str">
        <v>https://www.aroeiracollections.com/</v>
      </c>
      <c r="AH131" t="str">
        <v>Aroeira Collections by Missoni: Elegance inspired by iconic design, set beside the renowned PGA golf course — where luxury living meets the rhythm of the coast.</v>
      </c>
      <c r="AI131" t="str">
        <v>Gym, Spa, Condo Pool, Private Pools, Tennis &amp; Padel Courts, Outdoor Areas, Smart Home Technology, Private Parking, Reception, Missoni Interiors, PGA Golf Course</v>
      </c>
      <c r="AJ131"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31" t="str">
        <v>Ana Costa, João Favila, Pedro Domingos</v>
      </c>
      <c r="AL131" t="str">
        <v>Aroeira Collections</v>
      </c>
    </row>
    <row r="132" spans="1:38" x14ac:dyDescent="0.3">
      <c r="A132" t="str">
        <v>Aroeira - HOTEL APARTMENTS</v>
      </c>
      <c r="B132" t="str">
        <v>Center</v>
      </c>
      <c r="C132" t="str">
        <v>241A</v>
      </c>
      <c r="D132" t="str">
        <v>Herdade da Aroeira, Almada</v>
      </c>
      <c r="E132" t="str">
        <v>1-BR</v>
      </c>
      <c r="F132">
        <v>60.2</v>
      </c>
      <c r="G132">
        <v>0</v>
      </c>
      <c r="H132" t="str">
        <v>1</v>
      </c>
      <c r="I132" t="str">
        <v/>
      </c>
      <c r="J132">
        <v>3.9</v>
      </c>
      <c r="K132">
        <v>0</v>
      </c>
      <c r="L132">
        <v>0</v>
      </c>
      <c r="M132" s="79">
        <v>0</v>
      </c>
      <c r="N132">
        <v>0</v>
      </c>
      <c r="O132">
        <v>56.3</v>
      </c>
      <c r="P132">
        <v>0</v>
      </c>
      <c r="Q132" t="str">
        <v>AVAILABLE</v>
      </c>
      <c r="R132">
        <v>1005000</v>
      </c>
      <c r="S132">
        <v>1040000</v>
      </c>
      <c r="T132">
        <v>410000</v>
      </c>
      <c r="U132">
        <v>0</v>
      </c>
      <c r="V132">
        <v>35000</v>
      </c>
      <c r="W132">
        <v>375000</v>
      </c>
      <c r="X132">
        <v>0</v>
      </c>
      <c r="Y132">
        <v>0</v>
      </c>
      <c r="Z132">
        <v>-35000</v>
      </c>
      <c r="AA132">
        <v>45792</v>
      </c>
      <c r="AB132" t="str">
        <v>Q2 2025</v>
      </c>
      <c r="AC132">
        <v>0</v>
      </c>
      <c r="AD132">
        <v>47118</v>
      </c>
      <c r="AE132" t="str">
        <v>João Gameiro</v>
      </c>
      <c r="AF132" t="str">
        <v>Miguel Ribeiro</v>
      </c>
      <c r="AG132" t="str">
        <v>https://www.aroeiracollections.com/</v>
      </c>
      <c r="AH132" t="str">
        <v>Aroeira Collections by Missoni: Elegance inspired by iconic design, set beside the renowned PGA golf course — where luxury living meets the rhythm of the coast.</v>
      </c>
      <c r="AI132" t="str">
        <v>Gym, Spa, Condo Pool, Private Pools, Tennis &amp; Padel Courts, Outdoor Areas, Smart Home Technology, Private Parking, Reception, Missoni Interiors, PGA Golf Course</v>
      </c>
      <c r="AJ132"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32" t="str">
        <v>Ana Costa, João Favila, Pedro Domingos</v>
      </c>
      <c r="AL132" t="str">
        <v>Aroeira Collections</v>
      </c>
    </row>
    <row r="133" spans="1:38" x14ac:dyDescent="0.3">
      <c r="A133" t="str">
        <v>Aroeira - HOTEL APARTMENTS</v>
      </c>
      <c r="B133" t="str">
        <v>Center</v>
      </c>
      <c r="C133" t="str">
        <v>242A</v>
      </c>
      <c r="D133" t="str">
        <v>Herdade da Aroeira, Almada</v>
      </c>
      <c r="E133" t="str">
        <v>1-BR</v>
      </c>
      <c r="F133">
        <v>60.2</v>
      </c>
      <c r="G133">
        <v>0</v>
      </c>
      <c r="H133" t="str">
        <v>1</v>
      </c>
      <c r="I133" t="str">
        <v/>
      </c>
      <c r="J133">
        <v>3.9</v>
      </c>
      <c r="K133">
        <v>0</v>
      </c>
      <c r="L133">
        <v>0</v>
      </c>
      <c r="M133" s="79">
        <v>0</v>
      </c>
      <c r="N133">
        <v>0</v>
      </c>
      <c r="O133">
        <v>56.3</v>
      </c>
      <c r="P133">
        <v>0</v>
      </c>
      <c r="Q133" t="str">
        <v>AVAILABLE</v>
      </c>
      <c r="R133">
        <v>715000</v>
      </c>
      <c r="S133">
        <v>750000</v>
      </c>
      <c r="T133">
        <v>410000</v>
      </c>
      <c r="U133">
        <v>0</v>
      </c>
      <c r="V133">
        <v>35000</v>
      </c>
      <c r="W133">
        <v>375000</v>
      </c>
      <c r="X133">
        <v>0</v>
      </c>
      <c r="Y133">
        <v>0</v>
      </c>
      <c r="Z133">
        <v>-35000</v>
      </c>
      <c r="AA133">
        <v>45792</v>
      </c>
      <c r="AB133" t="str">
        <v>Q2 2025</v>
      </c>
      <c r="AC133">
        <v>0</v>
      </c>
      <c r="AD133">
        <v>47118</v>
      </c>
      <c r="AE133" t="str">
        <v>João Gameiro</v>
      </c>
      <c r="AF133" t="str">
        <v>Miguel Ribeiro</v>
      </c>
      <c r="AG133" t="str">
        <v>https://www.aroeiracollections.com/</v>
      </c>
      <c r="AH133" t="str">
        <v>Aroeira Collections by Missoni: Elegance inspired by iconic design, set beside the renowned PGA golf course — where luxury living meets the rhythm of the coast.</v>
      </c>
      <c r="AI133" t="str">
        <v>Gym, Spa, Condo Pool, Private Pools, Tennis &amp; Padel Courts, Outdoor Areas, Smart Home Technology, Private Parking, Reception, Missoni Interiors, PGA Golf Course</v>
      </c>
      <c r="AJ133"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33" t="str">
        <v>Ana Costa, João Favila, Pedro Domingos</v>
      </c>
      <c r="AL133" t="str">
        <v>Aroeira Collections</v>
      </c>
    </row>
    <row r="134" spans="1:38" x14ac:dyDescent="0.3">
      <c r="A134" t="str">
        <v>Aroeira - HOTEL APARTMENTS</v>
      </c>
      <c r="B134" t="str">
        <v>Center</v>
      </c>
      <c r="C134" t="str">
        <v>243A</v>
      </c>
      <c r="D134" t="str">
        <v>Herdade da Aroeira, Almada</v>
      </c>
      <c r="E134" t="str">
        <v>1-BR</v>
      </c>
      <c r="F134">
        <v>56.5</v>
      </c>
      <c r="G134">
        <v>0</v>
      </c>
      <c r="H134" t="str">
        <v>1</v>
      </c>
      <c r="I134" t="str">
        <v/>
      </c>
      <c r="J134">
        <v>5</v>
      </c>
      <c r="K134">
        <v>0</v>
      </c>
      <c r="L134">
        <v>0</v>
      </c>
      <c r="M134" s="79">
        <v>0</v>
      </c>
      <c r="N134">
        <v>0</v>
      </c>
      <c r="O134">
        <v>51.5</v>
      </c>
      <c r="P134">
        <v>0</v>
      </c>
      <c r="Q134" t="str">
        <v>AVAILABLE</v>
      </c>
      <c r="R134">
        <v>715000</v>
      </c>
      <c r="S134">
        <v>750000</v>
      </c>
      <c r="T134">
        <v>390000</v>
      </c>
      <c r="U134">
        <v>0</v>
      </c>
      <c r="V134">
        <v>35000</v>
      </c>
      <c r="W134">
        <v>355000</v>
      </c>
      <c r="X134">
        <v>0</v>
      </c>
      <c r="Y134">
        <v>0</v>
      </c>
      <c r="Z134">
        <v>-35000</v>
      </c>
      <c r="AA134">
        <v>45792</v>
      </c>
      <c r="AB134" t="str">
        <v>Q2 2025</v>
      </c>
      <c r="AC134">
        <v>0</v>
      </c>
      <c r="AD134">
        <v>47118</v>
      </c>
      <c r="AE134" t="str">
        <v>João Gameiro</v>
      </c>
      <c r="AF134" t="str">
        <v>Miguel Ribeiro</v>
      </c>
      <c r="AG134" t="str">
        <v>https://www.aroeiracollections.com/</v>
      </c>
      <c r="AH134" t="str">
        <v>Aroeira Collections by Missoni: Elegance inspired by iconic design, set beside the renowned PGA golf course — where luxury living meets the rhythm of the coast.</v>
      </c>
      <c r="AI134" t="str">
        <v>Gym, Spa, Condo Pool, Private Pools, Tennis &amp; Padel Courts, Outdoor Areas, Smart Home Technology, Private Parking, Reception, Missoni Interiors, PGA Golf Course</v>
      </c>
      <c r="AJ134"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34" t="str">
        <v>Ana Costa, João Favila, Pedro Domingos</v>
      </c>
      <c r="AL134" t="str">
        <v>Aroeira Collections</v>
      </c>
    </row>
    <row r="135" spans="1:38" x14ac:dyDescent="0.3">
      <c r="A135" t="str">
        <v>Aroeira - HOTEL APARTMENTS</v>
      </c>
      <c r="B135" t="str">
        <v>Center</v>
      </c>
      <c r="C135" t="str">
        <v>244A</v>
      </c>
      <c r="D135" t="str">
        <v>Herdade da Aroeira, Almada</v>
      </c>
      <c r="E135" t="str">
        <v>1-BR</v>
      </c>
      <c r="F135">
        <v>56.5</v>
      </c>
      <c r="G135">
        <v>0</v>
      </c>
      <c r="H135" t="str">
        <v>1</v>
      </c>
      <c r="I135" t="str">
        <v/>
      </c>
      <c r="J135">
        <v>5</v>
      </c>
      <c r="K135">
        <v>0</v>
      </c>
      <c r="L135">
        <v>0</v>
      </c>
      <c r="M135" s="79">
        <v>0</v>
      </c>
      <c r="N135">
        <v>0</v>
      </c>
      <c r="O135">
        <v>51.5</v>
      </c>
      <c r="P135">
        <v>0</v>
      </c>
      <c r="Q135" t="str">
        <v>AVAILABLE</v>
      </c>
      <c r="R135">
        <v>865000</v>
      </c>
      <c r="S135">
        <v>900000</v>
      </c>
      <c r="T135">
        <v>390000</v>
      </c>
      <c r="U135">
        <v>0</v>
      </c>
      <c r="V135">
        <v>35000</v>
      </c>
      <c r="W135">
        <v>355000</v>
      </c>
      <c r="X135">
        <v>0</v>
      </c>
      <c r="Y135">
        <v>0</v>
      </c>
      <c r="Z135">
        <v>-35000</v>
      </c>
      <c r="AA135">
        <v>45792</v>
      </c>
      <c r="AB135" t="str">
        <v>Q2 2025</v>
      </c>
      <c r="AC135">
        <v>0</v>
      </c>
      <c r="AD135">
        <v>47118</v>
      </c>
      <c r="AE135" t="str">
        <v>João Gameiro</v>
      </c>
      <c r="AF135" t="str">
        <v>Miguel Ribeiro</v>
      </c>
      <c r="AG135" t="str">
        <v>https://www.aroeiracollections.com/</v>
      </c>
      <c r="AH135" t="str">
        <v>Aroeira Collections by Missoni: Elegance inspired by iconic design, set beside the renowned PGA golf course — where luxury living meets the rhythm of the coast.</v>
      </c>
      <c r="AI135" t="str">
        <v>Gym, Spa, Condo Pool, Private Pools, Tennis &amp; Padel Courts, Outdoor Areas, Smart Home Technology, Private Parking, Reception, Missoni Interiors, PGA Golf Course</v>
      </c>
      <c r="AJ135"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35" t="str">
        <v>Ana Costa, João Favila, Pedro Domingos</v>
      </c>
      <c r="AL135" t="str">
        <v>Aroeira Collections</v>
      </c>
    </row>
    <row r="136" spans="1:38" x14ac:dyDescent="0.3">
      <c r="A136" t="str">
        <v>Aroeira - HOTEL APARTMENTS</v>
      </c>
      <c r="B136" t="str">
        <v>Center</v>
      </c>
      <c r="C136" t="str">
        <v>245A</v>
      </c>
      <c r="D136" t="str">
        <v>Herdade da Aroeira, Almada</v>
      </c>
      <c r="E136" t="str">
        <v>1-BR</v>
      </c>
      <c r="F136">
        <v>56.5</v>
      </c>
      <c r="G136">
        <v>0</v>
      </c>
      <c r="H136" t="str">
        <v>1</v>
      </c>
      <c r="I136" t="str">
        <v/>
      </c>
      <c r="J136">
        <v>5</v>
      </c>
      <c r="K136">
        <v>0</v>
      </c>
      <c r="L136">
        <v>0</v>
      </c>
      <c r="M136" s="79">
        <v>0</v>
      </c>
      <c r="N136">
        <v>0</v>
      </c>
      <c r="O136">
        <v>51.5</v>
      </c>
      <c r="P136">
        <v>0</v>
      </c>
      <c r="Q136" t="str">
        <v>AVAILABLE</v>
      </c>
      <c r="R136">
        <v>965000</v>
      </c>
      <c r="S136">
        <v>1000000</v>
      </c>
      <c r="T136">
        <v>390000</v>
      </c>
      <c r="U136">
        <v>0</v>
      </c>
      <c r="V136">
        <v>35000</v>
      </c>
      <c r="W136">
        <v>355000</v>
      </c>
      <c r="X136">
        <v>0</v>
      </c>
      <c r="Y136">
        <v>0</v>
      </c>
      <c r="Z136">
        <v>-35000</v>
      </c>
      <c r="AA136">
        <v>45792</v>
      </c>
      <c r="AB136" t="str">
        <v>Q2 2025</v>
      </c>
      <c r="AC136">
        <v>0</v>
      </c>
      <c r="AD136">
        <v>47118</v>
      </c>
      <c r="AE136" t="str">
        <v>João Gameiro</v>
      </c>
      <c r="AF136" t="str">
        <v>Miguel Ribeiro</v>
      </c>
      <c r="AG136" t="str">
        <v>https://www.aroeiracollections.com/</v>
      </c>
      <c r="AH136" t="str">
        <v>Aroeira Collections by Missoni: Elegance inspired by iconic design, set beside the renowned PGA golf course — where luxury living meets the rhythm of the coast.</v>
      </c>
      <c r="AI136" t="str">
        <v>Gym, Spa, Condo Pool, Private Pools, Tennis &amp; Padel Courts, Outdoor Areas, Smart Home Technology, Private Parking, Reception, Missoni Interiors, PGA Golf Course</v>
      </c>
      <c r="AJ136"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36" t="str">
        <v>Ana Costa, João Favila, Pedro Domingos</v>
      </c>
      <c r="AL136" t="str">
        <v>Aroeira Collections</v>
      </c>
    </row>
    <row r="137" spans="1:38" x14ac:dyDescent="0.3">
      <c r="A137" t="str">
        <v>Aroeira - HOTEL APARTMENTS</v>
      </c>
      <c r="B137" t="str">
        <v>Center</v>
      </c>
      <c r="C137" t="str">
        <v>246A</v>
      </c>
      <c r="D137" t="str">
        <v>Herdade da Aroeira, Almada</v>
      </c>
      <c r="E137" t="str">
        <v>1-BR</v>
      </c>
      <c r="F137">
        <v>56.5</v>
      </c>
      <c r="G137">
        <v>0</v>
      </c>
      <c r="H137" t="str">
        <v>1</v>
      </c>
      <c r="I137" t="str">
        <v/>
      </c>
      <c r="J137">
        <v>5</v>
      </c>
      <c r="K137">
        <v>0</v>
      </c>
      <c r="L137">
        <v>0</v>
      </c>
      <c r="M137" s="79">
        <v>0</v>
      </c>
      <c r="N137">
        <v>0</v>
      </c>
      <c r="O137">
        <v>51.5</v>
      </c>
      <c r="P137">
        <v>0</v>
      </c>
      <c r="Q137" t="str">
        <v>AVAILABLE</v>
      </c>
      <c r="R137">
        <v>825000</v>
      </c>
      <c r="S137">
        <v>860000</v>
      </c>
      <c r="T137">
        <v>390000</v>
      </c>
      <c r="U137">
        <v>0</v>
      </c>
      <c r="V137">
        <v>35000</v>
      </c>
      <c r="W137">
        <v>355000</v>
      </c>
      <c r="X137">
        <v>0</v>
      </c>
      <c r="Y137">
        <v>0</v>
      </c>
      <c r="Z137">
        <v>-35000</v>
      </c>
      <c r="AA137">
        <v>45792</v>
      </c>
      <c r="AB137" t="str">
        <v>Q2 2025</v>
      </c>
      <c r="AC137">
        <v>0</v>
      </c>
      <c r="AD137">
        <v>47118</v>
      </c>
      <c r="AE137" t="str">
        <v>João Gameiro</v>
      </c>
      <c r="AF137" t="str">
        <v>Miguel Ribeiro</v>
      </c>
      <c r="AG137" t="str">
        <v>https://www.aroeiracollections.com/</v>
      </c>
      <c r="AH137" t="str">
        <v>Aroeira Collections by Missoni: Elegance inspired by iconic design, set beside the renowned PGA golf course — where luxury living meets the rhythm of the coast.</v>
      </c>
      <c r="AI137" t="str">
        <v>Gym, Spa, Condo Pool, Private Pools, Tennis &amp; Padel Courts, Outdoor Areas, Smart Home Technology, Private Parking, Reception, Missoni Interiors, PGA Golf Course</v>
      </c>
      <c r="AJ137"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37" t="str">
        <v>Ana Costa, João Favila, Pedro Domingos</v>
      </c>
      <c r="AL137" t="str">
        <v>Aroeira Collections</v>
      </c>
    </row>
    <row r="138" spans="1:38" x14ac:dyDescent="0.3">
      <c r="A138" t="str">
        <v>Aroeira - HOTEL APARTMENTS</v>
      </c>
      <c r="B138" t="str">
        <v>Center</v>
      </c>
      <c r="C138" t="str">
        <v>302A</v>
      </c>
      <c r="D138" t="str">
        <v>Herdade da Aroeira, Almada</v>
      </c>
      <c r="E138" t="str">
        <v>1-BR</v>
      </c>
      <c r="F138">
        <v>65</v>
      </c>
      <c r="G138">
        <v>0</v>
      </c>
      <c r="H138" t="str">
        <v>1</v>
      </c>
      <c r="I138" t="str">
        <v/>
      </c>
      <c r="J138">
        <v>8.6999999999999993</v>
      </c>
      <c r="K138">
        <v>0</v>
      </c>
      <c r="L138">
        <v>0</v>
      </c>
      <c r="M138" s="79">
        <v>0</v>
      </c>
      <c r="N138">
        <v>0</v>
      </c>
      <c r="O138">
        <v>56.3</v>
      </c>
      <c r="P138">
        <v>0</v>
      </c>
      <c r="Q138" t="str">
        <v>AVAILABLE</v>
      </c>
      <c r="R138">
        <v>415000</v>
      </c>
      <c r="S138">
        <v>450000</v>
      </c>
      <c r="T138">
        <v>450000</v>
      </c>
      <c r="U138">
        <v>0</v>
      </c>
      <c r="V138">
        <v>35000</v>
      </c>
      <c r="W138">
        <v>415000</v>
      </c>
      <c r="X138">
        <v>0</v>
      </c>
      <c r="Y138">
        <v>0</v>
      </c>
      <c r="Z138">
        <v>-35000</v>
      </c>
      <c r="AA138">
        <v>45792</v>
      </c>
      <c r="AB138" t="str">
        <v>Q2 2025</v>
      </c>
      <c r="AC138">
        <v>0</v>
      </c>
      <c r="AD138">
        <v>47118</v>
      </c>
      <c r="AE138" t="str">
        <v>João Gameiro</v>
      </c>
      <c r="AF138" t="str">
        <v>Miguel Ribeiro</v>
      </c>
      <c r="AG138" t="str">
        <v>https://www.aroeiracollections.com/</v>
      </c>
      <c r="AH138" t="str">
        <v>Aroeira Collections by Missoni: Elegance inspired by iconic design, set beside the renowned PGA golf course — where luxury living meets the rhythm of the coast.</v>
      </c>
      <c r="AI138" t="str">
        <v>Gym, Spa, Condo Pool, Private Pools, Tennis &amp; Padel Courts, Outdoor Areas, Smart Home Technology, Private Parking, Reception, Missoni Interiors, PGA Golf Course</v>
      </c>
      <c r="AJ138"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38" t="str">
        <v>Ana Costa, João Favila, Pedro Domingos</v>
      </c>
      <c r="AL138" t="str">
        <v>Aroeira Collections</v>
      </c>
    </row>
    <row r="139" spans="1:38" x14ac:dyDescent="0.3">
      <c r="A139" t="str">
        <v>Aroeira - HOTEL APARTMENTS</v>
      </c>
      <c r="B139" t="str">
        <v>Center</v>
      </c>
      <c r="C139" t="str">
        <v>303A</v>
      </c>
      <c r="D139" t="str">
        <v>Herdade da Aroeira, Almada</v>
      </c>
      <c r="E139" t="str">
        <v>1-BR</v>
      </c>
      <c r="F139">
        <v>65</v>
      </c>
      <c r="G139">
        <v>0</v>
      </c>
      <c r="H139" t="str">
        <v>1</v>
      </c>
      <c r="I139" t="str">
        <v/>
      </c>
      <c r="J139">
        <v>8.6999999999999993</v>
      </c>
      <c r="K139">
        <v>0</v>
      </c>
      <c r="L139">
        <v>0</v>
      </c>
      <c r="M139" s="79">
        <v>0</v>
      </c>
      <c r="N139">
        <v>0</v>
      </c>
      <c r="O139">
        <v>56.3</v>
      </c>
      <c r="P139">
        <v>0</v>
      </c>
      <c r="Q139" t="str">
        <v>AVAILABLE</v>
      </c>
      <c r="R139">
        <v>415000</v>
      </c>
      <c r="S139">
        <v>450000</v>
      </c>
      <c r="T139">
        <v>450000</v>
      </c>
      <c r="U139">
        <v>0</v>
      </c>
      <c r="V139">
        <v>35000</v>
      </c>
      <c r="W139">
        <v>415000</v>
      </c>
      <c r="X139">
        <v>0</v>
      </c>
      <c r="Y139">
        <v>0</v>
      </c>
      <c r="Z139">
        <v>-35000</v>
      </c>
      <c r="AA139">
        <v>45792</v>
      </c>
      <c r="AB139" t="str">
        <v>Q2 2025</v>
      </c>
      <c r="AC139">
        <v>0</v>
      </c>
      <c r="AD139">
        <v>47118</v>
      </c>
      <c r="AE139" t="str">
        <v>João Gameiro</v>
      </c>
      <c r="AF139" t="str">
        <v>Miguel Ribeiro</v>
      </c>
      <c r="AG139" t="str">
        <v>https://www.aroeiracollections.com/</v>
      </c>
      <c r="AH139" t="str">
        <v>Aroeira Collections by Missoni: Elegance inspired by iconic design, set beside the renowned PGA golf course — where luxury living meets the rhythm of the coast.</v>
      </c>
      <c r="AI139" t="str">
        <v>Gym, Spa, Condo Pool, Private Pools, Tennis &amp; Padel Courts, Outdoor Areas, Smart Home Technology, Private Parking, Reception, Missoni Interiors, PGA Golf Course</v>
      </c>
      <c r="AJ139"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39" t="str">
        <v>Ana Costa, João Favila, Pedro Domingos</v>
      </c>
      <c r="AL139" t="str">
        <v>Aroeira Collections</v>
      </c>
    </row>
    <row r="140" spans="1:38" x14ac:dyDescent="0.3">
      <c r="A140" t="str">
        <v>Aroeira - HOTEL APARTMENTS</v>
      </c>
      <c r="B140" t="str">
        <v>Center</v>
      </c>
      <c r="C140" t="str">
        <v>304A</v>
      </c>
      <c r="D140" t="str">
        <v>Herdade da Aroeira, Almada</v>
      </c>
      <c r="E140" t="str">
        <v>1-BR</v>
      </c>
      <c r="F140">
        <v>65</v>
      </c>
      <c r="G140">
        <v>0</v>
      </c>
      <c r="H140" t="str">
        <v>1</v>
      </c>
      <c r="I140" t="str">
        <v/>
      </c>
      <c r="J140">
        <v>8.6999999999999993</v>
      </c>
      <c r="K140">
        <v>0</v>
      </c>
      <c r="L140">
        <v>0</v>
      </c>
      <c r="M140" s="79">
        <v>0</v>
      </c>
      <c r="N140">
        <v>0</v>
      </c>
      <c r="O140">
        <v>56.3</v>
      </c>
      <c r="P140">
        <v>0</v>
      </c>
      <c r="Q140" t="str">
        <v>AVAILABLE</v>
      </c>
      <c r="R140">
        <v>415000</v>
      </c>
      <c r="S140">
        <v>450000</v>
      </c>
      <c r="T140">
        <v>450000</v>
      </c>
      <c r="U140">
        <v>0</v>
      </c>
      <c r="V140">
        <v>35000</v>
      </c>
      <c r="W140">
        <v>415000</v>
      </c>
      <c r="X140">
        <v>0</v>
      </c>
      <c r="Y140">
        <v>0</v>
      </c>
      <c r="Z140">
        <v>-35000</v>
      </c>
      <c r="AA140">
        <v>45792</v>
      </c>
      <c r="AB140" t="str">
        <v>Q2 2025</v>
      </c>
      <c r="AC140">
        <v>0</v>
      </c>
      <c r="AD140">
        <v>47118</v>
      </c>
      <c r="AE140" t="str">
        <v>João Gameiro</v>
      </c>
      <c r="AF140" t="str">
        <v>Miguel Ribeiro</v>
      </c>
      <c r="AG140" t="str">
        <v>https://www.aroeiracollections.com/</v>
      </c>
      <c r="AH140" t="str">
        <v>Aroeira Collections by Missoni: Elegance inspired by iconic design, set beside the renowned PGA golf course — where luxury living meets the rhythm of the coast.</v>
      </c>
      <c r="AI140" t="str">
        <v>Gym, Spa, Condo Pool, Private Pools, Tennis &amp; Padel Courts, Outdoor Areas, Smart Home Technology, Private Parking, Reception, Missoni Interiors, PGA Golf Course</v>
      </c>
      <c r="AJ140"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40" t="str">
        <v>Ana Costa, João Favila, Pedro Domingos</v>
      </c>
      <c r="AL140" t="str">
        <v>Aroeira Collections</v>
      </c>
    </row>
    <row r="141" spans="1:38" x14ac:dyDescent="0.3">
      <c r="A141" t="str">
        <v>Aroeira - HOTEL APARTMENTS</v>
      </c>
      <c r="B141" t="str">
        <v>Center</v>
      </c>
      <c r="C141" t="str">
        <v>305A</v>
      </c>
      <c r="D141" t="str">
        <v>Herdade da Aroeira, Almada</v>
      </c>
      <c r="E141" t="str">
        <v>1-BR</v>
      </c>
      <c r="F141">
        <v>65</v>
      </c>
      <c r="G141">
        <v>0</v>
      </c>
      <c r="H141" t="str">
        <v>1</v>
      </c>
      <c r="I141" t="str">
        <v/>
      </c>
      <c r="J141">
        <v>8.6999999999999993</v>
      </c>
      <c r="K141">
        <v>0</v>
      </c>
      <c r="L141">
        <v>0</v>
      </c>
      <c r="M141" s="79">
        <v>0</v>
      </c>
      <c r="N141">
        <v>0</v>
      </c>
      <c r="O141">
        <v>56.3</v>
      </c>
      <c r="P141">
        <v>0</v>
      </c>
      <c r="Q141" t="str">
        <v>AVAILABLE</v>
      </c>
      <c r="R141">
        <v>415000</v>
      </c>
      <c r="S141">
        <v>450000</v>
      </c>
      <c r="T141">
        <v>450000</v>
      </c>
      <c r="U141">
        <v>0</v>
      </c>
      <c r="V141">
        <v>35000</v>
      </c>
      <c r="W141">
        <v>415000</v>
      </c>
      <c r="X141">
        <v>0</v>
      </c>
      <c r="Y141">
        <v>0</v>
      </c>
      <c r="Z141">
        <v>-35000</v>
      </c>
      <c r="AA141">
        <v>45792</v>
      </c>
      <c r="AB141" t="str">
        <v>Q2 2025</v>
      </c>
      <c r="AC141">
        <v>0</v>
      </c>
      <c r="AD141">
        <v>47118</v>
      </c>
      <c r="AE141" t="str">
        <v>João Gameiro</v>
      </c>
      <c r="AF141" t="str">
        <v>Miguel Ribeiro</v>
      </c>
      <c r="AG141" t="str">
        <v>https://www.aroeiracollections.com/</v>
      </c>
      <c r="AH141" t="str">
        <v>Aroeira Collections by Missoni: Elegance inspired by iconic design, set beside the renowned PGA golf course — where luxury living meets the rhythm of the coast.</v>
      </c>
      <c r="AI141" t="str">
        <v>Gym, Spa, Condo Pool, Private Pools, Tennis &amp; Padel Courts, Outdoor Areas, Smart Home Technology, Private Parking, Reception, Missoni Interiors, PGA Golf Course</v>
      </c>
      <c r="AJ141"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41" t="str">
        <v>Ana Costa, João Favila, Pedro Domingos</v>
      </c>
      <c r="AL141" t="str">
        <v>Aroeira Collections</v>
      </c>
    </row>
    <row r="142" spans="1:38" x14ac:dyDescent="0.3">
      <c r="A142" t="str">
        <v>Aroeira - HOTEL APARTMENTS</v>
      </c>
      <c r="B142" t="str">
        <v>Center</v>
      </c>
      <c r="C142" t="str">
        <v>306A</v>
      </c>
      <c r="D142" t="str">
        <v>Herdade da Aroeira, Almada</v>
      </c>
      <c r="E142" t="str">
        <v>1-BR</v>
      </c>
      <c r="F142">
        <v>65</v>
      </c>
      <c r="G142">
        <v>0</v>
      </c>
      <c r="H142" t="str">
        <v>1</v>
      </c>
      <c r="I142" t="str">
        <v/>
      </c>
      <c r="J142">
        <v>8.6999999999999993</v>
      </c>
      <c r="K142">
        <v>0</v>
      </c>
      <c r="L142">
        <v>0</v>
      </c>
      <c r="M142" s="79">
        <v>0</v>
      </c>
      <c r="N142">
        <v>0</v>
      </c>
      <c r="O142">
        <v>56.3</v>
      </c>
      <c r="P142">
        <v>0</v>
      </c>
      <c r="Q142" t="str">
        <v>AVAILABLE</v>
      </c>
      <c r="R142">
        <v>415000</v>
      </c>
      <c r="S142">
        <v>450000</v>
      </c>
      <c r="T142">
        <v>450000</v>
      </c>
      <c r="U142">
        <v>0</v>
      </c>
      <c r="V142">
        <v>35000</v>
      </c>
      <c r="W142">
        <v>415000</v>
      </c>
      <c r="X142">
        <v>0</v>
      </c>
      <c r="Y142">
        <v>0</v>
      </c>
      <c r="Z142">
        <v>-35000</v>
      </c>
      <c r="AA142">
        <v>45792</v>
      </c>
      <c r="AB142" t="str">
        <v>Q2 2025</v>
      </c>
      <c r="AC142">
        <v>0</v>
      </c>
      <c r="AD142">
        <v>47118</v>
      </c>
      <c r="AE142" t="str">
        <v>João Gameiro</v>
      </c>
      <c r="AF142" t="str">
        <v>Miguel Ribeiro</v>
      </c>
      <c r="AG142" t="str">
        <v>https://www.aroeiracollections.com/</v>
      </c>
      <c r="AH142" t="str">
        <v>Aroeira Collections by Missoni: Elegance inspired by iconic design, set beside the renowned PGA golf course — where luxury living meets the rhythm of the coast.</v>
      </c>
      <c r="AI142" t="str">
        <v>Gym, Spa, Condo Pool, Private Pools, Tennis &amp; Padel Courts, Outdoor Areas, Smart Home Technology, Private Parking, Reception, Missoni Interiors, PGA Golf Course</v>
      </c>
      <c r="AJ142"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42" t="str">
        <v>Ana Costa, João Favila, Pedro Domingos</v>
      </c>
      <c r="AL142" t="str">
        <v>Aroeira Collections</v>
      </c>
    </row>
    <row r="143" spans="1:38" x14ac:dyDescent="0.3">
      <c r="A143" t="str">
        <v>Aroeira - HOTEL APARTMENTS</v>
      </c>
      <c r="B143" t="str">
        <v>Center</v>
      </c>
      <c r="C143" t="str">
        <v>307A</v>
      </c>
      <c r="D143" t="str">
        <v>Herdade da Aroeira, Almada</v>
      </c>
      <c r="E143" t="str">
        <v>1-BR</v>
      </c>
      <c r="F143">
        <v>65</v>
      </c>
      <c r="G143">
        <v>0</v>
      </c>
      <c r="H143" t="str">
        <v>1</v>
      </c>
      <c r="I143" t="str">
        <v/>
      </c>
      <c r="J143">
        <v>8.6999999999999993</v>
      </c>
      <c r="K143">
        <v>0</v>
      </c>
      <c r="L143">
        <v>0</v>
      </c>
      <c r="M143" s="79">
        <v>0</v>
      </c>
      <c r="N143">
        <v>0</v>
      </c>
      <c r="O143">
        <v>56.3</v>
      </c>
      <c r="P143">
        <v>0</v>
      </c>
      <c r="Q143" t="str">
        <v>AVAILABLE</v>
      </c>
      <c r="R143">
        <v>415000</v>
      </c>
      <c r="S143">
        <v>450000</v>
      </c>
      <c r="T143">
        <v>450000</v>
      </c>
      <c r="U143">
        <v>0</v>
      </c>
      <c r="V143">
        <v>35000</v>
      </c>
      <c r="W143">
        <v>415000</v>
      </c>
      <c r="X143">
        <v>0</v>
      </c>
      <c r="Y143">
        <v>0</v>
      </c>
      <c r="Z143">
        <v>-35000</v>
      </c>
      <c r="AA143">
        <v>45792</v>
      </c>
      <c r="AB143" t="str">
        <v>Q2 2025</v>
      </c>
      <c r="AC143">
        <v>0</v>
      </c>
      <c r="AD143">
        <v>47118</v>
      </c>
      <c r="AE143" t="str">
        <v>João Gameiro</v>
      </c>
      <c r="AF143" t="str">
        <v>Miguel Ribeiro</v>
      </c>
      <c r="AG143" t="str">
        <v>https://www.aroeiracollections.com/</v>
      </c>
      <c r="AH143" t="str">
        <v>Aroeira Collections by Missoni: Elegance inspired by iconic design, set beside the renowned PGA golf course — where luxury living meets the rhythm of the coast.</v>
      </c>
      <c r="AI143" t="str">
        <v>Gym, Spa, Condo Pool, Private Pools, Tennis &amp; Padel Courts, Outdoor Areas, Smart Home Technology, Private Parking, Reception, Missoni Interiors, PGA Golf Course</v>
      </c>
      <c r="AJ143"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43" t="str">
        <v>Ana Costa, João Favila, Pedro Domingos</v>
      </c>
      <c r="AL143" t="str">
        <v>Aroeira Collections</v>
      </c>
    </row>
    <row r="144" spans="1:38" x14ac:dyDescent="0.3">
      <c r="A144" t="str">
        <v>Aroeira - HOTEL APARTMENTS</v>
      </c>
      <c r="B144" t="str">
        <v>Center</v>
      </c>
      <c r="C144" t="str">
        <v>308A</v>
      </c>
      <c r="D144" t="str">
        <v>Herdade da Aroeira, Almada</v>
      </c>
      <c r="E144" t="str">
        <v>1-BR</v>
      </c>
      <c r="F144">
        <v>65</v>
      </c>
      <c r="G144">
        <v>0</v>
      </c>
      <c r="H144" t="str">
        <v>1</v>
      </c>
      <c r="I144" t="str">
        <v/>
      </c>
      <c r="J144">
        <v>8.6999999999999993</v>
      </c>
      <c r="K144">
        <v>0</v>
      </c>
      <c r="L144">
        <v>0</v>
      </c>
      <c r="M144" s="79">
        <v>0</v>
      </c>
      <c r="N144">
        <v>0</v>
      </c>
      <c r="O144">
        <v>56.3</v>
      </c>
      <c r="P144">
        <v>0</v>
      </c>
      <c r="Q144" t="str">
        <v>AVAILABLE</v>
      </c>
      <c r="R144">
        <v>415000</v>
      </c>
      <c r="S144">
        <v>450000</v>
      </c>
      <c r="T144">
        <v>450000</v>
      </c>
      <c r="U144">
        <v>0</v>
      </c>
      <c r="V144">
        <v>35000</v>
      </c>
      <c r="W144">
        <v>415000</v>
      </c>
      <c r="X144">
        <v>0</v>
      </c>
      <c r="Y144">
        <v>0</v>
      </c>
      <c r="Z144">
        <v>-35000</v>
      </c>
      <c r="AA144">
        <v>45792</v>
      </c>
      <c r="AB144" t="str">
        <v>Q2 2025</v>
      </c>
      <c r="AC144">
        <v>0</v>
      </c>
      <c r="AD144">
        <v>47118</v>
      </c>
      <c r="AE144" t="str">
        <v>João Gameiro</v>
      </c>
      <c r="AF144" t="str">
        <v>Miguel Ribeiro</v>
      </c>
      <c r="AG144" t="str">
        <v>https://www.aroeiracollections.com/</v>
      </c>
      <c r="AH144" t="str">
        <v>Aroeira Collections by Missoni: Elegance inspired by iconic design, set beside the renowned PGA golf course — where luxury living meets the rhythm of the coast.</v>
      </c>
      <c r="AI144" t="str">
        <v>Gym, Spa, Condo Pool, Private Pools, Tennis &amp; Padel Courts, Outdoor Areas, Smart Home Technology, Private Parking, Reception, Missoni Interiors, PGA Golf Course</v>
      </c>
      <c r="AJ144"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44" t="str">
        <v>Ana Costa, João Favila, Pedro Domingos</v>
      </c>
      <c r="AL144" t="str">
        <v>Aroeira Collections</v>
      </c>
    </row>
    <row r="145" spans="1:38" x14ac:dyDescent="0.3">
      <c r="A145" t="str">
        <v>Aroeira - HOTEL APARTMENTS</v>
      </c>
      <c r="B145" t="str">
        <v>Center</v>
      </c>
      <c r="C145" t="str">
        <v>309B</v>
      </c>
      <c r="D145" t="str">
        <v>Herdade da Aroeira, Almada</v>
      </c>
      <c r="E145" t="str">
        <v>2-BR*</v>
      </c>
      <c r="F145">
        <v>98.7</v>
      </c>
      <c r="G145">
        <v>0</v>
      </c>
      <c r="H145" t="str">
        <v>1</v>
      </c>
      <c r="I145" t="str">
        <v/>
      </c>
      <c r="J145">
        <v>13.3</v>
      </c>
      <c r="K145">
        <v>0</v>
      </c>
      <c r="L145">
        <v>0</v>
      </c>
      <c r="M145" s="79">
        <v>0</v>
      </c>
      <c r="N145">
        <v>0</v>
      </c>
      <c r="O145">
        <v>85.4</v>
      </c>
      <c r="P145">
        <v>0</v>
      </c>
      <c r="Q145" t="str">
        <v>AVAILABLE</v>
      </c>
      <c r="R145">
        <v>625000</v>
      </c>
      <c r="S145">
        <v>670000</v>
      </c>
      <c r="T145">
        <v>670000</v>
      </c>
      <c r="U145">
        <v>0</v>
      </c>
      <c r="V145">
        <v>45000</v>
      </c>
      <c r="W145">
        <v>625000</v>
      </c>
      <c r="X145">
        <v>0</v>
      </c>
      <c r="Y145">
        <v>0</v>
      </c>
      <c r="Z145">
        <v>-45000</v>
      </c>
      <c r="AA145">
        <v>45792</v>
      </c>
      <c r="AB145" t="str">
        <v>Q2 2025</v>
      </c>
      <c r="AC145">
        <v>0</v>
      </c>
      <c r="AD145">
        <v>47118</v>
      </c>
      <c r="AE145" t="str">
        <v>João Gameiro</v>
      </c>
      <c r="AF145" t="str">
        <v>Miguel Ribeiro</v>
      </c>
      <c r="AG145" t="str">
        <v>https://www.aroeiracollections.com/</v>
      </c>
      <c r="AH145" t="str">
        <v>Aroeira Collections by Missoni: Elegance inspired by iconic design, set beside the renowned PGA golf course — where luxury living meets the rhythm of the coast.</v>
      </c>
      <c r="AI145" t="str">
        <v>Gym, Spa, Condo Pool, Private Pools, Tennis &amp; Padel Courts, Outdoor Areas, Smart Home Technology, Private Parking, Reception, Missoni Interiors, PGA Golf Course</v>
      </c>
      <c r="AJ145"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45" t="str">
        <v>Ana Costa, João Favila, Pedro Domingos</v>
      </c>
      <c r="AL145" t="str">
        <v>Aroeira Collections</v>
      </c>
    </row>
    <row r="146" spans="1:38" x14ac:dyDescent="0.3">
      <c r="A146" t="str">
        <v>Aroeira - HOTEL APARTMENTS</v>
      </c>
      <c r="B146" t="str">
        <v>Center</v>
      </c>
      <c r="C146" t="str">
        <v>310A</v>
      </c>
      <c r="D146" t="str">
        <v>Herdade da Aroeira, Almada</v>
      </c>
      <c r="E146" t="str">
        <v>1-BR</v>
      </c>
      <c r="F146">
        <v>72.5</v>
      </c>
      <c r="G146">
        <v>0</v>
      </c>
      <c r="H146" t="str">
        <v>1</v>
      </c>
      <c r="I146" t="str">
        <v/>
      </c>
      <c r="J146">
        <v>12</v>
      </c>
      <c r="K146">
        <v>0</v>
      </c>
      <c r="L146">
        <v>0</v>
      </c>
      <c r="M146" s="79">
        <v>0</v>
      </c>
      <c r="N146">
        <v>0</v>
      </c>
      <c r="O146">
        <v>60.5</v>
      </c>
      <c r="P146">
        <v>0</v>
      </c>
      <c r="Q146" t="str">
        <v>AVAILABLE</v>
      </c>
      <c r="R146">
        <v>465000</v>
      </c>
      <c r="S146">
        <v>500000</v>
      </c>
      <c r="T146">
        <v>500000</v>
      </c>
      <c r="U146">
        <v>0</v>
      </c>
      <c r="V146">
        <v>35000</v>
      </c>
      <c r="W146">
        <v>465000</v>
      </c>
      <c r="X146">
        <v>0</v>
      </c>
      <c r="Y146">
        <v>0</v>
      </c>
      <c r="Z146">
        <v>-35000</v>
      </c>
      <c r="AA146">
        <v>45792</v>
      </c>
      <c r="AB146" t="str">
        <v>Q2 2025</v>
      </c>
      <c r="AC146">
        <v>0</v>
      </c>
      <c r="AD146">
        <v>47118</v>
      </c>
      <c r="AE146" t="str">
        <v>João Gameiro</v>
      </c>
      <c r="AF146" t="str">
        <v>Miguel Ribeiro</v>
      </c>
      <c r="AG146" t="str">
        <v>https://www.aroeiracollections.com/</v>
      </c>
      <c r="AH146" t="str">
        <v>Aroeira Collections by Missoni: Elegance inspired by iconic design, set beside the renowned PGA golf course — where luxury living meets the rhythm of the coast.</v>
      </c>
      <c r="AI146" t="str">
        <v>Gym, Spa, Condo Pool, Private Pools, Tennis &amp; Padel Courts, Outdoor Areas, Smart Home Technology, Private Parking, Reception, Missoni Interiors, PGA Golf Course</v>
      </c>
      <c r="AJ146"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46" t="str">
        <v>Ana Costa, João Favila, Pedro Domingos</v>
      </c>
      <c r="AL146" t="str">
        <v>Aroeira Collections</v>
      </c>
    </row>
    <row r="147" spans="1:38" x14ac:dyDescent="0.3">
      <c r="A147" t="str">
        <v>Aroeira - HOTEL APARTMENTS</v>
      </c>
      <c r="B147" t="str">
        <v>Center</v>
      </c>
      <c r="C147" t="str">
        <v>311B</v>
      </c>
      <c r="D147" t="str">
        <v>Herdade da Aroeira, Almada</v>
      </c>
      <c r="E147" t="str">
        <v>2-BR*</v>
      </c>
      <c r="F147">
        <v>98.8</v>
      </c>
      <c r="G147">
        <v>0</v>
      </c>
      <c r="H147" t="str">
        <v>1</v>
      </c>
      <c r="I147" t="str">
        <v/>
      </c>
      <c r="J147">
        <v>15.2</v>
      </c>
      <c r="K147">
        <v>0</v>
      </c>
      <c r="L147">
        <v>0</v>
      </c>
      <c r="M147" s="79">
        <v>0</v>
      </c>
      <c r="N147">
        <v>0</v>
      </c>
      <c r="O147">
        <v>83.6</v>
      </c>
      <c r="P147">
        <v>0</v>
      </c>
      <c r="Q147" t="str">
        <v>AVAILABLE</v>
      </c>
      <c r="R147">
        <v>630000</v>
      </c>
      <c r="S147">
        <v>675000</v>
      </c>
      <c r="T147">
        <v>675000</v>
      </c>
      <c r="U147">
        <v>0</v>
      </c>
      <c r="V147">
        <v>45000</v>
      </c>
      <c r="W147">
        <v>630000</v>
      </c>
      <c r="X147">
        <v>0</v>
      </c>
      <c r="Y147">
        <v>0</v>
      </c>
      <c r="Z147">
        <v>-45000</v>
      </c>
      <c r="AA147">
        <v>45792</v>
      </c>
      <c r="AB147" t="str">
        <v>Q2 2025</v>
      </c>
      <c r="AC147">
        <v>0</v>
      </c>
      <c r="AD147">
        <v>47118</v>
      </c>
      <c r="AE147" t="str">
        <v>João Gameiro</v>
      </c>
      <c r="AF147" t="str">
        <v>Miguel Ribeiro</v>
      </c>
      <c r="AG147" t="str">
        <v>https://www.aroeiracollections.com/</v>
      </c>
      <c r="AH147" t="str">
        <v>Aroeira Collections by Missoni: Elegance inspired by iconic design, set beside the renowned PGA golf course — where luxury living meets the rhythm of the coast.</v>
      </c>
      <c r="AI147" t="str">
        <v>Gym, Spa, Condo Pool, Private Pools, Tennis &amp; Padel Courts, Outdoor Areas, Smart Home Technology, Private Parking, Reception, Missoni Interiors, PGA Golf Course</v>
      </c>
      <c r="AJ147"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47" t="str">
        <v>Ana Costa, João Favila, Pedro Domingos</v>
      </c>
      <c r="AL147" t="str">
        <v>Aroeira Collections</v>
      </c>
    </row>
    <row r="148" spans="1:38" x14ac:dyDescent="0.3">
      <c r="A148" t="str">
        <v>Aroeira - HOTEL APARTMENTS</v>
      </c>
      <c r="B148" t="str">
        <v>Center</v>
      </c>
      <c r="C148" t="str">
        <v>312B</v>
      </c>
      <c r="D148" t="str">
        <v>Herdade da Aroeira, Almada</v>
      </c>
      <c r="E148" t="str">
        <v>2-BR*</v>
      </c>
      <c r="F148">
        <v>98.8</v>
      </c>
      <c r="G148">
        <v>0</v>
      </c>
      <c r="H148" t="str">
        <v>1</v>
      </c>
      <c r="I148" t="str">
        <v/>
      </c>
      <c r="J148">
        <v>15.2</v>
      </c>
      <c r="K148">
        <v>0</v>
      </c>
      <c r="L148">
        <v>0</v>
      </c>
      <c r="M148" s="79">
        <v>0</v>
      </c>
      <c r="N148">
        <v>0</v>
      </c>
      <c r="O148">
        <v>83.6</v>
      </c>
      <c r="P148">
        <v>0</v>
      </c>
      <c r="Q148" t="str">
        <v>AVAILABLE</v>
      </c>
      <c r="R148">
        <v>630000</v>
      </c>
      <c r="S148">
        <v>675000</v>
      </c>
      <c r="T148">
        <v>675000</v>
      </c>
      <c r="U148">
        <v>0</v>
      </c>
      <c r="V148">
        <v>45000</v>
      </c>
      <c r="W148">
        <v>630000</v>
      </c>
      <c r="X148">
        <v>0</v>
      </c>
      <c r="Y148">
        <v>0</v>
      </c>
      <c r="Z148">
        <v>-45000</v>
      </c>
      <c r="AA148">
        <v>45792</v>
      </c>
      <c r="AB148" t="str">
        <v>Q2 2025</v>
      </c>
      <c r="AC148">
        <v>0</v>
      </c>
      <c r="AD148">
        <v>47118</v>
      </c>
      <c r="AE148" t="str">
        <v>João Gameiro</v>
      </c>
      <c r="AF148" t="str">
        <v>Miguel Ribeiro</v>
      </c>
      <c r="AG148" t="str">
        <v>https://www.aroeiracollections.com/</v>
      </c>
      <c r="AH148" t="str">
        <v>Aroeira Collections by Missoni: Elegance inspired by iconic design, set beside the renowned PGA golf course — where luxury living meets the rhythm of the coast.</v>
      </c>
      <c r="AI148" t="str">
        <v>Gym, Spa, Condo Pool, Private Pools, Tennis &amp; Padel Courts, Outdoor Areas, Smart Home Technology, Private Parking, Reception, Missoni Interiors, PGA Golf Course</v>
      </c>
      <c r="AJ148"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48" t="str">
        <v>Ana Costa, João Favila, Pedro Domingos</v>
      </c>
      <c r="AL148" t="str">
        <v>Aroeira Collections</v>
      </c>
    </row>
    <row r="149" spans="1:38" x14ac:dyDescent="0.3">
      <c r="A149" t="str">
        <v>Aroeira - HOTEL APARTMENTS</v>
      </c>
      <c r="B149" t="str">
        <v>Center</v>
      </c>
      <c r="C149" t="str">
        <v>313B</v>
      </c>
      <c r="D149" t="str">
        <v>Herdade da Aroeira, Almada</v>
      </c>
      <c r="E149" t="str">
        <v>2-BR*</v>
      </c>
      <c r="F149">
        <v>98.8</v>
      </c>
      <c r="G149">
        <v>0</v>
      </c>
      <c r="H149" t="str">
        <v>1</v>
      </c>
      <c r="I149" t="str">
        <v/>
      </c>
      <c r="J149">
        <v>15.2</v>
      </c>
      <c r="K149">
        <v>0</v>
      </c>
      <c r="L149">
        <v>0</v>
      </c>
      <c r="M149" s="79">
        <v>0</v>
      </c>
      <c r="N149">
        <v>0</v>
      </c>
      <c r="O149">
        <v>83.6</v>
      </c>
      <c r="P149">
        <v>0</v>
      </c>
      <c r="Q149" t="str">
        <v>AVAILABLE</v>
      </c>
      <c r="R149">
        <v>630000</v>
      </c>
      <c r="S149">
        <v>675000</v>
      </c>
      <c r="T149">
        <v>675000</v>
      </c>
      <c r="U149">
        <v>0</v>
      </c>
      <c r="V149">
        <v>45000</v>
      </c>
      <c r="W149">
        <v>630000</v>
      </c>
      <c r="X149">
        <v>0</v>
      </c>
      <c r="Y149">
        <v>0</v>
      </c>
      <c r="Z149">
        <v>-45000</v>
      </c>
      <c r="AA149">
        <v>45792</v>
      </c>
      <c r="AB149" t="str">
        <v>Q2 2025</v>
      </c>
      <c r="AC149">
        <v>0</v>
      </c>
      <c r="AD149">
        <v>47118</v>
      </c>
      <c r="AE149" t="str">
        <v>João Gameiro</v>
      </c>
      <c r="AF149" t="str">
        <v>Miguel Ribeiro</v>
      </c>
      <c r="AG149" t="str">
        <v>https://www.aroeiracollections.com/</v>
      </c>
      <c r="AH149" t="str">
        <v>Aroeira Collections by Missoni: Elegance inspired by iconic design, set beside the renowned PGA golf course — where luxury living meets the rhythm of the coast.</v>
      </c>
      <c r="AI149" t="str">
        <v>Gym, Spa, Condo Pool, Private Pools, Tennis &amp; Padel Courts, Outdoor Areas, Smart Home Technology, Private Parking, Reception, Missoni Interiors, PGA Golf Course</v>
      </c>
      <c r="AJ149"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49" t="str">
        <v>Ana Costa, João Favila, Pedro Domingos</v>
      </c>
      <c r="AL149" t="str">
        <v>Aroeira Collections</v>
      </c>
    </row>
    <row r="150" spans="1:38" x14ac:dyDescent="0.3">
      <c r="A150" t="str">
        <v>Aroeira - HOTEL APARTMENTS</v>
      </c>
      <c r="B150" t="str">
        <v>Center</v>
      </c>
      <c r="C150" t="str">
        <v>314A</v>
      </c>
      <c r="D150" t="str">
        <v>Herdade da Aroeira, Almada</v>
      </c>
      <c r="E150" t="str">
        <v>1-BR</v>
      </c>
      <c r="F150">
        <v>72.5</v>
      </c>
      <c r="G150">
        <v>0</v>
      </c>
      <c r="H150" t="str">
        <v>1</v>
      </c>
      <c r="I150" t="str">
        <v/>
      </c>
      <c r="J150">
        <v>12</v>
      </c>
      <c r="K150">
        <v>0</v>
      </c>
      <c r="L150">
        <v>0</v>
      </c>
      <c r="M150" s="79">
        <v>0</v>
      </c>
      <c r="N150">
        <v>0</v>
      </c>
      <c r="O150">
        <v>60.5</v>
      </c>
      <c r="P150">
        <v>0</v>
      </c>
      <c r="Q150" t="str">
        <v>AVAILABLE</v>
      </c>
      <c r="R150">
        <v>465000</v>
      </c>
      <c r="S150">
        <v>500000</v>
      </c>
      <c r="T150">
        <v>500000</v>
      </c>
      <c r="U150">
        <v>0</v>
      </c>
      <c r="V150">
        <v>35000</v>
      </c>
      <c r="W150">
        <v>465000</v>
      </c>
      <c r="X150">
        <v>0</v>
      </c>
      <c r="Y150">
        <v>0</v>
      </c>
      <c r="Z150">
        <v>-35000</v>
      </c>
      <c r="AA150">
        <v>45792</v>
      </c>
      <c r="AB150" t="str">
        <v>Q2 2025</v>
      </c>
      <c r="AC150">
        <v>0</v>
      </c>
      <c r="AD150">
        <v>47118</v>
      </c>
      <c r="AE150" t="str">
        <v>João Gameiro</v>
      </c>
      <c r="AF150" t="str">
        <v>Miguel Ribeiro</v>
      </c>
      <c r="AG150" t="str">
        <v>https://www.aroeiracollections.com/</v>
      </c>
      <c r="AH150" t="str">
        <v>Aroeira Collections by Missoni: Elegance inspired by iconic design, set beside the renowned PGA golf course — where luxury living meets the rhythm of the coast.</v>
      </c>
      <c r="AI150" t="str">
        <v>Gym, Spa, Condo Pool, Private Pools, Tennis &amp; Padel Courts, Outdoor Areas, Smart Home Technology, Private Parking, Reception, Missoni Interiors, PGA Golf Course</v>
      </c>
      <c r="AJ150"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50" t="str">
        <v>Ana Costa, João Favila, Pedro Domingos</v>
      </c>
      <c r="AL150" t="str">
        <v>Aroeira Collections</v>
      </c>
    </row>
    <row r="151" spans="1:38" x14ac:dyDescent="0.3">
      <c r="A151" t="str">
        <v>Aroeira - HOTEL APARTMENTS</v>
      </c>
      <c r="B151" t="str">
        <v>Center</v>
      </c>
      <c r="C151" t="str">
        <v>315B</v>
      </c>
      <c r="D151" t="str">
        <v>Herdade da Aroeira, Almada</v>
      </c>
      <c r="E151" t="str">
        <v>2-BR*</v>
      </c>
      <c r="F151">
        <v>98.7</v>
      </c>
      <c r="G151">
        <v>0</v>
      </c>
      <c r="H151" t="str">
        <v>1</v>
      </c>
      <c r="I151" t="str">
        <v/>
      </c>
      <c r="J151">
        <v>13.3</v>
      </c>
      <c r="K151">
        <v>0</v>
      </c>
      <c r="L151">
        <v>0</v>
      </c>
      <c r="M151" s="79">
        <v>0</v>
      </c>
      <c r="N151">
        <v>0</v>
      </c>
      <c r="O151">
        <v>85.4</v>
      </c>
      <c r="P151">
        <v>0</v>
      </c>
      <c r="Q151" t="str">
        <v>AVAILABLE</v>
      </c>
      <c r="R151">
        <v>650000</v>
      </c>
      <c r="S151">
        <v>695000</v>
      </c>
      <c r="T151">
        <v>695000</v>
      </c>
      <c r="U151">
        <v>0</v>
      </c>
      <c r="V151">
        <v>45000</v>
      </c>
      <c r="W151">
        <v>650000</v>
      </c>
      <c r="X151">
        <v>0</v>
      </c>
      <c r="Y151">
        <v>0</v>
      </c>
      <c r="Z151">
        <v>-45000</v>
      </c>
      <c r="AA151">
        <v>45792</v>
      </c>
      <c r="AB151" t="str">
        <v>Q2 2025</v>
      </c>
      <c r="AC151">
        <v>45936</v>
      </c>
      <c r="AD151">
        <v>47118</v>
      </c>
      <c r="AE151" t="str">
        <v>João Gameiro</v>
      </c>
      <c r="AF151" t="str">
        <v>Miguel Ribeiro</v>
      </c>
      <c r="AG151" t="str">
        <v>https://www.aroeiracollections.com/</v>
      </c>
      <c r="AH151" t="str">
        <v>Aroeira Collections by Missoni: Elegance inspired by iconic design, set beside the renowned PGA golf course — where luxury living meets the rhythm of the coast.</v>
      </c>
      <c r="AI151" t="str">
        <v>Gym, Spa, Condo Pool, Private Pools, Tennis &amp; Padel Courts, Outdoor Areas, Smart Home Technology, Private Parking, Reception, Missoni Interiors, PGA Golf Course</v>
      </c>
      <c r="AJ151"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51" t="str">
        <v>Ana Costa, João Favila, Pedro Domingos</v>
      </c>
      <c r="AL151" t="str">
        <v>Aroeira Collections</v>
      </c>
    </row>
    <row r="152" spans="1:38" x14ac:dyDescent="0.3">
      <c r="A152" t="str">
        <v>Aroeira - HOTEL APARTMENTS</v>
      </c>
      <c r="B152" t="str">
        <v>Center</v>
      </c>
      <c r="C152" t="str">
        <v>316A</v>
      </c>
      <c r="D152" t="str">
        <v>Herdade da Aroeira, Almada</v>
      </c>
      <c r="E152" t="str">
        <v>1-BR</v>
      </c>
      <c r="F152">
        <v>65</v>
      </c>
      <c r="G152">
        <v>0</v>
      </c>
      <c r="H152" t="str">
        <v>1</v>
      </c>
      <c r="I152" t="str">
        <v/>
      </c>
      <c r="J152">
        <v>8.6999999999999993</v>
      </c>
      <c r="K152">
        <v>0</v>
      </c>
      <c r="L152">
        <v>0</v>
      </c>
      <c r="M152" s="79">
        <v>0</v>
      </c>
      <c r="N152">
        <v>0</v>
      </c>
      <c r="O152">
        <v>56.3</v>
      </c>
      <c r="P152">
        <v>0</v>
      </c>
      <c r="Q152" t="str">
        <v>AVAILABLE</v>
      </c>
      <c r="R152">
        <v>435000</v>
      </c>
      <c r="S152">
        <v>470000</v>
      </c>
      <c r="T152">
        <v>470000</v>
      </c>
      <c r="U152">
        <v>0</v>
      </c>
      <c r="V152">
        <v>35000</v>
      </c>
      <c r="W152">
        <v>435000</v>
      </c>
      <c r="X152">
        <v>0</v>
      </c>
      <c r="Y152">
        <v>0</v>
      </c>
      <c r="Z152">
        <v>-35000</v>
      </c>
      <c r="AA152">
        <v>45792</v>
      </c>
      <c r="AB152" t="str">
        <v>Q2 2025</v>
      </c>
      <c r="AC152">
        <v>0</v>
      </c>
      <c r="AD152">
        <v>47118</v>
      </c>
      <c r="AE152" t="str">
        <v>João Gameiro</v>
      </c>
      <c r="AF152" t="str">
        <v>Miguel Ribeiro</v>
      </c>
      <c r="AG152" t="str">
        <v>https://www.aroeiracollections.com/</v>
      </c>
      <c r="AH152" t="str">
        <v>Aroeira Collections by Missoni: Elegance inspired by iconic design, set beside the renowned PGA golf course — where luxury living meets the rhythm of the coast.</v>
      </c>
      <c r="AI152" t="str">
        <v>Gym, Spa, Condo Pool, Private Pools, Tennis &amp; Padel Courts, Outdoor Areas, Smart Home Technology, Private Parking, Reception, Missoni Interiors, PGA Golf Course</v>
      </c>
      <c r="AJ152"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52" t="str">
        <v>Ana Costa, João Favila, Pedro Domingos</v>
      </c>
      <c r="AL152" t="str">
        <v>Aroeira Collections</v>
      </c>
    </row>
    <row r="153" spans="1:38" x14ac:dyDescent="0.3">
      <c r="A153" t="str">
        <v>Aroeira - HOTEL APARTMENTS</v>
      </c>
      <c r="B153" t="str">
        <v>Center</v>
      </c>
      <c r="C153" t="str">
        <v>317A</v>
      </c>
      <c r="D153" t="str">
        <v>Herdade da Aroeira, Almada</v>
      </c>
      <c r="E153" t="str">
        <v>1-BR</v>
      </c>
      <c r="F153">
        <v>65</v>
      </c>
      <c r="G153">
        <v>0</v>
      </c>
      <c r="H153" t="str">
        <v>1</v>
      </c>
      <c r="I153" t="str">
        <v/>
      </c>
      <c r="J153">
        <v>8.6999999999999993</v>
      </c>
      <c r="K153">
        <v>0</v>
      </c>
      <c r="L153">
        <v>0</v>
      </c>
      <c r="M153" s="79">
        <v>0</v>
      </c>
      <c r="N153">
        <v>0</v>
      </c>
      <c r="O153">
        <v>56.3</v>
      </c>
      <c r="P153">
        <v>0</v>
      </c>
      <c r="Q153" t="str">
        <v>AVAILABLE</v>
      </c>
      <c r="R153">
        <v>435000</v>
      </c>
      <c r="S153">
        <v>470000</v>
      </c>
      <c r="T153">
        <v>470000</v>
      </c>
      <c r="U153">
        <v>0</v>
      </c>
      <c r="V153">
        <v>35000</v>
      </c>
      <c r="W153">
        <v>435000</v>
      </c>
      <c r="X153">
        <v>0</v>
      </c>
      <c r="Y153">
        <v>0</v>
      </c>
      <c r="Z153">
        <v>-35000</v>
      </c>
      <c r="AA153">
        <v>45792</v>
      </c>
      <c r="AB153" t="str">
        <v>Q2 2025</v>
      </c>
      <c r="AC153">
        <v>0</v>
      </c>
      <c r="AD153">
        <v>47118</v>
      </c>
      <c r="AE153" t="str">
        <v>João Gameiro</v>
      </c>
      <c r="AF153" t="str">
        <v>Miguel Ribeiro</v>
      </c>
      <c r="AG153" t="str">
        <v>https://www.aroeiracollections.com/</v>
      </c>
      <c r="AH153" t="str">
        <v>Aroeira Collections by Missoni: Elegance inspired by iconic design, set beside the renowned PGA golf course — where luxury living meets the rhythm of the coast.</v>
      </c>
      <c r="AI153" t="str">
        <v>Gym, Spa, Condo Pool, Private Pools, Tennis &amp; Padel Courts, Outdoor Areas, Smart Home Technology, Private Parking, Reception, Missoni Interiors, PGA Golf Course</v>
      </c>
      <c r="AJ153"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53" t="str">
        <v>Ana Costa, João Favila, Pedro Domingos</v>
      </c>
      <c r="AL153" t="str">
        <v>Aroeira Collections</v>
      </c>
    </row>
    <row r="154" spans="1:38" x14ac:dyDescent="0.3">
      <c r="A154" t="str">
        <v>Aroeira - HOTEL APARTMENTS</v>
      </c>
      <c r="B154" t="str">
        <v>Center</v>
      </c>
      <c r="C154" t="str">
        <v>318A</v>
      </c>
      <c r="D154" t="str">
        <v>Herdade da Aroeira, Almada</v>
      </c>
      <c r="E154" t="str">
        <v>1-BR</v>
      </c>
      <c r="F154">
        <v>65</v>
      </c>
      <c r="G154">
        <v>0</v>
      </c>
      <c r="H154" t="str">
        <v>1</v>
      </c>
      <c r="I154" t="str">
        <v/>
      </c>
      <c r="J154">
        <v>8.6999999999999993</v>
      </c>
      <c r="K154">
        <v>0</v>
      </c>
      <c r="L154">
        <v>0</v>
      </c>
      <c r="M154" s="79">
        <v>0</v>
      </c>
      <c r="N154">
        <v>0</v>
      </c>
      <c r="O154">
        <v>56.3</v>
      </c>
      <c r="P154">
        <v>0</v>
      </c>
      <c r="Q154" t="str">
        <v>AVAILABLE</v>
      </c>
      <c r="R154">
        <v>435000</v>
      </c>
      <c r="S154">
        <v>470000</v>
      </c>
      <c r="T154">
        <v>470000</v>
      </c>
      <c r="U154">
        <v>0</v>
      </c>
      <c r="V154">
        <v>35000</v>
      </c>
      <c r="W154">
        <v>435000</v>
      </c>
      <c r="X154">
        <v>0</v>
      </c>
      <c r="Y154">
        <v>0</v>
      </c>
      <c r="Z154">
        <v>-35000</v>
      </c>
      <c r="AA154">
        <v>45792</v>
      </c>
      <c r="AB154" t="str">
        <v>Q2 2025</v>
      </c>
      <c r="AC154">
        <v>0</v>
      </c>
      <c r="AD154">
        <v>47118</v>
      </c>
      <c r="AE154" t="str">
        <v>João Gameiro</v>
      </c>
      <c r="AF154" t="str">
        <v>Miguel Ribeiro</v>
      </c>
      <c r="AG154" t="str">
        <v>https://www.aroeiracollections.com/</v>
      </c>
      <c r="AH154" t="str">
        <v>Aroeira Collections by Missoni: Elegance inspired by iconic design, set beside the renowned PGA golf course — where luxury living meets the rhythm of the coast.</v>
      </c>
      <c r="AI154" t="str">
        <v>Gym, Spa, Condo Pool, Private Pools, Tennis &amp; Padel Courts, Outdoor Areas, Smart Home Technology, Private Parking, Reception, Missoni Interiors, PGA Golf Course</v>
      </c>
      <c r="AJ154"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54" t="str">
        <v>Ana Costa, João Favila, Pedro Domingos</v>
      </c>
      <c r="AL154" t="str">
        <v>Aroeira Collections</v>
      </c>
    </row>
    <row r="155" spans="1:38" x14ac:dyDescent="0.3">
      <c r="A155" t="str">
        <v>Aroeira - HOTEL APARTMENTS</v>
      </c>
      <c r="B155" t="str">
        <v>Center</v>
      </c>
      <c r="C155" t="str">
        <v>319A</v>
      </c>
      <c r="D155" t="str">
        <v>Herdade da Aroeira, Almada</v>
      </c>
      <c r="E155" t="str">
        <v>1-BR</v>
      </c>
      <c r="F155">
        <v>65</v>
      </c>
      <c r="G155">
        <v>0</v>
      </c>
      <c r="H155" t="str">
        <v>1</v>
      </c>
      <c r="I155" t="str">
        <v/>
      </c>
      <c r="J155">
        <v>8.6999999999999993</v>
      </c>
      <c r="K155">
        <v>0</v>
      </c>
      <c r="L155">
        <v>0</v>
      </c>
      <c r="M155" s="79">
        <v>0</v>
      </c>
      <c r="N155">
        <v>0</v>
      </c>
      <c r="O155">
        <v>56.3</v>
      </c>
      <c r="P155">
        <v>0</v>
      </c>
      <c r="Q155" t="str">
        <v>AVAILABLE</v>
      </c>
      <c r="R155">
        <v>435000</v>
      </c>
      <c r="S155">
        <v>470000</v>
      </c>
      <c r="T155">
        <v>470000</v>
      </c>
      <c r="U155">
        <v>0</v>
      </c>
      <c r="V155">
        <v>35000</v>
      </c>
      <c r="W155">
        <v>435000</v>
      </c>
      <c r="X155">
        <v>0</v>
      </c>
      <c r="Y155">
        <v>0</v>
      </c>
      <c r="Z155">
        <v>-35000</v>
      </c>
      <c r="AA155">
        <v>45792</v>
      </c>
      <c r="AB155" t="str">
        <v>Q2 2025</v>
      </c>
      <c r="AC155">
        <v>0</v>
      </c>
      <c r="AD155">
        <v>47118</v>
      </c>
      <c r="AE155" t="str">
        <v>João Gameiro</v>
      </c>
      <c r="AF155" t="str">
        <v>Miguel Ribeiro</v>
      </c>
      <c r="AG155" t="str">
        <v>https://www.aroeiracollections.com/</v>
      </c>
      <c r="AH155" t="str">
        <v>Aroeira Collections by Missoni: Elegance inspired by iconic design, set beside the renowned PGA golf course — where luxury living meets the rhythm of the coast.</v>
      </c>
      <c r="AI155" t="str">
        <v>Gym, Spa, Condo Pool, Private Pools, Tennis &amp; Padel Courts, Outdoor Areas, Smart Home Technology, Private Parking, Reception, Missoni Interiors, PGA Golf Course</v>
      </c>
      <c r="AJ155"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55" t="str">
        <v>Ana Costa, João Favila, Pedro Domingos</v>
      </c>
      <c r="AL155" t="str">
        <v>Aroeira Collections</v>
      </c>
    </row>
    <row r="156" spans="1:38" x14ac:dyDescent="0.3">
      <c r="A156" t="str">
        <v>Aroeira - HOTEL APARTMENTS</v>
      </c>
      <c r="B156" t="str">
        <v>Center</v>
      </c>
      <c r="C156" t="str">
        <v>320A</v>
      </c>
      <c r="D156" t="str">
        <v>Herdade da Aroeira, Almada</v>
      </c>
      <c r="E156" t="str">
        <v>1-BR</v>
      </c>
      <c r="F156">
        <v>65</v>
      </c>
      <c r="G156">
        <v>0</v>
      </c>
      <c r="H156" t="str">
        <v>1</v>
      </c>
      <c r="I156" t="str">
        <v/>
      </c>
      <c r="J156">
        <v>8.6999999999999993</v>
      </c>
      <c r="K156">
        <v>0</v>
      </c>
      <c r="L156">
        <v>0</v>
      </c>
      <c r="M156" s="79">
        <v>0</v>
      </c>
      <c r="N156">
        <v>0</v>
      </c>
      <c r="O156">
        <v>56.3</v>
      </c>
      <c r="P156">
        <v>0</v>
      </c>
      <c r="Q156" t="str">
        <v>AVAILABLE</v>
      </c>
      <c r="R156">
        <v>435000</v>
      </c>
      <c r="S156">
        <v>470000</v>
      </c>
      <c r="T156">
        <v>470000</v>
      </c>
      <c r="U156">
        <v>0</v>
      </c>
      <c r="V156">
        <v>35000</v>
      </c>
      <c r="W156">
        <v>435000</v>
      </c>
      <c r="X156">
        <v>0</v>
      </c>
      <c r="Y156">
        <v>0</v>
      </c>
      <c r="Z156">
        <v>-35000</v>
      </c>
      <c r="AA156">
        <v>45792</v>
      </c>
      <c r="AB156" t="str">
        <v>Q2 2025</v>
      </c>
      <c r="AC156">
        <v>0</v>
      </c>
      <c r="AD156">
        <v>47118</v>
      </c>
      <c r="AE156" t="str">
        <v>João Gameiro</v>
      </c>
      <c r="AF156" t="str">
        <v>Miguel Ribeiro</v>
      </c>
      <c r="AG156" t="str">
        <v>https://www.aroeiracollections.com/</v>
      </c>
      <c r="AH156" t="str">
        <v>Aroeira Collections by Missoni: Elegance inspired by iconic design, set beside the renowned PGA golf course — where luxury living meets the rhythm of the coast.</v>
      </c>
      <c r="AI156" t="str">
        <v>Gym, Spa, Condo Pool, Private Pools, Tennis &amp; Padel Courts, Outdoor Areas, Smart Home Technology, Private Parking, Reception, Missoni Interiors, PGA Golf Course</v>
      </c>
      <c r="AJ156"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56" t="str">
        <v>Ana Costa, João Favila, Pedro Domingos</v>
      </c>
      <c r="AL156" t="str">
        <v>Aroeira Collections</v>
      </c>
    </row>
    <row r="157" spans="1:38" x14ac:dyDescent="0.3">
      <c r="A157" t="str">
        <v>Aroeira - HOTEL APARTMENTS</v>
      </c>
      <c r="B157" t="str">
        <v>Center</v>
      </c>
      <c r="C157" t="str">
        <v>321A</v>
      </c>
      <c r="D157" t="str">
        <v>Herdade da Aroeira, Almada</v>
      </c>
      <c r="E157" t="str">
        <v>1-BR</v>
      </c>
      <c r="F157">
        <v>65</v>
      </c>
      <c r="G157">
        <v>0</v>
      </c>
      <c r="H157" t="str">
        <v>1</v>
      </c>
      <c r="I157" t="str">
        <v/>
      </c>
      <c r="J157">
        <v>8.6999999999999993</v>
      </c>
      <c r="K157">
        <v>0</v>
      </c>
      <c r="L157">
        <v>0</v>
      </c>
      <c r="M157" s="79">
        <v>0</v>
      </c>
      <c r="N157">
        <v>0</v>
      </c>
      <c r="O157">
        <v>56.3</v>
      </c>
      <c r="P157">
        <v>0</v>
      </c>
      <c r="Q157" t="str">
        <v>AVAILABLE</v>
      </c>
      <c r="R157">
        <v>435000</v>
      </c>
      <c r="S157">
        <v>470000</v>
      </c>
      <c r="T157">
        <v>470000</v>
      </c>
      <c r="U157">
        <v>0</v>
      </c>
      <c r="V157">
        <v>35000</v>
      </c>
      <c r="W157">
        <v>435000</v>
      </c>
      <c r="X157">
        <v>0</v>
      </c>
      <c r="Y157">
        <v>0</v>
      </c>
      <c r="Z157">
        <v>-35000</v>
      </c>
      <c r="AA157">
        <v>45792</v>
      </c>
      <c r="AB157" t="str">
        <v>Q2 2025</v>
      </c>
      <c r="AC157">
        <v>0</v>
      </c>
      <c r="AD157">
        <v>47118</v>
      </c>
      <c r="AE157" t="str">
        <v>João Gameiro</v>
      </c>
      <c r="AF157" t="str">
        <v>Miguel Ribeiro</v>
      </c>
      <c r="AG157" t="str">
        <v>https://www.aroeiracollections.com/</v>
      </c>
      <c r="AH157" t="str">
        <v>Aroeira Collections by Missoni: Elegance inspired by iconic design, set beside the renowned PGA golf course — where luxury living meets the rhythm of the coast.</v>
      </c>
      <c r="AI157" t="str">
        <v>Gym, Spa, Condo Pool, Private Pools, Tennis &amp; Padel Courts, Outdoor Areas, Smart Home Technology, Private Parking, Reception, Missoni Interiors, PGA Golf Course</v>
      </c>
      <c r="AJ157"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57" t="str">
        <v>Ana Costa, João Favila, Pedro Domingos</v>
      </c>
      <c r="AL157" t="str">
        <v>Aroeira Collections</v>
      </c>
    </row>
    <row r="158" spans="1:38" x14ac:dyDescent="0.3">
      <c r="A158" t="str">
        <v>Aroeira - HOTEL APARTMENTS</v>
      </c>
      <c r="B158" t="str">
        <v>Center</v>
      </c>
      <c r="C158" t="str">
        <v>322A</v>
      </c>
      <c r="D158" t="str">
        <v>Herdade da Aroeira, Almada</v>
      </c>
      <c r="E158" t="str">
        <v>1-BR</v>
      </c>
      <c r="F158">
        <v>65</v>
      </c>
      <c r="G158">
        <v>0</v>
      </c>
      <c r="H158" t="str">
        <v>1</v>
      </c>
      <c r="I158" t="str">
        <v/>
      </c>
      <c r="J158">
        <v>8.6999999999999993</v>
      </c>
      <c r="K158">
        <v>0</v>
      </c>
      <c r="L158">
        <v>0</v>
      </c>
      <c r="M158" s="79">
        <v>0</v>
      </c>
      <c r="N158">
        <v>0</v>
      </c>
      <c r="O158">
        <v>56.3</v>
      </c>
      <c r="P158">
        <v>0</v>
      </c>
      <c r="Q158" t="str">
        <v>AVAILABLE</v>
      </c>
      <c r="R158">
        <v>435000</v>
      </c>
      <c r="S158">
        <v>470000</v>
      </c>
      <c r="T158">
        <v>470000</v>
      </c>
      <c r="U158">
        <v>0</v>
      </c>
      <c r="V158">
        <v>35000</v>
      </c>
      <c r="W158">
        <v>435000</v>
      </c>
      <c r="X158">
        <v>0</v>
      </c>
      <c r="Y158">
        <v>0</v>
      </c>
      <c r="Z158">
        <v>-35000</v>
      </c>
      <c r="AA158">
        <v>45792</v>
      </c>
      <c r="AB158" t="str">
        <v>Q2 2025</v>
      </c>
      <c r="AC158">
        <v>0</v>
      </c>
      <c r="AD158">
        <v>47118</v>
      </c>
      <c r="AE158" t="str">
        <v>João Gameiro</v>
      </c>
      <c r="AF158" t="str">
        <v>Miguel Ribeiro</v>
      </c>
      <c r="AG158" t="str">
        <v>https://www.aroeiracollections.com/</v>
      </c>
      <c r="AH158" t="str">
        <v>Aroeira Collections by Missoni: Elegance inspired by iconic design, set beside the renowned PGA golf course — where luxury living meets the rhythm of the coast.</v>
      </c>
      <c r="AI158" t="str">
        <v>Gym, Spa, Condo Pool, Private Pools, Tennis &amp; Padel Courts, Outdoor Areas, Smart Home Technology, Private Parking, Reception, Missoni Interiors, PGA Golf Course</v>
      </c>
      <c r="AJ158"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58" t="str">
        <v>Ana Costa, João Favila, Pedro Domingos</v>
      </c>
      <c r="AL158" t="str">
        <v>Aroeira Collections</v>
      </c>
    </row>
    <row r="159" spans="1:38" x14ac:dyDescent="0.3">
      <c r="A159" t="str">
        <v>Aroeira - HOTEL APARTMENTS</v>
      </c>
      <c r="B159" t="str">
        <v>Center</v>
      </c>
      <c r="C159" t="str">
        <v>323B</v>
      </c>
      <c r="D159" t="str">
        <v>Herdade da Aroeira, Almada</v>
      </c>
      <c r="E159" t="str">
        <v>2-BR*</v>
      </c>
      <c r="F159">
        <v>98.7</v>
      </c>
      <c r="G159">
        <v>0</v>
      </c>
      <c r="H159" t="str">
        <v>1</v>
      </c>
      <c r="I159" t="str">
        <v/>
      </c>
      <c r="J159">
        <v>13.3</v>
      </c>
      <c r="K159">
        <v>0</v>
      </c>
      <c r="L159">
        <v>0</v>
      </c>
      <c r="M159" s="79">
        <v>0</v>
      </c>
      <c r="N159">
        <v>0</v>
      </c>
      <c r="O159">
        <v>85.4</v>
      </c>
      <c r="P159">
        <v>0</v>
      </c>
      <c r="Q159" t="str">
        <v>AVAILABLE</v>
      </c>
      <c r="R159">
        <v>650000</v>
      </c>
      <c r="S159">
        <v>695000</v>
      </c>
      <c r="T159">
        <v>695000</v>
      </c>
      <c r="U159">
        <v>0</v>
      </c>
      <c r="V159">
        <v>45000</v>
      </c>
      <c r="W159">
        <v>650000</v>
      </c>
      <c r="X159">
        <v>0</v>
      </c>
      <c r="Y159">
        <v>0</v>
      </c>
      <c r="Z159">
        <v>-45000</v>
      </c>
      <c r="AA159">
        <v>45792</v>
      </c>
      <c r="AB159" t="str">
        <v>Q2 2025</v>
      </c>
      <c r="AC159">
        <v>45985</v>
      </c>
      <c r="AD159">
        <v>47118</v>
      </c>
      <c r="AE159" t="str">
        <v>João Gameiro</v>
      </c>
      <c r="AF159" t="str">
        <v>Miguel Ribeiro</v>
      </c>
      <c r="AG159" t="str">
        <v>https://www.aroeiracollections.com/</v>
      </c>
      <c r="AH159" t="str">
        <v>Aroeira Collections by Missoni: Elegance inspired by iconic design, set beside the renowned PGA golf course — where luxury living meets the rhythm of the coast.</v>
      </c>
      <c r="AI159" t="str">
        <v>Gym, Spa, Condo Pool, Private Pools, Tennis &amp; Padel Courts, Outdoor Areas, Smart Home Technology, Private Parking, Reception, Missoni Interiors, PGA Golf Course</v>
      </c>
      <c r="AJ159"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59" t="str">
        <v>Ana Costa, João Favila, Pedro Domingos</v>
      </c>
      <c r="AL159" t="str">
        <v>Aroeira Collections</v>
      </c>
    </row>
    <row r="160" spans="1:38" x14ac:dyDescent="0.3">
      <c r="A160" t="str">
        <v>Aroeira - HOTEL APARTMENTS</v>
      </c>
      <c r="B160" t="str">
        <v>Center</v>
      </c>
      <c r="C160" t="str">
        <v>325B</v>
      </c>
      <c r="D160" t="str">
        <v>Herdade da Aroeira, Almada</v>
      </c>
      <c r="E160" t="str">
        <v>2-BR*</v>
      </c>
      <c r="F160">
        <v>98.8</v>
      </c>
      <c r="G160">
        <v>0</v>
      </c>
      <c r="H160" t="str">
        <v>1</v>
      </c>
      <c r="I160" t="str">
        <v/>
      </c>
      <c r="J160">
        <v>15.2</v>
      </c>
      <c r="K160">
        <v>0</v>
      </c>
      <c r="L160">
        <v>0</v>
      </c>
      <c r="M160" s="79">
        <v>0</v>
      </c>
      <c r="N160">
        <v>0</v>
      </c>
      <c r="O160">
        <v>83.6</v>
      </c>
      <c r="P160">
        <v>0</v>
      </c>
      <c r="Q160" t="str">
        <v>AVAILABLE</v>
      </c>
      <c r="R160">
        <v>630000</v>
      </c>
      <c r="S160">
        <v>675000</v>
      </c>
      <c r="T160">
        <v>675000</v>
      </c>
      <c r="U160">
        <v>0</v>
      </c>
      <c r="V160">
        <v>45000</v>
      </c>
      <c r="W160">
        <v>630000</v>
      </c>
      <c r="X160">
        <v>0</v>
      </c>
      <c r="Y160">
        <v>0</v>
      </c>
      <c r="Z160">
        <v>-45000</v>
      </c>
      <c r="AA160">
        <v>45792</v>
      </c>
      <c r="AB160" t="str">
        <v>Q2 2025</v>
      </c>
      <c r="AC160">
        <v>0</v>
      </c>
      <c r="AD160">
        <v>47118</v>
      </c>
      <c r="AE160" t="str">
        <v>João Gameiro</v>
      </c>
      <c r="AF160" t="str">
        <v>Miguel Ribeiro</v>
      </c>
      <c r="AG160" t="str">
        <v>https://www.aroeiracollections.com/</v>
      </c>
      <c r="AH160" t="str">
        <v>Aroeira Collections by Missoni: Elegance inspired by iconic design, set beside the renowned PGA golf course — where luxury living meets the rhythm of the coast.</v>
      </c>
      <c r="AI160" t="str">
        <v>Gym, Spa, Condo Pool, Private Pools, Tennis &amp; Padel Courts, Outdoor Areas, Smart Home Technology, Private Parking, Reception, Missoni Interiors, PGA Golf Course</v>
      </c>
      <c r="AJ160"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60" t="str">
        <v>Ana Costa, João Favila, Pedro Domingos</v>
      </c>
      <c r="AL160" t="str">
        <v>Aroeira Collections</v>
      </c>
    </row>
    <row r="161" spans="1:38" x14ac:dyDescent="0.3">
      <c r="A161" t="str">
        <v>Aroeira - HOTEL APARTMENTS</v>
      </c>
      <c r="B161" t="str">
        <v>Center</v>
      </c>
      <c r="C161" t="str">
        <v>326B</v>
      </c>
      <c r="D161" t="str">
        <v>Herdade da Aroeira, Almada</v>
      </c>
      <c r="E161" t="str">
        <v>2-BR*</v>
      </c>
      <c r="F161">
        <v>98.8</v>
      </c>
      <c r="G161">
        <v>0</v>
      </c>
      <c r="H161" t="str">
        <v>1</v>
      </c>
      <c r="I161" t="str">
        <v/>
      </c>
      <c r="J161">
        <v>15.2</v>
      </c>
      <c r="K161">
        <v>0</v>
      </c>
      <c r="L161">
        <v>0</v>
      </c>
      <c r="M161" s="79">
        <v>0</v>
      </c>
      <c r="N161">
        <v>0</v>
      </c>
      <c r="O161">
        <v>83.6</v>
      </c>
      <c r="P161">
        <v>0</v>
      </c>
      <c r="Q161" t="str">
        <v>AVAILABLE</v>
      </c>
      <c r="R161">
        <v>630000</v>
      </c>
      <c r="S161">
        <v>675000</v>
      </c>
      <c r="T161">
        <v>675000</v>
      </c>
      <c r="U161">
        <v>0</v>
      </c>
      <c r="V161">
        <v>45000</v>
      </c>
      <c r="W161">
        <v>630000</v>
      </c>
      <c r="X161">
        <v>0</v>
      </c>
      <c r="Y161">
        <v>0</v>
      </c>
      <c r="Z161">
        <v>-45000</v>
      </c>
      <c r="AA161">
        <v>45792</v>
      </c>
      <c r="AB161" t="str">
        <v>Q2 2025</v>
      </c>
      <c r="AC161">
        <v>0</v>
      </c>
      <c r="AD161">
        <v>47118</v>
      </c>
      <c r="AE161" t="str">
        <v>João Gameiro</v>
      </c>
      <c r="AF161" t="str">
        <v>Miguel Ribeiro</v>
      </c>
      <c r="AG161" t="str">
        <v>https://www.aroeiracollections.com/</v>
      </c>
      <c r="AH161" t="str">
        <v>Aroeira Collections by Missoni: Elegance inspired by iconic design, set beside the renowned PGA golf course — where luxury living meets the rhythm of the coast.</v>
      </c>
      <c r="AI161" t="str">
        <v>Gym, Spa, Condo Pool, Private Pools, Tennis &amp; Padel Courts, Outdoor Areas, Smart Home Technology, Private Parking, Reception, Missoni Interiors, PGA Golf Course</v>
      </c>
      <c r="AJ161"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61" t="str">
        <v>Ana Costa, João Favila, Pedro Domingos</v>
      </c>
      <c r="AL161" t="str">
        <v>Aroeira Collections</v>
      </c>
    </row>
    <row r="162" spans="1:38" x14ac:dyDescent="0.3">
      <c r="A162" t="str">
        <v>Aroeira - HOTEL APARTMENTS</v>
      </c>
      <c r="B162" t="str">
        <v>Center</v>
      </c>
      <c r="C162" t="str">
        <v>327B</v>
      </c>
      <c r="D162" t="str">
        <v>Herdade da Aroeira, Almada</v>
      </c>
      <c r="E162" t="str">
        <v>2-BR*</v>
      </c>
      <c r="F162">
        <v>98.8</v>
      </c>
      <c r="G162">
        <v>0</v>
      </c>
      <c r="H162" t="str">
        <v>1</v>
      </c>
      <c r="I162" t="str">
        <v/>
      </c>
      <c r="J162">
        <v>15.2</v>
      </c>
      <c r="K162">
        <v>0</v>
      </c>
      <c r="L162">
        <v>0</v>
      </c>
      <c r="M162" s="79">
        <v>0</v>
      </c>
      <c r="N162">
        <v>0</v>
      </c>
      <c r="O162">
        <v>83.6</v>
      </c>
      <c r="P162">
        <v>0</v>
      </c>
      <c r="Q162" t="str">
        <v>AVAILABLE</v>
      </c>
      <c r="R162">
        <v>630000</v>
      </c>
      <c r="S162">
        <v>675000</v>
      </c>
      <c r="T162">
        <v>675000</v>
      </c>
      <c r="U162">
        <v>0</v>
      </c>
      <c r="V162">
        <v>45000</v>
      </c>
      <c r="W162">
        <v>630000</v>
      </c>
      <c r="X162">
        <v>0</v>
      </c>
      <c r="Y162">
        <v>0</v>
      </c>
      <c r="Z162">
        <v>-45000</v>
      </c>
      <c r="AA162">
        <v>45792</v>
      </c>
      <c r="AB162" t="str">
        <v>Q2 2025</v>
      </c>
      <c r="AC162">
        <v>0</v>
      </c>
      <c r="AD162">
        <v>47118</v>
      </c>
      <c r="AE162" t="str">
        <v>João Gameiro</v>
      </c>
      <c r="AF162" t="str">
        <v>Miguel Ribeiro</v>
      </c>
      <c r="AG162" t="str">
        <v>https://www.aroeiracollections.com/</v>
      </c>
      <c r="AH162" t="str">
        <v>Aroeira Collections by Missoni: Elegance inspired by iconic design, set beside the renowned PGA golf course — where luxury living meets the rhythm of the coast.</v>
      </c>
      <c r="AI162" t="str">
        <v>Gym, Spa, Condo Pool, Private Pools, Tennis &amp; Padel Courts, Outdoor Areas, Smart Home Technology, Private Parking, Reception, Missoni Interiors, PGA Golf Course</v>
      </c>
      <c r="AJ162"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62" t="str">
        <v>Ana Costa, João Favila, Pedro Domingos</v>
      </c>
      <c r="AL162" t="str">
        <v>Aroeira Collections</v>
      </c>
    </row>
    <row r="163" spans="1:38" x14ac:dyDescent="0.3">
      <c r="A163" t="str">
        <v>Aroeira - HOTEL APARTMENTS</v>
      </c>
      <c r="B163" t="str">
        <v>Center</v>
      </c>
      <c r="C163" t="str">
        <v>328A</v>
      </c>
      <c r="D163" t="str">
        <v>Herdade da Aroeira, Almada</v>
      </c>
      <c r="E163" t="str">
        <v>1-BR</v>
      </c>
      <c r="F163">
        <v>72.5</v>
      </c>
      <c r="G163">
        <v>0</v>
      </c>
      <c r="H163" t="str">
        <v>1</v>
      </c>
      <c r="I163" t="str">
        <v/>
      </c>
      <c r="J163">
        <v>12</v>
      </c>
      <c r="K163">
        <v>0</v>
      </c>
      <c r="L163">
        <v>0</v>
      </c>
      <c r="M163" s="79">
        <v>0</v>
      </c>
      <c r="N163">
        <v>0</v>
      </c>
      <c r="O163">
        <v>60.5</v>
      </c>
      <c r="P163">
        <v>0</v>
      </c>
      <c r="Q163" t="str">
        <v>AVAILABLE</v>
      </c>
      <c r="R163">
        <v>465000</v>
      </c>
      <c r="S163">
        <v>500000</v>
      </c>
      <c r="T163">
        <v>500000</v>
      </c>
      <c r="U163">
        <v>0</v>
      </c>
      <c r="V163">
        <v>35000</v>
      </c>
      <c r="W163">
        <v>465000</v>
      </c>
      <c r="X163">
        <v>0</v>
      </c>
      <c r="Y163">
        <v>0</v>
      </c>
      <c r="Z163">
        <v>-35000</v>
      </c>
      <c r="AA163">
        <v>45792</v>
      </c>
      <c r="AB163" t="str">
        <v>Q2 2025</v>
      </c>
      <c r="AC163">
        <v>0</v>
      </c>
      <c r="AD163">
        <v>47118</v>
      </c>
      <c r="AE163" t="str">
        <v>João Gameiro</v>
      </c>
      <c r="AF163" t="str">
        <v>Miguel Ribeiro</v>
      </c>
      <c r="AG163" t="str">
        <v>https://www.aroeiracollections.com/</v>
      </c>
      <c r="AH163" t="str">
        <v>Aroeira Collections by Missoni: Elegance inspired by iconic design, set beside the renowned PGA golf course — where luxury living meets the rhythm of the coast.</v>
      </c>
      <c r="AI163" t="str">
        <v>Gym, Spa, Condo Pool, Private Pools, Tennis &amp; Padel Courts, Outdoor Areas, Smart Home Technology, Private Parking, Reception, Missoni Interiors, PGA Golf Course</v>
      </c>
      <c r="AJ163"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63" t="str">
        <v>Ana Costa, João Favila, Pedro Domingos</v>
      </c>
      <c r="AL163" t="str">
        <v>Aroeira Collections</v>
      </c>
    </row>
    <row r="164" spans="1:38" x14ac:dyDescent="0.3">
      <c r="A164" t="str">
        <v>Aroeira - HOTEL APARTMENTS</v>
      </c>
      <c r="B164" t="str">
        <v>Center</v>
      </c>
      <c r="C164" t="str">
        <v>329A</v>
      </c>
      <c r="D164" t="str">
        <v>Herdade da Aroeira, Almada</v>
      </c>
      <c r="E164" t="str">
        <v>1-BR</v>
      </c>
      <c r="F164">
        <v>60.2</v>
      </c>
      <c r="G164">
        <v>0</v>
      </c>
      <c r="H164" t="str">
        <v>1</v>
      </c>
      <c r="I164" t="str">
        <v/>
      </c>
      <c r="J164">
        <v>3.9</v>
      </c>
      <c r="K164">
        <v>0</v>
      </c>
      <c r="L164">
        <v>0</v>
      </c>
      <c r="M164" s="79">
        <v>0</v>
      </c>
      <c r="N164">
        <v>0</v>
      </c>
      <c r="O164">
        <v>56.3</v>
      </c>
      <c r="P164">
        <v>0</v>
      </c>
      <c r="Q164" t="str">
        <v>AVAILABLE</v>
      </c>
      <c r="R164">
        <v>410000</v>
      </c>
      <c r="S164">
        <v>445000</v>
      </c>
      <c r="T164">
        <v>445000</v>
      </c>
      <c r="U164">
        <v>0</v>
      </c>
      <c r="V164">
        <v>35000</v>
      </c>
      <c r="W164">
        <v>410000</v>
      </c>
      <c r="X164">
        <v>0</v>
      </c>
      <c r="Y164">
        <v>0</v>
      </c>
      <c r="Z164">
        <v>-35000</v>
      </c>
      <c r="AA164">
        <v>45792</v>
      </c>
      <c r="AB164" t="str">
        <v>Q2 2025</v>
      </c>
      <c r="AC164">
        <v>0</v>
      </c>
      <c r="AD164">
        <v>47118</v>
      </c>
      <c r="AE164" t="str">
        <v>João Gameiro</v>
      </c>
      <c r="AF164" t="str">
        <v>Miguel Ribeiro</v>
      </c>
      <c r="AG164" t="str">
        <v>https://www.aroeiracollections.com/</v>
      </c>
      <c r="AH164" t="str">
        <v>Aroeira Collections by Missoni: Elegance inspired by iconic design, set beside the renowned PGA golf course — where luxury living meets the rhythm of the coast.</v>
      </c>
      <c r="AI164" t="str">
        <v>Gym, Spa, Condo Pool, Private Pools, Tennis &amp; Padel Courts, Outdoor Areas, Smart Home Technology, Private Parking, Reception, Missoni Interiors, PGA Golf Course</v>
      </c>
      <c r="AJ164"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64" t="str">
        <v>Ana Costa, João Favila, Pedro Domingos</v>
      </c>
      <c r="AL164" t="str">
        <v>Aroeira Collections</v>
      </c>
    </row>
    <row r="165" spans="1:38" x14ac:dyDescent="0.3">
      <c r="A165" t="str">
        <v>Aroeira - HOTEL APARTMENTS</v>
      </c>
      <c r="B165" t="str">
        <v>Center</v>
      </c>
      <c r="C165" t="str">
        <v>330A</v>
      </c>
      <c r="D165" t="str">
        <v>Herdade da Aroeira, Almada</v>
      </c>
      <c r="E165" t="str">
        <v>1-BR</v>
      </c>
      <c r="F165">
        <v>60.2</v>
      </c>
      <c r="G165">
        <v>0</v>
      </c>
      <c r="H165" t="str">
        <v>1</v>
      </c>
      <c r="I165" t="str">
        <v/>
      </c>
      <c r="J165">
        <v>3.9</v>
      </c>
      <c r="K165">
        <v>0</v>
      </c>
      <c r="L165">
        <v>0</v>
      </c>
      <c r="M165" s="79">
        <v>0</v>
      </c>
      <c r="N165">
        <v>0</v>
      </c>
      <c r="O165">
        <v>56.3</v>
      </c>
      <c r="P165">
        <v>0</v>
      </c>
      <c r="Q165" t="str">
        <v>AVAILABLE</v>
      </c>
      <c r="R165">
        <v>410000</v>
      </c>
      <c r="S165">
        <v>445000</v>
      </c>
      <c r="T165">
        <v>445000</v>
      </c>
      <c r="U165">
        <v>0</v>
      </c>
      <c r="V165">
        <v>35000</v>
      </c>
      <c r="W165">
        <v>410000</v>
      </c>
      <c r="X165">
        <v>0</v>
      </c>
      <c r="Y165">
        <v>0</v>
      </c>
      <c r="Z165">
        <v>-35000</v>
      </c>
      <c r="AA165">
        <v>45792</v>
      </c>
      <c r="AB165" t="str">
        <v>Q2 2025</v>
      </c>
      <c r="AC165">
        <v>0</v>
      </c>
      <c r="AD165">
        <v>47118</v>
      </c>
      <c r="AE165" t="str">
        <v>João Gameiro</v>
      </c>
      <c r="AF165" t="str">
        <v>Miguel Ribeiro</v>
      </c>
      <c r="AG165" t="str">
        <v>https://www.aroeiracollections.com/</v>
      </c>
      <c r="AH165" t="str">
        <v>Aroeira Collections by Missoni: Elegance inspired by iconic design, set beside the renowned PGA golf course — where luxury living meets the rhythm of the coast.</v>
      </c>
      <c r="AI165" t="str">
        <v>Gym, Spa, Condo Pool, Private Pools, Tennis &amp; Padel Courts, Outdoor Areas, Smart Home Technology, Private Parking, Reception, Missoni Interiors, PGA Golf Course</v>
      </c>
      <c r="AJ165"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65" t="str">
        <v>Ana Costa, João Favila, Pedro Domingos</v>
      </c>
      <c r="AL165" t="str">
        <v>Aroeira Collections</v>
      </c>
    </row>
    <row r="166" spans="1:38" x14ac:dyDescent="0.3">
      <c r="A166" t="str">
        <v>Aroeira - HOTEL APARTMENTS</v>
      </c>
      <c r="B166" t="str">
        <v>Center</v>
      </c>
      <c r="C166" t="str">
        <v>331A</v>
      </c>
      <c r="D166" t="str">
        <v>Herdade da Aroeira, Almada</v>
      </c>
      <c r="E166" t="str">
        <v>1-BR</v>
      </c>
      <c r="F166">
        <v>60.2</v>
      </c>
      <c r="G166">
        <v>0</v>
      </c>
      <c r="H166" t="str">
        <v>1</v>
      </c>
      <c r="I166" t="str">
        <v/>
      </c>
      <c r="J166">
        <v>3.9</v>
      </c>
      <c r="K166">
        <v>0</v>
      </c>
      <c r="L166">
        <v>0</v>
      </c>
      <c r="M166" s="79">
        <v>0</v>
      </c>
      <c r="N166">
        <v>0</v>
      </c>
      <c r="O166">
        <v>56.3</v>
      </c>
      <c r="P166">
        <v>0</v>
      </c>
      <c r="Q166" t="str">
        <v>AVAILABLE</v>
      </c>
      <c r="R166">
        <v>410000</v>
      </c>
      <c r="S166">
        <v>445000</v>
      </c>
      <c r="T166">
        <v>445000</v>
      </c>
      <c r="U166">
        <v>0</v>
      </c>
      <c r="V166">
        <v>35000</v>
      </c>
      <c r="W166">
        <v>410000</v>
      </c>
      <c r="X166">
        <v>0</v>
      </c>
      <c r="Y166">
        <v>0</v>
      </c>
      <c r="Z166">
        <v>-35000</v>
      </c>
      <c r="AA166">
        <v>45792</v>
      </c>
      <c r="AB166" t="str">
        <v>Q2 2025</v>
      </c>
      <c r="AC166">
        <v>0</v>
      </c>
      <c r="AD166">
        <v>47118</v>
      </c>
      <c r="AE166" t="str">
        <v>João Gameiro</v>
      </c>
      <c r="AF166" t="str">
        <v>Miguel Ribeiro</v>
      </c>
      <c r="AG166" t="str">
        <v>https://www.aroeiracollections.com/</v>
      </c>
      <c r="AH166" t="str">
        <v>Aroeira Collections by Missoni: Elegance inspired by iconic design, set beside the renowned PGA golf course — where luxury living meets the rhythm of the coast.</v>
      </c>
      <c r="AI166" t="str">
        <v>Gym, Spa, Condo Pool, Private Pools, Tennis &amp; Padel Courts, Outdoor Areas, Smart Home Technology, Private Parking, Reception, Missoni Interiors, PGA Golf Course</v>
      </c>
      <c r="AJ166"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66" t="str">
        <v>Ana Costa, João Favila, Pedro Domingos</v>
      </c>
      <c r="AL166" t="str">
        <v>Aroeira Collections</v>
      </c>
    </row>
    <row r="167" spans="1:38" x14ac:dyDescent="0.3">
      <c r="A167" t="str">
        <v>Aroeira - HOTEL APARTMENTS</v>
      </c>
      <c r="B167" t="str">
        <v>Center</v>
      </c>
      <c r="C167" t="str">
        <v>332A</v>
      </c>
      <c r="D167" t="str">
        <v>Herdade da Aroeira, Almada</v>
      </c>
      <c r="E167" t="str">
        <v>1-BR</v>
      </c>
      <c r="F167">
        <v>60.2</v>
      </c>
      <c r="G167">
        <v>0</v>
      </c>
      <c r="H167" t="str">
        <v>1</v>
      </c>
      <c r="I167" t="str">
        <v/>
      </c>
      <c r="J167">
        <v>3.9</v>
      </c>
      <c r="K167">
        <v>0</v>
      </c>
      <c r="L167">
        <v>0</v>
      </c>
      <c r="M167" s="79">
        <v>0</v>
      </c>
      <c r="N167">
        <v>0</v>
      </c>
      <c r="O167">
        <v>56.3</v>
      </c>
      <c r="P167">
        <v>0</v>
      </c>
      <c r="Q167" t="str">
        <v>AVAILABLE</v>
      </c>
      <c r="R167">
        <v>410000</v>
      </c>
      <c r="S167">
        <v>445000</v>
      </c>
      <c r="T167">
        <v>445000</v>
      </c>
      <c r="U167">
        <v>0</v>
      </c>
      <c r="V167">
        <v>35000</v>
      </c>
      <c r="W167">
        <v>410000</v>
      </c>
      <c r="X167">
        <v>0</v>
      </c>
      <c r="Y167">
        <v>0</v>
      </c>
      <c r="Z167">
        <v>-35000</v>
      </c>
      <c r="AA167">
        <v>45792</v>
      </c>
      <c r="AB167" t="str">
        <v>Q2 2025</v>
      </c>
      <c r="AC167">
        <v>0</v>
      </c>
      <c r="AD167">
        <v>47118</v>
      </c>
      <c r="AE167" t="str">
        <v>João Gameiro</v>
      </c>
      <c r="AF167" t="str">
        <v>Miguel Ribeiro</v>
      </c>
      <c r="AG167" t="str">
        <v>https://www.aroeiracollections.com/</v>
      </c>
      <c r="AH167" t="str">
        <v>Aroeira Collections by Missoni: Elegance inspired by iconic design, set beside the renowned PGA golf course — where luxury living meets the rhythm of the coast.</v>
      </c>
      <c r="AI167" t="str">
        <v>Gym, Spa, Condo Pool, Private Pools, Tennis &amp; Padel Courts, Outdoor Areas, Smart Home Technology, Private Parking, Reception, Missoni Interiors, PGA Golf Course</v>
      </c>
      <c r="AJ167"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67" t="str">
        <v>Ana Costa, João Favila, Pedro Domingos</v>
      </c>
      <c r="AL167" t="str">
        <v>Aroeira Collections</v>
      </c>
    </row>
    <row r="168" spans="1:38" x14ac:dyDescent="0.3">
      <c r="A168" t="str">
        <v>Aroeira - HOTEL APARTMENTS</v>
      </c>
      <c r="B168" t="str">
        <v>Center</v>
      </c>
      <c r="C168" t="str">
        <v>333A</v>
      </c>
      <c r="D168" t="str">
        <v>Herdade da Aroeira, Almada</v>
      </c>
      <c r="E168" t="str">
        <v>1-BR</v>
      </c>
      <c r="F168">
        <v>60.2</v>
      </c>
      <c r="G168">
        <v>0</v>
      </c>
      <c r="H168" t="str">
        <v>1</v>
      </c>
      <c r="I168" t="str">
        <v/>
      </c>
      <c r="J168">
        <v>3.9</v>
      </c>
      <c r="K168">
        <v>0</v>
      </c>
      <c r="L168">
        <v>0</v>
      </c>
      <c r="M168" s="79">
        <v>0</v>
      </c>
      <c r="N168">
        <v>0</v>
      </c>
      <c r="O168">
        <v>56.3</v>
      </c>
      <c r="P168">
        <v>0</v>
      </c>
      <c r="Q168" t="str">
        <v>AVAILABLE</v>
      </c>
      <c r="R168">
        <v>410000</v>
      </c>
      <c r="S168">
        <v>445000</v>
      </c>
      <c r="T168">
        <v>445000</v>
      </c>
      <c r="U168">
        <v>0</v>
      </c>
      <c r="V168">
        <v>35000</v>
      </c>
      <c r="W168">
        <v>410000</v>
      </c>
      <c r="X168">
        <v>0</v>
      </c>
      <c r="Y168">
        <v>0</v>
      </c>
      <c r="Z168">
        <v>-35000</v>
      </c>
      <c r="AA168">
        <v>45792</v>
      </c>
      <c r="AB168" t="str">
        <v>Q2 2025</v>
      </c>
      <c r="AC168">
        <v>0</v>
      </c>
      <c r="AD168">
        <v>47118</v>
      </c>
      <c r="AE168" t="str">
        <v>João Gameiro</v>
      </c>
      <c r="AF168" t="str">
        <v>Miguel Ribeiro</v>
      </c>
      <c r="AG168" t="str">
        <v>https://www.aroeiracollections.com/</v>
      </c>
      <c r="AH168" t="str">
        <v>Aroeira Collections by Missoni: Elegance inspired by iconic design, set beside the renowned PGA golf course — where luxury living meets the rhythm of the coast.</v>
      </c>
      <c r="AI168" t="str">
        <v>Gym, Spa, Condo Pool, Private Pools, Tennis &amp; Padel Courts, Outdoor Areas, Smart Home Technology, Private Parking, Reception, Missoni Interiors, PGA Golf Course</v>
      </c>
      <c r="AJ168"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68" t="str">
        <v>Ana Costa, João Favila, Pedro Domingos</v>
      </c>
      <c r="AL168" t="str">
        <v>Aroeira Collections</v>
      </c>
    </row>
    <row r="169" spans="1:38" x14ac:dyDescent="0.3">
      <c r="A169" t="str">
        <v>Aroeira - HOTEL APARTMENTS</v>
      </c>
      <c r="B169" t="str">
        <v>Center</v>
      </c>
      <c r="C169" t="str">
        <v>335A</v>
      </c>
      <c r="D169" t="str">
        <v>Herdade da Aroeira, Almada</v>
      </c>
      <c r="E169" t="str">
        <v>1-BR</v>
      </c>
      <c r="F169">
        <v>56.5</v>
      </c>
      <c r="G169">
        <v>0</v>
      </c>
      <c r="H169" t="str">
        <v>1</v>
      </c>
      <c r="I169" t="str">
        <v/>
      </c>
      <c r="J169">
        <v>5</v>
      </c>
      <c r="K169">
        <v>0</v>
      </c>
      <c r="L169">
        <v>0</v>
      </c>
      <c r="M169" s="79">
        <v>0</v>
      </c>
      <c r="N169">
        <v>0</v>
      </c>
      <c r="O169">
        <v>51.5</v>
      </c>
      <c r="P169">
        <v>0</v>
      </c>
      <c r="Q169" t="str">
        <v>AVAILABLE</v>
      </c>
      <c r="R169">
        <v>635000</v>
      </c>
      <c r="S169">
        <v>670000</v>
      </c>
      <c r="T169">
        <v>405000</v>
      </c>
      <c r="U169">
        <v>0</v>
      </c>
      <c r="V169">
        <v>35000</v>
      </c>
      <c r="W169">
        <v>370000</v>
      </c>
      <c r="X169">
        <v>0</v>
      </c>
      <c r="Y169">
        <v>0</v>
      </c>
      <c r="Z169">
        <v>-35000</v>
      </c>
      <c r="AA169">
        <v>45792</v>
      </c>
      <c r="AB169" t="str">
        <v>Q2 2025</v>
      </c>
      <c r="AC169">
        <v>0</v>
      </c>
      <c r="AD169">
        <v>47118</v>
      </c>
      <c r="AE169" t="str">
        <v>João Gameiro</v>
      </c>
      <c r="AF169" t="str">
        <v>Miguel Ribeiro</v>
      </c>
      <c r="AG169" t="str">
        <v>https://www.aroeiracollections.com/</v>
      </c>
      <c r="AH169" t="str">
        <v>Aroeira Collections by Missoni: Elegance inspired by iconic design, set beside the renowned PGA golf course — where luxury living meets the rhythm of the coast.</v>
      </c>
      <c r="AI169" t="str">
        <v>Gym, Spa, Condo Pool, Private Pools, Tennis &amp; Padel Courts, Outdoor Areas, Smart Home Technology, Private Parking, Reception, Missoni Interiors, PGA Golf Course</v>
      </c>
      <c r="AJ169"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69" t="str">
        <v>Ana Costa, João Favila, Pedro Domingos</v>
      </c>
      <c r="AL169" t="str">
        <v>Aroeira Collections</v>
      </c>
    </row>
    <row r="170" spans="1:38" x14ac:dyDescent="0.3">
      <c r="A170" t="str">
        <v>Aroeira - HOTEL APARTMENTS</v>
      </c>
      <c r="B170" t="str">
        <v>Center</v>
      </c>
      <c r="C170" t="str">
        <v>336A</v>
      </c>
      <c r="D170" t="str">
        <v>Herdade da Aroeira, Almada</v>
      </c>
      <c r="E170" t="str">
        <v>1-BR</v>
      </c>
      <c r="F170">
        <v>56.5</v>
      </c>
      <c r="G170">
        <v>0</v>
      </c>
      <c r="H170" t="str">
        <v>1</v>
      </c>
      <c r="I170" t="str">
        <v/>
      </c>
      <c r="J170">
        <v>5</v>
      </c>
      <c r="K170">
        <v>0</v>
      </c>
      <c r="L170">
        <v>0</v>
      </c>
      <c r="M170" s="79">
        <v>0</v>
      </c>
      <c r="N170">
        <v>0</v>
      </c>
      <c r="O170">
        <v>51.5</v>
      </c>
      <c r="P170">
        <v>0</v>
      </c>
      <c r="Q170" t="str">
        <v>AVAILABLE</v>
      </c>
      <c r="R170">
        <v>895000</v>
      </c>
      <c r="S170">
        <v>930000</v>
      </c>
      <c r="T170">
        <v>405000</v>
      </c>
      <c r="U170">
        <v>0</v>
      </c>
      <c r="V170">
        <v>35000</v>
      </c>
      <c r="W170">
        <v>370000</v>
      </c>
      <c r="X170">
        <v>0</v>
      </c>
      <c r="Y170">
        <v>0</v>
      </c>
      <c r="Z170">
        <v>-35000</v>
      </c>
      <c r="AA170">
        <v>45792</v>
      </c>
      <c r="AB170" t="str">
        <v>Q2 2025</v>
      </c>
      <c r="AC170">
        <v>0</v>
      </c>
      <c r="AD170">
        <v>47118</v>
      </c>
      <c r="AE170" t="str">
        <v>João Gameiro</v>
      </c>
      <c r="AF170" t="str">
        <v>Miguel Ribeiro</v>
      </c>
      <c r="AG170" t="str">
        <v>https://www.aroeiracollections.com/</v>
      </c>
      <c r="AH170" t="str">
        <v>Aroeira Collections by Missoni: Elegance inspired by iconic design, set beside the renowned PGA golf course — where luxury living meets the rhythm of the coast.</v>
      </c>
      <c r="AI170" t="str">
        <v>Gym, Spa, Condo Pool, Private Pools, Tennis &amp; Padel Courts, Outdoor Areas, Smart Home Technology, Private Parking, Reception, Missoni Interiors, PGA Golf Course</v>
      </c>
      <c r="AJ170"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70" t="str">
        <v>Ana Costa, João Favila, Pedro Domingos</v>
      </c>
      <c r="AL170" t="str">
        <v>Aroeira Collections</v>
      </c>
    </row>
    <row r="171" spans="1:38" x14ac:dyDescent="0.3">
      <c r="A171" t="str">
        <v>Aroeira - HOTEL APARTMENTS</v>
      </c>
      <c r="B171" t="str">
        <v>Center</v>
      </c>
      <c r="C171" t="str">
        <v>337A</v>
      </c>
      <c r="D171" t="str">
        <v>Herdade da Aroeira, Almada</v>
      </c>
      <c r="E171" t="str">
        <v>1-BR</v>
      </c>
      <c r="F171">
        <v>56.5</v>
      </c>
      <c r="G171">
        <v>0</v>
      </c>
      <c r="H171" t="str">
        <v>1</v>
      </c>
      <c r="I171" t="str">
        <v/>
      </c>
      <c r="J171">
        <v>5</v>
      </c>
      <c r="K171">
        <v>0</v>
      </c>
      <c r="L171">
        <v>0</v>
      </c>
      <c r="M171" s="79">
        <v>0</v>
      </c>
      <c r="N171">
        <v>0</v>
      </c>
      <c r="O171">
        <v>51.5</v>
      </c>
      <c r="P171">
        <v>0</v>
      </c>
      <c r="Q171" t="str">
        <v>AVAILABLE</v>
      </c>
      <c r="R171">
        <v>675000</v>
      </c>
      <c r="S171">
        <v>710000</v>
      </c>
      <c r="T171">
        <v>405000</v>
      </c>
      <c r="U171">
        <v>0</v>
      </c>
      <c r="V171">
        <v>35000</v>
      </c>
      <c r="W171">
        <v>370000</v>
      </c>
      <c r="X171">
        <v>0</v>
      </c>
      <c r="Y171">
        <v>0</v>
      </c>
      <c r="Z171">
        <v>-35000</v>
      </c>
      <c r="AA171">
        <v>45792</v>
      </c>
      <c r="AB171" t="str">
        <v>Q2 2025</v>
      </c>
      <c r="AC171">
        <v>0</v>
      </c>
      <c r="AD171">
        <v>47118</v>
      </c>
      <c r="AE171" t="str">
        <v>João Gameiro</v>
      </c>
      <c r="AF171" t="str">
        <v>Miguel Ribeiro</v>
      </c>
      <c r="AG171" t="str">
        <v>https://www.aroeiracollections.com/</v>
      </c>
      <c r="AH171" t="str">
        <v>Aroeira Collections by Missoni: Elegance inspired by iconic design, set beside the renowned PGA golf course — where luxury living meets the rhythm of the coast.</v>
      </c>
      <c r="AI171" t="str">
        <v>Gym, Spa, Condo Pool, Private Pools, Tennis &amp; Padel Courts, Outdoor Areas, Smart Home Technology, Private Parking, Reception, Missoni Interiors, PGA Golf Course</v>
      </c>
      <c r="AJ171"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71" t="str">
        <v>Ana Costa, João Favila, Pedro Domingos</v>
      </c>
      <c r="AL171" t="str">
        <v>Aroeira Collections</v>
      </c>
    </row>
    <row r="172" spans="1:38" x14ac:dyDescent="0.3">
      <c r="A172" t="str">
        <v>Aroeira - HOTEL APARTMENTS</v>
      </c>
      <c r="B172" t="str">
        <v>Center</v>
      </c>
      <c r="C172" t="str">
        <v>338A</v>
      </c>
      <c r="D172" t="str">
        <v>Herdade da Aroeira, Almada</v>
      </c>
      <c r="E172" t="str">
        <v>1-BR</v>
      </c>
      <c r="F172">
        <v>60.2</v>
      </c>
      <c r="G172">
        <v>0</v>
      </c>
      <c r="H172" t="str">
        <v>1</v>
      </c>
      <c r="I172" t="str">
        <v/>
      </c>
      <c r="J172">
        <v>3.9</v>
      </c>
      <c r="K172">
        <v>0</v>
      </c>
      <c r="L172">
        <v>0</v>
      </c>
      <c r="M172" s="79">
        <v>0</v>
      </c>
      <c r="N172">
        <v>0</v>
      </c>
      <c r="O172">
        <v>56.3</v>
      </c>
      <c r="P172">
        <v>0</v>
      </c>
      <c r="Q172" t="str">
        <v>AVAILABLE</v>
      </c>
      <c r="R172">
        <v>395000</v>
      </c>
      <c r="S172">
        <v>430000</v>
      </c>
      <c r="T172">
        <v>430000</v>
      </c>
      <c r="U172">
        <v>0</v>
      </c>
      <c r="V172">
        <v>35000</v>
      </c>
      <c r="W172">
        <v>395000</v>
      </c>
      <c r="X172">
        <v>0</v>
      </c>
      <c r="Y172">
        <v>0</v>
      </c>
      <c r="Z172">
        <v>-35000</v>
      </c>
      <c r="AA172">
        <v>45792</v>
      </c>
      <c r="AB172" t="str">
        <v>Q2 2025</v>
      </c>
      <c r="AC172">
        <v>0</v>
      </c>
      <c r="AD172">
        <v>47118</v>
      </c>
      <c r="AE172" t="str">
        <v>João Gameiro</v>
      </c>
      <c r="AF172" t="str">
        <v>Miguel Ribeiro</v>
      </c>
      <c r="AG172" t="str">
        <v>https://www.aroeiracollections.com/</v>
      </c>
      <c r="AH172" t="str">
        <v>Aroeira Collections by Missoni: Elegance inspired by iconic design, set beside the renowned PGA golf course — where luxury living meets the rhythm of the coast.</v>
      </c>
      <c r="AI172" t="str">
        <v>Gym, Spa, Condo Pool, Private Pools, Tennis &amp; Padel Courts, Outdoor Areas, Smart Home Technology, Private Parking, Reception, Missoni Interiors, PGA Golf Course</v>
      </c>
      <c r="AJ172"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72" t="str">
        <v>Ana Costa, João Favila, Pedro Domingos</v>
      </c>
      <c r="AL172" t="str">
        <v>Aroeira Collections</v>
      </c>
    </row>
    <row r="173" spans="1:38" x14ac:dyDescent="0.3">
      <c r="A173" t="str">
        <v>Aroeira - HOTEL APARTMENTS</v>
      </c>
      <c r="B173" t="str">
        <v>Center</v>
      </c>
      <c r="C173" t="str">
        <v>339A</v>
      </c>
      <c r="D173" t="str">
        <v>Herdade da Aroeira, Almada</v>
      </c>
      <c r="E173" t="str">
        <v>1-BR</v>
      </c>
      <c r="F173">
        <v>60.2</v>
      </c>
      <c r="G173">
        <v>0</v>
      </c>
      <c r="H173" t="str">
        <v>1</v>
      </c>
      <c r="I173" t="str">
        <v/>
      </c>
      <c r="J173">
        <v>3.9</v>
      </c>
      <c r="K173">
        <v>0</v>
      </c>
      <c r="L173">
        <v>0</v>
      </c>
      <c r="M173" s="79">
        <v>0</v>
      </c>
      <c r="N173">
        <v>0</v>
      </c>
      <c r="O173">
        <v>56.3</v>
      </c>
      <c r="P173">
        <v>0</v>
      </c>
      <c r="Q173" t="str">
        <v>AVAILABLE</v>
      </c>
      <c r="R173">
        <v>395000</v>
      </c>
      <c r="S173">
        <v>430000</v>
      </c>
      <c r="T173">
        <v>430000</v>
      </c>
      <c r="U173">
        <v>0</v>
      </c>
      <c r="V173">
        <v>35000</v>
      </c>
      <c r="W173">
        <v>395000</v>
      </c>
      <c r="X173">
        <v>0</v>
      </c>
      <c r="Y173">
        <v>0</v>
      </c>
      <c r="Z173">
        <v>-35000</v>
      </c>
      <c r="AA173">
        <v>45792</v>
      </c>
      <c r="AB173" t="str">
        <v>Q2 2025</v>
      </c>
      <c r="AC173">
        <v>0</v>
      </c>
      <c r="AD173">
        <v>47118</v>
      </c>
      <c r="AE173" t="str">
        <v>João Gameiro</v>
      </c>
      <c r="AF173" t="str">
        <v>Miguel Ribeiro</v>
      </c>
      <c r="AG173" t="str">
        <v>https://www.aroeiracollections.com/</v>
      </c>
      <c r="AH173" t="str">
        <v>Aroeira Collections by Missoni: Elegance inspired by iconic design, set beside the renowned PGA golf course — where luxury living meets the rhythm of the coast.</v>
      </c>
      <c r="AI173" t="str">
        <v>Gym, Spa, Condo Pool, Private Pools, Tennis &amp; Padel Courts, Outdoor Areas, Smart Home Technology, Private Parking, Reception, Missoni Interiors, PGA Golf Course</v>
      </c>
      <c r="AJ173"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73" t="str">
        <v>Ana Costa, João Favila, Pedro Domingos</v>
      </c>
      <c r="AL173" t="str">
        <v>Aroeira Collections</v>
      </c>
    </row>
    <row r="174" spans="1:38" x14ac:dyDescent="0.3">
      <c r="A174" t="str">
        <v>Aroeira - HOTEL APARTMENTS</v>
      </c>
      <c r="B174" t="str">
        <v>Center</v>
      </c>
      <c r="C174" t="str">
        <v>340A</v>
      </c>
      <c r="D174" t="str">
        <v>Herdade da Aroeira, Almada</v>
      </c>
      <c r="E174" t="str">
        <v>1-BR</v>
      </c>
      <c r="F174">
        <v>60.2</v>
      </c>
      <c r="G174">
        <v>0</v>
      </c>
      <c r="H174" t="str">
        <v>1</v>
      </c>
      <c r="I174" t="str">
        <v/>
      </c>
      <c r="J174">
        <v>3.9</v>
      </c>
      <c r="K174">
        <v>0</v>
      </c>
      <c r="L174">
        <v>0</v>
      </c>
      <c r="M174" s="79">
        <v>0</v>
      </c>
      <c r="N174">
        <v>0</v>
      </c>
      <c r="O174">
        <v>56.3</v>
      </c>
      <c r="P174">
        <v>0</v>
      </c>
      <c r="Q174" t="str">
        <v>AVAILABLE</v>
      </c>
      <c r="R174">
        <v>395000</v>
      </c>
      <c r="S174">
        <v>430000</v>
      </c>
      <c r="T174">
        <v>430000</v>
      </c>
      <c r="U174">
        <v>0</v>
      </c>
      <c r="V174">
        <v>35000</v>
      </c>
      <c r="W174">
        <v>395000</v>
      </c>
      <c r="X174">
        <v>0</v>
      </c>
      <c r="Y174">
        <v>0</v>
      </c>
      <c r="Z174">
        <v>-35000</v>
      </c>
      <c r="AA174">
        <v>45792</v>
      </c>
      <c r="AB174" t="str">
        <v>Q2 2025</v>
      </c>
      <c r="AC174">
        <v>0</v>
      </c>
      <c r="AD174">
        <v>47118</v>
      </c>
      <c r="AE174" t="str">
        <v>João Gameiro</v>
      </c>
      <c r="AF174" t="str">
        <v>Miguel Ribeiro</v>
      </c>
      <c r="AG174" t="str">
        <v>https://www.aroeiracollections.com/</v>
      </c>
      <c r="AH174" t="str">
        <v>Aroeira Collections by Missoni: Elegance inspired by iconic design, set beside the renowned PGA golf course — where luxury living meets the rhythm of the coast.</v>
      </c>
      <c r="AI174" t="str">
        <v>Gym, Spa, Condo Pool, Private Pools, Tennis &amp; Padel Courts, Outdoor Areas, Smart Home Technology, Private Parking, Reception, Missoni Interiors, PGA Golf Course</v>
      </c>
      <c r="AJ174"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74" t="str">
        <v>Ana Costa, João Favila, Pedro Domingos</v>
      </c>
      <c r="AL174" t="str">
        <v>Aroeira Collections</v>
      </c>
    </row>
    <row r="175" spans="1:38" x14ac:dyDescent="0.3">
      <c r="A175" t="str">
        <v>Aroeira - HOTEL APARTMENTS</v>
      </c>
      <c r="B175" t="str">
        <v>Center</v>
      </c>
      <c r="C175" t="str">
        <v>341A</v>
      </c>
      <c r="D175" t="str">
        <v>Herdade da Aroeira, Almada</v>
      </c>
      <c r="E175" t="str">
        <v>1-BR</v>
      </c>
      <c r="F175">
        <v>60.2</v>
      </c>
      <c r="G175">
        <v>0</v>
      </c>
      <c r="H175" t="str">
        <v>1</v>
      </c>
      <c r="I175" t="str">
        <v/>
      </c>
      <c r="J175">
        <v>3.9</v>
      </c>
      <c r="K175">
        <v>0</v>
      </c>
      <c r="L175">
        <v>0</v>
      </c>
      <c r="M175" s="79">
        <v>0</v>
      </c>
      <c r="N175">
        <v>0</v>
      </c>
      <c r="O175">
        <v>56.3</v>
      </c>
      <c r="P175">
        <v>0</v>
      </c>
      <c r="Q175" t="str">
        <v>AVAILABLE</v>
      </c>
      <c r="R175">
        <v>395000</v>
      </c>
      <c r="S175">
        <v>430000</v>
      </c>
      <c r="T175">
        <v>430000</v>
      </c>
      <c r="U175">
        <v>0</v>
      </c>
      <c r="V175">
        <v>35000</v>
      </c>
      <c r="W175">
        <v>395000</v>
      </c>
      <c r="X175">
        <v>0</v>
      </c>
      <c r="Y175">
        <v>0</v>
      </c>
      <c r="Z175">
        <v>-35000</v>
      </c>
      <c r="AA175">
        <v>45792</v>
      </c>
      <c r="AB175" t="str">
        <v>Q2 2025</v>
      </c>
      <c r="AC175">
        <v>0</v>
      </c>
      <c r="AD175">
        <v>47118</v>
      </c>
      <c r="AE175" t="str">
        <v>João Gameiro</v>
      </c>
      <c r="AF175" t="str">
        <v>Miguel Ribeiro</v>
      </c>
      <c r="AG175" t="str">
        <v>https://www.aroeiracollections.com/</v>
      </c>
      <c r="AH175" t="str">
        <v>Aroeira Collections by Missoni: Elegance inspired by iconic design, set beside the renowned PGA golf course — where luxury living meets the rhythm of the coast.</v>
      </c>
      <c r="AI175" t="str">
        <v>Gym, Spa, Condo Pool, Private Pools, Tennis &amp; Padel Courts, Outdoor Areas, Smart Home Technology, Private Parking, Reception, Missoni Interiors, PGA Golf Course</v>
      </c>
      <c r="AJ175"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75" t="str">
        <v>Ana Costa, João Favila, Pedro Domingos</v>
      </c>
      <c r="AL175" t="str">
        <v>Aroeira Collections</v>
      </c>
    </row>
    <row r="176" spans="1:38" x14ac:dyDescent="0.3">
      <c r="A176" t="str">
        <v>Aroeira - HOTEL APARTMENTS</v>
      </c>
      <c r="B176" t="str">
        <v>Center</v>
      </c>
      <c r="C176" t="str">
        <v>342A</v>
      </c>
      <c r="D176" t="str">
        <v>Herdade da Aroeira, Almada</v>
      </c>
      <c r="E176" t="str">
        <v>1-BR</v>
      </c>
      <c r="F176">
        <v>60.2</v>
      </c>
      <c r="G176">
        <v>0</v>
      </c>
      <c r="H176" t="str">
        <v>1</v>
      </c>
      <c r="I176" t="str">
        <v/>
      </c>
      <c r="J176">
        <v>3.9</v>
      </c>
      <c r="K176">
        <v>0</v>
      </c>
      <c r="L176">
        <v>0</v>
      </c>
      <c r="M176" s="79">
        <v>0</v>
      </c>
      <c r="N176">
        <v>0</v>
      </c>
      <c r="O176">
        <v>56.3</v>
      </c>
      <c r="P176">
        <v>0</v>
      </c>
      <c r="Q176" t="str">
        <v>AVAILABLE</v>
      </c>
      <c r="R176">
        <v>395000</v>
      </c>
      <c r="S176">
        <v>430000</v>
      </c>
      <c r="T176">
        <v>430000</v>
      </c>
      <c r="U176">
        <v>0</v>
      </c>
      <c r="V176">
        <v>35000</v>
      </c>
      <c r="W176">
        <v>395000</v>
      </c>
      <c r="X176">
        <v>0</v>
      </c>
      <c r="Y176">
        <v>0</v>
      </c>
      <c r="Z176">
        <v>-35000</v>
      </c>
      <c r="AA176">
        <v>45792</v>
      </c>
      <c r="AB176" t="str">
        <v>Q2 2025</v>
      </c>
      <c r="AC176">
        <v>0</v>
      </c>
      <c r="AD176">
        <v>47118</v>
      </c>
      <c r="AE176" t="str">
        <v>João Gameiro</v>
      </c>
      <c r="AF176" t="str">
        <v>Miguel Ribeiro</v>
      </c>
      <c r="AG176" t="str">
        <v>https://www.aroeiracollections.com/</v>
      </c>
      <c r="AH176" t="str">
        <v>Aroeira Collections by Missoni: Elegance inspired by iconic design, set beside the renowned PGA golf course — where luxury living meets the rhythm of the coast.</v>
      </c>
      <c r="AI176" t="str">
        <v>Gym, Spa, Condo Pool, Private Pools, Tennis &amp; Padel Courts, Outdoor Areas, Smart Home Technology, Private Parking, Reception, Missoni Interiors, PGA Golf Course</v>
      </c>
      <c r="AJ176"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76" t="str">
        <v>Ana Costa, João Favila, Pedro Domingos</v>
      </c>
      <c r="AL176" t="str">
        <v>Aroeira Collections</v>
      </c>
    </row>
    <row r="177" spans="1:38" x14ac:dyDescent="0.3">
      <c r="A177" t="str">
        <v>Aroeira - HOTEL APARTMENTS</v>
      </c>
      <c r="B177" t="str">
        <v>Center</v>
      </c>
      <c r="C177" t="str">
        <v>343A</v>
      </c>
      <c r="D177" t="str">
        <v>Herdade da Aroeira, Almada</v>
      </c>
      <c r="E177" t="str">
        <v>1-BR</v>
      </c>
      <c r="F177">
        <v>56.5</v>
      </c>
      <c r="G177">
        <v>0</v>
      </c>
      <c r="H177" t="str">
        <v>1</v>
      </c>
      <c r="I177" t="str">
        <v/>
      </c>
      <c r="J177">
        <v>5</v>
      </c>
      <c r="K177">
        <v>0</v>
      </c>
      <c r="L177">
        <v>0</v>
      </c>
      <c r="M177" s="79">
        <v>0</v>
      </c>
      <c r="N177">
        <v>0</v>
      </c>
      <c r="O177">
        <v>51.5</v>
      </c>
      <c r="P177">
        <v>0</v>
      </c>
      <c r="Q177" t="str">
        <v>AVAILABLE</v>
      </c>
      <c r="R177">
        <v>665000</v>
      </c>
      <c r="S177">
        <v>700000</v>
      </c>
      <c r="T177">
        <v>405000</v>
      </c>
      <c r="U177">
        <v>0</v>
      </c>
      <c r="V177">
        <v>35000</v>
      </c>
      <c r="W177">
        <v>370000</v>
      </c>
      <c r="X177">
        <v>0</v>
      </c>
      <c r="Y177">
        <v>0</v>
      </c>
      <c r="Z177">
        <v>-35000</v>
      </c>
      <c r="AA177">
        <v>45792</v>
      </c>
      <c r="AB177" t="str">
        <v>Q2 2025</v>
      </c>
      <c r="AC177">
        <v>0</v>
      </c>
      <c r="AD177">
        <v>47118</v>
      </c>
      <c r="AE177" t="str">
        <v>João Gameiro</v>
      </c>
      <c r="AF177" t="str">
        <v>Miguel Ribeiro</v>
      </c>
      <c r="AG177" t="str">
        <v>https://www.aroeiracollections.com/</v>
      </c>
      <c r="AH177" t="str">
        <v>Aroeira Collections by Missoni: Elegance inspired by iconic design, set beside the renowned PGA golf course — where luxury living meets the rhythm of the coast.</v>
      </c>
      <c r="AI177" t="str">
        <v>Gym, Spa, Condo Pool, Private Pools, Tennis &amp; Padel Courts, Outdoor Areas, Smart Home Technology, Private Parking, Reception, Missoni Interiors, PGA Golf Course</v>
      </c>
      <c r="AJ177"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77" t="str">
        <v>Ana Costa, João Favila, Pedro Domingos</v>
      </c>
      <c r="AL177" t="str">
        <v>Aroeira Collections</v>
      </c>
    </row>
    <row r="178" spans="1:38" x14ac:dyDescent="0.3">
      <c r="A178" t="str">
        <v>Aroeira - HOTEL APARTMENTS</v>
      </c>
      <c r="B178" t="str">
        <v>Center</v>
      </c>
      <c r="C178" t="str">
        <v>344A</v>
      </c>
      <c r="D178" t="str">
        <v>Herdade da Aroeira, Almada</v>
      </c>
      <c r="E178" t="str">
        <v>1-BR</v>
      </c>
      <c r="F178">
        <v>56.5</v>
      </c>
      <c r="G178">
        <v>0</v>
      </c>
      <c r="H178" t="str">
        <v>1</v>
      </c>
      <c r="I178" t="str">
        <v/>
      </c>
      <c r="J178">
        <v>5</v>
      </c>
      <c r="K178">
        <v>0</v>
      </c>
      <c r="L178">
        <v>0</v>
      </c>
      <c r="M178" s="79">
        <v>0</v>
      </c>
      <c r="N178">
        <v>0</v>
      </c>
      <c r="O178">
        <v>51.5</v>
      </c>
      <c r="P178">
        <v>0</v>
      </c>
      <c r="Q178" t="str">
        <v>AVAILABLE</v>
      </c>
      <c r="R178">
        <v>705000</v>
      </c>
      <c r="S178">
        <v>740000</v>
      </c>
      <c r="T178">
        <v>405000</v>
      </c>
      <c r="U178">
        <v>0</v>
      </c>
      <c r="V178">
        <v>35000</v>
      </c>
      <c r="W178">
        <v>370000</v>
      </c>
      <c r="X178">
        <v>0</v>
      </c>
      <c r="Y178">
        <v>0</v>
      </c>
      <c r="Z178">
        <v>-35000</v>
      </c>
      <c r="AA178">
        <v>45792</v>
      </c>
      <c r="AB178" t="str">
        <v>Q2 2025</v>
      </c>
      <c r="AC178">
        <v>0</v>
      </c>
      <c r="AD178">
        <v>47118</v>
      </c>
      <c r="AE178" t="str">
        <v>João Gameiro</v>
      </c>
      <c r="AF178" t="str">
        <v>Miguel Ribeiro</v>
      </c>
      <c r="AG178" t="str">
        <v>https://www.aroeiracollections.com/</v>
      </c>
      <c r="AH178" t="str">
        <v>Aroeira Collections by Missoni: Elegance inspired by iconic design, set beside the renowned PGA golf course — where luxury living meets the rhythm of the coast.</v>
      </c>
      <c r="AI178" t="str">
        <v>Gym, Spa, Condo Pool, Private Pools, Tennis &amp; Padel Courts, Outdoor Areas, Smart Home Technology, Private Parking, Reception, Missoni Interiors, PGA Golf Course</v>
      </c>
      <c r="AJ178"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78" t="str">
        <v>Ana Costa, João Favila, Pedro Domingos</v>
      </c>
      <c r="AL178" t="str">
        <v>Aroeira Collections</v>
      </c>
    </row>
    <row r="179" spans="1:38" x14ac:dyDescent="0.3">
      <c r="A179" t="str">
        <v>Aroeira - HOTEL APARTMENTS</v>
      </c>
      <c r="B179" t="str">
        <v>Center</v>
      </c>
      <c r="C179" t="str">
        <v>345A</v>
      </c>
      <c r="D179" t="str">
        <v>Herdade da Aroeira, Almada</v>
      </c>
      <c r="E179" t="str">
        <v>1-BR</v>
      </c>
      <c r="F179">
        <v>56.5</v>
      </c>
      <c r="G179">
        <v>0</v>
      </c>
      <c r="H179" t="str">
        <v>1</v>
      </c>
      <c r="I179" t="str">
        <v/>
      </c>
      <c r="J179">
        <v>5</v>
      </c>
      <c r="K179">
        <v>0</v>
      </c>
      <c r="L179">
        <v>0</v>
      </c>
      <c r="M179" s="79">
        <v>0</v>
      </c>
      <c r="N179">
        <v>0</v>
      </c>
      <c r="O179">
        <v>51.5</v>
      </c>
      <c r="P179">
        <v>0</v>
      </c>
      <c r="Q179" t="str">
        <v>AVAILABLE</v>
      </c>
      <c r="R179">
        <v>915000</v>
      </c>
      <c r="S179">
        <v>950000</v>
      </c>
      <c r="T179">
        <v>405000</v>
      </c>
      <c r="U179">
        <v>0</v>
      </c>
      <c r="V179">
        <v>35000</v>
      </c>
      <c r="W179">
        <v>370000</v>
      </c>
      <c r="X179">
        <v>0</v>
      </c>
      <c r="Y179">
        <v>0</v>
      </c>
      <c r="Z179">
        <v>-35000</v>
      </c>
      <c r="AA179">
        <v>45792</v>
      </c>
      <c r="AB179" t="str">
        <v>Q2 2025</v>
      </c>
      <c r="AC179">
        <v>0</v>
      </c>
      <c r="AD179">
        <v>47118</v>
      </c>
      <c r="AE179" t="str">
        <v>João Gameiro</v>
      </c>
      <c r="AF179" t="str">
        <v>Miguel Ribeiro</v>
      </c>
      <c r="AG179" t="str">
        <v>https://www.aroeiracollections.com/</v>
      </c>
      <c r="AH179" t="str">
        <v>Aroeira Collections by Missoni: Elegance inspired by iconic design, set beside the renowned PGA golf course — where luxury living meets the rhythm of the coast.</v>
      </c>
      <c r="AI179" t="str">
        <v>Gym, Spa, Condo Pool, Private Pools, Tennis &amp; Padel Courts, Outdoor Areas, Smart Home Technology, Private Parking, Reception, Missoni Interiors, PGA Golf Course</v>
      </c>
      <c r="AJ179"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79" t="str">
        <v>Ana Costa, João Favila, Pedro Domingos</v>
      </c>
      <c r="AL179" t="str">
        <v>Aroeira Collections</v>
      </c>
    </row>
    <row r="180" spans="1:38" x14ac:dyDescent="0.3">
      <c r="A180" t="str">
        <v>Aroeira - HOTEL APARTMENTS</v>
      </c>
      <c r="B180" t="str">
        <v>Center</v>
      </c>
      <c r="C180" t="str">
        <v>346A</v>
      </c>
      <c r="D180" t="str">
        <v>Herdade da Aroeira, Almada</v>
      </c>
      <c r="E180" t="str">
        <v>1-BR</v>
      </c>
      <c r="F180">
        <v>56.5</v>
      </c>
      <c r="G180">
        <v>0</v>
      </c>
      <c r="H180" t="str">
        <v>1</v>
      </c>
      <c r="I180" t="str">
        <v/>
      </c>
      <c r="J180">
        <v>5</v>
      </c>
      <c r="K180">
        <v>0</v>
      </c>
      <c r="L180">
        <v>0</v>
      </c>
      <c r="M180" s="79">
        <v>0</v>
      </c>
      <c r="N180">
        <v>0</v>
      </c>
      <c r="O180">
        <v>51.5</v>
      </c>
      <c r="P180">
        <v>0</v>
      </c>
      <c r="Q180" t="str">
        <v>AVAILABLE</v>
      </c>
      <c r="R180">
        <v>1055000</v>
      </c>
      <c r="S180">
        <v>1090000</v>
      </c>
      <c r="T180">
        <v>405000</v>
      </c>
      <c r="U180">
        <v>0</v>
      </c>
      <c r="V180">
        <v>35000</v>
      </c>
      <c r="W180">
        <v>370000</v>
      </c>
      <c r="X180">
        <v>0</v>
      </c>
      <c r="Y180">
        <v>0</v>
      </c>
      <c r="Z180">
        <v>-35000</v>
      </c>
      <c r="AA180">
        <v>45792</v>
      </c>
      <c r="AB180" t="str">
        <v>Q2 2025</v>
      </c>
      <c r="AC180">
        <v>0</v>
      </c>
      <c r="AD180">
        <v>47118</v>
      </c>
      <c r="AE180" t="str">
        <v>João Gameiro</v>
      </c>
      <c r="AF180" t="str">
        <v>Miguel Ribeiro</v>
      </c>
      <c r="AG180" t="str">
        <v>https://www.aroeiracollections.com/</v>
      </c>
      <c r="AH180" t="str">
        <v>Aroeira Collections by Missoni: Elegance inspired by iconic design, set beside the renowned PGA golf course — where luxury living meets the rhythm of the coast.</v>
      </c>
      <c r="AI180" t="str">
        <v>Gym, Spa, Condo Pool, Private Pools, Tennis &amp; Padel Courts, Outdoor Areas, Smart Home Technology, Private Parking, Reception, Missoni Interiors, PGA Golf Course</v>
      </c>
      <c r="AJ180"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80" t="str">
        <v>Ana Costa, João Favila, Pedro Domingos</v>
      </c>
      <c r="AL180" t="str">
        <v>Aroeira Collections</v>
      </c>
    </row>
    <row r="181" spans="1:38" x14ac:dyDescent="0.3">
      <c r="A181" t="str">
        <v>Aroeira - HOUSES</v>
      </c>
      <c r="B181" t="str">
        <v>Center</v>
      </c>
      <c r="C181" t="str">
        <v>01B</v>
      </c>
      <c r="D181" t="str">
        <v>Herdade da Aroeira, Almada</v>
      </c>
      <c r="E181" t="str">
        <v>T2</v>
      </c>
      <c r="F181">
        <v>167</v>
      </c>
      <c r="G181">
        <v>0</v>
      </c>
      <c r="H181" t="str">
        <v>1</v>
      </c>
      <c r="I181" t="str">
        <v/>
      </c>
      <c r="J181">
        <v>0</v>
      </c>
      <c r="K181">
        <v>0</v>
      </c>
      <c r="L181">
        <v>0</v>
      </c>
      <c r="M181" s="79">
        <v>31</v>
      </c>
      <c r="N181">
        <v>20</v>
      </c>
      <c r="O181">
        <v>116</v>
      </c>
      <c r="P181">
        <v>0</v>
      </c>
      <c r="Q181" t="str">
        <v xml:space="preserve">PSPA </v>
      </c>
      <c r="R181">
        <v>925000</v>
      </c>
      <c r="S181">
        <v>925000</v>
      </c>
      <c r="T181">
        <v>925000</v>
      </c>
      <c r="U181">
        <v>0</v>
      </c>
      <c r="V181">
        <v>0</v>
      </c>
      <c r="W181">
        <v>925000</v>
      </c>
      <c r="X181">
        <v>0</v>
      </c>
      <c r="Y181">
        <v>925000</v>
      </c>
      <c r="Z181">
        <v>925000</v>
      </c>
      <c r="AA181">
        <v>45792</v>
      </c>
      <c r="AB181" t="str">
        <v>Q2 2025</v>
      </c>
      <c r="AC181">
        <v>45904</v>
      </c>
      <c r="AD181">
        <v>47118</v>
      </c>
      <c r="AE181" t="str">
        <v>João Gameiro</v>
      </c>
      <c r="AF181" t="str">
        <v>Miguel Ribeiro</v>
      </c>
      <c r="AG181" t="str">
        <v>https://www.aroeiracollections.com/</v>
      </c>
      <c r="AH181" t="str">
        <v>Aroeira Collections by Missoni: Elegance inspired by iconic design, set beside the renowned PGA golf course — where luxury living meets the rhythm of the coast.</v>
      </c>
      <c r="AI181" t="str">
        <v>Gym, Spa, Condo Pool, Private Pools, Tennis &amp; Padel Courts, Outdoor Areas, Smart Home Technology, Private Parking, Reception, Missoni Interiors, PGA Golf Course</v>
      </c>
      <c r="AJ181"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81" t="str">
        <v>Ana Costa, João Favila, Pedro Domingos</v>
      </c>
      <c r="AL181" t="str">
        <v>Aroeira Collections</v>
      </c>
    </row>
    <row r="182" spans="1:38" x14ac:dyDescent="0.3">
      <c r="A182" t="str">
        <v>Aroeira - HOUSES</v>
      </c>
      <c r="B182" t="str">
        <v>Center</v>
      </c>
      <c r="C182" t="str">
        <v>02B</v>
      </c>
      <c r="D182" t="str">
        <v>Herdade da Aroeira, Almada</v>
      </c>
      <c r="E182" t="str">
        <v>T2</v>
      </c>
      <c r="F182">
        <v>194.4</v>
      </c>
      <c r="G182">
        <v>0</v>
      </c>
      <c r="H182" t="str">
        <v>1</v>
      </c>
      <c r="I182" t="str">
        <v/>
      </c>
      <c r="J182">
        <v>0</v>
      </c>
      <c r="K182">
        <v>0</v>
      </c>
      <c r="L182">
        <v>0</v>
      </c>
      <c r="M182" s="79">
        <v>27</v>
      </c>
      <c r="N182">
        <v>30</v>
      </c>
      <c r="O182">
        <v>137.4</v>
      </c>
      <c r="P182">
        <v>0</v>
      </c>
      <c r="Q182" t="str">
        <v xml:space="preserve">PSPA </v>
      </c>
      <c r="R182">
        <v>1105000</v>
      </c>
      <c r="S182">
        <v>1105000</v>
      </c>
      <c r="T182">
        <v>1105000</v>
      </c>
      <c r="U182">
        <v>0</v>
      </c>
      <c r="V182">
        <v>0</v>
      </c>
      <c r="W182">
        <v>1105000</v>
      </c>
      <c r="X182">
        <v>0</v>
      </c>
      <c r="Y182">
        <v>1105000</v>
      </c>
      <c r="Z182">
        <v>1105000</v>
      </c>
      <c r="AA182">
        <v>45792</v>
      </c>
      <c r="AB182" t="str">
        <v>Q2 2025</v>
      </c>
      <c r="AC182">
        <v>45996</v>
      </c>
      <c r="AD182">
        <v>47118</v>
      </c>
      <c r="AE182" t="str">
        <v>João Gameiro</v>
      </c>
      <c r="AF182" t="str">
        <v>Miguel Ribeiro</v>
      </c>
      <c r="AG182" t="str">
        <v>https://www.aroeiracollections.com/</v>
      </c>
      <c r="AH182" t="str">
        <v>Aroeira Collections by Missoni: Elegance inspired by iconic design, set beside the renowned PGA golf course — where luxury living meets the rhythm of the coast.</v>
      </c>
      <c r="AI182" t="str">
        <v>Gym, Spa, Condo Pool, Private Pools, Tennis &amp; Padel Courts, Outdoor Areas, Smart Home Technology, Private Parking, Reception, Missoni Interiors, PGA Golf Course</v>
      </c>
      <c r="AJ182"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82" t="str">
        <v>Ana Costa, João Favila, Pedro Domingos</v>
      </c>
      <c r="AL182" t="str">
        <v>Aroeira Collections</v>
      </c>
    </row>
    <row r="183" spans="1:38" x14ac:dyDescent="0.3">
      <c r="A183" t="str">
        <v>Aroeira - HOUSES</v>
      </c>
      <c r="B183" t="str">
        <v>Center</v>
      </c>
      <c r="C183" t="str">
        <v>05B</v>
      </c>
      <c r="D183" t="str">
        <v>Herdade da Aroeira, Almada</v>
      </c>
      <c r="E183" t="str">
        <v>T2</v>
      </c>
      <c r="F183">
        <v>194.4</v>
      </c>
      <c r="G183">
        <v>0</v>
      </c>
      <c r="H183" t="str">
        <v>1</v>
      </c>
      <c r="I183" t="str">
        <v/>
      </c>
      <c r="J183">
        <v>0</v>
      </c>
      <c r="K183">
        <v>0</v>
      </c>
      <c r="L183">
        <v>0</v>
      </c>
      <c r="M183" s="79">
        <v>31</v>
      </c>
      <c r="N183">
        <v>26</v>
      </c>
      <c r="O183">
        <v>137.4</v>
      </c>
      <c r="P183">
        <v>0</v>
      </c>
      <c r="Q183" t="str">
        <v>RESERVED</v>
      </c>
      <c r="R183">
        <v>1100000</v>
      </c>
      <c r="S183">
        <v>1100000</v>
      </c>
      <c r="T183">
        <v>1160000</v>
      </c>
      <c r="U183">
        <v>0</v>
      </c>
      <c r="V183">
        <v>0</v>
      </c>
      <c r="W183">
        <v>1160000</v>
      </c>
      <c r="X183">
        <v>0</v>
      </c>
      <c r="Y183">
        <v>1160000</v>
      </c>
      <c r="Z183">
        <v>1160000</v>
      </c>
      <c r="AA183">
        <v>45792</v>
      </c>
      <c r="AB183" t="str">
        <v>Q2 2025</v>
      </c>
      <c r="AC183">
        <v>45968</v>
      </c>
      <c r="AD183">
        <v>47118</v>
      </c>
      <c r="AE183" t="str">
        <v>João Gameiro</v>
      </c>
      <c r="AF183" t="str">
        <v>Miguel Ribeiro</v>
      </c>
      <c r="AG183" t="str">
        <v>https://www.aroeiracollections.com/</v>
      </c>
      <c r="AH183" t="str">
        <v>Aroeira Collections by Missoni: Elegance inspired by iconic design, set beside the renowned PGA golf course — where luxury living meets the rhythm of the coast.</v>
      </c>
      <c r="AI183" t="str">
        <v>Gym, Spa, Condo Pool, Private Pools, Tennis &amp; Padel Courts, Outdoor Areas, Smart Home Technology, Private Parking, Reception, Missoni Interiors, PGA Golf Course</v>
      </c>
      <c r="AJ183"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83" t="str">
        <v>Ana Costa, João Favila, Pedro Domingos</v>
      </c>
      <c r="AL183" t="str">
        <v>Aroeira Collections</v>
      </c>
    </row>
    <row r="184" spans="1:38" x14ac:dyDescent="0.3">
      <c r="A184" t="str">
        <v>Aroeira - HOUSES</v>
      </c>
      <c r="B184" t="str">
        <v>Center</v>
      </c>
      <c r="C184" t="str">
        <v>03B</v>
      </c>
      <c r="D184" t="str">
        <v>Herdade da Aroeira, Almada</v>
      </c>
      <c r="E184" t="str">
        <v>T2</v>
      </c>
      <c r="F184">
        <v>167</v>
      </c>
      <c r="G184">
        <v>0</v>
      </c>
      <c r="H184" t="str">
        <v>1</v>
      </c>
      <c r="I184" t="str">
        <v/>
      </c>
      <c r="J184">
        <v>0</v>
      </c>
      <c r="K184">
        <v>0</v>
      </c>
      <c r="L184">
        <v>0</v>
      </c>
      <c r="M184" s="79">
        <v>31</v>
      </c>
      <c r="N184">
        <v>20</v>
      </c>
      <c r="O184">
        <v>116</v>
      </c>
      <c r="P184">
        <v>0</v>
      </c>
      <c r="Q184" t="str">
        <v xml:space="preserve">PSPA </v>
      </c>
      <c r="R184">
        <v>925000</v>
      </c>
      <c r="S184">
        <v>925000</v>
      </c>
      <c r="T184">
        <v>925000</v>
      </c>
      <c r="U184">
        <v>0</v>
      </c>
      <c r="V184">
        <v>0</v>
      </c>
      <c r="W184">
        <v>925000</v>
      </c>
      <c r="X184">
        <v>0</v>
      </c>
      <c r="Y184">
        <v>925000</v>
      </c>
      <c r="Z184">
        <v>925000</v>
      </c>
      <c r="AA184">
        <v>45792</v>
      </c>
      <c r="AB184" t="str">
        <v>Q2 2025</v>
      </c>
      <c r="AC184">
        <v>45967</v>
      </c>
      <c r="AD184">
        <v>47118</v>
      </c>
      <c r="AE184" t="str">
        <v>João Gameiro</v>
      </c>
      <c r="AF184" t="str">
        <v>Miguel Ribeiro</v>
      </c>
      <c r="AG184" t="str">
        <v>https://www.aroeiracollections.com/</v>
      </c>
      <c r="AH184" t="str">
        <v>Aroeira Collections by Missoni: Elegance inspired by iconic design, set beside the renowned PGA golf course — where luxury living meets the rhythm of the coast.</v>
      </c>
      <c r="AI184" t="str">
        <v>Gym, Spa, Condo Pool, Private Pools, Tennis &amp; Padel Courts, Outdoor Areas, Smart Home Technology, Private Parking, Reception, Missoni Interiors, PGA Golf Course</v>
      </c>
      <c r="AJ184"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84" t="str">
        <v>Ana Costa, João Favila, Pedro Domingos</v>
      </c>
      <c r="AL184" t="str">
        <v>Aroeira Collections</v>
      </c>
    </row>
    <row r="185" spans="1:38" x14ac:dyDescent="0.3">
      <c r="A185" t="str">
        <v>Aroeira - HOUSES</v>
      </c>
      <c r="B185" t="str">
        <v>Center</v>
      </c>
      <c r="C185" t="str">
        <v>04B</v>
      </c>
      <c r="D185" t="str">
        <v>Herdade da Aroeira, Almada</v>
      </c>
      <c r="E185" t="str">
        <v>T2</v>
      </c>
      <c r="F185">
        <v>167</v>
      </c>
      <c r="G185">
        <v>0</v>
      </c>
      <c r="H185" t="str">
        <v>1</v>
      </c>
      <c r="I185" t="str">
        <v/>
      </c>
      <c r="J185">
        <v>0</v>
      </c>
      <c r="K185">
        <v>0</v>
      </c>
      <c r="L185">
        <v>0</v>
      </c>
      <c r="M185" s="79">
        <v>31</v>
      </c>
      <c r="N185">
        <v>20</v>
      </c>
      <c r="O185">
        <v>116</v>
      </c>
      <c r="P185">
        <v>0</v>
      </c>
      <c r="Q185" t="str">
        <v xml:space="preserve">PSPA </v>
      </c>
      <c r="R185">
        <v>925000</v>
      </c>
      <c r="S185">
        <v>925000</v>
      </c>
      <c r="T185">
        <v>925000</v>
      </c>
      <c r="U185">
        <v>0</v>
      </c>
      <c r="V185">
        <v>0</v>
      </c>
      <c r="W185">
        <v>925000</v>
      </c>
      <c r="X185">
        <v>0</v>
      </c>
      <c r="Y185">
        <v>925000</v>
      </c>
      <c r="Z185">
        <v>925000</v>
      </c>
      <c r="AA185">
        <v>45792</v>
      </c>
      <c r="AB185" t="str">
        <v>Q2 2025</v>
      </c>
      <c r="AC185">
        <v>45968</v>
      </c>
      <c r="AD185">
        <v>47118</v>
      </c>
      <c r="AE185" t="str">
        <v>João Gameiro</v>
      </c>
      <c r="AF185" t="str">
        <v>Miguel Ribeiro</v>
      </c>
      <c r="AG185" t="str">
        <v>https://www.aroeiracollections.com/</v>
      </c>
      <c r="AH185" t="str">
        <v>Aroeira Collections by Missoni: Elegance inspired by iconic design, set beside the renowned PGA golf course — where luxury living meets the rhythm of the coast.</v>
      </c>
      <c r="AI185" t="str">
        <v>Gym, Spa, Condo Pool, Private Pools, Tennis &amp; Padel Courts, Outdoor Areas, Smart Home Technology, Private Parking, Reception, Missoni Interiors, PGA Golf Course</v>
      </c>
      <c r="AJ185"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85" t="str">
        <v>Ana Costa, João Favila, Pedro Domingos</v>
      </c>
      <c r="AL185" t="str">
        <v>Aroeira Collections</v>
      </c>
    </row>
    <row r="186" spans="1:38" x14ac:dyDescent="0.3">
      <c r="A186" t="str">
        <v>Aroeira - HOUSES</v>
      </c>
      <c r="B186" t="str">
        <v>Center</v>
      </c>
      <c r="C186" t="str">
        <v>06B</v>
      </c>
      <c r="D186" t="str">
        <v>Herdade da Aroeira, Almada</v>
      </c>
      <c r="E186" t="str">
        <v>T2</v>
      </c>
      <c r="F186">
        <v>196.4</v>
      </c>
      <c r="G186">
        <v>0</v>
      </c>
      <c r="H186" t="str">
        <v>1</v>
      </c>
      <c r="I186" t="str">
        <v/>
      </c>
      <c r="J186">
        <v>0</v>
      </c>
      <c r="K186">
        <v>0</v>
      </c>
      <c r="L186">
        <v>0</v>
      </c>
      <c r="M186" s="79">
        <v>33</v>
      </c>
      <c r="N186">
        <v>26</v>
      </c>
      <c r="O186">
        <v>137.4</v>
      </c>
      <c r="P186">
        <v>0</v>
      </c>
      <c r="Q186" t="str">
        <v xml:space="preserve">PSPA </v>
      </c>
      <c r="R186">
        <v>1100000</v>
      </c>
      <c r="S186">
        <v>1100000</v>
      </c>
      <c r="T186">
        <v>1100000</v>
      </c>
      <c r="U186">
        <v>0</v>
      </c>
      <c r="V186">
        <v>0</v>
      </c>
      <c r="W186">
        <v>1100000</v>
      </c>
      <c r="X186">
        <v>0</v>
      </c>
      <c r="Y186">
        <v>1100000</v>
      </c>
      <c r="Z186">
        <v>1100000</v>
      </c>
      <c r="AA186">
        <v>45792</v>
      </c>
      <c r="AB186" t="str">
        <v>Q2 2025</v>
      </c>
      <c r="AC186">
        <v>46038</v>
      </c>
      <c r="AD186">
        <v>47118</v>
      </c>
      <c r="AE186" t="str">
        <v>João Gameiro</v>
      </c>
      <c r="AF186" t="str">
        <v>Miguel Ribeiro</v>
      </c>
      <c r="AG186" t="str">
        <v>https://www.aroeiracollections.com/</v>
      </c>
      <c r="AH186" t="str">
        <v>Aroeira Collections by Missoni: Elegance inspired by iconic design, set beside the renowned PGA golf course — where luxury living meets the rhythm of the coast.</v>
      </c>
      <c r="AI186" t="str">
        <v>Gym, Spa, Condo Pool, Private Pools, Tennis &amp; Padel Courts, Outdoor Areas, Smart Home Technology, Private Parking, Reception, Missoni Interiors, PGA Golf Course</v>
      </c>
      <c r="AJ186"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86" t="str">
        <v>Ana Costa, João Favila, Pedro Domingos</v>
      </c>
      <c r="AL186" t="str">
        <v>Aroeira Collections</v>
      </c>
    </row>
    <row r="187" spans="1:38" x14ac:dyDescent="0.3">
      <c r="A187" t="str">
        <v>Aroeira - HOUSES</v>
      </c>
      <c r="B187" t="str">
        <v>Center</v>
      </c>
      <c r="C187" t="str">
        <v>07B</v>
      </c>
      <c r="D187" t="str">
        <v>Herdade da Aroeira, Almada</v>
      </c>
      <c r="E187" t="str">
        <v>T2</v>
      </c>
      <c r="F187">
        <v>167</v>
      </c>
      <c r="G187">
        <v>0</v>
      </c>
      <c r="H187" t="str">
        <v>1</v>
      </c>
      <c r="I187" t="str">
        <v/>
      </c>
      <c r="J187">
        <v>0</v>
      </c>
      <c r="K187">
        <v>0</v>
      </c>
      <c r="L187">
        <v>0</v>
      </c>
      <c r="M187" s="79">
        <v>31</v>
      </c>
      <c r="N187">
        <v>20</v>
      </c>
      <c r="O187">
        <v>116</v>
      </c>
      <c r="P187">
        <v>0</v>
      </c>
      <c r="Q187" t="str">
        <v xml:space="preserve">PSPA </v>
      </c>
      <c r="R187">
        <v>910000</v>
      </c>
      <c r="S187">
        <v>910000</v>
      </c>
      <c r="T187">
        <v>940000</v>
      </c>
      <c r="U187">
        <v>0</v>
      </c>
      <c r="V187">
        <v>0</v>
      </c>
      <c r="W187">
        <v>940000</v>
      </c>
      <c r="X187">
        <v>0</v>
      </c>
      <c r="Y187">
        <v>940000</v>
      </c>
      <c r="Z187">
        <v>940000</v>
      </c>
      <c r="AA187">
        <v>45792</v>
      </c>
      <c r="AB187" t="str">
        <v>Q2 2025</v>
      </c>
      <c r="AC187">
        <v>45989</v>
      </c>
      <c r="AD187">
        <v>47118</v>
      </c>
      <c r="AE187" t="str">
        <v>João Gameiro</v>
      </c>
      <c r="AF187" t="str">
        <v>Miguel Ribeiro</v>
      </c>
      <c r="AG187" t="str">
        <v>https://www.aroeiracollections.com/</v>
      </c>
      <c r="AH187" t="str">
        <v>Aroeira Collections by Missoni: Elegance inspired by iconic design, set beside the renowned PGA golf course — where luxury living meets the rhythm of the coast.</v>
      </c>
      <c r="AI187" t="str">
        <v>Gym, Spa, Condo Pool, Private Pools, Tennis &amp; Padel Courts, Outdoor Areas, Smart Home Technology, Private Parking, Reception, Missoni Interiors, PGA Golf Course</v>
      </c>
      <c r="AJ187"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87" t="str">
        <v>Ana Costa, João Favila, Pedro Domingos</v>
      </c>
      <c r="AL187" t="str">
        <v>Aroeira Collections</v>
      </c>
    </row>
    <row r="188" spans="1:38" x14ac:dyDescent="0.3">
      <c r="A188" t="str">
        <v>Aroeira - HOUSES</v>
      </c>
      <c r="B188" t="str">
        <v>Center</v>
      </c>
      <c r="C188" t="str">
        <v>15B</v>
      </c>
      <c r="D188" t="str">
        <v>Herdade da Aroeira, Almada</v>
      </c>
      <c r="E188" t="str">
        <v>T2</v>
      </c>
      <c r="F188">
        <v>195.8</v>
      </c>
      <c r="G188">
        <v>0</v>
      </c>
      <c r="H188" t="str">
        <v>1</v>
      </c>
      <c r="I188" t="str">
        <v/>
      </c>
      <c r="J188">
        <v>0</v>
      </c>
      <c r="K188">
        <v>0</v>
      </c>
      <c r="L188">
        <v>0</v>
      </c>
      <c r="M188" s="79">
        <v>30</v>
      </c>
      <c r="N188">
        <v>28</v>
      </c>
      <c r="O188">
        <v>137.80000000000001</v>
      </c>
      <c r="P188">
        <v>0</v>
      </c>
      <c r="Q188" t="str">
        <v xml:space="preserve">PSPA </v>
      </c>
      <c r="R188">
        <v>1080000</v>
      </c>
      <c r="S188">
        <v>1080000</v>
      </c>
      <c r="T188">
        <v>1100000</v>
      </c>
      <c r="U188">
        <v>0</v>
      </c>
      <c r="V188">
        <v>0</v>
      </c>
      <c r="W188">
        <v>1100000</v>
      </c>
      <c r="X188">
        <v>0</v>
      </c>
      <c r="Y188">
        <v>1100000</v>
      </c>
      <c r="Z188">
        <v>1100000</v>
      </c>
      <c r="AA188">
        <v>45792</v>
      </c>
      <c r="AB188" t="str">
        <v>Q2 2025</v>
      </c>
      <c r="AC188">
        <v>46038</v>
      </c>
      <c r="AD188">
        <v>47118</v>
      </c>
      <c r="AE188" t="str">
        <v>João Gameiro</v>
      </c>
      <c r="AF188" t="str">
        <v>Miguel Ribeiro</v>
      </c>
      <c r="AG188" t="str">
        <v>https://www.aroeiracollections.com/</v>
      </c>
      <c r="AH188" t="str">
        <v>Aroeira Collections by Missoni: Elegance inspired by iconic design, set beside the renowned PGA golf course — where luxury living meets the rhythm of the coast.</v>
      </c>
      <c r="AI188" t="str">
        <v>Gym, Spa, Condo Pool, Private Pools, Tennis &amp; Padel Courts, Outdoor Areas, Smart Home Technology, Private Parking, Reception, Missoni Interiors, PGA Golf Course</v>
      </c>
      <c r="AJ188"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88" t="str">
        <v>Ana Costa, João Favila, Pedro Domingos</v>
      </c>
      <c r="AL188" t="str">
        <v>Aroeira Collections</v>
      </c>
    </row>
    <row r="189" spans="1:38" x14ac:dyDescent="0.3">
      <c r="A189" t="str">
        <v>Aroeira - HOUSES</v>
      </c>
      <c r="B189" t="str">
        <v>Center</v>
      </c>
      <c r="C189" t="str">
        <v>19B</v>
      </c>
      <c r="D189" t="str">
        <v>Herdade da Aroeira, Almada</v>
      </c>
      <c r="E189" t="str">
        <v>T2</v>
      </c>
      <c r="F189">
        <v>169</v>
      </c>
      <c r="G189">
        <v>0</v>
      </c>
      <c r="H189" t="str">
        <v>1</v>
      </c>
      <c r="I189" t="str">
        <v/>
      </c>
      <c r="J189">
        <v>0</v>
      </c>
      <c r="K189">
        <v>0</v>
      </c>
      <c r="L189">
        <v>0</v>
      </c>
      <c r="M189" s="79">
        <v>30</v>
      </c>
      <c r="N189">
        <v>23</v>
      </c>
      <c r="O189">
        <v>116</v>
      </c>
      <c r="P189">
        <v>0</v>
      </c>
      <c r="Q189" t="str">
        <v xml:space="preserve">PSPA </v>
      </c>
      <c r="R189">
        <v>925000</v>
      </c>
      <c r="S189">
        <v>925000</v>
      </c>
      <c r="T189">
        <v>925000</v>
      </c>
      <c r="U189">
        <v>0</v>
      </c>
      <c r="V189">
        <v>0</v>
      </c>
      <c r="W189">
        <v>925000</v>
      </c>
      <c r="X189">
        <v>0</v>
      </c>
      <c r="Y189">
        <v>925000</v>
      </c>
      <c r="Z189">
        <v>925000</v>
      </c>
      <c r="AA189">
        <v>45792</v>
      </c>
      <c r="AB189" t="str">
        <v>Q2 2025</v>
      </c>
      <c r="AC189">
        <v>46020</v>
      </c>
      <c r="AD189">
        <v>47118</v>
      </c>
      <c r="AE189" t="str">
        <v>João Gameiro</v>
      </c>
      <c r="AF189" t="str">
        <v>Miguel Ribeiro</v>
      </c>
      <c r="AG189" t="str">
        <v>https://www.aroeiracollections.com/</v>
      </c>
      <c r="AH189" t="str">
        <v>Aroeira Collections by Missoni: Elegance inspired by iconic design, set beside the renowned PGA golf course — where luxury living meets the rhythm of the coast.</v>
      </c>
      <c r="AI189" t="str">
        <v>Gym, Spa, Condo Pool, Private Pools, Tennis &amp; Padel Courts, Outdoor Areas, Smart Home Technology, Private Parking, Reception, Missoni Interiors, PGA Golf Course</v>
      </c>
      <c r="AJ189"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89" t="str">
        <v>Ana Costa, João Favila, Pedro Domingos</v>
      </c>
      <c r="AL189" t="str">
        <v>Aroeira Collections</v>
      </c>
    </row>
    <row r="190" spans="1:38" x14ac:dyDescent="0.3">
      <c r="A190" t="str">
        <v>Aroeira - HOUSES</v>
      </c>
      <c r="B190" t="str">
        <v>Center</v>
      </c>
      <c r="C190" t="str">
        <v>22B</v>
      </c>
      <c r="D190" t="str">
        <v>Herdade da Aroeira, Almada</v>
      </c>
      <c r="E190" t="str">
        <v>T2</v>
      </c>
      <c r="F190">
        <v>170</v>
      </c>
      <c r="G190">
        <v>0</v>
      </c>
      <c r="H190" t="str">
        <v>1</v>
      </c>
      <c r="I190" t="str">
        <v/>
      </c>
      <c r="J190">
        <v>0</v>
      </c>
      <c r="K190">
        <v>0</v>
      </c>
      <c r="L190">
        <v>0</v>
      </c>
      <c r="M190" s="79">
        <v>30</v>
      </c>
      <c r="N190">
        <v>24</v>
      </c>
      <c r="O190">
        <v>116</v>
      </c>
      <c r="P190">
        <v>0</v>
      </c>
      <c r="Q190" t="str">
        <v xml:space="preserve">PSPA </v>
      </c>
      <c r="R190">
        <v>795000</v>
      </c>
      <c r="S190">
        <v>795000</v>
      </c>
      <c r="T190">
        <v>795000</v>
      </c>
      <c r="U190">
        <v>0</v>
      </c>
      <c r="V190">
        <v>0</v>
      </c>
      <c r="W190">
        <v>795000</v>
      </c>
      <c r="X190">
        <v>0</v>
      </c>
      <c r="Y190">
        <v>795000</v>
      </c>
      <c r="Z190">
        <v>795000</v>
      </c>
      <c r="AA190">
        <v>45792</v>
      </c>
      <c r="AB190" t="str">
        <v>Q2 2025</v>
      </c>
      <c r="AC190">
        <v>45946</v>
      </c>
      <c r="AD190">
        <v>47118</v>
      </c>
      <c r="AE190" t="str">
        <v>João Gameiro</v>
      </c>
      <c r="AF190" t="str">
        <v>Miguel Ribeiro</v>
      </c>
      <c r="AG190" t="str">
        <v>https://www.aroeiracollections.com/</v>
      </c>
      <c r="AH190" t="str">
        <v>Aroeira Collections by Missoni: Elegance inspired by iconic design, set beside the renowned PGA golf course — where luxury living meets the rhythm of the coast.</v>
      </c>
      <c r="AI190" t="str">
        <v>Gym, Spa, Condo Pool, Private Pools, Tennis &amp; Padel Courts, Outdoor Areas, Smart Home Technology, Private Parking, Reception, Missoni Interiors, PGA Golf Course</v>
      </c>
      <c r="AJ190"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90" t="str">
        <v>Ana Costa, João Favila, Pedro Domingos</v>
      </c>
      <c r="AL190" t="str">
        <v>Aroeira Collections</v>
      </c>
    </row>
    <row r="191" spans="1:38" x14ac:dyDescent="0.3">
      <c r="A191" t="str">
        <v>Aroeira - HOUSES</v>
      </c>
      <c r="B191" t="str">
        <v>Center</v>
      </c>
      <c r="C191" t="str">
        <v>24C</v>
      </c>
      <c r="D191" t="str">
        <v>Herdade da Aroeira, Almada</v>
      </c>
      <c r="E191" t="str">
        <v>T3</v>
      </c>
      <c r="F191">
        <v>251.2</v>
      </c>
      <c r="G191">
        <v>0</v>
      </c>
      <c r="H191" t="str">
        <v>1</v>
      </c>
      <c r="I191" t="str">
        <v/>
      </c>
      <c r="J191">
        <v>0</v>
      </c>
      <c r="K191">
        <v>0</v>
      </c>
      <c r="L191">
        <v>0</v>
      </c>
      <c r="M191" s="79">
        <v>35</v>
      </c>
      <c r="N191">
        <v>41</v>
      </c>
      <c r="O191">
        <v>175.2</v>
      </c>
      <c r="P191">
        <v>0</v>
      </c>
      <c r="Q191" t="str">
        <v xml:space="preserve">PSPA </v>
      </c>
      <c r="R191">
        <v>1320000</v>
      </c>
      <c r="S191">
        <v>1380000</v>
      </c>
      <c r="T191">
        <v>1410000</v>
      </c>
      <c r="U191">
        <v>0</v>
      </c>
      <c r="V191">
        <v>60000</v>
      </c>
      <c r="W191">
        <v>1350000</v>
      </c>
      <c r="X191">
        <v>0</v>
      </c>
      <c r="Y191">
        <v>1410000</v>
      </c>
      <c r="Z191">
        <v>1350000</v>
      </c>
      <c r="AA191">
        <v>45792</v>
      </c>
      <c r="AB191" t="str">
        <v>Q2 2025</v>
      </c>
      <c r="AC191">
        <v>46118</v>
      </c>
      <c r="AD191">
        <v>47118</v>
      </c>
      <c r="AE191" t="str">
        <v>João Gameiro</v>
      </c>
      <c r="AF191" t="str">
        <v>Miguel Ribeiro</v>
      </c>
      <c r="AG191" t="str">
        <v>https://www.aroeiracollections.com/</v>
      </c>
      <c r="AH191" t="str">
        <v>Aroeira Collections by Missoni: Elegance inspired by iconic design, set beside the renowned PGA golf course — where luxury living meets the rhythm of the coast.</v>
      </c>
      <c r="AI191" t="str">
        <v>Gym, Spa, Condo Pool, Private Pools, Tennis &amp; Padel Courts, Outdoor Areas, Smart Home Technology, Private Parking, Reception, Missoni Interiors, PGA Golf Course</v>
      </c>
      <c r="AJ191"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91" t="str">
        <v>Ana Costa, João Favila, Pedro Domingos</v>
      </c>
      <c r="AL191" t="str">
        <v>Aroeira Collections</v>
      </c>
    </row>
    <row r="192" spans="1:38" x14ac:dyDescent="0.3">
      <c r="A192" t="str">
        <v>Aroeira - HOUSES</v>
      </c>
      <c r="B192" t="str">
        <v>Center</v>
      </c>
      <c r="C192" t="str">
        <v>09B</v>
      </c>
      <c r="D192" t="str">
        <v>Herdade da Aroeira, Almada</v>
      </c>
      <c r="E192" t="str">
        <v>T2</v>
      </c>
      <c r="F192">
        <v>166</v>
      </c>
      <c r="G192">
        <v>0</v>
      </c>
      <c r="H192" t="str">
        <v>1</v>
      </c>
      <c r="I192" t="str">
        <v/>
      </c>
      <c r="J192">
        <v>0</v>
      </c>
      <c r="K192">
        <v>0</v>
      </c>
      <c r="L192">
        <v>0</v>
      </c>
      <c r="M192" s="79">
        <v>30</v>
      </c>
      <c r="N192">
        <v>20</v>
      </c>
      <c r="O192">
        <v>116</v>
      </c>
      <c r="P192">
        <v>0</v>
      </c>
      <c r="Q192" t="str">
        <v xml:space="preserve">PSPA </v>
      </c>
      <c r="R192">
        <v>910000</v>
      </c>
      <c r="S192">
        <v>910000</v>
      </c>
      <c r="T192">
        <v>910000</v>
      </c>
      <c r="U192">
        <v>0</v>
      </c>
      <c r="V192">
        <v>0</v>
      </c>
      <c r="W192">
        <v>910000</v>
      </c>
      <c r="X192">
        <v>1.09890109890109E-2</v>
      </c>
      <c r="Y192">
        <v>900000</v>
      </c>
      <c r="Z192">
        <v>900000</v>
      </c>
      <c r="AA192">
        <v>45792</v>
      </c>
      <c r="AB192" t="str">
        <v>Q2 2025</v>
      </c>
      <c r="AC192">
        <v>45915</v>
      </c>
      <c r="AD192">
        <v>47118</v>
      </c>
      <c r="AE192" t="str">
        <v>João Gameiro</v>
      </c>
      <c r="AF192" t="str">
        <v>Miguel Ribeiro</v>
      </c>
      <c r="AG192" t="str">
        <v>https://www.aroeiracollections.com/</v>
      </c>
      <c r="AH192" t="str">
        <v>Aroeira Collections by Missoni: Elegance inspired by iconic design, set beside the renowned PGA golf course — where luxury living meets the rhythm of the coast.</v>
      </c>
      <c r="AI192" t="str">
        <v>Gym, Spa, Condo Pool, Private Pools, Tennis &amp; Padel Courts, Outdoor Areas, Smart Home Technology, Private Parking, Reception, Missoni Interiors, PGA Golf Course</v>
      </c>
      <c r="AJ192"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92" t="str">
        <v>Ana Costa, João Favila, Pedro Domingos</v>
      </c>
      <c r="AL192" t="str">
        <v>Aroeira Collections</v>
      </c>
    </row>
    <row r="193" spans="1:38" x14ac:dyDescent="0.3">
      <c r="A193" t="str">
        <v>Aroeira - HOUSES</v>
      </c>
      <c r="B193" t="str">
        <v>Center</v>
      </c>
      <c r="C193" t="str">
        <v>10C</v>
      </c>
      <c r="D193" t="str">
        <v>Herdade da Aroeira, Almada</v>
      </c>
      <c r="E193" t="str">
        <v>T3</v>
      </c>
      <c r="F193">
        <v>242.6</v>
      </c>
      <c r="G193">
        <v>0</v>
      </c>
      <c r="H193" t="str">
        <v>1</v>
      </c>
      <c r="I193" t="str">
        <v/>
      </c>
      <c r="J193">
        <v>0</v>
      </c>
      <c r="K193">
        <v>0</v>
      </c>
      <c r="L193">
        <v>0</v>
      </c>
      <c r="M193" s="79">
        <v>32</v>
      </c>
      <c r="N193">
        <v>37</v>
      </c>
      <c r="O193">
        <v>173.6</v>
      </c>
      <c r="P193">
        <v>0</v>
      </c>
      <c r="Q193" t="str">
        <v xml:space="preserve">PSPA </v>
      </c>
      <c r="R193">
        <v>1380000</v>
      </c>
      <c r="S193">
        <v>1380000</v>
      </c>
      <c r="T193">
        <v>1380000</v>
      </c>
      <c r="U193">
        <v>0</v>
      </c>
      <c r="V193">
        <v>0</v>
      </c>
      <c r="W193">
        <v>1380000</v>
      </c>
      <c r="X193">
        <v>0.02</v>
      </c>
      <c r="Y193">
        <v>1352400</v>
      </c>
      <c r="Z193">
        <v>1352400</v>
      </c>
      <c r="AA193">
        <v>45792</v>
      </c>
      <c r="AB193" t="str">
        <v>Q2 2025</v>
      </c>
      <c r="AC193">
        <v>45946</v>
      </c>
      <c r="AD193">
        <v>47118</v>
      </c>
      <c r="AE193" t="str">
        <v>João Gameiro</v>
      </c>
      <c r="AF193" t="str">
        <v>Miguel Ribeiro</v>
      </c>
      <c r="AG193" t="str">
        <v>https://www.aroeiracollections.com/</v>
      </c>
      <c r="AH193" t="str">
        <v>Aroeira Collections by Missoni: Elegance inspired by iconic design, set beside the renowned PGA golf course — where luxury living meets the rhythm of the coast.</v>
      </c>
      <c r="AI193" t="str">
        <v>Gym, Spa, Condo Pool, Private Pools, Tennis &amp; Padel Courts, Outdoor Areas, Smart Home Technology, Private Parking, Reception, Missoni Interiors, PGA Golf Course</v>
      </c>
      <c r="AJ193"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93" t="str">
        <v>Ana Costa, João Favila, Pedro Domingos</v>
      </c>
      <c r="AL193" t="str">
        <v>Aroeira Collections</v>
      </c>
    </row>
    <row r="194" spans="1:38" x14ac:dyDescent="0.3">
      <c r="A194" t="str">
        <v>Aroeira - HOUSES</v>
      </c>
      <c r="B194" t="str">
        <v>Center</v>
      </c>
      <c r="C194" t="str">
        <v>16B</v>
      </c>
      <c r="D194" t="str">
        <v>Herdade da Aroeira, Almada</v>
      </c>
      <c r="E194" t="str">
        <v>T2</v>
      </c>
      <c r="F194">
        <v>170</v>
      </c>
      <c r="G194">
        <v>0</v>
      </c>
      <c r="H194" t="str">
        <v>1</v>
      </c>
      <c r="I194" t="str">
        <v/>
      </c>
      <c r="J194">
        <v>0</v>
      </c>
      <c r="K194">
        <v>0</v>
      </c>
      <c r="L194">
        <v>0</v>
      </c>
      <c r="M194" s="79">
        <v>30</v>
      </c>
      <c r="N194">
        <v>24</v>
      </c>
      <c r="O194">
        <v>116</v>
      </c>
      <c r="P194">
        <v>0</v>
      </c>
      <c r="Q194" t="str">
        <v xml:space="preserve">PSPA </v>
      </c>
      <c r="R194">
        <v>795000</v>
      </c>
      <c r="S194">
        <v>795000</v>
      </c>
      <c r="T194">
        <v>795000</v>
      </c>
      <c r="U194">
        <v>0</v>
      </c>
      <c r="V194">
        <v>0</v>
      </c>
      <c r="W194">
        <v>795000</v>
      </c>
      <c r="X194">
        <v>0.02</v>
      </c>
      <c r="Y194">
        <v>779100</v>
      </c>
      <c r="Z194">
        <v>779100</v>
      </c>
      <c r="AA194">
        <v>45792</v>
      </c>
      <c r="AB194" t="str">
        <v>Q2 2025</v>
      </c>
      <c r="AC194">
        <v>46094</v>
      </c>
      <c r="AD194">
        <v>47118</v>
      </c>
      <c r="AE194" t="str">
        <v>João Gameiro</v>
      </c>
      <c r="AF194" t="str">
        <v>Miguel Ribeiro</v>
      </c>
      <c r="AG194" t="str">
        <v>https://www.aroeiracollections.com/</v>
      </c>
      <c r="AH194" t="str">
        <v>Aroeira Collections by Missoni: Elegance inspired by iconic design, set beside the renowned PGA golf course — where luxury living meets the rhythm of the coast.</v>
      </c>
      <c r="AI194" t="str">
        <v>Gym, Spa, Condo Pool, Private Pools, Tennis &amp; Padel Courts, Outdoor Areas, Smart Home Technology, Private Parking, Reception, Missoni Interiors, PGA Golf Course</v>
      </c>
      <c r="AJ194"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94" t="str">
        <v>Ana Costa, João Favila, Pedro Domingos</v>
      </c>
      <c r="AL194" t="str">
        <v>Aroeira Collections</v>
      </c>
    </row>
    <row r="195" spans="1:38" x14ac:dyDescent="0.3">
      <c r="A195" t="str">
        <v>Aroeira - HOUSES</v>
      </c>
      <c r="B195" t="str">
        <v>Center</v>
      </c>
      <c r="C195" t="str">
        <v>08B</v>
      </c>
      <c r="D195" t="str">
        <v>Herdade da Aroeira, Almada</v>
      </c>
      <c r="E195" t="str">
        <v>T2</v>
      </c>
      <c r="F195">
        <v>194.4</v>
      </c>
      <c r="G195">
        <v>0</v>
      </c>
      <c r="H195" t="str">
        <v>1</v>
      </c>
      <c r="I195" t="str">
        <v/>
      </c>
      <c r="J195">
        <v>0</v>
      </c>
      <c r="K195">
        <v>0</v>
      </c>
      <c r="L195">
        <v>0</v>
      </c>
      <c r="M195" s="79">
        <v>31</v>
      </c>
      <c r="N195">
        <v>26</v>
      </c>
      <c r="O195">
        <v>137.4</v>
      </c>
      <c r="P195">
        <v>0</v>
      </c>
      <c r="Q195" t="str">
        <v>AVAILABLE</v>
      </c>
      <c r="R195">
        <v>1080000</v>
      </c>
      <c r="S195">
        <v>1080000</v>
      </c>
      <c r="T195">
        <v>1140000</v>
      </c>
      <c r="U195">
        <v>0</v>
      </c>
      <c r="V195">
        <v>0</v>
      </c>
      <c r="W195">
        <v>1140000</v>
      </c>
      <c r="X195">
        <v>0</v>
      </c>
      <c r="Y195">
        <v>0</v>
      </c>
      <c r="Z195">
        <v>0</v>
      </c>
      <c r="AA195">
        <v>45792</v>
      </c>
      <c r="AB195" t="str">
        <v>Q2 2025</v>
      </c>
      <c r="AC195">
        <v>0</v>
      </c>
      <c r="AD195">
        <v>47118</v>
      </c>
      <c r="AE195" t="str">
        <v>João Gameiro</v>
      </c>
      <c r="AF195" t="str">
        <v>Miguel Ribeiro</v>
      </c>
      <c r="AG195" t="str">
        <v>https://www.aroeiracollections.com/</v>
      </c>
      <c r="AH195" t="str">
        <v>Aroeira Collections by Missoni: Elegance inspired by iconic design, set beside the renowned PGA golf course — where luxury living meets the rhythm of the coast.</v>
      </c>
      <c r="AI195" t="str">
        <v>Gym, Spa, Condo Pool, Private Pools, Tennis &amp; Padel Courts, Outdoor Areas, Smart Home Technology, Private Parking, Reception, Missoni Interiors, PGA Golf Course</v>
      </c>
      <c r="AJ195"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95" t="str">
        <v>Ana Costa, João Favila, Pedro Domingos</v>
      </c>
      <c r="AL195" t="str">
        <v>Aroeira Collections</v>
      </c>
    </row>
    <row r="196" spans="1:38" x14ac:dyDescent="0.3">
      <c r="A196" t="str">
        <v>Aroeira - HOUSES</v>
      </c>
      <c r="B196" t="str">
        <v>Center</v>
      </c>
      <c r="C196" t="str">
        <v>11D</v>
      </c>
      <c r="D196" t="str">
        <v>Herdade da Aroeira, Almada</v>
      </c>
      <c r="E196" t="str">
        <v>T4</v>
      </c>
      <c r="F196">
        <v>347.7</v>
      </c>
      <c r="G196">
        <v>0</v>
      </c>
      <c r="H196" t="str">
        <v>2</v>
      </c>
      <c r="I196" t="str">
        <v>1</v>
      </c>
      <c r="J196">
        <v>0</v>
      </c>
      <c r="K196">
        <v>0</v>
      </c>
      <c r="L196">
        <v>0</v>
      </c>
      <c r="M196" s="79">
        <v>31</v>
      </c>
      <c r="N196">
        <v>74</v>
      </c>
      <c r="O196">
        <v>242.7</v>
      </c>
      <c r="P196">
        <v>0</v>
      </c>
      <c r="Q196" t="str">
        <v>AVAILABLE</v>
      </c>
      <c r="R196">
        <v>1980000</v>
      </c>
      <c r="S196">
        <v>1980000</v>
      </c>
      <c r="T196">
        <v>1980000</v>
      </c>
      <c r="U196">
        <v>0</v>
      </c>
      <c r="V196">
        <v>0</v>
      </c>
      <c r="W196">
        <v>1980000</v>
      </c>
      <c r="X196">
        <v>0</v>
      </c>
      <c r="Y196">
        <v>0</v>
      </c>
      <c r="Z196">
        <v>0</v>
      </c>
      <c r="AA196">
        <v>45792</v>
      </c>
      <c r="AB196" t="str">
        <v>Q2 2025</v>
      </c>
      <c r="AC196">
        <v>0</v>
      </c>
      <c r="AD196">
        <v>47118</v>
      </c>
      <c r="AE196" t="str">
        <v>João Gameiro</v>
      </c>
      <c r="AF196" t="str">
        <v>Miguel Ribeiro</v>
      </c>
      <c r="AG196" t="str">
        <v>https://www.aroeiracollections.com/</v>
      </c>
      <c r="AH196" t="str">
        <v>Aroeira Collections by Missoni: Elegance inspired by iconic design, set beside the renowned PGA golf course — where luxury living meets the rhythm of the coast.</v>
      </c>
      <c r="AI196" t="str">
        <v>Gym, Spa, Condo Pool, Private Pools, Tennis &amp; Padel Courts, Outdoor Areas, Smart Home Technology, Private Parking, Reception, Missoni Interiors, PGA Golf Course</v>
      </c>
      <c r="AJ196"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96" t="str">
        <v>Ana Costa, João Favila, Pedro Domingos</v>
      </c>
      <c r="AL196" t="str">
        <v>Aroeira Collections</v>
      </c>
    </row>
    <row r="197" spans="1:38" x14ac:dyDescent="0.3">
      <c r="A197" t="str">
        <v>Aroeira - HOUSES</v>
      </c>
      <c r="B197" t="str">
        <v>Center</v>
      </c>
      <c r="C197" t="str">
        <v>12C</v>
      </c>
      <c r="D197" t="str">
        <v>Herdade da Aroeira, Almada</v>
      </c>
      <c r="E197" t="str">
        <v>T3</v>
      </c>
      <c r="F197">
        <v>249</v>
      </c>
      <c r="G197">
        <v>0</v>
      </c>
      <c r="H197" t="str">
        <v>1</v>
      </c>
      <c r="I197" t="str">
        <v/>
      </c>
      <c r="J197">
        <v>0</v>
      </c>
      <c r="K197">
        <v>0</v>
      </c>
      <c r="L197">
        <v>0</v>
      </c>
      <c r="M197" s="79">
        <v>30</v>
      </c>
      <c r="N197">
        <v>44</v>
      </c>
      <c r="O197">
        <v>175</v>
      </c>
      <c r="P197">
        <v>0</v>
      </c>
      <c r="Q197" t="str">
        <v>AVAILABLE</v>
      </c>
      <c r="R197">
        <v>1380000</v>
      </c>
      <c r="S197">
        <v>1380000</v>
      </c>
      <c r="T197">
        <v>1410000</v>
      </c>
      <c r="U197">
        <v>0</v>
      </c>
      <c r="V197">
        <v>0</v>
      </c>
      <c r="W197">
        <v>1410000</v>
      </c>
      <c r="X197">
        <v>0</v>
      </c>
      <c r="Y197">
        <v>0</v>
      </c>
      <c r="Z197">
        <v>0</v>
      </c>
      <c r="AA197">
        <v>45792</v>
      </c>
      <c r="AB197" t="str">
        <v>Q2 2025</v>
      </c>
      <c r="AC197">
        <v>0</v>
      </c>
      <c r="AD197">
        <v>47118</v>
      </c>
      <c r="AE197" t="str">
        <v>João Gameiro</v>
      </c>
      <c r="AF197" t="str">
        <v>Miguel Ribeiro</v>
      </c>
      <c r="AG197" t="str">
        <v>https://www.aroeiracollections.com/</v>
      </c>
      <c r="AH197" t="str">
        <v>Aroeira Collections by Missoni: Elegance inspired by iconic design, set beside the renowned PGA golf course — where luxury living meets the rhythm of the coast.</v>
      </c>
      <c r="AI197" t="str">
        <v>Gym, Spa, Condo Pool, Private Pools, Tennis &amp; Padel Courts, Outdoor Areas, Smart Home Technology, Private Parking, Reception, Missoni Interiors, PGA Golf Course</v>
      </c>
      <c r="AJ197"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97" t="str">
        <v>Ana Costa, João Favila, Pedro Domingos</v>
      </c>
      <c r="AL197" t="str">
        <v>Aroeira Collections</v>
      </c>
    </row>
    <row r="198" spans="1:38" x14ac:dyDescent="0.3">
      <c r="A198" t="str">
        <v>Aroeira - HOUSES</v>
      </c>
      <c r="B198" t="str">
        <v>Center</v>
      </c>
      <c r="C198" t="str">
        <v>13D</v>
      </c>
      <c r="D198" t="str">
        <v>Herdade da Aroeira, Almada</v>
      </c>
      <c r="E198" t="str">
        <v>T4</v>
      </c>
      <c r="F198">
        <v>346.7</v>
      </c>
      <c r="G198">
        <v>0</v>
      </c>
      <c r="H198" t="str">
        <v>2</v>
      </c>
      <c r="I198" t="str">
        <v>1</v>
      </c>
      <c r="J198">
        <v>0</v>
      </c>
      <c r="K198">
        <v>0</v>
      </c>
      <c r="L198">
        <v>0</v>
      </c>
      <c r="M198" s="79">
        <v>32</v>
      </c>
      <c r="N198">
        <v>72</v>
      </c>
      <c r="O198">
        <v>242.7</v>
      </c>
      <c r="P198">
        <v>0</v>
      </c>
      <c r="Q198" t="str">
        <v>AVAILABLE</v>
      </c>
      <c r="R198">
        <v>1965000</v>
      </c>
      <c r="S198">
        <v>1965000</v>
      </c>
      <c r="T198">
        <v>1965000</v>
      </c>
      <c r="U198">
        <v>0</v>
      </c>
      <c r="V198">
        <v>0</v>
      </c>
      <c r="W198">
        <v>1965000</v>
      </c>
      <c r="X198">
        <v>0</v>
      </c>
      <c r="Y198">
        <v>0</v>
      </c>
      <c r="Z198">
        <v>0</v>
      </c>
      <c r="AA198">
        <v>45792</v>
      </c>
      <c r="AB198" t="str">
        <v>Q2 2025</v>
      </c>
      <c r="AC198">
        <v>0</v>
      </c>
      <c r="AD198">
        <v>47118</v>
      </c>
      <c r="AE198" t="str">
        <v>João Gameiro</v>
      </c>
      <c r="AF198" t="str">
        <v>Miguel Ribeiro</v>
      </c>
      <c r="AG198" t="str">
        <v>https://www.aroeiracollections.com/</v>
      </c>
      <c r="AH198" t="str">
        <v>Aroeira Collections by Missoni: Elegance inspired by iconic design, set beside the renowned PGA golf course — where luxury living meets the rhythm of the coast.</v>
      </c>
      <c r="AI198" t="str">
        <v>Gym, Spa, Condo Pool, Private Pools, Tennis &amp; Padel Courts, Outdoor Areas, Smart Home Technology, Private Parking, Reception, Missoni Interiors, PGA Golf Course</v>
      </c>
      <c r="AJ198"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98" t="str">
        <v>Ana Costa, João Favila, Pedro Domingos</v>
      </c>
      <c r="AL198" t="str">
        <v>Aroeira Collections</v>
      </c>
    </row>
    <row r="199" spans="1:38" x14ac:dyDescent="0.3">
      <c r="A199" t="str">
        <v>Aroeira - HOUSES</v>
      </c>
      <c r="B199" t="str">
        <v>Center</v>
      </c>
      <c r="C199" t="str">
        <v>14D</v>
      </c>
      <c r="D199" t="str">
        <v>Herdade da Aroeira, Almada</v>
      </c>
      <c r="E199" t="str">
        <v>T4</v>
      </c>
      <c r="F199">
        <v>361.5</v>
      </c>
      <c r="G199">
        <v>0</v>
      </c>
      <c r="H199" t="str">
        <v>2</v>
      </c>
      <c r="I199" t="str">
        <v>1</v>
      </c>
      <c r="J199">
        <v>0</v>
      </c>
      <c r="K199">
        <v>0</v>
      </c>
      <c r="L199">
        <v>0</v>
      </c>
      <c r="M199" s="79">
        <v>42</v>
      </c>
      <c r="N199">
        <v>72</v>
      </c>
      <c r="O199">
        <v>247.5</v>
      </c>
      <c r="P199">
        <v>0</v>
      </c>
      <c r="Q199" t="str">
        <v>AVAILABLE</v>
      </c>
      <c r="R199">
        <v>2000000</v>
      </c>
      <c r="S199">
        <v>2000000</v>
      </c>
      <c r="T199">
        <v>2000000</v>
      </c>
      <c r="U199">
        <v>0</v>
      </c>
      <c r="V199">
        <v>0</v>
      </c>
      <c r="W199">
        <v>2000000</v>
      </c>
      <c r="X199">
        <v>0</v>
      </c>
      <c r="Y199">
        <v>0</v>
      </c>
      <c r="Z199">
        <v>0</v>
      </c>
      <c r="AA199">
        <v>45792</v>
      </c>
      <c r="AB199" t="str">
        <v>Q2 2025</v>
      </c>
      <c r="AC199">
        <v>0</v>
      </c>
      <c r="AD199">
        <v>47118</v>
      </c>
      <c r="AE199" t="str">
        <v>João Gameiro</v>
      </c>
      <c r="AF199" t="str">
        <v>Miguel Ribeiro</v>
      </c>
      <c r="AG199" t="str">
        <v>https://www.aroeiracollections.com/</v>
      </c>
      <c r="AH199" t="str">
        <v>Aroeira Collections by Missoni: Elegance inspired by iconic design, set beside the renowned PGA golf course — where luxury living meets the rhythm of the coast.</v>
      </c>
      <c r="AI199" t="str">
        <v>Gym, Spa, Condo Pool, Private Pools, Tennis &amp; Padel Courts, Outdoor Areas, Smart Home Technology, Private Parking, Reception, Missoni Interiors, PGA Golf Course</v>
      </c>
      <c r="AJ199"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199" t="str">
        <v>Ana Costa, João Favila, Pedro Domingos</v>
      </c>
      <c r="AL199" t="str">
        <v>Aroeira Collections</v>
      </c>
    </row>
    <row r="200" spans="1:38" x14ac:dyDescent="0.3">
      <c r="A200" t="str">
        <v>Aroeira - HOUSES</v>
      </c>
      <c r="B200" t="str">
        <v>Center</v>
      </c>
      <c r="C200" t="str">
        <v>17C</v>
      </c>
      <c r="D200" t="str">
        <v>Herdade da Aroeira, Almada</v>
      </c>
      <c r="E200" t="str">
        <v>T3</v>
      </c>
      <c r="F200">
        <v>249.2</v>
      </c>
      <c r="G200">
        <v>0</v>
      </c>
      <c r="H200" t="str">
        <v>1</v>
      </c>
      <c r="I200" t="str">
        <v/>
      </c>
      <c r="J200">
        <v>0</v>
      </c>
      <c r="K200">
        <v>0</v>
      </c>
      <c r="L200">
        <v>0</v>
      </c>
      <c r="M200" s="79">
        <v>34</v>
      </c>
      <c r="N200">
        <v>40</v>
      </c>
      <c r="O200">
        <v>175.2</v>
      </c>
      <c r="P200">
        <v>0</v>
      </c>
      <c r="Q200" t="str">
        <v>AVAILABLE</v>
      </c>
      <c r="R200">
        <v>1350000</v>
      </c>
      <c r="S200">
        <v>1350000</v>
      </c>
      <c r="T200">
        <v>1380000</v>
      </c>
      <c r="U200">
        <v>0</v>
      </c>
      <c r="V200">
        <v>0</v>
      </c>
      <c r="W200">
        <v>1380000</v>
      </c>
      <c r="X200">
        <v>0</v>
      </c>
      <c r="Y200">
        <v>0</v>
      </c>
      <c r="Z200">
        <v>0</v>
      </c>
      <c r="AA200">
        <v>45792</v>
      </c>
      <c r="AB200" t="str">
        <v>Q2 2025</v>
      </c>
      <c r="AC200">
        <v>0</v>
      </c>
      <c r="AD200">
        <v>47118</v>
      </c>
      <c r="AE200" t="str">
        <v>João Gameiro</v>
      </c>
      <c r="AF200" t="str">
        <v>Miguel Ribeiro</v>
      </c>
      <c r="AG200" t="str">
        <v>https://www.aroeiracollections.com/</v>
      </c>
      <c r="AH200" t="str">
        <v>Aroeira Collections by Missoni: Elegance inspired by iconic design, set beside the renowned PGA golf course — where luxury living meets the rhythm of the coast.</v>
      </c>
      <c r="AI200" t="str">
        <v>Gym, Spa, Condo Pool, Private Pools, Tennis &amp; Padel Courts, Outdoor Areas, Smart Home Technology, Private Parking, Reception, Missoni Interiors, PGA Golf Course</v>
      </c>
      <c r="AJ200"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00" t="str">
        <v>Ana Costa, João Favila, Pedro Domingos</v>
      </c>
      <c r="AL200" t="str">
        <v>Aroeira Collections</v>
      </c>
    </row>
    <row r="201" spans="1:38" x14ac:dyDescent="0.3">
      <c r="A201" t="str">
        <v>Aroeira - HOUSES</v>
      </c>
      <c r="B201" t="str">
        <v>Center</v>
      </c>
      <c r="C201" t="str">
        <v>18C</v>
      </c>
      <c r="D201" t="str">
        <v>Herdade da Aroeira, Almada</v>
      </c>
      <c r="E201" t="str">
        <v>T3</v>
      </c>
      <c r="F201">
        <v>250.2</v>
      </c>
      <c r="G201">
        <v>0</v>
      </c>
      <c r="H201" t="str">
        <v>1</v>
      </c>
      <c r="I201" t="str">
        <v/>
      </c>
      <c r="J201">
        <v>0</v>
      </c>
      <c r="K201">
        <v>0</v>
      </c>
      <c r="L201">
        <v>0</v>
      </c>
      <c r="M201" s="79">
        <v>35</v>
      </c>
      <c r="N201">
        <v>40</v>
      </c>
      <c r="O201">
        <v>175.2</v>
      </c>
      <c r="P201">
        <v>0</v>
      </c>
      <c r="Q201" t="str">
        <v>AVAILABLE</v>
      </c>
      <c r="R201">
        <v>1350000</v>
      </c>
      <c r="S201">
        <v>1350000</v>
      </c>
      <c r="T201">
        <v>1380000</v>
      </c>
      <c r="U201">
        <v>0</v>
      </c>
      <c r="V201">
        <v>0</v>
      </c>
      <c r="W201">
        <v>1380000</v>
      </c>
      <c r="X201">
        <v>0</v>
      </c>
      <c r="Y201">
        <v>0</v>
      </c>
      <c r="Z201">
        <v>0</v>
      </c>
      <c r="AA201">
        <v>45792</v>
      </c>
      <c r="AB201" t="str">
        <v>Q2 2025</v>
      </c>
      <c r="AC201">
        <v>0</v>
      </c>
      <c r="AD201">
        <v>47118</v>
      </c>
      <c r="AE201" t="str">
        <v>João Gameiro</v>
      </c>
      <c r="AF201" t="str">
        <v>Miguel Ribeiro</v>
      </c>
      <c r="AG201" t="str">
        <v>https://www.aroeiracollections.com/</v>
      </c>
      <c r="AH201" t="str">
        <v>Aroeira Collections by Missoni: Elegance inspired by iconic design, set beside the renowned PGA golf course — where luxury living meets the rhythm of the coast.</v>
      </c>
      <c r="AI201" t="str">
        <v>Gym, Spa, Condo Pool, Private Pools, Tennis &amp; Padel Courts, Outdoor Areas, Smart Home Technology, Private Parking, Reception, Missoni Interiors, PGA Golf Course</v>
      </c>
      <c r="AJ201"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01" t="str">
        <v>Ana Costa, João Favila, Pedro Domingos</v>
      </c>
      <c r="AL201" t="str">
        <v>Aroeira Collections</v>
      </c>
    </row>
    <row r="202" spans="1:38" x14ac:dyDescent="0.3">
      <c r="A202" t="str">
        <v>Aroeira - HOUSES</v>
      </c>
      <c r="B202" t="str">
        <v>Center</v>
      </c>
      <c r="C202" t="str">
        <v>20C</v>
      </c>
      <c r="D202" t="str">
        <v>Herdade da Aroeira, Almada</v>
      </c>
      <c r="E202" t="str">
        <v>T3</v>
      </c>
      <c r="F202">
        <v>248.2</v>
      </c>
      <c r="G202">
        <v>0</v>
      </c>
      <c r="H202" t="str">
        <v>1</v>
      </c>
      <c r="I202" t="str">
        <v/>
      </c>
      <c r="J202">
        <v>0</v>
      </c>
      <c r="K202">
        <v>0</v>
      </c>
      <c r="L202">
        <v>0</v>
      </c>
      <c r="M202" s="79">
        <v>30</v>
      </c>
      <c r="N202">
        <v>43</v>
      </c>
      <c r="O202">
        <v>175.2</v>
      </c>
      <c r="P202">
        <v>0</v>
      </c>
      <c r="Q202" t="str">
        <v>AVAILABLE</v>
      </c>
      <c r="R202">
        <v>1395000</v>
      </c>
      <c r="S202">
        <v>1395000</v>
      </c>
      <c r="T202">
        <v>1450000</v>
      </c>
      <c r="U202">
        <v>0</v>
      </c>
      <c r="V202">
        <v>0</v>
      </c>
      <c r="W202">
        <v>1450000</v>
      </c>
      <c r="X202">
        <v>0</v>
      </c>
      <c r="Y202">
        <v>0</v>
      </c>
      <c r="Z202">
        <v>0</v>
      </c>
      <c r="AA202">
        <v>45792</v>
      </c>
      <c r="AB202" t="str">
        <v>Q2 2025</v>
      </c>
      <c r="AC202">
        <v>0</v>
      </c>
      <c r="AD202">
        <v>47118</v>
      </c>
      <c r="AE202" t="str">
        <v>João Gameiro</v>
      </c>
      <c r="AF202" t="str">
        <v>Miguel Ribeiro</v>
      </c>
      <c r="AG202" t="str">
        <v>https://www.aroeiracollections.com/</v>
      </c>
      <c r="AH202" t="str">
        <v>Aroeira Collections by Missoni: Elegance inspired by iconic design, set beside the renowned PGA golf course — where luxury living meets the rhythm of the coast.</v>
      </c>
      <c r="AI202" t="str">
        <v>Gym, Spa, Condo Pool, Private Pools, Tennis &amp; Padel Courts, Outdoor Areas, Smart Home Technology, Private Parking, Reception, Missoni Interiors, PGA Golf Course</v>
      </c>
      <c r="AJ202"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02" t="str">
        <v>Ana Costa, João Favila, Pedro Domingos</v>
      </c>
      <c r="AL202" t="str">
        <v>Aroeira Collections</v>
      </c>
    </row>
    <row r="203" spans="1:38" x14ac:dyDescent="0.3">
      <c r="A203" t="str">
        <v>Aroeira - HOUSES</v>
      </c>
      <c r="B203" t="str">
        <v>Center</v>
      </c>
      <c r="C203" t="str">
        <v>21B</v>
      </c>
      <c r="D203" t="str">
        <v>Herdade da Aroeira, Almada</v>
      </c>
      <c r="E203" t="str">
        <v>T2</v>
      </c>
      <c r="F203">
        <v>195.8</v>
      </c>
      <c r="G203">
        <v>0</v>
      </c>
      <c r="H203" t="str">
        <v>1</v>
      </c>
      <c r="I203" t="str">
        <v/>
      </c>
      <c r="J203">
        <v>0</v>
      </c>
      <c r="K203">
        <v>0</v>
      </c>
      <c r="L203">
        <v>0</v>
      </c>
      <c r="M203" s="79">
        <v>30</v>
      </c>
      <c r="N203">
        <v>28</v>
      </c>
      <c r="O203">
        <v>137.80000000000001</v>
      </c>
      <c r="P203">
        <v>0</v>
      </c>
      <c r="Q203" t="str">
        <v>AVAILABLE</v>
      </c>
      <c r="R203">
        <v>1090000</v>
      </c>
      <c r="S203">
        <v>1090000</v>
      </c>
      <c r="T203">
        <v>1150000</v>
      </c>
      <c r="U203">
        <v>0</v>
      </c>
      <c r="V203">
        <v>0</v>
      </c>
      <c r="W203">
        <v>1150000</v>
      </c>
      <c r="X203">
        <v>0</v>
      </c>
      <c r="Y203">
        <v>0</v>
      </c>
      <c r="Z203">
        <v>0</v>
      </c>
      <c r="AA203">
        <v>45792</v>
      </c>
      <c r="AB203" t="str">
        <v>Q2 2025</v>
      </c>
      <c r="AC203">
        <v>0</v>
      </c>
      <c r="AD203">
        <v>47118</v>
      </c>
      <c r="AE203" t="str">
        <v>João Gameiro</v>
      </c>
      <c r="AF203" t="str">
        <v>Miguel Ribeiro</v>
      </c>
      <c r="AG203" t="str">
        <v>https://www.aroeiracollections.com/</v>
      </c>
      <c r="AH203" t="str">
        <v>Aroeira Collections by Missoni: Elegance inspired by iconic design, set beside the renowned PGA golf course — where luxury living meets the rhythm of the coast.</v>
      </c>
      <c r="AI203" t="str">
        <v>Gym, Spa, Condo Pool, Private Pools, Tennis &amp; Padel Courts, Outdoor Areas, Smart Home Technology, Private Parking, Reception, Missoni Interiors, PGA Golf Course</v>
      </c>
      <c r="AJ203"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03" t="str">
        <v>Ana Costa, João Favila, Pedro Domingos</v>
      </c>
      <c r="AL203" t="str">
        <v>Aroeira Collections</v>
      </c>
    </row>
    <row r="204" spans="1:38" x14ac:dyDescent="0.3">
      <c r="A204" t="str">
        <v>Aroeira - HOUSES</v>
      </c>
      <c r="B204" t="str">
        <v>Center</v>
      </c>
      <c r="C204" t="str">
        <v>23B</v>
      </c>
      <c r="D204" t="str">
        <v>Herdade da Aroeira, Almada</v>
      </c>
      <c r="E204" t="str">
        <v>T2</v>
      </c>
      <c r="F204">
        <v>196.8</v>
      </c>
      <c r="G204">
        <v>0</v>
      </c>
      <c r="H204" t="str">
        <v>1</v>
      </c>
      <c r="I204" t="str">
        <v/>
      </c>
      <c r="J204">
        <v>0</v>
      </c>
      <c r="K204">
        <v>0</v>
      </c>
      <c r="L204">
        <v>0</v>
      </c>
      <c r="M204" s="79">
        <v>32</v>
      </c>
      <c r="N204">
        <v>27</v>
      </c>
      <c r="O204">
        <v>137.80000000000001</v>
      </c>
      <c r="P204">
        <v>0</v>
      </c>
      <c r="Q204" t="str">
        <v>AVAILABLE</v>
      </c>
      <c r="R204">
        <v>1055000</v>
      </c>
      <c r="S204">
        <v>1055000</v>
      </c>
      <c r="T204">
        <v>1080000</v>
      </c>
      <c r="U204">
        <v>0</v>
      </c>
      <c r="V204">
        <v>0</v>
      </c>
      <c r="W204">
        <v>1080000</v>
      </c>
      <c r="X204">
        <v>0</v>
      </c>
      <c r="Y204">
        <v>0</v>
      </c>
      <c r="Z204">
        <v>0</v>
      </c>
      <c r="AA204">
        <v>45792</v>
      </c>
      <c r="AB204" t="str">
        <v>Q2 2025</v>
      </c>
      <c r="AC204">
        <v>0</v>
      </c>
      <c r="AD204">
        <v>47118</v>
      </c>
      <c r="AE204" t="str">
        <v>João Gameiro</v>
      </c>
      <c r="AF204" t="str">
        <v>Miguel Ribeiro</v>
      </c>
      <c r="AG204" t="str">
        <v>https://www.aroeiracollections.com/</v>
      </c>
      <c r="AH204" t="str">
        <v>Aroeira Collections by Missoni: Elegance inspired by iconic design, set beside the renowned PGA golf course — where luxury living meets the rhythm of the coast.</v>
      </c>
      <c r="AI204" t="str">
        <v>Gym, Spa, Condo Pool, Private Pools, Tennis &amp; Padel Courts, Outdoor Areas, Smart Home Technology, Private Parking, Reception, Missoni Interiors, PGA Golf Course</v>
      </c>
      <c r="AJ204"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04" t="str">
        <v>Ana Costa, João Favila, Pedro Domingos</v>
      </c>
      <c r="AL204" t="str">
        <v>Aroeira Collections</v>
      </c>
    </row>
    <row r="205" spans="1:38" x14ac:dyDescent="0.3">
      <c r="A205" t="str">
        <v>Aroeira - VILLAS</v>
      </c>
      <c r="B205" t="str">
        <v>Center</v>
      </c>
      <c r="C205" t="str">
        <v>01E</v>
      </c>
      <c r="D205" t="str">
        <v>Herdade da Aroeira, Almada</v>
      </c>
      <c r="E205" t="str">
        <v>T5</v>
      </c>
      <c r="F205">
        <v>927.5</v>
      </c>
      <c r="G205">
        <v>0</v>
      </c>
      <c r="H205" t="str">
        <v>2</v>
      </c>
      <c r="I205" t="str">
        <v>1</v>
      </c>
      <c r="J205">
        <v>0</v>
      </c>
      <c r="K205">
        <v>0</v>
      </c>
      <c r="L205">
        <v>0</v>
      </c>
      <c r="M205" s="79">
        <v>370</v>
      </c>
      <c r="N205">
        <v>125.5</v>
      </c>
      <c r="O205">
        <v>432</v>
      </c>
      <c r="P205">
        <v>0</v>
      </c>
      <c r="Q205" t="str">
        <v>RESERVED</v>
      </c>
      <c r="R205">
        <v>3870000</v>
      </c>
      <c r="S205">
        <v>3950000</v>
      </c>
      <c r="T205">
        <v>4100000</v>
      </c>
      <c r="U205">
        <v>0</v>
      </c>
      <c r="V205">
        <v>80000</v>
      </c>
      <c r="W205">
        <v>4020000</v>
      </c>
      <c r="X205">
        <v>-3.1707317073170802E-2</v>
      </c>
      <c r="Y205">
        <v>4230000</v>
      </c>
      <c r="Z205">
        <v>4150000</v>
      </c>
      <c r="AA205">
        <v>45792</v>
      </c>
      <c r="AB205" t="str">
        <v>Q2 2025</v>
      </c>
      <c r="AC205">
        <v>46090</v>
      </c>
      <c r="AD205">
        <v>47118</v>
      </c>
      <c r="AE205" t="str">
        <v>João Gameiro</v>
      </c>
      <c r="AF205" t="str">
        <v>Miguel Ribeiro</v>
      </c>
      <c r="AG205" t="str">
        <v>https://www.aroeiracollections.com/</v>
      </c>
      <c r="AH205" t="str">
        <v>Aroeira Collections by Missoni: Elegance inspired by iconic design, set beside the renowned PGA golf course — where luxury living meets the rhythm of the coast.</v>
      </c>
      <c r="AI205" t="str">
        <v>Gym, Spa, Condo Pool, Private Pools, Tennis &amp; Padel Courts, Outdoor Areas, Smart Home Technology, Private Parking, Reception, Missoni Interiors, PGA Golf Course</v>
      </c>
      <c r="AJ205"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05" t="str">
        <v>Ana Costa, João Favila, Pedro Domingos</v>
      </c>
      <c r="AL205" t="str">
        <v>Aroeira Collections</v>
      </c>
    </row>
    <row r="206" spans="1:38" x14ac:dyDescent="0.3">
      <c r="A206" t="str">
        <v>Aroeira - VILLAS</v>
      </c>
      <c r="B206" t="str">
        <v>Center</v>
      </c>
      <c r="C206" t="str">
        <v>02E</v>
      </c>
      <c r="D206" t="str">
        <v>Herdade da Aroeira, Almada</v>
      </c>
      <c r="E206" t="str">
        <v>T5</v>
      </c>
      <c r="F206">
        <v>594.79999999999995</v>
      </c>
      <c r="G206">
        <v>0</v>
      </c>
      <c r="H206" t="str">
        <v>2</v>
      </c>
      <c r="I206" t="str">
        <v>1</v>
      </c>
      <c r="J206">
        <v>0</v>
      </c>
      <c r="K206">
        <v>0</v>
      </c>
      <c r="L206">
        <v>0</v>
      </c>
      <c r="M206" s="79">
        <v>198.8</v>
      </c>
      <c r="N206">
        <v>47</v>
      </c>
      <c r="O206">
        <v>349</v>
      </c>
      <c r="P206">
        <v>0</v>
      </c>
      <c r="Q206" t="str">
        <v>RESERVED</v>
      </c>
      <c r="R206">
        <v>3145000</v>
      </c>
      <c r="S206">
        <v>3225000</v>
      </c>
      <c r="T206">
        <v>3225000</v>
      </c>
      <c r="U206">
        <v>0</v>
      </c>
      <c r="V206">
        <v>80000</v>
      </c>
      <c r="W206">
        <v>3145000</v>
      </c>
      <c r="X206">
        <v>0</v>
      </c>
      <c r="Y206">
        <v>3225000</v>
      </c>
      <c r="Z206">
        <v>3145000</v>
      </c>
      <c r="AA206">
        <v>45792</v>
      </c>
      <c r="AB206" t="str">
        <v>Q2 2025</v>
      </c>
      <c r="AC206">
        <v>46091</v>
      </c>
      <c r="AD206">
        <v>47118</v>
      </c>
      <c r="AE206" t="str">
        <v>João Gameiro</v>
      </c>
      <c r="AF206" t="str">
        <v>Miguel Ribeiro</v>
      </c>
      <c r="AG206" t="str">
        <v>https://www.aroeiracollections.com/</v>
      </c>
      <c r="AH206" t="str">
        <v>Aroeira Collections by Missoni: Elegance inspired by iconic design, set beside the renowned PGA golf course — where luxury living meets the rhythm of the coast.</v>
      </c>
      <c r="AI206" t="str">
        <v>Gym, Spa, Condo Pool, Private Pools, Tennis &amp; Padel Courts, Outdoor Areas, Smart Home Technology, Private Parking, Reception, Missoni Interiors, PGA Golf Course</v>
      </c>
      <c r="AJ206"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06" t="str">
        <v>Ana Costa, João Favila, Pedro Domingos</v>
      </c>
      <c r="AL206" t="str">
        <v>Aroeira Collections</v>
      </c>
    </row>
    <row r="207" spans="1:38" x14ac:dyDescent="0.3">
      <c r="A207" t="str">
        <v>Aroeira - VILLAS</v>
      </c>
      <c r="B207" t="str">
        <v>Center</v>
      </c>
      <c r="C207" t="str">
        <v>04E</v>
      </c>
      <c r="D207" t="str">
        <v>Herdade da Aroeira, Almada</v>
      </c>
      <c r="E207" t="str">
        <v>T5</v>
      </c>
      <c r="F207">
        <v>602</v>
      </c>
      <c r="G207">
        <v>0</v>
      </c>
      <c r="H207" t="str">
        <v>2</v>
      </c>
      <c r="I207" t="str">
        <v>1</v>
      </c>
      <c r="J207">
        <v>0</v>
      </c>
      <c r="K207">
        <v>0</v>
      </c>
      <c r="L207">
        <v>0</v>
      </c>
      <c r="M207" s="79">
        <v>203</v>
      </c>
      <c r="N207">
        <v>47</v>
      </c>
      <c r="O207">
        <v>352</v>
      </c>
      <c r="P207">
        <v>0</v>
      </c>
      <c r="Q207" t="str">
        <v>RESERVED</v>
      </c>
      <c r="R207">
        <v>3145000</v>
      </c>
      <c r="S207">
        <v>3225000</v>
      </c>
      <c r="T207">
        <v>3225000</v>
      </c>
      <c r="U207">
        <v>0</v>
      </c>
      <c r="V207">
        <v>80000</v>
      </c>
      <c r="W207">
        <v>3145000</v>
      </c>
      <c r="X207">
        <v>0</v>
      </c>
      <c r="Y207">
        <v>3225000</v>
      </c>
      <c r="Z207">
        <v>3145000</v>
      </c>
      <c r="AA207">
        <v>45792</v>
      </c>
      <c r="AB207" t="str">
        <v>Q2 2025</v>
      </c>
      <c r="AC207">
        <v>46091</v>
      </c>
      <c r="AD207">
        <v>47118</v>
      </c>
      <c r="AE207" t="str">
        <v>João Gameiro</v>
      </c>
      <c r="AF207" t="str">
        <v>Miguel Ribeiro</v>
      </c>
      <c r="AG207" t="str">
        <v>https://www.aroeiracollections.com/</v>
      </c>
      <c r="AH207" t="str">
        <v>Aroeira Collections by Missoni: Elegance inspired by iconic design, set beside the renowned PGA golf course — where luxury living meets the rhythm of the coast.</v>
      </c>
      <c r="AI207" t="str">
        <v>Gym, Spa, Condo Pool, Private Pools, Tennis &amp; Padel Courts, Outdoor Areas, Smart Home Technology, Private Parking, Reception, Missoni Interiors, PGA Golf Course</v>
      </c>
      <c r="AJ207"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07" t="str">
        <v>Ana Costa, João Favila, Pedro Domingos</v>
      </c>
      <c r="AL207" t="str">
        <v>Aroeira Collections</v>
      </c>
    </row>
    <row r="208" spans="1:38" x14ac:dyDescent="0.3">
      <c r="A208" t="str">
        <v>Aroeira - VILLAS</v>
      </c>
      <c r="B208" t="str">
        <v>Center</v>
      </c>
      <c r="C208" t="str">
        <v>05D</v>
      </c>
      <c r="D208" t="str">
        <v>Herdade da Aroeira, Almada</v>
      </c>
      <c r="E208" t="str">
        <v>T4</v>
      </c>
      <c r="F208">
        <v>559</v>
      </c>
      <c r="G208">
        <v>0</v>
      </c>
      <c r="H208" t="str">
        <v>2</v>
      </c>
      <c r="I208" t="str">
        <v>1</v>
      </c>
      <c r="J208">
        <v>0</v>
      </c>
      <c r="K208">
        <v>0</v>
      </c>
      <c r="L208">
        <v>0</v>
      </c>
      <c r="M208" s="79">
        <v>196</v>
      </c>
      <c r="N208">
        <v>65</v>
      </c>
      <c r="O208">
        <v>298</v>
      </c>
      <c r="P208">
        <v>0</v>
      </c>
      <c r="Q208" t="str">
        <v xml:space="preserve">PSPA </v>
      </c>
      <c r="R208">
        <v>2500000</v>
      </c>
      <c r="S208">
        <v>2570000</v>
      </c>
      <c r="T208">
        <v>2570000</v>
      </c>
      <c r="U208">
        <v>0</v>
      </c>
      <c r="V208">
        <v>70000</v>
      </c>
      <c r="W208">
        <v>2500000</v>
      </c>
      <c r="X208">
        <v>0</v>
      </c>
      <c r="Y208">
        <v>2570000</v>
      </c>
      <c r="Z208">
        <v>2500000</v>
      </c>
      <c r="AA208">
        <v>45792</v>
      </c>
      <c r="AB208" t="str">
        <v>Q2 2025</v>
      </c>
      <c r="AC208">
        <v>46093</v>
      </c>
      <c r="AD208">
        <v>47118</v>
      </c>
      <c r="AE208" t="str">
        <v>João Gameiro</v>
      </c>
      <c r="AF208" t="str">
        <v>Miguel Ribeiro</v>
      </c>
      <c r="AG208" t="str">
        <v>https://www.aroeiracollections.com/</v>
      </c>
      <c r="AH208" t="str">
        <v>Aroeira Collections by Missoni: Elegance inspired by iconic design, set beside the renowned PGA golf course — where luxury living meets the rhythm of the coast.</v>
      </c>
      <c r="AI208" t="str">
        <v>Gym, Spa, Condo Pool, Private Pools, Tennis &amp; Padel Courts, Outdoor Areas, Smart Home Technology, Private Parking, Reception, Missoni Interiors, PGA Golf Course</v>
      </c>
      <c r="AJ208"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08" t="str">
        <v>Ana Costa, João Favila, Pedro Domingos</v>
      </c>
      <c r="AL208" t="str">
        <v>Aroeira Collections</v>
      </c>
    </row>
    <row r="209" spans="1:38" x14ac:dyDescent="0.3">
      <c r="A209" t="str">
        <v>Aroeira - VILLAS</v>
      </c>
      <c r="B209" t="str">
        <v>Center</v>
      </c>
      <c r="C209" t="str">
        <v>03E</v>
      </c>
      <c r="D209" t="str">
        <v>Herdade da Aroeira, Almada</v>
      </c>
      <c r="E209" t="str">
        <v>T5</v>
      </c>
      <c r="F209">
        <v>594.4</v>
      </c>
      <c r="G209">
        <v>0</v>
      </c>
      <c r="H209" t="str">
        <v>2</v>
      </c>
      <c r="I209" t="str">
        <v>1</v>
      </c>
      <c r="J209">
        <v>0</v>
      </c>
      <c r="K209">
        <v>0</v>
      </c>
      <c r="L209">
        <v>0</v>
      </c>
      <c r="M209" s="79">
        <v>199.4</v>
      </c>
      <c r="N209">
        <v>47</v>
      </c>
      <c r="O209">
        <v>348</v>
      </c>
      <c r="P209">
        <v>0</v>
      </c>
      <c r="Q209" t="str">
        <v>AVAILABLE</v>
      </c>
      <c r="R209">
        <v>3145000</v>
      </c>
      <c r="S209">
        <v>3225000</v>
      </c>
      <c r="T209">
        <v>3225000</v>
      </c>
      <c r="U209">
        <v>0</v>
      </c>
      <c r="V209">
        <v>80000</v>
      </c>
      <c r="W209">
        <v>3145000</v>
      </c>
      <c r="X209">
        <v>0</v>
      </c>
      <c r="Y209">
        <v>0</v>
      </c>
      <c r="Z209">
        <v>-80000</v>
      </c>
      <c r="AA209">
        <v>45792</v>
      </c>
      <c r="AB209" t="str">
        <v>Q2 2025</v>
      </c>
      <c r="AC209">
        <v>0</v>
      </c>
      <c r="AD209">
        <v>47118</v>
      </c>
      <c r="AE209" t="str">
        <v>João Gameiro</v>
      </c>
      <c r="AF209" t="str">
        <v>Miguel Ribeiro</v>
      </c>
      <c r="AG209" t="str">
        <v>https://www.aroeiracollections.com/</v>
      </c>
      <c r="AH209" t="str">
        <v>Aroeira Collections by Missoni: Elegance inspired by iconic design, set beside the renowned PGA golf course — where luxury living meets the rhythm of the coast.</v>
      </c>
      <c r="AI209" t="str">
        <v>Gym, Spa, Condo Pool, Private Pools, Tennis &amp; Padel Courts, Outdoor Areas, Smart Home Technology, Private Parking, Reception, Missoni Interiors, PGA Golf Course</v>
      </c>
      <c r="AJ209"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09" t="str">
        <v>Ana Costa, João Favila, Pedro Domingos</v>
      </c>
      <c r="AL209" t="str">
        <v>Aroeira Collections</v>
      </c>
    </row>
    <row r="210" spans="1:38" x14ac:dyDescent="0.3">
      <c r="A210" t="str">
        <v>Aroeira - VILLAS</v>
      </c>
      <c r="B210" t="str">
        <v>Center</v>
      </c>
      <c r="C210" t="str">
        <v>06D</v>
      </c>
      <c r="D210" t="str">
        <v>Herdade da Aroeira, Almada</v>
      </c>
      <c r="E210" t="str">
        <v>T4</v>
      </c>
      <c r="F210">
        <v>553</v>
      </c>
      <c r="G210">
        <v>0</v>
      </c>
      <c r="H210" t="str">
        <v>2</v>
      </c>
      <c r="I210" t="str">
        <v>1</v>
      </c>
      <c r="J210">
        <v>0</v>
      </c>
      <c r="K210">
        <v>0</v>
      </c>
      <c r="L210">
        <v>0</v>
      </c>
      <c r="M210" s="79">
        <v>193</v>
      </c>
      <c r="N210">
        <v>65</v>
      </c>
      <c r="O210">
        <v>295</v>
      </c>
      <c r="P210">
        <v>0</v>
      </c>
      <c r="Q210" t="str">
        <v>AVAILABLE</v>
      </c>
      <c r="R210">
        <v>2500000</v>
      </c>
      <c r="S210">
        <v>2570000</v>
      </c>
      <c r="T210">
        <v>2570000</v>
      </c>
      <c r="U210">
        <v>0</v>
      </c>
      <c r="V210">
        <v>70000</v>
      </c>
      <c r="W210">
        <v>2500000</v>
      </c>
      <c r="X210">
        <v>0</v>
      </c>
      <c r="Y210">
        <v>0</v>
      </c>
      <c r="Z210">
        <v>-70000</v>
      </c>
      <c r="AA210">
        <v>45792</v>
      </c>
      <c r="AB210" t="str">
        <v>Q2 2025</v>
      </c>
      <c r="AC210">
        <v>0</v>
      </c>
      <c r="AD210">
        <v>47118</v>
      </c>
      <c r="AE210" t="str">
        <v>João Gameiro</v>
      </c>
      <c r="AF210" t="str">
        <v>Miguel Ribeiro</v>
      </c>
      <c r="AG210" t="str">
        <v>https://www.aroeiracollections.com/</v>
      </c>
      <c r="AH210" t="str">
        <v>Aroeira Collections by Missoni: Elegance inspired by iconic design, set beside the renowned PGA golf course — where luxury living meets the rhythm of the coast.</v>
      </c>
      <c r="AI210" t="str">
        <v>Gym, Spa, Condo Pool, Private Pools, Tennis &amp; Padel Courts, Outdoor Areas, Smart Home Technology, Private Parking, Reception, Missoni Interiors, PGA Golf Course</v>
      </c>
      <c r="AJ210"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10" t="str">
        <v>Ana Costa, João Favila, Pedro Domingos</v>
      </c>
      <c r="AL210" t="str">
        <v>Aroeira Collections</v>
      </c>
    </row>
    <row r="211" spans="1:38" x14ac:dyDescent="0.3">
      <c r="A211" t="str">
        <v>Aroeira - VILLAS</v>
      </c>
      <c r="B211" t="str">
        <v>Center</v>
      </c>
      <c r="C211" t="str">
        <v>07D</v>
      </c>
      <c r="D211" t="str">
        <v>Herdade da Aroeira, Almada</v>
      </c>
      <c r="E211" t="str">
        <v>T4</v>
      </c>
      <c r="F211">
        <v>553</v>
      </c>
      <c r="G211">
        <v>0</v>
      </c>
      <c r="H211" t="str">
        <v>2</v>
      </c>
      <c r="I211" t="str">
        <v>1</v>
      </c>
      <c r="J211">
        <v>0</v>
      </c>
      <c r="K211">
        <v>0</v>
      </c>
      <c r="L211">
        <v>0</v>
      </c>
      <c r="M211" s="79">
        <v>193</v>
      </c>
      <c r="N211">
        <v>65</v>
      </c>
      <c r="O211">
        <v>295</v>
      </c>
      <c r="P211">
        <v>0</v>
      </c>
      <c r="Q211" t="str">
        <v>AVAILABLE</v>
      </c>
      <c r="R211">
        <v>2500000</v>
      </c>
      <c r="S211">
        <v>2570000</v>
      </c>
      <c r="T211">
        <v>2600000</v>
      </c>
      <c r="U211">
        <v>0</v>
      </c>
      <c r="V211">
        <v>70000</v>
      </c>
      <c r="W211">
        <v>2530000</v>
      </c>
      <c r="X211">
        <v>0</v>
      </c>
      <c r="Y211">
        <v>0</v>
      </c>
      <c r="Z211">
        <v>-70000</v>
      </c>
      <c r="AA211">
        <v>45792</v>
      </c>
      <c r="AB211" t="str">
        <v>Q2 2025</v>
      </c>
      <c r="AC211">
        <v>0</v>
      </c>
      <c r="AD211">
        <v>47118</v>
      </c>
      <c r="AE211" t="str">
        <v>João Gameiro</v>
      </c>
      <c r="AF211" t="str">
        <v>Miguel Ribeiro</v>
      </c>
      <c r="AG211" t="str">
        <v>https://www.aroeiracollections.com/</v>
      </c>
      <c r="AH211" t="str">
        <v>Aroeira Collections by Missoni: Elegance inspired by iconic design, set beside the renowned PGA golf course — where luxury living meets the rhythm of the coast.</v>
      </c>
      <c r="AI211" t="str">
        <v>Gym, Spa, Condo Pool, Private Pools, Tennis &amp; Padel Courts, Outdoor Areas, Smart Home Technology, Private Parking, Reception, Missoni Interiors, PGA Golf Course</v>
      </c>
      <c r="AJ211"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11" t="str">
        <v>Ana Costa, João Favila, Pedro Domingos</v>
      </c>
      <c r="AL211" t="str">
        <v>Aroeira Collections</v>
      </c>
    </row>
    <row r="212" spans="1:38" x14ac:dyDescent="0.3">
      <c r="A212" t="str">
        <v>Aroeira - VILLAS</v>
      </c>
      <c r="B212" t="str">
        <v>Center</v>
      </c>
      <c r="C212" t="str">
        <v>08D</v>
      </c>
      <c r="D212" t="str">
        <v>Herdade da Aroeira, Almada</v>
      </c>
      <c r="E212" t="str">
        <v>T4</v>
      </c>
      <c r="F212">
        <v>554</v>
      </c>
      <c r="G212">
        <v>0</v>
      </c>
      <c r="H212" t="str">
        <v>2</v>
      </c>
      <c r="I212" t="str">
        <v>1</v>
      </c>
      <c r="J212">
        <v>0</v>
      </c>
      <c r="K212">
        <v>0</v>
      </c>
      <c r="L212">
        <v>0</v>
      </c>
      <c r="M212" s="79">
        <v>193</v>
      </c>
      <c r="N212">
        <v>65</v>
      </c>
      <c r="O212">
        <v>296</v>
      </c>
      <c r="P212">
        <v>0</v>
      </c>
      <c r="Q212" t="str">
        <v>AVAILABLE</v>
      </c>
      <c r="R212">
        <v>2500000</v>
      </c>
      <c r="S212">
        <v>2570000</v>
      </c>
      <c r="T212">
        <v>2600000</v>
      </c>
      <c r="U212">
        <v>0</v>
      </c>
      <c r="V212">
        <v>70000</v>
      </c>
      <c r="W212">
        <v>2530000</v>
      </c>
      <c r="X212">
        <v>0</v>
      </c>
      <c r="Y212">
        <v>0</v>
      </c>
      <c r="Z212">
        <v>-70000</v>
      </c>
      <c r="AA212">
        <v>45792</v>
      </c>
      <c r="AB212" t="str">
        <v>Q2 2025</v>
      </c>
      <c r="AC212">
        <v>0</v>
      </c>
      <c r="AD212">
        <v>47118</v>
      </c>
      <c r="AE212" t="str">
        <v>João Gameiro</v>
      </c>
      <c r="AF212" t="str">
        <v>Miguel Ribeiro</v>
      </c>
      <c r="AG212" t="str">
        <v>https://www.aroeiracollections.com/</v>
      </c>
      <c r="AH212" t="str">
        <v>Aroeira Collections by Missoni: Elegance inspired by iconic design, set beside the renowned PGA golf course — where luxury living meets the rhythm of the coast.</v>
      </c>
      <c r="AI212" t="str">
        <v>Gym, Spa, Condo Pool, Private Pools, Tennis &amp; Padel Courts, Outdoor Areas, Smart Home Technology, Private Parking, Reception, Missoni Interiors, PGA Golf Course</v>
      </c>
      <c r="AJ212"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12" t="str">
        <v>Ana Costa, João Favila, Pedro Domingos</v>
      </c>
      <c r="AL212" t="str">
        <v>Aroeira Collections</v>
      </c>
    </row>
    <row r="213" spans="1:38" x14ac:dyDescent="0.3">
      <c r="A213" t="str">
        <v>Aroeira - VILLAS</v>
      </c>
      <c r="B213" t="str">
        <v>Center</v>
      </c>
      <c r="C213" t="str">
        <v>09E</v>
      </c>
      <c r="D213" t="str">
        <v>Herdade da Aroeira, Almada</v>
      </c>
      <c r="E213" t="str">
        <v>T5</v>
      </c>
      <c r="F213">
        <v>587.4</v>
      </c>
      <c r="G213">
        <v>0</v>
      </c>
      <c r="H213" t="str">
        <v>2</v>
      </c>
      <c r="I213" t="str">
        <v>1</v>
      </c>
      <c r="J213">
        <v>0</v>
      </c>
      <c r="K213">
        <v>0</v>
      </c>
      <c r="L213">
        <v>0</v>
      </c>
      <c r="M213" s="79">
        <v>167</v>
      </c>
      <c r="N213">
        <v>79</v>
      </c>
      <c r="O213">
        <v>341.4</v>
      </c>
      <c r="P213">
        <v>0</v>
      </c>
      <c r="Q213" t="str">
        <v>AVAILABLE</v>
      </c>
      <c r="R213">
        <v>3060000</v>
      </c>
      <c r="S213">
        <v>3140000</v>
      </c>
      <c r="T213">
        <v>3140000</v>
      </c>
      <c r="U213">
        <v>0</v>
      </c>
      <c r="V213">
        <v>80000</v>
      </c>
      <c r="W213">
        <v>3060000</v>
      </c>
      <c r="X213">
        <v>0</v>
      </c>
      <c r="Y213">
        <v>0</v>
      </c>
      <c r="Z213">
        <v>-80000</v>
      </c>
      <c r="AA213">
        <v>45792</v>
      </c>
      <c r="AB213" t="str">
        <v>Q2 2025</v>
      </c>
      <c r="AC213">
        <v>0</v>
      </c>
      <c r="AD213">
        <v>47118</v>
      </c>
      <c r="AE213" t="str">
        <v>João Gameiro</v>
      </c>
      <c r="AF213" t="str">
        <v>Miguel Ribeiro</v>
      </c>
      <c r="AG213" t="str">
        <v>https://www.aroeiracollections.com/</v>
      </c>
      <c r="AH213" t="str">
        <v>Aroeira Collections by Missoni: Elegance inspired by iconic design, set beside the renowned PGA golf course — where luxury living meets the rhythm of the coast.</v>
      </c>
      <c r="AI213" t="str">
        <v>Gym, Spa, Condo Pool, Private Pools, Tennis &amp; Padel Courts, Outdoor Areas, Smart Home Technology, Private Parking, Reception, Missoni Interiors, PGA Golf Course</v>
      </c>
      <c r="AJ213"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13" t="str">
        <v>Ana Costa, João Favila, Pedro Domingos</v>
      </c>
      <c r="AL213" t="str">
        <v>Aroeira Collections</v>
      </c>
    </row>
    <row r="214" spans="1:38" x14ac:dyDescent="0.3">
      <c r="A214" t="str">
        <v>Aroeira - VILLAS</v>
      </c>
      <c r="B214" t="str">
        <v>Center</v>
      </c>
      <c r="C214" t="str">
        <v>10E</v>
      </c>
      <c r="D214" t="str">
        <v>Herdade da Aroeira, Almada</v>
      </c>
      <c r="E214" t="str">
        <v>T5</v>
      </c>
      <c r="F214">
        <v>533.5</v>
      </c>
      <c r="G214">
        <v>0</v>
      </c>
      <c r="H214" t="str">
        <v>2</v>
      </c>
      <c r="I214" t="str">
        <v>1</v>
      </c>
      <c r="J214">
        <v>0</v>
      </c>
      <c r="K214">
        <v>0</v>
      </c>
      <c r="L214">
        <v>0</v>
      </c>
      <c r="M214" s="79">
        <v>142</v>
      </c>
      <c r="N214">
        <v>59</v>
      </c>
      <c r="O214">
        <v>332.5</v>
      </c>
      <c r="P214">
        <v>0</v>
      </c>
      <c r="Q214" t="str">
        <v>AVAILABLE</v>
      </c>
      <c r="R214">
        <v>2875000</v>
      </c>
      <c r="S214">
        <v>2955000</v>
      </c>
      <c r="T214">
        <v>2955000</v>
      </c>
      <c r="U214">
        <v>0</v>
      </c>
      <c r="V214">
        <v>80000</v>
      </c>
      <c r="W214">
        <v>2875000</v>
      </c>
      <c r="X214">
        <v>0</v>
      </c>
      <c r="Y214">
        <v>0</v>
      </c>
      <c r="Z214">
        <v>-80000</v>
      </c>
      <c r="AA214">
        <v>45792</v>
      </c>
      <c r="AB214" t="str">
        <v>Q2 2025</v>
      </c>
      <c r="AC214">
        <v>0</v>
      </c>
      <c r="AD214">
        <v>47118</v>
      </c>
      <c r="AE214" t="str">
        <v>João Gameiro</v>
      </c>
      <c r="AF214" t="str">
        <v>Miguel Ribeiro</v>
      </c>
      <c r="AG214" t="str">
        <v>https://www.aroeiracollections.com/</v>
      </c>
      <c r="AH214" t="str">
        <v>Aroeira Collections by Missoni: Elegance inspired by iconic design, set beside the renowned PGA golf course — where luxury living meets the rhythm of the coast.</v>
      </c>
      <c r="AI214" t="str">
        <v>Gym, Spa, Condo Pool, Private Pools, Tennis &amp; Padel Courts, Outdoor Areas, Smart Home Technology, Private Parking, Reception, Missoni Interiors, PGA Golf Course</v>
      </c>
      <c r="AJ214"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14" t="str">
        <v>Ana Costa, João Favila, Pedro Domingos</v>
      </c>
      <c r="AL214" t="str">
        <v>Aroeira Collections</v>
      </c>
    </row>
    <row r="215" spans="1:38" x14ac:dyDescent="0.3">
      <c r="A215" t="str">
        <v>Aroeira - VILLAS</v>
      </c>
      <c r="B215" t="str">
        <v>Center</v>
      </c>
      <c r="C215" t="str">
        <v>11D</v>
      </c>
      <c r="D215" t="str">
        <v>Herdade da Aroeira, Almada</v>
      </c>
      <c r="E215" t="str">
        <v>T3+1</v>
      </c>
      <c r="F215">
        <v>386.9</v>
      </c>
      <c r="G215">
        <v>0</v>
      </c>
      <c r="H215" t="str">
        <v>2</v>
      </c>
      <c r="I215" t="str">
        <v>1</v>
      </c>
      <c r="J215">
        <v>0</v>
      </c>
      <c r="K215">
        <v>0</v>
      </c>
      <c r="L215">
        <v>0</v>
      </c>
      <c r="M215" s="79">
        <v>125</v>
      </c>
      <c r="N215">
        <v>34</v>
      </c>
      <c r="O215">
        <v>227.9</v>
      </c>
      <c r="P215">
        <v>0</v>
      </c>
      <c r="Q215" t="str">
        <v>AVAILABLE</v>
      </c>
      <c r="R215">
        <v>1895000</v>
      </c>
      <c r="S215">
        <v>1965000</v>
      </c>
      <c r="T215">
        <v>1965000</v>
      </c>
      <c r="U215">
        <v>0</v>
      </c>
      <c r="V215">
        <v>70000</v>
      </c>
      <c r="W215">
        <v>1895000</v>
      </c>
      <c r="X215">
        <v>0</v>
      </c>
      <c r="Y215">
        <v>0</v>
      </c>
      <c r="Z215">
        <v>-70000</v>
      </c>
      <c r="AA215">
        <v>45792</v>
      </c>
      <c r="AB215" t="str">
        <v>Q2 2025</v>
      </c>
      <c r="AC215">
        <v>0</v>
      </c>
      <c r="AD215">
        <v>47118</v>
      </c>
      <c r="AE215" t="str">
        <v>João Gameiro</v>
      </c>
      <c r="AF215" t="str">
        <v>Miguel Ribeiro</v>
      </c>
      <c r="AG215" t="str">
        <v>https://www.aroeiracollections.com/</v>
      </c>
      <c r="AH215" t="str">
        <v>Aroeira Collections by Missoni: Elegance inspired by iconic design, set beside the renowned PGA golf course — where luxury living meets the rhythm of the coast.</v>
      </c>
      <c r="AI215" t="str">
        <v>Gym, Spa, Condo Pool, Private Pools, Tennis &amp; Padel Courts, Outdoor Areas, Smart Home Technology, Private Parking, Reception, Missoni Interiors, PGA Golf Course</v>
      </c>
      <c r="AJ215"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15" t="str">
        <v>Ana Costa, João Favila, Pedro Domingos</v>
      </c>
      <c r="AL215" t="str">
        <v>Aroeira Collections</v>
      </c>
    </row>
    <row r="216" spans="1:38" x14ac:dyDescent="0.3">
      <c r="A216" t="str">
        <v>Aroeira - VILLAS</v>
      </c>
      <c r="B216" t="str">
        <v>Center</v>
      </c>
      <c r="C216" t="str">
        <v>12D</v>
      </c>
      <c r="D216" t="str">
        <v>Herdade da Aroeira, Almada</v>
      </c>
      <c r="E216" t="str">
        <v>T4</v>
      </c>
      <c r="F216">
        <v>422.5</v>
      </c>
      <c r="G216">
        <v>0</v>
      </c>
      <c r="H216" t="str">
        <v>2</v>
      </c>
      <c r="I216" t="str">
        <v>1</v>
      </c>
      <c r="J216">
        <v>0</v>
      </c>
      <c r="K216">
        <v>0</v>
      </c>
      <c r="L216">
        <v>0</v>
      </c>
      <c r="M216" s="79">
        <v>118</v>
      </c>
      <c r="N216">
        <v>61</v>
      </c>
      <c r="O216">
        <v>243.5</v>
      </c>
      <c r="P216">
        <v>0</v>
      </c>
      <c r="Q216" t="str">
        <v>AVAILABLE</v>
      </c>
      <c r="R216">
        <v>2090000</v>
      </c>
      <c r="S216">
        <v>2160000</v>
      </c>
      <c r="T216">
        <v>2170000</v>
      </c>
      <c r="U216">
        <v>0</v>
      </c>
      <c r="V216">
        <v>70000</v>
      </c>
      <c r="W216">
        <v>2100000</v>
      </c>
      <c r="X216">
        <v>0</v>
      </c>
      <c r="Y216">
        <v>0</v>
      </c>
      <c r="Z216">
        <v>-70000</v>
      </c>
      <c r="AA216">
        <v>45792</v>
      </c>
      <c r="AB216" t="str">
        <v>Q2 2025</v>
      </c>
      <c r="AC216">
        <v>0</v>
      </c>
      <c r="AD216">
        <v>47118</v>
      </c>
      <c r="AE216" t="str">
        <v>João Gameiro</v>
      </c>
      <c r="AF216" t="str">
        <v>Miguel Ribeiro</v>
      </c>
      <c r="AG216" t="str">
        <v>https://www.aroeiracollections.com/</v>
      </c>
      <c r="AH216" t="str">
        <v>Aroeira Collections by Missoni: Elegance inspired by iconic design, set beside the renowned PGA golf course — where luxury living meets the rhythm of the coast.</v>
      </c>
      <c r="AI216" t="str">
        <v>Gym, Spa, Condo Pool, Private Pools, Tennis &amp; Padel Courts, Outdoor Areas, Smart Home Technology, Private Parking, Reception, Missoni Interiors, PGA Golf Course</v>
      </c>
      <c r="AJ216"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16" t="str">
        <v>Ana Costa, João Favila, Pedro Domingos</v>
      </c>
      <c r="AL216" t="str">
        <v>Aroeira Collections</v>
      </c>
    </row>
    <row r="217" spans="1:38" x14ac:dyDescent="0.3">
      <c r="A217" t="str">
        <v>Aroeira - VILLAS</v>
      </c>
      <c r="B217" t="str">
        <v>Center</v>
      </c>
      <c r="C217" t="str">
        <v>13D</v>
      </c>
      <c r="D217" t="str">
        <v>Herdade da Aroeira, Almada</v>
      </c>
      <c r="E217" t="str">
        <v>T3+1</v>
      </c>
      <c r="F217">
        <v>378.5</v>
      </c>
      <c r="G217">
        <v>0</v>
      </c>
      <c r="H217" t="str">
        <v>2</v>
      </c>
      <c r="I217" t="str">
        <v>1</v>
      </c>
      <c r="J217">
        <v>0</v>
      </c>
      <c r="K217">
        <v>0</v>
      </c>
      <c r="L217">
        <v>0</v>
      </c>
      <c r="M217" s="79">
        <v>107</v>
      </c>
      <c r="N217">
        <v>48</v>
      </c>
      <c r="O217">
        <v>223.5</v>
      </c>
      <c r="P217">
        <v>0</v>
      </c>
      <c r="Q217" t="str">
        <v>AVAILABLE</v>
      </c>
      <c r="R217">
        <v>1855000</v>
      </c>
      <c r="S217">
        <v>1925000</v>
      </c>
      <c r="T217">
        <v>1925000</v>
      </c>
      <c r="U217">
        <v>0</v>
      </c>
      <c r="V217">
        <v>70000</v>
      </c>
      <c r="W217">
        <v>1855000</v>
      </c>
      <c r="X217">
        <v>0</v>
      </c>
      <c r="Y217">
        <v>0</v>
      </c>
      <c r="Z217">
        <v>-70000</v>
      </c>
      <c r="AA217">
        <v>45792</v>
      </c>
      <c r="AB217" t="str">
        <v>Q2 2025</v>
      </c>
      <c r="AC217">
        <v>0</v>
      </c>
      <c r="AD217">
        <v>47118</v>
      </c>
      <c r="AE217" t="str">
        <v>João Gameiro</v>
      </c>
      <c r="AF217" t="str">
        <v>Miguel Ribeiro</v>
      </c>
      <c r="AG217" t="str">
        <v>https://www.aroeiracollections.com/</v>
      </c>
      <c r="AH217" t="str">
        <v>Aroeira Collections by Missoni: Elegance inspired by iconic design, set beside the renowned PGA golf course — where luxury living meets the rhythm of the coast.</v>
      </c>
      <c r="AI217" t="str">
        <v>Gym, Spa, Condo Pool, Private Pools, Tennis &amp; Padel Courts, Outdoor Areas, Smart Home Technology, Private Parking, Reception, Missoni Interiors, PGA Golf Course</v>
      </c>
      <c r="AJ217"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17" t="str">
        <v>Ana Costa, João Favila, Pedro Domingos</v>
      </c>
      <c r="AL217" t="str">
        <v>Aroeira Collections</v>
      </c>
    </row>
    <row r="218" spans="1:38" x14ac:dyDescent="0.3">
      <c r="A218" t="str">
        <v>Aroeira - VILLAS</v>
      </c>
      <c r="B218" t="str">
        <v>Center</v>
      </c>
      <c r="C218" t="str">
        <v>14D</v>
      </c>
      <c r="D218" t="str">
        <v>Herdade da Aroeira, Almada</v>
      </c>
      <c r="E218" t="str">
        <v>T4</v>
      </c>
      <c r="F218">
        <v>393.7</v>
      </c>
      <c r="G218">
        <v>0</v>
      </c>
      <c r="H218" t="str">
        <v>2</v>
      </c>
      <c r="I218" t="str">
        <v>1</v>
      </c>
      <c r="J218">
        <v>0</v>
      </c>
      <c r="K218">
        <v>0</v>
      </c>
      <c r="L218">
        <v>0</v>
      </c>
      <c r="M218" s="79">
        <v>107</v>
      </c>
      <c r="N218">
        <v>48</v>
      </c>
      <c r="O218">
        <v>238.7</v>
      </c>
      <c r="P218">
        <v>0</v>
      </c>
      <c r="Q218" t="str">
        <v>AVAILABLE</v>
      </c>
      <c r="R218">
        <v>1975000</v>
      </c>
      <c r="S218">
        <v>2045000</v>
      </c>
      <c r="T218">
        <v>2045000</v>
      </c>
      <c r="U218">
        <v>0</v>
      </c>
      <c r="V218">
        <v>70000</v>
      </c>
      <c r="W218">
        <v>1975000</v>
      </c>
      <c r="X218">
        <v>0</v>
      </c>
      <c r="Y218">
        <v>0</v>
      </c>
      <c r="Z218">
        <v>-70000</v>
      </c>
      <c r="AA218">
        <v>45792</v>
      </c>
      <c r="AB218" t="str">
        <v>Q2 2025</v>
      </c>
      <c r="AC218">
        <v>0</v>
      </c>
      <c r="AD218">
        <v>47118</v>
      </c>
      <c r="AE218" t="str">
        <v>João Gameiro</v>
      </c>
      <c r="AF218" t="str">
        <v>Miguel Ribeiro</v>
      </c>
      <c r="AG218" t="str">
        <v>https://www.aroeiracollections.com/</v>
      </c>
      <c r="AH218" t="str">
        <v>Aroeira Collections by Missoni: Elegance inspired by iconic design, set beside the renowned PGA golf course — where luxury living meets the rhythm of the coast.</v>
      </c>
      <c r="AI218" t="str">
        <v>Gym, Spa, Condo Pool, Private Pools, Tennis &amp; Padel Courts, Outdoor Areas, Smart Home Technology, Private Parking, Reception, Missoni Interiors, PGA Golf Course</v>
      </c>
      <c r="AJ218"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18" t="str">
        <v>Ana Costa, João Favila, Pedro Domingos</v>
      </c>
      <c r="AL218" t="str">
        <v>Aroeira Collections</v>
      </c>
    </row>
    <row r="219" spans="1:38" x14ac:dyDescent="0.3">
      <c r="A219" t="str">
        <v>Aroeira - VILLAS</v>
      </c>
      <c r="B219" t="str">
        <v>Center</v>
      </c>
      <c r="C219" t="str">
        <v>15D</v>
      </c>
      <c r="D219" t="str">
        <v>Herdade da Aroeira, Almada</v>
      </c>
      <c r="E219" t="str">
        <v>T4</v>
      </c>
      <c r="F219">
        <v>416.8</v>
      </c>
      <c r="G219">
        <v>0</v>
      </c>
      <c r="H219" t="str">
        <v>2</v>
      </c>
      <c r="I219" t="str">
        <v>1</v>
      </c>
      <c r="J219">
        <v>0</v>
      </c>
      <c r="K219">
        <v>0</v>
      </c>
      <c r="L219">
        <v>0</v>
      </c>
      <c r="M219" s="79">
        <v>132</v>
      </c>
      <c r="N219">
        <v>53</v>
      </c>
      <c r="O219">
        <v>231.8</v>
      </c>
      <c r="P219">
        <v>0</v>
      </c>
      <c r="Q219" t="str">
        <v>AVAILABLE</v>
      </c>
      <c r="R219">
        <v>1945000</v>
      </c>
      <c r="S219">
        <v>2015000</v>
      </c>
      <c r="T219">
        <v>2015000</v>
      </c>
      <c r="U219">
        <v>0</v>
      </c>
      <c r="V219">
        <v>70000</v>
      </c>
      <c r="W219">
        <v>1945000</v>
      </c>
      <c r="X219">
        <v>0</v>
      </c>
      <c r="Y219">
        <v>0</v>
      </c>
      <c r="Z219">
        <v>-70000</v>
      </c>
      <c r="AA219">
        <v>45792</v>
      </c>
      <c r="AB219" t="str">
        <v>Q2 2025</v>
      </c>
      <c r="AC219">
        <v>0</v>
      </c>
      <c r="AD219">
        <v>47118</v>
      </c>
      <c r="AE219" t="str">
        <v>João Gameiro</v>
      </c>
      <c r="AF219" t="str">
        <v>Miguel Ribeiro</v>
      </c>
      <c r="AG219" t="str">
        <v>https://www.aroeiracollections.com/</v>
      </c>
      <c r="AH219" t="str">
        <v>Aroeira Collections by Missoni: Elegance inspired by iconic design, set beside the renowned PGA golf course — where luxury living meets the rhythm of the coast.</v>
      </c>
      <c r="AI219" t="str">
        <v>Gym, Spa, Condo Pool, Private Pools, Tennis &amp; Padel Courts, Outdoor Areas, Smart Home Technology, Private Parking, Reception, Missoni Interiors, PGA Golf Course</v>
      </c>
      <c r="AJ219"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19" t="str">
        <v>Ana Costa, João Favila, Pedro Domingos</v>
      </c>
      <c r="AL219" t="str">
        <v>Aroeira Collections</v>
      </c>
    </row>
    <row r="220" spans="1:38" x14ac:dyDescent="0.3">
      <c r="A220" t="str">
        <v>Aroeira - VILLAS</v>
      </c>
      <c r="B220" t="str">
        <v>Center</v>
      </c>
      <c r="C220" t="str">
        <v>16D</v>
      </c>
      <c r="D220" t="str">
        <v>Herdade da Aroeira, Almada</v>
      </c>
      <c r="E220" t="str">
        <v>T3+1</v>
      </c>
      <c r="F220">
        <v>379.9</v>
      </c>
      <c r="G220">
        <v>0</v>
      </c>
      <c r="H220" t="str">
        <v>2</v>
      </c>
      <c r="I220" t="str">
        <v>1</v>
      </c>
      <c r="J220">
        <v>0</v>
      </c>
      <c r="K220">
        <v>0</v>
      </c>
      <c r="L220">
        <v>0</v>
      </c>
      <c r="M220" s="79">
        <v>104</v>
      </c>
      <c r="N220">
        <v>48</v>
      </c>
      <c r="O220">
        <v>227.9</v>
      </c>
      <c r="P220">
        <v>0</v>
      </c>
      <c r="Q220" t="str">
        <v>AVAILABLE</v>
      </c>
      <c r="R220">
        <v>1965000</v>
      </c>
      <c r="S220">
        <v>2035000</v>
      </c>
      <c r="T220">
        <v>2035000</v>
      </c>
      <c r="U220">
        <v>0</v>
      </c>
      <c r="V220">
        <v>70000</v>
      </c>
      <c r="W220">
        <v>1965000</v>
      </c>
      <c r="X220">
        <v>0</v>
      </c>
      <c r="Y220">
        <v>0</v>
      </c>
      <c r="Z220">
        <v>-70000</v>
      </c>
      <c r="AA220">
        <v>45792</v>
      </c>
      <c r="AB220" t="str">
        <v>Q2 2025</v>
      </c>
      <c r="AC220">
        <v>0</v>
      </c>
      <c r="AD220">
        <v>47118</v>
      </c>
      <c r="AE220" t="str">
        <v>João Gameiro</v>
      </c>
      <c r="AF220" t="str">
        <v>Miguel Ribeiro</v>
      </c>
      <c r="AG220" t="str">
        <v>https://www.aroeiracollections.com/</v>
      </c>
      <c r="AH220" t="str">
        <v>Aroeira Collections by Missoni: Elegance inspired by iconic design, set beside the renowned PGA golf course — where luxury living meets the rhythm of the coast.</v>
      </c>
      <c r="AI220" t="str">
        <v>Gym, Spa, Condo Pool, Private Pools, Tennis &amp; Padel Courts, Outdoor Areas, Smart Home Technology, Private Parking, Reception, Missoni Interiors, PGA Golf Course</v>
      </c>
      <c r="AJ220"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20" t="str">
        <v>Ana Costa, João Favila, Pedro Domingos</v>
      </c>
      <c r="AL220" t="str">
        <v>Aroeira Collections</v>
      </c>
    </row>
    <row r="221" spans="1:38" x14ac:dyDescent="0.3">
      <c r="A221" t="str">
        <v>Aroeira - VILLAS</v>
      </c>
      <c r="B221" t="str">
        <v>Center</v>
      </c>
      <c r="C221" t="str">
        <v>17D</v>
      </c>
      <c r="D221" t="str">
        <v>Herdade da Aroeira, Almada</v>
      </c>
      <c r="E221" t="str">
        <v>T3+1</v>
      </c>
      <c r="F221">
        <v>380.7</v>
      </c>
      <c r="G221">
        <v>0</v>
      </c>
      <c r="H221" t="str">
        <v>2</v>
      </c>
      <c r="I221" t="str">
        <v>1</v>
      </c>
      <c r="J221">
        <v>0</v>
      </c>
      <c r="K221">
        <v>0</v>
      </c>
      <c r="L221">
        <v>0</v>
      </c>
      <c r="M221" s="79">
        <v>104</v>
      </c>
      <c r="N221">
        <v>48</v>
      </c>
      <c r="O221">
        <v>228.7</v>
      </c>
      <c r="P221">
        <v>0</v>
      </c>
      <c r="Q221" t="str">
        <v>AVAILABLE</v>
      </c>
      <c r="R221">
        <v>1975000</v>
      </c>
      <c r="S221">
        <v>2045000</v>
      </c>
      <c r="T221">
        <v>2045000</v>
      </c>
      <c r="U221">
        <v>0</v>
      </c>
      <c r="V221">
        <v>70000</v>
      </c>
      <c r="W221">
        <v>1975000</v>
      </c>
      <c r="X221">
        <v>0</v>
      </c>
      <c r="Y221">
        <v>0</v>
      </c>
      <c r="Z221">
        <v>-70000</v>
      </c>
      <c r="AA221">
        <v>45792</v>
      </c>
      <c r="AB221" t="str">
        <v>Q2 2025</v>
      </c>
      <c r="AC221">
        <v>0</v>
      </c>
      <c r="AD221">
        <v>47118</v>
      </c>
      <c r="AE221" t="str">
        <v>João Gameiro</v>
      </c>
      <c r="AF221" t="str">
        <v>Miguel Ribeiro</v>
      </c>
      <c r="AG221" t="str">
        <v>https://www.aroeiracollections.com/</v>
      </c>
      <c r="AH221" t="str">
        <v>Aroeira Collections by Missoni: Elegance inspired by iconic design, set beside the renowned PGA golf course — where luxury living meets the rhythm of the coast.</v>
      </c>
      <c r="AI221" t="str">
        <v>Gym, Spa, Condo Pool, Private Pools, Tennis &amp; Padel Courts, Outdoor Areas, Smart Home Technology, Private Parking, Reception, Missoni Interiors, PGA Golf Course</v>
      </c>
      <c r="AJ221"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21" t="str">
        <v>Ana Costa, João Favila, Pedro Domingos</v>
      </c>
      <c r="AL221" t="str">
        <v>Aroeira Collections</v>
      </c>
    </row>
    <row r="222" spans="1:38" x14ac:dyDescent="0.3">
      <c r="A222" t="str">
        <v>Aroeira - VILLAS</v>
      </c>
      <c r="B222" t="str">
        <v>Center</v>
      </c>
      <c r="C222" t="str">
        <v>18D</v>
      </c>
      <c r="D222" t="str">
        <v>Herdade da Aroeira, Almada</v>
      </c>
      <c r="E222" t="str">
        <v>T3+1</v>
      </c>
      <c r="F222">
        <v>382.9</v>
      </c>
      <c r="G222">
        <v>0</v>
      </c>
      <c r="H222" t="str">
        <v>2</v>
      </c>
      <c r="I222" t="str">
        <v>1</v>
      </c>
      <c r="J222">
        <v>0</v>
      </c>
      <c r="K222">
        <v>0</v>
      </c>
      <c r="L222">
        <v>0</v>
      </c>
      <c r="M222" s="79">
        <v>104</v>
      </c>
      <c r="N222">
        <v>48</v>
      </c>
      <c r="O222">
        <v>230.9</v>
      </c>
      <c r="P222">
        <v>0</v>
      </c>
      <c r="Q222" t="str">
        <v>AVAILABLE</v>
      </c>
      <c r="R222">
        <v>1995000</v>
      </c>
      <c r="S222">
        <v>2065000</v>
      </c>
      <c r="T222">
        <v>2065000</v>
      </c>
      <c r="U222">
        <v>0</v>
      </c>
      <c r="V222">
        <v>70000</v>
      </c>
      <c r="W222">
        <v>1995000</v>
      </c>
      <c r="X222">
        <v>0</v>
      </c>
      <c r="Y222">
        <v>0</v>
      </c>
      <c r="Z222">
        <v>-70000</v>
      </c>
      <c r="AA222">
        <v>45792</v>
      </c>
      <c r="AB222" t="str">
        <v>Q2 2025</v>
      </c>
      <c r="AC222">
        <v>0</v>
      </c>
      <c r="AD222">
        <v>47118</v>
      </c>
      <c r="AE222" t="str">
        <v>João Gameiro</v>
      </c>
      <c r="AF222" t="str">
        <v>Miguel Ribeiro</v>
      </c>
      <c r="AG222" t="str">
        <v>https://www.aroeiracollections.com/</v>
      </c>
      <c r="AH222" t="str">
        <v>Aroeira Collections by Missoni: Elegance inspired by iconic design, set beside the renowned PGA golf course — where luxury living meets the rhythm of the coast.</v>
      </c>
      <c r="AI222" t="str">
        <v>Gym, Spa, Condo Pool, Private Pools, Tennis &amp; Padel Courts, Outdoor Areas, Smart Home Technology, Private Parking, Reception, Missoni Interiors, PGA Golf Course</v>
      </c>
      <c r="AJ222"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22" t="str">
        <v>Ana Costa, João Favila, Pedro Domingos</v>
      </c>
      <c r="AL222" t="str">
        <v>Aroeira Collections</v>
      </c>
    </row>
    <row r="223" spans="1:38" x14ac:dyDescent="0.3">
      <c r="A223" t="str">
        <v>Aroeira - VILLAS</v>
      </c>
      <c r="B223" t="str">
        <v>Center</v>
      </c>
      <c r="C223" t="str">
        <v>19C</v>
      </c>
      <c r="D223" t="str">
        <v>Herdade da Aroeira, Almada</v>
      </c>
      <c r="E223" t="str">
        <v>T2+1</v>
      </c>
      <c r="F223">
        <v>283.5</v>
      </c>
      <c r="G223">
        <v>0</v>
      </c>
      <c r="H223" t="str">
        <v>1</v>
      </c>
      <c r="I223" t="str">
        <v>1</v>
      </c>
      <c r="J223">
        <v>0</v>
      </c>
      <c r="K223">
        <v>0</v>
      </c>
      <c r="L223">
        <v>0</v>
      </c>
      <c r="M223" s="79">
        <v>84</v>
      </c>
      <c r="N223">
        <v>25</v>
      </c>
      <c r="O223">
        <v>174.5</v>
      </c>
      <c r="P223">
        <v>0</v>
      </c>
      <c r="Q223" t="str">
        <v>AVAILABLE</v>
      </c>
      <c r="R223">
        <v>1435000</v>
      </c>
      <c r="S223">
        <v>1495000</v>
      </c>
      <c r="T223">
        <v>1495000</v>
      </c>
      <c r="U223">
        <v>0</v>
      </c>
      <c r="V223">
        <v>60000</v>
      </c>
      <c r="W223">
        <v>1435000</v>
      </c>
      <c r="X223">
        <v>0</v>
      </c>
      <c r="Y223">
        <v>0</v>
      </c>
      <c r="Z223">
        <v>-60000</v>
      </c>
      <c r="AA223">
        <v>45792</v>
      </c>
      <c r="AB223" t="str">
        <v>Q2 2025</v>
      </c>
      <c r="AC223">
        <v>0</v>
      </c>
      <c r="AD223">
        <v>47118</v>
      </c>
      <c r="AE223" t="str">
        <v>João Gameiro</v>
      </c>
      <c r="AF223" t="str">
        <v>Miguel Ribeiro</v>
      </c>
      <c r="AG223" t="str">
        <v>https://www.aroeiracollections.com/</v>
      </c>
      <c r="AH223" t="str">
        <v>Aroeira Collections by Missoni: Elegance inspired by iconic design, set beside the renowned PGA golf course — where luxury living meets the rhythm of the coast.</v>
      </c>
      <c r="AI223" t="str">
        <v>Gym, Spa, Condo Pool, Private Pools, Tennis &amp; Padel Courts, Outdoor Areas, Smart Home Technology, Private Parking, Reception, Missoni Interiors, PGA Golf Course</v>
      </c>
      <c r="AJ223"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23" t="str">
        <v>Ana Costa, João Favila, Pedro Domingos</v>
      </c>
      <c r="AL223" t="str">
        <v>Aroeira Collections</v>
      </c>
    </row>
    <row r="224" spans="1:38" x14ac:dyDescent="0.3">
      <c r="A224" t="str">
        <v>Aroeira - VILLAS</v>
      </c>
      <c r="B224" t="str">
        <v>Center</v>
      </c>
      <c r="C224" t="str">
        <v>20C</v>
      </c>
      <c r="D224" t="str">
        <v>Herdade da Aroeira, Almada</v>
      </c>
      <c r="E224" t="str">
        <v>T2+1</v>
      </c>
      <c r="F224">
        <v>299.39999999999998</v>
      </c>
      <c r="G224">
        <v>0</v>
      </c>
      <c r="H224" t="str">
        <v>1</v>
      </c>
      <c r="I224" t="str">
        <v>1</v>
      </c>
      <c r="J224">
        <v>0</v>
      </c>
      <c r="K224">
        <v>0</v>
      </c>
      <c r="L224">
        <v>0</v>
      </c>
      <c r="M224" s="79">
        <v>78</v>
      </c>
      <c r="N224">
        <v>36</v>
      </c>
      <c r="O224">
        <v>185.4</v>
      </c>
      <c r="P224">
        <v>0</v>
      </c>
      <c r="Q224" t="str">
        <v>AVAILABLE</v>
      </c>
      <c r="R224">
        <v>1535000</v>
      </c>
      <c r="S224">
        <v>1595000</v>
      </c>
      <c r="T224">
        <v>1595000</v>
      </c>
      <c r="U224">
        <v>0</v>
      </c>
      <c r="V224">
        <v>60000</v>
      </c>
      <c r="W224">
        <v>1535000</v>
      </c>
      <c r="X224">
        <v>0</v>
      </c>
      <c r="Y224">
        <v>0</v>
      </c>
      <c r="Z224">
        <v>-60000</v>
      </c>
      <c r="AA224">
        <v>45792</v>
      </c>
      <c r="AB224" t="str">
        <v>Q2 2025</v>
      </c>
      <c r="AC224">
        <v>0</v>
      </c>
      <c r="AD224">
        <v>47118</v>
      </c>
      <c r="AE224" t="str">
        <v>João Gameiro</v>
      </c>
      <c r="AF224" t="str">
        <v>Miguel Ribeiro</v>
      </c>
      <c r="AG224" t="str">
        <v>https://www.aroeiracollections.com/</v>
      </c>
      <c r="AH224" t="str">
        <v>Aroeira Collections by Missoni: Elegance inspired by iconic design, set beside the renowned PGA golf course — where luxury living meets the rhythm of the coast.</v>
      </c>
      <c r="AI224" t="str">
        <v>Gym, Spa, Condo Pool, Private Pools, Tennis &amp; Padel Courts, Outdoor Areas, Smart Home Technology, Private Parking, Reception, Missoni Interiors, PGA Golf Course</v>
      </c>
      <c r="AJ224"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24" t="str">
        <v>Ana Costa, João Favila, Pedro Domingos</v>
      </c>
      <c r="AL224" t="str">
        <v>Aroeira Collections</v>
      </c>
    </row>
    <row r="225" spans="1:38" x14ac:dyDescent="0.3">
      <c r="A225" t="str">
        <v>Aroeira - VILLAS</v>
      </c>
      <c r="B225" t="str">
        <v>Center</v>
      </c>
      <c r="C225" t="str">
        <v>21C</v>
      </c>
      <c r="D225" t="str">
        <v>Herdade da Aroeira, Almada</v>
      </c>
      <c r="E225" t="str">
        <v>T2+1</v>
      </c>
      <c r="F225">
        <v>299.39999999999998</v>
      </c>
      <c r="G225">
        <v>0</v>
      </c>
      <c r="H225" t="str">
        <v>1</v>
      </c>
      <c r="I225" t="str">
        <v>1</v>
      </c>
      <c r="J225">
        <v>0</v>
      </c>
      <c r="K225">
        <v>0</v>
      </c>
      <c r="L225">
        <v>0</v>
      </c>
      <c r="M225" s="79">
        <v>78</v>
      </c>
      <c r="N225">
        <v>36</v>
      </c>
      <c r="O225">
        <v>185.4</v>
      </c>
      <c r="P225">
        <v>0</v>
      </c>
      <c r="Q225" t="str">
        <v>AVAILABLE</v>
      </c>
      <c r="R225">
        <v>1535000</v>
      </c>
      <c r="S225">
        <v>1595000</v>
      </c>
      <c r="T225">
        <v>1595000</v>
      </c>
      <c r="U225">
        <v>0</v>
      </c>
      <c r="V225">
        <v>60000</v>
      </c>
      <c r="W225">
        <v>1535000</v>
      </c>
      <c r="X225">
        <v>0</v>
      </c>
      <c r="Y225">
        <v>0</v>
      </c>
      <c r="Z225">
        <v>-60000</v>
      </c>
      <c r="AA225">
        <v>45792</v>
      </c>
      <c r="AB225" t="str">
        <v>Q2 2025</v>
      </c>
      <c r="AC225">
        <v>0</v>
      </c>
      <c r="AD225">
        <v>47118</v>
      </c>
      <c r="AE225" t="str">
        <v>João Gameiro</v>
      </c>
      <c r="AF225" t="str">
        <v>Miguel Ribeiro</v>
      </c>
      <c r="AG225" t="str">
        <v>https://www.aroeiracollections.com/</v>
      </c>
      <c r="AH225" t="str">
        <v>Aroeira Collections by Missoni: Elegance inspired by iconic design, set beside the renowned PGA golf course — where luxury living meets the rhythm of the coast.</v>
      </c>
      <c r="AI225" t="str">
        <v>Gym, Spa, Condo Pool, Private Pools, Tennis &amp; Padel Courts, Outdoor Areas, Smart Home Technology, Private Parking, Reception, Missoni Interiors, PGA Golf Course</v>
      </c>
      <c r="AJ225"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25" t="str">
        <v>Ana Costa, João Favila, Pedro Domingos</v>
      </c>
      <c r="AL225" t="str">
        <v>Aroeira Collections</v>
      </c>
    </row>
    <row r="226" spans="1:38" x14ac:dyDescent="0.3">
      <c r="A226" t="str">
        <v>Aroeira - VILLAS</v>
      </c>
      <c r="B226" t="str">
        <v>Center</v>
      </c>
      <c r="C226" t="str">
        <v>22C</v>
      </c>
      <c r="D226" t="str">
        <v>Herdade da Aroeira, Almada</v>
      </c>
      <c r="E226" t="str">
        <v>T3</v>
      </c>
      <c r="F226">
        <v>299.39999999999998</v>
      </c>
      <c r="G226">
        <v>0</v>
      </c>
      <c r="H226" t="str">
        <v>1</v>
      </c>
      <c r="I226" t="str">
        <v>1</v>
      </c>
      <c r="J226">
        <v>0</v>
      </c>
      <c r="K226">
        <v>0</v>
      </c>
      <c r="L226">
        <v>0</v>
      </c>
      <c r="M226" s="79">
        <v>78</v>
      </c>
      <c r="N226">
        <v>36</v>
      </c>
      <c r="O226">
        <v>185.4</v>
      </c>
      <c r="P226">
        <v>0</v>
      </c>
      <c r="Q226" t="str">
        <v>AVAILABLE</v>
      </c>
      <c r="R226">
        <v>1535000</v>
      </c>
      <c r="S226">
        <v>1595000</v>
      </c>
      <c r="T226">
        <v>1595000</v>
      </c>
      <c r="U226">
        <v>0</v>
      </c>
      <c r="V226">
        <v>60000</v>
      </c>
      <c r="W226">
        <v>1535000</v>
      </c>
      <c r="X226">
        <v>0</v>
      </c>
      <c r="Y226">
        <v>0</v>
      </c>
      <c r="Z226">
        <v>-60000</v>
      </c>
      <c r="AA226">
        <v>45792</v>
      </c>
      <c r="AB226" t="str">
        <v>Q2 2025</v>
      </c>
      <c r="AC226">
        <v>0</v>
      </c>
      <c r="AD226">
        <v>47118</v>
      </c>
      <c r="AE226" t="str">
        <v>João Gameiro</v>
      </c>
      <c r="AF226" t="str">
        <v>Miguel Ribeiro</v>
      </c>
      <c r="AG226" t="str">
        <v>https://www.aroeiracollections.com/</v>
      </c>
      <c r="AH226" t="str">
        <v>Aroeira Collections by Missoni: Elegance inspired by iconic design, set beside the renowned PGA golf course — where luxury living meets the rhythm of the coast.</v>
      </c>
      <c r="AI226" t="str">
        <v>Gym, Spa, Condo Pool, Private Pools, Tennis &amp; Padel Courts, Outdoor Areas, Smart Home Technology, Private Parking, Reception, Missoni Interiors, PGA Golf Course</v>
      </c>
      <c r="AJ226"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26" t="str">
        <v>Ana Costa, João Favila, Pedro Domingos</v>
      </c>
      <c r="AL226" t="str">
        <v>Aroeira Collections</v>
      </c>
    </row>
    <row r="227" spans="1:38" x14ac:dyDescent="0.3">
      <c r="A227" t="str">
        <v>Aroeira - VILLAS</v>
      </c>
      <c r="B227" t="str">
        <v>Center</v>
      </c>
      <c r="C227" t="str">
        <v>23C</v>
      </c>
      <c r="D227" t="str">
        <v>Herdade da Aroeira, Almada</v>
      </c>
      <c r="E227" t="str">
        <v>T3</v>
      </c>
      <c r="F227">
        <v>299.39999999999998</v>
      </c>
      <c r="G227">
        <v>0</v>
      </c>
      <c r="H227" t="str">
        <v>1</v>
      </c>
      <c r="I227" t="str">
        <v>1</v>
      </c>
      <c r="J227">
        <v>0</v>
      </c>
      <c r="K227">
        <v>0</v>
      </c>
      <c r="L227">
        <v>0</v>
      </c>
      <c r="M227" s="79">
        <v>78</v>
      </c>
      <c r="N227">
        <v>36</v>
      </c>
      <c r="O227">
        <v>185.4</v>
      </c>
      <c r="P227">
        <v>0</v>
      </c>
      <c r="Q227" t="str">
        <v>AVAILABLE</v>
      </c>
      <c r="R227">
        <v>1535000</v>
      </c>
      <c r="S227">
        <v>1595000</v>
      </c>
      <c r="T227">
        <v>1595000</v>
      </c>
      <c r="U227">
        <v>0</v>
      </c>
      <c r="V227">
        <v>60000</v>
      </c>
      <c r="W227">
        <v>1535000</v>
      </c>
      <c r="X227">
        <v>0</v>
      </c>
      <c r="Y227">
        <v>0</v>
      </c>
      <c r="Z227">
        <v>-60000</v>
      </c>
      <c r="AA227">
        <v>45792</v>
      </c>
      <c r="AB227" t="str">
        <v>Q2 2025</v>
      </c>
      <c r="AC227">
        <v>0</v>
      </c>
      <c r="AD227">
        <v>47118</v>
      </c>
      <c r="AE227" t="str">
        <v>João Gameiro</v>
      </c>
      <c r="AF227" t="str">
        <v>Miguel Ribeiro</v>
      </c>
      <c r="AG227" t="str">
        <v>https://www.aroeiracollections.com/</v>
      </c>
      <c r="AH227" t="str">
        <v>Aroeira Collections by Missoni: Elegance inspired by iconic design, set beside the renowned PGA golf course — where luxury living meets the rhythm of the coast.</v>
      </c>
      <c r="AI227" t="str">
        <v>Gym, Spa, Condo Pool, Private Pools, Tennis &amp; Padel Courts, Outdoor Areas, Smart Home Technology, Private Parking, Reception, Missoni Interiors, PGA Golf Course</v>
      </c>
      <c r="AJ227"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27" t="str">
        <v>Ana Costa, João Favila, Pedro Domingos</v>
      </c>
      <c r="AL227" t="str">
        <v>Aroeira Collections</v>
      </c>
    </row>
    <row r="228" spans="1:38" x14ac:dyDescent="0.3">
      <c r="A228" t="str">
        <v>Aroeira - VILLAS</v>
      </c>
      <c r="B228" t="str">
        <v>Center</v>
      </c>
      <c r="C228" t="str">
        <v>24C</v>
      </c>
      <c r="D228" t="str">
        <v>Herdade da Aroeira, Almada</v>
      </c>
      <c r="E228" t="str">
        <v>T3</v>
      </c>
      <c r="F228">
        <v>287</v>
      </c>
      <c r="G228">
        <v>0</v>
      </c>
      <c r="H228" t="str">
        <v>1</v>
      </c>
      <c r="I228" t="str">
        <v>1</v>
      </c>
      <c r="J228">
        <v>0</v>
      </c>
      <c r="K228">
        <v>0</v>
      </c>
      <c r="L228">
        <v>0</v>
      </c>
      <c r="M228" s="79">
        <v>72</v>
      </c>
      <c r="N228">
        <v>25</v>
      </c>
      <c r="O228">
        <v>190</v>
      </c>
      <c r="P228">
        <v>0</v>
      </c>
      <c r="Q228" t="str">
        <v>AVAILABLE</v>
      </c>
      <c r="R228">
        <v>1540000</v>
      </c>
      <c r="S228">
        <v>1600000</v>
      </c>
      <c r="T228">
        <v>1600000</v>
      </c>
      <c r="U228">
        <v>0</v>
      </c>
      <c r="V228">
        <v>60000</v>
      </c>
      <c r="W228">
        <v>1540000</v>
      </c>
      <c r="X228">
        <v>0</v>
      </c>
      <c r="Y228">
        <v>0</v>
      </c>
      <c r="Z228">
        <v>-60000</v>
      </c>
      <c r="AA228">
        <v>45792</v>
      </c>
      <c r="AB228" t="str">
        <v>Q2 2025</v>
      </c>
      <c r="AC228">
        <v>0</v>
      </c>
      <c r="AD228">
        <v>47118</v>
      </c>
      <c r="AE228" t="str">
        <v>João Gameiro</v>
      </c>
      <c r="AF228" t="str">
        <v>Miguel Ribeiro</v>
      </c>
      <c r="AG228" t="str">
        <v>https://www.aroeiracollections.com/</v>
      </c>
      <c r="AH228" t="str">
        <v>Aroeira Collections by Missoni: Elegance inspired by iconic design, set beside the renowned PGA golf course — where luxury living meets the rhythm of the coast.</v>
      </c>
      <c r="AI228" t="str">
        <v>Gym, Spa, Condo Pool, Private Pools, Tennis &amp; Padel Courts, Outdoor Areas, Smart Home Technology, Private Parking, Reception, Missoni Interiors, PGA Golf Course</v>
      </c>
      <c r="AJ228"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28" t="str">
        <v>Ana Costa, João Favila, Pedro Domingos</v>
      </c>
      <c r="AL228" t="str">
        <v>Aroeira Collections</v>
      </c>
    </row>
    <row r="229" spans="1:38" x14ac:dyDescent="0.3">
      <c r="A229" t="str">
        <v>Aroeira - VILLAS</v>
      </c>
      <c r="B229" t="str">
        <v>Center</v>
      </c>
      <c r="C229" t="str">
        <v>25C</v>
      </c>
      <c r="D229" t="str">
        <v>Herdade da Aroeira, Almada</v>
      </c>
      <c r="E229" t="str">
        <v>T2+1</v>
      </c>
      <c r="F229">
        <v>297.60000000000002</v>
      </c>
      <c r="G229">
        <v>0</v>
      </c>
      <c r="H229" t="str">
        <v>1</v>
      </c>
      <c r="I229" t="str">
        <v>1</v>
      </c>
      <c r="J229">
        <v>0</v>
      </c>
      <c r="K229">
        <v>0</v>
      </c>
      <c r="L229">
        <v>0</v>
      </c>
      <c r="M229" s="79">
        <v>81</v>
      </c>
      <c r="N229">
        <v>23</v>
      </c>
      <c r="O229">
        <v>193.6</v>
      </c>
      <c r="P229">
        <v>0</v>
      </c>
      <c r="Q229" t="str">
        <v>AVAILABLE</v>
      </c>
      <c r="R229">
        <v>1560000</v>
      </c>
      <c r="S229">
        <v>1620000</v>
      </c>
      <c r="T229">
        <v>1620000</v>
      </c>
      <c r="U229">
        <v>0</v>
      </c>
      <c r="V229">
        <v>60000</v>
      </c>
      <c r="W229">
        <v>1560000</v>
      </c>
      <c r="X229">
        <v>0</v>
      </c>
      <c r="Y229">
        <v>0</v>
      </c>
      <c r="Z229">
        <v>-60000</v>
      </c>
      <c r="AA229">
        <v>45792</v>
      </c>
      <c r="AB229" t="str">
        <v>Q2 2025</v>
      </c>
      <c r="AC229">
        <v>0</v>
      </c>
      <c r="AD229">
        <v>47118</v>
      </c>
      <c r="AE229" t="str">
        <v>João Gameiro</v>
      </c>
      <c r="AF229" t="str">
        <v>Miguel Ribeiro</v>
      </c>
      <c r="AG229" t="str">
        <v>https://www.aroeiracollections.com/</v>
      </c>
      <c r="AH229" t="str">
        <v>Aroeira Collections by Missoni: Elegance inspired by iconic design, set beside the renowned PGA golf course — where luxury living meets the rhythm of the coast.</v>
      </c>
      <c r="AI229" t="str">
        <v>Gym, Spa, Condo Pool, Private Pools, Tennis &amp; Padel Courts, Outdoor Areas, Smart Home Technology, Private Parking, Reception, Missoni Interiors, PGA Golf Course</v>
      </c>
      <c r="AJ229"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29" t="str">
        <v>Ana Costa, João Favila, Pedro Domingos</v>
      </c>
      <c r="AL229" t="str">
        <v>Aroeira Collections</v>
      </c>
    </row>
    <row r="230" spans="1:38" x14ac:dyDescent="0.3">
      <c r="A230" t="str">
        <v>Aroeira - VILLAS</v>
      </c>
      <c r="B230" t="str">
        <v>Center</v>
      </c>
      <c r="C230" t="str">
        <v>26C</v>
      </c>
      <c r="D230" t="str">
        <v>Herdade da Aroeira, Almada</v>
      </c>
      <c r="E230" t="str">
        <v>T2+1</v>
      </c>
      <c r="F230">
        <v>319.39999999999998</v>
      </c>
      <c r="G230">
        <v>0</v>
      </c>
      <c r="H230" t="str">
        <v>1</v>
      </c>
      <c r="I230" t="str">
        <v>1</v>
      </c>
      <c r="J230">
        <v>0</v>
      </c>
      <c r="K230">
        <v>0</v>
      </c>
      <c r="L230">
        <v>0</v>
      </c>
      <c r="M230" s="79">
        <v>98</v>
      </c>
      <c r="N230">
        <v>23</v>
      </c>
      <c r="O230">
        <v>198.4</v>
      </c>
      <c r="P230">
        <v>0</v>
      </c>
      <c r="Q230" t="str">
        <v>AVAILABLE</v>
      </c>
      <c r="R230">
        <v>1630000</v>
      </c>
      <c r="S230">
        <v>1690000</v>
      </c>
      <c r="T230">
        <v>1690000</v>
      </c>
      <c r="U230">
        <v>0</v>
      </c>
      <c r="V230">
        <v>60000</v>
      </c>
      <c r="W230">
        <v>1630000</v>
      </c>
      <c r="X230">
        <v>0</v>
      </c>
      <c r="Y230">
        <v>0</v>
      </c>
      <c r="Z230">
        <v>-60000</v>
      </c>
      <c r="AA230">
        <v>45792</v>
      </c>
      <c r="AB230" t="str">
        <v>Q2 2025</v>
      </c>
      <c r="AC230">
        <v>0</v>
      </c>
      <c r="AD230">
        <v>47118</v>
      </c>
      <c r="AE230" t="str">
        <v>João Gameiro</v>
      </c>
      <c r="AF230" t="str">
        <v>Miguel Ribeiro</v>
      </c>
      <c r="AG230" t="str">
        <v>https://www.aroeiracollections.com/</v>
      </c>
      <c r="AH230" t="str">
        <v>Aroeira Collections by Missoni: Elegance inspired by iconic design, set beside the renowned PGA golf course — where luxury living meets the rhythm of the coast.</v>
      </c>
      <c r="AI230" t="str">
        <v>Gym, Spa, Condo Pool, Private Pools, Tennis &amp; Padel Courts, Outdoor Areas, Smart Home Technology, Private Parking, Reception, Missoni Interiors, PGA Golf Course</v>
      </c>
      <c r="AJ230"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30" t="str">
        <v>Ana Costa, João Favila, Pedro Domingos</v>
      </c>
      <c r="AL230" t="str">
        <v>Aroeira Collections</v>
      </c>
    </row>
    <row r="231" spans="1:38" x14ac:dyDescent="0.3">
      <c r="A231" t="str">
        <v>Aroeira - VILLAS</v>
      </c>
      <c r="B231" t="str">
        <v>Center</v>
      </c>
      <c r="C231" t="str">
        <v>27C</v>
      </c>
      <c r="D231" t="str">
        <v>Herdade da Aroeira, Almada</v>
      </c>
      <c r="E231" t="str">
        <v>T2+1</v>
      </c>
      <c r="F231">
        <v>319.39999999999998</v>
      </c>
      <c r="G231">
        <v>0</v>
      </c>
      <c r="H231" t="str">
        <v>1</v>
      </c>
      <c r="I231" t="str">
        <v>1</v>
      </c>
      <c r="J231">
        <v>0</v>
      </c>
      <c r="K231">
        <v>0</v>
      </c>
      <c r="L231">
        <v>0</v>
      </c>
      <c r="M231" s="79">
        <v>98</v>
      </c>
      <c r="N231">
        <v>23</v>
      </c>
      <c r="O231">
        <v>198.4</v>
      </c>
      <c r="P231">
        <v>0</v>
      </c>
      <c r="Q231" t="str">
        <v>AVAILABLE</v>
      </c>
      <c r="R231">
        <v>1630000</v>
      </c>
      <c r="S231">
        <v>1690000</v>
      </c>
      <c r="T231">
        <v>1690000</v>
      </c>
      <c r="U231">
        <v>0</v>
      </c>
      <c r="V231">
        <v>60000</v>
      </c>
      <c r="W231">
        <v>1630000</v>
      </c>
      <c r="X231">
        <v>0</v>
      </c>
      <c r="Y231">
        <v>0</v>
      </c>
      <c r="Z231">
        <v>-60000</v>
      </c>
      <c r="AA231">
        <v>45792</v>
      </c>
      <c r="AB231" t="str">
        <v>Q2 2025</v>
      </c>
      <c r="AC231">
        <v>0</v>
      </c>
      <c r="AD231">
        <v>47118</v>
      </c>
      <c r="AE231" t="str">
        <v>João Gameiro</v>
      </c>
      <c r="AF231" t="str">
        <v>Miguel Ribeiro</v>
      </c>
      <c r="AG231" t="str">
        <v>https://www.aroeiracollections.com/</v>
      </c>
      <c r="AH231" t="str">
        <v>Aroeira Collections by Missoni: Elegance inspired by iconic design, set beside the renowned PGA golf course — where luxury living meets the rhythm of the coast.</v>
      </c>
      <c r="AI231" t="str">
        <v>Gym, Spa, Condo Pool, Private Pools, Tennis &amp; Padel Courts, Outdoor Areas, Smart Home Technology, Private Parking, Reception, Missoni Interiors, PGA Golf Course</v>
      </c>
      <c r="AJ231"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31" t="str">
        <v>Ana Costa, João Favila, Pedro Domingos</v>
      </c>
      <c r="AL231" t="str">
        <v>Aroeira Collections</v>
      </c>
    </row>
    <row r="232" spans="1:38" x14ac:dyDescent="0.3">
      <c r="A232" t="str">
        <v>Aroeira - VILLAS</v>
      </c>
      <c r="B232" t="str">
        <v>Center</v>
      </c>
      <c r="C232" t="str">
        <v>28C</v>
      </c>
      <c r="D232" t="str">
        <v>Herdade da Aroeira, Almada</v>
      </c>
      <c r="E232" t="str">
        <v>T2+1</v>
      </c>
      <c r="F232">
        <v>326.7</v>
      </c>
      <c r="G232">
        <v>0</v>
      </c>
      <c r="H232" t="str">
        <v>1</v>
      </c>
      <c r="I232" t="str">
        <v>1</v>
      </c>
      <c r="J232">
        <v>0</v>
      </c>
      <c r="K232">
        <v>0</v>
      </c>
      <c r="L232">
        <v>0</v>
      </c>
      <c r="M232" s="79">
        <v>102</v>
      </c>
      <c r="N232">
        <v>23</v>
      </c>
      <c r="O232">
        <v>201.7</v>
      </c>
      <c r="P232">
        <v>0</v>
      </c>
      <c r="Q232" t="str">
        <v>AVAILABLE</v>
      </c>
      <c r="R232">
        <v>1645000</v>
      </c>
      <c r="S232">
        <v>1705000</v>
      </c>
      <c r="T232">
        <v>1705000</v>
      </c>
      <c r="U232">
        <v>0</v>
      </c>
      <c r="V232">
        <v>60000</v>
      </c>
      <c r="W232">
        <v>1645000</v>
      </c>
      <c r="X232">
        <v>0</v>
      </c>
      <c r="Y232">
        <v>0</v>
      </c>
      <c r="Z232">
        <v>-60000</v>
      </c>
      <c r="AA232">
        <v>45792</v>
      </c>
      <c r="AB232" t="str">
        <v>Q2 2025</v>
      </c>
      <c r="AC232">
        <v>0</v>
      </c>
      <c r="AD232">
        <v>47118</v>
      </c>
      <c r="AE232" t="str">
        <v>João Gameiro</v>
      </c>
      <c r="AF232" t="str">
        <v>Miguel Ribeiro</v>
      </c>
      <c r="AG232" t="str">
        <v>https://www.aroeiracollections.com/</v>
      </c>
      <c r="AH232" t="str">
        <v>Aroeira Collections by Missoni: Elegance inspired by iconic design, set beside the renowned PGA golf course — where luxury living meets the rhythm of the coast.</v>
      </c>
      <c r="AI232" t="str">
        <v>Gym, Spa, Condo Pool, Private Pools, Tennis &amp; Padel Courts, Outdoor Areas, Smart Home Technology, Private Parking, Reception, Missoni Interiors, PGA Golf Course</v>
      </c>
      <c r="AJ232" t="str">
        <v>Primeiro grande projeto com uma marca de lifestyle/moda em Portugal - Missoni; Localização de excelência dentro da Herdade da Aroeira, a 30' de Lisboa e 10' das melhores praias do país; Design com contributo de arquitetos de renome; Excelente oportunidade de investimento; Junto ao campo de golfe PGA Aroeira; Diversas amenities como: Piscina interior e exterior, campos de tenis e padel, ginásio, spa e restaurante.</v>
      </c>
      <c r="AK232" t="str">
        <v>Ana Costa, João Favila, Pedro Domingos</v>
      </c>
      <c r="AL232" t="str">
        <v>Aroeira Collections</v>
      </c>
    </row>
  </sheetData>
  <autoFilter ref="A2:AL2" xr:uid="{8C381E57-20A3-4D29-9AC1-A20B676A56DB}"/>
  <conditionalFormatting sqref="A2">
    <cfRule type="containsText" dxfId="11" priority="3" operator="containsText" text="Center">
      <formula>NOT(ISERROR(SEARCH("Center",A2)))</formula>
    </cfRule>
    <cfRule type="containsText" dxfId="10" priority="4" operator="containsText" text="North">
      <formula>NOT(ISERROR(SEARCH("North",A2)))</formula>
    </cfRule>
    <cfRule type="containsText" dxfId="9" priority="5" operator="containsText" text="Algarve">
      <formula>NOT(ISERROR(SEARCH("Algarve",A2)))</formula>
    </cfRule>
    <cfRule type="containsText" dxfId="8" priority="6" operator="containsText" text="Vilamoura">
      <formula>NOT(ISERROR(SEARCH("Vilamoura",A2)))</formula>
    </cfRule>
  </conditionalFormatting>
  <conditionalFormatting sqref="Q2">
    <cfRule type="containsText" dxfId="7" priority="1" operator="containsText" text="PRE-RESERVED">
      <formula>NOT(ISERROR(SEARCH("PRE-RESERVED",Q2)))</formula>
    </cfRule>
    <cfRule type="containsText" dxfId="6" priority="2" operator="containsText" text="RESERVED">
      <formula>NOT(ISERROR(SEARCH("RESERVED",Q2)))</formula>
    </cfRule>
  </conditionalFormatting>
  <pageMargins left="0.7" right="0.7" top="0.75" bottom="0.75" header="0.3" footer="0.3"/>
  <pageSetup paperSize="8" scale="69" fitToHeight="0" orientation="landscape"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F9858-E2FD-4A81-8801-FC0CA1139960}">
  <sheetPr>
    <tabColor rgb="FF81AD83"/>
    <pageSetUpPr fitToPage="1"/>
  </sheetPr>
  <dimension ref="A1:AL74"/>
  <sheetViews>
    <sheetView showGridLines="0" zoomScale="71" zoomScaleNormal="40" zoomScaleSheetLayoutView="70" workbookViewId="0">
      <pane xSplit="1" topLeftCell="W1" activePane="topRight" state="frozen"/>
      <selection activeCell="A2" sqref="A2"/>
      <selection pane="topRight" activeCell="AQ8" sqref="AQ8"/>
    </sheetView>
  </sheetViews>
  <sheetFormatPr defaultColWidth="8.6640625" defaultRowHeight="14.4" outlineLevelCol="2" x14ac:dyDescent="0.3"/>
  <cols>
    <col min="1" max="1" width="20.33203125" bestFit="1" customWidth="1"/>
    <col min="2" max="6" width="11.77734375" customWidth="1"/>
    <col min="7" max="12" width="11.77734375" customWidth="1" outlineLevel="2"/>
    <col min="13" max="13" width="11.77734375" style="79" customWidth="1" outlineLevel="2"/>
    <col min="14" max="14" width="11.77734375" customWidth="1" outlineLevel="2"/>
    <col min="15" max="16" width="11.77734375" customWidth="1" outlineLevel="1"/>
    <col min="17" max="18" width="11.77734375" customWidth="1"/>
    <col min="19" max="22" width="11.77734375" customWidth="1" outlineLevel="1"/>
    <col min="23" max="24" width="11.77734375" customWidth="1"/>
    <col min="25" max="25" width="11.77734375" customWidth="1" outlineLevel="1"/>
    <col min="26" max="26" width="11.77734375" customWidth="1"/>
    <col min="27" max="27" width="11.77734375" customWidth="1" outlineLevel="1"/>
    <col min="28" max="38" width="11.77734375" customWidth="1"/>
  </cols>
  <sheetData>
    <row r="1" spans="1:38" s="1" customFormat="1" ht="20.399999999999999" customHeight="1" x14ac:dyDescent="0.3">
      <c r="A1" s="114" t="s">
        <v>87</v>
      </c>
    </row>
    <row r="2" spans="1:38" s="2" customFormat="1" ht="46.2" customHeight="1" x14ac:dyDescent="0.3">
      <c r="A2" s="95" t="s">
        <v>335</v>
      </c>
      <c r="B2" s="95" t="s">
        <v>684</v>
      </c>
      <c r="C2" s="96" t="s">
        <v>765</v>
      </c>
      <c r="D2" s="97" t="s">
        <v>1</v>
      </c>
      <c r="E2" s="95" t="s">
        <v>93</v>
      </c>
      <c r="F2" s="95" t="s">
        <v>763</v>
      </c>
      <c r="G2" s="98" t="s">
        <v>675</v>
      </c>
      <c r="H2" s="99" t="s">
        <v>676</v>
      </c>
      <c r="I2" s="99" t="s">
        <v>677</v>
      </c>
      <c r="J2" s="100" t="s">
        <v>678</v>
      </c>
      <c r="K2" s="98" t="s">
        <v>679</v>
      </c>
      <c r="L2" s="98" t="s">
        <v>779</v>
      </c>
      <c r="M2" s="98" t="s">
        <v>680</v>
      </c>
      <c r="N2" s="101" t="s">
        <v>681</v>
      </c>
      <c r="O2" s="102" t="s">
        <v>94</v>
      </c>
      <c r="P2" s="102" t="s">
        <v>95</v>
      </c>
      <c r="Q2" s="95" t="s">
        <v>624</v>
      </c>
      <c r="R2" s="103" t="s">
        <v>331</v>
      </c>
      <c r="S2" s="104" t="s">
        <v>332</v>
      </c>
      <c r="T2" s="105" t="s">
        <v>333</v>
      </c>
      <c r="U2" s="105" t="s">
        <v>682</v>
      </c>
      <c r="V2" s="105" t="s">
        <v>97</v>
      </c>
      <c r="W2" s="95" t="s">
        <v>330</v>
      </c>
      <c r="X2" s="106" t="s">
        <v>919</v>
      </c>
      <c r="Y2" s="105" t="s">
        <v>334</v>
      </c>
      <c r="Z2" s="95" t="s">
        <v>98</v>
      </c>
      <c r="AA2" s="107" t="s">
        <v>933</v>
      </c>
      <c r="AB2" s="108" t="s">
        <v>934</v>
      </c>
      <c r="AC2" s="108" t="s">
        <v>928</v>
      </c>
      <c r="AD2" s="109" t="s">
        <v>926</v>
      </c>
      <c r="AE2" s="97" t="s">
        <v>792</v>
      </c>
      <c r="AF2" s="97" t="s">
        <v>793</v>
      </c>
      <c r="AG2" s="97" t="s">
        <v>2</v>
      </c>
      <c r="AH2" s="97" t="s">
        <v>3</v>
      </c>
      <c r="AI2" s="97" t="s">
        <v>5</v>
      </c>
      <c r="AJ2" s="97" t="s">
        <v>794</v>
      </c>
      <c r="AK2" s="97" t="s">
        <v>6</v>
      </c>
      <c r="AL2" s="95" t="s">
        <v>918</v>
      </c>
    </row>
    <row r="3" spans="1:38" s="112" customFormat="1" ht="13.8" x14ac:dyDescent="0.3">
      <c r="A3" s="129" t="str" cm="1">
        <f t="array" ref="A3:AL47">_xlfn._xlws.FILTER(DATABASE_Table[],DATABASE_Table[Development]=$A$1,"")</f>
        <v>VP - TOWNHOUSES</v>
      </c>
      <c r="B3" s="129" t="str">
        <v>North</v>
      </c>
      <c r="C3" s="110" t="str">
        <v>13A</v>
      </c>
      <c r="D3" s="110" t="str">
        <v>Santo Tirso, Porto</v>
      </c>
      <c r="E3" s="110" t="str">
        <v>V3</v>
      </c>
      <c r="F3" s="110">
        <v>311.70999999999998</v>
      </c>
      <c r="G3" s="110">
        <v>0</v>
      </c>
      <c r="H3" s="110" t="str">
        <v>2</v>
      </c>
      <c r="I3" s="110" t="str">
        <v>Yes</v>
      </c>
      <c r="J3" s="110">
        <v>0</v>
      </c>
      <c r="K3" s="110">
        <v>98.43</v>
      </c>
      <c r="L3" s="110">
        <v>46.1</v>
      </c>
      <c r="M3" s="110">
        <v>0</v>
      </c>
      <c r="N3" s="110">
        <v>0</v>
      </c>
      <c r="O3" s="110">
        <v>167.18</v>
      </c>
      <c r="P3" s="110">
        <v>0</v>
      </c>
      <c r="Q3" s="110" t="str">
        <v>AVAILABLE</v>
      </c>
      <c r="R3" s="110">
        <v>810000</v>
      </c>
      <c r="S3" s="110">
        <v>810000</v>
      </c>
      <c r="T3" s="110">
        <v>860000</v>
      </c>
      <c r="U3" s="110">
        <v>0</v>
      </c>
      <c r="V3" s="110">
        <v>0</v>
      </c>
      <c r="W3" s="110">
        <v>860000</v>
      </c>
      <c r="X3" s="110">
        <v>0</v>
      </c>
      <c r="Y3" s="110">
        <v>840000</v>
      </c>
      <c r="Z3" s="110">
        <v>840000</v>
      </c>
      <c r="AA3" s="110">
        <v>46171</v>
      </c>
      <c r="AB3" s="111" t="str">
        <v>Q2 2026</v>
      </c>
      <c r="AC3" s="112">
        <v>46171</v>
      </c>
      <c r="AD3" s="112">
        <v>47208</v>
      </c>
      <c r="AE3" s="112" t="str">
        <v>João Gameiro</v>
      </c>
      <c r="AF3" s="112" t="str">
        <v>Miguel Ribeiro</v>
      </c>
      <c r="AG3" s="112" t="str">
        <v>https://www.valepisao.com/</v>
      </c>
      <c r="AH3" s="112" t="str">
        <v>Vale Pisão is a private residential and lifestyle community just 25 minutes from Porto, combining natural serenity with resort-level amenities. It offers families and individuals a secure, green haven to live, reconnect, and create a lasting home.</v>
      </c>
      <c r="AI3" s="112" t="str">
        <v>Private &amp; Communal Pools, Private Parking, Bike Station, Concierge, Private Gardens, Tennis &amp; Padel, Kids Club, Spa &amp; Gym and Bar Service</v>
      </c>
      <c r="AJ3" s="112"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3" s="112" t="str">
        <v>Barbosa Guimarães</v>
      </c>
      <c r="AL3" s="112" t="str">
        <v>Vale Pisão Grand Park</v>
      </c>
    </row>
    <row r="4" spans="1:38" x14ac:dyDescent="0.3">
      <c r="A4" s="129" t="str">
        <v>VP - TOWNHOUSES</v>
      </c>
      <c r="B4" s="129" t="str">
        <v>North</v>
      </c>
      <c r="C4" s="110" t="str">
        <v>10A</v>
      </c>
      <c r="D4" s="110" t="str">
        <v>Santo Tirso, Porto</v>
      </c>
      <c r="E4" s="110" t="str">
        <v>V3</v>
      </c>
      <c r="F4" s="110">
        <v>274.31</v>
      </c>
      <c r="G4" s="110">
        <v>0</v>
      </c>
      <c r="H4" s="110" t="str">
        <v>2</v>
      </c>
      <c r="I4" s="110" t="str">
        <v>Yes</v>
      </c>
      <c r="J4" s="110">
        <v>0</v>
      </c>
      <c r="K4" s="110">
        <v>68.33</v>
      </c>
      <c r="L4" s="110">
        <v>44.52</v>
      </c>
      <c r="M4" s="110">
        <v>0</v>
      </c>
      <c r="N4" s="110">
        <v>0</v>
      </c>
      <c r="O4" s="110">
        <v>161.46</v>
      </c>
      <c r="P4" s="110">
        <v>0</v>
      </c>
      <c r="Q4" s="110" t="str">
        <v>AVAILABLE</v>
      </c>
      <c r="R4" s="110">
        <v>840000</v>
      </c>
      <c r="S4" s="110">
        <v>840000</v>
      </c>
      <c r="T4" s="110">
        <v>860000</v>
      </c>
      <c r="U4" s="110">
        <v>0</v>
      </c>
      <c r="V4" s="110">
        <v>0</v>
      </c>
      <c r="W4" s="110">
        <v>860000</v>
      </c>
      <c r="X4" s="110">
        <v>0</v>
      </c>
      <c r="Y4" s="110">
        <v>800000</v>
      </c>
      <c r="Z4" s="110">
        <v>800000</v>
      </c>
      <c r="AA4" s="110">
        <v>46171</v>
      </c>
      <c r="AB4" s="111" t="str">
        <v>Q2 2026</v>
      </c>
      <c r="AC4">
        <v>46171</v>
      </c>
      <c r="AD4">
        <v>47208</v>
      </c>
      <c r="AE4" t="str">
        <v>João Gameiro</v>
      </c>
      <c r="AF4" t="str">
        <v>Miguel Ribeiro</v>
      </c>
      <c r="AG4" t="str">
        <v>https://www.valepisao.com/</v>
      </c>
      <c r="AH4" t="str">
        <v>Vale Pisão is a private residential and lifestyle community just 25 minutes from Porto, combining natural serenity with resort-level amenities. It offers families and individuals a secure, green haven to live, reconnect, and create a lasting home.</v>
      </c>
      <c r="AI4" t="str">
        <v>Private &amp; Communal Pools, Private Parking, Bike Station, Concierge, Private Gardens, Tennis &amp; Padel, Kids Club, Spa &amp; Gym and Bar Service</v>
      </c>
      <c r="AJ4"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4" t="str">
        <v>Barbosa Guimarães</v>
      </c>
      <c r="AL4" t="str">
        <v>Vale Pisão Grand Park</v>
      </c>
    </row>
    <row r="5" spans="1:38" x14ac:dyDescent="0.3">
      <c r="A5" s="129" t="str">
        <v>VP - TOWNHOUSES</v>
      </c>
      <c r="B5" s="129" t="str">
        <v>North</v>
      </c>
      <c r="C5" s="110" t="str">
        <v>6B</v>
      </c>
      <c r="D5" s="110" t="str">
        <v>Santo Tirso, Porto</v>
      </c>
      <c r="E5" s="110" t="str">
        <v>V3</v>
      </c>
      <c r="F5" s="110">
        <v>335.26</v>
      </c>
      <c r="G5" s="110">
        <v>0</v>
      </c>
      <c r="H5" s="110" t="str">
        <v>2</v>
      </c>
      <c r="I5" s="110" t="str">
        <v>Yes</v>
      </c>
      <c r="J5" s="110">
        <v>0</v>
      </c>
      <c r="K5" s="110">
        <v>129.28</v>
      </c>
      <c r="L5" s="110">
        <v>44.52</v>
      </c>
      <c r="M5" s="110">
        <v>0</v>
      </c>
      <c r="N5" s="110">
        <v>0</v>
      </c>
      <c r="O5" s="110">
        <v>161.46</v>
      </c>
      <c r="P5" s="110">
        <v>0</v>
      </c>
      <c r="Q5" s="110" t="str">
        <v>AVAILABLE</v>
      </c>
      <c r="R5" s="110">
        <v>960000</v>
      </c>
      <c r="S5" s="110">
        <v>960000</v>
      </c>
      <c r="T5" s="110">
        <v>1000000</v>
      </c>
      <c r="U5" s="110">
        <v>0</v>
      </c>
      <c r="V5" s="110">
        <v>0</v>
      </c>
      <c r="W5" s="110">
        <v>1000000</v>
      </c>
      <c r="X5" s="110">
        <v>0</v>
      </c>
      <c r="Y5" s="110">
        <v>860000</v>
      </c>
      <c r="Z5" s="110">
        <v>860000</v>
      </c>
      <c r="AA5" s="110">
        <v>46171</v>
      </c>
      <c r="AB5" s="111" t="str">
        <v>Q2 2026</v>
      </c>
      <c r="AC5">
        <v>46171</v>
      </c>
      <c r="AD5">
        <v>47208</v>
      </c>
      <c r="AE5" t="str">
        <v>João Gameiro</v>
      </c>
      <c r="AF5" t="str">
        <v>Miguel Ribeiro</v>
      </c>
      <c r="AG5" t="str">
        <v>https://www.valepisao.com/</v>
      </c>
      <c r="AH5" t="str">
        <v>Vale Pisão is a private residential and lifestyle community just 25 minutes from Porto, combining natural serenity with resort-level amenities. It offers families and individuals a secure, green haven to live, reconnect, and create a lasting home.</v>
      </c>
      <c r="AI5" t="str">
        <v>Private &amp; Communal Pools, Private Parking, Bike Station, Concierge, Private Gardens, Tennis &amp; Padel, Kids Club, Spa &amp; Gym and Bar Service</v>
      </c>
      <c r="AJ5"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5" t="str">
        <v>Barbosa Guimarães</v>
      </c>
      <c r="AL5" t="str">
        <v>Vale Pisão Grand Park</v>
      </c>
    </row>
    <row r="6" spans="1:38" x14ac:dyDescent="0.3">
      <c r="A6" s="129" t="str">
        <v>VP - TOWNHOUSES</v>
      </c>
      <c r="B6" s="129" t="str">
        <v>North</v>
      </c>
      <c r="C6" s="110" t="str">
        <v>2C</v>
      </c>
      <c r="D6" s="110" t="str">
        <v>Santo Tirso, Porto</v>
      </c>
      <c r="E6" s="110" t="str">
        <v>V3+1</v>
      </c>
      <c r="F6" s="110">
        <v>349.32</v>
      </c>
      <c r="G6" s="110">
        <v>0</v>
      </c>
      <c r="H6" s="110" t="str">
        <v>2</v>
      </c>
      <c r="I6" s="110" t="str">
        <v>Yes</v>
      </c>
      <c r="J6" s="110">
        <v>9.57</v>
      </c>
      <c r="K6" s="110">
        <v>88.24</v>
      </c>
      <c r="L6" s="110">
        <v>51.75</v>
      </c>
      <c r="M6" s="110">
        <v>0</v>
      </c>
      <c r="N6" s="110">
        <v>0</v>
      </c>
      <c r="O6" s="110">
        <v>199.76</v>
      </c>
      <c r="P6" s="110">
        <v>0</v>
      </c>
      <c r="Q6" s="110" t="str">
        <v>AVAILABLE</v>
      </c>
      <c r="R6" s="110">
        <v>1090000</v>
      </c>
      <c r="S6" s="110">
        <v>1090000</v>
      </c>
      <c r="T6" s="110">
        <v>1120000</v>
      </c>
      <c r="U6" s="110">
        <v>0</v>
      </c>
      <c r="V6" s="110">
        <v>0</v>
      </c>
      <c r="W6" s="110">
        <v>1120000</v>
      </c>
      <c r="X6" s="110">
        <v>0</v>
      </c>
      <c r="Y6" s="110">
        <v>970000</v>
      </c>
      <c r="Z6" s="110">
        <v>970000</v>
      </c>
      <c r="AA6" s="110">
        <v>46171</v>
      </c>
      <c r="AB6" s="111" t="str">
        <v>Q2 2026</v>
      </c>
      <c r="AC6">
        <v>46185</v>
      </c>
      <c r="AD6">
        <v>47208</v>
      </c>
      <c r="AE6" t="str">
        <v>João Gameiro</v>
      </c>
      <c r="AF6" t="str">
        <v>Miguel Ribeiro</v>
      </c>
      <c r="AG6" t="str">
        <v>https://www.valepisao.com/</v>
      </c>
      <c r="AH6" t="str">
        <v>Vale Pisão is a private residential and lifestyle community just 25 minutes from Porto, combining natural serenity with resort-level amenities. It offers families and individuals a secure, green haven to live, reconnect, and create a lasting home.</v>
      </c>
      <c r="AI6" t="str">
        <v>Private &amp; Communal Pools, Private Parking, Bike Station, Concierge, Private Gardens, Tennis &amp; Padel, Kids Club, Spa &amp; Gym and Bar Service</v>
      </c>
      <c r="AJ6"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6" t="str">
        <v>Barbosa Guimarães</v>
      </c>
      <c r="AL6" t="str">
        <v>Vale Pisão Grand Park</v>
      </c>
    </row>
    <row r="7" spans="1:38" x14ac:dyDescent="0.3">
      <c r="A7" s="129" t="str">
        <v>VP - TOWNHOUSES</v>
      </c>
      <c r="B7" s="129" t="str">
        <v>North</v>
      </c>
      <c r="C7" s="110" t="str">
        <v>2D</v>
      </c>
      <c r="D7" s="110" t="str">
        <v>Santo Tirso, Porto</v>
      </c>
      <c r="E7" s="110" t="str">
        <v>V4</v>
      </c>
      <c r="F7" s="110">
        <v>365.67</v>
      </c>
      <c r="G7" s="110">
        <v>0</v>
      </c>
      <c r="H7" s="110" t="str">
        <v>2</v>
      </c>
      <c r="I7" s="110" t="str">
        <v>Yes</v>
      </c>
      <c r="J7" s="110">
        <v>0</v>
      </c>
      <c r="K7" s="110">
        <v>95.36</v>
      </c>
      <c r="L7" s="110">
        <v>53.5</v>
      </c>
      <c r="M7" s="110">
        <v>0</v>
      </c>
      <c r="N7" s="110">
        <v>0</v>
      </c>
      <c r="O7" s="110">
        <v>216.81</v>
      </c>
      <c r="P7" s="110">
        <v>0</v>
      </c>
      <c r="Q7" s="110" t="str">
        <v>AVAILABLE</v>
      </c>
      <c r="R7" s="110">
        <v>1060000</v>
      </c>
      <c r="S7" s="110">
        <v>1060000</v>
      </c>
      <c r="T7" s="110">
        <v>1090000</v>
      </c>
      <c r="U7" s="110">
        <v>0</v>
      </c>
      <c r="V7" s="110">
        <v>0</v>
      </c>
      <c r="W7" s="110">
        <v>1090000</v>
      </c>
      <c r="X7" s="110">
        <v>0</v>
      </c>
      <c r="Y7" s="110">
        <v>1090000</v>
      </c>
      <c r="Z7" s="110">
        <v>1090000</v>
      </c>
      <c r="AA7" s="110">
        <v>46171</v>
      </c>
      <c r="AB7" s="111" t="str">
        <v>Q2 2026</v>
      </c>
      <c r="AC7">
        <v>46185</v>
      </c>
      <c r="AD7">
        <v>47208</v>
      </c>
      <c r="AE7" t="str">
        <v>João Gameiro</v>
      </c>
      <c r="AF7" t="str">
        <v>Miguel Ribeiro</v>
      </c>
      <c r="AG7" t="str">
        <v>https://www.valepisao.com/</v>
      </c>
      <c r="AH7" t="str">
        <v>Vale Pisão is a private residential and lifestyle community just 25 minutes from Porto, combining natural serenity with resort-level amenities. It offers families and individuals a secure, green haven to live, reconnect, and create a lasting home.</v>
      </c>
      <c r="AI7" t="str">
        <v>Private &amp; Communal Pools, Private Parking, Bike Station, Concierge, Private Gardens, Tennis &amp; Padel, Kids Club, Spa &amp; Gym and Bar Service</v>
      </c>
      <c r="AJ7"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7" t="str">
        <v>Barbosa Guimarães</v>
      </c>
      <c r="AL7" t="str">
        <v>Vale Pisão Grand Park</v>
      </c>
    </row>
    <row r="8" spans="1:38" x14ac:dyDescent="0.3">
      <c r="A8" s="129" t="str">
        <v>VP - TOWNHOUSES</v>
      </c>
      <c r="B8" s="129" t="str">
        <v>North</v>
      </c>
      <c r="C8" s="110" t="str">
        <v>1B</v>
      </c>
      <c r="D8" s="110" t="str">
        <v>Santo Tirso, Porto</v>
      </c>
      <c r="E8" s="110" t="str">
        <v>V3</v>
      </c>
      <c r="F8" s="110">
        <v>324.74</v>
      </c>
      <c r="G8" s="110">
        <v>0</v>
      </c>
      <c r="H8" s="110" t="str">
        <v>2</v>
      </c>
      <c r="I8" s="110" t="str">
        <v>Yes</v>
      </c>
      <c r="J8" s="110">
        <v>0</v>
      </c>
      <c r="K8" s="110">
        <v>111.46</v>
      </c>
      <c r="L8" s="110">
        <v>46.1</v>
      </c>
      <c r="M8" s="110">
        <v>0</v>
      </c>
      <c r="N8" s="110">
        <v>0</v>
      </c>
      <c r="O8" s="110">
        <v>167.18</v>
      </c>
      <c r="P8" s="110">
        <v>0</v>
      </c>
      <c r="Q8" s="110" t="str">
        <v>AVAILABLE</v>
      </c>
      <c r="R8" s="110">
        <v>800000</v>
      </c>
      <c r="S8" s="110">
        <v>800000</v>
      </c>
      <c r="T8" s="110">
        <v>820000</v>
      </c>
      <c r="U8" s="110">
        <v>0</v>
      </c>
      <c r="V8" s="110">
        <v>0</v>
      </c>
      <c r="W8" s="110">
        <v>820000</v>
      </c>
      <c r="X8" s="110">
        <v>0</v>
      </c>
      <c r="Y8" s="110">
        <v>0</v>
      </c>
      <c r="Z8" s="110">
        <v>0</v>
      </c>
      <c r="AA8" s="110">
        <v>46171</v>
      </c>
      <c r="AB8" s="111" t="str">
        <v>Q2 2026</v>
      </c>
      <c r="AC8">
        <v>0</v>
      </c>
      <c r="AD8">
        <v>47208</v>
      </c>
      <c r="AE8" t="str">
        <v>João Gameiro</v>
      </c>
      <c r="AF8" t="str">
        <v>Miguel Ribeiro</v>
      </c>
      <c r="AG8" t="str">
        <v>https://www.valepisao.com/</v>
      </c>
      <c r="AH8" t="str">
        <v>Vale Pisão is a private residential and lifestyle community just 25 minutes from Porto, combining natural serenity with resort-level amenities. It offers families and individuals a secure, green haven to live, reconnect, and create a lasting home.</v>
      </c>
      <c r="AI8" t="str">
        <v>Private &amp; Communal Pools, Private Parking, Bike Station, Concierge, Private Gardens, Tennis &amp; Padel, Kids Club, Spa &amp; Gym and Bar Service</v>
      </c>
      <c r="AJ8"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8" t="str">
        <v>Barbosa Guimarães</v>
      </c>
      <c r="AL8" t="str">
        <v>Vale Pisão Grand Park</v>
      </c>
    </row>
    <row r="9" spans="1:38" x14ac:dyDescent="0.3">
      <c r="A9" s="129" t="str">
        <v>VP - TOWNHOUSES</v>
      </c>
      <c r="B9" s="129" t="str">
        <v>North</v>
      </c>
      <c r="C9" s="110" t="str">
        <v>4A</v>
      </c>
      <c r="D9" s="110" t="str">
        <v>Santo Tirso, Porto</v>
      </c>
      <c r="E9" s="110" t="str">
        <v>V3</v>
      </c>
      <c r="F9" s="110">
        <v>209.64</v>
      </c>
      <c r="G9" s="110">
        <v>0</v>
      </c>
      <c r="H9" s="110" t="str">
        <v>2</v>
      </c>
      <c r="I9" s="110" t="str">
        <v>No</v>
      </c>
      <c r="J9" s="110">
        <v>0</v>
      </c>
      <c r="K9" s="110">
        <v>3.66</v>
      </c>
      <c r="L9" s="110">
        <v>44.52</v>
      </c>
      <c r="M9" s="110">
        <v>0</v>
      </c>
      <c r="N9" s="110">
        <v>0</v>
      </c>
      <c r="O9" s="110">
        <v>161.46</v>
      </c>
      <c r="P9" s="110">
        <v>0</v>
      </c>
      <c r="Q9" s="110" t="str">
        <v>AVAILABLE</v>
      </c>
      <c r="R9" s="110">
        <v>820000</v>
      </c>
      <c r="S9" s="110">
        <v>820000</v>
      </c>
      <c r="T9" s="110">
        <v>870000</v>
      </c>
      <c r="U9" s="110">
        <v>0</v>
      </c>
      <c r="V9" s="110">
        <v>0</v>
      </c>
      <c r="W9" s="110">
        <v>870000</v>
      </c>
      <c r="X9" s="110">
        <v>0</v>
      </c>
      <c r="Y9" s="110">
        <v>0</v>
      </c>
      <c r="Z9" s="110">
        <v>0</v>
      </c>
      <c r="AA9" s="110">
        <v>46171</v>
      </c>
      <c r="AB9" s="111" t="str">
        <v>Q2 2026</v>
      </c>
      <c r="AC9">
        <v>0</v>
      </c>
      <c r="AD9">
        <v>47208</v>
      </c>
      <c r="AE9" t="str">
        <v>João Gameiro</v>
      </c>
      <c r="AF9" t="str">
        <v>Miguel Ribeiro</v>
      </c>
      <c r="AG9" t="str">
        <v>https://www.valepisao.com/</v>
      </c>
      <c r="AH9" t="str">
        <v>Vale Pisão is a private residential and lifestyle community just 25 minutes from Porto, combining natural serenity with resort-level amenities. It offers families and individuals a secure, green haven to live, reconnect, and create a lasting home.</v>
      </c>
      <c r="AI9" t="str">
        <v>Private &amp; Communal Pools, Private Parking, Bike Station, Concierge, Private Gardens, Tennis &amp; Padel, Kids Club, Spa &amp; Gym and Bar Service</v>
      </c>
      <c r="AJ9"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9" t="str">
        <v>Barbosa Guimarães</v>
      </c>
      <c r="AL9" t="str">
        <v>Vale Pisão Grand Park</v>
      </c>
    </row>
    <row r="10" spans="1:38" x14ac:dyDescent="0.3">
      <c r="A10" s="110" t="str">
        <v>VP - TOWNHOUSES</v>
      </c>
      <c r="B10" s="110" t="str">
        <v>North</v>
      </c>
      <c r="C10" s="110" t="str">
        <v>1A</v>
      </c>
      <c r="D10" s="110" t="str">
        <v>Santo Tirso, Porto</v>
      </c>
      <c r="E10" s="110" t="str">
        <v>V3</v>
      </c>
      <c r="F10" s="110">
        <v>213.28</v>
      </c>
      <c r="G10" s="110">
        <v>0</v>
      </c>
      <c r="H10" s="110" t="str">
        <v>2</v>
      </c>
      <c r="I10" s="110" t="str">
        <v>No</v>
      </c>
      <c r="J10" s="110">
        <v>0</v>
      </c>
      <c r="K10" s="110">
        <v>0</v>
      </c>
      <c r="L10" s="110">
        <v>46.1</v>
      </c>
      <c r="M10" s="110">
        <v>0</v>
      </c>
      <c r="N10" s="110">
        <v>0</v>
      </c>
      <c r="O10" s="110">
        <v>167.18</v>
      </c>
      <c r="P10" s="110">
        <v>0</v>
      </c>
      <c r="Q10" s="110" t="str">
        <v>UPON  REQUEST</v>
      </c>
      <c r="R10" s="110">
        <v>820000</v>
      </c>
      <c r="S10" s="110">
        <v>820000</v>
      </c>
      <c r="T10" s="110">
        <v>840000</v>
      </c>
      <c r="U10" s="110">
        <v>0</v>
      </c>
      <c r="V10" s="110">
        <v>0</v>
      </c>
      <c r="W10" s="110">
        <v>840000</v>
      </c>
      <c r="X10" s="110">
        <v>0</v>
      </c>
      <c r="Y10" s="110">
        <v>0</v>
      </c>
      <c r="Z10" s="110">
        <v>0</v>
      </c>
      <c r="AA10" s="110">
        <v>46171</v>
      </c>
      <c r="AB10" s="111" t="str">
        <v>Q2 2026</v>
      </c>
      <c r="AC10">
        <v>0</v>
      </c>
      <c r="AD10">
        <v>47208</v>
      </c>
      <c r="AE10" t="str">
        <v>João Gameiro</v>
      </c>
      <c r="AF10" t="str">
        <v>Miguel Ribeiro</v>
      </c>
      <c r="AG10" t="str">
        <v>https://www.valepisao.com/</v>
      </c>
      <c r="AH10" t="str">
        <v>Vale Pisão is a private residential and lifestyle community just 25 minutes from Porto, combining natural serenity with resort-level amenities. It offers families and individuals a secure, green haven to live, reconnect, and create a lasting home.</v>
      </c>
      <c r="AI10" t="str">
        <v>Private &amp; Communal Pools, Private Parking, Bike Station, Concierge, Private Gardens, Tennis &amp; Padel, Kids Club, Spa &amp; Gym and Bar Service</v>
      </c>
      <c r="AJ10"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10" t="str">
        <v>Barbosa Guimarães</v>
      </c>
      <c r="AL10" t="str">
        <v>Vale Pisão Grand Park</v>
      </c>
    </row>
    <row r="11" spans="1:38" x14ac:dyDescent="0.3">
      <c r="A11" s="110" t="str">
        <v>VP - TOWNHOUSES</v>
      </c>
      <c r="B11" s="110" t="str">
        <v>North</v>
      </c>
      <c r="C11" s="110" t="str">
        <v>3A</v>
      </c>
      <c r="D11" s="110" t="str">
        <v>Santo Tirso, Porto</v>
      </c>
      <c r="E11" s="110" t="str">
        <v>V3</v>
      </c>
      <c r="F11" s="110">
        <v>205.98</v>
      </c>
      <c r="G11" s="110">
        <v>0</v>
      </c>
      <c r="H11" s="110" t="str">
        <v>2</v>
      </c>
      <c r="I11" s="110" t="str">
        <v>No</v>
      </c>
      <c r="J11" s="110">
        <v>0</v>
      </c>
      <c r="K11" s="110">
        <v>0</v>
      </c>
      <c r="L11" s="110">
        <v>44.52</v>
      </c>
      <c r="M11" s="110">
        <v>0</v>
      </c>
      <c r="N11" s="110">
        <v>0</v>
      </c>
      <c r="O11" s="110">
        <v>161.46</v>
      </c>
      <c r="P11" s="110">
        <v>0</v>
      </c>
      <c r="Q11" s="110" t="str">
        <v>UPON  REQUEST</v>
      </c>
      <c r="R11" s="110">
        <v>820000</v>
      </c>
      <c r="S11" s="110">
        <v>820000</v>
      </c>
      <c r="T11" s="110">
        <v>840000</v>
      </c>
      <c r="U11" s="110">
        <v>0</v>
      </c>
      <c r="V11" s="110">
        <v>0</v>
      </c>
      <c r="W11" s="110">
        <v>840000</v>
      </c>
      <c r="X11" s="110">
        <v>0</v>
      </c>
      <c r="Y11" s="110">
        <v>0</v>
      </c>
      <c r="Z11" s="110">
        <v>0</v>
      </c>
      <c r="AA11" s="110">
        <v>46171</v>
      </c>
      <c r="AB11" s="111" t="str">
        <v>Q2 2026</v>
      </c>
      <c r="AC11">
        <v>0</v>
      </c>
      <c r="AD11">
        <v>47208</v>
      </c>
      <c r="AE11" t="str">
        <v>João Gameiro</v>
      </c>
      <c r="AF11" t="str">
        <v>Miguel Ribeiro</v>
      </c>
      <c r="AG11" t="str">
        <v>https://www.valepisao.com/</v>
      </c>
      <c r="AH11" t="str">
        <v>Vale Pisão is a private residential and lifestyle community just 25 minutes from Porto, combining natural serenity with resort-level amenities. It offers families and individuals a secure, green haven to live, reconnect, and create a lasting home.</v>
      </c>
      <c r="AI11" t="str">
        <v>Private &amp; Communal Pools, Private Parking, Bike Station, Concierge, Private Gardens, Tennis &amp; Padel, Kids Club, Spa &amp; Gym and Bar Service</v>
      </c>
      <c r="AJ11"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11" t="str">
        <v>Barbosa Guimarães</v>
      </c>
      <c r="AL11" t="str">
        <v>Vale Pisão Grand Park</v>
      </c>
    </row>
    <row r="12" spans="1:38" x14ac:dyDescent="0.3">
      <c r="A12" s="110" t="str">
        <v>VP - TOWNHOUSES</v>
      </c>
      <c r="B12" s="110" t="str">
        <v>North</v>
      </c>
      <c r="C12" s="110" t="str">
        <v>12A</v>
      </c>
      <c r="D12" s="110" t="str">
        <v>Santo Tirso, Porto</v>
      </c>
      <c r="E12" s="110" t="str">
        <v>V3</v>
      </c>
      <c r="F12" s="110">
        <v>293.75</v>
      </c>
      <c r="G12" s="110">
        <v>0</v>
      </c>
      <c r="H12" s="110" t="str">
        <v>2</v>
      </c>
      <c r="I12" s="110" t="str">
        <v>Yes</v>
      </c>
      <c r="J12" s="110">
        <v>0</v>
      </c>
      <c r="K12" s="110">
        <v>87.77</v>
      </c>
      <c r="L12" s="110">
        <v>44.52</v>
      </c>
      <c r="M12" s="110">
        <v>0</v>
      </c>
      <c r="N12" s="110">
        <v>0</v>
      </c>
      <c r="O12" s="110">
        <v>161.46</v>
      </c>
      <c r="P12" s="110">
        <v>0</v>
      </c>
      <c r="Q12" s="110" t="str">
        <v>UPON  REQUEST</v>
      </c>
      <c r="R12" s="110">
        <v>820000</v>
      </c>
      <c r="S12" s="110">
        <v>820000</v>
      </c>
      <c r="T12" s="110">
        <v>860000</v>
      </c>
      <c r="U12" s="110">
        <v>0</v>
      </c>
      <c r="V12" s="110">
        <v>0</v>
      </c>
      <c r="W12" s="110">
        <v>860000</v>
      </c>
      <c r="X12" s="110">
        <v>0</v>
      </c>
      <c r="Y12" s="110">
        <v>0</v>
      </c>
      <c r="Z12" s="110">
        <v>0</v>
      </c>
      <c r="AA12" s="110">
        <v>46171</v>
      </c>
      <c r="AB12" s="111" t="str">
        <v>Q2 2026</v>
      </c>
      <c r="AC12">
        <v>0</v>
      </c>
      <c r="AD12">
        <v>47208</v>
      </c>
      <c r="AE12" t="str">
        <v>João Gameiro</v>
      </c>
      <c r="AF12" t="str">
        <v>Miguel Ribeiro</v>
      </c>
      <c r="AG12" t="str">
        <v>https://www.valepisao.com/</v>
      </c>
      <c r="AH12" t="str">
        <v>Vale Pisão is a private residential and lifestyle community just 25 minutes from Porto, combining natural serenity with resort-level amenities. It offers families and individuals a secure, green haven to live, reconnect, and create a lasting home.</v>
      </c>
      <c r="AI12" t="str">
        <v>Private &amp; Communal Pools, Private Parking, Bike Station, Concierge, Private Gardens, Tennis &amp; Padel, Kids Club, Spa &amp; Gym and Bar Service</v>
      </c>
      <c r="AJ12"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12" t="str">
        <v>Barbosa Guimarães</v>
      </c>
      <c r="AL12" t="str">
        <v>Vale Pisão Grand Park</v>
      </c>
    </row>
    <row r="13" spans="1:38" x14ac:dyDescent="0.3">
      <c r="A13" s="110" t="str">
        <v>VP - TOWNHOUSES</v>
      </c>
      <c r="B13" s="110" t="str">
        <v>North</v>
      </c>
      <c r="C13" s="110" t="str">
        <v>5A</v>
      </c>
      <c r="D13" s="110" t="str">
        <v>Santo Tirso, Porto</v>
      </c>
      <c r="E13" s="110" t="str">
        <v>V3</v>
      </c>
      <c r="F13" s="110">
        <v>219.42</v>
      </c>
      <c r="G13" s="110">
        <v>0</v>
      </c>
      <c r="H13" s="110" t="str">
        <v>2</v>
      </c>
      <c r="I13" s="110" t="str">
        <v>No</v>
      </c>
      <c r="J13" s="110">
        <v>0</v>
      </c>
      <c r="K13" s="110">
        <v>13.44</v>
      </c>
      <c r="L13" s="110">
        <v>44.52</v>
      </c>
      <c r="M13" s="110">
        <v>0</v>
      </c>
      <c r="N13" s="110">
        <v>0</v>
      </c>
      <c r="O13" s="110">
        <v>161.46</v>
      </c>
      <c r="P13" s="110">
        <v>0</v>
      </c>
      <c r="Q13" s="110" t="str">
        <v>AVAILABLE</v>
      </c>
      <c r="R13" s="110">
        <v>830000</v>
      </c>
      <c r="S13" s="110">
        <v>830000</v>
      </c>
      <c r="T13" s="110">
        <v>890000</v>
      </c>
      <c r="U13" s="110">
        <v>0</v>
      </c>
      <c r="V13" s="110">
        <v>0</v>
      </c>
      <c r="W13" s="110">
        <v>890000</v>
      </c>
      <c r="X13" s="110">
        <v>0</v>
      </c>
      <c r="Y13" s="110">
        <v>0</v>
      </c>
      <c r="Z13" s="110">
        <v>0</v>
      </c>
      <c r="AA13" s="110">
        <v>46171</v>
      </c>
      <c r="AB13" s="111" t="str">
        <v>Q2 2026</v>
      </c>
      <c r="AC13">
        <v>0</v>
      </c>
      <c r="AD13">
        <v>47208</v>
      </c>
      <c r="AE13" t="str">
        <v>João Gameiro</v>
      </c>
      <c r="AF13" t="str">
        <v>Miguel Ribeiro</v>
      </c>
      <c r="AG13" t="str">
        <v>https://www.valepisao.com/</v>
      </c>
      <c r="AH13" t="str">
        <v>Vale Pisão is a private residential and lifestyle community just 25 minutes from Porto, combining natural serenity with resort-level amenities. It offers families and individuals a secure, green haven to live, reconnect, and create a lasting home.</v>
      </c>
      <c r="AI13" t="str">
        <v>Private &amp; Communal Pools, Private Parking, Bike Station, Concierge, Private Gardens, Tennis &amp; Padel, Kids Club, Spa &amp; Gym and Bar Service</v>
      </c>
      <c r="AJ13"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13" t="str">
        <v>Barbosa Guimarães</v>
      </c>
      <c r="AL13" t="str">
        <v>Vale Pisão Grand Park</v>
      </c>
    </row>
    <row r="14" spans="1:38" x14ac:dyDescent="0.3">
      <c r="A14" s="110" t="str">
        <v>VP - TOWNHOUSES</v>
      </c>
      <c r="B14" s="110" t="str">
        <v>North</v>
      </c>
      <c r="C14" s="110" t="str">
        <v>11A</v>
      </c>
      <c r="D14" s="110" t="str">
        <v>Santo Tirso, Porto</v>
      </c>
      <c r="E14" s="110" t="str">
        <v>V3</v>
      </c>
      <c r="F14" s="110">
        <v>284.88</v>
      </c>
      <c r="G14" s="110">
        <v>0</v>
      </c>
      <c r="H14" s="110" t="str">
        <v>2</v>
      </c>
      <c r="I14" s="110" t="str">
        <v>Yes</v>
      </c>
      <c r="J14" s="110">
        <v>0</v>
      </c>
      <c r="K14" s="110">
        <v>78.900000000000006</v>
      </c>
      <c r="L14" s="110">
        <v>44.52</v>
      </c>
      <c r="M14" s="110">
        <v>0</v>
      </c>
      <c r="N14" s="110">
        <v>0</v>
      </c>
      <c r="O14" s="110">
        <v>161.46</v>
      </c>
      <c r="P14" s="110">
        <v>0</v>
      </c>
      <c r="Q14" s="110" t="str">
        <v>AVAILABLE</v>
      </c>
      <c r="R14" s="110">
        <v>830000</v>
      </c>
      <c r="S14" s="110">
        <v>830000</v>
      </c>
      <c r="T14" s="110">
        <v>850000</v>
      </c>
      <c r="U14" s="110">
        <v>0</v>
      </c>
      <c r="V14" s="110">
        <v>0</v>
      </c>
      <c r="W14" s="110">
        <v>850000</v>
      </c>
      <c r="X14" s="110">
        <v>0</v>
      </c>
      <c r="Y14" s="110">
        <v>0</v>
      </c>
      <c r="Z14" s="110">
        <v>0</v>
      </c>
      <c r="AA14" s="110">
        <v>46171</v>
      </c>
      <c r="AB14" s="111" t="str">
        <v>Q2 2026</v>
      </c>
      <c r="AC14">
        <v>0</v>
      </c>
      <c r="AD14">
        <v>47208</v>
      </c>
      <c r="AE14" t="str">
        <v>João Gameiro</v>
      </c>
      <c r="AF14" t="str">
        <v>Miguel Ribeiro</v>
      </c>
      <c r="AG14" t="str">
        <v>https://www.valepisao.com/</v>
      </c>
      <c r="AH14" t="str">
        <v>Vale Pisão is a private residential and lifestyle community just 25 minutes from Porto, combining natural serenity with resort-level amenities. It offers families and individuals a secure, green haven to live, reconnect, and create a lasting home.</v>
      </c>
      <c r="AI14" t="str">
        <v>Private &amp; Communal Pools, Private Parking, Bike Station, Concierge, Private Gardens, Tennis &amp; Padel, Kids Club, Spa &amp; Gym and Bar Service</v>
      </c>
      <c r="AJ14"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14" t="str">
        <v>Barbosa Guimarães</v>
      </c>
      <c r="AL14" t="str">
        <v>Vale Pisão Grand Park</v>
      </c>
    </row>
    <row r="15" spans="1:38" x14ac:dyDescent="0.3">
      <c r="A15" s="110" t="str">
        <v>VP - TOWNHOUSES</v>
      </c>
      <c r="B15" s="110" t="str">
        <v>North</v>
      </c>
      <c r="C15" s="110" t="str">
        <v>2B</v>
      </c>
      <c r="D15" s="110" t="str">
        <v>Santo Tirso, Porto</v>
      </c>
      <c r="E15" s="110" t="str">
        <v>V3</v>
      </c>
      <c r="F15" s="110">
        <v>318.91000000000003</v>
      </c>
      <c r="G15" s="110">
        <v>0</v>
      </c>
      <c r="H15" s="110" t="str">
        <v>2</v>
      </c>
      <c r="I15" s="110" t="str">
        <v>Yes</v>
      </c>
      <c r="J15" s="110">
        <v>0</v>
      </c>
      <c r="K15" s="110">
        <v>112.93</v>
      </c>
      <c r="L15" s="110">
        <v>44.52</v>
      </c>
      <c r="M15" s="110">
        <v>0</v>
      </c>
      <c r="N15" s="110">
        <v>0</v>
      </c>
      <c r="O15" s="110">
        <v>161.46</v>
      </c>
      <c r="P15" s="110">
        <v>0</v>
      </c>
      <c r="Q15" s="110" t="str">
        <v>AVAILABLE</v>
      </c>
      <c r="R15" s="110">
        <v>830000</v>
      </c>
      <c r="S15" s="110">
        <v>830000</v>
      </c>
      <c r="T15" s="110">
        <v>850000</v>
      </c>
      <c r="U15" s="110">
        <v>0</v>
      </c>
      <c r="V15" s="110">
        <v>0</v>
      </c>
      <c r="W15" s="110">
        <v>850000</v>
      </c>
      <c r="X15" s="110">
        <v>0</v>
      </c>
      <c r="Y15" s="110">
        <v>0</v>
      </c>
      <c r="Z15" s="110">
        <v>0</v>
      </c>
      <c r="AA15" s="110">
        <v>46171</v>
      </c>
      <c r="AB15" s="111" t="str">
        <v>Q2 2026</v>
      </c>
      <c r="AC15">
        <v>0</v>
      </c>
      <c r="AD15">
        <v>47208</v>
      </c>
      <c r="AE15" t="str">
        <v>João Gameiro</v>
      </c>
      <c r="AF15" t="str">
        <v>Miguel Ribeiro</v>
      </c>
      <c r="AG15" t="str">
        <v>https://www.valepisao.com/</v>
      </c>
      <c r="AH15" t="str">
        <v>Vale Pisão is a private residential and lifestyle community just 25 minutes from Porto, combining natural serenity with resort-level amenities. It offers families and individuals a secure, green haven to live, reconnect, and create a lasting home.</v>
      </c>
      <c r="AI15" t="str">
        <v>Private &amp; Communal Pools, Private Parking, Bike Station, Concierge, Private Gardens, Tennis &amp; Padel, Kids Club, Spa &amp; Gym and Bar Service</v>
      </c>
      <c r="AJ15"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15" t="str">
        <v>Barbosa Guimarães</v>
      </c>
      <c r="AL15" t="str">
        <v>Vale Pisão Grand Park</v>
      </c>
    </row>
    <row r="16" spans="1:38" x14ac:dyDescent="0.3">
      <c r="A16" s="110" t="str">
        <v>VP - TOWNHOUSES</v>
      </c>
      <c r="B16" s="110" t="str">
        <v>North</v>
      </c>
      <c r="C16" s="110" t="str">
        <v>6A</v>
      </c>
      <c r="D16" s="110" t="str">
        <v>Santo Tirso, Porto</v>
      </c>
      <c r="E16" s="110" t="str">
        <v>V3</v>
      </c>
      <c r="F16" s="110">
        <v>233.12</v>
      </c>
      <c r="G16" s="110">
        <v>0</v>
      </c>
      <c r="H16" s="110" t="str">
        <v>2</v>
      </c>
      <c r="I16" s="110" t="str">
        <v>No</v>
      </c>
      <c r="J16" s="110">
        <v>0</v>
      </c>
      <c r="K16" s="110">
        <v>27.14</v>
      </c>
      <c r="L16" s="110">
        <v>44.52</v>
      </c>
      <c r="M16" s="110">
        <v>0</v>
      </c>
      <c r="N16" s="110">
        <v>0</v>
      </c>
      <c r="O16" s="110">
        <v>161.46</v>
      </c>
      <c r="P16" s="110">
        <v>0</v>
      </c>
      <c r="Q16" s="110" t="str">
        <v>UPON  REQUEST</v>
      </c>
      <c r="R16" s="110">
        <v>830000</v>
      </c>
      <c r="S16" s="110">
        <v>830000</v>
      </c>
      <c r="T16" s="110">
        <v>850000</v>
      </c>
      <c r="U16" s="110">
        <v>0</v>
      </c>
      <c r="V16" s="110">
        <v>0</v>
      </c>
      <c r="W16" s="110">
        <v>850000</v>
      </c>
      <c r="X16" s="110">
        <v>0</v>
      </c>
      <c r="Y16" s="110">
        <v>0</v>
      </c>
      <c r="Z16" s="110">
        <v>0</v>
      </c>
      <c r="AA16" s="110">
        <v>46171</v>
      </c>
      <c r="AB16" s="111" t="str">
        <v>Q2 2026</v>
      </c>
      <c r="AC16">
        <v>0</v>
      </c>
      <c r="AD16">
        <v>47208</v>
      </c>
      <c r="AE16" t="str">
        <v>João Gameiro</v>
      </c>
      <c r="AF16" t="str">
        <v>Miguel Ribeiro</v>
      </c>
      <c r="AG16" t="str">
        <v>https://www.valepisao.com/</v>
      </c>
      <c r="AH16" t="str">
        <v>Vale Pisão is a private residential and lifestyle community just 25 minutes from Porto, combining natural serenity with resort-level amenities. It offers families and individuals a secure, green haven to live, reconnect, and create a lasting home.</v>
      </c>
      <c r="AI16" t="str">
        <v>Private &amp; Communal Pools, Private Parking, Bike Station, Concierge, Private Gardens, Tennis &amp; Padel, Kids Club, Spa &amp; Gym and Bar Service</v>
      </c>
      <c r="AJ16"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16" t="str">
        <v>Barbosa Guimarães</v>
      </c>
      <c r="AL16" t="str">
        <v>Vale Pisão Grand Park</v>
      </c>
    </row>
    <row r="17" spans="1:38" x14ac:dyDescent="0.3">
      <c r="A17" s="110" t="str">
        <v>VP - TOWNHOUSES</v>
      </c>
      <c r="B17" s="110" t="str">
        <v>North</v>
      </c>
      <c r="C17" s="110" t="str">
        <v>2A</v>
      </c>
      <c r="D17" s="110" t="str">
        <v>Santo Tirso, Porto</v>
      </c>
      <c r="E17" s="110" t="str">
        <v>V3</v>
      </c>
      <c r="F17" s="110">
        <v>205.98</v>
      </c>
      <c r="G17" s="110">
        <v>0</v>
      </c>
      <c r="H17" s="110" t="str">
        <v>2</v>
      </c>
      <c r="I17" s="110" t="str">
        <v>No</v>
      </c>
      <c r="J17" s="110">
        <v>0</v>
      </c>
      <c r="K17" s="110">
        <v>0</v>
      </c>
      <c r="L17" s="110">
        <v>44.52</v>
      </c>
      <c r="M17" s="110">
        <v>0</v>
      </c>
      <c r="N17" s="110">
        <v>0</v>
      </c>
      <c r="O17" s="110">
        <v>161.46</v>
      </c>
      <c r="P17" s="110">
        <v>0</v>
      </c>
      <c r="Q17" s="110" t="str">
        <v>AVAILABLE</v>
      </c>
      <c r="R17" s="110">
        <v>840000</v>
      </c>
      <c r="S17" s="110">
        <v>840000</v>
      </c>
      <c r="T17" s="110">
        <v>860000</v>
      </c>
      <c r="U17" s="110">
        <v>0</v>
      </c>
      <c r="V17" s="110">
        <v>0</v>
      </c>
      <c r="W17" s="110">
        <v>860000</v>
      </c>
      <c r="X17" s="110">
        <v>0</v>
      </c>
      <c r="Y17" s="110">
        <v>0</v>
      </c>
      <c r="Z17" s="110">
        <v>0</v>
      </c>
      <c r="AA17" s="110">
        <v>46171</v>
      </c>
      <c r="AB17" s="111" t="str">
        <v>Q2 2026</v>
      </c>
      <c r="AC17">
        <v>0</v>
      </c>
      <c r="AD17">
        <v>47208</v>
      </c>
      <c r="AE17" t="str">
        <v>João Gameiro</v>
      </c>
      <c r="AF17" t="str">
        <v>Miguel Ribeiro</v>
      </c>
      <c r="AG17" t="str">
        <v>https://www.valepisao.com/</v>
      </c>
      <c r="AH17" t="str">
        <v>Vale Pisão is a private residential and lifestyle community just 25 minutes from Porto, combining natural serenity with resort-level amenities. It offers families and individuals a secure, green haven to live, reconnect, and create a lasting home.</v>
      </c>
      <c r="AI17" t="str">
        <v>Private &amp; Communal Pools, Private Parking, Bike Station, Concierge, Private Gardens, Tennis &amp; Padel, Kids Club, Spa &amp; Gym and Bar Service</v>
      </c>
      <c r="AJ17"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17" t="str">
        <v>Barbosa Guimarães</v>
      </c>
      <c r="AL17" t="str">
        <v>Vale Pisão Grand Park</v>
      </c>
    </row>
    <row r="18" spans="1:38" x14ac:dyDescent="0.3">
      <c r="A18" s="110" t="str">
        <v>VP - TOWNHOUSES</v>
      </c>
      <c r="B18" s="110" t="str">
        <v>North</v>
      </c>
      <c r="C18" s="110" t="str">
        <v>7A</v>
      </c>
      <c r="D18" s="110" t="str">
        <v>Santo Tirso, Porto</v>
      </c>
      <c r="E18" s="110" t="str">
        <v>V3</v>
      </c>
      <c r="F18" s="110">
        <v>245.15</v>
      </c>
      <c r="G18" s="110">
        <v>0</v>
      </c>
      <c r="H18" s="110" t="str">
        <v>2</v>
      </c>
      <c r="I18" s="110" t="str">
        <v>Yes</v>
      </c>
      <c r="J18" s="110">
        <v>0</v>
      </c>
      <c r="K18" s="110">
        <v>39.17</v>
      </c>
      <c r="L18" s="110">
        <v>44.52</v>
      </c>
      <c r="M18" s="110">
        <v>0</v>
      </c>
      <c r="N18" s="110">
        <v>0</v>
      </c>
      <c r="O18" s="110">
        <v>161.46</v>
      </c>
      <c r="P18" s="110">
        <v>0</v>
      </c>
      <c r="Q18" s="110" t="str">
        <v>AVAILABLE</v>
      </c>
      <c r="R18" s="110">
        <v>840000</v>
      </c>
      <c r="S18" s="110">
        <v>840000</v>
      </c>
      <c r="T18" s="110">
        <v>860000</v>
      </c>
      <c r="U18" s="110">
        <v>0</v>
      </c>
      <c r="V18" s="110">
        <v>0</v>
      </c>
      <c r="W18" s="110">
        <v>860000</v>
      </c>
      <c r="X18" s="110">
        <v>0</v>
      </c>
      <c r="Y18" s="110">
        <v>0</v>
      </c>
      <c r="Z18" s="110">
        <v>0</v>
      </c>
      <c r="AA18" s="110">
        <v>46171</v>
      </c>
      <c r="AB18" s="111" t="str">
        <v>Q2 2026</v>
      </c>
      <c r="AC18">
        <v>0</v>
      </c>
      <c r="AD18">
        <v>47208</v>
      </c>
      <c r="AE18" t="str">
        <v>João Gameiro</v>
      </c>
      <c r="AF18" t="str">
        <v>Miguel Ribeiro</v>
      </c>
      <c r="AG18" t="str">
        <v>https://www.valepisao.com/</v>
      </c>
      <c r="AH18" t="str">
        <v>Vale Pisão is a private residential and lifestyle community just 25 minutes from Porto, combining natural serenity with resort-level amenities. It offers families and individuals a secure, green haven to live, reconnect, and create a lasting home.</v>
      </c>
      <c r="AI18" t="str">
        <v>Private &amp; Communal Pools, Private Parking, Bike Station, Concierge, Private Gardens, Tennis &amp; Padel, Kids Club, Spa &amp; Gym and Bar Service</v>
      </c>
      <c r="AJ18"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18" t="str">
        <v>Barbosa Guimarães</v>
      </c>
      <c r="AL18" t="str">
        <v>Vale Pisão Grand Park</v>
      </c>
    </row>
    <row r="19" spans="1:38" x14ac:dyDescent="0.3">
      <c r="A19" s="110" t="str">
        <v>VP - TOWNHOUSES</v>
      </c>
      <c r="B19" s="110" t="str">
        <v>North</v>
      </c>
      <c r="C19" s="110" t="str">
        <v>8A</v>
      </c>
      <c r="D19" s="110" t="str">
        <v>Santo Tirso, Porto</v>
      </c>
      <c r="E19" s="110" t="str">
        <v>V3</v>
      </c>
      <c r="F19" s="110">
        <v>254.75</v>
      </c>
      <c r="G19" s="110">
        <v>0</v>
      </c>
      <c r="H19" s="110" t="str">
        <v>2</v>
      </c>
      <c r="I19" s="110" t="str">
        <v>Yes</v>
      </c>
      <c r="J19" s="110">
        <v>0</v>
      </c>
      <c r="K19" s="110">
        <v>48.77</v>
      </c>
      <c r="L19" s="110">
        <v>44.52</v>
      </c>
      <c r="M19" s="110">
        <v>0</v>
      </c>
      <c r="N19" s="110">
        <v>0</v>
      </c>
      <c r="O19" s="110">
        <v>161.46</v>
      </c>
      <c r="P19" s="110">
        <v>0</v>
      </c>
      <c r="Q19" s="110" t="str">
        <v>UPON  REQUEST</v>
      </c>
      <c r="R19" s="110">
        <v>840000</v>
      </c>
      <c r="S19" s="110">
        <v>840000</v>
      </c>
      <c r="T19" s="110">
        <v>860000</v>
      </c>
      <c r="U19" s="110">
        <v>0</v>
      </c>
      <c r="V19" s="110">
        <v>0</v>
      </c>
      <c r="W19" s="110">
        <v>860000</v>
      </c>
      <c r="X19" s="110">
        <v>0</v>
      </c>
      <c r="Y19" s="110">
        <v>0</v>
      </c>
      <c r="Z19" s="110">
        <v>0</v>
      </c>
      <c r="AA19" s="110">
        <v>46171</v>
      </c>
      <c r="AB19" s="111" t="str">
        <v>Q2 2026</v>
      </c>
      <c r="AC19">
        <v>0</v>
      </c>
      <c r="AD19">
        <v>47208</v>
      </c>
      <c r="AE19" t="str">
        <v>João Gameiro</v>
      </c>
      <c r="AF19" t="str">
        <v>Miguel Ribeiro</v>
      </c>
      <c r="AG19" t="str">
        <v>https://www.valepisao.com/</v>
      </c>
      <c r="AH19" t="str">
        <v>Vale Pisão is a private residential and lifestyle community just 25 minutes from Porto, combining natural serenity with resort-level amenities. It offers families and individuals a secure, green haven to live, reconnect, and create a lasting home.</v>
      </c>
      <c r="AI19" t="str">
        <v>Private &amp; Communal Pools, Private Parking, Bike Station, Concierge, Private Gardens, Tennis &amp; Padel, Kids Club, Spa &amp; Gym and Bar Service</v>
      </c>
      <c r="AJ19"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19" t="str">
        <v>Barbosa Guimarães</v>
      </c>
      <c r="AL19" t="str">
        <v>Vale Pisão Grand Park</v>
      </c>
    </row>
    <row r="20" spans="1:38" x14ac:dyDescent="0.3">
      <c r="A20" s="110" t="str">
        <v>VP - TOWNHOUSES</v>
      </c>
      <c r="B20" s="110" t="str">
        <v>North</v>
      </c>
      <c r="C20" s="110" t="str">
        <v>9A</v>
      </c>
      <c r="D20" s="110" t="str">
        <v>Santo Tirso, Porto</v>
      </c>
      <c r="E20" s="110" t="str">
        <v>V3</v>
      </c>
      <c r="F20" s="110">
        <v>263.92</v>
      </c>
      <c r="G20" s="110">
        <v>0</v>
      </c>
      <c r="H20" s="110" t="str">
        <v>2</v>
      </c>
      <c r="I20" s="110" t="str">
        <v>Yes</v>
      </c>
      <c r="J20" s="110">
        <v>0</v>
      </c>
      <c r="K20" s="110">
        <v>57.94</v>
      </c>
      <c r="L20" s="110">
        <v>44.52</v>
      </c>
      <c r="M20" s="110">
        <v>0</v>
      </c>
      <c r="N20" s="110">
        <v>0</v>
      </c>
      <c r="O20" s="110">
        <v>161.46</v>
      </c>
      <c r="P20" s="110">
        <v>0</v>
      </c>
      <c r="Q20" s="110" t="str">
        <v>UPON  REQUEST</v>
      </c>
      <c r="R20" s="110">
        <v>840000</v>
      </c>
      <c r="S20" s="110">
        <v>840000</v>
      </c>
      <c r="T20" s="110">
        <v>880000</v>
      </c>
      <c r="U20" s="110">
        <v>0</v>
      </c>
      <c r="V20" s="110">
        <v>0</v>
      </c>
      <c r="W20" s="110">
        <v>880000</v>
      </c>
      <c r="X20" s="110">
        <v>0</v>
      </c>
      <c r="Y20" s="110">
        <v>0</v>
      </c>
      <c r="Z20" s="110">
        <v>0</v>
      </c>
      <c r="AA20" s="110">
        <v>46171</v>
      </c>
      <c r="AB20" s="111" t="str">
        <v>Q2 2026</v>
      </c>
      <c r="AC20">
        <v>0</v>
      </c>
      <c r="AD20">
        <v>47208</v>
      </c>
      <c r="AE20" t="str">
        <v>João Gameiro</v>
      </c>
      <c r="AF20" t="str">
        <v>Miguel Ribeiro</v>
      </c>
      <c r="AG20" t="str">
        <v>https://www.valepisao.com/</v>
      </c>
      <c r="AH20" t="str">
        <v>Vale Pisão is a private residential and lifestyle community just 25 minutes from Porto, combining natural serenity with resort-level amenities. It offers families and individuals a secure, green haven to live, reconnect, and create a lasting home.</v>
      </c>
      <c r="AI20" t="str">
        <v>Private &amp; Communal Pools, Private Parking, Bike Station, Concierge, Private Gardens, Tennis &amp; Padel, Kids Club, Spa &amp; Gym and Bar Service</v>
      </c>
      <c r="AJ20"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20" t="str">
        <v>Barbosa Guimarães</v>
      </c>
      <c r="AL20" t="str">
        <v>Vale Pisão Grand Park</v>
      </c>
    </row>
    <row r="21" spans="1:38" x14ac:dyDescent="0.3">
      <c r="A21" s="110" t="str">
        <v>VP - TOWNHOUSES</v>
      </c>
      <c r="B21" s="110" t="str">
        <v>North</v>
      </c>
      <c r="C21" s="110" t="str">
        <v>4B</v>
      </c>
      <c r="D21" s="110" t="str">
        <v>Santo Tirso, Porto</v>
      </c>
      <c r="E21" s="110" t="str">
        <v>V3</v>
      </c>
      <c r="F21" s="110">
        <v>327.27999999999997</v>
      </c>
      <c r="G21" s="110">
        <v>0</v>
      </c>
      <c r="H21" s="110" t="str">
        <v>2</v>
      </c>
      <c r="I21" s="110" t="str">
        <v>Yes</v>
      </c>
      <c r="J21" s="110">
        <v>0</v>
      </c>
      <c r="K21" s="110">
        <v>121.3</v>
      </c>
      <c r="L21" s="110">
        <v>44.52</v>
      </c>
      <c r="M21" s="110">
        <v>0</v>
      </c>
      <c r="N21" s="110">
        <v>0</v>
      </c>
      <c r="O21" s="110">
        <v>161.46</v>
      </c>
      <c r="P21" s="110">
        <v>0</v>
      </c>
      <c r="Q21" s="110" t="str">
        <v>UPON  REQUEST</v>
      </c>
      <c r="R21" s="110">
        <v>950000</v>
      </c>
      <c r="S21" s="110">
        <v>950000</v>
      </c>
      <c r="T21" s="110">
        <v>970000</v>
      </c>
      <c r="U21" s="110">
        <v>0</v>
      </c>
      <c r="V21" s="110">
        <v>0</v>
      </c>
      <c r="W21" s="110">
        <v>970000</v>
      </c>
      <c r="X21" s="110">
        <v>0</v>
      </c>
      <c r="Y21" s="110">
        <v>0</v>
      </c>
      <c r="Z21" s="110">
        <v>0</v>
      </c>
      <c r="AA21" s="110">
        <v>46171</v>
      </c>
      <c r="AB21" s="111" t="str">
        <v>Q2 2026</v>
      </c>
      <c r="AC21">
        <v>0</v>
      </c>
      <c r="AD21">
        <v>47208</v>
      </c>
      <c r="AE21" t="str">
        <v>João Gameiro</v>
      </c>
      <c r="AF21" t="str">
        <v>Miguel Ribeiro</v>
      </c>
      <c r="AG21" t="str">
        <v>https://www.valepisao.com/</v>
      </c>
      <c r="AH21" t="str">
        <v>Vale Pisão is a private residential and lifestyle community just 25 minutes from Porto, combining natural serenity with resort-level amenities. It offers families and individuals a secure, green haven to live, reconnect, and create a lasting home.</v>
      </c>
      <c r="AI21" t="str">
        <v>Private &amp; Communal Pools, Private Parking, Bike Station, Concierge, Private Gardens, Tennis &amp; Padel, Kids Club, Spa &amp; Gym and Bar Service</v>
      </c>
      <c r="AJ21"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21" t="str">
        <v>Barbosa Guimarães</v>
      </c>
      <c r="AL21" t="str">
        <v>Vale Pisão Grand Park</v>
      </c>
    </row>
    <row r="22" spans="1:38" x14ac:dyDescent="0.3">
      <c r="A22" s="110" t="str">
        <v>VP - TOWNHOUSES</v>
      </c>
      <c r="B22" s="110" t="str">
        <v>North</v>
      </c>
      <c r="C22" s="110" t="str">
        <v>5B</v>
      </c>
      <c r="D22" s="110" t="str">
        <v>Santo Tirso, Porto</v>
      </c>
      <c r="E22" s="110" t="str">
        <v>V3</v>
      </c>
      <c r="F22" s="110">
        <v>331.52</v>
      </c>
      <c r="G22" s="110">
        <v>0</v>
      </c>
      <c r="H22" s="110" t="str">
        <v>2</v>
      </c>
      <c r="I22" s="110" t="str">
        <v>Yes</v>
      </c>
      <c r="J22" s="110">
        <v>0</v>
      </c>
      <c r="K22" s="110">
        <v>125.54</v>
      </c>
      <c r="L22" s="110">
        <v>44.52</v>
      </c>
      <c r="M22" s="110">
        <v>0</v>
      </c>
      <c r="N22" s="110">
        <v>0</v>
      </c>
      <c r="O22" s="110">
        <v>161.46</v>
      </c>
      <c r="P22" s="110">
        <v>0</v>
      </c>
      <c r="Q22" s="110" t="str">
        <v>UPON  REQUEST</v>
      </c>
      <c r="R22" s="110">
        <v>950000</v>
      </c>
      <c r="S22" s="110">
        <v>950000</v>
      </c>
      <c r="T22" s="110">
        <v>970000</v>
      </c>
      <c r="U22" s="110">
        <v>0</v>
      </c>
      <c r="V22" s="110">
        <v>0</v>
      </c>
      <c r="W22" s="110">
        <v>970000</v>
      </c>
      <c r="X22" s="110">
        <v>0</v>
      </c>
      <c r="Y22" s="110">
        <v>0</v>
      </c>
      <c r="Z22" s="110">
        <v>0</v>
      </c>
      <c r="AA22" s="110">
        <v>46171</v>
      </c>
      <c r="AB22" s="111" t="str">
        <v>Q2 2026</v>
      </c>
      <c r="AC22">
        <v>0</v>
      </c>
      <c r="AD22">
        <v>47208</v>
      </c>
      <c r="AE22" t="str">
        <v>João Gameiro</v>
      </c>
      <c r="AF22" t="str">
        <v>Miguel Ribeiro</v>
      </c>
      <c r="AG22" t="str">
        <v>https://www.valepisao.com/</v>
      </c>
      <c r="AH22" t="str">
        <v>Vale Pisão is a private residential and lifestyle community just 25 minutes from Porto, combining natural serenity with resort-level amenities. It offers families and individuals a secure, green haven to live, reconnect, and create a lasting home.</v>
      </c>
      <c r="AI22" t="str">
        <v>Private &amp; Communal Pools, Private Parking, Bike Station, Concierge, Private Gardens, Tennis &amp; Padel, Kids Club, Spa &amp; Gym and Bar Service</v>
      </c>
      <c r="AJ22"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22" t="str">
        <v>Barbosa Guimarães</v>
      </c>
      <c r="AL22" t="str">
        <v>Vale Pisão Grand Park</v>
      </c>
    </row>
    <row r="23" spans="1:38" x14ac:dyDescent="0.3">
      <c r="A23" s="110" t="str">
        <v>VP - TOWNHOUSES</v>
      </c>
      <c r="B23" s="110" t="str">
        <v>North</v>
      </c>
      <c r="C23" s="110" t="str">
        <v>3B</v>
      </c>
      <c r="D23" s="110" t="str">
        <v>Santo Tirso, Porto</v>
      </c>
      <c r="E23" s="110" t="str">
        <v>V3</v>
      </c>
      <c r="F23" s="110">
        <v>323.13</v>
      </c>
      <c r="G23" s="110">
        <v>0</v>
      </c>
      <c r="H23" s="110" t="str">
        <v>2</v>
      </c>
      <c r="I23" s="110" t="str">
        <v>Yes</v>
      </c>
      <c r="J23" s="110">
        <v>0</v>
      </c>
      <c r="K23" s="110">
        <v>117.15</v>
      </c>
      <c r="L23" s="110">
        <v>44.52</v>
      </c>
      <c r="M23" s="110">
        <v>0</v>
      </c>
      <c r="N23" s="110">
        <v>0</v>
      </c>
      <c r="O23" s="110">
        <v>161.46</v>
      </c>
      <c r="P23" s="110">
        <v>0</v>
      </c>
      <c r="Q23" s="110" t="str">
        <v>UPON  REQUEST</v>
      </c>
      <c r="R23" s="110">
        <v>960000</v>
      </c>
      <c r="S23" s="110">
        <v>960000</v>
      </c>
      <c r="T23" s="110">
        <v>980000</v>
      </c>
      <c r="U23" s="110">
        <v>0</v>
      </c>
      <c r="V23" s="110">
        <v>0</v>
      </c>
      <c r="W23" s="110">
        <v>980000</v>
      </c>
      <c r="X23" s="110">
        <v>0</v>
      </c>
      <c r="Y23" s="110">
        <v>0</v>
      </c>
      <c r="Z23" s="110">
        <v>0</v>
      </c>
      <c r="AA23" s="110">
        <v>46171</v>
      </c>
      <c r="AB23" s="111" t="str">
        <v>Q2 2026</v>
      </c>
      <c r="AC23">
        <v>0</v>
      </c>
      <c r="AD23">
        <v>47208</v>
      </c>
      <c r="AE23" t="str">
        <v>João Gameiro</v>
      </c>
      <c r="AF23" t="str">
        <v>Miguel Ribeiro</v>
      </c>
      <c r="AG23" t="str">
        <v>https://www.valepisao.com/</v>
      </c>
      <c r="AH23" t="str">
        <v>Vale Pisão is a private residential and lifestyle community just 25 minutes from Porto, combining natural serenity with resort-level amenities. It offers families and individuals a secure, green haven to live, reconnect, and create a lasting home.</v>
      </c>
      <c r="AI23" t="str">
        <v>Private &amp; Communal Pools, Private Parking, Bike Station, Concierge, Private Gardens, Tennis &amp; Padel, Kids Club, Spa &amp; Gym and Bar Service</v>
      </c>
      <c r="AJ23"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23" t="str">
        <v>Barbosa Guimarães</v>
      </c>
      <c r="AL23" t="str">
        <v>Vale Pisão Grand Park</v>
      </c>
    </row>
    <row r="24" spans="1:38" x14ac:dyDescent="0.3">
      <c r="A24" s="110" t="str">
        <v>VP - TOWNHOUSES</v>
      </c>
      <c r="B24" s="110" t="str">
        <v>North</v>
      </c>
      <c r="C24" s="110" t="str">
        <v>7B</v>
      </c>
      <c r="D24" s="110" t="str">
        <v>Santo Tirso, Porto</v>
      </c>
      <c r="E24" s="110" t="str">
        <v>V3</v>
      </c>
      <c r="F24" s="110">
        <v>338.27</v>
      </c>
      <c r="G24" s="110">
        <v>0</v>
      </c>
      <c r="H24" s="110" t="str">
        <v>2</v>
      </c>
      <c r="I24" s="110" t="str">
        <v>Yes</v>
      </c>
      <c r="J24" s="110">
        <v>0</v>
      </c>
      <c r="K24" s="110">
        <v>132.29</v>
      </c>
      <c r="L24" s="110">
        <v>44.52</v>
      </c>
      <c r="M24" s="110">
        <v>0</v>
      </c>
      <c r="N24" s="110">
        <v>0</v>
      </c>
      <c r="O24" s="110">
        <v>161.46</v>
      </c>
      <c r="P24" s="110">
        <v>0</v>
      </c>
      <c r="Q24" s="110" t="str">
        <v>AVAILABLE</v>
      </c>
      <c r="R24" s="110">
        <v>990000</v>
      </c>
      <c r="S24" s="110">
        <v>990000</v>
      </c>
      <c r="T24" s="110">
        <v>1060000</v>
      </c>
      <c r="U24" s="110">
        <v>0</v>
      </c>
      <c r="V24" s="110">
        <v>0</v>
      </c>
      <c r="W24" s="110">
        <v>1060000</v>
      </c>
      <c r="X24" s="110">
        <v>0</v>
      </c>
      <c r="Y24" s="110">
        <v>0</v>
      </c>
      <c r="Z24" s="110">
        <v>0</v>
      </c>
      <c r="AA24" s="110">
        <v>46171</v>
      </c>
      <c r="AB24" s="111" t="str">
        <v>Q2 2026</v>
      </c>
      <c r="AC24">
        <v>0</v>
      </c>
      <c r="AD24">
        <v>47208</v>
      </c>
      <c r="AE24" t="str">
        <v>João Gameiro</v>
      </c>
      <c r="AF24" t="str">
        <v>Miguel Ribeiro</v>
      </c>
      <c r="AG24" t="str">
        <v>https://www.valepisao.com/</v>
      </c>
      <c r="AH24" t="str">
        <v>Vale Pisão is a private residential and lifestyle community just 25 minutes from Porto, combining natural serenity with resort-level amenities. It offers families and individuals a secure, green haven to live, reconnect, and create a lasting home.</v>
      </c>
      <c r="AI24" t="str">
        <v>Private &amp; Communal Pools, Private Parking, Bike Station, Concierge, Private Gardens, Tennis &amp; Padel, Kids Club, Spa &amp; Gym and Bar Service</v>
      </c>
      <c r="AJ24"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24" t="str">
        <v>Barbosa Guimarães</v>
      </c>
      <c r="AL24" t="str">
        <v>Vale Pisão Grand Park</v>
      </c>
    </row>
    <row r="25" spans="1:38" x14ac:dyDescent="0.3">
      <c r="A25" s="110" t="str">
        <v>VP - TOWNHOUSES</v>
      </c>
      <c r="B25" s="110" t="str">
        <v>North</v>
      </c>
      <c r="C25" s="110" t="str">
        <v>9B</v>
      </c>
      <c r="D25" s="110" t="str">
        <v>Santo Tirso, Porto</v>
      </c>
      <c r="E25" s="110" t="str">
        <v>V3</v>
      </c>
      <c r="F25" s="110">
        <v>336.52</v>
      </c>
      <c r="G25" s="110">
        <v>0</v>
      </c>
      <c r="H25" s="110" t="str">
        <v>2</v>
      </c>
      <c r="I25" s="110" t="str">
        <v>Yes</v>
      </c>
      <c r="J25" s="110">
        <v>0</v>
      </c>
      <c r="K25" s="110">
        <v>130.54</v>
      </c>
      <c r="L25" s="110">
        <v>44.52</v>
      </c>
      <c r="M25" s="110">
        <v>0</v>
      </c>
      <c r="N25" s="110">
        <v>0</v>
      </c>
      <c r="O25" s="110">
        <v>161.46</v>
      </c>
      <c r="P25" s="110">
        <v>0</v>
      </c>
      <c r="Q25" s="110" t="str">
        <v>AVAILABLE</v>
      </c>
      <c r="R25" s="110">
        <v>1060000</v>
      </c>
      <c r="S25" s="110">
        <v>1060000</v>
      </c>
      <c r="T25" s="110">
        <v>1090000</v>
      </c>
      <c r="U25" s="110">
        <v>0</v>
      </c>
      <c r="V25" s="110">
        <v>0</v>
      </c>
      <c r="W25" s="110">
        <v>1090000</v>
      </c>
      <c r="X25" s="110">
        <v>0</v>
      </c>
      <c r="Y25" s="110">
        <v>0</v>
      </c>
      <c r="Z25" s="110">
        <v>0</v>
      </c>
      <c r="AA25" s="110">
        <v>46171</v>
      </c>
      <c r="AB25" s="111" t="str">
        <v>Q2 2026</v>
      </c>
      <c r="AC25">
        <v>0</v>
      </c>
      <c r="AD25">
        <v>47208</v>
      </c>
      <c r="AE25" t="str">
        <v>João Gameiro</v>
      </c>
      <c r="AF25" t="str">
        <v>Miguel Ribeiro</v>
      </c>
      <c r="AG25" t="str">
        <v>https://www.valepisao.com/</v>
      </c>
      <c r="AH25" t="str">
        <v>Vale Pisão is a private residential and lifestyle community just 25 minutes from Porto, combining natural serenity with resort-level amenities. It offers families and individuals a secure, green haven to live, reconnect, and create a lasting home.</v>
      </c>
      <c r="AI25" t="str">
        <v>Private &amp; Communal Pools, Private Parking, Bike Station, Concierge, Private Gardens, Tennis &amp; Padel, Kids Club, Spa &amp; Gym and Bar Service</v>
      </c>
      <c r="AJ25"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25" t="str">
        <v>Barbosa Guimarães</v>
      </c>
      <c r="AL25" t="str">
        <v>Vale Pisão Grand Park</v>
      </c>
    </row>
    <row r="26" spans="1:38" x14ac:dyDescent="0.3">
      <c r="A26" s="110" t="str">
        <v>VP - TOWNHOUSES</v>
      </c>
      <c r="B26" s="110" t="str">
        <v>North</v>
      </c>
      <c r="C26" s="110" t="str">
        <v>13B</v>
      </c>
      <c r="D26" s="110" t="str">
        <v>Santo Tirso, Porto</v>
      </c>
      <c r="E26" s="110" t="str">
        <v>V3</v>
      </c>
      <c r="F26" s="110">
        <v>297.44</v>
      </c>
      <c r="G26" s="110">
        <v>0</v>
      </c>
      <c r="H26" s="110" t="str">
        <v>2</v>
      </c>
      <c r="I26" s="110" t="str">
        <v>Yes</v>
      </c>
      <c r="J26" s="110">
        <v>0</v>
      </c>
      <c r="K26" s="110">
        <v>91.46</v>
      </c>
      <c r="L26" s="110">
        <v>44.52</v>
      </c>
      <c r="M26" s="110">
        <v>0</v>
      </c>
      <c r="N26" s="110">
        <v>0</v>
      </c>
      <c r="O26" s="110">
        <v>161.46</v>
      </c>
      <c r="P26" s="110">
        <v>0</v>
      </c>
      <c r="Q26" s="110" t="str">
        <v>AVAILABLE</v>
      </c>
      <c r="R26" s="110">
        <v>1060000</v>
      </c>
      <c r="S26" s="110">
        <v>1060000</v>
      </c>
      <c r="T26" s="110">
        <v>1090000</v>
      </c>
      <c r="U26" s="110">
        <v>0</v>
      </c>
      <c r="V26" s="110">
        <v>0</v>
      </c>
      <c r="W26" s="110">
        <v>1090000</v>
      </c>
      <c r="X26" s="110">
        <v>0</v>
      </c>
      <c r="Y26" s="110">
        <v>0</v>
      </c>
      <c r="Z26" s="110">
        <v>0</v>
      </c>
      <c r="AA26" s="110">
        <v>46171</v>
      </c>
      <c r="AB26" s="111" t="str">
        <v>Q2 2026</v>
      </c>
      <c r="AC26">
        <v>0</v>
      </c>
      <c r="AD26">
        <v>47208</v>
      </c>
      <c r="AE26" t="str">
        <v>João Gameiro</v>
      </c>
      <c r="AF26" t="str">
        <v>Miguel Ribeiro</v>
      </c>
      <c r="AG26" t="str">
        <v>https://www.valepisao.com/</v>
      </c>
      <c r="AH26" t="str">
        <v>Vale Pisão is a private residential and lifestyle community just 25 minutes from Porto, combining natural serenity with resort-level amenities. It offers families and individuals a secure, green haven to live, reconnect, and create a lasting home.</v>
      </c>
      <c r="AI26" t="str">
        <v>Private &amp; Communal Pools, Private Parking, Bike Station, Concierge, Private Gardens, Tennis &amp; Padel, Kids Club, Spa &amp; Gym and Bar Service</v>
      </c>
      <c r="AJ26"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26" t="str">
        <v>Barbosa Guimarães</v>
      </c>
      <c r="AL26" t="str">
        <v>Vale Pisão Grand Park</v>
      </c>
    </row>
    <row r="27" spans="1:38" x14ac:dyDescent="0.3">
      <c r="A27" s="110" t="str">
        <v>VP - TOWNHOUSES</v>
      </c>
      <c r="B27" s="110" t="str">
        <v>North</v>
      </c>
      <c r="C27" s="110" t="str">
        <v>14B</v>
      </c>
      <c r="D27" s="110" t="str">
        <v>Santo Tirso, Porto</v>
      </c>
      <c r="E27" s="110" t="str">
        <v>V3</v>
      </c>
      <c r="F27" s="110">
        <v>301.74</v>
      </c>
      <c r="G27" s="110">
        <v>0</v>
      </c>
      <c r="H27" s="110" t="str">
        <v>2</v>
      </c>
      <c r="I27" s="110" t="str">
        <v>Yes</v>
      </c>
      <c r="J27" s="110">
        <v>0</v>
      </c>
      <c r="K27" s="110">
        <v>88.46</v>
      </c>
      <c r="L27" s="110">
        <v>46.1</v>
      </c>
      <c r="M27" s="110">
        <v>0</v>
      </c>
      <c r="N27" s="110">
        <v>0</v>
      </c>
      <c r="O27" s="110">
        <v>167.18</v>
      </c>
      <c r="P27" s="110">
        <v>0</v>
      </c>
      <c r="Q27" s="110" t="str">
        <v>AVAILABLE</v>
      </c>
      <c r="R27" s="110">
        <v>1060000</v>
      </c>
      <c r="S27" s="110">
        <v>1060000</v>
      </c>
      <c r="T27" s="110">
        <v>1110000</v>
      </c>
      <c r="U27" s="110">
        <v>0</v>
      </c>
      <c r="V27" s="110">
        <v>0</v>
      </c>
      <c r="W27" s="110">
        <v>1110000</v>
      </c>
      <c r="X27" s="110">
        <v>0</v>
      </c>
      <c r="Y27" s="110">
        <v>0</v>
      </c>
      <c r="Z27" s="110">
        <v>0</v>
      </c>
      <c r="AA27" s="110">
        <v>46171</v>
      </c>
      <c r="AB27" s="111" t="str">
        <v>Q2 2026</v>
      </c>
      <c r="AC27">
        <v>0</v>
      </c>
      <c r="AD27">
        <v>47208</v>
      </c>
      <c r="AE27" t="str">
        <v>João Gameiro</v>
      </c>
      <c r="AF27" t="str">
        <v>Miguel Ribeiro</v>
      </c>
      <c r="AG27" t="str">
        <v>https://www.valepisao.com/</v>
      </c>
      <c r="AH27" t="str">
        <v>Vale Pisão is a private residential and lifestyle community just 25 minutes from Porto, combining natural serenity with resort-level amenities. It offers families and individuals a secure, green haven to live, reconnect, and create a lasting home.</v>
      </c>
      <c r="AI27" t="str">
        <v>Private &amp; Communal Pools, Private Parking, Bike Station, Concierge, Private Gardens, Tennis &amp; Padel, Kids Club, Spa &amp; Gym and Bar Service</v>
      </c>
      <c r="AJ27"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27" t="str">
        <v>Barbosa Guimarães</v>
      </c>
      <c r="AL27" t="str">
        <v>Vale Pisão Grand Park</v>
      </c>
    </row>
    <row r="28" spans="1:38" x14ac:dyDescent="0.3">
      <c r="A28" s="110" t="str">
        <v>VP - TOWNHOUSES</v>
      </c>
      <c r="B28" s="110" t="str">
        <v>North</v>
      </c>
      <c r="C28" s="110" t="str">
        <v>10B</v>
      </c>
      <c r="D28" s="110" t="str">
        <v>Santo Tirso, Porto</v>
      </c>
      <c r="E28" s="110" t="str">
        <v>V3</v>
      </c>
      <c r="F28" s="110">
        <v>331.29</v>
      </c>
      <c r="G28" s="110">
        <v>0</v>
      </c>
      <c r="H28" s="110" t="str">
        <v>2</v>
      </c>
      <c r="I28" s="110" t="str">
        <v>Yes</v>
      </c>
      <c r="J28" s="110">
        <v>0</v>
      </c>
      <c r="K28" s="110">
        <v>125.31</v>
      </c>
      <c r="L28" s="110">
        <v>44.52</v>
      </c>
      <c r="M28" s="110">
        <v>0</v>
      </c>
      <c r="N28" s="110">
        <v>0</v>
      </c>
      <c r="O28" s="110">
        <v>161.46</v>
      </c>
      <c r="P28" s="110">
        <v>0</v>
      </c>
      <c r="Q28" s="110" t="str">
        <v>UPON  REQUEST</v>
      </c>
      <c r="R28" s="110">
        <v>1060000</v>
      </c>
      <c r="S28" s="110">
        <v>1060000</v>
      </c>
      <c r="T28" s="110">
        <v>1090000</v>
      </c>
      <c r="U28" s="110">
        <v>0</v>
      </c>
      <c r="V28" s="110">
        <v>0</v>
      </c>
      <c r="W28" s="110">
        <v>1090000</v>
      </c>
      <c r="X28" s="110">
        <v>0</v>
      </c>
      <c r="Y28" s="110">
        <v>0</v>
      </c>
      <c r="Z28" s="110">
        <v>0</v>
      </c>
      <c r="AA28" s="110">
        <v>46171</v>
      </c>
      <c r="AB28" s="111" t="str">
        <v>Q2 2026</v>
      </c>
      <c r="AC28">
        <v>0</v>
      </c>
      <c r="AD28">
        <v>47208</v>
      </c>
      <c r="AE28" t="str">
        <v>João Gameiro</v>
      </c>
      <c r="AF28" t="str">
        <v>Miguel Ribeiro</v>
      </c>
      <c r="AG28" t="str">
        <v>https://www.valepisao.com/</v>
      </c>
      <c r="AH28" t="str">
        <v>Vale Pisão is a private residential and lifestyle community just 25 minutes from Porto, combining natural serenity with resort-level amenities. It offers families and individuals a secure, green haven to live, reconnect, and create a lasting home.</v>
      </c>
      <c r="AI28" t="str">
        <v>Private &amp; Communal Pools, Private Parking, Bike Station, Concierge, Private Gardens, Tennis &amp; Padel, Kids Club, Spa &amp; Gym and Bar Service</v>
      </c>
      <c r="AJ28"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28" t="str">
        <v>Barbosa Guimarães</v>
      </c>
      <c r="AL28" t="str">
        <v>Vale Pisão Grand Park</v>
      </c>
    </row>
    <row r="29" spans="1:38" x14ac:dyDescent="0.3">
      <c r="A29" s="110" t="str">
        <v>VP - TOWNHOUSES</v>
      </c>
      <c r="B29" s="110" t="str">
        <v>North</v>
      </c>
      <c r="C29" s="110" t="str">
        <v>11B</v>
      </c>
      <c r="D29" s="110" t="str">
        <v>Santo Tirso, Porto</v>
      </c>
      <c r="E29" s="110" t="str">
        <v>V3</v>
      </c>
      <c r="F29" s="110">
        <v>321.44</v>
      </c>
      <c r="G29" s="110">
        <v>0</v>
      </c>
      <c r="H29" s="110" t="str">
        <v>2</v>
      </c>
      <c r="I29" s="110" t="str">
        <v>Yes</v>
      </c>
      <c r="J29" s="110">
        <v>0</v>
      </c>
      <c r="K29" s="110">
        <v>115.46</v>
      </c>
      <c r="L29" s="110">
        <v>44.52</v>
      </c>
      <c r="M29" s="110">
        <v>0</v>
      </c>
      <c r="N29" s="110">
        <v>0</v>
      </c>
      <c r="O29" s="110">
        <v>161.46</v>
      </c>
      <c r="P29" s="110">
        <v>0</v>
      </c>
      <c r="Q29" s="110" t="str">
        <v>UPON  REQUEST</v>
      </c>
      <c r="R29" s="110">
        <v>1060000</v>
      </c>
      <c r="S29" s="110">
        <v>1060000</v>
      </c>
      <c r="T29" s="110">
        <v>1090000</v>
      </c>
      <c r="U29" s="110">
        <v>0</v>
      </c>
      <c r="V29" s="110">
        <v>0</v>
      </c>
      <c r="W29" s="110">
        <v>1090000</v>
      </c>
      <c r="X29" s="110">
        <v>0</v>
      </c>
      <c r="Y29" s="110">
        <v>0</v>
      </c>
      <c r="Z29" s="110">
        <v>0</v>
      </c>
      <c r="AA29" s="110">
        <v>46171</v>
      </c>
      <c r="AB29" s="111" t="str">
        <v>Q2 2026</v>
      </c>
      <c r="AC29">
        <v>0</v>
      </c>
      <c r="AD29">
        <v>47208</v>
      </c>
      <c r="AE29" t="str">
        <v>João Gameiro</v>
      </c>
      <c r="AF29" t="str">
        <v>Miguel Ribeiro</v>
      </c>
      <c r="AG29" t="str">
        <v>https://www.valepisao.com/</v>
      </c>
      <c r="AH29" t="str">
        <v>Vale Pisão is a private residential and lifestyle community just 25 minutes from Porto, combining natural serenity with resort-level amenities. It offers families and individuals a secure, green haven to live, reconnect, and create a lasting home.</v>
      </c>
      <c r="AI29" t="str">
        <v>Private &amp; Communal Pools, Private Parking, Bike Station, Concierge, Private Gardens, Tennis &amp; Padel, Kids Club, Spa &amp; Gym and Bar Service</v>
      </c>
      <c r="AJ29"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29" t="str">
        <v>Barbosa Guimarães</v>
      </c>
      <c r="AL29" t="str">
        <v>Vale Pisão Grand Park</v>
      </c>
    </row>
    <row r="30" spans="1:38" x14ac:dyDescent="0.3">
      <c r="A30" s="110" t="str">
        <v>VP - TOWNHOUSES</v>
      </c>
      <c r="B30" s="110" t="str">
        <v>North</v>
      </c>
      <c r="C30" s="110" t="str">
        <v>12B</v>
      </c>
      <c r="D30" s="110" t="str">
        <v>Santo Tirso, Porto</v>
      </c>
      <c r="E30" s="110" t="str">
        <v>V3</v>
      </c>
      <c r="F30" s="110">
        <v>309.29000000000002</v>
      </c>
      <c r="G30" s="110">
        <v>0</v>
      </c>
      <c r="H30" s="110" t="str">
        <v>2</v>
      </c>
      <c r="I30" s="110" t="str">
        <v>Yes</v>
      </c>
      <c r="J30" s="110">
        <v>0</v>
      </c>
      <c r="K30" s="110">
        <v>103.31</v>
      </c>
      <c r="L30" s="110">
        <v>44.52</v>
      </c>
      <c r="M30" s="110">
        <v>0</v>
      </c>
      <c r="N30" s="110">
        <v>0</v>
      </c>
      <c r="O30" s="110">
        <v>161.46</v>
      </c>
      <c r="P30" s="110">
        <v>0</v>
      </c>
      <c r="Q30" s="110" t="str">
        <v>UPON  REQUEST</v>
      </c>
      <c r="R30" s="110">
        <v>1060000</v>
      </c>
      <c r="S30" s="110">
        <v>1060000</v>
      </c>
      <c r="T30" s="110">
        <v>1110000</v>
      </c>
      <c r="U30" s="110">
        <v>0</v>
      </c>
      <c r="V30" s="110">
        <v>0</v>
      </c>
      <c r="W30" s="110">
        <v>1110000</v>
      </c>
      <c r="X30" s="110">
        <v>0</v>
      </c>
      <c r="Y30" s="110">
        <v>0</v>
      </c>
      <c r="Z30" s="110">
        <v>0</v>
      </c>
      <c r="AA30" s="110">
        <v>46171</v>
      </c>
      <c r="AB30" s="111" t="str">
        <v>Q2 2026</v>
      </c>
      <c r="AC30">
        <v>0</v>
      </c>
      <c r="AD30">
        <v>47208</v>
      </c>
      <c r="AE30" t="str">
        <v>João Gameiro</v>
      </c>
      <c r="AF30" t="str">
        <v>Miguel Ribeiro</v>
      </c>
      <c r="AG30" t="str">
        <v>https://www.valepisao.com/</v>
      </c>
      <c r="AH30" t="str">
        <v>Vale Pisão is a private residential and lifestyle community just 25 minutes from Porto, combining natural serenity with resort-level amenities. It offers families and individuals a secure, green haven to live, reconnect, and create a lasting home.</v>
      </c>
      <c r="AI30" t="str">
        <v>Private &amp; Communal Pools, Private Parking, Bike Station, Concierge, Private Gardens, Tennis &amp; Padel, Kids Club, Spa &amp; Gym and Bar Service</v>
      </c>
      <c r="AJ30"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30" t="str">
        <v>Barbosa Guimarães</v>
      </c>
      <c r="AL30" t="str">
        <v>Vale Pisão Grand Park</v>
      </c>
    </row>
    <row r="31" spans="1:38" x14ac:dyDescent="0.3">
      <c r="A31" s="110" t="str">
        <v>VP - TOWNHOUSES</v>
      </c>
      <c r="B31" s="110" t="str">
        <v>North</v>
      </c>
      <c r="C31" s="110" t="str">
        <v>1C</v>
      </c>
      <c r="D31" s="110" t="str">
        <v>Santo Tirso, Porto</v>
      </c>
      <c r="E31" s="110" t="str">
        <v>V3+1</v>
      </c>
      <c r="F31" s="110">
        <v>346.47</v>
      </c>
      <c r="G31" s="110">
        <v>0</v>
      </c>
      <c r="H31" s="110" t="str">
        <v>2</v>
      </c>
      <c r="I31" s="110" t="str">
        <v>Yes</v>
      </c>
      <c r="J31" s="110">
        <v>9.4700000000000006</v>
      </c>
      <c r="K31" s="110">
        <v>89.13</v>
      </c>
      <c r="L31" s="110">
        <v>49.45</v>
      </c>
      <c r="M31" s="110">
        <v>0</v>
      </c>
      <c r="N31" s="110">
        <v>0</v>
      </c>
      <c r="O31" s="110">
        <v>198.42</v>
      </c>
      <c r="P31" s="110">
        <v>0</v>
      </c>
      <c r="Q31" s="110" t="str">
        <v>UPON  REQUEST</v>
      </c>
      <c r="R31" s="110">
        <v>1060000</v>
      </c>
      <c r="S31" s="110">
        <v>1060000</v>
      </c>
      <c r="T31" s="110">
        <v>1090000</v>
      </c>
      <c r="U31" s="110">
        <v>0</v>
      </c>
      <c r="V31" s="110">
        <v>0</v>
      </c>
      <c r="W31" s="110">
        <v>1090000</v>
      </c>
      <c r="X31" s="110">
        <v>0</v>
      </c>
      <c r="Y31" s="110">
        <v>0</v>
      </c>
      <c r="Z31" s="110">
        <v>0</v>
      </c>
      <c r="AA31" s="110">
        <v>46171</v>
      </c>
      <c r="AB31" s="111" t="str">
        <v>Q2 2026</v>
      </c>
      <c r="AC31">
        <v>0</v>
      </c>
      <c r="AD31">
        <v>47208</v>
      </c>
      <c r="AE31" t="str">
        <v>João Gameiro</v>
      </c>
      <c r="AF31" t="str">
        <v>Miguel Ribeiro</v>
      </c>
      <c r="AG31" t="str">
        <v>https://www.valepisao.com/</v>
      </c>
      <c r="AH31" t="str">
        <v>Vale Pisão is a private residential and lifestyle community just 25 minutes from Porto, combining natural serenity with resort-level amenities. It offers families and individuals a secure, green haven to live, reconnect, and create a lasting home.</v>
      </c>
      <c r="AI31" t="str">
        <v>Private &amp; Communal Pools, Private Parking, Bike Station, Concierge, Private Gardens, Tennis &amp; Padel, Kids Club, Spa &amp; Gym and Bar Service</v>
      </c>
      <c r="AJ31"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31" t="str">
        <v>Barbosa Guimarães</v>
      </c>
      <c r="AL31" t="str">
        <v>Vale Pisão Grand Park</v>
      </c>
    </row>
    <row r="32" spans="1:38" x14ac:dyDescent="0.3">
      <c r="A32" s="110" t="str">
        <v>VP - TOWNHOUSES</v>
      </c>
      <c r="B32" s="110" t="str">
        <v>North</v>
      </c>
      <c r="C32" s="110" t="str">
        <v>8B</v>
      </c>
      <c r="D32" s="110" t="str">
        <v>Santo Tirso, Porto</v>
      </c>
      <c r="E32" s="110" t="str">
        <v>V3</v>
      </c>
      <c r="F32" s="110">
        <v>338.53</v>
      </c>
      <c r="G32" s="110">
        <v>0</v>
      </c>
      <c r="H32" s="110" t="str">
        <v>2</v>
      </c>
      <c r="I32" s="110" t="str">
        <v>Yes</v>
      </c>
      <c r="J32" s="110">
        <v>0</v>
      </c>
      <c r="K32" s="110">
        <v>132.55000000000001</v>
      </c>
      <c r="L32" s="110">
        <v>44.52</v>
      </c>
      <c r="M32" s="110">
        <v>0</v>
      </c>
      <c r="N32" s="110">
        <v>0</v>
      </c>
      <c r="O32" s="110">
        <v>161.46</v>
      </c>
      <c r="P32" s="110">
        <v>0</v>
      </c>
      <c r="Q32" s="110" t="str">
        <v>UPON  REQUEST</v>
      </c>
      <c r="R32" s="110">
        <v>1120000</v>
      </c>
      <c r="S32" s="110">
        <v>1120000</v>
      </c>
      <c r="T32" s="110">
        <v>1190000</v>
      </c>
      <c r="U32" s="110">
        <v>0</v>
      </c>
      <c r="V32" s="110">
        <v>0</v>
      </c>
      <c r="W32" s="110">
        <v>1190000</v>
      </c>
      <c r="X32" s="110">
        <v>0</v>
      </c>
      <c r="Y32" s="110">
        <v>0</v>
      </c>
      <c r="Z32" s="110">
        <v>0</v>
      </c>
      <c r="AA32" s="110">
        <v>46171</v>
      </c>
      <c r="AB32" s="111" t="str">
        <v>Q2 2026</v>
      </c>
      <c r="AC32">
        <v>0</v>
      </c>
      <c r="AD32">
        <v>47208</v>
      </c>
      <c r="AE32" t="str">
        <v>João Gameiro</v>
      </c>
      <c r="AF32" t="str">
        <v>Miguel Ribeiro</v>
      </c>
      <c r="AG32" t="str">
        <v>https://www.valepisao.com/</v>
      </c>
      <c r="AH32" t="str">
        <v>Vale Pisão is a private residential and lifestyle community just 25 minutes from Porto, combining natural serenity with resort-level amenities. It offers families and individuals a secure, green haven to live, reconnect, and create a lasting home.</v>
      </c>
      <c r="AI32" t="str">
        <v>Private &amp; Communal Pools, Private Parking, Bike Station, Concierge, Private Gardens, Tennis &amp; Padel, Kids Club, Spa &amp; Gym and Bar Service</v>
      </c>
      <c r="AJ32"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32" t="str">
        <v>Barbosa Guimarães</v>
      </c>
      <c r="AL32" t="str">
        <v>Vale Pisão Grand Park</v>
      </c>
    </row>
    <row r="33" spans="1:38" x14ac:dyDescent="0.3">
      <c r="A33" s="110" t="str">
        <v>VP - TOWNHOUSES</v>
      </c>
      <c r="B33" s="110" t="str">
        <v>North</v>
      </c>
      <c r="C33" s="110" t="str">
        <v>4C</v>
      </c>
      <c r="D33" s="110" t="str">
        <v>Santo Tirso, Porto</v>
      </c>
      <c r="E33" s="110" t="str">
        <v>V3+1</v>
      </c>
      <c r="F33" s="110">
        <v>360.04</v>
      </c>
      <c r="G33" s="110">
        <v>0</v>
      </c>
      <c r="H33" s="110" t="str">
        <v>2</v>
      </c>
      <c r="I33" s="110" t="str">
        <v>Yes</v>
      </c>
      <c r="J33" s="110">
        <v>9.57</v>
      </c>
      <c r="K33" s="110">
        <v>98.96</v>
      </c>
      <c r="L33" s="110">
        <v>51.75</v>
      </c>
      <c r="M33" s="110">
        <v>0</v>
      </c>
      <c r="N33" s="110">
        <v>0</v>
      </c>
      <c r="O33" s="110">
        <v>199.76</v>
      </c>
      <c r="P33" s="110">
        <v>0</v>
      </c>
      <c r="Q33" s="110" t="str">
        <v>UPON  REQUEST</v>
      </c>
      <c r="R33" s="110">
        <v>1190000</v>
      </c>
      <c r="S33" s="110">
        <v>1190000</v>
      </c>
      <c r="T33" s="110">
        <v>1220000</v>
      </c>
      <c r="U33" s="110">
        <v>0</v>
      </c>
      <c r="V33" s="110">
        <v>0</v>
      </c>
      <c r="W33" s="110">
        <v>1220000</v>
      </c>
      <c r="X33" s="110">
        <v>0</v>
      </c>
      <c r="Y33" s="110">
        <v>0</v>
      </c>
      <c r="Z33" s="110">
        <v>0</v>
      </c>
      <c r="AA33" s="110">
        <v>46171</v>
      </c>
      <c r="AB33" s="111" t="str">
        <v>Q2 2026</v>
      </c>
      <c r="AC33">
        <v>0</v>
      </c>
      <c r="AD33">
        <v>47208</v>
      </c>
      <c r="AE33" t="str">
        <v>João Gameiro</v>
      </c>
      <c r="AF33" t="str">
        <v>Miguel Ribeiro</v>
      </c>
      <c r="AG33" t="str">
        <v>https://www.valepisao.com/</v>
      </c>
      <c r="AH33" t="str">
        <v>Vale Pisão is a private residential and lifestyle community just 25 minutes from Porto, combining natural serenity with resort-level amenities. It offers families and individuals a secure, green haven to live, reconnect, and create a lasting home.</v>
      </c>
      <c r="AI33" t="str">
        <v>Private &amp; Communal Pools, Private Parking, Bike Station, Concierge, Private Gardens, Tennis &amp; Padel, Kids Club, Spa &amp; Gym and Bar Service</v>
      </c>
      <c r="AJ33"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33" t="str">
        <v>Barbosa Guimarães</v>
      </c>
      <c r="AL33" t="str">
        <v>Vale Pisão Grand Park</v>
      </c>
    </row>
    <row r="34" spans="1:38" x14ac:dyDescent="0.3">
      <c r="A34" s="110" t="str">
        <v>VP - TOWNHOUSES</v>
      </c>
      <c r="B34" s="110" t="str">
        <v>North</v>
      </c>
      <c r="C34" s="110" t="str">
        <v>5C</v>
      </c>
      <c r="D34" s="110" t="str">
        <v>Santo Tirso, Porto</v>
      </c>
      <c r="E34" s="110" t="str">
        <v>V3+1</v>
      </c>
      <c r="F34" s="110">
        <v>373.34</v>
      </c>
      <c r="G34" s="110">
        <v>0</v>
      </c>
      <c r="H34" s="110" t="str">
        <v>2</v>
      </c>
      <c r="I34" s="110" t="str">
        <v>Yes</v>
      </c>
      <c r="J34" s="110">
        <v>9.57</v>
      </c>
      <c r="K34" s="110">
        <v>103.98</v>
      </c>
      <c r="L34" s="110">
        <v>53.31</v>
      </c>
      <c r="M34" s="110">
        <v>0</v>
      </c>
      <c r="N34" s="110">
        <v>0</v>
      </c>
      <c r="O34" s="110">
        <v>206.48</v>
      </c>
      <c r="P34" s="110">
        <v>0</v>
      </c>
      <c r="Q34" s="110" t="str">
        <v>UPON  REQUEST</v>
      </c>
      <c r="R34" s="110">
        <v>1190000</v>
      </c>
      <c r="S34" s="110">
        <v>1190000</v>
      </c>
      <c r="T34" s="110">
        <v>1220000</v>
      </c>
      <c r="U34" s="110">
        <v>0</v>
      </c>
      <c r="V34" s="110">
        <v>0</v>
      </c>
      <c r="W34" s="110">
        <v>1220000</v>
      </c>
      <c r="X34" s="110">
        <v>0</v>
      </c>
      <c r="Y34" s="110">
        <v>0</v>
      </c>
      <c r="Z34" s="110">
        <v>0</v>
      </c>
      <c r="AA34" s="110">
        <v>46171</v>
      </c>
      <c r="AB34" s="111" t="str">
        <v>Q2 2026</v>
      </c>
      <c r="AC34">
        <v>0</v>
      </c>
      <c r="AD34">
        <v>47208</v>
      </c>
      <c r="AE34" t="str">
        <v>João Gameiro</v>
      </c>
      <c r="AF34" t="str">
        <v>Miguel Ribeiro</v>
      </c>
      <c r="AG34" t="str">
        <v>https://www.valepisao.com/</v>
      </c>
      <c r="AH34" t="str">
        <v>Vale Pisão is a private residential and lifestyle community just 25 minutes from Porto, combining natural serenity with resort-level amenities. It offers families and individuals a secure, green haven to live, reconnect, and create a lasting home.</v>
      </c>
      <c r="AI34" t="str">
        <v>Private &amp; Communal Pools, Private Parking, Bike Station, Concierge, Private Gardens, Tennis &amp; Padel, Kids Club, Spa &amp; Gym and Bar Service</v>
      </c>
      <c r="AJ34"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34" t="str">
        <v>Barbosa Guimarães</v>
      </c>
      <c r="AL34" t="str">
        <v>Vale Pisão Grand Park</v>
      </c>
    </row>
    <row r="35" spans="1:38" x14ac:dyDescent="0.3">
      <c r="A35" s="110" t="str">
        <v>VP - TOWNHOUSES</v>
      </c>
      <c r="B35" s="110" t="str">
        <v>North</v>
      </c>
      <c r="C35" s="110" t="str">
        <v>3C</v>
      </c>
      <c r="D35" s="110" t="str">
        <v>Santo Tirso, Porto</v>
      </c>
      <c r="E35" s="110" t="str">
        <v>V3+1</v>
      </c>
      <c r="F35" s="110">
        <v>355.86</v>
      </c>
      <c r="G35" s="110">
        <v>0</v>
      </c>
      <c r="H35" s="110" t="str">
        <v>2</v>
      </c>
      <c r="I35" s="110" t="str">
        <v>Yes</v>
      </c>
      <c r="J35" s="110">
        <v>9.57</v>
      </c>
      <c r="K35" s="110">
        <v>94.78</v>
      </c>
      <c r="L35" s="110">
        <v>51.75</v>
      </c>
      <c r="M35" s="110">
        <v>0</v>
      </c>
      <c r="N35" s="110">
        <v>0</v>
      </c>
      <c r="O35" s="110">
        <v>199.76</v>
      </c>
      <c r="P35" s="110">
        <v>0</v>
      </c>
      <c r="Q35" s="110" t="str">
        <v>AVAILABLE</v>
      </c>
      <c r="R35" s="110">
        <v>1240000</v>
      </c>
      <c r="S35" s="110">
        <v>1240000</v>
      </c>
      <c r="T35" s="110">
        <v>1270000</v>
      </c>
      <c r="U35" s="110">
        <v>0</v>
      </c>
      <c r="V35" s="110">
        <v>0</v>
      </c>
      <c r="W35" s="110">
        <v>1270000</v>
      </c>
      <c r="X35" s="110">
        <v>0</v>
      </c>
      <c r="Y35" s="110">
        <v>0</v>
      </c>
      <c r="Z35" s="110">
        <v>0</v>
      </c>
      <c r="AA35" s="110">
        <v>46171</v>
      </c>
      <c r="AB35" s="111" t="str">
        <v>Q2 2026</v>
      </c>
      <c r="AC35">
        <v>0</v>
      </c>
      <c r="AD35">
        <v>47208</v>
      </c>
      <c r="AE35" t="str">
        <v>João Gameiro</v>
      </c>
      <c r="AF35" t="str">
        <v>Miguel Ribeiro</v>
      </c>
      <c r="AG35" t="str">
        <v>https://www.valepisao.com/</v>
      </c>
      <c r="AH35" t="str">
        <v>Vale Pisão is a private residential and lifestyle community just 25 minutes from Porto, combining natural serenity with resort-level amenities. It offers families and individuals a secure, green haven to live, reconnect, and create a lasting home.</v>
      </c>
      <c r="AI35" t="str">
        <v>Private &amp; Communal Pools, Private Parking, Bike Station, Concierge, Private Gardens, Tennis &amp; Padel, Kids Club, Spa &amp; Gym and Bar Service</v>
      </c>
      <c r="AJ35"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35" t="str">
        <v>Barbosa Guimarães</v>
      </c>
      <c r="AL35" t="str">
        <v>Vale Pisão Grand Park</v>
      </c>
    </row>
    <row r="36" spans="1:38" x14ac:dyDescent="0.3">
      <c r="A36" s="110" t="str">
        <v>VP - TOWNHOUSES</v>
      </c>
      <c r="B36" s="110" t="str">
        <v>North</v>
      </c>
      <c r="C36" s="110" t="str">
        <v>1D</v>
      </c>
      <c r="D36" s="110" t="str">
        <v>Santo Tirso, Porto</v>
      </c>
      <c r="E36" s="110" t="str">
        <v>V4</v>
      </c>
      <c r="F36" s="110">
        <v>377.21</v>
      </c>
      <c r="G36" s="110">
        <v>0</v>
      </c>
      <c r="H36" s="110" t="str">
        <v>4</v>
      </c>
      <c r="I36" s="110" t="str">
        <v>Yes</v>
      </c>
      <c r="J36" s="110">
        <v>0</v>
      </c>
      <c r="K36" s="110">
        <v>98.04</v>
      </c>
      <c r="L36" s="110">
        <v>55.07</v>
      </c>
      <c r="M36" s="110">
        <v>0</v>
      </c>
      <c r="N36" s="110">
        <v>0</v>
      </c>
      <c r="O36" s="110">
        <v>224.1</v>
      </c>
      <c r="P36" s="110">
        <v>0</v>
      </c>
      <c r="Q36" s="110" t="str">
        <v>UPON  REQUEST</v>
      </c>
      <c r="R36" s="110">
        <v>1250000</v>
      </c>
      <c r="S36" s="110">
        <v>1250000</v>
      </c>
      <c r="T36" s="110">
        <v>1330000</v>
      </c>
      <c r="U36" s="110">
        <v>0</v>
      </c>
      <c r="V36" s="110">
        <v>0</v>
      </c>
      <c r="W36" s="110">
        <v>1330000</v>
      </c>
      <c r="X36" s="110">
        <v>0</v>
      </c>
      <c r="Y36" s="110">
        <v>0</v>
      </c>
      <c r="Z36" s="110">
        <v>0</v>
      </c>
      <c r="AA36" s="110">
        <v>46171</v>
      </c>
      <c r="AB36" s="111" t="str">
        <v>Q2 2026</v>
      </c>
      <c r="AC36">
        <v>0</v>
      </c>
      <c r="AD36">
        <v>47208</v>
      </c>
      <c r="AE36" t="str">
        <v>João Gameiro</v>
      </c>
      <c r="AF36" t="str">
        <v>Miguel Ribeiro</v>
      </c>
      <c r="AG36" t="str">
        <v>https://www.valepisao.com/</v>
      </c>
      <c r="AH36" t="str">
        <v>Vale Pisão is a private residential and lifestyle community just 25 minutes from Porto, combining natural serenity with resort-level amenities. It offers families and individuals a secure, green haven to live, reconnect, and create a lasting home.</v>
      </c>
      <c r="AI36" t="str">
        <v>Private &amp; Communal Pools, Private Parking, Bike Station, Concierge, Private Gardens, Tennis &amp; Padel, Kids Club, Spa &amp; Gym and Bar Service</v>
      </c>
      <c r="AJ36"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36" t="str">
        <v>Barbosa Guimarães</v>
      </c>
      <c r="AL36" t="str">
        <v>Vale Pisão Grand Park</v>
      </c>
    </row>
    <row r="37" spans="1:38" x14ac:dyDescent="0.3">
      <c r="A37" s="110" t="str">
        <v>VP - TOWNHOUSES</v>
      </c>
      <c r="B37" s="110" t="str">
        <v>North</v>
      </c>
      <c r="C37" s="110" t="str">
        <v>6D</v>
      </c>
      <c r="D37" s="110" t="str">
        <v>Santo Tirso, Porto</v>
      </c>
      <c r="E37" s="110" t="str">
        <v>V4</v>
      </c>
      <c r="F37" s="110">
        <v>362.84</v>
      </c>
      <c r="G37" s="110">
        <v>0</v>
      </c>
      <c r="H37" s="110" t="str">
        <v>2</v>
      </c>
      <c r="I37" s="110" t="str">
        <v>Yes</v>
      </c>
      <c r="J37" s="110">
        <v>0</v>
      </c>
      <c r="K37" s="110">
        <v>92.53</v>
      </c>
      <c r="L37" s="110">
        <v>53.5</v>
      </c>
      <c r="M37" s="110">
        <v>0</v>
      </c>
      <c r="N37" s="110">
        <v>0</v>
      </c>
      <c r="O37" s="110">
        <v>216.81</v>
      </c>
      <c r="P37" s="110">
        <v>0</v>
      </c>
      <c r="Q37" s="110" t="str">
        <v>AVAILABLE</v>
      </c>
      <c r="R37" s="110">
        <v>1060000</v>
      </c>
      <c r="S37" s="110">
        <v>1060000</v>
      </c>
      <c r="T37" s="110">
        <v>1090000</v>
      </c>
      <c r="U37" s="110">
        <v>0</v>
      </c>
      <c r="V37" s="110">
        <v>0</v>
      </c>
      <c r="W37" s="110">
        <v>1090000</v>
      </c>
      <c r="X37" s="110">
        <v>0</v>
      </c>
      <c r="Y37" s="110">
        <v>0</v>
      </c>
      <c r="Z37" s="110">
        <v>0</v>
      </c>
      <c r="AA37" s="110">
        <v>46171</v>
      </c>
      <c r="AB37" s="111" t="str">
        <v>Q2 2026</v>
      </c>
      <c r="AC37">
        <v>0</v>
      </c>
      <c r="AD37">
        <v>47208</v>
      </c>
      <c r="AE37" t="str">
        <v>João Gameiro</v>
      </c>
      <c r="AF37" t="str">
        <v>Miguel Ribeiro</v>
      </c>
      <c r="AG37" t="str">
        <v>https://www.valepisao.com/</v>
      </c>
      <c r="AH37" t="str">
        <v>Vale Pisão is a private residential and lifestyle community just 25 minutes from Porto, combining natural serenity with resort-level amenities. It offers families and individuals a secure, green haven to live, reconnect, and create a lasting home.</v>
      </c>
      <c r="AI37" t="str">
        <v>Private &amp; Communal Pools, Private Parking, Bike Station, Concierge, Private Gardens, Tennis &amp; Padel, Kids Club, Spa &amp; Gym and Bar Service</v>
      </c>
      <c r="AJ37"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37" t="str">
        <v>Barbosa Guimarães</v>
      </c>
      <c r="AL37" t="str">
        <v>Vale Pisão Grand Park</v>
      </c>
    </row>
    <row r="38" spans="1:38" x14ac:dyDescent="0.3">
      <c r="A38" s="110" t="str">
        <v>VP - TOWNHOUSES</v>
      </c>
      <c r="B38" s="110" t="str">
        <v>North</v>
      </c>
      <c r="C38" s="110" t="str">
        <v>9D</v>
      </c>
      <c r="D38" s="110" t="str">
        <v>Santo Tirso, Porto</v>
      </c>
      <c r="E38" s="110" t="str">
        <v>V4</v>
      </c>
      <c r="F38" s="110">
        <v>369.54</v>
      </c>
      <c r="G38" s="110">
        <v>0</v>
      </c>
      <c r="H38" s="110" t="str">
        <v>2</v>
      </c>
      <c r="I38" s="110" t="str">
        <v>Yes</v>
      </c>
      <c r="J38" s="110">
        <v>0</v>
      </c>
      <c r="K38" s="110">
        <v>90.37</v>
      </c>
      <c r="L38" s="110">
        <v>55.07</v>
      </c>
      <c r="M38" s="110">
        <v>0</v>
      </c>
      <c r="N38" s="110">
        <v>0</v>
      </c>
      <c r="O38" s="110">
        <v>224.1</v>
      </c>
      <c r="P38" s="110">
        <v>0</v>
      </c>
      <c r="Q38" s="110" t="str">
        <v>AVAILABLE</v>
      </c>
      <c r="R38" s="110">
        <v>1090000</v>
      </c>
      <c r="S38" s="110">
        <v>1090000</v>
      </c>
      <c r="T38" s="110">
        <v>1120000</v>
      </c>
      <c r="U38" s="110">
        <v>0</v>
      </c>
      <c r="V38" s="110">
        <v>0</v>
      </c>
      <c r="W38" s="110">
        <v>1120000</v>
      </c>
      <c r="X38" s="110">
        <v>0</v>
      </c>
      <c r="Y38" s="110">
        <v>0</v>
      </c>
      <c r="Z38" s="110">
        <v>0</v>
      </c>
      <c r="AA38" s="110">
        <v>46171</v>
      </c>
      <c r="AB38" s="111" t="str">
        <v>Q2 2026</v>
      </c>
      <c r="AC38">
        <v>0</v>
      </c>
      <c r="AD38">
        <v>47208</v>
      </c>
      <c r="AE38" t="str">
        <v>João Gameiro</v>
      </c>
      <c r="AF38" t="str">
        <v>Miguel Ribeiro</v>
      </c>
      <c r="AG38" t="str">
        <v>https://www.valepisao.com/</v>
      </c>
      <c r="AH38" t="str">
        <v>Vale Pisão is a private residential and lifestyle community just 25 minutes from Porto, combining natural serenity with resort-level amenities. It offers families and individuals a secure, green haven to live, reconnect, and create a lasting home.</v>
      </c>
      <c r="AI38" t="str">
        <v>Private &amp; Communal Pools, Private Parking, Bike Station, Concierge, Private Gardens, Tennis &amp; Padel, Kids Club, Spa &amp; Gym and Bar Service</v>
      </c>
      <c r="AJ38"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38" t="str">
        <v>Barbosa Guimarães</v>
      </c>
      <c r="AL38" t="str">
        <v>Vale Pisão Grand Park</v>
      </c>
    </row>
    <row r="39" spans="1:38" x14ac:dyDescent="0.3">
      <c r="A39" s="110" t="str">
        <v>VP - TOWNHOUSES</v>
      </c>
      <c r="B39" s="110" t="str">
        <v>North</v>
      </c>
      <c r="C39" s="110" t="str">
        <v>1E</v>
      </c>
      <c r="D39" s="110" t="str">
        <v>Santo Tirso, Porto</v>
      </c>
      <c r="E39" s="110" t="str">
        <v>V4+1</v>
      </c>
      <c r="F39" s="110">
        <v>401.91</v>
      </c>
      <c r="G39" s="110">
        <v>0</v>
      </c>
      <c r="H39" s="110" t="str">
        <v>2</v>
      </c>
      <c r="I39" s="110" t="str">
        <v>Yes</v>
      </c>
      <c r="J39" s="110">
        <v>0</v>
      </c>
      <c r="K39" s="110">
        <v>92.83</v>
      </c>
      <c r="L39" s="110">
        <v>57.45</v>
      </c>
      <c r="M39" s="110">
        <v>0</v>
      </c>
      <c r="N39" s="110">
        <v>0</v>
      </c>
      <c r="O39" s="110">
        <v>251.63</v>
      </c>
      <c r="P39" s="110">
        <v>0</v>
      </c>
      <c r="Q39" s="110" t="str">
        <v>AVAILABLE</v>
      </c>
      <c r="R39" s="110">
        <v>1240000</v>
      </c>
      <c r="S39" s="110">
        <v>1240000</v>
      </c>
      <c r="T39" s="110">
        <v>1270000</v>
      </c>
      <c r="U39" s="110">
        <v>0</v>
      </c>
      <c r="V39" s="110">
        <v>0</v>
      </c>
      <c r="W39" s="110">
        <v>1270000</v>
      </c>
      <c r="X39" s="110">
        <v>0</v>
      </c>
      <c r="Y39" s="110">
        <v>0</v>
      </c>
      <c r="Z39" s="110">
        <v>0</v>
      </c>
      <c r="AA39" s="110">
        <v>46171</v>
      </c>
      <c r="AB39" s="111" t="str">
        <v>Q2 2026</v>
      </c>
      <c r="AC39">
        <v>0</v>
      </c>
      <c r="AD39">
        <v>47208</v>
      </c>
      <c r="AE39" t="str">
        <v>João Gameiro</v>
      </c>
      <c r="AF39" t="str">
        <v>Miguel Ribeiro</v>
      </c>
      <c r="AG39" t="str">
        <v>https://www.valepisao.com/</v>
      </c>
      <c r="AH39" t="str">
        <v>Vale Pisão is a private residential and lifestyle community just 25 minutes from Porto, combining natural serenity with resort-level amenities. It offers families and individuals a secure, green haven to live, reconnect, and create a lasting home.</v>
      </c>
      <c r="AI39" t="str">
        <v>Private &amp; Communal Pools, Private Parking, Bike Station, Concierge, Private Gardens, Tennis &amp; Padel, Kids Club, Spa &amp; Gym and Bar Service</v>
      </c>
      <c r="AJ39"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39" t="str">
        <v>Barbosa Guimarães</v>
      </c>
      <c r="AL39" t="str">
        <v>Vale Pisão Grand Park</v>
      </c>
    </row>
    <row r="40" spans="1:38" x14ac:dyDescent="0.3">
      <c r="A40" s="110" t="str">
        <v>VP - TOWNHOUSES</v>
      </c>
      <c r="B40" s="110" t="str">
        <v>North</v>
      </c>
      <c r="C40" s="110" t="str">
        <v>3D</v>
      </c>
      <c r="D40" s="110" t="str">
        <v>Santo Tirso, Porto</v>
      </c>
      <c r="E40" s="110" t="str">
        <v>V4</v>
      </c>
      <c r="F40" s="110">
        <v>365.81</v>
      </c>
      <c r="G40" s="110">
        <v>0</v>
      </c>
      <c r="H40" s="110" t="str">
        <v>2</v>
      </c>
      <c r="I40" s="110" t="str">
        <v>Yes</v>
      </c>
      <c r="J40" s="110">
        <v>0</v>
      </c>
      <c r="K40" s="110">
        <v>95.5</v>
      </c>
      <c r="L40" s="110">
        <v>53.5</v>
      </c>
      <c r="M40" s="110">
        <v>0</v>
      </c>
      <c r="N40" s="110">
        <v>0</v>
      </c>
      <c r="O40" s="110">
        <v>216.81</v>
      </c>
      <c r="P40" s="110">
        <v>0</v>
      </c>
      <c r="Q40" s="110" t="str">
        <v>UPON  REQUEST</v>
      </c>
      <c r="R40" s="110">
        <v>0</v>
      </c>
      <c r="S40" s="110">
        <v>0</v>
      </c>
      <c r="T40" s="110">
        <v>0</v>
      </c>
      <c r="U40" s="110">
        <v>0</v>
      </c>
      <c r="V40" s="110">
        <v>0</v>
      </c>
      <c r="W40" s="110">
        <v>0</v>
      </c>
      <c r="X40" s="110">
        <v>0</v>
      </c>
      <c r="Y40" s="110">
        <v>0</v>
      </c>
      <c r="Z40" s="110">
        <v>0</v>
      </c>
      <c r="AA40" s="110">
        <v>46171</v>
      </c>
      <c r="AB40" s="111" t="str">
        <v>Q2 2026</v>
      </c>
      <c r="AC40">
        <v>0</v>
      </c>
      <c r="AD40">
        <v>47208</v>
      </c>
      <c r="AE40" t="str">
        <v>João Gameiro</v>
      </c>
      <c r="AF40" t="str">
        <v>Miguel Ribeiro</v>
      </c>
      <c r="AG40" t="str">
        <v>https://www.valepisao.com/</v>
      </c>
      <c r="AH40" t="str">
        <v>Vale Pisão is a private residential and lifestyle community just 25 minutes from Porto, combining natural serenity with resort-level amenities. It offers families and individuals a secure, green haven to live, reconnect, and create a lasting home.</v>
      </c>
      <c r="AI40" t="str">
        <v>Private &amp; Communal Pools, Private Parking, Bike Station, Concierge, Private Gardens, Tennis &amp; Padel, Kids Club, Spa &amp; Gym and Bar Service</v>
      </c>
      <c r="AJ40"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40" t="str">
        <v>Barbosa Guimarães</v>
      </c>
      <c r="AL40" t="str">
        <v>Vale Pisão Grand Park</v>
      </c>
    </row>
    <row r="41" spans="1:38" x14ac:dyDescent="0.3">
      <c r="A41" s="110" t="str">
        <v>VP - TOWNHOUSES</v>
      </c>
      <c r="B41" s="110" t="str">
        <v>North</v>
      </c>
      <c r="C41" s="110" t="str">
        <v>4D</v>
      </c>
      <c r="D41" s="110" t="str">
        <v>Santo Tirso, Porto</v>
      </c>
      <c r="E41" s="110" t="str">
        <v>V4</v>
      </c>
      <c r="F41" s="110">
        <v>365.79</v>
      </c>
      <c r="G41" s="110">
        <v>0</v>
      </c>
      <c r="H41" s="110" t="str">
        <v>2</v>
      </c>
      <c r="I41" s="110" t="str">
        <v>Yes</v>
      </c>
      <c r="J41" s="110">
        <v>0</v>
      </c>
      <c r="K41" s="110">
        <v>95.48</v>
      </c>
      <c r="L41" s="110">
        <v>53.5</v>
      </c>
      <c r="M41" s="110">
        <v>0</v>
      </c>
      <c r="N41" s="110">
        <v>0</v>
      </c>
      <c r="O41" s="110">
        <v>216.81</v>
      </c>
      <c r="P41" s="110">
        <v>0</v>
      </c>
      <c r="Q41" s="110" t="str">
        <v>UPON  REQUEST</v>
      </c>
      <c r="R41" s="110">
        <v>0</v>
      </c>
      <c r="S41" s="110">
        <v>0</v>
      </c>
      <c r="T41" s="110">
        <v>0</v>
      </c>
      <c r="U41" s="110">
        <v>0</v>
      </c>
      <c r="V41" s="110">
        <v>0</v>
      </c>
      <c r="W41" s="110">
        <v>0</v>
      </c>
      <c r="X41" s="110">
        <v>0</v>
      </c>
      <c r="Y41" s="110">
        <v>0</v>
      </c>
      <c r="Z41" s="110">
        <v>0</v>
      </c>
      <c r="AA41" s="110">
        <v>46171</v>
      </c>
      <c r="AB41" s="111" t="str">
        <v>Q2 2026</v>
      </c>
      <c r="AC41">
        <v>0</v>
      </c>
      <c r="AD41">
        <v>47208</v>
      </c>
      <c r="AE41" t="str">
        <v>João Gameiro</v>
      </c>
      <c r="AF41" t="str">
        <v>Miguel Ribeiro</v>
      </c>
      <c r="AG41" t="str">
        <v>https://www.valepisao.com/</v>
      </c>
      <c r="AH41" t="str">
        <v>Vale Pisão is a private residential and lifestyle community just 25 minutes from Porto, combining natural serenity with resort-level amenities. It offers families and individuals a secure, green haven to live, reconnect, and create a lasting home.</v>
      </c>
      <c r="AI41" t="str">
        <v>Private &amp; Communal Pools, Private Parking, Bike Station, Concierge, Private Gardens, Tennis &amp; Padel, Kids Club, Spa &amp; Gym and Bar Service</v>
      </c>
      <c r="AJ41"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41" t="str">
        <v>Barbosa Guimarães</v>
      </c>
      <c r="AL41" t="str">
        <v>Vale Pisão Grand Park</v>
      </c>
    </row>
    <row r="42" spans="1:38" x14ac:dyDescent="0.3">
      <c r="A42" s="110" t="str">
        <v>VP - TOWNHOUSES</v>
      </c>
      <c r="B42" s="110" t="str">
        <v>North</v>
      </c>
      <c r="C42" s="110" t="str">
        <v>5D</v>
      </c>
      <c r="D42" s="110" t="str">
        <v>Santo Tirso, Porto</v>
      </c>
      <c r="E42" s="110" t="str">
        <v>V4</v>
      </c>
      <c r="F42" s="110">
        <v>364.63</v>
      </c>
      <c r="G42" s="110">
        <v>0</v>
      </c>
      <c r="H42" s="110" t="str">
        <v>2</v>
      </c>
      <c r="I42" s="110" t="str">
        <v>Yes</v>
      </c>
      <c r="J42" s="110">
        <v>0</v>
      </c>
      <c r="K42" s="110">
        <v>94.32</v>
      </c>
      <c r="L42" s="110">
        <v>53.5</v>
      </c>
      <c r="M42" s="110">
        <v>0</v>
      </c>
      <c r="N42" s="110">
        <v>0</v>
      </c>
      <c r="O42" s="110">
        <v>216.81</v>
      </c>
      <c r="P42" s="110">
        <v>0</v>
      </c>
      <c r="Q42" s="110" t="str">
        <v>UPON  REQUEST</v>
      </c>
      <c r="R42" s="110">
        <v>0</v>
      </c>
      <c r="S42" s="110">
        <v>0</v>
      </c>
      <c r="T42" s="110">
        <v>0</v>
      </c>
      <c r="U42" s="110">
        <v>0</v>
      </c>
      <c r="V42" s="110">
        <v>0</v>
      </c>
      <c r="W42" s="110">
        <v>0</v>
      </c>
      <c r="X42" s="110">
        <v>0</v>
      </c>
      <c r="Y42" s="110">
        <v>0</v>
      </c>
      <c r="Z42" s="110">
        <v>0</v>
      </c>
      <c r="AA42" s="110">
        <v>46171</v>
      </c>
      <c r="AB42" s="111" t="str">
        <v>Q2 2026</v>
      </c>
      <c r="AC42">
        <v>0</v>
      </c>
      <c r="AD42">
        <v>47208</v>
      </c>
      <c r="AE42" t="str">
        <v>João Gameiro</v>
      </c>
      <c r="AF42" t="str">
        <v>Miguel Ribeiro</v>
      </c>
      <c r="AG42" t="str">
        <v>https://www.valepisao.com/</v>
      </c>
      <c r="AH42" t="str">
        <v>Vale Pisão is a private residential and lifestyle community just 25 minutes from Porto, combining natural serenity with resort-level amenities. It offers families and individuals a secure, green haven to live, reconnect, and create a lasting home.</v>
      </c>
      <c r="AI42" t="str">
        <v>Private &amp; Communal Pools, Private Parking, Bike Station, Concierge, Private Gardens, Tennis &amp; Padel, Kids Club, Spa &amp; Gym and Bar Service</v>
      </c>
      <c r="AJ42"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42" t="str">
        <v>Barbosa Guimarães</v>
      </c>
      <c r="AL42" t="str">
        <v>Vale Pisão Grand Park</v>
      </c>
    </row>
    <row r="43" spans="1:38" x14ac:dyDescent="0.3">
      <c r="A43" s="110" t="str">
        <v>VP - TOWNHOUSES</v>
      </c>
      <c r="B43" s="110" t="str">
        <v>North</v>
      </c>
      <c r="C43" s="110" t="str">
        <v>7D</v>
      </c>
      <c r="D43" s="110" t="str">
        <v>Santo Tirso, Porto</v>
      </c>
      <c r="E43" s="110" t="str">
        <v>V4</v>
      </c>
      <c r="F43" s="110">
        <v>360.37</v>
      </c>
      <c r="G43" s="110">
        <v>0</v>
      </c>
      <c r="H43" s="110" t="str">
        <v>2</v>
      </c>
      <c r="I43" s="110" t="str">
        <v>Yes</v>
      </c>
      <c r="J43" s="110">
        <v>0</v>
      </c>
      <c r="K43" s="110">
        <v>90.06</v>
      </c>
      <c r="L43" s="110">
        <v>53.5</v>
      </c>
      <c r="M43" s="110">
        <v>0</v>
      </c>
      <c r="N43" s="110">
        <v>0</v>
      </c>
      <c r="O43" s="110">
        <v>216.81</v>
      </c>
      <c r="P43" s="110">
        <v>0</v>
      </c>
      <c r="Q43" s="110" t="str">
        <v>UPON  REQUEST</v>
      </c>
      <c r="R43" s="110">
        <v>0</v>
      </c>
      <c r="S43" s="110">
        <v>0</v>
      </c>
      <c r="T43" s="110">
        <v>0</v>
      </c>
      <c r="U43" s="110">
        <v>0</v>
      </c>
      <c r="V43" s="110">
        <v>0</v>
      </c>
      <c r="W43" s="110">
        <v>0</v>
      </c>
      <c r="X43" s="110">
        <v>0</v>
      </c>
      <c r="Y43" s="110">
        <v>0</v>
      </c>
      <c r="Z43" s="110">
        <v>0</v>
      </c>
      <c r="AA43" s="110">
        <v>46171</v>
      </c>
      <c r="AB43" s="111" t="str">
        <v>Q2 2026</v>
      </c>
      <c r="AC43">
        <v>0</v>
      </c>
      <c r="AD43">
        <v>47208</v>
      </c>
      <c r="AE43" t="str">
        <v>João Gameiro</v>
      </c>
      <c r="AF43" t="str">
        <v>Miguel Ribeiro</v>
      </c>
      <c r="AG43" t="str">
        <v>https://www.valepisao.com/</v>
      </c>
      <c r="AH43" t="str">
        <v>Vale Pisão is a private residential and lifestyle community just 25 minutes from Porto, combining natural serenity with resort-level amenities. It offers families and individuals a secure, green haven to live, reconnect, and create a lasting home.</v>
      </c>
      <c r="AI43" t="str">
        <v>Private &amp; Communal Pools, Private Parking, Bike Station, Concierge, Private Gardens, Tennis &amp; Padel, Kids Club, Spa &amp; Gym and Bar Service</v>
      </c>
      <c r="AJ43"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43" t="str">
        <v>Barbosa Guimarães</v>
      </c>
      <c r="AL43" t="str">
        <v>Vale Pisão Grand Park</v>
      </c>
    </row>
    <row r="44" spans="1:38" x14ac:dyDescent="0.3">
      <c r="A44" s="110" t="str">
        <v>VP - TOWNHOUSES</v>
      </c>
      <c r="B44" s="110" t="str">
        <v>North</v>
      </c>
      <c r="C44" s="110" t="str">
        <v>8D</v>
      </c>
      <c r="D44" s="110" t="str">
        <v>Santo Tirso, Porto</v>
      </c>
      <c r="E44" s="110" t="str">
        <v>V4</v>
      </c>
      <c r="F44" s="110">
        <v>358.23</v>
      </c>
      <c r="G44" s="110">
        <v>0</v>
      </c>
      <c r="H44" s="110" t="str">
        <v>2</v>
      </c>
      <c r="I44" s="110" t="str">
        <v>Yes</v>
      </c>
      <c r="J44" s="110">
        <v>0</v>
      </c>
      <c r="K44" s="110">
        <v>87.92</v>
      </c>
      <c r="L44" s="110">
        <v>53.5</v>
      </c>
      <c r="M44" s="110">
        <v>0</v>
      </c>
      <c r="N44" s="110">
        <v>0</v>
      </c>
      <c r="O44" s="110">
        <v>216.81</v>
      </c>
      <c r="P44" s="110">
        <v>0</v>
      </c>
      <c r="Q44" s="110" t="str">
        <v>UPON  REQUEST</v>
      </c>
      <c r="R44" s="110">
        <v>0</v>
      </c>
      <c r="S44" s="110">
        <v>0</v>
      </c>
      <c r="T44" s="110">
        <v>0</v>
      </c>
      <c r="U44" s="110">
        <v>0</v>
      </c>
      <c r="V44" s="110">
        <v>0</v>
      </c>
      <c r="W44" s="110">
        <v>0</v>
      </c>
      <c r="X44" s="110">
        <v>0</v>
      </c>
      <c r="Y44" s="110">
        <v>0</v>
      </c>
      <c r="Z44" s="110">
        <v>0</v>
      </c>
      <c r="AA44" s="110">
        <v>46171</v>
      </c>
      <c r="AB44" s="111" t="str">
        <v>Q2 2026</v>
      </c>
      <c r="AC44">
        <v>0</v>
      </c>
      <c r="AD44">
        <v>47208</v>
      </c>
      <c r="AE44" t="str">
        <v>João Gameiro</v>
      </c>
      <c r="AF44" t="str">
        <v>Miguel Ribeiro</v>
      </c>
      <c r="AG44" t="str">
        <v>https://www.valepisao.com/</v>
      </c>
      <c r="AH44" t="str">
        <v>Vale Pisão is a private residential and lifestyle community just 25 minutes from Porto, combining natural serenity with resort-level amenities. It offers families and individuals a secure, green haven to live, reconnect, and create a lasting home.</v>
      </c>
      <c r="AI44" t="str">
        <v>Private &amp; Communal Pools, Private Parking, Bike Station, Concierge, Private Gardens, Tennis &amp; Padel, Kids Club, Spa &amp; Gym and Bar Service</v>
      </c>
      <c r="AJ44"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44" t="str">
        <v>Barbosa Guimarães</v>
      </c>
      <c r="AL44" t="str">
        <v>Vale Pisão Grand Park</v>
      </c>
    </row>
    <row r="45" spans="1:38" x14ac:dyDescent="0.3">
      <c r="A45" s="110" t="str">
        <v>VP - TOWNHOUSES</v>
      </c>
      <c r="B45" s="110" t="str">
        <v>North</v>
      </c>
      <c r="C45" s="110" t="str">
        <v>2E</v>
      </c>
      <c r="D45" s="110" t="str">
        <v>Santo Tirso, Porto</v>
      </c>
      <c r="E45" s="110" t="str">
        <v>V4+1</v>
      </c>
      <c r="F45" s="110">
        <v>387.26</v>
      </c>
      <c r="G45" s="110">
        <v>0</v>
      </c>
      <c r="H45" s="110" t="str">
        <v>2</v>
      </c>
      <c r="I45" s="110" t="str">
        <v>Yes</v>
      </c>
      <c r="J45" s="110">
        <v>0</v>
      </c>
      <c r="K45" s="110">
        <v>87.97</v>
      </c>
      <c r="L45" s="110">
        <v>55.99</v>
      </c>
      <c r="M45" s="110">
        <v>0</v>
      </c>
      <c r="N45" s="110">
        <v>0</v>
      </c>
      <c r="O45" s="110">
        <v>243.3</v>
      </c>
      <c r="P45" s="110">
        <v>0</v>
      </c>
      <c r="Q45" s="110" t="str">
        <v>UPON  REQUEST</v>
      </c>
      <c r="R45" s="110">
        <v>0</v>
      </c>
      <c r="S45" s="110">
        <v>0</v>
      </c>
      <c r="T45" s="110">
        <v>0</v>
      </c>
      <c r="U45" s="110">
        <v>0</v>
      </c>
      <c r="V45" s="110">
        <v>0</v>
      </c>
      <c r="W45" s="110">
        <v>0</v>
      </c>
      <c r="X45" s="110">
        <v>0</v>
      </c>
      <c r="Y45" s="110">
        <v>0</v>
      </c>
      <c r="Z45" s="110">
        <v>0</v>
      </c>
      <c r="AA45" s="110">
        <v>46171</v>
      </c>
      <c r="AB45" s="111" t="str">
        <v>Q2 2026</v>
      </c>
      <c r="AC45">
        <v>0</v>
      </c>
      <c r="AD45">
        <v>47208</v>
      </c>
      <c r="AE45" t="str">
        <v>João Gameiro</v>
      </c>
      <c r="AF45" t="str">
        <v>Miguel Ribeiro</v>
      </c>
      <c r="AG45" t="str">
        <v>https://www.valepisao.com/</v>
      </c>
      <c r="AH45" t="str">
        <v>Vale Pisão is a private residential and lifestyle community just 25 minutes from Porto, combining natural serenity with resort-level amenities. It offers families and individuals a secure, green haven to live, reconnect, and create a lasting home.</v>
      </c>
      <c r="AI45" t="str">
        <v>Private &amp; Communal Pools, Private Parking, Bike Station, Concierge, Private Gardens, Tennis &amp; Padel, Kids Club, Spa &amp; Gym and Bar Service</v>
      </c>
      <c r="AJ45"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45" t="str">
        <v>Barbosa Guimarães</v>
      </c>
      <c r="AL45" t="str">
        <v>Vale Pisão Grand Park</v>
      </c>
    </row>
    <row r="46" spans="1:38" x14ac:dyDescent="0.3">
      <c r="A46" s="110" t="str">
        <v>VP - TOWNHOUSES</v>
      </c>
      <c r="B46" s="110" t="str">
        <v>North</v>
      </c>
      <c r="C46" s="110" t="str">
        <v>3E</v>
      </c>
      <c r="D46" s="110" t="str">
        <v>Santo Tirso, Porto</v>
      </c>
      <c r="E46" s="110" t="str">
        <v>V4+1</v>
      </c>
      <c r="F46" s="110">
        <v>387.03</v>
      </c>
      <c r="G46" s="110">
        <v>0</v>
      </c>
      <c r="H46" s="110" t="str">
        <v>2</v>
      </c>
      <c r="I46" s="110" t="str">
        <v>Yes</v>
      </c>
      <c r="J46" s="110">
        <v>0</v>
      </c>
      <c r="K46" s="110">
        <v>87.74</v>
      </c>
      <c r="L46" s="110">
        <v>55.99</v>
      </c>
      <c r="M46" s="110">
        <v>0</v>
      </c>
      <c r="N46" s="110">
        <v>0</v>
      </c>
      <c r="O46" s="110">
        <v>243.3</v>
      </c>
      <c r="P46" s="110">
        <v>0</v>
      </c>
      <c r="Q46" s="110" t="str">
        <v>UPON  REQUEST</v>
      </c>
      <c r="R46" s="110">
        <v>0</v>
      </c>
      <c r="S46" s="110">
        <v>0</v>
      </c>
      <c r="T46" s="110">
        <v>0</v>
      </c>
      <c r="U46" s="110">
        <v>0</v>
      </c>
      <c r="V46" s="110">
        <v>0</v>
      </c>
      <c r="W46" s="110">
        <v>0</v>
      </c>
      <c r="X46" s="110">
        <v>0</v>
      </c>
      <c r="Y46" s="110">
        <v>0</v>
      </c>
      <c r="Z46" s="110">
        <v>0</v>
      </c>
      <c r="AA46" s="110">
        <v>46171</v>
      </c>
      <c r="AB46" s="111" t="str">
        <v>Q2 2026</v>
      </c>
      <c r="AC46">
        <v>0</v>
      </c>
      <c r="AD46">
        <v>47208</v>
      </c>
      <c r="AE46" t="str">
        <v>João Gameiro</v>
      </c>
      <c r="AF46" t="str">
        <v>Miguel Ribeiro</v>
      </c>
      <c r="AG46" t="str">
        <v>https://www.valepisao.com/</v>
      </c>
      <c r="AH46" t="str">
        <v>Vale Pisão is a private residential and lifestyle community just 25 minutes from Porto, combining natural serenity with resort-level amenities. It offers families and individuals a secure, green haven to live, reconnect, and create a lasting home.</v>
      </c>
      <c r="AI46" t="str">
        <v>Private &amp; Communal Pools, Private Parking, Bike Station, Concierge, Private Gardens, Tennis &amp; Padel, Kids Club, Spa &amp; Gym and Bar Service</v>
      </c>
      <c r="AJ46"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46" t="str">
        <v>Barbosa Guimarães</v>
      </c>
      <c r="AL46" t="str">
        <v>Vale Pisão Grand Park</v>
      </c>
    </row>
    <row r="47" spans="1:38" x14ac:dyDescent="0.3">
      <c r="A47" s="110" t="str">
        <v>VP - TOWNHOUSES</v>
      </c>
      <c r="B47" s="110" t="str">
        <v>North</v>
      </c>
      <c r="C47" s="110" t="str">
        <v>4E</v>
      </c>
      <c r="D47" s="110" t="str">
        <v>Santo Tirso, Porto</v>
      </c>
      <c r="E47" s="110" t="str">
        <v>V4+1</v>
      </c>
      <c r="F47" s="110">
        <v>382.78</v>
      </c>
      <c r="G47" s="110">
        <v>0</v>
      </c>
      <c r="H47" s="110" t="str">
        <v>4</v>
      </c>
      <c r="I47" s="110" t="str">
        <v>Yes</v>
      </c>
      <c r="J47" s="110">
        <v>0</v>
      </c>
      <c r="K47" s="110">
        <v>73.7</v>
      </c>
      <c r="L47" s="110">
        <v>57.45</v>
      </c>
      <c r="M47" s="110">
        <v>0</v>
      </c>
      <c r="N47" s="110">
        <v>0</v>
      </c>
      <c r="O47" s="110">
        <v>251.63</v>
      </c>
      <c r="P47" s="110">
        <v>0</v>
      </c>
      <c r="Q47" s="110" t="str">
        <v>UPON  REQUEST</v>
      </c>
      <c r="R47" s="110">
        <v>0</v>
      </c>
      <c r="S47" s="110">
        <v>0</v>
      </c>
      <c r="T47" s="110">
        <v>0</v>
      </c>
      <c r="U47" s="110">
        <v>0</v>
      </c>
      <c r="V47" s="110">
        <v>0</v>
      </c>
      <c r="W47" s="110">
        <v>0</v>
      </c>
      <c r="X47" s="110">
        <v>0</v>
      </c>
      <c r="Y47" s="110">
        <v>0</v>
      </c>
      <c r="Z47" s="110">
        <v>0</v>
      </c>
      <c r="AA47" s="110">
        <v>46171</v>
      </c>
      <c r="AB47" s="111" t="str">
        <v>Q2 2026</v>
      </c>
      <c r="AC47">
        <v>0</v>
      </c>
      <c r="AD47">
        <v>47208</v>
      </c>
      <c r="AE47" t="str">
        <v>João Gameiro</v>
      </c>
      <c r="AF47" t="str">
        <v>Miguel Ribeiro</v>
      </c>
      <c r="AG47" t="str">
        <v>https://www.valepisao.com/</v>
      </c>
      <c r="AH47" t="str">
        <v>Vale Pisão is a private residential and lifestyle community just 25 minutes from Porto, combining natural serenity with resort-level amenities. It offers families and individuals a secure, green haven to live, reconnect, and create a lasting home.</v>
      </c>
      <c r="AI47" t="str">
        <v>Private &amp; Communal Pools, Private Parking, Bike Station, Concierge, Private Gardens, Tennis &amp; Padel, Kids Club, Spa &amp; Gym and Bar Service</v>
      </c>
      <c r="AJ47" t="str">
        <v>Vale Pisão situado a apenas 25 minutos do Porto, mas totalmente imerso na natureza e na privacidade. Combinando o dia a dia com amenidades de resort, Vale Pisão oferece uma oportunidade única para famílias e indivíduos se reconectarem com a natureza. É um lugar para construir um lar, deixar um legado duradouro ou simplesmente desfrutar de um refúgio tranquilo — tudo dentro de um ambiente verde, seguro, consolidado e em constante evolução.</v>
      </c>
      <c r="AK47" t="str">
        <v>Barbosa Guimarães</v>
      </c>
      <c r="AL47" t="str">
        <v>Vale Pisão Grand Park</v>
      </c>
    </row>
    <row r="48" spans="1:38" x14ac:dyDescent="0.3">
      <c r="A48" s="110"/>
      <c r="B48" s="110"/>
      <c r="C48" s="110"/>
      <c r="D48" s="110"/>
      <c r="E48" s="110"/>
      <c r="F48" s="110"/>
      <c r="G48" s="110"/>
      <c r="H48" s="110"/>
      <c r="I48" s="110"/>
      <c r="J48" s="110"/>
      <c r="K48" s="110"/>
      <c r="L48" s="110"/>
      <c r="M48" s="110"/>
      <c r="N48" s="110"/>
      <c r="O48" s="110"/>
      <c r="P48" s="110"/>
      <c r="Q48" s="110"/>
      <c r="R48" s="110"/>
      <c r="S48" s="110"/>
      <c r="T48" s="110"/>
      <c r="U48" s="110"/>
      <c r="V48" s="110"/>
      <c r="W48" s="110"/>
      <c r="X48" s="110"/>
      <c r="Y48" s="110"/>
      <c r="Z48" s="110"/>
      <c r="AA48" s="110"/>
      <c r="AB48" s="111"/>
    </row>
    <row r="74" spans="11:12" x14ac:dyDescent="0.3">
      <c r="K74" s="113"/>
      <c r="L74" s="78"/>
    </row>
  </sheetData>
  <autoFilter ref="A2:AL2" xr:uid="{8C381E57-20A3-4D29-9AC1-A20B676A56DB}"/>
  <conditionalFormatting sqref="A2">
    <cfRule type="containsText" dxfId="5" priority="3" operator="containsText" text="Center">
      <formula>NOT(ISERROR(SEARCH("Center",A2)))</formula>
    </cfRule>
    <cfRule type="containsText" dxfId="4" priority="4" operator="containsText" text="North">
      <formula>NOT(ISERROR(SEARCH("North",A2)))</formula>
    </cfRule>
    <cfRule type="containsText" dxfId="3" priority="5" operator="containsText" text="Algarve">
      <formula>NOT(ISERROR(SEARCH("Algarve",A2)))</formula>
    </cfRule>
    <cfRule type="containsText" dxfId="2" priority="6" operator="containsText" text="Vilamoura">
      <formula>NOT(ISERROR(SEARCH("Vilamoura",A2)))</formula>
    </cfRule>
  </conditionalFormatting>
  <conditionalFormatting sqref="Q2">
    <cfRule type="containsText" dxfId="1" priority="1" operator="containsText" text="PRE-RESERVED">
      <formula>NOT(ISERROR(SEARCH("PRE-RESERVED",Q2)))</formula>
    </cfRule>
    <cfRule type="containsText" dxfId="0" priority="2" operator="containsText" text="RESERVED">
      <formula>NOT(ISERROR(SEARCH("RESERVED",Q2)))</formula>
    </cfRule>
  </conditionalFormatting>
  <pageMargins left="0.7" right="0.7" top="0.75" bottom="0.75" header="0.3" footer="0.3"/>
  <pageSetup paperSize="8" scale="69" fitToHeight="0"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e719cc60-be1b-4850-9174-ae56662748ab" xsi:nil="true"/>
    <lcf76f155ced4ddcb4097134ff3c332f xmlns="24a4a72c-ed29-4ae6-a11d-e124fe970ac4">
      <Terms xmlns="http://schemas.microsoft.com/office/infopath/2007/PartnerControls"/>
    </lcf76f155ced4ddcb4097134ff3c332f>
  </documentManagement>
</p:properti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B77177FA78D39C418820245DA5AC388A" ma:contentTypeVersion="12" ma:contentTypeDescription="Create a new document." ma:contentTypeScope="" ma:versionID="0fbf6d5f48fff5e84f7e8dd542f4b089">
  <xsd:schema xmlns:xsd="http://www.w3.org/2001/XMLSchema" xmlns:xs="http://www.w3.org/2001/XMLSchema" xmlns:p="http://schemas.microsoft.com/office/2006/metadata/properties" xmlns:ns2="24a4a72c-ed29-4ae6-a11d-e124fe970ac4" xmlns:ns3="e719cc60-be1b-4850-9174-ae56662748ab" targetNamespace="http://schemas.microsoft.com/office/2006/metadata/properties" ma:root="true" ma:fieldsID="6ab3a286e251e01a2c01663597e808a8" ns2:_="" ns3:_="">
    <xsd:import namespace="24a4a72c-ed29-4ae6-a11d-e124fe970ac4"/>
    <xsd:import namespace="e719cc60-be1b-4850-9174-ae56662748a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4a4a72c-ed29-4ae6-a11d-e124fe970ac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5fa3ccfe-acb3-4c17-b7fa-3c75389a7bba"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BillingMetadata" ma:index="18" nillable="true" ma:displayName="MediaServiceBillingMetadata" ma:hidden="true" ma:internalName="MediaServiceBillingMetadata" ma:readOnly="true">
      <xsd:simpleType>
        <xsd:restriction base="dms:Note"/>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719cc60-be1b-4850-9174-ae56662748ab"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4b90fa6-e6c0-4dde-b5e6-4bfa67e16a02}" ma:internalName="TaxCatchAll" ma:showField="CatchAllData" ma:web="e719cc60-be1b-4850-9174-ae56662748a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97A001-E4F9-40C3-8C33-41B955FB372E}">
  <ds:schemaRefs>
    <ds:schemaRef ds:uri="http://schemas.microsoft.com/sharepoint/v3/contenttype/forms"/>
  </ds:schemaRefs>
</ds:datastoreItem>
</file>

<file path=customXml/itemProps2.xml><?xml version="1.0" encoding="utf-8"?>
<ds:datastoreItem xmlns:ds="http://schemas.openxmlformats.org/officeDocument/2006/customXml" ds:itemID="{C80C9A70-73F7-49C4-95DE-33CDDA89F016}">
  <ds:schemaRefs>
    <ds:schemaRef ds:uri="http://schemas.microsoft.com/office/2006/metadata/properties"/>
    <ds:schemaRef ds:uri="http://schemas.microsoft.com/office/infopath/2007/PartnerControls"/>
    <ds:schemaRef ds:uri="e719cc60-be1b-4850-9174-ae56662748ab"/>
    <ds:schemaRef ds:uri="24a4a72c-ed29-4ae6-a11d-e124fe970ac4"/>
  </ds:schemaRefs>
</ds:datastoreItem>
</file>

<file path=customXml/itemProps3.xml><?xml version="1.0" encoding="utf-8"?>
<ds:datastoreItem xmlns:ds="http://schemas.openxmlformats.org/officeDocument/2006/customXml" ds:itemID="{EAD23602-06C9-4B47-8443-D34FFC22803D}">
  <ds:schemaRefs>
    <ds:schemaRef ds:uri="http://schemas.microsoft.com/DataMashup"/>
  </ds:schemaRefs>
</ds:datastoreItem>
</file>

<file path=customXml/itemProps4.xml><?xml version="1.0" encoding="utf-8"?>
<ds:datastoreItem xmlns:ds="http://schemas.openxmlformats.org/officeDocument/2006/customXml" ds:itemID="{D2718573-BC61-421F-BE8B-079BBCC9ADC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4a4a72c-ed29-4ae6-a11d-e124fe970ac4"/>
    <ds:schemaRef ds:uri="e719cc60-be1b-4850-9174-ae56662748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18</vt:i4>
      </vt:variant>
    </vt:vector>
  </HeadingPairs>
  <TitlesOfParts>
    <vt:vector size="40" baseType="lpstr">
      <vt:lpstr>🏠 HOME</vt:lpstr>
      <vt:lpstr>Overview</vt:lpstr>
      <vt:lpstr>Project Information</vt:lpstr>
      <vt:lpstr>Data Quality Check</vt:lpstr>
      <vt:lpstr>DATABASE</vt:lpstr>
      <vt:lpstr>Botanica</vt:lpstr>
      <vt:lpstr>Est. Ceg.</vt:lpstr>
      <vt:lpstr>Fairways</vt:lpstr>
      <vt:lpstr>Nobilus</vt:lpstr>
      <vt:lpstr>Natura Village</vt:lpstr>
      <vt:lpstr>Rivus</vt:lpstr>
      <vt:lpstr>Springs - At the Els</vt:lpstr>
      <vt:lpstr>Terracota</vt:lpstr>
      <vt:lpstr>The NIne</vt:lpstr>
      <vt:lpstr>The Uncommon</vt:lpstr>
      <vt:lpstr>Zestia</vt:lpstr>
      <vt:lpstr>Azuya</vt:lpstr>
      <vt:lpstr>Sutaya</vt:lpstr>
      <vt:lpstr>Palmares</vt:lpstr>
      <vt:lpstr>Monte Rei</vt:lpstr>
      <vt:lpstr>Aroeira</vt:lpstr>
      <vt:lpstr>Vale Pisão</vt:lpstr>
      <vt:lpstr>Database</vt:lpstr>
      <vt:lpstr>Aroeira!Print_Area</vt:lpstr>
      <vt:lpstr>Azuya!Print_Area</vt:lpstr>
      <vt:lpstr>Botanica!Print_Area</vt:lpstr>
      <vt:lpstr>'Est. Ceg.'!Print_Area</vt:lpstr>
      <vt:lpstr>Fairways!Print_Area</vt:lpstr>
      <vt:lpstr>'Monte Rei'!Print_Area</vt:lpstr>
      <vt:lpstr>'Natura Village'!Print_Area</vt:lpstr>
      <vt:lpstr>Nobilus!Print_Area</vt:lpstr>
      <vt:lpstr>Palmares!Print_Area</vt:lpstr>
      <vt:lpstr>Rivus!Print_Area</vt:lpstr>
      <vt:lpstr>'Springs - At the Els'!Print_Area</vt:lpstr>
      <vt:lpstr>Sutaya!Print_Area</vt:lpstr>
      <vt:lpstr>Terracota!Print_Area</vt:lpstr>
      <vt:lpstr>'The NIne'!Print_Area</vt:lpstr>
      <vt:lpstr>'The Uncommon'!Print_Area</vt:lpstr>
      <vt:lpstr>'Vale Pisão'!Print_Area</vt:lpstr>
      <vt:lpstr>Zestia!Print_Area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Carlota Varela Cid</dc:creator>
  <cp:keywords/>
  <dc:description/>
  <cp:lastModifiedBy>Vera Sousa Teixeira</cp:lastModifiedBy>
  <cp:revision/>
  <cp:lastPrinted>2026-06-25T13:55:13Z</cp:lastPrinted>
  <dcterms:created xsi:type="dcterms:W3CDTF">2025-06-16T18:42:55Z</dcterms:created>
  <dcterms:modified xsi:type="dcterms:W3CDTF">2026-07-01T15:32:41Z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0x010100B77177FA78D39C418820245DA5AC388A</vt:lpwstr>
  </property>
  <property fmtid="{D5CDD505-2E9C-101B-9397-08002B2CF9AE}" pid="3" name="MediaServiceImageTags">
    <vt:lpwstr/>
  </property>
</Properties>
</file>